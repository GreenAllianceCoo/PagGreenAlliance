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'Pendientes'!$A$4:$J$117</definedName>
    <definedName name="_xlnm._FilterDatabase" localSheetId="2" hidden="1">'Plan'!$A$4:$R$88</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2026-10-01.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83</v>
      </c>
      <c r="D6" s="6" t="inlineStr">
        <is>
          <t>Calculado por el optimizador.</t>
        </is>
      </c>
    </row>
    <row r="8">
      <c r="B8" s="3" t="inlineStr">
        <is>
          <t>Indicadores</t>
        </is>
      </c>
    </row>
    <row r="9">
      <c r="B9" s="4" t="inlineStr">
        <is>
          <t>Actividades en el plan</t>
        </is>
      </c>
      <c r="C9" s="9">
        <f>COUNTA(Plan!$A$5:$A$88)</f>
        <v/>
      </c>
    </row>
    <row r="10">
      <c r="B10" s="4" t="inlineStr">
        <is>
          <t>Hechas</t>
        </is>
      </c>
      <c r="C10" s="9">
        <f>COUNTIF(Plan!$O$5:$O$88,"Hecho")</f>
        <v/>
      </c>
    </row>
    <row r="11">
      <c r="B11" s="4" t="inlineStr">
        <is>
          <t>En curso</t>
        </is>
      </c>
      <c r="C11" s="9">
        <f>COUNTIF(Plan!$O$5:$O$88,"En curso")</f>
        <v/>
      </c>
    </row>
    <row r="12">
      <c r="B12" s="4" t="inlineStr">
        <is>
          <t>Pendientes</t>
        </is>
      </c>
      <c r="C12" s="9">
        <f>COUNTIF(Plan!$O$5:$O$88,"Pendiente")</f>
        <v/>
      </c>
    </row>
    <row r="13">
      <c r="B13" s="7" t="inlineStr">
        <is>
          <t>Bloqueadas (esperan a la cooperativa)</t>
        </is>
      </c>
      <c r="C13" s="9">
        <f>COUNTIF(Plan!$O$5:$O$88,"Bloqueado")</f>
        <v/>
      </c>
    </row>
    <row r="14">
      <c r="B14" s="4" t="inlineStr">
        <is>
          <t>Peso total (puntos)</t>
        </is>
      </c>
      <c r="C14" s="9">
        <f>SUM(Plan!$D$5:$D$88)</f>
        <v/>
      </c>
    </row>
    <row r="15">
      <c r="B15" s="4" t="inlineStr">
        <is>
          <t>Peso hecho (puntos)</t>
        </is>
      </c>
      <c r="C15" s="9">
        <f>SUMIF(Plan!$O$5:$O$88,"Hecho",Plan!$D$5:$D$88)</f>
        <v/>
      </c>
    </row>
    <row r="16">
      <c r="B16" s="4" t="inlineStr">
        <is>
          <t>Avance ponderado por peso</t>
        </is>
      </c>
      <c r="C16" s="10">
        <f>IF(C14=0,0,C15/C14)</f>
        <v/>
      </c>
    </row>
    <row r="17">
      <c r="B17" s="7" t="inlineStr">
        <is>
          <t>Duración total optimizada (bloques)</t>
        </is>
      </c>
      <c r="C17" s="9">
        <f>MAX(Plan!$L$5:$L$88)</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IF(C17=0,0,(SUMIF(Plan!$I$5:$I$88,"A",Plan!$E$5:$E$88)+SUMIF(Plan!$I$5:$I$88,"A+B",Plan!$E$5:$E$88))/C17)</f>
        <v/>
      </c>
    </row>
    <row r="24">
      <c r="B24" s="4" t="inlineStr">
        <is>
          <t>Uso de la Fila B</t>
        </is>
      </c>
      <c r="C24" s="12">
        <f>IF(C17=0,0,(SUMIF(Plan!$I$5:$I$88,"B",Plan!$E$5:$E$88)+SUMIF(Plan!$I$5:$I$88,"A+B",Plan!$E$5:$E$88))/C17)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SUMIF(Plan!$B$5:$B$88,"1. Diseño y arquitectura",Plan!$D$5:$D$88)</f>
        <v/>
      </c>
      <c r="D29" s="15">
        <f>SUMIFS(Plan!$D$5:$D$88,Plan!$B$5:$B$88,"1. Diseño y arquitectura",Plan!$O$5:$O$88,"Hecho")</f>
        <v/>
      </c>
      <c r="E29" s="12">
        <f>IF(C29=0,0,D29/C29)</f>
        <v/>
      </c>
      <c r="F29" s="15">
        <f>SUMPRODUCT(MAX((Plan!$B$5:$B$88="1. Diseño y arquitectura")*Plan!$L$5:$L$88))</f>
        <v/>
      </c>
      <c r="G29" s="8">
        <f>"S"&amp;ROUNDUP(F29/$C$5,0)</f>
        <v/>
      </c>
      <c r="H29" s="16">
        <f>'Propuesta original'!E5</f>
        <v/>
      </c>
    </row>
    <row r="30">
      <c r="B30" s="7" t="inlineStr">
        <is>
          <t>2. Landing y autenticación</t>
        </is>
      </c>
      <c r="C30" s="15">
        <f>SUMIF(Plan!$B$5:$B$88,"2. Landing y autenticación",Plan!$D$5:$D$88)</f>
        <v/>
      </c>
      <c r="D30" s="15">
        <f>SUMIFS(Plan!$D$5:$D$88,Plan!$B$5:$B$88,"2. Landing y autenticación",Plan!$O$5:$O$88,"Hecho")</f>
        <v/>
      </c>
      <c r="E30" s="12">
        <f>IF(C30=0,0,D30/C30)</f>
        <v/>
      </c>
      <c r="F30" s="15">
        <f>SUMPRODUCT(MAX((Plan!$B$5:$B$88="2. Landing y autenticación")*Plan!$L$5:$L$88))</f>
        <v/>
      </c>
      <c r="G30" s="8">
        <f>"S"&amp;ROUNDUP(F30/$C$5,0)</f>
        <v/>
      </c>
      <c r="H30" s="16">
        <f>'Propuesta original'!E6</f>
        <v/>
      </c>
    </row>
    <row r="31">
      <c r="B31" s="7" t="inlineStr">
        <is>
          <t>3. Flujo de solicitud de crédito</t>
        </is>
      </c>
      <c r="C31" s="15">
        <f>SUMIF(Plan!$B$5:$B$88,"3. Flujo de solicitud de crédito",Plan!$D$5:$D$88)</f>
        <v/>
      </c>
      <c r="D31" s="15">
        <f>SUMIFS(Plan!$D$5:$D$88,Plan!$B$5:$B$88,"3. Flujo de solicitud de crédito",Plan!$O$5:$O$88,"Hecho")</f>
        <v/>
      </c>
      <c r="E31" s="12">
        <f>IF(C31=0,0,D31/C31)</f>
        <v/>
      </c>
      <c r="F31" s="15">
        <f>SUMPRODUCT(MAX((Plan!$B$5:$B$88="3. Flujo de solicitud de crédito")*Plan!$L$5:$L$88))</f>
        <v/>
      </c>
      <c r="G31" s="8">
        <f>"S"&amp;ROUNDUP(F31/$C$5,0)</f>
        <v/>
      </c>
      <c r="H31" s="16">
        <f>'Propuesta original'!E7</f>
        <v/>
      </c>
    </row>
    <row r="32">
      <c r="B32" s="7" t="inlineStr">
        <is>
          <t>4. Panel de administración</t>
        </is>
      </c>
      <c r="C32" s="15">
        <f>SUMIF(Plan!$B$5:$B$88,"4. Panel de administración",Plan!$D$5:$D$88)</f>
        <v/>
      </c>
      <c r="D32" s="15">
        <f>SUMIFS(Plan!$D$5:$D$88,Plan!$B$5:$B$88,"4. Panel de administración",Plan!$O$5:$O$88,"Hecho")</f>
        <v/>
      </c>
      <c r="E32" s="12">
        <f>IF(C32=0,0,D32/C32)</f>
        <v/>
      </c>
      <c r="F32" s="15">
        <f>SUMPRODUCT(MAX((Plan!$B$5:$B$88="4. Panel de administración")*Plan!$L$5:$L$88))</f>
        <v/>
      </c>
      <c r="G32" s="8">
        <f>"S"&amp;ROUNDUP(F32/$C$5,0)</f>
        <v/>
      </c>
      <c r="H32" s="16">
        <f>'Propuesta original'!E8</f>
        <v/>
      </c>
    </row>
    <row r="33">
      <c r="B33" s="4" t="inlineStr">
        <is>
          <t>5. Convenios y pulido</t>
        </is>
      </c>
      <c r="C33" s="15">
        <f>SUMIF(Plan!$B$5:$B$88,"5. Convenios y pulido",Plan!$D$5:$D$88)</f>
        <v/>
      </c>
      <c r="D33" s="15">
        <f>SUMIFS(Plan!$D$5:$D$88,Plan!$B$5:$B$88,"5. Convenios y pulido",Plan!$O$5:$O$88,"Hecho")</f>
        <v/>
      </c>
      <c r="E33" s="12">
        <f>IF(C33=0,0,D33/C33)</f>
        <v/>
      </c>
      <c r="F33" s="15">
        <f>SUMPRODUCT(MAX((Plan!$B$5:$B$88="5. Convenios y pulido")*Plan!$L$5:$L$88))</f>
        <v/>
      </c>
      <c r="G33" s="8">
        <f>"S"&amp;ROUNDUP(F33/$C$5,0)</f>
        <v/>
      </c>
      <c r="H33" s="16">
        <f>'Propuesta original'!E9</f>
        <v/>
      </c>
    </row>
    <row r="34">
      <c r="B34" s="4" t="inlineStr">
        <is>
          <t>6. Pruebas y lanzamiento</t>
        </is>
      </c>
      <c r="C34" s="15">
        <f>SUMIF(Plan!$B$5:$B$88,"6. Pruebas y lanzamiento",Plan!$D$5:$D$88)</f>
        <v/>
      </c>
      <c r="D34" s="15">
        <f>SUMIFS(Plan!$D$5:$D$88,Plan!$B$5:$B$88,"6. Pruebas y lanzamiento",Plan!$O$5:$O$88,"Hecho")</f>
        <v/>
      </c>
      <c r="E34" s="12">
        <f>IF(C34=0,0,D34/C34)</f>
        <v/>
      </c>
      <c r="F34" s="15">
        <f>SUMPRODUCT(MAX((Plan!$B$5:$B$88="6. Pruebas y lanzamiento")*Plan!$L$5:$L$88))</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COUNTIFS(Pendientes!$B$5:$B$117,$B46,Pendientes!$G$5:$G$117,"Hecho")</f>
        <v/>
      </c>
      <c r="D46" s="15">
        <f>COUNTIFS(Pendientes!$B$5:$B$117,$B46,Pendientes!$G$5:$G$117,"En curso")</f>
        <v/>
      </c>
      <c r="E46" s="15">
        <f>COUNTIFS(Pendientes!$B$5:$B$117,$B46,Pendientes!$G$5:$G$117,"Pendiente")</f>
        <v/>
      </c>
      <c r="F46" s="15">
        <f>COUNTIFS(Pendientes!$B$5:$B$117,$B46,Pendientes!$G$5:$G$117,"Bloqueado")</f>
        <v/>
      </c>
      <c r="G46" s="9">
        <f>SUM(C46:F46)</f>
        <v/>
      </c>
    </row>
    <row r="47">
      <c r="B47" s="4" t="inlineStr">
        <is>
          <t>Dato de la cooperativa</t>
        </is>
      </c>
      <c r="C47" s="15">
        <f>COUNTIFS(Pendientes!$B$5:$B$117,$B47,Pendientes!$G$5:$G$117,"Hecho")</f>
        <v/>
      </c>
      <c r="D47" s="15">
        <f>COUNTIFS(Pendientes!$B$5:$B$117,$B47,Pendientes!$G$5:$G$117,"En curso")</f>
        <v/>
      </c>
      <c r="E47" s="15">
        <f>COUNTIFS(Pendientes!$B$5:$B$117,$B47,Pendientes!$G$5:$G$117,"Pendiente")</f>
        <v/>
      </c>
      <c r="F47" s="15">
        <f>COUNTIFS(Pendientes!$B$5:$B$117,$B47,Pendientes!$G$5:$G$117,"Bloqueado")</f>
        <v/>
      </c>
      <c r="G47" s="9">
        <f>SUM(C47:F47)</f>
        <v/>
      </c>
    </row>
    <row r="48">
      <c r="B48" s="4" t="inlineStr">
        <is>
          <t>Configuración</t>
        </is>
      </c>
      <c r="C48" s="15">
        <f>COUNTIFS(Pendientes!$B$5:$B$117,$B48,Pendientes!$G$5:$G$117,"Hecho")</f>
        <v/>
      </c>
      <c r="D48" s="15">
        <f>COUNTIFS(Pendientes!$B$5:$B$117,$B48,Pendientes!$G$5:$G$117,"En curso")</f>
        <v/>
      </c>
      <c r="E48" s="15">
        <f>COUNTIFS(Pendientes!$B$5:$B$117,$B48,Pendientes!$G$5:$G$117,"Pendiente")</f>
        <v/>
      </c>
      <c r="F48" s="15">
        <f>COUNTIFS(Pendientes!$B$5:$B$117,$B48,Pendientes!$G$5:$G$117,"Bloqueado")</f>
        <v/>
      </c>
      <c r="G48" s="9">
        <f>SUM(C48:F48)</f>
        <v/>
      </c>
    </row>
    <row r="49">
      <c r="B49" s="4" t="inlineStr">
        <is>
          <t>Funcionalidad</t>
        </is>
      </c>
      <c r="C49" s="15">
        <f>COUNTIFS(Pendientes!$B$5:$B$117,$B49,Pendientes!$G$5:$G$117,"Hecho")</f>
        <v/>
      </c>
      <c r="D49" s="15">
        <f>COUNTIFS(Pendientes!$B$5:$B$117,$B49,Pendientes!$G$5:$G$117,"En curso")</f>
        <v/>
      </c>
      <c r="E49" s="15">
        <f>COUNTIFS(Pendientes!$B$5:$B$117,$B49,Pendientes!$G$5:$G$117,"Pendiente")</f>
        <v/>
      </c>
      <c r="F49" s="15">
        <f>COUNTIFS(Pendientes!$B$5:$B$117,$B49,Pendientes!$G$5:$G$117,"Bloqueado")</f>
        <v/>
      </c>
      <c r="G49" s="9">
        <f>SUM(C49:F49)</f>
        <v/>
      </c>
    </row>
    <row r="50">
      <c r="B50" s="4" t="inlineStr">
        <is>
          <t>Verificación y cierre</t>
        </is>
      </c>
      <c r="C50" s="15">
        <f>COUNTIFS(Pendientes!$B$5:$B$117,$B50,Pendientes!$G$5:$G$117,"Hecho")</f>
        <v/>
      </c>
      <c r="D50" s="15">
        <f>COUNTIFS(Pendientes!$B$5:$B$117,$B50,Pendientes!$G$5:$G$117,"En curso")</f>
        <v/>
      </c>
      <c r="E50" s="15">
        <f>COUNTIFS(Pendientes!$B$5:$B$117,$B50,Pendientes!$G$5:$G$117,"Pendiente")</f>
        <v/>
      </c>
      <c r="F50" s="15">
        <f>COUNTIFS(Pendientes!$B$5:$B$117,$B50,Pendientes!$G$5:$G$117,"Bloqueado")</f>
        <v/>
      </c>
      <c r="G50" s="9">
        <f>SUM(C50:F50)</f>
        <v/>
      </c>
    </row>
    <row r="51">
      <c r="B51" s="4" t="inlineStr">
        <is>
          <t>Seguridad</t>
        </is>
      </c>
      <c r="C51" s="15">
        <f>COUNTIFS(Pendientes!$B$5:$B$117,$B51,Pendientes!$G$5:$G$117,"Hecho")</f>
        <v/>
      </c>
      <c r="D51" s="15">
        <f>COUNTIFS(Pendientes!$B$5:$B$117,$B51,Pendientes!$G$5:$G$117,"En curso")</f>
        <v/>
      </c>
      <c r="E51" s="15">
        <f>COUNTIFS(Pendientes!$B$5:$B$117,$B51,Pendientes!$G$5:$G$117,"Pendiente")</f>
        <v/>
      </c>
      <c r="F51" s="15">
        <f>COUNTIFS(Pendientes!$B$5:$B$117,$B51,Pendientes!$G$5:$G$117,"Bloqueado")</f>
        <v/>
      </c>
      <c r="G51" s="9">
        <f>SUM(C51:F51)</f>
        <v/>
      </c>
    </row>
    <row r="52">
      <c r="B52" s="4" t="inlineStr">
        <is>
          <t>Código</t>
        </is>
      </c>
      <c r="C52" s="15">
        <f>COUNTIFS(Pendientes!$B$5:$B$117,$B52,Pendientes!$G$5:$G$117,"Hecho")</f>
        <v/>
      </c>
      <c r="D52" s="15">
        <f>COUNTIFS(Pendientes!$B$5:$B$117,$B52,Pendientes!$G$5:$G$117,"En curso")</f>
        <v/>
      </c>
      <c r="E52" s="15">
        <f>COUNTIFS(Pendientes!$B$5:$B$117,$B52,Pendientes!$G$5:$G$117,"Pendiente")</f>
        <v/>
      </c>
      <c r="F52" s="15">
        <f>COUNTIFS(Pendientes!$B$5:$B$117,$B52,Pendientes!$G$5:$G$117,"Bloqueado")</f>
        <v/>
      </c>
      <c r="G52" s="9">
        <f>SUM(C52:F52)</f>
        <v/>
      </c>
    </row>
    <row r="53">
      <c r="B53" s="4" t="inlineStr">
        <is>
          <t>Base de datos</t>
        </is>
      </c>
      <c r="C53" s="15">
        <f>COUNTIFS(Pendientes!$B$5:$B$117,$B53,Pendientes!$G$5:$G$117,"Hecho")</f>
        <v/>
      </c>
      <c r="D53" s="15">
        <f>COUNTIFS(Pendientes!$B$5:$B$117,$B53,Pendientes!$G$5:$G$117,"En curso")</f>
        <v/>
      </c>
      <c r="E53" s="15">
        <f>COUNTIFS(Pendientes!$B$5:$B$117,$B53,Pendientes!$G$5:$G$117,"Pendiente")</f>
        <v/>
      </c>
      <c r="F53" s="15">
        <f>COUNTIFS(Pendientes!$B$5:$B$117,$B53,Pendientes!$G$5:$G$117,"Bloqueado")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P-55</t>
        </is>
      </c>
      <c r="B5" s="4" t="inlineStr">
        <is>
          <t>Configuración</t>
        </is>
      </c>
      <c r="C5" s="4" t="inlineStr">
        <is>
          <t>Base de datos</t>
        </is>
      </c>
      <c r="D5" s="7" t="inlineStr">
        <is>
          <t>Opcional: revocar la secuencia limites_intentos_id_seq a anon y authenticated</t>
        </is>
      </c>
      <c r="E5" s="7" t="inlineStr">
        <is>
          <t>Yo + ga-auditor-supabase</t>
        </is>
      </c>
      <c r="F5" s="8" t="inlineStr">
        <is>
          <t>Baja</t>
        </is>
      </c>
      <c r="G5" s="8" t="inlineStr">
        <is>
          <t>En curso</t>
        </is>
      </c>
      <c r="H5" s="8" t="inlineStr">
        <is>
          <t>6.8</t>
        </is>
      </c>
      <c r="I5" s="21">
        <f>IFERROR(INDEX(Plan!$B$5:$B$88,MATCH(H5,Plan!$A$5:$A$88,0)),"—")</f>
        <v/>
      </c>
      <c r="J5" s="7" t="inlineStr">
        <is>
          <t>Sugerido por ga-auditor-supabase en la auditoría de P-43. 30-sep: revoke incluido en la migración 20261001000000 (pgTAP 20 en verde); falta aplicarla (6.23).</t>
        </is>
      </c>
    </row>
    <row r="6">
      <c r="A6" s="19" t="inlineStr">
        <is>
          <t>P-110</t>
        </is>
      </c>
      <c r="B6" s="4" t="inlineStr">
        <is>
          <t>Configuración</t>
        </is>
      </c>
      <c r="C6" s="4" t="inlineStr">
        <is>
          <t>Base de datos</t>
        </is>
      </c>
      <c r="D6" s="7" t="inlineStr">
        <is>
          <t>Aplicar la migración 20261001000000 antes de desplegar (sin ella falla el insert de afiliación por la columna version_politica_datos)</t>
        </is>
      </c>
      <c r="E6" s="7" t="inlineStr">
        <is>
          <t>Sebas</t>
        </is>
      </c>
      <c r="F6" s="8" t="inlineStr">
        <is>
          <t>Alta</t>
        </is>
      </c>
      <c r="G6" s="8" t="inlineStr">
        <is>
          <t>Pendiente</t>
        </is>
      </c>
      <c r="H6" s="8" t="inlineStr">
        <is>
          <t>6.23</t>
        </is>
      </c>
      <c r="I6" s="21">
        <f>IFERROR(INDEX(Plan!$B$5:$B$88,MATCH(H6,Plan!$A$5:$A$88,0)),"—")</f>
        <v/>
      </c>
      <c r="J6" s="7" t="inlineStr">
        <is>
          <t>30-sep: reportado por ga-auditor-supabase y ga-funcionalidad-botones.</t>
        </is>
      </c>
    </row>
    <row r="7">
      <c r="A7" s="19" t="inlineStr">
        <is>
          <t>P-113</t>
        </is>
      </c>
      <c r="B7" s="4" t="inlineStr">
        <is>
          <t>Configuración</t>
        </is>
      </c>
      <c r="C7" s="4" t="inlineStr">
        <is>
          <t>Base de datos</t>
        </is>
      </c>
      <c r="D7" s="7" t="inlineStr">
        <is>
          <t>Docker: db reset + test db local y aplicar la migración 20261001100000 en producción</t>
        </is>
      </c>
      <c r="E7" s="7" t="inlineStr">
        <is>
          <t>Sebas</t>
        </is>
      </c>
      <c r="F7" s="8" t="inlineStr">
        <is>
          <t>Alta</t>
        </is>
      </c>
      <c r="G7" s="8" t="inlineStr">
        <is>
          <t>Pendiente</t>
        </is>
      </c>
      <c r="H7" s="8" t="inlineStr">
        <is>
          <t>6.24</t>
        </is>
      </c>
      <c r="I7" s="21">
        <f>IFERROR(INDEX(Plan!$B$5:$B$88,MATCH(H7,Plan!$A$5:$A$88,0)),"—")</f>
        <v/>
      </c>
      <c r="J7" s="7" t="inlineStr">
        <is>
          <t>01-oct: Docker Desktop no arranca («unable to start»).</t>
        </is>
      </c>
    </row>
    <row r="8">
      <c r="A8" s="19" t="inlineStr">
        <is>
          <t>P-54</t>
        </is>
      </c>
      <c r="B8" s="4" t="inlineStr">
        <is>
          <t>Configuración</t>
        </is>
      </c>
      <c r="C8" s="4" t="inlineStr">
        <is>
          <t>Vercel</t>
        </is>
      </c>
      <c r="D8" s="7" t="inlineStr">
        <is>
          <t>Alerta en los logs de Vercel para limite_de_intentos_fallo y limite_secreto_faltante</t>
        </is>
      </c>
      <c r="E8" s="7" t="inlineStr">
        <is>
          <t>Yo (panel Vercel)</t>
        </is>
      </c>
      <c r="F8" s="8" t="inlineStr">
        <is>
          <t>Media</t>
        </is>
      </c>
      <c r="G8" s="8" t="inlineStr">
        <is>
          <t>Pendiente</t>
        </is>
      </c>
      <c r="H8" s="8" t="inlineStr">
        <is>
          <t>6.12</t>
        </is>
      </c>
      <c r="I8" s="21">
        <f>IFERROR(INDEX(Plan!$B$5:$B$88,MATCH(H8,Plan!$A$5:$A$88,0)),"—")</f>
        <v/>
      </c>
      <c r="J8" s="7" t="inlineStr">
        <is>
          <t>Sugerido por ga-auditor-supabase en la auditoría de P-43.</t>
        </is>
      </c>
    </row>
    <row r="9">
      <c r="A9" s="19" t="inlineStr">
        <is>
          <t>P-73</t>
        </is>
      </c>
      <c r="B9" s="4" t="inlineStr">
        <is>
          <t>Configuración</t>
        </is>
      </c>
      <c r="C9" s="4" t="inlineStr">
        <is>
          <t>Pagos</t>
        </is>
      </c>
      <c r="D9" s="7" t="inlineStr">
        <is>
          <t>Pagar a Carlos Pardo 150.000 COP (cierre del encargo; no sigue en el proyecto)</t>
        </is>
      </c>
      <c r="E9" s="7" t="inlineStr">
        <is>
          <t>Sebas</t>
        </is>
      </c>
      <c r="F9" s="8" t="inlineStr">
        <is>
          <t>Media</t>
        </is>
      </c>
      <c r="G9" s="8" t="inlineStr">
        <is>
          <t>Pendiente</t>
        </is>
      </c>
      <c r="H9" s="8" t="inlineStr">
        <is>
          <t>—</t>
        </is>
      </c>
      <c r="I9" s="21">
        <f>IFERROR(INDEX(Plan!$B$5:$B$88,MATCH(H9,Plan!$A$5:$A$88,0)),"—")</f>
        <v/>
      </c>
      <c r="J9" s="7" t="inlineStr">
        <is>
          <t>Pago único por P-66 a P-71 (4.7, 4.8, 5.9, 5.10, 6.14, 6.15). Cada PR de Carlos lo revisa un agente ga-* antes de fusionarlo a develop.</t>
        </is>
      </c>
    </row>
    <row r="10">
      <c r="A10" s="19" t="inlineStr">
        <is>
          <t>P-105</t>
        </is>
      </c>
      <c r="B10" s="4" t="inlineStr">
        <is>
          <t>Configuración</t>
        </is>
      </c>
      <c r="C10" s="4" t="inlineStr">
        <is>
          <t>Vercel/Resend</t>
        </is>
      </c>
      <c r="D10" s="7" t="inlineStr">
        <is>
          <t>CRON_SECRET de 32+ caracteres, publicar plantilla ga-aviso-institucional y crear RESEND_TEMPLATE_AVISO_INSTITUCIONAL</t>
        </is>
      </c>
      <c r="E10" s="7" t="inlineStr">
        <is>
          <t>Sebas</t>
        </is>
      </c>
      <c r="F10" s="8" t="inlineStr">
        <is>
          <t>Alta</t>
        </is>
      </c>
      <c r="G10" s="8" t="inlineStr">
        <is>
          <t>Hecho</t>
        </is>
      </c>
      <c r="H10" s="8" t="inlineStr">
        <is>
          <t>6.22</t>
        </is>
      </c>
      <c r="I10" s="21">
        <f>IFERROR(INDEX(Plan!$B$5:$B$88,MATCH(H10,Plan!$A$5:$A$88,0)),"—")</f>
        <v/>
      </c>
      <c r="J10" s="7" t="inlineStr">
        <is>
          <t>30-sep: Sebas lo hizo en producción.</t>
        </is>
      </c>
    </row>
    <row r="11">
      <c r="A11" s="19" t="inlineStr">
        <is>
          <t>P-19</t>
        </is>
      </c>
      <c r="B11" s="4" t="inlineStr">
        <is>
          <t>Configuración</t>
        </is>
      </c>
      <c r="C11" s="4" t="inlineStr">
        <is>
          <t>Supabase</t>
        </is>
      </c>
      <c r="D11" s="7" t="inlineStr">
        <is>
          <t>SMTP propio con Resend (Authentication → Emails → SMTP Settings)</t>
        </is>
      </c>
      <c r="E11" s="7" t="inlineStr">
        <is>
          <t>Yo (panel Supabase/Resend)</t>
        </is>
      </c>
      <c r="F11" s="8" t="inlineStr">
        <is>
          <t>Alta</t>
        </is>
      </c>
      <c r="G11" s="8" t="inlineStr">
        <is>
          <t>Hecho</t>
        </is>
      </c>
      <c r="H11" s="8" t="inlineStr">
        <is>
          <t>2.4</t>
        </is>
      </c>
      <c r="I11" s="21">
        <f>IFERROR(INDEX(Plan!$B$5:$B$88,MATCH(H11,Plan!$A$5:$A$88,0)),"—")</f>
        <v/>
      </c>
      <c r="J11" s="7" t="inlineStr">
        <is>
          <t>Configurado por Sebas el 23-sep. El código de 6 dígitos lo envía Supabase Auth (no Resend desde la app); funciona en local. Ver docs/resend-plantillas.md.</t>
        </is>
      </c>
    </row>
    <row r="12">
      <c r="A12" s="19" t="inlineStr">
        <is>
          <t>P-20</t>
        </is>
      </c>
      <c r="B12" s="4" t="inlineStr">
        <is>
          <t>Configuración</t>
        </is>
      </c>
      <c r="C12" s="4" t="inlineStr">
        <is>
          <t>Supabase</t>
        </is>
      </c>
      <c r="D12" s="7" t="inlineStr">
        <is>
          <t>Plantilla del correo con {{ .Token }} (código, no enlace)</t>
        </is>
      </c>
      <c r="E12" s="7" t="inlineStr">
        <is>
          <t>Yo (panel Supabase/Resend)</t>
        </is>
      </c>
      <c r="F12" s="8" t="inlineStr">
        <is>
          <t>Alta</t>
        </is>
      </c>
      <c r="G12" s="8" t="inlineStr">
        <is>
          <t>Hecho</t>
        </is>
      </c>
      <c r="H12" s="8" t="inlineStr">
        <is>
          <t>2.4</t>
        </is>
      </c>
      <c r="I12" s="21">
        <f>IFERROR(INDEX(Plan!$B$5:$B$88,MATCH(H12,Plan!$A$5:$A$88,0)),"—")</f>
        <v/>
      </c>
      <c r="J12"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3">
      <c r="A13" s="19" t="inlineStr">
        <is>
          <t>P-43</t>
        </is>
      </c>
      <c r="B13" s="4" t="inlineStr">
        <is>
          <t>Configuración</t>
        </is>
      </c>
      <c r="C13" s="4" t="inlineStr">
        <is>
          <t>Base de datos</t>
        </is>
      </c>
      <c r="D13" s="7" t="inlineStr">
        <is>
          <t>Aplicar en producción la migración 20260923210000_limite_de_intentos.sql</t>
        </is>
      </c>
      <c r="E13" s="7" t="inlineStr">
        <is>
          <t>Sebas (ga-auditor-supabase revisa antes)</t>
        </is>
      </c>
      <c r="F13" s="8" t="inlineStr">
        <is>
          <t>Alta</t>
        </is>
      </c>
      <c r="G13" s="8" t="inlineStr">
        <is>
          <t>Hecho</t>
        </is>
      </c>
      <c r="H13" s="8" t="inlineStr">
        <is>
          <t>6.8</t>
        </is>
      </c>
      <c r="I13" s="21">
        <f>IFERROR(INDEX(Plan!$B$5:$B$88,MATCH(H13,Plan!$A$5:$A$88,0)),"—")</f>
        <v/>
      </c>
      <c r="J13"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IFERROR(INDEX(Plan!$B$5:$B$88,MATCH(H14,Plan!$A$5:$A$88,0)),"—")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P-45</t>
        </is>
      </c>
      <c r="B15" s="4" t="inlineStr">
        <is>
          <t>Configuración</t>
        </is>
      </c>
      <c r="C15" s="4" t="inlineStr">
        <is>
          <t>Supabase</t>
        </is>
      </c>
      <c r="D15" s="7" t="inlineStr">
        <is>
          <t>Panel de producción: OTP de 6 dígitos, vencimiento del código en 600 s (10 min) e intervalo entre correos ≤ 45 s</t>
        </is>
      </c>
      <c r="E15" s="7" t="inlineStr">
        <is>
          <t>Yo (panel Supabase/Resend)</t>
        </is>
      </c>
      <c r="F15" s="8" t="inlineStr">
        <is>
          <t>Alta</t>
        </is>
      </c>
      <c r="G15" s="8" t="inlineStr">
        <is>
          <t>Hecho</t>
        </is>
      </c>
      <c r="H15" s="8" t="inlineStr">
        <is>
          <t>2.4</t>
        </is>
      </c>
      <c r="I15" s="21">
        <f>IFERROR(INDEX(Plan!$B$5:$B$88,MATCH(H15,Plan!$A$5:$A$88,0)),"—")</f>
        <v/>
      </c>
      <c r="J15" s="7" t="inlineStr">
        <is>
          <t>Complementa P-19 (SMTP) y P-20 (plantilla Magic Link con {{ .Token }}). 30-sep: Sebas lo hizo en producción.</t>
        </is>
      </c>
    </row>
    <row r="16">
      <c r="A16" s="19" t="inlineStr">
        <is>
          <t>P-59</t>
        </is>
      </c>
      <c r="B16" s="4" t="inlineStr">
        <is>
          <t>Configuración</t>
        </is>
      </c>
      <c r="C16" s="4" t="inlineStr">
        <is>
          <t>Base de datos</t>
        </is>
      </c>
      <c r="D16" s="7" t="inlineStr">
        <is>
          <t>Aplicar en producción las 9 migraciones de fase 2 (20260924000000…000800) y desplegar enseguida</t>
        </is>
      </c>
      <c r="E16" s="7" t="inlineStr">
        <is>
          <t>Sebas (ga-auditor-supabase revisa antes)</t>
        </is>
      </c>
      <c r="F16" s="8" t="inlineStr">
        <is>
          <t>Alta</t>
        </is>
      </c>
      <c r="G16" s="8" t="inlineStr">
        <is>
          <t>Hecho</t>
        </is>
      </c>
      <c r="H16" s="8" t="inlineStr">
        <is>
          <t>6.13</t>
        </is>
      </c>
      <c r="I16" s="21">
        <f>IFERROR(INDEX(Plan!$B$5:$B$88,MATCH(H16,Plan!$A$5:$A$88,0)),"—")</f>
        <v/>
      </c>
      <c r="J16" s="7" t="inlineStr">
        <is>
          <t>25-sep: Sebas aplicó las 9 migraciones en producción con `supabase db push` (dry-run confirmó exactamente esas 9) y fusionó el PR develop → main; Vercel desplegó fase 2 en www.greenallianceco.com, verificado por HTTP.</t>
        </is>
      </c>
    </row>
    <row r="17">
      <c r="A17" s="19" t="inlineStr">
        <is>
          <t>P-60</t>
        </is>
      </c>
      <c r="B17" s="4" t="inlineStr">
        <is>
          <t>Configuración</t>
        </is>
      </c>
      <c r="C17" s="4" t="inlineStr">
        <is>
          <t>Vercel</t>
        </is>
      </c>
      <c r="D17" s="7" t="inlineStr">
        <is>
          <t>Corregir SUPABASE_SERVICE_ROLE_KEY en Vercel (hoy da «Invalid API key»)</t>
        </is>
      </c>
      <c r="E17" s="7" t="inlineStr">
        <is>
          <t>Sebas</t>
        </is>
      </c>
      <c r="F17" s="8" t="inlineStr">
        <is>
          <t>Alta</t>
        </is>
      </c>
      <c r="G17" s="8" t="inlineStr">
        <is>
          <t>Hecho</t>
        </is>
      </c>
      <c r="H17" s="8" t="inlineStr">
        <is>
          <t>6.9</t>
        </is>
      </c>
      <c r="I17" s="21">
        <f>IFERROR(INDEX(Plan!$B$5:$B$88,MATCH(H17,Plan!$A$5:$A$88,0)),"—")</f>
        <v/>
      </c>
      <c r="J17" s="7" t="inlineStr">
        <is>
          <t>24-sep: Sebas corrigió la llave en Vercel (confirmado el 25-sep).</t>
        </is>
      </c>
    </row>
    <row r="18">
      <c r="A18" s="19" t="inlineStr">
        <is>
          <t>P-61</t>
        </is>
      </c>
      <c r="B18" s="4" t="inlineStr">
        <is>
          <t>Configuración</t>
        </is>
      </c>
      <c r="C18" s="4" t="inlineStr">
        <is>
          <t>Resend</t>
        </is>
      </c>
      <c r="D18" s="7" t="inlineStr">
        <is>
          <t>Crear en Resend las plantillas de ingreso aceptado, crédito aprobado/rechazado y boleta del sorteo (ga-sorteo-boleta); confirmar el tope de 3 reenvíos de boleta al día</t>
        </is>
      </c>
      <c r="E18" s="7" t="inlineStr">
        <is>
          <t>Sebas</t>
        </is>
      </c>
      <c r="F18" s="8" t="inlineStr">
        <is>
          <t>Alta</t>
        </is>
      </c>
      <c r="G18" s="8" t="inlineStr">
        <is>
          <t>Hecho</t>
        </is>
      </c>
      <c r="H18" s="8" t="inlineStr">
        <is>
          <t>6.9</t>
        </is>
      </c>
      <c r="I18" s="21">
        <f>IFERROR(INDEX(Plan!$B$5:$B$88,MATCH(H18,Plan!$A$5:$A$88,0)),"—")</f>
        <v/>
      </c>
      <c r="J18" s="7" t="inlineStr">
        <is>
          <t>RESEND_API_KEY, EMAIL_FROM y RESEND_TEMPLATE_SORTEO_BOLETA ya son obligatorias para el build. 24-sep: el HTML de las 4 plantillas listo en docs/resend/. 25-sep: Sebas creó y publicó las 4 plantillas en Resend.</t>
        </is>
      </c>
    </row>
    <row r="19">
      <c r="A19" s="19" t="inlineStr">
        <is>
          <t>P-72</t>
        </is>
      </c>
      <c r="B19" s="4" t="inlineStr">
        <is>
          <t>Configuración</t>
        </is>
      </c>
      <c r="C19" s="4" t="inlineStr">
        <is>
          <t>Git</t>
        </is>
      </c>
      <c r="D19" s="7" t="inlineStr">
        <is>
          <t>Dar a Carlos acceso de colaborador al repo GitHub GreenAllianceCoo/PagGreenAlliance y compartirle el encargo (sin llaves de producción)</t>
        </is>
      </c>
      <c r="E19" s="7" t="inlineStr">
        <is>
          <t>Sebas</t>
        </is>
      </c>
      <c r="F19" s="8" t="inlineStr">
        <is>
          <t>Alta</t>
        </is>
      </c>
      <c r="G19" s="8" t="inlineStr">
        <is>
          <t>Hecho</t>
        </is>
      </c>
      <c r="H19" s="8" t="inlineStr">
        <is>
          <t>—</t>
        </is>
      </c>
      <c r="I19" s="21">
        <f>IFERROR(INDEX(Plan!$B$5:$B$88,MATCH(H19,Plan!$A$5:$A$88,0)),"—")</f>
        <v/>
      </c>
      <c r="J19"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0">
      <c r="A20" s="19" t="inlineStr">
        <is>
          <t>P-21</t>
        </is>
      </c>
      <c r="B20" s="4" t="inlineStr">
        <is>
          <t>Configuración</t>
        </is>
      </c>
      <c r="C20" s="4" t="inlineStr">
        <is>
          <t>Resend</t>
        </is>
      </c>
      <c r="D20" s="7" t="inlineStr">
        <is>
          <t>(Cancelado) Revisar el límite de Resend (plan gratis ≈ 100 correos/día)</t>
        </is>
      </c>
      <c r="E20" s="7" t="inlineStr">
        <is>
          <t>Yo</t>
        </is>
      </c>
      <c r="F20" s="8" t="inlineStr">
        <is>
          <t>Media</t>
        </is>
      </c>
      <c r="G20" s="8" t="inlineStr">
        <is>
          <t>Hecho</t>
        </is>
      </c>
      <c r="H20" s="8" t="inlineStr">
        <is>
          <t>2.4</t>
        </is>
      </c>
      <c r="I20" s="21">
        <f>IFERROR(INDEX(Plan!$B$5:$B$88,MATCH(H20,Plan!$A$5:$A$88,0)),"—")</f>
        <v/>
      </c>
      <c r="J20" s="7" t="inlineStr">
        <is>
          <t>30-sep: con ~500 asociados el plan gratis se queda corto; confirmar plan. 30-sep: Sebas decide que el límite de Resend no es problema por ahora; se quita.</t>
        </is>
      </c>
    </row>
    <row r="21">
      <c r="A21" s="19" t="inlineStr">
        <is>
          <t>P-87</t>
        </is>
      </c>
      <c r="B21" s="4" t="inlineStr">
        <is>
          <t>Configuración</t>
        </is>
      </c>
      <c r="C21" s="4" t="inlineStr">
        <is>
          <t>Vercel</t>
        </is>
      </c>
      <c r="D21" s="7" t="inlineStr">
        <is>
          <t>M-02: greenallianceco.com a veces sirve 200 en vez de redirigir 308 a www</t>
        </is>
      </c>
      <c r="E21" s="7" t="inlineStr">
        <is>
          <t>Sebas</t>
        </is>
      </c>
      <c r="F21" s="8" t="inlineStr">
        <is>
          <t>Media</t>
        </is>
      </c>
      <c r="G21" s="8" t="inlineStr">
        <is>
          <t>Hecho</t>
        </is>
      </c>
      <c r="H21" s="8" t="inlineStr">
        <is>
          <t>6.4</t>
        </is>
      </c>
      <c r="I21" s="21">
        <f>IFERROR(INDEX(Plan!$B$5:$B$88,MATCH(H21,Plan!$A$5:$A$88,0)),"—")</f>
        <v/>
      </c>
      <c r="J21"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2">
      <c r="A22" s="19" t="inlineStr">
        <is>
          <t>P-37</t>
        </is>
      </c>
      <c r="B22" s="4" t="inlineStr">
        <is>
          <t>Funcionalidad</t>
        </is>
      </c>
      <c r="C22" s="4" t="inlineStr">
        <is>
          <t>Correos</t>
        </is>
      </c>
      <c r="D22" s="7" t="inlineStr">
        <is>
          <t>Correo «Resultado del crédito» (aprobado / no aprobado) al asociado al resolver una solicitud</t>
        </is>
      </c>
      <c r="E22" s="7" t="inlineStr">
        <is>
          <t>ga-funcionalidad-botones</t>
        </is>
      </c>
      <c r="F22" s="8" t="inlineStr">
        <is>
          <t>Alta</t>
        </is>
      </c>
      <c r="G22" s="8" t="inlineStr">
        <is>
          <t>En curso</t>
        </is>
      </c>
      <c r="H22" s="8" t="inlineStr">
        <is>
          <t>4.3</t>
        </is>
      </c>
      <c r="I22" s="21">
        <f>IFERROR(INDEX(Plan!$B$5:$B$88,MATCH(H22,Plan!$A$5:$A$88,0)),"—")</f>
        <v/>
      </c>
      <c r="J22" s="7" t="inlineStr">
        <is>
          <t>24-sep: enviarResultadoCredito ya está conectado al aprobar/rechazar en /admin (probado en local); falta que Sebas configure el SMTP/Resend de producción (2.4) para que salga de verdad.</t>
        </is>
      </c>
    </row>
    <row r="23">
      <c r="A23" s="19" t="inlineStr">
        <is>
          <t>P-51</t>
        </is>
      </c>
      <c r="B23" s="4" t="inlineStr">
        <is>
          <t>Funcionalidad</t>
        </is>
      </c>
      <c r="C23" s="4" t="inlineStr">
        <is>
          <t>Correos</t>
        </is>
      </c>
      <c r="D23" s="7" t="inlineStr">
        <is>
          <t>Correo «Ingreso aceptado» (plantilla ga-ingreso-aceptado): acción del admin que aprueba la afiliación, crea el usuario y envía el correo</t>
        </is>
      </c>
      <c r="E23" s="7" t="inlineStr">
        <is>
          <t>ga-funcionalidad-botones</t>
        </is>
      </c>
      <c r="F23" s="8" t="inlineStr">
        <is>
          <t>Alta</t>
        </is>
      </c>
      <c r="G23" s="8" t="inlineStr">
        <is>
          <t>Pendiente</t>
        </is>
      </c>
      <c r="H23" s="8" t="inlineStr">
        <is>
          <t>4.5</t>
        </is>
      </c>
      <c r="I23" s="21">
        <f>IFERROR(INDEX(Plan!$B$5:$B$88,MATCH(H23,Plan!$A$5:$A$88,0)),"—")</f>
        <v/>
      </c>
      <c r="J23" s="7" t="inlineStr">
        <is>
          <t>No implementado en la app. Requiere RESEND_TEMPLATE_INGRESO_ACEPTADO (P-44). Ver docs/resend-plantillas.md.</t>
        </is>
      </c>
    </row>
    <row r="24">
      <c r="A24" s="19" t="inlineStr">
        <is>
          <t>P-66</t>
        </is>
      </c>
      <c r="B24" s="4" t="inlineStr">
        <is>
          <t>Funcionalidad</t>
        </is>
      </c>
      <c r="C24" s="4" t="inlineStr">
        <is>
          <t>Admin</t>
        </is>
      </c>
      <c r="D24" s="7" t="inlineStr">
        <is>
          <t>Dashboard de clientes en /admin: métricas (asociados por grado/institución, afiliaciones y créditos pendientes, montos del mes, inscritos al sorteo), lista con buscador/filtros, detalle de cliente y reasignar asesor</t>
        </is>
      </c>
      <c r="E24" s="7" t="inlineStr">
        <is>
          <t>Carlos Pardo</t>
        </is>
      </c>
      <c r="F24" s="8" t="inlineStr">
        <is>
          <t>Alta</t>
        </is>
      </c>
      <c r="G24" s="8" t="inlineStr">
        <is>
          <t>Pendiente</t>
        </is>
      </c>
      <c r="H24" s="8" t="inlineStr">
        <is>
          <t>4.7</t>
        </is>
      </c>
      <c r="I24" s="21">
        <f>IFERROR(INDEX(Plan!$B$5:$B$88,MATCH(H24,Plan!$A$5:$A$88,0)),"—")</f>
        <v/>
      </c>
      <c r="J24" s="7" t="inlineStr">
        <is>
          <t>Encargo externo (500.000 COP) por PR a develop. Ver P-73. 30-sep: Carlos salió; pasa a ga-funcionalidad-botones.</t>
        </is>
      </c>
    </row>
    <row r="25">
      <c r="A25" s="19" t="inlineStr">
        <is>
          <t>P-67</t>
        </is>
      </c>
      <c r="B25" s="4" t="inlineStr">
        <is>
          <t>Funcionalidad</t>
        </is>
      </c>
      <c r="C25" s="4" t="inlineStr">
        <is>
          <t>Asesor</t>
        </is>
      </c>
      <c r="D25" s="7" t="inlineStr">
        <is>
          <t>Dashboard del asesor en /asesor: métricas de sus clientes y detalle de cliente sin celular, correo, Nequi ni fotos</t>
        </is>
      </c>
      <c r="E25" s="7" t="inlineStr">
        <is>
          <t>Carlos Pardo</t>
        </is>
      </c>
      <c r="F25" s="8" t="inlineStr">
        <is>
          <t>Alta</t>
        </is>
      </c>
      <c r="G25" s="8" t="inlineStr">
        <is>
          <t>Pendiente</t>
        </is>
      </c>
      <c r="H25" s="8" t="inlineStr">
        <is>
          <t>4.8</t>
        </is>
      </c>
      <c r="I25" s="21">
        <f>IFERROR(INDEX(Plan!$B$5:$B$88,MATCH(H25,Plan!$A$5:$A$88,0)),"—")</f>
        <v/>
      </c>
      <c r="J25" s="7" t="inlineStr">
        <is>
          <t>Encargo externo (500.000 COP) por PR a develop. Ver P-73. 30-sep: Carlos salió; pasa a ga-funcionalidad-botones.</t>
        </is>
      </c>
    </row>
    <row r="26">
      <c r="A26" s="19" t="inlineStr">
        <is>
          <t>P-48</t>
        </is>
      </c>
      <c r="B26" s="4" t="inlineStr">
        <is>
          <t>Funcionalidad</t>
        </is>
      </c>
      <c r="C26" s="4" t="inlineStr">
        <is>
          <t>/afiliacion</t>
        </is>
      </c>
      <c r="D26" s="7" t="inlineStr">
        <is>
          <t>F-01: el select «Grado» se vacía tras un error de validación</t>
        </is>
      </c>
      <c r="E26" s="7" t="inlineStr">
        <is>
          <t>ga-funcionalidad-botones</t>
        </is>
      </c>
      <c r="F26" s="8" t="inlineStr">
        <is>
          <t>Media</t>
        </is>
      </c>
      <c r="G26" s="8" t="inlineStr">
        <is>
          <t>Pendiente</t>
        </is>
      </c>
      <c r="H26" s="8" t="inlineStr">
        <is>
          <t>2.11</t>
        </is>
      </c>
      <c r="I26" s="21">
        <f>IFERROR(INDEX(Plan!$B$5:$B$88,MATCH(H26,Plan!$A$5:$A$88,0)),"—")</f>
        <v/>
      </c>
      <c r="J26" s="7" t="inlineStr">
        <is>
          <t>Falla media de la verificación QA 1 (docs/verificaciones/2026-09-23-verificacion-1.md).</t>
        </is>
      </c>
    </row>
    <row r="27">
      <c r="A27" s="19" t="inlineStr">
        <is>
          <t>P-56</t>
        </is>
      </c>
      <c r="B27" s="4" t="inlineStr">
        <is>
          <t>Funcionalidad</t>
        </is>
      </c>
      <c r="C27" s="4" t="inlineStr">
        <is>
          <t>/cuenta/solicitar</t>
        </is>
      </c>
      <c r="D27" s="7" t="inlineStr">
        <is>
          <t>Revisar el diseño de /cuenta/solicitar (sin maqueta; selector 50/100 como radios)</t>
        </is>
      </c>
      <c r="E27" s="7" t="inlineStr">
        <is>
          <t>ga-diseno-a-codigo</t>
        </is>
      </c>
      <c r="F27" s="8" t="inlineStr">
        <is>
          <t>Media</t>
        </is>
      </c>
      <c r="G27" s="8" t="inlineStr">
        <is>
          <t>Pendiente</t>
        </is>
      </c>
      <c r="H27" s="8" t="inlineStr">
        <is>
          <t>5.6</t>
        </is>
      </c>
      <c r="I27" s="21">
        <f>IFERROR(INDEX(Plan!$B$5:$B$88,MATCH(H27,Plan!$A$5:$A$88,0)),"—")</f>
        <v/>
      </c>
      <c r="J27" s="7" t="inlineStr">
        <is>
          <t>Pedido por ga-funcionalidad-botones el 23-sep.</t>
        </is>
      </c>
    </row>
    <row r="28">
      <c r="A28" s="19" t="inlineStr">
        <is>
          <t>P-57</t>
        </is>
      </c>
      <c r="B28" s="4" t="inlineStr">
        <is>
          <t>Funcionalidad</t>
        </is>
      </c>
      <c r="C28" s="4" t="inlineStr">
        <is>
          <t>/asesor</t>
        </is>
      </c>
      <c r="D28" s="7" t="inlineStr">
        <is>
          <t>Agregar /asesor al matcher de proxy.ts y redirigir por rol tras el login</t>
        </is>
      </c>
      <c r="E28" s="7" t="inlineStr">
        <is>
          <t>ga-funcionalidad-botones</t>
        </is>
      </c>
      <c r="F28" s="8" t="inlineStr">
        <is>
          <t>Media</t>
        </is>
      </c>
      <c r="G28" s="8" t="inlineStr">
        <is>
          <t>Pendiente</t>
        </is>
      </c>
      <c r="H28" s="8" t="inlineStr">
        <is>
          <t>4.6</t>
        </is>
      </c>
      <c r="I28" s="21">
        <f>IFERROR(INDEX(Plan!$B$5:$B$88,MATCH(H28,Plan!$A$5:$A$88,0)),"—")</f>
        <v/>
      </c>
      <c r="J28" s="7" t="inlineStr">
        <is>
          <t>Hoy un asesor que ingresa cae en /cuenta, no en /asesor; la página /asesor igual se protege por su cuenta si se navega directo.</t>
        </is>
      </c>
    </row>
    <row r="29">
      <c r="A29" s="19" t="inlineStr">
        <is>
          <t>P-68</t>
        </is>
      </c>
      <c r="B29" s="4" t="inlineStr">
        <is>
          <t>Funcionalidad</t>
        </is>
      </c>
      <c r="C29" s="4" t="inlineStr">
        <is>
          <t>Convenios</t>
        </is>
      </c>
      <c r="D29" s="7" t="inlineStr">
        <is>
          <t>Convenios administrables desde /admin (crear, editar, ocultar, ordenar, logo en Storage); landing y /cuenta leen de la tabla convenios</t>
        </is>
      </c>
      <c r="E29" s="7" t="inlineStr">
        <is>
          <t>Carlos Pardo</t>
        </is>
      </c>
      <c r="F29" s="8" t="inlineStr">
        <is>
          <t>Media</t>
        </is>
      </c>
      <c r="G29" s="8" t="inlineStr">
        <is>
          <t>Pendiente</t>
        </is>
      </c>
      <c r="H29" s="8" t="inlineStr">
        <is>
          <t>5.9</t>
        </is>
      </c>
      <c r="I29" s="21">
        <f>IFERROR(INDEX(Plan!$B$5:$B$88,MATCH(H29,Plan!$A$5:$A$88,0)),"—")</f>
        <v/>
      </c>
      <c r="J29" s="7" t="inlineStr">
        <is>
          <t>Encargo externo (500.000 COP) por PR a develop. Ver P-73. 30-sep: Carlos salió; pasa a ga-funcionalidad-botones.</t>
        </is>
      </c>
    </row>
    <row r="30">
      <c r="A30" s="19" t="inlineStr">
        <is>
          <t>P-108</t>
        </is>
      </c>
      <c r="B30" s="4" t="inlineStr">
        <is>
          <t>Funcionalidad</t>
        </is>
      </c>
      <c r="C30" s="4" t="inlineStr">
        <is>
          <t>Asesor</t>
        </is>
      </c>
      <c r="D30" s="7" t="inlineStr">
        <is>
          <t>Backlog: premio al primer asesor</t>
        </is>
      </c>
      <c r="E30" s="7" t="inlineStr">
        <is>
          <t>ga-funcionalidad-botones</t>
        </is>
      </c>
      <c r="F30" s="8" t="inlineStr">
        <is>
          <t>Baja</t>
        </is>
      </c>
      <c r="G30" s="8" t="inlineStr">
        <is>
          <t>Pendiente</t>
        </is>
      </c>
      <c r="H30" s="8" t="inlineStr">
        <is>
          <t>5.11</t>
        </is>
      </c>
      <c r="I30" s="21">
        <f>IFERROR(INDEX(Plan!$B$5:$B$88,MATCH(H30,Plan!$A$5:$A$88,0)),"—")</f>
        <v/>
      </c>
      <c r="J30" s="7" t="inlineStr">
        <is>
          <t>Spec §12.12</t>
        </is>
      </c>
    </row>
    <row r="31">
      <c r="A31" s="19" t="inlineStr">
        <is>
          <t>P-109</t>
        </is>
      </c>
      <c r="B31" s="4" t="inlineStr">
        <is>
          <t>Funcionalidad</t>
        </is>
      </c>
      <c r="C31" s="4" t="inlineStr">
        <is>
          <t>/cuenta</t>
        </is>
      </c>
      <c r="D31" s="7" t="inlineStr">
        <is>
          <t>Backlog: carné virtual del asociado</t>
        </is>
      </c>
      <c r="E31" s="7" t="inlineStr">
        <is>
          <t>ga-diseno-a-codigo</t>
        </is>
      </c>
      <c r="F31" s="8" t="inlineStr">
        <is>
          <t>Baja</t>
        </is>
      </c>
      <c r="G31" s="8" t="inlineStr">
        <is>
          <t>Pendiente</t>
        </is>
      </c>
      <c r="H31" s="8" t="inlineStr">
        <is>
          <t>5.12</t>
        </is>
      </c>
      <c r="I31" s="21">
        <f>IFERROR(INDEX(Plan!$B$5:$B$88,MATCH(H31,Plan!$A$5:$A$88,0)),"—")</f>
        <v/>
      </c>
      <c r="J31" s="7" t="inlineStr">
        <is>
          <t>Spec §12.12</t>
        </is>
      </c>
    </row>
    <row r="32">
      <c r="A32" s="19" t="inlineStr">
        <is>
          <t>P-22</t>
        </is>
      </c>
      <c r="B32" s="4" t="inlineStr">
        <is>
          <t>Funcionalidad</t>
        </is>
      </c>
      <c r="C32" s="4" t="inlineStr">
        <is>
          <t>/ingresar</t>
        </is>
      </c>
      <c r="D32" s="7" t="inlineStr">
        <is>
          <t>Server Action: correo_por_cedula(), signInWithOtp, cookie firmada, ir a /ingresar/codigo</t>
        </is>
      </c>
      <c r="E32" s="7" t="inlineStr">
        <is>
          <t>ga-funcionalidad-botones</t>
        </is>
      </c>
      <c r="F32" s="8" t="inlineStr">
        <is>
          <t>Alta</t>
        </is>
      </c>
      <c r="G32" s="8" t="inlineStr">
        <is>
          <t>Hecho</t>
        </is>
      </c>
      <c r="H32" s="8" t="inlineStr">
        <is>
          <t>2.5</t>
        </is>
      </c>
      <c r="I32" s="21">
        <f>IFERROR(INDEX(Plan!$B$5:$B$88,MATCH(H32,Plan!$A$5:$A$88,0)),"—")</f>
        <v/>
      </c>
      <c r="J32" s="7" t="inlineStr"/>
    </row>
    <row r="33">
      <c r="A33" s="19" t="inlineStr">
        <is>
          <t>P-24</t>
        </is>
      </c>
      <c r="B33" s="4" t="inlineStr">
        <is>
          <t>Funcionalidad</t>
        </is>
      </c>
      <c r="C33" s="4" t="inlineStr">
        <is>
          <t>/ingresar/codigo</t>
        </is>
      </c>
      <c r="D33" s="7" t="inlineStr">
        <is>
          <t>Leer la cookie del paso 1; sin cookie, volver a /ingresar</t>
        </is>
      </c>
      <c r="E33" s="7" t="inlineStr">
        <is>
          <t>ga-funcionalidad-botones</t>
        </is>
      </c>
      <c r="F33" s="8" t="inlineStr">
        <is>
          <t>Alta</t>
        </is>
      </c>
      <c r="G33" s="8" t="inlineStr">
        <is>
          <t>Hecho</t>
        </is>
      </c>
      <c r="H33" s="8" t="inlineStr">
        <is>
          <t>2.6</t>
        </is>
      </c>
      <c r="I33" s="21">
        <f>IFERROR(INDEX(Plan!$B$5:$B$88,MATCH(H33,Plan!$A$5:$A$88,0)),"—")</f>
        <v/>
      </c>
      <c r="J33" s="7" t="inlineStr"/>
    </row>
    <row r="34">
      <c r="A34" s="19" t="inlineStr">
        <is>
          <t>P-25</t>
        </is>
      </c>
      <c r="B34" s="4" t="inlineStr">
        <is>
          <t>Funcionalidad</t>
        </is>
      </c>
      <c r="C34" s="4" t="inlineStr">
        <is>
          <t>/ingresar/codigo</t>
        </is>
      </c>
      <c r="D34" s="7" t="inlineStr">
        <is>
          <t>verifyOtp y entrar a /cuenta</t>
        </is>
      </c>
      <c r="E34" s="7" t="inlineStr">
        <is>
          <t>ga-funcionalidad-botones</t>
        </is>
      </c>
      <c r="F34" s="8" t="inlineStr">
        <is>
          <t>Alta</t>
        </is>
      </c>
      <c r="G34" s="8" t="inlineStr">
        <is>
          <t>Hecho</t>
        </is>
      </c>
      <c r="H34" s="8" t="inlineStr">
        <is>
          <t>2.6</t>
        </is>
      </c>
      <c r="I34" s="21">
        <f>IFERROR(INDEX(Plan!$B$5:$B$88,MATCH(H34,Plan!$A$5:$A$88,0)),"—")</f>
        <v/>
      </c>
      <c r="J34" s="7" t="inlineStr"/>
    </row>
    <row r="35">
      <c r="A35" s="19" t="inlineStr">
        <is>
          <t>P-28</t>
        </is>
      </c>
      <c r="B35" s="4" t="inlineStr">
        <is>
          <t>Funcionalidad</t>
        </is>
      </c>
      <c r="C35" s="4" t="inlineStr">
        <is>
          <t>/afiliacion</t>
        </is>
      </c>
      <c r="D35" s="7" t="inlineStr">
        <is>
          <t>Server Action: zod, límites por IP y cédula, guardar</t>
        </is>
      </c>
      <c r="E35" s="7" t="inlineStr">
        <is>
          <t>ga-funcionalidad-botones</t>
        </is>
      </c>
      <c r="F35" s="8" t="inlineStr">
        <is>
          <t>Alta</t>
        </is>
      </c>
      <c r="G35" s="8" t="inlineStr">
        <is>
          <t>Hecho</t>
        </is>
      </c>
      <c r="H35" s="8" t="inlineStr">
        <is>
          <t>2.9</t>
        </is>
      </c>
      <c r="I35" s="21">
        <f>IFERROR(INDEX(Plan!$B$5:$B$88,MATCH(H35,Plan!$A$5:$A$88,0)),"—")</f>
        <v/>
      </c>
      <c r="J35" s="7" t="inlineStr">
        <is>
          <t>23-sep: se quitaron los correos al equipo y al solicitante (decisión de Sebas). El equipo revisa las afiliaciones en Supabase hasta que exista el panel /admin; el correo «Ingreso aceptado» sale al aprobar (P-51).</t>
        </is>
      </c>
    </row>
    <row r="36">
      <c r="A36" s="19" t="inlineStr">
        <is>
          <t>P-31</t>
        </is>
      </c>
      <c r="B36" s="4" t="inlineStr">
        <is>
          <t>Funcionalidad</t>
        </is>
      </c>
      <c r="C36" s="4" t="inlineStr">
        <is>
          <t>/cuenta</t>
        </is>
      </c>
      <c r="D36" s="7" t="inlineStr">
        <is>
          <t>Proteger con proxy.ts y «Salir» con signOut</t>
        </is>
      </c>
      <c r="E36" s="7" t="inlineStr">
        <is>
          <t>ga-funcionalidad-botones</t>
        </is>
      </c>
      <c r="F36" s="8" t="inlineStr">
        <is>
          <t>Alta</t>
        </is>
      </c>
      <c r="G36" s="8" t="inlineStr">
        <is>
          <t>Hecho</t>
        </is>
      </c>
      <c r="H36" s="8" t="inlineStr">
        <is>
          <t>2.7</t>
        </is>
      </c>
      <c r="I36" s="21">
        <f>IFERROR(INDEX(Plan!$B$5:$B$88,MATCH(H36,Plan!$A$5:$A$88,0)),"—")</f>
        <v/>
      </c>
      <c r="J36" s="7" t="inlineStr"/>
    </row>
    <row r="37">
      <c r="A37" s="19" t="inlineStr">
        <is>
          <t>P-32</t>
        </is>
      </c>
      <c r="B37" s="4" t="inlineStr">
        <is>
          <t>Funcionalidad</t>
        </is>
      </c>
      <c r="C37" s="4" t="inlineStr">
        <is>
          <t>/cuenta</t>
        </is>
      </c>
      <c r="D37" s="7" t="inlineStr">
        <is>
          <t>Cargar perfil, última solicitud (con tasa), tope y convenios</t>
        </is>
      </c>
      <c r="E37" s="7" t="inlineStr">
        <is>
          <t>ga-funcionalidad-botones</t>
        </is>
      </c>
      <c r="F37" s="8" t="inlineStr">
        <is>
          <t>Alta</t>
        </is>
      </c>
      <c r="G37" s="8" t="inlineStr">
        <is>
          <t>Hecho</t>
        </is>
      </c>
      <c r="H37" s="8" t="inlineStr">
        <is>
          <t>3.5</t>
        </is>
      </c>
      <c r="I37" s="21">
        <f>IFERROR(INDEX(Plan!$B$5:$B$88,MATCH(H37,Plan!$A$5:$A$88,0)),"—")</f>
        <v/>
      </c>
      <c r="J37" s="7" t="inlineStr"/>
    </row>
    <row r="38">
      <c r="A38" s="19" t="inlineStr">
        <is>
          <t>P-35</t>
        </is>
      </c>
      <c r="B38" s="4" t="inlineStr">
        <is>
          <t>Funcionalidad</t>
        </is>
      </c>
      <c r="C38" s="4" t="inlineStr">
        <is>
          <t>Crédito</t>
        </is>
      </c>
      <c r="D38" s="7" t="inlineStr">
        <is>
          <t>Conectar el formulario de crédito a /cuenta</t>
        </is>
      </c>
      <c r="E38" s="7" t="inlineStr">
        <is>
          <t>ga-funcionalidad-botones</t>
        </is>
      </c>
      <c r="F38" s="8" t="inlineStr">
        <is>
          <t>Alta</t>
        </is>
      </c>
      <c r="G38" s="8" t="inlineStr">
        <is>
          <t>Hecho</t>
        </is>
      </c>
      <c r="H38" s="8" t="inlineStr">
        <is>
          <t>3.7</t>
        </is>
      </c>
      <c r="I38" s="21">
        <f>IFERROR(INDEX(Plan!$B$5:$B$88,MATCH(H38,Plan!$A$5:$A$88,0)),"—")</f>
        <v/>
      </c>
      <c r="J38" s="7" t="inlineStr">
        <is>
          <t>23-sep: el formulario vive en /cuenta/solicitar (protegida por proxy.ts, encabezado compartido EncabezadoCuenta); «Nueva solicitud» lleva ahí.</t>
        </is>
      </c>
    </row>
    <row r="39">
      <c r="A39" s="19" t="inlineStr">
        <is>
          <t>P-36</t>
        </is>
      </c>
      <c r="B39" s="4" t="inlineStr">
        <is>
          <t>Funcionalidad</t>
        </is>
      </c>
      <c r="C39" s="4" t="inlineStr">
        <is>
          <t>Admin</t>
        </is>
      </c>
      <c r="D39" s="7" t="inlineStr">
        <is>
          <t>Panel /admin: listado, aprobar y rechazar con motivo</t>
        </is>
      </c>
      <c r="E39" s="7" t="inlineStr">
        <is>
          <t>ga-funcionalidad-botones</t>
        </is>
      </c>
      <c r="F39" s="8" t="inlineStr">
        <is>
          <t>Alta</t>
        </is>
      </c>
      <c r="G39" s="8" t="inlineStr">
        <is>
          <t>Hecho</t>
        </is>
      </c>
      <c r="H39" s="8" t="inlineStr">
        <is>
          <t>4.1</t>
        </is>
      </c>
      <c r="I39" s="21">
        <f>IFERROR(INDEX(Plan!$B$5:$B$88,MATCH(H39,Plan!$A$5:$A$88,0)),"—")</f>
        <v/>
      </c>
      <c r="J39" s="7" t="inlineStr">
        <is>
          <t>24-sep: implementado y probado en local (commits 235ffbe, a13c2de). Un admin no puede resolver su propia solicitud.</t>
        </is>
      </c>
    </row>
    <row r="40">
      <c r="A40" s="19" t="inlineStr">
        <is>
          <t>P-38</t>
        </is>
      </c>
      <c r="B40" s="4" t="inlineStr">
        <is>
          <t>Funcionalidad</t>
        </is>
      </c>
      <c r="C40" s="4" t="inlineStr">
        <is>
          <t>Asociados</t>
        </is>
      </c>
      <c r="D40" s="7" t="inlineStr">
        <is>
          <t>Importación de asociados desde Excel</t>
        </is>
      </c>
      <c r="E40" s="7" t="inlineStr">
        <is>
          <t>ga-funcionalidad-botones</t>
        </is>
      </c>
      <c r="F40" s="8" t="inlineStr">
        <is>
          <t>Alta</t>
        </is>
      </c>
      <c r="G40" s="8" t="inlineStr">
        <is>
          <t>Hecho</t>
        </is>
      </c>
      <c r="H40" s="8" t="inlineStr">
        <is>
          <t>4.4</t>
        </is>
      </c>
      <c r="I40" s="21">
        <f>IFERROR(INDEX(Plan!$B$5:$B$88,MATCH(H40,Plan!$A$5:$A$88,0)),"—")</f>
        <v/>
      </c>
      <c r="J40" s="7" t="inlineStr">
        <is>
          <t>Ya no aplica: decisión de la cooperativa 2026-09-24, no habrá importación de Excel.</t>
        </is>
      </c>
    </row>
    <row r="41">
      <c r="A41" s="19" t="inlineStr">
        <is>
          <t>P-69</t>
        </is>
      </c>
      <c r="B41" s="4" t="inlineStr">
        <is>
          <t>Funcionalidad</t>
        </is>
      </c>
      <c r="C41" s="4" t="inlineStr">
        <is>
          <t>Legal</t>
        </is>
      </c>
      <c r="D41" s="7" t="inlineStr">
        <is>
          <t>Ley 1581: borrado automático de fotos de afiliaciones rechazadas tras X días y motivo de rechazo en /admin</t>
        </is>
      </c>
      <c r="E41" s="7" t="inlineStr">
        <is>
          <t>Carlos Pardo</t>
        </is>
      </c>
      <c r="F41" s="8" t="inlineStr">
        <is>
          <t>Alta</t>
        </is>
      </c>
      <c r="G41" s="8" t="inlineStr">
        <is>
          <t>Hecho</t>
        </is>
      </c>
      <c r="H41" s="8" t="inlineStr">
        <is>
          <t>5.10</t>
        </is>
      </c>
      <c r="I41" s="21">
        <f>IFERROR(INDEX(Plan!$B$5:$B$88,MATCH(H41,Plan!$A$5:$A$88,0)),"—")</f>
        <v/>
      </c>
      <c r="J41"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2">
      <c r="A42" s="19" t="inlineStr">
        <is>
          <t>P-85</t>
        </is>
      </c>
      <c r="B42" s="4" t="inlineStr">
        <is>
          <t>Funcionalidad</t>
        </is>
      </c>
      <c r="C42" s="4" t="inlineStr">
        <is>
          <t>/afiliacion</t>
        </is>
      </c>
      <c r="D42" s="7" t="inlineStr">
        <is>
          <t>Correo de afiliación acepta cualquier dominio (ya no exige @policia.gov.co / @ejercito.mil.co)</t>
        </is>
      </c>
      <c r="E42" s="7" t="inlineStr">
        <is>
          <t>sesión principal</t>
        </is>
      </c>
      <c r="F42" s="8" t="inlineStr">
        <is>
          <t>Alta</t>
        </is>
      </c>
      <c r="G42" s="8" t="inlineStr">
        <is>
          <t>Hecho</t>
        </is>
      </c>
      <c r="H42" s="8" t="inlineStr">
        <is>
          <t>2.12</t>
        </is>
      </c>
      <c r="I42" s="21">
        <f>IFERROR(INDEX(Plan!$B$5:$B$88,MATCH(H42,Plan!$A$5:$A$88,0)),"—")</f>
        <v/>
      </c>
      <c r="J42"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3">
      <c r="A43" s="19" t="inlineStr">
        <is>
          <t>P-112</t>
        </is>
      </c>
      <c r="B43" s="4" t="inlineStr">
        <is>
          <t>Funcionalidad</t>
        </is>
      </c>
      <c r="C43" s="4" t="inlineStr">
        <is>
          <t>Pruebas</t>
        </is>
      </c>
      <c r="D43" s="7" t="inlineStr">
        <is>
          <t>Agregar admin_metricas_dashboard y asesor_metricas_dashboard a las listas blancas de security definer (pgTAP 00 #14 y 15 #24)</t>
        </is>
      </c>
      <c r="E43" s="7" t="inlineStr">
        <is>
          <t>ga-escritor-tests</t>
        </is>
      </c>
      <c r="F43" s="8" t="inlineStr">
        <is>
          <t>Media</t>
        </is>
      </c>
      <c r="G43" s="8" t="inlineStr">
        <is>
          <t>Hecho</t>
        </is>
      </c>
      <c r="H43" s="8" t="inlineStr">
        <is>
          <t>6.21</t>
        </is>
      </c>
      <c r="I43" s="21">
        <f>IFERROR(INDEX(Plan!$B$5:$B$88,MATCH(H43,Plan!$A$5:$A$88,0)),"—")</f>
        <v/>
      </c>
      <c r="J43" s="7" t="inlineStr">
        <is>
          <t>30-sep: reportado por ga-auditor-supabase. 01-oct: listas blancas de 00 y 15 actualizadas por ga-auditor-supabase (falta correrlas: Docker).</t>
        </is>
      </c>
    </row>
    <row r="44">
      <c r="A44" s="19" t="inlineStr">
        <is>
          <t>P-23</t>
        </is>
      </c>
      <c r="B44" s="4" t="inlineStr">
        <is>
          <t>Funcionalidad</t>
        </is>
      </c>
      <c r="C44" s="4" t="inlineStr">
        <is>
          <t>/ingresar</t>
        </is>
      </c>
      <c r="D44" s="7" t="inlineStr">
        <is>
          <t>Estado «Enviando…» (prop cargando) y errores (prop error)</t>
        </is>
      </c>
      <c r="E44" s="7" t="inlineStr">
        <is>
          <t>ga-funcionalidad-botones</t>
        </is>
      </c>
      <c r="F44" s="8" t="inlineStr">
        <is>
          <t>Media</t>
        </is>
      </c>
      <c r="G44" s="8" t="inlineStr">
        <is>
          <t>Hecho</t>
        </is>
      </c>
      <c r="H44" s="8" t="inlineStr">
        <is>
          <t>2.5</t>
        </is>
      </c>
      <c r="I44" s="21">
        <f>IFERROR(INDEX(Plan!$B$5:$B$88,MATCH(H44,Plan!$A$5:$A$88,0)),"—")</f>
        <v/>
      </c>
      <c r="J44" s="7" t="inlineStr"/>
    </row>
    <row r="45">
      <c r="A45" s="19" t="inlineStr">
        <is>
          <t>P-26</t>
        </is>
      </c>
      <c r="B45" s="4" t="inlineStr">
        <is>
          <t>Funcionalidad</t>
        </is>
      </c>
      <c r="C45" s="4" t="inlineStr">
        <is>
          <t>/ingresar/codigo</t>
        </is>
      </c>
      <c r="D45" s="7" t="inlineStr">
        <is>
          <t>Casillas OTP: avance automático, Backspace, pegar; «Entrar» con 6 dígitos</t>
        </is>
      </c>
      <c r="E45" s="7" t="inlineStr">
        <is>
          <t>ga-funcionalidad-botones</t>
        </is>
      </c>
      <c r="F45" s="8" t="inlineStr">
        <is>
          <t>Media</t>
        </is>
      </c>
      <c r="G45" s="8" t="inlineStr">
        <is>
          <t>Hecho</t>
        </is>
      </c>
      <c r="H45" s="8" t="inlineStr">
        <is>
          <t>2.6</t>
        </is>
      </c>
      <c r="I45" s="21">
        <f>IFERROR(INDEX(Plan!$B$5:$B$88,MATCH(H45,Plan!$A$5:$A$88,0)),"—")</f>
        <v/>
      </c>
      <c r="J45" s="7" t="inlineStr"/>
    </row>
    <row r="46">
      <c r="A46" s="19" t="inlineStr">
        <is>
          <t>P-27</t>
        </is>
      </c>
      <c r="B46" s="4" t="inlineStr">
        <is>
          <t>Funcionalidad</t>
        </is>
      </c>
      <c r="C46" s="4" t="inlineStr">
        <is>
          <t>/ingresar/codigo</t>
        </is>
      </c>
      <c r="D46" s="7" t="inlineStr">
        <is>
          <t>«Reenviar código» con contador de 45 s; «Cambiar cédula» limpia la cookie</t>
        </is>
      </c>
      <c r="E46" s="7" t="inlineStr">
        <is>
          <t>ga-funcionalidad-botones</t>
        </is>
      </c>
      <c r="F46" s="8" t="inlineStr">
        <is>
          <t>Media</t>
        </is>
      </c>
      <c r="G46" s="8" t="inlineStr">
        <is>
          <t>Hecho</t>
        </is>
      </c>
      <c r="H46" s="8" t="inlineStr">
        <is>
          <t>2.6</t>
        </is>
      </c>
      <c r="I46" s="21">
        <f>IFERROR(INDEX(Plan!$B$5:$B$88,MATCH(H46,Plan!$A$5:$A$88,0)),"—")</f>
        <v/>
      </c>
      <c r="J46" s="7" t="inlineStr"/>
    </row>
    <row r="47">
      <c r="A47" s="19" t="inlineStr">
        <is>
          <t>P-29</t>
        </is>
      </c>
      <c r="B47" s="4" t="inlineStr">
        <is>
          <t>Funcionalidad</t>
        </is>
      </c>
      <c r="C47" s="4" t="inlineStr">
        <is>
          <t>/afiliacion</t>
        </is>
      </c>
      <c r="D47" s="7" t="inlineStr">
        <is>
          <t>Grados desde grados_credito, honeypot, errores y estado de carga</t>
        </is>
      </c>
      <c r="E47" s="7" t="inlineStr">
        <is>
          <t>ga-funcionalidad-botones</t>
        </is>
      </c>
      <c r="F47" s="8" t="inlineStr">
        <is>
          <t>Media</t>
        </is>
      </c>
      <c r="G47" s="8" t="inlineStr">
        <is>
          <t>Hecho</t>
        </is>
      </c>
      <c r="H47" s="8" t="inlineStr">
        <is>
          <t>2.9</t>
        </is>
      </c>
      <c r="I47" s="21">
        <f>IFERROR(INDEX(Plan!$B$5:$B$88,MATCH(H47,Plan!$A$5:$A$88,0)),"—")</f>
        <v/>
      </c>
      <c r="J47" s="7" t="inlineStr"/>
    </row>
    <row r="48">
      <c r="A48" s="19" t="inlineStr">
        <is>
          <t>P-33</t>
        </is>
      </c>
      <c r="B48" s="4" t="inlineStr">
        <is>
          <t>Funcionalidad</t>
        </is>
      </c>
      <c r="C48" s="4" t="inlineStr">
        <is>
          <t>/cuenta</t>
        </is>
      </c>
      <c r="D48" s="7" t="inlineStr">
        <is>
          <t>«Mis datos»: actualizar solo perfiles.telefono</t>
        </is>
      </c>
      <c r="E48" s="7" t="inlineStr">
        <is>
          <t>ga-funcionalidad-botones</t>
        </is>
      </c>
      <c r="F48" s="8" t="inlineStr">
        <is>
          <t>Media</t>
        </is>
      </c>
      <c r="G48" s="8" t="inlineStr">
        <is>
          <t>Hecho</t>
        </is>
      </c>
      <c r="H48" s="8" t="inlineStr">
        <is>
          <t>3.6</t>
        </is>
      </c>
      <c r="I48" s="21">
        <f>IFERROR(INDEX(Plan!$B$5:$B$88,MATCH(H48,Plan!$A$5:$A$88,0)),"—")</f>
        <v/>
      </c>
      <c r="J48" s="7" t="inlineStr">
        <is>
          <t>Con error, alinear «Guardar» con el campo desde 640 px.</t>
        </is>
      </c>
    </row>
    <row r="49">
      <c r="A49" s="19" t="inlineStr">
        <is>
          <t>P-74</t>
        </is>
      </c>
      <c r="B49" s="4" t="inlineStr">
        <is>
          <t>Funcionalidad</t>
        </is>
      </c>
      <c r="C49" s="4" t="inlineStr">
        <is>
          <t>/afiliacion</t>
        </is>
      </c>
      <c r="D49" s="7" t="inlineStr">
        <is>
          <t>Bug: esquemaAfiliacion no valida el cruce institución↔correo institucional si falla cualquier otro campo del formulario</t>
        </is>
      </c>
      <c r="E49" s="7" t="inlineStr">
        <is>
          <t>ga-funcionalidad-botones</t>
        </is>
      </c>
      <c r="F49" s="8" t="inlineStr">
        <is>
          <t>Media</t>
        </is>
      </c>
      <c r="G49" s="8" t="inlineStr">
        <is>
          <t>Hecho</t>
        </is>
      </c>
      <c r="H49" s="8" t="inlineStr">
        <is>
          <t>2.13</t>
        </is>
      </c>
      <c r="I49" s="21">
        <f>IFERROR(INDEX(Plan!$B$5:$B$88,MATCH(H49,Plan!$A$5:$A$88,0)),"—")</f>
        <v/>
      </c>
      <c r="J49"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50">
      <c r="A50" s="19" t="inlineStr">
        <is>
          <t>P-89</t>
        </is>
      </c>
      <c r="B50" s="4" t="inlineStr">
        <is>
          <t>Funcionalidad</t>
        </is>
      </c>
      <c r="C50" s="4" t="inlineStr">
        <is>
          <t>Admin</t>
        </is>
      </c>
      <c r="D50" s="7" t="inlineStr">
        <is>
          <t>Cuenta de demostración para administradores en /admin/demo (pestaña «Demostración»)</t>
        </is>
      </c>
      <c r="E50" s="7" t="inlineStr">
        <is>
          <t>sesión principal</t>
        </is>
      </c>
      <c r="F50" s="8" t="inlineStr">
        <is>
          <t>Media</t>
        </is>
      </c>
      <c r="G50" s="8" t="inlineStr">
        <is>
          <t>Hecho</t>
        </is>
      </c>
      <c r="H50" s="8" t="inlineStr">
        <is>
          <t>4.9</t>
        </is>
      </c>
      <c r="I50" s="21">
        <f>IFERROR(INDEX(Plan!$B$5:$B$88,MATCH(H50,Plan!$A$5:$A$88,0)),"—")</f>
        <v/>
      </c>
      <c r="J50"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51">
      <c r="A51" s="19" t="inlineStr">
        <is>
          <t>P-30</t>
        </is>
      </c>
      <c r="B51" s="4" t="inlineStr">
        <is>
          <t>Funcionalidad</t>
        </is>
      </c>
      <c r="C51" s="4" t="inlineStr">
        <is>
          <t>/afiliacion/enviada</t>
        </is>
      </c>
      <c r="D51" s="7" t="inlineStr">
        <is>
          <t>Mostrar el correo real; si se entra directo, redirigir</t>
        </is>
      </c>
      <c r="E51" s="7" t="inlineStr">
        <is>
          <t>ga-funcionalidad-botones</t>
        </is>
      </c>
      <c r="F51" s="8" t="inlineStr">
        <is>
          <t>Baja</t>
        </is>
      </c>
      <c r="G51" s="8" t="inlineStr">
        <is>
          <t>Hecho</t>
        </is>
      </c>
      <c r="H51" s="8" t="inlineStr">
        <is>
          <t>2.10</t>
        </is>
      </c>
      <c r="I51" s="21">
        <f>IFERROR(INDEX(Plan!$B$5:$B$88,MATCH(H51,Plan!$A$5:$A$88,0)),"—")</f>
        <v/>
      </c>
      <c r="J51" s="7" t="inlineStr"/>
    </row>
    <row r="52">
      <c r="A52" s="19" t="inlineStr">
        <is>
          <t>P-34</t>
        </is>
      </c>
      <c r="B52" s="4" t="inlineStr">
        <is>
          <t>Funcionalidad</t>
        </is>
      </c>
      <c r="C52" s="4" t="inlineStr">
        <is>
          <t>Landing</t>
        </is>
      </c>
      <c r="D52" s="7" t="inlineStr">
        <is>
          <t>«Mi cuenta», «Ingresar», «Solicitar crédito», «Ver beneficios» → /cuenta con sesión</t>
        </is>
      </c>
      <c r="E52" s="7" t="inlineStr">
        <is>
          <t>ga-funcionalidad-botones</t>
        </is>
      </c>
      <c r="F52" s="8" t="inlineStr">
        <is>
          <t>Baja</t>
        </is>
      </c>
      <c r="G52" s="8" t="inlineStr">
        <is>
          <t>Hecho</t>
        </is>
      </c>
      <c r="H52" s="8" t="inlineStr">
        <is>
          <t>2.8</t>
        </is>
      </c>
      <c r="I52" s="21">
        <f>IFERROR(INDEX(Plan!$B$5:$B$88,MATCH(H52,Plan!$A$5:$A$88,0)),"—")</f>
        <v/>
      </c>
      <c r="J52" s="7" t="inlineStr">
        <is>
          <t>Convenios fijos en la landing por ahora.</t>
        </is>
      </c>
    </row>
    <row r="53">
      <c r="A53" s="19" t="inlineStr">
        <is>
          <t>P-16</t>
        </is>
      </c>
      <c r="B53" s="4" t="inlineStr">
        <is>
          <t>Dato de la cooperativa</t>
        </is>
      </c>
      <c r="C53" s="4" t="inlineStr">
        <is>
          <t>Landing</t>
        </is>
      </c>
      <c r="D53" s="7" t="inlineStr">
        <is>
          <t>Fotos reales, cifras y testimonios</t>
        </is>
      </c>
      <c r="E53" s="7" t="inlineStr">
        <is>
          <t>Cooperativa</t>
        </is>
      </c>
      <c r="F53" s="8" t="inlineStr">
        <is>
          <t>Baja</t>
        </is>
      </c>
      <c r="G53" s="8" t="inlineStr">
        <is>
          <t>Pendiente</t>
        </is>
      </c>
      <c r="H53" s="8" t="inlineStr">
        <is>
          <t>5.3</t>
        </is>
      </c>
      <c r="I53" s="21">
        <f>IFERROR(INDEX(Plan!$B$5:$B$88,MATCH(H53,Plan!$A$5:$A$88,0)),"—")</f>
        <v/>
      </c>
      <c r="J53" s="7" t="inlineStr">
        <is>
          <t>23-sep: los espacios de foto de la landing ya tienen diseño de marca (EspacioFoto). Para poner la foto real se cambia `null` por { src, alt }. Faltan las fotos de la cooperativa.</t>
        </is>
      </c>
    </row>
    <row r="54">
      <c r="A54" s="19" t="inlineStr">
        <is>
          <t>P-14</t>
        </is>
      </c>
      <c r="B54" s="4" t="inlineStr">
        <is>
          <t>Dato de la cooperativa</t>
        </is>
      </c>
      <c r="C54" s="4" t="inlineStr">
        <is>
          <t>Legal</t>
        </is>
      </c>
      <c r="D54" s="7" t="inlineStr">
        <is>
          <t>Texto de la política de datos</t>
        </is>
      </c>
      <c r="E54" s="7" t="inlineStr">
        <is>
          <t>Cooperativa</t>
        </is>
      </c>
      <c r="F54" s="8" t="inlineStr">
        <is>
          <t>Alta</t>
        </is>
      </c>
      <c r="G54" s="8" t="inlineStr">
        <is>
          <t>Hecho</t>
        </is>
      </c>
      <c r="H54" s="8" t="inlineStr">
        <is>
          <t>5.4</t>
        </is>
      </c>
      <c r="I54" s="21">
        <f>IFERROR(INDEX(Plan!$B$5:$B$88,MATCH(H54,Plan!$A$5:$A$88,0)),"—")</f>
        <v/>
      </c>
      <c r="J54"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55">
      <c r="A55" s="19" t="inlineStr">
        <is>
          <t>P-18</t>
        </is>
      </c>
      <c r="B55" s="4" t="inlineStr">
        <is>
          <t>Dato de la cooperativa</t>
        </is>
      </c>
      <c r="C55" s="4" t="inlineStr">
        <is>
          <t>Asociados</t>
        </is>
      </c>
      <c r="D55" s="7" t="inlineStr">
        <is>
          <t>Correos reales de los asociados (Excel de importación)</t>
        </is>
      </c>
      <c r="E55" s="7" t="inlineStr">
        <is>
          <t>Cooperativa</t>
        </is>
      </c>
      <c r="F55" s="8" t="inlineStr">
        <is>
          <t>Alta</t>
        </is>
      </c>
      <c r="G55" s="8" t="inlineStr">
        <is>
          <t>Hecho</t>
        </is>
      </c>
      <c r="H55" s="8" t="inlineStr">
        <is>
          <t>4.4</t>
        </is>
      </c>
      <c r="I55" s="21">
        <f>IFERROR(INDEX(Plan!$B$5:$B$88,MATCH(H55,Plan!$A$5:$A$88,0)),"—")</f>
        <v/>
      </c>
      <c r="J55" s="7" t="inlineStr">
        <is>
          <t>Ya no aplica: decisión de la cooperativa 2026-09-24, no habrá importación de Excel. El ingreso ahora se resuelve con la afiliación v2 (correo institucional propio) más aprobación en /admin.</t>
        </is>
      </c>
    </row>
    <row r="56">
      <c r="A56" s="19" t="inlineStr">
        <is>
          <t>P-75</t>
        </is>
      </c>
      <c r="B56" s="4" t="inlineStr">
        <is>
          <t>Dato de la cooperativa</t>
        </is>
      </c>
      <c r="C56" s="4" t="inlineStr">
        <is>
          <t>Legal</t>
        </is>
      </c>
      <c r="D56" s="7" t="inlineStr">
        <is>
          <t>NIT, dirección y ciudad de la cooperativa para la política de datos</t>
        </is>
      </c>
      <c r="E56" s="7" t="inlineStr">
        <is>
          <t>Cooperativa</t>
        </is>
      </c>
      <c r="F56" s="8" t="inlineStr">
        <is>
          <t>Alta</t>
        </is>
      </c>
      <c r="G56" s="8" t="inlineStr">
        <is>
          <t>Hecho</t>
        </is>
      </c>
      <c r="H56" s="8" t="inlineStr">
        <is>
          <t>5.4</t>
        </is>
      </c>
      <c r="I56" s="21">
        <f>IFERROR(INDEX(Plan!$B$5:$B$88,MATCH(H56,Plan!$A$5:$A$88,0)),"—")</f>
        <v/>
      </c>
      <c r="J56" s="7" t="inlineStr">
        <is>
          <t>24-sep: reportado por la sesión principal, necesario para publicar /politica-de-datos. 30-sep: NIT 902.103.335-7, Cr 78 No. 16 D 71, Bogotá (Cámara de Comercio).</t>
        </is>
      </c>
    </row>
    <row r="57">
      <c r="A57" s="19" t="inlineStr">
        <is>
          <t>P-76</t>
        </is>
      </c>
      <c r="B57" s="4" t="inlineStr">
        <is>
          <t>Dato de la cooperativa</t>
        </is>
      </c>
      <c r="C57" s="4" t="inlineStr">
        <is>
          <t>Legal</t>
        </is>
      </c>
      <c r="D57" s="7" t="inlineStr">
        <is>
          <t>Fecha de vigencia de la política de datos</t>
        </is>
      </c>
      <c r="E57" s="7" t="inlineStr">
        <is>
          <t>Cooperativa</t>
        </is>
      </c>
      <c r="F57" s="8" t="inlineStr">
        <is>
          <t>Alta</t>
        </is>
      </c>
      <c r="G57" s="8" t="inlineStr">
        <is>
          <t>Hecho</t>
        </is>
      </c>
      <c r="H57" s="8" t="inlineStr">
        <is>
          <t>5.4</t>
        </is>
      </c>
      <c r="I57" s="21">
        <f>IFERROR(INDEX(Plan!$B$5:$B$88,MATCH(H57,Plan!$A$5:$A$88,0)),"—")</f>
        <v/>
      </c>
      <c r="J57" s="7" t="inlineStr">
        <is>
          <t>24-sep: reportado por la sesión principal.</t>
        </is>
      </c>
    </row>
    <row r="58">
      <c r="A58" s="19" t="inlineStr">
        <is>
          <t>P-77</t>
        </is>
      </c>
      <c r="B58" s="4" t="inlineStr">
        <is>
          <t>Dato de la cooperativa</t>
        </is>
      </c>
      <c r="C58" s="4" t="inlineStr">
        <is>
          <t>Legal</t>
        </is>
      </c>
      <c r="D58" s="7" t="inlineStr">
        <is>
          <t>País o región de los servidores (Supabase, Vercel, Resend)</t>
        </is>
      </c>
      <c r="E58" s="7" t="inlineStr">
        <is>
          <t>Cooperativa</t>
        </is>
      </c>
      <c r="F58" s="8" t="inlineStr">
        <is>
          <t>Alta</t>
        </is>
      </c>
      <c r="G58" s="8" t="inlineStr">
        <is>
          <t>Hecho</t>
        </is>
      </c>
      <c r="H58" s="8" t="inlineStr">
        <is>
          <t>5.4</t>
        </is>
      </c>
      <c r="I58" s="21">
        <f>IFERROR(INDEX(Plan!$B$5:$B$88,MATCH(H58,Plan!$A$5:$A$88,0)),"—")</f>
        <v/>
      </c>
      <c r="J58" s="7" t="inlineStr">
        <is>
          <t>24-sep: reportado por la sesión principal, dato exigido por la Ley 1581 para informar transferencia internacional de datos.</t>
        </is>
      </c>
    </row>
    <row r="59">
      <c r="A59" s="19" t="inlineStr">
        <is>
          <t>P-78</t>
        </is>
      </c>
      <c r="B59" s="4" t="inlineStr">
        <is>
          <t>Dato de la cooperativa</t>
        </is>
      </c>
      <c r="C59" s="4" t="inlineStr">
        <is>
          <t>Legal</t>
        </is>
      </c>
      <c r="D59" s="7" t="inlineStr">
        <is>
          <t>Alternativa de verificación para quien no quiera subir la selfie</t>
        </is>
      </c>
      <c r="E59" s="7" t="inlineStr">
        <is>
          <t>Cooperativa</t>
        </is>
      </c>
      <c r="F59" s="8" t="inlineStr">
        <is>
          <t>Alta</t>
        </is>
      </c>
      <c r="G59" s="8" t="inlineStr">
        <is>
          <t>Hecho</t>
        </is>
      </c>
      <c r="H59" s="8" t="inlineStr">
        <is>
          <t>5.4</t>
        </is>
      </c>
      <c r="I59" s="21">
        <f>IFERROR(INDEX(Plan!$B$5:$B$88,MATCH(H59,Plan!$A$5:$A$88,0)),"—")</f>
        <v/>
      </c>
      <c r="J59" s="7" t="inlineStr">
        <is>
          <t>24-sep: reportado por la sesión principal.</t>
        </is>
      </c>
    </row>
    <row r="60">
      <c r="A60" s="19" t="inlineStr">
        <is>
          <t>P-79</t>
        </is>
      </c>
      <c r="B60" s="4" t="inlineStr">
        <is>
          <t>Dato de la cooperativa</t>
        </is>
      </c>
      <c r="C60" s="4" t="inlineStr">
        <is>
          <t>Legal</t>
        </is>
      </c>
      <c r="D60" s="7" t="inlineStr">
        <is>
          <t>Plazos de conservación de los datos (fotos de rechazados y de asociados, y demás datos)</t>
        </is>
      </c>
      <c r="E60" s="7" t="inlineStr">
        <is>
          <t>Cooperativa</t>
        </is>
      </c>
      <c r="F60" s="8" t="inlineStr">
        <is>
          <t>Alta</t>
        </is>
      </c>
      <c r="G60" s="8" t="inlineStr">
        <is>
          <t>Hecho</t>
        </is>
      </c>
      <c r="H60" s="8" t="inlineStr">
        <is>
          <t>5.4</t>
        </is>
      </c>
      <c r="I60" s="21">
        <f>IFERROR(INDEX(Plan!$B$5:$B$88,MATCH(H60,Plan!$A$5:$A$88,0)),"—")</f>
        <v/>
      </c>
      <c r="J60" s="7" t="inlineStr">
        <is>
          <t>24-sep: reportado por la sesión principal; el plazo de las fotos es el mismo que decida P-63 (borrado automático de fotos rechazadas, 5.10).</t>
        </is>
      </c>
    </row>
    <row r="61">
      <c r="A61" s="19" t="inlineStr">
        <is>
          <t>P-10</t>
        </is>
      </c>
      <c r="B61" s="4" t="inlineStr">
        <is>
          <t>Dato de la cooperativa</t>
        </is>
      </c>
      <c r="C61" s="4" t="inlineStr">
        <is>
          <t>Configuración</t>
        </is>
      </c>
      <c r="D61" s="7" t="inlineStr">
        <is>
          <t>Número de WhatsApp (NEXT_PUBLIC_WHATSAPP)</t>
        </is>
      </c>
      <c r="E61" s="7" t="inlineStr">
        <is>
          <t>Cooperativa</t>
        </is>
      </c>
      <c r="F61" s="8" t="inlineStr">
        <is>
          <t>Media</t>
        </is>
      </c>
      <c r="G61" s="8" t="inlineStr">
        <is>
          <t>Hecho</t>
        </is>
      </c>
      <c r="H61" s="8" t="inlineStr">
        <is>
          <t>5.3</t>
        </is>
      </c>
      <c r="I61" s="21">
        <f>IFERROR(INDEX(Plan!$B$5:$B$88,MATCH(H61,Plan!$A$5:$A$88,0)),"—")</f>
        <v/>
      </c>
      <c r="J61" s="7" t="inlineStr">
        <is>
          <t>24-sep: 311 724 1942.</t>
        </is>
      </c>
    </row>
    <row r="62">
      <c r="A62" s="19" t="inlineStr">
        <is>
          <t>P-11</t>
        </is>
      </c>
      <c r="B62" s="4" t="inlineStr">
        <is>
          <t>Dato de la cooperativa</t>
        </is>
      </c>
      <c r="C62" s="4" t="inlineStr">
        <is>
          <t>Configuración</t>
        </is>
      </c>
      <c r="D62" s="7" t="inlineStr">
        <is>
          <t>Días hábiles de respuesta (DIAS_RESPUESTA)</t>
        </is>
      </c>
      <c r="E62" s="7" t="inlineStr">
        <is>
          <t>Cooperativa</t>
        </is>
      </c>
      <c r="F62" s="8" t="inlineStr">
        <is>
          <t>Media</t>
        </is>
      </c>
      <c r="G62" s="8" t="inlineStr">
        <is>
          <t>Hecho</t>
        </is>
      </c>
      <c r="H62" s="8" t="inlineStr">
        <is>
          <t>5.3</t>
        </is>
      </c>
      <c r="I62" s="21">
        <f>IFERROR(INDEX(Plan!$B$5:$B$88,MATCH(H62,Plan!$A$5:$A$88,0)),"—")</f>
        <v/>
      </c>
      <c r="J62" s="7" t="inlineStr">
        <is>
          <t>24-sep: la cooperativa dio el tiempo de respuesta como «4 horas o menos» (ver P-17); se usa ese dato en vez de días hábiles.</t>
        </is>
      </c>
    </row>
    <row r="63">
      <c r="A63" s="19" t="inlineStr">
        <is>
          <t>P-12</t>
        </is>
      </c>
      <c r="B63" s="4" t="inlineStr">
        <is>
          <t>Dato de la cooperativa</t>
        </is>
      </c>
      <c r="C63" s="4" t="inlineStr">
        <is>
          <t>Configuración</t>
        </is>
      </c>
      <c r="D63" s="7" t="inlineStr">
        <is>
          <t>Correo de contacto (CORREO_CONTACTO)</t>
        </is>
      </c>
      <c r="E63" s="7" t="inlineStr">
        <is>
          <t>Cooperativa</t>
        </is>
      </c>
      <c r="F63" s="8" t="inlineStr">
        <is>
          <t>Media</t>
        </is>
      </c>
      <c r="G63" s="8" t="inlineStr">
        <is>
          <t>Hecho</t>
        </is>
      </c>
      <c r="H63" s="8" t="inlineStr">
        <is>
          <t>5.3</t>
        </is>
      </c>
      <c r="I63" s="21">
        <f>IFERROR(INDEX(Plan!$B$5:$B$88,MATCH(H63,Plan!$A$5:$A$88,0)),"—")</f>
        <v/>
      </c>
      <c r="J63" s="7" t="inlineStr">
        <is>
          <t>24-sep: soporte@greenallianceco.com.</t>
        </is>
      </c>
    </row>
    <row r="64">
      <c r="A64" s="19" t="inlineStr">
        <is>
          <t>P-13</t>
        </is>
      </c>
      <c r="B64" s="4" t="inlineStr">
        <is>
          <t>Dato de la cooperativa</t>
        </is>
      </c>
      <c r="C64" s="4" t="inlineStr">
        <is>
          <t>Configuración</t>
        </is>
      </c>
      <c r="D64" s="7" t="inlineStr">
        <is>
          <t>Texto de vigilancia de Supersolidaria (TEXTO_VIGILANCIA)</t>
        </is>
      </c>
      <c r="E64" s="7" t="inlineStr">
        <is>
          <t>Cooperativa</t>
        </is>
      </c>
      <c r="F64" s="8" t="inlineStr">
        <is>
          <t>Media</t>
        </is>
      </c>
      <c r="G64" s="8" t="inlineStr">
        <is>
          <t>Hecho</t>
        </is>
      </c>
      <c r="H64" s="8" t="inlineStr">
        <is>
          <t>5.3</t>
        </is>
      </c>
      <c r="I64" s="21">
        <f>IFERROR(INDEX(Plan!$B$5:$B$88,MATCH(H64,Plan!$A$5:$A$88,0)),"—")</f>
        <v/>
      </c>
      <c r="J64" s="7" t="inlineStr">
        <is>
          <t>25-sep: Sebas confirmó que la cooperativa está vigilada por la Supersolidaria; TEXTO_VIGILANCIA pasa a «Vigilada por Supersolidaria» en local (falta desplegar).</t>
        </is>
      </c>
    </row>
    <row r="65">
      <c r="A65" s="19" t="inlineStr">
        <is>
          <t>P-15</t>
        </is>
      </c>
      <c r="B65" s="4" t="inlineStr">
        <is>
          <t>Dato de la cooperativa</t>
        </is>
      </c>
      <c r="C65" s="4" t="inlineStr">
        <is>
          <t>/cuenta</t>
        </is>
      </c>
      <c r="D65" s="7" t="inlineStr">
        <is>
          <t>Destino de «Nueva solicitud» (nav y acceso rápido)</t>
        </is>
      </c>
      <c r="E65" s="7" t="inlineStr">
        <is>
          <t>Yo</t>
        </is>
      </c>
      <c r="F65" s="8" t="inlineStr">
        <is>
          <t>Media</t>
        </is>
      </c>
      <c r="G65" s="8" t="inlineStr">
        <is>
          <t>Hecho</t>
        </is>
      </c>
      <c r="H65" s="8" t="inlineStr">
        <is>
          <t>3.7</t>
        </is>
      </c>
      <c r="I65" s="21">
        <f>IFERROR(INDEX(Plan!$B$5:$B$88,MATCH(H65,Plan!$A$5:$A$88,0)),"—")</f>
        <v/>
      </c>
      <c r="J65" s="7" t="inlineStr">
        <is>
          <t>Hoy es href="#".</t>
        </is>
      </c>
    </row>
    <row r="66">
      <c r="A66" s="19" t="inlineStr">
        <is>
          <t>P-46</t>
        </is>
      </c>
      <c r="B66" s="4" t="inlineStr">
        <is>
          <t>Dato de la cooperativa</t>
        </is>
      </c>
      <c r="C66" s="4" t="inlineStr">
        <is>
          <t>/afiliacion</t>
        </is>
      </c>
      <c r="D66" s="7" t="inlineStr">
        <is>
          <t>Nombres oficiales de los grados</t>
        </is>
      </c>
      <c r="E66" s="7" t="inlineStr">
        <is>
          <t>Cooperativa</t>
        </is>
      </c>
      <c r="F66" s="8" t="inlineStr">
        <is>
          <t>Media</t>
        </is>
      </c>
      <c r="G66" s="8" t="inlineStr">
        <is>
          <t>Hecho</t>
        </is>
      </c>
      <c r="H66" s="8" t="inlineStr">
        <is>
          <t>5.3</t>
        </is>
      </c>
      <c r="I66" s="21">
        <f>IFERROR(INDEX(Plan!$B$5:$B$88,MATCH(H66,Plan!$A$5:$A$88,0)),"—")</f>
        <v/>
      </c>
      <c r="J66" s="7" t="inlineStr">
        <is>
          <t>Se usan en el select «Grado» (grados_credito).</t>
        </is>
      </c>
    </row>
    <row r="67">
      <c r="A67" s="19" t="inlineStr">
        <is>
          <t>P-47</t>
        </is>
      </c>
      <c r="B67" s="4" t="inlineStr">
        <is>
          <t>Dato de la cooperativa</t>
        </is>
      </c>
      <c r="C67" s="4" t="inlineStr">
        <is>
          <t>/cuenta</t>
        </is>
      </c>
      <c r="D67" s="7" t="inlineStr">
        <is>
          <t>Estado de desembolso (cómo y cuándo se informa al asociado)</t>
        </is>
      </c>
      <c r="E67" s="7" t="inlineStr">
        <is>
          <t>Cooperativa</t>
        </is>
      </c>
      <c r="F67" s="8" t="inlineStr">
        <is>
          <t>Media</t>
        </is>
      </c>
      <c r="G67" s="8" t="inlineStr">
        <is>
          <t>Hecho</t>
        </is>
      </c>
      <c r="H67" s="8" t="inlineStr">
        <is>
          <t>5.3</t>
        </is>
      </c>
      <c r="I67" s="21">
        <f>IFERROR(INDEX(Plan!$B$5:$B$88,MATCH(H67,Plan!$A$5:$A$88,0)),"—")</f>
        <v/>
      </c>
      <c r="J67" s="7" t="inlineStr">
        <is>
          <t>Reportado por ga-funcionalidad-botones el 23-sep. 25-sep: también identificado por ga-auditor-supabase en la auditoría de backend del rediseño C+ (misma pregunta, no se duplica).</t>
        </is>
      </c>
    </row>
    <row r="68">
      <c r="A68" s="19" t="inlineStr">
        <is>
          <t>P-80</t>
        </is>
      </c>
      <c r="B68" s="4" t="inlineStr">
        <is>
          <t>Dato de la cooperativa</t>
        </is>
      </c>
      <c r="C68" s="4" t="inlineStr">
        <is>
          <t>Legal</t>
        </is>
      </c>
      <c r="D68" s="7" t="inlineStr">
        <is>
          <t>Si van a reportar a centrales de riesgo (Ley 1266, autorización aparte)</t>
        </is>
      </c>
      <c r="E68" s="7" t="inlineStr">
        <is>
          <t>Cooperativa</t>
        </is>
      </c>
      <c r="F68" s="8" t="inlineStr">
        <is>
          <t>Media</t>
        </is>
      </c>
      <c r="G68" s="8" t="inlineStr">
        <is>
          <t>Hecho</t>
        </is>
      </c>
      <c r="H68" s="8" t="inlineStr">
        <is>
          <t>5.4</t>
        </is>
      </c>
      <c r="I68" s="21">
        <f>IFERROR(INDEX(Plan!$B$5:$B$88,MATCH(H68,Plan!$A$5:$A$88,0)),"—")</f>
        <v/>
      </c>
      <c r="J68" s="7" t="inlineStr">
        <is>
          <t>24-sep: reportado por la sesión principal.</t>
        </is>
      </c>
    </row>
    <row r="69">
      <c r="A69" s="19" t="inlineStr">
        <is>
          <t>P-90</t>
        </is>
      </c>
      <c r="B69" s="4" t="inlineStr">
        <is>
          <t>Dato de la cooperativa</t>
        </is>
      </c>
      <c r="C69" s="4" t="inlineStr">
        <is>
          <t>Backend C+</t>
        </is>
      </c>
      <c r="D69" s="7" t="inlineStr">
        <is>
          <t>Origen de la fecha del primer descuento del embargo solidario</t>
        </is>
      </c>
      <c r="E69" s="7" t="inlineStr">
        <is>
          <t>Cooperativa</t>
        </is>
      </c>
      <c r="F69" s="8" t="inlineStr">
        <is>
          <t>Media</t>
        </is>
      </c>
      <c r="G69" s="8" t="inlineStr">
        <is>
          <t>Hecho</t>
        </is>
      </c>
      <c r="H69" s="8" t="inlineStr">
        <is>
          <t>1.8</t>
        </is>
      </c>
      <c r="I69" s="21">
        <f>IFERROR(INDEX(Plan!$B$5:$B$88,MATCH(H69,Plan!$A$5:$A$88,0)),"—")</f>
        <v/>
      </c>
      <c r="J69" s="7" t="inlineStr">
        <is>
          <t>25-sep: pregunta abierta del informe de ga-auditor-supabase (docs/auditorias/2026-09-25-backend-rediseno-c-plus.md).</t>
        </is>
      </c>
    </row>
    <row r="70">
      <c r="A70" s="19" t="inlineStr">
        <is>
          <t>P-91</t>
        </is>
      </c>
      <c r="B70" s="4" t="inlineStr">
        <is>
          <t>Dato de la cooperativa</t>
        </is>
      </c>
      <c r="C70" s="4" t="inlineStr">
        <is>
          <t>Backend C+</t>
        </is>
      </c>
      <c r="D70" s="7" t="inlineStr">
        <is>
          <t>Proceso para dar de baja a un asociado</t>
        </is>
      </c>
      <c r="E70" s="7" t="inlineStr">
        <is>
          <t>Cooperativa</t>
        </is>
      </c>
      <c r="F70" s="8" t="inlineStr">
        <is>
          <t>Media</t>
        </is>
      </c>
      <c r="G70" s="8" t="inlineStr">
        <is>
          <t>Hecho</t>
        </is>
      </c>
      <c r="H70" s="8" t="inlineStr">
        <is>
          <t>1.8</t>
        </is>
      </c>
      <c r="I70" s="21">
        <f>IFERROR(INDEX(Plan!$B$5:$B$88,MATCH(H70,Plan!$A$5:$A$88,0)),"—")</f>
        <v/>
      </c>
      <c r="J70" s="7" t="inlineStr">
        <is>
          <t>25-sep: pregunta abierta del informe de ga-auditor-supabase; relacionada con la migración de institución/activo en perfiles.</t>
        </is>
      </c>
    </row>
    <row r="71">
      <c r="A71" s="19" t="inlineStr">
        <is>
          <t>P-92</t>
        </is>
      </c>
      <c r="B71" s="4" t="inlineStr">
        <is>
          <t>Dato de la cooperativa</t>
        </is>
      </c>
      <c r="C71" s="4" t="inlineStr">
        <is>
          <t>Backend C+</t>
        </is>
      </c>
      <c r="D71" s="7" t="inlineStr">
        <is>
          <t>Quién dispara el correo del aviso del sorteo</t>
        </is>
      </c>
      <c r="E71" s="7" t="inlineStr">
        <is>
          <t>Cooperativa</t>
        </is>
      </c>
      <c r="F71" s="8" t="inlineStr">
        <is>
          <t>Media</t>
        </is>
      </c>
      <c r="G71" s="8" t="inlineStr">
        <is>
          <t>Hecho</t>
        </is>
      </c>
      <c r="H71" s="8" t="inlineStr">
        <is>
          <t>1.8</t>
        </is>
      </c>
      <c r="I71" s="21">
        <f>IFERROR(INDEX(Plan!$B$5:$B$88,MATCH(H71,Plan!$A$5:$A$88,0)),"—")</f>
        <v/>
      </c>
      <c r="J71" s="7" t="inlineStr">
        <is>
          <t>25-sep: pregunta abierta del informe de ga-auditor-supabase; relacionada con la migración perfiles_avisar_sorteo.</t>
        </is>
      </c>
    </row>
    <row r="72">
      <c r="A72" s="19" t="inlineStr">
        <is>
          <t>P-93</t>
        </is>
      </c>
      <c r="B72" s="4" t="inlineStr">
        <is>
          <t>Dato de la cooperativa</t>
        </is>
      </c>
      <c r="C72" s="4" t="inlineStr">
        <is>
          <t>Landing C+</t>
        </is>
      </c>
      <c r="D72" s="7" t="inlineStr">
        <is>
          <t>Confirmar las cifras de la landing C+ (+200 asociados, 4 horas, 3 años, 5 sedes con sus ciudades, embargo a 36 meses)</t>
        </is>
      </c>
      <c r="E72" s="7" t="inlineStr">
        <is>
          <t>Cooperativa</t>
        </is>
      </c>
      <c r="F72" s="8" t="inlineStr">
        <is>
          <t>Media</t>
        </is>
      </c>
      <c r="G72" s="8" t="inlineStr">
        <is>
          <t>Hecho</t>
        </is>
      </c>
      <c r="H72" s="8" t="inlineStr">
        <is>
          <t>2.14</t>
        </is>
      </c>
      <c r="I72" s="21">
        <f>IFERROR(INDEX(Plan!$B$5:$B$88,MATCH(H72,Plan!$A$5:$A$88,0)),"—")</f>
        <v/>
      </c>
      <c r="J72" s="7" t="inlineStr">
        <is>
          <t>25-sep: cifras usadas en el nuevo hero/servicios del rediseño C+; falta confirmarlas con la cooperativa.</t>
        </is>
      </c>
    </row>
    <row r="73">
      <c r="A73" s="19" t="inlineStr">
        <is>
          <t>P-17</t>
        </is>
      </c>
      <c r="B73" s="4" t="inlineStr">
        <is>
          <t>Dato de la cooperativa</t>
        </is>
      </c>
      <c r="C73" s="4" t="inlineStr">
        <is>
          <t>Landing</t>
        </is>
      </c>
      <c r="D73" s="7" t="inlineStr">
        <is>
          <t>Tiempo de respuesta real ([TIEMPO] y [T])</t>
        </is>
      </c>
      <c r="E73" s="7" t="inlineStr">
        <is>
          <t>Cooperativa</t>
        </is>
      </c>
      <c r="F73" s="8" t="inlineStr">
        <is>
          <t>Baja</t>
        </is>
      </c>
      <c r="G73" s="8" t="inlineStr">
        <is>
          <t>Hecho</t>
        </is>
      </c>
      <c r="H73" s="8" t="inlineStr">
        <is>
          <t>5.3</t>
        </is>
      </c>
      <c r="I73" s="21">
        <f>IFERROR(INDEX(Plan!$B$5:$B$88,MATCH(H73,Plan!$A$5:$A$88,0)),"—")</f>
        <v/>
      </c>
      <c r="J73" s="7" t="inlineStr">
        <is>
          <t>24-sep: «4 horas o menos».</t>
        </is>
      </c>
    </row>
    <row r="74">
      <c r="A74" s="19" t="inlineStr">
        <is>
          <t>P-58</t>
        </is>
      </c>
      <c r="B74" s="4" t="inlineStr">
        <is>
          <t>Verificación y cierre</t>
        </is>
      </c>
      <c r="C74" s="4" t="inlineStr">
        <is>
          <t>Pruebas</t>
        </is>
      </c>
      <c r="D74" s="7" t="inlineStr">
        <is>
          <t>Actualizar tests/e2e a la afiliación v2 y a la nueva máscara de correo</t>
        </is>
      </c>
      <c r="E74" s="7" t="inlineStr">
        <is>
          <t>ga-escritor-tests</t>
        </is>
      </c>
      <c r="F74" s="8" t="inlineStr">
        <is>
          <t>Alta</t>
        </is>
      </c>
      <c r="G74" s="8" t="inlineStr">
        <is>
          <t>En curso</t>
        </is>
      </c>
      <c r="H74" s="8" t="inlineStr">
        <is>
          <t>6.1</t>
        </is>
      </c>
      <c r="I74" s="21">
        <f>IFERROR(INDEX(Plan!$B$5:$B$88,MATCH(H74,Plan!$A$5:$A$88,0)),"—")</f>
        <v/>
      </c>
      <c r="J74"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75">
      <c r="A75" s="19" t="inlineStr">
        <is>
          <t>P-42</t>
        </is>
      </c>
      <c r="B75" s="4" t="inlineStr">
        <is>
          <t>Verificación y cierre</t>
        </is>
      </c>
      <c r="C75" s="4" t="inlineStr">
        <is>
          <t>Despliegue</t>
        </is>
      </c>
      <c r="D75" s="7" t="inlineStr">
        <is>
          <t>Subir a GitHub y desplegar en Vercel</t>
        </is>
      </c>
      <c r="E75" s="7" t="inlineStr">
        <is>
          <t>Yo</t>
        </is>
      </c>
      <c r="F75" s="8" t="inlineStr">
        <is>
          <t>Alta</t>
        </is>
      </c>
      <c r="G75" s="8" t="inlineStr">
        <is>
          <t>Pendiente</t>
        </is>
      </c>
      <c r="H75" s="8" t="inlineStr">
        <is>
          <t>6.5</t>
        </is>
      </c>
      <c r="I75" s="21">
        <f>IFERROR(INDEX(Plan!$B$5:$B$88,MATCH(H75,Plan!$A$5:$A$88,0)),"—")</f>
        <v/>
      </c>
      <c r="J75" s="7" t="inlineStr"/>
    </row>
    <row r="76">
      <c r="A76" s="19" t="inlineStr">
        <is>
          <t>P-81</t>
        </is>
      </c>
      <c r="B76" s="4" t="inlineStr">
        <is>
          <t>Verificación y cierre</t>
        </is>
      </c>
      <c r="C76" s="4" t="inlineStr">
        <is>
          <t>Legal</t>
        </is>
      </c>
      <c r="D76" s="7" t="inlineStr">
        <is>
          <t>Revisión de la política de datos por un abogado (Dr. Breinner: secciones 7.3, 8 y 18)</t>
        </is>
      </c>
      <c r="E76" s="7" t="inlineStr">
        <is>
          <t>Sebas</t>
        </is>
      </c>
      <c r="F76" s="8" t="inlineStr">
        <is>
          <t>Alta</t>
        </is>
      </c>
      <c r="G76" s="8" t="inlineStr">
        <is>
          <t>Pendiente</t>
        </is>
      </c>
      <c r="H76" s="8" t="inlineStr">
        <is>
          <t>5.4</t>
        </is>
      </c>
      <c r="I76" s="21">
        <f>IFERROR(INDEX(Plan!$B$5:$B$88,MATCH(H76,Plan!$A$5:$A$88,0)),"—")</f>
        <v/>
      </c>
      <c r="J76" s="7" t="inlineStr">
        <is>
          <t>24-sep: reportado por la sesión principal; falta antes de publicar /politica-de-datos.</t>
        </is>
      </c>
    </row>
    <row r="77">
      <c r="A77" s="19" t="inlineStr">
        <is>
          <t>P-70</t>
        </is>
      </c>
      <c r="B77" s="4" t="inlineStr">
        <is>
          <t>Verificación y cierre</t>
        </is>
      </c>
      <c r="C77" s="4" t="inlineStr">
        <is>
          <t>QA</t>
        </is>
      </c>
      <c r="D77" s="7" t="inlineStr">
        <is>
          <t>Pruebas en celulares reales (Android e iPhone): cámara, código, sorteo, crédito y correos en Gmail/Outlook, con informe y capturas</t>
        </is>
      </c>
      <c r="E77" s="7" t="inlineStr">
        <is>
          <t>Sebas</t>
        </is>
      </c>
      <c r="F77" s="8" t="inlineStr">
        <is>
          <t>Media</t>
        </is>
      </c>
      <c r="G77" s="8" t="inlineStr">
        <is>
          <t>Pendiente</t>
        </is>
      </c>
      <c r="H77" s="8" t="inlineStr">
        <is>
          <t>6.14</t>
        </is>
      </c>
      <c r="I77" s="21">
        <f>IFERROR(INDEX(Plan!$B$5:$B$88,MATCH(H77,Plan!$A$5:$A$88,0)),"—")</f>
        <v/>
      </c>
      <c r="J77" s="7" t="inlineStr">
        <is>
          <t>Encargo externo (500.000 COP) por PR a develop. Ver P-73.</t>
        </is>
      </c>
    </row>
    <row r="78">
      <c r="A78" s="19" t="inlineStr">
        <is>
          <t>P-104</t>
        </is>
      </c>
      <c r="B78" s="4" t="inlineStr">
        <is>
          <t>Verificación y cierre</t>
        </is>
      </c>
      <c r="C78" s="4" t="inlineStr">
        <is>
          <t>Despliegue</t>
        </is>
      </c>
      <c r="D78" s="7" t="inlineStr">
        <is>
          <t>Aprobar y fusionar el PR develop → main para desplegar el rediseño C+ (con el arreglo de la tasa) en producción</t>
        </is>
      </c>
      <c r="E78" s="7" t="inlineStr">
        <is>
          <t>Sebas</t>
        </is>
      </c>
      <c r="F78" s="8" t="inlineStr">
        <is>
          <t>Alta</t>
        </is>
      </c>
      <c r="G78" s="8" t="inlineStr">
        <is>
          <t>Hecho</t>
        </is>
      </c>
      <c r="H78" s="8" t="inlineStr">
        <is>
          <t>6.18</t>
        </is>
      </c>
      <c r="I78" s="21">
        <f>IFERROR(INDEX(Plan!$B$5:$B$88,MATCH(H78,Plan!$A$5:$A$88,0)),"—")</f>
        <v/>
      </c>
      <c r="J78" s="7" t="inlineStr">
        <is>
          <t>29-sep: rediseno-c-plus ya fusionada a develop y subida a origin (suite e2e 290/290, tsc/lint/build en verde). Falta que Sebas apruebe/fusione el PR develop → main para que Vercel despliegue el rediseño C+ en producción. 30-sep: fusionado; C+ en producción.</t>
        </is>
      </c>
    </row>
    <row r="79">
      <c r="A79" s="19" t="inlineStr">
        <is>
          <t>P-39</t>
        </is>
      </c>
      <c r="B79" s="4" t="inlineStr">
        <is>
          <t>Verificación y cierre</t>
        </is>
      </c>
      <c r="C79" s="4" t="inlineStr">
        <is>
          <t>Calidad</t>
        </is>
      </c>
      <c r="D79" s="7" t="inlineStr">
        <is>
          <t>Correr ga-verificador-qa y ga-verificador-responsive</t>
        </is>
      </c>
      <c r="E79" s="7" t="inlineStr">
        <is>
          <t>Yo</t>
        </is>
      </c>
      <c r="F79" s="8" t="inlineStr">
        <is>
          <t>Alta</t>
        </is>
      </c>
      <c r="G79" s="8" t="inlineStr">
        <is>
          <t>Hecho</t>
        </is>
      </c>
      <c r="H79" s="8" t="inlineStr">
        <is>
          <t>6.3</t>
        </is>
      </c>
      <c r="I79" s="21">
        <f>IFERROR(INDEX(Plan!$B$5:$B$88,MATCH(H79,Plan!$A$5:$A$88,0)),"—")</f>
        <v/>
      </c>
      <c r="J79"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80">
      <c r="A80" s="19" t="inlineStr">
        <is>
          <t>P-41</t>
        </is>
      </c>
      <c r="B80" s="4" t="inlineStr">
        <is>
          <t>Verificación y cierre</t>
        </is>
      </c>
      <c r="C80" s="4" t="inlineStr">
        <is>
          <t>Git</t>
        </is>
      </c>
      <c r="D80" s="7" t="inlineStr">
        <is>
          <t>Commit de las pantallas nuevas</t>
        </is>
      </c>
      <c r="E80" s="7" t="inlineStr">
        <is>
          <t>Yo</t>
        </is>
      </c>
      <c r="F80" s="8" t="inlineStr">
        <is>
          <t>Alta</t>
        </is>
      </c>
      <c r="G80" s="8" t="inlineStr">
        <is>
          <t>Hecho</t>
        </is>
      </c>
      <c r="H80" s="8" t="inlineStr">
        <is>
          <t>—</t>
        </is>
      </c>
      <c r="I80" s="21">
        <f>IFERROR(INDEX(Plan!$B$5:$B$88,MATCH(H80,Plan!$A$5:$A$88,0)),"—")</f>
        <v/>
      </c>
      <c r="J80" s="7" t="inlineStr">
        <is>
          <t>Commit d86db86 en develop.</t>
        </is>
      </c>
    </row>
    <row r="81">
      <c r="A81" s="19" t="inlineStr">
        <is>
          <t>P-64</t>
        </is>
      </c>
      <c r="B81" s="4" t="inlineStr">
        <is>
          <t>Verificación y cierre</t>
        </is>
      </c>
      <c r="C81" s="4" t="inlineStr">
        <is>
          <t>Git</t>
        </is>
      </c>
      <c r="D81" s="7" t="inlineStr">
        <is>
          <t>Abrir el PR de develop a main</t>
        </is>
      </c>
      <c r="E81" s="7" t="inlineStr">
        <is>
          <t>Sebas</t>
        </is>
      </c>
      <c r="F81" s="8" t="inlineStr">
        <is>
          <t>Alta</t>
        </is>
      </c>
      <c r="G81" s="8" t="inlineStr">
        <is>
          <t>Hecho</t>
        </is>
      </c>
      <c r="H81" s="8" t="inlineStr">
        <is>
          <t>6.5</t>
        </is>
      </c>
      <c r="I81" s="21">
        <f>IFERROR(INDEX(Plan!$B$5:$B$88,MATCH(H81,Plan!$A$5:$A$88,0)),"—")</f>
        <v/>
      </c>
      <c r="J81" s="7" t="inlineStr">
        <is>
          <t>25-sep: Sebas abrió y fusionó el PR #1 develop → main (merge 5a39d34); Vercel desplegó fase 2 en producción.</t>
        </is>
      </c>
    </row>
    <row r="82">
      <c r="A82" s="19" t="inlineStr">
        <is>
          <t>P-82</t>
        </is>
      </c>
      <c r="B82" s="4" t="inlineStr">
        <is>
          <t>Verificación y cierre</t>
        </is>
      </c>
      <c r="C82" s="4" t="inlineStr">
        <is>
          <t>Despliegue</t>
        </is>
      </c>
      <c r="D82" s="7" t="inlineStr">
        <is>
          <t>Probar en producción con sesión real de los 3 administradores (ingreso con código OTP y logo del correo)</t>
        </is>
      </c>
      <c r="E82" s="7" t="inlineStr">
        <is>
          <t>Sebas</t>
        </is>
      </c>
      <c r="F82" s="8" t="inlineStr">
        <is>
          <t>Alta</t>
        </is>
      </c>
      <c r="G82" s="8" t="inlineStr">
        <is>
          <t>Hecho</t>
        </is>
      </c>
      <c r="H82" s="8" t="inlineStr">
        <is>
          <t>6.5</t>
        </is>
      </c>
      <c r="I82" s="21">
        <f>IFERROR(INDEX(Plan!$B$5:$B$88,MATCH(H82,Plan!$A$5:$A$88,0)),"—")</f>
        <v/>
      </c>
      <c r="J82" s="7" t="inlineStr">
        <is>
          <t>25-sep: Sebas entró con su cédula y le apareció el panel de administrador (falta confirmar Ricardo y abogadosprieto). 25-sep: reportado por la sesión principal tras el despliegue de fase 2; falta esta prueba manual antes de cerrar 6.5.</t>
        </is>
      </c>
    </row>
    <row r="83">
      <c r="A83" s="19" t="inlineStr">
        <is>
          <t>P-86</t>
        </is>
      </c>
      <c r="B83" s="4" t="inlineStr">
        <is>
          <t>Verificación y cierre</t>
        </is>
      </c>
      <c r="C83" s="4" t="inlineStr">
        <is>
          <t>/afiliacion</t>
        </is>
      </c>
      <c r="D83" s="7" t="inlineStr">
        <is>
          <t>A-01: la ayuda del dominio de correo institucional no se actualiza en vivo al elegir Policía/Ejército</t>
        </is>
      </c>
      <c r="E83" s="7" t="inlineStr">
        <is>
          <t>ga-funcionalidad-botones</t>
        </is>
      </c>
      <c r="F83" s="8" t="inlineStr">
        <is>
          <t>Alta</t>
        </is>
      </c>
      <c r="G83" s="8" t="inlineStr">
        <is>
          <t>Hecho</t>
        </is>
      </c>
      <c r="H83" s="8" t="inlineStr">
        <is>
          <t>6.3</t>
        </is>
      </c>
      <c r="I83" s="21">
        <f>IFERROR(INDEX(Plan!$B$5:$B$88,MATCH(H83,Plan!$A$5:$A$88,0)),"—")</f>
        <v/>
      </c>
      <c r="J83"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84">
      <c r="A84" s="19" t="inlineStr">
        <is>
          <t>P-40</t>
        </is>
      </c>
      <c r="B84" s="4" t="inlineStr">
        <is>
          <t>Verificación y cierre</t>
        </is>
      </c>
      <c r="C84" s="4" t="inlineStr">
        <is>
          <t>Código</t>
        </is>
      </c>
      <c r="D84" s="7" t="inlineStr">
        <is>
          <t>Borrar /login y /dashboard cuando /ingresar y /cuenta funcionen</t>
        </is>
      </c>
      <c r="E84" s="7" t="inlineStr">
        <is>
          <t>Yo</t>
        </is>
      </c>
      <c r="F84" s="8" t="inlineStr">
        <is>
          <t>Media</t>
        </is>
      </c>
      <c r="G84" s="8" t="inlineStr">
        <is>
          <t>Hecho</t>
        </is>
      </c>
      <c r="H84" s="8" t="inlineStr">
        <is>
          <t>5.5</t>
        </is>
      </c>
      <c r="I84" s="21">
        <f>IFERROR(INDEX(Plan!$B$5:$B$88,MATCH(H84,Plan!$A$5:$A$88,0)),"—")</f>
        <v/>
      </c>
      <c r="J84" s="7" t="inlineStr">
        <is>
          <t>Borradas el 23-sep (incluida /dashboard/solicitar, su parte del proxy y los colores heredados de tailwind.config.ts).</t>
        </is>
      </c>
    </row>
    <row r="85">
      <c r="A85" s="19" t="inlineStr">
        <is>
          <t>P-49</t>
        </is>
      </c>
      <c r="B85" s="4" t="inlineStr">
        <is>
          <t>Verificación y cierre</t>
        </is>
      </c>
      <c r="C85" s="4" t="inlineStr">
        <is>
          <t>Seguridad</t>
        </is>
      </c>
      <c r="D85" s="7" t="inlineStr">
        <is>
          <t>Revisar si conviene confiar en x-forwarded-for para el límite de intentos por IP</t>
        </is>
      </c>
      <c r="E85" s="7" t="inlineStr">
        <is>
          <t>ga-revisor-seguridad</t>
        </is>
      </c>
      <c r="F85" s="8" t="inlineStr">
        <is>
          <t>Media</t>
        </is>
      </c>
      <c r="G85" s="8" t="inlineStr">
        <is>
          <t>Hecho</t>
        </is>
      </c>
      <c r="H85" s="8" t="inlineStr">
        <is>
          <t>6.2</t>
        </is>
      </c>
      <c r="I85" s="21">
        <f>IFERROR(INDEX(Plan!$B$5:$B$88,MATCH(H85,Plan!$A$5:$A$88,0)),"—")</f>
        <v/>
      </c>
      <c r="J85" s="7" t="inlineStr">
        <is>
          <t>Sugerido por ga-verificador-qa el 23-sep. Documentado por ga-funcionalidad-botones como O-01 en lib/servidor/limite.ts: x-forwarded-for/x-real-ip solo son confiables detrás de Vercel (nuestro caso); el límite real por cédula/IP lo hace la app, no Supabase.</t>
        </is>
      </c>
    </row>
    <row r="86">
      <c r="A86" s="19" t="inlineStr">
        <is>
          <t>P-50</t>
        </is>
      </c>
      <c r="B86" s="4" t="inlineStr">
        <is>
          <t>Verificación y cierre</t>
        </is>
      </c>
      <c r="C86" s="4" t="inlineStr">
        <is>
          <t>Correos</t>
        </is>
      </c>
      <c r="D86" s="7" t="inlineStr">
        <is>
          <t>Confirmar que salen los correos de afiliación (el log queda en la terminal de next dev)</t>
        </is>
      </c>
      <c r="E86" s="7" t="inlineStr">
        <is>
          <t>Yo</t>
        </is>
      </c>
      <c r="F86" s="8" t="inlineStr">
        <is>
          <t>Media</t>
        </is>
      </c>
      <c r="G86" s="8" t="inlineStr">
        <is>
          <t>Hecho</t>
        </is>
      </c>
      <c r="H86" s="8" t="inlineStr">
        <is>
          <t>—</t>
        </is>
      </c>
      <c r="I86" s="21">
        <f>IFERROR(INDEX(Plan!$B$5:$B$88,MATCH(H86,Plan!$A$5:$A$88,0)),"—")</f>
        <v/>
      </c>
      <c r="J86" s="7" t="inlineStr">
        <is>
          <t>Ya no aplica: el 23-sep se quitaron los correos de afiliación del código (decisión de Sebas).</t>
        </is>
      </c>
    </row>
    <row r="87">
      <c r="A87" s="19" t="inlineStr">
        <is>
          <t>P-62</t>
        </is>
      </c>
      <c r="B87" s="4" t="inlineStr">
        <is>
          <t>Verificación y cierre</t>
        </is>
      </c>
      <c r="C87" s="4" t="inlineStr">
        <is>
          <t>Base de datos</t>
        </is>
      </c>
      <c r="D87" s="7" t="inlineStr">
        <is>
          <t>Borrar la cuenta admin de prueba «Test QA» (cédula 1099887766) desde el panel de Supabase</t>
        </is>
      </c>
      <c r="E87" s="7" t="inlineStr">
        <is>
          <t>Sebas</t>
        </is>
      </c>
      <c r="F87" s="8" t="inlineStr">
        <is>
          <t>Media</t>
        </is>
      </c>
      <c r="G87" s="8" t="inlineStr">
        <is>
          <t>Hecho</t>
        </is>
      </c>
      <c r="H87" s="8" t="inlineStr">
        <is>
          <t>6.13</t>
        </is>
      </c>
      <c r="I87" s="21">
        <f>IFERROR(INDEX(Plan!$B$5:$B$88,MATCH(H87,Plan!$A$5:$A$88,0)),"—")</f>
        <v/>
      </c>
      <c r="J87" s="7" t="inlineStr">
        <is>
          <t>Ya hay 3 administradores reales en producción: Ricardo, Abogados Prieto y Sebas. 24-sep: usuario «Test QA» borrado de producción por Sebas.</t>
        </is>
      </c>
    </row>
    <row r="88">
      <c r="A88" s="19" t="inlineStr">
        <is>
          <t>P-71</t>
        </is>
      </c>
      <c r="B88" s="4" t="inlineStr">
        <is>
          <t>Verificación y cierre</t>
        </is>
      </c>
      <c r="C88" s="4" t="inlineStr">
        <is>
          <t>Pruebas</t>
        </is>
      </c>
      <c r="D88" s="7" t="inlineStr">
        <is>
          <t>Actualizar tests/e2e b-ingreso, i-despliegue y j-produccion al formato nuevo de máscara de correo</t>
        </is>
      </c>
      <c r="E88" s="7" t="inlineStr">
        <is>
          <t>Carlos Pardo</t>
        </is>
      </c>
      <c r="F88" s="8" t="inlineStr">
        <is>
          <t>Media</t>
        </is>
      </c>
      <c r="G88" s="8" t="inlineStr">
        <is>
          <t>Hecho</t>
        </is>
      </c>
      <c r="H88" s="8" t="inlineStr">
        <is>
          <t>6.15</t>
        </is>
      </c>
      <c r="I88" s="21">
        <f>IFERROR(INDEX(Plan!$B$5:$B$88,MATCH(H88,Plan!$A$5:$A$88,0)),"—")</f>
        <v/>
      </c>
      <c r="J88"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89">
      <c r="A89" s="19" t="inlineStr">
        <is>
          <t>P-94</t>
        </is>
      </c>
      <c r="B89" s="4" t="inlineStr">
        <is>
          <t>Verificación y cierre</t>
        </is>
      </c>
      <c r="C89" s="4" t="inlineStr">
        <is>
          <t>Pruebas</t>
        </is>
      </c>
      <c r="D89" s="7" t="inlineStr">
        <is>
          <t>Correr tests/e2e/b-ingreso.spec.ts y d-afiliacion.spec.ts contra la maquetación C+ de ingreso y afiliación, con Supabase local</t>
        </is>
      </c>
      <c r="E89" s="7" t="inlineStr">
        <is>
          <t>ga-verificador-qa o ga-escritor-tests</t>
        </is>
      </c>
      <c r="F89" s="8" t="inlineStr">
        <is>
          <t>Media</t>
        </is>
      </c>
      <c r="G89" s="8" t="inlineStr">
        <is>
          <t>Hecho</t>
        </is>
      </c>
      <c r="H89" s="8" t="inlineStr">
        <is>
          <t>2.15</t>
        </is>
      </c>
      <c r="I89" s="21">
        <f>IFERROR(INDEX(Plan!$B$5:$B$88,MATCH(H89,Plan!$A$5:$A$88,0)),"—")</f>
        <v/>
      </c>
      <c r="J89"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90">
      <c r="A90" s="19" t="inlineStr">
        <is>
          <t>P-102</t>
        </is>
      </c>
      <c r="B90" s="4" t="inlineStr">
        <is>
          <t>Verificación y cierre</t>
        </is>
      </c>
      <c r="C90" s="4" t="inlineStr">
        <is>
          <t>Landing</t>
        </is>
      </c>
      <c r="D90" s="7" t="inlineStr">
        <is>
          <t>B-01: sección de testimonios de la landing con corchetes de ejemplo visibles ([Nombre], [Testimonio]...)</t>
        </is>
      </c>
      <c r="E90" s="7" t="inlineStr">
        <is>
          <t>sesión principal</t>
        </is>
      </c>
      <c r="F90" s="8" t="inlineStr">
        <is>
          <t>Baja</t>
        </is>
      </c>
      <c r="G90" s="8" t="inlineStr">
        <is>
          <t>Hecho</t>
        </is>
      </c>
      <c r="H90" s="8" t="inlineStr">
        <is>
          <t>2.14</t>
        </is>
      </c>
      <c r="I90" s="21">
        <f>IFERROR(INDEX(Plan!$B$5:$B$88,MATCH(H90,Plan!$A$5:$A$88,0)),"—")</f>
        <v/>
      </c>
      <c r="J90" s="7" t="inlineStr">
        <is>
          <t>27-sep: hallazgo Bajo de ga-verificador-qa. Corregido en rediseno-c-plus (commit local fdab456): la sección se oculta mientras tenga textos de ejemplo. Falta el contenido real y decidir si se mantiene la sección, ver P-103.</t>
        </is>
      </c>
    </row>
    <row r="91">
      <c r="A91" s="19" t="inlineStr">
        <is>
          <t>P-52</t>
        </is>
      </c>
      <c r="B91" s="4" t="inlineStr">
        <is>
          <t>Verificación y cierre</t>
        </is>
      </c>
      <c r="C91" s="4" t="inlineStr">
        <is>
          <t>Documentación</t>
        </is>
      </c>
      <c r="D91" s="7" t="inlineStr">
        <is>
          <t>Mapa de botones: §4 «Nueva solicitud» → /cuenta/solicitar y sección para la ruta /cuenta/solicitar</t>
        </is>
      </c>
      <c r="E91" s="7" t="inlineStr">
        <is>
          <t>ga-funcionalidad-botones</t>
        </is>
      </c>
      <c r="F91" s="8" t="inlineStr">
        <is>
          <t>Baja</t>
        </is>
      </c>
      <c r="G91" s="8" t="inlineStr">
        <is>
          <t>Hecho</t>
        </is>
      </c>
      <c r="H91" s="8" t="inlineStr">
        <is>
          <t>3.7</t>
        </is>
      </c>
      <c r="I91" s="21">
        <f>IFERROR(INDEX(Plan!$B$5:$B$88,MATCH(H91,Plan!$A$5:$A$88,0)),"—")</f>
        <v/>
      </c>
      <c r="J91" s="7" t="inlineStr">
        <is>
          <t>Reportado por ga-diseno-a-codigo. Verificado el 23-sep: docs/mapa-de-botones.md ya tiene §4 «Nueva solicitud» → /cuenta/solicitar (Definido) y §4b /cuenta/solicitar; /dashboard se eliminó.</t>
        </is>
      </c>
    </row>
    <row r="92">
      <c r="A92" s="19" t="inlineStr">
        <is>
          <t>P-63</t>
        </is>
      </c>
      <c r="B92" s="4" t="inlineStr">
        <is>
          <t>Decisión</t>
        </is>
      </c>
      <c r="C92" s="4" t="inlineStr">
        <is>
          <t>Fase 2</t>
        </is>
      </c>
      <c r="D92" s="7" t="inlineStr">
        <is>
          <t>Preguntas abiertas de fase 2 para la cooperativa: grados del Ejército, dominios de correo institucionales (hoy solo policia.gov.co, buzonejercito.mil.co, ejercito.mil.co), tiempo que se guardan las fotos y tope de intentos del sorteo</t>
        </is>
      </c>
      <c r="E92" s="7" t="inlineStr">
        <is>
          <t>Cooperativa</t>
        </is>
      </c>
      <c r="F92" s="8" t="inlineStr">
        <is>
          <t>Alta</t>
        </is>
      </c>
      <c r="G92" s="8" t="inlineStr">
        <is>
          <t>Pendiente</t>
        </is>
      </c>
      <c r="H92" s="8" t="inlineStr">
        <is>
          <t>1.5</t>
        </is>
      </c>
      <c r="I92" s="21">
        <f>IFERROR(INDEX(Plan!$B$5:$B$88,MATCH(H92,Plan!$A$5:$A$88,0)),"—")</f>
        <v/>
      </c>
      <c r="J92" s="7" t="inlineStr">
        <is>
          <t>Ver docs/spec-fase-2.md §Preguntas abiertas. 30-sep: no aparece en §12; por confirmar (dominio del Ejército).</t>
        </is>
      </c>
    </row>
    <row r="93">
      <c r="A93" s="19" t="inlineStr">
        <is>
          <t>P-106</t>
        </is>
      </c>
      <c r="B93" s="4" t="inlineStr">
        <is>
          <t>Decisión</t>
        </is>
      </c>
      <c r="C93" s="4" t="inlineStr">
        <is>
          <t>Admin</t>
        </is>
      </c>
      <c r="D93" s="7" t="inlineStr">
        <is>
          <t>R-09: quién registra los pagos de comisión</t>
        </is>
      </c>
      <c r="E93" s="7" t="inlineStr">
        <is>
          <t>Sebas + Ricardo</t>
        </is>
      </c>
      <c r="F93" s="8" t="inlineStr">
        <is>
          <t>Media</t>
        </is>
      </c>
      <c r="G93" s="8" t="inlineStr">
        <is>
          <t>Pendiente</t>
        </is>
      </c>
      <c r="H93" s="8" t="inlineStr">
        <is>
          <t>—</t>
        </is>
      </c>
      <c r="I93" s="21">
        <f>IFERROR(INDEX(Plan!$B$5:$B$88,MATCH(H93,Plan!$A$5:$A$88,0)),"—")</f>
        <v/>
      </c>
      <c r="J93" s="7" t="inlineStr">
        <is>
          <t>R-10 y R-11 cerrados por Sebas (§12.14).</t>
        </is>
      </c>
    </row>
    <row r="94">
      <c r="A94" s="19" t="inlineStr">
        <is>
          <t>P-111</t>
        </is>
      </c>
      <c r="B94" s="4" t="inlineStr">
        <is>
          <t>Decisión</t>
        </is>
      </c>
      <c r="C94" s="4" t="inlineStr">
        <is>
          <t>/admin</t>
        </is>
      </c>
      <c r="D94" s="7" t="inlineStr">
        <is>
          <t>¿«Inscritos al sorteo» entra al dashboard del admin?</t>
        </is>
      </c>
      <c r="E94" s="7" t="inlineStr">
        <is>
          <t>Cooperativa</t>
        </is>
      </c>
      <c r="F94" s="8" t="inlineStr">
        <is>
          <t>Media</t>
        </is>
      </c>
      <c r="G94" s="8" t="inlineStr">
        <is>
          <t>Pendiente</t>
        </is>
      </c>
      <c r="H94" s="8" t="inlineStr">
        <is>
          <t>4.7</t>
        </is>
      </c>
      <c r="I94" s="21">
        <f>IFERROR(INDEX(Plan!$B$5:$B$88,MATCH(H94,Plan!$A$5:$A$88,0)),"—")</f>
        <v/>
      </c>
      <c r="J94" s="7" t="inlineStr">
        <is>
          <t>30-sep: reportado por ga-disenador-lienzo y ga-diseno-a-codigo.</t>
        </is>
      </c>
    </row>
    <row r="95">
      <c r="A95" s="19" t="inlineStr">
        <is>
          <t>P-98</t>
        </is>
      </c>
      <c r="B95" s="4" t="inlineStr">
        <is>
          <t>Decisión</t>
        </is>
      </c>
      <c r="C95" s="4" t="inlineStr">
        <is>
          <t>Asesor</t>
        </is>
      </c>
      <c r="D95" s="7" t="inlineStr">
        <is>
          <t>Confirmar la regla de categorización de asociados ya afiliados como «Aprobada» en las tarjetas/chips de /asesor (pedido D-06 del lienzo)</t>
        </is>
      </c>
      <c r="E95" s="7" t="inlineStr">
        <is>
          <t>Sebas</t>
        </is>
      </c>
      <c r="F95" s="8" t="inlineStr">
        <is>
          <t>Media</t>
        </is>
      </c>
      <c r="G95" s="8" t="inlineStr">
        <is>
          <t>Pendiente</t>
        </is>
      </c>
      <c r="H95" s="8" t="inlineStr">
        <is>
          <t>4.10</t>
        </is>
      </c>
      <c r="I95" s="21">
        <f>IFERROR(INDEX(Plan!$B$5:$B$88,MATCH(H95,Plan!$A$5:$A$88,0)),"—")</f>
        <v/>
      </c>
      <c r="J95"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96">
      <c r="A96" s="19" t="inlineStr">
        <is>
          <t>P-02</t>
        </is>
      </c>
      <c r="B96" s="4" t="inlineStr">
        <is>
          <t>Decisión</t>
        </is>
      </c>
      <c r="C96" s="4" t="inlineStr">
        <is>
          <t>/cuenta</t>
        </is>
      </c>
      <c r="D96" s="7" t="inlineStr">
        <is>
          <t>Preguntar a la cooperativa si los convenios tendrán página propia</t>
        </is>
      </c>
      <c r="E96" s="7" t="inlineStr">
        <is>
          <t>Cooperativa</t>
        </is>
      </c>
      <c r="F96" s="8" t="inlineStr">
        <is>
          <t>Baja</t>
        </is>
      </c>
      <c r="G96" s="8" t="inlineStr">
        <is>
          <t>Pendiente</t>
        </is>
      </c>
      <c r="H96" s="8" t="inlineStr">
        <is>
          <t>5.1</t>
        </is>
      </c>
      <c r="I96" s="21">
        <f>IFERROR(INDEX(Plan!$B$5:$B$88,MATCH(H96,Plan!$A$5:$A$88,0)),"—")</f>
        <v/>
      </c>
      <c r="J96" s="7" t="inlineStr">
        <is>
          <t>Por ahora son una sección en /cuenta (#convenios).</t>
        </is>
      </c>
    </row>
    <row r="97">
      <c r="A97" s="19" t="inlineStr">
        <is>
          <t>P-107</t>
        </is>
      </c>
      <c r="B97" s="4" t="inlineStr">
        <is>
          <t>Decisión</t>
        </is>
      </c>
      <c r="C97" s="4" t="inlineStr">
        <is>
          <t>/afiliacion/enviada</t>
        </is>
      </c>
      <c r="D97" s="7" t="inlineStr">
        <is>
          <t>Confirmar si «4 horas» de /afiliacion/enviada también cambia</t>
        </is>
      </c>
      <c r="E97" s="7" t="inlineStr">
        <is>
          <t>Sebas</t>
        </is>
      </c>
      <c r="F97" s="8" t="inlineStr">
        <is>
          <t>Baja</t>
        </is>
      </c>
      <c r="G97" s="8" t="inlineStr">
        <is>
          <t>Pendiente</t>
        </is>
      </c>
      <c r="H97" s="8" t="inlineStr">
        <is>
          <t>6.22</t>
        </is>
      </c>
      <c r="I97" s="21">
        <f>IFERROR(INDEX(Plan!$B$5:$B$88,MATCH(H97,Plan!$A$5:$A$88,0)),"—")</f>
        <v/>
      </c>
      <c r="J97" s="7" t="inlineStr"/>
    </row>
    <row r="98">
      <c r="A98" s="19" t="inlineStr">
        <is>
          <t>P-53</t>
        </is>
      </c>
      <c r="B98" s="4" t="inlineStr">
        <is>
          <t>Decisión</t>
        </is>
      </c>
      <c r="C98" s="4" t="inlineStr">
        <is>
          <t>Landing</t>
        </is>
      </c>
      <c r="D98" s="7" t="inlineStr">
        <is>
          <t>A 320 px la línea «COOPERATIVA» del logo mide ~5 px de alto (opcional: ocultarla o achicar «Ingresar» bajo 360 px)</t>
        </is>
      </c>
      <c r="E98" s="7" t="inlineStr">
        <is>
          <t>Yo</t>
        </is>
      </c>
      <c r="F98" s="8" t="inlineStr">
        <is>
          <t>Baja</t>
        </is>
      </c>
      <c r="G98" s="8" t="inlineStr">
        <is>
          <t>Pendiente</t>
        </is>
      </c>
      <c r="H98" s="8" t="inlineStr">
        <is>
          <t>—</t>
        </is>
      </c>
      <c r="I98" s="21">
        <f>IFERROR(INDEX(Plan!$B$5:$B$88,MATCH(H98,Plan!$A$5:$A$88,0)),"—")</f>
        <v/>
      </c>
      <c r="J98" s="7" t="inlineStr">
        <is>
          <t>Menor y opcional, reportado por ga-verificador-responsive el 23-sep.</t>
        </is>
      </c>
    </row>
    <row r="99">
      <c r="A99" s="19" t="inlineStr">
        <is>
          <t>P-09</t>
        </is>
      </c>
      <c r="B99" s="4" t="inlineStr">
        <is>
          <t>Decisión</t>
        </is>
      </c>
      <c r="C99" s="4" t="inlineStr">
        <is>
          <t>Base de datos</t>
        </is>
      </c>
      <c r="D99" s="7" t="inlineStr">
        <is>
          <t>Revisar y aplicar en producción la migración blindar_solicitudes_y_revisiones</t>
        </is>
      </c>
      <c r="E99" s="7" t="inlineStr">
        <is>
          <t>Sebas (ga-auditor-supabase revisa antes)</t>
        </is>
      </c>
      <c r="F99" s="8" t="inlineStr">
        <is>
          <t>Alta</t>
        </is>
      </c>
      <c r="G99" s="8" t="inlineStr">
        <is>
          <t>Hecho</t>
        </is>
      </c>
      <c r="H99" s="8" t="inlineStr">
        <is>
          <t>6.10</t>
        </is>
      </c>
      <c r="I99" s="21">
        <f>IFERROR(INDEX(Plan!$B$5:$B$88,MATCH(H99,Plan!$A$5:$A$88,0)),"—")</f>
        <v/>
      </c>
      <c r="J99" s="7" t="inlineStr">
        <is>
          <t>Verificado con list_migrations el 23-sep: producción ya tiene 20260923173355_blindar_solicitudes_y_revisiones.</t>
        </is>
      </c>
    </row>
    <row r="100">
      <c r="A100" s="19" t="inlineStr">
        <is>
          <t>P-08</t>
        </is>
      </c>
      <c r="B100" s="4" t="inlineStr">
        <is>
          <t>Decisión</t>
        </is>
      </c>
      <c r="C100" s="4" t="inlineStr">
        <is>
          <t>/cuenta</t>
        </is>
      </c>
      <c r="D100" s="7" t="inlineStr">
        <is>
          <t>P-10: el asociado no cambia su nombre pero sí su teléfono</t>
        </is>
      </c>
      <c r="E100" s="7" t="inlineStr">
        <is>
          <t>Yo</t>
        </is>
      </c>
      <c r="F100" s="8" t="inlineStr">
        <is>
          <t>Media</t>
        </is>
      </c>
      <c r="G100" s="8" t="inlineStr">
        <is>
          <t>Hecho</t>
        </is>
      </c>
      <c r="H100" s="8" t="inlineStr">
        <is>
          <t>3.6</t>
        </is>
      </c>
      <c r="I100" s="21">
        <f>IFERROR(INDEX(Plan!$B$5:$B$88,MATCH(H100,Plan!$A$5:$A$88,0)),"—")</f>
        <v/>
      </c>
      <c r="J100" s="7" t="inlineStr">
        <is>
          <t>Apartado «Mis datos» ya maquetado.</t>
        </is>
      </c>
    </row>
    <row r="101">
      <c r="A101" s="19" t="inlineStr">
        <is>
          <t>P-100</t>
        </is>
      </c>
      <c r="B101" s="4" t="inlineStr">
        <is>
          <t>Decisión</t>
        </is>
      </c>
      <c r="C101" s="4" t="inlineStr">
        <is>
          <t>Seguridad</t>
        </is>
      </c>
      <c r="D101" s="7" t="inlineStr">
        <is>
          <t>Migración de permisos por columna para que un asociado no pueda leer la tasa de interés consultando la API directo con su sesión</t>
        </is>
      </c>
      <c r="E101" s="7" t="inlineStr">
        <is>
          <t>Sebas</t>
        </is>
      </c>
      <c r="F101" s="8" t="inlineStr">
        <is>
          <t>Media</t>
        </is>
      </c>
      <c r="G101" s="8" t="inlineStr">
        <is>
          <t>Hecho</t>
        </is>
      </c>
      <c r="H101" s="8" t="inlineStr">
        <is>
          <t>3.5</t>
        </is>
      </c>
      <c r="I101" s="21">
        <f>IFERROR(INDEX(Plan!$B$5:$B$88,MATCH(H101,Plan!$A$5:$A$88,0)),"—")</f>
        <v/>
      </c>
      <c r="J101"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02">
      <c r="A102" s="19" t="inlineStr">
        <is>
          <t>P-65</t>
        </is>
      </c>
      <c r="B102" s="4" t="inlineStr">
        <is>
          <t>Decisión</t>
        </is>
      </c>
      <c r="C102" s="4" t="inlineStr">
        <is>
          <t>Sorteo</t>
        </is>
      </c>
      <c r="D102" s="7" t="inlineStr">
        <is>
          <t>Decidir si un admin o un asesor pueden participar en el sorteo mensual</t>
        </is>
      </c>
      <c r="E102" s="7" t="inlineStr">
        <is>
          <t>Cooperativa</t>
        </is>
      </c>
      <c r="F102" s="8" t="inlineStr">
        <is>
          <t>Media</t>
        </is>
      </c>
      <c r="G102" s="8" t="inlineStr">
        <is>
          <t>Hecho</t>
        </is>
      </c>
      <c r="H102" s="8" t="inlineStr">
        <is>
          <t>3.9</t>
        </is>
      </c>
      <c r="I102" s="21">
        <f>IFERROR(INDEX(Plan!$B$5:$B$88,MATCH(H102,Plan!$A$5:$A$88,0)),"—")</f>
        <v/>
      </c>
      <c r="J102" s="7" t="inlineStr">
        <is>
          <t>Sugerido por ga-revisor-seguridad el 24-sep. 24-sep: decidido que solo participan asociados (S-13, ya implementado en participarSorteo).</t>
        </is>
      </c>
    </row>
    <row r="103">
      <c r="A103" s="19" t="inlineStr">
        <is>
          <t>P-95</t>
        </is>
      </c>
      <c r="B103" s="4" t="inlineStr">
        <is>
          <t>Decisión</t>
        </is>
      </c>
      <c r="C103" s="4" t="inlineStr">
        <is>
          <t>Admin</t>
        </is>
      </c>
      <c r="D103" s="7" t="inlineStr">
        <is>
          <t>Botón «Escribir por WhatsApp» en el detalle de afiliación del admin</t>
        </is>
      </c>
      <c r="E103" s="7" t="inlineStr">
        <is>
          <t>Cooperativa</t>
        </is>
      </c>
      <c r="F103" s="8" t="inlineStr">
        <is>
          <t>Media</t>
        </is>
      </c>
      <c r="G103" s="8" t="inlineStr">
        <is>
          <t>Hecho</t>
        </is>
      </c>
      <c r="H103" s="8" t="inlineStr">
        <is>
          <t>4.11</t>
        </is>
      </c>
      <c r="I103" s="21">
        <f>IFERROR(INDEX(Plan!$B$5:$B$88,MATCH(H103,Plan!$A$5:$A$88,0)),"—")</f>
        <v/>
      </c>
      <c r="J103"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04">
      <c r="A104" s="19" t="inlineStr">
        <is>
          <t>P-96</t>
        </is>
      </c>
      <c r="B104" s="4" t="inlineStr">
        <is>
          <t>Decisión</t>
        </is>
      </c>
      <c r="C104" s="4" t="inlineStr">
        <is>
          <t>Admin</t>
        </is>
      </c>
      <c r="D104" s="7" t="inlineStr">
        <is>
          <t>Asignar/desactivar el asesor de un asociado (proceso sin definir)</t>
        </is>
      </c>
      <c r="E104" s="7" t="inlineStr">
        <is>
          <t>Cooperativa</t>
        </is>
      </c>
      <c r="F104" s="8" t="inlineStr">
        <is>
          <t>Media</t>
        </is>
      </c>
      <c r="G104" s="8" t="inlineStr">
        <is>
          <t>Hecho</t>
        </is>
      </c>
      <c r="H104" s="8" t="inlineStr">
        <is>
          <t>4.11</t>
        </is>
      </c>
      <c r="I104" s="21">
        <f>IFERROR(INDEX(Plan!$B$5:$B$88,MATCH(H104,Plan!$A$5:$A$88,0)),"—")</f>
        <v/>
      </c>
      <c r="J104"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05">
      <c r="A105" s="19" t="inlineStr">
        <is>
          <t>P-97</t>
        </is>
      </c>
      <c r="B105" s="4" t="inlineStr">
        <is>
          <t>Decisión</t>
        </is>
      </c>
      <c r="C105" s="4" t="inlineStr">
        <is>
          <t>Admin</t>
        </is>
      </c>
      <c r="D105" s="7" t="inlineStr">
        <is>
          <t>Motivo de rechazo visible en el detalle de afiliación (requiere migración)</t>
        </is>
      </c>
      <c r="E105" s="7" t="inlineStr">
        <is>
          <t>Cooperativa</t>
        </is>
      </c>
      <c r="F105" s="8" t="inlineStr">
        <is>
          <t>Media</t>
        </is>
      </c>
      <c r="G105" s="8" t="inlineStr">
        <is>
          <t>Hecho</t>
        </is>
      </c>
      <c r="H105" s="8" t="inlineStr">
        <is>
          <t>4.11</t>
        </is>
      </c>
      <c r="I105" s="21">
        <f>IFERROR(INDEX(Plan!$B$5:$B$88,MATCH(H105,Plan!$A$5:$A$88,0)),"—")</f>
        <v/>
      </c>
      <c r="J105"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06">
      <c r="A106" s="19" t="inlineStr">
        <is>
          <t>P-01</t>
        </is>
      </c>
      <c r="B106" s="4" t="inlineStr">
        <is>
          <t>Decisión</t>
        </is>
      </c>
      <c r="C106" s="4" t="inlineStr">
        <is>
          <t>General</t>
        </is>
      </c>
      <c r="D106" s="7" t="inlineStr">
        <is>
          <t>Color de error #B3261E</t>
        </is>
      </c>
      <c r="E106" s="7" t="inlineStr">
        <is>
          <t>Yo</t>
        </is>
      </c>
      <c r="F106" s="8" t="inlineStr">
        <is>
          <t>Baja</t>
        </is>
      </c>
      <c r="G106" s="8" t="inlineStr">
        <is>
          <t>Hecho</t>
        </is>
      </c>
      <c r="H106" s="8" t="inlineStr">
        <is>
          <t>—</t>
        </is>
      </c>
      <c r="I106" s="21">
        <f>IFERROR(INDEX(Plan!$B$5:$B$88,MATCH(H106,Plan!$A$5:$A$88,0)),"—")</f>
        <v/>
      </c>
      <c r="J106" s="7" t="inlineStr">
        <is>
          <t>Se deja.</t>
        </is>
      </c>
    </row>
    <row r="107">
      <c r="A107" s="19" t="inlineStr">
        <is>
          <t>P-03</t>
        </is>
      </c>
      <c r="B107" s="4" t="inlineStr">
        <is>
          <t>Decisión</t>
        </is>
      </c>
      <c r="C107" s="4" t="inlineStr">
        <is>
          <t>/cuenta</t>
        </is>
      </c>
      <c r="D107" s="7" t="inlineStr">
        <is>
          <t>Estado vacío de «Tu solicitud»</t>
        </is>
      </c>
      <c r="E107" s="7" t="inlineStr">
        <is>
          <t>Yo</t>
        </is>
      </c>
      <c r="F107" s="8" t="inlineStr">
        <is>
          <t>Baja</t>
        </is>
      </c>
      <c r="G107" s="8" t="inlineStr">
        <is>
          <t>Hecho</t>
        </is>
      </c>
      <c r="H107" s="8" t="inlineStr">
        <is>
          <t>3.4</t>
        </is>
      </c>
      <c r="I107" s="21">
        <f>IFERROR(INDEX(Plan!$B$5:$B$88,MATCH(H107,Plan!$A$5:$A$88,0)),"—")</f>
        <v/>
      </c>
      <c r="J107" s="7" t="inlineStr">
        <is>
          <t>Ver con /cuenta?vacio=1.</t>
        </is>
      </c>
    </row>
    <row r="108">
      <c r="A108" s="19" t="inlineStr">
        <is>
          <t>P-04</t>
        </is>
      </c>
      <c r="B108" s="4" t="inlineStr">
        <is>
          <t>Decisión</t>
        </is>
      </c>
      <c r="C108" s="4" t="inlineStr">
        <is>
          <t>General</t>
        </is>
      </c>
      <c r="D108" s="7" t="inlineStr">
        <is>
          <t>Logo en celular como enlace a la landing</t>
        </is>
      </c>
      <c r="E108" s="7" t="inlineStr">
        <is>
          <t>Yo</t>
        </is>
      </c>
      <c r="F108" s="8" t="inlineStr">
        <is>
          <t>Baja</t>
        </is>
      </c>
      <c r="G108" s="8" t="inlineStr">
        <is>
          <t>Hecho</t>
        </is>
      </c>
      <c r="H108" s="8" t="inlineStr">
        <is>
          <t>—</t>
        </is>
      </c>
      <c r="I108" s="21">
        <f>IFERROR(INDEX(Plan!$B$5:$B$88,MATCH(H108,Plan!$A$5:$A$88,0)),"—")</f>
        <v/>
      </c>
      <c r="J108" s="7" t="inlineStr"/>
    </row>
    <row r="109">
      <c r="A109" s="19" t="inlineStr">
        <is>
          <t>P-05</t>
        </is>
      </c>
      <c r="B109" s="4" t="inlineStr">
        <is>
          <t>Decisión</t>
        </is>
      </c>
      <c r="C109" s="4" t="inlineStr">
        <is>
          <t>General</t>
        </is>
      </c>
      <c r="D109" s="7" t="inlineStr">
        <is>
          <t>Escudo: public/logos/vector/green-alliance-logo.svg</t>
        </is>
      </c>
      <c r="E109" s="7" t="inlineStr">
        <is>
          <t>Yo</t>
        </is>
      </c>
      <c r="F109" s="8" t="inlineStr">
        <is>
          <t>Baja</t>
        </is>
      </c>
      <c r="G109" s="8" t="inlineStr">
        <is>
          <t>Hecho</t>
        </is>
      </c>
      <c r="H109" s="8" t="inlineStr">
        <is>
          <t>—</t>
        </is>
      </c>
      <c r="I109" s="21">
        <f>IFERROR(INDEX(Plan!$B$5:$B$88,MATCH(H109,Plan!$A$5:$A$88,0)),"—")</f>
        <v/>
      </c>
      <c r="J109" s="7" t="inlineStr"/>
    </row>
    <row r="110">
      <c r="A110" s="19" t="inlineStr">
        <is>
          <t>P-06</t>
        </is>
      </c>
      <c r="B110" s="4" t="inlineStr">
        <is>
          <t>Decisión</t>
        </is>
      </c>
      <c r="C110" s="4" t="inlineStr">
        <is>
          <t>/ingresar</t>
        </is>
      </c>
      <c r="D110" s="7" t="inlineStr">
        <is>
          <t>Formulario de ingreso entre 640 y 767 px (columna de 440 px)</t>
        </is>
      </c>
      <c r="E110" s="7" t="inlineStr">
        <is>
          <t>Yo</t>
        </is>
      </c>
      <c r="F110" s="8" t="inlineStr">
        <is>
          <t>Baja</t>
        </is>
      </c>
      <c r="G110" s="8" t="inlineStr">
        <is>
          <t>Hecho</t>
        </is>
      </c>
      <c r="H110" s="8" t="inlineStr">
        <is>
          <t>5.2</t>
        </is>
      </c>
      <c r="I110" s="21">
        <f>IFERROR(INDEX(Plan!$B$5:$B$88,MATCH(H110,Plan!$A$5:$A$88,0)),"—")</f>
        <v/>
      </c>
      <c r="J110" s="7" t="inlineStr"/>
    </row>
    <row r="111">
      <c r="A111" s="19" t="inlineStr">
        <is>
          <t>P-07</t>
        </is>
      </c>
      <c r="B111" s="4" t="inlineStr">
        <is>
          <t>Decisión</t>
        </is>
      </c>
      <c r="C111" s="4" t="inlineStr">
        <is>
          <t>/ingresar</t>
        </is>
      </c>
      <c r="D111" s="7" t="inlineStr">
        <is>
          <t>Panel verde en tableta (640–1023 px) centrado</t>
        </is>
      </c>
      <c r="E111" s="7" t="inlineStr">
        <is>
          <t>Yo</t>
        </is>
      </c>
      <c r="F111" s="8" t="inlineStr">
        <is>
          <t>Baja</t>
        </is>
      </c>
      <c r="G111" s="8" t="inlineStr">
        <is>
          <t>Hecho</t>
        </is>
      </c>
      <c r="H111" s="8" t="inlineStr">
        <is>
          <t>5.2</t>
        </is>
      </c>
      <c r="I111" s="21">
        <f>IFERROR(INDEX(Plan!$B$5:$B$88,MATCH(H111,Plan!$A$5:$A$88,0)),"—")</f>
        <v/>
      </c>
      <c r="J111" s="7" t="inlineStr"/>
    </row>
    <row r="112">
      <c r="A112" s="19" t="inlineStr">
        <is>
          <t>P-103</t>
        </is>
      </c>
      <c r="B112" s="4" t="inlineStr">
        <is>
          <t>Decisión</t>
        </is>
      </c>
      <c r="C112" s="4" t="inlineStr">
        <is>
          <t>Landing</t>
        </is>
      </c>
      <c r="D112" s="7" t="inlineStr">
        <is>
          <t>D-07: ¿se mantiene la sección de testimonios de la landing? si sí, falta su diseño en la pieza 2a y de dónde salen los testimonios reales</t>
        </is>
      </c>
      <c r="E112" s="7" t="inlineStr">
        <is>
          <t>Cooperativa</t>
        </is>
      </c>
      <c r="F112" s="8" t="inlineStr">
        <is>
          <t>Baja</t>
        </is>
      </c>
      <c r="G112" s="8" t="inlineStr">
        <is>
          <t>Hecho</t>
        </is>
      </c>
      <c r="H112" s="8" t="inlineStr">
        <is>
          <t>2.14</t>
        </is>
      </c>
      <c r="I112" s="21">
        <f>IFERROR(INDEX(Plan!$B$5:$B$88,MATCH(H112,Plan!$A$5:$A$88,0)),"—")</f>
        <v/>
      </c>
      <c r="J112" s="7" t="inlineStr">
        <is>
          <t>27-sep: pedido de diseño nuevo de ga-verificador-qa (la sección no tiene respaldo en la pieza 2a del lienzo). Relacionado con P-16 (fotos/cifras/testimonios reales, 5.3). 27-sep: Sebas decidió quitar la sección de testimonios de la landing (commit 4c63924).</t>
        </is>
      </c>
    </row>
    <row r="113">
      <c r="A113" s="19" t="inlineStr">
        <is>
          <t>P-88</t>
        </is>
      </c>
      <c r="B113" s="4" t="inlineStr">
        <is>
          <t>Base de datos</t>
        </is>
      </c>
      <c r="C113" s="4" t="inlineStr">
        <is>
          <t>Seguridad</t>
        </is>
      </c>
      <c r="D113" s="7" t="inlineStr">
        <is>
          <t>F2-08: tr_componer_nombre_afiliacion no cubre el update directo de solicitudes_afiliacion.nombre por un admin</t>
        </is>
      </c>
      <c r="E113" s="7" t="inlineStr">
        <is>
          <t>ga-auditor-supabase</t>
        </is>
      </c>
      <c r="F113" s="8" t="inlineStr">
        <is>
          <t>Baja</t>
        </is>
      </c>
      <c r="G113" s="8" t="inlineStr">
        <is>
          <t>Pendiente</t>
        </is>
      </c>
      <c r="H113" s="8" t="inlineStr">
        <is>
          <t>1.6</t>
        </is>
      </c>
      <c r="I113" s="21">
        <f>IFERROR(INDEX(Plan!$B$5:$B$88,MATCH(H113,Plan!$A$5:$A$88,0)),"—")</f>
        <v/>
      </c>
      <c r="J113"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114">
      <c r="A114" s="19" t="inlineStr">
        <is>
          <t>P-101</t>
        </is>
      </c>
      <c r="B114" s="4" t="inlineStr">
        <is>
          <t>Seguridad</t>
        </is>
      </c>
      <c r="C114" s="4" t="inlineStr">
        <is>
          <t>Admin</t>
        </is>
      </c>
      <c r="D114" s="7" t="inlineStr">
        <is>
          <t>H2/M-01: cédula sin enmascarar de las «hermanas» en el detalle de afiliación viajaba completa a un client component</t>
        </is>
      </c>
      <c r="E114" s="7" t="inlineStr">
        <is>
          <t>sesión principal</t>
        </is>
      </c>
      <c r="F114" s="8" t="inlineStr">
        <is>
          <t>Media</t>
        </is>
      </c>
      <c r="G114" s="8" t="inlineStr">
        <is>
          <t>Hecho</t>
        </is>
      </c>
      <c r="H114" s="8" t="inlineStr">
        <is>
          <t>4.11</t>
        </is>
      </c>
      <c r="I114" s="21">
        <f>IFERROR(INDEX(Plan!$B$5:$B$88,MATCH(H114,Plan!$A$5:$A$88,0)),"—")</f>
        <v/>
      </c>
      <c r="J114"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15">
      <c r="A115" s="19" t="inlineStr">
        <is>
          <t>P-83</t>
        </is>
      </c>
      <c r="B115" s="4" t="inlineStr">
        <is>
          <t>Seguridad</t>
        </is>
      </c>
      <c r="C115" s="4" t="inlineStr">
        <is>
          <t>Correos</t>
        </is>
      </c>
      <c r="D115" s="7" t="inlineStr">
        <is>
          <t>S-15: escapar/validar HTML en las variables NOMBRE/MOTIVO de los correos de Resend</t>
        </is>
      </c>
      <c r="E115" s="7" t="inlineStr">
        <is>
          <t>ga-funcionalidad-botones</t>
        </is>
      </c>
      <c r="F115" s="8" t="inlineStr">
        <is>
          <t>Media</t>
        </is>
      </c>
      <c r="G115" s="8" t="inlineStr">
        <is>
          <t>Hecho</t>
        </is>
      </c>
      <c r="H115" s="8" t="inlineStr">
        <is>
          <t>6.2</t>
        </is>
      </c>
      <c r="I115" s="21">
        <f>IFERROR(INDEX(Plan!$B$5:$B$88,MATCH(H115,Plan!$A$5:$A$88,0)),"—")</f>
        <v/>
      </c>
      <c r="J115" s="7" t="inlineStr">
        <is>
          <t>25-sep: hallazgo de ga-revisor-seguridad (un admin puede meter HTML en perfiles.nombre_completo o en el motivo de rechazo). Corregido en local con pruebas (tests/unit/correo-resend.test.ts). 25-sep: desplegado con el PR #2 (merge 2c19d02).</t>
        </is>
      </c>
    </row>
    <row r="116">
      <c r="A116" s="19" t="inlineStr">
        <is>
          <t>P-84</t>
        </is>
      </c>
      <c r="B116" s="4" t="inlineStr">
        <is>
          <t>Código</t>
        </is>
      </c>
      <c r="C116" s="4" t="inlineStr">
        <is>
          <t>Configuración</t>
        </is>
      </c>
      <c r="D116" s="7" t="inlineStr">
        <is>
          <t>M-01: el número de WhatsApp se muestra sin espacios por un typo de regex en lib/config.ts</t>
        </is>
      </c>
      <c r="E116" s="7" t="inlineStr">
        <is>
          <t>ga-funcionalidad-botones</t>
        </is>
      </c>
      <c r="F116" s="8" t="inlineStr">
        <is>
          <t>Media</t>
        </is>
      </c>
      <c r="G116" s="8" t="inlineStr">
        <is>
          <t>Hecho</t>
        </is>
      </c>
      <c r="H116" s="8" t="inlineStr">
        <is>
          <t>5.3</t>
        </is>
      </c>
      <c r="I116" s="21">
        <f>IFERROR(INDEX(Plan!$B$5:$B$88,MATCH(H116,Plan!$A$5:$A$88,0)),"—")</f>
        <v/>
      </c>
      <c r="J116" s="7" t="inlineStr">
        <is>
          <t>25-sep: hallazgo de ga-verificador-qa (patrón sin la barra invertida de \D/\d; el enlace wa.me sí funciona). Corregido en local con pruebas (tests/unit/config-whatsapp.test.ts). 25-sep: desplegado con el PR #2 (merge 2c19d02); confirmado en vivo «311 724 1942».</t>
        </is>
      </c>
    </row>
    <row r="117">
      <c r="A117" s="19" t="inlineStr">
        <is>
          <t>P-99</t>
        </is>
      </c>
      <c r="B117" s="4" t="inlineStr">
        <is>
          <t>Seguridad</t>
        </is>
      </c>
      <c r="C117" s="4" t="inlineStr">
        <is>
          <t>/cuenta</t>
        </is>
      </c>
      <c r="D117" s="7" t="inlineStr">
        <is>
          <t>H1: la tasa de interés de la solicitud viajaba en las props de CuentaCliente aunque nunca se renderizara</t>
        </is>
      </c>
      <c r="E117" s="7" t="inlineStr">
        <is>
          <t>sesión principal</t>
        </is>
      </c>
      <c r="F117" s="8" t="inlineStr">
        <is>
          <t>Media</t>
        </is>
      </c>
      <c r="G117" s="8" t="inlineStr">
        <is>
          <t>Hecho</t>
        </is>
      </c>
      <c r="H117" s="8" t="inlineStr">
        <is>
          <t>3.5</t>
        </is>
      </c>
      <c r="I117" s="21">
        <f>IFERROR(INDEX(Plan!$B$5:$B$88,MATCH(H117,Plan!$A$5:$A$88,0)),"—")</f>
        <v/>
      </c>
      <c r="J117"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sheetData>
  <autoFilter ref="A4:J117"/>
  <conditionalFormatting sqref="G5:G117">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17">
    <cfRule type="expression" priority="5" dxfId="5">
      <formula>$F5="Alta"</formula>
    </cfRule>
    <cfRule type="expression" priority="6" dxfId="6">
      <formula>$F5="Media"</formula>
    </cfRule>
    <cfRule type="expression" priority="7" dxfId="7">
      <formula>$F5="Baja"</formula>
    </cfRule>
  </conditionalFormatting>
  <conditionalFormatting sqref="A5:F117">
    <cfRule type="expression" priority="8" dxfId="8">
      <formula>$G5="Hecho"</formula>
    </cfRule>
  </conditionalFormatting>
  <dataValidations count="2">
    <dataValidation sqref="G5:G117" showDropDown="0" showInputMessage="0" showErrorMessage="0" allowBlank="0" type="list">
      <formula1>"Hecho,En curso,Pendiente,Bloqueado"</formula1>
    </dataValidation>
    <dataValidation sqref="F5:F117"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9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2.5, 2.6</t>
        </is>
      </c>
      <c r="I9" s="18" t="inlineStr">
        <is>
          <t>B</t>
        </is>
      </c>
      <c r="J9" s="8" t="n">
        <v>4</v>
      </c>
      <c r="K9" s="8" t="n">
        <v>9</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6.19, 6.17</t>
        </is>
      </c>
      <c r="I10" s="18" t="inlineStr">
        <is>
          <t>A</t>
        </is>
      </c>
      <c r="J10" s="8" t="n">
        <v>14</v>
      </c>
      <c r="K10" s="8" t="n">
        <v>33</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3.1, 6.10</t>
        </is>
      </c>
      <c r="I11" s="18" t="inlineStr">
        <is>
          <t>B</t>
        </is>
      </c>
      <c r="J11" s="8" t="n">
        <v>6</v>
      </c>
      <c r="K11" s="8" t="n">
        <v>17</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6.18, 6.13</t>
        </is>
      </c>
      <c r="I12" s="18" t="inlineStr">
        <is>
          <t>B</t>
        </is>
      </c>
      <c r="J12" s="8" t="n">
        <v>36</v>
      </c>
      <c r="K12" s="8" t="n">
        <v>37</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2.2, 2.5</t>
        </is>
      </c>
      <c r="I13" s="18" t="inlineStr">
        <is>
          <t>B</t>
        </is>
      </c>
      <c r="J13" s="8" t="n">
        <v>6</v>
      </c>
      <c r="K13" s="8" t="n">
        <v>6</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2.1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4.1</t>
        </is>
      </c>
      <c r="I15" s="18" t="inlineStr">
        <is>
          <t>B</t>
        </is>
      </c>
      <c r="J15" s="8" t="n">
        <v>6</v>
      </c>
      <c r="K15" s="8" t="n">
        <v>24</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2.1, 1.5</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1.5</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2.14, 6.4</t>
        </is>
      </c>
      <c r="I19" s="18" t="inlineStr">
        <is>
          <t>B</t>
        </is>
      </c>
      <c r="J19" s="8" t="n">
        <v>14</v>
      </c>
      <c r="K19" s="8" t="n">
        <v>22</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6.17</t>
        </is>
      </c>
      <c r="I20" s="18" t="inlineStr">
        <is>
          <t>A</t>
        </is>
      </c>
      <c r="J20" s="8" t="n">
        <v>24</v>
      </c>
      <c r="K20" s="8" t="n">
        <v>36</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4.12, 4.13</t>
        </is>
      </c>
      <c r="I21" s="18" t="inlineStr">
        <is>
          <t>B</t>
        </is>
      </c>
      <c r="J21" s="8" t="n">
        <v>26</v>
      </c>
      <c r="K21" s="8" t="n">
        <v>42</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3.6</t>
        </is>
      </c>
      <c r="I22" s="18" t="inlineStr">
        <is>
          <t>B</t>
        </is>
      </c>
      <c r="J22" s="8" t="n">
        <v>46</v>
      </c>
      <c r="K22" s="8" t="n">
        <v>52</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3.7</t>
        </is>
      </c>
      <c r="I23" s="18" t="inlineStr">
        <is>
          <t>B</t>
        </is>
      </c>
      <c r="J23" s="8" t="n">
        <v>46</v>
      </c>
      <c r="K23" s="8" t="n">
        <v>56</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3.9</t>
        </is>
      </c>
      <c r="I24" s="18" t="inlineStr">
        <is>
          <t>B</t>
        </is>
      </c>
      <c r="J24" s="8" t="n">
        <v>46</v>
      </c>
      <c r="K24" s="8" t="n">
        <v>60</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4.8</t>
        </is>
      </c>
      <c r="I25" s="18" t="inlineStr">
        <is>
          <t>A</t>
        </is>
      </c>
      <c r="J25" s="8" t="n">
        <v>64</v>
      </c>
      <c r="K25" s="8" t="n">
        <v>80</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3.4, 2.7</t>
        </is>
      </c>
      <c r="I26" s="18" t="inlineStr">
        <is>
          <t>A</t>
        </is>
      </c>
      <c r="J26" s="8" t="n">
        <v>19</v>
      </c>
      <c r="K26" s="8" t="n">
        <v>19</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4.1, 4.11</t>
        </is>
      </c>
      <c r="I27" s="18" t="inlineStr">
        <is>
          <t>B</t>
        </is>
      </c>
      <c r="J27" s="8" t="n">
        <v>26</v>
      </c>
      <c r="K27" s="8" t="n">
        <v>26</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4.6, 1.7</t>
        </is>
      </c>
      <c r="I28" s="18" t="inlineStr">
        <is>
          <t>A</t>
        </is>
      </c>
      <c r="J28" s="8" t="n">
        <v>4</v>
      </c>
      <c r="K28" s="8" t="n">
        <v>14</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4.9, 5.1</t>
        </is>
      </c>
      <c r="I29" s="18" t="inlineStr">
        <is>
          <t>B</t>
        </is>
      </c>
      <c r="J29" s="8" t="n">
        <v>18</v>
      </c>
      <c r="K29" s="8" t="n">
        <v>73</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4.13</t>
        </is>
      </c>
      <c r="I30" s="18" t="inlineStr">
        <is>
          <t>B</t>
        </is>
      </c>
      <c r="J30" s="8" t="n">
        <v>18</v>
      </c>
      <c r="K30" s="8" t="n">
        <v>46</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2.14</t>
        </is>
      </c>
      <c r="I31" s="18" t="inlineStr">
        <is>
          <t>B</t>
        </is>
      </c>
      <c r="J31" s="8" t="n">
        <v>6</v>
      </c>
      <c r="K31" s="8" t="n">
        <v>19</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5.2</t>
        </is>
      </c>
      <c r="I32" s="18" t="inlineStr">
        <is>
          <t>A</t>
        </is>
      </c>
      <c r="J32" s="8" t="n">
        <v>24</v>
      </c>
      <c r="K32" s="8" t="n">
        <v>49</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2.10, 4.5</t>
        </is>
      </c>
      <c r="I33" s="18" t="inlineStr">
        <is>
          <t>A</t>
        </is>
      </c>
      <c r="J33" s="8" t="n">
        <v>52</v>
      </c>
      <c r="K33" s="8" t="n">
        <v>52</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2.11, 6.11, 6.9</t>
        </is>
      </c>
      <c r="I34" s="18" t="inlineStr">
        <is>
          <t>A</t>
        </is>
      </c>
      <c r="J34" s="8" t="n">
        <v>52</v>
      </c>
      <c r="K34" s="8" t="n">
        <v>56</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2.12</t>
        </is>
      </c>
      <c r="I35" s="18" t="inlineStr">
        <is>
          <t>A</t>
        </is>
      </c>
      <c r="J35" s="8" t="n">
        <v>52</v>
      </c>
      <c r="K35" s="8" t="n">
        <v>60</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4.11, 4.10</t>
        </is>
      </c>
      <c r="I36" s="18" t="inlineStr">
        <is>
          <t>B</t>
        </is>
      </c>
      <c r="J36" s="8" t="n">
        <v>22</v>
      </c>
      <c r="K36" s="8" t="n">
        <v>30</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2.3, 2.15</t>
        </is>
      </c>
      <c r="I37" s="18" t="inlineStr">
        <is>
          <t>A</t>
        </is>
      </c>
      <c r="J37" s="8" t="n">
        <v>24</v>
      </c>
      <c r="K37" s="8" t="n">
        <v>24</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4.12</t>
        </is>
      </c>
      <c r="I38" s="18" t="inlineStr">
        <is>
          <t>B</t>
        </is>
      </c>
      <c r="J38" s="8" t="n">
        <v>28</v>
      </c>
      <c r="K38" s="8" t="n">
        <v>39</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4.5</t>
        </is>
      </c>
      <c r="I39" s="18" t="inlineStr">
        <is>
          <t>A</t>
        </is>
      </c>
      <c r="J39" s="8" t="n">
        <v>42</v>
      </c>
      <c r="K39" s="8" t="n">
        <v>54</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4.15, 6.8</t>
        </is>
      </c>
      <c r="I40" s="18" t="inlineStr">
        <is>
          <t>B</t>
        </is>
      </c>
      <c r="J40" s="8" t="n">
        <v>4</v>
      </c>
      <c r="K40" s="8" t="n">
        <v>69</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3.6, 4.3</t>
        </is>
      </c>
      <c r="I41" s="18" t="inlineStr">
        <is>
          <t>B</t>
        </is>
      </c>
      <c r="J41" s="8" t="n">
        <v>46</v>
      </c>
      <c r="K41" s="8" t="n">
        <v>53</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3.1</t>
        </is>
      </c>
      <c r="I42" s="18" t="inlineStr">
        <is>
          <t>B</t>
        </is>
      </c>
      <c r="J42" s="8" t="n">
        <v>14</v>
      </c>
      <c r="K42" s="8" t="n">
        <v>14</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4.14</t>
        </is>
      </c>
      <c r="I43" s="18" t="inlineStr">
        <is>
          <t>B</t>
        </is>
      </c>
      <c r="J43" s="8" t="n">
        <v>28</v>
      </c>
      <c r="K43" s="8" t="n">
        <v>65</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5.8, 2.13</t>
        </is>
      </c>
      <c r="I44" s="18" t="inlineStr">
        <is>
          <t>B</t>
        </is>
      </c>
      <c r="J44" s="8" t="n">
        <v>17</v>
      </c>
      <c r="K44" s="8" t="n">
        <v>79</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3.2</t>
        </is>
      </c>
      <c r="I45" s="18" t="inlineStr">
        <is>
          <t>A</t>
        </is>
      </c>
      <c r="J45" s="8" t="n">
        <v>28</v>
      </c>
      <c r="K45" s="8" t="n">
        <v>73</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3.10</t>
        </is>
      </c>
      <c r="I46" s="18" t="inlineStr">
        <is>
          <t>A</t>
        </is>
      </c>
      <c r="J46" s="8" t="n">
        <v>19</v>
      </c>
      <c r="K46" s="8" t="n">
        <v>31</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2.15, 6.16, 3.10</t>
        </is>
      </c>
      <c r="I47" s="18" t="inlineStr">
        <is>
          <t>A</t>
        </is>
      </c>
      <c r="J47" s="8" t="n">
        <v>28</v>
      </c>
      <c r="K47" s="8" t="n">
        <v>28</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3.2, 5.13</t>
        </is>
      </c>
      <c r="I48" s="18" t="inlineStr">
        <is>
          <t>A</t>
        </is>
      </c>
      <c r="J48" s="8" t="n">
        <v>22</v>
      </c>
      <c r="K48" s="8" t="n">
        <v>75</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3.5</t>
        </is>
      </c>
      <c r="I49" s="18" t="inlineStr">
        <is>
          <t>B</t>
        </is>
      </c>
      <c r="J49" s="8" t="n">
        <v>26</v>
      </c>
      <c r="K49" s="8" t="n">
        <v>49</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5.4, 6.2</t>
        </is>
      </c>
      <c r="I50" s="18" t="inlineStr">
        <is>
          <t>B</t>
        </is>
      </c>
      <c r="J50" s="8" t="n">
        <v>83</v>
      </c>
      <c r="K50" s="8" t="n">
        <v>83</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30-sep: fotos reales de la landing por llegar (cooperativa); cifras ya corregidas (§12).</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5.3</t>
        </is>
      </c>
      <c r="I51" s="18" t="inlineStr">
        <is>
          <t>A</t>
        </is>
      </c>
      <c r="J51" s="8" t="n">
        <v>83</v>
      </c>
      <c r="K51" s="8" t="n">
        <v>83</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30-sep: política v1 del Dr. Breinner publicada en la rama politica-datos-v1; falta su revisión de 7.3, 8 y 18 (selfie como dato sensible; aclarar que no se reporta a centrales).</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5.6</t>
        </is>
      </c>
      <c r="I52" s="18" t="inlineStr">
        <is>
          <t>A</t>
        </is>
      </c>
      <c r="J52" s="8" t="n">
        <v>59</v>
      </c>
      <c r="K52" s="8" t="n">
        <v>64</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5.5</t>
        </is>
      </c>
      <c r="I53" s="18" t="inlineStr">
        <is>
          <t>B</t>
        </is>
      </c>
      <c r="J53" s="8" t="n">
        <v>59</v>
      </c>
      <c r="K53" s="8" t="n">
        <v>64</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5.10</t>
        </is>
      </c>
      <c r="I54" s="18" t="inlineStr">
        <is>
          <t>A</t>
        </is>
      </c>
      <c r="J54" s="8" t="n">
        <v>9</v>
      </c>
      <c r="K54" s="8" t="n">
        <v>77</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4.8</t>
        </is>
      </c>
      <c r="I55" s="18" t="inlineStr">
        <is>
          <t>A</t>
        </is>
      </c>
      <c r="J55" s="8" t="n">
        <v>79</v>
      </c>
      <c r="K55" s="8" t="n">
        <v>79</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6.15, 6.21</t>
        </is>
      </c>
      <c r="I56" s="18" t="inlineStr">
        <is>
          <t>A</t>
        </is>
      </c>
      <c r="J56" s="8" t="n">
        <v>83</v>
      </c>
      <c r="K56" s="8" t="n">
        <v>97</v>
      </c>
      <c r="L56" s="8">
        <f>K56+E56</f>
        <v/>
      </c>
      <c r="M56" s="8">
        <f>K56-J56</f>
        <v/>
      </c>
      <c r="N56" s="8">
        <f>"S"&amp;(INT(K56/Resumen!$C$5)+1)&amp;"–S"&amp;MAX(INT(K56/Resumen!$C$5)+1,ROUNDUP(L56/Resumen!$C$5,0))</f>
        <v/>
      </c>
      <c r="O56" s="8" t="inlineStr">
        <is>
          <t>Pendiente</t>
        </is>
      </c>
      <c r="P56" s="8" t="inlineStr">
        <is>
          <t>Agregado</t>
        </is>
      </c>
      <c r="Q56" s="7" t="inlineStr">
        <is>
          <t>ga-funcionalidad-botones (antes 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5.7</t>
        </is>
      </c>
      <c r="I57" s="18" t="inlineStr">
        <is>
          <t>B</t>
        </is>
      </c>
      <c r="J57" s="8" t="n">
        <v>64</v>
      </c>
      <c r="K57" s="8" t="n">
        <v>77</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6.2, 6.12, 6.14</t>
        </is>
      </c>
      <c r="I58" s="18" t="inlineStr">
        <is>
          <t>B</t>
        </is>
      </c>
      <c r="J58" s="8" t="n">
        <v>83</v>
      </c>
      <c r="K58" s="8" t="n">
        <v>85</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5.3, 6.1</t>
        </is>
      </c>
      <c r="I59" s="18" t="inlineStr">
        <is>
          <t>A</t>
        </is>
      </c>
      <c r="J59" s="8" t="n">
        <v>83</v>
      </c>
      <c r="K59" s="8" t="n">
        <v>84</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5.11, 6.24</t>
        </is>
      </c>
      <c r="I60" s="18" t="inlineStr">
        <is>
          <t>A</t>
        </is>
      </c>
      <c r="J60" s="8" t="n">
        <v>88</v>
      </c>
      <c r="K60" s="8" t="n">
        <v>88</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2.7</t>
        </is>
      </c>
      <c r="I61" s="18" t="inlineStr">
        <is>
          <t>A</t>
        </is>
      </c>
      <c r="J61" s="8" t="n">
        <v>0</v>
      </c>
      <c r="K61" s="8" t="n">
        <v>23</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91</v>
      </c>
      <c r="K62" s="8" t="n">
        <v>91</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6.7, 5.12</t>
        </is>
      </c>
      <c r="I63" s="18" t="inlineStr">
        <is>
          <t>A</t>
        </is>
      </c>
      <c r="J63" s="8" t="n">
        <v>93</v>
      </c>
      <c r="K63" s="8" t="n">
        <v>93</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B</t>
        </is>
      </c>
      <c r="J64" s="8" t="n">
        <v>93</v>
      </c>
      <c r="K64" s="8" t="n">
        <v>93</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4.4</t>
        </is>
      </c>
      <c r="I65" s="18" t="inlineStr">
        <is>
          <t>A</t>
        </is>
      </c>
      <c r="J65" s="8" t="n">
        <v>46</v>
      </c>
      <c r="K65" s="8" t="n">
        <v>72</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3.7</t>
        </is>
      </c>
      <c r="I66" s="18" t="inlineStr">
        <is>
          <t>B</t>
        </is>
      </c>
      <c r="J66" s="8" t="n">
        <v>58</v>
      </c>
      <c r="K66" s="8" t="n">
        <v>58</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1.7</t>
        </is>
      </c>
      <c r="I67" s="18" t="inlineStr">
        <is>
          <t>A</t>
        </is>
      </c>
      <c r="J67" s="8" t="n">
        <v>18</v>
      </c>
      <c r="K67" s="8" t="n">
        <v>18</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3.7</t>
        </is>
      </c>
      <c r="I68" s="18" t="inlineStr">
        <is>
          <t>B</t>
        </is>
      </c>
      <c r="J68" s="8" t="n">
        <v>46</v>
      </c>
      <c r="K68" s="8" t="n">
        <v>57</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6.1</t>
        </is>
      </c>
      <c r="I69" s="18" t="inlineStr">
        <is>
          <t>A</t>
        </is>
      </c>
      <c r="J69" s="8" t="n">
        <v>83</v>
      </c>
      <c r="K69" s="8" t="n">
        <v>86</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1.8</t>
        </is>
      </c>
      <c r="I70" s="18" t="inlineStr">
        <is>
          <t>A</t>
        </is>
      </c>
      <c r="J70" s="8" t="n">
        <v>36</v>
      </c>
      <c r="K70" s="8" t="n">
        <v>38</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6.1</t>
        </is>
      </c>
      <c r="I71" s="18" t="inlineStr">
        <is>
          <t>A</t>
        </is>
      </c>
      <c r="J71" s="8" t="n">
        <v>83</v>
      </c>
      <c r="K71" s="8" t="n">
        <v>87</v>
      </c>
      <c r="L71" s="8">
        <f>K71+E71</f>
        <v/>
      </c>
      <c r="M71" s="8">
        <f>K71-J71</f>
        <v/>
      </c>
      <c r="N71" s="8">
        <f>"S"&amp;(INT(K71/Resumen!$C$5)+1)&amp;"–S"&amp;MAX(INT(K71/Resumen!$C$5)+1,ROUNDUP(L71/Resumen!$C$5,0))</f>
        <v/>
      </c>
      <c r="O71" s="8" t="inlineStr">
        <is>
          <t>Pendiente</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5.9</t>
        </is>
      </c>
      <c r="I72" s="18" t="inlineStr">
        <is>
          <t>B</t>
        </is>
      </c>
      <c r="J72" s="8" t="n">
        <v>88</v>
      </c>
      <c r="K72" s="8" t="n">
        <v>97</v>
      </c>
      <c r="L72" s="8">
        <f>K72+E72</f>
        <v/>
      </c>
      <c r="M72" s="8">
        <f>K72-J72</f>
        <v/>
      </c>
      <c r="N72" s="8">
        <f>"S"&amp;(INT(K72/Resumen!$C$5)+1)&amp;"–S"&amp;MAX(INT(K72/Resumen!$C$5)+1,ROUNDUP(L72/Resumen!$C$5,0))</f>
        <v/>
      </c>
      <c r="O72" s="8" t="inlineStr">
        <is>
          <t>Bloqueado</t>
        </is>
      </c>
      <c r="P72" s="8" t="inlineStr">
        <is>
          <t>Agregado</t>
        </is>
      </c>
      <c r="Q72" s="7" t="inlineStr">
        <is>
          <t>ga-verificador-qa (antes Carlos Pardo)</t>
        </is>
      </c>
      <c r="R72" s="7" t="inlineStr">
        <is>
          <t>Docker Desktop se cayó y Supabase local no responde: Sebas reinicia Docker, supabase db reset y corre Playwright (-c tests/e2e/playwright.config.ts).</t>
        </is>
      </c>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4.11</t>
        </is>
      </c>
      <c r="I73" s="18" t="inlineStr">
        <is>
          <t>B</t>
        </is>
      </c>
      <c r="J73" s="8" t="n">
        <v>29</v>
      </c>
      <c r="K73" s="8" t="n">
        <v>29</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1.6</t>
        </is>
      </c>
      <c r="I74" s="18" t="inlineStr">
        <is>
          <t>B</t>
        </is>
      </c>
      <c r="J74" s="8" t="n">
        <v>29</v>
      </c>
      <c r="K74" s="8" t="n">
        <v>33</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1.6, 2.8</t>
        </is>
      </c>
      <c r="I75" s="18" t="inlineStr">
        <is>
          <t>B</t>
        </is>
      </c>
      <c r="J75" s="8" t="n">
        <v>34</v>
      </c>
      <c r="K75" s="8" t="n">
        <v>34</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1.8</t>
        </is>
      </c>
      <c r="I76" s="18" t="inlineStr">
        <is>
          <t>A</t>
        </is>
      </c>
      <c r="J76" s="8" t="n">
        <v>37</v>
      </c>
      <c r="K76" s="8" t="n">
        <v>37</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4.2, 2.9</t>
        </is>
      </c>
      <c r="I77" s="18" t="inlineStr">
        <is>
          <t>A</t>
        </is>
      </c>
      <c r="J77" s="8" t="n">
        <v>39</v>
      </c>
      <c r="K77" s="8" t="n">
        <v>39</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2.9, 3.3</t>
        </is>
      </c>
      <c r="I78" s="18" t="inlineStr">
        <is>
          <t>A</t>
        </is>
      </c>
      <c r="J78" s="8" t="n">
        <v>44</v>
      </c>
      <c r="K78" s="8" t="n">
        <v>44</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49</v>
      </c>
      <c r="K79" s="8" t="n">
        <v>59</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4.7</t>
        </is>
      </c>
      <c r="I80" s="18" t="inlineStr">
        <is>
          <t>A</t>
        </is>
      </c>
      <c r="J80" s="8" t="n">
        <v>60</v>
      </c>
      <c r="K80" s="8" t="n">
        <v>65</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4.4</t>
        </is>
      </c>
      <c r="I81" s="18" t="inlineStr">
        <is>
          <t>A</t>
        </is>
      </c>
      <c r="J81" s="8" t="n">
        <v>69</v>
      </c>
      <c r="K81" s="8" t="n">
        <v>69</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5.9</t>
        </is>
      </c>
      <c r="I82" s="18" t="inlineStr">
        <is>
          <t>B</t>
        </is>
      </c>
      <c r="J82" s="8" t="n">
        <v>83</v>
      </c>
      <c r="K82" s="8" t="n">
        <v>98</v>
      </c>
      <c r="L82" s="8">
        <f>K82+E82</f>
        <v/>
      </c>
      <c r="M82" s="8">
        <f>K82-J82</f>
        <v/>
      </c>
      <c r="N82" s="8">
        <f>"S"&amp;(INT(K82/Resumen!$C$5)+1)&amp;"–S"&amp;MAX(INT(K82/Resumen!$C$5)+1,ROUNDUP(L82/Resumen!$C$5,0))</f>
        <v/>
      </c>
      <c r="O82" s="8" t="inlineStr">
        <is>
          <t>Bloqueado</t>
        </is>
      </c>
      <c r="P82" s="8" t="inlineStr">
        <is>
          <t>Agregado</t>
        </is>
      </c>
      <c r="Q82" s="7" t="inlineStr">
        <is>
          <t>ga-verificador-qa</t>
        </is>
      </c>
      <c r="R82" s="7" t="inlineStr">
        <is>
          <t>Docker Desktop se cayó y Supabase local no responde: Sebas reinicia Docker, supabase db reset y corre Playwright (-c tests/e2e/playwright.config.ts).</t>
        </is>
      </c>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69</v>
      </c>
      <c r="K83" s="8" t="n">
        <v>82</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6.3</t>
        </is>
      </c>
      <c r="I84" s="18" t="inlineStr">
        <is>
          <t>B</t>
        </is>
      </c>
      <c r="J84" s="8" t="n">
        <v>83</v>
      </c>
      <c r="K84" s="8" t="n">
        <v>88</v>
      </c>
      <c r="L84" s="8">
        <f>K84+E84</f>
        <v/>
      </c>
      <c r="M84" s="8">
        <f>K84-J84</f>
        <v/>
      </c>
      <c r="N84" s="8">
        <f>"S"&amp;(INT(K84/Resumen!$C$5)+1)&amp;"–S"&amp;MAX(INT(K84/Resumen!$C$5)+1,ROUNDUP(L84/Resumen!$C$5,0))</f>
        <v/>
      </c>
      <c r="O84" s="8" t="inlineStr">
        <is>
          <t>Pendiente</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6.6</t>
        </is>
      </c>
      <c r="I85" s="18" t="inlineStr">
        <is>
          <t>B</t>
        </is>
      </c>
      <c r="J85" s="8" t="n">
        <v>83</v>
      </c>
      <c r="K85" s="8" t="n">
        <v>94</v>
      </c>
      <c r="L85" s="8">
        <f>K85+E85</f>
        <v/>
      </c>
      <c r="M85" s="8">
        <f>K85-J85</f>
        <v/>
      </c>
      <c r="N85" s="8">
        <f>"S"&amp;(INT(K85/Resumen!$C$5)+1)&amp;"–S"&amp;MAX(INT(K85/Resumen!$C$5)+1,ROUNDUP(L85/Resumen!$C$5,0))</f>
        <v/>
      </c>
      <c r="O85" s="8" t="inlineStr">
        <is>
          <t>Pendiente</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5.1</t>
        </is>
      </c>
      <c r="I86" s="18" t="inlineStr">
        <is>
          <t>B</t>
        </is>
      </c>
      <c r="J86" s="8" t="n">
        <v>52</v>
      </c>
      <c r="K86" s="8" t="n">
        <v>76</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83</v>
      </c>
      <c r="K87" s="8" t="n">
        <v>96</v>
      </c>
      <c r="L87" s="8">
        <f>K87+E87</f>
        <v/>
      </c>
      <c r="M87" s="8">
        <f>K87-J87</f>
        <v/>
      </c>
      <c r="N87" s="8">
        <f>"S"&amp;(INT(K87/Resumen!$C$5)+1)&amp;"–S"&amp;MAX(INT(K87/Resumen!$C$5)+1,ROUNDUP(L87/Resumen!$C$5,0))</f>
        <v/>
      </c>
      <c r="O87" s="8" t="inlineStr">
        <is>
          <t>Pendiente</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t>
        </is>
      </c>
      <c r="H88" s="7" t="inlineStr">
        <is>
          <t>6.3</t>
        </is>
      </c>
      <c r="I88" s="18" t="inlineStr">
        <is>
          <t>B</t>
        </is>
      </c>
      <c r="J88" s="8" t="n">
        <v>83</v>
      </c>
      <c r="K88" s="8" t="n">
        <v>90</v>
      </c>
      <c r="L88" s="8">
        <f>K88+E88</f>
        <v/>
      </c>
      <c r="M88" s="8">
        <f>K88-J88</f>
        <v/>
      </c>
      <c r="N88" s="8">
        <f>"S"&amp;(INT(K88/Resumen!$C$5)+1)&amp;"–S"&amp;MAX(INT(K88/Resumen!$C$5)+1,ROUNDUP(L88/Resumen!$C$5,0))</f>
        <v/>
      </c>
      <c r="O88" s="8" t="inlineStr">
        <is>
          <t>Pendiente</t>
        </is>
      </c>
      <c r="P88" s="8" t="inlineStr">
        <is>
          <t>Agregado</t>
        </is>
      </c>
      <c r="Q88" s="7" t="inlineStr">
        <is>
          <t>Sebas</t>
        </is>
      </c>
      <c r="R88" s="7" t="inlineStr"/>
    </row>
    <row r="90">
      <c r="A90" s="3" t="inlineStr">
        <is>
          <t>Notas</t>
        </is>
      </c>
    </row>
    <row r="91">
      <c r="A91" s="2" t="inlineStr">
        <is>
          <t>Peso (azul, fondo amarillo) = dato de entrada; 1 punto de peso = 1 bloque de tiempo (ver hoja Pesos).</t>
        </is>
      </c>
    </row>
    <row r="92">
      <c r="A92" s="2" t="inlineStr">
        <is>
          <t>«Origen: Agregado» = actividad que no estaba en la propuesta del 31-ago (p. ej. ingreso con código, afiliación, importación).</t>
        </is>
      </c>
    </row>
    <row r="93">
      <c r="A93" s="2" t="inlineStr">
        <is>
          <t>«En paralelo con» lista las tareas que comparten tiempo con esta en el plan optimizado.</t>
        </is>
      </c>
    </row>
    <row r="94">
      <c r="A94" s="2" t="inlineStr">
        <is>
          <t>Espera en cola = bloques entre que la tarea queda lista y una fila la toma.</t>
        </is>
      </c>
    </row>
  </sheetData>
  <autoFilter ref="A4:R88"/>
  <conditionalFormatting sqref="O5:O88">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88"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C98"/>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row>
    <row r="6" ht="26" customHeight="1">
      <c r="A6" s="25" t="inlineStr">
        <is>
          <t>Fila A — tarea en curso</t>
        </is>
      </c>
      <c r="H6" s="26">
        <f>IF(SUMPRODUCT(((Plan!$I$5:$I$88="A")+(Plan!$I$5:$I$88="A+B"))*(Plan!$K$5:$K$88&lt;H$5)*(Plan!$L$5:$L$88&gt;=H$5))=0,"",INDEX(Plan!$A$5:$A$88,SUMPRODUCT(((Plan!$I$5:$I$88="A")+(Plan!$I$5:$I$88="A+B"))*(Plan!$K$5:$K$88&lt;H$5)*(Plan!$L$5:$L$88&gt;=H$5)*(ROW(Plan!$A$5:$A$88)-4))))</f>
        <v/>
      </c>
      <c r="I6" s="26">
        <f>IF(SUMPRODUCT(((Plan!$I$5:$I$88="A")+(Plan!$I$5:$I$88="A+B"))*(Plan!$K$5:$K$88&lt;I$5)*(Plan!$L$5:$L$88&gt;=I$5))=0,"",INDEX(Plan!$A$5:$A$88,SUMPRODUCT(((Plan!$I$5:$I$88="A")+(Plan!$I$5:$I$88="A+B"))*(Plan!$K$5:$K$88&lt;I$5)*(Plan!$L$5:$L$88&gt;=I$5)*(ROW(Plan!$A$5:$A$88)-4))))</f>
        <v/>
      </c>
      <c r="J6" s="26">
        <f>IF(SUMPRODUCT(((Plan!$I$5:$I$88="A")+(Plan!$I$5:$I$88="A+B"))*(Plan!$K$5:$K$88&lt;J$5)*(Plan!$L$5:$L$88&gt;=J$5))=0,"",INDEX(Plan!$A$5:$A$88,SUMPRODUCT(((Plan!$I$5:$I$88="A")+(Plan!$I$5:$I$88="A+B"))*(Plan!$K$5:$K$88&lt;J$5)*(Plan!$L$5:$L$88&gt;=J$5)*(ROW(Plan!$A$5:$A$88)-4))))</f>
        <v/>
      </c>
      <c r="K6" s="26">
        <f>IF(SUMPRODUCT(((Plan!$I$5:$I$88="A")+(Plan!$I$5:$I$88="A+B"))*(Plan!$K$5:$K$88&lt;K$5)*(Plan!$L$5:$L$88&gt;=K$5))=0,"",INDEX(Plan!$A$5:$A$88,SUMPRODUCT(((Plan!$I$5:$I$88="A")+(Plan!$I$5:$I$88="A+B"))*(Plan!$K$5:$K$88&lt;K$5)*(Plan!$L$5:$L$88&gt;=K$5)*(ROW(Plan!$A$5:$A$88)-4))))</f>
        <v/>
      </c>
      <c r="L6" s="26">
        <f>IF(SUMPRODUCT(((Plan!$I$5:$I$88="A")+(Plan!$I$5:$I$88="A+B"))*(Plan!$K$5:$K$88&lt;L$5)*(Plan!$L$5:$L$88&gt;=L$5))=0,"",INDEX(Plan!$A$5:$A$88,SUMPRODUCT(((Plan!$I$5:$I$88="A")+(Plan!$I$5:$I$88="A+B"))*(Plan!$K$5:$K$88&lt;L$5)*(Plan!$L$5:$L$88&gt;=L$5)*(ROW(Plan!$A$5:$A$88)-4))))</f>
        <v/>
      </c>
      <c r="M6" s="26">
        <f>IF(SUMPRODUCT(((Plan!$I$5:$I$88="A")+(Plan!$I$5:$I$88="A+B"))*(Plan!$K$5:$K$88&lt;M$5)*(Plan!$L$5:$L$88&gt;=M$5))=0,"",INDEX(Plan!$A$5:$A$88,SUMPRODUCT(((Plan!$I$5:$I$88="A")+(Plan!$I$5:$I$88="A+B"))*(Plan!$K$5:$K$88&lt;M$5)*(Plan!$L$5:$L$88&gt;=M$5)*(ROW(Plan!$A$5:$A$88)-4))))</f>
        <v/>
      </c>
      <c r="N6" s="26">
        <f>IF(SUMPRODUCT(((Plan!$I$5:$I$88="A")+(Plan!$I$5:$I$88="A+B"))*(Plan!$K$5:$K$88&lt;N$5)*(Plan!$L$5:$L$88&gt;=N$5))=0,"",INDEX(Plan!$A$5:$A$88,SUMPRODUCT(((Plan!$I$5:$I$88="A")+(Plan!$I$5:$I$88="A+B"))*(Plan!$K$5:$K$88&lt;N$5)*(Plan!$L$5:$L$88&gt;=N$5)*(ROW(Plan!$A$5:$A$88)-4))))</f>
        <v/>
      </c>
      <c r="O6" s="26">
        <f>IF(SUMPRODUCT(((Plan!$I$5:$I$88="A")+(Plan!$I$5:$I$88="A+B"))*(Plan!$K$5:$K$88&lt;O$5)*(Plan!$L$5:$L$88&gt;=O$5))=0,"",INDEX(Plan!$A$5:$A$88,SUMPRODUCT(((Plan!$I$5:$I$88="A")+(Plan!$I$5:$I$88="A+B"))*(Plan!$K$5:$K$88&lt;O$5)*(Plan!$L$5:$L$88&gt;=O$5)*(ROW(Plan!$A$5:$A$88)-4))))</f>
        <v/>
      </c>
      <c r="P6" s="26">
        <f>IF(SUMPRODUCT(((Plan!$I$5:$I$88="A")+(Plan!$I$5:$I$88="A+B"))*(Plan!$K$5:$K$88&lt;P$5)*(Plan!$L$5:$L$88&gt;=P$5))=0,"",INDEX(Plan!$A$5:$A$88,SUMPRODUCT(((Plan!$I$5:$I$88="A")+(Plan!$I$5:$I$88="A+B"))*(Plan!$K$5:$K$88&lt;P$5)*(Plan!$L$5:$L$88&gt;=P$5)*(ROW(Plan!$A$5:$A$88)-4))))</f>
        <v/>
      </c>
      <c r="Q6" s="26">
        <f>IF(SUMPRODUCT(((Plan!$I$5:$I$88="A")+(Plan!$I$5:$I$88="A+B"))*(Plan!$K$5:$K$88&lt;Q$5)*(Plan!$L$5:$L$88&gt;=Q$5))=0,"",INDEX(Plan!$A$5:$A$88,SUMPRODUCT(((Plan!$I$5:$I$88="A")+(Plan!$I$5:$I$88="A+B"))*(Plan!$K$5:$K$88&lt;Q$5)*(Plan!$L$5:$L$88&gt;=Q$5)*(ROW(Plan!$A$5:$A$88)-4))))</f>
        <v/>
      </c>
      <c r="R6" s="26">
        <f>IF(SUMPRODUCT(((Plan!$I$5:$I$88="A")+(Plan!$I$5:$I$88="A+B"))*(Plan!$K$5:$K$88&lt;R$5)*(Plan!$L$5:$L$88&gt;=R$5))=0,"",INDEX(Plan!$A$5:$A$88,SUMPRODUCT(((Plan!$I$5:$I$88="A")+(Plan!$I$5:$I$88="A+B"))*(Plan!$K$5:$K$88&lt;R$5)*(Plan!$L$5:$L$88&gt;=R$5)*(ROW(Plan!$A$5:$A$88)-4))))</f>
        <v/>
      </c>
      <c r="S6" s="26">
        <f>IF(SUMPRODUCT(((Plan!$I$5:$I$88="A")+(Plan!$I$5:$I$88="A+B"))*(Plan!$K$5:$K$88&lt;S$5)*(Plan!$L$5:$L$88&gt;=S$5))=0,"",INDEX(Plan!$A$5:$A$88,SUMPRODUCT(((Plan!$I$5:$I$88="A")+(Plan!$I$5:$I$88="A+B"))*(Plan!$K$5:$K$88&lt;S$5)*(Plan!$L$5:$L$88&gt;=S$5)*(ROW(Plan!$A$5:$A$88)-4))))</f>
        <v/>
      </c>
      <c r="T6" s="26">
        <f>IF(SUMPRODUCT(((Plan!$I$5:$I$88="A")+(Plan!$I$5:$I$88="A+B"))*(Plan!$K$5:$K$88&lt;T$5)*(Plan!$L$5:$L$88&gt;=T$5))=0,"",INDEX(Plan!$A$5:$A$88,SUMPRODUCT(((Plan!$I$5:$I$88="A")+(Plan!$I$5:$I$88="A+B"))*(Plan!$K$5:$K$88&lt;T$5)*(Plan!$L$5:$L$88&gt;=T$5)*(ROW(Plan!$A$5:$A$88)-4))))</f>
        <v/>
      </c>
      <c r="U6" s="26">
        <f>IF(SUMPRODUCT(((Plan!$I$5:$I$88="A")+(Plan!$I$5:$I$88="A+B"))*(Plan!$K$5:$K$88&lt;U$5)*(Plan!$L$5:$L$88&gt;=U$5))=0,"",INDEX(Plan!$A$5:$A$88,SUMPRODUCT(((Plan!$I$5:$I$88="A")+(Plan!$I$5:$I$88="A+B"))*(Plan!$K$5:$K$88&lt;U$5)*(Plan!$L$5:$L$88&gt;=U$5)*(ROW(Plan!$A$5:$A$88)-4))))</f>
        <v/>
      </c>
      <c r="V6" s="26">
        <f>IF(SUMPRODUCT(((Plan!$I$5:$I$88="A")+(Plan!$I$5:$I$88="A+B"))*(Plan!$K$5:$K$88&lt;V$5)*(Plan!$L$5:$L$88&gt;=V$5))=0,"",INDEX(Plan!$A$5:$A$88,SUMPRODUCT(((Plan!$I$5:$I$88="A")+(Plan!$I$5:$I$88="A+B"))*(Plan!$K$5:$K$88&lt;V$5)*(Plan!$L$5:$L$88&gt;=V$5)*(ROW(Plan!$A$5:$A$88)-4))))</f>
        <v/>
      </c>
      <c r="W6" s="26">
        <f>IF(SUMPRODUCT(((Plan!$I$5:$I$88="A")+(Plan!$I$5:$I$88="A+B"))*(Plan!$K$5:$K$88&lt;W$5)*(Plan!$L$5:$L$88&gt;=W$5))=0,"",INDEX(Plan!$A$5:$A$88,SUMPRODUCT(((Plan!$I$5:$I$88="A")+(Plan!$I$5:$I$88="A+B"))*(Plan!$K$5:$K$88&lt;W$5)*(Plan!$L$5:$L$88&gt;=W$5)*(ROW(Plan!$A$5:$A$88)-4))))</f>
        <v/>
      </c>
      <c r="X6" s="26">
        <f>IF(SUMPRODUCT(((Plan!$I$5:$I$88="A")+(Plan!$I$5:$I$88="A+B"))*(Plan!$K$5:$K$88&lt;X$5)*(Plan!$L$5:$L$88&gt;=X$5))=0,"",INDEX(Plan!$A$5:$A$88,SUMPRODUCT(((Plan!$I$5:$I$88="A")+(Plan!$I$5:$I$88="A+B"))*(Plan!$K$5:$K$88&lt;X$5)*(Plan!$L$5:$L$88&gt;=X$5)*(ROW(Plan!$A$5:$A$88)-4))))</f>
        <v/>
      </c>
      <c r="Y6" s="26">
        <f>IF(SUMPRODUCT(((Plan!$I$5:$I$88="A")+(Plan!$I$5:$I$88="A+B"))*(Plan!$K$5:$K$88&lt;Y$5)*(Plan!$L$5:$L$88&gt;=Y$5))=0,"",INDEX(Plan!$A$5:$A$88,SUMPRODUCT(((Plan!$I$5:$I$88="A")+(Plan!$I$5:$I$88="A+B"))*(Plan!$K$5:$K$88&lt;Y$5)*(Plan!$L$5:$L$88&gt;=Y$5)*(ROW(Plan!$A$5:$A$88)-4))))</f>
        <v/>
      </c>
      <c r="Z6" s="26">
        <f>IF(SUMPRODUCT(((Plan!$I$5:$I$88="A")+(Plan!$I$5:$I$88="A+B"))*(Plan!$K$5:$K$88&lt;Z$5)*(Plan!$L$5:$L$88&gt;=Z$5))=0,"",INDEX(Plan!$A$5:$A$88,SUMPRODUCT(((Plan!$I$5:$I$88="A")+(Plan!$I$5:$I$88="A+B"))*(Plan!$K$5:$K$88&lt;Z$5)*(Plan!$L$5:$L$88&gt;=Z$5)*(ROW(Plan!$A$5:$A$88)-4))))</f>
        <v/>
      </c>
      <c r="AA6" s="26">
        <f>IF(SUMPRODUCT(((Plan!$I$5:$I$88="A")+(Plan!$I$5:$I$88="A+B"))*(Plan!$K$5:$K$88&lt;AA$5)*(Plan!$L$5:$L$88&gt;=AA$5))=0,"",INDEX(Plan!$A$5:$A$88,SUMPRODUCT(((Plan!$I$5:$I$88="A")+(Plan!$I$5:$I$88="A+B"))*(Plan!$K$5:$K$88&lt;AA$5)*(Plan!$L$5:$L$88&gt;=AA$5)*(ROW(Plan!$A$5:$A$88)-4))))</f>
        <v/>
      </c>
      <c r="AB6" s="26">
        <f>IF(SUMPRODUCT(((Plan!$I$5:$I$88="A")+(Plan!$I$5:$I$88="A+B"))*(Plan!$K$5:$K$88&lt;AB$5)*(Plan!$L$5:$L$88&gt;=AB$5))=0,"",INDEX(Plan!$A$5:$A$88,SUMPRODUCT(((Plan!$I$5:$I$88="A")+(Plan!$I$5:$I$88="A+B"))*(Plan!$K$5:$K$88&lt;AB$5)*(Plan!$L$5:$L$88&gt;=AB$5)*(ROW(Plan!$A$5:$A$88)-4))))</f>
        <v/>
      </c>
      <c r="AC6" s="26">
        <f>IF(SUMPRODUCT(((Plan!$I$5:$I$88="A")+(Plan!$I$5:$I$88="A+B"))*(Plan!$K$5:$K$88&lt;AC$5)*(Plan!$L$5:$L$88&gt;=AC$5))=0,"",INDEX(Plan!$A$5:$A$88,SUMPRODUCT(((Plan!$I$5:$I$88="A")+(Plan!$I$5:$I$88="A+B"))*(Plan!$K$5:$K$88&lt;AC$5)*(Plan!$L$5:$L$88&gt;=AC$5)*(ROW(Plan!$A$5:$A$88)-4))))</f>
        <v/>
      </c>
      <c r="AD6" s="26">
        <f>IF(SUMPRODUCT(((Plan!$I$5:$I$88="A")+(Plan!$I$5:$I$88="A+B"))*(Plan!$K$5:$K$88&lt;AD$5)*(Plan!$L$5:$L$88&gt;=AD$5))=0,"",INDEX(Plan!$A$5:$A$88,SUMPRODUCT(((Plan!$I$5:$I$88="A")+(Plan!$I$5:$I$88="A+B"))*(Plan!$K$5:$K$88&lt;AD$5)*(Plan!$L$5:$L$88&gt;=AD$5)*(ROW(Plan!$A$5:$A$88)-4))))</f>
        <v/>
      </c>
      <c r="AE6" s="26">
        <f>IF(SUMPRODUCT(((Plan!$I$5:$I$88="A")+(Plan!$I$5:$I$88="A+B"))*(Plan!$K$5:$K$88&lt;AE$5)*(Plan!$L$5:$L$88&gt;=AE$5))=0,"",INDEX(Plan!$A$5:$A$88,SUMPRODUCT(((Plan!$I$5:$I$88="A")+(Plan!$I$5:$I$88="A+B"))*(Plan!$K$5:$K$88&lt;AE$5)*(Plan!$L$5:$L$88&gt;=AE$5)*(ROW(Plan!$A$5:$A$88)-4))))</f>
        <v/>
      </c>
      <c r="AF6" s="26">
        <f>IF(SUMPRODUCT(((Plan!$I$5:$I$88="A")+(Plan!$I$5:$I$88="A+B"))*(Plan!$K$5:$K$88&lt;AF$5)*(Plan!$L$5:$L$88&gt;=AF$5))=0,"",INDEX(Plan!$A$5:$A$88,SUMPRODUCT(((Plan!$I$5:$I$88="A")+(Plan!$I$5:$I$88="A+B"))*(Plan!$K$5:$K$88&lt;AF$5)*(Plan!$L$5:$L$88&gt;=AF$5)*(ROW(Plan!$A$5:$A$88)-4))))</f>
        <v/>
      </c>
      <c r="AG6" s="26">
        <f>IF(SUMPRODUCT(((Plan!$I$5:$I$88="A")+(Plan!$I$5:$I$88="A+B"))*(Plan!$K$5:$K$88&lt;AG$5)*(Plan!$L$5:$L$88&gt;=AG$5))=0,"",INDEX(Plan!$A$5:$A$88,SUMPRODUCT(((Plan!$I$5:$I$88="A")+(Plan!$I$5:$I$88="A+B"))*(Plan!$K$5:$K$88&lt;AG$5)*(Plan!$L$5:$L$88&gt;=AG$5)*(ROW(Plan!$A$5:$A$88)-4))))</f>
        <v/>
      </c>
      <c r="AH6" s="26">
        <f>IF(SUMPRODUCT(((Plan!$I$5:$I$88="A")+(Plan!$I$5:$I$88="A+B"))*(Plan!$K$5:$K$88&lt;AH$5)*(Plan!$L$5:$L$88&gt;=AH$5))=0,"",INDEX(Plan!$A$5:$A$88,SUMPRODUCT(((Plan!$I$5:$I$88="A")+(Plan!$I$5:$I$88="A+B"))*(Plan!$K$5:$K$88&lt;AH$5)*(Plan!$L$5:$L$88&gt;=AH$5)*(ROW(Plan!$A$5:$A$88)-4))))</f>
        <v/>
      </c>
      <c r="AI6" s="26">
        <f>IF(SUMPRODUCT(((Plan!$I$5:$I$88="A")+(Plan!$I$5:$I$88="A+B"))*(Plan!$K$5:$K$88&lt;AI$5)*(Plan!$L$5:$L$88&gt;=AI$5))=0,"",INDEX(Plan!$A$5:$A$88,SUMPRODUCT(((Plan!$I$5:$I$88="A")+(Plan!$I$5:$I$88="A+B"))*(Plan!$K$5:$K$88&lt;AI$5)*(Plan!$L$5:$L$88&gt;=AI$5)*(ROW(Plan!$A$5:$A$88)-4))))</f>
        <v/>
      </c>
      <c r="AJ6" s="26">
        <f>IF(SUMPRODUCT(((Plan!$I$5:$I$88="A")+(Plan!$I$5:$I$88="A+B"))*(Plan!$K$5:$K$88&lt;AJ$5)*(Plan!$L$5:$L$88&gt;=AJ$5))=0,"",INDEX(Plan!$A$5:$A$88,SUMPRODUCT(((Plan!$I$5:$I$88="A")+(Plan!$I$5:$I$88="A+B"))*(Plan!$K$5:$K$88&lt;AJ$5)*(Plan!$L$5:$L$88&gt;=AJ$5)*(ROW(Plan!$A$5:$A$88)-4))))</f>
        <v/>
      </c>
      <c r="AK6" s="26">
        <f>IF(SUMPRODUCT(((Plan!$I$5:$I$88="A")+(Plan!$I$5:$I$88="A+B"))*(Plan!$K$5:$K$88&lt;AK$5)*(Plan!$L$5:$L$88&gt;=AK$5))=0,"",INDEX(Plan!$A$5:$A$88,SUMPRODUCT(((Plan!$I$5:$I$88="A")+(Plan!$I$5:$I$88="A+B"))*(Plan!$K$5:$K$88&lt;AK$5)*(Plan!$L$5:$L$88&gt;=AK$5)*(ROW(Plan!$A$5:$A$88)-4))))</f>
        <v/>
      </c>
      <c r="AL6" s="26">
        <f>IF(SUMPRODUCT(((Plan!$I$5:$I$88="A")+(Plan!$I$5:$I$88="A+B"))*(Plan!$K$5:$K$88&lt;AL$5)*(Plan!$L$5:$L$88&gt;=AL$5))=0,"",INDEX(Plan!$A$5:$A$88,SUMPRODUCT(((Plan!$I$5:$I$88="A")+(Plan!$I$5:$I$88="A+B"))*(Plan!$K$5:$K$88&lt;AL$5)*(Plan!$L$5:$L$88&gt;=AL$5)*(ROW(Plan!$A$5:$A$88)-4))))</f>
        <v/>
      </c>
      <c r="AM6" s="26">
        <f>IF(SUMPRODUCT(((Plan!$I$5:$I$88="A")+(Plan!$I$5:$I$88="A+B"))*(Plan!$K$5:$K$88&lt;AM$5)*(Plan!$L$5:$L$88&gt;=AM$5))=0,"",INDEX(Plan!$A$5:$A$88,SUMPRODUCT(((Plan!$I$5:$I$88="A")+(Plan!$I$5:$I$88="A+B"))*(Plan!$K$5:$K$88&lt;AM$5)*(Plan!$L$5:$L$88&gt;=AM$5)*(ROW(Plan!$A$5:$A$88)-4))))</f>
        <v/>
      </c>
      <c r="AN6" s="26">
        <f>IF(SUMPRODUCT(((Plan!$I$5:$I$88="A")+(Plan!$I$5:$I$88="A+B"))*(Plan!$K$5:$K$88&lt;AN$5)*(Plan!$L$5:$L$88&gt;=AN$5))=0,"",INDEX(Plan!$A$5:$A$88,SUMPRODUCT(((Plan!$I$5:$I$88="A")+(Plan!$I$5:$I$88="A+B"))*(Plan!$K$5:$K$88&lt;AN$5)*(Plan!$L$5:$L$88&gt;=AN$5)*(ROW(Plan!$A$5:$A$88)-4))))</f>
        <v/>
      </c>
      <c r="AO6" s="26">
        <f>IF(SUMPRODUCT(((Plan!$I$5:$I$88="A")+(Plan!$I$5:$I$88="A+B"))*(Plan!$K$5:$K$88&lt;AO$5)*(Plan!$L$5:$L$88&gt;=AO$5))=0,"",INDEX(Plan!$A$5:$A$88,SUMPRODUCT(((Plan!$I$5:$I$88="A")+(Plan!$I$5:$I$88="A+B"))*(Plan!$K$5:$K$88&lt;AO$5)*(Plan!$L$5:$L$88&gt;=AO$5)*(ROW(Plan!$A$5:$A$88)-4))))</f>
        <v/>
      </c>
      <c r="AP6" s="26">
        <f>IF(SUMPRODUCT(((Plan!$I$5:$I$88="A")+(Plan!$I$5:$I$88="A+B"))*(Plan!$K$5:$K$88&lt;AP$5)*(Plan!$L$5:$L$88&gt;=AP$5))=0,"",INDEX(Plan!$A$5:$A$88,SUMPRODUCT(((Plan!$I$5:$I$88="A")+(Plan!$I$5:$I$88="A+B"))*(Plan!$K$5:$K$88&lt;AP$5)*(Plan!$L$5:$L$88&gt;=AP$5)*(ROW(Plan!$A$5:$A$88)-4))))</f>
        <v/>
      </c>
      <c r="AQ6" s="26">
        <f>IF(SUMPRODUCT(((Plan!$I$5:$I$88="A")+(Plan!$I$5:$I$88="A+B"))*(Plan!$K$5:$K$88&lt;AQ$5)*(Plan!$L$5:$L$88&gt;=AQ$5))=0,"",INDEX(Plan!$A$5:$A$88,SUMPRODUCT(((Plan!$I$5:$I$88="A")+(Plan!$I$5:$I$88="A+B"))*(Plan!$K$5:$K$88&lt;AQ$5)*(Plan!$L$5:$L$88&gt;=AQ$5)*(ROW(Plan!$A$5:$A$88)-4))))</f>
        <v/>
      </c>
      <c r="AR6" s="26">
        <f>IF(SUMPRODUCT(((Plan!$I$5:$I$88="A")+(Plan!$I$5:$I$88="A+B"))*(Plan!$K$5:$K$88&lt;AR$5)*(Plan!$L$5:$L$88&gt;=AR$5))=0,"",INDEX(Plan!$A$5:$A$88,SUMPRODUCT(((Plan!$I$5:$I$88="A")+(Plan!$I$5:$I$88="A+B"))*(Plan!$K$5:$K$88&lt;AR$5)*(Plan!$L$5:$L$88&gt;=AR$5)*(ROW(Plan!$A$5:$A$88)-4))))</f>
        <v/>
      </c>
      <c r="AS6" s="26">
        <f>IF(SUMPRODUCT(((Plan!$I$5:$I$88="A")+(Plan!$I$5:$I$88="A+B"))*(Plan!$K$5:$K$88&lt;AS$5)*(Plan!$L$5:$L$88&gt;=AS$5))=0,"",INDEX(Plan!$A$5:$A$88,SUMPRODUCT(((Plan!$I$5:$I$88="A")+(Plan!$I$5:$I$88="A+B"))*(Plan!$K$5:$K$88&lt;AS$5)*(Plan!$L$5:$L$88&gt;=AS$5)*(ROW(Plan!$A$5:$A$88)-4))))</f>
        <v/>
      </c>
      <c r="AT6" s="26">
        <f>IF(SUMPRODUCT(((Plan!$I$5:$I$88="A")+(Plan!$I$5:$I$88="A+B"))*(Plan!$K$5:$K$88&lt;AT$5)*(Plan!$L$5:$L$88&gt;=AT$5))=0,"",INDEX(Plan!$A$5:$A$88,SUMPRODUCT(((Plan!$I$5:$I$88="A")+(Plan!$I$5:$I$88="A+B"))*(Plan!$K$5:$K$88&lt;AT$5)*(Plan!$L$5:$L$88&gt;=AT$5)*(ROW(Plan!$A$5:$A$88)-4))))</f>
        <v/>
      </c>
      <c r="AU6" s="26">
        <f>IF(SUMPRODUCT(((Plan!$I$5:$I$88="A")+(Plan!$I$5:$I$88="A+B"))*(Plan!$K$5:$K$88&lt;AU$5)*(Plan!$L$5:$L$88&gt;=AU$5))=0,"",INDEX(Plan!$A$5:$A$88,SUMPRODUCT(((Plan!$I$5:$I$88="A")+(Plan!$I$5:$I$88="A+B"))*(Plan!$K$5:$K$88&lt;AU$5)*(Plan!$L$5:$L$88&gt;=AU$5)*(ROW(Plan!$A$5:$A$88)-4))))</f>
        <v/>
      </c>
      <c r="AV6" s="26">
        <f>IF(SUMPRODUCT(((Plan!$I$5:$I$88="A")+(Plan!$I$5:$I$88="A+B"))*(Plan!$K$5:$K$88&lt;AV$5)*(Plan!$L$5:$L$88&gt;=AV$5))=0,"",INDEX(Plan!$A$5:$A$88,SUMPRODUCT(((Plan!$I$5:$I$88="A")+(Plan!$I$5:$I$88="A+B"))*(Plan!$K$5:$K$88&lt;AV$5)*(Plan!$L$5:$L$88&gt;=AV$5)*(ROW(Plan!$A$5:$A$88)-4))))</f>
        <v/>
      </c>
      <c r="AW6" s="26">
        <f>IF(SUMPRODUCT(((Plan!$I$5:$I$88="A")+(Plan!$I$5:$I$88="A+B"))*(Plan!$K$5:$K$88&lt;AW$5)*(Plan!$L$5:$L$88&gt;=AW$5))=0,"",INDEX(Plan!$A$5:$A$88,SUMPRODUCT(((Plan!$I$5:$I$88="A")+(Plan!$I$5:$I$88="A+B"))*(Plan!$K$5:$K$88&lt;AW$5)*(Plan!$L$5:$L$88&gt;=AW$5)*(ROW(Plan!$A$5:$A$88)-4))))</f>
        <v/>
      </c>
      <c r="AX6" s="26">
        <f>IF(SUMPRODUCT(((Plan!$I$5:$I$88="A")+(Plan!$I$5:$I$88="A+B"))*(Plan!$K$5:$K$88&lt;AX$5)*(Plan!$L$5:$L$88&gt;=AX$5))=0,"",INDEX(Plan!$A$5:$A$88,SUMPRODUCT(((Plan!$I$5:$I$88="A")+(Plan!$I$5:$I$88="A+B"))*(Plan!$K$5:$K$88&lt;AX$5)*(Plan!$L$5:$L$88&gt;=AX$5)*(ROW(Plan!$A$5:$A$88)-4))))</f>
        <v/>
      </c>
      <c r="AY6" s="26">
        <f>IF(SUMPRODUCT(((Plan!$I$5:$I$88="A")+(Plan!$I$5:$I$88="A+B"))*(Plan!$K$5:$K$88&lt;AY$5)*(Plan!$L$5:$L$88&gt;=AY$5))=0,"",INDEX(Plan!$A$5:$A$88,SUMPRODUCT(((Plan!$I$5:$I$88="A")+(Plan!$I$5:$I$88="A+B"))*(Plan!$K$5:$K$88&lt;AY$5)*(Plan!$L$5:$L$88&gt;=AY$5)*(ROW(Plan!$A$5:$A$88)-4))))</f>
        <v/>
      </c>
      <c r="AZ6" s="26">
        <f>IF(SUMPRODUCT(((Plan!$I$5:$I$88="A")+(Plan!$I$5:$I$88="A+B"))*(Plan!$K$5:$K$88&lt;AZ$5)*(Plan!$L$5:$L$88&gt;=AZ$5))=0,"",INDEX(Plan!$A$5:$A$88,SUMPRODUCT(((Plan!$I$5:$I$88="A")+(Plan!$I$5:$I$88="A+B"))*(Plan!$K$5:$K$88&lt;AZ$5)*(Plan!$L$5:$L$88&gt;=AZ$5)*(ROW(Plan!$A$5:$A$88)-4))))</f>
        <v/>
      </c>
      <c r="BA6" s="26">
        <f>IF(SUMPRODUCT(((Plan!$I$5:$I$88="A")+(Plan!$I$5:$I$88="A+B"))*(Plan!$K$5:$K$88&lt;BA$5)*(Plan!$L$5:$L$88&gt;=BA$5))=0,"",INDEX(Plan!$A$5:$A$88,SUMPRODUCT(((Plan!$I$5:$I$88="A")+(Plan!$I$5:$I$88="A+B"))*(Plan!$K$5:$K$88&lt;BA$5)*(Plan!$L$5:$L$88&gt;=BA$5)*(ROW(Plan!$A$5:$A$88)-4))))</f>
        <v/>
      </c>
      <c r="BB6" s="26">
        <f>IF(SUMPRODUCT(((Plan!$I$5:$I$88="A")+(Plan!$I$5:$I$88="A+B"))*(Plan!$K$5:$K$88&lt;BB$5)*(Plan!$L$5:$L$88&gt;=BB$5))=0,"",INDEX(Plan!$A$5:$A$88,SUMPRODUCT(((Plan!$I$5:$I$88="A")+(Plan!$I$5:$I$88="A+B"))*(Plan!$K$5:$K$88&lt;BB$5)*(Plan!$L$5:$L$88&gt;=BB$5)*(ROW(Plan!$A$5:$A$88)-4))))</f>
        <v/>
      </c>
      <c r="BC6" s="26">
        <f>IF(SUMPRODUCT(((Plan!$I$5:$I$88="A")+(Plan!$I$5:$I$88="A+B"))*(Plan!$K$5:$K$88&lt;BC$5)*(Plan!$L$5:$L$88&gt;=BC$5))=0,"",INDEX(Plan!$A$5:$A$88,SUMPRODUCT(((Plan!$I$5:$I$88="A")+(Plan!$I$5:$I$88="A+B"))*(Plan!$K$5:$K$88&lt;BC$5)*(Plan!$L$5:$L$88&gt;=BC$5)*(ROW(Plan!$A$5:$A$88)-4))))</f>
        <v/>
      </c>
      <c r="BD6" s="26">
        <f>IF(SUMPRODUCT(((Plan!$I$5:$I$88="A")+(Plan!$I$5:$I$88="A+B"))*(Plan!$K$5:$K$88&lt;BD$5)*(Plan!$L$5:$L$88&gt;=BD$5))=0,"",INDEX(Plan!$A$5:$A$88,SUMPRODUCT(((Plan!$I$5:$I$88="A")+(Plan!$I$5:$I$88="A+B"))*(Plan!$K$5:$K$88&lt;BD$5)*(Plan!$L$5:$L$88&gt;=BD$5)*(ROW(Plan!$A$5:$A$88)-4))))</f>
        <v/>
      </c>
      <c r="BE6" s="26">
        <f>IF(SUMPRODUCT(((Plan!$I$5:$I$88="A")+(Plan!$I$5:$I$88="A+B"))*(Plan!$K$5:$K$88&lt;BE$5)*(Plan!$L$5:$L$88&gt;=BE$5))=0,"",INDEX(Plan!$A$5:$A$88,SUMPRODUCT(((Plan!$I$5:$I$88="A")+(Plan!$I$5:$I$88="A+B"))*(Plan!$K$5:$K$88&lt;BE$5)*(Plan!$L$5:$L$88&gt;=BE$5)*(ROW(Plan!$A$5:$A$88)-4))))</f>
        <v/>
      </c>
      <c r="BF6" s="26">
        <f>IF(SUMPRODUCT(((Plan!$I$5:$I$88="A")+(Plan!$I$5:$I$88="A+B"))*(Plan!$K$5:$K$88&lt;BF$5)*(Plan!$L$5:$L$88&gt;=BF$5))=0,"",INDEX(Plan!$A$5:$A$88,SUMPRODUCT(((Plan!$I$5:$I$88="A")+(Plan!$I$5:$I$88="A+B"))*(Plan!$K$5:$K$88&lt;BF$5)*(Plan!$L$5:$L$88&gt;=BF$5)*(ROW(Plan!$A$5:$A$88)-4))))</f>
        <v/>
      </c>
      <c r="BG6" s="26">
        <f>IF(SUMPRODUCT(((Plan!$I$5:$I$88="A")+(Plan!$I$5:$I$88="A+B"))*(Plan!$K$5:$K$88&lt;BG$5)*(Plan!$L$5:$L$88&gt;=BG$5))=0,"",INDEX(Plan!$A$5:$A$88,SUMPRODUCT(((Plan!$I$5:$I$88="A")+(Plan!$I$5:$I$88="A+B"))*(Plan!$K$5:$K$88&lt;BG$5)*(Plan!$L$5:$L$88&gt;=BG$5)*(ROW(Plan!$A$5:$A$88)-4))))</f>
        <v/>
      </c>
      <c r="BH6" s="26">
        <f>IF(SUMPRODUCT(((Plan!$I$5:$I$88="A")+(Plan!$I$5:$I$88="A+B"))*(Plan!$K$5:$K$88&lt;BH$5)*(Plan!$L$5:$L$88&gt;=BH$5))=0,"",INDEX(Plan!$A$5:$A$88,SUMPRODUCT(((Plan!$I$5:$I$88="A")+(Plan!$I$5:$I$88="A+B"))*(Plan!$K$5:$K$88&lt;BH$5)*(Plan!$L$5:$L$88&gt;=BH$5)*(ROW(Plan!$A$5:$A$88)-4))))</f>
        <v/>
      </c>
      <c r="BI6" s="26">
        <f>IF(SUMPRODUCT(((Plan!$I$5:$I$88="A")+(Plan!$I$5:$I$88="A+B"))*(Plan!$K$5:$K$88&lt;BI$5)*(Plan!$L$5:$L$88&gt;=BI$5))=0,"",INDEX(Plan!$A$5:$A$88,SUMPRODUCT(((Plan!$I$5:$I$88="A")+(Plan!$I$5:$I$88="A+B"))*(Plan!$K$5:$K$88&lt;BI$5)*(Plan!$L$5:$L$88&gt;=BI$5)*(ROW(Plan!$A$5:$A$88)-4))))</f>
        <v/>
      </c>
      <c r="BJ6" s="26">
        <f>IF(SUMPRODUCT(((Plan!$I$5:$I$88="A")+(Plan!$I$5:$I$88="A+B"))*(Plan!$K$5:$K$88&lt;BJ$5)*(Plan!$L$5:$L$88&gt;=BJ$5))=0,"",INDEX(Plan!$A$5:$A$88,SUMPRODUCT(((Plan!$I$5:$I$88="A")+(Plan!$I$5:$I$88="A+B"))*(Plan!$K$5:$K$88&lt;BJ$5)*(Plan!$L$5:$L$88&gt;=BJ$5)*(ROW(Plan!$A$5:$A$88)-4))))</f>
        <v/>
      </c>
      <c r="BK6" s="26">
        <f>IF(SUMPRODUCT(((Plan!$I$5:$I$88="A")+(Plan!$I$5:$I$88="A+B"))*(Plan!$K$5:$K$88&lt;BK$5)*(Plan!$L$5:$L$88&gt;=BK$5))=0,"",INDEX(Plan!$A$5:$A$88,SUMPRODUCT(((Plan!$I$5:$I$88="A")+(Plan!$I$5:$I$88="A+B"))*(Plan!$K$5:$K$88&lt;BK$5)*(Plan!$L$5:$L$88&gt;=BK$5)*(ROW(Plan!$A$5:$A$88)-4))))</f>
        <v/>
      </c>
      <c r="BL6" s="26">
        <f>IF(SUMPRODUCT(((Plan!$I$5:$I$88="A")+(Plan!$I$5:$I$88="A+B"))*(Plan!$K$5:$K$88&lt;BL$5)*(Plan!$L$5:$L$88&gt;=BL$5))=0,"",INDEX(Plan!$A$5:$A$88,SUMPRODUCT(((Plan!$I$5:$I$88="A")+(Plan!$I$5:$I$88="A+B"))*(Plan!$K$5:$K$88&lt;BL$5)*(Plan!$L$5:$L$88&gt;=BL$5)*(ROW(Plan!$A$5:$A$88)-4))))</f>
        <v/>
      </c>
      <c r="BM6" s="26">
        <f>IF(SUMPRODUCT(((Plan!$I$5:$I$88="A")+(Plan!$I$5:$I$88="A+B"))*(Plan!$K$5:$K$88&lt;BM$5)*(Plan!$L$5:$L$88&gt;=BM$5))=0,"",INDEX(Plan!$A$5:$A$88,SUMPRODUCT(((Plan!$I$5:$I$88="A")+(Plan!$I$5:$I$88="A+B"))*(Plan!$K$5:$K$88&lt;BM$5)*(Plan!$L$5:$L$88&gt;=BM$5)*(ROW(Plan!$A$5:$A$88)-4))))</f>
        <v/>
      </c>
      <c r="BN6" s="26">
        <f>IF(SUMPRODUCT(((Plan!$I$5:$I$88="A")+(Plan!$I$5:$I$88="A+B"))*(Plan!$K$5:$K$88&lt;BN$5)*(Plan!$L$5:$L$88&gt;=BN$5))=0,"",INDEX(Plan!$A$5:$A$88,SUMPRODUCT(((Plan!$I$5:$I$88="A")+(Plan!$I$5:$I$88="A+B"))*(Plan!$K$5:$K$88&lt;BN$5)*(Plan!$L$5:$L$88&gt;=BN$5)*(ROW(Plan!$A$5:$A$88)-4))))</f>
        <v/>
      </c>
      <c r="BO6" s="26">
        <f>IF(SUMPRODUCT(((Plan!$I$5:$I$88="A")+(Plan!$I$5:$I$88="A+B"))*(Plan!$K$5:$K$88&lt;BO$5)*(Plan!$L$5:$L$88&gt;=BO$5))=0,"",INDEX(Plan!$A$5:$A$88,SUMPRODUCT(((Plan!$I$5:$I$88="A")+(Plan!$I$5:$I$88="A+B"))*(Plan!$K$5:$K$88&lt;BO$5)*(Plan!$L$5:$L$88&gt;=BO$5)*(ROW(Plan!$A$5:$A$88)-4))))</f>
        <v/>
      </c>
      <c r="BP6" s="26">
        <f>IF(SUMPRODUCT(((Plan!$I$5:$I$88="A")+(Plan!$I$5:$I$88="A+B"))*(Plan!$K$5:$K$88&lt;BP$5)*(Plan!$L$5:$L$88&gt;=BP$5))=0,"",INDEX(Plan!$A$5:$A$88,SUMPRODUCT(((Plan!$I$5:$I$88="A")+(Plan!$I$5:$I$88="A+B"))*(Plan!$K$5:$K$88&lt;BP$5)*(Plan!$L$5:$L$88&gt;=BP$5)*(ROW(Plan!$A$5:$A$88)-4))))</f>
        <v/>
      </c>
      <c r="BQ6" s="26">
        <f>IF(SUMPRODUCT(((Plan!$I$5:$I$88="A")+(Plan!$I$5:$I$88="A+B"))*(Plan!$K$5:$K$88&lt;BQ$5)*(Plan!$L$5:$L$88&gt;=BQ$5))=0,"",INDEX(Plan!$A$5:$A$88,SUMPRODUCT(((Plan!$I$5:$I$88="A")+(Plan!$I$5:$I$88="A+B"))*(Plan!$K$5:$K$88&lt;BQ$5)*(Plan!$L$5:$L$88&gt;=BQ$5)*(ROW(Plan!$A$5:$A$88)-4))))</f>
        <v/>
      </c>
      <c r="BR6" s="26">
        <f>IF(SUMPRODUCT(((Plan!$I$5:$I$88="A")+(Plan!$I$5:$I$88="A+B"))*(Plan!$K$5:$K$88&lt;BR$5)*(Plan!$L$5:$L$88&gt;=BR$5))=0,"",INDEX(Plan!$A$5:$A$88,SUMPRODUCT(((Plan!$I$5:$I$88="A")+(Plan!$I$5:$I$88="A+B"))*(Plan!$K$5:$K$88&lt;BR$5)*(Plan!$L$5:$L$88&gt;=BR$5)*(ROW(Plan!$A$5:$A$88)-4))))</f>
        <v/>
      </c>
      <c r="BS6" s="26">
        <f>IF(SUMPRODUCT(((Plan!$I$5:$I$88="A")+(Plan!$I$5:$I$88="A+B"))*(Plan!$K$5:$K$88&lt;BS$5)*(Plan!$L$5:$L$88&gt;=BS$5))=0,"",INDEX(Plan!$A$5:$A$88,SUMPRODUCT(((Plan!$I$5:$I$88="A")+(Plan!$I$5:$I$88="A+B"))*(Plan!$K$5:$K$88&lt;BS$5)*(Plan!$L$5:$L$88&gt;=BS$5)*(ROW(Plan!$A$5:$A$88)-4))))</f>
        <v/>
      </c>
      <c r="BT6" s="26">
        <f>IF(SUMPRODUCT(((Plan!$I$5:$I$88="A")+(Plan!$I$5:$I$88="A+B"))*(Plan!$K$5:$K$88&lt;BT$5)*(Plan!$L$5:$L$88&gt;=BT$5))=0,"",INDEX(Plan!$A$5:$A$88,SUMPRODUCT(((Plan!$I$5:$I$88="A")+(Plan!$I$5:$I$88="A+B"))*(Plan!$K$5:$K$88&lt;BT$5)*(Plan!$L$5:$L$88&gt;=BT$5)*(ROW(Plan!$A$5:$A$88)-4))))</f>
        <v/>
      </c>
      <c r="BU6" s="26">
        <f>IF(SUMPRODUCT(((Plan!$I$5:$I$88="A")+(Plan!$I$5:$I$88="A+B"))*(Plan!$K$5:$K$88&lt;BU$5)*(Plan!$L$5:$L$88&gt;=BU$5))=0,"",INDEX(Plan!$A$5:$A$88,SUMPRODUCT(((Plan!$I$5:$I$88="A")+(Plan!$I$5:$I$88="A+B"))*(Plan!$K$5:$K$88&lt;BU$5)*(Plan!$L$5:$L$88&gt;=BU$5)*(ROW(Plan!$A$5:$A$88)-4))))</f>
        <v/>
      </c>
      <c r="BV6" s="26">
        <f>IF(SUMPRODUCT(((Plan!$I$5:$I$88="A")+(Plan!$I$5:$I$88="A+B"))*(Plan!$K$5:$K$88&lt;BV$5)*(Plan!$L$5:$L$88&gt;=BV$5))=0,"",INDEX(Plan!$A$5:$A$88,SUMPRODUCT(((Plan!$I$5:$I$88="A")+(Plan!$I$5:$I$88="A+B"))*(Plan!$K$5:$K$88&lt;BV$5)*(Plan!$L$5:$L$88&gt;=BV$5)*(ROW(Plan!$A$5:$A$88)-4))))</f>
        <v/>
      </c>
      <c r="BW6" s="26">
        <f>IF(SUMPRODUCT(((Plan!$I$5:$I$88="A")+(Plan!$I$5:$I$88="A+B"))*(Plan!$K$5:$K$88&lt;BW$5)*(Plan!$L$5:$L$88&gt;=BW$5))=0,"",INDEX(Plan!$A$5:$A$88,SUMPRODUCT(((Plan!$I$5:$I$88="A")+(Plan!$I$5:$I$88="A+B"))*(Plan!$K$5:$K$88&lt;BW$5)*(Plan!$L$5:$L$88&gt;=BW$5)*(ROW(Plan!$A$5:$A$88)-4))))</f>
        <v/>
      </c>
      <c r="BX6" s="26">
        <f>IF(SUMPRODUCT(((Plan!$I$5:$I$88="A")+(Plan!$I$5:$I$88="A+B"))*(Plan!$K$5:$K$88&lt;BX$5)*(Plan!$L$5:$L$88&gt;=BX$5))=0,"",INDEX(Plan!$A$5:$A$88,SUMPRODUCT(((Plan!$I$5:$I$88="A")+(Plan!$I$5:$I$88="A+B"))*(Plan!$K$5:$K$88&lt;BX$5)*(Plan!$L$5:$L$88&gt;=BX$5)*(ROW(Plan!$A$5:$A$88)-4))))</f>
        <v/>
      </c>
      <c r="BY6" s="26">
        <f>IF(SUMPRODUCT(((Plan!$I$5:$I$88="A")+(Plan!$I$5:$I$88="A+B"))*(Plan!$K$5:$K$88&lt;BY$5)*(Plan!$L$5:$L$88&gt;=BY$5))=0,"",INDEX(Plan!$A$5:$A$88,SUMPRODUCT(((Plan!$I$5:$I$88="A")+(Plan!$I$5:$I$88="A+B"))*(Plan!$K$5:$K$88&lt;BY$5)*(Plan!$L$5:$L$88&gt;=BY$5)*(ROW(Plan!$A$5:$A$88)-4))))</f>
        <v/>
      </c>
      <c r="BZ6" s="26">
        <f>IF(SUMPRODUCT(((Plan!$I$5:$I$88="A")+(Plan!$I$5:$I$88="A+B"))*(Plan!$K$5:$K$88&lt;BZ$5)*(Plan!$L$5:$L$88&gt;=BZ$5))=0,"",INDEX(Plan!$A$5:$A$88,SUMPRODUCT(((Plan!$I$5:$I$88="A")+(Plan!$I$5:$I$88="A+B"))*(Plan!$K$5:$K$88&lt;BZ$5)*(Plan!$L$5:$L$88&gt;=BZ$5)*(ROW(Plan!$A$5:$A$88)-4))))</f>
        <v/>
      </c>
      <c r="CA6" s="26">
        <f>IF(SUMPRODUCT(((Plan!$I$5:$I$88="A")+(Plan!$I$5:$I$88="A+B"))*(Plan!$K$5:$K$88&lt;CA$5)*(Plan!$L$5:$L$88&gt;=CA$5))=0,"",INDEX(Plan!$A$5:$A$88,SUMPRODUCT(((Plan!$I$5:$I$88="A")+(Plan!$I$5:$I$88="A+B"))*(Plan!$K$5:$K$88&lt;CA$5)*(Plan!$L$5:$L$88&gt;=CA$5)*(ROW(Plan!$A$5:$A$88)-4))))</f>
        <v/>
      </c>
      <c r="CB6" s="26">
        <f>IF(SUMPRODUCT(((Plan!$I$5:$I$88="A")+(Plan!$I$5:$I$88="A+B"))*(Plan!$K$5:$K$88&lt;CB$5)*(Plan!$L$5:$L$88&gt;=CB$5))=0,"",INDEX(Plan!$A$5:$A$88,SUMPRODUCT(((Plan!$I$5:$I$88="A")+(Plan!$I$5:$I$88="A+B"))*(Plan!$K$5:$K$88&lt;CB$5)*(Plan!$L$5:$L$88&gt;=CB$5)*(ROW(Plan!$A$5:$A$88)-4))))</f>
        <v/>
      </c>
      <c r="CC6" s="26">
        <f>IF(SUMPRODUCT(((Plan!$I$5:$I$88="A")+(Plan!$I$5:$I$88="A+B"))*(Plan!$K$5:$K$88&lt;CC$5)*(Plan!$L$5:$L$88&gt;=CC$5))=0,"",INDEX(Plan!$A$5:$A$88,SUMPRODUCT(((Plan!$I$5:$I$88="A")+(Plan!$I$5:$I$88="A+B"))*(Plan!$K$5:$K$88&lt;CC$5)*(Plan!$L$5:$L$88&gt;=CC$5)*(ROW(Plan!$A$5:$A$88)-4))))</f>
        <v/>
      </c>
      <c r="CD6" s="26">
        <f>IF(SUMPRODUCT(((Plan!$I$5:$I$88="A")+(Plan!$I$5:$I$88="A+B"))*(Plan!$K$5:$K$88&lt;CD$5)*(Plan!$L$5:$L$88&gt;=CD$5))=0,"",INDEX(Plan!$A$5:$A$88,SUMPRODUCT(((Plan!$I$5:$I$88="A")+(Plan!$I$5:$I$88="A+B"))*(Plan!$K$5:$K$88&lt;CD$5)*(Plan!$L$5:$L$88&gt;=CD$5)*(ROW(Plan!$A$5:$A$88)-4))))</f>
        <v/>
      </c>
      <c r="CE6" s="26">
        <f>IF(SUMPRODUCT(((Plan!$I$5:$I$88="A")+(Plan!$I$5:$I$88="A+B"))*(Plan!$K$5:$K$88&lt;CE$5)*(Plan!$L$5:$L$88&gt;=CE$5))=0,"",INDEX(Plan!$A$5:$A$88,SUMPRODUCT(((Plan!$I$5:$I$88="A")+(Plan!$I$5:$I$88="A+B"))*(Plan!$K$5:$K$88&lt;CE$5)*(Plan!$L$5:$L$88&gt;=CE$5)*(ROW(Plan!$A$5:$A$88)-4))))</f>
        <v/>
      </c>
      <c r="CF6" s="26">
        <f>IF(SUMPRODUCT(((Plan!$I$5:$I$88="A")+(Plan!$I$5:$I$88="A+B"))*(Plan!$K$5:$K$88&lt;CF$5)*(Plan!$L$5:$L$88&gt;=CF$5))=0,"",INDEX(Plan!$A$5:$A$88,SUMPRODUCT(((Plan!$I$5:$I$88="A")+(Plan!$I$5:$I$88="A+B"))*(Plan!$K$5:$K$88&lt;CF$5)*(Plan!$L$5:$L$88&gt;=CF$5)*(ROW(Plan!$A$5:$A$88)-4))))</f>
        <v/>
      </c>
      <c r="CG6" s="26">
        <f>IF(SUMPRODUCT(((Plan!$I$5:$I$88="A")+(Plan!$I$5:$I$88="A+B"))*(Plan!$K$5:$K$88&lt;CG$5)*(Plan!$L$5:$L$88&gt;=CG$5))=0,"",INDEX(Plan!$A$5:$A$88,SUMPRODUCT(((Plan!$I$5:$I$88="A")+(Plan!$I$5:$I$88="A+B"))*(Plan!$K$5:$K$88&lt;CG$5)*(Plan!$L$5:$L$88&gt;=CG$5)*(ROW(Plan!$A$5:$A$88)-4))))</f>
        <v/>
      </c>
      <c r="CH6" s="26">
        <f>IF(SUMPRODUCT(((Plan!$I$5:$I$88="A")+(Plan!$I$5:$I$88="A+B"))*(Plan!$K$5:$K$88&lt;CH$5)*(Plan!$L$5:$L$88&gt;=CH$5))=0,"",INDEX(Plan!$A$5:$A$88,SUMPRODUCT(((Plan!$I$5:$I$88="A")+(Plan!$I$5:$I$88="A+B"))*(Plan!$K$5:$K$88&lt;CH$5)*(Plan!$L$5:$L$88&gt;=CH$5)*(ROW(Plan!$A$5:$A$88)-4))))</f>
        <v/>
      </c>
      <c r="CI6" s="26">
        <f>IF(SUMPRODUCT(((Plan!$I$5:$I$88="A")+(Plan!$I$5:$I$88="A+B"))*(Plan!$K$5:$K$88&lt;CI$5)*(Plan!$L$5:$L$88&gt;=CI$5))=0,"",INDEX(Plan!$A$5:$A$88,SUMPRODUCT(((Plan!$I$5:$I$88="A")+(Plan!$I$5:$I$88="A+B"))*(Plan!$K$5:$K$88&lt;CI$5)*(Plan!$L$5:$L$88&gt;=CI$5)*(ROW(Plan!$A$5:$A$88)-4))))</f>
        <v/>
      </c>
      <c r="CJ6" s="26">
        <f>IF(SUMPRODUCT(((Plan!$I$5:$I$88="A")+(Plan!$I$5:$I$88="A+B"))*(Plan!$K$5:$K$88&lt;CJ$5)*(Plan!$L$5:$L$88&gt;=CJ$5))=0,"",INDEX(Plan!$A$5:$A$88,SUMPRODUCT(((Plan!$I$5:$I$88="A")+(Plan!$I$5:$I$88="A+B"))*(Plan!$K$5:$K$88&lt;CJ$5)*(Plan!$L$5:$L$88&gt;=CJ$5)*(ROW(Plan!$A$5:$A$88)-4))))</f>
        <v/>
      </c>
      <c r="CK6" s="26">
        <f>IF(SUMPRODUCT(((Plan!$I$5:$I$88="A")+(Plan!$I$5:$I$88="A+B"))*(Plan!$K$5:$K$88&lt;CK$5)*(Plan!$L$5:$L$88&gt;=CK$5))=0,"",INDEX(Plan!$A$5:$A$88,SUMPRODUCT(((Plan!$I$5:$I$88="A")+(Plan!$I$5:$I$88="A+B"))*(Plan!$K$5:$K$88&lt;CK$5)*(Plan!$L$5:$L$88&gt;=CK$5)*(ROW(Plan!$A$5:$A$88)-4))))</f>
        <v/>
      </c>
      <c r="CL6" s="26">
        <f>IF(SUMPRODUCT(((Plan!$I$5:$I$88="A")+(Plan!$I$5:$I$88="A+B"))*(Plan!$K$5:$K$88&lt;CL$5)*(Plan!$L$5:$L$88&gt;=CL$5))=0,"",INDEX(Plan!$A$5:$A$88,SUMPRODUCT(((Plan!$I$5:$I$88="A")+(Plan!$I$5:$I$88="A+B"))*(Plan!$K$5:$K$88&lt;CL$5)*(Plan!$L$5:$L$88&gt;=CL$5)*(ROW(Plan!$A$5:$A$88)-4))))</f>
        <v/>
      </c>
      <c r="CM6" s="26">
        <f>IF(SUMPRODUCT(((Plan!$I$5:$I$88="A")+(Plan!$I$5:$I$88="A+B"))*(Plan!$K$5:$K$88&lt;CM$5)*(Plan!$L$5:$L$88&gt;=CM$5))=0,"",INDEX(Plan!$A$5:$A$88,SUMPRODUCT(((Plan!$I$5:$I$88="A")+(Plan!$I$5:$I$88="A+B"))*(Plan!$K$5:$K$88&lt;CM$5)*(Plan!$L$5:$L$88&gt;=CM$5)*(ROW(Plan!$A$5:$A$88)-4))))</f>
        <v/>
      </c>
      <c r="CN6" s="26">
        <f>IF(SUMPRODUCT(((Plan!$I$5:$I$88="A")+(Plan!$I$5:$I$88="A+B"))*(Plan!$K$5:$K$88&lt;CN$5)*(Plan!$L$5:$L$88&gt;=CN$5))=0,"",INDEX(Plan!$A$5:$A$88,SUMPRODUCT(((Plan!$I$5:$I$88="A")+(Plan!$I$5:$I$88="A+B"))*(Plan!$K$5:$K$88&lt;CN$5)*(Plan!$L$5:$L$88&gt;=CN$5)*(ROW(Plan!$A$5:$A$88)-4))))</f>
        <v/>
      </c>
      <c r="CO6" s="26">
        <f>IF(SUMPRODUCT(((Plan!$I$5:$I$88="A")+(Plan!$I$5:$I$88="A+B"))*(Plan!$K$5:$K$88&lt;CO$5)*(Plan!$L$5:$L$88&gt;=CO$5))=0,"",INDEX(Plan!$A$5:$A$88,SUMPRODUCT(((Plan!$I$5:$I$88="A")+(Plan!$I$5:$I$88="A+B"))*(Plan!$K$5:$K$88&lt;CO$5)*(Plan!$L$5:$L$88&gt;=CO$5)*(ROW(Plan!$A$5:$A$88)-4))))</f>
        <v/>
      </c>
      <c r="CP6" s="26">
        <f>IF(SUMPRODUCT(((Plan!$I$5:$I$88="A")+(Plan!$I$5:$I$88="A+B"))*(Plan!$K$5:$K$88&lt;CP$5)*(Plan!$L$5:$L$88&gt;=CP$5))=0,"",INDEX(Plan!$A$5:$A$88,SUMPRODUCT(((Plan!$I$5:$I$88="A")+(Plan!$I$5:$I$88="A+B"))*(Plan!$K$5:$K$88&lt;CP$5)*(Plan!$L$5:$L$88&gt;=CP$5)*(ROW(Plan!$A$5:$A$88)-4))))</f>
        <v/>
      </c>
      <c r="CQ6" s="26">
        <f>IF(SUMPRODUCT(((Plan!$I$5:$I$88="A")+(Plan!$I$5:$I$88="A+B"))*(Plan!$K$5:$K$88&lt;CQ$5)*(Plan!$L$5:$L$88&gt;=CQ$5))=0,"",INDEX(Plan!$A$5:$A$88,SUMPRODUCT(((Plan!$I$5:$I$88="A")+(Plan!$I$5:$I$88="A+B"))*(Plan!$K$5:$K$88&lt;CQ$5)*(Plan!$L$5:$L$88&gt;=CQ$5)*(ROW(Plan!$A$5:$A$88)-4))))</f>
        <v/>
      </c>
      <c r="CR6" s="26">
        <f>IF(SUMPRODUCT(((Plan!$I$5:$I$88="A")+(Plan!$I$5:$I$88="A+B"))*(Plan!$K$5:$K$88&lt;CR$5)*(Plan!$L$5:$L$88&gt;=CR$5))=0,"",INDEX(Plan!$A$5:$A$88,SUMPRODUCT(((Plan!$I$5:$I$88="A")+(Plan!$I$5:$I$88="A+B"))*(Plan!$K$5:$K$88&lt;CR$5)*(Plan!$L$5:$L$88&gt;=CR$5)*(ROW(Plan!$A$5:$A$88)-4))))</f>
        <v/>
      </c>
      <c r="CS6" s="26">
        <f>IF(SUMPRODUCT(((Plan!$I$5:$I$88="A")+(Plan!$I$5:$I$88="A+B"))*(Plan!$K$5:$K$88&lt;CS$5)*(Plan!$L$5:$L$88&gt;=CS$5))=0,"",INDEX(Plan!$A$5:$A$88,SUMPRODUCT(((Plan!$I$5:$I$88="A")+(Plan!$I$5:$I$88="A+B"))*(Plan!$K$5:$K$88&lt;CS$5)*(Plan!$L$5:$L$88&gt;=CS$5)*(ROW(Plan!$A$5:$A$88)-4))))</f>
        <v/>
      </c>
      <c r="CT6" s="26">
        <f>IF(SUMPRODUCT(((Plan!$I$5:$I$88="A")+(Plan!$I$5:$I$88="A+B"))*(Plan!$K$5:$K$88&lt;CT$5)*(Plan!$L$5:$L$88&gt;=CT$5))=0,"",INDEX(Plan!$A$5:$A$88,SUMPRODUCT(((Plan!$I$5:$I$88="A")+(Plan!$I$5:$I$88="A+B"))*(Plan!$K$5:$K$88&lt;CT$5)*(Plan!$L$5:$L$88&gt;=CT$5)*(ROW(Plan!$A$5:$A$88)-4))))</f>
        <v/>
      </c>
      <c r="CU6" s="26">
        <f>IF(SUMPRODUCT(((Plan!$I$5:$I$88="A")+(Plan!$I$5:$I$88="A+B"))*(Plan!$K$5:$K$88&lt;CU$5)*(Plan!$L$5:$L$88&gt;=CU$5))=0,"",INDEX(Plan!$A$5:$A$88,SUMPRODUCT(((Plan!$I$5:$I$88="A")+(Plan!$I$5:$I$88="A+B"))*(Plan!$K$5:$K$88&lt;CU$5)*(Plan!$L$5:$L$88&gt;=CU$5)*(ROW(Plan!$A$5:$A$88)-4))))</f>
        <v/>
      </c>
      <c r="CV6" s="26">
        <f>IF(SUMPRODUCT(((Plan!$I$5:$I$88="A")+(Plan!$I$5:$I$88="A+B"))*(Plan!$K$5:$K$88&lt;CV$5)*(Plan!$L$5:$L$88&gt;=CV$5))=0,"",INDEX(Plan!$A$5:$A$88,SUMPRODUCT(((Plan!$I$5:$I$88="A")+(Plan!$I$5:$I$88="A+B"))*(Plan!$K$5:$K$88&lt;CV$5)*(Plan!$L$5:$L$88&gt;=CV$5)*(ROW(Plan!$A$5:$A$88)-4))))</f>
        <v/>
      </c>
      <c r="CW6" s="26">
        <f>IF(SUMPRODUCT(((Plan!$I$5:$I$88="A")+(Plan!$I$5:$I$88="A+B"))*(Plan!$K$5:$K$88&lt;CW$5)*(Plan!$L$5:$L$88&gt;=CW$5))=0,"",INDEX(Plan!$A$5:$A$88,SUMPRODUCT(((Plan!$I$5:$I$88="A")+(Plan!$I$5:$I$88="A+B"))*(Plan!$K$5:$K$88&lt;CW$5)*(Plan!$L$5:$L$88&gt;=CW$5)*(ROW(Plan!$A$5:$A$88)-4))))</f>
        <v/>
      </c>
      <c r="CX6" s="26">
        <f>IF(SUMPRODUCT(((Plan!$I$5:$I$88="A")+(Plan!$I$5:$I$88="A+B"))*(Plan!$K$5:$K$88&lt;CX$5)*(Plan!$L$5:$L$88&gt;=CX$5))=0,"",INDEX(Plan!$A$5:$A$88,SUMPRODUCT(((Plan!$I$5:$I$88="A")+(Plan!$I$5:$I$88="A+B"))*(Plan!$K$5:$K$88&lt;CX$5)*(Plan!$L$5:$L$88&gt;=CX$5)*(ROW(Plan!$A$5:$A$88)-4))))</f>
        <v/>
      </c>
      <c r="CY6" s="26">
        <f>IF(SUMPRODUCT(((Plan!$I$5:$I$88="A")+(Plan!$I$5:$I$88="A+B"))*(Plan!$K$5:$K$88&lt;CY$5)*(Plan!$L$5:$L$88&gt;=CY$5))=0,"",INDEX(Plan!$A$5:$A$88,SUMPRODUCT(((Plan!$I$5:$I$88="A")+(Plan!$I$5:$I$88="A+B"))*(Plan!$K$5:$K$88&lt;CY$5)*(Plan!$L$5:$L$88&gt;=CY$5)*(ROW(Plan!$A$5:$A$88)-4))))</f>
        <v/>
      </c>
      <c r="CZ6" s="26">
        <f>IF(SUMPRODUCT(((Plan!$I$5:$I$88="A")+(Plan!$I$5:$I$88="A+B"))*(Plan!$K$5:$K$88&lt;CZ$5)*(Plan!$L$5:$L$88&gt;=CZ$5))=0,"",INDEX(Plan!$A$5:$A$88,SUMPRODUCT(((Plan!$I$5:$I$88="A")+(Plan!$I$5:$I$88="A+B"))*(Plan!$K$5:$K$88&lt;CZ$5)*(Plan!$L$5:$L$88&gt;=CZ$5)*(ROW(Plan!$A$5:$A$88)-4))))</f>
        <v/>
      </c>
      <c r="DA6" s="26">
        <f>IF(SUMPRODUCT(((Plan!$I$5:$I$88="A")+(Plan!$I$5:$I$88="A+B"))*(Plan!$K$5:$K$88&lt;DA$5)*(Plan!$L$5:$L$88&gt;=DA$5))=0,"",INDEX(Plan!$A$5:$A$88,SUMPRODUCT(((Plan!$I$5:$I$88="A")+(Plan!$I$5:$I$88="A+B"))*(Plan!$K$5:$K$88&lt;DA$5)*(Plan!$L$5:$L$88&gt;=DA$5)*(ROW(Plan!$A$5:$A$88)-4))))</f>
        <v/>
      </c>
      <c r="DB6" s="26">
        <f>IF(SUMPRODUCT(((Plan!$I$5:$I$88="A")+(Plan!$I$5:$I$88="A+B"))*(Plan!$K$5:$K$88&lt;DB$5)*(Plan!$L$5:$L$88&gt;=DB$5))=0,"",INDEX(Plan!$A$5:$A$88,SUMPRODUCT(((Plan!$I$5:$I$88="A")+(Plan!$I$5:$I$88="A+B"))*(Plan!$K$5:$K$88&lt;DB$5)*(Plan!$L$5:$L$88&gt;=DB$5)*(ROW(Plan!$A$5:$A$88)-4))))</f>
        <v/>
      </c>
      <c r="DC6" s="26">
        <f>IF(SUMPRODUCT(((Plan!$I$5:$I$88="A")+(Plan!$I$5:$I$88="A+B"))*(Plan!$K$5:$K$88&lt;DC$5)*(Plan!$L$5:$L$88&gt;=DC$5))=0,"",INDEX(Plan!$A$5:$A$88,SUMPRODUCT(((Plan!$I$5:$I$88="A")+(Plan!$I$5:$I$88="A+B"))*(Plan!$K$5:$K$88&lt;DC$5)*(Plan!$L$5:$L$88&gt;=DC$5)*(ROW(Plan!$A$5:$A$88)-4))))</f>
        <v/>
      </c>
    </row>
    <row r="7" ht="26" customHeight="1">
      <c r="A7" s="22" t="inlineStr">
        <is>
          <t>Fila B — tarea en curso</t>
        </is>
      </c>
      <c r="H7" s="26">
        <f>IF(SUMPRODUCT(((Plan!$I$5:$I$88="B")+(Plan!$I$5:$I$88="A+B"))*(Plan!$K$5:$K$88&lt;H$5)*(Plan!$L$5:$L$88&gt;=H$5))=0,"",INDEX(Plan!$A$5:$A$88,SUMPRODUCT(((Plan!$I$5:$I$88="B")+(Plan!$I$5:$I$88="A+B"))*(Plan!$K$5:$K$88&lt;H$5)*(Plan!$L$5:$L$88&gt;=H$5)*(ROW(Plan!$A$5:$A$88)-4))))</f>
        <v/>
      </c>
      <c r="I7" s="26">
        <f>IF(SUMPRODUCT(((Plan!$I$5:$I$88="B")+(Plan!$I$5:$I$88="A+B"))*(Plan!$K$5:$K$88&lt;I$5)*(Plan!$L$5:$L$88&gt;=I$5))=0,"",INDEX(Plan!$A$5:$A$88,SUMPRODUCT(((Plan!$I$5:$I$88="B")+(Plan!$I$5:$I$88="A+B"))*(Plan!$K$5:$K$88&lt;I$5)*(Plan!$L$5:$L$88&gt;=I$5)*(ROW(Plan!$A$5:$A$88)-4))))</f>
        <v/>
      </c>
      <c r="J7" s="26">
        <f>IF(SUMPRODUCT(((Plan!$I$5:$I$88="B")+(Plan!$I$5:$I$88="A+B"))*(Plan!$K$5:$K$88&lt;J$5)*(Plan!$L$5:$L$88&gt;=J$5))=0,"",INDEX(Plan!$A$5:$A$88,SUMPRODUCT(((Plan!$I$5:$I$88="B")+(Plan!$I$5:$I$88="A+B"))*(Plan!$K$5:$K$88&lt;J$5)*(Plan!$L$5:$L$88&gt;=J$5)*(ROW(Plan!$A$5:$A$88)-4))))</f>
        <v/>
      </c>
      <c r="K7" s="26">
        <f>IF(SUMPRODUCT(((Plan!$I$5:$I$88="B")+(Plan!$I$5:$I$88="A+B"))*(Plan!$K$5:$K$88&lt;K$5)*(Plan!$L$5:$L$88&gt;=K$5))=0,"",INDEX(Plan!$A$5:$A$88,SUMPRODUCT(((Plan!$I$5:$I$88="B")+(Plan!$I$5:$I$88="A+B"))*(Plan!$K$5:$K$88&lt;K$5)*(Plan!$L$5:$L$88&gt;=K$5)*(ROW(Plan!$A$5:$A$88)-4))))</f>
        <v/>
      </c>
      <c r="L7" s="26">
        <f>IF(SUMPRODUCT(((Plan!$I$5:$I$88="B")+(Plan!$I$5:$I$88="A+B"))*(Plan!$K$5:$K$88&lt;L$5)*(Plan!$L$5:$L$88&gt;=L$5))=0,"",INDEX(Plan!$A$5:$A$88,SUMPRODUCT(((Plan!$I$5:$I$88="B")+(Plan!$I$5:$I$88="A+B"))*(Plan!$K$5:$K$88&lt;L$5)*(Plan!$L$5:$L$88&gt;=L$5)*(ROW(Plan!$A$5:$A$88)-4))))</f>
        <v/>
      </c>
      <c r="M7" s="26">
        <f>IF(SUMPRODUCT(((Plan!$I$5:$I$88="B")+(Plan!$I$5:$I$88="A+B"))*(Plan!$K$5:$K$88&lt;M$5)*(Plan!$L$5:$L$88&gt;=M$5))=0,"",INDEX(Plan!$A$5:$A$88,SUMPRODUCT(((Plan!$I$5:$I$88="B")+(Plan!$I$5:$I$88="A+B"))*(Plan!$K$5:$K$88&lt;M$5)*(Plan!$L$5:$L$88&gt;=M$5)*(ROW(Plan!$A$5:$A$88)-4))))</f>
        <v/>
      </c>
      <c r="N7" s="26">
        <f>IF(SUMPRODUCT(((Plan!$I$5:$I$88="B")+(Plan!$I$5:$I$88="A+B"))*(Plan!$K$5:$K$88&lt;N$5)*(Plan!$L$5:$L$88&gt;=N$5))=0,"",INDEX(Plan!$A$5:$A$88,SUMPRODUCT(((Plan!$I$5:$I$88="B")+(Plan!$I$5:$I$88="A+B"))*(Plan!$K$5:$K$88&lt;N$5)*(Plan!$L$5:$L$88&gt;=N$5)*(ROW(Plan!$A$5:$A$88)-4))))</f>
        <v/>
      </c>
      <c r="O7" s="26">
        <f>IF(SUMPRODUCT(((Plan!$I$5:$I$88="B")+(Plan!$I$5:$I$88="A+B"))*(Plan!$K$5:$K$88&lt;O$5)*(Plan!$L$5:$L$88&gt;=O$5))=0,"",INDEX(Plan!$A$5:$A$88,SUMPRODUCT(((Plan!$I$5:$I$88="B")+(Plan!$I$5:$I$88="A+B"))*(Plan!$K$5:$K$88&lt;O$5)*(Plan!$L$5:$L$88&gt;=O$5)*(ROW(Plan!$A$5:$A$88)-4))))</f>
        <v/>
      </c>
      <c r="P7" s="26">
        <f>IF(SUMPRODUCT(((Plan!$I$5:$I$88="B")+(Plan!$I$5:$I$88="A+B"))*(Plan!$K$5:$K$88&lt;P$5)*(Plan!$L$5:$L$88&gt;=P$5))=0,"",INDEX(Plan!$A$5:$A$88,SUMPRODUCT(((Plan!$I$5:$I$88="B")+(Plan!$I$5:$I$88="A+B"))*(Plan!$K$5:$K$88&lt;P$5)*(Plan!$L$5:$L$88&gt;=P$5)*(ROW(Plan!$A$5:$A$88)-4))))</f>
        <v/>
      </c>
      <c r="Q7" s="26">
        <f>IF(SUMPRODUCT(((Plan!$I$5:$I$88="B")+(Plan!$I$5:$I$88="A+B"))*(Plan!$K$5:$K$88&lt;Q$5)*(Plan!$L$5:$L$88&gt;=Q$5))=0,"",INDEX(Plan!$A$5:$A$88,SUMPRODUCT(((Plan!$I$5:$I$88="B")+(Plan!$I$5:$I$88="A+B"))*(Plan!$K$5:$K$88&lt;Q$5)*(Plan!$L$5:$L$88&gt;=Q$5)*(ROW(Plan!$A$5:$A$88)-4))))</f>
        <v/>
      </c>
      <c r="R7" s="26">
        <f>IF(SUMPRODUCT(((Plan!$I$5:$I$88="B")+(Plan!$I$5:$I$88="A+B"))*(Plan!$K$5:$K$88&lt;R$5)*(Plan!$L$5:$L$88&gt;=R$5))=0,"",INDEX(Plan!$A$5:$A$88,SUMPRODUCT(((Plan!$I$5:$I$88="B")+(Plan!$I$5:$I$88="A+B"))*(Plan!$K$5:$K$88&lt;R$5)*(Plan!$L$5:$L$88&gt;=R$5)*(ROW(Plan!$A$5:$A$88)-4))))</f>
        <v/>
      </c>
      <c r="S7" s="26">
        <f>IF(SUMPRODUCT(((Plan!$I$5:$I$88="B")+(Plan!$I$5:$I$88="A+B"))*(Plan!$K$5:$K$88&lt;S$5)*(Plan!$L$5:$L$88&gt;=S$5))=0,"",INDEX(Plan!$A$5:$A$88,SUMPRODUCT(((Plan!$I$5:$I$88="B")+(Plan!$I$5:$I$88="A+B"))*(Plan!$K$5:$K$88&lt;S$5)*(Plan!$L$5:$L$88&gt;=S$5)*(ROW(Plan!$A$5:$A$88)-4))))</f>
        <v/>
      </c>
      <c r="T7" s="26">
        <f>IF(SUMPRODUCT(((Plan!$I$5:$I$88="B")+(Plan!$I$5:$I$88="A+B"))*(Plan!$K$5:$K$88&lt;T$5)*(Plan!$L$5:$L$88&gt;=T$5))=0,"",INDEX(Plan!$A$5:$A$88,SUMPRODUCT(((Plan!$I$5:$I$88="B")+(Plan!$I$5:$I$88="A+B"))*(Plan!$K$5:$K$88&lt;T$5)*(Plan!$L$5:$L$88&gt;=T$5)*(ROW(Plan!$A$5:$A$88)-4))))</f>
        <v/>
      </c>
      <c r="U7" s="26">
        <f>IF(SUMPRODUCT(((Plan!$I$5:$I$88="B")+(Plan!$I$5:$I$88="A+B"))*(Plan!$K$5:$K$88&lt;U$5)*(Plan!$L$5:$L$88&gt;=U$5))=0,"",INDEX(Plan!$A$5:$A$88,SUMPRODUCT(((Plan!$I$5:$I$88="B")+(Plan!$I$5:$I$88="A+B"))*(Plan!$K$5:$K$88&lt;U$5)*(Plan!$L$5:$L$88&gt;=U$5)*(ROW(Plan!$A$5:$A$88)-4))))</f>
        <v/>
      </c>
      <c r="V7" s="26">
        <f>IF(SUMPRODUCT(((Plan!$I$5:$I$88="B")+(Plan!$I$5:$I$88="A+B"))*(Plan!$K$5:$K$88&lt;V$5)*(Plan!$L$5:$L$88&gt;=V$5))=0,"",INDEX(Plan!$A$5:$A$88,SUMPRODUCT(((Plan!$I$5:$I$88="B")+(Plan!$I$5:$I$88="A+B"))*(Plan!$K$5:$K$88&lt;V$5)*(Plan!$L$5:$L$88&gt;=V$5)*(ROW(Plan!$A$5:$A$88)-4))))</f>
        <v/>
      </c>
      <c r="W7" s="26">
        <f>IF(SUMPRODUCT(((Plan!$I$5:$I$88="B")+(Plan!$I$5:$I$88="A+B"))*(Plan!$K$5:$K$88&lt;W$5)*(Plan!$L$5:$L$88&gt;=W$5))=0,"",INDEX(Plan!$A$5:$A$88,SUMPRODUCT(((Plan!$I$5:$I$88="B")+(Plan!$I$5:$I$88="A+B"))*(Plan!$K$5:$K$88&lt;W$5)*(Plan!$L$5:$L$88&gt;=W$5)*(ROW(Plan!$A$5:$A$88)-4))))</f>
        <v/>
      </c>
      <c r="X7" s="26">
        <f>IF(SUMPRODUCT(((Plan!$I$5:$I$88="B")+(Plan!$I$5:$I$88="A+B"))*(Plan!$K$5:$K$88&lt;X$5)*(Plan!$L$5:$L$88&gt;=X$5))=0,"",INDEX(Plan!$A$5:$A$88,SUMPRODUCT(((Plan!$I$5:$I$88="B")+(Plan!$I$5:$I$88="A+B"))*(Plan!$K$5:$K$88&lt;X$5)*(Plan!$L$5:$L$88&gt;=X$5)*(ROW(Plan!$A$5:$A$88)-4))))</f>
        <v/>
      </c>
      <c r="Y7" s="26">
        <f>IF(SUMPRODUCT(((Plan!$I$5:$I$88="B")+(Plan!$I$5:$I$88="A+B"))*(Plan!$K$5:$K$88&lt;Y$5)*(Plan!$L$5:$L$88&gt;=Y$5))=0,"",INDEX(Plan!$A$5:$A$88,SUMPRODUCT(((Plan!$I$5:$I$88="B")+(Plan!$I$5:$I$88="A+B"))*(Plan!$K$5:$K$88&lt;Y$5)*(Plan!$L$5:$L$88&gt;=Y$5)*(ROW(Plan!$A$5:$A$88)-4))))</f>
        <v/>
      </c>
      <c r="Z7" s="26">
        <f>IF(SUMPRODUCT(((Plan!$I$5:$I$88="B")+(Plan!$I$5:$I$88="A+B"))*(Plan!$K$5:$K$88&lt;Z$5)*(Plan!$L$5:$L$88&gt;=Z$5))=0,"",INDEX(Plan!$A$5:$A$88,SUMPRODUCT(((Plan!$I$5:$I$88="B")+(Plan!$I$5:$I$88="A+B"))*(Plan!$K$5:$K$88&lt;Z$5)*(Plan!$L$5:$L$88&gt;=Z$5)*(ROW(Plan!$A$5:$A$88)-4))))</f>
        <v/>
      </c>
      <c r="AA7" s="26">
        <f>IF(SUMPRODUCT(((Plan!$I$5:$I$88="B")+(Plan!$I$5:$I$88="A+B"))*(Plan!$K$5:$K$88&lt;AA$5)*(Plan!$L$5:$L$88&gt;=AA$5))=0,"",INDEX(Plan!$A$5:$A$88,SUMPRODUCT(((Plan!$I$5:$I$88="B")+(Plan!$I$5:$I$88="A+B"))*(Plan!$K$5:$K$88&lt;AA$5)*(Plan!$L$5:$L$88&gt;=AA$5)*(ROW(Plan!$A$5:$A$88)-4))))</f>
        <v/>
      </c>
      <c r="AB7" s="26">
        <f>IF(SUMPRODUCT(((Plan!$I$5:$I$88="B")+(Plan!$I$5:$I$88="A+B"))*(Plan!$K$5:$K$88&lt;AB$5)*(Plan!$L$5:$L$88&gt;=AB$5))=0,"",INDEX(Plan!$A$5:$A$88,SUMPRODUCT(((Plan!$I$5:$I$88="B")+(Plan!$I$5:$I$88="A+B"))*(Plan!$K$5:$K$88&lt;AB$5)*(Plan!$L$5:$L$88&gt;=AB$5)*(ROW(Plan!$A$5:$A$88)-4))))</f>
        <v/>
      </c>
      <c r="AC7" s="26">
        <f>IF(SUMPRODUCT(((Plan!$I$5:$I$88="B")+(Plan!$I$5:$I$88="A+B"))*(Plan!$K$5:$K$88&lt;AC$5)*(Plan!$L$5:$L$88&gt;=AC$5))=0,"",INDEX(Plan!$A$5:$A$88,SUMPRODUCT(((Plan!$I$5:$I$88="B")+(Plan!$I$5:$I$88="A+B"))*(Plan!$K$5:$K$88&lt;AC$5)*(Plan!$L$5:$L$88&gt;=AC$5)*(ROW(Plan!$A$5:$A$88)-4))))</f>
        <v/>
      </c>
      <c r="AD7" s="26">
        <f>IF(SUMPRODUCT(((Plan!$I$5:$I$88="B")+(Plan!$I$5:$I$88="A+B"))*(Plan!$K$5:$K$88&lt;AD$5)*(Plan!$L$5:$L$88&gt;=AD$5))=0,"",INDEX(Plan!$A$5:$A$88,SUMPRODUCT(((Plan!$I$5:$I$88="B")+(Plan!$I$5:$I$88="A+B"))*(Plan!$K$5:$K$88&lt;AD$5)*(Plan!$L$5:$L$88&gt;=AD$5)*(ROW(Plan!$A$5:$A$88)-4))))</f>
        <v/>
      </c>
      <c r="AE7" s="26">
        <f>IF(SUMPRODUCT(((Plan!$I$5:$I$88="B")+(Plan!$I$5:$I$88="A+B"))*(Plan!$K$5:$K$88&lt;AE$5)*(Plan!$L$5:$L$88&gt;=AE$5))=0,"",INDEX(Plan!$A$5:$A$88,SUMPRODUCT(((Plan!$I$5:$I$88="B")+(Plan!$I$5:$I$88="A+B"))*(Plan!$K$5:$K$88&lt;AE$5)*(Plan!$L$5:$L$88&gt;=AE$5)*(ROW(Plan!$A$5:$A$88)-4))))</f>
        <v/>
      </c>
      <c r="AF7" s="26">
        <f>IF(SUMPRODUCT(((Plan!$I$5:$I$88="B")+(Plan!$I$5:$I$88="A+B"))*(Plan!$K$5:$K$88&lt;AF$5)*(Plan!$L$5:$L$88&gt;=AF$5))=0,"",INDEX(Plan!$A$5:$A$88,SUMPRODUCT(((Plan!$I$5:$I$88="B")+(Plan!$I$5:$I$88="A+B"))*(Plan!$K$5:$K$88&lt;AF$5)*(Plan!$L$5:$L$88&gt;=AF$5)*(ROW(Plan!$A$5:$A$88)-4))))</f>
        <v/>
      </c>
      <c r="AG7" s="26">
        <f>IF(SUMPRODUCT(((Plan!$I$5:$I$88="B")+(Plan!$I$5:$I$88="A+B"))*(Plan!$K$5:$K$88&lt;AG$5)*(Plan!$L$5:$L$88&gt;=AG$5))=0,"",INDEX(Plan!$A$5:$A$88,SUMPRODUCT(((Plan!$I$5:$I$88="B")+(Plan!$I$5:$I$88="A+B"))*(Plan!$K$5:$K$88&lt;AG$5)*(Plan!$L$5:$L$88&gt;=AG$5)*(ROW(Plan!$A$5:$A$88)-4))))</f>
        <v/>
      </c>
      <c r="AH7" s="26">
        <f>IF(SUMPRODUCT(((Plan!$I$5:$I$88="B")+(Plan!$I$5:$I$88="A+B"))*(Plan!$K$5:$K$88&lt;AH$5)*(Plan!$L$5:$L$88&gt;=AH$5))=0,"",INDEX(Plan!$A$5:$A$88,SUMPRODUCT(((Plan!$I$5:$I$88="B")+(Plan!$I$5:$I$88="A+B"))*(Plan!$K$5:$K$88&lt;AH$5)*(Plan!$L$5:$L$88&gt;=AH$5)*(ROW(Plan!$A$5:$A$88)-4))))</f>
        <v/>
      </c>
      <c r="AI7" s="26">
        <f>IF(SUMPRODUCT(((Plan!$I$5:$I$88="B")+(Plan!$I$5:$I$88="A+B"))*(Plan!$K$5:$K$88&lt;AI$5)*(Plan!$L$5:$L$88&gt;=AI$5))=0,"",INDEX(Plan!$A$5:$A$88,SUMPRODUCT(((Plan!$I$5:$I$88="B")+(Plan!$I$5:$I$88="A+B"))*(Plan!$K$5:$K$88&lt;AI$5)*(Plan!$L$5:$L$88&gt;=AI$5)*(ROW(Plan!$A$5:$A$88)-4))))</f>
        <v/>
      </c>
      <c r="AJ7" s="26">
        <f>IF(SUMPRODUCT(((Plan!$I$5:$I$88="B")+(Plan!$I$5:$I$88="A+B"))*(Plan!$K$5:$K$88&lt;AJ$5)*(Plan!$L$5:$L$88&gt;=AJ$5))=0,"",INDEX(Plan!$A$5:$A$88,SUMPRODUCT(((Plan!$I$5:$I$88="B")+(Plan!$I$5:$I$88="A+B"))*(Plan!$K$5:$K$88&lt;AJ$5)*(Plan!$L$5:$L$88&gt;=AJ$5)*(ROW(Plan!$A$5:$A$88)-4))))</f>
        <v/>
      </c>
      <c r="AK7" s="26">
        <f>IF(SUMPRODUCT(((Plan!$I$5:$I$88="B")+(Plan!$I$5:$I$88="A+B"))*(Plan!$K$5:$K$88&lt;AK$5)*(Plan!$L$5:$L$88&gt;=AK$5))=0,"",INDEX(Plan!$A$5:$A$88,SUMPRODUCT(((Plan!$I$5:$I$88="B")+(Plan!$I$5:$I$88="A+B"))*(Plan!$K$5:$K$88&lt;AK$5)*(Plan!$L$5:$L$88&gt;=AK$5)*(ROW(Plan!$A$5:$A$88)-4))))</f>
        <v/>
      </c>
      <c r="AL7" s="26">
        <f>IF(SUMPRODUCT(((Plan!$I$5:$I$88="B")+(Plan!$I$5:$I$88="A+B"))*(Plan!$K$5:$K$88&lt;AL$5)*(Plan!$L$5:$L$88&gt;=AL$5))=0,"",INDEX(Plan!$A$5:$A$88,SUMPRODUCT(((Plan!$I$5:$I$88="B")+(Plan!$I$5:$I$88="A+B"))*(Plan!$K$5:$K$88&lt;AL$5)*(Plan!$L$5:$L$88&gt;=AL$5)*(ROW(Plan!$A$5:$A$88)-4))))</f>
        <v/>
      </c>
      <c r="AM7" s="26">
        <f>IF(SUMPRODUCT(((Plan!$I$5:$I$88="B")+(Plan!$I$5:$I$88="A+B"))*(Plan!$K$5:$K$88&lt;AM$5)*(Plan!$L$5:$L$88&gt;=AM$5))=0,"",INDEX(Plan!$A$5:$A$88,SUMPRODUCT(((Plan!$I$5:$I$88="B")+(Plan!$I$5:$I$88="A+B"))*(Plan!$K$5:$K$88&lt;AM$5)*(Plan!$L$5:$L$88&gt;=AM$5)*(ROW(Plan!$A$5:$A$88)-4))))</f>
        <v/>
      </c>
      <c r="AN7" s="26">
        <f>IF(SUMPRODUCT(((Plan!$I$5:$I$88="B")+(Plan!$I$5:$I$88="A+B"))*(Plan!$K$5:$K$88&lt;AN$5)*(Plan!$L$5:$L$88&gt;=AN$5))=0,"",INDEX(Plan!$A$5:$A$88,SUMPRODUCT(((Plan!$I$5:$I$88="B")+(Plan!$I$5:$I$88="A+B"))*(Plan!$K$5:$K$88&lt;AN$5)*(Plan!$L$5:$L$88&gt;=AN$5)*(ROW(Plan!$A$5:$A$88)-4))))</f>
        <v/>
      </c>
      <c r="AO7" s="26">
        <f>IF(SUMPRODUCT(((Plan!$I$5:$I$88="B")+(Plan!$I$5:$I$88="A+B"))*(Plan!$K$5:$K$88&lt;AO$5)*(Plan!$L$5:$L$88&gt;=AO$5))=0,"",INDEX(Plan!$A$5:$A$88,SUMPRODUCT(((Plan!$I$5:$I$88="B")+(Plan!$I$5:$I$88="A+B"))*(Plan!$K$5:$K$88&lt;AO$5)*(Plan!$L$5:$L$88&gt;=AO$5)*(ROW(Plan!$A$5:$A$88)-4))))</f>
        <v/>
      </c>
      <c r="AP7" s="26">
        <f>IF(SUMPRODUCT(((Plan!$I$5:$I$88="B")+(Plan!$I$5:$I$88="A+B"))*(Plan!$K$5:$K$88&lt;AP$5)*(Plan!$L$5:$L$88&gt;=AP$5))=0,"",INDEX(Plan!$A$5:$A$88,SUMPRODUCT(((Plan!$I$5:$I$88="B")+(Plan!$I$5:$I$88="A+B"))*(Plan!$K$5:$K$88&lt;AP$5)*(Plan!$L$5:$L$88&gt;=AP$5)*(ROW(Plan!$A$5:$A$88)-4))))</f>
        <v/>
      </c>
      <c r="AQ7" s="26">
        <f>IF(SUMPRODUCT(((Plan!$I$5:$I$88="B")+(Plan!$I$5:$I$88="A+B"))*(Plan!$K$5:$K$88&lt;AQ$5)*(Plan!$L$5:$L$88&gt;=AQ$5))=0,"",INDEX(Plan!$A$5:$A$88,SUMPRODUCT(((Plan!$I$5:$I$88="B")+(Plan!$I$5:$I$88="A+B"))*(Plan!$K$5:$K$88&lt;AQ$5)*(Plan!$L$5:$L$88&gt;=AQ$5)*(ROW(Plan!$A$5:$A$88)-4))))</f>
        <v/>
      </c>
      <c r="AR7" s="26">
        <f>IF(SUMPRODUCT(((Plan!$I$5:$I$88="B")+(Plan!$I$5:$I$88="A+B"))*(Plan!$K$5:$K$88&lt;AR$5)*(Plan!$L$5:$L$88&gt;=AR$5))=0,"",INDEX(Plan!$A$5:$A$88,SUMPRODUCT(((Plan!$I$5:$I$88="B")+(Plan!$I$5:$I$88="A+B"))*(Plan!$K$5:$K$88&lt;AR$5)*(Plan!$L$5:$L$88&gt;=AR$5)*(ROW(Plan!$A$5:$A$88)-4))))</f>
        <v/>
      </c>
      <c r="AS7" s="26">
        <f>IF(SUMPRODUCT(((Plan!$I$5:$I$88="B")+(Plan!$I$5:$I$88="A+B"))*(Plan!$K$5:$K$88&lt;AS$5)*(Plan!$L$5:$L$88&gt;=AS$5))=0,"",INDEX(Plan!$A$5:$A$88,SUMPRODUCT(((Plan!$I$5:$I$88="B")+(Plan!$I$5:$I$88="A+B"))*(Plan!$K$5:$K$88&lt;AS$5)*(Plan!$L$5:$L$88&gt;=AS$5)*(ROW(Plan!$A$5:$A$88)-4))))</f>
        <v/>
      </c>
      <c r="AT7" s="26">
        <f>IF(SUMPRODUCT(((Plan!$I$5:$I$88="B")+(Plan!$I$5:$I$88="A+B"))*(Plan!$K$5:$K$88&lt;AT$5)*(Plan!$L$5:$L$88&gt;=AT$5))=0,"",INDEX(Plan!$A$5:$A$88,SUMPRODUCT(((Plan!$I$5:$I$88="B")+(Plan!$I$5:$I$88="A+B"))*(Plan!$K$5:$K$88&lt;AT$5)*(Plan!$L$5:$L$88&gt;=AT$5)*(ROW(Plan!$A$5:$A$88)-4))))</f>
        <v/>
      </c>
      <c r="AU7" s="26">
        <f>IF(SUMPRODUCT(((Plan!$I$5:$I$88="B")+(Plan!$I$5:$I$88="A+B"))*(Plan!$K$5:$K$88&lt;AU$5)*(Plan!$L$5:$L$88&gt;=AU$5))=0,"",INDEX(Plan!$A$5:$A$88,SUMPRODUCT(((Plan!$I$5:$I$88="B")+(Plan!$I$5:$I$88="A+B"))*(Plan!$K$5:$K$88&lt;AU$5)*(Plan!$L$5:$L$88&gt;=AU$5)*(ROW(Plan!$A$5:$A$88)-4))))</f>
        <v/>
      </c>
      <c r="AV7" s="26">
        <f>IF(SUMPRODUCT(((Plan!$I$5:$I$88="B")+(Plan!$I$5:$I$88="A+B"))*(Plan!$K$5:$K$88&lt;AV$5)*(Plan!$L$5:$L$88&gt;=AV$5))=0,"",INDEX(Plan!$A$5:$A$88,SUMPRODUCT(((Plan!$I$5:$I$88="B")+(Plan!$I$5:$I$88="A+B"))*(Plan!$K$5:$K$88&lt;AV$5)*(Plan!$L$5:$L$88&gt;=AV$5)*(ROW(Plan!$A$5:$A$88)-4))))</f>
        <v/>
      </c>
      <c r="AW7" s="26">
        <f>IF(SUMPRODUCT(((Plan!$I$5:$I$88="B")+(Plan!$I$5:$I$88="A+B"))*(Plan!$K$5:$K$88&lt;AW$5)*(Plan!$L$5:$L$88&gt;=AW$5))=0,"",INDEX(Plan!$A$5:$A$88,SUMPRODUCT(((Plan!$I$5:$I$88="B")+(Plan!$I$5:$I$88="A+B"))*(Plan!$K$5:$K$88&lt;AW$5)*(Plan!$L$5:$L$88&gt;=AW$5)*(ROW(Plan!$A$5:$A$88)-4))))</f>
        <v/>
      </c>
      <c r="AX7" s="26">
        <f>IF(SUMPRODUCT(((Plan!$I$5:$I$88="B")+(Plan!$I$5:$I$88="A+B"))*(Plan!$K$5:$K$88&lt;AX$5)*(Plan!$L$5:$L$88&gt;=AX$5))=0,"",INDEX(Plan!$A$5:$A$88,SUMPRODUCT(((Plan!$I$5:$I$88="B")+(Plan!$I$5:$I$88="A+B"))*(Plan!$K$5:$K$88&lt;AX$5)*(Plan!$L$5:$L$88&gt;=AX$5)*(ROW(Plan!$A$5:$A$88)-4))))</f>
        <v/>
      </c>
      <c r="AY7" s="26">
        <f>IF(SUMPRODUCT(((Plan!$I$5:$I$88="B")+(Plan!$I$5:$I$88="A+B"))*(Plan!$K$5:$K$88&lt;AY$5)*(Plan!$L$5:$L$88&gt;=AY$5))=0,"",INDEX(Plan!$A$5:$A$88,SUMPRODUCT(((Plan!$I$5:$I$88="B")+(Plan!$I$5:$I$88="A+B"))*(Plan!$K$5:$K$88&lt;AY$5)*(Plan!$L$5:$L$88&gt;=AY$5)*(ROW(Plan!$A$5:$A$88)-4))))</f>
        <v/>
      </c>
      <c r="AZ7" s="26">
        <f>IF(SUMPRODUCT(((Plan!$I$5:$I$88="B")+(Plan!$I$5:$I$88="A+B"))*(Plan!$K$5:$K$88&lt;AZ$5)*(Plan!$L$5:$L$88&gt;=AZ$5))=0,"",INDEX(Plan!$A$5:$A$88,SUMPRODUCT(((Plan!$I$5:$I$88="B")+(Plan!$I$5:$I$88="A+B"))*(Plan!$K$5:$K$88&lt;AZ$5)*(Plan!$L$5:$L$88&gt;=AZ$5)*(ROW(Plan!$A$5:$A$88)-4))))</f>
        <v/>
      </c>
      <c r="BA7" s="26">
        <f>IF(SUMPRODUCT(((Plan!$I$5:$I$88="B")+(Plan!$I$5:$I$88="A+B"))*(Plan!$K$5:$K$88&lt;BA$5)*(Plan!$L$5:$L$88&gt;=BA$5))=0,"",INDEX(Plan!$A$5:$A$88,SUMPRODUCT(((Plan!$I$5:$I$88="B")+(Plan!$I$5:$I$88="A+B"))*(Plan!$K$5:$K$88&lt;BA$5)*(Plan!$L$5:$L$88&gt;=BA$5)*(ROW(Plan!$A$5:$A$88)-4))))</f>
        <v/>
      </c>
      <c r="BB7" s="26">
        <f>IF(SUMPRODUCT(((Plan!$I$5:$I$88="B")+(Plan!$I$5:$I$88="A+B"))*(Plan!$K$5:$K$88&lt;BB$5)*(Plan!$L$5:$L$88&gt;=BB$5))=0,"",INDEX(Plan!$A$5:$A$88,SUMPRODUCT(((Plan!$I$5:$I$88="B")+(Plan!$I$5:$I$88="A+B"))*(Plan!$K$5:$K$88&lt;BB$5)*(Plan!$L$5:$L$88&gt;=BB$5)*(ROW(Plan!$A$5:$A$88)-4))))</f>
        <v/>
      </c>
      <c r="BC7" s="26">
        <f>IF(SUMPRODUCT(((Plan!$I$5:$I$88="B")+(Plan!$I$5:$I$88="A+B"))*(Plan!$K$5:$K$88&lt;BC$5)*(Plan!$L$5:$L$88&gt;=BC$5))=0,"",INDEX(Plan!$A$5:$A$88,SUMPRODUCT(((Plan!$I$5:$I$88="B")+(Plan!$I$5:$I$88="A+B"))*(Plan!$K$5:$K$88&lt;BC$5)*(Plan!$L$5:$L$88&gt;=BC$5)*(ROW(Plan!$A$5:$A$88)-4))))</f>
        <v/>
      </c>
      <c r="BD7" s="26">
        <f>IF(SUMPRODUCT(((Plan!$I$5:$I$88="B")+(Plan!$I$5:$I$88="A+B"))*(Plan!$K$5:$K$88&lt;BD$5)*(Plan!$L$5:$L$88&gt;=BD$5))=0,"",INDEX(Plan!$A$5:$A$88,SUMPRODUCT(((Plan!$I$5:$I$88="B")+(Plan!$I$5:$I$88="A+B"))*(Plan!$K$5:$K$88&lt;BD$5)*(Plan!$L$5:$L$88&gt;=BD$5)*(ROW(Plan!$A$5:$A$88)-4))))</f>
        <v/>
      </c>
      <c r="BE7" s="26">
        <f>IF(SUMPRODUCT(((Plan!$I$5:$I$88="B")+(Plan!$I$5:$I$88="A+B"))*(Plan!$K$5:$K$88&lt;BE$5)*(Plan!$L$5:$L$88&gt;=BE$5))=0,"",INDEX(Plan!$A$5:$A$88,SUMPRODUCT(((Plan!$I$5:$I$88="B")+(Plan!$I$5:$I$88="A+B"))*(Plan!$K$5:$K$88&lt;BE$5)*(Plan!$L$5:$L$88&gt;=BE$5)*(ROW(Plan!$A$5:$A$88)-4))))</f>
        <v/>
      </c>
      <c r="BF7" s="26">
        <f>IF(SUMPRODUCT(((Plan!$I$5:$I$88="B")+(Plan!$I$5:$I$88="A+B"))*(Plan!$K$5:$K$88&lt;BF$5)*(Plan!$L$5:$L$88&gt;=BF$5))=0,"",INDEX(Plan!$A$5:$A$88,SUMPRODUCT(((Plan!$I$5:$I$88="B")+(Plan!$I$5:$I$88="A+B"))*(Plan!$K$5:$K$88&lt;BF$5)*(Plan!$L$5:$L$88&gt;=BF$5)*(ROW(Plan!$A$5:$A$88)-4))))</f>
        <v/>
      </c>
      <c r="BG7" s="26">
        <f>IF(SUMPRODUCT(((Plan!$I$5:$I$88="B")+(Plan!$I$5:$I$88="A+B"))*(Plan!$K$5:$K$88&lt;BG$5)*(Plan!$L$5:$L$88&gt;=BG$5))=0,"",INDEX(Plan!$A$5:$A$88,SUMPRODUCT(((Plan!$I$5:$I$88="B")+(Plan!$I$5:$I$88="A+B"))*(Plan!$K$5:$K$88&lt;BG$5)*(Plan!$L$5:$L$88&gt;=BG$5)*(ROW(Plan!$A$5:$A$88)-4))))</f>
        <v/>
      </c>
      <c r="BH7" s="26">
        <f>IF(SUMPRODUCT(((Plan!$I$5:$I$88="B")+(Plan!$I$5:$I$88="A+B"))*(Plan!$K$5:$K$88&lt;BH$5)*(Plan!$L$5:$L$88&gt;=BH$5))=0,"",INDEX(Plan!$A$5:$A$88,SUMPRODUCT(((Plan!$I$5:$I$88="B")+(Plan!$I$5:$I$88="A+B"))*(Plan!$K$5:$K$88&lt;BH$5)*(Plan!$L$5:$L$88&gt;=BH$5)*(ROW(Plan!$A$5:$A$88)-4))))</f>
        <v/>
      </c>
      <c r="BI7" s="26">
        <f>IF(SUMPRODUCT(((Plan!$I$5:$I$88="B")+(Plan!$I$5:$I$88="A+B"))*(Plan!$K$5:$K$88&lt;BI$5)*(Plan!$L$5:$L$88&gt;=BI$5))=0,"",INDEX(Plan!$A$5:$A$88,SUMPRODUCT(((Plan!$I$5:$I$88="B")+(Plan!$I$5:$I$88="A+B"))*(Plan!$K$5:$K$88&lt;BI$5)*(Plan!$L$5:$L$88&gt;=BI$5)*(ROW(Plan!$A$5:$A$88)-4))))</f>
        <v/>
      </c>
      <c r="BJ7" s="26">
        <f>IF(SUMPRODUCT(((Plan!$I$5:$I$88="B")+(Plan!$I$5:$I$88="A+B"))*(Plan!$K$5:$K$88&lt;BJ$5)*(Plan!$L$5:$L$88&gt;=BJ$5))=0,"",INDEX(Plan!$A$5:$A$88,SUMPRODUCT(((Plan!$I$5:$I$88="B")+(Plan!$I$5:$I$88="A+B"))*(Plan!$K$5:$K$88&lt;BJ$5)*(Plan!$L$5:$L$88&gt;=BJ$5)*(ROW(Plan!$A$5:$A$88)-4))))</f>
        <v/>
      </c>
      <c r="BK7" s="26">
        <f>IF(SUMPRODUCT(((Plan!$I$5:$I$88="B")+(Plan!$I$5:$I$88="A+B"))*(Plan!$K$5:$K$88&lt;BK$5)*(Plan!$L$5:$L$88&gt;=BK$5))=0,"",INDEX(Plan!$A$5:$A$88,SUMPRODUCT(((Plan!$I$5:$I$88="B")+(Plan!$I$5:$I$88="A+B"))*(Plan!$K$5:$K$88&lt;BK$5)*(Plan!$L$5:$L$88&gt;=BK$5)*(ROW(Plan!$A$5:$A$88)-4))))</f>
        <v/>
      </c>
      <c r="BL7" s="26">
        <f>IF(SUMPRODUCT(((Plan!$I$5:$I$88="B")+(Plan!$I$5:$I$88="A+B"))*(Plan!$K$5:$K$88&lt;BL$5)*(Plan!$L$5:$L$88&gt;=BL$5))=0,"",INDEX(Plan!$A$5:$A$88,SUMPRODUCT(((Plan!$I$5:$I$88="B")+(Plan!$I$5:$I$88="A+B"))*(Plan!$K$5:$K$88&lt;BL$5)*(Plan!$L$5:$L$88&gt;=BL$5)*(ROW(Plan!$A$5:$A$88)-4))))</f>
        <v/>
      </c>
      <c r="BM7" s="26">
        <f>IF(SUMPRODUCT(((Plan!$I$5:$I$88="B")+(Plan!$I$5:$I$88="A+B"))*(Plan!$K$5:$K$88&lt;BM$5)*(Plan!$L$5:$L$88&gt;=BM$5))=0,"",INDEX(Plan!$A$5:$A$88,SUMPRODUCT(((Plan!$I$5:$I$88="B")+(Plan!$I$5:$I$88="A+B"))*(Plan!$K$5:$K$88&lt;BM$5)*(Plan!$L$5:$L$88&gt;=BM$5)*(ROW(Plan!$A$5:$A$88)-4))))</f>
        <v/>
      </c>
      <c r="BN7" s="26">
        <f>IF(SUMPRODUCT(((Plan!$I$5:$I$88="B")+(Plan!$I$5:$I$88="A+B"))*(Plan!$K$5:$K$88&lt;BN$5)*(Plan!$L$5:$L$88&gt;=BN$5))=0,"",INDEX(Plan!$A$5:$A$88,SUMPRODUCT(((Plan!$I$5:$I$88="B")+(Plan!$I$5:$I$88="A+B"))*(Plan!$K$5:$K$88&lt;BN$5)*(Plan!$L$5:$L$88&gt;=BN$5)*(ROW(Plan!$A$5:$A$88)-4))))</f>
        <v/>
      </c>
      <c r="BO7" s="26">
        <f>IF(SUMPRODUCT(((Plan!$I$5:$I$88="B")+(Plan!$I$5:$I$88="A+B"))*(Plan!$K$5:$K$88&lt;BO$5)*(Plan!$L$5:$L$88&gt;=BO$5))=0,"",INDEX(Plan!$A$5:$A$88,SUMPRODUCT(((Plan!$I$5:$I$88="B")+(Plan!$I$5:$I$88="A+B"))*(Plan!$K$5:$K$88&lt;BO$5)*(Plan!$L$5:$L$88&gt;=BO$5)*(ROW(Plan!$A$5:$A$88)-4))))</f>
        <v/>
      </c>
      <c r="BP7" s="26">
        <f>IF(SUMPRODUCT(((Plan!$I$5:$I$88="B")+(Plan!$I$5:$I$88="A+B"))*(Plan!$K$5:$K$88&lt;BP$5)*(Plan!$L$5:$L$88&gt;=BP$5))=0,"",INDEX(Plan!$A$5:$A$88,SUMPRODUCT(((Plan!$I$5:$I$88="B")+(Plan!$I$5:$I$88="A+B"))*(Plan!$K$5:$K$88&lt;BP$5)*(Plan!$L$5:$L$88&gt;=BP$5)*(ROW(Plan!$A$5:$A$88)-4))))</f>
        <v/>
      </c>
      <c r="BQ7" s="26">
        <f>IF(SUMPRODUCT(((Plan!$I$5:$I$88="B")+(Plan!$I$5:$I$88="A+B"))*(Plan!$K$5:$K$88&lt;BQ$5)*(Plan!$L$5:$L$88&gt;=BQ$5))=0,"",INDEX(Plan!$A$5:$A$88,SUMPRODUCT(((Plan!$I$5:$I$88="B")+(Plan!$I$5:$I$88="A+B"))*(Plan!$K$5:$K$88&lt;BQ$5)*(Plan!$L$5:$L$88&gt;=BQ$5)*(ROW(Plan!$A$5:$A$88)-4))))</f>
        <v/>
      </c>
      <c r="BR7" s="26">
        <f>IF(SUMPRODUCT(((Plan!$I$5:$I$88="B")+(Plan!$I$5:$I$88="A+B"))*(Plan!$K$5:$K$88&lt;BR$5)*(Plan!$L$5:$L$88&gt;=BR$5))=0,"",INDEX(Plan!$A$5:$A$88,SUMPRODUCT(((Plan!$I$5:$I$88="B")+(Plan!$I$5:$I$88="A+B"))*(Plan!$K$5:$K$88&lt;BR$5)*(Plan!$L$5:$L$88&gt;=BR$5)*(ROW(Plan!$A$5:$A$88)-4))))</f>
        <v/>
      </c>
      <c r="BS7" s="26">
        <f>IF(SUMPRODUCT(((Plan!$I$5:$I$88="B")+(Plan!$I$5:$I$88="A+B"))*(Plan!$K$5:$K$88&lt;BS$5)*(Plan!$L$5:$L$88&gt;=BS$5))=0,"",INDEX(Plan!$A$5:$A$88,SUMPRODUCT(((Plan!$I$5:$I$88="B")+(Plan!$I$5:$I$88="A+B"))*(Plan!$K$5:$K$88&lt;BS$5)*(Plan!$L$5:$L$88&gt;=BS$5)*(ROW(Plan!$A$5:$A$88)-4))))</f>
        <v/>
      </c>
      <c r="BT7" s="26">
        <f>IF(SUMPRODUCT(((Plan!$I$5:$I$88="B")+(Plan!$I$5:$I$88="A+B"))*(Plan!$K$5:$K$88&lt;BT$5)*(Plan!$L$5:$L$88&gt;=BT$5))=0,"",INDEX(Plan!$A$5:$A$88,SUMPRODUCT(((Plan!$I$5:$I$88="B")+(Plan!$I$5:$I$88="A+B"))*(Plan!$K$5:$K$88&lt;BT$5)*(Plan!$L$5:$L$88&gt;=BT$5)*(ROW(Plan!$A$5:$A$88)-4))))</f>
        <v/>
      </c>
      <c r="BU7" s="26">
        <f>IF(SUMPRODUCT(((Plan!$I$5:$I$88="B")+(Plan!$I$5:$I$88="A+B"))*(Plan!$K$5:$K$88&lt;BU$5)*(Plan!$L$5:$L$88&gt;=BU$5))=0,"",INDEX(Plan!$A$5:$A$88,SUMPRODUCT(((Plan!$I$5:$I$88="B")+(Plan!$I$5:$I$88="A+B"))*(Plan!$K$5:$K$88&lt;BU$5)*(Plan!$L$5:$L$88&gt;=BU$5)*(ROW(Plan!$A$5:$A$88)-4))))</f>
        <v/>
      </c>
      <c r="BV7" s="26">
        <f>IF(SUMPRODUCT(((Plan!$I$5:$I$88="B")+(Plan!$I$5:$I$88="A+B"))*(Plan!$K$5:$K$88&lt;BV$5)*(Plan!$L$5:$L$88&gt;=BV$5))=0,"",INDEX(Plan!$A$5:$A$88,SUMPRODUCT(((Plan!$I$5:$I$88="B")+(Plan!$I$5:$I$88="A+B"))*(Plan!$K$5:$K$88&lt;BV$5)*(Plan!$L$5:$L$88&gt;=BV$5)*(ROW(Plan!$A$5:$A$88)-4))))</f>
        <v/>
      </c>
      <c r="BW7" s="26">
        <f>IF(SUMPRODUCT(((Plan!$I$5:$I$88="B")+(Plan!$I$5:$I$88="A+B"))*(Plan!$K$5:$K$88&lt;BW$5)*(Plan!$L$5:$L$88&gt;=BW$5))=0,"",INDEX(Plan!$A$5:$A$88,SUMPRODUCT(((Plan!$I$5:$I$88="B")+(Plan!$I$5:$I$88="A+B"))*(Plan!$K$5:$K$88&lt;BW$5)*(Plan!$L$5:$L$88&gt;=BW$5)*(ROW(Plan!$A$5:$A$88)-4))))</f>
        <v/>
      </c>
      <c r="BX7" s="26">
        <f>IF(SUMPRODUCT(((Plan!$I$5:$I$88="B")+(Plan!$I$5:$I$88="A+B"))*(Plan!$K$5:$K$88&lt;BX$5)*(Plan!$L$5:$L$88&gt;=BX$5))=0,"",INDEX(Plan!$A$5:$A$88,SUMPRODUCT(((Plan!$I$5:$I$88="B")+(Plan!$I$5:$I$88="A+B"))*(Plan!$K$5:$K$88&lt;BX$5)*(Plan!$L$5:$L$88&gt;=BX$5)*(ROW(Plan!$A$5:$A$88)-4))))</f>
        <v/>
      </c>
      <c r="BY7" s="26">
        <f>IF(SUMPRODUCT(((Plan!$I$5:$I$88="B")+(Plan!$I$5:$I$88="A+B"))*(Plan!$K$5:$K$88&lt;BY$5)*(Plan!$L$5:$L$88&gt;=BY$5))=0,"",INDEX(Plan!$A$5:$A$88,SUMPRODUCT(((Plan!$I$5:$I$88="B")+(Plan!$I$5:$I$88="A+B"))*(Plan!$K$5:$K$88&lt;BY$5)*(Plan!$L$5:$L$88&gt;=BY$5)*(ROW(Plan!$A$5:$A$88)-4))))</f>
        <v/>
      </c>
      <c r="BZ7" s="26">
        <f>IF(SUMPRODUCT(((Plan!$I$5:$I$88="B")+(Plan!$I$5:$I$88="A+B"))*(Plan!$K$5:$K$88&lt;BZ$5)*(Plan!$L$5:$L$88&gt;=BZ$5))=0,"",INDEX(Plan!$A$5:$A$88,SUMPRODUCT(((Plan!$I$5:$I$88="B")+(Plan!$I$5:$I$88="A+B"))*(Plan!$K$5:$K$88&lt;BZ$5)*(Plan!$L$5:$L$88&gt;=BZ$5)*(ROW(Plan!$A$5:$A$88)-4))))</f>
        <v/>
      </c>
      <c r="CA7" s="26">
        <f>IF(SUMPRODUCT(((Plan!$I$5:$I$88="B")+(Plan!$I$5:$I$88="A+B"))*(Plan!$K$5:$K$88&lt;CA$5)*(Plan!$L$5:$L$88&gt;=CA$5))=0,"",INDEX(Plan!$A$5:$A$88,SUMPRODUCT(((Plan!$I$5:$I$88="B")+(Plan!$I$5:$I$88="A+B"))*(Plan!$K$5:$K$88&lt;CA$5)*(Plan!$L$5:$L$88&gt;=CA$5)*(ROW(Plan!$A$5:$A$88)-4))))</f>
        <v/>
      </c>
      <c r="CB7" s="26">
        <f>IF(SUMPRODUCT(((Plan!$I$5:$I$88="B")+(Plan!$I$5:$I$88="A+B"))*(Plan!$K$5:$K$88&lt;CB$5)*(Plan!$L$5:$L$88&gt;=CB$5))=0,"",INDEX(Plan!$A$5:$A$88,SUMPRODUCT(((Plan!$I$5:$I$88="B")+(Plan!$I$5:$I$88="A+B"))*(Plan!$K$5:$K$88&lt;CB$5)*(Plan!$L$5:$L$88&gt;=CB$5)*(ROW(Plan!$A$5:$A$88)-4))))</f>
        <v/>
      </c>
      <c r="CC7" s="26">
        <f>IF(SUMPRODUCT(((Plan!$I$5:$I$88="B")+(Plan!$I$5:$I$88="A+B"))*(Plan!$K$5:$K$88&lt;CC$5)*(Plan!$L$5:$L$88&gt;=CC$5))=0,"",INDEX(Plan!$A$5:$A$88,SUMPRODUCT(((Plan!$I$5:$I$88="B")+(Plan!$I$5:$I$88="A+B"))*(Plan!$K$5:$K$88&lt;CC$5)*(Plan!$L$5:$L$88&gt;=CC$5)*(ROW(Plan!$A$5:$A$88)-4))))</f>
        <v/>
      </c>
      <c r="CD7" s="26">
        <f>IF(SUMPRODUCT(((Plan!$I$5:$I$88="B")+(Plan!$I$5:$I$88="A+B"))*(Plan!$K$5:$K$88&lt;CD$5)*(Plan!$L$5:$L$88&gt;=CD$5))=0,"",INDEX(Plan!$A$5:$A$88,SUMPRODUCT(((Plan!$I$5:$I$88="B")+(Plan!$I$5:$I$88="A+B"))*(Plan!$K$5:$K$88&lt;CD$5)*(Plan!$L$5:$L$88&gt;=CD$5)*(ROW(Plan!$A$5:$A$88)-4))))</f>
        <v/>
      </c>
      <c r="CE7" s="26">
        <f>IF(SUMPRODUCT(((Plan!$I$5:$I$88="B")+(Plan!$I$5:$I$88="A+B"))*(Plan!$K$5:$K$88&lt;CE$5)*(Plan!$L$5:$L$88&gt;=CE$5))=0,"",INDEX(Plan!$A$5:$A$88,SUMPRODUCT(((Plan!$I$5:$I$88="B")+(Plan!$I$5:$I$88="A+B"))*(Plan!$K$5:$K$88&lt;CE$5)*(Plan!$L$5:$L$88&gt;=CE$5)*(ROW(Plan!$A$5:$A$88)-4))))</f>
        <v/>
      </c>
      <c r="CF7" s="26">
        <f>IF(SUMPRODUCT(((Plan!$I$5:$I$88="B")+(Plan!$I$5:$I$88="A+B"))*(Plan!$K$5:$K$88&lt;CF$5)*(Plan!$L$5:$L$88&gt;=CF$5))=0,"",INDEX(Plan!$A$5:$A$88,SUMPRODUCT(((Plan!$I$5:$I$88="B")+(Plan!$I$5:$I$88="A+B"))*(Plan!$K$5:$K$88&lt;CF$5)*(Plan!$L$5:$L$88&gt;=CF$5)*(ROW(Plan!$A$5:$A$88)-4))))</f>
        <v/>
      </c>
      <c r="CG7" s="26">
        <f>IF(SUMPRODUCT(((Plan!$I$5:$I$88="B")+(Plan!$I$5:$I$88="A+B"))*(Plan!$K$5:$K$88&lt;CG$5)*(Plan!$L$5:$L$88&gt;=CG$5))=0,"",INDEX(Plan!$A$5:$A$88,SUMPRODUCT(((Plan!$I$5:$I$88="B")+(Plan!$I$5:$I$88="A+B"))*(Plan!$K$5:$K$88&lt;CG$5)*(Plan!$L$5:$L$88&gt;=CG$5)*(ROW(Plan!$A$5:$A$88)-4))))</f>
        <v/>
      </c>
      <c r="CH7" s="26">
        <f>IF(SUMPRODUCT(((Plan!$I$5:$I$88="B")+(Plan!$I$5:$I$88="A+B"))*(Plan!$K$5:$K$88&lt;CH$5)*(Plan!$L$5:$L$88&gt;=CH$5))=0,"",INDEX(Plan!$A$5:$A$88,SUMPRODUCT(((Plan!$I$5:$I$88="B")+(Plan!$I$5:$I$88="A+B"))*(Plan!$K$5:$K$88&lt;CH$5)*(Plan!$L$5:$L$88&gt;=CH$5)*(ROW(Plan!$A$5:$A$88)-4))))</f>
        <v/>
      </c>
      <c r="CI7" s="26">
        <f>IF(SUMPRODUCT(((Plan!$I$5:$I$88="B")+(Plan!$I$5:$I$88="A+B"))*(Plan!$K$5:$K$88&lt;CI$5)*(Plan!$L$5:$L$88&gt;=CI$5))=0,"",INDEX(Plan!$A$5:$A$88,SUMPRODUCT(((Plan!$I$5:$I$88="B")+(Plan!$I$5:$I$88="A+B"))*(Plan!$K$5:$K$88&lt;CI$5)*(Plan!$L$5:$L$88&gt;=CI$5)*(ROW(Plan!$A$5:$A$88)-4))))</f>
        <v/>
      </c>
      <c r="CJ7" s="26">
        <f>IF(SUMPRODUCT(((Plan!$I$5:$I$88="B")+(Plan!$I$5:$I$88="A+B"))*(Plan!$K$5:$K$88&lt;CJ$5)*(Plan!$L$5:$L$88&gt;=CJ$5))=0,"",INDEX(Plan!$A$5:$A$88,SUMPRODUCT(((Plan!$I$5:$I$88="B")+(Plan!$I$5:$I$88="A+B"))*(Plan!$K$5:$K$88&lt;CJ$5)*(Plan!$L$5:$L$88&gt;=CJ$5)*(ROW(Plan!$A$5:$A$88)-4))))</f>
        <v/>
      </c>
      <c r="CK7" s="26">
        <f>IF(SUMPRODUCT(((Plan!$I$5:$I$88="B")+(Plan!$I$5:$I$88="A+B"))*(Plan!$K$5:$K$88&lt;CK$5)*(Plan!$L$5:$L$88&gt;=CK$5))=0,"",INDEX(Plan!$A$5:$A$88,SUMPRODUCT(((Plan!$I$5:$I$88="B")+(Plan!$I$5:$I$88="A+B"))*(Plan!$K$5:$K$88&lt;CK$5)*(Plan!$L$5:$L$88&gt;=CK$5)*(ROW(Plan!$A$5:$A$88)-4))))</f>
        <v/>
      </c>
      <c r="CL7" s="26">
        <f>IF(SUMPRODUCT(((Plan!$I$5:$I$88="B")+(Plan!$I$5:$I$88="A+B"))*(Plan!$K$5:$K$88&lt;CL$5)*(Plan!$L$5:$L$88&gt;=CL$5))=0,"",INDEX(Plan!$A$5:$A$88,SUMPRODUCT(((Plan!$I$5:$I$88="B")+(Plan!$I$5:$I$88="A+B"))*(Plan!$K$5:$K$88&lt;CL$5)*(Plan!$L$5:$L$88&gt;=CL$5)*(ROW(Plan!$A$5:$A$88)-4))))</f>
        <v/>
      </c>
      <c r="CM7" s="26">
        <f>IF(SUMPRODUCT(((Plan!$I$5:$I$88="B")+(Plan!$I$5:$I$88="A+B"))*(Plan!$K$5:$K$88&lt;CM$5)*(Plan!$L$5:$L$88&gt;=CM$5))=0,"",INDEX(Plan!$A$5:$A$88,SUMPRODUCT(((Plan!$I$5:$I$88="B")+(Plan!$I$5:$I$88="A+B"))*(Plan!$K$5:$K$88&lt;CM$5)*(Plan!$L$5:$L$88&gt;=CM$5)*(ROW(Plan!$A$5:$A$88)-4))))</f>
        <v/>
      </c>
      <c r="CN7" s="26">
        <f>IF(SUMPRODUCT(((Plan!$I$5:$I$88="B")+(Plan!$I$5:$I$88="A+B"))*(Plan!$K$5:$K$88&lt;CN$5)*(Plan!$L$5:$L$88&gt;=CN$5))=0,"",INDEX(Plan!$A$5:$A$88,SUMPRODUCT(((Plan!$I$5:$I$88="B")+(Plan!$I$5:$I$88="A+B"))*(Plan!$K$5:$K$88&lt;CN$5)*(Plan!$L$5:$L$88&gt;=CN$5)*(ROW(Plan!$A$5:$A$88)-4))))</f>
        <v/>
      </c>
      <c r="CO7" s="26">
        <f>IF(SUMPRODUCT(((Plan!$I$5:$I$88="B")+(Plan!$I$5:$I$88="A+B"))*(Plan!$K$5:$K$88&lt;CO$5)*(Plan!$L$5:$L$88&gt;=CO$5))=0,"",INDEX(Plan!$A$5:$A$88,SUMPRODUCT(((Plan!$I$5:$I$88="B")+(Plan!$I$5:$I$88="A+B"))*(Plan!$K$5:$K$88&lt;CO$5)*(Plan!$L$5:$L$88&gt;=CO$5)*(ROW(Plan!$A$5:$A$88)-4))))</f>
        <v/>
      </c>
      <c r="CP7" s="26">
        <f>IF(SUMPRODUCT(((Plan!$I$5:$I$88="B")+(Plan!$I$5:$I$88="A+B"))*(Plan!$K$5:$K$88&lt;CP$5)*(Plan!$L$5:$L$88&gt;=CP$5))=0,"",INDEX(Plan!$A$5:$A$88,SUMPRODUCT(((Plan!$I$5:$I$88="B")+(Plan!$I$5:$I$88="A+B"))*(Plan!$K$5:$K$88&lt;CP$5)*(Plan!$L$5:$L$88&gt;=CP$5)*(ROW(Plan!$A$5:$A$88)-4))))</f>
        <v/>
      </c>
      <c r="CQ7" s="26">
        <f>IF(SUMPRODUCT(((Plan!$I$5:$I$88="B")+(Plan!$I$5:$I$88="A+B"))*(Plan!$K$5:$K$88&lt;CQ$5)*(Plan!$L$5:$L$88&gt;=CQ$5))=0,"",INDEX(Plan!$A$5:$A$88,SUMPRODUCT(((Plan!$I$5:$I$88="B")+(Plan!$I$5:$I$88="A+B"))*(Plan!$K$5:$K$88&lt;CQ$5)*(Plan!$L$5:$L$88&gt;=CQ$5)*(ROW(Plan!$A$5:$A$88)-4))))</f>
        <v/>
      </c>
      <c r="CR7" s="26">
        <f>IF(SUMPRODUCT(((Plan!$I$5:$I$88="B")+(Plan!$I$5:$I$88="A+B"))*(Plan!$K$5:$K$88&lt;CR$5)*(Plan!$L$5:$L$88&gt;=CR$5))=0,"",INDEX(Plan!$A$5:$A$88,SUMPRODUCT(((Plan!$I$5:$I$88="B")+(Plan!$I$5:$I$88="A+B"))*(Plan!$K$5:$K$88&lt;CR$5)*(Plan!$L$5:$L$88&gt;=CR$5)*(ROW(Plan!$A$5:$A$88)-4))))</f>
        <v/>
      </c>
      <c r="CS7" s="26">
        <f>IF(SUMPRODUCT(((Plan!$I$5:$I$88="B")+(Plan!$I$5:$I$88="A+B"))*(Plan!$K$5:$K$88&lt;CS$5)*(Plan!$L$5:$L$88&gt;=CS$5))=0,"",INDEX(Plan!$A$5:$A$88,SUMPRODUCT(((Plan!$I$5:$I$88="B")+(Plan!$I$5:$I$88="A+B"))*(Plan!$K$5:$K$88&lt;CS$5)*(Plan!$L$5:$L$88&gt;=CS$5)*(ROW(Plan!$A$5:$A$88)-4))))</f>
        <v/>
      </c>
      <c r="CT7" s="26">
        <f>IF(SUMPRODUCT(((Plan!$I$5:$I$88="B")+(Plan!$I$5:$I$88="A+B"))*(Plan!$K$5:$K$88&lt;CT$5)*(Plan!$L$5:$L$88&gt;=CT$5))=0,"",INDEX(Plan!$A$5:$A$88,SUMPRODUCT(((Plan!$I$5:$I$88="B")+(Plan!$I$5:$I$88="A+B"))*(Plan!$K$5:$K$88&lt;CT$5)*(Plan!$L$5:$L$88&gt;=CT$5)*(ROW(Plan!$A$5:$A$88)-4))))</f>
        <v/>
      </c>
      <c r="CU7" s="26">
        <f>IF(SUMPRODUCT(((Plan!$I$5:$I$88="B")+(Plan!$I$5:$I$88="A+B"))*(Plan!$K$5:$K$88&lt;CU$5)*(Plan!$L$5:$L$88&gt;=CU$5))=0,"",INDEX(Plan!$A$5:$A$88,SUMPRODUCT(((Plan!$I$5:$I$88="B")+(Plan!$I$5:$I$88="A+B"))*(Plan!$K$5:$K$88&lt;CU$5)*(Plan!$L$5:$L$88&gt;=CU$5)*(ROW(Plan!$A$5:$A$88)-4))))</f>
        <v/>
      </c>
      <c r="CV7" s="26">
        <f>IF(SUMPRODUCT(((Plan!$I$5:$I$88="B")+(Plan!$I$5:$I$88="A+B"))*(Plan!$K$5:$K$88&lt;CV$5)*(Plan!$L$5:$L$88&gt;=CV$5))=0,"",INDEX(Plan!$A$5:$A$88,SUMPRODUCT(((Plan!$I$5:$I$88="B")+(Plan!$I$5:$I$88="A+B"))*(Plan!$K$5:$K$88&lt;CV$5)*(Plan!$L$5:$L$88&gt;=CV$5)*(ROW(Plan!$A$5:$A$88)-4))))</f>
        <v/>
      </c>
      <c r="CW7" s="26">
        <f>IF(SUMPRODUCT(((Plan!$I$5:$I$88="B")+(Plan!$I$5:$I$88="A+B"))*(Plan!$K$5:$K$88&lt;CW$5)*(Plan!$L$5:$L$88&gt;=CW$5))=0,"",INDEX(Plan!$A$5:$A$88,SUMPRODUCT(((Plan!$I$5:$I$88="B")+(Plan!$I$5:$I$88="A+B"))*(Plan!$K$5:$K$88&lt;CW$5)*(Plan!$L$5:$L$88&gt;=CW$5)*(ROW(Plan!$A$5:$A$88)-4))))</f>
        <v/>
      </c>
      <c r="CX7" s="26">
        <f>IF(SUMPRODUCT(((Plan!$I$5:$I$88="B")+(Plan!$I$5:$I$88="A+B"))*(Plan!$K$5:$K$88&lt;CX$5)*(Plan!$L$5:$L$88&gt;=CX$5))=0,"",INDEX(Plan!$A$5:$A$88,SUMPRODUCT(((Plan!$I$5:$I$88="B")+(Plan!$I$5:$I$88="A+B"))*(Plan!$K$5:$K$88&lt;CX$5)*(Plan!$L$5:$L$88&gt;=CX$5)*(ROW(Plan!$A$5:$A$88)-4))))</f>
        <v/>
      </c>
      <c r="CY7" s="26">
        <f>IF(SUMPRODUCT(((Plan!$I$5:$I$88="B")+(Plan!$I$5:$I$88="A+B"))*(Plan!$K$5:$K$88&lt;CY$5)*(Plan!$L$5:$L$88&gt;=CY$5))=0,"",INDEX(Plan!$A$5:$A$88,SUMPRODUCT(((Plan!$I$5:$I$88="B")+(Plan!$I$5:$I$88="A+B"))*(Plan!$K$5:$K$88&lt;CY$5)*(Plan!$L$5:$L$88&gt;=CY$5)*(ROW(Plan!$A$5:$A$88)-4))))</f>
        <v/>
      </c>
      <c r="CZ7" s="26">
        <f>IF(SUMPRODUCT(((Plan!$I$5:$I$88="B")+(Plan!$I$5:$I$88="A+B"))*(Plan!$K$5:$K$88&lt;CZ$5)*(Plan!$L$5:$L$88&gt;=CZ$5))=0,"",INDEX(Plan!$A$5:$A$88,SUMPRODUCT(((Plan!$I$5:$I$88="B")+(Plan!$I$5:$I$88="A+B"))*(Plan!$K$5:$K$88&lt;CZ$5)*(Plan!$L$5:$L$88&gt;=CZ$5)*(ROW(Plan!$A$5:$A$88)-4))))</f>
        <v/>
      </c>
      <c r="DA7" s="26">
        <f>IF(SUMPRODUCT(((Plan!$I$5:$I$88="B")+(Plan!$I$5:$I$88="A+B"))*(Plan!$K$5:$K$88&lt;DA$5)*(Plan!$L$5:$L$88&gt;=DA$5))=0,"",INDEX(Plan!$A$5:$A$88,SUMPRODUCT(((Plan!$I$5:$I$88="B")+(Plan!$I$5:$I$88="A+B"))*(Plan!$K$5:$K$88&lt;DA$5)*(Plan!$L$5:$L$88&gt;=DA$5)*(ROW(Plan!$A$5:$A$88)-4))))</f>
        <v/>
      </c>
      <c r="DB7" s="26">
        <f>IF(SUMPRODUCT(((Plan!$I$5:$I$88="B")+(Plan!$I$5:$I$88="A+B"))*(Plan!$K$5:$K$88&lt;DB$5)*(Plan!$L$5:$L$88&gt;=DB$5))=0,"",INDEX(Plan!$A$5:$A$88,SUMPRODUCT(((Plan!$I$5:$I$88="B")+(Plan!$I$5:$I$88="A+B"))*(Plan!$K$5:$K$88&lt;DB$5)*(Plan!$L$5:$L$88&gt;=DB$5)*(ROW(Plan!$A$5:$A$88)-4))))</f>
        <v/>
      </c>
      <c r="DC7" s="26">
        <f>IF(SUMPRODUCT(((Plan!$I$5:$I$88="B")+(Plan!$I$5:$I$88="A+B"))*(Plan!$K$5:$K$88&lt;DC$5)*(Plan!$L$5:$L$88&gt;=DC$5))=0,"",INDEX(Plan!$A$5:$A$88,SUMPRODUCT(((Plan!$I$5:$I$88="B")+(Plan!$I$5:$I$88="A+B"))*(Plan!$K$5:$K$88&lt;DC$5)*(Plan!$L$5:$L$88&gt;=DC$5)*(ROW(Plan!$A$5:$A$88)-4))))</f>
        <v/>
      </c>
    </row>
    <row r="8"/>
    <row r="9">
      <c r="A9" s="27" t="inlineStr">
        <is>
          <t>Fase 1. Diseño y arquitectura</t>
        </is>
      </c>
      <c r="B9" s="28" t="n"/>
      <c r="C9" s="28" t="n"/>
      <c r="D9" s="28" t="n"/>
      <c r="E9" s="29">
        <f>SUMPRODUCT(MIN((Plan!$B$5:$B$88="1. Diseño y arquitectura")*Plan!$K$5:$K$88+(Plan!$B$5:$B$88&lt;&gt;"1. Diseño y arquitectura")*1E9))</f>
        <v/>
      </c>
      <c r="F9" s="29">
        <f>SUMPRODUCT(MAX((Plan!$B$5:$B$88="1. Diseño y arquitectura")*Plan!$L$5:$L$88))</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row>
    <row r="18">
      <c r="A18" s="27" t="inlineStr">
        <is>
          <t>Fase 2. Landing y autenticación</t>
        </is>
      </c>
      <c r="B18" s="28" t="n"/>
      <c r="C18" s="28" t="n"/>
      <c r="D18" s="28" t="n"/>
      <c r="E18" s="29">
        <f>SUMPRODUCT(MIN((Plan!$B$5:$B$88="2. Landing y autenticación")*Plan!$K$5:$K$88+(Plan!$B$5:$B$88&lt;&gt;"2. Landing y autenticación")*1E9))</f>
        <v/>
      </c>
      <c r="F18" s="29">
        <f>SUMPRODUCT(MAX((Plan!$B$5:$B$88="2. Landing y autenticación")*Plan!$L$5:$L$88))</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row>
    <row r="34">
      <c r="A34" s="27" t="inlineStr">
        <is>
          <t>Fase 3. Flujo de solicitud de crédito</t>
        </is>
      </c>
      <c r="B34" s="28" t="n"/>
      <c r="C34" s="28" t="n"/>
      <c r="D34" s="28" t="n"/>
      <c r="E34" s="29">
        <f>SUMPRODUCT(MIN((Plan!$B$5:$B$88="3. Flujo de solicitud de crédito")*Plan!$K$5:$K$88+(Plan!$B$5:$B$88&lt;&gt;"3. Flujo de solicitud de crédito")*1E9))</f>
        <v/>
      </c>
      <c r="F34" s="29">
        <f>SUMPRODUCT(MAX((Plan!$B$5:$B$88="3. Flujo de solicitud de crédito")*Plan!$L$5:$L$88))</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row>
    <row r="44">
      <c r="A44" s="27" t="inlineStr">
        <is>
          <t>Fase 4. Panel de administración</t>
        </is>
      </c>
      <c r="B44" s="28" t="n"/>
      <c r="C44" s="28" t="n"/>
      <c r="D44" s="28" t="n"/>
      <c r="E44" s="29">
        <f>SUMPRODUCT(MIN((Plan!$B$5:$B$88="4. Panel de administración")*Plan!$K$5:$K$88+(Plan!$B$5:$B$88&lt;&gt;"4. Panel de administración")*1E9))</f>
        <v/>
      </c>
      <c r="F44" s="29">
        <f>SUMPRODUCT(MAX((Plan!$B$5:$B$88="4. Panel de administración")*Plan!$L$5:$L$88))</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row>
    <row r="59">
      <c r="A59" s="32">
        <f>Plan!A81</f>
        <v/>
      </c>
      <c r="B59" s="33">
        <f>Plan!C81</f>
        <v/>
      </c>
      <c r="C59" s="16">
        <f>Plan!D81</f>
        <v/>
      </c>
      <c r="D59" s="16">
        <f>Plan!I81</f>
        <v/>
      </c>
      <c r="E59" s="16">
        <f>Plan!K81</f>
        <v/>
      </c>
      <c r="F59" s="16">
        <f>Plan!L81</f>
        <v/>
      </c>
      <c r="G59" s="16">
        <f>Plan!O81</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row>
    <row r="60">
      <c r="A60" s="27" t="inlineStr">
        <is>
          <t>Fase 5. Convenios y pulido</t>
        </is>
      </c>
      <c r="B60" s="28" t="n"/>
      <c r="C60" s="28" t="n"/>
      <c r="D60" s="28" t="n"/>
      <c r="E60" s="29">
        <f>SUMPRODUCT(MIN((Plan!$B$5:$B$88="5. Convenios y pulido")*Plan!$K$5:$K$88+(Plan!$B$5:$B$88&lt;&gt;"5. Convenios y pulido")*1E9))</f>
        <v/>
      </c>
      <c r="F60" s="29">
        <f>SUMPRODUCT(MAX((Plan!$B$5:$B$88="5. Convenios y pulido")*Plan!$L$5:$L$88))</f>
        <v/>
      </c>
      <c r="G60" s="30">
        <f>Resumen!E33</f>
        <v/>
      </c>
      <c r="H60" s="31" t="n"/>
      <c r="I60" s="31" t="n"/>
      <c r="J60" s="31" t="n"/>
      <c r="K60" s="31" t="n"/>
      <c r="L60" s="31" t="n"/>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row>
    <row r="61">
      <c r="A61" s="32">
        <f>Plan!A48</f>
        <v/>
      </c>
      <c r="B61" s="33">
        <f>Plan!C48</f>
        <v/>
      </c>
      <c r="C61" s="16">
        <f>Plan!D48</f>
        <v/>
      </c>
      <c r="D61" s="16">
        <f>Plan!I48</f>
        <v/>
      </c>
      <c r="E61" s="16">
        <f>Plan!K48</f>
        <v/>
      </c>
      <c r="F61" s="16">
        <f>Plan!L48</f>
        <v/>
      </c>
      <c r="G61" s="16">
        <f>Plan!O48</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row>
    <row r="62">
      <c r="A62" s="32">
        <f>Plan!A49</f>
        <v/>
      </c>
      <c r="B62" s="33">
        <f>Plan!C49</f>
        <v/>
      </c>
      <c r="C62" s="16">
        <f>Plan!D49</f>
        <v/>
      </c>
      <c r="D62" s="16">
        <f>Plan!I49</f>
        <v/>
      </c>
      <c r="E62" s="16">
        <f>Plan!K49</f>
        <v/>
      </c>
      <c r="F62" s="16">
        <f>Plan!L49</f>
        <v/>
      </c>
      <c r="G62" s="16">
        <f>Plan!O49</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row>
    <row r="63">
      <c r="A63" s="32">
        <f>Plan!A50</f>
        <v/>
      </c>
      <c r="B63" s="33">
        <f>Plan!C50</f>
        <v/>
      </c>
      <c r="C63" s="16">
        <f>Plan!D50</f>
        <v/>
      </c>
      <c r="D63" s="16">
        <f>Plan!I50</f>
        <v/>
      </c>
      <c r="E63" s="16">
        <f>Plan!K50</f>
        <v/>
      </c>
      <c r="F63" s="16">
        <f>Plan!L50</f>
        <v/>
      </c>
      <c r="G63" s="16">
        <f>Plan!O50</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row>
    <row r="64">
      <c r="A64" s="32">
        <f>Plan!A51</f>
        <v/>
      </c>
      <c r="B64" s="33">
        <f>Plan!C51</f>
        <v/>
      </c>
      <c r="C64" s="16">
        <f>Plan!D51</f>
        <v/>
      </c>
      <c r="D64" s="16">
        <f>Plan!I51</f>
        <v/>
      </c>
      <c r="E64" s="16">
        <f>Plan!K51</f>
        <v/>
      </c>
      <c r="F64" s="16">
        <f>Plan!L51</f>
        <v/>
      </c>
      <c r="G64" s="16">
        <f>Plan!O51</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row>
    <row r="65">
      <c r="A65" s="32">
        <f>Plan!A52</f>
        <v/>
      </c>
      <c r="B65" s="33">
        <f>Plan!C52</f>
        <v/>
      </c>
      <c r="C65" s="16">
        <f>Plan!D52</f>
        <v/>
      </c>
      <c r="D65" s="16">
        <f>Plan!I52</f>
        <v/>
      </c>
      <c r="E65" s="16">
        <f>Plan!K52</f>
        <v/>
      </c>
      <c r="F65" s="16">
        <f>Plan!L52</f>
        <v/>
      </c>
      <c r="G65" s="16">
        <f>Plan!O52</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row>
    <row r="66">
      <c r="A66" s="32">
        <f>Plan!A53</f>
        <v/>
      </c>
      <c r="B66" s="33">
        <f>Plan!C53</f>
        <v/>
      </c>
      <c r="C66" s="16">
        <f>Plan!D53</f>
        <v/>
      </c>
      <c r="D66" s="16">
        <f>Plan!I53</f>
        <v/>
      </c>
      <c r="E66" s="16">
        <f>Plan!K53</f>
        <v/>
      </c>
      <c r="F66" s="16">
        <f>Plan!L53</f>
        <v/>
      </c>
      <c r="G66" s="16">
        <f>Plan!O53</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row>
    <row r="67">
      <c r="A67" s="32">
        <f>Plan!A54</f>
        <v/>
      </c>
      <c r="B67" s="33">
        <f>Plan!C54</f>
        <v/>
      </c>
      <c r="C67" s="16">
        <f>Plan!D54</f>
        <v/>
      </c>
      <c r="D67" s="16">
        <f>Plan!I54</f>
        <v/>
      </c>
      <c r="E67" s="16">
        <f>Plan!K54</f>
        <v/>
      </c>
      <c r="F67" s="16">
        <f>Plan!L54</f>
        <v/>
      </c>
      <c r="G67" s="16">
        <f>Plan!O54</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c r="CJ67" s="34">
        <f>IF(AND(CJ$5&gt;$E67,CJ$5&lt;=$F67),IF(CJ$5=$E67+1,$C67,""),"")</f>
        <v/>
      </c>
      <c r="CK67" s="34">
        <f>IF(AND(CK$5&gt;$E67,CK$5&lt;=$F67),IF(CK$5=$E67+1,$C67,""),"")</f>
        <v/>
      </c>
      <c r="CL67" s="34">
        <f>IF(AND(CL$5&gt;$E67,CL$5&lt;=$F67),IF(CL$5=$E67+1,$C67,""),"")</f>
        <v/>
      </c>
      <c r="CM67" s="34">
        <f>IF(AND(CM$5&gt;$E67,CM$5&lt;=$F67),IF(CM$5=$E67+1,$C67,""),"")</f>
        <v/>
      </c>
      <c r="CN67" s="34">
        <f>IF(AND(CN$5&gt;$E67,CN$5&lt;=$F67),IF(CN$5=$E67+1,$C67,""),"")</f>
        <v/>
      </c>
      <c r="CO67" s="34">
        <f>IF(AND(CO$5&gt;$E67,CO$5&lt;=$F67),IF(CO$5=$E67+1,$C67,""),"")</f>
        <v/>
      </c>
      <c r="CP67" s="34">
        <f>IF(AND(CP$5&gt;$E67,CP$5&lt;=$F67),IF(CP$5=$E67+1,$C67,""),"")</f>
        <v/>
      </c>
      <c r="CQ67" s="34">
        <f>IF(AND(CQ$5&gt;$E67,CQ$5&lt;=$F67),IF(CQ$5=$E67+1,$C67,""),"")</f>
        <v/>
      </c>
      <c r="CR67" s="34">
        <f>IF(AND(CR$5&gt;$E67,CR$5&lt;=$F67),IF(CR$5=$E67+1,$C67,""),"")</f>
        <v/>
      </c>
      <c r="CS67" s="34">
        <f>IF(AND(CS$5&gt;$E67,CS$5&lt;=$F67),IF(CS$5=$E67+1,$C67,""),"")</f>
        <v/>
      </c>
      <c r="CT67" s="34">
        <f>IF(AND(CT$5&gt;$E67,CT$5&lt;=$F67),IF(CT$5=$E67+1,$C67,""),"")</f>
        <v/>
      </c>
      <c r="CU67" s="34">
        <f>IF(AND(CU$5&gt;$E67,CU$5&lt;=$F67),IF(CU$5=$E67+1,$C67,""),"")</f>
        <v/>
      </c>
      <c r="CV67" s="34">
        <f>IF(AND(CV$5&gt;$E67,CV$5&lt;=$F67),IF(CV$5=$E67+1,$C67,""),"")</f>
        <v/>
      </c>
      <c r="CW67" s="34">
        <f>IF(AND(CW$5&gt;$E67,CW$5&lt;=$F67),IF(CW$5=$E67+1,$C67,""),"")</f>
        <v/>
      </c>
      <c r="CX67" s="34">
        <f>IF(AND(CX$5&gt;$E67,CX$5&lt;=$F67),IF(CX$5=$E67+1,$C67,""),"")</f>
        <v/>
      </c>
      <c r="CY67" s="34">
        <f>IF(AND(CY$5&gt;$E67,CY$5&lt;=$F67),IF(CY$5=$E67+1,$C67,""),"")</f>
        <v/>
      </c>
      <c r="CZ67" s="34">
        <f>IF(AND(CZ$5&gt;$E67,CZ$5&lt;=$F67),IF(CZ$5=$E67+1,$C67,""),"")</f>
        <v/>
      </c>
      <c r="DA67" s="34">
        <f>IF(AND(DA$5&gt;$E67,DA$5&lt;=$F67),IF(DA$5=$E67+1,$C67,""),"")</f>
        <v/>
      </c>
      <c r="DB67" s="34">
        <f>IF(AND(DB$5&gt;$E67,DB$5&lt;=$F67),IF(DB$5=$E67+1,$C67,""),"")</f>
        <v/>
      </c>
      <c r="DC67" s="34">
        <f>IF(AND(DC$5&gt;$E67,DC$5&lt;=$F67),IF(DC$5=$E67+1,$C67,""),"")</f>
        <v/>
      </c>
    </row>
    <row r="68">
      <c r="A68" s="32">
        <f>Plan!A55</f>
        <v/>
      </c>
      <c r="B68" s="33">
        <f>Plan!C55</f>
        <v/>
      </c>
      <c r="C68" s="16">
        <f>Plan!D55</f>
        <v/>
      </c>
      <c r="D68" s="16">
        <f>Plan!I55</f>
        <v/>
      </c>
      <c r="E68" s="16">
        <f>Plan!K55</f>
        <v/>
      </c>
      <c r="F68" s="16">
        <f>Plan!L55</f>
        <v/>
      </c>
      <c r="G68" s="16">
        <f>Plan!O55</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row>
    <row r="69">
      <c r="A69" s="32">
        <f>Plan!A56</f>
        <v/>
      </c>
      <c r="B69" s="33">
        <f>Plan!C56</f>
        <v/>
      </c>
      <c r="C69" s="16">
        <f>Plan!D56</f>
        <v/>
      </c>
      <c r="D69" s="16">
        <f>Plan!I56</f>
        <v/>
      </c>
      <c r="E69" s="16">
        <f>Plan!K56</f>
        <v/>
      </c>
      <c r="F69" s="16">
        <f>Plan!L56</f>
        <v/>
      </c>
      <c r="G69" s="16">
        <f>Plan!O56</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row>
    <row r="70">
      <c r="A70" s="32">
        <f>Plan!A57</f>
        <v/>
      </c>
      <c r="B70" s="33">
        <f>Plan!C57</f>
        <v/>
      </c>
      <c r="C70" s="16">
        <f>Plan!D57</f>
        <v/>
      </c>
      <c r="D70" s="16">
        <f>Plan!I57</f>
        <v/>
      </c>
      <c r="E70" s="16">
        <f>Plan!K57</f>
        <v/>
      </c>
      <c r="F70" s="16">
        <f>Plan!L57</f>
        <v/>
      </c>
      <c r="G70" s="16">
        <f>Plan!O57</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row>
    <row r="71">
      <c r="A71" s="32">
        <f>Plan!A84</f>
        <v/>
      </c>
      <c r="B71" s="33">
        <f>Plan!C84</f>
        <v/>
      </c>
      <c r="C71" s="16">
        <f>Plan!D84</f>
        <v/>
      </c>
      <c r="D71" s="16">
        <f>Plan!I84</f>
        <v/>
      </c>
      <c r="E71" s="16">
        <f>Plan!K84</f>
        <v/>
      </c>
      <c r="F71" s="16">
        <f>Plan!L84</f>
        <v/>
      </c>
      <c r="G71" s="16">
        <f>Plan!O84</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row>
    <row r="72">
      <c r="A72" s="32">
        <f>Plan!A85</f>
        <v/>
      </c>
      <c r="B72" s="33">
        <f>Plan!C85</f>
        <v/>
      </c>
      <c r="C72" s="16">
        <f>Plan!D85</f>
        <v/>
      </c>
      <c r="D72" s="16">
        <f>Plan!I85</f>
        <v/>
      </c>
      <c r="E72" s="16">
        <f>Plan!K85</f>
        <v/>
      </c>
      <c r="F72" s="16">
        <f>Plan!L85</f>
        <v/>
      </c>
      <c r="G72" s="16">
        <f>Plan!O85</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row>
    <row r="73">
      <c r="A73" s="32">
        <f>Plan!A86</f>
        <v/>
      </c>
      <c r="B73" s="33">
        <f>Plan!C86</f>
        <v/>
      </c>
      <c r="C73" s="16">
        <f>Plan!D86</f>
        <v/>
      </c>
      <c r="D73" s="16">
        <f>Plan!I86</f>
        <v/>
      </c>
      <c r="E73" s="16">
        <f>Plan!K86</f>
        <v/>
      </c>
      <c r="F73" s="16">
        <f>Plan!L86</f>
        <v/>
      </c>
      <c r="G73" s="16">
        <f>Plan!O86</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row>
    <row r="74">
      <c r="A74" s="27" t="inlineStr">
        <is>
          <t>Fase 6. Pruebas y lanzamiento</t>
        </is>
      </c>
      <c r="B74" s="28" t="n"/>
      <c r="C74" s="28" t="n"/>
      <c r="D74" s="28" t="n"/>
      <c r="E74" s="29">
        <f>SUMPRODUCT(MIN((Plan!$B$5:$B$88="6. Pruebas y lanzamiento")*Plan!$K$5:$K$88+(Plan!$B$5:$B$88&lt;&gt;"6. Pruebas y lanzamiento")*1E9))</f>
        <v/>
      </c>
      <c r="F74" s="29">
        <f>SUMPRODUCT(MAX((Plan!$B$5:$B$88="6. Pruebas y lanzamiento")*Plan!$L$5:$L$88))</f>
        <v/>
      </c>
      <c r="G74" s="30">
        <f>Resumen!E34</f>
        <v/>
      </c>
      <c r="H74" s="31" t="n"/>
      <c r="I74" s="31" t="n"/>
      <c r="J74" s="31" t="n"/>
      <c r="K74" s="31" t="n"/>
      <c r="L74" s="31" t="n"/>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row>
    <row r="75">
      <c r="A75" s="32">
        <f>Plan!A58</f>
        <v/>
      </c>
      <c r="B75" s="33">
        <f>Plan!C58</f>
        <v/>
      </c>
      <c r="C75" s="16">
        <f>Plan!D58</f>
        <v/>
      </c>
      <c r="D75" s="16">
        <f>Plan!I58</f>
        <v/>
      </c>
      <c r="E75" s="16">
        <f>Plan!K58</f>
        <v/>
      </c>
      <c r="F75" s="16">
        <f>Plan!L58</f>
        <v/>
      </c>
      <c r="G75" s="16">
        <f>Plan!O58</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row>
    <row r="76">
      <c r="A76" s="32">
        <f>Plan!A59</f>
        <v/>
      </c>
      <c r="B76" s="33">
        <f>Plan!C59</f>
        <v/>
      </c>
      <c r="C76" s="16">
        <f>Plan!D59</f>
        <v/>
      </c>
      <c r="D76" s="16">
        <f>Plan!I59</f>
        <v/>
      </c>
      <c r="E76" s="16">
        <f>Plan!K59</f>
        <v/>
      </c>
      <c r="F76" s="16">
        <f>Plan!L59</f>
        <v/>
      </c>
      <c r="G76" s="16">
        <f>Plan!O59</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row>
    <row r="77">
      <c r="A77" s="32">
        <f>Plan!A60</f>
        <v/>
      </c>
      <c r="B77" s="33">
        <f>Plan!C60</f>
        <v/>
      </c>
      <c r="C77" s="16">
        <f>Plan!D60</f>
        <v/>
      </c>
      <c r="D77" s="16">
        <f>Plan!I60</f>
        <v/>
      </c>
      <c r="E77" s="16">
        <f>Plan!K60</f>
        <v/>
      </c>
      <c r="F77" s="16">
        <f>Plan!L60</f>
        <v/>
      </c>
      <c r="G77" s="16">
        <f>Plan!O60</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row>
    <row r="78">
      <c r="A78" s="32">
        <f>Plan!A61</f>
        <v/>
      </c>
      <c r="B78" s="33">
        <f>Plan!C61</f>
        <v/>
      </c>
      <c r="C78" s="16">
        <f>Plan!D61</f>
        <v/>
      </c>
      <c r="D78" s="16">
        <f>Plan!I61</f>
        <v/>
      </c>
      <c r="E78" s="16">
        <f>Plan!K61</f>
        <v/>
      </c>
      <c r="F78" s="16">
        <f>Plan!L61</f>
        <v/>
      </c>
      <c r="G78" s="16">
        <f>Plan!O61</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row>
    <row r="79">
      <c r="A79" s="32">
        <f>Plan!A62</f>
        <v/>
      </c>
      <c r="B79" s="33">
        <f>Plan!C62</f>
        <v/>
      </c>
      <c r="C79" s="16">
        <f>Plan!D62</f>
        <v/>
      </c>
      <c r="D79" s="16">
        <f>Plan!I62</f>
        <v/>
      </c>
      <c r="E79" s="16">
        <f>Plan!K62</f>
        <v/>
      </c>
      <c r="F79" s="16">
        <f>Plan!L62</f>
        <v/>
      </c>
      <c r="G79" s="16">
        <f>Plan!O62</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row>
    <row r="80">
      <c r="A80" s="32">
        <f>Plan!A63</f>
        <v/>
      </c>
      <c r="B80" s="33">
        <f>Plan!C63</f>
        <v/>
      </c>
      <c r="C80" s="16">
        <f>Plan!D63</f>
        <v/>
      </c>
      <c r="D80" s="16">
        <f>Plan!I63</f>
        <v/>
      </c>
      <c r="E80" s="16">
        <f>Plan!K63</f>
        <v/>
      </c>
      <c r="F80" s="16">
        <f>Plan!L63</f>
        <v/>
      </c>
      <c r="G80" s="16">
        <f>Plan!O63</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row>
    <row r="81">
      <c r="A81" s="32">
        <f>Plan!A64</f>
        <v/>
      </c>
      <c r="B81" s="33">
        <f>Plan!C64</f>
        <v/>
      </c>
      <c r="C81" s="16">
        <f>Plan!D64</f>
        <v/>
      </c>
      <c r="D81" s="16">
        <f>Plan!I64</f>
        <v/>
      </c>
      <c r="E81" s="16">
        <f>Plan!K64</f>
        <v/>
      </c>
      <c r="F81" s="16">
        <f>Plan!L64</f>
        <v/>
      </c>
      <c r="G81" s="16">
        <f>Plan!O64</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row>
    <row r="82">
      <c r="A82" s="32">
        <f>Plan!A65</f>
        <v/>
      </c>
      <c r="B82" s="33">
        <f>Plan!C65</f>
        <v/>
      </c>
      <c r="C82" s="16">
        <f>Plan!D65</f>
        <v/>
      </c>
      <c r="D82" s="16">
        <f>Plan!I65</f>
        <v/>
      </c>
      <c r="E82" s="16">
        <f>Plan!K65</f>
        <v/>
      </c>
      <c r="F82" s="16">
        <f>Plan!L65</f>
        <v/>
      </c>
      <c r="G82" s="16">
        <f>Plan!O65</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row>
    <row r="83">
      <c r="A83" s="32">
        <f>Plan!A66</f>
        <v/>
      </c>
      <c r="B83" s="33">
        <f>Plan!C66</f>
        <v/>
      </c>
      <c r="C83" s="16">
        <f>Plan!D66</f>
        <v/>
      </c>
      <c r="D83" s="16">
        <f>Plan!I66</f>
        <v/>
      </c>
      <c r="E83" s="16">
        <f>Plan!K66</f>
        <v/>
      </c>
      <c r="F83" s="16">
        <f>Plan!L66</f>
        <v/>
      </c>
      <c r="G83" s="16">
        <f>Plan!O66</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row>
    <row r="84">
      <c r="A84" s="32">
        <f>Plan!A67</f>
        <v/>
      </c>
      <c r="B84" s="33">
        <f>Plan!C67</f>
        <v/>
      </c>
      <c r="C84" s="16">
        <f>Plan!D67</f>
        <v/>
      </c>
      <c r="D84" s="16">
        <f>Plan!I67</f>
        <v/>
      </c>
      <c r="E84" s="16">
        <f>Plan!K67</f>
        <v/>
      </c>
      <c r="F84" s="16">
        <f>Plan!L67</f>
        <v/>
      </c>
      <c r="G84" s="16">
        <f>Plan!O67</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row>
    <row r="85">
      <c r="A85" s="32">
        <f>Plan!A68</f>
        <v/>
      </c>
      <c r="B85" s="33">
        <f>Plan!C68</f>
        <v/>
      </c>
      <c r="C85" s="16">
        <f>Plan!D68</f>
        <v/>
      </c>
      <c r="D85" s="16">
        <f>Plan!I68</f>
        <v/>
      </c>
      <c r="E85" s="16">
        <f>Plan!K68</f>
        <v/>
      </c>
      <c r="F85" s="16">
        <f>Plan!L68</f>
        <v/>
      </c>
      <c r="G85" s="16">
        <f>Plan!O68</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row>
    <row r="86">
      <c r="A86" s="32">
        <f>Plan!A69</f>
        <v/>
      </c>
      <c r="B86" s="33">
        <f>Plan!C69</f>
        <v/>
      </c>
      <c r="C86" s="16">
        <f>Plan!D69</f>
        <v/>
      </c>
      <c r="D86" s="16">
        <f>Plan!I69</f>
        <v/>
      </c>
      <c r="E86" s="16">
        <f>Plan!K69</f>
        <v/>
      </c>
      <c r="F86" s="16">
        <f>Plan!L69</f>
        <v/>
      </c>
      <c r="G86" s="16">
        <f>Plan!O69</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row>
    <row r="87">
      <c r="A87" s="32">
        <f>Plan!A70</f>
        <v/>
      </c>
      <c r="B87" s="33">
        <f>Plan!C70</f>
        <v/>
      </c>
      <c r="C87" s="16">
        <f>Plan!D70</f>
        <v/>
      </c>
      <c r="D87" s="16">
        <f>Plan!I70</f>
        <v/>
      </c>
      <c r="E87" s="16">
        <f>Plan!K70</f>
        <v/>
      </c>
      <c r="F87" s="16">
        <f>Plan!L70</f>
        <v/>
      </c>
      <c r="G87" s="16">
        <f>Plan!O70</f>
        <v/>
      </c>
      <c r="H87" s="34">
        <f>IF(AND(H$5&gt;$E87,H$5&lt;=$F87),IF(H$5=$E87+1,$C87,""),"")</f>
        <v/>
      </c>
      <c r="I87" s="34">
        <f>IF(AND(I$5&gt;$E87,I$5&lt;=$F87),IF(I$5=$E87+1,$C87,""),"")</f>
        <v/>
      </c>
      <c r="J87" s="34">
        <f>IF(AND(J$5&gt;$E87,J$5&lt;=$F87),IF(J$5=$E87+1,$C87,""),"")</f>
        <v/>
      </c>
      <c r="K87" s="34">
        <f>IF(AND(K$5&gt;$E87,K$5&lt;=$F87),IF(K$5=$E87+1,$C87,""),"")</f>
        <v/>
      </c>
      <c r="L87" s="34">
        <f>IF(AND(L$5&gt;$E87,L$5&lt;=$F87),IF(L$5=$E87+1,$C87,""),"")</f>
        <v/>
      </c>
      <c r="M87" s="34">
        <f>IF(AND(M$5&gt;$E87,M$5&lt;=$F87),IF(M$5=$E87+1,$C87,""),"")</f>
        <v/>
      </c>
      <c r="N87" s="34">
        <f>IF(AND(N$5&gt;$E87,N$5&lt;=$F87),IF(N$5=$E87+1,$C87,""),"")</f>
        <v/>
      </c>
      <c r="O87" s="34">
        <f>IF(AND(O$5&gt;$E87,O$5&lt;=$F87),IF(O$5=$E87+1,$C87,""),"")</f>
        <v/>
      </c>
      <c r="P87" s="34">
        <f>IF(AND(P$5&gt;$E87,P$5&lt;=$F87),IF(P$5=$E87+1,$C87,""),"")</f>
        <v/>
      </c>
      <c r="Q87" s="34">
        <f>IF(AND(Q$5&gt;$E87,Q$5&lt;=$F87),IF(Q$5=$E87+1,$C87,""),"")</f>
        <v/>
      </c>
      <c r="R87" s="34">
        <f>IF(AND(R$5&gt;$E87,R$5&lt;=$F87),IF(R$5=$E87+1,$C87,""),"")</f>
        <v/>
      </c>
      <c r="S87" s="34">
        <f>IF(AND(S$5&gt;$E87,S$5&lt;=$F87),IF(S$5=$E87+1,$C87,""),"")</f>
        <v/>
      </c>
      <c r="T87" s="34">
        <f>IF(AND(T$5&gt;$E87,T$5&lt;=$F87),IF(T$5=$E87+1,$C87,""),"")</f>
        <v/>
      </c>
      <c r="U87" s="34">
        <f>IF(AND(U$5&gt;$E87,U$5&lt;=$F87),IF(U$5=$E87+1,$C87,""),"")</f>
        <v/>
      </c>
      <c r="V87" s="34">
        <f>IF(AND(V$5&gt;$E87,V$5&lt;=$F87),IF(V$5=$E87+1,$C87,""),"")</f>
        <v/>
      </c>
      <c r="W87" s="34">
        <f>IF(AND(W$5&gt;$E87,W$5&lt;=$F87),IF(W$5=$E87+1,$C87,""),"")</f>
        <v/>
      </c>
      <c r="X87" s="34">
        <f>IF(AND(X$5&gt;$E87,X$5&lt;=$F87),IF(X$5=$E87+1,$C87,""),"")</f>
        <v/>
      </c>
      <c r="Y87" s="34">
        <f>IF(AND(Y$5&gt;$E87,Y$5&lt;=$F87),IF(Y$5=$E87+1,$C87,""),"")</f>
        <v/>
      </c>
      <c r="Z87" s="34">
        <f>IF(AND(Z$5&gt;$E87,Z$5&lt;=$F87),IF(Z$5=$E87+1,$C87,""),"")</f>
        <v/>
      </c>
      <c r="AA87" s="34">
        <f>IF(AND(AA$5&gt;$E87,AA$5&lt;=$F87),IF(AA$5=$E87+1,$C87,""),"")</f>
        <v/>
      </c>
      <c r="AB87" s="34">
        <f>IF(AND(AB$5&gt;$E87,AB$5&lt;=$F87),IF(AB$5=$E87+1,$C87,""),"")</f>
        <v/>
      </c>
      <c r="AC87" s="34">
        <f>IF(AND(AC$5&gt;$E87,AC$5&lt;=$F87),IF(AC$5=$E87+1,$C87,""),"")</f>
        <v/>
      </c>
      <c r="AD87" s="34">
        <f>IF(AND(AD$5&gt;$E87,AD$5&lt;=$F87),IF(AD$5=$E87+1,$C87,""),"")</f>
        <v/>
      </c>
      <c r="AE87" s="34">
        <f>IF(AND(AE$5&gt;$E87,AE$5&lt;=$F87),IF(AE$5=$E87+1,$C87,""),"")</f>
        <v/>
      </c>
      <c r="AF87" s="34">
        <f>IF(AND(AF$5&gt;$E87,AF$5&lt;=$F87),IF(AF$5=$E87+1,$C87,""),"")</f>
        <v/>
      </c>
      <c r="AG87" s="34">
        <f>IF(AND(AG$5&gt;$E87,AG$5&lt;=$F87),IF(AG$5=$E87+1,$C87,""),"")</f>
        <v/>
      </c>
      <c r="AH87" s="34">
        <f>IF(AND(AH$5&gt;$E87,AH$5&lt;=$F87),IF(AH$5=$E87+1,$C87,""),"")</f>
        <v/>
      </c>
      <c r="AI87" s="34">
        <f>IF(AND(AI$5&gt;$E87,AI$5&lt;=$F87),IF(AI$5=$E87+1,$C87,""),"")</f>
        <v/>
      </c>
      <c r="AJ87" s="34">
        <f>IF(AND(AJ$5&gt;$E87,AJ$5&lt;=$F87),IF(AJ$5=$E87+1,$C87,""),"")</f>
        <v/>
      </c>
      <c r="AK87" s="34">
        <f>IF(AND(AK$5&gt;$E87,AK$5&lt;=$F87),IF(AK$5=$E87+1,$C87,""),"")</f>
        <v/>
      </c>
      <c r="AL87" s="34">
        <f>IF(AND(AL$5&gt;$E87,AL$5&lt;=$F87),IF(AL$5=$E87+1,$C87,""),"")</f>
        <v/>
      </c>
      <c r="AM87" s="34">
        <f>IF(AND(AM$5&gt;$E87,AM$5&lt;=$F87),IF(AM$5=$E87+1,$C87,""),"")</f>
        <v/>
      </c>
      <c r="AN87" s="34">
        <f>IF(AND(AN$5&gt;$E87,AN$5&lt;=$F87),IF(AN$5=$E87+1,$C87,""),"")</f>
        <v/>
      </c>
      <c r="AO87" s="34">
        <f>IF(AND(AO$5&gt;$E87,AO$5&lt;=$F87),IF(AO$5=$E87+1,$C87,""),"")</f>
        <v/>
      </c>
      <c r="AP87" s="34">
        <f>IF(AND(AP$5&gt;$E87,AP$5&lt;=$F87),IF(AP$5=$E87+1,$C87,""),"")</f>
        <v/>
      </c>
      <c r="AQ87" s="34">
        <f>IF(AND(AQ$5&gt;$E87,AQ$5&lt;=$F87),IF(AQ$5=$E87+1,$C87,""),"")</f>
        <v/>
      </c>
      <c r="AR87" s="34">
        <f>IF(AND(AR$5&gt;$E87,AR$5&lt;=$F87),IF(AR$5=$E87+1,$C87,""),"")</f>
        <v/>
      </c>
      <c r="AS87" s="34">
        <f>IF(AND(AS$5&gt;$E87,AS$5&lt;=$F87),IF(AS$5=$E87+1,$C87,""),"")</f>
        <v/>
      </c>
      <c r="AT87" s="34">
        <f>IF(AND(AT$5&gt;$E87,AT$5&lt;=$F87),IF(AT$5=$E87+1,$C87,""),"")</f>
        <v/>
      </c>
      <c r="AU87" s="34">
        <f>IF(AND(AU$5&gt;$E87,AU$5&lt;=$F87),IF(AU$5=$E87+1,$C87,""),"")</f>
        <v/>
      </c>
      <c r="AV87" s="34">
        <f>IF(AND(AV$5&gt;$E87,AV$5&lt;=$F87),IF(AV$5=$E87+1,$C87,""),"")</f>
        <v/>
      </c>
      <c r="AW87" s="34">
        <f>IF(AND(AW$5&gt;$E87,AW$5&lt;=$F87),IF(AW$5=$E87+1,$C87,""),"")</f>
        <v/>
      </c>
      <c r="AX87" s="34">
        <f>IF(AND(AX$5&gt;$E87,AX$5&lt;=$F87),IF(AX$5=$E87+1,$C87,""),"")</f>
        <v/>
      </c>
      <c r="AY87" s="34">
        <f>IF(AND(AY$5&gt;$E87,AY$5&lt;=$F87),IF(AY$5=$E87+1,$C87,""),"")</f>
        <v/>
      </c>
      <c r="AZ87" s="34">
        <f>IF(AND(AZ$5&gt;$E87,AZ$5&lt;=$F87),IF(AZ$5=$E87+1,$C87,""),"")</f>
        <v/>
      </c>
      <c r="BA87" s="34">
        <f>IF(AND(BA$5&gt;$E87,BA$5&lt;=$F87),IF(BA$5=$E87+1,$C87,""),"")</f>
        <v/>
      </c>
      <c r="BB87" s="34">
        <f>IF(AND(BB$5&gt;$E87,BB$5&lt;=$F87),IF(BB$5=$E87+1,$C87,""),"")</f>
        <v/>
      </c>
      <c r="BC87" s="34">
        <f>IF(AND(BC$5&gt;$E87,BC$5&lt;=$F87),IF(BC$5=$E87+1,$C87,""),"")</f>
        <v/>
      </c>
      <c r="BD87" s="34">
        <f>IF(AND(BD$5&gt;$E87,BD$5&lt;=$F87),IF(BD$5=$E87+1,$C87,""),"")</f>
        <v/>
      </c>
      <c r="BE87" s="34">
        <f>IF(AND(BE$5&gt;$E87,BE$5&lt;=$F87),IF(BE$5=$E87+1,$C87,""),"")</f>
        <v/>
      </c>
      <c r="BF87" s="34">
        <f>IF(AND(BF$5&gt;$E87,BF$5&lt;=$F87),IF(BF$5=$E87+1,$C87,""),"")</f>
        <v/>
      </c>
      <c r="BG87" s="34">
        <f>IF(AND(BG$5&gt;$E87,BG$5&lt;=$F87),IF(BG$5=$E87+1,$C87,""),"")</f>
        <v/>
      </c>
      <c r="BH87" s="34">
        <f>IF(AND(BH$5&gt;$E87,BH$5&lt;=$F87),IF(BH$5=$E87+1,$C87,""),"")</f>
        <v/>
      </c>
      <c r="BI87" s="34">
        <f>IF(AND(BI$5&gt;$E87,BI$5&lt;=$F87),IF(BI$5=$E87+1,$C87,""),"")</f>
        <v/>
      </c>
      <c r="BJ87" s="34">
        <f>IF(AND(BJ$5&gt;$E87,BJ$5&lt;=$F87),IF(BJ$5=$E87+1,$C87,""),"")</f>
        <v/>
      </c>
      <c r="BK87" s="34">
        <f>IF(AND(BK$5&gt;$E87,BK$5&lt;=$F87),IF(BK$5=$E87+1,$C87,""),"")</f>
        <v/>
      </c>
      <c r="BL87" s="34">
        <f>IF(AND(BL$5&gt;$E87,BL$5&lt;=$F87),IF(BL$5=$E87+1,$C87,""),"")</f>
        <v/>
      </c>
      <c r="BM87" s="34">
        <f>IF(AND(BM$5&gt;$E87,BM$5&lt;=$F87),IF(BM$5=$E87+1,$C87,""),"")</f>
        <v/>
      </c>
      <c r="BN87" s="34">
        <f>IF(AND(BN$5&gt;$E87,BN$5&lt;=$F87),IF(BN$5=$E87+1,$C87,""),"")</f>
        <v/>
      </c>
      <c r="BO87" s="34">
        <f>IF(AND(BO$5&gt;$E87,BO$5&lt;=$F87),IF(BO$5=$E87+1,$C87,""),"")</f>
        <v/>
      </c>
      <c r="BP87" s="34">
        <f>IF(AND(BP$5&gt;$E87,BP$5&lt;=$F87),IF(BP$5=$E87+1,$C87,""),"")</f>
        <v/>
      </c>
      <c r="BQ87" s="34">
        <f>IF(AND(BQ$5&gt;$E87,BQ$5&lt;=$F87),IF(BQ$5=$E87+1,$C87,""),"")</f>
        <v/>
      </c>
      <c r="BR87" s="34">
        <f>IF(AND(BR$5&gt;$E87,BR$5&lt;=$F87),IF(BR$5=$E87+1,$C87,""),"")</f>
        <v/>
      </c>
      <c r="BS87" s="34">
        <f>IF(AND(BS$5&gt;$E87,BS$5&lt;=$F87),IF(BS$5=$E87+1,$C87,""),"")</f>
        <v/>
      </c>
      <c r="BT87" s="34">
        <f>IF(AND(BT$5&gt;$E87,BT$5&lt;=$F87),IF(BT$5=$E87+1,$C87,""),"")</f>
        <v/>
      </c>
      <c r="BU87" s="34">
        <f>IF(AND(BU$5&gt;$E87,BU$5&lt;=$F87),IF(BU$5=$E87+1,$C87,""),"")</f>
        <v/>
      </c>
      <c r="BV87" s="34">
        <f>IF(AND(BV$5&gt;$E87,BV$5&lt;=$F87),IF(BV$5=$E87+1,$C87,""),"")</f>
        <v/>
      </c>
      <c r="BW87" s="34">
        <f>IF(AND(BW$5&gt;$E87,BW$5&lt;=$F87),IF(BW$5=$E87+1,$C87,""),"")</f>
        <v/>
      </c>
      <c r="BX87" s="34">
        <f>IF(AND(BX$5&gt;$E87,BX$5&lt;=$F87),IF(BX$5=$E87+1,$C87,""),"")</f>
        <v/>
      </c>
      <c r="BY87" s="34">
        <f>IF(AND(BY$5&gt;$E87,BY$5&lt;=$F87),IF(BY$5=$E87+1,$C87,""),"")</f>
        <v/>
      </c>
      <c r="BZ87" s="34">
        <f>IF(AND(BZ$5&gt;$E87,BZ$5&lt;=$F87),IF(BZ$5=$E87+1,$C87,""),"")</f>
        <v/>
      </c>
      <c r="CA87" s="34">
        <f>IF(AND(CA$5&gt;$E87,CA$5&lt;=$F87),IF(CA$5=$E87+1,$C87,""),"")</f>
        <v/>
      </c>
      <c r="CB87" s="34">
        <f>IF(AND(CB$5&gt;$E87,CB$5&lt;=$F87),IF(CB$5=$E87+1,$C87,""),"")</f>
        <v/>
      </c>
      <c r="CC87" s="34">
        <f>IF(AND(CC$5&gt;$E87,CC$5&lt;=$F87),IF(CC$5=$E87+1,$C87,""),"")</f>
        <v/>
      </c>
      <c r="CD87" s="34">
        <f>IF(AND(CD$5&gt;$E87,CD$5&lt;=$F87),IF(CD$5=$E87+1,$C87,""),"")</f>
        <v/>
      </c>
      <c r="CE87" s="34">
        <f>IF(AND(CE$5&gt;$E87,CE$5&lt;=$F87),IF(CE$5=$E87+1,$C87,""),"")</f>
        <v/>
      </c>
      <c r="CF87" s="34">
        <f>IF(AND(CF$5&gt;$E87,CF$5&lt;=$F87),IF(CF$5=$E87+1,$C87,""),"")</f>
        <v/>
      </c>
      <c r="CG87" s="34">
        <f>IF(AND(CG$5&gt;$E87,CG$5&lt;=$F87),IF(CG$5=$E87+1,$C87,""),"")</f>
        <v/>
      </c>
      <c r="CH87" s="34">
        <f>IF(AND(CH$5&gt;$E87,CH$5&lt;=$F87),IF(CH$5=$E87+1,$C87,""),"")</f>
        <v/>
      </c>
      <c r="CI87" s="34">
        <f>IF(AND(CI$5&gt;$E87,CI$5&lt;=$F87),IF(CI$5=$E87+1,$C87,""),"")</f>
        <v/>
      </c>
      <c r="CJ87" s="34">
        <f>IF(AND(CJ$5&gt;$E87,CJ$5&lt;=$F87),IF(CJ$5=$E87+1,$C87,""),"")</f>
        <v/>
      </c>
      <c r="CK87" s="34">
        <f>IF(AND(CK$5&gt;$E87,CK$5&lt;=$F87),IF(CK$5=$E87+1,$C87,""),"")</f>
        <v/>
      </c>
      <c r="CL87" s="34">
        <f>IF(AND(CL$5&gt;$E87,CL$5&lt;=$F87),IF(CL$5=$E87+1,$C87,""),"")</f>
        <v/>
      </c>
      <c r="CM87" s="34">
        <f>IF(AND(CM$5&gt;$E87,CM$5&lt;=$F87),IF(CM$5=$E87+1,$C87,""),"")</f>
        <v/>
      </c>
      <c r="CN87" s="34">
        <f>IF(AND(CN$5&gt;$E87,CN$5&lt;=$F87),IF(CN$5=$E87+1,$C87,""),"")</f>
        <v/>
      </c>
      <c r="CO87" s="34">
        <f>IF(AND(CO$5&gt;$E87,CO$5&lt;=$F87),IF(CO$5=$E87+1,$C87,""),"")</f>
        <v/>
      </c>
      <c r="CP87" s="34">
        <f>IF(AND(CP$5&gt;$E87,CP$5&lt;=$F87),IF(CP$5=$E87+1,$C87,""),"")</f>
        <v/>
      </c>
      <c r="CQ87" s="34">
        <f>IF(AND(CQ$5&gt;$E87,CQ$5&lt;=$F87),IF(CQ$5=$E87+1,$C87,""),"")</f>
        <v/>
      </c>
      <c r="CR87" s="34">
        <f>IF(AND(CR$5&gt;$E87,CR$5&lt;=$F87),IF(CR$5=$E87+1,$C87,""),"")</f>
        <v/>
      </c>
      <c r="CS87" s="34">
        <f>IF(AND(CS$5&gt;$E87,CS$5&lt;=$F87),IF(CS$5=$E87+1,$C87,""),"")</f>
        <v/>
      </c>
      <c r="CT87" s="34">
        <f>IF(AND(CT$5&gt;$E87,CT$5&lt;=$F87),IF(CT$5=$E87+1,$C87,""),"")</f>
        <v/>
      </c>
      <c r="CU87" s="34">
        <f>IF(AND(CU$5&gt;$E87,CU$5&lt;=$F87),IF(CU$5=$E87+1,$C87,""),"")</f>
        <v/>
      </c>
      <c r="CV87" s="34">
        <f>IF(AND(CV$5&gt;$E87,CV$5&lt;=$F87),IF(CV$5=$E87+1,$C87,""),"")</f>
        <v/>
      </c>
      <c r="CW87" s="34">
        <f>IF(AND(CW$5&gt;$E87,CW$5&lt;=$F87),IF(CW$5=$E87+1,$C87,""),"")</f>
        <v/>
      </c>
      <c r="CX87" s="34">
        <f>IF(AND(CX$5&gt;$E87,CX$5&lt;=$F87),IF(CX$5=$E87+1,$C87,""),"")</f>
        <v/>
      </c>
      <c r="CY87" s="34">
        <f>IF(AND(CY$5&gt;$E87,CY$5&lt;=$F87),IF(CY$5=$E87+1,$C87,""),"")</f>
        <v/>
      </c>
      <c r="CZ87" s="34">
        <f>IF(AND(CZ$5&gt;$E87,CZ$5&lt;=$F87),IF(CZ$5=$E87+1,$C87,""),"")</f>
        <v/>
      </c>
      <c r="DA87" s="34">
        <f>IF(AND(DA$5&gt;$E87,DA$5&lt;=$F87),IF(DA$5=$E87+1,$C87,""),"")</f>
        <v/>
      </c>
      <c r="DB87" s="34">
        <f>IF(AND(DB$5&gt;$E87,DB$5&lt;=$F87),IF(DB$5=$E87+1,$C87,""),"")</f>
        <v/>
      </c>
      <c r="DC87" s="34">
        <f>IF(AND(DC$5&gt;$E87,DC$5&lt;=$F87),IF(DC$5=$E87+1,$C87,""),"")</f>
        <v/>
      </c>
    </row>
    <row r="88">
      <c r="A88" s="32">
        <f>Plan!A71</f>
        <v/>
      </c>
      <c r="B88" s="33">
        <f>Plan!C71</f>
        <v/>
      </c>
      <c r="C88" s="16">
        <f>Plan!D71</f>
        <v/>
      </c>
      <c r="D88" s="16">
        <f>Plan!I71</f>
        <v/>
      </c>
      <c r="E88" s="16">
        <f>Plan!K71</f>
        <v/>
      </c>
      <c r="F88" s="16">
        <f>Plan!L71</f>
        <v/>
      </c>
      <c r="G88" s="16">
        <f>Plan!O71</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row>
    <row r="89">
      <c r="A89" s="32">
        <f>Plan!A72</f>
        <v/>
      </c>
      <c r="B89" s="33">
        <f>Plan!C72</f>
        <v/>
      </c>
      <c r="C89" s="16">
        <f>Plan!D72</f>
        <v/>
      </c>
      <c r="D89" s="16">
        <f>Plan!I72</f>
        <v/>
      </c>
      <c r="E89" s="16">
        <f>Plan!K72</f>
        <v/>
      </c>
      <c r="F89" s="16">
        <f>Plan!L72</f>
        <v/>
      </c>
      <c r="G89" s="16">
        <f>Plan!O72</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row>
    <row r="90">
      <c r="A90" s="32">
        <f>Plan!A73</f>
        <v/>
      </c>
      <c r="B90" s="33">
        <f>Plan!C73</f>
        <v/>
      </c>
      <c r="C90" s="16">
        <f>Plan!D73</f>
        <v/>
      </c>
      <c r="D90" s="16">
        <f>Plan!I73</f>
        <v/>
      </c>
      <c r="E90" s="16">
        <f>Plan!K73</f>
        <v/>
      </c>
      <c r="F90" s="16">
        <f>Plan!L73</f>
        <v/>
      </c>
      <c r="G90" s="16">
        <f>Plan!O73</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row>
    <row r="91">
      <c r="A91" s="32">
        <f>Plan!A74</f>
        <v/>
      </c>
      <c r="B91" s="33">
        <f>Plan!C74</f>
        <v/>
      </c>
      <c r="C91" s="16">
        <f>Plan!D74</f>
        <v/>
      </c>
      <c r="D91" s="16">
        <f>Plan!I74</f>
        <v/>
      </c>
      <c r="E91" s="16">
        <f>Plan!K74</f>
        <v/>
      </c>
      <c r="F91" s="16">
        <f>Plan!L74</f>
        <v/>
      </c>
      <c r="G91" s="16">
        <f>Plan!O74</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row>
    <row r="92">
      <c r="A92" s="32">
        <f>Plan!A75</f>
        <v/>
      </c>
      <c r="B92" s="33">
        <f>Plan!C75</f>
        <v/>
      </c>
      <c r="C92" s="16">
        <f>Plan!D75</f>
        <v/>
      </c>
      <c r="D92" s="16">
        <f>Plan!I75</f>
        <v/>
      </c>
      <c r="E92" s="16">
        <f>Plan!K75</f>
        <v/>
      </c>
      <c r="F92" s="16">
        <f>Plan!L75</f>
        <v/>
      </c>
      <c r="G92" s="16">
        <f>Plan!O75</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row>
    <row r="93">
      <c r="A93" s="32">
        <f>Plan!A76</f>
        <v/>
      </c>
      <c r="B93" s="33">
        <f>Plan!C76</f>
        <v/>
      </c>
      <c r="C93" s="16">
        <f>Plan!D76</f>
        <v/>
      </c>
      <c r="D93" s="16">
        <f>Plan!I76</f>
        <v/>
      </c>
      <c r="E93" s="16">
        <f>Plan!K76</f>
        <v/>
      </c>
      <c r="F93" s="16">
        <f>Plan!L76</f>
        <v/>
      </c>
      <c r="G93" s="16">
        <f>Plan!O76</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row>
    <row r="94">
      <c r="A94" s="32">
        <f>Plan!A79</f>
        <v/>
      </c>
      <c r="B94" s="33">
        <f>Plan!C79</f>
        <v/>
      </c>
      <c r="C94" s="16">
        <f>Plan!D79</f>
        <v/>
      </c>
      <c r="D94" s="16">
        <f>Plan!I79</f>
        <v/>
      </c>
      <c r="E94" s="16">
        <f>Plan!K79</f>
        <v/>
      </c>
      <c r="F94" s="16">
        <f>Plan!L79</f>
        <v/>
      </c>
      <c r="G94" s="16">
        <f>Plan!O79</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row>
    <row r="95">
      <c r="A95" s="32">
        <f>Plan!A82</f>
        <v/>
      </c>
      <c r="B95" s="33">
        <f>Plan!C82</f>
        <v/>
      </c>
      <c r="C95" s="16">
        <f>Plan!D82</f>
        <v/>
      </c>
      <c r="D95" s="16">
        <f>Plan!I82</f>
        <v/>
      </c>
      <c r="E95" s="16">
        <f>Plan!K82</f>
        <v/>
      </c>
      <c r="F95" s="16">
        <f>Plan!L82</f>
        <v/>
      </c>
      <c r="G95" s="16">
        <f>Plan!O82</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row>
    <row r="96">
      <c r="A96" s="32">
        <f>Plan!A83</f>
        <v/>
      </c>
      <c r="B96" s="33">
        <f>Plan!C83</f>
        <v/>
      </c>
      <c r="C96" s="16">
        <f>Plan!D83</f>
        <v/>
      </c>
      <c r="D96" s="16">
        <f>Plan!I83</f>
        <v/>
      </c>
      <c r="E96" s="16">
        <f>Plan!K83</f>
        <v/>
      </c>
      <c r="F96" s="16">
        <f>Plan!L83</f>
        <v/>
      </c>
      <c r="G96" s="16">
        <f>Plan!O83</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row>
    <row r="97">
      <c r="A97" s="32">
        <f>Plan!A87</f>
        <v/>
      </c>
      <c r="B97" s="33">
        <f>Plan!C87</f>
        <v/>
      </c>
      <c r="C97" s="16">
        <f>Plan!D87</f>
        <v/>
      </c>
      <c r="D97" s="16">
        <f>Plan!I87</f>
        <v/>
      </c>
      <c r="E97" s="16">
        <f>Plan!K87</f>
        <v/>
      </c>
      <c r="F97" s="16">
        <f>Plan!L87</f>
        <v/>
      </c>
      <c r="G97" s="16">
        <f>Plan!O87</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row>
    <row r="98">
      <c r="A98" s="32">
        <f>Plan!A88</f>
        <v/>
      </c>
      <c r="B98" s="33">
        <f>Plan!C88</f>
        <v/>
      </c>
      <c r="C98" s="16">
        <f>Plan!D88</f>
        <v/>
      </c>
      <c r="D98" s="16">
        <f>Plan!I88</f>
        <v/>
      </c>
      <c r="E98" s="16">
        <f>Plan!K88</f>
        <v/>
      </c>
      <c r="F98" s="16">
        <f>Plan!L88</f>
        <v/>
      </c>
      <c r="G98" s="16">
        <f>Plan!O88</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row>
  </sheetData>
  <mergeCells count="18">
    <mergeCell ref="A9:D9"/>
    <mergeCell ref="A18:D18"/>
    <mergeCell ref="R4:AA4"/>
    <mergeCell ref="H4:Q4"/>
    <mergeCell ref="A34:D34"/>
    <mergeCell ref="A6:G6"/>
    <mergeCell ref="A60:D60"/>
    <mergeCell ref="A74:D74"/>
    <mergeCell ref="AB4:AK4"/>
    <mergeCell ref="AV4:BE4"/>
    <mergeCell ref="BZ4:CI4"/>
    <mergeCell ref="CT4:DC4"/>
    <mergeCell ref="A7:G7"/>
    <mergeCell ref="BP4:BY4"/>
    <mergeCell ref="AL4:AU4"/>
    <mergeCell ref="BF4:BO4"/>
    <mergeCell ref="CJ4:CS4"/>
    <mergeCell ref="A44:D44"/>
  </mergeCells>
  <conditionalFormatting sqref="H6:DC6">
    <cfRule type="expression" priority="1" dxfId="9">
      <formula>H6&lt;&gt;""</formula>
    </cfRule>
  </conditionalFormatting>
  <conditionalFormatting sqref="H7:DC7">
    <cfRule type="expression" priority="2" dxfId="10">
      <formula>H7&lt;&gt;""</formula>
    </cfRule>
  </conditionalFormatting>
  <conditionalFormatting sqref="H9:DC9">
    <cfRule type="expression" priority="3" dxfId="11">
      <formula>AND(H$5&gt;$E9,H$5&lt;=$F9)</formula>
    </cfRule>
  </conditionalFormatting>
  <conditionalFormatting sqref="H18:DC18">
    <cfRule type="expression" priority="4" dxfId="11">
      <formula>AND(H$5&gt;$E18,H$5&lt;=$F18)</formula>
    </cfRule>
  </conditionalFormatting>
  <conditionalFormatting sqref="H34:DC34">
    <cfRule type="expression" priority="5" dxfId="11">
      <formula>AND(H$5&gt;$E34,H$5&lt;=$F34)</formula>
    </cfRule>
  </conditionalFormatting>
  <conditionalFormatting sqref="H44:DC44">
    <cfRule type="expression" priority="6" dxfId="11">
      <formula>AND(H$5&gt;$E44,H$5&lt;=$F44)</formula>
    </cfRule>
  </conditionalFormatting>
  <conditionalFormatting sqref="H60:DC60">
    <cfRule type="expression" priority="7" dxfId="11">
      <formula>AND(H$5&gt;$E60,H$5&lt;=$F60)</formula>
    </cfRule>
  </conditionalFormatting>
  <conditionalFormatting sqref="H74:DC74">
    <cfRule type="expression" priority="8" dxfId="11">
      <formula>AND(H$5&gt;$E74,H$5&lt;=$F74)</formula>
    </cfRule>
  </conditionalFormatting>
  <conditionalFormatting sqref="H9:DC98">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DC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5"/>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46</v>
      </c>
      <c r="E5" s="16">
        <f>Plan!J5</f>
        <v/>
      </c>
      <c r="F5" s="16">
        <f>Plan!K5</f>
        <v/>
      </c>
      <c r="G5" s="8">
        <f>F5-E5</f>
        <v/>
      </c>
      <c r="H5" s="16">
        <f>Plan!I5</f>
        <v/>
      </c>
      <c r="I5" s="16">
        <f>Plan!O5</f>
        <v/>
      </c>
    </row>
    <row r="6">
      <c r="A6" s="8" t="n">
        <v>2</v>
      </c>
      <c r="B6" s="18" t="inlineStr">
        <is>
          <t>1.3</t>
        </is>
      </c>
      <c r="C6" s="35">
        <f>Plan!C7</f>
        <v/>
      </c>
      <c r="D6" s="8" t="n">
        <v>43</v>
      </c>
      <c r="E6" s="16">
        <f>Plan!J7</f>
        <v/>
      </c>
      <c r="F6" s="16">
        <f>Plan!K7</f>
        <v/>
      </c>
      <c r="G6" s="8">
        <f>F6-E6</f>
        <v/>
      </c>
      <c r="H6" s="16">
        <f>Plan!I7</f>
        <v/>
      </c>
      <c r="I6" s="16">
        <f>Plan!O7</f>
        <v/>
      </c>
    </row>
    <row r="7">
      <c r="A7" s="8" t="n">
        <v>3</v>
      </c>
      <c r="B7" s="18" t="inlineStr">
        <is>
          <t>1.2</t>
        </is>
      </c>
      <c r="C7" s="35">
        <f>Plan!C6</f>
        <v/>
      </c>
      <c r="D7" s="8" t="n">
        <v>37</v>
      </c>
      <c r="E7" s="16">
        <f>Plan!J6</f>
        <v/>
      </c>
      <c r="F7" s="16">
        <f>Plan!K6</f>
        <v/>
      </c>
      <c r="G7" s="8">
        <f>F7-E7</f>
        <v/>
      </c>
      <c r="H7" s="16">
        <f>Plan!I6</f>
        <v/>
      </c>
      <c r="I7" s="16">
        <f>Plan!O6</f>
        <v/>
      </c>
    </row>
    <row r="8">
      <c r="A8" s="8" t="n">
        <v>4</v>
      </c>
      <c r="B8" s="18" t="inlineStr">
        <is>
          <t>1.4</t>
        </is>
      </c>
      <c r="C8" s="35">
        <f>Plan!C8</f>
        <v/>
      </c>
      <c r="D8" s="8" t="n">
        <v>42</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40</v>
      </c>
      <c r="E10" s="16">
        <f>Plan!J14</f>
        <v/>
      </c>
      <c r="F10" s="16">
        <f>Plan!K14</f>
        <v/>
      </c>
      <c r="G10" s="8">
        <f>F10-E10</f>
        <v/>
      </c>
      <c r="H10" s="16">
        <f>Plan!I14</f>
        <v/>
      </c>
      <c r="I10" s="16">
        <f>Plan!O14</f>
        <v/>
      </c>
    </row>
    <row r="11">
      <c r="A11" s="8" t="n">
        <v>7</v>
      </c>
      <c r="B11" s="18" t="inlineStr">
        <is>
          <t>2.1</t>
        </is>
      </c>
      <c r="C11" s="35">
        <f>Plan!C13</f>
        <v/>
      </c>
      <c r="D11" s="8" t="n">
        <v>31</v>
      </c>
      <c r="E11" s="16">
        <f>Plan!J13</f>
        <v/>
      </c>
      <c r="F11" s="16">
        <f>Plan!K13</f>
        <v/>
      </c>
      <c r="G11" s="8">
        <f>F11-E11</f>
        <v/>
      </c>
      <c r="H11" s="16">
        <f>Plan!I13</f>
        <v/>
      </c>
      <c r="I11" s="16">
        <f>Plan!O13</f>
        <v/>
      </c>
    </row>
    <row r="12">
      <c r="A12" s="8" t="n">
        <v>8</v>
      </c>
      <c r="B12" s="18" t="inlineStr">
        <is>
          <t>2.5</t>
        </is>
      </c>
      <c r="C12" s="35">
        <f>Plan!C17</f>
        <v/>
      </c>
      <c r="D12" s="8" t="n">
        <v>38</v>
      </c>
      <c r="E12" s="16">
        <f>Plan!J17</f>
        <v/>
      </c>
      <c r="F12" s="16">
        <f>Plan!K17</f>
        <v/>
      </c>
      <c r="G12" s="8">
        <f>F12-E12</f>
        <v/>
      </c>
      <c r="H12" s="16">
        <f>Plan!I17</f>
        <v/>
      </c>
      <c r="I12" s="16">
        <f>Plan!O17</f>
        <v/>
      </c>
    </row>
    <row r="13">
      <c r="A13" s="8" t="n">
        <v>9</v>
      </c>
      <c r="B13" s="18" t="inlineStr">
        <is>
          <t>1.5</t>
        </is>
      </c>
      <c r="C13" s="35">
        <f>Plan!C9</f>
        <v/>
      </c>
      <c r="D13" s="8" t="n">
        <v>33</v>
      </c>
      <c r="E13" s="16">
        <f>Plan!J9</f>
        <v/>
      </c>
      <c r="F13" s="16">
        <f>Plan!K9</f>
        <v/>
      </c>
      <c r="G13" s="8">
        <f>F13-E13</f>
        <v/>
      </c>
      <c r="H13" s="16">
        <f>Plan!I9</f>
        <v/>
      </c>
      <c r="I13" s="16">
        <f>Plan!O9</f>
        <v/>
      </c>
    </row>
    <row r="14">
      <c r="A14" s="8" t="n">
        <v>10</v>
      </c>
      <c r="B14" s="18" t="inlineStr">
        <is>
          <t>2.6</t>
        </is>
      </c>
      <c r="C14" s="35">
        <f>Plan!C18</f>
        <v/>
      </c>
      <c r="D14" s="8" t="n">
        <v>35</v>
      </c>
      <c r="E14" s="16">
        <f>Plan!J18</f>
        <v/>
      </c>
      <c r="F14" s="16">
        <f>Plan!K18</f>
        <v/>
      </c>
      <c r="G14" s="8">
        <f>F14-E14</f>
        <v/>
      </c>
      <c r="H14" s="16">
        <f>Plan!I18</f>
        <v/>
      </c>
      <c r="I14" s="16">
        <f>Plan!O18</f>
        <v/>
      </c>
    </row>
    <row r="15">
      <c r="A15" s="8" t="n">
        <v>11</v>
      </c>
      <c r="B15" s="18" t="inlineStr">
        <is>
          <t>3.1</t>
        </is>
      </c>
      <c r="C15" s="35">
        <f>Plan!C28</f>
        <v/>
      </c>
      <c r="D15" s="8" t="n">
        <v>34</v>
      </c>
      <c r="E15" s="16">
        <f>Plan!J28</f>
        <v/>
      </c>
      <c r="F15" s="16">
        <f>Plan!K28</f>
        <v/>
      </c>
      <c r="G15" s="8">
        <f>F15-E15</f>
        <v/>
      </c>
      <c r="H15" s="16">
        <f>Plan!I28</f>
        <v/>
      </c>
      <c r="I15" s="16">
        <f>Plan!O28</f>
        <v/>
      </c>
    </row>
    <row r="16">
      <c r="A16" s="8" t="n">
        <v>12</v>
      </c>
      <c r="B16" s="18" t="inlineStr">
        <is>
          <t>4.6</t>
        </is>
      </c>
      <c r="C16" s="35">
        <f>Plan!C42</f>
        <v/>
      </c>
      <c r="D16" s="8" t="n">
        <v>28</v>
      </c>
      <c r="E16" s="16">
        <f>Plan!J42</f>
        <v/>
      </c>
      <c r="F16" s="16">
        <f>Plan!K42</f>
        <v/>
      </c>
      <c r="G16" s="8">
        <f>F16-E16</f>
        <v/>
      </c>
      <c r="H16" s="16">
        <f>Plan!I42</f>
        <v/>
      </c>
      <c r="I16" s="16">
        <f>Plan!O42</f>
        <v/>
      </c>
    </row>
    <row r="17">
      <c r="A17" s="8" t="n">
        <v>13</v>
      </c>
      <c r="B17" s="18" t="inlineStr">
        <is>
          <t>1.7</t>
        </is>
      </c>
      <c r="C17" s="35">
        <f>Plan!C11</f>
        <v/>
      </c>
      <c r="D17" s="8" t="n">
        <v>30</v>
      </c>
      <c r="E17" s="16">
        <f>Plan!J11</f>
        <v/>
      </c>
      <c r="F17" s="16">
        <f>Plan!K11</f>
        <v/>
      </c>
      <c r="G17" s="8">
        <f>F17-E17</f>
        <v/>
      </c>
      <c r="H17" s="16">
        <f>Plan!I11</f>
        <v/>
      </c>
      <c r="I17" s="16">
        <f>Plan!O11</f>
        <v/>
      </c>
    </row>
    <row r="18">
      <c r="A18" s="8" t="n">
        <v>14</v>
      </c>
      <c r="B18" s="18" t="inlineStr">
        <is>
          <t>6.10</t>
        </is>
      </c>
      <c r="C18" s="35">
        <f>Plan!C67</f>
        <v/>
      </c>
      <c r="D18" s="8" t="n">
        <v>6</v>
      </c>
      <c r="E18" s="16">
        <f>Plan!J67</f>
        <v/>
      </c>
      <c r="F18" s="16">
        <f>Plan!K67</f>
        <v/>
      </c>
      <c r="G18" s="8">
        <f>F18-E18</f>
        <v/>
      </c>
      <c r="H18" s="16">
        <f>Plan!I67</f>
        <v/>
      </c>
      <c r="I18" s="16">
        <f>Plan!O67</f>
        <v/>
      </c>
    </row>
    <row r="19">
      <c r="A19" s="8" t="n">
        <v>15</v>
      </c>
      <c r="B19" s="18" t="inlineStr">
        <is>
          <t>3.4</t>
        </is>
      </c>
      <c r="C19" s="35">
        <f>Plan!C31</f>
        <v/>
      </c>
      <c r="D19" s="8" t="n">
        <v>29</v>
      </c>
      <c r="E19" s="16">
        <f>Plan!J31</f>
        <v/>
      </c>
      <c r="F19" s="16">
        <f>Plan!K31</f>
        <v/>
      </c>
      <c r="G19" s="8">
        <f>F19-E19</f>
        <v/>
      </c>
      <c r="H19" s="16">
        <f>Plan!I31</f>
        <v/>
      </c>
      <c r="I19" s="16">
        <f>Plan!O31</f>
        <v/>
      </c>
    </row>
    <row r="20">
      <c r="A20" s="8" t="n">
        <v>16</v>
      </c>
      <c r="B20" s="18" t="inlineStr">
        <is>
          <t>2.14</t>
        </is>
      </c>
      <c r="C20" s="35">
        <f>Plan!C26</f>
        <v/>
      </c>
      <c r="D20" s="8" t="n">
        <v>28</v>
      </c>
      <c r="E20" s="16">
        <f>Plan!J26</f>
        <v/>
      </c>
      <c r="F20" s="16">
        <f>Plan!K26</f>
        <v/>
      </c>
      <c r="G20" s="8">
        <f>F20-E20</f>
        <v/>
      </c>
      <c r="H20" s="16">
        <f>Plan!I26</f>
        <v/>
      </c>
      <c r="I20" s="16">
        <f>Plan!O26</f>
        <v/>
      </c>
    </row>
    <row r="21">
      <c r="A21" s="8" t="n">
        <v>17</v>
      </c>
      <c r="B21" s="18" t="inlineStr">
        <is>
          <t>2.7</t>
        </is>
      </c>
      <c r="C21" s="35">
        <f>Plan!C19</f>
        <v/>
      </c>
      <c r="D21" s="8" t="n">
        <v>32</v>
      </c>
      <c r="E21" s="16">
        <f>Plan!J19</f>
        <v/>
      </c>
      <c r="F21" s="16">
        <f>Plan!K19</f>
        <v/>
      </c>
      <c r="G21" s="8">
        <f>F21-E21</f>
        <v/>
      </c>
      <c r="H21" s="16">
        <f>Plan!I19</f>
        <v/>
      </c>
      <c r="I21" s="16">
        <f>Plan!O19</f>
        <v/>
      </c>
    </row>
    <row r="22">
      <c r="A22" s="8" t="n">
        <v>18</v>
      </c>
      <c r="B22" s="18" t="inlineStr">
        <is>
          <t>6.4</t>
        </is>
      </c>
      <c r="C22" s="35">
        <f>Plan!C61</f>
        <v/>
      </c>
      <c r="D22" s="8" t="n">
        <v>6</v>
      </c>
      <c r="E22" s="16">
        <f>Plan!J61</f>
        <v/>
      </c>
      <c r="F22" s="16">
        <f>Plan!K61</f>
        <v/>
      </c>
      <c r="G22" s="8">
        <f>F22-E22</f>
        <v/>
      </c>
      <c r="H22" s="16">
        <f>Plan!I61</f>
        <v/>
      </c>
      <c r="I22" s="16">
        <f>Plan!O61</f>
        <v/>
      </c>
    </row>
    <row r="23">
      <c r="A23" s="8" t="n">
        <v>19</v>
      </c>
      <c r="B23" s="18" t="inlineStr">
        <is>
          <t>4.1</t>
        </is>
      </c>
      <c r="C23" s="35">
        <f>Plan!C37</f>
        <v/>
      </c>
      <c r="D23" s="8" t="n">
        <v>30</v>
      </c>
      <c r="E23" s="16">
        <f>Plan!J37</f>
        <v/>
      </c>
      <c r="F23" s="16">
        <f>Plan!K37</f>
        <v/>
      </c>
      <c r="G23" s="8">
        <f>F23-E23</f>
        <v/>
      </c>
      <c r="H23" s="16">
        <f>Plan!I37</f>
        <v/>
      </c>
      <c r="I23" s="16">
        <f>Plan!O37</f>
        <v/>
      </c>
    </row>
    <row r="24">
      <c r="A24" s="8" t="n">
        <v>20</v>
      </c>
      <c r="B24" s="18" t="inlineStr">
        <is>
          <t>2.3</t>
        </is>
      </c>
      <c r="C24" s="35">
        <f>Plan!C15</f>
        <v/>
      </c>
      <c r="D24" s="8" t="n">
        <v>29</v>
      </c>
      <c r="E24" s="16">
        <f>Plan!J15</f>
        <v/>
      </c>
      <c r="F24" s="16">
        <f>Plan!K15</f>
        <v/>
      </c>
      <c r="G24" s="8">
        <f>F24-E24</f>
        <v/>
      </c>
      <c r="H24" s="16">
        <f>Plan!I15</f>
        <v/>
      </c>
      <c r="I24" s="16">
        <f>Plan!O15</f>
        <v/>
      </c>
    </row>
    <row r="25">
      <c r="A25" s="8" t="n">
        <v>21</v>
      </c>
      <c r="B25" s="18" t="inlineStr">
        <is>
          <t>2.15</t>
        </is>
      </c>
      <c r="C25" s="35">
        <f>Plan!C27</f>
        <v/>
      </c>
      <c r="D25" s="8" t="n">
        <v>27</v>
      </c>
      <c r="E25" s="16">
        <f>Plan!J27</f>
        <v/>
      </c>
      <c r="F25" s="16">
        <f>Plan!K27</f>
        <v/>
      </c>
      <c r="G25" s="8">
        <f>F25-E25</f>
        <v/>
      </c>
      <c r="H25" s="16">
        <f>Plan!I27</f>
        <v/>
      </c>
      <c r="I25" s="16">
        <f>Plan!O27</f>
        <v/>
      </c>
    </row>
    <row r="26">
      <c r="A26" s="8" t="n">
        <v>22</v>
      </c>
      <c r="B26" s="18" t="inlineStr">
        <is>
          <t>4.11</t>
        </is>
      </c>
      <c r="C26" s="35">
        <f>Plan!C47</f>
        <v/>
      </c>
      <c r="D26" s="8" t="n">
        <v>26</v>
      </c>
      <c r="E26" s="16">
        <f>Plan!J47</f>
        <v/>
      </c>
      <c r="F26" s="16">
        <f>Plan!K47</f>
        <v/>
      </c>
      <c r="G26" s="8">
        <f>F26-E26</f>
        <v/>
      </c>
      <c r="H26" s="16">
        <f>Plan!I47</f>
        <v/>
      </c>
      <c r="I26" s="16">
        <f>Plan!O47</f>
        <v/>
      </c>
    </row>
    <row r="27">
      <c r="A27" s="8" t="n">
        <v>23</v>
      </c>
      <c r="B27" s="18" t="inlineStr">
        <is>
          <t>6.16</t>
        </is>
      </c>
      <c r="C27" s="35">
        <f>Plan!C73</f>
        <v/>
      </c>
      <c r="D27" s="8" t="n">
        <v>24</v>
      </c>
      <c r="E27" s="16">
        <f>Plan!J73</f>
        <v/>
      </c>
      <c r="F27" s="16">
        <f>Plan!K73</f>
        <v/>
      </c>
      <c r="G27" s="8">
        <f>F27-E27</f>
        <v/>
      </c>
      <c r="H27" s="16">
        <f>Plan!I73</f>
        <v/>
      </c>
      <c r="I27" s="16">
        <f>Plan!O73</f>
        <v/>
      </c>
    </row>
    <row r="28">
      <c r="A28" s="8" t="n">
        <v>24</v>
      </c>
      <c r="B28" s="18" t="inlineStr">
        <is>
          <t>3.10</t>
        </is>
      </c>
      <c r="C28" s="35">
        <f>Plan!C36</f>
        <v/>
      </c>
      <c r="D28" s="8" t="n">
        <v>26</v>
      </c>
      <c r="E28" s="16">
        <f>Plan!J36</f>
        <v/>
      </c>
      <c r="F28" s="16">
        <f>Plan!K36</f>
        <v/>
      </c>
      <c r="G28" s="8">
        <f>F28-E28</f>
        <v/>
      </c>
      <c r="H28" s="16">
        <f>Plan!I36</f>
        <v/>
      </c>
      <c r="I28" s="16">
        <f>Plan!O36</f>
        <v/>
      </c>
    </row>
    <row r="29">
      <c r="A29" s="8" t="n">
        <v>25</v>
      </c>
      <c r="B29" s="18" t="inlineStr">
        <is>
          <t>4.10</t>
        </is>
      </c>
      <c r="C29" s="35">
        <f>Plan!C46</f>
        <v/>
      </c>
      <c r="D29" s="8" t="n">
        <v>25</v>
      </c>
      <c r="E29" s="16">
        <f>Plan!J46</f>
        <v/>
      </c>
      <c r="F29" s="16">
        <f>Plan!K46</f>
        <v/>
      </c>
      <c r="G29" s="8">
        <f>F29-E29</f>
        <v/>
      </c>
      <c r="H29" s="16">
        <f>Plan!I46</f>
        <v/>
      </c>
      <c r="I29" s="16">
        <f>Plan!O46</f>
        <v/>
      </c>
    </row>
    <row r="30">
      <c r="A30" s="8" t="n">
        <v>26</v>
      </c>
      <c r="B30" s="18" t="inlineStr">
        <is>
          <t>1.6</t>
        </is>
      </c>
      <c r="C30" s="35">
        <f>Plan!C10</f>
        <v/>
      </c>
      <c r="D30" s="8" t="n">
        <v>24</v>
      </c>
      <c r="E30" s="16">
        <f>Plan!J10</f>
        <v/>
      </c>
      <c r="F30" s="16">
        <f>Plan!K10</f>
        <v/>
      </c>
      <c r="G30" s="8">
        <f>F30-E30</f>
        <v/>
      </c>
      <c r="H30" s="16">
        <f>Plan!I10</f>
        <v/>
      </c>
      <c r="I30" s="16">
        <f>Plan!O10</f>
        <v/>
      </c>
    </row>
    <row r="31">
      <c r="A31" s="8" t="n">
        <v>27</v>
      </c>
      <c r="B31" s="18" t="inlineStr">
        <is>
          <t>6.19</t>
        </is>
      </c>
      <c r="C31" s="35">
        <f>Plan!C74</f>
        <v/>
      </c>
      <c r="D31" s="8" t="n">
        <v>24</v>
      </c>
      <c r="E31" s="16">
        <f>Plan!J74</f>
        <v/>
      </c>
      <c r="F31" s="16">
        <f>Plan!K74</f>
        <v/>
      </c>
      <c r="G31" s="8">
        <f>F31-E31</f>
        <v/>
      </c>
      <c r="H31" s="16">
        <f>Plan!I74</f>
        <v/>
      </c>
      <c r="I31" s="16">
        <f>Plan!O74</f>
        <v/>
      </c>
    </row>
    <row r="32">
      <c r="A32" s="8" t="n">
        <v>28</v>
      </c>
      <c r="B32" s="18" t="inlineStr">
        <is>
          <t>6.17</t>
        </is>
      </c>
      <c r="C32" s="35">
        <f>Plan!C75</f>
        <v/>
      </c>
      <c r="D32" s="8" t="n">
        <v>23</v>
      </c>
      <c r="E32" s="16">
        <f>Plan!J75</f>
        <v/>
      </c>
      <c r="F32" s="16">
        <f>Plan!K75</f>
        <v/>
      </c>
      <c r="G32" s="8">
        <f>F32-E32</f>
        <v/>
      </c>
      <c r="H32" s="16">
        <f>Plan!I75</f>
        <v/>
      </c>
      <c r="I32" s="16">
        <f>Plan!O75</f>
        <v/>
      </c>
    </row>
    <row r="33">
      <c r="A33" s="8" t="n">
        <v>29</v>
      </c>
      <c r="B33" s="18" t="inlineStr">
        <is>
          <t>2.8</t>
        </is>
      </c>
      <c r="C33" s="35">
        <f>Plan!C20</f>
        <v/>
      </c>
      <c r="D33" s="8" t="n">
        <v>9</v>
      </c>
      <c r="E33" s="16">
        <f>Plan!J20</f>
        <v/>
      </c>
      <c r="F33" s="16">
        <f>Plan!K20</f>
        <v/>
      </c>
      <c r="G33" s="8">
        <f>F33-E33</f>
        <v/>
      </c>
      <c r="H33" s="16">
        <f>Plan!I20</f>
        <v/>
      </c>
      <c r="I33" s="16">
        <f>Plan!O20</f>
        <v/>
      </c>
    </row>
    <row r="34">
      <c r="A34" s="8" t="n">
        <v>30</v>
      </c>
      <c r="B34" s="18" t="inlineStr">
        <is>
          <t>1.8</t>
        </is>
      </c>
      <c r="C34" s="35">
        <f>Plan!C12</f>
        <v/>
      </c>
      <c r="D34" s="8" t="n">
        <v>21</v>
      </c>
      <c r="E34" s="16">
        <f>Plan!J12</f>
        <v/>
      </c>
      <c r="F34" s="16">
        <f>Plan!K12</f>
        <v/>
      </c>
      <c r="G34" s="8">
        <f>F34-E34</f>
        <v/>
      </c>
      <c r="H34" s="16">
        <f>Plan!I12</f>
        <v/>
      </c>
      <c r="I34" s="16">
        <f>Plan!O12</f>
        <v/>
      </c>
    </row>
    <row r="35">
      <c r="A35" s="8" t="n">
        <v>31</v>
      </c>
      <c r="B35" s="18" t="inlineStr">
        <is>
          <t>6.18</t>
        </is>
      </c>
      <c r="C35" s="35">
        <f>Plan!C76</f>
        <v/>
      </c>
      <c r="D35" s="8" t="n">
        <v>20</v>
      </c>
      <c r="E35" s="16">
        <f>Plan!J76</f>
        <v/>
      </c>
      <c r="F35" s="16">
        <f>Plan!K76</f>
        <v/>
      </c>
      <c r="G35" s="8">
        <f>F35-E35</f>
        <v/>
      </c>
      <c r="H35" s="16">
        <f>Plan!I76</f>
        <v/>
      </c>
      <c r="I35" s="16">
        <f>Plan!O76</f>
        <v/>
      </c>
    </row>
    <row r="36">
      <c r="A36" s="8" t="n">
        <v>32</v>
      </c>
      <c r="B36" s="18" t="inlineStr">
        <is>
          <t>6.13</t>
        </is>
      </c>
      <c r="C36" s="35">
        <f>Plan!C70</f>
        <v/>
      </c>
      <c r="D36" s="8" t="n">
        <v>6</v>
      </c>
      <c r="E36" s="16">
        <f>Plan!J70</f>
        <v/>
      </c>
      <c r="F36" s="16">
        <f>Plan!K70</f>
        <v/>
      </c>
      <c r="G36" s="8">
        <f>F36-E36</f>
        <v/>
      </c>
      <c r="H36" s="16">
        <f>Plan!I70</f>
        <v/>
      </c>
      <c r="I36" s="16">
        <f>Plan!O70</f>
        <v/>
      </c>
    </row>
    <row r="37">
      <c r="A37" s="8" t="n">
        <v>33</v>
      </c>
      <c r="B37" s="18" t="inlineStr">
        <is>
          <t>4.12</t>
        </is>
      </c>
      <c r="C37" s="35">
        <f>Plan!C77</f>
        <v/>
      </c>
      <c r="D37" s="8" t="n">
        <v>19</v>
      </c>
      <c r="E37" s="16">
        <f>Plan!J77</f>
        <v/>
      </c>
      <c r="F37" s="16">
        <f>Plan!K77</f>
        <v/>
      </c>
      <c r="G37" s="8">
        <f>F37-E37</f>
        <v/>
      </c>
      <c r="H37" s="16">
        <f>Plan!I77</f>
        <v/>
      </c>
      <c r="I37" s="16">
        <f>Plan!O77</f>
        <v/>
      </c>
    </row>
    <row r="38">
      <c r="A38" s="8" t="n">
        <v>34</v>
      </c>
      <c r="B38" s="18" t="inlineStr">
        <is>
          <t>4.2</t>
        </is>
      </c>
      <c r="C38" s="35">
        <f>Plan!C38</f>
        <v/>
      </c>
      <c r="D38" s="8" t="n">
        <v>16</v>
      </c>
      <c r="E38" s="16">
        <f>Plan!J38</f>
        <v/>
      </c>
      <c r="F38" s="16">
        <f>Plan!K38</f>
        <v/>
      </c>
      <c r="G38" s="8">
        <f>F38-E38</f>
        <v/>
      </c>
      <c r="H38" s="16">
        <f>Plan!I38</f>
        <v/>
      </c>
      <c r="I38" s="16">
        <f>Plan!O38</f>
        <v/>
      </c>
    </row>
    <row r="39">
      <c r="A39" s="8" t="n">
        <v>35</v>
      </c>
      <c r="B39" s="18" t="inlineStr">
        <is>
          <t>2.9</t>
        </is>
      </c>
      <c r="C39" s="35">
        <f>Plan!C21</f>
        <v/>
      </c>
      <c r="D39" s="8" t="n">
        <v>18</v>
      </c>
      <c r="E39" s="16">
        <f>Plan!J21</f>
        <v/>
      </c>
      <c r="F39" s="16">
        <f>Plan!K21</f>
        <v/>
      </c>
      <c r="G39" s="8">
        <f>F39-E39</f>
        <v/>
      </c>
      <c r="H39" s="16">
        <f>Plan!I21</f>
        <v/>
      </c>
      <c r="I39" s="16">
        <f>Plan!O21</f>
        <v/>
      </c>
    </row>
    <row r="40">
      <c r="A40" s="8" t="n">
        <v>36</v>
      </c>
      <c r="B40" s="18" t="inlineStr">
        <is>
          <t>4.13</t>
        </is>
      </c>
      <c r="C40" s="35">
        <f>Plan!C78</f>
        <v/>
      </c>
      <c r="D40" s="8" t="n">
        <v>14</v>
      </c>
      <c r="E40" s="16">
        <f>Plan!J78</f>
        <v/>
      </c>
      <c r="F40" s="16">
        <f>Plan!K78</f>
        <v/>
      </c>
      <c r="G40" s="8">
        <f>F40-E40</f>
        <v/>
      </c>
      <c r="H40" s="16">
        <f>Plan!I78</f>
        <v/>
      </c>
      <c r="I40" s="16">
        <f>Plan!O78</f>
        <v/>
      </c>
    </row>
    <row r="41">
      <c r="A41" s="8" t="n">
        <v>37</v>
      </c>
      <c r="B41" s="18" t="inlineStr">
        <is>
          <t>3.3</t>
        </is>
      </c>
      <c r="C41" s="35">
        <f>Plan!C30</f>
        <v/>
      </c>
      <c r="D41" s="8" t="n">
        <v>15</v>
      </c>
      <c r="E41" s="16">
        <f>Plan!J30</f>
        <v/>
      </c>
      <c r="F41" s="16">
        <f>Plan!K30</f>
        <v/>
      </c>
      <c r="G41" s="8">
        <f>F41-E41</f>
        <v/>
      </c>
      <c r="H41" s="16">
        <f>Plan!I30</f>
        <v/>
      </c>
      <c r="I41" s="16">
        <f>Plan!O30</f>
        <v/>
      </c>
    </row>
    <row r="42">
      <c r="A42" s="8" t="n">
        <v>38</v>
      </c>
      <c r="B42" s="18" t="inlineStr">
        <is>
          <t>3.5</t>
        </is>
      </c>
      <c r="C42" s="35">
        <f>Plan!C32</f>
        <v/>
      </c>
      <c r="D42" s="8" t="n">
        <v>16</v>
      </c>
      <c r="E42" s="16">
        <f>Plan!J32</f>
        <v/>
      </c>
      <c r="F42" s="16">
        <f>Plan!K32</f>
        <v/>
      </c>
      <c r="G42" s="8">
        <f>F42-E42</f>
        <v/>
      </c>
      <c r="H42" s="16">
        <f>Plan!I32</f>
        <v/>
      </c>
      <c r="I42" s="16">
        <f>Plan!O32</f>
        <v/>
      </c>
    </row>
    <row r="43">
      <c r="A43" s="8" t="n">
        <v>39</v>
      </c>
      <c r="B43" s="18" t="inlineStr">
        <is>
          <t>5.2</t>
        </is>
      </c>
      <c r="C43" s="35">
        <f>Plan!C49</f>
        <v/>
      </c>
      <c r="D43" s="8" t="n">
        <v>13</v>
      </c>
      <c r="E43" s="16">
        <f>Plan!J49</f>
        <v/>
      </c>
      <c r="F43" s="16">
        <f>Plan!K49</f>
        <v/>
      </c>
      <c r="G43" s="8">
        <f>F43-E43</f>
        <v/>
      </c>
      <c r="H43" s="16">
        <f>Plan!I49</f>
        <v/>
      </c>
      <c r="I43" s="16">
        <f>Plan!O49</f>
        <v/>
      </c>
    </row>
    <row r="44">
      <c r="A44" s="8" t="n">
        <v>40</v>
      </c>
      <c r="B44" s="18" t="inlineStr">
        <is>
          <t>3.6</t>
        </is>
      </c>
      <c r="C44" s="35">
        <f>Plan!C33</f>
        <v/>
      </c>
      <c r="D44" s="8" t="n">
        <v>13</v>
      </c>
      <c r="E44" s="16">
        <f>Plan!J33</f>
        <v/>
      </c>
      <c r="F44" s="16">
        <f>Plan!K33</f>
        <v/>
      </c>
      <c r="G44" s="8">
        <f>F44-E44</f>
        <v/>
      </c>
      <c r="H44" s="16">
        <f>Plan!I33</f>
        <v/>
      </c>
      <c r="I44" s="16">
        <f>Plan!O33</f>
        <v/>
      </c>
    </row>
    <row r="45">
      <c r="A45" s="8" t="n">
        <v>41</v>
      </c>
      <c r="B45" s="18" t="inlineStr">
        <is>
          <t>2.10</t>
        </is>
      </c>
      <c r="C45" s="35">
        <f>Plan!C22</f>
        <v/>
      </c>
      <c r="D45" s="8" t="n">
        <v>12</v>
      </c>
      <c r="E45" s="16">
        <f>Plan!J22</f>
        <v/>
      </c>
      <c r="F45" s="16">
        <f>Plan!K22</f>
        <v/>
      </c>
      <c r="G45" s="8">
        <f>F45-E45</f>
        <v/>
      </c>
      <c r="H45" s="16">
        <f>Plan!I22</f>
        <v/>
      </c>
      <c r="I45" s="16">
        <f>Plan!O22</f>
        <v/>
      </c>
    </row>
    <row r="46">
      <c r="A46" s="8" t="n">
        <v>42</v>
      </c>
      <c r="B46" s="18" t="inlineStr">
        <is>
          <t>4.5</t>
        </is>
      </c>
      <c r="C46" s="35">
        <f>Plan!C41</f>
        <v/>
      </c>
      <c r="D46" s="8" t="n">
        <v>14</v>
      </c>
      <c r="E46" s="16">
        <f>Plan!J41</f>
        <v/>
      </c>
      <c r="F46" s="16">
        <f>Plan!K41</f>
        <v/>
      </c>
      <c r="G46" s="8">
        <f>F46-E46</f>
        <v/>
      </c>
      <c r="H46" s="16">
        <f>Plan!I41</f>
        <v/>
      </c>
      <c r="I46" s="16">
        <f>Plan!O41</f>
        <v/>
      </c>
    </row>
    <row r="47">
      <c r="A47" s="8" t="n">
        <v>43</v>
      </c>
      <c r="B47" s="18" t="inlineStr">
        <is>
          <t>4.3</t>
        </is>
      </c>
      <c r="C47" s="35">
        <f>Plan!C39</f>
        <v/>
      </c>
      <c r="D47" s="8" t="n">
        <v>13</v>
      </c>
      <c r="E47" s="16">
        <f>Plan!J39</f>
        <v/>
      </c>
      <c r="F47" s="16">
        <f>Plan!K39</f>
        <v/>
      </c>
      <c r="G47" s="8">
        <f>F47-E47</f>
        <v/>
      </c>
      <c r="H47" s="16">
        <f>Plan!I39</f>
        <v/>
      </c>
      <c r="I47" s="16">
        <f>Plan!O39</f>
        <v/>
      </c>
    </row>
    <row r="48">
      <c r="A48" s="8" t="n">
        <v>44</v>
      </c>
      <c r="B48" s="18" t="inlineStr">
        <is>
          <t>3.7</t>
        </is>
      </c>
      <c r="C48" s="35">
        <f>Plan!C34</f>
        <v/>
      </c>
      <c r="D48" s="8" t="n">
        <v>12</v>
      </c>
      <c r="E48" s="16">
        <f>Plan!J34</f>
        <v/>
      </c>
      <c r="F48" s="16">
        <f>Plan!K34</f>
        <v/>
      </c>
      <c r="G48" s="8">
        <f>F48-E48</f>
        <v/>
      </c>
      <c r="H48" s="16">
        <f>Plan!I34</f>
        <v/>
      </c>
      <c r="I48" s="16">
        <f>Plan!O34</f>
        <v/>
      </c>
    </row>
    <row r="49">
      <c r="A49" s="8" t="n">
        <v>45</v>
      </c>
      <c r="B49" s="18" t="inlineStr">
        <is>
          <t>2.11</t>
        </is>
      </c>
      <c r="C49" s="35">
        <f>Plan!C23</f>
        <v/>
      </c>
      <c r="D49" s="8" t="n">
        <v>9</v>
      </c>
      <c r="E49" s="16">
        <f>Plan!J23</f>
        <v/>
      </c>
      <c r="F49" s="16">
        <f>Plan!K23</f>
        <v/>
      </c>
      <c r="G49" s="8">
        <f>F49-E49</f>
        <v/>
      </c>
      <c r="H49" s="16">
        <f>Plan!I23</f>
        <v/>
      </c>
      <c r="I49" s="16">
        <f>Plan!O23</f>
        <v/>
      </c>
    </row>
    <row r="50">
      <c r="A50" s="8" t="n">
        <v>46</v>
      </c>
      <c r="B50" s="18" t="inlineStr">
        <is>
          <t>6.11</t>
        </is>
      </c>
      <c r="C50" s="35">
        <f>Plan!C68</f>
        <v/>
      </c>
      <c r="D50" s="8" t="n">
        <v>7</v>
      </c>
      <c r="E50" s="16">
        <f>Plan!J68</f>
        <v/>
      </c>
      <c r="F50" s="16">
        <f>Plan!K68</f>
        <v/>
      </c>
      <c r="G50" s="8">
        <f>F50-E50</f>
        <v/>
      </c>
      <c r="H50" s="16">
        <f>Plan!I68</f>
        <v/>
      </c>
      <c r="I50" s="16">
        <f>Plan!O68</f>
        <v/>
      </c>
    </row>
    <row r="51">
      <c r="A51" s="8" t="n">
        <v>47</v>
      </c>
      <c r="B51" s="18" t="inlineStr">
        <is>
          <t>6.9</t>
        </is>
      </c>
      <c r="C51" s="35">
        <f>Plan!C66</f>
        <v/>
      </c>
      <c r="D51" s="8" t="n">
        <v>6</v>
      </c>
      <c r="E51" s="16">
        <f>Plan!J66</f>
        <v/>
      </c>
      <c r="F51" s="16">
        <f>Plan!K66</f>
        <v/>
      </c>
      <c r="G51" s="8">
        <f>F51-E51</f>
        <v/>
      </c>
      <c r="H51" s="16">
        <f>Plan!I66</f>
        <v/>
      </c>
      <c r="I51" s="16">
        <f>Plan!O66</f>
        <v/>
      </c>
    </row>
    <row r="52">
      <c r="A52" s="8" t="n">
        <v>48</v>
      </c>
      <c r="B52" s="18" t="inlineStr">
        <is>
          <t>6.20</t>
        </is>
      </c>
      <c r="C52" s="35">
        <f>Plan!C79</f>
        <v/>
      </c>
      <c r="D52" s="8" t="n">
        <v>9</v>
      </c>
      <c r="E52" s="16">
        <f>Plan!J79</f>
        <v/>
      </c>
      <c r="F52" s="16">
        <f>Plan!K79</f>
        <v/>
      </c>
      <c r="G52" s="8">
        <f>F52-E52</f>
        <v/>
      </c>
      <c r="H52" s="16">
        <f>Plan!I79</f>
        <v/>
      </c>
      <c r="I52" s="16">
        <f>Plan!O79</f>
        <v/>
      </c>
    </row>
    <row r="53">
      <c r="A53" s="8" t="n">
        <v>49</v>
      </c>
      <c r="B53" s="18" t="inlineStr">
        <is>
          <t>2.12</t>
        </is>
      </c>
      <c r="C53" s="35">
        <f>Plan!C24</f>
        <v/>
      </c>
      <c r="D53" s="8" t="n">
        <v>12</v>
      </c>
      <c r="E53" s="16">
        <f>Plan!J24</f>
        <v/>
      </c>
      <c r="F53" s="16">
        <f>Plan!K24</f>
        <v/>
      </c>
      <c r="G53" s="8">
        <f>F53-E53</f>
        <v/>
      </c>
      <c r="H53" s="16">
        <f>Plan!I24</f>
        <v/>
      </c>
      <c r="I53" s="16">
        <f>Plan!O24</f>
        <v/>
      </c>
    </row>
    <row r="54">
      <c r="A54" s="8" t="n">
        <v>50</v>
      </c>
      <c r="B54" s="18" t="inlineStr">
        <is>
          <t>3.9</t>
        </is>
      </c>
      <c r="C54" s="35">
        <f>Plan!C35</f>
        <v/>
      </c>
      <c r="D54" s="8" t="n">
        <v>12</v>
      </c>
      <c r="E54" s="16">
        <f>Plan!J35</f>
        <v/>
      </c>
      <c r="F54" s="16">
        <f>Plan!K35</f>
        <v/>
      </c>
      <c r="G54" s="8">
        <f>F54-E54</f>
        <v/>
      </c>
      <c r="H54" s="16">
        <f>Plan!I35</f>
        <v/>
      </c>
      <c r="I54" s="16">
        <f>Plan!O35</f>
        <v/>
      </c>
    </row>
    <row r="55">
      <c r="A55" s="8" t="n">
        <v>51</v>
      </c>
      <c r="B55" s="18" t="inlineStr">
        <is>
          <t>5.5</t>
        </is>
      </c>
      <c r="C55" s="35">
        <f>Plan!C52</f>
        <v/>
      </c>
      <c r="D55" s="8" t="n">
        <v>9</v>
      </c>
      <c r="E55" s="16">
        <f>Plan!J52</f>
        <v/>
      </c>
      <c r="F55" s="16">
        <f>Plan!K52</f>
        <v/>
      </c>
      <c r="G55" s="8">
        <f>F55-E55</f>
        <v/>
      </c>
      <c r="H55" s="16">
        <f>Plan!I52</f>
        <v/>
      </c>
      <c r="I55" s="16">
        <f>Plan!O52</f>
        <v/>
      </c>
    </row>
    <row r="56">
      <c r="A56" s="8" t="n">
        <v>52</v>
      </c>
      <c r="B56" s="18" t="inlineStr">
        <is>
          <t>5.6</t>
        </is>
      </c>
      <c r="C56" s="35">
        <f>Plan!C53</f>
        <v/>
      </c>
      <c r="D56" s="8" t="n">
        <v>9</v>
      </c>
      <c r="E56" s="16">
        <f>Plan!J53</f>
        <v/>
      </c>
      <c r="F56" s="16">
        <f>Plan!K53</f>
        <v/>
      </c>
      <c r="G56" s="8">
        <f>F56-E56</f>
        <v/>
      </c>
      <c r="H56" s="16">
        <f>Plan!I53</f>
        <v/>
      </c>
      <c r="I56" s="16">
        <f>Plan!O53</f>
        <v/>
      </c>
    </row>
    <row r="57">
      <c r="A57" s="8" t="n">
        <v>53</v>
      </c>
      <c r="B57" s="18" t="inlineStr">
        <is>
          <t>4.14</t>
        </is>
      </c>
      <c r="C57" s="35">
        <f>Plan!C80</f>
        <v/>
      </c>
      <c r="D57" s="8" t="n">
        <v>8</v>
      </c>
      <c r="E57" s="16">
        <f>Plan!J80</f>
        <v/>
      </c>
      <c r="F57" s="16">
        <f>Plan!K80</f>
        <v/>
      </c>
      <c r="G57" s="8">
        <f>F57-E57</f>
        <v/>
      </c>
      <c r="H57" s="16">
        <f>Plan!I80</f>
        <v/>
      </c>
      <c r="I57" s="16">
        <f>Plan!O80</f>
        <v/>
      </c>
    </row>
    <row r="58">
      <c r="A58" s="8" t="n">
        <v>54</v>
      </c>
      <c r="B58" s="18" t="inlineStr">
        <is>
          <t>4.7</t>
        </is>
      </c>
      <c r="C58" s="35">
        <f>Plan!C43</f>
        <v/>
      </c>
      <c r="D58" s="8" t="n">
        <v>5</v>
      </c>
      <c r="E58" s="16">
        <f>Plan!J43</f>
        <v/>
      </c>
      <c r="F58" s="16">
        <f>Plan!K43</f>
        <v/>
      </c>
      <c r="G58" s="8">
        <f>F58-E58</f>
        <v/>
      </c>
      <c r="H58" s="16">
        <f>Plan!I43</f>
        <v/>
      </c>
      <c r="I58" s="16">
        <f>Plan!O43</f>
        <v/>
      </c>
    </row>
    <row r="59">
      <c r="A59" s="8" t="n">
        <v>55</v>
      </c>
      <c r="B59" s="18" t="inlineStr">
        <is>
          <t>4.4</t>
        </is>
      </c>
      <c r="C59" s="35">
        <f>Plan!C40</f>
        <v/>
      </c>
      <c r="D59" s="8" t="n">
        <v>7</v>
      </c>
      <c r="E59" s="16">
        <f>Plan!J40</f>
        <v/>
      </c>
      <c r="F59" s="16">
        <f>Plan!K40</f>
        <v/>
      </c>
      <c r="G59" s="8">
        <f>F59-E59</f>
        <v/>
      </c>
      <c r="H59" s="16">
        <f>Plan!I40</f>
        <v/>
      </c>
      <c r="I59" s="16">
        <f>Plan!O40</f>
        <v/>
      </c>
    </row>
    <row r="60">
      <c r="A60" s="8" t="n">
        <v>56</v>
      </c>
      <c r="B60" s="18" t="inlineStr">
        <is>
          <t>4.15</t>
        </is>
      </c>
      <c r="C60" s="35">
        <f>Plan!C81</f>
        <v/>
      </c>
      <c r="D60" s="8" t="n">
        <v>4</v>
      </c>
      <c r="E60" s="16">
        <f>Plan!J81</f>
        <v/>
      </c>
      <c r="F60" s="16">
        <f>Plan!K81</f>
        <v/>
      </c>
      <c r="G60" s="8">
        <f>F60-E60</f>
        <v/>
      </c>
      <c r="H60" s="16">
        <f>Plan!I81</f>
        <v/>
      </c>
      <c r="I60" s="16">
        <f>Plan!O81</f>
        <v/>
      </c>
    </row>
    <row r="61">
      <c r="A61" s="8" t="n">
        <v>57</v>
      </c>
      <c r="B61" s="18" t="inlineStr">
        <is>
          <t>6.8</t>
        </is>
      </c>
      <c r="C61" s="35">
        <f>Plan!C65</f>
        <v/>
      </c>
      <c r="D61" s="8" t="n">
        <v>6</v>
      </c>
      <c r="E61" s="16">
        <f>Plan!J65</f>
        <v/>
      </c>
      <c r="F61" s="16">
        <f>Plan!K65</f>
        <v/>
      </c>
      <c r="G61" s="8">
        <f>F61-E61</f>
        <v/>
      </c>
      <c r="H61" s="16">
        <f>Plan!I65</f>
        <v/>
      </c>
      <c r="I61" s="16">
        <f>Plan!O65</f>
        <v/>
      </c>
    </row>
    <row r="62">
      <c r="A62" s="8" t="n">
        <v>58</v>
      </c>
      <c r="B62" s="18" t="inlineStr">
        <is>
          <t>3.2</t>
        </is>
      </c>
      <c r="C62" s="35">
        <f>Plan!C29</f>
        <v/>
      </c>
      <c r="D62" s="8" t="n">
        <v>3</v>
      </c>
      <c r="E62" s="16">
        <f>Plan!J29</f>
        <v/>
      </c>
      <c r="F62" s="16">
        <f>Plan!K29</f>
        <v/>
      </c>
      <c r="G62" s="8">
        <f>F62-E62</f>
        <v/>
      </c>
      <c r="H62" s="16">
        <f>Plan!I29</f>
        <v/>
      </c>
      <c r="I62" s="16">
        <f>Plan!O29</f>
        <v/>
      </c>
    </row>
    <row r="63">
      <c r="A63" s="8" t="n">
        <v>59</v>
      </c>
      <c r="B63" s="18" t="inlineStr">
        <is>
          <t>4.9</t>
        </is>
      </c>
      <c r="C63" s="35">
        <f>Plan!C45</f>
        <v/>
      </c>
      <c r="D63" s="8" t="n">
        <v>2</v>
      </c>
      <c r="E63" s="16">
        <f>Plan!J45</f>
        <v/>
      </c>
      <c r="F63" s="16">
        <f>Plan!K45</f>
        <v/>
      </c>
      <c r="G63" s="8">
        <f>F63-E63</f>
        <v/>
      </c>
      <c r="H63" s="16">
        <f>Plan!I45</f>
        <v/>
      </c>
      <c r="I63" s="16">
        <f>Plan!O45</f>
        <v/>
      </c>
    </row>
    <row r="64">
      <c r="A64" s="8" t="n">
        <v>60</v>
      </c>
      <c r="B64" s="18" t="inlineStr">
        <is>
          <t>5.1</t>
        </is>
      </c>
      <c r="C64" s="35">
        <f>Plan!C48</f>
        <v/>
      </c>
      <c r="D64" s="8" t="n">
        <v>5</v>
      </c>
      <c r="E64" s="16">
        <f>Plan!J48</f>
        <v/>
      </c>
      <c r="F64" s="16">
        <f>Plan!K48</f>
        <v/>
      </c>
      <c r="G64" s="8">
        <f>F64-E64</f>
        <v/>
      </c>
      <c r="H64" s="16">
        <f>Plan!I48</f>
        <v/>
      </c>
      <c r="I64" s="16">
        <f>Plan!O48</f>
        <v/>
      </c>
    </row>
    <row r="65">
      <c r="A65" s="8" t="n">
        <v>61</v>
      </c>
      <c r="B65" s="18" t="inlineStr">
        <is>
          <t>5.13</t>
        </is>
      </c>
      <c r="C65" s="35">
        <f>Plan!C86</f>
        <v/>
      </c>
      <c r="D65" s="8" t="n">
        <v>1</v>
      </c>
      <c r="E65" s="16">
        <f>Plan!J86</f>
        <v/>
      </c>
      <c r="F65" s="16">
        <f>Plan!K86</f>
        <v/>
      </c>
      <c r="G65" s="8">
        <f>F65-E65</f>
        <v/>
      </c>
      <c r="H65" s="16">
        <f>Plan!I86</f>
        <v/>
      </c>
      <c r="I65" s="16">
        <f>Plan!O86</f>
        <v/>
      </c>
    </row>
    <row r="66">
      <c r="A66" s="8" t="n">
        <v>62</v>
      </c>
      <c r="B66" s="18" t="inlineStr">
        <is>
          <t>5.7</t>
        </is>
      </c>
      <c r="C66" s="35">
        <f>Plan!C54</f>
        <v/>
      </c>
      <c r="D66" s="8" t="n">
        <v>3</v>
      </c>
      <c r="E66" s="16">
        <f>Plan!J54</f>
        <v/>
      </c>
      <c r="F66" s="16">
        <f>Plan!K54</f>
        <v/>
      </c>
      <c r="G66" s="8">
        <f>F66-E66</f>
        <v/>
      </c>
      <c r="H66" s="16">
        <f>Plan!I54</f>
        <v/>
      </c>
      <c r="I66" s="16">
        <f>Plan!O54</f>
        <v/>
      </c>
    </row>
    <row r="67">
      <c r="A67" s="8" t="n">
        <v>63</v>
      </c>
      <c r="B67" s="18" t="inlineStr">
        <is>
          <t>5.10</t>
        </is>
      </c>
      <c r="C67" s="35">
        <f>Plan!C57</f>
        <v/>
      </c>
      <c r="D67" s="8" t="n">
        <v>2</v>
      </c>
      <c r="E67" s="16">
        <f>Plan!J57</f>
        <v/>
      </c>
      <c r="F67" s="16">
        <f>Plan!K57</f>
        <v/>
      </c>
      <c r="G67" s="8">
        <f>F67-E67</f>
        <v/>
      </c>
      <c r="H67" s="16">
        <f>Plan!I57</f>
        <v/>
      </c>
      <c r="I67" s="16">
        <f>Plan!O57</f>
        <v/>
      </c>
    </row>
    <row r="68">
      <c r="A68" s="8" t="n">
        <v>64</v>
      </c>
      <c r="B68" s="18" t="inlineStr">
        <is>
          <t>4.8</t>
        </is>
      </c>
      <c r="C68" s="35">
        <f>Plan!C44</f>
        <v/>
      </c>
      <c r="D68" s="8" t="n">
        <v>4</v>
      </c>
      <c r="E68" s="16">
        <f>Plan!J44</f>
        <v/>
      </c>
      <c r="F68" s="16">
        <f>Plan!K44</f>
        <v/>
      </c>
      <c r="G68" s="8">
        <f>F68-E68</f>
        <v/>
      </c>
      <c r="H68" s="16">
        <f>Plan!I44</f>
        <v/>
      </c>
      <c r="I68" s="16">
        <f>Plan!O44</f>
        <v/>
      </c>
    </row>
    <row r="69">
      <c r="A69" s="8" t="n">
        <v>65</v>
      </c>
      <c r="B69" s="18" t="inlineStr">
        <is>
          <t>5.8</t>
        </is>
      </c>
      <c r="C69" s="35">
        <f>Plan!C55</f>
        <v/>
      </c>
      <c r="D69" s="8" t="n">
        <v>1</v>
      </c>
      <c r="E69" s="16">
        <f>Plan!J55</f>
        <v/>
      </c>
      <c r="F69" s="16">
        <f>Plan!K55</f>
        <v/>
      </c>
      <c r="G69" s="8">
        <f>F69-E69</f>
        <v/>
      </c>
      <c r="H69" s="16">
        <f>Plan!I55</f>
        <v/>
      </c>
      <c r="I69" s="16">
        <f>Plan!O55</f>
        <v/>
      </c>
    </row>
    <row r="70">
      <c r="A70" s="8" t="n">
        <v>66</v>
      </c>
      <c r="B70" s="18" t="inlineStr">
        <is>
          <t>2.13</t>
        </is>
      </c>
      <c r="C70" s="35">
        <f>Plan!C25</f>
        <v/>
      </c>
      <c r="D70" s="8" t="n">
        <v>1</v>
      </c>
      <c r="E70" s="16">
        <f>Plan!J25</f>
        <v/>
      </c>
      <c r="F70" s="16">
        <f>Plan!K25</f>
        <v/>
      </c>
      <c r="G70" s="8">
        <f>F70-E70</f>
        <v/>
      </c>
      <c r="H70" s="16">
        <f>Plan!I25</f>
        <v/>
      </c>
      <c r="I70" s="16">
        <f>Plan!O25</f>
        <v/>
      </c>
    </row>
    <row r="71">
      <c r="A71" s="8" t="n">
        <v>67</v>
      </c>
      <c r="B71" s="18" t="inlineStr">
        <is>
          <t>6.22</t>
        </is>
      </c>
      <c r="C71" s="35">
        <f>Plan!C83</f>
        <v/>
      </c>
      <c r="D71" s="8" t="n">
        <v>3</v>
      </c>
      <c r="E71" s="16">
        <f>Plan!J83</f>
        <v/>
      </c>
      <c r="F71" s="16">
        <f>Plan!K83</f>
        <v/>
      </c>
      <c r="G71" s="8">
        <f>F71-E71</f>
        <v/>
      </c>
      <c r="H71" s="16">
        <f>Plan!I83</f>
        <v/>
      </c>
      <c r="I71" s="16">
        <f>Plan!O83</f>
        <v/>
      </c>
    </row>
    <row r="72">
      <c r="A72" s="8" t="n">
        <v>68</v>
      </c>
      <c r="B72" s="18" t="inlineStr">
        <is>
          <t>5.3</t>
        </is>
      </c>
      <c r="C72" s="35">
        <f>Plan!C50</f>
        <v/>
      </c>
      <c r="D72" s="8" t="n">
        <v>10</v>
      </c>
      <c r="E72" s="16">
        <f>Plan!J50</f>
        <v/>
      </c>
      <c r="F72" s="16">
        <f>Plan!K50</f>
        <v/>
      </c>
      <c r="G72" s="8">
        <f>F72-E72</f>
        <v/>
      </c>
      <c r="H72" s="16">
        <f>Plan!I50</f>
        <v/>
      </c>
      <c r="I72" s="16">
        <f>Plan!O50</f>
        <v/>
      </c>
    </row>
    <row r="73">
      <c r="A73" s="8" t="n">
        <v>69</v>
      </c>
      <c r="B73" s="18" t="inlineStr">
        <is>
          <t>5.4</t>
        </is>
      </c>
      <c r="C73" s="35">
        <f>Plan!C51</f>
        <v/>
      </c>
      <c r="D73" s="8" t="n">
        <v>9</v>
      </c>
      <c r="E73" s="16">
        <f>Plan!J51</f>
        <v/>
      </c>
      <c r="F73" s="16">
        <f>Plan!K51</f>
        <v/>
      </c>
      <c r="G73" s="8">
        <f>F73-E73</f>
        <v/>
      </c>
      <c r="H73" s="16">
        <f>Plan!I51</f>
        <v/>
      </c>
      <c r="I73" s="16">
        <f>Plan!O51</f>
        <v/>
      </c>
    </row>
    <row r="74">
      <c r="A74" s="8" t="n">
        <v>70</v>
      </c>
      <c r="B74" s="18" t="inlineStr">
        <is>
          <t>6.2</t>
        </is>
      </c>
      <c r="C74" s="35">
        <f>Plan!C59</f>
        <v/>
      </c>
      <c r="D74" s="8" t="n">
        <v>7</v>
      </c>
      <c r="E74" s="16">
        <f>Plan!J59</f>
        <v/>
      </c>
      <c r="F74" s="16">
        <f>Plan!K59</f>
        <v/>
      </c>
      <c r="G74" s="8">
        <f>F74-E74</f>
        <v/>
      </c>
      <c r="H74" s="16">
        <f>Plan!I59</f>
        <v/>
      </c>
      <c r="I74" s="16">
        <f>Plan!O59</f>
        <v/>
      </c>
    </row>
    <row r="75">
      <c r="A75" s="8" t="n">
        <v>71</v>
      </c>
      <c r="B75" s="18" t="inlineStr">
        <is>
          <t>6.1</t>
        </is>
      </c>
      <c r="C75" s="35">
        <f>Plan!C58</f>
        <v/>
      </c>
      <c r="D75" s="8" t="n">
        <v>11</v>
      </c>
      <c r="E75" s="16">
        <f>Plan!J58</f>
        <v/>
      </c>
      <c r="F75" s="16">
        <f>Plan!K58</f>
        <v/>
      </c>
      <c r="G75" s="8">
        <f>F75-E75</f>
        <v/>
      </c>
      <c r="H75" s="16">
        <f>Plan!I58</f>
        <v/>
      </c>
      <c r="I75" s="16">
        <f>Plan!O58</f>
        <v/>
      </c>
    </row>
    <row r="76">
      <c r="A76" s="8" t="n">
        <v>72</v>
      </c>
      <c r="B76" s="18" t="inlineStr">
        <is>
          <t>6.12</t>
        </is>
      </c>
      <c r="C76" s="35">
        <f>Plan!C69</f>
        <v/>
      </c>
      <c r="D76" s="8" t="n">
        <v>1</v>
      </c>
      <c r="E76" s="16">
        <f>Plan!J69</f>
        <v/>
      </c>
      <c r="F76" s="16">
        <f>Plan!K69</f>
        <v/>
      </c>
      <c r="G76" s="8">
        <f>F76-E76</f>
        <v/>
      </c>
      <c r="H76" s="16">
        <f>Plan!I69</f>
        <v/>
      </c>
      <c r="I76" s="16">
        <f>Plan!O69</f>
        <v/>
      </c>
    </row>
    <row r="77">
      <c r="A77" s="8" t="n">
        <v>73</v>
      </c>
      <c r="B77" s="18" t="inlineStr">
        <is>
          <t>6.14</t>
        </is>
      </c>
      <c r="C77" s="35">
        <f>Plan!C71</f>
        <v/>
      </c>
      <c r="D77" s="8" t="n">
        <v>1</v>
      </c>
      <c r="E77" s="16">
        <f>Plan!J71</f>
        <v/>
      </c>
      <c r="F77" s="16">
        <f>Plan!K71</f>
        <v/>
      </c>
      <c r="G77" s="8">
        <f>F77-E77</f>
        <v/>
      </c>
      <c r="H77" s="16">
        <f>Plan!I71</f>
        <v/>
      </c>
      <c r="I77" s="16">
        <f>Plan!O71</f>
        <v/>
      </c>
    </row>
    <row r="78">
      <c r="A78" s="8" t="n">
        <v>74</v>
      </c>
      <c r="B78" s="18" t="inlineStr">
        <is>
          <t>6.3</t>
        </is>
      </c>
      <c r="C78" s="35">
        <f>Plan!C60</f>
        <v/>
      </c>
      <c r="D78" s="8" t="n">
        <v>8</v>
      </c>
      <c r="E78" s="16">
        <f>Plan!J60</f>
        <v/>
      </c>
      <c r="F78" s="16">
        <f>Plan!K60</f>
        <v/>
      </c>
      <c r="G78" s="8">
        <f>F78-E78</f>
        <v/>
      </c>
      <c r="H78" s="16">
        <f>Plan!I60</f>
        <v/>
      </c>
      <c r="I78" s="16">
        <f>Plan!O60</f>
        <v/>
      </c>
    </row>
    <row r="79">
      <c r="A79" s="8" t="n">
        <v>75</v>
      </c>
      <c r="B79" s="18" t="inlineStr">
        <is>
          <t>5.11</t>
        </is>
      </c>
      <c r="C79" s="35">
        <f>Plan!C84</f>
        <v/>
      </c>
      <c r="D79" s="8" t="n">
        <v>2</v>
      </c>
      <c r="E79" s="16">
        <f>Plan!J84</f>
        <v/>
      </c>
      <c r="F79" s="16">
        <f>Plan!K84</f>
        <v/>
      </c>
      <c r="G79" s="8">
        <f>F79-E79</f>
        <v/>
      </c>
      <c r="H79" s="16">
        <f>Plan!I84</f>
        <v/>
      </c>
      <c r="I79" s="16">
        <f>Plan!O84</f>
        <v/>
      </c>
    </row>
    <row r="80">
      <c r="A80" s="8" t="n">
        <v>76</v>
      </c>
      <c r="B80" s="18" t="inlineStr">
        <is>
          <t>6.24</t>
        </is>
      </c>
      <c r="C80" s="35">
        <f>Plan!C88</f>
        <v/>
      </c>
      <c r="D80" s="8" t="n">
        <v>1</v>
      </c>
      <c r="E80" s="16">
        <f>Plan!J88</f>
        <v/>
      </c>
      <c r="F80" s="16">
        <f>Plan!K88</f>
        <v/>
      </c>
      <c r="G80" s="8">
        <f>F80-E80</f>
        <v/>
      </c>
      <c r="H80" s="16">
        <f>Plan!I88</f>
        <v/>
      </c>
      <c r="I80" s="16">
        <f>Plan!O88</f>
        <v/>
      </c>
    </row>
    <row r="81">
      <c r="A81" s="8" t="n">
        <v>77</v>
      </c>
      <c r="B81" s="18" t="inlineStr">
        <is>
          <t>6.5</t>
        </is>
      </c>
      <c r="C81" s="35">
        <f>Plan!C62</f>
        <v/>
      </c>
      <c r="D81" s="8" t="n">
        <v>5</v>
      </c>
      <c r="E81" s="16">
        <f>Plan!J62</f>
        <v/>
      </c>
      <c r="F81" s="16">
        <f>Plan!K62</f>
        <v/>
      </c>
      <c r="G81" s="8">
        <f>F81-E81</f>
        <v/>
      </c>
      <c r="H81" s="16">
        <f>Plan!I62</f>
        <v/>
      </c>
      <c r="I81" s="16">
        <f>Plan!O62</f>
        <v/>
      </c>
    </row>
    <row r="82">
      <c r="A82" s="8" t="n">
        <v>78</v>
      </c>
      <c r="B82" s="18" t="inlineStr">
        <is>
          <t>6.6</t>
        </is>
      </c>
      <c r="C82" s="35">
        <f>Plan!C63</f>
        <v/>
      </c>
      <c r="D82" s="8" t="n">
        <v>3</v>
      </c>
      <c r="E82" s="16">
        <f>Plan!J63</f>
        <v/>
      </c>
      <c r="F82" s="16">
        <f>Plan!K63</f>
        <v/>
      </c>
      <c r="G82" s="8">
        <f>F82-E82</f>
        <v/>
      </c>
      <c r="H82" s="16">
        <f>Plan!I63</f>
        <v/>
      </c>
      <c r="I82" s="16">
        <f>Plan!O63</f>
        <v/>
      </c>
    </row>
    <row r="83">
      <c r="A83" s="8" t="n">
        <v>79</v>
      </c>
      <c r="B83" s="18" t="inlineStr">
        <is>
          <t>6.7</t>
        </is>
      </c>
      <c r="C83" s="35">
        <f>Plan!C64</f>
        <v/>
      </c>
      <c r="D83" s="8" t="n">
        <v>1</v>
      </c>
      <c r="E83" s="16">
        <f>Plan!J64</f>
        <v/>
      </c>
      <c r="F83" s="16">
        <f>Plan!K64</f>
        <v/>
      </c>
      <c r="G83" s="8">
        <f>F83-E83</f>
        <v/>
      </c>
      <c r="H83" s="16">
        <f>Plan!I64</f>
        <v/>
      </c>
      <c r="I83" s="16">
        <f>Plan!O64</f>
        <v/>
      </c>
    </row>
    <row r="84">
      <c r="A84" s="8" t="n">
        <v>80</v>
      </c>
      <c r="B84" s="18" t="inlineStr">
        <is>
          <t>5.12</t>
        </is>
      </c>
      <c r="C84" s="35">
        <f>Plan!C85</f>
        <v/>
      </c>
      <c r="D84" s="8" t="n">
        <v>2</v>
      </c>
      <c r="E84" s="16">
        <f>Plan!J85</f>
        <v/>
      </c>
      <c r="F84" s="16">
        <f>Plan!K85</f>
        <v/>
      </c>
      <c r="G84" s="8">
        <f>F84-E84</f>
        <v/>
      </c>
      <c r="H84" s="16">
        <f>Plan!I85</f>
        <v/>
      </c>
      <c r="I84" s="16">
        <f>Plan!O85</f>
        <v/>
      </c>
    </row>
    <row r="85">
      <c r="A85" s="8" t="n">
        <v>81</v>
      </c>
      <c r="B85" s="18" t="inlineStr">
        <is>
          <t>6.23</t>
        </is>
      </c>
      <c r="C85" s="35">
        <f>Plan!C87</f>
        <v/>
      </c>
      <c r="D85" s="8" t="n">
        <v>1</v>
      </c>
      <c r="E85" s="16">
        <f>Plan!J87</f>
        <v/>
      </c>
      <c r="F85" s="16">
        <f>Plan!K87</f>
        <v/>
      </c>
      <c r="G85" s="8">
        <f>F85-E85</f>
        <v/>
      </c>
      <c r="H85" s="16">
        <f>Plan!I87</f>
        <v/>
      </c>
      <c r="I85" s="16">
        <f>Plan!O87</f>
        <v/>
      </c>
    </row>
    <row r="86">
      <c r="A86" s="8" t="n">
        <v>82</v>
      </c>
      <c r="B86" s="18" t="inlineStr">
        <is>
          <t>5.9</t>
        </is>
      </c>
      <c r="C86" s="35">
        <f>Plan!C56</f>
        <v/>
      </c>
      <c r="D86" s="8" t="n">
        <v>3</v>
      </c>
      <c r="E86" s="16">
        <f>Plan!J56</f>
        <v/>
      </c>
      <c r="F86" s="16">
        <f>Plan!K56</f>
        <v/>
      </c>
      <c r="G86" s="8">
        <f>F86-E86</f>
        <v/>
      </c>
      <c r="H86" s="16">
        <f>Plan!I56</f>
        <v/>
      </c>
      <c r="I86" s="16">
        <f>Plan!O56</f>
        <v/>
      </c>
    </row>
    <row r="87">
      <c r="A87" s="8" t="n">
        <v>83</v>
      </c>
      <c r="B87" s="18" t="inlineStr">
        <is>
          <t>6.15</t>
        </is>
      </c>
      <c r="C87" s="35">
        <f>Plan!C72</f>
        <v/>
      </c>
      <c r="D87" s="8" t="n">
        <v>1</v>
      </c>
      <c r="E87" s="16">
        <f>Plan!J72</f>
        <v/>
      </c>
      <c r="F87" s="16">
        <f>Plan!K72</f>
        <v/>
      </c>
      <c r="G87" s="8">
        <f>F87-E87</f>
        <v/>
      </c>
      <c r="H87" s="16">
        <f>Plan!I72</f>
        <v/>
      </c>
      <c r="I87" s="16">
        <f>Plan!O72</f>
        <v/>
      </c>
    </row>
    <row r="88">
      <c r="A88" s="8" t="n">
        <v>84</v>
      </c>
      <c r="B88" s="18" t="inlineStr">
        <is>
          <t>6.21</t>
        </is>
      </c>
      <c r="C88" s="35">
        <f>Plan!C82</f>
        <v/>
      </c>
      <c r="D88" s="8" t="n">
        <v>2</v>
      </c>
      <c r="E88" s="16">
        <f>Plan!J82</f>
        <v/>
      </c>
      <c r="F88" s="16">
        <f>Plan!K82</f>
        <v/>
      </c>
      <c r="G88" s="8">
        <f>F88-E88</f>
        <v/>
      </c>
      <c r="H88" s="16">
        <f>Plan!I82</f>
        <v/>
      </c>
      <c r="I88" s="16">
        <f>Plan!O82</f>
        <v/>
      </c>
    </row>
    <row r="90">
      <c r="B90" s="3" t="inlineStr">
        <is>
          <t>Estadísticas de la cola</t>
        </is>
      </c>
    </row>
    <row r="91">
      <c r="B91" s="23" t="inlineStr">
        <is>
          <t>Fila</t>
        </is>
      </c>
      <c r="C91" s="23" t="inlineStr">
        <is>
          <t>Actividades</t>
        </is>
      </c>
      <c r="D91" s="23" t="inlineStr">
        <is>
          <t>Bloques ocupados</t>
        </is>
      </c>
      <c r="E91" s="23" t="inlineStr">
        <is>
          <t>Uso</t>
        </is>
      </c>
      <c r="F91" s="23" t="inlineStr">
        <is>
          <t>Espera promedio</t>
        </is>
      </c>
    </row>
    <row r="92">
      <c r="B92" s="18" t="inlineStr">
        <is>
          <t>A</t>
        </is>
      </c>
      <c r="C92" s="15">
        <f>COUNTIF($H$5:$H$88,B92)</f>
        <v/>
      </c>
      <c r="D92" s="15">
        <f>SUMIF(Plan!$I$5:$I$88,B92,Plan!$E$5:$E$88)</f>
        <v/>
      </c>
      <c r="E92" s="36">
        <f>IF(Resumen!$C$17=0,0,D92/Resumen!$C$17)</f>
        <v/>
      </c>
      <c r="F92" s="37">
        <f>IFERROR(AVERAGEIF($H$5:$H$88,B92,$G$5:$G$88),0)</f>
        <v/>
      </c>
    </row>
    <row r="93">
      <c r="B93" s="18" t="inlineStr">
        <is>
          <t>B</t>
        </is>
      </c>
      <c r="C93" s="15">
        <f>COUNTIF($H$5:$H$88,B93)</f>
        <v/>
      </c>
      <c r="D93" s="15">
        <f>SUMIF(Plan!$I$5:$I$88,B93,Plan!$E$5:$E$88)</f>
        <v/>
      </c>
      <c r="E93" s="36">
        <f>IF(Resumen!$C$17=0,0,D93/Resumen!$C$17)</f>
        <v/>
      </c>
      <c r="F93" s="37">
        <f>IFERROR(AVERAGEIF($H$5:$H$88,B93,$G$5:$G$88),0)</f>
        <v/>
      </c>
    </row>
    <row r="94">
      <c r="B94" s="18" t="inlineStr">
        <is>
          <t>A+B</t>
        </is>
      </c>
      <c r="C94" s="15">
        <f>COUNTIF($H$5:$H$88,B94)</f>
        <v/>
      </c>
      <c r="D94" s="15">
        <f>SUMIF(Plan!$I$5:$I$88,B94,Plan!$E$5:$E$88)</f>
        <v/>
      </c>
      <c r="E94" s="36">
        <f>IF(Resumen!$C$17=0,0,D94/Resumen!$C$17)</f>
        <v/>
      </c>
      <c r="F94" s="37">
        <f>IFERROR(AVERAGEIF($H$5:$H$88,B94,$G$5:$G$88),0)</f>
        <v/>
      </c>
    </row>
    <row r="95">
      <c r="B95" s="19" t="inlineStr">
        <is>
          <t>Total</t>
        </is>
      </c>
      <c r="C95" s="9">
        <f>SUM(C92:C94)</f>
        <v/>
      </c>
      <c r="F95" s="11">
        <f>AVERAGE($G$5:$G$88)</f>
        <v/>
      </c>
    </row>
  </sheetData>
  <conditionalFormatting sqref="I5:I88">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88">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COUNTIF(Plan!$D$5:$D$88,A5)</f>
        <v/>
      </c>
    </row>
    <row r="6">
      <c r="A6" s="18" t="n">
        <v>2</v>
      </c>
      <c r="B6" s="4" t="inlineStr">
        <is>
          <t>Baja</t>
        </is>
      </c>
      <c r="C6" s="8" t="n">
        <v>2</v>
      </c>
      <c r="D6" s="4" t="inlineStr">
        <is>
          <t>1 jornada</t>
        </is>
      </c>
      <c r="E6" s="7" t="inlineStr">
        <is>
          <t>SMTP con Resend; proteger /cuenta en proxy.ts</t>
        </is>
      </c>
      <c r="F6" s="15">
        <f>COUNTIF(Plan!$D$5:$D$88,A6)</f>
        <v/>
      </c>
    </row>
    <row r="7">
      <c r="A7" s="18" t="n">
        <v>3</v>
      </c>
      <c r="B7" s="4" t="inlineStr">
        <is>
          <t>Media</t>
        </is>
      </c>
      <c r="C7" s="8" t="n">
        <v>3</v>
      </c>
      <c r="D7" s="4" t="inlineStr">
        <is>
          <t>1,5 jornadas</t>
        </is>
      </c>
      <c r="E7" s="7" t="inlineStr">
        <is>
          <t>Verificación del código OTP; /cuenta con datos reales</t>
        </is>
      </c>
      <c r="F7" s="15">
        <f>COUNTIF(Plan!$D$5:$D$88,A7)</f>
        <v/>
      </c>
    </row>
    <row r="8">
      <c r="A8" s="18" t="n">
        <v>4</v>
      </c>
      <c r="B8" s="4" t="inlineStr">
        <is>
          <t>Alta</t>
        </is>
      </c>
      <c r="C8" s="8" t="n">
        <v>4</v>
      </c>
      <c r="D8" s="4" t="inlineStr">
        <is>
          <t>2 jornadas</t>
        </is>
      </c>
      <c r="E8" s="7" t="inlineStr">
        <is>
          <t>Panel /admin; afiliación con Resend; importar asociados</t>
        </is>
      </c>
      <c r="F8" s="15">
        <f>COUNTIF(Plan!$D$5:$D$88,A8)</f>
        <v/>
      </c>
    </row>
    <row r="9">
      <c r="A9" s="18" t="n">
        <v>5</v>
      </c>
      <c r="B9" s="4" t="inlineStr">
        <is>
          <t>Muy alta</t>
        </is>
      </c>
      <c r="C9" s="8" t="n">
        <v>5</v>
      </c>
      <c r="D9" s="4" t="inlineStr">
        <is>
          <t>2,5 jornadas o más</t>
        </is>
      </c>
      <c r="E9" s="7" t="inlineStr">
        <is>
          <t>Reservado para trabajos que conviene partir en dos</t>
        </is>
      </c>
      <c r="F9" s="15">
        <f>COUNTIF(Plan!$D$5:$D$88,A9)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6"/>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2026-10-01</t>
        </is>
      </c>
      <c r="B5" s="4" t="inlineStr">
        <is>
          <t>ga-diseno-a-codigo</t>
        </is>
      </c>
      <c r="C5" s="8" t="inlineStr">
        <is>
          <t>4.15, 4.7, 4.8</t>
        </is>
      </c>
      <c r="D5" s="7" t="inlineStr">
        <is>
          <t>4.7, 4.8 y 4.15 Hecho</t>
        </is>
      </c>
      <c r="E5" s="7" t="inlineStr">
        <is>
          <t>Ícono WhatsApp en el pie, botón «Habilitar nuevo crédito», selector segmentado en la demo, 8 estados y KPI Desembolsos del mes en admin, chips en asesor. e2e sin ejecutar.</t>
        </is>
      </c>
    </row>
    <row r="6">
      <c r="A6" s="8" t="inlineStr">
        <is>
          <t>2026-10-01</t>
        </is>
      </c>
      <c r="B6" s="4" t="inlineStr">
        <is>
          <t>ga-funcionalidad-botones</t>
        </is>
      </c>
      <c r="C6" s="8" t="inlineStr">
        <is>
          <t>4.15, 4.7, 4.8</t>
        </is>
      </c>
      <c r="D6" s="7" t="inlineStr">
        <is>
          <t>Pedidos §13 en servidor y front</t>
        </is>
      </c>
      <c r="E6" s="7" t="inlineStr">
        <is>
          <t>Correos con respaldo en texto plano y log correo_plantilla_faltante; acción Habilitar crédito; /cuenta con tarjeta vacía; loaders con por_estado_proceso y desembolsos_mes; demo Policía/Ejército; wa.me en el pie. 552 vitest y build en verde.</t>
        </is>
      </c>
    </row>
    <row r="7">
      <c r="A7" s="8" t="inlineStr">
        <is>
          <t>2026-10-01</t>
        </is>
      </c>
      <c r="B7" s="4" t="inlineStr">
        <is>
          <t>ga-auditor-supabase</t>
        </is>
      </c>
      <c r="C7" s="8" t="inlineStr">
        <is>
          <t>4.15, 4.7, 4.8, P-112, 6.24, P-113</t>
        </is>
      </c>
      <c r="D7" s="7" t="inlineStr">
        <is>
          <t>Migración 20261001100000 y pgTAP 21</t>
        </is>
      </c>
      <c r="E7" s="7" t="inlineStr">
        <is>
          <t>admin_habilitar_credito, mi_habilitacion_credito, por_estado_proceso y desembolsos_mes; listas blancas 00/15 (P-112 Hecho). Diagnóstico: el bloqueo tras rechazo es de pantalla, no de base. Sin db reset por Docker: nueva 6.24/P-113 (Sebas).</t>
        </is>
      </c>
    </row>
    <row r="8">
      <c r="A8" s="8" t="inlineStr">
        <is>
          <t>2026-10-01</t>
        </is>
      </c>
      <c r="B8" s="4" t="inlineStr">
        <is>
          <t>ga-verificador-qa</t>
        </is>
      </c>
      <c r="C8" s="8" t="inlineStr">
        <is>
          <t>6.15, 6.21</t>
        </is>
      </c>
      <c r="D8" s="7" t="inlineStr">
        <is>
          <t>E2E al día pero sin ejecutar: Bloqueado</t>
        </is>
      </c>
      <c r="E8" s="7" t="inlineStr">
        <is>
          <t>y-tanda2.spec.ts y ajustes de e2e (370 pruebas listadas, tsc y eslint en verde). Docker se cayó: Sebas reinicia Docker, db reset y corre Playwright.</t>
        </is>
      </c>
    </row>
    <row r="9">
      <c r="A9" s="8" t="inlineStr">
        <is>
          <t>2026-09-30</t>
        </is>
      </c>
      <c r="B9" s="4" t="inlineStr">
        <is>
          <t>ga-diseno-a-codigo</t>
        </is>
      </c>
      <c r="C9" s="8" t="inlineStr">
        <is>
          <t>4.7, 4.8, 5.6</t>
        </is>
      </c>
      <c r="D9" s="7" t="inlineStr">
        <is>
          <t>Pantallas Resumen y /cuenta/solicitar en código</t>
        </is>
      </c>
      <c r="E9" s="7" t="inlineStr">
        <is>
          <t>4.7 y 4.8 En curso: falta estado_proceso y desembolsos del mes en las RPC y decisión P-111. tsc, lint, vitest y build en verde.</t>
        </is>
      </c>
    </row>
    <row r="10">
      <c r="A10" s="8" t="inlineStr">
        <is>
          <t>2026-09-30</t>
        </is>
      </c>
      <c r="B10" s="4" t="inlineStr">
        <is>
          <t>ga-funcionalidad-botones</t>
        </is>
      </c>
      <c r="C10" s="8" t="inlineStr">
        <is>
          <t>2.11, 4.3, 4.7, 4.8</t>
        </is>
      </c>
      <c r="D10" s="7" t="inlineStr">
        <is>
          <t>F-01 corregido, revalidación de /cuenta y loaders de métricas</t>
        </is>
      </c>
      <c r="E10" s="7" t="inlineStr">
        <is>
          <t>2.11 y 4.3 Hecho. Afiliación guarda version_politica_datos; loaders cargarMetricasAdmin/Asesor con 8 pruebas (523 vitest en verde).</t>
        </is>
      </c>
    </row>
    <row r="11">
      <c r="A11" s="8" t="inlineStr">
        <is>
          <t>2026-09-30</t>
        </is>
      </c>
      <c r="B11" s="4" t="inlineStr">
        <is>
          <t>ga-auditor-supabase</t>
        </is>
      </c>
      <c r="C11" s="8" t="inlineStr">
        <is>
          <t>P-55, 4.7, 4.8, 6.23</t>
        </is>
      </c>
      <c r="D11" s="7" t="inlineStr">
        <is>
          <t>Migración 20261001000000 y pgTAP 20</t>
        </is>
      </c>
      <c r="E11" s="7" t="inlineStr">
        <is>
          <t>version_politica_datos sellada, revoke de limites_intentos_id_seq, RPC de métricas solo con conteos; 16 pruebas en verde. Sin aplicar: nueva 6.23/P-110. Listas blancas pgTAP: P-112.</t>
        </is>
      </c>
    </row>
    <row r="12">
      <c r="A12" s="8" t="inlineStr">
        <is>
          <t>2026-09-30</t>
        </is>
      </c>
      <c r="B12" s="4" t="inlineStr">
        <is>
          <t>ga-disenador-lienzo</t>
        </is>
      </c>
      <c r="C12" s="8" t="inlineStr">
        <is>
          <t>4.7, 4.8, 5.6</t>
        </is>
      </c>
      <c r="D12" s="7" t="inlineStr">
        <is>
          <t>Lienzo 3r, 3s, 3t</t>
        </is>
      </c>
      <c r="E12" s="7" t="inlineStr">
        <is>
          <t>Dashboards admin y asesor y /cuenta/solicitar maquetados en el lienzo (D-22 a D-24). 5.6 Hecho.</t>
        </is>
      </c>
    </row>
    <row r="13">
      <c r="A13" s="8" t="inlineStr">
        <is>
          <t>2026-09-30</t>
        </is>
      </c>
      <c r="B13" s="4" t="inlineStr">
        <is>
          <t>ga-funcionalidad-botones</t>
        </is>
      </c>
      <c r="C13" s="8" t="inlineStr">
        <is>
          <t>P-81 (política v1.0)</t>
        </is>
      </c>
      <c r="D13" s="7" t="inlineStr">
        <is>
          <t>Política de datos v1.0 publicada en código</t>
        </is>
      </c>
      <c r="E13" s="7" t="inlineStr">
        <is>
          <t>/politica-de-datos con 28 secciones, anexo, índice, aviso de revisión jurídica en 7.3, 8 y 18 y botón PDF. Por definir: horario, órgano y acta de aprobación.</t>
        </is>
      </c>
    </row>
    <row r="14">
      <c r="A14" s="8" t="inlineStr">
        <is>
          <t>2026-09-30</t>
        </is>
      </c>
      <c r="B14" s="4" t="inlineStr">
        <is>
          <t>sesión principal (Sebas)</t>
        </is>
      </c>
      <c r="C14" s="8" t="inlineStr">
        <is>
          <t>6.22; P-20, P-21, P-43, P-45, P-105</t>
        </is>
      </c>
      <c r="D14" s="7" t="inlineStr">
        <is>
          <t>Tanda 2 en producción y pendientes de configuración cerrados</t>
        </is>
      </c>
      <c r="E14"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15">
      <c r="A15" s="8" t="inlineStr">
        <is>
          <t>2026-09-30</t>
        </is>
      </c>
      <c r="B15" s="4" t="inlineStr">
        <is>
          <t>sesión principal (Sebas)</t>
        </is>
      </c>
      <c r="C15" s="8" t="inlineStr">
        <is>
          <t>5.4, 6.21, 6.22; P-81</t>
        </is>
      </c>
      <c r="D15" s="7" t="inlineStr">
        <is>
          <t>Política v1 en publicación; tanda 2 en develop</t>
        </is>
      </c>
      <c r="E15" s="7" t="inlineStr">
        <is>
          <t>Tanda 2 en develop e4b8350 con 7 migraciones 20260930200* por aplicar y develop a main pendiente (6.22). Política v1 del Dr. Breinner con 7.3, 8 y 18 en revisión. E2E desactualizadas (6.21). Copia de seguridad de producción del 30-sep.</t>
        </is>
      </c>
    </row>
    <row r="16">
      <c r="A16" s="8" t="inlineStr">
        <is>
          <t>2026-09-30</t>
        </is>
      </c>
      <c r="B16" s="4" t="inlineStr">
        <is>
          <t>ga-diseno-a-codigo</t>
        </is>
      </c>
      <c r="C16" s="8" t="inlineStr">
        <is>
          <t>5.13</t>
        </is>
      </c>
      <c r="D16" s="7" t="inlineStr">
        <is>
          <t>Medios en el detalle de convenios</t>
        </is>
      </c>
      <c r="E16" s="7" t="inlineStr">
        <is>
          <t>Videos y PDF de Racing Tours mapeados por NIT en lib/convenios.ts; develop 4357939 (video de Locos en politica-datos-v1).</t>
        </is>
      </c>
    </row>
    <row r="17">
      <c r="A17" s="8" t="inlineStr">
        <is>
          <t>2026-09-30</t>
        </is>
      </c>
      <c r="B17" s="4" t="inlineStr">
        <is>
          <t>ga-auditor-supabase</t>
        </is>
      </c>
      <c r="C17" s="8" t="inlineStr">
        <is>
          <t>4.14, 6.22</t>
        </is>
      </c>
      <c r="D17" s="7" t="inlineStr">
        <is>
          <t>SP remapeado a IJ (§12.14)</t>
        </is>
      </c>
      <c r="E17" s="7" t="inlineStr">
        <is>
          <t>En la migración 20260930200100 (sin aplicar); R-10/R-11 decididos; pgTAP, db reset y vitest en verde.</t>
        </is>
      </c>
    </row>
    <row r="18">
      <c r="A18" s="8" t="inlineStr">
        <is>
          <t>2026-09-30</t>
        </is>
      </c>
      <c r="B18" s="7" t="inlineStr">
        <is>
          <t>ga-disenador-lienzo + ga-auditor-supabase + ga-funcionalidad-botones + ga-diseno-a-codigo</t>
        </is>
      </c>
      <c r="C18" s="8" t="inlineStr">
        <is>
          <t>4.14, 6.21, 6.22, 5.11, 5.12</t>
        </is>
      </c>
      <c r="D18" s="7" t="inlineStr">
        <is>
          <t>Tanda 2 (§12) hecha en local</t>
        </is>
      </c>
      <c r="E18" s="7" t="inlineStr">
        <is>
          <t>Lienzo 3q, migraciones 20260930200000–200600 (pgTAP 464/464), acciones y UI (vitest 516, build en verde). Sin aplicar en producción. Backlog §12.12 agregado.</t>
        </is>
      </c>
    </row>
    <row r="19">
      <c r="A19" s="8" t="inlineStr">
        <is>
          <t>2026-09-30</t>
        </is>
      </c>
      <c r="B19" s="4" t="inlineStr">
        <is>
          <t>ga-enlace-cooperativa</t>
        </is>
      </c>
      <c r="C19" s="8" t="inlineStr">
        <is>
          <t>P-14, P-47, P-76..P-80, P-90..P-93, P-97; P-106</t>
        </is>
      </c>
      <c r="D19" s="7" t="inlineStr">
        <is>
          <t>Respuestas de la cooperativa</t>
        </is>
      </c>
      <c r="E19" s="7" t="inlineStr">
        <is>
          <t>docs/cooperativa/preguntas.md. R-10 y R-11 cerrados por Sebas (§12.14, SP a IJ); abierta R-09.</t>
        </is>
      </c>
    </row>
    <row r="20">
      <c r="A20" s="8" t="inlineStr">
        <is>
          <t>2026-09-30</t>
        </is>
      </c>
      <c r="B20" s="4" t="inlineStr">
        <is>
          <t>sesión principal (Sebas)</t>
        </is>
      </c>
      <c r="C20" s="8" t="inlineStr">
        <is>
          <t>1.8, 6.20, 5.10, 4.7, 4.8, 5.9, 6.14, 6.15; P-104, P-46, P-75, P-69, P-72, P-73</t>
        </is>
      </c>
      <c r="D20" s="7" t="inlineStr">
        <is>
          <t>C+ y tanda 1 de Ricardo en producción; Carlos sale</t>
        </is>
      </c>
      <c r="E20"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21">
      <c r="A21" s="8" t="inlineStr">
        <is>
          <t>2026-09-30</t>
        </is>
      </c>
      <c r="B21" s="4" t="inlineStr">
        <is>
          <t>ga-correos</t>
        </is>
      </c>
      <c r="C21" s="8" t="inlineStr">
        <is>
          <t>4.13; P-105</t>
        </is>
      </c>
      <c r="D21" s="7" t="inlineStr">
        <is>
          <t>Plantilla ga-aviso-institucional</t>
        </is>
      </c>
      <c r="E21" s="7" t="inlineStr">
        <is>
          <t>docs/resend/aviso-institucional.*; falta publicarla y crear la variable en Vercel.</t>
        </is>
      </c>
    </row>
    <row r="22">
      <c r="A22" s="8" t="inlineStr">
        <is>
          <t>2026-09-30</t>
        </is>
      </c>
      <c r="B22" s="4" t="inlineStr">
        <is>
          <t>ga-revisor-seguridad</t>
        </is>
      </c>
      <c r="C22" s="8" t="inlineStr">
        <is>
          <t>6.2, 4.13</t>
        </is>
      </c>
      <c r="D22" s="7" t="inlineStr">
        <is>
          <t>Dos pasadas de seguridad</t>
        </is>
      </c>
      <c r="E22" s="7" t="inlineStr">
        <is>
          <t>RS-01 a RS-22 sobre migraciones y pantallas de Ricardo. 6.2 sigue En curso (depende de 4.3).</t>
        </is>
      </c>
    </row>
    <row r="23">
      <c r="A23" s="8" t="inlineStr">
        <is>
          <t>2026-09-30</t>
        </is>
      </c>
      <c r="B23" s="4" t="inlineStr">
        <is>
          <t>ga-diseno-a-codigo</t>
        </is>
      </c>
      <c r="C23" s="8" t="inlineStr">
        <is>
          <t>4.13</t>
        </is>
      </c>
      <c r="D23" s="7" t="inlineStr">
        <is>
          <t>UI 3j–3p</t>
        </is>
      </c>
      <c r="E23" s="7" t="inlineStr">
        <is>
          <t>Pantallas y revisión de diseño A1–A3.</t>
        </is>
      </c>
    </row>
    <row r="24">
      <c r="A24" s="8" t="inlineStr">
        <is>
          <t>2026-09-30</t>
        </is>
      </c>
      <c r="B24" s="4" t="inlineStr">
        <is>
          <t>ga-funcionalidad-botones</t>
        </is>
      </c>
      <c r="C24" s="8" t="inlineStr">
        <is>
          <t>4.13</t>
        </is>
      </c>
      <c r="D24" s="7" t="inlineStr">
        <is>
          <t>Lógica y datos de 3j–3p y correcciones de seguridad</t>
        </is>
      </c>
      <c r="E24" s="7" t="inlineStr">
        <is>
          <t>RS-01..RS-22 de código, limpieza de fotos por RPC (5.10), aviso institucional siempre. vitest 503, build en verde.</t>
        </is>
      </c>
    </row>
    <row r="25">
      <c r="A25" s="8" t="inlineStr">
        <is>
          <t>2026-09-30</t>
        </is>
      </c>
      <c r="B25" s="4" t="inlineStr">
        <is>
          <t>ga-disenador-lienzo</t>
        </is>
      </c>
      <c r="C25" s="8" t="inlineStr">
        <is>
          <t>4.12</t>
        </is>
      </c>
      <c r="D25" s="7" t="inlineStr">
        <is>
          <t>Lienzo 3j–3p</t>
        </is>
      </c>
      <c r="E25" s="7" t="inlineStr">
        <is>
          <t>Piezas 3j–3n, 3o/3p (D-15, D-16) y revisión de fidelidad.</t>
        </is>
      </c>
    </row>
    <row r="26">
      <c r="A26" s="8" t="inlineStr">
        <is>
          <t>2026-09-30</t>
        </is>
      </c>
      <c r="B26" s="4" t="inlineStr">
        <is>
          <t>ga-auditor-supabase</t>
        </is>
      </c>
      <c r="C26" s="8" t="inlineStr">
        <is>
          <t>4.12; P-46</t>
        </is>
      </c>
      <c r="D26" s="7" t="inlineStr">
        <is>
          <t>Migraciones tanda 1 de Ricardo (29/30-sep)</t>
        </is>
      </c>
      <c r="E26" s="7" t="inlineStr">
        <is>
          <t>20260929100000..100700, 20260930100000..100500: grados, nómina, proceso ejecutivo, alertas, comisiones con pagos editables, tasa oculta (P-100), crédito solo en «operando», segunda pasada RS-17/18/20/21. pgTAP en verde.</t>
        </is>
      </c>
    </row>
    <row r="27">
      <c r="A27" s="8" t="inlineStr">
        <is>
          <t>2026-09-29</t>
        </is>
      </c>
      <c r="B27" s="4" t="inlineStr">
        <is>
          <t>sesión principal</t>
        </is>
      </c>
      <c r="C27" s="8" t="inlineStr">
        <is>
          <t>4.7, 4.8, 5.9, 5.10, 6.14, 6.15; P-69, P-72</t>
        </is>
      </c>
      <c r="D27" s="7" t="inlineStr">
        <is>
          <t>Primera entrega de Carlos Pardo revisada: NO fusionable</t>
        </is>
      </c>
      <c r="E27"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28">
      <c r="A28" s="8" t="inlineStr">
        <is>
          <t>2026-09-29</t>
        </is>
      </c>
      <c r="B28" s="4" t="inlineStr">
        <is>
          <t>sesión principal</t>
        </is>
      </c>
      <c r="C28" s="8" t="inlineStr">
        <is>
          <t>6.18; nuevo P-104</t>
        </is>
      </c>
      <c r="D28" s="7" t="inlineStr">
        <is>
          <t>Push y fusión de rediseno-c-plus a develop autorizados por Sebas; 6.18 pasa a Hecho</t>
        </is>
      </c>
      <c r="E28"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29">
      <c r="A29" s="8" t="inlineStr">
        <is>
          <t>2026-09-29</t>
        </is>
      </c>
      <c r="B29" s="4" t="inlineStr">
        <is>
          <t>ga-verificador-qa</t>
        </is>
      </c>
      <c r="C29" s="8" t="inlineStr">
        <is>
          <t>6.18 (verificación pre-commit de rediseno-c-plus)</t>
        </is>
      </c>
      <c r="D29" s="7" t="inlineStr">
        <is>
          <t>Suite e2e completa 290/290 tras independizar las pruebas del crédito de ejemplo</t>
        </is>
      </c>
      <c r="E29"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30">
      <c r="A30" s="8" t="inlineStr">
        <is>
          <t>2026-09-27</t>
        </is>
      </c>
      <c r="B30" s="4" t="inlineStr">
        <is>
          <t>sesión principal</t>
        </is>
      </c>
      <c r="C30" s="8" t="inlineStr">
        <is>
          <t>2.14; P-103</t>
        </is>
      </c>
      <c r="D30" s="7" t="inlineStr">
        <is>
          <t>Se quita la sección de testimonios de la landing (decisión de Sebas)</t>
        </is>
      </c>
      <c r="E30" s="7" t="inlineStr">
        <is>
          <t>Commit 4c63924: sección de testimonios (que estaba oculta desde P-102 por tener textos de ejemplo) eliminada de la landing por decisión de Sebas. P-103 (D-07, ¿se mantiene la sección?) cierra Hecho con esa decisión: no se mantiene.</t>
        </is>
      </c>
    </row>
    <row r="31">
      <c r="A31" s="8" t="inlineStr">
        <is>
          <t>2026-09-27</t>
        </is>
      </c>
      <c r="B31" s="4" t="inlineStr">
        <is>
          <t>sesión principal</t>
        </is>
      </c>
      <c r="C31" s="8" t="inlineStr">
        <is>
          <t>4.11; P-95, P-96</t>
        </is>
      </c>
      <c r="D31" s="7" t="inlineStr">
        <is>
          <t>Sebas aprueba P-95 y P-96; ambos pasan a Hecho</t>
        </is>
      </c>
      <c r="E31"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32">
      <c r="A32" s="8" t="inlineStr">
        <is>
          <t>2026-09-27</t>
        </is>
      </c>
      <c r="B32" s="4" t="inlineStr">
        <is>
          <t>ga-disenador-lienzo</t>
        </is>
      </c>
      <c r="C32" s="8" t="inlineStr">
        <is>
          <t>4.11 (revisión de diseño 3e/3i)</t>
        </is>
      </c>
      <c r="D32" s="7" t="inlineStr">
        <is>
          <t>Revisión de diseño aprobada con cambios menores</t>
        </is>
      </c>
      <c r="E32"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33">
      <c r="A33" s="8" t="inlineStr">
        <is>
          <t>2026-09-27</t>
        </is>
      </c>
      <c r="B33" s="4" t="inlineStr">
        <is>
          <t>ga-diseno-a-codigo</t>
        </is>
      </c>
      <c r="C33" s="8" t="inlineStr">
        <is>
          <t>4.11, P-95, P-96</t>
        </is>
      </c>
      <c r="D33" s="7" t="inlineStr">
        <is>
          <t>WhatsApp y bloque «Asesor» maquetados y conectados en código</t>
        </is>
      </c>
      <c r="E33"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34">
      <c r="A34" s="8" t="inlineStr">
        <is>
          <t>2026-09-27</t>
        </is>
      </c>
      <c r="B34" s="4" t="inlineStr">
        <is>
          <t>ga-funcionalidad-botones</t>
        </is>
      </c>
      <c r="C34" s="8" t="inlineStr">
        <is>
          <t>4.11, P-96</t>
        </is>
      </c>
      <c r="D34" s="7" t="inlineStr">
        <is>
          <t>Server Action asignarAsesor lista en el servidor</t>
        </is>
      </c>
      <c r="E34"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35">
      <c r="A35" s="8" t="inlineStr">
        <is>
          <t>2026-09-27</t>
        </is>
      </c>
      <c r="B35" s="4" t="inlineStr">
        <is>
          <t>ga-disenador-lienzo</t>
        </is>
      </c>
      <c r="C35" s="8" t="inlineStr">
        <is>
          <t>4.11 (D-08, D-09)</t>
        </is>
      </c>
      <c r="D35" s="7" t="inlineStr">
        <is>
          <t>Diseñado el botón WhatsApp habilitado (3e) y el bloque «Asesor» (3i) en el lienzo</t>
        </is>
      </c>
      <c r="E35"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36">
      <c r="A36" s="8" t="inlineStr">
        <is>
          <t>2026-09-27</t>
        </is>
      </c>
      <c r="B36" s="4" t="inlineStr">
        <is>
          <t>sesión principal</t>
        </is>
      </c>
      <c r="C36" s="8" t="inlineStr">
        <is>
          <t>6.18</t>
        </is>
      </c>
      <c r="D36" s="7" t="inlineStr">
        <is>
          <t>Se corrige la dependencia de 6.18: ya no depende de 1.8</t>
        </is>
      </c>
      <c r="E36"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37">
      <c r="A37" s="8" t="inlineStr">
        <is>
          <t>2026-09-27</t>
        </is>
      </c>
      <c r="B37" s="4" t="inlineStr">
        <is>
          <t>sesión principal</t>
        </is>
      </c>
      <c r="C37" s="8" t="inlineStr">
        <is>
          <t>6.17; 3.10, 4.10</t>
        </is>
      </c>
      <c r="D37" s="7" t="inlineStr">
        <is>
          <t>Correcciones responsive del C+ (commit b0239a8): barra inferior siempre visible en vez de oculta hasta el primer scroll</t>
        </is>
      </c>
      <c r="E37"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38">
      <c r="A38" s="8" t="inlineStr">
        <is>
          <t>2026-09-27</t>
        </is>
      </c>
      <c r="B38" s="4" t="inlineStr">
        <is>
          <t>sesión principal</t>
        </is>
      </c>
      <c r="C38" s="8" t="inlineStr">
        <is>
          <t>4.11; 6.17</t>
        </is>
      </c>
      <c r="D38" s="7" t="inlineStr">
        <is>
          <t>Hallazgo 0 corregido en producción del rediseño (commit 846657b): colores del admin oscuro en su propio grupo de Tailwind</t>
        </is>
      </c>
      <c r="E38"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39">
      <c r="A39" s="8" t="inlineStr">
        <is>
          <t>2026-09-27</t>
        </is>
      </c>
      <c r="B39" s="4" t="inlineStr">
        <is>
          <t>ga-diseno-a-codigo</t>
        </is>
      </c>
      <c r="C39" s="8" t="inlineStr">
        <is>
          <t>6.17</t>
        </is>
      </c>
      <c r="D39" s="7" t="inlineStr">
        <is>
          <t>Corregidos todos los hallazgos del informe de responsive; 6.17 pasa a Hecho en su parte de código</t>
        </is>
      </c>
      <c r="E39"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40">
      <c r="A40" s="8" t="inlineStr">
        <is>
          <t>2026-09-27</t>
        </is>
      </c>
      <c r="B40" s="4" t="inlineStr">
        <is>
          <t>ga-verificador-responsive</t>
        </is>
      </c>
      <c r="C40" s="8" t="inlineStr">
        <is>
          <t>6.19</t>
        </is>
      </c>
      <c r="D40" s="7" t="inlineStr">
        <is>
          <t>Verificación responsive de punta a punta del rediseño C+; 6.19 pasa a Hecho</t>
        </is>
      </c>
      <c r="E40"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41">
      <c r="A41" s="8" t="inlineStr">
        <is>
          <t>2026-09-27</t>
        </is>
      </c>
      <c r="B41" s="4" t="inlineStr">
        <is>
          <t>sesión principal</t>
        </is>
      </c>
      <c r="C41" s="8" t="inlineStr">
        <is>
          <t>4.11; P-99, P-100, P-101, P-102, P-103</t>
        </is>
      </c>
      <c r="D41" s="7" t="inlineStr">
        <is>
          <t>H1 corregido (tasa de interés fuera del payload de /cuenta) y H2/B-01 cerrados (cédula de las «hermanas» enmascarada en servidor, testimonios de ejemplo ocultos)</t>
        </is>
      </c>
      <c r="E41"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42">
      <c r="A42" s="8" t="inlineStr">
        <is>
          <t>2026-09-27</t>
        </is>
      </c>
      <c r="B42" s="4" t="inlineStr">
        <is>
          <t>ga-verificador-qa</t>
        </is>
      </c>
      <c r="C42" s="8" t="inlineStr">
        <is>
          <t>4.11, P-94, P-71; 6.16 pasa a Hecho; nuevos P-102, P-103</t>
        </is>
      </c>
      <c r="D42" s="7" t="inlineStr">
        <is>
          <t>QA completo del rediseño C+ en verde: 161/162 escritorio, 129/129 celular</t>
        </is>
      </c>
      <c r="E42"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43">
      <c r="A43" s="8" t="inlineStr">
        <is>
          <t>2026-09-27</t>
        </is>
      </c>
      <c r="B43" s="4" t="inlineStr">
        <is>
          <t>ga-revisor-seguridad</t>
        </is>
      </c>
      <c r="C43" s="8" t="inlineStr">
        <is>
          <t>4.11; nuevos P-99, P-100, P-101</t>
        </is>
      </c>
      <c r="D43" s="7" t="inlineStr">
        <is>
          <t>Revisión de seguridad del rediseño C+ aprobada; 2 fugas de datos confirmadas (no introducidas por el rediseño)</t>
        </is>
      </c>
      <c r="E43"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44">
      <c r="A44" s="8" t="inlineStr">
        <is>
          <t>2026-09-27</t>
        </is>
      </c>
      <c r="B44" s="4" t="inlineStr">
        <is>
          <t>ga-funcionalidad-botones</t>
        </is>
      </c>
      <c r="C44" s="8" t="inlineStr">
        <is>
          <t>4.11</t>
        </is>
      </c>
      <c r="D44" s="7" t="inlineStr">
        <is>
          <t>KPIs reales, tope real de grados_credito y nota interna oculta en el admin C+</t>
        </is>
      </c>
      <c r="E44"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45">
      <c r="A45" s="8" t="inlineStr">
        <is>
          <t>2026-09-27</t>
        </is>
      </c>
      <c r="B45" s="4" t="inlineStr">
        <is>
          <t>ga-diseno-a-codigo</t>
        </is>
      </c>
      <c r="C45" s="8" t="inlineStr">
        <is>
          <t>4.11</t>
        </is>
      </c>
      <c r="D45" s="7" t="inlineStr">
        <is>
          <t>Panel del admin C+ en modo oscuro maquetado en código; 4.11 pasa a Hecho</t>
        </is>
      </c>
      <c r="E45"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46">
      <c r="A46" s="8" t="inlineStr">
        <is>
          <t>2026-09-27</t>
        </is>
      </c>
      <c r="B46" s="4" t="inlineStr">
        <is>
          <t>ga-diseno-a-codigo</t>
        </is>
      </c>
      <c r="C46" s="8" t="inlineStr">
        <is>
          <t>4.10; nuevo P-98</t>
        </is>
      </c>
      <c r="D46" s="7" t="inlineStr">
        <is>
          <t>Panel del asesor C+ maquetado en código; 4.10 pasa a Hecho</t>
        </is>
      </c>
      <c r="E46"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47">
      <c r="A47" s="8" t="inlineStr">
        <is>
          <t>2026-09-27</t>
        </is>
      </c>
      <c r="B47" s="4" t="inlineStr">
        <is>
          <t>ga-diseno-a-codigo</t>
        </is>
      </c>
      <c r="C47" s="8" t="inlineStr">
        <is>
          <t>3.10</t>
        </is>
      </c>
      <c r="D47" s="7" t="inlineStr">
        <is>
          <t>Panel del asociado C+ maquetado en código; 3.10 pasa a Hecho</t>
        </is>
      </c>
      <c r="E47"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48">
      <c r="A48" s="8" t="inlineStr">
        <is>
          <t>2026-09-25</t>
        </is>
      </c>
      <c r="B48" s="4" t="inlineStr">
        <is>
          <t>ga-diseno-a-codigo</t>
        </is>
      </c>
      <c r="C48" s="8" t="inlineStr">
        <is>
          <t>1.7, 2.15</t>
        </is>
      </c>
      <c r="D48" s="7" t="inlineStr">
        <is>
          <t>Componentes base y maquetación C+ de ingreso/afiliación llevados a código; 2.15 pasa a Hecho</t>
        </is>
      </c>
      <c r="E48"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49">
      <c r="A49" s="8" t="inlineStr">
        <is>
          <t>2026-09-25</t>
        </is>
      </c>
      <c r="B49" s="4" t="inlineStr">
        <is>
          <t>ga-disenador-lienzo</t>
        </is>
      </c>
      <c r="C49" s="8" t="inlineStr">
        <is>
          <t>3.10, 4.10, 4.11</t>
        </is>
      </c>
      <c r="D49" s="7" t="inlineStr">
        <is>
          <t>Lienzo C+ completo: piezas 3d (asociado) y 3e–3h (admin)</t>
        </is>
      </c>
      <c r="E49"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50">
      <c r="A50" s="8" t="inlineStr">
        <is>
          <t>2026-09-25</t>
        </is>
      </c>
      <c r="B50" s="4" t="inlineStr">
        <is>
          <t>ga-diseno-a-codigo</t>
        </is>
      </c>
      <c r="C50" s="8" t="inlineStr">
        <is>
          <t>1.7, 2.14; nuevo 6.16</t>
        </is>
      </c>
      <c r="D50" s="7" t="inlineStr">
        <is>
          <t>Tokens y landing del rediseño C+ llevados a código</t>
        </is>
      </c>
      <c r="E50"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51">
      <c r="A51" s="8" t="inlineStr">
        <is>
          <t>2026-09-25</t>
        </is>
      </c>
      <c r="B51" s="4" t="inlineStr">
        <is>
          <t>ga-disenador-lienzo</t>
        </is>
      </c>
      <c r="C51" s="8" t="inlineStr">
        <is>
          <t>1.7, 2.15, 3.10, 4.10, 4.11</t>
        </is>
      </c>
      <c r="D51" s="7" t="inlineStr">
        <is>
          <t>Lienzo C+ ampliado: design system, Ingreso y Afiliación (piezas 3a/3b/3c)</t>
        </is>
      </c>
      <c r="E51"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52">
      <c r="A52" s="8" t="inlineStr">
        <is>
          <t>2026-09-25</t>
        </is>
      </c>
      <c r="B52" s="4" t="inlineStr">
        <is>
          <t>ga-auditor-supabase</t>
        </is>
      </c>
      <c r="C52" s="8" t="inlineStr">
        <is>
          <t>1.8; P-47, P-90, P-91, P-92</t>
        </is>
      </c>
      <c r="D52" s="7" t="inlineStr">
        <is>
          <t>Auditoría de backend para el rediseño C+: 5 migraciones propuestas sin aplicar</t>
        </is>
      </c>
      <c r="E52"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53">
      <c r="A53" s="8" t="inlineStr">
        <is>
          <t>2026-09-25</t>
        </is>
      </c>
      <c r="B53" s="7" t="inlineStr">
        <is>
          <t>sesión principal (despliegue PR #2)</t>
        </is>
      </c>
      <c r="C53" s="8" t="inlineStr">
        <is>
          <t>4.9; P-83, P-84, P-85, P-89</t>
        </is>
      </c>
      <c r="D53" s="7" t="inlineStr">
        <is>
          <t>Despliegue confirmado en producción: 4.9, P-83, P-84, P-85 y P-89 pasan a Hecho</t>
        </is>
      </c>
      <c r="E53"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54">
      <c r="A54" s="8" t="inlineStr">
        <is>
          <t>2026-09-25</t>
        </is>
      </c>
      <c r="B54" s="7" t="inlineStr">
        <is>
          <t>sesión principal (coordinador)</t>
        </is>
      </c>
      <c r="C54" s="8" t="inlineStr">
        <is>
          <t>4.9; P-83, P-84, P-85, P-89; 6.15</t>
        </is>
      </c>
      <c r="D54" s="7" t="inlineStr">
        <is>
          <t>Cuenta demo para admin, máscara de correo sin dominio y cierre de P-86/P-87</t>
        </is>
      </c>
      <c r="E54"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55">
      <c r="A55" s="8" t="inlineStr">
        <is>
          <t>2026-09-25</t>
        </is>
      </c>
      <c r="B55" s="4" t="inlineStr">
        <is>
          <t>sesión principal</t>
        </is>
      </c>
      <c r="C55" s="8" t="inlineStr">
        <is>
          <t>5.3; P-13</t>
        </is>
      </c>
      <c r="D55" s="7" t="inlineStr">
        <is>
          <t>Texto de vigilancia de Supersolidaria confirmado</t>
        </is>
      </c>
      <c r="E55"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56">
      <c r="A56" s="8" t="inlineStr">
        <is>
          <t>2026-09-25</t>
        </is>
      </c>
      <c r="B56" s="4" t="inlineStr">
        <is>
          <t>ga-verificador-qa</t>
        </is>
      </c>
      <c r="C56" s="8" t="inlineStr">
        <is>
          <t>6.3; nuevos P-84, P-86, P-87</t>
        </is>
      </c>
      <c r="D56" s="7" t="inlineStr">
        <is>
          <t>QA de producción: con observaciones</t>
        </is>
      </c>
      <c r="E56"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57">
      <c r="A57" s="8" t="inlineStr">
        <is>
          <t>2026-09-25</t>
        </is>
      </c>
      <c r="B57" s="4" t="inlineStr">
        <is>
          <t>sesión principal</t>
        </is>
      </c>
      <c r="C57" s="8" t="inlineStr">
        <is>
          <t>2.12; nuevo P-85</t>
        </is>
      </c>
      <c r="D57" s="7" t="inlineStr">
        <is>
          <t>El formulario de afiliación acepta correo de cualquier dominio</t>
        </is>
      </c>
      <c r="E57"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58">
      <c r="A58" s="8" t="inlineStr">
        <is>
          <t>2026-09-25</t>
        </is>
      </c>
      <c r="B58" s="4" t="inlineStr">
        <is>
          <t>ga-revisor-seguridad</t>
        </is>
      </c>
      <c r="C58" s="8" t="inlineStr">
        <is>
          <t>6.2; nuevos P-83, P-88</t>
        </is>
      </c>
      <c r="D58" s="7" t="inlineStr">
        <is>
          <t>Revisión de seguridad final de producción: aprobado con observaciones</t>
        </is>
      </c>
      <c r="E58"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59">
      <c r="A59" s="8" t="inlineStr">
        <is>
          <t>2026-09-25</t>
        </is>
      </c>
      <c r="B59" s="7" t="inlineStr">
        <is>
          <t>sesión principal (coordinador)</t>
        </is>
      </c>
      <c r="C59" s="8" t="inlineStr">
        <is>
          <t>6.5, 6.13; P-59, P-64; nuevo P-82</t>
        </is>
      </c>
      <c r="D59" s="7" t="inlineStr">
        <is>
          <t>PR develop → main fusionado; fase 2 desplegada en producción</t>
        </is>
      </c>
      <c r="E59"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60">
      <c r="A60" s="8" t="inlineStr">
        <is>
          <t>2026-09-25</t>
        </is>
      </c>
      <c r="B60" s="7" t="inlineStr">
        <is>
          <t>sesión principal (coordinador)</t>
        </is>
      </c>
      <c r="C60" s="8" t="inlineStr">
        <is>
          <t>6.9, 6.13; P-44, P-59, P-61</t>
        </is>
      </c>
      <c r="D60" s="7" t="inlineStr">
        <is>
          <t>Migraciones de fase 2 aplicadas en producción; plantillas de Resend y variables de Vercel puestas</t>
        </is>
      </c>
      <c r="E60"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61">
      <c r="A61" s="8" t="inlineStr">
        <is>
          <t>2026-09-24</t>
        </is>
      </c>
      <c r="B61" s="7" t="inlineStr">
        <is>
          <t>sesión principal (coordinador)</t>
        </is>
      </c>
      <c r="C61" s="8" t="inlineStr">
        <is>
          <t>5.4, P-14, P-61, P-62, P-72; nuevos P-75 a P-81</t>
        </is>
      </c>
      <c r="D61" s="7" t="inlineStr">
        <is>
          <t>Borrador de la política de datos y plantillas de Resend listas; Test QA borrado y dominio conectado</t>
        </is>
      </c>
      <c r="E61"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62">
      <c r="A62" s="8" t="inlineStr">
        <is>
          <t>2026-09-24</t>
        </is>
      </c>
      <c r="B62" s="7" t="inlineStr">
        <is>
          <t>Sebas (acuerdo con Carlos Pardo)</t>
        </is>
      </c>
      <c r="C62" s="8" t="inlineStr">
        <is>
          <t>4.1, 4.7, 4.8, 5.9, 5.10, 6.14, 6.15; P-65 a P-74</t>
        </is>
      </c>
      <c r="D62" s="7" t="inlineStr">
        <is>
          <t>Corrección de 4.1 y encargo externo a Carlos Pardo (500.000 COP) por PR a develop</t>
        </is>
      </c>
      <c r="E62"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63">
      <c r="A63" s="8" t="inlineStr">
        <is>
          <t>2026-09-24</t>
        </is>
      </c>
      <c r="B63" s="4" t="inlineStr">
        <is>
          <t>ga-escritor-tests</t>
        </is>
      </c>
      <c r="C63" s="8" t="inlineStr">
        <is>
          <t>6.1, P-58</t>
        </is>
      </c>
      <c r="D63" s="7" t="inlineStr">
        <is>
          <t>tests/e2e/d-afiliacion.spec.ts reescrito para la afiliación v2; bug real encontrado en esquemaAfiliacion</t>
        </is>
      </c>
      <c r="E63"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64">
      <c r="A64" s="8" t="inlineStr">
        <is>
          <t>2026-09-24</t>
        </is>
      </c>
      <c r="B64" s="7" t="inlineStr">
        <is>
          <t>Sebas (coordinación con la cooperativa)</t>
        </is>
      </c>
      <c r="C64" s="8" t="inlineStr">
        <is>
          <t>5.3; P-10, P-11, P-12, P-17, P-18, P-38, P-44</t>
        </is>
      </c>
      <c r="D64" s="7" t="inlineStr">
        <is>
          <t>Datos reales de contacto entregados; se cancela la importación de Excel; 3 admins reales en producción</t>
        </is>
      </c>
      <c r="E64"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65">
      <c r="A65" s="8" t="inlineStr">
        <is>
          <t>2026-09-24</t>
        </is>
      </c>
      <c r="B65" s="4" t="inlineStr">
        <is>
          <t>ga-funcionalidad-botones</t>
        </is>
      </c>
      <c r="C65" s="8" t="inlineStr">
        <is>
          <t>2.12, 4.1, 4.2, 4.5, 4.6, 6.2; P-36, P-37</t>
        </is>
      </c>
      <c r="D65" s="7" t="inlineStr">
        <is>
          <t>Afiliación v2, panel /admin y correcciones de la auditoría y la revisión de seguridad (F2-01/F2-04, S-01 a S-14)</t>
        </is>
      </c>
      <c r="E65"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66">
      <c r="A66" s="8" t="inlineStr">
        <is>
          <t>2026-09-24</t>
        </is>
      </c>
      <c r="B66" s="4" t="inlineStr">
        <is>
          <t>ga-revisor-seguridad</t>
        </is>
      </c>
      <c r="C66" s="8" t="inlineStr">
        <is>
          <t>6.2</t>
        </is>
      </c>
      <c r="D66" s="7" t="inlineStr">
        <is>
          <t>Revisión de seguridad de fase 2: 3 bloqueos para el despliegue</t>
        </is>
      </c>
      <c r="E66"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67">
      <c r="A67" s="8" t="inlineStr">
        <is>
          <t>2026-09-24</t>
        </is>
      </c>
      <c r="B67" s="4" t="inlineStr">
        <is>
          <t>ga-auditor-supabase</t>
        </is>
      </c>
      <c r="C67" s="8" t="inlineStr">
        <is>
          <t>1.6</t>
        </is>
      </c>
      <c r="D67" s="7" t="inlineStr">
        <is>
          <t>Auditoría de las 6 migraciones de fase 2: 1 hallazgo alto, 3 migraciones correctivas propuestas</t>
        </is>
      </c>
      <c r="E67"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68">
      <c r="A68" s="8" t="inlineStr">
        <is>
          <t>2026-09-24</t>
        </is>
      </c>
      <c r="B68" s="4" t="inlineStr">
        <is>
          <t>ga-funcionalidad-botones</t>
        </is>
      </c>
      <c r="C68" s="8" t="inlineStr">
        <is>
          <t>3.9</t>
        </is>
      </c>
      <c r="D68" s="7" t="inlineStr">
        <is>
          <t>Sorteo mensual en /cuenta</t>
        </is>
      </c>
      <c r="E68"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69">
      <c r="A69" s="8" t="inlineStr">
        <is>
          <t>2026-09-24</t>
        </is>
      </c>
      <c r="B69" s="4" t="inlineStr">
        <is>
          <t>ga-funcionalidad-botones</t>
        </is>
      </c>
      <c r="C69" s="8" t="inlineStr">
        <is>
          <t>4.6; P-57</t>
        </is>
      </c>
      <c r="D69" s="7" t="inlineStr">
        <is>
          <t>Rol asesor: /asesor (mis clientes) y /asesor/demo</t>
        </is>
      </c>
      <c r="E69"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70">
      <c r="A70" s="8" t="inlineStr">
        <is>
          <t>2026-09-24</t>
        </is>
      </c>
      <c r="B70" s="4" t="inlineStr">
        <is>
          <t>ga-auditor-supabase</t>
        </is>
      </c>
      <c r="C70" s="8" t="inlineStr">
        <is>
          <t>1.5; P-63</t>
        </is>
      </c>
      <c r="D70" s="7" t="inlineStr">
        <is>
          <t>Modelo de datos de fase 2: rol asesor, afiliación v2, bucket de fotos y sorteo mensual</t>
        </is>
      </c>
      <c r="E70"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71">
      <c r="A71" s="8" t="inlineStr">
        <is>
          <t>2026-09-23</t>
        </is>
      </c>
      <c r="B71" s="7" t="inlineStr">
        <is>
          <t>ga-funcionalidad-botones + ga-diseno-a-codigo</t>
        </is>
      </c>
      <c r="C71" s="8" t="inlineStr">
        <is>
          <t>6.3</t>
        </is>
      </c>
      <c r="D71" s="7" t="inlineStr">
        <is>
          <t>Corregidos F-01 a F-08 de verificación 3 y los 8 hallazgos responsive</t>
        </is>
      </c>
      <c r="E71"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72">
      <c r="A72" s="8" t="inlineStr">
        <is>
          <t>2026-09-23</t>
        </is>
      </c>
      <c r="B72" s="7" t="inlineStr">
        <is>
          <t>ga-verificador-responsive + ga-verificador-qa</t>
        </is>
      </c>
      <c r="C72" s="8" t="inlineStr">
        <is>
          <t>6.3; P-39</t>
        </is>
      </c>
      <c r="D72" s="7" t="inlineStr">
        <is>
          <t>Responsive 3 (8 hallazgos menores) y QA E2E 3 (236/241, NO APROBADO)</t>
        </is>
      </c>
      <c r="E72"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73">
      <c r="A73" s="8" t="inlineStr">
        <is>
          <t>2026-09-23</t>
        </is>
      </c>
      <c r="B73" s="4" t="inlineStr">
        <is>
          <t>ga-verificador-responsive</t>
        </is>
      </c>
      <c r="C73" s="8" t="inlineStr">
        <is>
          <t>6.3, 5.2, 5.8; P-39, P-53</t>
        </is>
      </c>
      <c r="D73" s="7" t="inlineStr">
        <is>
          <t>Verificación responsive 2: 0 fallas en 13 anchos; tests/responsive 10/10</t>
        </is>
      </c>
      <c r="E73"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74">
      <c r="A74" s="8" t="inlineStr">
        <is>
          <t>2026-09-23</t>
        </is>
      </c>
      <c r="B74" s="4" t="inlineStr">
        <is>
          <t>ga-funcionalidad-botones</t>
        </is>
      </c>
      <c r="C74" s="8" t="inlineStr">
        <is>
          <t>3.7, 5.5, 5.6, 6.9, 6.11; P-35, P-40, P-44, P-56</t>
        </is>
      </c>
      <c r="D74" s="7" t="inlineStr">
        <is>
          <t>HMAC en el límite de intentos, crédito en /cuenta/solicitar y borradas /login y /dashboard</t>
        </is>
      </c>
      <c r="E74"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75">
      <c r="A75" s="8" t="inlineStr">
        <is>
          <t>2026-09-23</t>
        </is>
      </c>
      <c r="B75" s="4" t="inlineStr">
        <is>
          <t>ga-diseno-a-codigo</t>
        </is>
      </c>
      <c r="C75" s="8" t="inlineStr">
        <is>
          <t>5.2, 5.8, 6.3</t>
        </is>
      </c>
      <c r="D75" s="7" t="inlineStr">
        <is>
          <t>Corregido el scroll horizontal y marca de agua más tenue</t>
        </is>
      </c>
      <c r="E75" s="7" t="inlineStr">
        <is>
          <t>Enlace del logo encoge (min-w-0 shrink) en los 5 headers; formulario de ingreso w-full con máximo 440 px y relleno de 32 px entre 1024 y 1279 px; marca de agua del hero en la esquina contraria y más tenue. 5.8 queda Hecho (peso 1, depende de 5.2 y 5.7).</t>
        </is>
      </c>
    </row>
    <row r="76">
      <c r="A76" s="8" t="inlineStr">
        <is>
          <t>2026-09-23</t>
        </is>
      </c>
      <c r="B76" s="4" t="inlineStr">
        <is>
          <t>ga-verificador-responsive</t>
        </is>
      </c>
      <c r="C76" s="8" t="inlineStr">
        <is>
          <t>6.3, 5.2, 2.1, 5.8; P-39</t>
        </is>
      </c>
      <c r="D76" s="7" t="inlineStr">
        <is>
          <t>Verificación responsive 1: logo y fotos bien; 2 fallas críticas de scroll previas</t>
        </is>
      </c>
      <c r="E76"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77">
      <c r="A77" s="8" t="inlineStr">
        <is>
          <t>2026-09-23</t>
        </is>
      </c>
      <c r="B77" s="4" t="inlineStr">
        <is>
          <t>ga-diseno-a-codigo</t>
        </is>
      </c>
      <c r="C77" s="8" t="inlineStr">
        <is>
          <t>2.1, 5.3, 5.7; P-16, P-52</t>
        </is>
      </c>
      <c r="D77" s="7" t="inlineStr">
        <is>
          <t>Logo con letras oficiales en SVG y espacios de foto de marca en la landing</t>
        </is>
      </c>
      <c r="E77"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78">
      <c r="A78" s="8" t="inlineStr">
        <is>
          <t>2026-09-23</t>
        </is>
      </c>
      <c r="B78" s="4" t="inlineStr">
        <is>
          <t>ga-auditor-supabase</t>
        </is>
      </c>
      <c r="C78" s="8" t="inlineStr">
        <is>
          <t>6.8, 6.11, 6.12; P-43, P-54, P-55</t>
        </is>
      </c>
      <c r="D78" s="7" t="inlineStr">
        <is>
          <t>Migración limite_de_intentos auditada: se puede aplicar tal cual</t>
        </is>
      </c>
      <c r="E78"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79">
      <c r="A79" s="8" t="inlineStr">
        <is>
          <t>2026-09-23</t>
        </is>
      </c>
      <c r="B79" s="7" t="inlineStr">
        <is>
          <t>Sebas + ga-auditor-supabase</t>
        </is>
      </c>
      <c r="C79" s="8" t="inlineStr">
        <is>
          <t>2.4, 6.8, 6.10; P-09, P-19, P-20, P-43, P-45</t>
        </is>
      </c>
      <c r="D79" s="7" t="inlineStr">
        <is>
          <t>SMTP de Resend configurado, plantilla del código lista en local y blindar confirmada en producción</t>
        </is>
      </c>
      <c r="E79"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80">
      <c r="A80" s="8" t="inlineStr">
        <is>
          <t>2026-09-23</t>
        </is>
      </c>
      <c r="B80" s="4" t="inlineStr">
        <is>
          <t>Sebas</t>
        </is>
      </c>
      <c r="C80" s="8" t="inlineStr">
        <is>
          <t>—</t>
        </is>
      </c>
      <c r="D80" s="7" t="inlineStr">
        <is>
          <t>Agente ga-auditor-supabase corregido</t>
        </is>
      </c>
      <c r="E80" s="7" t="inlineStr">
        <is>
          <t>Sus disallowedTools ahora usan los nombres reales del MCP (mcp__claude_ai_Supabase__*). Sin efecto en el plan.</t>
        </is>
      </c>
    </row>
    <row r="81">
      <c r="A81" s="8" t="inlineStr">
        <is>
          <t>2026-09-23</t>
        </is>
      </c>
      <c r="B81" s="7" t="inlineStr">
        <is>
          <t>Sebas + ga-auditor-supabase</t>
        </is>
      </c>
      <c r="C81" s="8" t="inlineStr">
        <is>
          <t>3.1, 6.5, 6.10; P-09</t>
        </is>
      </c>
      <c r="D81" s="7" t="inlineStr">
        <is>
          <t>Producción atrasada: falta la migración blindar_solicitudes_y_revisiones</t>
        </is>
      </c>
      <c r="E81"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82">
      <c r="A82" s="8" t="inlineStr">
        <is>
          <t>2026-09-23</t>
        </is>
      </c>
      <c r="B82" s="4" t="inlineStr">
        <is>
          <t>ga-escritor-tests</t>
        </is>
      </c>
      <c r="C82" s="8" t="inlineStr">
        <is>
          <t>6.1</t>
        </is>
      </c>
      <c r="D82" s="7" t="inlineStr">
        <is>
          <t>132/132 unitarias, 131/131 pgTAP y tsc sin errores</t>
        </is>
      </c>
      <c r="E82"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83">
      <c r="A83" s="8" t="inlineStr">
        <is>
          <t>2026-09-23</t>
        </is>
      </c>
      <c r="B83" s="7" t="inlineStr">
        <is>
          <t>Sebas + ga-funcionalidad-botones</t>
        </is>
      </c>
      <c r="C83" s="8" t="inlineStr">
        <is>
          <t>2.9, 3.8, 4.5, 6.1, 6.2, 6.9; P-19, P-20, P-28, P-36, P-37, P-44, P-45, P-50, P-51</t>
        </is>
      </c>
      <c r="D83" s="7" t="inlineStr">
        <is>
          <t>Se quitan del código los correos de aviso de afiliación y de solicitud de crédito; docs/resend-plantillas.md reescrito</t>
        </is>
      </c>
      <c r="E83"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84">
      <c r="A84" s="8" t="inlineStr">
        <is>
          <t>2026-09-23</t>
        </is>
      </c>
      <c r="B84" s="4" t="inlineStr">
        <is>
          <t>ga-verificador-qa</t>
        </is>
      </c>
      <c r="C84" s="8" t="inlineStr">
        <is>
          <t>6.3, 2.11; P-39, P-48, P-49, P-50</t>
        </is>
      </c>
      <c r="D84" s="7" t="inlineStr">
        <is>
          <t>QA 1 de punta a punta: 186 pruebas pasan, 2 fallan</t>
        </is>
      </c>
      <c r="E84"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85">
      <c r="A85" s="8" t="inlineStr">
        <is>
          <t>2026-09-23</t>
        </is>
      </c>
      <c r="B85" s="4" t="inlineStr">
        <is>
          <t>ga-funcionalidad-botones</t>
        </is>
      </c>
      <c r="C85" s="8" t="inlineStr">
        <is>
          <t>2.4, 2.5, 2.6, 2.7, 2.8, 2.9, 2.10, 3.5, 3.6, 3.7, 3.8, 5.4, 6.1, 6.5, 6.8, 6.9; P-15, P-20, P-22 a P-35, P-43 a P-47</t>
        </is>
      </c>
      <c r="D85" s="7" t="inlineStr">
        <is>
          <t>Botones de /, /ingresar, /ingresar/codigo, /afiliacion, /afiliacion/enviada y /cuenta funcionando en local</t>
        </is>
      </c>
      <c r="E85"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86">
      <c r="A86" s="8" t="inlineStr">
        <is>
          <t>2026-09-23</t>
        </is>
      </c>
      <c r="B86" s="4" t="inlineStr">
        <is>
          <t>Claude (sesión principal)</t>
        </is>
      </c>
      <c r="C86" s="8" t="inlineStr">
        <is>
          <t>Todas</t>
        </is>
      </c>
      <c r="D86" s="7" t="inlineStr">
        <is>
          <t>Creación del Excel de avances</t>
        </is>
      </c>
      <c r="E86"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2026-10-01T03:57:12Z</dcterms:created>
  <dcterms:modified xmlns:dcterms="http://purl.org/dc/terms/" xmlns:xsi="http://www.w3.org/2001/XMLSchema-instance" xsi:type="dcterms:W3CDTF">2026-10-01T03:57:13Z</dcterms:modified>
</cp:coreProperties>
</file>