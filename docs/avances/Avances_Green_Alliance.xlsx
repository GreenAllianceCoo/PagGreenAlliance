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endientes" sheetId="2" state="visible" r:id="rId2"/>
    <sheet xmlns:r="http://schemas.openxmlformats.org/officeDocument/2006/relationships" name="Plan" sheetId="3" state="visible" r:id="rId3"/>
    <sheet xmlns:r="http://schemas.openxmlformats.org/officeDocument/2006/relationships" name="Gantt" sheetId="4" state="visible" r:id="rId4"/>
    <sheet xmlns:r="http://schemas.openxmlformats.org/officeDocument/2006/relationships" name="Cola" sheetId="5" state="visible" r:id="rId5"/>
    <sheet xmlns:r="http://schemas.openxmlformats.org/officeDocument/2006/relationships" name="Propuesta original" sheetId="6" state="visible" r:id="rId6"/>
    <sheet xmlns:r="http://schemas.openxmlformats.org/officeDocument/2006/relationships" name="Pesos" sheetId="7" state="visible" r:id="rId7"/>
    <sheet xmlns:r="http://schemas.openxmlformats.org/officeDocument/2006/relationships" name="Bitácora" sheetId="8" state="visible" r:id="rId8"/>
  </sheets>
  <definedNames>
    <definedName name="_xlnm._FilterDatabase" localSheetId="1" hidden="1">'Pendientes'!$A$4:$J$69</definedName>
    <definedName name="_xlnm._FilterDatabase" localSheetId="2" hidden="1">'Plan'!$A$4:$R$57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$#,##0"/>
    <numFmt numFmtId="167" formatCode="&quot;S&quot;0"/>
  </numFmts>
  <fonts count="13">
    <font>
      <name val="Calibri"/>
      <family val="2"/>
      <color theme="1"/>
      <sz val="11"/>
      <scheme val="minor"/>
    </font>
    <font>
      <name val="Arial"/>
      <b val="1"/>
      <color rgb="001A3C57"/>
      <sz val="16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color rgb="00FFFFFF"/>
      <sz val="7"/>
    </font>
    <font>
      <name val="Arial"/>
      <color rgb="00FFFFFF"/>
      <sz val="6"/>
    </font>
    <font>
      <name val="Arial"/>
      <b val="1"/>
      <color rgb="001A3C57"/>
      <sz val="10"/>
    </font>
    <font>
      <name val="Arial"/>
      <b val="1"/>
      <color rgb="00008000"/>
      <sz val="10"/>
    </font>
    <font>
      <name val="Arial"/>
      <b val="1"/>
      <color rgb="00FFFFFF"/>
      <sz val="8"/>
    </font>
  </fonts>
  <fills count="6">
    <fill>
      <patternFill/>
    </fill>
    <fill>
      <patternFill patternType="gray125"/>
    </fill>
    <fill>
      <patternFill patternType="solid">
        <fgColor rgb="001A3C57"/>
      </patternFill>
    </fill>
    <fill>
      <patternFill patternType="solid">
        <fgColor rgb="00FFF6CC"/>
      </patternFill>
    </fill>
    <fill>
      <patternFill patternType="solid">
        <fgColor rgb="001E6652"/>
      </patternFill>
    </fill>
    <fill>
      <patternFill patternType="solid">
        <fgColor rgb="00E3EFEA"/>
      </patternFill>
    </fill>
  </fills>
  <borders count="5">
    <border>
      <left/>
      <right/>
      <top/>
      <bottom/>
      <diagonal/>
    </border>
    <border>
      <left style="thin">
        <color rgb="00D0D7D3"/>
      </left>
      <right style="thin">
        <color rgb="00D0D7D3"/>
      </right>
      <top style="thin">
        <color rgb="00D0D7D3"/>
      </top>
      <bottom style="thin">
        <color rgb="00D0D7D3"/>
      </bottom>
    </border>
    <border/>
    <border>
      <bottom style="thin">
        <color rgb="00D0D7D3"/>
      </bottom>
    </border>
    <border>
      <left style="hair">
        <color rgb="00E6E6E6"/>
      </left>
      <bottom style="hair">
        <color rgb="00E6E6E6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0" borderId="1" applyAlignment="1" pivotButton="0" quotePrefix="0" xfId="0">
      <alignment vertical="top"/>
    </xf>
    <xf numFmtId="0" fontId="6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9" fontId="4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166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/>
    </xf>
    <xf numFmtId="166" fontId="4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textRotation="90"/>
    </xf>
    <xf numFmtId="0" fontId="10" fillId="5" borderId="0" pivotButton="0" quotePrefix="0" xfId="0"/>
    <xf numFmtId="0" fontId="0" fillId="5" borderId="0" pivotButton="0" quotePrefix="0" xfId="0"/>
    <xf numFmtId="0" fontId="4" fillId="5" borderId="0" pivotButton="0" quotePrefix="0" xfId="0"/>
    <xf numFmtId="9" fontId="7" fillId="5" borderId="0" pivotButton="0" quotePrefix="0" xfId="0"/>
    <xf numFmtId="0" fontId="0" fillId="0" borderId="3" pivotButton="0" quotePrefix="0" xfId="0"/>
    <xf numFmtId="0" fontId="1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0" borderId="4" applyAlignment="1" pivotButton="0" quotePrefix="0" xfId="0">
      <alignment horizontal="center" vertical="center"/>
    </xf>
    <xf numFmtId="0" fontId="7" fillId="0" borderId="1" applyAlignment="1" pivotButton="0" quotePrefix="0" xfId="0">
      <alignment vertical="top"/>
    </xf>
    <xf numFmtId="9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7" fontId="3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5" fillId="0" borderId="0" pivotButton="0" quotePrefix="0" xfId="0"/>
  </cellXfs>
  <cellStyles count="1">
    <cellStyle name="Normal" xfId="0" builtinId="0" hidden="0"/>
  </cellStyles>
  <dxfs count="18">
    <dxf>
      <fill>
        <patternFill patternType="solid">
          <bgColor rgb="00D7EBDD"/>
        </patternFill>
      </fill>
    </dxf>
    <dxf>
      <font>
        <b val="1"/>
        <color rgb="001E6652"/>
      </font>
      <fill>
        <patternFill patternType="solid">
          <bgColor rgb="00D7EBDD"/>
        </patternFill>
      </fill>
    </dxf>
    <dxf>
      <font>
        <b val="1"/>
        <color rgb="001A3C57"/>
      </font>
      <fill>
        <patternFill patternType="solid">
          <bgColor rgb="00DCE8F5"/>
        </patternFill>
      </fill>
    </dxf>
    <dxf>
      <font>
        <b val="1"/>
        <color rgb="00444444"/>
      </font>
      <fill>
        <patternFill patternType="solid">
          <bgColor rgb="00F2F2F2"/>
        </patternFill>
      </fill>
    </dxf>
    <dxf>
      <font>
        <b val="1"/>
        <color rgb="008A5300"/>
      </font>
      <fill>
        <patternFill patternType="solid">
          <bgColor rgb="00FBE6C8"/>
        </patternFill>
      </fill>
    </dxf>
    <dxf>
      <font>
        <b val="1"/>
        <color rgb="00B3261E"/>
      </font>
    </dxf>
    <dxf>
      <font>
        <b val="1"/>
        <color rgb="008A5300"/>
      </font>
    </dxf>
    <dxf>
      <font>
        <b val="1"/>
        <color rgb="00666666"/>
      </font>
    </dxf>
    <dxf>
      <font>
        <strike val="1"/>
        <color rgb="008A8A8A"/>
      </font>
    </dxf>
    <dxf>
      <fill>
        <patternFill patternType="solid">
          <bgColor rgb="001E6652"/>
        </patternFill>
      </fill>
    </dxf>
    <dxf>
      <fill>
        <patternFill patternType="solid">
          <bgColor rgb="001A3C57"/>
        </patternFill>
      </fill>
    </dxf>
    <dxf>
      <fill>
        <patternFill patternType="solid">
          <bgColor rgb="00B9D3C9"/>
        </patternFill>
      </fill>
    </dxf>
    <dxf>
      <fill>
        <patternFill patternType="solid">
          <bgColor rgb="009DBFB3"/>
        </patternFill>
      </fill>
    </dxf>
    <dxf>
      <fill>
        <patternFill patternType="solid">
          <bgColor rgb="00E0A43A"/>
        </patternFill>
      </fill>
    </dxf>
    <dxf>
      <fill>
        <patternFill patternType="solid">
          <bgColor rgb="007B5EA7"/>
        </patternFill>
      </fill>
    </dxf>
    <dxf>
      <fill>
        <patternFill patternType="solid">
          <bgColor rgb="00F8D7D5"/>
        </patternFill>
      </fill>
    </dxf>
    <dxf>
      <fill>
        <patternFill patternType="solid">
          <bgColor rgb="00D32F2F"/>
        </patternFill>
      </fill>
    </dxf>
    <dxf>
      <fill>
        <patternFill patternType="solid">
          <bgColor rgb="00FBE6C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5" customWidth="1" min="3" max="3"/>
    <col width="15" customWidth="1" min="4" max="4"/>
    <col width="34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Green Alliance — tablero de avances</t>
        </is>
      </c>
    </row>
    <row r="2">
      <c r="A2" s="2" t="inlineStr">
        <is>
          <t>Actualizado: 2026-09-24. Lo mantiene el agente ga-supervisor-avances a partir de docs/avances/plan.json.</t>
        </is>
      </c>
    </row>
    <row r="4">
      <c r="B4" s="3" t="inlineStr">
        <is>
          <t>Parámetros</t>
        </is>
      </c>
    </row>
    <row r="5">
      <c r="B5" s="4" t="inlineStr">
        <is>
          <t>Bloques por semana</t>
        </is>
      </c>
      <c r="C5" s="5" t="n">
        <v>10</v>
      </c>
      <c r="D5" s="6" t="inlineStr">
        <is>
          <t>1 bloque = 1 punto de peso ≈ media jornada de trabajo. Se puede cambiar en la hoja Resumen.</t>
        </is>
      </c>
    </row>
    <row r="6">
      <c r="B6" s="7" t="inlineStr">
        <is>
          <t>HOY (bloque donde termina lo hecho)</t>
        </is>
      </c>
      <c r="C6" s="8" t="n">
        <v>48</v>
      </c>
      <c r="D6" s="6" t="inlineStr">
        <is>
          <t>Calculado por el optimizador.</t>
        </is>
      </c>
    </row>
    <row r="8">
      <c r="B8" s="3" t="inlineStr">
        <is>
          <t>Indicadores</t>
        </is>
      </c>
    </row>
    <row r="9">
      <c r="B9" s="4" t="inlineStr">
        <is>
          <t>Actividades en el plan</t>
        </is>
      </c>
      <c r="C9" s="9">
        <f>COUNTA(Plan!$A$5:$A$57)</f>
        <v/>
      </c>
    </row>
    <row r="10">
      <c r="B10" s="4" t="inlineStr">
        <is>
          <t>Hechas</t>
        </is>
      </c>
      <c r="C10" s="9">
        <f>COUNTIF(Plan!$O$5:$O$57,"Hecho")</f>
        <v/>
      </c>
    </row>
    <row r="11">
      <c r="B11" s="4" t="inlineStr">
        <is>
          <t>En curso</t>
        </is>
      </c>
      <c r="C11" s="9">
        <f>COUNTIF(Plan!$O$5:$O$57,"En curso")</f>
        <v/>
      </c>
    </row>
    <row r="12">
      <c r="B12" s="4" t="inlineStr">
        <is>
          <t>Pendientes</t>
        </is>
      </c>
      <c r="C12" s="9">
        <f>COUNTIF(Plan!$O$5:$O$57,"Pendiente")</f>
        <v/>
      </c>
    </row>
    <row r="13">
      <c r="B13" s="7" t="inlineStr">
        <is>
          <t>Bloqueadas (esperan a la cooperativa)</t>
        </is>
      </c>
      <c r="C13" s="9">
        <f>COUNTIF(Plan!$O$5:$O$57,"Bloqueado")</f>
        <v/>
      </c>
    </row>
    <row r="14">
      <c r="B14" s="4" t="inlineStr">
        <is>
          <t>Peso total (puntos)</t>
        </is>
      </c>
      <c r="C14" s="9">
        <f>SUM(Plan!$D$5:$D$57)</f>
        <v/>
      </c>
    </row>
    <row r="15">
      <c r="B15" s="4" t="inlineStr">
        <is>
          <t>Peso hecho (puntos)</t>
        </is>
      </c>
      <c r="C15" s="9">
        <f>SUMIF(Plan!$O$5:$O$57,"Hecho",Plan!$D$5:$D$57)</f>
        <v/>
      </c>
    </row>
    <row r="16">
      <c r="B16" s="4" t="inlineStr">
        <is>
          <t>Avance ponderado por peso</t>
        </is>
      </c>
      <c r="C16" s="10">
        <f>IF(C14=0,0,C15/C14)</f>
        <v/>
      </c>
    </row>
    <row r="17">
      <c r="B17" s="7" t="inlineStr">
        <is>
          <t>Duración total optimizada (bloques)</t>
        </is>
      </c>
      <c r="C17" s="9">
        <f>MAX(Plan!$L$5:$L$57)</f>
        <v/>
      </c>
    </row>
    <row r="18">
      <c r="B18" s="7" t="inlineStr">
        <is>
          <t>Duración total optimizada (semanas)</t>
        </is>
      </c>
      <c r="C18" s="11">
        <f>C17/C5</f>
        <v/>
      </c>
    </row>
    <row r="19">
      <c r="B19" s="7" t="inlineStr">
        <is>
          <t>Si se hiciera en una sola fila (bloques)</t>
        </is>
      </c>
      <c r="C19" s="9">
        <f>C14</f>
        <v/>
      </c>
    </row>
    <row r="20">
      <c r="B20" s="7" t="inlineStr">
        <is>
          <t>Si se hiciera en una sola fila (semanas)</t>
        </is>
      </c>
      <c r="C20" s="11">
        <f>C19/C5</f>
        <v/>
      </c>
    </row>
    <row r="21">
      <c r="B21" s="7" t="inlineStr">
        <is>
          <t>Tiempo ahorrado con 2 filas</t>
        </is>
      </c>
      <c r="C21" s="10">
        <f>IF(C19=0,0,1-C17/C19)</f>
        <v/>
      </c>
    </row>
    <row r="22">
      <c r="B22" s="4" t="inlineStr">
        <is>
          <t>Falta desde HOY (semanas)</t>
        </is>
      </c>
      <c r="C22" s="11">
        <f>(C17-C6)/C5</f>
        <v/>
      </c>
    </row>
    <row r="23">
      <c r="B23" s="4" t="inlineStr">
        <is>
          <t>Uso de la Fila A</t>
        </is>
      </c>
      <c r="C23" s="12">
        <f>IF(C17=0,0,(SUMIF(Plan!$I$5:$I$57,"A",Plan!$E$5:$E$57)+SUMIF(Plan!$I$5:$I$57,"A+B",Plan!$E$5:$E$57))/C17)</f>
        <v/>
      </c>
    </row>
    <row r="24">
      <c r="B24" s="4" t="inlineStr">
        <is>
          <t>Uso de la Fila B</t>
        </is>
      </c>
      <c r="C24" s="12">
        <f>IF(C17=0,0,(SUMIF(Plan!$I$5:$I$57,"B",Plan!$E$5:$E$57)+SUMIF(Plan!$I$5:$I$57,"A+B",Plan!$E$5:$E$57))/C17)</f>
        <v/>
      </c>
    </row>
    <row r="25">
      <c r="B25" s="7" t="inlineStr">
        <is>
          <t>Plazo de la propuesta (semanas)</t>
        </is>
      </c>
      <c r="C25" s="9">
        <f>MAX('Propuesta original'!E5:E10)</f>
        <v/>
      </c>
    </row>
    <row r="27">
      <c r="B27" s="3" t="inlineStr">
        <is>
          <t>Avance por fase</t>
        </is>
      </c>
    </row>
    <row r="28">
      <c r="A28" s="13" t="inlineStr"/>
      <c r="B28" s="14" t="inlineStr">
        <is>
          <t>Fase</t>
        </is>
      </c>
      <c r="C28" s="14" t="inlineStr">
        <is>
          <t>Peso total</t>
        </is>
      </c>
      <c r="D28" s="14" t="inlineStr">
        <is>
          <t>Peso hecho</t>
        </is>
      </c>
      <c r="E28" s="14" t="inlineStr">
        <is>
          <t>Avance</t>
        </is>
      </c>
      <c r="F28" s="14" t="inlineStr">
        <is>
          <t>Termina (bloque)</t>
        </is>
      </c>
      <c r="G28" s="14" t="inlineStr">
        <is>
          <t>Termina (semana)</t>
        </is>
      </c>
      <c r="H28" s="14" t="inlineStr">
        <is>
          <t>Propuesta (semanas)</t>
        </is>
      </c>
    </row>
    <row r="29">
      <c r="B29" s="4" t="inlineStr">
        <is>
          <t>1. Diseño y arquitectura</t>
        </is>
      </c>
      <c r="C29" s="15">
        <f>SUMIF(Plan!$B$5:$B$57,"1. Diseño y arquitectura",Plan!$D$5:$D$57)</f>
        <v/>
      </c>
      <c r="D29" s="15">
        <f>SUMIFS(Plan!$D$5:$D$57,Plan!$B$5:$B$57,"1. Diseño y arquitectura",Plan!$O$5:$O$57,"Hecho")</f>
        <v/>
      </c>
      <c r="E29" s="12">
        <f>IF(C29=0,0,D29/C29)</f>
        <v/>
      </c>
      <c r="F29" s="15">
        <f>SUMPRODUCT(MAX((Plan!$B$5:$B$57="1. Diseño y arquitectura")*Plan!$L$5:$L$57))</f>
        <v/>
      </c>
      <c r="G29" s="8">
        <f>"S"&amp;ROUNDUP(F29/$C$5,0)</f>
        <v/>
      </c>
      <c r="H29" s="16">
        <f>'Propuesta original'!E5</f>
        <v/>
      </c>
    </row>
    <row r="30">
      <c r="B30" s="7" t="inlineStr">
        <is>
          <t>2. Landing y autenticación</t>
        </is>
      </c>
      <c r="C30" s="15">
        <f>SUMIF(Plan!$B$5:$B$57,"2. Landing y autenticación",Plan!$D$5:$D$57)</f>
        <v/>
      </c>
      <c r="D30" s="15">
        <f>SUMIFS(Plan!$D$5:$D$57,Plan!$B$5:$B$57,"2. Landing y autenticación",Plan!$O$5:$O$57,"Hecho")</f>
        <v/>
      </c>
      <c r="E30" s="12">
        <f>IF(C30=0,0,D30/C30)</f>
        <v/>
      </c>
      <c r="F30" s="15">
        <f>SUMPRODUCT(MAX((Plan!$B$5:$B$57="2. Landing y autenticación")*Plan!$L$5:$L$57))</f>
        <v/>
      </c>
      <c r="G30" s="8">
        <f>"S"&amp;ROUNDUP(F30/$C$5,0)</f>
        <v/>
      </c>
      <c r="H30" s="16">
        <f>'Propuesta original'!E6</f>
        <v/>
      </c>
    </row>
    <row r="31">
      <c r="B31" s="7" t="inlineStr">
        <is>
          <t>3. Flujo de solicitud de crédito</t>
        </is>
      </c>
      <c r="C31" s="15">
        <f>SUMIF(Plan!$B$5:$B$57,"3. Flujo de solicitud de crédito",Plan!$D$5:$D$57)</f>
        <v/>
      </c>
      <c r="D31" s="15">
        <f>SUMIFS(Plan!$D$5:$D$57,Plan!$B$5:$B$57,"3. Flujo de solicitud de crédito",Plan!$O$5:$O$57,"Hecho")</f>
        <v/>
      </c>
      <c r="E31" s="12">
        <f>IF(C31=0,0,D31/C31)</f>
        <v/>
      </c>
      <c r="F31" s="15">
        <f>SUMPRODUCT(MAX((Plan!$B$5:$B$57="3. Flujo de solicitud de crédito")*Plan!$L$5:$L$57))</f>
        <v/>
      </c>
      <c r="G31" s="8">
        <f>"S"&amp;ROUNDUP(F31/$C$5,0)</f>
        <v/>
      </c>
      <c r="H31" s="16">
        <f>'Propuesta original'!E7</f>
        <v/>
      </c>
    </row>
    <row r="32">
      <c r="B32" s="7" t="inlineStr">
        <is>
          <t>4. Panel de administración</t>
        </is>
      </c>
      <c r="C32" s="15">
        <f>SUMIF(Plan!$B$5:$B$57,"4. Panel de administración",Plan!$D$5:$D$57)</f>
        <v/>
      </c>
      <c r="D32" s="15">
        <f>SUMIFS(Plan!$D$5:$D$57,Plan!$B$5:$B$57,"4. Panel de administración",Plan!$O$5:$O$57,"Hecho")</f>
        <v/>
      </c>
      <c r="E32" s="12">
        <f>IF(C32=0,0,D32/C32)</f>
        <v/>
      </c>
      <c r="F32" s="15">
        <f>SUMPRODUCT(MAX((Plan!$B$5:$B$57="4. Panel de administración")*Plan!$L$5:$L$57))</f>
        <v/>
      </c>
      <c r="G32" s="8">
        <f>"S"&amp;ROUNDUP(F32/$C$5,0)</f>
        <v/>
      </c>
      <c r="H32" s="16">
        <f>'Propuesta original'!E8</f>
        <v/>
      </c>
    </row>
    <row r="33">
      <c r="B33" s="4" t="inlineStr">
        <is>
          <t>5. Convenios y pulido</t>
        </is>
      </c>
      <c r="C33" s="15">
        <f>SUMIF(Plan!$B$5:$B$57,"5. Convenios y pulido",Plan!$D$5:$D$57)</f>
        <v/>
      </c>
      <c r="D33" s="15">
        <f>SUMIFS(Plan!$D$5:$D$57,Plan!$B$5:$B$57,"5. Convenios y pulido",Plan!$O$5:$O$57,"Hecho")</f>
        <v/>
      </c>
      <c r="E33" s="12">
        <f>IF(C33=0,0,D33/C33)</f>
        <v/>
      </c>
      <c r="F33" s="15">
        <f>SUMPRODUCT(MAX((Plan!$B$5:$B$57="5. Convenios y pulido")*Plan!$L$5:$L$57))</f>
        <v/>
      </c>
      <c r="G33" s="8">
        <f>"S"&amp;ROUNDUP(F33/$C$5,0)</f>
        <v/>
      </c>
      <c r="H33" s="16">
        <f>'Propuesta original'!E9</f>
        <v/>
      </c>
    </row>
    <row r="34">
      <c r="B34" s="4" t="inlineStr">
        <is>
          <t>6. Pruebas y lanzamiento</t>
        </is>
      </c>
      <c r="C34" s="15">
        <f>SUMIF(Plan!$B$5:$B$57,"6. Pruebas y lanzamiento",Plan!$D$5:$D$57)</f>
        <v/>
      </c>
      <c r="D34" s="15">
        <f>SUMIFS(Plan!$D$5:$D$57,Plan!$B$5:$B$57,"6. Pruebas y lanzamiento",Plan!$O$5:$O$57,"Hecho")</f>
        <v/>
      </c>
      <c r="E34" s="12">
        <f>IF(C34=0,0,D34/C34)</f>
        <v/>
      </c>
      <c r="F34" s="15">
        <f>SUMPRODUCT(MAX((Plan!$B$5:$B$57="6. Pruebas y lanzamiento")*Plan!$L$5:$L$57))</f>
        <v/>
      </c>
      <c r="G34" s="8">
        <f>"S"&amp;ROUNDUP(F34/$C$5,0)</f>
        <v/>
      </c>
      <c r="H34" s="16">
        <f>'Propuesta original'!E10</f>
        <v/>
      </c>
    </row>
    <row r="36">
      <c r="B36" s="3" t="inlineStr">
        <is>
          <t>Hitos de pago (propuesta)</t>
        </is>
      </c>
    </row>
    <row r="37">
      <c r="A37" s="13" t="inlineStr"/>
      <c r="B37" s="14" t="inlineStr">
        <is>
          <t>Pago</t>
        </is>
      </c>
      <c r="C37" s="14" t="inlineStr">
        <is>
          <t>Valor (COP)</t>
        </is>
      </c>
      <c r="D37" s="14" t="inlineStr">
        <is>
          <t>Fase</t>
        </is>
      </c>
      <c r="E37" s="14" t="inlineStr">
        <is>
          <t>Se libera en</t>
        </is>
      </c>
      <c r="F37" s="14" t="inlineStr">
        <is>
          <t>Bloque</t>
        </is>
      </c>
      <c r="G37" s="14" t="inlineStr">
        <is>
          <t>Semana</t>
        </is>
      </c>
      <c r="H37" s="14" t="inlineStr">
        <is>
          <t>Estado del hito</t>
        </is>
      </c>
    </row>
    <row r="38">
      <c r="B38" s="4" t="inlineStr">
        <is>
          <t>Adelanto</t>
        </is>
      </c>
      <c r="C38" s="17" t="n">
        <v>500000</v>
      </c>
      <c r="D38" s="8" t="n">
        <v>1</v>
      </c>
      <c r="E38" s="7" t="inlineStr">
        <is>
          <t>Al iniciar el proyecto (Fase 1)</t>
        </is>
      </c>
      <c r="F38" s="15" t="n">
        <v>0</v>
      </c>
      <c r="G38" s="8" t="inlineStr">
        <is>
          <t>S1</t>
        </is>
      </c>
      <c r="H38" s="18">
        <f>"Cumplido (inicio)"</f>
        <v/>
      </c>
    </row>
    <row r="39">
      <c r="B39" s="4" t="inlineStr">
        <is>
          <t>Pago 2</t>
        </is>
      </c>
      <c r="C39" s="17" t="n">
        <v>800000</v>
      </c>
      <c r="D39" s="8" t="n">
        <v>3</v>
      </c>
      <c r="E39" s="7" t="inlineStr">
        <is>
          <t>Login y flujo de solicitud de crédito funcionando (fin Fase 3)</t>
        </is>
      </c>
      <c r="F39" s="15">
        <f>F31</f>
        <v/>
      </c>
      <c r="G39" s="8">
        <f>G31</f>
        <v/>
      </c>
      <c r="H39" s="18">
        <f>IF(E31=1,"Cumplido","Falta "&amp;TEXT(1-E31,"0%"))</f>
        <v/>
      </c>
    </row>
    <row r="40">
      <c r="B40" s="4" t="inlineStr">
        <is>
          <t>Pago 3</t>
        </is>
      </c>
      <c r="C40" s="17" t="n">
        <v>800000</v>
      </c>
      <c r="D40" s="8" t="n">
        <v>4</v>
      </c>
      <c r="E40" s="7" t="inlineStr">
        <is>
          <t>Panel de administración funcionando (fin Fase 4)</t>
        </is>
      </c>
      <c r="F40" s="15">
        <f>F32</f>
        <v/>
      </c>
      <c r="G40" s="8">
        <f>G32</f>
        <v/>
      </c>
      <c r="H40" s="18">
        <f>IF(E32=1,"Cumplido","Falta "&amp;TEXT(1-E32,"0%"))</f>
        <v/>
      </c>
    </row>
    <row r="41">
      <c r="B41" s="4" t="inlineStr">
        <is>
          <t>Pago final</t>
        </is>
      </c>
      <c r="C41" s="17" t="n">
        <v>900000</v>
      </c>
      <c r="D41" s="8" t="n">
        <v>6</v>
      </c>
      <c r="E41" s="7" t="inlineStr">
        <is>
          <t>Entrega en producción (fin Fase 6)</t>
        </is>
      </c>
      <c r="F41" s="15">
        <f>F34</f>
        <v/>
      </c>
      <c r="G41" s="8">
        <f>G34</f>
        <v/>
      </c>
      <c r="H41" s="18">
        <f>IF(E34=1,"Cumplido","Falta "&amp;TEXT(1-E34,"0%"))</f>
        <v/>
      </c>
    </row>
    <row r="42">
      <c r="B42" s="19" t="inlineStr">
        <is>
          <t>Total</t>
        </is>
      </c>
      <c r="C42" s="20">
        <f>SUM(C38:C41)</f>
        <v/>
      </c>
    </row>
    <row r="44">
      <c r="B44" s="3" t="inlineStr">
        <is>
          <t>Pendientes por categoría (hoja Pendientes)</t>
        </is>
      </c>
    </row>
    <row r="45">
      <c r="A45" s="13" t="inlineStr"/>
      <c r="B45" s="14" t="inlineStr">
        <is>
          <t>Categoría</t>
        </is>
      </c>
      <c r="C45" s="14" t="inlineStr">
        <is>
          <t>Hecho</t>
        </is>
      </c>
      <c r="D45" s="14" t="inlineStr">
        <is>
          <t>En curso</t>
        </is>
      </c>
      <c r="E45" s="14" t="inlineStr">
        <is>
          <t>Pendiente</t>
        </is>
      </c>
      <c r="F45" s="14" t="inlineStr">
        <is>
          <t>Bloqueado</t>
        </is>
      </c>
      <c r="G45" s="14" t="inlineStr">
        <is>
          <t>Total</t>
        </is>
      </c>
    </row>
    <row r="46">
      <c r="B46" s="4" t="inlineStr">
        <is>
          <t>Decisión</t>
        </is>
      </c>
      <c r="C46" s="15">
        <f>COUNTIFS(Pendientes!$B$5:$B$69,$B46,Pendientes!$G$5:$G$69,"Hecho")</f>
        <v/>
      </c>
      <c r="D46" s="15">
        <f>COUNTIFS(Pendientes!$B$5:$B$69,$B46,Pendientes!$G$5:$G$69,"En curso")</f>
        <v/>
      </c>
      <c r="E46" s="15">
        <f>COUNTIFS(Pendientes!$B$5:$B$69,$B46,Pendientes!$G$5:$G$69,"Pendiente")</f>
        <v/>
      </c>
      <c r="F46" s="15">
        <f>COUNTIFS(Pendientes!$B$5:$B$69,$B46,Pendientes!$G$5:$G$69,"Bloqueado")</f>
        <v/>
      </c>
      <c r="G46" s="9">
        <f>SUM(C46:F46)</f>
        <v/>
      </c>
    </row>
    <row r="47">
      <c r="B47" s="4" t="inlineStr">
        <is>
          <t>Dato de la cooperativa</t>
        </is>
      </c>
      <c r="C47" s="15">
        <f>COUNTIFS(Pendientes!$B$5:$B$69,$B47,Pendientes!$G$5:$G$69,"Hecho")</f>
        <v/>
      </c>
      <c r="D47" s="15">
        <f>COUNTIFS(Pendientes!$B$5:$B$69,$B47,Pendientes!$G$5:$G$69,"En curso")</f>
        <v/>
      </c>
      <c r="E47" s="15">
        <f>COUNTIFS(Pendientes!$B$5:$B$69,$B47,Pendientes!$G$5:$G$69,"Pendiente")</f>
        <v/>
      </c>
      <c r="F47" s="15">
        <f>COUNTIFS(Pendientes!$B$5:$B$69,$B47,Pendientes!$G$5:$G$69,"Bloqueado")</f>
        <v/>
      </c>
      <c r="G47" s="9">
        <f>SUM(C47:F47)</f>
        <v/>
      </c>
    </row>
    <row r="48">
      <c r="B48" s="4" t="inlineStr">
        <is>
          <t>Configuración</t>
        </is>
      </c>
      <c r="C48" s="15">
        <f>COUNTIFS(Pendientes!$B$5:$B$69,$B48,Pendientes!$G$5:$G$69,"Hecho")</f>
        <v/>
      </c>
      <c r="D48" s="15">
        <f>COUNTIFS(Pendientes!$B$5:$B$69,$B48,Pendientes!$G$5:$G$69,"En curso")</f>
        <v/>
      </c>
      <c r="E48" s="15">
        <f>COUNTIFS(Pendientes!$B$5:$B$69,$B48,Pendientes!$G$5:$G$69,"Pendiente")</f>
        <v/>
      </c>
      <c r="F48" s="15">
        <f>COUNTIFS(Pendientes!$B$5:$B$69,$B48,Pendientes!$G$5:$G$69,"Bloqueado")</f>
        <v/>
      </c>
      <c r="G48" s="9">
        <f>SUM(C48:F48)</f>
        <v/>
      </c>
    </row>
    <row r="49">
      <c r="B49" s="4" t="inlineStr">
        <is>
          <t>Funcionalidad</t>
        </is>
      </c>
      <c r="C49" s="15">
        <f>COUNTIFS(Pendientes!$B$5:$B$69,$B49,Pendientes!$G$5:$G$69,"Hecho")</f>
        <v/>
      </c>
      <c r="D49" s="15">
        <f>COUNTIFS(Pendientes!$B$5:$B$69,$B49,Pendientes!$G$5:$G$69,"En curso")</f>
        <v/>
      </c>
      <c r="E49" s="15">
        <f>COUNTIFS(Pendientes!$B$5:$B$69,$B49,Pendientes!$G$5:$G$69,"Pendiente")</f>
        <v/>
      </c>
      <c r="F49" s="15">
        <f>COUNTIFS(Pendientes!$B$5:$B$69,$B49,Pendientes!$G$5:$G$69,"Bloqueado")</f>
        <v/>
      </c>
      <c r="G49" s="9">
        <f>SUM(C49:F49)</f>
        <v/>
      </c>
    </row>
    <row r="50">
      <c r="B50" s="4" t="inlineStr">
        <is>
          <t>Verificación y cierre</t>
        </is>
      </c>
      <c r="C50" s="15">
        <f>COUNTIFS(Pendientes!$B$5:$B$69,$B50,Pendientes!$G$5:$G$69,"Hecho")</f>
        <v/>
      </c>
      <c r="D50" s="15">
        <f>COUNTIFS(Pendientes!$B$5:$B$69,$B50,Pendientes!$G$5:$G$69,"En curso")</f>
        <v/>
      </c>
      <c r="E50" s="15">
        <f>COUNTIFS(Pendientes!$B$5:$B$69,$B50,Pendientes!$G$5:$G$69,"Pendiente")</f>
        <v/>
      </c>
      <c r="F50" s="15">
        <f>COUNTIFS(Pendientes!$B$5:$B$69,$B50,Pendientes!$G$5:$G$69,"Bloqueado")</f>
        <v/>
      </c>
      <c r="G50" s="9">
        <f>SUM(C50:F50)</f>
        <v/>
      </c>
    </row>
  </sheetData>
  <conditionalFormatting sqref="E29:E34">
    <cfRule type="expression" priority="1" dxfId="0">
      <formula>E29=1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9"/>
  <sheetViews>
    <sheetView showGridLines="0"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0" customWidth="1" min="2" max="2"/>
    <col width="16" customWidth="1" min="3" max="3"/>
    <col width="56" customWidth="1" min="4" max="4"/>
    <col width="24" customWidth="1" min="5" max="5"/>
    <col width="10" customWidth="1" min="6" max="6"/>
    <col width="11" customWidth="1" min="7" max="7"/>
    <col width="10" customWidth="1" min="8" max="8"/>
    <col width="26" customWidth="1" min="9" max="9"/>
    <col width="46" customWidth="1" min="10" max="10"/>
  </cols>
  <sheetData>
    <row r="1">
      <c r="A1" s="1" t="inlineStr">
        <is>
          <t>Pendientes organizados</t>
        </is>
      </c>
    </row>
    <row r="2">
      <c r="A2" s="2" t="inlineStr">
        <is>
          <t>Ordenados por categoría, estado y prioridad. «Actividad del plan» enlaza con la hoja Plan / Gantt.</t>
        </is>
      </c>
    </row>
    <row r="4">
      <c r="A4" s="14" t="inlineStr">
        <is>
          <t>ID</t>
        </is>
      </c>
      <c r="B4" s="14" t="inlineStr">
        <is>
          <t>Categoría</t>
        </is>
      </c>
      <c r="C4" s="14" t="inlineStr">
        <is>
          <t>Área / pantalla</t>
        </is>
      </c>
      <c r="D4" s="14" t="inlineStr">
        <is>
          <t>Tarea</t>
        </is>
      </c>
      <c r="E4" s="14" t="inlineStr">
        <is>
          <t>Responsable</t>
        </is>
      </c>
      <c r="F4" s="14" t="inlineStr">
        <is>
          <t>Prioridad</t>
        </is>
      </c>
      <c r="G4" s="14" t="inlineStr">
        <is>
          <t>Estado</t>
        </is>
      </c>
      <c r="H4" s="14" t="inlineStr">
        <is>
          <t>Actividad del plan</t>
        </is>
      </c>
      <c r="I4" s="14" t="inlineStr">
        <is>
          <t>Fase de la actividad</t>
        </is>
      </c>
      <c r="J4" s="14" t="inlineStr">
        <is>
          <t>Nota</t>
        </is>
      </c>
    </row>
    <row r="5">
      <c r="A5" s="19" t="inlineStr">
        <is>
          <t>P-20</t>
        </is>
      </c>
      <c r="B5" s="4" t="inlineStr">
        <is>
          <t>Configuración</t>
        </is>
      </c>
      <c r="C5" s="4" t="inlineStr">
        <is>
          <t>Supabase</t>
        </is>
      </c>
      <c r="D5" s="7" t="inlineStr">
        <is>
          <t>Plantilla del correo con {{ .Token }} (código, no enlace)</t>
        </is>
      </c>
      <c r="E5" s="7" t="inlineStr">
        <is>
          <t>Yo (panel Supabase/Resend)</t>
        </is>
      </c>
      <c r="F5" s="8" t="inlineStr">
        <is>
          <t>Alta</t>
        </is>
      </c>
      <c r="G5" s="8" t="inlineStr">
        <is>
          <t>En curso</t>
        </is>
      </c>
      <c r="H5" s="8" t="inlineStr">
        <is>
          <t>2.4</t>
        </is>
      </c>
      <c r="I5" s="21">
        <f>IFERROR(INDEX(Plan!$B$5:$B$57,MATCH(H5,Plan!$A$5:$A$57,0)),"—")</f>
        <v/>
      </c>
      <c r="J5" s="7" t="inlineStr">
        <is>
          <t>23-sep: supabase/templates/codigo-ingreso.html rediseñada (HTML con la marca Green Alliance) y probada en local (llega a Mailpit con el código). Falta que Sebas la pegue en Authentication → Emails → Templates → Magic Link del panel de producción.</t>
        </is>
      </c>
    </row>
    <row r="6">
      <c r="A6" s="19" t="inlineStr">
        <is>
          <t>P-43</t>
        </is>
      </c>
      <c r="B6" s="4" t="inlineStr">
        <is>
          <t>Configuración</t>
        </is>
      </c>
      <c r="C6" s="4" t="inlineStr">
        <is>
          <t>Base de datos</t>
        </is>
      </c>
      <c r="D6" s="7" t="inlineStr">
        <is>
          <t>Aplicar en producción la migración 20260923210000_limite_de_intentos.sql</t>
        </is>
      </c>
      <c r="E6" s="7" t="inlineStr">
        <is>
          <t>Sebas (ga-auditor-supabase revisa antes)</t>
        </is>
      </c>
      <c r="F6" s="8" t="inlineStr">
        <is>
          <t>Alta</t>
        </is>
      </c>
      <c r="G6" s="8" t="inlineStr">
        <is>
          <t>Pendiente</t>
        </is>
      </c>
      <c r="H6" s="8" t="inlineStr">
        <is>
          <t>6.8</t>
        </is>
      </c>
      <c r="I6" s="21">
        <f>IFERROR(INDEX(Plan!$B$5:$B$57,MATCH(H6,Plan!$A$5:$A$57,0)),"—")</f>
        <v/>
      </c>
      <c r="J6" s="7" t="inlineStr">
        <is>
          <t>Crea la tabla limites_intentos y la función registrar_intento, que usan /afiliacion, /ingresar y «Reenviar código» (dentroDelLimite). Sin ella esos límites fallan en producción. Antes del despliegue (6.5). 23-sep: auditada por ga-auditor-supabase, se puede aplicar tal cual (docs/auditorias/2026-09-23-limite-de-intentos.md); falta que Sebas haga db push.</t>
        </is>
      </c>
    </row>
    <row r="7">
      <c r="A7" s="19" t="inlineStr">
        <is>
          <t>P-44</t>
        </is>
      </c>
      <c r="B7" s="4" t="inlineStr">
        <is>
          <t>Configuración</t>
        </is>
      </c>
      <c r="C7" s="4" t="inlineStr">
        <is>
          <t>Vercel</t>
        </is>
      </c>
      <c r="D7" s="7" t="inlineStr">
        <is>
          <t>Variables: SUPABASE_SERVICE_ROLE_KEY, INGRESO_COOKIE_SECRET, LIMITE_HMAC_SECRET, RESEND_API_KEY, EMAIL_FROM, SITIO_URL, RESEND_TEMPLATE_INGRESO_ACEPTADO, RESEND_TEMPLATE_CREDITO_APROBADO, RESEND_TEMPLATE_CREDITO_RECHAZADO, RESEND_TEMPLATE_SORTEO_BOLETA, NEXT_PUBLIC_WHATSAPP</t>
        </is>
      </c>
      <c r="E7" s="7" t="inlineStr">
        <is>
          <t>Yo</t>
        </is>
      </c>
      <c r="F7" s="8" t="inlineStr">
        <is>
          <t>Alta</t>
        </is>
      </c>
      <c r="G7" s="8" t="inlineStr">
        <is>
          <t>Pendiente</t>
        </is>
      </c>
      <c r="H7" s="8" t="inlineStr">
        <is>
          <t>6.9</t>
        </is>
      </c>
      <c r="I7" s="21">
        <f>IFERROR(INDEX(Plan!$B$5:$B$57,MATCH(H7,Plan!$A$5:$A$57,0)),"—")</f>
        <v/>
      </c>
      <c r="J7" s="7" t="inlineStr">
        <is>
          <t>NEXT_PUBLIC_WHATSAPP ya tiene dato (P-10, 311 724 1942). LIMITE_HMAC_SECRET: 32+ caracteres, distinto de INGRESO_COOKIE_SECRET, en Production y Preview (sin él el build falla); también en .env.local para `npm start`. 24-sep: SUPABASE_SERVICE_ROLE_KEY da «Invalid API key» en Vercel (P-60) y RESEND_API_KEY, EMAIL_FROM y RESEND_TEMPLATE_SORTEO_BOLETA ahora son obligatorias para el build (P-61).</t>
        </is>
      </c>
    </row>
    <row r="8">
      <c r="A8" s="19" t="inlineStr">
        <is>
          <t>P-45</t>
        </is>
      </c>
      <c r="B8" s="4" t="inlineStr">
        <is>
          <t>Configuración</t>
        </is>
      </c>
      <c r="C8" s="4" t="inlineStr">
        <is>
          <t>Supabase</t>
        </is>
      </c>
      <c r="D8" s="7" t="inlineStr">
        <is>
          <t>Panel de producción: OTP de 6 dígitos, vencimiento del código en 600 s (10 min) e intervalo entre correos ≤ 45 s</t>
        </is>
      </c>
      <c r="E8" s="7" t="inlineStr">
        <is>
          <t>Yo (panel Supabase/Resend)</t>
        </is>
      </c>
      <c r="F8" s="8" t="inlineStr">
        <is>
          <t>Alta</t>
        </is>
      </c>
      <c r="G8" s="8" t="inlineStr">
        <is>
          <t>Pendiente</t>
        </is>
      </c>
      <c r="H8" s="8" t="inlineStr">
        <is>
          <t>2.4</t>
        </is>
      </c>
      <c r="I8" s="21">
        <f>IFERROR(INDEX(Plan!$B$5:$B$57,MATCH(H8,Plan!$A$5:$A$57,0)),"—")</f>
        <v/>
      </c>
      <c r="J8" s="7" t="inlineStr">
        <is>
          <t>Complementa P-19 (SMTP) y P-20 (plantilla Magic Link con {{ .Token }}).</t>
        </is>
      </c>
    </row>
    <row r="9">
      <c r="A9" s="19" t="inlineStr">
        <is>
          <t>P-59</t>
        </is>
      </c>
      <c r="B9" s="4" t="inlineStr">
        <is>
          <t>Configuración</t>
        </is>
      </c>
      <c r="C9" s="4" t="inlineStr">
        <is>
          <t>Base de datos</t>
        </is>
      </c>
      <c r="D9" s="7" t="inlineStr">
        <is>
          <t>Aplicar en producción las 9 migraciones de fase 2 (20260924000000…000800) y desplegar enseguida</t>
        </is>
      </c>
      <c r="E9" s="7" t="inlineStr">
        <is>
          <t>Sebas (ga-auditor-supabase revisa antes)</t>
        </is>
      </c>
      <c r="F9" s="8" t="inlineStr">
        <is>
          <t>Alta</t>
        </is>
      </c>
      <c r="G9" s="8" t="inlineStr">
        <is>
          <t>Pendiente</t>
        </is>
      </c>
      <c r="H9" s="8" t="inlineStr">
        <is>
          <t>6.13</t>
        </is>
      </c>
      <c r="I9" s="21">
        <f>IFERROR(INDEX(Plan!$B$5:$B$57,MATCH(H9,Plan!$A$5:$A$57,0)),"—")</f>
        <v/>
      </c>
      <c r="J9" s="7" t="inlineStr">
        <is>
          <t>Comprobar que hay 0 afiliaciones en producción antes de hacer db push.</t>
        </is>
      </c>
    </row>
    <row r="10">
      <c r="A10" s="19" t="inlineStr">
        <is>
          <t>P-60</t>
        </is>
      </c>
      <c r="B10" s="4" t="inlineStr">
        <is>
          <t>Configuración</t>
        </is>
      </c>
      <c r="C10" s="4" t="inlineStr">
        <is>
          <t>Vercel</t>
        </is>
      </c>
      <c r="D10" s="7" t="inlineStr">
        <is>
          <t>Corregir SUPABASE_SERVICE_ROLE_KEY en Vercel (hoy da «Invalid API key»)</t>
        </is>
      </c>
      <c r="E10" s="7" t="inlineStr">
        <is>
          <t>Sebas</t>
        </is>
      </c>
      <c r="F10" s="8" t="inlineStr">
        <is>
          <t>Alta</t>
        </is>
      </c>
      <c r="G10" s="8" t="inlineStr">
        <is>
          <t>Pendiente</t>
        </is>
      </c>
      <c r="H10" s="8" t="inlineStr">
        <is>
          <t>6.9</t>
        </is>
      </c>
      <c r="I10" s="21">
        <f>IFERROR(INDEX(Plan!$B$5:$B$57,MATCH(H10,Plan!$A$5:$A$57,0)),"—")</f>
        <v/>
      </c>
      <c r="J10" s="7" t="inlineStr"/>
    </row>
    <row r="11">
      <c r="A11" s="19" t="inlineStr">
        <is>
          <t>P-61</t>
        </is>
      </c>
      <c r="B11" s="4" t="inlineStr">
        <is>
          <t>Configuración</t>
        </is>
      </c>
      <c r="C11" s="4" t="inlineStr">
        <is>
          <t>Resend</t>
        </is>
      </c>
      <c r="D11" s="7" t="inlineStr">
        <is>
          <t>Crear en Resend las plantillas de ingreso aceptado, crédito aprobado/rechazado y boleta del sorteo (ga-sorteo-boleta); confirmar el tope de 3 reenvíos de boleta al día</t>
        </is>
      </c>
      <c r="E11" s="7" t="inlineStr">
        <is>
          <t>Sebas</t>
        </is>
      </c>
      <c r="F11" s="8" t="inlineStr">
        <is>
          <t>Alta</t>
        </is>
      </c>
      <c r="G11" s="8" t="inlineStr">
        <is>
          <t>Pendiente</t>
        </is>
      </c>
      <c r="H11" s="8" t="inlineStr">
        <is>
          <t>6.9</t>
        </is>
      </c>
      <c r="I11" s="21">
        <f>IFERROR(INDEX(Plan!$B$5:$B$57,MATCH(H11,Plan!$A$5:$A$57,0)),"—")</f>
        <v/>
      </c>
      <c r="J11" s="7" t="inlineStr">
        <is>
          <t>RESEND_API_KEY, EMAIL_FROM y RESEND_TEMPLATE_SORTEO_BOLETA ya son obligatorias para el build.</t>
        </is>
      </c>
    </row>
    <row r="12">
      <c r="A12" s="19" t="inlineStr">
        <is>
          <t>P-21</t>
        </is>
      </c>
      <c r="B12" s="4" t="inlineStr">
        <is>
          <t>Configuración</t>
        </is>
      </c>
      <c r="C12" s="4" t="inlineStr">
        <is>
          <t>Resend</t>
        </is>
      </c>
      <c r="D12" s="7" t="inlineStr">
        <is>
          <t>Revisar el límite de Resend (plan gratis ≈ 100 correos/día)</t>
        </is>
      </c>
      <c r="E12" s="7" t="inlineStr">
        <is>
          <t>Yo</t>
        </is>
      </c>
      <c r="F12" s="8" t="inlineStr">
        <is>
          <t>Media</t>
        </is>
      </c>
      <c r="G12" s="8" t="inlineStr">
        <is>
          <t>Pendiente</t>
        </is>
      </c>
      <c r="H12" s="8" t="inlineStr">
        <is>
          <t>2.4</t>
        </is>
      </c>
      <c r="I12" s="21">
        <f>IFERROR(INDEX(Plan!$B$5:$B$57,MATCH(H12,Plan!$A$5:$A$57,0)),"—")</f>
        <v/>
      </c>
      <c r="J12" s="7" t="inlineStr"/>
    </row>
    <row r="13">
      <c r="A13" s="19" t="inlineStr">
        <is>
          <t>P-54</t>
        </is>
      </c>
      <c r="B13" s="4" t="inlineStr">
        <is>
          <t>Configuración</t>
        </is>
      </c>
      <c r="C13" s="4" t="inlineStr">
        <is>
          <t>Vercel</t>
        </is>
      </c>
      <c r="D13" s="7" t="inlineStr">
        <is>
          <t>Alerta en los logs de Vercel para limite_de_intentos_fallo y limite_secreto_faltante</t>
        </is>
      </c>
      <c r="E13" s="7" t="inlineStr">
        <is>
          <t>Yo (panel Vercel)</t>
        </is>
      </c>
      <c r="F13" s="8" t="inlineStr">
        <is>
          <t>Media</t>
        </is>
      </c>
      <c r="G13" s="8" t="inlineStr">
        <is>
          <t>Pendiente</t>
        </is>
      </c>
      <c r="H13" s="8" t="inlineStr">
        <is>
          <t>6.12</t>
        </is>
      </c>
      <c r="I13" s="21">
        <f>IFERROR(INDEX(Plan!$B$5:$B$57,MATCH(H13,Plan!$A$5:$A$57,0)),"—")</f>
        <v/>
      </c>
      <c r="J13" s="7" t="inlineStr">
        <is>
          <t>Sugerido por ga-auditor-supabase en la auditoría de P-43.</t>
        </is>
      </c>
    </row>
    <row r="14">
      <c r="A14" s="19" t="inlineStr">
        <is>
          <t>P-55</t>
        </is>
      </c>
      <c r="B14" s="4" t="inlineStr">
        <is>
          <t>Configuración</t>
        </is>
      </c>
      <c r="C14" s="4" t="inlineStr">
        <is>
          <t>Base de datos</t>
        </is>
      </c>
      <c r="D14" s="7" t="inlineStr">
        <is>
          <t>Opcional: revocar la secuencia limites_intentos_id_seq a anon y authenticated</t>
        </is>
      </c>
      <c r="E14" s="7" t="inlineStr">
        <is>
          <t>Yo + ga-auditor-supabase</t>
        </is>
      </c>
      <c r="F14" s="8" t="inlineStr">
        <is>
          <t>Baja</t>
        </is>
      </c>
      <c r="G14" s="8" t="inlineStr">
        <is>
          <t>Pendiente</t>
        </is>
      </c>
      <c r="H14" s="8" t="inlineStr">
        <is>
          <t>6.8</t>
        </is>
      </c>
      <c r="I14" s="21">
        <f>IFERROR(INDEX(Plan!$B$5:$B$57,MATCH(H14,Plan!$A$5:$A$57,0)),"—")</f>
        <v/>
      </c>
      <c r="J14" s="7" t="inlineStr">
        <is>
          <t>Sugerido por ga-auditor-supabase en la auditoría de P-43.</t>
        </is>
      </c>
    </row>
    <row r="15">
      <c r="A15" s="19" t="inlineStr">
        <is>
          <t>P-19</t>
        </is>
      </c>
      <c r="B15" s="4" t="inlineStr">
        <is>
          <t>Configuración</t>
        </is>
      </c>
      <c r="C15" s="4" t="inlineStr">
        <is>
          <t>Supabase</t>
        </is>
      </c>
      <c r="D15" s="7" t="inlineStr">
        <is>
          <t>SMTP propio con Resend (Authentication → Emails → SMTP Settings)</t>
        </is>
      </c>
      <c r="E15" s="7" t="inlineStr">
        <is>
          <t>Yo (panel Supabase/Resend)</t>
        </is>
      </c>
      <c r="F15" s="8" t="inlineStr">
        <is>
          <t>Alta</t>
        </is>
      </c>
      <c r="G15" s="8" t="inlineStr">
        <is>
          <t>Hecho</t>
        </is>
      </c>
      <c r="H15" s="8" t="inlineStr">
        <is>
          <t>2.4</t>
        </is>
      </c>
      <c r="I15" s="21">
        <f>IFERROR(INDEX(Plan!$B$5:$B$57,MATCH(H15,Plan!$A$5:$A$57,0)),"—")</f>
        <v/>
      </c>
      <c r="J15" s="7" t="inlineStr">
        <is>
          <t>Configurado por Sebas el 23-sep. El código de 6 dígitos lo envía Supabase Auth (no Resend desde la app); funciona en local. Ver docs/resend-plantillas.md.</t>
        </is>
      </c>
    </row>
    <row r="16">
      <c r="A16" s="19" t="inlineStr">
        <is>
          <t>P-37</t>
        </is>
      </c>
      <c r="B16" s="4" t="inlineStr">
        <is>
          <t>Funcionalidad</t>
        </is>
      </c>
      <c r="C16" s="4" t="inlineStr">
        <is>
          <t>Correos</t>
        </is>
      </c>
      <c r="D16" s="7" t="inlineStr">
        <is>
          <t>Correo «Resultado del crédito» (aprobado / no aprobado) al asociado al resolver una solicitud</t>
        </is>
      </c>
      <c r="E16" s="7" t="inlineStr">
        <is>
          <t>ga-funcionalidad-botones</t>
        </is>
      </c>
      <c r="F16" s="8" t="inlineStr">
        <is>
          <t>Alta</t>
        </is>
      </c>
      <c r="G16" s="8" t="inlineStr">
        <is>
          <t>En curso</t>
        </is>
      </c>
      <c r="H16" s="8" t="inlineStr">
        <is>
          <t>4.3</t>
        </is>
      </c>
      <c r="I16" s="21">
        <f>IFERROR(INDEX(Plan!$B$5:$B$57,MATCH(H16,Plan!$A$5:$A$57,0)),"—")</f>
        <v/>
      </c>
      <c r="J16" s="7" t="inlineStr">
        <is>
          <t>24-sep: enviarResultadoCredito ya está conectado al aprobar/rechazar en /admin (probado en local); falta que Sebas configure el SMTP/Resend de producción (2.4) para que salga de verdad.</t>
        </is>
      </c>
    </row>
    <row r="17">
      <c r="A17" s="19" t="inlineStr">
        <is>
          <t>P-51</t>
        </is>
      </c>
      <c r="B17" s="4" t="inlineStr">
        <is>
          <t>Funcionalidad</t>
        </is>
      </c>
      <c r="C17" s="4" t="inlineStr">
        <is>
          <t>Correos</t>
        </is>
      </c>
      <c r="D17" s="7" t="inlineStr">
        <is>
          <t>Correo «Ingreso aceptado» (plantilla ga-ingreso-aceptado): acción del admin que aprueba la afiliación, crea el usuario y envía el correo</t>
        </is>
      </c>
      <c r="E17" s="7" t="inlineStr">
        <is>
          <t>ga-funcionalidad-botones</t>
        </is>
      </c>
      <c r="F17" s="8" t="inlineStr">
        <is>
          <t>Alta</t>
        </is>
      </c>
      <c r="G17" s="8" t="inlineStr">
        <is>
          <t>Pendiente</t>
        </is>
      </c>
      <c r="H17" s="8" t="inlineStr">
        <is>
          <t>4.5</t>
        </is>
      </c>
      <c r="I17" s="21">
        <f>IFERROR(INDEX(Plan!$B$5:$B$57,MATCH(H17,Plan!$A$5:$A$57,0)),"—")</f>
        <v/>
      </c>
      <c r="J17" s="7" t="inlineStr">
        <is>
          <t>No implementado en la app. Requiere RESEND_TEMPLATE_INGRESO_ACEPTADO (P-44). Ver docs/resend-plantillas.md.</t>
        </is>
      </c>
    </row>
    <row r="18">
      <c r="A18" s="19" t="inlineStr">
        <is>
          <t>P-48</t>
        </is>
      </c>
      <c r="B18" s="4" t="inlineStr">
        <is>
          <t>Funcionalidad</t>
        </is>
      </c>
      <c r="C18" s="4" t="inlineStr">
        <is>
          <t>/afiliacion</t>
        </is>
      </c>
      <c r="D18" s="7" t="inlineStr">
        <is>
          <t>F-01: el select «Grado» se vacía tras un error de validación</t>
        </is>
      </c>
      <c r="E18" s="7" t="inlineStr">
        <is>
          <t>ga-funcionalidad-botones</t>
        </is>
      </c>
      <c r="F18" s="8" t="inlineStr">
        <is>
          <t>Media</t>
        </is>
      </c>
      <c r="G18" s="8" t="inlineStr">
        <is>
          <t>Pendiente</t>
        </is>
      </c>
      <c r="H18" s="8" t="inlineStr">
        <is>
          <t>2.11</t>
        </is>
      </c>
      <c r="I18" s="21">
        <f>IFERROR(INDEX(Plan!$B$5:$B$57,MATCH(H18,Plan!$A$5:$A$57,0)),"—")</f>
        <v/>
      </c>
      <c r="J18" s="7" t="inlineStr">
        <is>
          <t>Falla media de la verificación QA 1 (docs/verificaciones/2026-09-23-verificacion-1.md).</t>
        </is>
      </c>
    </row>
    <row r="19">
      <c r="A19" s="19" t="inlineStr">
        <is>
          <t>P-56</t>
        </is>
      </c>
      <c r="B19" s="4" t="inlineStr">
        <is>
          <t>Funcionalidad</t>
        </is>
      </c>
      <c r="C19" s="4" t="inlineStr">
        <is>
          <t>/cuenta/solicitar</t>
        </is>
      </c>
      <c r="D19" s="7" t="inlineStr">
        <is>
          <t>Revisar el diseño de /cuenta/solicitar (sin maqueta; selector 50/100 como radios)</t>
        </is>
      </c>
      <c r="E19" s="7" t="inlineStr">
        <is>
          <t>ga-diseno-a-codigo</t>
        </is>
      </c>
      <c r="F19" s="8" t="inlineStr">
        <is>
          <t>Media</t>
        </is>
      </c>
      <c r="G19" s="8" t="inlineStr">
        <is>
          <t>Pendiente</t>
        </is>
      </c>
      <c r="H19" s="8" t="inlineStr">
        <is>
          <t>5.6</t>
        </is>
      </c>
      <c r="I19" s="21">
        <f>IFERROR(INDEX(Plan!$B$5:$B$57,MATCH(H19,Plan!$A$5:$A$57,0)),"—")</f>
        <v/>
      </c>
      <c r="J19" s="7" t="inlineStr">
        <is>
          <t>Pedido por ga-funcionalidad-botones el 23-sep.</t>
        </is>
      </c>
    </row>
    <row r="20">
      <c r="A20" s="19" t="inlineStr">
        <is>
          <t>P-57</t>
        </is>
      </c>
      <c r="B20" s="4" t="inlineStr">
        <is>
          <t>Funcionalidad</t>
        </is>
      </c>
      <c r="C20" s="4" t="inlineStr">
        <is>
          <t>/asesor</t>
        </is>
      </c>
      <c r="D20" s="7" t="inlineStr">
        <is>
          <t>Agregar /asesor al matcher de proxy.ts y redirigir por rol tras el login</t>
        </is>
      </c>
      <c r="E20" s="7" t="inlineStr">
        <is>
          <t>ga-funcionalidad-botones</t>
        </is>
      </c>
      <c r="F20" s="8" t="inlineStr">
        <is>
          <t>Media</t>
        </is>
      </c>
      <c r="G20" s="8" t="inlineStr">
        <is>
          <t>Pendiente</t>
        </is>
      </c>
      <c r="H20" s="8" t="inlineStr">
        <is>
          <t>4.6</t>
        </is>
      </c>
      <c r="I20" s="21">
        <f>IFERROR(INDEX(Plan!$B$5:$B$57,MATCH(H20,Plan!$A$5:$A$57,0)),"—")</f>
        <v/>
      </c>
      <c r="J20" s="7" t="inlineStr">
        <is>
          <t>Hoy un asesor que ingresa cae en /cuenta, no en /asesor; la página /asesor igual se protege por su cuenta si se navega directo.</t>
        </is>
      </c>
    </row>
    <row r="21">
      <c r="A21" s="19" t="inlineStr">
        <is>
          <t>P-22</t>
        </is>
      </c>
      <c r="B21" s="4" t="inlineStr">
        <is>
          <t>Funcionalidad</t>
        </is>
      </c>
      <c r="C21" s="4" t="inlineStr">
        <is>
          <t>/ingresar</t>
        </is>
      </c>
      <c r="D21" s="7" t="inlineStr">
        <is>
          <t>Server Action: correo_por_cedula(), signInWithOtp, cookie firmada, ir a /ingresar/codigo</t>
        </is>
      </c>
      <c r="E21" s="7" t="inlineStr">
        <is>
          <t>ga-funcionalidad-botones</t>
        </is>
      </c>
      <c r="F21" s="8" t="inlineStr">
        <is>
          <t>Alta</t>
        </is>
      </c>
      <c r="G21" s="8" t="inlineStr">
        <is>
          <t>Hecho</t>
        </is>
      </c>
      <c r="H21" s="8" t="inlineStr">
        <is>
          <t>2.5</t>
        </is>
      </c>
      <c r="I21" s="21">
        <f>IFERROR(INDEX(Plan!$B$5:$B$57,MATCH(H21,Plan!$A$5:$A$57,0)),"—")</f>
        <v/>
      </c>
      <c r="J21" s="7" t="inlineStr"/>
    </row>
    <row r="22">
      <c r="A22" s="19" t="inlineStr">
        <is>
          <t>P-24</t>
        </is>
      </c>
      <c r="B22" s="4" t="inlineStr">
        <is>
          <t>Funcionalidad</t>
        </is>
      </c>
      <c r="C22" s="4" t="inlineStr">
        <is>
          <t>/ingresar/codigo</t>
        </is>
      </c>
      <c r="D22" s="7" t="inlineStr">
        <is>
          <t>Leer la cookie del paso 1; sin cookie, volver a /ingresar</t>
        </is>
      </c>
      <c r="E22" s="7" t="inlineStr">
        <is>
          <t>ga-funcionalidad-botones</t>
        </is>
      </c>
      <c r="F22" s="8" t="inlineStr">
        <is>
          <t>Alta</t>
        </is>
      </c>
      <c r="G22" s="8" t="inlineStr">
        <is>
          <t>Hecho</t>
        </is>
      </c>
      <c r="H22" s="8" t="inlineStr">
        <is>
          <t>2.6</t>
        </is>
      </c>
      <c r="I22" s="21">
        <f>IFERROR(INDEX(Plan!$B$5:$B$57,MATCH(H22,Plan!$A$5:$A$57,0)),"—")</f>
        <v/>
      </c>
      <c r="J22" s="7" t="inlineStr"/>
    </row>
    <row r="23">
      <c r="A23" s="19" t="inlineStr">
        <is>
          <t>P-25</t>
        </is>
      </c>
      <c r="B23" s="4" t="inlineStr">
        <is>
          <t>Funcionalidad</t>
        </is>
      </c>
      <c r="C23" s="4" t="inlineStr">
        <is>
          <t>/ingresar/codigo</t>
        </is>
      </c>
      <c r="D23" s="7" t="inlineStr">
        <is>
          <t>verifyOtp y entrar a /cuenta</t>
        </is>
      </c>
      <c r="E23" s="7" t="inlineStr">
        <is>
          <t>ga-funcionalidad-botones</t>
        </is>
      </c>
      <c r="F23" s="8" t="inlineStr">
        <is>
          <t>Alta</t>
        </is>
      </c>
      <c r="G23" s="8" t="inlineStr">
        <is>
          <t>Hecho</t>
        </is>
      </c>
      <c r="H23" s="8" t="inlineStr">
        <is>
          <t>2.6</t>
        </is>
      </c>
      <c r="I23" s="21">
        <f>IFERROR(INDEX(Plan!$B$5:$B$57,MATCH(H23,Plan!$A$5:$A$57,0)),"—")</f>
        <v/>
      </c>
      <c r="J23" s="7" t="inlineStr"/>
    </row>
    <row r="24">
      <c r="A24" s="19" t="inlineStr">
        <is>
          <t>P-28</t>
        </is>
      </c>
      <c r="B24" s="4" t="inlineStr">
        <is>
          <t>Funcionalidad</t>
        </is>
      </c>
      <c r="C24" s="4" t="inlineStr">
        <is>
          <t>/afiliacion</t>
        </is>
      </c>
      <c r="D24" s="7" t="inlineStr">
        <is>
          <t>Server Action: zod, límites por IP y cédula, guardar</t>
        </is>
      </c>
      <c r="E24" s="7" t="inlineStr">
        <is>
          <t>ga-funcionalidad-botones</t>
        </is>
      </c>
      <c r="F24" s="8" t="inlineStr">
        <is>
          <t>Alta</t>
        </is>
      </c>
      <c r="G24" s="8" t="inlineStr">
        <is>
          <t>Hecho</t>
        </is>
      </c>
      <c r="H24" s="8" t="inlineStr">
        <is>
          <t>2.9</t>
        </is>
      </c>
      <c r="I24" s="21">
        <f>IFERROR(INDEX(Plan!$B$5:$B$57,MATCH(H24,Plan!$A$5:$A$57,0)),"—")</f>
        <v/>
      </c>
      <c r="J24" s="7" t="inlineStr">
        <is>
          <t>23-sep: se quitaron los correos al equipo y al solicitante (decisión de Sebas). El equipo revisa las afiliaciones en Supabase hasta que exista el panel /admin; el correo «Ingreso aceptado» sale al aprobar (P-51).</t>
        </is>
      </c>
    </row>
    <row r="25">
      <c r="A25" s="19" t="inlineStr">
        <is>
          <t>P-31</t>
        </is>
      </c>
      <c r="B25" s="4" t="inlineStr">
        <is>
          <t>Funcionalidad</t>
        </is>
      </c>
      <c r="C25" s="4" t="inlineStr">
        <is>
          <t>/cuenta</t>
        </is>
      </c>
      <c r="D25" s="7" t="inlineStr">
        <is>
          <t>Proteger con proxy.ts y «Salir» con signOut</t>
        </is>
      </c>
      <c r="E25" s="7" t="inlineStr">
        <is>
          <t>ga-funcionalidad-botones</t>
        </is>
      </c>
      <c r="F25" s="8" t="inlineStr">
        <is>
          <t>Alta</t>
        </is>
      </c>
      <c r="G25" s="8" t="inlineStr">
        <is>
          <t>Hecho</t>
        </is>
      </c>
      <c r="H25" s="8" t="inlineStr">
        <is>
          <t>2.7</t>
        </is>
      </c>
      <c r="I25" s="21">
        <f>IFERROR(INDEX(Plan!$B$5:$B$57,MATCH(H25,Plan!$A$5:$A$57,0)),"—")</f>
        <v/>
      </c>
      <c r="J25" s="7" t="inlineStr"/>
    </row>
    <row r="26">
      <c r="A26" s="19" t="inlineStr">
        <is>
          <t>P-32</t>
        </is>
      </c>
      <c r="B26" s="4" t="inlineStr">
        <is>
          <t>Funcionalidad</t>
        </is>
      </c>
      <c r="C26" s="4" t="inlineStr">
        <is>
          <t>/cuenta</t>
        </is>
      </c>
      <c r="D26" s="7" t="inlineStr">
        <is>
          <t>Cargar perfil, última solicitud (con tasa), tope y convenios</t>
        </is>
      </c>
      <c r="E26" s="7" t="inlineStr">
        <is>
          <t>ga-funcionalidad-botones</t>
        </is>
      </c>
      <c r="F26" s="8" t="inlineStr">
        <is>
          <t>Alta</t>
        </is>
      </c>
      <c r="G26" s="8" t="inlineStr">
        <is>
          <t>Hecho</t>
        </is>
      </c>
      <c r="H26" s="8" t="inlineStr">
        <is>
          <t>3.5</t>
        </is>
      </c>
      <c r="I26" s="21">
        <f>IFERROR(INDEX(Plan!$B$5:$B$57,MATCH(H26,Plan!$A$5:$A$57,0)),"—")</f>
        <v/>
      </c>
      <c r="J26" s="7" t="inlineStr"/>
    </row>
    <row r="27">
      <c r="A27" s="19" t="inlineStr">
        <is>
          <t>P-35</t>
        </is>
      </c>
      <c r="B27" s="4" t="inlineStr">
        <is>
          <t>Funcionalidad</t>
        </is>
      </c>
      <c r="C27" s="4" t="inlineStr">
        <is>
          <t>Crédito</t>
        </is>
      </c>
      <c r="D27" s="7" t="inlineStr">
        <is>
          <t>Conectar el formulario de crédito a /cuenta</t>
        </is>
      </c>
      <c r="E27" s="7" t="inlineStr">
        <is>
          <t>ga-funcionalidad-botones</t>
        </is>
      </c>
      <c r="F27" s="8" t="inlineStr">
        <is>
          <t>Alta</t>
        </is>
      </c>
      <c r="G27" s="8" t="inlineStr">
        <is>
          <t>Hecho</t>
        </is>
      </c>
      <c r="H27" s="8" t="inlineStr">
        <is>
          <t>3.7</t>
        </is>
      </c>
      <c r="I27" s="21">
        <f>IFERROR(INDEX(Plan!$B$5:$B$57,MATCH(H27,Plan!$A$5:$A$57,0)),"—")</f>
        <v/>
      </c>
      <c r="J27" s="7" t="inlineStr">
        <is>
          <t>23-sep: el formulario vive en /cuenta/solicitar (protegida por proxy.ts, encabezado compartido EncabezadoCuenta); «Nueva solicitud» lleva ahí.</t>
        </is>
      </c>
    </row>
    <row r="28">
      <c r="A28" s="19" t="inlineStr">
        <is>
          <t>P-36</t>
        </is>
      </c>
      <c r="B28" s="4" t="inlineStr">
        <is>
          <t>Funcionalidad</t>
        </is>
      </c>
      <c r="C28" s="4" t="inlineStr">
        <is>
          <t>Admin</t>
        </is>
      </c>
      <c r="D28" s="7" t="inlineStr">
        <is>
          <t>Panel /admin: listado, aprobar y rechazar con motivo</t>
        </is>
      </c>
      <c r="E28" s="7" t="inlineStr">
        <is>
          <t>ga-funcionalidad-botones</t>
        </is>
      </c>
      <c r="F28" s="8" t="inlineStr">
        <is>
          <t>Alta</t>
        </is>
      </c>
      <c r="G28" s="8" t="inlineStr">
        <is>
          <t>Hecho</t>
        </is>
      </c>
      <c r="H28" s="8" t="inlineStr">
        <is>
          <t>4.1</t>
        </is>
      </c>
      <c r="I28" s="21">
        <f>IFERROR(INDEX(Plan!$B$5:$B$57,MATCH(H28,Plan!$A$5:$A$57,0)),"—")</f>
        <v/>
      </c>
      <c r="J28" s="7" t="inlineStr">
        <is>
          <t>24-sep: implementado y probado en local (commits 235ffbe, a13c2de). Un admin no puede resolver su propia solicitud.</t>
        </is>
      </c>
    </row>
    <row r="29">
      <c r="A29" s="19" t="inlineStr">
        <is>
          <t>P-38</t>
        </is>
      </c>
      <c r="B29" s="4" t="inlineStr">
        <is>
          <t>Funcionalidad</t>
        </is>
      </c>
      <c r="C29" s="4" t="inlineStr">
        <is>
          <t>Asociados</t>
        </is>
      </c>
      <c r="D29" s="7" t="inlineStr">
        <is>
          <t>Importación de asociados desde Excel</t>
        </is>
      </c>
      <c r="E29" s="7" t="inlineStr">
        <is>
          <t>ga-funcionalidad-botones</t>
        </is>
      </c>
      <c r="F29" s="8" t="inlineStr">
        <is>
          <t>Alta</t>
        </is>
      </c>
      <c r="G29" s="8" t="inlineStr">
        <is>
          <t>Hecho</t>
        </is>
      </c>
      <c r="H29" s="8" t="inlineStr">
        <is>
          <t>4.4</t>
        </is>
      </c>
      <c r="I29" s="21">
        <f>IFERROR(INDEX(Plan!$B$5:$B$57,MATCH(H29,Plan!$A$5:$A$57,0)),"—")</f>
        <v/>
      </c>
      <c r="J29" s="7" t="inlineStr">
        <is>
          <t>Ya no aplica: decisión de la cooperativa 2026-09-24, no habrá importación de Excel.</t>
        </is>
      </c>
    </row>
    <row r="30">
      <c r="A30" s="19" t="inlineStr">
        <is>
          <t>P-23</t>
        </is>
      </c>
      <c r="B30" s="4" t="inlineStr">
        <is>
          <t>Funcionalidad</t>
        </is>
      </c>
      <c r="C30" s="4" t="inlineStr">
        <is>
          <t>/ingresar</t>
        </is>
      </c>
      <c r="D30" s="7" t="inlineStr">
        <is>
          <t>Estado «Enviando…» (prop cargando) y errores (prop error)</t>
        </is>
      </c>
      <c r="E30" s="7" t="inlineStr">
        <is>
          <t>ga-funcionalidad-botones</t>
        </is>
      </c>
      <c r="F30" s="8" t="inlineStr">
        <is>
          <t>Media</t>
        </is>
      </c>
      <c r="G30" s="8" t="inlineStr">
        <is>
          <t>Hecho</t>
        </is>
      </c>
      <c r="H30" s="8" t="inlineStr">
        <is>
          <t>2.5</t>
        </is>
      </c>
      <c r="I30" s="21">
        <f>IFERROR(INDEX(Plan!$B$5:$B$57,MATCH(H30,Plan!$A$5:$A$57,0)),"—")</f>
        <v/>
      </c>
      <c r="J30" s="7" t="inlineStr"/>
    </row>
    <row r="31">
      <c r="A31" s="19" t="inlineStr">
        <is>
          <t>P-26</t>
        </is>
      </c>
      <c r="B31" s="4" t="inlineStr">
        <is>
          <t>Funcionalidad</t>
        </is>
      </c>
      <c r="C31" s="4" t="inlineStr">
        <is>
          <t>/ingresar/codigo</t>
        </is>
      </c>
      <c r="D31" s="7" t="inlineStr">
        <is>
          <t>Casillas OTP: avance automático, Backspace, pegar; «Entrar» con 6 dígitos</t>
        </is>
      </c>
      <c r="E31" s="7" t="inlineStr">
        <is>
          <t>ga-funcionalidad-botones</t>
        </is>
      </c>
      <c r="F31" s="8" t="inlineStr">
        <is>
          <t>Media</t>
        </is>
      </c>
      <c r="G31" s="8" t="inlineStr">
        <is>
          <t>Hecho</t>
        </is>
      </c>
      <c r="H31" s="8" t="inlineStr">
        <is>
          <t>2.6</t>
        </is>
      </c>
      <c r="I31" s="21">
        <f>IFERROR(INDEX(Plan!$B$5:$B$57,MATCH(H31,Plan!$A$5:$A$57,0)),"—")</f>
        <v/>
      </c>
      <c r="J31" s="7" t="inlineStr"/>
    </row>
    <row r="32">
      <c r="A32" s="19" t="inlineStr">
        <is>
          <t>P-27</t>
        </is>
      </c>
      <c r="B32" s="4" t="inlineStr">
        <is>
          <t>Funcionalidad</t>
        </is>
      </c>
      <c r="C32" s="4" t="inlineStr">
        <is>
          <t>/ingresar/codigo</t>
        </is>
      </c>
      <c r="D32" s="7" t="inlineStr">
        <is>
          <t>«Reenviar código» con contador de 45 s; «Cambiar cédula» limpia la cookie</t>
        </is>
      </c>
      <c r="E32" s="7" t="inlineStr">
        <is>
          <t>ga-funcionalidad-botones</t>
        </is>
      </c>
      <c r="F32" s="8" t="inlineStr">
        <is>
          <t>Media</t>
        </is>
      </c>
      <c r="G32" s="8" t="inlineStr">
        <is>
          <t>Hecho</t>
        </is>
      </c>
      <c r="H32" s="8" t="inlineStr">
        <is>
          <t>2.6</t>
        </is>
      </c>
      <c r="I32" s="21">
        <f>IFERROR(INDEX(Plan!$B$5:$B$57,MATCH(H32,Plan!$A$5:$A$57,0)),"—")</f>
        <v/>
      </c>
      <c r="J32" s="7" t="inlineStr"/>
    </row>
    <row r="33">
      <c r="A33" s="19" t="inlineStr">
        <is>
          <t>P-29</t>
        </is>
      </c>
      <c r="B33" s="4" t="inlineStr">
        <is>
          <t>Funcionalidad</t>
        </is>
      </c>
      <c r="C33" s="4" t="inlineStr">
        <is>
          <t>/afiliacion</t>
        </is>
      </c>
      <c r="D33" s="7" t="inlineStr">
        <is>
          <t>Grados desde grados_credito, honeypot, errores y estado de carga</t>
        </is>
      </c>
      <c r="E33" s="7" t="inlineStr">
        <is>
          <t>ga-funcionalidad-botones</t>
        </is>
      </c>
      <c r="F33" s="8" t="inlineStr">
        <is>
          <t>Media</t>
        </is>
      </c>
      <c r="G33" s="8" t="inlineStr">
        <is>
          <t>Hecho</t>
        </is>
      </c>
      <c r="H33" s="8" t="inlineStr">
        <is>
          <t>2.9</t>
        </is>
      </c>
      <c r="I33" s="21">
        <f>IFERROR(INDEX(Plan!$B$5:$B$57,MATCH(H33,Plan!$A$5:$A$57,0)),"—")</f>
        <v/>
      </c>
      <c r="J33" s="7" t="inlineStr"/>
    </row>
    <row r="34">
      <c r="A34" s="19" t="inlineStr">
        <is>
          <t>P-33</t>
        </is>
      </c>
      <c r="B34" s="4" t="inlineStr">
        <is>
          <t>Funcionalidad</t>
        </is>
      </c>
      <c r="C34" s="4" t="inlineStr">
        <is>
          <t>/cuenta</t>
        </is>
      </c>
      <c r="D34" s="7" t="inlineStr">
        <is>
          <t>«Mis datos»: actualizar solo perfiles.telefono</t>
        </is>
      </c>
      <c r="E34" s="7" t="inlineStr">
        <is>
          <t>ga-funcionalidad-botones</t>
        </is>
      </c>
      <c r="F34" s="8" t="inlineStr">
        <is>
          <t>Media</t>
        </is>
      </c>
      <c r="G34" s="8" t="inlineStr">
        <is>
          <t>Hecho</t>
        </is>
      </c>
      <c r="H34" s="8" t="inlineStr">
        <is>
          <t>3.6</t>
        </is>
      </c>
      <c r="I34" s="21">
        <f>IFERROR(INDEX(Plan!$B$5:$B$57,MATCH(H34,Plan!$A$5:$A$57,0)),"—")</f>
        <v/>
      </c>
      <c r="J34" s="7" t="inlineStr">
        <is>
          <t>Con error, alinear «Guardar» con el campo desde 640 px.</t>
        </is>
      </c>
    </row>
    <row r="35">
      <c r="A35" s="19" t="inlineStr">
        <is>
          <t>P-30</t>
        </is>
      </c>
      <c r="B35" s="4" t="inlineStr">
        <is>
          <t>Funcionalidad</t>
        </is>
      </c>
      <c r="C35" s="4" t="inlineStr">
        <is>
          <t>/afiliacion/enviada</t>
        </is>
      </c>
      <c r="D35" s="7" t="inlineStr">
        <is>
          <t>Mostrar el correo real; si se entra directo, redirigir</t>
        </is>
      </c>
      <c r="E35" s="7" t="inlineStr">
        <is>
          <t>ga-funcionalidad-botones</t>
        </is>
      </c>
      <c r="F35" s="8" t="inlineStr">
        <is>
          <t>Baja</t>
        </is>
      </c>
      <c r="G35" s="8" t="inlineStr">
        <is>
          <t>Hecho</t>
        </is>
      </c>
      <c r="H35" s="8" t="inlineStr">
        <is>
          <t>2.10</t>
        </is>
      </c>
      <c r="I35" s="21">
        <f>IFERROR(INDEX(Plan!$B$5:$B$57,MATCH(H35,Plan!$A$5:$A$57,0)),"—")</f>
        <v/>
      </c>
      <c r="J35" s="7" t="inlineStr"/>
    </row>
    <row r="36">
      <c r="A36" s="19" t="inlineStr">
        <is>
          <t>P-34</t>
        </is>
      </c>
      <c r="B36" s="4" t="inlineStr">
        <is>
          <t>Funcionalidad</t>
        </is>
      </c>
      <c r="C36" s="4" t="inlineStr">
        <is>
          <t>Landing</t>
        </is>
      </c>
      <c r="D36" s="7" t="inlineStr">
        <is>
          <t>«Mi cuenta», «Ingresar», «Solicitar crédito», «Ver beneficios» → /cuenta con sesión</t>
        </is>
      </c>
      <c r="E36" s="7" t="inlineStr">
        <is>
          <t>ga-funcionalidad-botones</t>
        </is>
      </c>
      <c r="F36" s="8" t="inlineStr">
        <is>
          <t>Baja</t>
        </is>
      </c>
      <c r="G36" s="8" t="inlineStr">
        <is>
          <t>Hecho</t>
        </is>
      </c>
      <c r="H36" s="8" t="inlineStr">
        <is>
          <t>2.8</t>
        </is>
      </c>
      <c r="I36" s="21">
        <f>IFERROR(INDEX(Plan!$B$5:$B$57,MATCH(H36,Plan!$A$5:$A$57,0)),"—")</f>
        <v/>
      </c>
      <c r="J36" s="7" t="inlineStr">
        <is>
          <t>Convenios fijos en la landing por ahora.</t>
        </is>
      </c>
    </row>
    <row r="37">
      <c r="A37" s="19" t="inlineStr">
        <is>
          <t>P-14</t>
        </is>
      </c>
      <c r="B37" s="4" t="inlineStr">
        <is>
          <t>Dato de la cooperativa</t>
        </is>
      </c>
      <c r="C37" s="4" t="inlineStr">
        <is>
          <t>Legal</t>
        </is>
      </c>
      <c r="D37" s="7" t="inlineStr">
        <is>
          <t>Texto de la política de datos</t>
        </is>
      </c>
      <c r="E37" s="7" t="inlineStr">
        <is>
          <t>Cooperativa</t>
        </is>
      </c>
      <c r="F37" s="8" t="inlineStr">
        <is>
          <t>Alta</t>
        </is>
      </c>
      <c r="G37" s="8" t="inlineStr">
        <is>
          <t>Pendiente</t>
        </is>
      </c>
      <c r="H37" s="8" t="inlineStr">
        <is>
          <t>5.4</t>
        </is>
      </c>
      <c r="I37" s="21">
        <f>IFERROR(INDEX(Plan!$B$5:$B$57,MATCH(H37,Plan!$A$5:$A$57,0)),"—")</f>
        <v/>
      </c>
      <c r="J37" s="7" t="inlineStr">
        <is>
          <t>Ruta /politica-de-datos ya existe (placeholder). 24-sep: debe incluir la autorización de datos sensibles para las fotos de cédula y la selfie (Ley 1581). Bloquea el despliegue.</t>
        </is>
      </c>
    </row>
    <row r="38">
      <c r="A38" s="19" t="inlineStr">
        <is>
          <t>P-13</t>
        </is>
      </c>
      <c r="B38" s="4" t="inlineStr">
        <is>
          <t>Dato de la cooperativa</t>
        </is>
      </c>
      <c r="C38" s="4" t="inlineStr">
        <is>
          <t>Configuración</t>
        </is>
      </c>
      <c r="D38" s="7" t="inlineStr">
        <is>
          <t>Texto de vigilancia de Supersolidaria (TEXTO_VIGILANCIA)</t>
        </is>
      </c>
      <c r="E38" s="7" t="inlineStr">
        <is>
          <t>Cooperativa</t>
        </is>
      </c>
      <c r="F38" s="8" t="inlineStr">
        <is>
          <t>Media</t>
        </is>
      </c>
      <c r="G38" s="8" t="inlineStr">
        <is>
          <t>Pendiente</t>
        </is>
      </c>
      <c r="H38" s="8" t="inlineStr">
        <is>
          <t>5.3</t>
        </is>
      </c>
      <c r="I38" s="21">
        <f>IFERROR(INDEX(Plan!$B$5:$B$57,MATCH(H38,Plan!$A$5:$A$57,0)),"—")</f>
        <v/>
      </c>
      <c r="J38" s="7" t="inlineStr"/>
    </row>
    <row r="39">
      <c r="A39" s="19" t="inlineStr">
        <is>
          <t>P-46</t>
        </is>
      </c>
      <c r="B39" s="4" t="inlineStr">
        <is>
          <t>Dato de la cooperativa</t>
        </is>
      </c>
      <c r="C39" s="4" t="inlineStr">
        <is>
          <t>/afiliacion</t>
        </is>
      </c>
      <c r="D39" s="7" t="inlineStr">
        <is>
          <t>Nombres oficiales de los grados</t>
        </is>
      </c>
      <c r="E39" s="7" t="inlineStr">
        <is>
          <t>Cooperativa</t>
        </is>
      </c>
      <c r="F39" s="8" t="inlineStr">
        <is>
          <t>Media</t>
        </is>
      </c>
      <c r="G39" s="8" t="inlineStr">
        <is>
          <t>Pendiente</t>
        </is>
      </c>
      <c r="H39" s="8" t="inlineStr">
        <is>
          <t>5.3</t>
        </is>
      </c>
      <c r="I39" s="21">
        <f>IFERROR(INDEX(Plan!$B$5:$B$57,MATCH(H39,Plan!$A$5:$A$57,0)),"—")</f>
        <v/>
      </c>
      <c r="J39" s="7" t="inlineStr">
        <is>
          <t>Se usan en el select «Grado» (grados_credito).</t>
        </is>
      </c>
    </row>
    <row r="40">
      <c r="A40" s="19" t="inlineStr">
        <is>
          <t>P-47</t>
        </is>
      </c>
      <c r="B40" s="4" t="inlineStr">
        <is>
          <t>Dato de la cooperativa</t>
        </is>
      </c>
      <c r="C40" s="4" t="inlineStr">
        <is>
          <t>/cuenta</t>
        </is>
      </c>
      <c r="D40" s="7" t="inlineStr">
        <is>
          <t>Estado de desembolso (cómo y cuándo se informa al asociado)</t>
        </is>
      </c>
      <c r="E40" s="7" t="inlineStr">
        <is>
          <t>Cooperativa</t>
        </is>
      </c>
      <c r="F40" s="8" t="inlineStr">
        <is>
          <t>Media</t>
        </is>
      </c>
      <c r="G40" s="8" t="inlineStr">
        <is>
          <t>Pendiente</t>
        </is>
      </c>
      <c r="H40" s="8" t="inlineStr">
        <is>
          <t>5.3</t>
        </is>
      </c>
      <c r="I40" s="21">
        <f>IFERROR(INDEX(Plan!$B$5:$B$57,MATCH(H40,Plan!$A$5:$A$57,0)),"—")</f>
        <v/>
      </c>
      <c r="J40" s="7" t="inlineStr">
        <is>
          <t>Reportado por ga-funcionalidad-botones el 23-sep.</t>
        </is>
      </c>
    </row>
    <row r="41">
      <c r="A41" s="19" t="inlineStr">
        <is>
          <t>P-16</t>
        </is>
      </c>
      <c r="B41" s="4" t="inlineStr">
        <is>
          <t>Dato de la cooperativa</t>
        </is>
      </c>
      <c r="C41" s="4" t="inlineStr">
        <is>
          <t>Landing</t>
        </is>
      </c>
      <c r="D41" s="7" t="inlineStr">
        <is>
          <t>Fotos reales, cifras y testimonios</t>
        </is>
      </c>
      <c r="E41" s="7" t="inlineStr">
        <is>
          <t>Cooperativa</t>
        </is>
      </c>
      <c r="F41" s="8" t="inlineStr">
        <is>
          <t>Baja</t>
        </is>
      </c>
      <c r="G41" s="8" t="inlineStr">
        <is>
          <t>Pendiente</t>
        </is>
      </c>
      <c r="H41" s="8" t="inlineStr">
        <is>
          <t>5.3</t>
        </is>
      </c>
      <c r="I41" s="21">
        <f>IFERROR(INDEX(Plan!$B$5:$B$57,MATCH(H41,Plan!$A$5:$A$57,0)),"—")</f>
        <v/>
      </c>
      <c r="J41" s="7" t="inlineStr">
        <is>
          <t>23-sep: los espacios de foto de la landing ya tienen diseño de marca (EspacioFoto). Para poner la foto real se cambia `null` por { src, alt }. Faltan las fotos de la cooperativa.</t>
        </is>
      </c>
    </row>
    <row r="42">
      <c r="A42" s="19" t="inlineStr">
        <is>
          <t>P-18</t>
        </is>
      </c>
      <c r="B42" s="4" t="inlineStr">
        <is>
          <t>Dato de la cooperativa</t>
        </is>
      </c>
      <c r="C42" s="4" t="inlineStr">
        <is>
          <t>Asociados</t>
        </is>
      </c>
      <c r="D42" s="7" t="inlineStr">
        <is>
          <t>Correos reales de los asociados (Excel de importación)</t>
        </is>
      </c>
      <c r="E42" s="7" t="inlineStr">
        <is>
          <t>Cooperativa</t>
        </is>
      </c>
      <c r="F42" s="8" t="inlineStr">
        <is>
          <t>Alta</t>
        </is>
      </c>
      <c r="G42" s="8" t="inlineStr">
        <is>
          <t>Hecho</t>
        </is>
      </c>
      <c r="H42" s="8" t="inlineStr">
        <is>
          <t>4.4</t>
        </is>
      </c>
      <c r="I42" s="21">
        <f>IFERROR(INDEX(Plan!$B$5:$B$57,MATCH(H42,Plan!$A$5:$A$57,0)),"—")</f>
        <v/>
      </c>
      <c r="J42" s="7" t="inlineStr">
        <is>
          <t>Ya no aplica: decisión de la cooperativa 2026-09-24, no habrá importación de Excel. El ingreso ahora se resuelve con la afiliación v2 (correo institucional propio) más aprobación en /admin.</t>
        </is>
      </c>
    </row>
    <row r="43">
      <c r="A43" s="19" t="inlineStr">
        <is>
          <t>P-10</t>
        </is>
      </c>
      <c r="B43" s="4" t="inlineStr">
        <is>
          <t>Dato de la cooperativa</t>
        </is>
      </c>
      <c r="C43" s="4" t="inlineStr">
        <is>
          <t>Configuración</t>
        </is>
      </c>
      <c r="D43" s="7" t="inlineStr">
        <is>
          <t>Número de WhatsApp (NEXT_PUBLIC_WHATSAPP)</t>
        </is>
      </c>
      <c r="E43" s="7" t="inlineStr">
        <is>
          <t>Cooperativa</t>
        </is>
      </c>
      <c r="F43" s="8" t="inlineStr">
        <is>
          <t>Media</t>
        </is>
      </c>
      <c r="G43" s="8" t="inlineStr">
        <is>
          <t>Hecho</t>
        </is>
      </c>
      <c r="H43" s="8" t="inlineStr">
        <is>
          <t>5.3</t>
        </is>
      </c>
      <c r="I43" s="21">
        <f>IFERROR(INDEX(Plan!$B$5:$B$57,MATCH(H43,Plan!$A$5:$A$57,0)),"—")</f>
        <v/>
      </c>
      <c r="J43" s="7" t="inlineStr">
        <is>
          <t>24-sep: 311 724 1942.</t>
        </is>
      </c>
    </row>
    <row r="44">
      <c r="A44" s="19" t="inlineStr">
        <is>
          <t>P-11</t>
        </is>
      </c>
      <c r="B44" s="4" t="inlineStr">
        <is>
          <t>Dato de la cooperativa</t>
        </is>
      </c>
      <c r="C44" s="4" t="inlineStr">
        <is>
          <t>Configuración</t>
        </is>
      </c>
      <c r="D44" s="7" t="inlineStr">
        <is>
          <t>Días hábiles de respuesta (DIAS_RESPUESTA)</t>
        </is>
      </c>
      <c r="E44" s="7" t="inlineStr">
        <is>
          <t>Cooperativa</t>
        </is>
      </c>
      <c r="F44" s="8" t="inlineStr">
        <is>
          <t>Media</t>
        </is>
      </c>
      <c r="G44" s="8" t="inlineStr">
        <is>
          <t>Hecho</t>
        </is>
      </c>
      <c r="H44" s="8" t="inlineStr">
        <is>
          <t>5.3</t>
        </is>
      </c>
      <c r="I44" s="21">
        <f>IFERROR(INDEX(Plan!$B$5:$B$57,MATCH(H44,Plan!$A$5:$A$57,0)),"—")</f>
        <v/>
      </c>
      <c r="J44" s="7" t="inlineStr">
        <is>
          <t>24-sep: la cooperativa dio el tiempo de respuesta como «4 horas o menos» (ver P-17); se usa ese dato en vez de días hábiles.</t>
        </is>
      </c>
    </row>
    <row r="45">
      <c r="A45" s="19" t="inlineStr">
        <is>
          <t>P-12</t>
        </is>
      </c>
      <c r="B45" s="4" t="inlineStr">
        <is>
          <t>Dato de la cooperativa</t>
        </is>
      </c>
      <c r="C45" s="4" t="inlineStr">
        <is>
          <t>Configuración</t>
        </is>
      </c>
      <c r="D45" s="7" t="inlineStr">
        <is>
          <t>Correo de contacto (CORREO_CONTACTO)</t>
        </is>
      </c>
      <c r="E45" s="7" t="inlineStr">
        <is>
          <t>Cooperativa</t>
        </is>
      </c>
      <c r="F45" s="8" t="inlineStr">
        <is>
          <t>Media</t>
        </is>
      </c>
      <c r="G45" s="8" t="inlineStr">
        <is>
          <t>Hecho</t>
        </is>
      </c>
      <c r="H45" s="8" t="inlineStr">
        <is>
          <t>5.3</t>
        </is>
      </c>
      <c r="I45" s="21">
        <f>IFERROR(INDEX(Plan!$B$5:$B$57,MATCH(H45,Plan!$A$5:$A$57,0)),"—")</f>
        <v/>
      </c>
      <c r="J45" s="7" t="inlineStr">
        <is>
          <t>24-sep: soporte@greenallianceco.com.</t>
        </is>
      </c>
    </row>
    <row r="46">
      <c r="A46" s="19" t="inlineStr">
        <is>
          <t>P-15</t>
        </is>
      </c>
      <c r="B46" s="4" t="inlineStr">
        <is>
          <t>Dato de la cooperativa</t>
        </is>
      </c>
      <c r="C46" s="4" t="inlineStr">
        <is>
          <t>/cuenta</t>
        </is>
      </c>
      <c r="D46" s="7" t="inlineStr">
        <is>
          <t>Destino de «Nueva solicitud» (nav y acceso rápido)</t>
        </is>
      </c>
      <c r="E46" s="7" t="inlineStr">
        <is>
          <t>Yo</t>
        </is>
      </c>
      <c r="F46" s="8" t="inlineStr">
        <is>
          <t>Media</t>
        </is>
      </c>
      <c r="G46" s="8" t="inlineStr">
        <is>
          <t>Hecho</t>
        </is>
      </c>
      <c r="H46" s="8" t="inlineStr">
        <is>
          <t>3.7</t>
        </is>
      </c>
      <c r="I46" s="21">
        <f>IFERROR(INDEX(Plan!$B$5:$B$57,MATCH(H46,Plan!$A$5:$A$57,0)),"—")</f>
        <v/>
      </c>
      <c r="J46" s="7" t="inlineStr">
        <is>
          <t>Hoy es href="#".</t>
        </is>
      </c>
    </row>
    <row r="47">
      <c r="A47" s="19" t="inlineStr">
        <is>
          <t>P-17</t>
        </is>
      </c>
      <c r="B47" s="4" t="inlineStr">
        <is>
          <t>Dato de la cooperativa</t>
        </is>
      </c>
      <c r="C47" s="4" t="inlineStr">
        <is>
          <t>Landing</t>
        </is>
      </c>
      <c r="D47" s="7" t="inlineStr">
        <is>
          <t>Tiempo de respuesta real ([TIEMPO] y [T])</t>
        </is>
      </c>
      <c r="E47" s="7" t="inlineStr">
        <is>
          <t>Cooperativa</t>
        </is>
      </c>
      <c r="F47" s="8" t="inlineStr">
        <is>
          <t>Baja</t>
        </is>
      </c>
      <c r="G47" s="8" t="inlineStr">
        <is>
          <t>Hecho</t>
        </is>
      </c>
      <c r="H47" s="8" t="inlineStr">
        <is>
          <t>5.3</t>
        </is>
      </c>
      <c r="I47" s="21">
        <f>IFERROR(INDEX(Plan!$B$5:$B$57,MATCH(H47,Plan!$A$5:$A$57,0)),"—")</f>
        <v/>
      </c>
      <c r="J47" s="7" t="inlineStr">
        <is>
          <t>24-sep: «4 horas o menos».</t>
        </is>
      </c>
    </row>
    <row r="48">
      <c r="A48" s="19" t="inlineStr">
        <is>
          <t>P-58</t>
        </is>
      </c>
      <c r="B48" s="4" t="inlineStr">
        <is>
          <t>Verificación y cierre</t>
        </is>
      </c>
      <c r="C48" s="4" t="inlineStr">
        <is>
          <t>Pruebas</t>
        </is>
      </c>
      <c r="D48" s="7" t="inlineStr">
        <is>
          <t>Actualizar tests/e2e a la afiliación v2 y a la nueva máscara de correo</t>
        </is>
      </c>
      <c r="E48" s="7" t="inlineStr">
        <is>
          <t>ga-escritor-tests</t>
        </is>
      </c>
      <c r="F48" s="8" t="inlineStr">
        <is>
          <t>Alta</t>
        </is>
      </c>
      <c r="G48" s="8" t="inlineStr">
        <is>
          <t>En curso</t>
        </is>
      </c>
      <c r="H48" s="8" t="inlineStr">
        <is>
          <t>6.1</t>
        </is>
      </c>
      <c r="I48" s="21">
        <f>IFERROR(INDEX(Plan!$B$5:$B$57,MATCH(H48,Plan!$A$5:$A$57,0)),"—")</f>
        <v/>
      </c>
      <c r="J48" s="7" t="inlineStr">
        <is>
          <t>d-afiliacion.spec.ts usa el formulario viejo (nombres y apellidos, unidad) y hace falta reescribirlo entero para institución/Nequi/asesor/fotos (k-roles.spec.ts ya cubre un caso feliz v2 pero no reemplaza la cobertura de D). b-ingreso.spec.ts, i-despliegue.spec.ts y j-produccion.spec.ts usan el formato viejo de máscara de correo y dominios; hay que pasarlos al formato xx•••@yy•••.co. ga-escritor-tests ya está reescribiendo d-afiliacion.spec.ts (24-sep).</t>
        </is>
      </c>
    </row>
    <row r="49">
      <c r="A49" s="19" t="inlineStr">
        <is>
          <t>P-42</t>
        </is>
      </c>
      <c r="B49" s="4" t="inlineStr">
        <is>
          <t>Verificación y cierre</t>
        </is>
      </c>
      <c r="C49" s="4" t="inlineStr">
        <is>
          <t>Despliegue</t>
        </is>
      </c>
      <c r="D49" s="7" t="inlineStr">
        <is>
          <t>Subir a GitHub y desplegar en Vercel</t>
        </is>
      </c>
      <c r="E49" s="7" t="inlineStr">
        <is>
          <t>Yo</t>
        </is>
      </c>
      <c r="F49" s="8" t="inlineStr">
        <is>
          <t>Alta</t>
        </is>
      </c>
      <c r="G49" s="8" t="inlineStr">
        <is>
          <t>Pendiente</t>
        </is>
      </c>
      <c r="H49" s="8" t="inlineStr">
        <is>
          <t>6.5</t>
        </is>
      </c>
      <c r="I49" s="21">
        <f>IFERROR(INDEX(Plan!$B$5:$B$57,MATCH(H49,Plan!$A$5:$A$57,0)),"—")</f>
        <v/>
      </c>
      <c r="J49" s="7" t="inlineStr"/>
    </row>
    <row r="50">
      <c r="A50" s="19" t="inlineStr">
        <is>
          <t>P-64</t>
        </is>
      </c>
      <c r="B50" s="4" t="inlineStr">
        <is>
          <t>Verificación y cierre</t>
        </is>
      </c>
      <c r="C50" s="4" t="inlineStr">
        <is>
          <t>Git</t>
        </is>
      </c>
      <c r="D50" s="7" t="inlineStr">
        <is>
          <t>Abrir el PR de develop a main</t>
        </is>
      </c>
      <c r="E50" s="7" t="inlineStr">
        <is>
          <t>Sebas</t>
        </is>
      </c>
      <c r="F50" s="8" t="inlineStr">
        <is>
          <t>Alta</t>
        </is>
      </c>
      <c r="G50" s="8" t="inlineStr">
        <is>
          <t>Pendiente</t>
        </is>
      </c>
      <c r="H50" s="8" t="inlineStr">
        <is>
          <t>6.5</t>
        </is>
      </c>
      <c r="I50" s="21">
        <f>IFERROR(INDEX(Plan!$B$5:$B$57,MATCH(H50,Plan!$A$5:$A$57,0)),"—")</f>
        <v/>
      </c>
      <c r="J50" s="7" t="inlineStr"/>
    </row>
    <row r="51">
      <c r="A51" s="19" t="inlineStr">
        <is>
          <t>P-62</t>
        </is>
      </c>
      <c r="B51" s="4" t="inlineStr">
        <is>
          <t>Verificación y cierre</t>
        </is>
      </c>
      <c r="C51" s="4" t="inlineStr">
        <is>
          <t>Base de datos</t>
        </is>
      </c>
      <c r="D51" s="7" t="inlineStr">
        <is>
          <t>Borrar la cuenta admin de prueba «Test QA» (cédula 1099887766) desde el panel de Supabase</t>
        </is>
      </c>
      <c r="E51" s="7" t="inlineStr">
        <is>
          <t>Sebas</t>
        </is>
      </c>
      <c r="F51" s="8" t="inlineStr">
        <is>
          <t>Media</t>
        </is>
      </c>
      <c r="G51" s="8" t="inlineStr">
        <is>
          <t>Pendiente</t>
        </is>
      </c>
      <c r="H51" s="8" t="inlineStr">
        <is>
          <t>6.13</t>
        </is>
      </c>
      <c r="I51" s="21">
        <f>IFERROR(INDEX(Plan!$B$5:$B$57,MATCH(H51,Plan!$A$5:$A$57,0)),"—")</f>
        <v/>
      </c>
      <c r="J51" s="7" t="inlineStr">
        <is>
          <t>Ya hay 3 administradores reales en producción: Ricardo, Abogados Prieto y Sebas.</t>
        </is>
      </c>
    </row>
    <row r="52">
      <c r="A52" s="19" t="inlineStr">
        <is>
          <t>P-39</t>
        </is>
      </c>
      <c r="B52" s="4" t="inlineStr">
        <is>
          <t>Verificación y cierre</t>
        </is>
      </c>
      <c r="C52" s="4" t="inlineStr">
        <is>
          <t>Calidad</t>
        </is>
      </c>
      <c r="D52" s="7" t="inlineStr">
        <is>
          <t>Correr ga-verificador-qa y ga-verificador-responsive</t>
        </is>
      </c>
      <c r="E52" s="7" t="inlineStr">
        <is>
          <t>Yo</t>
        </is>
      </c>
      <c r="F52" s="8" t="inlineStr">
        <is>
          <t>Alta</t>
        </is>
      </c>
      <c r="G52" s="8" t="inlineStr">
        <is>
          <t>Hecho</t>
        </is>
      </c>
      <c r="H52" s="8" t="inlineStr">
        <is>
          <t>6.3</t>
        </is>
      </c>
      <c r="I52" s="21">
        <f>IFERROR(INDEX(Plan!$B$5:$B$57,MATCH(H52,Plan!$A$5:$A$57,0)),"—")</f>
        <v/>
      </c>
      <c r="J52" s="7" t="inlineStr">
        <is>
          <t>QA 1 hecha el 23-sep (186 pasan, 2 fallan; informe docs/verificaciones/2026-09-23-verificacion-1.md). Responsive hecha el 23-sep: 2 fallas de scroll corregidas (5.8) y segunda pasada con 0 fallas en 13 anchos (320–1920 px); tests/responsive 10/10. La QA final sigue en 6.3.</t>
        </is>
      </c>
    </row>
    <row r="53">
      <c r="A53" s="19" t="inlineStr">
        <is>
          <t>P-41</t>
        </is>
      </c>
      <c r="B53" s="4" t="inlineStr">
        <is>
          <t>Verificación y cierre</t>
        </is>
      </c>
      <c r="C53" s="4" t="inlineStr">
        <is>
          <t>Git</t>
        </is>
      </c>
      <c r="D53" s="7" t="inlineStr">
        <is>
          <t>Commit de las pantallas nuevas</t>
        </is>
      </c>
      <c r="E53" s="7" t="inlineStr">
        <is>
          <t>Yo</t>
        </is>
      </c>
      <c r="F53" s="8" t="inlineStr">
        <is>
          <t>Alta</t>
        </is>
      </c>
      <c r="G53" s="8" t="inlineStr">
        <is>
          <t>Hecho</t>
        </is>
      </c>
      <c r="H53" s="8" t="inlineStr">
        <is>
          <t>—</t>
        </is>
      </c>
      <c r="I53" s="21">
        <f>IFERROR(INDEX(Plan!$B$5:$B$57,MATCH(H53,Plan!$A$5:$A$57,0)),"—")</f>
        <v/>
      </c>
      <c r="J53" s="7" t="inlineStr">
        <is>
          <t>Commit d86db86 en develop.</t>
        </is>
      </c>
    </row>
    <row r="54">
      <c r="A54" s="19" t="inlineStr">
        <is>
          <t>P-40</t>
        </is>
      </c>
      <c r="B54" s="4" t="inlineStr">
        <is>
          <t>Verificación y cierre</t>
        </is>
      </c>
      <c r="C54" s="4" t="inlineStr">
        <is>
          <t>Código</t>
        </is>
      </c>
      <c r="D54" s="7" t="inlineStr">
        <is>
          <t>Borrar /login y /dashboard cuando /ingresar y /cuenta funcionen</t>
        </is>
      </c>
      <c r="E54" s="7" t="inlineStr">
        <is>
          <t>Yo</t>
        </is>
      </c>
      <c r="F54" s="8" t="inlineStr">
        <is>
          <t>Media</t>
        </is>
      </c>
      <c r="G54" s="8" t="inlineStr">
        <is>
          <t>Hecho</t>
        </is>
      </c>
      <c r="H54" s="8" t="inlineStr">
        <is>
          <t>5.5</t>
        </is>
      </c>
      <c r="I54" s="21">
        <f>IFERROR(INDEX(Plan!$B$5:$B$57,MATCH(H54,Plan!$A$5:$A$57,0)),"—")</f>
        <v/>
      </c>
      <c r="J54" s="7" t="inlineStr">
        <is>
          <t>Borradas el 23-sep (incluida /dashboard/solicitar, su parte del proxy y los colores heredados de tailwind.config.ts).</t>
        </is>
      </c>
    </row>
    <row r="55">
      <c r="A55" s="19" t="inlineStr">
        <is>
          <t>P-49</t>
        </is>
      </c>
      <c r="B55" s="4" t="inlineStr">
        <is>
          <t>Verificación y cierre</t>
        </is>
      </c>
      <c r="C55" s="4" t="inlineStr">
        <is>
          <t>Seguridad</t>
        </is>
      </c>
      <c r="D55" s="7" t="inlineStr">
        <is>
          <t>Revisar si conviene confiar en x-forwarded-for para el límite de intentos por IP</t>
        </is>
      </c>
      <c r="E55" s="7" t="inlineStr">
        <is>
          <t>ga-revisor-seguridad</t>
        </is>
      </c>
      <c r="F55" s="8" t="inlineStr">
        <is>
          <t>Media</t>
        </is>
      </c>
      <c r="G55" s="8" t="inlineStr">
        <is>
          <t>Hecho</t>
        </is>
      </c>
      <c r="H55" s="8" t="inlineStr">
        <is>
          <t>6.2</t>
        </is>
      </c>
      <c r="I55" s="21">
        <f>IFERROR(INDEX(Plan!$B$5:$B$57,MATCH(H55,Plan!$A$5:$A$57,0)),"—")</f>
        <v/>
      </c>
      <c r="J55" s="7" t="inlineStr">
        <is>
          <t>Sugerido por ga-verificador-qa el 23-sep. Documentado por ga-funcionalidad-botones como O-01 en lib/servidor/limite.ts: x-forwarded-for/x-real-ip solo son confiables detrás de Vercel (nuestro caso); el límite real por cédula/IP lo hace la app, no Supabase.</t>
        </is>
      </c>
    </row>
    <row r="56">
      <c r="A56" s="19" t="inlineStr">
        <is>
          <t>P-50</t>
        </is>
      </c>
      <c r="B56" s="4" t="inlineStr">
        <is>
          <t>Verificación y cierre</t>
        </is>
      </c>
      <c r="C56" s="4" t="inlineStr">
        <is>
          <t>Correos</t>
        </is>
      </c>
      <c r="D56" s="7" t="inlineStr">
        <is>
          <t>Confirmar que salen los correos de afiliación (el log queda en la terminal de next dev)</t>
        </is>
      </c>
      <c r="E56" s="7" t="inlineStr">
        <is>
          <t>Yo</t>
        </is>
      </c>
      <c r="F56" s="8" t="inlineStr">
        <is>
          <t>Media</t>
        </is>
      </c>
      <c r="G56" s="8" t="inlineStr">
        <is>
          <t>Hecho</t>
        </is>
      </c>
      <c r="H56" s="8" t="inlineStr">
        <is>
          <t>—</t>
        </is>
      </c>
      <c r="I56" s="21">
        <f>IFERROR(INDEX(Plan!$B$5:$B$57,MATCH(H56,Plan!$A$5:$A$57,0)),"—")</f>
        <v/>
      </c>
      <c r="J56" s="7" t="inlineStr">
        <is>
          <t>Ya no aplica: el 23-sep se quitaron los correos de afiliación del código (decisión de Sebas).</t>
        </is>
      </c>
    </row>
    <row r="57">
      <c r="A57" s="19" t="inlineStr">
        <is>
          <t>P-52</t>
        </is>
      </c>
      <c r="B57" s="4" t="inlineStr">
        <is>
          <t>Verificación y cierre</t>
        </is>
      </c>
      <c r="C57" s="4" t="inlineStr">
        <is>
          <t>Documentación</t>
        </is>
      </c>
      <c r="D57" s="7" t="inlineStr">
        <is>
          <t>Mapa de botones: §4 «Nueva solicitud» → /cuenta/solicitar y sección para la ruta /cuenta/solicitar</t>
        </is>
      </c>
      <c r="E57" s="7" t="inlineStr">
        <is>
          <t>ga-funcionalidad-botones</t>
        </is>
      </c>
      <c r="F57" s="8" t="inlineStr">
        <is>
          <t>Baja</t>
        </is>
      </c>
      <c r="G57" s="8" t="inlineStr">
        <is>
          <t>Hecho</t>
        </is>
      </c>
      <c r="H57" s="8" t="inlineStr">
        <is>
          <t>3.7</t>
        </is>
      </c>
      <c r="I57" s="21">
        <f>IFERROR(INDEX(Plan!$B$5:$B$57,MATCH(H57,Plan!$A$5:$A$57,0)),"—")</f>
        <v/>
      </c>
      <c r="J57" s="7" t="inlineStr">
        <is>
          <t>Reportado por ga-diseno-a-codigo. Verificado el 23-sep: docs/mapa-de-botones.md ya tiene §4 «Nueva solicitud» → /cuenta/solicitar (Definido) y §4b /cuenta/solicitar; /dashboard se eliminó.</t>
        </is>
      </c>
    </row>
    <row r="58">
      <c r="A58" s="19" t="inlineStr">
        <is>
          <t>P-63</t>
        </is>
      </c>
      <c r="B58" s="4" t="inlineStr">
        <is>
          <t>Decisión</t>
        </is>
      </c>
      <c r="C58" s="4" t="inlineStr">
        <is>
          <t>Fase 2</t>
        </is>
      </c>
      <c r="D58" s="7" t="inlineStr">
        <is>
          <t>Preguntas abiertas de fase 2 para la cooperativa: grados del Ejército, dominios de correo institucionales (hoy solo policia.gov.co, buzonejercito.mil.co, ejercito.mil.co), tiempo que se guardan las fotos y tope de intentos del sorteo</t>
        </is>
      </c>
      <c r="E58" s="7" t="inlineStr">
        <is>
          <t>Cooperativa</t>
        </is>
      </c>
      <c r="F58" s="8" t="inlineStr">
        <is>
          <t>Alta</t>
        </is>
      </c>
      <c r="G58" s="8" t="inlineStr">
        <is>
          <t>Pendiente</t>
        </is>
      </c>
      <c r="H58" s="8" t="inlineStr">
        <is>
          <t>1.5</t>
        </is>
      </c>
      <c r="I58" s="21">
        <f>IFERROR(INDEX(Plan!$B$5:$B$57,MATCH(H58,Plan!$A$5:$A$57,0)),"—")</f>
        <v/>
      </c>
      <c r="J58" s="7" t="inlineStr">
        <is>
          <t>Ver docs/spec-fase-2.md §Preguntas abiertas.</t>
        </is>
      </c>
    </row>
    <row r="59">
      <c r="A59" s="19" t="inlineStr">
        <is>
          <t>P-65</t>
        </is>
      </c>
      <c r="B59" s="4" t="inlineStr">
        <is>
          <t>Decisión</t>
        </is>
      </c>
      <c r="C59" s="4" t="inlineStr">
        <is>
          <t>Sorteo</t>
        </is>
      </c>
      <c r="D59" s="7" t="inlineStr">
        <is>
          <t>Decidir si un admin o un asesor pueden participar en el sorteo mensual</t>
        </is>
      </c>
      <c r="E59" s="7" t="inlineStr">
        <is>
          <t>Cooperativa</t>
        </is>
      </c>
      <c r="F59" s="8" t="inlineStr">
        <is>
          <t>Media</t>
        </is>
      </c>
      <c r="G59" s="8" t="inlineStr">
        <is>
          <t>Pendiente</t>
        </is>
      </c>
      <c r="H59" s="8" t="inlineStr">
        <is>
          <t>3.9</t>
        </is>
      </c>
      <c r="I59" s="21">
        <f>IFERROR(INDEX(Plan!$B$5:$B$57,MATCH(H59,Plan!$A$5:$A$57,0)),"—")</f>
        <v/>
      </c>
      <c r="J59" s="7" t="inlineStr">
        <is>
          <t>Sugerido por ga-revisor-seguridad el 24-sep.</t>
        </is>
      </c>
    </row>
    <row r="60">
      <c r="A60" s="19" t="inlineStr">
        <is>
          <t>P-02</t>
        </is>
      </c>
      <c r="B60" s="4" t="inlineStr">
        <is>
          <t>Decisión</t>
        </is>
      </c>
      <c r="C60" s="4" t="inlineStr">
        <is>
          <t>/cuenta</t>
        </is>
      </c>
      <c r="D60" s="7" t="inlineStr">
        <is>
          <t>Preguntar a la cooperativa si los convenios tendrán página propia</t>
        </is>
      </c>
      <c r="E60" s="7" t="inlineStr">
        <is>
          <t>Cooperativa</t>
        </is>
      </c>
      <c r="F60" s="8" t="inlineStr">
        <is>
          <t>Baja</t>
        </is>
      </c>
      <c r="G60" s="8" t="inlineStr">
        <is>
          <t>Pendiente</t>
        </is>
      </c>
      <c r="H60" s="8" t="inlineStr">
        <is>
          <t>5.1</t>
        </is>
      </c>
      <c r="I60" s="21">
        <f>IFERROR(INDEX(Plan!$B$5:$B$57,MATCH(H60,Plan!$A$5:$A$57,0)),"—")</f>
        <v/>
      </c>
      <c r="J60" s="7" t="inlineStr">
        <is>
          <t>Por ahora son una sección en /cuenta (#convenios).</t>
        </is>
      </c>
    </row>
    <row r="61">
      <c r="A61" s="19" t="inlineStr">
        <is>
          <t>P-53</t>
        </is>
      </c>
      <c r="B61" s="4" t="inlineStr">
        <is>
          <t>Decisión</t>
        </is>
      </c>
      <c r="C61" s="4" t="inlineStr">
        <is>
          <t>Landing</t>
        </is>
      </c>
      <c r="D61" s="7" t="inlineStr">
        <is>
          <t>A 320 px la línea «COOPERATIVA» del logo mide ~5 px de alto (opcional: ocultarla o achicar «Ingresar» bajo 360 px)</t>
        </is>
      </c>
      <c r="E61" s="7" t="inlineStr">
        <is>
          <t>Yo</t>
        </is>
      </c>
      <c r="F61" s="8" t="inlineStr">
        <is>
          <t>Baja</t>
        </is>
      </c>
      <c r="G61" s="8" t="inlineStr">
        <is>
          <t>Pendiente</t>
        </is>
      </c>
      <c r="H61" s="8" t="inlineStr">
        <is>
          <t>—</t>
        </is>
      </c>
      <c r="I61" s="21">
        <f>IFERROR(INDEX(Plan!$B$5:$B$57,MATCH(H61,Plan!$A$5:$A$57,0)),"—")</f>
        <v/>
      </c>
      <c r="J61" s="7" t="inlineStr">
        <is>
          <t>Menor y opcional, reportado por ga-verificador-responsive el 23-sep.</t>
        </is>
      </c>
    </row>
    <row r="62">
      <c r="A62" s="19" t="inlineStr">
        <is>
          <t>P-09</t>
        </is>
      </c>
      <c r="B62" s="4" t="inlineStr">
        <is>
          <t>Decisión</t>
        </is>
      </c>
      <c r="C62" s="4" t="inlineStr">
        <is>
          <t>Base de datos</t>
        </is>
      </c>
      <c r="D62" s="7" t="inlineStr">
        <is>
          <t>Revisar y aplicar en producción la migración blindar_solicitudes_y_revisiones</t>
        </is>
      </c>
      <c r="E62" s="7" t="inlineStr">
        <is>
          <t>Sebas (ga-auditor-supabase revisa antes)</t>
        </is>
      </c>
      <c r="F62" s="8" t="inlineStr">
        <is>
          <t>Alta</t>
        </is>
      </c>
      <c r="G62" s="8" t="inlineStr">
        <is>
          <t>Hecho</t>
        </is>
      </c>
      <c r="H62" s="8" t="inlineStr">
        <is>
          <t>6.10</t>
        </is>
      </c>
      <c r="I62" s="21">
        <f>IFERROR(INDEX(Plan!$B$5:$B$57,MATCH(H62,Plan!$A$5:$A$57,0)),"—")</f>
        <v/>
      </c>
      <c r="J62" s="7" t="inlineStr">
        <is>
          <t>Verificado con list_migrations el 23-sep: producción ya tiene 20260923173355_blindar_solicitudes_y_revisiones.</t>
        </is>
      </c>
    </row>
    <row r="63">
      <c r="A63" s="19" t="inlineStr">
        <is>
          <t>P-08</t>
        </is>
      </c>
      <c r="B63" s="4" t="inlineStr">
        <is>
          <t>Decisión</t>
        </is>
      </c>
      <c r="C63" s="4" t="inlineStr">
        <is>
          <t>/cuenta</t>
        </is>
      </c>
      <c r="D63" s="7" t="inlineStr">
        <is>
          <t>P-10: el asociado no cambia su nombre pero sí su teléfono</t>
        </is>
      </c>
      <c r="E63" s="7" t="inlineStr">
        <is>
          <t>Yo</t>
        </is>
      </c>
      <c r="F63" s="8" t="inlineStr">
        <is>
          <t>Media</t>
        </is>
      </c>
      <c r="G63" s="8" t="inlineStr">
        <is>
          <t>Hecho</t>
        </is>
      </c>
      <c r="H63" s="8" t="inlineStr">
        <is>
          <t>3.6</t>
        </is>
      </c>
      <c r="I63" s="21">
        <f>IFERROR(INDEX(Plan!$B$5:$B$57,MATCH(H63,Plan!$A$5:$A$57,0)),"—")</f>
        <v/>
      </c>
      <c r="J63" s="7" t="inlineStr">
        <is>
          <t>Apartado «Mis datos» ya maquetado.</t>
        </is>
      </c>
    </row>
    <row r="64">
      <c r="A64" s="19" t="inlineStr">
        <is>
          <t>P-01</t>
        </is>
      </c>
      <c r="B64" s="4" t="inlineStr">
        <is>
          <t>Decisión</t>
        </is>
      </c>
      <c r="C64" s="4" t="inlineStr">
        <is>
          <t>General</t>
        </is>
      </c>
      <c r="D64" s="7" t="inlineStr">
        <is>
          <t>Color de error #B3261E</t>
        </is>
      </c>
      <c r="E64" s="7" t="inlineStr">
        <is>
          <t>Yo</t>
        </is>
      </c>
      <c r="F64" s="8" t="inlineStr">
        <is>
          <t>Baja</t>
        </is>
      </c>
      <c r="G64" s="8" t="inlineStr">
        <is>
          <t>Hecho</t>
        </is>
      </c>
      <c r="H64" s="8" t="inlineStr">
        <is>
          <t>—</t>
        </is>
      </c>
      <c r="I64" s="21">
        <f>IFERROR(INDEX(Plan!$B$5:$B$57,MATCH(H64,Plan!$A$5:$A$57,0)),"—")</f>
        <v/>
      </c>
      <c r="J64" s="7" t="inlineStr">
        <is>
          <t>Se deja.</t>
        </is>
      </c>
    </row>
    <row r="65">
      <c r="A65" s="19" t="inlineStr">
        <is>
          <t>P-03</t>
        </is>
      </c>
      <c r="B65" s="4" t="inlineStr">
        <is>
          <t>Decisión</t>
        </is>
      </c>
      <c r="C65" s="4" t="inlineStr">
        <is>
          <t>/cuenta</t>
        </is>
      </c>
      <c r="D65" s="7" t="inlineStr">
        <is>
          <t>Estado vacío de «Tu solicitud»</t>
        </is>
      </c>
      <c r="E65" s="7" t="inlineStr">
        <is>
          <t>Yo</t>
        </is>
      </c>
      <c r="F65" s="8" t="inlineStr">
        <is>
          <t>Baja</t>
        </is>
      </c>
      <c r="G65" s="8" t="inlineStr">
        <is>
          <t>Hecho</t>
        </is>
      </c>
      <c r="H65" s="8" t="inlineStr">
        <is>
          <t>3.4</t>
        </is>
      </c>
      <c r="I65" s="21">
        <f>IFERROR(INDEX(Plan!$B$5:$B$57,MATCH(H65,Plan!$A$5:$A$57,0)),"—")</f>
        <v/>
      </c>
      <c r="J65" s="7" t="inlineStr">
        <is>
          <t>Ver con /cuenta?vacio=1.</t>
        </is>
      </c>
    </row>
    <row r="66">
      <c r="A66" s="19" t="inlineStr">
        <is>
          <t>P-04</t>
        </is>
      </c>
      <c r="B66" s="4" t="inlineStr">
        <is>
          <t>Decisión</t>
        </is>
      </c>
      <c r="C66" s="4" t="inlineStr">
        <is>
          <t>General</t>
        </is>
      </c>
      <c r="D66" s="7" t="inlineStr">
        <is>
          <t>Logo en celular como enlace a la landing</t>
        </is>
      </c>
      <c r="E66" s="7" t="inlineStr">
        <is>
          <t>Yo</t>
        </is>
      </c>
      <c r="F66" s="8" t="inlineStr">
        <is>
          <t>Baja</t>
        </is>
      </c>
      <c r="G66" s="8" t="inlineStr">
        <is>
          <t>Hecho</t>
        </is>
      </c>
      <c r="H66" s="8" t="inlineStr">
        <is>
          <t>—</t>
        </is>
      </c>
      <c r="I66" s="21">
        <f>IFERROR(INDEX(Plan!$B$5:$B$57,MATCH(H66,Plan!$A$5:$A$57,0)),"—")</f>
        <v/>
      </c>
      <c r="J66" s="7" t="inlineStr"/>
    </row>
    <row r="67">
      <c r="A67" s="19" t="inlineStr">
        <is>
          <t>P-05</t>
        </is>
      </c>
      <c r="B67" s="4" t="inlineStr">
        <is>
          <t>Decisión</t>
        </is>
      </c>
      <c r="C67" s="4" t="inlineStr">
        <is>
          <t>General</t>
        </is>
      </c>
      <c r="D67" s="7" t="inlineStr">
        <is>
          <t>Escudo: public/logos/vector/green-alliance-logo.svg</t>
        </is>
      </c>
      <c r="E67" s="7" t="inlineStr">
        <is>
          <t>Yo</t>
        </is>
      </c>
      <c r="F67" s="8" t="inlineStr">
        <is>
          <t>Baja</t>
        </is>
      </c>
      <c r="G67" s="8" t="inlineStr">
        <is>
          <t>Hecho</t>
        </is>
      </c>
      <c r="H67" s="8" t="inlineStr">
        <is>
          <t>—</t>
        </is>
      </c>
      <c r="I67" s="21">
        <f>IFERROR(INDEX(Plan!$B$5:$B$57,MATCH(H67,Plan!$A$5:$A$57,0)),"—")</f>
        <v/>
      </c>
      <c r="J67" s="7" t="inlineStr"/>
    </row>
    <row r="68">
      <c r="A68" s="19" t="inlineStr">
        <is>
          <t>P-06</t>
        </is>
      </c>
      <c r="B68" s="4" t="inlineStr">
        <is>
          <t>Decisión</t>
        </is>
      </c>
      <c r="C68" s="4" t="inlineStr">
        <is>
          <t>/ingresar</t>
        </is>
      </c>
      <c r="D68" s="7" t="inlineStr">
        <is>
          <t>Formulario de ingreso entre 640 y 767 px (columna de 440 px)</t>
        </is>
      </c>
      <c r="E68" s="7" t="inlineStr">
        <is>
          <t>Yo</t>
        </is>
      </c>
      <c r="F68" s="8" t="inlineStr">
        <is>
          <t>Baja</t>
        </is>
      </c>
      <c r="G68" s="8" t="inlineStr">
        <is>
          <t>Hecho</t>
        </is>
      </c>
      <c r="H68" s="8" t="inlineStr">
        <is>
          <t>5.2</t>
        </is>
      </c>
      <c r="I68" s="21">
        <f>IFERROR(INDEX(Plan!$B$5:$B$57,MATCH(H68,Plan!$A$5:$A$57,0)),"—")</f>
        <v/>
      </c>
      <c r="J68" s="7" t="inlineStr"/>
    </row>
    <row r="69">
      <c r="A69" s="19" t="inlineStr">
        <is>
          <t>P-07</t>
        </is>
      </c>
      <c r="B69" s="4" t="inlineStr">
        <is>
          <t>Decisión</t>
        </is>
      </c>
      <c r="C69" s="4" t="inlineStr">
        <is>
          <t>/ingresar</t>
        </is>
      </c>
      <c r="D69" s="7" t="inlineStr">
        <is>
          <t>Panel verde en tableta (640–1023 px) centrado</t>
        </is>
      </c>
      <c r="E69" s="7" t="inlineStr">
        <is>
          <t>Yo</t>
        </is>
      </c>
      <c r="F69" s="8" t="inlineStr">
        <is>
          <t>Baja</t>
        </is>
      </c>
      <c r="G69" s="8" t="inlineStr">
        <is>
          <t>Hecho</t>
        </is>
      </c>
      <c r="H69" s="8" t="inlineStr">
        <is>
          <t>5.2</t>
        </is>
      </c>
      <c r="I69" s="21">
        <f>IFERROR(INDEX(Plan!$B$5:$B$57,MATCH(H69,Plan!$A$5:$A$57,0)),"—")</f>
        <v/>
      </c>
      <c r="J69" s="7" t="inlineStr"/>
    </row>
  </sheetData>
  <autoFilter ref="A4:J69"/>
  <conditionalFormatting sqref="G5:G69">
    <cfRule type="expression" priority="1" dxfId="1">
      <formula>$G5="Hecho"</formula>
    </cfRule>
    <cfRule type="expression" priority="2" dxfId="2">
      <formula>$G5="En curso"</formula>
    </cfRule>
    <cfRule type="expression" priority="3" dxfId="3">
      <formula>$G5="Pendiente"</formula>
    </cfRule>
    <cfRule type="expression" priority="4" dxfId="4">
      <formula>$G5="Bloqueado"</formula>
    </cfRule>
  </conditionalFormatting>
  <conditionalFormatting sqref="F5:F69">
    <cfRule type="expression" priority="5" dxfId="5">
      <formula>$F5="Alta"</formula>
    </cfRule>
    <cfRule type="expression" priority="6" dxfId="6">
      <formula>$F5="Media"</formula>
    </cfRule>
    <cfRule type="expression" priority="7" dxfId="7">
      <formula>$F5="Baja"</formula>
    </cfRule>
  </conditionalFormatting>
  <conditionalFormatting sqref="A5:F69">
    <cfRule type="expression" priority="8" dxfId="8">
      <formula>$G5="Hecho"</formula>
    </cfRule>
  </conditionalFormatting>
  <dataValidations count="2">
    <dataValidation sqref="G5:G69" showDropDown="0" showInputMessage="0" showErrorMessage="0" allowBlank="0" type="list">
      <formula1>"Hecho,En curso,Pendiente,Bloqueado"</formula1>
    </dataValidation>
    <dataValidation sqref="F5:F69" showDropDown="0" showInputMessage="0" showErrorMessage="0" allowBlank="0" type="list">
      <formula1>"Alta,Media,Baja"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3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9" customWidth="1" min="4" max="4"/>
    <col width="10" customWidth="1" min="5" max="5"/>
    <col width="14" customWidth="1" min="6" max="6"/>
    <col width="12" customWidth="1" min="7" max="7"/>
    <col width="22" customWidth="1" min="8" max="8"/>
    <col width="7" customWidth="1" min="9" max="9"/>
    <col width="11" customWidth="1" min="10" max="10"/>
    <col width="9" customWidth="1" min="11" max="11"/>
    <col width="9" customWidth="1" min="12" max="12"/>
    <col width="9" customWidth="1" min="13" max="13"/>
    <col width="10" customWidth="1" min="14" max="14"/>
    <col width="11" customWidth="1" min="15" max="15"/>
    <col width="11" customWidth="1" min="16" max="16"/>
    <col width="26" customWidth="1" min="17" max="17"/>
    <col width="34" customWidth="1" min="18" max="18"/>
  </cols>
  <sheetData>
    <row r="1">
      <c r="A1" s="1" t="inlineStr">
        <is>
          <t>Plan optimizado — tabla de actividades</t>
        </is>
      </c>
    </row>
    <row r="2">
      <c r="A2" s="2" t="inlineStr">
        <is>
          <t>Inicio, Listo y Fila los calcula el optimizador (2 filas, cola infinita). Si cambias pesos o dependencias, pide a ga-supervisor-avances que regenere el libro.</t>
        </is>
      </c>
    </row>
    <row r="4" ht="42" customHeight="1">
      <c r="A4" s="14" t="inlineStr">
        <is>
          <t>ID</t>
        </is>
      </c>
      <c r="B4" s="14" t="inlineStr">
        <is>
          <t>Fase</t>
        </is>
      </c>
      <c r="C4" s="14" t="inlineStr">
        <is>
          <t>Actividad</t>
        </is>
      </c>
      <c r="D4" s="14" t="inlineStr">
        <is>
          <t>Peso (1–5)</t>
        </is>
      </c>
      <c r="E4" s="14" t="inlineStr">
        <is>
          <t>Duración (bloques)</t>
        </is>
      </c>
      <c r="F4" s="14" t="inlineStr">
        <is>
          <t>Depende de</t>
        </is>
      </c>
      <c r="G4" s="14" t="inlineStr">
        <is>
          <t>¿Simultánea con otras?</t>
        </is>
      </c>
      <c r="H4" s="14" t="inlineStr">
        <is>
          <t>En paralelo con</t>
        </is>
      </c>
      <c r="I4" s="14" t="inlineStr">
        <is>
          <t>Fila</t>
        </is>
      </c>
      <c r="J4" s="14" t="inlineStr">
        <is>
          <t>Entra a la cola (bloque)</t>
        </is>
      </c>
      <c r="K4" s="14" t="inlineStr">
        <is>
          <t>Inicio (bloque)</t>
        </is>
      </c>
      <c r="L4" s="14" t="inlineStr">
        <is>
          <t>Fin (bloque)</t>
        </is>
      </c>
      <c r="M4" s="14" t="inlineStr">
        <is>
          <t>Espera en cola</t>
        </is>
      </c>
      <c r="N4" s="14" t="inlineStr">
        <is>
          <t>Semanas</t>
        </is>
      </c>
      <c r="O4" s="14" t="inlineStr">
        <is>
          <t>Estado</t>
        </is>
      </c>
      <c r="P4" s="14" t="inlineStr">
        <is>
          <t>Origen</t>
        </is>
      </c>
      <c r="Q4" s="14" t="inlineStr">
        <is>
          <t>Agente / responsable</t>
        </is>
      </c>
      <c r="R4" s="14" t="inlineStr">
        <is>
          <t>Bloqueo externo</t>
        </is>
      </c>
    </row>
    <row r="5">
      <c r="A5" s="19" t="inlineStr">
        <is>
          <t>1.1</t>
        </is>
      </c>
      <c r="B5" s="4" t="inlineStr">
        <is>
          <t>1. Diseño y arquitectura</t>
        </is>
      </c>
      <c r="C5" s="7" t="inlineStr">
        <is>
          <t>Diseño visual de las 6 pantallas (PC 1280 px y celular 390 px)</t>
        </is>
      </c>
      <c r="D5" s="5" t="n">
        <v>4</v>
      </c>
      <c r="E5" s="8">
        <f>D5</f>
        <v/>
      </c>
      <c r="F5" s="4" t="inlineStr">
        <is>
          <t>—</t>
        </is>
      </c>
      <c r="G5" s="7" t="inlineStr">
        <is>
          <t>Sí</t>
        </is>
      </c>
      <c r="H5" s="7" t="inlineStr">
        <is>
          <t>1.3, 1.2</t>
        </is>
      </c>
      <c r="I5" s="18" t="inlineStr">
        <is>
          <t>A</t>
        </is>
      </c>
      <c r="J5" s="8" t="n">
        <v>0</v>
      </c>
      <c r="K5" s="8" t="n">
        <v>0</v>
      </c>
      <c r="L5" s="8">
        <f>K5+E5</f>
        <v/>
      </c>
      <c r="M5" s="8">
        <f>K5-J5</f>
        <v/>
      </c>
      <c r="N5" s="8">
        <f>"S"&amp;(INT(K5/Resumen!$C$5)+1)&amp;"–S"&amp;MAX(INT(K5/Resumen!$C$5)+1,ROUNDUP(L5/Resumen!$C$5,0))</f>
        <v/>
      </c>
      <c r="O5" s="8" t="inlineStr">
        <is>
          <t>Hecho</t>
        </is>
      </c>
      <c r="P5" s="8" t="inlineStr">
        <is>
          <t>Propuesta</t>
        </is>
      </c>
      <c r="Q5" s="7" t="inlineStr">
        <is>
          <t>—</t>
        </is>
      </c>
      <c r="R5" s="7" t="inlineStr"/>
    </row>
    <row r="6">
      <c r="A6" s="19" t="inlineStr">
        <is>
          <t>1.2</t>
        </is>
      </c>
      <c r="B6" s="4" t="inlineStr">
        <is>
          <t>1. Diseño y arquitectura</t>
        </is>
      </c>
      <c r="C6" s="7" t="inlineStr">
        <is>
          <t>Modelo de datos en Supabase (perfiles, grados, solicitudes, convenios)</t>
        </is>
      </c>
      <c r="D6" s="5" t="n">
        <v>3</v>
      </c>
      <c r="E6" s="8">
        <f>D6</f>
        <v/>
      </c>
      <c r="F6" s="4" t="inlineStr">
        <is>
          <t>—</t>
        </is>
      </c>
      <c r="G6" s="7" t="inlineStr">
        <is>
          <t>Sí</t>
        </is>
      </c>
      <c r="H6" s="7" t="inlineStr">
        <is>
          <t>1.1</t>
        </is>
      </c>
      <c r="I6" s="18" t="inlineStr">
        <is>
          <t>B</t>
        </is>
      </c>
      <c r="J6" s="8" t="n">
        <v>0</v>
      </c>
      <c r="K6" s="8" t="n">
        <v>1</v>
      </c>
      <c r="L6" s="8">
        <f>K6+E6</f>
        <v/>
      </c>
      <c r="M6" s="8">
        <f>K6-J6</f>
        <v/>
      </c>
      <c r="N6" s="8">
        <f>"S"&amp;(INT(K6/Resumen!$C$5)+1)&amp;"–S"&amp;MAX(INT(K6/Resumen!$C$5)+1,ROUNDUP(L6/Resumen!$C$5,0))</f>
        <v/>
      </c>
      <c r="O6" s="8" t="inlineStr">
        <is>
          <t>Hecho</t>
        </is>
      </c>
      <c r="P6" s="8" t="inlineStr">
        <is>
          <t>Propuesta</t>
        </is>
      </c>
      <c r="Q6" s="7" t="inlineStr">
        <is>
          <t>ga-auditor-supabase</t>
        </is>
      </c>
      <c r="R6" s="7" t="inlineStr"/>
    </row>
    <row r="7">
      <c r="A7" s="19" t="inlineStr">
        <is>
          <t>1.3</t>
        </is>
      </c>
      <c r="B7" s="4" t="inlineStr">
        <is>
          <t>1. Diseño y arquitectura</t>
        </is>
      </c>
      <c r="C7" s="7" t="inlineStr">
        <is>
          <t>Stack y proyecto base (Next.js 16, Supabase, Resend)</t>
        </is>
      </c>
      <c r="D7" s="5" t="n">
        <v>1</v>
      </c>
      <c r="E7" s="8">
        <f>D7</f>
        <v/>
      </c>
      <c r="F7" s="4" t="inlineStr">
        <is>
          <t>—</t>
        </is>
      </c>
      <c r="G7" s="7" t="inlineStr">
        <is>
          <t>Sí</t>
        </is>
      </c>
      <c r="H7" s="7" t="inlineStr">
        <is>
          <t>1.1</t>
        </is>
      </c>
      <c r="I7" s="18" t="inlineStr">
        <is>
          <t>B</t>
        </is>
      </c>
      <c r="J7" s="8" t="n">
        <v>0</v>
      </c>
      <c r="K7" s="8" t="n">
        <v>0</v>
      </c>
      <c r="L7" s="8">
        <f>K7+E7</f>
        <v/>
      </c>
      <c r="M7" s="8">
        <f>K7-J7</f>
        <v/>
      </c>
      <c r="N7" s="8">
        <f>"S"&amp;(INT(K7/Resumen!$C$5)+1)&amp;"–S"&amp;MAX(INT(K7/Resumen!$C$5)+1,ROUNDUP(L7/Resumen!$C$5,0))</f>
        <v/>
      </c>
      <c r="O7" s="8" t="inlineStr">
        <is>
          <t>Hecho</t>
        </is>
      </c>
      <c r="P7" s="8" t="inlineStr">
        <is>
          <t>Propuesta</t>
        </is>
      </c>
      <c r="Q7" s="7" t="inlineStr">
        <is>
          <t>—</t>
        </is>
      </c>
      <c r="R7" s="7" t="inlineStr"/>
    </row>
    <row r="8">
      <c r="A8" s="19" t="inlineStr">
        <is>
          <t>1.4</t>
        </is>
      </c>
      <c r="B8" s="4" t="inlineStr">
        <is>
          <t>1. Diseño y arquitectura</t>
        </is>
      </c>
      <c r="C8" s="7" t="inlineStr">
        <is>
          <t>Tokens de diseño y componentes UI (Tailwind, globals.css)</t>
        </is>
      </c>
      <c r="D8" s="5" t="n">
        <v>2</v>
      </c>
      <c r="E8" s="8">
        <f>D8</f>
        <v/>
      </c>
      <c r="F8" s="4" t="inlineStr">
        <is>
          <t>1.1, 1.3</t>
        </is>
      </c>
      <c r="G8" s="7" t="inlineStr">
        <is>
          <t>Sí</t>
        </is>
      </c>
      <c r="H8" s="7" t="inlineStr">
        <is>
          <t>3.1</t>
        </is>
      </c>
      <c r="I8" s="18" t="inlineStr">
        <is>
          <t>A</t>
        </is>
      </c>
      <c r="J8" s="8" t="n">
        <v>4</v>
      </c>
      <c r="K8" s="8" t="n">
        <v>4</v>
      </c>
      <c r="L8" s="8">
        <f>K8+E8</f>
        <v/>
      </c>
      <c r="M8" s="8">
        <f>K8-J8</f>
        <v/>
      </c>
      <c r="N8" s="8">
        <f>"S"&amp;(INT(K8/Resumen!$C$5)+1)&amp;"–S"&amp;MAX(INT(K8/Resumen!$C$5)+1,ROUNDUP(L8/Resumen!$C$5,0))</f>
        <v/>
      </c>
      <c r="O8" s="8" t="inlineStr">
        <is>
          <t>Hecho</t>
        </is>
      </c>
      <c r="P8" s="8" t="inlineStr">
        <is>
          <t>Propuesta</t>
        </is>
      </c>
      <c r="Q8" s="7" t="inlineStr">
        <is>
          <t>ga-diseno-a-codigo</t>
        </is>
      </c>
      <c r="R8" s="7" t="inlineStr"/>
    </row>
    <row r="9">
      <c r="A9" s="19" t="inlineStr">
        <is>
          <t>1.5</t>
        </is>
      </c>
      <c r="B9" s="4" t="inlineStr">
        <is>
          <t>1. Diseño y arquitectura</t>
        </is>
      </c>
      <c r="C9" s="7" t="inlineStr">
        <is>
          <t>Modelo de datos fase 2: rol asesor, afiliación v2 (fotos), bucket privado de documentos y sorteo mensual (6 migraciones + seed)</t>
        </is>
      </c>
      <c r="D9" s="5" t="n">
        <v>5</v>
      </c>
      <c r="E9" s="8">
        <f>D9</f>
        <v/>
      </c>
      <c r="F9" s="4" t="inlineStr">
        <is>
          <t>1.2</t>
        </is>
      </c>
      <c r="G9" s="7" t="inlineStr">
        <is>
          <t>Sí</t>
        </is>
      </c>
      <c r="H9" s="7" t="inlineStr">
        <is>
          <t>5.2, 2.10, 6.11</t>
        </is>
      </c>
      <c r="I9" s="18" t="inlineStr">
        <is>
          <t>A</t>
        </is>
      </c>
      <c r="J9" s="8" t="n">
        <v>4</v>
      </c>
      <c r="K9" s="8" t="n">
        <v>28</v>
      </c>
      <c r="L9" s="8">
        <f>K9+E9</f>
        <v/>
      </c>
      <c r="M9" s="8">
        <f>K9-J9</f>
        <v/>
      </c>
      <c r="N9" s="8">
        <f>"S"&amp;(INT(K9/Resumen!$C$5)+1)&amp;"–S"&amp;MAX(INT(K9/Resumen!$C$5)+1,ROUNDUP(L9/Resumen!$C$5,0))</f>
        <v/>
      </c>
      <c r="O9" s="8" t="inlineStr">
        <is>
          <t>Hecho</t>
        </is>
      </c>
      <c r="P9" s="8" t="inlineStr">
        <is>
          <t>Agregado</t>
        </is>
      </c>
      <c r="Q9" s="7" t="inlineStr">
        <is>
          <t>ga-auditor-supabase</t>
        </is>
      </c>
      <c r="R9" s="7" t="inlineStr"/>
    </row>
    <row r="10">
      <c r="A10" s="19" t="inlineStr">
        <is>
          <t>1.6</t>
        </is>
      </c>
      <c r="B10" s="4" t="inlineStr">
        <is>
          <t>1. Diseño y arquitectura</t>
        </is>
      </c>
      <c r="C10" s="7" t="inlineStr">
        <is>
          <t>Auditoría de las migraciones de fase 2 y 3 migraciones correctivas de seguridad (boleta del sorteo oculta, asesor degradado, trigger de sincronía app_metadata)</t>
        </is>
      </c>
      <c r="D10" s="5" t="n">
        <v>3</v>
      </c>
      <c r="E10" s="8">
        <f>D10</f>
        <v/>
      </c>
      <c r="F10" s="4" t="inlineStr">
        <is>
          <t>1.5</t>
        </is>
      </c>
      <c r="G10" s="7" t="inlineStr">
        <is>
          <t>Sí</t>
        </is>
      </c>
      <c r="H10" s="7" t="inlineStr">
        <is>
          <t>3.7</t>
        </is>
      </c>
      <c r="I10" s="18" t="inlineStr">
        <is>
          <t>A</t>
        </is>
      </c>
      <c r="J10" s="8" t="n">
        <v>33</v>
      </c>
      <c r="K10" s="8" t="n">
        <v>37</v>
      </c>
      <c r="L10" s="8">
        <f>K10+E10</f>
        <v/>
      </c>
      <c r="M10" s="8">
        <f>K10-J10</f>
        <v/>
      </c>
      <c r="N10" s="8">
        <f>"S"&amp;(INT(K10/Resumen!$C$5)+1)&amp;"–S"&amp;MAX(INT(K10/Resumen!$C$5)+1,ROUNDUP(L10/Resumen!$C$5,0))</f>
        <v/>
      </c>
      <c r="O10" s="8" t="inlineStr">
        <is>
          <t>Hecho</t>
        </is>
      </c>
      <c r="P10" s="8" t="inlineStr">
        <is>
          <t>Agregado</t>
        </is>
      </c>
      <c r="Q10" s="7" t="inlineStr">
        <is>
          <t>ga-auditor-supabase</t>
        </is>
      </c>
      <c r="R10" s="7" t="inlineStr"/>
    </row>
    <row r="11">
      <c r="A11" s="19" t="inlineStr">
        <is>
          <t>2.1</t>
        </is>
      </c>
      <c r="B11" s="7" t="inlineStr">
        <is>
          <t>2. Landing y autenticación</t>
        </is>
      </c>
      <c r="C11" s="7" t="inlineStr">
        <is>
          <t>Maquetar la landing (misión, visión, servicios)</t>
        </is>
      </c>
      <c r="D11" s="5" t="n">
        <v>3</v>
      </c>
      <c r="E11" s="8">
        <f>D11</f>
        <v/>
      </c>
      <c r="F11" s="4" t="inlineStr">
        <is>
          <t>1.4</t>
        </is>
      </c>
      <c r="G11" s="7" t="inlineStr">
        <is>
          <t>Sí</t>
        </is>
      </c>
      <c r="H11" s="7" t="inlineStr">
        <is>
          <t>2.6, 2.7</t>
        </is>
      </c>
      <c r="I11" s="18" t="inlineStr">
        <is>
          <t>B</t>
        </is>
      </c>
      <c r="J11" s="8" t="n">
        <v>6</v>
      </c>
      <c r="K11" s="8" t="n">
        <v>13</v>
      </c>
      <c r="L11" s="8">
        <f>K11+E11</f>
        <v/>
      </c>
      <c r="M11" s="8">
        <f>K11-J11</f>
        <v/>
      </c>
      <c r="N11" s="8">
        <f>"S"&amp;(INT(K11/Resumen!$C$5)+1)&amp;"–S"&amp;MAX(INT(K11/Resumen!$C$5)+1,ROUNDUP(L11/Resumen!$C$5,0))</f>
        <v/>
      </c>
      <c r="O11" s="8" t="inlineStr">
        <is>
          <t>Hecho</t>
        </is>
      </c>
      <c r="P11" s="8" t="inlineStr">
        <is>
          <t>Propuesta</t>
        </is>
      </c>
      <c r="Q11" s="7" t="inlineStr">
        <is>
          <t>ga-diseno-a-codigo</t>
        </is>
      </c>
      <c r="R11" s="7" t="inlineStr"/>
    </row>
    <row r="12">
      <c r="A12" s="19" t="inlineStr">
        <is>
          <t>2.2</t>
        </is>
      </c>
      <c r="B12" s="7" t="inlineStr">
        <is>
          <t>2. Landing y autenticación</t>
        </is>
      </c>
      <c r="C12" s="7" t="inlineStr">
        <is>
          <t>Maquetar /ingresar y /ingresar/codigo</t>
        </is>
      </c>
      <c r="D12" s="5" t="n">
        <v>2</v>
      </c>
      <c r="E12" s="8">
        <f>D12</f>
        <v/>
      </c>
      <c r="F12" s="4" t="inlineStr">
        <is>
          <t>1.4</t>
        </is>
      </c>
      <c r="G12" s="7" t="inlineStr">
        <is>
          <t>Sí</t>
        </is>
      </c>
      <c r="H12" s="7" t="inlineStr">
        <is>
          <t>3.1</t>
        </is>
      </c>
      <c r="I12" s="18" t="inlineStr">
        <is>
          <t>A</t>
        </is>
      </c>
      <c r="J12" s="8" t="n">
        <v>6</v>
      </c>
      <c r="K12" s="8" t="n">
        <v>6</v>
      </c>
      <c r="L12" s="8">
        <f>K12+E12</f>
        <v/>
      </c>
      <c r="M12" s="8">
        <f>K12-J12</f>
        <v/>
      </c>
      <c r="N12" s="8">
        <f>"S"&amp;(INT(K12/Resumen!$C$5)+1)&amp;"–S"&amp;MAX(INT(K12/Resumen!$C$5)+1,ROUNDUP(L12/Resumen!$C$5,0))</f>
        <v/>
      </c>
      <c r="O12" s="8" t="inlineStr">
        <is>
          <t>Hecho</t>
        </is>
      </c>
      <c r="P12" s="8" t="inlineStr">
        <is>
          <t>Propuesta</t>
        </is>
      </c>
      <c r="Q12" s="7" t="inlineStr">
        <is>
          <t>ga-diseno-a-codigo</t>
        </is>
      </c>
      <c r="R12" s="7" t="inlineStr"/>
    </row>
    <row r="13">
      <c r="A13" s="19" t="inlineStr">
        <is>
          <t>2.3</t>
        </is>
      </c>
      <c r="B13" s="7" t="inlineStr">
        <is>
          <t>2. Landing y autenticación</t>
        </is>
      </c>
      <c r="C13" s="7" t="inlineStr">
        <is>
          <t>Maquetar /afiliacion y /afiliacion/enviada</t>
        </is>
      </c>
      <c r="D13" s="5" t="n">
        <v>2</v>
      </c>
      <c r="E13" s="8">
        <f>D13</f>
        <v/>
      </c>
      <c r="F13" s="4" t="inlineStr">
        <is>
          <t>1.4</t>
        </is>
      </c>
      <c r="G13" s="7" t="inlineStr">
        <is>
          <t>Sí</t>
        </is>
      </c>
      <c r="H13" s="7" t="inlineStr">
        <is>
          <t>2.5</t>
        </is>
      </c>
      <c r="I13" s="18" t="inlineStr">
        <is>
          <t>B</t>
        </is>
      </c>
      <c r="J13" s="8" t="n">
        <v>6</v>
      </c>
      <c r="K13" s="8" t="n">
        <v>8</v>
      </c>
      <c r="L13" s="8">
        <f>K13+E13</f>
        <v/>
      </c>
      <c r="M13" s="8">
        <f>K13-J13</f>
        <v/>
      </c>
      <c r="N13" s="8">
        <f>"S"&amp;(INT(K13/Resumen!$C$5)+1)&amp;"–S"&amp;MAX(INT(K13/Resumen!$C$5)+1,ROUNDUP(L13/Resumen!$C$5,0))</f>
        <v/>
      </c>
      <c r="O13" s="8" t="inlineStr">
        <is>
          <t>Hecho</t>
        </is>
      </c>
      <c r="P13" s="8" t="inlineStr">
        <is>
          <t>Agregado</t>
        </is>
      </c>
      <c r="Q13" s="7" t="inlineStr">
        <is>
          <t>ga-diseno-a-codigo</t>
        </is>
      </c>
      <c r="R13" s="7" t="inlineStr"/>
    </row>
    <row r="14">
      <c r="A14" s="19" t="inlineStr">
        <is>
          <t>2.4</t>
        </is>
      </c>
      <c r="B14" s="7" t="inlineStr">
        <is>
          <t>2. Landing y autenticación</t>
        </is>
      </c>
      <c r="C14" s="7" t="inlineStr">
        <is>
          <t>SMTP propio con Resend y plantilla del código OTP en Supabase</t>
        </is>
      </c>
      <c r="D14" s="5" t="n">
        <v>2</v>
      </c>
      <c r="E14" s="8">
        <f>D14</f>
        <v/>
      </c>
      <c r="F14" s="4" t="inlineStr">
        <is>
          <t>1.3</t>
        </is>
      </c>
      <c r="G14" s="7" t="inlineStr">
        <is>
          <t>Sí</t>
        </is>
      </c>
      <c r="H14" s="7" t="inlineStr">
        <is>
          <t>5.4, 2.11</t>
        </is>
      </c>
      <c r="I14" s="18" t="inlineStr">
        <is>
          <t>A</t>
        </is>
      </c>
      <c r="J14" s="8" t="n">
        <v>48</v>
      </c>
      <c r="K14" s="8" t="n">
        <v>48</v>
      </c>
      <c r="L14" s="8">
        <f>K14+E14</f>
        <v/>
      </c>
      <c r="M14" s="8">
        <f>K14-J14</f>
        <v/>
      </c>
      <c r="N14" s="8">
        <f>"S"&amp;(INT(K14/Resumen!$C$5)+1)&amp;"–S"&amp;MAX(INT(K14/Resumen!$C$5)+1,ROUNDUP(L14/Resumen!$C$5,0))</f>
        <v/>
      </c>
      <c r="O14" s="8" t="inlineStr">
        <is>
          <t>En curso</t>
        </is>
      </c>
      <c r="P14" s="8" t="inlineStr">
        <is>
          <t>Agregado</t>
        </is>
      </c>
      <c r="Q14" s="7" t="inlineStr">
        <is>
          <t>Yo (panel Supabase)</t>
        </is>
      </c>
      <c r="R14" s="7" t="inlineStr"/>
    </row>
    <row r="15">
      <c r="A15" s="19" t="inlineStr">
        <is>
          <t>2.5</t>
        </is>
      </c>
      <c r="B15" s="7" t="inlineStr">
        <is>
          <t>2. Landing y autenticación</t>
        </is>
      </c>
      <c r="C15" s="7" t="inlineStr">
        <is>
          <t>/ingresar: Server Action (correo por cédula, envío OTP, cookie firmada)</t>
        </is>
      </c>
      <c r="D15" s="5" t="n">
        <v>3</v>
      </c>
      <c r="E15" s="8">
        <f>D15</f>
        <v/>
      </c>
      <c r="F15" s="4" t="inlineStr">
        <is>
          <t>2.2</t>
        </is>
      </c>
      <c r="G15" s="7" t="inlineStr">
        <is>
          <t>Sí</t>
        </is>
      </c>
      <c r="H15" s="7" t="inlineStr">
        <is>
          <t>2.3, 3.4</t>
        </is>
      </c>
      <c r="I15" s="18" t="inlineStr">
        <is>
          <t>A</t>
        </is>
      </c>
      <c r="J15" s="8" t="n">
        <v>8</v>
      </c>
      <c r="K15" s="8" t="n">
        <v>8</v>
      </c>
      <c r="L15" s="8">
        <f>K15+E15</f>
        <v/>
      </c>
      <c r="M15" s="8">
        <f>K15-J15</f>
        <v/>
      </c>
      <c r="N15" s="8">
        <f>"S"&amp;(INT(K15/Resumen!$C$5)+1)&amp;"–S"&amp;MAX(INT(K15/Resumen!$C$5)+1,ROUNDUP(L15/Resumen!$C$5,0))</f>
        <v/>
      </c>
      <c r="O15" s="8" t="inlineStr">
        <is>
          <t>Hecho</t>
        </is>
      </c>
      <c r="P15" s="8" t="inlineStr">
        <is>
          <t>Propuesta</t>
        </is>
      </c>
      <c r="Q15" s="7" t="inlineStr">
        <is>
          <t>ga-funcionalidad-botones</t>
        </is>
      </c>
      <c r="R15" s="7" t="inlineStr"/>
    </row>
    <row r="16">
      <c r="A16" s="19" t="inlineStr">
        <is>
          <t>2.6</t>
        </is>
      </c>
      <c r="B16" s="7" t="inlineStr">
        <is>
          <t>2. Landing y autenticación</t>
        </is>
      </c>
      <c r="C16" s="7" t="inlineStr">
        <is>
          <t>/ingresar/codigo: verificar OTP, casillas, reenviar (45 s), cambiar cédula</t>
        </is>
      </c>
      <c r="D16" s="5" t="n">
        <v>3</v>
      </c>
      <c r="E16" s="8">
        <f>D16</f>
        <v/>
      </c>
      <c r="F16" s="4" t="inlineStr">
        <is>
          <t>2.5</t>
        </is>
      </c>
      <c r="G16" s="7" t="inlineStr">
        <is>
          <t>Sí</t>
        </is>
      </c>
      <c r="H16" s="7" t="inlineStr">
        <is>
          <t>3.4, 2.1</t>
        </is>
      </c>
      <c r="I16" s="18" t="inlineStr">
        <is>
          <t>A</t>
        </is>
      </c>
      <c r="J16" s="8" t="n">
        <v>11</v>
      </c>
      <c r="K16" s="8" t="n">
        <v>11</v>
      </c>
      <c r="L16" s="8">
        <f>K16+E16</f>
        <v/>
      </c>
      <c r="M16" s="8">
        <f>K16-J16</f>
        <v/>
      </c>
      <c r="N16" s="8">
        <f>"S"&amp;(INT(K16/Resumen!$C$5)+1)&amp;"–S"&amp;MAX(INT(K16/Resumen!$C$5)+1,ROUNDUP(L16/Resumen!$C$5,0))</f>
        <v/>
      </c>
      <c r="O16" s="8" t="inlineStr">
        <is>
          <t>Hecho</t>
        </is>
      </c>
      <c r="P16" s="8" t="inlineStr">
        <is>
          <t>Propuesta</t>
        </is>
      </c>
      <c r="Q16" s="7" t="inlineStr">
        <is>
          <t>ga-funcionalidad-botones</t>
        </is>
      </c>
      <c r="R16" s="7" t="inlineStr"/>
    </row>
    <row r="17">
      <c r="A17" s="19" t="inlineStr">
        <is>
          <t>2.7</t>
        </is>
      </c>
      <c r="B17" s="7" t="inlineStr">
        <is>
          <t>2. Landing y autenticación</t>
        </is>
      </c>
      <c r="C17" s="7" t="inlineStr">
        <is>
          <t>Proteger /cuenta en proxy.ts y botón «Salir»</t>
        </is>
      </c>
      <c r="D17" s="5" t="n">
        <v>2</v>
      </c>
      <c r="E17" s="8">
        <f>D17</f>
        <v/>
      </c>
      <c r="F17" s="4" t="inlineStr">
        <is>
          <t>2.6</t>
        </is>
      </c>
      <c r="G17" s="7" t="inlineStr">
        <is>
          <t>Sí</t>
        </is>
      </c>
      <c r="H17" s="7" t="inlineStr">
        <is>
          <t>2.1</t>
        </is>
      </c>
      <c r="I17" s="18" t="inlineStr">
        <is>
          <t>A</t>
        </is>
      </c>
      <c r="J17" s="8" t="n">
        <v>14</v>
      </c>
      <c r="K17" s="8" t="n">
        <v>14</v>
      </c>
      <c r="L17" s="8">
        <f>K17+E17</f>
        <v/>
      </c>
      <c r="M17" s="8">
        <f>K17-J17</f>
        <v/>
      </c>
      <c r="N17" s="8">
        <f>"S"&amp;(INT(K17/Resumen!$C$5)+1)&amp;"–S"&amp;MAX(INT(K17/Resumen!$C$5)+1,ROUNDUP(L17/Resumen!$C$5,0))</f>
        <v/>
      </c>
      <c r="O17" s="8" t="inlineStr">
        <is>
          <t>Hecho</t>
        </is>
      </c>
      <c r="P17" s="8" t="inlineStr">
        <is>
          <t>Propuesta</t>
        </is>
      </c>
      <c r="Q17" s="7" t="inlineStr">
        <is>
          <t>ga-funcionalidad-botones</t>
        </is>
      </c>
      <c r="R17" s="7" t="inlineStr"/>
    </row>
    <row r="18">
      <c r="A18" s="19" t="inlineStr">
        <is>
          <t>2.8</t>
        </is>
      </c>
      <c r="B18" s="7" t="inlineStr">
        <is>
          <t>2. Landing y autenticación</t>
        </is>
      </c>
      <c r="C18" s="7" t="inlineStr">
        <is>
          <t>Landing: botones llevan a /cuenta si hay sesión</t>
        </is>
      </c>
      <c r="D18" s="5" t="n">
        <v>1</v>
      </c>
      <c r="E18" s="8">
        <f>D18</f>
        <v/>
      </c>
      <c r="F18" s="4" t="inlineStr">
        <is>
          <t>2.7, 2.1</t>
        </is>
      </c>
      <c r="G18" s="7" t="inlineStr">
        <is>
          <t>Sí</t>
        </is>
      </c>
      <c r="H18" s="7" t="inlineStr">
        <is>
          <t>2.9</t>
        </is>
      </c>
      <c r="I18" s="18" t="inlineStr">
        <is>
          <t>A</t>
        </is>
      </c>
      <c r="J18" s="8" t="n">
        <v>16</v>
      </c>
      <c r="K18" s="8" t="n">
        <v>23</v>
      </c>
      <c r="L18" s="8">
        <f>K18+E18</f>
        <v/>
      </c>
      <c r="M18" s="8">
        <f>K18-J18</f>
        <v/>
      </c>
      <c r="N18" s="8">
        <f>"S"&amp;(INT(K18/Resumen!$C$5)+1)&amp;"–S"&amp;MAX(INT(K18/Resumen!$C$5)+1,ROUNDUP(L18/Resumen!$C$5,0))</f>
        <v/>
      </c>
      <c r="O18" s="8" t="inlineStr">
        <is>
          <t>Hecho</t>
        </is>
      </c>
      <c r="P18" s="8" t="inlineStr">
        <is>
          <t>Propuesta</t>
        </is>
      </c>
      <c r="Q18" s="7" t="inlineStr">
        <is>
          <t>ga-funcionalidad-botones</t>
        </is>
      </c>
      <c r="R18" s="7" t="inlineStr"/>
    </row>
    <row r="19">
      <c r="A19" s="19" t="inlineStr">
        <is>
          <t>2.9</t>
        </is>
      </c>
      <c r="B19" s="7" t="inlineStr">
        <is>
          <t>2. Landing y autenticación</t>
        </is>
      </c>
      <c r="C19" s="7" t="inlineStr">
        <is>
          <t>/afiliacion: Server Action (zod, límites, honeypot, guardar)</t>
        </is>
      </c>
      <c r="D19" s="5" t="n">
        <v>4</v>
      </c>
      <c r="E19" s="8">
        <f>D19</f>
        <v/>
      </c>
      <c r="F19" s="4" t="inlineStr">
        <is>
          <t>2.3</t>
        </is>
      </c>
      <c r="G19" s="7" t="inlineStr">
        <is>
          <t>Sí</t>
        </is>
      </c>
      <c r="H19" s="7" t="inlineStr">
        <is>
          <t>4.2, 2.8, 6.10</t>
        </is>
      </c>
      <c r="I19" s="18" t="inlineStr">
        <is>
          <t>B</t>
        </is>
      </c>
      <c r="J19" s="8" t="n">
        <v>10</v>
      </c>
      <c r="K19" s="8" t="n">
        <v>21</v>
      </c>
      <c r="L19" s="8">
        <f>K19+E19</f>
        <v/>
      </c>
      <c r="M19" s="8">
        <f>K19-J19</f>
        <v/>
      </c>
      <c r="N19" s="8">
        <f>"S"&amp;(INT(K19/Resumen!$C$5)+1)&amp;"–S"&amp;MAX(INT(K19/Resumen!$C$5)+1,ROUNDUP(L19/Resumen!$C$5,0))</f>
        <v/>
      </c>
      <c r="O19" s="8" t="inlineStr">
        <is>
          <t>Hecho</t>
        </is>
      </c>
      <c r="P19" s="8" t="inlineStr">
        <is>
          <t>Agregado</t>
        </is>
      </c>
      <c r="Q19" s="7" t="inlineStr">
        <is>
          <t>ga-funcionalidad-botones</t>
        </is>
      </c>
      <c r="R19" s="7" t="inlineStr"/>
    </row>
    <row r="20">
      <c r="A20" s="19" t="inlineStr">
        <is>
          <t>2.10</t>
        </is>
      </c>
      <c r="B20" s="7" t="inlineStr">
        <is>
          <t>2. Landing y autenticación</t>
        </is>
      </c>
      <c r="C20" s="7" t="inlineStr">
        <is>
          <t>/afiliacion/enviada: mostrar el correo real o redirigir</t>
        </is>
      </c>
      <c r="D20" s="5" t="n">
        <v>1</v>
      </c>
      <c r="E20" s="8">
        <f>D20</f>
        <v/>
      </c>
      <c r="F20" s="4" t="inlineStr">
        <is>
          <t>2.9</t>
        </is>
      </c>
      <c r="G20" s="7" t="inlineStr">
        <is>
          <t>Sí</t>
        </is>
      </c>
      <c r="H20" s="7" t="inlineStr">
        <is>
          <t>1.5</t>
        </is>
      </c>
      <c r="I20" s="18" t="inlineStr">
        <is>
          <t>B</t>
        </is>
      </c>
      <c r="J20" s="8" t="n">
        <v>25</v>
      </c>
      <c r="K20" s="8" t="n">
        <v>31</v>
      </c>
      <c r="L20" s="8">
        <f>K20+E20</f>
        <v/>
      </c>
      <c r="M20" s="8">
        <f>K20-J20</f>
        <v/>
      </c>
      <c r="N20" s="8">
        <f>"S"&amp;(INT(K20/Resumen!$C$5)+1)&amp;"–S"&amp;MAX(INT(K20/Resumen!$C$5)+1,ROUNDUP(L20/Resumen!$C$5,0))</f>
        <v/>
      </c>
      <c r="O20" s="8" t="inlineStr">
        <is>
          <t>Hecho</t>
        </is>
      </c>
      <c r="P20" s="8" t="inlineStr">
        <is>
          <t>Agregado</t>
        </is>
      </c>
      <c r="Q20" s="7" t="inlineStr">
        <is>
          <t>ga-funcionalidad-botones</t>
        </is>
      </c>
      <c r="R20" s="7" t="inlineStr"/>
    </row>
    <row r="21">
      <c r="A21" s="19" t="inlineStr">
        <is>
          <t>2.11</t>
        </is>
      </c>
      <c r="B21" s="7" t="inlineStr">
        <is>
          <t>2. Landing y autenticación</t>
        </is>
      </c>
      <c r="C21" s="7" t="inlineStr">
        <is>
          <t>Corregir F-01: el select «Grado» de /afiliacion se vacía tras un error de validación</t>
        </is>
      </c>
      <c r="D21" s="5" t="n">
        <v>1</v>
      </c>
      <c r="E21" s="8">
        <f>D21</f>
        <v/>
      </c>
      <c r="F21" s="4" t="inlineStr">
        <is>
          <t>2.9</t>
        </is>
      </c>
      <c r="G21" s="7" t="inlineStr">
        <is>
          <t>Sí</t>
        </is>
      </c>
      <c r="H21" s="7" t="inlineStr">
        <is>
          <t>2.4</t>
        </is>
      </c>
      <c r="I21" s="18" t="inlineStr">
        <is>
          <t>B</t>
        </is>
      </c>
      <c r="J21" s="8" t="n">
        <v>48</v>
      </c>
      <c r="K21" s="8" t="n">
        <v>49</v>
      </c>
      <c r="L21" s="8">
        <f>K21+E21</f>
        <v/>
      </c>
      <c r="M21" s="8">
        <f>K21-J21</f>
        <v/>
      </c>
      <c r="N21" s="8">
        <f>"S"&amp;(INT(K21/Resumen!$C$5)+1)&amp;"–S"&amp;MAX(INT(K21/Resumen!$C$5)+1,ROUNDUP(L21/Resumen!$C$5,0))</f>
        <v/>
      </c>
      <c r="O21" s="8" t="inlineStr">
        <is>
          <t>Pendiente</t>
        </is>
      </c>
      <c r="P21" s="8" t="inlineStr">
        <is>
          <t>Agregado</t>
        </is>
      </c>
      <c r="Q21" s="7" t="inlineStr">
        <is>
          <t>ga-funcionalidad-botones</t>
        </is>
      </c>
      <c r="R21" s="7" t="inlineStr"/>
    </row>
    <row r="22">
      <c r="A22" s="19" t="inlineStr">
        <is>
          <t>2.12</t>
        </is>
      </c>
      <c r="B22" s="7" t="inlineStr">
        <is>
          <t>2. Landing y autenticación</t>
        </is>
      </c>
      <c r="C22" s="7" t="inlineStr">
        <is>
          <t>Afiliación v2: nombres/apellidos, institución con correo institucional, Nequi, asesor y 3 fotos (cédula + selfie) con subida al bucket privado</t>
        </is>
      </c>
      <c r="D22" s="5" t="n">
        <v>4</v>
      </c>
      <c r="E22" s="8">
        <f>D22</f>
        <v/>
      </c>
      <c r="F22" s="4" t="inlineStr">
        <is>
          <t>2.9, 1.5</t>
        </is>
      </c>
      <c r="G22" s="7" t="inlineStr">
        <is>
          <t>Sí</t>
        </is>
      </c>
      <c r="H22" s="7" t="inlineStr">
        <is>
          <t>3.9</t>
        </is>
      </c>
      <c r="I22" s="18" t="inlineStr">
        <is>
          <t>A</t>
        </is>
      </c>
      <c r="J22" s="8" t="n">
        <v>33</v>
      </c>
      <c r="K22" s="8" t="n">
        <v>33</v>
      </c>
      <c r="L22" s="8">
        <f>K22+E22</f>
        <v/>
      </c>
      <c r="M22" s="8">
        <f>K22-J22</f>
        <v/>
      </c>
      <c r="N22" s="8">
        <f>"S"&amp;(INT(K22/Resumen!$C$5)+1)&amp;"–S"&amp;MAX(INT(K22/Resumen!$C$5)+1,ROUNDUP(L22/Resumen!$C$5,0))</f>
        <v/>
      </c>
      <c r="O22" s="8" t="inlineStr">
        <is>
          <t>Hecho</t>
        </is>
      </c>
      <c r="P22" s="8" t="inlineStr">
        <is>
          <t>Agregado</t>
        </is>
      </c>
      <c r="Q22" s="7" t="inlineStr">
        <is>
          <t>ga-funcionalidad-botones</t>
        </is>
      </c>
      <c r="R22" s="7" t="inlineStr"/>
    </row>
    <row r="23">
      <c r="A23" s="19" t="inlineStr">
        <is>
          <t>3.1</t>
        </is>
      </c>
      <c r="B23" s="7" t="inlineStr">
        <is>
          <t>3. Flujo de solicitud de crédito</t>
        </is>
      </c>
      <c r="C23" s="7" t="inlineStr">
        <is>
          <t>Reglas del crédito en la base (tasa mensual, mínimo 100.000, orden de llegada)</t>
        </is>
      </c>
      <c r="D23" s="5" t="n">
        <v>4</v>
      </c>
      <c r="E23" s="8">
        <f>D23</f>
        <v/>
      </c>
      <c r="F23" s="4" t="inlineStr">
        <is>
          <t>1.2</t>
        </is>
      </c>
      <c r="G23" s="7" t="inlineStr">
        <is>
          <t>Sí</t>
        </is>
      </c>
      <c r="H23" s="7" t="inlineStr">
        <is>
          <t>1.4, 2.2</t>
        </is>
      </c>
      <c r="I23" s="18" t="inlineStr">
        <is>
          <t>B</t>
        </is>
      </c>
      <c r="J23" s="8" t="n">
        <v>4</v>
      </c>
      <c r="K23" s="8" t="n">
        <v>4</v>
      </c>
      <c r="L23" s="8">
        <f>K23+E23</f>
        <v/>
      </c>
      <c r="M23" s="8">
        <f>K23-J23</f>
        <v/>
      </c>
      <c r="N23" s="8">
        <f>"S"&amp;(INT(K23/Resumen!$C$5)+1)&amp;"–S"&amp;MAX(INT(K23/Resumen!$C$5)+1,ROUNDUP(L23/Resumen!$C$5,0))</f>
        <v/>
      </c>
      <c r="O23" s="8" t="inlineStr">
        <is>
          <t>Hecho</t>
        </is>
      </c>
      <c r="P23" s="8" t="inlineStr">
        <is>
          <t>Propuesta</t>
        </is>
      </c>
      <c r="Q23" s="7" t="inlineStr">
        <is>
          <t>ga-auditor-supabase</t>
        </is>
      </c>
      <c r="R23" s="7" t="inlineStr"/>
    </row>
    <row r="24">
      <c r="A24" s="19" t="inlineStr">
        <is>
          <t>3.2</t>
        </is>
      </c>
      <c r="B24" s="7" t="inlineStr">
        <is>
          <t>3. Flujo de solicitud de crédito</t>
        </is>
      </c>
      <c r="C24" s="7" t="inlineStr">
        <is>
          <t>Pruebas de la base (131 pgTAP) y unitarias (47 Vitest)</t>
        </is>
      </c>
      <c r="D24" s="5" t="n">
        <v>3</v>
      </c>
      <c r="E24" s="8">
        <f>D24</f>
        <v/>
      </c>
      <c r="F24" s="4" t="inlineStr">
        <is>
          <t>3.1</t>
        </is>
      </c>
      <c r="G24" s="7" t="inlineStr">
        <is>
          <t>Sí</t>
        </is>
      </c>
      <c r="H24" s="7" t="inlineStr">
        <is>
          <t>5.8, 5.1</t>
        </is>
      </c>
      <c r="I24" s="18" t="inlineStr">
        <is>
          <t>B</t>
        </is>
      </c>
      <c r="J24" s="8" t="n">
        <v>8</v>
      </c>
      <c r="K24" s="8" t="n">
        <v>45</v>
      </c>
      <c r="L24" s="8">
        <f>K24+E24</f>
        <v/>
      </c>
      <c r="M24" s="8">
        <f>K24-J24</f>
        <v/>
      </c>
      <c r="N24" s="8">
        <f>"S"&amp;(INT(K24/Resumen!$C$5)+1)&amp;"–S"&amp;MAX(INT(K24/Resumen!$C$5)+1,ROUNDUP(L24/Resumen!$C$5,0))</f>
        <v/>
      </c>
      <c r="O24" s="8" t="inlineStr">
        <is>
          <t>Hecho</t>
        </is>
      </c>
      <c r="P24" s="8" t="inlineStr">
        <is>
          <t>Propuesta</t>
        </is>
      </c>
      <c r="Q24" s="7" t="inlineStr">
        <is>
          <t>ga-escritor-tests</t>
        </is>
      </c>
      <c r="R24" s="7" t="inlineStr"/>
    </row>
    <row r="25">
      <c r="A25" s="19" t="inlineStr">
        <is>
          <t>3.3</t>
        </is>
      </c>
      <c r="B25" s="7" t="inlineStr">
        <is>
          <t>3. Flujo de solicitud de crédito</t>
        </is>
      </c>
      <c r="C25" s="7" t="inlineStr">
        <is>
          <t>Formulario de solicitud de crédito (50/100 %, tope, tasa)</t>
        </is>
      </c>
      <c r="D25" s="5" t="n">
        <v>3</v>
      </c>
      <c r="E25" s="8">
        <f>D25</f>
        <v/>
      </c>
      <c r="F25" s="4" t="inlineStr">
        <is>
          <t>3.1</t>
        </is>
      </c>
      <c r="G25" s="7" t="inlineStr">
        <is>
          <t>Sí</t>
        </is>
      </c>
      <c r="H25" s="7" t="inlineStr">
        <is>
          <t>4.5</t>
        </is>
      </c>
      <c r="I25" s="18" t="inlineStr">
        <is>
          <t>B</t>
        </is>
      </c>
      <c r="J25" s="8" t="n">
        <v>8</v>
      </c>
      <c r="K25" s="8" t="n">
        <v>25</v>
      </c>
      <c r="L25" s="8">
        <f>K25+E25</f>
        <v/>
      </c>
      <c r="M25" s="8">
        <f>K25-J25</f>
        <v/>
      </c>
      <c r="N25" s="8">
        <f>"S"&amp;(INT(K25/Resumen!$C$5)+1)&amp;"–S"&amp;MAX(INT(K25/Resumen!$C$5)+1,ROUNDUP(L25/Resumen!$C$5,0))</f>
        <v/>
      </c>
      <c r="O25" s="8" t="inlineStr">
        <is>
          <t>Hecho</t>
        </is>
      </c>
      <c r="P25" s="8" t="inlineStr">
        <is>
          <t>Propuesta</t>
        </is>
      </c>
      <c r="Q25" s="7" t="inlineStr">
        <is>
          <t>ga-funcionalidad-botones</t>
        </is>
      </c>
      <c r="R25" s="7" t="inlineStr"/>
    </row>
    <row r="26">
      <c r="A26" s="19" t="inlineStr">
        <is>
          <t>3.4</t>
        </is>
      </c>
      <c r="B26" s="7" t="inlineStr">
        <is>
          <t>3. Flujo de solicitud de crédito</t>
        </is>
      </c>
      <c r="C26" s="7" t="inlineStr">
        <is>
          <t>Maquetar /cuenta (tu solicitud, estado vacío, Mis datos)</t>
        </is>
      </c>
      <c r="D26" s="5" t="n">
        <v>3</v>
      </c>
      <c r="E26" s="8">
        <f>D26</f>
        <v/>
      </c>
      <c r="F26" s="4" t="inlineStr">
        <is>
          <t>1.4</t>
        </is>
      </c>
      <c r="G26" s="7" t="inlineStr">
        <is>
          <t>Sí</t>
        </is>
      </c>
      <c r="H26" s="7" t="inlineStr">
        <is>
          <t>2.5, 2.6</t>
        </is>
      </c>
      <c r="I26" s="18" t="inlineStr">
        <is>
          <t>B</t>
        </is>
      </c>
      <c r="J26" s="8" t="n">
        <v>6</v>
      </c>
      <c r="K26" s="8" t="n">
        <v>10</v>
      </c>
      <c r="L26" s="8">
        <f>K26+E26</f>
        <v/>
      </c>
      <c r="M26" s="8">
        <f>K26-J26</f>
        <v/>
      </c>
      <c r="N26" s="8">
        <f>"S"&amp;(INT(K26/Resumen!$C$5)+1)&amp;"–S"&amp;MAX(INT(K26/Resumen!$C$5)+1,ROUNDUP(L26/Resumen!$C$5,0))</f>
        <v/>
      </c>
      <c r="O26" s="8" t="inlineStr">
        <is>
          <t>Hecho</t>
        </is>
      </c>
      <c r="P26" s="8" t="inlineStr">
        <is>
          <t>Propuesta</t>
        </is>
      </c>
      <c r="Q26" s="7" t="inlineStr">
        <is>
          <t>ga-diseno-a-codigo</t>
        </is>
      </c>
      <c r="R26" s="7" t="inlineStr"/>
    </row>
    <row r="27">
      <c r="A27" s="19" t="inlineStr">
        <is>
          <t>3.5</t>
        </is>
      </c>
      <c r="B27" s="7" t="inlineStr">
        <is>
          <t>3. Flujo de solicitud de crédito</t>
        </is>
      </c>
      <c r="C27" s="7" t="inlineStr">
        <is>
          <t>/cuenta con datos reales (perfil, solicitud, tope, convenios)</t>
        </is>
      </c>
      <c r="D27" s="5" t="n">
        <v>3</v>
      </c>
      <c r="E27" s="8">
        <f>D27</f>
        <v/>
      </c>
      <c r="F27" s="4" t="inlineStr">
        <is>
          <t>2.7, 3.4</t>
        </is>
      </c>
      <c r="G27" s="7" t="inlineStr">
        <is>
          <t>Sí</t>
        </is>
      </c>
      <c r="H27" s="7" t="inlineStr">
        <is>
          <t>4.1</t>
        </is>
      </c>
      <c r="I27" s="18" t="inlineStr">
        <is>
          <t>B</t>
        </is>
      </c>
      <c r="J27" s="8" t="n">
        <v>16</v>
      </c>
      <c r="K27" s="8" t="n">
        <v>16</v>
      </c>
      <c r="L27" s="8">
        <f>K27+E27</f>
        <v/>
      </c>
      <c r="M27" s="8">
        <f>K27-J27</f>
        <v/>
      </c>
      <c r="N27" s="8">
        <f>"S"&amp;(INT(K27/Resumen!$C$5)+1)&amp;"–S"&amp;MAX(INT(K27/Resumen!$C$5)+1,ROUNDUP(L27/Resumen!$C$5,0))</f>
        <v/>
      </c>
      <c r="O27" s="8" t="inlineStr">
        <is>
          <t>Hecho</t>
        </is>
      </c>
      <c r="P27" s="8" t="inlineStr">
        <is>
          <t>Propuesta</t>
        </is>
      </c>
      <c r="Q27" s="7" t="inlineStr">
        <is>
          <t>ga-funcionalidad-botones</t>
        </is>
      </c>
      <c r="R27" s="7" t="inlineStr"/>
    </row>
    <row r="28">
      <c r="A28" s="19" t="inlineStr">
        <is>
          <t>3.6</t>
        </is>
      </c>
      <c r="B28" s="7" t="inlineStr">
        <is>
          <t>3. Flujo de solicitud de crédito</t>
        </is>
      </c>
      <c r="C28" s="7" t="inlineStr">
        <is>
          <t>Mis datos: guardar el celular (Server Action)</t>
        </is>
      </c>
      <c r="D28" s="5" t="n">
        <v>2</v>
      </c>
      <c r="E28" s="8">
        <f>D28</f>
        <v/>
      </c>
      <c r="F28" s="4" t="inlineStr">
        <is>
          <t>3.5</t>
        </is>
      </c>
      <c r="G28" s="7" t="inlineStr">
        <is>
          <t>Sí</t>
        </is>
      </c>
      <c r="H28" s="7" t="inlineStr">
        <is>
          <t>4.1, 4.2</t>
        </is>
      </c>
      <c r="I28" s="18" t="inlineStr">
        <is>
          <t>B</t>
        </is>
      </c>
      <c r="J28" s="8" t="n">
        <v>19</v>
      </c>
      <c r="K28" s="8" t="n">
        <v>19</v>
      </c>
      <c r="L28" s="8">
        <f>K28+E28</f>
        <v/>
      </c>
      <c r="M28" s="8">
        <f>K28-J28</f>
        <v/>
      </c>
      <c r="N28" s="8">
        <f>"S"&amp;(INT(K28/Resumen!$C$5)+1)&amp;"–S"&amp;MAX(INT(K28/Resumen!$C$5)+1,ROUNDUP(L28/Resumen!$C$5,0))</f>
        <v/>
      </c>
      <c r="O28" s="8" t="inlineStr">
        <is>
          <t>Hecho</t>
        </is>
      </c>
      <c r="P28" s="8" t="inlineStr">
        <is>
          <t>Agregado</t>
        </is>
      </c>
      <c r="Q28" s="7" t="inlineStr">
        <is>
          <t>ga-funcionalidad-botones</t>
        </is>
      </c>
      <c r="R28" s="7" t="inlineStr"/>
    </row>
    <row r="29">
      <c r="A29" s="19" t="inlineStr">
        <is>
          <t>3.7</t>
        </is>
      </c>
      <c r="B29" s="7" t="inlineStr">
        <is>
          <t>3. Flujo de solicitud de crédito</t>
        </is>
      </c>
      <c r="C29" s="7" t="inlineStr">
        <is>
          <t>Conectar el formulario de crédito a /cuenta («Nueva solicitud»)</t>
        </is>
      </c>
      <c r="D29" s="5" t="n">
        <v>3</v>
      </c>
      <c r="E29" s="8">
        <f>D29</f>
        <v/>
      </c>
      <c r="F29" s="4" t="inlineStr">
        <is>
          <t>3.5, 3.3</t>
        </is>
      </c>
      <c r="G29" s="7" t="inlineStr">
        <is>
          <t>Sí</t>
        </is>
      </c>
      <c r="H29" s="7" t="inlineStr">
        <is>
          <t>1.6</t>
        </is>
      </c>
      <c r="I29" s="18" t="inlineStr">
        <is>
          <t>B</t>
        </is>
      </c>
      <c r="J29" s="8" t="n">
        <v>28</v>
      </c>
      <c r="K29" s="8" t="n">
        <v>37</v>
      </c>
      <c r="L29" s="8">
        <f>K29+E29</f>
        <v/>
      </c>
      <c r="M29" s="8">
        <f>K29-J29</f>
        <v/>
      </c>
      <c r="N29" s="8">
        <f>"S"&amp;(INT(K29/Resumen!$C$5)+1)&amp;"–S"&amp;MAX(INT(K29/Resumen!$C$5)+1,ROUNDUP(L29/Resumen!$C$5,0))</f>
        <v/>
      </c>
      <c r="O29" s="8" t="inlineStr">
        <is>
          <t>Hecho</t>
        </is>
      </c>
      <c r="P29" s="8" t="inlineStr">
        <is>
          <t>Propuesta</t>
        </is>
      </c>
      <c r="Q29" s="7" t="inlineStr">
        <is>
          <t>ga-funcionalidad-botones</t>
        </is>
      </c>
      <c r="R29" s="7" t="inlineStr"/>
    </row>
    <row r="30">
      <c r="A30" s="19" t="inlineStr">
        <is>
          <t>3.9</t>
        </is>
      </c>
      <c r="B30" s="7" t="inlineStr">
        <is>
          <t>3. Flujo de solicitud de crédito</t>
        </is>
      </c>
      <c r="C30" s="7" t="inlineStr">
        <is>
          <t>Sorteo mensual en /cuenta (participar, confirmar boleta, correo por Resend, animación)</t>
        </is>
      </c>
      <c r="D30" s="5" t="n">
        <v>4</v>
      </c>
      <c r="E30" s="8">
        <f>D30</f>
        <v/>
      </c>
      <c r="F30" s="4" t="inlineStr">
        <is>
          <t>3.5, 1.5</t>
        </is>
      </c>
      <c r="G30" s="7" t="inlineStr">
        <is>
          <t>Sí</t>
        </is>
      </c>
      <c r="H30" s="7" t="inlineStr">
        <is>
          <t>2.12</t>
        </is>
      </c>
      <c r="I30" s="18" t="inlineStr">
        <is>
          <t>B</t>
        </is>
      </c>
      <c r="J30" s="8" t="n">
        <v>33</v>
      </c>
      <c r="K30" s="8" t="n">
        <v>33</v>
      </c>
      <c r="L30" s="8">
        <f>K30+E30</f>
        <v/>
      </c>
      <c r="M30" s="8">
        <f>K30-J30</f>
        <v/>
      </c>
      <c r="N30" s="8">
        <f>"S"&amp;(INT(K30/Resumen!$C$5)+1)&amp;"–S"&amp;MAX(INT(K30/Resumen!$C$5)+1,ROUNDUP(L30/Resumen!$C$5,0))</f>
        <v/>
      </c>
      <c r="O30" s="8" t="inlineStr">
        <is>
          <t>Hecho</t>
        </is>
      </c>
      <c r="P30" s="8" t="inlineStr">
        <is>
          <t>Agregado</t>
        </is>
      </c>
      <c r="Q30" s="7" t="inlineStr">
        <is>
          <t>ga-funcionalidad-botones</t>
        </is>
      </c>
      <c r="R30" s="7" t="inlineStr"/>
    </row>
    <row r="31">
      <c r="A31" s="19" t="inlineStr">
        <is>
          <t>4.1</t>
        </is>
      </c>
      <c r="B31" s="7" t="inlineStr">
        <is>
          <t>4. Panel de administración</t>
        </is>
      </c>
      <c r="C31" s="7" t="inlineStr">
        <is>
          <t>Panel /admin: listado de solicitudes y asociados</t>
        </is>
      </c>
      <c r="D31" s="5" t="n">
        <v>4</v>
      </c>
      <c r="E31" s="8">
        <f>D31</f>
        <v/>
      </c>
      <c r="F31" s="4" t="inlineStr">
        <is>
          <t>2.7, 3.1</t>
        </is>
      </c>
      <c r="G31" s="7" t="inlineStr">
        <is>
          <t>Sí</t>
        </is>
      </c>
      <c r="H31" s="7" t="inlineStr">
        <is>
          <t>3.5, 3.6</t>
        </is>
      </c>
      <c r="I31" s="18" t="inlineStr">
        <is>
          <t>A</t>
        </is>
      </c>
      <c r="J31" s="8" t="n">
        <v>16</v>
      </c>
      <c r="K31" s="8" t="n">
        <v>16</v>
      </c>
      <c r="L31" s="8">
        <f>K31+E31</f>
        <v/>
      </c>
      <c r="M31" s="8">
        <f>K31-J31</f>
        <v/>
      </c>
      <c r="N31" s="8">
        <f>"S"&amp;(INT(K31/Resumen!$C$5)+1)&amp;"–S"&amp;MAX(INT(K31/Resumen!$C$5)+1,ROUNDUP(L31/Resumen!$C$5,0))</f>
        <v/>
      </c>
      <c r="O31" s="8" t="inlineStr">
        <is>
          <t>Hecho</t>
        </is>
      </c>
      <c r="P31" s="8" t="inlineStr">
        <is>
          <t>Propuesta</t>
        </is>
      </c>
      <c r="Q31" s="7" t="inlineStr">
        <is>
          <t>ga-diseno-a-codigo + ga-funcionalidad-botones</t>
        </is>
      </c>
      <c r="R31" s="7" t="inlineStr"/>
    </row>
    <row r="32">
      <c r="A32" s="19" t="inlineStr">
        <is>
          <t>4.2</t>
        </is>
      </c>
      <c r="B32" s="7" t="inlineStr">
        <is>
          <t>4. Panel de administración</t>
        </is>
      </c>
      <c r="C32" s="7" t="inlineStr">
        <is>
          <t>Aprobar y rechazar (motivo obligatorio, nadie resuelve la suya)</t>
        </is>
      </c>
      <c r="D32" s="5" t="n">
        <v>3</v>
      </c>
      <c r="E32" s="8">
        <f>D32</f>
        <v/>
      </c>
      <c r="F32" s="4" t="inlineStr">
        <is>
          <t>4.1</t>
        </is>
      </c>
      <c r="G32" s="7" t="inlineStr">
        <is>
          <t>Sí</t>
        </is>
      </c>
      <c r="H32" s="7" t="inlineStr">
        <is>
          <t>3.6, 2.9</t>
        </is>
      </c>
      <c r="I32" s="18" t="inlineStr">
        <is>
          <t>A</t>
        </is>
      </c>
      <c r="J32" s="8" t="n">
        <v>20</v>
      </c>
      <c r="K32" s="8" t="n">
        <v>20</v>
      </c>
      <c r="L32" s="8">
        <f>K32+E32</f>
        <v/>
      </c>
      <c r="M32" s="8">
        <f>K32-J32</f>
        <v/>
      </c>
      <c r="N32" s="8">
        <f>"S"&amp;(INT(K32/Resumen!$C$5)+1)&amp;"–S"&amp;MAX(INT(K32/Resumen!$C$5)+1,ROUNDUP(L32/Resumen!$C$5,0))</f>
        <v/>
      </c>
      <c r="O32" s="8" t="inlineStr">
        <is>
          <t>Hecho</t>
        </is>
      </c>
      <c r="P32" s="8" t="inlineStr">
        <is>
          <t>Propuesta</t>
        </is>
      </c>
      <c r="Q32" s="7" t="inlineStr">
        <is>
          <t>ga-funcionalidad-botones</t>
        </is>
      </c>
      <c r="R32" s="7" t="inlineStr"/>
    </row>
    <row r="33">
      <c r="A33" s="19" t="inlineStr">
        <is>
          <t>4.3</t>
        </is>
      </c>
      <c r="B33" s="7" t="inlineStr">
        <is>
          <t>4. Panel de administración</t>
        </is>
      </c>
      <c r="C33" s="7" t="inlineStr">
        <is>
          <t>Correo al asociado al resolver y estado actualizado en su pantalla</t>
        </is>
      </c>
      <c r="D33" s="5" t="n">
        <v>2</v>
      </c>
      <c r="E33" s="8">
        <f>D33</f>
        <v/>
      </c>
      <c r="F33" s="4" t="inlineStr">
        <is>
          <t>4.2, 2.4</t>
        </is>
      </c>
      <c r="G33" s="7" t="inlineStr">
        <is>
          <t>Sí</t>
        </is>
      </c>
      <c r="H33" s="7" t="inlineStr">
        <is>
          <t>5.6, 6.8</t>
        </is>
      </c>
      <c r="I33" s="18" t="inlineStr">
        <is>
          <t>A</t>
        </is>
      </c>
      <c r="J33" s="8" t="n">
        <v>50</v>
      </c>
      <c r="K33" s="8" t="n">
        <v>50</v>
      </c>
      <c r="L33" s="8">
        <f>K33+E33</f>
        <v/>
      </c>
      <c r="M33" s="8">
        <f>K33-J33</f>
        <v/>
      </c>
      <c r="N33" s="8">
        <f>"S"&amp;(INT(K33/Resumen!$C$5)+1)&amp;"–S"&amp;MAX(INT(K33/Resumen!$C$5)+1,ROUNDUP(L33/Resumen!$C$5,0))</f>
        <v/>
      </c>
      <c r="O33" s="8" t="inlineStr">
        <is>
          <t>En curso</t>
        </is>
      </c>
      <c r="P33" s="8" t="inlineStr">
        <is>
          <t>Propuesta</t>
        </is>
      </c>
      <c r="Q33" s="7" t="inlineStr">
        <is>
          <t>ga-funcionalidad-botones</t>
        </is>
      </c>
      <c r="R33" s="7" t="inlineStr"/>
    </row>
    <row r="34">
      <c r="A34" s="19" t="inlineStr">
        <is>
          <t>4.4</t>
        </is>
      </c>
      <c r="B34" s="7" t="inlineStr">
        <is>
          <t>4. Panel de administración</t>
        </is>
      </c>
      <c r="C34" s="7" t="inlineStr">
        <is>
          <t>Importar asociados desde Excel (con correos reales)</t>
        </is>
      </c>
      <c r="D34" s="5" t="n">
        <v>4</v>
      </c>
      <c r="E34" s="8">
        <f>D34</f>
        <v/>
      </c>
      <c r="F34" s="4" t="inlineStr">
        <is>
          <t>1.2</t>
        </is>
      </c>
      <c r="G34" s="7" t="inlineStr">
        <is>
          <t>Sí</t>
        </is>
      </c>
      <c r="H34" s="7" t="inlineStr">
        <is>
          <t>4.6, 5.7</t>
        </is>
      </c>
      <c r="I34" s="18" t="inlineStr">
        <is>
          <t>A</t>
        </is>
      </c>
      <c r="J34" s="8" t="n">
        <v>4</v>
      </c>
      <c r="K34" s="8" t="n">
        <v>41</v>
      </c>
      <c r="L34" s="8">
        <f>K34+E34</f>
        <v/>
      </c>
      <c r="M34" s="8">
        <f>K34-J34</f>
        <v/>
      </c>
      <c r="N34" s="8">
        <f>"S"&amp;(INT(K34/Resumen!$C$5)+1)&amp;"–S"&amp;MAX(INT(K34/Resumen!$C$5)+1,ROUNDUP(L34/Resumen!$C$5,0))</f>
        <v/>
      </c>
      <c r="O34" s="8" t="inlineStr">
        <is>
          <t>Hecho</t>
        </is>
      </c>
      <c r="P34" s="8" t="inlineStr">
        <is>
          <t>Agregado</t>
        </is>
      </c>
      <c r="Q34" s="7" t="inlineStr">
        <is>
          <t>ga-funcionalidad-botones</t>
        </is>
      </c>
      <c r="R34" s="7" t="inlineStr">
        <is>
          <t>Cancelada: decisión de la cooperativa 2026-09-24, no habrá importación de Excel de asociados.</t>
        </is>
      </c>
    </row>
    <row r="35">
      <c r="A35" s="19" t="inlineStr">
        <is>
          <t>4.5</t>
        </is>
      </c>
      <c r="B35" s="7" t="inlineStr">
        <is>
          <t>4. Panel de administración</t>
        </is>
      </c>
      <c r="C35" s="7" t="inlineStr">
        <is>
          <t>Aprobar afiliaciones en /admin: crear el usuario y enviar el correo «Ingreso aceptado» (Resend, ga-ingreso-aceptado)</t>
        </is>
      </c>
      <c r="D35" s="5" t="n">
        <v>3</v>
      </c>
      <c r="E35" s="8">
        <f>D35</f>
        <v/>
      </c>
      <c r="F35" s="4" t="inlineStr">
        <is>
          <t>4.1, 2.9</t>
        </is>
      </c>
      <c r="G35" s="7" t="inlineStr">
        <is>
          <t>Sí</t>
        </is>
      </c>
      <c r="H35" s="7" t="inlineStr">
        <is>
          <t>3.3</t>
        </is>
      </c>
      <c r="I35" s="18" t="inlineStr">
        <is>
          <t>A</t>
        </is>
      </c>
      <c r="J35" s="8" t="n">
        <v>25</v>
      </c>
      <c r="K35" s="8" t="n">
        <v>25</v>
      </c>
      <c r="L35" s="8">
        <f>K35+E35</f>
        <v/>
      </c>
      <c r="M35" s="8">
        <f>K35-J35</f>
        <v/>
      </c>
      <c r="N35" s="8">
        <f>"S"&amp;(INT(K35/Resumen!$C$5)+1)&amp;"–S"&amp;MAX(INT(K35/Resumen!$C$5)+1,ROUNDUP(L35/Resumen!$C$5,0))</f>
        <v/>
      </c>
      <c r="O35" s="8" t="inlineStr">
        <is>
          <t>Hecho</t>
        </is>
      </c>
      <c r="P35" s="8" t="inlineStr">
        <is>
          <t>Agregado</t>
        </is>
      </c>
      <c r="Q35" s="7" t="inlineStr">
        <is>
          <t>ga-funcionalidad-botones</t>
        </is>
      </c>
      <c r="R35" s="7" t="inlineStr"/>
    </row>
    <row r="36">
      <c r="A36" s="19" t="inlineStr">
        <is>
          <t>4.6</t>
        </is>
      </c>
      <c r="B36" s="7" t="inlineStr">
        <is>
          <t>4. Panel de administración</t>
        </is>
      </c>
      <c r="C36" s="7" t="inlineStr">
        <is>
          <t>Rol asesor: pantalla /asesor (mis clientes) y /asesor/demo (cuenta de demostración)</t>
        </is>
      </c>
      <c r="D36" s="5" t="n">
        <v>3</v>
      </c>
      <c r="E36" s="8">
        <f>D36</f>
        <v/>
      </c>
      <c r="F36" s="4" t="inlineStr">
        <is>
          <t>1.5</t>
        </is>
      </c>
      <c r="G36" s="7" t="inlineStr">
        <is>
          <t>Sí</t>
        </is>
      </c>
      <c r="H36" s="7" t="inlineStr">
        <is>
          <t>5.5, 4.4</t>
        </is>
      </c>
      <c r="I36" s="18" t="inlineStr">
        <is>
          <t>B</t>
        </is>
      </c>
      <c r="J36" s="8" t="n">
        <v>33</v>
      </c>
      <c r="K36" s="8" t="n">
        <v>40</v>
      </c>
      <c r="L36" s="8">
        <f>K36+E36</f>
        <v/>
      </c>
      <c r="M36" s="8">
        <f>K36-J36</f>
        <v/>
      </c>
      <c r="N36" s="8">
        <f>"S"&amp;(INT(K36/Resumen!$C$5)+1)&amp;"–S"&amp;MAX(INT(K36/Resumen!$C$5)+1,ROUNDUP(L36/Resumen!$C$5,0))</f>
        <v/>
      </c>
      <c r="O36" s="8" t="inlineStr">
        <is>
          <t>Hecho</t>
        </is>
      </c>
      <c r="P36" s="8" t="inlineStr">
        <is>
          <t>Agregado</t>
        </is>
      </c>
      <c r="Q36" s="7" t="inlineStr">
        <is>
          <t>ga-funcionalidad-botones</t>
        </is>
      </c>
      <c r="R36" s="7" t="inlineStr"/>
    </row>
    <row r="37">
      <c r="A37" s="19" t="inlineStr">
        <is>
          <t>5.1</t>
        </is>
      </c>
      <c r="B37" s="4" t="inlineStr">
        <is>
          <t>5. Convenios y pulido</t>
        </is>
      </c>
      <c r="C37" s="7" t="inlineStr">
        <is>
          <t>Sección de convenios (en /cuenta y landing)</t>
        </is>
      </c>
      <c r="D37" s="5" t="n">
        <v>2</v>
      </c>
      <c r="E37" s="8">
        <f>D37</f>
        <v/>
      </c>
      <c r="F37" s="4" t="inlineStr">
        <is>
          <t>3.4</t>
        </is>
      </c>
      <c r="G37" s="7" t="inlineStr">
        <is>
          <t>Sí</t>
        </is>
      </c>
      <c r="H37" s="7" t="inlineStr">
        <is>
          <t>3.2</t>
        </is>
      </c>
      <c r="I37" s="18" t="inlineStr">
        <is>
          <t>A</t>
        </is>
      </c>
      <c r="J37" s="8" t="n">
        <v>13</v>
      </c>
      <c r="K37" s="8" t="n">
        <v>46</v>
      </c>
      <c r="L37" s="8">
        <f>K37+E37</f>
        <v/>
      </c>
      <c r="M37" s="8">
        <f>K37-J37</f>
        <v/>
      </c>
      <c r="N37" s="8">
        <f>"S"&amp;(INT(K37/Resumen!$C$5)+1)&amp;"–S"&amp;MAX(INT(K37/Resumen!$C$5)+1,ROUNDUP(L37/Resumen!$C$5,0))</f>
        <v/>
      </c>
      <c r="O37" s="8" t="inlineStr">
        <is>
          <t>Hecho</t>
        </is>
      </c>
      <c r="P37" s="8" t="inlineStr">
        <is>
          <t>Propuesta</t>
        </is>
      </c>
      <c r="Q37" s="7" t="inlineStr">
        <is>
          <t>ga-diseno-a-codigo</t>
        </is>
      </c>
      <c r="R37" s="7" t="inlineStr"/>
    </row>
    <row r="38">
      <c r="A38" s="19" t="inlineStr">
        <is>
          <t>5.2</t>
        </is>
      </c>
      <c r="B38" s="4" t="inlineStr">
        <is>
          <t>5. Convenios y pulido</t>
        </is>
      </c>
      <c r="C38" s="7" t="inlineStr">
        <is>
          <t>Diseño responsive celular / tableta / PC</t>
        </is>
      </c>
      <c r="D38" s="5" t="n">
        <v>3</v>
      </c>
      <c r="E38" s="8">
        <f>D38</f>
        <v/>
      </c>
      <c r="F38" s="4" t="inlineStr">
        <is>
          <t>2.1, 2.2, 2.3, 3.4</t>
        </is>
      </c>
      <c r="G38" s="7" t="inlineStr">
        <is>
          <t>Sí</t>
        </is>
      </c>
      <c r="H38" s="7" t="inlineStr">
        <is>
          <t>1.5</t>
        </is>
      </c>
      <c r="I38" s="18" t="inlineStr">
        <is>
          <t>B</t>
        </is>
      </c>
      <c r="J38" s="8" t="n">
        <v>16</v>
      </c>
      <c r="K38" s="8" t="n">
        <v>28</v>
      </c>
      <c r="L38" s="8">
        <f>K38+E38</f>
        <v/>
      </c>
      <c r="M38" s="8">
        <f>K38-J38</f>
        <v/>
      </c>
      <c r="N38" s="8">
        <f>"S"&amp;(INT(K38/Resumen!$C$5)+1)&amp;"–S"&amp;MAX(INT(K38/Resumen!$C$5)+1,ROUNDUP(L38/Resumen!$C$5,0))</f>
        <v/>
      </c>
      <c r="O38" s="8" t="inlineStr">
        <is>
          <t>Hecho</t>
        </is>
      </c>
      <c r="P38" s="8" t="inlineStr">
        <is>
          <t>Propuesta</t>
        </is>
      </c>
      <c r="Q38" s="7" t="inlineStr">
        <is>
          <t>ga-verificador-responsive</t>
        </is>
      </c>
      <c r="R38" s="7" t="inlineStr"/>
    </row>
    <row r="39">
      <c r="A39" s="19" t="inlineStr">
        <is>
          <t>5.3</t>
        </is>
      </c>
      <c r="B39" s="4" t="inlineStr">
        <is>
          <t>5. Convenios y pulido</t>
        </is>
      </c>
      <c r="C39" s="7" t="inlineStr">
        <is>
          <t>Cambiar datos de ejemplo por reales (config.ts, mock.ts, fotos, cifras)</t>
        </is>
      </c>
      <c r="D39" s="5" t="n">
        <v>2</v>
      </c>
      <c r="E39" s="8">
        <f>D39</f>
        <v/>
      </c>
      <c r="F39" s="4" t="inlineStr">
        <is>
          <t>5.2</t>
        </is>
      </c>
      <c r="G39" s="7" t="inlineStr">
        <is>
          <t>Sí</t>
        </is>
      </c>
      <c r="H39" s="7" t="inlineStr">
        <is>
          <t>6.1, 6.13</t>
        </is>
      </c>
      <c r="I39" s="18" t="inlineStr">
        <is>
          <t>B</t>
        </is>
      </c>
      <c r="J39" s="8" t="n">
        <v>48</v>
      </c>
      <c r="K39" s="8" t="n">
        <v>54</v>
      </c>
      <c r="L39" s="8">
        <f>K39+E39</f>
        <v/>
      </c>
      <c r="M39" s="8">
        <f>K39-J39</f>
        <v/>
      </c>
      <c r="N39" s="8">
        <f>"S"&amp;(INT(K39/Resumen!$C$5)+1)&amp;"–S"&amp;MAX(INT(K39/Resumen!$C$5)+1,ROUNDUP(L39/Resumen!$C$5,0))</f>
        <v/>
      </c>
      <c r="O39" s="8" t="inlineStr">
        <is>
          <t>Bloqueado</t>
        </is>
      </c>
      <c r="P39" s="8" t="inlineStr">
        <is>
          <t>Propuesta</t>
        </is>
      </c>
      <c r="Q39" s="7" t="inlineStr">
        <is>
          <t>ga-diseno-a-codigo</t>
        </is>
      </c>
      <c r="R39" s="7" t="inlineStr">
        <is>
          <t>24-sep: WhatsApp, correo de contacto y tiempo de respuesta ya llegaron (ver P-10, P-12, P-17). Faltan texto de vigilancia Supersolidaria, fotos/cifras/testimonios, nombres de los grados y estado de desembolso (cooperativa)</t>
        </is>
      </c>
    </row>
    <row r="40">
      <c r="A40" s="19" t="inlineStr">
        <is>
          <t>5.4</t>
        </is>
      </c>
      <c r="B40" s="4" t="inlineStr">
        <is>
          <t>5. Convenios y pulido</t>
        </is>
      </c>
      <c r="C40" s="7" t="inlineStr">
        <is>
          <t>Página de política de datos (/politica-de-datos)</t>
        </is>
      </c>
      <c r="D40" s="5" t="n">
        <v>1</v>
      </c>
      <c r="E40" s="8">
        <f>D40</f>
        <v/>
      </c>
      <c r="F40" s="4" t="inlineStr">
        <is>
          <t>5.2</t>
        </is>
      </c>
      <c r="G40" s="7" t="inlineStr">
        <is>
          <t>Sí</t>
        </is>
      </c>
      <c r="H40" s="7" t="inlineStr">
        <is>
          <t>2.4</t>
        </is>
      </c>
      <c r="I40" s="18" t="inlineStr">
        <is>
          <t>B</t>
        </is>
      </c>
      <c r="J40" s="8" t="n">
        <v>48</v>
      </c>
      <c r="K40" s="8" t="n">
        <v>48</v>
      </c>
      <c r="L40" s="8">
        <f>K40+E40</f>
        <v/>
      </c>
      <c r="M40" s="8">
        <f>K40-J40</f>
        <v/>
      </c>
      <c r="N40" s="8">
        <f>"S"&amp;(INT(K40/Resumen!$C$5)+1)&amp;"–S"&amp;MAX(INT(K40/Resumen!$C$5)+1,ROUNDUP(L40/Resumen!$C$5,0))</f>
        <v/>
      </c>
      <c r="O40" s="8" t="inlineStr">
        <is>
          <t>En curso</t>
        </is>
      </c>
      <c r="P40" s="8" t="inlineStr">
        <is>
          <t>Agregado</t>
        </is>
      </c>
      <c r="Q40" s="7" t="inlineStr">
        <is>
          <t>ga-diseno-a-codigo</t>
        </is>
      </c>
      <c r="R40" s="7" t="inlineStr">
        <is>
          <t>Página placeholder lista; falta el texto de la política, incluida la autorización de datos sensibles para las fotos de cédula y la selfie (Ley 1581). Bloquea el despliegue (6.5).</t>
        </is>
      </c>
    </row>
    <row r="41">
      <c r="A41" s="19" t="inlineStr">
        <is>
          <t>5.5</t>
        </is>
      </c>
      <c r="B41" s="4" t="inlineStr">
        <is>
          <t>5. Convenios y pulido</t>
        </is>
      </c>
      <c r="C41" s="7" t="inlineStr">
        <is>
          <t>Borrar las rutas viejas /login y /dashboard</t>
        </is>
      </c>
      <c r="D41" s="5" t="n">
        <v>1</v>
      </c>
      <c r="E41" s="8">
        <f>D41</f>
        <v/>
      </c>
      <c r="F41" s="4" t="inlineStr">
        <is>
          <t>3.7, 2.7</t>
        </is>
      </c>
      <c r="G41" s="7" t="inlineStr">
        <is>
          <t>Sí</t>
        </is>
      </c>
      <c r="H41" s="7" t="inlineStr">
        <is>
          <t>4.6</t>
        </is>
      </c>
      <c r="I41" s="18" t="inlineStr">
        <is>
          <t>A</t>
        </is>
      </c>
      <c r="J41" s="8" t="n">
        <v>40</v>
      </c>
      <c r="K41" s="8" t="n">
        <v>40</v>
      </c>
      <c r="L41" s="8">
        <f>K41+E41</f>
        <v/>
      </c>
      <c r="M41" s="8">
        <f>K41-J41</f>
        <v/>
      </c>
      <c r="N41" s="8">
        <f>"S"&amp;(INT(K41/Resumen!$C$5)+1)&amp;"–S"&amp;MAX(INT(K41/Resumen!$C$5)+1,ROUNDUP(L41/Resumen!$C$5,0))</f>
        <v/>
      </c>
      <c r="O41" s="8" t="inlineStr">
        <is>
          <t>Hecho</t>
        </is>
      </c>
      <c r="P41" s="8" t="inlineStr">
        <is>
          <t>Agregado</t>
        </is>
      </c>
      <c r="Q41" s="7" t="inlineStr">
        <is>
          <t>ga-funcionalidad-botones</t>
        </is>
      </c>
      <c r="R41" s="7" t="inlineStr"/>
    </row>
    <row r="42">
      <c r="A42" s="19" t="inlineStr">
        <is>
          <t>5.6</t>
        </is>
      </c>
      <c r="B42" s="4" t="inlineStr">
        <is>
          <t>5. Convenios y pulido</t>
        </is>
      </c>
      <c r="C42" s="7" t="inlineStr">
        <is>
          <t>Revisar el diseño de /cuenta/solicitar (pantalla sin maqueta; selector 50/100 ahora son radios)</t>
        </is>
      </c>
      <c r="D42" s="5" t="n">
        <v>1</v>
      </c>
      <c r="E42" s="8">
        <f>D42</f>
        <v/>
      </c>
      <c r="F42" s="4" t="inlineStr">
        <is>
          <t>3.7</t>
        </is>
      </c>
      <c r="G42" s="7" t="inlineStr">
        <is>
          <t>Sí</t>
        </is>
      </c>
      <c r="H42" s="7" t="inlineStr">
        <is>
          <t>4.3</t>
        </is>
      </c>
      <c r="I42" s="18" t="inlineStr">
        <is>
          <t>B</t>
        </is>
      </c>
      <c r="J42" s="8" t="n">
        <v>48</v>
      </c>
      <c r="K42" s="8" t="n">
        <v>50</v>
      </c>
      <c r="L42" s="8">
        <f>K42+E42</f>
        <v/>
      </c>
      <c r="M42" s="8">
        <f>K42-J42</f>
        <v/>
      </c>
      <c r="N42" s="8">
        <f>"S"&amp;(INT(K42/Resumen!$C$5)+1)&amp;"–S"&amp;MAX(INT(K42/Resumen!$C$5)+1,ROUNDUP(L42/Resumen!$C$5,0))</f>
        <v/>
      </c>
      <c r="O42" s="8" t="inlineStr">
        <is>
          <t>Pendiente</t>
        </is>
      </c>
      <c r="P42" s="8" t="inlineStr">
        <is>
          <t>Agregado</t>
        </is>
      </c>
      <c r="Q42" s="7" t="inlineStr">
        <is>
          <t>ga-diseno-a-codigo</t>
        </is>
      </c>
      <c r="R42" s="7" t="inlineStr"/>
    </row>
    <row r="43">
      <c r="A43" s="19" t="inlineStr">
        <is>
          <t>5.7</t>
        </is>
      </c>
      <c r="B43" s="4" t="inlineStr">
        <is>
          <t>5. Convenios y pulido</t>
        </is>
      </c>
      <c r="C43" s="7" t="inlineStr">
        <is>
          <t>Logo horizontal con las letras oficiales (SVG) y espacios de foto de marca en la landing (EspacioFoto)</t>
        </is>
      </c>
      <c r="D43" s="5" t="n">
        <v>2</v>
      </c>
      <c r="E43" s="8">
        <f>D43</f>
        <v/>
      </c>
      <c r="F43" s="4" t="inlineStr">
        <is>
          <t>2.1</t>
        </is>
      </c>
      <c r="G43" s="7" t="inlineStr">
        <is>
          <t>Sí</t>
        </is>
      </c>
      <c r="H43" s="7" t="inlineStr">
        <is>
          <t>4.4</t>
        </is>
      </c>
      <c r="I43" s="18" t="inlineStr">
        <is>
          <t>B</t>
        </is>
      </c>
      <c r="J43" s="8" t="n">
        <v>16</v>
      </c>
      <c r="K43" s="8" t="n">
        <v>43</v>
      </c>
      <c r="L43" s="8">
        <f>K43+E43</f>
        <v/>
      </c>
      <c r="M43" s="8">
        <f>K43-J43</f>
        <v/>
      </c>
      <c r="N43" s="8">
        <f>"S"&amp;(INT(K43/Resumen!$C$5)+1)&amp;"–S"&amp;MAX(INT(K43/Resumen!$C$5)+1,ROUNDUP(L43/Resumen!$C$5,0))</f>
        <v/>
      </c>
      <c r="O43" s="8" t="inlineStr">
        <is>
          <t>Hecho</t>
        </is>
      </c>
      <c r="P43" s="8" t="inlineStr">
        <is>
          <t>Agregado</t>
        </is>
      </c>
      <c r="Q43" s="7" t="inlineStr">
        <is>
          <t>ga-diseno-a-codigo</t>
        </is>
      </c>
      <c r="R43" s="7" t="inlineStr"/>
    </row>
    <row r="44">
      <c r="A44" s="19" t="inlineStr">
        <is>
          <t>5.8</t>
        </is>
      </c>
      <c r="B44" s="4" t="inlineStr">
        <is>
          <t>5. Convenios y pulido</t>
        </is>
      </c>
      <c r="C44" s="7" t="inlineStr">
        <is>
          <t>Corregir scroll horizontal: headers con logo (320 px) y formulario de /ingresar y /ingresar/codigo (1024–1075 px)</t>
        </is>
      </c>
      <c r="D44" s="5" t="n">
        <v>1</v>
      </c>
      <c r="E44" s="8">
        <f>D44</f>
        <v/>
      </c>
      <c r="F44" s="4" t="inlineStr">
        <is>
          <t>5.2, 5.7</t>
        </is>
      </c>
      <c r="G44" s="7" t="inlineStr">
        <is>
          <t>Sí</t>
        </is>
      </c>
      <c r="H44" s="7" t="inlineStr">
        <is>
          <t>3.2</t>
        </is>
      </c>
      <c r="I44" s="18" t="inlineStr">
        <is>
          <t>A</t>
        </is>
      </c>
      <c r="J44" s="8" t="n">
        <v>45</v>
      </c>
      <c r="K44" s="8" t="n">
        <v>45</v>
      </c>
      <c r="L44" s="8">
        <f>K44+E44</f>
        <v/>
      </c>
      <c r="M44" s="8">
        <f>K44-J44</f>
        <v/>
      </c>
      <c r="N44" s="8">
        <f>"S"&amp;(INT(K44/Resumen!$C$5)+1)&amp;"–S"&amp;MAX(INT(K44/Resumen!$C$5)+1,ROUNDUP(L44/Resumen!$C$5,0))</f>
        <v/>
      </c>
      <c r="O44" s="8" t="inlineStr">
        <is>
          <t>Hecho</t>
        </is>
      </c>
      <c r="P44" s="8" t="inlineStr">
        <is>
          <t>Agregado</t>
        </is>
      </c>
      <c r="Q44" s="7" t="inlineStr">
        <is>
          <t>ga-diseno-a-codigo + ga-verificador-responsive</t>
        </is>
      </c>
      <c r="R44" s="7" t="inlineStr"/>
    </row>
    <row r="45">
      <c r="A45" s="19" t="inlineStr">
        <is>
          <t>6.1</t>
        </is>
      </c>
      <c r="B45" s="4" t="inlineStr">
        <is>
          <t>6. Pruebas y lanzamiento</t>
        </is>
      </c>
      <c r="C45" s="7" t="inlineStr">
        <is>
          <t>Pruebas de las nuevas Server Actions (login, afiliación, crédito, admin)</t>
        </is>
      </c>
      <c r="D45" s="5" t="n">
        <v>3</v>
      </c>
      <c r="E45" s="8">
        <f>D45</f>
        <v/>
      </c>
      <c r="F45" s="4" t="inlineStr">
        <is>
          <t>2.10, 3.6, 4.3, 4.5</t>
        </is>
      </c>
      <c r="G45" s="7" t="inlineStr">
        <is>
          <t>Sí</t>
        </is>
      </c>
      <c r="H45" s="7" t="inlineStr">
        <is>
          <t>6.4, 6.9, 5.3</t>
        </is>
      </c>
      <c r="I45" s="18" t="inlineStr">
        <is>
          <t>A</t>
        </is>
      </c>
      <c r="J45" s="8" t="n">
        <v>52</v>
      </c>
      <c r="K45" s="8" t="n">
        <v>52</v>
      </c>
      <c r="L45" s="8">
        <f>K45+E45</f>
        <v/>
      </c>
      <c r="M45" s="8">
        <f>K45-J45</f>
        <v/>
      </c>
      <c r="N45" s="8">
        <f>"S"&amp;(INT(K45/Resumen!$C$5)+1)&amp;"–S"&amp;MAX(INT(K45/Resumen!$C$5)+1,ROUNDUP(L45/Resumen!$C$5,0))</f>
        <v/>
      </c>
      <c r="O45" s="8" t="inlineStr">
        <is>
          <t>En curso</t>
        </is>
      </c>
      <c r="P45" s="8" t="inlineStr">
        <is>
          <t>Propuesta</t>
        </is>
      </c>
      <c r="Q45" s="7" t="inlineStr">
        <is>
          <t>ga-escritor-tests</t>
        </is>
      </c>
      <c r="R45" s="7" t="inlineStr"/>
    </row>
    <row r="46">
      <c r="A46" s="19" t="inlineStr">
        <is>
          <t>6.2</t>
        </is>
      </c>
      <c r="B46" s="4" t="inlineStr">
        <is>
          <t>6. Pruebas y lanzamiento</t>
        </is>
      </c>
      <c r="C46" s="7" t="inlineStr">
        <is>
          <t>Revisión de seguridad completa</t>
        </is>
      </c>
      <c r="D46" s="5" t="n">
        <v>2</v>
      </c>
      <c r="E46" s="8">
        <f>D46</f>
        <v/>
      </c>
      <c r="F46" s="7" t="inlineStr">
        <is>
          <t>2.10, 3.6, 4.3, 4.5, 2.12, 3.9, 4.6</t>
        </is>
      </c>
      <c r="G46" s="7" t="inlineStr">
        <is>
          <t>Sí</t>
        </is>
      </c>
      <c r="H46" s="7" t="inlineStr">
        <is>
          <t>6.3</t>
        </is>
      </c>
      <c r="I46" s="18" t="inlineStr">
        <is>
          <t>B</t>
        </is>
      </c>
      <c r="J46" s="8" t="n">
        <v>52</v>
      </c>
      <c r="K46" s="8" t="n">
        <v>56</v>
      </c>
      <c r="L46" s="8">
        <f>K46+E46</f>
        <v/>
      </c>
      <c r="M46" s="8">
        <f>K46-J46</f>
        <v/>
      </c>
      <c r="N46" s="8">
        <f>"S"&amp;(INT(K46/Resumen!$C$5)+1)&amp;"–S"&amp;MAX(INT(K46/Resumen!$C$5)+1,ROUNDUP(L46/Resumen!$C$5,0))</f>
        <v/>
      </c>
      <c r="O46" s="8" t="inlineStr">
        <is>
          <t>En curso</t>
        </is>
      </c>
      <c r="P46" s="8" t="inlineStr">
        <is>
          <t>Propuesta</t>
        </is>
      </c>
      <c r="Q46" s="7" t="inlineStr">
        <is>
          <t>ga-revisor-seguridad</t>
        </is>
      </c>
      <c r="R46" s="7" t="inlineStr"/>
    </row>
    <row r="47">
      <c r="A47" s="19" t="inlineStr">
        <is>
          <t>6.3</t>
        </is>
      </c>
      <c r="B47" s="4" t="inlineStr">
        <is>
          <t>6. Pruebas y lanzamiento</t>
        </is>
      </c>
      <c r="C47" s="7" t="inlineStr">
        <is>
          <t>QA de punta a punta y verificación responsive</t>
        </is>
      </c>
      <c r="D47" s="5" t="n">
        <v>3</v>
      </c>
      <c r="E47" s="8">
        <f>D47</f>
        <v/>
      </c>
      <c r="F47" s="7" t="inlineStr">
        <is>
          <t>6.1, 5.5, 2.8, 5.3, 5.4, 2.11, 5.6, 1.6, 2.12, 3.9, 4.6</t>
        </is>
      </c>
      <c r="G47" s="7" t="inlineStr">
        <is>
          <t>Sí</t>
        </is>
      </c>
      <c r="H47" s="7" t="inlineStr">
        <is>
          <t>6.2, 6.12</t>
        </is>
      </c>
      <c r="I47" s="18" t="inlineStr">
        <is>
          <t>A</t>
        </is>
      </c>
      <c r="J47" s="8" t="n">
        <v>56</v>
      </c>
      <c r="K47" s="8" t="n">
        <v>56</v>
      </c>
      <c r="L47" s="8">
        <f>K47+E47</f>
        <v/>
      </c>
      <c r="M47" s="8">
        <f>K47-J47</f>
        <v/>
      </c>
      <c r="N47" s="8">
        <f>"S"&amp;(INT(K47/Resumen!$C$5)+1)&amp;"–S"&amp;MAX(INT(K47/Resumen!$C$5)+1,ROUNDUP(L47/Resumen!$C$5,0))</f>
        <v/>
      </c>
      <c r="O47" s="8" t="inlineStr">
        <is>
          <t>En curso</t>
        </is>
      </c>
      <c r="P47" s="8" t="inlineStr">
        <is>
          <t>Propuesta</t>
        </is>
      </c>
      <c r="Q47" s="7" t="inlineStr">
        <is>
          <t>ga-verificador-qa + ga-verificador-responsive</t>
        </is>
      </c>
      <c r="R47" s="7" t="inlineStr"/>
    </row>
    <row r="48">
      <c r="A48" s="19" t="inlineStr">
        <is>
          <t>6.4</t>
        </is>
      </c>
      <c r="B48" s="4" t="inlineStr">
        <is>
          <t>6. Pruebas y lanzamiento</t>
        </is>
      </c>
      <c r="C48" s="7" t="inlineStr">
        <is>
          <t>Registrar dominio (5 años) y protección de dominio</t>
        </is>
      </c>
      <c r="D48" s="5" t="n">
        <v>1</v>
      </c>
      <c r="E48" s="8">
        <f>D48</f>
        <v/>
      </c>
      <c r="F48" s="4" t="inlineStr">
        <is>
          <t>—</t>
        </is>
      </c>
      <c r="G48" s="7" t="inlineStr">
        <is>
          <t>Sí</t>
        </is>
      </c>
      <c r="H48" s="7" t="inlineStr">
        <is>
          <t>6.1</t>
        </is>
      </c>
      <c r="I48" s="18" t="inlineStr">
        <is>
          <t>B</t>
        </is>
      </c>
      <c r="J48" s="8" t="n">
        <v>48</v>
      </c>
      <c r="K48" s="8" t="n">
        <v>52</v>
      </c>
      <c r="L48" s="8">
        <f>K48+E48</f>
        <v/>
      </c>
      <c r="M48" s="8">
        <f>K48-J48</f>
        <v/>
      </c>
      <c r="N48" s="8">
        <f>"S"&amp;(INT(K48/Resumen!$C$5)+1)&amp;"–S"&amp;MAX(INT(K48/Resumen!$C$5)+1,ROUNDUP(L48/Resumen!$C$5,0))</f>
        <v/>
      </c>
      <c r="O48" s="8" t="inlineStr">
        <is>
          <t>Pendiente</t>
        </is>
      </c>
      <c r="P48" s="8" t="inlineStr">
        <is>
          <t>Propuesta</t>
        </is>
      </c>
      <c r="Q48" s="7" t="inlineStr">
        <is>
          <t>Yo + cooperativa</t>
        </is>
      </c>
      <c r="R48" s="7" t="inlineStr"/>
    </row>
    <row r="49">
      <c r="A49" s="19" t="inlineStr">
        <is>
          <t>6.5</t>
        </is>
      </c>
      <c r="B49" s="4" t="inlineStr">
        <is>
          <t>6. Pruebas y lanzamiento</t>
        </is>
      </c>
      <c r="C49" s="7" t="inlineStr">
        <is>
          <t>Subir a GitHub y desplegar en Vercel (producción)</t>
        </is>
      </c>
      <c r="D49" s="5" t="n">
        <v>2</v>
      </c>
      <c r="E49" s="8">
        <f>D49</f>
        <v/>
      </c>
      <c r="F49" s="7" t="inlineStr">
        <is>
          <t>6.2, 6.3, 6.4, 2.4, 6.8, 6.9, 6.10, 6.13</t>
        </is>
      </c>
      <c r="G49" s="7" t="inlineStr">
        <is>
          <t>No (usa las 2 filas)</t>
        </is>
      </c>
      <c r="H49" s="7" t="inlineStr">
        <is>
          <t>—</t>
        </is>
      </c>
      <c r="I49" s="18" t="inlineStr">
        <is>
          <t>A+B</t>
        </is>
      </c>
      <c r="J49" s="8" t="n">
        <v>59</v>
      </c>
      <c r="K49" s="8" t="n">
        <v>59</v>
      </c>
      <c r="L49" s="8">
        <f>K49+E49</f>
        <v/>
      </c>
      <c r="M49" s="8">
        <f>K49-J49</f>
        <v/>
      </c>
      <c r="N49" s="8">
        <f>"S"&amp;(INT(K49/Resumen!$C$5)+1)&amp;"–S"&amp;MAX(INT(K49/Resumen!$C$5)+1,ROUNDUP(L49/Resumen!$C$5,0))</f>
        <v/>
      </c>
      <c r="O49" s="8" t="inlineStr">
        <is>
          <t>Pendiente</t>
        </is>
      </c>
      <c r="P49" s="8" t="inlineStr">
        <is>
          <t>Propuesta</t>
        </is>
      </c>
      <c r="Q49" s="7" t="inlineStr">
        <is>
          <t>Yo</t>
        </is>
      </c>
      <c r="R49" s="7" t="inlineStr"/>
    </row>
    <row r="50">
      <c r="A50" s="19" t="inlineStr">
        <is>
          <t>6.6</t>
        </is>
      </c>
      <c r="B50" s="4" t="inlineStr">
        <is>
          <t>6. Pruebas y lanzamiento</t>
        </is>
      </c>
      <c r="C50" s="7" t="inlineStr">
        <is>
          <t>Pruebas con usuarios reales y corrección de errores</t>
        </is>
      </c>
      <c r="D50" s="5" t="n">
        <v>3</v>
      </c>
      <c r="E50" s="8">
        <f>D50</f>
        <v/>
      </c>
      <c r="F50" s="4" t="inlineStr">
        <is>
          <t>6.5, 4.4</t>
        </is>
      </c>
      <c r="G50" s="7" t="inlineStr">
        <is>
          <t>Sí</t>
        </is>
      </c>
      <c r="H50" s="7" t="inlineStr">
        <is>
          <t>6.7</t>
        </is>
      </c>
      <c r="I50" s="18" t="inlineStr">
        <is>
          <t>B</t>
        </is>
      </c>
      <c r="J50" s="8" t="n">
        <v>61</v>
      </c>
      <c r="K50" s="8" t="n">
        <v>61</v>
      </c>
      <c r="L50" s="8">
        <f>K50+E50</f>
        <v/>
      </c>
      <c r="M50" s="8">
        <f>K50-J50</f>
        <v/>
      </c>
      <c r="N50" s="8">
        <f>"S"&amp;(INT(K50/Resumen!$C$5)+1)&amp;"–S"&amp;MAX(INT(K50/Resumen!$C$5)+1,ROUNDUP(L50/Resumen!$C$5,0))</f>
        <v/>
      </c>
      <c r="O50" s="8" t="inlineStr">
        <is>
          <t>Pendiente</t>
        </is>
      </c>
      <c r="P50" s="8" t="inlineStr">
        <is>
          <t>Propuesta</t>
        </is>
      </c>
      <c r="Q50" s="7" t="inlineStr">
        <is>
          <t>Yo + cooperativa</t>
        </is>
      </c>
      <c r="R50" s="7" t="inlineStr"/>
    </row>
    <row r="51">
      <c r="A51" s="19" t="inlineStr">
        <is>
          <t>6.7</t>
        </is>
      </c>
      <c r="B51" s="4" t="inlineStr">
        <is>
          <t>6. Pruebas y lanzamiento</t>
        </is>
      </c>
      <c r="C51" s="7" t="inlineStr">
        <is>
          <t>Capacitación al equipo de la cooperativa</t>
        </is>
      </c>
      <c r="D51" s="5" t="n">
        <v>1</v>
      </c>
      <c r="E51" s="8">
        <f>D51</f>
        <v/>
      </c>
      <c r="F51" s="4" t="inlineStr">
        <is>
          <t>6.5</t>
        </is>
      </c>
      <c r="G51" s="7" t="inlineStr">
        <is>
          <t>Sí</t>
        </is>
      </c>
      <c r="H51" s="7" t="inlineStr">
        <is>
          <t>6.6</t>
        </is>
      </c>
      <c r="I51" s="18" t="inlineStr">
        <is>
          <t>A</t>
        </is>
      </c>
      <c r="J51" s="8" t="n">
        <v>61</v>
      </c>
      <c r="K51" s="8" t="n">
        <v>61</v>
      </c>
      <c r="L51" s="8">
        <f>K51+E51</f>
        <v/>
      </c>
      <c r="M51" s="8">
        <f>K51-J51</f>
        <v/>
      </c>
      <c r="N51" s="8">
        <f>"S"&amp;(INT(K51/Resumen!$C$5)+1)&amp;"–S"&amp;MAX(INT(K51/Resumen!$C$5)+1,ROUNDUP(L51/Resumen!$C$5,0))</f>
        <v/>
      </c>
      <c r="O51" s="8" t="inlineStr">
        <is>
          <t>Pendiente</t>
        </is>
      </c>
      <c r="P51" s="8" t="inlineStr">
        <is>
          <t>Propuesta</t>
        </is>
      </c>
      <c r="Q51" s="7" t="inlineStr">
        <is>
          <t>Yo</t>
        </is>
      </c>
      <c r="R51" s="7" t="inlineStr"/>
    </row>
    <row r="52">
      <c r="A52" s="19" t="inlineStr">
        <is>
          <t>6.8</t>
        </is>
      </c>
      <c r="B52" s="4" t="inlineStr">
        <is>
          <t>6. Pruebas y lanzamiento</t>
        </is>
      </c>
      <c r="C52" s="7" t="inlineStr">
        <is>
          <t>Revisar y aplicar en producción la migración 20260923210000_limite_de_intentos.sql (ga-auditor-supabase revisa antes)</t>
        </is>
      </c>
      <c r="D52" s="5" t="n">
        <v>1</v>
      </c>
      <c r="E52" s="8">
        <f>D52</f>
        <v/>
      </c>
      <c r="F52" s="4" t="inlineStr">
        <is>
          <t>2.5, 2.9</t>
        </is>
      </c>
      <c r="G52" s="7" t="inlineStr">
        <is>
          <t>Sí</t>
        </is>
      </c>
      <c r="H52" s="7" t="inlineStr">
        <is>
          <t>4.3</t>
        </is>
      </c>
      <c r="I52" s="18" t="inlineStr">
        <is>
          <t>B</t>
        </is>
      </c>
      <c r="J52" s="8" t="n">
        <v>48</v>
      </c>
      <c r="K52" s="8" t="n">
        <v>51</v>
      </c>
      <c r="L52" s="8">
        <f>K52+E52</f>
        <v/>
      </c>
      <c r="M52" s="8">
        <f>K52-J52</f>
        <v/>
      </c>
      <c r="N52" s="8">
        <f>"S"&amp;(INT(K52/Resumen!$C$5)+1)&amp;"–S"&amp;MAX(INT(K52/Resumen!$C$5)+1,ROUNDUP(L52/Resumen!$C$5,0))</f>
        <v/>
      </c>
      <c r="O52" s="8" t="inlineStr">
        <is>
          <t>En curso</t>
        </is>
      </c>
      <c r="P52" s="8" t="inlineStr">
        <is>
          <t>Agregado</t>
        </is>
      </c>
      <c r="Q52" s="7" t="inlineStr">
        <is>
          <t>Yo + ga-auditor-supabase</t>
        </is>
      </c>
      <c r="R52" s="7" t="inlineStr"/>
    </row>
    <row r="53">
      <c r="A53" s="19" t="inlineStr">
        <is>
          <t>6.9</t>
        </is>
      </c>
      <c r="B53" s="4" t="inlineStr">
        <is>
          <t>6. Pruebas y lanzamiento</t>
        </is>
      </c>
      <c r="C53" s="7" t="inlineStr">
        <is>
          <t>Variables en Vercel (SUPABASE_SERVICE_ROLE_KEY, INGRESO_COOKIE_SECRET, LIMITE_HMAC_SECRET, RESEND_API_KEY, EMAIL_FROM, SITIO_URL, RESEND_TEMPLATE_INGRESO_ACEPTADO, RESEND_TEMPLATE_CREDITO_APROBADO, RESEND_TEMPLATE_CREDITO_RECHAZADO, RESEND_TEMPLATE_SORTEO_BOLETA, NEXT_PUBLIC_WHATSAPP)</t>
        </is>
      </c>
      <c r="D53" s="5" t="n">
        <v>1</v>
      </c>
      <c r="E53" s="8">
        <f>D53</f>
        <v/>
      </c>
      <c r="F53" s="4" t="inlineStr">
        <is>
          <t>2.5, 2.9, 6.11</t>
        </is>
      </c>
      <c r="G53" s="7" t="inlineStr">
        <is>
          <t>Sí</t>
        </is>
      </c>
      <c r="H53" s="7" t="inlineStr">
        <is>
          <t>6.1</t>
        </is>
      </c>
      <c r="I53" s="18" t="inlineStr">
        <is>
          <t>B</t>
        </is>
      </c>
      <c r="J53" s="8" t="n">
        <v>48</v>
      </c>
      <c r="K53" s="8" t="n">
        <v>53</v>
      </c>
      <c r="L53" s="8">
        <f>K53+E53</f>
        <v/>
      </c>
      <c r="M53" s="8">
        <f>K53-J53</f>
        <v/>
      </c>
      <c r="N53" s="8">
        <f>"S"&amp;(INT(K53/Resumen!$C$5)+1)&amp;"–S"&amp;MAX(INT(K53/Resumen!$C$5)+1,ROUNDUP(L53/Resumen!$C$5,0))</f>
        <v/>
      </c>
      <c r="O53" s="8" t="inlineStr">
        <is>
          <t>Pendiente</t>
        </is>
      </c>
      <c r="P53" s="8" t="inlineStr">
        <is>
          <t>Agregado</t>
        </is>
      </c>
      <c r="Q53" s="7" t="inlineStr">
        <is>
          <t>Yo (panel Vercel)</t>
        </is>
      </c>
      <c r="R53" s="7" t="inlineStr"/>
    </row>
    <row r="54">
      <c r="A54" s="19" t="inlineStr">
        <is>
          <t>6.10</t>
        </is>
      </c>
      <c r="B54" s="4" t="inlineStr">
        <is>
          <t>6. Pruebas y lanzamiento</t>
        </is>
      </c>
      <c r="C54" s="7" t="inlineStr">
        <is>
          <t>Revisar y aplicar en producción la migración blindar_solicitudes_y_revisiones (tasa_interes_mensual); ga-auditor-supabase revisa antes</t>
        </is>
      </c>
      <c r="D54" s="5" t="n">
        <v>1</v>
      </c>
      <c r="E54" s="8">
        <f>D54</f>
        <v/>
      </c>
      <c r="F54" s="4" t="inlineStr">
        <is>
          <t>3.1</t>
        </is>
      </c>
      <c r="G54" s="7" t="inlineStr">
        <is>
          <t>Sí</t>
        </is>
      </c>
      <c r="H54" s="7" t="inlineStr">
        <is>
          <t>2.9</t>
        </is>
      </c>
      <c r="I54" s="18" t="inlineStr">
        <is>
          <t>A</t>
        </is>
      </c>
      <c r="J54" s="8" t="n">
        <v>8</v>
      </c>
      <c r="K54" s="8" t="n">
        <v>24</v>
      </c>
      <c r="L54" s="8">
        <f>K54+E54</f>
        <v/>
      </c>
      <c r="M54" s="8">
        <f>K54-J54</f>
        <v/>
      </c>
      <c r="N54" s="8">
        <f>"S"&amp;(INT(K54/Resumen!$C$5)+1)&amp;"–S"&amp;MAX(INT(K54/Resumen!$C$5)+1,ROUNDUP(L54/Resumen!$C$5,0))</f>
        <v/>
      </c>
      <c r="O54" s="8" t="inlineStr">
        <is>
          <t>Hecho</t>
        </is>
      </c>
      <c r="P54" s="8" t="inlineStr">
        <is>
          <t>Agregado</t>
        </is>
      </c>
      <c r="Q54" s="7" t="inlineStr">
        <is>
          <t>Yo + ga-auditor-supabase</t>
        </is>
      </c>
      <c r="R54" s="7" t="inlineStr"/>
    </row>
    <row r="55">
      <c r="A55" s="19" t="inlineStr">
        <is>
          <t>6.11</t>
        </is>
      </c>
      <c r="B55" s="4" t="inlineStr">
        <is>
          <t>6. Pruebas y lanzamiento</t>
        </is>
      </c>
      <c r="C55" s="7" t="inlineStr">
        <is>
          <t>Clave del límite de intentos con HMAC-SHA256 y LIMITE_HMAC_SECRET (M-2 de la auditoría de P-43)</t>
        </is>
      </c>
      <c r="D55" s="5" t="n">
        <v>1</v>
      </c>
      <c r="E55" s="8">
        <f>D55</f>
        <v/>
      </c>
      <c r="F55" s="4" t="inlineStr">
        <is>
          <t>2.5, 2.9</t>
        </is>
      </c>
      <c r="G55" s="7" t="inlineStr">
        <is>
          <t>Sí</t>
        </is>
      </c>
      <c r="H55" s="7" t="inlineStr">
        <is>
          <t>1.5</t>
        </is>
      </c>
      <c r="I55" s="18" t="inlineStr">
        <is>
          <t>B</t>
        </is>
      </c>
      <c r="J55" s="8" t="n">
        <v>25</v>
      </c>
      <c r="K55" s="8" t="n">
        <v>32</v>
      </c>
      <c r="L55" s="8">
        <f>K55+E55</f>
        <v/>
      </c>
      <c r="M55" s="8">
        <f>K55-J55</f>
        <v/>
      </c>
      <c r="N55" s="8">
        <f>"S"&amp;(INT(K55/Resumen!$C$5)+1)&amp;"–S"&amp;MAX(INT(K55/Resumen!$C$5)+1,ROUNDUP(L55/Resumen!$C$5,0))</f>
        <v/>
      </c>
      <c r="O55" s="8" t="inlineStr">
        <is>
          <t>Hecho</t>
        </is>
      </c>
      <c r="P55" s="8" t="inlineStr">
        <is>
          <t>Agregado</t>
        </is>
      </c>
      <c r="Q55" s="7" t="inlineStr">
        <is>
          <t>ga-funcionalidad-botones</t>
        </is>
      </c>
      <c r="R55" s="7" t="inlineStr"/>
    </row>
    <row r="56">
      <c r="A56" s="19" t="inlineStr">
        <is>
          <t>6.12</t>
        </is>
      </c>
      <c r="B56" s="4" t="inlineStr">
        <is>
          <t>6. Pruebas y lanzamiento</t>
        </is>
      </c>
      <c r="C56" s="7" t="inlineStr">
        <is>
          <t>Alerta en los logs de Vercel para limite_de_intentos_fallo y limite_secreto_faltante</t>
        </is>
      </c>
      <c r="D56" s="5" t="n">
        <v>1</v>
      </c>
      <c r="E56" s="8">
        <f>D56</f>
        <v/>
      </c>
      <c r="F56" s="4" t="inlineStr">
        <is>
          <t>6.11</t>
        </is>
      </c>
      <c r="G56" s="7" t="inlineStr">
        <is>
          <t>Sí</t>
        </is>
      </c>
      <c r="H56" s="7" t="inlineStr">
        <is>
          <t>6.3</t>
        </is>
      </c>
      <c r="I56" s="18" t="inlineStr">
        <is>
          <t>B</t>
        </is>
      </c>
      <c r="J56" s="8" t="n">
        <v>48</v>
      </c>
      <c r="K56" s="8" t="n">
        <v>58</v>
      </c>
      <c r="L56" s="8">
        <f>K56+E56</f>
        <v/>
      </c>
      <c r="M56" s="8">
        <f>K56-J56</f>
        <v/>
      </c>
      <c r="N56" s="8">
        <f>"S"&amp;(INT(K56/Resumen!$C$5)+1)&amp;"–S"&amp;MAX(INT(K56/Resumen!$C$5)+1,ROUNDUP(L56/Resumen!$C$5,0))</f>
        <v/>
      </c>
      <c r="O56" s="8" t="inlineStr">
        <is>
          <t>Pendiente</t>
        </is>
      </c>
      <c r="P56" s="8" t="inlineStr">
        <is>
          <t>Agregado</t>
        </is>
      </c>
      <c r="Q56" s="7" t="inlineStr">
        <is>
          <t>Yo (panel Vercel)</t>
        </is>
      </c>
      <c r="R56" s="7" t="inlineStr"/>
    </row>
    <row r="57">
      <c r="A57" s="19" t="inlineStr">
        <is>
          <t>6.13</t>
        </is>
      </c>
      <c r="B57" s="4" t="inlineStr">
        <is>
          <t>6. Pruebas y lanzamiento</t>
        </is>
      </c>
      <c r="C57" s="7" t="inlineStr">
        <is>
          <t>Aplicar en producción las 9 migraciones de fase 2 (20260924000000…000800), tras comprobar 0 afiliaciones, y desplegar enseguida</t>
        </is>
      </c>
      <c r="D57" s="5" t="n">
        <v>1</v>
      </c>
      <c r="E57" s="8">
        <f>D57</f>
        <v/>
      </c>
      <c r="F57" s="4" t="inlineStr">
        <is>
          <t>1.6</t>
        </is>
      </c>
      <c r="G57" s="7" t="inlineStr">
        <is>
          <t>Sí</t>
        </is>
      </c>
      <c r="H57" s="7" t="inlineStr">
        <is>
          <t>5.3</t>
        </is>
      </c>
      <c r="I57" s="18" t="inlineStr">
        <is>
          <t>A</t>
        </is>
      </c>
      <c r="J57" s="8" t="n">
        <v>48</v>
      </c>
      <c r="K57" s="8" t="n">
        <v>55</v>
      </c>
      <c r="L57" s="8">
        <f>K57+E57</f>
        <v/>
      </c>
      <c r="M57" s="8">
        <f>K57-J57</f>
        <v/>
      </c>
      <c r="N57" s="8">
        <f>"S"&amp;(INT(K57/Resumen!$C$5)+1)&amp;"–S"&amp;MAX(INT(K57/Resumen!$C$5)+1,ROUNDUP(L57/Resumen!$C$5,0))</f>
        <v/>
      </c>
      <c r="O57" s="8" t="inlineStr">
        <is>
          <t>Pendiente</t>
        </is>
      </c>
      <c r="P57" s="8" t="inlineStr">
        <is>
          <t>Agregado</t>
        </is>
      </c>
      <c r="Q57" s="7" t="inlineStr">
        <is>
          <t>Sebas (ga-auditor-supabase revisa antes)</t>
        </is>
      </c>
      <c r="R57" s="7" t="inlineStr"/>
    </row>
    <row r="59">
      <c r="A59" s="3" t="inlineStr">
        <is>
          <t>Notas</t>
        </is>
      </c>
    </row>
    <row r="60">
      <c r="A60" s="2" t="inlineStr">
        <is>
          <t>Peso (azul, fondo amarillo) = dato de entrada; 1 punto de peso = 1 bloque de tiempo (ver hoja Pesos).</t>
        </is>
      </c>
    </row>
    <row r="61">
      <c r="A61" s="2" t="inlineStr">
        <is>
          <t>«Origen: Agregado» = actividad que no estaba en la propuesta del 31-ago (p. ej. ingreso con código, afiliación, importación).</t>
        </is>
      </c>
    </row>
    <row r="62">
      <c r="A62" s="2" t="inlineStr">
        <is>
          <t>«En paralelo con» lista las tareas que comparten tiempo con esta en el plan optimizado.</t>
        </is>
      </c>
    </row>
    <row r="63">
      <c r="A63" s="2" t="inlineStr">
        <is>
          <t>Espera en cola = bloques entre que la tarea queda lista y una fila la toma.</t>
        </is>
      </c>
    </row>
  </sheetData>
  <autoFilter ref="A4:R57"/>
  <conditionalFormatting sqref="O5:O57">
    <cfRule type="expression" priority="1" dxfId="1">
      <formula>$O5="Hecho"</formula>
    </cfRule>
    <cfRule type="expression" priority="2" dxfId="2">
      <formula>$O5="En curso"</formula>
    </cfRule>
    <cfRule type="expression" priority="3" dxfId="3">
      <formula>$O5="Pendiente"</formula>
    </cfRule>
    <cfRule type="expression" priority="4" dxfId="4">
      <formula>$O5="Bloqueado"</formula>
    </cfRule>
  </conditionalFormatting>
  <dataValidations count="1">
    <dataValidation sqref="O5:O57" showDropDown="0" showInputMessage="0" showErrorMessage="0" allowBlank="0" type="list">
      <formula1>"Hecho,En curso,Pendiente,Bloqueado"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Y67"/>
  <sheetViews>
    <sheetView showGridLines="0" zoomScale="80" workbookViewId="0">
      <pane xSplit="7" ySplit="7" topLeftCell="H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6" customWidth="1" min="3" max="3"/>
    <col width="5" customWidth="1" min="4" max="4"/>
    <col width="6" customWidth="1" min="5" max="5"/>
    <col width="6" customWidth="1" min="6" max="6"/>
    <col width="10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  <col width="3.2" customWidth="1" min="50" max="50"/>
    <col width="3.2" customWidth="1" min="51" max="51"/>
    <col width="3.2" customWidth="1" min="52" max="52"/>
    <col width="3.2" customWidth="1" min="53" max="53"/>
    <col width="3.2" customWidth="1" min="54" max="54"/>
    <col width="3.2" customWidth="1" min="55" max="55"/>
    <col width="3.2" customWidth="1" min="56" max="56"/>
    <col width="3.2" customWidth="1" min="57" max="57"/>
    <col width="3.2" customWidth="1" min="58" max="58"/>
    <col width="3.2" customWidth="1" min="59" max="59"/>
    <col width="3.2" customWidth="1" min="60" max="60"/>
    <col width="3.2" customWidth="1" min="61" max="61"/>
    <col width="3.2" customWidth="1" min="62" max="62"/>
    <col width="3.2" customWidth="1" min="63" max="63"/>
    <col width="3.2" customWidth="1" min="64" max="64"/>
    <col width="3.2" customWidth="1" min="65" max="65"/>
    <col width="3.2" customWidth="1" min="66" max="66"/>
    <col width="3.2" customWidth="1" min="67" max="67"/>
    <col width="3.2" customWidth="1" min="68" max="68"/>
    <col width="3.2" customWidth="1" min="69" max="69"/>
    <col width="3.2" customWidth="1" min="70" max="70"/>
    <col width="3.2" customWidth="1" min="71" max="71"/>
    <col width="3.2" customWidth="1" min="72" max="72"/>
    <col width="3.2" customWidth="1" min="73" max="73"/>
    <col width="3.2" customWidth="1" min="74" max="74"/>
    <col width="3.2" customWidth="1" min="75" max="75"/>
    <col width="3.2" customWidth="1" min="76" max="76"/>
    <col width="3.2" customWidth="1" min="77" max="77"/>
  </cols>
  <sheetData>
    <row r="1">
      <c r="A1" s="1" t="inlineStr">
        <is>
          <t>Diagrama de Gantt optimizado — 2 filas, cola infinita</t>
        </is>
      </c>
    </row>
    <row r="2">
      <c r="A2" s="2" t="inlineStr">
        <is>
          <t>El número al inicio de cada barra es el peso (1–5). Verde = Fila A, azul = Fila B, morado = usa las 2 filas, gris verdoso = hecho, ámbar = bloqueado por la cooperativa. Columna roja = HOY.</t>
        </is>
      </c>
    </row>
    <row r="4">
      <c r="H4" s="22" t="inlineStr">
        <is>
          <t>Semana 1</t>
        </is>
      </c>
      <c r="R4" s="22" t="inlineStr">
        <is>
          <t>Semana 2</t>
        </is>
      </c>
      <c r="AB4" s="22" t="inlineStr">
        <is>
          <t>Semana 3</t>
        </is>
      </c>
      <c r="AL4" s="22" t="inlineStr">
        <is>
          <t>Semana 4</t>
        </is>
      </c>
      <c r="AV4" s="22" t="inlineStr">
        <is>
          <t>Semana 5</t>
        </is>
      </c>
      <c r="BF4" s="22" t="inlineStr">
        <is>
          <t>Semana 6</t>
        </is>
      </c>
      <c r="BP4" s="22" t="inlineStr">
        <is>
          <t>Semana 7</t>
        </is>
      </c>
    </row>
    <row r="5">
      <c r="A5" s="23" t="inlineStr">
        <is>
          <t>ID</t>
        </is>
      </c>
      <c r="B5" s="23" t="inlineStr">
        <is>
          <t>Actividad</t>
        </is>
      </c>
      <c r="C5" s="23" t="inlineStr">
        <is>
          <t>Peso</t>
        </is>
      </c>
      <c r="D5" s="23" t="inlineStr">
        <is>
          <t>Fila</t>
        </is>
      </c>
      <c r="E5" s="23" t="inlineStr">
        <is>
          <t>Inicio</t>
        </is>
      </c>
      <c r="F5" s="23" t="inlineStr">
        <is>
          <t>Fin</t>
        </is>
      </c>
      <c r="G5" s="23" t="inlineStr">
        <is>
          <t>Estado</t>
        </is>
      </c>
      <c r="H5" s="24" t="n">
        <v>1</v>
      </c>
      <c r="I5" s="24" t="n">
        <v>2</v>
      </c>
      <c r="J5" s="24" t="n">
        <v>3</v>
      </c>
      <c r="K5" s="24" t="n">
        <v>4</v>
      </c>
      <c r="L5" s="24" t="n">
        <v>5</v>
      </c>
      <c r="M5" s="24" t="n">
        <v>6</v>
      </c>
      <c r="N5" s="24" t="n">
        <v>7</v>
      </c>
      <c r="O5" s="24" t="n">
        <v>8</v>
      </c>
      <c r="P5" s="24" t="n">
        <v>9</v>
      </c>
      <c r="Q5" s="24" t="n">
        <v>10</v>
      </c>
      <c r="R5" s="24" t="n">
        <v>11</v>
      </c>
      <c r="S5" s="24" t="n">
        <v>12</v>
      </c>
      <c r="T5" s="24" t="n">
        <v>13</v>
      </c>
      <c r="U5" s="24" t="n">
        <v>14</v>
      </c>
      <c r="V5" s="24" t="n">
        <v>15</v>
      </c>
      <c r="W5" s="24" t="n">
        <v>16</v>
      </c>
      <c r="X5" s="24" t="n">
        <v>17</v>
      </c>
      <c r="Y5" s="24" t="n">
        <v>18</v>
      </c>
      <c r="Z5" s="24" t="n">
        <v>19</v>
      </c>
      <c r="AA5" s="24" t="n">
        <v>20</v>
      </c>
      <c r="AB5" s="24" t="n">
        <v>21</v>
      </c>
      <c r="AC5" s="24" t="n">
        <v>22</v>
      </c>
      <c r="AD5" s="24" t="n">
        <v>23</v>
      </c>
      <c r="AE5" s="24" t="n">
        <v>24</v>
      </c>
      <c r="AF5" s="24" t="n">
        <v>25</v>
      </c>
      <c r="AG5" s="24" t="n">
        <v>26</v>
      </c>
      <c r="AH5" s="24" t="n">
        <v>27</v>
      </c>
      <c r="AI5" s="24" t="n">
        <v>28</v>
      </c>
      <c r="AJ5" s="24" t="n">
        <v>29</v>
      </c>
      <c r="AK5" s="24" t="n">
        <v>30</v>
      </c>
      <c r="AL5" s="24" t="n">
        <v>31</v>
      </c>
      <c r="AM5" s="24" t="n">
        <v>32</v>
      </c>
      <c r="AN5" s="24" t="n">
        <v>33</v>
      </c>
      <c r="AO5" s="24" t="n">
        <v>34</v>
      </c>
      <c r="AP5" s="24" t="n">
        <v>35</v>
      </c>
      <c r="AQ5" s="24" t="n">
        <v>36</v>
      </c>
      <c r="AR5" s="24" t="n">
        <v>37</v>
      </c>
      <c r="AS5" s="24" t="n">
        <v>38</v>
      </c>
      <c r="AT5" s="24" t="n">
        <v>39</v>
      </c>
      <c r="AU5" s="24" t="n">
        <v>40</v>
      </c>
      <c r="AV5" s="24" t="n">
        <v>41</v>
      </c>
      <c r="AW5" s="24" t="n">
        <v>42</v>
      </c>
      <c r="AX5" s="24" t="n">
        <v>43</v>
      </c>
      <c r="AY5" s="24" t="n">
        <v>44</v>
      </c>
      <c r="AZ5" s="24" t="n">
        <v>45</v>
      </c>
      <c r="BA5" s="24" t="n">
        <v>46</v>
      </c>
      <c r="BB5" s="24" t="n">
        <v>47</v>
      </c>
      <c r="BC5" s="24" t="n">
        <v>48</v>
      </c>
      <c r="BD5" s="24" t="n">
        <v>49</v>
      </c>
      <c r="BE5" s="24" t="n">
        <v>50</v>
      </c>
      <c r="BF5" s="24" t="n">
        <v>51</v>
      </c>
      <c r="BG5" s="24" t="n">
        <v>52</v>
      </c>
      <c r="BH5" s="24" t="n">
        <v>53</v>
      </c>
      <c r="BI5" s="24" t="n">
        <v>54</v>
      </c>
      <c r="BJ5" s="24" t="n">
        <v>55</v>
      </c>
      <c r="BK5" s="24" t="n">
        <v>56</v>
      </c>
      <c r="BL5" s="24" t="n">
        <v>57</v>
      </c>
      <c r="BM5" s="24" t="n">
        <v>58</v>
      </c>
      <c r="BN5" s="24" t="n">
        <v>59</v>
      </c>
      <c r="BO5" s="24" t="n">
        <v>60</v>
      </c>
      <c r="BP5" s="24" t="n">
        <v>61</v>
      </c>
      <c r="BQ5" s="24" t="n">
        <v>62</v>
      </c>
      <c r="BR5" s="24" t="n">
        <v>63</v>
      </c>
      <c r="BS5" s="24" t="n">
        <v>64</v>
      </c>
      <c r="BT5" s="24" t="n">
        <v>65</v>
      </c>
      <c r="BU5" s="24" t="n">
        <v>66</v>
      </c>
      <c r="BV5" s="24" t="n">
        <v>67</v>
      </c>
      <c r="BW5" s="24" t="n">
        <v>68</v>
      </c>
      <c r="BX5" s="24" t="n">
        <v>69</v>
      </c>
      <c r="BY5" s="24" t="n">
        <v>70</v>
      </c>
    </row>
    <row r="6" ht="26" customHeight="1">
      <c r="A6" s="25" t="inlineStr">
        <is>
          <t>Fila A — tarea en curso</t>
        </is>
      </c>
      <c r="H6" s="26">
        <f>IF(SUMPRODUCT(((Plan!$I$5:$I$57="A")+(Plan!$I$5:$I$57="A+B"))*(Plan!$K$5:$K$57&lt;H$5)*(Plan!$L$5:$L$57&gt;=H$5))=0,"",INDEX(Plan!$A$5:$A$57,SUMPRODUCT(((Plan!$I$5:$I$57="A")+(Plan!$I$5:$I$57="A+B"))*(Plan!$K$5:$K$57&lt;H$5)*(Plan!$L$5:$L$57&gt;=H$5)*(ROW(Plan!$A$5:$A$57)-4))))</f>
        <v/>
      </c>
      <c r="I6" s="26">
        <f>IF(SUMPRODUCT(((Plan!$I$5:$I$57="A")+(Plan!$I$5:$I$57="A+B"))*(Plan!$K$5:$K$57&lt;I$5)*(Plan!$L$5:$L$57&gt;=I$5))=0,"",INDEX(Plan!$A$5:$A$57,SUMPRODUCT(((Plan!$I$5:$I$57="A")+(Plan!$I$5:$I$57="A+B"))*(Plan!$K$5:$K$57&lt;I$5)*(Plan!$L$5:$L$57&gt;=I$5)*(ROW(Plan!$A$5:$A$57)-4))))</f>
        <v/>
      </c>
      <c r="J6" s="26">
        <f>IF(SUMPRODUCT(((Plan!$I$5:$I$57="A")+(Plan!$I$5:$I$57="A+B"))*(Plan!$K$5:$K$57&lt;J$5)*(Plan!$L$5:$L$57&gt;=J$5))=0,"",INDEX(Plan!$A$5:$A$57,SUMPRODUCT(((Plan!$I$5:$I$57="A")+(Plan!$I$5:$I$57="A+B"))*(Plan!$K$5:$K$57&lt;J$5)*(Plan!$L$5:$L$57&gt;=J$5)*(ROW(Plan!$A$5:$A$57)-4))))</f>
        <v/>
      </c>
      <c r="K6" s="26">
        <f>IF(SUMPRODUCT(((Plan!$I$5:$I$57="A")+(Plan!$I$5:$I$57="A+B"))*(Plan!$K$5:$K$57&lt;K$5)*(Plan!$L$5:$L$57&gt;=K$5))=0,"",INDEX(Plan!$A$5:$A$57,SUMPRODUCT(((Plan!$I$5:$I$57="A")+(Plan!$I$5:$I$57="A+B"))*(Plan!$K$5:$K$57&lt;K$5)*(Plan!$L$5:$L$57&gt;=K$5)*(ROW(Plan!$A$5:$A$57)-4))))</f>
        <v/>
      </c>
      <c r="L6" s="26">
        <f>IF(SUMPRODUCT(((Plan!$I$5:$I$57="A")+(Plan!$I$5:$I$57="A+B"))*(Plan!$K$5:$K$57&lt;L$5)*(Plan!$L$5:$L$57&gt;=L$5))=0,"",INDEX(Plan!$A$5:$A$57,SUMPRODUCT(((Plan!$I$5:$I$57="A")+(Plan!$I$5:$I$57="A+B"))*(Plan!$K$5:$K$57&lt;L$5)*(Plan!$L$5:$L$57&gt;=L$5)*(ROW(Plan!$A$5:$A$57)-4))))</f>
        <v/>
      </c>
      <c r="M6" s="26">
        <f>IF(SUMPRODUCT(((Plan!$I$5:$I$57="A")+(Plan!$I$5:$I$57="A+B"))*(Plan!$K$5:$K$57&lt;M$5)*(Plan!$L$5:$L$57&gt;=M$5))=0,"",INDEX(Plan!$A$5:$A$57,SUMPRODUCT(((Plan!$I$5:$I$57="A")+(Plan!$I$5:$I$57="A+B"))*(Plan!$K$5:$K$57&lt;M$5)*(Plan!$L$5:$L$57&gt;=M$5)*(ROW(Plan!$A$5:$A$57)-4))))</f>
        <v/>
      </c>
      <c r="N6" s="26">
        <f>IF(SUMPRODUCT(((Plan!$I$5:$I$57="A")+(Plan!$I$5:$I$57="A+B"))*(Plan!$K$5:$K$57&lt;N$5)*(Plan!$L$5:$L$57&gt;=N$5))=0,"",INDEX(Plan!$A$5:$A$57,SUMPRODUCT(((Plan!$I$5:$I$57="A")+(Plan!$I$5:$I$57="A+B"))*(Plan!$K$5:$K$57&lt;N$5)*(Plan!$L$5:$L$57&gt;=N$5)*(ROW(Plan!$A$5:$A$57)-4))))</f>
        <v/>
      </c>
      <c r="O6" s="26">
        <f>IF(SUMPRODUCT(((Plan!$I$5:$I$57="A")+(Plan!$I$5:$I$57="A+B"))*(Plan!$K$5:$K$57&lt;O$5)*(Plan!$L$5:$L$57&gt;=O$5))=0,"",INDEX(Plan!$A$5:$A$57,SUMPRODUCT(((Plan!$I$5:$I$57="A")+(Plan!$I$5:$I$57="A+B"))*(Plan!$K$5:$K$57&lt;O$5)*(Plan!$L$5:$L$57&gt;=O$5)*(ROW(Plan!$A$5:$A$57)-4))))</f>
        <v/>
      </c>
      <c r="P6" s="26">
        <f>IF(SUMPRODUCT(((Plan!$I$5:$I$57="A")+(Plan!$I$5:$I$57="A+B"))*(Plan!$K$5:$K$57&lt;P$5)*(Plan!$L$5:$L$57&gt;=P$5))=0,"",INDEX(Plan!$A$5:$A$57,SUMPRODUCT(((Plan!$I$5:$I$57="A")+(Plan!$I$5:$I$57="A+B"))*(Plan!$K$5:$K$57&lt;P$5)*(Plan!$L$5:$L$57&gt;=P$5)*(ROW(Plan!$A$5:$A$57)-4))))</f>
        <v/>
      </c>
      <c r="Q6" s="26">
        <f>IF(SUMPRODUCT(((Plan!$I$5:$I$57="A")+(Plan!$I$5:$I$57="A+B"))*(Plan!$K$5:$K$57&lt;Q$5)*(Plan!$L$5:$L$57&gt;=Q$5))=0,"",INDEX(Plan!$A$5:$A$57,SUMPRODUCT(((Plan!$I$5:$I$57="A")+(Plan!$I$5:$I$57="A+B"))*(Plan!$K$5:$K$57&lt;Q$5)*(Plan!$L$5:$L$57&gt;=Q$5)*(ROW(Plan!$A$5:$A$57)-4))))</f>
        <v/>
      </c>
      <c r="R6" s="26">
        <f>IF(SUMPRODUCT(((Plan!$I$5:$I$57="A")+(Plan!$I$5:$I$57="A+B"))*(Plan!$K$5:$K$57&lt;R$5)*(Plan!$L$5:$L$57&gt;=R$5))=0,"",INDEX(Plan!$A$5:$A$57,SUMPRODUCT(((Plan!$I$5:$I$57="A")+(Plan!$I$5:$I$57="A+B"))*(Plan!$K$5:$K$57&lt;R$5)*(Plan!$L$5:$L$57&gt;=R$5)*(ROW(Plan!$A$5:$A$57)-4))))</f>
        <v/>
      </c>
      <c r="S6" s="26">
        <f>IF(SUMPRODUCT(((Plan!$I$5:$I$57="A")+(Plan!$I$5:$I$57="A+B"))*(Plan!$K$5:$K$57&lt;S$5)*(Plan!$L$5:$L$57&gt;=S$5))=0,"",INDEX(Plan!$A$5:$A$57,SUMPRODUCT(((Plan!$I$5:$I$57="A")+(Plan!$I$5:$I$57="A+B"))*(Plan!$K$5:$K$57&lt;S$5)*(Plan!$L$5:$L$57&gt;=S$5)*(ROW(Plan!$A$5:$A$57)-4))))</f>
        <v/>
      </c>
      <c r="T6" s="26">
        <f>IF(SUMPRODUCT(((Plan!$I$5:$I$57="A")+(Plan!$I$5:$I$57="A+B"))*(Plan!$K$5:$K$57&lt;T$5)*(Plan!$L$5:$L$57&gt;=T$5))=0,"",INDEX(Plan!$A$5:$A$57,SUMPRODUCT(((Plan!$I$5:$I$57="A")+(Plan!$I$5:$I$57="A+B"))*(Plan!$K$5:$K$57&lt;T$5)*(Plan!$L$5:$L$57&gt;=T$5)*(ROW(Plan!$A$5:$A$57)-4))))</f>
        <v/>
      </c>
      <c r="U6" s="26">
        <f>IF(SUMPRODUCT(((Plan!$I$5:$I$57="A")+(Plan!$I$5:$I$57="A+B"))*(Plan!$K$5:$K$57&lt;U$5)*(Plan!$L$5:$L$57&gt;=U$5))=0,"",INDEX(Plan!$A$5:$A$57,SUMPRODUCT(((Plan!$I$5:$I$57="A")+(Plan!$I$5:$I$57="A+B"))*(Plan!$K$5:$K$57&lt;U$5)*(Plan!$L$5:$L$57&gt;=U$5)*(ROW(Plan!$A$5:$A$57)-4))))</f>
        <v/>
      </c>
      <c r="V6" s="26">
        <f>IF(SUMPRODUCT(((Plan!$I$5:$I$57="A")+(Plan!$I$5:$I$57="A+B"))*(Plan!$K$5:$K$57&lt;V$5)*(Plan!$L$5:$L$57&gt;=V$5))=0,"",INDEX(Plan!$A$5:$A$57,SUMPRODUCT(((Plan!$I$5:$I$57="A")+(Plan!$I$5:$I$57="A+B"))*(Plan!$K$5:$K$57&lt;V$5)*(Plan!$L$5:$L$57&gt;=V$5)*(ROW(Plan!$A$5:$A$57)-4))))</f>
        <v/>
      </c>
      <c r="W6" s="26">
        <f>IF(SUMPRODUCT(((Plan!$I$5:$I$57="A")+(Plan!$I$5:$I$57="A+B"))*(Plan!$K$5:$K$57&lt;W$5)*(Plan!$L$5:$L$57&gt;=W$5))=0,"",INDEX(Plan!$A$5:$A$57,SUMPRODUCT(((Plan!$I$5:$I$57="A")+(Plan!$I$5:$I$57="A+B"))*(Plan!$K$5:$K$57&lt;W$5)*(Plan!$L$5:$L$57&gt;=W$5)*(ROW(Plan!$A$5:$A$57)-4))))</f>
        <v/>
      </c>
      <c r="X6" s="26">
        <f>IF(SUMPRODUCT(((Plan!$I$5:$I$57="A")+(Plan!$I$5:$I$57="A+B"))*(Plan!$K$5:$K$57&lt;X$5)*(Plan!$L$5:$L$57&gt;=X$5))=0,"",INDEX(Plan!$A$5:$A$57,SUMPRODUCT(((Plan!$I$5:$I$57="A")+(Plan!$I$5:$I$57="A+B"))*(Plan!$K$5:$K$57&lt;X$5)*(Plan!$L$5:$L$57&gt;=X$5)*(ROW(Plan!$A$5:$A$57)-4))))</f>
        <v/>
      </c>
      <c r="Y6" s="26">
        <f>IF(SUMPRODUCT(((Plan!$I$5:$I$57="A")+(Plan!$I$5:$I$57="A+B"))*(Plan!$K$5:$K$57&lt;Y$5)*(Plan!$L$5:$L$57&gt;=Y$5))=0,"",INDEX(Plan!$A$5:$A$57,SUMPRODUCT(((Plan!$I$5:$I$57="A")+(Plan!$I$5:$I$57="A+B"))*(Plan!$K$5:$K$57&lt;Y$5)*(Plan!$L$5:$L$57&gt;=Y$5)*(ROW(Plan!$A$5:$A$57)-4))))</f>
        <v/>
      </c>
      <c r="Z6" s="26">
        <f>IF(SUMPRODUCT(((Plan!$I$5:$I$57="A")+(Plan!$I$5:$I$57="A+B"))*(Plan!$K$5:$K$57&lt;Z$5)*(Plan!$L$5:$L$57&gt;=Z$5))=0,"",INDEX(Plan!$A$5:$A$57,SUMPRODUCT(((Plan!$I$5:$I$57="A")+(Plan!$I$5:$I$57="A+B"))*(Plan!$K$5:$K$57&lt;Z$5)*(Plan!$L$5:$L$57&gt;=Z$5)*(ROW(Plan!$A$5:$A$57)-4))))</f>
        <v/>
      </c>
      <c r="AA6" s="26">
        <f>IF(SUMPRODUCT(((Plan!$I$5:$I$57="A")+(Plan!$I$5:$I$57="A+B"))*(Plan!$K$5:$K$57&lt;AA$5)*(Plan!$L$5:$L$57&gt;=AA$5))=0,"",INDEX(Plan!$A$5:$A$57,SUMPRODUCT(((Plan!$I$5:$I$57="A")+(Plan!$I$5:$I$57="A+B"))*(Plan!$K$5:$K$57&lt;AA$5)*(Plan!$L$5:$L$57&gt;=AA$5)*(ROW(Plan!$A$5:$A$57)-4))))</f>
        <v/>
      </c>
      <c r="AB6" s="26">
        <f>IF(SUMPRODUCT(((Plan!$I$5:$I$57="A")+(Plan!$I$5:$I$57="A+B"))*(Plan!$K$5:$K$57&lt;AB$5)*(Plan!$L$5:$L$57&gt;=AB$5))=0,"",INDEX(Plan!$A$5:$A$57,SUMPRODUCT(((Plan!$I$5:$I$57="A")+(Plan!$I$5:$I$57="A+B"))*(Plan!$K$5:$K$57&lt;AB$5)*(Plan!$L$5:$L$57&gt;=AB$5)*(ROW(Plan!$A$5:$A$57)-4))))</f>
        <v/>
      </c>
      <c r="AC6" s="26">
        <f>IF(SUMPRODUCT(((Plan!$I$5:$I$57="A")+(Plan!$I$5:$I$57="A+B"))*(Plan!$K$5:$K$57&lt;AC$5)*(Plan!$L$5:$L$57&gt;=AC$5))=0,"",INDEX(Plan!$A$5:$A$57,SUMPRODUCT(((Plan!$I$5:$I$57="A")+(Plan!$I$5:$I$57="A+B"))*(Plan!$K$5:$K$57&lt;AC$5)*(Plan!$L$5:$L$57&gt;=AC$5)*(ROW(Plan!$A$5:$A$57)-4))))</f>
        <v/>
      </c>
      <c r="AD6" s="26">
        <f>IF(SUMPRODUCT(((Plan!$I$5:$I$57="A")+(Plan!$I$5:$I$57="A+B"))*(Plan!$K$5:$K$57&lt;AD$5)*(Plan!$L$5:$L$57&gt;=AD$5))=0,"",INDEX(Plan!$A$5:$A$57,SUMPRODUCT(((Plan!$I$5:$I$57="A")+(Plan!$I$5:$I$57="A+B"))*(Plan!$K$5:$K$57&lt;AD$5)*(Plan!$L$5:$L$57&gt;=AD$5)*(ROW(Plan!$A$5:$A$57)-4))))</f>
        <v/>
      </c>
      <c r="AE6" s="26">
        <f>IF(SUMPRODUCT(((Plan!$I$5:$I$57="A")+(Plan!$I$5:$I$57="A+B"))*(Plan!$K$5:$K$57&lt;AE$5)*(Plan!$L$5:$L$57&gt;=AE$5))=0,"",INDEX(Plan!$A$5:$A$57,SUMPRODUCT(((Plan!$I$5:$I$57="A")+(Plan!$I$5:$I$57="A+B"))*(Plan!$K$5:$K$57&lt;AE$5)*(Plan!$L$5:$L$57&gt;=AE$5)*(ROW(Plan!$A$5:$A$57)-4))))</f>
        <v/>
      </c>
      <c r="AF6" s="26">
        <f>IF(SUMPRODUCT(((Plan!$I$5:$I$57="A")+(Plan!$I$5:$I$57="A+B"))*(Plan!$K$5:$K$57&lt;AF$5)*(Plan!$L$5:$L$57&gt;=AF$5))=0,"",INDEX(Plan!$A$5:$A$57,SUMPRODUCT(((Plan!$I$5:$I$57="A")+(Plan!$I$5:$I$57="A+B"))*(Plan!$K$5:$K$57&lt;AF$5)*(Plan!$L$5:$L$57&gt;=AF$5)*(ROW(Plan!$A$5:$A$57)-4))))</f>
        <v/>
      </c>
      <c r="AG6" s="26">
        <f>IF(SUMPRODUCT(((Plan!$I$5:$I$57="A")+(Plan!$I$5:$I$57="A+B"))*(Plan!$K$5:$K$57&lt;AG$5)*(Plan!$L$5:$L$57&gt;=AG$5))=0,"",INDEX(Plan!$A$5:$A$57,SUMPRODUCT(((Plan!$I$5:$I$57="A")+(Plan!$I$5:$I$57="A+B"))*(Plan!$K$5:$K$57&lt;AG$5)*(Plan!$L$5:$L$57&gt;=AG$5)*(ROW(Plan!$A$5:$A$57)-4))))</f>
        <v/>
      </c>
      <c r="AH6" s="26">
        <f>IF(SUMPRODUCT(((Plan!$I$5:$I$57="A")+(Plan!$I$5:$I$57="A+B"))*(Plan!$K$5:$K$57&lt;AH$5)*(Plan!$L$5:$L$57&gt;=AH$5))=0,"",INDEX(Plan!$A$5:$A$57,SUMPRODUCT(((Plan!$I$5:$I$57="A")+(Plan!$I$5:$I$57="A+B"))*(Plan!$K$5:$K$57&lt;AH$5)*(Plan!$L$5:$L$57&gt;=AH$5)*(ROW(Plan!$A$5:$A$57)-4))))</f>
        <v/>
      </c>
      <c r="AI6" s="26">
        <f>IF(SUMPRODUCT(((Plan!$I$5:$I$57="A")+(Plan!$I$5:$I$57="A+B"))*(Plan!$K$5:$K$57&lt;AI$5)*(Plan!$L$5:$L$57&gt;=AI$5))=0,"",INDEX(Plan!$A$5:$A$57,SUMPRODUCT(((Plan!$I$5:$I$57="A")+(Plan!$I$5:$I$57="A+B"))*(Plan!$K$5:$K$57&lt;AI$5)*(Plan!$L$5:$L$57&gt;=AI$5)*(ROW(Plan!$A$5:$A$57)-4))))</f>
        <v/>
      </c>
      <c r="AJ6" s="26">
        <f>IF(SUMPRODUCT(((Plan!$I$5:$I$57="A")+(Plan!$I$5:$I$57="A+B"))*(Plan!$K$5:$K$57&lt;AJ$5)*(Plan!$L$5:$L$57&gt;=AJ$5))=0,"",INDEX(Plan!$A$5:$A$57,SUMPRODUCT(((Plan!$I$5:$I$57="A")+(Plan!$I$5:$I$57="A+B"))*(Plan!$K$5:$K$57&lt;AJ$5)*(Plan!$L$5:$L$57&gt;=AJ$5)*(ROW(Plan!$A$5:$A$57)-4))))</f>
        <v/>
      </c>
      <c r="AK6" s="26">
        <f>IF(SUMPRODUCT(((Plan!$I$5:$I$57="A")+(Plan!$I$5:$I$57="A+B"))*(Plan!$K$5:$K$57&lt;AK$5)*(Plan!$L$5:$L$57&gt;=AK$5))=0,"",INDEX(Plan!$A$5:$A$57,SUMPRODUCT(((Plan!$I$5:$I$57="A")+(Plan!$I$5:$I$57="A+B"))*(Plan!$K$5:$K$57&lt;AK$5)*(Plan!$L$5:$L$57&gt;=AK$5)*(ROW(Plan!$A$5:$A$57)-4))))</f>
        <v/>
      </c>
      <c r="AL6" s="26">
        <f>IF(SUMPRODUCT(((Plan!$I$5:$I$57="A")+(Plan!$I$5:$I$57="A+B"))*(Plan!$K$5:$K$57&lt;AL$5)*(Plan!$L$5:$L$57&gt;=AL$5))=0,"",INDEX(Plan!$A$5:$A$57,SUMPRODUCT(((Plan!$I$5:$I$57="A")+(Plan!$I$5:$I$57="A+B"))*(Plan!$K$5:$K$57&lt;AL$5)*(Plan!$L$5:$L$57&gt;=AL$5)*(ROW(Plan!$A$5:$A$57)-4))))</f>
        <v/>
      </c>
      <c r="AM6" s="26">
        <f>IF(SUMPRODUCT(((Plan!$I$5:$I$57="A")+(Plan!$I$5:$I$57="A+B"))*(Plan!$K$5:$K$57&lt;AM$5)*(Plan!$L$5:$L$57&gt;=AM$5))=0,"",INDEX(Plan!$A$5:$A$57,SUMPRODUCT(((Plan!$I$5:$I$57="A")+(Plan!$I$5:$I$57="A+B"))*(Plan!$K$5:$K$57&lt;AM$5)*(Plan!$L$5:$L$57&gt;=AM$5)*(ROW(Plan!$A$5:$A$57)-4))))</f>
        <v/>
      </c>
      <c r="AN6" s="26">
        <f>IF(SUMPRODUCT(((Plan!$I$5:$I$57="A")+(Plan!$I$5:$I$57="A+B"))*(Plan!$K$5:$K$57&lt;AN$5)*(Plan!$L$5:$L$57&gt;=AN$5))=0,"",INDEX(Plan!$A$5:$A$57,SUMPRODUCT(((Plan!$I$5:$I$57="A")+(Plan!$I$5:$I$57="A+B"))*(Plan!$K$5:$K$57&lt;AN$5)*(Plan!$L$5:$L$57&gt;=AN$5)*(ROW(Plan!$A$5:$A$57)-4))))</f>
        <v/>
      </c>
      <c r="AO6" s="26">
        <f>IF(SUMPRODUCT(((Plan!$I$5:$I$57="A")+(Plan!$I$5:$I$57="A+B"))*(Plan!$K$5:$K$57&lt;AO$5)*(Plan!$L$5:$L$57&gt;=AO$5))=0,"",INDEX(Plan!$A$5:$A$57,SUMPRODUCT(((Plan!$I$5:$I$57="A")+(Plan!$I$5:$I$57="A+B"))*(Plan!$K$5:$K$57&lt;AO$5)*(Plan!$L$5:$L$57&gt;=AO$5)*(ROW(Plan!$A$5:$A$57)-4))))</f>
        <v/>
      </c>
      <c r="AP6" s="26">
        <f>IF(SUMPRODUCT(((Plan!$I$5:$I$57="A")+(Plan!$I$5:$I$57="A+B"))*(Plan!$K$5:$K$57&lt;AP$5)*(Plan!$L$5:$L$57&gt;=AP$5))=0,"",INDEX(Plan!$A$5:$A$57,SUMPRODUCT(((Plan!$I$5:$I$57="A")+(Plan!$I$5:$I$57="A+B"))*(Plan!$K$5:$K$57&lt;AP$5)*(Plan!$L$5:$L$57&gt;=AP$5)*(ROW(Plan!$A$5:$A$57)-4))))</f>
        <v/>
      </c>
      <c r="AQ6" s="26">
        <f>IF(SUMPRODUCT(((Plan!$I$5:$I$57="A")+(Plan!$I$5:$I$57="A+B"))*(Plan!$K$5:$K$57&lt;AQ$5)*(Plan!$L$5:$L$57&gt;=AQ$5))=0,"",INDEX(Plan!$A$5:$A$57,SUMPRODUCT(((Plan!$I$5:$I$57="A")+(Plan!$I$5:$I$57="A+B"))*(Plan!$K$5:$K$57&lt;AQ$5)*(Plan!$L$5:$L$57&gt;=AQ$5)*(ROW(Plan!$A$5:$A$57)-4))))</f>
        <v/>
      </c>
      <c r="AR6" s="26">
        <f>IF(SUMPRODUCT(((Plan!$I$5:$I$57="A")+(Plan!$I$5:$I$57="A+B"))*(Plan!$K$5:$K$57&lt;AR$5)*(Plan!$L$5:$L$57&gt;=AR$5))=0,"",INDEX(Plan!$A$5:$A$57,SUMPRODUCT(((Plan!$I$5:$I$57="A")+(Plan!$I$5:$I$57="A+B"))*(Plan!$K$5:$K$57&lt;AR$5)*(Plan!$L$5:$L$57&gt;=AR$5)*(ROW(Plan!$A$5:$A$57)-4))))</f>
        <v/>
      </c>
      <c r="AS6" s="26">
        <f>IF(SUMPRODUCT(((Plan!$I$5:$I$57="A")+(Plan!$I$5:$I$57="A+B"))*(Plan!$K$5:$K$57&lt;AS$5)*(Plan!$L$5:$L$57&gt;=AS$5))=0,"",INDEX(Plan!$A$5:$A$57,SUMPRODUCT(((Plan!$I$5:$I$57="A")+(Plan!$I$5:$I$57="A+B"))*(Plan!$K$5:$K$57&lt;AS$5)*(Plan!$L$5:$L$57&gt;=AS$5)*(ROW(Plan!$A$5:$A$57)-4))))</f>
        <v/>
      </c>
      <c r="AT6" s="26">
        <f>IF(SUMPRODUCT(((Plan!$I$5:$I$57="A")+(Plan!$I$5:$I$57="A+B"))*(Plan!$K$5:$K$57&lt;AT$5)*(Plan!$L$5:$L$57&gt;=AT$5))=0,"",INDEX(Plan!$A$5:$A$57,SUMPRODUCT(((Plan!$I$5:$I$57="A")+(Plan!$I$5:$I$57="A+B"))*(Plan!$K$5:$K$57&lt;AT$5)*(Plan!$L$5:$L$57&gt;=AT$5)*(ROW(Plan!$A$5:$A$57)-4))))</f>
        <v/>
      </c>
      <c r="AU6" s="26">
        <f>IF(SUMPRODUCT(((Plan!$I$5:$I$57="A")+(Plan!$I$5:$I$57="A+B"))*(Plan!$K$5:$K$57&lt;AU$5)*(Plan!$L$5:$L$57&gt;=AU$5))=0,"",INDEX(Plan!$A$5:$A$57,SUMPRODUCT(((Plan!$I$5:$I$57="A")+(Plan!$I$5:$I$57="A+B"))*(Plan!$K$5:$K$57&lt;AU$5)*(Plan!$L$5:$L$57&gt;=AU$5)*(ROW(Plan!$A$5:$A$57)-4))))</f>
        <v/>
      </c>
      <c r="AV6" s="26">
        <f>IF(SUMPRODUCT(((Plan!$I$5:$I$57="A")+(Plan!$I$5:$I$57="A+B"))*(Plan!$K$5:$K$57&lt;AV$5)*(Plan!$L$5:$L$57&gt;=AV$5))=0,"",INDEX(Plan!$A$5:$A$57,SUMPRODUCT(((Plan!$I$5:$I$57="A")+(Plan!$I$5:$I$57="A+B"))*(Plan!$K$5:$K$57&lt;AV$5)*(Plan!$L$5:$L$57&gt;=AV$5)*(ROW(Plan!$A$5:$A$57)-4))))</f>
        <v/>
      </c>
      <c r="AW6" s="26">
        <f>IF(SUMPRODUCT(((Plan!$I$5:$I$57="A")+(Plan!$I$5:$I$57="A+B"))*(Plan!$K$5:$K$57&lt;AW$5)*(Plan!$L$5:$L$57&gt;=AW$5))=0,"",INDEX(Plan!$A$5:$A$57,SUMPRODUCT(((Plan!$I$5:$I$57="A")+(Plan!$I$5:$I$57="A+B"))*(Plan!$K$5:$K$57&lt;AW$5)*(Plan!$L$5:$L$57&gt;=AW$5)*(ROW(Plan!$A$5:$A$57)-4))))</f>
        <v/>
      </c>
      <c r="AX6" s="26">
        <f>IF(SUMPRODUCT(((Plan!$I$5:$I$57="A")+(Plan!$I$5:$I$57="A+B"))*(Plan!$K$5:$K$57&lt;AX$5)*(Plan!$L$5:$L$57&gt;=AX$5))=0,"",INDEX(Plan!$A$5:$A$57,SUMPRODUCT(((Plan!$I$5:$I$57="A")+(Plan!$I$5:$I$57="A+B"))*(Plan!$K$5:$K$57&lt;AX$5)*(Plan!$L$5:$L$57&gt;=AX$5)*(ROW(Plan!$A$5:$A$57)-4))))</f>
        <v/>
      </c>
      <c r="AY6" s="26">
        <f>IF(SUMPRODUCT(((Plan!$I$5:$I$57="A")+(Plan!$I$5:$I$57="A+B"))*(Plan!$K$5:$K$57&lt;AY$5)*(Plan!$L$5:$L$57&gt;=AY$5))=0,"",INDEX(Plan!$A$5:$A$57,SUMPRODUCT(((Plan!$I$5:$I$57="A")+(Plan!$I$5:$I$57="A+B"))*(Plan!$K$5:$K$57&lt;AY$5)*(Plan!$L$5:$L$57&gt;=AY$5)*(ROW(Plan!$A$5:$A$57)-4))))</f>
        <v/>
      </c>
      <c r="AZ6" s="26">
        <f>IF(SUMPRODUCT(((Plan!$I$5:$I$57="A")+(Plan!$I$5:$I$57="A+B"))*(Plan!$K$5:$K$57&lt;AZ$5)*(Plan!$L$5:$L$57&gt;=AZ$5))=0,"",INDEX(Plan!$A$5:$A$57,SUMPRODUCT(((Plan!$I$5:$I$57="A")+(Plan!$I$5:$I$57="A+B"))*(Plan!$K$5:$K$57&lt;AZ$5)*(Plan!$L$5:$L$57&gt;=AZ$5)*(ROW(Plan!$A$5:$A$57)-4))))</f>
        <v/>
      </c>
      <c r="BA6" s="26">
        <f>IF(SUMPRODUCT(((Plan!$I$5:$I$57="A")+(Plan!$I$5:$I$57="A+B"))*(Plan!$K$5:$K$57&lt;BA$5)*(Plan!$L$5:$L$57&gt;=BA$5))=0,"",INDEX(Plan!$A$5:$A$57,SUMPRODUCT(((Plan!$I$5:$I$57="A")+(Plan!$I$5:$I$57="A+B"))*(Plan!$K$5:$K$57&lt;BA$5)*(Plan!$L$5:$L$57&gt;=BA$5)*(ROW(Plan!$A$5:$A$57)-4))))</f>
        <v/>
      </c>
      <c r="BB6" s="26">
        <f>IF(SUMPRODUCT(((Plan!$I$5:$I$57="A")+(Plan!$I$5:$I$57="A+B"))*(Plan!$K$5:$K$57&lt;BB$5)*(Plan!$L$5:$L$57&gt;=BB$5))=0,"",INDEX(Plan!$A$5:$A$57,SUMPRODUCT(((Plan!$I$5:$I$57="A")+(Plan!$I$5:$I$57="A+B"))*(Plan!$K$5:$K$57&lt;BB$5)*(Plan!$L$5:$L$57&gt;=BB$5)*(ROW(Plan!$A$5:$A$57)-4))))</f>
        <v/>
      </c>
      <c r="BC6" s="26">
        <f>IF(SUMPRODUCT(((Plan!$I$5:$I$57="A")+(Plan!$I$5:$I$57="A+B"))*(Plan!$K$5:$K$57&lt;BC$5)*(Plan!$L$5:$L$57&gt;=BC$5))=0,"",INDEX(Plan!$A$5:$A$57,SUMPRODUCT(((Plan!$I$5:$I$57="A")+(Plan!$I$5:$I$57="A+B"))*(Plan!$K$5:$K$57&lt;BC$5)*(Plan!$L$5:$L$57&gt;=BC$5)*(ROW(Plan!$A$5:$A$57)-4))))</f>
        <v/>
      </c>
      <c r="BD6" s="26">
        <f>IF(SUMPRODUCT(((Plan!$I$5:$I$57="A")+(Plan!$I$5:$I$57="A+B"))*(Plan!$K$5:$K$57&lt;BD$5)*(Plan!$L$5:$L$57&gt;=BD$5))=0,"",INDEX(Plan!$A$5:$A$57,SUMPRODUCT(((Plan!$I$5:$I$57="A")+(Plan!$I$5:$I$57="A+B"))*(Plan!$K$5:$K$57&lt;BD$5)*(Plan!$L$5:$L$57&gt;=BD$5)*(ROW(Plan!$A$5:$A$57)-4))))</f>
        <v/>
      </c>
      <c r="BE6" s="26">
        <f>IF(SUMPRODUCT(((Plan!$I$5:$I$57="A")+(Plan!$I$5:$I$57="A+B"))*(Plan!$K$5:$K$57&lt;BE$5)*(Plan!$L$5:$L$57&gt;=BE$5))=0,"",INDEX(Plan!$A$5:$A$57,SUMPRODUCT(((Plan!$I$5:$I$57="A")+(Plan!$I$5:$I$57="A+B"))*(Plan!$K$5:$K$57&lt;BE$5)*(Plan!$L$5:$L$57&gt;=BE$5)*(ROW(Plan!$A$5:$A$57)-4))))</f>
        <v/>
      </c>
      <c r="BF6" s="26">
        <f>IF(SUMPRODUCT(((Plan!$I$5:$I$57="A")+(Plan!$I$5:$I$57="A+B"))*(Plan!$K$5:$K$57&lt;BF$5)*(Plan!$L$5:$L$57&gt;=BF$5))=0,"",INDEX(Plan!$A$5:$A$57,SUMPRODUCT(((Plan!$I$5:$I$57="A")+(Plan!$I$5:$I$57="A+B"))*(Plan!$K$5:$K$57&lt;BF$5)*(Plan!$L$5:$L$57&gt;=BF$5)*(ROW(Plan!$A$5:$A$57)-4))))</f>
        <v/>
      </c>
      <c r="BG6" s="26">
        <f>IF(SUMPRODUCT(((Plan!$I$5:$I$57="A")+(Plan!$I$5:$I$57="A+B"))*(Plan!$K$5:$K$57&lt;BG$5)*(Plan!$L$5:$L$57&gt;=BG$5))=0,"",INDEX(Plan!$A$5:$A$57,SUMPRODUCT(((Plan!$I$5:$I$57="A")+(Plan!$I$5:$I$57="A+B"))*(Plan!$K$5:$K$57&lt;BG$5)*(Plan!$L$5:$L$57&gt;=BG$5)*(ROW(Plan!$A$5:$A$57)-4))))</f>
        <v/>
      </c>
      <c r="BH6" s="26">
        <f>IF(SUMPRODUCT(((Plan!$I$5:$I$57="A")+(Plan!$I$5:$I$57="A+B"))*(Plan!$K$5:$K$57&lt;BH$5)*(Plan!$L$5:$L$57&gt;=BH$5))=0,"",INDEX(Plan!$A$5:$A$57,SUMPRODUCT(((Plan!$I$5:$I$57="A")+(Plan!$I$5:$I$57="A+B"))*(Plan!$K$5:$K$57&lt;BH$5)*(Plan!$L$5:$L$57&gt;=BH$5)*(ROW(Plan!$A$5:$A$57)-4))))</f>
        <v/>
      </c>
      <c r="BI6" s="26">
        <f>IF(SUMPRODUCT(((Plan!$I$5:$I$57="A")+(Plan!$I$5:$I$57="A+B"))*(Plan!$K$5:$K$57&lt;BI$5)*(Plan!$L$5:$L$57&gt;=BI$5))=0,"",INDEX(Plan!$A$5:$A$57,SUMPRODUCT(((Plan!$I$5:$I$57="A")+(Plan!$I$5:$I$57="A+B"))*(Plan!$K$5:$K$57&lt;BI$5)*(Plan!$L$5:$L$57&gt;=BI$5)*(ROW(Plan!$A$5:$A$57)-4))))</f>
        <v/>
      </c>
      <c r="BJ6" s="26">
        <f>IF(SUMPRODUCT(((Plan!$I$5:$I$57="A")+(Plan!$I$5:$I$57="A+B"))*(Plan!$K$5:$K$57&lt;BJ$5)*(Plan!$L$5:$L$57&gt;=BJ$5))=0,"",INDEX(Plan!$A$5:$A$57,SUMPRODUCT(((Plan!$I$5:$I$57="A")+(Plan!$I$5:$I$57="A+B"))*(Plan!$K$5:$K$57&lt;BJ$5)*(Plan!$L$5:$L$57&gt;=BJ$5)*(ROW(Plan!$A$5:$A$57)-4))))</f>
        <v/>
      </c>
      <c r="BK6" s="26">
        <f>IF(SUMPRODUCT(((Plan!$I$5:$I$57="A")+(Plan!$I$5:$I$57="A+B"))*(Plan!$K$5:$K$57&lt;BK$5)*(Plan!$L$5:$L$57&gt;=BK$5))=0,"",INDEX(Plan!$A$5:$A$57,SUMPRODUCT(((Plan!$I$5:$I$57="A")+(Plan!$I$5:$I$57="A+B"))*(Plan!$K$5:$K$57&lt;BK$5)*(Plan!$L$5:$L$57&gt;=BK$5)*(ROW(Plan!$A$5:$A$57)-4))))</f>
        <v/>
      </c>
      <c r="BL6" s="26">
        <f>IF(SUMPRODUCT(((Plan!$I$5:$I$57="A")+(Plan!$I$5:$I$57="A+B"))*(Plan!$K$5:$K$57&lt;BL$5)*(Plan!$L$5:$L$57&gt;=BL$5))=0,"",INDEX(Plan!$A$5:$A$57,SUMPRODUCT(((Plan!$I$5:$I$57="A")+(Plan!$I$5:$I$57="A+B"))*(Plan!$K$5:$K$57&lt;BL$5)*(Plan!$L$5:$L$57&gt;=BL$5)*(ROW(Plan!$A$5:$A$57)-4))))</f>
        <v/>
      </c>
      <c r="BM6" s="26">
        <f>IF(SUMPRODUCT(((Plan!$I$5:$I$57="A")+(Plan!$I$5:$I$57="A+B"))*(Plan!$K$5:$K$57&lt;BM$5)*(Plan!$L$5:$L$57&gt;=BM$5))=0,"",INDEX(Plan!$A$5:$A$57,SUMPRODUCT(((Plan!$I$5:$I$57="A")+(Plan!$I$5:$I$57="A+B"))*(Plan!$K$5:$K$57&lt;BM$5)*(Plan!$L$5:$L$57&gt;=BM$5)*(ROW(Plan!$A$5:$A$57)-4))))</f>
        <v/>
      </c>
      <c r="BN6" s="26">
        <f>IF(SUMPRODUCT(((Plan!$I$5:$I$57="A")+(Plan!$I$5:$I$57="A+B"))*(Plan!$K$5:$K$57&lt;BN$5)*(Plan!$L$5:$L$57&gt;=BN$5))=0,"",INDEX(Plan!$A$5:$A$57,SUMPRODUCT(((Plan!$I$5:$I$57="A")+(Plan!$I$5:$I$57="A+B"))*(Plan!$K$5:$K$57&lt;BN$5)*(Plan!$L$5:$L$57&gt;=BN$5)*(ROW(Plan!$A$5:$A$57)-4))))</f>
        <v/>
      </c>
      <c r="BO6" s="26">
        <f>IF(SUMPRODUCT(((Plan!$I$5:$I$57="A")+(Plan!$I$5:$I$57="A+B"))*(Plan!$K$5:$K$57&lt;BO$5)*(Plan!$L$5:$L$57&gt;=BO$5))=0,"",INDEX(Plan!$A$5:$A$57,SUMPRODUCT(((Plan!$I$5:$I$57="A")+(Plan!$I$5:$I$57="A+B"))*(Plan!$K$5:$K$57&lt;BO$5)*(Plan!$L$5:$L$57&gt;=BO$5)*(ROW(Plan!$A$5:$A$57)-4))))</f>
        <v/>
      </c>
      <c r="BP6" s="26">
        <f>IF(SUMPRODUCT(((Plan!$I$5:$I$57="A")+(Plan!$I$5:$I$57="A+B"))*(Plan!$K$5:$K$57&lt;BP$5)*(Plan!$L$5:$L$57&gt;=BP$5))=0,"",INDEX(Plan!$A$5:$A$57,SUMPRODUCT(((Plan!$I$5:$I$57="A")+(Plan!$I$5:$I$57="A+B"))*(Plan!$K$5:$K$57&lt;BP$5)*(Plan!$L$5:$L$57&gt;=BP$5)*(ROW(Plan!$A$5:$A$57)-4))))</f>
        <v/>
      </c>
      <c r="BQ6" s="26">
        <f>IF(SUMPRODUCT(((Plan!$I$5:$I$57="A")+(Plan!$I$5:$I$57="A+B"))*(Plan!$K$5:$K$57&lt;BQ$5)*(Plan!$L$5:$L$57&gt;=BQ$5))=0,"",INDEX(Plan!$A$5:$A$57,SUMPRODUCT(((Plan!$I$5:$I$57="A")+(Plan!$I$5:$I$57="A+B"))*(Plan!$K$5:$K$57&lt;BQ$5)*(Plan!$L$5:$L$57&gt;=BQ$5)*(ROW(Plan!$A$5:$A$57)-4))))</f>
        <v/>
      </c>
      <c r="BR6" s="26">
        <f>IF(SUMPRODUCT(((Plan!$I$5:$I$57="A")+(Plan!$I$5:$I$57="A+B"))*(Plan!$K$5:$K$57&lt;BR$5)*(Plan!$L$5:$L$57&gt;=BR$5))=0,"",INDEX(Plan!$A$5:$A$57,SUMPRODUCT(((Plan!$I$5:$I$57="A")+(Plan!$I$5:$I$57="A+B"))*(Plan!$K$5:$K$57&lt;BR$5)*(Plan!$L$5:$L$57&gt;=BR$5)*(ROW(Plan!$A$5:$A$57)-4))))</f>
        <v/>
      </c>
      <c r="BS6" s="26">
        <f>IF(SUMPRODUCT(((Plan!$I$5:$I$57="A")+(Plan!$I$5:$I$57="A+B"))*(Plan!$K$5:$K$57&lt;BS$5)*(Plan!$L$5:$L$57&gt;=BS$5))=0,"",INDEX(Plan!$A$5:$A$57,SUMPRODUCT(((Plan!$I$5:$I$57="A")+(Plan!$I$5:$I$57="A+B"))*(Plan!$K$5:$K$57&lt;BS$5)*(Plan!$L$5:$L$57&gt;=BS$5)*(ROW(Plan!$A$5:$A$57)-4))))</f>
        <v/>
      </c>
      <c r="BT6" s="26">
        <f>IF(SUMPRODUCT(((Plan!$I$5:$I$57="A")+(Plan!$I$5:$I$57="A+B"))*(Plan!$K$5:$K$57&lt;BT$5)*(Plan!$L$5:$L$57&gt;=BT$5))=0,"",INDEX(Plan!$A$5:$A$57,SUMPRODUCT(((Plan!$I$5:$I$57="A")+(Plan!$I$5:$I$57="A+B"))*(Plan!$K$5:$K$57&lt;BT$5)*(Plan!$L$5:$L$57&gt;=BT$5)*(ROW(Plan!$A$5:$A$57)-4))))</f>
        <v/>
      </c>
      <c r="BU6" s="26">
        <f>IF(SUMPRODUCT(((Plan!$I$5:$I$57="A")+(Plan!$I$5:$I$57="A+B"))*(Plan!$K$5:$K$57&lt;BU$5)*(Plan!$L$5:$L$57&gt;=BU$5))=0,"",INDEX(Plan!$A$5:$A$57,SUMPRODUCT(((Plan!$I$5:$I$57="A")+(Plan!$I$5:$I$57="A+B"))*(Plan!$K$5:$K$57&lt;BU$5)*(Plan!$L$5:$L$57&gt;=BU$5)*(ROW(Plan!$A$5:$A$57)-4))))</f>
        <v/>
      </c>
      <c r="BV6" s="26">
        <f>IF(SUMPRODUCT(((Plan!$I$5:$I$57="A")+(Plan!$I$5:$I$57="A+B"))*(Plan!$K$5:$K$57&lt;BV$5)*(Plan!$L$5:$L$57&gt;=BV$5))=0,"",INDEX(Plan!$A$5:$A$57,SUMPRODUCT(((Plan!$I$5:$I$57="A")+(Plan!$I$5:$I$57="A+B"))*(Plan!$K$5:$K$57&lt;BV$5)*(Plan!$L$5:$L$57&gt;=BV$5)*(ROW(Plan!$A$5:$A$57)-4))))</f>
        <v/>
      </c>
      <c r="BW6" s="26">
        <f>IF(SUMPRODUCT(((Plan!$I$5:$I$57="A")+(Plan!$I$5:$I$57="A+B"))*(Plan!$K$5:$K$57&lt;BW$5)*(Plan!$L$5:$L$57&gt;=BW$5))=0,"",INDEX(Plan!$A$5:$A$57,SUMPRODUCT(((Plan!$I$5:$I$57="A")+(Plan!$I$5:$I$57="A+B"))*(Plan!$K$5:$K$57&lt;BW$5)*(Plan!$L$5:$L$57&gt;=BW$5)*(ROW(Plan!$A$5:$A$57)-4))))</f>
        <v/>
      </c>
      <c r="BX6" s="26">
        <f>IF(SUMPRODUCT(((Plan!$I$5:$I$57="A")+(Plan!$I$5:$I$57="A+B"))*(Plan!$K$5:$K$57&lt;BX$5)*(Plan!$L$5:$L$57&gt;=BX$5))=0,"",INDEX(Plan!$A$5:$A$57,SUMPRODUCT(((Plan!$I$5:$I$57="A")+(Plan!$I$5:$I$57="A+B"))*(Plan!$K$5:$K$57&lt;BX$5)*(Plan!$L$5:$L$57&gt;=BX$5)*(ROW(Plan!$A$5:$A$57)-4))))</f>
        <v/>
      </c>
      <c r="BY6" s="26">
        <f>IF(SUMPRODUCT(((Plan!$I$5:$I$57="A")+(Plan!$I$5:$I$57="A+B"))*(Plan!$K$5:$K$57&lt;BY$5)*(Plan!$L$5:$L$57&gt;=BY$5))=0,"",INDEX(Plan!$A$5:$A$57,SUMPRODUCT(((Plan!$I$5:$I$57="A")+(Plan!$I$5:$I$57="A+B"))*(Plan!$K$5:$K$57&lt;BY$5)*(Plan!$L$5:$L$57&gt;=BY$5)*(ROW(Plan!$A$5:$A$57)-4))))</f>
        <v/>
      </c>
    </row>
    <row r="7" ht="26" customHeight="1">
      <c r="A7" s="22" t="inlineStr">
        <is>
          <t>Fila B — tarea en curso</t>
        </is>
      </c>
      <c r="H7" s="26">
        <f>IF(SUMPRODUCT(((Plan!$I$5:$I$57="B")+(Plan!$I$5:$I$57="A+B"))*(Plan!$K$5:$K$57&lt;H$5)*(Plan!$L$5:$L$57&gt;=H$5))=0,"",INDEX(Plan!$A$5:$A$57,SUMPRODUCT(((Plan!$I$5:$I$57="B")+(Plan!$I$5:$I$57="A+B"))*(Plan!$K$5:$K$57&lt;H$5)*(Plan!$L$5:$L$57&gt;=H$5)*(ROW(Plan!$A$5:$A$57)-4))))</f>
        <v/>
      </c>
      <c r="I7" s="26">
        <f>IF(SUMPRODUCT(((Plan!$I$5:$I$57="B")+(Plan!$I$5:$I$57="A+B"))*(Plan!$K$5:$K$57&lt;I$5)*(Plan!$L$5:$L$57&gt;=I$5))=0,"",INDEX(Plan!$A$5:$A$57,SUMPRODUCT(((Plan!$I$5:$I$57="B")+(Plan!$I$5:$I$57="A+B"))*(Plan!$K$5:$K$57&lt;I$5)*(Plan!$L$5:$L$57&gt;=I$5)*(ROW(Plan!$A$5:$A$57)-4))))</f>
        <v/>
      </c>
      <c r="J7" s="26">
        <f>IF(SUMPRODUCT(((Plan!$I$5:$I$57="B")+(Plan!$I$5:$I$57="A+B"))*(Plan!$K$5:$K$57&lt;J$5)*(Plan!$L$5:$L$57&gt;=J$5))=0,"",INDEX(Plan!$A$5:$A$57,SUMPRODUCT(((Plan!$I$5:$I$57="B")+(Plan!$I$5:$I$57="A+B"))*(Plan!$K$5:$K$57&lt;J$5)*(Plan!$L$5:$L$57&gt;=J$5)*(ROW(Plan!$A$5:$A$57)-4))))</f>
        <v/>
      </c>
      <c r="K7" s="26">
        <f>IF(SUMPRODUCT(((Plan!$I$5:$I$57="B")+(Plan!$I$5:$I$57="A+B"))*(Plan!$K$5:$K$57&lt;K$5)*(Plan!$L$5:$L$57&gt;=K$5))=0,"",INDEX(Plan!$A$5:$A$57,SUMPRODUCT(((Plan!$I$5:$I$57="B")+(Plan!$I$5:$I$57="A+B"))*(Plan!$K$5:$K$57&lt;K$5)*(Plan!$L$5:$L$57&gt;=K$5)*(ROW(Plan!$A$5:$A$57)-4))))</f>
        <v/>
      </c>
      <c r="L7" s="26">
        <f>IF(SUMPRODUCT(((Plan!$I$5:$I$57="B")+(Plan!$I$5:$I$57="A+B"))*(Plan!$K$5:$K$57&lt;L$5)*(Plan!$L$5:$L$57&gt;=L$5))=0,"",INDEX(Plan!$A$5:$A$57,SUMPRODUCT(((Plan!$I$5:$I$57="B")+(Plan!$I$5:$I$57="A+B"))*(Plan!$K$5:$K$57&lt;L$5)*(Plan!$L$5:$L$57&gt;=L$5)*(ROW(Plan!$A$5:$A$57)-4))))</f>
        <v/>
      </c>
      <c r="M7" s="26">
        <f>IF(SUMPRODUCT(((Plan!$I$5:$I$57="B")+(Plan!$I$5:$I$57="A+B"))*(Plan!$K$5:$K$57&lt;M$5)*(Plan!$L$5:$L$57&gt;=M$5))=0,"",INDEX(Plan!$A$5:$A$57,SUMPRODUCT(((Plan!$I$5:$I$57="B")+(Plan!$I$5:$I$57="A+B"))*(Plan!$K$5:$K$57&lt;M$5)*(Plan!$L$5:$L$57&gt;=M$5)*(ROW(Plan!$A$5:$A$57)-4))))</f>
        <v/>
      </c>
      <c r="N7" s="26">
        <f>IF(SUMPRODUCT(((Plan!$I$5:$I$57="B")+(Plan!$I$5:$I$57="A+B"))*(Plan!$K$5:$K$57&lt;N$5)*(Plan!$L$5:$L$57&gt;=N$5))=0,"",INDEX(Plan!$A$5:$A$57,SUMPRODUCT(((Plan!$I$5:$I$57="B")+(Plan!$I$5:$I$57="A+B"))*(Plan!$K$5:$K$57&lt;N$5)*(Plan!$L$5:$L$57&gt;=N$5)*(ROW(Plan!$A$5:$A$57)-4))))</f>
        <v/>
      </c>
      <c r="O7" s="26">
        <f>IF(SUMPRODUCT(((Plan!$I$5:$I$57="B")+(Plan!$I$5:$I$57="A+B"))*(Plan!$K$5:$K$57&lt;O$5)*(Plan!$L$5:$L$57&gt;=O$5))=0,"",INDEX(Plan!$A$5:$A$57,SUMPRODUCT(((Plan!$I$5:$I$57="B")+(Plan!$I$5:$I$57="A+B"))*(Plan!$K$5:$K$57&lt;O$5)*(Plan!$L$5:$L$57&gt;=O$5)*(ROW(Plan!$A$5:$A$57)-4))))</f>
        <v/>
      </c>
      <c r="P7" s="26">
        <f>IF(SUMPRODUCT(((Plan!$I$5:$I$57="B")+(Plan!$I$5:$I$57="A+B"))*(Plan!$K$5:$K$57&lt;P$5)*(Plan!$L$5:$L$57&gt;=P$5))=0,"",INDEX(Plan!$A$5:$A$57,SUMPRODUCT(((Plan!$I$5:$I$57="B")+(Plan!$I$5:$I$57="A+B"))*(Plan!$K$5:$K$57&lt;P$5)*(Plan!$L$5:$L$57&gt;=P$5)*(ROW(Plan!$A$5:$A$57)-4))))</f>
        <v/>
      </c>
      <c r="Q7" s="26">
        <f>IF(SUMPRODUCT(((Plan!$I$5:$I$57="B")+(Plan!$I$5:$I$57="A+B"))*(Plan!$K$5:$K$57&lt;Q$5)*(Plan!$L$5:$L$57&gt;=Q$5))=0,"",INDEX(Plan!$A$5:$A$57,SUMPRODUCT(((Plan!$I$5:$I$57="B")+(Plan!$I$5:$I$57="A+B"))*(Plan!$K$5:$K$57&lt;Q$5)*(Plan!$L$5:$L$57&gt;=Q$5)*(ROW(Plan!$A$5:$A$57)-4))))</f>
        <v/>
      </c>
      <c r="R7" s="26">
        <f>IF(SUMPRODUCT(((Plan!$I$5:$I$57="B")+(Plan!$I$5:$I$57="A+B"))*(Plan!$K$5:$K$57&lt;R$5)*(Plan!$L$5:$L$57&gt;=R$5))=0,"",INDEX(Plan!$A$5:$A$57,SUMPRODUCT(((Plan!$I$5:$I$57="B")+(Plan!$I$5:$I$57="A+B"))*(Plan!$K$5:$K$57&lt;R$5)*(Plan!$L$5:$L$57&gt;=R$5)*(ROW(Plan!$A$5:$A$57)-4))))</f>
        <v/>
      </c>
      <c r="S7" s="26">
        <f>IF(SUMPRODUCT(((Plan!$I$5:$I$57="B")+(Plan!$I$5:$I$57="A+B"))*(Plan!$K$5:$K$57&lt;S$5)*(Plan!$L$5:$L$57&gt;=S$5))=0,"",INDEX(Plan!$A$5:$A$57,SUMPRODUCT(((Plan!$I$5:$I$57="B")+(Plan!$I$5:$I$57="A+B"))*(Plan!$K$5:$K$57&lt;S$5)*(Plan!$L$5:$L$57&gt;=S$5)*(ROW(Plan!$A$5:$A$57)-4))))</f>
        <v/>
      </c>
      <c r="T7" s="26">
        <f>IF(SUMPRODUCT(((Plan!$I$5:$I$57="B")+(Plan!$I$5:$I$57="A+B"))*(Plan!$K$5:$K$57&lt;T$5)*(Plan!$L$5:$L$57&gt;=T$5))=0,"",INDEX(Plan!$A$5:$A$57,SUMPRODUCT(((Plan!$I$5:$I$57="B")+(Plan!$I$5:$I$57="A+B"))*(Plan!$K$5:$K$57&lt;T$5)*(Plan!$L$5:$L$57&gt;=T$5)*(ROW(Plan!$A$5:$A$57)-4))))</f>
        <v/>
      </c>
      <c r="U7" s="26">
        <f>IF(SUMPRODUCT(((Plan!$I$5:$I$57="B")+(Plan!$I$5:$I$57="A+B"))*(Plan!$K$5:$K$57&lt;U$5)*(Plan!$L$5:$L$57&gt;=U$5))=0,"",INDEX(Plan!$A$5:$A$57,SUMPRODUCT(((Plan!$I$5:$I$57="B")+(Plan!$I$5:$I$57="A+B"))*(Plan!$K$5:$K$57&lt;U$5)*(Plan!$L$5:$L$57&gt;=U$5)*(ROW(Plan!$A$5:$A$57)-4))))</f>
        <v/>
      </c>
      <c r="V7" s="26">
        <f>IF(SUMPRODUCT(((Plan!$I$5:$I$57="B")+(Plan!$I$5:$I$57="A+B"))*(Plan!$K$5:$K$57&lt;V$5)*(Plan!$L$5:$L$57&gt;=V$5))=0,"",INDEX(Plan!$A$5:$A$57,SUMPRODUCT(((Plan!$I$5:$I$57="B")+(Plan!$I$5:$I$57="A+B"))*(Plan!$K$5:$K$57&lt;V$5)*(Plan!$L$5:$L$57&gt;=V$5)*(ROW(Plan!$A$5:$A$57)-4))))</f>
        <v/>
      </c>
      <c r="W7" s="26">
        <f>IF(SUMPRODUCT(((Plan!$I$5:$I$57="B")+(Plan!$I$5:$I$57="A+B"))*(Plan!$K$5:$K$57&lt;W$5)*(Plan!$L$5:$L$57&gt;=W$5))=0,"",INDEX(Plan!$A$5:$A$57,SUMPRODUCT(((Plan!$I$5:$I$57="B")+(Plan!$I$5:$I$57="A+B"))*(Plan!$K$5:$K$57&lt;W$5)*(Plan!$L$5:$L$57&gt;=W$5)*(ROW(Plan!$A$5:$A$57)-4))))</f>
        <v/>
      </c>
      <c r="X7" s="26">
        <f>IF(SUMPRODUCT(((Plan!$I$5:$I$57="B")+(Plan!$I$5:$I$57="A+B"))*(Plan!$K$5:$K$57&lt;X$5)*(Plan!$L$5:$L$57&gt;=X$5))=0,"",INDEX(Plan!$A$5:$A$57,SUMPRODUCT(((Plan!$I$5:$I$57="B")+(Plan!$I$5:$I$57="A+B"))*(Plan!$K$5:$K$57&lt;X$5)*(Plan!$L$5:$L$57&gt;=X$5)*(ROW(Plan!$A$5:$A$57)-4))))</f>
        <v/>
      </c>
      <c r="Y7" s="26">
        <f>IF(SUMPRODUCT(((Plan!$I$5:$I$57="B")+(Plan!$I$5:$I$57="A+B"))*(Plan!$K$5:$K$57&lt;Y$5)*(Plan!$L$5:$L$57&gt;=Y$5))=0,"",INDEX(Plan!$A$5:$A$57,SUMPRODUCT(((Plan!$I$5:$I$57="B")+(Plan!$I$5:$I$57="A+B"))*(Plan!$K$5:$K$57&lt;Y$5)*(Plan!$L$5:$L$57&gt;=Y$5)*(ROW(Plan!$A$5:$A$57)-4))))</f>
        <v/>
      </c>
      <c r="Z7" s="26">
        <f>IF(SUMPRODUCT(((Plan!$I$5:$I$57="B")+(Plan!$I$5:$I$57="A+B"))*(Plan!$K$5:$K$57&lt;Z$5)*(Plan!$L$5:$L$57&gt;=Z$5))=0,"",INDEX(Plan!$A$5:$A$57,SUMPRODUCT(((Plan!$I$5:$I$57="B")+(Plan!$I$5:$I$57="A+B"))*(Plan!$K$5:$K$57&lt;Z$5)*(Plan!$L$5:$L$57&gt;=Z$5)*(ROW(Plan!$A$5:$A$57)-4))))</f>
        <v/>
      </c>
      <c r="AA7" s="26">
        <f>IF(SUMPRODUCT(((Plan!$I$5:$I$57="B")+(Plan!$I$5:$I$57="A+B"))*(Plan!$K$5:$K$57&lt;AA$5)*(Plan!$L$5:$L$57&gt;=AA$5))=0,"",INDEX(Plan!$A$5:$A$57,SUMPRODUCT(((Plan!$I$5:$I$57="B")+(Plan!$I$5:$I$57="A+B"))*(Plan!$K$5:$K$57&lt;AA$5)*(Plan!$L$5:$L$57&gt;=AA$5)*(ROW(Plan!$A$5:$A$57)-4))))</f>
        <v/>
      </c>
      <c r="AB7" s="26">
        <f>IF(SUMPRODUCT(((Plan!$I$5:$I$57="B")+(Plan!$I$5:$I$57="A+B"))*(Plan!$K$5:$K$57&lt;AB$5)*(Plan!$L$5:$L$57&gt;=AB$5))=0,"",INDEX(Plan!$A$5:$A$57,SUMPRODUCT(((Plan!$I$5:$I$57="B")+(Plan!$I$5:$I$57="A+B"))*(Plan!$K$5:$K$57&lt;AB$5)*(Plan!$L$5:$L$57&gt;=AB$5)*(ROW(Plan!$A$5:$A$57)-4))))</f>
        <v/>
      </c>
      <c r="AC7" s="26">
        <f>IF(SUMPRODUCT(((Plan!$I$5:$I$57="B")+(Plan!$I$5:$I$57="A+B"))*(Plan!$K$5:$K$57&lt;AC$5)*(Plan!$L$5:$L$57&gt;=AC$5))=0,"",INDEX(Plan!$A$5:$A$57,SUMPRODUCT(((Plan!$I$5:$I$57="B")+(Plan!$I$5:$I$57="A+B"))*(Plan!$K$5:$K$57&lt;AC$5)*(Plan!$L$5:$L$57&gt;=AC$5)*(ROW(Plan!$A$5:$A$57)-4))))</f>
        <v/>
      </c>
      <c r="AD7" s="26">
        <f>IF(SUMPRODUCT(((Plan!$I$5:$I$57="B")+(Plan!$I$5:$I$57="A+B"))*(Plan!$K$5:$K$57&lt;AD$5)*(Plan!$L$5:$L$57&gt;=AD$5))=0,"",INDEX(Plan!$A$5:$A$57,SUMPRODUCT(((Plan!$I$5:$I$57="B")+(Plan!$I$5:$I$57="A+B"))*(Plan!$K$5:$K$57&lt;AD$5)*(Plan!$L$5:$L$57&gt;=AD$5)*(ROW(Plan!$A$5:$A$57)-4))))</f>
        <v/>
      </c>
      <c r="AE7" s="26">
        <f>IF(SUMPRODUCT(((Plan!$I$5:$I$57="B")+(Plan!$I$5:$I$57="A+B"))*(Plan!$K$5:$K$57&lt;AE$5)*(Plan!$L$5:$L$57&gt;=AE$5))=0,"",INDEX(Plan!$A$5:$A$57,SUMPRODUCT(((Plan!$I$5:$I$57="B")+(Plan!$I$5:$I$57="A+B"))*(Plan!$K$5:$K$57&lt;AE$5)*(Plan!$L$5:$L$57&gt;=AE$5)*(ROW(Plan!$A$5:$A$57)-4))))</f>
        <v/>
      </c>
      <c r="AF7" s="26">
        <f>IF(SUMPRODUCT(((Plan!$I$5:$I$57="B")+(Plan!$I$5:$I$57="A+B"))*(Plan!$K$5:$K$57&lt;AF$5)*(Plan!$L$5:$L$57&gt;=AF$5))=0,"",INDEX(Plan!$A$5:$A$57,SUMPRODUCT(((Plan!$I$5:$I$57="B")+(Plan!$I$5:$I$57="A+B"))*(Plan!$K$5:$K$57&lt;AF$5)*(Plan!$L$5:$L$57&gt;=AF$5)*(ROW(Plan!$A$5:$A$57)-4))))</f>
        <v/>
      </c>
      <c r="AG7" s="26">
        <f>IF(SUMPRODUCT(((Plan!$I$5:$I$57="B")+(Plan!$I$5:$I$57="A+B"))*(Plan!$K$5:$K$57&lt;AG$5)*(Plan!$L$5:$L$57&gt;=AG$5))=0,"",INDEX(Plan!$A$5:$A$57,SUMPRODUCT(((Plan!$I$5:$I$57="B")+(Plan!$I$5:$I$57="A+B"))*(Plan!$K$5:$K$57&lt;AG$5)*(Plan!$L$5:$L$57&gt;=AG$5)*(ROW(Plan!$A$5:$A$57)-4))))</f>
        <v/>
      </c>
      <c r="AH7" s="26">
        <f>IF(SUMPRODUCT(((Plan!$I$5:$I$57="B")+(Plan!$I$5:$I$57="A+B"))*(Plan!$K$5:$K$57&lt;AH$5)*(Plan!$L$5:$L$57&gt;=AH$5))=0,"",INDEX(Plan!$A$5:$A$57,SUMPRODUCT(((Plan!$I$5:$I$57="B")+(Plan!$I$5:$I$57="A+B"))*(Plan!$K$5:$K$57&lt;AH$5)*(Plan!$L$5:$L$57&gt;=AH$5)*(ROW(Plan!$A$5:$A$57)-4))))</f>
        <v/>
      </c>
      <c r="AI7" s="26">
        <f>IF(SUMPRODUCT(((Plan!$I$5:$I$57="B")+(Plan!$I$5:$I$57="A+B"))*(Plan!$K$5:$K$57&lt;AI$5)*(Plan!$L$5:$L$57&gt;=AI$5))=0,"",INDEX(Plan!$A$5:$A$57,SUMPRODUCT(((Plan!$I$5:$I$57="B")+(Plan!$I$5:$I$57="A+B"))*(Plan!$K$5:$K$57&lt;AI$5)*(Plan!$L$5:$L$57&gt;=AI$5)*(ROW(Plan!$A$5:$A$57)-4))))</f>
        <v/>
      </c>
      <c r="AJ7" s="26">
        <f>IF(SUMPRODUCT(((Plan!$I$5:$I$57="B")+(Plan!$I$5:$I$57="A+B"))*(Plan!$K$5:$K$57&lt;AJ$5)*(Plan!$L$5:$L$57&gt;=AJ$5))=0,"",INDEX(Plan!$A$5:$A$57,SUMPRODUCT(((Plan!$I$5:$I$57="B")+(Plan!$I$5:$I$57="A+B"))*(Plan!$K$5:$K$57&lt;AJ$5)*(Plan!$L$5:$L$57&gt;=AJ$5)*(ROW(Plan!$A$5:$A$57)-4))))</f>
        <v/>
      </c>
      <c r="AK7" s="26">
        <f>IF(SUMPRODUCT(((Plan!$I$5:$I$57="B")+(Plan!$I$5:$I$57="A+B"))*(Plan!$K$5:$K$57&lt;AK$5)*(Plan!$L$5:$L$57&gt;=AK$5))=0,"",INDEX(Plan!$A$5:$A$57,SUMPRODUCT(((Plan!$I$5:$I$57="B")+(Plan!$I$5:$I$57="A+B"))*(Plan!$K$5:$K$57&lt;AK$5)*(Plan!$L$5:$L$57&gt;=AK$5)*(ROW(Plan!$A$5:$A$57)-4))))</f>
        <v/>
      </c>
      <c r="AL7" s="26">
        <f>IF(SUMPRODUCT(((Plan!$I$5:$I$57="B")+(Plan!$I$5:$I$57="A+B"))*(Plan!$K$5:$K$57&lt;AL$5)*(Plan!$L$5:$L$57&gt;=AL$5))=0,"",INDEX(Plan!$A$5:$A$57,SUMPRODUCT(((Plan!$I$5:$I$57="B")+(Plan!$I$5:$I$57="A+B"))*(Plan!$K$5:$K$57&lt;AL$5)*(Plan!$L$5:$L$57&gt;=AL$5)*(ROW(Plan!$A$5:$A$57)-4))))</f>
        <v/>
      </c>
      <c r="AM7" s="26">
        <f>IF(SUMPRODUCT(((Plan!$I$5:$I$57="B")+(Plan!$I$5:$I$57="A+B"))*(Plan!$K$5:$K$57&lt;AM$5)*(Plan!$L$5:$L$57&gt;=AM$5))=0,"",INDEX(Plan!$A$5:$A$57,SUMPRODUCT(((Plan!$I$5:$I$57="B")+(Plan!$I$5:$I$57="A+B"))*(Plan!$K$5:$K$57&lt;AM$5)*(Plan!$L$5:$L$57&gt;=AM$5)*(ROW(Plan!$A$5:$A$57)-4))))</f>
        <v/>
      </c>
      <c r="AN7" s="26">
        <f>IF(SUMPRODUCT(((Plan!$I$5:$I$57="B")+(Plan!$I$5:$I$57="A+B"))*(Plan!$K$5:$K$57&lt;AN$5)*(Plan!$L$5:$L$57&gt;=AN$5))=0,"",INDEX(Plan!$A$5:$A$57,SUMPRODUCT(((Plan!$I$5:$I$57="B")+(Plan!$I$5:$I$57="A+B"))*(Plan!$K$5:$K$57&lt;AN$5)*(Plan!$L$5:$L$57&gt;=AN$5)*(ROW(Plan!$A$5:$A$57)-4))))</f>
        <v/>
      </c>
      <c r="AO7" s="26">
        <f>IF(SUMPRODUCT(((Plan!$I$5:$I$57="B")+(Plan!$I$5:$I$57="A+B"))*(Plan!$K$5:$K$57&lt;AO$5)*(Plan!$L$5:$L$57&gt;=AO$5))=0,"",INDEX(Plan!$A$5:$A$57,SUMPRODUCT(((Plan!$I$5:$I$57="B")+(Plan!$I$5:$I$57="A+B"))*(Plan!$K$5:$K$57&lt;AO$5)*(Plan!$L$5:$L$57&gt;=AO$5)*(ROW(Plan!$A$5:$A$57)-4))))</f>
        <v/>
      </c>
      <c r="AP7" s="26">
        <f>IF(SUMPRODUCT(((Plan!$I$5:$I$57="B")+(Plan!$I$5:$I$57="A+B"))*(Plan!$K$5:$K$57&lt;AP$5)*(Plan!$L$5:$L$57&gt;=AP$5))=0,"",INDEX(Plan!$A$5:$A$57,SUMPRODUCT(((Plan!$I$5:$I$57="B")+(Plan!$I$5:$I$57="A+B"))*(Plan!$K$5:$K$57&lt;AP$5)*(Plan!$L$5:$L$57&gt;=AP$5)*(ROW(Plan!$A$5:$A$57)-4))))</f>
        <v/>
      </c>
      <c r="AQ7" s="26">
        <f>IF(SUMPRODUCT(((Plan!$I$5:$I$57="B")+(Plan!$I$5:$I$57="A+B"))*(Plan!$K$5:$K$57&lt;AQ$5)*(Plan!$L$5:$L$57&gt;=AQ$5))=0,"",INDEX(Plan!$A$5:$A$57,SUMPRODUCT(((Plan!$I$5:$I$57="B")+(Plan!$I$5:$I$57="A+B"))*(Plan!$K$5:$K$57&lt;AQ$5)*(Plan!$L$5:$L$57&gt;=AQ$5)*(ROW(Plan!$A$5:$A$57)-4))))</f>
        <v/>
      </c>
      <c r="AR7" s="26">
        <f>IF(SUMPRODUCT(((Plan!$I$5:$I$57="B")+(Plan!$I$5:$I$57="A+B"))*(Plan!$K$5:$K$57&lt;AR$5)*(Plan!$L$5:$L$57&gt;=AR$5))=0,"",INDEX(Plan!$A$5:$A$57,SUMPRODUCT(((Plan!$I$5:$I$57="B")+(Plan!$I$5:$I$57="A+B"))*(Plan!$K$5:$K$57&lt;AR$5)*(Plan!$L$5:$L$57&gt;=AR$5)*(ROW(Plan!$A$5:$A$57)-4))))</f>
        <v/>
      </c>
      <c r="AS7" s="26">
        <f>IF(SUMPRODUCT(((Plan!$I$5:$I$57="B")+(Plan!$I$5:$I$57="A+B"))*(Plan!$K$5:$K$57&lt;AS$5)*(Plan!$L$5:$L$57&gt;=AS$5))=0,"",INDEX(Plan!$A$5:$A$57,SUMPRODUCT(((Plan!$I$5:$I$57="B")+(Plan!$I$5:$I$57="A+B"))*(Plan!$K$5:$K$57&lt;AS$5)*(Plan!$L$5:$L$57&gt;=AS$5)*(ROW(Plan!$A$5:$A$57)-4))))</f>
        <v/>
      </c>
      <c r="AT7" s="26">
        <f>IF(SUMPRODUCT(((Plan!$I$5:$I$57="B")+(Plan!$I$5:$I$57="A+B"))*(Plan!$K$5:$K$57&lt;AT$5)*(Plan!$L$5:$L$57&gt;=AT$5))=0,"",INDEX(Plan!$A$5:$A$57,SUMPRODUCT(((Plan!$I$5:$I$57="B")+(Plan!$I$5:$I$57="A+B"))*(Plan!$K$5:$K$57&lt;AT$5)*(Plan!$L$5:$L$57&gt;=AT$5)*(ROW(Plan!$A$5:$A$57)-4))))</f>
        <v/>
      </c>
      <c r="AU7" s="26">
        <f>IF(SUMPRODUCT(((Plan!$I$5:$I$57="B")+(Plan!$I$5:$I$57="A+B"))*(Plan!$K$5:$K$57&lt;AU$5)*(Plan!$L$5:$L$57&gt;=AU$5))=0,"",INDEX(Plan!$A$5:$A$57,SUMPRODUCT(((Plan!$I$5:$I$57="B")+(Plan!$I$5:$I$57="A+B"))*(Plan!$K$5:$K$57&lt;AU$5)*(Plan!$L$5:$L$57&gt;=AU$5)*(ROW(Plan!$A$5:$A$57)-4))))</f>
        <v/>
      </c>
      <c r="AV7" s="26">
        <f>IF(SUMPRODUCT(((Plan!$I$5:$I$57="B")+(Plan!$I$5:$I$57="A+B"))*(Plan!$K$5:$K$57&lt;AV$5)*(Plan!$L$5:$L$57&gt;=AV$5))=0,"",INDEX(Plan!$A$5:$A$57,SUMPRODUCT(((Plan!$I$5:$I$57="B")+(Plan!$I$5:$I$57="A+B"))*(Plan!$K$5:$K$57&lt;AV$5)*(Plan!$L$5:$L$57&gt;=AV$5)*(ROW(Plan!$A$5:$A$57)-4))))</f>
        <v/>
      </c>
      <c r="AW7" s="26">
        <f>IF(SUMPRODUCT(((Plan!$I$5:$I$57="B")+(Plan!$I$5:$I$57="A+B"))*(Plan!$K$5:$K$57&lt;AW$5)*(Plan!$L$5:$L$57&gt;=AW$5))=0,"",INDEX(Plan!$A$5:$A$57,SUMPRODUCT(((Plan!$I$5:$I$57="B")+(Plan!$I$5:$I$57="A+B"))*(Plan!$K$5:$K$57&lt;AW$5)*(Plan!$L$5:$L$57&gt;=AW$5)*(ROW(Plan!$A$5:$A$57)-4))))</f>
        <v/>
      </c>
      <c r="AX7" s="26">
        <f>IF(SUMPRODUCT(((Plan!$I$5:$I$57="B")+(Plan!$I$5:$I$57="A+B"))*(Plan!$K$5:$K$57&lt;AX$5)*(Plan!$L$5:$L$57&gt;=AX$5))=0,"",INDEX(Plan!$A$5:$A$57,SUMPRODUCT(((Plan!$I$5:$I$57="B")+(Plan!$I$5:$I$57="A+B"))*(Plan!$K$5:$K$57&lt;AX$5)*(Plan!$L$5:$L$57&gt;=AX$5)*(ROW(Plan!$A$5:$A$57)-4))))</f>
        <v/>
      </c>
      <c r="AY7" s="26">
        <f>IF(SUMPRODUCT(((Plan!$I$5:$I$57="B")+(Plan!$I$5:$I$57="A+B"))*(Plan!$K$5:$K$57&lt;AY$5)*(Plan!$L$5:$L$57&gt;=AY$5))=0,"",INDEX(Plan!$A$5:$A$57,SUMPRODUCT(((Plan!$I$5:$I$57="B")+(Plan!$I$5:$I$57="A+B"))*(Plan!$K$5:$K$57&lt;AY$5)*(Plan!$L$5:$L$57&gt;=AY$5)*(ROW(Plan!$A$5:$A$57)-4))))</f>
        <v/>
      </c>
      <c r="AZ7" s="26">
        <f>IF(SUMPRODUCT(((Plan!$I$5:$I$57="B")+(Plan!$I$5:$I$57="A+B"))*(Plan!$K$5:$K$57&lt;AZ$5)*(Plan!$L$5:$L$57&gt;=AZ$5))=0,"",INDEX(Plan!$A$5:$A$57,SUMPRODUCT(((Plan!$I$5:$I$57="B")+(Plan!$I$5:$I$57="A+B"))*(Plan!$K$5:$K$57&lt;AZ$5)*(Plan!$L$5:$L$57&gt;=AZ$5)*(ROW(Plan!$A$5:$A$57)-4))))</f>
        <v/>
      </c>
      <c r="BA7" s="26">
        <f>IF(SUMPRODUCT(((Plan!$I$5:$I$57="B")+(Plan!$I$5:$I$57="A+B"))*(Plan!$K$5:$K$57&lt;BA$5)*(Plan!$L$5:$L$57&gt;=BA$5))=0,"",INDEX(Plan!$A$5:$A$57,SUMPRODUCT(((Plan!$I$5:$I$57="B")+(Plan!$I$5:$I$57="A+B"))*(Plan!$K$5:$K$57&lt;BA$5)*(Plan!$L$5:$L$57&gt;=BA$5)*(ROW(Plan!$A$5:$A$57)-4))))</f>
        <v/>
      </c>
      <c r="BB7" s="26">
        <f>IF(SUMPRODUCT(((Plan!$I$5:$I$57="B")+(Plan!$I$5:$I$57="A+B"))*(Plan!$K$5:$K$57&lt;BB$5)*(Plan!$L$5:$L$57&gt;=BB$5))=0,"",INDEX(Plan!$A$5:$A$57,SUMPRODUCT(((Plan!$I$5:$I$57="B")+(Plan!$I$5:$I$57="A+B"))*(Plan!$K$5:$K$57&lt;BB$5)*(Plan!$L$5:$L$57&gt;=BB$5)*(ROW(Plan!$A$5:$A$57)-4))))</f>
        <v/>
      </c>
      <c r="BC7" s="26">
        <f>IF(SUMPRODUCT(((Plan!$I$5:$I$57="B")+(Plan!$I$5:$I$57="A+B"))*(Plan!$K$5:$K$57&lt;BC$5)*(Plan!$L$5:$L$57&gt;=BC$5))=0,"",INDEX(Plan!$A$5:$A$57,SUMPRODUCT(((Plan!$I$5:$I$57="B")+(Plan!$I$5:$I$57="A+B"))*(Plan!$K$5:$K$57&lt;BC$5)*(Plan!$L$5:$L$57&gt;=BC$5)*(ROW(Plan!$A$5:$A$57)-4))))</f>
        <v/>
      </c>
      <c r="BD7" s="26">
        <f>IF(SUMPRODUCT(((Plan!$I$5:$I$57="B")+(Plan!$I$5:$I$57="A+B"))*(Plan!$K$5:$K$57&lt;BD$5)*(Plan!$L$5:$L$57&gt;=BD$5))=0,"",INDEX(Plan!$A$5:$A$57,SUMPRODUCT(((Plan!$I$5:$I$57="B")+(Plan!$I$5:$I$57="A+B"))*(Plan!$K$5:$K$57&lt;BD$5)*(Plan!$L$5:$L$57&gt;=BD$5)*(ROW(Plan!$A$5:$A$57)-4))))</f>
        <v/>
      </c>
      <c r="BE7" s="26">
        <f>IF(SUMPRODUCT(((Plan!$I$5:$I$57="B")+(Plan!$I$5:$I$57="A+B"))*(Plan!$K$5:$K$57&lt;BE$5)*(Plan!$L$5:$L$57&gt;=BE$5))=0,"",INDEX(Plan!$A$5:$A$57,SUMPRODUCT(((Plan!$I$5:$I$57="B")+(Plan!$I$5:$I$57="A+B"))*(Plan!$K$5:$K$57&lt;BE$5)*(Plan!$L$5:$L$57&gt;=BE$5)*(ROW(Plan!$A$5:$A$57)-4))))</f>
        <v/>
      </c>
      <c r="BF7" s="26">
        <f>IF(SUMPRODUCT(((Plan!$I$5:$I$57="B")+(Plan!$I$5:$I$57="A+B"))*(Plan!$K$5:$K$57&lt;BF$5)*(Plan!$L$5:$L$57&gt;=BF$5))=0,"",INDEX(Plan!$A$5:$A$57,SUMPRODUCT(((Plan!$I$5:$I$57="B")+(Plan!$I$5:$I$57="A+B"))*(Plan!$K$5:$K$57&lt;BF$5)*(Plan!$L$5:$L$57&gt;=BF$5)*(ROW(Plan!$A$5:$A$57)-4))))</f>
        <v/>
      </c>
      <c r="BG7" s="26">
        <f>IF(SUMPRODUCT(((Plan!$I$5:$I$57="B")+(Plan!$I$5:$I$57="A+B"))*(Plan!$K$5:$K$57&lt;BG$5)*(Plan!$L$5:$L$57&gt;=BG$5))=0,"",INDEX(Plan!$A$5:$A$57,SUMPRODUCT(((Plan!$I$5:$I$57="B")+(Plan!$I$5:$I$57="A+B"))*(Plan!$K$5:$K$57&lt;BG$5)*(Plan!$L$5:$L$57&gt;=BG$5)*(ROW(Plan!$A$5:$A$57)-4))))</f>
        <v/>
      </c>
      <c r="BH7" s="26">
        <f>IF(SUMPRODUCT(((Plan!$I$5:$I$57="B")+(Plan!$I$5:$I$57="A+B"))*(Plan!$K$5:$K$57&lt;BH$5)*(Plan!$L$5:$L$57&gt;=BH$5))=0,"",INDEX(Plan!$A$5:$A$57,SUMPRODUCT(((Plan!$I$5:$I$57="B")+(Plan!$I$5:$I$57="A+B"))*(Plan!$K$5:$K$57&lt;BH$5)*(Plan!$L$5:$L$57&gt;=BH$5)*(ROW(Plan!$A$5:$A$57)-4))))</f>
        <v/>
      </c>
      <c r="BI7" s="26">
        <f>IF(SUMPRODUCT(((Plan!$I$5:$I$57="B")+(Plan!$I$5:$I$57="A+B"))*(Plan!$K$5:$K$57&lt;BI$5)*(Plan!$L$5:$L$57&gt;=BI$5))=0,"",INDEX(Plan!$A$5:$A$57,SUMPRODUCT(((Plan!$I$5:$I$57="B")+(Plan!$I$5:$I$57="A+B"))*(Plan!$K$5:$K$57&lt;BI$5)*(Plan!$L$5:$L$57&gt;=BI$5)*(ROW(Plan!$A$5:$A$57)-4))))</f>
        <v/>
      </c>
      <c r="BJ7" s="26">
        <f>IF(SUMPRODUCT(((Plan!$I$5:$I$57="B")+(Plan!$I$5:$I$57="A+B"))*(Plan!$K$5:$K$57&lt;BJ$5)*(Plan!$L$5:$L$57&gt;=BJ$5))=0,"",INDEX(Plan!$A$5:$A$57,SUMPRODUCT(((Plan!$I$5:$I$57="B")+(Plan!$I$5:$I$57="A+B"))*(Plan!$K$5:$K$57&lt;BJ$5)*(Plan!$L$5:$L$57&gt;=BJ$5)*(ROW(Plan!$A$5:$A$57)-4))))</f>
        <v/>
      </c>
      <c r="BK7" s="26">
        <f>IF(SUMPRODUCT(((Plan!$I$5:$I$57="B")+(Plan!$I$5:$I$57="A+B"))*(Plan!$K$5:$K$57&lt;BK$5)*(Plan!$L$5:$L$57&gt;=BK$5))=0,"",INDEX(Plan!$A$5:$A$57,SUMPRODUCT(((Plan!$I$5:$I$57="B")+(Plan!$I$5:$I$57="A+B"))*(Plan!$K$5:$K$57&lt;BK$5)*(Plan!$L$5:$L$57&gt;=BK$5)*(ROW(Plan!$A$5:$A$57)-4))))</f>
        <v/>
      </c>
      <c r="BL7" s="26">
        <f>IF(SUMPRODUCT(((Plan!$I$5:$I$57="B")+(Plan!$I$5:$I$57="A+B"))*(Plan!$K$5:$K$57&lt;BL$5)*(Plan!$L$5:$L$57&gt;=BL$5))=0,"",INDEX(Plan!$A$5:$A$57,SUMPRODUCT(((Plan!$I$5:$I$57="B")+(Plan!$I$5:$I$57="A+B"))*(Plan!$K$5:$K$57&lt;BL$5)*(Plan!$L$5:$L$57&gt;=BL$5)*(ROW(Plan!$A$5:$A$57)-4))))</f>
        <v/>
      </c>
      <c r="BM7" s="26">
        <f>IF(SUMPRODUCT(((Plan!$I$5:$I$57="B")+(Plan!$I$5:$I$57="A+B"))*(Plan!$K$5:$K$57&lt;BM$5)*(Plan!$L$5:$L$57&gt;=BM$5))=0,"",INDEX(Plan!$A$5:$A$57,SUMPRODUCT(((Plan!$I$5:$I$57="B")+(Plan!$I$5:$I$57="A+B"))*(Plan!$K$5:$K$57&lt;BM$5)*(Plan!$L$5:$L$57&gt;=BM$5)*(ROW(Plan!$A$5:$A$57)-4))))</f>
        <v/>
      </c>
      <c r="BN7" s="26">
        <f>IF(SUMPRODUCT(((Plan!$I$5:$I$57="B")+(Plan!$I$5:$I$57="A+B"))*(Plan!$K$5:$K$57&lt;BN$5)*(Plan!$L$5:$L$57&gt;=BN$5))=0,"",INDEX(Plan!$A$5:$A$57,SUMPRODUCT(((Plan!$I$5:$I$57="B")+(Plan!$I$5:$I$57="A+B"))*(Plan!$K$5:$K$57&lt;BN$5)*(Plan!$L$5:$L$57&gt;=BN$5)*(ROW(Plan!$A$5:$A$57)-4))))</f>
        <v/>
      </c>
      <c r="BO7" s="26">
        <f>IF(SUMPRODUCT(((Plan!$I$5:$I$57="B")+(Plan!$I$5:$I$57="A+B"))*(Plan!$K$5:$K$57&lt;BO$5)*(Plan!$L$5:$L$57&gt;=BO$5))=0,"",INDEX(Plan!$A$5:$A$57,SUMPRODUCT(((Plan!$I$5:$I$57="B")+(Plan!$I$5:$I$57="A+B"))*(Plan!$K$5:$K$57&lt;BO$5)*(Plan!$L$5:$L$57&gt;=BO$5)*(ROW(Plan!$A$5:$A$57)-4))))</f>
        <v/>
      </c>
      <c r="BP7" s="26">
        <f>IF(SUMPRODUCT(((Plan!$I$5:$I$57="B")+(Plan!$I$5:$I$57="A+B"))*(Plan!$K$5:$K$57&lt;BP$5)*(Plan!$L$5:$L$57&gt;=BP$5))=0,"",INDEX(Plan!$A$5:$A$57,SUMPRODUCT(((Plan!$I$5:$I$57="B")+(Plan!$I$5:$I$57="A+B"))*(Plan!$K$5:$K$57&lt;BP$5)*(Plan!$L$5:$L$57&gt;=BP$5)*(ROW(Plan!$A$5:$A$57)-4))))</f>
        <v/>
      </c>
      <c r="BQ7" s="26">
        <f>IF(SUMPRODUCT(((Plan!$I$5:$I$57="B")+(Plan!$I$5:$I$57="A+B"))*(Plan!$K$5:$K$57&lt;BQ$5)*(Plan!$L$5:$L$57&gt;=BQ$5))=0,"",INDEX(Plan!$A$5:$A$57,SUMPRODUCT(((Plan!$I$5:$I$57="B")+(Plan!$I$5:$I$57="A+B"))*(Plan!$K$5:$K$57&lt;BQ$5)*(Plan!$L$5:$L$57&gt;=BQ$5)*(ROW(Plan!$A$5:$A$57)-4))))</f>
        <v/>
      </c>
      <c r="BR7" s="26">
        <f>IF(SUMPRODUCT(((Plan!$I$5:$I$57="B")+(Plan!$I$5:$I$57="A+B"))*(Plan!$K$5:$K$57&lt;BR$5)*(Plan!$L$5:$L$57&gt;=BR$5))=0,"",INDEX(Plan!$A$5:$A$57,SUMPRODUCT(((Plan!$I$5:$I$57="B")+(Plan!$I$5:$I$57="A+B"))*(Plan!$K$5:$K$57&lt;BR$5)*(Plan!$L$5:$L$57&gt;=BR$5)*(ROW(Plan!$A$5:$A$57)-4))))</f>
        <v/>
      </c>
      <c r="BS7" s="26">
        <f>IF(SUMPRODUCT(((Plan!$I$5:$I$57="B")+(Plan!$I$5:$I$57="A+B"))*(Plan!$K$5:$K$57&lt;BS$5)*(Plan!$L$5:$L$57&gt;=BS$5))=0,"",INDEX(Plan!$A$5:$A$57,SUMPRODUCT(((Plan!$I$5:$I$57="B")+(Plan!$I$5:$I$57="A+B"))*(Plan!$K$5:$K$57&lt;BS$5)*(Plan!$L$5:$L$57&gt;=BS$5)*(ROW(Plan!$A$5:$A$57)-4))))</f>
        <v/>
      </c>
      <c r="BT7" s="26">
        <f>IF(SUMPRODUCT(((Plan!$I$5:$I$57="B")+(Plan!$I$5:$I$57="A+B"))*(Plan!$K$5:$K$57&lt;BT$5)*(Plan!$L$5:$L$57&gt;=BT$5))=0,"",INDEX(Plan!$A$5:$A$57,SUMPRODUCT(((Plan!$I$5:$I$57="B")+(Plan!$I$5:$I$57="A+B"))*(Plan!$K$5:$K$57&lt;BT$5)*(Plan!$L$5:$L$57&gt;=BT$5)*(ROW(Plan!$A$5:$A$57)-4))))</f>
        <v/>
      </c>
      <c r="BU7" s="26">
        <f>IF(SUMPRODUCT(((Plan!$I$5:$I$57="B")+(Plan!$I$5:$I$57="A+B"))*(Plan!$K$5:$K$57&lt;BU$5)*(Plan!$L$5:$L$57&gt;=BU$5))=0,"",INDEX(Plan!$A$5:$A$57,SUMPRODUCT(((Plan!$I$5:$I$57="B")+(Plan!$I$5:$I$57="A+B"))*(Plan!$K$5:$K$57&lt;BU$5)*(Plan!$L$5:$L$57&gt;=BU$5)*(ROW(Plan!$A$5:$A$57)-4))))</f>
        <v/>
      </c>
      <c r="BV7" s="26">
        <f>IF(SUMPRODUCT(((Plan!$I$5:$I$57="B")+(Plan!$I$5:$I$57="A+B"))*(Plan!$K$5:$K$57&lt;BV$5)*(Plan!$L$5:$L$57&gt;=BV$5))=0,"",INDEX(Plan!$A$5:$A$57,SUMPRODUCT(((Plan!$I$5:$I$57="B")+(Plan!$I$5:$I$57="A+B"))*(Plan!$K$5:$K$57&lt;BV$5)*(Plan!$L$5:$L$57&gt;=BV$5)*(ROW(Plan!$A$5:$A$57)-4))))</f>
        <v/>
      </c>
      <c r="BW7" s="26">
        <f>IF(SUMPRODUCT(((Plan!$I$5:$I$57="B")+(Plan!$I$5:$I$57="A+B"))*(Plan!$K$5:$K$57&lt;BW$5)*(Plan!$L$5:$L$57&gt;=BW$5))=0,"",INDEX(Plan!$A$5:$A$57,SUMPRODUCT(((Plan!$I$5:$I$57="B")+(Plan!$I$5:$I$57="A+B"))*(Plan!$K$5:$K$57&lt;BW$5)*(Plan!$L$5:$L$57&gt;=BW$5)*(ROW(Plan!$A$5:$A$57)-4))))</f>
        <v/>
      </c>
      <c r="BX7" s="26">
        <f>IF(SUMPRODUCT(((Plan!$I$5:$I$57="B")+(Plan!$I$5:$I$57="A+B"))*(Plan!$K$5:$K$57&lt;BX$5)*(Plan!$L$5:$L$57&gt;=BX$5))=0,"",INDEX(Plan!$A$5:$A$57,SUMPRODUCT(((Plan!$I$5:$I$57="B")+(Plan!$I$5:$I$57="A+B"))*(Plan!$K$5:$K$57&lt;BX$5)*(Plan!$L$5:$L$57&gt;=BX$5)*(ROW(Plan!$A$5:$A$57)-4))))</f>
        <v/>
      </c>
      <c r="BY7" s="26">
        <f>IF(SUMPRODUCT(((Plan!$I$5:$I$57="B")+(Plan!$I$5:$I$57="A+B"))*(Plan!$K$5:$K$57&lt;BY$5)*(Plan!$L$5:$L$57&gt;=BY$5))=0,"",INDEX(Plan!$A$5:$A$57,SUMPRODUCT(((Plan!$I$5:$I$57="B")+(Plan!$I$5:$I$57="A+B"))*(Plan!$K$5:$K$57&lt;BY$5)*(Plan!$L$5:$L$57&gt;=BY$5)*(ROW(Plan!$A$5:$A$57)-4))))</f>
        <v/>
      </c>
    </row>
    <row r="8"/>
    <row r="9">
      <c r="A9" s="27" t="inlineStr">
        <is>
          <t>Fase 1. Diseño y arquitectura</t>
        </is>
      </c>
      <c r="B9" s="28" t="n"/>
      <c r="C9" s="28" t="n"/>
      <c r="D9" s="28" t="n"/>
      <c r="E9" s="29">
        <f>SUMPRODUCT(MIN((Plan!$B$5:$B$57="1. Diseño y arquitectura")*Plan!$K$5:$K$57+(Plan!$B$5:$B$57&lt;&gt;"1. Diseño y arquitectura")*1E9))</f>
        <v/>
      </c>
      <c r="F9" s="29">
        <f>SUMPRODUCT(MAX((Plan!$B$5:$B$57="1. Diseño y arquitectura")*Plan!$L$5:$L$57))</f>
        <v/>
      </c>
      <c r="G9" s="30">
        <f>Resumen!E29</f>
        <v/>
      </c>
      <c r="H9" s="31" t="n"/>
      <c r="I9" s="31" t="n"/>
      <c r="J9" s="31" t="n"/>
      <c r="K9" s="31" t="n"/>
      <c r="L9" s="31" t="n"/>
      <c r="M9" s="31" t="n"/>
      <c r="N9" s="31" t="n"/>
      <c r="O9" s="31" t="n"/>
      <c r="P9" s="31" t="n"/>
      <c r="Q9" s="31" t="n"/>
      <c r="R9" s="31" t="n"/>
      <c r="S9" s="31" t="n"/>
      <c r="T9" s="31" t="n"/>
      <c r="U9" s="31" t="n"/>
      <c r="V9" s="31" t="n"/>
      <c r="W9" s="31" t="n"/>
      <c r="X9" s="31" t="n"/>
      <c r="Y9" s="31" t="n"/>
      <c r="Z9" s="31" t="n"/>
      <c r="AA9" s="31" t="n"/>
      <c r="AB9" s="31" t="n"/>
      <c r="AC9" s="31" t="n"/>
      <c r="AD9" s="31" t="n"/>
      <c r="AE9" s="31" t="n"/>
      <c r="AF9" s="31" t="n"/>
      <c r="AG9" s="31" t="n"/>
      <c r="AH9" s="31" t="n"/>
      <c r="AI9" s="31" t="n"/>
      <c r="AJ9" s="31" t="n"/>
      <c r="AK9" s="31" t="n"/>
      <c r="AL9" s="31" t="n"/>
      <c r="AM9" s="31" t="n"/>
      <c r="AN9" s="31" t="n"/>
      <c r="AO9" s="31" t="n"/>
      <c r="AP9" s="31" t="n"/>
      <c r="AQ9" s="31" t="n"/>
      <c r="AR9" s="31" t="n"/>
      <c r="AS9" s="31" t="n"/>
      <c r="AT9" s="31" t="n"/>
      <c r="AU9" s="31" t="n"/>
      <c r="AV9" s="31" t="n"/>
      <c r="AW9" s="31" t="n"/>
      <c r="AX9" s="31" t="n"/>
      <c r="AY9" s="31" t="n"/>
      <c r="AZ9" s="31" t="n"/>
      <c r="BA9" s="31" t="n"/>
      <c r="BB9" s="31" t="n"/>
      <c r="BC9" s="31" t="n"/>
      <c r="BD9" s="31" t="n"/>
      <c r="BE9" s="31" t="n"/>
      <c r="BF9" s="31" t="n"/>
      <c r="BG9" s="31" t="n"/>
      <c r="BH9" s="31" t="n"/>
      <c r="BI9" s="31" t="n"/>
      <c r="BJ9" s="31" t="n"/>
      <c r="BK9" s="31" t="n"/>
      <c r="BL9" s="31" t="n"/>
      <c r="BM9" s="31" t="n"/>
      <c r="BN9" s="31" t="n"/>
      <c r="BO9" s="31" t="n"/>
      <c r="BP9" s="31" t="n"/>
      <c r="BQ9" s="31" t="n"/>
      <c r="BR9" s="31" t="n"/>
      <c r="BS9" s="31" t="n"/>
      <c r="BT9" s="31" t="n"/>
      <c r="BU9" s="31" t="n"/>
      <c r="BV9" s="31" t="n"/>
      <c r="BW9" s="31" t="n"/>
      <c r="BX9" s="31" t="n"/>
      <c r="BY9" s="31" t="n"/>
    </row>
    <row r="10">
      <c r="A10" s="32">
        <f>Plan!A5</f>
        <v/>
      </c>
      <c r="B10" s="33">
        <f>Plan!C5</f>
        <v/>
      </c>
      <c r="C10" s="16">
        <f>Plan!D5</f>
        <v/>
      </c>
      <c r="D10" s="16">
        <f>Plan!I5</f>
        <v/>
      </c>
      <c r="E10" s="16">
        <f>Plan!K5</f>
        <v/>
      </c>
      <c r="F10" s="16">
        <f>Plan!L5</f>
        <v/>
      </c>
      <c r="G10" s="16">
        <f>Plan!O5</f>
        <v/>
      </c>
      <c r="H10" s="34">
        <f>IF(AND(H$5&gt;$E10,H$5&lt;=$F10),IF(H$5=$E10+1,$C10,""),"")</f>
        <v/>
      </c>
      <c r="I10" s="34">
        <f>IF(AND(I$5&gt;$E10,I$5&lt;=$F10),IF(I$5=$E10+1,$C10,""),"")</f>
        <v/>
      </c>
      <c r="J10" s="34">
        <f>IF(AND(J$5&gt;$E10,J$5&lt;=$F10),IF(J$5=$E10+1,$C10,""),"")</f>
        <v/>
      </c>
      <c r="K10" s="34">
        <f>IF(AND(K$5&gt;$E10,K$5&lt;=$F10),IF(K$5=$E10+1,$C10,""),"")</f>
        <v/>
      </c>
      <c r="L10" s="34">
        <f>IF(AND(L$5&gt;$E10,L$5&lt;=$F10),IF(L$5=$E10+1,$C10,""),"")</f>
        <v/>
      </c>
      <c r="M10" s="34">
        <f>IF(AND(M$5&gt;$E10,M$5&lt;=$F10),IF(M$5=$E10+1,$C10,""),"")</f>
        <v/>
      </c>
      <c r="N10" s="34">
        <f>IF(AND(N$5&gt;$E10,N$5&lt;=$F10),IF(N$5=$E10+1,$C10,""),"")</f>
        <v/>
      </c>
      <c r="O10" s="34">
        <f>IF(AND(O$5&gt;$E10,O$5&lt;=$F10),IF(O$5=$E10+1,$C10,""),"")</f>
        <v/>
      </c>
      <c r="P10" s="34">
        <f>IF(AND(P$5&gt;$E10,P$5&lt;=$F10),IF(P$5=$E10+1,$C10,""),"")</f>
        <v/>
      </c>
      <c r="Q10" s="34">
        <f>IF(AND(Q$5&gt;$E10,Q$5&lt;=$F10),IF(Q$5=$E10+1,$C10,""),"")</f>
        <v/>
      </c>
      <c r="R10" s="34">
        <f>IF(AND(R$5&gt;$E10,R$5&lt;=$F10),IF(R$5=$E10+1,$C10,""),"")</f>
        <v/>
      </c>
      <c r="S10" s="34">
        <f>IF(AND(S$5&gt;$E10,S$5&lt;=$F10),IF(S$5=$E10+1,$C10,""),"")</f>
        <v/>
      </c>
      <c r="T10" s="34">
        <f>IF(AND(T$5&gt;$E10,T$5&lt;=$F10),IF(T$5=$E10+1,$C10,""),"")</f>
        <v/>
      </c>
      <c r="U10" s="34">
        <f>IF(AND(U$5&gt;$E10,U$5&lt;=$F10),IF(U$5=$E10+1,$C10,""),"")</f>
        <v/>
      </c>
      <c r="V10" s="34">
        <f>IF(AND(V$5&gt;$E10,V$5&lt;=$F10),IF(V$5=$E10+1,$C10,""),"")</f>
        <v/>
      </c>
      <c r="W10" s="34">
        <f>IF(AND(W$5&gt;$E10,W$5&lt;=$F10),IF(W$5=$E10+1,$C10,""),"")</f>
        <v/>
      </c>
      <c r="X10" s="34">
        <f>IF(AND(X$5&gt;$E10,X$5&lt;=$F10),IF(X$5=$E10+1,$C10,""),"")</f>
        <v/>
      </c>
      <c r="Y10" s="34">
        <f>IF(AND(Y$5&gt;$E10,Y$5&lt;=$F10),IF(Y$5=$E10+1,$C10,""),"")</f>
        <v/>
      </c>
      <c r="Z10" s="34">
        <f>IF(AND(Z$5&gt;$E10,Z$5&lt;=$F10),IF(Z$5=$E10+1,$C10,""),"")</f>
        <v/>
      </c>
      <c r="AA10" s="34">
        <f>IF(AND(AA$5&gt;$E10,AA$5&lt;=$F10),IF(AA$5=$E10+1,$C10,""),"")</f>
        <v/>
      </c>
      <c r="AB10" s="34">
        <f>IF(AND(AB$5&gt;$E10,AB$5&lt;=$F10),IF(AB$5=$E10+1,$C10,""),"")</f>
        <v/>
      </c>
      <c r="AC10" s="34">
        <f>IF(AND(AC$5&gt;$E10,AC$5&lt;=$F10),IF(AC$5=$E10+1,$C10,""),"")</f>
        <v/>
      </c>
      <c r="AD10" s="34">
        <f>IF(AND(AD$5&gt;$E10,AD$5&lt;=$F10),IF(AD$5=$E10+1,$C10,""),"")</f>
        <v/>
      </c>
      <c r="AE10" s="34">
        <f>IF(AND(AE$5&gt;$E10,AE$5&lt;=$F10),IF(AE$5=$E10+1,$C10,""),"")</f>
        <v/>
      </c>
      <c r="AF10" s="34">
        <f>IF(AND(AF$5&gt;$E10,AF$5&lt;=$F10),IF(AF$5=$E10+1,$C10,""),"")</f>
        <v/>
      </c>
      <c r="AG10" s="34">
        <f>IF(AND(AG$5&gt;$E10,AG$5&lt;=$F10),IF(AG$5=$E10+1,$C10,""),"")</f>
        <v/>
      </c>
      <c r="AH10" s="34">
        <f>IF(AND(AH$5&gt;$E10,AH$5&lt;=$F10),IF(AH$5=$E10+1,$C10,""),"")</f>
        <v/>
      </c>
      <c r="AI10" s="34">
        <f>IF(AND(AI$5&gt;$E10,AI$5&lt;=$F10),IF(AI$5=$E10+1,$C10,""),"")</f>
        <v/>
      </c>
      <c r="AJ10" s="34">
        <f>IF(AND(AJ$5&gt;$E10,AJ$5&lt;=$F10),IF(AJ$5=$E10+1,$C10,""),"")</f>
        <v/>
      </c>
      <c r="AK10" s="34">
        <f>IF(AND(AK$5&gt;$E10,AK$5&lt;=$F10),IF(AK$5=$E10+1,$C10,""),"")</f>
        <v/>
      </c>
      <c r="AL10" s="34">
        <f>IF(AND(AL$5&gt;$E10,AL$5&lt;=$F10),IF(AL$5=$E10+1,$C10,""),"")</f>
        <v/>
      </c>
      <c r="AM10" s="34">
        <f>IF(AND(AM$5&gt;$E10,AM$5&lt;=$F10),IF(AM$5=$E10+1,$C10,""),"")</f>
        <v/>
      </c>
      <c r="AN10" s="34">
        <f>IF(AND(AN$5&gt;$E10,AN$5&lt;=$F10),IF(AN$5=$E10+1,$C10,""),"")</f>
        <v/>
      </c>
      <c r="AO10" s="34">
        <f>IF(AND(AO$5&gt;$E10,AO$5&lt;=$F10),IF(AO$5=$E10+1,$C10,""),"")</f>
        <v/>
      </c>
      <c r="AP10" s="34">
        <f>IF(AND(AP$5&gt;$E10,AP$5&lt;=$F10),IF(AP$5=$E10+1,$C10,""),"")</f>
        <v/>
      </c>
      <c r="AQ10" s="34">
        <f>IF(AND(AQ$5&gt;$E10,AQ$5&lt;=$F10),IF(AQ$5=$E10+1,$C10,""),"")</f>
        <v/>
      </c>
      <c r="AR10" s="34">
        <f>IF(AND(AR$5&gt;$E10,AR$5&lt;=$F10),IF(AR$5=$E10+1,$C10,""),"")</f>
        <v/>
      </c>
      <c r="AS10" s="34">
        <f>IF(AND(AS$5&gt;$E10,AS$5&lt;=$F10),IF(AS$5=$E10+1,$C10,""),"")</f>
        <v/>
      </c>
      <c r="AT10" s="34">
        <f>IF(AND(AT$5&gt;$E10,AT$5&lt;=$F10),IF(AT$5=$E10+1,$C10,""),"")</f>
        <v/>
      </c>
      <c r="AU10" s="34">
        <f>IF(AND(AU$5&gt;$E10,AU$5&lt;=$F10),IF(AU$5=$E10+1,$C10,""),"")</f>
        <v/>
      </c>
      <c r="AV10" s="34">
        <f>IF(AND(AV$5&gt;$E10,AV$5&lt;=$F10),IF(AV$5=$E10+1,$C10,""),"")</f>
        <v/>
      </c>
      <c r="AW10" s="34">
        <f>IF(AND(AW$5&gt;$E10,AW$5&lt;=$F10),IF(AW$5=$E10+1,$C10,""),"")</f>
        <v/>
      </c>
      <c r="AX10" s="34">
        <f>IF(AND(AX$5&gt;$E10,AX$5&lt;=$F10),IF(AX$5=$E10+1,$C10,""),"")</f>
        <v/>
      </c>
      <c r="AY10" s="34">
        <f>IF(AND(AY$5&gt;$E10,AY$5&lt;=$F10),IF(AY$5=$E10+1,$C10,""),"")</f>
        <v/>
      </c>
      <c r="AZ10" s="34">
        <f>IF(AND(AZ$5&gt;$E10,AZ$5&lt;=$F10),IF(AZ$5=$E10+1,$C10,""),"")</f>
        <v/>
      </c>
      <c r="BA10" s="34">
        <f>IF(AND(BA$5&gt;$E10,BA$5&lt;=$F10),IF(BA$5=$E10+1,$C10,""),"")</f>
        <v/>
      </c>
      <c r="BB10" s="34">
        <f>IF(AND(BB$5&gt;$E10,BB$5&lt;=$F10),IF(BB$5=$E10+1,$C10,""),"")</f>
        <v/>
      </c>
      <c r="BC10" s="34">
        <f>IF(AND(BC$5&gt;$E10,BC$5&lt;=$F10),IF(BC$5=$E10+1,$C10,""),"")</f>
        <v/>
      </c>
      <c r="BD10" s="34">
        <f>IF(AND(BD$5&gt;$E10,BD$5&lt;=$F10),IF(BD$5=$E10+1,$C10,""),"")</f>
        <v/>
      </c>
      <c r="BE10" s="34">
        <f>IF(AND(BE$5&gt;$E10,BE$5&lt;=$F10),IF(BE$5=$E10+1,$C10,""),"")</f>
        <v/>
      </c>
      <c r="BF10" s="34">
        <f>IF(AND(BF$5&gt;$E10,BF$5&lt;=$F10),IF(BF$5=$E10+1,$C10,""),"")</f>
        <v/>
      </c>
      <c r="BG10" s="34">
        <f>IF(AND(BG$5&gt;$E10,BG$5&lt;=$F10),IF(BG$5=$E10+1,$C10,""),"")</f>
        <v/>
      </c>
      <c r="BH10" s="34">
        <f>IF(AND(BH$5&gt;$E10,BH$5&lt;=$F10),IF(BH$5=$E10+1,$C10,""),"")</f>
        <v/>
      </c>
      <c r="BI10" s="34">
        <f>IF(AND(BI$5&gt;$E10,BI$5&lt;=$F10),IF(BI$5=$E10+1,$C10,""),"")</f>
        <v/>
      </c>
      <c r="BJ10" s="34">
        <f>IF(AND(BJ$5&gt;$E10,BJ$5&lt;=$F10),IF(BJ$5=$E10+1,$C10,""),"")</f>
        <v/>
      </c>
      <c r="BK10" s="34">
        <f>IF(AND(BK$5&gt;$E10,BK$5&lt;=$F10),IF(BK$5=$E10+1,$C10,""),"")</f>
        <v/>
      </c>
      <c r="BL10" s="34">
        <f>IF(AND(BL$5&gt;$E10,BL$5&lt;=$F10),IF(BL$5=$E10+1,$C10,""),"")</f>
        <v/>
      </c>
      <c r="BM10" s="34">
        <f>IF(AND(BM$5&gt;$E10,BM$5&lt;=$F10),IF(BM$5=$E10+1,$C10,""),"")</f>
        <v/>
      </c>
      <c r="BN10" s="34">
        <f>IF(AND(BN$5&gt;$E10,BN$5&lt;=$F10),IF(BN$5=$E10+1,$C10,""),"")</f>
        <v/>
      </c>
      <c r="BO10" s="34">
        <f>IF(AND(BO$5&gt;$E10,BO$5&lt;=$F10),IF(BO$5=$E10+1,$C10,""),"")</f>
        <v/>
      </c>
      <c r="BP10" s="34">
        <f>IF(AND(BP$5&gt;$E10,BP$5&lt;=$F10),IF(BP$5=$E10+1,$C10,""),"")</f>
        <v/>
      </c>
      <c r="BQ10" s="34">
        <f>IF(AND(BQ$5&gt;$E10,BQ$5&lt;=$F10),IF(BQ$5=$E10+1,$C10,""),"")</f>
        <v/>
      </c>
      <c r="BR10" s="34">
        <f>IF(AND(BR$5&gt;$E10,BR$5&lt;=$F10),IF(BR$5=$E10+1,$C10,""),"")</f>
        <v/>
      </c>
      <c r="BS10" s="34">
        <f>IF(AND(BS$5&gt;$E10,BS$5&lt;=$F10),IF(BS$5=$E10+1,$C10,""),"")</f>
        <v/>
      </c>
      <c r="BT10" s="34">
        <f>IF(AND(BT$5&gt;$E10,BT$5&lt;=$F10),IF(BT$5=$E10+1,$C10,""),"")</f>
        <v/>
      </c>
      <c r="BU10" s="34">
        <f>IF(AND(BU$5&gt;$E10,BU$5&lt;=$F10),IF(BU$5=$E10+1,$C10,""),"")</f>
        <v/>
      </c>
      <c r="BV10" s="34">
        <f>IF(AND(BV$5&gt;$E10,BV$5&lt;=$F10),IF(BV$5=$E10+1,$C10,""),"")</f>
        <v/>
      </c>
      <c r="BW10" s="34">
        <f>IF(AND(BW$5&gt;$E10,BW$5&lt;=$F10),IF(BW$5=$E10+1,$C10,""),"")</f>
        <v/>
      </c>
      <c r="BX10" s="34">
        <f>IF(AND(BX$5&gt;$E10,BX$5&lt;=$F10),IF(BX$5=$E10+1,$C10,""),"")</f>
        <v/>
      </c>
      <c r="BY10" s="34">
        <f>IF(AND(BY$5&gt;$E10,BY$5&lt;=$F10),IF(BY$5=$E10+1,$C10,""),"")</f>
        <v/>
      </c>
    </row>
    <row r="11">
      <c r="A11" s="32">
        <f>Plan!A6</f>
        <v/>
      </c>
      <c r="B11" s="33">
        <f>Plan!C6</f>
        <v/>
      </c>
      <c r="C11" s="16">
        <f>Plan!D6</f>
        <v/>
      </c>
      <c r="D11" s="16">
        <f>Plan!I6</f>
        <v/>
      </c>
      <c r="E11" s="16">
        <f>Plan!K6</f>
        <v/>
      </c>
      <c r="F11" s="16">
        <f>Plan!L6</f>
        <v/>
      </c>
      <c r="G11" s="16">
        <f>Plan!O6</f>
        <v/>
      </c>
      <c r="H11" s="34">
        <f>IF(AND(H$5&gt;$E11,H$5&lt;=$F11),IF(H$5=$E11+1,$C11,""),"")</f>
        <v/>
      </c>
      <c r="I11" s="34">
        <f>IF(AND(I$5&gt;$E11,I$5&lt;=$F11),IF(I$5=$E11+1,$C11,""),"")</f>
        <v/>
      </c>
      <c r="J11" s="34">
        <f>IF(AND(J$5&gt;$E11,J$5&lt;=$F11),IF(J$5=$E11+1,$C11,""),"")</f>
        <v/>
      </c>
      <c r="K11" s="34">
        <f>IF(AND(K$5&gt;$E11,K$5&lt;=$F11),IF(K$5=$E11+1,$C11,""),"")</f>
        <v/>
      </c>
      <c r="L11" s="34">
        <f>IF(AND(L$5&gt;$E11,L$5&lt;=$F11),IF(L$5=$E11+1,$C11,""),"")</f>
        <v/>
      </c>
      <c r="M11" s="34">
        <f>IF(AND(M$5&gt;$E11,M$5&lt;=$F11),IF(M$5=$E11+1,$C11,""),"")</f>
        <v/>
      </c>
      <c r="N11" s="34">
        <f>IF(AND(N$5&gt;$E11,N$5&lt;=$F11),IF(N$5=$E11+1,$C11,""),"")</f>
        <v/>
      </c>
      <c r="O11" s="34">
        <f>IF(AND(O$5&gt;$E11,O$5&lt;=$F11),IF(O$5=$E11+1,$C11,""),"")</f>
        <v/>
      </c>
      <c r="P11" s="34">
        <f>IF(AND(P$5&gt;$E11,P$5&lt;=$F11),IF(P$5=$E11+1,$C11,""),"")</f>
        <v/>
      </c>
      <c r="Q11" s="34">
        <f>IF(AND(Q$5&gt;$E11,Q$5&lt;=$F11),IF(Q$5=$E11+1,$C11,""),"")</f>
        <v/>
      </c>
      <c r="R11" s="34">
        <f>IF(AND(R$5&gt;$E11,R$5&lt;=$F11),IF(R$5=$E11+1,$C11,""),"")</f>
        <v/>
      </c>
      <c r="S11" s="34">
        <f>IF(AND(S$5&gt;$E11,S$5&lt;=$F11),IF(S$5=$E11+1,$C11,""),"")</f>
        <v/>
      </c>
      <c r="T11" s="34">
        <f>IF(AND(T$5&gt;$E11,T$5&lt;=$F11),IF(T$5=$E11+1,$C11,""),"")</f>
        <v/>
      </c>
      <c r="U11" s="34">
        <f>IF(AND(U$5&gt;$E11,U$5&lt;=$F11),IF(U$5=$E11+1,$C11,""),"")</f>
        <v/>
      </c>
      <c r="V11" s="34">
        <f>IF(AND(V$5&gt;$E11,V$5&lt;=$F11),IF(V$5=$E11+1,$C11,""),"")</f>
        <v/>
      </c>
      <c r="W11" s="34">
        <f>IF(AND(W$5&gt;$E11,W$5&lt;=$F11),IF(W$5=$E11+1,$C11,""),"")</f>
        <v/>
      </c>
      <c r="X11" s="34">
        <f>IF(AND(X$5&gt;$E11,X$5&lt;=$F11),IF(X$5=$E11+1,$C11,""),"")</f>
        <v/>
      </c>
      <c r="Y11" s="34">
        <f>IF(AND(Y$5&gt;$E11,Y$5&lt;=$F11),IF(Y$5=$E11+1,$C11,""),"")</f>
        <v/>
      </c>
      <c r="Z11" s="34">
        <f>IF(AND(Z$5&gt;$E11,Z$5&lt;=$F11),IF(Z$5=$E11+1,$C11,""),"")</f>
        <v/>
      </c>
      <c r="AA11" s="34">
        <f>IF(AND(AA$5&gt;$E11,AA$5&lt;=$F11),IF(AA$5=$E11+1,$C11,""),"")</f>
        <v/>
      </c>
      <c r="AB11" s="34">
        <f>IF(AND(AB$5&gt;$E11,AB$5&lt;=$F11),IF(AB$5=$E11+1,$C11,""),"")</f>
        <v/>
      </c>
      <c r="AC11" s="34">
        <f>IF(AND(AC$5&gt;$E11,AC$5&lt;=$F11),IF(AC$5=$E11+1,$C11,""),"")</f>
        <v/>
      </c>
      <c r="AD11" s="34">
        <f>IF(AND(AD$5&gt;$E11,AD$5&lt;=$F11),IF(AD$5=$E11+1,$C11,""),"")</f>
        <v/>
      </c>
      <c r="AE11" s="34">
        <f>IF(AND(AE$5&gt;$E11,AE$5&lt;=$F11),IF(AE$5=$E11+1,$C11,""),"")</f>
        <v/>
      </c>
      <c r="AF11" s="34">
        <f>IF(AND(AF$5&gt;$E11,AF$5&lt;=$F11),IF(AF$5=$E11+1,$C11,""),"")</f>
        <v/>
      </c>
      <c r="AG11" s="34">
        <f>IF(AND(AG$5&gt;$E11,AG$5&lt;=$F11),IF(AG$5=$E11+1,$C11,""),"")</f>
        <v/>
      </c>
      <c r="AH11" s="34">
        <f>IF(AND(AH$5&gt;$E11,AH$5&lt;=$F11),IF(AH$5=$E11+1,$C11,""),"")</f>
        <v/>
      </c>
      <c r="AI11" s="34">
        <f>IF(AND(AI$5&gt;$E11,AI$5&lt;=$F11),IF(AI$5=$E11+1,$C11,""),"")</f>
        <v/>
      </c>
      <c r="AJ11" s="34">
        <f>IF(AND(AJ$5&gt;$E11,AJ$5&lt;=$F11),IF(AJ$5=$E11+1,$C11,""),"")</f>
        <v/>
      </c>
      <c r="AK11" s="34">
        <f>IF(AND(AK$5&gt;$E11,AK$5&lt;=$F11),IF(AK$5=$E11+1,$C11,""),"")</f>
        <v/>
      </c>
      <c r="AL11" s="34">
        <f>IF(AND(AL$5&gt;$E11,AL$5&lt;=$F11),IF(AL$5=$E11+1,$C11,""),"")</f>
        <v/>
      </c>
      <c r="AM11" s="34">
        <f>IF(AND(AM$5&gt;$E11,AM$5&lt;=$F11),IF(AM$5=$E11+1,$C11,""),"")</f>
        <v/>
      </c>
      <c r="AN11" s="34">
        <f>IF(AND(AN$5&gt;$E11,AN$5&lt;=$F11),IF(AN$5=$E11+1,$C11,""),"")</f>
        <v/>
      </c>
      <c r="AO11" s="34">
        <f>IF(AND(AO$5&gt;$E11,AO$5&lt;=$F11),IF(AO$5=$E11+1,$C11,""),"")</f>
        <v/>
      </c>
      <c r="AP11" s="34">
        <f>IF(AND(AP$5&gt;$E11,AP$5&lt;=$F11),IF(AP$5=$E11+1,$C11,""),"")</f>
        <v/>
      </c>
      <c r="AQ11" s="34">
        <f>IF(AND(AQ$5&gt;$E11,AQ$5&lt;=$F11),IF(AQ$5=$E11+1,$C11,""),"")</f>
        <v/>
      </c>
      <c r="AR11" s="34">
        <f>IF(AND(AR$5&gt;$E11,AR$5&lt;=$F11),IF(AR$5=$E11+1,$C11,""),"")</f>
        <v/>
      </c>
      <c r="AS11" s="34">
        <f>IF(AND(AS$5&gt;$E11,AS$5&lt;=$F11),IF(AS$5=$E11+1,$C11,""),"")</f>
        <v/>
      </c>
      <c r="AT11" s="34">
        <f>IF(AND(AT$5&gt;$E11,AT$5&lt;=$F11),IF(AT$5=$E11+1,$C11,""),"")</f>
        <v/>
      </c>
      <c r="AU11" s="34">
        <f>IF(AND(AU$5&gt;$E11,AU$5&lt;=$F11),IF(AU$5=$E11+1,$C11,""),"")</f>
        <v/>
      </c>
      <c r="AV11" s="34">
        <f>IF(AND(AV$5&gt;$E11,AV$5&lt;=$F11),IF(AV$5=$E11+1,$C11,""),"")</f>
        <v/>
      </c>
      <c r="AW11" s="34">
        <f>IF(AND(AW$5&gt;$E11,AW$5&lt;=$F11),IF(AW$5=$E11+1,$C11,""),"")</f>
        <v/>
      </c>
      <c r="AX11" s="34">
        <f>IF(AND(AX$5&gt;$E11,AX$5&lt;=$F11),IF(AX$5=$E11+1,$C11,""),"")</f>
        <v/>
      </c>
      <c r="AY11" s="34">
        <f>IF(AND(AY$5&gt;$E11,AY$5&lt;=$F11),IF(AY$5=$E11+1,$C11,""),"")</f>
        <v/>
      </c>
      <c r="AZ11" s="34">
        <f>IF(AND(AZ$5&gt;$E11,AZ$5&lt;=$F11),IF(AZ$5=$E11+1,$C11,""),"")</f>
        <v/>
      </c>
      <c r="BA11" s="34">
        <f>IF(AND(BA$5&gt;$E11,BA$5&lt;=$F11),IF(BA$5=$E11+1,$C11,""),"")</f>
        <v/>
      </c>
      <c r="BB11" s="34">
        <f>IF(AND(BB$5&gt;$E11,BB$5&lt;=$F11),IF(BB$5=$E11+1,$C11,""),"")</f>
        <v/>
      </c>
      <c r="BC11" s="34">
        <f>IF(AND(BC$5&gt;$E11,BC$5&lt;=$F11),IF(BC$5=$E11+1,$C11,""),"")</f>
        <v/>
      </c>
      <c r="BD11" s="34">
        <f>IF(AND(BD$5&gt;$E11,BD$5&lt;=$F11),IF(BD$5=$E11+1,$C11,""),"")</f>
        <v/>
      </c>
      <c r="BE11" s="34">
        <f>IF(AND(BE$5&gt;$E11,BE$5&lt;=$F11),IF(BE$5=$E11+1,$C11,""),"")</f>
        <v/>
      </c>
      <c r="BF11" s="34">
        <f>IF(AND(BF$5&gt;$E11,BF$5&lt;=$F11),IF(BF$5=$E11+1,$C11,""),"")</f>
        <v/>
      </c>
      <c r="BG11" s="34">
        <f>IF(AND(BG$5&gt;$E11,BG$5&lt;=$F11),IF(BG$5=$E11+1,$C11,""),"")</f>
        <v/>
      </c>
      <c r="BH11" s="34">
        <f>IF(AND(BH$5&gt;$E11,BH$5&lt;=$F11),IF(BH$5=$E11+1,$C11,""),"")</f>
        <v/>
      </c>
      <c r="BI11" s="34">
        <f>IF(AND(BI$5&gt;$E11,BI$5&lt;=$F11),IF(BI$5=$E11+1,$C11,""),"")</f>
        <v/>
      </c>
      <c r="BJ11" s="34">
        <f>IF(AND(BJ$5&gt;$E11,BJ$5&lt;=$F11),IF(BJ$5=$E11+1,$C11,""),"")</f>
        <v/>
      </c>
      <c r="BK11" s="34">
        <f>IF(AND(BK$5&gt;$E11,BK$5&lt;=$F11),IF(BK$5=$E11+1,$C11,""),"")</f>
        <v/>
      </c>
      <c r="BL11" s="34">
        <f>IF(AND(BL$5&gt;$E11,BL$5&lt;=$F11),IF(BL$5=$E11+1,$C11,""),"")</f>
        <v/>
      </c>
      <c r="BM11" s="34">
        <f>IF(AND(BM$5&gt;$E11,BM$5&lt;=$F11),IF(BM$5=$E11+1,$C11,""),"")</f>
        <v/>
      </c>
      <c r="BN11" s="34">
        <f>IF(AND(BN$5&gt;$E11,BN$5&lt;=$F11),IF(BN$5=$E11+1,$C11,""),"")</f>
        <v/>
      </c>
      <c r="BO11" s="34">
        <f>IF(AND(BO$5&gt;$E11,BO$5&lt;=$F11),IF(BO$5=$E11+1,$C11,""),"")</f>
        <v/>
      </c>
      <c r="BP11" s="34">
        <f>IF(AND(BP$5&gt;$E11,BP$5&lt;=$F11),IF(BP$5=$E11+1,$C11,""),"")</f>
        <v/>
      </c>
      <c r="BQ11" s="34">
        <f>IF(AND(BQ$5&gt;$E11,BQ$5&lt;=$F11),IF(BQ$5=$E11+1,$C11,""),"")</f>
        <v/>
      </c>
      <c r="BR11" s="34">
        <f>IF(AND(BR$5&gt;$E11,BR$5&lt;=$F11),IF(BR$5=$E11+1,$C11,""),"")</f>
        <v/>
      </c>
      <c r="BS11" s="34">
        <f>IF(AND(BS$5&gt;$E11,BS$5&lt;=$F11),IF(BS$5=$E11+1,$C11,""),"")</f>
        <v/>
      </c>
      <c r="BT11" s="34">
        <f>IF(AND(BT$5&gt;$E11,BT$5&lt;=$F11),IF(BT$5=$E11+1,$C11,""),"")</f>
        <v/>
      </c>
      <c r="BU11" s="34">
        <f>IF(AND(BU$5&gt;$E11,BU$5&lt;=$F11),IF(BU$5=$E11+1,$C11,""),"")</f>
        <v/>
      </c>
      <c r="BV11" s="34">
        <f>IF(AND(BV$5&gt;$E11,BV$5&lt;=$F11),IF(BV$5=$E11+1,$C11,""),"")</f>
        <v/>
      </c>
      <c r="BW11" s="34">
        <f>IF(AND(BW$5&gt;$E11,BW$5&lt;=$F11),IF(BW$5=$E11+1,$C11,""),"")</f>
        <v/>
      </c>
      <c r="BX11" s="34">
        <f>IF(AND(BX$5&gt;$E11,BX$5&lt;=$F11),IF(BX$5=$E11+1,$C11,""),"")</f>
        <v/>
      </c>
      <c r="BY11" s="34">
        <f>IF(AND(BY$5&gt;$E11,BY$5&lt;=$F11),IF(BY$5=$E11+1,$C11,""),"")</f>
        <v/>
      </c>
    </row>
    <row r="12">
      <c r="A12" s="32">
        <f>Plan!A7</f>
        <v/>
      </c>
      <c r="B12" s="33">
        <f>Plan!C7</f>
        <v/>
      </c>
      <c r="C12" s="16">
        <f>Plan!D7</f>
        <v/>
      </c>
      <c r="D12" s="16">
        <f>Plan!I7</f>
        <v/>
      </c>
      <c r="E12" s="16">
        <f>Plan!K7</f>
        <v/>
      </c>
      <c r="F12" s="16">
        <f>Plan!L7</f>
        <v/>
      </c>
      <c r="G12" s="16">
        <f>Plan!O7</f>
        <v/>
      </c>
      <c r="H12" s="34">
        <f>IF(AND(H$5&gt;$E12,H$5&lt;=$F12),IF(H$5=$E12+1,$C12,""),"")</f>
        <v/>
      </c>
      <c r="I12" s="34">
        <f>IF(AND(I$5&gt;$E12,I$5&lt;=$F12),IF(I$5=$E12+1,$C12,""),"")</f>
        <v/>
      </c>
      <c r="J12" s="34">
        <f>IF(AND(J$5&gt;$E12,J$5&lt;=$F12),IF(J$5=$E12+1,$C12,""),"")</f>
        <v/>
      </c>
      <c r="K12" s="34">
        <f>IF(AND(K$5&gt;$E12,K$5&lt;=$F12),IF(K$5=$E12+1,$C12,""),"")</f>
        <v/>
      </c>
      <c r="L12" s="34">
        <f>IF(AND(L$5&gt;$E12,L$5&lt;=$F12),IF(L$5=$E12+1,$C12,""),"")</f>
        <v/>
      </c>
      <c r="M12" s="34">
        <f>IF(AND(M$5&gt;$E12,M$5&lt;=$F12),IF(M$5=$E12+1,$C12,""),"")</f>
        <v/>
      </c>
      <c r="N12" s="34">
        <f>IF(AND(N$5&gt;$E12,N$5&lt;=$F12),IF(N$5=$E12+1,$C12,""),"")</f>
        <v/>
      </c>
      <c r="O12" s="34">
        <f>IF(AND(O$5&gt;$E12,O$5&lt;=$F12),IF(O$5=$E12+1,$C12,""),"")</f>
        <v/>
      </c>
      <c r="P12" s="34">
        <f>IF(AND(P$5&gt;$E12,P$5&lt;=$F12),IF(P$5=$E12+1,$C12,""),"")</f>
        <v/>
      </c>
      <c r="Q12" s="34">
        <f>IF(AND(Q$5&gt;$E12,Q$5&lt;=$F12),IF(Q$5=$E12+1,$C12,""),"")</f>
        <v/>
      </c>
      <c r="R12" s="34">
        <f>IF(AND(R$5&gt;$E12,R$5&lt;=$F12),IF(R$5=$E12+1,$C12,""),"")</f>
        <v/>
      </c>
      <c r="S12" s="34">
        <f>IF(AND(S$5&gt;$E12,S$5&lt;=$F12),IF(S$5=$E12+1,$C12,""),"")</f>
        <v/>
      </c>
      <c r="T12" s="34">
        <f>IF(AND(T$5&gt;$E12,T$5&lt;=$F12),IF(T$5=$E12+1,$C12,""),"")</f>
        <v/>
      </c>
      <c r="U12" s="34">
        <f>IF(AND(U$5&gt;$E12,U$5&lt;=$F12),IF(U$5=$E12+1,$C12,""),"")</f>
        <v/>
      </c>
      <c r="V12" s="34">
        <f>IF(AND(V$5&gt;$E12,V$5&lt;=$F12),IF(V$5=$E12+1,$C12,""),"")</f>
        <v/>
      </c>
      <c r="W12" s="34">
        <f>IF(AND(W$5&gt;$E12,W$5&lt;=$F12),IF(W$5=$E12+1,$C12,""),"")</f>
        <v/>
      </c>
      <c r="X12" s="34">
        <f>IF(AND(X$5&gt;$E12,X$5&lt;=$F12),IF(X$5=$E12+1,$C12,""),"")</f>
        <v/>
      </c>
      <c r="Y12" s="34">
        <f>IF(AND(Y$5&gt;$E12,Y$5&lt;=$F12),IF(Y$5=$E12+1,$C12,""),"")</f>
        <v/>
      </c>
      <c r="Z12" s="34">
        <f>IF(AND(Z$5&gt;$E12,Z$5&lt;=$F12),IF(Z$5=$E12+1,$C12,""),"")</f>
        <v/>
      </c>
      <c r="AA12" s="34">
        <f>IF(AND(AA$5&gt;$E12,AA$5&lt;=$F12),IF(AA$5=$E12+1,$C12,""),"")</f>
        <v/>
      </c>
      <c r="AB12" s="34">
        <f>IF(AND(AB$5&gt;$E12,AB$5&lt;=$F12),IF(AB$5=$E12+1,$C12,""),"")</f>
        <v/>
      </c>
      <c r="AC12" s="34">
        <f>IF(AND(AC$5&gt;$E12,AC$5&lt;=$F12),IF(AC$5=$E12+1,$C12,""),"")</f>
        <v/>
      </c>
      <c r="AD12" s="34">
        <f>IF(AND(AD$5&gt;$E12,AD$5&lt;=$F12),IF(AD$5=$E12+1,$C12,""),"")</f>
        <v/>
      </c>
      <c r="AE12" s="34">
        <f>IF(AND(AE$5&gt;$E12,AE$5&lt;=$F12),IF(AE$5=$E12+1,$C12,""),"")</f>
        <v/>
      </c>
      <c r="AF12" s="34">
        <f>IF(AND(AF$5&gt;$E12,AF$5&lt;=$F12),IF(AF$5=$E12+1,$C12,""),"")</f>
        <v/>
      </c>
      <c r="AG12" s="34">
        <f>IF(AND(AG$5&gt;$E12,AG$5&lt;=$F12),IF(AG$5=$E12+1,$C12,""),"")</f>
        <v/>
      </c>
      <c r="AH12" s="34">
        <f>IF(AND(AH$5&gt;$E12,AH$5&lt;=$F12),IF(AH$5=$E12+1,$C12,""),"")</f>
        <v/>
      </c>
      <c r="AI12" s="34">
        <f>IF(AND(AI$5&gt;$E12,AI$5&lt;=$F12),IF(AI$5=$E12+1,$C12,""),"")</f>
        <v/>
      </c>
      <c r="AJ12" s="34">
        <f>IF(AND(AJ$5&gt;$E12,AJ$5&lt;=$F12),IF(AJ$5=$E12+1,$C12,""),"")</f>
        <v/>
      </c>
      <c r="AK12" s="34">
        <f>IF(AND(AK$5&gt;$E12,AK$5&lt;=$F12),IF(AK$5=$E12+1,$C12,""),"")</f>
        <v/>
      </c>
      <c r="AL12" s="34">
        <f>IF(AND(AL$5&gt;$E12,AL$5&lt;=$F12),IF(AL$5=$E12+1,$C12,""),"")</f>
        <v/>
      </c>
      <c r="AM12" s="34">
        <f>IF(AND(AM$5&gt;$E12,AM$5&lt;=$F12),IF(AM$5=$E12+1,$C12,""),"")</f>
        <v/>
      </c>
      <c r="AN12" s="34">
        <f>IF(AND(AN$5&gt;$E12,AN$5&lt;=$F12),IF(AN$5=$E12+1,$C12,""),"")</f>
        <v/>
      </c>
      <c r="AO12" s="34">
        <f>IF(AND(AO$5&gt;$E12,AO$5&lt;=$F12),IF(AO$5=$E12+1,$C12,""),"")</f>
        <v/>
      </c>
      <c r="AP12" s="34">
        <f>IF(AND(AP$5&gt;$E12,AP$5&lt;=$F12),IF(AP$5=$E12+1,$C12,""),"")</f>
        <v/>
      </c>
      <c r="AQ12" s="34">
        <f>IF(AND(AQ$5&gt;$E12,AQ$5&lt;=$F12),IF(AQ$5=$E12+1,$C12,""),"")</f>
        <v/>
      </c>
      <c r="AR12" s="34">
        <f>IF(AND(AR$5&gt;$E12,AR$5&lt;=$F12),IF(AR$5=$E12+1,$C12,""),"")</f>
        <v/>
      </c>
      <c r="AS12" s="34">
        <f>IF(AND(AS$5&gt;$E12,AS$5&lt;=$F12),IF(AS$5=$E12+1,$C12,""),"")</f>
        <v/>
      </c>
      <c r="AT12" s="34">
        <f>IF(AND(AT$5&gt;$E12,AT$5&lt;=$F12),IF(AT$5=$E12+1,$C12,""),"")</f>
        <v/>
      </c>
      <c r="AU12" s="34">
        <f>IF(AND(AU$5&gt;$E12,AU$5&lt;=$F12),IF(AU$5=$E12+1,$C12,""),"")</f>
        <v/>
      </c>
      <c r="AV12" s="34">
        <f>IF(AND(AV$5&gt;$E12,AV$5&lt;=$F12),IF(AV$5=$E12+1,$C12,""),"")</f>
        <v/>
      </c>
      <c r="AW12" s="34">
        <f>IF(AND(AW$5&gt;$E12,AW$5&lt;=$F12),IF(AW$5=$E12+1,$C12,""),"")</f>
        <v/>
      </c>
      <c r="AX12" s="34">
        <f>IF(AND(AX$5&gt;$E12,AX$5&lt;=$F12),IF(AX$5=$E12+1,$C12,""),"")</f>
        <v/>
      </c>
      <c r="AY12" s="34">
        <f>IF(AND(AY$5&gt;$E12,AY$5&lt;=$F12),IF(AY$5=$E12+1,$C12,""),"")</f>
        <v/>
      </c>
      <c r="AZ12" s="34">
        <f>IF(AND(AZ$5&gt;$E12,AZ$5&lt;=$F12),IF(AZ$5=$E12+1,$C12,""),"")</f>
        <v/>
      </c>
      <c r="BA12" s="34">
        <f>IF(AND(BA$5&gt;$E12,BA$5&lt;=$F12),IF(BA$5=$E12+1,$C12,""),"")</f>
        <v/>
      </c>
      <c r="BB12" s="34">
        <f>IF(AND(BB$5&gt;$E12,BB$5&lt;=$F12),IF(BB$5=$E12+1,$C12,""),"")</f>
        <v/>
      </c>
      <c r="BC12" s="34">
        <f>IF(AND(BC$5&gt;$E12,BC$5&lt;=$F12),IF(BC$5=$E12+1,$C12,""),"")</f>
        <v/>
      </c>
      <c r="BD12" s="34">
        <f>IF(AND(BD$5&gt;$E12,BD$5&lt;=$F12),IF(BD$5=$E12+1,$C12,""),"")</f>
        <v/>
      </c>
      <c r="BE12" s="34">
        <f>IF(AND(BE$5&gt;$E12,BE$5&lt;=$F12),IF(BE$5=$E12+1,$C12,""),"")</f>
        <v/>
      </c>
      <c r="BF12" s="34">
        <f>IF(AND(BF$5&gt;$E12,BF$5&lt;=$F12),IF(BF$5=$E12+1,$C12,""),"")</f>
        <v/>
      </c>
      <c r="BG12" s="34">
        <f>IF(AND(BG$5&gt;$E12,BG$5&lt;=$F12),IF(BG$5=$E12+1,$C12,""),"")</f>
        <v/>
      </c>
      <c r="BH12" s="34">
        <f>IF(AND(BH$5&gt;$E12,BH$5&lt;=$F12),IF(BH$5=$E12+1,$C12,""),"")</f>
        <v/>
      </c>
      <c r="BI12" s="34">
        <f>IF(AND(BI$5&gt;$E12,BI$5&lt;=$F12),IF(BI$5=$E12+1,$C12,""),"")</f>
        <v/>
      </c>
      <c r="BJ12" s="34">
        <f>IF(AND(BJ$5&gt;$E12,BJ$5&lt;=$F12),IF(BJ$5=$E12+1,$C12,""),"")</f>
        <v/>
      </c>
      <c r="BK12" s="34">
        <f>IF(AND(BK$5&gt;$E12,BK$5&lt;=$F12),IF(BK$5=$E12+1,$C12,""),"")</f>
        <v/>
      </c>
      <c r="BL12" s="34">
        <f>IF(AND(BL$5&gt;$E12,BL$5&lt;=$F12),IF(BL$5=$E12+1,$C12,""),"")</f>
        <v/>
      </c>
      <c r="BM12" s="34">
        <f>IF(AND(BM$5&gt;$E12,BM$5&lt;=$F12),IF(BM$5=$E12+1,$C12,""),"")</f>
        <v/>
      </c>
      <c r="BN12" s="34">
        <f>IF(AND(BN$5&gt;$E12,BN$5&lt;=$F12),IF(BN$5=$E12+1,$C12,""),"")</f>
        <v/>
      </c>
      <c r="BO12" s="34">
        <f>IF(AND(BO$5&gt;$E12,BO$5&lt;=$F12),IF(BO$5=$E12+1,$C12,""),"")</f>
        <v/>
      </c>
      <c r="BP12" s="34">
        <f>IF(AND(BP$5&gt;$E12,BP$5&lt;=$F12),IF(BP$5=$E12+1,$C12,""),"")</f>
        <v/>
      </c>
      <c r="BQ12" s="34">
        <f>IF(AND(BQ$5&gt;$E12,BQ$5&lt;=$F12),IF(BQ$5=$E12+1,$C12,""),"")</f>
        <v/>
      </c>
      <c r="BR12" s="34">
        <f>IF(AND(BR$5&gt;$E12,BR$5&lt;=$F12),IF(BR$5=$E12+1,$C12,""),"")</f>
        <v/>
      </c>
      <c r="BS12" s="34">
        <f>IF(AND(BS$5&gt;$E12,BS$5&lt;=$F12),IF(BS$5=$E12+1,$C12,""),"")</f>
        <v/>
      </c>
      <c r="BT12" s="34">
        <f>IF(AND(BT$5&gt;$E12,BT$5&lt;=$F12),IF(BT$5=$E12+1,$C12,""),"")</f>
        <v/>
      </c>
      <c r="BU12" s="34">
        <f>IF(AND(BU$5&gt;$E12,BU$5&lt;=$F12),IF(BU$5=$E12+1,$C12,""),"")</f>
        <v/>
      </c>
      <c r="BV12" s="34">
        <f>IF(AND(BV$5&gt;$E12,BV$5&lt;=$F12),IF(BV$5=$E12+1,$C12,""),"")</f>
        <v/>
      </c>
      <c r="BW12" s="34">
        <f>IF(AND(BW$5&gt;$E12,BW$5&lt;=$F12),IF(BW$5=$E12+1,$C12,""),"")</f>
        <v/>
      </c>
      <c r="BX12" s="34">
        <f>IF(AND(BX$5&gt;$E12,BX$5&lt;=$F12),IF(BX$5=$E12+1,$C12,""),"")</f>
        <v/>
      </c>
      <c r="BY12" s="34">
        <f>IF(AND(BY$5&gt;$E12,BY$5&lt;=$F12),IF(BY$5=$E12+1,$C12,""),"")</f>
        <v/>
      </c>
    </row>
    <row r="13">
      <c r="A13" s="32">
        <f>Plan!A8</f>
        <v/>
      </c>
      <c r="B13" s="33">
        <f>Plan!C8</f>
        <v/>
      </c>
      <c r="C13" s="16">
        <f>Plan!D8</f>
        <v/>
      </c>
      <c r="D13" s="16">
        <f>Plan!I8</f>
        <v/>
      </c>
      <c r="E13" s="16">
        <f>Plan!K8</f>
        <v/>
      </c>
      <c r="F13" s="16">
        <f>Plan!L8</f>
        <v/>
      </c>
      <c r="G13" s="16">
        <f>Plan!O8</f>
        <v/>
      </c>
      <c r="H13" s="34">
        <f>IF(AND(H$5&gt;$E13,H$5&lt;=$F13),IF(H$5=$E13+1,$C13,""),"")</f>
        <v/>
      </c>
      <c r="I13" s="34">
        <f>IF(AND(I$5&gt;$E13,I$5&lt;=$F13),IF(I$5=$E13+1,$C13,""),"")</f>
        <v/>
      </c>
      <c r="J13" s="34">
        <f>IF(AND(J$5&gt;$E13,J$5&lt;=$F13),IF(J$5=$E13+1,$C13,""),"")</f>
        <v/>
      </c>
      <c r="K13" s="34">
        <f>IF(AND(K$5&gt;$E13,K$5&lt;=$F13),IF(K$5=$E13+1,$C13,""),"")</f>
        <v/>
      </c>
      <c r="L13" s="34">
        <f>IF(AND(L$5&gt;$E13,L$5&lt;=$F13),IF(L$5=$E13+1,$C13,""),"")</f>
        <v/>
      </c>
      <c r="M13" s="34">
        <f>IF(AND(M$5&gt;$E13,M$5&lt;=$F13),IF(M$5=$E13+1,$C13,""),"")</f>
        <v/>
      </c>
      <c r="N13" s="34">
        <f>IF(AND(N$5&gt;$E13,N$5&lt;=$F13),IF(N$5=$E13+1,$C13,""),"")</f>
        <v/>
      </c>
      <c r="O13" s="34">
        <f>IF(AND(O$5&gt;$E13,O$5&lt;=$F13),IF(O$5=$E13+1,$C13,""),"")</f>
        <v/>
      </c>
      <c r="P13" s="34">
        <f>IF(AND(P$5&gt;$E13,P$5&lt;=$F13),IF(P$5=$E13+1,$C13,""),"")</f>
        <v/>
      </c>
      <c r="Q13" s="34">
        <f>IF(AND(Q$5&gt;$E13,Q$5&lt;=$F13),IF(Q$5=$E13+1,$C13,""),"")</f>
        <v/>
      </c>
      <c r="R13" s="34">
        <f>IF(AND(R$5&gt;$E13,R$5&lt;=$F13),IF(R$5=$E13+1,$C13,""),"")</f>
        <v/>
      </c>
      <c r="S13" s="34">
        <f>IF(AND(S$5&gt;$E13,S$5&lt;=$F13),IF(S$5=$E13+1,$C13,""),"")</f>
        <v/>
      </c>
      <c r="T13" s="34">
        <f>IF(AND(T$5&gt;$E13,T$5&lt;=$F13),IF(T$5=$E13+1,$C13,""),"")</f>
        <v/>
      </c>
      <c r="U13" s="34">
        <f>IF(AND(U$5&gt;$E13,U$5&lt;=$F13),IF(U$5=$E13+1,$C13,""),"")</f>
        <v/>
      </c>
      <c r="V13" s="34">
        <f>IF(AND(V$5&gt;$E13,V$5&lt;=$F13),IF(V$5=$E13+1,$C13,""),"")</f>
        <v/>
      </c>
      <c r="W13" s="34">
        <f>IF(AND(W$5&gt;$E13,W$5&lt;=$F13),IF(W$5=$E13+1,$C13,""),"")</f>
        <v/>
      </c>
      <c r="X13" s="34">
        <f>IF(AND(X$5&gt;$E13,X$5&lt;=$F13),IF(X$5=$E13+1,$C13,""),"")</f>
        <v/>
      </c>
      <c r="Y13" s="34">
        <f>IF(AND(Y$5&gt;$E13,Y$5&lt;=$F13),IF(Y$5=$E13+1,$C13,""),"")</f>
        <v/>
      </c>
      <c r="Z13" s="34">
        <f>IF(AND(Z$5&gt;$E13,Z$5&lt;=$F13),IF(Z$5=$E13+1,$C13,""),"")</f>
        <v/>
      </c>
      <c r="AA13" s="34">
        <f>IF(AND(AA$5&gt;$E13,AA$5&lt;=$F13),IF(AA$5=$E13+1,$C13,""),"")</f>
        <v/>
      </c>
      <c r="AB13" s="34">
        <f>IF(AND(AB$5&gt;$E13,AB$5&lt;=$F13),IF(AB$5=$E13+1,$C13,""),"")</f>
        <v/>
      </c>
      <c r="AC13" s="34">
        <f>IF(AND(AC$5&gt;$E13,AC$5&lt;=$F13),IF(AC$5=$E13+1,$C13,""),"")</f>
        <v/>
      </c>
      <c r="AD13" s="34">
        <f>IF(AND(AD$5&gt;$E13,AD$5&lt;=$F13),IF(AD$5=$E13+1,$C13,""),"")</f>
        <v/>
      </c>
      <c r="AE13" s="34">
        <f>IF(AND(AE$5&gt;$E13,AE$5&lt;=$F13),IF(AE$5=$E13+1,$C13,""),"")</f>
        <v/>
      </c>
      <c r="AF13" s="34">
        <f>IF(AND(AF$5&gt;$E13,AF$5&lt;=$F13),IF(AF$5=$E13+1,$C13,""),"")</f>
        <v/>
      </c>
      <c r="AG13" s="34">
        <f>IF(AND(AG$5&gt;$E13,AG$5&lt;=$F13),IF(AG$5=$E13+1,$C13,""),"")</f>
        <v/>
      </c>
      <c r="AH13" s="34">
        <f>IF(AND(AH$5&gt;$E13,AH$5&lt;=$F13),IF(AH$5=$E13+1,$C13,""),"")</f>
        <v/>
      </c>
      <c r="AI13" s="34">
        <f>IF(AND(AI$5&gt;$E13,AI$5&lt;=$F13),IF(AI$5=$E13+1,$C13,""),"")</f>
        <v/>
      </c>
      <c r="AJ13" s="34">
        <f>IF(AND(AJ$5&gt;$E13,AJ$5&lt;=$F13),IF(AJ$5=$E13+1,$C13,""),"")</f>
        <v/>
      </c>
      <c r="AK13" s="34">
        <f>IF(AND(AK$5&gt;$E13,AK$5&lt;=$F13),IF(AK$5=$E13+1,$C13,""),"")</f>
        <v/>
      </c>
      <c r="AL13" s="34">
        <f>IF(AND(AL$5&gt;$E13,AL$5&lt;=$F13),IF(AL$5=$E13+1,$C13,""),"")</f>
        <v/>
      </c>
      <c r="AM13" s="34">
        <f>IF(AND(AM$5&gt;$E13,AM$5&lt;=$F13),IF(AM$5=$E13+1,$C13,""),"")</f>
        <v/>
      </c>
      <c r="AN13" s="34">
        <f>IF(AND(AN$5&gt;$E13,AN$5&lt;=$F13),IF(AN$5=$E13+1,$C13,""),"")</f>
        <v/>
      </c>
      <c r="AO13" s="34">
        <f>IF(AND(AO$5&gt;$E13,AO$5&lt;=$F13),IF(AO$5=$E13+1,$C13,""),"")</f>
        <v/>
      </c>
      <c r="AP13" s="34">
        <f>IF(AND(AP$5&gt;$E13,AP$5&lt;=$F13),IF(AP$5=$E13+1,$C13,""),"")</f>
        <v/>
      </c>
      <c r="AQ13" s="34">
        <f>IF(AND(AQ$5&gt;$E13,AQ$5&lt;=$F13),IF(AQ$5=$E13+1,$C13,""),"")</f>
        <v/>
      </c>
      <c r="AR13" s="34">
        <f>IF(AND(AR$5&gt;$E13,AR$5&lt;=$F13),IF(AR$5=$E13+1,$C13,""),"")</f>
        <v/>
      </c>
      <c r="AS13" s="34">
        <f>IF(AND(AS$5&gt;$E13,AS$5&lt;=$F13),IF(AS$5=$E13+1,$C13,""),"")</f>
        <v/>
      </c>
      <c r="AT13" s="34">
        <f>IF(AND(AT$5&gt;$E13,AT$5&lt;=$F13),IF(AT$5=$E13+1,$C13,""),"")</f>
        <v/>
      </c>
      <c r="AU13" s="34">
        <f>IF(AND(AU$5&gt;$E13,AU$5&lt;=$F13),IF(AU$5=$E13+1,$C13,""),"")</f>
        <v/>
      </c>
      <c r="AV13" s="34">
        <f>IF(AND(AV$5&gt;$E13,AV$5&lt;=$F13),IF(AV$5=$E13+1,$C13,""),"")</f>
        <v/>
      </c>
      <c r="AW13" s="34">
        <f>IF(AND(AW$5&gt;$E13,AW$5&lt;=$F13),IF(AW$5=$E13+1,$C13,""),"")</f>
        <v/>
      </c>
      <c r="AX13" s="34">
        <f>IF(AND(AX$5&gt;$E13,AX$5&lt;=$F13),IF(AX$5=$E13+1,$C13,""),"")</f>
        <v/>
      </c>
      <c r="AY13" s="34">
        <f>IF(AND(AY$5&gt;$E13,AY$5&lt;=$F13),IF(AY$5=$E13+1,$C13,""),"")</f>
        <v/>
      </c>
      <c r="AZ13" s="34">
        <f>IF(AND(AZ$5&gt;$E13,AZ$5&lt;=$F13),IF(AZ$5=$E13+1,$C13,""),"")</f>
        <v/>
      </c>
      <c r="BA13" s="34">
        <f>IF(AND(BA$5&gt;$E13,BA$5&lt;=$F13),IF(BA$5=$E13+1,$C13,""),"")</f>
        <v/>
      </c>
      <c r="BB13" s="34">
        <f>IF(AND(BB$5&gt;$E13,BB$5&lt;=$F13),IF(BB$5=$E13+1,$C13,""),"")</f>
        <v/>
      </c>
      <c r="BC13" s="34">
        <f>IF(AND(BC$5&gt;$E13,BC$5&lt;=$F13),IF(BC$5=$E13+1,$C13,""),"")</f>
        <v/>
      </c>
      <c r="BD13" s="34">
        <f>IF(AND(BD$5&gt;$E13,BD$5&lt;=$F13),IF(BD$5=$E13+1,$C13,""),"")</f>
        <v/>
      </c>
      <c r="BE13" s="34">
        <f>IF(AND(BE$5&gt;$E13,BE$5&lt;=$F13),IF(BE$5=$E13+1,$C13,""),"")</f>
        <v/>
      </c>
      <c r="BF13" s="34">
        <f>IF(AND(BF$5&gt;$E13,BF$5&lt;=$F13),IF(BF$5=$E13+1,$C13,""),"")</f>
        <v/>
      </c>
      <c r="BG13" s="34">
        <f>IF(AND(BG$5&gt;$E13,BG$5&lt;=$F13),IF(BG$5=$E13+1,$C13,""),"")</f>
        <v/>
      </c>
      <c r="BH13" s="34">
        <f>IF(AND(BH$5&gt;$E13,BH$5&lt;=$F13),IF(BH$5=$E13+1,$C13,""),"")</f>
        <v/>
      </c>
      <c r="BI13" s="34">
        <f>IF(AND(BI$5&gt;$E13,BI$5&lt;=$F13),IF(BI$5=$E13+1,$C13,""),"")</f>
        <v/>
      </c>
      <c r="BJ13" s="34">
        <f>IF(AND(BJ$5&gt;$E13,BJ$5&lt;=$F13),IF(BJ$5=$E13+1,$C13,""),"")</f>
        <v/>
      </c>
      <c r="BK13" s="34">
        <f>IF(AND(BK$5&gt;$E13,BK$5&lt;=$F13),IF(BK$5=$E13+1,$C13,""),"")</f>
        <v/>
      </c>
      <c r="BL13" s="34">
        <f>IF(AND(BL$5&gt;$E13,BL$5&lt;=$F13),IF(BL$5=$E13+1,$C13,""),"")</f>
        <v/>
      </c>
      <c r="BM13" s="34">
        <f>IF(AND(BM$5&gt;$E13,BM$5&lt;=$F13),IF(BM$5=$E13+1,$C13,""),"")</f>
        <v/>
      </c>
      <c r="BN13" s="34">
        <f>IF(AND(BN$5&gt;$E13,BN$5&lt;=$F13),IF(BN$5=$E13+1,$C13,""),"")</f>
        <v/>
      </c>
      <c r="BO13" s="34">
        <f>IF(AND(BO$5&gt;$E13,BO$5&lt;=$F13),IF(BO$5=$E13+1,$C13,""),"")</f>
        <v/>
      </c>
      <c r="BP13" s="34">
        <f>IF(AND(BP$5&gt;$E13,BP$5&lt;=$F13),IF(BP$5=$E13+1,$C13,""),"")</f>
        <v/>
      </c>
      <c r="BQ13" s="34">
        <f>IF(AND(BQ$5&gt;$E13,BQ$5&lt;=$F13),IF(BQ$5=$E13+1,$C13,""),"")</f>
        <v/>
      </c>
      <c r="BR13" s="34">
        <f>IF(AND(BR$5&gt;$E13,BR$5&lt;=$F13),IF(BR$5=$E13+1,$C13,""),"")</f>
        <v/>
      </c>
      <c r="BS13" s="34">
        <f>IF(AND(BS$5&gt;$E13,BS$5&lt;=$F13),IF(BS$5=$E13+1,$C13,""),"")</f>
        <v/>
      </c>
      <c r="BT13" s="34">
        <f>IF(AND(BT$5&gt;$E13,BT$5&lt;=$F13),IF(BT$5=$E13+1,$C13,""),"")</f>
        <v/>
      </c>
      <c r="BU13" s="34">
        <f>IF(AND(BU$5&gt;$E13,BU$5&lt;=$F13),IF(BU$5=$E13+1,$C13,""),"")</f>
        <v/>
      </c>
      <c r="BV13" s="34">
        <f>IF(AND(BV$5&gt;$E13,BV$5&lt;=$F13),IF(BV$5=$E13+1,$C13,""),"")</f>
        <v/>
      </c>
      <c r="BW13" s="34">
        <f>IF(AND(BW$5&gt;$E13,BW$5&lt;=$F13),IF(BW$5=$E13+1,$C13,""),"")</f>
        <v/>
      </c>
      <c r="BX13" s="34">
        <f>IF(AND(BX$5&gt;$E13,BX$5&lt;=$F13),IF(BX$5=$E13+1,$C13,""),"")</f>
        <v/>
      </c>
      <c r="BY13" s="34">
        <f>IF(AND(BY$5&gt;$E13,BY$5&lt;=$F13),IF(BY$5=$E13+1,$C13,""),"")</f>
        <v/>
      </c>
    </row>
    <row r="14">
      <c r="A14" s="32">
        <f>Plan!A9</f>
        <v/>
      </c>
      <c r="B14" s="33">
        <f>Plan!C9</f>
        <v/>
      </c>
      <c r="C14" s="16">
        <f>Plan!D9</f>
        <v/>
      </c>
      <c r="D14" s="16">
        <f>Plan!I9</f>
        <v/>
      </c>
      <c r="E14" s="16">
        <f>Plan!K9</f>
        <v/>
      </c>
      <c r="F14" s="16">
        <f>Plan!L9</f>
        <v/>
      </c>
      <c r="G14" s="16">
        <f>Plan!O9</f>
        <v/>
      </c>
      <c r="H14" s="34">
        <f>IF(AND(H$5&gt;$E14,H$5&lt;=$F14),IF(H$5=$E14+1,$C14,""),"")</f>
        <v/>
      </c>
      <c r="I14" s="34">
        <f>IF(AND(I$5&gt;$E14,I$5&lt;=$F14),IF(I$5=$E14+1,$C14,""),"")</f>
        <v/>
      </c>
      <c r="J14" s="34">
        <f>IF(AND(J$5&gt;$E14,J$5&lt;=$F14),IF(J$5=$E14+1,$C14,""),"")</f>
        <v/>
      </c>
      <c r="K14" s="34">
        <f>IF(AND(K$5&gt;$E14,K$5&lt;=$F14),IF(K$5=$E14+1,$C14,""),"")</f>
        <v/>
      </c>
      <c r="L14" s="34">
        <f>IF(AND(L$5&gt;$E14,L$5&lt;=$F14),IF(L$5=$E14+1,$C14,""),"")</f>
        <v/>
      </c>
      <c r="M14" s="34">
        <f>IF(AND(M$5&gt;$E14,M$5&lt;=$F14),IF(M$5=$E14+1,$C14,""),"")</f>
        <v/>
      </c>
      <c r="N14" s="34">
        <f>IF(AND(N$5&gt;$E14,N$5&lt;=$F14),IF(N$5=$E14+1,$C14,""),"")</f>
        <v/>
      </c>
      <c r="O14" s="34">
        <f>IF(AND(O$5&gt;$E14,O$5&lt;=$F14),IF(O$5=$E14+1,$C14,""),"")</f>
        <v/>
      </c>
      <c r="P14" s="34">
        <f>IF(AND(P$5&gt;$E14,P$5&lt;=$F14),IF(P$5=$E14+1,$C14,""),"")</f>
        <v/>
      </c>
      <c r="Q14" s="34">
        <f>IF(AND(Q$5&gt;$E14,Q$5&lt;=$F14),IF(Q$5=$E14+1,$C14,""),"")</f>
        <v/>
      </c>
      <c r="R14" s="34">
        <f>IF(AND(R$5&gt;$E14,R$5&lt;=$F14),IF(R$5=$E14+1,$C14,""),"")</f>
        <v/>
      </c>
      <c r="S14" s="34">
        <f>IF(AND(S$5&gt;$E14,S$5&lt;=$F14),IF(S$5=$E14+1,$C14,""),"")</f>
        <v/>
      </c>
      <c r="T14" s="34">
        <f>IF(AND(T$5&gt;$E14,T$5&lt;=$F14),IF(T$5=$E14+1,$C14,""),"")</f>
        <v/>
      </c>
      <c r="U14" s="34">
        <f>IF(AND(U$5&gt;$E14,U$5&lt;=$F14),IF(U$5=$E14+1,$C14,""),"")</f>
        <v/>
      </c>
      <c r="V14" s="34">
        <f>IF(AND(V$5&gt;$E14,V$5&lt;=$F14),IF(V$5=$E14+1,$C14,""),"")</f>
        <v/>
      </c>
      <c r="W14" s="34">
        <f>IF(AND(W$5&gt;$E14,W$5&lt;=$F14),IF(W$5=$E14+1,$C14,""),"")</f>
        <v/>
      </c>
      <c r="X14" s="34">
        <f>IF(AND(X$5&gt;$E14,X$5&lt;=$F14),IF(X$5=$E14+1,$C14,""),"")</f>
        <v/>
      </c>
      <c r="Y14" s="34">
        <f>IF(AND(Y$5&gt;$E14,Y$5&lt;=$F14),IF(Y$5=$E14+1,$C14,""),"")</f>
        <v/>
      </c>
      <c r="Z14" s="34">
        <f>IF(AND(Z$5&gt;$E14,Z$5&lt;=$F14),IF(Z$5=$E14+1,$C14,""),"")</f>
        <v/>
      </c>
      <c r="AA14" s="34">
        <f>IF(AND(AA$5&gt;$E14,AA$5&lt;=$F14),IF(AA$5=$E14+1,$C14,""),"")</f>
        <v/>
      </c>
      <c r="AB14" s="34">
        <f>IF(AND(AB$5&gt;$E14,AB$5&lt;=$F14),IF(AB$5=$E14+1,$C14,""),"")</f>
        <v/>
      </c>
      <c r="AC14" s="34">
        <f>IF(AND(AC$5&gt;$E14,AC$5&lt;=$F14),IF(AC$5=$E14+1,$C14,""),"")</f>
        <v/>
      </c>
      <c r="AD14" s="34">
        <f>IF(AND(AD$5&gt;$E14,AD$5&lt;=$F14),IF(AD$5=$E14+1,$C14,""),"")</f>
        <v/>
      </c>
      <c r="AE14" s="34">
        <f>IF(AND(AE$5&gt;$E14,AE$5&lt;=$F14),IF(AE$5=$E14+1,$C14,""),"")</f>
        <v/>
      </c>
      <c r="AF14" s="34">
        <f>IF(AND(AF$5&gt;$E14,AF$5&lt;=$F14),IF(AF$5=$E14+1,$C14,""),"")</f>
        <v/>
      </c>
      <c r="AG14" s="34">
        <f>IF(AND(AG$5&gt;$E14,AG$5&lt;=$F14),IF(AG$5=$E14+1,$C14,""),"")</f>
        <v/>
      </c>
      <c r="AH14" s="34">
        <f>IF(AND(AH$5&gt;$E14,AH$5&lt;=$F14),IF(AH$5=$E14+1,$C14,""),"")</f>
        <v/>
      </c>
      <c r="AI14" s="34">
        <f>IF(AND(AI$5&gt;$E14,AI$5&lt;=$F14),IF(AI$5=$E14+1,$C14,""),"")</f>
        <v/>
      </c>
      <c r="AJ14" s="34">
        <f>IF(AND(AJ$5&gt;$E14,AJ$5&lt;=$F14),IF(AJ$5=$E14+1,$C14,""),"")</f>
        <v/>
      </c>
      <c r="AK14" s="34">
        <f>IF(AND(AK$5&gt;$E14,AK$5&lt;=$F14),IF(AK$5=$E14+1,$C14,""),"")</f>
        <v/>
      </c>
      <c r="AL14" s="34">
        <f>IF(AND(AL$5&gt;$E14,AL$5&lt;=$F14),IF(AL$5=$E14+1,$C14,""),"")</f>
        <v/>
      </c>
      <c r="AM14" s="34">
        <f>IF(AND(AM$5&gt;$E14,AM$5&lt;=$F14),IF(AM$5=$E14+1,$C14,""),"")</f>
        <v/>
      </c>
      <c r="AN14" s="34">
        <f>IF(AND(AN$5&gt;$E14,AN$5&lt;=$F14),IF(AN$5=$E14+1,$C14,""),"")</f>
        <v/>
      </c>
      <c r="AO14" s="34">
        <f>IF(AND(AO$5&gt;$E14,AO$5&lt;=$F14),IF(AO$5=$E14+1,$C14,""),"")</f>
        <v/>
      </c>
      <c r="AP14" s="34">
        <f>IF(AND(AP$5&gt;$E14,AP$5&lt;=$F14),IF(AP$5=$E14+1,$C14,""),"")</f>
        <v/>
      </c>
      <c r="AQ14" s="34">
        <f>IF(AND(AQ$5&gt;$E14,AQ$5&lt;=$F14),IF(AQ$5=$E14+1,$C14,""),"")</f>
        <v/>
      </c>
      <c r="AR14" s="34">
        <f>IF(AND(AR$5&gt;$E14,AR$5&lt;=$F14),IF(AR$5=$E14+1,$C14,""),"")</f>
        <v/>
      </c>
      <c r="AS14" s="34">
        <f>IF(AND(AS$5&gt;$E14,AS$5&lt;=$F14),IF(AS$5=$E14+1,$C14,""),"")</f>
        <v/>
      </c>
      <c r="AT14" s="34">
        <f>IF(AND(AT$5&gt;$E14,AT$5&lt;=$F14),IF(AT$5=$E14+1,$C14,""),"")</f>
        <v/>
      </c>
      <c r="AU14" s="34">
        <f>IF(AND(AU$5&gt;$E14,AU$5&lt;=$F14),IF(AU$5=$E14+1,$C14,""),"")</f>
        <v/>
      </c>
      <c r="AV14" s="34">
        <f>IF(AND(AV$5&gt;$E14,AV$5&lt;=$F14),IF(AV$5=$E14+1,$C14,""),"")</f>
        <v/>
      </c>
      <c r="AW14" s="34">
        <f>IF(AND(AW$5&gt;$E14,AW$5&lt;=$F14),IF(AW$5=$E14+1,$C14,""),"")</f>
        <v/>
      </c>
      <c r="AX14" s="34">
        <f>IF(AND(AX$5&gt;$E14,AX$5&lt;=$F14),IF(AX$5=$E14+1,$C14,""),"")</f>
        <v/>
      </c>
      <c r="AY14" s="34">
        <f>IF(AND(AY$5&gt;$E14,AY$5&lt;=$F14),IF(AY$5=$E14+1,$C14,""),"")</f>
        <v/>
      </c>
      <c r="AZ14" s="34">
        <f>IF(AND(AZ$5&gt;$E14,AZ$5&lt;=$F14),IF(AZ$5=$E14+1,$C14,""),"")</f>
        <v/>
      </c>
      <c r="BA14" s="34">
        <f>IF(AND(BA$5&gt;$E14,BA$5&lt;=$F14),IF(BA$5=$E14+1,$C14,""),"")</f>
        <v/>
      </c>
      <c r="BB14" s="34">
        <f>IF(AND(BB$5&gt;$E14,BB$5&lt;=$F14),IF(BB$5=$E14+1,$C14,""),"")</f>
        <v/>
      </c>
      <c r="BC14" s="34">
        <f>IF(AND(BC$5&gt;$E14,BC$5&lt;=$F14),IF(BC$5=$E14+1,$C14,""),"")</f>
        <v/>
      </c>
      <c r="BD14" s="34">
        <f>IF(AND(BD$5&gt;$E14,BD$5&lt;=$F14),IF(BD$5=$E14+1,$C14,""),"")</f>
        <v/>
      </c>
      <c r="BE14" s="34">
        <f>IF(AND(BE$5&gt;$E14,BE$5&lt;=$F14),IF(BE$5=$E14+1,$C14,""),"")</f>
        <v/>
      </c>
      <c r="BF14" s="34">
        <f>IF(AND(BF$5&gt;$E14,BF$5&lt;=$F14),IF(BF$5=$E14+1,$C14,""),"")</f>
        <v/>
      </c>
      <c r="BG14" s="34">
        <f>IF(AND(BG$5&gt;$E14,BG$5&lt;=$F14),IF(BG$5=$E14+1,$C14,""),"")</f>
        <v/>
      </c>
      <c r="BH14" s="34">
        <f>IF(AND(BH$5&gt;$E14,BH$5&lt;=$F14),IF(BH$5=$E14+1,$C14,""),"")</f>
        <v/>
      </c>
      <c r="BI14" s="34">
        <f>IF(AND(BI$5&gt;$E14,BI$5&lt;=$F14),IF(BI$5=$E14+1,$C14,""),"")</f>
        <v/>
      </c>
      <c r="BJ14" s="34">
        <f>IF(AND(BJ$5&gt;$E14,BJ$5&lt;=$F14),IF(BJ$5=$E14+1,$C14,""),"")</f>
        <v/>
      </c>
      <c r="BK14" s="34">
        <f>IF(AND(BK$5&gt;$E14,BK$5&lt;=$F14),IF(BK$5=$E14+1,$C14,""),"")</f>
        <v/>
      </c>
      <c r="BL14" s="34">
        <f>IF(AND(BL$5&gt;$E14,BL$5&lt;=$F14),IF(BL$5=$E14+1,$C14,""),"")</f>
        <v/>
      </c>
      <c r="BM14" s="34">
        <f>IF(AND(BM$5&gt;$E14,BM$5&lt;=$F14),IF(BM$5=$E14+1,$C14,""),"")</f>
        <v/>
      </c>
      <c r="BN14" s="34">
        <f>IF(AND(BN$5&gt;$E14,BN$5&lt;=$F14),IF(BN$5=$E14+1,$C14,""),"")</f>
        <v/>
      </c>
      <c r="BO14" s="34">
        <f>IF(AND(BO$5&gt;$E14,BO$5&lt;=$F14),IF(BO$5=$E14+1,$C14,""),"")</f>
        <v/>
      </c>
      <c r="BP14" s="34">
        <f>IF(AND(BP$5&gt;$E14,BP$5&lt;=$F14),IF(BP$5=$E14+1,$C14,""),"")</f>
        <v/>
      </c>
      <c r="BQ14" s="34">
        <f>IF(AND(BQ$5&gt;$E14,BQ$5&lt;=$F14),IF(BQ$5=$E14+1,$C14,""),"")</f>
        <v/>
      </c>
      <c r="BR14" s="34">
        <f>IF(AND(BR$5&gt;$E14,BR$5&lt;=$F14),IF(BR$5=$E14+1,$C14,""),"")</f>
        <v/>
      </c>
      <c r="BS14" s="34">
        <f>IF(AND(BS$5&gt;$E14,BS$5&lt;=$F14),IF(BS$5=$E14+1,$C14,""),"")</f>
        <v/>
      </c>
      <c r="BT14" s="34">
        <f>IF(AND(BT$5&gt;$E14,BT$5&lt;=$F14),IF(BT$5=$E14+1,$C14,""),"")</f>
        <v/>
      </c>
      <c r="BU14" s="34">
        <f>IF(AND(BU$5&gt;$E14,BU$5&lt;=$F14),IF(BU$5=$E14+1,$C14,""),"")</f>
        <v/>
      </c>
      <c r="BV14" s="34">
        <f>IF(AND(BV$5&gt;$E14,BV$5&lt;=$F14),IF(BV$5=$E14+1,$C14,""),"")</f>
        <v/>
      </c>
      <c r="BW14" s="34">
        <f>IF(AND(BW$5&gt;$E14,BW$5&lt;=$F14),IF(BW$5=$E14+1,$C14,""),"")</f>
        <v/>
      </c>
      <c r="BX14" s="34">
        <f>IF(AND(BX$5&gt;$E14,BX$5&lt;=$F14),IF(BX$5=$E14+1,$C14,""),"")</f>
        <v/>
      </c>
      <c r="BY14" s="34">
        <f>IF(AND(BY$5&gt;$E14,BY$5&lt;=$F14),IF(BY$5=$E14+1,$C14,""),"")</f>
        <v/>
      </c>
    </row>
    <row r="15">
      <c r="A15" s="32">
        <f>Plan!A10</f>
        <v/>
      </c>
      <c r="B15" s="33">
        <f>Plan!C10</f>
        <v/>
      </c>
      <c r="C15" s="16">
        <f>Plan!D10</f>
        <v/>
      </c>
      <c r="D15" s="16">
        <f>Plan!I10</f>
        <v/>
      </c>
      <c r="E15" s="16">
        <f>Plan!K10</f>
        <v/>
      </c>
      <c r="F15" s="16">
        <f>Plan!L10</f>
        <v/>
      </c>
      <c r="G15" s="16">
        <f>Plan!O10</f>
        <v/>
      </c>
      <c r="H15" s="34">
        <f>IF(AND(H$5&gt;$E15,H$5&lt;=$F15),IF(H$5=$E15+1,$C15,""),"")</f>
        <v/>
      </c>
      <c r="I15" s="34">
        <f>IF(AND(I$5&gt;$E15,I$5&lt;=$F15),IF(I$5=$E15+1,$C15,""),"")</f>
        <v/>
      </c>
      <c r="J15" s="34">
        <f>IF(AND(J$5&gt;$E15,J$5&lt;=$F15),IF(J$5=$E15+1,$C15,""),"")</f>
        <v/>
      </c>
      <c r="K15" s="34">
        <f>IF(AND(K$5&gt;$E15,K$5&lt;=$F15),IF(K$5=$E15+1,$C15,""),"")</f>
        <v/>
      </c>
      <c r="L15" s="34">
        <f>IF(AND(L$5&gt;$E15,L$5&lt;=$F15),IF(L$5=$E15+1,$C15,""),"")</f>
        <v/>
      </c>
      <c r="M15" s="34">
        <f>IF(AND(M$5&gt;$E15,M$5&lt;=$F15),IF(M$5=$E15+1,$C15,""),"")</f>
        <v/>
      </c>
      <c r="N15" s="34">
        <f>IF(AND(N$5&gt;$E15,N$5&lt;=$F15),IF(N$5=$E15+1,$C15,""),"")</f>
        <v/>
      </c>
      <c r="O15" s="34">
        <f>IF(AND(O$5&gt;$E15,O$5&lt;=$F15),IF(O$5=$E15+1,$C15,""),"")</f>
        <v/>
      </c>
      <c r="P15" s="34">
        <f>IF(AND(P$5&gt;$E15,P$5&lt;=$F15),IF(P$5=$E15+1,$C15,""),"")</f>
        <v/>
      </c>
      <c r="Q15" s="34">
        <f>IF(AND(Q$5&gt;$E15,Q$5&lt;=$F15),IF(Q$5=$E15+1,$C15,""),"")</f>
        <v/>
      </c>
      <c r="R15" s="34">
        <f>IF(AND(R$5&gt;$E15,R$5&lt;=$F15),IF(R$5=$E15+1,$C15,""),"")</f>
        <v/>
      </c>
      <c r="S15" s="34">
        <f>IF(AND(S$5&gt;$E15,S$5&lt;=$F15),IF(S$5=$E15+1,$C15,""),"")</f>
        <v/>
      </c>
      <c r="T15" s="34">
        <f>IF(AND(T$5&gt;$E15,T$5&lt;=$F15),IF(T$5=$E15+1,$C15,""),"")</f>
        <v/>
      </c>
      <c r="U15" s="34">
        <f>IF(AND(U$5&gt;$E15,U$5&lt;=$F15),IF(U$5=$E15+1,$C15,""),"")</f>
        <v/>
      </c>
      <c r="V15" s="34">
        <f>IF(AND(V$5&gt;$E15,V$5&lt;=$F15),IF(V$5=$E15+1,$C15,""),"")</f>
        <v/>
      </c>
      <c r="W15" s="34">
        <f>IF(AND(W$5&gt;$E15,W$5&lt;=$F15),IF(W$5=$E15+1,$C15,""),"")</f>
        <v/>
      </c>
      <c r="X15" s="34">
        <f>IF(AND(X$5&gt;$E15,X$5&lt;=$F15),IF(X$5=$E15+1,$C15,""),"")</f>
        <v/>
      </c>
      <c r="Y15" s="34">
        <f>IF(AND(Y$5&gt;$E15,Y$5&lt;=$F15),IF(Y$5=$E15+1,$C15,""),"")</f>
        <v/>
      </c>
      <c r="Z15" s="34">
        <f>IF(AND(Z$5&gt;$E15,Z$5&lt;=$F15),IF(Z$5=$E15+1,$C15,""),"")</f>
        <v/>
      </c>
      <c r="AA15" s="34">
        <f>IF(AND(AA$5&gt;$E15,AA$5&lt;=$F15),IF(AA$5=$E15+1,$C15,""),"")</f>
        <v/>
      </c>
      <c r="AB15" s="34">
        <f>IF(AND(AB$5&gt;$E15,AB$5&lt;=$F15),IF(AB$5=$E15+1,$C15,""),"")</f>
        <v/>
      </c>
      <c r="AC15" s="34">
        <f>IF(AND(AC$5&gt;$E15,AC$5&lt;=$F15),IF(AC$5=$E15+1,$C15,""),"")</f>
        <v/>
      </c>
      <c r="AD15" s="34">
        <f>IF(AND(AD$5&gt;$E15,AD$5&lt;=$F15),IF(AD$5=$E15+1,$C15,""),"")</f>
        <v/>
      </c>
      <c r="AE15" s="34">
        <f>IF(AND(AE$5&gt;$E15,AE$5&lt;=$F15),IF(AE$5=$E15+1,$C15,""),"")</f>
        <v/>
      </c>
      <c r="AF15" s="34">
        <f>IF(AND(AF$5&gt;$E15,AF$5&lt;=$F15),IF(AF$5=$E15+1,$C15,""),"")</f>
        <v/>
      </c>
      <c r="AG15" s="34">
        <f>IF(AND(AG$5&gt;$E15,AG$5&lt;=$F15),IF(AG$5=$E15+1,$C15,""),"")</f>
        <v/>
      </c>
      <c r="AH15" s="34">
        <f>IF(AND(AH$5&gt;$E15,AH$5&lt;=$F15),IF(AH$5=$E15+1,$C15,""),"")</f>
        <v/>
      </c>
      <c r="AI15" s="34">
        <f>IF(AND(AI$5&gt;$E15,AI$5&lt;=$F15),IF(AI$5=$E15+1,$C15,""),"")</f>
        <v/>
      </c>
      <c r="AJ15" s="34">
        <f>IF(AND(AJ$5&gt;$E15,AJ$5&lt;=$F15),IF(AJ$5=$E15+1,$C15,""),"")</f>
        <v/>
      </c>
      <c r="AK15" s="34">
        <f>IF(AND(AK$5&gt;$E15,AK$5&lt;=$F15),IF(AK$5=$E15+1,$C15,""),"")</f>
        <v/>
      </c>
      <c r="AL15" s="34">
        <f>IF(AND(AL$5&gt;$E15,AL$5&lt;=$F15),IF(AL$5=$E15+1,$C15,""),"")</f>
        <v/>
      </c>
      <c r="AM15" s="34">
        <f>IF(AND(AM$5&gt;$E15,AM$5&lt;=$F15),IF(AM$5=$E15+1,$C15,""),"")</f>
        <v/>
      </c>
      <c r="AN15" s="34">
        <f>IF(AND(AN$5&gt;$E15,AN$5&lt;=$F15),IF(AN$5=$E15+1,$C15,""),"")</f>
        <v/>
      </c>
      <c r="AO15" s="34">
        <f>IF(AND(AO$5&gt;$E15,AO$5&lt;=$F15),IF(AO$5=$E15+1,$C15,""),"")</f>
        <v/>
      </c>
      <c r="AP15" s="34">
        <f>IF(AND(AP$5&gt;$E15,AP$5&lt;=$F15),IF(AP$5=$E15+1,$C15,""),"")</f>
        <v/>
      </c>
      <c r="AQ15" s="34">
        <f>IF(AND(AQ$5&gt;$E15,AQ$5&lt;=$F15),IF(AQ$5=$E15+1,$C15,""),"")</f>
        <v/>
      </c>
      <c r="AR15" s="34">
        <f>IF(AND(AR$5&gt;$E15,AR$5&lt;=$F15),IF(AR$5=$E15+1,$C15,""),"")</f>
        <v/>
      </c>
      <c r="AS15" s="34">
        <f>IF(AND(AS$5&gt;$E15,AS$5&lt;=$F15),IF(AS$5=$E15+1,$C15,""),"")</f>
        <v/>
      </c>
      <c r="AT15" s="34">
        <f>IF(AND(AT$5&gt;$E15,AT$5&lt;=$F15),IF(AT$5=$E15+1,$C15,""),"")</f>
        <v/>
      </c>
      <c r="AU15" s="34">
        <f>IF(AND(AU$5&gt;$E15,AU$5&lt;=$F15),IF(AU$5=$E15+1,$C15,""),"")</f>
        <v/>
      </c>
      <c r="AV15" s="34">
        <f>IF(AND(AV$5&gt;$E15,AV$5&lt;=$F15),IF(AV$5=$E15+1,$C15,""),"")</f>
        <v/>
      </c>
      <c r="AW15" s="34">
        <f>IF(AND(AW$5&gt;$E15,AW$5&lt;=$F15),IF(AW$5=$E15+1,$C15,""),"")</f>
        <v/>
      </c>
      <c r="AX15" s="34">
        <f>IF(AND(AX$5&gt;$E15,AX$5&lt;=$F15),IF(AX$5=$E15+1,$C15,""),"")</f>
        <v/>
      </c>
      <c r="AY15" s="34">
        <f>IF(AND(AY$5&gt;$E15,AY$5&lt;=$F15),IF(AY$5=$E15+1,$C15,""),"")</f>
        <v/>
      </c>
      <c r="AZ15" s="34">
        <f>IF(AND(AZ$5&gt;$E15,AZ$5&lt;=$F15),IF(AZ$5=$E15+1,$C15,""),"")</f>
        <v/>
      </c>
      <c r="BA15" s="34">
        <f>IF(AND(BA$5&gt;$E15,BA$5&lt;=$F15),IF(BA$5=$E15+1,$C15,""),"")</f>
        <v/>
      </c>
      <c r="BB15" s="34">
        <f>IF(AND(BB$5&gt;$E15,BB$5&lt;=$F15),IF(BB$5=$E15+1,$C15,""),"")</f>
        <v/>
      </c>
      <c r="BC15" s="34">
        <f>IF(AND(BC$5&gt;$E15,BC$5&lt;=$F15),IF(BC$5=$E15+1,$C15,""),"")</f>
        <v/>
      </c>
      <c r="BD15" s="34">
        <f>IF(AND(BD$5&gt;$E15,BD$5&lt;=$F15),IF(BD$5=$E15+1,$C15,""),"")</f>
        <v/>
      </c>
      <c r="BE15" s="34">
        <f>IF(AND(BE$5&gt;$E15,BE$5&lt;=$F15),IF(BE$5=$E15+1,$C15,""),"")</f>
        <v/>
      </c>
      <c r="BF15" s="34">
        <f>IF(AND(BF$5&gt;$E15,BF$5&lt;=$F15),IF(BF$5=$E15+1,$C15,""),"")</f>
        <v/>
      </c>
      <c r="BG15" s="34">
        <f>IF(AND(BG$5&gt;$E15,BG$5&lt;=$F15),IF(BG$5=$E15+1,$C15,""),"")</f>
        <v/>
      </c>
      <c r="BH15" s="34">
        <f>IF(AND(BH$5&gt;$E15,BH$5&lt;=$F15),IF(BH$5=$E15+1,$C15,""),"")</f>
        <v/>
      </c>
      <c r="BI15" s="34">
        <f>IF(AND(BI$5&gt;$E15,BI$5&lt;=$F15),IF(BI$5=$E15+1,$C15,""),"")</f>
        <v/>
      </c>
      <c r="BJ15" s="34">
        <f>IF(AND(BJ$5&gt;$E15,BJ$5&lt;=$F15),IF(BJ$5=$E15+1,$C15,""),"")</f>
        <v/>
      </c>
      <c r="BK15" s="34">
        <f>IF(AND(BK$5&gt;$E15,BK$5&lt;=$F15),IF(BK$5=$E15+1,$C15,""),"")</f>
        <v/>
      </c>
      <c r="BL15" s="34">
        <f>IF(AND(BL$5&gt;$E15,BL$5&lt;=$F15),IF(BL$5=$E15+1,$C15,""),"")</f>
        <v/>
      </c>
      <c r="BM15" s="34">
        <f>IF(AND(BM$5&gt;$E15,BM$5&lt;=$F15),IF(BM$5=$E15+1,$C15,""),"")</f>
        <v/>
      </c>
      <c r="BN15" s="34">
        <f>IF(AND(BN$5&gt;$E15,BN$5&lt;=$F15),IF(BN$5=$E15+1,$C15,""),"")</f>
        <v/>
      </c>
      <c r="BO15" s="34">
        <f>IF(AND(BO$5&gt;$E15,BO$5&lt;=$F15),IF(BO$5=$E15+1,$C15,""),"")</f>
        <v/>
      </c>
      <c r="BP15" s="34">
        <f>IF(AND(BP$5&gt;$E15,BP$5&lt;=$F15),IF(BP$5=$E15+1,$C15,""),"")</f>
        <v/>
      </c>
      <c r="BQ15" s="34">
        <f>IF(AND(BQ$5&gt;$E15,BQ$5&lt;=$F15),IF(BQ$5=$E15+1,$C15,""),"")</f>
        <v/>
      </c>
      <c r="BR15" s="34">
        <f>IF(AND(BR$5&gt;$E15,BR$5&lt;=$F15),IF(BR$5=$E15+1,$C15,""),"")</f>
        <v/>
      </c>
      <c r="BS15" s="34">
        <f>IF(AND(BS$5&gt;$E15,BS$5&lt;=$F15),IF(BS$5=$E15+1,$C15,""),"")</f>
        <v/>
      </c>
      <c r="BT15" s="34">
        <f>IF(AND(BT$5&gt;$E15,BT$5&lt;=$F15),IF(BT$5=$E15+1,$C15,""),"")</f>
        <v/>
      </c>
      <c r="BU15" s="34">
        <f>IF(AND(BU$5&gt;$E15,BU$5&lt;=$F15),IF(BU$5=$E15+1,$C15,""),"")</f>
        <v/>
      </c>
      <c r="BV15" s="34">
        <f>IF(AND(BV$5&gt;$E15,BV$5&lt;=$F15),IF(BV$5=$E15+1,$C15,""),"")</f>
        <v/>
      </c>
      <c r="BW15" s="34">
        <f>IF(AND(BW$5&gt;$E15,BW$5&lt;=$F15),IF(BW$5=$E15+1,$C15,""),"")</f>
        <v/>
      </c>
      <c r="BX15" s="34">
        <f>IF(AND(BX$5&gt;$E15,BX$5&lt;=$F15),IF(BX$5=$E15+1,$C15,""),"")</f>
        <v/>
      </c>
      <c r="BY15" s="34">
        <f>IF(AND(BY$5&gt;$E15,BY$5&lt;=$F15),IF(BY$5=$E15+1,$C15,""),"")</f>
        <v/>
      </c>
    </row>
    <row r="16">
      <c r="A16" s="27" t="inlineStr">
        <is>
          <t>Fase 2. Landing y autenticación</t>
        </is>
      </c>
      <c r="B16" s="28" t="n"/>
      <c r="C16" s="28" t="n"/>
      <c r="D16" s="28" t="n"/>
      <c r="E16" s="29">
        <f>SUMPRODUCT(MIN((Plan!$B$5:$B$57="2. Landing y autenticación")*Plan!$K$5:$K$57+(Plan!$B$5:$B$57&lt;&gt;"2. Landing y autenticación")*1E9))</f>
        <v/>
      </c>
      <c r="F16" s="29">
        <f>SUMPRODUCT(MAX((Plan!$B$5:$B$57="2. Landing y autenticación")*Plan!$L$5:$L$57))</f>
        <v/>
      </c>
      <c r="G16" s="30">
        <f>Resumen!E30</f>
        <v/>
      </c>
      <c r="H16" s="31" t="n"/>
      <c r="I16" s="31" t="n"/>
      <c r="J16" s="31" t="n"/>
      <c r="K16" s="31" t="n"/>
      <c r="L16" s="31" t="n"/>
      <c r="M16" s="31" t="n"/>
      <c r="N16" s="31" t="n"/>
      <c r="O16" s="31" t="n"/>
      <c r="P16" s="31" t="n"/>
      <c r="Q16" s="31" t="n"/>
      <c r="R16" s="31" t="n"/>
      <c r="S16" s="31" t="n"/>
      <c r="T16" s="31" t="n"/>
      <c r="U16" s="31" t="n"/>
      <c r="V16" s="31" t="n"/>
      <c r="W16" s="31" t="n"/>
      <c r="X16" s="31" t="n"/>
      <c r="Y16" s="31" t="n"/>
      <c r="Z16" s="31" t="n"/>
      <c r="AA16" s="31" t="n"/>
      <c r="AB16" s="31" t="n"/>
      <c r="AC16" s="31" t="n"/>
      <c r="AD16" s="31" t="n"/>
      <c r="AE16" s="31" t="n"/>
      <c r="AF16" s="31" t="n"/>
      <c r="AG16" s="31" t="n"/>
      <c r="AH16" s="31" t="n"/>
      <c r="AI16" s="31" t="n"/>
      <c r="AJ16" s="31" t="n"/>
      <c r="AK16" s="31" t="n"/>
      <c r="AL16" s="31" t="n"/>
      <c r="AM16" s="31" t="n"/>
      <c r="AN16" s="31" t="n"/>
      <c r="AO16" s="31" t="n"/>
      <c r="AP16" s="31" t="n"/>
      <c r="AQ16" s="31" t="n"/>
      <c r="AR16" s="31" t="n"/>
      <c r="AS16" s="31" t="n"/>
      <c r="AT16" s="31" t="n"/>
      <c r="AU16" s="31" t="n"/>
      <c r="AV16" s="31" t="n"/>
      <c r="AW16" s="31" t="n"/>
      <c r="AX16" s="31" t="n"/>
      <c r="AY16" s="31" t="n"/>
      <c r="AZ16" s="31" t="n"/>
      <c r="BA16" s="31" t="n"/>
      <c r="BB16" s="31" t="n"/>
      <c r="BC16" s="31" t="n"/>
      <c r="BD16" s="31" t="n"/>
      <c r="BE16" s="31" t="n"/>
      <c r="BF16" s="31" t="n"/>
      <c r="BG16" s="31" t="n"/>
      <c r="BH16" s="31" t="n"/>
      <c r="BI16" s="31" t="n"/>
      <c r="BJ16" s="31" t="n"/>
      <c r="BK16" s="31" t="n"/>
      <c r="BL16" s="31" t="n"/>
      <c r="BM16" s="31" t="n"/>
      <c r="BN16" s="31" t="n"/>
      <c r="BO16" s="31" t="n"/>
      <c r="BP16" s="31" t="n"/>
      <c r="BQ16" s="31" t="n"/>
      <c r="BR16" s="31" t="n"/>
      <c r="BS16" s="31" t="n"/>
      <c r="BT16" s="31" t="n"/>
      <c r="BU16" s="31" t="n"/>
      <c r="BV16" s="31" t="n"/>
      <c r="BW16" s="31" t="n"/>
      <c r="BX16" s="31" t="n"/>
      <c r="BY16" s="31" t="n"/>
    </row>
    <row r="17">
      <c r="A17" s="32">
        <f>Plan!A11</f>
        <v/>
      </c>
      <c r="B17" s="33">
        <f>Plan!C11</f>
        <v/>
      </c>
      <c r="C17" s="16">
        <f>Plan!D11</f>
        <v/>
      </c>
      <c r="D17" s="16">
        <f>Plan!I11</f>
        <v/>
      </c>
      <c r="E17" s="16">
        <f>Plan!K11</f>
        <v/>
      </c>
      <c r="F17" s="16">
        <f>Plan!L11</f>
        <v/>
      </c>
      <c r="G17" s="16">
        <f>Plan!O11</f>
        <v/>
      </c>
      <c r="H17" s="34">
        <f>IF(AND(H$5&gt;$E17,H$5&lt;=$F17),IF(H$5=$E17+1,$C17,""),"")</f>
        <v/>
      </c>
      <c r="I17" s="34">
        <f>IF(AND(I$5&gt;$E17,I$5&lt;=$F17),IF(I$5=$E17+1,$C17,""),"")</f>
        <v/>
      </c>
      <c r="J17" s="34">
        <f>IF(AND(J$5&gt;$E17,J$5&lt;=$F17),IF(J$5=$E17+1,$C17,""),"")</f>
        <v/>
      </c>
      <c r="K17" s="34">
        <f>IF(AND(K$5&gt;$E17,K$5&lt;=$F17),IF(K$5=$E17+1,$C17,""),"")</f>
        <v/>
      </c>
      <c r="L17" s="34">
        <f>IF(AND(L$5&gt;$E17,L$5&lt;=$F17),IF(L$5=$E17+1,$C17,""),"")</f>
        <v/>
      </c>
      <c r="M17" s="34">
        <f>IF(AND(M$5&gt;$E17,M$5&lt;=$F17),IF(M$5=$E17+1,$C17,""),"")</f>
        <v/>
      </c>
      <c r="N17" s="34">
        <f>IF(AND(N$5&gt;$E17,N$5&lt;=$F17),IF(N$5=$E17+1,$C17,""),"")</f>
        <v/>
      </c>
      <c r="O17" s="34">
        <f>IF(AND(O$5&gt;$E17,O$5&lt;=$F17),IF(O$5=$E17+1,$C17,""),"")</f>
        <v/>
      </c>
      <c r="P17" s="34">
        <f>IF(AND(P$5&gt;$E17,P$5&lt;=$F17),IF(P$5=$E17+1,$C17,""),"")</f>
        <v/>
      </c>
      <c r="Q17" s="34">
        <f>IF(AND(Q$5&gt;$E17,Q$5&lt;=$F17),IF(Q$5=$E17+1,$C17,""),"")</f>
        <v/>
      </c>
      <c r="R17" s="34">
        <f>IF(AND(R$5&gt;$E17,R$5&lt;=$F17),IF(R$5=$E17+1,$C17,""),"")</f>
        <v/>
      </c>
      <c r="S17" s="34">
        <f>IF(AND(S$5&gt;$E17,S$5&lt;=$F17),IF(S$5=$E17+1,$C17,""),"")</f>
        <v/>
      </c>
      <c r="T17" s="34">
        <f>IF(AND(T$5&gt;$E17,T$5&lt;=$F17),IF(T$5=$E17+1,$C17,""),"")</f>
        <v/>
      </c>
      <c r="U17" s="34">
        <f>IF(AND(U$5&gt;$E17,U$5&lt;=$F17),IF(U$5=$E17+1,$C17,""),"")</f>
        <v/>
      </c>
      <c r="V17" s="34">
        <f>IF(AND(V$5&gt;$E17,V$5&lt;=$F17),IF(V$5=$E17+1,$C17,""),"")</f>
        <v/>
      </c>
      <c r="W17" s="34">
        <f>IF(AND(W$5&gt;$E17,W$5&lt;=$F17),IF(W$5=$E17+1,$C17,""),"")</f>
        <v/>
      </c>
      <c r="X17" s="34">
        <f>IF(AND(X$5&gt;$E17,X$5&lt;=$F17),IF(X$5=$E17+1,$C17,""),"")</f>
        <v/>
      </c>
      <c r="Y17" s="34">
        <f>IF(AND(Y$5&gt;$E17,Y$5&lt;=$F17),IF(Y$5=$E17+1,$C17,""),"")</f>
        <v/>
      </c>
      <c r="Z17" s="34">
        <f>IF(AND(Z$5&gt;$E17,Z$5&lt;=$F17),IF(Z$5=$E17+1,$C17,""),"")</f>
        <v/>
      </c>
      <c r="AA17" s="34">
        <f>IF(AND(AA$5&gt;$E17,AA$5&lt;=$F17),IF(AA$5=$E17+1,$C17,""),"")</f>
        <v/>
      </c>
      <c r="AB17" s="34">
        <f>IF(AND(AB$5&gt;$E17,AB$5&lt;=$F17),IF(AB$5=$E17+1,$C17,""),"")</f>
        <v/>
      </c>
      <c r="AC17" s="34">
        <f>IF(AND(AC$5&gt;$E17,AC$5&lt;=$F17),IF(AC$5=$E17+1,$C17,""),"")</f>
        <v/>
      </c>
      <c r="AD17" s="34">
        <f>IF(AND(AD$5&gt;$E17,AD$5&lt;=$F17),IF(AD$5=$E17+1,$C17,""),"")</f>
        <v/>
      </c>
      <c r="AE17" s="34">
        <f>IF(AND(AE$5&gt;$E17,AE$5&lt;=$F17),IF(AE$5=$E17+1,$C17,""),"")</f>
        <v/>
      </c>
      <c r="AF17" s="34">
        <f>IF(AND(AF$5&gt;$E17,AF$5&lt;=$F17),IF(AF$5=$E17+1,$C17,""),"")</f>
        <v/>
      </c>
      <c r="AG17" s="34">
        <f>IF(AND(AG$5&gt;$E17,AG$5&lt;=$F17),IF(AG$5=$E17+1,$C17,""),"")</f>
        <v/>
      </c>
      <c r="AH17" s="34">
        <f>IF(AND(AH$5&gt;$E17,AH$5&lt;=$F17),IF(AH$5=$E17+1,$C17,""),"")</f>
        <v/>
      </c>
      <c r="AI17" s="34">
        <f>IF(AND(AI$5&gt;$E17,AI$5&lt;=$F17),IF(AI$5=$E17+1,$C17,""),"")</f>
        <v/>
      </c>
      <c r="AJ17" s="34">
        <f>IF(AND(AJ$5&gt;$E17,AJ$5&lt;=$F17),IF(AJ$5=$E17+1,$C17,""),"")</f>
        <v/>
      </c>
      <c r="AK17" s="34">
        <f>IF(AND(AK$5&gt;$E17,AK$5&lt;=$F17),IF(AK$5=$E17+1,$C17,""),"")</f>
        <v/>
      </c>
      <c r="AL17" s="34">
        <f>IF(AND(AL$5&gt;$E17,AL$5&lt;=$F17),IF(AL$5=$E17+1,$C17,""),"")</f>
        <v/>
      </c>
      <c r="AM17" s="34">
        <f>IF(AND(AM$5&gt;$E17,AM$5&lt;=$F17),IF(AM$5=$E17+1,$C17,""),"")</f>
        <v/>
      </c>
      <c r="AN17" s="34">
        <f>IF(AND(AN$5&gt;$E17,AN$5&lt;=$F17),IF(AN$5=$E17+1,$C17,""),"")</f>
        <v/>
      </c>
      <c r="AO17" s="34">
        <f>IF(AND(AO$5&gt;$E17,AO$5&lt;=$F17),IF(AO$5=$E17+1,$C17,""),"")</f>
        <v/>
      </c>
      <c r="AP17" s="34">
        <f>IF(AND(AP$5&gt;$E17,AP$5&lt;=$F17),IF(AP$5=$E17+1,$C17,""),"")</f>
        <v/>
      </c>
      <c r="AQ17" s="34">
        <f>IF(AND(AQ$5&gt;$E17,AQ$5&lt;=$F17),IF(AQ$5=$E17+1,$C17,""),"")</f>
        <v/>
      </c>
      <c r="AR17" s="34">
        <f>IF(AND(AR$5&gt;$E17,AR$5&lt;=$F17),IF(AR$5=$E17+1,$C17,""),"")</f>
        <v/>
      </c>
      <c r="AS17" s="34">
        <f>IF(AND(AS$5&gt;$E17,AS$5&lt;=$F17),IF(AS$5=$E17+1,$C17,""),"")</f>
        <v/>
      </c>
      <c r="AT17" s="34">
        <f>IF(AND(AT$5&gt;$E17,AT$5&lt;=$F17),IF(AT$5=$E17+1,$C17,""),"")</f>
        <v/>
      </c>
      <c r="AU17" s="34">
        <f>IF(AND(AU$5&gt;$E17,AU$5&lt;=$F17),IF(AU$5=$E17+1,$C17,""),"")</f>
        <v/>
      </c>
      <c r="AV17" s="34">
        <f>IF(AND(AV$5&gt;$E17,AV$5&lt;=$F17),IF(AV$5=$E17+1,$C17,""),"")</f>
        <v/>
      </c>
      <c r="AW17" s="34">
        <f>IF(AND(AW$5&gt;$E17,AW$5&lt;=$F17),IF(AW$5=$E17+1,$C17,""),"")</f>
        <v/>
      </c>
      <c r="AX17" s="34">
        <f>IF(AND(AX$5&gt;$E17,AX$5&lt;=$F17),IF(AX$5=$E17+1,$C17,""),"")</f>
        <v/>
      </c>
      <c r="AY17" s="34">
        <f>IF(AND(AY$5&gt;$E17,AY$5&lt;=$F17),IF(AY$5=$E17+1,$C17,""),"")</f>
        <v/>
      </c>
      <c r="AZ17" s="34">
        <f>IF(AND(AZ$5&gt;$E17,AZ$5&lt;=$F17),IF(AZ$5=$E17+1,$C17,""),"")</f>
        <v/>
      </c>
      <c r="BA17" s="34">
        <f>IF(AND(BA$5&gt;$E17,BA$5&lt;=$F17),IF(BA$5=$E17+1,$C17,""),"")</f>
        <v/>
      </c>
      <c r="BB17" s="34">
        <f>IF(AND(BB$5&gt;$E17,BB$5&lt;=$F17),IF(BB$5=$E17+1,$C17,""),"")</f>
        <v/>
      </c>
      <c r="BC17" s="34">
        <f>IF(AND(BC$5&gt;$E17,BC$5&lt;=$F17),IF(BC$5=$E17+1,$C17,""),"")</f>
        <v/>
      </c>
      <c r="BD17" s="34">
        <f>IF(AND(BD$5&gt;$E17,BD$5&lt;=$F17),IF(BD$5=$E17+1,$C17,""),"")</f>
        <v/>
      </c>
      <c r="BE17" s="34">
        <f>IF(AND(BE$5&gt;$E17,BE$5&lt;=$F17),IF(BE$5=$E17+1,$C17,""),"")</f>
        <v/>
      </c>
      <c r="BF17" s="34">
        <f>IF(AND(BF$5&gt;$E17,BF$5&lt;=$F17),IF(BF$5=$E17+1,$C17,""),"")</f>
        <v/>
      </c>
      <c r="BG17" s="34">
        <f>IF(AND(BG$5&gt;$E17,BG$5&lt;=$F17),IF(BG$5=$E17+1,$C17,""),"")</f>
        <v/>
      </c>
      <c r="BH17" s="34">
        <f>IF(AND(BH$5&gt;$E17,BH$5&lt;=$F17),IF(BH$5=$E17+1,$C17,""),"")</f>
        <v/>
      </c>
      <c r="BI17" s="34">
        <f>IF(AND(BI$5&gt;$E17,BI$5&lt;=$F17),IF(BI$5=$E17+1,$C17,""),"")</f>
        <v/>
      </c>
      <c r="BJ17" s="34">
        <f>IF(AND(BJ$5&gt;$E17,BJ$5&lt;=$F17),IF(BJ$5=$E17+1,$C17,""),"")</f>
        <v/>
      </c>
      <c r="BK17" s="34">
        <f>IF(AND(BK$5&gt;$E17,BK$5&lt;=$F17),IF(BK$5=$E17+1,$C17,""),"")</f>
        <v/>
      </c>
      <c r="BL17" s="34">
        <f>IF(AND(BL$5&gt;$E17,BL$5&lt;=$F17),IF(BL$5=$E17+1,$C17,""),"")</f>
        <v/>
      </c>
      <c r="BM17" s="34">
        <f>IF(AND(BM$5&gt;$E17,BM$5&lt;=$F17),IF(BM$5=$E17+1,$C17,""),"")</f>
        <v/>
      </c>
      <c r="BN17" s="34">
        <f>IF(AND(BN$5&gt;$E17,BN$5&lt;=$F17),IF(BN$5=$E17+1,$C17,""),"")</f>
        <v/>
      </c>
      <c r="BO17" s="34">
        <f>IF(AND(BO$5&gt;$E17,BO$5&lt;=$F17),IF(BO$5=$E17+1,$C17,""),"")</f>
        <v/>
      </c>
      <c r="BP17" s="34">
        <f>IF(AND(BP$5&gt;$E17,BP$5&lt;=$F17),IF(BP$5=$E17+1,$C17,""),"")</f>
        <v/>
      </c>
      <c r="BQ17" s="34">
        <f>IF(AND(BQ$5&gt;$E17,BQ$5&lt;=$F17),IF(BQ$5=$E17+1,$C17,""),"")</f>
        <v/>
      </c>
      <c r="BR17" s="34">
        <f>IF(AND(BR$5&gt;$E17,BR$5&lt;=$F17),IF(BR$5=$E17+1,$C17,""),"")</f>
        <v/>
      </c>
      <c r="BS17" s="34">
        <f>IF(AND(BS$5&gt;$E17,BS$5&lt;=$F17),IF(BS$5=$E17+1,$C17,""),"")</f>
        <v/>
      </c>
      <c r="BT17" s="34">
        <f>IF(AND(BT$5&gt;$E17,BT$5&lt;=$F17),IF(BT$5=$E17+1,$C17,""),"")</f>
        <v/>
      </c>
      <c r="BU17" s="34">
        <f>IF(AND(BU$5&gt;$E17,BU$5&lt;=$F17),IF(BU$5=$E17+1,$C17,""),"")</f>
        <v/>
      </c>
      <c r="BV17" s="34">
        <f>IF(AND(BV$5&gt;$E17,BV$5&lt;=$F17),IF(BV$5=$E17+1,$C17,""),"")</f>
        <v/>
      </c>
      <c r="BW17" s="34">
        <f>IF(AND(BW$5&gt;$E17,BW$5&lt;=$F17),IF(BW$5=$E17+1,$C17,""),"")</f>
        <v/>
      </c>
      <c r="BX17" s="34">
        <f>IF(AND(BX$5&gt;$E17,BX$5&lt;=$F17),IF(BX$5=$E17+1,$C17,""),"")</f>
        <v/>
      </c>
      <c r="BY17" s="34">
        <f>IF(AND(BY$5&gt;$E17,BY$5&lt;=$F17),IF(BY$5=$E17+1,$C17,""),"")</f>
        <v/>
      </c>
    </row>
    <row r="18">
      <c r="A18" s="32">
        <f>Plan!A12</f>
        <v/>
      </c>
      <c r="B18" s="33">
        <f>Plan!C12</f>
        <v/>
      </c>
      <c r="C18" s="16">
        <f>Plan!D12</f>
        <v/>
      </c>
      <c r="D18" s="16">
        <f>Plan!I12</f>
        <v/>
      </c>
      <c r="E18" s="16">
        <f>Plan!K12</f>
        <v/>
      </c>
      <c r="F18" s="16">
        <f>Plan!L12</f>
        <v/>
      </c>
      <c r="G18" s="16">
        <f>Plan!O12</f>
        <v/>
      </c>
      <c r="H18" s="34">
        <f>IF(AND(H$5&gt;$E18,H$5&lt;=$F18),IF(H$5=$E18+1,$C18,""),"")</f>
        <v/>
      </c>
      <c r="I18" s="34">
        <f>IF(AND(I$5&gt;$E18,I$5&lt;=$F18),IF(I$5=$E18+1,$C18,""),"")</f>
        <v/>
      </c>
      <c r="J18" s="34">
        <f>IF(AND(J$5&gt;$E18,J$5&lt;=$F18),IF(J$5=$E18+1,$C18,""),"")</f>
        <v/>
      </c>
      <c r="K18" s="34">
        <f>IF(AND(K$5&gt;$E18,K$5&lt;=$F18),IF(K$5=$E18+1,$C18,""),"")</f>
        <v/>
      </c>
      <c r="L18" s="34">
        <f>IF(AND(L$5&gt;$E18,L$5&lt;=$F18),IF(L$5=$E18+1,$C18,""),"")</f>
        <v/>
      </c>
      <c r="M18" s="34">
        <f>IF(AND(M$5&gt;$E18,M$5&lt;=$F18),IF(M$5=$E18+1,$C18,""),"")</f>
        <v/>
      </c>
      <c r="N18" s="34">
        <f>IF(AND(N$5&gt;$E18,N$5&lt;=$F18),IF(N$5=$E18+1,$C18,""),"")</f>
        <v/>
      </c>
      <c r="O18" s="34">
        <f>IF(AND(O$5&gt;$E18,O$5&lt;=$F18),IF(O$5=$E18+1,$C18,""),"")</f>
        <v/>
      </c>
      <c r="P18" s="34">
        <f>IF(AND(P$5&gt;$E18,P$5&lt;=$F18),IF(P$5=$E18+1,$C18,""),"")</f>
        <v/>
      </c>
      <c r="Q18" s="34">
        <f>IF(AND(Q$5&gt;$E18,Q$5&lt;=$F18),IF(Q$5=$E18+1,$C18,""),"")</f>
        <v/>
      </c>
      <c r="R18" s="34">
        <f>IF(AND(R$5&gt;$E18,R$5&lt;=$F18),IF(R$5=$E18+1,$C18,""),"")</f>
        <v/>
      </c>
      <c r="S18" s="34">
        <f>IF(AND(S$5&gt;$E18,S$5&lt;=$F18),IF(S$5=$E18+1,$C18,""),"")</f>
        <v/>
      </c>
      <c r="T18" s="34">
        <f>IF(AND(T$5&gt;$E18,T$5&lt;=$F18),IF(T$5=$E18+1,$C18,""),"")</f>
        <v/>
      </c>
      <c r="U18" s="34">
        <f>IF(AND(U$5&gt;$E18,U$5&lt;=$F18),IF(U$5=$E18+1,$C18,""),"")</f>
        <v/>
      </c>
      <c r="V18" s="34">
        <f>IF(AND(V$5&gt;$E18,V$5&lt;=$F18),IF(V$5=$E18+1,$C18,""),"")</f>
        <v/>
      </c>
      <c r="W18" s="34">
        <f>IF(AND(W$5&gt;$E18,W$5&lt;=$F18),IF(W$5=$E18+1,$C18,""),"")</f>
        <v/>
      </c>
      <c r="X18" s="34">
        <f>IF(AND(X$5&gt;$E18,X$5&lt;=$F18),IF(X$5=$E18+1,$C18,""),"")</f>
        <v/>
      </c>
      <c r="Y18" s="34">
        <f>IF(AND(Y$5&gt;$E18,Y$5&lt;=$F18),IF(Y$5=$E18+1,$C18,""),"")</f>
        <v/>
      </c>
      <c r="Z18" s="34">
        <f>IF(AND(Z$5&gt;$E18,Z$5&lt;=$F18),IF(Z$5=$E18+1,$C18,""),"")</f>
        <v/>
      </c>
      <c r="AA18" s="34">
        <f>IF(AND(AA$5&gt;$E18,AA$5&lt;=$F18),IF(AA$5=$E18+1,$C18,""),"")</f>
        <v/>
      </c>
      <c r="AB18" s="34">
        <f>IF(AND(AB$5&gt;$E18,AB$5&lt;=$F18),IF(AB$5=$E18+1,$C18,""),"")</f>
        <v/>
      </c>
      <c r="AC18" s="34">
        <f>IF(AND(AC$5&gt;$E18,AC$5&lt;=$F18),IF(AC$5=$E18+1,$C18,""),"")</f>
        <v/>
      </c>
      <c r="AD18" s="34">
        <f>IF(AND(AD$5&gt;$E18,AD$5&lt;=$F18),IF(AD$5=$E18+1,$C18,""),"")</f>
        <v/>
      </c>
      <c r="AE18" s="34">
        <f>IF(AND(AE$5&gt;$E18,AE$5&lt;=$F18),IF(AE$5=$E18+1,$C18,""),"")</f>
        <v/>
      </c>
      <c r="AF18" s="34">
        <f>IF(AND(AF$5&gt;$E18,AF$5&lt;=$F18),IF(AF$5=$E18+1,$C18,""),"")</f>
        <v/>
      </c>
      <c r="AG18" s="34">
        <f>IF(AND(AG$5&gt;$E18,AG$5&lt;=$F18),IF(AG$5=$E18+1,$C18,""),"")</f>
        <v/>
      </c>
      <c r="AH18" s="34">
        <f>IF(AND(AH$5&gt;$E18,AH$5&lt;=$F18),IF(AH$5=$E18+1,$C18,""),"")</f>
        <v/>
      </c>
      <c r="AI18" s="34">
        <f>IF(AND(AI$5&gt;$E18,AI$5&lt;=$F18),IF(AI$5=$E18+1,$C18,""),"")</f>
        <v/>
      </c>
      <c r="AJ18" s="34">
        <f>IF(AND(AJ$5&gt;$E18,AJ$5&lt;=$F18),IF(AJ$5=$E18+1,$C18,""),"")</f>
        <v/>
      </c>
      <c r="AK18" s="34">
        <f>IF(AND(AK$5&gt;$E18,AK$5&lt;=$F18),IF(AK$5=$E18+1,$C18,""),"")</f>
        <v/>
      </c>
      <c r="AL18" s="34">
        <f>IF(AND(AL$5&gt;$E18,AL$5&lt;=$F18),IF(AL$5=$E18+1,$C18,""),"")</f>
        <v/>
      </c>
      <c r="AM18" s="34">
        <f>IF(AND(AM$5&gt;$E18,AM$5&lt;=$F18),IF(AM$5=$E18+1,$C18,""),"")</f>
        <v/>
      </c>
      <c r="AN18" s="34">
        <f>IF(AND(AN$5&gt;$E18,AN$5&lt;=$F18),IF(AN$5=$E18+1,$C18,""),"")</f>
        <v/>
      </c>
      <c r="AO18" s="34">
        <f>IF(AND(AO$5&gt;$E18,AO$5&lt;=$F18),IF(AO$5=$E18+1,$C18,""),"")</f>
        <v/>
      </c>
      <c r="AP18" s="34">
        <f>IF(AND(AP$5&gt;$E18,AP$5&lt;=$F18),IF(AP$5=$E18+1,$C18,""),"")</f>
        <v/>
      </c>
      <c r="AQ18" s="34">
        <f>IF(AND(AQ$5&gt;$E18,AQ$5&lt;=$F18),IF(AQ$5=$E18+1,$C18,""),"")</f>
        <v/>
      </c>
      <c r="AR18" s="34">
        <f>IF(AND(AR$5&gt;$E18,AR$5&lt;=$F18),IF(AR$5=$E18+1,$C18,""),"")</f>
        <v/>
      </c>
      <c r="AS18" s="34">
        <f>IF(AND(AS$5&gt;$E18,AS$5&lt;=$F18),IF(AS$5=$E18+1,$C18,""),"")</f>
        <v/>
      </c>
      <c r="AT18" s="34">
        <f>IF(AND(AT$5&gt;$E18,AT$5&lt;=$F18),IF(AT$5=$E18+1,$C18,""),"")</f>
        <v/>
      </c>
      <c r="AU18" s="34">
        <f>IF(AND(AU$5&gt;$E18,AU$5&lt;=$F18),IF(AU$5=$E18+1,$C18,""),"")</f>
        <v/>
      </c>
      <c r="AV18" s="34">
        <f>IF(AND(AV$5&gt;$E18,AV$5&lt;=$F18),IF(AV$5=$E18+1,$C18,""),"")</f>
        <v/>
      </c>
      <c r="AW18" s="34">
        <f>IF(AND(AW$5&gt;$E18,AW$5&lt;=$F18),IF(AW$5=$E18+1,$C18,""),"")</f>
        <v/>
      </c>
      <c r="AX18" s="34">
        <f>IF(AND(AX$5&gt;$E18,AX$5&lt;=$F18),IF(AX$5=$E18+1,$C18,""),"")</f>
        <v/>
      </c>
      <c r="AY18" s="34">
        <f>IF(AND(AY$5&gt;$E18,AY$5&lt;=$F18),IF(AY$5=$E18+1,$C18,""),"")</f>
        <v/>
      </c>
      <c r="AZ18" s="34">
        <f>IF(AND(AZ$5&gt;$E18,AZ$5&lt;=$F18),IF(AZ$5=$E18+1,$C18,""),"")</f>
        <v/>
      </c>
      <c r="BA18" s="34">
        <f>IF(AND(BA$5&gt;$E18,BA$5&lt;=$F18),IF(BA$5=$E18+1,$C18,""),"")</f>
        <v/>
      </c>
      <c r="BB18" s="34">
        <f>IF(AND(BB$5&gt;$E18,BB$5&lt;=$F18),IF(BB$5=$E18+1,$C18,""),"")</f>
        <v/>
      </c>
      <c r="BC18" s="34">
        <f>IF(AND(BC$5&gt;$E18,BC$5&lt;=$F18),IF(BC$5=$E18+1,$C18,""),"")</f>
        <v/>
      </c>
      <c r="BD18" s="34">
        <f>IF(AND(BD$5&gt;$E18,BD$5&lt;=$F18),IF(BD$5=$E18+1,$C18,""),"")</f>
        <v/>
      </c>
      <c r="BE18" s="34">
        <f>IF(AND(BE$5&gt;$E18,BE$5&lt;=$F18),IF(BE$5=$E18+1,$C18,""),"")</f>
        <v/>
      </c>
      <c r="BF18" s="34">
        <f>IF(AND(BF$5&gt;$E18,BF$5&lt;=$F18),IF(BF$5=$E18+1,$C18,""),"")</f>
        <v/>
      </c>
      <c r="BG18" s="34">
        <f>IF(AND(BG$5&gt;$E18,BG$5&lt;=$F18),IF(BG$5=$E18+1,$C18,""),"")</f>
        <v/>
      </c>
      <c r="BH18" s="34">
        <f>IF(AND(BH$5&gt;$E18,BH$5&lt;=$F18),IF(BH$5=$E18+1,$C18,""),"")</f>
        <v/>
      </c>
      <c r="BI18" s="34">
        <f>IF(AND(BI$5&gt;$E18,BI$5&lt;=$F18),IF(BI$5=$E18+1,$C18,""),"")</f>
        <v/>
      </c>
      <c r="BJ18" s="34">
        <f>IF(AND(BJ$5&gt;$E18,BJ$5&lt;=$F18),IF(BJ$5=$E18+1,$C18,""),"")</f>
        <v/>
      </c>
      <c r="BK18" s="34">
        <f>IF(AND(BK$5&gt;$E18,BK$5&lt;=$F18),IF(BK$5=$E18+1,$C18,""),"")</f>
        <v/>
      </c>
      <c r="BL18" s="34">
        <f>IF(AND(BL$5&gt;$E18,BL$5&lt;=$F18),IF(BL$5=$E18+1,$C18,""),"")</f>
        <v/>
      </c>
      <c r="BM18" s="34">
        <f>IF(AND(BM$5&gt;$E18,BM$5&lt;=$F18),IF(BM$5=$E18+1,$C18,""),"")</f>
        <v/>
      </c>
      <c r="BN18" s="34">
        <f>IF(AND(BN$5&gt;$E18,BN$5&lt;=$F18),IF(BN$5=$E18+1,$C18,""),"")</f>
        <v/>
      </c>
      <c r="BO18" s="34">
        <f>IF(AND(BO$5&gt;$E18,BO$5&lt;=$F18),IF(BO$5=$E18+1,$C18,""),"")</f>
        <v/>
      </c>
      <c r="BP18" s="34">
        <f>IF(AND(BP$5&gt;$E18,BP$5&lt;=$F18),IF(BP$5=$E18+1,$C18,""),"")</f>
        <v/>
      </c>
      <c r="BQ18" s="34">
        <f>IF(AND(BQ$5&gt;$E18,BQ$5&lt;=$F18),IF(BQ$5=$E18+1,$C18,""),"")</f>
        <v/>
      </c>
      <c r="BR18" s="34">
        <f>IF(AND(BR$5&gt;$E18,BR$5&lt;=$F18),IF(BR$5=$E18+1,$C18,""),"")</f>
        <v/>
      </c>
      <c r="BS18" s="34">
        <f>IF(AND(BS$5&gt;$E18,BS$5&lt;=$F18),IF(BS$5=$E18+1,$C18,""),"")</f>
        <v/>
      </c>
      <c r="BT18" s="34">
        <f>IF(AND(BT$5&gt;$E18,BT$5&lt;=$F18),IF(BT$5=$E18+1,$C18,""),"")</f>
        <v/>
      </c>
      <c r="BU18" s="34">
        <f>IF(AND(BU$5&gt;$E18,BU$5&lt;=$F18),IF(BU$5=$E18+1,$C18,""),"")</f>
        <v/>
      </c>
      <c r="BV18" s="34">
        <f>IF(AND(BV$5&gt;$E18,BV$5&lt;=$F18),IF(BV$5=$E18+1,$C18,""),"")</f>
        <v/>
      </c>
      <c r="BW18" s="34">
        <f>IF(AND(BW$5&gt;$E18,BW$5&lt;=$F18),IF(BW$5=$E18+1,$C18,""),"")</f>
        <v/>
      </c>
      <c r="BX18" s="34">
        <f>IF(AND(BX$5&gt;$E18,BX$5&lt;=$F18),IF(BX$5=$E18+1,$C18,""),"")</f>
        <v/>
      </c>
      <c r="BY18" s="34">
        <f>IF(AND(BY$5&gt;$E18,BY$5&lt;=$F18),IF(BY$5=$E18+1,$C18,""),"")</f>
        <v/>
      </c>
    </row>
    <row r="19">
      <c r="A19" s="32">
        <f>Plan!A13</f>
        <v/>
      </c>
      <c r="B19" s="33">
        <f>Plan!C13</f>
        <v/>
      </c>
      <c r="C19" s="16">
        <f>Plan!D13</f>
        <v/>
      </c>
      <c r="D19" s="16">
        <f>Plan!I13</f>
        <v/>
      </c>
      <c r="E19" s="16">
        <f>Plan!K13</f>
        <v/>
      </c>
      <c r="F19" s="16">
        <f>Plan!L13</f>
        <v/>
      </c>
      <c r="G19" s="16">
        <f>Plan!O13</f>
        <v/>
      </c>
      <c r="H19" s="34">
        <f>IF(AND(H$5&gt;$E19,H$5&lt;=$F19),IF(H$5=$E19+1,$C19,""),"")</f>
        <v/>
      </c>
      <c r="I19" s="34">
        <f>IF(AND(I$5&gt;$E19,I$5&lt;=$F19),IF(I$5=$E19+1,$C19,""),"")</f>
        <v/>
      </c>
      <c r="J19" s="34">
        <f>IF(AND(J$5&gt;$E19,J$5&lt;=$F19),IF(J$5=$E19+1,$C19,""),"")</f>
        <v/>
      </c>
      <c r="K19" s="34">
        <f>IF(AND(K$5&gt;$E19,K$5&lt;=$F19),IF(K$5=$E19+1,$C19,""),"")</f>
        <v/>
      </c>
      <c r="L19" s="34">
        <f>IF(AND(L$5&gt;$E19,L$5&lt;=$F19),IF(L$5=$E19+1,$C19,""),"")</f>
        <v/>
      </c>
      <c r="M19" s="34">
        <f>IF(AND(M$5&gt;$E19,M$5&lt;=$F19),IF(M$5=$E19+1,$C19,""),"")</f>
        <v/>
      </c>
      <c r="N19" s="34">
        <f>IF(AND(N$5&gt;$E19,N$5&lt;=$F19),IF(N$5=$E19+1,$C19,""),"")</f>
        <v/>
      </c>
      <c r="O19" s="34">
        <f>IF(AND(O$5&gt;$E19,O$5&lt;=$F19),IF(O$5=$E19+1,$C19,""),"")</f>
        <v/>
      </c>
      <c r="P19" s="34">
        <f>IF(AND(P$5&gt;$E19,P$5&lt;=$F19),IF(P$5=$E19+1,$C19,""),"")</f>
        <v/>
      </c>
      <c r="Q19" s="34">
        <f>IF(AND(Q$5&gt;$E19,Q$5&lt;=$F19),IF(Q$5=$E19+1,$C19,""),"")</f>
        <v/>
      </c>
      <c r="R19" s="34">
        <f>IF(AND(R$5&gt;$E19,R$5&lt;=$F19),IF(R$5=$E19+1,$C19,""),"")</f>
        <v/>
      </c>
      <c r="S19" s="34">
        <f>IF(AND(S$5&gt;$E19,S$5&lt;=$F19),IF(S$5=$E19+1,$C19,""),"")</f>
        <v/>
      </c>
      <c r="T19" s="34">
        <f>IF(AND(T$5&gt;$E19,T$5&lt;=$F19),IF(T$5=$E19+1,$C19,""),"")</f>
        <v/>
      </c>
      <c r="U19" s="34">
        <f>IF(AND(U$5&gt;$E19,U$5&lt;=$F19),IF(U$5=$E19+1,$C19,""),"")</f>
        <v/>
      </c>
      <c r="V19" s="34">
        <f>IF(AND(V$5&gt;$E19,V$5&lt;=$F19),IF(V$5=$E19+1,$C19,""),"")</f>
        <v/>
      </c>
      <c r="W19" s="34">
        <f>IF(AND(W$5&gt;$E19,W$5&lt;=$F19),IF(W$5=$E19+1,$C19,""),"")</f>
        <v/>
      </c>
      <c r="X19" s="34">
        <f>IF(AND(X$5&gt;$E19,X$5&lt;=$F19),IF(X$5=$E19+1,$C19,""),"")</f>
        <v/>
      </c>
      <c r="Y19" s="34">
        <f>IF(AND(Y$5&gt;$E19,Y$5&lt;=$F19),IF(Y$5=$E19+1,$C19,""),"")</f>
        <v/>
      </c>
      <c r="Z19" s="34">
        <f>IF(AND(Z$5&gt;$E19,Z$5&lt;=$F19),IF(Z$5=$E19+1,$C19,""),"")</f>
        <v/>
      </c>
      <c r="AA19" s="34">
        <f>IF(AND(AA$5&gt;$E19,AA$5&lt;=$F19),IF(AA$5=$E19+1,$C19,""),"")</f>
        <v/>
      </c>
      <c r="AB19" s="34">
        <f>IF(AND(AB$5&gt;$E19,AB$5&lt;=$F19),IF(AB$5=$E19+1,$C19,""),"")</f>
        <v/>
      </c>
      <c r="AC19" s="34">
        <f>IF(AND(AC$5&gt;$E19,AC$5&lt;=$F19),IF(AC$5=$E19+1,$C19,""),"")</f>
        <v/>
      </c>
      <c r="AD19" s="34">
        <f>IF(AND(AD$5&gt;$E19,AD$5&lt;=$F19),IF(AD$5=$E19+1,$C19,""),"")</f>
        <v/>
      </c>
      <c r="AE19" s="34">
        <f>IF(AND(AE$5&gt;$E19,AE$5&lt;=$F19),IF(AE$5=$E19+1,$C19,""),"")</f>
        <v/>
      </c>
      <c r="AF19" s="34">
        <f>IF(AND(AF$5&gt;$E19,AF$5&lt;=$F19),IF(AF$5=$E19+1,$C19,""),"")</f>
        <v/>
      </c>
      <c r="AG19" s="34">
        <f>IF(AND(AG$5&gt;$E19,AG$5&lt;=$F19),IF(AG$5=$E19+1,$C19,""),"")</f>
        <v/>
      </c>
      <c r="AH19" s="34">
        <f>IF(AND(AH$5&gt;$E19,AH$5&lt;=$F19),IF(AH$5=$E19+1,$C19,""),"")</f>
        <v/>
      </c>
      <c r="AI19" s="34">
        <f>IF(AND(AI$5&gt;$E19,AI$5&lt;=$F19),IF(AI$5=$E19+1,$C19,""),"")</f>
        <v/>
      </c>
      <c r="AJ19" s="34">
        <f>IF(AND(AJ$5&gt;$E19,AJ$5&lt;=$F19),IF(AJ$5=$E19+1,$C19,""),"")</f>
        <v/>
      </c>
      <c r="AK19" s="34">
        <f>IF(AND(AK$5&gt;$E19,AK$5&lt;=$F19),IF(AK$5=$E19+1,$C19,""),"")</f>
        <v/>
      </c>
      <c r="AL19" s="34">
        <f>IF(AND(AL$5&gt;$E19,AL$5&lt;=$F19),IF(AL$5=$E19+1,$C19,""),"")</f>
        <v/>
      </c>
      <c r="AM19" s="34">
        <f>IF(AND(AM$5&gt;$E19,AM$5&lt;=$F19),IF(AM$5=$E19+1,$C19,""),"")</f>
        <v/>
      </c>
      <c r="AN19" s="34">
        <f>IF(AND(AN$5&gt;$E19,AN$5&lt;=$F19),IF(AN$5=$E19+1,$C19,""),"")</f>
        <v/>
      </c>
      <c r="AO19" s="34">
        <f>IF(AND(AO$5&gt;$E19,AO$5&lt;=$F19),IF(AO$5=$E19+1,$C19,""),"")</f>
        <v/>
      </c>
      <c r="AP19" s="34">
        <f>IF(AND(AP$5&gt;$E19,AP$5&lt;=$F19),IF(AP$5=$E19+1,$C19,""),"")</f>
        <v/>
      </c>
      <c r="AQ19" s="34">
        <f>IF(AND(AQ$5&gt;$E19,AQ$5&lt;=$F19),IF(AQ$5=$E19+1,$C19,""),"")</f>
        <v/>
      </c>
      <c r="AR19" s="34">
        <f>IF(AND(AR$5&gt;$E19,AR$5&lt;=$F19),IF(AR$5=$E19+1,$C19,""),"")</f>
        <v/>
      </c>
      <c r="AS19" s="34">
        <f>IF(AND(AS$5&gt;$E19,AS$5&lt;=$F19),IF(AS$5=$E19+1,$C19,""),"")</f>
        <v/>
      </c>
      <c r="AT19" s="34">
        <f>IF(AND(AT$5&gt;$E19,AT$5&lt;=$F19),IF(AT$5=$E19+1,$C19,""),"")</f>
        <v/>
      </c>
      <c r="AU19" s="34">
        <f>IF(AND(AU$5&gt;$E19,AU$5&lt;=$F19),IF(AU$5=$E19+1,$C19,""),"")</f>
        <v/>
      </c>
      <c r="AV19" s="34">
        <f>IF(AND(AV$5&gt;$E19,AV$5&lt;=$F19),IF(AV$5=$E19+1,$C19,""),"")</f>
        <v/>
      </c>
      <c r="AW19" s="34">
        <f>IF(AND(AW$5&gt;$E19,AW$5&lt;=$F19),IF(AW$5=$E19+1,$C19,""),"")</f>
        <v/>
      </c>
      <c r="AX19" s="34">
        <f>IF(AND(AX$5&gt;$E19,AX$5&lt;=$F19),IF(AX$5=$E19+1,$C19,""),"")</f>
        <v/>
      </c>
      <c r="AY19" s="34">
        <f>IF(AND(AY$5&gt;$E19,AY$5&lt;=$F19),IF(AY$5=$E19+1,$C19,""),"")</f>
        <v/>
      </c>
      <c r="AZ19" s="34">
        <f>IF(AND(AZ$5&gt;$E19,AZ$5&lt;=$F19),IF(AZ$5=$E19+1,$C19,""),"")</f>
        <v/>
      </c>
      <c r="BA19" s="34">
        <f>IF(AND(BA$5&gt;$E19,BA$5&lt;=$F19),IF(BA$5=$E19+1,$C19,""),"")</f>
        <v/>
      </c>
      <c r="BB19" s="34">
        <f>IF(AND(BB$5&gt;$E19,BB$5&lt;=$F19),IF(BB$5=$E19+1,$C19,""),"")</f>
        <v/>
      </c>
      <c r="BC19" s="34">
        <f>IF(AND(BC$5&gt;$E19,BC$5&lt;=$F19),IF(BC$5=$E19+1,$C19,""),"")</f>
        <v/>
      </c>
      <c r="BD19" s="34">
        <f>IF(AND(BD$5&gt;$E19,BD$5&lt;=$F19),IF(BD$5=$E19+1,$C19,""),"")</f>
        <v/>
      </c>
      <c r="BE19" s="34">
        <f>IF(AND(BE$5&gt;$E19,BE$5&lt;=$F19),IF(BE$5=$E19+1,$C19,""),"")</f>
        <v/>
      </c>
      <c r="BF19" s="34">
        <f>IF(AND(BF$5&gt;$E19,BF$5&lt;=$F19),IF(BF$5=$E19+1,$C19,""),"")</f>
        <v/>
      </c>
      <c r="BG19" s="34">
        <f>IF(AND(BG$5&gt;$E19,BG$5&lt;=$F19),IF(BG$5=$E19+1,$C19,""),"")</f>
        <v/>
      </c>
      <c r="BH19" s="34">
        <f>IF(AND(BH$5&gt;$E19,BH$5&lt;=$F19),IF(BH$5=$E19+1,$C19,""),"")</f>
        <v/>
      </c>
      <c r="BI19" s="34">
        <f>IF(AND(BI$5&gt;$E19,BI$5&lt;=$F19),IF(BI$5=$E19+1,$C19,""),"")</f>
        <v/>
      </c>
      <c r="BJ19" s="34">
        <f>IF(AND(BJ$5&gt;$E19,BJ$5&lt;=$F19),IF(BJ$5=$E19+1,$C19,""),"")</f>
        <v/>
      </c>
      <c r="BK19" s="34">
        <f>IF(AND(BK$5&gt;$E19,BK$5&lt;=$F19),IF(BK$5=$E19+1,$C19,""),"")</f>
        <v/>
      </c>
      <c r="BL19" s="34">
        <f>IF(AND(BL$5&gt;$E19,BL$5&lt;=$F19),IF(BL$5=$E19+1,$C19,""),"")</f>
        <v/>
      </c>
      <c r="BM19" s="34">
        <f>IF(AND(BM$5&gt;$E19,BM$5&lt;=$F19),IF(BM$5=$E19+1,$C19,""),"")</f>
        <v/>
      </c>
      <c r="BN19" s="34">
        <f>IF(AND(BN$5&gt;$E19,BN$5&lt;=$F19),IF(BN$5=$E19+1,$C19,""),"")</f>
        <v/>
      </c>
      <c r="BO19" s="34">
        <f>IF(AND(BO$5&gt;$E19,BO$5&lt;=$F19),IF(BO$5=$E19+1,$C19,""),"")</f>
        <v/>
      </c>
      <c r="BP19" s="34">
        <f>IF(AND(BP$5&gt;$E19,BP$5&lt;=$F19),IF(BP$5=$E19+1,$C19,""),"")</f>
        <v/>
      </c>
      <c r="BQ19" s="34">
        <f>IF(AND(BQ$5&gt;$E19,BQ$5&lt;=$F19),IF(BQ$5=$E19+1,$C19,""),"")</f>
        <v/>
      </c>
      <c r="BR19" s="34">
        <f>IF(AND(BR$5&gt;$E19,BR$5&lt;=$F19),IF(BR$5=$E19+1,$C19,""),"")</f>
        <v/>
      </c>
      <c r="BS19" s="34">
        <f>IF(AND(BS$5&gt;$E19,BS$5&lt;=$F19),IF(BS$5=$E19+1,$C19,""),"")</f>
        <v/>
      </c>
      <c r="BT19" s="34">
        <f>IF(AND(BT$5&gt;$E19,BT$5&lt;=$F19),IF(BT$5=$E19+1,$C19,""),"")</f>
        <v/>
      </c>
      <c r="BU19" s="34">
        <f>IF(AND(BU$5&gt;$E19,BU$5&lt;=$F19),IF(BU$5=$E19+1,$C19,""),"")</f>
        <v/>
      </c>
      <c r="BV19" s="34">
        <f>IF(AND(BV$5&gt;$E19,BV$5&lt;=$F19),IF(BV$5=$E19+1,$C19,""),"")</f>
        <v/>
      </c>
      <c r="BW19" s="34">
        <f>IF(AND(BW$5&gt;$E19,BW$5&lt;=$F19),IF(BW$5=$E19+1,$C19,""),"")</f>
        <v/>
      </c>
      <c r="BX19" s="34">
        <f>IF(AND(BX$5&gt;$E19,BX$5&lt;=$F19),IF(BX$5=$E19+1,$C19,""),"")</f>
        <v/>
      </c>
      <c r="BY19" s="34">
        <f>IF(AND(BY$5&gt;$E19,BY$5&lt;=$F19),IF(BY$5=$E19+1,$C19,""),"")</f>
        <v/>
      </c>
    </row>
    <row r="20">
      <c r="A20" s="32">
        <f>Plan!A14</f>
        <v/>
      </c>
      <c r="B20" s="33">
        <f>Plan!C14</f>
        <v/>
      </c>
      <c r="C20" s="16">
        <f>Plan!D14</f>
        <v/>
      </c>
      <c r="D20" s="16">
        <f>Plan!I14</f>
        <v/>
      </c>
      <c r="E20" s="16">
        <f>Plan!K14</f>
        <v/>
      </c>
      <c r="F20" s="16">
        <f>Plan!L14</f>
        <v/>
      </c>
      <c r="G20" s="16">
        <f>Plan!O14</f>
        <v/>
      </c>
      <c r="H20" s="34">
        <f>IF(AND(H$5&gt;$E20,H$5&lt;=$F20),IF(H$5=$E20+1,$C20,""),"")</f>
        <v/>
      </c>
      <c r="I20" s="34">
        <f>IF(AND(I$5&gt;$E20,I$5&lt;=$F20),IF(I$5=$E20+1,$C20,""),"")</f>
        <v/>
      </c>
      <c r="J20" s="34">
        <f>IF(AND(J$5&gt;$E20,J$5&lt;=$F20),IF(J$5=$E20+1,$C20,""),"")</f>
        <v/>
      </c>
      <c r="K20" s="34">
        <f>IF(AND(K$5&gt;$E20,K$5&lt;=$F20),IF(K$5=$E20+1,$C20,""),"")</f>
        <v/>
      </c>
      <c r="L20" s="34">
        <f>IF(AND(L$5&gt;$E20,L$5&lt;=$F20),IF(L$5=$E20+1,$C20,""),"")</f>
        <v/>
      </c>
      <c r="M20" s="34">
        <f>IF(AND(M$5&gt;$E20,M$5&lt;=$F20),IF(M$5=$E20+1,$C20,""),"")</f>
        <v/>
      </c>
      <c r="N20" s="34">
        <f>IF(AND(N$5&gt;$E20,N$5&lt;=$F20),IF(N$5=$E20+1,$C20,""),"")</f>
        <v/>
      </c>
      <c r="O20" s="34">
        <f>IF(AND(O$5&gt;$E20,O$5&lt;=$F20),IF(O$5=$E20+1,$C20,""),"")</f>
        <v/>
      </c>
      <c r="P20" s="34">
        <f>IF(AND(P$5&gt;$E20,P$5&lt;=$F20),IF(P$5=$E20+1,$C20,""),"")</f>
        <v/>
      </c>
      <c r="Q20" s="34">
        <f>IF(AND(Q$5&gt;$E20,Q$5&lt;=$F20),IF(Q$5=$E20+1,$C20,""),"")</f>
        <v/>
      </c>
      <c r="R20" s="34">
        <f>IF(AND(R$5&gt;$E20,R$5&lt;=$F20),IF(R$5=$E20+1,$C20,""),"")</f>
        <v/>
      </c>
      <c r="S20" s="34">
        <f>IF(AND(S$5&gt;$E20,S$5&lt;=$F20),IF(S$5=$E20+1,$C20,""),"")</f>
        <v/>
      </c>
      <c r="T20" s="34">
        <f>IF(AND(T$5&gt;$E20,T$5&lt;=$F20),IF(T$5=$E20+1,$C20,""),"")</f>
        <v/>
      </c>
      <c r="U20" s="34">
        <f>IF(AND(U$5&gt;$E20,U$5&lt;=$F20),IF(U$5=$E20+1,$C20,""),"")</f>
        <v/>
      </c>
      <c r="V20" s="34">
        <f>IF(AND(V$5&gt;$E20,V$5&lt;=$F20),IF(V$5=$E20+1,$C20,""),"")</f>
        <v/>
      </c>
      <c r="W20" s="34">
        <f>IF(AND(W$5&gt;$E20,W$5&lt;=$F20),IF(W$5=$E20+1,$C20,""),"")</f>
        <v/>
      </c>
      <c r="X20" s="34">
        <f>IF(AND(X$5&gt;$E20,X$5&lt;=$F20),IF(X$5=$E20+1,$C20,""),"")</f>
        <v/>
      </c>
      <c r="Y20" s="34">
        <f>IF(AND(Y$5&gt;$E20,Y$5&lt;=$F20),IF(Y$5=$E20+1,$C20,""),"")</f>
        <v/>
      </c>
      <c r="Z20" s="34">
        <f>IF(AND(Z$5&gt;$E20,Z$5&lt;=$F20),IF(Z$5=$E20+1,$C20,""),"")</f>
        <v/>
      </c>
      <c r="AA20" s="34">
        <f>IF(AND(AA$5&gt;$E20,AA$5&lt;=$F20),IF(AA$5=$E20+1,$C20,""),"")</f>
        <v/>
      </c>
      <c r="AB20" s="34">
        <f>IF(AND(AB$5&gt;$E20,AB$5&lt;=$F20),IF(AB$5=$E20+1,$C20,""),"")</f>
        <v/>
      </c>
      <c r="AC20" s="34">
        <f>IF(AND(AC$5&gt;$E20,AC$5&lt;=$F20),IF(AC$5=$E20+1,$C20,""),"")</f>
        <v/>
      </c>
      <c r="AD20" s="34">
        <f>IF(AND(AD$5&gt;$E20,AD$5&lt;=$F20),IF(AD$5=$E20+1,$C20,""),"")</f>
        <v/>
      </c>
      <c r="AE20" s="34">
        <f>IF(AND(AE$5&gt;$E20,AE$5&lt;=$F20),IF(AE$5=$E20+1,$C20,""),"")</f>
        <v/>
      </c>
      <c r="AF20" s="34">
        <f>IF(AND(AF$5&gt;$E20,AF$5&lt;=$F20),IF(AF$5=$E20+1,$C20,""),"")</f>
        <v/>
      </c>
      <c r="AG20" s="34">
        <f>IF(AND(AG$5&gt;$E20,AG$5&lt;=$F20),IF(AG$5=$E20+1,$C20,""),"")</f>
        <v/>
      </c>
      <c r="AH20" s="34">
        <f>IF(AND(AH$5&gt;$E20,AH$5&lt;=$F20),IF(AH$5=$E20+1,$C20,""),"")</f>
        <v/>
      </c>
      <c r="AI20" s="34">
        <f>IF(AND(AI$5&gt;$E20,AI$5&lt;=$F20),IF(AI$5=$E20+1,$C20,""),"")</f>
        <v/>
      </c>
      <c r="AJ20" s="34">
        <f>IF(AND(AJ$5&gt;$E20,AJ$5&lt;=$F20),IF(AJ$5=$E20+1,$C20,""),"")</f>
        <v/>
      </c>
      <c r="AK20" s="34">
        <f>IF(AND(AK$5&gt;$E20,AK$5&lt;=$F20),IF(AK$5=$E20+1,$C20,""),"")</f>
        <v/>
      </c>
      <c r="AL20" s="34">
        <f>IF(AND(AL$5&gt;$E20,AL$5&lt;=$F20),IF(AL$5=$E20+1,$C20,""),"")</f>
        <v/>
      </c>
      <c r="AM20" s="34">
        <f>IF(AND(AM$5&gt;$E20,AM$5&lt;=$F20),IF(AM$5=$E20+1,$C20,""),"")</f>
        <v/>
      </c>
      <c r="AN20" s="34">
        <f>IF(AND(AN$5&gt;$E20,AN$5&lt;=$F20),IF(AN$5=$E20+1,$C20,""),"")</f>
        <v/>
      </c>
      <c r="AO20" s="34">
        <f>IF(AND(AO$5&gt;$E20,AO$5&lt;=$F20),IF(AO$5=$E20+1,$C20,""),"")</f>
        <v/>
      </c>
      <c r="AP20" s="34">
        <f>IF(AND(AP$5&gt;$E20,AP$5&lt;=$F20),IF(AP$5=$E20+1,$C20,""),"")</f>
        <v/>
      </c>
      <c r="AQ20" s="34">
        <f>IF(AND(AQ$5&gt;$E20,AQ$5&lt;=$F20),IF(AQ$5=$E20+1,$C20,""),"")</f>
        <v/>
      </c>
      <c r="AR20" s="34">
        <f>IF(AND(AR$5&gt;$E20,AR$5&lt;=$F20),IF(AR$5=$E20+1,$C20,""),"")</f>
        <v/>
      </c>
      <c r="AS20" s="34">
        <f>IF(AND(AS$5&gt;$E20,AS$5&lt;=$F20),IF(AS$5=$E20+1,$C20,""),"")</f>
        <v/>
      </c>
      <c r="AT20" s="34">
        <f>IF(AND(AT$5&gt;$E20,AT$5&lt;=$F20),IF(AT$5=$E20+1,$C20,""),"")</f>
        <v/>
      </c>
      <c r="AU20" s="34">
        <f>IF(AND(AU$5&gt;$E20,AU$5&lt;=$F20),IF(AU$5=$E20+1,$C20,""),"")</f>
        <v/>
      </c>
      <c r="AV20" s="34">
        <f>IF(AND(AV$5&gt;$E20,AV$5&lt;=$F20),IF(AV$5=$E20+1,$C20,""),"")</f>
        <v/>
      </c>
      <c r="AW20" s="34">
        <f>IF(AND(AW$5&gt;$E20,AW$5&lt;=$F20),IF(AW$5=$E20+1,$C20,""),"")</f>
        <v/>
      </c>
      <c r="AX20" s="34">
        <f>IF(AND(AX$5&gt;$E20,AX$5&lt;=$F20),IF(AX$5=$E20+1,$C20,""),"")</f>
        <v/>
      </c>
      <c r="AY20" s="34">
        <f>IF(AND(AY$5&gt;$E20,AY$5&lt;=$F20),IF(AY$5=$E20+1,$C20,""),"")</f>
        <v/>
      </c>
      <c r="AZ20" s="34">
        <f>IF(AND(AZ$5&gt;$E20,AZ$5&lt;=$F20),IF(AZ$5=$E20+1,$C20,""),"")</f>
        <v/>
      </c>
      <c r="BA20" s="34">
        <f>IF(AND(BA$5&gt;$E20,BA$5&lt;=$F20),IF(BA$5=$E20+1,$C20,""),"")</f>
        <v/>
      </c>
      <c r="BB20" s="34">
        <f>IF(AND(BB$5&gt;$E20,BB$5&lt;=$F20),IF(BB$5=$E20+1,$C20,""),"")</f>
        <v/>
      </c>
      <c r="BC20" s="34">
        <f>IF(AND(BC$5&gt;$E20,BC$5&lt;=$F20),IF(BC$5=$E20+1,$C20,""),"")</f>
        <v/>
      </c>
      <c r="BD20" s="34">
        <f>IF(AND(BD$5&gt;$E20,BD$5&lt;=$F20),IF(BD$5=$E20+1,$C20,""),"")</f>
        <v/>
      </c>
      <c r="BE20" s="34">
        <f>IF(AND(BE$5&gt;$E20,BE$5&lt;=$F20),IF(BE$5=$E20+1,$C20,""),"")</f>
        <v/>
      </c>
      <c r="BF20" s="34">
        <f>IF(AND(BF$5&gt;$E20,BF$5&lt;=$F20),IF(BF$5=$E20+1,$C20,""),"")</f>
        <v/>
      </c>
      <c r="BG20" s="34">
        <f>IF(AND(BG$5&gt;$E20,BG$5&lt;=$F20),IF(BG$5=$E20+1,$C20,""),"")</f>
        <v/>
      </c>
      <c r="BH20" s="34">
        <f>IF(AND(BH$5&gt;$E20,BH$5&lt;=$F20),IF(BH$5=$E20+1,$C20,""),"")</f>
        <v/>
      </c>
      <c r="BI20" s="34">
        <f>IF(AND(BI$5&gt;$E20,BI$5&lt;=$F20),IF(BI$5=$E20+1,$C20,""),"")</f>
        <v/>
      </c>
      <c r="BJ20" s="34">
        <f>IF(AND(BJ$5&gt;$E20,BJ$5&lt;=$F20),IF(BJ$5=$E20+1,$C20,""),"")</f>
        <v/>
      </c>
      <c r="BK20" s="34">
        <f>IF(AND(BK$5&gt;$E20,BK$5&lt;=$F20),IF(BK$5=$E20+1,$C20,""),"")</f>
        <v/>
      </c>
      <c r="BL20" s="34">
        <f>IF(AND(BL$5&gt;$E20,BL$5&lt;=$F20),IF(BL$5=$E20+1,$C20,""),"")</f>
        <v/>
      </c>
      <c r="BM20" s="34">
        <f>IF(AND(BM$5&gt;$E20,BM$5&lt;=$F20),IF(BM$5=$E20+1,$C20,""),"")</f>
        <v/>
      </c>
      <c r="BN20" s="34">
        <f>IF(AND(BN$5&gt;$E20,BN$5&lt;=$F20),IF(BN$5=$E20+1,$C20,""),"")</f>
        <v/>
      </c>
      <c r="BO20" s="34">
        <f>IF(AND(BO$5&gt;$E20,BO$5&lt;=$F20),IF(BO$5=$E20+1,$C20,""),"")</f>
        <v/>
      </c>
      <c r="BP20" s="34">
        <f>IF(AND(BP$5&gt;$E20,BP$5&lt;=$F20),IF(BP$5=$E20+1,$C20,""),"")</f>
        <v/>
      </c>
      <c r="BQ20" s="34">
        <f>IF(AND(BQ$5&gt;$E20,BQ$5&lt;=$F20),IF(BQ$5=$E20+1,$C20,""),"")</f>
        <v/>
      </c>
      <c r="BR20" s="34">
        <f>IF(AND(BR$5&gt;$E20,BR$5&lt;=$F20),IF(BR$5=$E20+1,$C20,""),"")</f>
        <v/>
      </c>
      <c r="BS20" s="34">
        <f>IF(AND(BS$5&gt;$E20,BS$5&lt;=$F20),IF(BS$5=$E20+1,$C20,""),"")</f>
        <v/>
      </c>
      <c r="BT20" s="34">
        <f>IF(AND(BT$5&gt;$E20,BT$5&lt;=$F20),IF(BT$5=$E20+1,$C20,""),"")</f>
        <v/>
      </c>
      <c r="BU20" s="34">
        <f>IF(AND(BU$5&gt;$E20,BU$5&lt;=$F20),IF(BU$5=$E20+1,$C20,""),"")</f>
        <v/>
      </c>
      <c r="BV20" s="34">
        <f>IF(AND(BV$5&gt;$E20,BV$5&lt;=$F20),IF(BV$5=$E20+1,$C20,""),"")</f>
        <v/>
      </c>
      <c r="BW20" s="34">
        <f>IF(AND(BW$5&gt;$E20,BW$5&lt;=$F20),IF(BW$5=$E20+1,$C20,""),"")</f>
        <v/>
      </c>
      <c r="BX20" s="34">
        <f>IF(AND(BX$5&gt;$E20,BX$5&lt;=$F20),IF(BX$5=$E20+1,$C20,""),"")</f>
        <v/>
      </c>
      <c r="BY20" s="34">
        <f>IF(AND(BY$5&gt;$E20,BY$5&lt;=$F20),IF(BY$5=$E20+1,$C20,""),"")</f>
        <v/>
      </c>
    </row>
    <row r="21">
      <c r="A21" s="32">
        <f>Plan!A15</f>
        <v/>
      </c>
      <c r="B21" s="33">
        <f>Plan!C15</f>
        <v/>
      </c>
      <c r="C21" s="16">
        <f>Plan!D15</f>
        <v/>
      </c>
      <c r="D21" s="16">
        <f>Plan!I15</f>
        <v/>
      </c>
      <c r="E21" s="16">
        <f>Plan!K15</f>
        <v/>
      </c>
      <c r="F21" s="16">
        <f>Plan!L15</f>
        <v/>
      </c>
      <c r="G21" s="16">
        <f>Plan!O15</f>
        <v/>
      </c>
      <c r="H21" s="34">
        <f>IF(AND(H$5&gt;$E21,H$5&lt;=$F21),IF(H$5=$E21+1,$C21,""),"")</f>
        <v/>
      </c>
      <c r="I21" s="34">
        <f>IF(AND(I$5&gt;$E21,I$5&lt;=$F21),IF(I$5=$E21+1,$C21,""),"")</f>
        <v/>
      </c>
      <c r="J21" s="34">
        <f>IF(AND(J$5&gt;$E21,J$5&lt;=$F21),IF(J$5=$E21+1,$C21,""),"")</f>
        <v/>
      </c>
      <c r="K21" s="34">
        <f>IF(AND(K$5&gt;$E21,K$5&lt;=$F21),IF(K$5=$E21+1,$C21,""),"")</f>
        <v/>
      </c>
      <c r="L21" s="34">
        <f>IF(AND(L$5&gt;$E21,L$5&lt;=$F21),IF(L$5=$E21+1,$C21,""),"")</f>
        <v/>
      </c>
      <c r="M21" s="34">
        <f>IF(AND(M$5&gt;$E21,M$5&lt;=$F21),IF(M$5=$E21+1,$C21,""),"")</f>
        <v/>
      </c>
      <c r="N21" s="34">
        <f>IF(AND(N$5&gt;$E21,N$5&lt;=$F21),IF(N$5=$E21+1,$C21,""),"")</f>
        <v/>
      </c>
      <c r="O21" s="34">
        <f>IF(AND(O$5&gt;$E21,O$5&lt;=$F21),IF(O$5=$E21+1,$C21,""),"")</f>
        <v/>
      </c>
      <c r="P21" s="34">
        <f>IF(AND(P$5&gt;$E21,P$5&lt;=$F21),IF(P$5=$E21+1,$C21,""),"")</f>
        <v/>
      </c>
      <c r="Q21" s="34">
        <f>IF(AND(Q$5&gt;$E21,Q$5&lt;=$F21),IF(Q$5=$E21+1,$C21,""),"")</f>
        <v/>
      </c>
      <c r="R21" s="34">
        <f>IF(AND(R$5&gt;$E21,R$5&lt;=$F21),IF(R$5=$E21+1,$C21,""),"")</f>
        <v/>
      </c>
      <c r="S21" s="34">
        <f>IF(AND(S$5&gt;$E21,S$5&lt;=$F21),IF(S$5=$E21+1,$C21,""),"")</f>
        <v/>
      </c>
      <c r="T21" s="34">
        <f>IF(AND(T$5&gt;$E21,T$5&lt;=$F21),IF(T$5=$E21+1,$C21,""),"")</f>
        <v/>
      </c>
      <c r="U21" s="34">
        <f>IF(AND(U$5&gt;$E21,U$5&lt;=$F21),IF(U$5=$E21+1,$C21,""),"")</f>
        <v/>
      </c>
      <c r="V21" s="34">
        <f>IF(AND(V$5&gt;$E21,V$5&lt;=$F21),IF(V$5=$E21+1,$C21,""),"")</f>
        <v/>
      </c>
      <c r="W21" s="34">
        <f>IF(AND(W$5&gt;$E21,W$5&lt;=$F21),IF(W$5=$E21+1,$C21,""),"")</f>
        <v/>
      </c>
      <c r="X21" s="34">
        <f>IF(AND(X$5&gt;$E21,X$5&lt;=$F21),IF(X$5=$E21+1,$C21,""),"")</f>
        <v/>
      </c>
      <c r="Y21" s="34">
        <f>IF(AND(Y$5&gt;$E21,Y$5&lt;=$F21),IF(Y$5=$E21+1,$C21,""),"")</f>
        <v/>
      </c>
      <c r="Z21" s="34">
        <f>IF(AND(Z$5&gt;$E21,Z$5&lt;=$F21),IF(Z$5=$E21+1,$C21,""),"")</f>
        <v/>
      </c>
      <c r="AA21" s="34">
        <f>IF(AND(AA$5&gt;$E21,AA$5&lt;=$F21),IF(AA$5=$E21+1,$C21,""),"")</f>
        <v/>
      </c>
      <c r="AB21" s="34">
        <f>IF(AND(AB$5&gt;$E21,AB$5&lt;=$F21),IF(AB$5=$E21+1,$C21,""),"")</f>
        <v/>
      </c>
      <c r="AC21" s="34">
        <f>IF(AND(AC$5&gt;$E21,AC$5&lt;=$F21),IF(AC$5=$E21+1,$C21,""),"")</f>
        <v/>
      </c>
      <c r="AD21" s="34">
        <f>IF(AND(AD$5&gt;$E21,AD$5&lt;=$F21),IF(AD$5=$E21+1,$C21,""),"")</f>
        <v/>
      </c>
      <c r="AE21" s="34">
        <f>IF(AND(AE$5&gt;$E21,AE$5&lt;=$F21),IF(AE$5=$E21+1,$C21,""),"")</f>
        <v/>
      </c>
      <c r="AF21" s="34">
        <f>IF(AND(AF$5&gt;$E21,AF$5&lt;=$F21),IF(AF$5=$E21+1,$C21,""),"")</f>
        <v/>
      </c>
      <c r="AG21" s="34">
        <f>IF(AND(AG$5&gt;$E21,AG$5&lt;=$F21),IF(AG$5=$E21+1,$C21,""),"")</f>
        <v/>
      </c>
      <c r="AH21" s="34">
        <f>IF(AND(AH$5&gt;$E21,AH$5&lt;=$F21),IF(AH$5=$E21+1,$C21,""),"")</f>
        <v/>
      </c>
      <c r="AI21" s="34">
        <f>IF(AND(AI$5&gt;$E21,AI$5&lt;=$F21),IF(AI$5=$E21+1,$C21,""),"")</f>
        <v/>
      </c>
      <c r="AJ21" s="34">
        <f>IF(AND(AJ$5&gt;$E21,AJ$5&lt;=$F21),IF(AJ$5=$E21+1,$C21,""),"")</f>
        <v/>
      </c>
      <c r="AK21" s="34">
        <f>IF(AND(AK$5&gt;$E21,AK$5&lt;=$F21),IF(AK$5=$E21+1,$C21,""),"")</f>
        <v/>
      </c>
      <c r="AL21" s="34">
        <f>IF(AND(AL$5&gt;$E21,AL$5&lt;=$F21),IF(AL$5=$E21+1,$C21,""),"")</f>
        <v/>
      </c>
      <c r="AM21" s="34">
        <f>IF(AND(AM$5&gt;$E21,AM$5&lt;=$F21),IF(AM$5=$E21+1,$C21,""),"")</f>
        <v/>
      </c>
      <c r="AN21" s="34">
        <f>IF(AND(AN$5&gt;$E21,AN$5&lt;=$F21),IF(AN$5=$E21+1,$C21,""),"")</f>
        <v/>
      </c>
      <c r="AO21" s="34">
        <f>IF(AND(AO$5&gt;$E21,AO$5&lt;=$F21),IF(AO$5=$E21+1,$C21,""),"")</f>
        <v/>
      </c>
      <c r="AP21" s="34">
        <f>IF(AND(AP$5&gt;$E21,AP$5&lt;=$F21),IF(AP$5=$E21+1,$C21,""),"")</f>
        <v/>
      </c>
      <c r="AQ21" s="34">
        <f>IF(AND(AQ$5&gt;$E21,AQ$5&lt;=$F21),IF(AQ$5=$E21+1,$C21,""),"")</f>
        <v/>
      </c>
      <c r="AR21" s="34">
        <f>IF(AND(AR$5&gt;$E21,AR$5&lt;=$F21),IF(AR$5=$E21+1,$C21,""),"")</f>
        <v/>
      </c>
      <c r="AS21" s="34">
        <f>IF(AND(AS$5&gt;$E21,AS$5&lt;=$F21),IF(AS$5=$E21+1,$C21,""),"")</f>
        <v/>
      </c>
      <c r="AT21" s="34">
        <f>IF(AND(AT$5&gt;$E21,AT$5&lt;=$F21),IF(AT$5=$E21+1,$C21,""),"")</f>
        <v/>
      </c>
      <c r="AU21" s="34">
        <f>IF(AND(AU$5&gt;$E21,AU$5&lt;=$F21),IF(AU$5=$E21+1,$C21,""),"")</f>
        <v/>
      </c>
      <c r="AV21" s="34">
        <f>IF(AND(AV$5&gt;$E21,AV$5&lt;=$F21),IF(AV$5=$E21+1,$C21,""),"")</f>
        <v/>
      </c>
      <c r="AW21" s="34">
        <f>IF(AND(AW$5&gt;$E21,AW$5&lt;=$F21),IF(AW$5=$E21+1,$C21,""),"")</f>
        <v/>
      </c>
      <c r="AX21" s="34">
        <f>IF(AND(AX$5&gt;$E21,AX$5&lt;=$F21),IF(AX$5=$E21+1,$C21,""),"")</f>
        <v/>
      </c>
      <c r="AY21" s="34">
        <f>IF(AND(AY$5&gt;$E21,AY$5&lt;=$F21),IF(AY$5=$E21+1,$C21,""),"")</f>
        <v/>
      </c>
      <c r="AZ21" s="34">
        <f>IF(AND(AZ$5&gt;$E21,AZ$5&lt;=$F21),IF(AZ$5=$E21+1,$C21,""),"")</f>
        <v/>
      </c>
      <c r="BA21" s="34">
        <f>IF(AND(BA$5&gt;$E21,BA$5&lt;=$F21),IF(BA$5=$E21+1,$C21,""),"")</f>
        <v/>
      </c>
      <c r="BB21" s="34">
        <f>IF(AND(BB$5&gt;$E21,BB$5&lt;=$F21),IF(BB$5=$E21+1,$C21,""),"")</f>
        <v/>
      </c>
      <c r="BC21" s="34">
        <f>IF(AND(BC$5&gt;$E21,BC$5&lt;=$F21),IF(BC$5=$E21+1,$C21,""),"")</f>
        <v/>
      </c>
      <c r="BD21" s="34">
        <f>IF(AND(BD$5&gt;$E21,BD$5&lt;=$F21),IF(BD$5=$E21+1,$C21,""),"")</f>
        <v/>
      </c>
      <c r="BE21" s="34">
        <f>IF(AND(BE$5&gt;$E21,BE$5&lt;=$F21),IF(BE$5=$E21+1,$C21,""),"")</f>
        <v/>
      </c>
      <c r="BF21" s="34">
        <f>IF(AND(BF$5&gt;$E21,BF$5&lt;=$F21),IF(BF$5=$E21+1,$C21,""),"")</f>
        <v/>
      </c>
      <c r="BG21" s="34">
        <f>IF(AND(BG$5&gt;$E21,BG$5&lt;=$F21),IF(BG$5=$E21+1,$C21,""),"")</f>
        <v/>
      </c>
      <c r="BH21" s="34">
        <f>IF(AND(BH$5&gt;$E21,BH$5&lt;=$F21),IF(BH$5=$E21+1,$C21,""),"")</f>
        <v/>
      </c>
      <c r="BI21" s="34">
        <f>IF(AND(BI$5&gt;$E21,BI$5&lt;=$F21),IF(BI$5=$E21+1,$C21,""),"")</f>
        <v/>
      </c>
      <c r="BJ21" s="34">
        <f>IF(AND(BJ$5&gt;$E21,BJ$5&lt;=$F21),IF(BJ$5=$E21+1,$C21,""),"")</f>
        <v/>
      </c>
      <c r="BK21" s="34">
        <f>IF(AND(BK$5&gt;$E21,BK$5&lt;=$F21),IF(BK$5=$E21+1,$C21,""),"")</f>
        <v/>
      </c>
      <c r="BL21" s="34">
        <f>IF(AND(BL$5&gt;$E21,BL$5&lt;=$F21),IF(BL$5=$E21+1,$C21,""),"")</f>
        <v/>
      </c>
      <c r="BM21" s="34">
        <f>IF(AND(BM$5&gt;$E21,BM$5&lt;=$F21),IF(BM$5=$E21+1,$C21,""),"")</f>
        <v/>
      </c>
      <c r="BN21" s="34">
        <f>IF(AND(BN$5&gt;$E21,BN$5&lt;=$F21),IF(BN$5=$E21+1,$C21,""),"")</f>
        <v/>
      </c>
      <c r="BO21" s="34">
        <f>IF(AND(BO$5&gt;$E21,BO$5&lt;=$F21),IF(BO$5=$E21+1,$C21,""),"")</f>
        <v/>
      </c>
      <c r="BP21" s="34">
        <f>IF(AND(BP$5&gt;$E21,BP$5&lt;=$F21),IF(BP$5=$E21+1,$C21,""),"")</f>
        <v/>
      </c>
      <c r="BQ21" s="34">
        <f>IF(AND(BQ$5&gt;$E21,BQ$5&lt;=$F21),IF(BQ$5=$E21+1,$C21,""),"")</f>
        <v/>
      </c>
      <c r="BR21" s="34">
        <f>IF(AND(BR$5&gt;$E21,BR$5&lt;=$F21),IF(BR$5=$E21+1,$C21,""),"")</f>
        <v/>
      </c>
      <c r="BS21" s="34">
        <f>IF(AND(BS$5&gt;$E21,BS$5&lt;=$F21),IF(BS$5=$E21+1,$C21,""),"")</f>
        <v/>
      </c>
      <c r="BT21" s="34">
        <f>IF(AND(BT$5&gt;$E21,BT$5&lt;=$F21),IF(BT$5=$E21+1,$C21,""),"")</f>
        <v/>
      </c>
      <c r="BU21" s="34">
        <f>IF(AND(BU$5&gt;$E21,BU$5&lt;=$F21),IF(BU$5=$E21+1,$C21,""),"")</f>
        <v/>
      </c>
      <c r="BV21" s="34">
        <f>IF(AND(BV$5&gt;$E21,BV$5&lt;=$F21),IF(BV$5=$E21+1,$C21,""),"")</f>
        <v/>
      </c>
      <c r="BW21" s="34">
        <f>IF(AND(BW$5&gt;$E21,BW$5&lt;=$F21),IF(BW$5=$E21+1,$C21,""),"")</f>
        <v/>
      </c>
      <c r="BX21" s="34">
        <f>IF(AND(BX$5&gt;$E21,BX$5&lt;=$F21),IF(BX$5=$E21+1,$C21,""),"")</f>
        <v/>
      </c>
      <c r="BY21" s="34">
        <f>IF(AND(BY$5&gt;$E21,BY$5&lt;=$F21),IF(BY$5=$E21+1,$C21,""),"")</f>
        <v/>
      </c>
    </row>
    <row r="22">
      <c r="A22" s="32">
        <f>Plan!A16</f>
        <v/>
      </c>
      <c r="B22" s="33">
        <f>Plan!C16</f>
        <v/>
      </c>
      <c r="C22" s="16">
        <f>Plan!D16</f>
        <v/>
      </c>
      <c r="D22" s="16">
        <f>Plan!I16</f>
        <v/>
      </c>
      <c r="E22" s="16">
        <f>Plan!K16</f>
        <v/>
      </c>
      <c r="F22" s="16">
        <f>Plan!L16</f>
        <v/>
      </c>
      <c r="G22" s="16">
        <f>Plan!O16</f>
        <v/>
      </c>
      <c r="H22" s="34">
        <f>IF(AND(H$5&gt;$E22,H$5&lt;=$F22),IF(H$5=$E22+1,$C22,""),"")</f>
        <v/>
      </c>
      <c r="I22" s="34">
        <f>IF(AND(I$5&gt;$E22,I$5&lt;=$F22),IF(I$5=$E22+1,$C22,""),"")</f>
        <v/>
      </c>
      <c r="J22" s="34">
        <f>IF(AND(J$5&gt;$E22,J$5&lt;=$F22),IF(J$5=$E22+1,$C22,""),"")</f>
        <v/>
      </c>
      <c r="K22" s="34">
        <f>IF(AND(K$5&gt;$E22,K$5&lt;=$F22),IF(K$5=$E22+1,$C22,""),"")</f>
        <v/>
      </c>
      <c r="L22" s="34">
        <f>IF(AND(L$5&gt;$E22,L$5&lt;=$F22),IF(L$5=$E22+1,$C22,""),"")</f>
        <v/>
      </c>
      <c r="M22" s="34">
        <f>IF(AND(M$5&gt;$E22,M$5&lt;=$F22),IF(M$5=$E22+1,$C22,""),"")</f>
        <v/>
      </c>
      <c r="N22" s="34">
        <f>IF(AND(N$5&gt;$E22,N$5&lt;=$F22),IF(N$5=$E22+1,$C22,""),"")</f>
        <v/>
      </c>
      <c r="O22" s="34">
        <f>IF(AND(O$5&gt;$E22,O$5&lt;=$F22),IF(O$5=$E22+1,$C22,""),"")</f>
        <v/>
      </c>
      <c r="P22" s="34">
        <f>IF(AND(P$5&gt;$E22,P$5&lt;=$F22),IF(P$5=$E22+1,$C22,""),"")</f>
        <v/>
      </c>
      <c r="Q22" s="34">
        <f>IF(AND(Q$5&gt;$E22,Q$5&lt;=$F22),IF(Q$5=$E22+1,$C22,""),"")</f>
        <v/>
      </c>
      <c r="R22" s="34">
        <f>IF(AND(R$5&gt;$E22,R$5&lt;=$F22),IF(R$5=$E22+1,$C22,""),"")</f>
        <v/>
      </c>
      <c r="S22" s="34">
        <f>IF(AND(S$5&gt;$E22,S$5&lt;=$F22),IF(S$5=$E22+1,$C22,""),"")</f>
        <v/>
      </c>
      <c r="T22" s="34">
        <f>IF(AND(T$5&gt;$E22,T$5&lt;=$F22),IF(T$5=$E22+1,$C22,""),"")</f>
        <v/>
      </c>
      <c r="U22" s="34">
        <f>IF(AND(U$5&gt;$E22,U$5&lt;=$F22),IF(U$5=$E22+1,$C22,""),"")</f>
        <v/>
      </c>
      <c r="V22" s="34">
        <f>IF(AND(V$5&gt;$E22,V$5&lt;=$F22),IF(V$5=$E22+1,$C22,""),"")</f>
        <v/>
      </c>
      <c r="W22" s="34">
        <f>IF(AND(W$5&gt;$E22,W$5&lt;=$F22),IF(W$5=$E22+1,$C22,""),"")</f>
        <v/>
      </c>
      <c r="X22" s="34">
        <f>IF(AND(X$5&gt;$E22,X$5&lt;=$F22),IF(X$5=$E22+1,$C22,""),"")</f>
        <v/>
      </c>
      <c r="Y22" s="34">
        <f>IF(AND(Y$5&gt;$E22,Y$5&lt;=$F22),IF(Y$5=$E22+1,$C22,""),"")</f>
        <v/>
      </c>
      <c r="Z22" s="34">
        <f>IF(AND(Z$5&gt;$E22,Z$5&lt;=$F22),IF(Z$5=$E22+1,$C22,""),"")</f>
        <v/>
      </c>
      <c r="AA22" s="34">
        <f>IF(AND(AA$5&gt;$E22,AA$5&lt;=$F22),IF(AA$5=$E22+1,$C22,""),"")</f>
        <v/>
      </c>
      <c r="AB22" s="34">
        <f>IF(AND(AB$5&gt;$E22,AB$5&lt;=$F22),IF(AB$5=$E22+1,$C22,""),"")</f>
        <v/>
      </c>
      <c r="AC22" s="34">
        <f>IF(AND(AC$5&gt;$E22,AC$5&lt;=$F22),IF(AC$5=$E22+1,$C22,""),"")</f>
        <v/>
      </c>
      <c r="AD22" s="34">
        <f>IF(AND(AD$5&gt;$E22,AD$5&lt;=$F22),IF(AD$5=$E22+1,$C22,""),"")</f>
        <v/>
      </c>
      <c r="AE22" s="34">
        <f>IF(AND(AE$5&gt;$E22,AE$5&lt;=$F22),IF(AE$5=$E22+1,$C22,""),"")</f>
        <v/>
      </c>
      <c r="AF22" s="34">
        <f>IF(AND(AF$5&gt;$E22,AF$5&lt;=$F22),IF(AF$5=$E22+1,$C22,""),"")</f>
        <v/>
      </c>
      <c r="AG22" s="34">
        <f>IF(AND(AG$5&gt;$E22,AG$5&lt;=$F22),IF(AG$5=$E22+1,$C22,""),"")</f>
        <v/>
      </c>
      <c r="AH22" s="34">
        <f>IF(AND(AH$5&gt;$E22,AH$5&lt;=$F22),IF(AH$5=$E22+1,$C22,""),"")</f>
        <v/>
      </c>
      <c r="AI22" s="34">
        <f>IF(AND(AI$5&gt;$E22,AI$5&lt;=$F22),IF(AI$5=$E22+1,$C22,""),"")</f>
        <v/>
      </c>
      <c r="AJ22" s="34">
        <f>IF(AND(AJ$5&gt;$E22,AJ$5&lt;=$F22),IF(AJ$5=$E22+1,$C22,""),"")</f>
        <v/>
      </c>
      <c r="AK22" s="34">
        <f>IF(AND(AK$5&gt;$E22,AK$5&lt;=$F22),IF(AK$5=$E22+1,$C22,""),"")</f>
        <v/>
      </c>
      <c r="AL22" s="34">
        <f>IF(AND(AL$5&gt;$E22,AL$5&lt;=$F22),IF(AL$5=$E22+1,$C22,""),"")</f>
        <v/>
      </c>
      <c r="AM22" s="34">
        <f>IF(AND(AM$5&gt;$E22,AM$5&lt;=$F22),IF(AM$5=$E22+1,$C22,""),"")</f>
        <v/>
      </c>
      <c r="AN22" s="34">
        <f>IF(AND(AN$5&gt;$E22,AN$5&lt;=$F22),IF(AN$5=$E22+1,$C22,""),"")</f>
        <v/>
      </c>
      <c r="AO22" s="34">
        <f>IF(AND(AO$5&gt;$E22,AO$5&lt;=$F22),IF(AO$5=$E22+1,$C22,""),"")</f>
        <v/>
      </c>
      <c r="AP22" s="34">
        <f>IF(AND(AP$5&gt;$E22,AP$5&lt;=$F22),IF(AP$5=$E22+1,$C22,""),"")</f>
        <v/>
      </c>
      <c r="AQ22" s="34">
        <f>IF(AND(AQ$5&gt;$E22,AQ$5&lt;=$F22),IF(AQ$5=$E22+1,$C22,""),"")</f>
        <v/>
      </c>
      <c r="AR22" s="34">
        <f>IF(AND(AR$5&gt;$E22,AR$5&lt;=$F22),IF(AR$5=$E22+1,$C22,""),"")</f>
        <v/>
      </c>
      <c r="AS22" s="34">
        <f>IF(AND(AS$5&gt;$E22,AS$5&lt;=$F22),IF(AS$5=$E22+1,$C22,""),"")</f>
        <v/>
      </c>
      <c r="AT22" s="34">
        <f>IF(AND(AT$5&gt;$E22,AT$5&lt;=$F22),IF(AT$5=$E22+1,$C22,""),"")</f>
        <v/>
      </c>
      <c r="AU22" s="34">
        <f>IF(AND(AU$5&gt;$E22,AU$5&lt;=$F22),IF(AU$5=$E22+1,$C22,""),"")</f>
        <v/>
      </c>
      <c r="AV22" s="34">
        <f>IF(AND(AV$5&gt;$E22,AV$5&lt;=$F22),IF(AV$5=$E22+1,$C22,""),"")</f>
        <v/>
      </c>
      <c r="AW22" s="34">
        <f>IF(AND(AW$5&gt;$E22,AW$5&lt;=$F22),IF(AW$5=$E22+1,$C22,""),"")</f>
        <v/>
      </c>
      <c r="AX22" s="34">
        <f>IF(AND(AX$5&gt;$E22,AX$5&lt;=$F22),IF(AX$5=$E22+1,$C22,""),"")</f>
        <v/>
      </c>
      <c r="AY22" s="34">
        <f>IF(AND(AY$5&gt;$E22,AY$5&lt;=$F22),IF(AY$5=$E22+1,$C22,""),"")</f>
        <v/>
      </c>
      <c r="AZ22" s="34">
        <f>IF(AND(AZ$5&gt;$E22,AZ$5&lt;=$F22),IF(AZ$5=$E22+1,$C22,""),"")</f>
        <v/>
      </c>
      <c r="BA22" s="34">
        <f>IF(AND(BA$5&gt;$E22,BA$5&lt;=$F22),IF(BA$5=$E22+1,$C22,""),"")</f>
        <v/>
      </c>
      <c r="BB22" s="34">
        <f>IF(AND(BB$5&gt;$E22,BB$5&lt;=$F22),IF(BB$5=$E22+1,$C22,""),"")</f>
        <v/>
      </c>
      <c r="BC22" s="34">
        <f>IF(AND(BC$5&gt;$E22,BC$5&lt;=$F22),IF(BC$5=$E22+1,$C22,""),"")</f>
        <v/>
      </c>
      <c r="BD22" s="34">
        <f>IF(AND(BD$5&gt;$E22,BD$5&lt;=$F22),IF(BD$5=$E22+1,$C22,""),"")</f>
        <v/>
      </c>
      <c r="BE22" s="34">
        <f>IF(AND(BE$5&gt;$E22,BE$5&lt;=$F22),IF(BE$5=$E22+1,$C22,""),"")</f>
        <v/>
      </c>
      <c r="BF22" s="34">
        <f>IF(AND(BF$5&gt;$E22,BF$5&lt;=$F22),IF(BF$5=$E22+1,$C22,""),"")</f>
        <v/>
      </c>
      <c r="BG22" s="34">
        <f>IF(AND(BG$5&gt;$E22,BG$5&lt;=$F22),IF(BG$5=$E22+1,$C22,""),"")</f>
        <v/>
      </c>
      <c r="BH22" s="34">
        <f>IF(AND(BH$5&gt;$E22,BH$5&lt;=$F22),IF(BH$5=$E22+1,$C22,""),"")</f>
        <v/>
      </c>
      <c r="BI22" s="34">
        <f>IF(AND(BI$5&gt;$E22,BI$5&lt;=$F22),IF(BI$5=$E22+1,$C22,""),"")</f>
        <v/>
      </c>
      <c r="BJ22" s="34">
        <f>IF(AND(BJ$5&gt;$E22,BJ$5&lt;=$F22),IF(BJ$5=$E22+1,$C22,""),"")</f>
        <v/>
      </c>
      <c r="BK22" s="34">
        <f>IF(AND(BK$5&gt;$E22,BK$5&lt;=$F22),IF(BK$5=$E22+1,$C22,""),"")</f>
        <v/>
      </c>
      <c r="BL22" s="34">
        <f>IF(AND(BL$5&gt;$E22,BL$5&lt;=$F22),IF(BL$5=$E22+1,$C22,""),"")</f>
        <v/>
      </c>
      <c r="BM22" s="34">
        <f>IF(AND(BM$5&gt;$E22,BM$5&lt;=$F22),IF(BM$5=$E22+1,$C22,""),"")</f>
        <v/>
      </c>
      <c r="BN22" s="34">
        <f>IF(AND(BN$5&gt;$E22,BN$5&lt;=$F22),IF(BN$5=$E22+1,$C22,""),"")</f>
        <v/>
      </c>
      <c r="BO22" s="34">
        <f>IF(AND(BO$5&gt;$E22,BO$5&lt;=$F22),IF(BO$5=$E22+1,$C22,""),"")</f>
        <v/>
      </c>
      <c r="BP22" s="34">
        <f>IF(AND(BP$5&gt;$E22,BP$5&lt;=$F22),IF(BP$5=$E22+1,$C22,""),"")</f>
        <v/>
      </c>
      <c r="BQ22" s="34">
        <f>IF(AND(BQ$5&gt;$E22,BQ$5&lt;=$F22),IF(BQ$5=$E22+1,$C22,""),"")</f>
        <v/>
      </c>
      <c r="BR22" s="34">
        <f>IF(AND(BR$5&gt;$E22,BR$5&lt;=$F22),IF(BR$5=$E22+1,$C22,""),"")</f>
        <v/>
      </c>
      <c r="BS22" s="34">
        <f>IF(AND(BS$5&gt;$E22,BS$5&lt;=$F22),IF(BS$5=$E22+1,$C22,""),"")</f>
        <v/>
      </c>
      <c r="BT22" s="34">
        <f>IF(AND(BT$5&gt;$E22,BT$5&lt;=$F22),IF(BT$5=$E22+1,$C22,""),"")</f>
        <v/>
      </c>
      <c r="BU22" s="34">
        <f>IF(AND(BU$5&gt;$E22,BU$5&lt;=$F22),IF(BU$5=$E22+1,$C22,""),"")</f>
        <v/>
      </c>
      <c r="BV22" s="34">
        <f>IF(AND(BV$5&gt;$E22,BV$5&lt;=$F22),IF(BV$5=$E22+1,$C22,""),"")</f>
        <v/>
      </c>
      <c r="BW22" s="34">
        <f>IF(AND(BW$5&gt;$E22,BW$5&lt;=$F22),IF(BW$5=$E22+1,$C22,""),"")</f>
        <v/>
      </c>
      <c r="BX22" s="34">
        <f>IF(AND(BX$5&gt;$E22,BX$5&lt;=$F22),IF(BX$5=$E22+1,$C22,""),"")</f>
        <v/>
      </c>
      <c r="BY22" s="34">
        <f>IF(AND(BY$5&gt;$E22,BY$5&lt;=$F22),IF(BY$5=$E22+1,$C22,""),"")</f>
        <v/>
      </c>
    </row>
    <row r="23">
      <c r="A23" s="32">
        <f>Plan!A17</f>
        <v/>
      </c>
      <c r="B23" s="33">
        <f>Plan!C17</f>
        <v/>
      </c>
      <c r="C23" s="16">
        <f>Plan!D17</f>
        <v/>
      </c>
      <c r="D23" s="16">
        <f>Plan!I17</f>
        <v/>
      </c>
      <c r="E23" s="16">
        <f>Plan!K17</f>
        <v/>
      </c>
      <c r="F23" s="16">
        <f>Plan!L17</f>
        <v/>
      </c>
      <c r="G23" s="16">
        <f>Plan!O17</f>
        <v/>
      </c>
      <c r="H23" s="34">
        <f>IF(AND(H$5&gt;$E23,H$5&lt;=$F23),IF(H$5=$E23+1,$C23,""),"")</f>
        <v/>
      </c>
      <c r="I23" s="34">
        <f>IF(AND(I$5&gt;$E23,I$5&lt;=$F23),IF(I$5=$E23+1,$C23,""),"")</f>
        <v/>
      </c>
      <c r="J23" s="34">
        <f>IF(AND(J$5&gt;$E23,J$5&lt;=$F23),IF(J$5=$E23+1,$C23,""),"")</f>
        <v/>
      </c>
      <c r="K23" s="34">
        <f>IF(AND(K$5&gt;$E23,K$5&lt;=$F23),IF(K$5=$E23+1,$C23,""),"")</f>
        <v/>
      </c>
      <c r="L23" s="34">
        <f>IF(AND(L$5&gt;$E23,L$5&lt;=$F23),IF(L$5=$E23+1,$C23,""),"")</f>
        <v/>
      </c>
      <c r="M23" s="34">
        <f>IF(AND(M$5&gt;$E23,M$5&lt;=$F23),IF(M$5=$E23+1,$C23,""),"")</f>
        <v/>
      </c>
      <c r="N23" s="34">
        <f>IF(AND(N$5&gt;$E23,N$5&lt;=$F23),IF(N$5=$E23+1,$C23,""),"")</f>
        <v/>
      </c>
      <c r="O23" s="34">
        <f>IF(AND(O$5&gt;$E23,O$5&lt;=$F23),IF(O$5=$E23+1,$C23,""),"")</f>
        <v/>
      </c>
      <c r="P23" s="34">
        <f>IF(AND(P$5&gt;$E23,P$5&lt;=$F23),IF(P$5=$E23+1,$C23,""),"")</f>
        <v/>
      </c>
      <c r="Q23" s="34">
        <f>IF(AND(Q$5&gt;$E23,Q$5&lt;=$F23),IF(Q$5=$E23+1,$C23,""),"")</f>
        <v/>
      </c>
      <c r="R23" s="34">
        <f>IF(AND(R$5&gt;$E23,R$5&lt;=$F23),IF(R$5=$E23+1,$C23,""),"")</f>
        <v/>
      </c>
      <c r="S23" s="34">
        <f>IF(AND(S$5&gt;$E23,S$5&lt;=$F23),IF(S$5=$E23+1,$C23,""),"")</f>
        <v/>
      </c>
      <c r="T23" s="34">
        <f>IF(AND(T$5&gt;$E23,T$5&lt;=$F23),IF(T$5=$E23+1,$C23,""),"")</f>
        <v/>
      </c>
      <c r="U23" s="34">
        <f>IF(AND(U$5&gt;$E23,U$5&lt;=$F23),IF(U$5=$E23+1,$C23,""),"")</f>
        <v/>
      </c>
      <c r="V23" s="34">
        <f>IF(AND(V$5&gt;$E23,V$5&lt;=$F23),IF(V$5=$E23+1,$C23,""),"")</f>
        <v/>
      </c>
      <c r="W23" s="34">
        <f>IF(AND(W$5&gt;$E23,W$5&lt;=$F23),IF(W$5=$E23+1,$C23,""),"")</f>
        <v/>
      </c>
      <c r="X23" s="34">
        <f>IF(AND(X$5&gt;$E23,X$5&lt;=$F23),IF(X$5=$E23+1,$C23,""),"")</f>
        <v/>
      </c>
      <c r="Y23" s="34">
        <f>IF(AND(Y$5&gt;$E23,Y$5&lt;=$F23),IF(Y$5=$E23+1,$C23,""),"")</f>
        <v/>
      </c>
      <c r="Z23" s="34">
        <f>IF(AND(Z$5&gt;$E23,Z$5&lt;=$F23),IF(Z$5=$E23+1,$C23,""),"")</f>
        <v/>
      </c>
      <c r="AA23" s="34">
        <f>IF(AND(AA$5&gt;$E23,AA$5&lt;=$F23),IF(AA$5=$E23+1,$C23,""),"")</f>
        <v/>
      </c>
      <c r="AB23" s="34">
        <f>IF(AND(AB$5&gt;$E23,AB$5&lt;=$F23),IF(AB$5=$E23+1,$C23,""),"")</f>
        <v/>
      </c>
      <c r="AC23" s="34">
        <f>IF(AND(AC$5&gt;$E23,AC$5&lt;=$F23),IF(AC$5=$E23+1,$C23,""),"")</f>
        <v/>
      </c>
      <c r="AD23" s="34">
        <f>IF(AND(AD$5&gt;$E23,AD$5&lt;=$F23),IF(AD$5=$E23+1,$C23,""),"")</f>
        <v/>
      </c>
      <c r="AE23" s="34">
        <f>IF(AND(AE$5&gt;$E23,AE$5&lt;=$F23),IF(AE$5=$E23+1,$C23,""),"")</f>
        <v/>
      </c>
      <c r="AF23" s="34">
        <f>IF(AND(AF$5&gt;$E23,AF$5&lt;=$F23),IF(AF$5=$E23+1,$C23,""),"")</f>
        <v/>
      </c>
      <c r="AG23" s="34">
        <f>IF(AND(AG$5&gt;$E23,AG$5&lt;=$F23),IF(AG$5=$E23+1,$C23,""),"")</f>
        <v/>
      </c>
      <c r="AH23" s="34">
        <f>IF(AND(AH$5&gt;$E23,AH$5&lt;=$F23),IF(AH$5=$E23+1,$C23,""),"")</f>
        <v/>
      </c>
      <c r="AI23" s="34">
        <f>IF(AND(AI$5&gt;$E23,AI$5&lt;=$F23),IF(AI$5=$E23+1,$C23,""),"")</f>
        <v/>
      </c>
      <c r="AJ23" s="34">
        <f>IF(AND(AJ$5&gt;$E23,AJ$5&lt;=$F23),IF(AJ$5=$E23+1,$C23,""),"")</f>
        <v/>
      </c>
      <c r="AK23" s="34">
        <f>IF(AND(AK$5&gt;$E23,AK$5&lt;=$F23),IF(AK$5=$E23+1,$C23,""),"")</f>
        <v/>
      </c>
      <c r="AL23" s="34">
        <f>IF(AND(AL$5&gt;$E23,AL$5&lt;=$F23),IF(AL$5=$E23+1,$C23,""),"")</f>
        <v/>
      </c>
      <c r="AM23" s="34">
        <f>IF(AND(AM$5&gt;$E23,AM$5&lt;=$F23),IF(AM$5=$E23+1,$C23,""),"")</f>
        <v/>
      </c>
      <c r="AN23" s="34">
        <f>IF(AND(AN$5&gt;$E23,AN$5&lt;=$F23),IF(AN$5=$E23+1,$C23,""),"")</f>
        <v/>
      </c>
      <c r="AO23" s="34">
        <f>IF(AND(AO$5&gt;$E23,AO$5&lt;=$F23),IF(AO$5=$E23+1,$C23,""),"")</f>
        <v/>
      </c>
      <c r="AP23" s="34">
        <f>IF(AND(AP$5&gt;$E23,AP$5&lt;=$F23),IF(AP$5=$E23+1,$C23,""),"")</f>
        <v/>
      </c>
      <c r="AQ23" s="34">
        <f>IF(AND(AQ$5&gt;$E23,AQ$5&lt;=$F23),IF(AQ$5=$E23+1,$C23,""),"")</f>
        <v/>
      </c>
      <c r="AR23" s="34">
        <f>IF(AND(AR$5&gt;$E23,AR$5&lt;=$F23),IF(AR$5=$E23+1,$C23,""),"")</f>
        <v/>
      </c>
      <c r="AS23" s="34">
        <f>IF(AND(AS$5&gt;$E23,AS$5&lt;=$F23),IF(AS$5=$E23+1,$C23,""),"")</f>
        <v/>
      </c>
      <c r="AT23" s="34">
        <f>IF(AND(AT$5&gt;$E23,AT$5&lt;=$F23),IF(AT$5=$E23+1,$C23,""),"")</f>
        <v/>
      </c>
      <c r="AU23" s="34">
        <f>IF(AND(AU$5&gt;$E23,AU$5&lt;=$F23),IF(AU$5=$E23+1,$C23,""),"")</f>
        <v/>
      </c>
      <c r="AV23" s="34">
        <f>IF(AND(AV$5&gt;$E23,AV$5&lt;=$F23),IF(AV$5=$E23+1,$C23,""),"")</f>
        <v/>
      </c>
      <c r="AW23" s="34">
        <f>IF(AND(AW$5&gt;$E23,AW$5&lt;=$F23),IF(AW$5=$E23+1,$C23,""),"")</f>
        <v/>
      </c>
      <c r="AX23" s="34">
        <f>IF(AND(AX$5&gt;$E23,AX$5&lt;=$F23),IF(AX$5=$E23+1,$C23,""),"")</f>
        <v/>
      </c>
      <c r="AY23" s="34">
        <f>IF(AND(AY$5&gt;$E23,AY$5&lt;=$F23),IF(AY$5=$E23+1,$C23,""),"")</f>
        <v/>
      </c>
      <c r="AZ23" s="34">
        <f>IF(AND(AZ$5&gt;$E23,AZ$5&lt;=$F23),IF(AZ$5=$E23+1,$C23,""),"")</f>
        <v/>
      </c>
      <c r="BA23" s="34">
        <f>IF(AND(BA$5&gt;$E23,BA$5&lt;=$F23),IF(BA$5=$E23+1,$C23,""),"")</f>
        <v/>
      </c>
      <c r="BB23" s="34">
        <f>IF(AND(BB$5&gt;$E23,BB$5&lt;=$F23),IF(BB$5=$E23+1,$C23,""),"")</f>
        <v/>
      </c>
      <c r="BC23" s="34">
        <f>IF(AND(BC$5&gt;$E23,BC$5&lt;=$F23),IF(BC$5=$E23+1,$C23,""),"")</f>
        <v/>
      </c>
      <c r="BD23" s="34">
        <f>IF(AND(BD$5&gt;$E23,BD$5&lt;=$F23),IF(BD$5=$E23+1,$C23,""),"")</f>
        <v/>
      </c>
      <c r="BE23" s="34">
        <f>IF(AND(BE$5&gt;$E23,BE$5&lt;=$F23),IF(BE$5=$E23+1,$C23,""),"")</f>
        <v/>
      </c>
      <c r="BF23" s="34">
        <f>IF(AND(BF$5&gt;$E23,BF$5&lt;=$F23),IF(BF$5=$E23+1,$C23,""),"")</f>
        <v/>
      </c>
      <c r="BG23" s="34">
        <f>IF(AND(BG$5&gt;$E23,BG$5&lt;=$F23),IF(BG$5=$E23+1,$C23,""),"")</f>
        <v/>
      </c>
      <c r="BH23" s="34">
        <f>IF(AND(BH$5&gt;$E23,BH$5&lt;=$F23),IF(BH$5=$E23+1,$C23,""),"")</f>
        <v/>
      </c>
      <c r="BI23" s="34">
        <f>IF(AND(BI$5&gt;$E23,BI$5&lt;=$F23),IF(BI$5=$E23+1,$C23,""),"")</f>
        <v/>
      </c>
      <c r="BJ23" s="34">
        <f>IF(AND(BJ$5&gt;$E23,BJ$5&lt;=$F23),IF(BJ$5=$E23+1,$C23,""),"")</f>
        <v/>
      </c>
      <c r="BK23" s="34">
        <f>IF(AND(BK$5&gt;$E23,BK$5&lt;=$F23),IF(BK$5=$E23+1,$C23,""),"")</f>
        <v/>
      </c>
      <c r="BL23" s="34">
        <f>IF(AND(BL$5&gt;$E23,BL$5&lt;=$F23),IF(BL$5=$E23+1,$C23,""),"")</f>
        <v/>
      </c>
      <c r="BM23" s="34">
        <f>IF(AND(BM$5&gt;$E23,BM$5&lt;=$F23),IF(BM$5=$E23+1,$C23,""),"")</f>
        <v/>
      </c>
      <c r="BN23" s="34">
        <f>IF(AND(BN$5&gt;$E23,BN$5&lt;=$F23),IF(BN$5=$E23+1,$C23,""),"")</f>
        <v/>
      </c>
      <c r="BO23" s="34">
        <f>IF(AND(BO$5&gt;$E23,BO$5&lt;=$F23),IF(BO$5=$E23+1,$C23,""),"")</f>
        <v/>
      </c>
      <c r="BP23" s="34">
        <f>IF(AND(BP$5&gt;$E23,BP$5&lt;=$F23),IF(BP$5=$E23+1,$C23,""),"")</f>
        <v/>
      </c>
      <c r="BQ23" s="34">
        <f>IF(AND(BQ$5&gt;$E23,BQ$5&lt;=$F23),IF(BQ$5=$E23+1,$C23,""),"")</f>
        <v/>
      </c>
      <c r="BR23" s="34">
        <f>IF(AND(BR$5&gt;$E23,BR$5&lt;=$F23),IF(BR$5=$E23+1,$C23,""),"")</f>
        <v/>
      </c>
      <c r="BS23" s="34">
        <f>IF(AND(BS$5&gt;$E23,BS$5&lt;=$F23),IF(BS$5=$E23+1,$C23,""),"")</f>
        <v/>
      </c>
      <c r="BT23" s="34">
        <f>IF(AND(BT$5&gt;$E23,BT$5&lt;=$F23),IF(BT$5=$E23+1,$C23,""),"")</f>
        <v/>
      </c>
      <c r="BU23" s="34">
        <f>IF(AND(BU$5&gt;$E23,BU$5&lt;=$F23),IF(BU$5=$E23+1,$C23,""),"")</f>
        <v/>
      </c>
      <c r="BV23" s="34">
        <f>IF(AND(BV$5&gt;$E23,BV$5&lt;=$F23),IF(BV$5=$E23+1,$C23,""),"")</f>
        <v/>
      </c>
      <c r="BW23" s="34">
        <f>IF(AND(BW$5&gt;$E23,BW$5&lt;=$F23),IF(BW$5=$E23+1,$C23,""),"")</f>
        <v/>
      </c>
      <c r="BX23" s="34">
        <f>IF(AND(BX$5&gt;$E23,BX$5&lt;=$F23),IF(BX$5=$E23+1,$C23,""),"")</f>
        <v/>
      </c>
      <c r="BY23" s="34">
        <f>IF(AND(BY$5&gt;$E23,BY$5&lt;=$F23),IF(BY$5=$E23+1,$C23,""),"")</f>
        <v/>
      </c>
    </row>
    <row r="24">
      <c r="A24" s="32">
        <f>Plan!A18</f>
        <v/>
      </c>
      <c r="B24" s="33">
        <f>Plan!C18</f>
        <v/>
      </c>
      <c r="C24" s="16">
        <f>Plan!D18</f>
        <v/>
      </c>
      <c r="D24" s="16">
        <f>Plan!I18</f>
        <v/>
      </c>
      <c r="E24" s="16">
        <f>Plan!K18</f>
        <v/>
      </c>
      <c r="F24" s="16">
        <f>Plan!L18</f>
        <v/>
      </c>
      <c r="G24" s="16">
        <f>Plan!O18</f>
        <v/>
      </c>
      <c r="H24" s="34">
        <f>IF(AND(H$5&gt;$E24,H$5&lt;=$F24),IF(H$5=$E24+1,$C24,""),"")</f>
        <v/>
      </c>
      <c r="I24" s="34">
        <f>IF(AND(I$5&gt;$E24,I$5&lt;=$F24),IF(I$5=$E24+1,$C24,""),"")</f>
        <v/>
      </c>
      <c r="J24" s="34">
        <f>IF(AND(J$5&gt;$E24,J$5&lt;=$F24),IF(J$5=$E24+1,$C24,""),"")</f>
        <v/>
      </c>
      <c r="K24" s="34">
        <f>IF(AND(K$5&gt;$E24,K$5&lt;=$F24),IF(K$5=$E24+1,$C24,""),"")</f>
        <v/>
      </c>
      <c r="L24" s="34">
        <f>IF(AND(L$5&gt;$E24,L$5&lt;=$F24),IF(L$5=$E24+1,$C24,""),"")</f>
        <v/>
      </c>
      <c r="M24" s="34">
        <f>IF(AND(M$5&gt;$E24,M$5&lt;=$F24),IF(M$5=$E24+1,$C24,""),"")</f>
        <v/>
      </c>
      <c r="N24" s="34">
        <f>IF(AND(N$5&gt;$E24,N$5&lt;=$F24),IF(N$5=$E24+1,$C24,""),"")</f>
        <v/>
      </c>
      <c r="O24" s="34">
        <f>IF(AND(O$5&gt;$E24,O$5&lt;=$F24),IF(O$5=$E24+1,$C24,""),"")</f>
        <v/>
      </c>
      <c r="P24" s="34">
        <f>IF(AND(P$5&gt;$E24,P$5&lt;=$F24),IF(P$5=$E24+1,$C24,""),"")</f>
        <v/>
      </c>
      <c r="Q24" s="34">
        <f>IF(AND(Q$5&gt;$E24,Q$5&lt;=$F24),IF(Q$5=$E24+1,$C24,""),"")</f>
        <v/>
      </c>
      <c r="R24" s="34">
        <f>IF(AND(R$5&gt;$E24,R$5&lt;=$F24),IF(R$5=$E24+1,$C24,""),"")</f>
        <v/>
      </c>
      <c r="S24" s="34">
        <f>IF(AND(S$5&gt;$E24,S$5&lt;=$F24),IF(S$5=$E24+1,$C24,""),"")</f>
        <v/>
      </c>
      <c r="T24" s="34">
        <f>IF(AND(T$5&gt;$E24,T$5&lt;=$F24),IF(T$5=$E24+1,$C24,""),"")</f>
        <v/>
      </c>
      <c r="U24" s="34">
        <f>IF(AND(U$5&gt;$E24,U$5&lt;=$F24),IF(U$5=$E24+1,$C24,""),"")</f>
        <v/>
      </c>
      <c r="V24" s="34">
        <f>IF(AND(V$5&gt;$E24,V$5&lt;=$F24),IF(V$5=$E24+1,$C24,""),"")</f>
        <v/>
      </c>
      <c r="W24" s="34">
        <f>IF(AND(W$5&gt;$E24,W$5&lt;=$F24),IF(W$5=$E24+1,$C24,""),"")</f>
        <v/>
      </c>
      <c r="X24" s="34">
        <f>IF(AND(X$5&gt;$E24,X$5&lt;=$F24),IF(X$5=$E24+1,$C24,""),"")</f>
        <v/>
      </c>
      <c r="Y24" s="34">
        <f>IF(AND(Y$5&gt;$E24,Y$5&lt;=$F24),IF(Y$5=$E24+1,$C24,""),"")</f>
        <v/>
      </c>
      <c r="Z24" s="34">
        <f>IF(AND(Z$5&gt;$E24,Z$5&lt;=$F24),IF(Z$5=$E24+1,$C24,""),"")</f>
        <v/>
      </c>
      <c r="AA24" s="34">
        <f>IF(AND(AA$5&gt;$E24,AA$5&lt;=$F24),IF(AA$5=$E24+1,$C24,""),"")</f>
        <v/>
      </c>
      <c r="AB24" s="34">
        <f>IF(AND(AB$5&gt;$E24,AB$5&lt;=$F24),IF(AB$5=$E24+1,$C24,""),"")</f>
        <v/>
      </c>
      <c r="AC24" s="34">
        <f>IF(AND(AC$5&gt;$E24,AC$5&lt;=$F24),IF(AC$5=$E24+1,$C24,""),"")</f>
        <v/>
      </c>
      <c r="AD24" s="34">
        <f>IF(AND(AD$5&gt;$E24,AD$5&lt;=$F24),IF(AD$5=$E24+1,$C24,""),"")</f>
        <v/>
      </c>
      <c r="AE24" s="34">
        <f>IF(AND(AE$5&gt;$E24,AE$5&lt;=$F24),IF(AE$5=$E24+1,$C24,""),"")</f>
        <v/>
      </c>
      <c r="AF24" s="34">
        <f>IF(AND(AF$5&gt;$E24,AF$5&lt;=$F24),IF(AF$5=$E24+1,$C24,""),"")</f>
        <v/>
      </c>
      <c r="AG24" s="34">
        <f>IF(AND(AG$5&gt;$E24,AG$5&lt;=$F24),IF(AG$5=$E24+1,$C24,""),"")</f>
        <v/>
      </c>
      <c r="AH24" s="34">
        <f>IF(AND(AH$5&gt;$E24,AH$5&lt;=$F24),IF(AH$5=$E24+1,$C24,""),"")</f>
        <v/>
      </c>
      <c r="AI24" s="34">
        <f>IF(AND(AI$5&gt;$E24,AI$5&lt;=$F24),IF(AI$5=$E24+1,$C24,""),"")</f>
        <v/>
      </c>
      <c r="AJ24" s="34">
        <f>IF(AND(AJ$5&gt;$E24,AJ$5&lt;=$F24),IF(AJ$5=$E24+1,$C24,""),"")</f>
        <v/>
      </c>
      <c r="AK24" s="34">
        <f>IF(AND(AK$5&gt;$E24,AK$5&lt;=$F24),IF(AK$5=$E24+1,$C24,""),"")</f>
        <v/>
      </c>
      <c r="AL24" s="34">
        <f>IF(AND(AL$5&gt;$E24,AL$5&lt;=$F24),IF(AL$5=$E24+1,$C24,""),"")</f>
        <v/>
      </c>
      <c r="AM24" s="34">
        <f>IF(AND(AM$5&gt;$E24,AM$5&lt;=$F24),IF(AM$5=$E24+1,$C24,""),"")</f>
        <v/>
      </c>
      <c r="AN24" s="34">
        <f>IF(AND(AN$5&gt;$E24,AN$5&lt;=$F24),IF(AN$5=$E24+1,$C24,""),"")</f>
        <v/>
      </c>
      <c r="AO24" s="34">
        <f>IF(AND(AO$5&gt;$E24,AO$5&lt;=$F24),IF(AO$5=$E24+1,$C24,""),"")</f>
        <v/>
      </c>
      <c r="AP24" s="34">
        <f>IF(AND(AP$5&gt;$E24,AP$5&lt;=$F24),IF(AP$5=$E24+1,$C24,""),"")</f>
        <v/>
      </c>
      <c r="AQ24" s="34">
        <f>IF(AND(AQ$5&gt;$E24,AQ$5&lt;=$F24),IF(AQ$5=$E24+1,$C24,""),"")</f>
        <v/>
      </c>
      <c r="AR24" s="34">
        <f>IF(AND(AR$5&gt;$E24,AR$5&lt;=$F24),IF(AR$5=$E24+1,$C24,""),"")</f>
        <v/>
      </c>
      <c r="AS24" s="34">
        <f>IF(AND(AS$5&gt;$E24,AS$5&lt;=$F24),IF(AS$5=$E24+1,$C24,""),"")</f>
        <v/>
      </c>
      <c r="AT24" s="34">
        <f>IF(AND(AT$5&gt;$E24,AT$5&lt;=$F24),IF(AT$5=$E24+1,$C24,""),"")</f>
        <v/>
      </c>
      <c r="AU24" s="34">
        <f>IF(AND(AU$5&gt;$E24,AU$5&lt;=$F24),IF(AU$5=$E24+1,$C24,""),"")</f>
        <v/>
      </c>
      <c r="AV24" s="34">
        <f>IF(AND(AV$5&gt;$E24,AV$5&lt;=$F24),IF(AV$5=$E24+1,$C24,""),"")</f>
        <v/>
      </c>
      <c r="AW24" s="34">
        <f>IF(AND(AW$5&gt;$E24,AW$5&lt;=$F24),IF(AW$5=$E24+1,$C24,""),"")</f>
        <v/>
      </c>
      <c r="AX24" s="34">
        <f>IF(AND(AX$5&gt;$E24,AX$5&lt;=$F24),IF(AX$5=$E24+1,$C24,""),"")</f>
        <v/>
      </c>
      <c r="AY24" s="34">
        <f>IF(AND(AY$5&gt;$E24,AY$5&lt;=$F24),IF(AY$5=$E24+1,$C24,""),"")</f>
        <v/>
      </c>
      <c r="AZ24" s="34">
        <f>IF(AND(AZ$5&gt;$E24,AZ$5&lt;=$F24),IF(AZ$5=$E24+1,$C24,""),"")</f>
        <v/>
      </c>
      <c r="BA24" s="34">
        <f>IF(AND(BA$5&gt;$E24,BA$5&lt;=$F24),IF(BA$5=$E24+1,$C24,""),"")</f>
        <v/>
      </c>
      <c r="BB24" s="34">
        <f>IF(AND(BB$5&gt;$E24,BB$5&lt;=$F24),IF(BB$5=$E24+1,$C24,""),"")</f>
        <v/>
      </c>
      <c r="BC24" s="34">
        <f>IF(AND(BC$5&gt;$E24,BC$5&lt;=$F24),IF(BC$5=$E24+1,$C24,""),"")</f>
        <v/>
      </c>
      <c r="BD24" s="34">
        <f>IF(AND(BD$5&gt;$E24,BD$5&lt;=$F24),IF(BD$5=$E24+1,$C24,""),"")</f>
        <v/>
      </c>
      <c r="BE24" s="34">
        <f>IF(AND(BE$5&gt;$E24,BE$5&lt;=$F24),IF(BE$5=$E24+1,$C24,""),"")</f>
        <v/>
      </c>
      <c r="BF24" s="34">
        <f>IF(AND(BF$5&gt;$E24,BF$5&lt;=$F24),IF(BF$5=$E24+1,$C24,""),"")</f>
        <v/>
      </c>
      <c r="BG24" s="34">
        <f>IF(AND(BG$5&gt;$E24,BG$5&lt;=$F24),IF(BG$5=$E24+1,$C24,""),"")</f>
        <v/>
      </c>
      <c r="BH24" s="34">
        <f>IF(AND(BH$5&gt;$E24,BH$5&lt;=$F24),IF(BH$5=$E24+1,$C24,""),"")</f>
        <v/>
      </c>
      <c r="BI24" s="34">
        <f>IF(AND(BI$5&gt;$E24,BI$5&lt;=$F24),IF(BI$5=$E24+1,$C24,""),"")</f>
        <v/>
      </c>
      <c r="BJ24" s="34">
        <f>IF(AND(BJ$5&gt;$E24,BJ$5&lt;=$F24),IF(BJ$5=$E24+1,$C24,""),"")</f>
        <v/>
      </c>
      <c r="BK24" s="34">
        <f>IF(AND(BK$5&gt;$E24,BK$5&lt;=$F24),IF(BK$5=$E24+1,$C24,""),"")</f>
        <v/>
      </c>
      <c r="BL24" s="34">
        <f>IF(AND(BL$5&gt;$E24,BL$5&lt;=$F24),IF(BL$5=$E24+1,$C24,""),"")</f>
        <v/>
      </c>
      <c r="BM24" s="34">
        <f>IF(AND(BM$5&gt;$E24,BM$5&lt;=$F24),IF(BM$5=$E24+1,$C24,""),"")</f>
        <v/>
      </c>
      <c r="BN24" s="34">
        <f>IF(AND(BN$5&gt;$E24,BN$5&lt;=$F24),IF(BN$5=$E24+1,$C24,""),"")</f>
        <v/>
      </c>
      <c r="BO24" s="34">
        <f>IF(AND(BO$5&gt;$E24,BO$5&lt;=$F24),IF(BO$5=$E24+1,$C24,""),"")</f>
        <v/>
      </c>
      <c r="BP24" s="34">
        <f>IF(AND(BP$5&gt;$E24,BP$5&lt;=$F24),IF(BP$5=$E24+1,$C24,""),"")</f>
        <v/>
      </c>
      <c r="BQ24" s="34">
        <f>IF(AND(BQ$5&gt;$E24,BQ$5&lt;=$F24),IF(BQ$5=$E24+1,$C24,""),"")</f>
        <v/>
      </c>
      <c r="BR24" s="34">
        <f>IF(AND(BR$5&gt;$E24,BR$5&lt;=$F24),IF(BR$5=$E24+1,$C24,""),"")</f>
        <v/>
      </c>
      <c r="BS24" s="34">
        <f>IF(AND(BS$5&gt;$E24,BS$5&lt;=$F24),IF(BS$5=$E24+1,$C24,""),"")</f>
        <v/>
      </c>
      <c r="BT24" s="34">
        <f>IF(AND(BT$5&gt;$E24,BT$5&lt;=$F24),IF(BT$5=$E24+1,$C24,""),"")</f>
        <v/>
      </c>
      <c r="BU24" s="34">
        <f>IF(AND(BU$5&gt;$E24,BU$5&lt;=$F24),IF(BU$5=$E24+1,$C24,""),"")</f>
        <v/>
      </c>
      <c r="BV24" s="34">
        <f>IF(AND(BV$5&gt;$E24,BV$5&lt;=$F24),IF(BV$5=$E24+1,$C24,""),"")</f>
        <v/>
      </c>
      <c r="BW24" s="34">
        <f>IF(AND(BW$5&gt;$E24,BW$5&lt;=$F24),IF(BW$5=$E24+1,$C24,""),"")</f>
        <v/>
      </c>
      <c r="BX24" s="34">
        <f>IF(AND(BX$5&gt;$E24,BX$5&lt;=$F24),IF(BX$5=$E24+1,$C24,""),"")</f>
        <v/>
      </c>
      <c r="BY24" s="34">
        <f>IF(AND(BY$5&gt;$E24,BY$5&lt;=$F24),IF(BY$5=$E24+1,$C24,""),"")</f>
        <v/>
      </c>
    </row>
    <row r="25">
      <c r="A25" s="32">
        <f>Plan!A19</f>
        <v/>
      </c>
      <c r="B25" s="33">
        <f>Plan!C19</f>
        <v/>
      </c>
      <c r="C25" s="16">
        <f>Plan!D19</f>
        <v/>
      </c>
      <c r="D25" s="16">
        <f>Plan!I19</f>
        <v/>
      </c>
      <c r="E25" s="16">
        <f>Plan!K19</f>
        <v/>
      </c>
      <c r="F25" s="16">
        <f>Plan!L19</f>
        <v/>
      </c>
      <c r="G25" s="16">
        <f>Plan!O19</f>
        <v/>
      </c>
      <c r="H25" s="34">
        <f>IF(AND(H$5&gt;$E25,H$5&lt;=$F25),IF(H$5=$E25+1,$C25,""),"")</f>
        <v/>
      </c>
      <c r="I25" s="34">
        <f>IF(AND(I$5&gt;$E25,I$5&lt;=$F25),IF(I$5=$E25+1,$C25,""),"")</f>
        <v/>
      </c>
      <c r="J25" s="34">
        <f>IF(AND(J$5&gt;$E25,J$5&lt;=$F25),IF(J$5=$E25+1,$C25,""),"")</f>
        <v/>
      </c>
      <c r="K25" s="34">
        <f>IF(AND(K$5&gt;$E25,K$5&lt;=$F25),IF(K$5=$E25+1,$C25,""),"")</f>
        <v/>
      </c>
      <c r="L25" s="34">
        <f>IF(AND(L$5&gt;$E25,L$5&lt;=$F25),IF(L$5=$E25+1,$C25,""),"")</f>
        <v/>
      </c>
      <c r="M25" s="34">
        <f>IF(AND(M$5&gt;$E25,M$5&lt;=$F25),IF(M$5=$E25+1,$C25,""),"")</f>
        <v/>
      </c>
      <c r="N25" s="34">
        <f>IF(AND(N$5&gt;$E25,N$5&lt;=$F25),IF(N$5=$E25+1,$C25,""),"")</f>
        <v/>
      </c>
      <c r="O25" s="34">
        <f>IF(AND(O$5&gt;$E25,O$5&lt;=$F25),IF(O$5=$E25+1,$C25,""),"")</f>
        <v/>
      </c>
      <c r="P25" s="34">
        <f>IF(AND(P$5&gt;$E25,P$5&lt;=$F25),IF(P$5=$E25+1,$C25,""),"")</f>
        <v/>
      </c>
      <c r="Q25" s="34">
        <f>IF(AND(Q$5&gt;$E25,Q$5&lt;=$F25),IF(Q$5=$E25+1,$C25,""),"")</f>
        <v/>
      </c>
      <c r="R25" s="34">
        <f>IF(AND(R$5&gt;$E25,R$5&lt;=$F25),IF(R$5=$E25+1,$C25,""),"")</f>
        <v/>
      </c>
      <c r="S25" s="34">
        <f>IF(AND(S$5&gt;$E25,S$5&lt;=$F25),IF(S$5=$E25+1,$C25,""),"")</f>
        <v/>
      </c>
      <c r="T25" s="34">
        <f>IF(AND(T$5&gt;$E25,T$5&lt;=$F25),IF(T$5=$E25+1,$C25,""),"")</f>
        <v/>
      </c>
      <c r="U25" s="34">
        <f>IF(AND(U$5&gt;$E25,U$5&lt;=$F25),IF(U$5=$E25+1,$C25,""),"")</f>
        <v/>
      </c>
      <c r="V25" s="34">
        <f>IF(AND(V$5&gt;$E25,V$5&lt;=$F25),IF(V$5=$E25+1,$C25,""),"")</f>
        <v/>
      </c>
      <c r="W25" s="34">
        <f>IF(AND(W$5&gt;$E25,W$5&lt;=$F25),IF(W$5=$E25+1,$C25,""),"")</f>
        <v/>
      </c>
      <c r="X25" s="34">
        <f>IF(AND(X$5&gt;$E25,X$5&lt;=$F25),IF(X$5=$E25+1,$C25,""),"")</f>
        <v/>
      </c>
      <c r="Y25" s="34">
        <f>IF(AND(Y$5&gt;$E25,Y$5&lt;=$F25),IF(Y$5=$E25+1,$C25,""),"")</f>
        <v/>
      </c>
      <c r="Z25" s="34">
        <f>IF(AND(Z$5&gt;$E25,Z$5&lt;=$F25),IF(Z$5=$E25+1,$C25,""),"")</f>
        <v/>
      </c>
      <c r="AA25" s="34">
        <f>IF(AND(AA$5&gt;$E25,AA$5&lt;=$F25),IF(AA$5=$E25+1,$C25,""),"")</f>
        <v/>
      </c>
      <c r="AB25" s="34">
        <f>IF(AND(AB$5&gt;$E25,AB$5&lt;=$F25),IF(AB$5=$E25+1,$C25,""),"")</f>
        <v/>
      </c>
      <c r="AC25" s="34">
        <f>IF(AND(AC$5&gt;$E25,AC$5&lt;=$F25),IF(AC$5=$E25+1,$C25,""),"")</f>
        <v/>
      </c>
      <c r="AD25" s="34">
        <f>IF(AND(AD$5&gt;$E25,AD$5&lt;=$F25),IF(AD$5=$E25+1,$C25,""),"")</f>
        <v/>
      </c>
      <c r="AE25" s="34">
        <f>IF(AND(AE$5&gt;$E25,AE$5&lt;=$F25),IF(AE$5=$E25+1,$C25,""),"")</f>
        <v/>
      </c>
      <c r="AF25" s="34">
        <f>IF(AND(AF$5&gt;$E25,AF$5&lt;=$F25),IF(AF$5=$E25+1,$C25,""),"")</f>
        <v/>
      </c>
      <c r="AG25" s="34">
        <f>IF(AND(AG$5&gt;$E25,AG$5&lt;=$F25),IF(AG$5=$E25+1,$C25,""),"")</f>
        <v/>
      </c>
      <c r="AH25" s="34">
        <f>IF(AND(AH$5&gt;$E25,AH$5&lt;=$F25),IF(AH$5=$E25+1,$C25,""),"")</f>
        <v/>
      </c>
      <c r="AI25" s="34">
        <f>IF(AND(AI$5&gt;$E25,AI$5&lt;=$F25),IF(AI$5=$E25+1,$C25,""),"")</f>
        <v/>
      </c>
      <c r="AJ25" s="34">
        <f>IF(AND(AJ$5&gt;$E25,AJ$5&lt;=$F25),IF(AJ$5=$E25+1,$C25,""),"")</f>
        <v/>
      </c>
      <c r="AK25" s="34">
        <f>IF(AND(AK$5&gt;$E25,AK$5&lt;=$F25),IF(AK$5=$E25+1,$C25,""),"")</f>
        <v/>
      </c>
      <c r="AL25" s="34">
        <f>IF(AND(AL$5&gt;$E25,AL$5&lt;=$F25),IF(AL$5=$E25+1,$C25,""),"")</f>
        <v/>
      </c>
      <c r="AM25" s="34">
        <f>IF(AND(AM$5&gt;$E25,AM$5&lt;=$F25),IF(AM$5=$E25+1,$C25,""),"")</f>
        <v/>
      </c>
      <c r="AN25" s="34">
        <f>IF(AND(AN$5&gt;$E25,AN$5&lt;=$F25),IF(AN$5=$E25+1,$C25,""),"")</f>
        <v/>
      </c>
      <c r="AO25" s="34">
        <f>IF(AND(AO$5&gt;$E25,AO$5&lt;=$F25),IF(AO$5=$E25+1,$C25,""),"")</f>
        <v/>
      </c>
      <c r="AP25" s="34">
        <f>IF(AND(AP$5&gt;$E25,AP$5&lt;=$F25),IF(AP$5=$E25+1,$C25,""),"")</f>
        <v/>
      </c>
      <c r="AQ25" s="34">
        <f>IF(AND(AQ$5&gt;$E25,AQ$5&lt;=$F25),IF(AQ$5=$E25+1,$C25,""),"")</f>
        <v/>
      </c>
      <c r="AR25" s="34">
        <f>IF(AND(AR$5&gt;$E25,AR$5&lt;=$F25),IF(AR$5=$E25+1,$C25,""),"")</f>
        <v/>
      </c>
      <c r="AS25" s="34">
        <f>IF(AND(AS$5&gt;$E25,AS$5&lt;=$F25),IF(AS$5=$E25+1,$C25,""),"")</f>
        <v/>
      </c>
      <c r="AT25" s="34">
        <f>IF(AND(AT$5&gt;$E25,AT$5&lt;=$F25),IF(AT$5=$E25+1,$C25,""),"")</f>
        <v/>
      </c>
      <c r="AU25" s="34">
        <f>IF(AND(AU$5&gt;$E25,AU$5&lt;=$F25),IF(AU$5=$E25+1,$C25,""),"")</f>
        <v/>
      </c>
      <c r="AV25" s="34">
        <f>IF(AND(AV$5&gt;$E25,AV$5&lt;=$F25),IF(AV$5=$E25+1,$C25,""),"")</f>
        <v/>
      </c>
      <c r="AW25" s="34">
        <f>IF(AND(AW$5&gt;$E25,AW$5&lt;=$F25),IF(AW$5=$E25+1,$C25,""),"")</f>
        <v/>
      </c>
      <c r="AX25" s="34">
        <f>IF(AND(AX$5&gt;$E25,AX$5&lt;=$F25),IF(AX$5=$E25+1,$C25,""),"")</f>
        <v/>
      </c>
      <c r="AY25" s="34">
        <f>IF(AND(AY$5&gt;$E25,AY$5&lt;=$F25),IF(AY$5=$E25+1,$C25,""),"")</f>
        <v/>
      </c>
      <c r="AZ25" s="34">
        <f>IF(AND(AZ$5&gt;$E25,AZ$5&lt;=$F25),IF(AZ$5=$E25+1,$C25,""),"")</f>
        <v/>
      </c>
      <c r="BA25" s="34">
        <f>IF(AND(BA$5&gt;$E25,BA$5&lt;=$F25),IF(BA$5=$E25+1,$C25,""),"")</f>
        <v/>
      </c>
      <c r="BB25" s="34">
        <f>IF(AND(BB$5&gt;$E25,BB$5&lt;=$F25),IF(BB$5=$E25+1,$C25,""),"")</f>
        <v/>
      </c>
      <c r="BC25" s="34">
        <f>IF(AND(BC$5&gt;$E25,BC$5&lt;=$F25),IF(BC$5=$E25+1,$C25,""),"")</f>
        <v/>
      </c>
      <c r="BD25" s="34">
        <f>IF(AND(BD$5&gt;$E25,BD$5&lt;=$F25),IF(BD$5=$E25+1,$C25,""),"")</f>
        <v/>
      </c>
      <c r="BE25" s="34">
        <f>IF(AND(BE$5&gt;$E25,BE$5&lt;=$F25),IF(BE$5=$E25+1,$C25,""),"")</f>
        <v/>
      </c>
      <c r="BF25" s="34">
        <f>IF(AND(BF$5&gt;$E25,BF$5&lt;=$F25),IF(BF$5=$E25+1,$C25,""),"")</f>
        <v/>
      </c>
      <c r="BG25" s="34">
        <f>IF(AND(BG$5&gt;$E25,BG$5&lt;=$F25),IF(BG$5=$E25+1,$C25,""),"")</f>
        <v/>
      </c>
      <c r="BH25" s="34">
        <f>IF(AND(BH$5&gt;$E25,BH$5&lt;=$F25),IF(BH$5=$E25+1,$C25,""),"")</f>
        <v/>
      </c>
      <c r="BI25" s="34">
        <f>IF(AND(BI$5&gt;$E25,BI$5&lt;=$F25),IF(BI$5=$E25+1,$C25,""),"")</f>
        <v/>
      </c>
      <c r="BJ25" s="34">
        <f>IF(AND(BJ$5&gt;$E25,BJ$5&lt;=$F25),IF(BJ$5=$E25+1,$C25,""),"")</f>
        <v/>
      </c>
      <c r="BK25" s="34">
        <f>IF(AND(BK$5&gt;$E25,BK$5&lt;=$F25),IF(BK$5=$E25+1,$C25,""),"")</f>
        <v/>
      </c>
      <c r="BL25" s="34">
        <f>IF(AND(BL$5&gt;$E25,BL$5&lt;=$F25),IF(BL$5=$E25+1,$C25,""),"")</f>
        <v/>
      </c>
      <c r="BM25" s="34">
        <f>IF(AND(BM$5&gt;$E25,BM$5&lt;=$F25),IF(BM$5=$E25+1,$C25,""),"")</f>
        <v/>
      </c>
      <c r="BN25" s="34">
        <f>IF(AND(BN$5&gt;$E25,BN$5&lt;=$F25),IF(BN$5=$E25+1,$C25,""),"")</f>
        <v/>
      </c>
      <c r="BO25" s="34">
        <f>IF(AND(BO$5&gt;$E25,BO$5&lt;=$F25),IF(BO$5=$E25+1,$C25,""),"")</f>
        <v/>
      </c>
      <c r="BP25" s="34">
        <f>IF(AND(BP$5&gt;$E25,BP$5&lt;=$F25),IF(BP$5=$E25+1,$C25,""),"")</f>
        <v/>
      </c>
      <c r="BQ25" s="34">
        <f>IF(AND(BQ$5&gt;$E25,BQ$5&lt;=$F25),IF(BQ$5=$E25+1,$C25,""),"")</f>
        <v/>
      </c>
      <c r="BR25" s="34">
        <f>IF(AND(BR$5&gt;$E25,BR$5&lt;=$F25),IF(BR$5=$E25+1,$C25,""),"")</f>
        <v/>
      </c>
      <c r="BS25" s="34">
        <f>IF(AND(BS$5&gt;$E25,BS$5&lt;=$F25),IF(BS$5=$E25+1,$C25,""),"")</f>
        <v/>
      </c>
      <c r="BT25" s="34">
        <f>IF(AND(BT$5&gt;$E25,BT$5&lt;=$F25),IF(BT$5=$E25+1,$C25,""),"")</f>
        <v/>
      </c>
      <c r="BU25" s="34">
        <f>IF(AND(BU$5&gt;$E25,BU$5&lt;=$F25),IF(BU$5=$E25+1,$C25,""),"")</f>
        <v/>
      </c>
      <c r="BV25" s="34">
        <f>IF(AND(BV$5&gt;$E25,BV$5&lt;=$F25),IF(BV$5=$E25+1,$C25,""),"")</f>
        <v/>
      </c>
      <c r="BW25" s="34">
        <f>IF(AND(BW$5&gt;$E25,BW$5&lt;=$F25),IF(BW$5=$E25+1,$C25,""),"")</f>
        <v/>
      </c>
      <c r="BX25" s="34">
        <f>IF(AND(BX$5&gt;$E25,BX$5&lt;=$F25),IF(BX$5=$E25+1,$C25,""),"")</f>
        <v/>
      </c>
      <c r="BY25" s="34">
        <f>IF(AND(BY$5&gt;$E25,BY$5&lt;=$F25),IF(BY$5=$E25+1,$C25,""),"")</f>
        <v/>
      </c>
    </row>
    <row r="26">
      <c r="A26" s="32">
        <f>Plan!A20</f>
        <v/>
      </c>
      <c r="B26" s="33">
        <f>Plan!C20</f>
        <v/>
      </c>
      <c r="C26" s="16">
        <f>Plan!D20</f>
        <v/>
      </c>
      <c r="D26" s="16">
        <f>Plan!I20</f>
        <v/>
      </c>
      <c r="E26" s="16">
        <f>Plan!K20</f>
        <v/>
      </c>
      <c r="F26" s="16">
        <f>Plan!L20</f>
        <v/>
      </c>
      <c r="G26" s="16">
        <f>Plan!O20</f>
        <v/>
      </c>
      <c r="H26" s="34">
        <f>IF(AND(H$5&gt;$E26,H$5&lt;=$F26),IF(H$5=$E26+1,$C26,""),"")</f>
        <v/>
      </c>
      <c r="I26" s="34">
        <f>IF(AND(I$5&gt;$E26,I$5&lt;=$F26),IF(I$5=$E26+1,$C26,""),"")</f>
        <v/>
      </c>
      <c r="J26" s="34">
        <f>IF(AND(J$5&gt;$E26,J$5&lt;=$F26),IF(J$5=$E26+1,$C26,""),"")</f>
        <v/>
      </c>
      <c r="K26" s="34">
        <f>IF(AND(K$5&gt;$E26,K$5&lt;=$F26),IF(K$5=$E26+1,$C26,""),"")</f>
        <v/>
      </c>
      <c r="L26" s="34">
        <f>IF(AND(L$5&gt;$E26,L$5&lt;=$F26),IF(L$5=$E26+1,$C26,""),"")</f>
        <v/>
      </c>
      <c r="M26" s="34">
        <f>IF(AND(M$5&gt;$E26,M$5&lt;=$F26),IF(M$5=$E26+1,$C26,""),"")</f>
        <v/>
      </c>
      <c r="N26" s="34">
        <f>IF(AND(N$5&gt;$E26,N$5&lt;=$F26),IF(N$5=$E26+1,$C26,""),"")</f>
        <v/>
      </c>
      <c r="O26" s="34">
        <f>IF(AND(O$5&gt;$E26,O$5&lt;=$F26),IF(O$5=$E26+1,$C26,""),"")</f>
        <v/>
      </c>
      <c r="P26" s="34">
        <f>IF(AND(P$5&gt;$E26,P$5&lt;=$F26),IF(P$5=$E26+1,$C26,""),"")</f>
        <v/>
      </c>
      <c r="Q26" s="34">
        <f>IF(AND(Q$5&gt;$E26,Q$5&lt;=$F26),IF(Q$5=$E26+1,$C26,""),"")</f>
        <v/>
      </c>
      <c r="R26" s="34">
        <f>IF(AND(R$5&gt;$E26,R$5&lt;=$F26),IF(R$5=$E26+1,$C26,""),"")</f>
        <v/>
      </c>
      <c r="S26" s="34">
        <f>IF(AND(S$5&gt;$E26,S$5&lt;=$F26),IF(S$5=$E26+1,$C26,""),"")</f>
        <v/>
      </c>
      <c r="T26" s="34">
        <f>IF(AND(T$5&gt;$E26,T$5&lt;=$F26),IF(T$5=$E26+1,$C26,""),"")</f>
        <v/>
      </c>
      <c r="U26" s="34">
        <f>IF(AND(U$5&gt;$E26,U$5&lt;=$F26),IF(U$5=$E26+1,$C26,""),"")</f>
        <v/>
      </c>
      <c r="V26" s="34">
        <f>IF(AND(V$5&gt;$E26,V$5&lt;=$F26),IF(V$5=$E26+1,$C26,""),"")</f>
        <v/>
      </c>
      <c r="W26" s="34">
        <f>IF(AND(W$5&gt;$E26,W$5&lt;=$F26),IF(W$5=$E26+1,$C26,""),"")</f>
        <v/>
      </c>
      <c r="X26" s="34">
        <f>IF(AND(X$5&gt;$E26,X$5&lt;=$F26),IF(X$5=$E26+1,$C26,""),"")</f>
        <v/>
      </c>
      <c r="Y26" s="34">
        <f>IF(AND(Y$5&gt;$E26,Y$5&lt;=$F26),IF(Y$5=$E26+1,$C26,""),"")</f>
        <v/>
      </c>
      <c r="Z26" s="34">
        <f>IF(AND(Z$5&gt;$E26,Z$5&lt;=$F26),IF(Z$5=$E26+1,$C26,""),"")</f>
        <v/>
      </c>
      <c r="AA26" s="34">
        <f>IF(AND(AA$5&gt;$E26,AA$5&lt;=$F26),IF(AA$5=$E26+1,$C26,""),"")</f>
        <v/>
      </c>
      <c r="AB26" s="34">
        <f>IF(AND(AB$5&gt;$E26,AB$5&lt;=$F26),IF(AB$5=$E26+1,$C26,""),"")</f>
        <v/>
      </c>
      <c r="AC26" s="34">
        <f>IF(AND(AC$5&gt;$E26,AC$5&lt;=$F26),IF(AC$5=$E26+1,$C26,""),"")</f>
        <v/>
      </c>
      <c r="AD26" s="34">
        <f>IF(AND(AD$5&gt;$E26,AD$5&lt;=$F26),IF(AD$5=$E26+1,$C26,""),"")</f>
        <v/>
      </c>
      <c r="AE26" s="34">
        <f>IF(AND(AE$5&gt;$E26,AE$5&lt;=$F26),IF(AE$5=$E26+1,$C26,""),"")</f>
        <v/>
      </c>
      <c r="AF26" s="34">
        <f>IF(AND(AF$5&gt;$E26,AF$5&lt;=$F26),IF(AF$5=$E26+1,$C26,""),"")</f>
        <v/>
      </c>
      <c r="AG26" s="34">
        <f>IF(AND(AG$5&gt;$E26,AG$5&lt;=$F26),IF(AG$5=$E26+1,$C26,""),"")</f>
        <v/>
      </c>
      <c r="AH26" s="34">
        <f>IF(AND(AH$5&gt;$E26,AH$5&lt;=$F26),IF(AH$5=$E26+1,$C26,""),"")</f>
        <v/>
      </c>
      <c r="AI26" s="34">
        <f>IF(AND(AI$5&gt;$E26,AI$5&lt;=$F26),IF(AI$5=$E26+1,$C26,""),"")</f>
        <v/>
      </c>
      <c r="AJ26" s="34">
        <f>IF(AND(AJ$5&gt;$E26,AJ$5&lt;=$F26),IF(AJ$5=$E26+1,$C26,""),"")</f>
        <v/>
      </c>
      <c r="AK26" s="34">
        <f>IF(AND(AK$5&gt;$E26,AK$5&lt;=$F26),IF(AK$5=$E26+1,$C26,""),"")</f>
        <v/>
      </c>
      <c r="AL26" s="34">
        <f>IF(AND(AL$5&gt;$E26,AL$5&lt;=$F26),IF(AL$5=$E26+1,$C26,""),"")</f>
        <v/>
      </c>
      <c r="AM26" s="34">
        <f>IF(AND(AM$5&gt;$E26,AM$5&lt;=$F26),IF(AM$5=$E26+1,$C26,""),"")</f>
        <v/>
      </c>
      <c r="AN26" s="34">
        <f>IF(AND(AN$5&gt;$E26,AN$5&lt;=$F26),IF(AN$5=$E26+1,$C26,""),"")</f>
        <v/>
      </c>
      <c r="AO26" s="34">
        <f>IF(AND(AO$5&gt;$E26,AO$5&lt;=$F26),IF(AO$5=$E26+1,$C26,""),"")</f>
        <v/>
      </c>
      <c r="AP26" s="34">
        <f>IF(AND(AP$5&gt;$E26,AP$5&lt;=$F26),IF(AP$5=$E26+1,$C26,""),"")</f>
        <v/>
      </c>
      <c r="AQ26" s="34">
        <f>IF(AND(AQ$5&gt;$E26,AQ$5&lt;=$F26),IF(AQ$5=$E26+1,$C26,""),"")</f>
        <v/>
      </c>
      <c r="AR26" s="34">
        <f>IF(AND(AR$5&gt;$E26,AR$5&lt;=$F26),IF(AR$5=$E26+1,$C26,""),"")</f>
        <v/>
      </c>
      <c r="AS26" s="34">
        <f>IF(AND(AS$5&gt;$E26,AS$5&lt;=$F26),IF(AS$5=$E26+1,$C26,""),"")</f>
        <v/>
      </c>
      <c r="AT26" s="34">
        <f>IF(AND(AT$5&gt;$E26,AT$5&lt;=$F26),IF(AT$5=$E26+1,$C26,""),"")</f>
        <v/>
      </c>
      <c r="AU26" s="34">
        <f>IF(AND(AU$5&gt;$E26,AU$5&lt;=$F26),IF(AU$5=$E26+1,$C26,""),"")</f>
        <v/>
      </c>
      <c r="AV26" s="34">
        <f>IF(AND(AV$5&gt;$E26,AV$5&lt;=$F26),IF(AV$5=$E26+1,$C26,""),"")</f>
        <v/>
      </c>
      <c r="AW26" s="34">
        <f>IF(AND(AW$5&gt;$E26,AW$5&lt;=$F26),IF(AW$5=$E26+1,$C26,""),"")</f>
        <v/>
      </c>
      <c r="AX26" s="34">
        <f>IF(AND(AX$5&gt;$E26,AX$5&lt;=$F26),IF(AX$5=$E26+1,$C26,""),"")</f>
        <v/>
      </c>
      <c r="AY26" s="34">
        <f>IF(AND(AY$5&gt;$E26,AY$5&lt;=$F26),IF(AY$5=$E26+1,$C26,""),"")</f>
        <v/>
      </c>
      <c r="AZ26" s="34">
        <f>IF(AND(AZ$5&gt;$E26,AZ$5&lt;=$F26),IF(AZ$5=$E26+1,$C26,""),"")</f>
        <v/>
      </c>
      <c r="BA26" s="34">
        <f>IF(AND(BA$5&gt;$E26,BA$5&lt;=$F26),IF(BA$5=$E26+1,$C26,""),"")</f>
        <v/>
      </c>
      <c r="BB26" s="34">
        <f>IF(AND(BB$5&gt;$E26,BB$5&lt;=$F26),IF(BB$5=$E26+1,$C26,""),"")</f>
        <v/>
      </c>
      <c r="BC26" s="34">
        <f>IF(AND(BC$5&gt;$E26,BC$5&lt;=$F26),IF(BC$5=$E26+1,$C26,""),"")</f>
        <v/>
      </c>
      <c r="BD26" s="34">
        <f>IF(AND(BD$5&gt;$E26,BD$5&lt;=$F26),IF(BD$5=$E26+1,$C26,""),"")</f>
        <v/>
      </c>
      <c r="BE26" s="34">
        <f>IF(AND(BE$5&gt;$E26,BE$5&lt;=$F26),IF(BE$5=$E26+1,$C26,""),"")</f>
        <v/>
      </c>
      <c r="BF26" s="34">
        <f>IF(AND(BF$5&gt;$E26,BF$5&lt;=$F26),IF(BF$5=$E26+1,$C26,""),"")</f>
        <v/>
      </c>
      <c r="BG26" s="34">
        <f>IF(AND(BG$5&gt;$E26,BG$5&lt;=$F26),IF(BG$5=$E26+1,$C26,""),"")</f>
        <v/>
      </c>
      <c r="BH26" s="34">
        <f>IF(AND(BH$5&gt;$E26,BH$5&lt;=$F26),IF(BH$5=$E26+1,$C26,""),"")</f>
        <v/>
      </c>
      <c r="BI26" s="34">
        <f>IF(AND(BI$5&gt;$E26,BI$5&lt;=$F26),IF(BI$5=$E26+1,$C26,""),"")</f>
        <v/>
      </c>
      <c r="BJ26" s="34">
        <f>IF(AND(BJ$5&gt;$E26,BJ$5&lt;=$F26),IF(BJ$5=$E26+1,$C26,""),"")</f>
        <v/>
      </c>
      <c r="BK26" s="34">
        <f>IF(AND(BK$5&gt;$E26,BK$5&lt;=$F26),IF(BK$5=$E26+1,$C26,""),"")</f>
        <v/>
      </c>
      <c r="BL26" s="34">
        <f>IF(AND(BL$5&gt;$E26,BL$5&lt;=$F26),IF(BL$5=$E26+1,$C26,""),"")</f>
        <v/>
      </c>
      <c r="BM26" s="34">
        <f>IF(AND(BM$5&gt;$E26,BM$5&lt;=$F26),IF(BM$5=$E26+1,$C26,""),"")</f>
        <v/>
      </c>
      <c r="BN26" s="34">
        <f>IF(AND(BN$5&gt;$E26,BN$5&lt;=$F26),IF(BN$5=$E26+1,$C26,""),"")</f>
        <v/>
      </c>
      <c r="BO26" s="34">
        <f>IF(AND(BO$5&gt;$E26,BO$5&lt;=$F26),IF(BO$5=$E26+1,$C26,""),"")</f>
        <v/>
      </c>
      <c r="BP26" s="34">
        <f>IF(AND(BP$5&gt;$E26,BP$5&lt;=$F26),IF(BP$5=$E26+1,$C26,""),"")</f>
        <v/>
      </c>
      <c r="BQ26" s="34">
        <f>IF(AND(BQ$5&gt;$E26,BQ$5&lt;=$F26),IF(BQ$5=$E26+1,$C26,""),"")</f>
        <v/>
      </c>
      <c r="BR26" s="34">
        <f>IF(AND(BR$5&gt;$E26,BR$5&lt;=$F26),IF(BR$5=$E26+1,$C26,""),"")</f>
        <v/>
      </c>
      <c r="BS26" s="34">
        <f>IF(AND(BS$5&gt;$E26,BS$5&lt;=$F26),IF(BS$5=$E26+1,$C26,""),"")</f>
        <v/>
      </c>
      <c r="BT26" s="34">
        <f>IF(AND(BT$5&gt;$E26,BT$5&lt;=$F26),IF(BT$5=$E26+1,$C26,""),"")</f>
        <v/>
      </c>
      <c r="BU26" s="34">
        <f>IF(AND(BU$5&gt;$E26,BU$5&lt;=$F26),IF(BU$5=$E26+1,$C26,""),"")</f>
        <v/>
      </c>
      <c r="BV26" s="34">
        <f>IF(AND(BV$5&gt;$E26,BV$5&lt;=$F26),IF(BV$5=$E26+1,$C26,""),"")</f>
        <v/>
      </c>
      <c r="BW26" s="34">
        <f>IF(AND(BW$5&gt;$E26,BW$5&lt;=$F26),IF(BW$5=$E26+1,$C26,""),"")</f>
        <v/>
      </c>
      <c r="BX26" s="34">
        <f>IF(AND(BX$5&gt;$E26,BX$5&lt;=$F26),IF(BX$5=$E26+1,$C26,""),"")</f>
        <v/>
      </c>
      <c r="BY26" s="34">
        <f>IF(AND(BY$5&gt;$E26,BY$5&lt;=$F26),IF(BY$5=$E26+1,$C26,""),"")</f>
        <v/>
      </c>
    </row>
    <row r="27">
      <c r="A27" s="32">
        <f>Plan!A21</f>
        <v/>
      </c>
      <c r="B27" s="33">
        <f>Plan!C21</f>
        <v/>
      </c>
      <c r="C27" s="16">
        <f>Plan!D21</f>
        <v/>
      </c>
      <c r="D27" s="16">
        <f>Plan!I21</f>
        <v/>
      </c>
      <c r="E27" s="16">
        <f>Plan!K21</f>
        <v/>
      </c>
      <c r="F27" s="16">
        <f>Plan!L21</f>
        <v/>
      </c>
      <c r="G27" s="16">
        <f>Plan!O21</f>
        <v/>
      </c>
      <c r="H27" s="34">
        <f>IF(AND(H$5&gt;$E27,H$5&lt;=$F27),IF(H$5=$E27+1,$C27,""),"")</f>
        <v/>
      </c>
      <c r="I27" s="34">
        <f>IF(AND(I$5&gt;$E27,I$5&lt;=$F27),IF(I$5=$E27+1,$C27,""),"")</f>
        <v/>
      </c>
      <c r="J27" s="34">
        <f>IF(AND(J$5&gt;$E27,J$5&lt;=$F27),IF(J$5=$E27+1,$C27,""),"")</f>
        <v/>
      </c>
      <c r="K27" s="34">
        <f>IF(AND(K$5&gt;$E27,K$5&lt;=$F27),IF(K$5=$E27+1,$C27,""),"")</f>
        <v/>
      </c>
      <c r="L27" s="34">
        <f>IF(AND(L$5&gt;$E27,L$5&lt;=$F27),IF(L$5=$E27+1,$C27,""),"")</f>
        <v/>
      </c>
      <c r="M27" s="34">
        <f>IF(AND(M$5&gt;$E27,M$5&lt;=$F27),IF(M$5=$E27+1,$C27,""),"")</f>
        <v/>
      </c>
      <c r="N27" s="34">
        <f>IF(AND(N$5&gt;$E27,N$5&lt;=$F27),IF(N$5=$E27+1,$C27,""),"")</f>
        <v/>
      </c>
      <c r="O27" s="34">
        <f>IF(AND(O$5&gt;$E27,O$5&lt;=$F27),IF(O$5=$E27+1,$C27,""),"")</f>
        <v/>
      </c>
      <c r="P27" s="34">
        <f>IF(AND(P$5&gt;$E27,P$5&lt;=$F27),IF(P$5=$E27+1,$C27,""),"")</f>
        <v/>
      </c>
      <c r="Q27" s="34">
        <f>IF(AND(Q$5&gt;$E27,Q$5&lt;=$F27),IF(Q$5=$E27+1,$C27,""),"")</f>
        <v/>
      </c>
      <c r="R27" s="34">
        <f>IF(AND(R$5&gt;$E27,R$5&lt;=$F27),IF(R$5=$E27+1,$C27,""),"")</f>
        <v/>
      </c>
      <c r="S27" s="34">
        <f>IF(AND(S$5&gt;$E27,S$5&lt;=$F27),IF(S$5=$E27+1,$C27,""),"")</f>
        <v/>
      </c>
      <c r="T27" s="34">
        <f>IF(AND(T$5&gt;$E27,T$5&lt;=$F27),IF(T$5=$E27+1,$C27,""),"")</f>
        <v/>
      </c>
      <c r="U27" s="34">
        <f>IF(AND(U$5&gt;$E27,U$5&lt;=$F27),IF(U$5=$E27+1,$C27,""),"")</f>
        <v/>
      </c>
      <c r="V27" s="34">
        <f>IF(AND(V$5&gt;$E27,V$5&lt;=$F27),IF(V$5=$E27+1,$C27,""),"")</f>
        <v/>
      </c>
      <c r="W27" s="34">
        <f>IF(AND(W$5&gt;$E27,W$5&lt;=$F27),IF(W$5=$E27+1,$C27,""),"")</f>
        <v/>
      </c>
      <c r="X27" s="34">
        <f>IF(AND(X$5&gt;$E27,X$5&lt;=$F27),IF(X$5=$E27+1,$C27,""),"")</f>
        <v/>
      </c>
      <c r="Y27" s="34">
        <f>IF(AND(Y$5&gt;$E27,Y$5&lt;=$F27),IF(Y$5=$E27+1,$C27,""),"")</f>
        <v/>
      </c>
      <c r="Z27" s="34">
        <f>IF(AND(Z$5&gt;$E27,Z$5&lt;=$F27),IF(Z$5=$E27+1,$C27,""),"")</f>
        <v/>
      </c>
      <c r="AA27" s="34">
        <f>IF(AND(AA$5&gt;$E27,AA$5&lt;=$F27),IF(AA$5=$E27+1,$C27,""),"")</f>
        <v/>
      </c>
      <c r="AB27" s="34">
        <f>IF(AND(AB$5&gt;$E27,AB$5&lt;=$F27),IF(AB$5=$E27+1,$C27,""),"")</f>
        <v/>
      </c>
      <c r="AC27" s="34">
        <f>IF(AND(AC$5&gt;$E27,AC$5&lt;=$F27),IF(AC$5=$E27+1,$C27,""),"")</f>
        <v/>
      </c>
      <c r="AD27" s="34">
        <f>IF(AND(AD$5&gt;$E27,AD$5&lt;=$F27),IF(AD$5=$E27+1,$C27,""),"")</f>
        <v/>
      </c>
      <c r="AE27" s="34">
        <f>IF(AND(AE$5&gt;$E27,AE$5&lt;=$F27),IF(AE$5=$E27+1,$C27,""),"")</f>
        <v/>
      </c>
      <c r="AF27" s="34">
        <f>IF(AND(AF$5&gt;$E27,AF$5&lt;=$F27),IF(AF$5=$E27+1,$C27,""),"")</f>
        <v/>
      </c>
      <c r="AG27" s="34">
        <f>IF(AND(AG$5&gt;$E27,AG$5&lt;=$F27),IF(AG$5=$E27+1,$C27,""),"")</f>
        <v/>
      </c>
      <c r="AH27" s="34">
        <f>IF(AND(AH$5&gt;$E27,AH$5&lt;=$F27),IF(AH$5=$E27+1,$C27,""),"")</f>
        <v/>
      </c>
      <c r="AI27" s="34">
        <f>IF(AND(AI$5&gt;$E27,AI$5&lt;=$F27),IF(AI$5=$E27+1,$C27,""),"")</f>
        <v/>
      </c>
      <c r="AJ27" s="34">
        <f>IF(AND(AJ$5&gt;$E27,AJ$5&lt;=$F27),IF(AJ$5=$E27+1,$C27,""),"")</f>
        <v/>
      </c>
      <c r="AK27" s="34">
        <f>IF(AND(AK$5&gt;$E27,AK$5&lt;=$F27),IF(AK$5=$E27+1,$C27,""),"")</f>
        <v/>
      </c>
      <c r="AL27" s="34">
        <f>IF(AND(AL$5&gt;$E27,AL$5&lt;=$F27),IF(AL$5=$E27+1,$C27,""),"")</f>
        <v/>
      </c>
      <c r="AM27" s="34">
        <f>IF(AND(AM$5&gt;$E27,AM$5&lt;=$F27),IF(AM$5=$E27+1,$C27,""),"")</f>
        <v/>
      </c>
      <c r="AN27" s="34">
        <f>IF(AND(AN$5&gt;$E27,AN$5&lt;=$F27),IF(AN$5=$E27+1,$C27,""),"")</f>
        <v/>
      </c>
      <c r="AO27" s="34">
        <f>IF(AND(AO$5&gt;$E27,AO$5&lt;=$F27),IF(AO$5=$E27+1,$C27,""),"")</f>
        <v/>
      </c>
      <c r="AP27" s="34">
        <f>IF(AND(AP$5&gt;$E27,AP$5&lt;=$F27),IF(AP$5=$E27+1,$C27,""),"")</f>
        <v/>
      </c>
      <c r="AQ27" s="34">
        <f>IF(AND(AQ$5&gt;$E27,AQ$5&lt;=$F27),IF(AQ$5=$E27+1,$C27,""),"")</f>
        <v/>
      </c>
      <c r="AR27" s="34">
        <f>IF(AND(AR$5&gt;$E27,AR$5&lt;=$F27),IF(AR$5=$E27+1,$C27,""),"")</f>
        <v/>
      </c>
      <c r="AS27" s="34">
        <f>IF(AND(AS$5&gt;$E27,AS$5&lt;=$F27),IF(AS$5=$E27+1,$C27,""),"")</f>
        <v/>
      </c>
      <c r="AT27" s="34">
        <f>IF(AND(AT$5&gt;$E27,AT$5&lt;=$F27),IF(AT$5=$E27+1,$C27,""),"")</f>
        <v/>
      </c>
      <c r="AU27" s="34">
        <f>IF(AND(AU$5&gt;$E27,AU$5&lt;=$F27),IF(AU$5=$E27+1,$C27,""),"")</f>
        <v/>
      </c>
      <c r="AV27" s="34">
        <f>IF(AND(AV$5&gt;$E27,AV$5&lt;=$F27),IF(AV$5=$E27+1,$C27,""),"")</f>
        <v/>
      </c>
      <c r="AW27" s="34">
        <f>IF(AND(AW$5&gt;$E27,AW$5&lt;=$F27),IF(AW$5=$E27+1,$C27,""),"")</f>
        <v/>
      </c>
      <c r="AX27" s="34">
        <f>IF(AND(AX$5&gt;$E27,AX$5&lt;=$F27),IF(AX$5=$E27+1,$C27,""),"")</f>
        <v/>
      </c>
      <c r="AY27" s="34">
        <f>IF(AND(AY$5&gt;$E27,AY$5&lt;=$F27),IF(AY$5=$E27+1,$C27,""),"")</f>
        <v/>
      </c>
      <c r="AZ27" s="34">
        <f>IF(AND(AZ$5&gt;$E27,AZ$5&lt;=$F27),IF(AZ$5=$E27+1,$C27,""),"")</f>
        <v/>
      </c>
      <c r="BA27" s="34">
        <f>IF(AND(BA$5&gt;$E27,BA$5&lt;=$F27),IF(BA$5=$E27+1,$C27,""),"")</f>
        <v/>
      </c>
      <c r="BB27" s="34">
        <f>IF(AND(BB$5&gt;$E27,BB$5&lt;=$F27),IF(BB$5=$E27+1,$C27,""),"")</f>
        <v/>
      </c>
      <c r="BC27" s="34">
        <f>IF(AND(BC$5&gt;$E27,BC$5&lt;=$F27),IF(BC$5=$E27+1,$C27,""),"")</f>
        <v/>
      </c>
      <c r="BD27" s="34">
        <f>IF(AND(BD$5&gt;$E27,BD$5&lt;=$F27),IF(BD$5=$E27+1,$C27,""),"")</f>
        <v/>
      </c>
      <c r="BE27" s="34">
        <f>IF(AND(BE$5&gt;$E27,BE$5&lt;=$F27),IF(BE$5=$E27+1,$C27,""),"")</f>
        <v/>
      </c>
      <c r="BF27" s="34">
        <f>IF(AND(BF$5&gt;$E27,BF$5&lt;=$F27),IF(BF$5=$E27+1,$C27,""),"")</f>
        <v/>
      </c>
      <c r="BG27" s="34">
        <f>IF(AND(BG$5&gt;$E27,BG$5&lt;=$F27),IF(BG$5=$E27+1,$C27,""),"")</f>
        <v/>
      </c>
      <c r="BH27" s="34">
        <f>IF(AND(BH$5&gt;$E27,BH$5&lt;=$F27),IF(BH$5=$E27+1,$C27,""),"")</f>
        <v/>
      </c>
      <c r="BI27" s="34">
        <f>IF(AND(BI$5&gt;$E27,BI$5&lt;=$F27),IF(BI$5=$E27+1,$C27,""),"")</f>
        <v/>
      </c>
      <c r="BJ27" s="34">
        <f>IF(AND(BJ$5&gt;$E27,BJ$5&lt;=$F27),IF(BJ$5=$E27+1,$C27,""),"")</f>
        <v/>
      </c>
      <c r="BK27" s="34">
        <f>IF(AND(BK$5&gt;$E27,BK$5&lt;=$F27),IF(BK$5=$E27+1,$C27,""),"")</f>
        <v/>
      </c>
      <c r="BL27" s="34">
        <f>IF(AND(BL$5&gt;$E27,BL$5&lt;=$F27),IF(BL$5=$E27+1,$C27,""),"")</f>
        <v/>
      </c>
      <c r="BM27" s="34">
        <f>IF(AND(BM$5&gt;$E27,BM$5&lt;=$F27),IF(BM$5=$E27+1,$C27,""),"")</f>
        <v/>
      </c>
      <c r="BN27" s="34">
        <f>IF(AND(BN$5&gt;$E27,BN$5&lt;=$F27),IF(BN$5=$E27+1,$C27,""),"")</f>
        <v/>
      </c>
      <c r="BO27" s="34">
        <f>IF(AND(BO$5&gt;$E27,BO$5&lt;=$F27),IF(BO$5=$E27+1,$C27,""),"")</f>
        <v/>
      </c>
      <c r="BP27" s="34">
        <f>IF(AND(BP$5&gt;$E27,BP$5&lt;=$F27),IF(BP$5=$E27+1,$C27,""),"")</f>
        <v/>
      </c>
      <c r="BQ27" s="34">
        <f>IF(AND(BQ$5&gt;$E27,BQ$5&lt;=$F27),IF(BQ$5=$E27+1,$C27,""),"")</f>
        <v/>
      </c>
      <c r="BR27" s="34">
        <f>IF(AND(BR$5&gt;$E27,BR$5&lt;=$F27),IF(BR$5=$E27+1,$C27,""),"")</f>
        <v/>
      </c>
      <c r="BS27" s="34">
        <f>IF(AND(BS$5&gt;$E27,BS$5&lt;=$F27),IF(BS$5=$E27+1,$C27,""),"")</f>
        <v/>
      </c>
      <c r="BT27" s="34">
        <f>IF(AND(BT$5&gt;$E27,BT$5&lt;=$F27),IF(BT$5=$E27+1,$C27,""),"")</f>
        <v/>
      </c>
      <c r="BU27" s="34">
        <f>IF(AND(BU$5&gt;$E27,BU$5&lt;=$F27),IF(BU$5=$E27+1,$C27,""),"")</f>
        <v/>
      </c>
      <c r="BV27" s="34">
        <f>IF(AND(BV$5&gt;$E27,BV$5&lt;=$F27),IF(BV$5=$E27+1,$C27,""),"")</f>
        <v/>
      </c>
      <c r="BW27" s="34">
        <f>IF(AND(BW$5&gt;$E27,BW$5&lt;=$F27),IF(BW$5=$E27+1,$C27,""),"")</f>
        <v/>
      </c>
      <c r="BX27" s="34">
        <f>IF(AND(BX$5&gt;$E27,BX$5&lt;=$F27),IF(BX$5=$E27+1,$C27,""),"")</f>
        <v/>
      </c>
      <c r="BY27" s="34">
        <f>IF(AND(BY$5&gt;$E27,BY$5&lt;=$F27),IF(BY$5=$E27+1,$C27,""),"")</f>
        <v/>
      </c>
    </row>
    <row r="28">
      <c r="A28" s="32">
        <f>Plan!A22</f>
        <v/>
      </c>
      <c r="B28" s="33">
        <f>Plan!C22</f>
        <v/>
      </c>
      <c r="C28" s="16">
        <f>Plan!D22</f>
        <v/>
      </c>
      <c r="D28" s="16">
        <f>Plan!I22</f>
        <v/>
      </c>
      <c r="E28" s="16">
        <f>Plan!K22</f>
        <v/>
      </c>
      <c r="F28" s="16">
        <f>Plan!L22</f>
        <v/>
      </c>
      <c r="G28" s="16">
        <f>Plan!O22</f>
        <v/>
      </c>
      <c r="H28" s="34">
        <f>IF(AND(H$5&gt;$E28,H$5&lt;=$F28),IF(H$5=$E28+1,$C28,""),"")</f>
        <v/>
      </c>
      <c r="I28" s="34">
        <f>IF(AND(I$5&gt;$E28,I$5&lt;=$F28),IF(I$5=$E28+1,$C28,""),"")</f>
        <v/>
      </c>
      <c r="J28" s="34">
        <f>IF(AND(J$5&gt;$E28,J$5&lt;=$F28),IF(J$5=$E28+1,$C28,""),"")</f>
        <v/>
      </c>
      <c r="K28" s="34">
        <f>IF(AND(K$5&gt;$E28,K$5&lt;=$F28),IF(K$5=$E28+1,$C28,""),"")</f>
        <v/>
      </c>
      <c r="L28" s="34">
        <f>IF(AND(L$5&gt;$E28,L$5&lt;=$F28),IF(L$5=$E28+1,$C28,""),"")</f>
        <v/>
      </c>
      <c r="M28" s="34">
        <f>IF(AND(M$5&gt;$E28,M$5&lt;=$F28),IF(M$5=$E28+1,$C28,""),"")</f>
        <v/>
      </c>
      <c r="N28" s="34">
        <f>IF(AND(N$5&gt;$E28,N$5&lt;=$F28),IF(N$5=$E28+1,$C28,""),"")</f>
        <v/>
      </c>
      <c r="O28" s="34">
        <f>IF(AND(O$5&gt;$E28,O$5&lt;=$F28),IF(O$5=$E28+1,$C28,""),"")</f>
        <v/>
      </c>
      <c r="P28" s="34">
        <f>IF(AND(P$5&gt;$E28,P$5&lt;=$F28),IF(P$5=$E28+1,$C28,""),"")</f>
        <v/>
      </c>
      <c r="Q28" s="34">
        <f>IF(AND(Q$5&gt;$E28,Q$5&lt;=$F28),IF(Q$5=$E28+1,$C28,""),"")</f>
        <v/>
      </c>
      <c r="R28" s="34">
        <f>IF(AND(R$5&gt;$E28,R$5&lt;=$F28),IF(R$5=$E28+1,$C28,""),"")</f>
        <v/>
      </c>
      <c r="S28" s="34">
        <f>IF(AND(S$5&gt;$E28,S$5&lt;=$F28),IF(S$5=$E28+1,$C28,""),"")</f>
        <v/>
      </c>
      <c r="T28" s="34">
        <f>IF(AND(T$5&gt;$E28,T$5&lt;=$F28),IF(T$5=$E28+1,$C28,""),"")</f>
        <v/>
      </c>
      <c r="U28" s="34">
        <f>IF(AND(U$5&gt;$E28,U$5&lt;=$F28),IF(U$5=$E28+1,$C28,""),"")</f>
        <v/>
      </c>
      <c r="V28" s="34">
        <f>IF(AND(V$5&gt;$E28,V$5&lt;=$F28),IF(V$5=$E28+1,$C28,""),"")</f>
        <v/>
      </c>
      <c r="W28" s="34">
        <f>IF(AND(W$5&gt;$E28,W$5&lt;=$F28),IF(W$5=$E28+1,$C28,""),"")</f>
        <v/>
      </c>
      <c r="X28" s="34">
        <f>IF(AND(X$5&gt;$E28,X$5&lt;=$F28),IF(X$5=$E28+1,$C28,""),"")</f>
        <v/>
      </c>
      <c r="Y28" s="34">
        <f>IF(AND(Y$5&gt;$E28,Y$5&lt;=$F28),IF(Y$5=$E28+1,$C28,""),"")</f>
        <v/>
      </c>
      <c r="Z28" s="34">
        <f>IF(AND(Z$5&gt;$E28,Z$5&lt;=$F28),IF(Z$5=$E28+1,$C28,""),"")</f>
        <v/>
      </c>
      <c r="AA28" s="34">
        <f>IF(AND(AA$5&gt;$E28,AA$5&lt;=$F28),IF(AA$5=$E28+1,$C28,""),"")</f>
        <v/>
      </c>
      <c r="AB28" s="34">
        <f>IF(AND(AB$5&gt;$E28,AB$5&lt;=$F28),IF(AB$5=$E28+1,$C28,""),"")</f>
        <v/>
      </c>
      <c r="AC28" s="34">
        <f>IF(AND(AC$5&gt;$E28,AC$5&lt;=$F28),IF(AC$5=$E28+1,$C28,""),"")</f>
        <v/>
      </c>
      <c r="AD28" s="34">
        <f>IF(AND(AD$5&gt;$E28,AD$5&lt;=$F28),IF(AD$5=$E28+1,$C28,""),"")</f>
        <v/>
      </c>
      <c r="AE28" s="34">
        <f>IF(AND(AE$5&gt;$E28,AE$5&lt;=$F28),IF(AE$5=$E28+1,$C28,""),"")</f>
        <v/>
      </c>
      <c r="AF28" s="34">
        <f>IF(AND(AF$5&gt;$E28,AF$5&lt;=$F28),IF(AF$5=$E28+1,$C28,""),"")</f>
        <v/>
      </c>
      <c r="AG28" s="34">
        <f>IF(AND(AG$5&gt;$E28,AG$5&lt;=$F28),IF(AG$5=$E28+1,$C28,""),"")</f>
        <v/>
      </c>
      <c r="AH28" s="34">
        <f>IF(AND(AH$5&gt;$E28,AH$5&lt;=$F28),IF(AH$5=$E28+1,$C28,""),"")</f>
        <v/>
      </c>
      <c r="AI28" s="34">
        <f>IF(AND(AI$5&gt;$E28,AI$5&lt;=$F28),IF(AI$5=$E28+1,$C28,""),"")</f>
        <v/>
      </c>
      <c r="AJ28" s="34">
        <f>IF(AND(AJ$5&gt;$E28,AJ$5&lt;=$F28),IF(AJ$5=$E28+1,$C28,""),"")</f>
        <v/>
      </c>
      <c r="AK28" s="34">
        <f>IF(AND(AK$5&gt;$E28,AK$5&lt;=$F28),IF(AK$5=$E28+1,$C28,""),"")</f>
        <v/>
      </c>
      <c r="AL28" s="34">
        <f>IF(AND(AL$5&gt;$E28,AL$5&lt;=$F28),IF(AL$5=$E28+1,$C28,""),"")</f>
        <v/>
      </c>
      <c r="AM28" s="34">
        <f>IF(AND(AM$5&gt;$E28,AM$5&lt;=$F28),IF(AM$5=$E28+1,$C28,""),"")</f>
        <v/>
      </c>
      <c r="AN28" s="34">
        <f>IF(AND(AN$5&gt;$E28,AN$5&lt;=$F28),IF(AN$5=$E28+1,$C28,""),"")</f>
        <v/>
      </c>
      <c r="AO28" s="34">
        <f>IF(AND(AO$5&gt;$E28,AO$5&lt;=$F28),IF(AO$5=$E28+1,$C28,""),"")</f>
        <v/>
      </c>
      <c r="AP28" s="34">
        <f>IF(AND(AP$5&gt;$E28,AP$5&lt;=$F28),IF(AP$5=$E28+1,$C28,""),"")</f>
        <v/>
      </c>
      <c r="AQ28" s="34">
        <f>IF(AND(AQ$5&gt;$E28,AQ$5&lt;=$F28),IF(AQ$5=$E28+1,$C28,""),"")</f>
        <v/>
      </c>
      <c r="AR28" s="34">
        <f>IF(AND(AR$5&gt;$E28,AR$5&lt;=$F28),IF(AR$5=$E28+1,$C28,""),"")</f>
        <v/>
      </c>
      <c r="AS28" s="34">
        <f>IF(AND(AS$5&gt;$E28,AS$5&lt;=$F28),IF(AS$5=$E28+1,$C28,""),"")</f>
        <v/>
      </c>
      <c r="AT28" s="34">
        <f>IF(AND(AT$5&gt;$E28,AT$5&lt;=$F28),IF(AT$5=$E28+1,$C28,""),"")</f>
        <v/>
      </c>
      <c r="AU28" s="34">
        <f>IF(AND(AU$5&gt;$E28,AU$5&lt;=$F28),IF(AU$5=$E28+1,$C28,""),"")</f>
        <v/>
      </c>
      <c r="AV28" s="34">
        <f>IF(AND(AV$5&gt;$E28,AV$5&lt;=$F28),IF(AV$5=$E28+1,$C28,""),"")</f>
        <v/>
      </c>
      <c r="AW28" s="34">
        <f>IF(AND(AW$5&gt;$E28,AW$5&lt;=$F28),IF(AW$5=$E28+1,$C28,""),"")</f>
        <v/>
      </c>
      <c r="AX28" s="34">
        <f>IF(AND(AX$5&gt;$E28,AX$5&lt;=$F28),IF(AX$5=$E28+1,$C28,""),"")</f>
        <v/>
      </c>
      <c r="AY28" s="34">
        <f>IF(AND(AY$5&gt;$E28,AY$5&lt;=$F28),IF(AY$5=$E28+1,$C28,""),"")</f>
        <v/>
      </c>
      <c r="AZ28" s="34">
        <f>IF(AND(AZ$5&gt;$E28,AZ$5&lt;=$F28),IF(AZ$5=$E28+1,$C28,""),"")</f>
        <v/>
      </c>
      <c r="BA28" s="34">
        <f>IF(AND(BA$5&gt;$E28,BA$5&lt;=$F28),IF(BA$5=$E28+1,$C28,""),"")</f>
        <v/>
      </c>
      <c r="BB28" s="34">
        <f>IF(AND(BB$5&gt;$E28,BB$5&lt;=$F28),IF(BB$5=$E28+1,$C28,""),"")</f>
        <v/>
      </c>
      <c r="BC28" s="34">
        <f>IF(AND(BC$5&gt;$E28,BC$5&lt;=$F28),IF(BC$5=$E28+1,$C28,""),"")</f>
        <v/>
      </c>
      <c r="BD28" s="34">
        <f>IF(AND(BD$5&gt;$E28,BD$5&lt;=$F28),IF(BD$5=$E28+1,$C28,""),"")</f>
        <v/>
      </c>
      <c r="BE28" s="34">
        <f>IF(AND(BE$5&gt;$E28,BE$5&lt;=$F28),IF(BE$5=$E28+1,$C28,""),"")</f>
        <v/>
      </c>
      <c r="BF28" s="34">
        <f>IF(AND(BF$5&gt;$E28,BF$5&lt;=$F28),IF(BF$5=$E28+1,$C28,""),"")</f>
        <v/>
      </c>
      <c r="BG28" s="34">
        <f>IF(AND(BG$5&gt;$E28,BG$5&lt;=$F28),IF(BG$5=$E28+1,$C28,""),"")</f>
        <v/>
      </c>
      <c r="BH28" s="34">
        <f>IF(AND(BH$5&gt;$E28,BH$5&lt;=$F28),IF(BH$5=$E28+1,$C28,""),"")</f>
        <v/>
      </c>
      <c r="BI28" s="34">
        <f>IF(AND(BI$5&gt;$E28,BI$5&lt;=$F28),IF(BI$5=$E28+1,$C28,""),"")</f>
        <v/>
      </c>
      <c r="BJ28" s="34">
        <f>IF(AND(BJ$5&gt;$E28,BJ$5&lt;=$F28),IF(BJ$5=$E28+1,$C28,""),"")</f>
        <v/>
      </c>
      <c r="BK28" s="34">
        <f>IF(AND(BK$5&gt;$E28,BK$5&lt;=$F28),IF(BK$5=$E28+1,$C28,""),"")</f>
        <v/>
      </c>
      <c r="BL28" s="34">
        <f>IF(AND(BL$5&gt;$E28,BL$5&lt;=$F28),IF(BL$5=$E28+1,$C28,""),"")</f>
        <v/>
      </c>
      <c r="BM28" s="34">
        <f>IF(AND(BM$5&gt;$E28,BM$5&lt;=$F28),IF(BM$5=$E28+1,$C28,""),"")</f>
        <v/>
      </c>
      <c r="BN28" s="34">
        <f>IF(AND(BN$5&gt;$E28,BN$5&lt;=$F28),IF(BN$5=$E28+1,$C28,""),"")</f>
        <v/>
      </c>
      <c r="BO28" s="34">
        <f>IF(AND(BO$5&gt;$E28,BO$5&lt;=$F28),IF(BO$5=$E28+1,$C28,""),"")</f>
        <v/>
      </c>
      <c r="BP28" s="34">
        <f>IF(AND(BP$5&gt;$E28,BP$5&lt;=$F28),IF(BP$5=$E28+1,$C28,""),"")</f>
        <v/>
      </c>
      <c r="BQ28" s="34">
        <f>IF(AND(BQ$5&gt;$E28,BQ$5&lt;=$F28),IF(BQ$5=$E28+1,$C28,""),"")</f>
        <v/>
      </c>
      <c r="BR28" s="34">
        <f>IF(AND(BR$5&gt;$E28,BR$5&lt;=$F28),IF(BR$5=$E28+1,$C28,""),"")</f>
        <v/>
      </c>
      <c r="BS28" s="34">
        <f>IF(AND(BS$5&gt;$E28,BS$5&lt;=$F28),IF(BS$5=$E28+1,$C28,""),"")</f>
        <v/>
      </c>
      <c r="BT28" s="34">
        <f>IF(AND(BT$5&gt;$E28,BT$5&lt;=$F28),IF(BT$5=$E28+1,$C28,""),"")</f>
        <v/>
      </c>
      <c r="BU28" s="34">
        <f>IF(AND(BU$5&gt;$E28,BU$5&lt;=$F28),IF(BU$5=$E28+1,$C28,""),"")</f>
        <v/>
      </c>
      <c r="BV28" s="34">
        <f>IF(AND(BV$5&gt;$E28,BV$5&lt;=$F28),IF(BV$5=$E28+1,$C28,""),"")</f>
        <v/>
      </c>
      <c r="BW28" s="34">
        <f>IF(AND(BW$5&gt;$E28,BW$5&lt;=$F28),IF(BW$5=$E28+1,$C28,""),"")</f>
        <v/>
      </c>
      <c r="BX28" s="34">
        <f>IF(AND(BX$5&gt;$E28,BX$5&lt;=$F28),IF(BX$5=$E28+1,$C28,""),"")</f>
        <v/>
      </c>
      <c r="BY28" s="34">
        <f>IF(AND(BY$5&gt;$E28,BY$5&lt;=$F28),IF(BY$5=$E28+1,$C28,""),"")</f>
        <v/>
      </c>
    </row>
    <row r="29">
      <c r="A29" s="27" t="inlineStr">
        <is>
          <t>Fase 3. Flujo de solicitud de crédito</t>
        </is>
      </c>
      <c r="B29" s="28" t="n"/>
      <c r="C29" s="28" t="n"/>
      <c r="D29" s="28" t="n"/>
      <c r="E29" s="29">
        <f>SUMPRODUCT(MIN((Plan!$B$5:$B$57="3. Flujo de solicitud de crédito")*Plan!$K$5:$K$57+(Plan!$B$5:$B$57&lt;&gt;"3. Flujo de solicitud de crédito")*1E9))</f>
        <v/>
      </c>
      <c r="F29" s="29">
        <f>SUMPRODUCT(MAX((Plan!$B$5:$B$57="3. Flujo de solicitud de crédito")*Plan!$L$5:$L$57))</f>
        <v/>
      </c>
      <c r="G29" s="30">
        <f>Resumen!E31</f>
        <v/>
      </c>
      <c r="H29" s="31" t="n"/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B29" s="31" t="n"/>
      <c r="AC29" s="31" t="n"/>
      <c r="AD29" s="31" t="n"/>
      <c r="AE29" s="31" t="n"/>
      <c r="AF29" s="31" t="n"/>
      <c r="AG29" s="31" t="n"/>
      <c r="AH29" s="31" t="n"/>
      <c r="AI29" s="31" t="n"/>
      <c r="AJ29" s="31" t="n"/>
      <c r="AK29" s="31" t="n"/>
      <c r="AL29" s="31" t="n"/>
      <c r="AM29" s="31" t="n"/>
      <c r="AN29" s="31" t="n"/>
      <c r="AO29" s="31" t="n"/>
      <c r="AP29" s="31" t="n"/>
      <c r="AQ29" s="31" t="n"/>
      <c r="AR29" s="31" t="n"/>
      <c r="AS29" s="31" t="n"/>
      <c r="AT29" s="31" t="n"/>
      <c r="AU29" s="31" t="n"/>
      <c r="AV29" s="31" t="n"/>
      <c r="AW29" s="31" t="n"/>
      <c r="AX29" s="31" t="n"/>
      <c r="AY29" s="31" t="n"/>
      <c r="AZ29" s="31" t="n"/>
      <c r="BA29" s="31" t="n"/>
      <c r="BB29" s="31" t="n"/>
      <c r="BC29" s="31" t="n"/>
      <c r="BD29" s="31" t="n"/>
      <c r="BE29" s="31" t="n"/>
      <c r="BF29" s="31" t="n"/>
      <c r="BG29" s="31" t="n"/>
      <c r="BH29" s="31" t="n"/>
      <c r="BI29" s="31" t="n"/>
      <c r="BJ29" s="31" t="n"/>
      <c r="BK29" s="31" t="n"/>
      <c r="BL29" s="31" t="n"/>
      <c r="BM29" s="31" t="n"/>
      <c r="BN29" s="31" t="n"/>
      <c r="BO29" s="31" t="n"/>
      <c r="BP29" s="31" t="n"/>
      <c r="BQ29" s="31" t="n"/>
      <c r="BR29" s="31" t="n"/>
      <c r="BS29" s="31" t="n"/>
      <c r="BT29" s="31" t="n"/>
      <c r="BU29" s="31" t="n"/>
      <c r="BV29" s="31" t="n"/>
      <c r="BW29" s="31" t="n"/>
      <c r="BX29" s="31" t="n"/>
      <c r="BY29" s="31" t="n"/>
    </row>
    <row r="30">
      <c r="A30" s="32">
        <f>Plan!A23</f>
        <v/>
      </c>
      <c r="B30" s="33">
        <f>Plan!C23</f>
        <v/>
      </c>
      <c r="C30" s="16">
        <f>Plan!D23</f>
        <v/>
      </c>
      <c r="D30" s="16">
        <f>Plan!I23</f>
        <v/>
      </c>
      <c r="E30" s="16">
        <f>Plan!K23</f>
        <v/>
      </c>
      <c r="F30" s="16">
        <f>Plan!L23</f>
        <v/>
      </c>
      <c r="G30" s="16">
        <f>Plan!O23</f>
        <v/>
      </c>
      <c r="H30" s="34">
        <f>IF(AND(H$5&gt;$E30,H$5&lt;=$F30),IF(H$5=$E30+1,$C30,""),"")</f>
        <v/>
      </c>
      <c r="I30" s="34">
        <f>IF(AND(I$5&gt;$E30,I$5&lt;=$F30),IF(I$5=$E30+1,$C30,""),"")</f>
        <v/>
      </c>
      <c r="J30" s="34">
        <f>IF(AND(J$5&gt;$E30,J$5&lt;=$F30),IF(J$5=$E30+1,$C30,""),"")</f>
        <v/>
      </c>
      <c r="K30" s="34">
        <f>IF(AND(K$5&gt;$E30,K$5&lt;=$F30),IF(K$5=$E30+1,$C30,""),"")</f>
        <v/>
      </c>
      <c r="L30" s="34">
        <f>IF(AND(L$5&gt;$E30,L$5&lt;=$F30),IF(L$5=$E30+1,$C30,""),"")</f>
        <v/>
      </c>
      <c r="M30" s="34">
        <f>IF(AND(M$5&gt;$E30,M$5&lt;=$F30),IF(M$5=$E30+1,$C30,""),"")</f>
        <v/>
      </c>
      <c r="N30" s="34">
        <f>IF(AND(N$5&gt;$E30,N$5&lt;=$F30),IF(N$5=$E30+1,$C30,""),"")</f>
        <v/>
      </c>
      <c r="O30" s="34">
        <f>IF(AND(O$5&gt;$E30,O$5&lt;=$F30),IF(O$5=$E30+1,$C30,""),"")</f>
        <v/>
      </c>
      <c r="P30" s="34">
        <f>IF(AND(P$5&gt;$E30,P$5&lt;=$F30),IF(P$5=$E30+1,$C30,""),"")</f>
        <v/>
      </c>
      <c r="Q30" s="34">
        <f>IF(AND(Q$5&gt;$E30,Q$5&lt;=$F30),IF(Q$5=$E30+1,$C30,""),"")</f>
        <v/>
      </c>
      <c r="R30" s="34">
        <f>IF(AND(R$5&gt;$E30,R$5&lt;=$F30),IF(R$5=$E30+1,$C30,""),"")</f>
        <v/>
      </c>
      <c r="S30" s="34">
        <f>IF(AND(S$5&gt;$E30,S$5&lt;=$F30),IF(S$5=$E30+1,$C30,""),"")</f>
        <v/>
      </c>
      <c r="T30" s="34">
        <f>IF(AND(T$5&gt;$E30,T$5&lt;=$F30),IF(T$5=$E30+1,$C30,""),"")</f>
        <v/>
      </c>
      <c r="U30" s="34">
        <f>IF(AND(U$5&gt;$E30,U$5&lt;=$F30),IF(U$5=$E30+1,$C30,""),"")</f>
        <v/>
      </c>
      <c r="V30" s="34">
        <f>IF(AND(V$5&gt;$E30,V$5&lt;=$F30),IF(V$5=$E30+1,$C30,""),"")</f>
        <v/>
      </c>
      <c r="W30" s="34">
        <f>IF(AND(W$5&gt;$E30,W$5&lt;=$F30),IF(W$5=$E30+1,$C30,""),"")</f>
        <v/>
      </c>
      <c r="X30" s="34">
        <f>IF(AND(X$5&gt;$E30,X$5&lt;=$F30),IF(X$5=$E30+1,$C30,""),"")</f>
        <v/>
      </c>
      <c r="Y30" s="34">
        <f>IF(AND(Y$5&gt;$E30,Y$5&lt;=$F30),IF(Y$5=$E30+1,$C30,""),"")</f>
        <v/>
      </c>
      <c r="Z30" s="34">
        <f>IF(AND(Z$5&gt;$E30,Z$5&lt;=$F30),IF(Z$5=$E30+1,$C30,""),"")</f>
        <v/>
      </c>
      <c r="AA30" s="34">
        <f>IF(AND(AA$5&gt;$E30,AA$5&lt;=$F30),IF(AA$5=$E30+1,$C30,""),"")</f>
        <v/>
      </c>
      <c r="AB30" s="34">
        <f>IF(AND(AB$5&gt;$E30,AB$5&lt;=$F30),IF(AB$5=$E30+1,$C30,""),"")</f>
        <v/>
      </c>
      <c r="AC30" s="34">
        <f>IF(AND(AC$5&gt;$E30,AC$5&lt;=$F30),IF(AC$5=$E30+1,$C30,""),"")</f>
        <v/>
      </c>
      <c r="AD30" s="34">
        <f>IF(AND(AD$5&gt;$E30,AD$5&lt;=$F30),IF(AD$5=$E30+1,$C30,""),"")</f>
        <v/>
      </c>
      <c r="AE30" s="34">
        <f>IF(AND(AE$5&gt;$E30,AE$5&lt;=$F30),IF(AE$5=$E30+1,$C30,""),"")</f>
        <v/>
      </c>
      <c r="AF30" s="34">
        <f>IF(AND(AF$5&gt;$E30,AF$5&lt;=$F30),IF(AF$5=$E30+1,$C30,""),"")</f>
        <v/>
      </c>
      <c r="AG30" s="34">
        <f>IF(AND(AG$5&gt;$E30,AG$5&lt;=$F30),IF(AG$5=$E30+1,$C30,""),"")</f>
        <v/>
      </c>
      <c r="AH30" s="34">
        <f>IF(AND(AH$5&gt;$E30,AH$5&lt;=$F30),IF(AH$5=$E30+1,$C30,""),"")</f>
        <v/>
      </c>
      <c r="AI30" s="34">
        <f>IF(AND(AI$5&gt;$E30,AI$5&lt;=$F30),IF(AI$5=$E30+1,$C30,""),"")</f>
        <v/>
      </c>
      <c r="AJ30" s="34">
        <f>IF(AND(AJ$5&gt;$E30,AJ$5&lt;=$F30),IF(AJ$5=$E30+1,$C30,""),"")</f>
        <v/>
      </c>
      <c r="AK30" s="34">
        <f>IF(AND(AK$5&gt;$E30,AK$5&lt;=$F30),IF(AK$5=$E30+1,$C30,""),"")</f>
        <v/>
      </c>
      <c r="AL30" s="34">
        <f>IF(AND(AL$5&gt;$E30,AL$5&lt;=$F30),IF(AL$5=$E30+1,$C30,""),"")</f>
        <v/>
      </c>
      <c r="AM30" s="34">
        <f>IF(AND(AM$5&gt;$E30,AM$5&lt;=$F30),IF(AM$5=$E30+1,$C30,""),"")</f>
        <v/>
      </c>
      <c r="AN30" s="34">
        <f>IF(AND(AN$5&gt;$E30,AN$5&lt;=$F30),IF(AN$5=$E30+1,$C30,""),"")</f>
        <v/>
      </c>
      <c r="AO30" s="34">
        <f>IF(AND(AO$5&gt;$E30,AO$5&lt;=$F30),IF(AO$5=$E30+1,$C30,""),"")</f>
        <v/>
      </c>
      <c r="AP30" s="34">
        <f>IF(AND(AP$5&gt;$E30,AP$5&lt;=$F30),IF(AP$5=$E30+1,$C30,""),"")</f>
        <v/>
      </c>
      <c r="AQ30" s="34">
        <f>IF(AND(AQ$5&gt;$E30,AQ$5&lt;=$F30),IF(AQ$5=$E30+1,$C30,""),"")</f>
        <v/>
      </c>
      <c r="AR30" s="34">
        <f>IF(AND(AR$5&gt;$E30,AR$5&lt;=$F30),IF(AR$5=$E30+1,$C30,""),"")</f>
        <v/>
      </c>
      <c r="AS30" s="34">
        <f>IF(AND(AS$5&gt;$E30,AS$5&lt;=$F30),IF(AS$5=$E30+1,$C30,""),"")</f>
        <v/>
      </c>
      <c r="AT30" s="34">
        <f>IF(AND(AT$5&gt;$E30,AT$5&lt;=$F30),IF(AT$5=$E30+1,$C30,""),"")</f>
        <v/>
      </c>
      <c r="AU30" s="34">
        <f>IF(AND(AU$5&gt;$E30,AU$5&lt;=$F30),IF(AU$5=$E30+1,$C30,""),"")</f>
        <v/>
      </c>
      <c r="AV30" s="34">
        <f>IF(AND(AV$5&gt;$E30,AV$5&lt;=$F30),IF(AV$5=$E30+1,$C30,""),"")</f>
        <v/>
      </c>
      <c r="AW30" s="34">
        <f>IF(AND(AW$5&gt;$E30,AW$5&lt;=$F30),IF(AW$5=$E30+1,$C30,""),"")</f>
        <v/>
      </c>
      <c r="AX30" s="34">
        <f>IF(AND(AX$5&gt;$E30,AX$5&lt;=$F30),IF(AX$5=$E30+1,$C30,""),"")</f>
        <v/>
      </c>
      <c r="AY30" s="34">
        <f>IF(AND(AY$5&gt;$E30,AY$5&lt;=$F30),IF(AY$5=$E30+1,$C30,""),"")</f>
        <v/>
      </c>
      <c r="AZ30" s="34">
        <f>IF(AND(AZ$5&gt;$E30,AZ$5&lt;=$F30),IF(AZ$5=$E30+1,$C30,""),"")</f>
        <v/>
      </c>
      <c r="BA30" s="34">
        <f>IF(AND(BA$5&gt;$E30,BA$5&lt;=$F30),IF(BA$5=$E30+1,$C30,""),"")</f>
        <v/>
      </c>
      <c r="BB30" s="34">
        <f>IF(AND(BB$5&gt;$E30,BB$5&lt;=$F30),IF(BB$5=$E30+1,$C30,""),"")</f>
        <v/>
      </c>
      <c r="BC30" s="34">
        <f>IF(AND(BC$5&gt;$E30,BC$5&lt;=$F30),IF(BC$5=$E30+1,$C30,""),"")</f>
        <v/>
      </c>
      <c r="BD30" s="34">
        <f>IF(AND(BD$5&gt;$E30,BD$5&lt;=$F30),IF(BD$5=$E30+1,$C30,""),"")</f>
        <v/>
      </c>
      <c r="BE30" s="34">
        <f>IF(AND(BE$5&gt;$E30,BE$5&lt;=$F30),IF(BE$5=$E30+1,$C30,""),"")</f>
        <v/>
      </c>
      <c r="BF30" s="34">
        <f>IF(AND(BF$5&gt;$E30,BF$5&lt;=$F30),IF(BF$5=$E30+1,$C30,""),"")</f>
        <v/>
      </c>
      <c r="BG30" s="34">
        <f>IF(AND(BG$5&gt;$E30,BG$5&lt;=$F30),IF(BG$5=$E30+1,$C30,""),"")</f>
        <v/>
      </c>
      <c r="BH30" s="34">
        <f>IF(AND(BH$5&gt;$E30,BH$5&lt;=$F30),IF(BH$5=$E30+1,$C30,""),"")</f>
        <v/>
      </c>
      <c r="BI30" s="34">
        <f>IF(AND(BI$5&gt;$E30,BI$5&lt;=$F30),IF(BI$5=$E30+1,$C30,""),"")</f>
        <v/>
      </c>
      <c r="BJ30" s="34">
        <f>IF(AND(BJ$5&gt;$E30,BJ$5&lt;=$F30),IF(BJ$5=$E30+1,$C30,""),"")</f>
        <v/>
      </c>
      <c r="BK30" s="34">
        <f>IF(AND(BK$5&gt;$E30,BK$5&lt;=$F30),IF(BK$5=$E30+1,$C30,""),"")</f>
        <v/>
      </c>
      <c r="BL30" s="34">
        <f>IF(AND(BL$5&gt;$E30,BL$5&lt;=$F30),IF(BL$5=$E30+1,$C30,""),"")</f>
        <v/>
      </c>
      <c r="BM30" s="34">
        <f>IF(AND(BM$5&gt;$E30,BM$5&lt;=$F30),IF(BM$5=$E30+1,$C30,""),"")</f>
        <v/>
      </c>
      <c r="BN30" s="34">
        <f>IF(AND(BN$5&gt;$E30,BN$5&lt;=$F30),IF(BN$5=$E30+1,$C30,""),"")</f>
        <v/>
      </c>
      <c r="BO30" s="34">
        <f>IF(AND(BO$5&gt;$E30,BO$5&lt;=$F30),IF(BO$5=$E30+1,$C30,""),"")</f>
        <v/>
      </c>
      <c r="BP30" s="34">
        <f>IF(AND(BP$5&gt;$E30,BP$5&lt;=$F30),IF(BP$5=$E30+1,$C30,""),"")</f>
        <v/>
      </c>
      <c r="BQ30" s="34">
        <f>IF(AND(BQ$5&gt;$E30,BQ$5&lt;=$F30),IF(BQ$5=$E30+1,$C30,""),"")</f>
        <v/>
      </c>
      <c r="BR30" s="34">
        <f>IF(AND(BR$5&gt;$E30,BR$5&lt;=$F30),IF(BR$5=$E30+1,$C30,""),"")</f>
        <v/>
      </c>
      <c r="BS30" s="34">
        <f>IF(AND(BS$5&gt;$E30,BS$5&lt;=$F30),IF(BS$5=$E30+1,$C30,""),"")</f>
        <v/>
      </c>
      <c r="BT30" s="34">
        <f>IF(AND(BT$5&gt;$E30,BT$5&lt;=$F30),IF(BT$5=$E30+1,$C30,""),"")</f>
        <v/>
      </c>
      <c r="BU30" s="34">
        <f>IF(AND(BU$5&gt;$E30,BU$5&lt;=$F30),IF(BU$5=$E30+1,$C30,""),"")</f>
        <v/>
      </c>
      <c r="BV30" s="34">
        <f>IF(AND(BV$5&gt;$E30,BV$5&lt;=$F30),IF(BV$5=$E30+1,$C30,""),"")</f>
        <v/>
      </c>
      <c r="BW30" s="34">
        <f>IF(AND(BW$5&gt;$E30,BW$5&lt;=$F30),IF(BW$5=$E30+1,$C30,""),"")</f>
        <v/>
      </c>
      <c r="BX30" s="34">
        <f>IF(AND(BX$5&gt;$E30,BX$5&lt;=$F30),IF(BX$5=$E30+1,$C30,""),"")</f>
        <v/>
      </c>
      <c r="BY30" s="34">
        <f>IF(AND(BY$5&gt;$E30,BY$5&lt;=$F30),IF(BY$5=$E30+1,$C30,""),"")</f>
        <v/>
      </c>
    </row>
    <row r="31">
      <c r="A31" s="32">
        <f>Plan!A24</f>
        <v/>
      </c>
      <c r="B31" s="33">
        <f>Plan!C24</f>
        <v/>
      </c>
      <c r="C31" s="16">
        <f>Plan!D24</f>
        <v/>
      </c>
      <c r="D31" s="16">
        <f>Plan!I24</f>
        <v/>
      </c>
      <c r="E31" s="16">
        <f>Plan!K24</f>
        <v/>
      </c>
      <c r="F31" s="16">
        <f>Plan!L24</f>
        <v/>
      </c>
      <c r="G31" s="16">
        <f>Plan!O24</f>
        <v/>
      </c>
      <c r="H31" s="34">
        <f>IF(AND(H$5&gt;$E31,H$5&lt;=$F31),IF(H$5=$E31+1,$C31,""),"")</f>
        <v/>
      </c>
      <c r="I31" s="34">
        <f>IF(AND(I$5&gt;$E31,I$5&lt;=$F31),IF(I$5=$E31+1,$C31,""),"")</f>
        <v/>
      </c>
      <c r="J31" s="34">
        <f>IF(AND(J$5&gt;$E31,J$5&lt;=$F31),IF(J$5=$E31+1,$C31,""),"")</f>
        <v/>
      </c>
      <c r="K31" s="34">
        <f>IF(AND(K$5&gt;$E31,K$5&lt;=$F31),IF(K$5=$E31+1,$C31,""),"")</f>
        <v/>
      </c>
      <c r="L31" s="34">
        <f>IF(AND(L$5&gt;$E31,L$5&lt;=$F31),IF(L$5=$E31+1,$C31,""),"")</f>
        <v/>
      </c>
      <c r="M31" s="34">
        <f>IF(AND(M$5&gt;$E31,M$5&lt;=$F31),IF(M$5=$E31+1,$C31,""),"")</f>
        <v/>
      </c>
      <c r="N31" s="34">
        <f>IF(AND(N$5&gt;$E31,N$5&lt;=$F31),IF(N$5=$E31+1,$C31,""),"")</f>
        <v/>
      </c>
      <c r="O31" s="34">
        <f>IF(AND(O$5&gt;$E31,O$5&lt;=$F31),IF(O$5=$E31+1,$C31,""),"")</f>
        <v/>
      </c>
      <c r="P31" s="34">
        <f>IF(AND(P$5&gt;$E31,P$5&lt;=$F31),IF(P$5=$E31+1,$C31,""),"")</f>
        <v/>
      </c>
      <c r="Q31" s="34">
        <f>IF(AND(Q$5&gt;$E31,Q$5&lt;=$F31),IF(Q$5=$E31+1,$C31,""),"")</f>
        <v/>
      </c>
      <c r="R31" s="34">
        <f>IF(AND(R$5&gt;$E31,R$5&lt;=$F31),IF(R$5=$E31+1,$C31,""),"")</f>
        <v/>
      </c>
      <c r="S31" s="34">
        <f>IF(AND(S$5&gt;$E31,S$5&lt;=$F31),IF(S$5=$E31+1,$C31,""),"")</f>
        <v/>
      </c>
      <c r="T31" s="34">
        <f>IF(AND(T$5&gt;$E31,T$5&lt;=$F31),IF(T$5=$E31+1,$C31,""),"")</f>
        <v/>
      </c>
      <c r="U31" s="34">
        <f>IF(AND(U$5&gt;$E31,U$5&lt;=$F31),IF(U$5=$E31+1,$C31,""),"")</f>
        <v/>
      </c>
      <c r="V31" s="34">
        <f>IF(AND(V$5&gt;$E31,V$5&lt;=$F31),IF(V$5=$E31+1,$C31,""),"")</f>
        <v/>
      </c>
      <c r="W31" s="34">
        <f>IF(AND(W$5&gt;$E31,W$5&lt;=$F31),IF(W$5=$E31+1,$C31,""),"")</f>
        <v/>
      </c>
      <c r="X31" s="34">
        <f>IF(AND(X$5&gt;$E31,X$5&lt;=$F31),IF(X$5=$E31+1,$C31,""),"")</f>
        <v/>
      </c>
      <c r="Y31" s="34">
        <f>IF(AND(Y$5&gt;$E31,Y$5&lt;=$F31),IF(Y$5=$E31+1,$C31,""),"")</f>
        <v/>
      </c>
      <c r="Z31" s="34">
        <f>IF(AND(Z$5&gt;$E31,Z$5&lt;=$F31),IF(Z$5=$E31+1,$C31,""),"")</f>
        <v/>
      </c>
      <c r="AA31" s="34">
        <f>IF(AND(AA$5&gt;$E31,AA$5&lt;=$F31),IF(AA$5=$E31+1,$C31,""),"")</f>
        <v/>
      </c>
      <c r="AB31" s="34">
        <f>IF(AND(AB$5&gt;$E31,AB$5&lt;=$F31),IF(AB$5=$E31+1,$C31,""),"")</f>
        <v/>
      </c>
      <c r="AC31" s="34">
        <f>IF(AND(AC$5&gt;$E31,AC$5&lt;=$F31),IF(AC$5=$E31+1,$C31,""),"")</f>
        <v/>
      </c>
      <c r="AD31" s="34">
        <f>IF(AND(AD$5&gt;$E31,AD$5&lt;=$F31),IF(AD$5=$E31+1,$C31,""),"")</f>
        <v/>
      </c>
      <c r="AE31" s="34">
        <f>IF(AND(AE$5&gt;$E31,AE$5&lt;=$F31),IF(AE$5=$E31+1,$C31,""),"")</f>
        <v/>
      </c>
      <c r="AF31" s="34">
        <f>IF(AND(AF$5&gt;$E31,AF$5&lt;=$F31),IF(AF$5=$E31+1,$C31,""),"")</f>
        <v/>
      </c>
      <c r="AG31" s="34">
        <f>IF(AND(AG$5&gt;$E31,AG$5&lt;=$F31),IF(AG$5=$E31+1,$C31,""),"")</f>
        <v/>
      </c>
      <c r="AH31" s="34">
        <f>IF(AND(AH$5&gt;$E31,AH$5&lt;=$F31),IF(AH$5=$E31+1,$C31,""),"")</f>
        <v/>
      </c>
      <c r="AI31" s="34">
        <f>IF(AND(AI$5&gt;$E31,AI$5&lt;=$F31),IF(AI$5=$E31+1,$C31,""),"")</f>
        <v/>
      </c>
      <c r="AJ31" s="34">
        <f>IF(AND(AJ$5&gt;$E31,AJ$5&lt;=$F31),IF(AJ$5=$E31+1,$C31,""),"")</f>
        <v/>
      </c>
      <c r="AK31" s="34">
        <f>IF(AND(AK$5&gt;$E31,AK$5&lt;=$F31),IF(AK$5=$E31+1,$C31,""),"")</f>
        <v/>
      </c>
      <c r="AL31" s="34">
        <f>IF(AND(AL$5&gt;$E31,AL$5&lt;=$F31),IF(AL$5=$E31+1,$C31,""),"")</f>
        <v/>
      </c>
      <c r="AM31" s="34">
        <f>IF(AND(AM$5&gt;$E31,AM$5&lt;=$F31),IF(AM$5=$E31+1,$C31,""),"")</f>
        <v/>
      </c>
      <c r="AN31" s="34">
        <f>IF(AND(AN$5&gt;$E31,AN$5&lt;=$F31),IF(AN$5=$E31+1,$C31,""),"")</f>
        <v/>
      </c>
      <c r="AO31" s="34">
        <f>IF(AND(AO$5&gt;$E31,AO$5&lt;=$F31),IF(AO$5=$E31+1,$C31,""),"")</f>
        <v/>
      </c>
      <c r="AP31" s="34">
        <f>IF(AND(AP$5&gt;$E31,AP$5&lt;=$F31),IF(AP$5=$E31+1,$C31,""),"")</f>
        <v/>
      </c>
      <c r="AQ31" s="34">
        <f>IF(AND(AQ$5&gt;$E31,AQ$5&lt;=$F31),IF(AQ$5=$E31+1,$C31,""),"")</f>
        <v/>
      </c>
      <c r="AR31" s="34">
        <f>IF(AND(AR$5&gt;$E31,AR$5&lt;=$F31),IF(AR$5=$E31+1,$C31,""),"")</f>
        <v/>
      </c>
      <c r="AS31" s="34">
        <f>IF(AND(AS$5&gt;$E31,AS$5&lt;=$F31),IF(AS$5=$E31+1,$C31,""),"")</f>
        <v/>
      </c>
      <c r="AT31" s="34">
        <f>IF(AND(AT$5&gt;$E31,AT$5&lt;=$F31),IF(AT$5=$E31+1,$C31,""),"")</f>
        <v/>
      </c>
      <c r="AU31" s="34">
        <f>IF(AND(AU$5&gt;$E31,AU$5&lt;=$F31),IF(AU$5=$E31+1,$C31,""),"")</f>
        <v/>
      </c>
      <c r="AV31" s="34">
        <f>IF(AND(AV$5&gt;$E31,AV$5&lt;=$F31),IF(AV$5=$E31+1,$C31,""),"")</f>
        <v/>
      </c>
      <c r="AW31" s="34">
        <f>IF(AND(AW$5&gt;$E31,AW$5&lt;=$F31),IF(AW$5=$E31+1,$C31,""),"")</f>
        <v/>
      </c>
      <c r="AX31" s="34">
        <f>IF(AND(AX$5&gt;$E31,AX$5&lt;=$F31),IF(AX$5=$E31+1,$C31,""),"")</f>
        <v/>
      </c>
      <c r="AY31" s="34">
        <f>IF(AND(AY$5&gt;$E31,AY$5&lt;=$F31),IF(AY$5=$E31+1,$C31,""),"")</f>
        <v/>
      </c>
      <c r="AZ31" s="34">
        <f>IF(AND(AZ$5&gt;$E31,AZ$5&lt;=$F31),IF(AZ$5=$E31+1,$C31,""),"")</f>
        <v/>
      </c>
      <c r="BA31" s="34">
        <f>IF(AND(BA$5&gt;$E31,BA$5&lt;=$F31),IF(BA$5=$E31+1,$C31,""),"")</f>
        <v/>
      </c>
      <c r="BB31" s="34">
        <f>IF(AND(BB$5&gt;$E31,BB$5&lt;=$F31),IF(BB$5=$E31+1,$C31,""),"")</f>
        <v/>
      </c>
      <c r="BC31" s="34">
        <f>IF(AND(BC$5&gt;$E31,BC$5&lt;=$F31),IF(BC$5=$E31+1,$C31,""),"")</f>
        <v/>
      </c>
      <c r="BD31" s="34">
        <f>IF(AND(BD$5&gt;$E31,BD$5&lt;=$F31),IF(BD$5=$E31+1,$C31,""),"")</f>
        <v/>
      </c>
      <c r="BE31" s="34">
        <f>IF(AND(BE$5&gt;$E31,BE$5&lt;=$F31),IF(BE$5=$E31+1,$C31,""),"")</f>
        <v/>
      </c>
      <c r="BF31" s="34">
        <f>IF(AND(BF$5&gt;$E31,BF$5&lt;=$F31),IF(BF$5=$E31+1,$C31,""),"")</f>
        <v/>
      </c>
      <c r="BG31" s="34">
        <f>IF(AND(BG$5&gt;$E31,BG$5&lt;=$F31),IF(BG$5=$E31+1,$C31,""),"")</f>
        <v/>
      </c>
      <c r="BH31" s="34">
        <f>IF(AND(BH$5&gt;$E31,BH$5&lt;=$F31),IF(BH$5=$E31+1,$C31,""),"")</f>
        <v/>
      </c>
      <c r="BI31" s="34">
        <f>IF(AND(BI$5&gt;$E31,BI$5&lt;=$F31),IF(BI$5=$E31+1,$C31,""),"")</f>
        <v/>
      </c>
      <c r="BJ31" s="34">
        <f>IF(AND(BJ$5&gt;$E31,BJ$5&lt;=$F31),IF(BJ$5=$E31+1,$C31,""),"")</f>
        <v/>
      </c>
      <c r="BK31" s="34">
        <f>IF(AND(BK$5&gt;$E31,BK$5&lt;=$F31),IF(BK$5=$E31+1,$C31,""),"")</f>
        <v/>
      </c>
      <c r="BL31" s="34">
        <f>IF(AND(BL$5&gt;$E31,BL$5&lt;=$F31),IF(BL$5=$E31+1,$C31,""),"")</f>
        <v/>
      </c>
      <c r="BM31" s="34">
        <f>IF(AND(BM$5&gt;$E31,BM$5&lt;=$F31),IF(BM$5=$E31+1,$C31,""),"")</f>
        <v/>
      </c>
      <c r="BN31" s="34">
        <f>IF(AND(BN$5&gt;$E31,BN$5&lt;=$F31),IF(BN$5=$E31+1,$C31,""),"")</f>
        <v/>
      </c>
      <c r="BO31" s="34">
        <f>IF(AND(BO$5&gt;$E31,BO$5&lt;=$F31),IF(BO$5=$E31+1,$C31,""),"")</f>
        <v/>
      </c>
      <c r="BP31" s="34">
        <f>IF(AND(BP$5&gt;$E31,BP$5&lt;=$F31),IF(BP$5=$E31+1,$C31,""),"")</f>
        <v/>
      </c>
      <c r="BQ31" s="34">
        <f>IF(AND(BQ$5&gt;$E31,BQ$5&lt;=$F31),IF(BQ$5=$E31+1,$C31,""),"")</f>
        <v/>
      </c>
      <c r="BR31" s="34">
        <f>IF(AND(BR$5&gt;$E31,BR$5&lt;=$F31),IF(BR$5=$E31+1,$C31,""),"")</f>
        <v/>
      </c>
      <c r="BS31" s="34">
        <f>IF(AND(BS$5&gt;$E31,BS$5&lt;=$F31),IF(BS$5=$E31+1,$C31,""),"")</f>
        <v/>
      </c>
      <c r="BT31" s="34">
        <f>IF(AND(BT$5&gt;$E31,BT$5&lt;=$F31),IF(BT$5=$E31+1,$C31,""),"")</f>
        <v/>
      </c>
      <c r="BU31" s="34">
        <f>IF(AND(BU$5&gt;$E31,BU$5&lt;=$F31),IF(BU$5=$E31+1,$C31,""),"")</f>
        <v/>
      </c>
      <c r="BV31" s="34">
        <f>IF(AND(BV$5&gt;$E31,BV$5&lt;=$F31),IF(BV$5=$E31+1,$C31,""),"")</f>
        <v/>
      </c>
      <c r="BW31" s="34">
        <f>IF(AND(BW$5&gt;$E31,BW$5&lt;=$F31),IF(BW$5=$E31+1,$C31,""),"")</f>
        <v/>
      </c>
      <c r="BX31" s="34">
        <f>IF(AND(BX$5&gt;$E31,BX$5&lt;=$F31),IF(BX$5=$E31+1,$C31,""),"")</f>
        <v/>
      </c>
      <c r="BY31" s="34">
        <f>IF(AND(BY$5&gt;$E31,BY$5&lt;=$F31),IF(BY$5=$E31+1,$C31,""),"")</f>
        <v/>
      </c>
    </row>
    <row r="32">
      <c r="A32" s="32">
        <f>Plan!A25</f>
        <v/>
      </c>
      <c r="B32" s="33">
        <f>Plan!C25</f>
        <v/>
      </c>
      <c r="C32" s="16">
        <f>Plan!D25</f>
        <v/>
      </c>
      <c r="D32" s="16">
        <f>Plan!I25</f>
        <v/>
      </c>
      <c r="E32" s="16">
        <f>Plan!K25</f>
        <v/>
      </c>
      <c r="F32" s="16">
        <f>Plan!L25</f>
        <v/>
      </c>
      <c r="G32" s="16">
        <f>Plan!O25</f>
        <v/>
      </c>
      <c r="H32" s="34">
        <f>IF(AND(H$5&gt;$E32,H$5&lt;=$F32),IF(H$5=$E32+1,$C32,""),"")</f>
        <v/>
      </c>
      <c r="I32" s="34">
        <f>IF(AND(I$5&gt;$E32,I$5&lt;=$F32),IF(I$5=$E32+1,$C32,""),"")</f>
        <v/>
      </c>
      <c r="J32" s="34">
        <f>IF(AND(J$5&gt;$E32,J$5&lt;=$F32),IF(J$5=$E32+1,$C32,""),"")</f>
        <v/>
      </c>
      <c r="K32" s="34">
        <f>IF(AND(K$5&gt;$E32,K$5&lt;=$F32),IF(K$5=$E32+1,$C32,""),"")</f>
        <v/>
      </c>
      <c r="L32" s="34">
        <f>IF(AND(L$5&gt;$E32,L$5&lt;=$F32),IF(L$5=$E32+1,$C32,""),"")</f>
        <v/>
      </c>
      <c r="M32" s="34">
        <f>IF(AND(M$5&gt;$E32,M$5&lt;=$F32),IF(M$5=$E32+1,$C32,""),"")</f>
        <v/>
      </c>
      <c r="N32" s="34">
        <f>IF(AND(N$5&gt;$E32,N$5&lt;=$F32),IF(N$5=$E32+1,$C32,""),"")</f>
        <v/>
      </c>
      <c r="O32" s="34">
        <f>IF(AND(O$5&gt;$E32,O$5&lt;=$F32),IF(O$5=$E32+1,$C32,""),"")</f>
        <v/>
      </c>
      <c r="P32" s="34">
        <f>IF(AND(P$5&gt;$E32,P$5&lt;=$F32),IF(P$5=$E32+1,$C32,""),"")</f>
        <v/>
      </c>
      <c r="Q32" s="34">
        <f>IF(AND(Q$5&gt;$E32,Q$5&lt;=$F32),IF(Q$5=$E32+1,$C32,""),"")</f>
        <v/>
      </c>
      <c r="R32" s="34">
        <f>IF(AND(R$5&gt;$E32,R$5&lt;=$F32),IF(R$5=$E32+1,$C32,""),"")</f>
        <v/>
      </c>
      <c r="S32" s="34">
        <f>IF(AND(S$5&gt;$E32,S$5&lt;=$F32),IF(S$5=$E32+1,$C32,""),"")</f>
        <v/>
      </c>
      <c r="T32" s="34">
        <f>IF(AND(T$5&gt;$E32,T$5&lt;=$F32),IF(T$5=$E32+1,$C32,""),"")</f>
        <v/>
      </c>
      <c r="U32" s="34">
        <f>IF(AND(U$5&gt;$E32,U$5&lt;=$F32),IF(U$5=$E32+1,$C32,""),"")</f>
        <v/>
      </c>
      <c r="V32" s="34">
        <f>IF(AND(V$5&gt;$E32,V$5&lt;=$F32),IF(V$5=$E32+1,$C32,""),"")</f>
        <v/>
      </c>
      <c r="W32" s="34">
        <f>IF(AND(W$5&gt;$E32,W$5&lt;=$F32),IF(W$5=$E32+1,$C32,""),"")</f>
        <v/>
      </c>
      <c r="X32" s="34">
        <f>IF(AND(X$5&gt;$E32,X$5&lt;=$F32),IF(X$5=$E32+1,$C32,""),"")</f>
        <v/>
      </c>
      <c r="Y32" s="34">
        <f>IF(AND(Y$5&gt;$E32,Y$5&lt;=$F32),IF(Y$5=$E32+1,$C32,""),"")</f>
        <v/>
      </c>
      <c r="Z32" s="34">
        <f>IF(AND(Z$5&gt;$E32,Z$5&lt;=$F32),IF(Z$5=$E32+1,$C32,""),"")</f>
        <v/>
      </c>
      <c r="AA32" s="34">
        <f>IF(AND(AA$5&gt;$E32,AA$5&lt;=$F32),IF(AA$5=$E32+1,$C32,""),"")</f>
        <v/>
      </c>
      <c r="AB32" s="34">
        <f>IF(AND(AB$5&gt;$E32,AB$5&lt;=$F32),IF(AB$5=$E32+1,$C32,""),"")</f>
        <v/>
      </c>
      <c r="AC32" s="34">
        <f>IF(AND(AC$5&gt;$E32,AC$5&lt;=$F32),IF(AC$5=$E32+1,$C32,""),"")</f>
        <v/>
      </c>
      <c r="AD32" s="34">
        <f>IF(AND(AD$5&gt;$E32,AD$5&lt;=$F32),IF(AD$5=$E32+1,$C32,""),"")</f>
        <v/>
      </c>
      <c r="AE32" s="34">
        <f>IF(AND(AE$5&gt;$E32,AE$5&lt;=$F32),IF(AE$5=$E32+1,$C32,""),"")</f>
        <v/>
      </c>
      <c r="AF32" s="34">
        <f>IF(AND(AF$5&gt;$E32,AF$5&lt;=$F32),IF(AF$5=$E32+1,$C32,""),"")</f>
        <v/>
      </c>
      <c r="AG32" s="34">
        <f>IF(AND(AG$5&gt;$E32,AG$5&lt;=$F32),IF(AG$5=$E32+1,$C32,""),"")</f>
        <v/>
      </c>
      <c r="AH32" s="34">
        <f>IF(AND(AH$5&gt;$E32,AH$5&lt;=$F32),IF(AH$5=$E32+1,$C32,""),"")</f>
        <v/>
      </c>
      <c r="AI32" s="34">
        <f>IF(AND(AI$5&gt;$E32,AI$5&lt;=$F32),IF(AI$5=$E32+1,$C32,""),"")</f>
        <v/>
      </c>
      <c r="AJ32" s="34">
        <f>IF(AND(AJ$5&gt;$E32,AJ$5&lt;=$F32),IF(AJ$5=$E32+1,$C32,""),"")</f>
        <v/>
      </c>
      <c r="AK32" s="34">
        <f>IF(AND(AK$5&gt;$E32,AK$5&lt;=$F32),IF(AK$5=$E32+1,$C32,""),"")</f>
        <v/>
      </c>
      <c r="AL32" s="34">
        <f>IF(AND(AL$5&gt;$E32,AL$5&lt;=$F32),IF(AL$5=$E32+1,$C32,""),"")</f>
        <v/>
      </c>
      <c r="AM32" s="34">
        <f>IF(AND(AM$5&gt;$E32,AM$5&lt;=$F32),IF(AM$5=$E32+1,$C32,""),"")</f>
        <v/>
      </c>
      <c r="AN32" s="34">
        <f>IF(AND(AN$5&gt;$E32,AN$5&lt;=$F32),IF(AN$5=$E32+1,$C32,""),"")</f>
        <v/>
      </c>
      <c r="AO32" s="34">
        <f>IF(AND(AO$5&gt;$E32,AO$5&lt;=$F32),IF(AO$5=$E32+1,$C32,""),"")</f>
        <v/>
      </c>
      <c r="AP32" s="34">
        <f>IF(AND(AP$5&gt;$E32,AP$5&lt;=$F32),IF(AP$5=$E32+1,$C32,""),"")</f>
        <v/>
      </c>
      <c r="AQ32" s="34">
        <f>IF(AND(AQ$5&gt;$E32,AQ$5&lt;=$F32),IF(AQ$5=$E32+1,$C32,""),"")</f>
        <v/>
      </c>
      <c r="AR32" s="34">
        <f>IF(AND(AR$5&gt;$E32,AR$5&lt;=$F32),IF(AR$5=$E32+1,$C32,""),"")</f>
        <v/>
      </c>
      <c r="AS32" s="34">
        <f>IF(AND(AS$5&gt;$E32,AS$5&lt;=$F32),IF(AS$5=$E32+1,$C32,""),"")</f>
        <v/>
      </c>
      <c r="AT32" s="34">
        <f>IF(AND(AT$5&gt;$E32,AT$5&lt;=$F32),IF(AT$5=$E32+1,$C32,""),"")</f>
        <v/>
      </c>
      <c r="AU32" s="34">
        <f>IF(AND(AU$5&gt;$E32,AU$5&lt;=$F32),IF(AU$5=$E32+1,$C32,""),"")</f>
        <v/>
      </c>
      <c r="AV32" s="34">
        <f>IF(AND(AV$5&gt;$E32,AV$5&lt;=$F32),IF(AV$5=$E32+1,$C32,""),"")</f>
        <v/>
      </c>
      <c r="AW32" s="34">
        <f>IF(AND(AW$5&gt;$E32,AW$5&lt;=$F32),IF(AW$5=$E32+1,$C32,""),"")</f>
        <v/>
      </c>
      <c r="AX32" s="34">
        <f>IF(AND(AX$5&gt;$E32,AX$5&lt;=$F32),IF(AX$5=$E32+1,$C32,""),"")</f>
        <v/>
      </c>
      <c r="AY32" s="34">
        <f>IF(AND(AY$5&gt;$E32,AY$5&lt;=$F32),IF(AY$5=$E32+1,$C32,""),"")</f>
        <v/>
      </c>
      <c r="AZ32" s="34">
        <f>IF(AND(AZ$5&gt;$E32,AZ$5&lt;=$F32),IF(AZ$5=$E32+1,$C32,""),"")</f>
        <v/>
      </c>
      <c r="BA32" s="34">
        <f>IF(AND(BA$5&gt;$E32,BA$5&lt;=$F32),IF(BA$5=$E32+1,$C32,""),"")</f>
        <v/>
      </c>
      <c r="BB32" s="34">
        <f>IF(AND(BB$5&gt;$E32,BB$5&lt;=$F32),IF(BB$5=$E32+1,$C32,""),"")</f>
        <v/>
      </c>
      <c r="BC32" s="34">
        <f>IF(AND(BC$5&gt;$E32,BC$5&lt;=$F32),IF(BC$5=$E32+1,$C32,""),"")</f>
        <v/>
      </c>
      <c r="BD32" s="34">
        <f>IF(AND(BD$5&gt;$E32,BD$5&lt;=$F32),IF(BD$5=$E32+1,$C32,""),"")</f>
        <v/>
      </c>
      <c r="BE32" s="34">
        <f>IF(AND(BE$5&gt;$E32,BE$5&lt;=$F32),IF(BE$5=$E32+1,$C32,""),"")</f>
        <v/>
      </c>
      <c r="BF32" s="34">
        <f>IF(AND(BF$5&gt;$E32,BF$5&lt;=$F32),IF(BF$5=$E32+1,$C32,""),"")</f>
        <v/>
      </c>
      <c r="BG32" s="34">
        <f>IF(AND(BG$5&gt;$E32,BG$5&lt;=$F32),IF(BG$5=$E32+1,$C32,""),"")</f>
        <v/>
      </c>
      <c r="BH32" s="34">
        <f>IF(AND(BH$5&gt;$E32,BH$5&lt;=$F32),IF(BH$5=$E32+1,$C32,""),"")</f>
        <v/>
      </c>
      <c r="BI32" s="34">
        <f>IF(AND(BI$5&gt;$E32,BI$5&lt;=$F32),IF(BI$5=$E32+1,$C32,""),"")</f>
        <v/>
      </c>
      <c r="BJ32" s="34">
        <f>IF(AND(BJ$5&gt;$E32,BJ$5&lt;=$F32),IF(BJ$5=$E32+1,$C32,""),"")</f>
        <v/>
      </c>
      <c r="BK32" s="34">
        <f>IF(AND(BK$5&gt;$E32,BK$5&lt;=$F32),IF(BK$5=$E32+1,$C32,""),"")</f>
        <v/>
      </c>
      <c r="BL32" s="34">
        <f>IF(AND(BL$5&gt;$E32,BL$5&lt;=$F32),IF(BL$5=$E32+1,$C32,""),"")</f>
        <v/>
      </c>
      <c r="BM32" s="34">
        <f>IF(AND(BM$5&gt;$E32,BM$5&lt;=$F32),IF(BM$5=$E32+1,$C32,""),"")</f>
        <v/>
      </c>
      <c r="BN32" s="34">
        <f>IF(AND(BN$5&gt;$E32,BN$5&lt;=$F32),IF(BN$5=$E32+1,$C32,""),"")</f>
        <v/>
      </c>
      <c r="BO32" s="34">
        <f>IF(AND(BO$5&gt;$E32,BO$5&lt;=$F32),IF(BO$5=$E32+1,$C32,""),"")</f>
        <v/>
      </c>
      <c r="BP32" s="34">
        <f>IF(AND(BP$5&gt;$E32,BP$5&lt;=$F32),IF(BP$5=$E32+1,$C32,""),"")</f>
        <v/>
      </c>
      <c r="BQ32" s="34">
        <f>IF(AND(BQ$5&gt;$E32,BQ$5&lt;=$F32),IF(BQ$5=$E32+1,$C32,""),"")</f>
        <v/>
      </c>
      <c r="BR32" s="34">
        <f>IF(AND(BR$5&gt;$E32,BR$5&lt;=$F32),IF(BR$5=$E32+1,$C32,""),"")</f>
        <v/>
      </c>
      <c r="BS32" s="34">
        <f>IF(AND(BS$5&gt;$E32,BS$5&lt;=$F32),IF(BS$5=$E32+1,$C32,""),"")</f>
        <v/>
      </c>
      <c r="BT32" s="34">
        <f>IF(AND(BT$5&gt;$E32,BT$5&lt;=$F32),IF(BT$5=$E32+1,$C32,""),"")</f>
        <v/>
      </c>
      <c r="BU32" s="34">
        <f>IF(AND(BU$5&gt;$E32,BU$5&lt;=$F32),IF(BU$5=$E32+1,$C32,""),"")</f>
        <v/>
      </c>
      <c r="BV32" s="34">
        <f>IF(AND(BV$5&gt;$E32,BV$5&lt;=$F32),IF(BV$5=$E32+1,$C32,""),"")</f>
        <v/>
      </c>
      <c r="BW32" s="34">
        <f>IF(AND(BW$5&gt;$E32,BW$5&lt;=$F32),IF(BW$5=$E32+1,$C32,""),"")</f>
        <v/>
      </c>
      <c r="BX32" s="34">
        <f>IF(AND(BX$5&gt;$E32,BX$5&lt;=$F32),IF(BX$5=$E32+1,$C32,""),"")</f>
        <v/>
      </c>
      <c r="BY32" s="34">
        <f>IF(AND(BY$5&gt;$E32,BY$5&lt;=$F32),IF(BY$5=$E32+1,$C32,""),"")</f>
        <v/>
      </c>
    </row>
    <row r="33">
      <c r="A33" s="32">
        <f>Plan!A26</f>
        <v/>
      </c>
      <c r="B33" s="33">
        <f>Plan!C26</f>
        <v/>
      </c>
      <c r="C33" s="16">
        <f>Plan!D26</f>
        <v/>
      </c>
      <c r="D33" s="16">
        <f>Plan!I26</f>
        <v/>
      </c>
      <c r="E33" s="16">
        <f>Plan!K26</f>
        <v/>
      </c>
      <c r="F33" s="16">
        <f>Plan!L26</f>
        <v/>
      </c>
      <c r="G33" s="16">
        <f>Plan!O26</f>
        <v/>
      </c>
      <c r="H33" s="34">
        <f>IF(AND(H$5&gt;$E33,H$5&lt;=$F33),IF(H$5=$E33+1,$C33,""),"")</f>
        <v/>
      </c>
      <c r="I33" s="34">
        <f>IF(AND(I$5&gt;$E33,I$5&lt;=$F33),IF(I$5=$E33+1,$C33,""),"")</f>
        <v/>
      </c>
      <c r="J33" s="34">
        <f>IF(AND(J$5&gt;$E33,J$5&lt;=$F33),IF(J$5=$E33+1,$C33,""),"")</f>
        <v/>
      </c>
      <c r="K33" s="34">
        <f>IF(AND(K$5&gt;$E33,K$5&lt;=$F33),IF(K$5=$E33+1,$C33,""),"")</f>
        <v/>
      </c>
      <c r="L33" s="34">
        <f>IF(AND(L$5&gt;$E33,L$5&lt;=$F33),IF(L$5=$E33+1,$C33,""),"")</f>
        <v/>
      </c>
      <c r="M33" s="34">
        <f>IF(AND(M$5&gt;$E33,M$5&lt;=$F33),IF(M$5=$E33+1,$C33,""),"")</f>
        <v/>
      </c>
      <c r="N33" s="34">
        <f>IF(AND(N$5&gt;$E33,N$5&lt;=$F33),IF(N$5=$E33+1,$C33,""),"")</f>
        <v/>
      </c>
      <c r="O33" s="34">
        <f>IF(AND(O$5&gt;$E33,O$5&lt;=$F33),IF(O$5=$E33+1,$C33,""),"")</f>
        <v/>
      </c>
      <c r="P33" s="34">
        <f>IF(AND(P$5&gt;$E33,P$5&lt;=$F33),IF(P$5=$E33+1,$C33,""),"")</f>
        <v/>
      </c>
      <c r="Q33" s="34">
        <f>IF(AND(Q$5&gt;$E33,Q$5&lt;=$F33),IF(Q$5=$E33+1,$C33,""),"")</f>
        <v/>
      </c>
      <c r="R33" s="34">
        <f>IF(AND(R$5&gt;$E33,R$5&lt;=$F33),IF(R$5=$E33+1,$C33,""),"")</f>
        <v/>
      </c>
      <c r="S33" s="34">
        <f>IF(AND(S$5&gt;$E33,S$5&lt;=$F33),IF(S$5=$E33+1,$C33,""),"")</f>
        <v/>
      </c>
      <c r="T33" s="34">
        <f>IF(AND(T$5&gt;$E33,T$5&lt;=$F33),IF(T$5=$E33+1,$C33,""),"")</f>
        <v/>
      </c>
      <c r="U33" s="34">
        <f>IF(AND(U$5&gt;$E33,U$5&lt;=$F33),IF(U$5=$E33+1,$C33,""),"")</f>
        <v/>
      </c>
      <c r="V33" s="34">
        <f>IF(AND(V$5&gt;$E33,V$5&lt;=$F33),IF(V$5=$E33+1,$C33,""),"")</f>
        <v/>
      </c>
      <c r="W33" s="34">
        <f>IF(AND(W$5&gt;$E33,W$5&lt;=$F33),IF(W$5=$E33+1,$C33,""),"")</f>
        <v/>
      </c>
      <c r="X33" s="34">
        <f>IF(AND(X$5&gt;$E33,X$5&lt;=$F33),IF(X$5=$E33+1,$C33,""),"")</f>
        <v/>
      </c>
      <c r="Y33" s="34">
        <f>IF(AND(Y$5&gt;$E33,Y$5&lt;=$F33),IF(Y$5=$E33+1,$C33,""),"")</f>
        <v/>
      </c>
      <c r="Z33" s="34">
        <f>IF(AND(Z$5&gt;$E33,Z$5&lt;=$F33),IF(Z$5=$E33+1,$C33,""),"")</f>
        <v/>
      </c>
      <c r="AA33" s="34">
        <f>IF(AND(AA$5&gt;$E33,AA$5&lt;=$F33),IF(AA$5=$E33+1,$C33,""),"")</f>
        <v/>
      </c>
      <c r="AB33" s="34">
        <f>IF(AND(AB$5&gt;$E33,AB$5&lt;=$F33),IF(AB$5=$E33+1,$C33,""),"")</f>
        <v/>
      </c>
      <c r="AC33" s="34">
        <f>IF(AND(AC$5&gt;$E33,AC$5&lt;=$F33),IF(AC$5=$E33+1,$C33,""),"")</f>
        <v/>
      </c>
      <c r="AD33" s="34">
        <f>IF(AND(AD$5&gt;$E33,AD$5&lt;=$F33),IF(AD$5=$E33+1,$C33,""),"")</f>
        <v/>
      </c>
      <c r="AE33" s="34">
        <f>IF(AND(AE$5&gt;$E33,AE$5&lt;=$F33),IF(AE$5=$E33+1,$C33,""),"")</f>
        <v/>
      </c>
      <c r="AF33" s="34">
        <f>IF(AND(AF$5&gt;$E33,AF$5&lt;=$F33),IF(AF$5=$E33+1,$C33,""),"")</f>
        <v/>
      </c>
      <c r="AG33" s="34">
        <f>IF(AND(AG$5&gt;$E33,AG$5&lt;=$F33),IF(AG$5=$E33+1,$C33,""),"")</f>
        <v/>
      </c>
      <c r="AH33" s="34">
        <f>IF(AND(AH$5&gt;$E33,AH$5&lt;=$F33),IF(AH$5=$E33+1,$C33,""),"")</f>
        <v/>
      </c>
      <c r="AI33" s="34">
        <f>IF(AND(AI$5&gt;$E33,AI$5&lt;=$F33),IF(AI$5=$E33+1,$C33,""),"")</f>
        <v/>
      </c>
      <c r="AJ33" s="34">
        <f>IF(AND(AJ$5&gt;$E33,AJ$5&lt;=$F33),IF(AJ$5=$E33+1,$C33,""),"")</f>
        <v/>
      </c>
      <c r="AK33" s="34">
        <f>IF(AND(AK$5&gt;$E33,AK$5&lt;=$F33),IF(AK$5=$E33+1,$C33,""),"")</f>
        <v/>
      </c>
      <c r="AL33" s="34">
        <f>IF(AND(AL$5&gt;$E33,AL$5&lt;=$F33),IF(AL$5=$E33+1,$C33,""),"")</f>
        <v/>
      </c>
      <c r="AM33" s="34">
        <f>IF(AND(AM$5&gt;$E33,AM$5&lt;=$F33),IF(AM$5=$E33+1,$C33,""),"")</f>
        <v/>
      </c>
      <c r="AN33" s="34">
        <f>IF(AND(AN$5&gt;$E33,AN$5&lt;=$F33),IF(AN$5=$E33+1,$C33,""),"")</f>
        <v/>
      </c>
      <c r="AO33" s="34">
        <f>IF(AND(AO$5&gt;$E33,AO$5&lt;=$F33),IF(AO$5=$E33+1,$C33,""),"")</f>
        <v/>
      </c>
      <c r="AP33" s="34">
        <f>IF(AND(AP$5&gt;$E33,AP$5&lt;=$F33),IF(AP$5=$E33+1,$C33,""),"")</f>
        <v/>
      </c>
      <c r="AQ33" s="34">
        <f>IF(AND(AQ$5&gt;$E33,AQ$5&lt;=$F33),IF(AQ$5=$E33+1,$C33,""),"")</f>
        <v/>
      </c>
      <c r="AR33" s="34">
        <f>IF(AND(AR$5&gt;$E33,AR$5&lt;=$F33),IF(AR$5=$E33+1,$C33,""),"")</f>
        <v/>
      </c>
      <c r="AS33" s="34">
        <f>IF(AND(AS$5&gt;$E33,AS$5&lt;=$F33),IF(AS$5=$E33+1,$C33,""),"")</f>
        <v/>
      </c>
      <c r="AT33" s="34">
        <f>IF(AND(AT$5&gt;$E33,AT$5&lt;=$F33),IF(AT$5=$E33+1,$C33,""),"")</f>
        <v/>
      </c>
      <c r="AU33" s="34">
        <f>IF(AND(AU$5&gt;$E33,AU$5&lt;=$F33),IF(AU$5=$E33+1,$C33,""),"")</f>
        <v/>
      </c>
      <c r="AV33" s="34">
        <f>IF(AND(AV$5&gt;$E33,AV$5&lt;=$F33),IF(AV$5=$E33+1,$C33,""),"")</f>
        <v/>
      </c>
      <c r="AW33" s="34">
        <f>IF(AND(AW$5&gt;$E33,AW$5&lt;=$F33),IF(AW$5=$E33+1,$C33,""),"")</f>
        <v/>
      </c>
      <c r="AX33" s="34">
        <f>IF(AND(AX$5&gt;$E33,AX$5&lt;=$F33),IF(AX$5=$E33+1,$C33,""),"")</f>
        <v/>
      </c>
      <c r="AY33" s="34">
        <f>IF(AND(AY$5&gt;$E33,AY$5&lt;=$F33),IF(AY$5=$E33+1,$C33,""),"")</f>
        <v/>
      </c>
      <c r="AZ33" s="34">
        <f>IF(AND(AZ$5&gt;$E33,AZ$5&lt;=$F33),IF(AZ$5=$E33+1,$C33,""),"")</f>
        <v/>
      </c>
      <c r="BA33" s="34">
        <f>IF(AND(BA$5&gt;$E33,BA$5&lt;=$F33),IF(BA$5=$E33+1,$C33,""),"")</f>
        <v/>
      </c>
      <c r="BB33" s="34">
        <f>IF(AND(BB$5&gt;$E33,BB$5&lt;=$F33),IF(BB$5=$E33+1,$C33,""),"")</f>
        <v/>
      </c>
      <c r="BC33" s="34">
        <f>IF(AND(BC$5&gt;$E33,BC$5&lt;=$F33),IF(BC$5=$E33+1,$C33,""),"")</f>
        <v/>
      </c>
      <c r="BD33" s="34">
        <f>IF(AND(BD$5&gt;$E33,BD$5&lt;=$F33),IF(BD$5=$E33+1,$C33,""),"")</f>
        <v/>
      </c>
      <c r="BE33" s="34">
        <f>IF(AND(BE$5&gt;$E33,BE$5&lt;=$F33),IF(BE$5=$E33+1,$C33,""),"")</f>
        <v/>
      </c>
      <c r="BF33" s="34">
        <f>IF(AND(BF$5&gt;$E33,BF$5&lt;=$F33),IF(BF$5=$E33+1,$C33,""),"")</f>
        <v/>
      </c>
      <c r="BG33" s="34">
        <f>IF(AND(BG$5&gt;$E33,BG$5&lt;=$F33),IF(BG$5=$E33+1,$C33,""),"")</f>
        <v/>
      </c>
      <c r="BH33" s="34">
        <f>IF(AND(BH$5&gt;$E33,BH$5&lt;=$F33),IF(BH$5=$E33+1,$C33,""),"")</f>
        <v/>
      </c>
      <c r="BI33" s="34">
        <f>IF(AND(BI$5&gt;$E33,BI$5&lt;=$F33),IF(BI$5=$E33+1,$C33,""),"")</f>
        <v/>
      </c>
      <c r="BJ33" s="34">
        <f>IF(AND(BJ$5&gt;$E33,BJ$5&lt;=$F33),IF(BJ$5=$E33+1,$C33,""),"")</f>
        <v/>
      </c>
      <c r="BK33" s="34">
        <f>IF(AND(BK$5&gt;$E33,BK$5&lt;=$F33),IF(BK$5=$E33+1,$C33,""),"")</f>
        <v/>
      </c>
      <c r="BL33" s="34">
        <f>IF(AND(BL$5&gt;$E33,BL$5&lt;=$F33),IF(BL$5=$E33+1,$C33,""),"")</f>
        <v/>
      </c>
      <c r="BM33" s="34">
        <f>IF(AND(BM$5&gt;$E33,BM$5&lt;=$F33),IF(BM$5=$E33+1,$C33,""),"")</f>
        <v/>
      </c>
      <c r="BN33" s="34">
        <f>IF(AND(BN$5&gt;$E33,BN$5&lt;=$F33),IF(BN$5=$E33+1,$C33,""),"")</f>
        <v/>
      </c>
      <c r="BO33" s="34">
        <f>IF(AND(BO$5&gt;$E33,BO$5&lt;=$F33),IF(BO$5=$E33+1,$C33,""),"")</f>
        <v/>
      </c>
      <c r="BP33" s="34">
        <f>IF(AND(BP$5&gt;$E33,BP$5&lt;=$F33),IF(BP$5=$E33+1,$C33,""),"")</f>
        <v/>
      </c>
      <c r="BQ33" s="34">
        <f>IF(AND(BQ$5&gt;$E33,BQ$5&lt;=$F33),IF(BQ$5=$E33+1,$C33,""),"")</f>
        <v/>
      </c>
      <c r="BR33" s="34">
        <f>IF(AND(BR$5&gt;$E33,BR$5&lt;=$F33),IF(BR$5=$E33+1,$C33,""),"")</f>
        <v/>
      </c>
      <c r="BS33" s="34">
        <f>IF(AND(BS$5&gt;$E33,BS$5&lt;=$F33),IF(BS$5=$E33+1,$C33,""),"")</f>
        <v/>
      </c>
      <c r="BT33" s="34">
        <f>IF(AND(BT$5&gt;$E33,BT$5&lt;=$F33),IF(BT$5=$E33+1,$C33,""),"")</f>
        <v/>
      </c>
      <c r="BU33" s="34">
        <f>IF(AND(BU$5&gt;$E33,BU$5&lt;=$F33),IF(BU$5=$E33+1,$C33,""),"")</f>
        <v/>
      </c>
      <c r="BV33" s="34">
        <f>IF(AND(BV$5&gt;$E33,BV$5&lt;=$F33),IF(BV$5=$E33+1,$C33,""),"")</f>
        <v/>
      </c>
      <c r="BW33" s="34">
        <f>IF(AND(BW$5&gt;$E33,BW$5&lt;=$F33),IF(BW$5=$E33+1,$C33,""),"")</f>
        <v/>
      </c>
      <c r="BX33" s="34">
        <f>IF(AND(BX$5&gt;$E33,BX$5&lt;=$F33),IF(BX$5=$E33+1,$C33,""),"")</f>
        <v/>
      </c>
      <c r="BY33" s="34">
        <f>IF(AND(BY$5&gt;$E33,BY$5&lt;=$F33),IF(BY$5=$E33+1,$C33,""),"")</f>
        <v/>
      </c>
    </row>
    <row r="34">
      <c r="A34" s="32">
        <f>Plan!A27</f>
        <v/>
      </c>
      <c r="B34" s="33">
        <f>Plan!C27</f>
        <v/>
      </c>
      <c r="C34" s="16">
        <f>Plan!D27</f>
        <v/>
      </c>
      <c r="D34" s="16">
        <f>Plan!I27</f>
        <v/>
      </c>
      <c r="E34" s="16">
        <f>Plan!K27</f>
        <v/>
      </c>
      <c r="F34" s="16">
        <f>Plan!L27</f>
        <v/>
      </c>
      <c r="G34" s="16">
        <f>Plan!O27</f>
        <v/>
      </c>
      <c r="H34" s="34">
        <f>IF(AND(H$5&gt;$E34,H$5&lt;=$F34),IF(H$5=$E34+1,$C34,""),"")</f>
        <v/>
      </c>
      <c r="I34" s="34">
        <f>IF(AND(I$5&gt;$E34,I$5&lt;=$F34),IF(I$5=$E34+1,$C34,""),"")</f>
        <v/>
      </c>
      <c r="J34" s="34">
        <f>IF(AND(J$5&gt;$E34,J$5&lt;=$F34),IF(J$5=$E34+1,$C34,""),"")</f>
        <v/>
      </c>
      <c r="K34" s="34">
        <f>IF(AND(K$5&gt;$E34,K$5&lt;=$F34),IF(K$5=$E34+1,$C34,""),"")</f>
        <v/>
      </c>
      <c r="L34" s="34">
        <f>IF(AND(L$5&gt;$E34,L$5&lt;=$F34),IF(L$5=$E34+1,$C34,""),"")</f>
        <v/>
      </c>
      <c r="M34" s="34">
        <f>IF(AND(M$5&gt;$E34,M$5&lt;=$F34),IF(M$5=$E34+1,$C34,""),"")</f>
        <v/>
      </c>
      <c r="N34" s="34">
        <f>IF(AND(N$5&gt;$E34,N$5&lt;=$F34),IF(N$5=$E34+1,$C34,""),"")</f>
        <v/>
      </c>
      <c r="O34" s="34">
        <f>IF(AND(O$5&gt;$E34,O$5&lt;=$F34),IF(O$5=$E34+1,$C34,""),"")</f>
        <v/>
      </c>
      <c r="P34" s="34">
        <f>IF(AND(P$5&gt;$E34,P$5&lt;=$F34),IF(P$5=$E34+1,$C34,""),"")</f>
        <v/>
      </c>
      <c r="Q34" s="34">
        <f>IF(AND(Q$5&gt;$E34,Q$5&lt;=$F34),IF(Q$5=$E34+1,$C34,""),"")</f>
        <v/>
      </c>
      <c r="R34" s="34">
        <f>IF(AND(R$5&gt;$E34,R$5&lt;=$F34),IF(R$5=$E34+1,$C34,""),"")</f>
        <v/>
      </c>
      <c r="S34" s="34">
        <f>IF(AND(S$5&gt;$E34,S$5&lt;=$F34),IF(S$5=$E34+1,$C34,""),"")</f>
        <v/>
      </c>
      <c r="T34" s="34">
        <f>IF(AND(T$5&gt;$E34,T$5&lt;=$F34),IF(T$5=$E34+1,$C34,""),"")</f>
        <v/>
      </c>
      <c r="U34" s="34">
        <f>IF(AND(U$5&gt;$E34,U$5&lt;=$F34),IF(U$5=$E34+1,$C34,""),"")</f>
        <v/>
      </c>
      <c r="V34" s="34">
        <f>IF(AND(V$5&gt;$E34,V$5&lt;=$F34),IF(V$5=$E34+1,$C34,""),"")</f>
        <v/>
      </c>
      <c r="W34" s="34">
        <f>IF(AND(W$5&gt;$E34,W$5&lt;=$F34),IF(W$5=$E34+1,$C34,""),"")</f>
        <v/>
      </c>
      <c r="X34" s="34">
        <f>IF(AND(X$5&gt;$E34,X$5&lt;=$F34),IF(X$5=$E34+1,$C34,""),"")</f>
        <v/>
      </c>
      <c r="Y34" s="34">
        <f>IF(AND(Y$5&gt;$E34,Y$5&lt;=$F34),IF(Y$5=$E34+1,$C34,""),"")</f>
        <v/>
      </c>
      <c r="Z34" s="34">
        <f>IF(AND(Z$5&gt;$E34,Z$5&lt;=$F34),IF(Z$5=$E34+1,$C34,""),"")</f>
        <v/>
      </c>
      <c r="AA34" s="34">
        <f>IF(AND(AA$5&gt;$E34,AA$5&lt;=$F34),IF(AA$5=$E34+1,$C34,""),"")</f>
        <v/>
      </c>
      <c r="AB34" s="34">
        <f>IF(AND(AB$5&gt;$E34,AB$5&lt;=$F34),IF(AB$5=$E34+1,$C34,""),"")</f>
        <v/>
      </c>
      <c r="AC34" s="34">
        <f>IF(AND(AC$5&gt;$E34,AC$5&lt;=$F34),IF(AC$5=$E34+1,$C34,""),"")</f>
        <v/>
      </c>
      <c r="AD34" s="34">
        <f>IF(AND(AD$5&gt;$E34,AD$5&lt;=$F34),IF(AD$5=$E34+1,$C34,""),"")</f>
        <v/>
      </c>
      <c r="AE34" s="34">
        <f>IF(AND(AE$5&gt;$E34,AE$5&lt;=$F34),IF(AE$5=$E34+1,$C34,""),"")</f>
        <v/>
      </c>
      <c r="AF34" s="34">
        <f>IF(AND(AF$5&gt;$E34,AF$5&lt;=$F34),IF(AF$5=$E34+1,$C34,""),"")</f>
        <v/>
      </c>
      <c r="AG34" s="34">
        <f>IF(AND(AG$5&gt;$E34,AG$5&lt;=$F34),IF(AG$5=$E34+1,$C34,""),"")</f>
        <v/>
      </c>
      <c r="AH34" s="34">
        <f>IF(AND(AH$5&gt;$E34,AH$5&lt;=$F34),IF(AH$5=$E34+1,$C34,""),"")</f>
        <v/>
      </c>
      <c r="AI34" s="34">
        <f>IF(AND(AI$5&gt;$E34,AI$5&lt;=$F34),IF(AI$5=$E34+1,$C34,""),"")</f>
        <v/>
      </c>
      <c r="AJ34" s="34">
        <f>IF(AND(AJ$5&gt;$E34,AJ$5&lt;=$F34),IF(AJ$5=$E34+1,$C34,""),"")</f>
        <v/>
      </c>
      <c r="AK34" s="34">
        <f>IF(AND(AK$5&gt;$E34,AK$5&lt;=$F34),IF(AK$5=$E34+1,$C34,""),"")</f>
        <v/>
      </c>
      <c r="AL34" s="34">
        <f>IF(AND(AL$5&gt;$E34,AL$5&lt;=$F34),IF(AL$5=$E34+1,$C34,""),"")</f>
        <v/>
      </c>
      <c r="AM34" s="34">
        <f>IF(AND(AM$5&gt;$E34,AM$5&lt;=$F34),IF(AM$5=$E34+1,$C34,""),"")</f>
        <v/>
      </c>
      <c r="AN34" s="34">
        <f>IF(AND(AN$5&gt;$E34,AN$5&lt;=$F34),IF(AN$5=$E34+1,$C34,""),"")</f>
        <v/>
      </c>
      <c r="AO34" s="34">
        <f>IF(AND(AO$5&gt;$E34,AO$5&lt;=$F34),IF(AO$5=$E34+1,$C34,""),"")</f>
        <v/>
      </c>
      <c r="AP34" s="34">
        <f>IF(AND(AP$5&gt;$E34,AP$5&lt;=$F34),IF(AP$5=$E34+1,$C34,""),"")</f>
        <v/>
      </c>
      <c r="AQ34" s="34">
        <f>IF(AND(AQ$5&gt;$E34,AQ$5&lt;=$F34),IF(AQ$5=$E34+1,$C34,""),"")</f>
        <v/>
      </c>
      <c r="AR34" s="34">
        <f>IF(AND(AR$5&gt;$E34,AR$5&lt;=$F34),IF(AR$5=$E34+1,$C34,""),"")</f>
        <v/>
      </c>
      <c r="AS34" s="34">
        <f>IF(AND(AS$5&gt;$E34,AS$5&lt;=$F34),IF(AS$5=$E34+1,$C34,""),"")</f>
        <v/>
      </c>
      <c r="AT34" s="34">
        <f>IF(AND(AT$5&gt;$E34,AT$5&lt;=$F34),IF(AT$5=$E34+1,$C34,""),"")</f>
        <v/>
      </c>
      <c r="AU34" s="34">
        <f>IF(AND(AU$5&gt;$E34,AU$5&lt;=$F34),IF(AU$5=$E34+1,$C34,""),"")</f>
        <v/>
      </c>
      <c r="AV34" s="34">
        <f>IF(AND(AV$5&gt;$E34,AV$5&lt;=$F34),IF(AV$5=$E34+1,$C34,""),"")</f>
        <v/>
      </c>
      <c r="AW34" s="34">
        <f>IF(AND(AW$5&gt;$E34,AW$5&lt;=$F34),IF(AW$5=$E34+1,$C34,""),"")</f>
        <v/>
      </c>
      <c r="AX34" s="34">
        <f>IF(AND(AX$5&gt;$E34,AX$5&lt;=$F34),IF(AX$5=$E34+1,$C34,""),"")</f>
        <v/>
      </c>
      <c r="AY34" s="34">
        <f>IF(AND(AY$5&gt;$E34,AY$5&lt;=$F34),IF(AY$5=$E34+1,$C34,""),"")</f>
        <v/>
      </c>
      <c r="AZ34" s="34">
        <f>IF(AND(AZ$5&gt;$E34,AZ$5&lt;=$F34),IF(AZ$5=$E34+1,$C34,""),"")</f>
        <v/>
      </c>
      <c r="BA34" s="34">
        <f>IF(AND(BA$5&gt;$E34,BA$5&lt;=$F34),IF(BA$5=$E34+1,$C34,""),"")</f>
        <v/>
      </c>
      <c r="BB34" s="34">
        <f>IF(AND(BB$5&gt;$E34,BB$5&lt;=$F34),IF(BB$5=$E34+1,$C34,""),"")</f>
        <v/>
      </c>
      <c r="BC34" s="34">
        <f>IF(AND(BC$5&gt;$E34,BC$5&lt;=$F34),IF(BC$5=$E34+1,$C34,""),"")</f>
        <v/>
      </c>
      <c r="BD34" s="34">
        <f>IF(AND(BD$5&gt;$E34,BD$5&lt;=$F34),IF(BD$5=$E34+1,$C34,""),"")</f>
        <v/>
      </c>
      <c r="BE34" s="34">
        <f>IF(AND(BE$5&gt;$E34,BE$5&lt;=$F34),IF(BE$5=$E34+1,$C34,""),"")</f>
        <v/>
      </c>
      <c r="BF34" s="34">
        <f>IF(AND(BF$5&gt;$E34,BF$5&lt;=$F34),IF(BF$5=$E34+1,$C34,""),"")</f>
        <v/>
      </c>
      <c r="BG34" s="34">
        <f>IF(AND(BG$5&gt;$E34,BG$5&lt;=$F34),IF(BG$5=$E34+1,$C34,""),"")</f>
        <v/>
      </c>
      <c r="BH34" s="34">
        <f>IF(AND(BH$5&gt;$E34,BH$5&lt;=$F34),IF(BH$5=$E34+1,$C34,""),"")</f>
        <v/>
      </c>
      <c r="BI34" s="34">
        <f>IF(AND(BI$5&gt;$E34,BI$5&lt;=$F34),IF(BI$5=$E34+1,$C34,""),"")</f>
        <v/>
      </c>
      <c r="BJ34" s="34">
        <f>IF(AND(BJ$5&gt;$E34,BJ$5&lt;=$F34),IF(BJ$5=$E34+1,$C34,""),"")</f>
        <v/>
      </c>
      <c r="BK34" s="34">
        <f>IF(AND(BK$5&gt;$E34,BK$5&lt;=$F34),IF(BK$5=$E34+1,$C34,""),"")</f>
        <v/>
      </c>
      <c r="BL34" s="34">
        <f>IF(AND(BL$5&gt;$E34,BL$5&lt;=$F34),IF(BL$5=$E34+1,$C34,""),"")</f>
        <v/>
      </c>
      <c r="BM34" s="34">
        <f>IF(AND(BM$5&gt;$E34,BM$5&lt;=$F34),IF(BM$5=$E34+1,$C34,""),"")</f>
        <v/>
      </c>
      <c r="BN34" s="34">
        <f>IF(AND(BN$5&gt;$E34,BN$5&lt;=$F34),IF(BN$5=$E34+1,$C34,""),"")</f>
        <v/>
      </c>
      <c r="BO34" s="34">
        <f>IF(AND(BO$5&gt;$E34,BO$5&lt;=$F34),IF(BO$5=$E34+1,$C34,""),"")</f>
        <v/>
      </c>
      <c r="BP34" s="34">
        <f>IF(AND(BP$5&gt;$E34,BP$5&lt;=$F34),IF(BP$5=$E34+1,$C34,""),"")</f>
        <v/>
      </c>
      <c r="BQ34" s="34">
        <f>IF(AND(BQ$5&gt;$E34,BQ$5&lt;=$F34),IF(BQ$5=$E34+1,$C34,""),"")</f>
        <v/>
      </c>
      <c r="BR34" s="34">
        <f>IF(AND(BR$5&gt;$E34,BR$5&lt;=$F34),IF(BR$5=$E34+1,$C34,""),"")</f>
        <v/>
      </c>
      <c r="BS34" s="34">
        <f>IF(AND(BS$5&gt;$E34,BS$5&lt;=$F34),IF(BS$5=$E34+1,$C34,""),"")</f>
        <v/>
      </c>
      <c r="BT34" s="34">
        <f>IF(AND(BT$5&gt;$E34,BT$5&lt;=$F34),IF(BT$5=$E34+1,$C34,""),"")</f>
        <v/>
      </c>
      <c r="BU34" s="34">
        <f>IF(AND(BU$5&gt;$E34,BU$5&lt;=$F34),IF(BU$5=$E34+1,$C34,""),"")</f>
        <v/>
      </c>
      <c r="BV34" s="34">
        <f>IF(AND(BV$5&gt;$E34,BV$5&lt;=$F34),IF(BV$5=$E34+1,$C34,""),"")</f>
        <v/>
      </c>
      <c r="BW34" s="34">
        <f>IF(AND(BW$5&gt;$E34,BW$5&lt;=$F34),IF(BW$5=$E34+1,$C34,""),"")</f>
        <v/>
      </c>
      <c r="BX34" s="34">
        <f>IF(AND(BX$5&gt;$E34,BX$5&lt;=$F34),IF(BX$5=$E34+1,$C34,""),"")</f>
        <v/>
      </c>
      <c r="BY34" s="34">
        <f>IF(AND(BY$5&gt;$E34,BY$5&lt;=$F34),IF(BY$5=$E34+1,$C34,""),"")</f>
        <v/>
      </c>
    </row>
    <row r="35">
      <c r="A35" s="32">
        <f>Plan!A28</f>
        <v/>
      </c>
      <c r="B35" s="33">
        <f>Plan!C28</f>
        <v/>
      </c>
      <c r="C35" s="16">
        <f>Plan!D28</f>
        <v/>
      </c>
      <c r="D35" s="16">
        <f>Plan!I28</f>
        <v/>
      </c>
      <c r="E35" s="16">
        <f>Plan!K28</f>
        <v/>
      </c>
      <c r="F35" s="16">
        <f>Plan!L28</f>
        <v/>
      </c>
      <c r="G35" s="16">
        <f>Plan!O28</f>
        <v/>
      </c>
      <c r="H35" s="34">
        <f>IF(AND(H$5&gt;$E35,H$5&lt;=$F35),IF(H$5=$E35+1,$C35,""),"")</f>
        <v/>
      </c>
      <c r="I35" s="34">
        <f>IF(AND(I$5&gt;$E35,I$5&lt;=$F35),IF(I$5=$E35+1,$C35,""),"")</f>
        <v/>
      </c>
      <c r="J35" s="34">
        <f>IF(AND(J$5&gt;$E35,J$5&lt;=$F35),IF(J$5=$E35+1,$C35,""),"")</f>
        <v/>
      </c>
      <c r="K35" s="34">
        <f>IF(AND(K$5&gt;$E35,K$5&lt;=$F35),IF(K$5=$E35+1,$C35,""),"")</f>
        <v/>
      </c>
      <c r="L35" s="34">
        <f>IF(AND(L$5&gt;$E35,L$5&lt;=$F35),IF(L$5=$E35+1,$C35,""),"")</f>
        <v/>
      </c>
      <c r="M35" s="34">
        <f>IF(AND(M$5&gt;$E35,M$5&lt;=$F35),IF(M$5=$E35+1,$C35,""),"")</f>
        <v/>
      </c>
      <c r="N35" s="34">
        <f>IF(AND(N$5&gt;$E35,N$5&lt;=$F35),IF(N$5=$E35+1,$C35,""),"")</f>
        <v/>
      </c>
      <c r="O35" s="34">
        <f>IF(AND(O$5&gt;$E35,O$5&lt;=$F35),IF(O$5=$E35+1,$C35,""),"")</f>
        <v/>
      </c>
      <c r="P35" s="34">
        <f>IF(AND(P$5&gt;$E35,P$5&lt;=$F35),IF(P$5=$E35+1,$C35,""),"")</f>
        <v/>
      </c>
      <c r="Q35" s="34">
        <f>IF(AND(Q$5&gt;$E35,Q$5&lt;=$F35),IF(Q$5=$E35+1,$C35,""),"")</f>
        <v/>
      </c>
      <c r="R35" s="34">
        <f>IF(AND(R$5&gt;$E35,R$5&lt;=$F35),IF(R$5=$E35+1,$C35,""),"")</f>
        <v/>
      </c>
      <c r="S35" s="34">
        <f>IF(AND(S$5&gt;$E35,S$5&lt;=$F35),IF(S$5=$E35+1,$C35,""),"")</f>
        <v/>
      </c>
      <c r="T35" s="34">
        <f>IF(AND(T$5&gt;$E35,T$5&lt;=$F35),IF(T$5=$E35+1,$C35,""),"")</f>
        <v/>
      </c>
      <c r="U35" s="34">
        <f>IF(AND(U$5&gt;$E35,U$5&lt;=$F35),IF(U$5=$E35+1,$C35,""),"")</f>
        <v/>
      </c>
      <c r="V35" s="34">
        <f>IF(AND(V$5&gt;$E35,V$5&lt;=$F35),IF(V$5=$E35+1,$C35,""),"")</f>
        <v/>
      </c>
      <c r="W35" s="34">
        <f>IF(AND(W$5&gt;$E35,W$5&lt;=$F35),IF(W$5=$E35+1,$C35,""),"")</f>
        <v/>
      </c>
      <c r="X35" s="34">
        <f>IF(AND(X$5&gt;$E35,X$5&lt;=$F35),IF(X$5=$E35+1,$C35,""),"")</f>
        <v/>
      </c>
      <c r="Y35" s="34">
        <f>IF(AND(Y$5&gt;$E35,Y$5&lt;=$F35),IF(Y$5=$E35+1,$C35,""),"")</f>
        <v/>
      </c>
      <c r="Z35" s="34">
        <f>IF(AND(Z$5&gt;$E35,Z$5&lt;=$F35),IF(Z$5=$E35+1,$C35,""),"")</f>
        <v/>
      </c>
      <c r="AA35" s="34">
        <f>IF(AND(AA$5&gt;$E35,AA$5&lt;=$F35),IF(AA$5=$E35+1,$C35,""),"")</f>
        <v/>
      </c>
      <c r="AB35" s="34">
        <f>IF(AND(AB$5&gt;$E35,AB$5&lt;=$F35),IF(AB$5=$E35+1,$C35,""),"")</f>
        <v/>
      </c>
      <c r="AC35" s="34">
        <f>IF(AND(AC$5&gt;$E35,AC$5&lt;=$F35),IF(AC$5=$E35+1,$C35,""),"")</f>
        <v/>
      </c>
      <c r="AD35" s="34">
        <f>IF(AND(AD$5&gt;$E35,AD$5&lt;=$F35),IF(AD$5=$E35+1,$C35,""),"")</f>
        <v/>
      </c>
      <c r="AE35" s="34">
        <f>IF(AND(AE$5&gt;$E35,AE$5&lt;=$F35),IF(AE$5=$E35+1,$C35,""),"")</f>
        <v/>
      </c>
      <c r="AF35" s="34">
        <f>IF(AND(AF$5&gt;$E35,AF$5&lt;=$F35),IF(AF$5=$E35+1,$C35,""),"")</f>
        <v/>
      </c>
      <c r="AG35" s="34">
        <f>IF(AND(AG$5&gt;$E35,AG$5&lt;=$F35),IF(AG$5=$E35+1,$C35,""),"")</f>
        <v/>
      </c>
      <c r="AH35" s="34">
        <f>IF(AND(AH$5&gt;$E35,AH$5&lt;=$F35),IF(AH$5=$E35+1,$C35,""),"")</f>
        <v/>
      </c>
      <c r="AI35" s="34">
        <f>IF(AND(AI$5&gt;$E35,AI$5&lt;=$F35),IF(AI$5=$E35+1,$C35,""),"")</f>
        <v/>
      </c>
      <c r="AJ35" s="34">
        <f>IF(AND(AJ$5&gt;$E35,AJ$5&lt;=$F35),IF(AJ$5=$E35+1,$C35,""),"")</f>
        <v/>
      </c>
      <c r="AK35" s="34">
        <f>IF(AND(AK$5&gt;$E35,AK$5&lt;=$F35),IF(AK$5=$E35+1,$C35,""),"")</f>
        <v/>
      </c>
      <c r="AL35" s="34">
        <f>IF(AND(AL$5&gt;$E35,AL$5&lt;=$F35),IF(AL$5=$E35+1,$C35,""),"")</f>
        <v/>
      </c>
      <c r="AM35" s="34">
        <f>IF(AND(AM$5&gt;$E35,AM$5&lt;=$F35),IF(AM$5=$E35+1,$C35,""),"")</f>
        <v/>
      </c>
      <c r="AN35" s="34">
        <f>IF(AND(AN$5&gt;$E35,AN$5&lt;=$F35),IF(AN$5=$E35+1,$C35,""),"")</f>
        <v/>
      </c>
      <c r="AO35" s="34">
        <f>IF(AND(AO$5&gt;$E35,AO$5&lt;=$F35),IF(AO$5=$E35+1,$C35,""),"")</f>
        <v/>
      </c>
      <c r="AP35" s="34">
        <f>IF(AND(AP$5&gt;$E35,AP$5&lt;=$F35),IF(AP$5=$E35+1,$C35,""),"")</f>
        <v/>
      </c>
      <c r="AQ35" s="34">
        <f>IF(AND(AQ$5&gt;$E35,AQ$5&lt;=$F35),IF(AQ$5=$E35+1,$C35,""),"")</f>
        <v/>
      </c>
      <c r="AR35" s="34">
        <f>IF(AND(AR$5&gt;$E35,AR$5&lt;=$F35),IF(AR$5=$E35+1,$C35,""),"")</f>
        <v/>
      </c>
      <c r="AS35" s="34">
        <f>IF(AND(AS$5&gt;$E35,AS$5&lt;=$F35),IF(AS$5=$E35+1,$C35,""),"")</f>
        <v/>
      </c>
      <c r="AT35" s="34">
        <f>IF(AND(AT$5&gt;$E35,AT$5&lt;=$F35),IF(AT$5=$E35+1,$C35,""),"")</f>
        <v/>
      </c>
      <c r="AU35" s="34">
        <f>IF(AND(AU$5&gt;$E35,AU$5&lt;=$F35),IF(AU$5=$E35+1,$C35,""),"")</f>
        <v/>
      </c>
      <c r="AV35" s="34">
        <f>IF(AND(AV$5&gt;$E35,AV$5&lt;=$F35),IF(AV$5=$E35+1,$C35,""),"")</f>
        <v/>
      </c>
      <c r="AW35" s="34">
        <f>IF(AND(AW$5&gt;$E35,AW$5&lt;=$F35),IF(AW$5=$E35+1,$C35,""),"")</f>
        <v/>
      </c>
      <c r="AX35" s="34">
        <f>IF(AND(AX$5&gt;$E35,AX$5&lt;=$F35),IF(AX$5=$E35+1,$C35,""),"")</f>
        <v/>
      </c>
      <c r="AY35" s="34">
        <f>IF(AND(AY$5&gt;$E35,AY$5&lt;=$F35),IF(AY$5=$E35+1,$C35,""),"")</f>
        <v/>
      </c>
      <c r="AZ35" s="34">
        <f>IF(AND(AZ$5&gt;$E35,AZ$5&lt;=$F35),IF(AZ$5=$E35+1,$C35,""),"")</f>
        <v/>
      </c>
      <c r="BA35" s="34">
        <f>IF(AND(BA$5&gt;$E35,BA$5&lt;=$F35),IF(BA$5=$E35+1,$C35,""),"")</f>
        <v/>
      </c>
      <c r="BB35" s="34">
        <f>IF(AND(BB$5&gt;$E35,BB$5&lt;=$F35),IF(BB$5=$E35+1,$C35,""),"")</f>
        <v/>
      </c>
      <c r="BC35" s="34">
        <f>IF(AND(BC$5&gt;$E35,BC$5&lt;=$F35),IF(BC$5=$E35+1,$C35,""),"")</f>
        <v/>
      </c>
      <c r="BD35" s="34">
        <f>IF(AND(BD$5&gt;$E35,BD$5&lt;=$F35),IF(BD$5=$E35+1,$C35,""),"")</f>
        <v/>
      </c>
      <c r="BE35" s="34">
        <f>IF(AND(BE$5&gt;$E35,BE$5&lt;=$F35),IF(BE$5=$E35+1,$C35,""),"")</f>
        <v/>
      </c>
      <c r="BF35" s="34">
        <f>IF(AND(BF$5&gt;$E35,BF$5&lt;=$F35),IF(BF$5=$E35+1,$C35,""),"")</f>
        <v/>
      </c>
      <c r="BG35" s="34">
        <f>IF(AND(BG$5&gt;$E35,BG$5&lt;=$F35),IF(BG$5=$E35+1,$C35,""),"")</f>
        <v/>
      </c>
      <c r="BH35" s="34">
        <f>IF(AND(BH$5&gt;$E35,BH$5&lt;=$F35),IF(BH$5=$E35+1,$C35,""),"")</f>
        <v/>
      </c>
      <c r="BI35" s="34">
        <f>IF(AND(BI$5&gt;$E35,BI$5&lt;=$F35),IF(BI$5=$E35+1,$C35,""),"")</f>
        <v/>
      </c>
      <c r="BJ35" s="34">
        <f>IF(AND(BJ$5&gt;$E35,BJ$5&lt;=$F35),IF(BJ$5=$E35+1,$C35,""),"")</f>
        <v/>
      </c>
      <c r="BK35" s="34">
        <f>IF(AND(BK$5&gt;$E35,BK$5&lt;=$F35),IF(BK$5=$E35+1,$C35,""),"")</f>
        <v/>
      </c>
      <c r="BL35" s="34">
        <f>IF(AND(BL$5&gt;$E35,BL$5&lt;=$F35),IF(BL$5=$E35+1,$C35,""),"")</f>
        <v/>
      </c>
      <c r="BM35" s="34">
        <f>IF(AND(BM$5&gt;$E35,BM$5&lt;=$F35),IF(BM$5=$E35+1,$C35,""),"")</f>
        <v/>
      </c>
      <c r="BN35" s="34">
        <f>IF(AND(BN$5&gt;$E35,BN$5&lt;=$F35),IF(BN$5=$E35+1,$C35,""),"")</f>
        <v/>
      </c>
      <c r="BO35" s="34">
        <f>IF(AND(BO$5&gt;$E35,BO$5&lt;=$F35),IF(BO$5=$E35+1,$C35,""),"")</f>
        <v/>
      </c>
      <c r="BP35" s="34">
        <f>IF(AND(BP$5&gt;$E35,BP$5&lt;=$F35),IF(BP$5=$E35+1,$C35,""),"")</f>
        <v/>
      </c>
      <c r="BQ35" s="34">
        <f>IF(AND(BQ$5&gt;$E35,BQ$5&lt;=$F35),IF(BQ$5=$E35+1,$C35,""),"")</f>
        <v/>
      </c>
      <c r="BR35" s="34">
        <f>IF(AND(BR$5&gt;$E35,BR$5&lt;=$F35),IF(BR$5=$E35+1,$C35,""),"")</f>
        <v/>
      </c>
      <c r="BS35" s="34">
        <f>IF(AND(BS$5&gt;$E35,BS$5&lt;=$F35),IF(BS$5=$E35+1,$C35,""),"")</f>
        <v/>
      </c>
      <c r="BT35" s="34">
        <f>IF(AND(BT$5&gt;$E35,BT$5&lt;=$F35),IF(BT$5=$E35+1,$C35,""),"")</f>
        <v/>
      </c>
      <c r="BU35" s="34">
        <f>IF(AND(BU$5&gt;$E35,BU$5&lt;=$F35),IF(BU$5=$E35+1,$C35,""),"")</f>
        <v/>
      </c>
      <c r="BV35" s="34">
        <f>IF(AND(BV$5&gt;$E35,BV$5&lt;=$F35),IF(BV$5=$E35+1,$C35,""),"")</f>
        <v/>
      </c>
      <c r="BW35" s="34">
        <f>IF(AND(BW$5&gt;$E35,BW$5&lt;=$F35),IF(BW$5=$E35+1,$C35,""),"")</f>
        <v/>
      </c>
      <c r="BX35" s="34">
        <f>IF(AND(BX$5&gt;$E35,BX$5&lt;=$F35),IF(BX$5=$E35+1,$C35,""),"")</f>
        <v/>
      </c>
      <c r="BY35" s="34">
        <f>IF(AND(BY$5&gt;$E35,BY$5&lt;=$F35),IF(BY$5=$E35+1,$C35,""),"")</f>
        <v/>
      </c>
    </row>
    <row r="36">
      <c r="A36" s="32">
        <f>Plan!A29</f>
        <v/>
      </c>
      <c r="B36" s="33">
        <f>Plan!C29</f>
        <v/>
      </c>
      <c r="C36" s="16">
        <f>Plan!D29</f>
        <v/>
      </c>
      <c r="D36" s="16">
        <f>Plan!I29</f>
        <v/>
      </c>
      <c r="E36" s="16">
        <f>Plan!K29</f>
        <v/>
      </c>
      <c r="F36" s="16">
        <f>Plan!L29</f>
        <v/>
      </c>
      <c r="G36" s="16">
        <f>Plan!O29</f>
        <v/>
      </c>
      <c r="H36" s="34">
        <f>IF(AND(H$5&gt;$E36,H$5&lt;=$F36),IF(H$5=$E36+1,$C36,""),"")</f>
        <v/>
      </c>
      <c r="I36" s="34">
        <f>IF(AND(I$5&gt;$E36,I$5&lt;=$F36),IF(I$5=$E36+1,$C36,""),"")</f>
        <v/>
      </c>
      <c r="J36" s="34">
        <f>IF(AND(J$5&gt;$E36,J$5&lt;=$F36),IF(J$5=$E36+1,$C36,""),"")</f>
        <v/>
      </c>
      <c r="K36" s="34">
        <f>IF(AND(K$5&gt;$E36,K$5&lt;=$F36),IF(K$5=$E36+1,$C36,""),"")</f>
        <v/>
      </c>
      <c r="L36" s="34">
        <f>IF(AND(L$5&gt;$E36,L$5&lt;=$F36),IF(L$5=$E36+1,$C36,""),"")</f>
        <v/>
      </c>
      <c r="M36" s="34">
        <f>IF(AND(M$5&gt;$E36,M$5&lt;=$F36),IF(M$5=$E36+1,$C36,""),"")</f>
        <v/>
      </c>
      <c r="N36" s="34">
        <f>IF(AND(N$5&gt;$E36,N$5&lt;=$F36),IF(N$5=$E36+1,$C36,""),"")</f>
        <v/>
      </c>
      <c r="O36" s="34">
        <f>IF(AND(O$5&gt;$E36,O$5&lt;=$F36),IF(O$5=$E36+1,$C36,""),"")</f>
        <v/>
      </c>
      <c r="P36" s="34">
        <f>IF(AND(P$5&gt;$E36,P$5&lt;=$F36),IF(P$5=$E36+1,$C36,""),"")</f>
        <v/>
      </c>
      <c r="Q36" s="34">
        <f>IF(AND(Q$5&gt;$E36,Q$5&lt;=$F36),IF(Q$5=$E36+1,$C36,""),"")</f>
        <v/>
      </c>
      <c r="R36" s="34">
        <f>IF(AND(R$5&gt;$E36,R$5&lt;=$F36),IF(R$5=$E36+1,$C36,""),"")</f>
        <v/>
      </c>
      <c r="S36" s="34">
        <f>IF(AND(S$5&gt;$E36,S$5&lt;=$F36),IF(S$5=$E36+1,$C36,""),"")</f>
        <v/>
      </c>
      <c r="T36" s="34">
        <f>IF(AND(T$5&gt;$E36,T$5&lt;=$F36),IF(T$5=$E36+1,$C36,""),"")</f>
        <v/>
      </c>
      <c r="U36" s="34">
        <f>IF(AND(U$5&gt;$E36,U$5&lt;=$F36),IF(U$5=$E36+1,$C36,""),"")</f>
        <v/>
      </c>
      <c r="V36" s="34">
        <f>IF(AND(V$5&gt;$E36,V$5&lt;=$F36),IF(V$5=$E36+1,$C36,""),"")</f>
        <v/>
      </c>
      <c r="W36" s="34">
        <f>IF(AND(W$5&gt;$E36,W$5&lt;=$F36),IF(W$5=$E36+1,$C36,""),"")</f>
        <v/>
      </c>
      <c r="X36" s="34">
        <f>IF(AND(X$5&gt;$E36,X$5&lt;=$F36),IF(X$5=$E36+1,$C36,""),"")</f>
        <v/>
      </c>
      <c r="Y36" s="34">
        <f>IF(AND(Y$5&gt;$E36,Y$5&lt;=$F36),IF(Y$5=$E36+1,$C36,""),"")</f>
        <v/>
      </c>
      <c r="Z36" s="34">
        <f>IF(AND(Z$5&gt;$E36,Z$5&lt;=$F36),IF(Z$5=$E36+1,$C36,""),"")</f>
        <v/>
      </c>
      <c r="AA36" s="34">
        <f>IF(AND(AA$5&gt;$E36,AA$5&lt;=$F36),IF(AA$5=$E36+1,$C36,""),"")</f>
        <v/>
      </c>
      <c r="AB36" s="34">
        <f>IF(AND(AB$5&gt;$E36,AB$5&lt;=$F36),IF(AB$5=$E36+1,$C36,""),"")</f>
        <v/>
      </c>
      <c r="AC36" s="34">
        <f>IF(AND(AC$5&gt;$E36,AC$5&lt;=$F36),IF(AC$5=$E36+1,$C36,""),"")</f>
        <v/>
      </c>
      <c r="AD36" s="34">
        <f>IF(AND(AD$5&gt;$E36,AD$5&lt;=$F36),IF(AD$5=$E36+1,$C36,""),"")</f>
        <v/>
      </c>
      <c r="AE36" s="34">
        <f>IF(AND(AE$5&gt;$E36,AE$5&lt;=$F36),IF(AE$5=$E36+1,$C36,""),"")</f>
        <v/>
      </c>
      <c r="AF36" s="34">
        <f>IF(AND(AF$5&gt;$E36,AF$5&lt;=$F36),IF(AF$5=$E36+1,$C36,""),"")</f>
        <v/>
      </c>
      <c r="AG36" s="34">
        <f>IF(AND(AG$5&gt;$E36,AG$5&lt;=$F36),IF(AG$5=$E36+1,$C36,""),"")</f>
        <v/>
      </c>
      <c r="AH36" s="34">
        <f>IF(AND(AH$5&gt;$E36,AH$5&lt;=$F36),IF(AH$5=$E36+1,$C36,""),"")</f>
        <v/>
      </c>
      <c r="AI36" s="34">
        <f>IF(AND(AI$5&gt;$E36,AI$5&lt;=$F36),IF(AI$5=$E36+1,$C36,""),"")</f>
        <v/>
      </c>
      <c r="AJ36" s="34">
        <f>IF(AND(AJ$5&gt;$E36,AJ$5&lt;=$F36),IF(AJ$5=$E36+1,$C36,""),"")</f>
        <v/>
      </c>
      <c r="AK36" s="34">
        <f>IF(AND(AK$5&gt;$E36,AK$5&lt;=$F36),IF(AK$5=$E36+1,$C36,""),"")</f>
        <v/>
      </c>
      <c r="AL36" s="34">
        <f>IF(AND(AL$5&gt;$E36,AL$5&lt;=$F36),IF(AL$5=$E36+1,$C36,""),"")</f>
        <v/>
      </c>
      <c r="AM36" s="34">
        <f>IF(AND(AM$5&gt;$E36,AM$5&lt;=$F36),IF(AM$5=$E36+1,$C36,""),"")</f>
        <v/>
      </c>
      <c r="AN36" s="34">
        <f>IF(AND(AN$5&gt;$E36,AN$5&lt;=$F36),IF(AN$5=$E36+1,$C36,""),"")</f>
        <v/>
      </c>
      <c r="AO36" s="34">
        <f>IF(AND(AO$5&gt;$E36,AO$5&lt;=$F36),IF(AO$5=$E36+1,$C36,""),"")</f>
        <v/>
      </c>
      <c r="AP36" s="34">
        <f>IF(AND(AP$5&gt;$E36,AP$5&lt;=$F36),IF(AP$5=$E36+1,$C36,""),"")</f>
        <v/>
      </c>
      <c r="AQ36" s="34">
        <f>IF(AND(AQ$5&gt;$E36,AQ$5&lt;=$F36),IF(AQ$5=$E36+1,$C36,""),"")</f>
        <v/>
      </c>
      <c r="AR36" s="34">
        <f>IF(AND(AR$5&gt;$E36,AR$5&lt;=$F36),IF(AR$5=$E36+1,$C36,""),"")</f>
        <v/>
      </c>
      <c r="AS36" s="34">
        <f>IF(AND(AS$5&gt;$E36,AS$5&lt;=$F36),IF(AS$5=$E36+1,$C36,""),"")</f>
        <v/>
      </c>
      <c r="AT36" s="34">
        <f>IF(AND(AT$5&gt;$E36,AT$5&lt;=$F36),IF(AT$5=$E36+1,$C36,""),"")</f>
        <v/>
      </c>
      <c r="AU36" s="34">
        <f>IF(AND(AU$5&gt;$E36,AU$5&lt;=$F36),IF(AU$5=$E36+1,$C36,""),"")</f>
        <v/>
      </c>
      <c r="AV36" s="34">
        <f>IF(AND(AV$5&gt;$E36,AV$5&lt;=$F36),IF(AV$5=$E36+1,$C36,""),"")</f>
        <v/>
      </c>
      <c r="AW36" s="34">
        <f>IF(AND(AW$5&gt;$E36,AW$5&lt;=$F36),IF(AW$5=$E36+1,$C36,""),"")</f>
        <v/>
      </c>
      <c r="AX36" s="34">
        <f>IF(AND(AX$5&gt;$E36,AX$5&lt;=$F36),IF(AX$5=$E36+1,$C36,""),"")</f>
        <v/>
      </c>
      <c r="AY36" s="34">
        <f>IF(AND(AY$5&gt;$E36,AY$5&lt;=$F36),IF(AY$5=$E36+1,$C36,""),"")</f>
        <v/>
      </c>
      <c r="AZ36" s="34">
        <f>IF(AND(AZ$5&gt;$E36,AZ$5&lt;=$F36),IF(AZ$5=$E36+1,$C36,""),"")</f>
        <v/>
      </c>
      <c r="BA36" s="34">
        <f>IF(AND(BA$5&gt;$E36,BA$5&lt;=$F36),IF(BA$5=$E36+1,$C36,""),"")</f>
        <v/>
      </c>
      <c r="BB36" s="34">
        <f>IF(AND(BB$5&gt;$E36,BB$5&lt;=$F36),IF(BB$5=$E36+1,$C36,""),"")</f>
        <v/>
      </c>
      <c r="BC36" s="34">
        <f>IF(AND(BC$5&gt;$E36,BC$5&lt;=$F36),IF(BC$5=$E36+1,$C36,""),"")</f>
        <v/>
      </c>
      <c r="BD36" s="34">
        <f>IF(AND(BD$5&gt;$E36,BD$5&lt;=$F36),IF(BD$5=$E36+1,$C36,""),"")</f>
        <v/>
      </c>
      <c r="BE36" s="34">
        <f>IF(AND(BE$5&gt;$E36,BE$5&lt;=$F36),IF(BE$5=$E36+1,$C36,""),"")</f>
        <v/>
      </c>
      <c r="BF36" s="34">
        <f>IF(AND(BF$5&gt;$E36,BF$5&lt;=$F36),IF(BF$5=$E36+1,$C36,""),"")</f>
        <v/>
      </c>
      <c r="BG36" s="34">
        <f>IF(AND(BG$5&gt;$E36,BG$5&lt;=$F36),IF(BG$5=$E36+1,$C36,""),"")</f>
        <v/>
      </c>
      <c r="BH36" s="34">
        <f>IF(AND(BH$5&gt;$E36,BH$5&lt;=$F36),IF(BH$5=$E36+1,$C36,""),"")</f>
        <v/>
      </c>
      <c r="BI36" s="34">
        <f>IF(AND(BI$5&gt;$E36,BI$5&lt;=$F36),IF(BI$5=$E36+1,$C36,""),"")</f>
        <v/>
      </c>
      <c r="BJ36" s="34">
        <f>IF(AND(BJ$5&gt;$E36,BJ$5&lt;=$F36),IF(BJ$5=$E36+1,$C36,""),"")</f>
        <v/>
      </c>
      <c r="BK36" s="34">
        <f>IF(AND(BK$5&gt;$E36,BK$5&lt;=$F36),IF(BK$5=$E36+1,$C36,""),"")</f>
        <v/>
      </c>
      <c r="BL36" s="34">
        <f>IF(AND(BL$5&gt;$E36,BL$5&lt;=$F36),IF(BL$5=$E36+1,$C36,""),"")</f>
        <v/>
      </c>
      <c r="BM36" s="34">
        <f>IF(AND(BM$5&gt;$E36,BM$5&lt;=$F36),IF(BM$5=$E36+1,$C36,""),"")</f>
        <v/>
      </c>
      <c r="BN36" s="34">
        <f>IF(AND(BN$5&gt;$E36,BN$5&lt;=$F36),IF(BN$5=$E36+1,$C36,""),"")</f>
        <v/>
      </c>
      <c r="BO36" s="34">
        <f>IF(AND(BO$5&gt;$E36,BO$5&lt;=$F36),IF(BO$5=$E36+1,$C36,""),"")</f>
        <v/>
      </c>
      <c r="BP36" s="34">
        <f>IF(AND(BP$5&gt;$E36,BP$5&lt;=$F36),IF(BP$5=$E36+1,$C36,""),"")</f>
        <v/>
      </c>
      <c r="BQ36" s="34">
        <f>IF(AND(BQ$5&gt;$E36,BQ$5&lt;=$F36),IF(BQ$5=$E36+1,$C36,""),"")</f>
        <v/>
      </c>
      <c r="BR36" s="34">
        <f>IF(AND(BR$5&gt;$E36,BR$5&lt;=$F36),IF(BR$5=$E36+1,$C36,""),"")</f>
        <v/>
      </c>
      <c r="BS36" s="34">
        <f>IF(AND(BS$5&gt;$E36,BS$5&lt;=$F36),IF(BS$5=$E36+1,$C36,""),"")</f>
        <v/>
      </c>
      <c r="BT36" s="34">
        <f>IF(AND(BT$5&gt;$E36,BT$5&lt;=$F36),IF(BT$5=$E36+1,$C36,""),"")</f>
        <v/>
      </c>
      <c r="BU36" s="34">
        <f>IF(AND(BU$5&gt;$E36,BU$5&lt;=$F36),IF(BU$5=$E36+1,$C36,""),"")</f>
        <v/>
      </c>
      <c r="BV36" s="34">
        <f>IF(AND(BV$5&gt;$E36,BV$5&lt;=$F36),IF(BV$5=$E36+1,$C36,""),"")</f>
        <v/>
      </c>
      <c r="BW36" s="34">
        <f>IF(AND(BW$5&gt;$E36,BW$5&lt;=$F36),IF(BW$5=$E36+1,$C36,""),"")</f>
        <v/>
      </c>
      <c r="BX36" s="34">
        <f>IF(AND(BX$5&gt;$E36,BX$5&lt;=$F36),IF(BX$5=$E36+1,$C36,""),"")</f>
        <v/>
      </c>
      <c r="BY36" s="34">
        <f>IF(AND(BY$5&gt;$E36,BY$5&lt;=$F36),IF(BY$5=$E36+1,$C36,""),"")</f>
        <v/>
      </c>
    </row>
    <row r="37">
      <c r="A37" s="32">
        <f>Plan!A30</f>
        <v/>
      </c>
      <c r="B37" s="33">
        <f>Plan!C30</f>
        <v/>
      </c>
      <c r="C37" s="16">
        <f>Plan!D30</f>
        <v/>
      </c>
      <c r="D37" s="16">
        <f>Plan!I30</f>
        <v/>
      </c>
      <c r="E37" s="16">
        <f>Plan!K30</f>
        <v/>
      </c>
      <c r="F37" s="16">
        <f>Plan!L30</f>
        <v/>
      </c>
      <c r="G37" s="16">
        <f>Plan!O30</f>
        <v/>
      </c>
      <c r="H37" s="34">
        <f>IF(AND(H$5&gt;$E37,H$5&lt;=$F37),IF(H$5=$E37+1,$C37,""),"")</f>
        <v/>
      </c>
      <c r="I37" s="34">
        <f>IF(AND(I$5&gt;$E37,I$5&lt;=$F37),IF(I$5=$E37+1,$C37,""),"")</f>
        <v/>
      </c>
      <c r="J37" s="34">
        <f>IF(AND(J$5&gt;$E37,J$5&lt;=$F37),IF(J$5=$E37+1,$C37,""),"")</f>
        <v/>
      </c>
      <c r="K37" s="34">
        <f>IF(AND(K$5&gt;$E37,K$5&lt;=$F37),IF(K$5=$E37+1,$C37,""),"")</f>
        <v/>
      </c>
      <c r="L37" s="34">
        <f>IF(AND(L$5&gt;$E37,L$5&lt;=$F37),IF(L$5=$E37+1,$C37,""),"")</f>
        <v/>
      </c>
      <c r="M37" s="34">
        <f>IF(AND(M$5&gt;$E37,M$5&lt;=$F37),IF(M$5=$E37+1,$C37,""),"")</f>
        <v/>
      </c>
      <c r="N37" s="34">
        <f>IF(AND(N$5&gt;$E37,N$5&lt;=$F37),IF(N$5=$E37+1,$C37,""),"")</f>
        <v/>
      </c>
      <c r="O37" s="34">
        <f>IF(AND(O$5&gt;$E37,O$5&lt;=$F37),IF(O$5=$E37+1,$C37,""),"")</f>
        <v/>
      </c>
      <c r="P37" s="34">
        <f>IF(AND(P$5&gt;$E37,P$5&lt;=$F37),IF(P$5=$E37+1,$C37,""),"")</f>
        <v/>
      </c>
      <c r="Q37" s="34">
        <f>IF(AND(Q$5&gt;$E37,Q$5&lt;=$F37),IF(Q$5=$E37+1,$C37,""),"")</f>
        <v/>
      </c>
      <c r="R37" s="34">
        <f>IF(AND(R$5&gt;$E37,R$5&lt;=$F37),IF(R$5=$E37+1,$C37,""),"")</f>
        <v/>
      </c>
      <c r="S37" s="34">
        <f>IF(AND(S$5&gt;$E37,S$5&lt;=$F37),IF(S$5=$E37+1,$C37,""),"")</f>
        <v/>
      </c>
      <c r="T37" s="34">
        <f>IF(AND(T$5&gt;$E37,T$5&lt;=$F37),IF(T$5=$E37+1,$C37,""),"")</f>
        <v/>
      </c>
      <c r="U37" s="34">
        <f>IF(AND(U$5&gt;$E37,U$5&lt;=$F37),IF(U$5=$E37+1,$C37,""),"")</f>
        <v/>
      </c>
      <c r="V37" s="34">
        <f>IF(AND(V$5&gt;$E37,V$5&lt;=$F37),IF(V$5=$E37+1,$C37,""),"")</f>
        <v/>
      </c>
      <c r="W37" s="34">
        <f>IF(AND(W$5&gt;$E37,W$5&lt;=$F37),IF(W$5=$E37+1,$C37,""),"")</f>
        <v/>
      </c>
      <c r="X37" s="34">
        <f>IF(AND(X$5&gt;$E37,X$5&lt;=$F37),IF(X$5=$E37+1,$C37,""),"")</f>
        <v/>
      </c>
      <c r="Y37" s="34">
        <f>IF(AND(Y$5&gt;$E37,Y$5&lt;=$F37),IF(Y$5=$E37+1,$C37,""),"")</f>
        <v/>
      </c>
      <c r="Z37" s="34">
        <f>IF(AND(Z$5&gt;$E37,Z$5&lt;=$F37),IF(Z$5=$E37+1,$C37,""),"")</f>
        <v/>
      </c>
      <c r="AA37" s="34">
        <f>IF(AND(AA$5&gt;$E37,AA$5&lt;=$F37),IF(AA$5=$E37+1,$C37,""),"")</f>
        <v/>
      </c>
      <c r="AB37" s="34">
        <f>IF(AND(AB$5&gt;$E37,AB$5&lt;=$F37),IF(AB$5=$E37+1,$C37,""),"")</f>
        <v/>
      </c>
      <c r="AC37" s="34">
        <f>IF(AND(AC$5&gt;$E37,AC$5&lt;=$F37),IF(AC$5=$E37+1,$C37,""),"")</f>
        <v/>
      </c>
      <c r="AD37" s="34">
        <f>IF(AND(AD$5&gt;$E37,AD$5&lt;=$F37),IF(AD$5=$E37+1,$C37,""),"")</f>
        <v/>
      </c>
      <c r="AE37" s="34">
        <f>IF(AND(AE$5&gt;$E37,AE$5&lt;=$F37),IF(AE$5=$E37+1,$C37,""),"")</f>
        <v/>
      </c>
      <c r="AF37" s="34">
        <f>IF(AND(AF$5&gt;$E37,AF$5&lt;=$F37),IF(AF$5=$E37+1,$C37,""),"")</f>
        <v/>
      </c>
      <c r="AG37" s="34">
        <f>IF(AND(AG$5&gt;$E37,AG$5&lt;=$F37),IF(AG$5=$E37+1,$C37,""),"")</f>
        <v/>
      </c>
      <c r="AH37" s="34">
        <f>IF(AND(AH$5&gt;$E37,AH$5&lt;=$F37),IF(AH$5=$E37+1,$C37,""),"")</f>
        <v/>
      </c>
      <c r="AI37" s="34">
        <f>IF(AND(AI$5&gt;$E37,AI$5&lt;=$F37),IF(AI$5=$E37+1,$C37,""),"")</f>
        <v/>
      </c>
      <c r="AJ37" s="34">
        <f>IF(AND(AJ$5&gt;$E37,AJ$5&lt;=$F37),IF(AJ$5=$E37+1,$C37,""),"")</f>
        <v/>
      </c>
      <c r="AK37" s="34">
        <f>IF(AND(AK$5&gt;$E37,AK$5&lt;=$F37),IF(AK$5=$E37+1,$C37,""),"")</f>
        <v/>
      </c>
      <c r="AL37" s="34">
        <f>IF(AND(AL$5&gt;$E37,AL$5&lt;=$F37),IF(AL$5=$E37+1,$C37,""),"")</f>
        <v/>
      </c>
      <c r="AM37" s="34">
        <f>IF(AND(AM$5&gt;$E37,AM$5&lt;=$F37),IF(AM$5=$E37+1,$C37,""),"")</f>
        <v/>
      </c>
      <c r="AN37" s="34">
        <f>IF(AND(AN$5&gt;$E37,AN$5&lt;=$F37),IF(AN$5=$E37+1,$C37,""),"")</f>
        <v/>
      </c>
      <c r="AO37" s="34">
        <f>IF(AND(AO$5&gt;$E37,AO$5&lt;=$F37),IF(AO$5=$E37+1,$C37,""),"")</f>
        <v/>
      </c>
      <c r="AP37" s="34">
        <f>IF(AND(AP$5&gt;$E37,AP$5&lt;=$F37),IF(AP$5=$E37+1,$C37,""),"")</f>
        <v/>
      </c>
      <c r="AQ37" s="34">
        <f>IF(AND(AQ$5&gt;$E37,AQ$5&lt;=$F37),IF(AQ$5=$E37+1,$C37,""),"")</f>
        <v/>
      </c>
      <c r="AR37" s="34">
        <f>IF(AND(AR$5&gt;$E37,AR$5&lt;=$F37),IF(AR$5=$E37+1,$C37,""),"")</f>
        <v/>
      </c>
      <c r="AS37" s="34">
        <f>IF(AND(AS$5&gt;$E37,AS$5&lt;=$F37),IF(AS$5=$E37+1,$C37,""),"")</f>
        <v/>
      </c>
      <c r="AT37" s="34">
        <f>IF(AND(AT$5&gt;$E37,AT$5&lt;=$F37),IF(AT$5=$E37+1,$C37,""),"")</f>
        <v/>
      </c>
      <c r="AU37" s="34">
        <f>IF(AND(AU$5&gt;$E37,AU$5&lt;=$F37),IF(AU$5=$E37+1,$C37,""),"")</f>
        <v/>
      </c>
      <c r="AV37" s="34">
        <f>IF(AND(AV$5&gt;$E37,AV$5&lt;=$F37),IF(AV$5=$E37+1,$C37,""),"")</f>
        <v/>
      </c>
      <c r="AW37" s="34">
        <f>IF(AND(AW$5&gt;$E37,AW$5&lt;=$F37),IF(AW$5=$E37+1,$C37,""),"")</f>
        <v/>
      </c>
      <c r="AX37" s="34">
        <f>IF(AND(AX$5&gt;$E37,AX$5&lt;=$F37),IF(AX$5=$E37+1,$C37,""),"")</f>
        <v/>
      </c>
      <c r="AY37" s="34">
        <f>IF(AND(AY$5&gt;$E37,AY$5&lt;=$F37),IF(AY$5=$E37+1,$C37,""),"")</f>
        <v/>
      </c>
      <c r="AZ37" s="34">
        <f>IF(AND(AZ$5&gt;$E37,AZ$5&lt;=$F37),IF(AZ$5=$E37+1,$C37,""),"")</f>
        <v/>
      </c>
      <c r="BA37" s="34">
        <f>IF(AND(BA$5&gt;$E37,BA$5&lt;=$F37),IF(BA$5=$E37+1,$C37,""),"")</f>
        <v/>
      </c>
      <c r="BB37" s="34">
        <f>IF(AND(BB$5&gt;$E37,BB$5&lt;=$F37),IF(BB$5=$E37+1,$C37,""),"")</f>
        <v/>
      </c>
      <c r="BC37" s="34">
        <f>IF(AND(BC$5&gt;$E37,BC$5&lt;=$F37),IF(BC$5=$E37+1,$C37,""),"")</f>
        <v/>
      </c>
      <c r="BD37" s="34">
        <f>IF(AND(BD$5&gt;$E37,BD$5&lt;=$F37),IF(BD$5=$E37+1,$C37,""),"")</f>
        <v/>
      </c>
      <c r="BE37" s="34">
        <f>IF(AND(BE$5&gt;$E37,BE$5&lt;=$F37),IF(BE$5=$E37+1,$C37,""),"")</f>
        <v/>
      </c>
      <c r="BF37" s="34">
        <f>IF(AND(BF$5&gt;$E37,BF$5&lt;=$F37),IF(BF$5=$E37+1,$C37,""),"")</f>
        <v/>
      </c>
      <c r="BG37" s="34">
        <f>IF(AND(BG$5&gt;$E37,BG$5&lt;=$F37),IF(BG$5=$E37+1,$C37,""),"")</f>
        <v/>
      </c>
      <c r="BH37" s="34">
        <f>IF(AND(BH$5&gt;$E37,BH$5&lt;=$F37),IF(BH$5=$E37+1,$C37,""),"")</f>
        <v/>
      </c>
      <c r="BI37" s="34">
        <f>IF(AND(BI$5&gt;$E37,BI$5&lt;=$F37),IF(BI$5=$E37+1,$C37,""),"")</f>
        <v/>
      </c>
      <c r="BJ37" s="34">
        <f>IF(AND(BJ$5&gt;$E37,BJ$5&lt;=$F37),IF(BJ$5=$E37+1,$C37,""),"")</f>
        <v/>
      </c>
      <c r="BK37" s="34">
        <f>IF(AND(BK$5&gt;$E37,BK$5&lt;=$F37),IF(BK$5=$E37+1,$C37,""),"")</f>
        <v/>
      </c>
      <c r="BL37" s="34">
        <f>IF(AND(BL$5&gt;$E37,BL$5&lt;=$F37),IF(BL$5=$E37+1,$C37,""),"")</f>
        <v/>
      </c>
      <c r="BM37" s="34">
        <f>IF(AND(BM$5&gt;$E37,BM$5&lt;=$F37),IF(BM$5=$E37+1,$C37,""),"")</f>
        <v/>
      </c>
      <c r="BN37" s="34">
        <f>IF(AND(BN$5&gt;$E37,BN$5&lt;=$F37),IF(BN$5=$E37+1,$C37,""),"")</f>
        <v/>
      </c>
      <c r="BO37" s="34">
        <f>IF(AND(BO$5&gt;$E37,BO$5&lt;=$F37),IF(BO$5=$E37+1,$C37,""),"")</f>
        <v/>
      </c>
      <c r="BP37" s="34">
        <f>IF(AND(BP$5&gt;$E37,BP$5&lt;=$F37),IF(BP$5=$E37+1,$C37,""),"")</f>
        <v/>
      </c>
      <c r="BQ37" s="34">
        <f>IF(AND(BQ$5&gt;$E37,BQ$5&lt;=$F37),IF(BQ$5=$E37+1,$C37,""),"")</f>
        <v/>
      </c>
      <c r="BR37" s="34">
        <f>IF(AND(BR$5&gt;$E37,BR$5&lt;=$F37),IF(BR$5=$E37+1,$C37,""),"")</f>
        <v/>
      </c>
      <c r="BS37" s="34">
        <f>IF(AND(BS$5&gt;$E37,BS$5&lt;=$F37),IF(BS$5=$E37+1,$C37,""),"")</f>
        <v/>
      </c>
      <c r="BT37" s="34">
        <f>IF(AND(BT$5&gt;$E37,BT$5&lt;=$F37),IF(BT$5=$E37+1,$C37,""),"")</f>
        <v/>
      </c>
      <c r="BU37" s="34">
        <f>IF(AND(BU$5&gt;$E37,BU$5&lt;=$F37),IF(BU$5=$E37+1,$C37,""),"")</f>
        <v/>
      </c>
      <c r="BV37" s="34">
        <f>IF(AND(BV$5&gt;$E37,BV$5&lt;=$F37),IF(BV$5=$E37+1,$C37,""),"")</f>
        <v/>
      </c>
      <c r="BW37" s="34">
        <f>IF(AND(BW$5&gt;$E37,BW$5&lt;=$F37),IF(BW$5=$E37+1,$C37,""),"")</f>
        <v/>
      </c>
      <c r="BX37" s="34">
        <f>IF(AND(BX$5&gt;$E37,BX$5&lt;=$F37),IF(BX$5=$E37+1,$C37,""),"")</f>
        <v/>
      </c>
      <c r="BY37" s="34">
        <f>IF(AND(BY$5&gt;$E37,BY$5&lt;=$F37),IF(BY$5=$E37+1,$C37,""),"")</f>
        <v/>
      </c>
    </row>
    <row r="38">
      <c r="A38" s="27" t="inlineStr">
        <is>
          <t>Fase 4. Panel de administración</t>
        </is>
      </c>
      <c r="B38" s="28" t="n"/>
      <c r="C38" s="28" t="n"/>
      <c r="D38" s="28" t="n"/>
      <c r="E38" s="29">
        <f>SUMPRODUCT(MIN((Plan!$B$5:$B$57="4. Panel de administración")*Plan!$K$5:$K$57+(Plan!$B$5:$B$57&lt;&gt;"4. Panel de administración")*1E9))</f>
        <v/>
      </c>
      <c r="F38" s="29">
        <f>SUMPRODUCT(MAX((Plan!$B$5:$B$57="4. Panel de administración")*Plan!$L$5:$L$57))</f>
        <v/>
      </c>
      <c r="G38" s="30">
        <f>Resumen!E32</f>
        <v/>
      </c>
      <c r="H38" s="31" t="n"/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B38" s="31" t="n"/>
      <c r="AC38" s="31" t="n"/>
      <c r="AD38" s="31" t="n"/>
      <c r="AE38" s="31" t="n"/>
      <c r="AF38" s="31" t="n"/>
      <c r="AG38" s="31" t="n"/>
      <c r="AH38" s="31" t="n"/>
      <c r="AI38" s="31" t="n"/>
      <c r="AJ38" s="31" t="n"/>
      <c r="AK38" s="31" t="n"/>
      <c r="AL38" s="31" t="n"/>
      <c r="AM38" s="31" t="n"/>
      <c r="AN38" s="31" t="n"/>
      <c r="AO38" s="31" t="n"/>
      <c r="AP38" s="31" t="n"/>
      <c r="AQ38" s="31" t="n"/>
      <c r="AR38" s="31" t="n"/>
      <c r="AS38" s="31" t="n"/>
      <c r="AT38" s="31" t="n"/>
      <c r="AU38" s="31" t="n"/>
      <c r="AV38" s="31" t="n"/>
      <c r="AW38" s="31" t="n"/>
      <c r="AX38" s="31" t="n"/>
      <c r="AY38" s="31" t="n"/>
      <c r="AZ38" s="31" t="n"/>
      <c r="BA38" s="31" t="n"/>
      <c r="BB38" s="31" t="n"/>
      <c r="BC38" s="31" t="n"/>
      <c r="BD38" s="31" t="n"/>
      <c r="BE38" s="31" t="n"/>
      <c r="BF38" s="31" t="n"/>
      <c r="BG38" s="31" t="n"/>
      <c r="BH38" s="31" t="n"/>
      <c r="BI38" s="31" t="n"/>
      <c r="BJ38" s="31" t="n"/>
      <c r="BK38" s="31" t="n"/>
      <c r="BL38" s="31" t="n"/>
      <c r="BM38" s="31" t="n"/>
      <c r="BN38" s="31" t="n"/>
      <c r="BO38" s="31" t="n"/>
      <c r="BP38" s="31" t="n"/>
      <c r="BQ38" s="31" t="n"/>
      <c r="BR38" s="31" t="n"/>
      <c r="BS38" s="31" t="n"/>
      <c r="BT38" s="31" t="n"/>
      <c r="BU38" s="31" t="n"/>
      <c r="BV38" s="31" t="n"/>
      <c r="BW38" s="31" t="n"/>
      <c r="BX38" s="31" t="n"/>
      <c r="BY38" s="31" t="n"/>
    </row>
    <row r="39">
      <c r="A39" s="32">
        <f>Plan!A31</f>
        <v/>
      </c>
      <c r="B39" s="33">
        <f>Plan!C31</f>
        <v/>
      </c>
      <c r="C39" s="16">
        <f>Plan!D31</f>
        <v/>
      </c>
      <c r="D39" s="16">
        <f>Plan!I31</f>
        <v/>
      </c>
      <c r="E39" s="16">
        <f>Plan!K31</f>
        <v/>
      </c>
      <c r="F39" s="16">
        <f>Plan!L31</f>
        <v/>
      </c>
      <c r="G39" s="16">
        <f>Plan!O31</f>
        <v/>
      </c>
      <c r="H39" s="34">
        <f>IF(AND(H$5&gt;$E39,H$5&lt;=$F39),IF(H$5=$E39+1,$C39,""),"")</f>
        <v/>
      </c>
      <c r="I39" s="34">
        <f>IF(AND(I$5&gt;$E39,I$5&lt;=$F39),IF(I$5=$E39+1,$C39,""),"")</f>
        <v/>
      </c>
      <c r="J39" s="34">
        <f>IF(AND(J$5&gt;$E39,J$5&lt;=$F39),IF(J$5=$E39+1,$C39,""),"")</f>
        <v/>
      </c>
      <c r="K39" s="34">
        <f>IF(AND(K$5&gt;$E39,K$5&lt;=$F39),IF(K$5=$E39+1,$C39,""),"")</f>
        <v/>
      </c>
      <c r="L39" s="34">
        <f>IF(AND(L$5&gt;$E39,L$5&lt;=$F39),IF(L$5=$E39+1,$C39,""),"")</f>
        <v/>
      </c>
      <c r="M39" s="34">
        <f>IF(AND(M$5&gt;$E39,M$5&lt;=$F39),IF(M$5=$E39+1,$C39,""),"")</f>
        <v/>
      </c>
      <c r="N39" s="34">
        <f>IF(AND(N$5&gt;$E39,N$5&lt;=$F39),IF(N$5=$E39+1,$C39,""),"")</f>
        <v/>
      </c>
      <c r="O39" s="34">
        <f>IF(AND(O$5&gt;$E39,O$5&lt;=$F39),IF(O$5=$E39+1,$C39,""),"")</f>
        <v/>
      </c>
      <c r="P39" s="34">
        <f>IF(AND(P$5&gt;$E39,P$5&lt;=$F39),IF(P$5=$E39+1,$C39,""),"")</f>
        <v/>
      </c>
      <c r="Q39" s="34">
        <f>IF(AND(Q$5&gt;$E39,Q$5&lt;=$F39),IF(Q$5=$E39+1,$C39,""),"")</f>
        <v/>
      </c>
      <c r="R39" s="34">
        <f>IF(AND(R$5&gt;$E39,R$5&lt;=$F39),IF(R$5=$E39+1,$C39,""),"")</f>
        <v/>
      </c>
      <c r="S39" s="34">
        <f>IF(AND(S$5&gt;$E39,S$5&lt;=$F39),IF(S$5=$E39+1,$C39,""),"")</f>
        <v/>
      </c>
      <c r="T39" s="34">
        <f>IF(AND(T$5&gt;$E39,T$5&lt;=$F39),IF(T$5=$E39+1,$C39,""),"")</f>
        <v/>
      </c>
      <c r="U39" s="34">
        <f>IF(AND(U$5&gt;$E39,U$5&lt;=$F39),IF(U$5=$E39+1,$C39,""),"")</f>
        <v/>
      </c>
      <c r="V39" s="34">
        <f>IF(AND(V$5&gt;$E39,V$5&lt;=$F39),IF(V$5=$E39+1,$C39,""),"")</f>
        <v/>
      </c>
      <c r="W39" s="34">
        <f>IF(AND(W$5&gt;$E39,W$5&lt;=$F39),IF(W$5=$E39+1,$C39,""),"")</f>
        <v/>
      </c>
      <c r="X39" s="34">
        <f>IF(AND(X$5&gt;$E39,X$5&lt;=$F39),IF(X$5=$E39+1,$C39,""),"")</f>
        <v/>
      </c>
      <c r="Y39" s="34">
        <f>IF(AND(Y$5&gt;$E39,Y$5&lt;=$F39),IF(Y$5=$E39+1,$C39,""),"")</f>
        <v/>
      </c>
      <c r="Z39" s="34">
        <f>IF(AND(Z$5&gt;$E39,Z$5&lt;=$F39),IF(Z$5=$E39+1,$C39,""),"")</f>
        <v/>
      </c>
      <c r="AA39" s="34">
        <f>IF(AND(AA$5&gt;$E39,AA$5&lt;=$F39),IF(AA$5=$E39+1,$C39,""),"")</f>
        <v/>
      </c>
      <c r="AB39" s="34">
        <f>IF(AND(AB$5&gt;$E39,AB$5&lt;=$F39),IF(AB$5=$E39+1,$C39,""),"")</f>
        <v/>
      </c>
      <c r="AC39" s="34">
        <f>IF(AND(AC$5&gt;$E39,AC$5&lt;=$F39),IF(AC$5=$E39+1,$C39,""),"")</f>
        <v/>
      </c>
      <c r="AD39" s="34">
        <f>IF(AND(AD$5&gt;$E39,AD$5&lt;=$F39),IF(AD$5=$E39+1,$C39,""),"")</f>
        <v/>
      </c>
      <c r="AE39" s="34">
        <f>IF(AND(AE$5&gt;$E39,AE$5&lt;=$F39),IF(AE$5=$E39+1,$C39,""),"")</f>
        <v/>
      </c>
      <c r="AF39" s="34">
        <f>IF(AND(AF$5&gt;$E39,AF$5&lt;=$F39),IF(AF$5=$E39+1,$C39,""),"")</f>
        <v/>
      </c>
      <c r="AG39" s="34">
        <f>IF(AND(AG$5&gt;$E39,AG$5&lt;=$F39),IF(AG$5=$E39+1,$C39,""),"")</f>
        <v/>
      </c>
      <c r="AH39" s="34">
        <f>IF(AND(AH$5&gt;$E39,AH$5&lt;=$F39),IF(AH$5=$E39+1,$C39,""),"")</f>
        <v/>
      </c>
      <c r="AI39" s="34">
        <f>IF(AND(AI$5&gt;$E39,AI$5&lt;=$F39),IF(AI$5=$E39+1,$C39,""),"")</f>
        <v/>
      </c>
      <c r="AJ39" s="34">
        <f>IF(AND(AJ$5&gt;$E39,AJ$5&lt;=$F39),IF(AJ$5=$E39+1,$C39,""),"")</f>
        <v/>
      </c>
      <c r="AK39" s="34">
        <f>IF(AND(AK$5&gt;$E39,AK$5&lt;=$F39),IF(AK$5=$E39+1,$C39,""),"")</f>
        <v/>
      </c>
      <c r="AL39" s="34">
        <f>IF(AND(AL$5&gt;$E39,AL$5&lt;=$F39),IF(AL$5=$E39+1,$C39,""),"")</f>
        <v/>
      </c>
      <c r="AM39" s="34">
        <f>IF(AND(AM$5&gt;$E39,AM$5&lt;=$F39),IF(AM$5=$E39+1,$C39,""),"")</f>
        <v/>
      </c>
      <c r="AN39" s="34">
        <f>IF(AND(AN$5&gt;$E39,AN$5&lt;=$F39),IF(AN$5=$E39+1,$C39,""),"")</f>
        <v/>
      </c>
      <c r="AO39" s="34">
        <f>IF(AND(AO$5&gt;$E39,AO$5&lt;=$F39),IF(AO$5=$E39+1,$C39,""),"")</f>
        <v/>
      </c>
      <c r="AP39" s="34">
        <f>IF(AND(AP$5&gt;$E39,AP$5&lt;=$F39),IF(AP$5=$E39+1,$C39,""),"")</f>
        <v/>
      </c>
      <c r="AQ39" s="34">
        <f>IF(AND(AQ$5&gt;$E39,AQ$5&lt;=$F39),IF(AQ$5=$E39+1,$C39,""),"")</f>
        <v/>
      </c>
      <c r="AR39" s="34">
        <f>IF(AND(AR$5&gt;$E39,AR$5&lt;=$F39),IF(AR$5=$E39+1,$C39,""),"")</f>
        <v/>
      </c>
      <c r="AS39" s="34">
        <f>IF(AND(AS$5&gt;$E39,AS$5&lt;=$F39),IF(AS$5=$E39+1,$C39,""),"")</f>
        <v/>
      </c>
      <c r="AT39" s="34">
        <f>IF(AND(AT$5&gt;$E39,AT$5&lt;=$F39),IF(AT$5=$E39+1,$C39,""),"")</f>
        <v/>
      </c>
      <c r="AU39" s="34">
        <f>IF(AND(AU$5&gt;$E39,AU$5&lt;=$F39),IF(AU$5=$E39+1,$C39,""),"")</f>
        <v/>
      </c>
      <c r="AV39" s="34">
        <f>IF(AND(AV$5&gt;$E39,AV$5&lt;=$F39),IF(AV$5=$E39+1,$C39,""),"")</f>
        <v/>
      </c>
      <c r="AW39" s="34">
        <f>IF(AND(AW$5&gt;$E39,AW$5&lt;=$F39),IF(AW$5=$E39+1,$C39,""),"")</f>
        <v/>
      </c>
      <c r="AX39" s="34">
        <f>IF(AND(AX$5&gt;$E39,AX$5&lt;=$F39),IF(AX$5=$E39+1,$C39,""),"")</f>
        <v/>
      </c>
      <c r="AY39" s="34">
        <f>IF(AND(AY$5&gt;$E39,AY$5&lt;=$F39),IF(AY$5=$E39+1,$C39,""),"")</f>
        <v/>
      </c>
      <c r="AZ39" s="34">
        <f>IF(AND(AZ$5&gt;$E39,AZ$5&lt;=$F39),IF(AZ$5=$E39+1,$C39,""),"")</f>
        <v/>
      </c>
      <c r="BA39" s="34">
        <f>IF(AND(BA$5&gt;$E39,BA$5&lt;=$F39),IF(BA$5=$E39+1,$C39,""),"")</f>
        <v/>
      </c>
      <c r="BB39" s="34">
        <f>IF(AND(BB$5&gt;$E39,BB$5&lt;=$F39),IF(BB$5=$E39+1,$C39,""),"")</f>
        <v/>
      </c>
      <c r="BC39" s="34">
        <f>IF(AND(BC$5&gt;$E39,BC$5&lt;=$F39),IF(BC$5=$E39+1,$C39,""),"")</f>
        <v/>
      </c>
      <c r="BD39" s="34">
        <f>IF(AND(BD$5&gt;$E39,BD$5&lt;=$F39),IF(BD$5=$E39+1,$C39,""),"")</f>
        <v/>
      </c>
      <c r="BE39" s="34">
        <f>IF(AND(BE$5&gt;$E39,BE$5&lt;=$F39),IF(BE$5=$E39+1,$C39,""),"")</f>
        <v/>
      </c>
      <c r="BF39" s="34">
        <f>IF(AND(BF$5&gt;$E39,BF$5&lt;=$F39),IF(BF$5=$E39+1,$C39,""),"")</f>
        <v/>
      </c>
      <c r="BG39" s="34">
        <f>IF(AND(BG$5&gt;$E39,BG$5&lt;=$F39),IF(BG$5=$E39+1,$C39,""),"")</f>
        <v/>
      </c>
      <c r="BH39" s="34">
        <f>IF(AND(BH$5&gt;$E39,BH$5&lt;=$F39),IF(BH$5=$E39+1,$C39,""),"")</f>
        <v/>
      </c>
      <c r="BI39" s="34">
        <f>IF(AND(BI$5&gt;$E39,BI$5&lt;=$F39),IF(BI$5=$E39+1,$C39,""),"")</f>
        <v/>
      </c>
      <c r="BJ39" s="34">
        <f>IF(AND(BJ$5&gt;$E39,BJ$5&lt;=$F39),IF(BJ$5=$E39+1,$C39,""),"")</f>
        <v/>
      </c>
      <c r="BK39" s="34">
        <f>IF(AND(BK$5&gt;$E39,BK$5&lt;=$F39),IF(BK$5=$E39+1,$C39,""),"")</f>
        <v/>
      </c>
      <c r="BL39" s="34">
        <f>IF(AND(BL$5&gt;$E39,BL$5&lt;=$F39),IF(BL$5=$E39+1,$C39,""),"")</f>
        <v/>
      </c>
      <c r="BM39" s="34">
        <f>IF(AND(BM$5&gt;$E39,BM$5&lt;=$F39),IF(BM$5=$E39+1,$C39,""),"")</f>
        <v/>
      </c>
      <c r="BN39" s="34">
        <f>IF(AND(BN$5&gt;$E39,BN$5&lt;=$F39),IF(BN$5=$E39+1,$C39,""),"")</f>
        <v/>
      </c>
      <c r="BO39" s="34">
        <f>IF(AND(BO$5&gt;$E39,BO$5&lt;=$F39),IF(BO$5=$E39+1,$C39,""),"")</f>
        <v/>
      </c>
      <c r="BP39" s="34">
        <f>IF(AND(BP$5&gt;$E39,BP$5&lt;=$F39),IF(BP$5=$E39+1,$C39,""),"")</f>
        <v/>
      </c>
      <c r="BQ39" s="34">
        <f>IF(AND(BQ$5&gt;$E39,BQ$5&lt;=$F39),IF(BQ$5=$E39+1,$C39,""),"")</f>
        <v/>
      </c>
      <c r="BR39" s="34">
        <f>IF(AND(BR$5&gt;$E39,BR$5&lt;=$F39),IF(BR$5=$E39+1,$C39,""),"")</f>
        <v/>
      </c>
      <c r="BS39" s="34">
        <f>IF(AND(BS$5&gt;$E39,BS$5&lt;=$F39),IF(BS$5=$E39+1,$C39,""),"")</f>
        <v/>
      </c>
      <c r="BT39" s="34">
        <f>IF(AND(BT$5&gt;$E39,BT$5&lt;=$F39),IF(BT$5=$E39+1,$C39,""),"")</f>
        <v/>
      </c>
      <c r="BU39" s="34">
        <f>IF(AND(BU$5&gt;$E39,BU$5&lt;=$F39),IF(BU$5=$E39+1,$C39,""),"")</f>
        <v/>
      </c>
      <c r="BV39" s="34">
        <f>IF(AND(BV$5&gt;$E39,BV$5&lt;=$F39),IF(BV$5=$E39+1,$C39,""),"")</f>
        <v/>
      </c>
      <c r="BW39" s="34">
        <f>IF(AND(BW$5&gt;$E39,BW$5&lt;=$F39),IF(BW$5=$E39+1,$C39,""),"")</f>
        <v/>
      </c>
      <c r="BX39" s="34">
        <f>IF(AND(BX$5&gt;$E39,BX$5&lt;=$F39),IF(BX$5=$E39+1,$C39,""),"")</f>
        <v/>
      </c>
      <c r="BY39" s="34">
        <f>IF(AND(BY$5&gt;$E39,BY$5&lt;=$F39),IF(BY$5=$E39+1,$C39,""),"")</f>
        <v/>
      </c>
    </row>
    <row r="40">
      <c r="A40" s="32">
        <f>Plan!A32</f>
        <v/>
      </c>
      <c r="B40" s="33">
        <f>Plan!C32</f>
        <v/>
      </c>
      <c r="C40" s="16">
        <f>Plan!D32</f>
        <v/>
      </c>
      <c r="D40" s="16">
        <f>Plan!I32</f>
        <v/>
      </c>
      <c r="E40" s="16">
        <f>Plan!K32</f>
        <v/>
      </c>
      <c r="F40" s="16">
        <f>Plan!L32</f>
        <v/>
      </c>
      <c r="G40" s="16">
        <f>Plan!O32</f>
        <v/>
      </c>
      <c r="H40" s="34">
        <f>IF(AND(H$5&gt;$E40,H$5&lt;=$F40),IF(H$5=$E40+1,$C40,""),"")</f>
        <v/>
      </c>
      <c r="I40" s="34">
        <f>IF(AND(I$5&gt;$E40,I$5&lt;=$F40),IF(I$5=$E40+1,$C40,""),"")</f>
        <v/>
      </c>
      <c r="J40" s="34">
        <f>IF(AND(J$5&gt;$E40,J$5&lt;=$F40),IF(J$5=$E40+1,$C40,""),"")</f>
        <v/>
      </c>
      <c r="K40" s="34">
        <f>IF(AND(K$5&gt;$E40,K$5&lt;=$F40),IF(K$5=$E40+1,$C40,""),"")</f>
        <v/>
      </c>
      <c r="L40" s="34">
        <f>IF(AND(L$5&gt;$E40,L$5&lt;=$F40),IF(L$5=$E40+1,$C40,""),"")</f>
        <v/>
      </c>
      <c r="M40" s="34">
        <f>IF(AND(M$5&gt;$E40,M$5&lt;=$F40),IF(M$5=$E40+1,$C40,""),"")</f>
        <v/>
      </c>
      <c r="N40" s="34">
        <f>IF(AND(N$5&gt;$E40,N$5&lt;=$F40),IF(N$5=$E40+1,$C40,""),"")</f>
        <v/>
      </c>
      <c r="O40" s="34">
        <f>IF(AND(O$5&gt;$E40,O$5&lt;=$F40),IF(O$5=$E40+1,$C40,""),"")</f>
        <v/>
      </c>
      <c r="P40" s="34">
        <f>IF(AND(P$5&gt;$E40,P$5&lt;=$F40),IF(P$5=$E40+1,$C40,""),"")</f>
        <v/>
      </c>
      <c r="Q40" s="34">
        <f>IF(AND(Q$5&gt;$E40,Q$5&lt;=$F40),IF(Q$5=$E40+1,$C40,""),"")</f>
        <v/>
      </c>
      <c r="R40" s="34">
        <f>IF(AND(R$5&gt;$E40,R$5&lt;=$F40),IF(R$5=$E40+1,$C40,""),"")</f>
        <v/>
      </c>
      <c r="S40" s="34">
        <f>IF(AND(S$5&gt;$E40,S$5&lt;=$F40),IF(S$5=$E40+1,$C40,""),"")</f>
        <v/>
      </c>
      <c r="T40" s="34">
        <f>IF(AND(T$5&gt;$E40,T$5&lt;=$F40),IF(T$5=$E40+1,$C40,""),"")</f>
        <v/>
      </c>
      <c r="U40" s="34">
        <f>IF(AND(U$5&gt;$E40,U$5&lt;=$F40),IF(U$5=$E40+1,$C40,""),"")</f>
        <v/>
      </c>
      <c r="V40" s="34">
        <f>IF(AND(V$5&gt;$E40,V$5&lt;=$F40),IF(V$5=$E40+1,$C40,""),"")</f>
        <v/>
      </c>
      <c r="W40" s="34">
        <f>IF(AND(W$5&gt;$E40,W$5&lt;=$F40),IF(W$5=$E40+1,$C40,""),"")</f>
        <v/>
      </c>
      <c r="X40" s="34">
        <f>IF(AND(X$5&gt;$E40,X$5&lt;=$F40),IF(X$5=$E40+1,$C40,""),"")</f>
        <v/>
      </c>
      <c r="Y40" s="34">
        <f>IF(AND(Y$5&gt;$E40,Y$5&lt;=$F40),IF(Y$5=$E40+1,$C40,""),"")</f>
        <v/>
      </c>
      <c r="Z40" s="34">
        <f>IF(AND(Z$5&gt;$E40,Z$5&lt;=$F40),IF(Z$5=$E40+1,$C40,""),"")</f>
        <v/>
      </c>
      <c r="AA40" s="34">
        <f>IF(AND(AA$5&gt;$E40,AA$5&lt;=$F40),IF(AA$5=$E40+1,$C40,""),"")</f>
        <v/>
      </c>
      <c r="AB40" s="34">
        <f>IF(AND(AB$5&gt;$E40,AB$5&lt;=$F40),IF(AB$5=$E40+1,$C40,""),"")</f>
        <v/>
      </c>
      <c r="AC40" s="34">
        <f>IF(AND(AC$5&gt;$E40,AC$5&lt;=$F40),IF(AC$5=$E40+1,$C40,""),"")</f>
        <v/>
      </c>
      <c r="AD40" s="34">
        <f>IF(AND(AD$5&gt;$E40,AD$5&lt;=$F40),IF(AD$5=$E40+1,$C40,""),"")</f>
        <v/>
      </c>
      <c r="AE40" s="34">
        <f>IF(AND(AE$5&gt;$E40,AE$5&lt;=$F40),IF(AE$5=$E40+1,$C40,""),"")</f>
        <v/>
      </c>
      <c r="AF40" s="34">
        <f>IF(AND(AF$5&gt;$E40,AF$5&lt;=$F40),IF(AF$5=$E40+1,$C40,""),"")</f>
        <v/>
      </c>
      <c r="AG40" s="34">
        <f>IF(AND(AG$5&gt;$E40,AG$5&lt;=$F40),IF(AG$5=$E40+1,$C40,""),"")</f>
        <v/>
      </c>
      <c r="AH40" s="34">
        <f>IF(AND(AH$5&gt;$E40,AH$5&lt;=$F40),IF(AH$5=$E40+1,$C40,""),"")</f>
        <v/>
      </c>
      <c r="AI40" s="34">
        <f>IF(AND(AI$5&gt;$E40,AI$5&lt;=$F40),IF(AI$5=$E40+1,$C40,""),"")</f>
        <v/>
      </c>
      <c r="AJ40" s="34">
        <f>IF(AND(AJ$5&gt;$E40,AJ$5&lt;=$F40),IF(AJ$5=$E40+1,$C40,""),"")</f>
        <v/>
      </c>
      <c r="AK40" s="34">
        <f>IF(AND(AK$5&gt;$E40,AK$5&lt;=$F40),IF(AK$5=$E40+1,$C40,""),"")</f>
        <v/>
      </c>
      <c r="AL40" s="34">
        <f>IF(AND(AL$5&gt;$E40,AL$5&lt;=$F40),IF(AL$5=$E40+1,$C40,""),"")</f>
        <v/>
      </c>
      <c r="AM40" s="34">
        <f>IF(AND(AM$5&gt;$E40,AM$5&lt;=$F40),IF(AM$5=$E40+1,$C40,""),"")</f>
        <v/>
      </c>
      <c r="AN40" s="34">
        <f>IF(AND(AN$5&gt;$E40,AN$5&lt;=$F40),IF(AN$5=$E40+1,$C40,""),"")</f>
        <v/>
      </c>
      <c r="AO40" s="34">
        <f>IF(AND(AO$5&gt;$E40,AO$5&lt;=$F40),IF(AO$5=$E40+1,$C40,""),"")</f>
        <v/>
      </c>
      <c r="AP40" s="34">
        <f>IF(AND(AP$5&gt;$E40,AP$5&lt;=$F40),IF(AP$5=$E40+1,$C40,""),"")</f>
        <v/>
      </c>
      <c r="AQ40" s="34">
        <f>IF(AND(AQ$5&gt;$E40,AQ$5&lt;=$F40),IF(AQ$5=$E40+1,$C40,""),"")</f>
        <v/>
      </c>
      <c r="AR40" s="34">
        <f>IF(AND(AR$5&gt;$E40,AR$5&lt;=$F40),IF(AR$5=$E40+1,$C40,""),"")</f>
        <v/>
      </c>
      <c r="AS40" s="34">
        <f>IF(AND(AS$5&gt;$E40,AS$5&lt;=$F40),IF(AS$5=$E40+1,$C40,""),"")</f>
        <v/>
      </c>
      <c r="AT40" s="34">
        <f>IF(AND(AT$5&gt;$E40,AT$5&lt;=$F40),IF(AT$5=$E40+1,$C40,""),"")</f>
        <v/>
      </c>
      <c r="AU40" s="34">
        <f>IF(AND(AU$5&gt;$E40,AU$5&lt;=$F40),IF(AU$5=$E40+1,$C40,""),"")</f>
        <v/>
      </c>
      <c r="AV40" s="34">
        <f>IF(AND(AV$5&gt;$E40,AV$5&lt;=$F40),IF(AV$5=$E40+1,$C40,""),"")</f>
        <v/>
      </c>
      <c r="AW40" s="34">
        <f>IF(AND(AW$5&gt;$E40,AW$5&lt;=$F40),IF(AW$5=$E40+1,$C40,""),"")</f>
        <v/>
      </c>
      <c r="AX40" s="34">
        <f>IF(AND(AX$5&gt;$E40,AX$5&lt;=$F40),IF(AX$5=$E40+1,$C40,""),"")</f>
        <v/>
      </c>
      <c r="AY40" s="34">
        <f>IF(AND(AY$5&gt;$E40,AY$5&lt;=$F40),IF(AY$5=$E40+1,$C40,""),"")</f>
        <v/>
      </c>
      <c r="AZ40" s="34">
        <f>IF(AND(AZ$5&gt;$E40,AZ$5&lt;=$F40),IF(AZ$5=$E40+1,$C40,""),"")</f>
        <v/>
      </c>
      <c r="BA40" s="34">
        <f>IF(AND(BA$5&gt;$E40,BA$5&lt;=$F40),IF(BA$5=$E40+1,$C40,""),"")</f>
        <v/>
      </c>
      <c r="BB40" s="34">
        <f>IF(AND(BB$5&gt;$E40,BB$5&lt;=$F40),IF(BB$5=$E40+1,$C40,""),"")</f>
        <v/>
      </c>
      <c r="BC40" s="34">
        <f>IF(AND(BC$5&gt;$E40,BC$5&lt;=$F40),IF(BC$5=$E40+1,$C40,""),"")</f>
        <v/>
      </c>
      <c r="BD40" s="34">
        <f>IF(AND(BD$5&gt;$E40,BD$5&lt;=$F40),IF(BD$5=$E40+1,$C40,""),"")</f>
        <v/>
      </c>
      <c r="BE40" s="34">
        <f>IF(AND(BE$5&gt;$E40,BE$5&lt;=$F40),IF(BE$5=$E40+1,$C40,""),"")</f>
        <v/>
      </c>
      <c r="BF40" s="34">
        <f>IF(AND(BF$5&gt;$E40,BF$5&lt;=$F40),IF(BF$5=$E40+1,$C40,""),"")</f>
        <v/>
      </c>
      <c r="BG40" s="34">
        <f>IF(AND(BG$5&gt;$E40,BG$5&lt;=$F40),IF(BG$5=$E40+1,$C40,""),"")</f>
        <v/>
      </c>
      <c r="BH40" s="34">
        <f>IF(AND(BH$5&gt;$E40,BH$5&lt;=$F40),IF(BH$5=$E40+1,$C40,""),"")</f>
        <v/>
      </c>
      <c r="BI40" s="34">
        <f>IF(AND(BI$5&gt;$E40,BI$5&lt;=$F40),IF(BI$5=$E40+1,$C40,""),"")</f>
        <v/>
      </c>
      <c r="BJ40" s="34">
        <f>IF(AND(BJ$5&gt;$E40,BJ$5&lt;=$F40),IF(BJ$5=$E40+1,$C40,""),"")</f>
        <v/>
      </c>
      <c r="BK40" s="34">
        <f>IF(AND(BK$5&gt;$E40,BK$5&lt;=$F40),IF(BK$5=$E40+1,$C40,""),"")</f>
        <v/>
      </c>
      <c r="BL40" s="34">
        <f>IF(AND(BL$5&gt;$E40,BL$5&lt;=$F40),IF(BL$5=$E40+1,$C40,""),"")</f>
        <v/>
      </c>
      <c r="BM40" s="34">
        <f>IF(AND(BM$5&gt;$E40,BM$5&lt;=$F40),IF(BM$5=$E40+1,$C40,""),"")</f>
        <v/>
      </c>
      <c r="BN40" s="34">
        <f>IF(AND(BN$5&gt;$E40,BN$5&lt;=$F40),IF(BN$5=$E40+1,$C40,""),"")</f>
        <v/>
      </c>
      <c r="BO40" s="34">
        <f>IF(AND(BO$5&gt;$E40,BO$5&lt;=$F40),IF(BO$5=$E40+1,$C40,""),"")</f>
        <v/>
      </c>
      <c r="BP40" s="34">
        <f>IF(AND(BP$5&gt;$E40,BP$5&lt;=$F40),IF(BP$5=$E40+1,$C40,""),"")</f>
        <v/>
      </c>
      <c r="BQ40" s="34">
        <f>IF(AND(BQ$5&gt;$E40,BQ$5&lt;=$F40),IF(BQ$5=$E40+1,$C40,""),"")</f>
        <v/>
      </c>
      <c r="BR40" s="34">
        <f>IF(AND(BR$5&gt;$E40,BR$5&lt;=$F40),IF(BR$5=$E40+1,$C40,""),"")</f>
        <v/>
      </c>
      <c r="BS40" s="34">
        <f>IF(AND(BS$5&gt;$E40,BS$5&lt;=$F40),IF(BS$5=$E40+1,$C40,""),"")</f>
        <v/>
      </c>
      <c r="BT40" s="34">
        <f>IF(AND(BT$5&gt;$E40,BT$5&lt;=$F40),IF(BT$5=$E40+1,$C40,""),"")</f>
        <v/>
      </c>
      <c r="BU40" s="34">
        <f>IF(AND(BU$5&gt;$E40,BU$5&lt;=$F40),IF(BU$5=$E40+1,$C40,""),"")</f>
        <v/>
      </c>
      <c r="BV40" s="34">
        <f>IF(AND(BV$5&gt;$E40,BV$5&lt;=$F40),IF(BV$5=$E40+1,$C40,""),"")</f>
        <v/>
      </c>
      <c r="BW40" s="34">
        <f>IF(AND(BW$5&gt;$E40,BW$5&lt;=$F40),IF(BW$5=$E40+1,$C40,""),"")</f>
        <v/>
      </c>
      <c r="BX40" s="34">
        <f>IF(AND(BX$5&gt;$E40,BX$5&lt;=$F40),IF(BX$5=$E40+1,$C40,""),"")</f>
        <v/>
      </c>
      <c r="BY40" s="34">
        <f>IF(AND(BY$5&gt;$E40,BY$5&lt;=$F40),IF(BY$5=$E40+1,$C40,""),"")</f>
        <v/>
      </c>
    </row>
    <row r="41">
      <c r="A41" s="32">
        <f>Plan!A33</f>
        <v/>
      </c>
      <c r="B41" s="33">
        <f>Plan!C33</f>
        <v/>
      </c>
      <c r="C41" s="16">
        <f>Plan!D33</f>
        <v/>
      </c>
      <c r="D41" s="16">
        <f>Plan!I33</f>
        <v/>
      </c>
      <c r="E41" s="16">
        <f>Plan!K33</f>
        <v/>
      </c>
      <c r="F41" s="16">
        <f>Plan!L33</f>
        <v/>
      </c>
      <c r="G41" s="16">
        <f>Plan!O33</f>
        <v/>
      </c>
      <c r="H41" s="34">
        <f>IF(AND(H$5&gt;$E41,H$5&lt;=$F41),IF(H$5=$E41+1,$C41,""),"")</f>
        <v/>
      </c>
      <c r="I41" s="34">
        <f>IF(AND(I$5&gt;$E41,I$5&lt;=$F41),IF(I$5=$E41+1,$C41,""),"")</f>
        <v/>
      </c>
      <c r="J41" s="34">
        <f>IF(AND(J$5&gt;$E41,J$5&lt;=$F41),IF(J$5=$E41+1,$C41,""),"")</f>
        <v/>
      </c>
      <c r="K41" s="34">
        <f>IF(AND(K$5&gt;$E41,K$5&lt;=$F41),IF(K$5=$E41+1,$C41,""),"")</f>
        <v/>
      </c>
      <c r="L41" s="34">
        <f>IF(AND(L$5&gt;$E41,L$5&lt;=$F41),IF(L$5=$E41+1,$C41,""),"")</f>
        <v/>
      </c>
      <c r="M41" s="34">
        <f>IF(AND(M$5&gt;$E41,M$5&lt;=$F41),IF(M$5=$E41+1,$C41,""),"")</f>
        <v/>
      </c>
      <c r="N41" s="34">
        <f>IF(AND(N$5&gt;$E41,N$5&lt;=$F41),IF(N$5=$E41+1,$C41,""),"")</f>
        <v/>
      </c>
      <c r="O41" s="34">
        <f>IF(AND(O$5&gt;$E41,O$5&lt;=$F41),IF(O$5=$E41+1,$C41,""),"")</f>
        <v/>
      </c>
      <c r="P41" s="34">
        <f>IF(AND(P$5&gt;$E41,P$5&lt;=$F41),IF(P$5=$E41+1,$C41,""),"")</f>
        <v/>
      </c>
      <c r="Q41" s="34">
        <f>IF(AND(Q$5&gt;$E41,Q$5&lt;=$F41),IF(Q$5=$E41+1,$C41,""),"")</f>
        <v/>
      </c>
      <c r="R41" s="34">
        <f>IF(AND(R$5&gt;$E41,R$5&lt;=$F41),IF(R$5=$E41+1,$C41,""),"")</f>
        <v/>
      </c>
      <c r="S41" s="34">
        <f>IF(AND(S$5&gt;$E41,S$5&lt;=$F41),IF(S$5=$E41+1,$C41,""),"")</f>
        <v/>
      </c>
      <c r="T41" s="34">
        <f>IF(AND(T$5&gt;$E41,T$5&lt;=$F41),IF(T$5=$E41+1,$C41,""),"")</f>
        <v/>
      </c>
      <c r="U41" s="34">
        <f>IF(AND(U$5&gt;$E41,U$5&lt;=$F41),IF(U$5=$E41+1,$C41,""),"")</f>
        <v/>
      </c>
      <c r="V41" s="34">
        <f>IF(AND(V$5&gt;$E41,V$5&lt;=$F41),IF(V$5=$E41+1,$C41,""),"")</f>
        <v/>
      </c>
      <c r="W41" s="34">
        <f>IF(AND(W$5&gt;$E41,W$5&lt;=$F41),IF(W$5=$E41+1,$C41,""),"")</f>
        <v/>
      </c>
      <c r="X41" s="34">
        <f>IF(AND(X$5&gt;$E41,X$5&lt;=$F41),IF(X$5=$E41+1,$C41,""),"")</f>
        <v/>
      </c>
      <c r="Y41" s="34">
        <f>IF(AND(Y$5&gt;$E41,Y$5&lt;=$F41),IF(Y$5=$E41+1,$C41,""),"")</f>
        <v/>
      </c>
      <c r="Z41" s="34">
        <f>IF(AND(Z$5&gt;$E41,Z$5&lt;=$F41),IF(Z$5=$E41+1,$C41,""),"")</f>
        <v/>
      </c>
      <c r="AA41" s="34">
        <f>IF(AND(AA$5&gt;$E41,AA$5&lt;=$F41),IF(AA$5=$E41+1,$C41,""),"")</f>
        <v/>
      </c>
      <c r="AB41" s="34">
        <f>IF(AND(AB$5&gt;$E41,AB$5&lt;=$F41),IF(AB$5=$E41+1,$C41,""),"")</f>
        <v/>
      </c>
      <c r="AC41" s="34">
        <f>IF(AND(AC$5&gt;$E41,AC$5&lt;=$F41),IF(AC$5=$E41+1,$C41,""),"")</f>
        <v/>
      </c>
      <c r="AD41" s="34">
        <f>IF(AND(AD$5&gt;$E41,AD$5&lt;=$F41),IF(AD$5=$E41+1,$C41,""),"")</f>
        <v/>
      </c>
      <c r="AE41" s="34">
        <f>IF(AND(AE$5&gt;$E41,AE$5&lt;=$F41),IF(AE$5=$E41+1,$C41,""),"")</f>
        <v/>
      </c>
      <c r="AF41" s="34">
        <f>IF(AND(AF$5&gt;$E41,AF$5&lt;=$F41),IF(AF$5=$E41+1,$C41,""),"")</f>
        <v/>
      </c>
      <c r="AG41" s="34">
        <f>IF(AND(AG$5&gt;$E41,AG$5&lt;=$F41),IF(AG$5=$E41+1,$C41,""),"")</f>
        <v/>
      </c>
      <c r="AH41" s="34">
        <f>IF(AND(AH$5&gt;$E41,AH$5&lt;=$F41),IF(AH$5=$E41+1,$C41,""),"")</f>
        <v/>
      </c>
      <c r="AI41" s="34">
        <f>IF(AND(AI$5&gt;$E41,AI$5&lt;=$F41),IF(AI$5=$E41+1,$C41,""),"")</f>
        <v/>
      </c>
      <c r="AJ41" s="34">
        <f>IF(AND(AJ$5&gt;$E41,AJ$5&lt;=$F41),IF(AJ$5=$E41+1,$C41,""),"")</f>
        <v/>
      </c>
      <c r="AK41" s="34">
        <f>IF(AND(AK$5&gt;$E41,AK$5&lt;=$F41),IF(AK$5=$E41+1,$C41,""),"")</f>
        <v/>
      </c>
      <c r="AL41" s="34">
        <f>IF(AND(AL$5&gt;$E41,AL$5&lt;=$F41),IF(AL$5=$E41+1,$C41,""),"")</f>
        <v/>
      </c>
      <c r="AM41" s="34">
        <f>IF(AND(AM$5&gt;$E41,AM$5&lt;=$F41),IF(AM$5=$E41+1,$C41,""),"")</f>
        <v/>
      </c>
      <c r="AN41" s="34">
        <f>IF(AND(AN$5&gt;$E41,AN$5&lt;=$F41),IF(AN$5=$E41+1,$C41,""),"")</f>
        <v/>
      </c>
      <c r="AO41" s="34">
        <f>IF(AND(AO$5&gt;$E41,AO$5&lt;=$F41),IF(AO$5=$E41+1,$C41,""),"")</f>
        <v/>
      </c>
      <c r="AP41" s="34">
        <f>IF(AND(AP$5&gt;$E41,AP$5&lt;=$F41),IF(AP$5=$E41+1,$C41,""),"")</f>
        <v/>
      </c>
      <c r="AQ41" s="34">
        <f>IF(AND(AQ$5&gt;$E41,AQ$5&lt;=$F41),IF(AQ$5=$E41+1,$C41,""),"")</f>
        <v/>
      </c>
      <c r="AR41" s="34">
        <f>IF(AND(AR$5&gt;$E41,AR$5&lt;=$F41),IF(AR$5=$E41+1,$C41,""),"")</f>
        <v/>
      </c>
      <c r="AS41" s="34">
        <f>IF(AND(AS$5&gt;$E41,AS$5&lt;=$F41),IF(AS$5=$E41+1,$C41,""),"")</f>
        <v/>
      </c>
      <c r="AT41" s="34">
        <f>IF(AND(AT$5&gt;$E41,AT$5&lt;=$F41),IF(AT$5=$E41+1,$C41,""),"")</f>
        <v/>
      </c>
      <c r="AU41" s="34">
        <f>IF(AND(AU$5&gt;$E41,AU$5&lt;=$F41),IF(AU$5=$E41+1,$C41,""),"")</f>
        <v/>
      </c>
      <c r="AV41" s="34">
        <f>IF(AND(AV$5&gt;$E41,AV$5&lt;=$F41),IF(AV$5=$E41+1,$C41,""),"")</f>
        <v/>
      </c>
      <c r="AW41" s="34">
        <f>IF(AND(AW$5&gt;$E41,AW$5&lt;=$F41),IF(AW$5=$E41+1,$C41,""),"")</f>
        <v/>
      </c>
      <c r="AX41" s="34">
        <f>IF(AND(AX$5&gt;$E41,AX$5&lt;=$F41),IF(AX$5=$E41+1,$C41,""),"")</f>
        <v/>
      </c>
      <c r="AY41" s="34">
        <f>IF(AND(AY$5&gt;$E41,AY$5&lt;=$F41),IF(AY$5=$E41+1,$C41,""),"")</f>
        <v/>
      </c>
      <c r="AZ41" s="34">
        <f>IF(AND(AZ$5&gt;$E41,AZ$5&lt;=$F41),IF(AZ$5=$E41+1,$C41,""),"")</f>
        <v/>
      </c>
      <c r="BA41" s="34">
        <f>IF(AND(BA$5&gt;$E41,BA$5&lt;=$F41),IF(BA$5=$E41+1,$C41,""),"")</f>
        <v/>
      </c>
      <c r="BB41" s="34">
        <f>IF(AND(BB$5&gt;$E41,BB$5&lt;=$F41),IF(BB$5=$E41+1,$C41,""),"")</f>
        <v/>
      </c>
      <c r="BC41" s="34">
        <f>IF(AND(BC$5&gt;$E41,BC$5&lt;=$F41),IF(BC$5=$E41+1,$C41,""),"")</f>
        <v/>
      </c>
      <c r="BD41" s="34">
        <f>IF(AND(BD$5&gt;$E41,BD$5&lt;=$F41),IF(BD$5=$E41+1,$C41,""),"")</f>
        <v/>
      </c>
      <c r="BE41" s="34">
        <f>IF(AND(BE$5&gt;$E41,BE$5&lt;=$F41),IF(BE$5=$E41+1,$C41,""),"")</f>
        <v/>
      </c>
      <c r="BF41" s="34">
        <f>IF(AND(BF$5&gt;$E41,BF$5&lt;=$F41),IF(BF$5=$E41+1,$C41,""),"")</f>
        <v/>
      </c>
      <c r="BG41" s="34">
        <f>IF(AND(BG$5&gt;$E41,BG$5&lt;=$F41),IF(BG$5=$E41+1,$C41,""),"")</f>
        <v/>
      </c>
      <c r="BH41" s="34">
        <f>IF(AND(BH$5&gt;$E41,BH$5&lt;=$F41),IF(BH$5=$E41+1,$C41,""),"")</f>
        <v/>
      </c>
      <c r="BI41" s="34">
        <f>IF(AND(BI$5&gt;$E41,BI$5&lt;=$F41),IF(BI$5=$E41+1,$C41,""),"")</f>
        <v/>
      </c>
      <c r="BJ41" s="34">
        <f>IF(AND(BJ$5&gt;$E41,BJ$5&lt;=$F41),IF(BJ$5=$E41+1,$C41,""),"")</f>
        <v/>
      </c>
      <c r="BK41" s="34">
        <f>IF(AND(BK$5&gt;$E41,BK$5&lt;=$F41),IF(BK$5=$E41+1,$C41,""),"")</f>
        <v/>
      </c>
      <c r="BL41" s="34">
        <f>IF(AND(BL$5&gt;$E41,BL$5&lt;=$F41),IF(BL$5=$E41+1,$C41,""),"")</f>
        <v/>
      </c>
      <c r="BM41" s="34">
        <f>IF(AND(BM$5&gt;$E41,BM$5&lt;=$F41),IF(BM$5=$E41+1,$C41,""),"")</f>
        <v/>
      </c>
      <c r="BN41" s="34">
        <f>IF(AND(BN$5&gt;$E41,BN$5&lt;=$F41),IF(BN$5=$E41+1,$C41,""),"")</f>
        <v/>
      </c>
      <c r="BO41" s="34">
        <f>IF(AND(BO$5&gt;$E41,BO$5&lt;=$F41),IF(BO$5=$E41+1,$C41,""),"")</f>
        <v/>
      </c>
      <c r="BP41" s="34">
        <f>IF(AND(BP$5&gt;$E41,BP$5&lt;=$F41),IF(BP$5=$E41+1,$C41,""),"")</f>
        <v/>
      </c>
      <c r="BQ41" s="34">
        <f>IF(AND(BQ$5&gt;$E41,BQ$5&lt;=$F41),IF(BQ$5=$E41+1,$C41,""),"")</f>
        <v/>
      </c>
      <c r="BR41" s="34">
        <f>IF(AND(BR$5&gt;$E41,BR$5&lt;=$F41),IF(BR$5=$E41+1,$C41,""),"")</f>
        <v/>
      </c>
      <c r="BS41" s="34">
        <f>IF(AND(BS$5&gt;$E41,BS$5&lt;=$F41),IF(BS$5=$E41+1,$C41,""),"")</f>
        <v/>
      </c>
      <c r="BT41" s="34">
        <f>IF(AND(BT$5&gt;$E41,BT$5&lt;=$F41),IF(BT$5=$E41+1,$C41,""),"")</f>
        <v/>
      </c>
      <c r="BU41" s="34">
        <f>IF(AND(BU$5&gt;$E41,BU$5&lt;=$F41),IF(BU$5=$E41+1,$C41,""),"")</f>
        <v/>
      </c>
      <c r="BV41" s="34">
        <f>IF(AND(BV$5&gt;$E41,BV$5&lt;=$F41),IF(BV$5=$E41+1,$C41,""),"")</f>
        <v/>
      </c>
      <c r="BW41" s="34">
        <f>IF(AND(BW$5&gt;$E41,BW$5&lt;=$F41),IF(BW$5=$E41+1,$C41,""),"")</f>
        <v/>
      </c>
      <c r="BX41" s="34">
        <f>IF(AND(BX$5&gt;$E41,BX$5&lt;=$F41),IF(BX$5=$E41+1,$C41,""),"")</f>
        <v/>
      </c>
      <c r="BY41" s="34">
        <f>IF(AND(BY$5&gt;$E41,BY$5&lt;=$F41),IF(BY$5=$E41+1,$C41,""),"")</f>
        <v/>
      </c>
    </row>
    <row r="42">
      <c r="A42" s="32">
        <f>Plan!A34</f>
        <v/>
      </c>
      <c r="B42" s="33">
        <f>Plan!C34</f>
        <v/>
      </c>
      <c r="C42" s="16">
        <f>Plan!D34</f>
        <v/>
      </c>
      <c r="D42" s="16">
        <f>Plan!I34</f>
        <v/>
      </c>
      <c r="E42" s="16">
        <f>Plan!K34</f>
        <v/>
      </c>
      <c r="F42" s="16">
        <f>Plan!L34</f>
        <v/>
      </c>
      <c r="G42" s="16">
        <f>Plan!O34</f>
        <v/>
      </c>
      <c r="H42" s="34">
        <f>IF(AND(H$5&gt;$E42,H$5&lt;=$F42),IF(H$5=$E42+1,$C42,""),"")</f>
        <v/>
      </c>
      <c r="I42" s="34">
        <f>IF(AND(I$5&gt;$E42,I$5&lt;=$F42),IF(I$5=$E42+1,$C42,""),"")</f>
        <v/>
      </c>
      <c r="J42" s="34">
        <f>IF(AND(J$5&gt;$E42,J$5&lt;=$F42),IF(J$5=$E42+1,$C42,""),"")</f>
        <v/>
      </c>
      <c r="K42" s="34">
        <f>IF(AND(K$5&gt;$E42,K$5&lt;=$F42),IF(K$5=$E42+1,$C42,""),"")</f>
        <v/>
      </c>
      <c r="L42" s="34">
        <f>IF(AND(L$5&gt;$E42,L$5&lt;=$F42),IF(L$5=$E42+1,$C42,""),"")</f>
        <v/>
      </c>
      <c r="M42" s="34">
        <f>IF(AND(M$5&gt;$E42,M$5&lt;=$F42),IF(M$5=$E42+1,$C42,""),"")</f>
        <v/>
      </c>
      <c r="N42" s="34">
        <f>IF(AND(N$5&gt;$E42,N$5&lt;=$F42),IF(N$5=$E42+1,$C42,""),"")</f>
        <v/>
      </c>
      <c r="O42" s="34">
        <f>IF(AND(O$5&gt;$E42,O$5&lt;=$F42),IF(O$5=$E42+1,$C42,""),"")</f>
        <v/>
      </c>
      <c r="P42" s="34">
        <f>IF(AND(P$5&gt;$E42,P$5&lt;=$F42),IF(P$5=$E42+1,$C42,""),"")</f>
        <v/>
      </c>
      <c r="Q42" s="34">
        <f>IF(AND(Q$5&gt;$E42,Q$5&lt;=$F42),IF(Q$5=$E42+1,$C42,""),"")</f>
        <v/>
      </c>
      <c r="R42" s="34">
        <f>IF(AND(R$5&gt;$E42,R$5&lt;=$F42),IF(R$5=$E42+1,$C42,""),"")</f>
        <v/>
      </c>
      <c r="S42" s="34">
        <f>IF(AND(S$5&gt;$E42,S$5&lt;=$F42),IF(S$5=$E42+1,$C42,""),"")</f>
        <v/>
      </c>
      <c r="T42" s="34">
        <f>IF(AND(T$5&gt;$E42,T$5&lt;=$F42),IF(T$5=$E42+1,$C42,""),"")</f>
        <v/>
      </c>
      <c r="U42" s="34">
        <f>IF(AND(U$5&gt;$E42,U$5&lt;=$F42),IF(U$5=$E42+1,$C42,""),"")</f>
        <v/>
      </c>
      <c r="V42" s="34">
        <f>IF(AND(V$5&gt;$E42,V$5&lt;=$F42),IF(V$5=$E42+1,$C42,""),"")</f>
        <v/>
      </c>
      <c r="W42" s="34">
        <f>IF(AND(W$5&gt;$E42,W$5&lt;=$F42),IF(W$5=$E42+1,$C42,""),"")</f>
        <v/>
      </c>
      <c r="X42" s="34">
        <f>IF(AND(X$5&gt;$E42,X$5&lt;=$F42),IF(X$5=$E42+1,$C42,""),"")</f>
        <v/>
      </c>
      <c r="Y42" s="34">
        <f>IF(AND(Y$5&gt;$E42,Y$5&lt;=$F42),IF(Y$5=$E42+1,$C42,""),"")</f>
        <v/>
      </c>
      <c r="Z42" s="34">
        <f>IF(AND(Z$5&gt;$E42,Z$5&lt;=$F42),IF(Z$5=$E42+1,$C42,""),"")</f>
        <v/>
      </c>
      <c r="AA42" s="34">
        <f>IF(AND(AA$5&gt;$E42,AA$5&lt;=$F42),IF(AA$5=$E42+1,$C42,""),"")</f>
        <v/>
      </c>
      <c r="AB42" s="34">
        <f>IF(AND(AB$5&gt;$E42,AB$5&lt;=$F42),IF(AB$5=$E42+1,$C42,""),"")</f>
        <v/>
      </c>
      <c r="AC42" s="34">
        <f>IF(AND(AC$5&gt;$E42,AC$5&lt;=$F42),IF(AC$5=$E42+1,$C42,""),"")</f>
        <v/>
      </c>
      <c r="AD42" s="34">
        <f>IF(AND(AD$5&gt;$E42,AD$5&lt;=$F42),IF(AD$5=$E42+1,$C42,""),"")</f>
        <v/>
      </c>
      <c r="AE42" s="34">
        <f>IF(AND(AE$5&gt;$E42,AE$5&lt;=$F42),IF(AE$5=$E42+1,$C42,""),"")</f>
        <v/>
      </c>
      <c r="AF42" s="34">
        <f>IF(AND(AF$5&gt;$E42,AF$5&lt;=$F42),IF(AF$5=$E42+1,$C42,""),"")</f>
        <v/>
      </c>
      <c r="AG42" s="34">
        <f>IF(AND(AG$5&gt;$E42,AG$5&lt;=$F42),IF(AG$5=$E42+1,$C42,""),"")</f>
        <v/>
      </c>
      <c r="AH42" s="34">
        <f>IF(AND(AH$5&gt;$E42,AH$5&lt;=$F42),IF(AH$5=$E42+1,$C42,""),"")</f>
        <v/>
      </c>
      <c r="AI42" s="34">
        <f>IF(AND(AI$5&gt;$E42,AI$5&lt;=$F42),IF(AI$5=$E42+1,$C42,""),"")</f>
        <v/>
      </c>
      <c r="AJ42" s="34">
        <f>IF(AND(AJ$5&gt;$E42,AJ$5&lt;=$F42),IF(AJ$5=$E42+1,$C42,""),"")</f>
        <v/>
      </c>
      <c r="AK42" s="34">
        <f>IF(AND(AK$5&gt;$E42,AK$5&lt;=$F42),IF(AK$5=$E42+1,$C42,""),"")</f>
        <v/>
      </c>
      <c r="AL42" s="34">
        <f>IF(AND(AL$5&gt;$E42,AL$5&lt;=$F42),IF(AL$5=$E42+1,$C42,""),"")</f>
        <v/>
      </c>
      <c r="AM42" s="34">
        <f>IF(AND(AM$5&gt;$E42,AM$5&lt;=$F42),IF(AM$5=$E42+1,$C42,""),"")</f>
        <v/>
      </c>
      <c r="AN42" s="34">
        <f>IF(AND(AN$5&gt;$E42,AN$5&lt;=$F42),IF(AN$5=$E42+1,$C42,""),"")</f>
        <v/>
      </c>
      <c r="AO42" s="34">
        <f>IF(AND(AO$5&gt;$E42,AO$5&lt;=$F42),IF(AO$5=$E42+1,$C42,""),"")</f>
        <v/>
      </c>
      <c r="AP42" s="34">
        <f>IF(AND(AP$5&gt;$E42,AP$5&lt;=$F42),IF(AP$5=$E42+1,$C42,""),"")</f>
        <v/>
      </c>
      <c r="AQ42" s="34">
        <f>IF(AND(AQ$5&gt;$E42,AQ$5&lt;=$F42),IF(AQ$5=$E42+1,$C42,""),"")</f>
        <v/>
      </c>
      <c r="AR42" s="34">
        <f>IF(AND(AR$5&gt;$E42,AR$5&lt;=$F42),IF(AR$5=$E42+1,$C42,""),"")</f>
        <v/>
      </c>
      <c r="AS42" s="34">
        <f>IF(AND(AS$5&gt;$E42,AS$5&lt;=$F42),IF(AS$5=$E42+1,$C42,""),"")</f>
        <v/>
      </c>
      <c r="AT42" s="34">
        <f>IF(AND(AT$5&gt;$E42,AT$5&lt;=$F42),IF(AT$5=$E42+1,$C42,""),"")</f>
        <v/>
      </c>
      <c r="AU42" s="34">
        <f>IF(AND(AU$5&gt;$E42,AU$5&lt;=$F42),IF(AU$5=$E42+1,$C42,""),"")</f>
        <v/>
      </c>
      <c r="AV42" s="34">
        <f>IF(AND(AV$5&gt;$E42,AV$5&lt;=$F42),IF(AV$5=$E42+1,$C42,""),"")</f>
        <v/>
      </c>
      <c r="AW42" s="34">
        <f>IF(AND(AW$5&gt;$E42,AW$5&lt;=$F42),IF(AW$5=$E42+1,$C42,""),"")</f>
        <v/>
      </c>
      <c r="AX42" s="34">
        <f>IF(AND(AX$5&gt;$E42,AX$5&lt;=$F42),IF(AX$5=$E42+1,$C42,""),"")</f>
        <v/>
      </c>
      <c r="AY42" s="34">
        <f>IF(AND(AY$5&gt;$E42,AY$5&lt;=$F42),IF(AY$5=$E42+1,$C42,""),"")</f>
        <v/>
      </c>
      <c r="AZ42" s="34">
        <f>IF(AND(AZ$5&gt;$E42,AZ$5&lt;=$F42),IF(AZ$5=$E42+1,$C42,""),"")</f>
        <v/>
      </c>
      <c r="BA42" s="34">
        <f>IF(AND(BA$5&gt;$E42,BA$5&lt;=$F42),IF(BA$5=$E42+1,$C42,""),"")</f>
        <v/>
      </c>
      <c r="BB42" s="34">
        <f>IF(AND(BB$5&gt;$E42,BB$5&lt;=$F42),IF(BB$5=$E42+1,$C42,""),"")</f>
        <v/>
      </c>
      <c r="BC42" s="34">
        <f>IF(AND(BC$5&gt;$E42,BC$5&lt;=$F42),IF(BC$5=$E42+1,$C42,""),"")</f>
        <v/>
      </c>
      <c r="BD42" s="34">
        <f>IF(AND(BD$5&gt;$E42,BD$5&lt;=$F42),IF(BD$5=$E42+1,$C42,""),"")</f>
        <v/>
      </c>
      <c r="BE42" s="34">
        <f>IF(AND(BE$5&gt;$E42,BE$5&lt;=$F42),IF(BE$5=$E42+1,$C42,""),"")</f>
        <v/>
      </c>
      <c r="BF42" s="34">
        <f>IF(AND(BF$5&gt;$E42,BF$5&lt;=$F42),IF(BF$5=$E42+1,$C42,""),"")</f>
        <v/>
      </c>
      <c r="BG42" s="34">
        <f>IF(AND(BG$5&gt;$E42,BG$5&lt;=$F42),IF(BG$5=$E42+1,$C42,""),"")</f>
        <v/>
      </c>
      <c r="BH42" s="34">
        <f>IF(AND(BH$5&gt;$E42,BH$5&lt;=$F42),IF(BH$5=$E42+1,$C42,""),"")</f>
        <v/>
      </c>
      <c r="BI42" s="34">
        <f>IF(AND(BI$5&gt;$E42,BI$5&lt;=$F42),IF(BI$5=$E42+1,$C42,""),"")</f>
        <v/>
      </c>
      <c r="BJ42" s="34">
        <f>IF(AND(BJ$5&gt;$E42,BJ$5&lt;=$F42),IF(BJ$5=$E42+1,$C42,""),"")</f>
        <v/>
      </c>
      <c r="BK42" s="34">
        <f>IF(AND(BK$5&gt;$E42,BK$5&lt;=$F42),IF(BK$5=$E42+1,$C42,""),"")</f>
        <v/>
      </c>
      <c r="BL42" s="34">
        <f>IF(AND(BL$5&gt;$E42,BL$5&lt;=$F42),IF(BL$5=$E42+1,$C42,""),"")</f>
        <v/>
      </c>
      <c r="BM42" s="34">
        <f>IF(AND(BM$5&gt;$E42,BM$5&lt;=$F42),IF(BM$5=$E42+1,$C42,""),"")</f>
        <v/>
      </c>
      <c r="BN42" s="34">
        <f>IF(AND(BN$5&gt;$E42,BN$5&lt;=$F42),IF(BN$5=$E42+1,$C42,""),"")</f>
        <v/>
      </c>
      <c r="BO42" s="34">
        <f>IF(AND(BO$5&gt;$E42,BO$5&lt;=$F42),IF(BO$5=$E42+1,$C42,""),"")</f>
        <v/>
      </c>
      <c r="BP42" s="34">
        <f>IF(AND(BP$5&gt;$E42,BP$5&lt;=$F42),IF(BP$5=$E42+1,$C42,""),"")</f>
        <v/>
      </c>
      <c r="BQ42" s="34">
        <f>IF(AND(BQ$5&gt;$E42,BQ$5&lt;=$F42),IF(BQ$5=$E42+1,$C42,""),"")</f>
        <v/>
      </c>
      <c r="BR42" s="34">
        <f>IF(AND(BR$5&gt;$E42,BR$5&lt;=$F42),IF(BR$5=$E42+1,$C42,""),"")</f>
        <v/>
      </c>
      <c r="BS42" s="34">
        <f>IF(AND(BS$5&gt;$E42,BS$5&lt;=$F42),IF(BS$5=$E42+1,$C42,""),"")</f>
        <v/>
      </c>
      <c r="BT42" s="34">
        <f>IF(AND(BT$5&gt;$E42,BT$5&lt;=$F42),IF(BT$5=$E42+1,$C42,""),"")</f>
        <v/>
      </c>
      <c r="BU42" s="34">
        <f>IF(AND(BU$5&gt;$E42,BU$5&lt;=$F42),IF(BU$5=$E42+1,$C42,""),"")</f>
        <v/>
      </c>
      <c r="BV42" s="34">
        <f>IF(AND(BV$5&gt;$E42,BV$5&lt;=$F42),IF(BV$5=$E42+1,$C42,""),"")</f>
        <v/>
      </c>
      <c r="BW42" s="34">
        <f>IF(AND(BW$5&gt;$E42,BW$5&lt;=$F42),IF(BW$5=$E42+1,$C42,""),"")</f>
        <v/>
      </c>
      <c r="BX42" s="34">
        <f>IF(AND(BX$5&gt;$E42,BX$5&lt;=$F42),IF(BX$5=$E42+1,$C42,""),"")</f>
        <v/>
      </c>
      <c r="BY42" s="34">
        <f>IF(AND(BY$5&gt;$E42,BY$5&lt;=$F42),IF(BY$5=$E42+1,$C42,""),"")</f>
        <v/>
      </c>
    </row>
    <row r="43">
      <c r="A43" s="32">
        <f>Plan!A35</f>
        <v/>
      </c>
      <c r="B43" s="33">
        <f>Plan!C35</f>
        <v/>
      </c>
      <c r="C43" s="16">
        <f>Plan!D35</f>
        <v/>
      </c>
      <c r="D43" s="16">
        <f>Plan!I35</f>
        <v/>
      </c>
      <c r="E43" s="16">
        <f>Plan!K35</f>
        <v/>
      </c>
      <c r="F43" s="16">
        <f>Plan!L35</f>
        <v/>
      </c>
      <c r="G43" s="16">
        <f>Plan!O35</f>
        <v/>
      </c>
      <c r="H43" s="34">
        <f>IF(AND(H$5&gt;$E43,H$5&lt;=$F43),IF(H$5=$E43+1,$C43,""),"")</f>
        <v/>
      </c>
      <c r="I43" s="34">
        <f>IF(AND(I$5&gt;$E43,I$5&lt;=$F43),IF(I$5=$E43+1,$C43,""),"")</f>
        <v/>
      </c>
      <c r="J43" s="34">
        <f>IF(AND(J$5&gt;$E43,J$5&lt;=$F43),IF(J$5=$E43+1,$C43,""),"")</f>
        <v/>
      </c>
      <c r="K43" s="34">
        <f>IF(AND(K$5&gt;$E43,K$5&lt;=$F43),IF(K$5=$E43+1,$C43,""),"")</f>
        <v/>
      </c>
      <c r="L43" s="34">
        <f>IF(AND(L$5&gt;$E43,L$5&lt;=$F43),IF(L$5=$E43+1,$C43,""),"")</f>
        <v/>
      </c>
      <c r="M43" s="34">
        <f>IF(AND(M$5&gt;$E43,M$5&lt;=$F43),IF(M$5=$E43+1,$C43,""),"")</f>
        <v/>
      </c>
      <c r="N43" s="34">
        <f>IF(AND(N$5&gt;$E43,N$5&lt;=$F43),IF(N$5=$E43+1,$C43,""),"")</f>
        <v/>
      </c>
      <c r="O43" s="34">
        <f>IF(AND(O$5&gt;$E43,O$5&lt;=$F43),IF(O$5=$E43+1,$C43,""),"")</f>
        <v/>
      </c>
      <c r="P43" s="34">
        <f>IF(AND(P$5&gt;$E43,P$5&lt;=$F43),IF(P$5=$E43+1,$C43,""),"")</f>
        <v/>
      </c>
      <c r="Q43" s="34">
        <f>IF(AND(Q$5&gt;$E43,Q$5&lt;=$F43),IF(Q$5=$E43+1,$C43,""),"")</f>
        <v/>
      </c>
      <c r="R43" s="34">
        <f>IF(AND(R$5&gt;$E43,R$5&lt;=$F43),IF(R$5=$E43+1,$C43,""),"")</f>
        <v/>
      </c>
      <c r="S43" s="34">
        <f>IF(AND(S$5&gt;$E43,S$5&lt;=$F43),IF(S$5=$E43+1,$C43,""),"")</f>
        <v/>
      </c>
      <c r="T43" s="34">
        <f>IF(AND(T$5&gt;$E43,T$5&lt;=$F43),IF(T$5=$E43+1,$C43,""),"")</f>
        <v/>
      </c>
      <c r="U43" s="34">
        <f>IF(AND(U$5&gt;$E43,U$5&lt;=$F43),IF(U$5=$E43+1,$C43,""),"")</f>
        <v/>
      </c>
      <c r="V43" s="34">
        <f>IF(AND(V$5&gt;$E43,V$5&lt;=$F43),IF(V$5=$E43+1,$C43,""),"")</f>
        <v/>
      </c>
      <c r="W43" s="34">
        <f>IF(AND(W$5&gt;$E43,W$5&lt;=$F43),IF(W$5=$E43+1,$C43,""),"")</f>
        <v/>
      </c>
      <c r="X43" s="34">
        <f>IF(AND(X$5&gt;$E43,X$5&lt;=$F43),IF(X$5=$E43+1,$C43,""),"")</f>
        <v/>
      </c>
      <c r="Y43" s="34">
        <f>IF(AND(Y$5&gt;$E43,Y$5&lt;=$F43),IF(Y$5=$E43+1,$C43,""),"")</f>
        <v/>
      </c>
      <c r="Z43" s="34">
        <f>IF(AND(Z$5&gt;$E43,Z$5&lt;=$F43),IF(Z$5=$E43+1,$C43,""),"")</f>
        <v/>
      </c>
      <c r="AA43" s="34">
        <f>IF(AND(AA$5&gt;$E43,AA$5&lt;=$F43),IF(AA$5=$E43+1,$C43,""),"")</f>
        <v/>
      </c>
      <c r="AB43" s="34">
        <f>IF(AND(AB$5&gt;$E43,AB$5&lt;=$F43),IF(AB$5=$E43+1,$C43,""),"")</f>
        <v/>
      </c>
      <c r="AC43" s="34">
        <f>IF(AND(AC$5&gt;$E43,AC$5&lt;=$F43),IF(AC$5=$E43+1,$C43,""),"")</f>
        <v/>
      </c>
      <c r="AD43" s="34">
        <f>IF(AND(AD$5&gt;$E43,AD$5&lt;=$F43),IF(AD$5=$E43+1,$C43,""),"")</f>
        <v/>
      </c>
      <c r="AE43" s="34">
        <f>IF(AND(AE$5&gt;$E43,AE$5&lt;=$F43),IF(AE$5=$E43+1,$C43,""),"")</f>
        <v/>
      </c>
      <c r="AF43" s="34">
        <f>IF(AND(AF$5&gt;$E43,AF$5&lt;=$F43),IF(AF$5=$E43+1,$C43,""),"")</f>
        <v/>
      </c>
      <c r="AG43" s="34">
        <f>IF(AND(AG$5&gt;$E43,AG$5&lt;=$F43),IF(AG$5=$E43+1,$C43,""),"")</f>
        <v/>
      </c>
      <c r="AH43" s="34">
        <f>IF(AND(AH$5&gt;$E43,AH$5&lt;=$F43),IF(AH$5=$E43+1,$C43,""),"")</f>
        <v/>
      </c>
      <c r="AI43" s="34">
        <f>IF(AND(AI$5&gt;$E43,AI$5&lt;=$F43),IF(AI$5=$E43+1,$C43,""),"")</f>
        <v/>
      </c>
      <c r="AJ43" s="34">
        <f>IF(AND(AJ$5&gt;$E43,AJ$5&lt;=$F43),IF(AJ$5=$E43+1,$C43,""),"")</f>
        <v/>
      </c>
      <c r="AK43" s="34">
        <f>IF(AND(AK$5&gt;$E43,AK$5&lt;=$F43),IF(AK$5=$E43+1,$C43,""),"")</f>
        <v/>
      </c>
      <c r="AL43" s="34">
        <f>IF(AND(AL$5&gt;$E43,AL$5&lt;=$F43),IF(AL$5=$E43+1,$C43,""),"")</f>
        <v/>
      </c>
      <c r="AM43" s="34">
        <f>IF(AND(AM$5&gt;$E43,AM$5&lt;=$F43),IF(AM$5=$E43+1,$C43,""),"")</f>
        <v/>
      </c>
      <c r="AN43" s="34">
        <f>IF(AND(AN$5&gt;$E43,AN$5&lt;=$F43),IF(AN$5=$E43+1,$C43,""),"")</f>
        <v/>
      </c>
      <c r="AO43" s="34">
        <f>IF(AND(AO$5&gt;$E43,AO$5&lt;=$F43),IF(AO$5=$E43+1,$C43,""),"")</f>
        <v/>
      </c>
      <c r="AP43" s="34">
        <f>IF(AND(AP$5&gt;$E43,AP$5&lt;=$F43),IF(AP$5=$E43+1,$C43,""),"")</f>
        <v/>
      </c>
      <c r="AQ43" s="34">
        <f>IF(AND(AQ$5&gt;$E43,AQ$5&lt;=$F43),IF(AQ$5=$E43+1,$C43,""),"")</f>
        <v/>
      </c>
      <c r="AR43" s="34">
        <f>IF(AND(AR$5&gt;$E43,AR$5&lt;=$F43),IF(AR$5=$E43+1,$C43,""),"")</f>
        <v/>
      </c>
      <c r="AS43" s="34">
        <f>IF(AND(AS$5&gt;$E43,AS$5&lt;=$F43),IF(AS$5=$E43+1,$C43,""),"")</f>
        <v/>
      </c>
      <c r="AT43" s="34">
        <f>IF(AND(AT$5&gt;$E43,AT$5&lt;=$F43),IF(AT$5=$E43+1,$C43,""),"")</f>
        <v/>
      </c>
      <c r="AU43" s="34">
        <f>IF(AND(AU$5&gt;$E43,AU$5&lt;=$F43),IF(AU$5=$E43+1,$C43,""),"")</f>
        <v/>
      </c>
      <c r="AV43" s="34">
        <f>IF(AND(AV$5&gt;$E43,AV$5&lt;=$F43),IF(AV$5=$E43+1,$C43,""),"")</f>
        <v/>
      </c>
      <c r="AW43" s="34">
        <f>IF(AND(AW$5&gt;$E43,AW$5&lt;=$F43),IF(AW$5=$E43+1,$C43,""),"")</f>
        <v/>
      </c>
      <c r="AX43" s="34">
        <f>IF(AND(AX$5&gt;$E43,AX$5&lt;=$F43),IF(AX$5=$E43+1,$C43,""),"")</f>
        <v/>
      </c>
      <c r="AY43" s="34">
        <f>IF(AND(AY$5&gt;$E43,AY$5&lt;=$F43),IF(AY$5=$E43+1,$C43,""),"")</f>
        <v/>
      </c>
      <c r="AZ43" s="34">
        <f>IF(AND(AZ$5&gt;$E43,AZ$5&lt;=$F43),IF(AZ$5=$E43+1,$C43,""),"")</f>
        <v/>
      </c>
      <c r="BA43" s="34">
        <f>IF(AND(BA$5&gt;$E43,BA$5&lt;=$F43),IF(BA$5=$E43+1,$C43,""),"")</f>
        <v/>
      </c>
      <c r="BB43" s="34">
        <f>IF(AND(BB$5&gt;$E43,BB$5&lt;=$F43),IF(BB$5=$E43+1,$C43,""),"")</f>
        <v/>
      </c>
      <c r="BC43" s="34">
        <f>IF(AND(BC$5&gt;$E43,BC$5&lt;=$F43),IF(BC$5=$E43+1,$C43,""),"")</f>
        <v/>
      </c>
      <c r="BD43" s="34">
        <f>IF(AND(BD$5&gt;$E43,BD$5&lt;=$F43),IF(BD$5=$E43+1,$C43,""),"")</f>
        <v/>
      </c>
      <c r="BE43" s="34">
        <f>IF(AND(BE$5&gt;$E43,BE$5&lt;=$F43),IF(BE$5=$E43+1,$C43,""),"")</f>
        <v/>
      </c>
      <c r="BF43" s="34">
        <f>IF(AND(BF$5&gt;$E43,BF$5&lt;=$F43),IF(BF$5=$E43+1,$C43,""),"")</f>
        <v/>
      </c>
      <c r="BG43" s="34">
        <f>IF(AND(BG$5&gt;$E43,BG$5&lt;=$F43),IF(BG$5=$E43+1,$C43,""),"")</f>
        <v/>
      </c>
      <c r="BH43" s="34">
        <f>IF(AND(BH$5&gt;$E43,BH$5&lt;=$F43),IF(BH$5=$E43+1,$C43,""),"")</f>
        <v/>
      </c>
      <c r="BI43" s="34">
        <f>IF(AND(BI$5&gt;$E43,BI$5&lt;=$F43),IF(BI$5=$E43+1,$C43,""),"")</f>
        <v/>
      </c>
      <c r="BJ43" s="34">
        <f>IF(AND(BJ$5&gt;$E43,BJ$5&lt;=$F43),IF(BJ$5=$E43+1,$C43,""),"")</f>
        <v/>
      </c>
      <c r="BK43" s="34">
        <f>IF(AND(BK$5&gt;$E43,BK$5&lt;=$F43),IF(BK$5=$E43+1,$C43,""),"")</f>
        <v/>
      </c>
      <c r="BL43" s="34">
        <f>IF(AND(BL$5&gt;$E43,BL$5&lt;=$F43),IF(BL$5=$E43+1,$C43,""),"")</f>
        <v/>
      </c>
      <c r="BM43" s="34">
        <f>IF(AND(BM$5&gt;$E43,BM$5&lt;=$F43),IF(BM$5=$E43+1,$C43,""),"")</f>
        <v/>
      </c>
      <c r="BN43" s="34">
        <f>IF(AND(BN$5&gt;$E43,BN$5&lt;=$F43),IF(BN$5=$E43+1,$C43,""),"")</f>
        <v/>
      </c>
      <c r="BO43" s="34">
        <f>IF(AND(BO$5&gt;$E43,BO$5&lt;=$F43),IF(BO$5=$E43+1,$C43,""),"")</f>
        <v/>
      </c>
      <c r="BP43" s="34">
        <f>IF(AND(BP$5&gt;$E43,BP$5&lt;=$F43),IF(BP$5=$E43+1,$C43,""),"")</f>
        <v/>
      </c>
      <c r="BQ43" s="34">
        <f>IF(AND(BQ$5&gt;$E43,BQ$5&lt;=$F43),IF(BQ$5=$E43+1,$C43,""),"")</f>
        <v/>
      </c>
      <c r="BR43" s="34">
        <f>IF(AND(BR$5&gt;$E43,BR$5&lt;=$F43),IF(BR$5=$E43+1,$C43,""),"")</f>
        <v/>
      </c>
      <c r="BS43" s="34">
        <f>IF(AND(BS$5&gt;$E43,BS$5&lt;=$F43),IF(BS$5=$E43+1,$C43,""),"")</f>
        <v/>
      </c>
      <c r="BT43" s="34">
        <f>IF(AND(BT$5&gt;$E43,BT$5&lt;=$F43),IF(BT$5=$E43+1,$C43,""),"")</f>
        <v/>
      </c>
      <c r="BU43" s="34">
        <f>IF(AND(BU$5&gt;$E43,BU$5&lt;=$F43),IF(BU$5=$E43+1,$C43,""),"")</f>
        <v/>
      </c>
      <c r="BV43" s="34">
        <f>IF(AND(BV$5&gt;$E43,BV$5&lt;=$F43),IF(BV$5=$E43+1,$C43,""),"")</f>
        <v/>
      </c>
      <c r="BW43" s="34">
        <f>IF(AND(BW$5&gt;$E43,BW$5&lt;=$F43),IF(BW$5=$E43+1,$C43,""),"")</f>
        <v/>
      </c>
      <c r="BX43" s="34">
        <f>IF(AND(BX$5&gt;$E43,BX$5&lt;=$F43),IF(BX$5=$E43+1,$C43,""),"")</f>
        <v/>
      </c>
      <c r="BY43" s="34">
        <f>IF(AND(BY$5&gt;$E43,BY$5&lt;=$F43),IF(BY$5=$E43+1,$C43,""),"")</f>
        <v/>
      </c>
    </row>
    <row r="44">
      <c r="A44" s="32">
        <f>Plan!A36</f>
        <v/>
      </c>
      <c r="B44" s="33">
        <f>Plan!C36</f>
        <v/>
      </c>
      <c r="C44" s="16">
        <f>Plan!D36</f>
        <v/>
      </c>
      <c r="D44" s="16">
        <f>Plan!I36</f>
        <v/>
      </c>
      <c r="E44" s="16">
        <f>Plan!K36</f>
        <v/>
      </c>
      <c r="F44" s="16">
        <f>Plan!L36</f>
        <v/>
      </c>
      <c r="G44" s="16">
        <f>Plan!O36</f>
        <v/>
      </c>
      <c r="H44" s="34">
        <f>IF(AND(H$5&gt;$E44,H$5&lt;=$F44),IF(H$5=$E44+1,$C44,""),"")</f>
        <v/>
      </c>
      <c r="I44" s="34">
        <f>IF(AND(I$5&gt;$E44,I$5&lt;=$F44),IF(I$5=$E44+1,$C44,""),"")</f>
        <v/>
      </c>
      <c r="J44" s="34">
        <f>IF(AND(J$5&gt;$E44,J$5&lt;=$F44),IF(J$5=$E44+1,$C44,""),"")</f>
        <v/>
      </c>
      <c r="K44" s="34">
        <f>IF(AND(K$5&gt;$E44,K$5&lt;=$F44),IF(K$5=$E44+1,$C44,""),"")</f>
        <v/>
      </c>
      <c r="L44" s="34">
        <f>IF(AND(L$5&gt;$E44,L$5&lt;=$F44),IF(L$5=$E44+1,$C44,""),"")</f>
        <v/>
      </c>
      <c r="M44" s="34">
        <f>IF(AND(M$5&gt;$E44,M$5&lt;=$F44),IF(M$5=$E44+1,$C44,""),"")</f>
        <v/>
      </c>
      <c r="N44" s="34">
        <f>IF(AND(N$5&gt;$E44,N$5&lt;=$F44),IF(N$5=$E44+1,$C44,""),"")</f>
        <v/>
      </c>
      <c r="O44" s="34">
        <f>IF(AND(O$5&gt;$E44,O$5&lt;=$F44),IF(O$5=$E44+1,$C44,""),"")</f>
        <v/>
      </c>
      <c r="P44" s="34">
        <f>IF(AND(P$5&gt;$E44,P$5&lt;=$F44),IF(P$5=$E44+1,$C44,""),"")</f>
        <v/>
      </c>
      <c r="Q44" s="34">
        <f>IF(AND(Q$5&gt;$E44,Q$5&lt;=$F44),IF(Q$5=$E44+1,$C44,""),"")</f>
        <v/>
      </c>
      <c r="R44" s="34">
        <f>IF(AND(R$5&gt;$E44,R$5&lt;=$F44),IF(R$5=$E44+1,$C44,""),"")</f>
        <v/>
      </c>
      <c r="S44" s="34">
        <f>IF(AND(S$5&gt;$E44,S$5&lt;=$F44),IF(S$5=$E44+1,$C44,""),"")</f>
        <v/>
      </c>
      <c r="T44" s="34">
        <f>IF(AND(T$5&gt;$E44,T$5&lt;=$F44),IF(T$5=$E44+1,$C44,""),"")</f>
        <v/>
      </c>
      <c r="U44" s="34">
        <f>IF(AND(U$5&gt;$E44,U$5&lt;=$F44),IF(U$5=$E44+1,$C44,""),"")</f>
        <v/>
      </c>
      <c r="V44" s="34">
        <f>IF(AND(V$5&gt;$E44,V$5&lt;=$F44),IF(V$5=$E44+1,$C44,""),"")</f>
        <v/>
      </c>
      <c r="W44" s="34">
        <f>IF(AND(W$5&gt;$E44,W$5&lt;=$F44),IF(W$5=$E44+1,$C44,""),"")</f>
        <v/>
      </c>
      <c r="X44" s="34">
        <f>IF(AND(X$5&gt;$E44,X$5&lt;=$F44),IF(X$5=$E44+1,$C44,""),"")</f>
        <v/>
      </c>
      <c r="Y44" s="34">
        <f>IF(AND(Y$5&gt;$E44,Y$5&lt;=$F44),IF(Y$5=$E44+1,$C44,""),"")</f>
        <v/>
      </c>
      <c r="Z44" s="34">
        <f>IF(AND(Z$5&gt;$E44,Z$5&lt;=$F44),IF(Z$5=$E44+1,$C44,""),"")</f>
        <v/>
      </c>
      <c r="AA44" s="34">
        <f>IF(AND(AA$5&gt;$E44,AA$5&lt;=$F44),IF(AA$5=$E44+1,$C44,""),"")</f>
        <v/>
      </c>
      <c r="AB44" s="34">
        <f>IF(AND(AB$5&gt;$E44,AB$5&lt;=$F44),IF(AB$5=$E44+1,$C44,""),"")</f>
        <v/>
      </c>
      <c r="AC44" s="34">
        <f>IF(AND(AC$5&gt;$E44,AC$5&lt;=$F44),IF(AC$5=$E44+1,$C44,""),"")</f>
        <v/>
      </c>
      <c r="AD44" s="34">
        <f>IF(AND(AD$5&gt;$E44,AD$5&lt;=$F44),IF(AD$5=$E44+1,$C44,""),"")</f>
        <v/>
      </c>
      <c r="AE44" s="34">
        <f>IF(AND(AE$5&gt;$E44,AE$5&lt;=$F44),IF(AE$5=$E44+1,$C44,""),"")</f>
        <v/>
      </c>
      <c r="AF44" s="34">
        <f>IF(AND(AF$5&gt;$E44,AF$5&lt;=$F44),IF(AF$5=$E44+1,$C44,""),"")</f>
        <v/>
      </c>
      <c r="AG44" s="34">
        <f>IF(AND(AG$5&gt;$E44,AG$5&lt;=$F44),IF(AG$5=$E44+1,$C44,""),"")</f>
        <v/>
      </c>
      <c r="AH44" s="34">
        <f>IF(AND(AH$5&gt;$E44,AH$5&lt;=$F44),IF(AH$5=$E44+1,$C44,""),"")</f>
        <v/>
      </c>
      <c r="AI44" s="34">
        <f>IF(AND(AI$5&gt;$E44,AI$5&lt;=$F44),IF(AI$5=$E44+1,$C44,""),"")</f>
        <v/>
      </c>
      <c r="AJ44" s="34">
        <f>IF(AND(AJ$5&gt;$E44,AJ$5&lt;=$F44),IF(AJ$5=$E44+1,$C44,""),"")</f>
        <v/>
      </c>
      <c r="AK44" s="34">
        <f>IF(AND(AK$5&gt;$E44,AK$5&lt;=$F44),IF(AK$5=$E44+1,$C44,""),"")</f>
        <v/>
      </c>
      <c r="AL44" s="34">
        <f>IF(AND(AL$5&gt;$E44,AL$5&lt;=$F44),IF(AL$5=$E44+1,$C44,""),"")</f>
        <v/>
      </c>
      <c r="AM44" s="34">
        <f>IF(AND(AM$5&gt;$E44,AM$5&lt;=$F44),IF(AM$5=$E44+1,$C44,""),"")</f>
        <v/>
      </c>
      <c r="AN44" s="34">
        <f>IF(AND(AN$5&gt;$E44,AN$5&lt;=$F44),IF(AN$5=$E44+1,$C44,""),"")</f>
        <v/>
      </c>
      <c r="AO44" s="34">
        <f>IF(AND(AO$5&gt;$E44,AO$5&lt;=$F44),IF(AO$5=$E44+1,$C44,""),"")</f>
        <v/>
      </c>
      <c r="AP44" s="34">
        <f>IF(AND(AP$5&gt;$E44,AP$5&lt;=$F44),IF(AP$5=$E44+1,$C44,""),"")</f>
        <v/>
      </c>
      <c r="AQ44" s="34">
        <f>IF(AND(AQ$5&gt;$E44,AQ$5&lt;=$F44),IF(AQ$5=$E44+1,$C44,""),"")</f>
        <v/>
      </c>
      <c r="AR44" s="34">
        <f>IF(AND(AR$5&gt;$E44,AR$5&lt;=$F44),IF(AR$5=$E44+1,$C44,""),"")</f>
        <v/>
      </c>
      <c r="AS44" s="34">
        <f>IF(AND(AS$5&gt;$E44,AS$5&lt;=$F44),IF(AS$5=$E44+1,$C44,""),"")</f>
        <v/>
      </c>
      <c r="AT44" s="34">
        <f>IF(AND(AT$5&gt;$E44,AT$5&lt;=$F44),IF(AT$5=$E44+1,$C44,""),"")</f>
        <v/>
      </c>
      <c r="AU44" s="34">
        <f>IF(AND(AU$5&gt;$E44,AU$5&lt;=$F44),IF(AU$5=$E44+1,$C44,""),"")</f>
        <v/>
      </c>
      <c r="AV44" s="34">
        <f>IF(AND(AV$5&gt;$E44,AV$5&lt;=$F44),IF(AV$5=$E44+1,$C44,""),"")</f>
        <v/>
      </c>
      <c r="AW44" s="34">
        <f>IF(AND(AW$5&gt;$E44,AW$5&lt;=$F44),IF(AW$5=$E44+1,$C44,""),"")</f>
        <v/>
      </c>
      <c r="AX44" s="34">
        <f>IF(AND(AX$5&gt;$E44,AX$5&lt;=$F44),IF(AX$5=$E44+1,$C44,""),"")</f>
        <v/>
      </c>
      <c r="AY44" s="34">
        <f>IF(AND(AY$5&gt;$E44,AY$5&lt;=$F44),IF(AY$5=$E44+1,$C44,""),"")</f>
        <v/>
      </c>
      <c r="AZ44" s="34">
        <f>IF(AND(AZ$5&gt;$E44,AZ$5&lt;=$F44),IF(AZ$5=$E44+1,$C44,""),"")</f>
        <v/>
      </c>
      <c r="BA44" s="34">
        <f>IF(AND(BA$5&gt;$E44,BA$5&lt;=$F44),IF(BA$5=$E44+1,$C44,""),"")</f>
        <v/>
      </c>
      <c r="BB44" s="34">
        <f>IF(AND(BB$5&gt;$E44,BB$5&lt;=$F44),IF(BB$5=$E44+1,$C44,""),"")</f>
        <v/>
      </c>
      <c r="BC44" s="34">
        <f>IF(AND(BC$5&gt;$E44,BC$5&lt;=$F44),IF(BC$5=$E44+1,$C44,""),"")</f>
        <v/>
      </c>
      <c r="BD44" s="34">
        <f>IF(AND(BD$5&gt;$E44,BD$5&lt;=$F44),IF(BD$5=$E44+1,$C44,""),"")</f>
        <v/>
      </c>
      <c r="BE44" s="34">
        <f>IF(AND(BE$5&gt;$E44,BE$5&lt;=$F44),IF(BE$5=$E44+1,$C44,""),"")</f>
        <v/>
      </c>
      <c r="BF44" s="34">
        <f>IF(AND(BF$5&gt;$E44,BF$5&lt;=$F44),IF(BF$5=$E44+1,$C44,""),"")</f>
        <v/>
      </c>
      <c r="BG44" s="34">
        <f>IF(AND(BG$5&gt;$E44,BG$5&lt;=$F44),IF(BG$5=$E44+1,$C44,""),"")</f>
        <v/>
      </c>
      <c r="BH44" s="34">
        <f>IF(AND(BH$5&gt;$E44,BH$5&lt;=$F44),IF(BH$5=$E44+1,$C44,""),"")</f>
        <v/>
      </c>
      <c r="BI44" s="34">
        <f>IF(AND(BI$5&gt;$E44,BI$5&lt;=$F44),IF(BI$5=$E44+1,$C44,""),"")</f>
        <v/>
      </c>
      <c r="BJ44" s="34">
        <f>IF(AND(BJ$5&gt;$E44,BJ$5&lt;=$F44),IF(BJ$5=$E44+1,$C44,""),"")</f>
        <v/>
      </c>
      <c r="BK44" s="34">
        <f>IF(AND(BK$5&gt;$E44,BK$5&lt;=$F44),IF(BK$5=$E44+1,$C44,""),"")</f>
        <v/>
      </c>
      <c r="BL44" s="34">
        <f>IF(AND(BL$5&gt;$E44,BL$5&lt;=$F44),IF(BL$5=$E44+1,$C44,""),"")</f>
        <v/>
      </c>
      <c r="BM44" s="34">
        <f>IF(AND(BM$5&gt;$E44,BM$5&lt;=$F44),IF(BM$5=$E44+1,$C44,""),"")</f>
        <v/>
      </c>
      <c r="BN44" s="34">
        <f>IF(AND(BN$5&gt;$E44,BN$5&lt;=$F44),IF(BN$5=$E44+1,$C44,""),"")</f>
        <v/>
      </c>
      <c r="BO44" s="34">
        <f>IF(AND(BO$5&gt;$E44,BO$5&lt;=$F44),IF(BO$5=$E44+1,$C44,""),"")</f>
        <v/>
      </c>
      <c r="BP44" s="34">
        <f>IF(AND(BP$5&gt;$E44,BP$5&lt;=$F44),IF(BP$5=$E44+1,$C44,""),"")</f>
        <v/>
      </c>
      <c r="BQ44" s="34">
        <f>IF(AND(BQ$5&gt;$E44,BQ$5&lt;=$F44),IF(BQ$5=$E44+1,$C44,""),"")</f>
        <v/>
      </c>
      <c r="BR44" s="34">
        <f>IF(AND(BR$5&gt;$E44,BR$5&lt;=$F44),IF(BR$5=$E44+1,$C44,""),"")</f>
        <v/>
      </c>
      <c r="BS44" s="34">
        <f>IF(AND(BS$5&gt;$E44,BS$5&lt;=$F44),IF(BS$5=$E44+1,$C44,""),"")</f>
        <v/>
      </c>
      <c r="BT44" s="34">
        <f>IF(AND(BT$5&gt;$E44,BT$5&lt;=$F44),IF(BT$5=$E44+1,$C44,""),"")</f>
        <v/>
      </c>
      <c r="BU44" s="34">
        <f>IF(AND(BU$5&gt;$E44,BU$5&lt;=$F44),IF(BU$5=$E44+1,$C44,""),"")</f>
        <v/>
      </c>
      <c r="BV44" s="34">
        <f>IF(AND(BV$5&gt;$E44,BV$5&lt;=$F44),IF(BV$5=$E44+1,$C44,""),"")</f>
        <v/>
      </c>
      <c r="BW44" s="34">
        <f>IF(AND(BW$5&gt;$E44,BW$5&lt;=$F44),IF(BW$5=$E44+1,$C44,""),"")</f>
        <v/>
      </c>
      <c r="BX44" s="34">
        <f>IF(AND(BX$5&gt;$E44,BX$5&lt;=$F44),IF(BX$5=$E44+1,$C44,""),"")</f>
        <v/>
      </c>
      <c r="BY44" s="34">
        <f>IF(AND(BY$5&gt;$E44,BY$5&lt;=$F44),IF(BY$5=$E44+1,$C44,""),"")</f>
        <v/>
      </c>
    </row>
    <row r="45">
      <c r="A45" s="27" t="inlineStr">
        <is>
          <t>Fase 5. Convenios y pulido</t>
        </is>
      </c>
      <c r="B45" s="28" t="n"/>
      <c r="C45" s="28" t="n"/>
      <c r="D45" s="28" t="n"/>
      <c r="E45" s="29">
        <f>SUMPRODUCT(MIN((Plan!$B$5:$B$57="5. Convenios y pulido")*Plan!$K$5:$K$57+(Plan!$B$5:$B$57&lt;&gt;"5. Convenios y pulido")*1E9))</f>
        <v/>
      </c>
      <c r="F45" s="29">
        <f>SUMPRODUCT(MAX((Plan!$B$5:$B$57="5. Convenios y pulido")*Plan!$L$5:$L$57))</f>
        <v/>
      </c>
      <c r="G45" s="30">
        <f>Resumen!E33</f>
        <v/>
      </c>
      <c r="H45" s="31" t="n"/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  <c r="AB45" s="31" t="n"/>
      <c r="AC45" s="31" t="n"/>
      <c r="AD45" s="31" t="n"/>
      <c r="AE45" s="31" t="n"/>
      <c r="AF45" s="31" t="n"/>
      <c r="AG45" s="31" t="n"/>
      <c r="AH45" s="31" t="n"/>
      <c r="AI45" s="31" t="n"/>
      <c r="AJ45" s="31" t="n"/>
      <c r="AK45" s="31" t="n"/>
      <c r="AL45" s="31" t="n"/>
      <c r="AM45" s="31" t="n"/>
      <c r="AN45" s="31" t="n"/>
      <c r="AO45" s="31" t="n"/>
      <c r="AP45" s="31" t="n"/>
      <c r="AQ45" s="31" t="n"/>
      <c r="AR45" s="31" t="n"/>
      <c r="AS45" s="31" t="n"/>
      <c r="AT45" s="31" t="n"/>
      <c r="AU45" s="31" t="n"/>
      <c r="AV45" s="31" t="n"/>
      <c r="AW45" s="31" t="n"/>
      <c r="AX45" s="31" t="n"/>
      <c r="AY45" s="31" t="n"/>
      <c r="AZ45" s="31" t="n"/>
      <c r="BA45" s="31" t="n"/>
      <c r="BB45" s="31" t="n"/>
      <c r="BC45" s="31" t="n"/>
      <c r="BD45" s="31" t="n"/>
      <c r="BE45" s="31" t="n"/>
      <c r="BF45" s="31" t="n"/>
      <c r="BG45" s="31" t="n"/>
      <c r="BH45" s="31" t="n"/>
      <c r="BI45" s="31" t="n"/>
      <c r="BJ45" s="31" t="n"/>
      <c r="BK45" s="31" t="n"/>
      <c r="BL45" s="31" t="n"/>
      <c r="BM45" s="31" t="n"/>
      <c r="BN45" s="31" t="n"/>
      <c r="BO45" s="31" t="n"/>
      <c r="BP45" s="31" t="n"/>
      <c r="BQ45" s="31" t="n"/>
      <c r="BR45" s="31" t="n"/>
      <c r="BS45" s="31" t="n"/>
      <c r="BT45" s="31" t="n"/>
      <c r="BU45" s="31" t="n"/>
      <c r="BV45" s="31" t="n"/>
      <c r="BW45" s="31" t="n"/>
      <c r="BX45" s="31" t="n"/>
      <c r="BY45" s="31" t="n"/>
    </row>
    <row r="46">
      <c r="A46" s="32">
        <f>Plan!A37</f>
        <v/>
      </c>
      <c r="B46" s="33">
        <f>Plan!C37</f>
        <v/>
      </c>
      <c r="C46" s="16">
        <f>Plan!D37</f>
        <v/>
      </c>
      <c r="D46" s="16">
        <f>Plan!I37</f>
        <v/>
      </c>
      <c r="E46" s="16">
        <f>Plan!K37</f>
        <v/>
      </c>
      <c r="F46" s="16">
        <f>Plan!L37</f>
        <v/>
      </c>
      <c r="G46" s="16">
        <f>Plan!O37</f>
        <v/>
      </c>
      <c r="H46" s="34">
        <f>IF(AND(H$5&gt;$E46,H$5&lt;=$F46),IF(H$5=$E46+1,$C46,""),"")</f>
        <v/>
      </c>
      <c r="I46" s="34">
        <f>IF(AND(I$5&gt;$E46,I$5&lt;=$F46),IF(I$5=$E46+1,$C46,""),"")</f>
        <v/>
      </c>
      <c r="J46" s="34">
        <f>IF(AND(J$5&gt;$E46,J$5&lt;=$F46),IF(J$5=$E46+1,$C46,""),"")</f>
        <v/>
      </c>
      <c r="K46" s="34">
        <f>IF(AND(K$5&gt;$E46,K$5&lt;=$F46),IF(K$5=$E46+1,$C46,""),"")</f>
        <v/>
      </c>
      <c r="L46" s="34">
        <f>IF(AND(L$5&gt;$E46,L$5&lt;=$F46),IF(L$5=$E46+1,$C46,""),"")</f>
        <v/>
      </c>
      <c r="M46" s="34">
        <f>IF(AND(M$5&gt;$E46,M$5&lt;=$F46),IF(M$5=$E46+1,$C46,""),"")</f>
        <v/>
      </c>
      <c r="N46" s="34">
        <f>IF(AND(N$5&gt;$E46,N$5&lt;=$F46),IF(N$5=$E46+1,$C46,""),"")</f>
        <v/>
      </c>
      <c r="O46" s="34">
        <f>IF(AND(O$5&gt;$E46,O$5&lt;=$F46),IF(O$5=$E46+1,$C46,""),"")</f>
        <v/>
      </c>
      <c r="P46" s="34">
        <f>IF(AND(P$5&gt;$E46,P$5&lt;=$F46),IF(P$5=$E46+1,$C46,""),"")</f>
        <v/>
      </c>
      <c r="Q46" s="34">
        <f>IF(AND(Q$5&gt;$E46,Q$5&lt;=$F46),IF(Q$5=$E46+1,$C46,""),"")</f>
        <v/>
      </c>
      <c r="R46" s="34">
        <f>IF(AND(R$5&gt;$E46,R$5&lt;=$F46),IF(R$5=$E46+1,$C46,""),"")</f>
        <v/>
      </c>
      <c r="S46" s="34">
        <f>IF(AND(S$5&gt;$E46,S$5&lt;=$F46),IF(S$5=$E46+1,$C46,""),"")</f>
        <v/>
      </c>
      <c r="T46" s="34">
        <f>IF(AND(T$5&gt;$E46,T$5&lt;=$F46),IF(T$5=$E46+1,$C46,""),"")</f>
        <v/>
      </c>
      <c r="U46" s="34">
        <f>IF(AND(U$5&gt;$E46,U$5&lt;=$F46),IF(U$5=$E46+1,$C46,""),"")</f>
        <v/>
      </c>
      <c r="V46" s="34">
        <f>IF(AND(V$5&gt;$E46,V$5&lt;=$F46),IF(V$5=$E46+1,$C46,""),"")</f>
        <v/>
      </c>
      <c r="W46" s="34">
        <f>IF(AND(W$5&gt;$E46,W$5&lt;=$F46),IF(W$5=$E46+1,$C46,""),"")</f>
        <v/>
      </c>
      <c r="X46" s="34">
        <f>IF(AND(X$5&gt;$E46,X$5&lt;=$F46),IF(X$5=$E46+1,$C46,""),"")</f>
        <v/>
      </c>
      <c r="Y46" s="34">
        <f>IF(AND(Y$5&gt;$E46,Y$5&lt;=$F46),IF(Y$5=$E46+1,$C46,""),"")</f>
        <v/>
      </c>
      <c r="Z46" s="34">
        <f>IF(AND(Z$5&gt;$E46,Z$5&lt;=$F46),IF(Z$5=$E46+1,$C46,""),"")</f>
        <v/>
      </c>
      <c r="AA46" s="34">
        <f>IF(AND(AA$5&gt;$E46,AA$5&lt;=$F46),IF(AA$5=$E46+1,$C46,""),"")</f>
        <v/>
      </c>
      <c r="AB46" s="34">
        <f>IF(AND(AB$5&gt;$E46,AB$5&lt;=$F46),IF(AB$5=$E46+1,$C46,""),"")</f>
        <v/>
      </c>
      <c r="AC46" s="34">
        <f>IF(AND(AC$5&gt;$E46,AC$5&lt;=$F46),IF(AC$5=$E46+1,$C46,""),"")</f>
        <v/>
      </c>
      <c r="AD46" s="34">
        <f>IF(AND(AD$5&gt;$E46,AD$5&lt;=$F46),IF(AD$5=$E46+1,$C46,""),"")</f>
        <v/>
      </c>
      <c r="AE46" s="34">
        <f>IF(AND(AE$5&gt;$E46,AE$5&lt;=$F46),IF(AE$5=$E46+1,$C46,""),"")</f>
        <v/>
      </c>
      <c r="AF46" s="34">
        <f>IF(AND(AF$5&gt;$E46,AF$5&lt;=$F46),IF(AF$5=$E46+1,$C46,""),"")</f>
        <v/>
      </c>
      <c r="AG46" s="34">
        <f>IF(AND(AG$5&gt;$E46,AG$5&lt;=$F46),IF(AG$5=$E46+1,$C46,""),"")</f>
        <v/>
      </c>
      <c r="AH46" s="34">
        <f>IF(AND(AH$5&gt;$E46,AH$5&lt;=$F46),IF(AH$5=$E46+1,$C46,""),"")</f>
        <v/>
      </c>
      <c r="AI46" s="34">
        <f>IF(AND(AI$5&gt;$E46,AI$5&lt;=$F46),IF(AI$5=$E46+1,$C46,""),"")</f>
        <v/>
      </c>
      <c r="AJ46" s="34">
        <f>IF(AND(AJ$5&gt;$E46,AJ$5&lt;=$F46),IF(AJ$5=$E46+1,$C46,""),"")</f>
        <v/>
      </c>
      <c r="AK46" s="34">
        <f>IF(AND(AK$5&gt;$E46,AK$5&lt;=$F46),IF(AK$5=$E46+1,$C46,""),"")</f>
        <v/>
      </c>
      <c r="AL46" s="34">
        <f>IF(AND(AL$5&gt;$E46,AL$5&lt;=$F46),IF(AL$5=$E46+1,$C46,""),"")</f>
        <v/>
      </c>
      <c r="AM46" s="34">
        <f>IF(AND(AM$5&gt;$E46,AM$5&lt;=$F46),IF(AM$5=$E46+1,$C46,""),"")</f>
        <v/>
      </c>
      <c r="AN46" s="34">
        <f>IF(AND(AN$5&gt;$E46,AN$5&lt;=$F46),IF(AN$5=$E46+1,$C46,""),"")</f>
        <v/>
      </c>
      <c r="AO46" s="34">
        <f>IF(AND(AO$5&gt;$E46,AO$5&lt;=$F46),IF(AO$5=$E46+1,$C46,""),"")</f>
        <v/>
      </c>
      <c r="AP46" s="34">
        <f>IF(AND(AP$5&gt;$E46,AP$5&lt;=$F46),IF(AP$5=$E46+1,$C46,""),"")</f>
        <v/>
      </c>
      <c r="AQ46" s="34">
        <f>IF(AND(AQ$5&gt;$E46,AQ$5&lt;=$F46),IF(AQ$5=$E46+1,$C46,""),"")</f>
        <v/>
      </c>
      <c r="AR46" s="34">
        <f>IF(AND(AR$5&gt;$E46,AR$5&lt;=$F46),IF(AR$5=$E46+1,$C46,""),"")</f>
        <v/>
      </c>
      <c r="AS46" s="34">
        <f>IF(AND(AS$5&gt;$E46,AS$5&lt;=$F46),IF(AS$5=$E46+1,$C46,""),"")</f>
        <v/>
      </c>
      <c r="AT46" s="34">
        <f>IF(AND(AT$5&gt;$E46,AT$5&lt;=$F46),IF(AT$5=$E46+1,$C46,""),"")</f>
        <v/>
      </c>
      <c r="AU46" s="34">
        <f>IF(AND(AU$5&gt;$E46,AU$5&lt;=$F46),IF(AU$5=$E46+1,$C46,""),"")</f>
        <v/>
      </c>
      <c r="AV46" s="34">
        <f>IF(AND(AV$5&gt;$E46,AV$5&lt;=$F46),IF(AV$5=$E46+1,$C46,""),"")</f>
        <v/>
      </c>
      <c r="AW46" s="34">
        <f>IF(AND(AW$5&gt;$E46,AW$5&lt;=$F46),IF(AW$5=$E46+1,$C46,""),"")</f>
        <v/>
      </c>
      <c r="AX46" s="34">
        <f>IF(AND(AX$5&gt;$E46,AX$5&lt;=$F46),IF(AX$5=$E46+1,$C46,""),"")</f>
        <v/>
      </c>
      <c r="AY46" s="34">
        <f>IF(AND(AY$5&gt;$E46,AY$5&lt;=$F46),IF(AY$5=$E46+1,$C46,""),"")</f>
        <v/>
      </c>
      <c r="AZ46" s="34">
        <f>IF(AND(AZ$5&gt;$E46,AZ$5&lt;=$F46),IF(AZ$5=$E46+1,$C46,""),"")</f>
        <v/>
      </c>
      <c r="BA46" s="34">
        <f>IF(AND(BA$5&gt;$E46,BA$5&lt;=$F46),IF(BA$5=$E46+1,$C46,""),"")</f>
        <v/>
      </c>
      <c r="BB46" s="34">
        <f>IF(AND(BB$5&gt;$E46,BB$5&lt;=$F46),IF(BB$5=$E46+1,$C46,""),"")</f>
        <v/>
      </c>
      <c r="BC46" s="34">
        <f>IF(AND(BC$5&gt;$E46,BC$5&lt;=$F46),IF(BC$5=$E46+1,$C46,""),"")</f>
        <v/>
      </c>
      <c r="BD46" s="34">
        <f>IF(AND(BD$5&gt;$E46,BD$5&lt;=$F46),IF(BD$5=$E46+1,$C46,""),"")</f>
        <v/>
      </c>
      <c r="BE46" s="34">
        <f>IF(AND(BE$5&gt;$E46,BE$5&lt;=$F46),IF(BE$5=$E46+1,$C46,""),"")</f>
        <v/>
      </c>
      <c r="BF46" s="34">
        <f>IF(AND(BF$5&gt;$E46,BF$5&lt;=$F46),IF(BF$5=$E46+1,$C46,""),"")</f>
        <v/>
      </c>
      <c r="BG46" s="34">
        <f>IF(AND(BG$5&gt;$E46,BG$5&lt;=$F46),IF(BG$5=$E46+1,$C46,""),"")</f>
        <v/>
      </c>
      <c r="BH46" s="34">
        <f>IF(AND(BH$5&gt;$E46,BH$5&lt;=$F46),IF(BH$5=$E46+1,$C46,""),"")</f>
        <v/>
      </c>
      <c r="BI46" s="34">
        <f>IF(AND(BI$5&gt;$E46,BI$5&lt;=$F46),IF(BI$5=$E46+1,$C46,""),"")</f>
        <v/>
      </c>
      <c r="BJ46" s="34">
        <f>IF(AND(BJ$5&gt;$E46,BJ$5&lt;=$F46),IF(BJ$5=$E46+1,$C46,""),"")</f>
        <v/>
      </c>
      <c r="BK46" s="34">
        <f>IF(AND(BK$5&gt;$E46,BK$5&lt;=$F46),IF(BK$5=$E46+1,$C46,""),"")</f>
        <v/>
      </c>
      <c r="BL46" s="34">
        <f>IF(AND(BL$5&gt;$E46,BL$5&lt;=$F46),IF(BL$5=$E46+1,$C46,""),"")</f>
        <v/>
      </c>
      <c r="BM46" s="34">
        <f>IF(AND(BM$5&gt;$E46,BM$5&lt;=$F46),IF(BM$5=$E46+1,$C46,""),"")</f>
        <v/>
      </c>
      <c r="BN46" s="34">
        <f>IF(AND(BN$5&gt;$E46,BN$5&lt;=$F46),IF(BN$5=$E46+1,$C46,""),"")</f>
        <v/>
      </c>
      <c r="BO46" s="34">
        <f>IF(AND(BO$5&gt;$E46,BO$5&lt;=$F46),IF(BO$5=$E46+1,$C46,""),"")</f>
        <v/>
      </c>
      <c r="BP46" s="34">
        <f>IF(AND(BP$5&gt;$E46,BP$5&lt;=$F46),IF(BP$5=$E46+1,$C46,""),"")</f>
        <v/>
      </c>
      <c r="BQ46" s="34">
        <f>IF(AND(BQ$5&gt;$E46,BQ$5&lt;=$F46),IF(BQ$5=$E46+1,$C46,""),"")</f>
        <v/>
      </c>
      <c r="BR46" s="34">
        <f>IF(AND(BR$5&gt;$E46,BR$5&lt;=$F46),IF(BR$5=$E46+1,$C46,""),"")</f>
        <v/>
      </c>
      <c r="BS46" s="34">
        <f>IF(AND(BS$5&gt;$E46,BS$5&lt;=$F46),IF(BS$5=$E46+1,$C46,""),"")</f>
        <v/>
      </c>
      <c r="BT46" s="34">
        <f>IF(AND(BT$5&gt;$E46,BT$5&lt;=$F46),IF(BT$5=$E46+1,$C46,""),"")</f>
        <v/>
      </c>
      <c r="BU46" s="34">
        <f>IF(AND(BU$5&gt;$E46,BU$5&lt;=$F46),IF(BU$5=$E46+1,$C46,""),"")</f>
        <v/>
      </c>
      <c r="BV46" s="34">
        <f>IF(AND(BV$5&gt;$E46,BV$5&lt;=$F46),IF(BV$5=$E46+1,$C46,""),"")</f>
        <v/>
      </c>
      <c r="BW46" s="34">
        <f>IF(AND(BW$5&gt;$E46,BW$5&lt;=$F46),IF(BW$5=$E46+1,$C46,""),"")</f>
        <v/>
      </c>
      <c r="BX46" s="34">
        <f>IF(AND(BX$5&gt;$E46,BX$5&lt;=$F46),IF(BX$5=$E46+1,$C46,""),"")</f>
        <v/>
      </c>
      <c r="BY46" s="34">
        <f>IF(AND(BY$5&gt;$E46,BY$5&lt;=$F46),IF(BY$5=$E46+1,$C46,""),"")</f>
        <v/>
      </c>
    </row>
    <row r="47">
      <c r="A47" s="32">
        <f>Plan!A38</f>
        <v/>
      </c>
      <c r="B47" s="33">
        <f>Plan!C38</f>
        <v/>
      </c>
      <c r="C47" s="16">
        <f>Plan!D38</f>
        <v/>
      </c>
      <c r="D47" s="16">
        <f>Plan!I38</f>
        <v/>
      </c>
      <c r="E47" s="16">
        <f>Plan!K38</f>
        <v/>
      </c>
      <c r="F47" s="16">
        <f>Plan!L38</f>
        <v/>
      </c>
      <c r="G47" s="16">
        <f>Plan!O38</f>
        <v/>
      </c>
      <c r="H47" s="34">
        <f>IF(AND(H$5&gt;$E47,H$5&lt;=$F47),IF(H$5=$E47+1,$C47,""),"")</f>
        <v/>
      </c>
      <c r="I47" s="34">
        <f>IF(AND(I$5&gt;$E47,I$5&lt;=$F47),IF(I$5=$E47+1,$C47,""),"")</f>
        <v/>
      </c>
      <c r="J47" s="34">
        <f>IF(AND(J$5&gt;$E47,J$5&lt;=$F47),IF(J$5=$E47+1,$C47,""),"")</f>
        <v/>
      </c>
      <c r="K47" s="34">
        <f>IF(AND(K$5&gt;$E47,K$5&lt;=$F47),IF(K$5=$E47+1,$C47,""),"")</f>
        <v/>
      </c>
      <c r="L47" s="34">
        <f>IF(AND(L$5&gt;$E47,L$5&lt;=$F47),IF(L$5=$E47+1,$C47,""),"")</f>
        <v/>
      </c>
      <c r="M47" s="34">
        <f>IF(AND(M$5&gt;$E47,M$5&lt;=$F47),IF(M$5=$E47+1,$C47,""),"")</f>
        <v/>
      </c>
      <c r="N47" s="34">
        <f>IF(AND(N$5&gt;$E47,N$5&lt;=$F47),IF(N$5=$E47+1,$C47,""),"")</f>
        <v/>
      </c>
      <c r="O47" s="34">
        <f>IF(AND(O$5&gt;$E47,O$5&lt;=$F47),IF(O$5=$E47+1,$C47,""),"")</f>
        <v/>
      </c>
      <c r="P47" s="34">
        <f>IF(AND(P$5&gt;$E47,P$5&lt;=$F47),IF(P$5=$E47+1,$C47,""),"")</f>
        <v/>
      </c>
      <c r="Q47" s="34">
        <f>IF(AND(Q$5&gt;$E47,Q$5&lt;=$F47),IF(Q$5=$E47+1,$C47,""),"")</f>
        <v/>
      </c>
      <c r="R47" s="34">
        <f>IF(AND(R$5&gt;$E47,R$5&lt;=$F47),IF(R$5=$E47+1,$C47,""),"")</f>
        <v/>
      </c>
      <c r="S47" s="34">
        <f>IF(AND(S$5&gt;$E47,S$5&lt;=$F47),IF(S$5=$E47+1,$C47,""),"")</f>
        <v/>
      </c>
      <c r="T47" s="34">
        <f>IF(AND(T$5&gt;$E47,T$5&lt;=$F47),IF(T$5=$E47+1,$C47,""),"")</f>
        <v/>
      </c>
      <c r="U47" s="34">
        <f>IF(AND(U$5&gt;$E47,U$5&lt;=$F47),IF(U$5=$E47+1,$C47,""),"")</f>
        <v/>
      </c>
      <c r="V47" s="34">
        <f>IF(AND(V$5&gt;$E47,V$5&lt;=$F47),IF(V$5=$E47+1,$C47,""),"")</f>
        <v/>
      </c>
      <c r="W47" s="34">
        <f>IF(AND(W$5&gt;$E47,W$5&lt;=$F47),IF(W$5=$E47+1,$C47,""),"")</f>
        <v/>
      </c>
      <c r="X47" s="34">
        <f>IF(AND(X$5&gt;$E47,X$5&lt;=$F47),IF(X$5=$E47+1,$C47,""),"")</f>
        <v/>
      </c>
      <c r="Y47" s="34">
        <f>IF(AND(Y$5&gt;$E47,Y$5&lt;=$F47),IF(Y$5=$E47+1,$C47,""),"")</f>
        <v/>
      </c>
      <c r="Z47" s="34">
        <f>IF(AND(Z$5&gt;$E47,Z$5&lt;=$F47),IF(Z$5=$E47+1,$C47,""),"")</f>
        <v/>
      </c>
      <c r="AA47" s="34">
        <f>IF(AND(AA$5&gt;$E47,AA$5&lt;=$F47),IF(AA$5=$E47+1,$C47,""),"")</f>
        <v/>
      </c>
      <c r="AB47" s="34">
        <f>IF(AND(AB$5&gt;$E47,AB$5&lt;=$F47),IF(AB$5=$E47+1,$C47,""),"")</f>
        <v/>
      </c>
      <c r="AC47" s="34">
        <f>IF(AND(AC$5&gt;$E47,AC$5&lt;=$F47),IF(AC$5=$E47+1,$C47,""),"")</f>
        <v/>
      </c>
      <c r="AD47" s="34">
        <f>IF(AND(AD$5&gt;$E47,AD$5&lt;=$F47),IF(AD$5=$E47+1,$C47,""),"")</f>
        <v/>
      </c>
      <c r="AE47" s="34">
        <f>IF(AND(AE$5&gt;$E47,AE$5&lt;=$F47),IF(AE$5=$E47+1,$C47,""),"")</f>
        <v/>
      </c>
      <c r="AF47" s="34">
        <f>IF(AND(AF$5&gt;$E47,AF$5&lt;=$F47),IF(AF$5=$E47+1,$C47,""),"")</f>
        <v/>
      </c>
      <c r="AG47" s="34">
        <f>IF(AND(AG$5&gt;$E47,AG$5&lt;=$F47),IF(AG$5=$E47+1,$C47,""),"")</f>
        <v/>
      </c>
      <c r="AH47" s="34">
        <f>IF(AND(AH$5&gt;$E47,AH$5&lt;=$F47),IF(AH$5=$E47+1,$C47,""),"")</f>
        <v/>
      </c>
      <c r="AI47" s="34">
        <f>IF(AND(AI$5&gt;$E47,AI$5&lt;=$F47),IF(AI$5=$E47+1,$C47,""),"")</f>
        <v/>
      </c>
      <c r="AJ47" s="34">
        <f>IF(AND(AJ$5&gt;$E47,AJ$5&lt;=$F47),IF(AJ$5=$E47+1,$C47,""),"")</f>
        <v/>
      </c>
      <c r="AK47" s="34">
        <f>IF(AND(AK$5&gt;$E47,AK$5&lt;=$F47),IF(AK$5=$E47+1,$C47,""),"")</f>
        <v/>
      </c>
      <c r="AL47" s="34">
        <f>IF(AND(AL$5&gt;$E47,AL$5&lt;=$F47),IF(AL$5=$E47+1,$C47,""),"")</f>
        <v/>
      </c>
      <c r="AM47" s="34">
        <f>IF(AND(AM$5&gt;$E47,AM$5&lt;=$F47),IF(AM$5=$E47+1,$C47,""),"")</f>
        <v/>
      </c>
      <c r="AN47" s="34">
        <f>IF(AND(AN$5&gt;$E47,AN$5&lt;=$F47),IF(AN$5=$E47+1,$C47,""),"")</f>
        <v/>
      </c>
      <c r="AO47" s="34">
        <f>IF(AND(AO$5&gt;$E47,AO$5&lt;=$F47),IF(AO$5=$E47+1,$C47,""),"")</f>
        <v/>
      </c>
      <c r="AP47" s="34">
        <f>IF(AND(AP$5&gt;$E47,AP$5&lt;=$F47),IF(AP$5=$E47+1,$C47,""),"")</f>
        <v/>
      </c>
      <c r="AQ47" s="34">
        <f>IF(AND(AQ$5&gt;$E47,AQ$5&lt;=$F47),IF(AQ$5=$E47+1,$C47,""),"")</f>
        <v/>
      </c>
      <c r="AR47" s="34">
        <f>IF(AND(AR$5&gt;$E47,AR$5&lt;=$F47),IF(AR$5=$E47+1,$C47,""),"")</f>
        <v/>
      </c>
      <c r="AS47" s="34">
        <f>IF(AND(AS$5&gt;$E47,AS$5&lt;=$F47),IF(AS$5=$E47+1,$C47,""),"")</f>
        <v/>
      </c>
      <c r="AT47" s="34">
        <f>IF(AND(AT$5&gt;$E47,AT$5&lt;=$F47),IF(AT$5=$E47+1,$C47,""),"")</f>
        <v/>
      </c>
      <c r="AU47" s="34">
        <f>IF(AND(AU$5&gt;$E47,AU$5&lt;=$F47),IF(AU$5=$E47+1,$C47,""),"")</f>
        <v/>
      </c>
      <c r="AV47" s="34">
        <f>IF(AND(AV$5&gt;$E47,AV$5&lt;=$F47),IF(AV$5=$E47+1,$C47,""),"")</f>
        <v/>
      </c>
      <c r="AW47" s="34">
        <f>IF(AND(AW$5&gt;$E47,AW$5&lt;=$F47),IF(AW$5=$E47+1,$C47,""),"")</f>
        <v/>
      </c>
      <c r="AX47" s="34">
        <f>IF(AND(AX$5&gt;$E47,AX$5&lt;=$F47),IF(AX$5=$E47+1,$C47,""),"")</f>
        <v/>
      </c>
      <c r="AY47" s="34">
        <f>IF(AND(AY$5&gt;$E47,AY$5&lt;=$F47),IF(AY$5=$E47+1,$C47,""),"")</f>
        <v/>
      </c>
      <c r="AZ47" s="34">
        <f>IF(AND(AZ$5&gt;$E47,AZ$5&lt;=$F47),IF(AZ$5=$E47+1,$C47,""),"")</f>
        <v/>
      </c>
      <c r="BA47" s="34">
        <f>IF(AND(BA$5&gt;$E47,BA$5&lt;=$F47),IF(BA$5=$E47+1,$C47,""),"")</f>
        <v/>
      </c>
      <c r="BB47" s="34">
        <f>IF(AND(BB$5&gt;$E47,BB$5&lt;=$F47),IF(BB$5=$E47+1,$C47,""),"")</f>
        <v/>
      </c>
      <c r="BC47" s="34">
        <f>IF(AND(BC$5&gt;$E47,BC$5&lt;=$F47),IF(BC$5=$E47+1,$C47,""),"")</f>
        <v/>
      </c>
      <c r="BD47" s="34">
        <f>IF(AND(BD$5&gt;$E47,BD$5&lt;=$F47),IF(BD$5=$E47+1,$C47,""),"")</f>
        <v/>
      </c>
      <c r="BE47" s="34">
        <f>IF(AND(BE$5&gt;$E47,BE$5&lt;=$F47),IF(BE$5=$E47+1,$C47,""),"")</f>
        <v/>
      </c>
      <c r="BF47" s="34">
        <f>IF(AND(BF$5&gt;$E47,BF$5&lt;=$F47),IF(BF$5=$E47+1,$C47,""),"")</f>
        <v/>
      </c>
      <c r="BG47" s="34">
        <f>IF(AND(BG$5&gt;$E47,BG$5&lt;=$F47),IF(BG$5=$E47+1,$C47,""),"")</f>
        <v/>
      </c>
      <c r="BH47" s="34">
        <f>IF(AND(BH$5&gt;$E47,BH$5&lt;=$F47),IF(BH$5=$E47+1,$C47,""),"")</f>
        <v/>
      </c>
      <c r="BI47" s="34">
        <f>IF(AND(BI$5&gt;$E47,BI$5&lt;=$F47),IF(BI$5=$E47+1,$C47,""),"")</f>
        <v/>
      </c>
      <c r="BJ47" s="34">
        <f>IF(AND(BJ$5&gt;$E47,BJ$5&lt;=$F47),IF(BJ$5=$E47+1,$C47,""),"")</f>
        <v/>
      </c>
      <c r="BK47" s="34">
        <f>IF(AND(BK$5&gt;$E47,BK$5&lt;=$F47),IF(BK$5=$E47+1,$C47,""),"")</f>
        <v/>
      </c>
      <c r="BL47" s="34">
        <f>IF(AND(BL$5&gt;$E47,BL$5&lt;=$F47),IF(BL$5=$E47+1,$C47,""),"")</f>
        <v/>
      </c>
      <c r="BM47" s="34">
        <f>IF(AND(BM$5&gt;$E47,BM$5&lt;=$F47),IF(BM$5=$E47+1,$C47,""),"")</f>
        <v/>
      </c>
      <c r="BN47" s="34">
        <f>IF(AND(BN$5&gt;$E47,BN$5&lt;=$F47),IF(BN$5=$E47+1,$C47,""),"")</f>
        <v/>
      </c>
      <c r="BO47" s="34">
        <f>IF(AND(BO$5&gt;$E47,BO$5&lt;=$F47),IF(BO$5=$E47+1,$C47,""),"")</f>
        <v/>
      </c>
      <c r="BP47" s="34">
        <f>IF(AND(BP$5&gt;$E47,BP$5&lt;=$F47),IF(BP$5=$E47+1,$C47,""),"")</f>
        <v/>
      </c>
      <c r="BQ47" s="34">
        <f>IF(AND(BQ$5&gt;$E47,BQ$5&lt;=$F47),IF(BQ$5=$E47+1,$C47,""),"")</f>
        <v/>
      </c>
      <c r="BR47" s="34">
        <f>IF(AND(BR$5&gt;$E47,BR$5&lt;=$F47),IF(BR$5=$E47+1,$C47,""),"")</f>
        <v/>
      </c>
      <c r="BS47" s="34">
        <f>IF(AND(BS$5&gt;$E47,BS$5&lt;=$F47),IF(BS$5=$E47+1,$C47,""),"")</f>
        <v/>
      </c>
      <c r="BT47" s="34">
        <f>IF(AND(BT$5&gt;$E47,BT$5&lt;=$F47),IF(BT$5=$E47+1,$C47,""),"")</f>
        <v/>
      </c>
      <c r="BU47" s="34">
        <f>IF(AND(BU$5&gt;$E47,BU$5&lt;=$F47),IF(BU$5=$E47+1,$C47,""),"")</f>
        <v/>
      </c>
      <c r="BV47" s="34">
        <f>IF(AND(BV$5&gt;$E47,BV$5&lt;=$F47),IF(BV$5=$E47+1,$C47,""),"")</f>
        <v/>
      </c>
      <c r="BW47" s="34">
        <f>IF(AND(BW$5&gt;$E47,BW$5&lt;=$F47),IF(BW$5=$E47+1,$C47,""),"")</f>
        <v/>
      </c>
      <c r="BX47" s="34">
        <f>IF(AND(BX$5&gt;$E47,BX$5&lt;=$F47),IF(BX$5=$E47+1,$C47,""),"")</f>
        <v/>
      </c>
      <c r="BY47" s="34">
        <f>IF(AND(BY$5&gt;$E47,BY$5&lt;=$F47),IF(BY$5=$E47+1,$C47,""),"")</f>
        <v/>
      </c>
    </row>
    <row r="48">
      <c r="A48" s="32">
        <f>Plan!A39</f>
        <v/>
      </c>
      <c r="B48" s="33">
        <f>Plan!C39</f>
        <v/>
      </c>
      <c r="C48" s="16">
        <f>Plan!D39</f>
        <v/>
      </c>
      <c r="D48" s="16">
        <f>Plan!I39</f>
        <v/>
      </c>
      <c r="E48" s="16">
        <f>Plan!K39</f>
        <v/>
      </c>
      <c r="F48" s="16">
        <f>Plan!L39</f>
        <v/>
      </c>
      <c r="G48" s="16">
        <f>Plan!O39</f>
        <v/>
      </c>
      <c r="H48" s="34">
        <f>IF(AND(H$5&gt;$E48,H$5&lt;=$F48),IF(H$5=$E48+1,$C48,""),"")</f>
        <v/>
      </c>
      <c r="I48" s="34">
        <f>IF(AND(I$5&gt;$E48,I$5&lt;=$F48),IF(I$5=$E48+1,$C48,""),"")</f>
        <v/>
      </c>
      <c r="J48" s="34">
        <f>IF(AND(J$5&gt;$E48,J$5&lt;=$F48),IF(J$5=$E48+1,$C48,""),"")</f>
        <v/>
      </c>
      <c r="K48" s="34">
        <f>IF(AND(K$5&gt;$E48,K$5&lt;=$F48),IF(K$5=$E48+1,$C48,""),"")</f>
        <v/>
      </c>
      <c r="L48" s="34">
        <f>IF(AND(L$5&gt;$E48,L$5&lt;=$F48),IF(L$5=$E48+1,$C48,""),"")</f>
        <v/>
      </c>
      <c r="M48" s="34">
        <f>IF(AND(M$5&gt;$E48,M$5&lt;=$F48),IF(M$5=$E48+1,$C48,""),"")</f>
        <v/>
      </c>
      <c r="N48" s="34">
        <f>IF(AND(N$5&gt;$E48,N$5&lt;=$F48),IF(N$5=$E48+1,$C48,""),"")</f>
        <v/>
      </c>
      <c r="O48" s="34">
        <f>IF(AND(O$5&gt;$E48,O$5&lt;=$F48),IF(O$5=$E48+1,$C48,""),"")</f>
        <v/>
      </c>
      <c r="P48" s="34">
        <f>IF(AND(P$5&gt;$E48,P$5&lt;=$F48),IF(P$5=$E48+1,$C48,""),"")</f>
        <v/>
      </c>
      <c r="Q48" s="34">
        <f>IF(AND(Q$5&gt;$E48,Q$5&lt;=$F48),IF(Q$5=$E48+1,$C48,""),"")</f>
        <v/>
      </c>
      <c r="R48" s="34">
        <f>IF(AND(R$5&gt;$E48,R$5&lt;=$F48),IF(R$5=$E48+1,$C48,""),"")</f>
        <v/>
      </c>
      <c r="S48" s="34">
        <f>IF(AND(S$5&gt;$E48,S$5&lt;=$F48),IF(S$5=$E48+1,$C48,""),"")</f>
        <v/>
      </c>
      <c r="T48" s="34">
        <f>IF(AND(T$5&gt;$E48,T$5&lt;=$F48),IF(T$5=$E48+1,$C48,""),"")</f>
        <v/>
      </c>
      <c r="U48" s="34">
        <f>IF(AND(U$5&gt;$E48,U$5&lt;=$F48),IF(U$5=$E48+1,$C48,""),"")</f>
        <v/>
      </c>
      <c r="V48" s="34">
        <f>IF(AND(V$5&gt;$E48,V$5&lt;=$F48),IF(V$5=$E48+1,$C48,""),"")</f>
        <v/>
      </c>
      <c r="W48" s="34">
        <f>IF(AND(W$5&gt;$E48,W$5&lt;=$F48),IF(W$5=$E48+1,$C48,""),"")</f>
        <v/>
      </c>
      <c r="X48" s="34">
        <f>IF(AND(X$5&gt;$E48,X$5&lt;=$F48),IF(X$5=$E48+1,$C48,""),"")</f>
        <v/>
      </c>
      <c r="Y48" s="34">
        <f>IF(AND(Y$5&gt;$E48,Y$5&lt;=$F48),IF(Y$5=$E48+1,$C48,""),"")</f>
        <v/>
      </c>
      <c r="Z48" s="34">
        <f>IF(AND(Z$5&gt;$E48,Z$5&lt;=$F48),IF(Z$5=$E48+1,$C48,""),"")</f>
        <v/>
      </c>
      <c r="AA48" s="34">
        <f>IF(AND(AA$5&gt;$E48,AA$5&lt;=$F48),IF(AA$5=$E48+1,$C48,""),"")</f>
        <v/>
      </c>
      <c r="AB48" s="34">
        <f>IF(AND(AB$5&gt;$E48,AB$5&lt;=$F48),IF(AB$5=$E48+1,$C48,""),"")</f>
        <v/>
      </c>
      <c r="AC48" s="34">
        <f>IF(AND(AC$5&gt;$E48,AC$5&lt;=$F48),IF(AC$5=$E48+1,$C48,""),"")</f>
        <v/>
      </c>
      <c r="AD48" s="34">
        <f>IF(AND(AD$5&gt;$E48,AD$5&lt;=$F48),IF(AD$5=$E48+1,$C48,""),"")</f>
        <v/>
      </c>
      <c r="AE48" s="34">
        <f>IF(AND(AE$5&gt;$E48,AE$5&lt;=$F48),IF(AE$5=$E48+1,$C48,""),"")</f>
        <v/>
      </c>
      <c r="AF48" s="34">
        <f>IF(AND(AF$5&gt;$E48,AF$5&lt;=$F48),IF(AF$5=$E48+1,$C48,""),"")</f>
        <v/>
      </c>
      <c r="AG48" s="34">
        <f>IF(AND(AG$5&gt;$E48,AG$5&lt;=$F48),IF(AG$5=$E48+1,$C48,""),"")</f>
        <v/>
      </c>
      <c r="AH48" s="34">
        <f>IF(AND(AH$5&gt;$E48,AH$5&lt;=$F48),IF(AH$5=$E48+1,$C48,""),"")</f>
        <v/>
      </c>
      <c r="AI48" s="34">
        <f>IF(AND(AI$5&gt;$E48,AI$5&lt;=$F48),IF(AI$5=$E48+1,$C48,""),"")</f>
        <v/>
      </c>
      <c r="AJ48" s="34">
        <f>IF(AND(AJ$5&gt;$E48,AJ$5&lt;=$F48),IF(AJ$5=$E48+1,$C48,""),"")</f>
        <v/>
      </c>
      <c r="AK48" s="34">
        <f>IF(AND(AK$5&gt;$E48,AK$5&lt;=$F48),IF(AK$5=$E48+1,$C48,""),"")</f>
        <v/>
      </c>
      <c r="AL48" s="34">
        <f>IF(AND(AL$5&gt;$E48,AL$5&lt;=$F48),IF(AL$5=$E48+1,$C48,""),"")</f>
        <v/>
      </c>
      <c r="AM48" s="34">
        <f>IF(AND(AM$5&gt;$E48,AM$5&lt;=$F48),IF(AM$5=$E48+1,$C48,""),"")</f>
        <v/>
      </c>
      <c r="AN48" s="34">
        <f>IF(AND(AN$5&gt;$E48,AN$5&lt;=$F48),IF(AN$5=$E48+1,$C48,""),"")</f>
        <v/>
      </c>
      <c r="AO48" s="34">
        <f>IF(AND(AO$5&gt;$E48,AO$5&lt;=$F48),IF(AO$5=$E48+1,$C48,""),"")</f>
        <v/>
      </c>
      <c r="AP48" s="34">
        <f>IF(AND(AP$5&gt;$E48,AP$5&lt;=$F48),IF(AP$5=$E48+1,$C48,""),"")</f>
        <v/>
      </c>
      <c r="AQ48" s="34">
        <f>IF(AND(AQ$5&gt;$E48,AQ$5&lt;=$F48),IF(AQ$5=$E48+1,$C48,""),"")</f>
        <v/>
      </c>
      <c r="AR48" s="34">
        <f>IF(AND(AR$5&gt;$E48,AR$5&lt;=$F48),IF(AR$5=$E48+1,$C48,""),"")</f>
        <v/>
      </c>
      <c r="AS48" s="34">
        <f>IF(AND(AS$5&gt;$E48,AS$5&lt;=$F48),IF(AS$5=$E48+1,$C48,""),"")</f>
        <v/>
      </c>
      <c r="AT48" s="34">
        <f>IF(AND(AT$5&gt;$E48,AT$5&lt;=$F48),IF(AT$5=$E48+1,$C48,""),"")</f>
        <v/>
      </c>
      <c r="AU48" s="34">
        <f>IF(AND(AU$5&gt;$E48,AU$5&lt;=$F48),IF(AU$5=$E48+1,$C48,""),"")</f>
        <v/>
      </c>
      <c r="AV48" s="34">
        <f>IF(AND(AV$5&gt;$E48,AV$5&lt;=$F48),IF(AV$5=$E48+1,$C48,""),"")</f>
        <v/>
      </c>
      <c r="AW48" s="34">
        <f>IF(AND(AW$5&gt;$E48,AW$5&lt;=$F48),IF(AW$5=$E48+1,$C48,""),"")</f>
        <v/>
      </c>
      <c r="AX48" s="34">
        <f>IF(AND(AX$5&gt;$E48,AX$5&lt;=$F48),IF(AX$5=$E48+1,$C48,""),"")</f>
        <v/>
      </c>
      <c r="AY48" s="34">
        <f>IF(AND(AY$5&gt;$E48,AY$5&lt;=$F48),IF(AY$5=$E48+1,$C48,""),"")</f>
        <v/>
      </c>
      <c r="AZ48" s="34">
        <f>IF(AND(AZ$5&gt;$E48,AZ$5&lt;=$F48),IF(AZ$5=$E48+1,$C48,""),"")</f>
        <v/>
      </c>
      <c r="BA48" s="34">
        <f>IF(AND(BA$5&gt;$E48,BA$5&lt;=$F48),IF(BA$5=$E48+1,$C48,""),"")</f>
        <v/>
      </c>
      <c r="BB48" s="34">
        <f>IF(AND(BB$5&gt;$E48,BB$5&lt;=$F48),IF(BB$5=$E48+1,$C48,""),"")</f>
        <v/>
      </c>
      <c r="BC48" s="34">
        <f>IF(AND(BC$5&gt;$E48,BC$5&lt;=$F48),IF(BC$5=$E48+1,$C48,""),"")</f>
        <v/>
      </c>
      <c r="BD48" s="34">
        <f>IF(AND(BD$5&gt;$E48,BD$5&lt;=$F48),IF(BD$5=$E48+1,$C48,""),"")</f>
        <v/>
      </c>
      <c r="BE48" s="34">
        <f>IF(AND(BE$5&gt;$E48,BE$5&lt;=$F48),IF(BE$5=$E48+1,$C48,""),"")</f>
        <v/>
      </c>
      <c r="BF48" s="34">
        <f>IF(AND(BF$5&gt;$E48,BF$5&lt;=$F48),IF(BF$5=$E48+1,$C48,""),"")</f>
        <v/>
      </c>
      <c r="BG48" s="34">
        <f>IF(AND(BG$5&gt;$E48,BG$5&lt;=$F48),IF(BG$5=$E48+1,$C48,""),"")</f>
        <v/>
      </c>
      <c r="BH48" s="34">
        <f>IF(AND(BH$5&gt;$E48,BH$5&lt;=$F48),IF(BH$5=$E48+1,$C48,""),"")</f>
        <v/>
      </c>
      <c r="BI48" s="34">
        <f>IF(AND(BI$5&gt;$E48,BI$5&lt;=$F48),IF(BI$5=$E48+1,$C48,""),"")</f>
        <v/>
      </c>
      <c r="BJ48" s="34">
        <f>IF(AND(BJ$5&gt;$E48,BJ$5&lt;=$F48),IF(BJ$5=$E48+1,$C48,""),"")</f>
        <v/>
      </c>
      <c r="BK48" s="34">
        <f>IF(AND(BK$5&gt;$E48,BK$5&lt;=$F48),IF(BK$5=$E48+1,$C48,""),"")</f>
        <v/>
      </c>
      <c r="BL48" s="34">
        <f>IF(AND(BL$5&gt;$E48,BL$5&lt;=$F48),IF(BL$5=$E48+1,$C48,""),"")</f>
        <v/>
      </c>
      <c r="BM48" s="34">
        <f>IF(AND(BM$5&gt;$E48,BM$5&lt;=$F48),IF(BM$5=$E48+1,$C48,""),"")</f>
        <v/>
      </c>
      <c r="BN48" s="34">
        <f>IF(AND(BN$5&gt;$E48,BN$5&lt;=$F48),IF(BN$5=$E48+1,$C48,""),"")</f>
        <v/>
      </c>
      <c r="BO48" s="34">
        <f>IF(AND(BO$5&gt;$E48,BO$5&lt;=$F48),IF(BO$5=$E48+1,$C48,""),"")</f>
        <v/>
      </c>
      <c r="BP48" s="34">
        <f>IF(AND(BP$5&gt;$E48,BP$5&lt;=$F48),IF(BP$5=$E48+1,$C48,""),"")</f>
        <v/>
      </c>
      <c r="BQ48" s="34">
        <f>IF(AND(BQ$5&gt;$E48,BQ$5&lt;=$F48),IF(BQ$5=$E48+1,$C48,""),"")</f>
        <v/>
      </c>
      <c r="BR48" s="34">
        <f>IF(AND(BR$5&gt;$E48,BR$5&lt;=$F48),IF(BR$5=$E48+1,$C48,""),"")</f>
        <v/>
      </c>
      <c r="BS48" s="34">
        <f>IF(AND(BS$5&gt;$E48,BS$5&lt;=$F48),IF(BS$5=$E48+1,$C48,""),"")</f>
        <v/>
      </c>
      <c r="BT48" s="34">
        <f>IF(AND(BT$5&gt;$E48,BT$5&lt;=$F48),IF(BT$5=$E48+1,$C48,""),"")</f>
        <v/>
      </c>
      <c r="BU48" s="34">
        <f>IF(AND(BU$5&gt;$E48,BU$5&lt;=$F48),IF(BU$5=$E48+1,$C48,""),"")</f>
        <v/>
      </c>
      <c r="BV48" s="34">
        <f>IF(AND(BV$5&gt;$E48,BV$5&lt;=$F48),IF(BV$5=$E48+1,$C48,""),"")</f>
        <v/>
      </c>
      <c r="BW48" s="34">
        <f>IF(AND(BW$5&gt;$E48,BW$5&lt;=$F48),IF(BW$5=$E48+1,$C48,""),"")</f>
        <v/>
      </c>
      <c r="BX48" s="34">
        <f>IF(AND(BX$5&gt;$E48,BX$5&lt;=$F48),IF(BX$5=$E48+1,$C48,""),"")</f>
        <v/>
      </c>
      <c r="BY48" s="34">
        <f>IF(AND(BY$5&gt;$E48,BY$5&lt;=$F48),IF(BY$5=$E48+1,$C48,""),"")</f>
        <v/>
      </c>
    </row>
    <row r="49">
      <c r="A49" s="32">
        <f>Plan!A40</f>
        <v/>
      </c>
      <c r="B49" s="33">
        <f>Plan!C40</f>
        <v/>
      </c>
      <c r="C49" s="16">
        <f>Plan!D40</f>
        <v/>
      </c>
      <c r="D49" s="16">
        <f>Plan!I40</f>
        <v/>
      </c>
      <c r="E49" s="16">
        <f>Plan!K40</f>
        <v/>
      </c>
      <c r="F49" s="16">
        <f>Plan!L40</f>
        <v/>
      </c>
      <c r="G49" s="16">
        <f>Plan!O40</f>
        <v/>
      </c>
      <c r="H49" s="34">
        <f>IF(AND(H$5&gt;$E49,H$5&lt;=$F49),IF(H$5=$E49+1,$C49,""),"")</f>
        <v/>
      </c>
      <c r="I49" s="34">
        <f>IF(AND(I$5&gt;$E49,I$5&lt;=$F49),IF(I$5=$E49+1,$C49,""),"")</f>
        <v/>
      </c>
      <c r="J49" s="34">
        <f>IF(AND(J$5&gt;$E49,J$5&lt;=$F49),IF(J$5=$E49+1,$C49,""),"")</f>
        <v/>
      </c>
      <c r="K49" s="34">
        <f>IF(AND(K$5&gt;$E49,K$5&lt;=$F49),IF(K$5=$E49+1,$C49,""),"")</f>
        <v/>
      </c>
      <c r="L49" s="34">
        <f>IF(AND(L$5&gt;$E49,L$5&lt;=$F49),IF(L$5=$E49+1,$C49,""),"")</f>
        <v/>
      </c>
      <c r="M49" s="34">
        <f>IF(AND(M$5&gt;$E49,M$5&lt;=$F49),IF(M$5=$E49+1,$C49,""),"")</f>
        <v/>
      </c>
      <c r="N49" s="34">
        <f>IF(AND(N$5&gt;$E49,N$5&lt;=$F49),IF(N$5=$E49+1,$C49,""),"")</f>
        <v/>
      </c>
      <c r="O49" s="34">
        <f>IF(AND(O$5&gt;$E49,O$5&lt;=$F49),IF(O$5=$E49+1,$C49,""),"")</f>
        <v/>
      </c>
      <c r="P49" s="34">
        <f>IF(AND(P$5&gt;$E49,P$5&lt;=$F49),IF(P$5=$E49+1,$C49,""),"")</f>
        <v/>
      </c>
      <c r="Q49" s="34">
        <f>IF(AND(Q$5&gt;$E49,Q$5&lt;=$F49),IF(Q$5=$E49+1,$C49,""),"")</f>
        <v/>
      </c>
      <c r="R49" s="34">
        <f>IF(AND(R$5&gt;$E49,R$5&lt;=$F49),IF(R$5=$E49+1,$C49,""),"")</f>
        <v/>
      </c>
      <c r="S49" s="34">
        <f>IF(AND(S$5&gt;$E49,S$5&lt;=$F49),IF(S$5=$E49+1,$C49,""),"")</f>
        <v/>
      </c>
      <c r="T49" s="34">
        <f>IF(AND(T$5&gt;$E49,T$5&lt;=$F49),IF(T$5=$E49+1,$C49,""),"")</f>
        <v/>
      </c>
      <c r="U49" s="34">
        <f>IF(AND(U$5&gt;$E49,U$5&lt;=$F49),IF(U$5=$E49+1,$C49,""),"")</f>
        <v/>
      </c>
      <c r="V49" s="34">
        <f>IF(AND(V$5&gt;$E49,V$5&lt;=$F49),IF(V$5=$E49+1,$C49,""),"")</f>
        <v/>
      </c>
      <c r="W49" s="34">
        <f>IF(AND(W$5&gt;$E49,W$5&lt;=$F49),IF(W$5=$E49+1,$C49,""),"")</f>
        <v/>
      </c>
      <c r="X49" s="34">
        <f>IF(AND(X$5&gt;$E49,X$5&lt;=$F49),IF(X$5=$E49+1,$C49,""),"")</f>
        <v/>
      </c>
      <c r="Y49" s="34">
        <f>IF(AND(Y$5&gt;$E49,Y$5&lt;=$F49),IF(Y$5=$E49+1,$C49,""),"")</f>
        <v/>
      </c>
      <c r="Z49" s="34">
        <f>IF(AND(Z$5&gt;$E49,Z$5&lt;=$F49),IF(Z$5=$E49+1,$C49,""),"")</f>
        <v/>
      </c>
      <c r="AA49" s="34">
        <f>IF(AND(AA$5&gt;$E49,AA$5&lt;=$F49),IF(AA$5=$E49+1,$C49,""),"")</f>
        <v/>
      </c>
      <c r="AB49" s="34">
        <f>IF(AND(AB$5&gt;$E49,AB$5&lt;=$F49),IF(AB$5=$E49+1,$C49,""),"")</f>
        <v/>
      </c>
      <c r="AC49" s="34">
        <f>IF(AND(AC$5&gt;$E49,AC$5&lt;=$F49),IF(AC$5=$E49+1,$C49,""),"")</f>
        <v/>
      </c>
      <c r="AD49" s="34">
        <f>IF(AND(AD$5&gt;$E49,AD$5&lt;=$F49),IF(AD$5=$E49+1,$C49,""),"")</f>
        <v/>
      </c>
      <c r="AE49" s="34">
        <f>IF(AND(AE$5&gt;$E49,AE$5&lt;=$F49),IF(AE$5=$E49+1,$C49,""),"")</f>
        <v/>
      </c>
      <c r="AF49" s="34">
        <f>IF(AND(AF$5&gt;$E49,AF$5&lt;=$F49),IF(AF$5=$E49+1,$C49,""),"")</f>
        <v/>
      </c>
      <c r="AG49" s="34">
        <f>IF(AND(AG$5&gt;$E49,AG$5&lt;=$F49),IF(AG$5=$E49+1,$C49,""),"")</f>
        <v/>
      </c>
      <c r="AH49" s="34">
        <f>IF(AND(AH$5&gt;$E49,AH$5&lt;=$F49),IF(AH$5=$E49+1,$C49,""),"")</f>
        <v/>
      </c>
      <c r="AI49" s="34">
        <f>IF(AND(AI$5&gt;$E49,AI$5&lt;=$F49),IF(AI$5=$E49+1,$C49,""),"")</f>
        <v/>
      </c>
      <c r="AJ49" s="34">
        <f>IF(AND(AJ$5&gt;$E49,AJ$5&lt;=$F49),IF(AJ$5=$E49+1,$C49,""),"")</f>
        <v/>
      </c>
      <c r="AK49" s="34">
        <f>IF(AND(AK$5&gt;$E49,AK$5&lt;=$F49),IF(AK$5=$E49+1,$C49,""),"")</f>
        <v/>
      </c>
      <c r="AL49" s="34">
        <f>IF(AND(AL$5&gt;$E49,AL$5&lt;=$F49),IF(AL$5=$E49+1,$C49,""),"")</f>
        <v/>
      </c>
      <c r="AM49" s="34">
        <f>IF(AND(AM$5&gt;$E49,AM$5&lt;=$F49),IF(AM$5=$E49+1,$C49,""),"")</f>
        <v/>
      </c>
      <c r="AN49" s="34">
        <f>IF(AND(AN$5&gt;$E49,AN$5&lt;=$F49),IF(AN$5=$E49+1,$C49,""),"")</f>
        <v/>
      </c>
      <c r="AO49" s="34">
        <f>IF(AND(AO$5&gt;$E49,AO$5&lt;=$F49),IF(AO$5=$E49+1,$C49,""),"")</f>
        <v/>
      </c>
      <c r="AP49" s="34">
        <f>IF(AND(AP$5&gt;$E49,AP$5&lt;=$F49),IF(AP$5=$E49+1,$C49,""),"")</f>
        <v/>
      </c>
      <c r="AQ49" s="34">
        <f>IF(AND(AQ$5&gt;$E49,AQ$5&lt;=$F49),IF(AQ$5=$E49+1,$C49,""),"")</f>
        <v/>
      </c>
      <c r="AR49" s="34">
        <f>IF(AND(AR$5&gt;$E49,AR$5&lt;=$F49),IF(AR$5=$E49+1,$C49,""),"")</f>
        <v/>
      </c>
      <c r="AS49" s="34">
        <f>IF(AND(AS$5&gt;$E49,AS$5&lt;=$F49),IF(AS$5=$E49+1,$C49,""),"")</f>
        <v/>
      </c>
      <c r="AT49" s="34">
        <f>IF(AND(AT$5&gt;$E49,AT$5&lt;=$F49),IF(AT$5=$E49+1,$C49,""),"")</f>
        <v/>
      </c>
      <c r="AU49" s="34">
        <f>IF(AND(AU$5&gt;$E49,AU$5&lt;=$F49),IF(AU$5=$E49+1,$C49,""),"")</f>
        <v/>
      </c>
      <c r="AV49" s="34">
        <f>IF(AND(AV$5&gt;$E49,AV$5&lt;=$F49),IF(AV$5=$E49+1,$C49,""),"")</f>
        <v/>
      </c>
      <c r="AW49" s="34">
        <f>IF(AND(AW$5&gt;$E49,AW$5&lt;=$F49),IF(AW$5=$E49+1,$C49,""),"")</f>
        <v/>
      </c>
      <c r="AX49" s="34">
        <f>IF(AND(AX$5&gt;$E49,AX$5&lt;=$F49),IF(AX$5=$E49+1,$C49,""),"")</f>
        <v/>
      </c>
      <c r="AY49" s="34">
        <f>IF(AND(AY$5&gt;$E49,AY$5&lt;=$F49),IF(AY$5=$E49+1,$C49,""),"")</f>
        <v/>
      </c>
      <c r="AZ49" s="34">
        <f>IF(AND(AZ$5&gt;$E49,AZ$5&lt;=$F49),IF(AZ$5=$E49+1,$C49,""),"")</f>
        <v/>
      </c>
      <c r="BA49" s="34">
        <f>IF(AND(BA$5&gt;$E49,BA$5&lt;=$F49),IF(BA$5=$E49+1,$C49,""),"")</f>
        <v/>
      </c>
      <c r="BB49" s="34">
        <f>IF(AND(BB$5&gt;$E49,BB$5&lt;=$F49),IF(BB$5=$E49+1,$C49,""),"")</f>
        <v/>
      </c>
      <c r="BC49" s="34">
        <f>IF(AND(BC$5&gt;$E49,BC$5&lt;=$F49),IF(BC$5=$E49+1,$C49,""),"")</f>
        <v/>
      </c>
      <c r="BD49" s="34">
        <f>IF(AND(BD$5&gt;$E49,BD$5&lt;=$F49),IF(BD$5=$E49+1,$C49,""),"")</f>
        <v/>
      </c>
      <c r="BE49" s="34">
        <f>IF(AND(BE$5&gt;$E49,BE$5&lt;=$F49),IF(BE$5=$E49+1,$C49,""),"")</f>
        <v/>
      </c>
      <c r="BF49" s="34">
        <f>IF(AND(BF$5&gt;$E49,BF$5&lt;=$F49),IF(BF$5=$E49+1,$C49,""),"")</f>
        <v/>
      </c>
      <c r="BG49" s="34">
        <f>IF(AND(BG$5&gt;$E49,BG$5&lt;=$F49),IF(BG$5=$E49+1,$C49,""),"")</f>
        <v/>
      </c>
      <c r="BH49" s="34">
        <f>IF(AND(BH$5&gt;$E49,BH$5&lt;=$F49),IF(BH$5=$E49+1,$C49,""),"")</f>
        <v/>
      </c>
      <c r="BI49" s="34">
        <f>IF(AND(BI$5&gt;$E49,BI$5&lt;=$F49),IF(BI$5=$E49+1,$C49,""),"")</f>
        <v/>
      </c>
      <c r="BJ49" s="34">
        <f>IF(AND(BJ$5&gt;$E49,BJ$5&lt;=$F49),IF(BJ$5=$E49+1,$C49,""),"")</f>
        <v/>
      </c>
      <c r="BK49" s="34">
        <f>IF(AND(BK$5&gt;$E49,BK$5&lt;=$F49),IF(BK$5=$E49+1,$C49,""),"")</f>
        <v/>
      </c>
      <c r="BL49" s="34">
        <f>IF(AND(BL$5&gt;$E49,BL$5&lt;=$F49),IF(BL$5=$E49+1,$C49,""),"")</f>
        <v/>
      </c>
      <c r="BM49" s="34">
        <f>IF(AND(BM$5&gt;$E49,BM$5&lt;=$F49),IF(BM$5=$E49+1,$C49,""),"")</f>
        <v/>
      </c>
      <c r="BN49" s="34">
        <f>IF(AND(BN$5&gt;$E49,BN$5&lt;=$F49),IF(BN$5=$E49+1,$C49,""),"")</f>
        <v/>
      </c>
      <c r="BO49" s="34">
        <f>IF(AND(BO$5&gt;$E49,BO$5&lt;=$F49),IF(BO$5=$E49+1,$C49,""),"")</f>
        <v/>
      </c>
      <c r="BP49" s="34">
        <f>IF(AND(BP$5&gt;$E49,BP$5&lt;=$F49),IF(BP$5=$E49+1,$C49,""),"")</f>
        <v/>
      </c>
      <c r="BQ49" s="34">
        <f>IF(AND(BQ$5&gt;$E49,BQ$5&lt;=$F49),IF(BQ$5=$E49+1,$C49,""),"")</f>
        <v/>
      </c>
      <c r="BR49" s="34">
        <f>IF(AND(BR$5&gt;$E49,BR$5&lt;=$F49),IF(BR$5=$E49+1,$C49,""),"")</f>
        <v/>
      </c>
      <c r="BS49" s="34">
        <f>IF(AND(BS$5&gt;$E49,BS$5&lt;=$F49),IF(BS$5=$E49+1,$C49,""),"")</f>
        <v/>
      </c>
      <c r="BT49" s="34">
        <f>IF(AND(BT$5&gt;$E49,BT$5&lt;=$F49),IF(BT$5=$E49+1,$C49,""),"")</f>
        <v/>
      </c>
      <c r="BU49" s="34">
        <f>IF(AND(BU$5&gt;$E49,BU$5&lt;=$F49),IF(BU$5=$E49+1,$C49,""),"")</f>
        <v/>
      </c>
      <c r="BV49" s="34">
        <f>IF(AND(BV$5&gt;$E49,BV$5&lt;=$F49),IF(BV$5=$E49+1,$C49,""),"")</f>
        <v/>
      </c>
      <c r="BW49" s="34">
        <f>IF(AND(BW$5&gt;$E49,BW$5&lt;=$F49),IF(BW$5=$E49+1,$C49,""),"")</f>
        <v/>
      </c>
      <c r="BX49" s="34">
        <f>IF(AND(BX$5&gt;$E49,BX$5&lt;=$F49),IF(BX$5=$E49+1,$C49,""),"")</f>
        <v/>
      </c>
      <c r="BY49" s="34">
        <f>IF(AND(BY$5&gt;$E49,BY$5&lt;=$F49),IF(BY$5=$E49+1,$C49,""),"")</f>
        <v/>
      </c>
    </row>
    <row r="50">
      <c r="A50" s="32">
        <f>Plan!A41</f>
        <v/>
      </c>
      <c r="B50" s="33">
        <f>Plan!C41</f>
        <v/>
      </c>
      <c r="C50" s="16">
        <f>Plan!D41</f>
        <v/>
      </c>
      <c r="D50" s="16">
        <f>Plan!I41</f>
        <v/>
      </c>
      <c r="E50" s="16">
        <f>Plan!K41</f>
        <v/>
      </c>
      <c r="F50" s="16">
        <f>Plan!L41</f>
        <v/>
      </c>
      <c r="G50" s="16">
        <f>Plan!O41</f>
        <v/>
      </c>
      <c r="H50" s="34">
        <f>IF(AND(H$5&gt;$E50,H$5&lt;=$F50),IF(H$5=$E50+1,$C50,""),"")</f>
        <v/>
      </c>
      <c r="I50" s="34">
        <f>IF(AND(I$5&gt;$E50,I$5&lt;=$F50),IF(I$5=$E50+1,$C50,""),"")</f>
        <v/>
      </c>
      <c r="J50" s="34">
        <f>IF(AND(J$5&gt;$E50,J$5&lt;=$F50),IF(J$5=$E50+1,$C50,""),"")</f>
        <v/>
      </c>
      <c r="K50" s="34">
        <f>IF(AND(K$5&gt;$E50,K$5&lt;=$F50),IF(K$5=$E50+1,$C50,""),"")</f>
        <v/>
      </c>
      <c r="L50" s="34">
        <f>IF(AND(L$5&gt;$E50,L$5&lt;=$F50),IF(L$5=$E50+1,$C50,""),"")</f>
        <v/>
      </c>
      <c r="M50" s="34">
        <f>IF(AND(M$5&gt;$E50,M$5&lt;=$F50),IF(M$5=$E50+1,$C50,""),"")</f>
        <v/>
      </c>
      <c r="N50" s="34">
        <f>IF(AND(N$5&gt;$E50,N$5&lt;=$F50),IF(N$5=$E50+1,$C50,""),"")</f>
        <v/>
      </c>
      <c r="O50" s="34">
        <f>IF(AND(O$5&gt;$E50,O$5&lt;=$F50),IF(O$5=$E50+1,$C50,""),"")</f>
        <v/>
      </c>
      <c r="P50" s="34">
        <f>IF(AND(P$5&gt;$E50,P$5&lt;=$F50),IF(P$5=$E50+1,$C50,""),"")</f>
        <v/>
      </c>
      <c r="Q50" s="34">
        <f>IF(AND(Q$5&gt;$E50,Q$5&lt;=$F50),IF(Q$5=$E50+1,$C50,""),"")</f>
        <v/>
      </c>
      <c r="R50" s="34">
        <f>IF(AND(R$5&gt;$E50,R$5&lt;=$F50),IF(R$5=$E50+1,$C50,""),"")</f>
        <v/>
      </c>
      <c r="S50" s="34">
        <f>IF(AND(S$5&gt;$E50,S$5&lt;=$F50),IF(S$5=$E50+1,$C50,""),"")</f>
        <v/>
      </c>
      <c r="T50" s="34">
        <f>IF(AND(T$5&gt;$E50,T$5&lt;=$F50),IF(T$5=$E50+1,$C50,""),"")</f>
        <v/>
      </c>
      <c r="U50" s="34">
        <f>IF(AND(U$5&gt;$E50,U$5&lt;=$F50),IF(U$5=$E50+1,$C50,""),"")</f>
        <v/>
      </c>
      <c r="V50" s="34">
        <f>IF(AND(V$5&gt;$E50,V$5&lt;=$F50),IF(V$5=$E50+1,$C50,""),"")</f>
        <v/>
      </c>
      <c r="W50" s="34">
        <f>IF(AND(W$5&gt;$E50,W$5&lt;=$F50),IF(W$5=$E50+1,$C50,""),"")</f>
        <v/>
      </c>
      <c r="X50" s="34">
        <f>IF(AND(X$5&gt;$E50,X$5&lt;=$F50),IF(X$5=$E50+1,$C50,""),"")</f>
        <v/>
      </c>
      <c r="Y50" s="34">
        <f>IF(AND(Y$5&gt;$E50,Y$5&lt;=$F50),IF(Y$5=$E50+1,$C50,""),"")</f>
        <v/>
      </c>
      <c r="Z50" s="34">
        <f>IF(AND(Z$5&gt;$E50,Z$5&lt;=$F50),IF(Z$5=$E50+1,$C50,""),"")</f>
        <v/>
      </c>
      <c r="AA50" s="34">
        <f>IF(AND(AA$5&gt;$E50,AA$5&lt;=$F50),IF(AA$5=$E50+1,$C50,""),"")</f>
        <v/>
      </c>
      <c r="AB50" s="34">
        <f>IF(AND(AB$5&gt;$E50,AB$5&lt;=$F50),IF(AB$5=$E50+1,$C50,""),"")</f>
        <v/>
      </c>
      <c r="AC50" s="34">
        <f>IF(AND(AC$5&gt;$E50,AC$5&lt;=$F50),IF(AC$5=$E50+1,$C50,""),"")</f>
        <v/>
      </c>
      <c r="AD50" s="34">
        <f>IF(AND(AD$5&gt;$E50,AD$5&lt;=$F50),IF(AD$5=$E50+1,$C50,""),"")</f>
        <v/>
      </c>
      <c r="AE50" s="34">
        <f>IF(AND(AE$5&gt;$E50,AE$5&lt;=$F50),IF(AE$5=$E50+1,$C50,""),"")</f>
        <v/>
      </c>
      <c r="AF50" s="34">
        <f>IF(AND(AF$5&gt;$E50,AF$5&lt;=$F50),IF(AF$5=$E50+1,$C50,""),"")</f>
        <v/>
      </c>
      <c r="AG50" s="34">
        <f>IF(AND(AG$5&gt;$E50,AG$5&lt;=$F50),IF(AG$5=$E50+1,$C50,""),"")</f>
        <v/>
      </c>
      <c r="AH50" s="34">
        <f>IF(AND(AH$5&gt;$E50,AH$5&lt;=$F50),IF(AH$5=$E50+1,$C50,""),"")</f>
        <v/>
      </c>
      <c r="AI50" s="34">
        <f>IF(AND(AI$5&gt;$E50,AI$5&lt;=$F50),IF(AI$5=$E50+1,$C50,""),"")</f>
        <v/>
      </c>
      <c r="AJ50" s="34">
        <f>IF(AND(AJ$5&gt;$E50,AJ$5&lt;=$F50),IF(AJ$5=$E50+1,$C50,""),"")</f>
        <v/>
      </c>
      <c r="AK50" s="34">
        <f>IF(AND(AK$5&gt;$E50,AK$5&lt;=$F50),IF(AK$5=$E50+1,$C50,""),"")</f>
        <v/>
      </c>
      <c r="AL50" s="34">
        <f>IF(AND(AL$5&gt;$E50,AL$5&lt;=$F50),IF(AL$5=$E50+1,$C50,""),"")</f>
        <v/>
      </c>
      <c r="AM50" s="34">
        <f>IF(AND(AM$5&gt;$E50,AM$5&lt;=$F50),IF(AM$5=$E50+1,$C50,""),"")</f>
        <v/>
      </c>
      <c r="AN50" s="34">
        <f>IF(AND(AN$5&gt;$E50,AN$5&lt;=$F50),IF(AN$5=$E50+1,$C50,""),"")</f>
        <v/>
      </c>
      <c r="AO50" s="34">
        <f>IF(AND(AO$5&gt;$E50,AO$5&lt;=$F50),IF(AO$5=$E50+1,$C50,""),"")</f>
        <v/>
      </c>
      <c r="AP50" s="34">
        <f>IF(AND(AP$5&gt;$E50,AP$5&lt;=$F50),IF(AP$5=$E50+1,$C50,""),"")</f>
        <v/>
      </c>
      <c r="AQ50" s="34">
        <f>IF(AND(AQ$5&gt;$E50,AQ$5&lt;=$F50),IF(AQ$5=$E50+1,$C50,""),"")</f>
        <v/>
      </c>
      <c r="AR50" s="34">
        <f>IF(AND(AR$5&gt;$E50,AR$5&lt;=$F50),IF(AR$5=$E50+1,$C50,""),"")</f>
        <v/>
      </c>
      <c r="AS50" s="34">
        <f>IF(AND(AS$5&gt;$E50,AS$5&lt;=$F50),IF(AS$5=$E50+1,$C50,""),"")</f>
        <v/>
      </c>
      <c r="AT50" s="34">
        <f>IF(AND(AT$5&gt;$E50,AT$5&lt;=$F50),IF(AT$5=$E50+1,$C50,""),"")</f>
        <v/>
      </c>
      <c r="AU50" s="34">
        <f>IF(AND(AU$5&gt;$E50,AU$5&lt;=$F50),IF(AU$5=$E50+1,$C50,""),"")</f>
        <v/>
      </c>
      <c r="AV50" s="34">
        <f>IF(AND(AV$5&gt;$E50,AV$5&lt;=$F50),IF(AV$5=$E50+1,$C50,""),"")</f>
        <v/>
      </c>
      <c r="AW50" s="34">
        <f>IF(AND(AW$5&gt;$E50,AW$5&lt;=$F50),IF(AW$5=$E50+1,$C50,""),"")</f>
        <v/>
      </c>
      <c r="AX50" s="34">
        <f>IF(AND(AX$5&gt;$E50,AX$5&lt;=$F50),IF(AX$5=$E50+1,$C50,""),"")</f>
        <v/>
      </c>
      <c r="AY50" s="34">
        <f>IF(AND(AY$5&gt;$E50,AY$5&lt;=$F50),IF(AY$5=$E50+1,$C50,""),"")</f>
        <v/>
      </c>
      <c r="AZ50" s="34">
        <f>IF(AND(AZ$5&gt;$E50,AZ$5&lt;=$F50),IF(AZ$5=$E50+1,$C50,""),"")</f>
        <v/>
      </c>
      <c r="BA50" s="34">
        <f>IF(AND(BA$5&gt;$E50,BA$5&lt;=$F50),IF(BA$5=$E50+1,$C50,""),"")</f>
        <v/>
      </c>
      <c r="BB50" s="34">
        <f>IF(AND(BB$5&gt;$E50,BB$5&lt;=$F50),IF(BB$5=$E50+1,$C50,""),"")</f>
        <v/>
      </c>
      <c r="BC50" s="34">
        <f>IF(AND(BC$5&gt;$E50,BC$5&lt;=$F50),IF(BC$5=$E50+1,$C50,""),"")</f>
        <v/>
      </c>
      <c r="BD50" s="34">
        <f>IF(AND(BD$5&gt;$E50,BD$5&lt;=$F50),IF(BD$5=$E50+1,$C50,""),"")</f>
        <v/>
      </c>
      <c r="BE50" s="34">
        <f>IF(AND(BE$5&gt;$E50,BE$5&lt;=$F50),IF(BE$5=$E50+1,$C50,""),"")</f>
        <v/>
      </c>
      <c r="BF50" s="34">
        <f>IF(AND(BF$5&gt;$E50,BF$5&lt;=$F50),IF(BF$5=$E50+1,$C50,""),"")</f>
        <v/>
      </c>
      <c r="BG50" s="34">
        <f>IF(AND(BG$5&gt;$E50,BG$5&lt;=$F50),IF(BG$5=$E50+1,$C50,""),"")</f>
        <v/>
      </c>
      <c r="BH50" s="34">
        <f>IF(AND(BH$5&gt;$E50,BH$5&lt;=$F50),IF(BH$5=$E50+1,$C50,""),"")</f>
        <v/>
      </c>
      <c r="BI50" s="34">
        <f>IF(AND(BI$5&gt;$E50,BI$5&lt;=$F50),IF(BI$5=$E50+1,$C50,""),"")</f>
        <v/>
      </c>
      <c r="BJ50" s="34">
        <f>IF(AND(BJ$5&gt;$E50,BJ$5&lt;=$F50),IF(BJ$5=$E50+1,$C50,""),"")</f>
        <v/>
      </c>
      <c r="BK50" s="34">
        <f>IF(AND(BK$5&gt;$E50,BK$5&lt;=$F50),IF(BK$5=$E50+1,$C50,""),"")</f>
        <v/>
      </c>
      <c r="BL50" s="34">
        <f>IF(AND(BL$5&gt;$E50,BL$5&lt;=$F50),IF(BL$5=$E50+1,$C50,""),"")</f>
        <v/>
      </c>
      <c r="BM50" s="34">
        <f>IF(AND(BM$5&gt;$E50,BM$5&lt;=$F50),IF(BM$5=$E50+1,$C50,""),"")</f>
        <v/>
      </c>
      <c r="BN50" s="34">
        <f>IF(AND(BN$5&gt;$E50,BN$5&lt;=$F50),IF(BN$5=$E50+1,$C50,""),"")</f>
        <v/>
      </c>
      <c r="BO50" s="34">
        <f>IF(AND(BO$5&gt;$E50,BO$5&lt;=$F50),IF(BO$5=$E50+1,$C50,""),"")</f>
        <v/>
      </c>
      <c r="BP50" s="34">
        <f>IF(AND(BP$5&gt;$E50,BP$5&lt;=$F50),IF(BP$5=$E50+1,$C50,""),"")</f>
        <v/>
      </c>
      <c r="BQ50" s="34">
        <f>IF(AND(BQ$5&gt;$E50,BQ$5&lt;=$F50),IF(BQ$5=$E50+1,$C50,""),"")</f>
        <v/>
      </c>
      <c r="BR50" s="34">
        <f>IF(AND(BR$5&gt;$E50,BR$5&lt;=$F50),IF(BR$5=$E50+1,$C50,""),"")</f>
        <v/>
      </c>
      <c r="BS50" s="34">
        <f>IF(AND(BS$5&gt;$E50,BS$5&lt;=$F50),IF(BS$5=$E50+1,$C50,""),"")</f>
        <v/>
      </c>
      <c r="BT50" s="34">
        <f>IF(AND(BT$5&gt;$E50,BT$5&lt;=$F50),IF(BT$5=$E50+1,$C50,""),"")</f>
        <v/>
      </c>
      <c r="BU50" s="34">
        <f>IF(AND(BU$5&gt;$E50,BU$5&lt;=$F50),IF(BU$5=$E50+1,$C50,""),"")</f>
        <v/>
      </c>
      <c r="BV50" s="34">
        <f>IF(AND(BV$5&gt;$E50,BV$5&lt;=$F50),IF(BV$5=$E50+1,$C50,""),"")</f>
        <v/>
      </c>
      <c r="BW50" s="34">
        <f>IF(AND(BW$5&gt;$E50,BW$5&lt;=$F50),IF(BW$5=$E50+1,$C50,""),"")</f>
        <v/>
      </c>
      <c r="BX50" s="34">
        <f>IF(AND(BX$5&gt;$E50,BX$5&lt;=$F50),IF(BX$5=$E50+1,$C50,""),"")</f>
        <v/>
      </c>
      <c r="BY50" s="34">
        <f>IF(AND(BY$5&gt;$E50,BY$5&lt;=$F50),IF(BY$5=$E50+1,$C50,""),"")</f>
        <v/>
      </c>
    </row>
    <row r="51">
      <c r="A51" s="32">
        <f>Plan!A42</f>
        <v/>
      </c>
      <c r="B51" s="33">
        <f>Plan!C42</f>
        <v/>
      </c>
      <c r="C51" s="16">
        <f>Plan!D42</f>
        <v/>
      </c>
      <c r="D51" s="16">
        <f>Plan!I42</f>
        <v/>
      </c>
      <c r="E51" s="16">
        <f>Plan!K42</f>
        <v/>
      </c>
      <c r="F51" s="16">
        <f>Plan!L42</f>
        <v/>
      </c>
      <c r="G51" s="16">
        <f>Plan!O42</f>
        <v/>
      </c>
      <c r="H51" s="34">
        <f>IF(AND(H$5&gt;$E51,H$5&lt;=$F51),IF(H$5=$E51+1,$C51,""),"")</f>
        <v/>
      </c>
      <c r="I51" s="34">
        <f>IF(AND(I$5&gt;$E51,I$5&lt;=$F51),IF(I$5=$E51+1,$C51,""),"")</f>
        <v/>
      </c>
      <c r="J51" s="34">
        <f>IF(AND(J$5&gt;$E51,J$5&lt;=$F51),IF(J$5=$E51+1,$C51,""),"")</f>
        <v/>
      </c>
      <c r="K51" s="34">
        <f>IF(AND(K$5&gt;$E51,K$5&lt;=$F51),IF(K$5=$E51+1,$C51,""),"")</f>
        <v/>
      </c>
      <c r="L51" s="34">
        <f>IF(AND(L$5&gt;$E51,L$5&lt;=$F51),IF(L$5=$E51+1,$C51,""),"")</f>
        <v/>
      </c>
      <c r="M51" s="34">
        <f>IF(AND(M$5&gt;$E51,M$5&lt;=$F51),IF(M$5=$E51+1,$C51,""),"")</f>
        <v/>
      </c>
      <c r="N51" s="34">
        <f>IF(AND(N$5&gt;$E51,N$5&lt;=$F51),IF(N$5=$E51+1,$C51,""),"")</f>
        <v/>
      </c>
      <c r="O51" s="34">
        <f>IF(AND(O$5&gt;$E51,O$5&lt;=$F51),IF(O$5=$E51+1,$C51,""),"")</f>
        <v/>
      </c>
      <c r="P51" s="34">
        <f>IF(AND(P$5&gt;$E51,P$5&lt;=$F51),IF(P$5=$E51+1,$C51,""),"")</f>
        <v/>
      </c>
      <c r="Q51" s="34">
        <f>IF(AND(Q$5&gt;$E51,Q$5&lt;=$F51),IF(Q$5=$E51+1,$C51,""),"")</f>
        <v/>
      </c>
      <c r="R51" s="34">
        <f>IF(AND(R$5&gt;$E51,R$5&lt;=$F51),IF(R$5=$E51+1,$C51,""),"")</f>
        <v/>
      </c>
      <c r="S51" s="34">
        <f>IF(AND(S$5&gt;$E51,S$5&lt;=$F51),IF(S$5=$E51+1,$C51,""),"")</f>
        <v/>
      </c>
      <c r="T51" s="34">
        <f>IF(AND(T$5&gt;$E51,T$5&lt;=$F51),IF(T$5=$E51+1,$C51,""),"")</f>
        <v/>
      </c>
      <c r="U51" s="34">
        <f>IF(AND(U$5&gt;$E51,U$5&lt;=$F51),IF(U$5=$E51+1,$C51,""),"")</f>
        <v/>
      </c>
      <c r="V51" s="34">
        <f>IF(AND(V$5&gt;$E51,V$5&lt;=$F51),IF(V$5=$E51+1,$C51,""),"")</f>
        <v/>
      </c>
      <c r="W51" s="34">
        <f>IF(AND(W$5&gt;$E51,W$5&lt;=$F51),IF(W$5=$E51+1,$C51,""),"")</f>
        <v/>
      </c>
      <c r="X51" s="34">
        <f>IF(AND(X$5&gt;$E51,X$5&lt;=$F51),IF(X$5=$E51+1,$C51,""),"")</f>
        <v/>
      </c>
      <c r="Y51" s="34">
        <f>IF(AND(Y$5&gt;$E51,Y$5&lt;=$F51),IF(Y$5=$E51+1,$C51,""),"")</f>
        <v/>
      </c>
      <c r="Z51" s="34">
        <f>IF(AND(Z$5&gt;$E51,Z$5&lt;=$F51),IF(Z$5=$E51+1,$C51,""),"")</f>
        <v/>
      </c>
      <c r="AA51" s="34">
        <f>IF(AND(AA$5&gt;$E51,AA$5&lt;=$F51),IF(AA$5=$E51+1,$C51,""),"")</f>
        <v/>
      </c>
      <c r="AB51" s="34">
        <f>IF(AND(AB$5&gt;$E51,AB$5&lt;=$F51),IF(AB$5=$E51+1,$C51,""),"")</f>
        <v/>
      </c>
      <c r="AC51" s="34">
        <f>IF(AND(AC$5&gt;$E51,AC$5&lt;=$F51),IF(AC$5=$E51+1,$C51,""),"")</f>
        <v/>
      </c>
      <c r="AD51" s="34">
        <f>IF(AND(AD$5&gt;$E51,AD$5&lt;=$F51),IF(AD$5=$E51+1,$C51,""),"")</f>
        <v/>
      </c>
      <c r="AE51" s="34">
        <f>IF(AND(AE$5&gt;$E51,AE$5&lt;=$F51),IF(AE$5=$E51+1,$C51,""),"")</f>
        <v/>
      </c>
      <c r="AF51" s="34">
        <f>IF(AND(AF$5&gt;$E51,AF$5&lt;=$F51),IF(AF$5=$E51+1,$C51,""),"")</f>
        <v/>
      </c>
      <c r="AG51" s="34">
        <f>IF(AND(AG$5&gt;$E51,AG$5&lt;=$F51),IF(AG$5=$E51+1,$C51,""),"")</f>
        <v/>
      </c>
      <c r="AH51" s="34">
        <f>IF(AND(AH$5&gt;$E51,AH$5&lt;=$F51),IF(AH$5=$E51+1,$C51,""),"")</f>
        <v/>
      </c>
      <c r="AI51" s="34">
        <f>IF(AND(AI$5&gt;$E51,AI$5&lt;=$F51),IF(AI$5=$E51+1,$C51,""),"")</f>
        <v/>
      </c>
      <c r="AJ51" s="34">
        <f>IF(AND(AJ$5&gt;$E51,AJ$5&lt;=$F51),IF(AJ$5=$E51+1,$C51,""),"")</f>
        <v/>
      </c>
      <c r="AK51" s="34">
        <f>IF(AND(AK$5&gt;$E51,AK$5&lt;=$F51),IF(AK$5=$E51+1,$C51,""),"")</f>
        <v/>
      </c>
      <c r="AL51" s="34">
        <f>IF(AND(AL$5&gt;$E51,AL$5&lt;=$F51),IF(AL$5=$E51+1,$C51,""),"")</f>
        <v/>
      </c>
      <c r="AM51" s="34">
        <f>IF(AND(AM$5&gt;$E51,AM$5&lt;=$F51),IF(AM$5=$E51+1,$C51,""),"")</f>
        <v/>
      </c>
      <c r="AN51" s="34">
        <f>IF(AND(AN$5&gt;$E51,AN$5&lt;=$F51),IF(AN$5=$E51+1,$C51,""),"")</f>
        <v/>
      </c>
      <c r="AO51" s="34">
        <f>IF(AND(AO$5&gt;$E51,AO$5&lt;=$F51),IF(AO$5=$E51+1,$C51,""),"")</f>
        <v/>
      </c>
      <c r="AP51" s="34">
        <f>IF(AND(AP$5&gt;$E51,AP$5&lt;=$F51),IF(AP$5=$E51+1,$C51,""),"")</f>
        <v/>
      </c>
      <c r="AQ51" s="34">
        <f>IF(AND(AQ$5&gt;$E51,AQ$5&lt;=$F51),IF(AQ$5=$E51+1,$C51,""),"")</f>
        <v/>
      </c>
      <c r="AR51" s="34">
        <f>IF(AND(AR$5&gt;$E51,AR$5&lt;=$F51),IF(AR$5=$E51+1,$C51,""),"")</f>
        <v/>
      </c>
      <c r="AS51" s="34">
        <f>IF(AND(AS$5&gt;$E51,AS$5&lt;=$F51),IF(AS$5=$E51+1,$C51,""),"")</f>
        <v/>
      </c>
      <c r="AT51" s="34">
        <f>IF(AND(AT$5&gt;$E51,AT$5&lt;=$F51),IF(AT$5=$E51+1,$C51,""),"")</f>
        <v/>
      </c>
      <c r="AU51" s="34">
        <f>IF(AND(AU$5&gt;$E51,AU$5&lt;=$F51),IF(AU$5=$E51+1,$C51,""),"")</f>
        <v/>
      </c>
      <c r="AV51" s="34">
        <f>IF(AND(AV$5&gt;$E51,AV$5&lt;=$F51),IF(AV$5=$E51+1,$C51,""),"")</f>
        <v/>
      </c>
      <c r="AW51" s="34">
        <f>IF(AND(AW$5&gt;$E51,AW$5&lt;=$F51),IF(AW$5=$E51+1,$C51,""),"")</f>
        <v/>
      </c>
      <c r="AX51" s="34">
        <f>IF(AND(AX$5&gt;$E51,AX$5&lt;=$F51),IF(AX$5=$E51+1,$C51,""),"")</f>
        <v/>
      </c>
      <c r="AY51" s="34">
        <f>IF(AND(AY$5&gt;$E51,AY$5&lt;=$F51),IF(AY$5=$E51+1,$C51,""),"")</f>
        <v/>
      </c>
      <c r="AZ51" s="34">
        <f>IF(AND(AZ$5&gt;$E51,AZ$5&lt;=$F51),IF(AZ$5=$E51+1,$C51,""),"")</f>
        <v/>
      </c>
      <c r="BA51" s="34">
        <f>IF(AND(BA$5&gt;$E51,BA$5&lt;=$F51),IF(BA$5=$E51+1,$C51,""),"")</f>
        <v/>
      </c>
      <c r="BB51" s="34">
        <f>IF(AND(BB$5&gt;$E51,BB$5&lt;=$F51),IF(BB$5=$E51+1,$C51,""),"")</f>
        <v/>
      </c>
      <c r="BC51" s="34">
        <f>IF(AND(BC$5&gt;$E51,BC$5&lt;=$F51),IF(BC$5=$E51+1,$C51,""),"")</f>
        <v/>
      </c>
      <c r="BD51" s="34">
        <f>IF(AND(BD$5&gt;$E51,BD$5&lt;=$F51),IF(BD$5=$E51+1,$C51,""),"")</f>
        <v/>
      </c>
      <c r="BE51" s="34">
        <f>IF(AND(BE$5&gt;$E51,BE$5&lt;=$F51),IF(BE$5=$E51+1,$C51,""),"")</f>
        <v/>
      </c>
      <c r="BF51" s="34">
        <f>IF(AND(BF$5&gt;$E51,BF$5&lt;=$F51),IF(BF$5=$E51+1,$C51,""),"")</f>
        <v/>
      </c>
      <c r="BG51" s="34">
        <f>IF(AND(BG$5&gt;$E51,BG$5&lt;=$F51),IF(BG$5=$E51+1,$C51,""),"")</f>
        <v/>
      </c>
      <c r="BH51" s="34">
        <f>IF(AND(BH$5&gt;$E51,BH$5&lt;=$F51),IF(BH$5=$E51+1,$C51,""),"")</f>
        <v/>
      </c>
      <c r="BI51" s="34">
        <f>IF(AND(BI$5&gt;$E51,BI$5&lt;=$F51),IF(BI$5=$E51+1,$C51,""),"")</f>
        <v/>
      </c>
      <c r="BJ51" s="34">
        <f>IF(AND(BJ$5&gt;$E51,BJ$5&lt;=$F51),IF(BJ$5=$E51+1,$C51,""),"")</f>
        <v/>
      </c>
      <c r="BK51" s="34">
        <f>IF(AND(BK$5&gt;$E51,BK$5&lt;=$F51),IF(BK$5=$E51+1,$C51,""),"")</f>
        <v/>
      </c>
      <c r="BL51" s="34">
        <f>IF(AND(BL$5&gt;$E51,BL$5&lt;=$F51),IF(BL$5=$E51+1,$C51,""),"")</f>
        <v/>
      </c>
      <c r="BM51" s="34">
        <f>IF(AND(BM$5&gt;$E51,BM$5&lt;=$F51),IF(BM$5=$E51+1,$C51,""),"")</f>
        <v/>
      </c>
      <c r="BN51" s="34">
        <f>IF(AND(BN$5&gt;$E51,BN$5&lt;=$F51),IF(BN$5=$E51+1,$C51,""),"")</f>
        <v/>
      </c>
      <c r="BO51" s="34">
        <f>IF(AND(BO$5&gt;$E51,BO$5&lt;=$F51),IF(BO$5=$E51+1,$C51,""),"")</f>
        <v/>
      </c>
      <c r="BP51" s="34">
        <f>IF(AND(BP$5&gt;$E51,BP$5&lt;=$F51),IF(BP$5=$E51+1,$C51,""),"")</f>
        <v/>
      </c>
      <c r="BQ51" s="34">
        <f>IF(AND(BQ$5&gt;$E51,BQ$5&lt;=$F51),IF(BQ$5=$E51+1,$C51,""),"")</f>
        <v/>
      </c>
      <c r="BR51" s="34">
        <f>IF(AND(BR$5&gt;$E51,BR$5&lt;=$F51),IF(BR$5=$E51+1,$C51,""),"")</f>
        <v/>
      </c>
      <c r="BS51" s="34">
        <f>IF(AND(BS$5&gt;$E51,BS$5&lt;=$F51),IF(BS$5=$E51+1,$C51,""),"")</f>
        <v/>
      </c>
      <c r="BT51" s="34">
        <f>IF(AND(BT$5&gt;$E51,BT$5&lt;=$F51),IF(BT$5=$E51+1,$C51,""),"")</f>
        <v/>
      </c>
      <c r="BU51" s="34">
        <f>IF(AND(BU$5&gt;$E51,BU$5&lt;=$F51),IF(BU$5=$E51+1,$C51,""),"")</f>
        <v/>
      </c>
      <c r="BV51" s="34">
        <f>IF(AND(BV$5&gt;$E51,BV$5&lt;=$F51),IF(BV$5=$E51+1,$C51,""),"")</f>
        <v/>
      </c>
      <c r="BW51" s="34">
        <f>IF(AND(BW$5&gt;$E51,BW$5&lt;=$F51),IF(BW$5=$E51+1,$C51,""),"")</f>
        <v/>
      </c>
      <c r="BX51" s="34">
        <f>IF(AND(BX$5&gt;$E51,BX$5&lt;=$F51),IF(BX$5=$E51+1,$C51,""),"")</f>
        <v/>
      </c>
      <c r="BY51" s="34">
        <f>IF(AND(BY$5&gt;$E51,BY$5&lt;=$F51),IF(BY$5=$E51+1,$C51,""),"")</f>
        <v/>
      </c>
    </row>
    <row r="52">
      <c r="A52" s="32">
        <f>Plan!A43</f>
        <v/>
      </c>
      <c r="B52" s="33">
        <f>Plan!C43</f>
        <v/>
      </c>
      <c r="C52" s="16">
        <f>Plan!D43</f>
        <v/>
      </c>
      <c r="D52" s="16">
        <f>Plan!I43</f>
        <v/>
      </c>
      <c r="E52" s="16">
        <f>Plan!K43</f>
        <v/>
      </c>
      <c r="F52" s="16">
        <f>Plan!L43</f>
        <v/>
      </c>
      <c r="G52" s="16">
        <f>Plan!O43</f>
        <v/>
      </c>
      <c r="H52" s="34">
        <f>IF(AND(H$5&gt;$E52,H$5&lt;=$F52),IF(H$5=$E52+1,$C52,""),"")</f>
        <v/>
      </c>
      <c r="I52" s="34">
        <f>IF(AND(I$5&gt;$E52,I$5&lt;=$F52),IF(I$5=$E52+1,$C52,""),"")</f>
        <v/>
      </c>
      <c r="J52" s="34">
        <f>IF(AND(J$5&gt;$E52,J$5&lt;=$F52),IF(J$5=$E52+1,$C52,""),"")</f>
        <v/>
      </c>
      <c r="K52" s="34">
        <f>IF(AND(K$5&gt;$E52,K$5&lt;=$F52),IF(K$5=$E52+1,$C52,""),"")</f>
        <v/>
      </c>
      <c r="L52" s="34">
        <f>IF(AND(L$5&gt;$E52,L$5&lt;=$F52),IF(L$5=$E52+1,$C52,""),"")</f>
        <v/>
      </c>
      <c r="M52" s="34">
        <f>IF(AND(M$5&gt;$E52,M$5&lt;=$F52),IF(M$5=$E52+1,$C52,""),"")</f>
        <v/>
      </c>
      <c r="N52" s="34">
        <f>IF(AND(N$5&gt;$E52,N$5&lt;=$F52),IF(N$5=$E52+1,$C52,""),"")</f>
        <v/>
      </c>
      <c r="O52" s="34">
        <f>IF(AND(O$5&gt;$E52,O$5&lt;=$F52),IF(O$5=$E52+1,$C52,""),"")</f>
        <v/>
      </c>
      <c r="P52" s="34">
        <f>IF(AND(P$5&gt;$E52,P$5&lt;=$F52),IF(P$5=$E52+1,$C52,""),"")</f>
        <v/>
      </c>
      <c r="Q52" s="34">
        <f>IF(AND(Q$5&gt;$E52,Q$5&lt;=$F52),IF(Q$5=$E52+1,$C52,""),"")</f>
        <v/>
      </c>
      <c r="R52" s="34">
        <f>IF(AND(R$5&gt;$E52,R$5&lt;=$F52),IF(R$5=$E52+1,$C52,""),"")</f>
        <v/>
      </c>
      <c r="S52" s="34">
        <f>IF(AND(S$5&gt;$E52,S$5&lt;=$F52),IF(S$5=$E52+1,$C52,""),"")</f>
        <v/>
      </c>
      <c r="T52" s="34">
        <f>IF(AND(T$5&gt;$E52,T$5&lt;=$F52),IF(T$5=$E52+1,$C52,""),"")</f>
        <v/>
      </c>
      <c r="U52" s="34">
        <f>IF(AND(U$5&gt;$E52,U$5&lt;=$F52),IF(U$5=$E52+1,$C52,""),"")</f>
        <v/>
      </c>
      <c r="V52" s="34">
        <f>IF(AND(V$5&gt;$E52,V$5&lt;=$F52),IF(V$5=$E52+1,$C52,""),"")</f>
        <v/>
      </c>
      <c r="W52" s="34">
        <f>IF(AND(W$5&gt;$E52,W$5&lt;=$F52),IF(W$5=$E52+1,$C52,""),"")</f>
        <v/>
      </c>
      <c r="X52" s="34">
        <f>IF(AND(X$5&gt;$E52,X$5&lt;=$F52),IF(X$5=$E52+1,$C52,""),"")</f>
        <v/>
      </c>
      <c r="Y52" s="34">
        <f>IF(AND(Y$5&gt;$E52,Y$5&lt;=$F52),IF(Y$5=$E52+1,$C52,""),"")</f>
        <v/>
      </c>
      <c r="Z52" s="34">
        <f>IF(AND(Z$5&gt;$E52,Z$5&lt;=$F52),IF(Z$5=$E52+1,$C52,""),"")</f>
        <v/>
      </c>
      <c r="AA52" s="34">
        <f>IF(AND(AA$5&gt;$E52,AA$5&lt;=$F52),IF(AA$5=$E52+1,$C52,""),"")</f>
        <v/>
      </c>
      <c r="AB52" s="34">
        <f>IF(AND(AB$5&gt;$E52,AB$5&lt;=$F52),IF(AB$5=$E52+1,$C52,""),"")</f>
        <v/>
      </c>
      <c r="AC52" s="34">
        <f>IF(AND(AC$5&gt;$E52,AC$5&lt;=$F52),IF(AC$5=$E52+1,$C52,""),"")</f>
        <v/>
      </c>
      <c r="AD52" s="34">
        <f>IF(AND(AD$5&gt;$E52,AD$5&lt;=$F52),IF(AD$5=$E52+1,$C52,""),"")</f>
        <v/>
      </c>
      <c r="AE52" s="34">
        <f>IF(AND(AE$5&gt;$E52,AE$5&lt;=$F52),IF(AE$5=$E52+1,$C52,""),"")</f>
        <v/>
      </c>
      <c r="AF52" s="34">
        <f>IF(AND(AF$5&gt;$E52,AF$5&lt;=$F52),IF(AF$5=$E52+1,$C52,""),"")</f>
        <v/>
      </c>
      <c r="AG52" s="34">
        <f>IF(AND(AG$5&gt;$E52,AG$5&lt;=$F52),IF(AG$5=$E52+1,$C52,""),"")</f>
        <v/>
      </c>
      <c r="AH52" s="34">
        <f>IF(AND(AH$5&gt;$E52,AH$5&lt;=$F52),IF(AH$5=$E52+1,$C52,""),"")</f>
        <v/>
      </c>
      <c r="AI52" s="34">
        <f>IF(AND(AI$5&gt;$E52,AI$5&lt;=$F52),IF(AI$5=$E52+1,$C52,""),"")</f>
        <v/>
      </c>
      <c r="AJ52" s="34">
        <f>IF(AND(AJ$5&gt;$E52,AJ$5&lt;=$F52),IF(AJ$5=$E52+1,$C52,""),"")</f>
        <v/>
      </c>
      <c r="AK52" s="34">
        <f>IF(AND(AK$5&gt;$E52,AK$5&lt;=$F52),IF(AK$5=$E52+1,$C52,""),"")</f>
        <v/>
      </c>
      <c r="AL52" s="34">
        <f>IF(AND(AL$5&gt;$E52,AL$5&lt;=$F52),IF(AL$5=$E52+1,$C52,""),"")</f>
        <v/>
      </c>
      <c r="AM52" s="34">
        <f>IF(AND(AM$5&gt;$E52,AM$5&lt;=$F52),IF(AM$5=$E52+1,$C52,""),"")</f>
        <v/>
      </c>
      <c r="AN52" s="34">
        <f>IF(AND(AN$5&gt;$E52,AN$5&lt;=$F52),IF(AN$5=$E52+1,$C52,""),"")</f>
        <v/>
      </c>
      <c r="AO52" s="34">
        <f>IF(AND(AO$5&gt;$E52,AO$5&lt;=$F52),IF(AO$5=$E52+1,$C52,""),"")</f>
        <v/>
      </c>
      <c r="AP52" s="34">
        <f>IF(AND(AP$5&gt;$E52,AP$5&lt;=$F52),IF(AP$5=$E52+1,$C52,""),"")</f>
        <v/>
      </c>
      <c r="AQ52" s="34">
        <f>IF(AND(AQ$5&gt;$E52,AQ$5&lt;=$F52),IF(AQ$5=$E52+1,$C52,""),"")</f>
        <v/>
      </c>
      <c r="AR52" s="34">
        <f>IF(AND(AR$5&gt;$E52,AR$5&lt;=$F52),IF(AR$5=$E52+1,$C52,""),"")</f>
        <v/>
      </c>
      <c r="AS52" s="34">
        <f>IF(AND(AS$5&gt;$E52,AS$5&lt;=$F52),IF(AS$5=$E52+1,$C52,""),"")</f>
        <v/>
      </c>
      <c r="AT52" s="34">
        <f>IF(AND(AT$5&gt;$E52,AT$5&lt;=$F52),IF(AT$5=$E52+1,$C52,""),"")</f>
        <v/>
      </c>
      <c r="AU52" s="34">
        <f>IF(AND(AU$5&gt;$E52,AU$5&lt;=$F52),IF(AU$5=$E52+1,$C52,""),"")</f>
        <v/>
      </c>
      <c r="AV52" s="34">
        <f>IF(AND(AV$5&gt;$E52,AV$5&lt;=$F52),IF(AV$5=$E52+1,$C52,""),"")</f>
        <v/>
      </c>
      <c r="AW52" s="34">
        <f>IF(AND(AW$5&gt;$E52,AW$5&lt;=$F52),IF(AW$5=$E52+1,$C52,""),"")</f>
        <v/>
      </c>
      <c r="AX52" s="34">
        <f>IF(AND(AX$5&gt;$E52,AX$5&lt;=$F52),IF(AX$5=$E52+1,$C52,""),"")</f>
        <v/>
      </c>
      <c r="AY52" s="34">
        <f>IF(AND(AY$5&gt;$E52,AY$5&lt;=$F52),IF(AY$5=$E52+1,$C52,""),"")</f>
        <v/>
      </c>
      <c r="AZ52" s="34">
        <f>IF(AND(AZ$5&gt;$E52,AZ$5&lt;=$F52),IF(AZ$5=$E52+1,$C52,""),"")</f>
        <v/>
      </c>
      <c r="BA52" s="34">
        <f>IF(AND(BA$5&gt;$E52,BA$5&lt;=$F52),IF(BA$5=$E52+1,$C52,""),"")</f>
        <v/>
      </c>
      <c r="BB52" s="34">
        <f>IF(AND(BB$5&gt;$E52,BB$5&lt;=$F52),IF(BB$5=$E52+1,$C52,""),"")</f>
        <v/>
      </c>
      <c r="BC52" s="34">
        <f>IF(AND(BC$5&gt;$E52,BC$5&lt;=$F52),IF(BC$5=$E52+1,$C52,""),"")</f>
        <v/>
      </c>
      <c r="BD52" s="34">
        <f>IF(AND(BD$5&gt;$E52,BD$5&lt;=$F52),IF(BD$5=$E52+1,$C52,""),"")</f>
        <v/>
      </c>
      <c r="BE52" s="34">
        <f>IF(AND(BE$5&gt;$E52,BE$5&lt;=$F52),IF(BE$5=$E52+1,$C52,""),"")</f>
        <v/>
      </c>
      <c r="BF52" s="34">
        <f>IF(AND(BF$5&gt;$E52,BF$5&lt;=$F52),IF(BF$5=$E52+1,$C52,""),"")</f>
        <v/>
      </c>
      <c r="BG52" s="34">
        <f>IF(AND(BG$5&gt;$E52,BG$5&lt;=$F52),IF(BG$5=$E52+1,$C52,""),"")</f>
        <v/>
      </c>
      <c r="BH52" s="34">
        <f>IF(AND(BH$5&gt;$E52,BH$5&lt;=$F52),IF(BH$5=$E52+1,$C52,""),"")</f>
        <v/>
      </c>
      <c r="BI52" s="34">
        <f>IF(AND(BI$5&gt;$E52,BI$5&lt;=$F52),IF(BI$5=$E52+1,$C52,""),"")</f>
        <v/>
      </c>
      <c r="BJ52" s="34">
        <f>IF(AND(BJ$5&gt;$E52,BJ$5&lt;=$F52),IF(BJ$5=$E52+1,$C52,""),"")</f>
        <v/>
      </c>
      <c r="BK52" s="34">
        <f>IF(AND(BK$5&gt;$E52,BK$5&lt;=$F52),IF(BK$5=$E52+1,$C52,""),"")</f>
        <v/>
      </c>
      <c r="BL52" s="34">
        <f>IF(AND(BL$5&gt;$E52,BL$5&lt;=$F52),IF(BL$5=$E52+1,$C52,""),"")</f>
        <v/>
      </c>
      <c r="BM52" s="34">
        <f>IF(AND(BM$5&gt;$E52,BM$5&lt;=$F52),IF(BM$5=$E52+1,$C52,""),"")</f>
        <v/>
      </c>
      <c r="BN52" s="34">
        <f>IF(AND(BN$5&gt;$E52,BN$5&lt;=$F52),IF(BN$5=$E52+1,$C52,""),"")</f>
        <v/>
      </c>
      <c r="BO52" s="34">
        <f>IF(AND(BO$5&gt;$E52,BO$5&lt;=$F52),IF(BO$5=$E52+1,$C52,""),"")</f>
        <v/>
      </c>
      <c r="BP52" s="34">
        <f>IF(AND(BP$5&gt;$E52,BP$5&lt;=$F52),IF(BP$5=$E52+1,$C52,""),"")</f>
        <v/>
      </c>
      <c r="BQ52" s="34">
        <f>IF(AND(BQ$5&gt;$E52,BQ$5&lt;=$F52),IF(BQ$5=$E52+1,$C52,""),"")</f>
        <v/>
      </c>
      <c r="BR52" s="34">
        <f>IF(AND(BR$5&gt;$E52,BR$5&lt;=$F52),IF(BR$5=$E52+1,$C52,""),"")</f>
        <v/>
      </c>
      <c r="BS52" s="34">
        <f>IF(AND(BS$5&gt;$E52,BS$5&lt;=$F52),IF(BS$5=$E52+1,$C52,""),"")</f>
        <v/>
      </c>
      <c r="BT52" s="34">
        <f>IF(AND(BT$5&gt;$E52,BT$5&lt;=$F52),IF(BT$5=$E52+1,$C52,""),"")</f>
        <v/>
      </c>
      <c r="BU52" s="34">
        <f>IF(AND(BU$5&gt;$E52,BU$5&lt;=$F52),IF(BU$5=$E52+1,$C52,""),"")</f>
        <v/>
      </c>
      <c r="BV52" s="34">
        <f>IF(AND(BV$5&gt;$E52,BV$5&lt;=$F52),IF(BV$5=$E52+1,$C52,""),"")</f>
        <v/>
      </c>
      <c r="BW52" s="34">
        <f>IF(AND(BW$5&gt;$E52,BW$5&lt;=$F52),IF(BW$5=$E52+1,$C52,""),"")</f>
        <v/>
      </c>
      <c r="BX52" s="34">
        <f>IF(AND(BX$5&gt;$E52,BX$5&lt;=$F52),IF(BX$5=$E52+1,$C52,""),"")</f>
        <v/>
      </c>
      <c r="BY52" s="34">
        <f>IF(AND(BY$5&gt;$E52,BY$5&lt;=$F52),IF(BY$5=$E52+1,$C52,""),"")</f>
        <v/>
      </c>
    </row>
    <row r="53">
      <c r="A53" s="32">
        <f>Plan!A44</f>
        <v/>
      </c>
      <c r="B53" s="33">
        <f>Plan!C44</f>
        <v/>
      </c>
      <c r="C53" s="16">
        <f>Plan!D44</f>
        <v/>
      </c>
      <c r="D53" s="16">
        <f>Plan!I44</f>
        <v/>
      </c>
      <c r="E53" s="16">
        <f>Plan!K44</f>
        <v/>
      </c>
      <c r="F53" s="16">
        <f>Plan!L44</f>
        <v/>
      </c>
      <c r="G53" s="16">
        <f>Plan!O44</f>
        <v/>
      </c>
      <c r="H53" s="34">
        <f>IF(AND(H$5&gt;$E53,H$5&lt;=$F53),IF(H$5=$E53+1,$C53,""),"")</f>
        <v/>
      </c>
      <c r="I53" s="34">
        <f>IF(AND(I$5&gt;$E53,I$5&lt;=$F53),IF(I$5=$E53+1,$C53,""),"")</f>
        <v/>
      </c>
      <c r="J53" s="34">
        <f>IF(AND(J$5&gt;$E53,J$5&lt;=$F53),IF(J$5=$E53+1,$C53,""),"")</f>
        <v/>
      </c>
      <c r="K53" s="34">
        <f>IF(AND(K$5&gt;$E53,K$5&lt;=$F53),IF(K$5=$E53+1,$C53,""),"")</f>
        <v/>
      </c>
      <c r="L53" s="34">
        <f>IF(AND(L$5&gt;$E53,L$5&lt;=$F53),IF(L$5=$E53+1,$C53,""),"")</f>
        <v/>
      </c>
      <c r="M53" s="34">
        <f>IF(AND(M$5&gt;$E53,M$5&lt;=$F53),IF(M$5=$E53+1,$C53,""),"")</f>
        <v/>
      </c>
      <c r="N53" s="34">
        <f>IF(AND(N$5&gt;$E53,N$5&lt;=$F53),IF(N$5=$E53+1,$C53,""),"")</f>
        <v/>
      </c>
      <c r="O53" s="34">
        <f>IF(AND(O$5&gt;$E53,O$5&lt;=$F53),IF(O$5=$E53+1,$C53,""),"")</f>
        <v/>
      </c>
      <c r="P53" s="34">
        <f>IF(AND(P$5&gt;$E53,P$5&lt;=$F53),IF(P$5=$E53+1,$C53,""),"")</f>
        <v/>
      </c>
      <c r="Q53" s="34">
        <f>IF(AND(Q$5&gt;$E53,Q$5&lt;=$F53),IF(Q$5=$E53+1,$C53,""),"")</f>
        <v/>
      </c>
      <c r="R53" s="34">
        <f>IF(AND(R$5&gt;$E53,R$5&lt;=$F53),IF(R$5=$E53+1,$C53,""),"")</f>
        <v/>
      </c>
      <c r="S53" s="34">
        <f>IF(AND(S$5&gt;$E53,S$5&lt;=$F53),IF(S$5=$E53+1,$C53,""),"")</f>
        <v/>
      </c>
      <c r="T53" s="34">
        <f>IF(AND(T$5&gt;$E53,T$5&lt;=$F53),IF(T$5=$E53+1,$C53,""),"")</f>
        <v/>
      </c>
      <c r="U53" s="34">
        <f>IF(AND(U$5&gt;$E53,U$5&lt;=$F53),IF(U$5=$E53+1,$C53,""),"")</f>
        <v/>
      </c>
      <c r="V53" s="34">
        <f>IF(AND(V$5&gt;$E53,V$5&lt;=$F53),IF(V$5=$E53+1,$C53,""),"")</f>
        <v/>
      </c>
      <c r="W53" s="34">
        <f>IF(AND(W$5&gt;$E53,W$5&lt;=$F53),IF(W$5=$E53+1,$C53,""),"")</f>
        <v/>
      </c>
      <c r="X53" s="34">
        <f>IF(AND(X$5&gt;$E53,X$5&lt;=$F53),IF(X$5=$E53+1,$C53,""),"")</f>
        <v/>
      </c>
      <c r="Y53" s="34">
        <f>IF(AND(Y$5&gt;$E53,Y$5&lt;=$F53),IF(Y$5=$E53+1,$C53,""),"")</f>
        <v/>
      </c>
      <c r="Z53" s="34">
        <f>IF(AND(Z$5&gt;$E53,Z$5&lt;=$F53),IF(Z$5=$E53+1,$C53,""),"")</f>
        <v/>
      </c>
      <c r="AA53" s="34">
        <f>IF(AND(AA$5&gt;$E53,AA$5&lt;=$F53),IF(AA$5=$E53+1,$C53,""),"")</f>
        <v/>
      </c>
      <c r="AB53" s="34">
        <f>IF(AND(AB$5&gt;$E53,AB$5&lt;=$F53),IF(AB$5=$E53+1,$C53,""),"")</f>
        <v/>
      </c>
      <c r="AC53" s="34">
        <f>IF(AND(AC$5&gt;$E53,AC$5&lt;=$F53),IF(AC$5=$E53+1,$C53,""),"")</f>
        <v/>
      </c>
      <c r="AD53" s="34">
        <f>IF(AND(AD$5&gt;$E53,AD$5&lt;=$F53),IF(AD$5=$E53+1,$C53,""),"")</f>
        <v/>
      </c>
      <c r="AE53" s="34">
        <f>IF(AND(AE$5&gt;$E53,AE$5&lt;=$F53),IF(AE$5=$E53+1,$C53,""),"")</f>
        <v/>
      </c>
      <c r="AF53" s="34">
        <f>IF(AND(AF$5&gt;$E53,AF$5&lt;=$F53),IF(AF$5=$E53+1,$C53,""),"")</f>
        <v/>
      </c>
      <c r="AG53" s="34">
        <f>IF(AND(AG$5&gt;$E53,AG$5&lt;=$F53),IF(AG$5=$E53+1,$C53,""),"")</f>
        <v/>
      </c>
      <c r="AH53" s="34">
        <f>IF(AND(AH$5&gt;$E53,AH$5&lt;=$F53),IF(AH$5=$E53+1,$C53,""),"")</f>
        <v/>
      </c>
      <c r="AI53" s="34">
        <f>IF(AND(AI$5&gt;$E53,AI$5&lt;=$F53),IF(AI$5=$E53+1,$C53,""),"")</f>
        <v/>
      </c>
      <c r="AJ53" s="34">
        <f>IF(AND(AJ$5&gt;$E53,AJ$5&lt;=$F53),IF(AJ$5=$E53+1,$C53,""),"")</f>
        <v/>
      </c>
      <c r="AK53" s="34">
        <f>IF(AND(AK$5&gt;$E53,AK$5&lt;=$F53),IF(AK$5=$E53+1,$C53,""),"")</f>
        <v/>
      </c>
      <c r="AL53" s="34">
        <f>IF(AND(AL$5&gt;$E53,AL$5&lt;=$F53),IF(AL$5=$E53+1,$C53,""),"")</f>
        <v/>
      </c>
      <c r="AM53" s="34">
        <f>IF(AND(AM$5&gt;$E53,AM$5&lt;=$F53),IF(AM$5=$E53+1,$C53,""),"")</f>
        <v/>
      </c>
      <c r="AN53" s="34">
        <f>IF(AND(AN$5&gt;$E53,AN$5&lt;=$F53),IF(AN$5=$E53+1,$C53,""),"")</f>
        <v/>
      </c>
      <c r="AO53" s="34">
        <f>IF(AND(AO$5&gt;$E53,AO$5&lt;=$F53),IF(AO$5=$E53+1,$C53,""),"")</f>
        <v/>
      </c>
      <c r="AP53" s="34">
        <f>IF(AND(AP$5&gt;$E53,AP$5&lt;=$F53),IF(AP$5=$E53+1,$C53,""),"")</f>
        <v/>
      </c>
      <c r="AQ53" s="34">
        <f>IF(AND(AQ$5&gt;$E53,AQ$5&lt;=$F53),IF(AQ$5=$E53+1,$C53,""),"")</f>
        <v/>
      </c>
      <c r="AR53" s="34">
        <f>IF(AND(AR$5&gt;$E53,AR$5&lt;=$F53),IF(AR$5=$E53+1,$C53,""),"")</f>
        <v/>
      </c>
      <c r="AS53" s="34">
        <f>IF(AND(AS$5&gt;$E53,AS$5&lt;=$F53),IF(AS$5=$E53+1,$C53,""),"")</f>
        <v/>
      </c>
      <c r="AT53" s="34">
        <f>IF(AND(AT$5&gt;$E53,AT$5&lt;=$F53),IF(AT$5=$E53+1,$C53,""),"")</f>
        <v/>
      </c>
      <c r="AU53" s="34">
        <f>IF(AND(AU$5&gt;$E53,AU$5&lt;=$F53),IF(AU$5=$E53+1,$C53,""),"")</f>
        <v/>
      </c>
      <c r="AV53" s="34">
        <f>IF(AND(AV$5&gt;$E53,AV$5&lt;=$F53),IF(AV$5=$E53+1,$C53,""),"")</f>
        <v/>
      </c>
      <c r="AW53" s="34">
        <f>IF(AND(AW$5&gt;$E53,AW$5&lt;=$F53),IF(AW$5=$E53+1,$C53,""),"")</f>
        <v/>
      </c>
      <c r="AX53" s="34">
        <f>IF(AND(AX$5&gt;$E53,AX$5&lt;=$F53),IF(AX$5=$E53+1,$C53,""),"")</f>
        <v/>
      </c>
      <c r="AY53" s="34">
        <f>IF(AND(AY$5&gt;$E53,AY$5&lt;=$F53),IF(AY$5=$E53+1,$C53,""),"")</f>
        <v/>
      </c>
      <c r="AZ53" s="34">
        <f>IF(AND(AZ$5&gt;$E53,AZ$5&lt;=$F53),IF(AZ$5=$E53+1,$C53,""),"")</f>
        <v/>
      </c>
      <c r="BA53" s="34">
        <f>IF(AND(BA$5&gt;$E53,BA$5&lt;=$F53),IF(BA$5=$E53+1,$C53,""),"")</f>
        <v/>
      </c>
      <c r="BB53" s="34">
        <f>IF(AND(BB$5&gt;$E53,BB$5&lt;=$F53),IF(BB$5=$E53+1,$C53,""),"")</f>
        <v/>
      </c>
      <c r="BC53" s="34">
        <f>IF(AND(BC$5&gt;$E53,BC$5&lt;=$F53),IF(BC$5=$E53+1,$C53,""),"")</f>
        <v/>
      </c>
      <c r="BD53" s="34">
        <f>IF(AND(BD$5&gt;$E53,BD$5&lt;=$F53),IF(BD$5=$E53+1,$C53,""),"")</f>
        <v/>
      </c>
      <c r="BE53" s="34">
        <f>IF(AND(BE$5&gt;$E53,BE$5&lt;=$F53),IF(BE$5=$E53+1,$C53,""),"")</f>
        <v/>
      </c>
      <c r="BF53" s="34">
        <f>IF(AND(BF$5&gt;$E53,BF$5&lt;=$F53),IF(BF$5=$E53+1,$C53,""),"")</f>
        <v/>
      </c>
      <c r="BG53" s="34">
        <f>IF(AND(BG$5&gt;$E53,BG$5&lt;=$F53),IF(BG$5=$E53+1,$C53,""),"")</f>
        <v/>
      </c>
      <c r="BH53" s="34">
        <f>IF(AND(BH$5&gt;$E53,BH$5&lt;=$F53),IF(BH$5=$E53+1,$C53,""),"")</f>
        <v/>
      </c>
      <c r="BI53" s="34">
        <f>IF(AND(BI$5&gt;$E53,BI$5&lt;=$F53),IF(BI$5=$E53+1,$C53,""),"")</f>
        <v/>
      </c>
      <c r="BJ53" s="34">
        <f>IF(AND(BJ$5&gt;$E53,BJ$5&lt;=$F53),IF(BJ$5=$E53+1,$C53,""),"")</f>
        <v/>
      </c>
      <c r="BK53" s="34">
        <f>IF(AND(BK$5&gt;$E53,BK$5&lt;=$F53),IF(BK$5=$E53+1,$C53,""),"")</f>
        <v/>
      </c>
      <c r="BL53" s="34">
        <f>IF(AND(BL$5&gt;$E53,BL$5&lt;=$F53),IF(BL$5=$E53+1,$C53,""),"")</f>
        <v/>
      </c>
      <c r="BM53" s="34">
        <f>IF(AND(BM$5&gt;$E53,BM$5&lt;=$F53),IF(BM$5=$E53+1,$C53,""),"")</f>
        <v/>
      </c>
      <c r="BN53" s="34">
        <f>IF(AND(BN$5&gt;$E53,BN$5&lt;=$F53),IF(BN$5=$E53+1,$C53,""),"")</f>
        <v/>
      </c>
      <c r="BO53" s="34">
        <f>IF(AND(BO$5&gt;$E53,BO$5&lt;=$F53),IF(BO$5=$E53+1,$C53,""),"")</f>
        <v/>
      </c>
      <c r="BP53" s="34">
        <f>IF(AND(BP$5&gt;$E53,BP$5&lt;=$F53),IF(BP$5=$E53+1,$C53,""),"")</f>
        <v/>
      </c>
      <c r="BQ53" s="34">
        <f>IF(AND(BQ$5&gt;$E53,BQ$5&lt;=$F53),IF(BQ$5=$E53+1,$C53,""),"")</f>
        <v/>
      </c>
      <c r="BR53" s="34">
        <f>IF(AND(BR$5&gt;$E53,BR$5&lt;=$F53),IF(BR$5=$E53+1,$C53,""),"")</f>
        <v/>
      </c>
      <c r="BS53" s="34">
        <f>IF(AND(BS$5&gt;$E53,BS$5&lt;=$F53),IF(BS$5=$E53+1,$C53,""),"")</f>
        <v/>
      </c>
      <c r="BT53" s="34">
        <f>IF(AND(BT$5&gt;$E53,BT$5&lt;=$F53),IF(BT$5=$E53+1,$C53,""),"")</f>
        <v/>
      </c>
      <c r="BU53" s="34">
        <f>IF(AND(BU$5&gt;$E53,BU$5&lt;=$F53),IF(BU$5=$E53+1,$C53,""),"")</f>
        <v/>
      </c>
      <c r="BV53" s="34">
        <f>IF(AND(BV$5&gt;$E53,BV$5&lt;=$F53),IF(BV$5=$E53+1,$C53,""),"")</f>
        <v/>
      </c>
      <c r="BW53" s="34">
        <f>IF(AND(BW$5&gt;$E53,BW$5&lt;=$F53),IF(BW$5=$E53+1,$C53,""),"")</f>
        <v/>
      </c>
      <c r="BX53" s="34">
        <f>IF(AND(BX$5&gt;$E53,BX$5&lt;=$F53),IF(BX$5=$E53+1,$C53,""),"")</f>
        <v/>
      </c>
      <c r="BY53" s="34">
        <f>IF(AND(BY$5&gt;$E53,BY$5&lt;=$F53),IF(BY$5=$E53+1,$C53,""),"")</f>
        <v/>
      </c>
    </row>
    <row r="54">
      <c r="A54" s="27" t="inlineStr">
        <is>
          <t>Fase 6. Pruebas y lanzamiento</t>
        </is>
      </c>
      <c r="B54" s="28" t="n"/>
      <c r="C54" s="28" t="n"/>
      <c r="D54" s="28" t="n"/>
      <c r="E54" s="29">
        <f>SUMPRODUCT(MIN((Plan!$B$5:$B$57="6. Pruebas y lanzamiento")*Plan!$K$5:$K$57+(Plan!$B$5:$B$57&lt;&gt;"6. Pruebas y lanzamiento")*1E9))</f>
        <v/>
      </c>
      <c r="F54" s="29">
        <f>SUMPRODUCT(MAX((Plan!$B$5:$B$57="6. Pruebas y lanzamiento")*Plan!$L$5:$L$57))</f>
        <v/>
      </c>
      <c r="G54" s="30">
        <f>Resumen!E34</f>
        <v/>
      </c>
      <c r="H54" s="31" t="n"/>
      <c r="I54" s="31" t="n"/>
      <c r="J54" s="31" t="n"/>
      <c r="K54" s="31" t="n"/>
      <c r="L54" s="31" t="n"/>
      <c r="M54" s="31" t="n"/>
      <c r="N54" s="31" t="n"/>
      <c r="O54" s="31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1" t="n"/>
      <c r="Z54" s="31" t="n"/>
      <c r="AA54" s="31" t="n"/>
      <c r="AB54" s="31" t="n"/>
      <c r="AC54" s="31" t="n"/>
      <c r="AD54" s="31" t="n"/>
      <c r="AE54" s="31" t="n"/>
      <c r="AF54" s="31" t="n"/>
      <c r="AG54" s="31" t="n"/>
      <c r="AH54" s="31" t="n"/>
      <c r="AI54" s="31" t="n"/>
      <c r="AJ54" s="31" t="n"/>
      <c r="AK54" s="31" t="n"/>
      <c r="AL54" s="31" t="n"/>
      <c r="AM54" s="31" t="n"/>
      <c r="AN54" s="31" t="n"/>
      <c r="AO54" s="31" t="n"/>
      <c r="AP54" s="31" t="n"/>
      <c r="AQ54" s="31" t="n"/>
      <c r="AR54" s="31" t="n"/>
      <c r="AS54" s="31" t="n"/>
      <c r="AT54" s="31" t="n"/>
      <c r="AU54" s="31" t="n"/>
      <c r="AV54" s="31" t="n"/>
      <c r="AW54" s="31" t="n"/>
      <c r="AX54" s="31" t="n"/>
      <c r="AY54" s="31" t="n"/>
      <c r="AZ54" s="31" t="n"/>
      <c r="BA54" s="31" t="n"/>
      <c r="BB54" s="31" t="n"/>
      <c r="BC54" s="31" t="n"/>
      <c r="BD54" s="31" t="n"/>
      <c r="BE54" s="31" t="n"/>
      <c r="BF54" s="31" t="n"/>
      <c r="BG54" s="31" t="n"/>
      <c r="BH54" s="31" t="n"/>
      <c r="BI54" s="31" t="n"/>
      <c r="BJ54" s="31" t="n"/>
      <c r="BK54" s="31" t="n"/>
      <c r="BL54" s="31" t="n"/>
      <c r="BM54" s="31" t="n"/>
      <c r="BN54" s="31" t="n"/>
      <c r="BO54" s="31" t="n"/>
      <c r="BP54" s="31" t="n"/>
      <c r="BQ54" s="31" t="n"/>
      <c r="BR54" s="31" t="n"/>
      <c r="BS54" s="31" t="n"/>
      <c r="BT54" s="31" t="n"/>
      <c r="BU54" s="31" t="n"/>
      <c r="BV54" s="31" t="n"/>
      <c r="BW54" s="31" t="n"/>
      <c r="BX54" s="31" t="n"/>
      <c r="BY54" s="31" t="n"/>
    </row>
    <row r="55">
      <c r="A55" s="32">
        <f>Plan!A45</f>
        <v/>
      </c>
      <c r="B55" s="33">
        <f>Plan!C45</f>
        <v/>
      </c>
      <c r="C55" s="16">
        <f>Plan!D45</f>
        <v/>
      </c>
      <c r="D55" s="16">
        <f>Plan!I45</f>
        <v/>
      </c>
      <c r="E55" s="16">
        <f>Plan!K45</f>
        <v/>
      </c>
      <c r="F55" s="16">
        <f>Plan!L45</f>
        <v/>
      </c>
      <c r="G55" s="16">
        <f>Plan!O45</f>
        <v/>
      </c>
      <c r="H55" s="34">
        <f>IF(AND(H$5&gt;$E55,H$5&lt;=$F55),IF(H$5=$E55+1,$C55,""),"")</f>
        <v/>
      </c>
      <c r="I55" s="34">
        <f>IF(AND(I$5&gt;$E55,I$5&lt;=$F55),IF(I$5=$E55+1,$C55,""),"")</f>
        <v/>
      </c>
      <c r="J55" s="34">
        <f>IF(AND(J$5&gt;$E55,J$5&lt;=$F55),IF(J$5=$E55+1,$C55,""),"")</f>
        <v/>
      </c>
      <c r="K55" s="34">
        <f>IF(AND(K$5&gt;$E55,K$5&lt;=$F55),IF(K$5=$E55+1,$C55,""),"")</f>
        <v/>
      </c>
      <c r="L55" s="34">
        <f>IF(AND(L$5&gt;$E55,L$5&lt;=$F55),IF(L$5=$E55+1,$C55,""),"")</f>
        <v/>
      </c>
      <c r="M55" s="34">
        <f>IF(AND(M$5&gt;$E55,M$5&lt;=$F55),IF(M$5=$E55+1,$C55,""),"")</f>
        <v/>
      </c>
      <c r="N55" s="34">
        <f>IF(AND(N$5&gt;$E55,N$5&lt;=$F55),IF(N$5=$E55+1,$C55,""),"")</f>
        <v/>
      </c>
      <c r="O55" s="34">
        <f>IF(AND(O$5&gt;$E55,O$5&lt;=$F55),IF(O$5=$E55+1,$C55,""),"")</f>
        <v/>
      </c>
      <c r="P55" s="34">
        <f>IF(AND(P$5&gt;$E55,P$5&lt;=$F55),IF(P$5=$E55+1,$C55,""),"")</f>
        <v/>
      </c>
      <c r="Q55" s="34">
        <f>IF(AND(Q$5&gt;$E55,Q$5&lt;=$F55),IF(Q$5=$E55+1,$C55,""),"")</f>
        <v/>
      </c>
      <c r="R55" s="34">
        <f>IF(AND(R$5&gt;$E55,R$5&lt;=$F55),IF(R$5=$E55+1,$C55,""),"")</f>
        <v/>
      </c>
      <c r="S55" s="34">
        <f>IF(AND(S$5&gt;$E55,S$5&lt;=$F55),IF(S$5=$E55+1,$C55,""),"")</f>
        <v/>
      </c>
      <c r="T55" s="34">
        <f>IF(AND(T$5&gt;$E55,T$5&lt;=$F55),IF(T$5=$E55+1,$C55,""),"")</f>
        <v/>
      </c>
      <c r="U55" s="34">
        <f>IF(AND(U$5&gt;$E55,U$5&lt;=$F55),IF(U$5=$E55+1,$C55,""),"")</f>
        <v/>
      </c>
      <c r="V55" s="34">
        <f>IF(AND(V$5&gt;$E55,V$5&lt;=$F55),IF(V$5=$E55+1,$C55,""),"")</f>
        <v/>
      </c>
      <c r="W55" s="34">
        <f>IF(AND(W$5&gt;$E55,W$5&lt;=$F55),IF(W$5=$E55+1,$C55,""),"")</f>
        <v/>
      </c>
      <c r="X55" s="34">
        <f>IF(AND(X$5&gt;$E55,X$5&lt;=$F55),IF(X$5=$E55+1,$C55,""),"")</f>
        <v/>
      </c>
      <c r="Y55" s="34">
        <f>IF(AND(Y$5&gt;$E55,Y$5&lt;=$F55),IF(Y$5=$E55+1,$C55,""),"")</f>
        <v/>
      </c>
      <c r="Z55" s="34">
        <f>IF(AND(Z$5&gt;$E55,Z$5&lt;=$F55),IF(Z$5=$E55+1,$C55,""),"")</f>
        <v/>
      </c>
      <c r="AA55" s="34">
        <f>IF(AND(AA$5&gt;$E55,AA$5&lt;=$F55),IF(AA$5=$E55+1,$C55,""),"")</f>
        <v/>
      </c>
      <c r="AB55" s="34">
        <f>IF(AND(AB$5&gt;$E55,AB$5&lt;=$F55),IF(AB$5=$E55+1,$C55,""),"")</f>
        <v/>
      </c>
      <c r="AC55" s="34">
        <f>IF(AND(AC$5&gt;$E55,AC$5&lt;=$F55),IF(AC$5=$E55+1,$C55,""),"")</f>
        <v/>
      </c>
      <c r="AD55" s="34">
        <f>IF(AND(AD$5&gt;$E55,AD$5&lt;=$F55),IF(AD$5=$E55+1,$C55,""),"")</f>
        <v/>
      </c>
      <c r="AE55" s="34">
        <f>IF(AND(AE$5&gt;$E55,AE$5&lt;=$F55),IF(AE$5=$E55+1,$C55,""),"")</f>
        <v/>
      </c>
      <c r="AF55" s="34">
        <f>IF(AND(AF$5&gt;$E55,AF$5&lt;=$F55),IF(AF$5=$E55+1,$C55,""),"")</f>
        <v/>
      </c>
      <c r="AG55" s="34">
        <f>IF(AND(AG$5&gt;$E55,AG$5&lt;=$F55),IF(AG$5=$E55+1,$C55,""),"")</f>
        <v/>
      </c>
      <c r="AH55" s="34">
        <f>IF(AND(AH$5&gt;$E55,AH$5&lt;=$F55),IF(AH$5=$E55+1,$C55,""),"")</f>
        <v/>
      </c>
      <c r="AI55" s="34">
        <f>IF(AND(AI$5&gt;$E55,AI$5&lt;=$F55),IF(AI$5=$E55+1,$C55,""),"")</f>
        <v/>
      </c>
      <c r="AJ55" s="34">
        <f>IF(AND(AJ$5&gt;$E55,AJ$5&lt;=$F55),IF(AJ$5=$E55+1,$C55,""),"")</f>
        <v/>
      </c>
      <c r="AK55" s="34">
        <f>IF(AND(AK$5&gt;$E55,AK$5&lt;=$F55),IF(AK$5=$E55+1,$C55,""),"")</f>
        <v/>
      </c>
      <c r="AL55" s="34">
        <f>IF(AND(AL$5&gt;$E55,AL$5&lt;=$F55),IF(AL$5=$E55+1,$C55,""),"")</f>
        <v/>
      </c>
      <c r="AM55" s="34">
        <f>IF(AND(AM$5&gt;$E55,AM$5&lt;=$F55),IF(AM$5=$E55+1,$C55,""),"")</f>
        <v/>
      </c>
      <c r="AN55" s="34">
        <f>IF(AND(AN$5&gt;$E55,AN$5&lt;=$F55),IF(AN$5=$E55+1,$C55,""),"")</f>
        <v/>
      </c>
      <c r="AO55" s="34">
        <f>IF(AND(AO$5&gt;$E55,AO$5&lt;=$F55),IF(AO$5=$E55+1,$C55,""),"")</f>
        <v/>
      </c>
      <c r="AP55" s="34">
        <f>IF(AND(AP$5&gt;$E55,AP$5&lt;=$F55),IF(AP$5=$E55+1,$C55,""),"")</f>
        <v/>
      </c>
      <c r="AQ55" s="34">
        <f>IF(AND(AQ$5&gt;$E55,AQ$5&lt;=$F55),IF(AQ$5=$E55+1,$C55,""),"")</f>
        <v/>
      </c>
      <c r="AR55" s="34">
        <f>IF(AND(AR$5&gt;$E55,AR$5&lt;=$F55),IF(AR$5=$E55+1,$C55,""),"")</f>
        <v/>
      </c>
      <c r="AS55" s="34">
        <f>IF(AND(AS$5&gt;$E55,AS$5&lt;=$F55),IF(AS$5=$E55+1,$C55,""),"")</f>
        <v/>
      </c>
      <c r="AT55" s="34">
        <f>IF(AND(AT$5&gt;$E55,AT$5&lt;=$F55),IF(AT$5=$E55+1,$C55,""),"")</f>
        <v/>
      </c>
      <c r="AU55" s="34">
        <f>IF(AND(AU$5&gt;$E55,AU$5&lt;=$F55),IF(AU$5=$E55+1,$C55,""),"")</f>
        <v/>
      </c>
      <c r="AV55" s="34">
        <f>IF(AND(AV$5&gt;$E55,AV$5&lt;=$F55),IF(AV$5=$E55+1,$C55,""),"")</f>
        <v/>
      </c>
      <c r="AW55" s="34">
        <f>IF(AND(AW$5&gt;$E55,AW$5&lt;=$F55),IF(AW$5=$E55+1,$C55,""),"")</f>
        <v/>
      </c>
      <c r="AX55" s="34">
        <f>IF(AND(AX$5&gt;$E55,AX$5&lt;=$F55),IF(AX$5=$E55+1,$C55,""),"")</f>
        <v/>
      </c>
      <c r="AY55" s="34">
        <f>IF(AND(AY$5&gt;$E55,AY$5&lt;=$F55),IF(AY$5=$E55+1,$C55,""),"")</f>
        <v/>
      </c>
      <c r="AZ55" s="34">
        <f>IF(AND(AZ$5&gt;$E55,AZ$5&lt;=$F55),IF(AZ$5=$E55+1,$C55,""),"")</f>
        <v/>
      </c>
      <c r="BA55" s="34">
        <f>IF(AND(BA$5&gt;$E55,BA$5&lt;=$F55),IF(BA$5=$E55+1,$C55,""),"")</f>
        <v/>
      </c>
      <c r="BB55" s="34">
        <f>IF(AND(BB$5&gt;$E55,BB$5&lt;=$F55),IF(BB$5=$E55+1,$C55,""),"")</f>
        <v/>
      </c>
      <c r="BC55" s="34">
        <f>IF(AND(BC$5&gt;$E55,BC$5&lt;=$F55),IF(BC$5=$E55+1,$C55,""),"")</f>
        <v/>
      </c>
      <c r="BD55" s="34">
        <f>IF(AND(BD$5&gt;$E55,BD$5&lt;=$F55),IF(BD$5=$E55+1,$C55,""),"")</f>
        <v/>
      </c>
      <c r="BE55" s="34">
        <f>IF(AND(BE$5&gt;$E55,BE$5&lt;=$F55),IF(BE$5=$E55+1,$C55,""),"")</f>
        <v/>
      </c>
      <c r="BF55" s="34">
        <f>IF(AND(BF$5&gt;$E55,BF$5&lt;=$F55),IF(BF$5=$E55+1,$C55,""),"")</f>
        <v/>
      </c>
      <c r="BG55" s="34">
        <f>IF(AND(BG$5&gt;$E55,BG$5&lt;=$F55),IF(BG$5=$E55+1,$C55,""),"")</f>
        <v/>
      </c>
      <c r="BH55" s="34">
        <f>IF(AND(BH$5&gt;$E55,BH$5&lt;=$F55),IF(BH$5=$E55+1,$C55,""),"")</f>
        <v/>
      </c>
      <c r="BI55" s="34">
        <f>IF(AND(BI$5&gt;$E55,BI$5&lt;=$F55),IF(BI$5=$E55+1,$C55,""),"")</f>
        <v/>
      </c>
      <c r="BJ55" s="34">
        <f>IF(AND(BJ$5&gt;$E55,BJ$5&lt;=$F55),IF(BJ$5=$E55+1,$C55,""),"")</f>
        <v/>
      </c>
      <c r="BK55" s="34">
        <f>IF(AND(BK$5&gt;$E55,BK$5&lt;=$F55),IF(BK$5=$E55+1,$C55,""),"")</f>
        <v/>
      </c>
      <c r="BL55" s="34">
        <f>IF(AND(BL$5&gt;$E55,BL$5&lt;=$F55),IF(BL$5=$E55+1,$C55,""),"")</f>
        <v/>
      </c>
      <c r="BM55" s="34">
        <f>IF(AND(BM$5&gt;$E55,BM$5&lt;=$F55),IF(BM$5=$E55+1,$C55,""),"")</f>
        <v/>
      </c>
      <c r="BN55" s="34">
        <f>IF(AND(BN$5&gt;$E55,BN$5&lt;=$F55),IF(BN$5=$E55+1,$C55,""),"")</f>
        <v/>
      </c>
      <c r="BO55" s="34">
        <f>IF(AND(BO$5&gt;$E55,BO$5&lt;=$F55),IF(BO$5=$E55+1,$C55,""),"")</f>
        <v/>
      </c>
      <c r="BP55" s="34">
        <f>IF(AND(BP$5&gt;$E55,BP$5&lt;=$F55),IF(BP$5=$E55+1,$C55,""),"")</f>
        <v/>
      </c>
      <c r="BQ55" s="34">
        <f>IF(AND(BQ$5&gt;$E55,BQ$5&lt;=$F55),IF(BQ$5=$E55+1,$C55,""),"")</f>
        <v/>
      </c>
      <c r="BR55" s="34">
        <f>IF(AND(BR$5&gt;$E55,BR$5&lt;=$F55),IF(BR$5=$E55+1,$C55,""),"")</f>
        <v/>
      </c>
      <c r="BS55" s="34">
        <f>IF(AND(BS$5&gt;$E55,BS$5&lt;=$F55),IF(BS$5=$E55+1,$C55,""),"")</f>
        <v/>
      </c>
      <c r="BT55" s="34">
        <f>IF(AND(BT$5&gt;$E55,BT$5&lt;=$F55),IF(BT$5=$E55+1,$C55,""),"")</f>
        <v/>
      </c>
      <c r="BU55" s="34">
        <f>IF(AND(BU$5&gt;$E55,BU$5&lt;=$F55),IF(BU$5=$E55+1,$C55,""),"")</f>
        <v/>
      </c>
      <c r="BV55" s="34">
        <f>IF(AND(BV$5&gt;$E55,BV$5&lt;=$F55),IF(BV$5=$E55+1,$C55,""),"")</f>
        <v/>
      </c>
      <c r="BW55" s="34">
        <f>IF(AND(BW$5&gt;$E55,BW$5&lt;=$F55),IF(BW$5=$E55+1,$C55,""),"")</f>
        <v/>
      </c>
      <c r="BX55" s="34">
        <f>IF(AND(BX$5&gt;$E55,BX$5&lt;=$F55),IF(BX$5=$E55+1,$C55,""),"")</f>
        <v/>
      </c>
      <c r="BY55" s="34">
        <f>IF(AND(BY$5&gt;$E55,BY$5&lt;=$F55),IF(BY$5=$E55+1,$C55,""),"")</f>
        <v/>
      </c>
    </row>
    <row r="56">
      <c r="A56" s="32">
        <f>Plan!A46</f>
        <v/>
      </c>
      <c r="B56" s="33">
        <f>Plan!C46</f>
        <v/>
      </c>
      <c r="C56" s="16">
        <f>Plan!D46</f>
        <v/>
      </c>
      <c r="D56" s="16">
        <f>Plan!I46</f>
        <v/>
      </c>
      <c r="E56" s="16">
        <f>Plan!K46</f>
        <v/>
      </c>
      <c r="F56" s="16">
        <f>Plan!L46</f>
        <v/>
      </c>
      <c r="G56" s="16">
        <f>Plan!O46</f>
        <v/>
      </c>
      <c r="H56" s="34">
        <f>IF(AND(H$5&gt;$E56,H$5&lt;=$F56),IF(H$5=$E56+1,$C56,""),"")</f>
        <v/>
      </c>
      <c r="I56" s="34">
        <f>IF(AND(I$5&gt;$E56,I$5&lt;=$F56),IF(I$5=$E56+1,$C56,""),"")</f>
        <v/>
      </c>
      <c r="J56" s="34">
        <f>IF(AND(J$5&gt;$E56,J$5&lt;=$F56),IF(J$5=$E56+1,$C56,""),"")</f>
        <v/>
      </c>
      <c r="K56" s="34">
        <f>IF(AND(K$5&gt;$E56,K$5&lt;=$F56),IF(K$5=$E56+1,$C56,""),"")</f>
        <v/>
      </c>
      <c r="L56" s="34">
        <f>IF(AND(L$5&gt;$E56,L$5&lt;=$F56),IF(L$5=$E56+1,$C56,""),"")</f>
        <v/>
      </c>
      <c r="M56" s="34">
        <f>IF(AND(M$5&gt;$E56,M$5&lt;=$F56),IF(M$5=$E56+1,$C56,""),"")</f>
        <v/>
      </c>
      <c r="N56" s="34">
        <f>IF(AND(N$5&gt;$E56,N$5&lt;=$F56),IF(N$5=$E56+1,$C56,""),"")</f>
        <v/>
      </c>
      <c r="O56" s="34">
        <f>IF(AND(O$5&gt;$E56,O$5&lt;=$F56),IF(O$5=$E56+1,$C56,""),"")</f>
        <v/>
      </c>
      <c r="P56" s="34">
        <f>IF(AND(P$5&gt;$E56,P$5&lt;=$F56),IF(P$5=$E56+1,$C56,""),"")</f>
        <v/>
      </c>
      <c r="Q56" s="34">
        <f>IF(AND(Q$5&gt;$E56,Q$5&lt;=$F56),IF(Q$5=$E56+1,$C56,""),"")</f>
        <v/>
      </c>
      <c r="R56" s="34">
        <f>IF(AND(R$5&gt;$E56,R$5&lt;=$F56),IF(R$5=$E56+1,$C56,""),"")</f>
        <v/>
      </c>
      <c r="S56" s="34">
        <f>IF(AND(S$5&gt;$E56,S$5&lt;=$F56),IF(S$5=$E56+1,$C56,""),"")</f>
        <v/>
      </c>
      <c r="T56" s="34">
        <f>IF(AND(T$5&gt;$E56,T$5&lt;=$F56),IF(T$5=$E56+1,$C56,""),"")</f>
        <v/>
      </c>
      <c r="U56" s="34">
        <f>IF(AND(U$5&gt;$E56,U$5&lt;=$F56),IF(U$5=$E56+1,$C56,""),"")</f>
        <v/>
      </c>
      <c r="V56" s="34">
        <f>IF(AND(V$5&gt;$E56,V$5&lt;=$F56),IF(V$5=$E56+1,$C56,""),"")</f>
        <v/>
      </c>
      <c r="W56" s="34">
        <f>IF(AND(W$5&gt;$E56,W$5&lt;=$F56),IF(W$5=$E56+1,$C56,""),"")</f>
        <v/>
      </c>
      <c r="X56" s="34">
        <f>IF(AND(X$5&gt;$E56,X$5&lt;=$F56),IF(X$5=$E56+1,$C56,""),"")</f>
        <v/>
      </c>
      <c r="Y56" s="34">
        <f>IF(AND(Y$5&gt;$E56,Y$5&lt;=$F56),IF(Y$5=$E56+1,$C56,""),"")</f>
        <v/>
      </c>
      <c r="Z56" s="34">
        <f>IF(AND(Z$5&gt;$E56,Z$5&lt;=$F56),IF(Z$5=$E56+1,$C56,""),"")</f>
        <v/>
      </c>
      <c r="AA56" s="34">
        <f>IF(AND(AA$5&gt;$E56,AA$5&lt;=$F56),IF(AA$5=$E56+1,$C56,""),"")</f>
        <v/>
      </c>
      <c r="AB56" s="34">
        <f>IF(AND(AB$5&gt;$E56,AB$5&lt;=$F56),IF(AB$5=$E56+1,$C56,""),"")</f>
        <v/>
      </c>
      <c r="AC56" s="34">
        <f>IF(AND(AC$5&gt;$E56,AC$5&lt;=$F56),IF(AC$5=$E56+1,$C56,""),"")</f>
        <v/>
      </c>
      <c r="AD56" s="34">
        <f>IF(AND(AD$5&gt;$E56,AD$5&lt;=$F56),IF(AD$5=$E56+1,$C56,""),"")</f>
        <v/>
      </c>
      <c r="AE56" s="34">
        <f>IF(AND(AE$5&gt;$E56,AE$5&lt;=$F56),IF(AE$5=$E56+1,$C56,""),"")</f>
        <v/>
      </c>
      <c r="AF56" s="34">
        <f>IF(AND(AF$5&gt;$E56,AF$5&lt;=$F56),IF(AF$5=$E56+1,$C56,""),"")</f>
        <v/>
      </c>
      <c r="AG56" s="34">
        <f>IF(AND(AG$5&gt;$E56,AG$5&lt;=$F56),IF(AG$5=$E56+1,$C56,""),"")</f>
        <v/>
      </c>
      <c r="AH56" s="34">
        <f>IF(AND(AH$5&gt;$E56,AH$5&lt;=$F56),IF(AH$5=$E56+1,$C56,""),"")</f>
        <v/>
      </c>
      <c r="AI56" s="34">
        <f>IF(AND(AI$5&gt;$E56,AI$5&lt;=$F56),IF(AI$5=$E56+1,$C56,""),"")</f>
        <v/>
      </c>
      <c r="AJ56" s="34">
        <f>IF(AND(AJ$5&gt;$E56,AJ$5&lt;=$F56),IF(AJ$5=$E56+1,$C56,""),"")</f>
        <v/>
      </c>
      <c r="AK56" s="34">
        <f>IF(AND(AK$5&gt;$E56,AK$5&lt;=$F56),IF(AK$5=$E56+1,$C56,""),"")</f>
        <v/>
      </c>
      <c r="AL56" s="34">
        <f>IF(AND(AL$5&gt;$E56,AL$5&lt;=$F56),IF(AL$5=$E56+1,$C56,""),"")</f>
        <v/>
      </c>
      <c r="AM56" s="34">
        <f>IF(AND(AM$5&gt;$E56,AM$5&lt;=$F56),IF(AM$5=$E56+1,$C56,""),"")</f>
        <v/>
      </c>
      <c r="AN56" s="34">
        <f>IF(AND(AN$5&gt;$E56,AN$5&lt;=$F56),IF(AN$5=$E56+1,$C56,""),"")</f>
        <v/>
      </c>
      <c r="AO56" s="34">
        <f>IF(AND(AO$5&gt;$E56,AO$5&lt;=$F56),IF(AO$5=$E56+1,$C56,""),"")</f>
        <v/>
      </c>
      <c r="AP56" s="34">
        <f>IF(AND(AP$5&gt;$E56,AP$5&lt;=$F56),IF(AP$5=$E56+1,$C56,""),"")</f>
        <v/>
      </c>
      <c r="AQ56" s="34">
        <f>IF(AND(AQ$5&gt;$E56,AQ$5&lt;=$F56),IF(AQ$5=$E56+1,$C56,""),"")</f>
        <v/>
      </c>
      <c r="AR56" s="34">
        <f>IF(AND(AR$5&gt;$E56,AR$5&lt;=$F56),IF(AR$5=$E56+1,$C56,""),"")</f>
        <v/>
      </c>
      <c r="AS56" s="34">
        <f>IF(AND(AS$5&gt;$E56,AS$5&lt;=$F56),IF(AS$5=$E56+1,$C56,""),"")</f>
        <v/>
      </c>
      <c r="AT56" s="34">
        <f>IF(AND(AT$5&gt;$E56,AT$5&lt;=$F56),IF(AT$5=$E56+1,$C56,""),"")</f>
        <v/>
      </c>
      <c r="AU56" s="34">
        <f>IF(AND(AU$5&gt;$E56,AU$5&lt;=$F56),IF(AU$5=$E56+1,$C56,""),"")</f>
        <v/>
      </c>
      <c r="AV56" s="34">
        <f>IF(AND(AV$5&gt;$E56,AV$5&lt;=$F56),IF(AV$5=$E56+1,$C56,""),"")</f>
        <v/>
      </c>
      <c r="AW56" s="34">
        <f>IF(AND(AW$5&gt;$E56,AW$5&lt;=$F56),IF(AW$5=$E56+1,$C56,""),"")</f>
        <v/>
      </c>
      <c r="AX56" s="34">
        <f>IF(AND(AX$5&gt;$E56,AX$5&lt;=$F56),IF(AX$5=$E56+1,$C56,""),"")</f>
        <v/>
      </c>
      <c r="AY56" s="34">
        <f>IF(AND(AY$5&gt;$E56,AY$5&lt;=$F56),IF(AY$5=$E56+1,$C56,""),"")</f>
        <v/>
      </c>
      <c r="AZ56" s="34">
        <f>IF(AND(AZ$5&gt;$E56,AZ$5&lt;=$F56),IF(AZ$5=$E56+1,$C56,""),"")</f>
        <v/>
      </c>
      <c r="BA56" s="34">
        <f>IF(AND(BA$5&gt;$E56,BA$5&lt;=$F56),IF(BA$5=$E56+1,$C56,""),"")</f>
        <v/>
      </c>
      <c r="BB56" s="34">
        <f>IF(AND(BB$5&gt;$E56,BB$5&lt;=$F56),IF(BB$5=$E56+1,$C56,""),"")</f>
        <v/>
      </c>
      <c r="BC56" s="34">
        <f>IF(AND(BC$5&gt;$E56,BC$5&lt;=$F56),IF(BC$5=$E56+1,$C56,""),"")</f>
        <v/>
      </c>
      <c r="BD56" s="34">
        <f>IF(AND(BD$5&gt;$E56,BD$5&lt;=$F56),IF(BD$5=$E56+1,$C56,""),"")</f>
        <v/>
      </c>
      <c r="BE56" s="34">
        <f>IF(AND(BE$5&gt;$E56,BE$5&lt;=$F56),IF(BE$5=$E56+1,$C56,""),"")</f>
        <v/>
      </c>
      <c r="BF56" s="34">
        <f>IF(AND(BF$5&gt;$E56,BF$5&lt;=$F56),IF(BF$5=$E56+1,$C56,""),"")</f>
        <v/>
      </c>
      <c r="BG56" s="34">
        <f>IF(AND(BG$5&gt;$E56,BG$5&lt;=$F56),IF(BG$5=$E56+1,$C56,""),"")</f>
        <v/>
      </c>
      <c r="BH56" s="34">
        <f>IF(AND(BH$5&gt;$E56,BH$5&lt;=$F56),IF(BH$5=$E56+1,$C56,""),"")</f>
        <v/>
      </c>
      <c r="BI56" s="34">
        <f>IF(AND(BI$5&gt;$E56,BI$5&lt;=$F56),IF(BI$5=$E56+1,$C56,""),"")</f>
        <v/>
      </c>
      <c r="BJ56" s="34">
        <f>IF(AND(BJ$5&gt;$E56,BJ$5&lt;=$F56),IF(BJ$5=$E56+1,$C56,""),"")</f>
        <v/>
      </c>
      <c r="BK56" s="34">
        <f>IF(AND(BK$5&gt;$E56,BK$5&lt;=$F56),IF(BK$5=$E56+1,$C56,""),"")</f>
        <v/>
      </c>
      <c r="BL56" s="34">
        <f>IF(AND(BL$5&gt;$E56,BL$5&lt;=$F56),IF(BL$5=$E56+1,$C56,""),"")</f>
        <v/>
      </c>
      <c r="BM56" s="34">
        <f>IF(AND(BM$5&gt;$E56,BM$5&lt;=$F56),IF(BM$5=$E56+1,$C56,""),"")</f>
        <v/>
      </c>
      <c r="BN56" s="34">
        <f>IF(AND(BN$5&gt;$E56,BN$5&lt;=$F56),IF(BN$5=$E56+1,$C56,""),"")</f>
        <v/>
      </c>
      <c r="BO56" s="34">
        <f>IF(AND(BO$5&gt;$E56,BO$5&lt;=$F56),IF(BO$5=$E56+1,$C56,""),"")</f>
        <v/>
      </c>
      <c r="BP56" s="34">
        <f>IF(AND(BP$5&gt;$E56,BP$5&lt;=$F56),IF(BP$5=$E56+1,$C56,""),"")</f>
        <v/>
      </c>
      <c r="BQ56" s="34">
        <f>IF(AND(BQ$5&gt;$E56,BQ$5&lt;=$F56),IF(BQ$5=$E56+1,$C56,""),"")</f>
        <v/>
      </c>
      <c r="BR56" s="34">
        <f>IF(AND(BR$5&gt;$E56,BR$5&lt;=$F56),IF(BR$5=$E56+1,$C56,""),"")</f>
        <v/>
      </c>
      <c r="BS56" s="34">
        <f>IF(AND(BS$5&gt;$E56,BS$5&lt;=$F56),IF(BS$5=$E56+1,$C56,""),"")</f>
        <v/>
      </c>
      <c r="BT56" s="34">
        <f>IF(AND(BT$5&gt;$E56,BT$5&lt;=$F56),IF(BT$5=$E56+1,$C56,""),"")</f>
        <v/>
      </c>
      <c r="BU56" s="34">
        <f>IF(AND(BU$5&gt;$E56,BU$5&lt;=$F56),IF(BU$5=$E56+1,$C56,""),"")</f>
        <v/>
      </c>
      <c r="BV56" s="34">
        <f>IF(AND(BV$5&gt;$E56,BV$5&lt;=$F56),IF(BV$5=$E56+1,$C56,""),"")</f>
        <v/>
      </c>
      <c r="BW56" s="34">
        <f>IF(AND(BW$5&gt;$E56,BW$5&lt;=$F56),IF(BW$5=$E56+1,$C56,""),"")</f>
        <v/>
      </c>
      <c r="BX56" s="34">
        <f>IF(AND(BX$5&gt;$E56,BX$5&lt;=$F56),IF(BX$5=$E56+1,$C56,""),"")</f>
        <v/>
      </c>
      <c r="BY56" s="34">
        <f>IF(AND(BY$5&gt;$E56,BY$5&lt;=$F56),IF(BY$5=$E56+1,$C56,""),"")</f>
        <v/>
      </c>
    </row>
    <row r="57">
      <c r="A57" s="32">
        <f>Plan!A47</f>
        <v/>
      </c>
      <c r="B57" s="33">
        <f>Plan!C47</f>
        <v/>
      </c>
      <c r="C57" s="16">
        <f>Plan!D47</f>
        <v/>
      </c>
      <c r="D57" s="16">
        <f>Plan!I47</f>
        <v/>
      </c>
      <c r="E57" s="16">
        <f>Plan!K47</f>
        <v/>
      </c>
      <c r="F57" s="16">
        <f>Plan!L47</f>
        <v/>
      </c>
      <c r="G57" s="16">
        <f>Plan!O47</f>
        <v/>
      </c>
      <c r="H57" s="34">
        <f>IF(AND(H$5&gt;$E57,H$5&lt;=$F57),IF(H$5=$E57+1,$C57,""),"")</f>
        <v/>
      </c>
      <c r="I57" s="34">
        <f>IF(AND(I$5&gt;$E57,I$5&lt;=$F57),IF(I$5=$E57+1,$C57,""),"")</f>
        <v/>
      </c>
      <c r="J57" s="34">
        <f>IF(AND(J$5&gt;$E57,J$5&lt;=$F57),IF(J$5=$E57+1,$C57,""),"")</f>
        <v/>
      </c>
      <c r="K57" s="34">
        <f>IF(AND(K$5&gt;$E57,K$5&lt;=$F57),IF(K$5=$E57+1,$C57,""),"")</f>
        <v/>
      </c>
      <c r="L57" s="34">
        <f>IF(AND(L$5&gt;$E57,L$5&lt;=$F57),IF(L$5=$E57+1,$C57,""),"")</f>
        <v/>
      </c>
      <c r="M57" s="34">
        <f>IF(AND(M$5&gt;$E57,M$5&lt;=$F57),IF(M$5=$E57+1,$C57,""),"")</f>
        <v/>
      </c>
      <c r="N57" s="34">
        <f>IF(AND(N$5&gt;$E57,N$5&lt;=$F57),IF(N$5=$E57+1,$C57,""),"")</f>
        <v/>
      </c>
      <c r="O57" s="34">
        <f>IF(AND(O$5&gt;$E57,O$5&lt;=$F57),IF(O$5=$E57+1,$C57,""),"")</f>
        <v/>
      </c>
      <c r="P57" s="34">
        <f>IF(AND(P$5&gt;$E57,P$5&lt;=$F57),IF(P$5=$E57+1,$C57,""),"")</f>
        <v/>
      </c>
      <c r="Q57" s="34">
        <f>IF(AND(Q$5&gt;$E57,Q$5&lt;=$F57),IF(Q$5=$E57+1,$C57,""),"")</f>
        <v/>
      </c>
      <c r="R57" s="34">
        <f>IF(AND(R$5&gt;$E57,R$5&lt;=$F57),IF(R$5=$E57+1,$C57,""),"")</f>
        <v/>
      </c>
      <c r="S57" s="34">
        <f>IF(AND(S$5&gt;$E57,S$5&lt;=$F57),IF(S$5=$E57+1,$C57,""),"")</f>
        <v/>
      </c>
      <c r="T57" s="34">
        <f>IF(AND(T$5&gt;$E57,T$5&lt;=$F57),IF(T$5=$E57+1,$C57,""),"")</f>
        <v/>
      </c>
      <c r="U57" s="34">
        <f>IF(AND(U$5&gt;$E57,U$5&lt;=$F57),IF(U$5=$E57+1,$C57,""),"")</f>
        <v/>
      </c>
      <c r="V57" s="34">
        <f>IF(AND(V$5&gt;$E57,V$5&lt;=$F57),IF(V$5=$E57+1,$C57,""),"")</f>
        <v/>
      </c>
      <c r="W57" s="34">
        <f>IF(AND(W$5&gt;$E57,W$5&lt;=$F57),IF(W$5=$E57+1,$C57,""),"")</f>
        <v/>
      </c>
      <c r="X57" s="34">
        <f>IF(AND(X$5&gt;$E57,X$5&lt;=$F57),IF(X$5=$E57+1,$C57,""),"")</f>
        <v/>
      </c>
      <c r="Y57" s="34">
        <f>IF(AND(Y$5&gt;$E57,Y$5&lt;=$F57),IF(Y$5=$E57+1,$C57,""),"")</f>
        <v/>
      </c>
      <c r="Z57" s="34">
        <f>IF(AND(Z$5&gt;$E57,Z$5&lt;=$F57),IF(Z$5=$E57+1,$C57,""),"")</f>
        <v/>
      </c>
      <c r="AA57" s="34">
        <f>IF(AND(AA$5&gt;$E57,AA$5&lt;=$F57),IF(AA$5=$E57+1,$C57,""),"")</f>
        <v/>
      </c>
      <c r="AB57" s="34">
        <f>IF(AND(AB$5&gt;$E57,AB$5&lt;=$F57),IF(AB$5=$E57+1,$C57,""),"")</f>
        <v/>
      </c>
      <c r="AC57" s="34">
        <f>IF(AND(AC$5&gt;$E57,AC$5&lt;=$F57),IF(AC$5=$E57+1,$C57,""),"")</f>
        <v/>
      </c>
      <c r="AD57" s="34">
        <f>IF(AND(AD$5&gt;$E57,AD$5&lt;=$F57),IF(AD$5=$E57+1,$C57,""),"")</f>
        <v/>
      </c>
      <c r="AE57" s="34">
        <f>IF(AND(AE$5&gt;$E57,AE$5&lt;=$F57),IF(AE$5=$E57+1,$C57,""),"")</f>
        <v/>
      </c>
      <c r="AF57" s="34">
        <f>IF(AND(AF$5&gt;$E57,AF$5&lt;=$F57),IF(AF$5=$E57+1,$C57,""),"")</f>
        <v/>
      </c>
      <c r="AG57" s="34">
        <f>IF(AND(AG$5&gt;$E57,AG$5&lt;=$F57),IF(AG$5=$E57+1,$C57,""),"")</f>
        <v/>
      </c>
      <c r="AH57" s="34">
        <f>IF(AND(AH$5&gt;$E57,AH$5&lt;=$F57),IF(AH$5=$E57+1,$C57,""),"")</f>
        <v/>
      </c>
      <c r="AI57" s="34">
        <f>IF(AND(AI$5&gt;$E57,AI$5&lt;=$F57),IF(AI$5=$E57+1,$C57,""),"")</f>
        <v/>
      </c>
      <c r="AJ57" s="34">
        <f>IF(AND(AJ$5&gt;$E57,AJ$5&lt;=$F57),IF(AJ$5=$E57+1,$C57,""),"")</f>
        <v/>
      </c>
      <c r="AK57" s="34">
        <f>IF(AND(AK$5&gt;$E57,AK$5&lt;=$F57),IF(AK$5=$E57+1,$C57,""),"")</f>
        <v/>
      </c>
      <c r="AL57" s="34">
        <f>IF(AND(AL$5&gt;$E57,AL$5&lt;=$F57),IF(AL$5=$E57+1,$C57,""),"")</f>
        <v/>
      </c>
      <c r="AM57" s="34">
        <f>IF(AND(AM$5&gt;$E57,AM$5&lt;=$F57),IF(AM$5=$E57+1,$C57,""),"")</f>
        <v/>
      </c>
      <c r="AN57" s="34">
        <f>IF(AND(AN$5&gt;$E57,AN$5&lt;=$F57),IF(AN$5=$E57+1,$C57,""),"")</f>
        <v/>
      </c>
      <c r="AO57" s="34">
        <f>IF(AND(AO$5&gt;$E57,AO$5&lt;=$F57),IF(AO$5=$E57+1,$C57,""),"")</f>
        <v/>
      </c>
      <c r="AP57" s="34">
        <f>IF(AND(AP$5&gt;$E57,AP$5&lt;=$F57),IF(AP$5=$E57+1,$C57,""),"")</f>
        <v/>
      </c>
      <c r="AQ57" s="34">
        <f>IF(AND(AQ$5&gt;$E57,AQ$5&lt;=$F57),IF(AQ$5=$E57+1,$C57,""),"")</f>
        <v/>
      </c>
      <c r="AR57" s="34">
        <f>IF(AND(AR$5&gt;$E57,AR$5&lt;=$F57),IF(AR$5=$E57+1,$C57,""),"")</f>
        <v/>
      </c>
      <c r="AS57" s="34">
        <f>IF(AND(AS$5&gt;$E57,AS$5&lt;=$F57),IF(AS$5=$E57+1,$C57,""),"")</f>
        <v/>
      </c>
      <c r="AT57" s="34">
        <f>IF(AND(AT$5&gt;$E57,AT$5&lt;=$F57),IF(AT$5=$E57+1,$C57,""),"")</f>
        <v/>
      </c>
      <c r="AU57" s="34">
        <f>IF(AND(AU$5&gt;$E57,AU$5&lt;=$F57),IF(AU$5=$E57+1,$C57,""),"")</f>
        <v/>
      </c>
      <c r="AV57" s="34">
        <f>IF(AND(AV$5&gt;$E57,AV$5&lt;=$F57),IF(AV$5=$E57+1,$C57,""),"")</f>
        <v/>
      </c>
      <c r="AW57" s="34">
        <f>IF(AND(AW$5&gt;$E57,AW$5&lt;=$F57),IF(AW$5=$E57+1,$C57,""),"")</f>
        <v/>
      </c>
      <c r="AX57" s="34">
        <f>IF(AND(AX$5&gt;$E57,AX$5&lt;=$F57),IF(AX$5=$E57+1,$C57,""),"")</f>
        <v/>
      </c>
      <c r="AY57" s="34">
        <f>IF(AND(AY$5&gt;$E57,AY$5&lt;=$F57),IF(AY$5=$E57+1,$C57,""),"")</f>
        <v/>
      </c>
      <c r="AZ57" s="34">
        <f>IF(AND(AZ$5&gt;$E57,AZ$5&lt;=$F57),IF(AZ$5=$E57+1,$C57,""),"")</f>
        <v/>
      </c>
      <c r="BA57" s="34">
        <f>IF(AND(BA$5&gt;$E57,BA$5&lt;=$F57),IF(BA$5=$E57+1,$C57,""),"")</f>
        <v/>
      </c>
      <c r="BB57" s="34">
        <f>IF(AND(BB$5&gt;$E57,BB$5&lt;=$F57),IF(BB$5=$E57+1,$C57,""),"")</f>
        <v/>
      </c>
      <c r="BC57" s="34">
        <f>IF(AND(BC$5&gt;$E57,BC$5&lt;=$F57),IF(BC$5=$E57+1,$C57,""),"")</f>
        <v/>
      </c>
      <c r="BD57" s="34">
        <f>IF(AND(BD$5&gt;$E57,BD$5&lt;=$F57),IF(BD$5=$E57+1,$C57,""),"")</f>
        <v/>
      </c>
      <c r="BE57" s="34">
        <f>IF(AND(BE$5&gt;$E57,BE$5&lt;=$F57),IF(BE$5=$E57+1,$C57,""),"")</f>
        <v/>
      </c>
      <c r="BF57" s="34">
        <f>IF(AND(BF$5&gt;$E57,BF$5&lt;=$F57),IF(BF$5=$E57+1,$C57,""),"")</f>
        <v/>
      </c>
      <c r="BG57" s="34">
        <f>IF(AND(BG$5&gt;$E57,BG$5&lt;=$F57),IF(BG$5=$E57+1,$C57,""),"")</f>
        <v/>
      </c>
      <c r="BH57" s="34">
        <f>IF(AND(BH$5&gt;$E57,BH$5&lt;=$F57),IF(BH$5=$E57+1,$C57,""),"")</f>
        <v/>
      </c>
      <c r="BI57" s="34">
        <f>IF(AND(BI$5&gt;$E57,BI$5&lt;=$F57),IF(BI$5=$E57+1,$C57,""),"")</f>
        <v/>
      </c>
      <c r="BJ57" s="34">
        <f>IF(AND(BJ$5&gt;$E57,BJ$5&lt;=$F57),IF(BJ$5=$E57+1,$C57,""),"")</f>
        <v/>
      </c>
      <c r="BK57" s="34">
        <f>IF(AND(BK$5&gt;$E57,BK$5&lt;=$F57),IF(BK$5=$E57+1,$C57,""),"")</f>
        <v/>
      </c>
      <c r="BL57" s="34">
        <f>IF(AND(BL$5&gt;$E57,BL$5&lt;=$F57),IF(BL$5=$E57+1,$C57,""),"")</f>
        <v/>
      </c>
      <c r="BM57" s="34">
        <f>IF(AND(BM$5&gt;$E57,BM$5&lt;=$F57),IF(BM$5=$E57+1,$C57,""),"")</f>
        <v/>
      </c>
      <c r="BN57" s="34">
        <f>IF(AND(BN$5&gt;$E57,BN$5&lt;=$F57),IF(BN$5=$E57+1,$C57,""),"")</f>
        <v/>
      </c>
      <c r="BO57" s="34">
        <f>IF(AND(BO$5&gt;$E57,BO$5&lt;=$F57),IF(BO$5=$E57+1,$C57,""),"")</f>
        <v/>
      </c>
      <c r="BP57" s="34">
        <f>IF(AND(BP$5&gt;$E57,BP$5&lt;=$F57),IF(BP$5=$E57+1,$C57,""),"")</f>
        <v/>
      </c>
      <c r="BQ57" s="34">
        <f>IF(AND(BQ$5&gt;$E57,BQ$5&lt;=$F57),IF(BQ$5=$E57+1,$C57,""),"")</f>
        <v/>
      </c>
      <c r="BR57" s="34">
        <f>IF(AND(BR$5&gt;$E57,BR$5&lt;=$F57),IF(BR$5=$E57+1,$C57,""),"")</f>
        <v/>
      </c>
      <c r="BS57" s="34">
        <f>IF(AND(BS$5&gt;$E57,BS$5&lt;=$F57),IF(BS$5=$E57+1,$C57,""),"")</f>
        <v/>
      </c>
      <c r="BT57" s="34">
        <f>IF(AND(BT$5&gt;$E57,BT$5&lt;=$F57),IF(BT$5=$E57+1,$C57,""),"")</f>
        <v/>
      </c>
      <c r="BU57" s="34">
        <f>IF(AND(BU$5&gt;$E57,BU$5&lt;=$F57),IF(BU$5=$E57+1,$C57,""),"")</f>
        <v/>
      </c>
      <c r="BV57" s="34">
        <f>IF(AND(BV$5&gt;$E57,BV$5&lt;=$F57),IF(BV$5=$E57+1,$C57,""),"")</f>
        <v/>
      </c>
      <c r="BW57" s="34">
        <f>IF(AND(BW$5&gt;$E57,BW$5&lt;=$F57),IF(BW$5=$E57+1,$C57,""),"")</f>
        <v/>
      </c>
      <c r="BX57" s="34">
        <f>IF(AND(BX$5&gt;$E57,BX$5&lt;=$F57),IF(BX$5=$E57+1,$C57,""),"")</f>
        <v/>
      </c>
      <c r="BY57" s="34">
        <f>IF(AND(BY$5&gt;$E57,BY$5&lt;=$F57),IF(BY$5=$E57+1,$C57,""),"")</f>
        <v/>
      </c>
    </row>
    <row r="58">
      <c r="A58" s="32">
        <f>Plan!A48</f>
        <v/>
      </c>
      <c r="B58" s="33">
        <f>Plan!C48</f>
        <v/>
      </c>
      <c r="C58" s="16">
        <f>Plan!D48</f>
        <v/>
      </c>
      <c r="D58" s="16">
        <f>Plan!I48</f>
        <v/>
      </c>
      <c r="E58" s="16">
        <f>Plan!K48</f>
        <v/>
      </c>
      <c r="F58" s="16">
        <f>Plan!L48</f>
        <v/>
      </c>
      <c r="G58" s="16">
        <f>Plan!O48</f>
        <v/>
      </c>
      <c r="H58" s="34">
        <f>IF(AND(H$5&gt;$E58,H$5&lt;=$F58),IF(H$5=$E58+1,$C58,""),"")</f>
        <v/>
      </c>
      <c r="I58" s="34">
        <f>IF(AND(I$5&gt;$E58,I$5&lt;=$F58),IF(I$5=$E58+1,$C58,""),"")</f>
        <v/>
      </c>
      <c r="J58" s="34">
        <f>IF(AND(J$5&gt;$E58,J$5&lt;=$F58),IF(J$5=$E58+1,$C58,""),"")</f>
        <v/>
      </c>
      <c r="K58" s="34">
        <f>IF(AND(K$5&gt;$E58,K$5&lt;=$F58),IF(K$5=$E58+1,$C58,""),"")</f>
        <v/>
      </c>
      <c r="L58" s="34">
        <f>IF(AND(L$5&gt;$E58,L$5&lt;=$F58),IF(L$5=$E58+1,$C58,""),"")</f>
        <v/>
      </c>
      <c r="M58" s="34">
        <f>IF(AND(M$5&gt;$E58,M$5&lt;=$F58),IF(M$5=$E58+1,$C58,""),"")</f>
        <v/>
      </c>
      <c r="N58" s="34">
        <f>IF(AND(N$5&gt;$E58,N$5&lt;=$F58),IF(N$5=$E58+1,$C58,""),"")</f>
        <v/>
      </c>
      <c r="O58" s="34">
        <f>IF(AND(O$5&gt;$E58,O$5&lt;=$F58),IF(O$5=$E58+1,$C58,""),"")</f>
        <v/>
      </c>
      <c r="P58" s="34">
        <f>IF(AND(P$5&gt;$E58,P$5&lt;=$F58),IF(P$5=$E58+1,$C58,""),"")</f>
        <v/>
      </c>
      <c r="Q58" s="34">
        <f>IF(AND(Q$5&gt;$E58,Q$5&lt;=$F58),IF(Q$5=$E58+1,$C58,""),"")</f>
        <v/>
      </c>
      <c r="R58" s="34">
        <f>IF(AND(R$5&gt;$E58,R$5&lt;=$F58),IF(R$5=$E58+1,$C58,""),"")</f>
        <v/>
      </c>
      <c r="S58" s="34">
        <f>IF(AND(S$5&gt;$E58,S$5&lt;=$F58),IF(S$5=$E58+1,$C58,""),"")</f>
        <v/>
      </c>
      <c r="T58" s="34">
        <f>IF(AND(T$5&gt;$E58,T$5&lt;=$F58),IF(T$5=$E58+1,$C58,""),"")</f>
        <v/>
      </c>
      <c r="U58" s="34">
        <f>IF(AND(U$5&gt;$E58,U$5&lt;=$F58),IF(U$5=$E58+1,$C58,""),"")</f>
        <v/>
      </c>
      <c r="V58" s="34">
        <f>IF(AND(V$5&gt;$E58,V$5&lt;=$F58),IF(V$5=$E58+1,$C58,""),"")</f>
        <v/>
      </c>
      <c r="W58" s="34">
        <f>IF(AND(W$5&gt;$E58,W$5&lt;=$F58),IF(W$5=$E58+1,$C58,""),"")</f>
        <v/>
      </c>
      <c r="X58" s="34">
        <f>IF(AND(X$5&gt;$E58,X$5&lt;=$F58),IF(X$5=$E58+1,$C58,""),"")</f>
        <v/>
      </c>
      <c r="Y58" s="34">
        <f>IF(AND(Y$5&gt;$E58,Y$5&lt;=$F58),IF(Y$5=$E58+1,$C58,""),"")</f>
        <v/>
      </c>
      <c r="Z58" s="34">
        <f>IF(AND(Z$5&gt;$E58,Z$5&lt;=$F58),IF(Z$5=$E58+1,$C58,""),"")</f>
        <v/>
      </c>
      <c r="AA58" s="34">
        <f>IF(AND(AA$5&gt;$E58,AA$5&lt;=$F58),IF(AA$5=$E58+1,$C58,""),"")</f>
        <v/>
      </c>
      <c r="AB58" s="34">
        <f>IF(AND(AB$5&gt;$E58,AB$5&lt;=$F58),IF(AB$5=$E58+1,$C58,""),"")</f>
        <v/>
      </c>
      <c r="AC58" s="34">
        <f>IF(AND(AC$5&gt;$E58,AC$5&lt;=$F58),IF(AC$5=$E58+1,$C58,""),"")</f>
        <v/>
      </c>
      <c r="AD58" s="34">
        <f>IF(AND(AD$5&gt;$E58,AD$5&lt;=$F58),IF(AD$5=$E58+1,$C58,""),"")</f>
        <v/>
      </c>
      <c r="AE58" s="34">
        <f>IF(AND(AE$5&gt;$E58,AE$5&lt;=$F58),IF(AE$5=$E58+1,$C58,""),"")</f>
        <v/>
      </c>
      <c r="AF58" s="34">
        <f>IF(AND(AF$5&gt;$E58,AF$5&lt;=$F58),IF(AF$5=$E58+1,$C58,""),"")</f>
        <v/>
      </c>
      <c r="AG58" s="34">
        <f>IF(AND(AG$5&gt;$E58,AG$5&lt;=$F58),IF(AG$5=$E58+1,$C58,""),"")</f>
        <v/>
      </c>
      <c r="AH58" s="34">
        <f>IF(AND(AH$5&gt;$E58,AH$5&lt;=$F58),IF(AH$5=$E58+1,$C58,""),"")</f>
        <v/>
      </c>
      <c r="AI58" s="34">
        <f>IF(AND(AI$5&gt;$E58,AI$5&lt;=$F58),IF(AI$5=$E58+1,$C58,""),"")</f>
        <v/>
      </c>
      <c r="AJ58" s="34">
        <f>IF(AND(AJ$5&gt;$E58,AJ$5&lt;=$F58),IF(AJ$5=$E58+1,$C58,""),"")</f>
        <v/>
      </c>
      <c r="AK58" s="34">
        <f>IF(AND(AK$5&gt;$E58,AK$5&lt;=$F58),IF(AK$5=$E58+1,$C58,""),"")</f>
        <v/>
      </c>
      <c r="AL58" s="34">
        <f>IF(AND(AL$5&gt;$E58,AL$5&lt;=$F58),IF(AL$5=$E58+1,$C58,""),"")</f>
        <v/>
      </c>
      <c r="AM58" s="34">
        <f>IF(AND(AM$5&gt;$E58,AM$5&lt;=$F58),IF(AM$5=$E58+1,$C58,""),"")</f>
        <v/>
      </c>
      <c r="AN58" s="34">
        <f>IF(AND(AN$5&gt;$E58,AN$5&lt;=$F58),IF(AN$5=$E58+1,$C58,""),"")</f>
        <v/>
      </c>
      <c r="AO58" s="34">
        <f>IF(AND(AO$5&gt;$E58,AO$5&lt;=$F58),IF(AO$5=$E58+1,$C58,""),"")</f>
        <v/>
      </c>
      <c r="AP58" s="34">
        <f>IF(AND(AP$5&gt;$E58,AP$5&lt;=$F58),IF(AP$5=$E58+1,$C58,""),"")</f>
        <v/>
      </c>
      <c r="AQ58" s="34">
        <f>IF(AND(AQ$5&gt;$E58,AQ$5&lt;=$F58),IF(AQ$5=$E58+1,$C58,""),"")</f>
        <v/>
      </c>
      <c r="AR58" s="34">
        <f>IF(AND(AR$5&gt;$E58,AR$5&lt;=$F58),IF(AR$5=$E58+1,$C58,""),"")</f>
        <v/>
      </c>
      <c r="AS58" s="34">
        <f>IF(AND(AS$5&gt;$E58,AS$5&lt;=$F58),IF(AS$5=$E58+1,$C58,""),"")</f>
        <v/>
      </c>
      <c r="AT58" s="34">
        <f>IF(AND(AT$5&gt;$E58,AT$5&lt;=$F58),IF(AT$5=$E58+1,$C58,""),"")</f>
        <v/>
      </c>
      <c r="AU58" s="34">
        <f>IF(AND(AU$5&gt;$E58,AU$5&lt;=$F58),IF(AU$5=$E58+1,$C58,""),"")</f>
        <v/>
      </c>
      <c r="AV58" s="34">
        <f>IF(AND(AV$5&gt;$E58,AV$5&lt;=$F58),IF(AV$5=$E58+1,$C58,""),"")</f>
        <v/>
      </c>
      <c r="AW58" s="34">
        <f>IF(AND(AW$5&gt;$E58,AW$5&lt;=$F58),IF(AW$5=$E58+1,$C58,""),"")</f>
        <v/>
      </c>
      <c r="AX58" s="34">
        <f>IF(AND(AX$5&gt;$E58,AX$5&lt;=$F58),IF(AX$5=$E58+1,$C58,""),"")</f>
        <v/>
      </c>
      <c r="AY58" s="34">
        <f>IF(AND(AY$5&gt;$E58,AY$5&lt;=$F58),IF(AY$5=$E58+1,$C58,""),"")</f>
        <v/>
      </c>
      <c r="AZ58" s="34">
        <f>IF(AND(AZ$5&gt;$E58,AZ$5&lt;=$F58),IF(AZ$5=$E58+1,$C58,""),"")</f>
        <v/>
      </c>
      <c r="BA58" s="34">
        <f>IF(AND(BA$5&gt;$E58,BA$5&lt;=$F58),IF(BA$5=$E58+1,$C58,""),"")</f>
        <v/>
      </c>
      <c r="BB58" s="34">
        <f>IF(AND(BB$5&gt;$E58,BB$5&lt;=$F58),IF(BB$5=$E58+1,$C58,""),"")</f>
        <v/>
      </c>
      <c r="BC58" s="34">
        <f>IF(AND(BC$5&gt;$E58,BC$5&lt;=$F58),IF(BC$5=$E58+1,$C58,""),"")</f>
        <v/>
      </c>
      <c r="BD58" s="34">
        <f>IF(AND(BD$5&gt;$E58,BD$5&lt;=$F58),IF(BD$5=$E58+1,$C58,""),"")</f>
        <v/>
      </c>
      <c r="BE58" s="34">
        <f>IF(AND(BE$5&gt;$E58,BE$5&lt;=$F58),IF(BE$5=$E58+1,$C58,""),"")</f>
        <v/>
      </c>
      <c r="BF58" s="34">
        <f>IF(AND(BF$5&gt;$E58,BF$5&lt;=$F58),IF(BF$5=$E58+1,$C58,""),"")</f>
        <v/>
      </c>
      <c r="BG58" s="34">
        <f>IF(AND(BG$5&gt;$E58,BG$5&lt;=$F58),IF(BG$5=$E58+1,$C58,""),"")</f>
        <v/>
      </c>
      <c r="BH58" s="34">
        <f>IF(AND(BH$5&gt;$E58,BH$5&lt;=$F58),IF(BH$5=$E58+1,$C58,""),"")</f>
        <v/>
      </c>
      <c r="BI58" s="34">
        <f>IF(AND(BI$5&gt;$E58,BI$5&lt;=$F58),IF(BI$5=$E58+1,$C58,""),"")</f>
        <v/>
      </c>
      <c r="BJ58" s="34">
        <f>IF(AND(BJ$5&gt;$E58,BJ$5&lt;=$F58),IF(BJ$5=$E58+1,$C58,""),"")</f>
        <v/>
      </c>
      <c r="BK58" s="34">
        <f>IF(AND(BK$5&gt;$E58,BK$5&lt;=$F58),IF(BK$5=$E58+1,$C58,""),"")</f>
        <v/>
      </c>
      <c r="BL58" s="34">
        <f>IF(AND(BL$5&gt;$E58,BL$5&lt;=$F58),IF(BL$5=$E58+1,$C58,""),"")</f>
        <v/>
      </c>
      <c r="BM58" s="34">
        <f>IF(AND(BM$5&gt;$E58,BM$5&lt;=$F58),IF(BM$5=$E58+1,$C58,""),"")</f>
        <v/>
      </c>
      <c r="BN58" s="34">
        <f>IF(AND(BN$5&gt;$E58,BN$5&lt;=$F58),IF(BN$5=$E58+1,$C58,""),"")</f>
        <v/>
      </c>
      <c r="BO58" s="34">
        <f>IF(AND(BO$5&gt;$E58,BO$5&lt;=$F58),IF(BO$5=$E58+1,$C58,""),"")</f>
        <v/>
      </c>
      <c r="BP58" s="34">
        <f>IF(AND(BP$5&gt;$E58,BP$5&lt;=$F58),IF(BP$5=$E58+1,$C58,""),"")</f>
        <v/>
      </c>
      <c r="BQ58" s="34">
        <f>IF(AND(BQ$5&gt;$E58,BQ$5&lt;=$F58),IF(BQ$5=$E58+1,$C58,""),"")</f>
        <v/>
      </c>
      <c r="BR58" s="34">
        <f>IF(AND(BR$5&gt;$E58,BR$5&lt;=$F58),IF(BR$5=$E58+1,$C58,""),"")</f>
        <v/>
      </c>
      <c r="BS58" s="34">
        <f>IF(AND(BS$5&gt;$E58,BS$5&lt;=$F58),IF(BS$5=$E58+1,$C58,""),"")</f>
        <v/>
      </c>
      <c r="BT58" s="34">
        <f>IF(AND(BT$5&gt;$E58,BT$5&lt;=$F58),IF(BT$5=$E58+1,$C58,""),"")</f>
        <v/>
      </c>
      <c r="BU58" s="34">
        <f>IF(AND(BU$5&gt;$E58,BU$5&lt;=$F58),IF(BU$5=$E58+1,$C58,""),"")</f>
        <v/>
      </c>
      <c r="BV58" s="34">
        <f>IF(AND(BV$5&gt;$E58,BV$5&lt;=$F58),IF(BV$5=$E58+1,$C58,""),"")</f>
        <v/>
      </c>
      <c r="BW58" s="34">
        <f>IF(AND(BW$5&gt;$E58,BW$5&lt;=$F58),IF(BW$5=$E58+1,$C58,""),"")</f>
        <v/>
      </c>
      <c r="BX58" s="34">
        <f>IF(AND(BX$5&gt;$E58,BX$5&lt;=$F58),IF(BX$5=$E58+1,$C58,""),"")</f>
        <v/>
      </c>
      <c r="BY58" s="34">
        <f>IF(AND(BY$5&gt;$E58,BY$5&lt;=$F58),IF(BY$5=$E58+1,$C58,""),"")</f>
        <v/>
      </c>
    </row>
    <row r="59">
      <c r="A59" s="32">
        <f>Plan!A49</f>
        <v/>
      </c>
      <c r="B59" s="33">
        <f>Plan!C49</f>
        <v/>
      </c>
      <c r="C59" s="16">
        <f>Plan!D49</f>
        <v/>
      </c>
      <c r="D59" s="16">
        <f>Plan!I49</f>
        <v/>
      </c>
      <c r="E59" s="16">
        <f>Plan!K49</f>
        <v/>
      </c>
      <c r="F59" s="16">
        <f>Plan!L49</f>
        <v/>
      </c>
      <c r="G59" s="16">
        <f>Plan!O49</f>
        <v/>
      </c>
      <c r="H59" s="34">
        <f>IF(AND(H$5&gt;$E59,H$5&lt;=$F59),IF(H$5=$E59+1,$C59,""),"")</f>
        <v/>
      </c>
      <c r="I59" s="34">
        <f>IF(AND(I$5&gt;$E59,I$5&lt;=$F59),IF(I$5=$E59+1,$C59,""),"")</f>
        <v/>
      </c>
      <c r="J59" s="34">
        <f>IF(AND(J$5&gt;$E59,J$5&lt;=$F59),IF(J$5=$E59+1,$C59,""),"")</f>
        <v/>
      </c>
      <c r="K59" s="34">
        <f>IF(AND(K$5&gt;$E59,K$5&lt;=$F59),IF(K$5=$E59+1,$C59,""),"")</f>
        <v/>
      </c>
      <c r="L59" s="34">
        <f>IF(AND(L$5&gt;$E59,L$5&lt;=$F59),IF(L$5=$E59+1,$C59,""),"")</f>
        <v/>
      </c>
      <c r="M59" s="34">
        <f>IF(AND(M$5&gt;$E59,M$5&lt;=$F59),IF(M$5=$E59+1,$C59,""),"")</f>
        <v/>
      </c>
      <c r="N59" s="34">
        <f>IF(AND(N$5&gt;$E59,N$5&lt;=$F59),IF(N$5=$E59+1,$C59,""),"")</f>
        <v/>
      </c>
      <c r="O59" s="34">
        <f>IF(AND(O$5&gt;$E59,O$5&lt;=$F59),IF(O$5=$E59+1,$C59,""),"")</f>
        <v/>
      </c>
      <c r="P59" s="34">
        <f>IF(AND(P$5&gt;$E59,P$5&lt;=$F59),IF(P$5=$E59+1,$C59,""),"")</f>
        <v/>
      </c>
      <c r="Q59" s="34">
        <f>IF(AND(Q$5&gt;$E59,Q$5&lt;=$F59),IF(Q$5=$E59+1,$C59,""),"")</f>
        <v/>
      </c>
      <c r="R59" s="34">
        <f>IF(AND(R$5&gt;$E59,R$5&lt;=$F59),IF(R$5=$E59+1,$C59,""),"")</f>
        <v/>
      </c>
      <c r="S59" s="34">
        <f>IF(AND(S$5&gt;$E59,S$5&lt;=$F59),IF(S$5=$E59+1,$C59,""),"")</f>
        <v/>
      </c>
      <c r="T59" s="34">
        <f>IF(AND(T$5&gt;$E59,T$5&lt;=$F59),IF(T$5=$E59+1,$C59,""),"")</f>
        <v/>
      </c>
      <c r="U59" s="34">
        <f>IF(AND(U$5&gt;$E59,U$5&lt;=$F59),IF(U$5=$E59+1,$C59,""),"")</f>
        <v/>
      </c>
      <c r="V59" s="34">
        <f>IF(AND(V$5&gt;$E59,V$5&lt;=$F59),IF(V$5=$E59+1,$C59,""),"")</f>
        <v/>
      </c>
      <c r="W59" s="34">
        <f>IF(AND(W$5&gt;$E59,W$5&lt;=$F59),IF(W$5=$E59+1,$C59,""),"")</f>
        <v/>
      </c>
      <c r="X59" s="34">
        <f>IF(AND(X$5&gt;$E59,X$5&lt;=$F59),IF(X$5=$E59+1,$C59,""),"")</f>
        <v/>
      </c>
      <c r="Y59" s="34">
        <f>IF(AND(Y$5&gt;$E59,Y$5&lt;=$F59),IF(Y$5=$E59+1,$C59,""),"")</f>
        <v/>
      </c>
      <c r="Z59" s="34">
        <f>IF(AND(Z$5&gt;$E59,Z$5&lt;=$F59),IF(Z$5=$E59+1,$C59,""),"")</f>
        <v/>
      </c>
      <c r="AA59" s="34">
        <f>IF(AND(AA$5&gt;$E59,AA$5&lt;=$F59),IF(AA$5=$E59+1,$C59,""),"")</f>
        <v/>
      </c>
      <c r="AB59" s="34">
        <f>IF(AND(AB$5&gt;$E59,AB$5&lt;=$F59),IF(AB$5=$E59+1,$C59,""),"")</f>
        <v/>
      </c>
      <c r="AC59" s="34">
        <f>IF(AND(AC$5&gt;$E59,AC$5&lt;=$F59),IF(AC$5=$E59+1,$C59,""),"")</f>
        <v/>
      </c>
      <c r="AD59" s="34">
        <f>IF(AND(AD$5&gt;$E59,AD$5&lt;=$F59),IF(AD$5=$E59+1,$C59,""),"")</f>
        <v/>
      </c>
      <c r="AE59" s="34">
        <f>IF(AND(AE$5&gt;$E59,AE$5&lt;=$F59),IF(AE$5=$E59+1,$C59,""),"")</f>
        <v/>
      </c>
      <c r="AF59" s="34">
        <f>IF(AND(AF$5&gt;$E59,AF$5&lt;=$F59),IF(AF$5=$E59+1,$C59,""),"")</f>
        <v/>
      </c>
      <c r="AG59" s="34">
        <f>IF(AND(AG$5&gt;$E59,AG$5&lt;=$F59),IF(AG$5=$E59+1,$C59,""),"")</f>
        <v/>
      </c>
      <c r="AH59" s="34">
        <f>IF(AND(AH$5&gt;$E59,AH$5&lt;=$F59),IF(AH$5=$E59+1,$C59,""),"")</f>
        <v/>
      </c>
      <c r="AI59" s="34">
        <f>IF(AND(AI$5&gt;$E59,AI$5&lt;=$F59),IF(AI$5=$E59+1,$C59,""),"")</f>
        <v/>
      </c>
      <c r="AJ59" s="34">
        <f>IF(AND(AJ$5&gt;$E59,AJ$5&lt;=$F59),IF(AJ$5=$E59+1,$C59,""),"")</f>
        <v/>
      </c>
      <c r="AK59" s="34">
        <f>IF(AND(AK$5&gt;$E59,AK$5&lt;=$F59),IF(AK$5=$E59+1,$C59,""),"")</f>
        <v/>
      </c>
      <c r="AL59" s="34">
        <f>IF(AND(AL$5&gt;$E59,AL$5&lt;=$F59),IF(AL$5=$E59+1,$C59,""),"")</f>
        <v/>
      </c>
      <c r="AM59" s="34">
        <f>IF(AND(AM$5&gt;$E59,AM$5&lt;=$F59),IF(AM$5=$E59+1,$C59,""),"")</f>
        <v/>
      </c>
      <c r="AN59" s="34">
        <f>IF(AND(AN$5&gt;$E59,AN$5&lt;=$F59),IF(AN$5=$E59+1,$C59,""),"")</f>
        <v/>
      </c>
      <c r="AO59" s="34">
        <f>IF(AND(AO$5&gt;$E59,AO$5&lt;=$F59),IF(AO$5=$E59+1,$C59,""),"")</f>
        <v/>
      </c>
      <c r="AP59" s="34">
        <f>IF(AND(AP$5&gt;$E59,AP$5&lt;=$F59),IF(AP$5=$E59+1,$C59,""),"")</f>
        <v/>
      </c>
      <c r="AQ59" s="34">
        <f>IF(AND(AQ$5&gt;$E59,AQ$5&lt;=$F59),IF(AQ$5=$E59+1,$C59,""),"")</f>
        <v/>
      </c>
      <c r="AR59" s="34">
        <f>IF(AND(AR$5&gt;$E59,AR$5&lt;=$F59),IF(AR$5=$E59+1,$C59,""),"")</f>
        <v/>
      </c>
      <c r="AS59" s="34">
        <f>IF(AND(AS$5&gt;$E59,AS$5&lt;=$F59),IF(AS$5=$E59+1,$C59,""),"")</f>
        <v/>
      </c>
      <c r="AT59" s="34">
        <f>IF(AND(AT$5&gt;$E59,AT$5&lt;=$F59),IF(AT$5=$E59+1,$C59,""),"")</f>
        <v/>
      </c>
      <c r="AU59" s="34">
        <f>IF(AND(AU$5&gt;$E59,AU$5&lt;=$F59),IF(AU$5=$E59+1,$C59,""),"")</f>
        <v/>
      </c>
      <c r="AV59" s="34">
        <f>IF(AND(AV$5&gt;$E59,AV$5&lt;=$F59),IF(AV$5=$E59+1,$C59,""),"")</f>
        <v/>
      </c>
      <c r="AW59" s="34">
        <f>IF(AND(AW$5&gt;$E59,AW$5&lt;=$F59),IF(AW$5=$E59+1,$C59,""),"")</f>
        <v/>
      </c>
      <c r="AX59" s="34">
        <f>IF(AND(AX$5&gt;$E59,AX$5&lt;=$F59),IF(AX$5=$E59+1,$C59,""),"")</f>
        <v/>
      </c>
      <c r="AY59" s="34">
        <f>IF(AND(AY$5&gt;$E59,AY$5&lt;=$F59),IF(AY$5=$E59+1,$C59,""),"")</f>
        <v/>
      </c>
      <c r="AZ59" s="34">
        <f>IF(AND(AZ$5&gt;$E59,AZ$5&lt;=$F59),IF(AZ$5=$E59+1,$C59,""),"")</f>
        <v/>
      </c>
      <c r="BA59" s="34">
        <f>IF(AND(BA$5&gt;$E59,BA$5&lt;=$F59),IF(BA$5=$E59+1,$C59,""),"")</f>
        <v/>
      </c>
      <c r="BB59" s="34">
        <f>IF(AND(BB$5&gt;$E59,BB$5&lt;=$F59),IF(BB$5=$E59+1,$C59,""),"")</f>
        <v/>
      </c>
      <c r="BC59" s="34">
        <f>IF(AND(BC$5&gt;$E59,BC$5&lt;=$F59),IF(BC$5=$E59+1,$C59,""),"")</f>
        <v/>
      </c>
      <c r="BD59" s="34">
        <f>IF(AND(BD$5&gt;$E59,BD$5&lt;=$F59),IF(BD$5=$E59+1,$C59,""),"")</f>
        <v/>
      </c>
      <c r="BE59" s="34">
        <f>IF(AND(BE$5&gt;$E59,BE$5&lt;=$F59),IF(BE$5=$E59+1,$C59,""),"")</f>
        <v/>
      </c>
      <c r="BF59" s="34">
        <f>IF(AND(BF$5&gt;$E59,BF$5&lt;=$F59),IF(BF$5=$E59+1,$C59,""),"")</f>
        <v/>
      </c>
      <c r="BG59" s="34">
        <f>IF(AND(BG$5&gt;$E59,BG$5&lt;=$F59),IF(BG$5=$E59+1,$C59,""),"")</f>
        <v/>
      </c>
      <c r="BH59" s="34">
        <f>IF(AND(BH$5&gt;$E59,BH$5&lt;=$F59),IF(BH$5=$E59+1,$C59,""),"")</f>
        <v/>
      </c>
      <c r="BI59" s="34">
        <f>IF(AND(BI$5&gt;$E59,BI$5&lt;=$F59),IF(BI$5=$E59+1,$C59,""),"")</f>
        <v/>
      </c>
      <c r="BJ59" s="34">
        <f>IF(AND(BJ$5&gt;$E59,BJ$5&lt;=$F59),IF(BJ$5=$E59+1,$C59,""),"")</f>
        <v/>
      </c>
      <c r="BK59" s="34">
        <f>IF(AND(BK$5&gt;$E59,BK$5&lt;=$F59),IF(BK$5=$E59+1,$C59,""),"")</f>
        <v/>
      </c>
      <c r="BL59" s="34">
        <f>IF(AND(BL$5&gt;$E59,BL$5&lt;=$F59),IF(BL$5=$E59+1,$C59,""),"")</f>
        <v/>
      </c>
      <c r="BM59" s="34">
        <f>IF(AND(BM$5&gt;$E59,BM$5&lt;=$F59),IF(BM$5=$E59+1,$C59,""),"")</f>
        <v/>
      </c>
      <c r="BN59" s="34">
        <f>IF(AND(BN$5&gt;$E59,BN$5&lt;=$F59),IF(BN$5=$E59+1,$C59,""),"")</f>
        <v/>
      </c>
      <c r="BO59" s="34">
        <f>IF(AND(BO$5&gt;$E59,BO$5&lt;=$F59),IF(BO$5=$E59+1,$C59,""),"")</f>
        <v/>
      </c>
      <c r="BP59" s="34">
        <f>IF(AND(BP$5&gt;$E59,BP$5&lt;=$F59),IF(BP$5=$E59+1,$C59,""),"")</f>
        <v/>
      </c>
      <c r="BQ59" s="34">
        <f>IF(AND(BQ$5&gt;$E59,BQ$5&lt;=$F59),IF(BQ$5=$E59+1,$C59,""),"")</f>
        <v/>
      </c>
      <c r="BR59" s="34">
        <f>IF(AND(BR$5&gt;$E59,BR$5&lt;=$F59),IF(BR$5=$E59+1,$C59,""),"")</f>
        <v/>
      </c>
      <c r="BS59" s="34">
        <f>IF(AND(BS$5&gt;$E59,BS$5&lt;=$F59),IF(BS$5=$E59+1,$C59,""),"")</f>
        <v/>
      </c>
      <c r="BT59" s="34">
        <f>IF(AND(BT$5&gt;$E59,BT$5&lt;=$F59),IF(BT$5=$E59+1,$C59,""),"")</f>
        <v/>
      </c>
      <c r="BU59" s="34">
        <f>IF(AND(BU$5&gt;$E59,BU$5&lt;=$F59),IF(BU$5=$E59+1,$C59,""),"")</f>
        <v/>
      </c>
      <c r="BV59" s="34">
        <f>IF(AND(BV$5&gt;$E59,BV$5&lt;=$F59),IF(BV$5=$E59+1,$C59,""),"")</f>
        <v/>
      </c>
      <c r="BW59" s="34">
        <f>IF(AND(BW$5&gt;$E59,BW$5&lt;=$F59),IF(BW$5=$E59+1,$C59,""),"")</f>
        <v/>
      </c>
      <c r="BX59" s="34">
        <f>IF(AND(BX$5&gt;$E59,BX$5&lt;=$F59),IF(BX$5=$E59+1,$C59,""),"")</f>
        <v/>
      </c>
      <c r="BY59" s="34">
        <f>IF(AND(BY$5&gt;$E59,BY$5&lt;=$F59),IF(BY$5=$E59+1,$C59,""),"")</f>
        <v/>
      </c>
    </row>
    <row r="60">
      <c r="A60" s="32">
        <f>Plan!A50</f>
        <v/>
      </c>
      <c r="B60" s="33">
        <f>Plan!C50</f>
        <v/>
      </c>
      <c r="C60" s="16">
        <f>Plan!D50</f>
        <v/>
      </c>
      <c r="D60" s="16">
        <f>Plan!I50</f>
        <v/>
      </c>
      <c r="E60" s="16">
        <f>Plan!K50</f>
        <v/>
      </c>
      <c r="F60" s="16">
        <f>Plan!L50</f>
        <v/>
      </c>
      <c r="G60" s="16">
        <f>Plan!O50</f>
        <v/>
      </c>
      <c r="H60" s="34">
        <f>IF(AND(H$5&gt;$E60,H$5&lt;=$F60),IF(H$5=$E60+1,$C60,""),"")</f>
        <v/>
      </c>
      <c r="I60" s="34">
        <f>IF(AND(I$5&gt;$E60,I$5&lt;=$F60),IF(I$5=$E60+1,$C60,""),"")</f>
        <v/>
      </c>
      <c r="J60" s="34">
        <f>IF(AND(J$5&gt;$E60,J$5&lt;=$F60),IF(J$5=$E60+1,$C60,""),"")</f>
        <v/>
      </c>
      <c r="K60" s="34">
        <f>IF(AND(K$5&gt;$E60,K$5&lt;=$F60),IF(K$5=$E60+1,$C60,""),"")</f>
        <v/>
      </c>
      <c r="L60" s="34">
        <f>IF(AND(L$5&gt;$E60,L$5&lt;=$F60),IF(L$5=$E60+1,$C60,""),"")</f>
        <v/>
      </c>
      <c r="M60" s="34">
        <f>IF(AND(M$5&gt;$E60,M$5&lt;=$F60),IF(M$5=$E60+1,$C60,""),"")</f>
        <v/>
      </c>
      <c r="N60" s="34">
        <f>IF(AND(N$5&gt;$E60,N$5&lt;=$F60),IF(N$5=$E60+1,$C60,""),"")</f>
        <v/>
      </c>
      <c r="O60" s="34">
        <f>IF(AND(O$5&gt;$E60,O$5&lt;=$F60),IF(O$5=$E60+1,$C60,""),"")</f>
        <v/>
      </c>
      <c r="P60" s="34">
        <f>IF(AND(P$5&gt;$E60,P$5&lt;=$F60),IF(P$5=$E60+1,$C60,""),"")</f>
        <v/>
      </c>
      <c r="Q60" s="34">
        <f>IF(AND(Q$5&gt;$E60,Q$5&lt;=$F60),IF(Q$5=$E60+1,$C60,""),"")</f>
        <v/>
      </c>
      <c r="R60" s="34">
        <f>IF(AND(R$5&gt;$E60,R$5&lt;=$F60),IF(R$5=$E60+1,$C60,""),"")</f>
        <v/>
      </c>
      <c r="S60" s="34">
        <f>IF(AND(S$5&gt;$E60,S$5&lt;=$F60),IF(S$5=$E60+1,$C60,""),"")</f>
        <v/>
      </c>
      <c r="T60" s="34">
        <f>IF(AND(T$5&gt;$E60,T$5&lt;=$F60),IF(T$5=$E60+1,$C60,""),"")</f>
        <v/>
      </c>
      <c r="U60" s="34">
        <f>IF(AND(U$5&gt;$E60,U$5&lt;=$F60),IF(U$5=$E60+1,$C60,""),"")</f>
        <v/>
      </c>
      <c r="V60" s="34">
        <f>IF(AND(V$5&gt;$E60,V$5&lt;=$F60),IF(V$5=$E60+1,$C60,""),"")</f>
        <v/>
      </c>
      <c r="W60" s="34">
        <f>IF(AND(W$5&gt;$E60,W$5&lt;=$F60),IF(W$5=$E60+1,$C60,""),"")</f>
        <v/>
      </c>
      <c r="X60" s="34">
        <f>IF(AND(X$5&gt;$E60,X$5&lt;=$F60),IF(X$5=$E60+1,$C60,""),"")</f>
        <v/>
      </c>
      <c r="Y60" s="34">
        <f>IF(AND(Y$5&gt;$E60,Y$5&lt;=$F60),IF(Y$5=$E60+1,$C60,""),"")</f>
        <v/>
      </c>
      <c r="Z60" s="34">
        <f>IF(AND(Z$5&gt;$E60,Z$5&lt;=$F60),IF(Z$5=$E60+1,$C60,""),"")</f>
        <v/>
      </c>
      <c r="AA60" s="34">
        <f>IF(AND(AA$5&gt;$E60,AA$5&lt;=$F60),IF(AA$5=$E60+1,$C60,""),"")</f>
        <v/>
      </c>
      <c r="AB60" s="34">
        <f>IF(AND(AB$5&gt;$E60,AB$5&lt;=$F60),IF(AB$5=$E60+1,$C60,""),"")</f>
        <v/>
      </c>
      <c r="AC60" s="34">
        <f>IF(AND(AC$5&gt;$E60,AC$5&lt;=$F60),IF(AC$5=$E60+1,$C60,""),"")</f>
        <v/>
      </c>
      <c r="AD60" s="34">
        <f>IF(AND(AD$5&gt;$E60,AD$5&lt;=$F60),IF(AD$5=$E60+1,$C60,""),"")</f>
        <v/>
      </c>
      <c r="AE60" s="34">
        <f>IF(AND(AE$5&gt;$E60,AE$5&lt;=$F60),IF(AE$5=$E60+1,$C60,""),"")</f>
        <v/>
      </c>
      <c r="AF60" s="34">
        <f>IF(AND(AF$5&gt;$E60,AF$5&lt;=$F60),IF(AF$5=$E60+1,$C60,""),"")</f>
        <v/>
      </c>
      <c r="AG60" s="34">
        <f>IF(AND(AG$5&gt;$E60,AG$5&lt;=$F60),IF(AG$5=$E60+1,$C60,""),"")</f>
        <v/>
      </c>
      <c r="AH60" s="34">
        <f>IF(AND(AH$5&gt;$E60,AH$5&lt;=$F60),IF(AH$5=$E60+1,$C60,""),"")</f>
        <v/>
      </c>
      <c r="AI60" s="34">
        <f>IF(AND(AI$5&gt;$E60,AI$5&lt;=$F60),IF(AI$5=$E60+1,$C60,""),"")</f>
        <v/>
      </c>
      <c r="AJ60" s="34">
        <f>IF(AND(AJ$5&gt;$E60,AJ$5&lt;=$F60),IF(AJ$5=$E60+1,$C60,""),"")</f>
        <v/>
      </c>
      <c r="AK60" s="34">
        <f>IF(AND(AK$5&gt;$E60,AK$5&lt;=$F60),IF(AK$5=$E60+1,$C60,""),"")</f>
        <v/>
      </c>
      <c r="AL60" s="34">
        <f>IF(AND(AL$5&gt;$E60,AL$5&lt;=$F60),IF(AL$5=$E60+1,$C60,""),"")</f>
        <v/>
      </c>
      <c r="AM60" s="34">
        <f>IF(AND(AM$5&gt;$E60,AM$5&lt;=$F60),IF(AM$5=$E60+1,$C60,""),"")</f>
        <v/>
      </c>
      <c r="AN60" s="34">
        <f>IF(AND(AN$5&gt;$E60,AN$5&lt;=$F60),IF(AN$5=$E60+1,$C60,""),"")</f>
        <v/>
      </c>
      <c r="AO60" s="34">
        <f>IF(AND(AO$5&gt;$E60,AO$5&lt;=$F60),IF(AO$5=$E60+1,$C60,""),"")</f>
        <v/>
      </c>
      <c r="AP60" s="34">
        <f>IF(AND(AP$5&gt;$E60,AP$5&lt;=$F60),IF(AP$5=$E60+1,$C60,""),"")</f>
        <v/>
      </c>
      <c r="AQ60" s="34">
        <f>IF(AND(AQ$5&gt;$E60,AQ$5&lt;=$F60),IF(AQ$5=$E60+1,$C60,""),"")</f>
        <v/>
      </c>
      <c r="AR60" s="34">
        <f>IF(AND(AR$5&gt;$E60,AR$5&lt;=$F60),IF(AR$5=$E60+1,$C60,""),"")</f>
        <v/>
      </c>
      <c r="AS60" s="34">
        <f>IF(AND(AS$5&gt;$E60,AS$5&lt;=$F60),IF(AS$5=$E60+1,$C60,""),"")</f>
        <v/>
      </c>
      <c r="AT60" s="34">
        <f>IF(AND(AT$5&gt;$E60,AT$5&lt;=$F60),IF(AT$5=$E60+1,$C60,""),"")</f>
        <v/>
      </c>
      <c r="AU60" s="34">
        <f>IF(AND(AU$5&gt;$E60,AU$5&lt;=$F60),IF(AU$5=$E60+1,$C60,""),"")</f>
        <v/>
      </c>
      <c r="AV60" s="34">
        <f>IF(AND(AV$5&gt;$E60,AV$5&lt;=$F60),IF(AV$5=$E60+1,$C60,""),"")</f>
        <v/>
      </c>
      <c r="AW60" s="34">
        <f>IF(AND(AW$5&gt;$E60,AW$5&lt;=$F60),IF(AW$5=$E60+1,$C60,""),"")</f>
        <v/>
      </c>
      <c r="AX60" s="34">
        <f>IF(AND(AX$5&gt;$E60,AX$5&lt;=$F60),IF(AX$5=$E60+1,$C60,""),"")</f>
        <v/>
      </c>
      <c r="AY60" s="34">
        <f>IF(AND(AY$5&gt;$E60,AY$5&lt;=$F60),IF(AY$5=$E60+1,$C60,""),"")</f>
        <v/>
      </c>
      <c r="AZ60" s="34">
        <f>IF(AND(AZ$5&gt;$E60,AZ$5&lt;=$F60),IF(AZ$5=$E60+1,$C60,""),"")</f>
        <v/>
      </c>
      <c r="BA60" s="34">
        <f>IF(AND(BA$5&gt;$E60,BA$5&lt;=$F60),IF(BA$5=$E60+1,$C60,""),"")</f>
        <v/>
      </c>
      <c r="BB60" s="34">
        <f>IF(AND(BB$5&gt;$E60,BB$5&lt;=$F60),IF(BB$5=$E60+1,$C60,""),"")</f>
        <v/>
      </c>
      <c r="BC60" s="34">
        <f>IF(AND(BC$5&gt;$E60,BC$5&lt;=$F60),IF(BC$5=$E60+1,$C60,""),"")</f>
        <v/>
      </c>
      <c r="BD60" s="34">
        <f>IF(AND(BD$5&gt;$E60,BD$5&lt;=$F60),IF(BD$5=$E60+1,$C60,""),"")</f>
        <v/>
      </c>
      <c r="BE60" s="34">
        <f>IF(AND(BE$5&gt;$E60,BE$5&lt;=$F60),IF(BE$5=$E60+1,$C60,""),"")</f>
        <v/>
      </c>
      <c r="BF60" s="34">
        <f>IF(AND(BF$5&gt;$E60,BF$5&lt;=$F60),IF(BF$5=$E60+1,$C60,""),"")</f>
        <v/>
      </c>
      <c r="BG60" s="34">
        <f>IF(AND(BG$5&gt;$E60,BG$5&lt;=$F60),IF(BG$5=$E60+1,$C60,""),"")</f>
        <v/>
      </c>
      <c r="BH60" s="34">
        <f>IF(AND(BH$5&gt;$E60,BH$5&lt;=$F60),IF(BH$5=$E60+1,$C60,""),"")</f>
        <v/>
      </c>
      <c r="BI60" s="34">
        <f>IF(AND(BI$5&gt;$E60,BI$5&lt;=$F60),IF(BI$5=$E60+1,$C60,""),"")</f>
        <v/>
      </c>
      <c r="BJ60" s="34">
        <f>IF(AND(BJ$5&gt;$E60,BJ$5&lt;=$F60),IF(BJ$5=$E60+1,$C60,""),"")</f>
        <v/>
      </c>
      <c r="BK60" s="34">
        <f>IF(AND(BK$5&gt;$E60,BK$5&lt;=$F60),IF(BK$5=$E60+1,$C60,""),"")</f>
        <v/>
      </c>
      <c r="BL60" s="34">
        <f>IF(AND(BL$5&gt;$E60,BL$5&lt;=$F60),IF(BL$5=$E60+1,$C60,""),"")</f>
        <v/>
      </c>
      <c r="BM60" s="34">
        <f>IF(AND(BM$5&gt;$E60,BM$5&lt;=$F60),IF(BM$5=$E60+1,$C60,""),"")</f>
        <v/>
      </c>
      <c r="BN60" s="34">
        <f>IF(AND(BN$5&gt;$E60,BN$5&lt;=$F60),IF(BN$5=$E60+1,$C60,""),"")</f>
        <v/>
      </c>
      <c r="BO60" s="34">
        <f>IF(AND(BO$5&gt;$E60,BO$5&lt;=$F60),IF(BO$5=$E60+1,$C60,""),"")</f>
        <v/>
      </c>
      <c r="BP60" s="34">
        <f>IF(AND(BP$5&gt;$E60,BP$5&lt;=$F60),IF(BP$5=$E60+1,$C60,""),"")</f>
        <v/>
      </c>
      <c r="BQ60" s="34">
        <f>IF(AND(BQ$5&gt;$E60,BQ$5&lt;=$F60),IF(BQ$5=$E60+1,$C60,""),"")</f>
        <v/>
      </c>
      <c r="BR60" s="34">
        <f>IF(AND(BR$5&gt;$E60,BR$5&lt;=$F60),IF(BR$5=$E60+1,$C60,""),"")</f>
        <v/>
      </c>
      <c r="BS60" s="34">
        <f>IF(AND(BS$5&gt;$E60,BS$5&lt;=$F60),IF(BS$5=$E60+1,$C60,""),"")</f>
        <v/>
      </c>
      <c r="BT60" s="34">
        <f>IF(AND(BT$5&gt;$E60,BT$5&lt;=$F60),IF(BT$5=$E60+1,$C60,""),"")</f>
        <v/>
      </c>
      <c r="BU60" s="34">
        <f>IF(AND(BU$5&gt;$E60,BU$5&lt;=$F60),IF(BU$5=$E60+1,$C60,""),"")</f>
        <v/>
      </c>
      <c r="BV60" s="34">
        <f>IF(AND(BV$5&gt;$E60,BV$5&lt;=$F60),IF(BV$5=$E60+1,$C60,""),"")</f>
        <v/>
      </c>
      <c r="BW60" s="34">
        <f>IF(AND(BW$5&gt;$E60,BW$5&lt;=$F60),IF(BW$5=$E60+1,$C60,""),"")</f>
        <v/>
      </c>
      <c r="BX60" s="34">
        <f>IF(AND(BX$5&gt;$E60,BX$5&lt;=$F60),IF(BX$5=$E60+1,$C60,""),"")</f>
        <v/>
      </c>
      <c r="BY60" s="34">
        <f>IF(AND(BY$5&gt;$E60,BY$5&lt;=$F60),IF(BY$5=$E60+1,$C60,""),"")</f>
        <v/>
      </c>
    </row>
    <row r="61">
      <c r="A61" s="32">
        <f>Plan!A51</f>
        <v/>
      </c>
      <c r="B61" s="33">
        <f>Plan!C51</f>
        <v/>
      </c>
      <c r="C61" s="16">
        <f>Plan!D51</f>
        <v/>
      </c>
      <c r="D61" s="16">
        <f>Plan!I51</f>
        <v/>
      </c>
      <c r="E61" s="16">
        <f>Plan!K51</f>
        <v/>
      </c>
      <c r="F61" s="16">
        <f>Plan!L51</f>
        <v/>
      </c>
      <c r="G61" s="16">
        <f>Plan!O51</f>
        <v/>
      </c>
      <c r="H61" s="34">
        <f>IF(AND(H$5&gt;$E61,H$5&lt;=$F61),IF(H$5=$E61+1,$C61,""),"")</f>
        <v/>
      </c>
      <c r="I61" s="34">
        <f>IF(AND(I$5&gt;$E61,I$5&lt;=$F61),IF(I$5=$E61+1,$C61,""),"")</f>
        <v/>
      </c>
      <c r="J61" s="34">
        <f>IF(AND(J$5&gt;$E61,J$5&lt;=$F61),IF(J$5=$E61+1,$C61,""),"")</f>
        <v/>
      </c>
      <c r="K61" s="34">
        <f>IF(AND(K$5&gt;$E61,K$5&lt;=$F61),IF(K$5=$E61+1,$C61,""),"")</f>
        <v/>
      </c>
      <c r="L61" s="34">
        <f>IF(AND(L$5&gt;$E61,L$5&lt;=$F61),IF(L$5=$E61+1,$C61,""),"")</f>
        <v/>
      </c>
      <c r="M61" s="34">
        <f>IF(AND(M$5&gt;$E61,M$5&lt;=$F61),IF(M$5=$E61+1,$C61,""),"")</f>
        <v/>
      </c>
      <c r="N61" s="34">
        <f>IF(AND(N$5&gt;$E61,N$5&lt;=$F61),IF(N$5=$E61+1,$C61,""),"")</f>
        <v/>
      </c>
      <c r="O61" s="34">
        <f>IF(AND(O$5&gt;$E61,O$5&lt;=$F61),IF(O$5=$E61+1,$C61,""),"")</f>
        <v/>
      </c>
      <c r="P61" s="34">
        <f>IF(AND(P$5&gt;$E61,P$5&lt;=$F61),IF(P$5=$E61+1,$C61,""),"")</f>
        <v/>
      </c>
      <c r="Q61" s="34">
        <f>IF(AND(Q$5&gt;$E61,Q$5&lt;=$F61),IF(Q$5=$E61+1,$C61,""),"")</f>
        <v/>
      </c>
      <c r="R61" s="34">
        <f>IF(AND(R$5&gt;$E61,R$5&lt;=$F61),IF(R$5=$E61+1,$C61,""),"")</f>
        <v/>
      </c>
      <c r="S61" s="34">
        <f>IF(AND(S$5&gt;$E61,S$5&lt;=$F61),IF(S$5=$E61+1,$C61,""),"")</f>
        <v/>
      </c>
      <c r="T61" s="34">
        <f>IF(AND(T$5&gt;$E61,T$5&lt;=$F61),IF(T$5=$E61+1,$C61,""),"")</f>
        <v/>
      </c>
      <c r="U61" s="34">
        <f>IF(AND(U$5&gt;$E61,U$5&lt;=$F61),IF(U$5=$E61+1,$C61,""),"")</f>
        <v/>
      </c>
      <c r="V61" s="34">
        <f>IF(AND(V$5&gt;$E61,V$5&lt;=$F61),IF(V$5=$E61+1,$C61,""),"")</f>
        <v/>
      </c>
      <c r="W61" s="34">
        <f>IF(AND(W$5&gt;$E61,W$5&lt;=$F61),IF(W$5=$E61+1,$C61,""),"")</f>
        <v/>
      </c>
      <c r="X61" s="34">
        <f>IF(AND(X$5&gt;$E61,X$5&lt;=$F61),IF(X$5=$E61+1,$C61,""),"")</f>
        <v/>
      </c>
      <c r="Y61" s="34">
        <f>IF(AND(Y$5&gt;$E61,Y$5&lt;=$F61),IF(Y$5=$E61+1,$C61,""),"")</f>
        <v/>
      </c>
      <c r="Z61" s="34">
        <f>IF(AND(Z$5&gt;$E61,Z$5&lt;=$F61),IF(Z$5=$E61+1,$C61,""),"")</f>
        <v/>
      </c>
      <c r="AA61" s="34">
        <f>IF(AND(AA$5&gt;$E61,AA$5&lt;=$F61),IF(AA$5=$E61+1,$C61,""),"")</f>
        <v/>
      </c>
      <c r="AB61" s="34">
        <f>IF(AND(AB$5&gt;$E61,AB$5&lt;=$F61),IF(AB$5=$E61+1,$C61,""),"")</f>
        <v/>
      </c>
      <c r="AC61" s="34">
        <f>IF(AND(AC$5&gt;$E61,AC$5&lt;=$F61),IF(AC$5=$E61+1,$C61,""),"")</f>
        <v/>
      </c>
      <c r="AD61" s="34">
        <f>IF(AND(AD$5&gt;$E61,AD$5&lt;=$F61),IF(AD$5=$E61+1,$C61,""),"")</f>
        <v/>
      </c>
      <c r="AE61" s="34">
        <f>IF(AND(AE$5&gt;$E61,AE$5&lt;=$F61),IF(AE$5=$E61+1,$C61,""),"")</f>
        <v/>
      </c>
      <c r="AF61" s="34">
        <f>IF(AND(AF$5&gt;$E61,AF$5&lt;=$F61),IF(AF$5=$E61+1,$C61,""),"")</f>
        <v/>
      </c>
      <c r="AG61" s="34">
        <f>IF(AND(AG$5&gt;$E61,AG$5&lt;=$F61),IF(AG$5=$E61+1,$C61,""),"")</f>
        <v/>
      </c>
      <c r="AH61" s="34">
        <f>IF(AND(AH$5&gt;$E61,AH$5&lt;=$F61),IF(AH$5=$E61+1,$C61,""),"")</f>
        <v/>
      </c>
      <c r="AI61" s="34">
        <f>IF(AND(AI$5&gt;$E61,AI$5&lt;=$F61),IF(AI$5=$E61+1,$C61,""),"")</f>
        <v/>
      </c>
      <c r="AJ61" s="34">
        <f>IF(AND(AJ$5&gt;$E61,AJ$5&lt;=$F61),IF(AJ$5=$E61+1,$C61,""),"")</f>
        <v/>
      </c>
      <c r="AK61" s="34">
        <f>IF(AND(AK$5&gt;$E61,AK$5&lt;=$F61),IF(AK$5=$E61+1,$C61,""),"")</f>
        <v/>
      </c>
      <c r="AL61" s="34">
        <f>IF(AND(AL$5&gt;$E61,AL$5&lt;=$F61),IF(AL$5=$E61+1,$C61,""),"")</f>
        <v/>
      </c>
      <c r="AM61" s="34">
        <f>IF(AND(AM$5&gt;$E61,AM$5&lt;=$F61),IF(AM$5=$E61+1,$C61,""),"")</f>
        <v/>
      </c>
      <c r="AN61" s="34">
        <f>IF(AND(AN$5&gt;$E61,AN$5&lt;=$F61),IF(AN$5=$E61+1,$C61,""),"")</f>
        <v/>
      </c>
      <c r="AO61" s="34">
        <f>IF(AND(AO$5&gt;$E61,AO$5&lt;=$F61),IF(AO$5=$E61+1,$C61,""),"")</f>
        <v/>
      </c>
      <c r="AP61" s="34">
        <f>IF(AND(AP$5&gt;$E61,AP$5&lt;=$F61),IF(AP$5=$E61+1,$C61,""),"")</f>
        <v/>
      </c>
      <c r="AQ61" s="34">
        <f>IF(AND(AQ$5&gt;$E61,AQ$5&lt;=$F61),IF(AQ$5=$E61+1,$C61,""),"")</f>
        <v/>
      </c>
      <c r="AR61" s="34">
        <f>IF(AND(AR$5&gt;$E61,AR$5&lt;=$F61),IF(AR$5=$E61+1,$C61,""),"")</f>
        <v/>
      </c>
      <c r="AS61" s="34">
        <f>IF(AND(AS$5&gt;$E61,AS$5&lt;=$F61),IF(AS$5=$E61+1,$C61,""),"")</f>
        <v/>
      </c>
      <c r="AT61" s="34">
        <f>IF(AND(AT$5&gt;$E61,AT$5&lt;=$F61),IF(AT$5=$E61+1,$C61,""),"")</f>
        <v/>
      </c>
      <c r="AU61" s="34">
        <f>IF(AND(AU$5&gt;$E61,AU$5&lt;=$F61),IF(AU$5=$E61+1,$C61,""),"")</f>
        <v/>
      </c>
      <c r="AV61" s="34">
        <f>IF(AND(AV$5&gt;$E61,AV$5&lt;=$F61),IF(AV$5=$E61+1,$C61,""),"")</f>
        <v/>
      </c>
      <c r="AW61" s="34">
        <f>IF(AND(AW$5&gt;$E61,AW$5&lt;=$F61),IF(AW$5=$E61+1,$C61,""),"")</f>
        <v/>
      </c>
      <c r="AX61" s="34">
        <f>IF(AND(AX$5&gt;$E61,AX$5&lt;=$F61),IF(AX$5=$E61+1,$C61,""),"")</f>
        <v/>
      </c>
      <c r="AY61" s="34">
        <f>IF(AND(AY$5&gt;$E61,AY$5&lt;=$F61),IF(AY$5=$E61+1,$C61,""),"")</f>
        <v/>
      </c>
      <c r="AZ61" s="34">
        <f>IF(AND(AZ$5&gt;$E61,AZ$5&lt;=$F61),IF(AZ$5=$E61+1,$C61,""),"")</f>
        <v/>
      </c>
      <c r="BA61" s="34">
        <f>IF(AND(BA$5&gt;$E61,BA$5&lt;=$F61),IF(BA$5=$E61+1,$C61,""),"")</f>
        <v/>
      </c>
      <c r="BB61" s="34">
        <f>IF(AND(BB$5&gt;$E61,BB$5&lt;=$F61),IF(BB$5=$E61+1,$C61,""),"")</f>
        <v/>
      </c>
      <c r="BC61" s="34">
        <f>IF(AND(BC$5&gt;$E61,BC$5&lt;=$F61),IF(BC$5=$E61+1,$C61,""),"")</f>
        <v/>
      </c>
      <c r="BD61" s="34">
        <f>IF(AND(BD$5&gt;$E61,BD$5&lt;=$F61),IF(BD$5=$E61+1,$C61,""),"")</f>
        <v/>
      </c>
      <c r="BE61" s="34">
        <f>IF(AND(BE$5&gt;$E61,BE$5&lt;=$F61),IF(BE$5=$E61+1,$C61,""),"")</f>
        <v/>
      </c>
      <c r="BF61" s="34">
        <f>IF(AND(BF$5&gt;$E61,BF$5&lt;=$F61),IF(BF$5=$E61+1,$C61,""),"")</f>
        <v/>
      </c>
      <c r="BG61" s="34">
        <f>IF(AND(BG$5&gt;$E61,BG$5&lt;=$F61),IF(BG$5=$E61+1,$C61,""),"")</f>
        <v/>
      </c>
      <c r="BH61" s="34">
        <f>IF(AND(BH$5&gt;$E61,BH$5&lt;=$F61),IF(BH$5=$E61+1,$C61,""),"")</f>
        <v/>
      </c>
      <c r="BI61" s="34">
        <f>IF(AND(BI$5&gt;$E61,BI$5&lt;=$F61),IF(BI$5=$E61+1,$C61,""),"")</f>
        <v/>
      </c>
      <c r="BJ61" s="34">
        <f>IF(AND(BJ$5&gt;$E61,BJ$5&lt;=$F61),IF(BJ$5=$E61+1,$C61,""),"")</f>
        <v/>
      </c>
      <c r="BK61" s="34">
        <f>IF(AND(BK$5&gt;$E61,BK$5&lt;=$F61),IF(BK$5=$E61+1,$C61,""),"")</f>
        <v/>
      </c>
      <c r="BL61" s="34">
        <f>IF(AND(BL$5&gt;$E61,BL$5&lt;=$F61),IF(BL$5=$E61+1,$C61,""),"")</f>
        <v/>
      </c>
      <c r="BM61" s="34">
        <f>IF(AND(BM$5&gt;$E61,BM$5&lt;=$F61),IF(BM$5=$E61+1,$C61,""),"")</f>
        <v/>
      </c>
      <c r="BN61" s="34">
        <f>IF(AND(BN$5&gt;$E61,BN$5&lt;=$F61),IF(BN$5=$E61+1,$C61,""),"")</f>
        <v/>
      </c>
      <c r="BO61" s="34">
        <f>IF(AND(BO$5&gt;$E61,BO$5&lt;=$F61),IF(BO$5=$E61+1,$C61,""),"")</f>
        <v/>
      </c>
      <c r="BP61" s="34">
        <f>IF(AND(BP$5&gt;$E61,BP$5&lt;=$F61),IF(BP$5=$E61+1,$C61,""),"")</f>
        <v/>
      </c>
      <c r="BQ61" s="34">
        <f>IF(AND(BQ$5&gt;$E61,BQ$5&lt;=$F61),IF(BQ$5=$E61+1,$C61,""),"")</f>
        <v/>
      </c>
      <c r="BR61" s="34">
        <f>IF(AND(BR$5&gt;$E61,BR$5&lt;=$F61),IF(BR$5=$E61+1,$C61,""),"")</f>
        <v/>
      </c>
      <c r="BS61" s="34">
        <f>IF(AND(BS$5&gt;$E61,BS$5&lt;=$F61),IF(BS$5=$E61+1,$C61,""),"")</f>
        <v/>
      </c>
      <c r="BT61" s="34">
        <f>IF(AND(BT$5&gt;$E61,BT$5&lt;=$F61),IF(BT$5=$E61+1,$C61,""),"")</f>
        <v/>
      </c>
      <c r="BU61" s="34">
        <f>IF(AND(BU$5&gt;$E61,BU$5&lt;=$F61),IF(BU$5=$E61+1,$C61,""),"")</f>
        <v/>
      </c>
      <c r="BV61" s="34">
        <f>IF(AND(BV$5&gt;$E61,BV$5&lt;=$F61),IF(BV$5=$E61+1,$C61,""),"")</f>
        <v/>
      </c>
      <c r="BW61" s="34">
        <f>IF(AND(BW$5&gt;$E61,BW$5&lt;=$F61),IF(BW$5=$E61+1,$C61,""),"")</f>
        <v/>
      </c>
      <c r="BX61" s="34">
        <f>IF(AND(BX$5&gt;$E61,BX$5&lt;=$F61),IF(BX$5=$E61+1,$C61,""),"")</f>
        <v/>
      </c>
      <c r="BY61" s="34">
        <f>IF(AND(BY$5&gt;$E61,BY$5&lt;=$F61),IF(BY$5=$E61+1,$C61,""),"")</f>
        <v/>
      </c>
    </row>
    <row r="62">
      <c r="A62" s="32">
        <f>Plan!A52</f>
        <v/>
      </c>
      <c r="B62" s="33">
        <f>Plan!C52</f>
        <v/>
      </c>
      <c r="C62" s="16">
        <f>Plan!D52</f>
        <v/>
      </c>
      <c r="D62" s="16">
        <f>Plan!I52</f>
        <v/>
      </c>
      <c r="E62" s="16">
        <f>Plan!K52</f>
        <v/>
      </c>
      <c r="F62" s="16">
        <f>Plan!L52</f>
        <v/>
      </c>
      <c r="G62" s="16">
        <f>Plan!O52</f>
        <v/>
      </c>
      <c r="H62" s="34">
        <f>IF(AND(H$5&gt;$E62,H$5&lt;=$F62),IF(H$5=$E62+1,$C62,""),"")</f>
        <v/>
      </c>
      <c r="I62" s="34">
        <f>IF(AND(I$5&gt;$E62,I$5&lt;=$F62),IF(I$5=$E62+1,$C62,""),"")</f>
        <v/>
      </c>
      <c r="J62" s="34">
        <f>IF(AND(J$5&gt;$E62,J$5&lt;=$F62),IF(J$5=$E62+1,$C62,""),"")</f>
        <v/>
      </c>
      <c r="K62" s="34">
        <f>IF(AND(K$5&gt;$E62,K$5&lt;=$F62),IF(K$5=$E62+1,$C62,""),"")</f>
        <v/>
      </c>
      <c r="L62" s="34">
        <f>IF(AND(L$5&gt;$E62,L$5&lt;=$F62),IF(L$5=$E62+1,$C62,""),"")</f>
        <v/>
      </c>
      <c r="M62" s="34">
        <f>IF(AND(M$5&gt;$E62,M$5&lt;=$F62),IF(M$5=$E62+1,$C62,""),"")</f>
        <v/>
      </c>
      <c r="N62" s="34">
        <f>IF(AND(N$5&gt;$E62,N$5&lt;=$F62),IF(N$5=$E62+1,$C62,""),"")</f>
        <v/>
      </c>
      <c r="O62" s="34">
        <f>IF(AND(O$5&gt;$E62,O$5&lt;=$F62),IF(O$5=$E62+1,$C62,""),"")</f>
        <v/>
      </c>
      <c r="P62" s="34">
        <f>IF(AND(P$5&gt;$E62,P$5&lt;=$F62),IF(P$5=$E62+1,$C62,""),"")</f>
        <v/>
      </c>
      <c r="Q62" s="34">
        <f>IF(AND(Q$5&gt;$E62,Q$5&lt;=$F62),IF(Q$5=$E62+1,$C62,""),"")</f>
        <v/>
      </c>
      <c r="R62" s="34">
        <f>IF(AND(R$5&gt;$E62,R$5&lt;=$F62),IF(R$5=$E62+1,$C62,""),"")</f>
        <v/>
      </c>
      <c r="S62" s="34">
        <f>IF(AND(S$5&gt;$E62,S$5&lt;=$F62),IF(S$5=$E62+1,$C62,""),"")</f>
        <v/>
      </c>
      <c r="T62" s="34">
        <f>IF(AND(T$5&gt;$E62,T$5&lt;=$F62),IF(T$5=$E62+1,$C62,""),"")</f>
        <v/>
      </c>
      <c r="U62" s="34">
        <f>IF(AND(U$5&gt;$E62,U$5&lt;=$F62),IF(U$5=$E62+1,$C62,""),"")</f>
        <v/>
      </c>
      <c r="V62" s="34">
        <f>IF(AND(V$5&gt;$E62,V$5&lt;=$F62),IF(V$5=$E62+1,$C62,""),"")</f>
        <v/>
      </c>
      <c r="W62" s="34">
        <f>IF(AND(W$5&gt;$E62,W$5&lt;=$F62),IF(W$5=$E62+1,$C62,""),"")</f>
        <v/>
      </c>
      <c r="X62" s="34">
        <f>IF(AND(X$5&gt;$E62,X$5&lt;=$F62),IF(X$5=$E62+1,$C62,""),"")</f>
        <v/>
      </c>
      <c r="Y62" s="34">
        <f>IF(AND(Y$5&gt;$E62,Y$5&lt;=$F62),IF(Y$5=$E62+1,$C62,""),"")</f>
        <v/>
      </c>
      <c r="Z62" s="34">
        <f>IF(AND(Z$5&gt;$E62,Z$5&lt;=$F62),IF(Z$5=$E62+1,$C62,""),"")</f>
        <v/>
      </c>
      <c r="AA62" s="34">
        <f>IF(AND(AA$5&gt;$E62,AA$5&lt;=$F62),IF(AA$5=$E62+1,$C62,""),"")</f>
        <v/>
      </c>
      <c r="AB62" s="34">
        <f>IF(AND(AB$5&gt;$E62,AB$5&lt;=$F62),IF(AB$5=$E62+1,$C62,""),"")</f>
        <v/>
      </c>
      <c r="AC62" s="34">
        <f>IF(AND(AC$5&gt;$E62,AC$5&lt;=$F62),IF(AC$5=$E62+1,$C62,""),"")</f>
        <v/>
      </c>
      <c r="AD62" s="34">
        <f>IF(AND(AD$5&gt;$E62,AD$5&lt;=$F62),IF(AD$5=$E62+1,$C62,""),"")</f>
        <v/>
      </c>
      <c r="AE62" s="34">
        <f>IF(AND(AE$5&gt;$E62,AE$5&lt;=$F62),IF(AE$5=$E62+1,$C62,""),"")</f>
        <v/>
      </c>
      <c r="AF62" s="34">
        <f>IF(AND(AF$5&gt;$E62,AF$5&lt;=$F62),IF(AF$5=$E62+1,$C62,""),"")</f>
        <v/>
      </c>
      <c r="AG62" s="34">
        <f>IF(AND(AG$5&gt;$E62,AG$5&lt;=$F62),IF(AG$5=$E62+1,$C62,""),"")</f>
        <v/>
      </c>
      <c r="AH62" s="34">
        <f>IF(AND(AH$5&gt;$E62,AH$5&lt;=$F62),IF(AH$5=$E62+1,$C62,""),"")</f>
        <v/>
      </c>
      <c r="AI62" s="34">
        <f>IF(AND(AI$5&gt;$E62,AI$5&lt;=$F62),IF(AI$5=$E62+1,$C62,""),"")</f>
        <v/>
      </c>
      <c r="AJ62" s="34">
        <f>IF(AND(AJ$5&gt;$E62,AJ$5&lt;=$F62),IF(AJ$5=$E62+1,$C62,""),"")</f>
        <v/>
      </c>
      <c r="AK62" s="34">
        <f>IF(AND(AK$5&gt;$E62,AK$5&lt;=$F62),IF(AK$5=$E62+1,$C62,""),"")</f>
        <v/>
      </c>
      <c r="AL62" s="34">
        <f>IF(AND(AL$5&gt;$E62,AL$5&lt;=$F62),IF(AL$5=$E62+1,$C62,""),"")</f>
        <v/>
      </c>
      <c r="AM62" s="34">
        <f>IF(AND(AM$5&gt;$E62,AM$5&lt;=$F62),IF(AM$5=$E62+1,$C62,""),"")</f>
        <v/>
      </c>
      <c r="AN62" s="34">
        <f>IF(AND(AN$5&gt;$E62,AN$5&lt;=$F62),IF(AN$5=$E62+1,$C62,""),"")</f>
        <v/>
      </c>
      <c r="AO62" s="34">
        <f>IF(AND(AO$5&gt;$E62,AO$5&lt;=$F62),IF(AO$5=$E62+1,$C62,""),"")</f>
        <v/>
      </c>
      <c r="AP62" s="34">
        <f>IF(AND(AP$5&gt;$E62,AP$5&lt;=$F62),IF(AP$5=$E62+1,$C62,""),"")</f>
        <v/>
      </c>
      <c r="AQ62" s="34">
        <f>IF(AND(AQ$5&gt;$E62,AQ$5&lt;=$F62),IF(AQ$5=$E62+1,$C62,""),"")</f>
        <v/>
      </c>
      <c r="AR62" s="34">
        <f>IF(AND(AR$5&gt;$E62,AR$5&lt;=$F62),IF(AR$5=$E62+1,$C62,""),"")</f>
        <v/>
      </c>
      <c r="AS62" s="34">
        <f>IF(AND(AS$5&gt;$E62,AS$5&lt;=$F62),IF(AS$5=$E62+1,$C62,""),"")</f>
        <v/>
      </c>
      <c r="AT62" s="34">
        <f>IF(AND(AT$5&gt;$E62,AT$5&lt;=$F62),IF(AT$5=$E62+1,$C62,""),"")</f>
        <v/>
      </c>
      <c r="AU62" s="34">
        <f>IF(AND(AU$5&gt;$E62,AU$5&lt;=$F62),IF(AU$5=$E62+1,$C62,""),"")</f>
        <v/>
      </c>
      <c r="AV62" s="34">
        <f>IF(AND(AV$5&gt;$E62,AV$5&lt;=$F62),IF(AV$5=$E62+1,$C62,""),"")</f>
        <v/>
      </c>
      <c r="AW62" s="34">
        <f>IF(AND(AW$5&gt;$E62,AW$5&lt;=$F62),IF(AW$5=$E62+1,$C62,""),"")</f>
        <v/>
      </c>
      <c r="AX62" s="34">
        <f>IF(AND(AX$5&gt;$E62,AX$5&lt;=$F62),IF(AX$5=$E62+1,$C62,""),"")</f>
        <v/>
      </c>
      <c r="AY62" s="34">
        <f>IF(AND(AY$5&gt;$E62,AY$5&lt;=$F62),IF(AY$5=$E62+1,$C62,""),"")</f>
        <v/>
      </c>
      <c r="AZ62" s="34">
        <f>IF(AND(AZ$5&gt;$E62,AZ$5&lt;=$F62),IF(AZ$5=$E62+1,$C62,""),"")</f>
        <v/>
      </c>
      <c r="BA62" s="34">
        <f>IF(AND(BA$5&gt;$E62,BA$5&lt;=$F62),IF(BA$5=$E62+1,$C62,""),"")</f>
        <v/>
      </c>
      <c r="BB62" s="34">
        <f>IF(AND(BB$5&gt;$E62,BB$5&lt;=$F62),IF(BB$5=$E62+1,$C62,""),"")</f>
        <v/>
      </c>
      <c r="BC62" s="34">
        <f>IF(AND(BC$5&gt;$E62,BC$5&lt;=$F62),IF(BC$5=$E62+1,$C62,""),"")</f>
        <v/>
      </c>
      <c r="BD62" s="34">
        <f>IF(AND(BD$5&gt;$E62,BD$5&lt;=$F62),IF(BD$5=$E62+1,$C62,""),"")</f>
        <v/>
      </c>
      <c r="BE62" s="34">
        <f>IF(AND(BE$5&gt;$E62,BE$5&lt;=$F62),IF(BE$5=$E62+1,$C62,""),"")</f>
        <v/>
      </c>
      <c r="BF62" s="34">
        <f>IF(AND(BF$5&gt;$E62,BF$5&lt;=$F62),IF(BF$5=$E62+1,$C62,""),"")</f>
        <v/>
      </c>
      <c r="BG62" s="34">
        <f>IF(AND(BG$5&gt;$E62,BG$5&lt;=$F62),IF(BG$5=$E62+1,$C62,""),"")</f>
        <v/>
      </c>
      <c r="BH62" s="34">
        <f>IF(AND(BH$5&gt;$E62,BH$5&lt;=$F62),IF(BH$5=$E62+1,$C62,""),"")</f>
        <v/>
      </c>
      <c r="BI62" s="34">
        <f>IF(AND(BI$5&gt;$E62,BI$5&lt;=$F62),IF(BI$5=$E62+1,$C62,""),"")</f>
        <v/>
      </c>
      <c r="BJ62" s="34">
        <f>IF(AND(BJ$5&gt;$E62,BJ$5&lt;=$F62),IF(BJ$5=$E62+1,$C62,""),"")</f>
        <v/>
      </c>
      <c r="BK62" s="34">
        <f>IF(AND(BK$5&gt;$E62,BK$5&lt;=$F62),IF(BK$5=$E62+1,$C62,""),"")</f>
        <v/>
      </c>
      <c r="BL62" s="34">
        <f>IF(AND(BL$5&gt;$E62,BL$5&lt;=$F62),IF(BL$5=$E62+1,$C62,""),"")</f>
        <v/>
      </c>
      <c r="BM62" s="34">
        <f>IF(AND(BM$5&gt;$E62,BM$5&lt;=$F62),IF(BM$5=$E62+1,$C62,""),"")</f>
        <v/>
      </c>
      <c r="BN62" s="34">
        <f>IF(AND(BN$5&gt;$E62,BN$5&lt;=$F62),IF(BN$5=$E62+1,$C62,""),"")</f>
        <v/>
      </c>
      <c r="BO62" s="34">
        <f>IF(AND(BO$5&gt;$E62,BO$5&lt;=$F62),IF(BO$5=$E62+1,$C62,""),"")</f>
        <v/>
      </c>
      <c r="BP62" s="34">
        <f>IF(AND(BP$5&gt;$E62,BP$5&lt;=$F62),IF(BP$5=$E62+1,$C62,""),"")</f>
        <v/>
      </c>
      <c r="BQ62" s="34">
        <f>IF(AND(BQ$5&gt;$E62,BQ$5&lt;=$F62),IF(BQ$5=$E62+1,$C62,""),"")</f>
        <v/>
      </c>
      <c r="BR62" s="34">
        <f>IF(AND(BR$5&gt;$E62,BR$5&lt;=$F62),IF(BR$5=$E62+1,$C62,""),"")</f>
        <v/>
      </c>
      <c r="BS62" s="34">
        <f>IF(AND(BS$5&gt;$E62,BS$5&lt;=$F62),IF(BS$5=$E62+1,$C62,""),"")</f>
        <v/>
      </c>
      <c r="BT62" s="34">
        <f>IF(AND(BT$5&gt;$E62,BT$5&lt;=$F62),IF(BT$5=$E62+1,$C62,""),"")</f>
        <v/>
      </c>
      <c r="BU62" s="34">
        <f>IF(AND(BU$5&gt;$E62,BU$5&lt;=$F62),IF(BU$5=$E62+1,$C62,""),"")</f>
        <v/>
      </c>
      <c r="BV62" s="34">
        <f>IF(AND(BV$5&gt;$E62,BV$5&lt;=$F62),IF(BV$5=$E62+1,$C62,""),"")</f>
        <v/>
      </c>
      <c r="BW62" s="34">
        <f>IF(AND(BW$5&gt;$E62,BW$5&lt;=$F62),IF(BW$5=$E62+1,$C62,""),"")</f>
        <v/>
      </c>
      <c r="BX62" s="34">
        <f>IF(AND(BX$5&gt;$E62,BX$5&lt;=$F62),IF(BX$5=$E62+1,$C62,""),"")</f>
        <v/>
      </c>
      <c r="BY62" s="34">
        <f>IF(AND(BY$5&gt;$E62,BY$5&lt;=$F62),IF(BY$5=$E62+1,$C62,""),"")</f>
        <v/>
      </c>
    </row>
    <row r="63">
      <c r="A63" s="32">
        <f>Plan!A53</f>
        <v/>
      </c>
      <c r="B63" s="33">
        <f>Plan!C53</f>
        <v/>
      </c>
      <c r="C63" s="16">
        <f>Plan!D53</f>
        <v/>
      </c>
      <c r="D63" s="16">
        <f>Plan!I53</f>
        <v/>
      </c>
      <c r="E63" s="16">
        <f>Plan!K53</f>
        <v/>
      </c>
      <c r="F63" s="16">
        <f>Plan!L53</f>
        <v/>
      </c>
      <c r="G63" s="16">
        <f>Plan!O53</f>
        <v/>
      </c>
      <c r="H63" s="34">
        <f>IF(AND(H$5&gt;$E63,H$5&lt;=$F63),IF(H$5=$E63+1,$C63,""),"")</f>
        <v/>
      </c>
      <c r="I63" s="34">
        <f>IF(AND(I$5&gt;$E63,I$5&lt;=$F63),IF(I$5=$E63+1,$C63,""),"")</f>
        <v/>
      </c>
      <c r="J63" s="34">
        <f>IF(AND(J$5&gt;$E63,J$5&lt;=$F63),IF(J$5=$E63+1,$C63,""),"")</f>
        <v/>
      </c>
      <c r="K63" s="34">
        <f>IF(AND(K$5&gt;$E63,K$5&lt;=$F63),IF(K$5=$E63+1,$C63,""),"")</f>
        <v/>
      </c>
      <c r="L63" s="34">
        <f>IF(AND(L$5&gt;$E63,L$5&lt;=$F63),IF(L$5=$E63+1,$C63,""),"")</f>
        <v/>
      </c>
      <c r="M63" s="34">
        <f>IF(AND(M$5&gt;$E63,M$5&lt;=$F63),IF(M$5=$E63+1,$C63,""),"")</f>
        <v/>
      </c>
      <c r="N63" s="34">
        <f>IF(AND(N$5&gt;$E63,N$5&lt;=$F63),IF(N$5=$E63+1,$C63,""),"")</f>
        <v/>
      </c>
      <c r="O63" s="34">
        <f>IF(AND(O$5&gt;$E63,O$5&lt;=$F63),IF(O$5=$E63+1,$C63,""),"")</f>
        <v/>
      </c>
      <c r="P63" s="34">
        <f>IF(AND(P$5&gt;$E63,P$5&lt;=$F63),IF(P$5=$E63+1,$C63,""),"")</f>
        <v/>
      </c>
      <c r="Q63" s="34">
        <f>IF(AND(Q$5&gt;$E63,Q$5&lt;=$F63),IF(Q$5=$E63+1,$C63,""),"")</f>
        <v/>
      </c>
      <c r="R63" s="34">
        <f>IF(AND(R$5&gt;$E63,R$5&lt;=$F63),IF(R$5=$E63+1,$C63,""),"")</f>
        <v/>
      </c>
      <c r="S63" s="34">
        <f>IF(AND(S$5&gt;$E63,S$5&lt;=$F63),IF(S$5=$E63+1,$C63,""),"")</f>
        <v/>
      </c>
      <c r="T63" s="34">
        <f>IF(AND(T$5&gt;$E63,T$5&lt;=$F63),IF(T$5=$E63+1,$C63,""),"")</f>
        <v/>
      </c>
      <c r="U63" s="34">
        <f>IF(AND(U$5&gt;$E63,U$5&lt;=$F63),IF(U$5=$E63+1,$C63,""),"")</f>
        <v/>
      </c>
      <c r="V63" s="34">
        <f>IF(AND(V$5&gt;$E63,V$5&lt;=$F63),IF(V$5=$E63+1,$C63,""),"")</f>
        <v/>
      </c>
      <c r="W63" s="34">
        <f>IF(AND(W$5&gt;$E63,W$5&lt;=$F63),IF(W$5=$E63+1,$C63,""),"")</f>
        <v/>
      </c>
      <c r="X63" s="34">
        <f>IF(AND(X$5&gt;$E63,X$5&lt;=$F63),IF(X$5=$E63+1,$C63,""),"")</f>
        <v/>
      </c>
      <c r="Y63" s="34">
        <f>IF(AND(Y$5&gt;$E63,Y$5&lt;=$F63),IF(Y$5=$E63+1,$C63,""),"")</f>
        <v/>
      </c>
      <c r="Z63" s="34">
        <f>IF(AND(Z$5&gt;$E63,Z$5&lt;=$F63),IF(Z$5=$E63+1,$C63,""),"")</f>
        <v/>
      </c>
      <c r="AA63" s="34">
        <f>IF(AND(AA$5&gt;$E63,AA$5&lt;=$F63),IF(AA$5=$E63+1,$C63,""),"")</f>
        <v/>
      </c>
      <c r="AB63" s="34">
        <f>IF(AND(AB$5&gt;$E63,AB$5&lt;=$F63),IF(AB$5=$E63+1,$C63,""),"")</f>
        <v/>
      </c>
      <c r="AC63" s="34">
        <f>IF(AND(AC$5&gt;$E63,AC$5&lt;=$F63),IF(AC$5=$E63+1,$C63,""),"")</f>
        <v/>
      </c>
      <c r="AD63" s="34">
        <f>IF(AND(AD$5&gt;$E63,AD$5&lt;=$F63),IF(AD$5=$E63+1,$C63,""),"")</f>
        <v/>
      </c>
      <c r="AE63" s="34">
        <f>IF(AND(AE$5&gt;$E63,AE$5&lt;=$F63),IF(AE$5=$E63+1,$C63,""),"")</f>
        <v/>
      </c>
      <c r="AF63" s="34">
        <f>IF(AND(AF$5&gt;$E63,AF$5&lt;=$F63),IF(AF$5=$E63+1,$C63,""),"")</f>
        <v/>
      </c>
      <c r="AG63" s="34">
        <f>IF(AND(AG$5&gt;$E63,AG$5&lt;=$F63),IF(AG$5=$E63+1,$C63,""),"")</f>
        <v/>
      </c>
      <c r="AH63" s="34">
        <f>IF(AND(AH$5&gt;$E63,AH$5&lt;=$F63),IF(AH$5=$E63+1,$C63,""),"")</f>
        <v/>
      </c>
      <c r="AI63" s="34">
        <f>IF(AND(AI$5&gt;$E63,AI$5&lt;=$F63),IF(AI$5=$E63+1,$C63,""),"")</f>
        <v/>
      </c>
      <c r="AJ63" s="34">
        <f>IF(AND(AJ$5&gt;$E63,AJ$5&lt;=$F63),IF(AJ$5=$E63+1,$C63,""),"")</f>
        <v/>
      </c>
      <c r="AK63" s="34">
        <f>IF(AND(AK$5&gt;$E63,AK$5&lt;=$F63),IF(AK$5=$E63+1,$C63,""),"")</f>
        <v/>
      </c>
      <c r="AL63" s="34">
        <f>IF(AND(AL$5&gt;$E63,AL$5&lt;=$F63),IF(AL$5=$E63+1,$C63,""),"")</f>
        <v/>
      </c>
      <c r="AM63" s="34">
        <f>IF(AND(AM$5&gt;$E63,AM$5&lt;=$F63),IF(AM$5=$E63+1,$C63,""),"")</f>
        <v/>
      </c>
      <c r="AN63" s="34">
        <f>IF(AND(AN$5&gt;$E63,AN$5&lt;=$F63),IF(AN$5=$E63+1,$C63,""),"")</f>
        <v/>
      </c>
      <c r="AO63" s="34">
        <f>IF(AND(AO$5&gt;$E63,AO$5&lt;=$F63),IF(AO$5=$E63+1,$C63,""),"")</f>
        <v/>
      </c>
      <c r="AP63" s="34">
        <f>IF(AND(AP$5&gt;$E63,AP$5&lt;=$F63),IF(AP$5=$E63+1,$C63,""),"")</f>
        <v/>
      </c>
      <c r="AQ63" s="34">
        <f>IF(AND(AQ$5&gt;$E63,AQ$5&lt;=$F63),IF(AQ$5=$E63+1,$C63,""),"")</f>
        <v/>
      </c>
      <c r="AR63" s="34">
        <f>IF(AND(AR$5&gt;$E63,AR$5&lt;=$F63),IF(AR$5=$E63+1,$C63,""),"")</f>
        <v/>
      </c>
      <c r="AS63" s="34">
        <f>IF(AND(AS$5&gt;$E63,AS$5&lt;=$F63),IF(AS$5=$E63+1,$C63,""),"")</f>
        <v/>
      </c>
      <c r="AT63" s="34">
        <f>IF(AND(AT$5&gt;$E63,AT$5&lt;=$F63),IF(AT$5=$E63+1,$C63,""),"")</f>
        <v/>
      </c>
      <c r="AU63" s="34">
        <f>IF(AND(AU$5&gt;$E63,AU$5&lt;=$F63),IF(AU$5=$E63+1,$C63,""),"")</f>
        <v/>
      </c>
      <c r="AV63" s="34">
        <f>IF(AND(AV$5&gt;$E63,AV$5&lt;=$F63),IF(AV$5=$E63+1,$C63,""),"")</f>
        <v/>
      </c>
      <c r="AW63" s="34">
        <f>IF(AND(AW$5&gt;$E63,AW$5&lt;=$F63),IF(AW$5=$E63+1,$C63,""),"")</f>
        <v/>
      </c>
      <c r="AX63" s="34">
        <f>IF(AND(AX$5&gt;$E63,AX$5&lt;=$F63),IF(AX$5=$E63+1,$C63,""),"")</f>
        <v/>
      </c>
      <c r="AY63" s="34">
        <f>IF(AND(AY$5&gt;$E63,AY$5&lt;=$F63),IF(AY$5=$E63+1,$C63,""),"")</f>
        <v/>
      </c>
      <c r="AZ63" s="34">
        <f>IF(AND(AZ$5&gt;$E63,AZ$5&lt;=$F63),IF(AZ$5=$E63+1,$C63,""),"")</f>
        <v/>
      </c>
      <c r="BA63" s="34">
        <f>IF(AND(BA$5&gt;$E63,BA$5&lt;=$F63),IF(BA$5=$E63+1,$C63,""),"")</f>
        <v/>
      </c>
      <c r="BB63" s="34">
        <f>IF(AND(BB$5&gt;$E63,BB$5&lt;=$F63),IF(BB$5=$E63+1,$C63,""),"")</f>
        <v/>
      </c>
      <c r="BC63" s="34">
        <f>IF(AND(BC$5&gt;$E63,BC$5&lt;=$F63),IF(BC$5=$E63+1,$C63,""),"")</f>
        <v/>
      </c>
      <c r="BD63" s="34">
        <f>IF(AND(BD$5&gt;$E63,BD$5&lt;=$F63),IF(BD$5=$E63+1,$C63,""),"")</f>
        <v/>
      </c>
      <c r="BE63" s="34">
        <f>IF(AND(BE$5&gt;$E63,BE$5&lt;=$F63),IF(BE$5=$E63+1,$C63,""),"")</f>
        <v/>
      </c>
      <c r="BF63" s="34">
        <f>IF(AND(BF$5&gt;$E63,BF$5&lt;=$F63),IF(BF$5=$E63+1,$C63,""),"")</f>
        <v/>
      </c>
      <c r="BG63" s="34">
        <f>IF(AND(BG$5&gt;$E63,BG$5&lt;=$F63),IF(BG$5=$E63+1,$C63,""),"")</f>
        <v/>
      </c>
      <c r="BH63" s="34">
        <f>IF(AND(BH$5&gt;$E63,BH$5&lt;=$F63),IF(BH$5=$E63+1,$C63,""),"")</f>
        <v/>
      </c>
      <c r="BI63" s="34">
        <f>IF(AND(BI$5&gt;$E63,BI$5&lt;=$F63),IF(BI$5=$E63+1,$C63,""),"")</f>
        <v/>
      </c>
      <c r="BJ63" s="34">
        <f>IF(AND(BJ$5&gt;$E63,BJ$5&lt;=$F63),IF(BJ$5=$E63+1,$C63,""),"")</f>
        <v/>
      </c>
      <c r="BK63" s="34">
        <f>IF(AND(BK$5&gt;$E63,BK$5&lt;=$F63),IF(BK$5=$E63+1,$C63,""),"")</f>
        <v/>
      </c>
      <c r="BL63" s="34">
        <f>IF(AND(BL$5&gt;$E63,BL$5&lt;=$F63),IF(BL$5=$E63+1,$C63,""),"")</f>
        <v/>
      </c>
      <c r="BM63" s="34">
        <f>IF(AND(BM$5&gt;$E63,BM$5&lt;=$F63),IF(BM$5=$E63+1,$C63,""),"")</f>
        <v/>
      </c>
      <c r="BN63" s="34">
        <f>IF(AND(BN$5&gt;$E63,BN$5&lt;=$F63),IF(BN$5=$E63+1,$C63,""),"")</f>
        <v/>
      </c>
      <c r="BO63" s="34">
        <f>IF(AND(BO$5&gt;$E63,BO$5&lt;=$F63),IF(BO$5=$E63+1,$C63,""),"")</f>
        <v/>
      </c>
      <c r="BP63" s="34">
        <f>IF(AND(BP$5&gt;$E63,BP$5&lt;=$F63),IF(BP$5=$E63+1,$C63,""),"")</f>
        <v/>
      </c>
      <c r="BQ63" s="34">
        <f>IF(AND(BQ$5&gt;$E63,BQ$5&lt;=$F63),IF(BQ$5=$E63+1,$C63,""),"")</f>
        <v/>
      </c>
      <c r="BR63" s="34">
        <f>IF(AND(BR$5&gt;$E63,BR$5&lt;=$F63),IF(BR$5=$E63+1,$C63,""),"")</f>
        <v/>
      </c>
      <c r="BS63" s="34">
        <f>IF(AND(BS$5&gt;$E63,BS$5&lt;=$F63),IF(BS$5=$E63+1,$C63,""),"")</f>
        <v/>
      </c>
      <c r="BT63" s="34">
        <f>IF(AND(BT$5&gt;$E63,BT$5&lt;=$F63),IF(BT$5=$E63+1,$C63,""),"")</f>
        <v/>
      </c>
      <c r="BU63" s="34">
        <f>IF(AND(BU$5&gt;$E63,BU$5&lt;=$F63),IF(BU$5=$E63+1,$C63,""),"")</f>
        <v/>
      </c>
      <c r="BV63" s="34">
        <f>IF(AND(BV$5&gt;$E63,BV$5&lt;=$F63),IF(BV$5=$E63+1,$C63,""),"")</f>
        <v/>
      </c>
      <c r="BW63" s="34">
        <f>IF(AND(BW$5&gt;$E63,BW$5&lt;=$F63),IF(BW$5=$E63+1,$C63,""),"")</f>
        <v/>
      </c>
      <c r="BX63" s="34">
        <f>IF(AND(BX$5&gt;$E63,BX$5&lt;=$F63),IF(BX$5=$E63+1,$C63,""),"")</f>
        <v/>
      </c>
      <c r="BY63" s="34">
        <f>IF(AND(BY$5&gt;$E63,BY$5&lt;=$F63),IF(BY$5=$E63+1,$C63,""),"")</f>
        <v/>
      </c>
    </row>
    <row r="64">
      <c r="A64" s="32">
        <f>Plan!A54</f>
        <v/>
      </c>
      <c r="B64" s="33">
        <f>Plan!C54</f>
        <v/>
      </c>
      <c r="C64" s="16">
        <f>Plan!D54</f>
        <v/>
      </c>
      <c r="D64" s="16">
        <f>Plan!I54</f>
        <v/>
      </c>
      <c r="E64" s="16">
        <f>Plan!K54</f>
        <v/>
      </c>
      <c r="F64" s="16">
        <f>Plan!L54</f>
        <v/>
      </c>
      <c r="G64" s="16">
        <f>Plan!O54</f>
        <v/>
      </c>
      <c r="H64" s="34">
        <f>IF(AND(H$5&gt;$E64,H$5&lt;=$F64),IF(H$5=$E64+1,$C64,""),"")</f>
        <v/>
      </c>
      <c r="I64" s="34">
        <f>IF(AND(I$5&gt;$E64,I$5&lt;=$F64),IF(I$5=$E64+1,$C64,""),"")</f>
        <v/>
      </c>
      <c r="J64" s="34">
        <f>IF(AND(J$5&gt;$E64,J$5&lt;=$F64),IF(J$5=$E64+1,$C64,""),"")</f>
        <v/>
      </c>
      <c r="K64" s="34">
        <f>IF(AND(K$5&gt;$E64,K$5&lt;=$F64),IF(K$5=$E64+1,$C64,""),"")</f>
        <v/>
      </c>
      <c r="L64" s="34">
        <f>IF(AND(L$5&gt;$E64,L$5&lt;=$F64),IF(L$5=$E64+1,$C64,""),"")</f>
        <v/>
      </c>
      <c r="M64" s="34">
        <f>IF(AND(M$5&gt;$E64,M$5&lt;=$F64),IF(M$5=$E64+1,$C64,""),"")</f>
        <v/>
      </c>
      <c r="N64" s="34">
        <f>IF(AND(N$5&gt;$E64,N$5&lt;=$F64),IF(N$5=$E64+1,$C64,""),"")</f>
        <v/>
      </c>
      <c r="O64" s="34">
        <f>IF(AND(O$5&gt;$E64,O$5&lt;=$F64),IF(O$5=$E64+1,$C64,""),"")</f>
        <v/>
      </c>
      <c r="P64" s="34">
        <f>IF(AND(P$5&gt;$E64,P$5&lt;=$F64),IF(P$5=$E64+1,$C64,""),"")</f>
        <v/>
      </c>
      <c r="Q64" s="34">
        <f>IF(AND(Q$5&gt;$E64,Q$5&lt;=$F64),IF(Q$5=$E64+1,$C64,""),"")</f>
        <v/>
      </c>
      <c r="R64" s="34">
        <f>IF(AND(R$5&gt;$E64,R$5&lt;=$F64),IF(R$5=$E64+1,$C64,""),"")</f>
        <v/>
      </c>
      <c r="S64" s="34">
        <f>IF(AND(S$5&gt;$E64,S$5&lt;=$F64),IF(S$5=$E64+1,$C64,""),"")</f>
        <v/>
      </c>
      <c r="T64" s="34">
        <f>IF(AND(T$5&gt;$E64,T$5&lt;=$F64),IF(T$5=$E64+1,$C64,""),"")</f>
        <v/>
      </c>
      <c r="U64" s="34">
        <f>IF(AND(U$5&gt;$E64,U$5&lt;=$F64),IF(U$5=$E64+1,$C64,""),"")</f>
        <v/>
      </c>
      <c r="V64" s="34">
        <f>IF(AND(V$5&gt;$E64,V$5&lt;=$F64),IF(V$5=$E64+1,$C64,""),"")</f>
        <v/>
      </c>
      <c r="W64" s="34">
        <f>IF(AND(W$5&gt;$E64,W$5&lt;=$F64),IF(W$5=$E64+1,$C64,""),"")</f>
        <v/>
      </c>
      <c r="X64" s="34">
        <f>IF(AND(X$5&gt;$E64,X$5&lt;=$F64),IF(X$5=$E64+1,$C64,""),"")</f>
        <v/>
      </c>
      <c r="Y64" s="34">
        <f>IF(AND(Y$5&gt;$E64,Y$5&lt;=$F64),IF(Y$5=$E64+1,$C64,""),"")</f>
        <v/>
      </c>
      <c r="Z64" s="34">
        <f>IF(AND(Z$5&gt;$E64,Z$5&lt;=$F64),IF(Z$5=$E64+1,$C64,""),"")</f>
        <v/>
      </c>
      <c r="AA64" s="34">
        <f>IF(AND(AA$5&gt;$E64,AA$5&lt;=$F64),IF(AA$5=$E64+1,$C64,""),"")</f>
        <v/>
      </c>
      <c r="AB64" s="34">
        <f>IF(AND(AB$5&gt;$E64,AB$5&lt;=$F64),IF(AB$5=$E64+1,$C64,""),"")</f>
        <v/>
      </c>
      <c r="AC64" s="34">
        <f>IF(AND(AC$5&gt;$E64,AC$5&lt;=$F64),IF(AC$5=$E64+1,$C64,""),"")</f>
        <v/>
      </c>
      <c r="AD64" s="34">
        <f>IF(AND(AD$5&gt;$E64,AD$5&lt;=$F64),IF(AD$5=$E64+1,$C64,""),"")</f>
        <v/>
      </c>
      <c r="AE64" s="34">
        <f>IF(AND(AE$5&gt;$E64,AE$5&lt;=$F64),IF(AE$5=$E64+1,$C64,""),"")</f>
        <v/>
      </c>
      <c r="AF64" s="34">
        <f>IF(AND(AF$5&gt;$E64,AF$5&lt;=$F64),IF(AF$5=$E64+1,$C64,""),"")</f>
        <v/>
      </c>
      <c r="AG64" s="34">
        <f>IF(AND(AG$5&gt;$E64,AG$5&lt;=$F64),IF(AG$5=$E64+1,$C64,""),"")</f>
        <v/>
      </c>
      <c r="AH64" s="34">
        <f>IF(AND(AH$5&gt;$E64,AH$5&lt;=$F64),IF(AH$5=$E64+1,$C64,""),"")</f>
        <v/>
      </c>
      <c r="AI64" s="34">
        <f>IF(AND(AI$5&gt;$E64,AI$5&lt;=$F64),IF(AI$5=$E64+1,$C64,""),"")</f>
        <v/>
      </c>
      <c r="AJ64" s="34">
        <f>IF(AND(AJ$5&gt;$E64,AJ$5&lt;=$F64),IF(AJ$5=$E64+1,$C64,""),"")</f>
        <v/>
      </c>
      <c r="AK64" s="34">
        <f>IF(AND(AK$5&gt;$E64,AK$5&lt;=$F64),IF(AK$5=$E64+1,$C64,""),"")</f>
        <v/>
      </c>
      <c r="AL64" s="34">
        <f>IF(AND(AL$5&gt;$E64,AL$5&lt;=$F64),IF(AL$5=$E64+1,$C64,""),"")</f>
        <v/>
      </c>
      <c r="AM64" s="34">
        <f>IF(AND(AM$5&gt;$E64,AM$5&lt;=$F64),IF(AM$5=$E64+1,$C64,""),"")</f>
        <v/>
      </c>
      <c r="AN64" s="34">
        <f>IF(AND(AN$5&gt;$E64,AN$5&lt;=$F64),IF(AN$5=$E64+1,$C64,""),"")</f>
        <v/>
      </c>
      <c r="AO64" s="34">
        <f>IF(AND(AO$5&gt;$E64,AO$5&lt;=$F64),IF(AO$5=$E64+1,$C64,""),"")</f>
        <v/>
      </c>
      <c r="AP64" s="34">
        <f>IF(AND(AP$5&gt;$E64,AP$5&lt;=$F64),IF(AP$5=$E64+1,$C64,""),"")</f>
        <v/>
      </c>
      <c r="AQ64" s="34">
        <f>IF(AND(AQ$5&gt;$E64,AQ$5&lt;=$F64),IF(AQ$5=$E64+1,$C64,""),"")</f>
        <v/>
      </c>
      <c r="AR64" s="34">
        <f>IF(AND(AR$5&gt;$E64,AR$5&lt;=$F64),IF(AR$5=$E64+1,$C64,""),"")</f>
        <v/>
      </c>
      <c r="AS64" s="34">
        <f>IF(AND(AS$5&gt;$E64,AS$5&lt;=$F64),IF(AS$5=$E64+1,$C64,""),"")</f>
        <v/>
      </c>
      <c r="AT64" s="34">
        <f>IF(AND(AT$5&gt;$E64,AT$5&lt;=$F64),IF(AT$5=$E64+1,$C64,""),"")</f>
        <v/>
      </c>
      <c r="AU64" s="34">
        <f>IF(AND(AU$5&gt;$E64,AU$5&lt;=$F64),IF(AU$5=$E64+1,$C64,""),"")</f>
        <v/>
      </c>
      <c r="AV64" s="34">
        <f>IF(AND(AV$5&gt;$E64,AV$5&lt;=$F64),IF(AV$5=$E64+1,$C64,""),"")</f>
        <v/>
      </c>
      <c r="AW64" s="34">
        <f>IF(AND(AW$5&gt;$E64,AW$5&lt;=$F64),IF(AW$5=$E64+1,$C64,""),"")</f>
        <v/>
      </c>
      <c r="AX64" s="34">
        <f>IF(AND(AX$5&gt;$E64,AX$5&lt;=$F64),IF(AX$5=$E64+1,$C64,""),"")</f>
        <v/>
      </c>
      <c r="AY64" s="34">
        <f>IF(AND(AY$5&gt;$E64,AY$5&lt;=$F64),IF(AY$5=$E64+1,$C64,""),"")</f>
        <v/>
      </c>
      <c r="AZ64" s="34">
        <f>IF(AND(AZ$5&gt;$E64,AZ$5&lt;=$F64),IF(AZ$5=$E64+1,$C64,""),"")</f>
        <v/>
      </c>
      <c r="BA64" s="34">
        <f>IF(AND(BA$5&gt;$E64,BA$5&lt;=$F64),IF(BA$5=$E64+1,$C64,""),"")</f>
        <v/>
      </c>
      <c r="BB64" s="34">
        <f>IF(AND(BB$5&gt;$E64,BB$5&lt;=$F64),IF(BB$5=$E64+1,$C64,""),"")</f>
        <v/>
      </c>
      <c r="BC64" s="34">
        <f>IF(AND(BC$5&gt;$E64,BC$5&lt;=$F64),IF(BC$5=$E64+1,$C64,""),"")</f>
        <v/>
      </c>
      <c r="BD64" s="34">
        <f>IF(AND(BD$5&gt;$E64,BD$5&lt;=$F64),IF(BD$5=$E64+1,$C64,""),"")</f>
        <v/>
      </c>
      <c r="BE64" s="34">
        <f>IF(AND(BE$5&gt;$E64,BE$5&lt;=$F64),IF(BE$5=$E64+1,$C64,""),"")</f>
        <v/>
      </c>
      <c r="BF64" s="34">
        <f>IF(AND(BF$5&gt;$E64,BF$5&lt;=$F64),IF(BF$5=$E64+1,$C64,""),"")</f>
        <v/>
      </c>
      <c r="BG64" s="34">
        <f>IF(AND(BG$5&gt;$E64,BG$5&lt;=$F64),IF(BG$5=$E64+1,$C64,""),"")</f>
        <v/>
      </c>
      <c r="BH64" s="34">
        <f>IF(AND(BH$5&gt;$E64,BH$5&lt;=$F64),IF(BH$5=$E64+1,$C64,""),"")</f>
        <v/>
      </c>
      <c r="BI64" s="34">
        <f>IF(AND(BI$5&gt;$E64,BI$5&lt;=$F64),IF(BI$5=$E64+1,$C64,""),"")</f>
        <v/>
      </c>
      <c r="BJ64" s="34">
        <f>IF(AND(BJ$5&gt;$E64,BJ$5&lt;=$F64),IF(BJ$5=$E64+1,$C64,""),"")</f>
        <v/>
      </c>
      <c r="BK64" s="34">
        <f>IF(AND(BK$5&gt;$E64,BK$5&lt;=$F64),IF(BK$5=$E64+1,$C64,""),"")</f>
        <v/>
      </c>
      <c r="BL64" s="34">
        <f>IF(AND(BL$5&gt;$E64,BL$5&lt;=$F64),IF(BL$5=$E64+1,$C64,""),"")</f>
        <v/>
      </c>
      <c r="BM64" s="34">
        <f>IF(AND(BM$5&gt;$E64,BM$5&lt;=$F64),IF(BM$5=$E64+1,$C64,""),"")</f>
        <v/>
      </c>
      <c r="BN64" s="34">
        <f>IF(AND(BN$5&gt;$E64,BN$5&lt;=$F64),IF(BN$5=$E64+1,$C64,""),"")</f>
        <v/>
      </c>
      <c r="BO64" s="34">
        <f>IF(AND(BO$5&gt;$E64,BO$5&lt;=$F64),IF(BO$5=$E64+1,$C64,""),"")</f>
        <v/>
      </c>
      <c r="BP64" s="34">
        <f>IF(AND(BP$5&gt;$E64,BP$5&lt;=$F64),IF(BP$5=$E64+1,$C64,""),"")</f>
        <v/>
      </c>
      <c r="BQ64" s="34">
        <f>IF(AND(BQ$5&gt;$E64,BQ$5&lt;=$F64),IF(BQ$5=$E64+1,$C64,""),"")</f>
        <v/>
      </c>
      <c r="BR64" s="34">
        <f>IF(AND(BR$5&gt;$E64,BR$5&lt;=$F64),IF(BR$5=$E64+1,$C64,""),"")</f>
        <v/>
      </c>
      <c r="BS64" s="34">
        <f>IF(AND(BS$5&gt;$E64,BS$5&lt;=$F64),IF(BS$5=$E64+1,$C64,""),"")</f>
        <v/>
      </c>
      <c r="BT64" s="34">
        <f>IF(AND(BT$5&gt;$E64,BT$5&lt;=$F64),IF(BT$5=$E64+1,$C64,""),"")</f>
        <v/>
      </c>
      <c r="BU64" s="34">
        <f>IF(AND(BU$5&gt;$E64,BU$5&lt;=$F64),IF(BU$5=$E64+1,$C64,""),"")</f>
        <v/>
      </c>
      <c r="BV64" s="34">
        <f>IF(AND(BV$5&gt;$E64,BV$5&lt;=$F64),IF(BV$5=$E64+1,$C64,""),"")</f>
        <v/>
      </c>
      <c r="BW64" s="34">
        <f>IF(AND(BW$5&gt;$E64,BW$5&lt;=$F64),IF(BW$5=$E64+1,$C64,""),"")</f>
        <v/>
      </c>
      <c r="BX64" s="34">
        <f>IF(AND(BX$5&gt;$E64,BX$5&lt;=$F64),IF(BX$5=$E64+1,$C64,""),"")</f>
        <v/>
      </c>
      <c r="BY64" s="34">
        <f>IF(AND(BY$5&gt;$E64,BY$5&lt;=$F64),IF(BY$5=$E64+1,$C64,""),"")</f>
        <v/>
      </c>
    </row>
    <row r="65">
      <c r="A65" s="32">
        <f>Plan!A55</f>
        <v/>
      </c>
      <c r="B65" s="33">
        <f>Plan!C55</f>
        <v/>
      </c>
      <c r="C65" s="16">
        <f>Plan!D55</f>
        <v/>
      </c>
      <c r="D65" s="16">
        <f>Plan!I55</f>
        <v/>
      </c>
      <c r="E65" s="16">
        <f>Plan!K55</f>
        <v/>
      </c>
      <c r="F65" s="16">
        <f>Plan!L55</f>
        <v/>
      </c>
      <c r="G65" s="16">
        <f>Plan!O55</f>
        <v/>
      </c>
      <c r="H65" s="34">
        <f>IF(AND(H$5&gt;$E65,H$5&lt;=$F65),IF(H$5=$E65+1,$C65,""),"")</f>
        <v/>
      </c>
      <c r="I65" s="34">
        <f>IF(AND(I$5&gt;$E65,I$5&lt;=$F65),IF(I$5=$E65+1,$C65,""),"")</f>
        <v/>
      </c>
      <c r="J65" s="34">
        <f>IF(AND(J$5&gt;$E65,J$5&lt;=$F65),IF(J$5=$E65+1,$C65,""),"")</f>
        <v/>
      </c>
      <c r="K65" s="34">
        <f>IF(AND(K$5&gt;$E65,K$5&lt;=$F65),IF(K$5=$E65+1,$C65,""),"")</f>
        <v/>
      </c>
      <c r="L65" s="34">
        <f>IF(AND(L$5&gt;$E65,L$5&lt;=$F65),IF(L$5=$E65+1,$C65,""),"")</f>
        <v/>
      </c>
      <c r="M65" s="34">
        <f>IF(AND(M$5&gt;$E65,M$5&lt;=$F65),IF(M$5=$E65+1,$C65,""),"")</f>
        <v/>
      </c>
      <c r="N65" s="34">
        <f>IF(AND(N$5&gt;$E65,N$5&lt;=$F65),IF(N$5=$E65+1,$C65,""),"")</f>
        <v/>
      </c>
      <c r="O65" s="34">
        <f>IF(AND(O$5&gt;$E65,O$5&lt;=$F65),IF(O$5=$E65+1,$C65,""),"")</f>
        <v/>
      </c>
      <c r="P65" s="34">
        <f>IF(AND(P$5&gt;$E65,P$5&lt;=$F65),IF(P$5=$E65+1,$C65,""),"")</f>
        <v/>
      </c>
      <c r="Q65" s="34">
        <f>IF(AND(Q$5&gt;$E65,Q$5&lt;=$F65),IF(Q$5=$E65+1,$C65,""),"")</f>
        <v/>
      </c>
      <c r="R65" s="34">
        <f>IF(AND(R$5&gt;$E65,R$5&lt;=$F65),IF(R$5=$E65+1,$C65,""),"")</f>
        <v/>
      </c>
      <c r="S65" s="34">
        <f>IF(AND(S$5&gt;$E65,S$5&lt;=$F65),IF(S$5=$E65+1,$C65,""),"")</f>
        <v/>
      </c>
      <c r="T65" s="34">
        <f>IF(AND(T$5&gt;$E65,T$5&lt;=$F65),IF(T$5=$E65+1,$C65,""),"")</f>
        <v/>
      </c>
      <c r="U65" s="34">
        <f>IF(AND(U$5&gt;$E65,U$5&lt;=$F65),IF(U$5=$E65+1,$C65,""),"")</f>
        <v/>
      </c>
      <c r="V65" s="34">
        <f>IF(AND(V$5&gt;$E65,V$5&lt;=$F65),IF(V$5=$E65+1,$C65,""),"")</f>
        <v/>
      </c>
      <c r="W65" s="34">
        <f>IF(AND(W$5&gt;$E65,W$5&lt;=$F65),IF(W$5=$E65+1,$C65,""),"")</f>
        <v/>
      </c>
      <c r="X65" s="34">
        <f>IF(AND(X$5&gt;$E65,X$5&lt;=$F65),IF(X$5=$E65+1,$C65,""),"")</f>
        <v/>
      </c>
      <c r="Y65" s="34">
        <f>IF(AND(Y$5&gt;$E65,Y$5&lt;=$F65),IF(Y$5=$E65+1,$C65,""),"")</f>
        <v/>
      </c>
      <c r="Z65" s="34">
        <f>IF(AND(Z$5&gt;$E65,Z$5&lt;=$F65),IF(Z$5=$E65+1,$C65,""),"")</f>
        <v/>
      </c>
      <c r="AA65" s="34">
        <f>IF(AND(AA$5&gt;$E65,AA$5&lt;=$F65),IF(AA$5=$E65+1,$C65,""),"")</f>
        <v/>
      </c>
      <c r="AB65" s="34">
        <f>IF(AND(AB$5&gt;$E65,AB$5&lt;=$F65),IF(AB$5=$E65+1,$C65,""),"")</f>
        <v/>
      </c>
      <c r="AC65" s="34">
        <f>IF(AND(AC$5&gt;$E65,AC$5&lt;=$F65),IF(AC$5=$E65+1,$C65,""),"")</f>
        <v/>
      </c>
      <c r="AD65" s="34">
        <f>IF(AND(AD$5&gt;$E65,AD$5&lt;=$F65),IF(AD$5=$E65+1,$C65,""),"")</f>
        <v/>
      </c>
      <c r="AE65" s="34">
        <f>IF(AND(AE$5&gt;$E65,AE$5&lt;=$F65),IF(AE$5=$E65+1,$C65,""),"")</f>
        <v/>
      </c>
      <c r="AF65" s="34">
        <f>IF(AND(AF$5&gt;$E65,AF$5&lt;=$F65),IF(AF$5=$E65+1,$C65,""),"")</f>
        <v/>
      </c>
      <c r="AG65" s="34">
        <f>IF(AND(AG$5&gt;$E65,AG$5&lt;=$F65),IF(AG$5=$E65+1,$C65,""),"")</f>
        <v/>
      </c>
      <c r="AH65" s="34">
        <f>IF(AND(AH$5&gt;$E65,AH$5&lt;=$F65),IF(AH$5=$E65+1,$C65,""),"")</f>
        <v/>
      </c>
      <c r="AI65" s="34">
        <f>IF(AND(AI$5&gt;$E65,AI$5&lt;=$F65),IF(AI$5=$E65+1,$C65,""),"")</f>
        <v/>
      </c>
      <c r="AJ65" s="34">
        <f>IF(AND(AJ$5&gt;$E65,AJ$5&lt;=$F65),IF(AJ$5=$E65+1,$C65,""),"")</f>
        <v/>
      </c>
      <c r="AK65" s="34">
        <f>IF(AND(AK$5&gt;$E65,AK$5&lt;=$F65),IF(AK$5=$E65+1,$C65,""),"")</f>
        <v/>
      </c>
      <c r="AL65" s="34">
        <f>IF(AND(AL$5&gt;$E65,AL$5&lt;=$F65),IF(AL$5=$E65+1,$C65,""),"")</f>
        <v/>
      </c>
      <c r="AM65" s="34">
        <f>IF(AND(AM$5&gt;$E65,AM$5&lt;=$F65),IF(AM$5=$E65+1,$C65,""),"")</f>
        <v/>
      </c>
      <c r="AN65" s="34">
        <f>IF(AND(AN$5&gt;$E65,AN$5&lt;=$F65),IF(AN$5=$E65+1,$C65,""),"")</f>
        <v/>
      </c>
      <c r="AO65" s="34">
        <f>IF(AND(AO$5&gt;$E65,AO$5&lt;=$F65),IF(AO$5=$E65+1,$C65,""),"")</f>
        <v/>
      </c>
      <c r="AP65" s="34">
        <f>IF(AND(AP$5&gt;$E65,AP$5&lt;=$F65),IF(AP$5=$E65+1,$C65,""),"")</f>
        <v/>
      </c>
      <c r="AQ65" s="34">
        <f>IF(AND(AQ$5&gt;$E65,AQ$5&lt;=$F65),IF(AQ$5=$E65+1,$C65,""),"")</f>
        <v/>
      </c>
      <c r="AR65" s="34">
        <f>IF(AND(AR$5&gt;$E65,AR$5&lt;=$F65),IF(AR$5=$E65+1,$C65,""),"")</f>
        <v/>
      </c>
      <c r="AS65" s="34">
        <f>IF(AND(AS$5&gt;$E65,AS$5&lt;=$F65),IF(AS$5=$E65+1,$C65,""),"")</f>
        <v/>
      </c>
      <c r="AT65" s="34">
        <f>IF(AND(AT$5&gt;$E65,AT$5&lt;=$F65),IF(AT$5=$E65+1,$C65,""),"")</f>
        <v/>
      </c>
      <c r="AU65" s="34">
        <f>IF(AND(AU$5&gt;$E65,AU$5&lt;=$F65),IF(AU$5=$E65+1,$C65,""),"")</f>
        <v/>
      </c>
      <c r="AV65" s="34">
        <f>IF(AND(AV$5&gt;$E65,AV$5&lt;=$F65),IF(AV$5=$E65+1,$C65,""),"")</f>
        <v/>
      </c>
      <c r="AW65" s="34">
        <f>IF(AND(AW$5&gt;$E65,AW$5&lt;=$F65),IF(AW$5=$E65+1,$C65,""),"")</f>
        <v/>
      </c>
      <c r="AX65" s="34">
        <f>IF(AND(AX$5&gt;$E65,AX$5&lt;=$F65),IF(AX$5=$E65+1,$C65,""),"")</f>
        <v/>
      </c>
      <c r="AY65" s="34">
        <f>IF(AND(AY$5&gt;$E65,AY$5&lt;=$F65),IF(AY$5=$E65+1,$C65,""),"")</f>
        <v/>
      </c>
      <c r="AZ65" s="34">
        <f>IF(AND(AZ$5&gt;$E65,AZ$5&lt;=$F65),IF(AZ$5=$E65+1,$C65,""),"")</f>
        <v/>
      </c>
      <c r="BA65" s="34">
        <f>IF(AND(BA$5&gt;$E65,BA$5&lt;=$F65),IF(BA$5=$E65+1,$C65,""),"")</f>
        <v/>
      </c>
      <c r="BB65" s="34">
        <f>IF(AND(BB$5&gt;$E65,BB$5&lt;=$F65),IF(BB$5=$E65+1,$C65,""),"")</f>
        <v/>
      </c>
      <c r="BC65" s="34">
        <f>IF(AND(BC$5&gt;$E65,BC$5&lt;=$F65),IF(BC$5=$E65+1,$C65,""),"")</f>
        <v/>
      </c>
      <c r="BD65" s="34">
        <f>IF(AND(BD$5&gt;$E65,BD$5&lt;=$F65),IF(BD$5=$E65+1,$C65,""),"")</f>
        <v/>
      </c>
      <c r="BE65" s="34">
        <f>IF(AND(BE$5&gt;$E65,BE$5&lt;=$F65),IF(BE$5=$E65+1,$C65,""),"")</f>
        <v/>
      </c>
      <c r="BF65" s="34">
        <f>IF(AND(BF$5&gt;$E65,BF$5&lt;=$F65),IF(BF$5=$E65+1,$C65,""),"")</f>
        <v/>
      </c>
      <c r="BG65" s="34">
        <f>IF(AND(BG$5&gt;$E65,BG$5&lt;=$F65),IF(BG$5=$E65+1,$C65,""),"")</f>
        <v/>
      </c>
      <c r="BH65" s="34">
        <f>IF(AND(BH$5&gt;$E65,BH$5&lt;=$F65),IF(BH$5=$E65+1,$C65,""),"")</f>
        <v/>
      </c>
      <c r="BI65" s="34">
        <f>IF(AND(BI$5&gt;$E65,BI$5&lt;=$F65),IF(BI$5=$E65+1,$C65,""),"")</f>
        <v/>
      </c>
      <c r="BJ65" s="34">
        <f>IF(AND(BJ$5&gt;$E65,BJ$5&lt;=$F65),IF(BJ$5=$E65+1,$C65,""),"")</f>
        <v/>
      </c>
      <c r="BK65" s="34">
        <f>IF(AND(BK$5&gt;$E65,BK$5&lt;=$F65),IF(BK$5=$E65+1,$C65,""),"")</f>
        <v/>
      </c>
      <c r="BL65" s="34">
        <f>IF(AND(BL$5&gt;$E65,BL$5&lt;=$F65),IF(BL$5=$E65+1,$C65,""),"")</f>
        <v/>
      </c>
      <c r="BM65" s="34">
        <f>IF(AND(BM$5&gt;$E65,BM$5&lt;=$F65),IF(BM$5=$E65+1,$C65,""),"")</f>
        <v/>
      </c>
      <c r="BN65" s="34">
        <f>IF(AND(BN$5&gt;$E65,BN$5&lt;=$F65),IF(BN$5=$E65+1,$C65,""),"")</f>
        <v/>
      </c>
      <c r="BO65" s="34">
        <f>IF(AND(BO$5&gt;$E65,BO$5&lt;=$F65),IF(BO$5=$E65+1,$C65,""),"")</f>
        <v/>
      </c>
      <c r="BP65" s="34">
        <f>IF(AND(BP$5&gt;$E65,BP$5&lt;=$F65),IF(BP$5=$E65+1,$C65,""),"")</f>
        <v/>
      </c>
      <c r="BQ65" s="34">
        <f>IF(AND(BQ$5&gt;$E65,BQ$5&lt;=$F65),IF(BQ$5=$E65+1,$C65,""),"")</f>
        <v/>
      </c>
      <c r="BR65" s="34">
        <f>IF(AND(BR$5&gt;$E65,BR$5&lt;=$F65),IF(BR$5=$E65+1,$C65,""),"")</f>
        <v/>
      </c>
      <c r="BS65" s="34">
        <f>IF(AND(BS$5&gt;$E65,BS$5&lt;=$F65),IF(BS$5=$E65+1,$C65,""),"")</f>
        <v/>
      </c>
      <c r="BT65" s="34">
        <f>IF(AND(BT$5&gt;$E65,BT$5&lt;=$F65),IF(BT$5=$E65+1,$C65,""),"")</f>
        <v/>
      </c>
      <c r="BU65" s="34">
        <f>IF(AND(BU$5&gt;$E65,BU$5&lt;=$F65),IF(BU$5=$E65+1,$C65,""),"")</f>
        <v/>
      </c>
      <c r="BV65" s="34">
        <f>IF(AND(BV$5&gt;$E65,BV$5&lt;=$F65),IF(BV$5=$E65+1,$C65,""),"")</f>
        <v/>
      </c>
      <c r="BW65" s="34">
        <f>IF(AND(BW$5&gt;$E65,BW$5&lt;=$F65),IF(BW$5=$E65+1,$C65,""),"")</f>
        <v/>
      </c>
      <c r="BX65" s="34">
        <f>IF(AND(BX$5&gt;$E65,BX$5&lt;=$F65),IF(BX$5=$E65+1,$C65,""),"")</f>
        <v/>
      </c>
      <c r="BY65" s="34">
        <f>IF(AND(BY$5&gt;$E65,BY$5&lt;=$F65),IF(BY$5=$E65+1,$C65,""),"")</f>
        <v/>
      </c>
    </row>
    <row r="66">
      <c r="A66" s="32">
        <f>Plan!A56</f>
        <v/>
      </c>
      <c r="B66" s="33">
        <f>Plan!C56</f>
        <v/>
      </c>
      <c r="C66" s="16">
        <f>Plan!D56</f>
        <v/>
      </c>
      <c r="D66" s="16">
        <f>Plan!I56</f>
        <v/>
      </c>
      <c r="E66" s="16">
        <f>Plan!K56</f>
        <v/>
      </c>
      <c r="F66" s="16">
        <f>Plan!L56</f>
        <v/>
      </c>
      <c r="G66" s="16">
        <f>Plan!O56</f>
        <v/>
      </c>
      <c r="H66" s="34">
        <f>IF(AND(H$5&gt;$E66,H$5&lt;=$F66),IF(H$5=$E66+1,$C66,""),"")</f>
        <v/>
      </c>
      <c r="I66" s="34">
        <f>IF(AND(I$5&gt;$E66,I$5&lt;=$F66),IF(I$5=$E66+1,$C66,""),"")</f>
        <v/>
      </c>
      <c r="J66" s="34">
        <f>IF(AND(J$5&gt;$E66,J$5&lt;=$F66),IF(J$5=$E66+1,$C66,""),"")</f>
        <v/>
      </c>
      <c r="K66" s="34">
        <f>IF(AND(K$5&gt;$E66,K$5&lt;=$F66),IF(K$5=$E66+1,$C66,""),"")</f>
        <v/>
      </c>
      <c r="L66" s="34">
        <f>IF(AND(L$5&gt;$E66,L$5&lt;=$F66),IF(L$5=$E66+1,$C66,""),"")</f>
        <v/>
      </c>
      <c r="M66" s="34">
        <f>IF(AND(M$5&gt;$E66,M$5&lt;=$F66),IF(M$5=$E66+1,$C66,""),"")</f>
        <v/>
      </c>
      <c r="N66" s="34">
        <f>IF(AND(N$5&gt;$E66,N$5&lt;=$F66),IF(N$5=$E66+1,$C66,""),"")</f>
        <v/>
      </c>
      <c r="O66" s="34">
        <f>IF(AND(O$5&gt;$E66,O$5&lt;=$F66),IF(O$5=$E66+1,$C66,""),"")</f>
        <v/>
      </c>
      <c r="P66" s="34">
        <f>IF(AND(P$5&gt;$E66,P$5&lt;=$F66),IF(P$5=$E66+1,$C66,""),"")</f>
        <v/>
      </c>
      <c r="Q66" s="34">
        <f>IF(AND(Q$5&gt;$E66,Q$5&lt;=$F66),IF(Q$5=$E66+1,$C66,""),"")</f>
        <v/>
      </c>
      <c r="R66" s="34">
        <f>IF(AND(R$5&gt;$E66,R$5&lt;=$F66),IF(R$5=$E66+1,$C66,""),"")</f>
        <v/>
      </c>
      <c r="S66" s="34">
        <f>IF(AND(S$5&gt;$E66,S$5&lt;=$F66),IF(S$5=$E66+1,$C66,""),"")</f>
        <v/>
      </c>
      <c r="T66" s="34">
        <f>IF(AND(T$5&gt;$E66,T$5&lt;=$F66),IF(T$5=$E66+1,$C66,""),"")</f>
        <v/>
      </c>
      <c r="U66" s="34">
        <f>IF(AND(U$5&gt;$E66,U$5&lt;=$F66),IF(U$5=$E66+1,$C66,""),"")</f>
        <v/>
      </c>
      <c r="V66" s="34">
        <f>IF(AND(V$5&gt;$E66,V$5&lt;=$F66),IF(V$5=$E66+1,$C66,""),"")</f>
        <v/>
      </c>
      <c r="W66" s="34">
        <f>IF(AND(W$5&gt;$E66,W$5&lt;=$F66),IF(W$5=$E66+1,$C66,""),"")</f>
        <v/>
      </c>
      <c r="X66" s="34">
        <f>IF(AND(X$5&gt;$E66,X$5&lt;=$F66),IF(X$5=$E66+1,$C66,""),"")</f>
        <v/>
      </c>
      <c r="Y66" s="34">
        <f>IF(AND(Y$5&gt;$E66,Y$5&lt;=$F66),IF(Y$5=$E66+1,$C66,""),"")</f>
        <v/>
      </c>
      <c r="Z66" s="34">
        <f>IF(AND(Z$5&gt;$E66,Z$5&lt;=$F66),IF(Z$5=$E66+1,$C66,""),"")</f>
        <v/>
      </c>
      <c r="AA66" s="34">
        <f>IF(AND(AA$5&gt;$E66,AA$5&lt;=$F66),IF(AA$5=$E66+1,$C66,""),"")</f>
        <v/>
      </c>
      <c r="AB66" s="34">
        <f>IF(AND(AB$5&gt;$E66,AB$5&lt;=$F66),IF(AB$5=$E66+1,$C66,""),"")</f>
        <v/>
      </c>
      <c r="AC66" s="34">
        <f>IF(AND(AC$5&gt;$E66,AC$5&lt;=$F66),IF(AC$5=$E66+1,$C66,""),"")</f>
        <v/>
      </c>
      <c r="AD66" s="34">
        <f>IF(AND(AD$5&gt;$E66,AD$5&lt;=$F66),IF(AD$5=$E66+1,$C66,""),"")</f>
        <v/>
      </c>
      <c r="AE66" s="34">
        <f>IF(AND(AE$5&gt;$E66,AE$5&lt;=$F66),IF(AE$5=$E66+1,$C66,""),"")</f>
        <v/>
      </c>
      <c r="AF66" s="34">
        <f>IF(AND(AF$5&gt;$E66,AF$5&lt;=$F66),IF(AF$5=$E66+1,$C66,""),"")</f>
        <v/>
      </c>
      <c r="AG66" s="34">
        <f>IF(AND(AG$5&gt;$E66,AG$5&lt;=$F66),IF(AG$5=$E66+1,$C66,""),"")</f>
        <v/>
      </c>
      <c r="AH66" s="34">
        <f>IF(AND(AH$5&gt;$E66,AH$5&lt;=$F66),IF(AH$5=$E66+1,$C66,""),"")</f>
        <v/>
      </c>
      <c r="AI66" s="34">
        <f>IF(AND(AI$5&gt;$E66,AI$5&lt;=$F66),IF(AI$5=$E66+1,$C66,""),"")</f>
        <v/>
      </c>
      <c r="AJ66" s="34">
        <f>IF(AND(AJ$5&gt;$E66,AJ$5&lt;=$F66),IF(AJ$5=$E66+1,$C66,""),"")</f>
        <v/>
      </c>
      <c r="AK66" s="34">
        <f>IF(AND(AK$5&gt;$E66,AK$5&lt;=$F66),IF(AK$5=$E66+1,$C66,""),"")</f>
        <v/>
      </c>
      <c r="AL66" s="34">
        <f>IF(AND(AL$5&gt;$E66,AL$5&lt;=$F66),IF(AL$5=$E66+1,$C66,""),"")</f>
        <v/>
      </c>
      <c r="AM66" s="34">
        <f>IF(AND(AM$5&gt;$E66,AM$5&lt;=$F66),IF(AM$5=$E66+1,$C66,""),"")</f>
        <v/>
      </c>
      <c r="AN66" s="34">
        <f>IF(AND(AN$5&gt;$E66,AN$5&lt;=$F66),IF(AN$5=$E66+1,$C66,""),"")</f>
        <v/>
      </c>
      <c r="AO66" s="34">
        <f>IF(AND(AO$5&gt;$E66,AO$5&lt;=$F66),IF(AO$5=$E66+1,$C66,""),"")</f>
        <v/>
      </c>
      <c r="AP66" s="34">
        <f>IF(AND(AP$5&gt;$E66,AP$5&lt;=$F66),IF(AP$5=$E66+1,$C66,""),"")</f>
        <v/>
      </c>
      <c r="AQ66" s="34">
        <f>IF(AND(AQ$5&gt;$E66,AQ$5&lt;=$F66),IF(AQ$5=$E66+1,$C66,""),"")</f>
        <v/>
      </c>
      <c r="AR66" s="34">
        <f>IF(AND(AR$5&gt;$E66,AR$5&lt;=$F66),IF(AR$5=$E66+1,$C66,""),"")</f>
        <v/>
      </c>
      <c r="AS66" s="34">
        <f>IF(AND(AS$5&gt;$E66,AS$5&lt;=$F66),IF(AS$5=$E66+1,$C66,""),"")</f>
        <v/>
      </c>
      <c r="AT66" s="34">
        <f>IF(AND(AT$5&gt;$E66,AT$5&lt;=$F66),IF(AT$5=$E66+1,$C66,""),"")</f>
        <v/>
      </c>
      <c r="AU66" s="34">
        <f>IF(AND(AU$5&gt;$E66,AU$5&lt;=$F66),IF(AU$5=$E66+1,$C66,""),"")</f>
        <v/>
      </c>
      <c r="AV66" s="34">
        <f>IF(AND(AV$5&gt;$E66,AV$5&lt;=$F66),IF(AV$5=$E66+1,$C66,""),"")</f>
        <v/>
      </c>
      <c r="AW66" s="34">
        <f>IF(AND(AW$5&gt;$E66,AW$5&lt;=$F66),IF(AW$5=$E66+1,$C66,""),"")</f>
        <v/>
      </c>
      <c r="AX66" s="34">
        <f>IF(AND(AX$5&gt;$E66,AX$5&lt;=$F66),IF(AX$5=$E66+1,$C66,""),"")</f>
        <v/>
      </c>
      <c r="AY66" s="34">
        <f>IF(AND(AY$5&gt;$E66,AY$5&lt;=$F66),IF(AY$5=$E66+1,$C66,""),"")</f>
        <v/>
      </c>
      <c r="AZ66" s="34">
        <f>IF(AND(AZ$5&gt;$E66,AZ$5&lt;=$F66),IF(AZ$5=$E66+1,$C66,""),"")</f>
        <v/>
      </c>
      <c r="BA66" s="34">
        <f>IF(AND(BA$5&gt;$E66,BA$5&lt;=$F66),IF(BA$5=$E66+1,$C66,""),"")</f>
        <v/>
      </c>
      <c r="BB66" s="34">
        <f>IF(AND(BB$5&gt;$E66,BB$5&lt;=$F66),IF(BB$5=$E66+1,$C66,""),"")</f>
        <v/>
      </c>
      <c r="BC66" s="34">
        <f>IF(AND(BC$5&gt;$E66,BC$5&lt;=$F66),IF(BC$5=$E66+1,$C66,""),"")</f>
        <v/>
      </c>
      <c r="BD66" s="34">
        <f>IF(AND(BD$5&gt;$E66,BD$5&lt;=$F66),IF(BD$5=$E66+1,$C66,""),"")</f>
        <v/>
      </c>
      <c r="BE66" s="34">
        <f>IF(AND(BE$5&gt;$E66,BE$5&lt;=$F66),IF(BE$5=$E66+1,$C66,""),"")</f>
        <v/>
      </c>
      <c r="BF66" s="34">
        <f>IF(AND(BF$5&gt;$E66,BF$5&lt;=$F66),IF(BF$5=$E66+1,$C66,""),"")</f>
        <v/>
      </c>
      <c r="BG66" s="34">
        <f>IF(AND(BG$5&gt;$E66,BG$5&lt;=$F66),IF(BG$5=$E66+1,$C66,""),"")</f>
        <v/>
      </c>
      <c r="BH66" s="34">
        <f>IF(AND(BH$5&gt;$E66,BH$5&lt;=$F66),IF(BH$5=$E66+1,$C66,""),"")</f>
        <v/>
      </c>
      <c r="BI66" s="34">
        <f>IF(AND(BI$5&gt;$E66,BI$5&lt;=$F66),IF(BI$5=$E66+1,$C66,""),"")</f>
        <v/>
      </c>
      <c r="BJ66" s="34">
        <f>IF(AND(BJ$5&gt;$E66,BJ$5&lt;=$F66),IF(BJ$5=$E66+1,$C66,""),"")</f>
        <v/>
      </c>
      <c r="BK66" s="34">
        <f>IF(AND(BK$5&gt;$E66,BK$5&lt;=$F66),IF(BK$5=$E66+1,$C66,""),"")</f>
        <v/>
      </c>
      <c r="BL66" s="34">
        <f>IF(AND(BL$5&gt;$E66,BL$5&lt;=$F66),IF(BL$5=$E66+1,$C66,""),"")</f>
        <v/>
      </c>
      <c r="BM66" s="34">
        <f>IF(AND(BM$5&gt;$E66,BM$5&lt;=$F66),IF(BM$5=$E66+1,$C66,""),"")</f>
        <v/>
      </c>
      <c r="BN66" s="34">
        <f>IF(AND(BN$5&gt;$E66,BN$5&lt;=$F66),IF(BN$5=$E66+1,$C66,""),"")</f>
        <v/>
      </c>
      <c r="BO66" s="34">
        <f>IF(AND(BO$5&gt;$E66,BO$5&lt;=$F66),IF(BO$5=$E66+1,$C66,""),"")</f>
        <v/>
      </c>
      <c r="BP66" s="34">
        <f>IF(AND(BP$5&gt;$E66,BP$5&lt;=$F66),IF(BP$5=$E66+1,$C66,""),"")</f>
        <v/>
      </c>
      <c r="BQ66" s="34">
        <f>IF(AND(BQ$5&gt;$E66,BQ$5&lt;=$F66),IF(BQ$5=$E66+1,$C66,""),"")</f>
        <v/>
      </c>
      <c r="BR66" s="34">
        <f>IF(AND(BR$5&gt;$E66,BR$5&lt;=$F66),IF(BR$5=$E66+1,$C66,""),"")</f>
        <v/>
      </c>
      <c r="BS66" s="34">
        <f>IF(AND(BS$5&gt;$E66,BS$5&lt;=$F66),IF(BS$5=$E66+1,$C66,""),"")</f>
        <v/>
      </c>
      <c r="BT66" s="34">
        <f>IF(AND(BT$5&gt;$E66,BT$5&lt;=$F66),IF(BT$5=$E66+1,$C66,""),"")</f>
        <v/>
      </c>
      <c r="BU66" s="34">
        <f>IF(AND(BU$5&gt;$E66,BU$5&lt;=$F66),IF(BU$5=$E66+1,$C66,""),"")</f>
        <v/>
      </c>
      <c r="BV66" s="34">
        <f>IF(AND(BV$5&gt;$E66,BV$5&lt;=$F66),IF(BV$5=$E66+1,$C66,""),"")</f>
        <v/>
      </c>
      <c r="BW66" s="34">
        <f>IF(AND(BW$5&gt;$E66,BW$5&lt;=$F66),IF(BW$5=$E66+1,$C66,""),"")</f>
        <v/>
      </c>
      <c r="BX66" s="34">
        <f>IF(AND(BX$5&gt;$E66,BX$5&lt;=$F66),IF(BX$5=$E66+1,$C66,""),"")</f>
        <v/>
      </c>
      <c r="BY66" s="34">
        <f>IF(AND(BY$5&gt;$E66,BY$5&lt;=$F66),IF(BY$5=$E66+1,$C66,""),"")</f>
        <v/>
      </c>
    </row>
    <row r="67">
      <c r="A67" s="32">
        <f>Plan!A57</f>
        <v/>
      </c>
      <c r="B67" s="33">
        <f>Plan!C57</f>
        <v/>
      </c>
      <c r="C67" s="16">
        <f>Plan!D57</f>
        <v/>
      </c>
      <c r="D67" s="16">
        <f>Plan!I57</f>
        <v/>
      </c>
      <c r="E67" s="16">
        <f>Plan!K57</f>
        <v/>
      </c>
      <c r="F67" s="16">
        <f>Plan!L57</f>
        <v/>
      </c>
      <c r="G67" s="16">
        <f>Plan!O57</f>
        <v/>
      </c>
      <c r="H67" s="34">
        <f>IF(AND(H$5&gt;$E67,H$5&lt;=$F67),IF(H$5=$E67+1,$C67,""),"")</f>
        <v/>
      </c>
      <c r="I67" s="34">
        <f>IF(AND(I$5&gt;$E67,I$5&lt;=$F67),IF(I$5=$E67+1,$C67,""),"")</f>
        <v/>
      </c>
      <c r="J67" s="34">
        <f>IF(AND(J$5&gt;$E67,J$5&lt;=$F67),IF(J$5=$E67+1,$C67,""),"")</f>
        <v/>
      </c>
      <c r="K67" s="34">
        <f>IF(AND(K$5&gt;$E67,K$5&lt;=$F67),IF(K$5=$E67+1,$C67,""),"")</f>
        <v/>
      </c>
      <c r="L67" s="34">
        <f>IF(AND(L$5&gt;$E67,L$5&lt;=$F67),IF(L$5=$E67+1,$C67,""),"")</f>
        <v/>
      </c>
      <c r="M67" s="34">
        <f>IF(AND(M$5&gt;$E67,M$5&lt;=$F67),IF(M$5=$E67+1,$C67,""),"")</f>
        <v/>
      </c>
      <c r="N67" s="34">
        <f>IF(AND(N$5&gt;$E67,N$5&lt;=$F67),IF(N$5=$E67+1,$C67,""),"")</f>
        <v/>
      </c>
      <c r="O67" s="34">
        <f>IF(AND(O$5&gt;$E67,O$5&lt;=$F67),IF(O$5=$E67+1,$C67,""),"")</f>
        <v/>
      </c>
      <c r="P67" s="34">
        <f>IF(AND(P$5&gt;$E67,P$5&lt;=$F67),IF(P$5=$E67+1,$C67,""),"")</f>
        <v/>
      </c>
      <c r="Q67" s="34">
        <f>IF(AND(Q$5&gt;$E67,Q$5&lt;=$F67),IF(Q$5=$E67+1,$C67,""),"")</f>
        <v/>
      </c>
      <c r="R67" s="34">
        <f>IF(AND(R$5&gt;$E67,R$5&lt;=$F67),IF(R$5=$E67+1,$C67,""),"")</f>
        <v/>
      </c>
      <c r="S67" s="34">
        <f>IF(AND(S$5&gt;$E67,S$5&lt;=$F67),IF(S$5=$E67+1,$C67,""),"")</f>
        <v/>
      </c>
      <c r="T67" s="34">
        <f>IF(AND(T$5&gt;$E67,T$5&lt;=$F67),IF(T$5=$E67+1,$C67,""),"")</f>
        <v/>
      </c>
      <c r="U67" s="34">
        <f>IF(AND(U$5&gt;$E67,U$5&lt;=$F67),IF(U$5=$E67+1,$C67,""),"")</f>
        <v/>
      </c>
      <c r="V67" s="34">
        <f>IF(AND(V$5&gt;$E67,V$5&lt;=$F67),IF(V$5=$E67+1,$C67,""),"")</f>
        <v/>
      </c>
      <c r="W67" s="34">
        <f>IF(AND(W$5&gt;$E67,W$5&lt;=$F67),IF(W$5=$E67+1,$C67,""),"")</f>
        <v/>
      </c>
      <c r="X67" s="34">
        <f>IF(AND(X$5&gt;$E67,X$5&lt;=$F67),IF(X$5=$E67+1,$C67,""),"")</f>
        <v/>
      </c>
      <c r="Y67" s="34">
        <f>IF(AND(Y$5&gt;$E67,Y$5&lt;=$F67),IF(Y$5=$E67+1,$C67,""),"")</f>
        <v/>
      </c>
      <c r="Z67" s="34">
        <f>IF(AND(Z$5&gt;$E67,Z$5&lt;=$F67),IF(Z$5=$E67+1,$C67,""),"")</f>
        <v/>
      </c>
      <c r="AA67" s="34">
        <f>IF(AND(AA$5&gt;$E67,AA$5&lt;=$F67),IF(AA$5=$E67+1,$C67,""),"")</f>
        <v/>
      </c>
      <c r="AB67" s="34">
        <f>IF(AND(AB$5&gt;$E67,AB$5&lt;=$F67),IF(AB$5=$E67+1,$C67,""),"")</f>
        <v/>
      </c>
      <c r="AC67" s="34">
        <f>IF(AND(AC$5&gt;$E67,AC$5&lt;=$F67),IF(AC$5=$E67+1,$C67,""),"")</f>
        <v/>
      </c>
      <c r="AD67" s="34">
        <f>IF(AND(AD$5&gt;$E67,AD$5&lt;=$F67),IF(AD$5=$E67+1,$C67,""),"")</f>
        <v/>
      </c>
      <c r="AE67" s="34">
        <f>IF(AND(AE$5&gt;$E67,AE$5&lt;=$F67),IF(AE$5=$E67+1,$C67,""),"")</f>
        <v/>
      </c>
      <c r="AF67" s="34">
        <f>IF(AND(AF$5&gt;$E67,AF$5&lt;=$F67),IF(AF$5=$E67+1,$C67,""),"")</f>
        <v/>
      </c>
      <c r="AG67" s="34">
        <f>IF(AND(AG$5&gt;$E67,AG$5&lt;=$F67),IF(AG$5=$E67+1,$C67,""),"")</f>
        <v/>
      </c>
      <c r="AH67" s="34">
        <f>IF(AND(AH$5&gt;$E67,AH$5&lt;=$F67),IF(AH$5=$E67+1,$C67,""),"")</f>
        <v/>
      </c>
      <c r="AI67" s="34">
        <f>IF(AND(AI$5&gt;$E67,AI$5&lt;=$F67),IF(AI$5=$E67+1,$C67,""),"")</f>
        <v/>
      </c>
      <c r="AJ67" s="34">
        <f>IF(AND(AJ$5&gt;$E67,AJ$5&lt;=$F67),IF(AJ$5=$E67+1,$C67,""),"")</f>
        <v/>
      </c>
      <c r="AK67" s="34">
        <f>IF(AND(AK$5&gt;$E67,AK$5&lt;=$F67),IF(AK$5=$E67+1,$C67,""),"")</f>
        <v/>
      </c>
      <c r="AL67" s="34">
        <f>IF(AND(AL$5&gt;$E67,AL$5&lt;=$F67),IF(AL$5=$E67+1,$C67,""),"")</f>
        <v/>
      </c>
      <c r="AM67" s="34">
        <f>IF(AND(AM$5&gt;$E67,AM$5&lt;=$F67),IF(AM$5=$E67+1,$C67,""),"")</f>
        <v/>
      </c>
      <c r="AN67" s="34">
        <f>IF(AND(AN$5&gt;$E67,AN$5&lt;=$F67),IF(AN$5=$E67+1,$C67,""),"")</f>
        <v/>
      </c>
      <c r="AO67" s="34">
        <f>IF(AND(AO$5&gt;$E67,AO$5&lt;=$F67),IF(AO$5=$E67+1,$C67,""),"")</f>
        <v/>
      </c>
      <c r="AP67" s="34">
        <f>IF(AND(AP$5&gt;$E67,AP$5&lt;=$F67),IF(AP$5=$E67+1,$C67,""),"")</f>
        <v/>
      </c>
      <c r="AQ67" s="34">
        <f>IF(AND(AQ$5&gt;$E67,AQ$5&lt;=$F67),IF(AQ$5=$E67+1,$C67,""),"")</f>
        <v/>
      </c>
      <c r="AR67" s="34">
        <f>IF(AND(AR$5&gt;$E67,AR$5&lt;=$F67),IF(AR$5=$E67+1,$C67,""),"")</f>
        <v/>
      </c>
      <c r="AS67" s="34">
        <f>IF(AND(AS$5&gt;$E67,AS$5&lt;=$F67),IF(AS$5=$E67+1,$C67,""),"")</f>
        <v/>
      </c>
      <c r="AT67" s="34">
        <f>IF(AND(AT$5&gt;$E67,AT$5&lt;=$F67),IF(AT$5=$E67+1,$C67,""),"")</f>
        <v/>
      </c>
      <c r="AU67" s="34">
        <f>IF(AND(AU$5&gt;$E67,AU$5&lt;=$F67),IF(AU$5=$E67+1,$C67,""),"")</f>
        <v/>
      </c>
      <c r="AV67" s="34">
        <f>IF(AND(AV$5&gt;$E67,AV$5&lt;=$F67),IF(AV$5=$E67+1,$C67,""),"")</f>
        <v/>
      </c>
      <c r="AW67" s="34">
        <f>IF(AND(AW$5&gt;$E67,AW$5&lt;=$F67),IF(AW$5=$E67+1,$C67,""),"")</f>
        <v/>
      </c>
      <c r="AX67" s="34">
        <f>IF(AND(AX$5&gt;$E67,AX$5&lt;=$F67),IF(AX$5=$E67+1,$C67,""),"")</f>
        <v/>
      </c>
      <c r="AY67" s="34">
        <f>IF(AND(AY$5&gt;$E67,AY$5&lt;=$F67),IF(AY$5=$E67+1,$C67,""),"")</f>
        <v/>
      </c>
      <c r="AZ67" s="34">
        <f>IF(AND(AZ$5&gt;$E67,AZ$5&lt;=$F67),IF(AZ$5=$E67+1,$C67,""),"")</f>
        <v/>
      </c>
      <c r="BA67" s="34">
        <f>IF(AND(BA$5&gt;$E67,BA$5&lt;=$F67),IF(BA$5=$E67+1,$C67,""),"")</f>
        <v/>
      </c>
      <c r="BB67" s="34">
        <f>IF(AND(BB$5&gt;$E67,BB$5&lt;=$F67),IF(BB$5=$E67+1,$C67,""),"")</f>
        <v/>
      </c>
      <c r="BC67" s="34">
        <f>IF(AND(BC$5&gt;$E67,BC$5&lt;=$F67),IF(BC$5=$E67+1,$C67,""),"")</f>
        <v/>
      </c>
      <c r="BD67" s="34">
        <f>IF(AND(BD$5&gt;$E67,BD$5&lt;=$F67),IF(BD$5=$E67+1,$C67,""),"")</f>
        <v/>
      </c>
      <c r="BE67" s="34">
        <f>IF(AND(BE$5&gt;$E67,BE$5&lt;=$F67),IF(BE$5=$E67+1,$C67,""),"")</f>
        <v/>
      </c>
      <c r="BF67" s="34">
        <f>IF(AND(BF$5&gt;$E67,BF$5&lt;=$F67),IF(BF$5=$E67+1,$C67,""),"")</f>
        <v/>
      </c>
      <c r="BG67" s="34">
        <f>IF(AND(BG$5&gt;$E67,BG$5&lt;=$F67),IF(BG$5=$E67+1,$C67,""),"")</f>
        <v/>
      </c>
      <c r="BH67" s="34">
        <f>IF(AND(BH$5&gt;$E67,BH$5&lt;=$F67),IF(BH$5=$E67+1,$C67,""),"")</f>
        <v/>
      </c>
      <c r="BI67" s="34">
        <f>IF(AND(BI$5&gt;$E67,BI$5&lt;=$F67),IF(BI$5=$E67+1,$C67,""),"")</f>
        <v/>
      </c>
      <c r="BJ67" s="34">
        <f>IF(AND(BJ$5&gt;$E67,BJ$5&lt;=$F67),IF(BJ$5=$E67+1,$C67,""),"")</f>
        <v/>
      </c>
      <c r="BK67" s="34">
        <f>IF(AND(BK$5&gt;$E67,BK$5&lt;=$F67),IF(BK$5=$E67+1,$C67,""),"")</f>
        <v/>
      </c>
      <c r="BL67" s="34">
        <f>IF(AND(BL$5&gt;$E67,BL$5&lt;=$F67),IF(BL$5=$E67+1,$C67,""),"")</f>
        <v/>
      </c>
      <c r="BM67" s="34">
        <f>IF(AND(BM$5&gt;$E67,BM$5&lt;=$F67),IF(BM$5=$E67+1,$C67,""),"")</f>
        <v/>
      </c>
      <c r="BN67" s="34">
        <f>IF(AND(BN$5&gt;$E67,BN$5&lt;=$F67),IF(BN$5=$E67+1,$C67,""),"")</f>
        <v/>
      </c>
      <c r="BO67" s="34">
        <f>IF(AND(BO$5&gt;$E67,BO$5&lt;=$F67),IF(BO$5=$E67+1,$C67,""),"")</f>
        <v/>
      </c>
      <c r="BP67" s="34">
        <f>IF(AND(BP$5&gt;$E67,BP$5&lt;=$F67),IF(BP$5=$E67+1,$C67,""),"")</f>
        <v/>
      </c>
      <c r="BQ67" s="34">
        <f>IF(AND(BQ$5&gt;$E67,BQ$5&lt;=$F67),IF(BQ$5=$E67+1,$C67,""),"")</f>
        <v/>
      </c>
      <c r="BR67" s="34">
        <f>IF(AND(BR$5&gt;$E67,BR$5&lt;=$F67),IF(BR$5=$E67+1,$C67,""),"")</f>
        <v/>
      </c>
      <c r="BS67" s="34">
        <f>IF(AND(BS$5&gt;$E67,BS$5&lt;=$F67),IF(BS$5=$E67+1,$C67,""),"")</f>
        <v/>
      </c>
      <c r="BT67" s="34">
        <f>IF(AND(BT$5&gt;$E67,BT$5&lt;=$F67),IF(BT$5=$E67+1,$C67,""),"")</f>
        <v/>
      </c>
      <c r="BU67" s="34">
        <f>IF(AND(BU$5&gt;$E67,BU$5&lt;=$F67),IF(BU$5=$E67+1,$C67,""),"")</f>
        <v/>
      </c>
      <c r="BV67" s="34">
        <f>IF(AND(BV$5&gt;$E67,BV$5&lt;=$F67),IF(BV$5=$E67+1,$C67,""),"")</f>
        <v/>
      </c>
      <c r="BW67" s="34">
        <f>IF(AND(BW$5&gt;$E67,BW$5&lt;=$F67),IF(BW$5=$E67+1,$C67,""),"")</f>
        <v/>
      </c>
      <c r="BX67" s="34">
        <f>IF(AND(BX$5&gt;$E67,BX$5&lt;=$F67),IF(BX$5=$E67+1,$C67,""),"")</f>
        <v/>
      </c>
      <c r="BY67" s="34">
        <f>IF(AND(BY$5&gt;$E67,BY$5&lt;=$F67),IF(BY$5=$E67+1,$C67,""),"")</f>
        <v/>
      </c>
    </row>
  </sheetData>
  <mergeCells count="15">
    <mergeCell ref="A45:D45"/>
    <mergeCell ref="A9:D9"/>
    <mergeCell ref="R4:AA4"/>
    <mergeCell ref="H4:Q4"/>
    <mergeCell ref="A6:G6"/>
    <mergeCell ref="A38:D38"/>
    <mergeCell ref="AB4:AK4"/>
    <mergeCell ref="A54:D54"/>
    <mergeCell ref="AV4:BE4"/>
    <mergeCell ref="A29:D29"/>
    <mergeCell ref="A7:G7"/>
    <mergeCell ref="BP4:BY4"/>
    <mergeCell ref="A16:D16"/>
    <mergeCell ref="AL4:AU4"/>
    <mergeCell ref="BF4:BO4"/>
  </mergeCells>
  <conditionalFormatting sqref="H6:BY6">
    <cfRule type="expression" priority="1" dxfId="9">
      <formula>H6&lt;&gt;""</formula>
    </cfRule>
  </conditionalFormatting>
  <conditionalFormatting sqref="H7:BY7">
    <cfRule type="expression" priority="2" dxfId="10">
      <formula>H7&lt;&gt;""</formula>
    </cfRule>
  </conditionalFormatting>
  <conditionalFormatting sqref="H9:BY9">
    <cfRule type="expression" priority="3" dxfId="11">
      <formula>AND(H$5&gt;$E9,H$5&lt;=$F9)</formula>
    </cfRule>
  </conditionalFormatting>
  <conditionalFormatting sqref="H16:BY16">
    <cfRule type="expression" priority="4" dxfId="11">
      <formula>AND(H$5&gt;$E16,H$5&lt;=$F16)</formula>
    </cfRule>
  </conditionalFormatting>
  <conditionalFormatting sqref="H29:BY29">
    <cfRule type="expression" priority="5" dxfId="11">
      <formula>AND(H$5&gt;$E29,H$5&lt;=$F29)</formula>
    </cfRule>
  </conditionalFormatting>
  <conditionalFormatting sqref="H38:BY38">
    <cfRule type="expression" priority="6" dxfId="11">
      <formula>AND(H$5&gt;$E38,H$5&lt;=$F38)</formula>
    </cfRule>
  </conditionalFormatting>
  <conditionalFormatting sqref="H45:BY45">
    <cfRule type="expression" priority="7" dxfId="11">
      <formula>AND(H$5&gt;$E45,H$5&lt;=$F45)</formula>
    </cfRule>
  </conditionalFormatting>
  <conditionalFormatting sqref="H54:BY54">
    <cfRule type="expression" priority="8" dxfId="11">
      <formula>AND(H$5&gt;$E54,H$5&lt;=$F54)</formula>
    </cfRule>
  </conditionalFormatting>
  <conditionalFormatting sqref="H9:BY67">
    <cfRule type="expression" priority="9" dxfId="12" stopIfTrue="1">
      <formula>AND(AND(H$5&gt;$E9,H$5&lt;=$F9,$A9&lt;&gt;""),$G9="Hecho")</formula>
    </cfRule>
    <cfRule type="expression" priority="10" dxfId="13" stopIfTrue="1">
      <formula>AND(AND(H$5&gt;$E9,H$5&lt;=$F9,$A9&lt;&gt;""),$G9="Bloqueado")</formula>
    </cfRule>
    <cfRule type="expression" priority="11" dxfId="14" stopIfTrue="1">
      <formula>AND(AND(H$5&gt;$E9,H$5&lt;=$F9,$A9&lt;&gt;""),$D9="A+B")</formula>
    </cfRule>
    <cfRule type="expression" priority="12" dxfId="9" stopIfTrue="1">
      <formula>AND(AND(H$5&gt;$E9,H$5&lt;=$F9,$A9&lt;&gt;""),$D9="A")</formula>
    </cfRule>
    <cfRule type="expression" priority="13" dxfId="10" stopIfTrue="1">
      <formula>AND(AND(H$5&gt;$E9,H$5&lt;=$F9,$A9&lt;&gt;""),$D9="B")</formula>
    </cfRule>
    <cfRule type="expression" priority="15" dxfId="15">
      <formula>H$5=Resumen!$C$6+1</formula>
    </cfRule>
  </conditionalFormatting>
  <conditionalFormatting sqref="H5:BY5">
    <cfRule type="expression" priority="14" dxfId="16">
      <formula>H$5=Resumen!$C$6+1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2" customWidth="1" min="3" max="3"/>
    <col width="14" customWidth="1" min="4" max="4"/>
    <col width="11" customWidth="1" min="5" max="5"/>
    <col width="12" customWidth="1" min="6" max="6"/>
    <col width="9" customWidth="1" min="7" max="7"/>
    <col width="7" customWidth="1" min="8" max="8"/>
    <col width="11" customWidth="1" min="9" max="9"/>
  </cols>
  <sheetData>
    <row r="1">
      <c r="A1" s="1" t="inlineStr">
        <is>
          <t>Cola de trabajo — 2 filas, capacidad infinita</t>
        </is>
      </c>
    </row>
    <row r="2">
      <c r="A2" s="2" t="inlineStr">
        <is>
          <t>Cada actividad entra a la cola cuando terminan sus dependencias y sale cuando una fila queda libre. Si hay varias esperando, sale primero la de mayor ruta crítica restante.</t>
        </is>
      </c>
    </row>
    <row r="4" ht="42" customHeight="1">
      <c r="A4" s="14" t="inlineStr">
        <is>
          <t>Turno</t>
        </is>
      </c>
      <c r="B4" s="14" t="inlineStr">
        <is>
          <t>ID</t>
        </is>
      </c>
      <c r="C4" s="14" t="inlineStr">
        <is>
          <t>Actividad</t>
        </is>
      </c>
      <c r="D4" s="14" t="inlineStr">
        <is>
          <t>Prioridad (ruta crítica, bloques)</t>
        </is>
      </c>
      <c r="E4" s="14" t="inlineStr">
        <is>
          <t>Entra a la cola</t>
        </is>
      </c>
      <c r="F4" s="14" t="inlineStr">
        <is>
          <t>Sale de la cola (inicio)</t>
        </is>
      </c>
      <c r="G4" s="14" t="inlineStr">
        <is>
          <t>Espera</t>
        </is>
      </c>
      <c r="H4" s="14" t="inlineStr">
        <is>
          <t>Fila</t>
        </is>
      </c>
      <c r="I4" s="14" t="inlineStr">
        <is>
          <t>Estado</t>
        </is>
      </c>
    </row>
    <row r="5">
      <c r="A5" s="8" t="n">
        <v>1</v>
      </c>
      <c r="B5" s="18" t="inlineStr">
        <is>
          <t>1.1</t>
        </is>
      </c>
      <c r="C5" s="35">
        <f>Plan!C5</f>
        <v/>
      </c>
      <c r="D5" s="8" t="n">
        <v>36</v>
      </c>
      <c r="E5" s="16">
        <f>Plan!J5</f>
        <v/>
      </c>
      <c r="F5" s="16">
        <f>Plan!K5</f>
        <v/>
      </c>
      <c r="G5" s="8">
        <f>F5-E5</f>
        <v/>
      </c>
      <c r="H5" s="16">
        <f>Plan!I5</f>
        <v/>
      </c>
      <c r="I5" s="16">
        <f>Plan!O5</f>
        <v/>
      </c>
    </row>
    <row r="6">
      <c r="A6" s="8" t="n">
        <v>2</v>
      </c>
      <c r="B6" s="18" t="inlineStr">
        <is>
          <t>1.3</t>
        </is>
      </c>
      <c r="C6" s="35">
        <f>Plan!C7</f>
        <v/>
      </c>
      <c r="D6" s="8" t="n">
        <v>33</v>
      </c>
      <c r="E6" s="16">
        <f>Plan!J7</f>
        <v/>
      </c>
      <c r="F6" s="16">
        <f>Plan!K7</f>
        <v/>
      </c>
      <c r="G6" s="8">
        <f>F6-E6</f>
        <v/>
      </c>
      <c r="H6" s="16">
        <f>Plan!I7</f>
        <v/>
      </c>
      <c r="I6" s="16">
        <f>Plan!O7</f>
        <v/>
      </c>
    </row>
    <row r="7">
      <c r="A7" s="8" t="n">
        <v>3</v>
      </c>
      <c r="B7" s="18" t="inlineStr">
        <is>
          <t>1.2</t>
        </is>
      </c>
      <c r="C7" s="35">
        <f>Plan!C6</f>
        <v/>
      </c>
      <c r="D7" s="8" t="n">
        <v>27</v>
      </c>
      <c r="E7" s="16">
        <f>Plan!J6</f>
        <v/>
      </c>
      <c r="F7" s="16">
        <f>Plan!K6</f>
        <v/>
      </c>
      <c r="G7" s="8">
        <f>F7-E7</f>
        <v/>
      </c>
      <c r="H7" s="16">
        <f>Plan!I6</f>
        <v/>
      </c>
      <c r="I7" s="16">
        <f>Plan!O6</f>
        <v/>
      </c>
    </row>
    <row r="8">
      <c r="A8" s="8" t="n">
        <v>4</v>
      </c>
      <c r="B8" s="18" t="inlineStr">
        <is>
          <t>1.4</t>
        </is>
      </c>
      <c r="C8" s="35">
        <f>Plan!C8</f>
        <v/>
      </c>
      <c r="D8" s="8" t="n">
        <v>32</v>
      </c>
      <c r="E8" s="16">
        <f>Plan!J8</f>
        <v/>
      </c>
      <c r="F8" s="16">
        <f>Plan!K8</f>
        <v/>
      </c>
      <c r="G8" s="8">
        <f>F8-E8</f>
        <v/>
      </c>
      <c r="H8" s="16">
        <f>Plan!I8</f>
        <v/>
      </c>
      <c r="I8" s="16">
        <f>Plan!O8</f>
        <v/>
      </c>
    </row>
    <row r="9">
      <c r="A9" s="8" t="n">
        <v>5</v>
      </c>
      <c r="B9" s="18" t="inlineStr">
        <is>
          <t>3.1</t>
        </is>
      </c>
      <c r="C9" s="35">
        <f>Plan!C23</f>
        <v/>
      </c>
      <c r="D9" s="8" t="n">
        <v>24</v>
      </c>
      <c r="E9" s="16">
        <f>Plan!J23</f>
        <v/>
      </c>
      <c r="F9" s="16">
        <f>Plan!K23</f>
        <v/>
      </c>
      <c r="G9" s="8">
        <f>F9-E9</f>
        <v/>
      </c>
      <c r="H9" s="16">
        <f>Plan!I23</f>
        <v/>
      </c>
      <c r="I9" s="16">
        <f>Plan!O23</f>
        <v/>
      </c>
    </row>
    <row r="10">
      <c r="A10" s="8" t="n">
        <v>6</v>
      </c>
      <c r="B10" s="18" t="inlineStr">
        <is>
          <t>2.2</t>
        </is>
      </c>
      <c r="C10" s="35">
        <f>Plan!C12</f>
        <v/>
      </c>
      <c r="D10" s="8" t="n">
        <v>30</v>
      </c>
      <c r="E10" s="16">
        <f>Plan!J12</f>
        <v/>
      </c>
      <c r="F10" s="16">
        <f>Plan!K12</f>
        <v/>
      </c>
      <c r="G10" s="8">
        <f>F10-E10</f>
        <v/>
      </c>
      <c r="H10" s="16">
        <f>Plan!I12</f>
        <v/>
      </c>
      <c r="I10" s="16">
        <f>Plan!O12</f>
        <v/>
      </c>
    </row>
    <row r="11">
      <c r="A11" s="8" t="n">
        <v>7</v>
      </c>
      <c r="B11" s="18" t="inlineStr">
        <is>
          <t>2.5</t>
        </is>
      </c>
      <c r="C11" s="35">
        <f>Plan!C15</f>
        <v/>
      </c>
      <c r="D11" s="8" t="n">
        <v>28</v>
      </c>
      <c r="E11" s="16">
        <f>Plan!J15</f>
        <v/>
      </c>
      <c r="F11" s="16">
        <f>Plan!K15</f>
        <v/>
      </c>
      <c r="G11" s="8">
        <f>F11-E11</f>
        <v/>
      </c>
      <c r="H11" s="16">
        <f>Plan!I15</f>
        <v/>
      </c>
      <c r="I11" s="16">
        <f>Plan!O15</f>
        <v/>
      </c>
    </row>
    <row r="12">
      <c r="A12" s="8" t="n">
        <v>8</v>
      </c>
      <c r="B12" s="18" t="inlineStr">
        <is>
          <t>2.3</t>
        </is>
      </c>
      <c r="C12" s="35">
        <f>Plan!C13</f>
        <v/>
      </c>
      <c r="D12" s="8" t="n">
        <v>20</v>
      </c>
      <c r="E12" s="16">
        <f>Plan!J13</f>
        <v/>
      </c>
      <c r="F12" s="16">
        <f>Plan!K13</f>
        <v/>
      </c>
      <c r="G12" s="8">
        <f>F12-E12</f>
        <v/>
      </c>
      <c r="H12" s="16">
        <f>Plan!I13</f>
        <v/>
      </c>
      <c r="I12" s="16">
        <f>Plan!O13</f>
        <v/>
      </c>
    </row>
    <row r="13">
      <c r="A13" s="8" t="n">
        <v>9</v>
      </c>
      <c r="B13" s="18" t="inlineStr">
        <is>
          <t>3.4</t>
        </is>
      </c>
      <c r="C13" s="35">
        <f>Plan!C26</f>
        <v/>
      </c>
      <c r="D13" s="8" t="n">
        <v>19</v>
      </c>
      <c r="E13" s="16">
        <f>Plan!J26</f>
        <v/>
      </c>
      <c r="F13" s="16">
        <f>Plan!K26</f>
        <v/>
      </c>
      <c r="G13" s="8">
        <f>F13-E13</f>
        <v/>
      </c>
      <c r="H13" s="16">
        <f>Plan!I26</f>
        <v/>
      </c>
      <c r="I13" s="16">
        <f>Plan!O26</f>
        <v/>
      </c>
    </row>
    <row r="14">
      <c r="A14" s="8" t="n">
        <v>10</v>
      </c>
      <c r="B14" s="18" t="inlineStr">
        <is>
          <t>2.6</t>
        </is>
      </c>
      <c r="C14" s="35">
        <f>Plan!C16</f>
        <v/>
      </c>
      <c r="D14" s="8" t="n">
        <v>25</v>
      </c>
      <c r="E14" s="16">
        <f>Plan!J16</f>
        <v/>
      </c>
      <c r="F14" s="16">
        <f>Plan!K16</f>
        <v/>
      </c>
      <c r="G14" s="8">
        <f>F14-E14</f>
        <v/>
      </c>
      <c r="H14" s="16">
        <f>Plan!I16</f>
        <v/>
      </c>
      <c r="I14" s="16">
        <f>Plan!O16</f>
        <v/>
      </c>
    </row>
    <row r="15">
      <c r="A15" s="8" t="n">
        <v>11</v>
      </c>
      <c r="B15" s="18" t="inlineStr">
        <is>
          <t>2.1</t>
        </is>
      </c>
      <c r="C15" s="35">
        <f>Plan!C11</f>
        <v/>
      </c>
      <c r="D15" s="8" t="n">
        <v>16</v>
      </c>
      <c r="E15" s="16">
        <f>Plan!J11</f>
        <v/>
      </c>
      <c r="F15" s="16">
        <f>Plan!K11</f>
        <v/>
      </c>
      <c r="G15" s="8">
        <f>F15-E15</f>
        <v/>
      </c>
      <c r="H15" s="16">
        <f>Plan!I11</f>
        <v/>
      </c>
      <c r="I15" s="16">
        <f>Plan!O11</f>
        <v/>
      </c>
    </row>
    <row r="16">
      <c r="A16" s="8" t="n">
        <v>12</v>
      </c>
      <c r="B16" s="18" t="inlineStr">
        <is>
          <t>2.7</t>
        </is>
      </c>
      <c r="C16" s="35">
        <f>Plan!C17</f>
        <v/>
      </c>
      <c r="D16" s="8" t="n">
        <v>22</v>
      </c>
      <c r="E16" s="16">
        <f>Plan!J17</f>
        <v/>
      </c>
      <c r="F16" s="16">
        <f>Plan!K17</f>
        <v/>
      </c>
      <c r="G16" s="8">
        <f>F16-E16</f>
        <v/>
      </c>
      <c r="H16" s="16">
        <f>Plan!I17</f>
        <v/>
      </c>
      <c r="I16" s="16">
        <f>Plan!O17</f>
        <v/>
      </c>
    </row>
    <row r="17">
      <c r="A17" s="8" t="n">
        <v>13</v>
      </c>
      <c r="B17" s="18" t="inlineStr">
        <is>
          <t>4.1</t>
        </is>
      </c>
      <c r="C17" s="35">
        <f>Plan!C31</f>
        <v/>
      </c>
      <c r="D17" s="8" t="n">
        <v>20</v>
      </c>
      <c r="E17" s="16">
        <f>Plan!J31</f>
        <v/>
      </c>
      <c r="F17" s="16">
        <f>Plan!K31</f>
        <v/>
      </c>
      <c r="G17" s="8">
        <f>F17-E17</f>
        <v/>
      </c>
      <c r="H17" s="16">
        <f>Plan!I31</f>
        <v/>
      </c>
      <c r="I17" s="16">
        <f>Plan!O31</f>
        <v/>
      </c>
    </row>
    <row r="18">
      <c r="A18" s="8" t="n">
        <v>14</v>
      </c>
      <c r="B18" s="18" t="inlineStr">
        <is>
          <t>3.5</t>
        </is>
      </c>
      <c r="C18" s="35">
        <f>Plan!C27</f>
        <v/>
      </c>
      <c r="D18" s="8" t="n">
        <v>16</v>
      </c>
      <c r="E18" s="16">
        <f>Plan!J27</f>
        <v/>
      </c>
      <c r="F18" s="16">
        <f>Plan!K27</f>
        <v/>
      </c>
      <c r="G18" s="8">
        <f>F18-E18</f>
        <v/>
      </c>
      <c r="H18" s="16">
        <f>Plan!I27</f>
        <v/>
      </c>
      <c r="I18" s="16">
        <f>Plan!O27</f>
        <v/>
      </c>
    </row>
    <row r="19">
      <c r="A19" s="8" t="n">
        <v>15</v>
      </c>
      <c r="B19" s="18" t="inlineStr">
        <is>
          <t>3.6</t>
        </is>
      </c>
      <c r="C19" s="35">
        <f>Plan!C28</f>
        <v/>
      </c>
      <c r="D19" s="8" t="n">
        <v>13</v>
      </c>
      <c r="E19" s="16">
        <f>Plan!J28</f>
        <v/>
      </c>
      <c r="F19" s="16">
        <f>Plan!K28</f>
        <v/>
      </c>
      <c r="G19" s="8">
        <f>F19-E19</f>
        <v/>
      </c>
      <c r="H19" s="16">
        <f>Plan!I28</f>
        <v/>
      </c>
      <c r="I19" s="16">
        <f>Plan!O28</f>
        <v/>
      </c>
    </row>
    <row r="20">
      <c r="A20" s="8" t="n">
        <v>16</v>
      </c>
      <c r="B20" s="18" t="inlineStr">
        <is>
          <t>4.2</t>
        </is>
      </c>
      <c r="C20" s="35">
        <f>Plan!C32</f>
        <v/>
      </c>
      <c r="D20" s="8" t="n">
        <v>16</v>
      </c>
      <c r="E20" s="16">
        <f>Plan!J32</f>
        <v/>
      </c>
      <c r="F20" s="16">
        <f>Plan!K32</f>
        <v/>
      </c>
      <c r="G20" s="8">
        <f>F20-E20</f>
        <v/>
      </c>
      <c r="H20" s="16">
        <f>Plan!I32</f>
        <v/>
      </c>
      <c r="I20" s="16">
        <f>Plan!O32</f>
        <v/>
      </c>
    </row>
    <row r="21">
      <c r="A21" s="8" t="n">
        <v>17</v>
      </c>
      <c r="B21" s="18" t="inlineStr">
        <is>
          <t>2.9</t>
        </is>
      </c>
      <c r="C21" s="35">
        <f>Plan!C19</f>
        <v/>
      </c>
      <c r="D21" s="8" t="n">
        <v>18</v>
      </c>
      <c r="E21" s="16">
        <f>Plan!J19</f>
        <v/>
      </c>
      <c r="F21" s="16">
        <f>Plan!K19</f>
        <v/>
      </c>
      <c r="G21" s="8">
        <f>F21-E21</f>
        <v/>
      </c>
      <c r="H21" s="16">
        <f>Plan!I19</f>
        <v/>
      </c>
      <c r="I21" s="16">
        <f>Plan!O19</f>
        <v/>
      </c>
    </row>
    <row r="22">
      <c r="A22" s="8" t="n">
        <v>18</v>
      </c>
      <c r="B22" s="18" t="inlineStr">
        <is>
          <t>2.8</t>
        </is>
      </c>
      <c r="C22" s="35">
        <f>Plan!C18</f>
        <v/>
      </c>
      <c r="D22" s="8" t="n">
        <v>9</v>
      </c>
      <c r="E22" s="16">
        <f>Plan!J18</f>
        <v/>
      </c>
      <c r="F22" s="16">
        <f>Plan!K18</f>
        <v/>
      </c>
      <c r="G22" s="8">
        <f>F22-E22</f>
        <v/>
      </c>
      <c r="H22" s="16">
        <f>Plan!I18</f>
        <v/>
      </c>
      <c r="I22" s="16">
        <f>Plan!O18</f>
        <v/>
      </c>
    </row>
    <row r="23">
      <c r="A23" s="8" t="n">
        <v>19</v>
      </c>
      <c r="B23" s="18" t="inlineStr">
        <is>
          <t>6.10</t>
        </is>
      </c>
      <c r="C23" s="35">
        <f>Plan!C54</f>
        <v/>
      </c>
      <c r="D23" s="8" t="n">
        <v>6</v>
      </c>
      <c r="E23" s="16">
        <f>Plan!J54</f>
        <v/>
      </c>
      <c r="F23" s="16">
        <f>Plan!K54</f>
        <v/>
      </c>
      <c r="G23" s="8">
        <f>F23-E23</f>
        <v/>
      </c>
      <c r="H23" s="16">
        <f>Plan!I54</f>
        <v/>
      </c>
      <c r="I23" s="16">
        <f>Plan!O54</f>
        <v/>
      </c>
    </row>
    <row r="24">
      <c r="A24" s="8" t="n">
        <v>20</v>
      </c>
      <c r="B24" s="18" t="inlineStr">
        <is>
          <t>3.3</t>
        </is>
      </c>
      <c r="C24" s="35">
        <f>Plan!C25</f>
        <v/>
      </c>
      <c r="D24" s="8" t="n">
        <v>15</v>
      </c>
      <c r="E24" s="16">
        <f>Plan!J25</f>
        <v/>
      </c>
      <c r="F24" s="16">
        <f>Plan!K25</f>
        <v/>
      </c>
      <c r="G24" s="8">
        <f>F24-E24</f>
        <v/>
      </c>
      <c r="H24" s="16">
        <f>Plan!I25</f>
        <v/>
      </c>
      <c r="I24" s="16">
        <f>Plan!O25</f>
        <v/>
      </c>
    </row>
    <row r="25">
      <c r="A25" s="8" t="n">
        <v>21</v>
      </c>
      <c r="B25" s="18" t="inlineStr">
        <is>
          <t>4.5</t>
        </is>
      </c>
      <c r="C25" s="35">
        <f>Plan!C35</f>
        <v/>
      </c>
      <c r="D25" s="8" t="n">
        <v>14</v>
      </c>
      <c r="E25" s="16">
        <f>Plan!J35</f>
        <v/>
      </c>
      <c r="F25" s="16">
        <f>Plan!K35</f>
        <v/>
      </c>
      <c r="G25" s="8">
        <f>F25-E25</f>
        <v/>
      </c>
      <c r="H25" s="16">
        <f>Plan!I35</f>
        <v/>
      </c>
      <c r="I25" s="16">
        <f>Plan!O35</f>
        <v/>
      </c>
    </row>
    <row r="26">
      <c r="A26" s="8" t="n">
        <v>22</v>
      </c>
      <c r="B26" s="18" t="inlineStr">
        <is>
          <t>1.5</t>
        </is>
      </c>
      <c r="C26" s="35">
        <f>Plan!C9</f>
        <v/>
      </c>
      <c r="D26" s="8" t="n">
        <v>17</v>
      </c>
      <c r="E26" s="16">
        <f>Plan!J9</f>
        <v/>
      </c>
      <c r="F26" s="16">
        <f>Plan!K9</f>
        <v/>
      </c>
      <c r="G26" s="8">
        <f>F26-E26</f>
        <v/>
      </c>
      <c r="H26" s="16">
        <f>Plan!I9</f>
        <v/>
      </c>
      <c r="I26" s="16">
        <f>Plan!O9</f>
        <v/>
      </c>
    </row>
    <row r="27">
      <c r="A27" s="8" t="n">
        <v>23</v>
      </c>
      <c r="B27" s="18" t="inlineStr">
        <is>
          <t>5.2</t>
        </is>
      </c>
      <c r="C27" s="35">
        <f>Plan!C38</f>
        <v/>
      </c>
      <c r="D27" s="8" t="n">
        <v>13</v>
      </c>
      <c r="E27" s="16">
        <f>Plan!J38</f>
        <v/>
      </c>
      <c r="F27" s="16">
        <f>Plan!K38</f>
        <v/>
      </c>
      <c r="G27" s="8">
        <f>F27-E27</f>
        <v/>
      </c>
      <c r="H27" s="16">
        <f>Plan!I38</f>
        <v/>
      </c>
      <c r="I27" s="16">
        <f>Plan!O38</f>
        <v/>
      </c>
    </row>
    <row r="28">
      <c r="A28" s="8" t="n">
        <v>24</v>
      </c>
      <c r="B28" s="18" t="inlineStr">
        <is>
          <t>2.10</t>
        </is>
      </c>
      <c r="C28" s="35">
        <f>Plan!C20</f>
        <v/>
      </c>
      <c r="D28" s="8" t="n">
        <v>12</v>
      </c>
      <c r="E28" s="16">
        <f>Plan!J20</f>
        <v/>
      </c>
      <c r="F28" s="16">
        <f>Plan!K20</f>
        <v/>
      </c>
      <c r="G28" s="8">
        <f>F28-E28</f>
        <v/>
      </c>
      <c r="H28" s="16">
        <f>Plan!I20</f>
        <v/>
      </c>
      <c r="I28" s="16">
        <f>Plan!O20</f>
        <v/>
      </c>
    </row>
    <row r="29">
      <c r="A29" s="8" t="n">
        <v>25</v>
      </c>
      <c r="B29" s="18" t="inlineStr">
        <is>
          <t>6.11</t>
        </is>
      </c>
      <c r="C29" s="35">
        <f>Plan!C55</f>
        <v/>
      </c>
      <c r="D29" s="8" t="n">
        <v>7</v>
      </c>
      <c r="E29" s="16">
        <f>Plan!J55</f>
        <v/>
      </c>
      <c r="F29" s="16">
        <f>Plan!K55</f>
        <v/>
      </c>
      <c r="G29" s="8">
        <f>F29-E29</f>
        <v/>
      </c>
      <c r="H29" s="16">
        <f>Plan!I55</f>
        <v/>
      </c>
      <c r="I29" s="16">
        <f>Plan!O55</f>
        <v/>
      </c>
    </row>
    <row r="30">
      <c r="A30" s="8" t="n">
        <v>26</v>
      </c>
      <c r="B30" s="18" t="inlineStr">
        <is>
          <t>2.12</t>
        </is>
      </c>
      <c r="C30" s="35">
        <f>Plan!C22</f>
        <v/>
      </c>
      <c r="D30" s="8" t="n">
        <v>12</v>
      </c>
      <c r="E30" s="16">
        <f>Plan!J22</f>
        <v/>
      </c>
      <c r="F30" s="16">
        <f>Plan!K22</f>
        <v/>
      </c>
      <c r="G30" s="8">
        <f>F30-E30</f>
        <v/>
      </c>
      <c r="H30" s="16">
        <f>Plan!I22</f>
        <v/>
      </c>
      <c r="I30" s="16">
        <f>Plan!O22</f>
        <v/>
      </c>
    </row>
    <row r="31">
      <c r="A31" s="8" t="n">
        <v>27</v>
      </c>
      <c r="B31" s="18" t="inlineStr">
        <is>
          <t>3.9</t>
        </is>
      </c>
      <c r="C31" s="35">
        <f>Plan!C30</f>
        <v/>
      </c>
      <c r="D31" s="8" t="n">
        <v>12</v>
      </c>
      <c r="E31" s="16">
        <f>Plan!J30</f>
        <v/>
      </c>
      <c r="F31" s="16">
        <f>Plan!K30</f>
        <v/>
      </c>
      <c r="G31" s="8">
        <f>F31-E31</f>
        <v/>
      </c>
      <c r="H31" s="16">
        <f>Plan!I30</f>
        <v/>
      </c>
      <c r="I31" s="16">
        <f>Plan!O30</f>
        <v/>
      </c>
    </row>
    <row r="32">
      <c r="A32" s="8" t="n">
        <v>28</v>
      </c>
      <c r="B32" s="18" t="inlineStr">
        <is>
          <t>3.7</t>
        </is>
      </c>
      <c r="C32" s="35">
        <f>Plan!C29</f>
        <v/>
      </c>
      <c r="D32" s="8" t="n">
        <v>12</v>
      </c>
      <c r="E32" s="16">
        <f>Plan!J29</f>
        <v/>
      </c>
      <c r="F32" s="16">
        <f>Plan!K29</f>
        <v/>
      </c>
      <c r="G32" s="8">
        <f>F32-E32</f>
        <v/>
      </c>
      <c r="H32" s="16">
        <f>Plan!I29</f>
        <v/>
      </c>
      <c r="I32" s="16">
        <f>Plan!O29</f>
        <v/>
      </c>
    </row>
    <row r="33">
      <c r="A33" s="8" t="n">
        <v>29</v>
      </c>
      <c r="B33" s="18" t="inlineStr">
        <is>
          <t>1.6</t>
        </is>
      </c>
      <c r="C33" s="35">
        <f>Plan!C10</f>
        <v/>
      </c>
      <c r="D33" s="8" t="n">
        <v>11</v>
      </c>
      <c r="E33" s="16">
        <f>Plan!J10</f>
        <v/>
      </c>
      <c r="F33" s="16">
        <f>Plan!K10</f>
        <v/>
      </c>
      <c r="G33" s="8">
        <f>F33-E33</f>
        <v/>
      </c>
      <c r="H33" s="16">
        <f>Plan!I10</f>
        <v/>
      </c>
      <c r="I33" s="16">
        <f>Plan!O10</f>
        <v/>
      </c>
    </row>
    <row r="34">
      <c r="A34" s="8" t="n">
        <v>30</v>
      </c>
      <c r="B34" s="18" t="inlineStr">
        <is>
          <t>4.6</t>
        </is>
      </c>
      <c r="C34" s="35">
        <f>Plan!C36</f>
        <v/>
      </c>
      <c r="D34" s="8" t="n">
        <v>11</v>
      </c>
      <c r="E34" s="16">
        <f>Plan!J36</f>
        <v/>
      </c>
      <c r="F34" s="16">
        <f>Plan!K36</f>
        <v/>
      </c>
      <c r="G34" s="8">
        <f>F34-E34</f>
        <v/>
      </c>
      <c r="H34" s="16">
        <f>Plan!I36</f>
        <v/>
      </c>
      <c r="I34" s="16">
        <f>Plan!O36</f>
        <v/>
      </c>
    </row>
    <row r="35">
      <c r="A35" s="8" t="n">
        <v>31</v>
      </c>
      <c r="B35" s="18" t="inlineStr">
        <is>
          <t>5.5</t>
        </is>
      </c>
      <c r="C35" s="35">
        <f>Plan!C41</f>
        <v/>
      </c>
      <c r="D35" s="8" t="n">
        <v>9</v>
      </c>
      <c r="E35" s="16">
        <f>Plan!J41</f>
        <v/>
      </c>
      <c r="F35" s="16">
        <f>Plan!K41</f>
        <v/>
      </c>
      <c r="G35" s="8">
        <f>F35-E35</f>
        <v/>
      </c>
      <c r="H35" s="16">
        <f>Plan!I41</f>
        <v/>
      </c>
      <c r="I35" s="16">
        <f>Plan!O41</f>
        <v/>
      </c>
    </row>
    <row r="36">
      <c r="A36" s="8" t="n">
        <v>32</v>
      </c>
      <c r="B36" s="18" t="inlineStr">
        <is>
          <t>4.4</t>
        </is>
      </c>
      <c r="C36" s="35">
        <f>Plan!C34</f>
        <v/>
      </c>
      <c r="D36" s="8" t="n">
        <v>7</v>
      </c>
      <c r="E36" s="16">
        <f>Plan!J34</f>
        <v/>
      </c>
      <c r="F36" s="16">
        <f>Plan!K34</f>
        <v/>
      </c>
      <c r="G36" s="8">
        <f>F36-E36</f>
        <v/>
      </c>
      <c r="H36" s="16">
        <f>Plan!I34</f>
        <v/>
      </c>
      <c r="I36" s="16">
        <f>Plan!O34</f>
        <v/>
      </c>
    </row>
    <row r="37">
      <c r="A37" s="8" t="n">
        <v>33</v>
      </c>
      <c r="B37" s="18" t="inlineStr">
        <is>
          <t>5.7</t>
        </is>
      </c>
      <c r="C37" s="35">
        <f>Plan!C43</f>
        <v/>
      </c>
      <c r="D37" s="8" t="n">
        <v>3</v>
      </c>
      <c r="E37" s="16">
        <f>Plan!J43</f>
        <v/>
      </c>
      <c r="F37" s="16">
        <f>Plan!K43</f>
        <v/>
      </c>
      <c r="G37" s="8">
        <f>F37-E37</f>
        <v/>
      </c>
      <c r="H37" s="16">
        <f>Plan!I43</f>
        <v/>
      </c>
      <c r="I37" s="16">
        <f>Plan!O43</f>
        <v/>
      </c>
    </row>
    <row r="38">
      <c r="A38" s="8" t="n">
        <v>34</v>
      </c>
      <c r="B38" s="18" t="inlineStr">
        <is>
          <t>3.2</t>
        </is>
      </c>
      <c r="C38" s="35">
        <f>Plan!C24</f>
        <v/>
      </c>
      <c r="D38" s="8" t="n">
        <v>3</v>
      </c>
      <c r="E38" s="16">
        <f>Plan!J24</f>
        <v/>
      </c>
      <c r="F38" s="16">
        <f>Plan!K24</f>
        <v/>
      </c>
      <c r="G38" s="8">
        <f>F38-E38</f>
        <v/>
      </c>
      <c r="H38" s="16">
        <f>Plan!I24</f>
        <v/>
      </c>
      <c r="I38" s="16">
        <f>Plan!O24</f>
        <v/>
      </c>
    </row>
    <row r="39">
      <c r="A39" s="8" t="n">
        <v>35</v>
      </c>
      <c r="B39" s="18" t="inlineStr">
        <is>
          <t>5.8</t>
        </is>
      </c>
      <c r="C39" s="35">
        <f>Plan!C44</f>
        <v/>
      </c>
      <c r="D39" s="8" t="n">
        <v>1</v>
      </c>
      <c r="E39" s="16">
        <f>Plan!J44</f>
        <v/>
      </c>
      <c r="F39" s="16">
        <f>Plan!K44</f>
        <v/>
      </c>
      <c r="G39" s="8">
        <f>F39-E39</f>
        <v/>
      </c>
      <c r="H39" s="16">
        <f>Plan!I44</f>
        <v/>
      </c>
      <c r="I39" s="16">
        <f>Plan!O44</f>
        <v/>
      </c>
    </row>
    <row r="40">
      <c r="A40" s="8" t="n">
        <v>36</v>
      </c>
      <c r="B40" s="18" t="inlineStr">
        <is>
          <t>5.1</t>
        </is>
      </c>
      <c r="C40" s="35">
        <f>Plan!C37</f>
        <v/>
      </c>
      <c r="D40" s="8" t="n">
        <v>2</v>
      </c>
      <c r="E40" s="16">
        <f>Plan!J37</f>
        <v/>
      </c>
      <c r="F40" s="16">
        <f>Plan!K37</f>
        <v/>
      </c>
      <c r="G40" s="8">
        <f>F40-E40</f>
        <v/>
      </c>
      <c r="H40" s="16">
        <f>Plan!I37</f>
        <v/>
      </c>
      <c r="I40" s="16">
        <f>Plan!O37</f>
        <v/>
      </c>
    </row>
    <row r="41">
      <c r="A41" s="8" t="n">
        <v>37</v>
      </c>
      <c r="B41" s="18" t="inlineStr">
        <is>
          <t>2.4</t>
        </is>
      </c>
      <c r="C41" s="35">
        <f>Plan!C14</f>
        <v/>
      </c>
      <c r="D41" s="8" t="n">
        <v>15</v>
      </c>
      <c r="E41" s="16">
        <f>Plan!J14</f>
        <v/>
      </c>
      <c r="F41" s="16">
        <f>Plan!K14</f>
        <v/>
      </c>
      <c r="G41" s="8">
        <f>F41-E41</f>
        <v/>
      </c>
      <c r="H41" s="16">
        <f>Plan!I14</f>
        <v/>
      </c>
      <c r="I41" s="16">
        <f>Plan!O14</f>
        <v/>
      </c>
    </row>
    <row r="42">
      <c r="A42" s="8" t="n">
        <v>38</v>
      </c>
      <c r="B42" s="18" t="inlineStr">
        <is>
          <t>5.4</t>
        </is>
      </c>
      <c r="C42" s="35">
        <f>Plan!C40</f>
        <v/>
      </c>
      <c r="D42" s="8" t="n">
        <v>9</v>
      </c>
      <c r="E42" s="16">
        <f>Plan!J40</f>
        <v/>
      </c>
      <c r="F42" s="16">
        <f>Plan!K40</f>
        <v/>
      </c>
      <c r="G42" s="8">
        <f>F42-E42</f>
        <v/>
      </c>
      <c r="H42" s="16">
        <f>Plan!I40</f>
        <v/>
      </c>
      <c r="I42" s="16">
        <f>Plan!O40</f>
        <v/>
      </c>
    </row>
    <row r="43">
      <c r="A43" s="8" t="n">
        <v>39</v>
      </c>
      <c r="B43" s="18" t="inlineStr">
        <is>
          <t>2.11</t>
        </is>
      </c>
      <c r="C43" s="35">
        <f>Plan!C21</f>
        <v/>
      </c>
      <c r="D43" s="8" t="n">
        <v>9</v>
      </c>
      <c r="E43" s="16">
        <f>Plan!J21</f>
        <v/>
      </c>
      <c r="F43" s="16">
        <f>Plan!K21</f>
        <v/>
      </c>
      <c r="G43" s="8">
        <f>F43-E43</f>
        <v/>
      </c>
      <c r="H43" s="16">
        <f>Plan!I21</f>
        <v/>
      </c>
      <c r="I43" s="16">
        <f>Plan!O21</f>
        <v/>
      </c>
    </row>
    <row r="44">
      <c r="A44" s="8" t="n">
        <v>40</v>
      </c>
      <c r="B44" s="18" t="inlineStr">
        <is>
          <t>4.3</t>
        </is>
      </c>
      <c r="C44" s="35">
        <f>Plan!C33</f>
        <v/>
      </c>
      <c r="D44" s="8" t="n">
        <v>13</v>
      </c>
      <c r="E44" s="16">
        <f>Plan!J33</f>
        <v/>
      </c>
      <c r="F44" s="16">
        <f>Plan!K33</f>
        <v/>
      </c>
      <c r="G44" s="8">
        <f>F44-E44</f>
        <v/>
      </c>
      <c r="H44" s="16">
        <f>Plan!I33</f>
        <v/>
      </c>
      <c r="I44" s="16">
        <f>Plan!O33</f>
        <v/>
      </c>
    </row>
    <row r="45">
      <c r="A45" s="8" t="n">
        <v>41</v>
      </c>
      <c r="B45" s="18" t="inlineStr">
        <is>
          <t>5.6</t>
        </is>
      </c>
      <c r="C45" s="35">
        <f>Plan!C42</f>
        <v/>
      </c>
      <c r="D45" s="8" t="n">
        <v>9</v>
      </c>
      <c r="E45" s="16">
        <f>Plan!J42</f>
        <v/>
      </c>
      <c r="F45" s="16">
        <f>Plan!K42</f>
        <v/>
      </c>
      <c r="G45" s="8">
        <f>F45-E45</f>
        <v/>
      </c>
      <c r="H45" s="16">
        <f>Plan!I42</f>
        <v/>
      </c>
      <c r="I45" s="16">
        <f>Plan!O42</f>
        <v/>
      </c>
    </row>
    <row r="46">
      <c r="A46" s="8" t="n">
        <v>42</v>
      </c>
      <c r="B46" s="18" t="inlineStr">
        <is>
          <t>6.8</t>
        </is>
      </c>
      <c r="C46" s="35">
        <f>Plan!C52</f>
        <v/>
      </c>
      <c r="D46" s="8" t="n">
        <v>6</v>
      </c>
      <c r="E46" s="16">
        <f>Plan!J52</f>
        <v/>
      </c>
      <c r="F46" s="16">
        <f>Plan!K52</f>
        <v/>
      </c>
      <c r="G46" s="8">
        <f>F46-E46</f>
        <v/>
      </c>
      <c r="H46" s="16">
        <f>Plan!I52</f>
        <v/>
      </c>
      <c r="I46" s="16">
        <f>Plan!O52</f>
        <v/>
      </c>
    </row>
    <row r="47">
      <c r="A47" s="8" t="n">
        <v>43</v>
      </c>
      <c r="B47" s="18" t="inlineStr">
        <is>
          <t>6.1</t>
        </is>
      </c>
      <c r="C47" s="35">
        <f>Plan!C45</f>
        <v/>
      </c>
      <c r="D47" s="8" t="n">
        <v>11</v>
      </c>
      <c r="E47" s="16">
        <f>Plan!J45</f>
        <v/>
      </c>
      <c r="F47" s="16">
        <f>Plan!K45</f>
        <v/>
      </c>
      <c r="G47" s="8">
        <f>F47-E47</f>
        <v/>
      </c>
      <c r="H47" s="16">
        <f>Plan!I45</f>
        <v/>
      </c>
      <c r="I47" s="16">
        <f>Plan!O45</f>
        <v/>
      </c>
    </row>
    <row r="48">
      <c r="A48" s="8" t="n">
        <v>44</v>
      </c>
      <c r="B48" s="18" t="inlineStr">
        <is>
          <t>6.4</t>
        </is>
      </c>
      <c r="C48" s="35">
        <f>Plan!C48</f>
        <v/>
      </c>
      <c r="D48" s="8" t="n">
        <v>6</v>
      </c>
      <c r="E48" s="16">
        <f>Plan!J48</f>
        <v/>
      </c>
      <c r="F48" s="16">
        <f>Plan!K48</f>
        <v/>
      </c>
      <c r="G48" s="8">
        <f>F48-E48</f>
        <v/>
      </c>
      <c r="H48" s="16">
        <f>Plan!I48</f>
        <v/>
      </c>
      <c r="I48" s="16">
        <f>Plan!O48</f>
        <v/>
      </c>
    </row>
    <row r="49">
      <c r="A49" s="8" t="n">
        <v>45</v>
      </c>
      <c r="B49" s="18" t="inlineStr">
        <is>
          <t>6.9</t>
        </is>
      </c>
      <c r="C49" s="35">
        <f>Plan!C53</f>
        <v/>
      </c>
      <c r="D49" s="8" t="n">
        <v>6</v>
      </c>
      <c r="E49" s="16">
        <f>Plan!J53</f>
        <v/>
      </c>
      <c r="F49" s="16">
        <f>Plan!K53</f>
        <v/>
      </c>
      <c r="G49" s="8">
        <f>F49-E49</f>
        <v/>
      </c>
      <c r="H49" s="16">
        <f>Plan!I53</f>
        <v/>
      </c>
      <c r="I49" s="16">
        <f>Plan!O53</f>
        <v/>
      </c>
    </row>
    <row r="50">
      <c r="A50" s="8" t="n">
        <v>46</v>
      </c>
      <c r="B50" s="18" t="inlineStr">
        <is>
          <t>5.3</t>
        </is>
      </c>
      <c r="C50" s="35">
        <f>Plan!C39</f>
        <v/>
      </c>
      <c r="D50" s="8" t="n">
        <v>10</v>
      </c>
      <c r="E50" s="16">
        <f>Plan!J39</f>
        <v/>
      </c>
      <c r="F50" s="16">
        <f>Plan!K39</f>
        <v/>
      </c>
      <c r="G50" s="8">
        <f>F50-E50</f>
        <v/>
      </c>
      <c r="H50" s="16">
        <f>Plan!I39</f>
        <v/>
      </c>
      <c r="I50" s="16">
        <f>Plan!O39</f>
        <v/>
      </c>
    </row>
    <row r="51">
      <c r="A51" s="8" t="n">
        <v>47</v>
      </c>
      <c r="B51" s="18" t="inlineStr">
        <is>
          <t>6.13</t>
        </is>
      </c>
      <c r="C51" s="35">
        <f>Plan!C57</f>
        <v/>
      </c>
      <c r="D51" s="8" t="n">
        <v>6</v>
      </c>
      <c r="E51" s="16">
        <f>Plan!J57</f>
        <v/>
      </c>
      <c r="F51" s="16">
        <f>Plan!K57</f>
        <v/>
      </c>
      <c r="G51" s="8">
        <f>F51-E51</f>
        <v/>
      </c>
      <c r="H51" s="16">
        <f>Plan!I57</f>
        <v/>
      </c>
      <c r="I51" s="16">
        <f>Plan!O57</f>
        <v/>
      </c>
    </row>
    <row r="52">
      <c r="A52" s="8" t="n">
        <v>48</v>
      </c>
      <c r="B52" s="18" t="inlineStr">
        <is>
          <t>6.3</t>
        </is>
      </c>
      <c r="C52" s="35">
        <f>Plan!C47</f>
        <v/>
      </c>
      <c r="D52" s="8" t="n">
        <v>8</v>
      </c>
      <c r="E52" s="16">
        <f>Plan!J47</f>
        <v/>
      </c>
      <c r="F52" s="16">
        <f>Plan!K47</f>
        <v/>
      </c>
      <c r="G52" s="8">
        <f>F52-E52</f>
        <v/>
      </c>
      <c r="H52" s="16">
        <f>Plan!I47</f>
        <v/>
      </c>
      <c r="I52" s="16">
        <f>Plan!O47</f>
        <v/>
      </c>
    </row>
    <row r="53">
      <c r="A53" s="8" t="n">
        <v>49</v>
      </c>
      <c r="B53" s="18" t="inlineStr">
        <is>
          <t>6.2</t>
        </is>
      </c>
      <c r="C53" s="35">
        <f>Plan!C46</f>
        <v/>
      </c>
      <c r="D53" s="8" t="n">
        <v>7</v>
      </c>
      <c r="E53" s="16">
        <f>Plan!J46</f>
        <v/>
      </c>
      <c r="F53" s="16">
        <f>Plan!K46</f>
        <v/>
      </c>
      <c r="G53" s="8">
        <f>F53-E53</f>
        <v/>
      </c>
      <c r="H53" s="16">
        <f>Plan!I46</f>
        <v/>
      </c>
      <c r="I53" s="16">
        <f>Plan!O46</f>
        <v/>
      </c>
    </row>
    <row r="54">
      <c r="A54" s="8" t="n">
        <v>50</v>
      </c>
      <c r="B54" s="18" t="inlineStr">
        <is>
          <t>6.12</t>
        </is>
      </c>
      <c r="C54" s="35">
        <f>Plan!C56</f>
        <v/>
      </c>
      <c r="D54" s="8" t="n">
        <v>1</v>
      </c>
      <c r="E54" s="16">
        <f>Plan!J56</f>
        <v/>
      </c>
      <c r="F54" s="16">
        <f>Plan!K56</f>
        <v/>
      </c>
      <c r="G54" s="8">
        <f>F54-E54</f>
        <v/>
      </c>
      <c r="H54" s="16">
        <f>Plan!I56</f>
        <v/>
      </c>
      <c r="I54" s="16">
        <f>Plan!O56</f>
        <v/>
      </c>
    </row>
    <row r="55">
      <c r="A55" s="8" t="n">
        <v>51</v>
      </c>
      <c r="B55" s="18" t="inlineStr">
        <is>
          <t>6.5</t>
        </is>
      </c>
      <c r="C55" s="35">
        <f>Plan!C49</f>
        <v/>
      </c>
      <c r="D55" s="8" t="n">
        <v>5</v>
      </c>
      <c r="E55" s="16">
        <f>Plan!J49</f>
        <v/>
      </c>
      <c r="F55" s="16">
        <f>Plan!K49</f>
        <v/>
      </c>
      <c r="G55" s="8">
        <f>F55-E55</f>
        <v/>
      </c>
      <c r="H55" s="16">
        <f>Plan!I49</f>
        <v/>
      </c>
      <c r="I55" s="16">
        <f>Plan!O49</f>
        <v/>
      </c>
    </row>
    <row r="56">
      <c r="A56" s="8" t="n">
        <v>52</v>
      </c>
      <c r="B56" s="18" t="inlineStr">
        <is>
          <t>6.6</t>
        </is>
      </c>
      <c r="C56" s="35">
        <f>Plan!C50</f>
        <v/>
      </c>
      <c r="D56" s="8" t="n">
        <v>3</v>
      </c>
      <c r="E56" s="16">
        <f>Plan!J50</f>
        <v/>
      </c>
      <c r="F56" s="16">
        <f>Plan!K50</f>
        <v/>
      </c>
      <c r="G56" s="8">
        <f>F56-E56</f>
        <v/>
      </c>
      <c r="H56" s="16">
        <f>Plan!I50</f>
        <v/>
      </c>
      <c r="I56" s="16">
        <f>Plan!O50</f>
        <v/>
      </c>
    </row>
    <row r="57">
      <c r="A57" s="8" t="n">
        <v>53</v>
      </c>
      <c r="B57" s="18" t="inlineStr">
        <is>
          <t>6.7</t>
        </is>
      </c>
      <c r="C57" s="35">
        <f>Plan!C51</f>
        <v/>
      </c>
      <c r="D57" s="8" t="n">
        <v>1</v>
      </c>
      <c r="E57" s="16">
        <f>Plan!J51</f>
        <v/>
      </c>
      <c r="F57" s="16">
        <f>Plan!K51</f>
        <v/>
      </c>
      <c r="G57" s="8">
        <f>F57-E57</f>
        <v/>
      </c>
      <c r="H57" s="16">
        <f>Plan!I51</f>
        <v/>
      </c>
      <c r="I57" s="16">
        <f>Plan!O51</f>
        <v/>
      </c>
    </row>
    <row r="59">
      <c r="B59" s="3" t="inlineStr">
        <is>
          <t>Estadísticas de la cola</t>
        </is>
      </c>
    </row>
    <row r="60">
      <c r="B60" s="23" t="inlineStr">
        <is>
          <t>Fila</t>
        </is>
      </c>
      <c r="C60" s="23" t="inlineStr">
        <is>
          <t>Actividades</t>
        </is>
      </c>
      <c r="D60" s="23" t="inlineStr">
        <is>
          <t>Bloques ocupados</t>
        </is>
      </c>
      <c r="E60" s="23" t="inlineStr">
        <is>
          <t>Uso</t>
        </is>
      </c>
      <c r="F60" s="23" t="inlineStr">
        <is>
          <t>Espera promedio</t>
        </is>
      </c>
    </row>
    <row r="61">
      <c r="B61" s="18" t="inlineStr">
        <is>
          <t>A</t>
        </is>
      </c>
      <c r="C61" s="15">
        <f>COUNTIF($H$5:$H$57,B61)</f>
        <v/>
      </c>
      <c r="D61" s="15">
        <f>SUMIF(Plan!$I$5:$I$57,B61,Plan!$E$5:$E$57)</f>
        <v/>
      </c>
      <c r="E61" s="36">
        <f>IF(Resumen!$C$17=0,0,D61/Resumen!$C$17)</f>
        <v/>
      </c>
      <c r="F61" s="37">
        <f>IFERROR(AVERAGEIF($H$5:$H$57,B61,$G$5:$G$57),0)</f>
        <v/>
      </c>
    </row>
    <row r="62">
      <c r="B62" s="18" t="inlineStr">
        <is>
          <t>B</t>
        </is>
      </c>
      <c r="C62" s="15">
        <f>COUNTIF($H$5:$H$57,B62)</f>
        <v/>
      </c>
      <c r="D62" s="15">
        <f>SUMIF(Plan!$I$5:$I$57,B62,Plan!$E$5:$E$57)</f>
        <v/>
      </c>
      <c r="E62" s="36">
        <f>IF(Resumen!$C$17=0,0,D62/Resumen!$C$17)</f>
        <v/>
      </c>
      <c r="F62" s="37">
        <f>IFERROR(AVERAGEIF($H$5:$H$57,B62,$G$5:$G$57),0)</f>
        <v/>
      </c>
    </row>
    <row r="63">
      <c r="B63" s="18" t="inlineStr">
        <is>
          <t>A+B</t>
        </is>
      </c>
      <c r="C63" s="15">
        <f>COUNTIF($H$5:$H$57,B63)</f>
        <v/>
      </c>
      <c r="D63" s="15">
        <f>SUMIF(Plan!$I$5:$I$57,B63,Plan!$E$5:$E$57)</f>
        <v/>
      </c>
      <c r="E63" s="36">
        <f>IF(Resumen!$C$17=0,0,D63/Resumen!$C$17)</f>
        <v/>
      </c>
      <c r="F63" s="37">
        <f>IFERROR(AVERAGEIF($H$5:$H$57,B63,$G$5:$G$57),0)</f>
        <v/>
      </c>
    </row>
    <row r="64">
      <c r="B64" s="19" t="inlineStr">
        <is>
          <t>Total</t>
        </is>
      </c>
      <c r="C64" s="9">
        <f>SUM(C61:C63)</f>
        <v/>
      </c>
      <c r="F64" s="11">
        <f>AVERAGE($G$5:$G$57)</f>
        <v/>
      </c>
    </row>
  </sheetData>
  <conditionalFormatting sqref="I5:I57">
    <cfRule type="expression" priority="1" dxfId="1">
      <formula>$I5="Hecho"</formula>
    </cfRule>
    <cfRule type="expression" priority="2" dxfId="2">
      <formula>$I5="En curso"</formula>
    </cfRule>
    <cfRule type="expression" priority="3" dxfId="3">
      <formula>$I5="Pendiente"</formula>
    </cfRule>
    <cfRule type="expression" priority="4" dxfId="4">
      <formula>$I5="Bloqueado"</formula>
    </cfRule>
  </conditionalFormatting>
  <conditionalFormatting sqref="G5:G57">
    <cfRule type="expression" priority="5" dxfId="17">
      <formula>G5&gt;0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zoomScale="90"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58" customWidth="1" min="3" max="3"/>
    <col width="9" customWidth="1" min="4" max="4"/>
    <col width="9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</cols>
  <sheetData>
    <row r="1">
      <c r="A1" s="1" t="inlineStr">
        <is>
          <t>Propuesta original (31-ago-2026) — plan por semanas</t>
        </is>
      </c>
    </row>
    <row r="2">
      <c r="A2" s="2" t="inlineStr">
        <is>
          <t>Tal como se presentó: 6 fases en máximo 8 semanas, en secuencia. Sirve de referencia contra el plan optimizado.</t>
        </is>
      </c>
    </row>
    <row r="4">
      <c r="A4" s="14" t="inlineStr">
        <is>
          <t>Fase</t>
        </is>
      </c>
      <c r="B4" s="14" t="inlineStr">
        <is>
          <t>Nombre</t>
        </is>
      </c>
      <c r="C4" s="14" t="inlineStr">
        <is>
          <t>Qué se realiza</t>
        </is>
      </c>
      <c r="D4" s="14" t="inlineStr">
        <is>
          <t>Semana inicio</t>
        </is>
      </c>
      <c r="E4" s="14" t="inlineStr">
        <is>
          <t>Semana fin</t>
        </is>
      </c>
      <c r="F4" s="38" t="n">
        <v>1</v>
      </c>
      <c r="G4" s="38" t="n">
        <v>2</v>
      </c>
      <c r="H4" s="38" t="n">
        <v>3</v>
      </c>
      <c r="I4" s="38" t="n">
        <v>4</v>
      </c>
      <c r="J4" s="38" t="n">
        <v>5</v>
      </c>
      <c r="K4" s="38" t="n">
        <v>6</v>
      </c>
      <c r="L4" s="38" t="n">
        <v>7</v>
      </c>
      <c r="M4" s="38" t="n">
        <v>8</v>
      </c>
    </row>
    <row r="5" ht="30" customHeight="1">
      <c r="A5" s="18" t="n">
        <v>1</v>
      </c>
      <c r="B5" s="4" t="inlineStr">
        <is>
          <t>Diseño y arquitectura</t>
        </is>
      </c>
      <c r="C5" s="7" t="inlineStr">
        <is>
          <t>Wireframes, modelo de datos y definición del stack (Next.js, Supabase, Resend).</t>
        </is>
      </c>
      <c r="D5" s="39" t="n">
        <v>1</v>
      </c>
      <c r="E5" s="39" t="n">
        <v>2</v>
      </c>
      <c r="F5" s="4" t="n"/>
      <c r="G5" s="4" t="n"/>
      <c r="H5" s="4" t="n"/>
      <c r="I5" s="4" t="n"/>
      <c r="J5" s="4" t="n"/>
      <c r="K5" s="4" t="n"/>
      <c r="L5" s="4" t="n"/>
      <c r="M5" s="4" t="n"/>
    </row>
    <row r="6" ht="30" customHeight="1">
      <c r="A6" s="18" t="n">
        <v>2</v>
      </c>
      <c r="B6" s="4" t="inlineStr">
        <is>
          <t>Landing y autenticación</t>
        </is>
      </c>
      <c r="C6" s="7" t="inlineStr">
        <is>
          <t>Página pública (misión, visión, servicios) y sistema de registro e inicio de sesión.</t>
        </is>
      </c>
      <c r="D6" s="39" t="n">
        <v>2</v>
      </c>
      <c r="E6" s="39" t="n">
        <v>3</v>
      </c>
      <c r="F6" s="4" t="n"/>
      <c r="G6" s="4" t="n"/>
      <c r="H6" s="4" t="n"/>
      <c r="I6" s="4" t="n"/>
      <c r="J6" s="4" t="n"/>
      <c r="K6" s="4" t="n"/>
      <c r="L6" s="4" t="n"/>
      <c r="M6" s="4" t="n"/>
    </row>
    <row r="7" ht="30" customHeight="1">
      <c r="A7" s="18" t="n">
        <v>3</v>
      </c>
      <c r="B7" s="7" t="inlineStr">
        <is>
          <t>Flujo de solicitud de crédito</t>
        </is>
      </c>
      <c r="C7" s="7" t="inlineStr">
        <is>
          <t>Formulario de solicitud (50 %/100 %, monto según tope), envío y notificación por correo.</t>
        </is>
      </c>
      <c r="D7" s="39" t="n">
        <v>3</v>
      </c>
      <c r="E7" s="39" t="n">
        <v>5</v>
      </c>
      <c r="F7" s="4" t="n"/>
      <c r="G7" s="4" t="n"/>
      <c r="H7" s="4" t="n"/>
      <c r="I7" s="4" t="n"/>
      <c r="J7" s="4" t="n"/>
      <c r="K7" s="4" t="n"/>
      <c r="L7" s="4" t="n"/>
      <c r="M7" s="4" t="n"/>
    </row>
    <row r="8" ht="30" customHeight="1">
      <c r="A8" s="18" t="n">
        <v>4</v>
      </c>
      <c r="B8" s="4" t="inlineStr">
        <is>
          <t>Panel de administración</t>
        </is>
      </c>
      <c r="C8" s="7" t="inlineStr">
        <is>
          <t>Dashboard de solicitudes y asociados, aprobación/rechazo y notificación automática de resultado.</t>
        </is>
      </c>
      <c r="D8" s="39" t="n">
        <v>5</v>
      </c>
      <c r="E8" s="39" t="n">
        <v>6</v>
      </c>
      <c r="F8" s="4" t="n"/>
      <c r="G8" s="4" t="n"/>
      <c r="H8" s="4" t="n"/>
      <c r="I8" s="4" t="n"/>
      <c r="J8" s="4" t="n"/>
      <c r="K8" s="4" t="n"/>
      <c r="L8" s="4" t="n"/>
      <c r="M8" s="4" t="n"/>
    </row>
    <row r="9" ht="30" customHeight="1">
      <c r="A9" s="18" t="n">
        <v>5</v>
      </c>
      <c r="B9" s="4" t="inlineStr">
        <is>
          <t>Convenios y pulido</t>
        </is>
      </c>
      <c r="C9" s="7" t="inlineStr">
        <is>
          <t>Sección de empresas aliadas y ajustes visuales, incluido el diseño responsive para celular.</t>
        </is>
      </c>
      <c r="D9" s="39" t="n">
        <v>6</v>
      </c>
      <c r="E9" s="39" t="n">
        <v>7</v>
      </c>
      <c r="F9" s="4" t="n"/>
      <c r="G9" s="4" t="n"/>
      <c r="H9" s="4" t="n"/>
      <c r="I9" s="4" t="n"/>
      <c r="J9" s="4" t="n"/>
      <c r="K9" s="4" t="n"/>
      <c r="L9" s="4" t="n"/>
      <c r="M9" s="4" t="n"/>
    </row>
    <row r="10" ht="30" customHeight="1">
      <c r="A10" s="18" t="n">
        <v>6</v>
      </c>
      <c r="B10" s="4" t="inlineStr">
        <is>
          <t>Pruebas y lanzamiento</t>
        </is>
      </c>
      <c r="C10" s="7" t="inlineStr">
        <is>
          <t>Pruebas con usuarios reales, corrección de errores, capacitación y despliegue en producción.</t>
        </is>
      </c>
      <c r="D10" s="39" t="n">
        <v>7</v>
      </c>
      <c r="E10" s="39" t="n">
        <v>8</v>
      </c>
      <c r="F10" s="4" t="n"/>
      <c r="G10" s="4" t="n"/>
      <c r="H10" s="4" t="n"/>
      <c r="I10" s="4" t="n"/>
      <c r="J10" s="4" t="n"/>
      <c r="K10" s="4" t="n"/>
      <c r="L10" s="4" t="n"/>
      <c r="M10" s="4" t="n"/>
    </row>
    <row r="12">
      <c r="A12" s="3" t="inlineStr">
        <is>
          <t>Qué cambia en el plan optimizado</t>
        </is>
      </c>
    </row>
    <row r="13">
      <c r="A13" s="40" t="inlineStr">
        <is>
          <t>• Las 6 fases se partieron en actividades pequeñas (hoja Plan), cada una con un peso de 1 a 5.</t>
        </is>
      </c>
    </row>
    <row r="14">
      <c r="A14" s="40" t="inlineStr">
        <is>
          <t>• En vez de ir fase por fase, dos filas de trabajo toman actividades de una cola común: lo que no depende de otra cosa avanza en paralelo.</t>
        </is>
      </c>
    </row>
    <row r="15">
      <c r="A15" s="40" t="inlineStr">
        <is>
          <t>• Se agregaron actividades que surgieron en el desarrollo (Origen = «Agregado»): ingreso con código, afiliación, importación de asociados, política de datos.</t>
        </is>
      </c>
    </row>
    <row r="16">
      <c r="A16" s="40" t="inlineStr">
        <is>
          <t>• Las fechas no se usan: el tiempo se mide en bloques y semanas relativas.</t>
        </is>
      </c>
    </row>
  </sheetData>
  <conditionalFormatting sqref="F5:M10">
    <cfRule type="expression" priority="1" dxfId="9">
      <formula>AND(F$4&gt;=$D5,F$4&lt;=$E5)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zoomScale="9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9" customWidth="1" min="3" max="3"/>
    <col width="22" customWidth="1" min="4" max="4"/>
    <col width="60" customWidth="1" min="5" max="5"/>
    <col width="14" customWidth="1" min="6" max="6"/>
  </cols>
  <sheetData>
    <row r="1">
      <c r="A1" s="1" t="inlineStr">
        <is>
          <t>Escala de pesos (1 a 5)</t>
        </is>
      </c>
    </row>
    <row r="2">
      <c r="A2" s="2" t="inlineStr">
        <is>
          <t>El peso mide el esfuerzo de una actividad y define su largo en el Gantt.</t>
        </is>
      </c>
    </row>
    <row r="4">
      <c r="A4" s="14" t="inlineStr">
        <is>
          <t>Peso</t>
        </is>
      </c>
      <c r="B4" s="14" t="inlineStr">
        <is>
          <t>Nivel</t>
        </is>
      </c>
      <c r="C4" s="14" t="inlineStr">
        <is>
          <t>Bloques</t>
        </is>
      </c>
      <c r="D4" s="14" t="inlineStr">
        <is>
          <t>Equivale a</t>
        </is>
      </c>
      <c r="E4" s="14" t="inlineStr">
        <is>
          <t>Ejemplo del proyecto</t>
        </is>
      </c>
      <c r="F4" s="14" t="inlineStr">
        <is>
          <t>Actividades con este peso</t>
        </is>
      </c>
    </row>
    <row r="5">
      <c r="A5" s="18" t="n">
        <v>1</v>
      </c>
      <c r="B5" s="4" t="inlineStr">
        <is>
          <t>Muy baja</t>
        </is>
      </c>
      <c r="C5" s="8" t="n">
        <v>1</v>
      </c>
      <c r="D5" s="4" t="inlineStr">
        <is>
          <t>Media jornada</t>
        </is>
      </c>
      <c r="E5" s="7" t="inlineStr">
        <is>
          <t>Borrar /login y /dashboard; capacitación</t>
        </is>
      </c>
      <c r="F5" s="15">
        <f>COUNTIF(Plan!$D$5:$D$57,A5)</f>
        <v/>
      </c>
    </row>
    <row r="6">
      <c r="A6" s="18" t="n">
        <v>2</v>
      </c>
      <c r="B6" s="4" t="inlineStr">
        <is>
          <t>Baja</t>
        </is>
      </c>
      <c r="C6" s="8" t="n">
        <v>2</v>
      </c>
      <c r="D6" s="4" t="inlineStr">
        <is>
          <t>1 jornada</t>
        </is>
      </c>
      <c r="E6" s="7" t="inlineStr">
        <is>
          <t>SMTP con Resend; proteger /cuenta en proxy.ts</t>
        </is>
      </c>
      <c r="F6" s="15">
        <f>COUNTIF(Plan!$D$5:$D$57,A6)</f>
        <v/>
      </c>
    </row>
    <row r="7">
      <c r="A7" s="18" t="n">
        <v>3</v>
      </c>
      <c r="B7" s="4" t="inlineStr">
        <is>
          <t>Media</t>
        </is>
      </c>
      <c r="C7" s="8" t="n">
        <v>3</v>
      </c>
      <c r="D7" s="4" t="inlineStr">
        <is>
          <t>1,5 jornadas</t>
        </is>
      </c>
      <c r="E7" s="7" t="inlineStr">
        <is>
          <t>Verificación del código OTP; /cuenta con datos reales</t>
        </is>
      </c>
      <c r="F7" s="15">
        <f>COUNTIF(Plan!$D$5:$D$57,A7)</f>
        <v/>
      </c>
    </row>
    <row r="8">
      <c r="A8" s="18" t="n">
        <v>4</v>
      </c>
      <c r="B8" s="4" t="inlineStr">
        <is>
          <t>Alta</t>
        </is>
      </c>
      <c r="C8" s="8" t="n">
        <v>4</v>
      </c>
      <c r="D8" s="4" t="inlineStr">
        <is>
          <t>2 jornadas</t>
        </is>
      </c>
      <c r="E8" s="7" t="inlineStr">
        <is>
          <t>Panel /admin; afiliación con Resend; importar asociados</t>
        </is>
      </c>
      <c r="F8" s="15">
        <f>COUNTIF(Plan!$D$5:$D$57,A8)</f>
        <v/>
      </c>
    </row>
    <row r="9">
      <c r="A9" s="18" t="n">
        <v>5</v>
      </c>
      <c r="B9" s="4" t="inlineStr">
        <is>
          <t>Muy alta</t>
        </is>
      </c>
      <c r="C9" s="8" t="n">
        <v>5</v>
      </c>
      <c r="D9" s="4" t="inlineStr">
        <is>
          <t>2,5 jornadas o más</t>
        </is>
      </c>
      <c r="E9" s="7" t="inlineStr">
        <is>
          <t>Reservado para trabajos que conviene partir en dos</t>
        </is>
      </c>
      <c r="F9" s="15">
        <f>COUNTIF(Plan!$D$5:$D$57,A9)</f>
        <v/>
      </c>
    </row>
    <row r="11">
      <c r="A11" s="3" t="inlineStr">
        <is>
          <t>Reglas de simultaneidad</t>
        </is>
      </c>
    </row>
    <row r="12">
      <c r="A12" s="40" t="inlineStr">
        <is>
          <t>• Dos actividades pueden ir al mismo tiempo si ninguna depende (directa o indirectamente) de la otra.</t>
        </is>
      </c>
    </row>
    <row r="13">
      <c r="A13" s="40" t="inlineStr">
        <is>
          <t>• Hay 2 filas de trabajo: como máximo 2 actividades a la vez. Las demás esperan en la cola, que no tiene límite.</t>
        </is>
      </c>
    </row>
    <row r="14">
      <c r="A14" s="40" t="inlineStr">
        <is>
          <t>• «Simultánea: No» significa que la actividad ocupa las 2 filas (p. ej. el despliegue a producción).</t>
        </is>
      </c>
    </row>
    <row r="15">
      <c r="A15" s="40" t="inlineStr">
        <is>
          <t>• La equivalencia en jornadas se ajusta en Resumen → Bloques por semana.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6" customWidth="1" min="3" max="3"/>
    <col width="40" customWidth="1" min="4" max="4"/>
    <col width="80" customWidth="1" min="5" max="5"/>
  </cols>
  <sheetData>
    <row r="1">
      <c r="A1" s="1" t="inlineStr">
        <is>
          <t>Bitácora de avances</t>
        </is>
      </c>
    </row>
    <row r="2">
      <c r="A2" s="2" t="inlineStr">
        <is>
          <t>Cada reporte de un agente que el supervisor aplicó al plan.</t>
        </is>
      </c>
    </row>
    <row r="4">
      <c r="A4" s="14" t="inlineStr">
        <is>
          <t>Fecha</t>
        </is>
      </c>
      <c r="B4" s="14" t="inlineStr">
        <is>
          <t>Agente</t>
        </is>
      </c>
      <c r="C4" s="14" t="inlineStr">
        <is>
          <t>Actividades</t>
        </is>
      </c>
      <c r="D4" s="14" t="inlineStr">
        <is>
          <t>Cambio</t>
        </is>
      </c>
      <c r="E4" s="14" t="inlineStr">
        <is>
          <t>Detalle</t>
        </is>
      </c>
    </row>
    <row r="5">
      <c r="A5" s="8" t="inlineStr">
        <is>
          <t>2026-09-24</t>
        </is>
      </c>
      <c r="B5" s="7" t="inlineStr">
        <is>
          <t>Sebas (coordinación con la cooperativa)</t>
        </is>
      </c>
      <c r="C5" s="8" t="inlineStr">
        <is>
          <t>5.3; P-10, P-11, P-12, P-17, P-18, P-38, P-44</t>
        </is>
      </c>
      <c r="D5" s="7" t="inlineStr">
        <is>
          <t>Datos reales de contacto entregados; se cancela la importación de Excel; 3 admins reales en producción</t>
        </is>
      </c>
      <c r="E5" s="7" t="inlineStr">
        <is>
          <t>La cooperativa entregó WhatsApp (311 724 1942), correo de soporte (soporte@greenallianceco.com) y tiempo de respuesta («4 horas o menos»): P-10, P-11, P-12 y P-17 pasan a Hecho; 5.3 actualiza su bloqueo (quedan pendientes texto de vigilancia Supersolidaria, fotos/cifras/testimonios, nombres de los grados y estado de desembolso). Decisión de la cooperativa: no habrá importación de Excel de asociados (la afiliación v2 + aprobación en /admin la reemplaza); P-18 y P-38 pasan a Hecho como «ya no aplica», y 4.4 se cierra igual con nota de cancelación. Ya hay 3 administradores reales en producción (Ricardo, Abogados Prieto y Sebas); la cuenta de prueba «Test QA» (1099887766) sigue siendo admin y hay que borrarla (P-62). Nuevos pendientes de alta prioridad para Sebas: aplicar las 9 migraciones de fase 2 y desplegar (P-59), corregir SUPABASE_SERVICE_ROLE_KEY en Vercel (P-60), crear las plantillas en Resend (P-61), borrar Test QA (P-62), preguntas abiertas a la cooperativa (P-63) y abrir el PR de develop a main (P-64); P-44 actualizado con las variables nuevas (SITIO_URL, RESEND_TEMPLATE_SORTEO_BOLETA).</t>
        </is>
      </c>
    </row>
    <row r="6">
      <c r="A6" s="8" t="inlineStr">
        <is>
          <t>2026-09-24</t>
        </is>
      </c>
      <c r="B6" s="4" t="inlineStr">
        <is>
          <t>ga-funcionalidad-botones</t>
        </is>
      </c>
      <c r="C6" s="8" t="inlineStr">
        <is>
          <t>2.12, 4.1, 4.2, 4.5, 4.6, 6.2; P-36, P-37</t>
        </is>
      </c>
      <c r="D6" s="7" t="inlineStr">
        <is>
          <t>Afiliación v2, panel /admin y correcciones de la auditoría y la revisión de seguridad (F2-01/F2-04, S-01 a S-14)</t>
        </is>
      </c>
      <c r="E6" s="7" t="inlineStr">
        <is>
          <t>Según la coordinación del 24-sep y los commits 235ffbe (afiliación v2 con fotos, panel /admin, vista del asesor y sorteo) y a13c2de (arreglos de auditoría y seguridad), en rama develop, sin tocar producción: formulario de afiliación v2 completo (nombres/apellidos, institución con correo institucional, Nequi, asesor, 3 fotos con subida al bucket privado) y panel /admin (listado de solicitudes y afiliaciones, aprobar/rechazar con motivo, correo «Ingreso aceptado»). Correcciones: (1) F2-01/S-01 boleta oculta, migraciones 000600/000700/000800 aplicadas en local y pasadas a RPC (mi_boleta_sorteo, boletas_confirmadas_sorteo), «Reenviar mi boleta» con tope 3/día; (2) fotos comprimidas a JPEG ≤1600px y bodySizeLimit 3mb; (3) magic bytes para validar el tipo real de la foto; (4) número de boleta fuera de los logs en producción, variables de Resend obligatorias en el build; (5) se quitó `workflow` (0 vulnerabilidades altas); (6) update de solicitudes_credito filtra por estado pendiente; (7) SITIO_URL para el correo «Ingreso aceptado»; (8) participarSorteo exige rol asociado; (9) cabeceras Strict-Transport-Security y Permissions-Policy; (10) vista previa /cuenta?sorteo=demo solo fuera de producción; (11) S-06 respuesta idéntica para cédula duplicada en afiliación, sin filtrar si ya existe. Verificación: tsc, eslint, build y test:unit (307/307) sin errores; playwright k-roles (4/4). 4.1, 4.2, 4.5 pasan a Hecho (panel /admin probado). Pendiente: tests/e2e/d-afiliacion.spec.ts desactualizado (ver P-58); variables nuevas de Vercel (ver P-59 a P-61).</t>
        </is>
      </c>
    </row>
    <row r="7">
      <c r="A7" s="8" t="inlineStr">
        <is>
          <t>2026-09-24</t>
        </is>
      </c>
      <c r="B7" s="4" t="inlineStr">
        <is>
          <t>ga-revisor-seguridad</t>
        </is>
      </c>
      <c r="C7" s="8" t="inlineStr">
        <is>
          <t>6.2</t>
        </is>
      </c>
      <c r="D7" s="7" t="inlineStr">
        <is>
          <t>Revisión de seguridad de fase 2: 3 bloqueos para el despliegue</t>
        </is>
      </c>
      <c r="E7" s="7" t="inlineStr">
        <is>
          <t>Diff 4545c0e..235ffbe (/admin, /asesor, /afiliacion v2, sorteo, proxy, ingreso por rol, cabeceras, llaves). Sin secretos expuestos, open redirect ni bypass de rol; /admin y /asesor verifican el rol en el servidor antes de usar service role. Bloquean el despliegue: (1) F2-01 boleta legible por API REST (ya reportado por ga-auditor-supabase); (2) la autorización de datos sensibles enlaza a una política de datos todavía placeholder; (3) el límite de 1 MB de las Server Actions tumba el envío de las 3 fotos. 6.2 sigue En curso (pasa a depender también de 2.12, 3.9 y 4.6): la mayoría de estos hallazgos ya se corrigieron en el siguiente reporte, falta el visto bueno final. Nuevo pendiente P-65 (si admin o asesor pueden participar en el sorteo).</t>
        </is>
      </c>
    </row>
    <row r="8">
      <c r="A8" s="8" t="inlineStr">
        <is>
          <t>2026-09-24</t>
        </is>
      </c>
      <c r="B8" s="4" t="inlineStr">
        <is>
          <t>ga-auditor-supabase</t>
        </is>
      </c>
      <c r="C8" s="8" t="inlineStr">
        <is>
          <t>1.6</t>
        </is>
      </c>
      <c r="D8" s="7" t="inlineStr">
        <is>
          <t>Auditoría de las 6 migraciones de fase 2: 1 hallazgo alto, 3 migraciones correctivas propuestas</t>
        </is>
      </c>
      <c r="E8" s="7" t="inlineStr">
        <is>
          <t>Auditoría de solo lectura contra el repo y Supabase local (203/203 pgTAP). Sin nada crítico. Hallazgo alto: el asociado podía leer el número de su boleta del sorteo por la API REST antes de confirmarlo. 3 migraciones nuevas propuestas sin aplicar: 000600 (oculta el número y corrige las carreras del sorteo), 000700 (el asesor degradado deja de ver a sus clientes), 000800 (trigger que sincroniza cédula y grado desde app_metadata). Reporte: docs/auditorias/2026-09-24-fase-2.md. Nueva actividad 1.6 (peso 3, depende de 1.5).</t>
        </is>
      </c>
    </row>
    <row r="9">
      <c r="A9" s="8" t="inlineStr">
        <is>
          <t>2026-09-24</t>
        </is>
      </c>
      <c r="B9" s="4" t="inlineStr">
        <is>
          <t>ga-funcionalidad-botones</t>
        </is>
      </c>
      <c r="C9" s="8" t="inlineStr">
        <is>
          <t>3.9</t>
        </is>
      </c>
      <c r="D9" s="7" t="inlineStr">
        <is>
          <t>Sorteo mensual en /cuenta</t>
        </is>
      </c>
      <c r="E9" s="7" t="inlineStr">
        <is>
          <t>Botón «Sorteo del mes» y modal en /cuenta (components/sorteo/SorteoDelMes.tsx): participar (RPC participar_sorteo, correo con el número por Resend), confirmar (RPC confirmar_boleta_sorteo, tope 5 intentos) y celebración con confeti (respeta prefers-reduced-motion). El número de boleta nunca sale del servidor antes de confirmar. 31 pruebas unitarias nuevas; docs/mapa-de-botones.md §4 y .env.example (RESEND_TEMPLATE_SORTEO_BOLETA) actualizados. tsc, eslint y build sin errores nuevos. No se pudo probar el flujo feliz completo en vivo (24-sep está fuera de la ventana 1–5); cubierto con pruebas unitarias y revisión de código. Nueva actividad 3.9 (peso 4, depende de 3.5 y 1.5). Pendiente: aprobar la plantilla ga-sorteo-boleta en Resend (ver P-61).</t>
        </is>
      </c>
    </row>
    <row r="10">
      <c r="A10" s="8" t="inlineStr">
        <is>
          <t>2026-09-24</t>
        </is>
      </c>
      <c r="B10" s="4" t="inlineStr">
        <is>
          <t>ga-funcionalidad-botones</t>
        </is>
      </c>
      <c r="C10" s="8" t="inlineStr">
        <is>
          <t>4.6; P-57</t>
        </is>
      </c>
      <c r="D10" s="7" t="inlineStr">
        <is>
          <t>Rol asesor: /asesor (mis clientes) y /asesor/demo</t>
        </is>
      </c>
      <c r="E10" s="7" t="inlineStr">
        <is>
          <t>/asesor («Mis clientes», buscador y filtro por estado sobre resumen_clientes_asesor()) y /asesor/demo (cuenta fantasma que no escribe nada), ambas con guardia de rol propia en el servidor; 26 pruebas unitarias nuevas; docs/mapa-de-botones.md actualizado (§7, §7b). Verificado contra Supabase local con el asesor de prueba (cédula 1234567892). Nueva actividad 4.6 (peso 3, depende de 1.5). Pendiente nuevo P-57: agregar /asesor al matcher de proxy.ts y redirigir por rol tras login.</t>
        </is>
      </c>
    </row>
    <row r="11">
      <c r="A11" s="8" t="inlineStr">
        <is>
          <t>2026-09-24</t>
        </is>
      </c>
      <c r="B11" s="4" t="inlineStr">
        <is>
          <t>ga-auditor-supabase</t>
        </is>
      </c>
      <c r="C11" s="8" t="inlineStr">
        <is>
          <t>1.5; P-63</t>
        </is>
      </c>
      <c r="D11" s="7" t="inlineStr">
        <is>
          <t>Modelo de datos de fase 2: rol asesor, afiliación v2, bucket de fotos y sorteo mensual</t>
        </is>
      </c>
      <c r="E11" s="7" t="inlineStr">
        <is>
          <t>6 migraciones nuevas probadas contra Supabase local (no aplicadas a producción): enum 'asesor', perfiles.asesor_id con validaciones, solicitudes_afiliacion v2 (nombres/apellidos, institución + correo institucional, Nequi, asesor_id, 3 fotos obligatorias), obtener_asesores_publico()/resumen_clientes_asesor() (SECURITY DEFINER), bucket privado afiliacion-documentos (5 MB, sin políticas de storage.objects, todo por service_role + URL firmada) y sorteo mensual (boletas_sorteo, participar_sorteo(), confirmar_boleta_sorteo(), ventana 1–5 hora Bogotá, tope 5 intentos). seed.sql actualizado; 4 archivos pgTAP nuevos y 2 ajustados; docs/spec-fase-2.md nuevo. Verificado: supabase db reset + supabase test db (203/203) + test:unit (163/163) + tsc sin errores. Nueva actividad 1.5 (peso 5, depende de 1.2). Pendientes abiertos para la cooperativa recogidos en P-63.</t>
        </is>
      </c>
    </row>
    <row r="12">
      <c r="A12" s="8" t="inlineStr">
        <is>
          <t>2026-09-23</t>
        </is>
      </c>
      <c r="B12" s="7" t="inlineStr">
        <is>
          <t>ga-funcionalidad-botones + ga-diseno-a-codigo</t>
        </is>
      </c>
      <c r="C12" s="8" t="inlineStr">
        <is>
          <t>6.3</t>
        </is>
      </c>
      <c r="D12" s="7" t="inlineStr">
        <is>
          <t>Corregidos F-01 a F-08 de verificación 3 y los 8 hallazgos responsive</t>
        </is>
      </c>
      <c r="E12" s="7" t="inlineStr">
        <is>
          <t>ga-funcionalidad-botones: F-01 (correo enmascarado ya no delata la cédula, también oculta el dominio), F-02 (tope de intentos al verificar código: 5 por cédula y 30 por IP cada 15 min), F-05 (cabeceras X-Frame-Options, CSP frame-ancestors, Referrer-Policy, X-Content-Type-Options), F-06 (monto múltiplo de $50.000) y F-08 (código pegado durante «Reenviar» ya no se borra); documentó O-01 (x-forwarded-for solo confiable detrás de Vercel, ver P-49). ga-diseno-a-codigo: los 8 hallazgos responsive (tarjetas 50/100 %, deslizador, «Reenviar código», header /cuenta, hero y landing 1024–1150, /afiliacion y /cuenta 640–1023, hueco /afiliacion/enviada en tableta) y F-03/F-04/F-07 (Cerrar sesión en celular, 404 en español, hueco de tableta); nueva app/not-found.tsx. Todo terminó en el commit bf09975→4545c0e (arreglos de QA). Pendiente: tests/e2e con el formato viejo de máscara y dominios (ver P-58); confirmar con la cooperativa que solo hay 3 dominios institucionales (ver P-63); hallazgo #7 (grid de /afiliacion a 1024 px) quedó pendiente para la tanda que reescribiera Afiliacion.tsx, ya superado por la afiliación v2 (2.12).</t>
        </is>
      </c>
    </row>
    <row r="13">
      <c r="A13" s="8" t="inlineStr">
        <is>
          <t>2026-09-23</t>
        </is>
      </c>
      <c r="B13" s="7" t="inlineStr">
        <is>
          <t>ga-verificador-responsive + ga-verificador-qa</t>
        </is>
      </c>
      <c r="C13" s="8" t="inlineStr">
        <is>
          <t>6.3; P-39</t>
        </is>
      </c>
      <c r="D13" s="7" t="inlineStr">
        <is>
          <t>Responsive 3 (8 hallazgos menores) y QA E2E 3 (236/241, NO APROBADO)</t>
        </is>
      </c>
      <c r="E13" s="7" t="inlineStr">
        <is>
          <t>Responsive: 8 rutas × 9 anchos (360–1440) contra develop bf09975, 0 críticos y 8 menores (docs/verificaciones/responsive-2026-09-23/). QA: Supabase local, 236 pasan y 5 fallan; unitarias (140), pgTAP (143), tsc y eslint sin errores; docs/verificaciones/2026-09-23-verificacion-3.md. Bloqueaban producción: F-01 crítica (el dominio del correo enmascarado delataba si la cédula existe) y F-02 alta (sin tope de intentos al verificar el código); además contenido pendiente de la cooperativa, política de datos vacía, configuración de producción por revisar (SMTP/Resend, P-45, secretos en Vercel, P-43, P-09), F-03/F-04 (diseño), F-05 (cabeceras anti-clickjacking) y F-06 a F-08 bajas.</t>
        </is>
      </c>
    </row>
    <row r="14">
      <c r="A14" s="8" t="inlineStr">
        <is>
          <t>2026-09-23</t>
        </is>
      </c>
      <c r="B14" s="4" t="inlineStr">
        <is>
          <t>ga-verificador-responsive</t>
        </is>
      </c>
      <c r="C14" s="8" t="inlineStr">
        <is>
          <t>6.3, 5.2, 5.8; P-39, P-53</t>
        </is>
      </c>
      <c r="D14" s="7" t="inlineStr">
        <is>
          <t>Verificación responsive 2: 0 fallas en 13 anchos; tests/responsive 10/10</t>
        </is>
      </c>
      <c r="E14" s="7" t="inlineStr">
        <is>
          <t>Sin scroll horizontal en /, /ingresar, /ingresar/codigo, /afiliacion, /politica-de-datos, /cuenta y /cuenta/solicitar (con cookie y sesión reales) de 320 a 1920 px. P-39 pasa a Hecho (QA y responsive corridas); 6.3 sigue En curso porque depende de trabajo sin terminar. Menor y opcional: P-53 («COOPERATIVA» del logo a 320 px ~5 px de alto).</t>
        </is>
      </c>
    </row>
    <row r="15">
      <c r="A15" s="8" t="inlineStr">
        <is>
          <t>2026-09-23</t>
        </is>
      </c>
      <c r="B15" s="4" t="inlineStr">
        <is>
          <t>ga-funcionalidad-botones</t>
        </is>
      </c>
      <c r="C15" s="8" t="inlineStr">
        <is>
          <t>3.7, 5.5, 5.6, 6.9, 6.11; P-35, P-40, P-44, P-56</t>
        </is>
      </c>
      <c r="D15" s="7" t="inlineStr">
        <is>
          <t>HMAC en el límite de intentos, crédito en /cuenta/solicitar y borradas /login y /dashboard</t>
        </is>
      </c>
      <c r="E15" s="7" t="inlineStr">
        <is>
          <t>Nueva actividad 6.11 (Hecho, peso 1): clave del límite con HMAC-SHA256 y LIMITE_HMAC_SECRET (sin el secreto el build falla). Formulario de crédito movido a /cuenta/solicitar con EncabezadoCuenta; 5.5 y P-40 pasan a Hecho. 6.9 y P-44 suman LIMITE_HMAC_SECRET y 6.9 depende de 6.11. Pruebas: 140/140 unitarias, 143/143 base, tsc, lint y build limpios. Trabajo nuevo: 5.6 revisar el diseño de /cuenta/solicitar (ga-diseno-a-codigo, peso 1) con P-56; 6.3 pasa a depender de 5.6.</t>
        </is>
      </c>
    </row>
    <row r="16">
      <c r="A16" s="8" t="inlineStr">
        <is>
          <t>2026-09-23</t>
        </is>
      </c>
      <c r="B16" s="4" t="inlineStr">
        <is>
          <t>ga-diseno-a-codigo</t>
        </is>
      </c>
      <c r="C16" s="8" t="inlineStr">
        <is>
          <t>5.2, 5.8, 6.3</t>
        </is>
      </c>
      <c r="D16" s="7" t="inlineStr">
        <is>
          <t>Corregido el scroll horizontal y marca de agua más tenue</t>
        </is>
      </c>
      <c r="E16" s="7" t="inlineStr">
        <is>
          <t>Enlace del logo encoge (min-w-0 shrink) en los 5 headers; formulario de ingreso w-full con máximo 440 px y relleno de 32 px entre 1024 y 1279 px; marca de agua del hero en la esquina contraria y más tenue. 5.8 queda Hecho (peso 1, depende de 5.2 y 5.7).</t>
        </is>
      </c>
    </row>
    <row r="17">
      <c r="A17" s="8" t="inlineStr">
        <is>
          <t>2026-09-23</t>
        </is>
      </c>
      <c r="B17" s="4" t="inlineStr">
        <is>
          <t>ga-verificador-responsive</t>
        </is>
      </c>
      <c r="C17" s="8" t="inlineStr">
        <is>
          <t>6.3, 5.2, 2.1, 5.8; P-39</t>
        </is>
      </c>
      <c r="D17" s="7" t="inlineStr">
        <is>
          <t>Verificación responsive 1: logo y fotos bien; 2 fallas críticas de scroll previas</t>
        </is>
      </c>
      <c r="E17" s="7" t="inlineStr">
        <is>
          <t>Playwright en 10 anchos (320–1920 px) sobre 7 rutas. Logo nítido y proporcionado en dark y light; fotos decorativas correctas. Fallas: landing a 320 px («Ingresar» cortado, enlace del logo fijo en 240 px) y /ingresar y /ingresar/codigo entre 1024 y 1075 px (540 + 440 + padding = 1076 px). Se abre 5.8 para corregirlas.</t>
        </is>
      </c>
    </row>
    <row r="18">
      <c r="A18" s="8" t="inlineStr">
        <is>
          <t>2026-09-23</t>
        </is>
      </c>
      <c r="B18" s="4" t="inlineStr">
        <is>
          <t>ga-diseno-a-codigo</t>
        </is>
      </c>
      <c r="C18" s="8" t="inlineStr">
        <is>
          <t>2.1, 5.3, 5.7; P-16, P-52</t>
        </is>
      </c>
      <c r="D18" s="7" t="inlineStr">
        <is>
          <t>Logo con letras oficiales en SVG y espacios de foto de marca en la landing</t>
        </is>
      </c>
      <c r="E18" s="7" t="inlineStr">
        <is>
          <t>green-alliance-wordmark.svg (y versión blanca) reemplaza Montserrat; EspacioFoto con degradado, patrón, isotipo e ilustración, listo para recibir { src, alt }. Mapa de botones revisado contra el diseño (2.2, 2.3, 3.4): todo existe y está bien ubicado. Nueva actividad 5.7 (Hecho, peso 2, depende de 2.1). 5.3 sigue Bloqueado; P-16 sigue Pendiente (fotos reales de la cooperativa). P-52 (actualizar el mapa: §4 «Nueva solicitud» → /cuenta/solicitar y documentar esa ruta) se registra como Hecho: el documento ya lo tiene tras el cambio de ga-funcionalidad-botones.</t>
        </is>
      </c>
    </row>
    <row r="19">
      <c r="A19" s="8" t="inlineStr">
        <is>
          <t>2026-09-23</t>
        </is>
      </c>
      <c r="B19" s="4" t="inlineStr">
        <is>
          <t>ga-auditor-supabase</t>
        </is>
      </c>
      <c r="C19" s="8" t="inlineStr">
        <is>
          <t>6.8, 6.11, 6.12; P-43, P-54, P-55</t>
        </is>
      </c>
      <c r="D19" s="7" t="inlineStr">
        <is>
          <t>Migración limite_de_intentos auditada: se puede aplicar tal cual</t>
        </is>
      </c>
      <c r="E19" s="7" t="inlineStr">
        <is>
          <t>Auditoría de solo lectura contra producción, sin críticos ni altos (docs/auditorias/2026-09-23-limite-de-intentos.md). 6.8 pasa a En curso (revisión hecha, falta que Sebas haga db push antes de 6.5); P-43 sigue Pendiente con nota. Trabajo nuevo: hash HMAC de la clave (queda en 6.11, ver reporte de ga-funcionalidad-botones), 6.12 alerta en logs de Vercel (peso 1) con P-54, y P-55 opcional (revocar limites_intentos_id_seq a anon y authenticated).</t>
        </is>
      </c>
    </row>
    <row r="20">
      <c r="A20" s="8" t="inlineStr">
        <is>
          <t>2026-09-23</t>
        </is>
      </c>
      <c r="B20" s="7" t="inlineStr">
        <is>
          <t>Sebas + ga-auditor-supabase</t>
        </is>
      </c>
      <c r="C20" s="8" t="inlineStr">
        <is>
          <t>2.4, 6.8, 6.10; P-09, P-19, P-20, P-43, P-45</t>
        </is>
      </c>
      <c r="D20" s="7" t="inlineStr">
        <is>
          <t>SMTP de Resend configurado, plantilla del código lista en local y blindar confirmada en producción</t>
        </is>
      </c>
      <c r="E20" s="7" t="inlineStr">
        <is>
          <t>P-19 Hecho (Sebas configuró el SMTP). P-20 sigue En curso: supabase/templates/codigo-ingreso.html rediseñada con la marca y probada en Mailpit; falta pegarla en Magic Link del panel. P-45 sin confirmar, sin cambios; por eso 2.4 sigue En curso. list_migrations confirma que producción ya tiene 20260923173355_blindar_solicitudes_y_revisiones: 6.10 y P-09 pasan a Hecho (el reporte anterior de atraso estaba equivocado). Falta en producción 20260923210000_limite_de_intentos (limites_intentos y registrar_intento, usadas por dentroDelLimite en /afiliacion, /ingresar y «Reenviar código»): ya existía como 6.8 / P-43 y 6.5 ya dependía de 6.8; se actualizan responsable (Sebas, revisa ga-auditor-supabase) y nota en vez de duplicar.</t>
        </is>
      </c>
    </row>
    <row r="21">
      <c r="A21" s="8" t="inlineStr">
        <is>
          <t>2026-09-23</t>
        </is>
      </c>
      <c r="B21" s="4" t="inlineStr">
        <is>
          <t>Sebas</t>
        </is>
      </c>
      <c r="C21" s="8" t="inlineStr">
        <is>
          <t>—</t>
        </is>
      </c>
      <c r="D21" s="7" t="inlineStr">
        <is>
          <t>Agente ga-auditor-supabase corregido</t>
        </is>
      </c>
      <c r="E21" s="7" t="inlineStr">
        <is>
          <t>Sus disallowedTools ahora usan los nombres reales del MCP (mcp__claude_ai_Supabase__*). Sin efecto en el plan.</t>
        </is>
      </c>
    </row>
    <row r="22">
      <c r="A22" s="8" t="inlineStr">
        <is>
          <t>2026-09-23</t>
        </is>
      </c>
      <c r="B22" s="7" t="inlineStr">
        <is>
          <t>Sebas + ga-auditor-supabase</t>
        </is>
      </c>
      <c r="C22" s="8" t="inlineStr">
        <is>
          <t>3.1, 6.5, 6.10; P-09</t>
        </is>
      </c>
      <c r="D22" s="7" t="inlineStr">
        <is>
          <t>Producción atrasada: falta la migración blindar_solicitudes_y_revisiones</t>
        </is>
      </c>
      <c r="E22" s="7" t="inlineStr">
        <is>
          <t>PagGreenAlliance tiene 10 migraciones hasta 20260923123937_fecha_solicitud_en_servidor; le falta blindar_solicitudes_y_revisiones (en el repo es 20260923173355; el reporte la nombra 20260923160000) y la app lee tasa_interes_mensual, que en producción no existe. P-09 estaba Hecho por error: se reabre como Pendiente Alta (Sebas aplica, ga-auditor-supabase revisa antes). 3.1 se deja Hecho (el trabajo en la base está hecho y tiene hechas que dependen de él) pero se quita «y migración a producción» de su texto; nueva actividad 6.10 (peso 1, depende de 3.1) para aplicarla, y 6.5 (despliegue) pasa a depender de 6.10.</t>
        </is>
      </c>
    </row>
    <row r="23">
      <c r="A23" s="8" t="inlineStr">
        <is>
          <t>2026-09-23</t>
        </is>
      </c>
      <c r="B23" s="4" t="inlineStr">
        <is>
          <t>ga-escritor-tests</t>
        </is>
      </c>
      <c r="C23" s="8" t="inlineStr">
        <is>
          <t>6.1</t>
        </is>
      </c>
      <c r="D23" s="7" t="inlineStr">
        <is>
          <t>132/132 unitarias, 131/131 pgTAP y tsc sin errores</t>
        </is>
      </c>
      <c r="E23" s="7" t="inlineStr">
        <is>
          <t>Corridas con Node v24 y Supabase local en Docker. Se agregaron supabase/seed.sql con asociados de prueba y .env.development.local para que npm run dev use Supabase local en vez de producción. 6.1 sigue En curso: faltan las pruebas de las acciones de admin (4.3, 4.5).</t>
        </is>
      </c>
    </row>
    <row r="24">
      <c r="A24" s="8" t="inlineStr">
        <is>
          <t>2026-09-23</t>
        </is>
      </c>
      <c r="B24" s="7" t="inlineStr">
        <is>
          <t>Sebas + ga-funcionalidad-botones</t>
        </is>
      </c>
      <c r="C24" s="8" t="inlineStr">
        <is>
          <t>2.9, 3.8, 4.5, 6.1, 6.2, 6.9; P-19, P-20, P-28, P-36, P-37, P-44, P-45, P-50, P-51</t>
        </is>
      </c>
      <c r="D24" s="7" t="inlineStr">
        <is>
          <t>Se quitan del código los correos de aviso de afiliación y de solicitud de crédito; docs/resend-plantillas.md reescrito</t>
        </is>
      </c>
      <c r="E24" s="7" t="inlineStr">
        <is>
          <t>Decisión de Sebas: ya no se envían avisos Resend al guardar una afiliación (equipo y solicitante) ni una solicitud de crédito (equipo y asociado). Se borró lib/correo/afiliacion.ts y enviarAvisoNuevaSolicitudCredito; salen del .env.example AFILIACION_EMAIL_EQUIPO, CREDITOS_EMAIL_EQUIPO y cuatro RESEND_TEMPLATE_*, entra RESEND_TEMPLATE_INGRESO_ACEPTADO. El equipo revisa solicitudes y afiliaciones en Supabase hasta que exista /admin. Se elimina la actividad 3.8 (correo al equipo, estaba En curso, peso 2) y se quita de las dependencias de 6.1 y 6.2. 2.9 y P-28 ya no mencionan el correo. 6.9 y P-44: fuera AFILIACION_EMAIL_EQUIPO, entran RESEND_TEMPLATE_INGRESO_ACEPTADO, _CREDITO_APROBADO y _CREDITO_RECHAZADO. Plantillas: (a) «Ingreso aceptado» → nueva actividad 4.5 (aprobar afiliación en /admin, crear usuario y enviar correo; peso 3, depende de 4.1 y 2.9; 6.1 y 6.2 pasan a depender de ella) y pendiente P-51; (b) código de 6 dígitos lo envía Supabase Auth, funciona en local, en producción falta SMTP de Resend, plantilla Magic Link con {{ .Token }}, OTP de 6 dígitos y 600 s → se actualizan P-19, P-20 y P-45 (responsable «Yo (panel Supabase/Resend)»), ligados a 2.4; (c) «Resultado del crédito»: enviarResultadoCredito existe sin conectar → P-37 se redefine y pasa a 4.3. P-50 queda Hecho como «ya no aplica».</t>
        </is>
      </c>
    </row>
    <row r="25">
      <c r="A25" s="8" t="inlineStr">
        <is>
          <t>2026-09-23</t>
        </is>
      </c>
      <c r="B25" s="4" t="inlineStr">
        <is>
          <t>ga-verificador-qa</t>
        </is>
      </c>
      <c r="C25" s="8" t="inlineStr">
        <is>
          <t>6.3, 2.11; P-39, P-48, P-49, P-50</t>
        </is>
      </c>
      <c r="D25" s="7" t="inlineStr">
        <is>
          <t>QA 1 de punta a punta: 186 pruebas pasan, 2 fallan</t>
        </is>
      </c>
      <c r="E25" s="7" t="inlineStr">
        <is>
          <t>Playwright contra Supabase local (1280 y 390 px); pruebas en tests/e2e/ e informe en docs/verificaciones/2026-09-23-verificacion-1.md. Sin fallas críticas ni altas; una media (F-01: el select «Grado» de /afiliacion se vacía tras un error de validación). 6.3 y P-39 pasan a En curso (falta ga-verificador-responsive). Nueva actividad 2.11 (corregir F-01, peso 1, depende de 2.9) y 6.3 pasa a depender de ella. Pendientes nuevos: P-48 (F-01), P-49 (revisar x-forwarded-for para el límite por IP, ligado a 6.2) y P-50 (confirmar el envío de los correos de afiliación, ligado a 3.8).</t>
        </is>
      </c>
    </row>
    <row r="26">
      <c r="A26" s="8" t="inlineStr">
        <is>
          <t>2026-09-23</t>
        </is>
      </c>
      <c r="B26" s="4" t="inlineStr">
        <is>
          <t>ga-funcionalidad-botones</t>
        </is>
      </c>
      <c r="C26" s="8" t="inlineStr">
        <is>
          <t>2.4, 2.5, 2.6, 2.7, 2.8, 2.9, 2.10, 3.5, 3.6, 3.7, 3.8, 5.4, 6.1, 6.5, 6.8, 6.9; P-15, P-20, P-22 a P-35, P-43 a P-47</t>
        </is>
      </c>
      <c r="D26" s="7" t="inlineStr">
        <is>
          <t>Botones de /, /ingresar, /ingresar/codigo, /afiliacion, /afiliacion/enviada y /cuenta funcionando en local</t>
        </is>
      </c>
      <c r="E26" s="7" t="inlineStr">
        <is>
          <t>Hecho: 2.5–2.10 y 3.5–3.7 (ingreso con código, proxy, Salir, Mis datos, afiliación con límites y honeypot, crédito conectado a /cuenta), contra Supabase local. En curso: 2.4 (plantilla local con {{ .Token }} lista; faltan SMTP y plantilla en producción), 3.8 (correos con Resend listos, falta RESEND_API_KEY), 5.4 (placeholder de /politica-de-datos, falta el texto de la cooperativa), 6.1 (pruebas de zod y /cuenta; faltan las de Server Actions). Dependencias: se quitó 2.4 de 2.5 y 2.9 porque el código funciona en local sin la configuración de producción; en su lugar 6.5 (despliegue) pasa a depender de 2.4, y 6.6/6.7 lo heredan vía 6.5. 3.8 y 4.3 siguen dependiendo de 2.4. Nuevas: 6.8 migración 20260923210000_limite_de_intentos.sql en producción (peso 1) y 6.9 variables en Vercel (peso 1), ambas antes de 6.5. Pendientes nuevos: P-43 (migración), P-44 (Vercel), P-45 (vencimiento 10 min e intervalo ≤ 45 s en Supabase, ligado a 2.4), P-46 (nombres de grados) y P-47 (estado de desembolso) de la cooperativa; 5.3 suma estos dos datos a su bloqueo.</t>
        </is>
      </c>
    </row>
    <row r="27">
      <c r="A27" s="8" t="inlineStr">
        <is>
          <t>2026-09-23</t>
        </is>
      </c>
      <c r="B27" s="4" t="inlineStr">
        <is>
          <t>Claude (sesión principal)</t>
        </is>
      </c>
      <c r="C27" s="8" t="inlineStr">
        <is>
          <t>Todas</t>
        </is>
      </c>
      <c r="D27" s="7" t="inlineStr">
        <is>
          <t>Creación del Excel de avances</t>
        </is>
      </c>
      <c r="E27" s="7" t="inlineStr">
        <is>
          <t>Pendientes desde PENDIENTES.md, plan desde la propuesta (6 fases, 8 semanas) reorganizado en 2 filas con cola infinita y pesos 1–5.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2026-09-24T14:55:05Z</dcterms:created>
  <dcterms:modified xmlns:dcterms="http://purl.org/dc/terms/" xmlns:xsi="http://www.w3.org/2001/XMLSchema-instance" xsi:type="dcterms:W3CDTF">2026-09-24T14:55:06Z</dcterms:modified>
</cp:coreProperties>
</file>