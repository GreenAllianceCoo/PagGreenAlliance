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Pendientes" sheetId="2" state="visible" r:id="rId2"/>
    <sheet name="Plan" sheetId="3" state="visible" r:id="rId3"/>
    <sheet name="Gantt" sheetId="4" state="visible" r:id="rId4"/>
    <sheet name="Cola" sheetId="5" state="visible" r:id="rId5"/>
    <sheet name="Propuesta original" sheetId="6" state="visible" r:id="rId6"/>
    <sheet name="Pesos" sheetId="7" state="visible" r:id="rId7"/>
    <sheet name="Bitácora" sheetId="8" state="visible" r:id="rId8"/>
  </sheets>
  <definedNames>
    <definedName name="_xlnm._FilterDatabase" localSheetId="1" hidden="1">'Pendientes'!$A$4:$J$144</definedName>
    <definedName name="_xlnm._FilterDatabase" localSheetId="2" hidden="1">'Plan'!$A$4:$R$117</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2026-10-09.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125</v>
      </c>
      <c r="D6" s="6" t="inlineStr">
        <is>
          <t>Calculado por el optimizador.</t>
        </is>
      </c>
    </row>
    <row r="8">
      <c r="B8" s="3" t="inlineStr">
        <is>
          <t>Indicadores</t>
        </is>
      </c>
    </row>
    <row r="9">
      <c r="B9" s="4" t="inlineStr">
        <is>
          <t>Actividades en el plan</t>
        </is>
      </c>
      <c r="C9" s="9">
        <f>COUNTA(Plan!$A$5:$A$117)</f>
        <v/>
      </c>
    </row>
    <row r="10">
      <c r="B10" s="4" t="inlineStr">
        <is>
          <t>Hechas</t>
        </is>
      </c>
      <c r="C10" s="9">
        <f>COUNTIF(Plan!$O$5:$O$117,"Hecho")</f>
        <v/>
      </c>
    </row>
    <row r="11">
      <c r="B11" s="4" t="inlineStr">
        <is>
          <t>En curso</t>
        </is>
      </c>
      <c r="C11" s="9">
        <f>COUNTIF(Plan!$O$5:$O$117,"En curso")</f>
        <v/>
      </c>
    </row>
    <row r="12">
      <c r="B12" s="4" t="inlineStr">
        <is>
          <t>Pendientes</t>
        </is>
      </c>
      <c r="C12" s="9">
        <f>COUNTIF(Plan!$O$5:$O$117,"Pendiente")</f>
        <v/>
      </c>
    </row>
    <row r="13">
      <c r="B13" s="7" t="inlineStr">
        <is>
          <t>Bloqueadas (esperan a la cooperativa)</t>
        </is>
      </c>
      <c r="C13" s="9">
        <f>COUNTIF(Plan!$O$5:$O$117,"Bloqueado")</f>
        <v/>
      </c>
    </row>
    <row r="14">
      <c r="B14" s="4" t="inlineStr">
        <is>
          <t>Peso total (puntos)</t>
        </is>
      </c>
      <c r="C14" s="9">
        <f>SUM(Plan!$D$5:$D$117)</f>
        <v/>
      </c>
    </row>
    <row r="15">
      <c r="B15" s="4" t="inlineStr">
        <is>
          <t>Peso hecho (puntos)</t>
        </is>
      </c>
      <c r="C15" s="9">
        <f>SUMIF(Plan!$O$5:$O$117,"Hecho",Plan!$D$5:$D$117)</f>
        <v/>
      </c>
    </row>
    <row r="16">
      <c r="B16" s="4" t="inlineStr">
        <is>
          <t>Avance ponderado por peso</t>
        </is>
      </c>
      <c r="C16" s="10">
        <f>IF(C14=0,0,C15/C14)</f>
        <v/>
      </c>
    </row>
    <row r="17">
      <c r="B17" s="7" t="inlineStr">
        <is>
          <t>Duración total optimizada (bloques)</t>
        </is>
      </c>
      <c r="C17" s="9">
        <f>MAX(Plan!$L$5:$L$117)</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IF(C17=0,0,(SUMIF(Plan!$I$5:$I$117,"A",Plan!$E$5:$E$117)+SUMIF(Plan!$I$5:$I$117,"A+B",Plan!$E$5:$E$117))/C17)</f>
        <v/>
      </c>
    </row>
    <row r="24">
      <c r="B24" s="4" t="inlineStr">
        <is>
          <t>Uso de la Fila B</t>
        </is>
      </c>
      <c r="C24" s="12">
        <f>IF(C17=0,0,(SUMIF(Plan!$I$5:$I$117,"B",Plan!$E$5:$E$117)+SUMIF(Plan!$I$5:$I$117,"A+B",Plan!$E$5:$E$117))/C17)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SUMIF(Plan!$B$5:$B$117,"1. Diseño y arquitectura",Plan!$D$5:$D$117)</f>
        <v/>
      </c>
      <c r="D29" s="15">
        <f>SUMIFS(Plan!$D$5:$D$117,Plan!$B$5:$B$117,"1. Diseño y arquitectura",Plan!$O$5:$O$117,"Hecho")</f>
        <v/>
      </c>
      <c r="E29" s="12">
        <f>IF(C29=0,0,D29/C29)</f>
        <v/>
      </c>
      <c r="F29" s="15">
        <f>SUMPRODUCT(MAX((Plan!$B$5:$B$117="1. Diseño y arquitectura")*Plan!$L$5:$L$117))</f>
        <v/>
      </c>
      <c r="G29" s="8">
        <f>"S"&amp;ROUNDUP(F29/$C$5,0)</f>
        <v/>
      </c>
      <c r="H29" s="16">
        <f>'Propuesta original'!E5</f>
        <v/>
      </c>
    </row>
    <row r="30">
      <c r="B30" s="7" t="inlineStr">
        <is>
          <t>2. Landing y autenticación</t>
        </is>
      </c>
      <c r="C30" s="15">
        <f>SUMIF(Plan!$B$5:$B$117,"2. Landing y autenticación",Plan!$D$5:$D$117)</f>
        <v/>
      </c>
      <c r="D30" s="15">
        <f>SUMIFS(Plan!$D$5:$D$117,Plan!$B$5:$B$117,"2. Landing y autenticación",Plan!$O$5:$O$117,"Hecho")</f>
        <v/>
      </c>
      <c r="E30" s="12">
        <f>IF(C30=0,0,D30/C30)</f>
        <v/>
      </c>
      <c r="F30" s="15">
        <f>SUMPRODUCT(MAX((Plan!$B$5:$B$117="2. Landing y autenticación")*Plan!$L$5:$L$117))</f>
        <v/>
      </c>
      <c r="G30" s="8">
        <f>"S"&amp;ROUNDUP(F30/$C$5,0)</f>
        <v/>
      </c>
      <c r="H30" s="16">
        <f>'Propuesta original'!E6</f>
        <v/>
      </c>
    </row>
    <row r="31">
      <c r="B31" s="7" t="inlineStr">
        <is>
          <t>3. Flujo de solicitud de crédito</t>
        </is>
      </c>
      <c r="C31" s="15">
        <f>SUMIF(Plan!$B$5:$B$117,"3. Flujo de solicitud de crédito",Plan!$D$5:$D$117)</f>
        <v/>
      </c>
      <c r="D31" s="15">
        <f>SUMIFS(Plan!$D$5:$D$117,Plan!$B$5:$B$117,"3. Flujo de solicitud de crédito",Plan!$O$5:$O$117,"Hecho")</f>
        <v/>
      </c>
      <c r="E31" s="12">
        <f>IF(C31=0,0,D31/C31)</f>
        <v/>
      </c>
      <c r="F31" s="15">
        <f>SUMPRODUCT(MAX((Plan!$B$5:$B$117="3. Flujo de solicitud de crédito")*Plan!$L$5:$L$117))</f>
        <v/>
      </c>
      <c r="G31" s="8">
        <f>"S"&amp;ROUNDUP(F31/$C$5,0)</f>
        <v/>
      </c>
      <c r="H31" s="16">
        <f>'Propuesta original'!E7</f>
        <v/>
      </c>
    </row>
    <row r="32">
      <c r="B32" s="7" t="inlineStr">
        <is>
          <t>4. Panel de administración</t>
        </is>
      </c>
      <c r="C32" s="15">
        <f>SUMIF(Plan!$B$5:$B$117,"4. Panel de administración",Plan!$D$5:$D$117)</f>
        <v/>
      </c>
      <c r="D32" s="15">
        <f>SUMIFS(Plan!$D$5:$D$117,Plan!$B$5:$B$117,"4. Panel de administración",Plan!$O$5:$O$117,"Hecho")</f>
        <v/>
      </c>
      <c r="E32" s="12">
        <f>IF(C32=0,0,D32/C32)</f>
        <v/>
      </c>
      <c r="F32" s="15">
        <f>SUMPRODUCT(MAX((Plan!$B$5:$B$117="4. Panel de administración")*Plan!$L$5:$L$117))</f>
        <v/>
      </c>
      <c r="G32" s="8">
        <f>"S"&amp;ROUNDUP(F32/$C$5,0)</f>
        <v/>
      </c>
      <c r="H32" s="16">
        <f>'Propuesta original'!E8</f>
        <v/>
      </c>
    </row>
    <row r="33">
      <c r="B33" s="4" t="inlineStr">
        <is>
          <t>5. Convenios y pulido</t>
        </is>
      </c>
      <c r="C33" s="15">
        <f>SUMIF(Plan!$B$5:$B$117,"5. Convenios y pulido",Plan!$D$5:$D$117)</f>
        <v/>
      </c>
      <c r="D33" s="15">
        <f>SUMIFS(Plan!$D$5:$D$117,Plan!$B$5:$B$117,"5. Convenios y pulido",Plan!$O$5:$O$117,"Hecho")</f>
        <v/>
      </c>
      <c r="E33" s="12">
        <f>IF(C33=0,0,D33/C33)</f>
        <v/>
      </c>
      <c r="F33" s="15">
        <f>SUMPRODUCT(MAX((Plan!$B$5:$B$117="5. Convenios y pulido")*Plan!$L$5:$L$117))</f>
        <v/>
      </c>
      <c r="G33" s="8">
        <f>"S"&amp;ROUNDUP(F33/$C$5,0)</f>
        <v/>
      </c>
      <c r="H33" s="16">
        <f>'Propuesta original'!E9</f>
        <v/>
      </c>
    </row>
    <row r="34">
      <c r="B34" s="4" t="inlineStr">
        <is>
          <t>6. Pruebas y lanzamiento</t>
        </is>
      </c>
      <c r="C34" s="15">
        <f>SUMIF(Plan!$B$5:$B$117,"6. Pruebas y lanzamiento",Plan!$D$5:$D$117)</f>
        <v/>
      </c>
      <c r="D34" s="15">
        <f>SUMIFS(Plan!$D$5:$D$117,Plan!$B$5:$B$117,"6. Pruebas y lanzamiento",Plan!$O$5:$O$117,"Hecho")</f>
        <v/>
      </c>
      <c r="E34" s="12">
        <f>IF(C34=0,0,D34/C34)</f>
        <v/>
      </c>
      <c r="F34" s="15">
        <f>SUMPRODUCT(MAX((Plan!$B$5:$B$117="6. Pruebas y lanzamiento")*Plan!$L$5:$L$117))</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COUNTIFS(Pendientes!$B$5:$B$144,$B46,Pendientes!$G$5:$G$144,"Hecho")</f>
        <v/>
      </c>
      <c r="D46" s="15">
        <f>COUNTIFS(Pendientes!$B$5:$B$144,$B46,Pendientes!$G$5:$G$144,"En curso")</f>
        <v/>
      </c>
      <c r="E46" s="15">
        <f>COUNTIFS(Pendientes!$B$5:$B$144,$B46,Pendientes!$G$5:$G$144,"Pendiente")</f>
        <v/>
      </c>
      <c r="F46" s="15">
        <f>COUNTIFS(Pendientes!$B$5:$B$144,$B46,Pendientes!$G$5:$G$144,"Bloqueado")</f>
        <v/>
      </c>
      <c r="G46" s="9">
        <f>SUM(C46:F46)</f>
        <v/>
      </c>
    </row>
    <row r="47">
      <c r="B47" s="4" t="inlineStr">
        <is>
          <t>Dato de la cooperativa</t>
        </is>
      </c>
      <c r="C47" s="15">
        <f>COUNTIFS(Pendientes!$B$5:$B$144,$B47,Pendientes!$G$5:$G$144,"Hecho")</f>
        <v/>
      </c>
      <c r="D47" s="15">
        <f>COUNTIFS(Pendientes!$B$5:$B$144,$B47,Pendientes!$G$5:$G$144,"En curso")</f>
        <v/>
      </c>
      <c r="E47" s="15">
        <f>COUNTIFS(Pendientes!$B$5:$B$144,$B47,Pendientes!$G$5:$G$144,"Pendiente")</f>
        <v/>
      </c>
      <c r="F47" s="15">
        <f>COUNTIFS(Pendientes!$B$5:$B$144,$B47,Pendientes!$G$5:$G$144,"Bloqueado")</f>
        <v/>
      </c>
      <c r="G47" s="9">
        <f>SUM(C47:F47)</f>
        <v/>
      </c>
    </row>
    <row r="48">
      <c r="B48" s="4" t="inlineStr">
        <is>
          <t>Configuración</t>
        </is>
      </c>
      <c r="C48" s="15">
        <f>COUNTIFS(Pendientes!$B$5:$B$144,$B48,Pendientes!$G$5:$G$144,"Hecho")</f>
        <v/>
      </c>
      <c r="D48" s="15">
        <f>COUNTIFS(Pendientes!$B$5:$B$144,$B48,Pendientes!$G$5:$G$144,"En curso")</f>
        <v/>
      </c>
      <c r="E48" s="15">
        <f>COUNTIFS(Pendientes!$B$5:$B$144,$B48,Pendientes!$G$5:$G$144,"Pendiente")</f>
        <v/>
      </c>
      <c r="F48" s="15">
        <f>COUNTIFS(Pendientes!$B$5:$B$144,$B48,Pendientes!$G$5:$G$144,"Bloqueado")</f>
        <v/>
      </c>
      <c r="G48" s="9">
        <f>SUM(C48:F48)</f>
        <v/>
      </c>
    </row>
    <row r="49">
      <c r="B49" s="4" t="inlineStr">
        <is>
          <t>Funcionalidad</t>
        </is>
      </c>
      <c r="C49" s="15">
        <f>COUNTIFS(Pendientes!$B$5:$B$144,$B49,Pendientes!$G$5:$G$144,"Hecho")</f>
        <v/>
      </c>
      <c r="D49" s="15">
        <f>COUNTIFS(Pendientes!$B$5:$B$144,$B49,Pendientes!$G$5:$G$144,"En curso")</f>
        <v/>
      </c>
      <c r="E49" s="15">
        <f>COUNTIFS(Pendientes!$B$5:$B$144,$B49,Pendientes!$G$5:$G$144,"Pendiente")</f>
        <v/>
      </c>
      <c r="F49" s="15">
        <f>COUNTIFS(Pendientes!$B$5:$B$144,$B49,Pendientes!$G$5:$G$144,"Bloqueado")</f>
        <v/>
      </c>
      <c r="G49" s="9">
        <f>SUM(C49:F49)</f>
        <v/>
      </c>
    </row>
    <row r="50">
      <c r="B50" s="4" t="inlineStr">
        <is>
          <t>Verificación y cierre</t>
        </is>
      </c>
      <c r="C50" s="15">
        <f>COUNTIFS(Pendientes!$B$5:$B$144,$B50,Pendientes!$G$5:$G$144,"Hecho")</f>
        <v/>
      </c>
      <c r="D50" s="15">
        <f>COUNTIFS(Pendientes!$B$5:$B$144,$B50,Pendientes!$G$5:$G$144,"En curso")</f>
        <v/>
      </c>
      <c r="E50" s="15">
        <f>COUNTIFS(Pendientes!$B$5:$B$144,$B50,Pendientes!$G$5:$G$144,"Pendiente")</f>
        <v/>
      </c>
      <c r="F50" s="15">
        <f>COUNTIFS(Pendientes!$B$5:$B$144,$B50,Pendientes!$G$5:$G$144,"Bloqueado")</f>
        <v/>
      </c>
      <c r="G50" s="9">
        <f>SUM(C50:F50)</f>
        <v/>
      </c>
    </row>
    <row r="51">
      <c r="B51" s="4" t="inlineStr">
        <is>
          <t>Seguridad</t>
        </is>
      </c>
      <c r="C51" s="15">
        <f>COUNTIFS(Pendientes!$B$5:$B$144,$B51,Pendientes!$G$5:$G$144,"Hecho")</f>
        <v/>
      </c>
      <c r="D51" s="15">
        <f>COUNTIFS(Pendientes!$B$5:$B$144,$B51,Pendientes!$G$5:$G$144,"En curso")</f>
        <v/>
      </c>
      <c r="E51" s="15">
        <f>COUNTIFS(Pendientes!$B$5:$B$144,$B51,Pendientes!$G$5:$G$144,"Pendiente")</f>
        <v/>
      </c>
      <c r="F51" s="15">
        <f>COUNTIFS(Pendientes!$B$5:$B$144,$B51,Pendientes!$G$5:$G$144,"Bloqueado")</f>
        <v/>
      </c>
      <c r="G51" s="9">
        <f>SUM(C51:F51)</f>
        <v/>
      </c>
    </row>
    <row r="52">
      <c r="B52" s="4" t="inlineStr">
        <is>
          <t>Código</t>
        </is>
      </c>
      <c r="C52" s="15">
        <f>COUNTIFS(Pendientes!$B$5:$B$144,$B52,Pendientes!$G$5:$G$144,"Hecho")</f>
        <v/>
      </c>
      <c r="D52" s="15">
        <f>COUNTIFS(Pendientes!$B$5:$B$144,$B52,Pendientes!$G$5:$G$144,"En curso")</f>
        <v/>
      </c>
      <c r="E52" s="15">
        <f>COUNTIFS(Pendientes!$B$5:$B$144,$B52,Pendientes!$G$5:$G$144,"Pendiente")</f>
        <v/>
      </c>
      <c r="F52" s="15">
        <f>COUNTIFS(Pendientes!$B$5:$B$144,$B52,Pendientes!$G$5:$G$144,"Bloqueado")</f>
        <v/>
      </c>
      <c r="G52" s="9">
        <f>SUM(C52:F52)</f>
        <v/>
      </c>
    </row>
    <row r="53">
      <c r="B53" s="4" t="inlineStr">
        <is>
          <t>Base de datos</t>
        </is>
      </c>
      <c r="C53" s="15">
        <f>COUNTIFS(Pendientes!$B$5:$B$144,$B53,Pendientes!$G$5:$G$144,"Hecho")</f>
        <v/>
      </c>
      <c r="D53" s="15">
        <f>COUNTIFS(Pendientes!$B$5:$B$144,$B53,Pendientes!$G$5:$G$144,"En curso")</f>
        <v/>
      </c>
      <c r="E53" s="15">
        <f>COUNTIFS(Pendientes!$B$5:$B$144,$B53,Pendientes!$G$5:$G$144,"Pendiente")</f>
        <v/>
      </c>
      <c r="F53" s="15">
        <f>COUNTIFS(Pendientes!$B$5:$B$144,$B53,Pendientes!$G$5:$G$144,"Bloqueado")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4"/>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P-105</t>
        </is>
      </c>
      <c r="B5" s="4" t="inlineStr">
        <is>
          <t>Configuración</t>
        </is>
      </c>
      <c r="C5" s="4" t="inlineStr">
        <is>
          <t>Vercel/Resend</t>
        </is>
      </c>
      <c r="D5" s="7" t="inlineStr">
        <is>
          <t>CRON_SECRET de 32+ caracteres, publicar plantilla ga-aviso-institucional y crear RESEND_TEMPLATE_AVISO_INSTITUCIONAL</t>
        </is>
      </c>
      <c r="E5" s="7" t="inlineStr">
        <is>
          <t>Sebas</t>
        </is>
      </c>
      <c r="F5" s="8" t="inlineStr">
        <is>
          <t>Alta</t>
        </is>
      </c>
      <c r="G5" s="8" t="inlineStr">
        <is>
          <t>Hecho</t>
        </is>
      </c>
      <c r="H5" s="8" t="inlineStr">
        <is>
          <t>6.22</t>
        </is>
      </c>
      <c r="I5" s="21">
        <f>IFERROR(INDEX(Plan!$B$5:$B$117,MATCH(H5,Plan!$A$5:$A$117,0)),"—")</f>
        <v/>
      </c>
      <c r="J5" s="7" t="inlineStr">
        <is>
          <t>30-sep: Sebas lo hizo en producción.</t>
        </is>
      </c>
    </row>
    <row r="6">
      <c r="A6" s="19" t="inlineStr">
        <is>
          <t>P-110</t>
        </is>
      </c>
      <c r="B6" s="4" t="inlineStr">
        <is>
          <t>Configuración</t>
        </is>
      </c>
      <c r="C6" s="4" t="inlineStr">
        <is>
          <t>Base de datos</t>
        </is>
      </c>
      <c r="D6" s="7" t="inlineStr">
        <is>
          <t>Aplicar la migración 20261001000000 antes de desplegar (sin ella falla el insert de afiliación por la columna version_politica_datos)</t>
        </is>
      </c>
      <c r="E6" s="7" t="inlineStr">
        <is>
          <t>Sebas</t>
        </is>
      </c>
      <c r="F6" s="8" t="inlineStr">
        <is>
          <t>Alta</t>
        </is>
      </c>
      <c r="G6" s="8" t="inlineStr">
        <is>
          <t>Hecho</t>
        </is>
      </c>
      <c r="H6" s="8" t="inlineStr">
        <is>
          <t>6.23</t>
        </is>
      </c>
      <c r="I6" s="21">
        <f>IFERROR(INDEX(Plan!$B$5:$B$117,MATCH(H6,Plan!$A$5:$A$117,0)),"—")</f>
        <v/>
      </c>
      <c r="J6" s="7" t="inlineStr">
        <is>
          <t>30-sep: reportado por ga-auditor-supabase y ga-funcionalidad-botones. 01-oct: aplicada en producción.</t>
        </is>
      </c>
    </row>
    <row r="7">
      <c r="A7" s="19" t="inlineStr">
        <is>
          <t>P-113</t>
        </is>
      </c>
      <c r="B7" s="4" t="inlineStr">
        <is>
          <t>Configuración</t>
        </is>
      </c>
      <c r="C7" s="4" t="inlineStr">
        <is>
          <t>Base de datos</t>
        </is>
      </c>
      <c r="D7" s="7" t="inlineStr">
        <is>
          <t>Docker: db reset + test db local y aplicar la migración 20261001100000 en producción</t>
        </is>
      </c>
      <c r="E7" s="7" t="inlineStr">
        <is>
          <t>Sebas</t>
        </is>
      </c>
      <c r="F7" s="8" t="inlineStr">
        <is>
          <t>Alta</t>
        </is>
      </c>
      <c r="G7" s="8" t="inlineStr">
        <is>
          <t>Hecho</t>
        </is>
      </c>
      <c r="H7" s="8" t="inlineStr">
        <is>
          <t>6.24</t>
        </is>
      </c>
      <c r="I7" s="21">
        <f>IFERROR(INDEX(Plan!$B$5:$B$117,MATCH(H7,Plan!$A$5:$A$117,0)),"—")</f>
        <v/>
      </c>
      <c r="J7" s="7" t="inlineStr">
        <is>
          <t>01-oct: Docker Desktop no arranca («unable to start»). 01-oct: Docker de vuelta; db test local en verde (22 archivos, 497 pruebas). Falta solo db push --linked de 20261001000000 y 20261001100000 y fusionar develop→main. 01-oct: 20261001000000 y 20261001100000 aplicadas en producción.</t>
        </is>
      </c>
    </row>
    <row r="8">
      <c r="A8" s="19" t="inlineStr">
        <is>
          <t>P-114</t>
        </is>
      </c>
      <c r="B8" s="4" t="inlineStr">
        <is>
          <t>Configuración</t>
        </is>
      </c>
      <c r="C8" s="4" t="inlineStr">
        <is>
          <t>Base de datos</t>
        </is>
      </c>
      <c r="D8" s="7" t="inlineStr">
        <is>
          <t>Aplicar la migración 20261002000000 en producción y fusionar develop→main (commit e2523de)</t>
        </is>
      </c>
      <c r="E8" s="7" t="inlineStr">
        <is>
          <t>Sebas</t>
        </is>
      </c>
      <c r="F8" s="8" t="inlineStr">
        <is>
          <t>Alta</t>
        </is>
      </c>
      <c r="G8" s="8" t="inlineStr">
        <is>
          <t>Hecho</t>
        </is>
      </c>
      <c r="H8" s="8" t="inlineStr">
        <is>
          <t>6.25</t>
        </is>
      </c>
      <c r="I8" s="21">
        <f>IFERROR(INDEX(Plan!$B$5:$B$117,MATCH(H8,Plan!$A$5:$A$117,0)),"—")</f>
        <v/>
      </c>
      <c r="J8" s="7" t="inlineStr">
        <is>
          <t>01-oct: sin ella /admin/convenios y la lectura de convenios por visible/orden fallan en producción (el loader tiene respaldo en CONVENIOS). Probar subida de logo con un admin real. 02-oct: cerrada; la fusión develop→main sigue en P-116 (6.27).</t>
        </is>
      </c>
    </row>
    <row r="9">
      <c r="A9" s="19" t="inlineStr">
        <is>
          <t>P-116</t>
        </is>
      </c>
      <c r="B9" s="4" t="inlineStr">
        <is>
          <t>Configuración</t>
        </is>
      </c>
      <c r="C9" s="4" t="inlineStr">
        <is>
          <t>Base de datos</t>
        </is>
      </c>
      <c r="D9" s="7" t="inlineStr">
        <is>
          <t>Aplicar con respaldo previo 20261002500000, 20261002600000, 20261003000000, 20261003100000 y 20261003200000 y 20261003300000 y fusionar develop→main</t>
        </is>
      </c>
      <c r="E9" s="7" t="inlineStr">
        <is>
          <t>Sebas</t>
        </is>
      </c>
      <c r="F9" s="8" t="inlineStr">
        <is>
          <t>Alta</t>
        </is>
      </c>
      <c r="G9" s="8" t="inlineStr">
        <is>
          <t>Hecho</t>
        </is>
      </c>
      <c r="H9" s="8" t="inlineStr">
        <is>
          <t>6.27</t>
        </is>
      </c>
      <c r="I9" s="21">
        <f>IFERROR(INDEX(Plan!$B$5:$B$117,MATCH(H9,Plan!$A$5:$A$117,0)),"—")</f>
        <v/>
      </c>
      <c r="J9" s="7" t="inlineStr">
        <is>
          <t>02-oct: 20261003000000 quita la FK perfiles.id → auth.users (cascada por trigger). 09-oct: Hecho por Sebas.</t>
        </is>
      </c>
    </row>
    <row r="10">
      <c r="A10" s="19" t="inlineStr">
        <is>
          <t>P-117</t>
        </is>
      </c>
      <c r="B10" s="4" t="inlineStr">
        <is>
          <t>Configuración</t>
        </is>
      </c>
      <c r="C10" s="4" t="inlineStr">
        <is>
          <t>Correos</t>
        </is>
      </c>
      <c r="D10" s="7" t="inlineStr">
        <is>
          <t>Plantilla del sorteo en Vercel/Resend (variables NOMBRE, NUMERO_BOLETA, MES) y {{{COMPROBANTE}}} en la plantilla de desembolso</t>
        </is>
      </c>
      <c r="E10" s="7" t="inlineStr">
        <is>
          <t>Sebas</t>
        </is>
      </c>
      <c r="F10" s="8" t="inlineStr">
        <is>
          <t>Alta</t>
        </is>
      </c>
      <c r="G10" s="8" t="inlineStr">
        <is>
          <t>Hecho</t>
        </is>
      </c>
      <c r="H10" s="8" t="inlineStr">
        <is>
          <t>6.28</t>
        </is>
      </c>
      <c r="I10" s="21">
        <f>IFERROR(INDEX(Plan!$B$5:$B$117,MATCH(H10,Plan!$A$5:$A$117,0)),"—")</f>
        <v/>
      </c>
      <c r="J10" s="7" t="inlineStr">
        <is>
          <t>02-oct: sin la plantilla, el correo del sorteo cae a texto plano (docs/resend-plantillas.md). 09-oct: Hecho por Sebas.</t>
        </is>
      </c>
    </row>
    <row r="11">
      <c r="A11" s="19" t="inlineStr">
        <is>
          <t>P-135</t>
        </is>
      </c>
      <c r="B11" s="4" t="inlineStr">
        <is>
          <t>Configuración</t>
        </is>
      </c>
      <c r="C11" s="4" t="inlineStr">
        <is>
          <t>Base de datos</t>
        </is>
      </c>
      <c r="D11" s="7" t="inlineStr">
        <is>
          <t>Aplicar la migración 20261008000000 (Patrullero de Policía) con respaldo previo</t>
        </is>
      </c>
      <c r="E11" s="7" t="inlineStr">
        <is>
          <t>Sebas</t>
        </is>
      </c>
      <c r="F11" s="8" t="inlineStr">
        <is>
          <t>Alta</t>
        </is>
      </c>
      <c r="G11" s="8" t="inlineStr">
        <is>
          <t>Hecho</t>
        </is>
      </c>
      <c r="H11" s="8" t="inlineStr">
        <is>
          <t>6.36</t>
        </is>
      </c>
      <c r="I11" s="21">
        <f>IFERROR(INDEX(Plan!$B$5:$B$117,MATCH(H11,Plan!$A$5:$A$117,0)),"—")</f>
        <v/>
      </c>
      <c r="J11" s="7" t="inlineStr">
        <is>
          <t>08-oct: db push, verificando antes migration list --linked. 09-oct: Hecho por Sebas.</t>
        </is>
      </c>
    </row>
    <row r="12">
      <c r="A12" s="19" t="inlineStr">
        <is>
          <t>P-138</t>
        </is>
      </c>
      <c r="B12" s="4" t="inlineStr">
        <is>
          <t>Configuración</t>
        </is>
      </c>
      <c r="C12" s="4" t="inlineStr">
        <is>
          <t>Base de datos</t>
        </is>
      </c>
      <c r="D12" s="7" t="inlineStr">
        <is>
          <t>Aplicar con respaldo previo la migración 20261009000000 (hallazgos de seguridad del 8-oct), verificando antes migration list --linked</t>
        </is>
      </c>
      <c r="E12" s="7" t="inlineStr">
        <is>
          <t>Sebas</t>
        </is>
      </c>
      <c r="F12" s="8" t="inlineStr">
        <is>
          <t>Alta</t>
        </is>
      </c>
      <c r="G12" s="8" t="inlineStr">
        <is>
          <t>Hecho</t>
        </is>
      </c>
      <c r="H12" s="8" t="inlineStr">
        <is>
          <t>6.39</t>
        </is>
      </c>
      <c r="I12" s="21">
        <f>IFERROR(INDEX(Plan!$B$5:$B$117,MATCH(H12,Plan!$A$5:$A$117,0)),"—")</f>
        <v/>
      </c>
      <c r="J12" s="7" t="inlineStr">
        <is>
          <t>09-oct: incluye la RPC fotos_carne_huerfanas. Sin ella el código nuevo no funciona. 09-oct: Hecho por Sebas.</t>
        </is>
      </c>
    </row>
    <row r="13">
      <c r="A13" s="19" t="inlineStr">
        <is>
          <t>P-139</t>
        </is>
      </c>
      <c r="B13" s="4" t="inlineStr">
        <is>
          <t>Configuración</t>
        </is>
      </c>
      <c r="C13" s="4" t="inlineStr">
        <is>
          <t>Despliegue</t>
        </is>
      </c>
      <c r="D13" s="7" t="inlineStr">
        <is>
          <t>Desplegar el código nuevo de inmediato junto con la migración 20261009000000</t>
        </is>
      </c>
      <c r="E13" s="7" t="inlineStr">
        <is>
          <t>Sebas</t>
        </is>
      </c>
      <c r="F13" s="8" t="inlineStr">
        <is>
          <t>Alta</t>
        </is>
      </c>
      <c r="G13" s="8" t="inlineStr">
        <is>
          <t>Hecho</t>
        </is>
      </c>
      <c r="H13" s="8" t="inlineStr">
        <is>
          <t>6.40</t>
        </is>
      </c>
      <c r="I13" s="21">
        <f>IFERROR(INDEX(Plan!$B$5:$B$117,MATCH(H13,Plan!$A$5:$A$117,0)),"—")</f>
        <v/>
      </c>
      <c r="J13" s="7" t="inlineStr">
        <is>
          <t>09-oct: código y migración van juntos. Desactivar a un admin ya no se puede desde la app; si la cooperativa lo necesita, hace falta otra migración. 09-oct: Hecho por Sebas.</t>
        </is>
      </c>
    </row>
    <row r="14">
      <c r="A14" s="19" t="inlineStr">
        <is>
          <t>P-19</t>
        </is>
      </c>
      <c r="B14" s="4" t="inlineStr">
        <is>
          <t>Configuración</t>
        </is>
      </c>
      <c r="C14" s="4" t="inlineStr">
        <is>
          <t>Supabase</t>
        </is>
      </c>
      <c r="D14" s="7" t="inlineStr">
        <is>
          <t>SMTP propio con Resend (Authentication → Emails → SMTP Settings)</t>
        </is>
      </c>
      <c r="E14" s="7" t="inlineStr">
        <is>
          <t>Yo (panel Supabase/Resend)</t>
        </is>
      </c>
      <c r="F14" s="8" t="inlineStr">
        <is>
          <t>Alta</t>
        </is>
      </c>
      <c r="G14" s="8" t="inlineStr">
        <is>
          <t>Hecho</t>
        </is>
      </c>
      <c r="H14" s="8" t="inlineStr">
        <is>
          <t>2.4</t>
        </is>
      </c>
      <c r="I14" s="21">
        <f>IFERROR(INDEX(Plan!$B$5:$B$117,MATCH(H14,Plan!$A$5:$A$117,0)),"—")</f>
        <v/>
      </c>
      <c r="J14" s="7" t="inlineStr">
        <is>
          <t>Configurado por Sebas el 23-sep. El código de 6 dígitos lo envía Supabase Auth (no Resend desde la app); funciona en local. Ver docs/resend-plantillas.md.</t>
        </is>
      </c>
    </row>
    <row r="15">
      <c r="A15" s="19" t="inlineStr">
        <is>
          <t>P-20</t>
        </is>
      </c>
      <c r="B15" s="4" t="inlineStr">
        <is>
          <t>Configuración</t>
        </is>
      </c>
      <c r="C15" s="4" t="inlineStr">
        <is>
          <t>Supabase</t>
        </is>
      </c>
      <c r="D15" s="7" t="inlineStr">
        <is>
          <t>Plantilla del correo con {{ .Token }} (código, no enlace)</t>
        </is>
      </c>
      <c r="E15" s="7" t="inlineStr">
        <is>
          <t>Yo (panel Supabase/Resend)</t>
        </is>
      </c>
      <c r="F15" s="8" t="inlineStr">
        <is>
          <t>Alta</t>
        </is>
      </c>
      <c r="G15" s="8" t="inlineStr">
        <is>
          <t>Hecho</t>
        </is>
      </c>
      <c r="H15" s="8" t="inlineStr">
        <is>
          <t>2.4</t>
        </is>
      </c>
      <c r="I15" s="21">
        <f>IFERROR(INDEX(Plan!$B$5:$B$117,MATCH(H15,Plan!$A$5:$A$117,0)),"—")</f>
        <v/>
      </c>
      <c r="J15" s="7" t="inlineStr">
        <is>
          <t>23-sep: supabase/templates/codigo-ingreso.html rediseñada (HTML con la marca Green Alliance) y probada en local (llega a Mailpit con el código). Falta que Sebas la pegue en Authentication → Emails → Templates → Magic Link del panel de producción. 30-sep: Sebas lo hizo en producción.</t>
        </is>
      </c>
    </row>
    <row r="16">
      <c r="A16" s="19" t="inlineStr">
        <is>
          <t>P-43</t>
        </is>
      </c>
      <c r="B16" s="4" t="inlineStr">
        <is>
          <t>Configuración</t>
        </is>
      </c>
      <c r="C16" s="4" t="inlineStr">
        <is>
          <t>Base de datos</t>
        </is>
      </c>
      <c r="D16" s="7" t="inlineStr">
        <is>
          <t>Aplicar en producción la migración 20260923210000_limite_de_intentos.sql</t>
        </is>
      </c>
      <c r="E16" s="7" t="inlineStr">
        <is>
          <t>Sebas (ga-auditor-supabase revisa antes)</t>
        </is>
      </c>
      <c r="F16" s="8" t="inlineStr">
        <is>
          <t>Alta</t>
        </is>
      </c>
      <c r="G16" s="8" t="inlineStr">
        <is>
          <t>Hecho</t>
        </is>
      </c>
      <c r="H16" s="8" t="inlineStr">
        <is>
          <t>6.8</t>
        </is>
      </c>
      <c r="I16" s="21">
        <f>IFERROR(INDEX(Plan!$B$5:$B$117,MATCH(H16,Plan!$A$5:$A$117,0)),"—")</f>
        <v/>
      </c>
      <c r="J16"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 30-sep: Sebas lo hizo en producción.</t>
        </is>
      </c>
    </row>
    <row r="17">
      <c r="A17" s="19" t="inlineStr">
        <is>
          <t>P-44</t>
        </is>
      </c>
      <c r="B17" s="4" t="inlineStr">
        <is>
          <t>Configuración</t>
        </is>
      </c>
      <c r="C17" s="4" t="inlineStr">
        <is>
          <t>Vercel</t>
        </is>
      </c>
      <c r="D17"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7" s="7" t="inlineStr">
        <is>
          <t>Yo</t>
        </is>
      </c>
      <c r="F17" s="8" t="inlineStr">
        <is>
          <t>Alta</t>
        </is>
      </c>
      <c r="G17" s="8" t="inlineStr">
        <is>
          <t>Hecho</t>
        </is>
      </c>
      <c r="H17" s="8" t="inlineStr">
        <is>
          <t>6.9</t>
        </is>
      </c>
      <c r="I17" s="21">
        <f>IFERROR(INDEX(Plan!$B$5:$B$117,MATCH(H17,Plan!$A$5:$A$117,0)),"—")</f>
        <v/>
      </c>
      <c r="J17"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8">
      <c r="A18" s="19" t="inlineStr">
        <is>
          <t>P-45</t>
        </is>
      </c>
      <c r="B18" s="4" t="inlineStr">
        <is>
          <t>Configuración</t>
        </is>
      </c>
      <c r="C18" s="4" t="inlineStr">
        <is>
          <t>Supabase</t>
        </is>
      </c>
      <c r="D18" s="7" t="inlineStr">
        <is>
          <t>Panel de producción: OTP de 6 dígitos, vencimiento del código en 600 s (10 min) e intervalo entre correos ≤ 45 s</t>
        </is>
      </c>
      <c r="E18" s="7" t="inlineStr">
        <is>
          <t>Yo (panel Supabase/Resend)</t>
        </is>
      </c>
      <c r="F18" s="8" t="inlineStr">
        <is>
          <t>Alta</t>
        </is>
      </c>
      <c r="G18" s="8" t="inlineStr">
        <is>
          <t>Hecho</t>
        </is>
      </c>
      <c r="H18" s="8" t="inlineStr">
        <is>
          <t>2.4</t>
        </is>
      </c>
      <c r="I18" s="21">
        <f>IFERROR(INDEX(Plan!$B$5:$B$117,MATCH(H18,Plan!$A$5:$A$117,0)),"—")</f>
        <v/>
      </c>
      <c r="J18" s="7" t="inlineStr">
        <is>
          <t>Complementa P-19 (SMTP) y P-20 (plantilla Magic Link con {{ .Token }}). 30-sep: Sebas lo hizo en producción.</t>
        </is>
      </c>
    </row>
    <row r="19">
      <c r="A19" s="19" t="inlineStr">
        <is>
          <t>P-59</t>
        </is>
      </c>
      <c r="B19" s="4" t="inlineStr">
        <is>
          <t>Configuración</t>
        </is>
      </c>
      <c r="C19" s="4" t="inlineStr">
        <is>
          <t>Base de datos</t>
        </is>
      </c>
      <c r="D19" s="7" t="inlineStr">
        <is>
          <t>Aplicar en producción las 9 migraciones de fase 2 (20260924000000…000800) y desplegar enseguida</t>
        </is>
      </c>
      <c r="E19" s="7" t="inlineStr">
        <is>
          <t>Sebas (ga-auditor-supabase revisa antes)</t>
        </is>
      </c>
      <c r="F19" s="8" t="inlineStr">
        <is>
          <t>Alta</t>
        </is>
      </c>
      <c r="G19" s="8" t="inlineStr">
        <is>
          <t>Hecho</t>
        </is>
      </c>
      <c r="H19" s="8" t="inlineStr">
        <is>
          <t>6.13</t>
        </is>
      </c>
      <c r="I19" s="21">
        <f>IFERROR(INDEX(Plan!$B$5:$B$117,MATCH(H19,Plan!$A$5:$A$117,0)),"—")</f>
        <v/>
      </c>
      <c r="J19" s="7" t="inlineStr">
        <is>
          <t>25-sep: Sebas aplicó las 9 migraciones en producción con `supabase db push` (dry-run confirmó exactamente esas 9) y fusionó el PR develop → main; Vercel desplegó fase 2 en www.greenallianceco.com, verificado por HTTP.</t>
        </is>
      </c>
    </row>
    <row r="20">
      <c r="A20" s="19" t="inlineStr">
        <is>
          <t>P-60</t>
        </is>
      </c>
      <c r="B20" s="4" t="inlineStr">
        <is>
          <t>Configuración</t>
        </is>
      </c>
      <c r="C20" s="4" t="inlineStr">
        <is>
          <t>Vercel</t>
        </is>
      </c>
      <c r="D20" s="7" t="inlineStr">
        <is>
          <t>Corregir SUPABASE_SERVICE_ROLE_KEY en Vercel (hoy da «Invalid API key»)</t>
        </is>
      </c>
      <c r="E20" s="7" t="inlineStr">
        <is>
          <t>Sebas</t>
        </is>
      </c>
      <c r="F20" s="8" t="inlineStr">
        <is>
          <t>Alta</t>
        </is>
      </c>
      <c r="G20" s="8" t="inlineStr">
        <is>
          <t>Hecho</t>
        </is>
      </c>
      <c r="H20" s="8" t="inlineStr">
        <is>
          <t>6.9</t>
        </is>
      </c>
      <c r="I20" s="21">
        <f>IFERROR(INDEX(Plan!$B$5:$B$117,MATCH(H20,Plan!$A$5:$A$117,0)),"—")</f>
        <v/>
      </c>
      <c r="J20" s="7" t="inlineStr">
        <is>
          <t>24-sep: Sebas corrigió la llave en Vercel (confirmado el 25-sep).</t>
        </is>
      </c>
    </row>
    <row r="21">
      <c r="A21" s="19" t="inlineStr">
        <is>
          <t>P-61</t>
        </is>
      </c>
      <c r="B21" s="4" t="inlineStr">
        <is>
          <t>Configuración</t>
        </is>
      </c>
      <c r="C21" s="4" t="inlineStr">
        <is>
          <t>Resend</t>
        </is>
      </c>
      <c r="D21" s="7" t="inlineStr">
        <is>
          <t>Crear en Resend las plantillas de ingreso aceptado, crédito aprobado/rechazado y boleta del sorteo (ga-sorteo-boleta); confirmar el tope de 3 reenvíos de boleta al día</t>
        </is>
      </c>
      <c r="E21" s="7" t="inlineStr">
        <is>
          <t>Sebas</t>
        </is>
      </c>
      <c r="F21" s="8" t="inlineStr">
        <is>
          <t>Alta</t>
        </is>
      </c>
      <c r="G21" s="8" t="inlineStr">
        <is>
          <t>Hecho</t>
        </is>
      </c>
      <c r="H21" s="8" t="inlineStr">
        <is>
          <t>6.9</t>
        </is>
      </c>
      <c r="I21" s="21">
        <f>IFERROR(INDEX(Plan!$B$5:$B$117,MATCH(H21,Plan!$A$5:$A$117,0)),"—")</f>
        <v/>
      </c>
      <c r="J21" s="7" t="inlineStr">
        <is>
          <t>RESEND_API_KEY, EMAIL_FROM y RESEND_TEMPLATE_SORTEO_BOLETA ya son obligatorias para el build. 24-sep: el HTML de las 4 plantillas listo en docs/resend/. 25-sep: Sebas creó y publicó las 4 plantillas en Resend.</t>
        </is>
      </c>
    </row>
    <row r="22">
      <c r="A22" s="19" t="inlineStr">
        <is>
          <t>P-72</t>
        </is>
      </c>
      <c r="B22" s="4" t="inlineStr">
        <is>
          <t>Configuración</t>
        </is>
      </c>
      <c r="C22" s="4" t="inlineStr">
        <is>
          <t>Git</t>
        </is>
      </c>
      <c r="D22" s="7" t="inlineStr">
        <is>
          <t>Dar a Carlos acceso de colaborador al repo GitHub GreenAllianceCoo/PagGreenAlliance y compartirle el encargo (sin llaves de producción)</t>
        </is>
      </c>
      <c r="E22" s="7" t="inlineStr">
        <is>
          <t>Sebas</t>
        </is>
      </c>
      <c r="F22" s="8" t="inlineStr">
        <is>
          <t>Alta</t>
        </is>
      </c>
      <c r="G22" s="8" t="inlineStr">
        <is>
          <t>Hecho</t>
        </is>
      </c>
      <c r="H22" s="8" t="inlineStr">
        <is>
          <t>—</t>
        </is>
      </c>
      <c r="I22" s="21">
        <f>IFERROR(INDEX(Plan!$B$5:$B$117,MATCH(H22,Plan!$A$5:$A$117,0)),"—")</f>
        <v/>
      </c>
      <c r="J22"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 30-sep: cerrado, Carlos Pardo ya no trabaja en el proyecto.</t>
        </is>
      </c>
    </row>
    <row r="23">
      <c r="A23" s="19" t="inlineStr">
        <is>
          <t>P-136</t>
        </is>
      </c>
      <c r="B23" s="4" t="inlineStr">
        <is>
          <t>Configuración</t>
        </is>
      </c>
      <c r="C23" s="4" t="inlineStr">
        <is>
          <t>Base de datos</t>
        </is>
      </c>
      <c r="D23" s="7" t="inlineStr">
        <is>
          <t>Borrar las 2 solicitudes de crédito de prueba (cuenta eliminada) en el SQL Editor</t>
        </is>
      </c>
      <c r="E23" s="7" t="inlineStr">
        <is>
          <t>Sebas</t>
        </is>
      </c>
      <c r="F23" s="8" t="inlineStr">
        <is>
          <t>Media</t>
        </is>
      </c>
      <c r="G23" s="8" t="inlineStr">
        <is>
          <t>Hecho</t>
        </is>
      </c>
      <c r="H23" s="8" t="inlineStr">
        <is>
          <t>6.37</t>
        </is>
      </c>
      <c r="I23" s="21">
        <f>IFERROR(INDEX(Plan!$B$5:$B$117,MATCH(H23,Plan!$A$5:$A$117,0)),"—")</f>
        <v/>
      </c>
      <c r="J23" s="7" t="inlineStr">
        <is>
          <t>08-oct: el sistema de permisos bloqueó el borrado desde el agente. 09-oct: Hecho por Sebas.</t>
        </is>
      </c>
    </row>
    <row r="24">
      <c r="A24" s="19" t="inlineStr">
        <is>
          <t>P-137</t>
        </is>
      </c>
      <c r="B24" s="4" t="inlineStr">
        <is>
          <t>Configuración</t>
        </is>
      </c>
      <c r="C24" s="4" t="inlineStr">
        <is>
          <t>Equipo</t>
        </is>
      </c>
      <c r="D24" s="7" t="inlineStr">
        <is>
          <t>Activar SVM en el BIOS (Docker) para volver a correr pgTAP y e2e</t>
        </is>
      </c>
      <c r="E24" s="7" t="inlineStr">
        <is>
          <t>Sebas</t>
        </is>
      </c>
      <c r="F24" s="8" t="inlineStr">
        <is>
          <t>Media</t>
        </is>
      </c>
      <c r="G24" s="8" t="inlineStr">
        <is>
          <t>Hecho</t>
        </is>
      </c>
      <c r="H24" s="8" t="inlineStr">
        <is>
          <t>6.38</t>
        </is>
      </c>
      <c r="I24" s="21">
        <f>IFERROR(INDEX(Plan!$B$5:$B$117,MATCH(H24,Plan!$A$5:$A$117,0)),"—")</f>
        <v/>
      </c>
      <c r="J24" s="7" t="inlineStr">
        <is>
          <t>08-oct: SVM quedó apagado tras pasar a Windows 11; pgTAP y e2e no corren. 09-oct: Hecho por Sebas.</t>
        </is>
      </c>
    </row>
    <row r="25">
      <c r="A25" s="19" t="inlineStr">
        <is>
          <t>P-21</t>
        </is>
      </c>
      <c r="B25" s="4" t="inlineStr">
        <is>
          <t>Configuración</t>
        </is>
      </c>
      <c r="C25" s="4" t="inlineStr">
        <is>
          <t>Resend</t>
        </is>
      </c>
      <c r="D25" s="7" t="inlineStr">
        <is>
          <t>(Cancelado) Revisar el límite de Resend (plan gratis ≈ 100 correos/día)</t>
        </is>
      </c>
      <c r="E25" s="7" t="inlineStr">
        <is>
          <t>Yo</t>
        </is>
      </c>
      <c r="F25" s="8" t="inlineStr">
        <is>
          <t>Media</t>
        </is>
      </c>
      <c r="G25" s="8" t="inlineStr">
        <is>
          <t>Hecho</t>
        </is>
      </c>
      <c r="H25" s="8" t="inlineStr">
        <is>
          <t>2.4</t>
        </is>
      </c>
      <c r="I25" s="21">
        <f>IFERROR(INDEX(Plan!$B$5:$B$117,MATCH(H25,Plan!$A$5:$A$117,0)),"—")</f>
        <v/>
      </c>
      <c r="J25" s="7" t="inlineStr">
        <is>
          <t>30-sep: con ~500 asociados el plan gratis se queda corto; confirmar plan. 30-sep: Sebas decide que el límite de Resend no es problema por ahora; se quita.</t>
        </is>
      </c>
    </row>
    <row r="26">
      <c r="A26" s="19" t="inlineStr">
        <is>
          <t>P-54</t>
        </is>
      </c>
      <c r="B26" s="4" t="inlineStr">
        <is>
          <t>Configuración</t>
        </is>
      </c>
      <c r="C26" s="4" t="inlineStr">
        <is>
          <t>Vercel</t>
        </is>
      </c>
      <c r="D26" s="7" t="inlineStr">
        <is>
          <t>Alerta en los logs de Vercel para limite_de_intentos_fallo y limite_secreto_faltante</t>
        </is>
      </c>
      <c r="E26" s="7" t="inlineStr">
        <is>
          <t>sesión principal</t>
        </is>
      </c>
      <c r="F26" s="8" t="inlineStr">
        <is>
          <t>Media</t>
        </is>
      </c>
      <c r="G26" s="8" t="inlineStr">
        <is>
          <t>Hecho</t>
        </is>
      </c>
      <c r="H26" s="8" t="inlineStr">
        <is>
          <t>6.12</t>
        </is>
      </c>
      <c r="I26" s="21">
        <f>IFERROR(INDEX(Plan!$B$5:$B$117,MATCH(H26,Plan!$A$5:$A$117,0)),"—")</f>
        <v/>
      </c>
      <c r="J26" s="7" t="inlineStr">
        <is>
          <t>Sugerido por ga-auditor-supabase en la auditoría de P-43. 09-oct: resuelto con la revisión diaria del límite en el cron (no con alerta de Vercel).</t>
        </is>
      </c>
    </row>
    <row r="27">
      <c r="A27" s="19" t="inlineStr">
        <is>
          <t>P-73</t>
        </is>
      </c>
      <c r="B27" s="4" t="inlineStr">
        <is>
          <t>Configuración</t>
        </is>
      </c>
      <c r="C27" s="4" t="inlineStr">
        <is>
          <t>Pagos</t>
        </is>
      </c>
      <c r="D27" s="7" t="inlineStr">
        <is>
          <t>Pagar a Carlos Pardo 150.000 COP (cierre del encargo; no sigue en el proyecto)</t>
        </is>
      </c>
      <c r="E27" s="7" t="inlineStr">
        <is>
          <t>Sebas</t>
        </is>
      </c>
      <c r="F27" s="8" t="inlineStr">
        <is>
          <t>Media</t>
        </is>
      </c>
      <c r="G27" s="8" t="inlineStr">
        <is>
          <t>Hecho</t>
        </is>
      </c>
      <c r="H27" s="8" t="inlineStr">
        <is>
          <t>—</t>
        </is>
      </c>
      <c r="I27" s="21">
        <f>IFERROR(INDEX(Plan!$B$5:$B$117,MATCH(H27,Plan!$A$5:$A$117,0)),"—")</f>
        <v/>
      </c>
      <c r="J27" s="7" t="inlineStr">
        <is>
          <t>Pago único por P-66 a P-71 (4.7, 4.8, 5.9, 5.10, 6.14, 6.15). Cada PR de Carlos lo revisa un agente ga-* antes de fusionarlo a develop. 01-oct: pagado por Sebas.</t>
        </is>
      </c>
    </row>
    <row r="28">
      <c r="A28" s="19" t="inlineStr">
        <is>
          <t>P-87</t>
        </is>
      </c>
      <c r="B28" s="4" t="inlineStr">
        <is>
          <t>Configuración</t>
        </is>
      </c>
      <c r="C28" s="4" t="inlineStr">
        <is>
          <t>Vercel</t>
        </is>
      </c>
      <c r="D28" s="7" t="inlineStr">
        <is>
          <t>M-02: greenallianceco.com a veces sirve 200 en vez de redirigir 308 a www</t>
        </is>
      </c>
      <c r="E28" s="7" t="inlineStr">
        <is>
          <t>Sebas</t>
        </is>
      </c>
      <c r="F28" s="8" t="inlineStr">
        <is>
          <t>Media</t>
        </is>
      </c>
      <c r="G28" s="8" t="inlineStr">
        <is>
          <t>Hecho</t>
        </is>
      </c>
      <c r="H28" s="8" t="inlineStr">
        <is>
          <t>6.4</t>
        </is>
      </c>
      <c r="I28" s="21">
        <f>IFERROR(INDEX(Plan!$B$5:$B$117,MATCH(H28,Plan!$A$5:$A$117,0)),"—")</f>
        <v/>
      </c>
      <c r="J28"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29">
      <c r="A29" s="19" t="inlineStr">
        <is>
          <t>P-55</t>
        </is>
      </c>
      <c r="B29" s="4" t="inlineStr">
        <is>
          <t>Configuración</t>
        </is>
      </c>
      <c r="C29" s="4" t="inlineStr">
        <is>
          <t>Base de datos</t>
        </is>
      </c>
      <c r="D29" s="7" t="inlineStr">
        <is>
          <t>Opcional: revocar la secuencia limites_intentos_id_seq a anon y authenticated</t>
        </is>
      </c>
      <c r="E29" s="7" t="inlineStr">
        <is>
          <t>Yo + ga-auditor-supabase</t>
        </is>
      </c>
      <c r="F29" s="8" t="inlineStr">
        <is>
          <t>Baja</t>
        </is>
      </c>
      <c r="G29" s="8" t="inlineStr">
        <is>
          <t>Hecho</t>
        </is>
      </c>
      <c r="H29" s="8" t="inlineStr">
        <is>
          <t>6.8</t>
        </is>
      </c>
      <c r="I29" s="21">
        <f>IFERROR(INDEX(Plan!$B$5:$B$117,MATCH(H29,Plan!$A$5:$A$117,0)),"—")</f>
        <v/>
      </c>
      <c r="J29" s="7" t="inlineStr">
        <is>
          <t>Sugerido por ga-auditor-supabase en la auditoría de P-43. 30-sep: revoke incluido en la migración 20261001000000 (pgTAP 20 en verde); falta aplicarla (6.23). 01-oct: aplicada en producción con 20261001000000.</t>
        </is>
      </c>
    </row>
    <row r="30">
      <c r="A30" s="19" t="inlineStr">
        <is>
          <t>P-56</t>
        </is>
      </c>
      <c r="B30" s="4" t="inlineStr">
        <is>
          <t>Funcionalidad</t>
        </is>
      </c>
      <c r="C30" s="4" t="inlineStr">
        <is>
          <t>/cuenta/solicitar</t>
        </is>
      </c>
      <c r="D30" s="7" t="inlineStr">
        <is>
          <t>Revisar el diseño de /cuenta/solicitar (sin maqueta; selector 50/100 como radios)</t>
        </is>
      </c>
      <c r="E30" s="7" t="inlineStr">
        <is>
          <t>ga-diseno-a-codigo</t>
        </is>
      </c>
      <c r="F30" s="8" t="inlineStr">
        <is>
          <t>Media</t>
        </is>
      </c>
      <c r="G30" s="8" t="inlineStr">
        <is>
          <t>Pendiente</t>
        </is>
      </c>
      <c r="H30" s="8" t="inlineStr">
        <is>
          <t>5.6</t>
        </is>
      </c>
      <c r="I30" s="21">
        <f>IFERROR(INDEX(Plan!$B$5:$B$117,MATCH(H30,Plan!$A$5:$A$117,0)),"—")</f>
        <v/>
      </c>
      <c r="J30" s="7" t="inlineStr">
        <is>
          <t>Pedido por ga-funcionalidad-botones el 23-sep.</t>
        </is>
      </c>
    </row>
    <row r="31">
      <c r="A31" s="19" t="inlineStr">
        <is>
          <t>P-22</t>
        </is>
      </c>
      <c r="B31" s="4" t="inlineStr">
        <is>
          <t>Funcionalidad</t>
        </is>
      </c>
      <c r="C31" s="4" t="inlineStr">
        <is>
          <t>/ingresar</t>
        </is>
      </c>
      <c r="D31" s="7" t="inlineStr">
        <is>
          <t>Server Action: correo_por_cedula(), signInWithOtp, cookie firmada, ir a /ingresar/codigo</t>
        </is>
      </c>
      <c r="E31" s="7" t="inlineStr">
        <is>
          <t>ga-funcionalidad-botones</t>
        </is>
      </c>
      <c r="F31" s="8" t="inlineStr">
        <is>
          <t>Alta</t>
        </is>
      </c>
      <c r="G31" s="8" t="inlineStr">
        <is>
          <t>Hecho</t>
        </is>
      </c>
      <c r="H31" s="8" t="inlineStr">
        <is>
          <t>2.5</t>
        </is>
      </c>
      <c r="I31" s="21">
        <f>IFERROR(INDEX(Plan!$B$5:$B$117,MATCH(H31,Plan!$A$5:$A$117,0)),"—")</f>
        <v/>
      </c>
      <c r="J31" s="7" t="inlineStr"/>
    </row>
    <row r="32">
      <c r="A32" s="19" t="inlineStr">
        <is>
          <t>P-24</t>
        </is>
      </c>
      <c r="B32" s="4" t="inlineStr">
        <is>
          <t>Funcionalidad</t>
        </is>
      </c>
      <c r="C32" s="4" t="inlineStr">
        <is>
          <t>/ingresar/codigo</t>
        </is>
      </c>
      <c r="D32" s="7" t="inlineStr">
        <is>
          <t>Leer la cookie del paso 1; sin cookie, volver a /ingresar</t>
        </is>
      </c>
      <c r="E32" s="7" t="inlineStr">
        <is>
          <t>ga-funcionalidad-botones</t>
        </is>
      </c>
      <c r="F32" s="8" t="inlineStr">
        <is>
          <t>Alta</t>
        </is>
      </c>
      <c r="G32" s="8" t="inlineStr">
        <is>
          <t>Hecho</t>
        </is>
      </c>
      <c r="H32" s="8" t="inlineStr">
        <is>
          <t>2.6</t>
        </is>
      </c>
      <c r="I32" s="21">
        <f>IFERROR(INDEX(Plan!$B$5:$B$117,MATCH(H32,Plan!$A$5:$A$117,0)),"—")</f>
        <v/>
      </c>
      <c r="J32" s="7" t="inlineStr"/>
    </row>
    <row r="33">
      <c r="A33" s="19" t="inlineStr">
        <is>
          <t>P-25</t>
        </is>
      </c>
      <c r="B33" s="4" t="inlineStr">
        <is>
          <t>Funcionalidad</t>
        </is>
      </c>
      <c r="C33" s="4" t="inlineStr">
        <is>
          <t>/ingresar/codigo</t>
        </is>
      </c>
      <c r="D33" s="7" t="inlineStr">
        <is>
          <t>verifyOtp y entrar a /cuenta</t>
        </is>
      </c>
      <c r="E33" s="7" t="inlineStr">
        <is>
          <t>ga-funcionalidad-botones</t>
        </is>
      </c>
      <c r="F33" s="8" t="inlineStr">
        <is>
          <t>Alta</t>
        </is>
      </c>
      <c r="G33" s="8" t="inlineStr">
        <is>
          <t>Hecho</t>
        </is>
      </c>
      <c r="H33" s="8" t="inlineStr">
        <is>
          <t>2.6</t>
        </is>
      </c>
      <c r="I33" s="21">
        <f>IFERROR(INDEX(Plan!$B$5:$B$117,MATCH(H33,Plan!$A$5:$A$117,0)),"—")</f>
        <v/>
      </c>
      <c r="J33" s="7" t="inlineStr"/>
    </row>
    <row r="34">
      <c r="A34" s="19" t="inlineStr">
        <is>
          <t>P-28</t>
        </is>
      </c>
      <c r="B34" s="4" t="inlineStr">
        <is>
          <t>Funcionalidad</t>
        </is>
      </c>
      <c r="C34" s="4" t="inlineStr">
        <is>
          <t>/afiliacion</t>
        </is>
      </c>
      <c r="D34" s="7" t="inlineStr">
        <is>
          <t>Server Action: zod, límites por IP y cédula, guardar</t>
        </is>
      </c>
      <c r="E34" s="7" t="inlineStr">
        <is>
          <t>ga-funcionalidad-botones</t>
        </is>
      </c>
      <c r="F34" s="8" t="inlineStr">
        <is>
          <t>Alta</t>
        </is>
      </c>
      <c r="G34" s="8" t="inlineStr">
        <is>
          <t>Hecho</t>
        </is>
      </c>
      <c r="H34" s="8" t="inlineStr">
        <is>
          <t>2.9</t>
        </is>
      </c>
      <c r="I34" s="21">
        <f>IFERROR(INDEX(Plan!$B$5:$B$117,MATCH(H34,Plan!$A$5:$A$117,0)),"—")</f>
        <v/>
      </c>
      <c r="J34" s="7" t="inlineStr">
        <is>
          <t>23-sep: se quitaron los correos al equipo y al solicitante (decisión de Sebas). El equipo revisa las afiliaciones en Supabase hasta que exista el panel /admin; el correo «Ingreso aceptado» sale al aprobar (P-51).</t>
        </is>
      </c>
    </row>
    <row r="35">
      <c r="A35" s="19" t="inlineStr">
        <is>
          <t>P-31</t>
        </is>
      </c>
      <c r="B35" s="4" t="inlineStr">
        <is>
          <t>Funcionalidad</t>
        </is>
      </c>
      <c r="C35" s="4" t="inlineStr">
        <is>
          <t>/cuenta</t>
        </is>
      </c>
      <c r="D35" s="7" t="inlineStr">
        <is>
          <t>Proteger con proxy.ts y «Salir» con signOut</t>
        </is>
      </c>
      <c r="E35" s="7" t="inlineStr">
        <is>
          <t>ga-funcionalidad-botones</t>
        </is>
      </c>
      <c r="F35" s="8" t="inlineStr">
        <is>
          <t>Alta</t>
        </is>
      </c>
      <c r="G35" s="8" t="inlineStr">
        <is>
          <t>Hecho</t>
        </is>
      </c>
      <c r="H35" s="8" t="inlineStr">
        <is>
          <t>2.7</t>
        </is>
      </c>
      <c r="I35" s="21">
        <f>IFERROR(INDEX(Plan!$B$5:$B$117,MATCH(H35,Plan!$A$5:$A$117,0)),"—")</f>
        <v/>
      </c>
      <c r="J35" s="7" t="inlineStr"/>
    </row>
    <row r="36">
      <c r="A36" s="19" t="inlineStr">
        <is>
          <t>P-32</t>
        </is>
      </c>
      <c r="B36" s="4" t="inlineStr">
        <is>
          <t>Funcionalidad</t>
        </is>
      </c>
      <c r="C36" s="4" t="inlineStr">
        <is>
          <t>/cuenta</t>
        </is>
      </c>
      <c r="D36" s="7" t="inlineStr">
        <is>
          <t>Cargar perfil, última solicitud (con tasa), tope y convenios</t>
        </is>
      </c>
      <c r="E36" s="7" t="inlineStr">
        <is>
          <t>ga-funcionalidad-botones</t>
        </is>
      </c>
      <c r="F36" s="8" t="inlineStr">
        <is>
          <t>Alta</t>
        </is>
      </c>
      <c r="G36" s="8" t="inlineStr">
        <is>
          <t>Hecho</t>
        </is>
      </c>
      <c r="H36" s="8" t="inlineStr">
        <is>
          <t>3.5</t>
        </is>
      </c>
      <c r="I36" s="21">
        <f>IFERROR(INDEX(Plan!$B$5:$B$117,MATCH(H36,Plan!$A$5:$A$117,0)),"—")</f>
        <v/>
      </c>
      <c r="J36" s="7" t="inlineStr"/>
    </row>
    <row r="37">
      <c r="A37" s="19" t="inlineStr">
        <is>
          <t>P-35</t>
        </is>
      </c>
      <c r="B37" s="4" t="inlineStr">
        <is>
          <t>Funcionalidad</t>
        </is>
      </c>
      <c r="C37" s="4" t="inlineStr">
        <is>
          <t>Crédito</t>
        </is>
      </c>
      <c r="D37" s="7" t="inlineStr">
        <is>
          <t>Conectar el formulario de crédito a /cuenta</t>
        </is>
      </c>
      <c r="E37" s="7" t="inlineStr">
        <is>
          <t>ga-funcionalidad-botones</t>
        </is>
      </c>
      <c r="F37" s="8" t="inlineStr">
        <is>
          <t>Alta</t>
        </is>
      </c>
      <c r="G37" s="8" t="inlineStr">
        <is>
          <t>Hecho</t>
        </is>
      </c>
      <c r="H37" s="8" t="inlineStr">
        <is>
          <t>3.7</t>
        </is>
      </c>
      <c r="I37" s="21">
        <f>IFERROR(INDEX(Plan!$B$5:$B$117,MATCH(H37,Plan!$A$5:$A$117,0)),"—")</f>
        <v/>
      </c>
      <c r="J37" s="7" t="inlineStr">
        <is>
          <t>23-sep: el formulario vive en /cuenta/solicitar (protegida por proxy.ts, encabezado compartido EncabezadoCuenta); «Nueva solicitud» lleva ahí.</t>
        </is>
      </c>
    </row>
    <row r="38">
      <c r="A38" s="19" t="inlineStr">
        <is>
          <t>P-36</t>
        </is>
      </c>
      <c r="B38" s="4" t="inlineStr">
        <is>
          <t>Funcionalidad</t>
        </is>
      </c>
      <c r="C38" s="4" t="inlineStr">
        <is>
          <t>Admin</t>
        </is>
      </c>
      <c r="D38" s="7" t="inlineStr">
        <is>
          <t>Panel /admin: listado, aprobar y rechazar con motivo</t>
        </is>
      </c>
      <c r="E38" s="7" t="inlineStr">
        <is>
          <t>ga-funcionalidad-botones</t>
        </is>
      </c>
      <c r="F38" s="8" t="inlineStr">
        <is>
          <t>Alta</t>
        </is>
      </c>
      <c r="G38" s="8" t="inlineStr">
        <is>
          <t>Hecho</t>
        </is>
      </c>
      <c r="H38" s="8" t="inlineStr">
        <is>
          <t>4.1</t>
        </is>
      </c>
      <c r="I38" s="21">
        <f>IFERROR(INDEX(Plan!$B$5:$B$117,MATCH(H38,Plan!$A$5:$A$117,0)),"—")</f>
        <v/>
      </c>
      <c r="J38" s="7" t="inlineStr">
        <is>
          <t>24-sep: implementado y probado en local (commits 235ffbe, a13c2de). Un admin no puede resolver su propia solicitud.</t>
        </is>
      </c>
    </row>
    <row r="39">
      <c r="A39" s="19" t="inlineStr">
        <is>
          <t>P-37</t>
        </is>
      </c>
      <c r="B39" s="4" t="inlineStr">
        <is>
          <t>Funcionalidad</t>
        </is>
      </c>
      <c r="C39" s="4" t="inlineStr">
        <is>
          <t>Correos</t>
        </is>
      </c>
      <c r="D39" s="7" t="inlineStr">
        <is>
          <t>Correo «Resultado del crédito» (aprobado / no aprobado) al asociado al resolver una solicitud</t>
        </is>
      </c>
      <c r="E39" s="7" t="inlineStr">
        <is>
          <t>ga-funcionalidad-botones</t>
        </is>
      </c>
      <c r="F39" s="8" t="inlineStr">
        <is>
          <t>Alta</t>
        </is>
      </c>
      <c r="G39" s="8" t="inlineStr">
        <is>
          <t>Hecho</t>
        </is>
      </c>
      <c r="H39" s="8" t="inlineStr">
        <is>
          <t>4.3</t>
        </is>
      </c>
      <c r="I39" s="21">
        <f>IFERROR(INDEX(Plan!$B$5:$B$117,MATCH(H39,Plan!$A$5:$A$117,0)),"—")</f>
        <v/>
      </c>
      <c r="J39" s="7" t="inlineStr">
        <is>
          <t>24-sep: enviarResultadoCredito ya está conectado al aprobar/rechazar en /admin (probado en local); falta que Sebas configure el SMTP/Resend de producción (2.4) para que salga de verdad.</t>
        </is>
      </c>
    </row>
    <row r="40">
      <c r="A40" s="19" t="inlineStr">
        <is>
          <t>P-38</t>
        </is>
      </c>
      <c r="B40" s="4" t="inlineStr">
        <is>
          <t>Funcionalidad</t>
        </is>
      </c>
      <c r="C40" s="4" t="inlineStr">
        <is>
          <t>Asociados</t>
        </is>
      </c>
      <c r="D40" s="7" t="inlineStr">
        <is>
          <t>Importación de asociados desde Excel</t>
        </is>
      </c>
      <c r="E40" s="7" t="inlineStr">
        <is>
          <t>ga-funcionalidad-botones</t>
        </is>
      </c>
      <c r="F40" s="8" t="inlineStr">
        <is>
          <t>Alta</t>
        </is>
      </c>
      <c r="G40" s="8" t="inlineStr">
        <is>
          <t>Hecho</t>
        </is>
      </c>
      <c r="H40" s="8" t="inlineStr">
        <is>
          <t>4.4</t>
        </is>
      </c>
      <c r="I40" s="21">
        <f>IFERROR(INDEX(Plan!$B$5:$B$117,MATCH(H40,Plan!$A$5:$A$117,0)),"—")</f>
        <v/>
      </c>
      <c r="J40" s="7" t="inlineStr">
        <is>
          <t>Ya no aplica: decisión de la cooperativa 2026-09-24, no habrá importación de Excel.</t>
        </is>
      </c>
    </row>
    <row r="41">
      <c r="A41" s="19" t="inlineStr">
        <is>
          <t>P-51</t>
        </is>
      </c>
      <c r="B41" s="4" t="inlineStr">
        <is>
          <t>Funcionalidad</t>
        </is>
      </c>
      <c r="C41" s="4" t="inlineStr">
        <is>
          <t>Correos</t>
        </is>
      </c>
      <c r="D41" s="7" t="inlineStr">
        <is>
          <t>Correo «Ingreso aceptado» (plantilla ga-ingreso-aceptado): acción del admin que aprueba la afiliación, crea el usuario y envía el correo</t>
        </is>
      </c>
      <c r="E41" s="7" t="inlineStr">
        <is>
          <t>ga-funcionalidad-botones</t>
        </is>
      </c>
      <c r="F41" s="8" t="inlineStr">
        <is>
          <t>Alta</t>
        </is>
      </c>
      <c r="G41" s="8" t="inlineStr">
        <is>
          <t>Hecho</t>
        </is>
      </c>
      <c r="H41" s="8" t="inlineStr">
        <is>
          <t>4.5</t>
        </is>
      </c>
      <c r="I41" s="21">
        <f>IFERROR(INDEX(Plan!$B$5:$B$117,MATCH(H41,Plan!$A$5:$A$117,0)),"—")</f>
        <v/>
      </c>
      <c r="J41" s="7" t="inlineStr">
        <is>
          <t>01-oct: verificado en el código: aprobarAfiliacion (app/admin/afiliaciones/actions.ts) crea el usuario y envía enviarIngresoAceptado (lib/correo/ingreso.ts).</t>
        </is>
      </c>
    </row>
    <row r="42">
      <c r="A42" s="19" t="inlineStr">
        <is>
          <t>P-66</t>
        </is>
      </c>
      <c r="B42" s="4" t="inlineStr">
        <is>
          <t>Funcionalidad</t>
        </is>
      </c>
      <c r="C42" s="4" t="inlineStr">
        <is>
          <t>Admin</t>
        </is>
      </c>
      <c r="D42" s="7" t="inlineStr">
        <is>
          <t>Dashboard de clientes en /admin: métricas (asociados por grado/institución, afiliaciones y créditos pendientes, montos del mes, inscritos al sorteo), lista con buscador/filtros, detalle de cliente y reasignar asesor</t>
        </is>
      </c>
      <c r="E42" s="7" t="inlineStr">
        <is>
          <t>Carlos Pardo</t>
        </is>
      </c>
      <c r="F42" s="8" t="inlineStr">
        <is>
          <t>Alta</t>
        </is>
      </c>
      <c r="G42" s="8" t="inlineStr">
        <is>
          <t>Hecho</t>
        </is>
      </c>
      <c r="H42" s="8" t="inlineStr">
        <is>
          <t>4.7</t>
        </is>
      </c>
      <c r="I42" s="21">
        <f>IFERROR(INDEX(Plan!$B$5:$B$117,MATCH(H42,Plan!$A$5:$A$117,0)),"—")</f>
        <v/>
      </c>
      <c r="J42" s="7" t="inlineStr">
        <is>
          <t>Encargo externo (500.000 COP) por PR a develop. Ver P-73. 30-sep: Carlos salió; pasa a ga-funcionalidad-botones. 01-oct: verificado en el código y cerrado con 4.7 (ResumenAdmin, /admin/asociados con buscador y detalle, asignarAsesor). «Inscritos al sorteo» sigue en P-111.</t>
        </is>
      </c>
    </row>
    <row r="43">
      <c r="A43" s="19" t="inlineStr">
        <is>
          <t>P-67</t>
        </is>
      </c>
      <c r="B43" s="4" t="inlineStr">
        <is>
          <t>Funcionalidad</t>
        </is>
      </c>
      <c r="C43" s="4" t="inlineStr">
        <is>
          <t>Asesor</t>
        </is>
      </c>
      <c r="D43" s="7" t="inlineStr">
        <is>
          <t>Dashboard del asesor en /asesor: métricas de sus clientes y detalle de cliente sin celular, correo, Nequi ni fotos</t>
        </is>
      </c>
      <c r="E43" s="7" t="inlineStr">
        <is>
          <t>Carlos Pardo</t>
        </is>
      </c>
      <c r="F43" s="8" t="inlineStr">
        <is>
          <t>Alta</t>
        </is>
      </c>
      <c r="G43" s="8" t="inlineStr">
        <is>
          <t>Hecho</t>
        </is>
      </c>
      <c r="H43" s="8" t="inlineStr">
        <is>
          <t>4.8</t>
        </is>
      </c>
      <c r="I43" s="21">
        <f>IFERROR(INDEX(Plan!$B$5:$B$117,MATCH(H43,Plan!$A$5:$A$117,0)),"—")</f>
        <v/>
      </c>
      <c r="J43" s="7" t="inlineStr">
        <is>
          <t>Encargo externo (500.000 COP) por PR a develop. Ver P-73. 30-sep: Carlos salió; pasa a ga-funcionalidad-botones. 01-oct: verificado en el código y cerrado con 4.8 (/asesor con métricas; el loader no selecciona celular, correo, Nequi ni fotos).</t>
        </is>
      </c>
    </row>
    <row r="44">
      <c r="A44" s="19" t="inlineStr">
        <is>
          <t>P-69</t>
        </is>
      </c>
      <c r="B44" s="4" t="inlineStr">
        <is>
          <t>Funcionalidad</t>
        </is>
      </c>
      <c r="C44" s="4" t="inlineStr">
        <is>
          <t>Legal</t>
        </is>
      </c>
      <c r="D44" s="7" t="inlineStr">
        <is>
          <t>Ley 1581: borrado automático de fotos de afiliaciones rechazadas tras X días y motivo de rechazo en /admin</t>
        </is>
      </c>
      <c r="E44" s="7" t="inlineStr">
        <is>
          <t>Carlos Pardo</t>
        </is>
      </c>
      <c r="F44" s="8" t="inlineStr">
        <is>
          <t>Alta</t>
        </is>
      </c>
      <c r="G44" s="8" t="inlineStr">
        <is>
          <t>Hecho</t>
        </is>
      </c>
      <c r="H44" s="8" t="inlineStr">
        <is>
          <t>5.10</t>
        </is>
      </c>
      <c r="I44" s="21">
        <f>IFERROR(INDEX(Plan!$B$5:$B$117,MATCH(H44,Plan!$A$5:$A$117,0)),"—")</f>
        <v/>
      </c>
      <c r="J44"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 30-sep: hecho por agentes (cron cada hora + RPC fotos_huerfanas_afiliacion).</t>
        </is>
      </c>
    </row>
    <row r="45">
      <c r="A45" s="19" t="inlineStr">
        <is>
          <t>P-85</t>
        </is>
      </c>
      <c r="B45" s="4" t="inlineStr">
        <is>
          <t>Funcionalidad</t>
        </is>
      </c>
      <c r="C45" s="4" t="inlineStr">
        <is>
          <t>/afiliacion</t>
        </is>
      </c>
      <c r="D45" s="7" t="inlineStr">
        <is>
          <t>Correo de afiliación acepta cualquier dominio (ya no exige @policia.gov.co / @ejercito.mil.co)</t>
        </is>
      </c>
      <c r="E45" s="7" t="inlineStr">
        <is>
          <t>sesión principal</t>
        </is>
      </c>
      <c r="F45" s="8" t="inlineStr">
        <is>
          <t>Alta</t>
        </is>
      </c>
      <c r="G45" s="8" t="inlineStr">
        <is>
          <t>Hecho</t>
        </is>
      </c>
      <c r="H45" s="8" t="inlineStr">
        <is>
          <t>2.12</t>
        </is>
      </c>
      <c r="I45" s="21">
        <f>IFERROR(INDEX(Plan!$B$5:$B$117,MATCH(H45,Plan!$A$5:$A$117,0)),"—")</f>
        <v/>
      </c>
      <c r="J45"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46">
      <c r="A46" s="19" t="inlineStr">
        <is>
          <t>P-112</t>
        </is>
      </c>
      <c r="B46" s="4" t="inlineStr">
        <is>
          <t>Funcionalidad</t>
        </is>
      </c>
      <c r="C46" s="4" t="inlineStr">
        <is>
          <t>Pruebas</t>
        </is>
      </c>
      <c r="D46" s="7" t="inlineStr">
        <is>
          <t>Agregar admin_metricas_dashboard y asesor_metricas_dashboard a las listas blancas de security definer (pgTAP 00 #14 y 15 #24)</t>
        </is>
      </c>
      <c r="E46" s="7" t="inlineStr">
        <is>
          <t>ga-escritor-tests</t>
        </is>
      </c>
      <c r="F46" s="8" t="inlineStr">
        <is>
          <t>Media</t>
        </is>
      </c>
      <c r="G46" s="8" t="inlineStr">
        <is>
          <t>Hecho</t>
        </is>
      </c>
      <c r="H46" s="8" t="inlineStr">
        <is>
          <t>6.21</t>
        </is>
      </c>
      <c r="I46" s="21">
        <f>IFERROR(INDEX(Plan!$B$5:$B$117,MATCH(H46,Plan!$A$5:$A$117,0)),"—")</f>
        <v/>
      </c>
      <c r="J46" s="7" t="inlineStr">
        <is>
          <t>30-sep: reportado por ga-auditor-supabase. 01-oct: listas blancas de 00 y 15 actualizadas por ga-auditor-supabase (falta correrlas: Docker).</t>
        </is>
      </c>
    </row>
    <row r="47">
      <c r="A47" s="19" t="inlineStr">
        <is>
          <t>P-23</t>
        </is>
      </c>
      <c r="B47" s="4" t="inlineStr">
        <is>
          <t>Funcionalidad</t>
        </is>
      </c>
      <c r="C47" s="4" t="inlineStr">
        <is>
          <t>/ingresar</t>
        </is>
      </c>
      <c r="D47" s="7" t="inlineStr">
        <is>
          <t>Estado «Enviando…» (prop cargando) y errores (prop error)</t>
        </is>
      </c>
      <c r="E47" s="7" t="inlineStr">
        <is>
          <t>ga-funcionalidad-botones</t>
        </is>
      </c>
      <c r="F47" s="8" t="inlineStr">
        <is>
          <t>Media</t>
        </is>
      </c>
      <c r="G47" s="8" t="inlineStr">
        <is>
          <t>Hecho</t>
        </is>
      </c>
      <c r="H47" s="8" t="inlineStr">
        <is>
          <t>2.5</t>
        </is>
      </c>
      <c r="I47" s="21">
        <f>IFERROR(INDEX(Plan!$B$5:$B$117,MATCH(H47,Plan!$A$5:$A$117,0)),"—")</f>
        <v/>
      </c>
      <c r="J47" s="7" t="inlineStr"/>
    </row>
    <row r="48">
      <c r="A48" s="19" t="inlineStr">
        <is>
          <t>P-26</t>
        </is>
      </c>
      <c r="B48" s="4" t="inlineStr">
        <is>
          <t>Funcionalidad</t>
        </is>
      </c>
      <c r="C48" s="4" t="inlineStr">
        <is>
          <t>/ingresar/codigo</t>
        </is>
      </c>
      <c r="D48" s="7" t="inlineStr">
        <is>
          <t>Casillas OTP: avance automático, Backspace, pegar; «Entrar» con 6 dígitos</t>
        </is>
      </c>
      <c r="E48" s="7" t="inlineStr">
        <is>
          <t>ga-funcionalidad-botones</t>
        </is>
      </c>
      <c r="F48" s="8" t="inlineStr">
        <is>
          <t>Media</t>
        </is>
      </c>
      <c r="G48" s="8" t="inlineStr">
        <is>
          <t>Hecho</t>
        </is>
      </c>
      <c r="H48" s="8" t="inlineStr">
        <is>
          <t>2.6</t>
        </is>
      </c>
      <c r="I48" s="21">
        <f>IFERROR(INDEX(Plan!$B$5:$B$117,MATCH(H48,Plan!$A$5:$A$117,0)),"—")</f>
        <v/>
      </c>
      <c r="J48" s="7" t="inlineStr"/>
    </row>
    <row r="49">
      <c r="A49" s="19" t="inlineStr">
        <is>
          <t>P-27</t>
        </is>
      </c>
      <c r="B49" s="4" t="inlineStr">
        <is>
          <t>Funcionalidad</t>
        </is>
      </c>
      <c r="C49" s="4" t="inlineStr">
        <is>
          <t>/ingresar/codigo</t>
        </is>
      </c>
      <c r="D49" s="7" t="inlineStr">
        <is>
          <t>«Reenviar código» con contador de 45 s; «Cambiar cédula» limpia la cookie</t>
        </is>
      </c>
      <c r="E49" s="7" t="inlineStr">
        <is>
          <t>ga-funcionalidad-botones</t>
        </is>
      </c>
      <c r="F49" s="8" t="inlineStr">
        <is>
          <t>Media</t>
        </is>
      </c>
      <c r="G49" s="8" t="inlineStr">
        <is>
          <t>Hecho</t>
        </is>
      </c>
      <c r="H49" s="8" t="inlineStr">
        <is>
          <t>2.6</t>
        </is>
      </c>
      <c r="I49" s="21">
        <f>IFERROR(INDEX(Plan!$B$5:$B$117,MATCH(H49,Plan!$A$5:$A$117,0)),"—")</f>
        <v/>
      </c>
      <c r="J49" s="7" t="inlineStr"/>
    </row>
    <row r="50">
      <c r="A50" s="19" t="inlineStr">
        <is>
          <t>P-29</t>
        </is>
      </c>
      <c r="B50" s="4" t="inlineStr">
        <is>
          <t>Funcionalidad</t>
        </is>
      </c>
      <c r="C50" s="4" t="inlineStr">
        <is>
          <t>/afiliacion</t>
        </is>
      </c>
      <c r="D50" s="7" t="inlineStr">
        <is>
          <t>Grados desde grados_credito, honeypot, errores y estado de carga</t>
        </is>
      </c>
      <c r="E50" s="7" t="inlineStr">
        <is>
          <t>ga-funcionalidad-botones</t>
        </is>
      </c>
      <c r="F50" s="8" t="inlineStr">
        <is>
          <t>Media</t>
        </is>
      </c>
      <c r="G50" s="8" t="inlineStr">
        <is>
          <t>Hecho</t>
        </is>
      </c>
      <c r="H50" s="8" t="inlineStr">
        <is>
          <t>2.9</t>
        </is>
      </c>
      <c r="I50" s="21">
        <f>IFERROR(INDEX(Plan!$B$5:$B$117,MATCH(H50,Plan!$A$5:$A$117,0)),"—")</f>
        <v/>
      </c>
      <c r="J50" s="7" t="inlineStr"/>
    </row>
    <row r="51">
      <c r="A51" s="19" t="inlineStr">
        <is>
          <t>P-33</t>
        </is>
      </c>
      <c r="B51" s="4" t="inlineStr">
        <is>
          <t>Funcionalidad</t>
        </is>
      </c>
      <c r="C51" s="4" t="inlineStr">
        <is>
          <t>/cuenta</t>
        </is>
      </c>
      <c r="D51" s="7" t="inlineStr">
        <is>
          <t>«Mis datos»: actualizar solo perfiles.telefono</t>
        </is>
      </c>
      <c r="E51" s="7" t="inlineStr">
        <is>
          <t>ga-funcionalidad-botones</t>
        </is>
      </c>
      <c r="F51" s="8" t="inlineStr">
        <is>
          <t>Media</t>
        </is>
      </c>
      <c r="G51" s="8" t="inlineStr">
        <is>
          <t>Hecho</t>
        </is>
      </c>
      <c r="H51" s="8" t="inlineStr">
        <is>
          <t>3.6</t>
        </is>
      </c>
      <c r="I51" s="21">
        <f>IFERROR(INDEX(Plan!$B$5:$B$117,MATCH(H51,Plan!$A$5:$A$117,0)),"—")</f>
        <v/>
      </c>
      <c r="J51" s="7" t="inlineStr">
        <is>
          <t>Con error, alinear «Guardar» con el campo desde 640 px.</t>
        </is>
      </c>
    </row>
    <row r="52">
      <c r="A52" s="19" t="inlineStr">
        <is>
          <t>P-48</t>
        </is>
      </c>
      <c r="B52" s="4" t="inlineStr">
        <is>
          <t>Funcionalidad</t>
        </is>
      </c>
      <c r="C52" s="4" t="inlineStr">
        <is>
          <t>/afiliacion</t>
        </is>
      </c>
      <c r="D52" s="7" t="inlineStr">
        <is>
          <t>F-01: el select «Grado» se vacía tras un error de validación</t>
        </is>
      </c>
      <c r="E52" s="7" t="inlineStr">
        <is>
          <t>ga-funcionalidad-botones</t>
        </is>
      </c>
      <c r="F52" s="8" t="inlineStr">
        <is>
          <t>Media</t>
        </is>
      </c>
      <c r="G52" s="8" t="inlineStr">
        <is>
          <t>Hecho</t>
        </is>
      </c>
      <c r="H52" s="8" t="inlineStr">
        <is>
          <t>2.11</t>
        </is>
      </c>
      <c r="I52" s="21">
        <f>IFERROR(INDEX(Plan!$B$5:$B$117,MATCH(H52,Plan!$A$5:$A$117,0)),"—")</f>
        <v/>
      </c>
      <c r="J52" s="7" t="inlineStr">
        <is>
          <t>Falla media de la verificación QA 1 (docs/verificaciones/2026-09-23-verificacion-1.md). 01-oct: corregido (formulario se rehace con key; conserva Institución/Grado).</t>
        </is>
      </c>
    </row>
    <row r="53">
      <c r="A53" s="19" t="inlineStr">
        <is>
          <t>P-57</t>
        </is>
      </c>
      <c r="B53" s="4" t="inlineStr">
        <is>
          <t>Funcionalidad</t>
        </is>
      </c>
      <c r="C53" s="4" t="inlineStr">
        <is>
          <t>/asesor</t>
        </is>
      </c>
      <c r="D53" s="7" t="inlineStr">
        <is>
          <t>Agregar /asesor al matcher de proxy.ts y redirigir por rol tras el login</t>
        </is>
      </c>
      <c r="E53" s="7" t="inlineStr">
        <is>
          <t>ga-funcionalidad-botones</t>
        </is>
      </c>
      <c r="F53" s="8" t="inlineStr">
        <is>
          <t>Media</t>
        </is>
      </c>
      <c r="G53" s="8" t="inlineStr">
        <is>
          <t>Hecho</t>
        </is>
      </c>
      <c r="H53" s="8" t="inlineStr">
        <is>
          <t>4.6</t>
        </is>
      </c>
      <c r="I53" s="21">
        <f>IFERROR(INDEX(Plan!$B$5:$B$117,MATCH(H53,Plan!$A$5:$A$117,0)),"—")</f>
        <v/>
      </c>
      <c r="J53" s="7" t="inlineStr">
        <is>
          <t>01-oct: verificado en el código: /asesor en el matcher de proxy.ts y redirección por rol en app/ingresar/actions.ts.</t>
        </is>
      </c>
    </row>
    <row r="54">
      <c r="A54" s="19" t="inlineStr">
        <is>
          <t>P-68</t>
        </is>
      </c>
      <c r="B54" s="4" t="inlineStr">
        <is>
          <t>Funcionalidad</t>
        </is>
      </c>
      <c r="C54" s="4" t="inlineStr">
        <is>
          <t>Convenios</t>
        </is>
      </c>
      <c r="D54" s="7" t="inlineStr">
        <is>
          <t>Convenios administrables desde /admin (crear, editar, ocultar, ordenar, logo en Storage); landing y /cuenta leen de la tabla convenios</t>
        </is>
      </c>
      <c r="E54" s="7" t="inlineStr">
        <is>
          <t>Carlos Pardo</t>
        </is>
      </c>
      <c r="F54" s="8" t="inlineStr">
        <is>
          <t>Media</t>
        </is>
      </c>
      <c r="G54" s="8" t="inlineStr">
        <is>
          <t>Hecho</t>
        </is>
      </c>
      <c r="H54" s="8" t="inlineStr">
        <is>
          <t>5.9</t>
        </is>
      </c>
      <c r="I54" s="21">
        <f>IFERROR(INDEX(Plan!$B$5:$B$117,MATCH(H54,Plan!$A$5:$A$117,0)),"—")</f>
        <v/>
      </c>
      <c r="J54" s="7" t="inlineStr">
        <is>
          <t>Encargo externo (500.000 COP) por PR a develop. Ver P-73. 30-sep: Carlos salió; pasa a ga-funcionalidad-botones. 01-oct: hecho por agentes (5.9); falta aplicar 20261002000000 (P-114).</t>
        </is>
      </c>
    </row>
    <row r="55">
      <c r="A55" s="19" t="inlineStr">
        <is>
          <t>P-74</t>
        </is>
      </c>
      <c r="B55" s="4" t="inlineStr">
        <is>
          <t>Funcionalidad</t>
        </is>
      </c>
      <c r="C55" s="4" t="inlineStr">
        <is>
          <t>/afiliacion</t>
        </is>
      </c>
      <c r="D55" s="7" t="inlineStr">
        <is>
          <t>Bug: esquemaAfiliacion no valida el cruce institución↔correo institucional si falla cualquier otro campo del formulario</t>
        </is>
      </c>
      <c r="E55" s="7" t="inlineStr">
        <is>
          <t>ga-funcionalidad-botones</t>
        </is>
      </c>
      <c r="F55" s="8" t="inlineStr">
        <is>
          <t>Media</t>
        </is>
      </c>
      <c r="G55" s="8" t="inlineStr">
        <is>
          <t>Hecho</t>
        </is>
      </c>
      <c r="H55" s="8" t="inlineStr">
        <is>
          <t>2.13</t>
        </is>
      </c>
      <c r="I55" s="21">
        <f>IFERROR(INDEX(Plan!$B$5:$B$117,MATCH(H55,Plan!$A$5:$A$117,0)),"—")</f>
        <v/>
      </c>
      <c r="J55"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56">
      <c r="A56" s="19" t="inlineStr">
        <is>
          <t>P-89</t>
        </is>
      </c>
      <c r="B56" s="4" t="inlineStr">
        <is>
          <t>Funcionalidad</t>
        </is>
      </c>
      <c r="C56" s="4" t="inlineStr">
        <is>
          <t>Admin</t>
        </is>
      </c>
      <c r="D56" s="7" t="inlineStr">
        <is>
          <t>Cuenta de demostración para administradores en /admin/demo (pestaña «Demostración»)</t>
        </is>
      </c>
      <c r="E56" s="7" t="inlineStr">
        <is>
          <t>sesión principal</t>
        </is>
      </c>
      <c r="F56" s="8" t="inlineStr">
        <is>
          <t>Media</t>
        </is>
      </c>
      <c r="G56" s="8" t="inlineStr">
        <is>
          <t>Hecho</t>
        </is>
      </c>
      <c r="H56" s="8" t="inlineStr">
        <is>
          <t>4.9</t>
        </is>
      </c>
      <c r="I56" s="21">
        <f>IFERROR(INDEX(Plan!$B$5:$B$117,MATCH(H56,Plan!$A$5:$A$117,0)),"—")</f>
        <v/>
      </c>
      <c r="J56"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57">
      <c r="A57" s="19" t="inlineStr">
        <is>
          <t>P-108</t>
        </is>
      </c>
      <c r="B57" s="4" t="inlineStr">
        <is>
          <t>Funcionalidad</t>
        </is>
      </c>
      <c r="C57" s="4" t="inlineStr">
        <is>
          <t>Asesor</t>
        </is>
      </c>
      <c r="D57" s="7" t="inlineStr">
        <is>
          <t>Backlog: premio al primer asesor</t>
        </is>
      </c>
      <c r="E57" s="7" t="inlineStr">
        <is>
          <t>ga-funcionalidad-botones</t>
        </is>
      </c>
      <c r="F57" s="8" t="inlineStr">
        <is>
          <t>Baja</t>
        </is>
      </c>
      <c r="G57" s="8" t="inlineStr">
        <is>
          <t>Hecho</t>
        </is>
      </c>
      <c r="H57" s="8" t="inlineStr">
        <is>
          <t>5.11</t>
        </is>
      </c>
      <c r="I57" s="21">
        <f>IFERROR(INDEX(Plan!$B$5:$B$117,MATCH(H57,Plan!$A$5:$A$117,0)),"—")</f>
        <v/>
      </c>
      <c r="J57" s="7" t="inlineStr">
        <is>
          <t>Spec §12.12</t>
        </is>
      </c>
    </row>
    <row r="58">
      <c r="A58" s="19" t="inlineStr">
        <is>
          <t>P-109</t>
        </is>
      </c>
      <c r="B58" s="4" t="inlineStr">
        <is>
          <t>Funcionalidad</t>
        </is>
      </c>
      <c r="C58" s="4" t="inlineStr">
        <is>
          <t>/cuenta</t>
        </is>
      </c>
      <c r="D58" s="7" t="inlineStr">
        <is>
          <t>Backlog: carné virtual del asociado</t>
        </is>
      </c>
      <c r="E58" s="7" t="inlineStr">
        <is>
          <t>ga-diseno-a-codigo</t>
        </is>
      </c>
      <c r="F58" s="8" t="inlineStr">
        <is>
          <t>Baja</t>
        </is>
      </c>
      <c r="G58" s="8" t="inlineStr">
        <is>
          <t>Hecho</t>
        </is>
      </c>
      <c r="H58" s="8" t="inlineStr">
        <is>
          <t>5.12</t>
        </is>
      </c>
      <c r="I58" s="21">
        <f>IFERROR(INDEX(Plan!$B$5:$B$117,MATCH(H58,Plan!$A$5:$A$117,0)),"—")</f>
        <v/>
      </c>
      <c r="J58" s="7" t="inlineStr">
        <is>
          <t>Spec §12.12 01-oct: carné virtual en /cuenta (5.12).</t>
        </is>
      </c>
    </row>
    <row r="59">
      <c r="A59" s="19" t="inlineStr">
        <is>
          <t>P-30</t>
        </is>
      </c>
      <c r="B59" s="4" t="inlineStr">
        <is>
          <t>Funcionalidad</t>
        </is>
      </c>
      <c r="C59" s="4" t="inlineStr">
        <is>
          <t>/afiliacion/enviada</t>
        </is>
      </c>
      <c r="D59" s="7" t="inlineStr">
        <is>
          <t>Mostrar el correo real; si se entra directo, redirigir</t>
        </is>
      </c>
      <c r="E59" s="7" t="inlineStr">
        <is>
          <t>ga-funcionalidad-botones</t>
        </is>
      </c>
      <c r="F59" s="8" t="inlineStr">
        <is>
          <t>Baja</t>
        </is>
      </c>
      <c r="G59" s="8" t="inlineStr">
        <is>
          <t>Hecho</t>
        </is>
      </c>
      <c r="H59" s="8" t="inlineStr">
        <is>
          <t>2.10</t>
        </is>
      </c>
      <c r="I59" s="21">
        <f>IFERROR(INDEX(Plan!$B$5:$B$117,MATCH(H59,Plan!$A$5:$A$117,0)),"—")</f>
        <v/>
      </c>
      <c r="J59" s="7" t="inlineStr"/>
    </row>
    <row r="60">
      <c r="A60" s="19" t="inlineStr">
        <is>
          <t>P-34</t>
        </is>
      </c>
      <c r="B60" s="4" t="inlineStr">
        <is>
          <t>Funcionalidad</t>
        </is>
      </c>
      <c r="C60" s="4" t="inlineStr">
        <is>
          <t>Landing</t>
        </is>
      </c>
      <c r="D60" s="7" t="inlineStr">
        <is>
          <t>«Mi cuenta», «Ingresar», «Solicitar crédito», «Ver beneficios» → /cuenta con sesión</t>
        </is>
      </c>
      <c r="E60" s="7" t="inlineStr">
        <is>
          <t>ga-funcionalidad-botones</t>
        </is>
      </c>
      <c r="F60" s="8" t="inlineStr">
        <is>
          <t>Baja</t>
        </is>
      </c>
      <c r="G60" s="8" t="inlineStr">
        <is>
          <t>Hecho</t>
        </is>
      </c>
      <c r="H60" s="8" t="inlineStr">
        <is>
          <t>2.8</t>
        </is>
      </c>
      <c r="I60" s="21">
        <f>IFERROR(INDEX(Plan!$B$5:$B$117,MATCH(H60,Plan!$A$5:$A$117,0)),"—")</f>
        <v/>
      </c>
      <c r="J60" s="7" t="inlineStr">
        <is>
          <t>Convenios fijos en la landing por ahora.</t>
        </is>
      </c>
    </row>
    <row r="61">
      <c r="A61" s="19" t="inlineStr">
        <is>
          <t>P-124</t>
        </is>
      </c>
      <c r="B61" s="4" t="inlineStr">
        <is>
          <t>Dato de la cooperativa</t>
        </is>
      </c>
      <c r="C61" s="4" t="inlineStr">
        <is>
          <t>Landing</t>
        </is>
      </c>
      <c r="D61" s="7" t="inlineStr">
        <is>
          <t>Fotos de las sedes</t>
        </is>
      </c>
      <c r="E61" s="7" t="inlineStr">
        <is>
          <t>Cooperativa</t>
        </is>
      </c>
      <c r="F61" s="8" t="inlineStr">
        <is>
          <t>Baja</t>
        </is>
      </c>
      <c r="G61" s="8" t="inlineStr">
        <is>
          <t>Pendiente</t>
        </is>
      </c>
      <c r="H61" s="8" t="inlineStr">
        <is>
          <t>5.3</t>
        </is>
      </c>
      <c r="I61" s="21">
        <f>IFERROR(INDEX(Plan!$B$5:$B$117,MATCH(H61,Plan!$A$5:$A$117,0)),"—")</f>
        <v/>
      </c>
      <c r="J61" s="7" t="inlineStr"/>
    </row>
    <row r="62">
      <c r="A62" s="19" t="inlineStr">
        <is>
          <t>P-16</t>
        </is>
      </c>
      <c r="B62" s="4" t="inlineStr">
        <is>
          <t>Dato de la cooperativa</t>
        </is>
      </c>
      <c r="C62" s="4" t="inlineStr">
        <is>
          <t>Landing</t>
        </is>
      </c>
      <c r="D62" s="7" t="inlineStr">
        <is>
          <t>Fotos reales, cifras y testimonios</t>
        </is>
      </c>
      <c r="E62" s="7" t="inlineStr">
        <is>
          <t>Cooperativa</t>
        </is>
      </c>
      <c r="F62" s="8" t="inlineStr">
        <is>
          <t>Baja</t>
        </is>
      </c>
      <c r="G62" s="8" t="inlineStr">
        <is>
          <t>Pendiente</t>
        </is>
      </c>
      <c r="H62" s="8" t="inlineStr">
        <is>
          <t>5.3</t>
        </is>
      </c>
      <c r="I62" s="21">
        <f>IFERROR(INDEX(Plan!$B$5:$B$117,MATCH(H62,Plan!$A$5:$A$117,0)),"—")</f>
        <v/>
      </c>
      <c r="J62" s="7" t="inlineStr">
        <is>
          <t>23-sep: los espacios de foto de la landing ya tienen diseño de marca (EspacioFoto). Para poner la foto real se cambia `null` por { src, alt }. Faltan las fotos de la cooperativa.</t>
        </is>
      </c>
    </row>
    <row r="63">
      <c r="A63" s="19" t="inlineStr">
        <is>
          <t>P-14</t>
        </is>
      </c>
      <c r="B63" s="4" t="inlineStr">
        <is>
          <t>Dato de la cooperativa</t>
        </is>
      </c>
      <c r="C63" s="4" t="inlineStr">
        <is>
          <t>Legal</t>
        </is>
      </c>
      <c r="D63" s="7" t="inlineStr">
        <is>
          <t>Texto de la política de datos</t>
        </is>
      </c>
      <c r="E63" s="7" t="inlineStr">
        <is>
          <t>Cooperativa</t>
        </is>
      </c>
      <c r="F63" s="8" t="inlineStr">
        <is>
          <t>Alta</t>
        </is>
      </c>
      <c r="G63" s="8" t="inlineStr">
        <is>
          <t>Hecho</t>
        </is>
      </c>
      <c r="H63" s="8" t="inlineStr">
        <is>
          <t>5.4</t>
        </is>
      </c>
      <c r="I63" s="21">
        <f>IFERROR(INDEX(Plan!$B$5:$B$117,MATCH(H63,Plan!$A$5:$A$117,0)),"—")</f>
        <v/>
      </c>
      <c r="J63"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64">
      <c r="A64" s="19" t="inlineStr">
        <is>
          <t>P-18</t>
        </is>
      </c>
      <c r="B64" s="4" t="inlineStr">
        <is>
          <t>Dato de la cooperativa</t>
        </is>
      </c>
      <c r="C64" s="4" t="inlineStr">
        <is>
          <t>Asociados</t>
        </is>
      </c>
      <c r="D64" s="7" t="inlineStr">
        <is>
          <t>Correos reales de los asociados (Excel de importación)</t>
        </is>
      </c>
      <c r="E64" s="7" t="inlineStr">
        <is>
          <t>Cooperativa</t>
        </is>
      </c>
      <c r="F64" s="8" t="inlineStr">
        <is>
          <t>Alta</t>
        </is>
      </c>
      <c r="G64" s="8" t="inlineStr">
        <is>
          <t>Hecho</t>
        </is>
      </c>
      <c r="H64" s="8" t="inlineStr">
        <is>
          <t>4.4</t>
        </is>
      </c>
      <c r="I64" s="21">
        <f>IFERROR(INDEX(Plan!$B$5:$B$117,MATCH(H64,Plan!$A$5:$A$117,0)),"—")</f>
        <v/>
      </c>
      <c r="J64" s="7" t="inlineStr">
        <is>
          <t>Ya no aplica: decisión de la cooperativa 2026-09-24, no habrá importación de Excel. El ingreso ahora se resuelve con la afiliación v2 (correo institucional propio) más aprobación en /admin.</t>
        </is>
      </c>
    </row>
    <row r="65">
      <c r="A65" s="19" t="inlineStr">
        <is>
          <t>P-75</t>
        </is>
      </c>
      <c r="B65" s="4" t="inlineStr">
        <is>
          <t>Dato de la cooperativa</t>
        </is>
      </c>
      <c r="C65" s="4" t="inlineStr">
        <is>
          <t>Legal</t>
        </is>
      </c>
      <c r="D65" s="7" t="inlineStr">
        <is>
          <t>NIT, dirección y ciudad de la cooperativa para la política de datos</t>
        </is>
      </c>
      <c r="E65" s="7" t="inlineStr">
        <is>
          <t>Cooperativa</t>
        </is>
      </c>
      <c r="F65" s="8" t="inlineStr">
        <is>
          <t>Alta</t>
        </is>
      </c>
      <c r="G65" s="8" t="inlineStr">
        <is>
          <t>Hecho</t>
        </is>
      </c>
      <c r="H65" s="8" t="inlineStr">
        <is>
          <t>5.4</t>
        </is>
      </c>
      <c r="I65" s="21">
        <f>IFERROR(INDEX(Plan!$B$5:$B$117,MATCH(H65,Plan!$A$5:$A$117,0)),"—")</f>
        <v/>
      </c>
      <c r="J65" s="7" t="inlineStr">
        <is>
          <t>24-sep: reportado por la sesión principal, necesario para publicar /politica-de-datos. 30-sep: NIT 902.103.335-7, Cr 78 No. 16 D 71, Bogotá (Cámara de Comercio).</t>
        </is>
      </c>
    </row>
    <row r="66">
      <c r="A66" s="19" t="inlineStr">
        <is>
          <t>P-76</t>
        </is>
      </c>
      <c r="B66" s="4" t="inlineStr">
        <is>
          <t>Dato de la cooperativa</t>
        </is>
      </c>
      <c r="C66" s="4" t="inlineStr">
        <is>
          <t>Legal</t>
        </is>
      </c>
      <c r="D66" s="7" t="inlineStr">
        <is>
          <t>Fecha de vigencia de la política de datos</t>
        </is>
      </c>
      <c r="E66" s="7" t="inlineStr">
        <is>
          <t>Cooperativa</t>
        </is>
      </c>
      <c r="F66" s="8" t="inlineStr">
        <is>
          <t>Alta</t>
        </is>
      </c>
      <c r="G66" s="8" t="inlineStr">
        <is>
          <t>Hecho</t>
        </is>
      </c>
      <c r="H66" s="8" t="inlineStr">
        <is>
          <t>5.4</t>
        </is>
      </c>
      <c r="I66" s="21">
        <f>IFERROR(INDEX(Plan!$B$5:$B$117,MATCH(H66,Plan!$A$5:$A$117,0)),"—")</f>
        <v/>
      </c>
      <c r="J66" s="7" t="inlineStr">
        <is>
          <t>24-sep: reportado por la sesión principal.</t>
        </is>
      </c>
    </row>
    <row r="67">
      <c r="A67" s="19" t="inlineStr">
        <is>
          <t>P-77</t>
        </is>
      </c>
      <c r="B67" s="4" t="inlineStr">
        <is>
          <t>Dato de la cooperativa</t>
        </is>
      </c>
      <c r="C67" s="4" t="inlineStr">
        <is>
          <t>Legal</t>
        </is>
      </c>
      <c r="D67" s="7" t="inlineStr">
        <is>
          <t>País o región de los servidores (Supabase, Vercel, Resend)</t>
        </is>
      </c>
      <c r="E67" s="7" t="inlineStr">
        <is>
          <t>Cooperativa</t>
        </is>
      </c>
      <c r="F67" s="8" t="inlineStr">
        <is>
          <t>Alta</t>
        </is>
      </c>
      <c r="G67" s="8" t="inlineStr">
        <is>
          <t>Hecho</t>
        </is>
      </c>
      <c r="H67" s="8" t="inlineStr">
        <is>
          <t>5.4</t>
        </is>
      </c>
      <c r="I67" s="21">
        <f>IFERROR(INDEX(Plan!$B$5:$B$117,MATCH(H67,Plan!$A$5:$A$117,0)),"—")</f>
        <v/>
      </c>
      <c r="J67" s="7" t="inlineStr">
        <is>
          <t>24-sep: reportado por la sesión principal, dato exigido por la Ley 1581 para informar transferencia internacional de datos.</t>
        </is>
      </c>
    </row>
    <row r="68">
      <c r="A68" s="19" t="inlineStr">
        <is>
          <t>P-78</t>
        </is>
      </c>
      <c r="B68" s="4" t="inlineStr">
        <is>
          <t>Dato de la cooperativa</t>
        </is>
      </c>
      <c r="C68" s="4" t="inlineStr">
        <is>
          <t>Legal</t>
        </is>
      </c>
      <c r="D68" s="7" t="inlineStr">
        <is>
          <t>Alternativa de verificación para quien no quiera subir la selfie</t>
        </is>
      </c>
      <c r="E68" s="7" t="inlineStr">
        <is>
          <t>Cooperativa</t>
        </is>
      </c>
      <c r="F68" s="8" t="inlineStr">
        <is>
          <t>Alta</t>
        </is>
      </c>
      <c r="G68" s="8" t="inlineStr">
        <is>
          <t>Hecho</t>
        </is>
      </c>
      <c r="H68" s="8" t="inlineStr">
        <is>
          <t>5.4</t>
        </is>
      </c>
      <c r="I68" s="21">
        <f>IFERROR(INDEX(Plan!$B$5:$B$117,MATCH(H68,Plan!$A$5:$A$117,0)),"—")</f>
        <v/>
      </c>
      <c r="J68" s="7" t="inlineStr">
        <is>
          <t>24-sep: reportado por la sesión principal.</t>
        </is>
      </c>
    </row>
    <row r="69">
      <c r="A69" s="19" t="inlineStr">
        <is>
          <t>P-79</t>
        </is>
      </c>
      <c r="B69" s="4" t="inlineStr">
        <is>
          <t>Dato de la cooperativa</t>
        </is>
      </c>
      <c r="C69" s="4" t="inlineStr">
        <is>
          <t>Legal</t>
        </is>
      </c>
      <c r="D69" s="7" t="inlineStr">
        <is>
          <t>Plazos de conservación de los datos (fotos de rechazados y de asociados, y demás datos)</t>
        </is>
      </c>
      <c r="E69" s="7" t="inlineStr">
        <is>
          <t>Cooperativa</t>
        </is>
      </c>
      <c r="F69" s="8" t="inlineStr">
        <is>
          <t>Alta</t>
        </is>
      </c>
      <c r="G69" s="8" t="inlineStr">
        <is>
          <t>Hecho</t>
        </is>
      </c>
      <c r="H69" s="8" t="inlineStr">
        <is>
          <t>5.4</t>
        </is>
      </c>
      <c r="I69" s="21">
        <f>IFERROR(INDEX(Plan!$B$5:$B$117,MATCH(H69,Plan!$A$5:$A$117,0)),"—")</f>
        <v/>
      </c>
      <c r="J69" s="7" t="inlineStr">
        <is>
          <t>24-sep: reportado por la sesión principal; el plazo de las fotos es el mismo que decida P-63 (borrado automático de fotos rechazadas, 5.10).</t>
        </is>
      </c>
    </row>
    <row r="70">
      <c r="A70" s="19" t="inlineStr">
        <is>
          <t>P-10</t>
        </is>
      </c>
      <c r="B70" s="4" t="inlineStr">
        <is>
          <t>Dato de la cooperativa</t>
        </is>
      </c>
      <c r="C70" s="4" t="inlineStr">
        <is>
          <t>Configuración</t>
        </is>
      </c>
      <c r="D70" s="7" t="inlineStr">
        <is>
          <t>Número de WhatsApp (NEXT_PUBLIC_WHATSAPP)</t>
        </is>
      </c>
      <c r="E70" s="7" t="inlineStr">
        <is>
          <t>Cooperativa</t>
        </is>
      </c>
      <c r="F70" s="8" t="inlineStr">
        <is>
          <t>Media</t>
        </is>
      </c>
      <c r="G70" s="8" t="inlineStr">
        <is>
          <t>Hecho</t>
        </is>
      </c>
      <c r="H70" s="8" t="inlineStr">
        <is>
          <t>5.3</t>
        </is>
      </c>
      <c r="I70" s="21">
        <f>IFERROR(INDEX(Plan!$B$5:$B$117,MATCH(H70,Plan!$A$5:$A$117,0)),"—")</f>
        <v/>
      </c>
      <c r="J70" s="7" t="inlineStr">
        <is>
          <t>24-sep: 311 724 1942.</t>
        </is>
      </c>
    </row>
    <row r="71">
      <c r="A71" s="19" t="inlineStr">
        <is>
          <t>P-11</t>
        </is>
      </c>
      <c r="B71" s="4" t="inlineStr">
        <is>
          <t>Dato de la cooperativa</t>
        </is>
      </c>
      <c r="C71" s="4" t="inlineStr">
        <is>
          <t>Configuración</t>
        </is>
      </c>
      <c r="D71" s="7" t="inlineStr">
        <is>
          <t>Días hábiles de respuesta (DIAS_RESPUESTA)</t>
        </is>
      </c>
      <c r="E71" s="7" t="inlineStr">
        <is>
          <t>Cooperativa</t>
        </is>
      </c>
      <c r="F71" s="8" t="inlineStr">
        <is>
          <t>Media</t>
        </is>
      </c>
      <c r="G71" s="8" t="inlineStr">
        <is>
          <t>Hecho</t>
        </is>
      </c>
      <c r="H71" s="8" t="inlineStr">
        <is>
          <t>5.3</t>
        </is>
      </c>
      <c r="I71" s="21">
        <f>IFERROR(INDEX(Plan!$B$5:$B$117,MATCH(H71,Plan!$A$5:$A$117,0)),"—")</f>
        <v/>
      </c>
      <c r="J71" s="7" t="inlineStr">
        <is>
          <t>24-sep: la cooperativa dio el tiempo de respuesta como «4 horas o menos» (ver P-17); se usa ese dato en vez de días hábiles.</t>
        </is>
      </c>
    </row>
    <row r="72">
      <c r="A72" s="19" t="inlineStr">
        <is>
          <t>P-12</t>
        </is>
      </c>
      <c r="B72" s="4" t="inlineStr">
        <is>
          <t>Dato de la cooperativa</t>
        </is>
      </c>
      <c r="C72" s="4" t="inlineStr">
        <is>
          <t>Configuración</t>
        </is>
      </c>
      <c r="D72" s="7" t="inlineStr">
        <is>
          <t>Correo de contacto (CORREO_CONTACTO)</t>
        </is>
      </c>
      <c r="E72" s="7" t="inlineStr">
        <is>
          <t>Cooperativa</t>
        </is>
      </c>
      <c r="F72" s="8" t="inlineStr">
        <is>
          <t>Media</t>
        </is>
      </c>
      <c r="G72" s="8" t="inlineStr">
        <is>
          <t>Hecho</t>
        </is>
      </c>
      <c r="H72" s="8" t="inlineStr">
        <is>
          <t>5.3</t>
        </is>
      </c>
      <c r="I72" s="21">
        <f>IFERROR(INDEX(Plan!$B$5:$B$117,MATCH(H72,Plan!$A$5:$A$117,0)),"—")</f>
        <v/>
      </c>
      <c r="J72" s="7" t="inlineStr">
        <is>
          <t>24-sep: soporte@greenallianceco.com.</t>
        </is>
      </c>
    </row>
    <row r="73">
      <c r="A73" s="19" t="inlineStr">
        <is>
          <t>P-13</t>
        </is>
      </c>
      <c r="B73" s="4" t="inlineStr">
        <is>
          <t>Dato de la cooperativa</t>
        </is>
      </c>
      <c r="C73" s="4" t="inlineStr">
        <is>
          <t>Configuración</t>
        </is>
      </c>
      <c r="D73" s="7" t="inlineStr">
        <is>
          <t>Texto de vigilancia de Supersolidaria (TEXTO_VIGILANCIA)</t>
        </is>
      </c>
      <c r="E73" s="7" t="inlineStr">
        <is>
          <t>Cooperativa</t>
        </is>
      </c>
      <c r="F73" s="8" t="inlineStr">
        <is>
          <t>Media</t>
        </is>
      </c>
      <c r="G73" s="8" t="inlineStr">
        <is>
          <t>Hecho</t>
        </is>
      </c>
      <c r="H73" s="8" t="inlineStr">
        <is>
          <t>5.3</t>
        </is>
      </c>
      <c r="I73" s="21">
        <f>IFERROR(INDEX(Plan!$B$5:$B$117,MATCH(H73,Plan!$A$5:$A$117,0)),"—")</f>
        <v/>
      </c>
      <c r="J73" s="7" t="inlineStr">
        <is>
          <t>25-sep: Sebas confirmó que la cooperativa está vigilada por la Supersolidaria; TEXTO_VIGILANCIA pasa a «Vigilada por Supersolidaria» en local (falta desplegar).</t>
        </is>
      </c>
    </row>
    <row r="74">
      <c r="A74" s="19" t="inlineStr">
        <is>
          <t>P-15</t>
        </is>
      </c>
      <c r="B74" s="4" t="inlineStr">
        <is>
          <t>Dato de la cooperativa</t>
        </is>
      </c>
      <c r="C74" s="4" t="inlineStr">
        <is>
          <t>/cuenta</t>
        </is>
      </c>
      <c r="D74" s="7" t="inlineStr">
        <is>
          <t>Destino de «Nueva solicitud» (nav y acceso rápido)</t>
        </is>
      </c>
      <c r="E74" s="7" t="inlineStr">
        <is>
          <t>Yo</t>
        </is>
      </c>
      <c r="F74" s="8" t="inlineStr">
        <is>
          <t>Media</t>
        </is>
      </c>
      <c r="G74" s="8" t="inlineStr">
        <is>
          <t>Hecho</t>
        </is>
      </c>
      <c r="H74" s="8" t="inlineStr">
        <is>
          <t>3.7</t>
        </is>
      </c>
      <c r="I74" s="21">
        <f>IFERROR(INDEX(Plan!$B$5:$B$117,MATCH(H74,Plan!$A$5:$A$117,0)),"—")</f>
        <v/>
      </c>
      <c r="J74" s="7" t="inlineStr">
        <is>
          <t>Hoy es href="#".</t>
        </is>
      </c>
    </row>
    <row r="75">
      <c r="A75" s="19" t="inlineStr">
        <is>
          <t>P-46</t>
        </is>
      </c>
      <c r="B75" s="4" t="inlineStr">
        <is>
          <t>Dato de la cooperativa</t>
        </is>
      </c>
      <c r="C75" s="4" t="inlineStr">
        <is>
          <t>/afiliacion</t>
        </is>
      </c>
      <c r="D75" s="7" t="inlineStr">
        <is>
          <t>Nombres oficiales de los grados</t>
        </is>
      </c>
      <c r="E75" s="7" t="inlineStr">
        <is>
          <t>Cooperativa</t>
        </is>
      </c>
      <c r="F75" s="8" t="inlineStr">
        <is>
          <t>Media</t>
        </is>
      </c>
      <c r="G75" s="8" t="inlineStr">
        <is>
          <t>Hecho</t>
        </is>
      </c>
      <c r="H75" s="8" t="inlineStr">
        <is>
          <t>5.3</t>
        </is>
      </c>
      <c r="I75" s="21">
        <f>IFERROR(INDEX(Plan!$B$5:$B$117,MATCH(H75,Plan!$A$5:$A$117,0)),"—")</f>
        <v/>
      </c>
      <c r="J75" s="7" t="inlineStr">
        <is>
          <t>Se usan en el select «Grado» (grados_credito).</t>
        </is>
      </c>
    </row>
    <row r="76">
      <c r="A76" s="19" t="inlineStr">
        <is>
          <t>P-47</t>
        </is>
      </c>
      <c r="B76" s="4" t="inlineStr">
        <is>
          <t>Dato de la cooperativa</t>
        </is>
      </c>
      <c r="C76" s="4" t="inlineStr">
        <is>
          <t>/cuenta</t>
        </is>
      </c>
      <c r="D76" s="7" t="inlineStr">
        <is>
          <t>Estado de desembolso (cómo y cuándo se informa al asociado)</t>
        </is>
      </c>
      <c r="E76" s="7" t="inlineStr">
        <is>
          <t>Cooperativa</t>
        </is>
      </c>
      <c r="F76" s="8" t="inlineStr">
        <is>
          <t>Media</t>
        </is>
      </c>
      <c r="G76" s="8" t="inlineStr">
        <is>
          <t>Hecho</t>
        </is>
      </c>
      <c r="H76" s="8" t="inlineStr">
        <is>
          <t>5.3</t>
        </is>
      </c>
      <c r="I76" s="21">
        <f>IFERROR(INDEX(Plan!$B$5:$B$117,MATCH(H76,Plan!$A$5:$A$117,0)),"—")</f>
        <v/>
      </c>
      <c r="J76" s="7" t="inlineStr">
        <is>
          <t>Reportado por ga-funcionalidad-botones el 23-sep. 25-sep: también identificado por ga-auditor-supabase en la auditoría de backend del rediseño C+ (misma pregunta, no se duplica).</t>
        </is>
      </c>
    </row>
    <row r="77">
      <c r="A77" s="19" t="inlineStr">
        <is>
          <t>P-80</t>
        </is>
      </c>
      <c r="B77" s="4" t="inlineStr">
        <is>
          <t>Dato de la cooperativa</t>
        </is>
      </c>
      <c r="C77" s="4" t="inlineStr">
        <is>
          <t>Legal</t>
        </is>
      </c>
      <c r="D77" s="7" t="inlineStr">
        <is>
          <t>Si van a reportar a centrales de riesgo (Ley 1266, autorización aparte)</t>
        </is>
      </c>
      <c r="E77" s="7" t="inlineStr">
        <is>
          <t>Cooperativa</t>
        </is>
      </c>
      <c r="F77" s="8" t="inlineStr">
        <is>
          <t>Media</t>
        </is>
      </c>
      <c r="G77" s="8" t="inlineStr">
        <is>
          <t>Hecho</t>
        </is>
      </c>
      <c r="H77" s="8" t="inlineStr">
        <is>
          <t>5.4</t>
        </is>
      </c>
      <c r="I77" s="21">
        <f>IFERROR(INDEX(Plan!$B$5:$B$117,MATCH(H77,Plan!$A$5:$A$117,0)),"—")</f>
        <v/>
      </c>
      <c r="J77" s="7" t="inlineStr">
        <is>
          <t>24-sep: reportado por la sesión principal.</t>
        </is>
      </c>
    </row>
    <row r="78">
      <c r="A78" s="19" t="inlineStr">
        <is>
          <t>P-90</t>
        </is>
      </c>
      <c r="B78" s="4" t="inlineStr">
        <is>
          <t>Dato de la cooperativa</t>
        </is>
      </c>
      <c r="C78" s="4" t="inlineStr">
        <is>
          <t>Backend C+</t>
        </is>
      </c>
      <c r="D78" s="7" t="inlineStr">
        <is>
          <t>Origen de la fecha del primer descuento del embargo solidario</t>
        </is>
      </c>
      <c r="E78" s="7" t="inlineStr">
        <is>
          <t>Cooperativa</t>
        </is>
      </c>
      <c r="F78" s="8" t="inlineStr">
        <is>
          <t>Media</t>
        </is>
      </c>
      <c r="G78" s="8" t="inlineStr">
        <is>
          <t>Hecho</t>
        </is>
      </c>
      <c r="H78" s="8" t="inlineStr">
        <is>
          <t>1.8</t>
        </is>
      </c>
      <c r="I78" s="21">
        <f>IFERROR(INDEX(Plan!$B$5:$B$117,MATCH(H78,Plan!$A$5:$A$117,0)),"—")</f>
        <v/>
      </c>
      <c r="J78" s="7" t="inlineStr">
        <is>
          <t>25-sep: pregunta abierta del informe de ga-auditor-supabase (docs/auditorias/2026-09-25-backend-rediseno-c-plus.md).</t>
        </is>
      </c>
    </row>
    <row r="79">
      <c r="A79" s="19" t="inlineStr">
        <is>
          <t>P-91</t>
        </is>
      </c>
      <c r="B79" s="4" t="inlineStr">
        <is>
          <t>Dato de la cooperativa</t>
        </is>
      </c>
      <c r="C79" s="4" t="inlineStr">
        <is>
          <t>Backend C+</t>
        </is>
      </c>
      <c r="D79" s="7" t="inlineStr">
        <is>
          <t>Proceso para dar de baja a un asociado</t>
        </is>
      </c>
      <c r="E79" s="7" t="inlineStr">
        <is>
          <t>Cooperativa</t>
        </is>
      </c>
      <c r="F79" s="8" t="inlineStr">
        <is>
          <t>Media</t>
        </is>
      </c>
      <c r="G79" s="8" t="inlineStr">
        <is>
          <t>Hecho</t>
        </is>
      </c>
      <c r="H79" s="8" t="inlineStr">
        <is>
          <t>1.8</t>
        </is>
      </c>
      <c r="I79" s="21">
        <f>IFERROR(INDEX(Plan!$B$5:$B$117,MATCH(H79,Plan!$A$5:$A$117,0)),"—")</f>
        <v/>
      </c>
      <c r="J79" s="7" t="inlineStr">
        <is>
          <t>25-sep: pregunta abierta del informe de ga-auditor-supabase; relacionada con la migración de institución/activo en perfiles.</t>
        </is>
      </c>
    </row>
    <row r="80">
      <c r="A80" s="19" t="inlineStr">
        <is>
          <t>P-92</t>
        </is>
      </c>
      <c r="B80" s="4" t="inlineStr">
        <is>
          <t>Dato de la cooperativa</t>
        </is>
      </c>
      <c r="C80" s="4" t="inlineStr">
        <is>
          <t>Backend C+</t>
        </is>
      </c>
      <c r="D80" s="7" t="inlineStr">
        <is>
          <t>Quién dispara el correo del aviso del sorteo</t>
        </is>
      </c>
      <c r="E80" s="7" t="inlineStr">
        <is>
          <t>Cooperativa</t>
        </is>
      </c>
      <c r="F80" s="8" t="inlineStr">
        <is>
          <t>Media</t>
        </is>
      </c>
      <c r="G80" s="8" t="inlineStr">
        <is>
          <t>Hecho</t>
        </is>
      </c>
      <c r="H80" s="8" t="inlineStr">
        <is>
          <t>1.8</t>
        </is>
      </c>
      <c r="I80" s="21">
        <f>IFERROR(INDEX(Plan!$B$5:$B$117,MATCH(H80,Plan!$A$5:$A$117,0)),"—")</f>
        <v/>
      </c>
      <c r="J80" s="7" t="inlineStr">
        <is>
          <t>25-sep: pregunta abierta del informe de ga-auditor-supabase; relacionada con la migración perfiles_avisar_sorteo.</t>
        </is>
      </c>
    </row>
    <row r="81">
      <c r="A81" s="19" t="inlineStr">
        <is>
          <t>P-93</t>
        </is>
      </c>
      <c r="B81" s="4" t="inlineStr">
        <is>
          <t>Dato de la cooperativa</t>
        </is>
      </c>
      <c r="C81" s="4" t="inlineStr">
        <is>
          <t>Landing C+</t>
        </is>
      </c>
      <c r="D81" s="7" t="inlineStr">
        <is>
          <t>Confirmar las cifras de la landing C+ (+200 asociados, 4 horas, 3 años, 5 sedes con sus ciudades, embargo a 36 meses)</t>
        </is>
      </c>
      <c r="E81" s="7" t="inlineStr">
        <is>
          <t>Cooperativa</t>
        </is>
      </c>
      <c r="F81" s="8" t="inlineStr">
        <is>
          <t>Media</t>
        </is>
      </c>
      <c r="G81" s="8" t="inlineStr">
        <is>
          <t>Hecho</t>
        </is>
      </c>
      <c r="H81" s="8" t="inlineStr">
        <is>
          <t>2.14</t>
        </is>
      </c>
      <c r="I81" s="21">
        <f>IFERROR(INDEX(Plan!$B$5:$B$117,MATCH(H81,Plan!$A$5:$A$117,0)),"—")</f>
        <v/>
      </c>
      <c r="J81" s="7" t="inlineStr">
        <is>
          <t>25-sep: cifras usadas en el nuevo hero/servicios del rediseño C+; falta confirmarlas con la cooperativa.</t>
        </is>
      </c>
    </row>
    <row r="82">
      <c r="A82" s="19" t="inlineStr">
        <is>
          <t>P-17</t>
        </is>
      </c>
      <c r="B82" s="4" t="inlineStr">
        <is>
          <t>Dato de la cooperativa</t>
        </is>
      </c>
      <c r="C82" s="4" t="inlineStr">
        <is>
          <t>Landing</t>
        </is>
      </c>
      <c r="D82" s="7" t="inlineStr">
        <is>
          <t>Tiempo de respuesta real ([TIEMPO] y [T])</t>
        </is>
      </c>
      <c r="E82" s="7" t="inlineStr">
        <is>
          <t>Cooperativa</t>
        </is>
      </c>
      <c r="F82" s="8" t="inlineStr">
        <is>
          <t>Baja</t>
        </is>
      </c>
      <c r="G82" s="8" t="inlineStr">
        <is>
          <t>Hecho</t>
        </is>
      </c>
      <c r="H82" s="8" t="inlineStr">
        <is>
          <t>5.3</t>
        </is>
      </c>
      <c r="I82" s="21">
        <f>IFERROR(INDEX(Plan!$B$5:$B$117,MATCH(H82,Plan!$A$5:$A$117,0)),"—")</f>
        <v/>
      </c>
      <c r="J82" s="7" t="inlineStr">
        <is>
          <t>24-sep: «4 horas o menos».</t>
        </is>
      </c>
    </row>
    <row r="83">
      <c r="A83" s="19" t="inlineStr">
        <is>
          <t>P-81</t>
        </is>
      </c>
      <c r="B83" s="4" t="inlineStr">
        <is>
          <t>Verificación y cierre</t>
        </is>
      </c>
      <c r="C83" s="4" t="inlineStr">
        <is>
          <t>Legal</t>
        </is>
      </c>
      <c r="D83" s="7" t="inlineStr">
        <is>
          <t>Revisión de la política de datos por un abogado (Dr. Breinner: secciones 7.3, 8 y 18)</t>
        </is>
      </c>
      <c r="E83" s="7" t="inlineStr">
        <is>
          <t>Sebas</t>
        </is>
      </c>
      <c r="F83" s="8" t="inlineStr">
        <is>
          <t>Alta</t>
        </is>
      </c>
      <c r="G83" s="8" t="inlineStr">
        <is>
          <t>En curso</t>
        </is>
      </c>
      <c r="H83" s="8" t="inlineStr">
        <is>
          <t>5.4</t>
        </is>
      </c>
      <c r="I83" s="21">
        <f>IFERROR(INDEX(Plan!$B$5:$B$117,MATCH(H83,Plan!$A$5:$A$117,0)),"—")</f>
        <v/>
      </c>
      <c r="J83" s="7" t="inlineStr">
        <is>
          <t>24-sep: reportado por la sesión principal; falta antes de publicar /politica-de-datos.</t>
        </is>
      </c>
    </row>
    <row r="84">
      <c r="A84" s="19" t="inlineStr">
        <is>
          <t>P-70</t>
        </is>
      </c>
      <c r="B84" s="4" t="inlineStr">
        <is>
          <t>Verificación y cierre</t>
        </is>
      </c>
      <c r="C84" s="4" t="inlineStr">
        <is>
          <t>QA</t>
        </is>
      </c>
      <c r="D84" s="7" t="inlineStr">
        <is>
          <t>Pruebas en celulares reales (Android e iPhone): cámara, código, sorteo, crédito y correos en Gmail/Outlook, con informe y capturas</t>
        </is>
      </c>
      <c r="E84" s="7" t="inlineStr">
        <is>
          <t>Sebas</t>
        </is>
      </c>
      <c r="F84" s="8" t="inlineStr">
        <is>
          <t>Media</t>
        </is>
      </c>
      <c r="G84" s="8" t="inlineStr">
        <is>
          <t>En curso</t>
        </is>
      </c>
      <c r="H84" s="8" t="inlineStr">
        <is>
          <t>6.14</t>
        </is>
      </c>
      <c r="I84" s="21">
        <f>IFERROR(INDEX(Plan!$B$5:$B$117,MATCH(H84,Plan!$A$5:$A$117,0)),"—")</f>
        <v/>
      </c>
      <c r="J84" s="7" t="inlineStr">
        <is>
          <t>Encargo externo (500.000 COP) por PR a develop. Ver P-73.</t>
        </is>
      </c>
    </row>
    <row r="85">
      <c r="A85" s="19" t="inlineStr">
        <is>
          <t>P-104</t>
        </is>
      </c>
      <c r="B85" s="4" t="inlineStr">
        <is>
          <t>Verificación y cierre</t>
        </is>
      </c>
      <c r="C85" s="4" t="inlineStr">
        <is>
          <t>Despliegue</t>
        </is>
      </c>
      <c r="D85" s="7" t="inlineStr">
        <is>
          <t>Aprobar y fusionar el PR develop → main para desplegar el rediseño C+ (con el arreglo de la tasa) en producción</t>
        </is>
      </c>
      <c r="E85" s="7" t="inlineStr">
        <is>
          <t>Sebas</t>
        </is>
      </c>
      <c r="F85" s="8" t="inlineStr">
        <is>
          <t>Alta</t>
        </is>
      </c>
      <c r="G85" s="8" t="inlineStr">
        <is>
          <t>Hecho</t>
        </is>
      </c>
      <c r="H85" s="8" t="inlineStr">
        <is>
          <t>6.18</t>
        </is>
      </c>
      <c r="I85" s="21">
        <f>IFERROR(INDEX(Plan!$B$5:$B$117,MATCH(H85,Plan!$A$5:$A$117,0)),"—")</f>
        <v/>
      </c>
      <c r="J85" s="7" t="inlineStr">
        <is>
          <t>29-sep: rediseno-c-plus ya fusionada a develop y subida a origin (suite e2e 290/290, tsc/lint/build en verde). Falta que Sebas apruebe/fusione el PR develop → main para que Vercel despliegue el rediseño C+ en producción. 30-sep: fusionado; C+ en producción.</t>
        </is>
      </c>
    </row>
    <row r="86">
      <c r="A86" s="19" t="inlineStr">
        <is>
          <t>P-118</t>
        </is>
      </c>
      <c r="B86" s="4" t="inlineStr">
        <is>
          <t>Verificación y cierre</t>
        </is>
      </c>
      <c r="C86" s="4" t="inlineStr">
        <is>
          <t>Entrega</t>
        </is>
      </c>
      <c r="D86" s="7" t="inlineStr">
        <is>
          <t>Entrega final y último pago el viernes 9-oct (garantía 9-oct al 7-nov, soporte desde el 8-nov)</t>
        </is>
      </c>
      <c r="E86" s="7" t="inlineStr">
        <is>
          <t>Sebas</t>
        </is>
      </c>
      <c r="F86" s="8" t="inlineStr">
        <is>
          <t>Alta</t>
        </is>
      </c>
      <c r="G86" s="8" t="inlineStr">
        <is>
          <t>Hecho</t>
        </is>
      </c>
      <c r="H86" s="8" t="inlineStr">
        <is>
          <t>6.29</t>
        </is>
      </c>
      <c r="I86" s="21">
        <f>IFERROR(INDEX(Plan!$B$5:$B$117,MATCH(H86,Plan!$A$5:$A$117,0)),"—")</f>
        <v/>
      </c>
      <c r="J86" s="7" t="inlineStr">
        <is>
          <t>08-oct: la entrega pasó del miércoles 7-oct al viernes 9-oct.</t>
        </is>
      </c>
    </row>
    <row r="87">
      <c r="A87" s="19" t="inlineStr">
        <is>
          <t>P-39</t>
        </is>
      </c>
      <c r="B87" s="4" t="inlineStr">
        <is>
          <t>Verificación y cierre</t>
        </is>
      </c>
      <c r="C87" s="4" t="inlineStr">
        <is>
          <t>Calidad</t>
        </is>
      </c>
      <c r="D87" s="7" t="inlineStr">
        <is>
          <t>Correr ga-verificador-qa y ga-verificador-responsive</t>
        </is>
      </c>
      <c r="E87" s="7" t="inlineStr">
        <is>
          <t>Yo</t>
        </is>
      </c>
      <c r="F87" s="8" t="inlineStr">
        <is>
          <t>Alta</t>
        </is>
      </c>
      <c r="G87" s="8" t="inlineStr">
        <is>
          <t>Hecho</t>
        </is>
      </c>
      <c r="H87" s="8" t="inlineStr">
        <is>
          <t>6.3</t>
        </is>
      </c>
      <c r="I87" s="21">
        <f>IFERROR(INDEX(Plan!$B$5:$B$117,MATCH(H87,Plan!$A$5:$A$117,0)),"—")</f>
        <v/>
      </c>
      <c r="J87"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88">
      <c r="A88" s="19" t="inlineStr">
        <is>
          <t>P-41</t>
        </is>
      </c>
      <c r="B88" s="4" t="inlineStr">
        <is>
          <t>Verificación y cierre</t>
        </is>
      </c>
      <c r="C88" s="4" t="inlineStr">
        <is>
          <t>Git</t>
        </is>
      </c>
      <c r="D88" s="7" t="inlineStr">
        <is>
          <t>Commit de las pantallas nuevas</t>
        </is>
      </c>
      <c r="E88" s="7" t="inlineStr">
        <is>
          <t>Yo</t>
        </is>
      </c>
      <c r="F88" s="8" t="inlineStr">
        <is>
          <t>Alta</t>
        </is>
      </c>
      <c r="G88" s="8" t="inlineStr">
        <is>
          <t>Hecho</t>
        </is>
      </c>
      <c r="H88" s="8" t="inlineStr">
        <is>
          <t>—</t>
        </is>
      </c>
      <c r="I88" s="21">
        <f>IFERROR(INDEX(Plan!$B$5:$B$117,MATCH(H88,Plan!$A$5:$A$117,0)),"—")</f>
        <v/>
      </c>
      <c r="J88" s="7" t="inlineStr">
        <is>
          <t>Commit d86db86 en develop.</t>
        </is>
      </c>
    </row>
    <row r="89">
      <c r="A89" s="19" t="inlineStr">
        <is>
          <t>P-42</t>
        </is>
      </c>
      <c r="B89" s="4" t="inlineStr">
        <is>
          <t>Verificación y cierre</t>
        </is>
      </c>
      <c r="C89" s="4" t="inlineStr">
        <is>
          <t>Despliegue</t>
        </is>
      </c>
      <c r="D89" s="7" t="inlineStr">
        <is>
          <t>Subir a GitHub y desplegar en Vercel</t>
        </is>
      </c>
      <c r="E89" s="7" t="inlineStr">
        <is>
          <t>Yo</t>
        </is>
      </c>
      <c r="F89" s="8" t="inlineStr">
        <is>
          <t>Alta</t>
        </is>
      </c>
      <c r="G89" s="8" t="inlineStr">
        <is>
          <t>Hecho</t>
        </is>
      </c>
      <c r="H89" s="8" t="inlineStr">
        <is>
          <t>6.5</t>
        </is>
      </c>
      <c r="I89" s="21">
        <f>IFERROR(INDEX(Plan!$B$5:$B$117,MATCH(H89,Plan!$A$5:$A$117,0)),"—")</f>
        <v/>
      </c>
      <c r="J89" s="7" t="inlineStr"/>
    </row>
    <row r="90">
      <c r="A90" s="19" t="inlineStr">
        <is>
          <t>P-58</t>
        </is>
      </c>
      <c r="B90" s="4" t="inlineStr">
        <is>
          <t>Verificación y cierre</t>
        </is>
      </c>
      <c r="C90" s="4" t="inlineStr">
        <is>
          <t>Pruebas</t>
        </is>
      </c>
      <c r="D90" s="7" t="inlineStr">
        <is>
          <t>Actualizar tests/e2e a la afiliación v2 y a la nueva máscara de correo</t>
        </is>
      </c>
      <c r="E90" s="7" t="inlineStr">
        <is>
          <t>ga-escritor-tests</t>
        </is>
      </c>
      <c r="F90" s="8" t="inlineStr">
        <is>
          <t>Alta</t>
        </is>
      </c>
      <c r="G90" s="8" t="inlineStr">
        <is>
          <t>Hecho</t>
        </is>
      </c>
      <c r="H90" s="8" t="inlineStr">
        <is>
          <t>6.1</t>
        </is>
      </c>
      <c r="I90" s="21">
        <f>IFERROR(INDEX(Plan!$B$5:$B$117,MATCH(H90,Plan!$A$5:$A$117,0)),"—")</f>
        <v/>
      </c>
      <c r="J90"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91">
      <c r="A91" s="19" t="inlineStr">
        <is>
          <t>P-64</t>
        </is>
      </c>
      <c r="B91" s="4" t="inlineStr">
        <is>
          <t>Verificación y cierre</t>
        </is>
      </c>
      <c r="C91" s="4" t="inlineStr">
        <is>
          <t>Git</t>
        </is>
      </c>
      <c r="D91" s="7" t="inlineStr">
        <is>
          <t>Abrir el PR de develop a main</t>
        </is>
      </c>
      <c r="E91" s="7" t="inlineStr">
        <is>
          <t>Sebas</t>
        </is>
      </c>
      <c r="F91" s="8" t="inlineStr">
        <is>
          <t>Alta</t>
        </is>
      </c>
      <c r="G91" s="8" t="inlineStr">
        <is>
          <t>Hecho</t>
        </is>
      </c>
      <c r="H91" s="8" t="inlineStr">
        <is>
          <t>6.5</t>
        </is>
      </c>
      <c r="I91" s="21">
        <f>IFERROR(INDEX(Plan!$B$5:$B$117,MATCH(H91,Plan!$A$5:$A$117,0)),"—")</f>
        <v/>
      </c>
      <c r="J91" s="7" t="inlineStr">
        <is>
          <t>25-sep: Sebas abrió y fusionó el PR #1 develop → main (merge 5a39d34); Vercel desplegó fase 2 en producción.</t>
        </is>
      </c>
    </row>
    <row r="92">
      <c r="A92" s="19" t="inlineStr">
        <is>
          <t>P-82</t>
        </is>
      </c>
      <c r="B92" s="4" t="inlineStr">
        <is>
          <t>Verificación y cierre</t>
        </is>
      </c>
      <c r="C92" s="4" t="inlineStr">
        <is>
          <t>Despliegue</t>
        </is>
      </c>
      <c r="D92" s="7" t="inlineStr">
        <is>
          <t>Probar en producción con sesión real de los 3 administradores (ingreso con código OTP y logo del correo)</t>
        </is>
      </c>
      <c r="E92" s="7" t="inlineStr">
        <is>
          <t>Sebas</t>
        </is>
      </c>
      <c r="F92" s="8" t="inlineStr">
        <is>
          <t>Alta</t>
        </is>
      </c>
      <c r="G92" s="8" t="inlineStr">
        <is>
          <t>Hecho</t>
        </is>
      </c>
      <c r="H92" s="8" t="inlineStr">
        <is>
          <t>6.5</t>
        </is>
      </c>
      <c r="I92" s="21">
        <f>IFERROR(INDEX(Plan!$B$5:$B$117,MATCH(H92,Plan!$A$5:$A$117,0)),"—")</f>
        <v/>
      </c>
      <c r="J92" s="7" t="inlineStr">
        <is>
          <t>25-sep: Sebas entró con su cédula y le apareció el panel de administrador (falta confirmar Ricardo y abogadosprieto). 25-sep: reportado por la sesión principal tras el despliegue de fase 2; falta esta prueba manual antes de cerrar 6.5.</t>
        </is>
      </c>
    </row>
    <row r="93">
      <c r="A93" s="19" t="inlineStr">
        <is>
          <t>P-86</t>
        </is>
      </c>
      <c r="B93" s="4" t="inlineStr">
        <is>
          <t>Verificación y cierre</t>
        </is>
      </c>
      <c r="C93" s="4" t="inlineStr">
        <is>
          <t>/afiliacion</t>
        </is>
      </c>
      <c r="D93" s="7" t="inlineStr">
        <is>
          <t>A-01: la ayuda del dominio de correo institucional no se actualiza en vivo al elegir Policía/Ejército</t>
        </is>
      </c>
      <c r="E93" s="7" t="inlineStr">
        <is>
          <t>ga-funcionalidad-botones</t>
        </is>
      </c>
      <c r="F93" s="8" t="inlineStr">
        <is>
          <t>Alta</t>
        </is>
      </c>
      <c r="G93" s="8" t="inlineStr">
        <is>
          <t>Hecho</t>
        </is>
      </c>
      <c r="H93" s="8" t="inlineStr">
        <is>
          <t>6.3</t>
        </is>
      </c>
      <c r="I93" s="21">
        <f>IFERROR(INDEX(Plan!$B$5:$B$117,MATCH(H93,Plan!$A$5:$A$117,0)),"—")</f>
        <v/>
      </c>
      <c r="J93"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94">
      <c r="A94" s="19" t="inlineStr">
        <is>
          <t>P-40</t>
        </is>
      </c>
      <c r="B94" s="4" t="inlineStr">
        <is>
          <t>Verificación y cierre</t>
        </is>
      </c>
      <c r="C94" s="4" t="inlineStr">
        <is>
          <t>Código</t>
        </is>
      </c>
      <c r="D94" s="7" t="inlineStr">
        <is>
          <t>Borrar /login y /dashboard cuando /ingresar y /cuenta funcionen</t>
        </is>
      </c>
      <c r="E94" s="7" t="inlineStr">
        <is>
          <t>Yo</t>
        </is>
      </c>
      <c r="F94" s="8" t="inlineStr">
        <is>
          <t>Media</t>
        </is>
      </c>
      <c r="G94" s="8" t="inlineStr">
        <is>
          <t>Hecho</t>
        </is>
      </c>
      <c r="H94" s="8" t="inlineStr">
        <is>
          <t>5.5</t>
        </is>
      </c>
      <c r="I94" s="21">
        <f>IFERROR(INDEX(Plan!$B$5:$B$117,MATCH(H94,Plan!$A$5:$A$117,0)),"—")</f>
        <v/>
      </c>
      <c r="J94" s="7" t="inlineStr">
        <is>
          <t>Borradas el 23-sep (incluida /dashboard/solicitar, su parte del proxy y los colores heredados de tailwind.config.ts).</t>
        </is>
      </c>
    </row>
    <row r="95">
      <c r="A95" s="19" t="inlineStr">
        <is>
          <t>P-49</t>
        </is>
      </c>
      <c r="B95" s="4" t="inlineStr">
        <is>
          <t>Verificación y cierre</t>
        </is>
      </c>
      <c r="C95" s="4" t="inlineStr">
        <is>
          <t>Seguridad</t>
        </is>
      </c>
      <c r="D95" s="7" t="inlineStr">
        <is>
          <t>Revisar si conviene confiar en x-forwarded-for para el límite de intentos por IP</t>
        </is>
      </c>
      <c r="E95" s="7" t="inlineStr">
        <is>
          <t>ga-revisor-seguridad</t>
        </is>
      </c>
      <c r="F95" s="8" t="inlineStr">
        <is>
          <t>Media</t>
        </is>
      </c>
      <c r="G95" s="8" t="inlineStr">
        <is>
          <t>Hecho</t>
        </is>
      </c>
      <c r="H95" s="8" t="inlineStr">
        <is>
          <t>6.2</t>
        </is>
      </c>
      <c r="I95" s="21">
        <f>IFERROR(INDEX(Plan!$B$5:$B$117,MATCH(H95,Plan!$A$5:$A$117,0)),"—")</f>
        <v/>
      </c>
      <c r="J95" s="7" t="inlineStr">
        <is>
          <t>Sugerido por ga-verificador-qa el 23-sep. Documentado por ga-funcionalidad-botones como O-01 en lib/servidor/limite.ts: x-forwarded-for/x-real-ip solo son confiables detrás de Vercel (nuestro caso); el límite real por cédula/IP lo hace la app, no Supabase.</t>
        </is>
      </c>
    </row>
    <row r="96">
      <c r="A96" s="19" t="inlineStr">
        <is>
          <t>P-50</t>
        </is>
      </c>
      <c r="B96" s="4" t="inlineStr">
        <is>
          <t>Verificación y cierre</t>
        </is>
      </c>
      <c r="C96" s="4" t="inlineStr">
        <is>
          <t>Correos</t>
        </is>
      </c>
      <c r="D96" s="7" t="inlineStr">
        <is>
          <t>Confirmar que salen los correos de afiliación (el log queda en la terminal de next dev)</t>
        </is>
      </c>
      <c r="E96" s="7" t="inlineStr">
        <is>
          <t>Yo</t>
        </is>
      </c>
      <c r="F96" s="8" t="inlineStr">
        <is>
          <t>Media</t>
        </is>
      </c>
      <c r="G96" s="8" t="inlineStr">
        <is>
          <t>Hecho</t>
        </is>
      </c>
      <c r="H96" s="8" t="inlineStr">
        <is>
          <t>—</t>
        </is>
      </c>
      <c r="I96" s="21">
        <f>IFERROR(INDEX(Plan!$B$5:$B$117,MATCH(H96,Plan!$A$5:$A$117,0)),"—")</f>
        <v/>
      </c>
      <c r="J96" s="7" t="inlineStr">
        <is>
          <t>Ya no aplica: el 23-sep se quitaron los correos de afiliación del código (decisión de Sebas).</t>
        </is>
      </c>
    </row>
    <row r="97">
      <c r="A97" s="19" t="inlineStr">
        <is>
          <t>P-62</t>
        </is>
      </c>
      <c r="B97" s="4" t="inlineStr">
        <is>
          <t>Verificación y cierre</t>
        </is>
      </c>
      <c r="C97" s="4" t="inlineStr">
        <is>
          <t>Base de datos</t>
        </is>
      </c>
      <c r="D97" s="7" t="inlineStr">
        <is>
          <t>Borrar la cuenta admin de prueba «Test QA» (cédula 1099887766) desde el panel de Supabase</t>
        </is>
      </c>
      <c r="E97" s="7" t="inlineStr">
        <is>
          <t>Sebas</t>
        </is>
      </c>
      <c r="F97" s="8" t="inlineStr">
        <is>
          <t>Media</t>
        </is>
      </c>
      <c r="G97" s="8" t="inlineStr">
        <is>
          <t>Hecho</t>
        </is>
      </c>
      <c r="H97" s="8" t="inlineStr">
        <is>
          <t>6.13</t>
        </is>
      </c>
      <c r="I97" s="21">
        <f>IFERROR(INDEX(Plan!$B$5:$B$117,MATCH(H97,Plan!$A$5:$A$117,0)),"—")</f>
        <v/>
      </c>
      <c r="J97" s="7" t="inlineStr">
        <is>
          <t>Ya hay 3 administradores reales en producción: Ricardo, Abogados Prieto y Sebas. 24-sep: usuario «Test QA» borrado de producción por Sebas.</t>
        </is>
      </c>
    </row>
    <row r="98">
      <c r="A98" s="19" t="inlineStr">
        <is>
          <t>P-71</t>
        </is>
      </c>
      <c r="B98" s="4" t="inlineStr">
        <is>
          <t>Verificación y cierre</t>
        </is>
      </c>
      <c r="C98" s="4" t="inlineStr">
        <is>
          <t>Pruebas</t>
        </is>
      </c>
      <c r="D98" s="7" t="inlineStr">
        <is>
          <t>Actualizar tests/e2e b-ingreso, i-despliegue y j-produccion al formato nuevo de máscara de correo</t>
        </is>
      </c>
      <c r="E98" s="7" t="inlineStr">
        <is>
          <t>Carlos Pardo</t>
        </is>
      </c>
      <c r="F98" s="8" t="inlineStr">
        <is>
          <t>Media</t>
        </is>
      </c>
      <c r="G98" s="8" t="inlineStr">
        <is>
          <t>Hecho</t>
        </is>
      </c>
      <c r="H98" s="8" t="inlineStr">
        <is>
          <t>6.15</t>
        </is>
      </c>
      <c r="I98" s="21">
        <f>IFERROR(INDEX(Plan!$B$5:$B$117,MATCH(H98,Plan!$A$5:$A$117,0)),"—")</f>
        <v/>
      </c>
      <c r="J98"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99">
      <c r="A99" s="19" t="inlineStr">
        <is>
          <t>P-94</t>
        </is>
      </c>
      <c r="B99" s="4" t="inlineStr">
        <is>
          <t>Verificación y cierre</t>
        </is>
      </c>
      <c r="C99" s="4" t="inlineStr">
        <is>
          <t>Pruebas</t>
        </is>
      </c>
      <c r="D99" s="7" t="inlineStr">
        <is>
          <t>Correr tests/e2e/b-ingreso.spec.ts y d-afiliacion.spec.ts contra la maquetación C+ de ingreso y afiliación, con Supabase local</t>
        </is>
      </c>
      <c r="E99" s="7" t="inlineStr">
        <is>
          <t>ga-verificador-qa o ga-escritor-tests</t>
        </is>
      </c>
      <c r="F99" s="8" t="inlineStr">
        <is>
          <t>Media</t>
        </is>
      </c>
      <c r="G99" s="8" t="inlineStr">
        <is>
          <t>Hecho</t>
        </is>
      </c>
      <c r="H99" s="8" t="inlineStr">
        <is>
          <t>2.15</t>
        </is>
      </c>
      <c r="I99" s="21">
        <f>IFERROR(INDEX(Plan!$B$5:$B$117,MATCH(H99,Plan!$A$5:$A$117,0)),"—")</f>
        <v/>
      </c>
      <c r="J99"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100">
      <c r="A100" s="19" t="inlineStr">
        <is>
          <t>P-102</t>
        </is>
      </c>
      <c r="B100" s="4" t="inlineStr">
        <is>
          <t>Verificación y cierre</t>
        </is>
      </c>
      <c r="C100" s="4" t="inlineStr">
        <is>
          <t>Landing</t>
        </is>
      </c>
      <c r="D100" s="7" t="inlineStr">
        <is>
          <t>B-01: sección de testimonios de la landing con corchetes de ejemplo visibles ([Nombre], [Testimonio]...)</t>
        </is>
      </c>
      <c r="E100" s="7" t="inlineStr">
        <is>
          <t>sesión principal</t>
        </is>
      </c>
      <c r="F100" s="8" t="inlineStr">
        <is>
          <t>Baja</t>
        </is>
      </c>
      <c r="G100" s="8" t="inlineStr">
        <is>
          <t>Hecho</t>
        </is>
      </c>
      <c r="H100" s="8" t="inlineStr">
        <is>
          <t>2.14</t>
        </is>
      </c>
      <c r="I100" s="21">
        <f>IFERROR(INDEX(Plan!$B$5:$B$117,MATCH(H100,Plan!$A$5:$A$117,0)),"—")</f>
        <v/>
      </c>
      <c r="J100" s="7" t="inlineStr">
        <is>
          <t>27-sep: hallazgo Bajo de ga-verificador-qa. Corregido en rediseno-c-plus (commit local fdab456): la sección se oculta mientras tenga textos de ejemplo. Falta el contenido real y decidir si se mantiene la sección, ver P-103.</t>
        </is>
      </c>
    </row>
    <row r="101">
      <c r="A101" s="19" t="inlineStr">
        <is>
          <t>P-52</t>
        </is>
      </c>
      <c r="B101" s="4" t="inlineStr">
        <is>
          <t>Verificación y cierre</t>
        </is>
      </c>
      <c r="C101" s="4" t="inlineStr">
        <is>
          <t>Documentación</t>
        </is>
      </c>
      <c r="D101" s="7" t="inlineStr">
        <is>
          <t>Mapa de botones: §4 «Nueva solicitud» → /cuenta/solicitar y sección para la ruta /cuenta/solicitar</t>
        </is>
      </c>
      <c r="E101" s="7" t="inlineStr">
        <is>
          <t>ga-funcionalidad-botones</t>
        </is>
      </c>
      <c r="F101" s="8" t="inlineStr">
        <is>
          <t>Baja</t>
        </is>
      </c>
      <c r="G101" s="8" t="inlineStr">
        <is>
          <t>Hecho</t>
        </is>
      </c>
      <c r="H101" s="8" t="inlineStr">
        <is>
          <t>3.7</t>
        </is>
      </c>
      <c r="I101" s="21">
        <f>IFERROR(INDEX(Plan!$B$5:$B$117,MATCH(H101,Plan!$A$5:$A$117,0)),"—")</f>
        <v/>
      </c>
      <c r="J101" s="7" t="inlineStr">
        <is>
          <t>Reportado por ga-diseno-a-codigo. Verificado el 23-sep: docs/mapa-de-botones.md ya tiene §4 «Nueva solicitud» → /cuenta/solicitar (Definido) y §4b /cuenta/solicitar; /dashboard se eliminó.</t>
        </is>
      </c>
    </row>
    <row r="102">
      <c r="A102" s="19" t="inlineStr">
        <is>
          <t>P-63</t>
        </is>
      </c>
      <c r="B102" s="4" t="inlineStr">
        <is>
          <t>Decisión</t>
        </is>
      </c>
      <c r="C102" s="4" t="inlineStr">
        <is>
          <t>Fase 2</t>
        </is>
      </c>
      <c r="D102" s="7" t="inlineStr">
        <is>
          <t>Preguntas abiertas de fase 2 para la cooperativa: grados del Ejército, dominios de correo institucionales (hoy solo policia.gov.co, buzonejercito.mil.co, ejercito.mil.co), tiempo que se guardan las fotos y tope de intentos del sorteo</t>
        </is>
      </c>
      <c r="E102" s="7" t="inlineStr">
        <is>
          <t>Cooperativa</t>
        </is>
      </c>
      <c r="F102" s="8" t="inlineStr">
        <is>
          <t>Alta</t>
        </is>
      </c>
      <c r="G102" s="8" t="inlineStr">
        <is>
          <t>Pendiente</t>
        </is>
      </c>
      <c r="H102" s="8" t="inlineStr">
        <is>
          <t>1.5</t>
        </is>
      </c>
      <c r="I102" s="21">
        <f>IFERROR(INDEX(Plan!$B$5:$B$117,MATCH(H102,Plan!$A$5:$A$117,0)),"—")</f>
        <v/>
      </c>
      <c r="J102" s="7" t="inlineStr">
        <is>
          <t>Ver docs/spec-fase-2.md §Preguntas abiertas. 30-sep: no aparece en §12; por confirmar (dominio del Ejército).</t>
        </is>
      </c>
    </row>
    <row r="103">
      <c r="A103" s="19" t="inlineStr">
        <is>
          <t>P-123</t>
        </is>
      </c>
      <c r="B103" s="4" t="inlineStr">
        <is>
          <t>Decisión</t>
        </is>
      </c>
      <c r="C103" s="4" t="inlineStr">
        <is>
          <t>Correos</t>
        </is>
      </c>
      <c r="D103" s="7" t="inlineStr">
        <is>
          <t>Plan Pro de Resend (verificar precio)</t>
        </is>
      </c>
      <c r="E103" s="7" t="inlineStr">
        <is>
          <t>Cooperativa</t>
        </is>
      </c>
      <c r="F103" s="8" t="inlineStr">
        <is>
          <t>Media</t>
        </is>
      </c>
      <c r="G103" s="8" t="inlineStr">
        <is>
          <t>Pendiente</t>
        </is>
      </c>
      <c r="H103" s="8" t="inlineStr">
        <is>
          <t>6.28</t>
        </is>
      </c>
      <c r="I103" s="21">
        <f>IFERROR(INDEX(Plan!$B$5:$B$117,MATCH(H103,Plan!$A$5:$A$117,0)),"—")</f>
        <v/>
      </c>
      <c r="J103" s="7" t="inlineStr">
        <is>
          <t>Ver docs/entrega/plan-correos-resend.md.</t>
        </is>
      </c>
    </row>
    <row r="104">
      <c r="A104" s="19" t="inlineStr">
        <is>
          <t>P-140</t>
        </is>
      </c>
      <c r="B104" s="4" t="inlineStr">
        <is>
          <t>Decisión</t>
        </is>
      </c>
      <c r="C104" s="4" t="inlineStr">
        <is>
          <t>Admin</t>
        </is>
      </c>
      <c r="D104" s="7" t="inlineStr">
        <is>
          <t>Preguntar a la cooperativa cómo se desactiva o se baja de rol a un administrador (desde el 9-oct la app no lo permite, por H-07)</t>
        </is>
      </c>
      <c r="E104" s="7" t="inlineStr">
        <is>
          <t>Cooperativa</t>
        </is>
      </c>
      <c r="F104" s="8" t="inlineStr">
        <is>
          <t>Media</t>
        </is>
      </c>
      <c r="G104" s="8" t="inlineStr">
        <is>
          <t>Pendiente</t>
        </is>
      </c>
      <c r="H104" s="8" t="inlineStr">
        <is>
          <t>—</t>
        </is>
      </c>
      <c r="I104" s="21">
        <f>IFERROR(INDEX(Plan!$B$5:$B$117,MATCH(H104,Plan!$A$5:$A$117,0)),"—")</f>
        <v/>
      </c>
      <c r="J104" s="7" t="inlineStr">
        <is>
          <t>09-oct: si la cooperativa lo necesita, hace falta otra migración.</t>
        </is>
      </c>
    </row>
    <row r="105">
      <c r="A105" s="19" t="inlineStr">
        <is>
          <t>P-98</t>
        </is>
      </c>
      <c r="B105" s="4" t="inlineStr">
        <is>
          <t>Decisión</t>
        </is>
      </c>
      <c r="C105" s="4" t="inlineStr">
        <is>
          <t>Asesor</t>
        </is>
      </c>
      <c r="D105" s="7" t="inlineStr">
        <is>
          <t>Confirmar la regla de categorización de asociados ya afiliados como «Aprobada» en las tarjetas/chips de /asesor (pedido D-06 del lienzo)</t>
        </is>
      </c>
      <c r="E105" s="7" t="inlineStr">
        <is>
          <t>Sebas</t>
        </is>
      </c>
      <c r="F105" s="8" t="inlineStr">
        <is>
          <t>Media</t>
        </is>
      </c>
      <c r="G105" s="8" t="inlineStr">
        <is>
          <t>Pendiente</t>
        </is>
      </c>
      <c r="H105" s="8" t="inlineStr">
        <is>
          <t>4.10</t>
        </is>
      </c>
      <c r="I105" s="21">
        <f>IFERROR(INDEX(Plan!$B$5:$B$117,MATCH(H105,Plan!$A$5:$A$117,0)),"—")</f>
        <v/>
      </c>
      <c r="J105"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106">
      <c r="A106" s="19" t="inlineStr">
        <is>
          <t>P-02</t>
        </is>
      </c>
      <c r="B106" s="4" t="inlineStr">
        <is>
          <t>Decisión</t>
        </is>
      </c>
      <c r="C106" s="4" t="inlineStr">
        <is>
          <t>/cuenta</t>
        </is>
      </c>
      <c r="D106" s="7" t="inlineStr">
        <is>
          <t>Preguntar a la cooperativa si los convenios tendrán página propia</t>
        </is>
      </c>
      <c r="E106" s="7" t="inlineStr">
        <is>
          <t>Cooperativa</t>
        </is>
      </c>
      <c r="F106" s="8" t="inlineStr">
        <is>
          <t>Baja</t>
        </is>
      </c>
      <c r="G106" s="8" t="inlineStr">
        <is>
          <t>Pendiente</t>
        </is>
      </c>
      <c r="H106" s="8" t="inlineStr">
        <is>
          <t>5.1</t>
        </is>
      </c>
      <c r="I106" s="21">
        <f>IFERROR(INDEX(Plan!$B$5:$B$117,MATCH(H106,Plan!$A$5:$A$117,0)),"—")</f>
        <v/>
      </c>
      <c r="J106" s="7" t="inlineStr">
        <is>
          <t>Por ahora son una sección en /cuenta (#convenios).</t>
        </is>
      </c>
    </row>
    <row r="107">
      <c r="A107" s="19" t="inlineStr">
        <is>
          <t>P-107</t>
        </is>
      </c>
      <c r="B107" s="4" t="inlineStr">
        <is>
          <t>Decisión</t>
        </is>
      </c>
      <c r="C107" s="4" t="inlineStr">
        <is>
          <t>/afiliacion/enviada</t>
        </is>
      </c>
      <c r="D107" s="7" t="inlineStr">
        <is>
          <t>Confirmar si «4 horas» de /afiliacion/enviada también cambia</t>
        </is>
      </c>
      <c r="E107" s="7" t="inlineStr">
        <is>
          <t>Sebas</t>
        </is>
      </c>
      <c r="F107" s="8" t="inlineStr">
        <is>
          <t>Baja</t>
        </is>
      </c>
      <c r="G107" s="8" t="inlineStr">
        <is>
          <t>Pendiente</t>
        </is>
      </c>
      <c r="H107" s="8" t="inlineStr">
        <is>
          <t>6.22</t>
        </is>
      </c>
      <c r="I107" s="21">
        <f>IFERROR(INDEX(Plan!$B$5:$B$117,MATCH(H107,Plan!$A$5:$A$117,0)),"—")</f>
        <v/>
      </c>
      <c r="J107" s="7" t="inlineStr"/>
    </row>
    <row r="108">
      <c r="A108" s="19" t="inlineStr">
        <is>
          <t>P-09</t>
        </is>
      </c>
      <c r="B108" s="4" t="inlineStr">
        <is>
          <t>Decisión</t>
        </is>
      </c>
      <c r="C108" s="4" t="inlineStr">
        <is>
          <t>Base de datos</t>
        </is>
      </c>
      <c r="D108" s="7" t="inlineStr">
        <is>
          <t>Revisar y aplicar en producción la migración blindar_solicitudes_y_revisiones</t>
        </is>
      </c>
      <c r="E108" s="7" t="inlineStr">
        <is>
          <t>Sebas (ga-auditor-supabase revisa antes)</t>
        </is>
      </c>
      <c r="F108" s="8" t="inlineStr">
        <is>
          <t>Alta</t>
        </is>
      </c>
      <c r="G108" s="8" t="inlineStr">
        <is>
          <t>Hecho</t>
        </is>
      </c>
      <c r="H108" s="8" t="inlineStr">
        <is>
          <t>6.10</t>
        </is>
      </c>
      <c r="I108" s="21">
        <f>IFERROR(INDEX(Plan!$B$5:$B$117,MATCH(H108,Plan!$A$5:$A$117,0)),"—")</f>
        <v/>
      </c>
      <c r="J108" s="7" t="inlineStr">
        <is>
          <t>Verificado con list_migrations el 23-sep: producción ya tiene 20260923173355_blindar_solicitudes_y_revisiones.</t>
        </is>
      </c>
    </row>
    <row r="109">
      <c r="A109" s="19" t="inlineStr">
        <is>
          <t>P-08</t>
        </is>
      </c>
      <c r="B109" s="4" t="inlineStr">
        <is>
          <t>Decisión</t>
        </is>
      </c>
      <c r="C109" s="4" t="inlineStr">
        <is>
          <t>/cuenta</t>
        </is>
      </c>
      <c r="D109" s="7" t="inlineStr">
        <is>
          <t>P-10: el asociado no cambia su nombre pero sí su teléfono</t>
        </is>
      </c>
      <c r="E109" s="7" t="inlineStr">
        <is>
          <t>Yo</t>
        </is>
      </c>
      <c r="F109" s="8" t="inlineStr">
        <is>
          <t>Media</t>
        </is>
      </c>
      <c r="G109" s="8" t="inlineStr">
        <is>
          <t>Hecho</t>
        </is>
      </c>
      <c r="H109" s="8" t="inlineStr">
        <is>
          <t>3.6</t>
        </is>
      </c>
      <c r="I109" s="21">
        <f>IFERROR(INDEX(Plan!$B$5:$B$117,MATCH(H109,Plan!$A$5:$A$117,0)),"—")</f>
        <v/>
      </c>
      <c r="J109" s="7" t="inlineStr">
        <is>
          <t>Apartado «Mis datos» ya maquetado.</t>
        </is>
      </c>
    </row>
    <row r="110">
      <c r="A110" s="19" t="inlineStr">
        <is>
          <t>P-100</t>
        </is>
      </c>
      <c r="B110" s="4" t="inlineStr">
        <is>
          <t>Decisión</t>
        </is>
      </c>
      <c r="C110" s="4" t="inlineStr">
        <is>
          <t>Seguridad</t>
        </is>
      </c>
      <c r="D110" s="7" t="inlineStr">
        <is>
          <t>Migración de permisos por columna para que un asociado no pueda leer la tasa de interés consultando la API directo con su sesión</t>
        </is>
      </c>
      <c r="E110" s="7" t="inlineStr">
        <is>
          <t>Sebas</t>
        </is>
      </c>
      <c r="F110" s="8" t="inlineStr">
        <is>
          <t>Media</t>
        </is>
      </c>
      <c r="G110" s="8" t="inlineStr">
        <is>
          <t>Hecho</t>
        </is>
      </c>
      <c r="H110" s="8" t="inlineStr">
        <is>
          <t>3.5</t>
        </is>
      </c>
      <c r="I110" s="21">
        <f>IFERROR(INDEX(Plan!$B$5:$B$117,MATCH(H110,Plan!$A$5:$A$117,0)),"—")</f>
        <v/>
      </c>
      <c r="J110"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111">
      <c r="A111" s="19" t="inlineStr">
        <is>
          <t>P-106</t>
        </is>
      </c>
      <c r="B111" s="4" t="inlineStr">
        <is>
          <t>Decisión</t>
        </is>
      </c>
      <c r="C111" s="4" t="inlineStr">
        <is>
          <t>Admin</t>
        </is>
      </c>
      <c r="D111" s="7" t="inlineStr">
        <is>
          <t>R-09: quién registra los pagos de comisión</t>
        </is>
      </c>
      <c r="E111" s="7" t="inlineStr">
        <is>
          <t>Sebas + Ricardo</t>
        </is>
      </c>
      <c r="F111" s="8" t="inlineStr">
        <is>
          <t>Media</t>
        </is>
      </c>
      <c r="G111" s="8" t="inlineStr">
        <is>
          <t>Hecho</t>
        </is>
      </c>
      <c r="H111" s="8" t="inlineStr">
        <is>
          <t>—</t>
        </is>
      </c>
      <c r="I111" s="21">
        <f>IFERROR(INDEX(Plan!$B$5:$B$117,MATCH(H111,Plan!$A$5:$A$117,0)),"—")</f>
        <v/>
      </c>
      <c r="J111" s="7" t="inlineStr">
        <is>
          <t>R-10 y R-11 cerrados por Sebas (§12.14).</t>
        </is>
      </c>
    </row>
    <row r="112">
      <c r="A112" s="19" t="inlineStr">
        <is>
          <t>P-111</t>
        </is>
      </c>
      <c r="B112" s="4" t="inlineStr">
        <is>
          <t>Decisión</t>
        </is>
      </c>
      <c r="C112" s="4" t="inlineStr">
        <is>
          <t>/admin</t>
        </is>
      </c>
      <c r="D112" s="7" t="inlineStr">
        <is>
          <t>¿«Inscritos al sorteo» entra al dashboard del admin?</t>
        </is>
      </c>
      <c r="E112" s="7" t="inlineStr">
        <is>
          <t>Cooperativa</t>
        </is>
      </c>
      <c r="F112" s="8" t="inlineStr">
        <is>
          <t>Media</t>
        </is>
      </c>
      <c r="G112" s="8" t="inlineStr">
        <is>
          <t>Hecho</t>
        </is>
      </c>
      <c r="H112" s="8" t="inlineStr">
        <is>
          <t>4.7</t>
        </is>
      </c>
      <c r="I112" s="21">
        <f>IFERROR(INDEX(Plan!$B$5:$B$117,MATCH(H112,Plan!$A$5:$A$117,0)),"—")</f>
        <v/>
      </c>
      <c r="J112" s="7" t="inlineStr">
        <is>
          <t>30-sep: reportado por ga-disenador-lienzo y ga-diseno-a-codigo.</t>
        </is>
      </c>
    </row>
    <row r="113">
      <c r="A113" s="19" t="inlineStr">
        <is>
          <t>P-119</t>
        </is>
      </c>
      <c r="B113" s="4" t="inlineStr">
        <is>
          <t>Decisión</t>
        </is>
      </c>
      <c r="C113" s="4" t="inlineStr">
        <is>
          <t>Admin</t>
        </is>
      </c>
      <c r="D113" s="7" t="inlineStr">
        <is>
          <t>Preguntas sobre el rol secretario (¿ve Asociados/Créditos en solo lectura?)</t>
        </is>
      </c>
      <c r="E113" s="7" t="inlineStr">
        <is>
          <t>Cooperativa</t>
        </is>
      </c>
      <c r="F113" s="8" t="inlineStr">
        <is>
          <t>Media</t>
        </is>
      </c>
      <c r="G113" s="8" t="inlineStr">
        <is>
          <t>Hecho</t>
        </is>
      </c>
      <c r="H113" s="8" t="inlineStr">
        <is>
          <t>4.20</t>
        </is>
      </c>
      <c r="I113" s="21">
        <f>IFERROR(INDEX(Plan!$B$5:$B$117,MATCH(H113,Plan!$A$5:$A$117,0)),"—")</f>
        <v/>
      </c>
      <c r="J113" s="7" t="inlineStr"/>
    </row>
    <row r="114">
      <c r="A114" s="19" t="inlineStr">
        <is>
          <t>P-120</t>
        </is>
      </c>
      <c r="B114" s="4" t="inlineStr">
        <is>
          <t>Decisión</t>
        </is>
      </c>
      <c r="C114" s="4" t="inlineStr">
        <is>
          <t>Admin</t>
        </is>
      </c>
      <c r="D114" s="7" t="inlineStr">
        <is>
          <t>¿Se borran los comprobantes de desembolso al eliminar definitivamente a un asociado?</t>
        </is>
      </c>
      <c r="E114" s="7" t="inlineStr">
        <is>
          <t>Cooperativa</t>
        </is>
      </c>
      <c r="F114" s="8" t="inlineStr">
        <is>
          <t>Media</t>
        </is>
      </c>
      <c r="G114" s="8" t="inlineStr">
        <is>
          <t>Hecho</t>
        </is>
      </c>
      <c r="H114" s="8" t="inlineStr">
        <is>
          <t>4.19</t>
        </is>
      </c>
      <c r="I114" s="21">
        <f>IFERROR(INDEX(Plan!$B$5:$B$117,MATCH(H114,Plan!$A$5:$A$117,0)),"—")</f>
        <v/>
      </c>
      <c r="J114" s="7" t="inlineStr"/>
    </row>
    <row r="115">
      <c r="A115" s="19" t="inlineStr">
        <is>
          <t>P-122</t>
        </is>
      </c>
      <c r="B115" s="4" t="inlineStr">
        <is>
          <t>Decisión</t>
        </is>
      </c>
      <c r="C115" s="4" t="inlineStr">
        <is>
          <t>/cuenta</t>
        </is>
      </c>
      <c r="D115" s="7" t="inlineStr">
        <is>
          <t>Moderación de las fotos que sube el asociado al carné</t>
        </is>
      </c>
      <c r="E115" s="7" t="inlineStr">
        <is>
          <t>Cooperativa</t>
        </is>
      </c>
      <c r="F115" s="8" t="inlineStr">
        <is>
          <t>Media</t>
        </is>
      </c>
      <c r="G115" s="8" t="inlineStr">
        <is>
          <t>Hecho</t>
        </is>
      </c>
      <c r="H115" s="8" t="inlineStr">
        <is>
          <t>5.15</t>
        </is>
      </c>
      <c r="I115" s="21">
        <f>IFERROR(INDEX(Plan!$B$5:$B$117,MATCH(H115,Plan!$A$5:$A$117,0)),"—")</f>
        <v/>
      </c>
      <c r="J115" s="7" t="inlineStr"/>
    </row>
    <row r="116">
      <c r="A116" s="19" t="inlineStr">
        <is>
          <t>P-65</t>
        </is>
      </c>
      <c r="B116" s="4" t="inlineStr">
        <is>
          <t>Decisión</t>
        </is>
      </c>
      <c r="C116" s="4" t="inlineStr">
        <is>
          <t>Sorteo</t>
        </is>
      </c>
      <c r="D116" s="7" t="inlineStr">
        <is>
          <t>Decidir si un admin o un asesor pueden participar en el sorteo mensual</t>
        </is>
      </c>
      <c r="E116" s="7" t="inlineStr">
        <is>
          <t>Cooperativa</t>
        </is>
      </c>
      <c r="F116" s="8" t="inlineStr">
        <is>
          <t>Media</t>
        </is>
      </c>
      <c r="G116" s="8" t="inlineStr">
        <is>
          <t>Hecho</t>
        </is>
      </c>
      <c r="H116" s="8" t="inlineStr">
        <is>
          <t>3.9</t>
        </is>
      </c>
      <c r="I116" s="21">
        <f>IFERROR(INDEX(Plan!$B$5:$B$117,MATCH(H116,Plan!$A$5:$A$117,0)),"—")</f>
        <v/>
      </c>
      <c r="J116" s="7" t="inlineStr">
        <is>
          <t>Sugerido por ga-revisor-seguridad el 24-sep. 24-sep: decidido que solo participan asociados (S-13, ya implementado en participarSorteo).</t>
        </is>
      </c>
    </row>
    <row r="117">
      <c r="A117" s="19" t="inlineStr">
        <is>
          <t>P-95</t>
        </is>
      </c>
      <c r="B117" s="4" t="inlineStr">
        <is>
          <t>Decisión</t>
        </is>
      </c>
      <c r="C117" s="4" t="inlineStr">
        <is>
          <t>Admin</t>
        </is>
      </c>
      <c r="D117" s="7" t="inlineStr">
        <is>
          <t>Botón «Escribir por WhatsApp» en el detalle de afiliación del admin</t>
        </is>
      </c>
      <c r="E117" s="7" t="inlineStr">
        <is>
          <t>Cooperativa</t>
        </is>
      </c>
      <c r="F117" s="8" t="inlineStr">
        <is>
          <t>Media</t>
        </is>
      </c>
      <c r="G117" s="8" t="inlineStr">
        <is>
          <t>Hecho</t>
        </is>
      </c>
      <c r="H117" s="8" t="inlineStr">
        <is>
          <t>4.11</t>
        </is>
      </c>
      <c r="I117" s="21">
        <f>IFERROR(INDEX(Plan!$B$5:$B$117,MATCH(H117,Plan!$A$5:$A$117,0)),"—")</f>
        <v/>
      </c>
      <c r="J117"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118">
      <c r="A118" s="19" t="inlineStr">
        <is>
          <t>P-96</t>
        </is>
      </c>
      <c r="B118" s="4" t="inlineStr">
        <is>
          <t>Decisión</t>
        </is>
      </c>
      <c r="C118" s="4" t="inlineStr">
        <is>
          <t>Admin</t>
        </is>
      </c>
      <c r="D118" s="7" t="inlineStr">
        <is>
          <t>Asignar/desactivar el asesor de un asociado (proceso sin definir)</t>
        </is>
      </c>
      <c r="E118" s="7" t="inlineStr">
        <is>
          <t>Cooperativa</t>
        </is>
      </c>
      <c r="F118" s="8" t="inlineStr">
        <is>
          <t>Media</t>
        </is>
      </c>
      <c r="G118" s="8" t="inlineStr">
        <is>
          <t>Hecho</t>
        </is>
      </c>
      <c r="H118" s="8" t="inlineStr">
        <is>
          <t>4.11</t>
        </is>
      </c>
      <c r="I118" s="21">
        <f>IFERROR(INDEX(Plan!$B$5:$B$117,MATCH(H118,Plan!$A$5:$A$117,0)),"—")</f>
        <v/>
      </c>
      <c r="J118"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119">
      <c r="A119" s="19" t="inlineStr">
        <is>
          <t>P-97</t>
        </is>
      </c>
      <c r="B119" s="4" t="inlineStr">
        <is>
          <t>Decisión</t>
        </is>
      </c>
      <c r="C119" s="4" t="inlineStr">
        <is>
          <t>Admin</t>
        </is>
      </c>
      <c r="D119" s="7" t="inlineStr">
        <is>
          <t>Motivo de rechazo visible en el detalle de afiliación (requiere migración)</t>
        </is>
      </c>
      <c r="E119" s="7" t="inlineStr">
        <is>
          <t>Cooperativa</t>
        </is>
      </c>
      <c r="F119" s="8" t="inlineStr">
        <is>
          <t>Media</t>
        </is>
      </c>
      <c r="G119" s="8" t="inlineStr">
        <is>
          <t>Hecho</t>
        </is>
      </c>
      <c r="H119" s="8" t="inlineStr">
        <is>
          <t>4.11</t>
        </is>
      </c>
      <c r="I119" s="21">
        <f>IFERROR(INDEX(Plan!$B$5:$B$117,MATCH(H119,Plan!$A$5:$A$117,0)),"—")</f>
        <v/>
      </c>
      <c r="J119"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120">
      <c r="A120" s="19" t="inlineStr">
        <is>
          <t>P-01</t>
        </is>
      </c>
      <c r="B120" s="4" t="inlineStr">
        <is>
          <t>Decisión</t>
        </is>
      </c>
      <c r="C120" s="4" t="inlineStr">
        <is>
          <t>General</t>
        </is>
      </c>
      <c r="D120" s="7" t="inlineStr">
        <is>
          <t>Color de error #B3261E</t>
        </is>
      </c>
      <c r="E120" s="7" t="inlineStr">
        <is>
          <t>Yo</t>
        </is>
      </c>
      <c r="F120" s="8" t="inlineStr">
        <is>
          <t>Baja</t>
        </is>
      </c>
      <c r="G120" s="8" t="inlineStr">
        <is>
          <t>Hecho</t>
        </is>
      </c>
      <c r="H120" s="8" t="inlineStr">
        <is>
          <t>—</t>
        </is>
      </c>
      <c r="I120" s="21">
        <f>IFERROR(INDEX(Plan!$B$5:$B$117,MATCH(H120,Plan!$A$5:$A$117,0)),"—")</f>
        <v/>
      </c>
      <c r="J120" s="7" t="inlineStr">
        <is>
          <t>Se deja.</t>
        </is>
      </c>
    </row>
    <row r="121">
      <c r="A121" s="19" t="inlineStr">
        <is>
          <t>P-03</t>
        </is>
      </c>
      <c r="B121" s="4" t="inlineStr">
        <is>
          <t>Decisión</t>
        </is>
      </c>
      <c r="C121" s="4" t="inlineStr">
        <is>
          <t>/cuenta</t>
        </is>
      </c>
      <c r="D121" s="7" t="inlineStr">
        <is>
          <t>Estado vacío de «Tu solicitud»</t>
        </is>
      </c>
      <c r="E121" s="7" t="inlineStr">
        <is>
          <t>Yo</t>
        </is>
      </c>
      <c r="F121" s="8" t="inlineStr">
        <is>
          <t>Baja</t>
        </is>
      </c>
      <c r="G121" s="8" t="inlineStr">
        <is>
          <t>Hecho</t>
        </is>
      </c>
      <c r="H121" s="8" t="inlineStr">
        <is>
          <t>3.4</t>
        </is>
      </c>
      <c r="I121" s="21">
        <f>IFERROR(INDEX(Plan!$B$5:$B$117,MATCH(H121,Plan!$A$5:$A$117,0)),"—")</f>
        <v/>
      </c>
      <c r="J121" s="7" t="inlineStr">
        <is>
          <t>Ver con /cuenta?vacio=1.</t>
        </is>
      </c>
    </row>
    <row r="122">
      <c r="A122" s="19" t="inlineStr">
        <is>
          <t>P-04</t>
        </is>
      </c>
      <c r="B122" s="4" t="inlineStr">
        <is>
          <t>Decisión</t>
        </is>
      </c>
      <c r="C122" s="4" t="inlineStr">
        <is>
          <t>General</t>
        </is>
      </c>
      <c r="D122" s="7" t="inlineStr">
        <is>
          <t>Logo en celular como enlace a la landing</t>
        </is>
      </c>
      <c r="E122" s="7" t="inlineStr">
        <is>
          <t>Yo</t>
        </is>
      </c>
      <c r="F122" s="8" t="inlineStr">
        <is>
          <t>Baja</t>
        </is>
      </c>
      <c r="G122" s="8" t="inlineStr">
        <is>
          <t>Hecho</t>
        </is>
      </c>
      <c r="H122" s="8" t="inlineStr">
        <is>
          <t>—</t>
        </is>
      </c>
      <c r="I122" s="21">
        <f>IFERROR(INDEX(Plan!$B$5:$B$117,MATCH(H122,Plan!$A$5:$A$117,0)),"—")</f>
        <v/>
      </c>
      <c r="J122" s="7" t="inlineStr"/>
    </row>
    <row r="123">
      <c r="A123" s="19" t="inlineStr">
        <is>
          <t>P-05</t>
        </is>
      </c>
      <c r="B123" s="4" t="inlineStr">
        <is>
          <t>Decisión</t>
        </is>
      </c>
      <c r="C123" s="4" t="inlineStr">
        <is>
          <t>General</t>
        </is>
      </c>
      <c r="D123" s="7" t="inlineStr">
        <is>
          <t>Escudo: public/logos/vector/green-alliance-logo.svg</t>
        </is>
      </c>
      <c r="E123" s="7" t="inlineStr">
        <is>
          <t>Yo</t>
        </is>
      </c>
      <c r="F123" s="8" t="inlineStr">
        <is>
          <t>Baja</t>
        </is>
      </c>
      <c r="G123" s="8" t="inlineStr">
        <is>
          <t>Hecho</t>
        </is>
      </c>
      <c r="H123" s="8" t="inlineStr">
        <is>
          <t>—</t>
        </is>
      </c>
      <c r="I123" s="21">
        <f>IFERROR(INDEX(Plan!$B$5:$B$117,MATCH(H123,Plan!$A$5:$A$117,0)),"—")</f>
        <v/>
      </c>
      <c r="J123" s="7" t="inlineStr"/>
    </row>
    <row r="124">
      <c r="A124" s="19" t="inlineStr">
        <is>
          <t>P-06</t>
        </is>
      </c>
      <c r="B124" s="4" t="inlineStr">
        <is>
          <t>Decisión</t>
        </is>
      </c>
      <c r="C124" s="4" t="inlineStr">
        <is>
          <t>/ingresar</t>
        </is>
      </c>
      <c r="D124" s="7" t="inlineStr">
        <is>
          <t>Formulario de ingreso entre 640 y 767 px (columna de 440 px)</t>
        </is>
      </c>
      <c r="E124" s="7" t="inlineStr">
        <is>
          <t>Yo</t>
        </is>
      </c>
      <c r="F124" s="8" t="inlineStr">
        <is>
          <t>Baja</t>
        </is>
      </c>
      <c r="G124" s="8" t="inlineStr">
        <is>
          <t>Hecho</t>
        </is>
      </c>
      <c r="H124" s="8" t="inlineStr">
        <is>
          <t>5.2</t>
        </is>
      </c>
      <c r="I124" s="21">
        <f>IFERROR(INDEX(Plan!$B$5:$B$117,MATCH(H124,Plan!$A$5:$A$117,0)),"—")</f>
        <v/>
      </c>
      <c r="J124" s="7" t="inlineStr"/>
    </row>
    <row r="125">
      <c r="A125" s="19" t="inlineStr">
        <is>
          <t>P-07</t>
        </is>
      </c>
      <c r="B125" s="4" t="inlineStr">
        <is>
          <t>Decisión</t>
        </is>
      </c>
      <c r="C125" s="4" t="inlineStr">
        <is>
          <t>/ingresar</t>
        </is>
      </c>
      <c r="D125" s="7" t="inlineStr">
        <is>
          <t>Panel verde en tableta (640–1023 px) centrado</t>
        </is>
      </c>
      <c r="E125" s="7" t="inlineStr">
        <is>
          <t>Yo</t>
        </is>
      </c>
      <c r="F125" s="8" t="inlineStr">
        <is>
          <t>Baja</t>
        </is>
      </c>
      <c r="G125" s="8" t="inlineStr">
        <is>
          <t>Hecho</t>
        </is>
      </c>
      <c r="H125" s="8" t="inlineStr">
        <is>
          <t>5.2</t>
        </is>
      </c>
      <c r="I125" s="21">
        <f>IFERROR(INDEX(Plan!$B$5:$B$117,MATCH(H125,Plan!$A$5:$A$117,0)),"—")</f>
        <v/>
      </c>
      <c r="J125" s="7" t="inlineStr"/>
    </row>
    <row r="126">
      <c r="A126" s="19" t="inlineStr">
        <is>
          <t>P-103</t>
        </is>
      </c>
      <c r="B126" s="4" t="inlineStr">
        <is>
          <t>Decisión</t>
        </is>
      </c>
      <c r="C126" s="4" t="inlineStr">
        <is>
          <t>Landing</t>
        </is>
      </c>
      <c r="D126" s="7" t="inlineStr">
        <is>
          <t>D-07: ¿se mantiene la sección de testimonios de la landing? si sí, falta su diseño en la pieza 2a y de dónde salen los testimonios reales</t>
        </is>
      </c>
      <c r="E126" s="7" t="inlineStr">
        <is>
          <t>Cooperativa</t>
        </is>
      </c>
      <c r="F126" s="8" t="inlineStr">
        <is>
          <t>Baja</t>
        </is>
      </c>
      <c r="G126" s="8" t="inlineStr">
        <is>
          <t>Hecho</t>
        </is>
      </c>
      <c r="H126" s="8" t="inlineStr">
        <is>
          <t>2.14</t>
        </is>
      </c>
      <c r="I126" s="21">
        <f>IFERROR(INDEX(Plan!$B$5:$B$117,MATCH(H126,Plan!$A$5:$A$117,0)),"—")</f>
        <v/>
      </c>
      <c r="J126" s="7" t="inlineStr">
        <is>
          <t>27-sep: pedido de diseño nuevo de ga-verificador-qa (la sección no tiene respaldo en la pieza 2a del lienzo). Relacionado con P-16 (fotos/cifras/testimonios reales, 5.3). 27-sep: Sebas decidió quitar la sección de testimonios de la landing (commit 4c63924).</t>
        </is>
      </c>
    </row>
    <row r="127">
      <c r="A127" s="19" t="inlineStr">
        <is>
          <t>P-115</t>
        </is>
      </c>
      <c r="B127" s="4" t="inlineStr">
        <is>
          <t>Decisión</t>
        </is>
      </c>
      <c r="C127" s="4" t="inlineStr">
        <is>
          <t>/cuenta</t>
        </is>
      </c>
      <c r="D127" s="7" t="inlineStr">
        <is>
          <t>¿El carné virtual lleva un código QR?</t>
        </is>
      </c>
      <c r="E127" s="7" t="inlineStr">
        <is>
          <t>Cooperativa</t>
        </is>
      </c>
      <c r="F127" s="8" t="inlineStr">
        <is>
          <t>Baja</t>
        </is>
      </c>
      <c r="G127" s="8" t="inlineStr">
        <is>
          <t>Hecho</t>
        </is>
      </c>
      <c r="H127" s="8" t="inlineStr">
        <is>
          <t>5.12</t>
        </is>
      </c>
      <c r="I127" s="21">
        <f>IFERROR(INDEX(Plan!$B$5:$B$117,MATCH(H127,Plan!$A$5:$A$117,0)),"—")</f>
        <v/>
      </c>
      <c r="J127" s="7" t="inlineStr">
        <is>
          <t>01-oct: planteado por ga-disenador-lienzo al maquetar 3u. 01-oct: el carné lleva QR con /verificar/[token] (5.14).</t>
        </is>
      </c>
    </row>
    <row r="128">
      <c r="A128" s="19" t="inlineStr">
        <is>
          <t>P-121</t>
        </is>
      </c>
      <c r="B128" s="4" t="inlineStr">
        <is>
          <t>Decisión</t>
        </is>
      </c>
      <c r="C128" s="4" t="inlineStr">
        <is>
          <t>/cuenta</t>
        </is>
      </c>
      <c r="D128" s="7" t="inlineStr">
        <is>
          <t>¿El carné sin foto lleva una silueta?</t>
        </is>
      </c>
      <c r="E128" s="7" t="inlineStr">
        <is>
          <t>Cooperativa</t>
        </is>
      </c>
      <c r="F128" s="8" t="inlineStr">
        <is>
          <t>Baja</t>
        </is>
      </c>
      <c r="G128" s="8" t="inlineStr">
        <is>
          <t>Hecho</t>
        </is>
      </c>
      <c r="H128" s="8" t="inlineStr">
        <is>
          <t>5.15</t>
        </is>
      </c>
      <c r="I128" s="21">
        <f>IFERROR(INDEX(Plan!$B$5:$B$117,MATCH(H128,Plan!$A$5:$A$117,0)),"—")</f>
        <v/>
      </c>
      <c r="J128" s="7" t="inlineStr"/>
    </row>
    <row r="129">
      <c r="A129" s="19" t="inlineStr">
        <is>
          <t>P-125</t>
        </is>
      </c>
      <c r="B129" s="4" t="inlineStr">
        <is>
          <t>Decisión</t>
        </is>
      </c>
      <c r="C129" s="4" t="inlineStr">
        <is>
          <t>/verificar</t>
        </is>
      </c>
      <c r="D129" s="7" t="inlineStr">
        <is>
          <t>¿El nombre completo del asociado puede verse públicamente en /verificar?</t>
        </is>
      </c>
      <c r="E129" s="7" t="inlineStr">
        <is>
          <t>Cooperativa</t>
        </is>
      </c>
      <c r="F129" s="8" t="inlineStr">
        <is>
          <t>Baja</t>
        </is>
      </c>
      <c r="G129" s="8" t="inlineStr">
        <is>
          <t>Hecho</t>
        </is>
      </c>
      <c r="H129" s="8" t="inlineStr">
        <is>
          <t>5.14</t>
        </is>
      </c>
      <c r="I129" s="21">
        <f>IFERROR(INDEX(Plan!$B$5:$B$117,MATCH(H129,Plan!$A$5:$A$117,0)),"—")</f>
        <v/>
      </c>
      <c r="J129" s="7" t="inlineStr">
        <is>
          <t>01-oct: planteado por ga-revisor-seguridad.</t>
        </is>
      </c>
    </row>
    <row r="130">
      <c r="A130" s="19" t="inlineStr">
        <is>
          <t>P-53</t>
        </is>
      </c>
      <c r="B130" s="4" t="inlineStr">
        <is>
          <t>Decisión</t>
        </is>
      </c>
      <c r="C130" s="4" t="inlineStr">
        <is>
          <t>Landing</t>
        </is>
      </c>
      <c r="D130" s="7" t="inlineStr">
        <is>
          <t>A 320 px la línea «COOPERATIVA» del logo mide ~5 px de alto (opcional: ocultarla o achicar «Ingresar» bajo 360 px)</t>
        </is>
      </c>
      <c r="E130" s="7" t="inlineStr">
        <is>
          <t>Yo</t>
        </is>
      </c>
      <c r="F130" s="8" t="inlineStr">
        <is>
          <t>Baja</t>
        </is>
      </c>
      <c r="G130" s="8" t="inlineStr">
        <is>
          <t>Hecho</t>
        </is>
      </c>
      <c r="H130" s="8" t="inlineStr">
        <is>
          <t>—</t>
        </is>
      </c>
      <c r="I130" s="21">
        <f>IFERROR(INDEX(Plan!$B$5:$B$117,MATCH(H130,Plan!$A$5:$A$117,0)),"—")</f>
        <v/>
      </c>
      <c r="J130" s="7" t="inlineStr">
        <is>
          <t>Menor y opcional, reportado por ga-verificador-responsive el 23-sep. 01-oct: el logo horizontal oculta «COOPERATIVA» bajo 360 px.</t>
        </is>
      </c>
    </row>
    <row r="131">
      <c r="A131" s="19" t="inlineStr">
        <is>
          <t>P-126</t>
        </is>
      </c>
      <c r="B131" s="4" t="inlineStr">
        <is>
          <t>Seguridad</t>
        </is>
      </c>
      <c r="C131" s="4" t="inlineStr">
        <is>
          <t>Landing / convenios</t>
        </is>
      </c>
      <c r="D131" s="7" t="inlineStr">
        <is>
          <t>H-01: el WhatsApp de convenios llega al navegador en la landing y anon puede leer telefono_contacto de la API</t>
        </is>
      </c>
      <c r="E131" s="7" t="inlineStr">
        <is>
          <t>ga-funcionalidad-botones</t>
        </is>
      </c>
      <c r="F131" s="8" t="inlineStr">
        <is>
          <t>Alta</t>
        </is>
      </c>
      <c r="G131" s="8" t="inlineStr">
        <is>
          <t>Hecho</t>
        </is>
      </c>
      <c r="H131" s="8" t="inlineStr">
        <is>
          <t>6.32</t>
        </is>
      </c>
      <c r="I131" s="21">
        <f>IFERROR(INDEX(Plan!$B$5:$B$117,MATCH(H131,Plan!$A$5:$A$117,0)),"—")</f>
        <v/>
      </c>
      <c r="J131" s="7" t="inlineStr">
        <is>
          <t>08-oct: ga-revisor-seguridad. 09-oct: Hecho en código; falta aplicar la migración 20261009000000 (P-138) y desplegar (P-139).</t>
        </is>
      </c>
    </row>
    <row r="132">
      <c r="A132" s="19" t="inlineStr">
        <is>
          <t>P-101</t>
        </is>
      </c>
      <c r="B132" s="4" t="inlineStr">
        <is>
          <t>Seguridad</t>
        </is>
      </c>
      <c r="C132" s="4" t="inlineStr">
        <is>
          <t>Admin</t>
        </is>
      </c>
      <c r="D132" s="7" t="inlineStr">
        <is>
          <t>H2/M-01: cédula sin enmascarar de las «hermanas» en el detalle de afiliación viajaba completa a un client component</t>
        </is>
      </c>
      <c r="E132" s="7" t="inlineStr">
        <is>
          <t>sesión principal</t>
        </is>
      </c>
      <c r="F132" s="8" t="inlineStr">
        <is>
          <t>Media</t>
        </is>
      </c>
      <c r="G132" s="8" t="inlineStr">
        <is>
          <t>Hecho</t>
        </is>
      </c>
      <c r="H132" s="8" t="inlineStr">
        <is>
          <t>4.11</t>
        </is>
      </c>
      <c r="I132" s="21">
        <f>IFERROR(INDEX(Plan!$B$5:$B$117,MATCH(H132,Plan!$A$5:$A$117,0)),"—")</f>
        <v/>
      </c>
      <c r="J132"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33">
      <c r="A133" s="19" t="inlineStr">
        <is>
          <t>P-127</t>
        </is>
      </c>
      <c r="B133" s="4" t="inlineStr">
        <is>
          <t>Seguridad</t>
        </is>
      </c>
      <c r="C133" s="4" t="inlineStr">
        <is>
          <t>Cuenta</t>
        </is>
      </c>
      <c r="D133" s="7" t="inlineStr">
        <is>
          <t>H-02: la cédula enmascarada se reconstruye buscando fragmentos (buscar_asociados_general); exigir coincidencia exacta y bajar el límite</t>
        </is>
      </c>
      <c r="E133" s="7" t="inlineStr">
        <is>
          <t>ga-funcionalidad-botones</t>
        </is>
      </c>
      <c r="F133" s="8" t="inlineStr">
        <is>
          <t>Media</t>
        </is>
      </c>
      <c r="G133" s="8" t="inlineStr">
        <is>
          <t>Hecho</t>
        </is>
      </c>
      <c r="H133" s="8" t="inlineStr">
        <is>
          <t>6.33</t>
        </is>
      </c>
      <c r="I133" s="21">
        <f>IFERROR(INDEX(Plan!$B$5:$B$117,MATCH(H133,Plan!$A$5:$A$117,0)),"—")</f>
        <v/>
      </c>
      <c r="J133" s="7" t="inlineStr">
        <is>
          <t>08-oct: ga-revisor-seguridad. 09-oct: Hecho en código; falta aplicar la migración 20261009000000 (P-138) y desplegar (P-139).</t>
        </is>
      </c>
    </row>
    <row r="134">
      <c r="A134" s="19" t="inlineStr">
        <is>
          <t>P-128</t>
        </is>
      </c>
      <c r="B134" s="4" t="inlineStr">
        <is>
          <t>Seguridad</t>
        </is>
      </c>
      <c r="C134" s="4" t="inlineStr">
        <is>
          <t>Base de datos</t>
        </is>
      </c>
      <c r="D134" s="7" t="inlineStr">
        <is>
          <t>H-03: un solo admin puede poner su correo en la cuenta de un asociado vía recuperación; atar el cambio al correo_nuevo de la solicitud</t>
        </is>
      </c>
      <c r="E134" s="7" t="inlineStr">
        <is>
          <t>ga-auditor-supabase</t>
        </is>
      </c>
      <c r="F134" s="8" t="inlineStr">
        <is>
          <t>Media</t>
        </is>
      </c>
      <c r="G134" s="8" t="inlineStr">
        <is>
          <t>Hecho</t>
        </is>
      </c>
      <c r="H134" s="8" t="inlineStr">
        <is>
          <t>6.33</t>
        </is>
      </c>
      <c r="I134" s="21">
        <f>IFERROR(INDEX(Plan!$B$5:$B$117,MATCH(H134,Plan!$A$5:$A$117,0)),"—")</f>
        <v/>
      </c>
      <c r="J134" s="7" t="inlineStr">
        <is>
          <t>08-oct: ga-revisor-seguridad. 09-oct: Hecho en código; falta aplicar la migración 20261009000000 (P-138) y desplegar (P-139).</t>
        </is>
      </c>
    </row>
    <row r="135">
      <c r="A135" s="19" t="inlineStr">
        <is>
          <t>P-129</t>
        </is>
      </c>
      <c r="B135" s="4" t="inlineStr">
        <is>
          <t>Seguridad</t>
        </is>
      </c>
      <c r="C135" s="4" t="inlineStr">
        <is>
          <t>Revisión 8-oct</t>
        </is>
      </c>
      <c r="D135" s="7" t="inlineStr">
        <is>
          <t>H-04: la verificación pública del QR muestra la foto del asociado (dato sensible); decisión de Sebas</t>
        </is>
      </c>
      <c r="E135" s="7" t="inlineStr">
        <is>
          <t>ga-revisor-seguridad</t>
        </is>
      </c>
      <c r="F135" s="8" t="inlineStr">
        <is>
          <t>Media</t>
        </is>
      </c>
      <c r="G135" s="8" t="inlineStr">
        <is>
          <t>Hecho</t>
        </is>
      </c>
      <c r="H135" s="8" t="inlineStr">
        <is>
          <t>6.33</t>
        </is>
      </c>
      <c r="I135" s="21">
        <f>IFERROR(INDEX(Plan!$B$5:$B$117,MATCH(H135,Plan!$A$5:$A$117,0)),"—")</f>
        <v/>
      </c>
      <c r="J135" s="7" t="inlineStr">
        <is>
          <t>08-oct: ga-revisor-seguridad. Descripción en el informe del revisor; no venía en el buzón. 09-oct: cerrado, Sebas decidió dejarla (riesgo aceptado).</t>
        </is>
      </c>
    </row>
    <row r="136">
      <c r="A136" s="19" t="inlineStr">
        <is>
          <t>P-130</t>
        </is>
      </c>
      <c r="B136" s="4" t="inlineStr">
        <is>
          <t>Seguridad</t>
        </is>
      </c>
      <c r="C136" s="4" t="inlineStr">
        <is>
          <t>Revisión 8-oct</t>
        </is>
      </c>
      <c r="D136" s="7" t="inlineStr">
        <is>
          <t>H-05: un tercero con la cédula bloquea la recuperación del asociado (una sola solicitud pendiente por perfil)</t>
        </is>
      </c>
      <c r="E136" s="7" t="inlineStr">
        <is>
          <t>ga-revisor-seguridad</t>
        </is>
      </c>
      <c r="F136" s="8" t="inlineStr">
        <is>
          <t>Media</t>
        </is>
      </c>
      <c r="G136" s="8" t="inlineStr">
        <is>
          <t>Hecho</t>
        </is>
      </c>
      <c r="H136" s="8" t="inlineStr">
        <is>
          <t>6.33</t>
        </is>
      </c>
      <c r="I136" s="21">
        <f>IFERROR(INDEX(Plan!$B$5:$B$117,MATCH(H136,Plan!$A$5:$A$117,0)),"—")</f>
        <v/>
      </c>
      <c r="J136" s="7" t="inlineStr">
        <is>
          <t>08-oct: ga-revisor-seguridad. Descripción en el informe del revisor; no venía en el buzón. 09-oct: Hecho en código; falta aplicar la migración 20261009000000 (P-138) y desplegar (P-139).</t>
        </is>
      </c>
    </row>
    <row r="137">
      <c r="A137" s="19" t="inlineStr">
        <is>
          <t>P-131</t>
        </is>
      </c>
      <c r="B137" s="4" t="inlineStr">
        <is>
          <t>Seguridad</t>
        </is>
      </c>
      <c r="C137" s="4" t="inlineStr">
        <is>
          <t>Dependencias</t>
        </is>
      </c>
      <c r="D137" s="7" t="inlineStr">
        <is>
          <t>H-06: npm audit fix (sharp y source-map-js, 2 altas con arreglo disponible)</t>
        </is>
      </c>
      <c r="E137" s="7" t="inlineStr">
        <is>
          <t>sesión principal</t>
        </is>
      </c>
      <c r="F137" s="8" t="inlineStr">
        <is>
          <t>Media</t>
        </is>
      </c>
      <c r="G137" s="8" t="inlineStr">
        <is>
          <t>Hecho</t>
        </is>
      </c>
      <c r="H137" s="8" t="inlineStr">
        <is>
          <t>6.35</t>
        </is>
      </c>
      <c r="I137" s="21">
        <f>IFERROR(INDEX(Plan!$B$5:$B$117,MATCH(H137,Plan!$A$5:$A$117,0)),"—")</f>
        <v/>
      </c>
      <c r="J137" s="7" t="inlineStr">
        <is>
          <t>08-oct: ga-revisor-seguridad. 09-oct: npm audit fix aplicado, 0 vulnerabilidades en producción (herramientas de desarrollo requieren --force).</t>
        </is>
      </c>
    </row>
    <row r="138">
      <c r="A138" s="19" t="inlineStr">
        <is>
          <t>P-83</t>
        </is>
      </c>
      <c r="B138" s="4" t="inlineStr">
        <is>
          <t>Seguridad</t>
        </is>
      </c>
      <c r="C138" s="4" t="inlineStr">
        <is>
          <t>Correos</t>
        </is>
      </c>
      <c r="D138" s="7" t="inlineStr">
        <is>
          <t>S-15: escapar/validar HTML en las variables NOMBRE/MOTIVO de los correos de Resend</t>
        </is>
      </c>
      <c r="E138" s="7" t="inlineStr">
        <is>
          <t>ga-funcionalidad-botones</t>
        </is>
      </c>
      <c r="F138" s="8" t="inlineStr">
        <is>
          <t>Media</t>
        </is>
      </c>
      <c r="G138" s="8" t="inlineStr">
        <is>
          <t>Hecho</t>
        </is>
      </c>
      <c r="H138" s="8" t="inlineStr">
        <is>
          <t>6.2</t>
        </is>
      </c>
      <c r="I138" s="21">
        <f>IFERROR(INDEX(Plan!$B$5:$B$117,MATCH(H138,Plan!$A$5:$A$117,0)),"—")</f>
        <v/>
      </c>
      <c r="J138" s="7" t="inlineStr">
        <is>
          <t>25-sep: hallazgo de ga-revisor-seguridad (un admin puede meter HTML en perfiles.nombre_completo o en el motivo de rechazo). Corregido en local con pruebas (tests/unit/correo-resend.test.ts). 25-sep: desplegado con el PR #2 (merge 2c19d02).</t>
        </is>
      </c>
    </row>
    <row r="139">
      <c r="A139" s="19" t="inlineStr">
        <is>
          <t>P-84</t>
        </is>
      </c>
      <c r="B139" s="4" t="inlineStr">
        <is>
          <t>Código</t>
        </is>
      </c>
      <c r="C139" s="4" t="inlineStr">
        <is>
          <t>Configuración</t>
        </is>
      </c>
      <c r="D139" s="7" t="inlineStr">
        <is>
          <t>M-01: el número de WhatsApp se muestra sin espacios por un typo de regex en lib/config.ts</t>
        </is>
      </c>
      <c r="E139" s="7" t="inlineStr">
        <is>
          <t>ga-funcionalidad-botones</t>
        </is>
      </c>
      <c r="F139" s="8" t="inlineStr">
        <is>
          <t>Media</t>
        </is>
      </c>
      <c r="G139" s="8" t="inlineStr">
        <is>
          <t>Hecho</t>
        </is>
      </c>
      <c r="H139" s="8" t="inlineStr">
        <is>
          <t>5.3</t>
        </is>
      </c>
      <c r="I139" s="21">
        <f>IFERROR(INDEX(Plan!$B$5:$B$117,MATCH(H139,Plan!$A$5:$A$117,0)),"—")</f>
        <v/>
      </c>
      <c r="J139" s="7" t="inlineStr">
        <is>
          <t>25-sep: hallazgo de ga-verificador-qa (patrón sin la barra invertida de \D/\d; el enlace wa.me sí funciona). Corregido en local con pruebas (tests/unit/config-whatsapp.test.ts). 25-sep: desplegado con el PR #2 (merge 2c19d02); confirmado en vivo «311 724 1942».</t>
        </is>
      </c>
    </row>
    <row r="140">
      <c r="A140" s="19" t="inlineStr">
        <is>
          <t>P-99</t>
        </is>
      </c>
      <c r="B140" s="4" t="inlineStr">
        <is>
          <t>Seguridad</t>
        </is>
      </c>
      <c r="C140" s="4" t="inlineStr">
        <is>
          <t>/cuenta</t>
        </is>
      </c>
      <c r="D140" s="7" t="inlineStr">
        <is>
          <t>H1: la tasa de interés de la solicitud viajaba en las props de CuentaCliente aunque nunca se renderizara</t>
        </is>
      </c>
      <c r="E140" s="7" t="inlineStr">
        <is>
          <t>sesión principal</t>
        </is>
      </c>
      <c r="F140" s="8" t="inlineStr">
        <is>
          <t>Media</t>
        </is>
      </c>
      <c r="G140" s="8" t="inlineStr">
        <is>
          <t>Hecho</t>
        </is>
      </c>
      <c r="H140" s="8" t="inlineStr">
        <is>
          <t>3.5</t>
        </is>
      </c>
      <c r="I140" s="21">
        <f>IFERROR(INDEX(Plan!$B$5:$B$117,MATCH(H140,Plan!$A$5:$A$117,0)),"—")</f>
        <v/>
      </c>
      <c r="J140"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row r="141">
      <c r="A141" s="19" t="inlineStr">
        <is>
          <t>P-132</t>
        </is>
      </c>
      <c r="B141" s="4" t="inlineStr">
        <is>
          <t>Seguridad</t>
        </is>
      </c>
      <c r="C141" s="4" t="inlineStr">
        <is>
          <t>Revisión 8-oct</t>
        </is>
      </c>
      <c r="D141" s="7" t="inlineStr">
        <is>
          <t>H-07: un admin puede desactivar a otro admin sin control (admin_cambiar_estado_asociado)</t>
        </is>
      </c>
      <c r="E141" s="7" t="inlineStr">
        <is>
          <t>ga-revisor-seguridad</t>
        </is>
      </c>
      <c r="F141" s="8" t="inlineStr">
        <is>
          <t>Baja</t>
        </is>
      </c>
      <c r="G141" s="8" t="inlineStr">
        <is>
          <t>Hecho</t>
        </is>
      </c>
      <c r="H141" s="8" t="inlineStr">
        <is>
          <t>6.34</t>
        </is>
      </c>
      <c r="I141" s="21">
        <f>IFERROR(INDEX(Plan!$B$5:$B$117,MATCH(H141,Plan!$A$5:$A$117,0)),"—")</f>
        <v/>
      </c>
      <c r="J141" s="7" t="inlineStr">
        <is>
          <t>08-oct: ga-revisor-seguridad. Descripción en el informe del revisor; no venía en el buzón. 09-oct: Hecho en código; falta aplicar la migración 20261009000000 (P-138) y desplegar (P-139).</t>
        </is>
      </c>
    </row>
    <row r="142">
      <c r="A142" s="19" t="inlineStr">
        <is>
          <t>P-133</t>
        </is>
      </c>
      <c r="B142" s="4" t="inlineStr">
        <is>
          <t>Seguridad</t>
        </is>
      </c>
      <c r="C142" s="4" t="inlineStr">
        <is>
          <t>Revisión 8-oct</t>
        </is>
      </c>
      <c r="D142" s="7" t="inlineStr">
        <is>
          <t>H-09: fotos-carne huérfanas por URLs de subida sin confirmar; agregarlas al cron</t>
        </is>
      </c>
      <c r="E142" s="7" t="inlineStr">
        <is>
          <t>ga-revisor-seguridad</t>
        </is>
      </c>
      <c r="F142" s="8" t="inlineStr">
        <is>
          <t>Baja</t>
        </is>
      </c>
      <c r="G142" s="8" t="inlineStr">
        <is>
          <t>Hecho</t>
        </is>
      </c>
      <c r="H142" s="8" t="inlineStr">
        <is>
          <t>6.34</t>
        </is>
      </c>
      <c r="I142" s="21">
        <f>IFERROR(INDEX(Plan!$B$5:$B$117,MATCH(H142,Plan!$A$5:$A$117,0)),"—")</f>
        <v/>
      </c>
      <c r="J142" s="7" t="inlineStr">
        <is>
          <t>08-oct: ga-revisor-seguridad. Descripción en el informe del revisor; no venía en el buzón. 09-oct: Hecho en código; falta aplicar la migración 20261009000000 (P-138) y desplegar (P-139). H-09 rehecho con la RPC fotos_carne_huerfanas.</t>
        </is>
      </c>
    </row>
    <row r="143">
      <c r="A143" s="19" t="inlineStr">
        <is>
          <t>P-134</t>
        </is>
      </c>
      <c r="B143" s="4" t="inlineStr">
        <is>
          <t>Seguridad</t>
        </is>
      </c>
      <c r="C143" s="4" t="inlineStr">
        <is>
          <t>Revisión 8-oct</t>
        </is>
      </c>
      <c r="D143" s="7" t="inlineStr">
        <is>
          <t>H-10: regex de rutaEsDeSolicitud con el punto mal escapado en lib/comprobantes.ts (no explotable)</t>
        </is>
      </c>
      <c r="E143" s="7" t="inlineStr">
        <is>
          <t>ga-revisor-seguridad</t>
        </is>
      </c>
      <c r="F143" s="8" t="inlineStr">
        <is>
          <t>Baja</t>
        </is>
      </c>
      <c r="G143" s="8" t="inlineStr">
        <is>
          <t>Hecho</t>
        </is>
      </c>
      <c r="H143" s="8" t="inlineStr">
        <is>
          <t>6.34</t>
        </is>
      </c>
      <c r="I143" s="21">
        <f>IFERROR(INDEX(Plan!$B$5:$B$117,MATCH(H143,Plan!$A$5:$A$117,0)),"—")</f>
        <v/>
      </c>
      <c r="J143" s="7" t="inlineStr">
        <is>
          <t>08-oct: ga-revisor-seguridad. Descripción en el informe del revisor; no venía en el buzón. 09-oct: Hecho en código; falta aplicar la migración 20261009000000 (P-138) y desplegar (P-139).</t>
        </is>
      </c>
    </row>
    <row r="144">
      <c r="A144" s="19" t="inlineStr">
        <is>
          <t>P-88</t>
        </is>
      </c>
      <c r="B144" s="4" t="inlineStr">
        <is>
          <t>Base de datos</t>
        </is>
      </c>
      <c r="C144" s="4" t="inlineStr">
        <is>
          <t>Seguridad</t>
        </is>
      </c>
      <c r="D144" s="7" t="inlineStr">
        <is>
          <t>F2-08: tr_componer_nombre_afiliacion no cubre el update directo de solicitudes_afiliacion.nombre por un admin</t>
        </is>
      </c>
      <c r="E144" s="7" t="inlineStr">
        <is>
          <t>ga-auditor-supabase</t>
        </is>
      </c>
      <c r="F144" s="8" t="inlineStr">
        <is>
          <t>Baja</t>
        </is>
      </c>
      <c r="G144" s="8" t="inlineStr">
        <is>
          <t>Hecho</t>
        </is>
      </c>
      <c r="H144" s="8" t="inlineStr">
        <is>
          <t>1.6</t>
        </is>
      </c>
      <c r="I144" s="21">
        <f>IFERROR(INDEX(Plan!$B$5:$B$117,MATCH(H144,Plan!$A$5:$A$117,0)),"—")</f>
        <v/>
      </c>
      <c r="J144" s="7" t="inlineStr">
        <is>
          <t>Documentado en docs/auditorias/2026-09-24-fase-2.md; confirmado sin corregir por ga-revisor-seguridad el 25-sep. Un admin puede reescribir `nombre` por SQL directo, y ese texto lo usan el correo «Ingreso aceptado» y el nombre_completo del perfil. Solo afecta a admins. 01-oct: corregido en la migración 20261002000000 (pgTAP 05 ajustado); se aplica con P-114.</t>
        </is>
      </c>
    </row>
  </sheetData>
  <autoFilter ref="A4:J144"/>
  <conditionalFormatting sqref="G5:G144">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44">
    <cfRule type="expression" priority="5" dxfId="5">
      <formula>$F5="Alta"</formula>
    </cfRule>
    <cfRule type="expression" priority="6" dxfId="6">
      <formula>$F5="Media"</formula>
    </cfRule>
    <cfRule type="expression" priority="7" dxfId="7">
      <formula>$F5="Baja"</formula>
    </cfRule>
  </conditionalFormatting>
  <conditionalFormatting sqref="A5:F144">
    <cfRule type="expression" priority="8" dxfId="8">
      <formula>$G5="Hecho"</formula>
    </cfRule>
  </conditionalFormatting>
  <dataValidations count="2">
    <dataValidation sqref="G5:G144" showDropDown="0" showInputMessage="0" showErrorMessage="0" allowBlank="0" type="list">
      <formula1>"Hecho,En curso,Pendiente,Bloqueado"</formula1>
    </dataValidation>
    <dataValidation sqref="F5:F144"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2.4</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2.3, 1.7, 2.8</t>
        </is>
      </c>
      <c r="I9" s="18" t="inlineStr">
        <is>
          <t>B</t>
        </is>
      </c>
      <c r="J9" s="8" t="n">
        <v>4</v>
      </c>
      <c r="K9" s="8" t="n">
        <v>16</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6.17</t>
        </is>
      </c>
      <c r="I10" s="18" t="inlineStr">
        <is>
          <t>B</t>
        </is>
      </c>
      <c r="J10" s="8" t="n">
        <v>21</v>
      </c>
      <c r="K10" s="8" t="n">
        <v>34</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1.5</t>
        </is>
      </c>
      <c r="I11" s="18" t="inlineStr">
        <is>
          <t>A</t>
        </is>
      </c>
      <c r="J11" s="8" t="n">
        <v>6</v>
      </c>
      <c r="K11" s="8" t="n">
        <v>18</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6.18, 6.13</t>
        </is>
      </c>
      <c r="I12" s="18" t="inlineStr">
        <is>
          <t>B</t>
        </is>
      </c>
      <c r="J12" s="8" t="n">
        <v>37</v>
      </c>
      <c r="K12" s="8" t="n">
        <v>37</v>
      </c>
      <c r="L12" s="8">
        <f>K12+E12</f>
        <v/>
      </c>
      <c r="M12" s="8">
        <f>K12-J12</f>
        <v/>
      </c>
      <c r="N12" s="8">
        <f>"S"&amp;(INT(K12/Resumen!$C$5)+1)&amp;"–S"&amp;MAX(INT(K12/Resumen!$C$5)+1,ROUNDUP(L12/Resumen!$C$5,0))</f>
        <v/>
      </c>
      <c r="O12" s="8" t="inlineStr">
        <is>
          <t>Hecho</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2.2, 2.5</t>
        </is>
      </c>
      <c r="I13" s="18" t="inlineStr">
        <is>
          <t>B</t>
        </is>
      </c>
      <c r="J13" s="8" t="n">
        <v>6</v>
      </c>
      <c r="K13" s="8" t="n">
        <v>6</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2.1</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1.5</t>
        </is>
      </c>
      <c r="I15" s="18" t="inlineStr">
        <is>
          <t>A</t>
        </is>
      </c>
      <c r="J15" s="8" t="n">
        <v>6</v>
      </c>
      <c r="K15" s="8" t="n">
        <v>16</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1.4</t>
        </is>
      </c>
      <c r="I16" s="18" t="inlineStr">
        <is>
          <t>B</t>
        </is>
      </c>
      <c r="J16" s="8" t="n">
        <v>1</v>
      </c>
      <c r="K16" s="8" t="n">
        <v>4</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2.1, 3.1</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3.1, 3.4</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3.4</t>
        </is>
      </c>
      <c r="I19" s="18" t="inlineStr">
        <is>
          <t>A</t>
        </is>
      </c>
      <c r="J19" s="8" t="n">
        <v>14</v>
      </c>
      <c r="K19" s="8" t="n">
        <v>14</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1.5</t>
        </is>
      </c>
      <c r="I20" s="18" t="inlineStr">
        <is>
          <t>A</t>
        </is>
      </c>
      <c r="J20" s="8" t="n">
        <v>16</v>
      </c>
      <c r="K20" s="8" t="n">
        <v>20</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4.12, 4.13</t>
        </is>
      </c>
      <c r="I21" s="18" t="inlineStr">
        <is>
          <t>B</t>
        </is>
      </c>
      <c r="J21" s="8" t="n">
        <v>18</v>
      </c>
      <c r="K21" s="8" t="n">
        <v>42</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3.5</t>
        </is>
      </c>
      <c r="I22" s="18" t="inlineStr">
        <is>
          <t>A</t>
        </is>
      </c>
      <c r="J22" s="8" t="n">
        <v>46</v>
      </c>
      <c r="K22" s="8" t="n">
        <v>52</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3.9</t>
        </is>
      </c>
      <c r="I23" s="18" t="inlineStr">
        <is>
          <t>B</t>
        </is>
      </c>
      <c r="J23" s="8" t="n">
        <v>46</v>
      </c>
      <c r="K23" s="8" t="n">
        <v>68</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4.13, 3.3</t>
        </is>
      </c>
      <c r="I24" s="18" t="inlineStr">
        <is>
          <t>B</t>
        </is>
      </c>
      <c r="J24" s="8" t="n">
        <v>46</v>
      </c>
      <c r="K24" s="8" t="n">
        <v>46</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4.16</t>
        </is>
      </c>
      <c r="I25" s="18" t="inlineStr">
        <is>
          <t>B</t>
        </is>
      </c>
      <c r="J25" s="8" t="n">
        <v>50</v>
      </c>
      <c r="K25" s="8" t="n">
        <v>106</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4.1, 4.11</t>
        </is>
      </c>
      <c r="I26" s="18" t="inlineStr">
        <is>
          <t>A</t>
        </is>
      </c>
      <c r="J26" s="8" t="n">
        <v>20</v>
      </c>
      <c r="K26" s="8" t="n">
        <v>24</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3.10, 6.4, 6.10</t>
        </is>
      </c>
      <c r="I27" s="18" t="inlineStr">
        <is>
          <t>B</t>
        </is>
      </c>
      <c r="J27" s="8" t="n">
        <v>20</v>
      </c>
      <c r="K27" s="8" t="n">
        <v>30</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2.5, 2.6</t>
        </is>
      </c>
      <c r="I28" s="18" t="inlineStr">
        <is>
          <t>B</t>
        </is>
      </c>
      <c r="J28" s="8" t="n">
        <v>4</v>
      </c>
      <c r="K28" s="8" t="n">
        <v>9</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4.17</t>
        </is>
      </c>
      <c r="I29" s="18" t="inlineStr">
        <is>
          <t>B</t>
        </is>
      </c>
      <c r="J29" s="8" t="n">
        <v>13</v>
      </c>
      <c r="K29" s="8" t="n">
        <v>99</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2.12, 3.5</t>
        </is>
      </c>
      <c r="I30" s="18" t="inlineStr">
        <is>
          <t>A</t>
        </is>
      </c>
      <c r="J30" s="8" t="n">
        <v>13</v>
      </c>
      <c r="K30" s="8" t="n">
        <v>49</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2.6, 2.7</t>
        </is>
      </c>
      <c r="I31" s="18" t="inlineStr">
        <is>
          <t>B</t>
        </is>
      </c>
      <c r="J31" s="8" t="n">
        <v>6</v>
      </c>
      <c r="K31" s="8" t="n">
        <v>13</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3.3, 2.10</t>
        </is>
      </c>
      <c r="I32" s="18" t="inlineStr">
        <is>
          <t>B</t>
        </is>
      </c>
      <c r="J32" s="8" t="n">
        <v>16</v>
      </c>
      <c r="K32" s="8" t="n">
        <v>50</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3.7</t>
        </is>
      </c>
      <c r="I33" s="18" t="inlineStr">
        <is>
          <t>A</t>
        </is>
      </c>
      <c r="J33" s="8" t="n">
        <v>53</v>
      </c>
      <c r="K33" s="8" t="n">
        <v>53</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3.6, 6.11</t>
        </is>
      </c>
      <c r="I34" s="18" t="inlineStr">
        <is>
          <t>B</t>
        </is>
      </c>
      <c r="J34" s="8" t="n">
        <v>53</v>
      </c>
      <c r="K34" s="8" t="n">
        <v>53</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2.11, 5.4, 4.4</t>
        </is>
      </c>
      <c r="I35" s="18" t="inlineStr">
        <is>
          <t>A</t>
        </is>
      </c>
      <c r="J35" s="8" t="n">
        <v>53</v>
      </c>
      <c r="K35" s="8" t="n">
        <v>68</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4.10, 2.15</t>
        </is>
      </c>
      <c r="I36" s="18" t="inlineStr">
        <is>
          <t>A</t>
        </is>
      </c>
      <c r="J36" s="8" t="n">
        <v>20</v>
      </c>
      <c r="K36" s="8" t="n">
        <v>28</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4.6, 2.14</t>
        </is>
      </c>
      <c r="I37" s="18" t="inlineStr">
        <is>
          <t>B</t>
        </is>
      </c>
      <c r="J37" s="8" t="n">
        <v>16</v>
      </c>
      <c r="K37" s="8" t="n">
        <v>21</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4.12</t>
        </is>
      </c>
      <c r="I38" s="18" t="inlineStr">
        <is>
          <t>B</t>
        </is>
      </c>
      <c r="J38" s="8" t="n">
        <v>25</v>
      </c>
      <c r="K38" s="8" t="n">
        <v>39</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4.5</t>
        </is>
      </c>
      <c r="I39" s="18" t="inlineStr">
        <is>
          <t>A</t>
        </is>
      </c>
      <c r="J39" s="8" t="n">
        <v>42</v>
      </c>
      <c r="K39" s="8" t="n">
        <v>57</v>
      </c>
      <c r="L39" s="8">
        <f>K39+E39</f>
        <v/>
      </c>
      <c r="M39" s="8">
        <f>K39-J39</f>
        <v/>
      </c>
      <c r="N39" s="8">
        <f>"S"&amp;(INT(K39/Resumen!$C$5)+1)&amp;"–S"&amp;MAX(INT(K39/Resumen!$C$5)+1,ROUNDUP(L39/Resumen!$C$5,0))</f>
        <v/>
      </c>
      <c r="O39" s="8" t="inlineStr">
        <is>
          <t>Hecho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3.9, 6.9, 5.1</t>
        </is>
      </c>
      <c r="I40" s="18" t="inlineStr">
        <is>
          <t>B</t>
        </is>
      </c>
      <c r="J40" s="8" t="n">
        <v>4</v>
      </c>
      <c r="K40" s="8" t="n">
        <v>70</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4.3, 4.14</t>
        </is>
      </c>
      <c r="I41" s="18" t="inlineStr">
        <is>
          <t>B</t>
        </is>
      </c>
      <c r="J41" s="8" t="n">
        <v>46</v>
      </c>
      <c r="K41" s="8" t="n">
        <v>57</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4.1</t>
        </is>
      </c>
      <c r="I42" s="18" t="inlineStr">
        <is>
          <t>A</t>
        </is>
      </c>
      <c r="J42" s="8" t="n">
        <v>21</v>
      </c>
      <c r="K42" s="8" t="n">
        <v>21</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6.37, 5.7, 5.8</t>
        </is>
      </c>
      <c r="I43" s="18" t="inlineStr">
        <is>
          <t>A</t>
        </is>
      </c>
      <c r="J43" s="8" t="n">
        <v>25</v>
      </c>
      <c r="K43" s="8" t="n">
        <v>110</v>
      </c>
      <c r="L43" s="8">
        <f>K43+E43</f>
        <v/>
      </c>
      <c r="M43" s="8">
        <f>K43-J43</f>
        <v/>
      </c>
      <c r="N43" s="8">
        <f>"S"&amp;(INT(K43/Resumen!$C$5)+1)&amp;"–S"&amp;MAX(INT(K43/Resumen!$C$5)+1,ROUNDUP(L43/Resumen!$C$5,0))</f>
        <v/>
      </c>
      <c r="O43" s="8" t="inlineStr">
        <is>
          <t>Hecho</t>
        </is>
      </c>
      <c r="P43" s="8" t="inlineStr">
        <is>
          <t>Agregado</t>
        </is>
      </c>
      <c r="Q43" s="7" t="inlineStr">
        <is>
          <t>ga-funcionalidad-botones (antes 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4.15</t>
        </is>
      </c>
      <c r="I44" s="18" t="inlineStr">
        <is>
          <t>B</t>
        </is>
      </c>
      <c r="J44" s="8" t="n">
        <v>24</v>
      </c>
      <c r="K44" s="8" t="n">
        <v>94</v>
      </c>
      <c r="L44" s="8">
        <f>K44+E44</f>
        <v/>
      </c>
      <c r="M44" s="8">
        <f>K44-J44</f>
        <v/>
      </c>
      <c r="N44" s="8">
        <f>"S"&amp;(INT(K44/Resumen!$C$5)+1)&amp;"–S"&amp;MAX(INT(K44/Resumen!$C$5)+1,ROUNDUP(L44/Resumen!$C$5,0))</f>
        <v/>
      </c>
      <c r="O44" s="8" t="inlineStr">
        <is>
          <t>Hecho</t>
        </is>
      </c>
      <c r="P44" s="8" t="inlineStr">
        <is>
          <t>Agregado</t>
        </is>
      </c>
      <c r="Q44" s="7" t="inlineStr">
        <is>
          <t>ga-funcionalidad-botones (antes 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4.17, 5.10</t>
        </is>
      </c>
      <c r="I45" s="18" t="inlineStr">
        <is>
          <t>B</t>
        </is>
      </c>
      <c r="J45" s="8" t="n">
        <v>25</v>
      </c>
      <c r="K45" s="8" t="n">
        <v>102</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3.10</t>
        </is>
      </c>
      <c r="I46" s="18" t="inlineStr">
        <is>
          <t>B</t>
        </is>
      </c>
      <c r="J46" s="8" t="n">
        <v>24</v>
      </c>
      <c r="K46" s="8" t="n">
        <v>28</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2.14</t>
        </is>
      </c>
      <c r="I47" s="18" t="inlineStr">
        <is>
          <t>B</t>
        </is>
      </c>
      <c r="J47" s="8" t="n">
        <v>25</v>
      </c>
      <c r="K47" s="8" t="n">
        <v>25</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4.4, 6.31</t>
        </is>
      </c>
      <c r="I48" s="18" t="inlineStr">
        <is>
          <t>A</t>
        </is>
      </c>
      <c r="J48" s="8" t="n">
        <v>16</v>
      </c>
      <c r="K48" s="8" t="n">
        <v>73</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4.20</t>
        </is>
      </c>
      <c r="I49" s="18" t="inlineStr">
        <is>
          <t>B</t>
        </is>
      </c>
      <c r="J49" s="8" t="n">
        <v>18</v>
      </c>
      <c r="K49" s="8" t="n">
        <v>64</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6.6</t>
        </is>
      </c>
      <c r="I50" s="18" t="inlineStr">
        <is>
          <t>B</t>
        </is>
      </c>
      <c r="J50" s="8" t="n">
        <v>125</v>
      </c>
      <c r="K50" s="8" t="n">
        <v>126</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Falta de la cooperativa: fotos, cifras, testimonios y fotos de las sedes.</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3.9</t>
        </is>
      </c>
      <c r="I51" s="18" t="inlineStr">
        <is>
          <t>B</t>
        </is>
      </c>
      <c r="J51" s="8" t="n">
        <v>67</v>
      </c>
      <c r="K51" s="8" t="n">
        <v>69</v>
      </c>
      <c r="L51" s="8">
        <f>K51+E51</f>
        <v/>
      </c>
      <c r="M51" s="8">
        <f>K51-J51</f>
        <v/>
      </c>
      <c r="N51" s="8">
        <f>"S"&amp;(INT(K51/Resumen!$C$5)+1)&amp;"–S"&amp;MAX(INT(K51/Resumen!$C$5)+1,ROUNDUP(L51/Resumen!$C$5,0))</f>
        <v/>
      </c>
      <c r="O51" s="8" t="inlineStr">
        <is>
          <t>Hecho</t>
        </is>
      </c>
      <c r="P51" s="8" t="inlineStr">
        <is>
          <t>Agregado</t>
        </is>
      </c>
      <c r="Q51" s="7" t="inlineStr">
        <is>
          <t>ga-diseno-a-codigo</t>
        </is>
      </c>
      <c r="R51" s="7" t="inlineStr"/>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4.20</t>
        </is>
      </c>
      <c r="I52" s="18" t="inlineStr">
        <is>
          <t>B</t>
        </is>
      </c>
      <c r="J52" s="8" t="n">
        <v>56</v>
      </c>
      <c r="K52" s="8" t="n">
        <v>63</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6.33</t>
        </is>
      </c>
      <c r="I53" s="18" t="inlineStr">
        <is>
          <t>A</t>
        </is>
      </c>
      <c r="J53" s="8" t="n">
        <v>56</v>
      </c>
      <c r="K53" s="8" t="n">
        <v>78</v>
      </c>
      <c r="L53" s="8">
        <f>K53+E53</f>
        <v/>
      </c>
      <c r="M53" s="8">
        <f>K53-J53</f>
        <v/>
      </c>
      <c r="N53" s="8">
        <f>"S"&amp;(INT(K53/Resumen!$C$5)+1)&amp;"–S"&amp;MAX(INT(K53/Resumen!$C$5)+1,ROUNDUP(L53/Resumen!$C$5,0))</f>
        <v/>
      </c>
      <c r="O53" s="8" t="inlineStr">
        <is>
          <t>Hecho</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4.7</t>
        </is>
      </c>
      <c r="I54" s="18" t="inlineStr">
        <is>
          <t>B</t>
        </is>
      </c>
      <c r="J54" s="8" t="n">
        <v>9</v>
      </c>
      <c r="K54" s="8" t="n">
        <v>111</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4.7</t>
        </is>
      </c>
      <c r="I55" s="18" t="inlineStr">
        <is>
          <t>B</t>
        </is>
      </c>
      <c r="J55" s="8" t="n">
        <v>113</v>
      </c>
      <c r="K55" s="8" t="n">
        <v>113</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6.32, 6.33</t>
        </is>
      </c>
      <c r="I56" s="18" t="inlineStr">
        <is>
          <t>A</t>
        </is>
      </c>
      <c r="J56" s="8" t="n">
        <v>75</v>
      </c>
      <c r="K56" s="8" t="n">
        <v>75</v>
      </c>
      <c r="L56" s="8">
        <f>K56+E56</f>
        <v/>
      </c>
      <c r="M56" s="8">
        <f>K56-J56</f>
        <v/>
      </c>
      <c r="N56" s="8">
        <f>"S"&amp;(INT(K56/Resumen!$C$5)+1)&amp;"–S"&amp;MAX(INT(K56/Resumen!$C$5)+1,ROUNDUP(L56/Resumen!$C$5,0))</f>
        <v/>
      </c>
      <c r="O56" s="8" t="inlineStr">
        <is>
          <t>Hecho</t>
        </is>
      </c>
      <c r="P56" s="8" t="inlineStr">
        <is>
          <t>Agregado</t>
        </is>
      </c>
      <c r="Q56" s="7" t="inlineStr">
        <is>
          <t>ga-funcionalidad-botones + ga-auditor-supabase</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4.9, 5.13</t>
        </is>
      </c>
      <c r="I57" s="18" t="inlineStr">
        <is>
          <t>A</t>
        </is>
      </c>
      <c r="J57" s="8" t="n">
        <v>50</v>
      </c>
      <c r="K57" s="8" t="n">
        <v>103</v>
      </c>
      <c r="L57" s="8">
        <f>K57+E57</f>
        <v/>
      </c>
      <c r="M57" s="8">
        <f>K57-J57</f>
        <v/>
      </c>
      <c r="N57" s="8">
        <f>"S"&amp;(INT(K57/Resumen!$C$5)+1)&amp;"–S"&amp;MAX(INT(K57/Resumen!$C$5)+1,ROUNDUP(L57/Resumen!$C$5,0))</f>
        <v/>
      </c>
      <c r="O57" s="8" t="inlineStr">
        <is>
          <t>Hecho</t>
        </is>
      </c>
      <c r="P57" s="8" t="inlineStr">
        <is>
          <t>Agregado</t>
        </is>
      </c>
      <c r="Q57" s="7" t="inlineStr">
        <is>
          <t>ga-funcionalidad-botones + ga-auditor-supabase (antes 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4.14</t>
        </is>
      </c>
      <c r="I58" s="18" t="inlineStr">
        <is>
          <t>B</t>
        </is>
      </c>
      <c r="J58" s="8" t="n">
        <v>60</v>
      </c>
      <c r="K58" s="8" t="n">
        <v>60</v>
      </c>
      <c r="L58" s="8">
        <f>K58+E58</f>
        <v/>
      </c>
      <c r="M58" s="8">
        <f>K58-J58</f>
        <v/>
      </c>
      <c r="N58" s="8">
        <f>"S"&amp;(INT(K58/Resumen!$C$5)+1)&amp;"–S"&amp;MAX(INT(K58/Resumen!$C$5)+1,ROUNDUP(L58/Resumen!$C$5,0))</f>
        <v/>
      </c>
      <c r="O58" s="8" t="inlineStr">
        <is>
          <t>Hecho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5.14</t>
        </is>
      </c>
      <c r="I59" s="18" t="inlineStr">
        <is>
          <t>B</t>
        </is>
      </c>
      <c r="J59" s="8" t="n">
        <v>72</v>
      </c>
      <c r="K59" s="8" t="n">
        <v>84</v>
      </c>
      <c r="L59" s="8">
        <f>K59+E59</f>
        <v/>
      </c>
      <c r="M59" s="8">
        <f>K59-J59</f>
        <v/>
      </c>
      <c r="N59" s="8">
        <f>"S"&amp;(INT(K59/Resumen!$C$5)+1)&amp;"–S"&amp;MAX(INT(K59/Resumen!$C$5)+1,ROUNDUP(L59/Resumen!$C$5,0))</f>
        <v/>
      </c>
      <c r="O59" s="8" t="inlineStr">
        <is>
          <t>Hecho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6.1, 5.5, 2.8, 5.4, 2.11, 5.6, 1.6, 2.12, 3.9, 4.6</t>
        </is>
      </c>
      <c r="G60" s="7" t="inlineStr">
        <is>
          <t>Sí</t>
        </is>
      </c>
      <c r="H60" s="7" t="inlineStr">
        <is>
          <t>6.33, 4.18</t>
        </is>
      </c>
      <c r="I60" s="18" t="inlineStr">
        <is>
          <t>A</t>
        </is>
      </c>
      <c r="J60" s="8" t="n">
        <v>79</v>
      </c>
      <c r="K60" s="8" t="n">
        <v>79</v>
      </c>
      <c r="L60" s="8">
        <f>K60+E60</f>
        <v/>
      </c>
      <c r="M60" s="8">
        <f>K60-J60</f>
        <v/>
      </c>
      <c r="N60" s="8">
        <f>"S"&amp;(INT(K60/Resumen!$C$5)+1)&amp;"–S"&amp;MAX(INT(K60/Resumen!$C$5)+1,ROUNDUP(L60/Resumen!$C$5,0))</f>
        <v/>
      </c>
      <c r="O60" s="8" t="inlineStr">
        <is>
          <t>Hecho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2.15</t>
        </is>
      </c>
      <c r="I61" s="18" t="inlineStr">
        <is>
          <t>A</t>
        </is>
      </c>
      <c r="J61" s="8" t="n">
        <v>0</v>
      </c>
      <c r="K61" s="8" t="n">
        <v>31</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92</v>
      </c>
      <c r="K62" s="8" t="n">
        <v>97</v>
      </c>
      <c r="L62" s="8">
        <f>K62+E62</f>
        <v/>
      </c>
      <c r="M62" s="8">
        <f>K62-J62</f>
        <v/>
      </c>
      <c r="N62" s="8">
        <f>"S"&amp;(INT(K62/Resumen!$C$5)+1)&amp;"–S"&amp;MAX(INT(K62/Resumen!$C$5)+1,ROUNDUP(L62/Resumen!$C$5,0))</f>
        <v/>
      </c>
      <c r="O62" s="8" t="inlineStr">
        <is>
          <t>Hecho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5.3</t>
        </is>
      </c>
      <c r="I63" s="18" t="inlineStr">
        <is>
          <t>A</t>
        </is>
      </c>
      <c r="J63" s="8" t="n">
        <v>125</v>
      </c>
      <c r="K63" s="8" t="n">
        <v>126</v>
      </c>
      <c r="L63" s="8">
        <f>K63+E63</f>
        <v/>
      </c>
      <c r="M63" s="8">
        <f>K63-J63</f>
        <v/>
      </c>
      <c r="N63" s="8">
        <f>"S"&amp;(INT(K63/Resumen!$C$5)+1)&amp;"–S"&amp;MAX(INT(K63/Resumen!$C$5)+1,ROUNDUP(L63/Resumen!$C$5,0))</f>
        <v/>
      </c>
      <c r="O63" s="8" t="inlineStr">
        <is>
          <t>En curso</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6.14</t>
        </is>
      </c>
      <c r="I64" s="18" t="inlineStr">
        <is>
          <t>B</t>
        </is>
      </c>
      <c r="J64" s="8" t="n">
        <v>125</v>
      </c>
      <c r="K64" s="8" t="n">
        <v>125</v>
      </c>
      <c r="L64" s="8">
        <f>K64+E64</f>
        <v/>
      </c>
      <c r="M64" s="8">
        <f>K64-J64</f>
        <v/>
      </c>
      <c r="N64" s="8">
        <f>"S"&amp;(INT(K64/Resumen!$C$5)+1)&amp;"–S"&amp;MAX(INT(K64/Resumen!$C$5)+1,ROUNDUP(L64/Resumen!$C$5,0))</f>
        <v/>
      </c>
      <c r="O64" s="8" t="inlineStr">
        <is>
          <t>En curso</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4.19</t>
        </is>
      </c>
      <c r="I65" s="18" t="inlineStr">
        <is>
          <t>A</t>
        </is>
      </c>
      <c r="J65" s="8" t="n">
        <v>46</v>
      </c>
      <c r="K65" s="8" t="n">
        <v>91</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4.4</t>
        </is>
      </c>
      <c r="I66" s="18" t="inlineStr">
        <is>
          <t>A</t>
        </is>
      </c>
      <c r="J66" s="8" t="n">
        <v>56</v>
      </c>
      <c r="K66" s="8" t="n">
        <v>72</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2.15</t>
        </is>
      </c>
      <c r="I67" s="18" t="inlineStr">
        <is>
          <t>A</t>
        </is>
      </c>
      <c r="J67" s="8" t="n">
        <v>13</v>
      </c>
      <c r="K67" s="8" t="n">
        <v>32</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3.7</t>
        </is>
      </c>
      <c r="I68" s="18" t="inlineStr">
        <is>
          <t>A</t>
        </is>
      </c>
      <c r="J68" s="8" t="n">
        <v>46</v>
      </c>
      <c r="K68" s="8" t="n">
        <v>55</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4.21</t>
        </is>
      </c>
      <c r="I69" s="18" t="inlineStr">
        <is>
          <t>B</t>
        </is>
      </c>
      <c r="J69" s="8" t="n">
        <v>56</v>
      </c>
      <c r="K69" s="8" t="n">
        <v>120</v>
      </c>
      <c r="L69" s="8">
        <f>K69+E69</f>
        <v/>
      </c>
      <c r="M69" s="8">
        <f>K69-J69</f>
        <v/>
      </c>
      <c r="N69" s="8">
        <f>"S"&amp;(INT(K69/Resumen!$C$5)+1)&amp;"–S"&amp;MAX(INT(K69/Resumen!$C$5)+1,ROUNDUP(L69/Resumen!$C$5,0))</f>
        <v/>
      </c>
      <c r="O69" s="8" t="inlineStr">
        <is>
          <t>Hecho</t>
        </is>
      </c>
      <c r="P69" s="8" t="inlineStr">
        <is>
          <t>Agregado</t>
        </is>
      </c>
      <c r="Q69" s="7" t="inlineStr">
        <is>
          <t>sesión principal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1.8</t>
        </is>
      </c>
      <c r="I70" s="18" t="inlineStr">
        <is>
          <t>A</t>
        </is>
      </c>
      <c r="J70" s="8" t="n">
        <v>37</v>
      </c>
      <c r="K70" s="8" t="n">
        <v>38</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6.7</t>
        </is>
      </c>
      <c r="I71" s="18" t="inlineStr">
        <is>
          <t>A</t>
        </is>
      </c>
      <c r="J71" s="8" t="n">
        <v>125</v>
      </c>
      <c r="K71" s="8" t="n">
        <v>125</v>
      </c>
      <c r="L71" s="8">
        <f>K71+E71</f>
        <v/>
      </c>
      <c r="M71" s="8">
        <f>K71-J71</f>
        <v/>
      </c>
      <c r="N71" s="8">
        <f>"S"&amp;(INT(K71/Resumen!$C$5)+1)&amp;"–S"&amp;MAX(INT(K71/Resumen!$C$5)+1,ROUNDUP(L71/Resumen!$C$5,0))</f>
        <v/>
      </c>
      <c r="O71" s="8" t="inlineStr">
        <is>
          <t>En curso</t>
        </is>
      </c>
      <c r="P71" s="8" t="inlineStr">
        <is>
          <t>Agregado</t>
        </is>
      </c>
      <c r="Q71" s="7" t="inlineStr">
        <is>
          <t>Sebas (antes 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5.16</t>
        </is>
      </c>
      <c r="I72" s="18" t="inlineStr">
        <is>
          <t>B</t>
        </is>
      </c>
      <c r="J72" s="8" t="n">
        <v>63</v>
      </c>
      <c r="K72" s="8" t="n">
        <v>118</v>
      </c>
      <c r="L72" s="8">
        <f>K72+E72</f>
        <v/>
      </c>
      <c r="M72" s="8">
        <f>K72-J72</f>
        <v/>
      </c>
      <c r="N72" s="8">
        <f>"S"&amp;(INT(K72/Resumen!$C$5)+1)&amp;"–S"&amp;MAX(INT(K72/Resumen!$C$5)+1,ROUNDUP(L72/Resumen!$C$5,0))</f>
        <v/>
      </c>
      <c r="O72" s="8" t="inlineStr">
        <is>
          <t>Hecho</t>
        </is>
      </c>
      <c r="P72" s="8" t="inlineStr">
        <is>
          <t>Agregado</t>
        </is>
      </c>
      <c r="Q72" s="7" t="inlineStr">
        <is>
          <t>ga-verificador-qa (antes 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6.19</t>
        </is>
      </c>
      <c r="I73" s="18" t="inlineStr">
        <is>
          <t>B</t>
        </is>
      </c>
      <c r="J73" s="8" t="n">
        <v>33</v>
      </c>
      <c r="K73" s="8" t="n">
        <v>33</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6.16</t>
        </is>
      </c>
      <c r="I74" s="18" t="inlineStr">
        <is>
          <t>A</t>
        </is>
      </c>
      <c r="J74" s="8" t="n">
        <v>33</v>
      </c>
      <c r="K74" s="8" t="n">
        <v>33</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1.6</t>
        </is>
      </c>
      <c r="I75" s="18" t="inlineStr">
        <is>
          <t>A</t>
        </is>
      </c>
      <c r="J75" s="8" t="n">
        <v>34</v>
      </c>
      <c r="K75" s="8" t="n">
        <v>34</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1.8</t>
        </is>
      </c>
      <c r="I76" s="18" t="inlineStr">
        <is>
          <t>A</t>
        </is>
      </c>
      <c r="J76" s="8" t="n">
        <v>37</v>
      </c>
      <c r="K76" s="8" t="n">
        <v>37</v>
      </c>
      <c r="L76" s="8">
        <f>K76+E76</f>
        <v/>
      </c>
      <c r="M76" s="8">
        <f>K76-J76</f>
        <v/>
      </c>
      <c r="N76" s="8">
        <f>"S"&amp;(INT(K76/Resumen!$C$5)+1)&amp;"–S"&amp;MAX(INT(K76/Resumen!$C$5)+1,ROUNDUP(L76/Resumen!$C$5,0))</f>
        <v/>
      </c>
      <c r="O76" s="8" t="inlineStr">
        <is>
          <t>Hecho</t>
        </is>
      </c>
      <c r="P76" s="8" t="inlineStr">
        <is>
          <t>Agregado</t>
        </is>
      </c>
      <c r="Q76" s="7" t="inlineStr">
        <is>
          <t>Sebas</t>
        </is>
      </c>
      <c r="R76" s="7" t="inlineStr"/>
    </row>
    <row r="77">
      <c r="A77" s="19" t="inlineStr">
        <is>
          <t>4.12</t>
        </is>
      </c>
      <c r="B77" s="7" t="inlineStr">
        <is>
          <t>4. Panel de administración</t>
        </is>
      </c>
      <c r="C77" s="7" t="inlineStr">
        <is>
          <t>Requerimientos de Ricardo (tanda 1): 19 migraciones, lienzo 3j–3p (afiliación v3, perfil, comisiones, admin de asociados y alertas, convenios con detalle)</t>
        </is>
      </c>
      <c r="D77" s="5" t="n">
        <v>5</v>
      </c>
      <c r="E77" s="8">
        <f>D77</f>
        <v/>
      </c>
      <c r="F77" s="4" t="inlineStr">
        <is>
          <t>1.8, 6.18</t>
        </is>
      </c>
      <c r="G77" s="7" t="inlineStr">
        <is>
          <t>Sí</t>
        </is>
      </c>
      <c r="H77" s="7" t="inlineStr">
        <is>
          <t>4.2, 2.9</t>
        </is>
      </c>
      <c r="I77" s="18" t="inlineStr">
        <is>
          <t>A</t>
        </is>
      </c>
      <c r="J77" s="8" t="n">
        <v>39</v>
      </c>
      <c r="K77" s="8" t="n">
        <v>39</v>
      </c>
      <c r="L77" s="8">
        <f>K77+E77</f>
        <v/>
      </c>
      <c r="M77" s="8">
        <f>K77-J77</f>
        <v/>
      </c>
      <c r="N77" s="8">
        <f>"S"&amp;(INT(K77/Resumen!$C$5)+1)&amp;"–S"&amp;MAX(INT(K77/Resumen!$C$5)+1,ROUNDUP(L77/Resumen!$C$5,0))</f>
        <v/>
      </c>
      <c r="O77" s="8" t="inlineStr">
        <is>
          <t>Hecho</t>
        </is>
      </c>
      <c r="P77" s="8" t="inlineStr">
        <is>
          <t>Agregado</t>
        </is>
      </c>
      <c r="Q77" s="7" t="inlineStr">
        <is>
          <t>ga-auditor-supabase + ga-disenador-lienzo</t>
        </is>
      </c>
      <c r="R77" s="7" t="inlineStr"/>
    </row>
    <row r="78">
      <c r="A78" s="19" t="inlineStr">
        <is>
          <t>4.13</t>
        </is>
      </c>
      <c r="B78" s="7" t="inlineStr">
        <is>
          <t>4. Panel de administración</t>
        </is>
      </c>
      <c r="C78" s="7" t="inlineStr">
        <is>
          <t>Requerimientos de Ricardo (tanda 1): código de 3j–3p y correcciones de las dos revisiones de seguridad (RS-01 a RS-22)</t>
        </is>
      </c>
      <c r="D78" s="5" t="n">
        <v>5</v>
      </c>
      <c r="E78" s="8">
        <f>D78</f>
        <v/>
      </c>
      <c r="F78" s="4" t="inlineStr">
        <is>
          <t>4.12</t>
        </is>
      </c>
      <c r="G78" s="7" t="inlineStr">
        <is>
          <t>Sí</t>
        </is>
      </c>
      <c r="H78" s="7" t="inlineStr">
        <is>
          <t>2.9, 2.12</t>
        </is>
      </c>
      <c r="I78" s="18" t="inlineStr">
        <is>
          <t>A</t>
        </is>
      </c>
      <c r="J78" s="8" t="n">
        <v>44</v>
      </c>
      <c r="K78" s="8" t="n">
        <v>44</v>
      </c>
      <c r="L78" s="8">
        <f>K78+E78</f>
        <v/>
      </c>
      <c r="M78" s="8">
        <f>K78-J78</f>
        <v/>
      </c>
      <c r="N78" s="8">
        <f>"S"&amp;(INT(K78/Resumen!$C$5)+1)&amp;"–S"&amp;MAX(INT(K78/Resumen!$C$5)+1,ROUNDUP(L78/Resumen!$C$5,0))</f>
        <v/>
      </c>
      <c r="O78" s="8" t="inlineStr">
        <is>
          <t>Hecho</t>
        </is>
      </c>
      <c r="P78" s="8" t="inlineStr">
        <is>
          <t>Agregado</t>
        </is>
      </c>
      <c r="Q78" s="7" t="inlineStr">
        <is>
          <t>ga-funcionalidad-botones + ga-diseno-a-codigo + ga-revisor-seguridad</t>
        </is>
      </c>
      <c r="R78" s="7" t="inlineStr"/>
    </row>
    <row r="79">
      <c r="A79" s="19" t="inlineStr">
        <is>
          <t>6.20</t>
        </is>
      </c>
      <c r="B79" s="4" t="inlineStr">
        <is>
          <t>6. Pruebas y lanzamiento</t>
        </is>
      </c>
      <c r="C79" s="7" t="inlineStr">
        <is>
          <t>Desplegar requerimientos de Ricardo (PR #5 a main y 19 migraciones en producción)</t>
        </is>
      </c>
      <c r="D79" s="5" t="n">
        <v>1</v>
      </c>
      <c r="E79" s="8">
        <f>D79</f>
        <v/>
      </c>
      <c r="F79" s="4" t="inlineStr">
        <is>
          <t>4.13</t>
        </is>
      </c>
      <c r="G79" s="7" t="inlineStr">
        <is>
          <t>No (usa las 2 filas)</t>
        </is>
      </c>
      <c r="H79" s="7" t="inlineStr">
        <is>
          <t>—</t>
        </is>
      </c>
      <c r="I79" s="18" t="inlineStr">
        <is>
          <t>A+B</t>
        </is>
      </c>
      <c r="J79" s="8" t="n">
        <v>49</v>
      </c>
      <c r="K79" s="8" t="n">
        <v>56</v>
      </c>
      <c r="L79" s="8">
        <f>K79+E79</f>
        <v/>
      </c>
      <c r="M79" s="8">
        <f>K79-J79</f>
        <v/>
      </c>
      <c r="N79" s="8">
        <f>"S"&amp;(INT(K79/Resumen!$C$5)+1)&amp;"–S"&amp;MAX(INT(K79/Resumen!$C$5)+1,ROUNDUP(L79/Resumen!$C$5,0))</f>
        <v/>
      </c>
      <c r="O79" s="8" t="inlineStr">
        <is>
          <t>Hecho</t>
        </is>
      </c>
      <c r="P79" s="8" t="inlineStr">
        <is>
          <t>Agregado</t>
        </is>
      </c>
      <c r="Q79" s="7" t="inlineStr">
        <is>
          <t>Sebas</t>
        </is>
      </c>
      <c r="R79" s="7" t="inlineStr"/>
    </row>
    <row r="80">
      <c r="A80" s="19" t="inlineStr">
        <is>
          <t>4.14</t>
        </is>
      </c>
      <c r="B80" s="7" t="inlineStr">
        <is>
          <t>4. Panel de administración</t>
        </is>
      </c>
      <c r="C80" s="7" t="inlineStr">
        <is>
          <t>Requerimientos de Ricardo (tanda 2, spec §12): lienzo 3q, 7 migraciones 20260930200*, desembolso, baja/reactivación, dominio de correo, bonos, sorteo con ganador y textos de landing</t>
        </is>
      </c>
      <c r="D80" s="5" t="n">
        <v>4</v>
      </c>
      <c r="E80" s="8">
        <f>D80</f>
        <v/>
      </c>
      <c r="F80" s="4" t="inlineStr">
        <is>
          <t>6.20</t>
        </is>
      </c>
      <c r="G80" s="7" t="inlineStr">
        <is>
          <t>Sí</t>
        </is>
      </c>
      <c r="H80" s="7" t="inlineStr">
        <is>
          <t>4.5, 6.1</t>
        </is>
      </c>
      <c r="I80" s="18" t="inlineStr">
        <is>
          <t>A</t>
        </is>
      </c>
      <c r="J80" s="8" t="n">
        <v>57</v>
      </c>
      <c r="K80" s="8" t="n">
        <v>59</v>
      </c>
      <c r="L80" s="8">
        <f>K80+E80</f>
        <v/>
      </c>
      <c r="M80" s="8">
        <f>K80-J80</f>
        <v/>
      </c>
      <c r="N80" s="8">
        <f>"S"&amp;(INT(K80/Resumen!$C$5)+1)&amp;"–S"&amp;MAX(INT(K80/Resumen!$C$5)+1,ROUNDUP(L80/Resumen!$C$5,0))</f>
        <v/>
      </c>
      <c r="O80" s="8" t="inlineStr">
        <is>
          <t>Hecho</t>
        </is>
      </c>
      <c r="P80" s="8" t="inlineStr">
        <is>
          <t>Agregado</t>
        </is>
      </c>
      <c r="Q80" s="7" t="inlineStr">
        <is>
          <t>ga-disenador-lienzo + ga-auditor-supabase + ga-funcionalidad-botones + ga-diseno-a-codigo</t>
        </is>
      </c>
      <c r="R80" s="7" t="inlineStr"/>
    </row>
    <row r="81">
      <c r="A81" s="19" t="inlineStr">
        <is>
          <t>4.15</t>
        </is>
      </c>
      <c r="B81" s="7" t="inlineStr">
        <is>
          <t>4. Panel de administración</t>
        </is>
      </c>
      <c r="C81" s="7" t="inlineStr">
        <is>
          <t>Pedidos de Sebas (spec §13): correos con respaldo en texto plano, acción admin «Habilitar nuevo crédito» y tarjeta vacía en /cuenta, demo con selector Policía/Ejército y cupo por grado, WhatsApp en el pie</t>
        </is>
      </c>
      <c r="D81" s="5" t="n">
        <v>3</v>
      </c>
      <c r="E81" s="8">
        <f>D81</f>
        <v/>
      </c>
      <c r="F81" s="4" t="inlineStr">
        <is>
          <t>4.14</t>
        </is>
      </c>
      <c r="G81" s="7" t="inlineStr">
        <is>
          <t>Sí</t>
        </is>
      </c>
      <c r="H81" s="7" t="inlineStr">
        <is>
          <t>4.8</t>
        </is>
      </c>
      <c r="I81" s="18" t="inlineStr">
        <is>
          <t>A</t>
        </is>
      </c>
      <c r="J81" s="8" t="n">
        <v>63</v>
      </c>
      <c r="K81" s="8" t="n">
        <v>94</v>
      </c>
      <c r="L81" s="8">
        <f>K81+E81</f>
        <v/>
      </c>
      <c r="M81" s="8">
        <f>K81-J81</f>
        <v/>
      </c>
      <c r="N81" s="8">
        <f>"S"&amp;(INT(K81/Resumen!$C$5)+1)&amp;"–S"&amp;MAX(INT(K81/Resumen!$C$5)+1,ROUNDUP(L81/Resumen!$C$5,0))</f>
        <v/>
      </c>
      <c r="O81" s="8" t="inlineStr">
        <is>
          <t>Hecho</t>
        </is>
      </c>
      <c r="P81" s="8" t="inlineStr">
        <is>
          <t>Agregado</t>
        </is>
      </c>
      <c r="Q81" s="7" t="inlineStr">
        <is>
          <t>ga-auditor-supabase + ga-funcionalidad-botones + ga-diseno-a-codigo</t>
        </is>
      </c>
      <c r="R81" s="7" t="inlineStr"/>
    </row>
    <row r="82">
      <c r="A82" s="19" t="inlineStr">
        <is>
          <t>6.21</t>
        </is>
      </c>
      <c r="B82" s="4" t="inlineStr">
        <is>
          <t>6. Pruebas y lanzamiento</t>
        </is>
      </c>
      <c r="C82" s="7" t="inlineStr">
        <is>
          <t>E2E nuevas de la tanda 2 (§12) y ajuste de las que buscan «Mis datos» en /cuenta</t>
        </is>
      </c>
      <c r="D82" s="5" t="n">
        <v>2</v>
      </c>
      <c r="E82" s="8">
        <f>D82</f>
        <v/>
      </c>
      <c r="F82" s="4" t="inlineStr">
        <is>
          <t>4.14</t>
        </is>
      </c>
      <c r="G82" s="7" t="inlineStr">
        <is>
          <t>Sí</t>
        </is>
      </c>
      <c r="H82" s="7" t="inlineStr">
        <is>
          <t>6.24, 6.28</t>
        </is>
      </c>
      <c r="I82" s="18" t="inlineStr">
        <is>
          <t>B</t>
        </is>
      </c>
      <c r="J82" s="8" t="n">
        <v>63</v>
      </c>
      <c r="K82" s="8" t="n">
        <v>115</v>
      </c>
      <c r="L82" s="8">
        <f>K82+E82</f>
        <v/>
      </c>
      <c r="M82" s="8">
        <f>K82-J82</f>
        <v/>
      </c>
      <c r="N82" s="8">
        <f>"S"&amp;(INT(K82/Resumen!$C$5)+1)&amp;"–S"&amp;MAX(INT(K82/Resumen!$C$5)+1,ROUNDUP(L82/Resumen!$C$5,0))</f>
        <v/>
      </c>
      <c r="O82" s="8" t="inlineStr">
        <is>
          <t>Hecho</t>
        </is>
      </c>
      <c r="P82" s="8" t="inlineStr">
        <is>
          <t>Agregado</t>
        </is>
      </c>
      <c r="Q82" s="7" t="inlineStr">
        <is>
          <t>ga-verificador-qa</t>
        </is>
      </c>
      <c r="R82" s="7" t="inlineStr"/>
    </row>
    <row r="83">
      <c r="A83" s="19" t="inlineStr">
        <is>
          <t>6.22</t>
        </is>
      </c>
      <c r="B83" s="4" t="inlineStr">
        <is>
          <t>6. Pruebas y lanzamiento</t>
        </is>
      </c>
      <c r="C83" s="7" t="inlineStr">
        <is>
          <t>Desplegar la tanda 2: aplicar migraciones 20260930200*, CRON_SECRET (32+), plantilla ga-aviso-institucional y su variable en Vercel</t>
        </is>
      </c>
      <c r="D83" s="5" t="n">
        <v>1</v>
      </c>
      <c r="E83" s="8">
        <f>D83</f>
        <v/>
      </c>
      <c r="F83" s="4" t="inlineStr">
        <is>
          <t>4.14</t>
        </is>
      </c>
      <c r="G83" s="7" t="inlineStr">
        <is>
          <t>No (usa las 2 filas)</t>
        </is>
      </c>
      <c r="H83" s="7" t="inlineStr">
        <is>
          <t>—</t>
        </is>
      </c>
      <c r="I83" s="18" t="inlineStr">
        <is>
          <t>A+B</t>
        </is>
      </c>
      <c r="J83" s="8" t="n">
        <v>63</v>
      </c>
      <c r="K83" s="8" t="n">
        <v>67</v>
      </c>
      <c r="L83" s="8">
        <f>K83+E83</f>
        <v/>
      </c>
      <c r="M83" s="8">
        <f>K83-J83</f>
        <v/>
      </c>
      <c r="N83" s="8">
        <f>"S"&amp;(INT(K83/Resumen!$C$5)+1)&amp;"–S"&amp;MAX(INT(K83/Resumen!$C$5)+1,ROUNDUP(L83/Resumen!$C$5,0))</f>
        <v/>
      </c>
      <c r="O83" s="8" t="inlineStr">
        <is>
          <t>Hecho</t>
        </is>
      </c>
      <c r="P83" s="8" t="inlineStr">
        <is>
          <t>Agregado</t>
        </is>
      </c>
      <c r="Q83" s="7" t="inlineStr">
        <is>
          <t>Sebas</t>
        </is>
      </c>
      <c r="R83" s="7" t="inlineStr"/>
    </row>
    <row r="84">
      <c r="A84" s="19" t="inlineStr">
        <is>
          <t>5.11</t>
        </is>
      </c>
      <c r="B84" s="4" t="inlineStr">
        <is>
          <t>5. Convenios y pulido</t>
        </is>
      </c>
      <c r="C84" s="7" t="inlineStr">
        <is>
          <t>Backlog §12.12: reconocimiento al primer asesor que llegue a los premios por asociados</t>
        </is>
      </c>
      <c r="D84" s="5" t="n">
        <v>2</v>
      </c>
      <c r="E84" s="8">
        <f>D84</f>
        <v/>
      </c>
      <c r="F84" s="4" t="inlineStr">
        <is>
          <t>6.22</t>
        </is>
      </c>
      <c r="G84" s="7" t="inlineStr">
        <is>
          <t>Sí</t>
        </is>
      </c>
      <c r="H84" s="7" t="inlineStr">
        <is>
          <t>4.19</t>
        </is>
      </c>
      <c r="I84" s="18" t="inlineStr">
        <is>
          <t>A</t>
        </is>
      </c>
      <c r="J84" s="8" t="n">
        <v>68</v>
      </c>
      <c r="K84" s="8" t="n">
        <v>92</v>
      </c>
      <c r="L84" s="8">
        <f>K84+E84</f>
        <v/>
      </c>
      <c r="M84" s="8">
        <f>K84-J84</f>
        <v/>
      </c>
      <c r="N84" s="8">
        <f>"S"&amp;(INT(K84/Resumen!$C$5)+1)&amp;"–S"&amp;MAX(INT(K84/Resumen!$C$5)+1,ROUNDUP(L84/Resumen!$C$5,0))</f>
        <v/>
      </c>
      <c r="O84" s="8" t="inlineStr">
        <is>
          <t>Hecho</t>
        </is>
      </c>
      <c r="P84" s="8" t="inlineStr">
        <is>
          <t>Agregado</t>
        </is>
      </c>
      <c r="Q84" s="7" t="inlineStr">
        <is>
          <t>ga-funcionalidad-botones + ga-diseno-a-codigo</t>
        </is>
      </c>
      <c r="R84" s="7" t="inlineStr"/>
    </row>
    <row r="85">
      <c r="A85" s="19" t="inlineStr">
        <is>
          <t>5.12</t>
        </is>
      </c>
      <c r="B85" s="4" t="inlineStr">
        <is>
          <t>5. Convenios y pulido</t>
        </is>
      </c>
      <c r="C85" s="7" t="inlineStr">
        <is>
          <t>Backlog §12.12: carné virtual del asociado («Afiliado Titular», nombre, grado, institución, cédula)</t>
        </is>
      </c>
      <c r="D85" s="5" t="n">
        <v>2</v>
      </c>
      <c r="E85" s="8">
        <f>D85</f>
        <v/>
      </c>
      <c r="F85" s="4" t="inlineStr">
        <is>
          <t>6.22</t>
        </is>
      </c>
      <c r="G85" s="7" t="inlineStr">
        <is>
          <t>Sí</t>
        </is>
      </c>
      <c r="H85" s="7" t="inlineStr">
        <is>
          <t>6.34, 5.19</t>
        </is>
      </c>
      <c r="I85" s="18" t="inlineStr">
        <is>
          <t>B</t>
        </is>
      </c>
      <c r="J85" s="8" t="n">
        <v>68</v>
      </c>
      <c r="K85" s="8" t="n">
        <v>82</v>
      </c>
      <c r="L85" s="8">
        <f>K85+E85</f>
        <v/>
      </c>
      <c r="M85" s="8">
        <f>K85-J85</f>
        <v/>
      </c>
      <c r="N85" s="8">
        <f>"S"&amp;(INT(K85/Resumen!$C$5)+1)&amp;"–S"&amp;MAX(INT(K85/Resumen!$C$5)+1,ROUNDUP(L85/Resumen!$C$5,0))</f>
        <v/>
      </c>
      <c r="O85" s="8" t="inlineStr">
        <is>
          <t>Hecho</t>
        </is>
      </c>
      <c r="P85" s="8" t="inlineStr">
        <is>
          <t>Agregado</t>
        </is>
      </c>
      <c r="Q85" s="7" t="inlineStr">
        <is>
          <t>ga-disenador-lienzo + ga-diseno-a-codigo</t>
        </is>
      </c>
      <c r="R85" s="7" t="inlineStr"/>
    </row>
    <row r="86">
      <c r="A86" s="19" t="inlineStr">
        <is>
          <t>5.13</t>
        </is>
      </c>
      <c r="B86" s="4" t="inlineStr">
        <is>
          <t>5. Convenios y pulido</t>
        </is>
      </c>
      <c r="C86" s="7" t="inlineStr">
        <is>
          <t>Convenios: videos (AMB Móvil, Dr. Ribero, Dream &amp; Go, Locos por los Viajes) y PDF de Racing Tours en el detalle de cada marca</t>
        </is>
      </c>
      <c r="D86" s="5" t="n">
        <v>1</v>
      </c>
      <c r="E86" s="8">
        <f>D86</f>
        <v/>
      </c>
      <c r="F86" s="4" t="inlineStr">
        <is>
          <t>5.2</t>
        </is>
      </c>
      <c r="G86" s="7" t="inlineStr">
        <is>
          <t>Sí</t>
        </is>
      </c>
      <c r="H86" s="7" t="inlineStr">
        <is>
          <t>5.10</t>
        </is>
      </c>
      <c r="I86" s="18" t="inlineStr">
        <is>
          <t>B</t>
        </is>
      </c>
      <c r="J86" s="8" t="n">
        <v>67</v>
      </c>
      <c r="K86" s="8" t="n">
        <v>104</v>
      </c>
      <c r="L86" s="8">
        <f>K86+E86</f>
        <v/>
      </c>
      <c r="M86" s="8">
        <f>K86-J86</f>
        <v/>
      </c>
      <c r="N86" s="8">
        <f>"S"&amp;(INT(K86/Resumen!$C$5)+1)&amp;"–S"&amp;MAX(INT(K86/Resumen!$C$5)+1,ROUNDUP(L86/Resumen!$C$5,0))</f>
        <v/>
      </c>
      <c r="O86" s="8" t="inlineStr">
        <is>
          <t>Hecho</t>
        </is>
      </c>
      <c r="P86" s="8" t="inlineStr">
        <is>
          <t>Agregado</t>
        </is>
      </c>
      <c r="Q86" s="7" t="inlineStr">
        <is>
          <t>ga-diseno-a-codigo</t>
        </is>
      </c>
      <c r="R86" s="7" t="inlineStr"/>
    </row>
    <row r="87">
      <c r="A87" s="19" t="inlineStr">
        <is>
          <t>6.23</t>
        </is>
      </c>
      <c r="B87" s="4" t="inlineStr">
        <is>
          <t>6. Pruebas y lanzamiento</t>
        </is>
      </c>
      <c r="C87" s="7" t="inlineStr">
        <is>
          <t>Aplicar la migración 20261001000000 (versión de política aceptada, secuencia revocada, RPC de métricas) ANTES de desplegar</t>
        </is>
      </c>
      <c r="D87" s="5" t="n">
        <v>1</v>
      </c>
      <c r="E87" s="8">
        <f>D87</f>
        <v/>
      </c>
      <c r="F87" s="4" t="inlineStr">
        <is>
          <t>4.14</t>
        </is>
      </c>
      <c r="G87" s="7" t="inlineStr">
        <is>
          <t>No (usa las 2 filas)</t>
        </is>
      </c>
      <c r="H87" s="7" t="inlineStr">
        <is>
          <t>—</t>
        </is>
      </c>
      <c r="I87" s="18" t="inlineStr">
        <is>
          <t>A+B</t>
        </is>
      </c>
      <c r="J87" s="8" t="n">
        <v>63</v>
      </c>
      <c r="K87" s="8" t="n">
        <v>114</v>
      </c>
      <c r="L87" s="8">
        <f>K87+E87</f>
        <v/>
      </c>
      <c r="M87" s="8">
        <f>K87-J87</f>
        <v/>
      </c>
      <c r="N87" s="8">
        <f>"S"&amp;(INT(K87/Resumen!$C$5)+1)&amp;"–S"&amp;MAX(INT(K87/Resumen!$C$5)+1,ROUNDUP(L87/Resumen!$C$5,0))</f>
        <v/>
      </c>
      <c r="O87" s="8" t="inlineStr">
        <is>
          <t>Hecho</t>
        </is>
      </c>
      <c r="P87" s="8" t="inlineStr">
        <is>
          <t>Agregado</t>
        </is>
      </c>
      <c r="Q87" s="7" t="inlineStr">
        <is>
          <t>Sebas</t>
        </is>
      </c>
      <c r="R87" s="7" t="inlineStr"/>
    </row>
    <row r="88">
      <c r="A88" s="19" t="inlineStr">
        <is>
          <t>6.24</t>
        </is>
      </c>
      <c r="B88" s="4" t="inlineStr">
        <is>
          <t>6. Pruebas y lanzamiento</t>
        </is>
      </c>
      <c r="C88" s="7" t="inlineStr">
        <is>
          <t>Aplicar la migración 20261001100000 (habilitar crédito y métricas por estado/desembolsos) tras db reset y test db en local</t>
        </is>
      </c>
      <c r="D88" s="5" t="n">
        <v>1</v>
      </c>
      <c r="E88" s="8">
        <f>D88</f>
        <v/>
      </c>
      <c r="F88" s="4" t="inlineStr">
        <is>
          <t>4.15, 4.7, 4.8</t>
        </is>
      </c>
      <c r="G88" s="7" t="inlineStr">
        <is>
          <t>Sí</t>
        </is>
      </c>
      <c r="H88" s="7" t="inlineStr">
        <is>
          <t>6.21</t>
        </is>
      </c>
      <c r="I88" s="18" t="inlineStr">
        <is>
          <t>A</t>
        </is>
      </c>
      <c r="J88" s="8" t="n">
        <v>114</v>
      </c>
      <c r="K88" s="8" t="n">
        <v>115</v>
      </c>
      <c r="L88" s="8">
        <f>K88+E88</f>
        <v/>
      </c>
      <c r="M88" s="8">
        <f>K88-J88</f>
        <v/>
      </c>
      <c r="N88" s="8">
        <f>"S"&amp;(INT(K88/Resumen!$C$5)+1)&amp;"–S"&amp;MAX(INT(K88/Resumen!$C$5)+1,ROUNDUP(L88/Resumen!$C$5,0))</f>
        <v/>
      </c>
      <c r="O88" s="8" t="inlineStr">
        <is>
          <t>Hecho</t>
        </is>
      </c>
      <c r="P88" s="8" t="inlineStr">
        <is>
          <t>Agregado</t>
        </is>
      </c>
      <c r="Q88" s="7" t="inlineStr">
        <is>
          <t>Sebas</t>
        </is>
      </c>
      <c r="R88" s="7" t="inlineStr"/>
    </row>
    <row r="89">
      <c r="A89" s="19" t="inlineStr">
        <is>
          <t>6.25</t>
        </is>
      </c>
      <c r="B89" s="4" t="inlineStr">
        <is>
          <t>6. Pruebas y lanzamiento</t>
        </is>
      </c>
      <c r="C89" s="7" t="inlineStr">
        <is>
          <t>Aplicar la migración 20261002000000 (convenios administrables, bucket convenios-logos, F2-08) en producción y fusionar develop→main (e2523de)</t>
        </is>
      </c>
      <c r="D89" s="5" t="n">
        <v>1</v>
      </c>
      <c r="E89" s="8">
        <f>D89</f>
        <v/>
      </c>
      <c r="F89" s="4" t="inlineStr">
        <is>
          <t>5.9</t>
        </is>
      </c>
      <c r="G89" s="7" t="inlineStr">
        <is>
          <t>No (usa las 2 filas)</t>
        </is>
      </c>
      <c r="H89" s="7" t="inlineStr">
        <is>
          <t>—</t>
        </is>
      </c>
      <c r="I89" s="18" t="inlineStr">
        <is>
          <t>A+B</t>
        </is>
      </c>
      <c r="J89" s="8" t="n">
        <v>78</v>
      </c>
      <c r="K89" s="8" t="n">
        <v>108</v>
      </c>
      <c r="L89" s="8">
        <f>K89+E89</f>
        <v/>
      </c>
      <c r="M89" s="8">
        <f>K89-J89</f>
        <v/>
      </c>
      <c r="N89" s="8">
        <f>"S"&amp;(INT(K89/Resumen!$C$5)+1)&amp;"–S"&amp;MAX(INT(K89/Resumen!$C$5)+1,ROUNDUP(L89/Resumen!$C$5,0))</f>
        <v/>
      </c>
      <c r="O89" s="8" t="inlineStr">
        <is>
          <t>Hecho</t>
        </is>
      </c>
      <c r="P89" s="8" t="inlineStr">
        <is>
          <t>Agregado</t>
        </is>
      </c>
      <c r="Q89" s="7" t="inlineStr">
        <is>
          <t>Sebas</t>
        </is>
      </c>
      <c r="R89" s="7" t="inlineStr"/>
    </row>
    <row r="90">
      <c r="A90" s="19" t="inlineStr">
        <is>
          <t>4.16</t>
        </is>
      </c>
      <c r="B90" s="7" t="inlineStr">
        <is>
          <t>4. Panel de administración</t>
        </is>
      </c>
      <c r="C90" s="7" t="inlineStr">
        <is>
          <t>Premios de asesores (clics y tope por meta), inscritos al sorteo en /admin/sorteo y ajustes de entrega S-01/S-02 (migraciones 20261002100000–20261002400000)</t>
        </is>
      </c>
      <c r="D90" s="5" t="n">
        <v>3</v>
      </c>
      <c r="E90" s="8">
        <f>D90</f>
        <v/>
      </c>
      <c r="F90" s="4" t="inlineStr">
        <is>
          <t>4.14</t>
        </is>
      </c>
      <c r="G90" s="7" t="inlineStr">
        <is>
          <t>Sí</t>
        </is>
      </c>
      <c r="H90" s="7" t="inlineStr">
        <is>
          <t>5.18, 2.13, 6.30</t>
        </is>
      </c>
      <c r="I90" s="18" t="inlineStr">
        <is>
          <t>A</t>
        </is>
      </c>
      <c r="J90" s="8" t="n">
        <v>63</v>
      </c>
      <c r="K90" s="8" t="n">
        <v>105</v>
      </c>
      <c r="L90" s="8">
        <f>K90+E90</f>
        <v/>
      </c>
      <c r="M90" s="8">
        <f>K90-J90</f>
        <v/>
      </c>
      <c r="N90" s="8">
        <f>"S"&amp;(INT(K90/Resumen!$C$5)+1)&amp;"–S"&amp;MAX(INT(K90/Resumen!$C$5)+1,ROUNDUP(L90/Resumen!$C$5,0))</f>
        <v/>
      </c>
      <c r="O90" s="8" t="inlineStr">
        <is>
          <t>Hecho</t>
        </is>
      </c>
      <c r="P90" s="8" t="inlineStr">
        <is>
          <t>Agregado</t>
        </is>
      </c>
      <c r="Q90" s="7" t="inlineStr">
        <is>
          <t>ga-funcionalidad-botones + ga-revisor-seguridad + ga-verificador-qa</t>
        </is>
      </c>
      <c r="R90" s="7" t="inlineStr"/>
    </row>
    <row r="91">
      <c r="A91" s="19" t="inlineStr">
        <is>
          <t>5.14</t>
        </is>
      </c>
      <c r="B91" s="4" t="inlineStr">
        <is>
          <t>5. Convenios y pulido</t>
        </is>
      </c>
      <c r="C91" s="7" t="inlineStr">
        <is>
          <t>Carné con QR, /verificar/[token] (solo activos, regenerar 1/min) y botón «Descargar PDF» del carné</t>
        </is>
      </c>
      <c r="D91" s="5" t="n">
        <v>2</v>
      </c>
      <c r="E91" s="8">
        <f>D91</f>
        <v/>
      </c>
      <c r="F91" s="4" t="inlineStr">
        <is>
          <t>5.12</t>
        </is>
      </c>
      <c r="G91" s="7" t="inlineStr">
        <is>
          <t>Sí</t>
        </is>
      </c>
      <c r="H91" s="7" t="inlineStr">
        <is>
          <t>6.2</t>
        </is>
      </c>
      <c r="I91" s="18" t="inlineStr">
        <is>
          <t>A</t>
        </is>
      </c>
      <c r="J91" s="8" t="n">
        <v>84</v>
      </c>
      <c r="K91" s="8" t="n">
        <v>84</v>
      </c>
      <c r="L91" s="8">
        <f>K91+E91</f>
        <v/>
      </c>
      <c r="M91" s="8">
        <f>K91-J91</f>
        <v/>
      </c>
      <c r="N91" s="8">
        <f>"S"&amp;(INT(K91/Resumen!$C$5)+1)&amp;"–S"&amp;MAX(INT(K91/Resumen!$C$5)+1,ROUNDUP(L91/Resumen!$C$5,0))</f>
        <v/>
      </c>
      <c r="O91" s="8" t="inlineStr">
        <is>
          <t>Hecho</t>
        </is>
      </c>
      <c r="P91" s="8" t="inlineStr">
        <is>
          <t>Agregado</t>
        </is>
      </c>
      <c r="Q91" s="7" t="inlineStr">
        <is>
          <t>ga-funcionalidad-botones</t>
        </is>
      </c>
      <c r="R91" s="7" t="inlineStr"/>
    </row>
    <row r="92">
      <c r="A92" s="19" t="inlineStr">
        <is>
          <t>4.17</t>
        </is>
      </c>
      <c r="B92" s="7" t="inlineStr">
        <is>
          <t>4. Panel de administración</t>
        </is>
      </c>
      <c r="C92" s="7" t="inlineStr">
        <is>
          <t>Recuperación de acceso (Anexo Técnico fase 2, O-1): /ingresar/recuperar, cambio de correo asistido en /admin y propio en /cuenta/perfil, correcciones SEC-REC-01 a 05 (migración 20261002500000)</t>
        </is>
      </c>
      <c r="D92" s="5" t="n">
        <v>4</v>
      </c>
      <c r="E92" s="8">
        <f>D92</f>
        <v/>
      </c>
      <c r="F92" s="4" t="inlineStr">
        <is>
          <t>4.14</t>
        </is>
      </c>
      <c r="G92" s="7" t="inlineStr">
        <is>
          <t>Sí</t>
        </is>
      </c>
      <c r="H92" s="7" t="inlineStr">
        <is>
          <t>3.2, 4.9</t>
        </is>
      </c>
      <c r="I92" s="18" t="inlineStr">
        <is>
          <t>A</t>
        </is>
      </c>
      <c r="J92" s="8" t="n">
        <v>63</v>
      </c>
      <c r="K92" s="8" t="n">
        <v>99</v>
      </c>
      <c r="L92" s="8">
        <f>K92+E92</f>
        <v/>
      </c>
      <c r="M92" s="8">
        <f>K92-J92</f>
        <v/>
      </c>
      <c r="N92" s="8">
        <f>"S"&amp;(INT(K92/Resumen!$C$5)+1)&amp;"–S"&amp;MAX(INT(K92/Resumen!$C$5)+1,ROUNDUP(L92/Resumen!$C$5,0))</f>
        <v/>
      </c>
      <c r="O92" s="8" t="inlineStr">
        <is>
          <t>Hecho</t>
        </is>
      </c>
      <c r="P92" s="8" t="inlineStr">
        <is>
          <t>Agregado</t>
        </is>
      </c>
      <c r="Q92" s="7" t="inlineStr">
        <is>
          <t>ga-funcionalidad-botones + ga-revisor-seguridad</t>
        </is>
      </c>
      <c r="R92" s="7" t="inlineStr"/>
    </row>
    <row r="93">
      <c r="A93" s="19" t="inlineStr">
        <is>
          <t>4.18</t>
        </is>
      </c>
      <c r="B93" s="7" t="inlineStr">
        <is>
          <t>4. Panel de administración</t>
        </is>
      </c>
      <c r="C93" s="7" t="inlineStr">
        <is>
          <t>Reglas de Sebas: admin sin restricción sobre sus clientes y PP retirado (migración 20261002600000) con pgTAP, vitest y e2e ajustados</t>
        </is>
      </c>
      <c r="D93" s="5" t="n">
        <v>2</v>
      </c>
      <c r="E93" s="8">
        <f>D93</f>
        <v/>
      </c>
      <c r="F93" s="4" t="inlineStr">
        <is>
          <t>4.14</t>
        </is>
      </c>
      <c r="G93" s="7" t="inlineStr">
        <is>
          <t>Sí</t>
        </is>
      </c>
      <c r="H93" s="7" t="inlineStr">
        <is>
          <t>6.3</t>
        </is>
      </c>
      <c r="I93" s="18" t="inlineStr">
        <is>
          <t>B</t>
        </is>
      </c>
      <c r="J93" s="8" t="n">
        <v>63</v>
      </c>
      <c r="K93" s="8" t="n">
        <v>80</v>
      </c>
      <c r="L93" s="8">
        <f>K93+E93</f>
        <v/>
      </c>
      <c r="M93" s="8">
        <f>K93-J93</f>
        <v/>
      </c>
      <c r="N93" s="8">
        <f>"S"&amp;(INT(K93/Resumen!$C$5)+1)&amp;"–S"&amp;MAX(INT(K93/Resumen!$C$5)+1,ROUNDUP(L93/Resumen!$C$5,0))</f>
        <v/>
      </c>
      <c r="O93" s="8" t="inlineStr">
        <is>
          <t>Hecho</t>
        </is>
      </c>
      <c r="P93" s="8" t="inlineStr">
        <is>
          <t>Agregado</t>
        </is>
      </c>
      <c r="Q93" s="7" t="inlineStr">
        <is>
          <t>ga-escritor-tests + ga-funcionalidad-botones</t>
        </is>
      </c>
      <c r="R93" s="7" t="inlineStr"/>
    </row>
    <row r="94">
      <c r="A94" s="19" t="inlineStr">
        <is>
          <t>4.19</t>
        </is>
      </c>
      <c r="B94" s="7" t="inlineStr">
        <is>
          <t>4. Panel de administración</t>
        </is>
      </c>
      <c r="C94" s="7" t="inlineStr">
        <is>
          <t>Comprobante de desembolso (bucket privado, visible para el asociado) y «Eliminar definitivamente» = anonimizar con código al correo del admin (migración 20261003000000)</t>
        </is>
      </c>
      <c r="D94" s="5" t="n">
        <v>4</v>
      </c>
      <c r="E94" s="8">
        <f>D94</f>
        <v/>
      </c>
      <c r="F94" s="4" t="inlineStr">
        <is>
          <t>4.14</t>
        </is>
      </c>
      <c r="G94" s="7" t="inlineStr">
        <is>
          <t>Sí</t>
        </is>
      </c>
      <c r="H94" s="7" t="inlineStr">
        <is>
          <t>5.17, 6.8, 5.11</t>
        </is>
      </c>
      <c r="I94" s="18" t="inlineStr">
        <is>
          <t>B</t>
        </is>
      </c>
      <c r="J94" s="8" t="n">
        <v>63</v>
      </c>
      <c r="K94" s="8" t="n">
        <v>90</v>
      </c>
      <c r="L94" s="8">
        <f>K94+E94</f>
        <v/>
      </c>
      <c r="M94" s="8">
        <f>K94-J94</f>
        <v/>
      </c>
      <c r="N94" s="8">
        <f>"S"&amp;(INT(K94/Resumen!$C$5)+1)&amp;"–S"&amp;MAX(INT(K94/Resumen!$C$5)+1,ROUNDUP(L94/Resumen!$C$5,0))</f>
        <v/>
      </c>
      <c r="O94" s="8" t="inlineStr">
        <is>
          <t>Hecho</t>
        </is>
      </c>
      <c r="P94" s="8" t="inlineStr">
        <is>
          <t>Agregado</t>
        </is>
      </c>
      <c r="Q94" s="7" t="inlineStr">
        <is>
          <t>ga-funcionalidad-botones</t>
        </is>
      </c>
      <c r="R94" s="7" t="inlineStr"/>
    </row>
    <row r="95">
      <c r="A95" s="19" t="inlineStr">
        <is>
          <t>4.20</t>
        </is>
      </c>
      <c r="B95" s="7" t="inlineStr">
        <is>
          <t>4. Panel de administración</t>
        </is>
      </c>
      <c r="C95" s="7" t="inlineStr">
        <is>
          <t>Rol secretario (Resumen y afiliaciones, con historial) y búsqueda general de asociados para asesores con cédula enmascarada (migración 20261003100000)</t>
        </is>
      </c>
      <c r="D95" s="5" t="n">
        <v>4</v>
      </c>
      <c r="E95" s="8">
        <f>D95</f>
        <v/>
      </c>
      <c r="F95" s="4" t="inlineStr">
        <is>
          <t>4.14</t>
        </is>
      </c>
      <c r="G95" s="7" t="inlineStr">
        <is>
          <t>Sí</t>
        </is>
      </c>
      <c r="H95" s="7" t="inlineStr">
        <is>
          <t>5.5, 5.2</t>
        </is>
      </c>
      <c r="I95" s="18" t="inlineStr">
        <is>
          <t>A</t>
        </is>
      </c>
      <c r="J95" s="8" t="n">
        <v>63</v>
      </c>
      <c r="K95" s="8" t="n">
        <v>63</v>
      </c>
      <c r="L95" s="8">
        <f>K95+E95</f>
        <v/>
      </c>
      <c r="M95" s="8">
        <f>K95-J95</f>
        <v/>
      </c>
      <c r="N95" s="8">
        <f>"S"&amp;(INT(K95/Resumen!$C$5)+1)&amp;"–S"&amp;MAX(INT(K95/Resumen!$C$5)+1,ROUNDUP(L95/Resumen!$C$5,0))</f>
        <v/>
      </c>
      <c r="O95" s="8" t="inlineStr">
        <is>
          <t>Hecho</t>
        </is>
      </c>
      <c r="P95" s="8" t="inlineStr">
        <is>
          <t>Agregado</t>
        </is>
      </c>
      <c r="Q95" s="7" t="inlineStr">
        <is>
          <t>ga-funcionalidad-botones</t>
        </is>
      </c>
      <c r="R95" s="7" t="inlineStr"/>
    </row>
    <row r="96">
      <c r="A96" s="19" t="inlineStr">
        <is>
          <t>5.15</t>
        </is>
      </c>
      <c r="B96" s="4" t="inlineStr">
        <is>
          <t>5. Convenios y pulido</t>
        </is>
      </c>
      <c r="C96" s="7" t="inlineStr">
        <is>
          <t>Foto del asociado en el carné: selfie por defecto, cambiable por el asociado; en carné, PDF, /verificar y ficha del admin (migración 20261003200000)</t>
        </is>
      </c>
      <c r="D96" s="5" t="n">
        <v>3</v>
      </c>
      <c r="E96" s="8">
        <f>D96</f>
        <v/>
      </c>
      <c r="F96" s="4" t="inlineStr">
        <is>
          <t>5.14</t>
        </is>
      </c>
      <c r="G96" s="7" t="inlineStr">
        <is>
          <t>Sí</t>
        </is>
      </c>
      <c r="H96" s="7" t="inlineStr">
        <is>
          <t>6.26</t>
        </is>
      </c>
      <c r="I96" s="18" t="inlineStr">
        <is>
          <t>B</t>
        </is>
      </c>
      <c r="J96" s="8" t="n">
        <v>86</v>
      </c>
      <c r="K96" s="8" t="n">
        <v>86</v>
      </c>
      <c r="L96" s="8">
        <f>K96+E96</f>
        <v/>
      </c>
      <c r="M96" s="8">
        <f>K96-J96</f>
        <v/>
      </c>
      <c r="N96" s="8">
        <f>"S"&amp;(INT(K96/Resumen!$C$5)+1)&amp;"–S"&amp;MAX(INT(K96/Resumen!$C$5)+1,ROUNDUP(L96/Resumen!$C$5,0))</f>
        <v/>
      </c>
      <c r="O96" s="8" t="inlineStr">
        <is>
          <t>Hecho</t>
        </is>
      </c>
      <c r="P96" s="8" t="inlineStr">
        <is>
          <t>Agregado</t>
        </is>
      </c>
      <c r="Q96" s="7" t="inlineStr">
        <is>
          <t>ga-funcionalidad-botones</t>
        </is>
      </c>
      <c r="R96" s="7" t="inlineStr"/>
    </row>
    <row r="97">
      <c r="A97" s="19" t="inlineStr">
        <is>
          <t>5.16</t>
        </is>
      </c>
      <c r="B97" s="4" t="inlineStr">
        <is>
          <t>5. Convenios y pulido</t>
        </is>
      </c>
      <c r="C97" s="7" t="inlineStr">
        <is>
          <t>Vistas de /cuenta y demo del admin/asesor unificadas (CamposSolicitud, TarjetaTope) y comprobante conectado en /cuenta</t>
        </is>
      </c>
      <c r="D97" s="5" t="n">
        <v>2</v>
      </c>
      <c r="E97" s="8">
        <f>D97</f>
        <v/>
      </c>
      <c r="F97" s="4" t="inlineStr">
        <is>
          <t>4.19</t>
        </is>
      </c>
      <c r="G97" s="7" t="inlineStr">
        <is>
          <t>Sí</t>
        </is>
      </c>
      <c r="H97" s="7" t="inlineStr">
        <is>
          <t>4.22, 6.15</t>
        </is>
      </c>
      <c r="I97" s="18" t="inlineStr">
        <is>
          <t>A</t>
        </is>
      </c>
      <c r="J97" s="8" t="n">
        <v>94</v>
      </c>
      <c r="K97" s="8" t="n">
        <v>117</v>
      </c>
      <c r="L97" s="8">
        <f>K97+E97</f>
        <v/>
      </c>
      <c r="M97" s="8">
        <f>K97-J97</f>
        <v/>
      </c>
      <c r="N97" s="8">
        <f>"S"&amp;(INT(K97/Resumen!$C$5)+1)&amp;"–S"&amp;MAX(INT(K97/Resumen!$C$5)+1,ROUNDUP(L97/Resumen!$C$5,0))</f>
        <v/>
      </c>
      <c r="O97" s="8" t="inlineStr">
        <is>
          <t>Hecho</t>
        </is>
      </c>
      <c r="P97" s="8" t="inlineStr">
        <is>
          <t>Agregado</t>
        </is>
      </c>
      <c r="Q97" s="7" t="inlineStr">
        <is>
          <t>ga-diseno-a-codigo + sesión principal</t>
        </is>
      </c>
      <c r="R97" s="7" t="inlineStr"/>
    </row>
    <row r="98">
      <c r="A98" s="19" t="inlineStr">
        <is>
          <t>5.17</t>
        </is>
      </c>
      <c r="B98" s="4" t="inlineStr">
        <is>
          <t>5. Convenios y pulido</t>
        </is>
      </c>
      <c r="C98" s="7" t="inlineStr">
        <is>
          <t>Correos: diagnóstico del correo del sorteo, plan de correos Resend y mensajes de WhatsApp Business</t>
        </is>
      </c>
      <c r="D98" s="5" t="n">
        <v>1</v>
      </c>
      <c r="E98" s="8">
        <f>D98</f>
        <v/>
      </c>
      <c r="F98" s="4" t="inlineStr">
        <is>
          <t>3.9</t>
        </is>
      </c>
      <c r="G98" s="7" t="inlineStr">
        <is>
          <t>Sí</t>
        </is>
      </c>
      <c r="H98" s="7" t="inlineStr">
        <is>
          <t>4.19</t>
        </is>
      </c>
      <c r="I98" s="18" t="inlineStr">
        <is>
          <t>A</t>
        </is>
      </c>
      <c r="J98" s="8" t="n">
        <v>72</v>
      </c>
      <c r="K98" s="8" t="n">
        <v>90</v>
      </c>
      <c r="L98" s="8">
        <f>K98+E98</f>
        <v/>
      </c>
      <c r="M98" s="8">
        <f>K98-J98</f>
        <v/>
      </c>
      <c r="N98" s="8">
        <f>"S"&amp;(INT(K98/Resumen!$C$5)+1)&amp;"–S"&amp;MAX(INT(K98/Resumen!$C$5)+1,ROUNDUP(L98/Resumen!$C$5,0))</f>
        <v/>
      </c>
      <c r="O98" s="8" t="inlineStr">
        <is>
          <t>Hecho</t>
        </is>
      </c>
      <c r="P98" s="8" t="inlineStr">
        <is>
          <t>Agregado</t>
        </is>
      </c>
      <c r="Q98" s="7" t="inlineStr">
        <is>
          <t>ga-correos</t>
        </is>
      </c>
      <c r="R98" s="7" t="inlineStr"/>
    </row>
    <row r="99">
      <c r="A99" s="19" t="inlineStr">
        <is>
          <t>6.26</t>
        </is>
      </c>
      <c r="B99" s="4" t="inlineStr">
        <is>
          <t>6. Pruebas y lanzamiento</t>
        </is>
      </c>
      <c r="C99" s="7" t="inlineStr">
        <is>
          <t>Documentos de entrega en PDF (documentación técnica, respaldo y restauración, manual, actas, constancia), contrato 001-2026 diligenciado con anexos 2 y 3, propuesta de garantía (9-oct al 7-nov) y soporte mensual ($500.000 desde el 8-nov)</t>
        </is>
      </c>
      <c r="D99" s="5" t="n">
        <v>3</v>
      </c>
      <c r="E99" s="8">
        <f>D99</f>
        <v/>
      </c>
      <c r="F99" s="4" t="inlineStr">
        <is>
          <t>—</t>
        </is>
      </c>
      <c r="G99" s="7" t="inlineStr">
        <is>
          <t>Sí</t>
        </is>
      </c>
      <c r="H99" s="7" t="inlineStr">
        <is>
          <t>5.15</t>
        </is>
      </c>
      <c r="I99" s="18" t="inlineStr">
        <is>
          <t>A</t>
        </is>
      </c>
      <c r="J99" s="8" t="n">
        <v>0</v>
      </c>
      <c r="K99" s="8" t="n">
        <v>86</v>
      </c>
      <c r="L99" s="8">
        <f>K99+E99</f>
        <v/>
      </c>
      <c r="M99" s="8">
        <f>K99-J99</f>
        <v/>
      </c>
      <c r="N99" s="8">
        <f>"S"&amp;(INT(K99/Resumen!$C$5)+1)&amp;"–S"&amp;MAX(INT(K99/Resumen!$C$5)+1,ROUNDUP(L99/Resumen!$C$5,0))</f>
        <v/>
      </c>
      <c r="O99" s="8" t="inlineStr">
        <is>
          <t>Hecho</t>
        </is>
      </c>
      <c r="P99" s="8" t="inlineStr">
        <is>
          <t>Agregado</t>
        </is>
      </c>
      <c r="Q99" s="7" t="inlineStr">
        <is>
          <t>agente de documentos de entrega + sesión principal</t>
        </is>
      </c>
      <c r="R99" s="7" t="inlineStr"/>
    </row>
    <row r="100">
      <c r="A100" s="19" t="inlineStr">
        <is>
          <t>6.27</t>
        </is>
      </c>
      <c r="B100" s="4" t="inlineStr">
        <is>
          <t>6. Pruebas y lanzamiento</t>
        </is>
      </c>
      <c r="C100" s="7" t="inlineStr">
        <is>
          <t>Aplicar con respaldo previo las migraciones 20261002500000, 20261002600000, 20261003000000, 20261003100000 y 20261003200000 y 20261003300000 y fusionar develop→main</t>
        </is>
      </c>
      <c r="D100" s="5" t="n">
        <v>1</v>
      </c>
      <c r="E100" s="8">
        <f>D100</f>
        <v/>
      </c>
      <c r="F100" s="7" t="inlineStr">
        <is>
          <t>4.17, 4.18, 4.19, 4.20, 5.15, 6.25</t>
        </is>
      </c>
      <c r="G100" s="7" t="inlineStr">
        <is>
          <t>No (usa las 2 filas)</t>
        </is>
      </c>
      <c r="H100" s="7" t="inlineStr">
        <is>
          <t>—</t>
        </is>
      </c>
      <c r="I100" s="18" t="inlineStr">
        <is>
          <t>A+B</t>
        </is>
      </c>
      <c r="J100" s="8" t="n">
        <v>109</v>
      </c>
      <c r="K100" s="8" t="n">
        <v>109</v>
      </c>
      <c r="L100" s="8">
        <f>K100+E100</f>
        <v/>
      </c>
      <c r="M100" s="8">
        <f>K100-J100</f>
        <v/>
      </c>
      <c r="N100" s="8">
        <f>"S"&amp;(INT(K100/Resumen!$C$5)+1)&amp;"–S"&amp;MAX(INT(K100/Resumen!$C$5)+1,ROUNDUP(L100/Resumen!$C$5,0))</f>
        <v/>
      </c>
      <c r="O100" s="8" t="inlineStr">
        <is>
          <t>Hecho</t>
        </is>
      </c>
      <c r="P100" s="8" t="inlineStr">
        <is>
          <t>Agregado</t>
        </is>
      </c>
      <c r="Q100" s="7" t="inlineStr">
        <is>
          <t>Sebas</t>
        </is>
      </c>
      <c r="R100" s="7" t="inlineStr"/>
    </row>
    <row r="101">
      <c r="A101" s="19" t="inlineStr">
        <is>
          <t>6.28</t>
        </is>
      </c>
      <c r="B101" s="4" t="inlineStr">
        <is>
          <t>6. Pruebas y lanzamiento</t>
        </is>
      </c>
      <c r="C101" s="7" t="inlineStr">
        <is>
          <t>Configurar la plantilla del sorteo en Vercel/Resend (RESEND_TEMPLATE_SORTEO_BOLETA, alias ga-sorteo-boleta publicado) y agregar {{{COMPROBANTE}}} a la plantilla de desembolso (más las 5 RESEND_TEMPLATE_* de las plantillas nuevas y redeploy)</t>
        </is>
      </c>
      <c r="D101" s="5" t="n">
        <v>1</v>
      </c>
      <c r="E101" s="8">
        <f>D101</f>
        <v/>
      </c>
      <c r="F101" s="4" t="inlineStr">
        <is>
          <t>5.17, 4.19</t>
        </is>
      </c>
      <c r="G101" s="7" t="inlineStr">
        <is>
          <t>Sí</t>
        </is>
      </c>
      <c r="H101" s="7" t="inlineStr">
        <is>
          <t>6.21</t>
        </is>
      </c>
      <c r="I101" s="18" t="inlineStr">
        <is>
          <t>A</t>
        </is>
      </c>
      <c r="J101" s="8" t="n">
        <v>94</v>
      </c>
      <c r="K101" s="8" t="n">
        <v>116</v>
      </c>
      <c r="L101" s="8">
        <f>K101+E101</f>
        <v/>
      </c>
      <c r="M101" s="8">
        <f>K101-J101</f>
        <v/>
      </c>
      <c r="N101" s="8">
        <f>"S"&amp;(INT(K101/Resumen!$C$5)+1)&amp;"–S"&amp;MAX(INT(K101/Resumen!$C$5)+1,ROUNDUP(L101/Resumen!$C$5,0))</f>
        <v/>
      </c>
      <c r="O101" s="8" t="inlineStr">
        <is>
          <t>Hecho</t>
        </is>
      </c>
      <c r="P101" s="8" t="inlineStr">
        <is>
          <t>Agregado</t>
        </is>
      </c>
      <c r="Q101" s="7" t="inlineStr">
        <is>
          <t>Sebas</t>
        </is>
      </c>
      <c r="R101" s="7" t="inlineStr"/>
    </row>
    <row r="102">
      <c r="A102" s="19" t="inlineStr">
        <is>
          <t>6.29</t>
        </is>
      </c>
      <c r="B102" s="4" t="inlineStr">
        <is>
          <t>6. Pruebas y lanzamiento</t>
        </is>
      </c>
      <c r="C102" s="7" t="inlineStr">
        <is>
          <t>Entrega final y último pago (viernes 9-oct; garantía 9-oct al 7-nov, soporte desde el 8-nov)</t>
        </is>
      </c>
      <c r="D102" s="5" t="n">
        <v>1</v>
      </c>
      <c r="E102" s="8">
        <f>D102</f>
        <v/>
      </c>
      <c r="F102" s="7" t="inlineStr">
        <is>
          <t>6.26, 6.27, 6.28, 6.32, 6.36, 6.39, 6.40</t>
        </is>
      </c>
      <c r="G102" s="7" t="inlineStr">
        <is>
          <t>No (usa las 2 filas)</t>
        </is>
      </c>
      <c r="H102" s="7" t="inlineStr">
        <is>
          <t>—</t>
        </is>
      </c>
      <c r="I102" s="18" t="inlineStr">
        <is>
          <t>A+B</t>
        </is>
      </c>
      <c r="J102" s="8" t="n">
        <v>124</v>
      </c>
      <c r="K102" s="8" t="n">
        <v>124</v>
      </c>
      <c r="L102" s="8">
        <f>K102+E102</f>
        <v/>
      </c>
      <c r="M102" s="8">
        <f>K102-J102</f>
        <v/>
      </c>
      <c r="N102" s="8">
        <f>"S"&amp;(INT(K102/Resumen!$C$5)+1)&amp;"–S"&amp;MAX(INT(K102/Resumen!$C$5)+1,ROUNDUP(L102/Resumen!$C$5,0))</f>
        <v/>
      </c>
      <c r="O102" s="8" t="inlineStr">
        <is>
          <t>Hecho</t>
        </is>
      </c>
      <c r="P102" s="8" t="inlineStr">
        <is>
          <t>Agregado</t>
        </is>
      </c>
      <c r="Q102" s="7" t="inlineStr">
        <is>
          <t>Sebas</t>
        </is>
      </c>
      <c r="R102" s="7" t="inlineStr"/>
    </row>
    <row r="103">
      <c r="A103" s="19" t="inlineStr">
        <is>
          <t>4.21</t>
        </is>
      </c>
      <c r="B103" s="7" t="inlineStr">
        <is>
          <t>4. Panel de administración</t>
        </is>
      </c>
      <c r="C103" s="7" t="inlineStr">
        <is>
          <t>Secretario con Asociados y Créditos en solo lectura, cambio de rol y desactivación de secretarios, búsqueda con nombre del admin e Historial del equipo (migración 20261003300000)</t>
        </is>
      </c>
      <c r="D103" s="5" t="n">
        <v>3</v>
      </c>
      <c r="E103" s="8">
        <f>D103</f>
        <v/>
      </c>
      <c r="F103" s="4" t="inlineStr">
        <is>
          <t>4.20</t>
        </is>
      </c>
      <c r="G103" s="7" t="inlineStr">
        <is>
          <t>Sí</t>
        </is>
      </c>
      <c r="H103" s="7" t="inlineStr">
        <is>
          <t>6.12, 6.35, 6.38</t>
        </is>
      </c>
      <c r="I103" s="18" t="inlineStr">
        <is>
          <t>A</t>
        </is>
      </c>
      <c r="J103" s="8" t="n">
        <v>67</v>
      </c>
      <c r="K103" s="8" t="n">
        <v>120</v>
      </c>
      <c r="L103" s="8">
        <f>K103+E103</f>
        <v/>
      </c>
      <c r="M103" s="8">
        <f>K103-J103</f>
        <v/>
      </c>
      <c r="N103" s="8">
        <f>"S"&amp;(INT(K103/Resumen!$C$5)+1)&amp;"–S"&amp;MAX(INT(K103/Resumen!$C$5)+1,ROUNDUP(L103/Resumen!$C$5,0))</f>
        <v/>
      </c>
      <c r="O103" s="8" t="inlineStr">
        <is>
          <t>Hecho</t>
        </is>
      </c>
      <c r="P103" s="8" t="inlineStr">
        <is>
          <t>Agregado</t>
        </is>
      </c>
      <c r="Q103" s="7" t="inlineStr">
        <is>
          <t>ga-funcionalidad-botones + ga-auditor-supabase</t>
        </is>
      </c>
      <c r="R103" s="7" t="inlineStr"/>
    </row>
    <row r="104">
      <c r="A104" s="19" t="inlineStr">
        <is>
          <t>4.22</t>
        </is>
      </c>
      <c r="B104" s="7" t="inlineStr">
        <is>
          <t>4. Panel de administración</t>
        </is>
      </c>
      <c r="C104" s="7" t="inlineStr">
        <is>
          <t>Comprobantes de un asociado eliminado se conservan 30 días y se borran con la tarea programada /api/cron/limpiar-fotos (comprobante_borrar_at)</t>
        </is>
      </c>
      <c r="D104" s="5" t="n">
        <v>1</v>
      </c>
      <c r="E104" s="8">
        <f>D104</f>
        <v/>
      </c>
      <c r="F104" s="4" t="inlineStr">
        <is>
          <t>4.19</t>
        </is>
      </c>
      <c r="G104" s="7" t="inlineStr">
        <is>
          <t>Sí</t>
        </is>
      </c>
      <c r="H104" s="7" t="inlineStr">
        <is>
          <t>5.16</t>
        </is>
      </c>
      <c r="I104" s="18" t="inlineStr">
        <is>
          <t>B</t>
        </is>
      </c>
      <c r="J104" s="8" t="n">
        <v>94</v>
      </c>
      <c r="K104" s="8" t="n">
        <v>117</v>
      </c>
      <c r="L104" s="8">
        <f>K104+E104</f>
        <v/>
      </c>
      <c r="M104" s="8">
        <f>K104-J104</f>
        <v/>
      </c>
      <c r="N104" s="8">
        <f>"S"&amp;(INT(K104/Resumen!$C$5)+1)&amp;"–S"&amp;MAX(INT(K104/Resumen!$C$5)+1,ROUNDUP(L104/Resumen!$C$5,0))</f>
        <v/>
      </c>
      <c r="O104" s="8" t="inlineStr">
        <is>
          <t>Hecho</t>
        </is>
      </c>
      <c r="P104" s="8" t="inlineStr">
        <is>
          <t>Agregado</t>
        </is>
      </c>
      <c r="Q104" s="7" t="inlineStr">
        <is>
          <t>ga-funcionalidad-botones</t>
        </is>
      </c>
      <c r="R104" s="7" t="inlineStr"/>
    </row>
    <row r="105">
      <c r="A105" s="19" t="inlineStr">
        <is>
          <t>5.18</t>
        </is>
      </c>
      <c r="B105" s="4" t="inlineStr">
        <is>
          <t>5. Convenios y pulido</t>
        </is>
      </c>
      <c r="C105" s="7" t="inlineStr">
        <is>
          <t>5 plantillas HTML nuevas de Resend (desembolsado, habilitado, sorteo-ganador, correo-cambiado, codigo-eliminacion) y guía de publicación de las 10 plantillas</t>
        </is>
      </c>
      <c r="D105" s="5" t="n">
        <v>1</v>
      </c>
      <c r="E105" s="8">
        <f>D105</f>
        <v/>
      </c>
      <c r="F105" s="4" t="inlineStr">
        <is>
          <t>5.17</t>
        </is>
      </c>
      <c r="G105" s="7" t="inlineStr">
        <is>
          <t>Sí</t>
        </is>
      </c>
      <c r="H105" s="7" t="inlineStr">
        <is>
          <t>4.16</t>
        </is>
      </c>
      <c r="I105" s="18" t="inlineStr">
        <is>
          <t>B</t>
        </is>
      </c>
      <c r="J105" s="8" t="n">
        <v>91</v>
      </c>
      <c r="K105" s="8" t="n">
        <v>105</v>
      </c>
      <c r="L105" s="8">
        <f>K105+E105</f>
        <v/>
      </c>
      <c r="M105" s="8">
        <f>K105-J105</f>
        <v/>
      </c>
      <c r="N105" s="8">
        <f>"S"&amp;(INT(K105/Resumen!$C$5)+1)&amp;"–S"&amp;MAX(INT(K105/Resumen!$C$5)+1,ROUNDUP(L105/Resumen!$C$5,0))</f>
        <v/>
      </c>
      <c r="O105" s="8" t="inlineStr">
        <is>
          <t>Hecho</t>
        </is>
      </c>
      <c r="P105" s="8" t="inlineStr">
        <is>
          <t>Agregado</t>
        </is>
      </c>
      <c r="Q105" s="7" t="inlineStr">
        <is>
          <t>ga-correos</t>
        </is>
      </c>
      <c r="R105" s="7" t="inlineStr"/>
    </row>
    <row r="106">
      <c r="A106" s="19" t="inlineStr">
        <is>
          <t>5.19</t>
        </is>
      </c>
      <c r="B106" s="4" t="inlineStr">
        <is>
          <t>5. Convenios y pulido</t>
        </is>
      </c>
      <c r="C106" s="7" t="inlineStr">
        <is>
          <t>Demo de asesor y admin con los convenios reales de la tabla; Patrullero de Policía (PP) vuelve a ofrecerse con cupo 1,0/2,1 M (migración 20261008000000, sin aplicar); agentes un escalón abajo</t>
        </is>
      </c>
      <c r="D106" s="5" t="n">
        <v>1</v>
      </c>
      <c r="E106" s="8">
        <f>D106</f>
        <v/>
      </c>
      <c r="F106" s="4" t="inlineStr">
        <is>
          <t>5.9</t>
        </is>
      </c>
      <c r="G106" s="7" t="inlineStr">
        <is>
          <t>Sí</t>
        </is>
      </c>
      <c r="H106" s="7" t="inlineStr">
        <is>
          <t>5.12</t>
        </is>
      </c>
      <c r="I106" s="18" t="inlineStr">
        <is>
          <t>A</t>
        </is>
      </c>
      <c r="J106" s="8" t="n">
        <v>78</v>
      </c>
      <c r="K106" s="8" t="n">
        <v>83</v>
      </c>
      <c r="L106" s="8">
        <f>K106+E106</f>
        <v/>
      </c>
      <c r="M106" s="8">
        <f>K106-J106</f>
        <v/>
      </c>
      <c r="N106" s="8">
        <f>"S"&amp;(INT(K106/Resumen!$C$5)+1)&amp;"–S"&amp;MAX(INT(K106/Resumen!$C$5)+1,ROUNDUP(L106/Resumen!$C$5,0))</f>
        <v/>
      </c>
      <c r="O106" s="8" t="inlineStr">
        <is>
          <t>Hecho</t>
        </is>
      </c>
      <c r="P106" s="8" t="inlineStr">
        <is>
          <t>Agregado</t>
        </is>
      </c>
      <c r="Q106" s="7" t="inlineStr">
        <is>
          <t>sesión principal</t>
        </is>
      </c>
      <c r="R106" s="7" t="inlineStr"/>
    </row>
    <row r="107">
      <c r="A107" s="19" t="inlineStr">
        <is>
          <t>6.30</t>
        </is>
      </c>
      <c r="B107" s="4" t="inlineStr">
        <is>
          <t>6. Pruebas y lanzamiento</t>
        </is>
      </c>
      <c r="C107" s="7" t="inlineStr">
        <is>
          <t>Resincronizar las migraciones 20261003000000/100000/200000 con producción y mover lo posterior a 20261003300000</t>
        </is>
      </c>
      <c r="D107" s="5" t="n">
        <v>1</v>
      </c>
      <c r="E107" s="8">
        <f>D107</f>
        <v/>
      </c>
      <c r="F107" s="4" t="inlineStr">
        <is>
          <t>4.20</t>
        </is>
      </c>
      <c r="G107" s="7" t="inlineStr">
        <is>
          <t>Sí</t>
        </is>
      </c>
      <c r="H107" s="7" t="inlineStr">
        <is>
          <t>4.16</t>
        </is>
      </c>
      <c r="I107" s="18" t="inlineStr">
        <is>
          <t>B</t>
        </is>
      </c>
      <c r="J107" s="8" t="n">
        <v>67</v>
      </c>
      <c r="K107" s="8" t="n">
        <v>107</v>
      </c>
      <c r="L107" s="8">
        <f>K107+E107</f>
        <v/>
      </c>
      <c r="M107" s="8">
        <f>K107-J107</f>
        <v/>
      </c>
      <c r="N107" s="8">
        <f>"S"&amp;(INT(K107/Resumen!$C$5)+1)&amp;"–S"&amp;MAX(INT(K107/Resumen!$C$5)+1,ROUNDUP(L107/Resumen!$C$5,0))</f>
        <v/>
      </c>
      <c r="O107" s="8" t="inlineStr">
        <is>
          <t>Hecho</t>
        </is>
      </c>
      <c r="P107" s="8" t="inlineStr">
        <is>
          <t>Agregado</t>
        </is>
      </c>
      <c r="Q107" s="7" t="inlineStr">
        <is>
          <t>ga-auditor-supabase</t>
        </is>
      </c>
      <c r="R107" s="7" t="inlineStr"/>
    </row>
    <row r="108">
      <c r="A108" s="19" t="inlineStr">
        <is>
          <t>6.31</t>
        </is>
      </c>
      <c r="B108" s="4" t="inlineStr">
        <is>
          <t>6. Pruebas y lanzamiento</t>
        </is>
      </c>
      <c r="C108" s="7" t="inlineStr">
        <is>
          <t>Revisión de seguridad y privacidad del 8-oct (897adf6..develop 74642c0): carné, recuperación de acceso, comprobantes, secretario, correos, convenios y PP</t>
        </is>
      </c>
      <c r="D108" s="5" t="n">
        <v>1</v>
      </c>
      <c r="E108" s="8">
        <f>D108</f>
        <v/>
      </c>
      <c r="F108" s="4" t="inlineStr">
        <is>
          <t>4.20</t>
        </is>
      </c>
      <c r="G108" s="7" t="inlineStr">
        <is>
          <t>Sí</t>
        </is>
      </c>
      <c r="H108" s="7" t="inlineStr">
        <is>
          <t>5.1</t>
        </is>
      </c>
      <c r="I108" s="18" t="inlineStr">
        <is>
          <t>B</t>
        </is>
      </c>
      <c r="J108" s="8" t="n">
        <v>67</v>
      </c>
      <c r="K108" s="8" t="n">
        <v>74</v>
      </c>
      <c r="L108" s="8">
        <f>K108+E108</f>
        <v/>
      </c>
      <c r="M108" s="8">
        <f>K108-J108</f>
        <v/>
      </c>
      <c r="N108" s="8">
        <f>"S"&amp;(INT(K108/Resumen!$C$5)+1)&amp;"–S"&amp;MAX(INT(K108/Resumen!$C$5)+1,ROUNDUP(L108/Resumen!$C$5,0))</f>
        <v/>
      </c>
      <c r="O108" s="8" t="inlineStr">
        <is>
          <t>Hecho</t>
        </is>
      </c>
      <c r="P108" s="8" t="inlineStr">
        <is>
          <t>Agregado</t>
        </is>
      </c>
      <c r="Q108" s="7" t="inlineStr">
        <is>
          <t>ga-revisor-seguridad</t>
        </is>
      </c>
      <c r="R108" s="7" t="inlineStr"/>
    </row>
    <row r="109">
      <c r="A109" s="19" t="inlineStr">
        <is>
          <t>6.32</t>
        </is>
      </c>
      <c r="B109" s="4" t="inlineStr">
        <is>
          <t>6. Pruebas y lanzamiento</t>
        </is>
      </c>
      <c r="C109" s="7" t="inlineStr">
        <is>
          <t>H-01 (alta): quitar el WhatsApp de convenios de la landing (cargarConvenios en app/page.tsx) y revocar telefono_contacto a anon</t>
        </is>
      </c>
      <c r="D109" s="5" t="n">
        <v>2</v>
      </c>
      <c r="E109" s="8">
        <f>D109</f>
        <v/>
      </c>
      <c r="F109" s="4" t="inlineStr">
        <is>
          <t>6.31</t>
        </is>
      </c>
      <c r="G109" s="7" t="inlineStr">
        <is>
          <t>Sí</t>
        </is>
      </c>
      <c r="H109" s="7" t="inlineStr">
        <is>
          <t>5.9</t>
        </is>
      </c>
      <c r="I109" s="18" t="inlineStr">
        <is>
          <t>B</t>
        </is>
      </c>
      <c r="J109" s="8" t="n">
        <v>75</v>
      </c>
      <c r="K109" s="8" t="n">
        <v>75</v>
      </c>
      <c r="L109" s="8">
        <f>K109+E109</f>
        <v/>
      </c>
      <c r="M109" s="8">
        <f>K109-J109</f>
        <v/>
      </c>
      <c r="N109" s="8">
        <f>"S"&amp;(INT(K109/Resumen!$C$5)+1)&amp;"–S"&amp;MAX(INT(K109/Resumen!$C$5)+1,ROUNDUP(L109/Resumen!$C$5,0))</f>
        <v/>
      </c>
      <c r="O109" s="8" t="inlineStr">
        <is>
          <t>Hecho</t>
        </is>
      </c>
      <c r="P109" s="8" t="inlineStr">
        <is>
          <t>Agregado</t>
        </is>
      </c>
      <c r="Q109" s="7" t="inlineStr">
        <is>
          <t>ga-funcionalidad-botones + ga-auditor-supabase + sesión principal</t>
        </is>
      </c>
      <c r="R109" s="7" t="inlineStr"/>
    </row>
    <row r="110">
      <c r="A110" s="19" t="inlineStr">
        <is>
          <t>6.33</t>
        </is>
      </c>
      <c r="B110" s="4" t="inlineStr">
        <is>
          <t>6. Pruebas y lanzamiento</t>
        </is>
      </c>
      <c r="C110" s="7" t="inlineStr">
        <is>
          <t>Hallazgos medios H-02 a H-05: búsqueda de cédula exacta, cambio de correo atado a la solicitud, foto en la verificación pública y recuperación bloqueable</t>
        </is>
      </c>
      <c r="D110" s="5" t="n">
        <v>3</v>
      </c>
      <c r="E110" s="8">
        <f>D110</f>
        <v/>
      </c>
      <c r="F110" s="4" t="inlineStr">
        <is>
          <t>6.31</t>
        </is>
      </c>
      <c r="G110" s="7" t="inlineStr">
        <is>
          <t>Sí</t>
        </is>
      </c>
      <c r="H110" s="7" t="inlineStr">
        <is>
          <t>5.9, 5.6, 6.3</t>
        </is>
      </c>
      <c r="I110" s="18" t="inlineStr">
        <is>
          <t>B</t>
        </is>
      </c>
      <c r="J110" s="8" t="n">
        <v>75</v>
      </c>
      <c r="K110" s="8" t="n">
        <v>77</v>
      </c>
      <c r="L110" s="8">
        <f>K110+E110</f>
        <v/>
      </c>
      <c r="M110" s="8">
        <f>K110-J110</f>
        <v/>
      </c>
      <c r="N110" s="8">
        <f>"S"&amp;(INT(K110/Resumen!$C$5)+1)&amp;"–S"&amp;MAX(INT(K110/Resumen!$C$5)+1,ROUNDUP(L110/Resumen!$C$5,0))</f>
        <v/>
      </c>
      <c r="O110" s="8" t="inlineStr">
        <is>
          <t>Hecho</t>
        </is>
      </c>
      <c r="P110" s="8" t="inlineStr">
        <is>
          <t>Agregado</t>
        </is>
      </c>
      <c r="Q110" s="7" t="inlineStr">
        <is>
          <t>ga-funcionalidad-botones + ga-auditor-supabase + sesión principal</t>
        </is>
      </c>
      <c r="R110" s="7" t="inlineStr"/>
    </row>
    <row r="111">
      <c r="A111" s="19" t="inlineStr">
        <is>
          <t>6.34</t>
        </is>
      </c>
      <c r="B111" s="4" t="inlineStr">
        <is>
          <t>6. Pruebas y lanzamiento</t>
        </is>
      </c>
      <c r="C111" s="7" t="inlineStr">
        <is>
          <t>Hallazgos bajos H-07, H-09 y H-10 de la revisión del 8-oct</t>
        </is>
      </c>
      <c r="D111" s="5" t="n">
        <v>1</v>
      </c>
      <c r="E111" s="8">
        <f>D111</f>
        <v/>
      </c>
      <c r="F111" s="4" t="inlineStr">
        <is>
          <t>6.31</t>
        </is>
      </c>
      <c r="G111" s="7" t="inlineStr">
        <is>
          <t>Sí</t>
        </is>
      </c>
      <c r="H111" s="7" t="inlineStr">
        <is>
          <t>5.12</t>
        </is>
      </c>
      <c r="I111" s="18" t="inlineStr">
        <is>
          <t>A</t>
        </is>
      </c>
      <c r="J111" s="8" t="n">
        <v>75</v>
      </c>
      <c r="K111" s="8" t="n">
        <v>82</v>
      </c>
      <c r="L111" s="8">
        <f>K111+E111</f>
        <v/>
      </c>
      <c r="M111" s="8">
        <f>K111-J111</f>
        <v/>
      </c>
      <c r="N111" s="8">
        <f>"S"&amp;(INT(K111/Resumen!$C$5)+1)&amp;"–S"&amp;MAX(INT(K111/Resumen!$C$5)+1,ROUNDUP(L111/Resumen!$C$5,0))</f>
        <v/>
      </c>
      <c r="O111" s="8" t="inlineStr">
        <is>
          <t>Hecho</t>
        </is>
      </c>
      <c r="P111" s="8" t="inlineStr">
        <is>
          <t>Agregado</t>
        </is>
      </c>
      <c r="Q111" s="7" t="inlineStr">
        <is>
          <t>ga-funcionalidad-botones + ga-auditor-supabase + sesión principal</t>
        </is>
      </c>
      <c r="R111" s="7" t="inlineStr"/>
    </row>
    <row r="112">
      <c r="A112" s="19" t="inlineStr">
        <is>
          <t>6.35</t>
        </is>
      </c>
      <c r="B112" s="4" t="inlineStr">
        <is>
          <t>6. Pruebas y lanzamiento</t>
        </is>
      </c>
      <c r="C112" s="7" t="inlineStr">
        <is>
          <t>npm audit fix (H-06): sharp y source-map-js</t>
        </is>
      </c>
      <c r="D112" s="5" t="n">
        <v>1</v>
      </c>
      <c r="E112" s="8">
        <f>D112</f>
        <v/>
      </c>
      <c r="F112" s="4" t="inlineStr">
        <is>
          <t>6.31</t>
        </is>
      </c>
      <c r="G112" s="7" t="inlineStr">
        <is>
          <t>Sí</t>
        </is>
      </c>
      <c r="H112" s="7" t="inlineStr">
        <is>
          <t>4.21</t>
        </is>
      </c>
      <c r="I112" s="18" t="inlineStr">
        <is>
          <t>B</t>
        </is>
      </c>
      <c r="J112" s="8" t="n">
        <v>75</v>
      </c>
      <c r="K112" s="8" t="n">
        <v>121</v>
      </c>
      <c r="L112" s="8">
        <f>K112+E112</f>
        <v/>
      </c>
      <c r="M112" s="8">
        <f>K112-J112</f>
        <v/>
      </c>
      <c r="N112" s="8">
        <f>"S"&amp;(INT(K112/Resumen!$C$5)+1)&amp;"–S"&amp;MAX(INT(K112/Resumen!$C$5)+1,ROUNDUP(L112/Resumen!$C$5,0))</f>
        <v/>
      </c>
      <c r="O112" s="8" t="inlineStr">
        <is>
          <t>Hecho</t>
        </is>
      </c>
      <c r="P112" s="8" t="inlineStr">
        <is>
          <t>Agregado</t>
        </is>
      </c>
      <c r="Q112" s="7" t="inlineStr">
        <is>
          <t>sesión principal</t>
        </is>
      </c>
      <c r="R112" s="7" t="inlineStr"/>
    </row>
    <row r="113">
      <c r="A113" s="19" t="inlineStr">
        <is>
          <t>6.36</t>
        </is>
      </c>
      <c r="B113" s="4" t="inlineStr">
        <is>
          <t>6. Pruebas y lanzamiento</t>
        </is>
      </c>
      <c r="C113" s="7" t="inlineStr">
        <is>
          <t>Aplicar con respaldo la migración 20261008000000 (Patrullero de Policía) en producción</t>
        </is>
      </c>
      <c r="D113" s="5" t="n">
        <v>1</v>
      </c>
      <c r="E113" s="8">
        <f>D113</f>
        <v/>
      </c>
      <c r="F113" s="4" t="inlineStr">
        <is>
          <t>5.19</t>
        </is>
      </c>
      <c r="G113" s="7" t="inlineStr">
        <is>
          <t>No (usa las 2 filas)</t>
        </is>
      </c>
      <c r="H113" s="7" t="inlineStr">
        <is>
          <t>—</t>
        </is>
      </c>
      <c r="I113" s="18" t="inlineStr">
        <is>
          <t>A+B</t>
        </is>
      </c>
      <c r="J113" s="8" t="n">
        <v>84</v>
      </c>
      <c r="K113" s="8" t="n">
        <v>89</v>
      </c>
      <c r="L113" s="8">
        <f>K113+E113</f>
        <v/>
      </c>
      <c r="M113" s="8">
        <f>K113-J113</f>
        <v/>
      </c>
      <c r="N113" s="8">
        <f>"S"&amp;(INT(K113/Resumen!$C$5)+1)&amp;"–S"&amp;MAX(INT(K113/Resumen!$C$5)+1,ROUNDUP(L113/Resumen!$C$5,0))</f>
        <v/>
      </c>
      <c r="O113" s="8" t="inlineStr">
        <is>
          <t>Hecho</t>
        </is>
      </c>
      <c r="P113" s="8" t="inlineStr">
        <is>
          <t>Agregado</t>
        </is>
      </c>
      <c r="Q113" s="7" t="inlineStr">
        <is>
          <t>Sebas</t>
        </is>
      </c>
      <c r="R113" s="7" t="inlineStr"/>
    </row>
    <row r="114">
      <c r="A114" s="19" t="inlineStr">
        <is>
          <t>6.37</t>
        </is>
      </c>
      <c r="B114" s="4" t="inlineStr">
        <is>
          <t>6. Pruebas y lanzamiento</t>
        </is>
      </c>
      <c r="C114" s="7" t="inlineStr">
        <is>
          <t>Borrar en el SQL Editor las 2 solicitudes de crédito de prueba (cuenta eliminada)</t>
        </is>
      </c>
      <c r="D114" s="5" t="n">
        <v>1</v>
      </c>
      <c r="E114" s="8">
        <f>D114</f>
        <v/>
      </c>
      <c r="F114" s="4" t="inlineStr">
        <is>
          <t>—</t>
        </is>
      </c>
      <c r="G114" s="7" t="inlineStr">
        <is>
          <t>Sí</t>
        </is>
      </c>
      <c r="H114" s="7" t="inlineStr">
        <is>
          <t>4.7</t>
        </is>
      </c>
      <c r="I114" s="18" t="inlineStr">
        <is>
          <t>B</t>
        </is>
      </c>
      <c r="J114" s="8" t="n">
        <v>0</v>
      </c>
      <c r="K114" s="8" t="n">
        <v>110</v>
      </c>
      <c r="L114" s="8">
        <f>K114+E114</f>
        <v/>
      </c>
      <c r="M114" s="8">
        <f>K114-J114</f>
        <v/>
      </c>
      <c r="N114" s="8">
        <f>"S"&amp;(INT(K114/Resumen!$C$5)+1)&amp;"–S"&amp;MAX(INT(K114/Resumen!$C$5)+1,ROUNDUP(L114/Resumen!$C$5,0))</f>
        <v/>
      </c>
      <c r="O114" s="8" t="inlineStr">
        <is>
          <t>Hecho</t>
        </is>
      </c>
      <c r="P114" s="8" t="inlineStr">
        <is>
          <t>Agregado</t>
        </is>
      </c>
      <c r="Q114" s="7" t="inlineStr">
        <is>
          <t>Sebas</t>
        </is>
      </c>
      <c r="R114" s="7" t="inlineStr"/>
    </row>
    <row r="115">
      <c r="A115" s="19" t="inlineStr">
        <is>
          <t>6.38</t>
        </is>
      </c>
      <c r="B115" s="4" t="inlineStr">
        <is>
          <t>6. Pruebas y lanzamiento</t>
        </is>
      </c>
      <c r="C115" s="7" t="inlineStr">
        <is>
          <t>Activar SVM en el BIOS para Docker y volver a correr pgTAP y e2e</t>
        </is>
      </c>
      <c r="D115" s="5" t="n">
        <v>1</v>
      </c>
      <c r="E115" s="8">
        <f>D115</f>
        <v/>
      </c>
      <c r="F115" s="4" t="inlineStr">
        <is>
          <t>—</t>
        </is>
      </c>
      <c r="G115" s="7" t="inlineStr">
        <is>
          <t>Sí</t>
        </is>
      </c>
      <c r="H115" s="7" t="inlineStr">
        <is>
          <t>4.21</t>
        </is>
      </c>
      <c r="I115" s="18" t="inlineStr">
        <is>
          <t>B</t>
        </is>
      </c>
      <c r="J115" s="8" t="n">
        <v>0</v>
      </c>
      <c r="K115" s="8" t="n">
        <v>122</v>
      </c>
      <c r="L115" s="8">
        <f>K115+E115</f>
        <v/>
      </c>
      <c r="M115" s="8">
        <f>K115-J115</f>
        <v/>
      </c>
      <c r="N115" s="8">
        <f>"S"&amp;(INT(K115/Resumen!$C$5)+1)&amp;"–S"&amp;MAX(INT(K115/Resumen!$C$5)+1,ROUNDUP(L115/Resumen!$C$5,0))</f>
        <v/>
      </c>
      <c r="O115" s="8" t="inlineStr">
        <is>
          <t>Hecho</t>
        </is>
      </c>
      <c r="P115" s="8" t="inlineStr">
        <is>
          <t>Agregado</t>
        </is>
      </c>
      <c r="Q115" s="7" t="inlineStr">
        <is>
          <t>Sebas</t>
        </is>
      </c>
      <c r="R115" s="7" t="inlineStr"/>
    </row>
    <row r="116">
      <c r="A116" s="19" t="inlineStr">
        <is>
          <t>6.39</t>
        </is>
      </c>
      <c r="B116" s="4" t="inlineStr">
        <is>
          <t>6. Pruebas y lanzamiento</t>
        </is>
      </c>
      <c r="C116" s="7" t="inlineStr">
        <is>
          <t>Aplicar con respaldo la migración 20261009000000 (hallazgos de seguridad del 8-oct) en producción</t>
        </is>
      </c>
      <c r="D116" s="5" t="n">
        <v>1</v>
      </c>
      <c r="E116" s="8">
        <f>D116</f>
        <v/>
      </c>
      <c r="F116" s="4" t="inlineStr">
        <is>
          <t>6.32, 6.33, 6.34, 6.36</t>
        </is>
      </c>
      <c r="G116" s="7" t="inlineStr">
        <is>
          <t>No (usa las 2 filas)</t>
        </is>
      </c>
      <c r="H116" s="7" t="inlineStr">
        <is>
          <t>—</t>
        </is>
      </c>
      <c r="I116" s="18" t="inlineStr">
        <is>
          <t>A+B</t>
        </is>
      </c>
      <c r="J116" s="8" t="n">
        <v>90</v>
      </c>
      <c r="K116" s="8" t="n">
        <v>119</v>
      </c>
      <c r="L116" s="8">
        <f>K116+E116</f>
        <v/>
      </c>
      <c r="M116" s="8">
        <f>K116-J116</f>
        <v/>
      </c>
      <c r="N116" s="8">
        <f>"S"&amp;(INT(K116/Resumen!$C$5)+1)&amp;"–S"&amp;MAX(INT(K116/Resumen!$C$5)+1,ROUNDUP(L116/Resumen!$C$5,0))</f>
        <v/>
      </c>
      <c r="O116" s="8" t="inlineStr">
        <is>
          <t>Hecho</t>
        </is>
      </c>
      <c r="P116" s="8" t="inlineStr">
        <is>
          <t>Agregado</t>
        </is>
      </c>
      <c r="Q116" s="7" t="inlineStr">
        <is>
          <t>Sebas</t>
        </is>
      </c>
      <c r="R116" s="7" t="inlineStr"/>
    </row>
    <row r="117">
      <c r="A117" s="19" t="inlineStr">
        <is>
          <t>6.40</t>
        </is>
      </c>
      <c r="B117" s="4" t="inlineStr">
        <is>
          <t>6. Pruebas y lanzamiento</t>
        </is>
      </c>
      <c r="C117" s="7" t="inlineStr">
        <is>
          <t>Desplegar el código de los hallazgos de seguridad junto con la migración 20261009000000</t>
        </is>
      </c>
      <c r="D117" s="5" t="n">
        <v>1</v>
      </c>
      <c r="E117" s="8">
        <f>D117</f>
        <v/>
      </c>
      <c r="F117" s="4" t="inlineStr">
        <is>
          <t>6.39</t>
        </is>
      </c>
      <c r="G117" s="7" t="inlineStr">
        <is>
          <t>No (usa las 2 filas)</t>
        </is>
      </c>
      <c r="H117" s="7" t="inlineStr">
        <is>
          <t>—</t>
        </is>
      </c>
      <c r="I117" s="18" t="inlineStr">
        <is>
          <t>A+B</t>
        </is>
      </c>
      <c r="J117" s="8" t="n">
        <v>120</v>
      </c>
      <c r="K117" s="8" t="n">
        <v>123</v>
      </c>
      <c r="L117" s="8">
        <f>K117+E117</f>
        <v/>
      </c>
      <c r="M117" s="8">
        <f>K117-J117</f>
        <v/>
      </c>
      <c r="N117" s="8">
        <f>"S"&amp;(INT(K117/Resumen!$C$5)+1)&amp;"–S"&amp;MAX(INT(K117/Resumen!$C$5)+1,ROUNDUP(L117/Resumen!$C$5,0))</f>
        <v/>
      </c>
      <c r="O117" s="8" t="inlineStr">
        <is>
          <t>Hecho</t>
        </is>
      </c>
      <c r="P117" s="8" t="inlineStr">
        <is>
          <t>Agregado</t>
        </is>
      </c>
      <c r="Q117" s="7" t="inlineStr">
        <is>
          <t>Sebas</t>
        </is>
      </c>
      <c r="R117" s="7" t="inlineStr"/>
    </row>
    <row r="119">
      <c r="A119" s="3" t="inlineStr">
        <is>
          <t>Notas</t>
        </is>
      </c>
    </row>
    <row r="120">
      <c r="A120" s="2" t="inlineStr">
        <is>
          <t>Peso (azul, fondo amarillo) = dato de entrada; 1 punto de peso = 1 bloque de tiempo (ver hoja Pesos).</t>
        </is>
      </c>
    </row>
    <row r="121">
      <c r="A121" s="2" t="inlineStr">
        <is>
          <t>«Origen: Agregado» = actividad que no estaba en la propuesta del 31-ago (p. ej. ingreso con código, afiliación, importación).</t>
        </is>
      </c>
    </row>
    <row r="122">
      <c r="A122" s="2" t="inlineStr">
        <is>
          <t>«En paralelo con» lista las tareas que comparten tiempo con esta en el plan optimizado.</t>
        </is>
      </c>
    </row>
    <row r="123">
      <c r="A123" s="2" t="inlineStr">
        <is>
          <t>Espera en cola = bloques entre que la tarea queda lista y una fila la toma.</t>
        </is>
      </c>
    </row>
  </sheetData>
  <autoFilter ref="A4:R117"/>
  <conditionalFormatting sqref="O5:O117">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117"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G127"/>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 width="3.2" customWidth="1" min="98" max="98"/>
    <col width="3.2" customWidth="1" min="99" max="99"/>
    <col width="3.2" customWidth="1" min="100" max="100"/>
    <col width="3.2" customWidth="1" min="101" max="101"/>
    <col width="3.2" customWidth="1" min="102" max="102"/>
    <col width="3.2" customWidth="1" min="103" max="103"/>
    <col width="3.2" customWidth="1" min="104" max="104"/>
    <col width="3.2" customWidth="1" min="105" max="105"/>
    <col width="3.2" customWidth="1" min="106" max="106"/>
    <col width="3.2" customWidth="1" min="107" max="107"/>
    <col width="3.2" customWidth="1" min="108" max="108"/>
    <col width="3.2" customWidth="1" min="109" max="109"/>
    <col width="3.2" customWidth="1" min="110" max="110"/>
    <col width="3.2" customWidth="1" min="111" max="111"/>
    <col width="3.2" customWidth="1" min="112" max="112"/>
    <col width="3.2" customWidth="1" min="113" max="113"/>
    <col width="3.2" customWidth="1" min="114" max="114"/>
    <col width="3.2" customWidth="1" min="115" max="115"/>
    <col width="3.2" customWidth="1" min="116" max="116"/>
    <col width="3.2" customWidth="1" min="117" max="117"/>
    <col width="3.2" customWidth="1" min="118" max="118"/>
    <col width="3.2" customWidth="1" min="119" max="119"/>
    <col width="3.2" customWidth="1" min="120" max="120"/>
    <col width="3.2" customWidth="1" min="121" max="121"/>
    <col width="3.2" customWidth="1" min="122" max="122"/>
    <col width="3.2" customWidth="1" min="123" max="123"/>
    <col width="3.2" customWidth="1" min="124" max="124"/>
    <col width="3.2" customWidth="1" min="125" max="125"/>
    <col width="3.2" customWidth="1" min="126" max="126"/>
    <col width="3.2" customWidth="1" min="127" max="127"/>
    <col width="3.2" customWidth="1" min="128" max="128"/>
    <col width="3.2" customWidth="1" min="129" max="129"/>
    <col width="3.2" customWidth="1" min="130" max="130"/>
    <col width="3.2" customWidth="1" min="131" max="131"/>
    <col width="3.2" customWidth="1" min="132" max="132"/>
    <col width="3.2" customWidth="1" min="133" max="133"/>
    <col width="3.2" customWidth="1" min="134" max="134"/>
    <col width="3.2" customWidth="1" min="135" max="135"/>
    <col width="3.2" customWidth="1" min="136" max="136"/>
    <col width="3.2" customWidth="1" min="137" max="13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c r="CT4" s="22" t="inlineStr">
        <is>
          <t>Semana 10</t>
        </is>
      </c>
      <c r="DD4" s="22" t="inlineStr">
        <is>
          <t>Semana 11</t>
        </is>
      </c>
      <c r="DN4" s="22" t="inlineStr">
        <is>
          <t>Semana 12</t>
        </is>
      </c>
      <c r="DX4" s="22" t="inlineStr">
        <is>
          <t>Semana 13</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c r="CT5" s="24" t="n">
        <v>91</v>
      </c>
      <c r="CU5" s="24" t="n">
        <v>92</v>
      </c>
      <c r="CV5" s="24" t="n">
        <v>93</v>
      </c>
      <c r="CW5" s="24" t="n">
        <v>94</v>
      </c>
      <c r="CX5" s="24" t="n">
        <v>95</v>
      </c>
      <c r="CY5" s="24" t="n">
        <v>96</v>
      </c>
      <c r="CZ5" s="24" t="n">
        <v>97</v>
      </c>
      <c r="DA5" s="24" t="n">
        <v>98</v>
      </c>
      <c r="DB5" s="24" t="n">
        <v>99</v>
      </c>
      <c r="DC5" s="24" t="n">
        <v>100</v>
      </c>
      <c r="DD5" s="24" t="n">
        <v>101</v>
      </c>
      <c r="DE5" s="24" t="n">
        <v>102</v>
      </c>
      <c r="DF5" s="24" t="n">
        <v>103</v>
      </c>
      <c r="DG5" s="24" t="n">
        <v>104</v>
      </c>
      <c r="DH5" s="24" t="n">
        <v>105</v>
      </c>
      <c r="DI5" s="24" t="n">
        <v>106</v>
      </c>
      <c r="DJ5" s="24" t="n">
        <v>107</v>
      </c>
      <c r="DK5" s="24" t="n">
        <v>108</v>
      </c>
      <c r="DL5" s="24" t="n">
        <v>109</v>
      </c>
      <c r="DM5" s="24" t="n">
        <v>110</v>
      </c>
      <c r="DN5" s="24" t="n">
        <v>111</v>
      </c>
      <c r="DO5" s="24" t="n">
        <v>112</v>
      </c>
      <c r="DP5" s="24" t="n">
        <v>113</v>
      </c>
      <c r="DQ5" s="24" t="n">
        <v>114</v>
      </c>
      <c r="DR5" s="24" t="n">
        <v>115</v>
      </c>
      <c r="DS5" s="24" t="n">
        <v>116</v>
      </c>
      <c r="DT5" s="24" t="n">
        <v>117</v>
      </c>
      <c r="DU5" s="24" t="n">
        <v>118</v>
      </c>
      <c r="DV5" s="24" t="n">
        <v>119</v>
      </c>
      <c r="DW5" s="24" t="n">
        <v>120</v>
      </c>
      <c r="DX5" s="24" t="n">
        <v>121</v>
      </c>
      <c r="DY5" s="24" t="n">
        <v>122</v>
      </c>
      <c r="DZ5" s="24" t="n">
        <v>123</v>
      </c>
      <c r="EA5" s="24" t="n">
        <v>124</v>
      </c>
      <c r="EB5" s="24" t="n">
        <v>125</v>
      </c>
      <c r="EC5" s="24" t="n">
        <v>126</v>
      </c>
      <c r="ED5" s="24" t="n">
        <v>127</v>
      </c>
      <c r="EE5" s="24" t="n">
        <v>128</v>
      </c>
      <c r="EF5" s="24" t="n">
        <v>129</v>
      </c>
      <c r="EG5" s="24" t="n">
        <v>130</v>
      </c>
    </row>
    <row r="6" ht="26" customHeight="1">
      <c r="A6" s="25" t="inlineStr">
        <is>
          <t>Fila A — tarea en curso</t>
        </is>
      </c>
      <c r="H6" s="26">
        <f>IF(SUMPRODUCT(((Plan!$I$5:$I$117="A")+(Plan!$I$5:$I$117="A+B"))*(Plan!$K$5:$K$117&lt;H$5)*(Plan!$L$5:$L$117&gt;=H$5))=0,"",INDEX(Plan!$A$5:$A$117,SUMPRODUCT(((Plan!$I$5:$I$117="A")+(Plan!$I$5:$I$117="A+B"))*(Plan!$K$5:$K$117&lt;H$5)*(Plan!$L$5:$L$117&gt;=H$5)*(ROW(Plan!$A$5:$A$117)-4))))</f>
        <v/>
      </c>
      <c r="I6" s="26">
        <f>IF(SUMPRODUCT(((Plan!$I$5:$I$117="A")+(Plan!$I$5:$I$117="A+B"))*(Plan!$K$5:$K$117&lt;I$5)*(Plan!$L$5:$L$117&gt;=I$5))=0,"",INDEX(Plan!$A$5:$A$117,SUMPRODUCT(((Plan!$I$5:$I$117="A")+(Plan!$I$5:$I$117="A+B"))*(Plan!$K$5:$K$117&lt;I$5)*(Plan!$L$5:$L$117&gt;=I$5)*(ROW(Plan!$A$5:$A$117)-4))))</f>
        <v/>
      </c>
      <c r="J6" s="26">
        <f>IF(SUMPRODUCT(((Plan!$I$5:$I$117="A")+(Plan!$I$5:$I$117="A+B"))*(Plan!$K$5:$K$117&lt;J$5)*(Plan!$L$5:$L$117&gt;=J$5))=0,"",INDEX(Plan!$A$5:$A$117,SUMPRODUCT(((Plan!$I$5:$I$117="A")+(Plan!$I$5:$I$117="A+B"))*(Plan!$K$5:$K$117&lt;J$5)*(Plan!$L$5:$L$117&gt;=J$5)*(ROW(Plan!$A$5:$A$117)-4))))</f>
        <v/>
      </c>
      <c r="K6" s="26">
        <f>IF(SUMPRODUCT(((Plan!$I$5:$I$117="A")+(Plan!$I$5:$I$117="A+B"))*(Plan!$K$5:$K$117&lt;K$5)*(Plan!$L$5:$L$117&gt;=K$5))=0,"",INDEX(Plan!$A$5:$A$117,SUMPRODUCT(((Plan!$I$5:$I$117="A")+(Plan!$I$5:$I$117="A+B"))*(Plan!$K$5:$K$117&lt;K$5)*(Plan!$L$5:$L$117&gt;=K$5)*(ROW(Plan!$A$5:$A$117)-4))))</f>
        <v/>
      </c>
      <c r="L6" s="26">
        <f>IF(SUMPRODUCT(((Plan!$I$5:$I$117="A")+(Plan!$I$5:$I$117="A+B"))*(Plan!$K$5:$K$117&lt;L$5)*(Plan!$L$5:$L$117&gt;=L$5))=0,"",INDEX(Plan!$A$5:$A$117,SUMPRODUCT(((Plan!$I$5:$I$117="A")+(Plan!$I$5:$I$117="A+B"))*(Plan!$K$5:$K$117&lt;L$5)*(Plan!$L$5:$L$117&gt;=L$5)*(ROW(Plan!$A$5:$A$117)-4))))</f>
        <v/>
      </c>
      <c r="M6" s="26">
        <f>IF(SUMPRODUCT(((Plan!$I$5:$I$117="A")+(Plan!$I$5:$I$117="A+B"))*(Plan!$K$5:$K$117&lt;M$5)*(Plan!$L$5:$L$117&gt;=M$5))=0,"",INDEX(Plan!$A$5:$A$117,SUMPRODUCT(((Plan!$I$5:$I$117="A")+(Plan!$I$5:$I$117="A+B"))*(Plan!$K$5:$K$117&lt;M$5)*(Plan!$L$5:$L$117&gt;=M$5)*(ROW(Plan!$A$5:$A$117)-4))))</f>
        <v/>
      </c>
      <c r="N6" s="26">
        <f>IF(SUMPRODUCT(((Plan!$I$5:$I$117="A")+(Plan!$I$5:$I$117="A+B"))*(Plan!$K$5:$K$117&lt;N$5)*(Plan!$L$5:$L$117&gt;=N$5))=0,"",INDEX(Plan!$A$5:$A$117,SUMPRODUCT(((Plan!$I$5:$I$117="A")+(Plan!$I$5:$I$117="A+B"))*(Plan!$K$5:$K$117&lt;N$5)*(Plan!$L$5:$L$117&gt;=N$5)*(ROW(Plan!$A$5:$A$117)-4))))</f>
        <v/>
      </c>
      <c r="O6" s="26">
        <f>IF(SUMPRODUCT(((Plan!$I$5:$I$117="A")+(Plan!$I$5:$I$117="A+B"))*(Plan!$K$5:$K$117&lt;O$5)*(Plan!$L$5:$L$117&gt;=O$5))=0,"",INDEX(Plan!$A$5:$A$117,SUMPRODUCT(((Plan!$I$5:$I$117="A")+(Plan!$I$5:$I$117="A+B"))*(Plan!$K$5:$K$117&lt;O$5)*(Plan!$L$5:$L$117&gt;=O$5)*(ROW(Plan!$A$5:$A$117)-4))))</f>
        <v/>
      </c>
      <c r="P6" s="26">
        <f>IF(SUMPRODUCT(((Plan!$I$5:$I$117="A")+(Plan!$I$5:$I$117="A+B"))*(Plan!$K$5:$K$117&lt;P$5)*(Plan!$L$5:$L$117&gt;=P$5))=0,"",INDEX(Plan!$A$5:$A$117,SUMPRODUCT(((Plan!$I$5:$I$117="A")+(Plan!$I$5:$I$117="A+B"))*(Plan!$K$5:$K$117&lt;P$5)*(Plan!$L$5:$L$117&gt;=P$5)*(ROW(Plan!$A$5:$A$117)-4))))</f>
        <v/>
      </c>
      <c r="Q6" s="26">
        <f>IF(SUMPRODUCT(((Plan!$I$5:$I$117="A")+(Plan!$I$5:$I$117="A+B"))*(Plan!$K$5:$K$117&lt;Q$5)*(Plan!$L$5:$L$117&gt;=Q$5))=0,"",INDEX(Plan!$A$5:$A$117,SUMPRODUCT(((Plan!$I$5:$I$117="A")+(Plan!$I$5:$I$117="A+B"))*(Plan!$K$5:$K$117&lt;Q$5)*(Plan!$L$5:$L$117&gt;=Q$5)*(ROW(Plan!$A$5:$A$117)-4))))</f>
        <v/>
      </c>
      <c r="R6" s="26">
        <f>IF(SUMPRODUCT(((Plan!$I$5:$I$117="A")+(Plan!$I$5:$I$117="A+B"))*(Plan!$K$5:$K$117&lt;R$5)*(Plan!$L$5:$L$117&gt;=R$5))=0,"",INDEX(Plan!$A$5:$A$117,SUMPRODUCT(((Plan!$I$5:$I$117="A")+(Plan!$I$5:$I$117="A+B"))*(Plan!$K$5:$K$117&lt;R$5)*(Plan!$L$5:$L$117&gt;=R$5)*(ROW(Plan!$A$5:$A$117)-4))))</f>
        <v/>
      </c>
      <c r="S6" s="26">
        <f>IF(SUMPRODUCT(((Plan!$I$5:$I$117="A")+(Plan!$I$5:$I$117="A+B"))*(Plan!$K$5:$K$117&lt;S$5)*(Plan!$L$5:$L$117&gt;=S$5))=0,"",INDEX(Plan!$A$5:$A$117,SUMPRODUCT(((Plan!$I$5:$I$117="A")+(Plan!$I$5:$I$117="A+B"))*(Plan!$K$5:$K$117&lt;S$5)*(Plan!$L$5:$L$117&gt;=S$5)*(ROW(Plan!$A$5:$A$117)-4))))</f>
        <v/>
      </c>
      <c r="T6" s="26">
        <f>IF(SUMPRODUCT(((Plan!$I$5:$I$117="A")+(Plan!$I$5:$I$117="A+B"))*(Plan!$K$5:$K$117&lt;T$5)*(Plan!$L$5:$L$117&gt;=T$5))=0,"",INDEX(Plan!$A$5:$A$117,SUMPRODUCT(((Plan!$I$5:$I$117="A")+(Plan!$I$5:$I$117="A+B"))*(Plan!$K$5:$K$117&lt;T$5)*(Plan!$L$5:$L$117&gt;=T$5)*(ROW(Plan!$A$5:$A$117)-4))))</f>
        <v/>
      </c>
      <c r="U6" s="26">
        <f>IF(SUMPRODUCT(((Plan!$I$5:$I$117="A")+(Plan!$I$5:$I$117="A+B"))*(Plan!$K$5:$K$117&lt;U$5)*(Plan!$L$5:$L$117&gt;=U$5))=0,"",INDEX(Plan!$A$5:$A$117,SUMPRODUCT(((Plan!$I$5:$I$117="A")+(Plan!$I$5:$I$117="A+B"))*(Plan!$K$5:$K$117&lt;U$5)*(Plan!$L$5:$L$117&gt;=U$5)*(ROW(Plan!$A$5:$A$117)-4))))</f>
        <v/>
      </c>
      <c r="V6" s="26">
        <f>IF(SUMPRODUCT(((Plan!$I$5:$I$117="A")+(Plan!$I$5:$I$117="A+B"))*(Plan!$K$5:$K$117&lt;V$5)*(Plan!$L$5:$L$117&gt;=V$5))=0,"",INDEX(Plan!$A$5:$A$117,SUMPRODUCT(((Plan!$I$5:$I$117="A")+(Plan!$I$5:$I$117="A+B"))*(Plan!$K$5:$K$117&lt;V$5)*(Plan!$L$5:$L$117&gt;=V$5)*(ROW(Plan!$A$5:$A$117)-4))))</f>
        <v/>
      </c>
      <c r="W6" s="26">
        <f>IF(SUMPRODUCT(((Plan!$I$5:$I$117="A")+(Plan!$I$5:$I$117="A+B"))*(Plan!$K$5:$K$117&lt;W$5)*(Plan!$L$5:$L$117&gt;=W$5))=0,"",INDEX(Plan!$A$5:$A$117,SUMPRODUCT(((Plan!$I$5:$I$117="A")+(Plan!$I$5:$I$117="A+B"))*(Plan!$K$5:$K$117&lt;W$5)*(Plan!$L$5:$L$117&gt;=W$5)*(ROW(Plan!$A$5:$A$117)-4))))</f>
        <v/>
      </c>
      <c r="X6" s="26">
        <f>IF(SUMPRODUCT(((Plan!$I$5:$I$117="A")+(Plan!$I$5:$I$117="A+B"))*(Plan!$K$5:$K$117&lt;X$5)*(Plan!$L$5:$L$117&gt;=X$5))=0,"",INDEX(Plan!$A$5:$A$117,SUMPRODUCT(((Plan!$I$5:$I$117="A")+(Plan!$I$5:$I$117="A+B"))*(Plan!$K$5:$K$117&lt;X$5)*(Plan!$L$5:$L$117&gt;=X$5)*(ROW(Plan!$A$5:$A$117)-4))))</f>
        <v/>
      </c>
      <c r="Y6" s="26">
        <f>IF(SUMPRODUCT(((Plan!$I$5:$I$117="A")+(Plan!$I$5:$I$117="A+B"))*(Plan!$K$5:$K$117&lt;Y$5)*(Plan!$L$5:$L$117&gt;=Y$5))=0,"",INDEX(Plan!$A$5:$A$117,SUMPRODUCT(((Plan!$I$5:$I$117="A")+(Plan!$I$5:$I$117="A+B"))*(Plan!$K$5:$K$117&lt;Y$5)*(Plan!$L$5:$L$117&gt;=Y$5)*(ROW(Plan!$A$5:$A$117)-4))))</f>
        <v/>
      </c>
      <c r="Z6" s="26">
        <f>IF(SUMPRODUCT(((Plan!$I$5:$I$117="A")+(Plan!$I$5:$I$117="A+B"))*(Plan!$K$5:$K$117&lt;Z$5)*(Plan!$L$5:$L$117&gt;=Z$5))=0,"",INDEX(Plan!$A$5:$A$117,SUMPRODUCT(((Plan!$I$5:$I$117="A")+(Plan!$I$5:$I$117="A+B"))*(Plan!$K$5:$K$117&lt;Z$5)*(Plan!$L$5:$L$117&gt;=Z$5)*(ROW(Plan!$A$5:$A$117)-4))))</f>
        <v/>
      </c>
      <c r="AA6" s="26">
        <f>IF(SUMPRODUCT(((Plan!$I$5:$I$117="A")+(Plan!$I$5:$I$117="A+B"))*(Plan!$K$5:$K$117&lt;AA$5)*(Plan!$L$5:$L$117&gt;=AA$5))=0,"",INDEX(Plan!$A$5:$A$117,SUMPRODUCT(((Plan!$I$5:$I$117="A")+(Plan!$I$5:$I$117="A+B"))*(Plan!$K$5:$K$117&lt;AA$5)*(Plan!$L$5:$L$117&gt;=AA$5)*(ROW(Plan!$A$5:$A$117)-4))))</f>
        <v/>
      </c>
      <c r="AB6" s="26">
        <f>IF(SUMPRODUCT(((Plan!$I$5:$I$117="A")+(Plan!$I$5:$I$117="A+B"))*(Plan!$K$5:$K$117&lt;AB$5)*(Plan!$L$5:$L$117&gt;=AB$5))=0,"",INDEX(Plan!$A$5:$A$117,SUMPRODUCT(((Plan!$I$5:$I$117="A")+(Plan!$I$5:$I$117="A+B"))*(Plan!$K$5:$K$117&lt;AB$5)*(Plan!$L$5:$L$117&gt;=AB$5)*(ROW(Plan!$A$5:$A$117)-4))))</f>
        <v/>
      </c>
      <c r="AC6" s="26">
        <f>IF(SUMPRODUCT(((Plan!$I$5:$I$117="A")+(Plan!$I$5:$I$117="A+B"))*(Plan!$K$5:$K$117&lt;AC$5)*(Plan!$L$5:$L$117&gt;=AC$5))=0,"",INDEX(Plan!$A$5:$A$117,SUMPRODUCT(((Plan!$I$5:$I$117="A")+(Plan!$I$5:$I$117="A+B"))*(Plan!$K$5:$K$117&lt;AC$5)*(Plan!$L$5:$L$117&gt;=AC$5)*(ROW(Plan!$A$5:$A$117)-4))))</f>
        <v/>
      </c>
      <c r="AD6" s="26">
        <f>IF(SUMPRODUCT(((Plan!$I$5:$I$117="A")+(Plan!$I$5:$I$117="A+B"))*(Plan!$K$5:$K$117&lt;AD$5)*(Plan!$L$5:$L$117&gt;=AD$5))=0,"",INDEX(Plan!$A$5:$A$117,SUMPRODUCT(((Plan!$I$5:$I$117="A")+(Plan!$I$5:$I$117="A+B"))*(Plan!$K$5:$K$117&lt;AD$5)*(Plan!$L$5:$L$117&gt;=AD$5)*(ROW(Plan!$A$5:$A$117)-4))))</f>
        <v/>
      </c>
      <c r="AE6" s="26">
        <f>IF(SUMPRODUCT(((Plan!$I$5:$I$117="A")+(Plan!$I$5:$I$117="A+B"))*(Plan!$K$5:$K$117&lt;AE$5)*(Plan!$L$5:$L$117&gt;=AE$5))=0,"",INDEX(Plan!$A$5:$A$117,SUMPRODUCT(((Plan!$I$5:$I$117="A")+(Plan!$I$5:$I$117="A+B"))*(Plan!$K$5:$K$117&lt;AE$5)*(Plan!$L$5:$L$117&gt;=AE$5)*(ROW(Plan!$A$5:$A$117)-4))))</f>
        <v/>
      </c>
      <c r="AF6" s="26">
        <f>IF(SUMPRODUCT(((Plan!$I$5:$I$117="A")+(Plan!$I$5:$I$117="A+B"))*(Plan!$K$5:$K$117&lt;AF$5)*(Plan!$L$5:$L$117&gt;=AF$5))=0,"",INDEX(Plan!$A$5:$A$117,SUMPRODUCT(((Plan!$I$5:$I$117="A")+(Plan!$I$5:$I$117="A+B"))*(Plan!$K$5:$K$117&lt;AF$5)*(Plan!$L$5:$L$117&gt;=AF$5)*(ROW(Plan!$A$5:$A$117)-4))))</f>
        <v/>
      </c>
      <c r="AG6" s="26">
        <f>IF(SUMPRODUCT(((Plan!$I$5:$I$117="A")+(Plan!$I$5:$I$117="A+B"))*(Plan!$K$5:$K$117&lt;AG$5)*(Plan!$L$5:$L$117&gt;=AG$5))=0,"",INDEX(Plan!$A$5:$A$117,SUMPRODUCT(((Plan!$I$5:$I$117="A")+(Plan!$I$5:$I$117="A+B"))*(Plan!$K$5:$K$117&lt;AG$5)*(Plan!$L$5:$L$117&gt;=AG$5)*(ROW(Plan!$A$5:$A$117)-4))))</f>
        <v/>
      </c>
      <c r="AH6" s="26">
        <f>IF(SUMPRODUCT(((Plan!$I$5:$I$117="A")+(Plan!$I$5:$I$117="A+B"))*(Plan!$K$5:$K$117&lt;AH$5)*(Plan!$L$5:$L$117&gt;=AH$5))=0,"",INDEX(Plan!$A$5:$A$117,SUMPRODUCT(((Plan!$I$5:$I$117="A")+(Plan!$I$5:$I$117="A+B"))*(Plan!$K$5:$K$117&lt;AH$5)*(Plan!$L$5:$L$117&gt;=AH$5)*(ROW(Plan!$A$5:$A$117)-4))))</f>
        <v/>
      </c>
      <c r="AI6" s="26">
        <f>IF(SUMPRODUCT(((Plan!$I$5:$I$117="A")+(Plan!$I$5:$I$117="A+B"))*(Plan!$K$5:$K$117&lt;AI$5)*(Plan!$L$5:$L$117&gt;=AI$5))=0,"",INDEX(Plan!$A$5:$A$117,SUMPRODUCT(((Plan!$I$5:$I$117="A")+(Plan!$I$5:$I$117="A+B"))*(Plan!$K$5:$K$117&lt;AI$5)*(Plan!$L$5:$L$117&gt;=AI$5)*(ROW(Plan!$A$5:$A$117)-4))))</f>
        <v/>
      </c>
      <c r="AJ6" s="26">
        <f>IF(SUMPRODUCT(((Plan!$I$5:$I$117="A")+(Plan!$I$5:$I$117="A+B"))*(Plan!$K$5:$K$117&lt;AJ$5)*(Plan!$L$5:$L$117&gt;=AJ$5))=0,"",INDEX(Plan!$A$5:$A$117,SUMPRODUCT(((Plan!$I$5:$I$117="A")+(Plan!$I$5:$I$117="A+B"))*(Plan!$K$5:$K$117&lt;AJ$5)*(Plan!$L$5:$L$117&gt;=AJ$5)*(ROW(Plan!$A$5:$A$117)-4))))</f>
        <v/>
      </c>
      <c r="AK6" s="26">
        <f>IF(SUMPRODUCT(((Plan!$I$5:$I$117="A")+(Plan!$I$5:$I$117="A+B"))*(Plan!$K$5:$K$117&lt;AK$5)*(Plan!$L$5:$L$117&gt;=AK$5))=0,"",INDEX(Plan!$A$5:$A$117,SUMPRODUCT(((Plan!$I$5:$I$117="A")+(Plan!$I$5:$I$117="A+B"))*(Plan!$K$5:$K$117&lt;AK$5)*(Plan!$L$5:$L$117&gt;=AK$5)*(ROW(Plan!$A$5:$A$117)-4))))</f>
        <v/>
      </c>
      <c r="AL6" s="26">
        <f>IF(SUMPRODUCT(((Plan!$I$5:$I$117="A")+(Plan!$I$5:$I$117="A+B"))*(Plan!$K$5:$K$117&lt;AL$5)*(Plan!$L$5:$L$117&gt;=AL$5))=0,"",INDEX(Plan!$A$5:$A$117,SUMPRODUCT(((Plan!$I$5:$I$117="A")+(Plan!$I$5:$I$117="A+B"))*(Plan!$K$5:$K$117&lt;AL$5)*(Plan!$L$5:$L$117&gt;=AL$5)*(ROW(Plan!$A$5:$A$117)-4))))</f>
        <v/>
      </c>
      <c r="AM6" s="26">
        <f>IF(SUMPRODUCT(((Plan!$I$5:$I$117="A")+(Plan!$I$5:$I$117="A+B"))*(Plan!$K$5:$K$117&lt;AM$5)*(Plan!$L$5:$L$117&gt;=AM$5))=0,"",INDEX(Plan!$A$5:$A$117,SUMPRODUCT(((Plan!$I$5:$I$117="A")+(Plan!$I$5:$I$117="A+B"))*(Plan!$K$5:$K$117&lt;AM$5)*(Plan!$L$5:$L$117&gt;=AM$5)*(ROW(Plan!$A$5:$A$117)-4))))</f>
        <v/>
      </c>
      <c r="AN6" s="26">
        <f>IF(SUMPRODUCT(((Plan!$I$5:$I$117="A")+(Plan!$I$5:$I$117="A+B"))*(Plan!$K$5:$K$117&lt;AN$5)*(Plan!$L$5:$L$117&gt;=AN$5))=0,"",INDEX(Plan!$A$5:$A$117,SUMPRODUCT(((Plan!$I$5:$I$117="A")+(Plan!$I$5:$I$117="A+B"))*(Plan!$K$5:$K$117&lt;AN$5)*(Plan!$L$5:$L$117&gt;=AN$5)*(ROW(Plan!$A$5:$A$117)-4))))</f>
        <v/>
      </c>
      <c r="AO6" s="26">
        <f>IF(SUMPRODUCT(((Plan!$I$5:$I$117="A")+(Plan!$I$5:$I$117="A+B"))*(Plan!$K$5:$K$117&lt;AO$5)*(Plan!$L$5:$L$117&gt;=AO$5))=0,"",INDEX(Plan!$A$5:$A$117,SUMPRODUCT(((Plan!$I$5:$I$117="A")+(Plan!$I$5:$I$117="A+B"))*(Plan!$K$5:$K$117&lt;AO$5)*(Plan!$L$5:$L$117&gt;=AO$5)*(ROW(Plan!$A$5:$A$117)-4))))</f>
        <v/>
      </c>
      <c r="AP6" s="26">
        <f>IF(SUMPRODUCT(((Plan!$I$5:$I$117="A")+(Plan!$I$5:$I$117="A+B"))*(Plan!$K$5:$K$117&lt;AP$5)*(Plan!$L$5:$L$117&gt;=AP$5))=0,"",INDEX(Plan!$A$5:$A$117,SUMPRODUCT(((Plan!$I$5:$I$117="A")+(Plan!$I$5:$I$117="A+B"))*(Plan!$K$5:$K$117&lt;AP$5)*(Plan!$L$5:$L$117&gt;=AP$5)*(ROW(Plan!$A$5:$A$117)-4))))</f>
        <v/>
      </c>
      <c r="AQ6" s="26">
        <f>IF(SUMPRODUCT(((Plan!$I$5:$I$117="A")+(Plan!$I$5:$I$117="A+B"))*(Plan!$K$5:$K$117&lt;AQ$5)*(Plan!$L$5:$L$117&gt;=AQ$5))=0,"",INDEX(Plan!$A$5:$A$117,SUMPRODUCT(((Plan!$I$5:$I$117="A")+(Plan!$I$5:$I$117="A+B"))*(Plan!$K$5:$K$117&lt;AQ$5)*(Plan!$L$5:$L$117&gt;=AQ$5)*(ROW(Plan!$A$5:$A$117)-4))))</f>
        <v/>
      </c>
      <c r="AR6" s="26">
        <f>IF(SUMPRODUCT(((Plan!$I$5:$I$117="A")+(Plan!$I$5:$I$117="A+B"))*(Plan!$K$5:$K$117&lt;AR$5)*(Plan!$L$5:$L$117&gt;=AR$5))=0,"",INDEX(Plan!$A$5:$A$117,SUMPRODUCT(((Plan!$I$5:$I$117="A")+(Plan!$I$5:$I$117="A+B"))*(Plan!$K$5:$K$117&lt;AR$5)*(Plan!$L$5:$L$117&gt;=AR$5)*(ROW(Plan!$A$5:$A$117)-4))))</f>
        <v/>
      </c>
      <c r="AS6" s="26">
        <f>IF(SUMPRODUCT(((Plan!$I$5:$I$117="A")+(Plan!$I$5:$I$117="A+B"))*(Plan!$K$5:$K$117&lt;AS$5)*(Plan!$L$5:$L$117&gt;=AS$5))=0,"",INDEX(Plan!$A$5:$A$117,SUMPRODUCT(((Plan!$I$5:$I$117="A")+(Plan!$I$5:$I$117="A+B"))*(Plan!$K$5:$K$117&lt;AS$5)*(Plan!$L$5:$L$117&gt;=AS$5)*(ROW(Plan!$A$5:$A$117)-4))))</f>
        <v/>
      </c>
      <c r="AT6" s="26">
        <f>IF(SUMPRODUCT(((Plan!$I$5:$I$117="A")+(Plan!$I$5:$I$117="A+B"))*(Plan!$K$5:$K$117&lt;AT$5)*(Plan!$L$5:$L$117&gt;=AT$5))=0,"",INDEX(Plan!$A$5:$A$117,SUMPRODUCT(((Plan!$I$5:$I$117="A")+(Plan!$I$5:$I$117="A+B"))*(Plan!$K$5:$K$117&lt;AT$5)*(Plan!$L$5:$L$117&gt;=AT$5)*(ROW(Plan!$A$5:$A$117)-4))))</f>
        <v/>
      </c>
      <c r="AU6" s="26">
        <f>IF(SUMPRODUCT(((Plan!$I$5:$I$117="A")+(Plan!$I$5:$I$117="A+B"))*(Plan!$K$5:$K$117&lt;AU$5)*(Plan!$L$5:$L$117&gt;=AU$5))=0,"",INDEX(Plan!$A$5:$A$117,SUMPRODUCT(((Plan!$I$5:$I$117="A")+(Plan!$I$5:$I$117="A+B"))*(Plan!$K$5:$K$117&lt;AU$5)*(Plan!$L$5:$L$117&gt;=AU$5)*(ROW(Plan!$A$5:$A$117)-4))))</f>
        <v/>
      </c>
      <c r="AV6" s="26">
        <f>IF(SUMPRODUCT(((Plan!$I$5:$I$117="A")+(Plan!$I$5:$I$117="A+B"))*(Plan!$K$5:$K$117&lt;AV$5)*(Plan!$L$5:$L$117&gt;=AV$5))=0,"",INDEX(Plan!$A$5:$A$117,SUMPRODUCT(((Plan!$I$5:$I$117="A")+(Plan!$I$5:$I$117="A+B"))*(Plan!$K$5:$K$117&lt;AV$5)*(Plan!$L$5:$L$117&gt;=AV$5)*(ROW(Plan!$A$5:$A$117)-4))))</f>
        <v/>
      </c>
      <c r="AW6" s="26">
        <f>IF(SUMPRODUCT(((Plan!$I$5:$I$117="A")+(Plan!$I$5:$I$117="A+B"))*(Plan!$K$5:$K$117&lt;AW$5)*(Plan!$L$5:$L$117&gt;=AW$5))=0,"",INDEX(Plan!$A$5:$A$117,SUMPRODUCT(((Plan!$I$5:$I$117="A")+(Plan!$I$5:$I$117="A+B"))*(Plan!$K$5:$K$117&lt;AW$5)*(Plan!$L$5:$L$117&gt;=AW$5)*(ROW(Plan!$A$5:$A$117)-4))))</f>
        <v/>
      </c>
      <c r="AX6" s="26">
        <f>IF(SUMPRODUCT(((Plan!$I$5:$I$117="A")+(Plan!$I$5:$I$117="A+B"))*(Plan!$K$5:$K$117&lt;AX$5)*(Plan!$L$5:$L$117&gt;=AX$5))=0,"",INDEX(Plan!$A$5:$A$117,SUMPRODUCT(((Plan!$I$5:$I$117="A")+(Plan!$I$5:$I$117="A+B"))*(Plan!$K$5:$K$117&lt;AX$5)*(Plan!$L$5:$L$117&gt;=AX$5)*(ROW(Plan!$A$5:$A$117)-4))))</f>
        <v/>
      </c>
      <c r="AY6" s="26">
        <f>IF(SUMPRODUCT(((Plan!$I$5:$I$117="A")+(Plan!$I$5:$I$117="A+B"))*(Plan!$K$5:$K$117&lt;AY$5)*(Plan!$L$5:$L$117&gt;=AY$5))=0,"",INDEX(Plan!$A$5:$A$117,SUMPRODUCT(((Plan!$I$5:$I$117="A")+(Plan!$I$5:$I$117="A+B"))*(Plan!$K$5:$K$117&lt;AY$5)*(Plan!$L$5:$L$117&gt;=AY$5)*(ROW(Plan!$A$5:$A$117)-4))))</f>
        <v/>
      </c>
      <c r="AZ6" s="26">
        <f>IF(SUMPRODUCT(((Plan!$I$5:$I$117="A")+(Plan!$I$5:$I$117="A+B"))*(Plan!$K$5:$K$117&lt;AZ$5)*(Plan!$L$5:$L$117&gt;=AZ$5))=0,"",INDEX(Plan!$A$5:$A$117,SUMPRODUCT(((Plan!$I$5:$I$117="A")+(Plan!$I$5:$I$117="A+B"))*(Plan!$K$5:$K$117&lt;AZ$5)*(Plan!$L$5:$L$117&gt;=AZ$5)*(ROW(Plan!$A$5:$A$117)-4))))</f>
        <v/>
      </c>
      <c r="BA6" s="26">
        <f>IF(SUMPRODUCT(((Plan!$I$5:$I$117="A")+(Plan!$I$5:$I$117="A+B"))*(Plan!$K$5:$K$117&lt;BA$5)*(Plan!$L$5:$L$117&gt;=BA$5))=0,"",INDEX(Plan!$A$5:$A$117,SUMPRODUCT(((Plan!$I$5:$I$117="A")+(Plan!$I$5:$I$117="A+B"))*(Plan!$K$5:$K$117&lt;BA$5)*(Plan!$L$5:$L$117&gt;=BA$5)*(ROW(Plan!$A$5:$A$117)-4))))</f>
        <v/>
      </c>
      <c r="BB6" s="26">
        <f>IF(SUMPRODUCT(((Plan!$I$5:$I$117="A")+(Plan!$I$5:$I$117="A+B"))*(Plan!$K$5:$K$117&lt;BB$5)*(Plan!$L$5:$L$117&gt;=BB$5))=0,"",INDEX(Plan!$A$5:$A$117,SUMPRODUCT(((Plan!$I$5:$I$117="A")+(Plan!$I$5:$I$117="A+B"))*(Plan!$K$5:$K$117&lt;BB$5)*(Plan!$L$5:$L$117&gt;=BB$5)*(ROW(Plan!$A$5:$A$117)-4))))</f>
        <v/>
      </c>
      <c r="BC6" s="26">
        <f>IF(SUMPRODUCT(((Plan!$I$5:$I$117="A")+(Plan!$I$5:$I$117="A+B"))*(Plan!$K$5:$K$117&lt;BC$5)*(Plan!$L$5:$L$117&gt;=BC$5))=0,"",INDEX(Plan!$A$5:$A$117,SUMPRODUCT(((Plan!$I$5:$I$117="A")+(Plan!$I$5:$I$117="A+B"))*(Plan!$K$5:$K$117&lt;BC$5)*(Plan!$L$5:$L$117&gt;=BC$5)*(ROW(Plan!$A$5:$A$117)-4))))</f>
        <v/>
      </c>
      <c r="BD6" s="26">
        <f>IF(SUMPRODUCT(((Plan!$I$5:$I$117="A")+(Plan!$I$5:$I$117="A+B"))*(Plan!$K$5:$K$117&lt;BD$5)*(Plan!$L$5:$L$117&gt;=BD$5))=0,"",INDEX(Plan!$A$5:$A$117,SUMPRODUCT(((Plan!$I$5:$I$117="A")+(Plan!$I$5:$I$117="A+B"))*(Plan!$K$5:$K$117&lt;BD$5)*(Plan!$L$5:$L$117&gt;=BD$5)*(ROW(Plan!$A$5:$A$117)-4))))</f>
        <v/>
      </c>
      <c r="BE6" s="26">
        <f>IF(SUMPRODUCT(((Plan!$I$5:$I$117="A")+(Plan!$I$5:$I$117="A+B"))*(Plan!$K$5:$K$117&lt;BE$5)*(Plan!$L$5:$L$117&gt;=BE$5))=0,"",INDEX(Plan!$A$5:$A$117,SUMPRODUCT(((Plan!$I$5:$I$117="A")+(Plan!$I$5:$I$117="A+B"))*(Plan!$K$5:$K$117&lt;BE$5)*(Plan!$L$5:$L$117&gt;=BE$5)*(ROW(Plan!$A$5:$A$117)-4))))</f>
        <v/>
      </c>
      <c r="BF6" s="26">
        <f>IF(SUMPRODUCT(((Plan!$I$5:$I$117="A")+(Plan!$I$5:$I$117="A+B"))*(Plan!$K$5:$K$117&lt;BF$5)*(Plan!$L$5:$L$117&gt;=BF$5))=0,"",INDEX(Plan!$A$5:$A$117,SUMPRODUCT(((Plan!$I$5:$I$117="A")+(Plan!$I$5:$I$117="A+B"))*(Plan!$K$5:$K$117&lt;BF$5)*(Plan!$L$5:$L$117&gt;=BF$5)*(ROW(Plan!$A$5:$A$117)-4))))</f>
        <v/>
      </c>
      <c r="BG6" s="26">
        <f>IF(SUMPRODUCT(((Plan!$I$5:$I$117="A")+(Plan!$I$5:$I$117="A+B"))*(Plan!$K$5:$K$117&lt;BG$5)*(Plan!$L$5:$L$117&gt;=BG$5))=0,"",INDEX(Plan!$A$5:$A$117,SUMPRODUCT(((Plan!$I$5:$I$117="A")+(Plan!$I$5:$I$117="A+B"))*(Plan!$K$5:$K$117&lt;BG$5)*(Plan!$L$5:$L$117&gt;=BG$5)*(ROW(Plan!$A$5:$A$117)-4))))</f>
        <v/>
      </c>
      <c r="BH6" s="26">
        <f>IF(SUMPRODUCT(((Plan!$I$5:$I$117="A")+(Plan!$I$5:$I$117="A+B"))*(Plan!$K$5:$K$117&lt;BH$5)*(Plan!$L$5:$L$117&gt;=BH$5))=0,"",INDEX(Plan!$A$5:$A$117,SUMPRODUCT(((Plan!$I$5:$I$117="A")+(Plan!$I$5:$I$117="A+B"))*(Plan!$K$5:$K$117&lt;BH$5)*(Plan!$L$5:$L$117&gt;=BH$5)*(ROW(Plan!$A$5:$A$117)-4))))</f>
        <v/>
      </c>
      <c r="BI6" s="26">
        <f>IF(SUMPRODUCT(((Plan!$I$5:$I$117="A")+(Plan!$I$5:$I$117="A+B"))*(Plan!$K$5:$K$117&lt;BI$5)*(Plan!$L$5:$L$117&gt;=BI$5))=0,"",INDEX(Plan!$A$5:$A$117,SUMPRODUCT(((Plan!$I$5:$I$117="A")+(Plan!$I$5:$I$117="A+B"))*(Plan!$K$5:$K$117&lt;BI$5)*(Plan!$L$5:$L$117&gt;=BI$5)*(ROW(Plan!$A$5:$A$117)-4))))</f>
        <v/>
      </c>
      <c r="BJ6" s="26">
        <f>IF(SUMPRODUCT(((Plan!$I$5:$I$117="A")+(Plan!$I$5:$I$117="A+B"))*(Plan!$K$5:$K$117&lt;BJ$5)*(Plan!$L$5:$L$117&gt;=BJ$5))=0,"",INDEX(Plan!$A$5:$A$117,SUMPRODUCT(((Plan!$I$5:$I$117="A")+(Plan!$I$5:$I$117="A+B"))*(Plan!$K$5:$K$117&lt;BJ$5)*(Plan!$L$5:$L$117&gt;=BJ$5)*(ROW(Plan!$A$5:$A$117)-4))))</f>
        <v/>
      </c>
      <c r="BK6" s="26">
        <f>IF(SUMPRODUCT(((Plan!$I$5:$I$117="A")+(Plan!$I$5:$I$117="A+B"))*(Plan!$K$5:$K$117&lt;BK$5)*(Plan!$L$5:$L$117&gt;=BK$5))=0,"",INDEX(Plan!$A$5:$A$117,SUMPRODUCT(((Plan!$I$5:$I$117="A")+(Plan!$I$5:$I$117="A+B"))*(Plan!$K$5:$K$117&lt;BK$5)*(Plan!$L$5:$L$117&gt;=BK$5)*(ROW(Plan!$A$5:$A$117)-4))))</f>
        <v/>
      </c>
      <c r="BL6" s="26">
        <f>IF(SUMPRODUCT(((Plan!$I$5:$I$117="A")+(Plan!$I$5:$I$117="A+B"))*(Plan!$K$5:$K$117&lt;BL$5)*(Plan!$L$5:$L$117&gt;=BL$5))=0,"",INDEX(Plan!$A$5:$A$117,SUMPRODUCT(((Plan!$I$5:$I$117="A")+(Plan!$I$5:$I$117="A+B"))*(Plan!$K$5:$K$117&lt;BL$5)*(Plan!$L$5:$L$117&gt;=BL$5)*(ROW(Plan!$A$5:$A$117)-4))))</f>
        <v/>
      </c>
      <c r="BM6" s="26">
        <f>IF(SUMPRODUCT(((Plan!$I$5:$I$117="A")+(Plan!$I$5:$I$117="A+B"))*(Plan!$K$5:$K$117&lt;BM$5)*(Plan!$L$5:$L$117&gt;=BM$5))=0,"",INDEX(Plan!$A$5:$A$117,SUMPRODUCT(((Plan!$I$5:$I$117="A")+(Plan!$I$5:$I$117="A+B"))*(Plan!$K$5:$K$117&lt;BM$5)*(Plan!$L$5:$L$117&gt;=BM$5)*(ROW(Plan!$A$5:$A$117)-4))))</f>
        <v/>
      </c>
      <c r="BN6" s="26">
        <f>IF(SUMPRODUCT(((Plan!$I$5:$I$117="A")+(Plan!$I$5:$I$117="A+B"))*(Plan!$K$5:$K$117&lt;BN$5)*(Plan!$L$5:$L$117&gt;=BN$5))=0,"",INDEX(Plan!$A$5:$A$117,SUMPRODUCT(((Plan!$I$5:$I$117="A")+(Plan!$I$5:$I$117="A+B"))*(Plan!$K$5:$K$117&lt;BN$5)*(Plan!$L$5:$L$117&gt;=BN$5)*(ROW(Plan!$A$5:$A$117)-4))))</f>
        <v/>
      </c>
      <c r="BO6" s="26">
        <f>IF(SUMPRODUCT(((Plan!$I$5:$I$117="A")+(Plan!$I$5:$I$117="A+B"))*(Plan!$K$5:$K$117&lt;BO$5)*(Plan!$L$5:$L$117&gt;=BO$5))=0,"",INDEX(Plan!$A$5:$A$117,SUMPRODUCT(((Plan!$I$5:$I$117="A")+(Plan!$I$5:$I$117="A+B"))*(Plan!$K$5:$K$117&lt;BO$5)*(Plan!$L$5:$L$117&gt;=BO$5)*(ROW(Plan!$A$5:$A$117)-4))))</f>
        <v/>
      </c>
      <c r="BP6" s="26">
        <f>IF(SUMPRODUCT(((Plan!$I$5:$I$117="A")+(Plan!$I$5:$I$117="A+B"))*(Plan!$K$5:$K$117&lt;BP$5)*(Plan!$L$5:$L$117&gt;=BP$5))=0,"",INDEX(Plan!$A$5:$A$117,SUMPRODUCT(((Plan!$I$5:$I$117="A")+(Plan!$I$5:$I$117="A+B"))*(Plan!$K$5:$K$117&lt;BP$5)*(Plan!$L$5:$L$117&gt;=BP$5)*(ROW(Plan!$A$5:$A$117)-4))))</f>
        <v/>
      </c>
      <c r="BQ6" s="26">
        <f>IF(SUMPRODUCT(((Plan!$I$5:$I$117="A")+(Plan!$I$5:$I$117="A+B"))*(Plan!$K$5:$K$117&lt;BQ$5)*(Plan!$L$5:$L$117&gt;=BQ$5))=0,"",INDEX(Plan!$A$5:$A$117,SUMPRODUCT(((Plan!$I$5:$I$117="A")+(Plan!$I$5:$I$117="A+B"))*(Plan!$K$5:$K$117&lt;BQ$5)*(Plan!$L$5:$L$117&gt;=BQ$5)*(ROW(Plan!$A$5:$A$117)-4))))</f>
        <v/>
      </c>
      <c r="BR6" s="26">
        <f>IF(SUMPRODUCT(((Plan!$I$5:$I$117="A")+(Plan!$I$5:$I$117="A+B"))*(Plan!$K$5:$K$117&lt;BR$5)*(Plan!$L$5:$L$117&gt;=BR$5))=0,"",INDEX(Plan!$A$5:$A$117,SUMPRODUCT(((Plan!$I$5:$I$117="A")+(Plan!$I$5:$I$117="A+B"))*(Plan!$K$5:$K$117&lt;BR$5)*(Plan!$L$5:$L$117&gt;=BR$5)*(ROW(Plan!$A$5:$A$117)-4))))</f>
        <v/>
      </c>
      <c r="BS6" s="26">
        <f>IF(SUMPRODUCT(((Plan!$I$5:$I$117="A")+(Plan!$I$5:$I$117="A+B"))*(Plan!$K$5:$K$117&lt;BS$5)*(Plan!$L$5:$L$117&gt;=BS$5))=0,"",INDEX(Plan!$A$5:$A$117,SUMPRODUCT(((Plan!$I$5:$I$117="A")+(Plan!$I$5:$I$117="A+B"))*(Plan!$K$5:$K$117&lt;BS$5)*(Plan!$L$5:$L$117&gt;=BS$5)*(ROW(Plan!$A$5:$A$117)-4))))</f>
        <v/>
      </c>
      <c r="BT6" s="26">
        <f>IF(SUMPRODUCT(((Plan!$I$5:$I$117="A")+(Plan!$I$5:$I$117="A+B"))*(Plan!$K$5:$K$117&lt;BT$5)*(Plan!$L$5:$L$117&gt;=BT$5))=0,"",INDEX(Plan!$A$5:$A$117,SUMPRODUCT(((Plan!$I$5:$I$117="A")+(Plan!$I$5:$I$117="A+B"))*(Plan!$K$5:$K$117&lt;BT$5)*(Plan!$L$5:$L$117&gt;=BT$5)*(ROW(Plan!$A$5:$A$117)-4))))</f>
        <v/>
      </c>
      <c r="BU6" s="26">
        <f>IF(SUMPRODUCT(((Plan!$I$5:$I$117="A")+(Plan!$I$5:$I$117="A+B"))*(Plan!$K$5:$K$117&lt;BU$5)*(Plan!$L$5:$L$117&gt;=BU$5))=0,"",INDEX(Plan!$A$5:$A$117,SUMPRODUCT(((Plan!$I$5:$I$117="A")+(Plan!$I$5:$I$117="A+B"))*(Plan!$K$5:$K$117&lt;BU$5)*(Plan!$L$5:$L$117&gt;=BU$5)*(ROW(Plan!$A$5:$A$117)-4))))</f>
        <v/>
      </c>
      <c r="BV6" s="26">
        <f>IF(SUMPRODUCT(((Plan!$I$5:$I$117="A")+(Plan!$I$5:$I$117="A+B"))*(Plan!$K$5:$K$117&lt;BV$5)*(Plan!$L$5:$L$117&gt;=BV$5))=0,"",INDEX(Plan!$A$5:$A$117,SUMPRODUCT(((Plan!$I$5:$I$117="A")+(Plan!$I$5:$I$117="A+B"))*(Plan!$K$5:$K$117&lt;BV$5)*(Plan!$L$5:$L$117&gt;=BV$5)*(ROW(Plan!$A$5:$A$117)-4))))</f>
        <v/>
      </c>
      <c r="BW6" s="26">
        <f>IF(SUMPRODUCT(((Plan!$I$5:$I$117="A")+(Plan!$I$5:$I$117="A+B"))*(Plan!$K$5:$K$117&lt;BW$5)*(Plan!$L$5:$L$117&gt;=BW$5))=0,"",INDEX(Plan!$A$5:$A$117,SUMPRODUCT(((Plan!$I$5:$I$117="A")+(Plan!$I$5:$I$117="A+B"))*(Plan!$K$5:$K$117&lt;BW$5)*(Plan!$L$5:$L$117&gt;=BW$5)*(ROW(Plan!$A$5:$A$117)-4))))</f>
        <v/>
      </c>
      <c r="BX6" s="26">
        <f>IF(SUMPRODUCT(((Plan!$I$5:$I$117="A")+(Plan!$I$5:$I$117="A+B"))*(Plan!$K$5:$K$117&lt;BX$5)*(Plan!$L$5:$L$117&gt;=BX$5))=0,"",INDEX(Plan!$A$5:$A$117,SUMPRODUCT(((Plan!$I$5:$I$117="A")+(Plan!$I$5:$I$117="A+B"))*(Plan!$K$5:$K$117&lt;BX$5)*(Plan!$L$5:$L$117&gt;=BX$5)*(ROW(Plan!$A$5:$A$117)-4))))</f>
        <v/>
      </c>
      <c r="BY6" s="26">
        <f>IF(SUMPRODUCT(((Plan!$I$5:$I$117="A")+(Plan!$I$5:$I$117="A+B"))*(Plan!$K$5:$K$117&lt;BY$5)*(Plan!$L$5:$L$117&gt;=BY$5))=0,"",INDEX(Plan!$A$5:$A$117,SUMPRODUCT(((Plan!$I$5:$I$117="A")+(Plan!$I$5:$I$117="A+B"))*(Plan!$K$5:$K$117&lt;BY$5)*(Plan!$L$5:$L$117&gt;=BY$5)*(ROW(Plan!$A$5:$A$117)-4))))</f>
        <v/>
      </c>
      <c r="BZ6" s="26">
        <f>IF(SUMPRODUCT(((Plan!$I$5:$I$117="A")+(Plan!$I$5:$I$117="A+B"))*(Plan!$K$5:$K$117&lt;BZ$5)*(Plan!$L$5:$L$117&gt;=BZ$5))=0,"",INDEX(Plan!$A$5:$A$117,SUMPRODUCT(((Plan!$I$5:$I$117="A")+(Plan!$I$5:$I$117="A+B"))*(Plan!$K$5:$K$117&lt;BZ$5)*(Plan!$L$5:$L$117&gt;=BZ$5)*(ROW(Plan!$A$5:$A$117)-4))))</f>
        <v/>
      </c>
      <c r="CA6" s="26">
        <f>IF(SUMPRODUCT(((Plan!$I$5:$I$117="A")+(Plan!$I$5:$I$117="A+B"))*(Plan!$K$5:$K$117&lt;CA$5)*(Plan!$L$5:$L$117&gt;=CA$5))=0,"",INDEX(Plan!$A$5:$A$117,SUMPRODUCT(((Plan!$I$5:$I$117="A")+(Plan!$I$5:$I$117="A+B"))*(Plan!$K$5:$K$117&lt;CA$5)*(Plan!$L$5:$L$117&gt;=CA$5)*(ROW(Plan!$A$5:$A$117)-4))))</f>
        <v/>
      </c>
      <c r="CB6" s="26">
        <f>IF(SUMPRODUCT(((Plan!$I$5:$I$117="A")+(Plan!$I$5:$I$117="A+B"))*(Plan!$K$5:$K$117&lt;CB$5)*(Plan!$L$5:$L$117&gt;=CB$5))=0,"",INDEX(Plan!$A$5:$A$117,SUMPRODUCT(((Plan!$I$5:$I$117="A")+(Plan!$I$5:$I$117="A+B"))*(Plan!$K$5:$K$117&lt;CB$5)*(Plan!$L$5:$L$117&gt;=CB$5)*(ROW(Plan!$A$5:$A$117)-4))))</f>
        <v/>
      </c>
      <c r="CC6" s="26">
        <f>IF(SUMPRODUCT(((Plan!$I$5:$I$117="A")+(Plan!$I$5:$I$117="A+B"))*(Plan!$K$5:$K$117&lt;CC$5)*(Plan!$L$5:$L$117&gt;=CC$5))=0,"",INDEX(Plan!$A$5:$A$117,SUMPRODUCT(((Plan!$I$5:$I$117="A")+(Plan!$I$5:$I$117="A+B"))*(Plan!$K$5:$K$117&lt;CC$5)*(Plan!$L$5:$L$117&gt;=CC$5)*(ROW(Plan!$A$5:$A$117)-4))))</f>
        <v/>
      </c>
      <c r="CD6" s="26">
        <f>IF(SUMPRODUCT(((Plan!$I$5:$I$117="A")+(Plan!$I$5:$I$117="A+B"))*(Plan!$K$5:$K$117&lt;CD$5)*(Plan!$L$5:$L$117&gt;=CD$5))=0,"",INDEX(Plan!$A$5:$A$117,SUMPRODUCT(((Plan!$I$5:$I$117="A")+(Plan!$I$5:$I$117="A+B"))*(Plan!$K$5:$K$117&lt;CD$5)*(Plan!$L$5:$L$117&gt;=CD$5)*(ROW(Plan!$A$5:$A$117)-4))))</f>
        <v/>
      </c>
      <c r="CE6" s="26">
        <f>IF(SUMPRODUCT(((Plan!$I$5:$I$117="A")+(Plan!$I$5:$I$117="A+B"))*(Plan!$K$5:$K$117&lt;CE$5)*(Plan!$L$5:$L$117&gt;=CE$5))=0,"",INDEX(Plan!$A$5:$A$117,SUMPRODUCT(((Plan!$I$5:$I$117="A")+(Plan!$I$5:$I$117="A+B"))*(Plan!$K$5:$K$117&lt;CE$5)*(Plan!$L$5:$L$117&gt;=CE$5)*(ROW(Plan!$A$5:$A$117)-4))))</f>
        <v/>
      </c>
      <c r="CF6" s="26">
        <f>IF(SUMPRODUCT(((Plan!$I$5:$I$117="A")+(Plan!$I$5:$I$117="A+B"))*(Plan!$K$5:$K$117&lt;CF$5)*(Plan!$L$5:$L$117&gt;=CF$5))=0,"",INDEX(Plan!$A$5:$A$117,SUMPRODUCT(((Plan!$I$5:$I$117="A")+(Plan!$I$5:$I$117="A+B"))*(Plan!$K$5:$K$117&lt;CF$5)*(Plan!$L$5:$L$117&gt;=CF$5)*(ROW(Plan!$A$5:$A$117)-4))))</f>
        <v/>
      </c>
      <c r="CG6" s="26">
        <f>IF(SUMPRODUCT(((Plan!$I$5:$I$117="A")+(Plan!$I$5:$I$117="A+B"))*(Plan!$K$5:$K$117&lt;CG$5)*(Plan!$L$5:$L$117&gt;=CG$5))=0,"",INDEX(Plan!$A$5:$A$117,SUMPRODUCT(((Plan!$I$5:$I$117="A")+(Plan!$I$5:$I$117="A+B"))*(Plan!$K$5:$K$117&lt;CG$5)*(Plan!$L$5:$L$117&gt;=CG$5)*(ROW(Plan!$A$5:$A$117)-4))))</f>
        <v/>
      </c>
      <c r="CH6" s="26">
        <f>IF(SUMPRODUCT(((Plan!$I$5:$I$117="A")+(Plan!$I$5:$I$117="A+B"))*(Plan!$K$5:$K$117&lt;CH$5)*(Plan!$L$5:$L$117&gt;=CH$5))=0,"",INDEX(Plan!$A$5:$A$117,SUMPRODUCT(((Plan!$I$5:$I$117="A")+(Plan!$I$5:$I$117="A+B"))*(Plan!$K$5:$K$117&lt;CH$5)*(Plan!$L$5:$L$117&gt;=CH$5)*(ROW(Plan!$A$5:$A$117)-4))))</f>
        <v/>
      </c>
      <c r="CI6" s="26">
        <f>IF(SUMPRODUCT(((Plan!$I$5:$I$117="A")+(Plan!$I$5:$I$117="A+B"))*(Plan!$K$5:$K$117&lt;CI$5)*(Plan!$L$5:$L$117&gt;=CI$5))=0,"",INDEX(Plan!$A$5:$A$117,SUMPRODUCT(((Plan!$I$5:$I$117="A")+(Plan!$I$5:$I$117="A+B"))*(Plan!$K$5:$K$117&lt;CI$5)*(Plan!$L$5:$L$117&gt;=CI$5)*(ROW(Plan!$A$5:$A$117)-4))))</f>
        <v/>
      </c>
      <c r="CJ6" s="26">
        <f>IF(SUMPRODUCT(((Plan!$I$5:$I$117="A")+(Plan!$I$5:$I$117="A+B"))*(Plan!$K$5:$K$117&lt;CJ$5)*(Plan!$L$5:$L$117&gt;=CJ$5))=0,"",INDEX(Plan!$A$5:$A$117,SUMPRODUCT(((Plan!$I$5:$I$117="A")+(Plan!$I$5:$I$117="A+B"))*(Plan!$K$5:$K$117&lt;CJ$5)*(Plan!$L$5:$L$117&gt;=CJ$5)*(ROW(Plan!$A$5:$A$117)-4))))</f>
        <v/>
      </c>
      <c r="CK6" s="26">
        <f>IF(SUMPRODUCT(((Plan!$I$5:$I$117="A")+(Plan!$I$5:$I$117="A+B"))*(Plan!$K$5:$K$117&lt;CK$5)*(Plan!$L$5:$L$117&gt;=CK$5))=0,"",INDEX(Plan!$A$5:$A$117,SUMPRODUCT(((Plan!$I$5:$I$117="A")+(Plan!$I$5:$I$117="A+B"))*(Plan!$K$5:$K$117&lt;CK$5)*(Plan!$L$5:$L$117&gt;=CK$5)*(ROW(Plan!$A$5:$A$117)-4))))</f>
        <v/>
      </c>
      <c r="CL6" s="26">
        <f>IF(SUMPRODUCT(((Plan!$I$5:$I$117="A")+(Plan!$I$5:$I$117="A+B"))*(Plan!$K$5:$K$117&lt;CL$5)*(Plan!$L$5:$L$117&gt;=CL$5))=0,"",INDEX(Plan!$A$5:$A$117,SUMPRODUCT(((Plan!$I$5:$I$117="A")+(Plan!$I$5:$I$117="A+B"))*(Plan!$K$5:$K$117&lt;CL$5)*(Plan!$L$5:$L$117&gt;=CL$5)*(ROW(Plan!$A$5:$A$117)-4))))</f>
        <v/>
      </c>
      <c r="CM6" s="26">
        <f>IF(SUMPRODUCT(((Plan!$I$5:$I$117="A")+(Plan!$I$5:$I$117="A+B"))*(Plan!$K$5:$K$117&lt;CM$5)*(Plan!$L$5:$L$117&gt;=CM$5))=0,"",INDEX(Plan!$A$5:$A$117,SUMPRODUCT(((Plan!$I$5:$I$117="A")+(Plan!$I$5:$I$117="A+B"))*(Plan!$K$5:$K$117&lt;CM$5)*(Plan!$L$5:$L$117&gt;=CM$5)*(ROW(Plan!$A$5:$A$117)-4))))</f>
        <v/>
      </c>
      <c r="CN6" s="26">
        <f>IF(SUMPRODUCT(((Plan!$I$5:$I$117="A")+(Plan!$I$5:$I$117="A+B"))*(Plan!$K$5:$K$117&lt;CN$5)*(Plan!$L$5:$L$117&gt;=CN$5))=0,"",INDEX(Plan!$A$5:$A$117,SUMPRODUCT(((Plan!$I$5:$I$117="A")+(Plan!$I$5:$I$117="A+B"))*(Plan!$K$5:$K$117&lt;CN$5)*(Plan!$L$5:$L$117&gt;=CN$5)*(ROW(Plan!$A$5:$A$117)-4))))</f>
        <v/>
      </c>
      <c r="CO6" s="26">
        <f>IF(SUMPRODUCT(((Plan!$I$5:$I$117="A")+(Plan!$I$5:$I$117="A+B"))*(Plan!$K$5:$K$117&lt;CO$5)*(Plan!$L$5:$L$117&gt;=CO$5))=0,"",INDEX(Plan!$A$5:$A$117,SUMPRODUCT(((Plan!$I$5:$I$117="A")+(Plan!$I$5:$I$117="A+B"))*(Plan!$K$5:$K$117&lt;CO$5)*(Plan!$L$5:$L$117&gt;=CO$5)*(ROW(Plan!$A$5:$A$117)-4))))</f>
        <v/>
      </c>
      <c r="CP6" s="26">
        <f>IF(SUMPRODUCT(((Plan!$I$5:$I$117="A")+(Plan!$I$5:$I$117="A+B"))*(Plan!$K$5:$K$117&lt;CP$5)*(Plan!$L$5:$L$117&gt;=CP$5))=0,"",INDEX(Plan!$A$5:$A$117,SUMPRODUCT(((Plan!$I$5:$I$117="A")+(Plan!$I$5:$I$117="A+B"))*(Plan!$K$5:$K$117&lt;CP$5)*(Plan!$L$5:$L$117&gt;=CP$5)*(ROW(Plan!$A$5:$A$117)-4))))</f>
        <v/>
      </c>
      <c r="CQ6" s="26">
        <f>IF(SUMPRODUCT(((Plan!$I$5:$I$117="A")+(Plan!$I$5:$I$117="A+B"))*(Plan!$K$5:$K$117&lt;CQ$5)*(Plan!$L$5:$L$117&gt;=CQ$5))=0,"",INDEX(Plan!$A$5:$A$117,SUMPRODUCT(((Plan!$I$5:$I$117="A")+(Plan!$I$5:$I$117="A+B"))*(Plan!$K$5:$K$117&lt;CQ$5)*(Plan!$L$5:$L$117&gt;=CQ$5)*(ROW(Plan!$A$5:$A$117)-4))))</f>
        <v/>
      </c>
      <c r="CR6" s="26">
        <f>IF(SUMPRODUCT(((Plan!$I$5:$I$117="A")+(Plan!$I$5:$I$117="A+B"))*(Plan!$K$5:$K$117&lt;CR$5)*(Plan!$L$5:$L$117&gt;=CR$5))=0,"",INDEX(Plan!$A$5:$A$117,SUMPRODUCT(((Plan!$I$5:$I$117="A")+(Plan!$I$5:$I$117="A+B"))*(Plan!$K$5:$K$117&lt;CR$5)*(Plan!$L$5:$L$117&gt;=CR$5)*(ROW(Plan!$A$5:$A$117)-4))))</f>
        <v/>
      </c>
      <c r="CS6" s="26">
        <f>IF(SUMPRODUCT(((Plan!$I$5:$I$117="A")+(Plan!$I$5:$I$117="A+B"))*(Plan!$K$5:$K$117&lt;CS$5)*(Plan!$L$5:$L$117&gt;=CS$5))=0,"",INDEX(Plan!$A$5:$A$117,SUMPRODUCT(((Plan!$I$5:$I$117="A")+(Plan!$I$5:$I$117="A+B"))*(Plan!$K$5:$K$117&lt;CS$5)*(Plan!$L$5:$L$117&gt;=CS$5)*(ROW(Plan!$A$5:$A$117)-4))))</f>
        <v/>
      </c>
      <c r="CT6" s="26">
        <f>IF(SUMPRODUCT(((Plan!$I$5:$I$117="A")+(Plan!$I$5:$I$117="A+B"))*(Plan!$K$5:$K$117&lt;CT$5)*(Plan!$L$5:$L$117&gt;=CT$5))=0,"",INDEX(Plan!$A$5:$A$117,SUMPRODUCT(((Plan!$I$5:$I$117="A")+(Plan!$I$5:$I$117="A+B"))*(Plan!$K$5:$K$117&lt;CT$5)*(Plan!$L$5:$L$117&gt;=CT$5)*(ROW(Plan!$A$5:$A$117)-4))))</f>
        <v/>
      </c>
      <c r="CU6" s="26">
        <f>IF(SUMPRODUCT(((Plan!$I$5:$I$117="A")+(Plan!$I$5:$I$117="A+B"))*(Plan!$K$5:$K$117&lt;CU$5)*(Plan!$L$5:$L$117&gt;=CU$5))=0,"",INDEX(Plan!$A$5:$A$117,SUMPRODUCT(((Plan!$I$5:$I$117="A")+(Plan!$I$5:$I$117="A+B"))*(Plan!$K$5:$K$117&lt;CU$5)*(Plan!$L$5:$L$117&gt;=CU$5)*(ROW(Plan!$A$5:$A$117)-4))))</f>
        <v/>
      </c>
      <c r="CV6" s="26">
        <f>IF(SUMPRODUCT(((Plan!$I$5:$I$117="A")+(Plan!$I$5:$I$117="A+B"))*(Plan!$K$5:$K$117&lt;CV$5)*(Plan!$L$5:$L$117&gt;=CV$5))=0,"",INDEX(Plan!$A$5:$A$117,SUMPRODUCT(((Plan!$I$5:$I$117="A")+(Plan!$I$5:$I$117="A+B"))*(Plan!$K$5:$K$117&lt;CV$5)*(Plan!$L$5:$L$117&gt;=CV$5)*(ROW(Plan!$A$5:$A$117)-4))))</f>
        <v/>
      </c>
      <c r="CW6" s="26">
        <f>IF(SUMPRODUCT(((Plan!$I$5:$I$117="A")+(Plan!$I$5:$I$117="A+B"))*(Plan!$K$5:$K$117&lt;CW$5)*(Plan!$L$5:$L$117&gt;=CW$5))=0,"",INDEX(Plan!$A$5:$A$117,SUMPRODUCT(((Plan!$I$5:$I$117="A")+(Plan!$I$5:$I$117="A+B"))*(Plan!$K$5:$K$117&lt;CW$5)*(Plan!$L$5:$L$117&gt;=CW$5)*(ROW(Plan!$A$5:$A$117)-4))))</f>
        <v/>
      </c>
      <c r="CX6" s="26">
        <f>IF(SUMPRODUCT(((Plan!$I$5:$I$117="A")+(Plan!$I$5:$I$117="A+B"))*(Plan!$K$5:$K$117&lt;CX$5)*(Plan!$L$5:$L$117&gt;=CX$5))=0,"",INDEX(Plan!$A$5:$A$117,SUMPRODUCT(((Plan!$I$5:$I$117="A")+(Plan!$I$5:$I$117="A+B"))*(Plan!$K$5:$K$117&lt;CX$5)*(Plan!$L$5:$L$117&gt;=CX$5)*(ROW(Plan!$A$5:$A$117)-4))))</f>
        <v/>
      </c>
      <c r="CY6" s="26">
        <f>IF(SUMPRODUCT(((Plan!$I$5:$I$117="A")+(Plan!$I$5:$I$117="A+B"))*(Plan!$K$5:$K$117&lt;CY$5)*(Plan!$L$5:$L$117&gt;=CY$5))=0,"",INDEX(Plan!$A$5:$A$117,SUMPRODUCT(((Plan!$I$5:$I$117="A")+(Plan!$I$5:$I$117="A+B"))*(Plan!$K$5:$K$117&lt;CY$5)*(Plan!$L$5:$L$117&gt;=CY$5)*(ROW(Plan!$A$5:$A$117)-4))))</f>
        <v/>
      </c>
      <c r="CZ6" s="26">
        <f>IF(SUMPRODUCT(((Plan!$I$5:$I$117="A")+(Plan!$I$5:$I$117="A+B"))*(Plan!$K$5:$K$117&lt;CZ$5)*(Plan!$L$5:$L$117&gt;=CZ$5))=0,"",INDEX(Plan!$A$5:$A$117,SUMPRODUCT(((Plan!$I$5:$I$117="A")+(Plan!$I$5:$I$117="A+B"))*(Plan!$K$5:$K$117&lt;CZ$5)*(Plan!$L$5:$L$117&gt;=CZ$5)*(ROW(Plan!$A$5:$A$117)-4))))</f>
        <v/>
      </c>
      <c r="DA6" s="26">
        <f>IF(SUMPRODUCT(((Plan!$I$5:$I$117="A")+(Plan!$I$5:$I$117="A+B"))*(Plan!$K$5:$K$117&lt;DA$5)*(Plan!$L$5:$L$117&gt;=DA$5))=0,"",INDEX(Plan!$A$5:$A$117,SUMPRODUCT(((Plan!$I$5:$I$117="A")+(Plan!$I$5:$I$117="A+B"))*(Plan!$K$5:$K$117&lt;DA$5)*(Plan!$L$5:$L$117&gt;=DA$5)*(ROW(Plan!$A$5:$A$117)-4))))</f>
        <v/>
      </c>
      <c r="DB6" s="26">
        <f>IF(SUMPRODUCT(((Plan!$I$5:$I$117="A")+(Plan!$I$5:$I$117="A+B"))*(Plan!$K$5:$K$117&lt;DB$5)*(Plan!$L$5:$L$117&gt;=DB$5))=0,"",INDEX(Plan!$A$5:$A$117,SUMPRODUCT(((Plan!$I$5:$I$117="A")+(Plan!$I$5:$I$117="A+B"))*(Plan!$K$5:$K$117&lt;DB$5)*(Plan!$L$5:$L$117&gt;=DB$5)*(ROW(Plan!$A$5:$A$117)-4))))</f>
        <v/>
      </c>
      <c r="DC6" s="26">
        <f>IF(SUMPRODUCT(((Plan!$I$5:$I$117="A")+(Plan!$I$5:$I$117="A+B"))*(Plan!$K$5:$K$117&lt;DC$5)*(Plan!$L$5:$L$117&gt;=DC$5))=0,"",INDEX(Plan!$A$5:$A$117,SUMPRODUCT(((Plan!$I$5:$I$117="A")+(Plan!$I$5:$I$117="A+B"))*(Plan!$K$5:$K$117&lt;DC$5)*(Plan!$L$5:$L$117&gt;=DC$5)*(ROW(Plan!$A$5:$A$117)-4))))</f>
        <v/>
      </c>
      <c r="DD6" s="26">
        <f>IF(SUMPRODUCT(((Plan!$I$5:$I$117="A")+(Plan!$I$5:$I$117="A+B"))*(Plan!$K$5:$K$117&lt;DD$5)*(Plan!$L$5:$L$117&gt;=DD$5))=0,"",INDEX(Plan!$A$5:$A$117,SUMPRODUCT(((Plan!$I$5:$I$117="A")+(Plan!$I$5:$I$117="A+B"))*(Plan!$K$5:$K$117&lt;DD$5)*(Plan!$L$5:$L$117&gt;=DD$5)*(ROW(Plan!$A$5:$A$117)-4))))</f>
        <v/>
      </c>
      <c r="DE6" s="26">
        <f>IF(SUMPRODUCT(((Plan!$I$5:$I$117="A")+(Plan!$I$5:$I$117="A+B"))*(Plan!$K$5:$K$117&lt;DE$5)*(Plan!$L$5:$L$117&gt;=DE$5))=0,"",INDEX(Plan!$A$5:$A$117,SUMPRODUCT(((Plan!$I$5:$I$117="A")+(Plan!$I$5:$I$117="A+B"))*(Plan!$K$5:$K$117&lt;DE$5)*(Plan!$L$5:$L$117&gt;=DE$5)*(ROW(Plan!$A$5:$A$117)-4))))</f>
        <v/>
      </c>
      <c r="DF6" s="26">
        <f>IF(SUMPRODUCT(((Plan!$I$5:$I$117="A")+(Plan!$I$5:$I$117="A+B"))*(Plan!$K$5:$K$117&lt;DF$5)*(Plan!$L$5:$L$117&gt;=DF$5))=0,"",INDEX(Plan!$A$5:$A$117,SUMPRODUCT(((Plan!$I$5:$I$117="A")+(Plan!$I$5:$I$117="A+B"))*(Plan!$K$5:$K$117&lt;DF$5)*(Plan!$L$5:$L$117&gt;=DF$5)*(ROW(Plan!$A$5:$A$117)-4))))</f>
        <v/>
      </c>
      <c r="DG6" s="26">
        <f>IF(SUMPRODUCT(((Plan!$I$5:$I$117="A")+(Plan!$I$5:$I$117="A+B"))*(Plan!$K$5:$K$117&lt;DG$5)*(Plan!$L$5:$L$117&gt;=DG$5))=0,"",INDEX(Plan!$A$5:$A$117,SUMPRODUCT(((Plan!$I$5:$I$117="A")+(Plan!$I$5:$I$117="A+B"))*(Plan!$K$5:$K$117&lt;DG$5)*(Plan!$L$5:$L$117&gt;=DG$5)*(ROW(Plan!$A$5:$A$117)-4))))</f>
        <v/>
      </c>
      <c r="DH6" s="26">
        <f>IF(SUMPRODUCT(((Plan!$I$5:$I$117="A")+(Plan!$I$5:$I$117="A+B"))*(Plan!$K$5:$K$117&lt;DH$5)*(Plan!$L$5:$L$117&gt;=DH$5))=0,"",INDEX(Plan!$A$5:$A$117,SUMPRODUCT(((Plan!$I$5:$I$117="A")+(Plan!$I$5:$I$117="A+B"))*(Plan!$K$5:$K$117&lt;DH$5)*(Plan!$L$5:$L$117&gt;=DH$5)*(ROW(Plan!$A$5:$A$117)-4))))</f>
        <v/>
      </c>
      <c r="DI6" s="26">
        <f>IF(SUMPRODUCT(((Plan!$I$5:$I$117="A")+(Plan!$I$5:$I$117="A+B"))*(Plan!$K$5:$K$117&lt;DI$5)*(Plan!$L$5:$L$117&gt;=DI$5))=0,"",INDEX(Plan!$A$5:$A$117,SUMPRODUCT(((Plan!$I$5:$I$117="A")+(Plan!$I$5:$I$117="A+B"))*(Plan!$K$5:$K$117&lt;DI$5)*(Plan!$L$5:$L$117&gt;=DI$5)*(ROW(Plan!$A$5:$A$117)-4))))</f>
        <v/>
      </c>
      <c r="DJ6" s="26">
        <f>IF(SUMPRODUCT(((Plan!$I$5:$I$117="A")+(Plan!$I$5:$I$117="A+B"))*(Plan!$K$5:$K$117&lt;DJ$5)*(Plan!$L$5:$L$117&gt;=DJ$5))=0,"",INDEX(Plan!$A$5:$A$117,SUMPRODUCT(((Plan!$I$5:$I$117="A")+(Plan!$I$5:$I$117="A+B"))*(Plan!$K$5:$K$117&lt;DJ$5)*(Plan!$L$5:$L$117&gt;=DJ$5)*(ROW(Plan!$A$5:$A$117)-4))))</f>
        <v/>
      </c>
      <c r="DK6" s="26">
        <f>IF(SUMPRODUCT(((Plan!$I$5:$I$117="A")+(Plan!$I$5:$I$117="A+B"))*(Plan!$K$5:$K$117&lt;DK$5)*(Plan!$L$5:$L$117&gt;=DK$5))=0,"",INDEX(Plan!$A$5:$A$117,SUMPRODUCT(((Plan!$I$5:$I$117="A")+(Plan!$I$5:$I$117="A+B"))*(Plan!$K$5:$K$117&lt;DK$5)*(Plan!$L$5:$L$117&gt;=DK$5)*(ROW(Plan!$A$5:$A$117)-4))))</f>
        <v/>
      </c>
      <c r="DL6" s="26">
        <f>IF(SUMPRODUCT(((Plan!$I$5:$I$117="A")+(Plan!$I$5:$I$117="A+B"))*(Plan!$K$5:$K$117&lt;DL$5)*(Plan!$L$5:$L$117&gt;=DL$5))=0,"",INDEX(Plan!$A$5:$A$117,SUMPRODUCT(((Plan!$I$5:$I$117="A")+(Plan!$I$5:$I$117="A+B"))*(Plan!$K$5:$K$117&lt;DL$5)*(Plan!$L$5:$L$117&gt;=DL$5)*(ROW(Plan!$A$5:$A$117)-4))))</f>
        <v/>
      </c>
      <c r="DM6" s="26">
        <f>IF(SUMPRODUCT(((Plan!$I$5:$I$117="A")+(Plan!$I$5:$I$117="A+B"))*(Plan!$K$5:$K$117&lt;DM$5)*(Plan!$L$5:$L$117&gt;=DM$5))=0,"",INDEX(Plan!$A$5:$A$117,SUMPRODUCT(((Plan!$I$5:$I$117="A")+(Plan!$I$5:$I$117="A+B"))*(Plan!$K$5:$K$117&lt;DM$5)*(Plan!$L$5:$L$117&gt;=DM$5)*(ROW(Plan!$A$5:$A$117)-4))))</f>
        <v/>
      </c>
      <c r="DN6" s="26">
        <f>IF(SUMPRODUCT(((Plan!$I$5:$I$117="A")+(Plan!$I$5:$I$117="A+B"))*(Plan!$K$5:$K$117&lt;DN$5)*(Plan!$L$5:$L$117&gt;=DN$5))=0,"",INDEX(Plan!$A$5:$A$117,SUMPRODUCT(((Plan!$I$5:$I$117="A")+(Plan!$I$5:$I$117="A+B"))*(Plan!$K$5:$K$117&lt;DN$5)*(Plan!$L$5:$L$117&gt;=DN$5)*(ROW(Plan!$A$5:$A$117)-4))))</f>
        <v/>
      </c>
      <c r="DO6" s="26">
        <f>IF(SUMPRODUCT(((Plan!$I$5:$I$117="A")+(Plan!$I$5:$I$117="A+B"))*(Plan!$K$5:$K$117&lt;DO$5)*(Plan!$L$5:$L$117&gt;=DO$5))=0,"",INDEX(Plan!$A$5:$A$117,SUMPRODUCT(((Plan!$I$5:$I$117="A")+(Plan!$I$5:$I$117="A+B"))*(Plan!$K$5:$K$117&lt;DO$5)*(Plan!$L$5:$L$117&gt;=DO$5)*(ROW(Plan!$A$5:$A$117)-4))))</f>
        <v/>
      </c>
      <c r="DP6" s="26">
        <f>IF(SUMPRODUCT(((Plan!$I$5:$I$117="A")+(Plan!$I$5:$I$117="A+B"))*(Plan!$K$5:$K$117&lt;DP$5)*(Plan!$L$5:$L$117&gt;=DP$5))=0,"",INDEX(Plan!$A$5:$A$117,SUMPRODUCT(((Plan!$I$5:$I$117="A")+(Plan!$I$5:$I$117="A+B"))*(Plan!$K$5:$K$117&lt;DP$5)*(Plan!$L$5:$L$117&gt;=DP$5)*(ROW(Plan!$A$5:$A$117)-4))))</f>
        <v/>
      </c>
      <c r="DQ6" s="26">
        <f>IF(SUMPRODUCT(((Plan!$I$5:$I$117="A")+(Plan!$I$5:$I$117="A+B"))*(Plan!$K$5:$K$117&lt;DQ$5)*(Plan!$L$5:$L$117&gt;=DQ$5))=0,"",INDEX(Plan!$A$5:$A$117,SUMPRODUCT(((Plan!$I$5:$I$117="A")+(Plan!$I$5:$I$117="A+B"))*(Plan!$K$5:$K$117&lt;DQ$5)*(Plan!$L$5:$L$117&gt;=DQ$5)*(ROW(Plan!$A$5:$A$117)-4))))</f>
        <v/>
      </c>
      <c r="DR6" s="26">
        <f>IF(SUMPRODUCT(((Plan!$I$5:$I$117="A")+(Plan!$I$5:$I$117="A+B"))*(Plan!$K$5:$K$117&lt;DR$5)*(Plan!$L$5:$L$117&gt;=DR$5))=0,"",INDEX(Plan!$A$5:$A$117,SUMPRODUCT(((Plan!$I$5:$I$117="A")+(Plan!$I$5:$I$117="A+B"))*(Plan!$K$5:$K$117&lt;DR$5)*(Plan!$L$5:$L$117&gt;=DR$5)*(ROW(Plan!$A$5:$A$117)-4))))</f>
        <v/>
      </c>
      <c r="DS6" s="26">
        <f>IF(SUMPRODUCT(((Plan!$I$5:$I$117="A")+(Plan!$I$5:$I$117="A+B"))*(Plan!$K$5:$K$117&lt;DS$5)*(Plan!$L$5:$L$117&gt;=DS$5))=0,"",INDEX(Plan!$A$5:$A$117,SUMPRODUCT(((Plan!$I$5:$I$117="A")+(Plan!$I$5:$I$117="A+B"))*(Plan!$K$5:$K$117&lt;DS$5)*(Plan!$L$5:$L$117&gt;=DS$5)*(ROW(Plan!$A$5:$A$117)-4))))</f>
        <v/>
      </c>
      <c r="DT6" s="26">
        <f>IF(SUMPRODUCT(((Plan!$I$5:$I$117="A")+(Plan!$I$5:$I$117="A+B"))*(Plan!$K$5:$K$117&lt;DT$5)*(Plan!$L$5:$L$117&gt;=DT$5))=0,"",INDEX(Plan!$A$5:$A$117,SUMPRODUCT(((Plan!$I$5:$I$117="A")+(Plan!$I$5:$I$117="A+B"))*(Plan!$K$5:$K$117&lt;DT$5)*(Plan!$L$5:$L$117&gt;=DT$5)*(ROW(Plan!$A$5:$A$117)-4))))</f>
        <v/>
      </c>
      <c r="DU6" s="26">
        <f>IF(SUMPRODUCT(((Plan!$I$5:$I$117="A")+(Plan!$I$5:$I$117="A+B"))*(Plan!$K$5:$K$117&lt;DU$5)*(Plan!$L$5:$L$117&gt;=DU$5))=0,"",INDEX(Plan!$A$5:$A$117,SUMPRODUCT(((Plan!$I$5:$I$117="A")+(Plan!$I$5:$I$117="A+B"))*(Plan!$K$5:$K$117&lt;DU$5)*(Plan!$L$5:$L$117&gt;=DU$5)*(ROW(Plan!$A$5:$A$117)-4))))</f>
        <v/>
      </c>
      <c r="DV6" s="26">
        <f>IF(SUMPRODUCT(((Plan!$I$5:$I$117="A")+(Plan!$I$5:$I$117="A+B"))*(Plan!$K$5:$K$117&lt;DV$5)*(Plan!$L$5:$L$117&gt;=DV$5))=0,"",INDEX(Plan!$A$5:$A$117,SUMPRODUCT(((Plan!$I$5:$I$117="A")+(Plan!$I$5:$I$117="A+B"))*(Plan!$K$5:$K$117&lt;DV$5)*(Plan!$L$5:$L$117&gt;=DV$5)*(ROW(Plan!$A$5:$A$117)-4))))</f>
        <v/>
      </c>
      <c r="DW6" s="26">
        <f>IF(SUMPRODUCT(((Plan!$I$5:$I$117="A")+(Plan!$I$5:$I$117="A+B"))*(Plan!$K$5:$K$117&lt;DW$5)*(Plan!$L$5:$L$117&gt;=DW$5))=0,"",INDEX(Plan!$A$5:$A$117,SUMPRODUCT(((Plan!$I$5:$I$117="A")+(Plan!$I$5:$I$117="A+B"))*(Plan!$K$5:$K$117&lt;DW$5)*(Plan!$L$5:$L$117&gt;=DW$5)*(ROW(Plan!$A$5:$A$117)-4))))</f>
        <v/>
      </c>
      <c r="DX6" s="26">
        <f>IF(SUMPRODUCT(((Plan!$I$5:$I$117="A")+(Plan!$I$5:$I$117="A+B"))*(Plan!$K$5:$K$117&lt;DX$5)*(Plan!$L$5:$L$117&gt;=DX$5))=0,"",INDEX(Plan!$A$5:$A$117,SUMPRODUCT(((Plan!$I$5:$I$117="A")+(Plan!$I$5:$I$117="A+B"))*(Plan!$K$5:$K$117&lt;DX$5)*(Plan!$L$5:$L$117&gt;=DX$5)*(ROW(Plan!$A$5:$A$117)-4))))</f>
        <v/>
      </c>
      <c r="DY6" s="26">
        <f>IF(SUMPRODUCT(((Plan!$I$5:$I$117="A")+(Plan!$I$5:$I$117="A+B"))*(Plan!$K$5:$K$117&lt;DY$5)*(Plan!$L$5:$L$117&gt;=DY$5))=0,"",INDEX(Plan!$A$5:$A$117,SUMPRODUCT(((Plan!$I$5:$I$117="A")+(Plan!$I$5:$I$117="A+B"))*(Plan!$K$5:$K$117&lt;DY$5)*(Plan!$L$5:$L$117&gt;=DY$5)*(ROW(Plan!$A$5:$A$117)-4))))</f>
        <v/>
      </c>
      <c r="DZ6" s="26">
        <f>IF(SUMPRODUCT(((Plan!$I$5:$I$117="A")+(Plan!$I$5:$I$117="A+B"))*(Plan!$K$5:$K$117&lt;DZ$5)*(Plan!$L$5:$L$117&gt;=DZ$5))=0,"",INDEX(Plan!$A$5:$A$117,SUMPRODUCT(((Plan!$I$5:$I$117="A")+(Plan!$I$5:$I$117="A+B"))*(Plan!$K$5:$K$117&lt;DZ$5)*(Plan!$L$5:$L$117&gt;=DZ$5)*(ROW(Plan!$A$5:$A$117)-4))))</f>
        <v/>
      </c>
      <c r="EA6" s="26">
        <f>IF(SUMPRODUCT(((Plan!$I$5:$I$117="A")+(Plan!$I$5:$I$117="A+B"))*(Plan!$K$5:$K$117&lt;EA$5)*(Plan!$L$5:$L$117&gt;=EA$5))=0,"",INDEX(Plan!$A$5:$A$117,SUMPRODUCT(((Plan!$I$5:$I$117="A")+(Plan!$I$5:$I$117="A+B"))*(Plan!$K$5:$K$117&lt;EA$5)*(Plan!$L$5:$L$117&gt;=EA$5)*(ROW(Plan!$A$5:$A$117)-4))))</f>
        <v/>
      </c>
      <c r="EB6" s="26">
        <f>IF(SUMPRODUCT(((Plan!$I$5:$I$117="A")+(Plan!$I$5:$I$117="A+B"))*(Plan!$K$5:$K$117&lt;EB$5)*(Plan!$L$5:$L$117&gt;=EB$5))=0,"",INDEX(Plan!$A$5:$A$117,SUMPRODUCT(((Plan!$I$5:$I$117="A")+(Plan!$I$5:$I$117="A+B"))*(Plan!$K$5:$K$117&lt;EB$5)*(Plan!$L$5:$L$117&gt;=EB$5)*(ROW(Plan!$A$5:$A$117)-4))))</f>
        <v/>
      </c>
      <c r="EC6" s="26">
        <f>IF(SUMPRODUCT(((Plan!$I$5:$I$117="A")+(Plan!$I$5:$I$117="A+B"))*(Plan!$K$5:$K$117&lt;EC$5)*(Plan!$L$5:$L$117&gt;=EC$5))=0,"",INDEX(Plan!$A$5:$A$117,SUMPRODUCT(((Plan!$I$5:$I$117="A")+(Plan!$I$5:$I$117="A+B"))*(Plan!$K$5:$K$117&lt;EC$5)*(Plan!$L$5:$L$117&gt;=EC$5)*(ROW(Plan!$A$5:$A$117)-4))))</f>
        <v/>
      </c>
      <c r="ED6" s="26">
        <f>IF(SUMPRODUCT(((Plan!$I$5:$I$117="A")+(Plan!$I$5:$I$117="A+B"))*(Plan!$K$5:$K$117&lt;ED$5)*(Plan!$L$5:$L$117&gt;=ED$5))=0,"",INDEX(Plan!$A$5:$A$117,SUMPRODUCT(((Plan!$I$5:$I$117="A")+(Plan!$I$5:$I$117="A+B"))*(Plan!$K$5:$K$117&lt;ED$5)*(Plan!$L$5:$L$117&gt;=ED$5)*(ROW(Plan!$A$5:$A$117)-4))))</f>
        <v/>
      </c>
      <c r="EE6" s="26">
        <f>IF(SUMPRODUCT(((Plan!$I$5:$I$117="A")+(Plan!$I$5:$I$117="A+B"))*(Plan!$K$5:$K$117&lt;EE$5)*(Plan!$L$5:$L$117&gt;=EE$5))=0,"",INDEX(Plan!$A$5:$A$117,SUMPRODUCT(((Plan!$I$5:$I$117="A")+(Plan!$I$5:$I$117="A+B"))*(Plan!$K$5:$K$117&lt;EE$5)*(Plan!$L$5:$L$117&gt;=EE$5)*(ROW(Plan!$A$5:$A$117)-4))))</f>
        <v/>
      </c>
      <c r="EF6" s="26">
        <f>IF(SUMPRODUCT(((Plan!$I$5:$I$117="A")+(Plan!$I$5:$I$117="A+B"))*(Plan!$K$5:$K$117&lt;EF$5)*(Plan!$L$5:$L$117&gt;=EF$5))=0,"",INDEX(Plan!$A$5:$A$117,SUMPRODUCT(((Plan!$I$5:$I$117="A")+(Plan!$I$5:$I$117="A+B"))*(Plan!$K$5:$K$117&lt;EF$5)*(Plan!$L$5:$L$117&gt;=EF$5)*(ROW(Plan!$A$5:$A$117)-4))))</f>
        <v/>
      </c>
      <c r="EG6" s="26">
        <f>IF(SUMPRODUCT(((Plan!$I$5:$I$117="A")+(Plan!$I$5:$I$117="A+B"))*(Plan!$K$5:$K$117&lt;EG$5)*(Plan!$L$5:$L$117&gt;=EG$5))=0,"",INDEX(Plan!$A$5:$A$117,SUMPRODUCT(((Plan!$I$5:$I$117="A")+(Plan!$I$5:$I$117="A+B"))*(Plan!$K$5:$K$117&lt;EG$5)*(Plan!$L$5:$L$117&gt;=EG$5)*(ROW(Plan!$A$5:$A$117)-4))))</f>
        <v/>
      </c>
    </row>
    <row r="7" ht="26" customHeight="1">
      <c r="A7" s="22" t="inlineStr">
        <is>
          <t>Fila B — tarea en curso</t>
        </is>
      </c>
      <c r="H7" s="26">
        <f>IF(SUMPRODUCT(((Plan!$I$5:$I$117="B")+(Plan!$I$5:$I$117="A+B"))*(Plan!$K$5:$K$117&lt;H$5)*(Plan!$L$5:$L$117&gt;=H$5))=0,"",INDEX(Plan!$A$5:$A$117,SUMPRODUCT(((Plan!$I$5:$I$117="B")+(Plan!$I$5:$I$117="A+B"))*(Plan!$K$5:$K$117&lt;H$5)*(Plan!$L$5:$L$117&gt;=H$5)*(ROW(Plan!$A$5:$A$117)-4))))</f>
        <v/>
      </c>
      <c r="I7" s="26">
        <f>IF(SUMPRODUCT(((Plan!$I$5:$I$117="B")+(Plan!$I$5:$I$117="A+B"))*(Plan!$K$5:$K$117&lt;I$5)*(Plan!$L$5:$L$117&gt;=I$5))=0,"",INDEX(Plan!$A$5:$A$117,SUMPRODUCT(((Plan!$I$5:$I$117="B")+(Plan!$I$5:$I$117="A+B"))*(Plan!$K$5:$K$117&lt;I$5)*(Plan!$L$5:$L$117&gt;=I$5)*(ROW(Plan!$A$5:$A$117)-4))))</f>
        <v/>
      </c>
      <c r="J7" s="26">
        <f>IF(SUMPRODUCT(((Plan!$I$5:$I$117="B")+(Plan!$I$5:$I$117="A+B"))*(Plan!$K$5:$K$117&lt;J$5)*(Plan!$L$5:$L$117&gt;=J$5))=0,"",INDEX(Plan!$A$5:$A$117,SUMPRODUCT(((Plan!$I$5:$I$117="B")+(Plan!$I$5:$I$117="A+B"))*(Plan!$K$5:$K$117&lt;J$5)*(Plan!$L$5:$L$117&gt;=J$5)*(ROW(Plan!$A$5:$A$117)-4))))</f>
        <v/>
      </c>
      <c r="K7" s="26">
        <f>IF(SUMPRODUCT(((Plan!$I$5:$I$117="B")+(Plan!$I$5:$I$117="A+B"))*(Plan!$K$5:$K$117&lt;K$5)*(Plan!$L$5:$L$117&gt;=K$5))=0,"",INDEX(Plan!$A$5:$A$117,SUMPRODUCT(((Plan!$I$5:$I$117="B")+(Plan!$I$5:$I$117="A+B"))*(Plan!$K$5:$K$117&lt;K$5)*(Plan!$L$5:$L$117&gt;=K$5)*(ROW(Plan!$A$5:$A$117)-4))))</f>
        <v/>
      </c>
      <c r="L7" s="26">
        <f>IF(SUMPRODUCT(((Plan!$I$5:$I$117="B")+(Plan!$I$5:$I$117="A+B"))*(Plan!$K$5:$K$117&lt;L$5)*(Plan!$L$5:$L$117&gt;=L$5))=0,"",INDEX(Plan!$A$5:$A$117,SUMPRODUCT(((Plan!$I$5:$I$117="B")+(Plan!$I$5:$I$117="A+B"))*(Plan!$K$5:$K$117&lt;L$5)*(Plan!$L$5:$L$117&gt;=L$5)*(ROW(Plan!$A$5:$A$117)-4))))</f>
        <v/>
      </c>
      <c r="M7" s="26">
        <f>IF(SUMPRODUCT(((Plan!$I$5:$I$117="B")+(Plan!$I$5:$I$117="A+B"))*(Plan!$K$5:$K$117&lt;M$5)*(Plan!$L$5:$L$117&gt;=M$5))=0,"",INDEX(Plan!$A$5:$A$117,SUMPRODUCT(((Plan!$I$5:$I$117="B")+(Plan!$I$5:$I$117="A+B"))*(Plan!$K$5:$K$117&lt;M$5)*(Plan!$L$5:$L$117&gt;=M$5)*(ROW(Plan!$A$5:$A$117)-4))))</f>
        <v/>
      </c>
      <c r="N7" s="26">
        <f>IF(SUMPRODUCT(((Plan!$I$5:$I$117="B")+(Plan!$I$5:$I$117="A+B"))*(Plan!$K$5:$K$117&lt;N$5)*(Plan!$L$5:$L$117&gt;=N$5))=0,"",INDEX(Plan!$A$5:$A$117,SUMPRODUCT(((Plan!$I$5:$I$117="B")+(Plan!$I$5:$I$117="A+B"))*(Plan!$K$5:$K$117&lt;N$5)*(Plan!$L$5:$L$117&gt;=N$5)*(ROW(Plan!$A$5:$A$117)-4))))</f>
        <v/>
      </c>
      <c r="O7" s="26">
        <f>IF(SUMPRODUCT(((Plan!$I$5:$I$117="B")+(Plan!$I$5:$I$117="A+B"))*(Plan!$K$5:$K$117&lt;O$5)*(Plan!$L$5:$L$117&gt;=O$5))=0,"",INDEX(Plan!$A$5:$A$117,SUMPRODUCT(((Plan!$I$5:$I$117="B")+(Plan!$I$5:$I$117="A+B"))*(Plan!$K$5:$K$117&lt;O$5)*(Plan!$L$5:$L$117&gt;=O$5)*(ROW(Plan!$A$5:$A$117)-4))))</f>
        <v/>
      </c>
      <c r="P7" s="26">
        <f>IF(SUMPRODUCT(((Plan!$I$5:$I$117="B")+(Plan!$I$5:$I$117="A+B"))*(Plan!$K$5:$K$117&lt;P$5)*(Plan!$L$5:$L$117&gt;=P$5))=0,"",INDEX(Plan!$A$5:$A$117,SUMPRODUCT(((Plan!$I$5:$I$117="B")+(Plan!$I$5:$I$117="A+B"))*(Plan!$K$5:$K$117&lt;P$5)*(Plan!$L$5:$L$117&gt;=P$5)*(ROW(Plan!$A$5:$A$117)-4))))</f>
        <v/>
      </c>
      <c r="Q7" s="26">
        <f>IF(SUMPRODUCT(((Plan!$I$5:$I$117="B")+(Plan!$I$5:$I$117="A+B"))*(Plan!$K$5:$K$117&lt;Q$5)*(Plan!$L$5:$L$117&gt;=Q$5))=0,"",INDEX(Plan!$A$5:$A$117,SUMPRODUCT(((Plan!$I$5:$I$117="B")+(Plan!$I$5:$I$117="A+B"))*(Plan!$K$5:$K$117&lt;Q$5)*(Plan!$L$5:$L$117&gt;=Q$5)*(ROW(Plan!$A$5:$A$117)-4))))</f>
        <v/>
      </c>
      <c r="R7" s="26">
        <f>IF(SUMPRODUCT(((Plan!$I$5:$I$117="B")+(Plan!$I$5:$I$117="A+B"))*(Plan!$K$5:$K$117&lt;R$5)*(Plan!$L$5:$L$117&gt;=R$5))=0,"",INDEX(Plan!$A$5:$A$117,SUMPRODUCT(((Plan!$I$5:$I$117="B")+(Plan!$I$5:$I$117="A+B"))*(Plan!$K$5:$K$117&lt;R$5)*(Plan!$L$5:$L$117&gt;=R$5)*(ROW(Plan!$A$5:$A$117)-4))))</f>
        <v/>
      </c>
      <c r="S7" s="26">
        <f>IF(SUMPRODUCT(((Plan!$I$5:$I$117="B")+(Plan!$I$5:$I$117="A+B"))*(Plan!$K$5:$K$117&lt;S$5)*(Plan!$L$5:$L$117&gt;=S$5))=0,"",INDEX(Plan!$A$5:$A$117,SUMPRODUCT(((Plan!$I$5:$I$117="B")+(Plan!$I$5:$I$117="A+B"))*(Plan!$K$5:$K$117&lt;S$5)*(Plan!$L$5:$L$117&gt;=S$5)*(ROW(Plan!$A$5:$A$117)-4))))</f>
        <v/>
      </c>
      <c r="T7" s="26">
        <f>IF(SUMPRODUCT(((Plan!$I$5:$I$117="B")+(Plan!$I$5:$I$117="A+B"))*(Plan!$K$5:$K$117&lt;T$5)*(Plan!$L$5:$L$117&gt;=T$5))=0,"",INDEX(Plan!$A$5:$A$117,SUMPRODUCT(((Plan!$I$5:$I$117="B")+(Plan!$I$5:$I$117="A+B"))*(Plan!$K$5:$K$117&lt;T$5)*(Plan!$L$5:$L$117&gt;=T$5)*(ROW(Plan!$A$5:$A$117)-4))))</f>
        <v/>
      </c>
      <c r="U7" s="26">
        <f>IF(SUMPRODUCT(((Plan!$I$5:$I$117="B")+(Plan!$I$5:$I$117="A+B"))*(Plan!$K$5:$K$117&lt;U$5)*(Plan!$L$5:$L$117&gt;=U$5))=0,"",INDEX(Plan!$A$5:$A$117,SUMPRODUCT(((Plan!$I$5:$I$117="B")+(Plan!$I$5:$I$117="A+B"))*(Plan!$K$5:$K$117&lt;U$5)*(Plan!$L$5:$L$117&gt;=U$5)*(ROW(Plan!$A$5:$A$117)-4))))</f>
        <v/>
      </c>
      <c r="V7" s="26">
        <f>IF(SUMPRODUCT(((Plan!$I$5:$I$117="B")+(Plan!$I$5:$I$117="A+B"))*(Plan!$K$5:$K$117&lt;V$5)*(Plan!$L$5:$L$117&gt;=V$5))=0,"",INDEX(Plan!$A$5:$A$117,SUMPRODUCT(((Plan!$I$5:$I$117="B")+(Plan!$I$5:$I$117="A+B"))*(Plan!$K$5:$K$117&lt;V$5)*(Plan!$L$5:$L$117&gt;=V$5)*(ROW(Plan!$A$5:$A$117)-4))))</f>
        <v/>
      </c>
      <c r="W7" s="26">
        <f>IF(SUMPRODUCT(((Plan!$I$5:$I$117="B")+(Plan!$I$5:$I$117="A+B"))*(Plan!$K$5:$K$117&lt;W$5)*(Plan!$L$5:$L$117&gt;=W$5))=0,"",INDEX(Plan!$A$5:$A$117,SUMPRODUCT(((Plan!$I$5:$I$117="B")+(Plan!$I$5:$I$117="A+B"))*(Plan!$K$5:$K$117&lt;W$5)*(Plan!$L$5:$L$117&gt;=W$5)*(ROW(Plan!$A$5:$A$117)-4))))</f>
        <v/>
      </c>
      <c r="X7" s="26">
        <f>IF(SUMPRODUCT(((Plan!$I$5:$I$117="B")+(Plan!$I$5:$I$117="A+B"))*(Plan!$K$5:$K$117&lt;X$5)*(Plan!$L$5:$L$117&gt;=X$5))=0,"",INDEX(Plan!$A$5:$A$117,SUMPRODUCT(((Plan!$I$5:$I$117="B")+(Plan!$I$5:$I$117="A+B"))*(Plan!$K$5:$K$117&lt;X$5)*(Plan!$L$5:$L$117&gt;=X$5)*(ROW(Plan!$A$5:$A$117)-4))))</f>
        <v/>
      </c>
      <c r="Y7" s="26">
        <f>IF(SUMPRODUCT(((Plan!$I$5:$I$117="B")+(Plan!$I$5:$I$117="A+B"))*(Plan!$K$5:$K$117&lt;Y$5)*(Plan!$L$5:$L$117&gt;=Y$5))=0,"",INDEX(Plan!$A$5:$A$117,SUMPRODUCT(((Plan!$I$5:$I$117="B")+(Plan!$I$5:$I$117="A+B"))*(Plan!$K$5:$K$117&lt;Y$5)*(Plan!$L$5:$L$117&gt;=Y$5)*(ROW(Plan!$A$5:$A$117)-4))))</f>
        <v/>
      </c>
      <c r="Z7" s="26">
        <f>IF(SUMPRODUCT(((Plan!$I$5:$I$117="B")+(Plan!$I$5:$I$117="A+B"))*(Plan!$K$5:$K$117&lt;Z$5)*(Plan!$L$5:$L$117&gt;=Z$5))=0,"",INDEX(Plan!$A$5:$A$117,SUMPRODUCT(((Plan!$I$5:$I$117="B")+(Plan!$I$5:$I$117="A+B"))*(Plan!$K$5:$K$117&lt;Z$5)*(Plan!$L$5:$L$117&gt;=Z$5)*(ROW(Plan!$A$5:$A$117)-4))))</f>
        <v/>
      </c>
      <c r="AA7" s="26">
        <f>IF(SUMPRODUCT(((Plan!$I$5:$I$117="B")+(Plan!$I$5:$I$117="A+B"))*(Plan!$K$5:$K$117&lt;AA$5)*(Plan!$L$5:$L$117&gt;=AA$5))=0,"",INDEX(Plan!$A$5:$A$117,SUMPRODUCT(((Plan!$I$5:$I$117="B")+(Plan!$I$5:$I$117="A+B"))*(Plan!$K$5:$K$117&lt;AA$5)*(Plan!$L$5:$L$117&gt;=AA$5)*(ROW(Plan!$A$5:$A$117)-4))))</f>
        <v/>
      </c>
      <c r="AB7" s="26">
        <f>IF(SUMPRODUCT(((Plan!$I$5:$I$117="B")+(Plan!$I$5:$I$117="A+B"))*(Plan!$K$5:$K$117&lt;AB$5)*(Plan!$L$5:$L$117&gt;=AB$5))=0,"",INDEX(Plan!$A$5:$A$117,SUMPRODUCT(((Plan!$I$5:$I$117="B")+(Plan!$I$5:$I$117="A+B"))*(Plan!$K$5:$K$117&lt;AB$5)*(Plan!$L$5:$L$117&gt;=AB$5)*(ROW(Plan!$A$5:$A$117)-4))))</f>
        <v/>
      </c>
      <c r="AC7" s="26">
        <f>IF(SUMPRODUCT(((Plan!$I$5:$I$117="B")+(Plan!$I$5:$I$117="A+B"))*(Plan!$K$5:$K$117&lt;AC$5)*(Plan!$L$5:$L$117&gt;=AC$5))=0,"",INDEX(Plan!$A$5:$A$117,SUMPRODUCT(((Plan!$I$5:$I$117="B")+(Plan!$I$5:$I$117="A+B"))*(Plan!$K$5:$K$117&lt;AC$5)*(Plan!$L$5:$L$117&gt;=AC$5)*(ROW(Plan!$A$5:$A$117)-4))))</f>
        <v/>
      </c>
      <c r="AD7" s="26">
        <f>IF(SUMPRODUCT(((Plan!$I$5:$I$117="B")+(Plan!$I$5:$I$117="A+B"))*(Plan!$K$5:$K$117&lt;AD$5)*(Plan!$L$5:$L$117&gt;=AD$5))=0,"",INDEX(Plan!$A$5:$A$117,SUMPRODUCT(((Plan!$I$5:$I$117="B")+(Plan!$I$5:$I$117="A+B"))*(Plan!$K$5:$K$117&lt;AD$5)*(Plan!$L$5:$L$117&gt;=AD$5)*(ROW(Plan!$A$5:$A$117)-4))))</f>
        <v/>
      </c>
      <c r="AE7" s="26">
        <f>IF(SUMPRODUCT(((Plan!$I$5:$I$117="B")+(Plan!$I$5:$I$117="A+B"))*(Plan!$K$5:$K$117&lt;AE$5)*(Plan!$L$5:$L$117&gt;=AE$5))=0,"",INDEX(Plan!$A$5:$A$117,SUMPRODUCT(((Plan!$I$5:$I$117="B")+(Plan!$I$5:$I$117="A+B"))*(Plan!$K$5:$K$117&lt;AE$5)*(Plan!$L$5:$L$117&gt;=AE$5)*(ROW(Plan!$A$5:$A$117)-4))))</f>
        <v/>
      </c>
      <c r="AF7" s="26">
        <f>IF(SUMPRODUCT(((Plan!$I$5:$I$117="B")+(Plan!$I$5:$I$117="A+B"))*(Plan!$K$5:$K$117&lt;AF$5)*(Plan!$L$5:$L$117&gt;=AF$5))=0,"",INDEX(Plan!$A$5:$A$117,SUMPRODUCT(((Plan!$I$5:$I$117="B")+(Plan!$I$5:$I$117="A+B"))*(Plan!$K$5:$K$117&lt;AF$5)*(Plan!$L$5:$L$117&gt;=AF$5)*(ROW(Plan!$A$5:$A$117)-4))))</f>
        <v/>
      </c>
      <c r="AG7" s="26">
        <f>IF(SUMPRODUCT(((Plan!$I$5:$I$117="B")+(Plan!$I$5:$I$117="A+B"))*(Plan!$K$5:$K$117&lt;AG$5)*(Plan!$L$5:$L$117&gt;=AG$5))=0,"",INDEX(Plan!$A$5:$A$117,SUMPRODUCT(((Plan!$I$5:$I$117="B")+(Plan!$I$5:$I$117="A+B"))*(Plan!$K$5:$K$117&lt;AG$5)*(Plan!$L$5:$L$117&gt;=AG$5)*(ROW(Plan!$A$5:$A$117)-4))))</f>
        <v/>
      </c>
      <c r="AH7" s="26">
        <f>IF(SUMPRODUCT(((Plan!$I$5:$I$117="B")+(Plan!$I$5:$I$117="A+B"))*(Plan!$K$5:$K$117&lt;AH$5)*(Plan!$L$5:$L$117&gt;=AH$5))=0,"",INDEX(Plan!$A$5:$A$117,SUMPRODUCT(((Plan!$I$5:$I$117="B")+(Plan!$I$5:$I$117="A+B"))*(Plan!$K$5:$K$117&lt;AH$5)*(Plan!$L$5:$L$117&gt;=AH$5)*(ROW(Plan!$A$5:$A$117)-4))))</f>
        <v/>
      </c>
      <c r="AI7" s="26">
        <f>IF(SUMPRODUCT(((Plan!$I$5:$I$117="B")+(Plan!$I$5:$I$117="A+B"))*(Plan!$K$5:$K$117&lt;AI$5)*(Plan!$L$5:$L$117&gt;=AI$5))=0,"",INDEX(Plan!$A$5:$A$117,SUMPRODUCT(((Plan!$I$5:$I$117="B")+(Plan!$I$5:$I$117="A+B"))*(Plan!$K$5:$K$117&lt;AI$5)*(Plan!$L$5:$L$117&gt;=AI$5)*(ROW(Plan!$A$5:$A$117)-4))))</f>
        <v/>
      </c>
      <c r="AJ7" s="26">
        <f>IF(SUMPRODUCT(((Plan!$I$5:$I$117="B")+(Plan!$I$5:$I$117="A+B"))*(Plan!$K$5:$K$117&lt;AJ$5)*(Plan!$L$5:$L$117&gt;=AJ$5))=0,"",INDEX(Plan!$A$5:$A$117,SUMPRODUCT(((Plan!$I$5:$I$117="B")+(Plan!$I$5:$I$117="A+B"))*(Plan!$K$5:$K$117&lt;AJ$5)*(Plan!$L$5:$L$117&gt;=AJ$5)*(ROW(Plan!$A$5:$A$117)-4))))</f>
        <v/>
      </c>
      <c r="AK7" s="26">
        <f>IF(SUMPRODUCT(((Plan!$I$5:$I$117="B")+(Plan!$I$5:$I$117="A+B"))*(Plan!$K$5:$K$117&lt;AK$5)*(Plan!$L$5:$L$117&gt;=AK$5))=0,"",INDEX(Plan!$A$5:$A$117,SUMPRODUCT(((Plan!$I$5:$I$117="B")+(Plan!$I$5:$I$117="A+B"))*(Plan!$K$5:$K$117&lt;AK$5)*(Plan!$L$5:$L$117&gt;=AK$5)*(ROW(Plan!$A$5:$A$117)-4))))</f>
        <v/>
      </c>
      <c r="AL7" s="26">
        <f>IF(SUMPRODUCT(((Plan!$I$5:$I$117="B")+(Plan!$I$5:$I$117="A+B"))*(Plan!$K$5:$K$117&lt;AL$5)*(Plan!$L$5:$L$117&gt;=AL$5))=0,"",INDEX(Plan!$A$5:$A$117,SUMPRODUCT(((Plan!$I$5:$I$117="B")+(Plan!$I$5:$I$117="A+B"))*(Plan!$K$5:$K$117&lt;AL$5)*(Plan!$L$5:$L$117&gt;=AL$5)*(ROW(Plan!$A$5:$A$117)-4))))</f>
        <v/>
      </c>
      <c r="AM7" s="26">
        <f>IF(SUMPRODUCT(((Plan!$I$5:$I$117="B")+(Plan!$I$5:$I$117="A+B"))*(Plan!$K$5:$K$117&lt;AM$5)*(Plan!$L$5:$L$117&gt;=AM$5))=0,"",INDEX(Plan!$A$5:$A$117,SUMPRODUCT(((Plan!$I$5:$I$117="B")+(Plan!$I$5:$I$117="A+B"))*(Plan!$K$5:$K$117&lt;AM$5)*(Plan!$L$5:$L$117&gt;=AM$5)*(ROW(Plan!$A$5:$A$117)-4))))</f>
        <v/>
      </c>
      <c r="AN7" s="26">
        <f>IF(SUMPRODUCT(((Plan!$I$5:$I$117="B")+(Plan!$I$5:$I$117="A+B"))*(Plan!$K$5:$K$117&lt;AN$5)*(Plan!$L$5:$L$117&gt;=AN$5))=0,"",INDEX(Plan!$A$5:$A$117,SUMPRODUCT(((Plan!$I$5:$I$117="B")+(Plan!$I$5:$I$117="A+B"))*(Plan!$K$5:$K$117&lt;AN$5)*(Plan!$L$5:$L$117&gt;=AN$5)*(ROW(Plan!$A$5:$A$117)-4))))</f>
        <v/>
      </c>
      <c r="AO7" s="26">
        <f>IF(SUMPRODUCT(((Plan!$I$5:$I$117="B")+(Plan!$I$5:$I$117="A+B"))*(Plan!$K$5:$K$117&lt;AO$5)*(Plan!$L$5:$L$117&gt;=AO$5))=0,"",INDEX(Plan!$A$5:$A$117,SUMPRODUCT(((Plan!$I$5:$I$117="B")+(Plan!$I$5:$I$117="A+B"))*(Plan!$K$5:$K$117&lt;AO$5)*(Plan!$L$5:$L$117&gt;=AO$5)*(ROW(Plan!$A$5:$A$117)-4))))</f>
        <v/>
      </c>
      <c r="AP7" s="26">
        <f>IF(SUMPRODUCT(((Plan!$I$5:$I$117="B")+(Plan!$I$5:$I$117="A+B"))*(Plan!$K$5:$K$117&lt;AP$5)*(Plan!$L$5:$L$117&gt;=AP$5))=0,"",INDEX(Plan!$A$5:$A$117,SUMPRODUCT(((Plan!$I$5:$I$117="B")+(Plan!$I$5:$I$117="A+B"))*(Plan!$K$5:$K$117&lt;AP$5)*(Plan!$L$5:$L$117&gt;=AP$5)*(ROW(Plan!$A$5:$A$117)-4))))</f>
        <v/>
      </c>
      <c r="AQ7" s="26">
        <f>IF(SUMPRODUCT(((Plan!$I$5:$I$117="B")+(Plan!$I$5:$I$117="A+B"))*(Plan!$K$5:$K$117&lt;AQ$5)*(Plan!$L$5:$L$117&gt;=AQ$5))=0,"",INDEX(Plan!$A$5:$A$117,SUMPRODUCT(((Plan!$I$5:$I$117="B")+(Plan!$I$5:$I$117="A+B"))*(Plan!$K$5:$K$117&lt;AQ$5)*(Plan!$L$5:$L$117&gt;=AQ$5)*(ROW(Plan!$A$5:$A$117)-4))))</f>
        <v/>
      </c>
      <c r="AR7" s="26">
        <f>IF(SUMPRODUCT(((Plan!$I$5:$I$117="B")+(Plan!$I$5:$I$117="A+B"))*(Plan!$K$5:$K$117&lt;AR$5)*(Plan!$L$5:$L$117&gt;=AR$5))=0,"",INDEX(Plan!$A$5:$A$117,SUMPRODUCT(((Plan!$I$5:$I$117="B")+(Plan!$I$5:$I$117="A+B"))*(Plan!$K$5:$K$117&lt;AR$5)*(Plan!$L$5:$L$117&gt;=AR$5)*(ROW(Plan!$A$5:$A$117)-4))))</f>
        <v/>
      </c>
      <c r="AS7" s="26">
        <f>IF(SUMPRODUCT(((Plan!$I$5:$I$117="B")+(Plan!$I$5:$I$117="A+B"))*(Plan!$K$5:$K$117&lt;AS$5)*(Plan!$L$5:$L$117&gt;=AS$5))=0,"",INDEX(Plan!$A$5:$A$117,SUMPRODUCT(((Plan!$I$5:$I$117="B")+(Plan!$I$5:$I$117="A+B"))*(Plan!$K$5:$K$117&lt;AS$5)*(Plan!$L$5:$L$117&gt;=AS$5)*(ROW(Plan!$A$5:$A$117)-4))))</f>
        <v/>
      </c>
      <c r="AT7" s="26">
        <f>IF(SUMPRODUCT(((Plan!$I$5:$I$117="B")+(Plan!$I$5:$I$117="A+B"))*(Plan!$K$5:$K$117&lt;AT$5)*(Plan!$L$5:$L$117&gt;=AT$5))=0,"",INDEX(Plan!$A$5:$A$117,SUMPRODUCT(((Plan!$I$5:$I$117="B")+(Plan!$I$5:$I$117="A+B"))*(Plan!$K$5:$K$117&lt;AT$5)*(Plan!$L$5:$L$117&gt;=AT$5)*(ROW(Plan!$A$5:$A$117)-4))))</f>
        <v/>
      </c>
      <c r="AU7" s="26">
        <f>IF(SUMPRODUCT(((Plan!$I$5:$I$117="B")+(Plan!$I$5:$I$117="A+B"))*(Plan!$K$5:$K$117&lt;AU$5)*(Plan!$L$5:$L$117&gt;=AU$5))=0,"",INDEX(Plan!$A$5:$A$117,SUMPRODUCT(((Plan!$I$5:$I$117="B")+(Plan!$I$5:$I$117="A+B"))*(Plan!$K$5:$K$117&lt;AU$5)*(Plan!$L$5:$L$117&gt;=AU$5)*(ROW(Plan!$A$5:$A$117)-4))))</f>
        <v/>
      </c>
      <c r="AV7" s="26">
        <f>IF(SUMPRODUCT(((Plan!$I$5:$I$117="B")+(Plan!$I$5:$I$117="A+B"))*(Plan!$K$5:$K$117&lt;AV$5)*(Plan!$L$5:$L$117&gt;=AV$5))=0,"",INDEX(Plan!$A$5:$A$117,SUMPRODUCT(((Plan!$I$5:$I$117="B")+(Plan!$I$5:$I$117="A+B"))*(Plan!$K$5:$K$117&lt;AV$5)*(Plan!$L$5:$L$117&gt;=AV$5)*(ROW(Plan!$A$5:$A$117)-4))))</f>
        <v/>
      </c>
      <c r="AW7" s="26">
        <f>IF(SUMPRODUCT(((Plan!$I$5:$I$117="B")+(Plan!$I$5:$I$117="A+B"))*(Plan!$K$5:$K$117&lt;AW$5)*(Plan!$L$5:$L$117&gt;=AW$5))=0,"",INDEX(Plan!$A$5:$A$117,SUMPRODUCT(((Plan!$I$5:$I$117="B")+(Plan!$I$5:$I$117="A+B"))*(Plan!$K$5:$K$117&lt;AW$5)*(Plan!$L$5:$L$117&gt;=AW$5)*(ROW(Plan!$A$5:$A$117)-4))))</f>
        <v/>
      </c>
      <c r="AX7" s="26">
        <f>IF(SUMPRODUCT(((Plan!$I$5:$I$117="B")+(Plan!$I$5:$I$117="A+B"))*(Plan!$K$5:$K$117&lt;AX$5)*(Plan!$L$5:$L$117&gt;=AX$5))=0,"",INDEX(Plan!$A$5:$A$117,SUMPRODUCT(((Plan!$I$5:$I$117="B")+(Plan!$I$5:$I$117="A+B"))*(Plan!$K$5:$K$117&lt;AX$5)*(Plan!$L$5:$L$117&gt;=AX$5)*(ROW(Plan!$A$5:$A$117)-4))))</f>
        <v/>
      </c>
      <c r="AY7" s="26">
        <f>IF(SUMPRODUCT(((Plan!$I$5:$I$117="B")+(Plan!$I$5:$I$117="A+B"))*(Plan!$K$5:$K$117&lt;AY$5)*(Plan!$L$5:$L$117&gt;=AY$5))=0,"",INDEX(Plan!$A$5:$A$117,SUMPRODUCT(((Plan!$I$5:$I$117="B")+(Plan!$I$5:$I$117="A+B"))*(Plan!$K$5:$K$117&lt;AY$5)*(Plan!$L$5:$L$117&gt;=AY$5)*(ROW(Plan!$A$5:$A$117)-4))))</f>
        <v/>
      </c>
      <c r="AZ7" s="26">
        <f>IF(SUMPRODUCT(((Plan!$I$5:$I$117="B")+(Plan!$I$5:$I$117="A+B"))*(Plan!$K$5:$K$117&lt;AZ$5)*(Plan!$L$5:$L$117&gt;=AZ$5))=0,"",INDEX(Plan!$A$5:$A$117,SUMPRODUCT(((Plan!$I$5:$I$117="B")+(Plan!$I$5:$I$117="A+B"))*(Plan!$K$5:$K$117&lt;AZ$5)*(Plan!$L$5:$L$117&gt;=AZ$5)*(ROW(Plan!$A$5:$A$117)-4))))</f>
        <v/>
      </c>
      <c r="BA7" s="26">
        <f>IF(SUMPRODUCT(((Plan!$I$5:$I$117="B")+(Plan!$I$5:$I$117="A+B"))*(Plan!$K$5:$K$117&lt;BA$5)*(Plan!$L$5:$L$117&gt;=BA$5))=0,"",INDEX(Plan!$A$5:$A$117,SUMPRODUCT(((Plan!$I$5:$I$117="B")+(Plan!$I$5:$I$117="A+B"))*(Plan!$K$5:$K$117&lt;BA$5)*(Plan!$L$5:$L$117&gt;=BA$5)*(ROW(Plan!$A$5:$A$117)-4))))</f>
        <v/>
      </c>
      <c r="BB7" s="26">
        <f>IF(SUMPRODUCT(((Plan!$I$5:$I$117="B")+(Plan!$I$5:$I$117="A+B"))*(Plan!$K$5:$K$117&lt;BB$5)*(Plan!$L$5:$L$117&gt;=BB$5))=0,"",INDEX(Plan!$A$5:$A$117,SUMPRODUCT(((Plan!$I$5:$I$117="B")+(Plan!$I$5:$I$117="A+B"))*(Plan!$K$5:$K$117&lt;BB$5)*(Plan!$L$5:$L$117&gt;=BB$5)*(ROW(Plan!$A$5:$A$117)-4))))</f>
        <v/>
      </c>
      <c r="BC7" s="26">
        <f>IF(SUMPRODUCT(((Plan!$I$5:$I$117="B")+(Plan!$I$5:$I$117="A+B"))*(Plan!$K$5:$K$117&lt;BC$5)*(Plan!$L$5:$L$117&gt;=BC$5))=0,"",INDEX(Plan!$A$5:$A$117,SUMPRODUCT(((Plan!$I$5:$I$117="B")+(Plan!$I$5:$I$117="A+B"))*(Plan!$K$5:$K$117&lt;BC$5)*(Plan!$L$5:$L$117&gt;=BC$5)*(ROW(Plan!$A$5:$A$117)-4))))</f>
        <v/>
      </c>
      <c r="BD7" s="26">
        <f>IF(SUMPRODUCT(((Plan!$I$5:$I$117="B")+(Plan!$I$5:$I$117="A+B"))*(Plan!$K$5:$K$117&lt;BD$5)*(Plan!$L$5:$L$117&gt;=BD$5))=0,"",INDEX(Plan!$A$5:$A$117,SUMPRODUCT(((Plan!$I$5:$I$117="B")+(Plan!$I$5:$I$117="A+B"))*(Plan!$K$5:$K$117&lt;BD$5)*(Plan!$L$5:$L$117&gt;=BD$5)*(ROW(Plan!$A$5:$A$117)-4))))</f>
        <v/>
      </c>
      <c r="BE7" s="26">
        <f>IF(SUMPRODUCT(((Plan!$I$5:$I$117="B")+(Plan!$I$5:$I$117="A+B"))*(Plan!$K$5:$K$117&lt;BE$5)*(Plan!$L$5:$L$117&gt;=BE$5))=0,"",INDEX(Plan!$A$5:$A$117,SUMPRODUCT(((Plan!$I$5:$I$117="B")+(Plan!$I$5:$I$117="A+B"))*(Plan!$K$5:$K$117&lt;BE$5)*(Plan!$L$5:$L$117&gt;=BE$5)*(ROW(Plan!$A$5:$A$117)-4))))</f>
        <v/>
      </c>
      <c r="BF7" s="26">
        <f>IF(SUMPRODUCT(((Plan!$I$5:$I$117="B")+(Plan!$I$5:$I$117="A+B"))*(Plan!$K$5:$K$117&lt;BF$5)*(Plan!$L$5:$L$117&gt;=BF$5))=0,"",INDEX(Plan!$A$5:$A$117,SUMPRODUCT(((Plan!$I$5:$I$117="B")+(Plan!$I$5:$I$117="A+B"))*(Plan!$K$5:$K$117&lt;BF$5)*(Plan!$L$5:$L$117&gt;=BF$5)*(ROW(Plan!$A$5:$A$117)-4))))</f>
        <v/>
      </c>
      <c r="BG7" s="26">
        <f>IF(SUMPRODUCT(((Plan!$I$5:$I$117="B")+(Plan!$I$5:$I$117="A+B"))*(Plan!$K$5:$K$117&lt;BG$5)*(Plan!$L$5:$L$117&gt;=BG$5))=0,"",INDEX(Plan!$A$5:$A$117,SUMPRODUCT(((Plan!$I$5:$I$117="B")+(Plan!$I$5:$I$117="A+B"))*(Plan!$K$5:$K$117&lt;BG$5)*(Plan!$L$5:$L$117&gt;=BG$5)*(ROW(Plan!$A$5:$A$117)-4))))</f>
        <v/>
      </c>
      <c r="BH7" s="26">
        <f>IF(SUMPRODUCT(((Plan!$I$5:$I$117="B")+(Plan!$I$5:$I$117="A+B"))*(Plan!$K$5:$K$117&lt;BH$5)*(Plan!$L$5:$L$117&gt;=BH$5))=0,"",INDEX(Plan!$A$5:$A$117,SUMPRODUCT(((Plan!$I$5:$I$117="B")+(Plan!$I$5:$I$117="A+B"))*(Plan!$K$5:$K$117&lt;BH$5)*(Plan!$L$5:$L$117&gt;=BH$5)*(ROW(Plan!$A$5:$A$117)-4))))</f>
        <v/>
      </c>
      <c r="BI7" s="26">
        <f>IF(SUMPRODUCT(((Plan!$I$5:$I$117="B")+(Plan!$I$5:$I$117="A+B"))*(Plan!$K$5:$K$117&lt;BI$5)*(Plan!$L$5:$L$117&gt;=BI$5))=0,"",INDEX(Plan!$A$5:$A$117,SUMPRODUCT(((Plan!$I$5:$I$117="B")+(Plan!$I$5:$I$117="A+B"))*(Plan!$K$5:$K$117&lt;BI$5)*(Plan!$L$5:$L$117&gt;=BI$5)*(ROW(Plan!$A$5:$A$117)-4))))</f>
        <v/>
      </c>
      <c r="BJ7" s="26">
        <f>IF(SUMPRODUCT(((Plan!$I$5:$I$117="B")+(Plan!$I$5:$I$117="A+B"))*(Plan!$K$5:$K$117&lt;BJ$5)*(Plan!$L$5:$L$117&gt;=BJ$5))=0,"",INDEX(Plan!$A$5:$A$117,SUMPRODUCT(((Plan!$I$5:$I$117="B")+(Plan!$I$5:$I$117="A+B"))*(Plan!$K$5:$K$117&lt;BJ$5)*(Plan!$L$5:$L$117&gt;=BJ$5)*(ROW(Plan!$A$5:$A$117)-4))))</f>
        <v/>
      </c>
      <c r="BK7" s="26">
        <f>IF(SUMPRODUCT(((Plan!$I$5:$I$117="B")+(Plan!$I$5:$I$117="A+B"))*(Plan!$K$5:$K$117&lt;BK$5)*(Plan!$L$5:$L$117&gt;=BK$5))=0,"",INDEX(Plan!$A$5:$A$117,SUMPRODUCT(((Plan!$I$5:$I$117="B")+(Plan!$I$5:$I$117="A+B"))*(Plan!$K$5:$K$117&lt;BK$5)*(Plan!$L$5:$L$117&gt;=BK$5)*(ROW(Plan!$A$5:$A$117)-4))))</f>
        <v/>
      </c>
      <c r="BL7" s="26">
        <f>IF(SUMPRODUCT(((Plan!$I$5:$I$117="B")+(Plan!$I$5:$I$117="A+B"))*(Plan!$K$5:$K$117&lt;BL$5)*(Plan!$L$5:$L$117&gt;=BL$5))=0,"",INDEX(Plan!$A$5:$A$117,SUMPRODUCT(((Plan!$I$5:$I$117="B")+(Plan!$I$5:$I$117="A+B"))*(Plan!$K$5:$K$117&lt;BL$5)*(Plan!$L$5:$L$117&gt;=BL$5)*(ROW(Plan!$A$5:$A$117)-4))))</f>
        <v/>
      </c>
      <c r="BM7" s="26">
        <f>IF(SUMPRODUCT(((Plan!$I$5:$I$117="B")+(Plan!$I$5:$I$117="A+B"))*(Plan!$K$5:$K$117&lt;BM$5)*(Plan!$L$5:$L$117&gt;=BM$5))=0,"",INDEX(Plan!$A$5:$A$117,SUMPRODUCT(((Plan!$I$5:$I$117="B")+(Plan!$I$5:$I$117="A+B"))*(Plan!$K$5:$K$117&lt;BM$5)*(Plan!$L$5:$L$117&gt;=BM$5)*(ROW(Plan!$A$5:$A$117)-4))))</f>
        <v/>
      </c>
      <c r="BN7" s="26">
        <f>IF(SUMPRODUCT(((Plan!$I$5:$I$117="B")+(Plan!$I$5:$I$117="A+B"))*(Plan!$K$5:$K$117&lt;BN$5)*(Plan!$L$5:$L$117&gt;=BN$5))=0,"",INDEX(Plan!$A$5:$A$117,SUMPRODUCT(((Plan!$I$5:$I$117="B")+(Plan!$I$5:$I$117="A+B"))*(Plan!$K$5:$K$117&lt;BN$5)*(Plan!$L$5:$L$117&gt;=BN$5)*(ROW(Plan!$A$5:$A$117)-4))))</f>
        <v/>
      </c>
      <c r="BO7" s="26">
        <f>IF(SUMPRODUCT(((Plan!$I$5:$I$117="B")+(Plan!$I$5:$I$117="A+B"))*(Plan!$K$5:$K$117&lt;BO$5)*(Plan!$L$5:$L$117&gt;=BO$5))=0,"",INDEX(Plan!$A$5:$A$117,SUMPRODUCT(((Plan!$I$5:$I$117="B")+(Plan!$I$5:$I$117="A+B"))*(Plan!$K$5:$K$117&lt;BO$5)*(Plan!$L$5:$L$117&gt;=BO$5)*(ROW(Plan!$A$5:$A$117)-4))))</f>
        <v/>
      </c>
      <c r="BP7" s="26">
        <f>IF(SUMPRODUCT(((Plan!$I$5:$I$117="B")+(Plan!$I$5:$I$117="A+B"))*(Plan!$K$5:$K$117&lt;BP$5)*(Plan!$L$5:$L$117&gt;=BP$5))=0,"",INDEX(Plan!$A$5:$A$117,SUMPRODUCT(((Plan!$I$5:$I$117="B")+(Plan!$I$5:$I$117="A+B"))*(Plan!$K$5:$K$117&lt;BP$5)*(Plan!$L$5:$L$117&gt;=BP$5)*(ROW(Plan!$A$5:$A$117)-4))))</f>
        <v/>
      </c>
      <c r="BQ7" s="26">
        <f>IF(SUMPRODUCT(((Plan!$I$5:$I$117="B")+(Plan!$I$5:$I$117="A+B"))*(Plan!$K$5:$K$117&lt;BQ$5)*(Plan!$L$5:$L$117&gt;=BQ$5))=0,"",INDEX(Plan!$A$5:$A$117,SUMPRODUCT(((Plan!$I$5:$I$117="B")+(Plan!$I$5:$I$117="A+B"))*(Plan!$K$5:$K$117&lt;BQ$5)*(Plan!$L$5:$L$117&gt;=BQ$5)*(ROW(Plan!$A$5:$A$117)-4))))</f>
        <v/>
      </c>
      <c r="BR7" s="26">
        <f>IF(SUMPRODUCT(((Plan!$I$5:$I$117="B")+(Plan!$I$5:$I$117="A+B"))*(Plan!$K$5:$K$117&lt;BR$5)*(Plan!$L$5:$L$117&gt;=BR$5))=0,"",INDEX(Plan!$A$5:$A$117,SUMPRODUCT(((Plan!$I$5:$I$117="B")+(Plan!$I$5:$I$117="A+B"))*(Plan!$K$5:$K$117&lt;BR$5)*(Plan!$L$5:$L$117&gt;=BR$5)*(ROW(Plan!$A$5:$A$117)-4))))</f>
        <v/>
      </c>
      <c r="BS7" s="26">
        <f>IF(SUMPRODUCT(((Plan!$I$5:$I$117="B")+(Plan!$I$5:$I$117="A+B"))*(Plan!$K$5:$K$117&lt;BS$5)*(Plan!$L$5:$L$117&gt;=BS$5))=0,"",INDEX(Plan!$A$5:$A$117,SUMPRODUCT(((Plan!$I$5:$I$117="B")+(Plan!$I$5:$I$117="A+B"))*(Plan!$K$5:$K$117&lt;BS$5)*(Plan!$L$5:$L$117&gt;=BS$5)*(ROW(Plan!$A$5:$A$117)-4))))</f>
        <v/>
      </c>
      <c r="BT7" s="26">
        <f>IF(SUMPRODUCT(((Plan!$I$5:$I$117="B")+(Plan!$I$5:$I$117="A+B"))*(Plan!$K$5:$K$117&lt;BT$5)*(Plan!$L$5:$L$117&gt;=BT$5))=0,"",INDEX(Plan!$A$5:$A$117,SUMPRODUCT(((Plan!$I$5:$I$117="B")+(Plan!$I$5:$I$117="A+B"))*(Plan!$K$5:$K$117&lt;BT$5)*(Plan!$L$5:$L$117&gt;=BT$5)*(ROW(Plan!$A$5:$A$117)-4))))</f>
        <v/>
      </c>
      <c r="BU7" s="26">
        <f>IF(SUMPRODUCT(((Plan!$I$5:$I$117="B")+(Plan!$I$5:$I$117="A+B"))*(Plan!$K$5:$K$117&lt;BU$5)*(Plan!$L$5:$L$117&gt;=BU$5))=0,"",INDEX(Plan!$A$5:$A$117,SUMPRODUCT(((Plan!$I$5:$I$117="B")+(Plan!$I$5:$I$117="A+B"))*(Plan!$K$5:$K$117&lt;BU$5)*(Plan!$L$5:$L$117&gt;=BU$5)*(ROW(Plan!$A$5:$A$117)-4))))</f>
        <v/>
      </c>
      <c r="BV7" s="26">
        <f>IF(SUMPRODUCT(((Plan!$I$5:$I$117="B")+(Plan!$I$5:$I$117="A+B"))*(Plan!$K$5:$K$117&lt;BV$5)*(Plan!$L$5:$L$117&gt;=BV$5))=0,"",INDEX(Plan!$A$5:$A$117,SUMPRODUCT(((Plan!$I$5:$I$117="B")+(Plan!$I$5:$I$117="A+B"))*(Plan!$K$5:$K$117&lt;BV$5)*(Plan!$L$5:$L$117&gt;=BV$5)*(ROW(Plan!$A$5:$A$117)-4))))</f>
        <v/>
      </c>
      <c r="BW7" s="26">
        <f>IF(SUMPRODUCT(((Plan!$I$5:$I$117="B")+(Plan!$I$5:$I$117="A+B"))*(Plan!$K$5:$K$117&lt;BW$5)*(Plan!$L$5:$L$117&gt;=BW$5))=0,"",INDEX(Plan!$A$5:$A$117,SUMPRODUCT(((Plan!$I$5:$I$117="B")+(Plan!$I$5:$I$117="A+B"))*(Plan!$K$5:$K$117&lt;BW$5)*(Plan!$L$5:$L$117&gt;=BW$5)*(ROW(Plan!$A$5:$A$117)-4))))</f>
        <v/>
      </c>
      <c r="BX7" s="26">
        <f>IF(SUMPRODUCT(((Plan!$I$5:$I$117="B")+(Plan!$I$5:$I$117="A+B"))*(Plan!$K$5:$K$117&lt;BX$5)*(Plan!$L$5:$L$117&gt;=BX$5))=0,"",INDEX(Plan!$A$5:$A$117,SUMPRODUCT(((Plan!$I$5:$I$117="B")+(Plan!$I$5:$I$117="A+B"))*(Plan!$K$5:$K$117&lt;BX$5)*(Plan!$L$5:$L$117&gt;=BX$5)*(ROW(Plan!$A$5:$A$117)-4))))</f>
        <v/>
      </c>
      <c r="BY7" s="26">
        <f>IF(SUMPRODUCT(((Plan!$I$5:$I$117="B")+(Plan!$I$5:$I$117="A+B"))*(Plan!$K$5:$K$117&lt;BY$5)*(Plan!$L$5:$L$117&gt;=BY$5))=0,"",INDEX(Plan!$A$5:$A$117,SUMPRODUCT(((Plan!$I$5:$I$117="B")+(Plan!$I$5:$I$117="A+B"))*(Plan!$K$5:$K$117&lt;BY$5)*(Plan!$L$5:$L$117&gt;=BY$5)*(ROW(Plan!$A$5:$A$117)-4))))</f>
        <v/>
      </c>
      <c r="BZ7" s="26">
        <f>IF(SUMPRODUCT(((Plan!$I$5:$I$117="B")+(Plan!$I$5:$I$117="A+B"))*(Plan!$K$5:$K$117&lt;BZ$5)*(Plan!$L$5:$L$117&gt;=BZ$5))=0,"",INDEX(Plan!$A$5:$A$117,SUMPRODUCT(((Plan!$I$5:$I$117="B")+(Plan!$I$5:$I$117="A+B"))*(Plan!$K$5:$K$117&lt;BZ$5)*(Plan!$L$5:$L$117&gt;=BZ$5)*(ROW(Plan!$A$5:$A$117)-4))))</f>
        <v/>
      </c>
      <c r="CA7" s="26">
        <f>IF(SUMPRODUCT(((Plan!$I$5:$I$117="B")+(Plan!$I$5:$I$117="A+B"))*(Plan!$K$5:$K$117&lt;CA$5)*(Plan!$L$5:$L$117&gt;=CA$5))=0,"",INDEX(Plan!$A$5:$A$117,SUMPRODUCT(((Plan!$I$5:$I$117="B")+(Plan!$I$5:$I$117="A+B"))*(Plan!$K$5:$K$117&lt;CA$5)*(Plan!$L$5:$L$117&gt;=CA$5)*(ROW(Plan!$A$5:$A$117)-4))))</f>
        <v/>
      </c>
      <c r="CB7" s="26">
        <f>IF(SUMPRODUCT(((Plan!$I$5:$I$117="B")+(Plan!$I$5:$I$117="A+B"))*(Plan!$K$5:$K$117&lt;CB$5)*(Plan!$L$5:$L$117&gt;=CB$5))=0,"",INDEX(Plan!$A$5:$A$117,SUMPRODUCT(((Plan!$I$5:$I$117="B")+(Plan!$I$5:$I$117="A+B"))*(Plan!$K$5:$K$117&lt;CB$5)*(Plan!$L$5:$L$117&gt;=CB$5)*(ROW(Plan!$A$5:$A$117)-4))))</f>
        <v/>
      </c>
      <c r="CC7" s="26">
        <f>IF(SUMPRODUCT(((Plan!$I$5:$I$117="B")+(Plan!$I$5:$I$117="A+B"))*(Plan!$K$5:$K$117&lt;CC$5)*(Plan!$L$5:$L$117&gt;=CC$5))=0,"",INDEX(Plan!$A$5:$A$117,SUMPRODUCT(((Plan!$I$5:$I$117="B")+(Plan!$I$5:$I$117="A+B"))*(Plan!$K$5:$K$117&lt;CC$5)*(Plan!$L$5:$L$117&gt;=CC$5)*(ROW(Plan!$A$5:$A$117)-4))))</f>
        <v/>
      </c>
      <c r="CD7" s="26">
        <f>IF(SUMPRODUCT(((Plan!$I$5:$I$117="B")+(Plan!$I$5:$I$117="A+B"))*(Plan!$K$5:$K$117&lt;CD$5)*(Plan!$L$5:$L$117&gt;=CD$5))=0,"",INDEX(Plan!$A$5:$A$117,SUMPRODUCT(((Plan!$I$5:$I$117="B")+(Plan!$I$5:$I$117="A+B"))*(Plan!$K$5:$K$117&lt;CD$5)*(Plan!$L$5:$L$117&gt;=CD$5)*(ROW(Plan!$A$5:$A$117)-4))))</f>
        <v/>
      </c>
      <c r="CE7" s="26">
        <f>IF(SUMPRODUCT(((Plan!$I$5:$I$117="B")+(Plan!$I$5:$I$117="A+B"))*(Plan!$K$5:$K$117&lt;CE$5)*(Plan!$L$5:$L$117&gt;=CE$5))=0,"",INDEX(Plan!$A$5:$A$117,SUMPRODUCT(((Plan!$I$5:$I$117="B")+(Plan!$I$5:$I$117="A+B"))*(Plan!$K$5:$K$117&lt;CE$5)*(Plan!$L$5:$L$117&gt;=CE$5)*(ROW(Plan!$A$5:$A$117)-4))))</f>
        <v/>
      </c>
      <c r="CF7" s="26">
        <f>IF(SUMPRODUCT(((Plan!$I$5:$I$117="B")+(Plan!$I$5:$I$117="A+B"))*(Plan!$K$5:$K$117&lt;CF$5)*(Plan!$L$5:$L$117&gt;=CF$5))=0,"",INDEX(Plan!$A$5:$A$117,SUMPRODUCT(((Plan!$I$5:$I$117="B")+(Plan!$I$5:$I$117="A+B"))*(Plan!$K$5:$K$117&lt;CF$5)*(Plan!$L$5:$L$117&gt;=CF$5)*(ROW(Plan!$A$5:$A$117)-4))))</f>
        <v/>
      </c>
      <c r="CG7" s="26">
        <f>IF(SUMPRODUCT(((Plan!$I$5:$I$117="B")+(Plan!$I$5:$I$117="A+B"))*(Plan!$K$5:$K$117&lt;CG$5)*(Plan!$L$5:$L$117&gt;=CG$5))=0,"",INDEX(Plan!$A$5:$A$117,SUMPRODUCT(((Plan!$I$5:$I$117="B")+(Plan!$I$5:$I$117="A+B"))*(Plan!$K$5:$K$117&lt;CG$5)*(Plan!$L$5:$L$117&gt;=CG$5)*(ROW(Plan!$A$5:$A$117)-4))))</f>
        <v/>
      </c>
      <c r="CH7" s="26">
        <f>IF(SUMPRODUCT(((Plan!$I$5:$I$117="B")+(Plan!$I$5:$I$117="A+B"))*(Plan!$K$5:$K$117&lt;CH$5)*(Plan!$L$5:$L$117&gt;=CH$5))=0,"",INDEX(Plan!$A$5:$A$117,SUMPRODUCT(((Plan!$I$5:$I$117="B")+(Plan!$I$5:$I$117="A+B"))*(Plan!$K$5:$K$117&lt;CH$5)*(Plan!$L$5:$L$117&gt;=CH$5)*(ROW(Plan!$A$5:$A$117)-4))))</f>
        <v/>
      </c>
      <c r="CI7" s="26">
        <f>IF(SUMPRODUCT(((Plan!$I$5:$I$117="B")+(Plan!$I$5:$I$117="A+B"))*(Plan!$K$5:$K$117&lt;CI$5)*(Plan!$L$5:$L$117&gt;=CI$5))=0,"",INDEX(Plan!$A$5:$A$117,SUMPRODUCT(((Plan!$I$5:$I$117="B")+(Plan!$I$5:$I$117="A+B"))*(Plan!$K$5:$K$117&lt;CI$5)*(Plan!$L$5:$L$117&gt;=CI$5)*(ROW(Plan!$A$5:$A$117)-4))))</f>
        <v/>
      </c>
      <c r="CJ7" s="26">
        <f>IF(SUMPRODUCT(((Plan!$I$5:$I$117="B")+(Plan!$I$5:$I$117="A+B"))*(Plan!$K$5:$K$117&lt;CJ$5)*(Plan!$L$5:$L$117&gt;=CJ$5))=0,"",INDEX(Plan!$A$5:$A$117,SUMPRODUCT(((Plan!$I$5:$I$117="B")+(Plan!$I$5:$I$117="A+B"))*(Plan!$K$5:$K$117&lt;CJ$5)*(Plan!$L$5:$L$117&gt;=CJ$5)*(ROW(Plan!$A$5:$A$117)-4))))</f>
        <v/>
      </c>
      <c r="CK7" s="26">
        <f>IF(SUMPRODUCT(((Plan!$I$5:$I$117="B")+(Plan!$I$5:$I$117="A+B"))*(Plan!$K$5:$K$117&lt;CK$5)*(Plan!$L$5:$L$117&gt;=CK$5))=0,"",INDEX(Plan!$A$5:$A$117,SUMPRODUCT(((Plan!$I$5:$I$117="B")+(Plan!$I$5:$I$117="A+B"))*(Plan!$K$5:$K$117&lt;CK$5)*(Plan!$L$5:$L$117&gt;=CK$5)*(ROW(Plan!$A$5:$A$117)-4))))</f>
        <v/>
      </c>
      <c r="CL7" s="26">
        <f>IF(SUMPRODUCT(((Plan!$I$5:$I$117="B")+(Plan!$I$5:$I$117="A+B"))*(Plan!$K$5:$K$117&lt;CL$5)*(Plan!$L$5:$L$117&gt;=CL$5))=0,"",INDEX(Plan!$A$5:$A$117,SUMPRODUCT(((Plan!$I$5:$I$117="B")+(Plan!$I$5:$I$117="A+B"))*(Plan!$K$5:$K$117&lt;CL$5)*(Plan!$L$5:$L$117&gt;=CL$5)*(ROW(Plan!$A$5:$A$117)-4))))</f>
        <v/>
      </c>
      <c r="CM7" s="26">
        <f>IF(SUMPRODUCT(((Plan!$I$5:$I$117="B")+(Plan!$I$5:$I$117="A+B"))*(Plan!$K$5:$K$117&lt;CM$5)*(Plan!$L$5:$L$117&gt;=CM$5))=0,"",INDEX(Plan!$A$5:$A$117,SUMPRODUCT(((Plan!$I$5:$I$117="B")+(Plan!$I$5:$I$117="A+B"))*(Plan!$K$5:$K$117&lt;CM$5)*(Plan!$L$5:$L$117&gt;=CM$5)*(ROW(Plan!$A$5:$A$117)-4))))</f>
        <v/>
      </c>
      <c r="CN7" s="26">
        <f>IF(SUMPRODUCT(((Plan!$I$5:$I$117="B")+(Plan!$I$5:$I$117="A+B"))*(Plan!$K$5:$K$117&lt;CN$5)*(Plan!$L$5:$L$117&gt;=CN$5))=0,"",INDEX(Plan!$A$5:$A$117,SUMPRODUCT(((Plan!$I$5:$I$117="B")+(Plan!$I$5:$I$117="A+B"))*(Plan!$K$5:$K$117&lt;CN$5)*(Plan!$L$5:$L$117&gt;=CN$5)*(ROW(Plan!$A$5:$A$117)-4))))</f>
        <v/>
      </c>
      <c r="CO7" s="26">
        <f>IF(SUMPRODUCT(((Plan!$I$5:$I$117="B")+(Plan!$I$5:$I$117="A+B"))*(Plan!$K$5:$K$117&lt;CO$5)*(Plan!$L$5:$L$117&gt;=CO$5))=0,"",INDEX(Plan!$A$5:$A$117,SUMPRODUCT(((Plan!$I$5:$I$117="B")+(Plan!$I$5:$I$117="A+B"))*(Plan!$K$5:$K$117&lt;CO$5)*(Plan!$L$5:$L$117&gt;=CO$5)*(ROW(Plan!$A$5:$A$117)-4))))</f>
        <v/>
      </c>
      <c r="CP7" s="26">
        <f>IF(SUMPRODUCT(((Plan!$I$5:$I$117="B")+(Plan!$I$5:$I$117="A+B"))*(Plan!$K$5:$K$117&lt;CP$5)*(Plan!$L$5:$L$117&gt;=CP$5))=0,"",INDEX(Plan!$A$5:$A$117,SUMPRODUCT(((Plan!$I$5:$I$117="B")+(Plan!$I$5:$I$117="A+B"))*(Plan!$K$5:$K$117&lt;CP$5)*(Plan!$L$5:$L$117&gt;=CP$5)*(ROW(Plan!$A$5:$A$117)-4))))</f>
        <v/>
      </c>
      <c r="CQ7" s="26">
        <f>IF(SUMPRODUCT(((Plan!$I$5:$I$117="B")+(Plan!$I$5:$I$117="A+B"))*(Plan!$K$5:$K$117&lt;CQ$5)*(Plan!$L$5:$L$117&gt;=CQ$5))=0,"",INDEX(Plan!$A$5:$A$117,SUMPRODUCT(((Plan!$I$5:$I$117="B")+(Plan!$I$5:$I$117="A+B"))*(Plan!$K$5:$K$117&lt;CQ$5)*(Plan!$L$5:$L$117&gt;=CQ$5)*(ROW(Plan!$A$5:$A$117)-4))))</f>
        <v/>
      </c>
      <c r="CR7" s="26">
        <f>IF(SUMPRODUCT(((Plan!$I$5:$I$117="B")+(Plan!$I$5:$I$117="A+B"))*(Plan!$K$5:$K$117&lt;CR$5)*(Plan!$L$5:$L$117&gt;=CR$5))=0,"",INDEX(Plan!$A$5:$A$117,SUMPRODUCT(((Plan!$I$5:$I$117="B")+(Plan!$I$5:$I$117="A+B"))*(Plan!$K$5:$K$117&lt;CR$5)*(Plan!$L$5:$L$117&gt;=CR$5)*(ROW(Plan!$A$5:$A$117)-4))))</f>
        <v/>
      </c>
      <c r="CS7" s="26">
        <f>IF(SUMPRODUCT(((Plan!$I$5:$I$117="B")+(Plan!$I$5:$I$117="A+B"))*(Plan!$K$5:$K$117&lt;CS$5)*(Plan!$L$5:$L$117&gt;=CS$5))=0,"",INDEX(Plan!$A$5:$A$117,SUMPRODUCT(((Plan!$I$5:$I$117="B")+(Plan!$I$5:$I$117="A+B"))*(Plan!$K$5:$K$117&lt;CS$5)*(Plan!$L$5:$L$117&gt;=CS$5)*(ROW(Plan!$A$5:$A$117)-4))))</f>
        <v/>
      </c>
      <c r="CT7" s="26">
        <f>IF(SUMPRODUCT(((Plan!$I$5:$I$117="B")+(Plan!$I$5:$I$117="A+B"))*(Plan!$K$5:$K$117&lt;CT$5)*(Plan!$L$5:$L$117&gt;=CT$5))=0,"",INDEX(Plan!$A$5:$A$117,SUMPRODUCT(((Plan!$I$5:$I$117="B")+(Plan!$I$5:$I$117="A+B"))*(Plan!$K$5:$K$117&lt;CT$5)*(Plan!$L$5:$L$117&gt;=CT$5)*(ROW(Plan!$A$5:$A$117)-4))))</f>
        <v/>
      </c>
      <c r="CU7" s="26">
        <f>IF(SUMPRODUCT(((Plan!$I$5:$I$117="B")+(Plan!$I$5:$I$117="A+B"))*(Plan!$K$5:$K$117&lt;CU$5)*(Plan!$L$5:$L$117&gt;=CU$5))=0,"",INDEX(Plan!$A$5:$A$117,SUMPRODUCT(((Plan!$I$5:$I$117="B")+(Plan!$I$5:$I$117="A+B"))*(Plan!$K$5:$K$117&lt;CU$5)*(Plan!$L$5:$L$117&gt;=CU$5)*(ROW(Plan!$A$5:$A$117)-4))))</f>
        <v/>
      </c>
      <c r="CV7" s="26">
        <f>IF(SUMPRODUCT(((Plan!$I$5:$I$117="B")+(Plan!$I$5:$I$117="A+B"))*(Plan!$K$5:$K$117&lt;CV$5)*(Plan!$L$5:$L$117&gt;=CV$5))=0,"",INDEX(Plan!$A$5:$A$117,SUMPRODUCT(((Plan!$I$5:$I$117="B")+(Plan!$I$5:$I$117="A+B"))*(Plan!$K$5:$K$117&lt;CV$5)*(Plan!$L$5:$L$117&gt;=CV$5)*(ROW(Plan!$A$5:$A$117)-4))))</f>
        <v/>
      </c>
      <c r="CW7" s="26">
        <f>IF(SUMPRODUCT(((Plan!$I$5:$I$117="B")+(Plan!$I$5:$I$117="A+B"))*(Plan!$K$5:$K$117&lt;CW$5)*(Plan!$L$5:$L$117&gt;=CW$5))=0,"",INDEX(Plan!$A$5:$A$117,SUMPRODUCT(((Plan!$I$5:$I$117="B")+(Plan!$I$5:$I$117="A+B"))*(Plan!$K$5:$K$117&lt;CW$5)*(Plan!$L$5:$L$117&gt;=CW$5)*(ROW(Plan!$A$5:$A$117)-4))))</f>
        <v/>
      </c>
      <c r="CX7" s="26">
        <f>IF(SUMPRODUCT(((Plan!$I$5:$I$117="B")+(Plan!$I$5:$I$117="A+B"))*(Plan!$K$5:$K$117&lt;CX$5)*(Plan!$L$5:$L$117&gt;=CX$5))=0,"",INDEX(Plan!$A$5:$A$117,SUMPRODUCT(((Plan!$I$5:$I$117="B")+(Plan!$I$5:$I$117="A+B"))*(Plan!$K$5:$K$117&lt;CX$5)*(Plan!$L$5:$L$117&gt;=CX$5)*(ROW(Plan!$A$5:$A$117)-4))))</f>
        <v/>
      </c>
      <c r="CY7" s="26">
        <f>IF(SUMPRODUCT(((Plan!$I$5:$I$117="B")+(Plan!$I$5:$I$117="A+B"))*(Plan!$K$5:$K$117&lt;CY$5)*(Plan!$L$5:$L$117&gt;=CY$5))=0,"",INDEX(Plan!$A$5:$A$117,SUMPRODUCT(((Plan!$I$5:$I$117="B")+(Plan!$I$5:$I$117="A+B"))*(Plan!$K$5:$K$117&lt;CY$5)*(Plan!$L$5:$L$117&gt;=CY$5)*(ROW(Plan!$A$5:$A$117)-4))))</f>
        <v/>
      </c>
      <c r="CZ7" s="26">
        <f>IF(SUMPRODUCT(((Plan!$I$5:$I$117="B")+(Plan!$I$5:$I$117="A+B"))*(Plan!$K$5:$K$117&lt;CZ$5)*(Plan!$L$5:$L$117&gt;=CZ$5))=0,"",INDEX(Plan!$A$5:$A$117,SUMPRODUCT(((Plan!$I$5:$I$117="B")+(Plan!$I$5:$I$117="A+B"))*(Plan!$K$5:$K$117&lt;CZ$5)*(Plan!$L$5:$L$117&gt;=CZ$5)*(ROW(Plan!$A$5:$A$117)-4))))</f>
        <v/>
      </c>
      <c r="DA7" s="26">
        <f>IF(SUMPRODUCT(((Plan!$I$5:$I$117="B")+(Plan!$I$5:$I$117="A+B"))*(Plan!$K$5:$K$117&lt;DA$5)*(Plan!$L$5:$L$117&gt;=DA$5))=0,"",INDEX(Plan!$A$5:$A$117,SUMPRODUCT(((Plan!$I$5:$I$117="B")+(Plan!$I$5:$I$117="A+B"))*(Plan!$K$5:$K$117&lt;DA$5)*(Plan!$L$5:$L$117&gt;=DA$5)*(ROW(Plan!$A$5:$A$117)-4))))</f>
        <v/>
      </c>
      <c r="DB7" s="26">
        <f>IF(SUMPRODUCT(((Plan!$I$5:$I$117="B")+(Plan!$I$5:$I$117="A+B"))*(Plan!$K$5:$K$117&lt;DB$5)*(Plan!$L$5:$L$117&gt;=DB$5))=0,"",INDEX(Plan!$A$5:$A$117,SUMPRODUCT(((Plan!$I$5:$I$117="B")+(Plan!$I$5:$I$117="A+B"))*(Plan!$K$5:$K$117&lt;DB$5)*(Plan!$L$5:$L$117&gt;=DB$5)*(ROW(Plan!$A$5:$A$117)-4))))</f>
        <v/>
      </c>
      <c r="DC7" s="26">
        <f>IF(SUMPRODUCT(((Plan!$I$5:$I$117="B")+(Plan!$I$5:$I$117="A+B"))*(Plan!$K$5:$K$117&lt;DC$5)*(Plan!$L$5:$L$117&gt;=DC$5))=0,"",INDEX(Plan!$A$5:$A$117,SUMPRODUCT(((Plan!$I$5:$I$117="B")+(Plan!$I$5:$I$117="A+B"))*(Plan!$K$5:$K$117&lt;DC$5)*(Plan!$L$5:$L$117&gt;=DC$5)*(ROW(Plan!$A$5:$A$117)-4))))</f>
        <v/>
      </c>
      <c r="DD7" s="26">
        <f>IF(SUMPRODUCT(((Plan!$I$5:$I$117="B")+(Plan!$I$5:$I$117="A+B"))*(Plan!$K$5:$K$117&lt;DD$5)*(Plan!$L$5:$L$117&gt;=DD$5))=0,"",INDEX(Plan!$A$5:$A$117,SUMPRODUCT(((Plan!$I$5:$I$117="B")+(Plan!$I$5:$I$117="A+B"))*(Plan!$K$5:$K$117&lt;DD$5)*(Plan!$L$5:$L$117&gt;=DD$5)*(ROW(Plan!$A$5:$A$117)-4))))</f>
        <v/>
      </c>
      <c r="DE7" s="26">
        <f>IF(SUMPRODUCT(((Plan!$I$5:$I$117="B")+(Plan!$I$5:$I$117="A+B"))*(Plan!$K$5:$K$117&lt;DE$5)*(Plan!$L$5:$L$117&gt;=DE$5))=0,"",INDEX(Plan!$A$5:$A$117,SUMPRODUCT(((Plan!$I$5:$I$117="B")+(Plan!$I$5:$I$117="A+B"))*(Plan!$K$5:$K$117&lt;DE$5)*(Plan!$L$5:$L$117&gt;=DE$5)*(ROW(Plan!$A$5:$A$117)-4))))</f>
        <v/>
      </c>
      <c r="DF7" s="26">
        <f>IF(SUMPRODUCT(((Plan!$I$5:$I$117="B")+(Plan!$I$5:$I$117="A+B"))*(Plan!$K$5:$K$117&lt;DF$5)*(Plan!$L$5:$L$117&gt;=DF$5))=0,"",INDEX(Plan!$A$5:$A$117,SUMPRODUCT(((Plan!$I$5:$I$117="B")+(Plan!$I$5:$I$117="A+B"))*(Plan!$K$5:$K$117&lt;DF$5)*(Plan!$L$5:$L$117&gt;=DF$5)*(ROW(Plan!$A$5:$A$117)-4))))</f>
        <v/>
      </c>
      <c r="DG7" s="26">
        <f>IF(SUMPRODUCT(((Plan!$I$5:$I$117="B")+(Plan!$I$5:$I$117="A+B"))*(Plan!$K$5:$K$117&lt;DG$5)*(Plan!$L$5:$L$117&gt;=DG$5))=0,"",INDEX(Plan!$A$5:$A$117,SUMPRODUCT(((Plan!$I$5:$I$117="B")+(Plan!$I$5:$I$117="A+B"))*(Plan!$K$5:$K$117&lt;DG$5)*(Plan!$L$5:$L$117&gt;=DG$5)*(ROW(Plan!$A$5:$A$117)-4))))</f>
        <v/>
      </c>
      <c r="DH7" s="26">
        <f>IF(SUMPRODUCT(((Plan!$I$5:$I$117="B")+(Plan!$I$5:$I$117="A+B"))*(Plan!$K$5:$K$117&lt;DH$5)*(Plan!$L$5:$L$117&gt;=DH$5))=0,"",INDEX(Plan!$A$5:$A$117,SUMPRODUCT(((Plan!$I$5:$I$117="B")+(Plan!$I$5:$I$117="A+B"))*(Plan!$K$5:$K$117&lt;DH$5)*(Plan!$L$5:$L$117&gt;=DH$5)*(ROW(Plan!$A$5:$A$117)-4))))</f>
        <v/>
      </c>
      <c r="DI7" s="26">
        <f>IF(SUMPRODUCT(((Plan!$I$5:$I$117="B")+(Plan!$I$5:$I$117="A+B"))*(Plan!$K$5:$K$117&lt;DI$5)*(Plan!$L$5:$L$117&gt;=DI$5))=0,"",INDEX(Plan!$A$5:$A$117,SUMPRODUCT(((Plan!$I$5:$I$117="B")+(Plan!$I$5:$I$117="A+B"))*(Plan!$K$5:$K$117&lt;DI$5)*(Plan!$L$5:$L$117&gt;=DI$5)*(ROW(Plan!$A$5:$A$117)-4))))</f>
        <v/>
      </c>
      <c r="DJ7" s="26">
        <f>IF(SUMPRODUCT(((Plan!$I$5:$I$117="B")+(Plan!$I$5:$I$117="A+B"))*(Plan!$K$5:$K$117&lt;DJ$5)*(Plan!$L$5:$L$117&gt;=DJ$5))=0,"",INDEX(Plan!$A$5:$A$117,SUMPRODUCT(((Plan!$I$5:$I$117="B")+(Plan!$I$5:$I$117="A+B"))*(Plan!$K$5:$K$117&lt;DJ$5)*(Plan!$L$5:$L$117&gt;=DJ$5)*(ROW(Plan!$A$5:$A$117)-4))))</f>
        <v/>
      </c>
      <c r="DK7" s="26">
        <f>IF(SUMPRODUCT(((Plan!$I$5:$I$117="B")+(Plan!$I$5:$I$117="A+B"))*(Plan!$K$5:$K$117&lt;DK$5)*(Plan!$L$5:$L$117&gt;=DK$5))=0,"",INDEX(Plan!$A$5:$A$117,SUMPRODUCT(((Plan!$I$5:$I$117="B")+(Plan!$I$5:$I$117="A+B"))*(Plan!$K$5:$K$117&lt;DK$5)*(Plan!$L$5:$L$117&gt;=DK$5)*(ROW(Plan!$A$5:$A$117)-4))))</f>
        <v/>
      </c>
      <c r="DL7" s="26">
        <f>IF(SUMPRODUCT(((Plan!$I$5:$I$117="B")+(Plan!$I$5:$I$117="A+B"))*(Plan!$K$5:$K$117&lt;DL$5)*(Plan!$L$5:$L$117&gt;=DL$5))=0,"",INDEX(Plan!$A$5:$A$117,SUMPRODUCT(((Plan!$I$5:$I$117="B")+(Plan!$I$5:$I$117="A+B"))*(Plan!$K$5:$K$117&lt;DL$5)*(Plan!$L$5:$L$117&gt;=DL$5)*(ROW(Plan!$A$5:$A$117)-4))))</f>
        <v/>
      </c>
      <c r="DM7" s="26">
        <f>IF(SUMPRODUCT(((Plan!$I$5:$I$117="B")+(Plan!$I$5:$I$117="A+B"))*(Plan!$K$5:$K$117&lt;DM$5)*(Plan!$L$5:$L$117&gt;=DM$5))=0,"",INDEX(Plan!$A$5:$A$117,SUMPRODUCT(((Plan!$I$5:$I$117="B")+(Plan!$I$5:$I$117="A+B"))*(Plan!$K$5:$K$117&lt;DM$5)*(Plan!$L$5:$L$117&gt;=DM$5)*(ROW(Plan!$A$5:$A$117)-4))))</f>
        <v/>
      </c>
      <c r="DN7" s="26">
        <f>IF(SUMPRODUCT(((Plan!$I$5:$I$117="B")+(Plan!$I$5:$I$117="A+B"))*(Plan!$K$5:$K$117&lt;DN$5)*(Plan!$L$5:$L$117&gt;=DN$5))=0,"",INDEX(Plan!$A$5:$A$117,SUMPRODUCT(((Plan!$I$5:$I$117="B")+(Plan!$I$5:$I$117="A+B"))*(Plan!$K$5:$K$117&lt;DN$5)*(Plan!$L$5:$L$117&gt;=DN$5)*(ROW(Plan!$A$5:$A$117)-4))))</f>
        <v/>
      </c>
      <c r="DO7" s="26">
        <f>IF(SUMPRODUCT(((Plan!$I$5:$I$117="B")+(Plan!$I$5:$I$117="A+B"))*(Plan!$K$5:$K$117&lt;DO$5)*(Plan!$L$5:$L$117&gt;=DO$5))=0,"",INDEX(Plan!$A$5:$A$117,SUMPRODUCT(((Plan!$I$5:$I$117="B")+(Plan!$I$5:$I$117="A+B"))*(Plan!$K$5:$K$117&lt;DO$5)*(Plan!$L$5:$L$117&gt;=DO$5)*(ROW(Plan!$A$5:$A$117)-4))))</f>
        <v/>
      </c>
      <c r="DP7" s="26">
        <f>IF(SUMPRODUCT(((Plan!$I$5:$I$117="B")+(Plan!$I$5:$I$117="A+B"))*(Plan!$K$5:$K$117&lt;DP$5)*(Plan!$L$5:$L$117&gt;=DP$5))=0,"",INDEX(Plan!$A$5:$A$117,SUMPRODUCT(((Plan!$I$5:$I$117="B")+(Plan!$I$5:$I$117="A+B"))*(Plan!$K$5:$K$117&lt;DP$5)*(Plan!$L$5:$L$117&gt;=DP$5)*(ROW(Plan!$A$5:$A$117)-4))))</f>
        <v/>
      </c>
      <c r="DQ7" s="26">
        <f>IF(SUMPRODUCT(((Plan!$I$5:$I$117="B")+(Plan!$I$5:$I$117="A+B"))*(Plan!$K$5:$K$117&lt;DQ$5)*(Plan!$L$5:$L$117&gt;=DQ$5))=0,"",INDEX(Plan!$A$5:$A$117,SUMPRODUCT(((Plan!$I$5:$I$117="B")+(Plan!$I$5:$I$117="A+B"))*(Plan!$K$5:$K$117&lt;DQ$5)*(Plan!$L$5:$L$117&gt;=DQ$5)*(ROW(Plan!$A$5:$A$117)-4))))</f>
        <v/>
      </c>
      <c r="DR7" s="26">
        <f>IF(SUMPRODUCT(((Plan!$I$5:$I$117="B")+(Plan!$I$5:$I$117="A+B"))*(Plan!$K$5:$K$117&lt;DR$5)*(Plan!$L$5:$L$117&gt;=DR$5))=0,"",INDEX(Plan!$A$5:$A$117,SUMPRODUCT(((Plan!$I$5:$I$117="B")+(Plan!$I$5:$I$117="A+B"))*(Plan!$K$5:$K$117&lt;DR$5)*(Plan!$L$5:$L$117&gt;=DR$5)*(ROW(Plan!$A$5:$A$117)-4))))</f>
        <v/>
      </c>
      <c r="DS7" s="26">
        <f>IF(SUMPRODUCT(((Plan!$I$5:$I$117="B")+(Plan!$I$5:$I$117="A+B"))*(Plan!$K$5:$K$117&lt;DS$5)*(Plan!$L$5:$L$117&gt;=DS$5))=0,"",INDEX(Plan!$A$5:$A$117,SUMPRODUCT(((Plan!$I$5:$I$117="B")+(Plan!$I$5:$I$117="A+B"))*(Plan!$K$5:$K$117&lt;DS$5)*(Plan!$L$5:$L$117&gt;=DS$5)*(ROW(Plan!$A$5:$A$117)-4))))</f>
        <v/>
      </c>
      <c r="DT7" s="26">
        <f>IF(SUMPRODUCT(((Plan!$I$5:$I$117="B")+(Plan!$I$5:$I$117="A+B"))*(Plan!$K$5:$K$117&lt;DT$5)*(Plan!$L$5:$L$117&gt;=DT$5))=0,"",INDEX(Plan!$A$5:$A$117,SUMPRODUCT(((Plan!$I$5:$I$117="B")+(Plan!$I$5:$I$117="A+B"))*(Plan!$K$5:$K$117&lt;DT$5)*(Plan!$L$5:$L$117&gt;=DT$5)*(ROW(Plan!$A$5:$A$117)-4))))</f>
        <v/>
      </c>
      <c r="DU7" s="26">
        <f>IF(SUMPRODUCT(((Plan!$I$5:$I$117="B")+(Plan!$I$5:$I$117="A+B"))*(Plan!$K$5:$K$117&lt;DU$5)*(Plan!$L$5:$L$117&gt;=DU$5))=0,"",INDEX(Plan!$A$5:$A$117,SUMPRODUCT(((Plan!$I$5:$I$117="B")+(Plan!$I$5:$I$117="A+B"))*(Plan!$K$5:$K$117&lt;DU$5)*(Plan!$L$5:$L$117&gt;=DU$5)*(ROW(Plan!$A$5:$A$117)-4))))</f>
        <v/>
      </c>
      <c r="DV7" s="26">
        <f>IF(SUMPRODUCT(((Plan!$I$5:$I$117="B")+(Plan!$I$5:$I$117="A+B"))*(Plan!$K$5:$K$117&lt;DV$5)*(Plan!$L$5:$L$117&gt;=DV$5))=0,"",INDEX(Plan!$A$5:$A$117,SUMPRODUCT(((Plan!$I$5:$I$117="B")+(Plan!$I$5:$I$117="A+B"))*(Plan!$K$5:$K$117&lt;DV$5)*(Plan!$L$5:$L$117&gt;=DV$5)*(ROW(Plan!$A$5:$A$117)-4))))</f>
        <v/>
      </c>
      <c r="DW7" s="26">
        <f>IF(SUMPRODUCT(((Plan!$I$5:$I$117="B")+(Plan!$I$5:$I$117="A+B"))*(Plan!$K$5:$K$117&lt;DW$5)*(Plan!$L$5:$L$117&gt;=DW$5))=0,"",INDEX(Plan!$A$5:$A$117,SUMPRODUCT(((Plan!$I$5:$I$117="B")+(Plan!$I$5:$I$117="A+B"))*(Plan!$K$5:$K$117&lt;DW$5)*(Plan!$L$5:$L$117&gt;=DW$5)*(ROW(Plan!$A$5:$A$117)-4))))</f>
        <v/>
      </c>
      <c r="DX7" s="26">
        <f>IF(SUMPRODUCT(((Plan!$I$5:$I$117="B")+(Plan!$I$5:$I$117="A+B"))*(Plan!$K$5:$K$117&lt;DX$5)*(Plan!$L$5:$L$117&gt;=DX$5))=0,"",INDEX(Plan!$A$5:$A$117,SUMPRODUCT(((Plan!$I$5:$I$117="B")+(Plan!$I$5:$I$117="A+B"))*(Plan!$K$5:$K$117&lt;DX$5)*(Plan!$L$5:$L$117&gt;=DX$5)*(ROW(Plan!$A$5:$A$117)-4))))</f>
        <v/>
      </c>
      <c r="DY7" s="26">
        <f>IF(SUMPRODUCT(((Plan!$I$5:$I$117="B")+(Plan!$I$5:$I$117="A+B"))*(Plan!$K$5:$K$117&lt;DY$5)*(Plan!$L$5:$L$117&gt;=DY$5))=0,"",INDEX(Plan!$A$5:$A$117,SUMPRODUCT(((Plan!$I$5:$I$117="B")+(Plan!$I$5:$I$117="A+B"))*(Plan!$K$5:$K$117&lt;DY$5)*(Plan!$L$5:$L$117&gt;=DY$5)*(ROW(Plan!$A$5:$A$117)-4))))</f>
        <v/>
      </c>
      <c r="DZ7" s="26">
        <f>IF(SUMPRODUCT(((Plan!$I$5:$I$117="B")+(Plan!$I$5:$I$117="A+B"))*(Plan!$K$5:$K$117&lt;DZ$5)*(Plan!$L$5:$L$117&gt;=DZ$5))=0,"",INDEX(Plan!$A$5:$A$117,SUMPRODUCT(((Plan!$I$5:$I$117="B")+(Plan!$I$5:$I$117="A+B"))*(Plan!$K$5:$K$117&lt;DZ$5)*(Plan!$L$5:$L$117&gt;=DZ$5)*(ROW(Plan!$A$5:$A$117)-4))))</f>
        <v/>
      </c>
      <c r="EA7" s="26">
        <f>IF(SUMPRODUCT(((Plan!$I$5:$I$117="B")+(Plan!$I$5:$I$117="A+B"))*(Plan!$K$5:$K$117&lt;EA$5)*(Plan!$L$5:$L$117&gt;=EA$5))=0,"",INDEX(Plan!$A$5:$A$117,SUMPRODUCT(((Plan!$I$5:$I$117="B")+(Plan!$I$5:$I$117="A+B"))*(Plan!$K$5:$K$117&lt;EA$5)*(Plan!$L$5:$L$117&gt;=EA$5)*(ROW(Plan!$A$5:$A$117)-4))))</f>
        <v/>
      </c>
      <c r="EB7" s="26">
        <f>IF(SUMPRODUCT(((Plan!$I$5:$I$117="B")+(Plan!$I$5:$I$117="A+B"))*(Plan!$K$5:$K$117&lt;EB$5)*(Plan!$L$5:$L$117&gt;=EB$5))=0,"",INDEX(Plan!$A$5:$A$117,SUMPRODUCT(((Plan!$I$5:$I$117="B")+(Plan!$I$5:$I$117="A+B"))*(Plan!$K$5:$K$117&lt;EB$5)*(Plan!$L$5:$L$117&gt;=EB$5)*(ROW(Plan!$A$5:$A$117)-4))))</f>
        <v/>
      </c>
      <c r="EC7" s="26">
        <f>IF(SUMPRODUCT(((Plan!$I$5:$I$117="B")+(Plan!$I$5:$I$117="A+B"))*(Plan!$K$5:$K$117&lt;EC$5)*(Plan!$L$5:$L$117&gt;=EC$5))=0,"",INDEX(Plan!$A$5:$A$117,SUMPRODUCT(((Plan!$I$5:$I$117="B")+(Plan!$I$5:$I$117="A+B"))*(Plan!$K$5:$K$117&lt;EC$5)*(Plan!$L$5:$L$117&gt;=EC$5)*(ROW(Plan!$A$5:$A$117)-4))))</f>
        <v/>
      </c>
      <c r="ED7" s="26">
        <f>IF(SUMPRODUCT(((Plan!$I$5:$I$117="B")+(Plan!$I$5:$I$117="A+B"))*(Plan!$K$5:$K$117&lt;ED$5)*(Plan!$L$5:$L$117&gt;=ED$5))=0,"",INDEX(Plan!$A$5:$A$117,SUMPRODUCT(((Plan!$I$5:$I$117="B")+(Plan!$I$5:$I$117="A+B"))*(Plan!$K$5:$K$117&lt;ED$5)*(Plan!$L$5:$L$117&gt;=ED$5)*(ROW(Plan!$A$5:$A$117)-4))))</f>
        <v/>
      </c>
      <c r="EE7" s="26">
        <f>IF(SUMPRODUCT(((Plan!$I$5:$I$117="B")+(Plan!$I$5:$I$117="A+B"))*(Plan!$K$5:$K$117&lt;EE$5)*(Plan!$L$5:$L$117&gt;=EE$5))=0,"",INDEX(Plan!$A$5:$A$117,SUMPRODUCT(((Plan!$I$5:$I$117="B")+(Plan!$I$5:$I$117="A+B"))*(Plan!$K$5:$K$117&lt;EE$5)*(Plan!$L$5:$L$117&gt;=EE$5)*(ROW(Plan!$A$5:$A$117)-4))))</f>
        <v/>
      </c>
      <c r="EF7" s="26">
        <f>IF(SUMPRODUCT(((Plan!$I$5:$I$117="B")+(Plan!$I$5:$I$117="A+B"))*(Plan!$K$5:$K$117&lt;EF$5)*(Plan!$L$5:$L$117&gt;=EF$5))=0,"",INDEX(Plan!$A$5:$A$117,SUMPRODUCT(((Plan!$I$5:$I$117="B")+(Plan!$I$5:$I$117="A+B"))*(Plan!$K$5:$K$117&lt;EF$5)*(Plan!$L$5:$L$117&gt;=EF$5)*(ROW(Plan!$A$5:$A$117)-4))))</f>
        <v/>
      </c>
      <c r="EG7" s="26">
        <f>IF(SUMPRODUCT(((Plan!$I$5:$I$117="B")+(Plan!$I$5:$I$117="A+B"))*(Plan!$K$5:$K$117&lt;EG$5)*(Plan!$L$5:$L$117&gt;=EG$5))=0,"",INDEX(Plan!$A$5:$A$117,SUMPRODUCT(((Plan!$I$5:$I$117="B")+(Plan!$I$5:$I$117="A+B"))*(Plan!$K$5:$K$117&lt;EG$5)*(Plan!$L$5:$L$117&gt;=EG$5)*(ROW(Plan!$A$5:$A$117)-4))))</f>
        <v/>
      </c>
    </row>
    <row r="8"/>
    <row r="9">
      <c r="A9" s="27" t="inlineStr">
        <is>
          <t>Fase 1. Diseño y arquitectura</t>
        </is>
      </c>
      <c r="B9" s="28" t="n"/>
      <c r="C9" s="28" t="n"/>
      <c r="D9" s="28" t="n"/>
      <c r="E9" s="29">
        <f>SUMPRODUCT(MIN((Plan!$B$5:$B$117="1. Diseño y arquitectura")*Plan!$K$5:$K$117+(Plan!$B$5:$B$117&lt;&gt;"1. Diseño y arquitectura")*1E9))</f>
        <v/>
      </c>
      <c r="F9" s="29">
        <f>SUMPRODUCT(MAX((Plan!$B$5:$B$117="1. Diseño y arquitectura")*Plan!$L$5:$L$117))</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c r="CT10" s="34">
        <f>IF(AND(CT$5&gt;$E10,CT$5&lt;=$F10),IF(CT$5=$E10+1,$C10,""),"")</f>
        <v/>
      </c>
      <c r="CU10" s="34">
        <f>IF(AND(CU$5&gt;$E10,CU$5&lt;=$F10),IF(CU$5=$E10+1,$C10,""),"")</f>
        <v/>
      </c>
      <c r="CV10" s="34">
        <f>IF(AND(CV$5&gt;$E10,CV$5&lt;=$F10),IF(CV$5=$E10+1,$C10,""),"")</f>
        <v/>
      </c>
      <c r="CW10" s="34">
        <f>IF(AND(CW$5&gt;$E10,CW$5&lt;=$F10),IF(CW$5=$E10+1,$C10,""),"")</f>
        <v/>
      </c>
      <c r="CX10" s="34">
        <f>IF(AND(CX$5&gt;$E10,CX$5&lt;=$F10),IF(CX$5=$E10+1,$C10,""),"")</f>
        <v/>
      </c>
      <c r="CY10" s="34">
        <f>IF(AND(CY$5&gt;$E10,CY$5&lt;=$F10),IF(CY$5=$E10+1,$C10,""),"")</f>
        <v/>
      </c>
      <c r="CZ10" s="34">
        <f>IF(AND(CZ$5&gt;$E10,CZ$5&lt;=$F10),IF(CZ$5=$E10+1,$C10,""),"")</f>
        <v/>
      </c>
      <c r="DA10" s="34">
        <f>IF(AND(DA$5&gt;$E10,DA$5&lt;=$F10),IF(DA$5=$E10+1,$C10,""),"")</f>
        <v/>
      </c>
      <c r="DB10" s="34">
        <f>IF(AND(DB$5&gt;$E10,DB$5&lt;=$F10),IF(DB$5=$E10+1,$C10,""),"")</f>
        <v/>
      </c>
      <c r="DC10" s="34">
        <f>IF(AND(DC$5&gt;$E10,DC$5&lt;=$F10),IF(DC$5=$E10+1,$C10,""),"")</f>
        <v/>
      </c>
      <c r="DD10" s="34">
        <f>IF(AND(DD$5&gt;$E10,DD$5&lt;=$F10),IF(DD$5=$E10+1,$C10,""),"")</f>
        <v/>
      </c>
      <c r="DE10" s="34">
        <f>IF(AND(DE$5&gt;$E10,DE$5&lt;=$F10),IF(DE$5=$E10+1,$C10,""),"")</f>
        <v/>
      </c>
      <c r="DF10" s="34">
        <f>IF(AND(DF$5&gt;$E10,DF$5&lt;=$F10),IF(DF$5=$E10+1,$C10,""),"")</f>
        <v/>
      </c>
      <c r="DG10" s="34">
        <f>IF(AND(DG$5&gt;$E10,DG$5&lt;=$F10),IF(DG$5=$E10+1,$C10,""),"")</f>
        <v/>
      </c>
      <c r="DH10" s="34">
        <f>IF(AND(DH$5&gt;$E10,DH$5&lt;=$F10),IF(DH$5=$E10+1,$C10,""),"")</f>
        <v/>
      </c>
      <c r="DI10" s="34">
        <f>IF(AND(DI$5&gt;$E10,DI$5&lt;=$F10),IF(DI$5=$E10+1,$C10,""),"")</f>
        <v/>
      </c>
      <c r="DJ10" s="34">
        <f>IF(AND(DJ$5&gt;$E10,DJ$5&lt;=$F10),IF(DJ$5=$E10+1,$C10,""),"")</f>
        <v/>
      </c>
      <c r="DK10" s="34">
        <f>IF(AND(DK$5&gt;$E10,DK$5&lt;=$F10),IF(DK$5=$E10+1,$C10,""),"")</f>
        <v/>
      </c>
      <c r="DL10" s="34">
        <f>IF(AND(DL$5&gt;$E10,DL$5&lt;=$F10),IF(DL$5=$E10+1,$C10,""),"")</f>
        <v/>
      </c>
      <c r="DM10" s="34">
        <f>IF(AND(DM$5&gt;$E10,DM$5&lt;=$F10),IF(DM$5=$E10+1,$C10,""),"")</f>
        <v/>
      </c>
      <c r="DN10" s="34">
        <f>IF(AND(DN$5&gt;$E10,DN$5&lt;=$F10),IF(DN$5=$E10+1,$C10,""),"")</f>
        <v/>
      </c>
      <c r="DO10" s="34">
        <f>IF(AND(DO$5&gt;$E10,DO$5&lt;=$F10),IF(DO$5=$E10+1,$C10,""),"")</f>
        <v/>
      </c>
      <c r="DP10" s="34">
        <f>IF(AND(DP$5&gt;$E10,DP$5&lt;=$F10),IF(DP$5=$E10+1,$C10,""),"")</f>
        <v/>
      </c>
      <c r="DQ10" s="34">
        <f>IF(AND(DQ$5&gt;$E10,DQ$5&lt;=$F10),IF(DQ$5=$E10+1,$C10,""),"")</f>
        <v/>
      </c>
      <c r="DR10" s="34">
        <f>IF(AND(DR$5&gt;$E10,DR$5&lt;=$F10),IF(DR$5=$E10+1,$C10,""),"")</f>
        <v/>
      </c>
      <c r="DS10" s="34">
        <f>IF(AND(DS$5&gt;$E10,DS$5&lt;=$F10),IF(DS$5=$E10+1,$C10,""),"")</f>
        <v/>
      </c>
      <c r="DT10" s="34">
        <f>IF(AND(DT$5&gt;$E10,DT$5&lt;=$F10),IF(DT$5=$E10+1,$C10,""),"")</f>
        <v/>
      </c>
      <c r="DU10" s="34">
        <f>IF(AND(DU$5&gt;$E10,DU$5&lt;=$F10),IF(DU$5=$E10+1,$C10,""),"")</f>
        <v/>
      </c>
      <c r="DV10" s="34">
        <f>IF(AND(DV$5&gt;$E10,DV$5&lt;=$F10),IF(DV$5=$E10+1,$C10,""),"")</f>
        <v/>
      </c>
      <c r="DW10" s="34">
        <f>IF(AND(DW$5&gt;$E10,DW$5&lt;=$F10),IF(DW$5=$E10+1,$C10,""),"")</f>
        <v/>
      </c>
      <c r="DX10" s="34">
        <f>IF(AND(DX$5&gt;$E10,DX$5&lt;=$F10),IF(DX$5=$E10+1,$C10,""),"")</f>
        <v/>
      </c>
      <c r="DY10" s="34">
        <f>IF(AND(DY$5&gt;$E10,DY$5&lt;=$F10),IF(DY$5=$E10+1,$C10,""),"")</f>
        <v/>
      </c>
      <c r="DZ10" s="34">
        <f>IF(AND(DZ$5&gt;$E10,DZ$5&lt;=$F10),IF(DZ$5=$E10+1,$C10,""),"")</f>
        <v/>
      </c>
      <c r="EA10" s="34">
        <f>IF(AND(EA$5&gt;$E10,EA$5&lt;=$F10),IF(EA$5=$E10+1,$C10,""),"")</f>
        <v/>
      </c>
      <c r="EB10" s="34">
        <f>IF(AND(EB$5&gt;$E10,EB$5&lt;=$F10),IF(EB$5=$E10+1,$C10,""),"")</f>
        <v/>
      </c>
      <c r="EC10" s="34">
        <f>IF(AND(EC$5&gt;$E10,EC$5&lt;=$F10),IF(EC$5=$E10+1,$C10,""),"")</f>
        <v/>
      </c>
      <c r="ED10" s="34">
        <f>IF(AND(ED$5&gt;$E10,ED$5&lt;=$F10),IF(ED$5=$E10+1,$C10,""),"")</f>
        <v/>
      </c>
      <c r="EE10" s="34">
        <f>IF(AND(EE$5&gt;$E10,EE$5&lt;=$F10),IF(EE$5=$E10+1,$C10,""),"")</f>
        <v/>
      </c>
      <c r="EF10" s="34">
        <f>IF(AND(EF$5&gt;$E10,EF$5&lt;=$F10),IF(EF$5=$E10+1,$C10,""),"")</f>
        <v/>
      </c>
      <c r="EG10" s="34">
        <f>IF(AND(EG$5&gt;$E10,EG$5&lt;=$F10),IF(EG$5=$E10+1,$C10,""),"")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c r="CT11" s="34">
        <f>IF(AND(CT$5&gt;$E11,CT$5&lt;=$F11),IF(CT$5=$E11+1,$C11,""),"")</f>
        <v/>
      </c>
      <c r="CU11" s="34">
        <f>IF(AND(CU$5&gt;$E11,CU$5&lt;=$F11),IF(CU$5=$E11+1,$C11,""),"")</f>
        <v/>
      </c>
      <c r="CV11" s="34">
        <f>IF(AND(CV$5&gt;$E11,CV$5&lt;=$F11),IF(CV$5=$E11+1,$C11,""),"")</f>
        <v/>
      </c>
      <c r="CW11" s="34">
        <f>IF(AND(CW$5&gt;$E11,CW$5&lt;=$F11),IF(CW$5=$E11+1,$C11,""),"")</f>
        <v/>
      </c>
      <c r="CX11" s="34">
        <f>IF(AND(CX$5&gt;$E11,CX$5&lt;=$F11),IF(CX$5=$E11+1,$C11,""),"")</f>
        <v/>
      </c>
      <c r="CY11" s="34">
        <f>IF(AND(CY$5&gt;$E11,CY$5&lt;=$F11),IF(CY$5=$E11+1,$C11,""),"")</f>
        <v/>
      </c>
      <c r="CZ11" s="34">
        <f>IF(AND(CZ$5&gt;$E11,CZ$5&lt;=$F11),IF(CZ$5=$E11+1,$C11,""),"")</f>
        <v/>
      </c>
      <c r="DA11" s="34">
        <f>IF(AND(DA$5&gt;$E11,DA$5&lt;=$F11),IF(DA$5=$E11+1,$C11,""),"")</f>
        <v/>
      </c>
      <c r="DB11" s="34">
        <f>IF(AND(DB$5&gt;$E11,DB$5&lt;=$F11),IF(DB$5=$E11+1,$C11,""),"")</f>
        <v/>
      </c>
      <c r="DC11" s="34">
        <f>IF(AND(DC$5&gt;$E11,DC$5&lt;=$F11),IF(DC$5=$E11+1,$C11,""),"")</f>
        <v/>
      </c>
      <c r="DD11" s="34">
        <f>IF(AND(DD$5&gt;$E11,DD$5&lt;=$F11),IF(DD$5=$E11+1,$C11,""),"")</f>
        <v/>
      </c>
      <c r="DE11" s="34">
        <f>IF(AND(DE$5&gt;$E11,DE$5&lt;=$F11),IF(DE$5=$E11+1,$C11,""),"")</f>
        <v/>
      </c>
      <c r="DF11" s="34">
        <f>IF(AND(DF$5&gt;$E11,DF$5&lt;=$F11),IF(DF$5=$E11+1,$C11,""),"")</f>
        <v/>
      </c>
      <c r="DG11" s="34">
        <f>IF(AND(DG$5&gt;$E11,DG$5&lt;=$F11),IF(DG$5=$E11+1,$C11,""),"")</f>
        <v/>
      </c>
      <c r="DH11" s="34">
        <f>IF(AND(DH$5&gt;$E11,DH$5&lt;=$F11),IF(DH$5=$E11+1,$C11,""),"")</f>
        <v/>
      </c>
      <c r="DI11" s="34">
        <f>IF(AND(DI$5&gt;$E11,DI$5&lt;=$F11),IF(DI$5=$E11+1,$C11,""),"")</f>
        <v/>
      </c>
      <c r="DJ11" s="34">
        <f>IF(AND(DJ$5&gt;$E11,DJ$5&lt;=$F11),IF(DJ$5=$E11+1,$C11,""),"")</f>
        <v/>
      </c>
      <c r="DK11" s="34">
        <f>IF(AND(DK$5&gt;$E11,DK$5&lt;=$F11),IF(DK$5=$E11+1,$C11,""),"")</f>
        <v/>
      </c>
      <c r="DL11" s="34">
        <f>IF(AND(DL$5&gt;$E11,DL$5&lt;=$F11),IF(DL$5=$E11+1,$C11,""),"")</f>
        <v/>
      </c>
      <c r="DM11" s="34">
        <f>IF(AND(DM$5&gt;$E11,DM$5&lt;=$F11),IF(DM$5=$E11+1,$C11,""),"")</f>
        <v/>
      </c>
      <c r="DN11" s="34">
        <f>IF(AND(DN$5&gt;$E11,DN$5&lt;=$F11),IF(DN$5=$E11+1,$C11,""),"")</f>
        <v/>
      </c>
      <c r="DO11" s="34">
        <f>IF(AND(DO$5&gt;$E11,DO$5&lt;=$F11),IF(DO$5=$E11+1,$C11,""),"")</f>
        <v/>
      </c>
      <c r="DP11" s="34">
        <f>IF(AND(DP$5&gt;$E11,DP$5&lt;=$F11),IF(DP$5=$E11+1,$C11,""),"")</f>
        <v/>
      </c>
      <c r="DQ11" s="34">
        <f>IF(AND(DQ$5&gt;$E11,DQ$5&lt;=$F11),IF(DQ$5=$E11+1,$C11,""),"")</f>
        <v/>
      </c>
      <c r="DR11" s="34">
        <f>IF(AND(DR$5&gt;$E11,DR$5&lt;=$F11),IF(DR$5=$E11+1,$C11,""),"")</f>
        <v/>
      </c>
      <c r="DS11" s="34">
        <f>IF(AND(DS$5&gt;$E11,DS$5&lt;=$F11),IF(DS$5=$E11+1,$C11,""),"")</f>
        <v/>
      </c>
      <c r="DT11" s="34">
        <f>IF(AND(DT$5&gt;$E11,DT$5&lt;=$F11),IF(DT$5=$E11+1,$C11,""),"")</f>
        <v/>
      </c>
      <c r="DU11" s="34">
        <f>IF(AND(DU$5&gt;$E11,DU$5&lt;=$F11),IF(DU$5=$E11+1,$C11,""),"")</f>
        <v/>
      </c>
      <c r="DV11" s="34">
        <f>IF(AND(DV$5&gt;$E11,DV$5&lt;=$F11),IF(DV$5=$E11+1,$C11,""),"")</f>
        <v/>
      </c>
      <c r="DW11" s="34">
        <f>IF(AND(DW$5&gt;$E11,DW$5&lt;=$F11),IF(DW$5=$E11+1,$C11,""),"")</f>
        <v/>
      </c>
      <c r="DX11" s="34">
        <f>IF(AND(DX$5&gt;$E11,DX$5&lt;=$F11),IF(DX$5=$E11+1,$C11,""),"")</f>
        <v/>
      </c>
      <c r="DY11" s="34">
        <f>IF(AND(DY$5&gt;$E11,DY$5&lt;=$F11),IF(DY$5=$E11+1,$C11,""),"")</f>
        <v/>
      </c>
      <c r="DZ11" s="34">
        <f>IF(AND(DZ$5&gt;$E11,DZ$5&lt;=$F11),IF(DZ$5=$E11+1,$C11,""),"")</f>
        <v/>
      </c>
      <c r="EA11" s="34">
        <f>IF(AND(EA$5&gt;$E11,EA$5&lt;=$F11),IF(EA$5=$E11+1,$C11,""),"")</f>
        <v/>
      </c>
      <c r="EB11" s="34">
        <f>IF(AND(EB$5&gt;$E11,EB$5&lt;=$F11),IF(EB$5=$E11+1,$C11,""),"")</f>
        <v/>
      </c>
      <c r="EC11" s="34">
        <f>IF(AND(EC$5&gt;$E11,EC$5&lt;=$F11),IF(EC$5=$E11+1,$C11,""),"")</f>
        <v/>
      </c>
      <c r="ED11" s="34">
        <f>IF(AND(ED$5&gt;$E11,ED$5&lt;=$F11),IF(ED$5=$E11+1,$C11,""),"")</f>
        <v/>
      </c>
      <c r="EE11" s="34">
        <f>IF(AND(EE$5&gt;$E11,EE$5&lt;=$F11),IF(EE$5=$E11+1,$C11,""),"")</f>
        <v/>
      </c>
      <c r="EF11" s="34">
        <f>IF(AND(EF$5&gt;$E11,EF$5&lt;=$F11),IF(EF$5=$E11+1,$C11,""),"")</f>
        <v/>
      </c>
      <c r="EG11" s="34">
        <f>IF(AND(EG$5&gt;$E11,EG$5&lt;=$F11),IF(EG$5=$E11+1,$C11,""),"")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c r="CT12" s="34">
        <f>IF(AND(CT$5&gt;$E12,CT$5&lt;=$F12),IF(CT$5=$E12+1,$C12,""),"")</f>
        <v/>
      </c>
      <c r="CU12" s="34">
        <f>IF(AND(CU$5&gt;$E12,CU$5&lt;=$F12),IF(CU$5=$E12+1,$C12,""),"")</f>
        <v/>
      </c>
      <c r="CV12" s="34">
        <f>IF(AND(CV$5&gt;$E12,CV$5&lt;=$F12),IF(CV$5=$E12+1,$C12,""),"")</f>
        <v/>
      </c>
      <c r="CW12" s="34">
        <f>IF(AND(CW$5&gt;$E12,CW$5&lt;=$F12),IF(CW$5=$E12+1,$C12,""),"")</f>
        <v/>
      </c>
      <c r="CX12" s="34">
        <f>IF(AND(CX$5&gt;$E12,CX$5&lt;=$F12),IF(CX$5=$E12+1,$C12,""),"")</f>
        <v/>
      </c>
      <c r="CY12" s="34">
        <f>IF(AND(CY$5&gt;$E12,CY$5&lt;=$F12),IF(CY$5=$E12+1,$C12,""),"")</f>
        <v/>
      </c>
      <c r="CZ12" s="34">
        <f>IF(AND(CZ$5&gt;$E12,CZ$5&lt;=$F12),IF(CZ$5=$E12+1,$C12,""),"")</f>
        <v/>
      </c>
      <c r="DA12" s="34">
        <f>IF(AND(DA$5&gt;$E12,DA$5&lt;=$F12),IF(DA$5=$E12+1,$C12,""),"")</f>
        <v/>
      </c>
      <c r="DB12" s="34">
        <f>IF(AND(DB$5&gt;$E12,DB$5&lt;=$F12),IF(DB$5=$E12+1,$C12,""),"")</f>
        <v/>
      </c>
      <c r="DC12" s="34">
        <f>IF(AND(DC$5&gt;$E12,DC$5&lt;=$F12),IF(DC$5=$E12+1,$C12,""),"")</f>
        <v/>
      </c>
      <c r="DD12" s="34">
        <f>IF(AND(DD$5&gt;$E12,DD$5&lt;=$F12),IF(DD$5=$E12+1,$C12,""),"")</f>
        <v/>
      </c>
      <c r="DE12" s="34">
        <f>IF(AND(DE$5&gt;$E12,DE$5&lt;=$F12),IF(DE$5=$E12+1,$C12,""),"")</f>
        <v/>
      </c>
      <c r="DF12" s="34">
        <f>IF(AND(DF$5&gt;$E12,DF$5&lt;=$F12),IF(DF$5=$E12+1,$C12,""),"")</f>
        <v/>
      </c>
      <c r="DG12" s="34">
        <f>IF(AND(DG$5&gt;$E12,DG$5&lt;=$F12),IF(DG$5=$E12+1,$C12,""),"")</f>
        <v/>
      </c>
      <c r="DH12" s="34">
        <f>IF(AND(DH$5&gt;$E12,DH$5&lt;=$F12),IF(DH$5=$E12+1,$C12,""),"")</f>
        <v/>
      </c>
      <c r="DI12" s="34">
        <f>IF(AND(DI$5&gt;$E12,DI$5&lt;=$F12),IF(DI$5=$E12+1,$C12,""),"")</f>
        <v/>
      </c>
      <c r="DJ12" s="34">
        <f>IF(AND(DJ$5&gt;$E12,DJ$5&lt;=$F12),IF(DJ$5=$E12+1,$C12,""),"")</f>
        <v/>
      </c>
      <c r="DK12" s="34">
        <f>IF(AND(DK$5&gt;$E12,DK$5&lt;=$F12),IF(DK$5=$E12+1,$C12,""),"")</f>
        <v/>
      </c>
      <c r="DL12" s="34">
        <f>IF(AND(DL$5&gt;$E12,DL$5&lt;=$F12),IF(DL$5=$E12+1,$C12,""),"")</f>
        <v/>
      </c>
      <c r="DM12" s="34">
        <f>IF(AND(DM$5&gt;$E12,DM$5&lt;=$F12),IF(DM$5=$E12+1,$C12,""),"")</f>
        <v/>
      </c>
      <c r="DN12" s="34">
        <f>IF(AND(DN$5&gt;$E12,DN$5&lt;=$F12),IF(DN$5=$E12+1,$C12,""),"")</f>
        <v/>
      </c>
      <c r="DO12" s="34">
        <f>IF(AND(DO$5&gt;$E12,DO$5&lt;=$F12),IF(DO$5=$E12+1,$C12,""),"")</f>
        <v/>
      </c>
      <c r="DP12" s="34">
        <f>IF(AND(DP$5&gt;$E12,DP$5&lt;=$F12),IF(DP$5=$E12+1,$C12,""),"")</f>
        <v/>
      </c>
      <c r="DQ12" s="34">
        <f>IF(AND(DQ$5&gt;$E12,DQ$5&lt;=$F12),IF(DQ$5=$E12+1,$C12,""),"")</f>
        <v/>
      </c>
      <c r="DR12" s="34">
        <f>IF(AND(DR$5&gt;$E12,DR$5&lt;=$F12),IF(DR$5=$E12+1,$C12,""),"")</f>
        <v/>
      </c>
      <c r="DS12" s="34">
        <f>IF(AND(DS$5&gt;$E12,DS$5&lt;=$F12),IF(DS$5=$E12+1,$C12,""),"")</f>
        <v/>
      </c>
      <c r="DT12" s="34">
        <f>IF(AND(DT$5&gt;$E12,DT$5&lt;=$F12),IF(DT$5=$E12+1,$C12,""),"")</f>
        <v/>
      </c>
      <c r="DU12" s="34">
        <f>IF(AND(DU$5&gt;$E12,DU$5&lt;=$F12),IF(DU$5=$E12+1,$C12,""),"")</f>
        <v/>
      </c>
      <c r="DV12" s="34">
        <f>IF(AND(DV$5&gt;$E12,DV$5&lt;=$F12),IF(DV$5=$E12+1,$C12,""),"")</f>
        <v/>
      </c>
      <c r="DW12" s="34">
        <f>IF(AND(DW$5&gt;$E12,DW$5&lt;=$F12),IF(DW$5=$E12+1,$C12,""),"")</f>
        <v/>
      </c>
      <c r="DX12" s="34">
        <f>IF(AND(DX$5&gt;$E12,DX$5&lt;=$F12),IF(DX$5=$E12+1,$C12,""),"")</f>
        <v/>
      </c>
      <c r="DY12" s="34">
        <f>IF(AND(DY$5&gt;$E12,DY$5&lt;=$F12),IF(DY$5=$E12+1,$C12,""),"")</f>
        <v/>
      </c>
      <c r="DZ12" s="34">
        <f>IF(AND(DZ$5&gt;$E12,DZ$5&lt;=$F12),IF(DZ$5=$E12+1,$C12,""),"")</f>
        <v/>
      </c>
      <c r="EA12" s="34">
        <f>IF(AND(EA$5&gt;$E12,EA$5&lt;=$F12),IF(EA$5=$E12+1,$C12,""),"")</f>
        <v/>
      </c>
      <c r="EB12" s="34">
        <f>IF(AND(EB$5&gt;$E12,EB$5&lt;=$F12),IF(EB$5=$E12+1,$C12,""),"")</f>
        <v/>
      </c>
      <c r="EC12" s="34">
        <f>IF(AND(EC$5&gt;$E12,EC$5&lt;=$F12),IF(EC$5=$E12+1,$C12,""),"")</f>
        <v/>
      </c>
      <c r="ED12" s="34">
        <f>IF(AND(ED$5&gt;$E12,ED$5&lt;=$F12),IF(ED$5=$E12+1,$C12,""),"")</f>
        <v/>
      </c>
      <c r="EE12" s="34">
        <f>IF(AND(EE$5&gt;$E12,EE$5&lt;=$F12),IF(EE$5=$E12+1,$C12,""),"")</f>
        <v/>
      </c>
      <c r="EF12" s="34">
        <f>IF(AND(EF$5&gt;$E12,EF$5&lt;=$F12),IF(EF$5=$E12+1,$C12,""),"")</f>
        <v/>
      </c>
      <c r="EG12" s="34">
        <f>IF(AND(EG$5&gt;$E12,EG$5&lt;=$F12),IF(EG$5=$E12+1,$C12,""),"")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c r="CT13" s="34">
        <f>IF(AND(CT$5&gt;$E13,CT$5&lt;=$F13),IF(CT$5=$E13+1,$C13,""),"")</f>
        <v/>
      </c>
      <c r="CU13" s="34">
        <f>IF(AND(CU$5&gt;$E13,CU$5&lt;=$F13),IF(CU$5=$E13+1,$C13,""),"")</f>
        <v/>
      </c>
      <c r="CV13" s="34">
        <f>IF(AND(CV$5&gt;$E13,CV$5&lt;=$F13),IF(CV$5=$E13+1,$C13,""),"")</f>
        <v/>
      </c>
      <c r="CW13" s="34">
        <f>IF(AND(CW$5&gt;$E13,CW$5&lt;=$F13),IF(CW$5=$E13+1,$C13,""),"")</f>
        <v/>
      </c>
      <c r="CX13" s="34">
        <f>IF(AND(CX$5&gt;$E13,CX$5&lt;=$F13),IF(CX$5=$E13+1,$C13,""),"")</f>
        <v/>
      </c>
      <c r="CY13" s="34">
        <f>IF(AND(CY$5&gt;$E13,CY$5&lt;=$F13),IF(CY$5=$E13+1,$C13,""),"")</f>
        <v/>
      </c>
      <c r="CZ13" s="34">
        <f>IF(AND(CZ$5&gt;$E13,CZ$5&lt;=$F13),IF(CZ$5=$E13+1,$C13,""),"")</f>
        <v/>
      </c>
      <c r="DA13" s="34">
        <f>IF(AND(DA$5&gt;$E13,DA$5&lt;=$F13),IF(DA$5=$E13+1,$C13,""),"")</f>
        <v/>
      </c>
      <c r="DB13" s="34">
        <f>IF(AND(DB$5&gt;$E13,DB$5&lt;=$F13),IF(DB$5=$E13+1,$C13,""),"")</f>
        <v/>
      </c>
      <c r="DC13" s="34">
        <f>IF(AND(DC$5&gt;$E13,DC$5&lt;=$F13),IF(DC$5=$E13+1,$C13,""),"")</f>
        <v/>
      </c>
      <c r="DD13" s="34">
        <f>IF(AND(DD$5&gt;$E13,DD$5&lt;=$F13),IF(DD$5=$E13+1,$C13,""),"")</f>
        <v/>
      </c>
      <c r="DE13" s="34">
        <f>IF(AND(DE$5&gt;$E13,DE$5&lt;=$F13),IF(DE$5=$E13+1,$C13,""),"")</f>
        <v/>
      </c>
      <c r="DF13" s="34">
        <f>IF(AND(DF$5&gt;$E13,DF$5&lt;=$F13),IF(DF$5=$E13+1,$C13,""),"")</f>
        <v/>
      </c>
      <c r="DG13" s="34">
        <f>IF(AND(DG$5&gt;$E13,DG$5&lt;=$F13),IF(DG$5=$E13+1,$C13,""),"")</f>
        <v/>
      </c>
      <c r="DH13" s="34">
        <f>IF(AND(DH$5&gt;$E13,DH$5&lt;=$F13),IF(DH$5=$E13+1,$C13,""),"")</f>
        <v/>
      </c>
      <c r="DI13" s="34">
        <f>IF(AND(DI$5&gt;$E13,DI$5&lt;=$F13),IF(DI$5=$E13+1,$C13,""),"")</f>
        <v/>
      </c>
      <c r="DJ13" s="34">
        <f>IF(AND(DJ$5&gt;$E13,DJ$5&lt;=$F13),IF(DJ$5=$E13+1,$C13,""),"")</f>
        <v/>
      </c>
      <c r="DK13" s="34">
        <f>IF(AND(DK$5&gt;$E13,DK$5&lt;=$F13),IF(DK$5=$E13+1,$C13,""),"")</f>
        <v/>
      </c>
      <c r="DL13" s="34">
        <f>IF(AND(DL$5&gt;$E13,DL$5&lt;=$F13),IF(DL$5=$E13+1,$C13,""),"")</f>
        <v/>
      </c>
      <c r="DM13" s="34">
        <f>IF(AND(DM$5&gt;$E13,DM$5&lt;=$F13),IF(DM$5=$E13+1,$C13,""),"")</f>
        <v/>
      </c>
      <c r="DN13" s="34">
        <f>IF(AND(DN$5&gt;$E13,DN$5&lt;=$F13),IF(DN$5=$E13+1,$C13,""),"")</f>
        <v/>
      </c>
      <c r="DO13" s="34">
        <f>IF(AND(DO$5&gt;$E13,DO$5&lt;=$F13),IF(DO$5=$E13+1,$C13,""),"")</f>
        <v/>
      </c>
      <c r="DP13" s="34">
        <f>IF(AND(DP$5&gt;$E13,DP$5&lt;=$F13),IF(DP$5=$E13+1,$C13,""),"")</f>
        <v/>
      </c>
      <c r="DQ13" s="34">
        <f>IF(AND(DQ$5&gt;$E13,DQ$5&lt;=$F13),IF(DQ$5=$E13+1,$C13,""),"")</f>
        <v/>
      </c>
      <c r="DR13" s="34">
        <f>IF(AND(DR$5&gt;$E13,DR$5&lt;=$F13),IF(DR$5=$E13+1,$C13,""),"")</f>
        <v/>
      </c>
      <c r="DS13" s="34">
        <f>IF(AND(DS$5&gt;$E13,DS$5&lt;=$F13),IF(DS$5=$E13+1,$C13,""),"")</f>
        <v/>
      </c>
      <c r="DT13" s="34">
        <f>IF(AND(DT$5&gt;$E13,DT$5&lt;=$F13),IF(DT$5=$E13+1,$C13,""),"")</f>
        <v/>
      </c>
      <c r="DU13" s="34">
        <f>IF(AND(DU$5&gt;$E13,DU$5&lt;=$F13),IF(DU$5=$E13+1,$C13,""),"")</f>
        <v/>
      </c>
      <c r="DV13" s="34">
        <f>IF(AND(DV$5&gt;$E13,DV$5&lt;=$F13),IF(DV$5=$E13+1,$C13,""),"")</f>
        <v/>
      </c>
      <c r="DW13" s="34">
        <f>IF(AND(DW$5&gt;$E13,DW$5&lt;=$F13),IF(DW$5=$E13+1,$C13,""),"")</f>
        <v/>
      </c>
      <c r="DX13" s="34">
        <f>IF(AND(DX$5&gt;$E13,DX$5&lt;=$F13),IF(DX$5=$E13+1,$C13,""),"")</f>
        <v/>
      </c>
      <c r="DY13" s="34">
        <f>IF(AND(DY$5&gt;$E13,DY$5&lt;=$F13),IF(DY$5=$E13+1,$C13,""),"")</f>
        <v/>
      </c>
      <c r="DZ13" s="34">
        <f>IF(AND(DZ$5&gt;$E13,DZ$5&lt;=$F13),IF(DZ$5=$E13+1,$C13,""),"")</f>
        <v/>
      </c>
      <c r="EA13" s="34">
        <f>IF(AND(EA$5&gt;$E13,EA$5&lt;=$F13),IF(EA$5=$E13+1,$C13,""),"")</f>
        <v/>
      </c>
      <c r="EB13" s="34">
        <f>IF(AND(EB$5&gt;$E13,EB$5&lt;=$F13),IF(EB$5=$E13+1,$C13,""),"")</f>
        <v/>
      </c>
      <c r="EC13" s="34">
        <f>IF(AND(EC$5&gt;$E13,EC$5&lt;=$F13),IF(EC$5=$E13+1,$C13,""),"")</f>
        <v/>
      </c>
      <c r="ED13" s="34">
        <f>IF(AND(ED$5&gt;$E13,ED$5&lt;=$F13),IF(ED$5=$E13+1,$C13,""),"")</f>
        <v/>
      </c>
      <c r="EE13" s="34">
        <f>IF(AND(EE$5&gt;$E13,EE$5&lt;=$F13),IF(EE$5=$E13+1,$C13,""),"")</f>
        <v/>
      </c>
      <c r="EF13" s="34">
        <f>IF(AND(EF$5&gt;$E13,EF$5&lt;=$F13),IF(EF$5=$E13+1,$C13,""),"")</f>
        <v/>
      </c>
      <c r="EG13" s="34">
        <f>IF(AND(EG$5&gt;$E13,EG$5&lt;=$F13),IF(EG$5=$E13+1,$C13,""),"")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c r="CT14" s="34">
        <f>IF(AND(CT$5&gt;$E14,CT$5&lt;=$F14),IF(CT$5=$E14+1,$C14,""),"")</f>
        <v/>
      </c>
      <c r="CU14" s="34">
        <f>IF(AND(CU$5&gt;$E14,CU$5&lt;=$F14),IF(CU$5=$E14+1,$C14,""),"")</f>
        <v/>
      </c>
      <c r="CV14" s="34">
        <f>IF(AND(CV$5&gt;$E14,CV$5&lt;=$F14),IF(CV$5=$E14+1,$C14,""),"")</f>
        <v/>
      </c>
      <c r="CW14" s="34">
        <f>IF(AND(CW$5&gt;$E14,CW$5&lt;=$F14),IF(CW$5=$E14+1,$C14,""),"")</f>
        <v/>
      </c>
      <c r="CX14" s="34">
        <f>IF(AND(CX$5&gt;$E14,CX$5&lt;=$F14),IF(CX$5=$E14+1,$C14,""),"")</f>
        <v/>
      </c>
      <c r="CY14" s="34">
        <f>IF(AND(CY$5&gt;$E14,CY$5&lt;=$F14),IF(CY$5=$E14+1,$C14,""),"")</f>
        <v/>
      </c>
      <c r="CZ14" s="34">
        <f>IF(AND(CZ$5&gt;$E14,CZ$5&lt;=$F14),IF(CZ$5=$E14+1,$C14,""),"")</f>
        <v/>
      </c>
      <c r="DA14" s="34">
        <f>IF(AND(DA$5&gt;$E14,DA$5&lt;=$F14),IF(DA$5=$E14+1,$C14,""),"")</f>
        <v/>
      </c>
      <c r="DB14" s="34">
        <f>IF(AND(DB$5&gt;$E14,DB$5&lt;=$F14),IF(DB$5=$E14+1,$C14,""),"")</f>
        <v/>
      </c>
      <c r="DC14" s="34">
        <f>IF(AND(DC$5&gt;$E14,DC$5&lt;=$F14),IF(DC$5=$E14+1,$C14,""),"")</f>
        <v/>
      </c>
      <c r="DD14" s="34">
        <f>IF(AND(DD$5&gt;$E14,DD$5&lt;=$F14),IF(DD$5=$E14+1,$C14,""),"")</f>
        <v/>
      </c>
      <c r="DE14" s="34">
        <f>IF(AND(DE$5&gt;$E14,DE$5&lt;=$F14),IF(DE$5=$E14+1,$C14,""),"")</f>
        <v/>
      </c>
      <c r="DF14" s="34">
        <f>IF(AND(DF$5&gt;$E14,DF$5&lt;=$F14),IF(DF$5=$E14+1,$C14,""),"")</f>
        <v/>
      </c>
      <c r="DG14" s="34">
        <f>IF(AND(DG$5&gt;$E14,DG$5&lt;=$F14),IF(DG$5=$E14+1,$C14,""),"")</f>
        <v/>
      </c>
      <c r="DH14" s="34">
        <f>IF(AND(DH$5&gt;$E14,DH$5&lt;=$F14),IF(DH$5=$E14+1,$C14,""),"")</f>
        <v/>
      </c>
      <c r="DI14" s="34">
        <f>IF(AND(DI$5&gt;$E14,DI$5&lt;=$F14),IF(DI$5=$E14+1,$C14,""),"")</f>
        <v/>
      </c>
      <c r="DJ14" s="34">
        <f>IF(AND(DJ$5&gt;$E14,DJ$5&lt;=$F14),IF(DJ$5=$E14+1,$C14,""),"")</f>
        <v/>
      </c>
      <c r="DK14" s="34">
        <f>IF(AND(DK$5&gt;$E14,DK$5&lt;=$F14),IF(DK$5=$E14+1,$C14,""),"")</f>
        <v/>
      </c>
      <c r="DL14" s="34">
        <f>IF(AND(DL$5&gt;$E14,DL$5&lt;=$F14),IF(DL$5=$E14+1,$C14,""),"")</f>
        <v/>
      </c>
      <c r="DM14" s="34">
        <f>IF(AND(DM$5&gt;$E14,DM$5&lt;=$F14),IF(DM$5=$E14+1,$C14,""),"")</f>
        <v/>
      </c>
      <c r="DN14" s="34">
        <f>IF(AND(DN$5&gt;$E14,DN$5&lt;=$F14),IF(DN$5=$E14+1,$C14,""),"")</f>
        <v/>
      </c>
      <c r="DO14" s="34">
        <f>IF(AND(DO$5&gt;$E14,DO$5&lt;=$F14),IF(DO$5=$E14+1,$C14,""),"")</f>
        <v/>
      </c>
      <c r="DP14" s="34">
        <f>IF(AND(DP$5&gt;$E14,DP$5&lt;=$F14),IF(DP$5=$E14+1,$C14,""),"")</f>
        <v/>
      </c>
      <c r="DQ14" s="34">
        <f>IF(AND(DQ$5&gt;$E14,DQ$5&lt;=$F14),IF(DQ$5=$E14+1,$C14,""),"")</f>
        <v/>
      </c>
      <c r="DR14" s="34">
        <f>IF(AND(DR$5&gt;$E14,DR$5&lt;=$F14),IF(DR$5=$E14+1,$C14,""),"")</f>
        <v/>
      </c>
      <c r="DS14" s="34">
        <f>IF(AND(DS$5&gt;$E14,DS$5&lt;=$F14),IF(DS$5=$E14+1,$C14,""),"")</f>
        <v/>
      </c>
      <c r="DT14" s="34">
        <f>IF(AND(DT$5&gt;$E14,DT$5&lt;=$F14),IF(DT$5=$E14+1,$C14,""),"")</f>
        <v/>
      </c>
      <c r="DU14" s="34">
        <f>IF(AND(DU$5&gt;$E14,DU$5&lt;=$F14),IF(DU$5=$E14+1,$C14,""),"")</f>
        <v/>
      </c>
      <c r="DV14" s="34">
        <f>IF(AND(DV$5&gt;$E14,DV$5&lt;=$F14),IF(DV$5=$E14+1,$C14,""),"")</f>
        <v/>
      </c>
      <c r="DW14" s="34">
        <f>IF(AND(DW$5&gt;$E14,DW$5&lt;=$F14),IF(DW$5=$E14+1,$C14,""),"")</f>
        <v/>
      </c>
      <c r="DX14" s="34">
        <f>IF(AND(DX$5&gt;$E14,DX$5&lt;=$F14),IF(DX$5=$E14+1,$C14,""),"")</f>
        <v/>
      </c>
      <c r="DY14" s="34">
        <f>IF(AND(DY$5&gt;$E14,DY$5&lt;=$F14),IF(DY$5=$E14+1,$C14,""),"")</f>
        <v/>
      </c>
      <c r="DZ14" s="34">
        <f>IF(AND(DZ$5&gt;$E14,DZ$5&lt;=$F14),IF(DZ$5=$E14+1,$C14,""),"")</f>
        <v/>
      </c>
      <c r="EA14" s="34">
        <f>IF(AND(EA$5&gt;$E14,EA$5&lt;=$F14),IF(EA$5=$E14+1,$C14,""),"")</f>
        <v/>
      </c>
      <c r="EB14" s="34">
        <f>IF(AND(EB$5&gt;$E14,EB$5&lt;=$F14),IF(EB$5=$E14+1,$C14,""),"")</f>
        <v/>
      </c>
      <c r="EC14" s="34">
        <f>IF(AND(EC$5&gt;$E14,EC$5&lt;=$F14),IF(EC$5=$E14+1,$C14,""),"")</f>
        <v/>
      </c>
      <c r="ED14" s="34">
        <f>IF(AND(ED$5&gt;$E14,ED$5&lt;=$F14),IF(ED$5=$E14+1,$C14,""),"")</f>
        <v/>
      </c>
      <c r="EE14" s="34">
        <f>IF(AND(EE$5&gt;$E14,EE$5&lt;=$F14),IF(EE$5=$E14+1,$C14,""),"")</f>
        <v/>
      </c>
      <c r="EF14" s="34">
        <f>IF(AND(EF$5&gt;$E14,EF$5&lt;=$F14),IF(EF$5=$E14+1,$C14,""),"")</f>
        <v/>
      </c>
      <c r="EG14" s="34">
        <f>IF(AND(EG$5&gt;$E14,EG$5&lt;=$F14),IF(EG$5=$E14+1,$C14,""),"")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c r="CT15" s="34">
        <f>IF(AND(CT$5&gt;$E15,CT$5&lt;=$F15),IF(CT$5=$E15+1,$C15,""),"")</f>
        <v/>
      </c>
      <c r="CU15" s="34">
        <f>IF(AND(CU$5&gt;$E15,CU$5&lt;=$F15),IF(CU$5=$E15+1,$C15,""),"")</f>
        <v/>
      </c>
      <c r="CV15" s="34">
        <f>IF(AND(CV$5&gt;$E15,CV$5&lt;=$F15),IF(CV$5=$E15+1,$C15,""),"")</f>
        <v/>
      </c>
      <c r="CW15" s="34">
        <f>IF(AND(CW$5&gt;$E15,CW$5&lt;=$F15),IF(CW$5=$E15+1,$C15,""),"")</f>
        <v/>
      </c>
      <c r="CX15" s="34">
        <f>IF(AND(CX$5&gt;$E15,CX$5&lt;=$F15),IF(CX$5=$E15+1,$C15,""),"")</f>
        <v/>
      </c>
      <c r="CY15" s="34">
        <f>IF(AND(CY$5&gt;$E15,CY$5&lt;=$F15),IF(CY$5=$E15+1,$C15,""),"")</f>
        <v/>
      </c>
      <c r="CZ15" s="34">
        <f>IF(AND(CZ$5&gt;$E15,CZ$5&lt;=$F15),IF(CZ$5=$E15+1,$C15,""),"")</f>
        <v/>
      </c>
      <c r="DA15" s="34">
        <f>IF(AND(DA$5&gt;$E15,DA$5&lt;=$F15),IF(DA$5=$E15+1,$C15,""),"")</f>
        <v/>
      </c>
      <c r="DB15" s="34">
        <f>IF(AND(DB$5&gt;$E15,DB$5&lt;=$F15),IF(DB$5=$E15+1,$C15,""),"")</f>
        <v/>
      </c>
      <c r="DC15" s="34">
        <f>IF(AND(DC$5&gt;$E15,DC$5&lt;=$F15),IF(DC$5=$E15+1,$C15,""),"")</f>
        <v/>
      </c>
      <c r="DD15" s="34">
        <f>IF(AND(DD$5&gt;$E15,DD$5&lt;=$F15),IF(DD$5=$E15+1,$C15,""),"")</f>
        <v/>
      </c>
      <c r="DE15" s="34">
        <f>IF(AND(DE$5&gt;$E15,DE$5&lt;=$F15),IF(DE$5=$E15+1,$C15,""),"")</f>
        <v/>
      </c>
      <c r="DF15" s="34">
        <f>IF(AND(DF$5&gt;$E15,DF$5&lt;=$F15),IF(DF$5=$E15+1,$C15,""),"")</f>
        <v/>
      </c>
      <c r="DG15" s="34">
        <f>IF(AND(DG$5&gt;$E15,DG$5&lt;=$F15),IF(DG$5=$E15+1,$C15,""),"")</f>
        <v/>
      </c>
      <c r="DH15" s="34">
        <f>IF(AND(DH$5&gt;$E15,DH$5&lt;=$F15),IF(DH$5=$E15+1,$C15,""),"")</f>
        <v/>
      </c>
      <c r="DI15" s="34">
        <f>IF(AND(DI$5&gt;$E15,DI$5&lt;=$F15),IF(DI$5=$E15+1,$C15,""),"")</f>
        <v/>
      </c>
      <c r="DJ15" s="34">
        <f>IF(AND(DJ$5&gt;$E15,DJ$5&lt;=$F15),IF(DJ$5=$E15+1,$C15,""),"")</f>
        <v/>
      </c>
      <c r="DK15" s="34">
        <f>IF(AND(DK$5&gt;$E15,DK$5&lt;=$F15),IF(DK$5=$E15+1,$C15,""),"")</f>
        <v/>
      </c>
      <c r="DL15" s="34">
        <f>IF(AND(DL$5&gt;$E15,DL$5&lt;=$F15),IF(DL$5=$E15+1,$C15,""),"")</f>
        <v/>
      </c>
      <c r="DM15" s="34">
        <f>IF(AND(DM$5&gt;$E15,DM$5&lt;=$F15),IF(DM$5=$E15+1,$C15,""),"")</f>
        <v/>
      </c>
      <c r="DN15" s="34">
        <f>IF(AND(DN$5&gt;$E15,DN$5&lt;=$F15),IF(DN$5=$E15+1,$C15,""),"")</f>
        <v/>
      </c>
      <c r="DO15" s="34">
        <f>IF(AND(DO$5&gt;$E15,DO$5&lt;=$F15),IF(DO$5=$E15+1,$C15,""),"")</f>
        <v/>
      </c>
      <c r="DP15" s="34">
        <f>IF(AND(DP$5&gt;$E15,DP$5&lt;=$F15),IF(DP$5=$E15+1,$C15,""),"")</f>
        <v/>
      </c>
      <c r="DQ15" s="34">
        <f>IF(AND(DQ$5&gt;$E15,DQ$5&lt;=$F15),IF(DQ$5=$E15+1,$C15,""),"")</f>
        <v/>
      </c>
      <c r="DR15" s="34">
        <f>IF(AND(DR$5&gt;$E15,DR$5&lt;=$F15),IF(DR$5=$E15+1,$C15,""),"")</f>
        <v/>
      </c>
      <c r="DS15" s="34">
        <f>IF(AND(DS$5&gt;$E15,DS$5&lt;=$F15),IF(DS$5=$E15+1,$C15,""),"")</f>
        <v/>
      </c>
      <c r="DT15" s="34">
        <f>IF(AND(DT$5&gt;$E15,DT$5&lt;=$F15),IF(DT$5=$E15+1,$C15,""),"")</f>
        <v/>
      </c>
      <c r="DU15" s="34">
        <f>IF(AND(DU$5&gt;$E15,DU$5&lt;=$F15),IF(DU$5=$E15+1,$C15,""),"")</f>
        <v/>
      </c>
      <c r="DV15" s="34">
        <f>IF(AND(DV$5&gt;$E15,DV$5&lt;=$F15),IF(DV$5=$E15+1,$C15,""),"")</f>
        <v/>
      </c>
      <c r="DW15" s="34">
        <f>IF(AND(DW$5&gt;$E15,DW$5&lt;=$F15),IF(DW$5=$E15+1,$C15,""),"")</f>
        <v/>
      </c>
      <c r="DX15" s="34">
        <f>IF(AND(DX$5&gt;$E15,DX$5&lt;=$F15),IF(DX$5=$E15+1,$C15,""),"")</f>
        <v/>
      </c>
      <c r="DY15" s="34">
        <f>IF(AND(DY$5&gt;$E15,DY$5&lt;=$F15),IF(DY$5=$E15+1,$C15,""),"")</f>
        <v/>
      </c>
      <c r="DZ15" s="34">
        <f>IF(AND(DZ$5&gt;$E15,DZ$5&lt;=$F15),IF(DZ$5=$E15+1,$C15,""),"")</f>
        <v/>
      </c>
      <c r="EA15" s="34">
        <f>IF(AND(EA$5&gt;$E15,EA$5&lt;=$F15),IF(EA$5=$E15+1,$C15,""),"")</f>
        <v/>
      </c>
      <c r="EB15" s="34">
        <f>IF(AND(EB$5&gt;$E15,EB$5&lt;=$F15),IF(EB$5=$E15+1,$C15,""),"")</f>
        <v/>
      </c>
      <c r="EC15" s="34">
        <f>IF(AND(EC$5&gt;$E15,EC$5&lt;=$F15),IF(EC$5=$E15+1,$C15,""),"")</f>
        <v/>
      </c>
      <c r="ED15" s="34">
        <f>IF(AND(ED$5&gt;$E15,ED$5&lt;=$F15),IF(ED$5=$E15+1,$C15,""),"")</f>
        <v/>
      </c>
      <c r="EE15" s="34">
        <f>IF(AND(EE$5&gt;$E15,EE$5&lt;=$F15),IF(EE$5=$E15+1,$C15,""),"")</f>
        <v/>
      </c>
      <c r="EF15" s="34">
        <f>IF(AND(EF$5&gt;$E15,EF$5&lt;=$F15),IF(EF$5=$E15+1,$C15,""),"")</f>
        <v/>
      </c>
      <c r="EG15" s="34">
        <f>IF(AND(EG$5&gt;$E15,EG$5&lt;=$F15),IF(EG$5=$E15+1,$C15,""),"")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c r="CT16" s="34">
        <f>IF(AND(CT$5&gt;$E16,CT$5&lt;=$F16),IF(CT$5=$E16+1,$C16,""),"")</f>
        <v/>
      </c>
      <c r="CU16" s="34">
        <f>IF(AND(CU$5&gt;$E16,CU$5&lt;=$F16),IF(CU$5=$E16+1,$C16,""),"")</f>
        <v/>
      </c>
      <c r="CV16" s="34">
        <f>IF(AND(CV$5&gt;$E16,CV$5&lt;=$F16),IF(CV$5=$E16+1,$C16,""),"")</f>
        <v/>
      </c>
      <c r="CW16" s="34">
        <f>IF(AND(CW$5&gt;$E16,CW$5&lt;=$F16),IF(CW$5=$E16+1,$C16,""),"")</f>
        <v/>
      </c>
      <c r="CX16" s="34">
        <f>IF(AND(CX$5&gt;$E16,CX$5&lt;=$F16),IF(CX$5=$E16+1,$C16,""),"")</f>
        <v/>
      </c>
      <c r="CY16" s="34">
        <f>IF(AND(CY$5&gt;$E16,CY$5&lt;=$F16),IF(CY$5=$E16+1,$C16,""),"")</f>
        <v/>
      </c>
      <c r="CZ16" s="34">
        <f>IF(AND(CZ$5&gt;$E16,CZ$5&lt;=$F16),IF(CZ$5=$E16+1,$C16,""),"")</f>
        <v/>
      </c>
      <c r="DA16" s="34">
        <f>IF(AND(DA$5&gt;$E16,DA$5&lt;=$F16),IF(DA$5=$E16+1,$C16,""),"")</f>
        <v/>
      </c>
      <c r="DB16" s="34">
        <f>IF(AND(DB$5&gt;$E16,DB$5&lt;=$F16),IF(DB$5=$E16+1,$C16,""),"")</f>
        <v/>
      </c>
      <c r="DC16" s="34">
        <f>IF(AND(DC$5&gt;$E16,DC$5&lt;=$F16),IF(DC$5=$E16+1,$C16,""),"")</f>
        <v/>
      </c>
      <c r="DD16" s="34">
        <f>IF(AND(DD$5&gt;$E16,DD$5&lt;=$F16),IF(DD$5=$E16+1,$C16,""),"")</f>
        <v/>
      </c>
      <c r="DE16" s="34">
        <f>IF(AND(DE$5&gt;$E16,DE$5&lt;=$F16),IF(DE$5=$E16+1,$C16,""),"")</f>
        <v/>
      </c>
      <c r="DF16" s="34">
        <f>IF(AND(DF$5&gt;$E16,DF$5&lt;=$F16),IF(DF$5=$E16+1,$C16,""),"")</f>
        <v/>
      </c>
      <c r="DG16" s="34">
        <f>IF(AND(DG$5&gt;$E16,DG$5&lt;=$F16),IF(DG$5=$E16+1,$C16,""),"")</f>
        <v/>
      </c>
      <c r="DH16" s="34">
        <f>IF(AND(DH$5&gt;$E16,DH$5&lt;=$F16),IF(DH$5=$E16+1,$C16,""),"")</f>
        <v/>
      </c>
      <c r="DI16" s="34">
        <f>IF(AND(DI$5&gt;$E16,DI$5&lt;=$F16),IF(DI$5=$E16+1,$C16,""),"")</f>
        <v/>
      </c>
      <c r="DJ16" s="34">
        <f>IF(AND(DJ$5&gt;$E16,DJ$5&lt;=$F16),IF(DJ$5=$E16+1,$C16,""),"")</f>
        <v/>
      </c>
      <c r="DK16" s="34">
        <f>IF(AND(DK$5&gt;$E16,DK$5&lt;=$F16),IF(DK$5=$E16+1,$C16,""),"")</f>
        <v/>
      </c>
      <c r="DL16" s="34">
        <f>IF(AND(DL$5&gt;$E16,DL$5&lt;=$F16),IF(DL$5=$E16+1,$C16,""),"")</f>
        <v/>
      </c>
      <c r="DM16" s="34">
        <f>IF(AND(DM$5&gt;$E16,DM$5&lt;=$F16),IF(DM$5=$E16+1,$C16,""),"")</f>
        <v/>
      </c>
      <c r="DN16" s="34">
        <f>IF(AND(DN$5&gt;$E16,DN$5&lt;=$F16),IF(DN$5=$E16+1,$C16,""),"")</f>
        <v/>
      </c>
      <c r="DO16" s="34">
        <f>IF(AND(DO$5&gt;$E16,DO$5&lt;=$F16),IF(DO$5=$E16+1,$C16,""),"")</f>
        <v/>
      </c>
      <c r="DP16" s="34">
        <f>IF(AND(DP$5&gt;$E16,DP$5&lt;=$F16),IF(DP$5=$E16+1,$C16,""),"")</f>
        <v/>
      </c>
      <c r="DQ16" s="34">
        <f>IF(AND(DQ$5&gt;$E16,DQ$5&lt;=$F16),IF(DQ$5=$E16+1,$C16,""),"")</f>
        <v/>
      </c>
      <c r="DR16" s="34">
        <f>IF(AND(DR$5&gt;$E16,DR$5&lt;=$F16),IF(DR$5=$E16+1,$C16,""),"")</f>
        <v/>
      </c>
      <c r="DS16" s="34">
        <f>IF(AND(DS$5&gt;$E16,DS$5&lt;=$F16),IF(DS$5=$E16+1,$C16,""),"")</f>
        <v/>
      </c>
      <c r="DT16" s="34">
        <f>IF(AND(DT$5&gt;$E16,DT$5&lt;=$F16),IF(DT$5=$E16+1,$C16,""),"")</f>
        <v/>
      </c>
      <c r="DU16" s="34">
        <f>IF(AND(DU$5&gt;$E16,DU$5&lt;=$F16),IF(DU$5=$E16+1,$C16,""),"")</f>
        <v/>
      </c>
      <c r="DV16" s="34">
        <f>IF(AND(DV$5&gt;$E16,DV$5&lt;=$F16),IF(DV$5=$E16+1,$C16,""),"")</f>
        <v/>
      </c>
      <c r="DW16" s="34">
        <f>IF(AND(DW$5&gt;$E16,DW$5&lt;=$F16),IF(DW$5=$E16+1,$C16,""),"")</f>
        <v/>
      </c>
      <c r="DX16" s="34">
        <f>IF(AND(DX$5&gt;$E16,DX$5&lt;=$F16),IF(DX$5=$E16+1,$C16,""),"")</f>
        <v/>
      </c>
      <c r="DY16" s="34">
        <f>IF(AND(DY$5&gt;$E16,DY$5&lt;=$F16),IF(DY$5=$E16+1,$C16,""),"")</f>
        <v/>
      </c>
      <c r="DZ16" s="34">
        <f>IF(AND(DZ$5&gt;$E16,DZ$5&lt;=$F16),IF(DZ$5=$E16+1,$C16,""),"")</f>
        <v/>
      </c>
      <c r="EA16" s="34">
        <f>IF(AND(EA$5&gt;$E16,EA$5&lt;=$F16),IF(EA$5=$E16+1,$C16,""),"")</f>
        <v/>
      </c>
      <c r="EB16" s="34">
        <f>IF(AND(EB$5&gt;$E16,EB$5&lt;=$F16),IF(EB$5=$E16+1,$C16,""),"")</f>
        <v/>
      </c>
      <c r="EC16" s="34">
        <f>IF(AND(EC$5&gt;$E16,EC$5&lt;=$F16),IF(EC$5=$E16+1,$C16,""),"")</f>
        <v/>
      </c>
      <c r="ED16" s="34">
        <f>IF(AND(ED$5&gt;$E16,ED$5&lt;=$F16),IF(ED$5=$E16+1,$C16,""),"")</f>
        <v/>
      </c>
      <c r="EE16" s="34">
        <f>IF(AND(EE$5&gt;$E16,EE$5&lt;=$F16),IF(EE$5=$E16+1,$C16,""),"")</f>
        <v/>
      </c>
      <c r="EF16" s="34">
        <f>IF(AND(EF$5&gt;$E16,EF$5&lt;=$F16),IF(EF$5=$E16+1,$C16,""),"")</f>
        <v/>
      </c>
      <c r="EG16" s="34">
        <f>IF(AND(EG$5&gt;$E16,EG$5&lt;=$F16),IF(EG$5=$E16+1,$C16,""),"")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c r="CT17" s="34">
        <f>IF(AND(CT$5&gt;$E17,CT$5&lt;=$F17),IF(CT$5=$E17+1,$C17,""),"")</f>
        <v/>
      </c>
      <c r="CU17" s="34">
        <f>IF(AND(CU$5&gt;$E17,CU$5&lt;=$F17),IF(CU$5=$E17+1,$C17,""),"")</f>
        <v/>
      </c>
      <c r="CV17" s="34">
        <f>IF(AND(CV$5&gt;$E17,CV$5&lt;=$F17),IF(CV$5=$E17+1,$C17,""),"")</f>
        <v/>
      </c>
      <c r="CW17" s="34">
        <f>IF(AND(CW$5&gt;$E17,CW$5&lt;=$F17),IF(CW$5=$E17+1,$C17,""),"")</f>
        <v/>
      </c>
      <c r="CX17" s="34">
        <f>IF(AND(CX$5&gt;$E17,CX$5&lt;=$F17),IF(CX$5=$E17+1,$C17,""),"")</f>
        <v/>
      </c>
      <c r="CY17" s="34">
        <f>IF(AND(CY$5&gt;$E17,CY$5&lt;=$F17),IF(CY$5=$E17+1,$C17,""),"")</f>
        <v/>
      </c>
      <c r="CZ17" s="34">
        <f>IF(AND(CZ$5&gt;$E17,CZ$5&lt;=$F17),IF(CZ$5=$E17+1,$C17,""),"")</f>
        <v/>
      </c>
      <c r="DA17" s="34">
        <f>IF(AND(DA$5&gt;$E17,DA$5&lt;=$F17),IF(DA$5=$E17+1,$C17,""),"")</f>
        <v/>
      </c>
      <c r="DB17" s="34">
        <f>IF(AND(DB$5&gt;$E17,DB$5&lt;=$F17),IF(DB$5=$E17+1,$C17,""),"")</f>
        <v/>
      </c>
      <c r="DC17" s="34">
        <f>IF(AND(DC$5&gt;$E17,DC$5&lt;=$F17),IF(DC$5=$E17+1,$C17,""),"")</f>
        <v/>
      </c>
      <c r="DD17" s="34">
        <f>IF(AND(DD$5&gt;$E17,DD$5&lt;=$F17),IF(DD$5=$E17+1,$C17,""),"")</f>
        <v/>
      </c>
      <c r="DE17" s="34">
        <f>IF(AND(DE$5&gt;$E17,DE$5&lt;=$F17),IF(DE$5=$E17+1,$C17,""),"")</f>
        <v/>
      </c>
      <c r="DF17" s="34">
        <f>IF(AND(DF$5&gt;$E17,DF$5&lt;=$F17),IF(DF$5=$E17+1,$C17,""),"")</f>
        <v/>
      </c>
      <c r="DG17" s="34">
        <f>IF(AND(DG$5&gt;$E17,DG$5&lt;=$F17),IF(DG$5=$E17+1,$C17,""),"")</f>
        <v/>
      </c>
      <c r="DH17" s="34">
        <f>IF(AND(DH$5&gt;$E17,DH$5&lt;=$F17),IF(DH$5=$E17+1,$C17,""),"")</f>
        <v/>
      </c>
      <c r="DI17" s="34">
        <f>IF(AND(DI$5&gt;$E17,DI$5&lt;=$F17),IF(DI$5=$E17+1,$C17,""),"")</f>
        <v/>
      </c>
      <c r="DJ17" s="34">
        <f>IF(AND(DJ$5&gt;$E17,DJ$5&lt;=$F17),IF(DJ$5=$E17+1,$C17,""),"")</f>
        <v/>
      </c>
      <c r="DK17" s="34">
        <f>IF(AND(DK$5&gt;$E17,DK$5&lt;=$F17),IF(DK$5=$E17+1,$C17,""),"")</f>
        <v/>
      </c>
      <c r="DL17" s="34">
        <f>IF(AND(DL$5&gt;$E17,DL$5&lt;=$F17),IF(DL$5=$E17+1,$C17,""),"")</f>
        <v/>
      </c>
      <c r="DM17" s="34">
        <f>IF(AND(DM$5&gt;$E17,DM$5&lt;=$F17),IF(DM$5=$E17+1,$C17,""),"")</f>
        <v/>
      </c>
      <c r="DN17" s="34">
        <f>IF(AND(DN$5&gt;$E17,DN$5&lt;=$F17),IF(DN$5=$E17+1,$C17,""),"")</f>
        <v/>
      </c>
      <c r="DO17" s="34">
        <f>IF(AND(DO$5&gt;$E17,DO$5&lt;=$F17),IF(DO$5=$E17+1,$C17,""),"")</f>
        <v/>
      </c>
      <c r="DP17" s="34">
        <f>IF(AND(DP$5&gt;$E17,DP$5&lt;=$F17),IF(DP$5=$E17+1,$C17,""),"")</f>
        <v/>
      </c>
      <c r="DQ17" s="34">
        <f>IF(AND(DQ$5&gt;$E17,DQ$5&lt;=$F17),IF(DQ$5=$E17+1,$C17,""),"")</f>
        <v/>
      </c>
      <c r="DR17" s="34">
        <f>IF(AND(DR$5&gt;$E17,DR$5&lt;=$F17),IF(DR$5=$E17+1,$C17,""),"")</f>
        <v/>
      </c>
      <c r="DS17" s="34">
        <f>IF(AND(DS$5&gt;$E17,DS$5&lt;=$F17),IF(DS$5=$E17+1,$C17,""),"")</f>
        <v/>
      </c>
      <c r="DT17" s="34">
        <f>IF(AND(DT$5&gt;$E17,DT$5&lt;=$F17),IF(DT$5=$E17+1,$C17,""),"")</f>
        <v/>
      </c>
      <c r="DU17" s="34">
        <f>IF(AND(DU$5&gt;$E17,DU$5&lt;=$F17),IF(DU$5=$E17+1,$C17,""),"")</f>
        <v/>
      </c>
      <c r="DV17" s="34">
        <f>IF(AND(DV$5&gt;$E17,DV$5&lt;=$F17),IF(DV$5=$E17+1,$C17,""),"")</f>
        <v/>
      </c>
      <c r="DW17" s="34">
        <f>IF(AND(DW$5&gt;$E17,DW$5&lt;=$F17),IF(DW$5=$E17+1,$C17,""),"")</f>
        <v/>
      </c>
      <c r="DX17" s="34">
        <f>IF(AND(DX$5&gt;$E17,DX$5&lt;=$F17),IF(DX$5=$E17+1,$C17,""),"")</f>
        <v/>
      </c>
      <c r="DY17" s="34">
        <f>IF(AND(DY$5&gt;$E17,DY$5&lt;=$F17),IF(DY$5=$E17+1,$C17,""),"")</f>
        <v/>
      </c>
      <c r="DZ17" s="34">
        <f>IF(AND(DZ$5&gt;$E17,DZ$5&lt;=$F17),IF(DZ$5=$E17+1,$C17,""),"")</f>
        <v/>
      </c>
      <c r="EA17" s="34">
        <f>IF(AND(EA$5&gt;$E17,EA$5&lt;=$F17),IF(EA$5=$E17+1,$C17,""),"")</f>
        <v/>
      </c>
      <c r="EB17" s="34">
        <f>IF(AND(EB$5&gt;$E17,EB$5&lt;=$F17),IF(EB$5=$E17+1,$C17,""),"")</f>
        <v/>
      </c>
      <c r="EC17" s="34">
        <f>IF(AND(EC$5&gt;$E17,EC$5&lt;=$F17),IF(EC$5=$E17+1,$C17,""),"")</f>
        <v/>
      </c>
      <c r="ED17" s="34">
        <f>IF(AND(ED$5&gt;$E17,ED$5&lt;=$F17),IF(ED$5=$E17+1,$C17,""),"")</f>
        <v/>
      </c>
      <c r="EE17" s="34">
        <f>IF(AND(EE$5&gt;$E17,EE$5&lt;=$F17),IF(EE$5=$E17+1,$C17,""),"")</f>
        <v/>
      </c>
      <c r="EF17" s="34">
        <f>IF(AND(EF$5&gt;$E17,EF$5&lt;=$F17),IF(EF$5=$E17+1,$C17,""),"")</f>
        <v/>
      </c>
      <c r="EG17" s="34">
        <f>IF(AND(EG$5&gt;$E17,EG$5&lt;=$F17),IF(EG$5=$E17+1,$C17,""),"")</f>
        <v/>
      </c>
    </row>
    <row r="18">
      <c r="A18" s="27" t="inlineStr">
        <is>
          <t>Fase 2. Landing y autenticación</t>
        </is>
      </c>
      <c r="B18" s="28" t="n"/>
      <c r="C18" s="28" t="n"/>
      <c r="D18" s="28" t="n"/>
      <c r="E18" s="29">
        <f>SUMPRODUCT(MIN((Plan!$B$5:$B$117="2. Landing y autenticación")*Plan!$K$5:$K$117+(Plan!$B$5:$B$117&lt;&gt;"2. Landing y autenticación")*1E9))</f>
        <v/>
      </c>
      <c r="F18" s="29">
        <f>SUMPRODUCT(MAX((Plan!$B$5:$B$117="2. Landing y autenticación")*Plan!$L$5:$L$117))</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c r="CT19" s="34">
        <f>IF(AND(CT$5&gt;$E19,CT$5&lt;=$F19),IF(CT$5=$E19+1,$C19,""),"")</f>
        <v/>
      </c>
      <c r="CU19" s="34">
        <f>IF(AND(CU$5&gt;$E19,CU$5&lt;=$F19),IF(CU$5=$E19+1,$C19,""),"")</f>
        <v/>
      </c>
      <c r="CV19" s="34">
        <f>IF(AND(CV$5&gt;$E19,CV$5&lt;=$F19),IF(CV$5=$E19+1,$C19,""),"")</f>
        <v/>
      </c>
      <c r="CW19" s="34">
        <f>IF(AND(CW$5&gt;$E19,CW$5&lt;=$F19),IF(CW$5=$E19+1,$C19,""),"")</f>
        <v/>
      </c>
      <c r="CX19" s="34">
        <f>IF(AND(CX$5&gt;$E19,CX$5&lt;=$F19),IF(CX$5=$E19+1,$C19,""),"")</f>
        <v/>
      </c>
      <c r="CY19" s="34">
        <f>IF(AND(CY$5&gt;$E19,CY$5&lt;=$F19),IF(CY$5=$E19+1,$C19,""),"")</f>
        <v/>
      </c>
      <c r="CZ19" s="34">
        <f>IF(AND(CZ$5&gt;$E19,CZ$5&lt;=$F19),IF(CZ$5=$E19+1,$C19,""),"")</f>
        <v/>
      </c>
      <c r="DA19" s="34">
        <f>IF(AND(DA$5&gt;$E19,DA$5&lt;=$F19),IF(DA$5=$E19+1,$C19,""),"")</f>
        <v/>
      </c>
      <c r="DB19" s="34">
        <f>IF(AND(DB$5&gt;$E19,DB$5&lt;=$F19),IF(DB$5=$E19+1,$C19,""),"")</f>
        <v/>
      </c>
      <c r="DC19" s="34">
        <f>IF(AND(DC$5&gt;$E19,DC$5&lt;=$F19),IF(DC$5=$E19+1,$C19,""),"")</f>
        <v/>
      </c>
      <c r="DD19" s="34">
        <f>IF(AND(DD$5&gt;$E19,DD$5&lt;=$F19),IF(DD$5=$E19+1,$C19,""),"")</f>
        <v/>
      </c>
      <c r="DE19" s="34">
        <f>IF(AND(DE$5&gt;$E19,DE$5&lt;=$F19),IF(DE$5=$E19+1,$C19,""),"")</f>
        <v/>
      </c>
      <c r="DF19" s="34">
        <f>IF(AND(DF$5&gt;$E19,DF$5&lt;=$F19),IF(DF$5=$E19+1,$C19,""),"")</f>
        <v/>
      </c>
      <c r="DG19" s="34">
        <f>IF(AND(DG$5&gt;$E19,DG$5&lt;=$F19),IF(DG$5=$E19+1,$C19,""),"")</f>
        <v/>
      </c>
      <c r="DH19" s="34">
        <f>IF(AND(DH$5&gt;$E19,DH$5&lt;=$F19),IF(DH$5=$E19+1,$C19,""),"")</f>
        <v/>
      </c>
      <c r="DI19" s="34">
        <f>IF(AND(DI$5&gt;$E19,DI$5&lt;=$F19),IF(DI$5=$E19+1,$C19,""),"")</f>
        <v/>
      </c>
      <c r="DJ19" s="34">
        <f>IF(AND(DJ$5&gt;$E19,DJ$5&lt;=$F19),IF(DJ$5=$E19+1,$C19,""),"")</f>
        <v/>
      </c>
      <c r="DK19" s="34">
        <f>IF(AND(DK$5&gt;$E19,DK$5&lt;=$F19),IF(DK$5=$E19+1,$C19,""),"")</f>
        <v/>
      </c>
      <c r="DL19" s="34">
        <f>IF(AND(DL$5&gt;$E19,DL$5&lt;=$F19),IF(DL$5=$E19+1,$C19,""),"")</f>
        <v/>
      </c>
      <c r="DM19" s="34">
        <f>IF(AND(DM$5&gt;$E19,DM$5&lt;=$F19),IF(DM$5=$E19+1,$C19,""),"")</f>
        <v/>
      </c>
      <c r="DN19" s="34">
        <f>IF(AND(DN$5&gt;$E19,DN$5&lt;=$F19),IF(DN$5=$E19+1,$C19,""),"")</f>
        <v/>
      </c>
      <c r="DO19" s="34">
        <f>IF(AND(DO$5&gt;$E19,DO$5&lt;=$F19),IF(DO$5=$E19+1,$C19,""),"")</f>
        <v/>
      </c>
      <c r="DP19" s="34">
        <f>IF(AND(DP$5&gt;$E19,DP$5&lt;=$F19),IF(DP$5=$E19+1,$C19,""),"")</f>
        <v/>
      </c>
      <c r="DQ19" s="34">
        <f>IF(AND(DQ$5&gt;$E19,DQ$5&lt;=$F19),IF(DQ$5=$E19+1,$C19,""),"")</f>
        <v/>
      </c>
      <c r="DR19" s="34">
        <f>IF(AND(DR$5&gt;$E19,DR$5&lt;=$F19),IF(DR$5=$E19+1,$C19,""),"")</f>
        <v/>
      </c>
      <c r="DS19" s="34">
        <f>IF(AND(DS$5&gt;$E19,DS$5&lt;=$F19),IF(DS$5=$E19+1,$C19,""),"")</f>
        <v/>
      </c>
      <c r="DT19" s="34">
        <f>IF(AND(DT$5&gt;$E19,DT$5&lt;=$F19),IF(DT$5=$E19+1,$C19,""),"")</f>
        <v/>
      </c>
      <c r="DU19" s="34">
        <f>IF(AND(DU$5&gt;$E19,DU$5&lt;=$F19),IF(DU$5=$E19+1,$C19,""),"")</f>
        <v/>
      </c>
      <c r="DV19" s="34">
        <f>IF(AND(DV$5&gt;$E19,DV$5&lt;=$F19),IF(DV$5=$E19+1,$C19,""),"")</f>
        <v/>
      </c>
      <c r="DW19" s="34">
        <f>IF(AND(DW$5&gt;$E19,DW$5&lt;=$F19),IF(DW$5=$E19+1,$C19,""),"")</f>
        <v/>
      </c>
      <c r="DX19" s="34">
        <f>IF(AND(DX$5&gt;$E19,DX$5&lt;=$F19),IF(DX$5=$E19+1,$C19,""),"")</f>
        <v/>
      </c>
      <c r="DY19" s="34">
        <f>IF(AND(DY$5&gt;$E19,DY$5&lt;=$F19),IF(DY$5=$E19+1,$C19,""),"")</f>
        <v/>
      </c>
      <c r="DZ19" s="34">
        <f>IF(AND(DZ$5&gt;$E19,DZ$5&lt;=$F19),IF(DZ$5=$E19+1,$C19,""),"")</f>
        <v/>
      </c>
      <c r="EA19" s="34">
        <f>IF(AND(EA$5&gt;$E19,EA$5&lt;=$F19),IF(EA$5=$E19+1,$C19,""),"")</f>
        <v/>
      </c>
      <c r="EB19" s="34">
        <f>IF(AND(EB$5&gt;$E19,EB$5&lt;=$F19),IF(EB$5=$E19+1,$C19,""),"")</f>
        <v/>
      </c>
      <c r="EC19" s="34">
        <f>IF(AND(EC$5&gt;$E19,EC$5&lt;=$F19),IF(EC$5=$E19+1,$C19,""),"")</f>
        <v/>
      </c>
      <c r="ED19" s="34">
        <f>IF(AND(ED$5&gt;$E19,ED$5&lt;=$F19),IF(ED$5=$E19+1,$C19,""),"")</f>
        <v/>
      </c>
      <c r="EE19" s="34">
        <f>IF(AND(EE$5&gt;$E19,EE$5&lt;=$F19),IF(EE$5=$E19+1,$C19,""),"")</f>
        <v/>
      </c>
      <c r="EF19" s="34">
        <f>IF(AND(EF$5&gt;$E19,EF$5&lt;=$F19),IF(EF$5=$E19+1,$C19,""),"")</f>
        <v/>
      </c>
      <c r="EG19" s="34">
        <f>IF(AND(EG$5&gt;$E19,EG$5&lt;=$F19),IF(EG$5=$E19+1,$C19,""),"")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c r="CT20" s="34">
        <f>IF(AND(CT$5&gt;$E20,CT$5&lt;=$F20),IF(CT$5=$E20+1,$C20,""),"")</f>
        <v/>
      </c>
      <c r="CU20" s="34">
        <f>IF(AND(CU$5&gt;$E20,CU$5&lt;=$F20),IF(CU$5=$E20+1,$C20,""),"")</f>
        <v/>
      </c>
      <c r="CV20" s="34">
        <f>IF(AND(CV$5&gt;$E20,CV$5&lt;=$F20),IF(CV$5=$E20+1,$C20,""),"")</f>
        <v/>
      </c>
      <c r="CW20" s="34">
        <f>IF(AND(CW$5&gt;$E20,CW$5&lt;=$F20),IF(CW$5=$E20+1,$C20,""),"")</f>
        <v/>
      </c>
      <c r="CX20" s="34">
        <f>IF(AND(CX$5&gt;$E20,CX$5&lt;=$F20),IF(CX$5=$E20+1,$C20,""),"")</f>
        <v/>
      </c>
      <c r="CY20" s="34">
        <f>IF(AND(CY$5&gt;$E20,CY$5&lt;=$F20),IF(CY$5=$E20+1,$C20,""),"")</f>
        <v/>
      </c>
      <c r="CZ20" s="34">
        <f>IF(AND(CZ$5&gt;$E20,CZ$5&lt;=$F20),IF(CZ$5=$E20+1,$C20,""),"")</f>
        <v/>
      </c>
      <c r="DA20" s="34">
        <f>IF(AND(DA$5&gt;$E20,DA$5&lt;=$F20),IF(DA$5=$E20+1,$C20,""),"")</f>
        <v/>
      </c>
      <c r="DB20" s="34">
        <f>IF(AND(DB$5&gt;$E20,DB$5&lt;=$F20),IF(DB$5=$E20+1,$C20,""),"")</f>
        <v/>
      </c>
      <c r="DC20" s="34">
        <f>IF(AND(DC$5&gt;$E20,DC$5&lt;=$F20),IF(DC$5=$E20+1,$C20,""),"")</f>
        <v/>
      </c>
      <c r="DD20" s="34">
        <f>IF(AND(DD$5&gt;$E20,DD$5&lt;=$F20),IF(DD$5=$E20+1,$C20,""),"")</f>
        <v/>
      </c>
      <c r="DE20" s="34">
        <f>IF(AND(DE$5&gt;$E20,DE$5&lt;=$F20),IF(DE$5=$E20+1,$C20,""),"")</f>
        <v/>
      </c>
      <c r="DF20" s="34">
        <f>IF(AND(DF$5&gt;$E20,DF$5&lt;=$F20),IF(DF$5=$E20+1,$C20,""),"")</f>
        <v/>
      </c>
      <c r="DG20" s="34">
        <f>IF(AND(DG$5&gt;$E20,DG$5&lt;=$F20),IF(DG$5=$E20+1,$C20,""),"")</f>
        <v/>
      </c>
      <c r="DH20" s="34">
        <f>IF(AND(DH$5&gt;$E20,DH$5&lt;=$F20),IF(DH$5=$E20+1,$C20,""),"")</f>
        <v/>
      </c>
      <c r="DI20" s="34">
        <f>IF(AND(DI$5&gt;$E20,DI$5&lt;=$F20),IF(DI$5=$E20+1,$C20,""),"")</f>
        <v/>
      </c>
      <c r="DJ20" s="34">
        <f>IF(AND(DJ$5&gt;$E20,DJ$5&lt;=$F20),IF(DJ$5=$E20+1,$C20,""),"")</f>
        <v/>
      </c>
      <c r="DK20" s="34">
        <f>IF(AND(DK$5&gt;$E20,DK$5&lt;=$F20),IF(DK$5=$E20+1,$C20,""),"")</f>
        <v/>
      </c>
      <c r="DL20" s="34">
        <f>IF(AND(DL$5&gt;$E20,DL$5&lt;=$F20),IF(DL$5=$E20+1,$C20,""),"")</f>
        <v/>
      </c>
      <c r="DM20" s="34">
        <f>IF(AND(DM$5&gt;$E20,DM$5&lt;=$F20),IF(DM$5=$E20+1,$C20,""),"")</f>
        <v/>
      </c>
      <c r="DN20" s="34">
        <f>IF(AND(DN$5&gt;$E20,DN$5&lt;=$F20),IF(DN$5=$E20+1,$C20,""),"")</f>
        <v/>
      </c>
      <c r="DO20" s="34">
        <f>IF(AND(DO$5&gt;$E20,DO$5&lt;=$F20),IF(DO$5=$E20+1,$C20,""),"")</f>
        <v/>
      </c>
      <c r="DP20" s="34">
        <f>IF(AND(DP$5&gt;$E20,DP$5&lt;=$F20),IF(DP$5=$E20+1,$C20,""),"")</f>
        <v/>
      </c>
      <c r="DQ20" s="34">
        <f>IF(AND(DQ$5&gt;$E20,DQ$5&lt;=$F20),IF(DQ$5=$E20+1,$C20,""),"")</f>
        <v/>
      </c>
      <c r="DR20" s="34">
        <f>IF(AND(DR$5&gt;$E20,DR$5&lt;=$F20),IF(DR$5=$E20+1,$C20,""),"")</f>
        <v/>
      </c>
      <c r="DS20" s="34">
        <f>IF(AND(DS$5&gt;$E20,DS$5&lt;=$F20),IF(DS$5=$E20+1,$C20,""),"")</f>
        <v/>
      </c>
      <c r="DT20" s="34">
        <f>IF(AND(DT$5&gt;$E20,DT$5&lt;=$F20),IF(DT$5=$E20+1,$C20,""),"")</f>
        <v/>
      </c>
      <c r="DU20" s="34">
        <f>IF(AND(DU$5&gt;$E20,DU$5&lt;=$F20),IF(DU$5=$E20+1,$C20,""),"")</f>
        <v/>
      </c>
      <c r="DV20" s="34">
        <f>IF(AND(DV$5&gt;$E20,DV$5&lt;=$F20),IF(DV$5=$E20+1,$C20,""),"")</f>
        <v/>
      </c>
      <c r="DW20" s="34">
        <f>IF(AND(DW$5&gt;$E20,DW$5&lt;=$F20),IF(DW$5=$E20+1,$C20,""),"")</f>
        <v/>
      </c>
      <c r="DX20" s="34">
        <f>IF(AND(DX$5&gt;$E20,DX$5&lt;=$F20),IF(DX$5=$E20+1,$C20,""),"")</f>
        <v/>
      </c>
      <c r="DY20" s="34">
        <f>IF(AND(DY$5&gt;$E20,DY$5&lt;=$F20),IF(DY$5=$E20+1,$C20,""),"")</f>
        <v/>
      </c>
      <c r="DZ20" s="34">
        <f>IF(AND(DZ$5&gt;$E20,DZ$5&lt;=$F20),IF(DZ$5=$E20+1,$C20,""),"")</f>
        <v/>
      </c>
      <c r="EA20" s="34">
        <f>IF(AND(EA$5&gt;$E20,EA$5&lt;=$F20),IF(EA$5=$E20+1,$C20,""),"")</f>
        <v/>
      </c>
      <c r="EB20" s="34">
        <f>IF(AND(EB$5&gt;$E20,EB$5&lt;=$F20),IF(EB$5=$E20+1,$C20,""),"")</f>
        <v/>
      </c>
      <c r="EC20" s="34">
        <f>IF(AND(EC$5&gt;$E20,EC$5&lt;=$F20),IF(EC$5=$E20+1,$C20,""),"")</f>
        <v/>
      </c>
      <c r="ED20" s="34">
        <f>IF(AND(ED$5&gt;$E20,ED$5&lt;=$F20),IF(ED$5=$E20+1,$C20,""),"")</f>
        <v/>
      </c>
      <c r="EE20" s="34">
        <f>IF(AND(EE$5&gt;$E20,EE$5&lt;=$F20),IF(EE$5=$E20+1,$C20,""),"")</f>
        <v/>
      </c>
      <c r="EF20" s="34">
        <f>IF(AND(EF$5&gt;$E20,EF$5&lt;=$F20),IF(EF$5=$E20+1,$C20,""),"")</f>
        <v/>
      </c>
      <c r="EG20" s="34">
        <f>IF(AND(EG$5&gt;$E20,EG$5&lt;=$F20),IF(EG$5=$E20+1,$C20,""),"")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c r="CT21" s="34">
        <f>IF(AND(CT$5&gt;$E21,CT$5&lt;=$F21),IF(CT$5=$E21+1,$C21,""),"")</f>
        <v/>
      </c>
      <c r="CU21" s="34">
        <f>IF(AND(CU$5&gt;$E21,CU$5&lt;=$F21),IF(CU$5=$E21+1,$C21,""),"")</f>
        <v/>
      </c>
      <c r="CV21" s="34">
        <f>IF(AND(CV$5&gt;$E21,CV$5&lt;=$F21),IF(CV$5=$E21+1,$C21,""),"")</f>
        <v/>
      </c>
      <c r="CW21" s="34">
        <f>IF(AND(CW$5&gt;$E21,CW$5&lt;=$F21),IF(CW$5=$E21+1,$C21,""),"")</f>
        <v/>
      </c>
      <c r="CX21" s="34">
        <f>IF(AND(CX$5&gt;$E21,CX$5&lt;=$F21),IF(CX$5=$E21+1,$C21,""),"")</f>
        <v/>
      </c>
      <c r="CY21" s="34">
        <f>IF(AND(CY$5&gt;$E21,CY$5&lt;=$F21),IF(CY$5=$E21+1,$C21,""),"")</f>
        <v/>
      </c>
      <c r="CZ21" s="34">
        <f>IF(AND(CZ$5&gt;$E21,CZ$5&lt;=$F21),IF(CZ$5=$E21+1,$C21,""),"")</f>
        <v/>
      </c>
      <c r="DA21" s="34">
        <f>IF(AND(DA$5&gt;$E21,DA$5&lt;=$F21),IF(DA$5=$E21+1,$C21,""),"")</f>
        <v/>
      </c>
      <c r="DB21" s="34">
        <f>IF(AND(DB$5&gt;$E21,DB$5&lt;=$F21),IF(DB$5=$E21+1,$C21,""),"")</f>
        <v/>
      </c>
      <c r="DC21" s="34">
        <f>IF(AND(DC$5&gt;$E21,DC$5&lt;=$F21),IF(DC$5=$E21+1,$C21,""),"")</f>
        <v/>
      </c>
      <c r="DD21" s="34">
        <f>IF(AND(DD$5&gt;$E21,DD$5&lt;=$F21),IF(DD$5=$E21+1,$C21,""),"")</f>
        <v/>
      </c>
      <c r="DE21" s="34">
        <f>IF(AND(DE$5&gt;$E21,DE$5&lt;=$F21),IF(DE$5=$E21+1,$C21,""),"")</f>
        <v/>
      </c>
      <c r="DF21" s="34">
        <f>IF(AND(DF$5&gt;$E21,DF$5&lt;=$F21),IF(DF$5=$E21+1,$C21,""),"")</f>
        <v/>
      </c>
      <c r="DG21" s="34">
        <f>IF(AND(DG$5&gt;$E21,DG$5&lt;=$F21),IF(DG$5=$E21+1,$C21,""),"")</f>
        <v/>
      </c>
      <c r="DH21" s="34">
        <f>IF(AND(DH$5&gt;$E21,DH$5&lt;=$F21),IF(DH$5=$E21+1,$C21,""),"")</f>
        <v/>
      </c>
      <c r="DI21" s="34">
        <f>IF(AND(DI$5&gt;$E21,DI$5&lt;=$F21),IF(DI$5=$E21+1,$C21,""),"")</f>
        <v/>
      </c>
      <c r="DJ21" s="34">
        <f>IF(AND(DJ$5&gt;$E21,DJ$5&lt;=$F21),IF(DJ$5=$E21+1,$C21,""),"")</f>
        <v/>
      </c>
      <c r="DK21" s="34">
        <f>IF(AND(DK$5&gt;$E21,DK$5&lt;=$F21),IF(DK$5=$E21+1,$C21,""),"")</f>
        <v/>
      </c>
      <c r="DL21" s="34">
        <f>IF(AND(DL$5&gt;$E21,DL$5&lt;=$F21),IF(DL$5=$E21+1,$C21,""),"")</f>
        <v/>
      </c>
      <c r="DM21" s="34">
        <f>IF(AND(DM$5&gt;$E21,DM$5&lt;=$F21),IF(DM$5=$E21+1,$C21,""),"")</f>
        <v/>
      </c>
      <c r="DN21" s="34">
        <f>IF(AND(DN$5&gt;$E21,DN$5&lt;=$F21),IF(DN$5=$E21+1,$C21,""),"")</f>
        <v/>
      </c>
      <c r="DO21" s="34">
        <f>IF(AND(DO$5&gt;$E21,DO$5&lt;=$F21),IF(DO$5=$E21+1,$C21,""),"")</f>
        <v/>
      </c>
      <c r="DP21" s="34">
        <f>IF(AND(DP$5&gt;$E21,DP$5&lt;=$F21),IF(DP$5=$E21+1,$C21,""),"")</f>
        <v/>
      </c>
      <c r="DQ21" s="34">
        <f>IF(AND(DQ$5&gt;$E21,DQ$5&lt;=$F21),IF(DQ$5=$E21+1,$C21,""),"")</f>
        <v/>
      </c>
      <c r="DR21" s="34">
        <f>IF(AND(DR$5&gt;$E21,DR$5&lt;=$F21),IF(DR$5=$E21+1,$C21,""),"")</f>
        <v/>
      </c>
      <c r="DS21" s="34">
        <f>IF(AND(DS$5&gt;$E21,DS$5&lt;=$F21),IF(DS$5=$E21+1,$C21,""),"")</f>
        <v/>
      </c>
      <c r="DT21" s="34">
        <f>IF(AND(DT$5&gt;$E21,DT$5&lt;=$F21),IF(DT$5=$E21+1,$C21,""),"")</f>
        <v/>
      </c>
      <c r="DU21" s="34">
        <f>IF(AND(DU$5&gt;$E21,DU$5&lt;=$F21),IF(DU$5=$E21+1,$C21,""),"")</f>
        <v/>
      </c>
      <c r="DV21" s="34">
        <f>IF(AND(DV$5&gt;$E21,DV$5&lt;=$F21),IF(DV$5=$E21+1,$C21,""),"")</f>
        <v/>
      </c>
      <c r="DW21" s="34">
        <f>IF(AND(DW$5&gt;$E21,DW$5&lt;=$F21),IF(DW$5=$E21+1,$C21,""),"")</f>
        <v/>
      </c>
      <c r="DX21" s="34">
        <f>IF(AND(DX$5&gt;$E21,DX$5&lt;=$F21),IF(DX$5=$E21+1,$C21,""),"")</f>
        <v/>
      </c>
      <c r="DY21" s="34">
        <f>IF(AND(DY$5&gt;$E21,DY$5&lt;=$F21),IF(DY$5=$E21+1,$C21,""),"")</f>
        <v/>
      </c>
      <c r="DZ21" s="34">
        <f>IF(AND(DZ$5&gt;$E21,DZ$5&lt;=$F21),IF(DZ$5=$E21+1,$C21,""),"")</f>
        <v/>
      </c>
      <c r="EA21" s="34">
        <f>IF(AND(EA$5&gt;$E21,EA$5&lt;=$F21),IF(EA$5=$E21+1,$C21,""),"")</f>
        <v/>
      </c>
      <c r="EB21" s="34">
        <f>IF(AND(EB$5&gt;$E21,EB$5&lt;=$F21),IF(EB$5=$E21+1,$C21,""),"")</f>
        <v/>
      </c>
      <c r="EC21" s="34">
        <f>IF(AND(EC$5&gt;$E21,EC$5&lt;=$F21),IF(EC$5=$E21+1,$C21,""),"")</f>
        <v/>
      </c>
      <c r="ED21" s="34">
        <f>IF(AND(ED$5&gt;$E21,ED$5&lt;=$F21),IF(ED$5=$E21+1,$C21,""),"")</f>
        <v/>
      </c>
      <c r="EE21" s="34">
        <f>IF(AND(EE$5&gt;$E21,EE$5&lt;=$F21),IF(EE$5=$E21+1,$C21,""),"")</f>
        <v/>
      </c>
      <c r="EF21" s="34">
        <f>IF(AND(EF$5&gt;$E21,EF$5&lt;=$F21),IF(EF$5=$E21+1,$C21,""),"")</f>
        <v/>
      </c>
      <c r="EG21" s="34">
        <f>IF(AND(EG$5&gt;$E21,EG$5&lt;=$F21),IF(EG$5=$E21+1,$C21,""),"")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c r="CT22" s="34">
        <f>IF(AND(CT$5&gt;$E22,CT$5&lt;=$F22),IF(CT$5=$E22+1,$C22,""),"")</f>
        <v/>
      </c>
      <c r="CU22" s="34">
        <f>IF(AND(CU$5&gt;$E22,CU$5&lt;=$F22),IF(CU$5=$E22+1,$C22,""),"")</f>
        <v/>
      </c>
      <c r="CV22" s="34">
        <f>IF(AND(CV$5&gt;$E22,CV$5&lt;=$F22),IF(CV$5=$E22+1,$C22,""),"")</f>
        <v/>
      </c>
      <c r="CW22" s="34">
        <f>IF(AND(CW$5&gt;$E22,CW$5&lt;=$F22),IF(CW$5=$E22+1,$C22,""),"")</f>
        <v/>
      </c>
      <c r="CX22" s="34">
        <f>IF(AND(CX$5&gt;$E22,CX$5&lt;=$F22),IF(CX$5=$E22+1,$C22,""),"")</f>
        <v/>
      </c>
      <c r="CY22" s="34">
        <f>IF(AND(CY$5&gt;$E22,CY$5&lt;=$F22),IF(CY$5=$E22+1,$C22,""),"")</f>
        <v/>
      </c>
      <c r="CZ22" s="34">
        <f>IF(AND(CZ$5&gt;$E22,CZ$5&lt;=$F22),IF(CZ$5=$E22+1,$C22,""),"")</f>
        <v/>
      </c>
      <c r="DA22" s="34">
        <f>IF(AND(DA$5&gt;$E22,DA$5&lt;=$F22),IF(DA$5=$E22+1,$C22,""),"")</f>
        <v/>
      </c>
      <c r="DB22" s="34">
        <f>IF(AND(DB$5&gt;$E22,DB$5&lt;=$F22),IF(DB$5=$E22+1,$C22,""),"")</f>
        <v/>
      </c>
      <c r="DC22" s="34">
        <f>IF(AND(DC$5&gt;$E22,DC$5&lt;=$F22),IF(DC$5=$E22+1,$C22,""),"")</f>
        <v/>
      </c>
      <c r="DD22" s="34">
        <f>IF(AND(DD$5&gt;$E22,DD$5&lt;=$F22),IF(DD$5=$E22+1,$C22,""),"")</f>
        <v/>
      </c>
      <c r="DE22" s="34">
        <f>IF(AND(DE$5&gt;$E22,DE$5&lt;=$F22),IF(DE$5=$E22+1,$C22,""),"")</f>
        <v/>
      </c>
      <c r="DF22" s="34">
        <f>IF(AND(DF$5&gt;$E22,DF$5&lt;=$F22),IF(DF$5=$E22+1,$C22,""),"")</f>
        <v/>
      </c>
      <c r="DG22" s="34">
        <f>IF(AND(DG$5&gt;$E22,DG$5&lt;=$F22),IF(DG$5=$E22+1,$C22,""),"")</f>
        <v/>
      </c>
      <c r="DH22" s="34">
        <f>IF(AND(DH$5&gt;$E22,DH$5&lt;=$F22),IF(DH$5=$E22+1,$C22,""),"")</f>
        <v/>
      </c>
      <c r="DI22" s="34">
        <f>IF(AND(DI$5&gt;$E22,DI$5&lt;=$F22),IF(DI$5=$E22+1,$C22,""),"")</f>
        <v/>
      </c>
      <c r="DJ22" s="34">
        <f>IF(AND(DJ$5&gt;$E22,DJ$5&lt;=$F22),IF(DJ$5=$E22+1,$C22,""),"")</f>
        <v/>
      </c>
      <c r="DK22" s="34">
        <f>IF(AND(DK$5&gt;$E22,DK$5&lt;=$F22),IF(DK$5=$E22+1,$C22,""),"")</f>
        <v/>
      </c>
      <c r="DL22" s="34">
        <f>IF(AND(DL$5&gt;$E22,DL$5&lt;=$F22),IF(DL$5=$E22+1,$C22,""),"")</f>
        <v/>
      </c>
      <c r="DM22" s="34">
        <f>IF(AND(DM$5&gt;$E22,DM$5&lt;=$F22),IF(DM$5=$E22+1,$C22,""),"")</f>
        <v/>
      </c>
      <c r="DN22" s="34">
        <f>IF(AND(DN$5&gt;$E22,DN$5&lt;=$F22),IF(DN$5=$E22+1,$C22,""),"")</f>
        <v/>
      </c>
      <c r="DO22" s="34">
        <f>IF(AND(DO$5&gt;$E22,DO$5&lt;=$F22),IF(DO$5=$E22+1,$C22,""),"")</f>
        <v/>
      </c>
      <c r="DP22" s="34">
        <f>IF(AND(DP$5&gt;$E22,DP$5&lt;=$F22),IF(DP$5=$E22+1,$C22,""),"")</f>
        <v/>
      </c>
      <c r="DQ22" s="34">
        <f>IF(AND(DQ$5&gt;$E22,DQ$5&lt;=$F22),IF(DQ$5=$E22+1,$C22,""),"")</f>
        <v/>
      </c>
      <c r="DR22" s="34">
        <f>IF(AND(DR$5&gt;$E22,DR$5&lt;=$F22),IF(DR$5=$E22+1,$C22,""),"")</f>
        <v/>
      </c>
      <c r="DS22" s="34">
        <f>IF(AND(DS$5&gt;$E22,DS$5&lt;=$F22),IF(DS$5=$E22+1,$C22,""),"")</f>
        <v/>
      </c>
      <c r="DT22" s="34">
        <f>IF(AND(DT$5&gt;$E22,DT$5&lt;=$F22),IF(DT$5=$E22+1,$C22,""),"")</f>
        <v/>
      </c>
      <c r="DU22" s="34">
        <f>IF(AND(DU$5&gt;$E22,DU$5&lt;=$F22),IF(DU$5=$E22+1,$C22,""),"")</f>
        <v/>
      </c>
      <c r="DV22" s="34">
        <f>IF(AND(DV$5&gt;$E22,DV$5&lt;=$F22),IF(DV$5=$E22+1,$C22,""),"")</f>
        <v/>
      </c>
      <c r="DW22" s="34">
        <f>IF(AND(DW$5&gt;$E22,DW$5&lt;=$F22),IF(DW$5=$E22+1,$C22,""),"")</f>
        <v/>
      </c>
      <c r="DX22" s="34">
        <f>IF(AND(DX$5&gt;$E22,DX$5&lt;=$F22),IF(DX$5=$E22+1,$C22,""),"")</f>
        <v/>
      </c>
      <c r="DY22" s="34">
        <f>IF(AND(DY$5&gt;$E22,DY$5&lt;=$F22),IF(DY$5=$E22+1,$C22,""),"")</f>
        <v/>
      </c>
      <c r="DZ22" s="34">
        <f>IF(AND(DZ$5&gt;$E22,DZ$5&lt;=$F22),IF(DZ$5=$E22+1,$C22,""),"")</f>
        <v/>
      </c>
      <c r="EA22" s="34">
        <f>IF(AND(EA$5&gt;$E22,EA$5&lt;=$F22),IF(EA$5=$E22+1,$C22,""),"")</f>
        <v/>
      </c>
      <c r="EB22" s="34">
        <f>IF(AND(EB$5&gt;$E22,EB$5&lt;=$F22),IF(EB$5=$E22+1,$C22,""),"")</f>
        <v/>
      </c>
      <c r="EC22" s="34">
        <f>IF(AND(EC$5&gt;$E22,EC$5&lt;=$F22),IF(EC$5=$E22+1,$C22,""),"")</f>
        <v/>
      </c>
      <c r="ED22" s="34">
        <f>IF(AND(ED$5&gt;$E22,ED$5&lt;=$F22),IF(ED$5=$E22+1,$C22,""),"")</f>
        <v/>
      </c>
      <c r="EE22" s="34">
        <f>IF(AND(EE$5&gt;$E22,EE$5&lt;=$F22),IF(EE$5=$E22+1,$C22,""),"")</f>
        <v/>
      </c>
      <c r="EF22" s="34">
        <f>IF(AND(EF$5&gt;$E22,EF$5&lt;=$F22),IF(EF$5=$E22+1,$C22,""),"")</f>
        <v/>
      </c>
      <c r="EG22" s="34">
        <f>IF(AND(EG$5&gt;$E22,EG$5&lt;=$F22),IF(EG$5=$E22+1,$C22,""),"")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c r="CT23" s="34">
        <f>IF(AND(CT$5&gt;$E23,CT$5&lt;=$F23),IF(CT$5=$E23+1,$C23,""),"")</f>
        <v/>
      </c>
      <c r="CU23" s="34">
        <f>IF(AND(CU$5&gt;$E23,CU$5&lt;=$F23),IF(CU$5=$E23+1,$C23,""),"")</f>
        <v/>
      </c>
      <c r="CV23" s="34">
        <f>IF(AND(CV$5&gt;$E23,CV$5&lt;=$F23),IF(CV$5=$E23+1,$C23,""),"")</f>
        <v/>
      </c>
      <c r="CW23" s="34">
        <f>IF(AND(CW$5&gt;$E23,CW$5&lt;=$F23),IF(CW$5=$E23+1,$C23,""),"")</f>
        <v/>
      </c>
      <c r="CX23" s="34">
        <f>IF(AND(CX$5&gt;$E23,CX$5&lt;=$F23),IF(CX$5=$E23+1,$C23,""),"")</f>
        <v/>
      </c>
      <c r="CY23" s="34">
        <f>IF(AND(CY$5&gt;$E23,CY$5&lt;=$F23),IF(CY$5=$E23+1,$C23,""),"")</f>
        <v/>
      </c>
      <c r="CZ23" s="34">
        <f>IF(AND(CZ$5&gt;$E23,CZ$5&lt;=$F23),IF(CZ$5=$E23+1,$C23,""),"")</f>
        <v/>
      </c>
      <c r="DA23" s="34">
        <f>IF(AND(DA$5&gt;$E23,DA$5&lt;=$F23),IF(DA$5=$E23+1,$C23,""),"")</f>
        <v/>
      </c>
      <c r="DB23" s="34">
        <f>IF(AND(DB$5&gt;$E23,DB$5&lt;=$F23),IF(DB$5=$E23+1,$C23,""),"")</f>
        <v/>
      </c>
      <c r="DC23" s="34">
        <f>IF(AND(DC$5&gt;$E23,DC$5&lt;=$F23),IF(DC$5=$E23+1,$C23,""),"")</f>
        <v/>
      </c>
      <c r="DD23" s="34">
        <f>IF(AND(DD$5&gt;$E23,DD$5&lt;=$F23),IF(DD$5=$E23+1,$C23,""),"")</f>
        <v/>
      </c>
      <c r="DE23" s="34">
        <f>IF(AND(DE$5&gt;$E23,DE$5&lt;=$F23),IF(DE$5=$E23+1,$C23,""),"")</f>
        <v/>
      </c>
      <c r="DF23" s="34">
        <f>IF(AND(DF$5&gt;$E23,DF$5&lt;=$F23),IF(DF$5=$E23+1,$C23,""),"")</f>
        <v/>
      </c>
      <c r="DG23" s="34">
        <f>IF(AND(DG$5&gt;$E23,DG$5&lt;=$F23),IF(DG$5=$E23+1,$C23,""),"")</f>
        <v/>
      </c>
      <c r="DH23" s="34">
        <f>IF(AND(DH$5&gt;$E23,DH$5&lt;=$F23),IF(DH$5=$E23+1,$C23,""),"")</f>
        <v/>
      </c>
      <c r="DI23" s="34">
        <f>IF(AND(DI$5&gt;$E23,DI$5&lt;=$F23),IF(DI$5=$E23+1,$C23,""),"")</f>
        <v/>
      </c>
      <c r="DJ23" s="34">
        <f>IF(AND(DJ$5&gt;$E23,DJ$5&lt;=$F23),IF(DJ$5=$E23+1,$C23,""),"")</f>
        <v/>
      </c>
      <c r="DK23" s="34">
        <f>IF(AND(DK$5&gt;$E23,DK$5&lt;=$F23),IF(DK$5=$E23+1,$C23,""),"")</f>
        <v/>
      </c>
      <c r="DL23" s="34">
        <f>IF(AND(DL$5&gt;$E23,DL$5&lt;=$F23),IF(DL$5=$E23+1,$C23,""),"")</f>
        <v/>
      </c>
      <c r="DM23" s="34">
        <f>IF(AND(DM$5&gt;$E23,DM$5&lt;=$F23),IF(DM$5=$E23+1,$C23,""),"")</f>
        <v/>
      </c>
      <c r="DN23" s="34">
        <f>IF(AND(DN$5&gt;$E23,DN$5&lt;=$F23),IF(DN$5=$E23+1,$C23,""),"")</f>
        <v/>
      </c>
      <c r="DO23" s="34">
        <f>IF(AND(DO$5&gt;$E23,DO$5&lt;=$F23),IF(DO$5=$E23+1,$C23,""),"")</f>
        <v/>
      </c>
      <c r="DP23" s="34">
        <f>IF(AND(DP$5&gt;$E23,DP$5&lt;=$F23),IF(DP$5=$E23+1,$C23,""),"")</f>
        <v/>
      </c>
      <c r="DQ23" s="34">
        <f>IF(AND(DQ$5&gt;$E23,DQ$5&lt;=$F23),IF(DQ$5=$E23+1,$C23,""),"")</f>
        <v/>
      </c>
      <c r="DR23" s="34">
        <f>IF(AND(DR$5&gt;$E23,DR$5&lt;=$F23),IF(DR$5=$E23+1,$C23,""),"")</f>
        <v/>
      </c>
      <c r="DS23" s="34">
        <f>IF(AND(DS$5&gt;$E23,DS$5&lt;=$F23),IF(DS$5=$E23+1,$C23,""),"")</f>
        <v/>
      </c>
      <c r="DT23" s="34">
        <f>IF(AND(DT$5&gt;$E23,DT$5&lt;=$F23),IF(DT$5=$E23+1,$C23,""),"")</f>
        <v/>
      </c>
      <c r="DU23" s="34">
        <f>IF(AND(DU$5&gt;$E23,DU$5&lt;=$F23),IF(DU$5=$E23+1,$C23,""),"")</f>
        <v/>
      </c>
      <c r="DV23" s="34">
        <f>IF(AND(DV$5&gt;$E23,DV$5&lt;=$F23),IF(DV$5=$E23+1,$C23,""),"")</f>
        <v/>
      </c>
      <c r="DW23" s="34">
        <f>IF(AND(DW$5&gt;$E23,DW$5&lt;=$F23),IF(DW$5=$E23+1,$C23,""),"")</f>
        <v/>
      </c>
      <c r="DX23" s="34">
        <f>IF(AND(DX$5&gt;$E23,DX$5&lt;=$F23),IF(DX$5=$E23+1,$C23,""),"")</f>
        <v/>
      </c>
      <c r="DY23" s="34">
        <f>IF(AND(DY$5&gt;$E23,DY$5&lt;=$F23),IF(DY$5=$E23+1,$C23,""),"")</f>
        <v/>
      </c>
      <c r="DZ23" s="34">
        <f>IF(AND(DZ$5&gt;$E23,DZ$5&lt;=$F23),IF(DZ$5=$E23+1,$C23,""),"")</f>
        <v/>
      </c>
      <c r="EA23" s="34">
        <f>IF(AND(EA$5&gt;$E23,EA$5&lt;=$F23),IF(EA$5=$E23+1,$C23,""),"")</f>
        <v/>
      </c>
      <c r="EB23" s="34">
        <f>IF(AND(EB$5&gt;$E23,EB$5&lt;=$F23),IF(EB$5=$E23+1,$C23,""),"")</f>
        <v/>
      </c>
      <c r="EC23" s="34">
        <f>IF(AND(EC$5&gt;$E23,EC$5&lt;=$F23),IF(EC$5=$E23+1,$C23,""),"")</f>
        <v/>
      </c>
      <c r="ED23" s="34">
        <f>IF(AND(ED$5&gt;$E23,ED$5&lt;=$F23),IF(ED$5=$E23+1,$C23,""),"")</f>
        <v/>
      </c>
      <c r="EE23" s="34">
        <f>IF(AND(EE$5&gt;$E23,EE$5&lt;=$F23),IF(EE$5=$E23+1,$C23,""),"")</f>
        <v/>
      </c>
      <c r="EF23" s="34">
        <f>IF(AND(EF$5&gt;$E23,EF$5&lt;=$F23),IF(EF$5=$E23+1,$C23,""),"")</f>
        <v/>
      </c>
      <c r="EG23" s="34">
        <f>IF(AND(EG$5&gt;$E23,EG$5&lt;=$F23),IF(EG$5=$E23+1,$C23,""),"")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c r="CT24" s="34">
        <f>IF(AND(CT$5&gt;$E24,CT$5&lt;=$F24),IF(CT$5=$E24+1,$C24,""),"")</f>
        <v/>
      </c>
      <c r="CU24" s="34">
        <f>IF(AND(CU$5&gt;$E24,CU$5&lt;=$F24),IF(CU$5=$E24+1,$C24,""),"")</f>
        <v/>
      </c>
      <c r="CV24" s="34">
        <f>IF(AND(CV$5&gt;$E24,CV$5&lt;=$F24),IF(CV$5=$E24+1,$C24,""),"")</f>
        <v/>
      </c>
      <c r="CW24" s="34">
        <f>IF(AND(CW$5&gt;$E24,CW$5&lt;=$F24),IF(CW$5=$E24+1,$C24,""),"")</f>
        <v/>
      </c>
      <c r="CX24" s="34">
        <f>IF(AND(CX$5&gt;$E24,CX$5&lt;=$F24),IF(CX$5=$E24+1,$C24,""),"")</f>
        <v/>
      </c>
      <c r="CY24" s="34">
        <f>IF(AND(CY$5&gt;$E24,CY$5&lt;=$F24),IF(CY$5=$E24+1,$C24,""),"")</f>
        <v/>
      </c>
      <c r="CZ24" s="34">
        <f>IF(AND(CZ$5&gt;$E24,CZ$5&lt;=$F24),IF(CZ$5=$E24+1,$C24,""),"")</f>
        <v/>
      </c>
      <c r="DA24" s="34">
        <f>IF(AND(DA$5&gt;$E24,DA$5&lt;=$F24),IF(DA$5=$E24+1,$C24,""),"")</f>
        <v/>
      </c>
      <c r="DB24" s="34">
        <f>IF(AND(DB$5&gt;$E24,DB$5&lt;=$F24),IF(DB$5=$E24+1,$C24,""),"")</f>
        <v/>
      </c>
      <c r="DC24" s="34">
        <f>IF(AND(DC$5&gt;$E24,DC$5&lt;=$F24),IF(DC$5=$E24+1,$C24,""),"")</f>
        <v/>
      </c>
      <c r="DD24" s="34">
        <f>IF(AND(DD$5&gt;$E24,DD$5&lt;=$F24),IF(DD$5=$E24+1,$C24,""),"")</f>
        <v/>
      </c>
      <c r="DE24" s="34">
        <f>IF(AND(DE$5&gt;$E24,DE$5&lt;=$F24),IF(DE$5=$E24+1,$C24,""),"")</f>
        <v/>
      </c>
      <c r="DF24" s="34">
        <f>IF(AND(DF$5&gt;$E24,DF$5&lt;=$F24),IF(DF$5=$E24+1,$C24,""),"")</f>
        <v/>
      </c>
      <c r="DG24" s="34">
        <f>IF(AND(DG$5&gt;$E24,DG$5&lt;=$F24),IF(DG$5=$E24+1,$C24,""),"")</f>
        <v/>
      </c>
      <c r="DH24" s="34">
        <f>IF(AND(DH$5&gt;$E24,DH$5&lt;=$F24),IF(DH$5=$E24+1,$C24,""),"")</f>
        <v/>
      </c>
      <c r="DI24" s="34">
        <f>IF(AND(DI$5&gt;$E24,DI$5&lt;=$F24),IF(DI$5=$E24+1,$C24,""),"")</f>
        <v/>
      </c>
      <c r="DJ24" s="34">
        <f>IF(AND(DJ$5&gt;$E24,DJ$5&lt;=$F24),IF(DJ$5=$E24+1,$C24,""),"")</f>
        <v/>
      </c>
      <c r="DK24" s="34">
        <f>IF(AND(DK$5&gt;$E24,DK$5&lt;=$F24),IF(DK$5=$E24+1,$C24,""),"")</f>
        <v/>
      </c>
      <c r="DL24" s="34">
        <f>IF(AND(DL$5&gt;$E24,DL$5&lt;=$F24),IF(DL$5=$E24+1,$C24,""),"")</f>
        <v/>
      </c>
      <c r="DM24" s="34">
        <f>IF(AND(DM$5&gt;$E24,DM$5&lt;=$F24),IF(DM$5=$E24+1,$C24,""),"")</f>
        <v/>
      </c>
      <c r="DN24" s="34">
        <f>IF(AND(DN$5&gt;$E24,DN$5&lt;=$F24),IF(DN$5=$E24+1,$C24,""),"")</f>
        <v/>
      </c>
      <c r="DO24" s="34">
        <f>IF(AND(DO$5&gt;$E24,DO$5&lt;=$F24),IF(DO$5=$E24+1,$C24,""),"")</f>
        <v/>
      </c>
      <c r="DP24" s="34">
        <f>IF(AND(DP$5&gt;$E24,DP$5&lt;=$F24),IF(DP$5=$E24+1,$C24,""),"")</f>
        <v/>
      </c>
      <c r="DQ24" s="34">
        <f>IF(AND(DQ$5&gt;$E24,DQ$5&lt;=$F24),IF(DQ$5=$E24+1,$C24,""),"")</f>
        <v/>
      </c>
      <c r="DR24" s="34">
        <f>IF(AND(DR$5&gt;$E24,DR$5&lt;=$F24),IF(DR$5=$E24+1,$C24,""),"")</f>
        <v/>
      </c>
      <c r="DS24" s="34">
        <f>IF(AND(DS$5&gt;$E24,DS$5&lt;=$F24),IF(DS$5=$E24+1,$C24,""),"")</f>
        <v/>
      </c>
      <c r="DT24" s="34">
        <f>IF(AND(DT$5&gt;$E24,DT$5&lt;=$F24),IF(DT$5=$E24+1,$C24,""),"")</f>
        <v/>
      </c>
      <c r="DU24" s="34">
        <f>IF(AND(DU$5&gt;$E24,DU$5&lt;=$F24),IF(DU$5=$E24+1,$C24,""),"")</f>
        <v/>
      </c>
      <c r="DV24" s="34">
        <f>IF(AND(DV$5&gt;$E24,DV$5&lt;=$F24),IF(DV$5=$E24+1,$C24,""),"")</f>
        <v/>
      </c>
      <c r="DW24" s="34">
        <f>IF(AND(DW$5&gt;$E24,DW$5&lt;=$F24),IF(DW$5=$E24+1,$C24,""),"")</f>
        <v/>
      </c>
      <c r="DX24" s="34">
        <f>IF(AND(DX$5&gt;$E24,DX$5&lt;=$F24),IF(DX$5=$E24+1,$C24,""),"")</f>
        <v/>
      </c>
      <c r="DY24" s="34">
        <f>IF(AND(DY$5&gt;$E24,DY$5&lt;=$F24),IF(DY$5=$E24+1,$C24,""),"")</f>
        <v/>
      </c>
      <c r="DZ24" s="34">
        <f>IF(AND(DZ$5&gt;$E24,DZ$5&lt;=$F24),IF(DZ$5=$E24+1,$C24,""),"")</f>
        <v/>
      </c>
      <c r="EA24" s="34">
        <f>IF(AND(EA$5&gt;$E24,EA$5&lt;=$F24),IF(EA$5=$E24+1,$C24,""),"")</f>
        <v/>
      </c>
      <c r="EB24" s="34">
        <f>IF(AND(EB$5&gt;$E24,EB$5&lt;=$F24),IF(EB$5=$E24+1,$C24,""),"")</f>
        <v/>
      </c>
      <c r="EC24" s="34">
        <f>IF(AND(EC$5&gt;$E24,EC$5&lt;=$F24),IF(EC$5=$E24+1,$C24,""),"")</f>
        <v/>
      </c>
      <c r="ED24" s="34">
        <f>IF(AND(ED$5&gt;$E24,ED$5&lt;=$F24),IF(ED$5=$E24+1,$C24,""),"")</f>
        <v/>
      </c>
      <c r="EE24" s="34">
        <f>IF(AND(EE$5&gt;$E24,EE$5&lt;=$F24),IF(EE$5=$E24+1,$C24,""),"")</f>
        <v/>
      </c>
      <c r="EF24" s="34">
        <f>IF(AND(EF$5&gt;$E24,EF$5&lt;=$F24),IF(EF$5=$E24+1,$C24,""),"")</f>
        <v/>
      </c>
      <c r="EG24" s="34">
        <f>IF(AND(EG$5&gt;$E24,EG$5&lt;=$F24),IF(EG$5=$E24+1,$C24,""),"")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c r="CT25" s="34">
        <f>IF(AND(CT$5&gt;$E25,CT$5&lt;=$F25),IF(CT$5=$E25+1,$C25,""),"")</f>
        <v/>
      </c>
      <c r="CU25" s="34">
        <f>IF(AND(CU$5&gt;$E25,CU$5&lt;=$F25),IF(CU$5=$E25+1,$C25,""),"")</f>
        <v/>
      </c>
      <c r="CV25" s="34">
        <f>IF(AND(CV$5&gt;$E25,CV$5&lt;=$F25),IF(CV$5=$E25+1,$C25,""),"")</f>
        <v/>
      </c>
      <c r="CW25" s="34">
        <f>IF(AND(CW$5&gt;$E25,CW$5&lt;=$F25),IF(CW$5=$E25+1,$C25,""),"")</f>
        <v/>
      </c>
      <c r="CX25" s="34">
        <f>IF(AND(CX$5&gt;$E25,CX$5&lt;=$F25),IF(CX$5=$E25+1,$C25,""),"")</f>
        <v/>
      </c>
      <c r="CY25" s="34">
        <f>IF(AND(CY$5&gt;$E25,CY$5&lt;=$F25),IF(CY$5=$E25+1,$C25,""),"")</f>
        <v/>
      </c>
      <c r="CZ25" s="34">
        <f>IF(AND(CZ$5&gt;$E25,CZ$5&lt;=$F25),IF(CZ$5=$E25+1,$C25,""),"")</f>
        <v/>
      </c>
      <c r="DA25" s="34">
        <f>IF(AND(DA$5&gt;$E25,DA$5&lt;=$F25),IF(DA$5=$E25+1,$C25,""),"")</f>
        <v/>
      </c>
      <c r="DB25" s="34">
        <f>IF(AND(DB$5&gt;$E25,DB$5&lt;=$F25),IF(DB$5=$E25+1,$C25,""),"")</f>
        <v/>
      </c>
      <c r="DC25" s="34">
        <f>IF(AND(DC$5&gt;$E25,DC$5&lt;=$F25),IF(DC$5=$E25+1,$C25,""),"")</f>
        <v/>
      </c>
      <c r="DD25" s="34">
        <f>IF(AND(DD$5&gt;$E25,DD$5&lt;=$F25),IF(DD$5=$E25+1,$C25,""),"")</f>
        <v/>
      </c>
      <c r="DE25" s="34">
        <f>IF(AND(DE$5&gt;$E25,DE$5&lt;=$F25),IF(DE$5=$E25+1,$C25,""),"")</f>
        <v/>
      </c>
      <c r="DF25" s="34">
        <f>IF(AND(DF$5&gt;$E25,DF$5&lt;=$F25),IF(DF$5=$E25+1,$C25,""),"")</f>
        <v/>
      </c>
      <c r="DG25" s="34">
        <f>IF(AND(DG$5&gt;$E25,DG$5&lt;=$F25),IF(DG$5=$E25+1,$C25,""),"")</f>
        <v/>
      </c>
      <c r="DH25" s="34">
        <f>IF(AND(DH$5&gt;$E25,DH$5&lt;=$F25),IF(DH$5=$E25+1,$C25,""),"")</f>
        <v/>
      </c>
      <c r="DI25" s="34">
        <f>IF(AND(DI$5&gt;$E25,DI$5&lt;=$F25),IF(DI$5=$E25+1,$C25,""),"")</f>
        <v/>
      </c>
      <c r="DJ25" s="34">
        <f>IF(AND(DJ$5&gt;$E25,DJ$5&lt;=$F25),IF(DJ$5=$E25+1,$C25,""),"")</f>
        <v/>
      </c>
      <c r="DK25" s="34">
        <f>IF(AND(DK$5&gt;$E25,DK$5&lt;=$F25),IF(DK$5=$E25+1,$C25,""),"")</f>
        <v/>
      </c>
      <c r="DL25" s="34">
        <f>IF(AND(DL$5&gt;$E25,DL$5&lt;=$F25),IF(DL$5=$E25+1,$C25,""),"")</f>
        <v/>
      </c>
      <c r="DM25" s="34">
        <f>IF(AND(DM$5&gt;$E25,DM$5&lt;=$F25),IF(DM$5=$E25+1,$C25,""),"")</f>
        <v/>
      </c>
      <c r="DN25" s="34">
        <f>IF(AND(DN$5&gt;$E25,DN$5&lt;=$F25),IF(DN$5=$E25+1,$C25,""),"")</f>
        <v/>
      </c>
      <c r="DO25" s="34">
        <f>IF(AND(DO$5&gt;$E25,DO$5&lt;=$F25),IF(DO$5=$E25+1,$C25,""),"")</f>
        <v/>
      </c>
      <c r="DP25" s="34">
        <f>IF(AND(DP$5&gt;$E25,DP$5&lt;=$F25),IF(DP$5=$E25+1,$C25,""),"")</f>
        <v/>
      </c>
      <c r="DQ25" s="34">
        <f>IF(AND(DQ$5&gt;$E25,DQ$5&lt;=$F25),IF(DQ$5=$E25+1,$C25,""),"")</f>
        <v/>
      </c>
      <c r="DR25" s="34">
        <f>IF(AND(DR$5&gt;$E25,DR$5&lt;=$F25),IF(DR$5=$E25+1,$C25,""),"")</f>
        <v/>
      </c>
      <c r="DS25" s="34">
        <f>IF(AND(DS$5&gt;$E25,DS$5&lt;=$F25),IF(DS$5=$E25+1,$C25,""),"")</f>
        <v/>
      </c>
      <c r="DT25" s="34">
        <f>IF(AND(DT$5&gt;$E25,DT$5&lt;=$F25),IF(DT$5=$E25+1,$C25,""),"")</f>
        <v/>
      </c>
      <c r="DU25" s="34">
        <f>IF(AND(DU$5&gt;$E25,DU$5&lt;=$F25),IF(DU$5=$E25+1,$C25,""),"")</f>
        <v/>
      </c>
      <c r="DV25" s="34">
        <f>IF(AND(DV$5&gt;$E25,DV$5&lt;=$F25),IF(DV$5=$E25+1,$C25,""),"")</f>
        <v/>
      </c>
      <c r="DW25" s="34">
        <f>IF(AND(DW$5&gt;$E25,DW$5&lt;=$F25),IF(DW$5=$E25+1,$C25,""),"")</f>
        <v/>
      </c>
      <c r="DX25" s="34">
        <f>IF(AND(DX$5&gt;$E25,DX$5&lt;=$F25),IF(DX$5=$E25+1,$C25,""),"")</f>
        <v/>
      </c>
      <c r="DY25" s="34">
        <f>IF(AND(DY$5&gt;$E25,DY$5&lt;=$F25),IF(DY$5=$E25+1,$C25,""),"")</f>
        <v/>
      </c>
      <c r="DZ25" s="34">
        <f>IF(AND(DZ$5&gt;$E25,DZ$5&lt;=$F25),IF(DZ$5=$E25+1,$C25,""),"")</f>
        <v/>
      </c>
      <c r="EA25" s="34">
        <f>IF(AND(EA$5&gt;$E25,EA$5&lt;=$F25),IF(EA$5=$E25+1,$C25,""),"")</f>
        <v/>
      </c>
      <c r="EB25" s="34">
        <f>IF(AND(EB$5&gt;$E25,EB$5&lt;=$F25),IF(EB$5=$E25+1,$C25,""),"")</f>
        <v/>
      </c>
      <c r="EC25" s="34">
        <f>IF(AND(EC$5&gt;$E25,EC$5&lt;=$F25),IF(EC$5=$E25+1,$C25,""),"")</f>
        <v/>
      </c>
      <c r="ED25" s="34">
        <f>IF(AND(ED$5&gt;$E25,ED$5&lt;=$F25),IF(ED$5=$E25+1,$C25,""),"")</f>
        <v/>
      </c>
      <c r="EE25" s="34">
        <f>IF(AND(EE$5&gt;$E25,EE$5&lt;=$F25),IF(EE$5=$E25+1,$C25,""),"")</f>
        <v/>
      </c>
      <c r="EF25" s="34">
        <f>IF(AND(EF$5&gt;$E25,EF$5&lt;=$F25),IF(EF$5=$E25+1,$C25,""),"")</f>
        <v/>
      </c>
      <c r="EG25" s="34">
        <f>IF(AND(EG$5&gt;$E25,EG$5&lt;=$F25),IF(EG$5=$E25+1,$C25,""),"")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c r="CT26" s="34">
        <f>IF(AND(CT$5&gt;$E26,CT$5&lt;=$F26),IF(CT$5=$E26+1,$C26,""),"")</f>
        <v/>
      </c>
      <c r="CU26" s="34">
        <f>IF(AND(CU$5&gt;$E26,CU$5&lt;=$F26),IF(CU$5=$E26+1,$C26,""),"")</f>
        <v/>
      </c>
      <c r="CV26" s="34">
        <f>IF(AND(CV$5&gt;$E26,CV$5&lt;=$F26),IF(CV$5=$E26+1,$C26,""),"")</f>
        <v/>
      </c>
      <c r="CW26" s="34">
        <f>IF(AND(CW$5&gt;$E26,CW$5&lt;=$F26),IF(CW$5=$E26+1,$C26,""),"")</f>
        <v/>
      </c>
      <c r="CX26" s="34">
        <f>IF(AND(CX$5&gt;$E26,CX$5&lt;=$F26),IF(CX$5=$E26+1,$C26,""),"")</f>
        <v/>
      </c>
      <c r="CY26" s="34">
        <f>IF(AND(CY$5&gt;$E26,CY$5&lt;=$F26),IF(CY$5=$E26+1,$C26,""),"")</f>
        <v/>
      </c>
      <c r="CZ26" s="34">
        <f>IF(AND(CZ$5&gt;$E26,CZ$5&lt;=$F26),IF(CZ$5=$E26+1,$C26,""),"")</f>
        <v/>
      </c>
      <c r="DA26" s="34">
        <f>IF(AND(DA$5&gt;$E26,DA$5&lt;=$F26),IF(DA$5=$E26+1,$C26,""),"")</f>
        <v/>
      </c>
      <c r="DB26" s="34">
        <f>IF(AND(DB$5&gt;$E26,DB$5&lt;=$F26),IF(DB$5=$E26+1,$C26,""),"")</f>
        <v/>
      </c>
      <c r="DC26" s="34">
        <f>IF(AND(DC$5&gt;$E26,DC$5&lt;=$F26),IF(DC$5=$E26+1,$C26,""),"")</f>
        <v/>
      </c>
      <c r="DD26" s="34">
        <f>IF(AND(DD$5&gt;$E26,DD$5&lt;=$F26),IF(DD$5=$E26+1,$C26,""),"")</f>
        <v/>
      </c>
      <c r="DE26" s="34">
        <f>IF(AND(DE$5&gt;$E26,DE$5&lt;=$F26),IF(DE$5=$E26+1,$C26,""),"")</f>
        <v/>
      </c>
      <c r="DF26" s="34">
        <f>IF(AND(DF$5&gt;$E26,DF$5&lt;=$F26),IF(DF$5=$E26+1,$C26,""),"")</f>
        <v/>
      </c>
      <c r="DG26" s="34">
        <f>IF(AND(DG$5&gt;$E26,DG$5&lt;=$F26),IF(DG$5=$E26+1,$C26,""),"")</f>
        <v/>
      </c>
      <c r="DH26" s="34">
        <f>IF(AND(DH$5&gt;$E26,DH$5&lt;=$F26),IF(DH$5=$E26+1,$C26,""),"")</f>
        <v/>
      </c>
      <c r="DI26" s="34">
        <f>IF(AND(DI$5&gt;$E26,DI$5&lt;=$F26),IF(DI$5=$E26+1,$C26,""),"")</f>
        <v/>
      </c>
      <c r="DJ26" s="34">
        <f>IF(AND(DJ$5&gt;$E26,DJ$5&lt;=$F26),IF(DJ$5=$E26+1,$C26,""),"")</f>
        <v/>
      </c>
      <c r="DK26" s="34">
        <f>IF(AND(DK$5&gt;$E26,DK$5&lt;=$F26),IF(DK$5=$E26+1,$C26,""),"")</f>
        <v/>
      </c>
      <c r="DL26" s="34">
        <f>IF(AND(DL$5&gt;$E26,DL$5&lt;=$F26),IF(DL$5=$E26+1,$C26,""),"")</f>
        <v/>
      </c>
      <c r="DM26" s="34">
        <f>IF(AND(DM$5&gt;$E26,DM$5&lt;=$F26),IF(DM$5=$E26+1,$C26,""),"")</f>
        <v/>
      </c>
      <c r="DN26" s="34">
        <f>IF(AND(DN$5&gt;$E26,DN$5&lt;=$F26),IF(DN$5=$E26+1,$C26,""),"")</f>
        <v/>
      </c>
      <c r="DO26" s="34">
        <f>IF(AND(DO$5&gt;$E26,DO$5&lt;=$F26),IF(DO$5=$E26+1,$C26,""),"")</f>
        <v/>
      </c>
      <c r="DP26" s="34">
        <f>IF(AND(DP$5&gt;$E26,DP$5&lt;=$F26),IF(DP$5=$E26+1,$C26,""),"")</f>
        <v/>
      </c>
      <c r="DQ26" s="34">
        <f>IF(AND(DQ$5&gt;$E26,DQ$5&lt;=$F26),IF(DQ$5=$E26+1,$C26,""),"")</f>
        <v/>
      </c>
      <c r="DR26" s="34">
        <f>IF(AND(DR$5&gt;$E26,DR$5&lt;=$F26),IF(DR$5=$E26+1,$C26,""),"")</f>
        <v/>
      </c>
      <c r="DS26" s="34">
        <f>IF(AND(DS$5&gt;$E26,DS$5&lt;=$F26),IF(DS$5=$E26+1,$C26,""),"")</f>
        <v/>
      </c>
      <c r="DT26" s="34">
        <f>IF(AND(DT$5&gt;$E26,DT$5&lt;=$F26),IF(DT$5=$E26+1,$C26,""),"")</f>
        <v/>
      </c>
      <c r="DU26" s="34">
        <f>IF(AND(DU$5&gt;$E26,DU$5&lt;=$F26),IF(DU$5=$E26+1,$C26,""),"")</f>
        <v/>
      </c>
      <c r="DV26" s="34">
        <f>IF(AND(DV$5&gt;$E26,DV$5&lt;=$F26),IF(DV$5=$E26+1,$C26,""),"")</f>
        <v/>
      </c>
      <c r="DW26" s="34">
        <f>IF(AND(DW$5&gt;$E26,DW$5&lt;=$F26),IF(DW$5=$E26+1,$C26,""),"")</f>
        <v/>
      </c>
      <c r="DX26" s="34">
        <f>IF(AND(DX$5&gt;$E26,DX$5&lt;=$F26),IF(DX$5=$E26+1,$C26,""),"")</f>
        <v/>
      </c>
      <c r="DY26" s="34">
        <f>IF(AND(DY$5&gt;$E26,DY$5&lt;=$F26),IF(DY$5=$E26+1,$C26,""),"")</f>
        <v/>
      </c>
      <c r="DZ26" s="34">
        <f>IF(AND(DZ$5&gt;$E26,DZ$5&lt;=$F26),IF(DZ$5=$E26+1,$C26,""),"")</f>
        <v/>
      </c>
      <c r="EA26" s="34">
        <f>IF(AND(EA$5&gt;$E26,EA$5&lt;=$F26),IF(EA$5=$E26+1,$C26,""),"")</f>
        <v/>
      </c>
      <c r="EB26" s="34">
        <f>IF(AND(EB$5&gt;$E26,EB$5&lt;=$F26),IF(EB$5=$E26+1,$C26,""),"")</f>
        <v/>
      </c>
      <c r="EC26" s="34">
        <f>IF(AND(EC$5&gt;$E26,EC$5&lt;=$F26),IF(EC$5=$E26+1,$C26,""),"")</f>
        <v/>
      </c>
      <c r="ED26" s="34">
        <f>IF(AND(ED$5&gt;$E26,ED$5&lt;=$F26),IF(ED$5=$E26+1,$C26,""),"")</f>
        <v/>
      </c>
      <c r="EE26" s="34">
        <f>IF(AND(EE$5&gt;$E26,EE$5&lt;=$F26),IF(EE$5=$E26+1,$C26,""),"")</f>
        <v/>
      </c>
      <c r="EF26" s="34">
        <f>IF(AND(EF$5&gt;$E26,EF$5&lt;=$F26),IF(EF$5=$E26+1,$C26,""),"")</f>
        <v/>
      </c>
      <c r="EG26" s="34">
        <f>IF(AND(EG$5&gt;$E26,EG$5&lt;=$F26),IF(EG$5=$E26+1,$C26,""),"")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c r="CT27" s="34">
        <f>IF(AND(CT$5&gt;$E27,CT$5&lt;=$F27),IF(CT$5=$E27+1,$C27,""),"")</f>
        <v/>
      </c>
      <c r="CU27" s="34">
        <f>IF(AND(CU$5&gt;$E27,CU$5&lt;=$F27),IF(CU$5=$E27+1,$C27,""),"")</f>
        <v/>
      </c>
      <c r="CV27" s="34">
        <f>IF(AND(CV$5&gt;$E27,CV$5&lt;=$F27),IF(CV$5=$E27+1,$C27,""),"")</f>
        <v/>
      </c>
      <c r="CW27" s="34">
        <f>IF(AND(CW$5&gt;$E27,CW$5&lt;=$F27),IF(CW$5=$E27+1,$C27,""),"")</f>
        <v/>
      </c>
      <c r="CX27" s="34">
        <f>IF(AND(CX$5&gt;$E27,CX$5&lt;=$F27),IF(CX$5=$E27+1,$C27,""),"")</f>
        <v/>
      </c>
      <c r="CY27" s="34">
        <f>IF(AND(CY$5&gt;$E27,CY$5&lt;=$F27),IF(CY$5=$E27+1,$C27,""),"")</f>
        <v/>
      </c>
      <c r="CZ27" s="34">
        <f>IF(AND(CZ$5&gt;$E27,CZ$5&lt;=$F27),IF(CZ$5=$E27+1,$C27,""),"")</f>
        <v/>
      </c>
      <c r="DA27" s="34">
        <f>IF(AND(DA$5&gt;$E27,DA$5&lt;=$F27),IF(DA$5=$E27+1,$C27,""),"")</f>
        <v/>
      </c>
      <c r="DB27" s="34">
        <f>IF(AND(DB$5&gt;$E27,DB$5&lt;=$F27),IF(DB$5=$E27+1,$C27,""),"")</f>
        <v/>
      </c>
      <c r="DC27" s="34">
        <f>IF(AND(DC$5&gt;$E27,DC$5&lt;=$F27),IF(DC$5=$E27+1,$C27,""),"")</f>
        <v/>
      </c>
      <c r="DD27" s="34">
        <f>IF(AND(DD$5&gt;$E27,DD$5&lt;=$F27),IF(DD$5=$E27+1,$C27,""),"")</f>
        <v/>
      </c>
      <c r="DE27" s="34">
        <f>IF(AND(DE$5&gt;$E27,DE$5&lt;=$F27),IF(DE$5=$E27+1,$C27,""),"")</f>
        <v/>
      </c>
      <c r="DF27" s="34">
        <f>IF(AND(DF$5&gt;$E27,DF$5&lt;=$F27),IF(DF$5=$E27+1,$C27,""),"")</f>
        <v/>
      </c>
      <c r="DG27" s="34">
        <f>IF(AND(DG$5&gt;$E27,DG$5&lt;=$F27),IF(DG$5=$E27+1,$C27,""),"")</f>
        <v/>
      </c>
      <c r="DH27" s="34">
        <f>IF(AND(DH$5&gt;$E27,DH$5&lt;=$F27),IF(DH$5=$E27+1,$C27,""),"")</f>
        <v/>
      </c>
      <c r="DI27" s="34">
        <f>IF(AND(DI$5&gt;$E27,DI$5&lt;=$F27),IF(DI$5=$E27+1,$C27,""),"")</f>
        <v/>
      </c>
      <c r="DJ27" s="34">
        <f>IF(AND(DJ$5&gt;$E27,DJ$5&lt;=$F27),IF(DJ$5=$E27+1,$C27,""),"")</f>
        <v/>
      </c>
      <c r="DK27" s="34">
        <f>IF(AND(DK$5&gt;$E27,DK$5&lt;=$F27),IF(DK$5=$E27+1,$C27,""),"")</f>
        <v/>
      </c>
      <c r="DL27" s="34">
        <f>IF(AND(DL$5&gt;$E27,DL$5&lt;=$F27),IF(DL$5=$E27+1,$C27,""),"")</f>
        <v/>
      </c>
      <c r="DM27" s="34">
        <f>IF(AND(DM$5&gt;$E27,DM$5&lt;=$F27),IF(DM$5=$E27+1,$C27,""),"")</f>
        <v/>
      </c>
      <c r="DN27" s="34">
        <f>IF(AND(DN$5&gt;$E27,DN$5&lt;=$F27),IF(DN$5=$E27+1,$C27,""),"")</f>
        <v/>
      </c>
      <c r="DO27" s="34">
        <f>IF(AND(DO$5&gt;$E27,DO$5&lt;=$F27),IF(DO$5=$E27+1,$C27,""),"")</f>
        <v/>
      </c>
      <c r="DP27" s="34">
        <f>IF(AND(DP$5&gt;$E27,DP$5&lt;=$F27),IF(DP$5=$E27+1,$C27,""),"")</f>
        <v/>
      </c>
      <c r="DQ27" s="34">
        <f>IF(AND(DQ$5&gt;$E27,DQ$5&lt;=$F27),IF(DQ$5=$E27+1,$C27,""),"")</f>
        <v/>
      </c>
      <c r="DR27" s="34">
        <f>IF(AND(DR$5&gt;$E27,DR$5&lt;=$F27),IF(DR$5=$E27+1,$C27,""),"")</f>
        <v/>
      </c>
      <c r="DS27" s="34">
        <f>IF(AND(DS$5&gt;$E27,DS$5&lt;=$F27),IF(DS$5=$E27+1,$C27,""),"")</f>
        <v/>
      </c>
      <c r="DT27" s="34">
        <f>IF(AND(DT$5&gt;$E27,DT$5&lt;=$F27),IF(DT$5=$E27+1,$C27,""),"")</f>
        <v/>
      </c>
      <c r="DU27" s="34">
        <f>IF(AND(DU$5&gt;$E27,DU$5&lt;=$F27),IF(DU$5=$E27+1,$C27,""),"")</f>
        <v/>
      </c>
      <c r="DV27" s="34">
        <f>IF(AND(DV$5&gt;$E27,DV$5&lt;=$F27),IF(DV$5=$E27+1,$C27,""),"")</f>
        <v/>
      </c>
      <c r="DW27" s="34">
        <f>IF(AND(DW$5&gt;$E27,DW$5&lt;=$F27),IF(DW$5=$E27+1,$C27,""),"")</f>
        <v/>
      </c>
      <c r="DX27" s="34">
        <f>IF(AND(DX$5&gt;$E27,DX$5&lt;=$F27),IF(DX$5=$E27+1,$C27,""),"")</f>
        <v/>
      </c>
      <c r="DY27" s="34">
        <f>IF(AND(DY$5&gt;$E27,DY$5&lt;=$F27),IF(DY$5=$E27+1,$C27,""),"")</f>
        <v/>
      </c>
      <c r="DZ27" s="34">
        <f>IF(AND(DZ$5&gt;$E27,DZ$5&lt;=$F27),IF(DZ$5=$E27+1,$C27,""),"")</f>
        <v/>
      </c>
      <c r="EA27" s="34">
        <f>IF(AND(EA$5&gt;$E27,EA$5&lt;=$F27),IF(EA$5=$E27+1,$C27,""),"")</f>
        <v/>
      </c>
      <c r="EB27" s="34">
        <f>IF(AND(EB$5&gt;$E27,EB$5&lt;=$F27),IF(EB$5=$E27+1,$C27,""),"")</f>
        <v/>
      </c>
      <c r="EC27" s="34">
        <f>IF(AND(EC$5&gt;$E27,EC$5&lt;=$F27),IF(EC$5=$E27+1,$C27,""),"")</f>
        <v/>
      </c>
      <c r="ED27" s="34">
        <f>IF(AND(ED$5&gt;$E27,ED$5&lt;=$F27),IF(ED$5=$E27+1,$C27,""),"")</f>
        <v/>
      </c>
      <c r="EE27" s="34">
        <f>IF(AND(EE$5&gt;$E27,EE$5&lt;=$F27),IF(EE$5=$E27+1,$C27,""),"")</f>
        <v/>
      </c>
      <c r="EF27" s="34">
        <f>IF(AND(EF$5&gt;$E27,EF$5&lt;=$F27),IF(EF$5=$E27+1,$C27,""),"")</f>
        <v/>
      </c>
      <c r="EG27" s="34">
        <f>IF(AND(EG$5&gt;$E27,EG$5&lt;=$F27),IF(EG$5=$E27+1,$C27,""),"")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c r="CT28" s="34">
        <f>IF(AND(CT$5&gt;$E28,CT$5&lt;=$F28),IF(CT$5=$E28+1,$C28,""),"")</f>
        <v/>
      </c>
      <c r="CU28" s="34">
        <f>IF(AND(CU$5&gt;$E28,CU$5&lt;=$F28),IF(CU$5=$E28+1,$C28,""),"")</f>
        <v/>
      </c>
      <c r="CV28" s="34">
        <f>IF(AND(CV$5&gt;$E28,CV$5&lt;=$F28),IF(CV$5=$E28+1,$C28,""),"")</f>
        <v/>
      </c>
      <c r="CW28" s="34">
        <f>IF(AND(CW$5&gt;$E28,CW$5&lt;=$F28),IF(CW$5=$E28+1,$C28,""),"")</f>
        <v/>
      </c>
      <c r="CX28" s="34">
        <f>IF(AND(CX$5&gt;$E28,CX$5&lt;=$F28),IF(CX$5=$E28+1,$C28,""),"")</f>
        <v/>
      </c>
      <c r="CY28" s="34">
        <f>IF(AND(CY$5&gt;$E28,CY$5&lt;=$F28),IF(CY$5=$E28+1,$C28,""),"")</f>
        <v/>
      </c>
      <c r="CZ28" s="34">
        <f>IF(AND(CZ$5&gt;$E28,CZ$5&lt;=$F28),IF(CZ$5=$E28+1,$C28,""),"")</f>
        <v/>
      </c>
      <c r="DA28" s="34">
        <f>IF(AND(DA$5&gt;$E28,DA$5&lt;=$F28),IF(DA$5=$E28+1,$C28,""),"")</f>
        <v/>
      </c>
      <c r="DB28" s="34">
        <f>IF(AND(DB$5&gt;$E28,DB$5&lt;=$F28),IF(DB$5=$E28+1,$C28,""),"")</f>
        <v/>
      </c>
      <c r="DC28" s="34">
        <f>IF(AND(DC$5&gt;$E28,DC$5&lt;=$F28),IF(DC$5=$E28+1,$C28,""),"")</f>
        <v/>
      </c>
      <c r="DD28" s="34">
        <f>IF(AND(DD$5&gt;$E28,DD$5&lt;=$F28),IF(DD$5=$E28+1,$C28,""),"")</f>
        <v/>
      </c>
      <c r="DE28" s="34">
        <f>IF(AND(DE$5&gt;$E28,DE$5&lt;=$F28),IF(DE$5=$E28+1,$C28,""),"")</f>
        <v/>
      </c>
      <c r="DF28" s="34">
        <f>IF(AND(DF$5&gt;$E28,DF$5&lt;=$F28),IF(DF$5=$E28+1,$C28,""),"")</f>
        <v/>
      </c>
      <c r="DG28" s="34">
        <f>IF(AND(DG$5&gt;$E28,DG$5&lt;=$F28),IF(DG$5=$E28+1,$C28,""),"")</f>
        <v/>
      </c>
      <c r="DH28" s="34">
        <f>IF(AND(DH$5&gt;$E28,DH$5&lt;=$F28),IF(DH$5=$E28+1,$C28,""),"")</f>
        <v/>
      </c>
      <c r="DI28" s="34">
        <f>IF(AND(DI$5&gt;$E28,DI$5&lt;=$F28),IF(DI$5=$E28+1,$C28,""),"")</f>
        <v/>
      </c>
      <c r="DJ28" s="34">
        <f>IF(AND(DJ$5&gt;$E28,DJ$5&lt;=$F28),IF(DJ$5=$E28+1,$C28,""),"")</f>
        <v/>
      </c>
      <c r="DK28" s="34">
        <f>IF(AND(DK$5&gt;$E28,DK$5&lt;=$F28),IF(DK$5=$E28+1,$C28,""),"")</f>
        <v/>
      </c>
      <c r="DL28" s="34">
        <f>IF(AND(DL$5&gt;$E28,DL$5&lt;=$F28),IF(DL$5=$E28+1,$C28,""),"")</f>
        <v/>
      </c>
      <c r="DM28" s="34">
        <f>IF(AND(DM$5&gt;$E28,DM$5&lt;=$F28),IF(DM$5=$E28+1,$C28,""),"")</f>
        <v/>
      </c>
      <c r="DN28" s="34">
        <f>IF(AND(DN$5&gt;$E28,DN$5&lt;=$F28),IF(DN$5=$E28+1,$C28,""),"")</f>
        <v/>
      </c>
      <c r="DO28" s="34">
        <f>IF(AND(DO$5&gt;$E28,DO$5&lt;=$F28),IF(DO$5=$E28+1,$C28,""),"")</f>
        <v/>
      </c>
      <c r="DP28" s="34">
        <f>IF(AND(DP$5&gt;$E28,DP$5&lt;=$F28),IF(DP$5=$E28+1,$C28,""),"")</f>
        <v/>
      </c>
      <c r="DQ28" s="34">
        <f>IF(AND(DQ$5&gt;$E28,DQ$5&lt;=$F28),IF(DQ$5=$E28+1,$C28,""),"")</f>
        <v/>
      </c>
      <c r="DR28" s="34">
        <f>IF(AND(DR$5&gt;$E28,DR$5&lt;=$F28),IF(DR$5=$E28+1,$C28,""),"")</f>
        <v/>
      </c>
      <c r="DS28" s="34">
        <f>IF(AND(DS$5&gt;$E28,DS$5&lt;=$F28),IF(DS$5=$E28+1,$C28,""),"")</f>
        <v/>
      </c>
      <c r="DT28" s="34">
        <f>IF(AND(DT$5&gt;$E28,DT$5&lt;=$F28),IF(DT$5=$E28+1,$C28,""),"")</f>
        <v/>
      </c>
      <c r="DU28" s="34">
        <f>IF(AND(DU$5&gt;$E28,DU$5&lt;=$F28),IF(DU$5=$E28+1,$C28,""),"")</f>
        <v/>
      </c>
      <c r="DV28" s="34">
        <f>IF(AND(DV$5&gt;$E28,DV$5&lt;=$F28),IF(DV$5=$E28+1,$C28,""),"")</f>
        <v/>
      </c>
      <c r="DW28" s="34">
        <f>IF(AND(DW$5&gt;$E28,DW$5&lt;=$F28),IF(DW$5=$E28+1,$C28,""),"")</f>
        <v/>
      </c>
      <c r="DX28" s="34">
        <f>IF(AND(DX$5&gt;$E28,DX$5&lt;=$F28),IF(DX$5=$E28+1,$C28,""),"")</f>
        <v/>
      </c>
      <c r="DY28" s="34">
        <f>IF(AND(DY$5&gt;$E28,DY$5&lt;=$F28),IF(DY$5=$E28+1,$C28,""),"")</f>
        <v/>
      </c>
      <c r="DZ28" s="34">
        <f>IF(AND(DZ$5&gt;$E28,DZ$5&lt;=$F28),IF(DZ$5=$E28+1,$C28,""),"")</f>
        <v/>
      </c>
      <c r="EA28" s="34">
        <f>IF(AND(EA$5&gt;$E28,EA$5&lt;=$F28),IF(EA$5=$E28+1,$C28,""),"")</f>
        <v/>
      </c>
      <c r="EB28" s="34">
        <f>IF(AND(EB$5&gt;$E28,EB$5&lt;=$F28),IF(EB$5=$E28+1,$C28,""),"")</f>
        <v/>
      </c>
      <c r="EC28" s="34">
        <f>IF(AND(EC$5&gt;$E28,EC$5&lt;=$F28),IF(EC$5=$E28+1,$C28,""),"")</f>
        <v/>
      </c>
      <c r="ED28" s="34">
        <f>IF(AND(ED$5&gt;$E28,ED$5&lt;=$F28),IF(ED$5=$E28+1,$C28,""),"")</f>
        <v/>
      </c>
      <c r="EE28" s="34">
        <f>IF(AND(EE$5&gt;$E28,EE$5&lt;=$F28),IF(EE$5=$E28+1,$C28,""),"")</f>
        <v/>
      </c>
      <c r="EF28" s="34">
        <f>IF(AND(EF$5&gt;$E28,EF$5&lt;=$F28),IF(EF$5=$E28+1,$C28,""),"")</f>
        <v/>
      </c>
      <c r="EG28" s="34">
        <f>IF(AND(EG$5&gt;$E28,EG$5&lt;=$F28),IF(EG$5=$E28+1,$C28,""),"")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c r="CT29" s="34">
        <f>IF(AND(CT$5&gt;$E29,CT$5&lt;=$F29),IF(CT$5=$E29+1,$C29,""),"")</f>
        <v/>
      </c>
      <c r="CU29" s="34">
        <f>IF(AND(CU$5&gt;$E29,CU$5&lt;=$F29),IF(CU$5=$E29+1,$C29,""),"")</f>
        <v/>
      </c>
      <c r="CV29" s="34">
        <f>IF(AND(CV$5&gt;$E29,CV$5&lt;=$F29),IF(CV$5=$E29+1,$C29,""),"")</f>
        <v/>
      </c>
      <c r="CW29" s="34">
        <f>IF(AND(CW$5&gt;$E29,CW$5&lt;=$F29),IF(CW$5=$E29+1,$C29,""),"")</f>
        <v/>
      </c>
      <c r="CX29" s="34">
        <f>IF(AND(CX$5&gt;$E29,CX$5&lt;=$F29),IF(CX$5=$E29+1,$C29,""),"")</f>
        <v/>
      </c>
      <c r="CY29" s="34">
        <f>IF(AND(CY$5&gt;$E29,CY$5&lt;=$F29),IF(CY$5=$E29+1,$C29,""),"")</f>
        <v/>
      </c>
      <c r="CZ29" s="34">
        <f>IF(AND(CZ$5&gt;$E29,CZ$5&lt;=$F29),IF(CZ$5=$E29+1,$C29,""),"")</f>
        <v/>
      </c>
      <c r="DA29" s="34">
        <f>IF(AND(DA$5&gt;$E29,DA$5&lt;=$F29),IF(DA$5=$E29+1,$C29,""),"")</f>
        <v/>
      </c>
      <c r="DB29" s="34">
        <f>IF(AND(DB$5&gt;$E29,DB$5&lt;=$F29),IF(DB$5=$E29+1,$C29,""),"")</f>
        <v/>
      </c>
      <c r="DC29" s="34">
        <f>IF(AND(DC$5&gt;$E29,DC$5&lt;=$F29),IF(DC$5=$E29+1,$C29,""),"")</f>
        <v/>
      </c>
      <c r="DD29" s="34">
        <f>IF(AND(DD$5&gt;$E29,DD$5&lt;=$F29),IF(DD$5=$E29+1,$C29,""),"")</f>
        <v/>
      </c>
      <c r="DE29" s="34">
        <f>IF(AND(DE$5&gt;$E29,DE$5&lt;=$F29),IF(DE$5=$E29+1,$C29,""),"")</f>
        <v/>
      </c>
      <c r="DF29" s="34">
        <f>IF(AND(DF$5&gt;$E29,DF$5&lt;=$F29),IF(DF$5=$E29+1,$C29,""),"")</f>
        <v/>
      </c>
      <c r="DG29" s="34">
        <f>IF(AND(DG$5&gt;$E29,DG$5&lt;=$F29),IF(DG$5=$E29+1,$C29,""),"")</f>
        <v/>
      </c>
      <c r="DH29" s="34">
        <f>IF(AND(DH$5&gt;$E29,DH$5&lt;=$F29),IF(DH$5=$E29+1,$C29,""),"")</f>
        <v/>
      </c>
      <c r="DI29" s="34">
        <f>IF(AND(DI$5&gt;$E29,DI$5&lt;=$F29),IF(DI$5=$E29+1,$C29,""),"")</f>
        <v/>
      </c>
      <c r="DJ29" s="34">
        <f>IF(AND(DJ$5&gt;$E29,DJ$5&lt;=$F29),IF(DJ$5=$E29+1,$C29,""),"")</f>
        <v/>
      </c>
      <c r="DK29" s="34">
        <f>IF(AND(DK$5&gt;$E29,DK$5&lt;=$F29),IF(DK$5=$E29+1,$C29,""),"")</f>
        <v/>
      </c>
      <c r="DL29" s="34">
        <f>IF(AND(DL$5&gt;$E29,DL$5&lt;=$F29),IF(DL$5=$E29+1,$C29,""),"")</f>
        <v/>
      </c>
      <c r="DM29" s="34">
        <f>IF(AND(DM$5&gt;$E29,DM$5&lt;=$F29),IF(DM$5=$E29+1,$C29,""),"")</f>
        <v/>
      </c>
      <c r="DN29" s="34">
        <f>IF(AND(DN$5&gt;$E29,DN$5&lt;=$F29),IF(DN$5=$E29+1,$C29,""),"")</f>
        <v/>
      </c>
      <c r="DO29" s="34">
        <f>IF(AND(DO$5&gt;$E29,DO$5&lt;=$F29),IF(DO$5=$E29+1,$C29,""),"")</f>
        <v/>
      </c>
      <c r="DP29" s="34">
        <f>IF(AND(DP$5&gt;$E29,DP$5&lt;=$F29),IF(DP$5=$E29+1,$C29,""),"")</f>
        <v/>
      </c>
      <c r="DQ29" s="34">
        <f>IF(AND(DQ$5&gt;$E29,DQ$5&lt;=$F29),IF(DQ$5=$E29+1,$C29,""),"")</f>
        <v/>
      </c>
      <c r="DR29" s="34">
        <f>IF(AND(DR$5&gt;$E29,DR$5&lt;=$F29),IF(DR$5=$E29+1,$C29,""),"")</f>
        <v/>
      </c>
      <c r="DS29" s="34">
        <f>IF(AND(DS$5&gt;$E29,DS$5&lt;=$F29),IF(DS$5=$E29+1,$C29,""),"")</f>
        <v/>
      </c>
      <c r="DT29" s="34">
        <f>IF(AND(DT$5&gt;$E29,DT$5&lt;=$F29),IF(DT$5=$E29+1,$C29,""),"")</f>
        <v/>
      </c>
      <c r="DU29" s="34">
        <f>IF(AND(DU$5&gt;$E29,DU$5&lt;=$F29),IF(DU$5=$E29+1,$C29,""),"")</f>
        <v/>
      </c>
      <c r="DV29" s="34">
        <f>IF(AND(DV$5&gt;$E29,DV$5&lt;=$F29),IF(DV$5=$E29+1,$C29,""),"")</f>
        <v/>
      </c>
      <c r="DW29" s="34">
        <f>IF(AND(DW$5&gt;$E29,DW$5&lt;=$F29),IF(DW$5=$E29+1,$C29,""),"")</f>
        <v/>
      </c>
      <c r="DX29" s="34">
        <f>IF(AND(DX$5&gt;$E29,DX$5&lt;=$F29),IF(DX$5=$E29+1,$C29,""),"")</f>
        <v/>
      </c>
      <c r="DY29" s="34">
        <f>IF(AND(DY$5&gt;$E29,DY$5&lt;=$F29),IF(DY$5=$E29+1,$C29,""),"")</f>
        <v/>
      </c>
      <c r="DZ29" s="34">
        <f>IF(AND(DZ$5&gt;$E29,DZ$5&lt;=$F29),IF(DZ$5=$E29+1,$C29,""),"")</f>
        <v/>
      </c>
      <c r="EA29" s="34">
        <f>IF(AND(EA$5&gt;$E29,EA$5&lt;=$F29),IF(EA$5=$E29+1,$C29,""),"")</f>
        <v/>
      </c>
      <c r="EB29" s="34">
        <f>IF(AND(EB$5&gt;$E29,EB$5&lt;=$F29),IF(EB$5=$E29+1,$C29,""),"")</f>
        <v/>
      </c>
      <c r="EC29" s="34">
        <f>IF(AND(EC$5&gt;$E29,EC$5&lt;=$F29),IF(EC$5=$E29+1,$C29,""),"")</f>
        <v/>
      </c>
      <c r="ED29" s="34">
        <f>IF(AND(ED$5&gt;$E29,ED$5&lt;=$F29),IF(ED$5=$E29+1,$C29,""),"")</f>
        <v/>
      </c>
      <c r="EE29" s="34">
        <f>IF(AND(EE$5&gt;$E29,EE$5&lt;=$F29),IF(EE$5=$E29+1,$C29,""),"")</f>
        <v/>
      </c>
      <c r="EF29" s="34">
        <f>IF(AND(EF$5&gt;$E29,EF$5&lt;=$F29),IF(EF$5=$E29+1,$C29,""),"")</f>
        <v/>
      </c>
      <c r="EG29" s="34">
        <f>IF(AND(EG$5&gt;$E29,EG$5&lt;=$F29),IF(EG$5=$E29+1,$C29,""),"")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c r="CT30" s="34">
        <f>IF(AND(CT$5&gt;$E30,CT$5&lt;=$F30),IF(CT$5=$E30+1,$C30,""),"")</f>
        <v/>
      </c>
      <c r="CU30" s="34">
        <f>IF(AND(CU$5&gt;$E30,CU$5&lt;=$F30),IF(CU$5=$E30+1,$C30,""),"")</f>
        <v/>
      </c>
      <c r="CV30" s="34">
        <f>IF(AND(CV$5&gt;$E30,CV$5&lt;=$F30),IF(CV$5=$E30+1,$C30,""),"")</f>
        <v/>
      </c>
      <c r="CW30" s="34">
        <f>IF(AND(CW$5&gt;$E30,CW$5&lt;=$F30),IF(CW$5=$E30+1,$C30,""),"")</f>
        <v/>
      </c>
      <c r="CX30" s="34">
        <f>IF(AND(CX$5&gt;$E30,CX$5&lt;=$F30),IF(CX$5=$E30+1,$C30,""),"")</f>
        <v/>
      </c>
      <c r="CY30" s="34">
        <f>IF(AND(CY$5&gt;$E30,CY$5&lt;=$F30),IF(CY$5=$E30+1,$C30,""),"")</f>
        <v/>
      </c>
      <c r="CZ30" s="34">
        <f>IF(AND(CZ$5&gt;$E30,CZ$5&lt;=$F30),IF(CZ$5=$E30+1,$C30,""),"")</f>
        <v/>
      </c>
      <c r="DA30" s="34">
        <f>IF(AND(DA$5&gt;$E30,DA$5&lt;=$F30),IF(DA$5=$E30+1,$C30,""),"")</f>
        <v/>
      </c>
      <c r="DB30" s="34">
        <f>IF(AND(DB$5&gt;$E30,DB$5&lt;=$F30),IF(DB$5=$E30+1,$C30,""),"")</f>
        <v/>
      </c>
      <c r="DC30" s="34">
        <f>IF(AND(DC$5&gt;$E30,DC$5&lt;=$F30),IF(DC$5=$E30+1,$C30,""),"")</f>
        <v/>
      </c>
      <c r="DD30" s="34">
        <f>IF(AND(DD$5&gt;$E30,DD$5&lt;=$F30),IF(DD$5=$E30+1,$C30,""),"")</f>
        <v/>
      </c>
      <c r="DE30" s="34">
        <f>IF(AND(DE$5&gt;$E30,DE$5&lt;=$F30),IF(DE$5=$E30+1,$C30,""),"")</f>
        <v/>
      </c>
      <c r="DF30" s="34">
        <f>IF(AND(DF$5&gt;$E30,DF$5&lt;=$F30),IF(DF$5=$E30+1,$C30,""),"")</f>
        <v/>
      </c>
      <c r="DG30" s="34">
        <f>IF(AND(DG$5&gt;$E30,DG$5&lt;=$F30),IF(DG$5=$E30+1,$C30,""),"")</f>
        <v/>
      </c>
      <c r="DH30" s="34">
        <f>IF(AND(DH$5&gt;$E30,DH$5&lt;=$F30),IF(DH$5=$E30+1,$C30,""),"")</f>
        <v/>
      </c>
      <c r="DI30" s="34">
        <f>IF(AND(DI$5&gt;$E30,DI$5&lt;=$F30),IF(DI$5=$E30+1,$C30,""),"")</f>
        <v/>
      </c>
      <c r="DJ30" s="34">
        <f>IF(AND(DJ$5&gt;$E30,DJ$5&lt;=$F30),IF(DJ$5=$E30+1,$C30,""),"")</f>
        <v/>
      </c>
      <c r="DK30" s="34">
        <f>IF(AND(DK$5&gt;$E30,DK$5&lt;=$F30),IF(DK$5=$E30+1,$C30,""),"")</f>
        <v/>
      </c>
      <c r="DL30" s="34">
        <f>IF(AND(DL$5&gt;$E30,DL$5&lt;=$F30),IF(DL$5=$E30+1,$C30,""),"")</f>
        <v/>
      </c>
      <c r="DM30" s="34">
        <f>IF(AND(DM$5&gt;$E30,DM$5&lt;=$F30),IF(DM$5=$E30+1,$C30,""),"")</f>
        <v/>
      </c>
      <c r="DN30" s="34">
        <f>IF(AND(DN$5&gt;$E30,DN$5&lt;=$F30),IF(DN$5=$E30+1,$C30,""),"")</f>
        <v/>
      </c>
      <c r="DO30" s="34">
        <f>IF(AND(DO$5&gt;$E30,DO$5&lt;=$F30),IF(DO$5=$E30+1,$C30,""),"")</f>
        <v/>
      </c>
      <c r="DP30" s="34">
        <f>IF(AND(DP$5&gt;$E30,DP$5&lt;=$F30),IF(DP$5=$E30+1,$C30,""),"")</f>
        <v/>
      </c>
      <c r="DQ30" s="34">
        <f>IF(AND(DQ$5&gt;$E30,DQ$5&lt;=$F30),IF(DQ$5=$E30+1,$C30,""),"")</f>
        <v/>
      </c>
      <c r="DR30" s="34">
        <f>IF(AND(DR$5&gt;$E30,DR$5&lt;=$F30),IF(DR$5=$E30+1,$C30,""),"")</f>
        <v/>
      </c>
      <c r="DS30" s="34">
        <f>IF(AND(DS$5&gt;$E30,DS$5&lt;=$F30),IF(DS$5=$E30+1,$C30,""),"")</f>
        <v/>
      </c>
      <c r="DT30" s="34">
        <f>IF(AND(DT$5&gt;$E30,DT$5&lt;=$F30),IF(DT$5=$E30+1,$C30,""),"")</f>
        <v/>
      </c>
      <c r="DU30" s="34">
        <f>IF(AND(DU$5&gt;$E30,DU$5&lt;=$F30),IF(DU$5=$E30+1,$C30,""),"")</f>
        <v/>
      </c>
      <c r="DV30" s="34">
        <f>IF(AND(DV$5&gt;$E30,DV$5&lt;=$F30),IF(DV$5=$E30+1,$C30,""),"")</f>
        <v/>
      </c>
      <c r="DW30" s="34">
        <f>IF(AND(DW$5&gt;$E30,DW$5&lt;=$F30),IF(DW$5=$E30+1,$C30,""),"")</f>
        <v/>
      </c>
      <c r="DX30" s="34">
        <f>IF(AND(DX$5&gt;$E30,DX$5&lt;=$F30),IF(DX$5=$E30+1,$C30,""),"")</f>
        <v/>
      </c>
      <c r="DY30" s="34">
        <f>IF(AND(DY$5&gt;$E30,DY$5&lt;=$F30),IF(DY$5=$E30+1,$C30,""),"")</f>
        <v/>
      </c>
      <c r="DZ30" s="34">
        <f>IF(AND(DZ$5&gt;$E30,DZ$5&lt;=$F30),IF(DZ$5=$E30+1,$C30,""),"")</f>
        <v/>
      </c>
      <c r="EA30" s="34">
        <f>IF(AND(EA$5&gt;$E30,EA$5&lt;=$F30),IF(EA$5=$E30+1,$C30,""),"")</f>
        <v/>
      </c>
      <c r="EB30" s="34">
        <f>IF(AND(EB$5&gt;$E30,EB$5&lt;=$F30),IF(EB$5=$E30+1,$C30,""),"")</f>
        <v/>
      </c>
      <c r="EC30" s="34">
        <f>IF(AND(EC$5&gt;$E30,EC$5&lt;=$F30),IF(EC$5=$E30+1,$C30,""),"")</f>
        <v/>
      </c>
      <c r="ED30" s="34">
        <f>IF(AND(ED$5&gt;$E30,ED$5&lt;=$F30),IF(ED$5=$E30+1,$C30,""),"")</f>
        <v/>
      </c>
      <c r="EE30" s="34">
        <f>IF(AND(EE$5&gt;$E30,EE$5&lt;=$F30),IF(EE$5=$E30+1,$C30,""),"")</f>
        <v/>
      </c>
      <c r="EF30" s="34">
        <f>IF(AND(EF$5&gt;$E30,EF$5&lt;=$F30),IF(EF$5=$E30+1,$C30,""),"")</f>
        <v/>
      </c>
      <c r="EG30" s="34">
        <f>IF(AND(EG$5&gt;$E30,EG$5&lt;=$F30),IF(EG$5=$E30+1,$C30,""),"")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c r="CT31" s="34">
        <f>IF(AND(CT$5&gt;$E31,CT$5&lt;=$F31),IF(CT$5=$E31+1,$C31,""),"")</f>
        <v/>
      </c>
      <c r="CU31" s="34">
        <f>IF(AND(CU$5&gt;$E31,CU$5&lt;=$F31),IF(CU$5=$E31+1,$C31,""),"")</f>
        <v/>
      </c>
      <c r="CV31" s="34">
        <f>IF(AND(CV$5&gt;$E31,CV$5&lt;=$F31),IF(CV$5=$E31+1,$C31,""),"")</f>
        <v/>
      </c>
      <c r="CW31" s="34">
        <f>IF(AND(CW$5&gt;$E31,CW$5&lt;=$F31),IF(CW$5=$E31+1,$C31,""),"")</f>
        <v/>
      </c>
      <c r="CX31" s="34">
        <f>IF(AND(CX$5&gt;$E31,CX$5&lt;=$F31),IF(CX$5=$E31+1,$C31,""),"")</f>
        <v/>
      </c>
      <c r="CY31" s="34">
        <f>IF(AND(CY$5&gt;$E31,CY$5&lt;=$F31),IF(CY$5=$E31+1,$C31,""),"")</f>
        <v/>
      </c>
      <c r="CZ31" s="34">
        <f>IF(AND(CZ$5&gt;$E31,CZ$5&lt;=$F31),IF(CZ$5=$E31+1,$C31,""),"")</f>
        <v/>
      </c>
      <c r="DA31" s="34">
        <f>IF(AND(DA$5&gt;$E31,DA$5&lt;=$F31),IF(DA$5=$E31+1,$C31,""),"")</f>
        <v/>
      </c>
      <c r="DB31" s="34">
        <f>IF(AND(DB$5&gt;$E31,DB$5&lt;=$F31),IF(DB$5=$E31+1,$C31,""),"")</f>
        <v/>
      </c>
      <c r="DC31" s="34">
        <f>IF(AND(DC$5&gt;$E31,DC$5&lt;=$F31),IF(DC$5=$E31+1,$C31,""),"")</f>
        <v/>
      </c>
      <c r="DD31" s="34">
        <f>IF(AND(DD$5&gt;$E31,DD$5&lt;=$F31),IF(DD$5=$E31+1,$C31,""),"")</f>
        <v/>
      </c>
      <c r="DE31" s="34">
        <f>IF(AND(DE$5&gt;$E31,DE$5&lt;=$F31),IF(DE$5=$E31+1,$C31,""),"")</f>
        <v/>
      </c>
      <c r="DF31" s="34">
        <f>IF(AND(DF$5&gt;$E31,DF$5&lt;=$F31),IF(DF$5=$E31+1,$C31,""),"")</f>
        <v/>
      </c>
      <c r="DG31" s="34">
        <f>IF(AND(DG$5&gt;$E31,DG$5&lt;=$F31),IF(DG$5=$E31+1,$C31,""),"")</f>
        <v/>
      </c>
      <c r="DH31" s="34">
        <f>IF(AND(DH$5&gt;$E31,DH$5&lt;=$F31),IF(DH$5=$E31+1,$C31,""),"")</f>
        <v/>
      </c>
      <c r="DI31" s="34">
        <f>IF(AND(DI$5&gt;$E31,DI$5&lt;=$F31),IF(DI$5=$E31+1,$C31,""),"")</f>
        <v/>
      </c>
      <c r="DJ31" s="34">
        <f>IF(AND(DJ$5&gt;$E31,DJ$5&lt;=$F31),IF(DJ$5=$E31+1,$C31,""),"")</f>
        <v/>
      </c>
      <c r="DK31" s="34">
        <f>IF(AND(DK$5&gt;$E31,DK$5&lt;=$F31),IF(DK$5=$E31+1,$C31,""),"")</f>
        <v/>
      </c>
      <c r="DL31" s="34">
        <f>IF(AND(DL$5&gt;$E31,DL$5&lt;=$F31),IF(DL$5=$E31+1,$C31,""),"")</f>
        <v/>
      </c>
      <c r="DM31" s="34">
        <f>IF(AND(DM$5&gt;$E31,DM$5&lt;=$F31),IF(DM$5=$E31+1,$C31,""),"")</f>
        <v/>
      </c>
      <c r="DN31" s="34">
        <f>IF(AND(DN$5&gt;$E31,DN$5&lt;=$F31),IF(DN$5=$E31+1,$C31,""),"")</f>
        <v/>
      </c>
      <c r="DO31" s="34">
        <f>IF(AND(DO$5&gt;$E31,DO$5&lt;=$F31),IF(DO$5=$E31+1,$C31,""),"")</f>
        <v/>
      </c>
      <c r="DP31" s="34">
        <f>IF(AND(DP$5&gt;$E31,DP$5&lt;=$F31),IF(DP$5=$E31+1,$C31,""),"")</f>
        <v/>
      </c>
      <c r="DQ31" s="34">
        <f>IF(AND(DQ$5&gt;$E31,DQ$5&lt;=$F31),IF(DQ$5=$E31+1,$C31,""),"")</f>
        <v/>
      </c>
      <c r="DR31" s="34">
        <f>IF(AND(DR$5&gt;$E31,DR$5&lt;=$F31),IF(DR$5=$E31+1,$C31,""),"")</f>
        <v/>
      </c>
      <c r="DS31" s="34">
        <f>IF(AND(DS$5&gt;$E31,DS$5&lt;=$F31),IF(DS$5=$E31+1,$C31,""),"")</f>
        <v/>
      </c>
      <c r="DT31" s="34">
        <f>IF(AND(DT$5&gt;$E31,DT$5&lt;=$F31),IF(DT$5=$E31+1,$C31,""),"")</f>
        <v/>
      </c>
      <c r="DU31" s="34">
        <f>IF(AND(DU$5&gt;$E31,DU$5&lt;=$F31),IF(DU$5=$E31+1,$C31,""),"")</f>
        <v/>
      </c>
      <c r="DV31" s="34">
        <f>IF(AND(DV$5&gt;$E31,DV$5&lt;=$F31),IF(DV$5=$E31+1,$C31,""),"")</f>
        <v/>
      </c>
      <c r="DW31" s="34">
        <f>IF(AND(DW$5&gt;$E31,DW$5&lt;=$F31),IF(DW$5=$E31+1,$C31,""),"")</f>
        <v/>
      </c>
      <c r="DX31" s="34">
        <f>IF(AND(DX$5&gt;$E31,DX$5&lt;=$F31),IF(DX$5=$E31+1,$C31,""),"")</f>
        <v/>
      </c>
      <c r="DY31" s="34">
        <f>IF(AND(DY$5&gt;$E31,DY$5&lt;=$F31),IF(DY$5=$E31+1,$C31,""),"")</f>
        <v/>
      </c>
      <c r="DZ31" s="34">
        <f>IF(AND(DZ$5&gt;$E31,DZ$5&lt;=$F31),IF(DZ$5=$E31+1,$C31,""),"")</f>
        <v/>
      </c>
      <c r="EA31" s="34">
        <f>IF(AND(EA$5&gt;$E31,EA$5&lt;=$F31),IF(EA$5=$E31+1,$C31,""),"")</f>
        <v/>
      </c>
      <c r="EB31" s="34">
        <f>IF(AND(EB$5&gt;$E31,EB$5&lt;=$F31),IF(EB$5=$E31+1,$C31,""),"")</f>
        <v/>
      </c>
      <c r="EC31" s="34">
        <f>IF(AND(EC$5&gt;$E31,EC$5&lt;=$F31),IF(EC$5=$E31+1,$C31,""),"")</f>
        <v/>
      </c>
      <c r="ED31" s="34">
        <f>IF(AND(ED$5&gt;$E31,ED$5&lt;=$F31),IF(ED$5=$E31+1,$C31,""),"")</f>
        <v/>
      </c>
      <c r="EE31" s="34">
        <f>IF(AND(EE$5&gt;$E31,EE$5&lt;=$F31),IF(EE$5=$E31+1,$C31,""),"")</f>
        <v/>
      </c>
      <c r="EF31" s="34">
        <f>IF(AND(EF$5&gt;$E31,EF$5&lt;=$F31),IF(EF$5=$E31+1,$C31,""),"")</f>
        <v/>
      </c>
      <c r="EG31" s="34">
        <f>IF(AND(EG$5&gt;$E31,EG$5&lt;=$F31),IF(EG$5=$E31+1,$C31,""),"")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c r="CT32" s="34">
        <f>IF(AND(CT$5&gt;$E32,CT$5&lt;=$F32),IF(CT$5=$E32+1,$C32,""),"")</f>
        <v/>
      </c>
      <c r="CU32" s="34">
        <f>IF(AND(CU$5&gt;$E32,CU$5&lt;=$F32),IF(CU$5=$E32+1,$C32,""),"")</f>
        <v/>
      </c>
      <c r="CV32" s="34">
        <f>IF(AND(CV$5&gt;$E32,CV$5&lt;=$F32),IF(CV$5=$E32+1,$C32,""),"")</f>
        <v/>
      </c>
      <c r="CW32" s="34">
        <f>IF(AND(CW$5&gt;$E32,CW$5&lt;=$F32),IF(CW$5=$E32+1,$C32,""),"")</f>
        <v/>
      </c>
      <c r="CX32" s="34">
        <f>IF(AND(CX$5&gt;$E32,CX$5&lt;=$F32),IF(CX$5=$E32+1,$C32,""),"")</f>
        <v/>
      </c>
      <c r="CY32" s="34">
        <f>IF(AND(CY$5&gt;$E32,CY$5&lt;=$F32),IF(CY$5=$E32+1,$C32,""),"")</f>
        <v/>
      </c>
      <c r="CZ32" s="34">
        <f>IF(AND(CZ$5&gt;$E32,CZ$5&lt;=$F32),IF(CZ$5=$E32+1,$C32,""),"")</f>
        <v/>
      </c>
      <c r="DA32" s="34">
        <f>IF(AND(DA$5&gt;$E32,DA$5&lt;=$F32),IF(DA$5=$E32+1,$C32,""),"")</f>
        <v/>
      </c>
      <c r="DB32" s="34">
        <f>IF(AND(DB$5&gt;$E32,DB$5&lt;=$F32),IF(DB$5=$E32+1,$C32,""),"")</f>
        <v/>
      </c>
      <c r="DC32" s="34">
        <f>IF(AND(DC$5&gt;$E32,DC$5&lt;=$F32),IF(DC$5=$E32+1,$C32,""),"")</f>
        <v/>
      </c>
      <c r="DD32" s="34">
        <f>IF(AND(DD$5&gt;$E32,DD$5&lt;=$F32),IF(DD$5=$E32+1,$C32,""),"")</f>
        <v/>
      </c>
      <c r="DE32" s="34">
        <f>IF(AND(DE$5&gt;$E32,DE$5&lt;=$F32),IF(DE$5=$E32+1,$C32,""),"")</f>
        <v/>
      </c>
      <c r="DF32" s="34">
        <f>IF(AND(DF$5&gt;$E32,DF$5&lt;=$F32),IF(DF$5=$E32+1,$C32,""),"")</f>
        <v/>
      </c>
      <c r="DG32" s="34">
        <f>IF(AND(DG$5&gt;$E32,DG$5&lt;=$F32),IF(DG$5=$E32+1,$C32,""),"")</f>
        <v/>
      </c>
      <c r="DH32" s="34">
        <f>IF(AND(DH$5&gt;$E32,DH$5&lt;=$F32),IF(DH$5=$E32+1,$C32,""),"")</f>
        <v/>
      </c>
      <c r="DI32" s="34">
        <f>IF(AND(DI$5&gt;$E32,DI$5&lt;=$F32),IF(DI$5=$E32+1,$C32,""),"")</f>
        <v/>
      </c>
      <c r="DJ32" s="34">
        <f>IF(AND(DJ$5&gt;$E32,DJ$5&lt;=$F32),IF(DJ$5=$E32+1,$C32,""),"")</f>
        <v/>
      </c>
      <c r="DK32" s="34">
        <f>IF(AND(DK$5&gt;$E32,DK$5&lt;=$F32),IF(DK$5=$E32+1,$C32,""),"")</f>
        <v/>
      </c>
      <c r="DL32" s="34">
        <f>IF(AND(DL$5&gt;$E32,DL$5&lt;=$F32),IF(DL$5=$E32+1,$C32,""),"")</f>
        <v/>
      </c>
      <c r="DM32" s="34">
        <f>IF(AND(DM$5&gt;$E32,DM$5&lt;=$F32),IF(DM$5=$E32+1,$C32,""),"")</f>
        <v/>
      </c>
      <c r="DN32" s="34">
        <f>IF(AND(DN$5&gt;$E32,DN$5&lt;=$F32),IF(DN$5=$E32+1,$C32,""),"")</f>
        <v/>
      </c>
      <c r="DO32" s="34">
        <f>IF(AND(DO$5&gt;$E32,DO$5&lt;=$F32),IF(DO$5=$E32+1,$C32,""),"")</f>
        <v/>
      </c>
      <c r="DP32" s="34">
        <f>IF(AND(DP$5&gt;$E32,DP$5&lt;=$F32),IF(DP$5=$E32+1,$C32,""),"")</f>
        <v/>
      </c>
      <c r="DQ32" s="34">
        <f>IF(AND(DQ$5&gt;$E32,DQ$5&lt;=$F32),IF(DQ$5=$E32+1,$C32,""),"")</f>
        <v/>
      </c>
      <c r="DR32" s="34">
        <f>IF(AND(DR$5&gt;$E32,DR$5&lt;=$F32),IF(DR$5=$E32+1,$C32,""),"")</f>
        <v/>
      </c>
      <c r="DS32" s="34">
        <f>IF(AND(DS$5&gt;$E32,DS$5&lt;=$F32),IF(DS$5=$E32+1,$C32,""),"")</f>
        <v/>
      </c>
      <c r="DT32" s="34">
        <f>IF(AND(DT$5&gt;$E32,DT$5&lt;=$F32),IF(DT$5=$E32+1,$C32,""),"")</f>
        <v/>
      </c>
      <c r="DU32" s="34">
        <f>IF(AND(DU$5&gt;$E32,DU$5&lt;=$F32),IF(DU$5=$E32+1,$C32,""),"")</f>
        <v/>
      </c>
      <c r="DV32" s="34">
        <f>IF(AND(DV$5&gt;$E32,DV$5&lt;=$F32),IF(DV$5=$E32+1,$C32,""),"")</f>
        <v/>
      </c>
      <c r="DW32" s="34">
        <f>IF(AND(DW$5&gt;$E32,DW$5&lt;=$F32),IF(DW$5=$E32+1,$C32,""),"")</f>
        <v/>
      </c>
      <c r="DX32" s="34">
        <f>IF(AND(DX$5&gt;$E32,DX$5&lt;=$F32),IF(DX$5=$E32+1,$C32,""),"")</f>
        <v/>
      </c>
      <c r="DY32" s="34">
        <f>IF(AND(DY$5&gt;$E32,DY$5&lt;=$F32),IF(DY$5=$E32+1,$C32,""),"")</f>
        <v/>
      </c>
      <c r="DZ32" s="34">
        <f>IF(AND(DZ$5&gt;$E32,DZ$5&lt;=$F32),IF(DZ$5=$E32+1,$C32,""),"")</f>
        <v/>
      </c>
      <c r="EA32" s="34">
        <f>IF(AND(EA$5&gt;$E32,EA$5&lt;=$F32),IF(EA$5=$E32+1,$C32,""),"")</f>
        <v/>
      </c>
      <c r="EB32" s="34">
        <f>IF(AND(EB$5&gt;$E32,EB$5&lt;=$F32),IF(EB$5=$E32+1,$C32,""),"")</f>
        <v/>
      </c>
      <c r="EC32" s="34">
        <f>IF(AND(EC$5&gt;$E32,EC$5&lt;=$F32),IF(EC$5=$E32+1,$C32,""),"")</f>
        <v/>
      </c>
      <c r="ED32" s="34">
        <f>IF(AND(ED$5&gt;$E32,ED$5&lt;=$F32),IF(ED$5=$E32+1,$C32,""),"")</f>
        <v/>
      </c>
      <c r="EE32" s="34">
        <f>IF(AND(EE$5&gt;$E32,EE$5&lt;=$F32),IF(EE$5=$E32+1,$C32,""),"")</f>
        <v/>
      </c>
      <c r="EF32" s="34">
        <f>IF(AND(EF$5&gt;$E32,EF$5&lt;=$F32),IF(EF$5=$E32+1,$C32,""),"")</f>
        <v/>
      </c>
      <c r="EG32" s="34">
        <f>IF(AND(EG$5&gt;$E32,EG$5&lt;=$F32),IF(EG$5=$E32+1,$C32,""),"")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c r="CT33" s="34">
        <f>IF(AND(CT$5&gt;$E33,CT$5&lt;=$F33),IF(CT$5=$E33+1,$C33,""),"")</f>
        <v/>
      </c>
      <c r="CU33" s="34">
        <f>IF(AND(CU$5&gt;$E33,CU$5&lt;=$F33),IF(CU$5=$E33+1,$C33,""),"")</f>
        <v/>
      </c>
      <c r="CV33" s="34">
        <f>IF(AND(CV$5&gt;$E33,CV$5&lt;=$F33),IF(CV$5=$E33+1,$C33,""),"")</f>
        <v/>
      </c>
      <c r="CW33" s="34">
        <f>IF(AND(CW$5&gt;$E33,CW$5&lt;=$F33),IF(CW$5=$E33+1,$C33,""),"")</f>
        <v/>
      </c>
      <c r="CX33" s="34">
        <f>IF(AND(CX$5&gt;$E33,CX$5&lt;=$F33),IF(CX$5=$E33+1,$C33,""),"")</f>
        <v/>
      </c>
      <c r="CY33" s="34">
        <f>IF(AND(CY$5&gt;$E33,CY$5&lt;=$F33),IF(CY$5=$E33+1,$C33,""),"")</f>
        <v/>
      </c>
      <c r="CZ33" s="34">
        <f>IF(AND(CZ$5&gt;$E33,CZ$5&lt;=$F33),IF(CZ$5=$E33+1,$C33,""),"")</f>
        <v/>
      </c>
      <c r="DA33" s="34">
        <f>IF(AND(DA$5&gt;$E33,DA$5&lt;=$F33),IF(DA$5=$E33+1,$C33,""),"")</f>
        <v/>
      </c>
      <c r="DB33" s="34">
        <f>IF(AND(DB$5&gt;$E33,DB$5&lt;=$F33),IF(DB$5=$E33+1,$C33,""),"")</f>
        <v/>
      </c>
      <c r="DC33" s="34">
        <f>IF(AND(DC$5&gt;$E33,DC$5&lt;=$F33),IF(DC$5=$E33+1,$C33,""),"")</f>
        <v/>
      </c>
      <c r="DD33" s="34">
        <f>IF(AND(DD$5&gt;$E33,DD$5&lt;=$F33),IF(DD$5=$E33+1,$C33,""),"")</f>
        <v/>
      </c>
      <c r="DE33" s="34">
        <f>IF(AND(DE$5&gt;$E33,DE$5&lt;=$F33),IF(DE$5=$E33+1,$C33,""),"")</f>
        <v/>
      </c>
      <c r="DF33" s="34">
        <f>IF(AND(DF$5&gt;$E33,DF$5&lt;=$F33),IF(DF$5=$E33+1,$C33,""),"")</f>
        <v/>
      </c>
      <c r="DG33" s="34">
        <f>IF(AND(DG$5&gt;$E33,DG$5&lt;=$F33),IF(DG$5=$E33+1,$C33,""),"")</f>
        <v/>
      </c>
      <c r="DH33" s="34">
        <f>IF(AND(DH$5&gt;$E33,DH$5&lt;=$F33),IF(DH$5=$E33+1,$C33,""),"")</f>
        <v/>
      </c>
      <c r="DI33" s="34">
        <f>IF(AND(DI$5&gt;$E33,DI$5&lt;=$F33),IF(DI$5=$E33+1,$C33,""),"")</f>
        <v/>
      </c>
      <c r="DJ33" s="34">
        <f>IF(AND(DJ$5&gt;$E33,DJ$5&lt;=$F33),IF(DJ$5=$E33+1,$C33,""),"")</f>
        <v/>
      </c>
      <c r="DK33" s="34">
        <f>IF(AND(DK$5&gt;$E33,DK$5&lt;=$F33),IF(DK$5=$E33+1,$C33,""),"")</f>
        <v/>
      </c>
      <c r="DL33" s="34">
        <f>IF(AND(DL$5&gt;$E33,DL$5&lt;=$F33),IF(DL$5=$E33+1,$C33,""),"")</f>
        <v/>
      </c>
      <c r="DM33" s="34">
        <f>IF(AND(DM$5&gt;$E33,DM$5&lt;=$F33),IF(DM$5=$E33+1,$C33,""),"")</f>
        <v/>
      </c>
      <c r="DN33" s="34">
        <f>IF(AND(DN$5&gt;$E33,DN$5&lt;=$F33),IF(DN$5=$E33+1,$C33,""),"")</f>
        <v/>
      </c>
      <c r="DO33" s="34">
        <f>IF(AND(DO$5&gt;$E33,DO$5&lt;=$F33),IF(DO$5=$E33+1,$C33,""),"")</f>
        <v/>
      </c>
      <c r="DP33" s="34">
        <f>IF(AND(DP$5&gt;$E33,DP$5&lt;=$F33),IF(DP$5=$E33+1,$C33,""),"")</f>
        <v/>
      </c>
      <c r="DQ33" s="34">
        <f>IF(AND(DQ$5&gt;$E33,DQ$5&lt;=$F33),IF(DQ$5=$E33+1,$C33,""),"")</f>
        <v/>
      </c>
      <c r="DR33" s="34">
        <f>IF(AND(DR$5&gt;$E33,DR$5&lt;=$F33),IF(DR$5=$E33+1,$C33,""),"")</f>
        <v/>
      </c>
      <c r="DS33" s="34">
        <f>IF(AND(DS$5&gt;$E33,DS$5&lt;=$F33),IF(DS$5=$E33+1,$C33,""),"")</f>
        <v/>
      </c>
      <c r="DT33" s="34">
        <f>IF(AND(DT$5&gt;$E33,DT$5&lt;=$F33),IF(DT$5=$E33+1,$C33,""),"")</f>
        <v/>
      </c>
      <c r="DU33" s="34">
        <f>IF(AND(DU$5&gt;$E33,DU$5&lt;=$F33),IF(DU$5=$E33+1,$C33,""),"")</f>
        <v/>
      </c>
      <c r="DV33" s="34">
        <f>IF(AND(DV$5&gt;$E33,DV$5&lt;=$F33),IF(DV$5=$E33+1,$C33,""),"")</f>
        <v/>
      </c>
      <c r="DW33" s="34">
        <f>IF(AND(DW$5&gt;$E33,DW$5&lt;=$F33),IF(DW$5=$E33+1,$C33,""),"")</f>
        <v/>
      </c>
      <c r="DX33" s="34">
        <f>IF(AND(DX$5&gt;$E33,DX$5&lt;=$F33),IF(DX$5=$E33+1,$C33,""),"")</f>
        <v/>
      </c>
      <c r="DY33" s="34">
        <f>IF(AND(DY$5&gt;$E33,DY$5&lt;=$F33),IF(DY$5=$E33+1,$C33,""),"")</f>
        <v/>
      </c>
      <c r="DZ33" s="34">
        <f>IF(AND(DZ$5&gt;$E33,DZ$5&lt;=$F33),IF(DZ$5=$E33+1,$C33,""),"")</f>
        <v/>
      </c>
      <c r="EA33" s="34">
        <f>IF(AND(EA$5&gt;$E33,EA$5&lt;=$F33),IF(EA$5=$E33+1,$C33,""),"")</f>
        <v/>
      </c>
      <c r="EB33" s="34">
        <f>IF(AND(EB$5&gt;$E33,EB$5&lt;=$F33),IF(EB$5=$E33+1,$C33,""),"")</f>
        <v/>
      </c>
      <c r="EC33" s="34">
        <f>IF(AND(EC$5&gt;$E33,EC$5&lt;=$F33),IF(EC$5=$E33+1,$C33,""),"")</f>
        <v/>
      </c>
      <c r="ED33" s="34">
        <f>IF(AND(ED$5&gt;$E33,ED$5&lt;=$F33),IF(ED$5=$E33+1,$C33,""),"")</f>
        <v/>
      </c>
      <c r="EE33" s="34">
        <f>IF(AND(EE$5&gt;$E33,EE$5&lt;=$F33),IF(EE$5=$E33+1,$C33,""),"")</f>
        <v/>
      </c>
      <c r="EF33" s="34">
        <f>IF(AND(EF$5&gt;$E33,EF$5&lt;=$F33),IF(EF$5=$E33+1,$C33,""),"")</f>
        <v/>
      </c>
      <c r="EG33" s="34">
        <f>IF(AND(EG$5&gt;$E33,EG$5&lt;=$F33),IF(EG$5=$E33+1,$C33,""),"")</f>
        <v/>
      </c>
    </row>
    <row r="34">
      <c r="A34" s="27" t="inlineStr">
        <is>
          <t>Fase 3. Flujo de solicitud de crédito</t>
        </is>
      </c>
      <c r="B34" s="28" t="n"/>
      <c r="C34" s="28" t="n"/>
      <c r="D34" s="28" t="n"/>
      <c r="E34" s="29">
        <f>SUMPRODUCT(MIN((Plan!$B$5:$B$117="3. Flujo de solicitud de crédito")*Plan!$K$5:$K$117+(Plan!$B$5:$B$117&lt;&gt;"3. Flujo de solicitud de crédito")*1E9))</f>
        <v/>
      </c>
      <c r="F34" s="29">
        <f>SUMPRODUCT(MAX((Plan!$B$5:$B$117="3. Flujo de solicitud de crédito")*Plan!$L$5:$L$117))</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c r="CT35" s="34">
        <f>IF(AND(CT$5&gt;$E35,CT$5&lt;=$F35),IF(CT$5=$E35+1,$C35,""),"")</f>
        <v/>
      </c>
      <c r="CU35" s="34">
        <f>IF(AND(CU$5&gt;$E35,CU$5&lt;=$F35),IF(CU$5=$E35+1,$C35,""),"")</f>
        <v/>
      </c>
      <c r="CV35" s="34">
        <f>IF(AND(CV$5&gt;$E35,CV$5&lt;=$F35),IF(CV$5=$E35+1,$C35,""),"")</f>
        <v/>
      </c>
      <c r="CW35" s="34">
        <f>IF(AND(CW$5&gt;$E35,CW$5&lt;=$F35),IF(CW$5=$E35+1,$C35,""),"")</f>
        <v/>
      </c>
      <c r="CX35" s="34">
        <f>IF(AND(CX$5&gt;$E35,CX$5&lt;=$F35),IF(CX$5=$E35+1,$C35,""),"")</f>
        <v/>
      </c>
      <c r="CY35" s="34">
        <f>IF(AND(CY$5&gt;$E35,CY$5&lt;=$F35),IF(CY$5=$E35+1,$C35,""),"")</f>
        <v/>
      </c>
      <c r="CZ35" s="34">
        <f>IF(AND(CZ$5&gt;$E35,CZ$5&lt;=$F35),IF(CZ$5=$E35+1,$C35,""),"")</f>
        <v/>
      </c>
      <c r="DA35" s="34">
        <f>IF(AND(DA$5&gt;$E35,DA$5&lt;=$F35),IF(DA$5=$E35+1,$C35,""),"")</f>
        <v/>
      </c>
      <c r="DB35" s="34">
        <f>IF(AND(DB$5&gt;$E35,DB$5&lt;=$F35),IF(DB$5=$E35+1,$C35,""),"")</f>
        <v/>
      </c>
      <c r="DC35" s="34">
        <f>IF(AND(DC$5&gt;$E35,DC$5&lt;=$F35),IF(DC$5=$E35+1,$C35,""),"")</f>
        <v/>
      </c>
      <c r="DD35" s="34">
        <f>IF(AND(DD$5&gt;$E35,DD$5&lt;=$F35),IF(DD$5=$E35+1,$C35,""),"")</f>
        <v/>
      </c>
      <c r="DE35" s="34">
        <f>IF(AND(DE$5&gt;$E35,DE$5&lt;=$F35),IF(DE$5=$E35+1,$C35,""),"")</f>
        <v/>
      </c>
      <c r="DF35" s="34">
        <f>IF(AND(DF$5&gt;$E35,DF$5&lt;=$F35),IF(DF$5=$E35+1,$C35,""),"")</f>
        <v/>
      </c>
      <c r="DG35" s="34">
        <f>IF(AND(DG$5&gt;$E35,DG$5&lt;=$F35),IF(DG$5=$E35+1,$C35,""),"")</f>
        <v/>
      </c>
      <c r="DH35" s="34">
        <f>IF(AND(DH$5&gt;$E35,DH$5&lt;=$F35),IF(DH$5=$E35+1,$C35,""),"")</f>
        <v/>
      </c>
      <c r="DI35" s="34">
        <f>IF(AND(DI$5&gt;$E35,DI$5&lt;=$F35),IF(DI$5=$E35+1,$C35,""),"")</f>
        <v/>
      </c>
      <c r="DJ35" s="34">
        <f>IF(AND(DJ$5&gt;$E35,DJ$5&lt;=$F35),IF(DJ$5=$E35+1,$C35,""),"")</f>
        <v/>
      </c>
      <c r="DK35" s="34">
        <f>IF(AND(DK$5&gt;$E35,DK$5&lt;=$F35),IF(DK$5=$E35+1,$C35,""),"")</f>
        <v/>
      </c>
      <c r="DL35" s="34">
        <f>IF(AND(DL$5&gt;$E35,DL$5&lt;=$F35),IF(DL$5=$E35+1,$C35,""),"")</f>
        <v/>
      </c>
      <c r="DM35" s="34">
        <f>IF(AND(DM$5&gt;$E35,DM$5&lt;=$F35),IF(DM$5=$E35+1,$C35,""),"")</f>
        <v/>
      </c>
      <c r="DN35" s="34">
        <f>IF(AND(DN$5&gt;$E35,DN$5&lt;=$F35),IF(DN$5=$E35+1,$C35,""),"")</f>
        <v/>
      </c>
      <c r="DO35" s="34">
        <f>IF(AND(DO$5&gt;$E35,DO$5&lt;=$F35),IF(DO$5=$E35+1,$C35,""),"")</f>
        <v/>
      </c>
      <c r="DP35" s="34">
        <f>IF(AND(DP$5&gt;$E35,DP$5&lt;=$F35),IF(DP$5=$E35+1,$C35,""),"")</f>
        <v/>
      </c>
      <c r="DQ35" s="34">
        <f>IF(AND(DQ$5&gt;$E35,DQ$5&lt;=$F35),IF(DQ$5=$E35+1,$C35,""),"")</f>
        <v/>
      </c>
      <c r="DR35" s="34">
        <f>IF(AND(DR$5&gt;$E35,DR$5&lt;=$F35),IF(DR$5=$E35+1,$C35,""),"")</f>
        <v/>
      </c>
      <c r="DS35" s="34">
        <f>IF(AND(DS$5&gt;$E35,DS$5&lt;=$F35),IF(DS$5=$E35+1,$C35,""),"")</f>
        <v/>
      </c>
      <c r="DT35" s="34">
        <f>IF(AND(DT$5&gt;$E35,DT$5&lt;=$F35),IF(DT$5=$E35+1,$C35,""),"")</f>
        <v/>
      </c>
      <c r="DU35" s="34">
        <f>IF(AND(DU$5&gt;$E35,DU$5&lt;=$F35),IF(DU$5=$E35+1,$C35,""),"")</f>
        <v/>
      </c>
      <c r="DV35" s="34">
        <f>IF(AND(DV$5&gt;$E35,DV$5&lt;=$F35),IF(DV$5=$E35+1,$C35,""),"")</f>
        <v/>
      </c>
      <c r="DW35" s="34">
        <f>IF(AND(DW$5&gt;$E35,DW$5&lt;=$F35),IF(DW$5=$E35+1,$C35,""),"")</f>
        <v/>
      </c>
      <c r="DX35" s="34">
        <f>IF(AND(DX$5&gt;$E35,DX$5&lt;=$F35),IF(DX$5=$E35+1,$C35,""),"")</f>
        <v/>
      </c>
      <c r="DY35" s="34">
        <f>IF(AND(DY$5&gt;$E35,DY$5&lt;=$F35),IF(DY$5=$E35+1,$C35,""),"")</f>
        <v/>
      </c>
      <c r="DZ35" s="34">
        <f>IF(AND(DZ$5&gt;$E35,DZ$5&lt;=$F35),IF(DZ$5=$E35+1,$C35,""),"")</f>
        <v/>
      </c>
      <c r="EA35" s="34">
        <f>IF(AND(EA$5&gt;$E35,EA$5&lt;=$F35),IF(EA$5=$E35+1,$C35,""),"")</f>
        <v/>
      </c>
      <c r="EB35" s="34">
        <f>IF(AND(EB$5&gt;$E35,EB$5&lt;=$F35),IF(EB$5=$E35+1,$C35,""),"")</f>
        <v/>
      </c>
      <c r="EC35" s="34">
        <f>IF(AND(EC$5&gt;$E35,EC$5&lt;=$F35),IF(EC$5=$E35+1,$C35,""),"")</f>
        <v/>
      </c>
      <c r="ED35" s="34">
        <f>IF(AND(ED$5&gt;$E35,ED$5&lt;=$F35),IF(ED$5=$E35+1,$C35,""),"")</f>
        <v/>
      </c>
      <c r="EE35" s="34">
        <f>IF(AND(EE$5&gt;$E35,EE$5&lt;=$F35),IF(EE$5=$E35+1,$C35,""),"")</f>
        <v/>
      </c>
      <c r="EF35" s="34">
        <f>IF(AND(EF$5&gt;$E35,EF$5&lt;=$F35),IF(EF$5=$E35+1,$C35,""),"")</f>
        <v/>
      </c>
      <c r="EG35" s="34">
        <f>IF(AND(EG$5&gt;$E35,EG$5&lt;=$F35),IF(EG$5=$E35+1,$C35,""),"")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c r="CT36" s="34">
        <f>IF(AND(CT$5&gt;$E36,CT$5&lt;=$F36),IF(CT$5=$E36+1,$C36,""),"")</f>
        <v/>
      </c>
      <c r="CU36" s="34">
        <f>IF(AND(CU$5&gt;$E36,CU$5&lt;=$F36),IF(CU$5=$E36+1,$C36,""),"")</f>
        <v/>
      </c>
      <c r="CV36" s="34">
        <f>IF(AND(CV$5&gt;$E36,CV$5&lt;=$F36),IF(CV$5=$E36+1,$C36,""),"")</f>
        <v/>
      </c>
      <c r="CW36" s="34">
        <f>IF(AND(CW$5&gt;$E36,CW$5&lt;=$F36),IF(CW$5=$E36+1,$C36,""),"")</f>
        <v/>
      </c>
      <c r="CX36" s="34">
        <f>IF(AND(CX$5&gt;$E36,CX$5&lt;=$F36),IF(CX$5=$E36+1,$C36,""),"")</f>
        <v/>
      </c>
      <c r="CY36" s="34">
        <f>IF(AND(CY$5&gt;$E36,CY$5&lt;=$F36),IF(CY$5=$E36+1,$C36,""),"")</f>
        <v/>
      </c>
      <c r="CZ36" s="34">
        <f>IF(AND(CZ$5&gt;$E36,CZ$5&lt;=$F36),IF(CZ$5=$E36+1,$C36,""),"")</f>
        <v/>
      </c>
      <c r="DA36" s="34">
        <f>IF(AND(DA$5&gt;$E36,DA$5&lt;=$F36),IF(DA$5=$E36+1,$C36,""),"")</f>
        <v/>
      </c>
      <c r="DB36" s="34">
        <f>IF(AND(DB$5&gt;$E36,DB$5&lt;=$F36),IF(DB$5=$E36+1,$C36,""),"")</f>
        <v/>
      </c>
      <c r="DC36" s="34">
        <f>IF(AND(DC$5&gt;$E36,DC$5&lt;=$F36),IF(DC$5=$E36+1,$C36,""),"")</f>
        <v/>
      </c>
      <c r="DD36" s="34">
        <f>IF(AND(DD$5&gt;$E36,DD$5&lt;=$F36),IF(DD$5=$E36+1,$C36,""),"")</f>
        <v/>
      </c>
      <c r="DE36" s="34">
        <f>IF(AND(DE$5&gt;$E36,DE$5&lt;=$F36),IF(DE$5=$E36+1,$C36,""),"")</f>
        <v/>
      </c>
      <c r="DF36" s="34">
        <f>IF(AND(DF$5&gt;$E36,DF$5&lt;=$F36),IF(DF$5=$E36+1,$C36,""),"")</f>
        <v/>
      </c>
      <c r="DG36" s="34">
        <f>IF(AND(DG$5&gt;$E36,DG$5&lt;=$F36),IF(DG$5=$E36+1,$C36,""),"")</f>
        <v/>
      </c>
      <c r="DH36" s="34">
        <f>IF(AND(DH$5&gt;$E36,DH$5&lt;=$F36),IF(DH$5=$E36+1,$C36,""),"")</f>
        <v/>
      </c>
      <c r="DI36" s="34">
        <f>IF(AND(DI$5&gt;$E36,DI$5&lt;=$F36),IF(DI$5=$E36+1,$C36,""),"")</f>
        <v/>
      </c>
      <c r="DJ36" s="34">
        <f>IF(AND(DJ$5&gt;$E36,DJ$5&lt;=$F36),IF(DJ$5=$E36+1,$C36,""),"")</f>
        <v/>
      </c>
      <c r="DK36" s="34">
        <f>IF(AND(DK$5&gt;$E36,DK$5&lt;=$F36),IF(DK$5=$E36+1,$C36,""),"")</f>
        <v/>
      </c>
      <c r="DL36" s="34">
        <f>IF(AND(DL$5&gt;$E36,DL$5&lt;=$F36),IF(DL$5=$E36+1,$C36,""),"")</f>
        <v/>
      </c>
      <c r="DM36" s="34">
        <f>IF(AND(DM$5&gt;$E36,DM$5&lt;=$F36),IF(DM$5=$E36+1,$C36,""),"")</f>
        <v/>
      </c>
      <c r="DN36" s="34">
        <f>IF(AND(DN$5&gt;$E36,DN$5&lt;=$F36),IF(DN$5=$E36+1,$C36,""),"")</f>
        <v/>
      </c>
      <c r="DO36" s="34">
        <f>IF(AND(DO$5&gt;$E36,DO$5&lt;=$F36),IF(DO$5=$E36+1,$C36,""),"")</f>
        <v/>
      </c>
      <c r="DP36" s="34">
        <f>IF(AND(DP$5&gt;$E36,DP$5&lt;=$F36),IF(DP$5=$E36+1,$C36,""),"")</f>
        <v/>
      </c>
      <c r="DQ36" s="34">
        <f>IF(AND(DQ$5&gt;$E36,DQ$5&lt;=$F36),IF(DQ$5=$E36+1,$C36,""),"")</f>
        <v/>
      </c>
      <c r="DR36" s="34">
        <f>IF(AND(DR$5&gt;$E36,DR$5&lt;=$F36),IF(DR$5=$E36+1,$C36,""),"")</f>
        <v/>
      </c>
      <c r="DS36" s="34">
        <f>IF(AND(DS$5&gt;$E36,DS$5&lt;=$F36),IF(DS$5=$E36+1,$C36,""),"")</f>
        <v/>
      </c>
      <c r="DT36" s="34">
        <f>IF(AND(DT$5&gt;$E36,DT$5&lt;=$F36),IF(DT$5=$E36+1,$C36,""),"")</f>
        <v/>
      </c>
      <c r="DU36" s="34">
        <f>IF(AND(DU$5&gt;$E36,DU$5&lt;=$F36),IF(DU$5=$E36+1,$C36,""),"")</f>
        <v/>
      </c>
      <c r="DV36" s="34">
        <f>IF(AND(DV$5&gt;$E36,DV$5&lt;=$F36),IF(DV$5=$E36+1,$C36,""),"")</f>
        <v/>
      </c>
      <c r="DW36" s="34">
        <f>IF(AND(DW$5&gt;$E36,DW$5&lt;=$F36),IF(DW$5=$E36+1,$C36,""),"")</f>
        <v/>
      </c>
      <c r="DX36" s="34">
        <f>IF(AND(DX$5&gt;$E36,DX$5&lt;=$F36),IF(DX$5=$E36+1,$C36,""),"")</f>
        <v/>
      </c>
      <c r="DY36" s="34">
        <f>IF(AND(DY$5&gt;$E36,DY$5&lt;=$F36),IF(DY$5=$E36+1,$C36,""),"")</f>
        <v/>
      </c>
      <c r="DZ36" s="34">
        <f>IF(AND(DZ$5&gt;$E36,DZ$5&lt;=$F36),IF(DZ$5=$E36+1,$C36,""),"")</f>
        <v/>
      </c>
      <c r="EA36" s="34">
        <f>IF(AND(EA$5&gt;$E36,EA$5&lt;=$F36),IF(EA$5=$E36+1,$C36,""),"")</f>
        <v/>
      </c>
      <c r="EB36" s="34">
        <f>IF(AND(EB$5&gt;$E36,EB$5&lt;=$F36),IF(EB$5=$E36+1,$C36,""),"")</f>
        <v/>
      </c>
      <c r="EC36" s="34">
        <f>IF(AND(EC$5&gt;$E36,EC$5&lt;=$F36),IF(EC$5=$E36+1,$C36,""),"")</f>
        <v/>
      </c>
      <c r="ED36" s="34">
        <f>IF(AND(ED$5&gt;$E36,ED$5&lt;=$F36),IF(ED$5=$E36+1,$C36,""),"")</f>
        <v/>
      </c>
      <c r="EE36" s="34">
        <f>IF(AND(EE$5&gt;$E36,EE$5&lt;=$F36),IF(EE$5=$E36+1,$C36,""),"")</f>
        <v/>
      </c>
      <c r="EF36" s="34">
        <f>IF(AND(EF$5&gt;$E36,EF$5&lt;=$F36),IF(EF$5=$E36+1,$C36,""),"")</f>
        <v/>
      </c>
      <c r="EG36" s="34">
        <f>IF(AND(EG$5&gt;$E36,EG$5&lt;=$F36),IF(EG$5=$E36+1,$C36,""),"")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c r="CT37" s="34">
        <f>IF(AND(CT$5&gt;$E37,CT$5&lt;=$F37),IF(CT$5=$E37+1,$C37,""),"")</f>
        <v/>
      </c>
      <c r="CU37" s="34">
        <f>IF(AND(CU$5&gt;$E37,CU$5&lt;=$F37),IF(CU$5=$E37+1,$C37,""),"")</f>
        <v/>
      </c>
      <c r="CV37" s="34">
        <f>IF(AND(CV$5&gt;$E37,CV$5&lt;=$F37),IF(CV$5=$E37+1,$C37,""),"")</f>
        <v/>
      </c>
      <c r="CW37" s="34">
        <f>IF(AND(CW$5&gt;$E37,CW$5&lt;=$F37),IF(CW$5=$E37+1,$C37,""),"")</f>
        <v/>
      </c>
      <c r="CX37" s="34">
        <f>IF(AND(CX$5&gt;$E37,CX$5&lt;=$F37),IF(CX$5=$E37+1,$C37,""),"")</f>
        <v/>
      </c>
      <c r="CY37" s="34">
        <f>IF(AND(CY$5&gt;$E37,CY$5&lt;=$F37),IF(CY$5=$E37+1,$C37,""),"")</f>
        <v/>
      </c>
      <c r="CZ37" s="34">
        <f>IF(AND(CZ$5&gt;$E37,CZ$5&lt;=$F37),IF(CZ$5=$E37+1,$C37,""),"")</f>
        <v/>
      </c>
      <c r="DA37" s="34">
        <f>IF(AND(DA$5&gt;$E37,DA$5&lt;=$F37),IF(DA$5=$E37+1,$C37,""),"")</f>
        <v/>
      </c>
      <c r="DB37" s="34">
        <f>IF(AND(DB$5&gt;$E37,DB$5&lt;=$F37),IF(DB$5=$E37+1,$C37,""),"")</f>
        <v/>
      </c>
      <c r="DC37" s="34">
        <f>IF(AND(DC$5&gt;$E37,DC$5&lt;=$F37),IF(DC$5=$E37+1,$C37,""),"")</f>
        <v/>
      </c>
      <c r="DD37" s="34">
        <f>IF(AND(DD$5&gt;$E37,DD$5&lt;=$F37),IF(DD$5=$E37+1,$C37,""),"")</f>
        <v/>
      </c>
      <c r="DE37" s="34">
        <f>IF(AND(DE$5&gt;$E37,DE$5&lt;=$F37),IF(DE$5=$E37+1,$C37,""),"")</f>
        <v/>
      </c>
      <c r="DF37" s="34">
        <f>IF(AND(DF$5&gt;$E37,DF$5&lt;=$F37),IF(DF$5=$E37+1,$C37,""),"")</f>
        <v/>
      </c>
      <c r="DG37" s="34">
        <f>IF(AND(DG$5&gt;$E37,DG$5&lt;=$F37),IF(DG$5=$E37+1,$C37,""),"")</f>
        <v/>
      </c>
      <c r="DH37" s="34">
        <f>IF(AND(DH$5&gt;$E37,DH$5&lt;=$F37),IF(DH$5=$E37+1,$C37,""),"")</f>
        <v/>
      </c>
      <c r="DI37" s="34">
        <f>IF(AND(DI$5&gt;$E37,DI$5&lt;=$F37),IF(DI$5=$E37+1,$C37,""),"")</f>
        <v/>
      </c>
      <c r="DJ37" s="34">
        <f>IF(AND(DJ$5&gt;$E37,DJ$5&lt;=$F37),IF(DJ$5=$E37+1,$C37,""),"")</f>
        <v/>
      </c>
      <c r="DK37" s="34">
        <f>IF(AND(DK$5&gt;$E37,DK$5&lt;=$F37),IF(DK$5=$E37+1,$C37,""),"")</f>
        <v/>
      </c>
      <c r="DL37" s="34">
        <f>IF(AND(DL$5&gt;$E37,DL$5&lt;=$F37),IF(DL$5=$E37+1,$C37,""),"")</f>
        <v/>
      </c>
      <c r="DM37" s="34">
        <f>IF(AND(DM$5&gt;$E37,DM$5&lt;=$F37),IF(DM$5=$E37+1,$C37,""),"")</f>
        <v/>
      </c>
      <c r="DN37" s="34">
        <f>IF(AND(DN$5&gt;$E37,DN$5&lt;=$F37),IF(DN$5=$E37+1,$C37,""),"")</f>
        <v/>
      </c>
      <c r="DO37" s="34">
        <f>IF(AND(DO$5&gt;$E37,DO$5&lt;=$F37),IF(DO$5=$E37+1,$C37,""),"")</f>
        <v/>
      </c>
      <c r="DP37" s="34">
        <f>IF(AND(DP$5&gt;$E37,DP$5&lt;=$F37),IF(DP$5=$E37+1,$C37,""),"")</f>
        <v/>
      </c>
      <c r="DQ37" s="34">
        <f>IF(AND(DQ$5&gt;$E37,DQ$5&lt;=$F37),IF(DQ$5=$E37+1,$C37,""),"")</f>
        <v/>
      </c>
      <c r="DR37" s="34">
        <f>IF(AND(DR$5&gt;$E37,DR$5&lt;=$F37),IF(DR$5=$E37+1,$C37,""),"")</f>
        <v/>
      </c>
      <c r="DS37" s="34">
        <f>IF(AND(DS$5&gt;$E37,DS$5&lt;=$F37),IF(DS$5=$E37+1,$C37,""),"")</f>
        <v/>
      </c>
      <c r="DT37" s="34">
        <f>IF(AND(DT$5&gt;$E37,DT$5&lt;=$F37),IF(DT$5=$E37+1,$C37,""),"")</f>
        <v/>
      </c>
      <c r="DU37" s="34">
        <f>IF(AND(DU$5&gt;$E37,DU$5&lt;=$F37),IF(DU$5=$E37+1,$C37,""),"")</f>
        <v/>
      </c>
      <c r="DV37" s="34">
        <f>IF(AND(DV$5&gt;$E37,DV$5&lt;=$F37),IF(DV$5=$E37+1,$C37,""),"")</f>
        <v/>
      </c>
      <c r="DW37" s="34">
        <f>IF(AND(DW$5&gt;$E37,DW$5&lt;=$F37),IF(DW$5=$E37+1,$C37,""),"")</f>
        <v/>
      </c>
      <c r="DX37" s="34">
        <f>IF(AND(DX$5&gt;$E37,DX$5&lt;=$F37),IF(DX$5=$E37+1,$C37,""),"")</f>
        <v/>
      </c>
      <c r="DY37" s="34">
        <f>IF(AND(DY$5&gt;$E37,DY$5&lt;=$F37),IF(DY$5=$E37+1,$C37,""),"")</f>
        <v/>
      </c>
      <c r="DZ37" s="34">
        <f>IF(AND(DZ$5&gt;$E37,DZ$5&lt;=$F37),IF(DZ$5=$E37+1,$C37,""),"")</f>
        <v/>
      </c>
      <c r="EA37" s="34">
        <f>IF(AND(EA$5&gt;$E37,EA$5&lt;=$F37),IF(EA$5=$E37+1,$C37,""),"")</f>
        <v/>
      </c>
      <c r="EB37" s="34">
        <f>IF(AND(EB$5&gt;$E37,EB$5&lt;=$F37),IF(EB$5=$E37+1,$C37,""),"")</f>
        <v/>
      </c>
      <c r="EC37" s="34">
        <f>IF(AND(EC$5&gt;$E37,EC$5&lt;=$F37),IF(EC$5=$E37+1,$C37,""),"")</f>
        <v/>
      </c>
      <c r="ED37" s="34">
        <f>IF(AND(ED$5&gt;$E37,ED$5&lt;=$F37),IF(ED$5=$E37+1,$C37,""),"")</f>
        <v/>
      </c>
      <c r="EE37" s="34">
        <f>IF(AND(EE$5&gt;$E37,EE$5&lt;=$F37),IF(EE$5=$E37+1,$C37,""),"")</f>
        <v/>
      </c>
      <c r="EF37" s="34">
        <f>IF(AND(EF$5&gt;$E37,EF$5&lt;=$F37),IF(EF$5=$E37+1,$C37,""),"")</f>
        <v/>
      </c>
      <c r="EG37" s="34">
        <f>IF(AND(EG$5&gt;$E37,EG$5&lt;=$F37),IF(EG$5=$E37+1,$C37,""),"")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c r="CT38" s="34">
        <f>IF(AND(CT$5&gt;$E38,CT$5&lt;=$F38),IF(CT$5=$E38+1,$C38,""),"")</f>
        <v/>
      </c>
      <c r="CU38" s="34">
        <f>IF(AND(CU$5&gt;$E38,CU$5&lt;=$F38),IF(CU$5=$E38+1,$C38,""),"")</f>
        <v/>
      </c>
      <c r="CV38" s="34">
        <f>IF(AND(CV$5&gt;$E38,CV$5&lt;=$F38),IF(CV$5=$E38+1,$C38,""),"")</f>
        <v/>
      </c>
      <c r="CW38" s="34">
        <f>IF(AND(CW$5&gt;$E38,CW$5&lt;=$F38),IF(CW$5=$E38+1,$C38,""),"")</f>
        <v/>
      </c>
      <c r="CX38" s="34">
        <f>IF(AND(CX$5&gt;$E38,CX$5&lt;=$F38),IF(CX$5=$E38+1,$C38,""),"")</f>
        <v/>
      </c>
      <c r="CY38" s="34">
        <f>IF(AND(CY$5&gt;$E38,CY$5&lt;=$F38),IF(CY$5=$E38+1,$C38,""),"")</f>
        <v/>
      </c>
      <c r="CZ38" s="34">
        <f>IF(AND(CZ$5&gt;$E38,CZ$5&lt;=$F38),IF(CZ$5=$E38+1,$C38,""),"")</f>
        <v/>
      </c>
      <c r="DA38" s="34">
        <f>IF(AND(DA$5&gt;$E38,DA$5&lt;=$F38),IF(DA$5=$E38+1,$C38,""),"")</f>
        <v/>
      </c>
      <c r="DB38" s="34">
        <f>IF(AND(DB$5&gt;$E38,DB$5&lt;=$F38),IF(DB$5=$E38+1,$C38,""),"")</f>
        <v/>
      </c>
      <c r="DC38" s="34">
        <f>IF(AND(DC$5&gt;$E38,DC$5&lt;=$F38),IF(DC$5=$E38+1,$C38,""),"")</f>
        <v/>
      </c>
      <c r="DD38" s="34">
        <f>IF(AND(DD$5&gt;$E38,DD$5&lt;=$F38),IF(DD$5=$E38+1,$C38,""),"")</f>
        <v/>
      </c>
      <c r="DE38" s="34">
        <f>IF(AND(DE$5&gt;$E38,DE$5&lt;=$F38),IF(DE$5=$E38+1,$C38,""),"")</f>
        <v/>
      </c>
      <c r="DF38" s="34">
        <f>IF(AND(DF$5&gt;$E38,DF$5&lt;=$F38),IF(DF$5=$E38+1,$C38,""),"")</f>
        <v/>
      </c>
      <c r="DG38" s="34">
        <f>IF(AND(DG$5&gt;$E38,DG$5&lt;=$F38),IF(DG$5=$E38+1,$C38,""),"")</f>
        <v/>
      </c>
      <c r="DH38" s="34">
        <f>IF(AND(DH$5&gt;$E38,DH$5&lt;=$F38),IF(DH$5=$E38+1,$C38,""),"")</f>
        <v/>
      </c>
      <c r="DI38" s="34">
        <f>IF(AND(DI$5&gt;$E38,DI$5&lt;=$F38),IF(DI$5=$E38+1,$C38,""),"")</f>
        <v/>
      </c>
      <c r="DJ38" s="34">
        <f>IF(AND(DJ$5&gt;$E38,DJ$5&lt;=$F38),IF(DJ$5=$E38+1,$C38,""),"")</f>
        <v/>
      </c>
      <c r="DK38" s="34">
        <f>IF(AND(DK$5&gt;$E38,DK$5&lt;=$F38),IF(DK$5=$E38+1,$C38,""),"")</f>
        <v/>
      </c>
      <c r="DL38" s="34">
        <f>IF(AND(DL$5&gt;$E38,DL$5&lt;=$F38),IF(DL$5=$E38+1,$C38,""),"")</f>
        <v/>
      </c>
      <c r="DM38" s="34">
        <f>IF(AND(DM$5&gt;$E38,DM$5&lt;=$F38),IF(DM$5=$E38+1,$C38,""),"")</f>
        <v/>
      </c>
      <c r="DN38" s="34">
        <f>IF(AND(DN$5&gt;$E38,DN$5&lt;=$F38),IF(DN$5=$E38+1,$C38,""),"")</f>
        <v/>
      </c>
      <c r="DO38" s="34">
        <f>IF(AND(DO$5&gt;$E38,DO$5&lt;=$F38),IF(DO$5=$E38+1,$C38,""),"")</f>
        <v/>
      </c>
      <c r="DP38" s="34">
        <f>IF(AND(DP$5&gt;$E38,DP$5&lt;=$F38),IF(DP$5=$E38+1,$C38,""),"")</f>
        <v/>
      </c>
      <c r="DQ38" s="34">
        <f>IF(AND(DQ$5&gt;$E38,DQ$5&lt;=$F38),IF(DQ$5=$E38+1,$C38,""),"")</f>
        <v/>
      </c>
      <c r="DR38" s="34">
        <f>IF(AND(DR$5&gt;$E38,DR$5&lt;=$F38),IF(DR$5=$E38+1,$C38,""),"")</f>
        <v/>
      </c>
      <c r="DS38" s="34">
        <f>IF(AND(DS$5&gt;$E38,DS$5&lt;=$F38),IF(DS$5=$E38+1,$C38,""),"")</f>
        <v/>
      </c>
      <c r="DT38" s="34">
        <f>IF(AND(DT$5&gt;$E38,DT$5&lt;=$F38),IF(DT$5=$E38+1,$C38,""),"")</f>
        <v/>
      </c>
      <c r="DU38" s="34">
        <f>IF(AND(DU$5&gt;$E38,DU$5&lt;=$F38),IF(DU$5=$E38+1,$C38,""),"")</f>
        <v/>
      </c>
      <c r="DV38" s="34">
        <f>IF(AND(DV$5&gt;$E38,DV$5&lt;=$F38),IF(DV$5=$E38+1,$C38,""),"")</f>
        <v/>
      </c>
      <c r="DW38" s="34">
        <f>IF(AND(DW$5&gt;$E38,DW$5&lt;=$F38),IF(DW$5=$E38+1,$C38,""),"")</f>
        <v/>
      </c>
      <c r="DX38" s="34">
        <f>IF(AND(DX$5&gt;$E38,DX$5&lt;=$F38),IF(DX$5=$E38+1,$C38,""),"")</f>
        <v/>
      </c>
      <c r="DY38" s="34">
        <f>IF(AND(DY$5&gt;$E38,DY$5&lt;=$F38),IF(DY$5=$E38+1,$C38,""),"")</f>
        <v/>
      </c>
      <c r="DZ38" s="34">
        <f>IF(AND(DZ$5&gt;$E38,DZ$5&lt;=$F38),IF(DZ$5=$E38+1,$C38,""),"")</f>
        <v/>
      </c>
      <c r="EA38" s="34">
        <f>IF(AND(EA$5&gt;$E38,EA$5&lt;=$F38),IF(EA$5=$E38+1,$C38,""),"")</f>
        <v/>
      </c>
      <c r="EB38" s="34">
        <f>IF(AND(EB$5&gt;$E38,EB$5&lt;=$F38),IF(EB$5=$E38+1,$C38,""),"")</f>
        <v/>
      </c>
      <c r="EC38" s="34">
        <f>IF(AND(EC$5&gt;$E38,EC$5&lt;=$F38),IF(EC$5=$E38+1,$C38,""),"")</f>
        <v/>
      </c>
      <c r="ED38" s="34">
        <f>IF(AND(ED$5&gt;$E38,ED$5&lt;=$F38),IF(ED$5=$E38+1,$C38,""),"")</f>
        <v/>
      </c>
      <c r="EE38" s="34">
        <f>IF(AND(EE$5&gt;$E38,EE$5&lt;=$F38),IF(EE$5=$E38+1,$C38,""),"")</f>
        <v/>
      </c>
      <c r="EF38" s="34">
        <f>IF(AND(EF$5&gt;$E38,EF$5&lt;=$F38),IF(EF$5=$E38+1,$C38,""),"")</f>
        <v/>
      </c>
      <c r="EG38" s="34">
        <f>IF(AND(EG$5&gt;$E38,EG$5&lt;=$F38),IF(EG$5=$E38+1,$C38,""),"")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c r="CT39" s="34">
        <f>IF(AND(CT$5&gt;$E39,CT$5&lt;=$F39),IF(CT$5=$E39+1,$C39,""),"")</f>
        <v/>
      </c>
      <c r="CU39" s="34">
        <f>IF(AND(CU$5&gt;$E39,CU$5&lt;=$F39),IF(CU$5=$E39+1,$C39,""),"")</f>
        <v/>
      </c>
      <c r="CV39" s="34">
        <f>IF(AND(CV$5&gt;$E39,CV$5&lt;=$F39),IF(CV$5=$E39+1,$C39,""),"")</f>
        <v/>
      </c>
      <c r="CW39" s="34">
        <f>IF(AND(CW$5&gt;$E39,CW$5&lt;=$F39),IF(CW$5=$E39+1,$C39,""),"")</f>
        <v/>
      </c>
      <c r="CX39" s="34">
        <f>IF(AND(CX$5&gt;$E39,CX$5&lt;=$F39),IF(CX$5=$E39+1,$C39,""),"")</f>
        <v/>
      </c>
      <c r="CY39" s="34">
        <f>IF(AND(CY$5&gt;$E39,CY$5&lt;=$F39),IF(CY$5=$E39+1,$C39,""),"")</f>
        <v/>
      </c>
      <c r="CZ39" s="34">
        <f>IF(AND(CZ$5&gt;$E39,CZ$5&lt;=$F39),IF(CZ$5=$E39+1,$C39,""),"")</f>
        <v/>
      </c>
      <c r="DA39" s="34">
        <f>IF(AND(DA$5&gt;$E39,DA$5&lt;=$F39),IF(DA$5=$E39+1,$C39,""),"")</f>
        <v/>
      </c>
      <c r="DB39" s="34">
        <f>IF(AND(DB$5&gt;$E39,DB$5&lt;=$F39),IF(DB$5=$E39+1,$C39,""),"")</f>
        <v/>
      </c>
      <c r="DC39" s="34">
        <f>IF(AND(DC$5&gt;$E39,DC$5&lt;=$F39),IF(DC$5=$E39+1,$C39,""),"")</f>
        <v/>
      </c>
      <c r="DD39" s="34">
        <f>IF(AND(DD$5&gt;$E39,DD$5&lt;=$F39),IF(DD$5=$E39+1,$C39,""),"")</f>
        <v/>
      </c>
      <c r="DE39" s="34">
        <f>IF(AND(DE$5&gt;$E39,DE$5&lt;=$F39),IF(DE$5=$E39+1,$C39,""),"")</f>
        <v/>
      </c>
      <c r="DF39" s="34">
        <f>IF(AND(DF$5&gt;$E39,DF$5&lt;=$F39),IF(DF$5=$E39+1,$C39,""),"")</f>
        <v/>
      </c>
      <c r="DG39" s="34">
        <f>IF(AND(DG$5&gt;$E39,DG$5&lt;=$F39),IF(DG$5=$E39+1,$C39,""),"")</f>
        <v/>
      </c>
      <c r="DH39" s="34">
        <f>IF(AND(DH$5&gt;$E39,DH$5&lt;=$F39),IF(DH$5=$E39+1,$C39,""),"")</f>
        <v/>
      </c>
      <c r="DI39" s="34">
        <f>IF(AND(DI$5&gt;$E39,DI$5&lt;=$F39),IF(DI$5=$E39+1,$C39,""),"")</f>
        <v/>
      </c>
      <c r="DJ39" s="34">
        <f>IF(AND(DJ$5&gt;$E39,DJ$5&lt;=$F39),IF(DJ$5=$E39+1,$C39,""),"")</f>
        <v/>
      </c>
      <c r="DK39" s="34">
        <f>IF(AND(DK$5&gt;$E39,DK$5&lt;=$F39),IF(DK$5=$E39+1,$C39,""),"")</f>
        <v/>
      </c>
      <c r="DL39" s="34">
        <f>IF(AND(DL$5&gt;$E39,DL$5&lt;=$F39),IF(DL$5=$E39+1,$C39,""),"")</f>
        <v/>
      </c>
      <c r="DM39" s="34">
        <f>IF(AND(DM$5&gt;$E39,DM$5&lt;=$F39),IF(DM$5=$E39+1,$C39,""),"")</f>
        <v/>
      </c>
      <c r="DN39" s="34">
        <f>IF(AND(DN$5&gt;$E39,DN$5&lt;=$F39),IF(DN$5=$E39+1,$C39,""),"")</f>
        <v/>
      </c>
      <c r="DO39" s="34">
        <f>IF(AND(DO$5&gt;$E39,DO$5&lt;=$F39),IF(DO$5=$E39+1,$C39,""),"")</f>
        <v/>
      </c>
      <c r="DP39" s="34">
        <f>IF(AND(DP$5&gt;$E39,DP$5&lt;=$F39),IF(DP$5=$E39+1,$C39,""),"")</f>
        <v/>
      </c>
      <c r="DQ39" s="34">
        <f>IF(AND(DQ$5&gt;$E39,DQ$5&lt;=$F39),IF(DQ$5=$E39+1,$C39,""),"")</f>
        <v/>
      </c>
      <c r="DR39" s="34">
        <f>IF(AND(DR$5&gt;$E39,DR$5&lt;=$F39),IF(DR$5=$E39+1,$C39,""),"")</f>
        <v/>
      </c>
      <c r="DS39" s="34">
        <f>IF(AND(DS$5&gt;$E39,DS$5&lt;=$F39),IF(DS$5=$E39+1,$C39,""),"")</f>
        <v/>
      </c>
      <c r="DT39" s="34">
        <f>IF(AND(DT$5&gt;$E39,DT$5&lt;=$F39),IF(DT$5=$E39+1,$C39,""),"")</f>
        <v/>
      </c>
      <c r="DU39" s="34">
        <f>IF(AND(DU$5&gt;$E39,DU$5&lt;=$F39),IF(DU$5=$E39+1,$C39,""),"")</f>
        <v/>
      </c>
      <c r="DV39" s="34">
        <f>IF(AND(DV$5&gt;$E39,DV$5&lt;=$F39),IF(DV$5=$E39+1,$C39,""),"")</f>
        <v/>
      </c>
      <c r="DW39" s="34">
        <f>IF(AND(DW$5&gt;$E39,DW$5&lt;=$F39),IF(DW$5=$E39+1,$C39,""),"")</f>
        <v/>
      </c>
      <c r="DX39" s="34">
        <f>IF(AND(DX$5&gt;$E39,DX$5&lt;=$F39),IF(DX$5=$E39+1,$C39,""),"")</f>
        <v/>
      </c>
      <c r="DY39" s="34">
        <f>IF(AND(DY$5&gt;$E39,DY$5&lt;=$F39),IF(DY$5=$E39+1,$C39,""),"")</f>
        <v/>
      </c>
      <c r="DZ39" s="34">
        <f>IF(AND(DZ$5&gt;$E39,DZ$5&lt;=$F39),IF(DZ$5=$E39+1,$C39,""),"")</f>
        <v/>
      </c>
      <c r="EA39" s="34">
        <f>IF(AND(EA$5&gt;$E39,EA$5&lt;=$F39),IF(EA$5=$E39+1,$C39,""),"")</f>
        <v/>
      </c>
      <c r="EB39" s="34">
        <f>IF(AND(EB$5&gt;$E39,EB$5&lt;=$F39),IF(EB$5=$E39+1,$C39,""),"")</f>
        <v/>
      </c>
      <c r="EC39" s="34">
        <f>IF(AND(EC$5&gt;$E39,EC$5&lt;=$F39),IF(EC$5=$E39+1,$C39,""),"")</f>
        <v/>
      </c>
      <c r="ED39" s="34">
        <f>IF(AND(ED$5&gt;$E39,ED$5&lt;=$F39),IF(ED$5=$E39+1,$C39,""),"")</f>
        <v/>
      </c>
      <c r="EE39" s="34">
        <f>IF(AND(EE$5&gt;$E39,EE$5&lt;=$F39),IF(EE$5=$E39+1,$C39,""),"")</f>
        <v/>
      </c>
      <c r="EF39" s="34">
        <f>IF(AND(EF$5&gt;$E39,EF$5&lt;=$F39),IF(EF$5=$E39+1,$C39,""),"")</f>
        <v/>
      </c>
      <c r="EG39" s="34">
        <f>IF(AND(EG$5&gt;$E39,EG$5&lt;=$F39),IF(EG$5=$E39+1,$C39,""),"")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c r="CT40" s="34">
        <f>IF(AND(CT$5&gt;$E40,CT$5&lt;=$F40),IF(CT$5=$E40+1,$C40,""),"")</f>
        <v/>
      </c>
      <c r="CU40" s="34">
        <f>IF(AND(CU$5&gt;$E40,CU$5&lt;=$F40),IF(CU$5=$E40+1,$C40,""),"")</f>
        <v/>
      </c>
      <c r="CV40" s="34">
        <f>IF(AND(CV$5&gt;$E40,CV$5&lt;=$F40),IF(CV$5=$E40+1,$C40,""),"")</f>
        <v/>
      </c>
      <c r="CW40" s="34">
        <f>IF(AND(CW$5&gt;$E40,CW$5&lt;=$F40),IF(CW$5=$E40+1,$C40,""),"")</f>
        <v/>
      </c>
      <c r="CX40" s="34">
        <f>IF(AND(CX$5&gt;$E40,CX$5&lt;=$F40),IF(CX$5=$E40+1,$C40,""),"")</f>
        <v/>
      </c>
      <c r="CY40" s="34">
        <f>IF(AND(CY$5&gt;$E40,CY$5&lt;=$F40),IF(CY$5=$E40+1,$C40,""),"")</f>
        <v/>
      </c>
      <c r="CZ40" s="34">
        <f>IF(AND(CZ$5&gt;$E40,CZ$5&lt;=$F40),IF(CZ$5=$E40+1,$C40,""),"")</f>
        <v/>
      </c>
      <c r="DA40" s="34">
        <f>IF(AND(DA$5&gt;$E40,DA$5&lt;=$F40),IF(DA$5=$E40+1,$C40,""),"")</f>
        <v/>
      </c>
      <c r="DB40" s="34">
        <f>IF(AND(DB$5&gt;$E40,DB$5&lt;=$F40),IF(DB$5=$E40+1,$C40,""),"")</f>
        <v/>
      </c>
      <c r="DC40" s="34">
        <f>IF(AND(DC$5&gt;$E40,DC$5&lt;=$F40),IF(DC$5=$E40+1,$C40,""),"")</f>
        <v/>
      </c>
      <c r="DD40" s="34">
        <f>IF(AND(DD$5&gt;$E40,DD$5&lt;=$F40),IF(DD$5=$E40+1,$C40,""),"")</f>
        <v/>
      </c>
      <c r="DE40" s="34">
        <f>IF(AND(DE$5&gt;$E40,DE$5&lt;=$F40),IF(DE$5=$E40+1,$C40,""),"")</f>
        <v/>
      </c>
      <c r="DF40" s="34">
        <f>IF(AND(DF$5&gt;$E40,DF$5&lt;=$F40),IF(DF$5=$E40+1,$C40,""),"")</f>
        <v/>
      </c>
      <c r="DG40" s="34">
        <f>IF(AND(DG$5&gt;$E40,DG$5&lt;=$F40),IF(DG$5=$E40+1,$C40,""),"")</f>
        <v/>
      </c>
      <c r="DH40" s="34">
        <f>IF(AND(DH$5&gt;$E40,DH$5&lt;=$F40),IF(DH$5=$E40+1,$C40,""),"")</f>
        <v/>
      </c>
      <c r="DI40" s="34">
        <f>IF(AND(DI$5&gt;$E40,DI$5&lt;=$F40),IF(DI$5=$E40+1,$C40,""),"")</f>
        <v/>
      </c>
      <c r="DJ40" s="34">
        <f>IF(AND(DJ$5&gt;$E40,DJ$5&lt;=$F40),IF(DJ$5=$E40+1,$C40,""),"")</f>
        <v/>
      </c>
      <c r="DK40" s="34">
        <f>IF(AND(DK$5&gt;$E40,DK$5&lt;=$F40),IF(DK$5=$E40+1,$C40,""),"")</f>
        <v/>
      </c>
      <c r="DL40" s="34">
        <f>IF(AND(DL$5&gt;$E40,DL$5&lt;=$F40),IF(DL$5=$E40+1,$C40,""),"")</f>
        <v/>
      </c>
      <c r="DM40" s="34">
        <f>IF(AND(DM$5&gt;$E40,DM$5&lt;=$F40),IF(DM$5=$E40+1,$C40,""),"")</f>
        <v/>
      </c>
      <c r="DN40" s="34">
        <f>IF(AND(DN$5&gt;$E40,DN$5&lt;=$F40),IF(DN$5=$E40+1,$C40,""),"")</f>
        <v/>
      </c>
      <c r="DO40" s="34">
        <f>IF(AND(DO$5&gt;$E40,DO$5&lt;=$F40),IF(DO$5=$E40+1,$C40,""),"")</f>
        <v/>
      </c>
      <c r="DP40" s="34">
        <f>IF(AND(DP$5&gt;$E40,DP$5&lt;=$F40),IF(DP$5=$E40+1,$C40,""),"")</f>
        <v/>
      </c>
      <c r="DQ40" s="34">
        <f>IF(AND(DQ$5&gt;$E40,DQ$5&lt;=$F40),IF(DQ$5=$E40+1,$C40,""),"")</f>
        <v/>
      </c>
      <c r="DR40" s="34">
        <f>IF(AND(DR$5&gt;$E40,DR$5&lt;=$F40),IF(DR$5=$E40+1,$C40,""),"")</f>
        <v/>
      </c>
      <c r="DS40" s="34">
        <f>IF(AND(DS$5&gt;$E40,DS$5&lt;=$F40),IF(DS$5=$E40+1,$C40,""),"")</f>
        <v/>
      </c>
      <c r="DT40" s="34">
        <f>IF(AND(DT$5&gt;$E40,DT$5&lt;=$F40),IF(DT$5=$E40+1,$C40,""),"")</f>
        <v/>
      </c>
      <c r="DU40" s="34">
        <f>IF(AND(DU$5&gt;$E40,DU$5&lt;=$F40),IF(DU$5=$E40+1,$C40,""),"")</f>
        <v/>
      </c>
      <c r="DV40" s="34">
        <f>IF(AND(DV$5&gt;$E40,DV$5&lt;=$F40),IF(DV$5=$E40+1,$C40,""),"")</f>
        <v/>
      </c>
      <c r="DW40" s="34">
        <f>IF(AND(DW$5&gt;$E40,DW$5&lt;=$F40),IF(DW$5=$E40+1,$C40,""),"")</f>
        <v/>
      </c>
      <c r="DX40" s="34">
        <f>IF(AND(DX$5&gt;$E40,DX$5&lt;=$F40),IF(DX$5=$E40+1,$C40,""),"")</f>
        <v/>
      </c>
      <c r="DY40" s="34">
        <f>IF(AND(DY$5&gt;$E40,DY$5&lt;=$F40),IF(DY$5=$E40+1,$C40,""),"")</f>
        <v/>
      </c>
      <c r="DZ40" s="34">
        <f>IF(AND(DZ$5&gt;$E40,DZ$5&lt;=$F40),IF(DZ$5=$E40+1,$C40,""),"")</f>
        <v/>
      </c>
      <c r="EA40" s="34">
        <f>IF(AND(EA$5&gt;$E40,EA$5&lt;=$F40),IF(EA$5=$E40+1,$C40,""),"")</f>
        <v/>
      </c>
      <c r="EB40" s="34">
        <f>IF(AND(EB$5&gt;$E40,EB$5&lt;=$F40),IF(EB$5=$E40+1,$C40,""),"")</f>
        <v/>
      </c>
      <c r="EC40" s="34">
        <f>IF(AND(EC$5&gt;$E40,EC$5&lt;=$F40),IF(EC$5=$E40+1,$C40,""),"")</f>
        <v/>
      </c>
      <c r="ED40" s="34">
        <f>IF(AND(ED$5&gt;$E40,ED$5&lt;=$F40),IF(ED$5=$E40+1,$C40,""),"")</f>
        <v/>
      </c>
      <c r="EE40" s="34">
        <f>IF(AND(EE$5&gt;$E40,EE$5&lt;=$F40),IF(EE$5=$E40+1,$C40,""),"")</f>
        <v/>
      </c>
      <c r="EF40" s="34">
        <f>IF(AND(EF$5&gt;$E40,EF$5&lt;=$F40),IF(EF$5=$E40+1,$C40,""),"")</f>
        <v/>
      </c>
      <c r="EG40" s="34">
        <f>IF(AND(EG$5&gt;$E40,EG$5&lt;=$F40),IF(EG$5=$E40+1,$C40,""),"")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c r="CT41" s="34">
        <f>IF(AND(CT$5&gt;$E41,CT$5&lt;=$F41),IF(CT$5=$E41+1,$C41,""),"")</f>
        <v/>
      </c>
      <c r="CU41" s="34">
        <f>IF(AND(CU$5&gt;$E41,CU$5&lt;=$F41),IF(CU$5=$E41+1,$C41,""),"")</f>
        <v/>
      </c>
      <c r="CV41" s="34">
        <f>IF(AND(CV$5&gt;$E41,CV$5&lt;=$F41),IF(CV$5=$E41+1,$C41,""),"")</f>
        <v/>
      </c>
      <c r="CW41" s="34">
        <f>IF(AND(CW$5&gt;$E41,CW$5&lt;=$F41),IF(CW$5=$E41+1,$C41,""),"")</f>
        <v/>
      </c>
      <c r="CX41" s="34">
        <f>IF(AND(CX$5&gt;$E41,CX$5&lt;=$F41),IF(CX$5=$E41+1,$C41,""),"")</f>
        <v/>
      </c>
      <c r="CY41" s="34">
        <f>IF(AND(CY$5&gt;$E41,CY$5&lt;=$F41),IF(CY$5=$E41+1,$C41,""),"")</f>
        <v/>
      </c>
      <c r="CZ41" s="34">
        <f>IF(AND(CZ$5&gt;$E41,CZ$5&lt;=$F41),IF(CZ$5=$E41+1,$C41,""),"")</f>
        <v/>
      </c>
      <c r="DA41" s="34">
        <f>IF(AND(DA$5&gt;$E41,DA$5&lt;=$F41),IF(DA$5=$E41+1,$C41,""),"")</f>
        <v/>
      </c>
      <c r="DB41" s="34">
        <f>IF(AND(DB$5&gt;$E41,DB$5&lt;=$F41),IF(DB$5=$E41+1,$C41,""),"")</f>
        <v/>
      </c>
      <c r="DC41" s="34">
        <f>IF(AND(DC$5&gt;$E41,DC$5&lt;=$F41),IF(DC$5=$E41+1,$C41,""),"")</f>
        <v/>
      </c>
      <c r="DD41" s="34">
        <f>IF(AND(DD$5&gt;$E41,DD$5&lt;=$F41),IF(DD$5=$E41+1,$C41,""),"")</f>
        <v/>
      </c>
      <c r="DE41" s="34">
        <f>IF(AND(DE$5&gt;$E41,DE$5&lt;=$F41),IF(DE$5=$E41+1,$C41,""),"")</f>
        <v/>
      </c>
      <c r="DF41" s="34">
        <f>IF(AND(DF$5&gt;$E41,DF$5&lt;=$F41),IF(DF$5=$E41+1,$C41,""),"")</f>
        <v/>
      </c>
      <c r="DG41" s="34">
        <f>IF(AND(DG$5&gt;$E41,DG$5&lt;=$F41),IF(DG$5=$E41+1,$C41,""),"")</f>
        <v/>
      </c>
      <c r="DH41" s="34">
        <f>IF(AND(DH$5&gt;$E41,DH$5&lt;=$F41),IF(DH$5=$E41+1,$C41,""),"")</f>
        <v/>
      </c>
      <c r="DI41" s="34">
        <f>IF(AND(DI$5&gt;$E41,DI$5&lt;=$F41),IF(DI$5=$E41+1,$C41,""),"")</f>
        <v/>
      </c>
      <c r="DJ41" s="34">
        <f>IF(AND(DJ$5&gt;$E41,DJ$5&lt;=$F41),IF(DJ$5=$E41+1,$C41,""),"")</f>
        <v/>
      </c>
      <c r="DK41" s="34">
        <f>IF(AND(DK$5&gt;$E41,DK$5&lt;=$F41),IF(DK$5=$E41+1,$C41,""),"")</f>
        <v/>
      </c>
      <c r="DL41" s="34">
        <f>IF(AND(DL$5&gt;$E41,DL$5&lt;=$F41),IF(DL$5=$E41+1,$C41,""),"")</f>
        <v/>
      </c>
      <c r="DM41" s="34">
        <f>IF(AND(DM$5&gt;$E41,DM$5&lt;=$F41),IF(DM$5=$E41+1,$C41,""),"")</f>
        <v/>
      </c>
      <c r="DN41" s="34">
        <f>IF(AND(DN$5&gt;$E41,DN$5&lt;=$F41),IF(DN$5=$E41+1,$C41,""),"")</f>
        <v/>
      </c>
      <c r="DO41" s="34">
        <f>IF(AND(DO$5&gt;$E41,DO$5&lt;=$F41),IF(DO$5=$E41+1,$C41,""),"")</f>
        <v/>
      </c>
      <c r="DP41" s="34">
        <f>IF(AND(DP$5&gt;$E41,DP$5&lt;=$F41),IF(DP$5=$E41+1,$C41,""),"")</f>
        <v/>
      </c>
      <c r="DQ41" s="34">
        <f>IF(AND(DQ$5&gt;$E41,DQ$5&lt;=$F41),IF(DQ$5=$E41+1,$C41,""),"")</f>
        <v/>
      </c>
      <c r="DR41" s="34">
        <f>IF(AND(DR$5&gt;$E41,DR$5&lt;=$F41),IF(DR$5=$E41+1,$C41,""),"")</f>
        <v/>
      </c>
      <c r="DS41" s="34">
        <f>IF(AND(DS$5&gt;$E41,DS$5&lt;=$F41),IF(DS$5=$E41+1,$C41,""),"")</f>
        <v/>
      </c>
      <c r="DT41" s="34">
        <f>IF(AND(DT$5&gt;$E41,DT$5&lt;=$F41),IF(DT$5=$E41+1,$C41,""),"")</f>
        <v/>
      </c>
      <c r="DU41" s="34">
        <f>IF(AND(DU$5&gt;$E41,DU$5&lt;=$F41),IF(DU$5=$E41+1,$C41,""),"")</f>
        <v/>
      </c>
      <c r="DV41" s="34">
        <f>IF(AND(DV$5&gt;$E41,DV$5&lt;=$F41),IF(DV$5=$E41+1,$C41,""),"")</f>
        <v/>
      </c>
      <c r="DW41" s="34">
        <f>IF(AND(DW$5&gt;$E41,DW$5&lt;=$F41),IF(DW$5=$E41+1,$C41,""),"")</f>
        <v/>
      </c>
      <c r="DX41" s="34">
        <f>IF(AND(DX$5&gt;$E41,DX$5&lt;=$F41),IF(DX$5=$E41+1,$C41,""),"")</f>
        <v/>
      </c>
      <c r="DY41" s="34">
        <f>IF(AND(DY$5&gt;$E41,DY$5&lt;=$F41),IF(DY$5=$E41+1,$C41,""),"")</f>
        <v/>
      </c>
      <c r="DZ41" s="34">
        <f>IF(AND(DZ$5&gt;$E41,DZ$5&lt;=$F41),IF(DZ$5=$E41+1,$C41,""),"")</f>
        <v/>
      </c>
      <c r="EA41" s="34">
        <f>IF(AND(EA$5&gt;$E41,EA$5&lt;=$F41),IF(EA$5=$E41+1,$C41,""),"")</f>
        <v/>
      </c>
      <c r="EB41" s="34">
        <f>IF(AND(EB$5&gt;$E41,EB$5&lt;=$F41),IF(EB$5=$E41+1,$C41,""),"")</f>
        <v/>
      </c>
      <c r="EC41" s="34">
        <f>IF(AND(EC$5&gt;$E41,EC$5&lt;=$F41),IF(EC$5=$E41+1,$C41,""),"")</f>
        <v/>
      </c>
      <c r="ED41" s="34">
        <f>IF(AND(ED$5&gt;$E41,ED$5&lt;=$F41),IF(ED$5=$E41+1,$C41,""),"")</f>
        <v/>
      </c>
      <c r="EE41" s="34">
        <f>IF(AND(EE$5&gt;$E41,EE$5&lt;=$F41),IF(EE$5=$E41+1,$C41,""),"")</f>
        <v/>
      </c>
      <c r="EF41" s="34">
        <f>IF(AND(EF$5&gt;$E41,EF$5&lt;=$F41),IF(EF$5=$E41+1,$C41,""),"")</f>
        <v/>
      </c>
      <c r="EG41" s="34">
        <f>IF(AND(EG$5&gt;$E41,EG$5&lt;=$F41),IF(EG$5=$E41+1,$C41,""),"")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c r="CT42" s="34">
        <f>IF(AND(CT$5&gt;$E42,CT$5&lt;=$F42),IF(CT$5=$E42+1,$C42,""),"")</f>
        <v/>
      </c>
      <c r="CU42" s="34">
        <f>IF(AND(CU$5&gt;$E42,CU$5&lt;=$F42),IF(CU$5=$E42+1,$C42,""),"")</f>
        <v/>
      </c>
      <c r="CV42" s="34">
        <f>IF(AND(CV$5&gt;$E42,CV$5&lt;=$F42),IF(CV$5=$E42+1,$C42,""),"")</f>
        <v/>
      </c>
      <c r="CW42" s="34">
        <f>IF(AND(CW$5&gt;$E42,CW$5&lt;=$F42),IF(CW$5=$E42+1,$C42,""),"")</f>
        <v/>
      </c>
      <c r="CX42" s="34">
        <f>IF(AND(CX$5&gt;$E42,CX$5&lt;=$F42),IF(CX$5=$E42+1,$C42,""),"")</f>
        <v/>
      </c>
      <c r="CY42" s="34">
        <f>IF(AND(CY$5&gt;$E42,CY$5&lt;=$F42),IF(CY$5=$E42+1,$C42,""),"")</f>
        <v/>
      </c>
      <c r="CZ42" s="34">
        <f>IF(AND(CZ$5&gt;$E42,CZ$5&lt;=$F42),IF(CZ$5=$E42+1,$C42,""),"")</f>
        <v/>
      </c>
      <c r="DA42" s="34">
        <f>IF(AND(DA$5&gt;$E42,DA$5&lt;=$F42),IF(DA$5=$E42+1,$C42,""),"")</f>
        <v/>
      </c>
      <c r="DB42" s="34">
        <f>IF(AND(DB$5&gt;$E42,DB$5&lt;=$F42),IF(DB$5=$E42+1,$C42,""),"")</f>
        <v/>
      </c>
      <c r="DC42" s="34">
        <f>IF(AND(DC$5&gt;$E42,DC$5&lt;=$F42),IF(DC$5=$E42+1,$C42,""),"")</f>
        <v/>
      </c>
      <c r="DD42" s="34">
        <f>IF(AND(DD$5&gt;$E42,DD$5&lt;=$F42),IF(DD$5=$E42+1,$C42,""),"")</f>
        <v/>
      </c>
      <c r="DE42" s="34">
        <f>IF(AND(DE$5&gt;$E42,DE$5&lt;=$F42),IF(DE$5=$E42+1,$C42,""),"")</f>
        <v/>
      </c>
      <c r="DF42" s="34">
        <f>IF(AND(DF$5&gt;$E42,DF$5&lt;=$F42),IF(DF$5=$E42+1,$C42,""),"")</f>
        <v/>
      </c>
      <c r="DG42" s="34">
        <f>IF(AND(DG$5&gt;$E42,DG$5&lt;=$F42),IF(DG$5=$E42+1,$C42,""),"")</f>
        <v/>
      </c>
      <c r="DH42" s="34">
        <f>IF(AND(DH$5&gt;$E42,DH$5&lt;=$F42),IF(DH$5=$E42+1,$C42,""),"")</f>
        <v/>
      </c>
      <c r="DI42" s="34">
        <f>IF(AND(DI$5&gt;$E42,DI$5&lt;=$F42),IF(DI$5=$E42+1,$C42,""),"")</f>
        <v/>
      </c>
      <c r="DJ42" s="34">
        <f>IF(AND(DJ$5&gt;$E42,DJ$5&lt;=$F42),IF(DJ$5=$E42+1,$C42,""),"")</f>
        <v/>
      </c>
      <c r="DK42" s="34">
        <f>IF(AND(DK$5&gt;$E42,DK$5&lt;=$F42),IF(DK$5=$E42+1,$C42,""),"")</f>
        <v/>
      </c>
      <c r="DL42" s="34">
        <f>IF(AND(DL$5&gt;$E42,DL$5&lt;=$F42),IF(DL$5=$E42+1,$C42,""),"")</f>
        <v/>
      </c>
      <c r="DM42" s="34">
        <f>IF(AND(DM$5&gt;$E42,DM$5&lt;=$F42),IF(DM$5=$E42+1,$C42,""),"")</f>
        <v/>
      </c>
      <c r="DN42" s="34">
        <f>IF(AND(DN$5&gt;$E42,DN$5&lt;=$F42),IF(DN$5=$E42+1,$C42,""),"")</f>
        <v/>
      </c>
      <c r="DO42" s="34">
        <f>IF(AND(DO$5&gt;$E42,DO$5&lt;=$F42),IF(DO$5=$E42+1,$C42,""),"")</f>
        <v/>
      </c>
      <c r="DP42" s="34">
        <f>IF(AND(DP$5&gt;$E42,DP$5&lt;=$F42),IF(DP$5=$E42+1,$C42,""),"")</f>
        <v/>
      </c>
      <c r="DQ42" s="34">
        <f>IF(AND(DQ$5&gt;$E42,DQ$5&lt;=$F42),IF(DQ$5=$E42+1,$C42,""),"")</f>
        <v/>
      </c>
      <c r="DR42" s="34">
        <f>IF(AND(DR$5&gt;$E42,DR$5&lt;=$F42),IF(DR$5=$E42+1,$C42,""),"")</f>
        <v/>
      </c>
      <c r="DS42" s="34">
        <f>IF(AND(DS$5&gt;$E42,DS$5&lt;=$F42),IF(DS$5=$E42+1,$C42,""),"")</f>
        <v/>
      </c>
      <c r="DT42" s="34">
        <f>IF(AND(DT$5&gt;$E42,DT$5&lt;=$F42),IF(DT$5=$E42+1,$C42,""),"")</f>
        <v/>
      </c>
      <c r="DU42" s="34">
        <f>IF(AND(DU$5&gt;$E42,DU$5&lt;=$F42),IF(DU$5=$E42+1,$C42,""),"")</f>
        <v/>
      </c>
      <c r="DV42" s="34">
        <f>IF(AND(DV$5&gt;$E42,DV$5&lt;=$F42),IF(DV$5=$E42+1,$C42,""),"")</f>
        <v/>
      </c>
      <c r="DW42" s="34">
        <f>IF(AND(DW$5&gt;$E42,DW$5&lt;=$F42),IF(DW$5=$E42+1,$C42,""),"")</f>
        <v/>
      </c>
      <c r="DX42" s="34">
        <f>IF(AND(DX$5&gt;$E42,DX$5&lt;=$F42),IF(DX$5=$E42+1,$C42,""),"")</f>
        <v/>
      </c>
      <c r="DY42" s="34">
        <f>IF(AND(DY$5&gt;$E42,DY$5&lt;=$F42),IF(DY$5=$E42+1,$C42,""),"")</f>
        <v/>
      </c>
      <c r="DZ42" s="34">
        <f>IF(AND(DZ$5&gt;$E42,DZ$5&lt;=$F42),IF(DZ$5=$E42+1,$C42,""),"")</f>
        <v/>
      </c>
      <c r="EA42" s="34">
        <f>IF(AND(EA$5&gt;$E42,EA$5&lt;=$F42),IF(EA$5=$E42+1,$C42,""),"")</f>
        <v/>
      </c>
      <c r="EB42" s="34">
        <f>IF(AND(EB$5&gt;$E42,EB$5&lt;=$F42),IF(EB$5=$E42+1,$C42,""),"")</f>
        <v/>
      </c>
      <c r="EC42" s="34">
        <f>IF(AND(EC$5&gt;$E42,EC$5&lt;=$F42),IF(EC$5=$E42+1,$C42,""),"")</f>
        <v/>
      </c>
      <c r="ED42" s="34">
        <f>IF(AND(ED$5&gt;$E42,ED$5&lt;=$F42),IF(ED$5=$E42+1,$C42,""),"")</f>
        <v/>
      </c>
      <c r="EE42" s="34">
        <f>IF(AND(EE$5&gt;$E42,EE$5&lt;=$F42),IF(EE$5=$E42+1,$C42,""),"")</f>
        <v/>
      </c>
      <c r="EF42" s="34">
        <f>IF(AND(EF$5&gt;$E42,EF$5&lt;=$F42),IF(EF$5=$E42+1,$C42,""),"")</f>
        <v/>
      </c>
      <c r="EG42" s="34">
        <f>IF(AND(EG$5&gt;$E42,EG$5&lt;=$F42),IF(EG$5=$E42+1,$C42,""),"")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c r="CT43" s="34">
        <f>IF(AND(CT$5&gt;$E43,CT$5&lt;=$F43),IF(CT$5=$E43+1,$C43,""),"")</f>
        <v/>
      </c>
      <c r="CU43" s="34">
        <f>IF(AND(CU$5&gt;$E43,CU$5&lt;=$F43),IF(CU$5=$E43+1,$C43,""),"")</f>
        <v/>
      </c>
      <c r="CV43" s="34">
        <f>IF(AND(CV$5&gt;$E43,CV$5&lt;=$F43),IF(CV$5=$E43+1,$C43,""),"")</f>
        <v/>
      </c>
      <c r="CW43" s="34">
        <f>IF(AND(CW$5&gt;$E43,CW$5&lt;=$F43),IF(CW$5=$E43+1,$C43,""),"")</f>
        <v/>
      </c>
      <c r="CX43" s="34">
        <f>IF(AND(CX$5&gt;$E43,CX$5&lt;=$F43),IF(CX$5=$E43+1,$C43,""),"")</f>
        <v/>
      </c>
      <c r="CY43" s="34">
        <f>IF(AND(CY$5&gt;$E43,CY$5&lt;=$F43),IF(CY$5=$E43+1,$C43,""),"")</f>
        <v/>
      </c>
      <c r="CZ43" s="34">
        <f>IF(AND(CZ$5&gt;$E43,CZ$5&lt;=$F43),IF(CZ$5=$E43+1,$C43,""),"")</f>
        <v/>
      </c>
      <c r="DA43" s="34">
        <f>IF(AND(DA$5&gt;$E43,DA$5&lt;=$F43),IF(DA$5=$E43+1,$C43,""),"")</f>
        <v/>
      </c>
      <c r="DB43" s="34">
        <f>IF(AND(DB$5&gt;$E43,DB$5&lt;=$F43),IF(DB$5=$E43+1,$C43,""),"")</f>
        <v/>
      </c>
      <c r="DC43" s="34">
        <f>IF(AND(DC$5&gt;$E43,DC$5&lt;=$F43),IF(DC$5=$E43+1,$C43,""),"")</f>
        <v/>
      </c>
      <c r="DD43" s="34">
        <f>IF(AND(DD$5&gt;$E43,DD$5&lt;=$F43),IF(DD$5=$E43+1,$C43,""),"")</f>
        <v/>
      </c>
      <c r="DE43" s="34">
        <f>IF(AND(DE$5&gt;$E43,DE$5&lt;=$F43),IF(DE$5=$E43+1,$C43,""),"")</f>
        <v/>
      </c>
      <c r="DF43" s="34">
        <f>IF(AND(DF$5&gt;$E43,DF$5&lt;=$F43),IF(DF$5=$E43+1,$C43,""),"")</f>
        <v/>
      </c>
      <c r="DG43" s="34">
        <f>IF(AND(DG$5&gt;$E43,DG$5&lt;=$F43),IF(DG$5=$E43+1,$C43,""),"")</f>
        <v/>
      </c>
      <c r="DH43" s="34">
        <f>IF(AND(DH$5&gt;$E43,DH$5&lt;=$F43),IF(DH$5=$E43+1,$C43,""),"")</f>
        <v/>
      </c>
      <c r="DI43" s="34">
        <f>IF(AND(DI$5&gt;$E43,DI$5&lt;=$F43),IF(DI$5=$E43+1,$C43,""),"")</f>
        <v/>
      </c>
      <c r="DJ43" s="34">
        <f>IF(AND(DJ$5&gt;$E43,DJ$5&lt;=$F43),IF(DJ$5=$E43+1,$C43,""),"")</f>
        <v/>
      </c>
      <c r="DK43" s="34">
        <f>IF(AND(DK$5&gt;$E43,DK$5&lt;=$F43),IF(DK$5=$E43+1,$C43,""),"")</f>
        <v/>
      </c>
      <c r="DL43" s="34">
        <f>IF(AND(DL$5&gt;$E43,DL$5&lt;=$F43),IF(DL$5=$E43+1,$C43,""),"")</f>
        <v/>
      </c>
      <c r="DM43" s="34">
        <f>IF(AND(DM$5&gt;$E43,DM$5&lt;=$F43),IF(DM$5=$E43+1,$C43,""),"")</f>
        <v/>
      </c>
      <c r="DN43" s="34">
        <f>IF(AND(DN$5&gt;$E43,DN$5&lt;=$F43),IF(DN$5=$E43+1,$C43,""),"")</f>
        <v/>
      </c>
      <c r="DO43" s="34">
        <f>IF(AND(DO$5&gt;$E43,DO$5&lt;=$F43),IF(DO$5=$E43+1,$C43,""),"")</f>
        <v/>
      </c>
      <c r="DP43" s="34">
        <f>IF(AND(DP$5&gt;$E43,DP$5&lt;=$F43),IF(DP$5=$E43+1,$C43,""),"")</f>
        <v/>
      </c>
      <c r="DQ43" s="34">
        <f>IF(AND(DQ$5&gt;$E43,DQ$5&lt;=$F43),IF(DQ$5=$E43+1,$C43,""),"")</f>
        <v/>
      </c>
      <c r="DR43" s="34">
        <f>IF(AND(DR$5&gt;$E43,DR$5&lt;=$F43),IF(DR$5=$E43+1,$C43,""),"")</f>
        <v/>
      </c>
      <c r="DS43" s="34">
        <f>IF(AND(DS$5&gt;$E43,DS$5&lt;=$F43),IF(DS$5=$E43+1,$C43,""),"")</f>
        <v/>
      </c>
      <c r="DT43" s="34">
        <f>IF(AND(DT$5&gt;$E43,DT$5&lt;=$F43),IF(DT$5=$E43+1,$C43,""),"")</f>
        <v/>
      </c>
      <c r="DU43" s="34">
        <f>IF(AND(DU$5&gt;$E43,DU$5&lt;=$F43),IF(DU$5=$E43+1,$C43,""),"")</f>
        <v/>
      </c>
      <c r="DV43" s="34">
        <f>IF(AND(DV$5&gt;$E43,DV$5&lt;=$F43),IF(DV$5=$E43+1,$C43,""),"")</f>
        <v/>
      </c>
      <c r="DW43" s="34">
        <f>IF(AND(DW$5&gt;$E43,DW$5&lt;=$F43),IF(DW$5=$E43+1,$C43,""),"")</f>
        <v/>
      </c>
      <c r="DX43" s="34">
        <f>IF(AND(DX$5&gt;$E43,DX$5&lt;=$F43),IF(DX$5=$E43+1,$C43,""),"")</f>
        <v/>
      </c>
      <c r="DY43" s="34">
        <f>IF(AND(DY$5&gt;$E43,DY$5&lt;=$F43),IF(DY$5=$E43+1,$C43,""),"")</f>
        <v/>
      </c>
      <c r="DZ43" s="34">
        <f>IF(AND(DZ$5&gt;$E43,DZ$5&lt;=$F43),IF(DZ$5=$E43+1,$C43,""),"")</f>
        <v/>
      </c>
      <c r="EA43" s="34">
        <f>IF(AND(EA$5&gt;$E43,EA$5&lt;=$F43),IF(EA$5=$E43+1,$C43,""),"")</f>
        <v/>
      </c>
      <c r="EB43" s="34">
        <f>IF(AND(EB$5&gt;$E43,EB$5&lt;=$F43),IF(EB$5=$E43+1,$C43,""),"")</f>
        <v/>
      </c>
      <c r="EC43" s="34">
        <f>IF(AND(EC$5&gt;$E43,EC$5&lt;=$F43),IF(EC$5=$E43+1,$C43,""),"")</f>
        <v/>
      </c>
      <c r="ED43" s="34">
        <f>IF(AND(ED$5&gt;$E43,ED$5&lt;=$F43),IF(ED$5=$E43+1,$C43,""),"")</f>
        <v/>
      </c>
      <c r="EE43" s="34">
        <f>IF(AND(EE$5&gt;$E43,EE$5&lt;=$F43),IF(EE$5=$E43+1,$C43,""),"")</f>
        <v/>
      </c>
      <c r="EF43" s="34">
        <f>IF(AND(EF$5&gt;$E43,EF$5&lt;=$F43),IF(EF$5=$E43+1,$C43,""),"")</f>
        <v/>
      </c>
      <c r="EG43" s="34">
        <f>IF(AND(EG$5&gt;$E43,EG$5&lt;=$F43),IF(EG$5=$E43+1,$C43,""),"")</f>
        <v/>
      </c>
    </row>
    <row r="44">
      <c r="A44" s="27" t="inlineStr">
        <is>
          <t>Fase 4. Panel de administración</t>
        </is>
      </c>
      <c r="B44" s="28" t="n"/>
      <c r="C44" s="28" t="n"/>
      <c r="D44" s="28" t="n"/>
      <c r="E44" s="29">
        <f>SUMPRODUCT(MIN((Plan!$B$5:$B$117="4. Panel de administración")*Plan!$K$5:$K$117+(Plan!$B$5:$B$117&lt;&gt;"4. Panel de administración")*1E9))</f>
        <v/>
      </c>
      <c r="F44" s="29">
        <f>SUMPRODUCT(MAX((Plan!$B$5:$B$117="4. Panel de administración")*Plan!$L$5:$L$117))</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c r="CT45" s="34">
        <f>IF(AND(CT$5&gt;$E45,CT$5&lt;=$F45),IF(CT$5=$E45+1,$C45,""),"")</f>
        <v/>
      </c>
      <c r="CU45" s="34">
        <f>IF(AND(CU$5&gt;$E45,CU$5&lt;=$F45),IF(CU$5=$E45+1,$C45,""),"")</f>
        <v/>
      </c>
      <c r="CV45" s="34">
        <f>IF(AND(CV$5&gt;$E45,CV$5&lt;=$F45),IF(CV$5=$E45+1,$C45,""),"")</f>
        <v/>
      </c>
      <c r="CW45" s="34">
        <f>IF(AND(CW$5&gt;$E45,CW$5&lt;=$F45),IF(CW$5=$E45+1,$C45,""),"")</f>
        <v/>
      </c>
      <c r="CX45" s="34">
        <f>IF(AND(CX$5&gt;$E45,CX$5&lt;=$F45),IF(CX$5=$E45+1,$C45,""),"")</f>
        <v/>
      </c>
      <c r="CY45" s="34">
        <f>IF(AND(CY$5&gt;$E45,CY$5&lt;=$F45),IF(CY$5=$E45+1,$C45,""),"")</f>
        <v/>
      </c>
      <c r="CZ45" s="34">
        <f>IF(AND(CZ$5&gt;$E45,CZ$5&lt;=$F45),IF(CZ$5=$E45+1,$C45,""),"")</f>
        <v/>
      </c>
      <c r="DA45" s="34">
        <f>IF(AND(DA$5&gt;$E45,DA$5&lt;=$F45),IF(DA$5=$E45+1,$C45,""),"")</f>
        <v/>
      </c>
      <c r="DB45" s="34">
        <f>IF(AND(DB$5&gt;$E45,DB$5&lt;=$F45),IF(DB$5=$E45+1,$C45,""),"")</f>
        <v/>
      </c>
      <c r="DC45" s="34">
        <f>IF(AND(DC$5&gt;$E45,DC$5&lt;=$F45),IF(DC$5=$E45+1,$C45,""),"")</f>
        <v/>
      </c>
      <c r="DD45" s="34">
        <f>IF(AND(DD$5&gt;$E45,DD$5&lt;=$F45),IF(DD$5=$E45+1,$C45,""),"")</f>
        <v/>
      </c>
      <c r="DE45" s="34">
        <f>IF(AND(DE$5&gt;$E45,DE$5&lt;=$F45),IF(DE$5=$E45+1,$C45,""),"")</f>
        <v/>
      </c>
      <c r="DF45" s="34">
        <f>IF(AND(DF$5&gt;$E45,DF$5&lt;=$F45),IF(DF$5=$E45+1,$C45,""),"")</f>
        <v/>
      </c>
      <c r="DG45" s="34">
        <f>IF(AND(DG$5&gt;$E45,DG$5&lt;=$F45),IF(DG$5=$E45+1,$C45,""),"")</f>
        <v/>
      </c>
      <c r="DH45" s="34">
        <f>IF(AND(DH$5&gt;$E45,DH$5&lt;=$F45),IF(DH$5=$E45+1,$C45,""),"")</f>
        <v/>
      </c>
      <c r="DI45" s="34">
        <f>IF(AND(DI$5&gt;$E45,DI$5&lt;=$F45),IF(DI$5=$E45+1,$C45,""),"")</f>
        <v/>
      </c>
      <c r="DJ45" s="34">
        <f>IF(AND(DJ$5&gt;$E45,DJ$5&lt;=$F45),IF(DJ$5=$E45+1,$C45,""),"")</f>
        <v/>
      </c>
      <c r="DK45" s="34">
        <f>IF(AND(DK$5&gt;$E45,DK$5&lt;=$F45),IF(DK$5=$E45+1,$C45,""),"")</f>
        <v/>
      </c>
      <c r="DL45" s="34">
        <f>IF(AND(DL$5&gt;$E45,DL$5&lt;=$F45),IF(DL$5=$E45+1,$C45,""),"")</f>
        <v/>
      </c>
      <c r="DM45" s="34">
        <f>IF(AND(DM$5&gt;$E45,DM$5&lt;=$F45),IF(DM$5=$E45+1,$C45,""),"")</f>
        <v/>
      </c>
      <c r="DN45" s="34">
        <f>IF(AND(DN$5&gt;$E45,DN$5&lt;=$F45),IF(DN$5=$E45+1,$C45,""),"")</f>
        <v/>
      </c>
      <c r="DO45" s="34">
        <f>IF(AND(DO$5&gt;$E45,DO$5&lt;=$F45),IF(DO$5=$E45+1,$C45,""),"")</f>
        <v/>
      </c>
      <c r="DP45" s="34">
        <f>IF(AND(DP$5&gt;$E45,DP$5&lt;=$F45),IF(DP$5=$E45+1,$C45,""),"")</f>
        <v/>
      </c>
      <c r="DQ45" s="34">
        <f>IF(AND(DQ$5&gt;$E45,DQ$5&lt;=$F45),IF(DQ$5=$E45+1,$C45,""),"")</f>
        <v/>
      </c>
      <c r="DR45" s="34">
        <f>IF(AND(DR$5&gt;$E45,DR$5&lt;=$F45),IF(DR$5=$E45+1,$C45,""),"")</f>
        <v/>
      </c>
      <c r="DS45" s="34">
        <f>IF(AND(DS$5&gt;$E45,DS$5&lt;=$F45),IF(DS$5=$E45+1,$C45,""),"")</f>
        <v/>
      </c>
      <c r="DT45" s="34">
        <f>IF(AND(DT$5&gt;$E45,DT$5&lt;=$F45),IF(DT$5=$E45+1,$C45,""),"")</f>
        <v/>
      </c>
      <c r="DU45" s="34">
        <f>IF(AND(DU$5&gt;$E45,DU$5&lt;=$F45),IF(DU$5=$E45+1,$C45,""),"")</f>
        <v/>
      </c>
      <c r="DV45" s="34">
        <f>IF(AND(DV$5&gt;$E45,DV$5&lt;=$F45),IF(DV$5=$E45+1,$C45,""),"")</f>
        <v/>
      </c>
      <c r="DW45" s="34">
        <f>IF(AND(DW$5&gt;$E45,DW$5&lt;=$F45),IF(DW$5=$E45+1,$C45,""),"")</f>
        <v/>
      </c>
      <c r="DX45" s="34">
        <f>IF(AND(DX$5&gt;$E45,DX$5&lt;=$F45),IF(DX$5=$E45+1,$C45,""),"")</f>
        <v/>
      </c>
      <c r="DY45" s="34">
        <f>IF(AND(DY$5&gt;$E45,DY$5&lt;=$F45),IF(DY$5=$E45+1,$C45,""),"")</f>
        <v/>
      </c>
      <c r="DZ45" s="34">
        <f>IF(AND(DZ$5&gt;$E45,DZ$5&lt;=$F45),IF(DZ$5=$E45+1,$C45,""),"")</f>
        <v/>
      </c>
      <c r="EA45" s="34">
        <f>IF(AND(EA$5&gt;$E45,EA$5&lt;=$F45),IF(EA$5=$E45+1,$C45,""),"")</f>
        <v/>
      </c>
      <c r="EB45" s="34">
        <f>IF(AND(EB$5&gt;$E45,EB$5&lt;=$F45),IF(EB$5=$E45+1,$C45,""),"")</f>
        <v/>
      </c>
      <c r="EC45" s="34">
        <f>IF(AND(EC$5&gt;$E45,EC$5&lt;=$F45),IF(EC$5=$E45+1,$C45,""),"")</f>
        <v/>
      </c>
      <c r="ED45" s="34">
        <f>IF(AND(ED$5&gt;$E45,ED$5&lt;=$F45),IF(ED$5=$E45+1,$C45,""),"")</f>
        <v/>
      </c>
      <c r="EE45" s="34">
        <f>IF(AND(EE$5&gt;$E45,EE$5&lt;=$F45),IF(EE$5=$E45+1,$C45,""),"")</f>
        <v/>
      </c>
      <c r="EF45" s="34">
        <f>IF(AND(EF$5&gt;$E45,EF$5&lt;=$F45),IF(EF$5=$E45+1,$C45,""),"")</f>
        <v/>
      </c>
      <c r="EG45" s="34">
        <f>IF(AND(EG$5&gt;$E45,EG$5&lt;=$F45),IF(EG$5=$E45+1,$C45,""),"")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c r="CT46" s="34">
        <f>IF(AND(CT$5&gt;$E46,CT$5&lt;=$F46),IF(CT$5=$E46+1,$C46,""),"")</f>
        <v/>
      </c>
      <c r="CU46" s="34">
        <f>IF(AND(CU$5&gt;$E46,CU$5&lt;=$F46),IF(CU$5=$E46+1,$C46,""),"")</f>
        <v/>
      </c>
      <c r="CV46" s="34">
        <f>IF(AND(CV$5&gt;$E46,CV$5&lt;=$F46),IF(CV$5=$E46+1,$C46,""),"")</f>
        <v/>
      </c>
      <c r="CW46" s="34">
        <f>IF(AND(CW$5&gt;$E46,CW$5&lt;=$F46),IF(CW$5=$E46+1,$C46,""),"")</f>
        <v/>
      </c>
      <c r="CX46" s="34">
        <f>IF(AND(CX$5&gt;$E46,CX$5&lt;=$F46),IF(CX$5=$E46+1,$C46,""),"")</f>
        <v/>
      </c>
      <c r="CY46" s="34">
        <f>IF(AND(CY$5&gt;$E46,CY$5&lt;=$F46),IF(CY$5=$E46+1,$C46,""),"")</f>
        <v/>
      </c>
      <c r="CZ46" s="34">
        <f>IF(AND(CZ$5&gt;$E46,CZ$5&lt;=$F46),IF(CZ$5=$E46+1,$C46,""),"")</f>
        <v/>
      </c>
      <c r="DA46" s="34">
        <f>IF(AND(DA$5&gt;$E46,DA$5&lt;=$F46),IF(DA$5=$E46+1,$C46,""),"")</f>
        <v/>
      </c>
      <c r="DB46" s="34">
        <f>IF(AND(DB$5&gt;$E46,DB$5&lt;=$F46),IF(DB$5=$E46+1,$C46,""),"")</f>
        <v/>
      </c>
      <c r="DC46" s="34">
        <f>IF(AND(DC$5&gt;$E46,DC$5&lt;=$F46),IF(DC$5=$E46+1,$C46,""),"")</f>
        <v/>
      </c>
      <c r="DD46" s="34">
        <f>IF(AND(DD$5&gt;$E46,DD$5&lt;=$F46),IF(DD$5=$E46+1,$C46,""),"")</f>
        <v/>
      </c>
      <c r="DE46" s="34">
        <f>IF(AND(DE$5&gt;$E46,DE$5&lt;=$F46),IF(DE$5=$E46+1,$C46,""),"")</f>
        <v/>
      </c>
      <c r="DF46" s="34">
        <f>IF(AND(DF$5&gt;$E46,DF$5&lt;=$F46),IF(DF$5=$E46+1,$C46,""),"")</f>
        <v/>
      </c>
      <c r="DG46" s="34">
        <f>IF(AND(DG$5&gt;$E46,DG$5&lt;=$F46),IF(DG$5=$E46+1,$C46,""),"")</f>
        <v/>
      </c>
      <c r="DH46" s="34">
        <f>IF(AND(DH$5&gt;$E46,DH$5&lt;=$F46),IF(DH$5=$E46+1,$C46,""),"")</f>
        <v/>
      </c>
      <c r="DI46" s="34">
        <f>IF(AND(DI$5&gt;$E46,DI$5&lt;=$F46),IF(DI$5=$E46+1,$C46,""),"")</f>
        <v/>
      </c>
      <c r="DJ46" s="34">
        <f>IF(AND(DJ$5&gt;$E46,DJ$5&lt;=$F46),IF(DJ$5=$E46+1,$C46,""),"")</f>
        <v/>
      </c>
      <c r="DK46" s="34">
        <f>IF(AND(DK$5&gt;$E46,DK$5&lt;=$F46),IF(DK$5=$E46+1,$C46,""),"")</f>
        <v/>
      </c>
      <c r="DL46" s="34">
        <f>IF(AND(DL$5&gt;$E46,DL$5&lt;=$F46),IF(DL$5=$E46+1,$C46,""),"")</f>
        <v/>
      </c>
      <c r="DM46" s="34">
        <f>IF(AND(DM$5&gt;$E46,DM$5&lt;=$F46),IF(DM$5=$E46+1,$C46,""),"")</f>
        <v/>
      </c>
      <c r="DN46" s="34">
        <f>IF(AND(DN$5&gt;$E46,DN$5&lt;=$F46),IF(DN$5=$E46+1,$C46,""),"")</f>
        <v/>
      </c>
      <c r="DO46" s="34">
        <f>IF(AND(DO$5&gt;$E46,DO$5&lt;=$F46),IF(DO$5=$E46+1,$C46,""),"")</f>
        <v/>
      </c>
      <c r="DP46" s="34">
        <f>IF(AND(DP$5&gt;$E46,DP$5&lt;=$F46),IF(DP$5=$E46+1,$C46,""),"")</f>
        <v/>
      </c>
      <c r="DQ46" s="34">
        <f>IF(AND(DQ$5&gt;$E46,DQ$5&lt;=$F46),IF(DQ$5=$E46+1,$C46,""),"")</f>
        <v/>
      </c>
      <c r="DR46" s="34">
        <f>IF(AND(DR$5&gt;$E46,DR$5&lt;=$F46),IF(DR$5=$E46+1,$C46,""),"")</f>
        <v/>
      </c>
      <c r="DS46" s="34">
        <f>IF(AND(DS$5&gt;$E46,DS$5&lt;=$F46),IF(DS$5=$E46+1,$C46,""),"")</f>
        <v/>
      </c>
      <c r="DT46" s="34">
        <f>IF(AND(DT$5&gt;$E46,DT$5&lt;=$F46),IF(DT$5=$E46+1,$C46,""),"")</f>
        <v/>
      </c>
      <c r="DU46" s="34">
        <f>IF(AND(DU$5&gt;$E46,DU$5&lt;=$F46),IF(DU$5=$E46+1,$C46,""),"")</f>
        <v/>
      </c>
      <c r="DV46" s="34">
        <f>IF(AND(DV$5&gt;$E46,DV$5&lt;=$F46),IF(DV$5=$E46+1,$C46,""),"")</f>
        <v/>
      </c>
      <c r="DW46" s="34">
        <f>IF(AND(DW$5&gt;$E46,DW$5&lt;=$F46),IF(DW$5=$E46+1,$C46,""),"")</f>
        <v/>
      </c>
      <c r="DX46" s="34">
        <f>IF(AND(DX$5&gt;$E46,DX$5&lt;=$F46),IF(DX$5=$E46+1,$C46,""),"")</f>
        <v/>
      </c>
      <c r="DY46" s="34">
        <f>IF(AND(DY$5&gt;$E46,DY$5&lt;=$F46),IF(DY$5=$E46+1,$C46,""),"")</f>
        <v/>
      </c>
      <c r="DZ46" s="34">
        <f>IF(AND(DZ$5&gt;$E46,DZ$5&lt;=$F46),IF(DZ$5=$E46+1,$C46,""),"")</f>
        <v/>
      </c>
      <c r="EA46" s="34">
        <f>IF(AND(EA$5&gt;$E46,EA$5&lt;=$F46),IF(EA$5=$E46+1,$C46,""),"")</f>
        <v/>
      </c>
      <c r="EB46" s="34">
        <f>IF(AND(EB$5&gt;$E46,EB$5&lt;=$F46),IF(EB$5=$E46+1,$C46,""),"")</f>
        <v/>
      </c>
      <c r="EC46" s="34">
        <f>IF(AND(EC$5&gt;$E46,EC$5&lt;=$F46),IF(EC$5=$E46+1,$C46,""),"")</f>
        <v/>
      </c>
      <c r="ED46" s="34">
        <f>IF(AND(ED$5&gt;$E46,ED$5&lt;=$F46),IF(ED$5=$E46+1,$C46,""),"")</f>
        <v/>
      </c>
      <c r="EE46" s="34">
        <f>IF(AND(EE$5&gt;$E46,EE$5&lt;=$F46),IF(EE$5=$E46+1,$C46,""),"")</f>
        <v/>
      </c>
      <c r="EF46" s="34">
        <f>IF(AND(EF$5&gt;$E46,EF$5&lt;=$F46),IF(EF$5=$E46+1,$C46,""),"")</f>
        <v/>
      </c>
      <c r="EG46" s="34">
        <f>IF(AND(EG$5&gt;$E46,EG$5&lt;=$F46),IF(EG$5=$E46+1,$C46,""),"")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c r="CT47" s="34">
        <f>IF(AND(CT$5&gt;$E47,CT$5&lt;=$F47),IF(CT$5=$E47+1,$C47,""),"")</f>
        <v/>
      </c>
      <c r="CU47" s="34">
        <f>IF(AND(CU$5&gt;$E47,CU$5&lt;=$F47),IF(CU$5=$E47+1,$C47,""),"")</f>
        <v/>
      </c>
      <c r="CV47" s="34">
        <f>IF(AND(CV$5&gt;$E47,CV$5&lt;=$F47),IF(CV$5=$E47+1,$C47,""),"")</f>
        <v/>
      </c>
      <c r="CW47" s="34">
        <f>IF(AND(CW$5&gt;$E47,CW$5&lt;=$F47),IF(CW$5=$E47+1,$C47,""),"")</f>
        <v/>
      </c>
      <c r="CX47" s="34">
        <f>IF(AND(CX$5&gt;$E47,CX$5&lt;=$F47),IF(CX$5=$E47+1,$C47,""),"")</f>
        <v/>
      </c>
      <c r="CY47" s="34">
        <f>IF(AND(CY$5&gt;$E47,CY$5&lt;=$F47),IF(CY$5=$E47+1,$C47,""),"")</f>
        <v/>
      </c>
      <c r="CZ47" s="34">
        <f>IF(AND(CZ$5&gt;$E47,CZ$5&lt;=$F47),IF(CZ$5=$E47+1,$C47,""),"")</f>
        <v/>
      </c>
      <c r="DA47" s="34">
        <f>IF(AND(DA$5&gt;$E47,DA$5&lt;=$F47),IF(DA$5=$E47+1,$C47,""),"")</f>
        <v/>
      </c>
      <c r="DB47" s="34">
        <f>IF(AND(DB$5&gt;$E47,DB$5&lt;=$F47),IF(DB$5=$E47+1,$C47,""),"")</f>
        <v/>
      </c>
      <c r="DC47" s="34">
        <f>IF(AND(DC$5&gt;$E47,DC$5&lt;=$F47),IF(DC$5=$E47+1,$C47,""),"")</f>
        <v/>
      </c>
      <c r="DD47" s="34">
        <f>IF(AND(DD$5&gt;$E47,DD$5&lt;=$F47),IF(DD$5=$E47+1,$C47,""),"")</f>
        <v/>
      </c>
      <c r="DE47" s="34">
        <f>IF(AND(DE$5&gt;$E47,DE$5&lt;=$F47),IF(DE$5=$E47+1,$C47,""),"")</f>
        <v/>
      </c>
      <c r="DF47" s="34">
        <f>IF(AND(DF$5&gt;$E47,DF$5&lt;=$F47),IF(DF$5=$E47+1,$C47,""),"")</f>
        <v/>
      </c>
      <c r="DG47" s="34">
        <f>IF(AND(DG$5&gt;$E47,DG$5&lt;=$F47),IF(DG$5=$E47+1,$C47,""),"")</f>
        <v/>
      </c>
      <c r="DH47" s="34">
        <f>IF(AND(DH$5&gt;$E47,DH$5&lt;=$F47),IF(DH$5=$E47+1,$C47,""),"")</f>
        <v/>
      </c>
      <c r="DI47" s="34">
        <f>IF(AND(DI$5&gt;$E47,DI$5&lt;=$F47),IF(DI$5=$E47+1,$C47,""),"")</f>
        <v/>
      </c>
      <c r="DJ47" s="34">
        <f>IF(AND(DJ$5&gt;$E47,DJ$5&lt;=$F47),IF(DJ$5=$E47+1,$C47,""),"")</f>
        <v/>
      </c>
      <c r="DK47" s="34">
        <f>IF(AND(DK$5&gt;$E47,DK$5&lt;=$F47),IF(DK$5=$E47+1,$C47,""),"")</f>
        <v/>
      </c>
      <c r="DL47" s="34">
        <f>IF(AND(DL$5&gt;$E47,DL$5&lt;=$F47),IF(DL$5=$E47+1,$C47,""),"")</f>
        <v/>
      </c>
      <c r="DM47" s="34">
        <f>IF(AND(DM$5&gt;$E47,DM$5&lt;=$F47),IF(DM$5=$E47+1,$C47,""),"")</f>
        <v/>
      </c>
      <c r="DN47" s="34">
        <f>IF(AND(DN$5&gt;$E47,DN$5&lt;=$F47),IF(DN$5=$E47+1,$C47,""),"")</f>
        <v/>
      </c>
      <c r="DO47" s="34">
        <f>IF(AND(DO$5&gt;$E47,DO$5&lt;=$F47),IF(DO$5=$E47+1,$C47,""),"")</f>
        <v/>
      </c>
      <c r="DP47" s="34">
        <f>IF(AND(DP$5&gt;$E47,DP$5&lt;=$F47),IF(DP$5=$E47+1,$C47,""),"")</f>
        <v/>
      </c>
      <c r="DQ47" s="34">
        <f>IF(AND(DQ$5&gt;$E47,DQ$5&lt;=$F47),IF(DQ$5=$E47+1,$C47,""),"")</f>
        <v/>
      </c>
      <c r="DR47" s="34">
        <f>IF(AND(DR$5&gt;$E47,DR$5&lt;=$F47),IF(DR$5=$E47+1,$C47,""),"")</f>
        <v/>
      </c>
      <c r="DS47" s="34">
        <f>IF(AND(DS$5&gt;$E47,DS$5&lt;=$F47),IF(DS$5=$E47+1,$C47,""),"")</f>
        <v/>
      </c>
      <c r="DT47" s="34">
        <f>IF(AND(DT$5&gt;$E47,DT$5&lt;=$F47),IF(DT$5=$E47+1,$C47,""),"")</f>
        <v/>
      </c>
      <c r="DU47" s="34">
        <f>IF(AND(DU$5&gt;$E47,DU$5&lt;=$F47),IF(DU$5=$E47+1,$C47,""),"")</f>
        <v/>
      </c>
      <c r="DV47" s="34">
        <f>IF(AND(DV$5&gt;$E47,DV$5&lt;=$F47),IF(DV$5=$E47+1,$C47,""),"")</f>
        <v/>
      </c>
      <c r="DW47" s="34">
        <f>IF(AND(DW$5&gt;$E47,DW$5&lt;=$F47),IF(DW$5=$E47+1,$C47,""),"")</f>
        <v/>
      </c>
      <c r="DX47" s="34">
        <f>IF(AND(DX$5&gt;$E47,DX$5&lt;=$F47),IF(DX$5=$E47+1,$C47,""),"")</f>
        <v/>
      </c>
      <c r="DY47" s="34">
        <f>IF(AND(DY$5&gt;$E47,DY$5&lt;=$F47),IF(DY$5=$E47+1,$C47,""),"")</f>
        <v/>
      </c>
      <c r="DZ47" s="34">
        <f>IF(AND(DZ$5&gt;$E47,DZ$5&lt;=$F47),IF(DZ$5=$E47+1,$C47,""),"")</f>
        <v/>
      </c>
      <c r="EA47" s="34">
        <f>IF(AND(EA$5&gt;$E47,EA$5&lt;=$F47),IF(EA$5=$E47+1,$C47,""),"")</f>
        <v/>
      </c>
      <c r="EB47" s="34">
        <f>IF(AND(EB$5&gt;$E47,EB$5&lt;=$F47),IF(EB$5=$E47+1,$C47,""),"")</f>
        <v/>
      </c>
      <c r="EC47" s="34">
        <f>IF(AND(EC$5&gt;$E47,EC$5&lt;=$F47),IF(EC$5=$E47+1,$C47,""),"")</f>
        <v/>
      </c>
      <c r="ED47" s="34">
        <f>IF(AND(ED$5&gt;$E47,ED$5&lt;=$F47),IF(ED$5=$E47+1,$C47,""),"")</f>
        <v/>
      </c>
      <c r="EE47" s="34">
        <f>IF(AND(EE$5&gt;$E47,EE$5&lt;=$F47),IF(EE$5=$E47+1,$C47,""),"")</f>
        <v/>
      </c>
      <c r="EF47" s="34">
        <f>IF(AND(EF$5&gt;$E47,EF$5&lt;=$F47),IF(EF$5=$E47+1,$C47,""),"")</f>
        <v/>
      </c>
      <c r="EG47" s="34">
        <f>IF(AND(EG$5&gt;$E47,EG$5&lt;=$F47),IF(EG$5=$E47+1,$C47,""),"")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c r="CT48" s="34">
        <f>IF(AND(CT$5&gt;$E48,CT$5&lt;=$F48),IF(CT$5=$E48+1,$C48,""),"")</f>
        <v/>
      </c>
      <c r="CU48" s="34">
        <f>IF(AND(CU$5&gt;$E48,CU$5&lt;=$F48),IF(CU$5=$E48+1,$C48,""),"")</f>
        <v/>
      </c>
      <c r="CV48" s="34">
        <f>IF(AND(CV$5&gt;$E48,CV$5&lt;=$F48),IF(CV$5=$E48+1,$C48,""),"")</f>
        <v/>
      </c>
      <c r="CW48" s="34">
        <f>IF(AND(CW$5&gt;$E48,CW$5&lt;=$F48),IF(CW$5=$E48+1,$C48,""),"")</f>
        <v/>
      </c>
      <c r="CX48" s="34">
        <f>IF(AND(CX$5&gt;$E48,CX$5&lt;=$F48),IF(CX$5=$E48+1,$C48,""),"")</f>
        <v/>
      </c>
      <c r="CY48" s="34">
        <f>IF(AND(CY$5&gt;$E48,CY$5&lt;=$F48),IF(CY$5=$E48+1,$C48,""),"")</f>
        <v/>
      </c>
      <c r="CZ48" s="34">
        <f>IF(AND(CZ$5&gt;$E48,CZ$5&lt;=$F48),IF(CZ$5=$E48+1,$C48,""),"")</f>
        <v/>
      </c>
      <c r="DA48" s="34">
        <f>IF(AND(DA$5&gt;$E48,DA$5&lt;=$F48),IF(DA$5=$E48+1,$C48,""),"")</f>
        <v/>
      </c>
      <c r="DB48" s="34">
        <f>IF(AND(DB$5&gt;$E48,DB$5&lt;=$F48),IF(DB$5=$E48+1,$C48,""),"")</f>
        <v/>
      </c>
      <c r="DC48" s="34">
        <f>IF(AND(DC$5&gt;$E48,DC$5&lt;=$F48),IF(DC$5=$E48+1,$C48,""),"")</f>
        <v/>
      </c>
      <c r="DD48" s="34">
        <f>IF(AND(DD$5&gt;$E48,DD$5&lt;=$F48),IF(DD$5=$E48+1,$C48,""),"")</f>
        <v/>
      </c>
      <c r="DE48" s="34">
        <f>IF(AND(DE$5&gt;$E48,DE$5&lt;=$F48),IF(DE$5=$E48+1,$C48,""),"")</f>
        <v/>
      </c>
      <c r="DF48" s="34">
        <f>IF(AND(DF$5&gt;$E48,DF$5&lt;=$F48),IF(DF$5=$E48+1,$C48,""),"")</f>
        <v/>
      </c>
      <c r="DG48" s="34">
        <f>IF(AND(DG$5&gt;$E48,DG$5&lt;=$F48),IF(DG$5=$E48+1,$C48,""),"")</f>
        <v/>
      </c>
      <c r="DH48" s="34">
        <f>IF(AND(DH$5&gt;$E48,DH$5&lt;=$F48),IF(DH$5=$E48+1,$C48,""),"")</f>
        <v/>
      </c>
      <c r="DI48" s="34">
        <f>IF(AND(DI$5&gt;$E48,DI$5&lt;=$F48),IF(DI$5=$E48+1,$C48,""),"")</f>
        <v/>
      </c>
      <c r="DJ48" s="34">
        <f>IF(AND(DJ$5&gt;$E48,DJ$5&lt;=$F48),IF(DJ$5=$E48+1,$C48,""),"")</f>
        <v/>
      </c>
      <c r="DK48" s="34">
        <f>IF(AND(DK$5&gt;$E48,DK$5&lt;=$F48),IF(DK$5=$E48+1,$C48,""),"")</f>
        <v/>
      </c>
      <c r="DL48" s="34">
        <f>IF(AND(DL$5&gt;$E48,DL$5&lt;=$F48),IF(DL$5=$E48+1,$C48,""),"")</f>
        <v/>
      </c>
      <c r="DM48" s="34">
        <f>IF(AND(DM$5&gt;$E48,DM$5&lt;=$F48),IF(DM$5=$E48+1,$C48,""),"")</f>
        <v/>
      </c>
      <c r="DN48" s="34">
        <f>IF(AND(DN$5&gt;$E48,DN$5&lt;=$F48),IF(DN$5=$E48+1,$C48,""),"")</f>
        <v/>
      </c>
      <c r="DO48" s="34">
        <f>IF(AND(DO$5&gt;$E48,DO$5&lt;=$F48),IF(DO$5=$E48+1,$C48,""),"")</f>
        <v/>
      </c>
      <c r="DP48" s="34">
        <f>IF(AND(DP$5&gt;$E48,DP$5&lt;=$F48),IF(DP$5=$E48+1,$C48,""),"")</f>
        <v/>
      </c>
      <c r="DQ48" s="34">
        <f>IF(AND(DQ$5&gt;$E48,DQ$5&lt;=$F48),IF(DQ$5=$E48+1,$C48,""),"")</f>
        <v/>
      </c>
      <c r="DR48" s="34">
        <f>IF(AND(DR$5&gt;$E48,DR$5&lt;=$F48),IF(DR$5=$E48+1,$C48,""),"")</f>
        <v/>
      </c>
      <c r="DS48" s="34">
        <f>IF(AND(DS$5&gt;$E48,DS$5&lt;=$F48),IF(DS$5=$E48+1,$C48,""),"")</f>
        <v/>
      </c>
      <c r="DT48" s="34">
        <f>IF(AND(DT$5&gt;$E48,DT$5&lt;=$F48),IF(DT$5=$E48+1,$C48,""),"")</f>
        <v/>
      </c>
      <c r="DU48" s="34">
        <f>IF(AND(DU$5&gt;$E48,DU$5&lt;=$F48),IF(DU$5=$E48+1,$C48,""),"")</f>
        <v/>
      </c>
      <c r="DV48" s="34">
        <f>IF(AND(DV$5&gt;$E48,DV$5&lt;=$F48),IF(DV$5=$E48+1,$C48,""),"")</f>
        <v/>
      </c>
      <c r="DW48" s="34">
        <f>IF(AND(DW$5&gt;$E48,DW$5&lt;=$F48),IF(DW$5=$E48+1,$C48,""),"")</f>
        <v/>
      </c>
      <c r="DX48" s="34">
        <f>IF(AND(DX$5&gt;$E48,DX$5&lt;=$F48),IF(DX$5=$E48+1,$C48,""),"")</f>
        <v/>
      </c>
      <c r="DY48" s="34">
        <f>IF(AND(DY$5&gt;$E48,DY$5&lt;=$F48),IF(DY$5=$E48+1,$C48,""),"")</f>
        <v/>
      </c>
      <c r="DZ48" s="34">
        <f>IF(AND(DZ$5&gt;$E48,DZ$5&lt;=$F48),IF(DZ$5=$E48+1,$C48,""),"")</f>
        <v/>
      </c>
      <c r="EA48" s="34">
        <f>IF(AND(EA$5&gt;$E48,EA$5&lt;=$F48),IF(EA$5=$E48+1,$C48,""),"")</f>
        <v/>
      </c>
      <c r="EB48" s="34">
        <f>IF(AND(EB$5&gt;$E48,EB$5&lt;=$F48),IF(EB$5=$E48+1,$C48,""),"")</f>
        <v/>
      </c>
      <c r="EC48" s="34">
        <f>IF(AND(EC$5&gt;$E48,EC$5&lt;=$F48),IF(EC$5=$E48+1,$C48,""),"")</f>
        <v/>
      </c>
      <c r="ED48" s="34">
        <f>IF(AND(ED$5&gt;$E48,ED$5&lt;=$F48),IF(ED$5=$E48+1,$C48,""),"")</f>
        <v/>
      </c>
      <c r="EE48" s="34">
        <f>IF(AND(EE$5&gt;$E48,EE$5&lt;=$F48),IF(EE$5=$E48+1,$C48,""),"")</f>
        <v/>
      </c>
      <c r="EF48" s="34">
        <f>IF(AND(EF$5&gt;$E48,EF$5&lt;=$F48),IF(EF$5=$E48+1,$C48,""),"")</f>
        <v/>
      </c>
      <c r="EG48" s="34">
        <f>IF(AND(EG$5&gt;$E48,EG$5&lt;=$F48),IF(EG$5=$E48+1,$C48,""),"")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c r="CT49" s="34">
        <f>IF(AND(CT$5&gt;$E49,CT$5&lt;=$F49),IF(CT$5=$E49+1,$C49,""),"")</f>
        <v/>
      </c>
      <c r="CU49" s="34">
        <f>IF(AND(CU$5&gt;$E49,CU$5&lt;=$F49),IF(CU$5=$E49+1,$C49,""),"")</f>
        <v/>
      </c>
      <c r="CV49" s="34">
        <f>IF(AND(CV$5&gt;$E49,CV$5&lt;=$F49),IF(CV$5=$E49+1,$C49,""),"")</f>
        <v/>
      </c>
      <c r="CW49" s="34">
        <f>IF(AND(CW$5&gt;$E49,CW$5&lt;=$F49),IF(CW$5=$E49+1,$C49,""),"")</f>
        <v/>
      </c>
      <c r="CX49" s="34">
        <f>IF(AND(CX$5&gt;$E49,CX$5&lt;=$F49),IF(CX$5=$E49+1,$C49,""),"")</f>
        <v/>
      </c>
      <c r="CY49" s="34">
        <f>IF(AND(CY$5&gt;$E49,CY$5&lt;=$F49),IF(CY$5=$E49+1,$C49,""),"")</f>
        <v/>
      </c>
      <c r="CZ49" s="34">
        <f>IF(AND(CZ$5&gt;$E49,CZ$5&lt;=$F49),IF(CZ$5=$E49+1,$C49,""),"")</f>
        <v/>
      </c>
      <c r="DA49" s="34">
        <f>IF(AND(DA$5&gt;$E49,DA$5&lt;=$F49),IF(DA$5=$E49+1,$C49,""),"")</f>
        <v/>
      </c>
      <c r="DB49" s="34">
        <f>IF(AND(DB$5&gt;$E49,DB$5&lt;=$F49),IF(DB$5=$E49+1,$C49,""),"")</f>
        <v/>
      </c>
      <c r="DC49" s="34">
        <f>IF(AND(DC$5&gt;$E49,DC$5&lt;=$F49),IF(DC$5=$E49+1,$C49,""),"")</f>
        <v/>
      </c>
      <c r="DD49" s="34">
        <f>IF(AND(DD$5&gt;$E49,DD$5&lt;=$F49),IF(DD$5=$E49+1,$C49,""),"")</f>
        <v/>
      </c>
      <c r="DE49" s="34">
        <f>IF(AND(DE$5&gt;$E49,DE$5&lt;=$F49),IF(DE$5=$E49+1,$C49,""),"")</f>
        <v/>
      </c>
      <c r="DF49" s="34">
        <f>IF(AND(DF$5&gt;$E49,DF$5&lt;=$F49),IF(DF$5=$E49+1,$C49,""),"")</f>
        <v/>
      </c>
      <c r="DG49" s="34">
        <f>IF(AND(DG$5&gt;$E49,DG$5&lt;=$F49),IF(DG$5=$E49+1,$C49,""),"")</f>
        <v/>
      </c>
      <c r="DH49" s="34">
        <f>IF(AND(DH$5&gt;$E49,DH$5&lt;=$F49),IF(DH$5=$E49+1,$C49,""),"")</f>
        <v/>
      </c>
      <c r="DI49" s="34">
        <f>IF(AND(DI$5&gt;$E49,DI$5&lt;=$F49),IF(DI$5=$E49+1,$C49,""),"")</f>
        <v/>
      </c>
      <c r="DJ49" s="34">
        <f>IF(AND(DJ$5&gt;$E49,DJ$5&lt;=$F49),IF(DJ$5=$E49+1,$C49,""),"")</f>
        <v/>
      </c>
      <c r="DK49" s="34">
        <f>IF(AND(DK$5&gt;$E49,DK$5&lt;=$F49),IF(DK$5=$E49+1,$C49,""),"")</f>
        <v/>
      </c>
      <c r="DL49" s="34">
        <f>IF(AND(DL$5&gt;$E49,DL$5&lt;=$F49),IF(DL$5=$E49+1,$C49,""),"")</f>
        <v/>
      </c>
      <c r="DM49" s="34">
        <f>IF(AND(DM$5&gt;$E49,DM$5&lt;=$F49),IF(DM$5=$E49+1,$C49,""),"")</f>
        <v/>
      </c>
      <c r="DN49" s="34">
        <f>IF(AND(DN$5&gt;$E49,DN$5&lt;=$F49),IF(DN$5=$E49+1,$C49,""),"")</f>
        <v/>
      </c>
      <c r="DO49" s="34">
        <f>IF(AND(DO$5&gt;$E49,DO$5&lt;=$F49),IF(DO$5=$E49+1,$C49,""),"")</f>
        <v/>
      </c>
      <c r="DP49" s="34">
        <f>IF(AND(DP$5&gt;$E49,DP$5&lt;=$F49),IF(DP$5=$E49+1,$C49,""),"")</f>
        <v/>
      </c>
      <c r="DQ49" s="34">
        <f>IF(AND(DQ$5&gt;$E49,DQ$5&lt;=$F49),IF(DQ$5=$E49+1,$C49,""),"")</f>
        <v/>
      </c>
      <c r="DR49" s="34">
        <f>IF(AND(DR$5&gt;$E49,DR$5&lt;=$F49),IF(DR$5=$E49+1,$C49,""),"")</f>
        <v/>
      </c>
      <c r="DS49" s="34">
        <f>IF(AND(DS$5&gt;$E49,DS$5&lt;=$F49),IF(DS$5=$E49+1,$C49,""),"")</f>
        <v/>
      </c>
      <c r="DT49" s="34">
        <f>IF(AND(DT$5&gt;$E49,DT$5&lt;=$F49),IF(DT$5=$E49+1,$C49,""),"")</f>
        <v/>
      </c>
      <c r="DU49" s="34">
        <f>IF(AND(DU$5&gt;$E49,DU$5&lt;=$F49),IF(DU$5=$E49+1,$C49,""),"")</f>
        <v/>
      </c>
      <c r="DV49" s="34">
        <f>IF(AND(DV$5&gt;$E49,DV$5&lt;=$F49),IF(DV$5=$E49+1,$C49,""),"")</f>
        <v/>
      </c>
      <c r="DW49" s="34">
        <f>IF(AND(DW$5&gt;$E49,DW$5&lt;=$F49),IF(DW$5=$E49+1,$C49,""),"")</f>
        <v/>
      </c>
      <c r="DX49" s="34">
        <f>IF(AND(DX$5&gt;$E49,DX$5&lt;=$F49),IF(DX$5=$E49+1,$C49,""),"")</f>
        <v/>
      </c>
      <c r="DY49" s="34">
        <f>IF(AND(DY$5&gt;$E49,DY$5&lt;=$F49),IF(DY$5=$E49+1,$C49,""),"")</f>
        <v/>
      </c>
      <c r="DZ49" s="34">
        <f>IF(AND(DZ$5&gt;$E49,DZ$5&lt;=$F49),IF(DZ$5=$E49+1,$C49,""),"")</f>
        <v/>
      </c>
      <c r="EA49" s="34">
        <f>IF(AND(EA$5&gt;$E49,EA$5&lt;=$F49),IF(EA$5=$E49+1,$C49,""),"")</f>
        <v/>
      </c>
      <c r="EB49" s="34">
        <f>IF(AND(EB$5&gt;$E49,EB$5&lt;=$F49),IF(EB$5=$E49+1,$C49,""),"")</f>
        <v/>
      </c>
      <c r="EC49" s="34">
        <f>IF(AND(EC$5&gt;$E49,EC$5&lt;=$F49),IF(EC$5=$E49+1,$C49,""),"")</f>
        <v/>
      </c>
      <c r="ED49" s="34">
        <f>IF(AND(ED$5&gt;$E49,ED$5&lt;=$F49),IF(ED$5=$E49+1,$C49,""),"")</f>
        <v/>
      </c>
      <c r="EE49" s="34">
        <f>IF(AND(EE$5&gt;$E49,EE$5&lt;=$F49),IF(EE$5=$E49+1,$C49,""),"")</f>
        <v/>
      </c>
      <c r="EF49" s="34">
        <f>IF(AND(EF$5&gt;$E49,EF$5&lt;=$F49),IF(EF$5=$E49+1,$C49,""),"")</f>
        <v/>
      </c>
      <c r="EG49" s="34">
        <f>IF(AND(EG$5&gt;$E49,EG$5&lt;=$F49),IF(EG$5=$E49+1,$C49,""),"")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c r="CT50" s="34">
        <f>IF(AND(CT$5&gt;$E50,CT$5&lt;=$F50),IF(CT$5=$E50+1,$C50,""),"")</f>
        <v/>
      </c>
      <c r="CU50" s="34">
        <f>IF(AND(CU$5&gt;$E50,CU$5&lt;=$F50),IF(CU$5=$E50+1,$C50,""),"")</f>
        <v/>
      </c>
      <c r="CV50" s="34">
        <f>IF(AND(CV$5&gt;$E50,CV$5&lt;=$F50),IF(CV$5=$E50+1,$C50,""),"")</f>
        <v/>
      </c>
      <c r="CW50" s="34">
        <f>IF(AND(CW$5&gt;$E50,CW$5&lt;=$F50),IF(CW$5=$E50+1,$C50,""),"")</f>
        <v/>
      </c>
      <c r="CX50" s="34">
        <f>IF(AND(CX$5&gt;$E50,CX$5&lt;=$F50),IF(CX$5=$E50+1,$C50,""),"")</f>
        <v/>
      </c>
      <c r="CY50" s="34">
        <f>IF(AND(CY$5&gt;$E50,CY$5&lt;=$F50),IF(CY$5=$E50+1,$C50,""),"")</f>
        <v/>
      </c>
      <c r="CZ50" s="34">
        <f>IF(AND(CZ$5&gt;$E50,CZ$5&lt;=$F50),IF(CZ$5=$E50+1,$C50,""),"")</f>
        <v/>
      </c>
      <c r="DA50" s="34">
        <f>IF(AND(DA$5&gt;$E50,DA$5&lt;=$F50),IF(DA$5=$E50+1,$C50,""),"")</f>
        <v/>
      </c>
      <c r="DB50" s="34">
        <f>IF(AND(DB$5&gt;$E50,DB$5&lt;=$F50),IF(DB$5=$E50+1,$C50,""),"")</f>
        <v/>
      </c>
      <c r="DC50" s="34">
        <f>IF(AND(DC$5&gt;$E50,DC$5&lt;=$F50),IF(DC$5=$E50+1,$C50,""),"")</f>
        <v/>
      </c>
      <c r="DD50" s="34">
        <f>IF(AND(DD$5&gt;$E50,DD$5&lt;=$F50),IF(DD$5=$E50+1,$C50,""),"")</f>
        <v/>
      </c>
      <c r="DE50" s="34">
        <f>IF(AND(DE$5&gt;$E50,DE$5&lt;=$F50),IF(DE$5=$E50+1,$C50,""),"")</f>
        <v/>
      </c>
      <c r="DF50" s="34">
        <f>IF(AND(DF$5&gt;$E50,DF$5&lt;=$F50),IF(DF$5=$E50+1,$C50,""),"")</f>
        <v/>
      </c>
      <c r="DG50" s="34">
        <f>IF(AND(DG$5&gt;$E50,DG$5&lt;=$F50),IF(DG$5=$E50+1,$C50,""),"")</f>
        <v/>
      </c>
      <c r="DH50" s="34">
        <f>IF(AND(DH$5&gt;$E50,DH$5&lt;=$F50),IF(DH$5=$E50+1,$C50,""),"")</f>
        <v/>
      </c>
      <c r="DI50" s="34">
        <f>IF(AND(DI$5&gt;$E50,DI$5&lt;=$F50),IF(DI$5=$E50+1,$C50,""),"")</f>
        <v/>
      </c>
      <c r="DJ50" s="34">
        <f>IF(AND(DJ$5&gt;$E50,DJ$5&lt;=$F50),IF(DJ$5=$E50+1,$C50,""),"")</f>
        <v/>
      </c>
      <c r="DK50" s="34">
        <f>IF(AND(DK$5&gt;$E50,DK$5&lt;=$F50),IF(DK$5=$E50+1,$C50,""),"")</f>
        <v/>
      </c>
      <c r="DL50" s="34">
        <f>IF(AND(DL$5&gt;$E50,DL$5&lt;=$F50),IF(DL$5=$E50+1,$C50,""),"")</f>
        <v/>
      </c>
      <c r="DM50" s="34">
        <f>IF(AND(DM$5&gt;$E50,DM$5&lt;=$F50),IF(DM$5=$E50+1,$C50,""),"")</f>
        <v/>
      </c>
      <c r="DN50" s="34">
        <f>IF(AND(DN$5&gt;$E50,DN$5&lt;=$F50),IF(DN$5=$E50+1,$C50,""),"")</f>
        <v/>
      </c>
      <c r="DO50" s="34">
        <f>IF(AND(DO$5&gt;$E50,DO$5&lt;=$F50),IF(DO$5=$E50+1,$C50,""),"")</f>
        <v/>
      </c>
      <c r="DP50" s="34">
        <f>IF(AND(DP$5&gt;$E50,DP$5&lt;=$F50),IF(DP$5=$E50+1,$C50,""),"")</f>
        <v/>
      </c>
      <c r="DQ50" s="34">
        <f>IF(AND(DQ$5&gt;$E50,DQ$5&lt;=$F50),IF(DQ$5=$E50+1,$C50,""),"")</f>
        <v/>
      </c>
      <c r="DR50" s="34">
        <f>IF(AND(DR$5&gt;$E50,DR$5&lt;=$F50),IF(DR$5=$E50+1,$C50,""),"")</f>
        <v/>
      </c>
      <c r="DS50" s="34">
        <f>IF(AND(DS$5&gt;$E50,DS$5&lt;=$F50),IF(DS$5=$E50+1,$C50,""),"")</f>
        <v/>
      </c>
      <c r="DT50" s="34">
        <f>IF(AND(DT$5&gt;$E50,DT$5&lt;=$F50),IF(DT$5=$E50+1,$C50,""),"")</f>
        <v/>
      </c>
      <c r="DU50" s="34">
        <f>IF(AND(DU$5&gt;$E50,DU$5&lt;=$F50),IF(DU$5=$E50+1,$C50,""),"")</f>
        <v/>
      </c>
      <c r="DV50" s="34">
        <f>IF(AND(DV$5&gt;$E50,DV$5&lt;=$F50),IF(DV$5=$E50+1,$C50,""),"")</f>
        <v/>
      </c>
      <c r="DW50" s="34">
        <f>IF(AND(DW$5&gt;$E50,DW$5&lt;=$F50),IF(DW$5=$E50+1,$C50,""),"")</f>
        <v/>
      </c>
      <c r="DX50" s="34">
        <f>IF(AND(DX$5&gt;$E50,DX$5&lt;=$F50),IF(DX$5=$E50+1,$C50,""),"")</f>
        <v/>
      </c>
      <c r="DY50" s="34">
        <f>IF(AND(DY$5&gt;$E50,DY$5&lt;=$F50),IF(DY$5=$E50+1,$C50,""),"")</f>
        <v/>
      </c>
      <c r="DZ50" s="34">
        <f>IF(AND(DZ$5&gt;$E50,DZ$5&lt;=$F50),IF(DZ$5=$E50+1,$C50,""),"")</f>
        <v/>
      </c>
      <c r="EA50" s="34">
        <f>IF(AND(EA$5&gt;$E50,EA$5&lt;=$F50),IF(EA$5=$E50+1,$C50,""),"")</f>
        <v/>
      </c>
      <c r="EB50" s="34">
        <f>IF(AND(EB$5&gt;$E50,EB$5&lt;=$F50),IF(EB$5=$E50+1,$C50,""),"")</f>
        <v/>
      </c>
      <c r="EC50" s="34">
        <f>IF(AND(EC$5&gt;$E50,EC$5&lt;=$F50),IF(EC$5=$E50+1,$C50,""),"")</f>
        <v/>
      </c>
      <c r="ED50" s="34">
        <f>IF(AND(ED$5&gt;$E50,ED$5&lt;=$F50),IF(ED$5=$E50+1,$C50,""),"")</f>
        <v/>
      </c>
      <c r="EE50" s="34">
        <f>IF(AND(EE$5&gt;$E50,EE$5&lt;=$F50),IF(EE$5=$E50+1,$C50,""),"")</f>
        <v/>
      </c>
      <c r="EF50" s="34">
        <f>IF(AND(EF$5&gt;$E50,EF$5&lt;=$F50),IF(EF$5=$E50+1,$C50,""),"")</f>
        <v/>
      </c>
      <c r="EG50" s="34">
        <f>IF(AND(EG$5&gt;$E50,EG$5&lt;=$F50),IF(EG$5=$E50+1,$C50,""),"")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c r="CT51" s="34">
        <f>IF(AND(CT$5&gt;$E51,CT$5&lt;=$F51),IF(CT$5=$E51+1,$C51,""),"")</f>
        <v/>
      </c>
      <c r="CU51" s="34">
        <f>IF(AND(CU$5&gt;$E51,CU$5&lt;=$F51),IF(CU$5=$E51+1,$C51,""),"")</f>
        <v/>
      </c>
      <c r="CV51" s="34">
        <f>IF(AND(CV$5&gt;$E51,CV$5&lt;=$F51),IF(CV$5=$E51+1,$C51,""),"")</f>
        <v/>
      </c>
      <c r="CW51" s="34">
        <f>IF(AND(CW$5&gt;$E51,CW$5&lt;=$F51),IF(CW$5=$E51+1,$C51,""),"")</f>
        <v/>
      </c>
      <c r="CX51" s="34">
        <f>IF(AND(CX$5&gt;$E51,CX$5&lt;=$F51),IF(CX$5=$E51+1,$C51,""),"")</f>
        <v/>
      </c>
      <c r="CY51" s="34">
        <f>IF(AND(CY$5&gt;$E51,CY$5&lt;=$F51),IF(CY$5=$E51+1,$C51,""),"")</f>
        <v/>
      </c>
      <c r="CZ51" s="34">
        <f>IF(AND(CZ$5&gt;$E51,CZ$5&lt;=$F51),IF(CZ$5=$E51+1,$C51,""),"")</f>
        <v/>
      </c>
      <c r="DA51" s="34">
        <f>IF(AND(DA$5&gt;$E51,DA$5&lt;=$F51),IF(DA$5=$E51+1,$C51,""),"")</f>
        <v/>
      </c>
      <c r="DB51" s="34">
        <f>IF(AND(DB$5&gt;$E51,DB$5&lt;=$F51),IF(DB$5=$E51+1,$C51,""),"")</f>
        <v/>
      </c>
      <c r="DC51" s="34">
        <f>IF(AND(DC$5&gt;$E51,DC$5&lt;=$F51),IF(DC$5=$E51+1,$C51,""),"")</f>
        <v/>
      </c>
      <c r="DD51" s="34">
        <f>IF(AND(DD$5&gt;$E51,DD$5&lt;=$F51),IF(DD$5=$E51+1,$C51,""),"")</f>
        <v/>
      </c>
      <c r="DE51" s="34">
        <f>IF(AND(DE$5&gt;$E51,DE$5&lt;=$F51),IF(DE$5=$E51+1,$C51,""),"")</f>
        <v/>
      </c>
      <c r="DF51" s="34">
        <f>IF(AND(DF$5&gt;$E51,DF$5&lt;=$F51),IF(DF$5=$E51+1,$C51,""),"")</f>
        <v/>
      </c>
      <c r="DG51" s="34">
        <f>IF(AND(DG$5&gt;$E51,DG$5&lt;=$F51),IF(DG$5=$E51+1,$C51,""),"")</f>
        <v/>
      </c>
      <c r="DH51" s="34">
        <f>IF(AND(DH$5&gt;$E51,DH$5&lt;=$F51),IF(DH$5=$E51+1,$C51,""),"")</f>
        <v/>
      </c>
      <c r="DI51" s="34">
        <f>IF(AND(DI$5&gt;$E51,DI$5&lt;=$F51),IF(DI$5=$E51+1,$C51,""),"")</f>
        <v/>
      </c>
      <c r="DJ51" s="34">
        <f>IF(AND(DJ$5&gt;$E51,DJ$5&lt;=$F51),IF(DJ$5=$E51+1,$C51,""),"")</f>
        <v/>
      </c>
      <c r="DK51" s="34">
        <f>IF(AND(DK$5&gt;$E51,DK$5&lt;=$F51),IF(DK$5=$E51+1,$C51,""),"")</f>
        <v/>
      </c>
      <c r="DL51" s="34">
        <f>IF(AND(DL$5&gt;$E51,DL$5&lt;=$F51),IF(DL$5=$E51+1,$C51,""),"")</f>
        <v/>
      </c>
      <c r="DM51" s="34">
        <f>IF(AND(DM$5&gt;$E51,DM$5&lt;=$F51),IF(DM$5=$E51+1,$C51,""),"")</f>
        <v/>
      </c>
      <c r="DN51" s="34">
        <f>IF(AND(DN$5&gt;$E51,DN$5&lt;=$F51),IF(DN$5=$E51+1,$C51,""),"")</f>
        <v/>
      </c>
      <c r="DO51" s="34">
        <f>IF(AND(DO$5&gt;$E51,DO$5&lt;=$F51),IF(DO$5=$E51+1,$C51,""),"")</f>
        <v/>
      </c>
      <c r="DP51" s="34">
        <f>IF(AND(DP$5&gt;$E51,DP$5&lt;=$F51),IF(DP$5=$E51+1,$C51,""),"")</f>
        <v/>
      </c>
      <c r="DQ51" s="34">
        <f>IF(AND(DQ$5&gt;$E51,DQ$5&lt;=$F51),IF(DQ$5=$E51+1,$C51,""),"")</f>
        <v/>
      </c>
      <c r="DR51" s="34">
        <f>IF(AND(DR$5&gt;$E51,DR$5&lt;=$F51),IF(DR$5=$E51+1,$C51,""),"")</f>
        <v/>
      </c>
      <c r="DS51" s="34">
        <f>IF(AND(DS$5&gt;$E51,DS$5&lt;=$F51),IF(DS$5=$E51+1,$C51,""),"")</f>
        <v/>
      </c>
      <c r="DT51" s="34">
        <f>IF(AND(DT$5&gt;$E51,DT$5&lt;=$F51),IF(DT$5=$E51+1,$C51,""),"")</f>
        <v/>
      </c>
      <c r="DU51" s="34">
        <f>IF(AND(DU$5&gt;$E51,DU$5&lt;=$F51),IF(DU$5=$E51+1,$C51,""),"")</f>
        <v/>
      </c>
      <c r="DV51" s="34">
        <f>IF(AND(DV$5&gt;$E51,DV$5&lt;=$F51),IF(DV$5=$E51+1,$C51,""),"")</f>
        <v/>
      </c>
      <c r="DW51" s="34">
        <f>IF(AND(DW$5&gt;$E51,DW$5&lt;=$F51),IF(DW$5=$E51+1,$C51,""),"")</f>
        <v/>
      </c>
      <c r="DX51" s="34">
        <f>IF(AND(DX$5&gt;$E51,DX$5&lt;=$F51),IF(DX$5=$E51+1,$C51,""),"")</f>
        <v/>
      </c>
      <c r="DY51" s="34">
        <f>IF(AND(DY$5&gt;$E51,DY$5&lt;=$F51),IF(DY$5=$E51+1,$C51,""),"")</f>
        <v/>
      </c>
      <c r="DZ51" s="34">
        <f>IF(AND(DZ$5&gt;$E51,DZ$5&lt;=$F51),IF(DZ$5=$E51+1,$C51,""),"")</f>
        <v/>
      </c>
      <c r="EA51" s="34">
        <f>IF(AND(EA$5&gt;$E51,EA$5&lt;=$F51),IF(EA$5=$E51+1,$C51,""),"")</f>
        <v/>
      </c>
      <c r="EB51" s="34">
        <f>IF(AND(EB$5&gt;$E51,EB$5&lt;=$F51),IF(EB$5=$E51+1,$C51,""),"")</f>
        <v/>
      </c>
      <c r="EC51" s="34">
        <f>IF(AND(EC$5&gt;$E51,EC$5&lt;=$F51),IF(EC$5=$E51+1,$C51,""),"")</f>
        <v/>
      </c>
      <c r="ED51" s="34">
        <f>IF(AND(ED$5&gt;$E51,ED$5&lt;=$F51),IF(ED$5=$E51+1,$C51,""),"")</f>
        <v/>
      </c>
      <c r="EE51" s="34">
        <f>IF(AND(EE$5&gt;$E51,EE$5&lt;=$F51),IF(EE$5=$E51+1,$C51,""),"")</f>
        <v/>
      </c>
      <c r="EF51" s="34">
        <f>IF(AND(EF$5&gt;$E51,EF$5&lt;=$F51),IF(EF$5=$E51+1,$C51,""),"")</f>
        <v/>
      </c>
      <c r="EG51" s="34">
        <f>IF(AND(EG$5&gt;$E51,EG$5&lt;=$F51),IF(EG$5=$E51+1,$C51,""),"")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c r="CT52" s="34">
        <f>IF(AND(CT$5&gt;$E52,CT$5&lt;=$F52),IF(CT$5=$E52+1,$C52,""),"")</f>
        <v/>
      </c>
      <c r="CU52" s="34">
        <f>IF(AND(CU$5&gt;$E52,CU$5&lt;=$F52),IF(CU$5=$E52+1,$C52,""),"")</f>
        <v/>
      </c>
      <c r="CV52" s="34">
        <f>IF(AND(CV$5&gt;$E52,CV$5&lt;=$F52),IF(CV$5=$E52+1,$C52,""),"")</f>
        <v/>
      </c>
      <c r="CW52" s="34">
        <f>IF(AND(CW$5&gt;$E52,CW$5&lt;=$F52),IF(CW$5=$E52+1,$C52,""),"")</f>
        <v/>
      </c>
      <c r="CX52" s="34">
        <f>IF(AND(CX$5&gt;$E52,CX$5&lt;=$F52),IF(CX$5=$E52+1,$C52,""),"")</f>
        <v/>
      </c>
      <c r="CY52" s="34">
        <f>IF(AND(CY$5&gt;$E52,CY$5&lt;=$F52),IF(CY$5=$E52+1,$C52,""),"")</f>
        <v/>
      </c>
      <c r="CZ52" s="34">
        <f>IF(AND(CZ$5&gt;$E52,CZ$5&lt;=$F52),IF(CZ$5=$E52+1,$C52,""),"")</f>
        <v/>
      </c>
      <c r="DA52" s="34">
        <f>IF(AND(DA$5&gt;$E52,DA$5&lt;=$F52),IF(DA$5=$E52+1,$C52,""),"")</f>
        <v/>
      </c>
      <c r="DB52" s="34">
        <f>IF(AND(DB$5&gt;$E52,DB$5&lt;=$F52),IF(DB$5=$E52+1,$C52,""),"")</f>
        <v/>
      </c>
      <c r="DC52" s="34">
        <f>IF(AND(DC$5&gt;$E52,DC$5&lt;=$F52),IF(DC$5=$E52+1,$C52,""),"")</f>
        <v/>
      </c>
      <c r="DD52" s="34">
        <f>IF(AND(DD$5&gt;$E52,DD$5&lt;=$F52),IF(DD$5=$E52+1,$C52,""),"")</f>
        <v/>
      </c>
      <c r="DE52" s="34">
        <f>IF(AND(DE$5&gt;$E52,DE$5&lt;=$F52),IF(DE$5=$E52+1,$C52,""),"")</f>
        <v/>
      </c>
      <c r="DF52" s="34">
        <f>IF(AND(DF$5&gt;$E52,DF$5&lt;=$F52),IF(DF$5=$E52+1,$C52,""),"")</f>
        <v/>
      </c>
      <c r="DG52" s="34">
        <f>IF(AND(DG$5&gt;$E52,DG$5&lt;=$F52),IF(DG$5=$E52+1,$C52,""),"")</f>
        <v/>
      </c>
      <c r="DH52" s="34">
        <f>IF(AND(DH$5&gt;$E52,DH$5&lt;=$F52),IF(DH$5=$E52+1,$C52,""),"")</f>
        <v/>
      </c>
      <c r="DI52" s="34">
        <f>IF(AND(DI$5&gt;$E52,DI$5&lt;=$F52),IF(DI$5=$E52+1,$C52,""),"")</f>
        <v/>
      </c>
      <c r="DJ52" s="34">
        <f>IF(AND(DJ$5&gt;$E52,DJ$5&lt;=$F52),IF(DJ$5=$E52+1,$C52,""),"")</f>
        <v/>
      </c>
      <c r="DK52" s="34">
        <f>IF(AND(DK$5&gt;$E52,DK$5&lt;=$F52),IF(DK$5=$E52+1,$C52,""),"")</f>
        <v/>
      </c>
      <c r="DL52" s="34">
        <f>IF(AND(DL$5&gt;$E52,DL$5&lt;=$F52),IF(DL$5=$E52+1,$C52,""),"")</f>
        <v/>
      </c>
      <c r="DM52" s="34">
        <f>IF(AND(DM$5&gt;$E52,DM$5&lt;=$F52),IF(DM$5=$E52+1,$C52,""),"")</f>
        <v/>
      </c>
      <c r="DN52" s="34">
        <f>IF(AND(DN$5&gt;$E52,DN$5&lt;=$F52),IF(DN$5=$E52+1,$C52,""),"")</f>
        <v/>
      </c>
      <c r="DO52" s="34">
        <f>IF(AND(DO$5&gt;$E52,DO$5&lt;=$F52),IF(DO$5=$E52+1,$C52,""),"")</f>
        <v/>
      </c>
      <c r="DP52" s="34">
        <f>IF(AND(DP$5&gt;$E52,DP$5&lt;=$F52),IF(DP$5=$E52+1,$C52,""),"")</f>
        <v/>
      </c>
      <c r="DQ52" s="34">
        <f>IF(AND(DQ$5&gt;$E52,DQ$5&lt;=$F52),IF(DQ$5=$E52+1,$C52,""),"")</f>
        <v/>
      </c>
      <c r="DR52" s="34">
        <f>IF(AND(DR$5&gt;$E52,DR$5&lt;=$F52),IF(DR$5=$E52+1,$C52,""),"")</f>
        <v/>
      </c>
      <c r="DS52" s="34">
        <f>IF(AND(DS$5&gt;$E52,DS$5&lt;=$F52),IF(DS$5=$E52+1,$C52,""),"")</f>
        <v/>
      </c>
      <c r="DT52" s="34">
        <f>IF(AND(DT$5&gt;$E52,DT$5&lt;=$F52),IF(DT$5=$E52+1,$C52,""),"")</f>
        <v/>
      </c>
      <c r="DU52" s="34">
        <f>IF(AND(DU$5&gt;$E52,DU$5&lt;=$F52),IF(DU$5=$E52+1,$C52,""),"")</f>
        <v/>
      </c>
      <c r="DV52" s="34">
        <f>IF(AND(DV$5&gt;$E52,DV$5&lt;=$F52),IF(DV$5=$E52+1,$C52,""),"")</f>
        <v/>
      </c>
      <c r="DW52" s="34">
        <f>IF(AND(DW$5&gt;$E52,DW$5&lt;=$F52),IF(DW$5=$E52+1,$C52,""),"")</f>
        <v/>
      </c>
      <c r="DX52" s="34">
        <f>IF(AND(DX$5&gt;$E52,DX$5&lt;=$F52),IF(DX$5=$E52+1,$C52,""),"")</f>
        <v/>
      </c>
      <c r="DY52" s="34">
        <f>IF(AND(DY$5&gt;$E52,DY$5&lt;=$F52),IF(DY$5=$E52+1,$C52,""),"")</f>
        <v/>
      </c>
      <c r="DZ52" s="34">
        <f>IF(AND(DZ$5&gt;$E52,DZ$5&lt;=$F52),IF(DZ$5=$E52+1,$C52,""),"")</f>
        <v/>
      </c>
      <c r="EA52" s="34">
        <f>IF(AND(EA$5&gt;$E52,EA$5&lt;=$F52),IF(EA$5=$E52+1,$C52,""),"")</f>
        <v/>
      </c>
      <c r="EB52" s="34">
        <f>IF(AND(EB$5&gt;$E52,EB$5&lt;=$F52),IF(EB$5=$E52+1,$C52,""),"")</f>
        <v/>
      </c>
      <c r="EC52" s="34">
        <f>IF(AND(EC$5&gt;$E52,EC$5&lt;=$F52),IF(EC$5=$E52+1,$C52,""),"")</f>
        <v/>
      </c>
      <c r="ED52" s="34">
        <f>IF(AND(ED$5&gt;$E52,ED$5&lt;=$F52),IF(ED$5=$E52+1,$C52,""),"")</f>
        <v/>
      </c>
      <c r="EE52" s="34">
        <f>IF(AND(EE$5&gt;$E52,EE$5&lt;=$F52),IF(EE$5=$E52+1,$C52,""),"")</f>
        <v/>
      </c>
      <c r="EF52" s="34">
        <f>IF(AND(EF$5&gt;$E52,EF$5&lt;=$F52),IF(EF$5=$E52+1,$C52,""),"")</f>
        <v/>
      </c>
      <c r="EG52" s="34">
        <f>IF(AND(EG$5&gt;$E52,EG$5&lt;=$F52),IF(EG$5=$E52+1,$C52,""),"")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c r="CT53" s="34">
        <f>IF(AND(CT$5&gt;$E53,CT$5&lt;=$F53),IF(CT$5=$E53+1,$C53,""),"")</f>
        <v/>
      </c>
      <c r="CU53" s="34">
        <f>IF(AND(CU$5&gt;$E53,CU$5&lt;=$F53),IF(CU$5=$E53+1,$C53,""),"")</f>
        <v/>
      </c>
      <c r="CV53" s="34">
        <f>IF(AND(CV$5&gt;$E53,CV$5&lt;=$F53),IF(CV$5=$E53+1,$C53,""),"")</f>
        <v/>
      </c>
      <c r="CW53" s="34">
        <f>IF(AND(CW$5&gt;$E53,CW$5&lt;=$F53),IF(CW$5=$E53+1,$C53,""),"")</f>
        <v/>
      </c>
      <c r="CX53" s="34">
        <f>IF(AND(CX$5&gt;$E53,CX$5&lt;=$F53),IF(CX$5=$E53+1,$C53,""),"")</f>
        <v/>
      </c>
      <c r="CY53" s="34">
        <f>IF(AND(CY$5&gt;$E53,CY$5&lt;=$F53),IF(CY$5=$E53+1,$C53,""),"")</f>
        <v/>
      </c>
      <c r="CZ53" s="34">
        <f>IF(AND(CZ$5&gt;$E53,CZ$5&lt;=$F53),IF(CZ$5=$E53+1,$C53,""),"")</f>
        <v/>
      </c>
      <c r="DA53" s="34">
        <f>IF(AND(DA$5&gt;$E53,DA$5&lt;=$F53),IF(DA$5=$E53+1,$C53,""),"")</f>
        <v/>
      </c>
      <c r="DB53" s="34">
        <f>IF(AND(DB$5&gt;$E53,DB$5&lt;=$F53),IF(DB$5=$E53+1,$C53,""),"")</f>
        <v/>
      </c>
      <c r="DC53" s="34">
        <f>IF(AND(DC$5&gt;$E53,DC$5&lt;=$F53),IF(DC$5=$E53+1,$C53,""),"")</f>
        <v/>
      </c>
      <c r="DD53" s="34">
        <f>IF(AND(DD$5&gt;$E53,DD$5&lt;=$F53),IF(DD$5=$E53+1,$C53,""),"")</f>
        <v/>
      </c>
      <c r="DE53" s="34">
        <f>IF(AND(DE$5&gt;$E53,DE$5&lt;=$F53),IF(DE$5=$E53+1,$C53,""),"")</f>
        <v/>
      </c>
      <c r="DF53" s="34">
        <f>IF(AND(DF$5&gt;$E53,DF$5&lt;=$F53),IF(DF$5=$E53+1,$C53,""),"")</f>
        <v/>
      </c>
      <c r="DG53" s="34">
        <f>IF(AND(DG$5&gt;$E53,DG$5&lt;=$F53),IF(DG$5=$E53+1,$C53,""),"")</f>
        <v/>
      </c>
      <c r="DH53" s="34">
        <f>IF(AND(DH$5&gt;$E53,DH$5&lt;=$F53),IF(DH$5=$E53+1,$C53,""),"")</f>
        <v/>
      </c>
      <c r="DI53" s="34">
        <f>IF(AND(DI$5&gt;$E53,DI$5&lt;=$F53),IF(DI$5=$E53+1,$C53,""),"")</f>
        <v/>
      </c>
      <c r="DJ53" s="34">
        <f>IF(AND(DJ$5&gt;$E53,DJ$5&lt;=$F53),IF(DJ$5=$E53+1,$C53,""),"")</f>
        <v/>
      </c>
      <c r="DK53" s="34">
        <f>IF(AND(DK$5&gt;$E53,DK$5&lt;=$F53),IF(DK$5=$E53+1,$C53,""),"")</f>
        <v/>
      </c>
      <c r="DL53" s="34">
        <f>IF(AND(DL$5&gt;$E53,DL$5&lt;=$F53),IF(DL$5=$E53+1,$C53,""),"")</f>
        <v/>
      </c>
      <c r="DM53" s="34">
        <f>IF(AND(DM$5&gt;$E53,DM$5&lt;=$F53),IF(DM$5=$E53+1,$C53,""),"")</f>
        <v/>
      </c>
      <c r="DN53" s="34">
        <f>IF(AND(DN$5&gt;$E53,DN$5&lt;=$F53),IF(DN$5=$E53+1,$C53,""),"")</f>
        <v/>
      </c>
      <c r="DO53" s="34">
        <f>IF(AND(DO$5&gt;$E53,DO$5&lt;=$F53),IF(DO$5=$E53+1,$C53,""),"")</f>
        <v/>
      </c>
      <c r="DP53" s="34">
        <f>IF(AND(DP$5&gt;$E53,DP$5&lt;=$F53),IF(DP$5=$E53+1,$C53,""),"")</f>
        <v/>
      </c>
      <c r="DQ53" s="34">
        <f>IF(AND(DQ$5&gt;$E53,DQ$5&lt;=$F53),IF(DQ$5=$E53+1,$C53,""),"")</f>
        <v/>
      </c>
      <c r="DR53" s="34">
        <f>IF(AND(DR$5&gt;$E53,DR$5&lt;=$F53),IF(DR$5=$E53+1,$C53,""),"")</f>
        <v/>
      </c>
      <c r="DS53" s="34">
        <f>IF(AND(DS$5&gt;$E53,DS$5&lt;=$F53),IF(DS$5=$E53+1,$C53,""),"")</f>
        <v/>
      </c>
      <c r="DT53" s="34">
        <f>IF(AND(DT$5&gt;$E53,DT$5&lt;=$F53),IF(DT$5=$E53+1,$C53,""),"")</f>
        <v/>
      </c>
      <c r="DU53" s="34">
        <f>IF(AND(DU$5&gt;$E53,DU$5&lt;=$F53),IF(DU$5=$E53+1,$C53,""),"")</f>
        <v/>
      </c>
      <c r="DV53" s="34">
        <f>IF(AND(DV$5&gt;$E53,DV$5&lt;=$F53),IF(DV$5=$E53+1,$C53,""),"")</f>
        <v/>
      </c>
      <c r="DW53" s="34">
        <f>IF(AND(DW$5&gt;$E53,DW$5&lt;=$F53),IF(DW$5=$E53+1,$C53,""),"")</f>
        <v/>
      </c>
      <c r="DX53" s="34">
        <f>IF(AND(DX$5&gt;$E53,DX$5&lt;=$F53),IF(DX$5=$E53+1,$C53,""),"")</f>
        <v/>
      </c>
      <c r="DY53" s="34">
        <f>IF(AND(DY$5&gt;$E53,DY$5&lt;=$F53),IF(DY$5=$E53+1,$C53,""),"")</f>
        <v/>
      </c>
      <c r="DZ53" s="34">
        <f>IF(AND(DZ$5&gt;$E53,DZ$5&lt;=$F53),IF(DZ$5=$E53+1,$C53,""),"")</f>
        <v/>
      </c>
      <c r="EA53" s="34">
        <f>IF(AND(EA$5&gt;$E53,EA$5&lt;=$F53),IF(EA$5=$E53+1,$C53,""),"")</f>
        <v/>
      </c>
      <c r="EB53" s="34">
        <f>IF(AND(EB$5&gt;$E53,EB$5&lt;=$F53),IF(EB$5=$E53+1,$C53,""),"")</f>
        <v/>
      </c>
      <c r="EC53" s="34">
        <f>IF(AND(EC$5&gt;$E53,EC$5&lt;=$F53),IF(EC$5=$E53+1,$C53,""),"")</f>
        <v/>
      </c>
      <c r="ED53" s="34">
        <f>IF(AND(ED$5&gt;$E53,ED$5&lt;=$F53),IF(ED$5=$E53+1,$C53,""),"")</f>
        <v/>
      </c>
      <c r="EE53" s="34">
        <f>IF(AND(EE$5&gt;$E53,EE$5&lt;=$F53),IF(EE$5=$E53+1,$C53,""),"")</f>
        <v/>
      </c>
      <c r="EF53" s="34">
        <f>IF(AND(EF$5&gt;$E53,EF$5&lt;=$F53),IF(EF$5=$E53+1,$C53,""),"")</f>
        <v/>
      </c>
      <c r="EG53" s="34">
        <f>IF(AND(EG$5&gt;$E53,EG$5&lt;=$F53),IF(EG$5=$E53+1,$C53,""),"")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c r="CT54" s="34">
        <f>IF(AND(CT$5&gt;$E54,CT$5&lt;=$F54),IF(CT$5=$E54+1,$C54,""),"")</f>
        <v/>
      </c>
      <c r="CU54" s="34">
        <f>IF(AND(CU$5&gt;$E54,CU$5&lt;=$F54),IF(CU$5=$E54+1,$C54,""),"")</f>
        <v/>
      </c>
      <c r="CV54" s="34">
        <f>IF(AND(CV$5&gt;$E54,CV$5&lt;=$F54),IF(CV$5=$E54+1,$C54,""),"")</f>
        <v/>
      </c>
      <c r="CW54" s="34">
        <f>IF(AND(CW$5&gt;$E54,CW$5&lt;=$F54),IF(CW$5=$E54+1,$C54,""),"")</f>
        <v/>
      </c>
      <c r="CX54" s="34">
        <f>IF(AND(CX$5&gt;$E54,CX$5&lt;=$F54),IF(CX$5=$E54+1,$C54,""),"")</f>
        <v/>
      </c>
      <c r="CY54" s="34">
        <f>IF(AND(CY$5&gt;$E54,CY$5&lt;=$F54),IF(CY$5=$E54+1,$C54,""),"")</f>
        <v/>
      </c>
      <c r="CZ54" s="34">
        <f>IF(AND(CZ$5&gt;$E54,CZ$5&lt;=$F54),IF(CZ$5=$E54+1,$C54,""),"")</f>
        <v/>
      </c>
      <c r="DA54" s="34">
        <f>IF(AND(DA$5&gt;$E54,DA$5&lt;=$F54),IF(DA$5=$E54+1,$C54,""),"")</f>
        <v/>
      </c>
      <c r="DB54" s="34">
        <f>IF(AND(DB$5&gt;$E54,DB$5&lt;=$F54),IF(DB$5=$E54+1,$C54,""),"")</f>
        <v/>
      </c>
      <c r="DC54" s="34">
        <f>IF(AND(DC$5&gt;$E54,DC$5&lt;=$F54),IF(DC$5=$E54+1,$C54,""),"")</f>
        <v/>
      </c>
      <c r="DD54" s="34">
        <f>IF(AND(DD$5&gt;$E54,DD$5&lt;=$F54),IF(DD$5=$E54+1,$C54,""),"")</f>
        <v/>
      </c>
      <c r="DE54" s="34">
        <f>IF(AND(DE$5&gt;$E54,DE$5&lt;=$F54),IF(DE$5=$E54+1,$C54,""),"")</f>
        <v/>
      </c>
      <c r="DF54" s="34">
        <f>IF(AND(DF$5&gt;$E54,DF$5&lt;=$F54),IF(DF$5=$E54+1,$C54,""),"")</f>
        <v/>
      </c>
      <c r="DG54" s="34">
        <f>IF(AND(DG$5&gt;$E54,DG$5&lt;=$F54),IF(DG$5=$E54+1,$C54,""),"")</f>
        <v/>
      </c>
      <c r="DH54" s="34">
        <f>IF(AND(DH$5&gt;$E54,DH$5&lt;=$F54),IF(DH$5=$E54+1,$C54,""),"")</f>
        <v/>
      </c>
      <c r="DI54" s="34">
        <f>IF(AND(DI$5&gt;$E54,DI$5&lt;=$F54),IF(DI$5=$E54+1,$C54,""),"")</f>
        <v/>
      </c>
      <c r="DJ54" s="34">
        <f>IF(AND(DJ$5&gt;$E54,DJ$5&lt;=$F54),IF(DJ$5=$E54+1,$C54,""),"")</f>
        <v/>
      </c>
      <c r="DK54" s="34">
        <f>IF(AND(DK$5&gt;$E54,DK$5&lt;=$F54),IF(DK$5=$E54+1,$C54,""),"")</f>
        <v/>
      </c>
      <c r="DL54" s="34">
        <f>IF(AND(DL$5&gt;$E54,DL$5&lt;=$F54),IF(DL$5=$E54+1,$C54,""),"")</f>
        <v/>
      </c>
      <c r="DM54" s="34">
        <f>IF(AND(DM$5&gt;$E54,DM$5&lt;=$F54),IF(DM$5=$E54+1,$C54,""),"")</f>
        <v/>
      </c>
      <c r="DN54" s="34">
        <f>IF(AND(DN$5&gt;$E54,DN$5&lt;=$F54),IF(DN$5=$E54+1,$C54,""),"")</f>
        <v/>
      </c>
      <c r="DO54" s="34">
        <f>IF(AND(DO$5&gt;$E54,DO$5&lt;=$F54),IF(DO$5=$E54+1,$C54,""),"")</f>
        <v/>
      </c>
      <c r="DP54" s="34">
        <f>IF(AND(DP$5&gt;$E54,DP$5&lt;=$F54),IF(DP$5=$E54+1,$C54,""),"")</f>
        <v/>
      </c>
      <c r="DQ54" s="34">
        <f>IF(AND(DQ$5&gt;$E54,DQ$5&lt;=$F54),IF(DQ$5=$E54+1,$C54,""),"")</f>
        <v/>
      </c>
      <c r="DR54" s="34">
        <f>IF(AND(DR$5&gt;$E54,DR$5&lt;=$F54),IF(DR$5=$E54+1,$C54,""),"")</f>
        <v/>
      </c>
      <c r="DS54" s="34">
        <f>IF(AND(DS$5&gt;$E54,DS$5&lt;=$F54),IF(DS$5=$E54+1,$C54,""),"")</f>
        <v/>
      </c>
      <c r="DT54" s="34">
        <f>IF(AND(DT$5&gt;$E54,DT$5&lt;=$F54),IF(DT$5=$E54+1,$C54,""),"")</f>
        <v/>
      </c>
      <c r="DU54" s="34">
        <f>IF(AND(DU$5&gt;$E54,DU$5&lt;=$F54),IF(DU$5=$E54+1,$C54,""),"")</f>
        <v/>
      </c>
      <c r="DV54" s="34">
        <f>IF(AND(DV$5&gt;$E54,DV$5&lt;=$F54),IF(DV$5=$E54+1,$C54,""),"")</f>
        <v/>
      </c>
      <c r="DW54" s="34">
        <f>IF(AND(DW$5&gt;$E54,DW$5&lt;=$F54),IF(DW$5=$E54+1,$C54,""),"")</f>
        <v/>
      </c>
      <c r="DX54" s="34">
        <f>IF(AND(DX$5&gt;$E54,DX$5&lt;=$F54),IF(DX$5=$E54+1,$C54,""),"")</f>
        <v/>
      </c>
      <c r="DY54" s="34">
        <f>IF(AND(DY$5&gt;$E54,DY$5&lt;=$F54),IF(DY$5=$E54+1,$C54,""),"")</f>
        <v/>
      </c>
      <c r="DZ54" s="34">
        <f>IF(AND(DZ$5&gt;$E54,DZ$5&lt;=$F54),IF(DZ$5=$E54+1,$C54,""),"")</f>
        <v/>
      </c>
      <c r="EA54" s="34">
        <f>IF(AND(EA$5&gt;$E54,EA$5&lt;=$F54),IF(EA$5=$E54+1,$C54,""),"")</f>
        <v/>
      </c>
      <c r="EB54" s="34">
        <f>IF(AND(EB$5&gt;$E54,EB$5&lt;=$F54),IF(EB$5=$E54+1,$C54,""),"")</f>
        <v/>
      </c>
      <c r="EC54" s="34">
        <f>IF(AND(EC$5&gt;$E54,EC$5&lt;=$F54),IF(EC$5=$E54+1,$C54,""),"")</f>
        <v/>
      </c>
      <c r="ED54" s="34">
        <f>IF(AND(ED$5&gt;$E54,ED$5&lt;=$F54),IF(ED$5=$E54+1,$C54,""),"")</f>
        <v/>
      </c>
      <c r="EE54" s="34">
        <f>IF(AND(EE$5&gt;$E54,EE$5&lt;=$F54),IF(EE$5=$E54+1,$C54,""),"")</f>
        <v/>
      </c>
      <c r="EF54" s="34">
        <f>IF(AND(EF$5&gt;$E54,EF$5&lt;=$F54),IF(EF$5=$E54+1,$C54,""),"")</f>
        <v/>
      </c>
      <c r="EG54" s="34">
        <f>IF(AND(EG$5&gt;$E54,EG$5&lt;=$F54),IF(EG$5=$E54+1,$C54,""),"")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c r="CT55" s="34">
        <f>IF(AND(CT$5&gt;$E55,CT$5&lt;=$F55),IF(CT$5=$E55+1,$C55,""),"")</f>
        <v/>
      </c>
      <c r="CU55" s="34">
        <f>IF(AND(CU$5&gt;$E55,CU$5&lt;=$F55),IF(CU$5=$E55+1,$C55,""),"")</f>
        <v/>
      </c>
      <c r="CV55" s="34">
        <f>IF(AND(CV$5&gt;$E55,CV$5&lt;=$F55),IF(CV$5=$E55+1,$C55,""),"")</f>
        <v/>
      </c>
      <c r="CW55" s="34">
        <f>IF(AND(CW$5&gt;$E55,CW$5&lt;=$F55),IF(CW$5=$E55+1,$C55,""),"")</f>
        <v/>
      </c>
      <c r="CX55" s="34">
        <f>IF(AND(CX$5&gt;$E55,CX$5&lt;=$F55),IF(CX$5=$E55+1,$C55,""),"")</f>
        <v/>
      </c>
      <c r="CY55" s="34">
        <f>IF(AND(CY$5&gt;$E55,CY$5&lt;=$F55),IF(CY$5=$E55+1,$C55,""),"")</f>
        <v/>
      </c>
      <c r="CZ55" s="34">
        <f>IF(AND(CZ$5&gt;$E55,CZ$5&lt;=$F55),IF(CZ$5=$E55+1,$C55,""),"")</f>
        <v/>
      </c>
      <c r="DA55" s="34">
        <f>IF(AND(DA$5&gt;$E55,DA$5&lt;=$F55),IF(DA$5=$E55+1,$C55,""),"")</f>
        <v/>
      </c>
      <c r="DB55" s="34">
        <f>IF(AND(DB$5&gt;$E55,DB$5&lt;=$F55),IF(DB$5=$E55+1,$C55,""),"")</f>
        <v/>
      </c>
      <c r="DC55" s="34">
        <f>IF(AND(DC$5&gt;$E55,DC$5&lt;=$F55),IF(DC$5=$E55+1,$C55,""),"")</f>
        <v/>
      </c>
      <c r="DD55" s="34">
        <f>IF(AND(DD$5&gt;$E55,DD$5&lt;=$F55),IF(DD$5=$E55+1,$C55,""),"")</f>
        <v/>
      </c>
      <c r="DE55" s="34">
        <f>IF(AND(DE$5&gt;$E55,DE$5&lt;=$F55),IF(DE$5=$E55+1,$C55,""),"")</f>
        <v/>
      </c>
      <c r="DF55" s="34">
        <f>IF(AND(DF$5&gt;$E55,DF$5&lt;=$F55),IF(DF$5=$E55+1,$C55,""),"")</f>
        <v/>
      </c>
      <c r="DG55" s="34">
        <f>IF(AND(DG$5&gt;$E55,DG$5&lt;=$F55),IF(DG$5=$E55+1,$C55,""),"")</f>
        <v/>
      </c>
      <c r="DH55" s="34">
        <f>IF(AND(DH$5&gt;$E55,DH$5&lt;=$F55),IF(DH$5=$E55+1,$C55,""),"")</f>
        <v/>
      </c>
      <c r="DI55" s="34">
        <f>IF(AND(DI$5&gt;$E55,DI$5&lt;=$F55),IF(DI$5=$E55+1,$C55,""),"")</f>
        <v/>
      </c>
      <c r="DJ55" s="34">
        <f>IF(AND(DJ$5&gt;$E55,DJ$5&lt;=$F55),IF(DJ$5=$E55+1,$C55,""),"")</f>
        <v/>
      </c>
      <c r="DK55" s="34">
        <f>IF(AND(DK$5&gt;$E55,DK$5&lt;=$F55),IF(DK$5=$E55+1,$C55,""),"")</f>
        <v/>
      </c>
      <c r="DL55" s="34">
        <f>IF(AND(DL$5&gt;$E55,DL$5&lt;=$F55),IF(DL$5=$E55+1,$C55,""),"")</f>
        <v/>
      </c>
      <c r="DM55" s="34">
        <f>IF(AND(DM$5&gt;$E55,DM$5&lt;=$F55),IF(DM$5=$E55+1,$C55,""),"")</f>
        <v/>
      </c>
      <c r="DN55" s="34">
        <f>IF(AND(DN$5&gt;$E55,DN$5&lt;=$F55),IF(DN$5=$E55+1,$C55,""),"")</f>
        <v/>
      </c>
      <c r="DO55" s="34">
        <f>IF(AND(DO$5&gt;$E55,DO$5&lt;=$F55),IF(DO$5=$E55+1,$C55,""),"")</f>
        <v/>
      </c>
      <c r="DP55" s="34">
        <f>IF(AND(DP$5&gt;$E55,DP$5&lt;=$F55),IF(DP$5=$E55+1,$C55,""),"")</f>
        <v/>
      </c>
      <c r="DQ55" s="34">
        <f>IF(AND(DQ$5&gt;$E55,DQ$5&lt;=$F55),IF(DQ$5=$E55+1,$C55,""),"")</f>
        <v/>
      </c>
      <c r="DR55" s="34">
        <f>IF(AND(DR$5&gt;$E55,DR$5&lt;=$F55),IF(DR$5=$E55+1,$C55,""),"")</f>
        <v/>
      </c>
      <c r="DS55" s="34">
        <f>IF(AND(DS$5&gt;$E55,DS$5&lt;=$F55),IF(DS$5=$E55+1,$C55,""),"")</f>
        <v/>
      </c>
      <c r="DT55" s="34">
        <f>IF(AND(DT$5&gt;$E55,DT$5&lt;=$F55),IF(DT$5=$E55+1,$C55,""),"")</f>
        <v/>
      </c>
      <c r="DU55" s="34">
        <f>IF(AND(DU$5&gt;$E55,DU$5&lt;=$F55),IF(DU$5=$E55+1,$C55,""),"")</f>
        <v/>
      </c>
      <c r="DV55" s="34">
        <f>IF(AND(DV$5&gt;$E55,DV$5&lt;=$F55),IF(DV$5=$E55+1,$C55,""),"")</f>
        <v/>
      </c>
      <c r="DW55" s="34">
        <f>IF(AND(DW$5&gt;$E55,DW$5&lt;=$F55),IF(DW$5=$E55+1,$C55,""),"")</f>
        <v/>
      </c>
      <c r="DX55" s="34">
        <f>IF(AND(DX$5&gt;$E55,DX$5&lt;=$F55),IF(DX$5=$E55+1,$C55,""),"")</f>
        <v/>
      </c>
      <c r="DY55" s="34">
        <f>IF(AND(DY$5&gt;$E55,DY$5&lt;=$F55),IF(DY$5=$E55+1,$C55,""),"")</f>
        <v/>
      </c>
      <c r="DZ55" s="34">
        <f>IF(AND(DZ$5&gt;$E55,DZ$5&lt;=$F55),IF(DZ$5=$E55+1,$C55,""),"")</f>
        <v/>
      </c>
      <c r="EA55" s="34">
        <f>IF(AND(EA$5&gt;$E55,EA$5&lt;=$F55),IF(EA$5=$E55+1,$C55,""),"")</f>
        <v/>
      </c>
      <c r="EB55" s="34">
        <f>IF(AND(EB$5&gt;$E55,EB$5&lt;=$F55),IF(EB$5=$E55+1,$C55,""),"")</f>
        <v/>
      </c>
      <c r="EC55" s="34">
        <f>IF(AND(EC$5&gt;$E55,EC$5&lt;=$F55),IF(EC$5=$E55+1,$C55,""),"")</f>
        <v/>
      </c>
      <c r="ED55" s="34">
        <f>IF(AND(ED$5&gt;$E55,ED$5&lt;=$F55),IF(ED$5=$E55+1,$C55,""),"")</f>
        <v/>
      </c>
      <c r="EE55" s="34">
        <f>IF(AND(EE$5&gt;$E55,EE$5&lt;=$F55),IF(EE$5=$E55+1,$C55,""),"")</f>
        <v/>
      </c>
      <c r="EF55" s="34">
        <f>IF(AND(EF$5&gt;$E55,EF$5&lt;=$F55),IF(EF$5=$E55+1,$C55,""),"")</f>
        <v/>
      </c>
      <c r="EG55" s="34">
        <f>IF(AND(EG$5&gt;$E55,EG$5&lt;=$F55),IF(EG$5=$E55+1,$C55,""),"")</f>
        <v/>
      </c>
    </row>
    <row r="56">
      <c r="A56" s="32">
        <f>Plan!A77</f>
        <v/>
      </c>
      <c r="B56" s="33">
        <f>Plan!C77</f>
        <v/>
      </c>
      <c r="C56" s="16">
        <f>Plan!D77</f>
        <v/>
      </c>
      <c r="D56" s="16">
        <f>Plan!I77</f>
        <v/>
      </c>
      <c r="E56" s="16">
        <f>Plan!K77</f>
        <v/>
      </c>
      <c r="F56" s="16">
        <f>Plan!L77</f>
        <v/>
      </c>
      <c r="G56" s="16">
        <f>Plan!O77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c r="CJ56" s="34">
        <f>IF(AND(CJ$5&gt;$E56,CJ$5&lt;=$F56),IF(CJ$5=$E56+1,$C56,""),"")</f>
        <v/>
      </c>
      <c r="CK56" s="34">
        <f>IF(AND(CK$5&gt;$E56,CK$5&lt;=$F56),IF(CK$5=$E56+1,$C56,""),"")</f>
        <v/>
      </c>
      <c r="CL56" s="34">
        <f>IF(AND(CL$5&gt;$E56,CL$5&lt;=$F56),IF(CL$5=$E56+1,$C56,""),"")</f>
        <v/>
      </c>
      <c r="CM56" s="34">
        <f>IF(AND(CM$5&gt;$E56,CM$5&lt;=$F56),IF(CM$5=$E56+1,$C56,""),"")</f>
        <v/>
      </c>
      <c r="CN56" s="34">
        <f>IF(AND(CN$5&gt;$E56,CN$5&lt;=$F56),IF(CN$5=$E56+1,$C56,""),"")</f>
        <v/>
      </c>
      <c r="CO56" s="34">
        <f>IF(AND(CO$5&gt;$E56,CO$5&lt;=$F56),IF(CO$5=$E56+1,$C56,""),"")</f>
        <v/>
      </c>
      <c r="CP56" s="34">
        <f>IF(AND(CP$5&gt;$E56,CP$5&lt;=$F56),IF(CP$5=$E56+1,$C56,""),"")</f>
        <v/>
      </c>
      <c r="CQ56" s="34">
        <f>IF(AND(CQ$5&gt;$E56,CQ$5&lt;=$F56),IF(CQ$5=$E56+1,$C56,""),"")</f>
        <v/>
      </c>
      <c r="CR56" s="34">
        <f>IF(AND(CR$5&gt;$E56,CR$5&lt;=$F56),IF(CR$5=$E56+1,$C56,""),"")</f>
        <v/>
      </c>
      <c r="CS56" s="34">
        <f>IF(AND(CS$5&gt;$E56,CS$5&lt;=$F56),IF(CS$5=$E56+1,$C56,""),"")</f>
        <v/>
      </c>
      <c r="CT56" s="34">
        <f>IF(AND(CT$5&gt;$E56,CT$5&lt;=$F56),IF(CT$5=$E56+1,$C56,""),"")</f>
        <v/>
      </c>
      <c r="CU56" s="34">
        <f>IF(AND(CU$5&gt;$E56,CU$5&lt;=$F56),IF(CU$5=$E56+1,$C56,""),"")</f>
        <v/>
      </c>
      <c r="CV56" s="34">
        <f>IF(AND(CV$5&gt;$E56,CV$5&lt;=$F56),IF(CV$5=$E56+1,$C56,""),"")</f>
        <v/>
      </c>
      <c r="CW56" s="34">
        <f>IF(AND(CW$5&gt;$E56,CW$5&lt;=$F56),IF(CW$5=$E56+1,$C56,""),"")</f>
        <v/>
      </c>
      <c r="CX56" s="34">
        <f>IF(AND(CX$5&gt;$E56,CX$5&lt;=$F56),IF(CX$5=$E56+1,$C56,""),"")</f>
        <v/>
      </c>
      <c r="CY56" s="34">
        <f>IF(AND(CY$5&gt;$E56,CY$5&lt;=$F56),IF(CY$5=$E56+1,$C56,""),"")</f>
        <v/>
      </c>
      <c r="CZ56" s="34">
        <f>IF(AND(CZ$5&gt;$E56,CZ$5&lt;=$F56),IF(CZ$5=$E56+1,$C56,""),"")</f>
        <v/>
      </c>
      <c r="DA56" s="34">
        <f>IF(AND(DA$5&gt;$E56,DA$5&lt;=$F56),IF(DA$5=$E56+1,$C56,""),"")</f>
        <v/>
      </c>
      <c r="DB56" s="34">
        <f>IF(AND(DB$5&gt;$E56,DB$5&lt;=$F56),IF(DB$5=$E56+1,$C56,""),"")</f>
        <v/>
      </c>
      <c r="DC56" s="34">
        <f>IF(AND(DC$5&gt;$E56,DC$5&lt;=$F56),IF(DC$5=$E56+1,$C56,""),"")</f>
        <v/>
      </c>
      <c r="DD56" s="34">
        <f>IF(AND(DD$5&gt;$E56,DD$5&lt;=$F56),IF(DD$5=$E56+1,$C56,""),"")</f>
        <v/>
      </c>
      <c r="DE56" s="34">
        <f>IF(AND(DE$5&gt;$E56,DE$5&lt;=$F56),IF(DE$5=$E56+1,$C56,""),"")</f>
        <v/>
      </c>
      <c r="DF56" s="34">
        <f>IF(AND(DF$5&gt;$E56,DF$5&lt;=$F56),IF(DF$5=$E56+1,$C56,""),"")</f>
        <v/>
      </c>
      <c r="DG56" s="34">
        <f>IF(AND(DG$5&gt;$E56,DG$5&lt;=$F56),IF(DG$5=$E56+1,$C56,""),"")</f>
        <v/>
      </c>
      <c r="DH56" s="34">
        <f>IF(AND(DH$5&gt;$E56,DH$5&lt;=$F56),IF(DH$5=$E56+1,$C56,""),"")</f>
        <v/>
      </c>
      <c r="DI56" s="34">
        <f>IF(AND(DI$5&gt;$E56,DI$5&lt;=$F56),IF(DI$5=$E56+1,$C56,""),"")</f>
        <v/>
      </c>
      <c r="DJ56" s="34">
        <f>IF(AND(DJ$5&gt;$E56,DJ$5&lt;=$F56),IF(DJ$5=$E56+1,$C56,""),"")</f>
        <v/>
      </c>
      <c r="DK56" s="34">
        <f>IF(AND(DK$5&gt;$E56,DK$5&lt;=$F56),IF(DK$5=$E56+1,$C56,""),"")</f>
        <v/>
      </c>
      <c r="DL56" s="34">
        <f>IF(AND(DL$5&gt;$E56,DL$5&lt;=$F56),IF(DL$5=$E56+1,$C56,""),"")</f>
        <v/>
      </c>
      <c r="DM56" s="34">
        <f>IF(AND(DM$5&gt;$E56,DM$5&lt;=$F56),IF(DM$5=$E56+1,$C56,""),"")</f>
        <v/>
      </c>
      <c r="DN56" s="34">
        <f>IF(AND(DN$5&gt;$E56,DN$5&lt;=$F56),IF(DN$5=$E56+1,$C56,""),"")</f>
        <v/>
      </c>
      <c r="DO56" s="34">
        <f>IF(AND(DO$5&gt;$E56,DO$5&lt;=$F56),IF(DO$5=$E56+1,$C56,""),"")</f>
        <v/>
      </c>
      <c r="DP56" s="34">
        <f>IF(AND(DP$5&gt;$E56,DP$5&lt;=$F56),IF(DP$5=$E56+1,$C56,""),"")</f>
        <v/>
      </c>
      <c r="DQ56" s="34">
        <f>IF(AND(DQ$5&gt;$E56,DQ$5&lt;=$F56),IF(DQ$5=$E56+1,$C56,""),"")</f>
        <v/>
      </c>
      <c r="DR56" s="34">
        <f>IF(AND(DR$5&gt;$E56,DR$5&lt;=$F56),IF(DR$5=$E56+1,$C56,""),"")</f>
        <v/>
      </c>
      <c r="DS56" s="34">
        <f>IF(AND(DS$5&gt;$E56,DS$5&lt;=$F56),IF(DS$5=$E56+1,$C56,""),"")</f>
        <v/>
      </c>
      <c r="DT56" s="34">
        <f>IF(AND(DT$5&gt;$E56,DT$5&lt;=$F56),IF(DT$5=$E56+1,$C56,""),"")</f>
        <v/>
      </c>
      <c r="DU56" s="34">
        <f>IF(AND(DU$5&gt;$E56,DU$5&lt;=$F56),IF(DU$5=$E56+1,$C56,""),"")</f>
        <v/>
      </c>
      <c r="DV56" s="34">
        <f>IF(AND(DV$5&gt;$E56,DV$5&lt;=$F56),IF(DV$5=$E56+1,$C56,""),"")</f>
        <v/>
      </c>
      <c r="DW56" s="34">
        <f>IF(AND(DW$5&gt;$E56,DW$5&lt;=$F56),IF(DW$5=$E56+1,$C56,""),"")</f>
        <v/>
      </c>
      <c r="DX56" s="34">
        <f>IF(AND(DX$5&gt;$E56,DX$5&lt;=$F56),IF(DX$5=$E56+1,$C56,""),"")</f>
        <v/>
      </c>
      <c r="DY56" s="34">
        <f>IF(AND(DY$5&gt;$E56,DY$5&lt;=$F56),IF(DY$5=$E56+1,$C56,""),"")</f>
        <v/>
      </c>
      <c r="DZ56" s="34">
        <f>IF(AND(DZ$5&gt;$E56,DZ$5&lt;=$F56),IF(DZ$5=$E56+1,$C56,""),"")</f>
        <v/>
      </c>
      <c r="EA56" s="34">
        <f>IF(AND(EA$5&gt;$E56,EA$5&lt;=$F56),IF(EA$5=$E56+1,$C56,""),"")</f>
        <v/>
      </c>
      <c r="EB56" s="34">
        <f>IF(AND(EB$5&gt;$E56,EB$5&lt;=$F56),IF(EB$5=$E56+1,$C56,""),"")</f>
        <v/>
      </c>
      <c r="EC56" s="34">
        <f>IF(AND(EC$5&gt;$E56,EC$5&lt;=$F56),IF(EC$5=$E56+1,$C56,""),"")</f>
        <v/>
      </c>
      <c r="ED56" s="34">
        <f>IF(AND(ED$5&gt;$E56,ED$5&lt;=$F56),IF(ED$5=$E56+1,$C56,""),"")</f>
        <v/>
      </c>
      <c r="EE56" s="34">
        <f>IF(AND(EE$5&gt;$E56,EE$5&lt;=$F56),IF(EE$5=$E56+1,$C56,""),"")</f>
        <v/>
      </c>
      <c r="EF56" s="34">
        <f>IF(AND(EF$5&gt;$E56,EF$5&lt;=$F56),IF(EF$5=$E56+1,$C56,""),"")</f>
        <v/>
      </c>
      <c r="EG56" s="34">
        <f>IF(AND(EG$5&gt;$E56,EG$5&lt;=$F56),IF(EG$5=$E56+1,$C56,""),"")</f>
        <v/>
      </c>
    </row>
    <row r="57">
      <c r="A57" s="32">
        <f>Plan!A78</f>
        <v/>
      </c>
      <c r="B57" s="33">
        <f>Plan!C78</f>
        <v/>
      </c>
      <c r="C57" s="16">
        <f>Plan!D78</f>
        <v/>
      </c>
      <c r="D57" s="16">
        <f>Plan!I78</f>
        <v/>
      </c>
      <c r="E57" s="16">
        <f>Plan!K78</f>
        <v/>
      </c>
      <c r="F57" s="16">
        <f>Plan!L78</f>
        <v/>
      </c>
      <c r="G57" s="16">
        <f>Plan!O78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c r="CT57" s="34">
        <f>IF(AND(CT$5&gt;$E57,CT$5&lt;=$F57),IF(CT$5=$E57+1,$C57,""),"")</f>
        <v/>
      </c>
      <c r="CU57" s="34">
        <f>IF(AND(CU$5&gt;$E57,CU$5&lt;=$F57),IF(CU$5=$E57+1,$C57,""),"")</f>
        <v/>
      </c>
      <c r="CV57" s="34">
        <f>IF(AND(CV$5&gt;$E57,CV$5&lt;=$F57),IF(CV$5=$E57+1,$C57,""),"")</f>
        <v/>
      </c>
      <c r="CW57" s="34">
        <f>IF(AND(CW$5&gt;$E57,CW$5&lt;=$F57),IF(CW$5=$E57+1,$C57,""),"")</f>
        <v/>
      </c>
      <c r="CX57" s="34">
        <f>IF(AND(CX$5&gt;$E57,CX$5&lt;=$F57),IF(CX$5=$E57+1,$C57,""),"")</f>
        <v/>
      </c>
      <c r="CY57" s="34">
        <f>IF(AND(CY$5&gt;$E57,CY$5&lt;=$F57),IF(CY$5=$E57+1,$C57,""),"")</f>
        <v/>
      </c>
      <c r="CZ57" s="34">
        <f>IF(AND(CZ$5&gt;$E57,CZ$5&lt;=$F57),IF(CZ$5=$E57+1,$C57,""),"")</f>
        <v/>
      </c>
      <c r="DA57" s="34">
        <f>IF(AND(DA$5&gt;$E57,DA$5&lt;=$F57),IF(DA$5=$E57+1,$C57,""),"")</f>
        <v/>
      </c>
      <c r="DB57" s="34">
        <f>IF(AND(DB$5&gt;$E57,DB$5&lt;=$F57),IF(DB$5=$E57+1,$C57,""),"")</f>
        <v/>
      </c>
      <c r="DC57" s="34">
        <f>IF(AND(DC$5&gt;$E57,DC$5&lt;=$F57),IF(DC$5=$E57+1,$C57,""),"")</f>
        <v/>
      </c>
      <c r="DD57" s="34">
        <f>IF(AND(DD$5&gt;$E57,DD$5&lt;=$F57),IF(DD$5=$E57+1,$C57,""),"")</f>
        <v/>
      </c>
      <c r="DE57" s="34">
        <f>IF(AND(DE$5&gt;$E57,DE$5&lt;=$F57),IF(DE$5=$E57+1,$C57,""),"")</f>
        <v/>
      </c>
      <c r="DF57" s="34">
        <f>IF(AND(DF$5&gt;$E57,DF$5&lt;=$F57),IF(DF$5=$E57+1,$C57,""),"")</f>
        <v/>
      </c>
      <c r="DG57" s="34">
        <f>IF(AND(DG$5&gt;$E57,DG$5&lt;=$F57),IF(DG$5=$E57+1,$C57,""),"")</f>
        <v/>
      </c>
      <c r="DH57" s="34">
        <f>IF(AND(DH$5&gt;$E57,DH$5&lt;=$F57),IF(DH$5=$E57+1,$C57,""),"")</f>
        <v/>
      </c>
      <c r="DI57" s="34">
        <f>IF(AND(DI$5&gt;$E57,DI$5&lt;=$F57),IF(DI$5=$E57+1,$C57,""),"")</f>
        <v/>
      </c>
      <c r="DJ57" s="34">
        <f>IF(AND(DJ$5&gt;$E57,DJ$5&lt;=$F57),IF(DJ$5=$E57+1,$C57,""),"")</f>
        <v/>
      </c>
      <c r="DK57" s="34">
        <f>IF(AND(DK$5&gt;$E57,DK$5&lt;=$F57),IF(DK$5=$E57+1,$C57,""),"")</f>
        <v/>
      </c>
      <c r="DL57" s="34">
        <f>IF(AND(DL$5&gt;$E57,DL$5&lt;=$F57),IF(DL$5=$E57+1,$C57,""),"")</f>
        <v/>
      </c>
      <c r="DM57" s="34">
        <f>IF(AND(DM$5&gt;$E57,DM$5&lt;=$F57),IF(DM$5=$E57+1,$C57,""),"")</f>
        <v/>
      </c>
      <c r="DN57" s="34">
        <f>IF(AND(DN$5&gt;$E57,DN$5&lt;=$F57),IF(DN$5=$E57+1,$C57,""),"")</f>
        <v/>
      </c>
      <c r="DO57" s="34">
        <f>IF(AND(DO$5&gt;$E57,DO$5&lt;=$F57),IF(DO$5=$E57+1,$C57,""),"")</f>
        <v/>
      </c>
      <c r="DP57" s="34">
        <f>IF(AND(DP$5&gt;$E57,DP$5&lt;=$F57),IF(DP$5=$E57+1,$C57,""),"")</f>
        <v/>
      </c>
      <c r="DQ57" s="34">
        <f>IF(AND(DQ$5&gt;$E57,DQ$5&lt;=$F57),IF(DQ$5=$E57+1,$C57,""),"")</f>
        <v/>
      </c>
      <c r="DR57" s="34">
        <f>IF(AND(DR$5&gt;$E57,DR$5&lt;=$F57),IF(DR$5=$E57+1,$C57,""),"")</f>
        <v/>
      </c>
      <c r="DS57" s="34">
        <f>IF(AND(DS$5&gt;$E57,DS$5&lt;=$F57),IF(DS$5=$E57+1,$C57,""),"")</f>
        <v/>
      </c>
      <c r="DT57" s="34">
        <f>IF(AND(DT$5&gt;$E57,DT$5&lt;=$F57),IF(DT$5=$E57+1,$C57,""),"")</f>
        <v/>
      </c>
      <c r="DU57" s="34">
        <f>IF(AND(DU$5&gt;$E57,DU$5&lt;=$F57),IF(DU$5=$E57+1,$C57,""),"")</f>
        <v/>
      </c>
      <c r="DV57" s="34">
        <f>IF(AND(DV$5&gt;$E57,DV$5&lt;=$F57),IF(DV$5=$E57+1,$C57,""),"")</f>
        <v/>
      </c>
      <c r="DW57" s="34">
        <f>IF(AND(DW$5&gt;$E57,DW$5&lt;=$F57),IF(DW$5=$E57+1,$C57,""),"")</f>
        <v/>
      </c>
      <c r="DX57" s="34">
        <f>IF(AND(DX$5&gt;$E57,DX$5&lt;=$F57),IF(DX$5=$E57+1,$C57,""),"")</f>
        <v/>
      </c>
      <c r="DY57" s="34">
        <f>IF(AND(DY$5&gt;$E57,DY$5&lt;=$F57),IF(DY$5=$E57+1,$C57,""),"")</f>
        <v/>
      </c>
      <c r="DZ57" s="34">
        <f>IF(AND(DZ$5&gt;$E57,DZ$5&lt;=$F57),IF(DZ$5=$E57+1,$C57,""),"")</f>
        <v/>
      </c>
      <c r="EA57" s="34">
        <f>IF(AND(EA$5&gt;$E57,EA$5&lt;=$F57),IF(EA$5=$E57+1,$C57,""),"")</f>
        <v/>
      </c>
      <c r="EB57" s="34">
        <f>IF(AND(EB$5&gt;$E57,EB$5&lt;=$F57),IF(EB$5=$E57+1,$C57,""),"")</f>
        <v/>
      </c>
      <c r="EC57" s="34">
        <f>IF(AND(EC$5&gt;$E57,EC$5&lt;=$F57),IF(EC$5=$E57+1,$C57,""),"")</f>
        <v/>
      </c>
      <c r="ED57" s="34">
        <f>IF(AND(ED$5&gt;$E57,ED$5&lt;=$F57),IF(ED$5=$E57+1,$C57,""),"")</f>
        <v/>
      </c>
      <c r="EE57" s="34">
        <f>IF(AND(EE$5&gt;$E57,EE$5&lt;=$F57),IF(EE$5=$E57+1,$C57,""),"")</f>
        <v/>
      </c>
      <c r="EF57" s="34">
        <f>IF(AND(EF$5&gt;$E57,EF$5&lt;=$F57),IF(EF$5=$E57+1,$C57,""),"")</f>
        <v/>
      </c>
      <c r="EG57" s="34">
        <f>IF(AND(EG$5&gt;$E57,EG$5&lt;=$F57),IF(EG$5=$E57+1,$C57,""),"")</f>
        <v/>
      </c>
    </row>
    <row r="58">
      <c r="A58" s="32">
        <f>Plan!A80</f>
        <v/>
      </c>
      <c r="B58" s="33">
        <f>Plan!C80</f>
        <v/>
      </c>
      <c r="C58" s="16">
        <f>Plan!D80</f>
        <v/>
      </c>
      <c r="D58" s="16">
        <f>Plan!I80</f>
        <v/>
      </c>
      <c r="E58" s="16">
        <f>Plan!K80</f>
        <v/>
      </c>
      <c r="F58" s="16">
        <f>Plan!L80</f>
        <v/>
      </c>
      <c r="G58" s="16">
        <f>Plan!O80</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c r="CT58" s="34">
        <f>IF(AND(CT$5&gt;$E58,CT$5&lt;=$F58),IF(CT$5=$E58+1,$C58,""),"")</f>
        <v/>
      </c>
      <c r="CU58" s="34">
        <f>IF(AND(CU$5&gt;$E58,CU$5&lt;=$F58),IF(CU$5=$E58+1,$C58,""),"")</f>
        <v/>
      </c>
      <c r="CV58" s="34">
        <f>IF(AND(CV$5&gt;$E58,CV$5&lt;=$F58),IF(CV$5=$E58+1,$C58,""),"")</f>
        <v/>
      </c>
      <c r="CW58" s="34">
        <f>IF(AND(CW$5&gt;$E58,CW$5&lt;=$F58),IF(CW$5=$E58+1,$C58,""),"")</f>
        <v/>
      </c>
      <c r="CX58" s="34">
        <f>IF(AND(CX$5&gt;$E58,CX$5&lt;=$F58),IF(CX$5=$E58+1,$C58,""),"")</f>
        <v/>
      </c>
      <c r="CY58" s="34">
        <f>IF(AND(CY$5&gt;$E58,CY$5&lt;=$F58),IF(CY$5=$E58+1,$C58,""),"")</f>
        <v/>
      </c>
      <c r="CZ58" s="34">
        <f>IF(AND(CZ$5&gt;$E58,CZ$5&lt;=$F58),IF(CZ$5=$E58+1,$C58,""),"")</f>
        <v/>
      </c>
      <c r="DA58" s="34">
        <f>IF(AND(DA$5&gt;$E58,DA$5&lt;=$F58),IF(DA$5=$E58+1,$C58,""),"")</f>
        <v/>
      </c>
      <c r="DB58" s="34">
        <f>IF(AND(DB$5&gt;$E58,DB$5&lt;=$F58),IF(DB$5=$E58+1,$C58,""),"")</f>
        <v/>
      </c>
      <c r="DC58" s="34">
        <f>IF(AND(DC$5&gt;$E58,DC$5&lt;=$F58),IF(DC$5=$E58+1,$C58,""),"")</f>
        <v/>
      </c>
      <c r="DD58" s="34">
        <f>IF(AND(DD$5&gt;$E58,DD$5&lt;=$F58),IF(DD$5=$E58+1,$C58,""),"")</f>
        <v/>
      </c>
      <c r="DE58" s="34">
        <f>IF(AND(DE$5&gt;$E58,DE$5&lt;=$F58),IF(DE$5=$E58+1,$C58,""),"")</f>
        <v/>
      </c>
      <c r="DF58" s="34">
        <f>IF(AND(DF$5&gt;$E58,DF$5&lt;=$F58),IF(DF$5=$E58+1,$C58,""),"")</f>
        <v/>
      </c>
      <c r="DG58" s="34">
        <f>IF(AND(DG$5&gt;$E58,DG$5&lt;=$F58),IF(DG$5=$E58+1,$C58,""),"")</f>
        <v/>
      </c>
      <c r="DH58" s="34">
        <f>IF(AND(DH$5&gt;$E58,DH$5&lt;=$F58),IF(DH$5=$E58+1,$C58,""),"")</f>
        <v/>
      </c>
      <c r="DI58" s="34">
        <f>IF(AND(DI$5&gt;$E58,DI$5&lt;=$F58),IF(DI$5=$E58+1,$C58,""),"")</f>
        <v/>
      </c>
      <c r="DJ58" s="34">
        <f>IF(AND(DJ$5&gt;$E58,DJ$5&lt;=$F58),IF(DJ$5=$E58+1,$C58,""),"")</f>
        <v/>
      </c>
      <c r="DK58" s="34">
        <f>IF(AND(DK$5&gt;$E58,DK$5&lt;=$F58),IF(DK$5=$E58+1,$C58,""),"")</f>
        <v/>
      </c>
      <c r="DL58" s="34">
        <f>IF(AND(DL$5&gt;$E58,DL$5&lt;=$F58),IF(DL$5=$E58+1,$C58,""),"")</f>
        <v/>
      </c>
      <c r="DM58" s="34">
        <f>IF(AND(DM$5&gt;$E58,DM$5&lt;=$F58),IF(DM$5=$E58+1,$C58,""),"")</f>
        <v/>
      </c>
      <c r="DN58" s="34">
        <f>IF(AND(DN$5&gt;$E58,DN$5&lt;=$F58),IF(DN$5=$E58+1,$C58,""),"")</f>
        <v/>
      </c>
      <c r="DO58" s="34">
        <f>IF(AND(DO$5&gt;$E58,DO$5&lt;=$F58),IF(DO$5=$E58+1,$C58,""),"")</f>
        <v/>
      </c>
      <c r="DP58" s="34">
        <f>IF(AND(DP$5&gt;$E58,DP$5&lt;=$F58),IF(DP$5=$E58+1,$C58,""),"")</f>
        <v/>
      </c>
      <c r="DQ58" s="34">
        <f>IF(AND(DQ$5&gt;$E58,DQ$5&lt;=$F58),IF(DQ$5=$E58+1,$C58,""),"")</f>
        <v/>
      </c>
      <c r="DR58" s="34">
        <f>IF(AND(DR$5&gt;$E58,DR$5&lt;=$F58),IF(DR$5=$E58+1,$C58,""),"")</f>
        <v/>
      </c>
      <c r="DS58" s="34">
        <f>IF(AND(DS$5&gt;$E58,DS$5&lt;=$F58),IF(DS$5=$E58+1,$C58,""),"")</f>
        <v/>
      </c>
      <c r="DT58" s="34">
        <f>IF(AND(DT$5&gt;$E58,DT$5&lt;=$F58),IF(DT$5=$E58+1,$C58,""),"")</f>
        <v/>
      </c>
      <c r="DU58" s="34">
        <f>IF(AND(DU$5&gt;$E58,DU$5&lt;=$F58),IF(DU$5=$E58+1,$C58,""),"")</f>
        <v/>
      </c>
      <c r="DV58" s="34">
        <f>IF(AND(DV$5&gt;$E58,DV$5&lt;=$F58),IF(DV$5=$E58+1,$C58,""),"")</f>
        <v/>
      </c>
      <c r="DW58" s="34">
        <f>IF(AND(DW$5&gt;$E58,DW$5&lt;=$F58),IF(DW$5=$E58+1,$C58,""),"")</f>
        <v/>
      </c>
      <c r="DX58" s="34">
        <f>IF(AND(DX$5&gt;$E58,DX$5&lt;=$F58),IF(DX$5=$E58+1,$C58,""),"")</f>
        <v/>
      </c>
      <c r="DY58" s="34">
        <f>IF(AND(DY$5&gt;$E58,DY$5&lt;=$F58),IF(DY$5=$E58+1,$C58,""),"")</f>
        <v/>
      </c>
      <c r="DZ58" s="34">
        <f>IF(AND(DZ$5&gt;$E58,DZ$5&lt;=$F58),IF(DZ$5=$E58+1,$C58,""),"")</f>
        <v/>
      </c>
      <c r="EA58" s="34">
        <f>IF(AND(EA$5&gt;$E58,EA$5&lt;=$F58),IF(EA$5=$E58+1,$C58,""),"")</f>
        <v/>
      </c>
      <c r="EB58" s="34">
        <f>IF(AND(EB$5&gt;$E58,EB$5&lt;=$F58),IF(EB$5=$E58+1,$C58,""),"")</f>
        <v/>
      </c>
      <c r="EC58" s="34">
        <f>IF(AND(EC$5&gt;$E58,EC$5&lt;=$F58),IF(EC$5=$E58+1,$C58,""),"")</f>
        <v/>
      </c>
      <c r="ED58" s="34">
        <f>IF(AND(ED$5&gt;$E58,ED$5&lt;=$F58),IF(ED$5=$E58+1,$C58,""),"")</f>
        <v/>
      </c>
      <c r="EE58" s="34">
        <f>IF(AND(EE$5&gt;$E58,EE$5&lt;=$F58),IF(EE$5=$E58+1,$C58,""),"")</f>
        <v/>
      </c>
      <c r="EF58" s="34">
        <f>IF(AND(EF$5&gt;$E58,EF$5&lt;=$F58),IF(EF$5=$E58+1,$C58,""),"")</f>
        <v/>
      </c>
      <c r="EG58" s="34">
        <f>IF(AND(EG$5&gt;$E58,EG$5&lt;=$F58),IF(EG$5=$E58+1,$C58,""),"")</f>
        <v/>
      </c>
    </row>
    <row r="59">
      <c r="A59" s="32">
        <f>Plan!A81</f>
        <v/>
      </c>
      <c r="B59" s="33">
        <f>Plan!C81</f>
        <v/>
      </c>
      <c r="C59" s="16">
        <f>Plan!D81</f>
        <v/>
      </c>
      <c r="D59" s="16">
        <f>Plan!I81</f>
        <v/>
      </c>
      <c r="E59" s="16">
        <f>Plan!K81</f>
        <v/>
      </c>
      <c r="F59" s="16">
        <f>Plan!L81</f>
        <v/>
      </c>
      <c r="G59" s="16">
        <f>Plan!O81</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c r="CT59" s="34">
        <f>IF(AND(CT$5&gt;$E59,CT$5&lt;=$F59),IF(CT$5=$E59+1,$C59,""),"")</f>
        <v/>
      </c>
      <c r="CU59" s="34">
        <f>IF(AND(CU$5&gt;$E59,CU$5&lt;=$F59),IF(CU$5=$E59+1,$C59,""),"")</f>
        <v/>
      </c>
      <c r="CV59" s="34">
        <f>IF(AND(CV$5&gt;$E59,CV$5&lt;=$F59),IF(CV$5=$E59+1,$C59,""),"")</f>
        <v/>
      </c>
      <c r="CW59" s="34">
        <f>IF(AND(CW$5&gt;$E59,CW$5&lt;=$F59),IF(CW$5=$E59+1,$C59,""),"")</f>
        <v/>
      </c>
      <c r="CX59" s="34">
        <f>IF(AND(CX$5&gt;$E59,CX$5&lt;=$F59),IF(CX$5=$E59+1,$C59,""),"")</f>
        <v/>
      </c>
      <c r="CY59" s="34">
        <f>IF(AND(CY$5&gt;$E59,CY$5&lt;=$F59),IF(CY$5=$E59+1,$C59,""),"")</f>
        <v/>
      </c>
      <c r="CZ59" s="34">
        <f>IF(AND(CZ$5&gt;$E59,CZ$5&lt;=$F59),IF(CZ$5=$E59+1,$C59,""),"")</f>
        <v/>
      </c>
      <c r="DA59" s="34">
        <f>IF(AND(DA$5&gt;$E59,DA$5&lt;=$F59),IF(DA$5=$E59+1,$C59,""),"")</f>
        <v/>
      </c>
      <c r="DB59" s="34">
        <f>IF(AND(DB$5&gt;$E59,DB$5&lt;=$F59),IF(DB$5=$E59+1,$C59,""),"")</f>
        <v/>
      </c>
      <c r="DC59" s="34">
        <f>IF(AND(DC$5&gt;$E59,DC$5&lt;=$F59),IF(DC$5=$E59+1,$C59,""),"")</f>
        <v/>
      </c>
      <c r="DD59" s="34">
        <f>IF(AND(DD$5&gt;$E59,DD$5&lt;=$F59),IF(DD$5=$E59+1,$C59,""),"")</f>
        <v/>
      </c>
      <c r="DE59" s="34">
        <f>IF(AND(DE$5&gt;$E59,DE$5&lt;=$F59),IF(DE$5=$E59+1,$C59,""),"")</f>
        <v/>
      </c>
      <c r="DF59" s="34">
        <f>IF(AND(DF$5&gt;$E59,DF$5&lt;=$F59),IF(DF$5=$E59+1,$C59,""),"")</f>
        <v/>
      </c>
      <c r="DG59" s="34">
        <f>IF(AND(DG$5&gt;$E59,DG$5&lt;=$F59),IF(DG$5=$E59+1,$C59,""),"")</f>
        <v/>
      </c>
      <c r="DH59" s="34">
        <f>IF(AND(DH$5&gt;$E59,DH$5&lt;=$F59),IF(DH$5=$E59+1,$C59,""),"")</f>
        <v/>
      </c>
      <c r="DI59" s="34">
        <f>IF(AND(DI$5&gt;$E59,DI$5&lt;=$F59),IF(DI$5=$E59+1,$C59,""),"")</f>
        <v/>
      </c>
      <c r="DJ59" s="34">
        <f>IF(AND(DJ$5&gt;$E59,DJ$5&lt;=$F59),IF(DJ$5=$E59+1,$C59,""),"")</f>
        <v/>
      </c>
      <c r="DK59" s="34">
        <f>IF(AND(DK$5&gt;$E59,DK$5&lt;=$F59),IF(DK$5=$E59+1,$C59,""),"")</f>
        <v/>
      </c>
      <c r="DL59" s="34">
        <f>IF(AND(DL$5&gt;$E59,DL$5&lt;=$F59),IF(DL$5=$E59+1,$C59,""),"")</f>
        <v/>
      </c>
      <c r="DM59" s="34">
        <f>IF(AND(DM$5&gt;$E59,DM$5&lt;=$F59),IF(DM$5=$E59+1,$C59,""),"")</f>
        <v/>
      </c>
      <c r="DN59" s="34">
        <f>IF(AND(DN$5&gt;$E59,DN$5&lt;=$F59),IF(DN$5=$E59+1,$C59,""),"")</f>
        <v/>
      </c>
      <c r="DO59" s="34">
        <f>IF(AND(DO$5&gt;$E59,DO$5&lt;=$F59),IF(DO$5=$E59+1,$C59,""),"")</f>
        <v/>
      </c>
      <c r="DP59" s="34">
        <f>IF(AND(DP$5&gt;$E59,DP$5&lt;=$F59),IF(DP$5=$E59+1,$C59,""),"")</f>
        <v/>
      </c>
      <c r="DQ59" s="34">
        <f>IF(AND(DQ$5&gt;$E59,DQ$5&lt;=$F59),IF(DQ$5=$E59+1,$C59,""),"")</f>
        <v/>
      </c>
      <c r="DR59" s="34">
        <f>IF(AND(DR$5&gt;$E59,DR$5&lt;=$F59),IF(DR$5=$E59+1,$C59,""),"")</f>
        <v/>
      </c>
      <c r="DS59" s="34">
        <f>IF(AND(DS$5&gt;$E59,DS$5&lt;=$F59),IF(DS$5=$E59+1,$C59,""),"")</f>
        <v/>
      </c>
      <c r="DT59" s="34">
        <f>IF(AND(DT$5&gt;$E59,DT$5&lt;=$F59),IF(DT$5=$E59+1,$C59,""),"")</f>
        <v/>
      </c>
      <c r="DU59" s="34">
        <f>IF(AND(DU$5&gt;$E59,DU$5&lt;=$F59),IF(DU$5=$E59+1,$C59,""),"")</f>
        <v/>
      </c>
      <c r="DV59" s="34">
        <f>IF(AND(DV$5&gt;$E59,DV$5&lt;=$F59),IF(DV$5=$E59+1,$C59,""),"")</f>
        <v/>
      </c>
      <c r="DW59" s="34">
        <f>IF(AND(DW$5&gt;$E59,DW$5&lt;=$F59),IF(DW$5=$E59+1,$C59,""),"")</f>
        <v/>
      </c>
      <c r="DX59" s="34">
        <f>IF(AND(DX$5&gt;$E59,DX$5&lt;=$F59),IF(DX$5=$E59+1,$C59,""),"")</f>
        <v/>
      </c>
      <c r="DY59" s="34">
        <f>IF(AND(DY$5&gt;$E59,DY$5&lt;=$F59),IF(DY$5=$E59+1,$C59,""),"")</f>
        <v/>
      </c>
      <c r="DZ59" s="34">
        <f>IF(AND(DZ$5&gt;$E59,DZ$5&lt;=$F59),IF(DZ$5=$E59+1,$C59,""),"")</f>
        <v/>
      </c>
      <c r="EA59" s="34">
        <f>IF(AND(EA$5&gt;$E59,EA$5&lt;=$F59),IF(EA$5=$E59+1,$C59,""),"")</f>
        <v/>
      </c>
      <c r="EB59" s="34">
        <f>IF(AND(EB$5&gt;$E59,EB$5&lt;=$F59),IF(EB$5=$E59+1,$C59,""),"")</f>
        <v/>
      </c>
      <c r="EC59" s="34">
        <f>IF(AND(EC$5&gt;$E59,EC$5&lt;=$F59),IF(EC$5=$E59+1,$C59,""),"")</f>
        <v/>
      </c>
      <c r="ED59" s="34">
        <f>IF(AND(ED$5&gt;$E59,ED$5&lt;=$F59),IF(ED$5=$E59+1,$C59,""),"")</f>
        <v/>
      </c>
      <c r="EE59" s="34">
        <f>IF(AND(EE$5&gt;$E59,EE$5&lt;=$F59),IF(EE$5=$E59+1,$C59,""),"")</f>
        <v/>
      </c>
      <c r="EF59" s="34">
        <f>IF(AND(EF$5&gt;$E59,EF$5&lt;=$F59),IF(EF$5=$E59+1,$C59,""),"")</f>
        <v/>
      </c>
      <c r="EG59" s="34">
        <f>IF(AND(EG$5&gt;$E59,EG$5&lt;=$F59),IF(EG$5=$E59+1,$C59,""),"")</f>
        <v/>
      </c>
    </row>
    <row r="60">
      <c r="A60" s="32">
        <f>Plan!A90</f>
        <v/>
      </c>
      <c r="B60" s="33">
        <f>Plan!C90</f>
        <v/>
      </c>
      <c r="C60" s="16">
        <f>Plan!D90</f>
        <v/>
      </c>
      <c r="D60" s="16">
        <f>Plan!I90</f>
        <v/>
      </c>
      <c r="E60" s="16">
        <f>Plan!K90</f>
        <v/>
      </c>
      <c r="F60" s="16">
        <f>Plan!L90</f>
        <v/>
      </c>
      <c r="G60" s="16">
        <f>Plan!O90</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c r="CT60" s="34">
        <f>IF(AND(CT$5&gt;$E60,CT$5&lt;=$F60),IF(CT$5=$E60+1,$C60,""),"")</f>
        <v/>
      </c>
      <c r="CU60" s="34">
        <f>IF(AND(CU$5&gt;$E60,CU$5&lt;=$F60),IF(CU$5=$E60+1,$C60,""),"")</f>
        <v/>
      </c>
      <c r="CV60" s="34">
        <f>IF(AND(CV$5&gt;$E60,CV$5&lt;=$F60),IF(CV$5=$E60+1,$C60,""),"")</f>
        <v/>
      </c>
      <c r="CW60" s="34">
        <f>IF(AND(CW$5&gt;$E60,CW$5&lt;=$F60),IF(CW$5=$E60+1,$C60,""),"")</f>
        <v/>
      </c>
      <c r="CX60" s="34">
        <f>IF(AND(CX$5&gt;$E60,CX$5&lt;=$F60),IF(CX$5=$E60+1,$C60,""),"")</f>
        <v/>
      </c>
      <c r="CY60" s="34">
        <f>IF(AND(CY$5&gt;$E60,CY$5&lt;=$F60),IF(CY$5=$E60+1,$C60,""),"")</f>
        <v/>
      </c>
      <c r="CZ60" s="34">
        <f>IF(AND(CZ$5&gt;$E60,CZ$5&lt;=$F60),IF(CZ$5=$E60+1,$C60,""),"")</f>
        <v/>
      </c>
      <c r="DA60" s="34">
        <f>IF(AND(DA$5&gt;$E60,DA$5&lt;=$F60),IF(DA$5=$E60+1,$C60,""),"")</f>
        <v/>
      </c>
      <c r="DB60" s="34">
        <f>IF(AND(DB$5&gt;$E60,DB$5&lt;=$F60),IF(DB$5=$E60+1,$C60,""),"")</f>
        <v/>
      </c>
      <c r="DC60" s="34">
        <f>IF(AND(DC$5&gt;$E60,DC$5&lt;=$F60),IF(DC$5=$E60+1,$C60,""),"")</f>
        <v/>
      </c>
      <c r="DD60" s="34">
        <f>IF(AND(DD$5&gt;$E60,DD$5&lt;=$F60),IF(DD$5=$E60+1,$C60,""),"")</f>
        <v/>
      </c>
      <c r="DE60" s="34">
        <f>IF(AND(DE$5&gt;$E60,DE$5&lt;=$F60),IF(DE$5=$E60+1,$C60,""),"")</f>
        <v/>
      </c>
      <c r="DF60" s="34">
        <f>IF(AND(DF$5&gt;$E60,DF$5&lt;=$F60),IF(DF$5=$E60+1,$C60,""),"")</f>
        <v/>
      </c>
      <c r="DG60" s="34">
        <f>IF(AND(DG$5&gt;$E60,DG$5&lt;=$F60),IF(DG$5=$E60+1,$C60,""),"")</f>
        <v/>
      </c>
      <c r="DH60" s="34">
        <f>IF(AND(DH$5&gt;$E60,DH$5&lt;=$F60),IF(DH$5=$E60+1,$C60,""),"")</f>
        <v/>
      </c>
      <c r="DI60" s="34">
        <f>IF(AND(DI$5&gt;$E60,DI$5&lt;=$F60),IF(DI$5=$E60+1,$C60,""),"")</f>
        <v/>
      </c>
      <c r="DJ60" s="34">
        <f>IF(AND(DJ$5&gt;$E60,DJ$5&lt;=$F60),IF(DJ$5=$E60+1,$C60,""),"")</f>
        <v/>
      </c>
      <c r="DK60" s="34">
        <f>IF(AND(DK$5&gt;$E60,DK$5&lt;=$F60),IF(DK$5=$E60+1,$C60,""),"")</f>
        <v/>
      </c>
      <c r="DL60" s="34">
        <f>IF(AND(DL$5&gt;$E60,DL$5&lt;=$F60),IF(DL$5=$E60+1,$C60,""),"")</f>
        <v/>
      </c>
      <c r="DM60" s="34">
        <f>IF(AND(DM$5&gt;$E60,DM$5&lt;=$F60),IF(DM$5=$E60+1,$C60,""),"")</f>
        <v/>
      </c>
      <c r="DN60" s="34">
        <f>IF(AND(DN$5&gt;$E60,DN$5&lt;=$F60),IF(DN$5=$E60+1,$C60,""),"")</f>
        <v/>
      </c>
      <c r="DO60" s="34">
        <f>IF(AND(DO$5&gt;$E60,DO$5&lt;=$F60),IF(DO$5=$E60+1,$C60,""),"")</f>
        <v/>
      </c>
      <c r="DP60" s="34">
        <f>IF(AND(DP$5&gt;$E60,DP$5&lt;=$F60),IF(DP$5=$E60+1,$C60,""),"")</f>
        <v/>
      </c>
      <c r="DQ60" s="34">
        <f>IF(AND(DQ$5&gt;$E60,DQ$5&lt;=$F60),IF(DQ$5=$E60+1,$C60,""),"")</f>
        <v/>
      </c>
      <c r="DR60" s="34">
        <f>IF(AND(DR$5&gt;$E60,DR$5&lt;=$F60),IF(DR$5=$E60+1,$C60,""),"")</f>
        <v/>
      </c>
      <c r="DS60" s="34">
        <f>IF(AND(DS$5&gt;$E60,DS$5&lt;=$F60),IF(DS$5=$E60+1,$C60,""),"")</f>
        <v/>
      </c>
      <c r="DT60" s="34">
        <f>IF(AND(DT$5&gt;$E60,DT$5&lt;=$F60),IF(DT$5=$E60+1,$C60,""),"")</f>
        <v/>
      </c>
      <c r="DU60" s="34">
        <f>IF(AND(DU$5&gt;$E60,DU$5&lt;=$F60),IF(DU$5=$E60+1,$C60,""),"")</f>
        <v/>
      </c>
      <c r="DV60" s="34">
        <f>IF(AND(DV$5&gt;$E60,DV$5&lt;=$F60),IF(DV$5=$E60+1,$C60,""),"")</f>
        <v/>
      </c>
      <c r="DW60" s="34">
        <f>IF(AND(DW$5&gt;$E60,DW$5&lt;=$F60),IF(DW$5=$E60+1,$C60,""),"")</f>
        <v/>
      </c>
      <c r="DX60" s="34">
        <f>IF(AND(DX$5&gt;$E60,DX$5&lt;=$F60),IF(DX$5=$E60+1,$C60,""),"")</f>
        <v/>
      </c>
      <c r="DY60" s="34">
        <f>IF(AND(DY$5&gt;$E60,DY$5&lt;=$F60),IF(DY$5=$E60+1,$C60,""),"")</f>
        <v/>
      </c>
      <c r="DZ60" s="34">
        <f>IF(AND(DZ$5&gt;$E60,DZ$5&lt;=$F60),IF(DZ$5=$E60+1,$C60,""),"")</f>
        <v/>
      </c>
      <c r="EA60" s="34">
        <f>IF(AND(EA$5&gt;$E60,EA$5&lt;=$F60),IF(EA$5=$E60+1,$C60,""),"")</f>
        <v/>
      </c>
      <c r="EB60" s="34">
        <f>IF(AND(EB$5&gt;$E60,EB$5&lt;=$F60),IF(EB$5=$E60+1,$C60,""),"")</f>
        <v/>
      </c>
      <c r="EC60" s="34">
        <f>IF(AND(EC$5&gt;$E60,EC$5&lt;=$F60),IF(EC$5=$E60+1,$C60,""),"")</f>
        <v/>
      </c>
      <c r="ED60" s="34">
        <f>IF(AND(ED$5&gt;$E60,ED$5&lt;=$F60),IF(ED$5=$E60+1,$C60,""),"")</f>
        <v/>
      </c>
      <c r="EE60" s="34">
        <f>IF(AND(EE$5&gt;$E60,EE$5&lt;=$F60),IF(EE$5=$E60+1,$C60,""),"")</f>
        <v/>
      </c>
      <c r="EF60" s="34">
        <f>IF(AND(EF$5&gt;$E60,EF$5&lt;=$F60),IF(EF$5=$E60+1,$C60,""),"")</f>
        <v/>
      </c>
      <c r="EG60" s="34">
        <f>IF(AND(EG$5&gt;$E60,EG$5&lt;=$F60),IF(EG$5=$E60+1,$C60,""),"")</f>
        <v/>
      </c>
    </row>
    <row r="61">
      <c r="A61" s="32">
        <f>Plan!A92</f>
        <v/>
      </c>
      <c r="B61" s="33">
        <f>Plan!C92</f>
        <v/>
      </c>
      <c r="C61" s="16">
        <f>Plan!D92</f>
        <v/>
      </c>
      <c r="D61" s="16">
        <f>Plan!I92</f>
        <v/>
      </c>
      <c r="E61" s="16">
        <f>Plan!K92</f>
        <v/>
      </c>
      <c r="F61" s="16">
        <f>Plan!L92</f>
        <v/>
      </c>
      <c r="G61" s="16">
        <f>Plan!O92</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c r="CT61" s="34">
        <f>IF(AND(CT$5&gt;$E61,CT$5&lt;=$F61),IF(CT$5=$E61+1,$C61,""),"")</f>
        <v/>
      </c>
      <c r="CU61" s="34">
        <f>IF(AND(CU$5&gt;$E61,CU$5&lt;=$F61),IF(CU$5=$E61+1,$C61,""),"")</f>
        <v/>
      </c>
      <c r="CV61" s="34">
        <f>IF(AND(CV$5&gt;$E61,CV$5&lt;=$F61),IF(CV$5=$E61+1,$C61,""),"")</f>
        <v/>
      </c>
      <c r="CW61" s="34">
        <f>IF(AND(CW$5&gt;$E61,CW$5&lt;=$F61),IF(CW$5=$E61+1,$C61,""),"")</f>
        <v/>
      </c>
      <c r="CX61" s="34">
        <f>IF(AND(CX$5&gt;$E61,CX$5&lt;=$F61),IF(CX$5=$E61+1,$C61,""),"")</f>
        <v/>
      </c>
      <c r="CY61" s="34">
        <f>IF(AND(CY$5&gt;$E61,CY$5&lt;=$F61),IF(CY$5=$E61+1,$C61,""),"")</f>
        <v/>
      </c>
      <c r="CZ61" s="34">
        <f>IF(AND(CZ$5&gt;$E61,CZ$5&lt;=$F61),IF(CZ$5=$E61+1,$C61,""),"")</f>
        <v/>
      </c>
      <c r="DA61" s="34">
        <f>IF(AND(DA$5&gt;$E61,DA$5&lt;=$F61),IF(DA$5=$E61+1,$C61,""),"")</f>
        <v/>
      </c>
      <c r="DB61" s="34">
        <f>IF(AND(DB$5&gt;$E61,DB$5&lt;=$F61),IF(DB$5=$E61+1,$C61,""),"")</f>
        <v/>
      </c>
      <c r="DC61" s="34">
        <f>IF(AND(DC$5&gt;$E61,DC$5&lt;=$F61),IF(DC$5=$E61+1,$C61,""),"")</f>
        <v/>
      </c>
      <c r="DD61" s="34">
        <f>IF(AND(DD$5&gt;$E61,DD$5&lt;=$F61),IF(DD$5=$E61+1,$C61,""),"")</f>
        <v/>
      </c>
      <c r="DE61" s="34">
        <f>IF(AND(DE$5&gt;$E61,DE$5&lt;=$F61),IF(DE$5=$E61+1,$C61,""),"")</f>
        <v/>
      </c>
      <c r="DF61" s="34">
        <f>IF(AND(DF$5&gt;$E61,DF$5&lt;=$F61),IF(DF$5=$E61+1,$C61,""),"")</f>
        <v/>
      </c>
      <c r="DG61" s="34">
        <f>IF(AND(DG$5&gt;$E61,DG$5&lt;=$F61),IF(DG$5=$E61+1,$C61,""),"")</f>
        <v/>
      </c>
      <c r="DH61" s="34">
        <f>IF(AND(DH$5&gt;$E61,DH$5&lt;=$F61),IF(DH$5=$E61+1,$C61,""),"")</f>
        <v/>
      </c>
      <c r="DI61" s="34">
        <f>IF(AND(DI$5&gt;$E61,DI$5&lt;=$F61),IF(DI$5=$E61+1,$C61,""),"")</f>
        <v/>
      </c>
      <c r="DJ61" s="34">
        <f>IF(AND(DJ$5&gt;$E61,DJ$5&lt;=$F61),IF(DJ$5=$E61+1,$C61,""),"")</f>
        <v/>
      </c>
      <c r="DK61" s="34">
        <f>IF(AND(DK$5&gt;$E61,DK$5&lt;=$F61),IF(DK$5=$E61+1,$C61,""),"")</f>
        <v/>
      </c>
      <c r="DL61" s="34">
        <f>IF(AND(DL$5&gt;$E61,DL$5&lt;=$F61),IF(DL$5=$E61+1,$C61,""),"")</f>
        <v/>
      </c>
      <c r="DM61" s="34">
        <f>IF(AND(DM$5&gt;$E61,DM$5&lt;=$F61),IF(DM$5=$E61+1,$C61,""),"")</f>
        <v/>
      </c>
      <c r="DN61" s="34">
        <f>IF(AND(DN$5&gt;$E61,DN$5&lt;=$F61),IF(DN$5=$E61+1,$C61,""),"")</f>
        <v/>
      </c>
      <c r="DO61" s="34">
        <f>IF(AND(DO$5&gt;$E61,DO$5&lt;=$F61),IF(DO$5=$E61+1,$C61,""),"")</f>
        <v/>
      </c>
      <c r="DP61" s="34">
        <f>IF(AND(DP$5&gt;$E61,DP$5&lt;=$F61),IF(DP$5=$E61+1,$C61,""),"")</f>
        <v/>
      </c>
      <c r="DQ61" s="34">
        <f>IF(AND(DQ$5&gt;$E61,DQ$5&lt;=$F61),IF(DQ$5=$E61+1,$C61,""),"")</f>
        <v/>
      </c>
      <c r="DR61" s="34">
        <f>IF(AND(DR$5&gt;$E61,DR$5&lt;=$F61),IF(DR$5=$E61+1,$C61,""),"")</f>
        <v/>
      </c>
      <c r="DS61" s="34">
        <f>IF(AND(DS$5&gt;$E61,DS$5&lt;=$F61),IF(DS$5=$E61+1,$C61,""),"")</f>
        <v/>
      </c>
      <c r="DT61" s="34">
        <f>IF(AND(DT$5&gt;$E61,DT$5&lt;=$F61),IF(DT$5=$E61+1,$C61,""),"")</f>
        <v/>
      </c>
      <c r="DU61" s="34">
        <f>IF(AND(DU$5&gt;$E61,DU$5&lt;=$F61),IF(DU$5=$E61+1,$C61,""),"")</f>
        <v/>
      </c>
      <c r="DV61" s="34">
        <f>IF(AND(DV$5&gt;$E61,DV$5&lt;=$F61),IF(DV$5=$E61+1,$C61,""),"")</f>
        <v/>
      </c>
      <c r="DW61" s="34">
        <f>IF(AND(DW$5&gt;$E61,DW$5&lt;=$F61),IF(DW$5=$E61+1,$C61,""),"")</f>
        <v/>
      </c>
      <c r="DX61" s="34">
        <f>IF(AND(DX$5&gt;$E61,DX$5&lt;=$F61),IF(DX$5=$E61+1,$C61,""),"")</f>
        <v/>
      </c>
      <c r="DY61" s="34">
        <f>IF(AND(DY$5&gt;$E61,DY$5&lt;=$F61),IF(DY$5=$E61+1,$C61,""),"")</f>
        <v/>
      </c>
      <c r="DZ61" s="34">
        <f>IF(AND(DZ$5&gt;$E61,DZ$5&lt;=$F61),IF(DZ$5=$E61+1,$C61,""),"")</f>
        <v/>
      </c>
      <c r="EA61" s="34">
        <f>IF(AND(EA$5&gt;$E61,EA$5&lt;=$F61),IF(EA$5=$E61+1,$C61,""),"")</f>
        <v/>
      </c>
      <c r="EB61" s="34">
        <f>IF(AND(EB$5&gt;$E61,EB$5&lt;=$F61),IF(EB$5=$E61+1,$C61,""),"")</f>
        <v/>
      </c>
      <c r="EC61" s="34">
        <f>IF(AND(EC$5&gt;$E61,EC$5&lt;=$F61),IF(EC$5=$E61+1,$C61,""),"")</f>
        <v/>
      </c>
      <c r="ED61" s="34">
        <f>IF(AND(ED$5&gt;$E61,ED$5&lt;=$F61),IF(ED$5=$E61+1,$C61,""),"")</f>
        <v/>
      </c>
      <c r="EE61" s="34">
        <f>IF(AND(EE$5&gt;$E61,EE$5&lt;=$F61),IF(EE$5=$E61+1,$C61,""),"")</f>
        <v/>
      </c>
      <c r="EF61" s="34">
        <f>IF(AND(EF$5&gt;$E61,EF$5&lt;=$F61),IF(EF$5=$E61+1,$C61,""),"")</f>
        <v/>
      </c>
      <c r="EG61" s="34">
        <f>IF(AND(EG$5&gt;$E61,EG$5&lt;=$F61),IF(EG$5=$E61+1,$C61,""),"")</f>
        <v/>
      </c>
    </row>
    <row r="62">
      <c r="A62" s="32">
        <f>Plan!A93</f>
        <v/>
      </c>
      <c r="B62" s="33">
        <f>Plan!C93</f>
        <v/>
      </c>
      <c r="C62" s="16">
        <f>Plan!D93</f>
        <v/>
      </c>
      <c r="D62" s="16">
        <f>Plan!I93</f>
        <v/>
      </c>
      <c r="E62" s="16">
        <f>Plan!K93</f>
        <v/>
      </c>
      <c r="F62" s="16">
        <f>Plan!L93</f>
        <v/>
      </c>
      <c r="G62" s="16">
        <f>Plan!O93</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c r="CT62" s="34">
        <f>IF(AND(CT$5&gt;$E62,CT$5&lt;=$F62),IF(CT$5=$E62+1,$C62,""),"")</f>
        <v/>
      </c>
      <c r="CU62" s="34">
        <f>IF(AND(CU$5&gt;$E62,CU$5&lt;=$F62),IF(CU$5=$E62+1,$C62,""),"")</f>
        <v/>
      </c>
      <c r="CV62" s="34">
        <f>IF(AND(CV$5&gt;$E62,CV$5&lt;=$F62),IF(CV$5=$E62+1,$C62,""),"")</f>
        <v/>
      </c>
      <c r="CW62" s="34">
        <f>IF(AND(CW$5&gt;$E62,CW$5&lt;=$F62),IF(CW$5=$E62+1,$C62,""),"")</f>
        <v/>
      </c>
      <c r="CX62" s="34">
        <f>IF(AND(CX$5&gt;$E62,CX$5&lt;=$F62),IF(CX$5=$E62+1,$C62,""),"")</f>
        <v/>
      </c>
      <c r="CY62" s="34">
        <f>IF(AND(CY$5&gt;$E62,CY$5&lt;=$F62),IF(CY$5=$E62+1,$C62,""),"")</f>
        <v/>
      </c>
      <c r="CZ62" s="34">
        <f>IF(AND(CZ$5&gt;$E62,CZ$5&lt;=$F62),IF(CZ$5=$E62+1,$C62,""),"")</f>
        <v/>
      </c>
      <c r="DA62" s="34">
        <f>IF(AND(DA$5&gt;$E62,DA$5&lt;=$F62),IF(DA$5=$E62+1,$C62,""),"")</f>
        <v/>
      </c>
      <c r="DB62" s="34">
        <f>IF(AND(DB$5&gt;$E62,DB$5&lt;=$F62),IF(DB$5=$E62+1,$C62,""),"")</f>
        <v/>
      </c>
      <c r="DC62" s="34">
        <f>IF(AND(DC$5&gt;$E62,DC$5&lt;=$F62),IF(DC$5=$E62+1,$C62,""),"")</f>
        <v/>
      </c>
      <c r="DD62" s="34">
        <f>IF(AND(DD$5&gt;$E62,DD$5&lt;=$F62),IF(DD$5=$E62+1,$C62,""),"")</f>
        <v/>
      </c>
      <c r="DE62" s="34">
        <f>IF(AND(DE$5&gt;$E62,DE$5&lt;=$F62),IF(DE$5=$E62+1,$C62,""),"")</f>
        <v/>
      </c>
      <c r="DF62" s="34">
        <f>IF(AND(DF$5&gt;$E62,DF$5&lt;=$F62),IF(DF$5=$E62+1,$C62,""),"")</f>
        <v/>
      </c>
      <c r="DG62" s="34">
        <f>IF(AND(DG$5&gt;$E62,DG$5&lt;=$F62),IF(DG$5=$E62+1,$C62,""),"")</f>
        <v/>
      </c>
      <c r="DH62" s="34">
        <f>IF(AND(DH$5&gt;$E62,DH$5&lt;=$F62),IF(DH$5=$E62+1,$C62,""),"")</f>
        <v/>
      </c>
      <c r="DI62" s="34">
        <f>IF(AND(DI$5&gt;$E62,DI$5&lt;=$F62),IF(DI$5=$E62+1,$C62,""),"")</f>
        <v/>
      </c>
      <c r="DJ62" s="34">
        <f>IF(AND(DJ$5&gt;$E62,DJ$5&lt;=$F62),IF(DJ$5=$E62+1,$C62,""),"")</f>
        <v/>
      </c>
      <c r="DK62" s="34">
        <f>IF(AND(DK$5&gt;$E62,DK$5&lt;=$F62),IF(DK$5=$E62+1,$C62,""),"")</f>
        <v/>
      </c>
      <c r="DL62" s="34">
        <f>IF(AND(DL$5&gt;$E62,DL$5&lt;=$F62),IF(DL$5=$E62+1,$C62,""),"")</f>
        <v/>
      </c>
      <c r="DM62" s="34">
        <f>IF(AND(DM$5&gt;$E62,DM$5&lt;=$F62),IF(DM$5=$E62+1,$C62,""),"")</f>
        <v/>
      </c>
      <c r="DN62" s="34">
        <f>IF(AND(DN$5&gt;$E62,DN$5&lt;=$F62),IF(DN$5=$E62+1,$C62,""),"")</f>
        <v/>
      </c>
      <c r="DO62" s="34">
        <f>IF(AND(DO$5&gt;$E62,DO$5&lt;=$F62),IF(DO$5=$E62+1,$C62,""),"")</f>
        <v/>
      </c>
      <c r="DP62" s="34">
        <f>IF(AND(DP$5&gt;$E62,DP$5&lt;=$F62),IF(DP$5=$E62+1,$C62,""),"")</f>
        <v/>
      </c>
      <c r="DQ62" s="34">
        <f>IF(AND(DQ$5&gt;$E62,DQ$5&lt;=$F62),IF(DQ$5=$E62+1,$C62,""),"")</f>
        <v/>
      </c>
      <c r="DR62" s="34">
        <f>IF(AND(DR$5&gt;$E62,DR$5&lt;=$F62),IF(DR$5=$E62+1,$C62,""),"")</f>
        <v/>
      </c>
      <c r="DS62" s="34">
        <f>IF(AND(DS$5&gt;$E62,DS$5&lt;=$F62),IF(DS$5=$E62+1,$C62,""),"")</f>
        <v/>
      </c>
      <c r="DT62" s="34">
        <f>IF(AND(DT$5&gt;$E62,DT$5&lt;=$F62),IF(DT$5=$E62+1,$C62,""),"")</f>
        <v/>
      </c>
      <c r="DU62" s="34">
        <f>IF(AND(DU$5&gt;$E62,DU$5&lt;=$F62),IF(DU$5=$E62+1,$C62,""),"")</f>
        <v/>
      </c>
      <c r="DV62" s="34">
        <f>IF(AND(DV$5&gt;$E62,DV$5&lt;=$F62),IF(DV$5=$E62+1,$C62,""),"")</f>
        <v/>
      </c>
      <c r="DW62" s="34">
        <f>IF(AND(DW$5&gt;$E62,DW$5&lt;=$F62),IF(DW$5=$E62+1,$C62,""),"")</f>
        <v/>
      </c>
      <c r="DX62" s="34">
        <f>IF(AND(DX$5&gt;$E62,DX$5&lt;=$F62),IF(DX$5=$E62+1,$C62,""),"")</f>
        <v/>
      </c>
      <c r="DY62" s="34">
        <f>IF(AND(DY$5&gt;$E62,DY$5&lt;=$F62),IF(DY$5=$E62+1,$C62,""),"")</f>
        <v/>
      </c>
      <c r="DZ62" s="34">
        <f>IF(AND(DZ$5&gt;$E62,DZ$5&lt;=$F62),IF(DZ$5=$E62+1,$C62,""),"")</f>
        <v/>
      </c>
      <c r="EA62" s="34">
        <f>IF(AND(EA$5&gt;$E62,EA$5&lt;=$F62),IF(EA$5=$E62+1,$C62,""),"")</f>
        <v/>
      </c>
      <c r="EB62" s="34">
        <f>IF(AND(EB$5&gt;$E62,EB$5&lt;=$F62),IF(EB$5=$E62+1,$C62,""),"")</f>
        <v/>
      </c>
      <c r="EC62" s="34">
        <f>IF(AND(EC$5&gt;$E62,EC$5&lt;=$F62),IF(EC$5=$E62+1,$C62,""),"")</f>
        <v/>
      </c>
      <c r="ED62" s="34">
        <f>IF(AND(ED$5&gt;$E62,ED$5&lt;=$F62),IF(ED$5=$E62+1,$C62,""),"")</f>
        <v/>
      </c>
      <c r="EE62" s="34">
        <f>IF(AND(EE$5&gt;$E62,EE$5&lt;=$F62),IF(EE$5=$E62+1,$C62,""),"")</f>
        <v/>
      </c>
      <c r="EF62" s="34">
        <f>IF(AND(EF$5&gt;$E62,EF$5&lt;=$F62),IF(EF$5=$E62+1,$C62,""),"")</f>
        <v/>
      </c>
      <c r="EG62" s="34">
        <f>IF(AND(EG$5&gt;$E62,EG$5&lt;=$F62),IF(EG$5=$E62+1,$C62,""),"")</f>
        <v/>
      </c>
    </row>
    <row r="63">
      <c r="A63" s="32">
        <f>Plan!A94</f>
        <v/>
      </c>
      <c r="B63" s="33">
        <f>Plan!C94</f>
        <v/>
      </c>
      <c r="C63" s="16">
        <f>Plan!D94</f>
        <v/>
      </c>
      <c r="D63" s="16">
        <f>Plan!I94</f>
        <v/>
      </c>
      <c r="E63" s="16">
        <f>Plan!K94</f>
        <v/>
      </c>
      <c r="F63" s="16">
        <f>Plan!L94</f>
        <v/>
      </c>
      <c r="G63" s="16">
        <f>Plan!O94</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c r="CT63" s="34">
        <f>IF(AND(CT$5&gt;$E63,CT$5&lt;=$F63),IF(CT$5=$E63+1,$C63,""),"")</f>
        <v/>
      </c>
      <c r="CU63" s="34">
        <f>IF(AND(CU$5&gt;$E63,CU$5&lt;=$F63),IF(CU$5=$E63+1,$C63,""),"")</f>
        <v/>
      </c>
      <c r="CV63" s="34">
        <f>IF(AND(CV$5&gt;$E63,CV$5&lt;=$F63),IF(CV$5=$E63+1,$C63,""),"")</f>
        <v/>
      </c>
      <c r="CW63" s="34">
        <f>IF(AND(CW$5&gt;$E63,CW$5&lt;=$F63),IF(CW$5=$E63+1,$C63,""),"")</f>
        <v/>
      </c>
      <c r="CX63" s="34">
        <f>IF(AND(CX$5&gt;$E63,CX$5&lt;=$F63),IF(CX$5=$E63+1,$C63,""),"")</f>
        <v/>
      </c>
      <c r="CY63" s="34">
        <f>IF(AND(CY$5&gt;$E63,CY$5&lt;=$F63),IF(CY$5=$E63+1,$C63,""),"")</f>
        <v/>
      </c>
      <c r="CZ63" s="34">
        <f>IF(AND(CZ$5&gt;$E63,CZ$5&lt;=$F63),IF(CZ$5=$E63+1,$C63,""),"")</f>
        <v/>
      </c>
      <c r="DA63" s="34">
        <f>IF(AND(DA$5&gt;$E63,DA$5&lt;=$F63),IF(DA$5=$E63+1,$C63,""),"")</f>
        <v/>
      </c>
      <c r="DB63" s="34">
        <f>IF(AND(DB$5&gt;$E63,DB$5&lt;=$F63),IF(DB$5=$E63+1,$C63,""),"")</f>
        <v/>
      </c>
      <c r="DC63" s="34">
        <f>IF(AND(DC$5&gt;$E63,DC$5&lt;=$F63),IF(DC$5=$E63+1,$C63,""),"")</f>
        <v/>
      </c>
      <c r="DD63" s="34">
        <f>IF(AND(DD$5&gt;$E63,DD$5&lt;=$F63),IF(DD$5=$E63+1,$C63,""),"")</f>
        <v/>
      </c>
      <c r="DE63" s="34">
        <f>IF(AND(DE$5&gt;$E63,DE$5&lt;=$F63),IF(DE$5=$E63+1,$C63,""),"")</f>
        <v/>
      </c>
      <c r="DF63" s="34">
        <f>IF(AND(DF$5&gt;$E63,DF$5&lt;=$F63),IF(DF$5=$E63+1,$C63,""),"")</f>
        <v/>
      </c>
      <c r="DG63" s="34">
        <f>IF(AND(DG$5&gt;$E63,DG$5&lt;=$F63),IF(DG$5=$E63+1,$C63,""),"")</f>
        <v/>
      </c>
      <c r="DH63" s="34">
        <f>IF(AND(DH$5&gt;$E63,DH$5&lt;=$F63),IF(DH$5=$E63+1,$C63,""),"")</f>
        <v/>
      </c>
      <c r="DI63" s="34">
        <f>IF(AND(DI$5&gt;$E63,DI$5&lt;=$F63),IF(DI$5=$E63+1,$C63,""),"")</f>
        <v/>
      </c>
      <c r="DJ63" s="34">
        <f>IF(AND(DJ$5&gt;$E63,DJ$5&lt;=$F63),IF(DJ$5=$E63+1,$C63,""),"")</f>
        <v/>
      </c>
      <c r="DK63" s="34">
        <f>IF(AND(DK$5&gt;$E63,DK$5&lt;=$F63),IF(DK$5=$E63+1,$C63,""),"")</f>
        <v/>
      </c>
      <c r="DL63" s="34">
        <f>IF(AND(DL$5&gt;$E63,DL$5&lt;=$F63),IF(DL$5=$E63+1,$C63,""),"")</f>
        <v/>
      </c>
      <c r="DM63" s="34">
        <f>IF(AND(DM$5&gt;$E63,DM$5&lt;=$F63),IF(DM$5=$E63+1,$C63,""),"")</f>
        <v/>
      </c>
      <c r="DN63" s="34">
        <f>IF(AND(DN$5&gt;$E63,DN$5&lt;=$F63),IF(DN$5=$E63+1,$C63,""),"")</f>
        <v/>
      </c>
      <c r="DO63" s="34">
        <f>IF(AND(DO$5&gt;$E63,DO$5&lt;=$F63),IF(DO$5=$E63+1,$C63,""),"")</f>
        <v/>
      </c>
      <c r="DP63" s="34">
        <f>IF(AND(DP$5&gt;$E63,DP$5&lt;=$F63),IF(DP$5=$E63+1,$C63,""),"")</f>
        <v/>
      </c>
      <c r="DQ63" s="34">
        <f>IF(AND(DQ$5&gt;$E63,DQ$5&lt;=$F63),IF(DQ$5=$E63+1,$C63,""),"")</f>
        <v/>
      </c>
      <c r="DR63" s="34">
        <f>IF(AND(DR$5&gt;$E63,DR$5&lt;=$F63),IF(DR$5=$E63+1,$C63,""),"")</f>
        <v/>
      </c>
      <c r="DS63" s="34">
        <f>IF(AND(DS$5&gt;$E63,DS$5&lt;=$F63),IF(DS$5=$E63+1,$C63,""),"")</f>
        <v/>
      </c>
      <c r="DT63" s="34">
        <f>IF(AND(DT$5&gt;$E63,DT$5&lt;=$F63),IF(DT$5=$E63+1,$C63,""),"")</f>
        <v/>
      </c>
      <c r="DU63" s="34">
        <f>IF(AND(DU$5&gt;$E63,DU$5&lt;=$F63),IF(DU$5=$E63+1,$C63,""),"")</f>
        <v/>
      </c>
      <c r="DV63" s="34">
        <f>IF(AND(DV$5&gt;$E63,DV$5&lt;=$F63),IF(DV$5=$E63+1,$C63,""),"")</f>
        <v/>
      </c>
      <c r="DW63" s="34">
        <f>IF(AND(DW$5&gt;$E63,DW$5&lt;=$F63),IF(DW$5=$E63+1,$C63,""),"")</f>
        <v/>
      </c>
      <c r="DX63" s="34">
        <f>IF(AND(DX$5&gt;$E63,DX$5&lt;=$F63),IF(DX$5=$E63+1,$C63,""),"")</f>
        <v/>
      </c>
      <c r="DY63" s="34">
        <f>IF(AND(DY$5&gt;$E63,DY$5&lt;=$F63),IF(DY$5=$E63+1,$C63,""),"")</f>
        <v/>
      </c>
      <c r="DZ63" s="34">
        <f>IF(AND(DZ$5&gt;$E63,DZ$5&lt;=$F63),IF(DZ$5=$E63+1,$C63,""),"")</f>
        <v/>
      </c>
      <c r="EA63" s="34">
        <f>IF(AND(EA$5&gt;$E63,EA$5&lt;=$F63),IF(EA$5=$E63+1,$C63,""),"")</f>
        <v/>
      </c>
      <c r="EB63" s="34">
        <f>IF(AND(EB$5&gt;$E63,EB$5&lt;=$F63),IF(EB$5=$E63+1,$C63,""),"")</f>
        <v/>
      </c>
      <c r="EC63" s="34">
        <f>IF(AND(EC$5&gt;$E63,EC$5&lt;=$F63),IF(EC$5=$E63+1,$C63,""),"")</f>
        <v/>
      </c>
      <c r="ED63" s="34">
        <f>IF(AND(ED$5&gt;$E63,ED$5&lt;=$F63),IF(ED$5=$E63+1,$C63,""),"")</f>
        <v/>
      </c>
      <c r="EE63" s="34">
        <f>IF(AND(EE$5&gt;$E63,EE$5&lt;=$F63),IF(EE$5=$E63+1,$C63,""),"")</f>
        <v/>
      </c>
      <c r="EF63" s="34">
        <f>IF(AND(EF$5&gt;$E63,EF$5&lt;=$F63),IF(EF$5=$E63+1,$C63,""),"")</f>
        <v/>
      </c>
      <c r="EG63" s="34">
        <f>IF(AND(EG$5&gt;$E63,EG$5&lt;=$F63),IF(EG$5=$E63+1,$C63,""),"")</f>
        <v/>
      </c>
    </row>
    <row r="64">
      <c r="A64" s="32">
        <f>Plan!A95</f>
        <v/>
      </c>
      <c r="B64" s="33">
        <f>Plan!C95</f>
        <v/>
      </c>
      <c r="C64" s="16">
        <f>Plan!D95</f>
        <v/>
      </c>
      <c r="D64" s="16">
        <f>Plan!I95</f>
        <v/>
      </c>
      <c r="E64" s="16">
        <f>Plan!K95</f>
        <v/>
      </c>
      <c r="F64" s="16">
        <f>Plan!L95</f>
        <v/>
      </c>
      <c r="G64" s="16">
        <f>Plan!O95</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c r="CT64" s="34">
        <f>IF(AND(CT$5&gt;$E64,CT$5&lt;=$F64),IF(CT$5=$E64+1,$C64,""),"")</f>
        <v/>
      </c>
      <c r="CU64" s="34">
        <f>IF(AND(CU$5&gt;$E64,CU$5&lt;=$F64),IF(CU$5=$E64+1,$C64,""),"")</f>
        <v/>
      </c>
      <c r="CV64" s="34">
        <f>IF(AND(CV$5&gt;$E64,CV$5&lt;=$F64),IF(CV$5=$E64+1,$C64,""),"")</f>
        <v/>
      </c>
      <c r="CW64" s="34">
        <f>IF(AND(CW$5&gt;$E64,CW$5&lt;=$F64),IF(CW$5=$E64+1,$C64,""),"")</f>
        <v/>
      </c>
      <c r="CX64" s="34">
        <f>IF(AND(CX$5&gt;$E64,CX$5&lt;=$F64),IF(CX$5=$E64+1,$C64,""),"")</f>
        <v/>
      </c>
      <c r="CY64" s="34">
        <f>IF(AND(CY$5&gt;$E64,CY$5&lt;=$F64),IF(CY$5=$E64+1,$C64,""),"")</f>
        <v/>
      </c>
      <c r="CZ64" s="34">
        <f>IF(AND(CZ$5&gt;$E64,CZ$5&lt;=$F64),IF(CZ$5=$E64+1,$C64,""),"")</f>
        <v/>
      </c>
      <c r="DA64" s="34">
        <f>IF(AND(DA$5&gt;$E64,DA$5&lt;=$F64),IF(DA$5=$E64+1,$C64,""),"")</f>
        <v/>
      </c>
      <c r="DB64" s="34">
        <f>IF(AND(DB$5&gt;$E64,DB$5&lt;=$F64),IF(DB$5=$E64+1,$C64,""),"")</f>
        <v/>
      </c>
      <c r="DC64" s="34">
        <f>IF(AND(DC$5&gt;$E64,DC$5&lt;=$F64),IF(DC$5=$E64+1,$C64,""),"")</f>
        <v/>
      </c>
      <c r="DD64" s="34">
        <f>IF(AND(DD$5&gt;$E64,DD$5&lt;=$F64),IF(DD$5=$E64+1,$C64,""),"")</f>
        <v/>
      </c>
      <c r="DE64" s="34">
        <f>IF(AND(DE$5&gt;$E64,DE$5&lt;=$F64),IF(DE$5=$E64+1,$C64,""),"")</f>
        <v/>
      </c>
      <c r="DF64" s="34">
        <f>IF(AND(DF$5&gt;$E64,DF$5&lt;=$F64),IF(DF$5=$E64+1,$C64,""),"")</f>
        <v/>
      </c>
      <c r="DG64" s="34">
        <f>IF(AND(DG$5&gt;$E64,DG$5&lt;=$F64),IF(DG$5=$E64+1,$C64,""),"")</f>
        <v/>
      </c>
      <c r="DH64" s="34">
        <f>IF(AND(DH$5&gt;$E64,DH$5&lt;=$F64),IF(DH$5=$E64+1,$C64,""),"")</f>
        <v/>
      </c>
      <c r="DI64" s="34">
        <f>IF(AND(DI$5&gt;$E64,DI$5&lt;=$F64),IF(DI$5=$E64+1,$C64,""),"")</f>
        <v/>
      </c>
      <c r="DJ64" s="34">
        <f>IF(AND(DJ$5&gt;$E64,DJ$5&lt;=$F64),IF(DJ$5=$E64+1,$C64,""),"")</f>
        <v/>
      </c>
      <c r="DK64" s="34">
        <f>IF(AND(DK$5&gt;$E64,DK$5&lt;=$F64),IF(DK$5=$E64+1,$C64,""),"")</f>
        <v/>
      </c>
      <c r="DL64" s="34">
        <f>IF(AND(DL$5&gt;$E64,DL$5&lt;=$F64),IF(DL$5=$E64+1,$C64,""),"")</f>
        <v/>
      </c>
      <c r="DM64" s="34">
        <f>IF(AND(DM$5&gt;$E64,DM$5&lt;=$F64),IF(DM$5=$E64+1,$C64,""),"")</f>
        <v/>
      </c>
      <c r="DN64" s="34">
        <f>IF(AND(DN$5&gt;$E64,DN$5&lt;=$F64),IF(DN$5=$E64+1,$C64,""),"")</f>
        <v/>
      </c>
      <c r="DO64" s="34">
        <f>IF(AND(DO$5&gt;$E64,DO$5&lt;=$F64),IF(DO$5=$E64+1,$C64,""),"")</f>
        <v/>
      </c>
      <c r="DP64" s="34">
        <f>IF(AND(DP$5&gt;$E64,DP$5&lt;=$F64),IF(DP$5=$E64+1,$C64,""),"")</f>
        <v/>
      </c>
      <c r="DQ64" s="34">
        <f>IF(AND(DQ$5&gt;$E64,DQ$5&lt;=$F64),IF(DQ$5=$E64+1,$C64,""),"")</f>
        <v/>
      </c>
      <c r="DR64" s="34">
        <f>IF(AND(DR$5&gt;$E64,DR$5&lt;=$F64),IF(DR$5=$E64+1,$C64,""),"")</f>
        <v/>
      </c>
      <c r="DS64" s="34">
        <f>IF(AND(DS$5&gt;$E64,DS$5&lt;=$F64),IF(DS$5=$E64+1,$C64,""),"")</f>
        <v/>
      </c>
      <c r="DT64" s="34">
        <f>IF(AND(DT$5&gt;$E64,DT$5&lt;=$F64),IF(DT$5=$E64+1,$C64,""),"")</f>
        <v/>
      </c>
      <c r="DU64" s="34">
        <f>IF(AND(DU$5&gt;$E64,DU$5&lt;=$F64),IF(DU$5=$E64+1,$C64,""),"")</f>
        <v/>
      </c>
      <c r="DV64" s="34">
        <f>IF(AND(DV$5&gt;$E64,DV$5&lt;=$F64),IF(DV$5=$E64+1,$C64,""),"")</f>
        <v/>
      </c>
      <c r="DW64" s="34">
        <f>IF(AND(DW$5&gt;$E64,DW$5&lt;=$F64),IF(DW$5=$E64+1,$C64,""),"")</f>
        <v/>
      </c>
      <c r="DX64" s="34">
        <f>IF(AND(DX$5&gt;$E64,DX$5&lt;=$F64),IF(DX$5=$E64+1,$C64,""),"")</f>
        <v/>
      </c>
      <c r="DY64" s="34">
        <f>IF(AND(DY$5&gt;$E64,DY$5&lt;=$F64),IF(DY$5=$E64+1,$C64,""),"")</f>
        <v/>
      </c>
      <c r="DZ64" s="34">
        <f>IF(AND(DZ$5&gt;$E64,DZ$5&lt;=$F64),IF(DZ$5=$E64+1,$C64,""),"")</f>
        <v/>
      </c>
      <c r="EA64" s="34">
        <f>IF(AND(EA$5&gt;$E64,EA$5&lt;=$F64),IF(EA$5=$E64+1,$C64,""),"")</f>
        <v/>
      </c>
      <c r="EB64" s="34">
        <f>IF(AND(EB$5&gt;$E64,EB$5&lt;=$F64),IF(EB$5=$E64+1,$C64,""),"")</f>
        <v/>
      </c>
      <c r="EC64" s="34">
        <f>IF(AND(EC$5&gt;$E64,EC$5&lt;=$F64),IF(EC$5=$E64+1,$C64,""),"")</f>
        <v/>
      </c>
      <c r="ED64" s="34">
        <f>IF(AND(ED$5&gt;$E64,ED$5&lt;=$F64),IF(ED$5=$E64+1,$C64,""),"")</f>
        <v/>
      </c>
      <c r="EE64" s="34">
        <f>IF(AND(EE$5&gt;$E64,EE$5&lt;=$F64),IF(EE$5=$E64+1,$C64,""),"")</f>
        <v/>
      </c>
      <c r="EF64" s="34">
        <f>IF(AND(EF$5&gt;$E64,EF$5&lt;=$F64),IF(EF$5=$E64+1,$C64,""),"")</f>
        <v/>
      </c>
      <c r="EG64" s="34">
        <f>IF(AND(EG$5&gt;$E64,EG$5&lt;=$F64),IF(EG$5=$E64+1,$C64,""),"")</f>
        <v/>
      </c>
    </row>
    <row r="65">
      <c r="A65" s="32">
        <f>Plan!A103</f>
        <v/>
      </c>
      <c r="B65" s="33">
        <f>Plan!C103</f>
        <v/>
      </c>
      <c r="C65" s="16">
        <f>Plan!D103</f>
        <v/>
      </c>
      <c r="D65" s="16">
        <f>Plan!I103</f>
        <v/>
      </c>
      <c r="E65" s="16">
        <f>Plan!K103</f>
        <v/>
      </c>
      <c r="F65" s="16">
        <f>Plan!L103</f>
        <v/>
      </c>
      <c r="G65" s="16">
        <f>Plan!O103</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c r="CT65" s="34">
        <f>IF(AND(CT$5&gt;$E65,CT$5&lt;=$F65),IF(CT$5=$E65+1,$C65,""),"")</f>
        <v/>
      </c>
      <c r="CU65" s="34">
        <f>IF(AND(CU$5&gt;$E65,CU$5&lt;=$F65),IF(CU$5=$E65+1,$C65,""),"")</f>
        <v/>
      </c>
      <c r="CV65" s="34">
        <f>IF(AND(CV$5&gt;$E65,CV$5&lt;=$F65),IF(CV$5=$E65+1,$C65,""),"")</f>
        <v/>
      </c>
      <c r="CW65" s="34">
        <f>IF(AND(CW$5&gt;$E65,CW$5&lt;=$F65),IF(CW$5=$E65+1,$C65,""),"")</f>
        <v/>
      </c>
      <c r="CX65" s="34">
        <f>IF(AND(CX$5&gt;$E65,CX$5&lt;=$F65),IF(CX$5=$E65+1,$C65,""),"")</f>
        <v/>
      </c>
      <c r="CY65" s="34">
        <f>IF(AND(CY$5&gt;$E65,CY$5&lt;=$F65),IF(CY$5=$E65+1,$C65,""),"")</f>
        <v/>
      </c>
      <c r="CZ65" s="34">
        <f>IF(AND(CZ$5&gt;$E65,CZ$5&lt;=$F65),IF(CZ$5=$E65+1,$C65,""),"")</f>
        <v/>
      </c>
      <c r="DA65" s="34">
        <f>IF(AND(DA$5&gt;$E65,DA$5&lt;=$F65),IF(DA$5=$E65+1,$C65,""),"")</f>
        <v/>
      </c>
      <c r="DB65" s="34">
        <f>IF(AND(DB$5&gt;$E65,DB$5&lt;=$F65),IF(DB$5=$E65+1,$C65,""),"")</f>
        <v/>
      </c>
      <c r="DC65" s="34">
        <f>IF(AND(DC$5&gt;$E65,DC$5&lt;=$F65),IF(DC$5=$E65+1,$C65,""),"")</f>
        <v/>
      </c>
      <c r="DD65" s="34">
        <f>IF(AND(DD$5&gt;$E65,DD$5&lt;=$F65),IF(DD$5=$E65+1,$C65,""),"")</f>
        <v/>
      </c>
      <c r="DE65" s="34">
        <f>IF(AND(DE$5&gt;$E65,DE$5&lt;=$F65),IF(DE$5=$E65+1,$C65,""),"")</f>
        <v/>
      </c>
      <c r="DF65" s="34">
        <f>IF(AND(DF$5&gt;$E65,DF$5&lt;=$F65),IF(DF$5=$E65+1,$C65,""),"")</f>
        <v/>
      </c>
      <c r="DG65" s="34">
        <f>IF(AND(DG$5&gt;$E65,DG$5&lt;=$F65),IF(DG$5=$E65+1,$C65,""),"")</f>
        <v/>
      </c>
      <c r="DH65" s="34">
        <f>IF(AND(DH$5&gt;$E65,DH$5&lt;=$F65),IF(DH$5=$E65+1,$C65,""),"")</f>
        <v/>
      </c>
      <c r="DI65" s="34">
        <f>IF(AND(DI$5&gt;$E65,DI$5&lt;=$F65),IF(DI$5=$E65+1,$C65,""),"")</f>
        <v/>
      </c>
      <c r="DJ65" s="34">
        <f>IF(AND(DJ$5&gt;$E65,DJ$5&lt;=$F65),IF(DJ$5=$E65+1,$C65,""),"")</f>
        <v/>
      </c>
      <c r="DK65" s="34">
        <f>IF(AND(DK$5&gt;$E65,DK$5&lt;=$F65),IF(DK$5=$E65+1,$C65,""),"")</f>
        <v/>
      </c>
      <c r="DL65" s="34">
        <f>IF(AND(DL$5&gt;$E65,DL$5&lt;=$F65),IF(DL$5=$E65+1,$C65,""),"")</f>
        <v/>
      </c>
      <c r="DM65" s="34">
        <f>IF(AND(DM$5&gt;$E65,DM$5&lt;=$F65),IF(DM$5=$E65+1,$C65,""),"")</f>
        <v/>
      </c>
      <c r="DN65" s="34">
        <f>IF(AND(DN$5&gt;$E65,DN$5&lt;=$F65),IF(DN$5=$E65+1,$C65,""),"")</f>
        <v/>
      </c>
      <c r="DO65" s="34">
        <f>IF(AND(DO$5&gt;$E65,DO$5&lt;=$F65),IF(DO$5=$E65+1,$C65,""),"")</f>
        <v/>
      </c>
      <c r="DP65" s="34">
        <f>IF(AND(DP$5&gt;$E65,DP$5&lt;=$F65),IF(DP$5=$E65+1,$C65,""),"")</f>
        <v/>
      </c>
      <c r="DQ65" s="34">
        <f>IF(AND(DQ$5&gt;$E65,DQ$5&lt;=$F65),IF(DQ$5=$E65+1,$C65,""),"")</f>
        <v/>
      </c>
      <c r="DR65" s="34">
        <f>IF(AND(DR$5&gt;$E65,DR$5&lt;=$F65),IF(DR$5=$E65+1,$C65,""),"")</f>
        <v/>
      </c>
      <c r="DS65" s="34">
        <f>IF(AND(DS$5&gt;$E65,DS$5&lt;=$F65),IF(DS$5=$E65+1,$C65,""),"")</f>
        <v/>
      </c>
      <c r="DT65" s="34">
        <f>IF(AND(DT$5&gt;$E65,DT$5&lt;=$F65),IF(DT$5=$E65+1,$C65,""),"")</f>
        <v/>
      </c>
      <c r="DU65" s="34">
        <f>IF(AND(DU$5&gt;$E65,DU$5&lt;=$F65),IF(DU$5=$E65+1,$C65,""),"")</f>
        <v/>
      </c>
      <c r="DV65" s="34">
        <f>IF(AND(DV$5&gt;$E65,DV$5&lt;=$F65),IF(DV$5=$E65+1,$C65,""),"")</f>
        <v/>
      </c>
      <c r="DW65" s="34">
        <f>IF(AND(DW$5&gt;$E65,DW$5&lt;=$F65),IF(DW$5=$E65+1,$C65,""),"")</f>
        <v/>
      </c>
      <c r="DX65" s="34">
        <f>IF(AND(DX$5&gt;$E65,DX$5&lt;=$F65),IF(DX$5=$E65+1,$C65,""),"")</f>
        <v/>
      </c>
      <c r="DY65" s="34">
        <f>IF(AND(DY$5&gt;$E65,DY$5&lt;=$F65),IF(DY$5=$E65+1,$C65,""),"")</f>
        <v/>
      </c>
      <c r="DZ65" s="34">
        <f>IF(AND(DZ$5&gt;$E65,DZ$5&lt;=$F65),IF(DZ$5=$E65+1,$C65,""),"")</f>
        <v/>
      </c>
      <c r="EA65" s="34">
        <f>IF(AND(EA$5&gt;$E65,EA$5&lt;=$F65),IF(EA$5=$E65+1,$C65,""),"")</f>
        <v/>
      </c>
      <c r="EB65" s="34">
        <f>IF(AND(EB$5&gt;$E65,EB$5&lt;=$F65),IF(EB$5=$E65+1,$C65,""),"")</f>
        <v/>
      </c>
      <c r="EC65" s="34">
        <f>IF(AND(EC$5&gt;$E65,EC$5&lt;=$F65),IF(EC$5=$E65+1,$C65,""),"")</f>
        <v/>
      </c>
      <c r="ED65" s="34">
        <f>IF(AND(ED$5&gt;$E65,ED$5&lt;=$F65),IF(ED$5=$E65+1,$C65,""),"")</f>
        <v/>
      </c>
      <c r="EE65" s="34">
        <f>IF(AND(EE$5&gt;$E65,EE$5&lt;=$F65),IF(EE$5=$E65+1,$C65,""),"")</f>
        <v/>
      </c>
      <c r="EF65" s="34">
        <f>IF(AND(EF$5&gt;$E65,EF$5&lt;=$F65),IF(EF$5=$E65+1,$C65,""),"")</f>
        <v/>
      </c>
      <c r="EG65" s="34">
        <f>IF(AND(EG$5&gt;$E65,EG$5&lt;=$F65),IF(EG$5=$E65+1,$C65,""),"")</f>
        <v/>
      </c>
    </row>
    <row r="66">
      <c r="A66" s="32">
        <f>Plan!A104</f>
        <v/>
      </c>
      <c r="B66" s="33">
        <f>Plan!C104</f>
        <v/>
      </c>
      <c r="C66" s="16">
        <f>Plan!D104</f>
        <v/>
      </c>
      <c r="D66" s="16">
        <f>Plan!I104</f>
        <v/>
      </c>
      <c r="E66" s="16">
        <f>Plan!K104</f>
        <v/>
      </c>
      <c r="F66" s="16">
        <f>Plan!L104</f>
        <v/>
      </c>
      <c r="G66" s="16">
        <f>Plan!O104</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c r="CT66" s="34">
        <f>IF(AND(CT$5&gt;$E66,CT$5&lt;=$F66),IF(CT$5=$E66+1,$C66,""),"")</f>
        <v/>
      </c>
      <c r="CU66" s="34">
        <f>IF(AND(CU$5&gt;$E66,CU$5&lt;=$F66),IF(CU$5=$E66+1,$C66,""),"")</f>
        <v/>
      </c>
      <c r="CV66" s="34">
        <f>IF(AND(CV$5&gt;$E66,CV$5&lt;=$F66),IF(CV$5=$E66+1,$C66,""),"")</f>
        <v/>
      </c>
      <c r="CW66" s="34">
        <f>IF(AND(CW$5&gt;$E66,CW$5&lt;=$F66),IF(CW$5=$E66+1,$C66,""),"")</f>
        <v/>
      </c>
      <c r="CX66" s="34">
        <f>IF(AND(CX$5&gt;$E66,CX$5&lt;=$F66),IF(CX$5=$E66+1,$C66,""),"")</f>
        <v/>
      </c>
      <c r="CY66" s="34">
        <f>IF(AND(CY$5&gt;$E66,CY$5&lt;=$F66),IF(CY$5=$E66+1,$C66,""),"")</f>
        <v/>
      </c>
      <c r="CZ66" s="34">
        <f>IF(AND(CZ$5&gt;$E66,CZ$5&lt;=$F66),IF(CZ$5=$E66+1,$C66,""),"")</f>
        <v/>
      </c>
      <c r="DA66" s="34">
        <f>IF(AND(DA$5&gt;$E66,DA$5&lt;=$F66),IF(DA$5=$E66+1,$C66,""),"")</f>
        <v/>
      </c>
      <c r="DB66" s="34">
        <f>IF(AND(DB$5&gt;$E66,DB$5&lt;=$F66),IF(DB$5=$E66+1,$C66,""),"")</f>
        <v/>
      </c>
      <c r="DC66" s="34">
        <f>IF(AND(DC$5&gt;$E66,DC$5&lt;=$F66),IF(DC$5=$E66+1,$C66,""),"")</f>
        <v/>
      </c>
      <c r="DD66" s="34">
        <f>IF(AND(DD$5&gt;$E66,DD$5&lt;=$F66),IF(DD$5=$E66+1,$C66,""),"")</f>
        <v/>
      </c>
      <c r="DE66" s="34">
        <f>IF(AND(DE$5&gt;$E66,DE$5&lt;=$F66),IF(DE$5=$E66+1,$C66,""),"")</f>
        <v/>
      </c>
      <c r="DF66" s="34">
        <f>IF(AND(DF$5&gt;$E66,DF$5&lt;=$F66),IF(DF$5=$E66+1,$C66,""),"")</f>
        <v/>
      </c>
      <c r="DG66" s="34">
        <f>IF(AND(DG$5&gt;$E66,DG$5&lt;=$F66),IF(DG$5=$E66+1,$C66,""),"")</f>
        <v/>
      </c>
      <c r="DH66" s="34">
        <f>IF(AND(DH$5&gt;$E66,DH$5&lt;=$F66),IF(DH$5=$E66+1,$C66,""),"")</f>
        <v/>
      </c>
      <c r="DI66" s="34">
        <f>IF(AND(DI$5&gt;$E66,DI$5&lt;=$F66),IF(DI$5=$E66+1,$C66,""),"")</f>
        <v/>
      </c>
      <c r="DJ66" s="34">
        <f>IF(AND(DJ$5&gt;$E66,DJ$5&lt;=$F66),IF(DJ$5=$E66+1,$C66,""),"")</f>
        <v/>
      </c>
      <c r="DK66" s="34">
        <f>IF(AND(DK$5&gt;$E66,DK$5&lt;=$F66),IF(DK$5=$E66+1,$C66,""),"")</f>
        <v/>
      </c>
      <c r="DL66" s="34">
        <f>IF(AND(DL$5&gt;$E66,DL$5&lt;=$F66),IF(DL$5=$E66+1,$C66,""),"")</f>
        <v/>
      </c>
      <c r="DM66" s="34">
        <f>IF(AND(DM$5&gt;$E66,DM$5&lt;=$F66),IF(DM$5=$E66+1,$C66,""),"")</f>
        <v/>
      </c>
      <c r="DN66" s="34">
        <f>IF(AND(DN$5&gt;$E66,DN$5&lt;=$F66),IF(DN$5=$E66+1,$C66,""),"")</f>
        <v/>
      </c>
      <c r="DO66" s="34">
        <f>IF(AND(DO$5&gt;$E66,DO$5&lt;=$F66),IF(DO$5=$E66+1,$C66,""),"")</f>
        <v/>
      </c>
      <c r="DP66" s="34">
        <f>IF(AND(DP$5&gt;$E66,DP$5&lt;=$F66),IF(DP$5=$E66+1,$C66,""),"")</f>
        <v/>
      </c>
      <c r="DQ66" s="34">
        <f>IF(AND(DQ$5&gt;$E66,DQ$5&lt;=$F66),IF(DQ$5=$E66+1,$C66,""),"")</f>
        <v/>
      </c>
      <c r="DR66" s="34">
        <f>IF(AND(DR$5&gt;$E66,DR$5&lt;=$F66),IF(DR$5=$E66+1,$C66,""),"")</f>
        <v/>
      </c>
      <c r="DS66" s="34">
        <f>IF(AND(DS$5&gt;$E66,DS$5&lt;=$F66),IF(DS$5=$E66+1,$C66,""),"")</f>
        <v/>
      </c>
      <c r="DT66" s="34">
        <f>IF(AND(DT$5&gt;$E66,DT$5&lt;=$F66),IF(DT$5=$E66+1,$C66,""),"")</f>
        <v/>
      </c>
      <c r="DU66" s="34">
        <f>IF(AND(DU$5&gt;$E66,DU$5&lt;=$F66),IF(DU$5=$E66+1,$C66,""),"")</f>
        <v/>
      </c>
      <c r="DV66" s="34">
        <f>IF(AND(DV$5&gt;$E66,DV$5&lt;=$F66),IF(DV$5=$E66+1,$C66,""),"")</f>
        <v/>
      </c>
      <c r="DW66" s="34">
        <f>IF(AND(DW$5&gt;$E66,DW$5&lt;=$F66),IF(DW$5=$E66+1,$C66,""),"")</f>
        <v/>
      </c>
      <c r="DX66" s="34">
        <f>IF(AND(DX$5&gt;$E66,DX$5&lt;=$F66),IF(DX$5=$E66+1,$C66,""),"")</f>
        <v/>
      </c>
      <c r="DY66" s="34">
        <f>IF(AND(DY$5&gt;$E66,DY$5&lt;=$F66),IF(DY$5=$E66+1,$C66,""),"")</f>
        <v/>
      </c>
      <c r="DZ66" s="34">
        <f>IF(AND(DZ$5&gt;$E66,DZ$5&lt;=$F66),IF(DZ$5=$E66+1,$C66,""),"")</f>
        <v/>
      </c>
      <c r="EA66" s="34">
        <f>IF(AND(EA$5&gt;$E66,EA$5&lt;=$F66),IF(EA$5=$E66+1,$C66,""),"")</f>
        <v/>
      </c>
      <c r="EB66" s="34">
        <f>IF(AND(EB$5&gt;$E66,EB$5&lt;=$F66),IF(EB$5=$E66+1,$C66,""),"")</f>
        <v/>
      </c>
      <c r="EC66" s="34">
        <f>IF(AND(EC$5&gt;$E66,EC$5&lt;=$F66),IF(EC$5=$E66+1,$C66,""),"")</f>
        <v/>
      </c>
      <c r="ED66" s="34">
        <f>IF(AND(ED$5&gt;$E66,ED$5&lt;=$F66),IF(ED$5=$E66+1,$C66,""),"")</f>
        <v/>
      </c>
      <c r="EE66" s="34">
        <f>IF(AND(EE$5&gt;$E66,EE$5&lt;=$F66),IF(EE$5=$E66+1,$C66,""),"")</f>
        <v/>
      </c>
      <c r="EF66" s="34">
        <f>IF(AND(EF$5&gt;$E66,EF$5&lt;=$F66),IF(EF$5=$E66+1,$C66,""),"")</f>
        <v/>
      </c>
      <c r="EG66" s="34">
        <f>IF(AND(EG$5&gt;$E66,EG$5&lt;=$F66),IF(EG$5=$E66+1,$C66,""),"")</f>
        <v/>
      </c>
    </row>
    <row r="67">
      <c r="A67" s="27" t="inlineStr">
        <is>
          <t>Fase 5. Convenios y pulido</t>
        </is>
      </c>
      <c r="B67" s="28" t="n"/>
      <c r="C67" s="28" t="n"/>
      <c r="D67" s="28" t="n"/>
      <c r="E67" s="29">
        <f>SUMPRODUCT(MIN((Plan!$B$5:$B$117="5. Convenios y pulido")*Plan!$K$5:$K$117+(Plan!$B$5:$B$117&lt;&gt;"5. Convenios y pulido")*1E9))</f>
        <v/>
      </c>
      <c r="F67" s="29">
        <f>SUMPRODUCT(MAX((Plan!$B$5:$B$117="5. Convenios y pulido")*Plan!$L$5:$L$117))</f>
        <v/>
      </c>
      <c r="G67" s="30">
        <f>Resumen!E33</f>
        <v/>
      </c>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row>
    <row r="68">
      <c r="A68" s="32">
        <f>Plan!A48</f>
        <v/>
      </c>
      <c r="B68" s="33">
        <f>Plan!C48</f>
        <v/>
      </c>
      <c r="C68" s="16">
        <f>Plan!D48</f>
        <v/>
      </c>
      <c r="D68" s="16">
        <f>Plan!I48</f>
        <v/>
      </c>
      <c r="E68" s="16">
        <f>Plan!K48</f>
        <v/>
      </c>
      <c r="F68" s="16">
        <f>Plan!L48</f>
        <v/>
      </c>
      <c r="G68" s="16">
        <f>Plan!O48</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c r="CT68" s="34">
        <f>IF(AND(CT$5&gt;$E68,CT$5&lt;=$F68),IF(CT$5=$E68+1,$C68,""),"")</f>
        <v/>
      </c>
      <c r="CU68" s="34">
        <f>IF(AND(CU$5&gt;$E68,CU$5&lt;=$F68),IF(CU$5=$E68+1,$C68,""),"")</f>
        <v/>
      </c>
      <c r="CV68" s="34">
        <f>IF(AND(CV$5&gt;$E68,CV$5&lt;=$F68),IF(CV$5=$E68+1,$C68,""),"")</f>
        <v/>
      </c>
      <c r="CW68" s="34">
        <f>IF(AND(CW$5&gt;$E68,CW$5&lt;=$F68),IF(CW$5=$E68+1,$C68,""),"")</f>
        <v/>
      </c>
      <c r="CX68" s="34">
        <f>IF(AND(CX$5&gt;$E68,CX$5&lt;=$F68),IF(CX$5=$E68+1,$C68,""),"")</f>
        <v/>
      </c>
      <c r="CY68" s="34">
        <f>IF(AND(CY$5&gt;$E68,CY$5&lt;=$F68),IF(CY$5=$E68+1,$C68,""),"")</f>
        <v/>
      </c>
      <c r="CZ68" s="34">
        <f>IF(AND(CZ$5&gt;$E68,CZ$5&lt;=$F68),IF(CZ$5=$E68+1,$C68,""),"")</f>
        <v/>
      </c>
      <c r="DA68" s="34">
        <f>IF(AND(DA$5&gt;$E68,DA$5&lt;=$F68),IF(DA$5=$E68+1,$C68,""),"")</f>
        <v/>
      </c>
      <c r="DB68" s="34">
        <f>IF(AND(DB$5&gt;$E68,DB$5&lt;=$F68),IF(DB$5=$E68+1,$C68,""),"")</f>
        <v/>
      </c>
      <c r="DC68" s="34">
        <f>IF(AND(DC$5&gt;$E68,DC$5&lt;=$F68),IF(DC$5=$E68+1,$C68,""),"")</f>
        <v/>
      </c>
      <c r="DD68" s="34">
        <f>IF(AND(DD$5&gt;$E68,DD$5&lt;=$F68),IF(DD$5=$E68+1,$C68,""),"")</f>
        <v/>
      </c>
      <c r="DE68" s="34">
        <f>IF(AND(DE$5&gt;$E68,DE$5&lt;=$F68),IF(DE$5=$E68+1,$C68,""),"")</f>
        <v/>
      </c>
      <c r="DF68" s="34">
        <f>IF(AND(DF$5&gt;$E68,DF$5&lt;=$F68),IF(DF$5=$E68+1,$C68,""),"")</f>
        <v/>
      </c>
      <c r="DG68" s="34">
        <f>IF(AND(DG$5&gt;$E68,DG$5&lt;=$F68),IF(DG$5=$E68+1,$C68,""),"")</f>
        <v/>
      </c>
      <c r="DH68" s="34">
        <f>IF(AND(DH$5&gt;$E68,DH$5&lt;=$F68),IF(DH$5=$E68+1,$C68,""),"")</f>
        <v/>
      </c>
      <c r="DI68" s="34">
        <f>IF(AND(DI$5&gt;$E68,DI$5&lt;=$F68),IF(DI$5=$E68+1,$C68,""),"")</f>
        <v/>
      </c>
      <c r="DJ68" s="34">
        <f>IF(AND(DJ$5&gt;$E68,DJ$5&lt;=$F68),IF(DJ$5=$E68+1,$C68,""),"")</f>
        <v/>
      </c>
      <c r="DK68" s="34">
        <f>IF(AND(DK$5&gt;$E68,DK$5&lt;=$F68),IF(DK$5=$E68+1,$C68,""),"")</f>
        <v/>
      </c>
      <c r="DL68" s="34">
        <f>IF(AND(DL$5&gt;$E68,DL$5&lt;=$F68),IF(DL$5=$E68+1,$C68,""),"")</f>
        <v/>
      </c>
      <c r="DM68" s="34">
        <f>IF(AND(DM$5&gt;$E68,DM$5&lt;=$F68),IF(DM$5=$E68+1,$C68,""),"")</f>
        <v/>
      </c>
      <c r="DN68" s="34">
        <f>IF(AND(DN$5&gt;$E68,DN$5&lt;=$F68),IF(DN$5=$E68+1,$C68,""),"")</f>
        <v/>
      </c>
      <c r="DO68" s="34">
        <f>IF(AND(DO$5&gt;$E68,DO$5&lt;=$F68),IF(DO$5=$E68+1,$C68,""),"")</f>
        <v/>
      </c>
      <c r="DP68" s="34">
        <f>IF(AND(DP$5&gt;$E68,DP$5&lt;=$F68),IF(DP$5=$E68+1,$C68,""),"")</f>
        <v/>
      </c>
      <c r="DQ68" s="34">
        <f>IF(AND(DQ$5&gt;$E68,DQ$5&lt;=$F68),IF(DQ$5=$E68+1,$C68,""),"")</f>
        <v/>
      </c>
      <c r="DR68" s="34">
        <f>IF(AND(DR$5&gt;$E68,DR$5&lt;=$F68),IF(DR$5=$E68+1,$C68,""),"")</f>
        <v/>
      </c>
      <c r="DS68" s="34">
        <f>IF(AND(DS$5&gt;$E68,DS$5&lt;=$F68),IF(DS$5=$E68+1,$C68,""),"")</f>
        <v/>
      </c>
      <c r="DT68" s="34">
        <f>IF(AND(DT$5&gt;$E68,DT$5&lt;=$F68),IF(DT$5=$E68+1,$C68,""),"")</f>
        <v/>
      </c>
      <c r="DU68" s="34">
        <f>IF(AND(DU$5&gt;$E68,DU$5&lt;=$F68),IF(DU$5=$E68+1,$C68,""),"")</f>
        <v/>
      </c>
      <c r="DV68" s="34">
        <f>IF(AND(DV$5&gt;$E68,DV$5&lt;=$F68),IF(DV$5=$E68+1,$C68,""),"")</f>
        <v/>
      </c>
      <c r="DW68" s="34">
        <f>IF(AND(DW$5&gt;$E68,DW$5&lt;=$F68),IF(DW$5=$E68+1,$C68,""),"")</f>
        <v/>
      </c>
      <c r="DX68" s="34">
        <f>IF(AND(DX$5&gt;$E68,DX$5&lt;=$F68),IF(DX$5=$E68+1,$C68,""),"")</f>
        <v/>
      </c>
      <c r="DY68" s="34">
        <f>IF(AND(DY$5&gt;$E68,DY$5&lt;=$F68),IF(DY$5=$E68+1,$C68,""),"")</f>
        <v/>
      </c>
      <c r="DZ68" s="34">
        <f>IF(AND(DZ$5&gt;$E68,DZ$5&lt;=$F68),IF(DZ$5=$E68+1,$C68,""),"")</f>
        <v/>
      </c>
      <c r="EA68" s="34">
        <f>IF(AND(EA$5&gt;$E68,EA$5&lt;=$F68),IF(EA$5=$E68+1,$C68,""),"")</f>
        <v/>
      </c>
      <c r="EB68" s="34">
        <f>IF(AND(EB$5&gt;$E68,EB$5&lt;=$F68),IF(EB$5=$E68+1,$C68,""),"")</f>
        <v/>
      </c>
      <c r="EC68" s="34">
        <f>IF(AND(EC$5&gt;$E68,EC$5&lt;=$F68),IF(EC$5=$E68+1,$C68,""),"")</f>
        <v/>
      </c>
      <c r="ED68" s="34">
        <f>IF(AND(ED$5&gt;$E68,ED$5&lt;=$F68),IF(ED$5=$E68+1,$C68,""),"")</f>
        <v/>
      </c>
      <c r="EE68" s="34">
        <f>IF(AND(EE$5&gt;$E68,EE$5&lt;=$F68),IF(EE$5=$E68+1,$C68,""),"")</f>
        <v/>
      </c>
      <c r="EF68" s="34">
        <f>IF(AND(EF$5&gt;$E68,EF$5&lt;=$F68),IF(EF$5=$E68+1,$C68,""),"")</f>
        <v/>
      </c>
      <c r="EG68" s="34">
        <f>IF(AND(EG$5&gt;$E68,EG$5&lt;=$F68),IF(EG$5=$E68+1,$C68,""),"")</f>
        <v/>
      </c>
    </row>
    <row r="69">
      <c r="A69" s="32">
        <f>Plan!A49</f>
        <v/>
      </c>
      <c r="B69" s="33">
        <f>Plan!C49</f>
        <v/>
      </c>
      <c r="C69" s="16">
        <f>Plan!D49</f>
        <v/>
      </c>
      <c r="D69" s="16">
        <f>Plan!I49</f>
        <v/>
      </c>
      <c r="E69" s="16">
        <f>Plan!K49</f>
        <v/>
      </c>
      <c r="F69" s="16">
        <f>Plan!L49</f>
        <v/>
      </c>
      <c r="G69" s="16">
        <f>Plan!O49</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c r="CT69" s="34">
        <f>IF(AND(CT$5&gt;$E69,CT$5&lt;=$F69),IF(CT$5=$E69+1,$C69,""),"")</f>
        <v/>
      </c>
      <c r="CU69" s="34">
        <f>IF(AND(CU$5&gt;$E69,CU$5&lt;=$F69),IF(CU$5=$E69+1,$C69,""),"")</f>
        <v/>
      </c>
      <c r="CV69" s="34">
        <f>IF(AND(CV$5&gt;$E69,CV$5&lt;=$F69),IF(CV$5=$E69+1,$C69,""),"")</f>
        <v/>
      </c>
      <c r="CW69" s="34">
        <f>IF(AND(CW$5&gt;$E69,CW$5&lt;=$F69),IF(CW$5=$E69+1,$C69,""),"")</f>
        <v/>
      </c>
      <c r="CX69" s="34">
        <f>IF(AND(CX$5&gt;$E69,CX$5&lt;=$F69),IF(CX$5=$E69+1,$C69,""),"")</f>
        <v/>
      </c>
      <c r="CY69" s="34">
        <f>IF(AND(CY$5&gt;$E69,CY$5&lt;=$F69),IF(CY$5=$E69+1,$C69,""),"")</f>
        <v/>
      </c>
      <c r="CZ69" s="34">
        <f>IF(AND(CZ$5&gt;$E69,CZ$5&lt;=$F69),IF(CZ$5=$E69+1,$C69,""),"")</f>
        <v/>
      </c>
      <c r="DA69" s="34">
        <f>IF(AND(DA$5&gt;$E69,DA$5&lt;=$F69),IF(DA$5=$E69+1,$C69,""),"")</f>
        <v/>
      </c>
      <c r="DB69" s="34">
        <f>IF(AND(DB$5&gt;$E69,DB$5&lt;=$F69),IF(DB$5=$E69+1,$C69,""),"")</f>
        <v/>
      </c>
      <c r="DC69" s="34">
        <f>IF(AND(DC$5&gt;$E69,DC$5&lt;=$F69),IF(DC$5=$E69+1,$C69,""),"")</f>
        <v/>
      </c>
      <c r="DD69" s="34">
        <f>IF(AND(DD$5&gt;$E69,DD$5&lt;=$F69),IF(DD$5=$E69+1,$C69,""),"")</f>
        <v/>
      </c>
      <c r="DE69" s="34">
        <f>IF(AND(DE$5&gt;$E69,DE$5&lt;=$F69),IF(DE$5=$E69+1,$C69,""),"")</f>
        <v/>
      </c>
      <c r="DF69" s="34">
        <f>IF(AND(DF$5&gt;$E69,DF$5&lt;=$F69),IF(DF$5=$E69+1,$C69,""),"")</f>
        <v/>
      </c>
      <c r="DG69" s="34">
        <f>IF(AND(DG$5&gt;$E69,DG$5&lt;=$F69),IF(DG$5=$E69+1,$C69,""),"")</f>
        <v/>
      </c>
      <c r="DH69" s="34">
        <f>IF(AND(DH$5&gt;$E69,DH$5&lt;=$F69),IF(DH$5=$E69+1,$C69,""),"")</f>
        <v/>
      </c>
      <c r="DI69" s="34">
        <f>IF(AND(DI$5&gt;$E69,DI$5&lt;=$F69),IF(DI$5=$E69+1,$C69,""),"")</f>
        <v/>
      </c>
      <c r="DJ69" s="34">
        <f>IF(AND(DJ$5&gt;$E69,DJ$5&lt;=$F69),IF(DJ$5=$E69+1,$C69,""),"")</f>
        <v/>
      </c>
      <c r="DK69" s="34">
        <f>IF(AND(DK$5&gt;$E69,DK$5&lt;=$F69),IF(DK$5=$E69+1,$C69,""),"")</f>
        <v/>
      </c>
      <c r="DL69" s="34">
        <f>IF(AND(DL$5&gt;$E69,DL$5&lt;=$F69),IF(DL$5=$E69+1,$C69,""),"")</f>
        <v/>
      </c>
      <c r="DM69" s="34">
        <f>IF(AND(DM$5&gt;$E69,DM$5&lt;=$F69),IF(DM$5=$E69+1,$C69,""),"")</f>
        <v/>
      </c>
      <c r="DN69" s="34">
        <f>IF(AND(DN$5&gt;$E69,DN$5&lt;=$F69),IF(DN$5=$E69+1,$C69,""),"")</f>
        <v/>
      </c>
      <c r="DO69" s="34">
        <f>IF(AND(DO$5&gt;$E69,DO$5&lt;=$F69),IF(DO$5=$E69+1,$C69,""),"")</f>
        <v/>
      </c>
      <c r="DP69" s="34">
        <f>IF(AND(DP$5&gt;$E69,DP$5&lt;=$F69),IF(DP$5=$E69+1,$C69,""),"")</f>
        <v/>
      </c>
      <c r="DQ69" s="34">
        <f>IF(AND(DQ$5&gt;$E69,DQ$5&lt;=$F69),IF(DQ$5=$E69+1,$C69,""),"")</f>
        <v/>
      </c>
      <c r="DR69" s="34">
        <f>IF(AND(DR$5&gt;$E69,DR$5&lt;=$F69),IF(DR$5=$E69+1,$C69,""),"")</f>
        <v/>
      </c>
      <c r="DS69" s="34">
        <f>IF(AND(DS$5&gt;$E69,DS$5&lt;=$F69),IF(DS$5=$E69+1,$C69,""),"")</f>
        <v/>
      </c>
      <c r="DT69" s="34">
        <f>IF(AND(DT$5&gt;$E69,DT$5&lt;=$F69),IF(DT$5=$E69+1,$C69,""),"")</f>
        <v/>
      </c>
      <c r="DU69" s="34">
        <f>IF(AND(DU$5&gt;$E69,DU$5&lt;=$F69),IF(DU$5=$E69+1,$C69,""),"")</f>
        <v/>
      </c>
      <c r="DV69" s="34">
        <f>IF(AND(DV$5&gt;$E69,DV$5&lt;=$F69),IF(DV$5=$E69+1,$C69,""),"")</f>
        <v/>
      </c>
      <c r="DW69" s="34">
        <f>IF(AND(DW$5&gt;$E69,DW$5&lt;=$F69),IF(DW$5=$E69+1,$C69,""),"")</f>
        <v/>
      </c>
      <c r="DX69" s="34">
        <f>IF(AND(DX$5&gt;$E69,DX$5&lt;=$F69),IF(DX$5=$E69+1,$C69,""),"")</f>
        <v/>
      </c>
      <c r="DY69" s="34">
        <f>IF(AND(DY$5&gt;$E69,DY$5&lt;=$F69),IF(DY$5=$E69+1,$C69,""),"")</f>
        <v/>
      </c>
      <c r="DZ69" s="34">
        <f>IF(AND(DZ$5&gt;$E69,DZ$5&lt;=$F69),IF(DZ$5=$E69+1,$C69,""),"")</f>
        <v/>
      </c>
      <c r="EA69" s="34">
        <f>IF(AND(EA$5&gt;$E69,EA$5&lt;=$F69),IF(EA$5=$E69+1,$C69,""),"")</f>
        <v/>
      </c>
      <c r="EB69" s="34">
        <f>IF(AND(EB$5&gt;$E69,EB$5&lt;=$F69),IF(EB$5=$E69+1,$C69,""),"")</f>
        <v/>
      </c>
      <c r="EC69" s="34">
        <f>IF(AND(EC$5&gt;$E69,EC$5&lt;=$F69),IF(EC$5=$E69+1,$C69,""),"")</f>
        <v/>
      </c>
      <c r="ED69" s="34">
        <f>IF(AND(ED$5&gt;$E69,ED$5&lt;=$F69),IF(ED$5=$E69+1,$C69,""),"")</f>
        <v/>
      </c>
      <c r="EE69" s="34">
        <f>IF(AND(EE$5&gt;$E69,EE$5&lt;=$F69),IF(EE$5=$E69+1,$C69,""),"")</f>
        <v/>
      </c>
      <c r="EF69" s="34">
        <f>IF(AND(EF$5&gt;$E69,EF$5&lt;=$F69),IF(EF$5=$E69+1,$C69,""),"")</f>
        <v/>
      </c>
      <c r="EG69" s="34">
        <f>IF(AND(EG$5&gt;$E69,EG$5&lt;=$F69),IF(EG$5=$E69+1,$C69,""),"")</f>
        <v/>
      </c>
    </row>
    <row r="70">
      <c r="A70" s="32">
        <f>Plan!A50</f>
        <v/>
      </c>
      <c r="B70" s="33">
        <f>Plan!C50</f>
        <v/>
      </c>
      <c r="C70" s="16">
        <f>Plan!D50</f>
        <v/>
      </c>
      <c r="D70" s="16">
        <f>Plan!I50</f>
        <v/>
      </c>
      <c r="E70" s="16">
        <f>Plan!K50</f>
        <v/>
      </c>
      <c r="F70" s="16">
        <f>Plan!L50</f>
        <v/>
      </c>
      <c r="G70" s="16">
        <f>Plan!O50</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c r="CT70" s="34">
        <f>IF(AND(CT$5&gt;$E70,CT$5&lt;=$F70),IF(CT$5=$E70+1,$C70,""),"")</f>
        <v/>
      </c>
      <c r="CU70" s="34">
        <f>IF(AND(CU$5&gt;$E70,CU$5&lt;=$F70),IF(CU$5=$E70+1,$C70,""),"")</f>
        <v/>
      </c>
      <c r="CV70" s="34">
        <f>IF(AND(CV$5&gt;$E70,CV$5&lt;=$F70),IF(CV$5=$E70+1,$C70,""),"")</f>
        <v/>
      </c>
      <c r="CW70" s="34">
        <f>IF(AND(CW$5&gt;$E70,CW$5&lt;=$F70),IF(CW$5=$E70+1,$C70,""),"")</f>
        <v/>
      </c>
      <c r="CX70" s="34">
        <f>IF(AND(CX$5&gt;$E70,CX$5&lt;=$F70),IF(CX$5=$E70+1,$C70,""),"")</f>
        <v/>
      </c>
      <c r="CY70" s="34">
        <f>IF(AND(CY$5&gt;$E70,CY$5&lt;=$F70),IF(CY$5=$E70+1,$C70,""),"")</f>
        <v/>
      </c>
      <c r="CZ70" s="34">
        <f>IF(AND(CZ$5&gt;$E70,CZ$5&lt;=$F70),IF(CZ$5=$E70+1,$C70,""),"")</f>
        <v/>
      </c>
      <c r="DA70" s="34">
        <f>IF(AND(DA$5&gt;$E70,DA$5&lt;=$F70),IF(DA$5=$E70+1,$C70,""),"")</f>
        <v/>
      </c>
      <c r="DB70" s="34">
        <f>IF(AND(DB$5&gt;$E70,DB$5&lt;=$F70),IF(DB$5=$E70+1,$C70,""),"")</f>
        <v/>
      </c>
      <c r="DC70" s="34">
        <f>IF(AND(DC$5&gt;$E70,DC$5&lt;=$F70),IF(DC$5=$E70+1,$C70,""),"")</f>
        <v/>
      </c>
      <c r="DD70" s="34">
        <f>IF(AND(DD$5&gt;$E70,DD$5&lt;=$F70),IF(DD$5=$E70+1,$C70,""),"")</f>
        <v/>
      </c>
      <c r="DE70" s="34">
        <f>IF(AND(DE$5&gt;$E70,DE$5&lt;=$F70),IF(DE$5=$E70+1,$C70,""),"")</f>
        <v/>
      </c>
      <c r="DF70" s="34">
        <f>IF(AND(DF$5&gt;$E70,DF$5&lt;=$F70),IF(DF$5=$E70+1,$C70,""),"")</f>
        <v/>
      </c>
      <c r="DG70" s="34">
        <f>IF(AND(DG$5&gt;$E70,DG$5&lt;=$F70),IF(DG$5=$E70+1,$C70,""),"")</f>
        <v/>
      </c>
      <c r="DH70" s="34">
        <f>IF(AND(DH$5&gt;$E70,DH$5&lt;=$F70),IF(DH$5=$E70+1,$C70,""),"")</f>
        <v/>
      </c>
      <c r="DI70" s="34">
        <f>IF(AND(DI$5&gt;$E70,DI$5&lt;=$F70),IF(DI$5=$E70+1,$C70,""),"")</f>
        <v/>
      </c>
      <c r="DJ70" s="34">
        <f>IF(AND(DJ$5&gt;$E70,DJ$5&lt;=$F70),IF(DJ$5=$E70+1,$C70,""),"")</f>
        <v/>
      </c>
      <c r="DK70" s="34">
        <f>IF(AND(DK$5&gt;$E70,DK$5&lt;=$F70),IF(DK$5=$E70+1,$C70,""),"")</f>
        <v/>
      </c>
      <c r="DL70" s="34">
        <f>IF(AND(DL$5&gt;$E70,DL$5&lt;=$F70),IF(DL$5=$E70+1,$C70,""),"")</f>
        <v/>
      </c>
      <c r="DM70" s="34">
        <f>IF(AND(DM$5&gt;$E70,DM$5&lt;=$F70),IF(DM$5=$E70+1,$C70,""),"")</f>
        <v/>
      </c>
      <c r="DN70" s="34">
        <f>IF(AND(DN$5&gt;$E70,DN$5&lt;=$F70),IF(DN$5=$E70+1,$C70,""),"")</f>
        <v/>
      </c>
      <c r="DO70" s="34">
        <f>IF(AND(DO$5&gt;$E70,DO$5&lt;=$F70),IF(DO$5=$E70+1,$C70,""),"")</f>
        <v/>
      </c>
      <c r="DP70" s="34">
        <f>IF(AND(DP$5&gt;$E70,DP$5&lt;=$F70),IF(DP$5=$E70+1,$C70,""),"")</f>
        <v/>
      </c>
      <c r="DQ70" s="34">
        <f>IF(AND(DQ$5&gt;$E70,DQ$5&lt;=$F70),IF(DQ$5=$E70+1,$C70,""),"")</f>
        <v/>
      </c>
      <c r="DR70" s="34">
        <f>IF(AND(DR$5&gt;$E70,DR$5&lt;=$F70),IF(DR$5=$E70+1,$C70,""),"")</f>
        <v/>
      </c>
      <c r="DS70" s="34">
        <f>IF(AND(DS$5&gt;$E70,DS$5&lt;=$F70),IF(DS$5=$E70+1,$C70,""),"")</f>
        <v/>
      </c>
      <c r="DT70" s="34">
        <f>IF(AND(DT$5&gt;$E70,DT$5&lt;=$F70),IF(DT$5=$E70+1,$C70,""),"")</f>
        <v/>
      </c>
      <c r="DU70" s="34">
        <f>IF(AND(DU$5&gt;$E70,DU$5&lt;=$F70),IF(DU$5=$E70+1,$C70,""),"")</f>
        <v/>
      </c>
      <c r="DV70" s="34">
        <f>IF(AND(DV$5&gt;$E70,DV$5&lt;=$F70),IF(DV$5=$E70+1,$C70,""),"")</f>
        <v/>
      </c>
      <c r="DW70" s="34">
        <f>IF(AND(DW$5&gt;$E70,DW$5&lt;=$F70),IF(DW$5=$E70+1,$C70,""),"")</f>
        <v/>
      </c>
      <c r="DX70" s="34">
        <f>IF(AND(DX$5&gt;$E70,DX$5&lt;=$F70),IF(DX$5=$E70+1,$C70,""),"")</f>
        <v/>
      </c>
      <c r="DY70" s="34">
        <f>IF(AND(DY$5&gt;$E70,DY$5&lt;=$F70),IF(DY$5=$E70+1,$C70,""),"")</f>
        <v/>
      </c>
      <c r="DZ70" s="34">
        <f>IF(AND(DZ$5&gt;$E70,DZ$5&lt;=$F70),IF(DZ$5=$E70+1,$C70,""),"")</f>
        <v/>
      </c>
      <c r="EA70" s="34">
        <f>IF(AND(EA$5&gt;$E70,EA$5&lt;=$F70),IF(EA$5=$E70+1,$C70,""),"")</f>
        <v/>
      </c>
      <c r="EB70" s="34">
        <f>IF(AND(EB$5&gt;$E70,EB$5&lt;=$F70),IF(EB$5=$E70+1,$C70,""),"")</f>
        <v/>
      </c>
      <c r="EC70" s="34">
        <f>IF(AND(EC$5&gt;$E70,EC$5&lt;=$F70),IF(EC$5=$E70+1,$C70,""),"")</f>
        <v/>
      </c>
      <c r="ED70" s="34">
        <f>IF(AND(ED$5&gt;$E70,ED$5&lt;=$F70),IF(ED$5=$E70+1,$C70,""),"")</f>
        <v/>
      </c>
      <c r="EE70" s="34">
        <f>IF(AND(EE$5&gt;$E70,EE$5&lt;=$F70),IF(EE$5=$E70+1,$C70,""),"")</f>
        <v/>
      </c>
      <c r="EF70" s="34">
        <f>IF(AND(EF$5&gt;$E70,EF$5&lt;=$F70),IF(EF$5=$E70+1,$C70,""),"")</f>
        <v/>
      </c>
      <c r="EG70" s="34">
        <f>IF(AND(EG$5&gt;$E70,EG$5&lt;=$F70),IF(EG$5=$E70+1,$C70,""),"")</f>
        <v/>
      </c>
    </row>
    <row r="71">
      <c r="A71" s="32">
        <f>Plan!A51</f>
        <v/>
      </c>
      <c r="B71" s="33">
        <f>Plan!C51</f>
        <v/>
      </c>
      <c r="C71" s="16">
        <f>Plan!D51</f>
        <v/>
      </c>
      <c r="D71" s="16">
        <f>Plan!I51</f>
        <v/>
      </c>
      <c r="E71" s="16">
        <f>Plan!K51</f>
        <v/>
      </c>
      <c r="F71" s="16">
        <f>Plan!L51</f>
        <v/>
      </c>
      <c r="G71" s="16">
        <f>Plan!O51</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c r="CT71" s="34">
        <f>IF(AND(CT$5&gt;$E71,CT$5&lt;=$F71),IF(CT$5=$E71+1,$C71,""),"")</f>
        <v/>
      </c>
      <c r="CU71" s="34">
        <f>IF(AND(CU$5&gt;$E71,CU$5&lt;=$F71),IF(CU$5=$E71+1,$C71,""),"")</f>
        <v/>
      </c>
      <c r="CV71" s="34">
        <f>IF(AND(CV$5&gt;$E71,CV$5&lt;=$F71),IF(CV$5=$E71+1,$C71,""),"")</f>
        <v/>
      </c>
      <c r="CW71" s="34">
        <f>IF(AND(CW$5&gt;$E71,CW$5&lt;=$F71),IF(CW$5=$E71+1,$C71,""),"")</f>
        <v/>
      </c>
      <c r="CX71" s="34">
        <f>IF(AND(CX$5&gt;$E71,CX$5&lt;=$F71),IF(CX$5=$E71+1,$C71,""),"")</f>
        <v/>
      </c>
      <c r="CY71" s="34">
        <f>IF(AND(CY$5&gt;$E71,CY$5&lt;=$F71),IF(CY$5=$E71+1,$C71,""),"")</f>
        <v/>
      </c>
      <c r="CZ71" s="34">
        <f>IF(AND(CZ$5&gt;$E71,CZ$5&lt;=$F71),IF(CZ$5=$E71+1,$C71,""),"")</f>
        <v/>
      </c>
      <c r="DA71" s="34">
        <f>IF(AND(DA$5&gt;$E71,DA$5&lt;=$F71),IF(DA$5=$E71+1,$C71,""),"")</f>
        <v/>
      </c>
      <c r="DB71" s="34">
        <f>IF(AND(DB$5&gt;$E71,DB$5&lt;=$F71),IF(DB$5=$E71+1,$C71,""),"")</f>
        <v/>
      </c>
      <c r="DC71" s="34">
        <f>IF(AND(DC$5&gt;$E71,DC$5&lt;=$F71),IF(DC$5=$E71+1,$C71,""),"")</f>
        <v/>
      </c>
      <c r="DD71" s="34">
        <f>IF(AND(DD$5&gt;$E71,DD$5&lt;=$F71),IF(DD$5=$E71+1,$C71,""),"")</f>
        <v/>
      </c>
      <c r="DE71" s="34">
        <f>IF(AND(DE$5&gt;$E71,DE$5&lt;=$F71),IF(DE$5=$E71+1,$C71,""),"")</f>
        <v/>
      </c>
      <c r="DF71" s="34">
        <f>IF(AND(DF$5&gt;$E71,DF$5&lt;=$F71),IF(DF$5=$E71+1,$C71,""),"")</f>
        <v/>
      </c>
      <c r="DG71" s="34">
        <f>IF(AND(DG$5&gt;$E71,DG$5&lt;=$F71),IF(DG$5=$E71+1,$C71,""),"")</f>
        <v/>
      </c>
      <c r="DH71" s="34">
        <f>IF(AND(DH$5&gt;$E71,DH$5&lt;=$F71),IF(DH$5=$E71+1,$C71,""),"")</f>
        <v/>
      </c>
      <c r="DI71" s="34">
        <f>IF(AND(DI$5&gt;$E71,DI$5&lt;=$F71),IF(DI$5=$E71+1,$C71,""),"")</f>
        <v/>
      </c>
      <c r="DJ71" s="34">
        <f>IF(AND(DJ$5&gt;$E71,DJ$5&lt;=$F71),IF(DJ$5=$E71+1,$C71,""),"")</f>
        <v/>
      </c>
      <c r="DK71" s="34">
        <f>IF(AND(DK$5&gt;$E71,DK$5&lt;=$F71),IF(DK$5=$E71+1,$C71,""),"")</f>
        <v/>
      </c>
      <c r="DL71" s="34">
        <f>IF(AND(DL$5&gt;$E71,DL$5&lt;=$F71),IF(DL$5=$E71+1,$C71,""),"")</f>
        <v/>
      </c>
      <c r="DM71" s="34">
        <f>IF(AND(DM$5&gt;$E71,DM$5&lt;=$F71),IF(DM$5=$E71+1,$C71,""),"")</f>
        <v/>
      </c>
      <c r="DN71" s="34">
        <f>IF(AND(DN$5&gt;$E71,DN$5&lt;=$F71),IF(DN$5=$E71+1,$C71,""),"")</f>
        <v/>
      </c>
      <c r="DO71" s="34">
        <f>IF(AND(DO$5&gt;$E71,DO$5&lt;=$F71),IF(DO$5=$E71+1,$C71,""),"")</f>
        <v/>
      </c>
      <c r="DP71" s="34">
        <f>IF(AND(DP$5&gt;$E71,DP$5&lt;=$F71),IF(DP$5=$E71+1,$C71,""),"")</f>
        <v/>
      </c>
      <c r="DQ71" s="34">
        <f>IF(AND(DQ$5&gt;$E71,DQ$5&lt;=$F71),IF(DQ$5=$E71+1,$C71,""),"")</f>
        <v/>
      </c>
      <c r="DR71" s="34">
        <f>IF(AND(DR$5&gt;$E71,DR$5&lt;=$F71),IF(DR$5=$E71+1,$C71,""),"")</f>
        <v/>
      </c>
      <c r="DS71" s="34">
        <f>IF(AND(DS$5&gt;$E71,DS$5&lt;=$F71),IF(DS$5=$E71+1,$C71,""),"")</f>
        <v/>
      </c>
      <c r="DT71" s="34">
        <f>IF(AND(DT$5&gt;$E71,DT$5&lt;=$F71),IF(DT$5=$E71+1,$C71,""),"")</f>
        <v/>
      </c>
      <c r="DU71" s="34">
        <f>IF(AND(DU$5&gt;$E71,DU$5&lt;=$F71),IF(DU$5=$E71+1,$C71,""),"")</f>
        <v/>
      </c>
      <c r="DV71" s="34">
        <f>IF(AND(DV$5&gt;$E71,DV$5&lt;=$F71),IF(DV$5=$E71+1,$C71,""),"")</f>
        <v/>
      </c>
      <c r="DW71" s="34">
        <f>IF(AND(DW$5&gt;$E71,DW$5&lt;=$F71),IF(DW$5=$E71+1,$C71,""),"")</f>
        <v/>
      </c>
      <c r="DX71" s="34">
        <f>IF(AND(DX$5&gt;$E71,DX$5&lt;=$F71),IF(DX$5=$E71+1,$C71,""),"")</f>
        <v/>
      </c>
      <c r="DY71" s="34">
        <f>IF(AND(DY$5&gt;$E71,DY$5&lt;=$F71),IF(DY$5=$E71+1,$C71,""),"")</f>
        <v/>
      </c>
      <c r="DZ71" s="34">
        <f>IF(AND(DZ$5&gt;$E71,DZ$5&lt;=$F71),IF(DZ$5=$E71+1,$C71,""),"")</f>
        <v/>
      </c>
      <c r="EA71" s="34">
        <f>IF(AND(EA$5&gt;$E71,EA$5&lt;=$F71),IF(EA$5=$E71+1,$C71,""),"")</f>
        <v/>
      </c>
      <c r="EB71" s="34">
        <f>IF(AND(EB$5&gt;$E71,EB$5&lt;=$F71),IF(EB$5=$E71+1,$C71,""),"")</f>
        <v/>
      </c>
      <c r="EC71" s="34">
        <f>IF(AND(EC$5&gt;$E71,EC$5&lt;=$F71),IF(EC$5=$E71+1,$C71,""),"")</f>
        <v/>
      </c>
      <c r="ED71" s="34">
        <f>IF(AND(ED$5&gt;$E71,ED$5&lt;=$F71),IF(ED$5=$E71+1,$C71,""),"")</f>
        <v/>
      </c>
      <c r="EE71" s="34">
        <f>IF(AND(EE$5&gt;$E71,EE$5&lt;=$F71),IF(EE$5=$E71+1,$C71,""),"")</f>
        <v/>
      </c>
      <c r="EF71" s="34">
        <f>IF(AND(EF$5&gt;$E71,EF$5&lt;=$F71),IF(EF$5=$E71+1,$C71,""),"")</f>
        <v/>
      </c>
      <c r="EG71" s="34">
        <f>IF(AND(EG$5&gt;$E71,EG$5&lt;=$F71),IF(EG$5=$E71+1,$C71,""),"")</f>
        <v/>
      </c>
    </row>
    <row r="72">
      <c r="A72" s="32">
        <f>Plan!A52</f>
        <v/>
      </c>
      <c r="B72" s="33">
        <f>Plan!C52</f>
        <v/>
      </c>
      <c r="C72" s="16">
        <f>Plan!D52</f>
        <v/>
      </c>
      <c r="D72" s="16">
        <f>Plan!I52</f>
        <v/>
      </c>
      <c r="E72" s="16">
        <f>Plan!K52</f>
        <v/>
      </c>
      <c r="F72" s="16">
        <f>Plan!L52</f>
        <v/>
      </c>
      <c r="G72" s="16">
        <f>Plan!O52</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c r="CT72" s="34">
        <f>IF(AND(CT$5&gt;$E72,CT$5&lt;=$F72),IF(CT$5=$E72+1,$C72,""),"")</f>
        <v/>
      </c>
      <c r="CU72" s="34">
        <f>IF(AND(CU$5&gt;$E72,CU$5&lt;=$F72),IF(CU$5=$E72+1,$C72,""),"")</f>
        <v/>
      </c>
      <c r="CV72" s="34">
        <f>IF(AND(CV$5&gt;$E72,CV$5&lt;=$F72),IF(CV$5=$E72+1,$C72,""),"")</f>
        <v/>
      </c>
      <c r="CW72" s="34">
        <f>IF(AND(CW$5&gt;$E72,CW$5&lt;=$F72),IF(CW$5=$E72+1,$C72,""),"")</f>
        <v/>
      </c>
      <c r="CX72" s="34">
        <f>IF(AND(CX$5&gt;$E72,CX$5&lt;=$F72),IF(CX$5=$E72+1,$C72,""),"")</f>
        <v/>
      </c>
      <c r="CY72" s="34">
        <f>IF(AND(CY$5&gt;$E72,CY$5&lt;=$F72),IF(CY$5=$E72+1,$C72,""),"")</f>
        <v/>
      </c>
      <c r="CZ72" s="34">
        <f>IF(AND(CZ$5&gt;$E72,CZ$5&lt;=$F72),IF(CZ$5=$E72+1,$C72,""),"")</f>
        <v/>
      </c>
      <c r="DA72" s="34">
        <f>IF(AND(DA$5&gt;$E72,DA$5&lt;=$F72),IF(DA$5=$E72+1,$C72,""),"")</f>
        <v/>
      </c>
      <c r="DB72" s="34">
        <f>IF(AND(DB$5&gt;$E72,DB$5&lt;=$F72),IF(DB$5=$E72+1,$C72,""),"")</f>
        <v/>
      </c>
      <c r="DC72" s="34">
        <f>IF(AND(DC$5&gt;$E72,DC$5&lt;=$F72),IF(DC$5=$E72+1,$C72,""),"")</f>
        <v/>
      </c>
      <c r="DD72" s="34">
        <f>IF(AND(DD$5&gt;$E72,DD$5&lt;=$F72),IF(DD$5=$E72+1,$C72,""),"")</f>
        <v/>
      </c>
      <c r="DE72" s="34">
        <f>IF(AND(DE$5&gt;$E72,DE$5&lt;=$F72),IF(DE$5=$E72+1,$C72,""),"")</f>
        <v/>
      </c>
      <c r="DF72" s="34">
        <f>IF(AND(DF$5&gt;$E72,DF$5&lt;=$F72),IF(DF$5=$E72+1,$C72,""),"")</f>
        <v/>
      </c>
      <c r="DG72" s="34">
        <f>IF(AND(DG$5&gt;$E72,DG$5&lt;=$F72),IF(DG$5=$E72+1,$C72,""),"")</f>
        <v/>
      </c>
      <c r="DH72" s="34">
        <f>IF(AND(DH$5&gt;$E72,DH$5&lt;=$F72),IF(DH$5=$E72+1,$C72,""),"")</f>
        <v/>
      </c>
      <c r="DI72" s="34">
        <f>IF(AND(DI$5&gt;$E72,DI$5&lt;=$F72),IF(DI$5=$E72+1,$C72,""),"")</f>
        <v/>
      </c>
      <c r="DJ72" s="34">
        <f>IF(AND(DJ$5&gt;$E72,DJ$5&lt;=$F72),IF(DJ$5=$E72+1,$C72,""),"")</f>
        <v/>
      </c>
      <c r="DK72" s="34">
        <f>IF(AND(DK$5&gt;$E72,DK$5&lt;=$F72),IF(DK$5=$E72+1,$C72,""),"")</f>
        <v/>
      </c>
      <c r="DL72" s="34">
        <f>IF(AND(DL$5&gt;$E72,DL$5&lt;=$F72),IF(DL$5=$E72+1,$C72,""),"")</f>
        <v/>
      </c>
      <c r="DM72" s="34">
        <f>IF(AND(DM$5&gt;$E72,DM$5&lt;=$F72),IF(DM$5=$E72+1,$C72,""),"")</f>
        <v/>
      </c>
      <c r="DN72" s="34">
        <f>IF(AND(DN$5&gt;$E72,DN$5&lt;=$F72),IF(DN$5=$E72+1,$C72,""),"")</f>
        <v/>
      </c>
      <c r="DO72" s="34">
        <f>IF(AND(DO$5&gt;$E72,DO$5&lt;=$F72),IF(DO$5=$E72+1,$C72,""),"")</f>
        <v/>
      </c>
      <c r="DP72" s="34">
        <f>IF(AND(DP$5&gt;$E72,DP$5&lt;=$F72),IF(DP$5=$E72+1,$C72,""),"")</f>
        <v/>
      </c>
      <c r="DQ72" s="34">
        <f>IF(AND(DQ$5&gt;$E72,DQ$5&lt;=$F72),IF(DQ$5=$E72+1,$C72,""),"")</f>
        <v/>
      </c>
      <c r="DR72" s="34">
        <f>IF(AND(DR$5&gt;$E72,DR$5&lt;=$F72),IF(DR$5=$E72+1,$C72,""),"")</f>
        <v/>
      </c>
      <c r="DS72" s="34">
        <f>IF(AND(DS$5&gt;$E72,DS$5&lt;=$F72),IF(DS$5=$E72+1,$C72,""),"")</f>
        <v/>
      </c>
      <c r="DT72" s="34">
        <f>IF(AND(DT$5&gt;$E72,DT$5&lt;=$F72),IF(DT$5=$E72+1,$C72,""),"")</f>
        <v/>
      </c>
      <c r="DU72" s="34">
        <f>IF(AND(DU$5&gt;$E72,DU$5&lt;=$F72),IF(DU$5=$E72+1,$C72,""),"")</f>
        <v/>
      </c>
      <c r="DV72" s="34">
        <f>IF(AND(DV$5&gt;$E72,DV$5&lt;=$F72),IF(DV$5=$E72+1,$C72,""),"")</f>
        <v/>
      </c>
      <c r="DW72" s="34">
        <f>IF(AND(DW$5&gt;$E72,DW$5&lt;=$F72),IF(DW$5=$E72+1,$C72,""),"")</f>
        <v/>
      </c>
      <c r="DX72" s="34">
        <f>IF(AND(DX$5&gt;$E72,DX$5&lt;=$F72),IF(DX$5=$E72+1,$C72,""),"")</f>
        <v/>
      </c>
      <c r="DY72" s="34">
        <f>IF(AND(DY$5&gt;$E72,DY$5&lt;=$F72),IF(DY$5=$E72+1,$C72,""),"")</f>
        <v/>
      </c>
      <c r="DZ72" s="34">
        <f>IF(AND(DZ$5&gt;$E72,DZ$5&lt;=$F72),IF(DZ$5=$E72+1,$C72,""),"")</f>
        <v/>
      </c>
      <c r="EA72" s="34">
        <f>IF(AND(EA$5&gt;$E72,EA$5&lt;=$F72),IF(EA$5=$E72+1,$C72,""),"")</f>
        <v/>
      </c>
      <c r="EB72" s="34">
        <f>IF(AND(EB$5&gt;$E72,EB$5&lt;=$F72),IF(EB$5=$E72+1,$C72,""),"")</f>
        <v/>
      </c>
      <c r="EC72" s="34">
        <f>IF(AND(EC$5&gt;$E72,EC$5&lt;=$F72),IF(EC$5=$E72+1,$C72,""),"")</f>
        <v/>
      </c>
      <c r="ED72" s="34">
        <f>IF(AND(ED$5&gt;$E72,ED$5&lt;=$F72),IF(ED$5=$E72+1,$C72,""),"")</f>
        <v/>
      </c>
      <c r="EE72" s="34">
        <f>IF(AND(EE$5&gt;$E72,EE$5&lt;=$F72),IF(EE$5=$E72+1,$C72,""),"")</f>
        <v/>
      </c>
      <c r="EF72" s="34">
        <f>IF(AND(EF$5&gt;$E72,EF$5&lt;=$F72),IF(EF$5=$E72+1,$C72,""),"")</f>
        <v/>
      </c>
      <c r="EG72" s="34">
        <f>IF(AND(EG$5&gt;$E72,EG$5&lt;=$F72),IF(EG$5=$E72+1,$C72,""),"")</f>
        <v/>
      </c>
    </row>
    <row r="73">
      <c r="A73" s="32">
        <f>Plan!A53</f>
        <v/>
      </c>
      <c r="B73" s="33">
        <f>Plan!C53</f>
        <v/>
      </c>
      <c r="C73" s="16">
        <f>Plan!D53</f>
        <v/>
      </c>
      <c r="D73" s="16">
        <f>Plan!I53</f>
        <v/>
      </c>
      <c r="E73" s="16">
        <f>Plan!K53</f>
        <v/>
      </c>
      <c r="F73" s="16">
        <f>Plan!L53</f>
        <v/>
      </c>
      <c r="G73" s="16">
        <f>Plan!O53</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c r="CT73" s="34">
        <f>IF(AND(CT$5&gt;$E73,CT$5&lt;=$F73),IF(CT$5=$E73+1,$C73,""),"")</f>
        <v/>
      </c>
      <c r="CU73" s="34">
        <f>IF(AND(CU$5&gt;$E73,CU$5&lt;=$F73),IF(CU$5=$E73+1,$C73,""),"")</f>
        <v/>
      </c>
      <c r="CV73" s="34">
        <f>IF(AND(CV$5&gt;$E73,CV$5&lt;=$F73),IF(CV$5=$E73+1,$C73,""),"")</f>
        <v/>
      </c>
      <c r="CW73" s="34">
        <f>IF(AND(CW$5&gt;$E73,CW$5&lt;=$F73),IF(CW$5=$E73+1,$C73,""),"")</f>
        <v/>
      </c>
      <c r="CX73" s="34">
        <f>IF(AND(CX$5&gt;$E73,CX$5&lt;=$F73),IF(CX$5=$E73+1,$C73,""),"")</f>
        <v/>
      </c>
      <c r="CY73" s="34">
        <f>IF(AND(CY$5&gt;$E73,CY$5&lt;=$F73),IF(CY$5=$E73+1,$C73,""),"")</f>
        <v/>
      </c>
      <c r="CZ73" s="34">
        <f>IF(AND(CZ$5&gt;$E73,CZ$5&lt;=$F73),IF(CZ$5=$E73+1,$C73,""),"")</f>
        <v/>
      </c>
      <c r="DA73" s="34">
        <f>IF(AND(DA$5&gt;$E73,DA$5&lt;=$F73),IF(DA$5=$E73+1,$C73,""),"")</f>
        <v/>
      </c>
      <c r="DB73" s="34">
        <f>IF(AND(DB$5&gt;$E73,DB$5&lt;=$F73),IF(DB$5=$E73+1,$C73,""),"")</f>
        <v/>
      </c>
      <c r="DC73" s="34">
        <f>IF(AND(DC$5&gt;$E73,DC$5&lt;=$F73),IF(DC$5=$E73+1,$C73,""),"")</f>
        <v/>
      </c>
      <c r="DD73" s="34">
        <f>IF(AND(DD$5&gt;$E73,DD$5&lt;=$F73),IF(DD$5=$E73+1,$C73,""),"")</f>
        <v/>
      </c>
      <c r="DE73" s="34">
        <f>IF(AND(DE$5&gt;$E73,DE$5&lt;=$F73),IF(DE$5=$E73+1,$C73,""),"")</f>
        <v/>
      </c>
      <c r="DF73" s="34">
        <f>IF(AND(DF$5&gt;$E73,DF$5&lt;=$F73),IF(DF$5=$E73+1,$C73,""),"")</f>
        <v/>
      </c>
      <c r="DG73" s="34">
        <f>IF(AND(DG$5&gt;$E73,DG$5&lt;=$F73),IF(DG$5=$E73+1,$C73,""),"")</f>
        <v/>
      </c>
      <c r="DH73" s="34">
        <f>IF(AND(DH$5&gt;$E73,DH$5&lt;=$F73),IF(DH$5=$E73+1,$C73,""),"")</f>
        <v/>
      </c>
      <c r="DI73" s="34">
        <f>IF(AND(DI$5&gt;$E73,DI$5&lt;=$F73),IF(DI$5=$E73+1,$C73,""),"")</f>
        <v/>
      </c>
      <c r="DJ73" s="34">
        <f>IF(AND(DJ$5&gt;$E73,DJ$5&lt;=$F73),IF(DJ$5=$E73+1,$C73,""),"")</f>
        <v/>
      </c>
      <c r="DK73" s="34">
        <f>IF(AND(DK$5&gt;$E73,DK$5&lt;=$F73),IF(DK$5=$E73+1,$C73,""),"")</f>
        <v/>
      </c>
      <c r="DL73" s="34">
        <f>IF(AND(DL$5&gt;$E73,DL$5&lt;=$F73),IF(DL$5=$E73+1,$C73,""),"")</f>
        <v/>
      </c>
      <c r="DM73" s="34">
        <f>IF(AND(DM$5&gt;$E73,DM$5&lt;=$F73),IF(DM$5=$E73+1,$C73,""),"")</f>
        <v/>
      </c>
      <c r="DN73" s="34">
        <f>IF(AND(DN$5&gt;$E73,DN$5&lt;=$F73),IF(DN$5=$E73+1,$C73,""),"")</f>
        <v/>
      </c>
      <c r="DO73" s="34">
        <f>IF(AND(DO$5&gt;$E73,DO$5&lt;=$F73),IF(DO$5=$E73+1,$C73,""),"")</f>
        <v/>
      </c>
      <c r="DP73" s="34">
        <f>IF(AND(DP$5&gt;$E73,DP$5&lt;=$F73),IF(DP$5=$E73+1,$C73,""),"")</f>
        <v/>
      </c>
      <c r="DQ73" s="34">
        <f>IF(AND(DQ$5&gt;$E73,DQ$5&lt;=$F73),IF(DQ$5=$E73+1,$C73,""),"")</f>
        <v/>
      </c>
      <c r="DR73" s="34">
        <f>IF(AND(DR$5&gt;$E73,DR$5&lt;=$F73),IF(DR$5=$E73+1,$C73,""),"")</f>
        <v/>
      </c>
      <c r="DS73" s="34">
        <f>IF(AND(DS$5&gt;$E73,DS$5&lt;=$F73),IF(DS$5=$E73+1,$C73,""),"")</f>
        <v/>
      </c>
      <c r="DT73" s="34">
        <f>IF(AND(DT$5&gt;$E73,DT$5&lt;=$F73),IF(DT$5=$E73+1,$C73,""),"")</f>
        <v/>
      </c>
      <c r="DU73" s="34">
        <f>IF(AND(DU$5&gt;$E73,DU$5&lt;=$F73),IF(DU$5=$E73+1,$C73,""),"")</f>
        <v/>
      </c>
      <c r="DV73" s="34">
        <f>IF(AND(DV$5&gt;$E73,DV$5&lt;=$F73),IF(DV$5=$E73+1,$C73,""),"")</f>
        <v/>
      </c>
      <c r="DW73" s="34">
        <f>IF(AND(DW$5&gt;$E73,DW$5&lt;=$F73),IF(DW$5=$E73+1,$C73,""),"")</f>
        <v/>
      </c>
      <c r="DX73" s="34">
        <f>IF(AND(DX$5&gt;$E73,DX$5&lt;=$F73),IF(DX$5=$E73+1,$C73,""),"")</f>
        <v/>
      </c>
      <c r="DY73" s="34">
        <f>IF(AND(DY$5&gt;$E73,DY$5&lt;=$F73),IF(DY$5=$E73+1,$C73,""),"")</f>
        <v/>
      </c>
      <c r="DZ73" s="34">
        <f>IF(AND(DZ$5&gt;$E73,DZ$5&lt;=$F73),IF(DZ$5=$E73+1,$C73,""),"")</f>
        <v/>
      </c>
      <c r="EA73" s="34">
        <f>IF(AND(EA$5&gt;$E73,EA$5&lt;=$F73),IF(EA$5=$E73+1,$C73,""),"")</f>
        <v/>
      </c>
      <c r="EB73" s="34">
        <f>IF(AND(EB$5&gt;$E73,EB$5&lt;=$F73),IF(EB$5=$E73+1,$C73,""),"")</f>
        <v/>
      </c>
      <c r="EC73" s="34">
        <f>IF(AND(EC$5&gt;$E73,EC$5&lt;=$F73),IF(EC$5=$E73+1,$C73,""),"")</f>
        <v/>
      </c>
      <c r="ED73" s="34">
        <f>IF(AND(ED$5&gt;$E73,ED$5&lt;=$F73),IF(ED$5=$E73+1,$C73,""),"")</f>
        <v/>
      </c>
      <c r="EE73" s="34">
        <f>IF(AND(EE$5&gt;$E73,EE$5&lt;=$F73),IF(EE$5=$E73+1,$C73,""),"")</f>
        <v/>
      </c>
      <c r="EF73" s="34">
        <f>IF(AND(EF$5&gt;$E73,EF$5&lt;=$F73),IF(EF$5=$E73+1,$C73,""),"")</f>
        <v/>
      </c>
      <c r="EG73" s="34">
        <f>IF(AND(EG$5&gt;$E73,EG$5&lt;=$F73),IF(EG$5=$E73+1,$C73,""),"")</f>
        <v/>
      </c>
    </row>
    <row r="74">
      <c r="A74" s="32">
        <f>Plan!A54</f>
        <v/>
      </c>
      <c r="B74" s="33">
        <f>Plan!C54</f>
        <v/>
      </c>
      <c r="C74" s="16">
        <f>Plan!D54</f>
        <v/>
      </c>
      <c r="D74" s="16">
        <f>Plan!I54</f>
        <v/>
      </c>
      <c r="E74" s="16">
        <f>Plan!K54</f>
        <v/>
      </c>
      <c r="F74" s="16">
        <f>Plan!L54</f>
        <v/>
      </c>
      <c r="G74" s="16">
        <f>Plan!O54</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c r="CT74" s="34">
        <f>IF(AND(CT$5&gt;$E74,CT$5&lt;=$F74),IF(CT$5=$E74+1,$C74,""),"")</f>
        <v/>
      </c>
      <c r="CU74" s="34">
        <f>IF(AND(CU$5&gt;$E74,CU$5&lt;=$F74),IF(CU$5=$E74+1,$C74,""),"")</f>
        <v/>
      </c>
      <c r="CV74" s="34">
        <f>IF(AND(CV$5&gt;$E74,CV$5&lt;=$F74),IF(CV$5=$E74+1,$C74,""),"")</f>
        <v/>
      </c>
      <c r="CW74" s="34">
        <f>IF(AND(CW$5&gt;$E74,CW$5&lt;=$F74),IF(CW$5=$E74+1,$C74,""),"")</f>
        <v/>
      </c>
      <c r="CX74" s="34">
        <f>IF(AND(CX$5&gt;$E74,CX$5&lt;=$F74),IF(CX$5=$E74+1,$C74,""),"")</f>
        <v/>
      </c>
      <c r="CY74" s="34">
        <f>IF(AND(CY$5&gt;$E74,CY$5&lt;=$F74),IF(CY$5=$E74+1,$C74,""),"")</f>
        <v/>
      </c>
      <c r="CZ74" s="34">
        <f>IF(AND(CZ$5&gt;$E74,CZ$5&lt;=$F74),IF(CZ$5=$E74+1,$C74,""),"")</f>
        <v/>
      </c>
      <c r="DA74" s="34">
        <f>IF(AND(DA$5&gt;$E74,DA$5&lt;=$F74),IF(DA$5=$E74+1,$C74,""),"")</f>
        <v/>
      </c>
      <c r="DB74" s="34">
        <f>IF(AND(DB$5&gt;$E74,DB$5&lt;=$F74),IF(DB$5=$E74+1,$C74,""),"")</f>
        <v/>
      </c>
      <c r="DC74" s="34">
        <f>IF(AND(DC$5&gt;$E74,DC$5&lt;=$F74),IF(DC$5=$E74+1,$C74,""),"")</f>
        <v/>
      </c>
      <c r="DD74" s="34">
        <f>IF(AND(DD$5&gt;$E74,DD$5&lt;=$F74),IF(DD$5=$E74+1,$C74,""),"")</f>
        <v/>
      </c>
      <c r="DE74" s="34">
        <f>IF(AND(DE$5&gt;$E74,DE$5&lt;=$F74),IF(DE$5=$E74+1,$C74,""),"")</f>
        <v/>
      </c>
      <c r="DF74" s="34">
        <f>IF(AND(DF$5&gt;$E74,DF$5&lt;=$F74),IF(DF$5=$E74+1,$C74,""),"")</f>
        <v/>
      </c>
      <c r="DG74" s="34">
        <f>IF(AND(DG$5&gt;$E74,DG$5&lt;=$F74),IF(DG$5=$E74+1,$C74,""),"")</f>
        <v/>
      </c>
      <c r="DH74" s="34">
        <f>IF(AND(DH$5&gt;$E74,DH$5&lt;=$F74),IF(DH$5=$E74+1,$C74,""),"")</f>
        <v/>
      </c>
      <c r="DI74" s="34">
        <f>IF(AND(DI$5&gt;$E74,DI$5&lt;=$F74),IF(DI$5=$E74+1,$C74,""),"")</f>
        <v/>
      </c>
      <c r="DJ74" s="34">
        <f>IF(AND(DJ$5&gt;$E74,DJ$5&lt;=$F74),IF(DJ$5=$E74+1,$C74,""),"")</f>
        <v/>
      </c>
      <c r="DK74" s="34">
        <f>IF(AND(DK$5&gt;$E74,DK$5&lt;=$F74),IF(DK$5=$E74+1,$C74,""),"")</f>
        <v/>
      </c>
      <c r="DL74" s="34">
        <f>IF(AND(DL$5&gt;$E74,DL$5&lt;=$F74),IF(DL$5=$E74+1,$C74,""),"")</f>
        <v/>
      </c>
      <c r="DM74" s="34">
        <f>IF(AND(DM$5&gt;$E74,DM$5&lt;=$F74),IF(DM$5=$E74+1,$C74,""),"")</f>
        <v/>
      </c>
      <c r="DN74" s="34">
        <f>IF(AND(DN$5&gt;$E74,DN$5&lt;=$F74),IF(DN$5=$E74+1,$C74,""),"")</f>
        <v/>
      </c>
      <c r="DO74" s="34">
        <f>IF(AND(DO$5&gt;$E74,DO$5&lt;=$F74),IF(DO$5=$E74+1,$C74,""),"")</f>
        <v/>
      </c>
      <c r="DP74" s="34">
        <f>IF(AND(DP$5&gt;$E74,DP$5&lt;=$F74),IF(DP$5=$E74+1,$C74,""),"")</f>
        <v/>
      </c>
      <c r="DQ74" s="34">
        <f>IF(AND(DQ$5&gt;$E74,DQ$5&lt;=$F74),IF(DQ$5=$E74+1,$C74,""),"")</f>
        <v/>
      </c>
      <c r="DR74" s="34">
        <f>IF(AND(DR$5&gt;$E74,DR$5&lt;=$F74),IF(DR$5=$E74+1,$C74,""),"")</f>
        <v/>
      </c>
      <c r="DS74" s="34">
        <f>IF(AND(DS$5&gt;$E74,DS$5&lt;=$F74),IF(DS$5=$E74+1,$C74,""),"")</f>
        <v/>
      </c>
      <c r="DT74" s="34">
        <f>IF(AND(DT$5&gt;$E74,DT$5&lt;=$F74),IF(DT$5=$E74+1,$C74,""),"")</f>
        <v/>
      </c>
      <c r="DU74" s="34">
        <f>IF(AND(DU$5&gt;$E74,DU$5&lt;=$F74),IF(DU$5=$E74+1,$C74,""),"")</f>
        <v/>
      </c>
      <c r="DV74" s="34">
        <f>IF(AND(DV$5&gt;$E74,DV$5&lt;=$F74),IF(DV$5=$E74+1,$C74,""),"")</f>
        <v/>
      </c>
      <c r="DW74" s="34">
        <f>IF(AND(DW$5&gt;$E74,DW$5&lt;=$F74),IF(DW$5=$E74+1,$C74,""),"")</f>
        <v/>
      </c>
      <c r="DX74" s="34">
        <f>IF(AND(DX$5&gt;$E74,DX$5&lt;=$F74),IF(DX$5=$E74+1,$C74,""),"")</f>
        <v/>
      </c>
      <c r="DY74" s="34">
        <f>IF(AND(DY$5&gt;$E74,DY$5&lt;=$F74),IF(DY$5=$E74+1,$C74,""),"")</f>
        <v/>
      </c>
      <c r="DZ74" s="34">
        <f>IF(AND(DZ$5&gt;$E74,DZ$5&lt;=$F74),IF(DZ$5=$E74+1,$C74,""),"")</f>
        <v/>
      </c>
      <c r="EA74" s="34">
        <f>IF(AND(EA$5&gt;$E74,EA$5&lt;=$F74),IF(EA$5=$E74+1,$C74,""),"")</f>
        <v/>
      </c>
      <c r="EB74" s="34">
        <f>IF(AND(EB$5&gt;$E74,EB$5&lt;=$F74),IF(EB$5=$E74+1,$C74,""),"")</f>
        <v/>
      </c>
      <c r="EC74" s="34">
        <f>IF(AND(EC$5&gt;$E74,EC$5&lt;=$F74),IF(EC$5=$E74+1,$C74,""),"")</f>
        <v/>
      </c>
      <c r="ED74" s="34">
        <f>IF(AND(ED$5&gt;$E74,ED$5&lt;=$F74),IF(ED$5=$E74+1,$C74,""),"")</f>
        <v/>
      </c>
      <c r="EE74" s="34">
        <f>IF(AND(EE$5&gt;$E74,EE$5&lt;=$F74),IF(EE$5=$E74+1,$C74,""),"")</f>
        <v/>
      </c>
      <c r="EF74" s="34">
        <f>IF(AND(EF$5&gt;$E74,EF$5&lt;=$F74),IF(EF$5=$E74+1,$C74,""),"")</f>
        <v/>
      </c>
      <c r="EG74" s="34">
        <f>IF(AND(EG$5&gt;$E74,EG$5&lt;=$F74),IF(EG$5=$E74+1,$C74,""),"")</f>
        <v/>
      </c>
    </row>
    <row r="75">
      <c r="A75" s="32">
        <f>Plan!A55</f>
        <v/>
      </c>
      <c r="B75" s="33">
        <f>Plan!C55</f>
        <v/>
      </c>
      <c r="C75" s="16">
        <f>Plan!D55</f>
        <v/>
      </c>
      <c r="D75" s="16">
        <f>Plan!I55</f>
        <v/>
      </c>
      <c r="E75" s="16">
        <f>Plan!K55</f>
        <v/>
      </c>
      <c r="F75" s="16">
        <f>Plan!L55</f>
        <v/>
      </c>
      <c r="G75" s="16">
        <f>Plan!O55</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c r="CT75" s="34">
        <f>IF(AND(CT$5&gt;$E75,CT$5&lt;=$F75),IF(CT$5=$E75+1,$C75,""),"")</f>
        <v/>
      </c>
      <c r="CU75" s="34">
        <f>IF(AND(CU$5&gt;$E75,CU$5&lt;=$F75),IF(CU$5=$E75+1,$C75,""),"")</f>
        <v/>
      </c>
      <c r="CV75" s="34">
        <f>IF(AND(CV$5&gt;$E75,CV$5&lt;=$F75),IF(CV$5=$E75+1,$C75,""),"")</f>
        <v/>
      </c>
      <c r="CW75" s="34">
        <f>IF(AND(CW$5&gt;$E75,CW$5&lt;=$F75),IF(CW$5=$E75+1,$C75,""),"")</f>
        <v/>
      </c>
      <c r="CX75" s="34">
        <f>IF(AND(CX$5&gt;$E75,CX$5&lt;=$F75),IF(CX$5=$E75+1,$C75,""),"")</f>
        <v/>
      </c>
      <c r="CY75" s="34">
        <f>IF(AND(CY$5&gt;$E75,CY$5&lt;=$F75),IF(CY$5=$E75+1,$C75,""),"")</f>
        <v/>
      </c>
      <c r="CZ75" s="34">
        <f>IF(AND(CZ$5&gt;$E75,CZ$5&lt;=$F75),IF(CZ$5=$E75+1,$C75,""),"")</f>
        <v/>
      </c>
      <c r="DA75" s="34">
        <f>IF(AND(DA$5&gt;$E75,DA$5&lt;=$F75),IF(DA$5=$E75+1,$C75,""),"")</f>
        <v/>
      </c>
      <c r="DB75" s="34">
        <f>IF(AND(DB$5&gt;$E75,DB$5&lt;=$F75),IF(DB$5=$E75+1,$C75,""),"")</f>
        <v/>
      </c>
      <c r="DC75" s="34">
        <f>IF(AND(DC$5&gt;$E75,DC$5&lt;=$F75),IF(DC$5=$E75+1,$C75,""),"")</f>
        <v/>
      </c>
      <c r="DD75" s="34">
        <f>IF(AND(DD$5&gt;$E75,DD$5&lt;=$F75),IF(DD$5=$E75+1,$C75,""),"")</f>
        <v/>
      </c>
      <c r="DE75" s="34">
        <f>IF(AND(DE$5&gt;$E75,DE$5&lt;=$F75),IF(DE$5=$E75+1,$C75,""),"")</f>
        <v/>
      </c>
      <c r="DF75" s="34">
        <f>IF(AND(DF$5&gt;$E75,DF$5&lt;=$F75),IF(DF$5=$E75+1,$C75,""),"")</f>
        <v/>
      </c>
      <c r="DG75" s="34">
        <f>IF(AND(DG$5&gt;$E75,DG$5&lt;=$F75),IF(DG$5=$E75+1,$C75,""),"")</f>
        <v/>
      </c>
      <c r="DH75" s="34">
        <f>IF(AND(DH$5&gt;$E75,DH$5&lt;=$F75),IF(DH$5=$E75+1,$C75,""),"")</f>
        <v/>
      </c>
      <c r="DI75" s="34">
        <f>IF(AND(DI$5&gt;$E75,DI$5&lt;=$F75),IF(DI$5=$E75+1,$C75,""),"")</f>
        <v/>
      </c>
      <c r="DJ75" s="34">
        <f>IF(AND(DJ$5&gt;$E75,DJ$5&lt;=$F75),IF(DJ$5=$E75+1,$C75,""),"")</f>
        <v/>
      </c>
      <c r="DK75" s="34">
        <f>IF(AND(DK$5&gt;$E75,DK$5&lt;=$F75),IF(DK$5=$E75+1,$C75,""),"")</f>
        <v/>
      </c>
      <c r="DL75" s="34">
        <f>IF(AND(DL$5&gt;$E75,DL$5&lt;=$F75),IF(DL$5=$E75+1,$C75,""),"")</f>
        <v/>
      </c>
      <c r="DM75" s="34">
        <f>IF(AND(DM$5&gt;$E75,DM$5&lt;=$F75),IF(DM$5=$E75+1,$C75,""),"")</f>
        <v/>
      </c>
      <c r="DN75" s="34">
        <f>IF(AND(DN$5&gt;$E75,DN$5&lt;=$F75),IF(DN$5=$E75+1,$C75,""),"")</f>
        <v/>
      </c>
      <c r="DO75" s="34">
        <f>IF(AND(DO$5&gt;$E75,DO$5&lt;=$F75),IF(DO$5=$E75+1,$C75,""),"")</f>
        <v/>
      </c>
      <c r="DP75" s="34">
        <f>IF(AND(DP$5&gt;$E75,DP$5&lt;=$F75),IF(DP$5=$E75+1,$C75,""),"")</f>
        <v/>
      </c>
      <c r="DQ75" s="34">
        <f>IF(AND(DQ$5&gt;$E75,DQ$5&lt;=$F75),IF(DQ$5=$E75+1,$C75,""),"")</f>
        <v/>
      </c>
      <c r="DR75" s="34">
        <f>IF(AND(DR$5&gt;$E75,DR$5&lt;=$F75),IF(DR$5=$E75+1,$C75,""),"")</f>
        <v/>
      </c>
      <c r="DS75" s="34">
        <f>IF(AND(DS$5&gt;$E75,DS$5&lt;=$F75),IF(DS$5=$E75+1,$C75,""),"")</f>
        <v/>
      </c>
      <c r="DT75" s="34">
        <f>IF(AND(DT$5&gt;$E75,DT$5&lt;=$F75),IF(DT$5=$E75+1,$C75,""),"")</f>
        <v/>
      </c>
      <c r="DU75" s="34">
        <f>IF(AND(DU$5&gt;$E75,DU$5&lt;=$F75),IF(DU$5=$E75+1,$C75,""),"")</f>
        <v/>
      </c>
      <c r="DV75" s="34">
        <f>IF(AND(DV$5&gt;$E75,DV$5&lt;=$F75),IF(DV$5=$E75+1,$C75,""),"")</f>
        <v/>
      </c>
      <c r="DW75" s="34">
        <f>IF(AND(DW$5&gt;$E75,DW$5&lt;=$F75),IF(DW$5=$E75+1,$C75,""),"")</f>
        <v/>
      </c>
      <c r="DX75" s="34">
        <f>IF(AND(DX$5&gt;$E75,DX$5&lt;=$F75),IF(DX$5=$E75+1,$C75,""),"")</f>
        <v/>
      </c>
      <c r="DY75" s="34">
        <f>IF(AND(DY$5&gt;$E75,DY$5&lt;=$F75),IF(DY$5=$E75+1,$C75,""),"")</f>
        <v/>
      </c>
      <c r="DZ75" s="34">
        <f>IF(AND(DZ$5&gt;$E75,DZ$5&lt;=$F75),IF(DZ$5=$E75+1,$C75,""),"")</f>
        <v/>
      </c>
      <c r="EA75" s="34">
        <f>IF(AND(EA$5&gt;$E75,EA$5&lt;=$F75),IF(EA$5=$E75+1,$C75,""),"")</f>
        <v/>
      </c>
      <c r="EB75" s="34">
        <f>IF(AND(EB$5&gt;$E75,EB$5&lt;=$F75),IF(EB$5=$E75+1,$C75,""),"")</f>
        <v/>
      </c>
      <c r="EC75" s="34">
        <f>IF(AND(EC$5&gt;$E75,EC$5&lt;=$F75),IF(EC$5=$E75+1,$C75,""),"")</f>
        <v/>
      </c>
      <c r="ED75" s="34">
        <f>IF(AND(ED$5&gt;$E75,ED$5&lt;=$F75),IF(ED$5=$E75+1,$C75,""),"")</f>
        <v/>
      </c>
      <c r="EE75" s="34">
        <f>IF(AND(EE$5&gt;$E75,EE$5&lt;=$F75),IF(EE$5=$E75+1,$C75,""),"")</f>
        <v/>
      </c>
      <c r="EF75" s="34">
        <f>IF(AND(EF$5&gt;$E75,EF$5&lt;=$F75),IF(EF$5=$E75+1,$C75,""),"")</f>
        <v/>
      </c>
      <c r="EG75" s="34">
        <f>IF(AND(EG$5&gt;$E75,EG$5&lt;=$F75),IF(EG$5=$E75+1,$C75,""),"")</f>
        <v/>
      </c>
    </row>
    <row r="76">
      <c r="A76" s="32">
        <f>Plan!A56</f>
        <v/>
      </c>
      <c r="B76" s="33">
        <f>Plan!C56</f>
        <v/>
      </c>
      <c r="C76" s="16">
        <f>Plan!D56</f>
        <v/>
      </c>
      <c r="D76" s="16">
        <f>Plan!I56</f>
        <v/>
      </c>
      <c r="E76" s="16">
        <f>Plan!K56</f>
        <v/>
      </c>
      <c r="F76" s="16">
        <f>Plan!L56</f>
        <v/>
      </c>
      <c r="G76" s="16">
        <f>Plan!O56</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c r="CT76" s="34">
        <f>IF(AND(CT$5&gt;$E76,CT$5&lt;=$F76),IF(CT$5=$E76+1,$C76,""),"")</f>
        <v/>
      </c>
      <c r="CU76" s="34">
        <f>IF(AND(CU$5&gt;$E76,CU$5&lt;=$F76),IF(CU$5=$E76+1,$C76,""),"")</f>
        <v/>
      </c>
      <c r="CV76" s="34">
        <f>IF(AND(CV$5&gt;$E76,CV$5&lt;=$F76),IF(CV$5=$E76+1,$C76,""),"")</f>
        <v/>
      </c>
      <c r="CW76" s="34">
        <f>IF(AND(CW$5&gt;$E76,CW$5&lt;=$F76),IF(CW$5=$E76+1,$C76,""),"")</f>
        <v/>
      </c>
      <c r="CX76" s="34">
        <f>IF(AND(CX$5&gt;$E76,CX$5&lt;=$F76),IF(CX$5=$E76+1,$C76,""),"")</f>
        <v/>
      </c>
      <c r="CY76" s="34">
        <f>IF(AND(CY$5&gt;$E76,CY$5&lt;=$F76),IF(CY$5=$E76+1,$C76,""),"")</f>
        <v/>
      </c>
      <c r="CZ76" s="34">
        <f>IF(AND(CZ$5&gt;$E76,CZ$5&lt;=$F76),IF(CZ$5=$E76+1,$C76,""),"")</f>
        <v/>
      </c>
      <c r="DA76" s="34">
        <f>IF(AND(DA$5&gt;$E76,DA$5&lt;=$F76),IF(DA$5=$E76+1,$C76,""),"")</f>
        <v/>
      </c>
      <c r="DB76" s="34">
        <f>IF(AND(DB$5&gt;$E76,DB$5&lt;=$F76),IF(DB$5=$E76+1,$C76,""),"")</f>
        <v/>
      </c>
      <c r="DC76" s="34">
        <f>IF(AND(DC$5&gt;$E76,DC$5&lt;=$F76),IF(DC$5=$E76+1,$C76,""),"")</f>
        <v/>
      </c>
      <c r="DD76" s="34">
        <f>IF(AND(DD$5&gt;$E76,DD$5&lt;=$F76),IF(DD$5=$E76+1,$C76,""),"")</f>
        <v/>
      </c>
      <c r="DE76" s="34">
        <f>IF(AND(DE$5&gt;$E76,DE$5&lt;=$F76),IF(DE$5=$E76+1,$C76,""),"")</f>
        <v/>
      </c>
      <c r="DF76" s="34">
        <f>IF(AND(DF$5&gt;$E76,DF$5&lt;=$F76),IF(DF$5=$E76+1,$C76,""),"")</f>
        <v/>
      </c>
      <c r="DG76" s="34">
        <f>IF(AND(DG$5&gt;$E76,DG$5&lt;=$F76),IF(DG$5=$E76+1,$C76,""),"")</f>
        <v/>
      </c>
      <c r="DH76" s="34">
        <f>IF(AND(DH$5&gt;$E76,DH$5&lt;=$F76),IF(DH$5=$E76+1,$C76,""),"")</f>
        <v/>
      </c>
      <c r="DI76" s="34">
        <f>IF(AND(DI$5&gt;$E76,DI$5&lt;=$F76),IF(DI$5=$E76+1,$C76,""),"")</f>
        <v/>
      </c>
      <c r="DJ76" s="34">
        <f>IF(AND(DJ$5&gt;$E76,DJ$5&lt;=$F76),IF(DJ$5=$E76+1,$C76,""),"")</f>
        <v/>
      </c>
      <c r="DK76" s="34">
        <f>IF(AND(DK$5&gt;$E76,DK$5&lt;=$F76),IF(DK$5=$E76+1,$C76,""),"")</f>
        <v/>
      </c>
      <c r="DL76" s="34">
        <f>IF(AND(DL$5&gt;$E76,DL$5&lt;=$F76),IF(DL$5=$E76+1,$C76,""),"")</f>
        <v/>
      </c>
      <c r="DM76" s="34">
        <f>IF(AND(DM$5&gt;$E76,DM$5&lt;=$F76),IF(DM$5=$E76+1,$C76,""),"")</f>
        <v/>
      </c>
      <c r="DN76" s="34">
        <f>IF(AND(DN$5&gt;$E76,DN$5&lt;=$F76),IF(DN$5=$E76+1,$C76,""),"")</f>
        <v/>
      </c>
      <c r="DO76" s="34">
        <f>IF(AND(DO$5&gt;$E76,DO$5&lt;=$F76),IF(DO$5=$E76+1,$C76,""),"")</f>
        <v/>
      </c>
      <c r="DP76" s="34">
        <f>IF(AND(DP$5&gt;$E76,DP$5&lt;=$F76),IF(DP$5=$E76+1,$C76,""),"")</f>
        <v/>
      </c>
      <c r="DQ76" s="34">
        <f>IF(AND(DQ$5&gt;$E76,DQ$5&lt;=$F76),IF(DQ$5=$E76+1,$C76,""),"")</f>
        <v/>
      </c>
      <c r="DR76" s="34">
        <f>IF(AND(DR$5&gt;$E76,DR$5&lt;=$F76),IF(DR$5=$E76+1,$C76,""),"")</f>
        <v/>
      </c>
      <c r="DS76" s="34">
        <f>IF(AND(DS$5&gt;$E76,DS$5&lt;=$F76),IF(DS$5=$E76+1,$C76,""),"")</f>
        <v/>
      </c>
      <c r="DT76" s="34">
        <f>IF(AND(DT$5&gt;$E76,DT$5&lt;=$F76),IF(DT$5=$E76+1,$C76,""),"")</f>
        <v/>
      </c>
      <c r="DU76" s="34">
        <f>IF(AND(DU$5&gt;$E76,DU$5&lt;=$F76),IF(DU$5=$E76+1,$C76,""),"")</f>
        <v/>
      </c>
      <c r="DV76" s="34">
        <f>IF(AND(DV$5&gt;$E76,DV$5&lt;=$F76),IF(DV$5=$E76+1,$C76,""),"")</f>
        <v/>
      </c>
      <c r="DW76" s="34">
        <f>IF(AND(DW$5&gt;$E76,DW$5&lt;=$F76),IF(DW$5=$E76+1,$C76,""),"")</f>
        <v/>
      </c>
      <c r="DX76" s="34">
        <f>IF(AND(DX$5&gt;$E76,DX$5&lt;=$F76),IF(DX$5=$E76+1,$C76,""),"")</f>
        <v/>
      </c>
      <c r="DY76" s="34">
        <f>IF(AND(DY$5&gt;$E76,DY$5&lt;=$F76),IF(DY$5=$E76+1,$C76,""),"")</f>
        <v/>
      </c>
      <c r="DZ76" s="34">
        <f>IF(AND(DZ$5&gt;$E76,DZ$5&lt;=$F76),IF(DZ$5=$E76+1,$C76,""),"")</f>
        <v/>
      </c>
      <c r="EA76" s="34">
        <f>IF(AND(EA$5&gt;$E76,EA$5&lt;=$F76),IF(EA$5=$E76+1,$C76,""),"")</f>
        <v/>
      </c>
      <c r="EB76" s="34">
        <f>IF(AND(EB$5&gt;$E76,EB$5&lt;=$F76),IF(EB$5=$E76+1,$C76,""),"")</f>
        <v/>
      </c>
      <c r="EC76" s="34">
        <f>IF(AND(EC$5&gt;$E76,EC$5&lt;=$F76),IF(EC$5=$E76+1,$C76,""),"")</f>
        <v/>
      </c>
      <c r="ED76" s="34">
        <f>IF(AND(ED$5&gt;$E76,ED$5&lt;=$F76),IF(ED$5=$E76+1,$C76,""),"")</f>
        <v/>
      </c>
      <c r="EE76" s="34">
        <f>IF(AND(EE$5&gt;$E76,EE$5&lt;=$F76),IF(EE$5=$E76+1,$C76,""),"")</f>
        <v/>
      </c>
      <c r="EF76" s="34">
        <f>IF(AND(EF$5&gt;$E76,EF$5&lt;=$F76),IF(EF$5=$E76+1,$C76,""),"")</f>
        <v/>
      </c>
      <c r="EG76" s="34">
        <f>IF(AND(EG$5&gt;$E76,EG$5&lt;=$F76),IF(EG$5=$E76+1,$C76,""),"")</f>
        <v/>
      </c>
    </row>
    <row r="77">
      <c r="A77" s="32">
        <f>Plan!A57</f>
        <v/>
      </c>
      <c r="B77" s="33">
        <f>Plan!C57</f>
        <v/>
      </c>
      <c r="C77" s="16">
        <f>Plan!D57</f>
        <v/>
      </c>
      <c r="D77" s="16">
        <f>Plan!I57</f>
        <v/>
      </c>
      <c r="E77" s="16">
        <f>Plan!K57</f>
        <v/>
      </c>
      <c r="F77" s="16">
        <f>Plan!L57</f>
        <v/>
      </c>
      <c r="G77" s="16">
        <f>Plan!O57</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c r="CT77" s="34">
        <f>IF(AND(CT$5&gt;$E77,CT$5&lt;=$F77),IF(CT$5=$E77+1,$C77,""),"")</f>
        <v/>
      </c>
      <c r="CU77" s="34">
        <f>IF(AND(CU$5&gt;$E77,CU$5&lt;=$F77),IF(CU$5=$E77+1,$C77,""),"")</f>
        <v/>
      </c>
      <c r="CV77" s="34">
        <f>IF(AND(CV$5&gt;$E77,CV$5&lt;=$F77),IF(CV$5=$E77+1,$C77,""),"")</f>
        <v/>
      </c>
      <c r="CW77" s="34">
        <f>IF(AND(CW$5&gt;$E77,CW$5&lt;=$F77),IF(CW$5=$E77+1,$C77,""),"")</f>
        <v/>
      </c>
      <c r="CX77" s="34">
        <f>IF(AND(CX$5&gt;$E77,CX$5&lt;=$F77),IF(CX$5=$E77+1,$C77,""),"")</f>
        <v/>
      </c>
      <c r="CY77" s="34">
        <f>IF(AND(CY$5&gt;$E77,CY$5&lt;=$F77),IF(CY$5=$E77+1,$C77,""),"")</f>
        <v/>
      </c>
      <c r="CZ77" s="34">
        <f>IF(AND(CZ$5&gt;$E77,CZ$5&lt;=$F77),IF(CZ$5=$E77+1,$C77,""),"")</f>
        <v/>
      </c>
      <c r="DA77" s="34">
        <f>IF(AND(DA$5&gt;$E77,DA$5&lt;=$F77),IF(DA$5=$E77+1,$C77,""),"")</f>
        <v/>
      </c>
      <c r="DB77" s="34">
        <f>IF(AND(DB$5&gt;$E77,DB$5&lt;=$F77),IF(DB$5=$E77+1,$C77,""),"")</f>
        <v/>
      </c>
      <c r="DC77" s="34">
        <f>IF(AND(DC$5&gt;$E77,DC$5&lt;=$F77),IF(DC$5=$E77+1,$C77,""),"")</f>
        <v/>
      </c>
      <c r="DD77" s="34">
        <f>IF(AND(DD$5&gt;$E77,DD$5&lt;=$F77),IF(DD$5=$E77+1,$C77,""),"")</f>
        <v/>
      </c>
      <c r="DE77" s="34">
        <f>IF(AND(DE$5&gt;$E77,DE$5&lt;=$F77),IF(DE$5=$E77+1,$C77,""),"")</f>
        <v/>
      </c>
      <c r="DF77" s="34">
        <f>IF(AND(DF$5&gt;$E77,DF$5&lt;=$F77),IF(DF$5=$E77+1,$C77,""),"")</f>
        <v/>
      </c>
      <c r="DG77" s="34">
        <f>IF(AND(DG$5&gt;$E77,DG$5&lt;=$F77),IF(DG$5=$E77+1,$C77,""),"")</f>
        <v/>
      </c>
      <c r="DH77" s="34">
        <f>IF(AND(DH$5&gt;$E77,DH$5&lt;=$F77),IF(DH$5=$E77+1,$C77,""),"")</f>
        <v/>
      </c>
      <c r="DI77" s="34">
        <f>IF(AND(DI$5&gt;$E77,DI$5&lt;=$F77),IF(DI$5=$E77+1,$C77,""),"")</f>
        <v/>
      </c>
      <c r="DJ77" s="34">
        <f>IF(AND(DJ$5&gt;$E77,DJ$5&lt;=$F77),IF(DJ$5=$E77+1,$C77,""),"")</f>
        <v/>
      </c>
      <c r="DK77" s="34">
        <f>IF(AND(DK$5&gt;$E77,DK$5&lt;=$F77),IF(DK$5=$E77+1,$C77,""),"")</f>
        <v/>
      </c>
      <c r="DL77" s="34">
        <f>IF(AND(DL$5&gt;$E77,DL$5&lt;=$F77),IF(DL$5=$E77+1,$C77,""),"")</f>
        <v/>
      </c>
      <c r="DM77" s="34">
        <f>IF(AND(DM$5&gt;$E77,DM$5&lt;=$F77),IF(DM$5=$E77+1,$C77,""),"")</f>
        <v/>
      </c>
      <c r="DN77" s="34">
        <f>IF(AND(DN$5&gt;$E77,DN$5&lt;=$F77),IF(DN$5=$E77+1,$C77,""),"")</f>
        <v/>
      </c>
      <c r="DO77" s="34">
        <f>IF(AND(DO$5&gt;$E77,DO$5&lt;=$F77),IF(DO$5=$E77+1,$C77,""),"")</f>
        <v/>
      </c>
      <c r="DP77" s="34">
        <f>IF(AND(DP$5&gt;$E77,DP$5&lt;=$F77),IF(DP$5=$E77+1,$C77,""),"")</f>
        <v/>
      </c>
      <c r="DQ77" s="34">
        <f>IF(AND(DQ$5&gt;$E77,DQ$5&lt;=$F77),IF(DQ$5=$E77+1,$C77,""),"")</f>
        <v/>
      </c>
      <c r="DR77" s="34">
        <f>IF(AND(DR$5&gt;$E77,DR$5&lt;=$F77),IF(DR$5=$E77+1,$C77,""),"")</f>
        <v/>
      </c>
      <c r="DS77" s="34">
        <f>IF(AND(DS$5&gt;$E77,DS$5&lt;=$F77),IF(DS$5=$E77+1,$C77,""),"")</f>
        <v/>
      </c>
      <c r="DT77" s="34">
        <f>IF(AND(DT$5&gt;$E77,DT$5&lt;=$F77),IF(DT$5=$E77+1,$C77,""),"")</f>
        <v/>
      </c>
      <c r="DU77" s="34">
        <f>IF(AND(DU$5&gt;$E77,DU$5&lt;=$F77),IF(DU$5=$E77+1,$C77,""),"")</f>
        <v/>
      </c>
      <c r="DV77" s="34">
        <f>IF(AND(DV$5&gt;$E77,DV$5&lt;=$F77),IF(DV$5=$E77+1,$C77,""),"")</f>
        <v/>
      </c>
      <c r="DW77" s="34">
        <f>IF(AND(DW$5&gt;$E77,DW$5&lt;=$F77),IF(DW$5=$E77+1,$C77,""),"")</f>
        <v/>
      </c>
      <c r="DX77" s="34">
        <f>IF(AND(DX$5&gt;$E77,DX$5&lt;=$F77),IF(DX$5=$E77+1,$C77,""),"")</f>
        <v/>
      </c>
      <c r="DY77" s="34">
        <f>IF(AND(DY$5&gt;$E77,DY$5&lt;=$F77),IF(DY$5=$E77+1,$C77,""),"")</f>
        <v/>
      </c>
      <c r="DZ77" s="34">
        <f>IF(AND(DZ$5&gt;$E77,DZ$5&lt;=$F77),IF(DZ$5=$E77+1,$C77,""),"")</f>
        <v/>
      </c>
      <c r="EA77" s="34">
        <f>IF(AND(EA$5&gt;$E77,EA$5&lt;=$F77),IF(EA$5=$E77+1,$C77,""),"")</f>
        <v/>
      </c>
      <c r="EB77" s="34">
        <f>IF(AND(EB$5&gt;$E77,EB$5&lt;=$F77),IF(EB$5=$E77+1,$C77,""),"")</f>
        <v/>
      </c>
      <c r="EC77" s="34">
        <f>IF(AND(EC$5&gt;$E77,EC$5&lt;=$F77),IF(EC$5=$E77+1,$C77,""),"")</f>
        <v/>
      </c>
      <c r="ED77" s="34">
        <f>IF(AND(ED$5&gt;$E77,ED$5&lt;=$F77),IF(ED$5=$E77+1,$C77,""),"")</f>
        <v/>
      </c>
      <c r="EE77" s="34">
        <f>IF(AND(EE$5&gt;$E77,EE$5&lt;=$F77),IF(EE$5=$E77+1,$C77,""),"")</f>
        <v/>
      </c>
      <c r="EF77" s="34">
        <f>IF(AND(EF$5&gt;$E77,EF$5&lt;=$F77),IF(EF$5=$E77+1,$C77,""),"")</f>
        <v/>
      </c>
      <c r="EG77" s="34">
        <f>IF(AND(EG$5&gt;$E77,EG$5&lt;=$F77),IF(EG$5=$E77+1,$C77,""),"")</f>
        <v/>
      </c>
    </row>
    <row r="78">
      <c r="A78" s="32">
        <f>Plan!A84</f>
        <v/>
      </c>
      <c r="B78" s="33">
        <f>Plan!C84</f>
        <v/>
      </c>
      <c r="C78" s="16">
        <f>Plan!D84</f>
        <v/>
      </c>
      <c r="D78" s="16">
        <f>Plan!I84</f>
        <v/>
      </c>
      <c r="E78" s="16">
        <f>Plan!K84</f>
        <v/>
      </c>
      <c r="F78" s="16">
        <f>Plan!L84</f>
        <v/>
      </c>
      <c r="G78" s="16">
        <f>Plan!O84</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c r="CT78" s="34">
        <f>IF(AND(CT$5&gt;$E78,CT$5&lt;=$F78),IF(CT$5=$E78+1,$C78,""),"")</f>
        <v/>
      </c>
      <c r="CU78" s="34">
        <f>IF(AND(CU$5&gt;$E78,CU$5&lt;=$F78),IF(CU$5=$E78+1,$C78,""),"")</f>
        <v/>
      </c>
      <c r="CV78" s="34">
        <f>IF(AND(CV$5&gt;$E78,CV$5&lt;=$F78),IF(CV$5=$E78+1,$C78,""),"")</f>
        <v/>
      </c>
      <c r="CW78" s="34">
        <f>IF(AND(CW$5&gt;$E78,CW$5&lt;=$F78),IF(CW$5=$E78+1,$C78,""),"")</f>
        <v/>
      </c>
      <c r="CX78" s="34">
        <f>IF(AND(CX$5&gt;$E78,CX$5&lt;=$F78),IF(CX$5=$E78+1,$C78,""),"")</f>
        <v/>
      </c>
      <c r="CY78" s="34">
        <f>IF(AND(CY$5&gt;$E78,CY$5&lt;=$F78),IF(CY$5=$E78+1,$C78,""),"")</f>
        <v/>
      </c>
      <c r="CZ78" s="34">
        <f>IF(AND(CZ$5&gt;$E78,CZ$5&lt;=$F78),IF(CZ$5=$E78+1,$C78,""),"")</f>
        <v/>
      </c>
      <c r="DA78" s="34">
        <f>IF(AND(DA$5&gt;$E78,DA$5&lt;=$F78),IF(DA$5=$E78+1,$C78,""),"")</f>
        <v/>
      </c>
      <c r="DB78" s="34">
        <f>IF(AND(DB$5&gt;$E78,DB$5&lt;=$F78),IF(DB$5=$E78+1,$C78,""),"")</f>
        <v/>
      </c>
      <c r="DC78" s="34">
        <f>IF(AND(DC$5&gt;$E78,DC$5&lt;=$F78),IF(DC$5=$E78+1,$C78,""),"")</f>
        <v/>
      </c>
      <c r="DD78" s="34">
        <f>IF(AND(DD$5&gt;$E78,DD$5&lt;=$F78),IF(DD$5=$E78+1,$C78,""),"")</f>
        <v/>
      </c>
      <c r="DE78" s="34">
        <f>IF(AND(DE$5&gt;$E78,DE$5&lt;=$F78),IF(DE$5=$E78+1,$C78,""),"")</f>
        <v/>
      </c>
      <c r="DF78" s="34">
        <f>IF(AND(DF$5&gt;$E78,DF$5&lt;=$F78),IF(DF$5=$E78+1,$C78,""),"")</f>
        <v/>
      </c>
      <c r="DG78" s="34">
        <f>IF(AND(DG$5&gt;$E78,DG$5&lt;=$F78),IF(DG$5=$E78+1,$C78,""),"")</f>
        <v/>
      </c>
      <c r="DH78" s="34">
        <f>IF(AND(DH$5&gt;$E78,DH$5&lt;=$F78),IF(DH$5=$E78+1,$C78,""),"")</f>
        <v/>
      </c>
      <c r="DI78" s="34">
        <f>IF(AND(DI$5&gt;$E78,DI$5&lt;=$F78),IF(DI$5=$E78+1,$C78,""),"")</f>
        <v/>
      </c>
      <c r="DJ78" s="34">
        <f>IF(AND(DJ$5&gt;$E78,DJ$5&lt;=$F78),IF(DJ$5=$E78+1,$C78,""),"")</f>
        <v/>
      </c>
      <c r="DK78" s="34">
        <f>IF(AND(DK$5&gt;$E78,DK$5&lt;=$F78),IF(DK$5=$E78+1,$C78,""),"")</f>
        <v/>
      </c>
      <c r="DL78" s="34">
        <f>IF(AND(DL$5&gt;$E78,DL$5&lt;=$F78),IF(DL$5=$E78+1,$C78,""),"")</f>
        <v/>
      </c>
      <c r="DM78" s="34">
        <f>IF(AND(DM$5&gt;$E78,DM$5&lt;=$F78),IF(DM$5=$E78+1,$C78,""),"")</f>
        <v/>
      </c>
      <c r="DN78" s="34">
        <f>IF(AND(DN$5&gt;$E78,DN$5&lt;=$F78),IF(DN$5=$E78+1,$C78,""),"")</f>
        <v/>
      </c>
      <c r="DO78" s="34">
        <f>IF(AND(DO$5&gt;$E78,DO$5&lt;=$F78),IF(DO$5=$E78+1,$C78,""),"")</f>
        <v/>
      </c>
      <c r="DP78" s="34">
        <f>IF(AND(DP$5&gt;$E78,DP$5&lt;=$F78),IF(DP$5=$E78+1,$C78,""),"")</f>
        <v/>
      </c>
      <c r="DQ78" s="34">
        <f>IF(AND(DQ$5&gt;$E78,DQ$5&lt;=$F78),IF(DQ$5=$E78+1,$C78,""),"")</f>
        <v/>
      </c>
      <c r="DR78" s="34">
        <f>IF(AND(DR$5&gt;$E78,DR$5&lt;=$F78),IF(DR$5=$E78+1,$C78,""),"")</f>
        <v/>
      </c>
      <c r="DS78" s="34">
        <f>IF(AND(DS$5&gt;$E78,DS$5&lt;=$F78),IF(DS$5=$E78+1,$C78,""),"")</f>
        <v/>
      </c>
      <c r="DT78" s="34">
        <f>IF(AND(DT$5&gt;$E78,DT$5&lt;=$F78),IF(DT$5=$E78+1,$C78,""),"")</f>
        <v/>
      </c>
      <c r="DU78" s="34">
        <f>IF(AND(DU$5&gt;$E78,DU$5&lt;=$F78),IF(DU$5=$E78+1,$C78,""),"")</f>
        <v/>
      </c>
      <c r="DV78" s="34">
        <f>IF(AND(DV$5&gt;$E78,DV$5&lt;=$F78),IF(DV$5=$E78+1,$C78,""),"")</f>
        <v/>
      </c>
      <c r="DW78" s="34">
        <f>IF(AND(DW$5&gt;$E78,DW$5&lt;=$F78),IF(DW$5=$E78+1,$C78,""),"")</f>
        <v/>
      </c>
      <c r="DX78" s="34">
        <f>IF(AND(DX$5&gt;$E78,DX$5&lt;=$F78),IF(DX$5=$E78+1,$C78,""),"")</f>
        <v/>
      </c>
      <c r="DY78" s="34">
        <f>IF(AND(DY$5&gt;$E78,DY$5&lt;=$F78),IF(DY$5=$E78+1,$C78,""),"")</f>
        <v/>
      </c>
      <c r="DZ78" s="34">
        <f>IF(AND(DZ$5&gt;$E78,DZ$5&lt;=$F78),IF(DZ$5=$E78+1,$C78,""),"")</f>
        <v/>
      </c>
      <c r="EA78" s="34">
        <f>IF(AND(EA$5&gt;$E78,EA$5&lt;=$F78),IF(EA$5=$E78+1,$C78,""),"")</f>
        <v/>
      </c>
      <c r="EB78" s="34">
        <f>IF(AND(EB$5&gt;$E78,EB$5&lt;=$F78),IF(EB$5=$E78+1,$C78,""),"")</f>
        <v/>
      </c>
      <c r="EC78" s="34">
        <f>IF(AND(EC$5&gt;$E78,EC$5&lt;=$F78),IF(EC$5=$E78+1,$C78,""),"")</f>
        <v/>
      </c>
      <c r="ED78" s="34">
        <f>IF(AND(ED$5&gt;$E78,ED$5&lt;=$F78),IF(ED$5=$E78+1,$C78,""),"")</f>
        <v/>
      </c>
      <c r="EE78" s="34">
        <f>IF(AND(EE$5&gt;$E78,EE$5&lt;=$F78),IF(EE$5=$E78+1,$C78,""),"")</f>
        <v/>
      </c>
      <c r="EF78" s="34">
        <f>IF(AND(EF$5&gt;$E78,EF$5&lt;=$F78),IF(EF$5=$E78+1,$C78,""),"")</f>
        <v/>
      </c>
      <c r="EG78" s="34">
        <f>IF(AND(EG$5&gt;$E78,EG$5&lt;=$F78),IF(EG$5=$E78+1,$C78,""),"")</f>
        <v/>
      </c>
    </row>
    <row r="79">
      <c r="A79" s="32">
        <f>Plan!A85</f>
        <v/>
      </c>
      <c r="B79" s="33">
        <f>Plan!C85</f>
        <v/>
      </c>
      <c r="C79" s="16">
        <f>Plan!D85</f>
        <v/>
      </c>
      <c r="D79" s="16">
        <f>Plan!I85</f>
        <v/>
      </c>
      <c r="E79" s="16">
        <f>Plan!K85</f>
        <v/>
      </c>
      <c r="F79" s="16">
        <f>Plan!L85</f>
        <v/>
      </c>
      <c r="G79" s="16">
        <f>Plan!O85</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c r="CT79" s="34">
        <f>IF(AND(CT$5&gt;$E79,CT$5&lt;=$F79),IF(CT$5=$E79+1,$C79,""),"")</f>
        <v/>
      </c>
      <c r="CU79" s="34">
        <f>IF(AND(CU$5&gt;$E79,CU$5&lt;=$F79),IF(CU$5=$E79+1,$C79,""),"")</f>
        <v/>
      </c>
      <c r="CV79" s="34">
        <f>IF(AND(CV$5&gt;$E79,CV$5&lt;=$F79),IF(CV$5=$E79+1,$C79,""),"")</f>
        <v/>
      </c>
      <c r="CW79" s="34">
        <f>IF(AND(CW$5&gt;$E79,CW$5&lt;=$F79),IF(CW$5=$E79+1,$C79,""),"")</f>
        <v/>
      </c>
      <c r="CX79" s="34">
        <f>IF(AND(CX$5&gt;$E79,CX$5&lt;=$F79),IF(CX$5=$E79+1,$C79,""),"")</f>
        <v/>
      </c>
      <c r="CY79" s="34">
        <f>IF(AND(CY$5&gt;$E79,CY$5&lt;=$F79),IF(CY$5=$E79+1,$C79,""),"")</f>
        <v/>
      </c>
      <c r="CZ79" s="34">
        <f>IF(AND(CZ$5&gt;$E79,CZ$5&lt;=$F79),IF(CZ$5=$E79+1,$C79,""),"")</f>
        <v/>
      </c>
      <c r="DA79" s="34">
        <f>IF(AND(DA$5&gt;$E79,DA$5&lt;=$F79),IF(DA$5=$E79+1,$C79,""),"")</f>
        <v/>
      </c>
      <c r="DB79" s="34">
        <f>IF(AND(DB$5&gt;$E79,DB$5&lt;=$F79),IF(DB$5=$E79+1,$C79,""),"")</f>
        <v/>
      </c>
      <c r="DC79" s="34">
        <f>IF(AND(DC$5&gt;$E79,DC$5&lt;=$F79),IF(DC$5=$E79+1,$C79,""),"")</f>
        <v/>
      </c>
      <c r="DD79" s="34">
        <f>IF(AND(DD$5&gt;$E79,DD$5&lt;=$F79),IF(DD$5=$E79+1,$C79,""),"")</f>
        <v/>
      </c>
      <c r="DE79" s="34">
        <f>IF(AND(DE$5&gt;$E79,DE$5&lt;=$F79),IF(DE$5=$E79+1,$C79,""),"")</f>
        <v/>
      </c>
      <c r="DF79" s="34">
        <f>IF(AND(DF$5&gt;$E79,DF$5&lt;=$F79),IF(DF$5=$E79+1,$C79,""),"")</f>
        <v/>
      </c>
      <c r="DG79" s="34">
        <f>IF(AND(DG$5&gt;$E79,DG$5&lt;=$F79),IF(DG$5=$E79+1,$C79,""),"")</f>
        <v/>
      </c>
      <c r="DH79" s="34">
        <f>IF(AND(DH$5&gt;$E79,DH$5&lt;=$F79),IF(DH$5=$E79+1,$C79,""),"")</f>
        <v/>
      </c>
      <c r="DI79" s="34">
        <f>IF(AND(DI$5&gt;$E79,DI$5&lt;=$F79),IF(DI$5=$E79+1,$C79,""),"")</f>
        <v/>
      </c>
      <c r="DJ79" s="34">
        <f>IF(AND(DJ$5&gt;$E79,DJ$5&lt;=$F79),IF(DJ$5=$E79+1,$C79,""),"")</f>
        <v/>
      </c>
      <c r="DK79" s="34">
        <f>IF(AND(DK$5&gt;$E79,DK$5&lt;=$F79),IF(DK$5=$E79+1,$C79,""),"")</f>
        <v/>
      </c>
      <c r="DL79" s="34">
        <f>IF(AND(DL$5&gt;$E79,DL$5&lt;=$F79),IF(DL$5=$E79+1,$C79,""),"")</f>
        <v/>
      </c>
      <c r="DM79" s="34">
        <f>IF(AND(DM$5&gt;$E79,DM$5&lt;=$F79),IF(DM$5=$E79+1,$C79,""),"")</f>
        <v/>
      </c>
      <c r="DN79" s="34">
        <f>IF(AND(DN$5&gt;$E79,DN$5&lt;=$F79),IF(DN$5=$E79+1,$C79,""),"")</f>
        <v/>
      </c>
      <c r="DO79" s="34">
        <f>IF(AND(DO$5&gt;$E79,DO$5&lt;=$F79),IF(DO$5=$E79+1,$C79,""),"")</f>
        <v/>
      </c>
      <c r="DP79" s="34">
        <f>IF(AND(DP$5&gt;$E79,DP$5&lt;=$F79),IF(DP$5=$E79+1,$C79,""),"")</f>
        <v/>
      </c>
      <c r="DQ79" s="34">
        <f>IF(AND(DQ$5&gt;$E79,DQ$5&lt;=$F79),IF(DQ$5=$E79+1,$C79,""),"")</f>
        <v/>
      </c>
      <c r="DR79" s="34">
        <f>IF(AND(DR$5&gt;$E79,DR$5&lt;=$F79),IF(DR$5=$E79+1,$C79,""),"")</f>
        <v/>
      </c>
      <c r="DS79" s="34">
        <f>IF(AND(DS$5&gt;$E79,DS$5&lt;=$F79),IF(DS$5=$E79+1,$C79,""),"")</f>
        <v/>
      </c>
      <c r="DT79" s="34">
        <f>IF(AND(DT$5&gt;$E79,DT$5&lt;=$F79),IF(DT$5=$E79+1,$C79,""),"")</f>
        <v/>
      </c>
      <c r="DU79" s="34">
        <f>IF(AND(DU$5&gt;$E79,DU$5&lt;=$F79),IF(DU$5=$E79+1,$C79,""),"")</f>
        <v/>
      </c>
      <c r="DV79" s="34">
        <f>IF(AND(DV$5&gt;$E79,DV$5&lt;=$F79),IF(DV$5=$E79+1,$C79,""),"")</f>
        <v/>
      </c>
      <c r="DW79" s="34">
        <f>IF(AND(DW$5&gt;$E79,DW$5&lt;=$F79),IF(DW$5=$E79+1,$C79,""),"")</f>
        <v/>
      </c>
      <c r="DX79" s="34">
        <f>IF(AND(DX$5&gt;$E79,DX$5&lt;=$F79),IF(DX$5=$E79+1,$C79,""),"")</f>
        <v/>
      </c>
      <c r="DY79" s="34">
        <f>IF(AND(DY$5&gt;$E79,DY$5&lt;=$F79),IF(DY$5=$E79+1,$C79,""),"")</f>
        <v/>
      </c>
      <c r="DZ79" s="34">
        <f>IF(AND(DZ$5&gt;$E79,DZ$5&lt;=$F79),IF(DZ$5=$E79+1,$C79,""),"")</f>
        <v/>
      </c>
      <c r="EA79" s="34">
        <f>IF(AND(EA$5&gt;$E79,EA$5&lt;=$F79),IF(EA$5=$E79+1,$C79,""),"")</f>
        <v/>
      </c>
      <c r="EB79" s="34">
        <f>IF(AND(EB$5&gt;$E79,EB$5&lt;=$F79),IF(EB$5=$E79+1,$C79,""),"")</f>
        <v/>
      </c>
      <c r="EC79" s="34">
        <f>IF(AND(EC$5&gt;$E79,EC$5&lt;=$F79),IF(EC$5=$E79+1,$C79,""),"")</f>
        <v/>
      </c>
      <c r="ED79" s="34">
        <f>IF(AND(ED$5&gt;$E79,ED$5&lt;=$F79),IF(ED$5=$E79+1,$C79,""),"")</f>
        <v/>
      </c>
      <c r="EE79" s="34">
        <f>IF(AND(EE$5&gt;$E79,EE$5&lt;=$F79),IF(EE$5=$E79+1,$C79,""),"")</f>
        <v/>
      </c>
      <c r="EF79" s="34">
        <f>IF(AND(EF$5&gt;$E79,EF$5&lt;=$F79),IF(EF$5=$E79+1,$C79,""),"")</f>
        <v/>
      </c>
      <c r="EG79" s="34">
        <f>IF(AND(EG$5&gt;$E79,EG$5&lt;=$F79),IF(EG$5=$E79+1,$C79,""),"")</f>
        <v/>
      </c>
    </row>
    <row r="80">
      <c r="A80" s="32">
        <f>Plan!A86</f>
        <v/>
      </c>
      <c r="B80" s="33">
        <f>Plan!C86</f>
        <v/>
      </c>
      <c r="C80" s="16">
        <f>Plan!D86</f>
        <v/>
      </c>
      <c r="D80" s="16">
        <f>Plan!I86</f>
        <v/>
      </c>
      <c r="E80" s="16">
        <f>Plan!K86</f>
        <v/>
      </c>
      <c r="F80" s="16">
        <f>Plan!L86</f>
        <v/>
      </c>
      <c r="G80" s="16">
        <f>Plan!O86</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c r="CT80" s="34">
        <f>IF(AND(CT$5&gt;$E80,CT$5&lt;=$F80),IF(CT$5=$E80+1,$C80,""),"")</f>
        <v/>
      </c>
      <c r="CU80" s="34">
        <f>IF(AND(CU$5&gt;$E80,CU$5&lt;=$F80),IF(CU$5=$E80+1,$C80,""),"")</f>
        <v/>
      </c>
      <c r="CV80" s="34">
        <f>IF(AND(CV$5&gt;$E80,CV$5&lt;=$F80),IF(CV$5=$E80+1,$C80,""),"")</f>
        <v/>
      </c>
      <c r="CW80" s="34">
        <f>IF(AND(CW$5&gt;$E80,CW$5&lt;=$F80),IF(CW$5=$E80+1,$C80,""),"")</f>
        <v/>
      </c>
      <c r="CX80" s="34">
        <f>IF(AND(CX$5&gt;$E80,CX$5&lt;=$F80),IF(CX$5=$E80+1,$C80,""),"")</f>
        <v/>
      </c>
      <c r="CY80" s="34">
        <f>IF(AND(CY$5&gt;$E80,CY$5&lt;=$F80),IF(CY$5=$E80+1,$C80,""),"")</f>
        <v/>
      </c>
      <c r="CZ80" s="34">
        <f>IF(AND(CZ$5&gt;$E80,CZ$5&lt;=$F80),IF(CZ$5=$E80+1,$C80,""),"")</f>
        <v/>
      </c>
      <c r="DA80" s="34">
        <f>IF(AND(DA$5&gt;$E80,DA$5&lt;=$F80),IF(DA$5=$E80+1,$C80,""),"")</f>
        <v/>
      </c>
      <c r="DB80" s="34">
        <f>IF(AND(DB$5&gt;$E80,DB$5&lt;=$F80),IF(DB$5=$E80+1,$C80,""),"")</f>
        <v/>
      </c>
      <c r="DC80" s="34">
        <f>IF(AND(DC$5&gt;$E80,DC$5&lt;=$F80),IF(DC$5=$E80+1,$C80,""),"")</f>
        <v/>
      </c>
      <c r="DD80" s="34">
        <f>IF(AND(DD$5&gt;$E80,DD$5&lt;=$F80),IF(DD$5=$E80+1,$C80,""),"")</f>
        <v/>
      </c>
      <c r="DE80" s="34">
        <f>IF(AND(DE$5&gt;$E80,DE$5&lt;=$F80),IF(DE$5=$E80+1,$C80,""),"")</f>
        <v/>
      </c>
      <c r="DF80" s="34">
        <f>IF(AND(DF$5&gt;$E80,DF$5&lt;=$F80),IF(DF$5=$E80+1,$C80,""),"")</f>
        <v/>
      </c>
      <c r="DG80" s="34">
        <f>IF(AND(DG$5&gt;$E80,DG$5&lt;=$F80),IF(DG$5=$E80+1,$C80,""),"")</f>
        <v/>
      </c>
      <c r="DH80" s="34">
        <f>IF(AND(DH$5&gt;$E80,DH$5&lt;=$F80),IF(DH$5=$E80+1,$C80,""),"")</f>
        <v/>
      </c>
      <c r="DI80" s="34">
        <f>IF(AND(DI$5&gt;$E80,DI$5&lt;=$F80),IF(DI$5=$E80+1,$C80,""),"")</f>
        <v/>
      </c>
      <c r="DJ80" s="34">
        <f>IF(AND(DJ$5&gt;$E80,DJ$5&lt;=$F80),IF(DJ$5=$E80+1,$C80,""),"")</f>
        <v/>
      </c>
      <c r="DK80" s="34">
        <f>IF(AND(DK$5&gt;$E80,DK$5&lt;=$F80),IF(DK$5=$E80+1,$C80,""),"")</f>
        <v/>
      </c>
      <c r="DL80" s="34">
        <f>IF(AND(DL$5&gt;$E80,DL$5&lt;=$F80),IF(DL$5=$E80+1,$C80,""),"")</f>
        <v/>
      </c>
      <c r="DM80" s="34">
        <f>IF(AND(DM$5&gt;$E80,DM$5&lt;=$F80),IF(DM$5=$E80+1,$C80,""),"")</f>
        <v/>
      </c>
      <c r="DN80" s="34">
        <f>IF(AND(DN$5&gt;$E80,DN$5&lt;=$F80),IF(DN$5=$E80+1,$C80,""),"")</f>
        <v/>
      </c>
      <c r="DO80" s="34">
        <f>IF(AND(DO$5&gt;$E80,DO$5&lt;=$F80),IF(DO$5=$E80+1,$C80,""),"")</f>
        <v/>
      </c>
      <c r="DP80" s="34">
        <f>IF(AND(DP$5&gt;$E80,DP$5&lt;=$F80),IF(DP$5=$E80+1,$C80,""),"")</f>
        <v/>
      </c>
      <c r="DQ80" s="34">
        <f>IF(AND(DQ$5&gt;$E80,DQ$5&lt;=$F80),IF(DQ$5=$E80+1,$C80,""),"")</f>
        <v/>
      </c>
      <c r="DR80" s="34">
        <f>IF(AND(DR$5&gt;$E80,DR$5&lt;=$F80),IF(DR$5=$E80+1,$C80,""),"")</f>
        <v/>
      </c>
      <c r="DS80" s="34">
        <f>IF(AND(DS$5&gt;$E80,DS$5&lt;=$F80),IF(DS$5=$E80+1,$C80,""),"")</f>
        <v/>
      </c>
      <c r="DT80" s="34">
        <f>IF(AND(DT$5&gt;$E80,DT$5&lt;=$F80),IF(DT$5=$E80+1,$C80,""),"")</f>
        <v/>
      </c>
      <c r="DU80" s="34">
        <f>IF(AND(DU$5&gt;$E80,DU$5&lt;=$F80),IF(DU$5=$E80+1,$C80,""),"")</f>
        <v/>
      </c>
      <c r="DV80" s="34">
        <f>IF(AND(DV$5&gt;$E80,DV$5&lt;=$F80),IF(DV$5=$E80+1,$C80,""),"")</f>
        <v/>
      </c>
      <c r="DW80" s="34">
        <f>IF(AND(DW$5&gt;$E80,DW$5&lt;=$F80),IF(DW$5=$E80+1,$C80,""),"")</f>
        <v/>
      </c>
      <c r="DX80" s="34">
        <f>IF(AND(DX$5&gt;$E80,DX$5&lt;=$F80),IF(DX$5=$E80+1,$C80,""),"")</f>
        <v/>
      </c>
      <c r="DY80" s="34">
        <f>IF(AND(DY$5&gt;$E80,DY$5&lt;=$F80),IF(DY$5=$E80+1,$C80,""),"")</f>
        <v/>
      </c>
      <c r="DZ80" s="34">
        <f>IF(AND(DZ$5&gt;$E80,DZ$5&lt;=$F80),IF(DZ$5=$E80+1,$C80,""),"")</f>
        <v/>
      </c>
      <c r="EA80" s="34">
        <f>IF(AND(EA$5&gt;$E80,EA$5&lt;=$F80),IF(EA$5=$E80+1,$C80,""),"")</f>
        <v/>
      </c>
      <c r="EB80" s="34">
        <f>IF(AND(EB$5&gt;$E80,EB$5&lt;=$F80),IF(EB$5=$E80+1,$C80,""),"")</f>
        <v/>
      </c>
      <c r="EC80" s="34">
        <f>IF(AND(EC$5&gt;$E80,EC$5&lt;=$F80),IF(EC$5=$E80+1,$C80,""),"")</f>
        <v/>
      </c>
      <c r="ED80" s="34">
        <f>IF(AND(ED$5&gt;$E80,ED$5&lt;=$F80),IF(ED$5=$E80+1,$C80,""),"")</f>
        <v/>
      </c>
      <c r="EE80" s="34">
        <f>IF(AND(EE$5&gt;$E80,EE$5&lt;=$F80),IF(EE$5=$E80+1,$C80,""),"")</f>
        <v/>
      </c>
      <c r="EF80" s="34">
        <f>IF(AND(EF$5&gt;$E80,EF$5&lt;=$F80),IF(EF$5=$E80+1,$C80,""),"")</f>
        <v/>
      </c>
      <c r="EG80" s="34">
        <f>IF(AND(EG$5&gt;$E80,EG$5&lt;=$F80),IF(EG$5=$E80+1,$C80,""),"")</f>
        <v/>
      </c>
    </row>
    <row r="81">
      <c r="A81" s="32">
        <f>Plan!A91</f>
        <v/>
      </c>
      <c r="B81" s="33">
        <f>Plan!C91</f>
        <v/>
      </c>
      <c r="C81" s="16">
        <f>Plan!D91</f>
        <v/>
      </c>
      <c r="D81" s="16">
        <f>Plan!I91</f>
        <v/>
      </c>
      <c r="E81" s="16">
        <f>Plan!K91</f>
        <v/>
      </c>
      <c r="F81" s="16">
        <f>Plan!L91</f>
        <v/>
      </c>
      <c r="G81" s="16">
        <f>Plan!O91</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c r="CT81" s="34">
        <f>IF(AND(CT$5&gt;$E81,CT$5&lt;=$F81),IF(CT$5=$E81+1,$C81,""),"")</f>
        <v/>
      </c>
      <c r="CU81" s="34">
        <f>IF(AND(CU$5&gt;$E81,CU$5&lt;=$F81),IF(CU$5=$E81+1,$C81,""),"")</f>
        <v/>
      </c>
      <c r="CV81" s="34">
        <f>IF(AND(CV$5&gt;$E81,CV$5&lt;=$F81),IF(CV$5=$E81+1,$C81,""),"")</f>
        <v/>
      </c>
      <c r="CW81" s="34">
        <f>IF(AND(CW$5&gt;$E81,CW$5&lt;=$F81),IF(CW$5=$E81+1,$C81,""),"")</f>
        <v/>
      </c>
      <c r="CX81" s="34">
        <f>IF(AND(CX$5&gt;$E81,CX$5&lt;=$F81),IF(CX$5=$E81+1,$C81,""),"")</f>
        <v/>
      </c>
      <c r="CY81" s="34">
        <f>IF(AND(CY$5&gt;$E81,CY$5&lt;=$F81),IF(CY$5=$E81+1,$C81,""),"")</f>
        <v/>
      </c>
      <c r="CZ81" s="34">
        <f>IF(AND(CZ$5&gt;$E81,CZ$5&lt;=$F81),IF(CZ$5=$E81+1,$C81,""),"")</f>
        <v/>
      </c>
      <c r="DA81" s="34">
        <f>IF(AND(DA$5&gt;$E81,DA$5&lt;=$F81),IF(DA$5=$E81+1,$C81,""),"")</f>
        <v/>
      </c>
      <c r="DB81" s="34">
        <f>IF(AND(DB$5&gt;$E81,DB$5&lt;=$F81),IF(DB$5=$E81+1,$C81,""),"")</f>
        <v/>
      </c>
      <c r="DC81" s="34">
        <f>IF(AND(DC$5&gt;$E81,DC$5&lt;=$F81),IF(DC$5=$E81+1,$C81,""),"")</f>
        <v/>
      </c>
      <c r="DD81" s="34">
        <f>IF(AND(DD$5&gt;$E81,DD$5&lt;=$F81),IF(DD$5=$E81+1,$C81,""),"")</f>
        <v/>
      </c>
      <c r="DE81" s="34">
        <f>IF(AND(DE$5&gt;$E81,DE$5&lt;=$F81),IF(DE$5=$E81+1,$C81,""),"")</f>
        <v/>
      </c>
      <c r="DF81" s="34">
        <f>IF(AND(DF$5&gt;$E81,DF$5&lt;=$F81),IF(DF$5=$E81+1,$C81,""),"")</f>
        <v/>
      </c>
      <c r="DG81" s="34">
        <f>IF(AND(DG$5&gt;$E81,DG$5&lt;=$F81),IF(DG$5=$E81+1,$C81,""),"")</f>
        <v/>
      </c>
      <c r="DH81" s="34">
        <f>IF(AND(DH$5&gt;$E81,DH$5&lt;=$F81),IF(DH$5=$E81+1,$C81,""),"")</f>
        <v/>
      </c>
      <c r="DI81" s="34">
        <f>IF(AND(DI$5&gt;$E81,DI$5&lt;=$F81),IF(DI$5=$E81+1,$C81,""),"")</f>
        <v/>
      </c>
      <c r="DJ81" s="34">
        <f>IF(AND(DJ$5&gt;$E81,DJ$5&lt;=$F81),IF(DJ$5=$E81+1,$C81,""),"")</f>
        <v/>
      </c>
      <c r="DK81" s="34">
        <f>IF(AND(DK$5&gt;$E81,DK$5&lt;=$F81),IF(DK$5=$E81+1,$C81,""),"")</f>
        <v/>
      </c>
      <c r="DL81" s="34">
        <f>IF(AND(DL$5&gt;$E81,DL$5&lt;=$F81),IF(DL$5=$E81+1,$C81,""),"")</f>
        <v/>
      </c>
      <c r="DM81" s="34">
        <f>IF(AND(DM$5&gt;$E81,DM$5&lt;=$F81),IF(DM$5=$E81+1,$C81,""),"")</f>
        <v/>
      </c>
      <c r="DN81" s="34">
        <f>IF(AND(DN$5&gt;$E81,DN$5&lt;=$F81),IF(DN$5=$E81+1,$C81,""),"")</f>
        <v/>
      </c>
      <c r="DO81" s="34">
        <f>IF(AND(DO$5&gt;$E81,DO$5&lt;=$F81),IF(DO$5=$E81+1,$C81,""),"")</f>
        <v/>
      </c>
      <c r="DP81" s="34">
        <f>IF(AND(DP$5&gt;$E81,DP$5&lt;=$F81),IF(DP$5=$E81+1,$C81,""),"")</f>
        <v/>
      </c>
      <c r="DQ81" s="34">
        <f>IF(AND(DQ$5&gt;$E81,DQ$5&lt;=$F81),IF(DQ$5=$E81+1,$C81,""),"")</f>
        <v/>
      </c>
      <c r="DR81" s="34">
        <f>IF(AND(DR$5&gt;$E81,DR$5&lt;=$F81),IF(DR$5=$E81+1,$C81,""),"")</f>
        <v/>
      </c>
      <c r="DS81" s="34">
        <f>IF(AND(DS$5&gt;$E81,DS$5&lt;=$F81),IF(DS$5=$E81+1,$C81,""),"")</f>
        <v/>
      </c>
      <c r="DT81" s="34">
        <f>IF(AND(DT$5&gt;$E81,DT$5&lt;=$F81),IF(DT$5=$E81+1,$C81,""),"")</f>
        <v/>
      </c>
      <c r="DU81" s="34">
        <f>IF(AND(DU$5&gt;$E81,DU$5&lt;=$F81),IF(DU$5=$E81+1,$C81,""),"")</f>
        <v/>
      </c>
      <c r="DV81" s="34">
        <f>IF(AND(DV$5&gt;$E81,DV$5&lt;=$F81),IF(DV$5=$E81+1,$C81,""),"")</f>
        <v/>
      </c>
      <c r="DW81" s="34">
        <f>IF(AND(DW$5&gt;$E81,DW$5&lt;=$F81),IF(DW$5=$E81+1,$C81,""),"")</f>
        <v/>
      </c>
      <c r="DX81" s="34">
        <f>IF(AND(DX$5&gt;$E81,DX$5&lt;=$F81),IF(DX$5=$E81+1,$C81,""),"")</f>
        <v/>
      </c>
      <c r="DY81" s="34">
        <f>IF(AND(DY$5&gt;$E81,DY$5&lt;=$F81),IF(DY$5=$E81+1,$C81,""),"")</f>
        <v/>
      </c>
      <c r="DZ81" s="34">
        <f>IF(AND(DZ$5&gt;$E81,DZ$5&lt;=$F81),IF(DZ$5=$E81+1,$C81,""),"")</f>
        <v/>
      </c>
      <c r="EA81" s="34">
        <f>IF(AND(EA$5&gt;$E81,EA$5&lt;=$F81),IF(EA$5=$E81+1,$C81,""),"")</f>
        <v/>
      </c>
      <c r="EB81" s="34">
        <f>IF(AND(EB$5&gt;$E81,EB$5&lt;=$F81),IF(EB$5=$E81+1,$C81,""),"")</f>
        <v/>
      </c>
      <c r="EC81" s="34">
        <f>IF(AND(EC$5&gt;$E81,EC$5&lt;=$F81),IF(EC$5=$E81+1,$C81,""),"")</f>
        <v/>
      </c>
      <c r="ED81" s="34">
        <f>IF(AND(ED$5&gt;$E81,ED$5&lt;=$F81),IF(ED$5=$E81+1,$C81,""),"")</f>
        <v/>
      </c>
      <c r="EE81" s="34">
        <f>IF(AND(EE$5&gt;$E81,EE$5&lt;=$F81),IF(EE$5=$E81+1,$C81,""),"")</f>
        <v/>
      </c>
      <c r="EF81" s="34">
        <f>IF(AND(EF$5&gt;$E81,EF$5&lt;=$F81),IF(EF$5=$E81+1,$C81,""),"")</f>
        <v/>
      </c>
      <c r="EG81" s="34">
        <f>IF(AND(EG$5&gt;$E81,EG$5&lt;=$F81),IF(EG$5=$E81+1,$C81,""),"")</f>
        <v/>
      </c>
    </row>
    <row r="82">
      <c r="A82" s="32">
        <f>Plan!A96</f>
        <v/>
      </c>
      <c r="B82" s="33">
        <f>Plan!C96</f>
        <v/>
      </c>
      <c r="C82" s="16">
        <f>Plan!D96</f>
        <v/>
      </c>
      <c r="D82" s="16">
        <f>Plan!I96</f>
        <v/>
      </c>
      <c r="E82" s="16">
        <f>Plan!K96</f>
        <v/>
      </c>
      <c r="F82" s="16">
        <f>Plan!L96</f>
        <v/>
      </c>
      <c r="G82" s="16">
        <f>Plan!O96</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c r="CT82" s="34">
        <f>IF(AND(CT$5&gt;$E82,CT$5&lt;=$F82),IF(CT$5=$E82+1,$C82,""),"")</f>
        <v/>
      </c>
      <c r="CU82" s="34">
        <f>IF(AND(CU$5&gt;$E82,CU$5&lt;=$F82),IF(CU$5=$E82+1,$C82,""),"")</f>
        <v/>
      </c>
      <c r="CV82" s="34">
        <f>IF(AND(CV$5&gt;$E82,CV$5&lt;=$F82),IF(CV$5=$E82+1,$C82,""),"")</f>
        <v/>
      </c>
      <c r="CW82" s="34">
        <f>IF(AND(CW$5&gt;$E82,CW$5&lt;=$F82),IF(CW$5=$E82+1,$C82,""),"")</f>
        <v/>
      </c>
      <c r="CX82" s="34">
        <f>IF(AND(CX$5&gt;$E82,CX$5&lt;=$F82),IF(CX$5=$E82+1,$C82,""),"")</f>
        <v/>
      </c>
      <c r="CY82" s="34">
        <f>IF(AND(CY$5&gt;$E82,CY$5&lt;=$F82),IF(CY$5=$E82+1,$C82,""),"")</f>
        <v/>
      </c>
      <c r="CZ82" s="34">
        <f>IF(AND(CZ$5&gt;$E82,CZ$5&lt;=$F82),IF(CZ$5=$E82+1,$C82,""),"")</f>
        <v/>
      </c>
      <c r="DA82" s="34">
        <f>IF(AND(DA$5&gt;$E82,DA$5&lt;=$F82),IF(DA$5=$E82+1,$C82,""),"")</f>
        <v/>
      </c>
      <c r="DB82" s="34">
        <f>IF(AND(DB$5&gt;$E82,DB$5&lt;=$F82),IF(DB$5=$E82+1,$C82,""),"")</f>
        <v/>
      </c>
      <c r="DC82" s="34">
        <f>IF(AND(DC$5&gt;$E82,DC$5&lt;=$F82),IF(DC$5=$E82+1,$C82,""),"")</f>
        <v/>
      </c>
      <c r="DD82" s="34">
        <f>IF(AND(DD$5&gt;$E82,DD$5&lt;=$F82),IF(DD$5=$E82+1,$C82,""),"")</f>
        <v/>
      </c>
      <c r="DE82" s="34">
        <f>IF(AND(DE$5&gt;$E82,DE$5&lt;=$F82),IF(DE$5=$E82+1,$C82,""),"")</f>
        <v/>
      </c>
      <c r="DF82" s="34">
        <f>IF(AND(DF$5&gt;$E82,DF$5&lt;=$F82),IF(DF$5=$E82+1,$C82,""),"")</f>
        <v/>
      </c>
      <c r="DG82" s="34">
        <f>IF(AND(DG$5&gt;$E82,DG$5&lt;=$F82),IF(DG$5=$E82+1,$C82,""),"")</f>
        <v/>
      </c>
      <c r="DH82" s="34">
        <f>IF(AND(DH$5&gt;$E82,DH$5&lt;=$F82),IF(DH$5=$E82+1,$C82,""),"")</f>
        <v/>
      </c>
      <c r="DI82" s="34">
        <f>IF(AND(DI$5&gt;$E82,DI$5&lt;=$F82),IF(DI$5=$E82+1,$C82,""),"")</f>
        <v/>
      </c>
      <c r="DJ82" s="34">
        <f>IF(AND(DJ$5&gt;$E82,DJ$5&lt;=$F82),IF(DJ$5=$E82+1,$C82,""),"")</f>
        <v/>
      </c>
      <c r="DK82" s="34">
        <f>IF(AND(DK$5&gt;$E82,DK$5&lt;=$F82),IF(DK$5=$E82+1,$C82,""),"")</f>
        <v/>
      </c>
      <c r="DL82" s="34">
        <f>IF(AND(DL$5&gt;$E82,DL$5&lt;=$F82),IF(DL$5=$E82+1,$C82,""),"")</f>
        <v/>
      </c>
      <c r="DM82" s="34">
        <f>IF(AND(DM$5&gt;$E82,DM$5&lt;=$F82),IF(DM$5=$E82+1,$C82,""),"")</f>
        <v/>
      </c>
      <c r="DN82" s="34">
        <f>IF(AND(DN$5&gt;$E82,DN$5&lt;=$F82),IF(DN$5=$E82+1,$C82,""),"")</f>
        <v/>
      </c>
      <c r="DO82" s="34">
        <f>IF(AND(DO$5&gt;$E82,DO$5&lt;=$F82),IF(DO$5=$E82+1,$C82,""),"")</f>
        <v/>
      </c>
      <c r="DP82" s="34">
        <f>IF(AND(DP$5&gt;$E82,DP$5&lt;=$F82),IF(DP$5=$E82+1,$C82,""),"")</f>
        <v/>
      </c>
      <c r="DQ82" s="34">
        <f>IF(AND(DQ$5&gt;$E82,DQ$5&lt;=$F82),IF(DQ$5=$E82+1,$C82,""),"")</f>
        <v/>
      </c>
      <c r="DR82" s="34">
        <f>IF(AND(DR$5&gt;$E82,DR$5&lt;=$F82),IF(DR$5=$E82+1,$C82,""),"")</f>
        <v/>
      </c>
      <c r="DS82" s="34">
        <f>IF(AND(DS$5&gt;$E82,DS$5&lt;=$F82),IF(DS$5=$E82+1,$C82,""),"")</f>
        <v/>
      </c>
      <c r="DT82" s="34">
        <f>IF(AND(DT$5&gt;$E82,DT$5&lt;=$F82),IF(DT$5=$E82+1,$C82,""),"")</f>
        <v/>
      </c>
      <c r="DU82" s="34">
        <f>IF(AND(DU$5&gt;$E82,DU$5&lt;=$F82),IF(DU$5=$E82+1,$C82,""),"")</f>
        <v/>
      </c>
      <c r="DV82" s="34">
        <f>IF(AND(DV$5&gt;$E82,DV$5&lt;=$F82),IF(DV$5=$E82+1,$C82,""),"")</f>
        <v/>
      </c>
      <c r="DW82" s="34">
        <f>IF(AND(DW$5&gt;$E82,DW$5&lt;=$F82),IF(DW$5=$E82+1,$C82,""),"")</f>
        <v/>
      </c>
      <c r="DX82" s="34">
        <f>IF(AND(DX$5&gt;$E82,DX$5&lt;=$F82),IF(DX$5=$E82+1,$C82,""),"")</f>
        <v/>
      </c>
      <c r="DY82" s="34">
        <f>IF(AND(DY$5&gt;$E82,DY$5&lt;=$F82),IF(DY$5=$E82+1,$C82,""),"")</f>
        <v/>
      </c>
      <c r="DZ82" s="34">
        <f>IF(AND(DZ$5&gt;$E82,DZ$5&lt;=$F82),IF(DZ$5=$E82+1,$C82,""),"")</f>
        <v/>
      </c>
      <c r="EA82" s="34">
        <f>IF(AND(EA$5&gt;$E82,EA$5&lt;=$F82),IF(EA$5=$E82+1,$C82,""),"")</f>
        <v/>
      </c>
      <c r="EB82" s="34">
        <f>IF(AND(EB$5&gt;$E82,EB$5&lt;=$F82),IF(EB$5=$E82+1,$C82,""),"")</f>
        <v/>
      </c>
      <c r="EC82" s="34">
        <f>IF(AND(EC$5&gt;$E82,EC$5&lt;=$F82),IF(EC$5=$E82+1,$C82,""),"")</f>
        <v/>
      </c>
      <c r="ED82" s="34">
        <f>IF(AND(ED$5&gt;$E82,ED$5&lt;=$F82),IF(ED$5=$E82+1,$C82,""),"")</f>
        <v/>
      </c>
      <c r="EE82" s="34">
        <f>IF(AND(EE$5&gt;$E82,EE$5&lt;=$F82),IF(EE$5=$E82+1,$C82,""),"")</f>
        <v/>
      </c>
      <c r="EF82" s="34">
        <f>IF(AND(EF$5&gt;$E82,EF$5&lt;=$F82),IF(EF$5=$E82+1,$C82,""),"")</f>
        <v/>
      </c>
      <c r="EG82" s="34">
        <f>IF(AND(EG$5&gt;$E82,EG$5&lt;=$F82),IF(EG$5=$E82+1,$C82,""),"")</f>
        <v/>
      </c>
    </row>
    <row r="83">
      <c r="A83" s="32">
        <f>Plan!A97</f>
        <v/>
      </c>
      <c r="B83" s="33">
        <f>Plan!C97</f>
        <v/>
      </c>
      <c r="C83" s="16">
        <f>Plan!D97</f>
        <v/>
      </c>
      <c r="D83" s="16">
        <f>Plan!I97</f>
        <v/>
      </c>
      <c r="E83" s="16">
        <f>Plan!K97</f>
        <v/>
      </c>
      <c r="F83" s="16">
        <f>Plan!L97</f>
        <v/>
      </c>
      <c r="G83" s="16">
        <f>Plan!O97</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c r="CT83" s="34">
        <f>IF(AND(CT$5&gt;$E83,CT$5&lt;=$F83),IF(CT$5=$E83+1,$C83,""),"")</f>
        <v/>
      </c>
      <c r="CU83" s="34">
        <f>IF(AND(CU$5&gt;$E83,CU$5&lt;=$F83),IF(CU$5=$E83+1,$C83,""),"")</f>
        <v/>
      </c>
      <c r="CV83" s="34">
        <f>IF(AND(CV$5&gt;$E83,CV$5&lt;=$F83),IF(CV$5=$E83+1,$C83,""),"")</f>
        <v/>
      </c>
      <c r="CW83" s="34">
        <f>IF(AND(CW$5&gt;$E83,CW$5&lt;=$F83),IF(CW$5=$E83+1,$C83,""),"")</f>
        <v/>
      </c>
      <c r="CX83" s="34">
        <f>IF(AND(CX$5&gt;$E83,CX$5&lt;=$F83),IF(CX$5=$E83+1,$C83,""),"")</f>
        <v/>
      </c>
      <c r="CY83" s="34">
        <f>IF(AND(CY$5&gt;$E83,CY$5&lt;=$F83),IF(CY$5=$E83+1,$C83,""),"")</f>
        <v/>
      </c>
      <c r="CZ83" s="34">
        <f>IF(AND(CZ$5&gt;$E83,CZ$5&lt;=$F83),IF(CZ$5=$E83+1,$C83,""),"")</f>
        <v/>
      </c>
      <c r="DA83" s="34">
        <f>IF(AND(DA$5&gt;$E83,DA$5&lt;=$F83),IF(DA$5=$E83+1,$C83,""),"")</f>
        <v/>
      </c>
      <c r="DB83" s="34">
        <f>IF(AND(DB$5&gt;$E83,DB$5&lt;=$F83),IF(DB$5=$E83+1,$C83,""),"")</f>
        <v/>
      </c>
      <c r="DC83" s="34">
        <f>IF(AND(DC$5&gt;$E83,DC$5&lt;=$F83),IF(DC$5=$E83+1,$C83,""),"")</f>
        <v/>
      </c>
      <c r="DD83" s="34">
        <f>IF(AND(DD$5&gt;$E83,DD$5&lt;=$F83),IF(DD$5=$E83+1,$C83,""),"")</f>
        <v/>
      </c>
      <c r="DE83" s="34">
        <f>IF(AND(DE$5&gt;$E83,DE$5&lt;=$F83),IF(DE$5=$E83+1,$C83,""),"")</f>
        <v/>
      </c>
      <c r="DF83" s="34">
        <f>IF(AND(DF$5&gt;$E83,DF$5&lt;=$F83),IF(DF$5=$E83+1,$C83,""),"")</f>
        <v/>
      </c>
      <c r="DG83" s="34">
        <f>IF(AND(DG$5&gt;$E83,DG$5&lt;=$F83),IF(DG$5=$E83+1,$C83,""),"")</f>
        <v/>
      </c>
      <c r="DH83" s="34">
        <f>IF(AND(DH$5&gt;$E83,DH$5&lt;=$F83),IF(DH$5=$E83+1,$C83,""),"")</f>
        <v/>
      </c>
      <c r="DI83" s="34">
        <f>IF(AND(DI$5&gt;$E83,DI$5&lt;=$F83),IF(DI$5=$E83+1,$C83,""),"")</f>
        <v/>
      </c>
      <c r="DJ83" s="34">
        <f>IF(AND(DJ$5&gt;$E83,DJ$5&lt;=$F83),IF(DJ$5=$E83+1,$C83,""),"")</f>
        <v/>
      </c>
      <c r="DK83" s="34">
        <f>IF(AND(DK$5&gt;$E83,DK$5&lt;=$F83),IF(DK$5=$E83+1,$C83,""),"")</f>
        <v/>
      </c>
      <c r="DL83" s="34">
        <f>IF(AND(DL$5&gt;$E83,DL$5&lt;=$F83),IF(DL$5=$E83+1,$C83,""),"")</f>
        <v/>
      </c>
      <c r="DM83" s="34">
        <f>IF(AND(DM$5&gt;$E83,DM$5&lt;=$F83),IF(DM$5=$E83+1,$C83,""),"")</f>
        <v/>
      </c>
      <c r="DN83" s="34">
        <f>IF(AND(DN$5&gt;$E83,DN$5&lt;=$F83),IF(DN$5=$E83+1,$C83,""),"")</f>
        <v/>
      </c>
      <c r="DO83" s="34">
        <f>IF(AND(DO$5&gt;$E83,DO$5&lt;=$F83),IF(DO$5=$E83+1,$C83,""),"")</f>
        <v/>
      </c>
      <c r="DP83" s="34">
        <f>IF(AND(DP$5&gt;$E83,DP$5&lt;=$F83),IF(DP$5=$E83+1,$C83,""),"")</f>
        <v/>
      </c>
      <c r="DQ83" s="34">
        <f>IF(AND(DQ$5&gt;$E83,DQ$5&lt;=$F83),IF(DQ$5=$E83+1,$C83,""),"")</f>
        <v/>
      </c>
      <c r="DR83" s="34">
        <f>IF(AND(DR$5&gt;$E83,DR$5&lt;=$F83),IF(DR$5=$E83+1,$C83,""),"")</f>
        <v/>
      </c>
      <c r="DS83" s="34">
        <f>IF(AND(DS$5&gt;$E83,DS$5&lt;=$F83),IF(DS$5=$E83+1,$C83,""),"")</f>
        <v/>
      </c>
      <c r="DT83" s="34">
        <f>IF(AND(DT$5&gt;$E83,DT$5&lt;=$F83),IF(DT$5=$E83+1,$C83,""),"")</f>
        <v/>
      </c>
      <c r="DU83" s="34">
        <f>IF(AND(DU$5&gt;$E83,DU$5&lt;=$F83),IF(DU$5=$E83+1,$C83,""),"")</f>
        <v/>
      </c>
      <c r="DV83" s="34">
        <f>IF(AND(DV$5&gt;$E83,DV$5&lt;=$F83),IF(DV$5=$E83+1,$C83,""),"")</f>
        <v/>
      </c>
      <c r="DW83" s="34">
        <f>IF(AND(DW$5&gt;$E83,DW$5&lt;=$F83),IF(DW$5=$E83+1,$C83,""),"")</f>
        <v/>
      </c>
      <c r="DX83" s="34">
        <f>IF(AND(DX$5&gt;$E83,DX$5&lt;=$F83),IF(DX$5=$E83+1,$C83,""),"")</f>
        <v/>
      </c>
      <c r="DY83" s="34">
        <f>IF(AND(DY$5&gt;$E83,DY$5&lt;=$F83),IF(DY$5=$E83+1,$C83,""),"")</f>
        <v/>
      </c>
      <c r="DZ83" s="34">
        <f>IF(AND(DZ$5&gt;$E83,DZ$5&lt;=$F83),IF(DZ$5=$E83+1,$C83,""),"")</f>
        <v/>
      </c>
      <c r="EA83" s="34">
        <f>IF(AND(EA$5&gt;$E83,EA$5&lt;=$F83),IF(EA$5=$E83+1,$C83,""),"")</f>
        <v/>
      </c>
      <c r="EB83" s="34">
        <f>IF(AND(EB$5&gt;$E83,EB$5&lt;=$F83),IF(EB$5=$E83+1,$C83,""),"")</f>
        <v/>
      </c>
      <c r="EC83" s="34">
        <f>IF(AND(EC$5&gt;$E83,EC$5&lt;=$F83),IF(EC$5=$E83+1,$C83,""),"")</f>
        <v/>
      </c>
      <c r="ED83" s="34">
        <f>IF(AND(ED$5&gt;$E83,ED$5&lt;=$F83),IF(ED$5=$E83+1,$C83,""),"")</f>
        <v/>
      </c>
      <c r="EE83" s="34">
        <f>IF(AND(EE$5&gt;$E83,EE$5&lt;=$F83),IF(EE$5=$E83+1,$C83,""),"")</f>
        <v/>
      </c>
      <c r="EF83" s="34">
        <f>IF(AND(EF$5&gt;$E83,EF$5&lt;=$F83),IF(EF$5=$E83+1,$C83,""),"")</f>
        <v/>
      </c>
      <c r="EG83" s="34">
        <f>IF(AND(EG$5&gt;$E83,EG$5&lt;=$F83),IF(EG$5=$E83+1,$C83,""),"")</f>
        <v/>
      </c>
    </row>
    <row r="84">
      <c r="A84" s="32">
        <f>Plan!A98</f>
        <v/>
      </c>
      <c r="B84" s="33">
        <f>Plan!C98</f>
        <v/>
      </c>
      <c r="C84" s="16">
        <f>Plan!D98</f>
        <v/>
      </c>
      <c r="D84" s="16">
        <f>Plan!I98</f>
        <v/>
      </c>
      <c r="E84" s="16">
        <f>Plan!K98</f>
        <v/>
      </c>
      <c r="F84" s="16">
        <f>Plan!L98</f>
        <v/>
      </c>
      <c r="G84" s="16">
        <f>Plan!O98</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c r="CT84" s="34">
        <f>IF(AND(CT$5&gt;$E84,CT$5&lt;=$F84),IF(CT$5=$E84+1,$C84,""),"")</f>
        <v/>
      </c>
      <c r="CU84" s="34">
        <f>IF(AND(CU$5&gt;$E84,CU$5&lt;=$F84),IF(CU$5=$E84+1,$C84,""),"")</f>
        <v/>
      </c>
      <c r="CV84" s="34">
        <f>IF(AND(CV$5&gt;$E84,CV$5&lt;=$F84),IF(CV$5=$E84+1,$C84,""),"")</f>
        <v/>
      </c>
      <c r="CW84" s="34">
        <f>IF(AND(CW$5&gt;$E84,CW$5&lt;=$F84),IF(CW$5=$E84+1,$C84,""),"")</f>
        <v/>
      </c>
      <c r="CX84" s="34">
        <f>IF(AND(CX$5&gt;$E84,CX$5&lt;=$F84),IF(CX$5=$E84+1,$C84,""),"")</f>
        <v/>
      </c>
      <c r="CY84" s="34">
        <f>IF(AND(CY$5&gt;$E84,CY$5&lt;=$F84),IF(CY$5=$E84+1,$C84,""),"")</f>
        <v/>
      </c>
      <c r="CZ84" s="34">
        <f>IF(AND(CZ$5&gt;$E84,CZ$5&lt;=$F84),IF(CZ$5=$E84+1,$C84,""),"")</f>
        <v/>
      </c>
      <c r="DA84" s="34">
        <f>IF(AND(DA$5&gt;$E84,DA$5&lt;=$F84),IF(DA$5=$E84+1,$C84,""),"")</f>
        <v/>
      </c>
      <c r="DB84" s="34">
        <f>IF(AND(DB$5&gt;$E84,DB$5&lt;=$F84),IF(DB$5=$E84+1,$C84,""),"")</f>
        <v/>
      </c>
      <c r="DC84" s="34">
        <f>IF(AND(DC$5&gt;$E84,DC$5&lt;=$F84),IF(DC$5=$E84+1,$C84,""),"")</f>
        <v/>
      </c>
      <c r="DD84" s="34">
        <f>IF(AND(DD$5&gt;$E84,DD$5&lt;=$F84),IF(DD$5=$E84+1,$C84,""),"")</f>
        <v/>
      </c>
      <c r="DE84" s="34">
        <f>IF(AND(DE$5&gt;$E84,DE$5&lt;=$F84),IF(DE$5=$E84+1,$C84,""),"")</f>
        <v/>
      </c>
      <c r="DF84" s="34">
        <f>IF(AND(DF$5&gt;$E84,DF$5&lt;=$F84),IF(DF$5=$E84+1,$C84,""),"")</f>
        <v/>
      </c>
      <c r="DG84" s="34">
        <f>IF(AND(DG$5&gt;$E84,DG$5&lt;=$F84),IF(DG$5=$E84+1,$C84,""),"")</f>
        <v/>
      </c>
      <c r="DH84" s="34">
        <f>IF(AND(DH$5&gt;$E84,DH$5&lt;=$F84),IF(DH$5=$E84+1,$C84,""),"")</f>
        <v/>
      </c>
      <c r="DI84" s="34">
        <f>IF(AND(DI$5&gt;$E84,DI$5&lt;=$F84),IF(DI$5=$E84+1,$C84,""),"")</f>
        <v/>
      </c>
      <c r="DJ84" s="34">
        <f>IF(AND(DJ$5&gt;$E84,DJ$5&lt;=$F84),IF(DJ$5=$E84+1,$C84,""),"")</f>
        <v/>
      </c>
      <c r="DK84" s="34">
        <f>IF(AND(DK$5&gt;$E84,DK$5&lt;=$F84),IF(DK$5=$E84+1,$C84,""),"")</f>
        <v/>
      </c>
      <c r="DL84" s="34">
        <f>IF(AND(DL$5&gt;$E84,DL$5&lt;=$F84),IF(DL$5=$E84+1,$C84,""),"")</f>
        <v/>
      </c>
      <c r="DM84" s="34">
        <f>IF(AND(DM$5&gt;$E84,DM$5&lt;=$F84),IF(DM$5=$E84+1,$C84,""),"")</f>
        <v/>
      </c>
      <c r="DN84" s="34">
        <f>IF(AND(DN$5&gt;$E84,DN$5&lt;=$F84),IF(DN$5=$E84+1,$C84,""),"")</f>
        <v/>
      </c>
      <c r="DO84" s="34">
        <f>IF(AND(DO$5&gt;$E84,DO$5&lt;=$F84),IF(DO$5=$E84+1,$C84,""),"")</f>
        <v/>
      </c>
      <c r="DP84" s="34">
        <f>IF(AND(DP$5&gt;$E84,DP$5&lt;=$F84),IF(DP$5=$E84+1,$C84,""),"")</f>
        <v/>
      </c>
      <c r="DQ84" s="34">
        <f>IF(AND(DQ$5&gt;$E84,DQ$5&lt;=$F84),IF(DQ$5=$E84+1,$C84,""),"")</f>
        <v/>
      </c>
      <c r="DR84" s="34">
        <f>IF(AND(DR$5&gt;$E84,DR$5&lt;=$F84),IF(DR$5=$E84+1,$C84,""),"")</f>
        <v/>
      </c>
      <c r="DS84" s="34">
        <f>IF(AND(DS$5&gt;$E84,DS$5&lt;=$F84),IF(DS$5=$E84+1,$C84,""),"")</f>
        <v/>
      </c>
      <c r="DT84" s="34">
        <f>IF(AND(DT$5&gt;$E84,DT$5&lt;=$F84),IF(DT$5=$E84+1,$C84,""),"")</f>
        <v/>
      </c>
      <c r="DU84" s="34">
        <f>IF(AND(DU$5&gt;$E84,DU$5&lt;=$F84),IF(DU$5=$E84+1,$C84,""),"")</f>
        <v/>
      </c>
      <c r="DV84" s="34">
        <f>IF(AND(DV$5&gt;$E84,DV$5&lt;=$F84),IF(DV$5=$E84+1,$C84,""),"")</f>
        <v/>
      </c>
      <c r="DW84" s="34">
        <f>IF(AND(DW$5&gt;$E84,DW$5&lt;=$F84),IF(DW$5=$E84+1,$C84,""),"")</f>
        <v/>
      </c>
      <c r="DX84" s="34">
        <f>IF(AND(DX$5&gt;$E84,DX$5&lt;=$F84),IF(DX$5=$E84+1,$C84,""),"")</f>
        <v/>
      </c>
      <c r="DY84" s="34">
        <f>IF(AND(DY$5&gt;$E84,DY$5&lt;=$F84),IF(DY$5=$E84+1,$C84,""),"")</f>
        <v/>
      </c>
      <c r="DZ84" s="34">
        <f>IF(AND(DZ$5&gt;$E84,DZ$5&lt;=$F84),IF(DZ$5=$E84+1,$C84,""),"")</f>
        <v/>
      </c>
      <c r="EA84" s="34">
        <f>IF(AND(EA$5&gt;$E84,EA$5&lt;=$F84),IF(EA$5=$E84+1,$C84,""),"")</f>
        <v/>
      </c>
      <c r="EB84" s="34">
        <f>IF(AND(EB$5&gt;$E84,EB$5&lt;=$F84),IF(EB$5=$E84+1,$C84,""),"")</f>
        <v/>
      </c>
      <c r="EC84" s="34">
        <f>IF(AND(EC$5&gt;$E84,EC$5&lt;=$F84),IF(EC$5=$E84+1,$C84,""),"")</f>
        <v/>
      </c>
      <c r="ED84" s="34">
        <f>IF(AND(ED$5&gt;$E84,ED$5&lt;=$F84),IF(ED$5=$E84+1,$C84,""),"")</f>
        <v/>
      </c>
      <c r="EE84" s="34">
        <f>IF(AND(EE$5&gt;$E84,EE$5&lt;=$F84),IF(EE$5=$E84+1,$C84,""),"")</f>
        <v/>
      </c>
      <c r="EF84" s="34">
        <f>IF(AND(EF$5&gt;$E84,EF$5&lt;=$F84),IF(EF$5=$E84+1,$C84,""),"")</f>
        <v/>
      </c>
      <c r="EG84" s="34">
        <f>IF(AND(EG$5&gt;$E84,EG$5&lt;=$F84),IF(EG$5=$E84+1,$C84,""),"")</f>
        <v/>
      </c>
    </row>
    <row r="85">
      <c r="A85" s="32">
        <f>Plan!A105</f>
        <v/>
      </c>
      <c r="B85" s="33">
        <f>Plan!C105</f>
        <v/>
      </c>
      <c r="C85" s="16">
        <f>Plan!D105</f>
        <v/>
      </c>
      <c r="D85" s="16">
        <f>Plan!I105</f>
        <v/>
      </c>
      <c r="E85" s="16">
        <f>Plan!K105</f>
        <v/>
      </c>
      <c r="F85" s="16">
        <f>Plan!L105</f>
        <v/>
      </c>
      <c r="G85" s="16">
        <f>Plan!O105</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c r="CT85" s="34">
        <f>IF(AND(CT$5&gt;$E85,CT$5&lt;=$F85),IF(CT$5=$E85+1,$C85,""),"")</f>
        <v/>
      </c>
      <c r="CU85" s="34">
        <f>IF(AND(CU$5&gt;$E85,CU$5&lt;=$F85),IF(CU$5=$E85+1,$C85,""),"")</f>
        <v/>
      </c>
      <c r="CV85" s="34">
        <f>IF(AND(CV$5&gt;$E85,CV$5&lt;=$F85),IF(CV$5=$E85+1,$C85,""),"")</f>
        <v/>
      </c>
      <c r="CW85" s="34">
        <f>IF(AND(CW$5&gt;$E85,CW$5&lt;=$F85),IF(CW$5=$E85+1,$C85,""),"")</f>
        <v/>
      </c>
      <c r="CX85" s="34">
        <f>IF(AND(CX$5&gt;$E85,CX$5&lt;=$F85),IF(CX$5=$E85+1,$C85,""),"")</f>
        <v/>
      </c>
      <c r="CY85" s="34">
        <f>IF(AND(CY$5&gt;$E85,CY$5&lt;=$F85),IF(CY$5=$E85+1,$C85,""),"")</f>
        <v/>
      </c>
      <c r="CZ85" s="34">
        <f>IF(AND(CZ$5&gt;$E85,CZ$5&lt;=$F85),IF(CZ$5=$E85+1,$C85,""),"")</f>
        <v/>
      </c>
      <c r="DA85" s="34">
        <f>IF(AND(DA$5&gt;$E85,DA$5&lt;=$F85),IF(DA$5=$E85+1,$C85,""),"")</f>
        <v/>
      </c>
      <c r="DB85" s="34">
        <f>IF(AND(DB$5&gt;$E85,DB$5&lt;=$F85),IF(DB$5=$E85+1,$C85,""),"")</f>
        <v/>
      </c>
      <c r="DC85" s="34">
        <f>IF(AND(DC$5&gt;$E85,DC$5&lt;=$F85),IF(DC$5=$E85+1,$C85,""),"")</f>
        <v/>
      </c>
      <c r="DD85" s="34">
        <f>IF(AND(DD$5&gt;$E85,DD$5&lt;=$F85),IF(DD$5=$E85+1,$C85,""),"")</f>
        <v/>
      </c>
      <c r="DE85" s="34">
        <f>IF(AND(DE$5&gt;$E85,DE$5&lt;=$F85),IF(DE$5=$E85+1,$C85,""),"")</f>
        <v/>
      </c>
      <c r="DF85" s="34">
        <f>IF(AND(DF$5&gt;$E85,DF$5&lt;=$F85),IF(DF$5=$E85+1,$C85,""),"")</f>
        <v/>
      </c>
      <c r="DG85" s="34">
        <f>IF(AND(DG$5&gt;$E85,DG$5&lt;=$F85),IF(DG$5=$E85+1,$C85,""),"")</f>
        <v/>
      </c>
      <c r="DH85" s="34">
        <f>IF(AND(DH$5&gt;$E85,DH$5&lt;=$F85),IF(DH$5=$E85+1,$C85,""),"")</f>
        <v/>
      </c>
      <c r="DI85" s="34">
        <f>IF(AND(DI$5&gt;$E85,DI$5&lt;=$F85),IF(DI$5=$E85+1,$C85,""),"")</f>
        <v/>
      </c>
      <c r="DJ85" s="34">
        <f>IF(AND(DJ$5&gt;$E85,DJ$5&lt;=$F85),IF(DJ$5=$E85+1,$C85,""),"")</f>
        <v/>
      </c>
      <c r="DK85" s="34">
        <f>IF(AND(DK$5&gt;$E85,DK$5&lt;=$F85),IF(DK$5=$E85+1,$C85,""),"")</f>
        <v/>
      </c>
      <c r="DL85" s="34">
        <f>IF(AND(DL$5&gt;$E85,DL$5&lt;=$F85),IF(DL$5=$E85+1,$C85,""),"")</f>
        <v/>
      </c>
      <c r="DM85" s="34">
        <f>IF(AND(DM$5&gt;$E85,DM$5&lt;=$F85),IF(DM$5=$E85+1,$C85,""),"")</f>
        <v/>
      </c>
      <c r="DN85" s="34">
        <f>IF(AND(DN$5&gt;$E85,DN$5&lt;=$F85),IF(DN$5=$E85+1,$C85,""),"")</f>
        <v/>
      </c>
      <c r="DO85" s="34">
        <f>IF(AND(DO$5&gt;$E85,DO$5&lt;=$F85),IF(DO$5=$E85+1,$C85,""),"")</f>
        <v/>
      </c>
      <c r="DP85" s="34">
        <f>IF(AND(DP$5&gt;$E85,DP$5&lt;=$F85),IF(DP$5=$E85+1,$C85,""),"")</f>
        <v/>
      </c>
      <c r="DQ85" s="34">
        <f>IF(AND(DQ$5&gt;$E85,DQ$5&lt;=$F85),IF(DQ$5=$E85+1,$C85,""),"")</f>
        <v/>
      </c>
      <c r="DR85" s="34">
        <f>IF(AND(DR$5&gt;$E85,DR$5&lt;=$F85),IF(DR$5=$E85+1,$C85,""),"")</f>
        <v/>
      </c>
      <c r="DS85" s="34">
        <f>IF(AND(DS$5&gt;$E85,DS$5&lt;=$F85),IF(DS$5=$E85+1,$C85,""),"")</f>
        <v/>
      </c>
      <c r="DT85" s="34">
        <f>IF(AND(DT$5&gt;$E85,DT$5&lt;=$F85),IF(DT$5=$E85+1,$C85,""),"")</f>
        <v/>
      </c>
      <c r="DU85" s="34">
        <f>IF(AND(DU$5&gt;$E85,DU$5&lt;=$F85),IF(DU$5=$E85+1,$C85,""),"")</f>
        <v/>
      </c>
      <c r="DV85" s="34">
        <f>IF(AND(DV$5&gt;$E85,DV$5&lt;=$F85),IF(DV$5=$E85+1,$C85,""),"")</f>
        <v/>
      </c>
      <c r="DW85" s="34">
        <f>IF(AND(DW$5&gt;$E85,DW$5&lt;=$F85),IF(DW$5=$E85+1,$C85,""),"")</f>
        <v/>
      </c>
      <c r="DX85" s="34">
        <f>IF(AND(DX$5&gt;$E85,DX$5&lt;=$F85),IF(DX$5=$E85+1,$C85,""),"")</f>
        <v/>
      </c>
      <c r="DY85" s="34">
        <f>IF(AND(DY$5&gt;$E85,DY$5&lt;=$F85),IF(DY$5=$E85+1,$C85,""),"")</f>
        <v/>
      </c>
      <c r="DZ85" s="34">
        <f>IF(AND(DZ$5&gt;$E85,DZ$5&lt;=$F85),IF(DZ$5=$E85+1,$C85,""),"")</f>
        <v/>
      </c>
      <c r="EA85" s="34">
        <f>IF(AND(EA$5&gt;$E85,EA$5&lt;=$F85),IF(EA$5=$E85+1,$C85,""),"")</f>
        <v/>
      </c>
      <c r="EB85" s="34">
        <f>IF(AND(EB$5&gt;$E85,EB$5&lt;=$F85),IF(EB$5=$E85+1,$C85,""),"")</f>
        <v/>
      </c>
      <c r="EC85" s="34">
        <f>IF(AND(EC$5&gt;$E85,EC$5&lt;=$F85),IF(EC$5=$E85+1,$C85,""),"")</f>
        <v/>
      </c>
      <c r="ED85" s="34">
        <f>IF(AND(ED$5&gt;$E85,ED$5&lt;=$F85),IF(ED$5=$E85+1,$C85,""),"")</f>
        <v/>
      </c>
      <c r="EE85" s="34">
        <f>IF(AND(EE$5&gt;$E85,EE$5&lt;=$F85),IF(EE$5=$E85+1,$C85,""),"")</f>
        <v/>
      </c>
      <c r="EF85" s="34">
        <f>IF(AND(EF$5&gt;$E85,EF$5&lt;=$F85),IF(EF$5=$E85+1,$C85,""),"")</f>
        <v/>
      </c>
      <c r="EG85" s="34">
        <f>IF(AND(EG$5&gt;$E85,EG$5&lt;=$F85),IF(EG$5=$E85+1,$C85,""),"")</f>
        <v/>
      </c>
    </row>
    <row r="86">
      <c r="A86" s="32">
        <f>Plan!A106</f>
        <v/>
      </c>
      <c r="B86" s="33">
        <f>Plan!C106</f>
        <v/>
      </c>
      <c r="C86" s="16">
        <f>Plan!D106</f>
        <v/>
      </c>
      <c r="D86" s="16">
        <f>Plan!I106</f>
        <v/>
      </c>
      <c r="E86" s="16">
        <f>Plan!K106</f>
        <v/>
      </c>
      <c r="F86" s="16">
        <f>Plan!L106</f>
        <v/>
      </c>
      <c r="G86" s="16">
        <f>Plan!O106</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c r="CT86" s="34">
        <f>IF(AND(CT$5&gt;$E86,CT$5&lt;=$F86),IF(CT$5=$E86+1,$C86,""),"")</f>
        <v/>
      </c>
      <c r="CU86" s="34">
        <f>IF(AND(CU$5&gt;$E86,CU$5&lt;=$F86),IF(CU$5=$E86+1,$C86,""),"")</f>
        <v/>
      </c>
      <c r="CV86" s="34">
        <f>IF(AND(CV$5&gt;$E86,CV$5&lt;=$F86),IF(CV$5=$E86+1,$C86,""),"")</f>
        <v/>
      </c>
      <c r="CW86" s="34">
        <f>IF(AND(CW$5&gt;$E86,CW$5&lt;=$F86),IF(CW$5=$E86+1,$C86,""),"")</f>
        <v/>
      </c>
      <c r="CX86" s="34">
        <f>IF(AND(CX$5&gt;$E86,CX$5&lt;=$F86),IF(CX$5=$E86+1,$C86,""),"")</f>
        <v/>
      </c>
      <c r="CY86" s="34">
        <f>IF(AND(CY$5&gt;$E86,CY$5&lt;=$F86),IF(CY$5=$E86+1,$C86,""),"")</f>
        <v/>
      </c>
      <c r="CZ86" s="34">
        <f>IF(AND(CZ$5&gt;$E86,CZ$5&lt;=$F86),IF(CZ$5=$E86+1,$C86,""),"")</f>
        <v/>
      </c>
      <c r="DA86" s="34">
        <f>IF(AND(DA$5&gt;$E86,DA$5&lt;=$F86),IF(DA$5=$E86+1,$C86,""),"")</f>
        <v/>
      </c>
      <c r="DB86" s="34">
        <f>IF(AND(DB$5&gt;$E86,DB$5&lt;=$F86),IF(DB$5=$E86+1,$C86,""),"")</f>
        <v/>
      </c>
      <c r="DC86" s="34">
        <f>IF(AND(DC$5&gt;$E86,DC$5&lt;=$F86),IF(DC$5=$E86+1,$C86,""),"")</f>
        <v/>
      </c>
      <c r="DD86" s="34">
        <f>IF(AND(DD$5&gt;$E86,DD$5&lt;=$F86),IF(DD$5=$E86+1,$C86,""),"")</f>
        <v/>
      </c>
      <c r="DE86" s="34">
        <f>IF(AND(DE$5&gt;$E86,DE$5&lt;=$F86),IF(DE$5=$E86+1,$C86,""),"")</f>
        <v/>
      </c>
      <c r="DF86" s="34">
        <f>IF(AND(DF$5&gt;$E86,DF$5&lt;=$F86),IF(DF$5=$E86+1,$C86,""),"")</f>
        <v/>
      </c>
      <c r="DG86" s="34">
        <f>IF(AND(DG$5&gt;$E86,DG$5&lt;=$F86),IF(DG$5=$E86+1,$C86,""),"")</f>
        <v/>
      </c>
      <c r="DH86" s="34">
        <f>IF(AND(DH$5&gt;$E86,DH$5&lt;=$F86),IF(DH$5=$E86+1,$C86,""),"")</f>
        <v/>
      </c>
      <c r="DI86" s="34">
        <f>IF(AND(DI$5&gt;$E86,DI$5&lt;=$F86),IF(DI$5=$E86+1,$C86,""),"")</f>
        <v/>
      </c>
      <c r="DJ86" s="34">
        <f>IF(AND(DJ$5&gt;$E86,DJ$5&lt;=$F86),IF(DJ$5=$E86+1,$C86,""),"")</f>
        <v/>
      </c>
      <c r="DK86" s="34">
        <f>IF(AND(DK$5&gt;$E86,DK$5&lt;=$F86),IF(DK$5=$E86+1,$C86,""),"")</f>
        <v/>
      </c>
      <c r="DL86" s="34">
        <f>IF(AND(DL$5&gt;$E86,DL$5&lt;=$F86),IF(DL$5=$E86+1,$C86,""),"")</f>
        <v/>
      </c>
      <c r="DM86" s="34">
        <f>IF(AND(DM$5&gt;$E86,DM$5&lt;=$F86),IF(DM$5=$E86+1,$C86,""),"")</f>
        <v/>
      </c>
      <c r="DN86" s="34">
        <f>IF(AND(DN$5&gt;$E86,DN$5&lt;=$F86),IF(DN$5=$E86+1,$C86,""),"")</f>
        <v/>
      </c>
      <c r="DO86" s="34">
        <f>IF(AND(DO$5&gt;$E86,DO$5&lt;=$F86),IF(DO$5=$E86+1,$C86,""),"")</f>
        <v/>
      </c>
      <c r="DP86" s="34">
        <f>IF(AND(DP$5&gt;$E86,DP$5&lt;=$F86),IF(DP$5=$E86+1,$C86,""),"")</f>
        <v/>
      </c>
      <c r="DQ86" s="34">
        <f>IF(AND(DQ$5&gt;$E86,DQ$5&lt;=$F86),IF(DQ$5=$E86+1,$C86,""),"")</f>
        <v/>
      </c>
      <c r="DR86" s="34">
        <f>IF(AND(DR$5&gt;$E86,DR$5&lt;=$F86),IF(DR$5=$E86+1,$C86,""),"")</f>
        <v/>
      </c>
      <c r="DS86" s="34">
        <f>IF(AND(DS$5&gt;$E86,DS$5&lt;=$F86),IF(DS$5=$E86+1,$C86,""),"")</f>
        <v/>
      </c>
      <c r="DT86" s="34">
        <f>IF(AND(DT$5&gt;$E86,DT$5&lt;=$F86),IF(DT$5=$E86+1,$C86,""),"")</f>
        <v/>
      </c>
      <c r="DU86" s="34">
        <f>IF(AND(DU$5&gt;$E86,DU$5&lt;=$F86),IF(DU$5=$E86+1,$C86,""),"")</f>
        <v/>
      </c>
      <c r="DV86" s="34">
        <f>IF(AND(DV$5&gt;$E86,DV$5&lt;=$F86),IF(DV$5=$E86+1,$C86,""),"")</f>
        <v/>
      </c>
      <c r="DW86" s="34">
        <f>IF(AND(DW$5&gt;$E86,DW$5&lt;=$F86),IF(DW$5=$E86+1,$C86,""),"")</f>
        <v/>
      </c>
      <c r="DX86" s="34">
        <f>IF(AND(DX$5&gt;$E86,DX$5&lt;=$F86),IF(DX$5=$E86+1,$C86,""),"")</f>
        <v/>
      </c>
      <c r="DY86" s="34">
        <f>IF(AND(DY$5&gt;$E86,DY$5&lt;=$F86),IF(DY$5=$E86+1,$C86,""),"")</f>
        <v/>
      </c>
      <c r="DZ86" s="34">
        <f>IF(AND(DZ$5&gt;$E86,DZ$5&lt;=$F86),IF(DZ$5=$E86+1,$C86,""),"")</f>
        <v/>
      </c>
      <c r="EA86" s="34">
        <f>IF(AND(EA$5&gt;$E86,EA$5&lt;=$F86),IF(EA$5=$E86+1,$C86,""),"")</f>
        <v/>
      </c>
      <c r="EB86" s="34">
        <f>IF(AND(EB$5&gt;$E86,EB$5&lt;=$F86),IF(EB$5=$E86+1,$C86,""),"")</f>
        <v/>
      </c>
      <c r="EC86" s="34">
        <f>IF(AND(EC$5&gt;$E86,EC$5&lt;=$F86),IF(EC$5=$E86+1,$C86,""),"")</f>
        <v/>
      </c>
      <c r="ED86" s="34">
        <f>IF(AND(ED$5&gt;$E86,ED$5&lt;=$F86),IF(ED$5=$E86+1,$C86,""),"")</f>
        <v/>
      </c>
      <c r="EE86" s="34">
        <f>IF(AND(EE$5&gt;$E86,EE$5&lt;=$F86),IF(EE$5=$E86+1,$C86,""),"")</f>
        <v/>
      </c>
      <c r="EF86" s="34">
        <f>IF(AND(EF$5&gt;$E86,EF$5&lt;=$F86),IF(EF$5=$E86+1,$C86,""),"")</f>
        <v/>
      </c>
      <c r="EG86" s="34">
        <f>IF(AND(EG$5&gt;$E86,EG$5&lt;=$F86),IF(EG$5=$E86+1,$C86,""),"")</f>
        <v/>
      </c>
    </row>
    <row r="87">
      <c r="A87" s="27" t="inlineStr">
        <is>
          <t>Fase 6. Pruebas y lanzamiento</t>
        </is>
      </c>
      <c r="B87" s="28" t="n"/>
      <c r="C87" s="28" t="n"/>
      <c r="D87" s="28" t="n"/>
      <c r="E87" s="29">
        <f>SUMPRODUCT(MIN((Plan!$B$5:$B$117="6. Pruebas y lanzamiento")*Plan!$K$5:$K$117+(Plan!$B$5:$B$117&lt;&gt;"6. Pruebas y lanzamiento")*1E9))</f>
        <v/>
      </c>
      <c r="F87" s="29">
        <f>SUMPRODUCT(MAX((Plan!$B$5:$B$117="6. Pruebas y lanzamiento")*Plan!$L$5:$L$117))</f>
        <v/>
      </c>
      <c r="G87" s="30">
        <f>Resumen!E34</f>
        <v/>
      </c>
      <c r="H87" s="31" t="n"/>
      <c r="I87" s="31" t="n"/>
      <c r="J87" s="31" t="n"/>
      <c r="K87" s="31" t="n"/>
      <c r="L87" s="31" t="n"/>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row>
    <row r="88">
      <c r="A88" s="32">
        <f>Plan!A58</f>
        <v/>
      </c>
      <c r="B88" s="33">
        <f>Plan!C58</f>
        <v/>
      </c>
      <c r="C88" s="16">
        <f>Plan!D58</f>
        <v/>
      </c>
      <c r="D88" s="16">
        <f>Plan!I58</f>
        <v/>
      </c>
      <c r="E88" s="16">
        <f>Plan!K58</f>
        <v/>
      </c>
      <c r="F88" s="16">
        <f>Plan!L58</f>
        <v/>
      </c>
      <c r="G88" s="16">
        <f>Plan!O58</f>
        <v/>
      </c>
      <c r="H88" s="34">
        <f>IF(AND(H$5&gt;$E88,H$5&lt;=$F88),IF(H$5=$E88+1,$C88,""),"")</f>
        <v/>
      </c>
      <c r="I88" s="34">
        <f>IF(AND(I$5&gt;$E88,I$5&lt;=$F88),IF(I$5=$E88+1,$C88,""),"")</f>
        <v/>
      </c>
      <c r="J88" s="34">
        <f>IF(AND(J$5&gt;$E88,J$5&lt;=$F88),IF(J$5=$E88+1,$C88,""),"")</f>
        <v/>
      </c>
      <c r="K88" s="34">
        <f>IF(AND(K$5&gt;$E88,K$5&lt;=$F88),IF(K$5=$E88+1,$C88,""),"")</f>
        <v/>
      </c>
      <c r="L88" s="34">
        <f>IF(AND(L$5&gt;$E88,L$5&lt;=$F88),IF(L$5=$E88+1,$C88,""),"")</f>
        <v/>
      </c>
      <c r="M88" s="34">
        <f>IF(AND(M$5&gt;$E88,M$5&lt;=$F88),IF(M$5=$E88+1,$C88,""),"")</f>
        <v/>
      </c>
      <c r="N88" s="34">
        <f>IF(AND(N$5&gt;$E88,N$5&lt;=$F88),IF(N$5=$E88+1,$C88,""),"")</f>
        <v/>
      </c>
      <c r="O88" s="34">
        <f>IF(AND(O$5&gt;$E88,O$5&lt;=$F88),IF(O$5=$E88+1,$C88,""),"")</f>
        <v/>
      </c>
      <c r="P88" s="34">
        <f>IF(AND(P$5&gt;$E88,P$5&lt;=$F88),IF(P$5=$E88+1,$C88,""),"")</f>
        <v/>
      </c>
      <c r="Q88" s="34">
        <f>IF(AND(Q$5&gt;$E88,Q$5&lt;=$F88),IF(Q$5=$E88+1,$C88,""),"")</f>
        <v/>
      </c>
      <c r="R88" s="34">
        <f>IF(AND(R$5&gt;$E88,R$5&lt;=$F88),IF(R$5=$E88+1,$C88,""),"")</f>
        <v/>
      </c>
      <c r="S88" s="34">
        <f>IF(AND(S$5&gt;$E88,S$5&lt;=$F88),IF(S$5=$E88+1,$C88,""),"")</f>
        <v/>
      </c>
      <c r="T88" s="34">
        <f>IF(AND(T$5&gt;$E88,T$5&lt;=$F88),IF(T$5=$E88+1,$C88,""),"")</f>
        <v/>
      </c>
      <c r="U88" s="34">
        <f>IF(AND(U$5&gt;$E88,U$5&lt;=$F88),IF(U$5=$E88+1,$C88,""),"")</f>
        <v/>
      </c>
      <c r="V88" s="34">
        <f>IF(AND(V$5&gt;$E88,V$5&lt;=$F88),IF(V$5=$E88+1,$C88,""),"")</f>
        <v/>
      </c>
      <c r="W88" s="34">
        <f>IF(AND(W$5&gt;$E88,W$5&lt;=$F88),IF(W$5=$E88+1,$C88,""),"")</f>
        <v/>
      </c>
      <c r="X88" s="34">
        <f>IF(AND(X$5&gt;$E88,X$5&lt;=$F88),IF(X$5=$E88+1,$C88,""),"")</f>
        <v/>
      </c>
      <c r="Y88" s="34">
        <f>IF(AND(Y$5&gt;$E88,Y$5&lt;=$F88),IF(Y$5=$E88+1,$C88,""),"")</f>
        <v/>
      </c>
      <c r="Z88" s="34">
        <f>IF(AND(Z$5&gt;$E88,Z$5&lt;=$F88),IF(Z$5=$E88+1,$C88,""),"")</f>
        <v/>
      </c>
      <c r="AA88" s="34">
        <f>IF(AND(AA$5&gt;$E88,AA$5&lt;=$F88),IF(AA$5=$E88+1,$C88,""),"")</f>
        <v/>
      </c>
      <c r="AB88" s="34">
        <f>IF(AND(AB$5&gt;$E88,AB$5&lt;=$F88),IF(AB$5=$E88+1,$C88,""),"")</f>
        <v/>
      </c>
      <c r="AC88" s="34">
        <f>IF(AND(AC$5&gt;$E88,AC$5&lt;=$F88),IF(AC$5=$E88+1,$C88,""),"")</f>
        <v/>
      </c>
      <c r="AD88" s="34">
        <f>IF(AND(AD$5&gt;$E88,AD$5&lt;=$F88),IF(AD$5=$E88+1,$C88,""),"")</f>
        <v/>
      </c>
      <c r="AE88" s="34">
        <f>IF(AND(AE$5&gt;$E88,AE$5&lt;=$F88),IF(AE$5=$E88+1,$C88,""),"")</f>
        <v/>
      </c>
      <c r="AF88" s="34">
        <f>IF(AND(AF$5&gt;$E88,AF$5&lt;=$F88),IF(AF$5=$E88+1,$C88,""),"")</f>
        <v/>
      </c>
      <c r="AG88" s="34">
        <f>IF(AND(AG$5&gt;$E88,AG$5&lt;=$F88),IF(AG$5=$E88+1,$C88,""),"")</f>
        <v/>
      </c>
      <c r="AH88" s="34">
        <f>IF(AND(AH$5&gt;$E88,AH$5&lt;=$F88),IF(AH$5=$E88+1,$C88,""),"")</f>
        <v/>
      </c>
      <c r="AI88" s="34">
        <f>IF(AND(AI$5&gt;$E88,AI$5&lt;=$F88),IF(AI$5=$E88+1,$C88,""),"")</f>
        <v/>
      </c>
      <c r="AJ88" s="34">
        <f>IF(AND(AJ$5&gt;$E88,AJ$5&lt;=$F88),IF(AJ$5=$E88+1,$C88,""),"")</f>
        <v/>
      </c>
      <c r="AK88" s="34">
        <f>IF(AND(AK$5&gt;$E88,AK$5&lt;=$F88),IF(AK$5=$E88+1,$C88,""),"")</f>
        <v/>
      </c>
      <c r="AL88" s="34">
        <f>IF(AND(AL$5&gt;$E88,AL$5&lt;=$F88),IF(AL$5=$E88+1,$C88,""),"")</f>
        <v/>
      </c>
      <c r="AM88" s="34">
        <f>IF(AND(AM$5&gt;$E88,AM$5&lt;=$F88),IF(AM$5=$E88+1,$C88,""),"")</f>
        <v/>
      </c>
      <c r="AN88" s="34">
        <f>IF(AND(AN$5&gt;$E88,AN$5&lt;=$F88),IF(AN$5=$E88+1,$C88,""),"")</f>
        <v/>
      </c>
      <c r="AO88" s="34">
        <f>IF(AND(AO$5&gt;$E88,AO$5&lt;=$F88),IF(AO$5=$E88+1,$C88,""),"")</f>
        <v/>
      </c>
      <c r="AP88" s="34">
        <f>IF(AND(AP$5&gt;$E88,AP$5&lt;=$F88),IF(AP$5=$E88+1,$C88,""),"")</f>
        <v/>
      </c>
      <c r="AQ88" s="34">
        <f>IF(AND(AQ$5&gt;$E88,AQ$5&lt;=$F88),IF(AQ$5=$E88+1,$C88,""),"")</f>
        <v/>
      </c>
      <c r="AR88" s="34">
        <f>IF(AND(AR$5&gt;$E88,AR$5&lt;=$F88),IF(AR$5=$E88+1,$C88,""),"")</f>
        <v/>
      </c>
      <c r="AS88" s="34">
        <f>IF(AND(AS$5&gt;$E88,AS$5&lt;=$F88),IF(AS$5=$E88+1,$C88,""),"")</f>
        <v/>
      </c>
      <c r="AT88" s="34">
        <f>IF(AND(AT$5&gt;$E88,AT$5&lt;=$F88),IF(AT$5=$E88+1,$C88,""),"")</f>
        <v/>
      </c>
      <c r="AU88" s="34">
        <f>IF(AND(AU$5&gt;$E88,AU$5&lt;=$F88),IF(AU$5=$E88+1,$C88,""),"")</f>
        <v/>
      </c>
      <c r="AV88" s="34">
        <f>IF(AND(AV$5&gt;$E88,AV$5&lt;=$F88),IF(AV$5=$E88+1,$C88,""),"")</f>
        <v/>
      </c>
      <c r="AW88" s="34">
        <f>IF(AND(AW$5&gt;$E88,AW$5&lt;=$F88),IF(AW$5=$E88+1,$C88,""),"")</f>
        <v/>
      </c>
      <c r="AX88" s="34">
        <f>IF(AND(AX$5&gt;$E88,AX$5&lt;=$F88),IF(AX$5=$E88+1,$C88,""),"")</f>
        <v/>
      </c>
      <c r="AY88" s="34">
        <f>IF(AND(AY$5&gt;$E88,AY$5&lt;=$F88),IF(AY$5=$E88+1,$C88,""),"")</f>
        <v/>
      </c>
      <c r="AZ88" s="34">
        <f>IF(AND(AZ$5&gt;$E88,AZ$5&lt;=$F88),IF(AZ$5=$E88+1,$C88,""),"")</f>
        <v/>
      </c>
      <c r="BA88" s="34">
        <f>IF(AND(BA$5&gt;$E88,BA$5&lt;=$F88),IF(BA$5=$E88+1,$C88,""),"")</f>
        <v/>
      </c>
      <c r="BB88" s="34">
        <f>IF(AND(BB$5&gt;$E88,BB$5&lt;=$F88),IF(BB$5=$E88+1,$C88,""),"")</f>
        <v/>
      </c>
      <c r="BC88" s="34">
        <f>IF(AND(BC$5&gt;$E88,BC$5&lt;=$F88),IF(BC$5=$E88+1,$C88,""),"")</f>
        <v/>
      </c>
      <c r="BD88" s="34">
        <f>IF(AND(BD$5&gt;$E88,BD$5&lt;=$F88),IF(BD$5=$E88+1,$C88,""),"")</f>
        <v/>
      </c>
      <c r="BE88" s="34">
        <f>IF(AND(BE$5&gt;$E88,BE$5&lt;=$F88),IF(BE$5=$E88+1,$C88,""),"")</f>
        <v/>
      </c>
      <c r="BF88" s="34">
        <f>IF(AND(BF$5&gt;$E88,BF$5&lt;=$F88),IF(BF$5=$E88+1,$C88,""),"")</f>
        <v/>
      </c>
      <c r="BG88" s="34">
        <f>IF(AND(BG$5&gt;$E88,BG$5&lt;=$F88),IF(BG$5=$E88+1,$C88,""),"")</f>
        <v/>
      </c>
      <c r="BH88" s="34">
        <f>IF(AND(BH$5&gt;$E88,BH$5&lt;=$F88),IF(BH$5=$E88+1,$C88,""),"")</f>
        <v/>
      </c>
      <c r="BI88" s="34">
        <f>IF(AND(BI$5&gt;$E88,BI$5&lt;=$F88),IF(BI$5=$E88+1,$C88,""),"")</f>
        <v/>
      </c>
      <c r="BJ88" s="34">
        <f>IF(AND(BJ$5&gt;$E88,BJ$5&lt;=$F88),IF(BJ$5=$E88+1,$C88,""),"")</f>
        <v/>
      </c>
      <c r="BK88" s="34">
        <f>IF(AND(BK$5&gt;$E88,BK$5&lt;=$F88),IF(BK$5=$E88+1,$C88,""),"")</f>
        <v/>
      </c>
      <c r="BL88" s="34">
        <f>IF(AND(BL$5&gt;$E88,BL$5&lt;=$F88),IF(BL$5=$E88+1,$C88,""),"")</f>
        <v/>
      </c>
      <c r="BM88" s="34">
        <f>IF(AND(BM$5&gt;$E88,BM$5&lt;=$F88),IF(BM$5=$E88+1,$C88,""),"")</f>
        <v/>
      </c>
      <c r="BN88" s="34">
        <f>IF(AND(BN$5&gt;$E88,BN$5&lt;=$F88),IF(BN$5=$E88+1,$C88,""),"")</f>
        <v/>
      </c>
      <c r="BO88" s="34">
        <f>IF(AND(BO$5&gt;$E88,BO$5&lt;=$F88),IF(BO$5=$E88+1,$C88,""),"")</f>
        <v/>
      </c>
      <c r="BP88" s="34">
        <f>IF(AND(BP$5&gt;$E88,BP$5&lt;=$F88),IF(BP$5=$E88+1,$C88,""),"")</f>
        <v/>
      </c>
      <c r="BQ88" s="34">
        <f>IF(AND(BQ$5&gt;$E88,BQ$5&lt;=$F88),IF(BQ$5=$E88+1,$C88,""),"")</f>
        <v/>
      </c>
      <c r="BR88" s="34">
        <f>IF(AND(BR$5&gt;$E88,BR$5&lt;=$F88),IF(BR$5=$E88+1,$C88,""),"")</f>
        <v/>
      </c>
      <c r="BS88" s="34">
        <f>IF(AND(BS$5&gt;$E88,BS$5&lt;=$F88),IF(BS$5=$E88+1,$C88,""),"")</f>
        <v/>
      </c>
      <c r="BT88" s="34">
        <f>IF(AND(BT$5&gt;$E88,BT$5&lt;=$F88),IF(BT$5=$E88+1,$C88,""),"")</f>
        <v/>
      </c>
      <c r="BU88" s="34">
        <f>IF(AND(BU$5&gt;$E88,BU$5&lt;=$F88),IF(BU$5=$E88+1,$C88,""),"")</f>
        <v/>
      </c>
      <c r="BV88" s="34">
        <f>IF(AND(BV$5&gt;$E88,BV$5&lt;=$F88),IF(BV$5=$E88+1,$C88,""),"")</f>
        <v/>
      </c>
      <c r="BW88" s="34">
        <f>IF(AND(BW$5&gt;$E88,BW$5&lt;=$F88),IF(BW$5=$E88+1,$C88,""),"")</f>
        <v/>
      </c>
      <c r="BX88" s="34">
        <f>IF(AND(BX$5&gt;$E88,BX$5&lt;=$F88),IF(BX$5=$E88+1,$C88,""),"")</f>
        <v/>
      </c>
      <c r="BY88" s="34">
        <f>IF(AND(BY$5&gt;$E88,BY$5&lt;=$F88),IF(BY$5=$E88+1,$C88,""),"")</f>
        <v/>
      </c>
      <c r="BZ88" s="34">
        <f>IF(AND(BZ$5&gt;$E88,BZ$5&lt;=$F88),IF(BZ$5=$E88+1,$C88,""),"")</f>
        <v/>
      </c>
      <c r="CA88" s="34">
        <f>IF(AND(CA$5&gt;$E88,CA$5&lt;=$F88),IF(CA$5=$E88+1,$C88,""),"")</f>
        <v/>
      </c>
      <c r="CB88" s="34">
        <f>IF(AND(CB$5&gt;$E88,CB$5&lt;=$F88),IF(CB$5=$E88+1,$C88,""),"")</f>
        <v/>
      </c>
      <c r="CC88" s="34">
        <f>IF(AND(CC$5&gt;$E88,CC$5&lt;=$F88),IF(CC$5=$E88+1,$C88,""),"")</f>
        <v/>
      </c>
      <c r="CD88" s="34">
        <f>IF(AND(CD$5&gt;$E88,CD$5&lt;=$F88),IF(CD$5=$E88+1,$C88,""),"")</f>
        <v/>
      </c>
      <c r="CE88" s="34">
        <f>IF(AND(CE$5&gt;$E88,CE$5&lt;=$F88),IF(CE$5=$E88+1,$C88,""),"")</f>
        <v/>
      </c>
      <c r="CF88" s="34">
        <f>IF(AND(CF$5&gt;$E88,CF$5&lt;=$F88),IF(CF$5=$E88+1,$C88,""),"")</f>
        <v/>
      </c>
      <c r="CG88" s="34">
        <f>IF(AND(CG$5&gt;$E88,CG$5&lt;=$F88),IF(CG$5=$E88+1,$C88,""),"")</f>
        <v/>
      </c>
      <c r="CH88" s="34">
        <f>IF(AND(CH$5&gt;$E88,CH$5&lt;=$F88),IF(CH$5=$E88+1,$C88,""),"")</f>
        <v/>
      </c>
      <c r="CI88" s="34">
        <f>IF(AND(CI$5&gt;$E88,CI$5&lt;=$F88),IF(CI$5=$E88+1,$C88,""),"")</f>
        <v/>
      </c>
      <c r="CJ88" s="34">
        <f>IF(AND(CJ$5&gt;$E88,CJ$5&lt;=$F88),IF(CJ$5=$E88+1,$C88,""),"")</f>
        <v/>
      </c>
      <c r="CK88" s="34">
        <f>IF(AND(CK$5&gt;$E88,CK$5&lt;=$F88),IF(CK$5=$E88+1,$C88,""),"")</f>
        <v/>
      </c>
      <c r="CL88" s="34">
        <f>IF(AND(CL$5&gt;$E88,CL$5&lt;=$F88),IF(CL$5=$E88+1,$C88,""),"")</f>
        <v/>
      </c>
      <c r="CM88" s="34">
        <f>IF(AND(CM$5&gt;$E88,CM$5&lt;=$F88),IF(CM$5=$E88+1,$C88,""),"")</f>
        <v/>
      </c>
      <c r="CN88" s="34">
        <f>IF(AND(CN$5&gt;$E88,CN$5&lt;=$F88),IF(CN$5=$E88+1,$C88,""),"")</f>
        <v/>
      </c>
      <c r="CO88" s="34">
        <f>IF(AND(CO$5&gt;$E88,CO$5&lt;=$F88),IF(CO$5=$E88+1,$C88,""),"")</f>
        <v/>
      </c>
      <c r="CP88" s="34">
        <f>IF(AND(CP$5&gt;$E88,CP$5&lt;=$F88),IF(CP$5=$E88+1,$C88,""),"")</f>
        <v/>
      </c>
      <c r="CQ88" s="34">
        <f>IF(AND(CQ$5&gt;$E88,CQ$5&lt;=$F88),IF(CQ$5=$E88+1,$C88,""),"")</f>
        <v/>
      </c>
      <c r="CR88" s="34">
        <f>IF(AND(CR$5&gt;$E88,CR$5&lt;=$F88),IF(CR$5=$E88+1,$C88,""),"")</f>
        <v/>
      </c>
      <c r="CS88" s="34">
        <f>IF(AND(CS$5&gt;$E88,CS$5&lt;=$F88),IF(CS$5=$E88+1,$C88,""),"")</f>
        <v/>
      </c>
      <c r="CT88" s="34">
        <f>IF(AND(CT$5&gt;$E88,CT$5&lt;=$F88),IF(CT$5=$E88+1,$C88,""),"")</f>
        <v/>
      </c>
      <c r="CU88" s="34">
        <f>IF(AND(CU$5&gt;$E88,CU$5&lt;=$F88),IF(CU$5=$E88+1,$C88,""),"")</f>
        <v/>
      </c>
      <c r="CV88" s="34">
        <f>IF(AND(CV$5&gt;$E88,CV$5&lt;=$F88),IF(CV$5=$E88+1,$C88,""),"")</f>
        <v/>
      </c>
      <c r="CW88" s="34">
        <f>IF(AND(CW$5&gt;$E88,CW$5&lt;=$F88),IF(CW$5=$E88+1,$C88,""),"")</f>
        <v/>
      </c>
      <c r="CX88" s="34">
        <f>IF(AND(CX$5&gt;$E88,CX$5&lt;=$F88),IF(CX$5=$E88+1,$C88,""),"")</f>
        <v/>
      </c>
      <c r="CY88" s="34">
        <f>IF(AND(CY$5&gt;$E88,CY$5&lt;=$F88),IF(CY$5=$E88+1,$C88,""),"")</f>
        <v/>
      </c>
      <c r="CZ88" s="34">
        <f>IF(AND(CZ$5&gt;$E88,CZ$5&lt;=$F88),IF(CZ$5=$E88+1,$C88,""),"")</f>
        <v/>
      </c>
      <c r="DA88" s="34">
        <f>IF(AND(DA$5&gt;$E88,DA$5&lt;=$F88),IF(DA$5=$E88+1,$C88,""),"")</f>
        <v/>
      </c>
      <c r="DB88" s="34">
        <f>IF(AND(DB$5&gt;$E88,DB$5&lt;=$F88),IF(DB$5=$E88+1,$C88,""),"")</f>
        <v/>
      </c>
      <c r="DC88" s="34">
        <f>IF(AND(DC$5&gt;$E88,DC$5&lt;=$F88),IF(DC$5=$E88+1,$C88,""),"")</f>
        <v/>
      </c>
      <c r="DD88" s="34">
        <f>IF(AND(DD$5&gt;$E88,DD$5&lt;=$F88),IF(DD$5=$E88+1,$C88,""),"")</f>
        <v/>
      </c>
      <c r="DE88" s="34">
        <f>IF(AND(DE$5&gt;$E88,DE$5&lt;=$F88),IF(DE$5=$E88+1,$C88,""),"")</f>
        <v/>
      </c>
      <c r="DF88" s="34">
        <f>IF(AND(DF$5&gt;$E88,DF$5&lt;=$F88),IF(DF$5=$E88+1,$C88,""),"")</f>
        <v/>
      </c>
      <c r="DG88" s="34">
        <f>IF(AND(DG$5&gt;$E88,DG$5&lt;=$F88),IF(DG$5=$E88+1,$C88,""),"")</f>
        <v/>
      </c>
      <c r="DH88" s="34">
        <f>IF(AND(DH$5&gt;$E88,DH$5&lt;=$F88),IF(DH$5=$E88+1,$C88,""),"")</f>
        <v/>
      </c>
      <c r="DI88" s="34">
        <f>IF(AND(DI$5&gt;$E88,DI$5&lt;=$F88),IF(DI$5=$E88+1,$C88,""),"")</f>
        <v/>
      </c>
      <c r="DJ88" s="34">
        <f>IF(AND(DJ$5&gt;$E88,DJ$5&lt;=$F88),IF(DJ$5=$E88+1,$C88,""),"")</f>
        <v/>
      </c>
      <c r="DK88" s="34">
        <f>IF(AND(DK$5&gt;$E88,DK$5&lt;=$F88),IF(DK$5=$E88+1,$C88,""),"")</f>
        <v/>
      </c>
      <c r="DL88" s="34">
        <f>IF(AND(DL$5&gt;$E88,DL$5&lt;=$F88),IF(DL$5=$E88+1,$C88,""),"")</f>
        <v/>
      </c>
      <c r="DM88" s="34">
        <f>IF(AND(DM$5&gt;$E88,DM$5&lt;=$F88),IF(DM$5=$E88+1,$C88,""),"")</f>
        <v/>
      </c>
      <c r="DN88" s="34">
        <f>IF(AND(DN$5&gt;$E88,DN$5&lt;=$F88),IF(DN$5=$E88+1,$C88,""),"")</f>
        <v/>
      </c>
      <c r="DO88" s="34">
        <f>IF(AND(DO$5&gt;$E88,DO$5&lt;=$F88),IF(DO$5=$E88+1,$C88,""),"")</f>
        <v/>
      </c>
      <c r="DP88" s="34">
        <f>IF(AND(DP$5&gt;$E88,DP$5&lt;=$F88),IF(DP$5=$E88+1,$C88,""),"")</f>
        <v/>
      </c>
      <c r="DQ88" s="34">
        <f>IF(AND(DQ$5&gt;$E88,DQ$5&lt;=$F88),IF(DQ$5=$E88+1,$C88,""),"")</f>
        <v/>
      </c>
      <c r="DR88" s="34">
        <f>IF(AND(DR$5&gt;$E88,DR$5&lt;=$F88),IF(DR$5=$E88+1,$C88,""),"")</f>
        <v/>
      </c>
      <c r="DS88" s="34">
        <f>IF(AND(DS$5&gt;$E88,DS$5&lt;=$F88),IF(DS$5=$E88+1,$C88,""),"")</f>
        <v/>
      </c>
      <c r="DT88" s="34">
        <f>IF(AND(DT$5&gt;$E88,DT$5&lt;=$F88),IF(DT$5=$E88+1,$C88,""),"")</f>
        <v/>
      </c>
      <c r="DU88" s="34">
        <f>IF(AND(DU$5&gt;$E88,DU$5&lt;=$F88),IF(DU$5=$E88+1,$C88,""),"")</f>
        <v/>
      </c>
      <c r="DV88" s="34">
        <f>IF(AND(DV$5&gt;$E88,DV$5&lt;=$F88),IF(DV$5=$E88+1,$C88,""),"")</f>
        <v/>
      </c>
      <c r="DW88" s="34">
        <f>IF(AND(DW$5&gt;$E88,DW$5&lt;=$F88),IF(DW$5=$E88+1,$C88,""),"")</f>
        <v/>
      </c>
      <c r="DX88" s="34">
        <f>IF(AND(DX$5&gt;$E88,DX$5&lt;=$F88),IF(DX$5=$E88+1,$C88,""),"")</f>
        <v/>
      </c>
      <c r="DY88" s="34">
        <f>IF(AND(DY$5&gt;$E88,DY$5&lt;=$F88),IF(DY$5=$E88+1,$C88,""),"")</f>
        <v/>
      </c>
      <c r="DZ88" s="34">
        <f>IF(AND(DZ$5&gt;$E88,DZ$5&lt;=$F88),IF(DZ$5=$E88+1,$C88,""),"")</f>
        <v/>
      </c>
      <c r="EA88" s="34">
        <f>IF(AND(EA$5&gt;$E88,EA$5&lt;=$F88),IF(EA$5=$E88+1,$C88,""),"")</f>
        <v/>
      </c>
      <c r="EB88" s="34">
        <f>IF(AND(EB$5&gt;$E88,EB$5&lt;=$F88),IF(EB$5=$E88+1,$C88,""),"")</f>
        <v/>
      </c>
      <c r="EC88" s="34">
        <f>IF(AND(EC$5&gt;$E88,EC$5&lt;=$F88),IF(EC$5=$E88+1,$C88,""),"")</f>
        <v/>
      </c>
      <c r="ED88" s="34">
        <f>IF(AND(ED$5&gt;$E88,ED$5&lt;=$F88),IF(ED$5=$E88+1,$C88,""),"")</f>
        <v/>
      </c>
      <c r="EE88" s="34">
        <f>IF(AND(EE$5&gt;$E88,EE$5&lt;=$F88),IF(EE$5=$E88+1,$C88,""),"")</f>
        <v/>
      </c>
      <c r="EF88" s="34">
        <f>IF(AND(EF$5&gt;$E88,EF$5&lt;=$F88),IF(EF$5=$E88+1,$C88,""),"")</f>
        <v/>
      </c>
      <c r="EG88" s="34">
        <f>IF(AND(EG$5&gt;$E88,EG$5&lt;=$F88),IF(EG$5=$E88+1,$C88,""),"")</f>
        <v/>
      </c>
    </row>
    <row r="89">
      <c r="A89" s="32">
        <f>Plan!A59</f>
        <v/>
      </c>
      <c r="B89" s="33">
        <f>Plan!C59</f>
        <v/>
      </c>
      <c r="C89" s="16">
        <f>Plan!D59</f>
        <v/>
      </c>
      <c r="D89" s="16">
        <f>Plan!I59</f>
        <v/>
      </c>
      <c r="E89" s="16">
        <f>Plan!K59</f>
        <v/>
      </c>
      <c r="F89" s="16">
        <f>Plan!L59</f>
        <v/>
      </c>
      <c r="G89" s="16">
        <f>Plan!O59</f>
        <v/>
      </c>
      <c r="H89" s="34">
        <f>IF(AND(H$5&gt;$E89,H$5&lt;=$F89),IF(H$5=$E89+1,$C89,""),"")</f>
        <v/>
      </c>
      <c r="I89" s="34">
        <f>IF(AND(I$5&gt;$E89,I$5&lt;=$F89),IF(I$5=$E89+1,$C89,""),"")</f>
        <v/>
      </c>
      <c r="J89" s="34">
        <f>IF(AND(J$5&gt;$E89,J$5&lt;=$F89),IF(J$5=$E89+1,$C89,""),"")</f>
        <v/>
      </c>
      <c r="K89" s="34">
        <f>IF(AND(K$5&gt;$E89,K$5&lt;=$F89),IF(K$5=$E89+1,$C89,""),"")</f>
        <v/>
      </c>
      <c r="L89" s="34">
        <f>IF(AND(L$5&gt;$E89,L$5&lt;=$F89),IF(L$5=$E89+1,$C89,""),"")</f>
        <v/>
      </c>
      <c r="M89" s="34">
        <f>IF(AND(M$5&gt;$E89,M$5&lt;=$F89),IF(M$5=$E89+1,$C89,""),"")</f>
        <v/>
      </c>
      <c r="N89" s="34">
        <f>IF(AND(N$5&gt;$E89,N$5&lt;=$F89),IF(N$5=$E89+1,$C89,""),"")</f>
        <v/>
      </c>
      <c r="O89" s="34">
        <f>IF(AND(O$5&gt;$E89,O$5&lt;=$F89),IF(O$5=$E89+1,$C89,""),"")</f>
        <v/>
      </c>
      <c r="P89" s="34">
        <f>IF(AND(P$5&gt;$E89,P$5&lt;=$F89),IF(P$5=$E89+1,$C89,""),"")</f>
        <v/>
      </c>
      <c r="Q89" s="34">
        <f>IF(AND(Q$5&gt;$E89,Q$5&lt;=$F89),IF(Q$5=$E89+1,$C89,""),"")</f>
        <v/>
      </c>
      <c r="R89" s="34">
        <f>IF(AND(R$5&gt;$E89,R$5&lt;=$F89),IF(R$5=$E89+1,$C89,""),"")</f>
        <v/>
      </c>
      <c r="S89" s="34">
        <f>IF(AND(S$5&gt;$E89,S$5&lt;=$F89),IF(S$5=$E89+1,$C89,""),"")</f>
        <v/>
      </c>
      <c r="T89" s="34">
        <f>IF(AND(T$5&gt;$E89,T$5&lt;=$F89),IF(T$5=$E89+1,$C89,""),"")</f>
        <v/>
      </c>
      <c r="U89" s="34">
        <f>IF(AND(U$5&gt;$E89,U$5&lt;=$F89),IF(U$5=$E89+1,$C89,""),"")</f>
        <v/>
      </c>
      <c r="V89" s="34">
        <f>IF(AND(V$5&gt;$E89,V$5&lt;=$F89),IF(V$5=$E89+1,$C89,""),"")</f>
        <v/>
      </c>
      <c r="W89" s="34">
        <f>IF(AND(W$5&gt;$E89,W$5&lt;=$F89),IF(W$5=$E89+1,$C89,""),"")</f>
        <v/>
      </c>
      <c r="X89" s="34">
        <f>IF(AND(X$5&gt;$E89,X$5&lt;=$F89),IF(X$5=$E89+1,$C89,""),"")</f>
        <v/>
      </c>
      <c r="Y89" s="34">
        <f>IF(AND(Y$5&gt;$E89,Y$5&lt;=$F89),IF(Y$5=$E89+1,$C89,""),"")</f>
        <v/>
      </c>
      <c r="Z89" s="34">
        <f>IF(AND(Z$5&gt;$E89,Z$5&lt;=$F89),IF(Z$5=$E89+1,$C89,""),"")</f>
        <v/>
      </c>
      <c r="AA89" s="34">
        <f>IF(AND(AA$5&gt;$E89,AA$5&lt;=$F89),IF(AA$5=$E89+1,$C89,""),"")</f>
        <v/>
      </c>
      <c r="AB89" s="34">
        <f>IF(AND(AB$5&gt;$E89,AB$5&lt;=$F89),IF(AB$5=$E89+1,$C89,""),"")</f>
        <v/>
      </c>
      <c r="AC89" s="34">
        <f>IF(AND(AC$5&gt;$E89,AC$5&lt;=$F89),IF(AC$5=$E89+1,$C89,""),"")</f>
        <v/>
      </c>
      <c r="AD89" s="34">
        <f>IF(AND(AD$5&gt;$E89,AD$5&lt;=$F89),IF(AD$5=$E89+1,$C89,""),"")</f>
        <v/>
      </c>
      <c r="AE89" s="34">
        <f>IF(AND(AE$5&gt;$E89,AE$5&lt;=$F89),IF(AE$5=$E89+1,$C89,""),"")</f>
        <v/>
      </c>
      <c r="AF89" s="34">
        <f>IF(AND(AF$5&gt;$E89,AF$5&lt;=$F89),IF(AF$5=$E89+1,$C89,""),"")</f>
        <v/>
      </c>
      <c r="AG89" s="34">
        <f>IF(AND(AG$5&gt;$E89,AG$5&lt;=$F89),IF(AG$5=$E89+1,$C89,""),"")</f>
        <v/>
      </c>
      <c r="AH89" s="34">
        <f>IF(AND(AH$5&gt;$E89,AH$5&lt;=$F89),IF(AH$5=$E89+1,$C89,""),"")</f>
        <v/>
      </c>
      <c r="AI89" s="34">
        <f>IF(AND(AI$5&gt;$E89,AI$5&lt;=$F89),IF(AI$5=$E89+1,$C89,""),"")</f>
        <v/>
      </c>
      <c r="AJ89" s="34">
        <f>IF(AND(AJ$5&gt;$E89,AJ$5&lt;=$F89),IF(AJ$5=$E89+1,$C89,""),"")</f>
        <v/>
      </c>
      <c r="AK89" s="34">
        <f>IF(AND(AK$5&gt;$E89,AK$5&lt;=$F89),IF(AK$5=$E89+1,$C89,""),"")</f>
        <v/>
      </c>
      <c r="AL89" s="34">
        <f>IF(AND(AL$5&gt;$E89,AL$5&lt;=$F89),IF(AL$5=$E89+1,$C89,""),"")</f>
        <v/>
      </c>
      <c r="AM89" s="34">
        <f>IF(AND(AM$5&gt;$E89,AM$5&lt;=$F89),IF(AM$5=$E89+1,$C89,""),"")</f>
        <v/>
      </c>
      <c r="AN89" s="34">
        <f>IF(AND(AN$5&gt;$E89,AN$5&lt;=$F89),IF(AN$5=$E89+1,$C89,""),"")</f>
        <v/>
      </c>
      <c r="AO89" s="34">
        <f>IF(AND(AO$5&gt;$E89,AO$5&lt;=$F89),IF(AO$5=$E89+1,$C89,""),"")</f>
        <v/>
      </c>
      <c r="AP89" s="34">
        <f>IF(AND(AP$5&gt;$E89,AP$5&lt;=$F89),IF(AP$5=$E89+1,$C89,""),"")</f>
        <v/>
      </c>
      <c r="AQ89" s="34">
        <f>IF(AND(AQ$5&gt;$E89,AQ$5&lt;=$F89),IF(AQ$5=$E89+1,$C89,""),"")</f>
        <v/>
      </c>
      <c r="AR89" s="34">
        <f>IF(AND(AR$5&gt;$E89,AR$5&lt;=$F89),IF(AR$5=$E89+1,$C89,""),"")</f>
        <v/>
      </c>
      <c r="AS89" s="34">
        <f>IF(AND(AS$5&gt;$E89,AS$5&lt;=$F89),IF(AS$5=$E89+1,$C89,""),"")</f>
        <v/>
      </c>
      <c r="AT89" s="34">
        <f>IF(AND(AT$5&gt;$E89,AT$5&lt;=$F89),IF(AT$5=$E89+1,$C89,""),"")</f>
        <v/>
      </c>
      <c r="AU89" s="34">
        <f>IF(AND(AU$5&gt;$E89,AU$5&lt;=$F89),IF(AU$5=$E89+1,$C89,""),"")</f>
        <v/>
      </c>
      <c r="AV89" s="34">
        <f>IF(AND(AV$5&gt;$E89,AV$5&lt;=$F89),IF(AV$5=$E89+1,$C89,""),"")</f>
        <v/>
      </c>
      <c r="AW89" s="34">
        <f>IF(AND(AW$5&gt;$E89,AW$5&lt;=$F89),IF(AW$5=$E89+1,$C89,""),"")</f>
        <v/>
      </c>
      <c r="AX89" s="34">
        <f>IF(AND(AX$5&gt;$E89,AX$5&lt;=$F89),IF(AX$5=$E89+1,$C89,""),"")</f>
        <v/>
      </c>
      <c r="AY89" s="34">
        <f>IF(AND(AY$5&gt;$E89,AY$5&lt;=$F89),IF(AY$5=$E89+1,$C89,""),"")</f>
        <v/>
      </c>
      <c r="AZ89" s="34">
        <f>IF(AND(AZ$5&gt;$E89,AZ$5&lt;=$F89),IF(AZ$5=$E89+1,$C89,""),"")</f>
        <v/>
      </c>
      <c r="BA89" s="34">
        <f>IF(AND(BA$5&gt;$E89,BA$5&lt;=$F89),IF(BA$5=$E89+1,$C89,""),"")</f>
        <v/>
      </c>
      <c r="BB89" s="34">
        <f>IF(AND(BB$5&gt;$E89,BB$5&lt;=$F89),IF(BB$5=$E89+1,$C89,""),"")</f>
        <v/>
      </c>
      <c r="BC89" s="34">
        <f>IF(AND(BC$5&gt;$E89,BC$5&lt;=$F89),IF(BC$5=$E89+1,$C89,""),"")</f>
        <v/>
      </c>
      <c r="BD89" s="34">
        <f>IF(AND(BD$5&gt;$E89,BD$5&lt;=$F89),IF(BD$5=$E89+1,$C89,""),"")</f>
        <v/>
      </c>
      <c r="BE89" s="34">
        <f>IF(AND(BE$5&gt;$E89,BE$5&lt;=$F89),IF(BE$5=$E89+1,$C89,""),"")</f>
        <v/>
      </c>
      <c r="BF89" s="34">
        <f>IF(AND(BF$5&gt;$E89,BF$5&lt;=$F89),IF(BF$5=$E89+1,$C89,""),"")</f>
        <v/>
      </c>
      <c r="BG89" s="34">
        <f>IF(AND(BG$5&gt;$E89,BG$5&lt;=$F89),IF(BG$5=$E89+1,$C89,""),"")</f>
        <v/>
      </c>
      <c r="BH89" s="34">
        <f>IF(AND(BH$5&gt;$E89,BH$5&lt;=$F89),IF(BH$5=$E89+1,$C89,""),"")</f>
        <v/>
      </c>
      <c r="BI89" s="34">
        <f>IF(AND(BI$5&gt;$E89,BI$5&lt;=$F89),IF(BI$5=$E89+1,$C89,""),"")</f>
        <v/>
      </c>
      <c r="BJ89" s="34">
        <f>IF(AND(BJ$5&gt;$E89,BJ$5&lt;=$F89),IF(BJ$5=$E89+1,$C89,""),"")</f>
        <v/>
      </c>
      <c r="BK89" s="34">
        <f>IF(AND(BK$5&gt;$E89,BK$5&lt;=$F89),IF(BK$5=$E89+1,$C89,""),"")</f>
        <v/>
      </c>
      <c r="BL89" s="34">
        <f>IF(AND(BL$5&gt;$E89,BL$5&lt;=$F89),IF(BL$5=$E89+1,$C89,""),"")</f>
        <v/>
      </c>
      <c r="BM89" s="34">
        <f>IF(AND(BM$5&gt;$E89,BM$5&lt;=$F89),IF(BM$5=$E89+1,$C89,""),"")</f>
        <v/>
      </c>
      <c r="BN89" s="34">
        <f>IF(AND(BN$5&gt;$E89,BN$5&lt;=$F89),IF(BN$5=$E89+1,$C89,""),"")</f>
        <v/>
      </c>
      <c r="BO89" s="34">
        <f>IF(AND(BO$5&gt;$E89,BO$5&lt;=$F89),IF(BO$5=$E89+1,$C89,""),"")</f>
        <v/>
      </c>
      <c r="BP89" s="34">
        <f>IF(AND(BP$5&gt;$E89,BP$5&lt;=$F89),IF(BP$5=$E89+1,$C89,""),"")</f>
        <v/>
      </c>
      <c r="BQ89" s="34">
        <f>IF(AND(BQ$5&gt;$E89,BQ$5&lt;=$F89),IF(BQ$5=$E89+1,$C89,""),"")</f>
        <v/>
      </c>
      <c r="BR89" s="34">
        <f>IF(AND(BR$5&gt;$E89,BR$5&lt;=$F89),IF(BR$5=$E89+1,$C89,""),"")</f>
        <v/>
      </c>
      <c r="BS89" s="34">
        <f>IF(AND(BS$5&gt;$E89,BS$5&lt;=$F89),IF(BS$5=$E89+1,$C89,""),"")</f>
        <v/>
      </c>
      <c r="BT89" s="34">
        <f>IF(AND(BT$5&gt;$E89,BT$5&lt;=$F89),IF(BT$5=$E89+1,$C89,""),"")</f>
        <v/>
      </c>
      <c r="BU89" s="34">
        <f>IF(AND(BU$5&gt;$E89,BU$5&lt;=$F89),IF(BU$5=$E89+1,$C89,""),"")</f>
        <v/>
      </c>
      <c r="BV89" s="34">
        <f>IF(AND(BV$5&gt;$E89,BV$5&lt;=$F89),IF(BV$5=$E89+1,$C89,""),"")</f>
        <v/>
      </c>
      <c r="BW89" s="34">
        <f>IF(AND(BW$5&gt;$E89,BW$5&lt;=$F89),IF(BW$5=$E89+1,$C89,""),"")</f>
        <v/>
      </c>
      <c r="BX89" s="34">
        <f>IF(AND(BX$5&gt;$E89,BX$5&lt;=$F89),IF(BX$5=$E89+1,$C89,""),"")</f>
        <v/>
      </c>
      <c r="BY89" s="34">
        <f>IF(AND(BY$5&gt;$E89,BY$5&lt;=$F89),IF(BY$5=$E89+1,$C89,""),"")</f>
        <v/>
      </c>
      <c r="BZ89" s="34">
        <f>IF(AND(BZ$5&gt;$E89,BZ$5&lt;=$F89),IF(BZ$5=$E89+1,$C89,""),"")</f>
        <v/>
      </c>
      <c r="CA89" s="34">
        <f>IF(AND(CA$5&gt;$E89,CA$5&lt;=$F89),IF(CA$5=$E89+1,$C89,""),"")</f>
        <v/>
      </c>
      <c r="CB89" s="34">
        <f>IF(AND(CB$5&gt;$E89,CB$5&lt;=$F89),IF(CB$5=$E89+1,$C89,""),"")</f>
        <v/>
      </c>
      <c r="CC89" s="34">
        <f>IF(AND(CC$5&gt;$E89,CC$5&lt;=$F89),IF(CC$5=$E89+1,$C89,""),"")</f>
        <v/>
      </c>
      <c r="CD89" s="34">
        <f>IF(AND(CD$5&gt;$E89,CD$5&lt;=$F89),IF(CD$5=$E89+1,$C89,""),"")</f>
        <v/>
      </c>
      <c r="CE89" s="34">
        <f>IF(AND(CE$5&gt;$E89,CE$5&lt;=$F89),IF(CE$5=$E89+1,$C89,""),"")</f>
        <v/>
      </c>
      <c r="CF89" s="34">
        <f>IF(AND(CF$5&gt;$E89,CF$5&lt;=$F89),IF(CF$5=$E89+1,$C89,""),"")</f>
        <v/>
      </c>
      <c r="CG89" s="34">
        <f>IF(AND(CG$5&gt;$E89,CG$5&lt;=$F89),IF(CG$5=$E89+1,$C89,""),"")</f>
        <v/>
      </c>
      <c r="CH89" s="34">
        <f>IF(AND(CH$5&gt;$E89,CH$5&lt;=$F89),IF(CH$5=$E89+1,$C89,""),"")</f>
        <v/>
      </c>
      <c r="CI89" s="34">
        <f>IF(AND(CI$5&gt;$E89,CI$5&lt;=$F89),IF(CI$5=$E89+1,$C89,""),"")</f>
        <v/>
      </c>
      <c r="CJ89" s="34">
        <f>IF(AND(CJ$5&gt;$E89,CJ$5&lt;=$F89),IF(CJ$5=$E89+1,$C89,""),"")</f>
        <v/>
      </c>
      <c r="CK89" s="34">
        <f>IF(AND(CK$5&gt;$E89,CK$5&lt;=$F89),IF(CK$5=$E89+1,$C89,""),"")</f>
        <v/>
      </c>
      <c r="CL89" s="34">
        <f>IF(AND(CL$5&gt;$E89,CL$5&lt;=$F89),IF(CL$5=$E89+1,$C89,""),"")</f>
        <v/>
      </c>
      <c r="CM89" s="34">
        <f>IF(AND(CM$5&gt;$E89,CM$5&lt;=$F89),IF(CM$5=$E89+1,$C89,""),"")</f>
        <v/>
      </c>
      <c r="CN89" s="34">
        <f>IF(AND(CN$5&gt;$E89,CN$5&lt;=$F89),IF(CN$5=$E89+1,$C89,""),"")</f>
        <v/>
      </c>
      <c r="CO89" s="34">
        <f>IF(AND(CO$5&gt;$E89,CO$5&lt;=$F89),IF(CO$5=$E89+1,$C89,""),"")</f>
        <v/>
      </c>
      <c r="CP89" s="34">
        <f>IF(AND(CP$5&gt;$E89,CP$5&lt;=$F89),IF(CP$5=$E89+1,$C89,""),"")</f>
        <v/>
      </c>
      <c r="CQ89" s="34">
        <f>IF(AND(CQ$5&gt;$E89,CQ$5&lt;=$F89),IF(CQ$5=$E89+1,$C89,""),"")</f>
        <v/>
      </c>
      <c r="CR89" s="34">
        <f>IF(AND(CR$5&gt;$E89,CR$5&lt;=$F89),IF(CR$5=$E89+1,$C89,""),"")</f>
        <v/>
      </c>
      <c r="CS89" s="34">
        <f>IF(AND(CS$5&gt;$E89,CS$5&lt;=$F89),IF(CS$5=$E89+1,$C89,""),"")</f>
        <v/>
      </c>
      <c r="CT89" s="34">
        <f>IF(AND(CT$5&gt;$E89,CT$5&lt;=$F89),IF(CT$5=$E89+1,$C89,""),"")</f>
        <v/>
      </c>
      <c r="CU89" s="34">
        <f>IF(AND(CU$5&gt;$E89,CU$5&lt;=$F89),IF(CU$5=$E89+1,$C89,""),"")</f>
        <v/>
      </c>
      <c r="CV89" s="34">
        <f>IF(AND(CV$5&gt;$E89,CV$5&lt;=$F89),IF(CV$5=$E89+1,$C89,""),"")</f>
        <v/>
      </c>
      <c r="CW89" s="34">
        <f>IF(AND(CW$5&gt;$E89,CW$5&lt;=$F89),IF(CW$5=$E89+1,$C89,""),"")</f>
        <v/>
      </c>
      <c r="CX89" s="34">
        <f>IF(AND(CX$5&gt;$E89,CX$5&lt;=$F89),IF(CX$5=$E89+1,$C89,""),"")</f>
        <v/>
      </c>
      <c r="CY89" s="34">
        <f>IF(AND(CY$5&gt;$E89,CY$5&lt;=$F89),IF(CY$5=$E89+1,$C89,""),"")</f>
        <v/>
      </c>
      <c r="CZ89" s="34">
        <f>IF(AND(CZ$5&gt;$E89,CZ$5&lt;=$F89),IF(CZ$5=$E89+1,$C89,""),"")</f>
        <v/>
      </c>
      <c r="DA89" s="34">
        <f>IF(AND(DA$5&gt;$E89,DA$5&lt;=$F89),IF(DA$5=$E89+1,$C89,""),"")</f>
        <v/>
      </c>
      <c r="DB89" s="34">
        <f>IF(AND(DB$5&gt;$E89,DB$5&lt;=$F89),IF(DB$5=$E89+1,$C89,""),"")</f>
        <v/>
      </c>
      <c r="DC89" s="34">
        <f>IF(AND(DC$5&gt;$E89,DC$5&lt;=$F89),IF(DC$5=$E89+1,$C89,""),"")</f>
        <v/>
      </c>
      <c r="DD89" s="34">
        <f>IF(AND(DD$5&gt;$E89,DD$5&lt;=$F89),IF(DD$5=$E89+1,$C89,""),"")</f>
        <v/>
      </c>
      <c r="DE89" s="34">
        <f>IF(AND(DE$5&gt;$E89,DE$5&lt;=$F89),IF(DE$5=$E89+1,$C89,""),"")</f>
        <v/>
      </c>
      <c r="DF89" s="34">
        <f>IF(AND(DF$5&gt;$E89,DF$5&lt;=$F89),IF(DF$5=$E89+1,$C89,""),"")</f>
        <v/>
      </c>
      <c r="DG89" s="34">
        <f>IF(AND(DG$5&gt;$E89,DG$5&lt;=$F89),IF(DG$5=$E89+1,$C89,""),"")</f>
        <v/>
      </c>
      <c r="DH89" s="34">
        <f>IF(AND(DH$5&gt;$E89,DH$5&lt;=$F89),IF(DH$5=$E89+1,$C89,""),"")</f>
        <v/>
      </c>
      <c r="DI89" s="34">
        <f>IF(AND(DI$5&gt;$E89,DI$5&lt;=$F89),IF(DI$5=$E89+1,$C89,""),"")</f>
        <v/>
      </c>
      <c r="DJ89" s="34">
        <f>IF(AND(DJ$5&gt;$E89,DJ$5&lt;=$F89),IF(DJ$5=$E89+1,$C89,""),"")</f>
        <v/>
      </c>
      <c r="DK89" s="34">
        <f>IF(AND(DK$5&gt;$E89,DK$5&lt;=$F89),IF(DK$5=$E89+1,$C89,""),"")</f>
        <v/>
      </c>
      <c r="DL89" s="34">
        <f>IF(AND(DL$5&gt;$E89,DL$5&lt;=$F89),IF(DL$5=$E89+1,$C89,""),"")</f>
        <v/>
      </c>
      <c r="DM89" s="34">
        <f>IF(AND(DM$5&gt;$E89,DM$5&lt;=$F89),IF(DM$5=$E89+1,$C89,""),"")</f>
        <v/>
      </c>
      <c r="DN89" s="34">
        <f>IF(AND(DN$5&gt;$E89,DN$5&lt;=$F89),IF(DN$5=$E89+1,$C89,""),"")</f>
        <v/>
      </c>
      <c r="DO89" s="34">
        <f>IF(AND(DO$5&gt;$E89,DO$5&lt;=$F89),IF(DO$5=$E89+1,$C89,""),"")</f>
        <v/>
      </c>
      <c r="DP89" s="34">
        <f>IF(AND(DP$5&gt;$E89,DP$5&lt;=$F89),IF(DP$5=$E89+1,$C89,""),"")</f>
        <v/>
      </c>
      <c r="DQ89" s="34">
        <f>IF(AND(DQ$5&gt;$E89,DQ$5&lt;=$F89),IF(DQ$5=$E89+1,$C89,""),"")</f>
        <v/>
      </c>
      <c r="DR89" s="34">
        <f>IF(AND(DR$5&gt;$E89,DR$5&lt;=$F89),IF(DR$5=$E89+1,$C89,""),"")</f>
        <v/>
      </c>
      <c r="DS89" s="34">
        <f>IF(AND(DS$5&gt;$E89,DS$5&lt;=$F89),IF(DS$5=$E89+1,$C89,""),"")</f>
        <v/>
      </c>
      <c r="DT89" s="34">
        <f>IF(AND(DT$5&gt;$E89,DT$5&lt;=$F89),IF(DT$5=$E89+1,$C89,""),"")</f>
        <v/>
      </c>
      <c r="DU89" s="34">
        <f>IF(AND(DU$5&gt;$E89,DU$5&lt;=$F89),IF(DU$5=$E89+1,$C89,""),"")</f>
        <v/>
      </c>
      <c r="DV89" s="34">
        <f>IF(AND(DV$5&gt;$E89,DV$5&lt;=$F89),IF(DV$5=$E89+1,$C89,""),"")</f>
        <v/>
      </c>
      <c r="DW89" s="34">
        <f>IF(AND(DW$5&gt;$E89,DW$5&lt;=$F89),IF(DW$5=$E89+1,$C89,""),"")</f>
        <v/>
      </c>
      <c r="DX89" s="34">
        <f>IF(AND(DX$5&gt;$E89,DX$5&lt;=$F89),IF(DX$5=$E89+1,$C89,""),"")</f>
        <v/>
      </c>
      <c r="DY89" s="34">
        <f>IF(AND(DY$5&gt;$E89,DY$5&lt;=$F89),IF(DY$5=$E89+1,$C89,""),"")</f>
        <v/>
      </c>
      <c r="DZ89" s="34">
        <f>IF(AND(DZ$5&gt;$E89,DZ$5&lt;=$F89),IF(DZ$5=$E89+1,$C89,""),"")</f>
        <v/>
      </c>
      <c r="EA89" s="34">
        <f>IF(AND(EA$5&gt;$E89,EA$5&lt;=$F89),IF(EA$5=$E89+1,$C89,""),"")</f>
        <v/>
      </c>
      <c r="EB89" s="34">
        <f>IF(AND(EB$5&gt;$E89,EB$5&lt;=$F89),IF(EB$5=$E89+1,$C89,""),"")</f>
        <v/>
      </c>
      <c r="EC89" s="34">
        <f>IF(AND(EC$5&gt;$E89,EC$5&lt;=$F89),IF(EC$5=$E89+1,$C89,""),"")</f>
        <v/>
      </c>
      <c r="ED89" s="34">
        <f>IF(AND(ED$5&gt;$E89,ED$5&lt;=$F89),IF(ED$5=$E89+1,$C89,""),"")</f>
        <v/>
      </c>
      <c r="EE89" s="34">
        <f>IF(AND(EE$5&gt;$E89,EE$5&lt;=$F89),IF(EE$5=$E89+1,$C89,""),"")</f>
        <v/>
      </c>
      <c r="EF89" s="34">
        <f>IF(AND(EF$5&gt;$E89,EF$5&lt;=$F89),IF(EF$5=$E89+1,$C89,""),"")</f>
        <v/>
      </c>
      <c r="EG89" s="34">
        <f>IF(AND(EG$5&gt;$E89,EG$5&lt;=$F89),IF(EG$5=$E89+1,$C89,""),"")</f>
        <v/>
      </c>
    </row>
    <row r="90">
      <c r="A90" s="32">
        <f>Plan!A60</f>
        <v/>
      </c>
      <c r="B90" s="33">
        <f>Plan!C60</f>
        <v/>
      </c>
      <c r="C90" s="16">
        <f>Plan!D60</f>
        <v/>
      </c>
      <c r="D90" s="16">
        <f>Plan!I60</f>
        <v/>
      </c>
      <c r="E90" s="16">
        <f>Plan!K60</f>
        <v/>
      </c>
      <c r="F90" s="16">
        <f>Plan!L60</f>
        <v/>
      </c>
      <c r="G90" s="16">
        <f>Plan!O60</f>
        <v/>
      </c>
      <c r="H90" s="34">
        <f>IF(AND(H$5&gt;$E90,H$5&lt;=$F90),IF(H$5=$E90+1,$C90,""),"")</f>
        <v/>
      </c>
      <c r="I90" s="34">
        <f>IF(AND(I$5&gt;$E90,I$5&lt;=$F90),IF(I$5=$E90+1,$C90,""),"")</f>
        <v/>
      </c>
      <c r="J90" s="34">
        <f>IF(AND(J$5&gt;$E90,J$5&lt;=$F90),IF(J$5=$E90+1,$C90,""),"")</f>
        <v/>
      </c>
      <c r="K90" s="34">
        <f>IF(AND(K$5&gt;$E90,K$5&lt;=$F90),IF(K$5=$E90+1,$C90,""),"")</f>
        <v/>
      </c>
      <c r="L90" s="34">
        <f>IF(AND(L$5&gt;$E90,L$5&lt;=$F90),IF(L$5=$E90+1,$C90,""),"")</f>
        <v/>
      </c>
      <c r="M90" s="34">
        <f>IF(AND(M$5&gt;$E90,M$5&lt;=$F90),IF(M$5=$E90+1,$C90,""),"")</f>
        <v/>
      </c>
      <c r="N90" s="34">
        <f>IF(AND(N$5&gt;$E90,N$5&lt;=$F90),IF(N$5=$E90+1,$C90,""),"")</f>
        <v/>
      </c>
      <c r="O90" s="34">
        <f>IF(AND(O$5&gt;$E90,O$5&lt;=$F90),IF(O$5=$E90+1,$C90,""),"")</f>
        <v/>
      </c>
      <c r="P90" s="34">
        <f>IF(AND(P$5&gt;$E90,P$5&lt;=$F90),IF(P$5=$E90+1,$C90,""),"")</f>
        <v/>
      </c>
      <c r="Q90" s="34">
        <f>IF(AND(Q$5&gt;$E90,Q$5&lt;=$F90),IF(Q$5=$E90+1,$C90,""),"")</f>
        <v/>
      </c>
      <c r="R90" s="34">
        <f>IF(AND(R$5&gt;$E90,R$5&lt;=$F90),IF(R$5=$E90+1,$C90,""),"")</f>
        <v/>
      </c>
      <c r="S90" s="34">
        <f>IF(AND(S$5&gt;$E90,S$5&lt;=$F90),IF(S$5=$E90+1,$C90,""),"")</f>
        <v/>
      </c>
      <c r="T90" s="34">
        <f>IF(AND(T$5&gt;$E90,T$5&lt;=$F90),IF(T$5=$E90+1,$C90,""),"")</f>
        <v/>
      </c>
      <c r="U90" s="34">
        <f>IF(AND(U$5&gt;$E90,U$5&lt;=$F90),IF(U$5=$E90+1,$C90,""),"")</f>
        <v/>
      </c>
      <c r="V90" s="34">
        <f>IF(AND(V$5&gt;$E90,V$5&lt;=$F90),IF(V$5=$E90+1,$C90,""),"")</f>
        <v/>
      </c>
      <c r="W90" s="34">
        <f>IF(AND(W$5&gt;$E90,W$5&lt;=$F90),IF(W$5=$E90+1,$C90,""),"")</f>
        <v/>
      </c>
      <c r="X90" s="34">
        <f>IF(AND(X$5&gt;$E90,X$5&lt;=$F90),IF(X$5=$E90+1,$C90,""),"")</f>
        <v/>
      </c>
      <c r="Y90" s="34">
        <f>IF(AND(Y$5&gt;$E90,Y$5&lt;=$F90),IF(Y$5=$E90+1,$C90,""),"")</f>
        <v/>
      </c>
      <c r="Z90" s="34">
        <f>IF(AND(Z$5&gt;$E90,Z$5&lt;=$F90),IF(Z$5=$E90+1,$C90,""),"")</f>
        <v/>
      </c>
      <c r="AA90" s="34">
        <f>IF(AND(AA$5&gt;$E90,AA$5&lt;=$F90),IF(AA$5=$E90+1,$C90,""),"")</f>
        <v/>
      </c>
      <c r="AB90" s="34">
        <f>IF(AND(AB$5&gt;$E90,AB$5&lt;=$F90),IF(AB$5=$E90+1,$C90,""),"")</f>
        <v/>
      </c>
      <c r="AC90" s="34">
        <f>IF(AND(AC$5&gt;$E90,AC$5&lt;=$F90),IF(AC$5=$E90+1,$C90,""),"")</f>
        <v/>
      </c>
      <c r="AD90" s="34">
        <f>IF(AND(AD$5&gt;$E90,AD$5&lt;=$F90),IF(AD$5=$E90+1,$C90,""),"")</f>
        <v/>
      </c>
      <c r="AE90" s="34">
        <f>IF(AND(AE$5&gt;$E90,AE$5&lt;=$F90),IF(AE$5=$E90+1,$C90,""),"")</f>
        <v/>
      </c>
      <c r="AF90" s="34">
        <f>IF(AND(AF$5&gt;$E90,AF$5&lt;=$F90),IF(AF$5=$E90+1,$C90,""),"")</f>
        <v/>
      </c>
      <c r="AG90" s="34">
        <f>IF(AND(AG$5&gt;$E90,AG$5&lt;=$F90),IF(AG$5=$E90+1,$C90,""),"")</f>
        <v/>
      </c>
      <c r="AH90" s="34">
        <f>IF(AND(AH$5&gt;$E90,AH$5&lt;=$F90),IF(AH$5=$E90+1,$C90,""),"")</f>
        <v/>
      </c>
      <c r="AI90" s="34">
        <f>IF(AND(AI$5&gt;$E90,AI$5&lt;=$F90),IF(AI$5=$E90+1,$C90,""),"")</f>
        <v/>
      </c>
      <c r="AJ90" s="34">
        <f>IF(AND(AJ$5&gt;$E90,AJ$5&lt;=$F90),IF(AJ$5=$E90+1,$C90,""),"")</f>
        <v/>
      </c>
      <c r="AK90" s="34">
        <f>IF(AND(AK$5&gt;$E90,AK$5&lt;=$F90),IF(AK$5=$E90+1,$C90,""),"")</f>
        <v/>
      </c>
      <c r="AL90" s="34">
        <f>IF(AND(AL$5&gt;$E90,AL$5&lt;=$F90),IF(AL$5=$E90+1,$C90,""),"")</f>
        <v/>
      </c>
      <c r="AM90" s="34">
        <f>IF(AND(AM$5&gt;$E90,AM$5&lt;=$F90),IF(AM$5=$E90+1,$C90,""),"")</f>
        <v/>
      </c>
      <c r="AN90" s="34">
        <f>IF(AND(AN$5&gt;$E90,AN$5&lt;=$F90),IF(AN$5=$E90+1,$C90,""),"")</f>
        <v/>
      </c>
      <c r="AO90" s="34">
        <f>IF(AND(AO$5&gt;$E90,AO$5&lt;=$F90),IF(AO$5=$E90+1,$C90,""),"")</f>
        <v/>
      </c>
      <c r="AP90" s="34">
        <f>IF(AND(AP$5&gt;$E90,AP$5&lt;=$F90),IF(AP$5=$E90+1,$C90,""),"")</f>
        <v/>
      </c>
      <c r="AQ90" s="34">
        <f>IF(AND(AQ$5&gt;$E90,AQ$5&lt;=$F90),IF(AQ$5=$E90+1,$C90,""),"")</f>
        <v/>
      </c>
      <c r="AR90" s="34">
        <f>IF(AND(AR$5&gt;$E90,AR$5&lt;=$F90),IF(AR$5=$E90+1,$C90,""),"")</f>
        <v/>
      </c>
      <c r="AS90" s="34">
        <f>IF(AND(AS$5&gt;$E90,AS$5&lt;=$F90),IF(AS$5=$E90+1,$C90,""),"")</f>
        <v/>
      </c>
      <c r="AT90" s="34">
        <f>IF(AND(AT$5&gt;$E90,AT$5&lt;=$F90),IF(AT$5=$E90+1,$C90,""),"")</f>
        <v/>
      </c>
      <c r="AU90" s="34">
        <f>IF(AND(AU$5&gt;$E90,AU$5&lt;=$F90),IF(AU$5=$E90+1,$C90,""),"")</f>
        <v/>
      </c>
      <c r="AV90" s="34">
        <f>IF(AND(AV$5&gt;$E90,AV$5&lt;=$F90),IF(AV$5=$E90+1,$C90,""),"")</f>
        <v/>
      </c>
      <c r="AW90" s="34">
        <f>IF(AND(AW$5&gt;$E90,AW$5&lt;=$F90),IF(AW$5=$E90+1,$C90,""),"")</f>
        <v/>
      </c>
      <c r="AX90" s="34">
        <f>IF(AND(AX$5&gt;$E90,AX$5&lt;=$F90),IF(AX$5=$E90+1,$C90,""),"")</f>
        <v/>
      </c>
      <c r="AY90" s="34">
        <f>IF(AND(AY$5&gt;$E90,AY$5&lt;=$F90),IF(AY$5=$E90+1,$C90,""),"")</f>
        <v/>
      </c>
      <c r="AZ90" s="34">
        <f>IF(AND(AZ$5&gt;$E90,AZ$5&lt;=$F90),IF(AZ$5=$E90+1,$C90,""),"")</f>
        <v/>
      </c>
      <c r="BA90" s="34">
        <f>IF(AND(BA$5&gt;$E90,BA$5&lt;=$F90),IF(BA$5=$E90+1,$C90,""),"")</f>
        <v/>
      </c>
      <c r="BB90" s="34">
        <f>IF(AND(BB$5&gt;$E90,BB$5&lt;=$F90),IF(BB$5=$E90+1,$C90,""),"")</f>
        <v/>
      </c>
      <c r="BC90" s="34">
        <f>IF(AND(BC$5&gt;$E90,BC$5&lt;=$F90),IF(BC$5=$E90+1,$C90,""),"")</f>
        <v/>
      </c>
      <c r="BD90" s="34">
        <f>IF(AND(BD$5&gt;$E90,BD$5&lt;=$F90),IF(BD$5=$E90+1,$C90,""),"")</f>
        <v/>
      </c>
      <c r="BE90" s="34">
        <f>IF(AND(BE$5&gt;$E90,BE$5&lt;=$F90),IF(BE$5=$E90+1,$C90,""),"")</f>
        <v/>
      </c>
      <c r="BF90" s="34">
        <f>IF(AND(BF$5&gt;$E90,BF$5&lt;=$F90),IF(BF$5=$E90+1,$C90,""),"")</f>
        <v/>
      </c>
      <c r="BG90" s="34">
        <f>IF(AND(BG$5&gt;$E90,BG$5&lt;=$F90),IF(BG$5=$E90+1,$C90,""),"")</f>
        <v/>
      </c>
      <c r="BH90" s="34">
        <f>IF(AND(BH$5&gt;$E90,BH$5&lt;=$F90),IF(BH$5=$E90+1,$C90,""),"")</f>
        <v/>
      </c>
      <c r="BI90" s="34">
        <f>IF(AND(BI$5&gt;$E90,BI$5&lt;=$F90),IF(BI$5=$E90+1,$C90,""),"")</f>
        <v/>
      </c>
      <c r="BJ90" s="34">
        <f>IF(AND(BJ$5&gt;$E90,BJ$5&lt;=$F90),IF(BJ$5=$E90+1,$C90,""),"")</f>
        <v/>
      </c>
      <c r="BK90" s="34">
        <f>IF(AND(BK$5&gt;$E90,BK$5&lt;=$F90),IF(BK$5=$E90+1,$C90,""),"")</f>
        <v/>
      </c>
      <c r="BL90" s="34">
        <f>IF(AND(BL$5&gt;$E90,BL$5&lt;=$F90),IF(BL$5=$E90+1,$C90,""),"")</f>
        <v/>
      </c>
      <c r="BM90" s="34">
        <f>IF(AND(BM$5&gt;$E90,BM$5&lt;=$F90),IF(BM$5=$E90+1,$C90,""),"")</f>
        <v/>
      </c>
      <c r="BN90" s="34">
        <f>IF(AND(BN$5&gt;$E90,BN$5&lt;=$F90),IF(BN$5=$E90+1,$C90,""),"")</f>
        <v/>
      </c>
      <c r="BO90" s="34">
        <f>IF(AND(BO$5&gt;$E90,BO$5&lt;=$F90),IF(BO$5=$E90+1,$C90,""),"")</f>
        <v/>
      </c>
      <c r="BP90" s="34">
        <f>IF(AND(BP$5&gt;$E90,BP$5&lt;=$F90),IF(BP$5=$E90+1,$C90,""),"")</f>
        <v/>
      </c>
      <c r="BQ90" s="34">
        <f>IF(AND(BQ$5&gt;$E90,BQ$5&lt;=$F90),IF(BQ$5=$E90+1,$C90,""),"")</f>
        <v/>
      </c>
      <c r="BR90" s="34">
        <f>IF(AND(BR$5&gt;$E90,BR$5&lt;=$F90),IF(BR$5=$E90+1,$C90,""),"")</f>
        <v/>
      </c>
      <c r="BS90" s="34">
        <f>IF(AND(BS$5&gt;$E90,BS$5&lt;=$F90),IF(BS$5=$E90+1,$C90,""),"")</f>
        <v/>
      </c>
      <c r="BT90" s="34">
        <f>IF(AND(BT$5&gt;$E90,BT$5&lt;=$F90),IF(BT$5=$E90+1,$C90,""),"")</f>
        <v/>
      </c>
      <c r="BU90" s="34">
        <f>IF(AND(BU$5&gt;$E90,BU$5&lt;=$F90),IF(BU$5=$E90+1,$C90,""),"")</f>
        <v/>
      </c>
      <c r="BV90" s="34">
        <f>IF(AND(BV$5&gt;$E90,BV$5&lt;=$F90),IF(BV$5=$E90+1,$C90,""),"")</f>
        <v/>
      </c>
      <c r="BW90" s="34">
        <f>IF(AND(BW$5&gt;$E90,BW$5&lt;=$F90),IF(BW$5=$E90+1,$C90,""),"")</f>
        <v/>
      </c>
      <c r="BX90" s="34">
        <f>IF(AND(BX$5&gt;$E90,BX$5&lt;=$F90),IF(BX$5=$E90+1,$C90,""),"")</f>
        <v/>
      </c>
      <c r="BY90" s="34">
        <f>IF(AND(BY$5&gt;$E90,BY$5&lt;=$F90),IF(BY$5=$E90+1,$C90,""),"")</f>
        <v/>
      </c>
      <c r="BZ90" s="34">
        <f>IF(AND(BZ$5&gt;$E90,BZ$5&lt;=$F90),IF(BZ$5=$E90+1,$C90,""),"")</f>
        <v/>
      </c>
      <c r="CA90" s="34">
        <f>IF(AND(CA$5&gt;$E90,CA$5&lt;=$F90),IF(CA$5=$E90+1,$C90,""),"")</f>
        <v/>
      </c>
      <c r="CB90" s="34">
        <f>IF(AND(CB$5&gt;$E90,CB$5&lt;=$F90),IF(CB$5=$E90+1,$C90,""),"")</f>
        <v/>
      </c>
      <c r="CC90" s="34">
        <f>IF(AND(CC$5&gt;$E90,CC$5&lt;=$F90),IF(CC$5=$E90+1,$C90,""),"")</f>
        <v/>
      </c>
      <c r="CD90" s="34">
        <f>IF(AND(CD$5&gt;$E90,CD$5&lt;=$F90),IF(CD$5=$E90+1,$C90,""),"")</f>
        <v/>
      </c>
      <c r="CE90" s="34">
        <f>IF(AND(CE$5&gt;$E90,CE$5&lt;=$F90),IF(CE$5=$E90+1,$C90,""),"")</f>
        <v/>
      </c>
      <c r="CF90" s="34">
        <f>IF(AND(CF$5&gt;$E90,CF$5&lt;=$F90),IF(CF$5=$E90+1,$C90,""),"")</f>
        <v/>
      </c>
      <c r="CG90" s="34">
        <f>IF(AND(CG$5&gt;$E90,CG$5&lt;=$F90),IF(CG$5=$E90+1,$C90,""),"")</f>
        <v/>
      </c>
      <c r="CH90" s="34">
        <f>IF(AND(CH$5&gt;$E90,CH$5&lt;=$F90),IF(CH$5=$E90+1,$C90,""),"")</f>
        <v/>
      </c>
      <c r="CI90" s="34">
        <f>IF(AND(CI$5&gt;$E90,CI$5&lt;=$F90),IF(CI$5=$E90+1,$C90,""),"")</f>
        <v/>
      </c>
      <c r="CJ90" s="34">
        <f>IF(AND(CJ$5&gt;$E90,CJ$5&lt;=$F90),IF(CJ$5=$E90+1,$C90,""),"")</f>
        <v/>
      </c>
      <c r="CK90" s="34">
        <f>IF(AND(CK$5&gt;$E90,CK$5&lt;=$F90),IF(CK$5=$E90+1,$C90,""),"")</f>
        <v/>
      </c>
      <c r="CL90" s="34">
        <f>IF(AND(CL$5&gt;$E90,CL$5&lt;=$F90),IF(CL$5=$E90+1,$C90,""),"")</f>
        <v/>
      </c>
      <c r="CM90" s="34">
        <f>IF(AND(CM$5&gt;$E90,CM$5&lt;=$F90),IF(CM$5=$E90+1,$C90,""),"")</f>
        <v/>
      </c>
      <c r="CN90" s="34">
        <f>IF(AND(CN$5&gt;$E90,CN$5&lt;=$F90),IF(CN$5=$E90+1,$C90,""),"")</f>
        <v/>
      </c>
      <c r="CO90" s="34">
        <f>IF(AND(CO$5&gt;$E90,CO$5&lt;=$F90),IF(CO$5=$E90+1,$C90,""),"")</f>
        <v/>
      </c>
      <c r="CP90" s="34">
        <f>IF(AND(CP$5&gt;$E90,CP$5&lt;=$F90),IF(CP$5=$E90+1,$C90,""),"")</f>
        <v/>
      </c>
      <c r="CQ90" s="34">
        <f>IF(AND(CQ$5&gt;$E90,CQ$5&lt;=$F90),IF(CQ$5=$E90+1,$C90,""),"")</f>
        <v/>
      </c>
      <c r="CR90" s="34">
        <f>IF(AND(CR$5&gt;$E90,CR$5&lt;=$F90),IF(CR$5=$E90+1,$C90,""),"")</f>
        <v/>
      </c>
      <c r="CS90" s="34">
        <f>IF(AND(CS$5&gt;$E90,CS$5&lt;=$F90),IF(CS$5=$E90+1,$C90,""),"")</f>
        <v/>
      </c>
      <c r="CT90" s="34">
        <f>IF(AND(CT$5&gt;$E90,CT$5&lt;=$F90),IF(CT$5=$E90+1,$C90,""),"")</f>
        <v/>
      </c>
      <c r="CU90" s="34">
        <f>IF(AND(CU$5&gt;$E90,CU$5&lt;=$F90),IF(CU$5=$E90+1,$C90,""),"")</f>
        <v/>
      </c>
      <c r="CV90" s="34">
        <f>IF(AND(CV$5&gt;$E90,CV$5&lt;=$F90),IF(CV$5=$E90+1,$C90,""),"")</f>
        <v/>
      </c>
      <c r="CW90" s="34">
        <f>IF(AND(CW$5&gt;$E90,CW$5&lt;=$F90),IF(CW$5=$E90+1,$C90,""),"")</f>
        <v/>
      </c>
      <c r="CX90" s="34">
        <f>IF(AND(CX$5&gt;$E90,CX$5&lt;=$F90),IF(CX$5=$E90+1,$C90,""),"")</f>
        <v/>
      </c>
      <c r="CY90" s="34">
        <f>IF(AND(CY$5&gt;$E90,CY$5&lt;=$F90),IF(CY$5=$E90+1,$C90,""),"")</f>
        <v/>
      </c>
      <c r="CZ90" s="34">
        <f>IF(AND(CZ$5&gt;$E90,CZ$5&lt;=$F90),IF(CZ$5=$E90+1,$C90,""),"")</f>
        <v/>
      </c>
      <c r="DA90" s="34">
        <f>IF(AND(DA$5&gt;$E90,DA$5&lt;=$F90),IF(DA$5=$E90+1,$C90,""),"")</f>
        <v/>
      </c>
      <c r="DB90" s="34">
        <f>IF(AND(DB$5&gt;$E90,DB$5&lt;=$F90),IF(DB$5=$E90+1,$C90,""),"")</f>
        <v/>
      </c>
      <c r="DC90" s="34">
        <f>IF(AND(DC$5&gt;$E90,DC$5&lt;=$F90),IF(DC$5=$E90+1,$C90,""),"")</f>
        <v/>
      </c>
      <c r="DD90" s="34">
        <f>IF(AND(DD$5&gt;$E90,DD$5&lt;=$F90),IF(DD$5=$E90+1,$C90,""),"")</f>
        <v/>
      </c>
      <c r="DE90" s="34">
        <f>IF(AND(DE$5&gt;$E90,DE$5&lt;=$F90),IF(DE$5=$E90+1,$C90,""),"")</f>
        <v/>
      </c>
      <c r="DF90" s="34">
        <f>IF(AND(DF$5&gt;$E90,DF$5&lt;=$F90),IF(DF$5=$E90+1,$C90,""),"")</f>
        <v/>
      </c>
      <c r="DG90" s="34">
        <f>IF(AND(DG$5&gt;$E90,DG$5&lt;=$F90),IF(DG$5=$E90+1,$C90,""),"")</f>
        <v/>
      </c>
      <c r="DH90" s="34">
        <f>IF(AND(DH$5&gt;$E90,DH$5&lt;=$F90),IF(DH$5=$E90+1,$C90,""),"")</f>
        <v/>
      </c>
      <c r="DI90" s="34">
        <f>IF(AND(DI$5&gt;$E90,DI$5&lt;=$F90),IF(DI$5=$E90+1,$C90,""),"")</f>
        <v/>
      </c>
      <c r="DJ90" s="34">
        <f>IF(AND(DJ$5&gt;$E90,DJ$5&lt;=$F90),IF(DJ$5=$E90+1,$C90,""),"")</f>
        <v/>
      </c>
      <c r="DK90" s="34">
        <f>IF(AND(DK$5&gt;$E90,DK$5&lt;=$F90),IF(DK$5=$E90+1,$C90,""),"")</f>
        <v/>
      </c>
      <c r="DL90" s="34">
        <f>IF(AND(DL$5&gt;$E90,DL$5&lt;=$F90),IF(DL$5=$E90+1,$C90,""),"")</f>
        <v/>
      </c>
      <c r="DM90" s="34">
        <f>IF(AND(DM$5&gt;$E90,DM$5&lt;=$F90),IF(DM$5=$E90+1,$C90,""),"")</f>
        <v/>
      </c>
      <c r="DN90" s="34">
        <f>IF(AND(DN$5&gt;$E90,DN$5&lt;=$F90),IF(DN$5=$E90+1,$C90,""),"")</f>
        <v/>
      </c>
      <c r="DO90" s="34">
        <f>IF(AND(DO$5&gt;$E90,DO$5&lt;=$F90),IF(DO$5=$E90+1,$C90,""),"")</f>
        <v/>
      </c>
      <c r="DP90" s="34">
        <f>IF(AND(DP$5&gt;$E90,DP$5&lt;=$F90),IF(DP$5=$E90+1,$C90,""),"")</f>
        <v/>
      </c>
      <c r="DQ90" s="34">
        <f>IF(AND(DQ$5&gt;$E90,DQ$5&lt;=$F90),IF(DQ$5=$E90+1,$C90,""),"")</f>
        <v/>
      </c>
      <c r="DR90" s="34">
        <f>IF(AND(DR$5&gt;$E90,DR$5&lt;=$F90),IF(DR$5=$E90+1,$C90,""),"")</f>
        <v/>
      </c>
      <c r="DS90" s="34">
        <f>IF(AND(DS$5&gt;$E90,DS$5&lt;=$F90),IF(DS$5=$E90+1,$C90,""),"")</f>
        <v/>
      </c>
      <c r="DT90" s="34">
        <f>IF(AND(DT$5&gt;$E90,DT$5&lt;=$F90),IF(DT$5=$E90+1,$C90,""),"")</f>
        <v/>
      </c>
      <c r="DU90" s="34">
        <f>IF(AND(DU$5&gt;$E90,DU$5&lt;=$F90),IF(DU$5=$E90+1,$C90,""),"")</f>
        <v/>
      </c>
      <c r="DV90" s="34">
        <f>IF(AND(DV$5&gt;$E90,DV$5&lt;=$F90),IF(DV$5=$E90+1,$C90,""),"")</f>
        <v/>
      </c>
      <c r="DW90" s="34">
        <f>IF(AND(DW$5&gt;$E90,DW$5&lt;=$F90),IF(DW$5=$E90+1,$C90,""),"")</f>
        <v/>
      </c>
      <c r="DX90" s="34">
        <f>IF(AND(DX$5&gt;$E90,DX$5&lt;=$F90),IF(DX$5=$E90+1,$C90,""),"")</f>
        <v/>
      </c>
      <c r="DY90" s="34">
        <f>IF(AND(DY$5&gt;$E90,DY$5&lt;=$F90),IF(DY$5=$E90+1,$C90,""),"")</f>
        <v/>
      </c>
      <c r="DZ90" s="34">
        <f>IF(AND(DZ$5&gt;$E90,DZ$5&lt;=$F90),IF(DZ$5=$E90+1,$C90,""),"")</f>
        <v/>
      </c>
      <c r="EA90" s="34">
        <f>IF(AND(EA$5&gt;$E90,EA$5&lt;=$F90),IF(EA$5=$E90+1,$C90,""),"")</f>
        <v/>
      </c>
      <c r="EB90" s="34">
        <f>IF(AND(EB$5&gt;$E90,EB$5&lt;=$F90),IF(EB$5=$E90+1,$C90,""),"")</f>
        <v/>
      </c>
      <c r="EC90" s="34">
        <f>IF(AND(EC$5&gt;$E90,EC$5&lt;=$F90),IF(EC$5=$E90+1,$C90,""),"")</f>
        <v/>
      </c>
      <c r="ED90" s="34">
        <f>IF(AND(ED$5&gt;$E90,ED$5&lt;=$F90),IF(ED$5=$E90+1,$C90,""),"")</f>
        <v/>
      </c>
      <c r="EE90" s="34">
        <f>IF(AND(EE$5&gt;$E90,EE$5&lt;=$F90),IF(EE$5=$E90+1,$C90,""),"")</f>
        <v/>
      </c>
      <c r="EF90" s="34">
        <f>IF(AND(EF$5&gt;$E90,EF$5&lt;=$F90),IF(EF$5=$E90+1,$C90,""),"")</f>
        <v/>
      </c>
      <c r="EG90" s="34">
        <f>IF(AND(EG$5&gt;$E90,EG$5&lt;=$F90),IF(EG$5=$E90+1,$C90,""),"")</f>
        <v/>
      </c>
    </row>
    <row r="91">
      <c r="A91" s="32">
        <f>Plan!A61</f>
        <v/>
      </c>
      <c r="B91" s="33">
        <f>Plan!C61</f>
        <v/>
      </c>
      <c r="C91" s="16">
        <f>Plan!D61</f>
        <v/>
      </c>
      <c r="D91" s="16">
        <f>Plan!I61</f>
        <v/>
      </c>
      <c r="E91" s="16">
        <f>Plan!K61</f>
        <v/>
      </c>
      <c r="F91" s="16">
        <f>Plan!L61</f>
        <v/>
      </c>
      <c r="G91" s="16">
        <f>Plan!O61</f>
        <v/>
      </c>
      <c r="H91" s="34">
        <f>IF(AND(H$5&gt;$E91,H$5&lt;=$F91),IF(H$5=$E91+1,$C91,""),"")</f>
        <v/>
      </c>
      <c r="I91" s="34">
        <f>IF(AND(I$5&gt;$E91,I$5&lt;=$F91),IF(I$5=$E91+1,$C91,""),"")</f>
        <v/>
      </c>
      <c r="J91" s="34">
        <f>IF(AND(J$5&gt;$E91,J$5&lt;=$F91),IF(J$5=$E91+1,$C91,""),"")</f>
        <v/>
      </c>
      <c r="K91" s="34">
        <f>IF(AND(K$5&gt;$E91,K$5&lt;=$F91),IF(K$5=$E91+1,$C91,""),"")</f>
        <v/>
      </c>
      <c r="L91" s="34">
        <f>IF(AND(L$5&gt;$E91,L$5&lt;=$F91),IF(L$5=$E91+1,$C91,""),"")</f>
        <v/>
      </c>
      <c r="M91" s="34">
        <f>IF(AND(M$5&gt;$E91,M$5&lt;=$F91),IF(M$5=$E91+1,$C91,""),"")</f>
        <v/>
      </c>
      <c r="N91" s="34">
        <f>IF(AND(N$5&gt;$E91,N$5&lt;=$F91),IF(N$5=$E91+1,$C91,""),"")</f>
        <v/>
      </c>
      <c r="O91" s="34">
        <f>IF(AND(O$5&gt;$E91,O$5&lt;=$F91),IF(O$5=$E91+1,$C91,""),"")</f>
        <v/>
      </c>
      <c r="P91" s="34">
        <f>IF(AND(P$5&gt;$E91,P$5&lt;=$F91),IF(P$5=$E91+1,$C91,""),"")</f>
        <v/>
      </c>
      <c r="Q91" s="34">
        <f>IF(AND(Q$5&gt;$E91,Q$5&lt;=$F91),IF(Q$5=$E91+1,$C91,""),"")</f>
        <v/>
      </c>
      <c r="R91" s="34">
        <f>IF(AND(R$5&gt;$E91,R$5&lt;=$F91),IF(R$5=$E91+1,$C91,""),"")</f>
        <v/>
      </c>
      <c r="S91" s="34">
        <f>IF(AND(S$5&gt;$E91,S$5&lt;=$F91),IF(S$5=$E91+1,$C91,""),"")</f>
        <v/>
      </c>
      <c r="T91" s="34">
        <f>IF(AND(T$5&gt;$E91,T$5&lt;=$F91),IF(T$5=$E91+1,$C91,""),"")</f>
        <v/>
      </c>
      <c r="U91" s="34">
        <f>IF(AND(U$5&gt;$E91,U$5&lt;=$F91),IF(U$5=$E91+1,$C91,""),"")</f>
        <v/>
      </c>
      <c r="V91" s="34">
        <f>IF(AND(V$5&gt;$E91,V$5&lt;=$F91),IF(V$5=$E91+1,$C91,""),"")</f>
        <v/>
      </c>
      <c r="W91" s="34">
        <f>IF(AND(W$5&gt;$E91,W$5&lt;=$F91),IF(W$5=$E91+1,$C91,""),"")</f>
        <v/>
      </c>
      <c r="X91" s="34">
        <f>IF(AND(X$5&gt;$E91,X$5&lt;=$F91),IF(X$5=$E91+1,$C91,""),"")</f>
        <v/>
      </c>
      <c r="Y91" s="34">
        <f>IF(AND(Y$5&gt;$E91,Y$5&lt;=$F91),IF(Y$5=$E91+1,$C91,""),"")</f>
        <v/>
      </c>
      <c r="Z91" s="34">
        <f>IF(AND(Z$5&gt;$E91,Z$5&lt;=$F91),IF(Z$5=$E91+1,$C91,""),"")</f>
        <v/>
      </c>
      <c r="AA91" s="34">
        <f>IF(AND(AA$5&gt;$E91,AA$5&lt;=$F91),IF(AA$5=$E91+1,$C91,""),"")</f>
        <v/>
      </c>
      <c r="AB91" s="34">
        <f>IF(AND(AB$5&gt;$E91,AB$5&lt;=$F91),IF(AB$5=$E91+1,$C91,""),"")</f>
        <v/>
      </c>
      <c r="AC91" s="34">
        <f>IF(AND(AC$5&gt;$E91,AC$5&lt;=$F91),IF(AC$5=$E91+1,$C91,""),"")</f>
        <v/>
      </c>
      <c r="AD91" s="34">
        <f>IF(AND(AD$5&gt;$E91,AD$5&lt;=$F91),IF(AD$5=$E91+1,$C91,""),"")</f>
        <v/>
      </c>
      <c r="AE91" s="34">
        <f>IF(AND(AE$5&gt;$E91,AE$5&lt;=$F91),IF(AE$5=$E91+1,$C91,""),"")</f>
        <v/>
      </c>
      <c r="AF91" s="34">
        <f>IF(AND(AF$5&gt;$E91,AF$5&lt;=$F91),IF(AF$5=$E91+1,$C91,""),"")</f>
        <v/>
      </c>
      <c r="AG91" s="34">
        <f>IF(AND(AG$5&gt;$E91,AG$5&lt;=$F91),IF(AG$5=$E91+1,$C91,""),"")</f>
        <v/>
      </c>
      <c r="AH91" s="34">
        <f>IF(AND(AH$5&gt;$E91,AH$5&lt;=$F91),IF(AH$5=$E91+1,$C91,""),"")</f>
        <v/>
      </c>
      <c r="AI91" s="34">
        <f>IF(AND(AI$5&gt;$E91,AI$5&lt;=$F91),IF(AI$5=$E91+1,$C91,""),"")</f>
        <v/>
      </c>
      <c r="AJ91" s="34">
        <f>IF(AND(AJ$5&gt;$E91,AJ$5&lt;=$F91),IF(AJ$5=$E91+1,$C91,""),"")</f>
        <v/>
      </c>
      <c r="AK91" s="34">
        <f>IF(AND(AK$5&gt;$E91,AK$5&lt;=$F91),IF(AK$5=$E91+1,$C91,""),"")</f>
        <v/>
      </c>
      <c r="AL91" s="34">
        <f>IF(AND(AL$5&gt;$E91,AL$5&lt;=$F91),IF(AL$5=$E91+1,$C91,""),"")</f>
        <v/>
      </c>
      <c r="AM91" s="34">
        <f>IF(AND(AM$5&gt;$E91,AM$5&lt;=$F91),IF(AM$5=$E91+1,$C91,""),"")</f>
        <v/>
      </c>
      <c r="AN91" s="34">
        <f>IF(AND(AN$5&gt;$E91,AN$5&lt;=$F91),IF(AN$5=$E91+1,$C91,""),"")</f>
        <v/>
      </c>
      <c r="AO91" s="34">
        <f>IF(AND(AO$5&gt;$E91,AO$5&lt;=$F91),IF(AO$5=$E91+1,$C91,""),"")</f>
        <v/>
      </c>
      <c r="AP91" s="34">
        <f>IF(AND(AP$5&gt;$E91,AP$5&lt;=$F91),IF(AP$5=$E91+1,$C91,""),"")</f>
        <v/>
      </c>
      <c r="AQ91" s="34">
        <f>IF(AND(AQ$5&gt;$E91,AQ$5&lt;=$F91),IF(AQ$5=$E91+1,$C91,""),"")</f>
        <v/>
      </c>
      <c r="AR91" s="34">
        <f>IF(AND(AR$5&gt;$E91,AR$5&lt;=$F91),IF(AR$5=$E91+1,$C91,""),"")</f>
        <v/>
      </c>
      <c r="AS91" s="34">
        <f>IF(AND(AS$5&gt;$E91,AS$5&lt;=$F91),IF(AS$5=$E91+1,$C91,""),"")</f>
        <v/>
      </c>
      <c r="AT91" s="34">
        <f>IF(AND(AT$5&gt;$E91,AT$5&lt;=$F91),IF(AT$5=$E91+1,$C91,""),"")</f>
        <v/>
      </c>
      <c r="AU91" s="34">
        <f>IF(AND(AU$5&gt;$E91,AU$5&lt;=$F91),IF(AU$5=$E91+1,$C91,""),"")</f>
        <v/>
      </c>
      <c r="AV91" s="34">
        <f>IF(AND(AV$5&gt;$E91,AV$5&lt;=$F91),IF(AV$5=$E91+1,$C91,""),"")</f>
        <v/>
      </c>
      <c r="AW91" s="34">
        <f>IF(AND(AW$5&gt;$E91,AW$5&lt;=$F91),IF(AW$5=$E91+1,$C91,""),"")</f>
        <v/>
      </c>
      <c r="AX91" s="34">
        <f>IF(AND(AX$5&gt;$E91,AX$5&lt;=$F91),IF(AX$5=$E91+1,$C91,""),"")</f>
        <v/>
      </c>
      <c r="AY91" s="34">
        <f>IF(AND(AY$5&gt;$E91,AY$5&lt;=$F91),IF(AY$5=$E91+1,$C91,""),"")</f>
        <v/>
      </c>
      <c r="AZ91" s="34">
        <f>IF(AND(AZ$5&gt;$E91,AZ$5&lt;=$F91),IF(AZ$5=$E91+1,$C91,""),"")</f>
        <v/>
      </c>
      <c r="BA91" s="34">
        <f>IF(AND(BA$5&gt;$E91,BA$5&lt;=$F91),IF(BA$5=$E91+1,$C91,""),"")</f>
        <v/>
      </c>
      <c r="BB91" s="34">
        <f>IF(AND(BB$5&gt;$E91,BB$5&lt;=$F91),IF(BB$5=$E91+1,$C91,""),"")</f>
        <v/>
      </c>
      <c r="BC91" s="34">
        <f>IF(AND(BC$5&gt;$E91,BC$5&lt;=$F91),IF(BC$5=$E91+1,$C91,""),"")</f>
        <v/>
      </c>
      <c r="BD91" s="34">
        <f>IF(AND(BD$5&gt;$E91,BD$5&lt;=$F91),IF(BD$5=$E91+1,$C91,""),"")</f>
        <v/>
      </c>
      <c r="BE91" s="34">
        <f>IF(AND(BE$5&gt;$E91,BE$5&lt;=$F91),IF(BE$5=$E91+1,$C91,""),"")</f>
        <v/>
      </c>
      <c r="BF91" s="34">
        <f>IF(AND(BF$5&gt;$E91,BF$5&lt;=$F91),IF(BF$5=$E91+1,$C91,""),"")</f>
        <v/>
      </c>
      <c r="BG91" s="34">
        <f>IF(AND(BG$5&gt;$E91,BG$5&lt;=$F91),IF(BG$5=$E91+1,$C91,""),"")</f>
        <v/>
      </c>
      <c r="BH91" s="34">
        <f>IF(AND(BH$5&gt;$E91,BH$5&lt;=$F91),IF(BH$5=$E91+1,$C91,""),"")</f>
        <v/>
      </c>
      <c r="BI91" s="34">
        <f>IF(AND(BI$5&gt;$E91,BI$5&lt;=$F91),IF(BI$5=$E91+1,$C91,""),"")</f>
        <v/>
      </c>
      <c r="BJ91" s="34">
        <f>IF(AND(BJ$5&gt;$E91,BJ$5&lt;=$F91),IF(BJ$5=$E91+1,$C91,""),"")</f>
        <v/>
      </c>
      <c r="BK91" s="34">
        <f>IF(AND(BK$5&gt;$E91,BK$5&lt;=$F91),IF(BK$5=$E91+1,$C91,""),"")</f>
        <v/>
      </c>
      <c r="BL91" s="34">
        <f>IF(AND(BL$5&gt;$E91,BL$5&lt;=$F91),IF(BL$5=$E91+1,$C91,""),"")</f>
        <v/>
      </c>
      <c r="BM91" s="34">
        <f>IF(AND(BM$5&gt;$E91,BM$5&lt;=$F91),IF(BM$5=$E91+1,$C91,""),"")</f>
        <v/>
      </c>
      <c r="BN91" s="34">
        <f>IF(AND(BN$5&gt;$E91,BN$5&lt;=$F91),IF(BN$5=$E91+1,$C91,""),"")</f>
        <v/>
      </c>
      <c r="BO91" s="34">
        <f>IF(AND(BO$5&gt;$E91,BO$5&lt;=$F91),IF(BO$5=$E91+1,$C91,""),"")</f>
        <v/>
      </c>
      <c r="BP91" s="34">
        <f>IF(AND(BP$5&gt;$E91,BP$5&lt;=$F91),IF(BP$5=$E91+1,$C91,""),"")</f>
        <v/>
      </c>
      <c r="BQ91" s="34">
        <f>IF(AND(BQ$5&gt;$E91,BQ$5&lt;=$F91),IF(BQ$5=$E91+1,$C91,""),"")</f>
        <v/>
      </c>
      <c r="BR91" s="34">
        <f>IF(AND(BR$5&gt;$E91,BR$5&lt;=$F91),IF(BR$5=$E91+1,$C91,""),"")</f>
        <v/>
      </c>
      <c r="BS91" s="34">
        <f>IF(AND(BS$5&gt;$E91,BS$5&lt;=$F91),IF(BS$5=$E91+1,$C91,""),"")</f>
        <v/>
      </c>
      <c r="BT91" s="34">
        <f>IF(AND(BT$5&gt;$E91,BT$5&lt;=$F91),IF(BT$5=$E91+1,$C91,""),"")</f>
        <v/>
      </c>
      <c r="BU91" s="34">
        <f>IF(AND(BU$5&gt;$E91,BU$5&lt;=$F91),IF(BU$5=$E91+1,$C91,""),"")</f>
        <v/>
      </c>
      <c r="BV91" s="34">
        <f>IF(AND(BV$5&gt;$E91,BV$5&lt;=$F91),IF(BV$5=$E91+1,$C91,""),"")</f>
        <v/>
      </c>
      <c r="BW91" s="34">
        <f>IF(AND(BW$5&gt;$E91,BW$5&lt;=$F91),IF(BW$5=$E91+1,$C91,""),"")</f>
        <v/>
      </c>
      <c r="BX91" s="34">
        <f>IF(AND(BX$5&gt;$E91,BX$5&lt;=$F91),IF(BX$5=$E91+1,$C91,""),"")</f>
        <v/>
      </c>
      <c r="BY91" s="34">
        <f>IF(AND(BY$5&gt;$E91,BY$5&lt;=$F91),IF(BY$5=$E91+1,$C91,""),"")</f>
        <v/>
      </c>
      <c r="BZ91" s="34">
        <f>IF(AND(BZ$5&gt;$E91,BZ$5&lt;=$F91),IF(BZ$5=$E91+1,$C91,""),"")</f>
        <v/>
      </c>
      <c r="CA91" s="34">
        <f>IF(AND(CA$5&gt;$E91,CA$5&lt;=$F91),IF(CA$5=$E91+1,$C91,""),"")</f>
        <v/>
      </c>
      <c r="CB91" s="34">
        <f>IF(AND(CB$5&gt;$E91,CB$5&lt;=$F91),IF(CB$5=$E91+1,$C91,""),"")</f>
        <v/>
      </c>
      <c r="CC91" s="34">
        <f>IF(AND(CC$5&gt;$E91,CC$5&lt;=$F91),IF(CC$5=$E91+1,$C91,""),"")</f>
        <v/>
      </c>
      <c r="CD91" s="34">
        <f>IF(AND(CD$5&gt;$E91,CD$5&lt;=$F91),IF(CD$5=$E91+1,$C91,""),"")</f>
        <v/>
      </c>
      <c r="CE91" s="34">
        <f>IF(AND(CE$5&gt;$E91,CE$5&lt;=$F91),IF(CE$5=$E91+1,$C91,""),"")</f>
        <v/>
      </c>
      <c r="CF91" s="34">
        <f>IF(AND(CF$5&gt;$E91,CF$5&lt;=$F91),IF(CF$5=$E91+1,$C91,""),"")</f>
        <v/>
      </c>
      <c r="CG91" s="34">
        <f>IF(AND(CG$5&gt;$E91,CG$5&lt;=$F91),IF(CG$5=$E91+1,$C91,""),"")</f>
        <v/>
      </c>
      <c r="CH91" s="34">
        <f>IF(AND(CH$5&gt;$E91,CH$5&lt;=$F91),IF(CH$5=$E91+1,$C91,""),"")</f>
        <v/>
      </c>
      <c r="CI91" s="34">
        <f>IF(AND(CI$5&gt;$E91,CI$5&lt;=$F91),IF(CI$5=$E91+1,$C91,""),"")</f>
        <v/>
      </c>
      <c r="CJ91" s="34">
        <f>IF(AND(CJ$5&gt;$E91,CJ$5&lt;=$F91),IF(CJ$5=$E91+1,$C91,""),"")</f>
        <v/>
      </c>
      <c r="CK91" s="34">
        <f>IF(AND(CK$5&gt;$E91,CK$5&lt;=$F91),IF(CK$5=$E91+1,$C91,""),"")</f>
        <v/>
      </c>
      <c r="CL91" s="34">
        <f>IF(AND(CL$5&gt;$E91,CL$5&lt;=$F91),IF(CL$5=$E91+1,$C91,""),"")</f>
        <v/>
      </c>
      <c r="CM91" s="34">
        <f>IF(AND(CM$5&gt;$E91,CM$5&lt;=$F91),IF(CM$5=$E91+1,$C91,""),"")</f>
        <v/>
      </c>
      <c r="CN91" s="34">
        <f>IF(AND(CN$5&gt;$E91,CN$5&lt;=$F91),IF(CN$5=$E91+1,$C91,""),"")</f>
        <v/>
      </c>
      <c r="CO91" s="34">
        <f>IF(AND(CO$5&gt;$E91,CO$5&lt;=$F91),IF(CO$5=$E91+1,$C91,""),"")</f>
        <v/>
      </c>
      <c r="CP91" s="34">
        <f>IF(AND(CP$5&gt;$E91,CP$5&lt;=$F91),IF(CP$5=$E91+1,$C91,""),"")</f>
        <v/>
      </c>
      <c r="CQ91" s="34">
        <f>IF(AND(CQ$5&gt;$E91,CQ$5&lt;=$F91),IF(CQ$5=$E91+1,$C91,""),"")</f>
        <v/>
      </c>
      <c r="CR91" s="34">
        <f>IF(AND(CR$5&gt;$E91,CR$5&lt;=$F91),IF(CR$5=$E91+1,$C91,""),"")</f>
        <v/>
      </c>
      <c r="CS91" s="34">
        <f>IF(AND(CS$5&gt;$E91,CS$5&lt;=$F91),IF(CS$5=$E91+1,$C91,""),"")</f>
        <v/>
      </c>
      <c r="CT91" s="34">
        <f>IF(AND(CT$5&gt;$E91,CT$5&lt;=$F91),IF(CT$5=$E91+1,$C91,""),"")</f>
        <v/>
      </c>
      <c r="CU91" s="34">
        <f>IF(AND(CU$5&gt;$E91,CU$5&lt;=$F91),IF(CU$5=$E91+1,$C91,""),"")</f>
        <v/>
      </c>
      <c r="CV91" s="34">
        <f>IF(AND(CV$5&gt;$E91,CV$5&lt;=$F91),IF(CV$5=$E91+1,$C91,""),"")</f>
        <v/>
      </c>
      <c r="CW91" s="34">
        <f>IF(AND(CW$5&gt;$E91,CW$5&lt;=$F91),IF(CW$5=$E91+1,$C91,""),"")</f>
        <v/>
      </c>
      <c r="CX91" s="34">
        <f>IF(AND(CX$5&gt;$E91,CX$5&lt;=$F91),IF(CX$5=$E91+1,$C91,""),"")</f>
        <v/>
      </c>
      <c r="CY91" s="34">
        <f>IF(AND(CY$5&gt;$E91,CY$5&lt;=$F91),IF(CY$5=$E91+1,$C91,""),"")</f>
        <v/>
      </c>
      <c r="CZ91" s="34">
        <f>IF(AND(CZ$5&gt;$E91,CZ$5&lt;=$F91),IF(CZ$5=$E91+1,$C91,""),"")</f>
        <v/>
      </c>
      <c r="DA91" s="34">
        <f>IF(AND(DA$5&gt;$E91,DA$5&lt;=$F91),IF(DA$5=$E91+1,$C91,""),"")</f>
        <v/>
      </c>
      <c r="DB91" s="34">
        <f>IF(AND(DB$5&gt;$E91,DB$5&lt;=$F91),IF(DB$5=$E91+1,$C91,""),"")</f>
        <v/>
      </c>
      <c r="DC91" s="34">
        <f>IF(AND(DC$5&gt;$E91,DC$5&lt;=$F91),IF(DC$5=$E91+1,$C91,""),"")</f>
        <v/>
      </c>
      <c r="DD91" s="34">
        <f>IF(AND(DD$5&gt;$E91,DD$5&lt;=$F91),IF(DD$5=$E91+1,$C91,""),"")</f>
        <v/>
      </c>
      <c r="DE91" s="34">
        <f>IF(AND(DE$5&gt;$E91,DE$5&lt;=$F91),IF(DE$5=$E91+1,$C91,""),"")</f>
        <v/>
      </c>
      <c r="DF91" s="34">
        <f>IF(AND(DF$5&gt;$E91,DF$5&lt;=$F91),IF(DF$5=$E91+1,$C91,""),"")</f>
        <v/>
      </c>
      <c r="DG91" s="34">
        <f>IF(AND(DG$5&gt;$E91,DG$5&lt;=$F91),IF(DG$5=$E91+1,$C91,""),"")</f>
        <v/>
      </c>
      <c r="DH91" s="34">
        <f>IF(AND(DH$5&gt;$E91,DH$5&lt;=$F91),IF(DH$5=$E91+1,$C91,""),"")</f>
        <v/>
      </c>
      <c r="DI91" s="34">
        <f>IF(AND(DI$5&gt;$E91,DI$5&lt;=$F91),IF(DI$5=$E91+1,$C91,""),"")</f>
        <v/>
      </c>
      <c r="DJ91" s="34">
        <f>IF(AND(DJ$5&gt;$E91,DJ$5&lt;=$F91),IF(DJ$5=$E91+1,$C91,""),"")</f>
        <v/>
      </c>
      <c r="DK91" s="34">
        <f>IF(AND(DK$5&gt;$E91,DK$5&lt;=$F91),IF(DK$5=$E91+1,$C91,""),"")</f>
        <v/>
      </c>
      <c r="DL91" s="34">
        <f>IF(AND(DL$5&gt;$E91,DL$5&lt;=$F91),IF(DL$5=$E91+1,$C91,""),"")</f>
        <v/>
      </c>
      <c r="DM91" s="34">
        <f>IF(AND(DM$5&gt;$E91,DM$5&lt;=$F91),IF(DM$5=$E91+1,$C91,""),"")</f>
        <v/>
      </c>
      <c r="DN91" s="34">
        <f>IF(AND(DN$5&gt;$E91,DN$5&lt;=$F91),IF(DN$5=$E91+1,$C91,""),"")</f>
        <v/>
      </c>
      <c r="DO91" s="34">
        <f>IF(AND(DO$5&gt;$E91,DO$5&lt;=$F91),IF(DO$5=$E91+1,$C91,""),"")</f>
        <v/>
      </c>
      <c r="DP91" s="34">
        <f>IF(AND(DP$5&gt;$E91,DP$5&lt;=$F91),IF(DP$5=$E91+1,$C91,""),"")</f>
        <v/>
      </c>
      <c r="DQ91" s="34">
        <f>IF(AND(DQ$5&gt;$E91,DQ$5&lt;=$F91),IF(DQ$5=$E91+1,$C91,""),"")</f>
        <v/>
      </c>
      <c r="DR91" s="34">
        <f>IF(AND(DR$5&gt;$E91,DR$5&lt;=$F91),IF(DR$5=$E91+1,$C91,""),"")</f>
        <v/>
      </c>
      <c r="DS91" s="34">
        <f>IF(AND(DS$5&gt;$E91,DS$5&lt;=$F91),IF(DS$5=$E91+1,$C91,""),"")</f>
        <v/>
      </c>
      <c r="DT91" s="34">
        <f>IF(AND(DT$5&gt;$E91,DT$5&lt;=$F91),IF(DT$5=$E91+1,$C91,""),"")</f>
        <v/>
      </c>
      <c r="DU91" s="34">
        <f>IF(AND(DU$5&gt;$E91,DU$5&lt;=$F91),IF(DU$5=$E91+1,$C91,""),"")</f>
        <v/>
      </c>
      <c r="DV91" s="34">
        <f>IF(AND(DV$5&gt;$E91,DV$5&lt;=$F91),IF(DV$5=$E91+1,$C91,""),"")</f>
        <v/>
      </c>
      <c r="DW91" s="34">
        <f>IF(AND(DW$5&gt;$E91,DW$5&lt;=$F91),IF(DW$5=$E91+1,$C91,""),"")</f>
        <v/>
      </c>
      <c r="DX91" s="34">
        <f>IF(AND(DX$5&gt;$E91,DX$5&lt;=$F91),IF(DX$5=$E91+1,$C91,""),"")</f>
        <v/>
      </c>
      <c r="DY91" s="34">
        <f>IF(AND(DY$5&gt;$E91,DY$5&lt;=$F91),IF(DY$5=$E91+1,$C91,""),"")</f>
        <v/>
      </c>
      <c r="DZ91" s="34">
        <f>IF(AND(DZ$5&gt;$E91,DZ$5&lt;=$F91),IF(DZ$5=$E91+1,$C91,""),"")</f>
        <v/>
      </c>
      <c r="EA91" s="34">
        <f>IF(AND(EA$5&gt;$E91,EA$5&lt;=$F91),IF(EA$5=$E91+1,$C91,""),"")</f>
        <v/>
      </c>
      <c r="EB91" s="34">
        <f>IF(AND(EB$5&gt;$E91,EB$5&lt;=$F91),IF(EB$5=$E91+1,$C91,""),"")</f>
        <v/>
      </c>
      <c r="EC91" s="34">
        <f>IF(AND(EC$5&gt;$E91,EC$5&lt;=$F91),IF(EC$5=$E91+1,$C91,""),"")</f>
        <v/>
      </c>
      <c r="ED91" s="34">
        <f>IF(AND(ED$5&gt;$E91,ED$5&lt;=$F91),IF(ED$5=$E91+1,$C91,""),"")</f>
        <v/>
      </c>
      <c r="EE91" s="34">
        <f>IF(AND(EE$5&gt;$E91,EE$5&lt;=$F91),IF(EE$5=$E91+1,$C91,""),"")</f>
        <v/>
      </c>
      <c r="EF91" s="34">
        <f>IF(AND(EF$5&gt;$E91,EF$5&lt;=$F91),IF(EF$5=$E91+1,$C91,""),"")</f>
        <v/>
      </c>
      <c r="EG91" s="34">
        <f>IF(AND(EG$5&gt;$E91,EG$5&lt;=$F91),IF(EG$5=$E91+1,$C91,""),"")</f>
        <v/>
      </c>
    </row>
    <row r="92">
      <c r="A92" s="32">
        <f>Plan!A62</f>
        <v/>
      </c>
      <c r="B92" s="33">
        <f>Plan!C62</f>
        <v/>
      </c>
      <c r="C92" s="16">
        <f>Plan!D62</f>
        <v/>
      </c>
      <c r="D92" s="16">
        <f>Plan!I62</f>
        <v/>
      </c>
      <c r="E92" s="16">
        <f>Plan!K62</f>
        <v/>
      </c>
      <c r="F92" s="16">
        <f>Plan!L62</f>
        <v/>
      </c>
      <c r="G92" s="16">
        <f>Plan!O62</f>
        <v/>
      </c>
      <c r="H92" s="34">
        <f>IF(AND(H$5&gt;$E92,H$5&lt;=$F92),IF(H$5=$E92+1,$C92,""),"")</f>
        <v/>
      </c>
      <c r="I92" s="34">
        <f>IF(AND(I$5&gt;$E92,I$5&lt;=$F92),IF(I$5=$E92+1,$C92,""),"")</f>
        <v/>
      </c>
      <c r="J92" s="34">
        <f>IF(AND(J$5&gt;$E92,J$5&lt;=$F92),IF(J$5=$E92+1,$C92,""),"")</f>
        <v/>
      </c>
      <c r="K92" s="34">
        <f>IF(AND(K$5&gt;$E92,K$5&lt;=$F92),IF(K$5=$E92+1,$C92,""),"")</f>
        <v/>
      </c>
      <c r="L92" s="34">
        <f>IF(AND(L$5&gt;$E92,L$5&lt;=$F92),IF(L$5=$E92+1,$C92,""),"")</f>
        <v/>
      </c>
      <c r="M92" s="34">
        <f>IF(AND(M$5&gt;$E92,M$5&lt;=$F92),IF(M$5=$E92+1,$C92,""),"")</f>
        <v/>
      </c>
      <c r="N92" s="34">
        <f>IF(AND(N$5&gt;$E92,N$5&lt;=$F92),IF(N$5=$E92+1,$C92,""),"")</f>
        <v/>
      </c>
      <c r="O92" s="34">
        <f>IF(AND(O$5&gt;$E92,O$5&lt;=$F92),IF(O$5=$E92+1,$C92,""),"")</f>
        <v/>
      </c>
      <c r="P92" s="34">
        <f>IF(AND(P$5&gt;$E92,P$5&lt;=$F92),IF(P$5=$E92+1,$C92,""),"")</f>
        <v/>
      </c>
      <c r="Q92" s="34">
        <f>IF(AND(Q$5&gt;$E92,Q$5&lt;=$F92),IF(Q$5=$E92+1,$C92,""),"")</f>
        <v/>
      </c>
      <c r="R92" s="34">
        <f>IF(AND(R$5&gt;$E92,R$5&lt;=$F92),IF(R$5=$E92+1,$C92,""),"")</f>
        <v/>
      </c>
      <c r="S92" s="34">
        <f>IF(AND(S$5&gt;$E92,S$5&lt;=$F92),IF(S$5=$E92+1,$C92,""),"")</f>
        <v/>
      </c>
      <c r="T92" s="34">
        <f>IF(AND(T$5&gt;$E92,T$5&lt;=$F92),IF(T$5=$E92+1,$C92,""),"")</f>
        <v/>
      </c>
      <c r="U92" s="34">
        <f>IF(AND(U$5&gt;$E92,U$5&lt;=$F92),IF(U$5=$E92+1,$C92,""),"")</f>
        <v/>
      </c>
      <c r="V92" s="34">
        <f>IF(AND(V$5&gt;$E92,V$5&lt;=$F92),IF(V$5=$E92+1,$C92,""),"")</f>
        <v/>
      </c>
      <c r="W92" s="34">
        <f>IF(AND(W$5&gt;$E92,W$5&lt;=$F92),IF(W$5=$E92+1,$C92,""),"")</f>
        <v/>
      </c>
      <c r="X92" s="34">
        <f>IF(AND(X$5&gt;$E92,X$5&lt;=$F92),IF(X$5=$E92+1,$C92,""),"")</f>
        <v/>
      </c>
      <c r="Y92" s="34">
        <f>IF(AND(Y$5&gt;$E92,Y$5&lt;=$F92),IF(Y$5=$E92+1,$C92,""),"")</f>
        <v/>
      </c>
      <c r="Z92" s="34">
        <f>IF(AND(Z$5&gt;$E92,Z$5&lt;=$F92),IF(Z$5=$E92+1,$C92,""),"")</f>
        <v/>
      </c>
      <c r="AA92" s="34">
        <f>IF(AND(AA$5&gt;$E92,AA$5&lt;=$F92),IF(AA$5=$E92+1,$C92,""),"")</f>
        <v/>
      </c>
      <c r="AB92" s="34">
        <f>IF(AND(AB$5&gt;$E92,AB$5&lt;=$F92),IF(AB$5=$E92+1,$C92,""),"")</f>
        <v/>
      </c>
      <c r="AC92" s="34">
        <f>IF(AND(AC$5&gt;$E92,AC$5&lt;=$F92),IF(AC$5=$E92+1,$C92,""),"")</f>
        <v/>
      </c>
      <c r="AD92" s="34">
        <f>IF(AND(AD$5&gt;$E92,AD$5&lt;=$F92),IF(AD$5=$E92+1,$C92,""),"")</f>
        <v/>
      </c>
      <c r="AE92" s="34">
        <f>IF(AND(AE$5&gt;$E92,AE$5&lt;=$F92),IF(AE$5=$E92+1,$C92,""),"")</f>
        <v/>
      </c>
      <c r="AF92" s="34">
        <f>IF(AND(AF$5&gt;$E92,AF$5&lt;=$F92),IF(AF$5=$E92+1,$C92,""),"")</f>
        <v/>
      </c>
      <c r="AG92" s="34">
        <f>IF(AND(AG$5&gt;$E92,AG$5&lt;=$F92),IF(AG$5=$E92+1,$C92,""),"")</f>
        <v/>
      </c>
      <c r="AH92" s="34">
        <f>IF(AND(AH$5&gt;$E92,AH$5&lt;=$F92),IF(AH$5=$E92+1,$C92,""),"")</f>
        <v/>
      </c>
      <c r="AI92" s="34">
        <f>IF(AND(AI$5&gt;$E92,AI$5&lt;=$F92),IF(AI$5=$E92+1,$C92,""),"")</f>
        <v/>
      </c>
      <c r="AJ92" s="34">
        <f>IF(AND(AJ$5&gt;$E92,AJ$5&lt;=$F92),IF(AJ$5=$E92+1,$C92,""),"")</f>
        <v/>
      </c>
      <c r="AK92" s="34">
        <f>IF(AND(AK$5&gt;$E92,AK$5&lt;=$F92),IF(AK$5=$E92+1,$C92,""),"")</f>
        <v/>
      </c>
      <c r="AL92" s="34">
        <f>IF(AND(AL$5&gt;$E92,AL$5&lt;=$F92),IF(AL$5=$E92+1,$C92,""),"")</f>
        <v/>
      </c>
      <c r="AM92" s="34">
        <f>IF(AND(AM$5&gt;$E92,AM$5&lt;=$F92),IF(AM$5=$E92+1,$C92,""),"")</f>
        <v/>
      </c>
      <c r="AN92" s="34">
        <f>IF(AND(AN$5&gt;$E92,AN$5&lt;=$F92),IF(AN$5=$E92+1,$C92,""),"")</f>
        <v/>
      </c>
      <c r="AO92" s="34">
        <f>IF(AND(AO$5&gt;$E92,AO$5&lt;=$F92),IF(AO$5=$E92+1,$C92,""),"")</f>
        <v/>
      </c>
      <c r="AP92" s="34">
        <f>IF(AND(AP$5&gt;$E92,AP$5&lt;=$F92),IF(AP$5=$E92+1,$C92,""),"")</f>
        <v/>
      </c>
      <c r="AQ92" s="34">
        <f>IF(AND(AQ$5&gt;$E92,AQ$5&lt;=$F92),IF(AQ$5=$E92+1,$C92,""),"")</f>
        <v/>
      </c>
      <c r="AR92" s="34">
        <f>IF(AND(AR$5&gt;$E92,AR$5&lt;=$F92),IF(AR$5=$E92+1,$C92,""),"")</f>
        <v/>
      </c>
      <c r="AS92" s="34">
        <f>IF(AND(AS$5&gt;$E92,AS$5&lt;=$F92),IF(AS$5=$E92+1,$C92,""),"")</f>
        <v/>
      </c>
      <c r="AT92" s="34">
        <f>IF(AND(AT$5&gt;$E92,AT$5&lt;=$F92),IF(AT$5=$E92+1,$C92,""),"")</f>
        <v/>
      </c>
      <c r="AU92" s="34">
        <f>IF(AND(AU$5&gt;$E92,AU$5&lt;=$F92),IF(AU$5=$E92+1,$C92,""),"")</f>
        <v/>
      </c>
      <c r="AV92" s="34">
        <f>IF(AND(AV$5&gt;$E92,AV$5&lt;=$F92),IF(AV$5=$E92+1,$C92,""),"")</f>
        <v/>
      </c>
      <c r="AW92" s="34">
        <f>IF(AND(AW$5&gt;$E92,AW$5&lt;=$F92),IF(AW$5=$E92+1,$C92,""),"")</f>
        <v/>
      </c>
      <c r="AX92" s="34">
        <f>IF(AND(AX$5&gt;$E92,AX$5&lt;=$F92),IF(AX$5=$E92+1,$C92,""),"")</f>
        <v/>
      </c>
      <c r="AY92" s="34">
        <f>IF(AND(AY$5&gt;$E92,AY$5&lt;=$F92),IF(AY$5=$E92+1,$C92,""),"")</f>
        <v/>
      </c>
      <c r="AZ92" s="34">
        <f>IF(AND(AZ$5&gt;$E92,AZ$5&lt;=$F92),IF(AZ$5=$E92+1,$C92,""),"")</f>
        <v/>
      </c>
      <c r="BA92" s="34">
        <f>IF(AND(BA$5&gt;$E92,BA$5&lt;=$F92),IF(BA$5=$E92+1,$C92,""),"")</f>
        <v/>
      </c>
      <c r="BB92" s="34">
        <f>IF(AND(BB$5&gt;$E92,BB$5&lt;=$F92),IF(BB$5=$E92+1,$C92,""),"")</f>
        <v/>
      </c>
      <c r="BC92" s="34">
        <f>IF(AND(BC$5&gt;$E92,BC$5&lt;=$F92),IF(BC$5=$E92+1,$C92,""),"")</f>
        <v/>
      </c>
      <c r="BD92" s="34">
        <f>IF(AND(BD$5&gt;$E92,BD$5&lt;=$F92),IF(BD$5=$E92+1,$C92,""),"")</f>
        <v/>
      </c>
      <c r="BE92" s="34">
        <f>IF(AND(BE$5&gt;$E92,BE$5&lt;=$F92),IF(BE$5=$E92+1,$C92,""),"")</f>
        <v/>
      </c>
      <c r="BF92" s="34">
        <f>IF(AND(BF$5&gt;$E92,BF$5&lt;=$F92),IF(BF$5=$E92+1,$C92,""),"")</f>
        <v/>
      </c>
      <c r="BG92" s="34">
        <f>IF(AND(BG$5&gt;$E92,BG$5&lt;=$F92),IF(BG$5=$E92+1,$C92,""),"")</f>
        <v/>
      </c>
      <c r="BH92" s="34">
        <f>IF(AND(BH$5&gt;$E92,BH$5&lt;=$F92),IF(BH$5=$E92+1,$C92,""),"")</f>
        <v/>
      </c>
      <c r="BI92" s="34">
        <f>IF(AND(BI$5&gt;$E92,BI$5&lt;=$F92),IF(BI$5=$E92+1,$C92,""),"")</f>
        <v/>
      </c>
      <c r="BJ92" s="34">
        <f>IF(AND(BJ$5&gt;$E92,BJ$5&lt;=$F92),IF(BJ$5=$E92+1,$C92,""),"")</f>
        <v/>
      </c>
      <c r="BK92" s="34">
        <f>IF(AND(BK$5&gt;$E92,BK$5&lt;=$F92),IF(BK$5=$E92+1,$C92,""),"")</f>
        <v/>
      </c>
      <c r="BL92" s="34">
        <f>IF(AND(BL$5&gt;$E92,BL$5&lt;=$F92),IF(BL$5=$E92+1,$C92,""),"")</f>
        <v/>
      </c>
      <c r="BM92" s="34">
        <f>IF(AND(BM$5&gt;$E92,BM$5&lt;=$F92),IF(BM$5=$E92+1,$C92,""),"")</f>
        <v/>
      </c>
      <c r="BN92" s="34">
        <f>IF(AND(BN$5&gt;$E92,BN$5&lt;=$F92),IF(BN$5=$E92+1,$C92,""),"")</f>
        <v/>
      </c>
      <c r="BO92" s="34">
        <f>IF(AND(BO$5&gt;$E92,BO$5&lt;=$F92),IF(BO$5=$E92+1,$C92,""),"")</f>
        <v/>
      </c>
      <c r="BP92" s="34">
        <f>IF(AND(BP$5&gt;$E92,BP$5&lt;=$F92),IF(BP$5=$E92+1,$C92,""),"")</f>
        <v/>
      </c>
      <c r="BQ92" s="34">
        <f>IF(AND(BQ$5&gt;$E92,BQ$5&lt;=$F92),IF(BQ$5=$E92+1,$C92,""),"")</f>
        <v/>
      </c>
      <c r="BR92" s="34">
        <f>IF(AND(BR$5&gt;$E92,BR$5&lt;=$F92),IF(BR$5=$E92+1,$C92,""),"")</f>
        <v/>
      </c>
      <c r="BS92" s="34">
        <f>IF(AND(BS$5&gt;$E92,BS$5&lt;=$F92),IF(BS$5=$E92+1,$C92,""),"")</f>
        <v/>
      </c>
      <c r="BT92" s="34">
        <f>IF(AND(BT$5&gt;$E92,BT$5&lt;=$F92),IF(BT$5=$E92+1,$C92,""),"")</f>
        <v/>
      </c>
      <c r="BU92" s="34">
        <f>IF(AND(BU$5&gt;$E92,BU$5&lt;=$F92),IF(BU$5=$E92+1,$C92,""),"")</f>
        <v/>
      </c>
      <c r="BV92" s="34">
        <f>IF(AND(BV$5&gt;$E92,BV$5&lt;=$F92),IF(BV$5=$E92+1,$C92,""),"")</f>
        <v/>
      </c>
      <c r="BW92" s="34">
        <f>IF(AND(BW$5&gt;$E92,BW$5&lt;=$F92),IF(BW$5=$E92+1,$C92,""),"")</f>
        <v/>
      </c>
      <c r="BX92" s="34">
        <f>IF(AND(BX$5&gt;$E92,BX$5&lt;=$F92),IF(BX$5=$E92+1,$C92,""),"")</f>
        <v/>
      </c>
      <c r="BY92" s="34">
        <f>IF(AND(BY$5&gt;$E92,BY$5&lt;=$F92),IF(BY$5=$E92+1,$C92,""),"")</f>
        <v/>
      </c>
      <c r="BZ92" s="34">
        <f>IF(AND(BZ$5&gt;$E92,BZ$5&lt;=$F92),IF(BZ$5=$E92+1,$C92,""),"")</f>
        <v/>
      </c>
      <c r="CA92" s="34">
        <f>IF(AND(CA$5&gt;$E92,CA$5&lt;=$F92),IF(CA$5=$E92+1,$C92,""),"")</f>
        <v/>
      </c>
      <c r="CB92" s="34">
        <f>IF(AND(CB$5&gt;$E92,CB$5&lt;=$F92),IF(CB$5=$E92+1,$C92,""),"")</f>
        <v/>
      </c>
      <c r="CC92" s="34">
        <f>IF(AND(CC$5&gt;$E92,CC$5&lt;=$F92),IF(CC$5=$E92+1,$C92,""),"")</f>
        <v/>
      </c>
      <c r="CD92" s="34">
        <f>IF(AND(CD$5&gt;$E92,CD$5&lt;=$F92),IF(CD$5=$E92+1,$C92,""),"")</f>
        <v/>
      </c>
      <c r="CE92" s="34">
        <f>IF(AND(CE$5&gt;$E92,CE$5&lt;=$F92),IF(CE$5=$E92+1,$C92,""),"")</f>
        <v/>
      </c>
      <c r="CF92" s="34">
        <f>IF(AND(CF$5&gt;$E92,CF$5&lt;=$F92),IF(CF$5=$E92+1,$C92,""),"")</f>
        <v/>
      </c>
      <c r="CG92" s="34">
        <f>IF(AND(CG$5&gt;$E92,CG$5&lt;=$F92),IF(CG$5=$E92+1,$C92,""),"")</f>
        <v/>
      </c>
      <c r="CH92" s="34">
        <f>IF(AND(CH$5&gt;$E92,CH$5&lt;=$F92),IF(CH$5=$E92+1,$C92,""),"")</f>
        <v/>
      </c>
      <c r="CI92" s="34">
        <f>IF(AND(CI$5&gt;$E92,CI$5&lt;=$F92),IF(CI$5=$E92+1,$C92,""),"")</f>
        <v/>
      </c>
      <c r="CJ92" s="34">
        <f>IF(AND(CJ$5&gt;$E92,CJ$5&lt;=$F92),IF(CJ$5=$E92+1,$C92,""),"")</f>
        <v/>
      </c>
      <c r="CK92" s="34">
        <f>IF(AND(CK$5&gt;$E92,CK$5&lt;=$F92),IF(CK$5=$E92+1,$C92,""),"")</f>
        <v/>
      </c>
      <c r="CL92" s="34">
        <f>IF(AND(CL$5&gt;$E92,CL$5&lt;=$F92),IF(CL$5=$E92+1,$C92,""),"")</f>
        <v/>
      </c>
      <c r="CM92" s="34">
        <f>IF(AND(CM$5&gt;$E92,CM$5&lt;=$F92),IF(CM$5=$E92+1,$C92,""),"")</f>
        <v/>
      </c>
      <c r="CN92" s="34">
        <f>IF(AND(CN$5&gt;$E92,CN$5&lt;=$F92),IF(CN$5=$E92+1,$C92,""),"")</f>
        <v/>
      </c>
      <c r="CO92" s="34">
        <f>IF(AND(CO$5&gt;$E92,CO$5&lt;=$F92),IF(CO$5=$E92+1,$C92,""),"")</f>
        <v/>
      </c>
      <c r="CP92" s="34">
        <f>IF(AND(CP$5&gt;$E92,CP$5&lt;=$F92),IF(CP$5=$E92+1,$C92,""),"")</f>
        <v/>
      </c>
      <c r="CQ92" s="34">
        <f>IF(AND(CQ$5&gt;$E92,CQ$5&lt;=$F92),IF(CQ$5=$E92+1,$C92,""),"")</f>
        <v/>
      </c>
      <c r="CR92" s="34">
        <f>IF(AND(CR$5&gt;$E92,CR$5&lt;=$F92),IF(CR$5=$E92+1,$C92,""),"")</f>
        <v/>
      </c>
      <c r="CS92" s="34">
        <f>IF(AND(CS$5&gt;$E92,CS$5&lt;=$F92),IF(CS$5=$E92+1,$C92,""),"")</f>
        <v/>
      </c>
      <c r="CT92" s="34">
        <f>IF(AND(CT$5&gt;$E92,CT$5&lt;=$F92),IF(CT$5=$E92+1,$C92,""),"")</f>
        <v/>
      </c>
      <c r="CU92" s="34">
        <f>IF(AND(CU$5&gt;$E92,CU$5&lt;=$F92),IF(CU$5=$E92+1,$C92,""),"")</f>
        <v/>
      </c>
      <c r="CV92" s="34">
        <f>IF(AND(CV$5&gt;$E92,CV$5&lt;=$F92),IF(CV$5=$E92+1,$C92,""),"")</f>
        <v/>
      </c>
      <c r="CW92" s="34">
        <f>IF(AND(CW$5&gt;$E92,CW$5&lt;=$F92),IF(CW$5=$E92+1,$C92,""),"")</f>
        <v/>
      </c>
      <c r="CX92" s="34">
        <f>IF(AND(CX$5&gt;$E92,CX$5&lt;=$F92),IF(CX$5=$E92+1,$C92,""),"")</f>
        <v/>
      </c>
      <c r="CY92" s="34">
        <f>IF(AND(CY$5&gt;$E92,CY$5&lt;=$F92),IF(CY$5=$E92+1,$C92,""),"")</f>
        <v/>
      </c>
      <c r="CZ92" s="34">
        <f>IF(AND(CZ$5&gt;$E92,CZ$5&lt;=$F92),IF(CZ$5=$E92+1,$C92,""),"")</f>
        <v/>
      </c>
      <c r="DA92" s="34">
        <f>IF(AND(DA$5&gt;$E92,DA$5&lt;=$F92),IF(DA$5=$E92+1,$C92,""),"")</f>
        <v/>
      </c>
      <c r="DB92" s="34">
        <f>IF(AND(DB$5&gt;$E92,DB$5&lt;=$F92),IF(DB$5=$E92+1,$C92,""),"")</f>
        <v/>
      </c>
      <c r="DC92" s="34">
        <f>IF(AND(DC$5&gt;$E92,DC$5&lt;=$F92),IF(DC$5=$E92+1,$C92,""),"")</f>
        <v/>
      </c>
      <c r="DD92" s="34">
        <f>IF(AND(DD$5&gt;$E92,DD$5&lt;=$F92),IF(DD$5=$E92+1,$C92,""),"")</f>
        <v/>
      </c>
      <c r="DE92" s="34">
        <f>IF(AND(DE$5&gt;$E92,DE$5&lt;=$F92),IF(DE$5=$E92+1,$C92,""),"")</f>
        <v/>
      </c>
      <c r="DF92" s="34">
        <f>IF(AND(DF$5&gt;$E92,DF$5&lt;=$F92),IF(DF$5=$E92+1,$C92,""),"")</f>
        <v/>
      </c>
      <c r="DG92" s="34">
        <f>IF(AND(DG$5&gt;$E92,DG$5&lt;=$F92),IF(DG$5=$E92+1,$C92,""),"")</f>
        <v/>
      </c>
      <c r="DH92" s="34">
        <f>IF(AND(DH$5&gt;$E92,DH$5&lt;=$F92),IF(DH$5=$E92+1,$C92,""),"")</f>
        <v/>
      </c>
      <c r="DI92" s="34">
        <f>IF(AND(DI$5&gt;$E92,DI$5&lt;=$F92),IF(DI$5=$E92+1,$C92,""),"")</f>
        <v/>
      </c>
      <c r="DJ92" s="34">
        <f>IF(AND(DJ$5&gt;$E92,DJ$5&lt;=$F92),IF(DJ$5=$E92+1,$C92,""),"")</f>
        <v/>
      </c>
      <c r="DK92" s="34">
        <f>IF(AND(DK$5&gt;$E92,DK$5&lt;=$F92),IF(DK$5=$E92+1,$C92,""),"")</f>
        <v/>
      </c>
      <c r="DL92" s="34">
        <f>IF(AND(DL$5&gt;$E92,DL$5&lt;=$F92),IF(DL$5=$E92+1,$C92,""),"")</f>
        <v/>
      </c>
      <c r="DM92" s="34">
        <f>IF(AND(DM$5&gt;$E92,DM$5&lt;=$F92),IF(DM$5=$E92+1,$C92,""),"")</f>
        <v/>
      </c>
      <c r="DN92" s="34">
        <f>IF(AND(DN$5&gt;$E92,DN$5&lt;=$F92),IF(DN$5=$E92+1,$C92,""),"")</f>
        <v/>
      </c>
      <c r="DO92" s="34">
        <f>IF(AND(DO$5&gt;$E92,DO$5&lt;=$F92),IF(DO$5=$E92+1,$C92,""),"")</f>
        <v/>
      </c>
      <c r="DP92" s="34">
        <f>IF(AND(DP$5&gt;$E92,DP$5&lt;=$F92),IF(DP$5=$E92+1,$C92,""),"")</f>
        <v/>
      </c>
      <c r="DQ92" s="34">
        <f>IF(AND(DQ$5&gt;$E92,DQ$5&lt;=$F92),IF(DQ$5=$E92+1,$C92,""),"")</f>
        <v/>
      </c>
      <c r="DR92" s="34">
        <f>IF(AND(DR$5&gt;$E92,DR$5&lt;=$F92),IF(DR$5=$E92+1,$C92,""),"")</f>
        <v/>
      </c>
      <c r="DS92" s="34">
        <f>IF(AND(DS$5&gt;$E92,DS$5&lt;=$F92),IF(DS$5=$E92+1,$C92,""),"")</f>
        <v/>
      </c>
      <c r="DT92" s="34">
        <f>IF(AND(DT$5&gt;$E92,DT$5&lt;=$F92),IF(DT$5=$E92+1,$C92,""),"")</f>
        <v/>
      </c>
      <c r="DU92" s="34">
        <f>IF(AND(DU$5&gt;$E92,DU$5&lt;=$F92),IF(DU$5=$E92+1,$C92,""),"")</f>
        <v/>
      </c>
      <c r="DV92" s="34">
        <f>IF(AND(DV$5&gt;$E92,DV$5&lt;=$F92),IF(DV$5=$E92+1,$C92,""),"")</f>
        <v/>
      </c>
      <c r="DW92" s="34">
        <f>IF(AND(DW$5&gt;$E92,DW$5&lt;=$F92),IF(DW$5=$E92+1,$C92,""),"")</f>
        <v/>
      </c>
      <c r="DX92" s="34">
        <f>IF(AND(DX$5&gt;$E92,DX$5&lt;=$F92),IF(DX$5=$E92+1,$C92,""),"")</f>
        <v/>
      </c>
      <c r="DY92" s="34">
        <f>IF(AND(DY$5&gt;$E92,DY$5&lt;=$F92),IF(DY$5=$E92+1,$C92,""),"")</f>
        <v/>
      </c>
      <c r="DZ92" s="34">
        <f>IF(AND(DZ$5&gt;$E92,DZ$5&lt;=$F92),IF(DZ$5=$E92+1,$C92,""),"")</f>
        <v/>
      </c>
      <c r="EA92" s="34">
        <f>IF(AND(EA$5&gt;$E92,EA$5&lt;=$F92),IF(EA$5=$E92+1,$C92,""),"")</f>
        <v/>
      </c>
      <c r="EB92" s="34">
        <f>IF(AND(EB$5&gt;$E92,EB$5&lt;=$F92),IF(EB$5=$E92+1,$C92,""),"")</f>
        <v/>
      </c>
      <c r="EC92" s="34">
        <f>IF(AND(EC$5&gt;$E92,EC$5&lt;=$F92),IF(EC$5=$E92+1,$C92,""),"")</f>
        <v/>
      </c>
      <c r="ED92" s="34">
        <f>IF(AND(ED$5&gt;$E92,ED$5&lt;=$F92),IF(ED$5=$E92+1,$C92,""),"")</f>
        <v/>
      </c>
      <c r="EE92" s="34">
        <f>IF(AND(EE$5&gt;$E92,EE$5&lt;=$F92),IF(EE$5=$E92+1,$C92,""),"")</f>
        <v/>
      </c>
      <c r="EF92" s="34">
        <f>IF(AND(EF$5&gt;$E92,EF$5&lt;=$F92),IF(EF$5=$E92+1,$C92,""),"")</f>
        <v/>
      </c>
      <c r="EG92" s="34">
        <f>IF(AND(EG$5&gt;$E92,EG$5&lt;=$F92),IF(EG$5=$E92+1,$C92,""),"")</f>
        <v/>
      </c>
    </row>
    <row r="93">
      <c r="A93" s="32">
        <f>Plan!A63</f>
        <v/>
      </c>
      <c r="B93" s="33">
        <f>Plan!C63</f>
        <v/>
      </c>
      <c r="C93" s="16">
        <f>Plan!D63</f>
        <v/>
      </c>
      <c r="D93" s="16">
        <f>Plan!I63</f>
        <v/>
      </c>
      <c r="E93" s="16">
        <f>Plan!K63</f>
        <v/>
      </c>
      <c r="F93" s="16">
        <f>Plan!L63</f>
        <v/>
      </c>
      <c r="G93" s="16">
        <f>Plan!O63</f>
        <v/>
      </c>
      <c r="H93" s="34">
        <f>IF(AND(H$5&gt;$E93,H$5&lt;=$F93),IF(H$5=$E93+1,$C93,""),"")</f>
        <v/>
      </c>
      <c r="I93" s="34">
        <f>IF(AND(I$5&gt;$E93,I$5&lt;=$F93),IF(I$5=$E93+1,$C93,""),"")</f>
        <v/>
      </c>
      <c r="J93" s="34">
        <f>IF(AND(J$5&gt;$E93,J$5&lt;=$F93),IF(J$5=$E93+1,$C93,""),"")</f>
        <v/>
      </c>
      <c r="K93" s="34">
        <f>IF(AND(K$5&gt;$E93,K$5&lt;=$F93),IF(K$5=$E93+1,$C93,""),"")</f>
        <v/>
      </c>
      <c r="L93" s="34">
        <f>IF(AND(L$5&gt;$E93,L$5&lt;=$F93),IF(L$5=$E93+1,$C93,""),"")</f>
        <v/>
      </c>
      <c r="M93" s="34">
        <f>IF(AND(M$5&gt;$E93,M$5&lt;=$F93),IF(M$5=$E93+1,$C93,""),"")</f>
        <v/>
      </c>
      <c r="N93" s="34">
        <f>IF(AND(N$5&gt;$E93,N$5&lt;=$F93),IF(N$5=$E93+1,$C93,""),"")</f>
        <v/>
      </c>
      <c r="O93" s="34">
        <f>IF(AND(O$5&gt;$E93,O$5&lt;=$F93),IF(O$5=$E93+1,$C93,""),"")</f>
        <v/>
      </c>
      <c r="P93" s="34">
        <f>IF(AND(P$5&gt;$E93,P$5&lt;=$F93),IF(P$5=$E93+1,$C93,""),"")</f>
        <v/>
      </c>
      <c r="Q93" s="34">
        <f>IF(AND(Q$5&gt;$E93,Q$5&lt;=$F93),IF(Q$5=$E93+1,$C93,""),"")</f>
        <v/>
      </c>
      <c r="R93" s="34">
        <f>IF(AND(R$5&gt;$E93,R$5&lt;=$F93),IF(R$5=$E93+1,$C93,""),"")</f>
        <v/>
      </c>
      <c r="S93" s="34">
        <f>IF(AND(S$5&gt;$E93,S$5&lt;=$F93),IF(S$5=$E93+1,$C93,""),"")</f>
        <v/>
      </c>
      <c r="T93" s="34">
        <f>IF(AND(T$5&gt;$E93,T$5&lt;=$F93),IF(T$5=$E93+1,$C93,""),"")</f>
        <v/>
      </c>
      <c r="U93" s="34">
        <f>IF(AND(U$5&gt;$E93,U$5&lt;=$F93),IF(U$5=$E93+1,$C93,""),"")</f>
        <v/>
      </c>
      <c r="V93" s="34">
        <f>IF(AND(V$5&gt;$E93,V$5&lt;=$F93),IF(V$5=$E93+1,$C93,""),"")</f>
        <v/>
      </c>
      <c r="W93" s="34">
        <f>IF(AND(W$5&gt;$E93,W$5&lt;=$F93),IF(W$5=$E93+1,$C93,""),"")</f>
        <v/>
      </c>
      <c r="X93" s="34">
        <f>IF(AND(X$5&gt;$E93,X$5&lt;=$F93),IF(X$5=$E93+1,$C93,""),"")</f>
        <v/>
      </c>
      <c r="Y93" s="34">
        <f>IF(AND(Y$5&gt;$E93,Y$5&lt;=$F93),IF(Y$5=$E93+1,$C93,""),"")</f>
        <v/>
      </c>
      <c r="Z93" s="34">
        <f>IF(AND(Z$5&gt;$E93,Z$5&lt;=$F93),IF(Z$5=$E93+1,$C93,""),"")</f>
        <v/>
      </c>
      <c r="AA93" s="34">
        <f>IF(AND(AA$5&gt;$E93,AA$5&lt;=$F93),IF(AA$5=$E93+1,$C93,""),"")</f>
        <v/>
      </c>
      <c r="AB93" s="34">
        <f>IF(AND(AB$5&gt;$E93,AB$5&lt;=$F93),IF(AB$5=$E93+1,$C93,""),"")</f>
        <v/>
      </c>
      <c r="AC93" s="34">
        <f>IF(AND(AC$5&gt;$E93,AC$5&lt;=$F93),IF(AC$5=$E93+1,$C93,""),"")</f>
        <v/>
      </c>
      <c r="AD93" s="34">
        <f>IF(AND(AD$5&gt;$E93,AD$5&lt;=$F93),IF(AD$5=$E93+1,$C93,""),"")</f>
        <v/>
      </c>
      <c r="AE93" s="34">
        <f>IF(AND(AE$5&gt;$E93,AE$5&lt;=$F93),IF(AE$5=$E93+1,$C93,""),"")</f>
        <v/>
      </c>
      <c r="AF93" s="34">
        <f>IF(AND(AF$5&gt;$E93,AF$5&lt;=$F93),IF(AF$5=$E93+1,$C93,""),"")</f>
        <v/>
      </c>
      <c r="AG93" s="34">
        <f>IF(AND(AG$5&gt;$E93,AG$5&lt;=$F93),IF(AG$5=$E93+1,$C93,""),"")</f>
        <v/>
      </c>
      <c r="AH93" s="34">
        <f>IF(AND(AH$5&gt;$E93,AH$5&lt;=$F93),IF(AH$5=$E93+1,$C93,""),"")</f>
        <v/>
      </c>
      <c r="AI93" s="34">
        <f>IF(AND(AI$5&gt;$E93,AI$5&lt;=$F93),IF(AI$5=$E93+1,$C93,""),"")</f>
        <v/>
      </c>
      <c r="AJ93" s="34">
        <f>IF(AND(AJ$5&gt;$E93,AJ$5&lt;=$F93),IF(AJ$5=$E93+1,$C93,""),"")</f>
        <v/>
      </c>
      <c r="AK93" s="34">
        <f>IF(AND(AK$5&gt;$E93,AK$5&lt;=$F93),IF(AK$5=$E93+1,$C93,""),"")</f>
        <v/>
      </c>
      <c r="AL93" s="34">
        <f>IF(AND(AL$5&gt;$E93,AL$5&lt;=$F93),IF(AL$5=$E93+1,$C93,""),"")</f>
        <v/>
      </c>
      <c r="AM93" s="34">
        <f>IF(AND(AM$5&gt;$E93,AM$5&lt;=$F93),IF(AM$5=$E93+1,$C93,""),"")</f>
        <v/>
      </c>
      <c r="AN93" s="34">
        <f>IF(AND(AN$5&gt;$E93,AN$5&lt;=$F93),IF(AN$5=$E93+1,$C93,""),"")</f>
        <v/>
      </c>
      <c r="AO93" s="34">
        <f>IF(AND(AO$5&gt;$E93,AO$5&lt;=$F93),IF(AO$5=$E93+1,$C93,""),"")</f>
        <v/>
      </c>
      <c r="AP93" s="34">
        <f>IF(AND(AP$5&gt;$E93,AP$5&lt;=$F93),IF(AP$5=$E93+1,$C93,""),"")</f>
        <v/>
      </c>
      <c r="AQ93" s="34">
        <f>IF(AND(AQ$5&gt;$E93,AQ$5&lt;=$F93),IF(AQ$5=$E93+1,$C93,""),"")</f>
        <v/>
      </c>
      <c r="AR93" s="34">
        <f>IF(AND(AR$5&gt;$E93,AR$5&lt;=$F93),IF(AR$5=$E93+1,$C93,""),"")</f>
        <v/>
      </c>
      <c r="AS93" s="34">
        <f>IF(AND(AS$5&gt;$E93,AS$5&lt;=$F93),IF(AS$5=$E93+1,$C93,""),"")</f>
        <v/>
      </c>
      <c r="AT93" s="34">
        <f>IF(AND(AT$5&gt;$E93,AT$5&lt;=$F93),IF(AT$5=$E93+1,$C93,""),"")</f>
        <v/>
      </c>
      <c r="AU93" s="34">
        <f>IF(AND(AU$5&gt;$E93,AU$5&lt;=$F93),IF(AU$5=$E93+1,$C93,""),"")</f>
        <v/>
      </c>
      <c r="AV93" s="34">
        <f>IF(AND(AV$5&gt;$E93,AV$5&lt;=$F93),IF(AV$5=$E93+1,$C93,""),"")</f>
        <v/>
      </c>
      <c r="AW93" s="34">
        <f>IF(AND(AW$5&gt;$E93,AW$5&lt;=$F93),IF(AW$5=$E93+1,$C93,""),"")</f>
        <v/>
      </c>
      <c r="AX93" s="34">
        <f>IF(AND(AX$5&gt;$E93,AX$5&lt;=$F93),IF(AX$5=$E93+1,$C93,""),"")</f>
        <v/>
      </c>
      <c r="AY93" s="34">
        <f>IF(AND(AY$5&gt;$E93,AY$5&lt;=$F93),IF(AY$5=$E93+1,$C93,""),"")</f>
        <v/>
      </c>
      <c r="AZ93" s="34">
        <f>IF(AND(AZ$5&gt;$E93,AZ$5&lt;=$F93),IF(AZ$5=$E93+1,$C93,""),"")</f>
        <v/>
      </c>
      <c r="BA93" s="34">
        <f>IF(AND(BA$5&gt;$E93,BA$5&lt;=$F93),IF(BA$5=$E93+1,$C93,""),"")</f>
        <v/>
      </c>
      <c r="BB93" s="34">
        <f>IF(AND(BB$5&gt;$E93,BB$5&lt;=$F93),IF(BB$5=$E93+1,$C93,""),"")</f>
        <v/>
      </c>
      <c r="BC93" s="34">
        <f>IF(AND(BC$5&gt;$E93,BC$5&lt;=$F93),IF(BC$5=$E93+1,$C93,""),"")</f>
        <v/>
      </c>
      <c r="BD93" s="34">
        <f>IF(AND(BD$5&gt;$E93,BD$5&lt;=$F93),IF(BD$5=$E93+1,$C93,""),"")</f>
        <v/>
      </c>
      <c r="BE93" s="34">
        <f>IF(AND(BE$5&gt;$E93,BE$5&lt;=$F93),IF(BE$5=$E93+1,$C93,""),"")</f>
        <v/>
      </c>
      <c r="BF93" s="34">
        <f>IF(AND(BF$5&gt;$E93,BF$5&lt;=$F93),IF(BF$5=$E93+1,$C93,""),"")</f>
        <v/>
      </c>
      <c r="BG93" s="34">
        <f>IF(AND(BG$5&gt;$E93,BG$5&lt;=$F93),IF(BG$5=$E93+1,$C93,""),"")</f>
        <v/>
      </c>
      <c r="BH93" s="34">
        <f>IF(AND(BH$5&gt;$E93,BH$5&lt;=$F93),IF(BH$5=$E93+1,$C93,""),"")</f>
        <v/>
      </c>
      <c r="BI93" s="34">
        <f>IF(AND(BI$5&gt;$E93,BI$5&lt;=$F93),IF(BI$5=$E93+1,$C93,""),"")</f>
        <v/>
      </c>
      <c r="BJ93" s="34">
        <f>IF(AND(BJ$5&gt;$E93,BJ$5&lt;=$F93),IF(BJ$5=$E93+1,$C93,""),"")</f>
        <v/>
      </c>
      <c r="BK93" s="34">
        <f>IF(AND(BK$5&gt;$E93,BK$5&lt;=$F93),IF(BK$5=$E93+1,$C93,""),"")</f>
        <v/>
      </c>
      <c r="BL93" s="34">
        <f>IF(AND(BL$5&gt;$E93,BL$5&lt;=$F93),IF(BL$5=$E93+1,$C93,""),"")</f>
        <v/>
      </c>
      <c r="BM93" s="34">
        <f>IF(AND(BM$5&gt;$E93,BM$5&lt;=$F93),IF(BM$5=$E93+1,$C93,""),"")</f>
        <v/>
      </c>
      <c r="BN93" s="34">
        <f>IF(AND(BN$5&gt;$E93,BN$5&lt;=$F93),IF(BN$5=$E93+1,$C93,""),"")</f>
        <v/>
      </c>
      <c r="BO93" s="34">
        <f>IF(AND(BO$5&gt;$E93,BO$5&lt;=$F93),IF(BO$5=$E93+1,$C93,""),"")</f>
        <v/>
      </c>
      <c r="BP93" s="34">
        <f>IF(AND(BP$5&gt;$E93,BP$5&lt;=$F93),IF(BP$5=$E93+1,$C93,""),"")</f>
        <v/>
      </c>
      <c r="BQ93" s="34">
        <f>IF(AND(BQ$5&gt;$E93,BQ$5&lt;=$F93),IF(BQ$5=$E93+1,$C93,""),"")</f>
        <v/>
      </c>
      <c r="BR93" s="34">
        <f>IF(AND(BR$5&gt;$E93,BR$5&lt;=$F93),IF(BR$5=$E93+1,$C93,""),"")</f>
        <v/>
      </c>
      <c r="BS93" s="34">
        <f>IF(AND(BS$5&gt;$E93,BS$5&lt;=$F93),IF(BS$5=$E93+1,$C93,""),"")</f>
        <v/>
      </c>
      <c r="BT93" s="34">
        <f>IF(AND(BT$5&gt;$E93,BT$5&lt;=$F93),IF(BT$5=$E93+1,$C93,""),"")</f>
        <v/>
      </c>
      <c r="BU93" s="34">
        <f>IF(AND(BU$5&gt;$E93,BU$5&lt;=$F93),IF(BU$5=$E93+1,$C93,""),"")</f>
        <v/>
      </c>
      <c r="BV93" s="34">
        <f>IF(AND(BV$5&gt;$E93,BV$5&lt;=$F93),IF(BV$5=$E93+1,$C93,""),"")</f>
        <v/>
      </c>
      <c r="BW93" s="34">
        <f>IF(AND(BW$5&gt;$E93,BW$5&lt;=$F93),IF(BW$5=$E93+1,$C93,""),"")</f>
        <v/>
      </c>
      <c r="BX93" s="34">
        <f>IF(AND(BX$5&gt;$E93,BX$5&lt;=$F93),IF(BX$5=$E93+1,$C93,""),"")</f>
        <v/>
      </c>
      <c r="BY93" s="34">
        <f>IF(AND(BY$5&gt;$E93,BY$5&lt;=$F93),IF(BY$5=$E93+1,$C93,""),"")</f>
        <v/>
      </c>
      <c r="BZ93" s="34">
        <f>IF(AND(BZ$5&gt;$E93,BZ$5&lt;=$F93),IF(BZ$5=$E93+1,$C93,""),"")</f>
        <v/>
      </c>
      <c r="CA93" s="34">
        <f>IF(AND(CA$5&gt;$E93,CA$5&lt;=$F93),IF(CA$5=$E93+1,$C93,""),"")</f>
        <v/>
      </c>
      <c r="CB93" s="34">
        <f>IF(AND(CB$5&gt;$E93,CB$5&lt;=$F93),IF(CB$5=$E93+1,$C93,""),"")</f>
        <v/>
      </c>
      <c r="CC93" s="34">
        <f>IF(AND(CC$5&gt;$E93,CC$5&lt;=$F93),IF(CC$5=$E93+1,$C93,""),"")</f>
        <v/>
      </c>
      <c r="CD93" s="34">
        <f>IF(AND(CD$5&gt;$E93,CD$5&lt;=$F93),IF(CD$5=$E93+1,$C93,""),"")</f>
        <v/>
      </c>
      <c r="CE93" s="34">
        <f>IF(AND(CE$5&gt;$E93,CE$5&lt;=$F93),IF(CE$5=$E93+1,$C93,""),"")</f>
        <v/>
      </c>
      <c r="CF93" s="34">
        <f>IF(AND(CF$5&gt;$E93,CF$5&lt;=$F93),IF(CF$5=$E93+1,$C93,""),"")</f>
        <v/>
      </c>
      <c r="CG93" s="34">
        <f>IF(AND(CG$5&gt;$E93,CG$5&lt;=$F93),IF(CG$5=$E93+1,$C93,""),"")</f>
        <v/>
      </c>
      <c r="CH93" s="34">
        <f>IF(AND(CH$5&gt;$E93,CH$5&lt;=$F93),IF(CH$5=$E93+1,$C93,""),"")</f>
        <v/>
      </c>
      <c r="CI93" s="34">
        <f>IF(AND(CI$5&gt;$E93,CI$5&lt;=$F93),IF(CI$5=$E93+1,$C93,""),"")</f>
        <v/>
      </c>
      <c r="CJ93" s="34">
        <f>IF(AND(CJ$5&gt;$E93,CJ$5&lt;=$F93),IF(CJ$5=$E93+1,$C93,""),"")</f>
        <v/>
      </c>
      <c r="CK93" s="34">
        <f>IF(AND(CK$5&gt;$E93,CK$5&lt;=$F93),IF(CK$5=$E93+1,$C93,""),"")</f>
        <v/>
      </c>
      <c r="CL93" s="34">
        <f>IF(AND(CL$5&gt;$E93,CL$5&lt;=$F93),IF(CL$5=$E93+1,$C93,""),"")</f>
        <v/>
      </c>
      <c r="CM93" s="34">
        <f>IF(AND(CM$5&gt;$E93,CM$5&lt;=$F93),IF(CM$5=$E93+1,$C93,""),"")</f>
        <v/>
      </c>
      <c r="CN93" s="34">
        <f>IF(AND(CN$5&gt;$E93,CN$5&lt;=$F93),IF(CN$5=$E93+1,$C93,""),"")</f>
        <v/>
      </c>
      <c r="CO93" s="34">
        <f>IF(AND(CO$5&gt;$E93,CO$5&lt;=$F93),IF(CO$5=$E93+1,$C93,""),"")</f>
        <v/>
      </c>
      <c r="CP93" s="34">
        <f>IF(AND(CP$5&gt;$E93,CP$5&lt;=$F93),IF(CP$5=$E93+1,$C93,""),"")</f>
        <v/>
      </c>
      <c r="CQ93" s="34">
        <f>IF(AND(CQ$5&gt;$E93,CQ$5&lt;=$F93),IF(CQ$5=$E93+1,$C93,""),"")</f>
        <v/>
      </c>
      <c r="CR93" s="34">
        <f>IF(AND(CR$5&gt;$E93,CR$5&lt;=$F93),IF(CR$5=$E93+1,$C93,""),"")</f>
        <v/>
      </c>
      <c r="CS93" s="34">
        <f>IF(AND(CS$5&gt;$E93,CS$5&lt;=$F93),IF(CS$5=$E93+1,$C93,""),"")</f>
        <v/>
      </c>
      <c r="CT93" s="34">
        <f>IF(AND(CT$5&gt;$E93,CT$5&lt;=$F93),IF(CT$5=$E93+1,$C93,""),"")</f>
        <v/>
      </c>
      <c r="CU93" s="34">
        <f>IF(AND(CU$5&gt;$E93,CU$5&lt;=$F93),IF(CU$5=$E93+1,$C93,""),"")</f>
        <v/>
      </c>
      <c r="CV93" s="34">
        <f>IF(AND(CV$5&gt;$E93,CV$5&lt;=$F93),IF(CV$5=$E93+1,$C93,""),"")</f>
        <v/>
      </c>
      <c r="CW93" s="34">
        <f>IF(AND(CW$5&gt;$E93,CW$5&lt;=$F93),IF(CW$5=$E93+1,$C93,""),"")</f>
        <v/>
      </c>
      <c r="CX93" s="34">
        <f>IF(AND(CX$5&gt;$E93,CX$5&lt;=$F93),IF(CX$5=$E93+1,$C93,""),"")</f>
        <v/>
      </c>
      <c r="CY93" s="34">
        <f>IF(AND(CY$5&gt;$E93,CY$5&lt;=$F93),IF(CY$5=$E93+1,$C93,""),"")</f>
        <v/>
      </c>
      <c r="CZ93" s="34">
        <f>IF(AND(CZ$5&gt;$E93,CZ$5&lt;=$F93),IF(CZ$5=$E93+1,$C93,""),"")</f>
        <v/>
      </c>
      <c r="DA93" s="34">
        <f>IF(AND(DA$5&gt;$E93,DA$5&lt;=$F93),IF(DA$5=$E93+1,$C93,""),"")</f>
        <v/>
      </c>
      <c r="DB93" s="34">
        <f>IF(AND(DB$5&gt;$E93,DB$5&lt;=$F93),IF(DB$5=$E93+1,$C93,""),"")</f>
        <v/>
      </c>
      <c r="DC93" s="34">
        <f>IF(AND(DC$5&gt;$E93,DC$5&lt;=$F93),IF(DC$5=$E93+1,$C93,""),"")</f>
        <v/>
      </c>
      <c r="DD93" s="34">
        <f>IF(AND(DD$5&gt;$E93,DD$5&lt;=$F93),IF(DD$5=$E93+1,$C93,""),"")</f>
        <v/>
      </c>
      <c r="DE93" s="34">
        <f>IF(AND(DE$5&gt;$E93,DE$5&lt;=$F93),IF(DE$5=$E93+1,$C93,""),"")</f>
        <v/>
      </c>
      <c r="DF93" s="34">
        <f>IF(AND(DF$5&gt;$E93,DF$5&lt;=$F93),IF(DF$5=$E93+1,$C93,""),"")</f>
        <v/>
      </c>
      <c r="DG93" s="34">
        <f>IF(AND(DG$5&gt;$E93,DG$5&lt;=$F93),IF(DG$5=$E93+1,$C93,""),"")</f>
        <v/>
      </c>
      <c r="DH93" s="34">
        <f>IF(AND(DH$5&gt;$E93,DH$5&lt;=$F93),IF(DH$5=$E93+1,$C93,""),"")</f>
        <v/>
      </c>
      <c r="DI93" s="34">
        <f>IF(AND(DI$5&gt;$E93,DI$5&lt;=$F93),IF(DI$5=$E93+1,$C93,""),"")</f>
        <v/>
      </c>
      <c r="DJ93" s="34">
        <f>IF(AND(DJ$5&gt;$E93,DJ$5&lt;=$F93),IF(DJ$5=$E93+1,$C93,""),"")</f>
        <v/>
      </c>
      <c r="DK93" s="34">
        <f>IF(AND(DK$5&gt;$E93,DK$5&lt;=$F93),IF(DK$5=$E93+1,$C93,""),"")</f>
        <v/>
      </c>
      <c r="DL93" s="34">
        <f>IF(AND(DL$5&gt;$E93,DL$5&lt;=$F93),IF(DL$5=$E93+1,$C93,""),"")</f>
        <v/>
      </c>
      <c r="DM93" s="34">
        <f>IF(AND(DM$5&gt;$E93,DM$5&lt;=$F93),IF(DM$5=$E93+1,$C93,""),"")</f>
        <v/>
      </c>
      <c r="DN93" s="34">
        <f>IF(AND(DN$5&gt;$E93,DN$5&lt;=$F93),IF(DN$5=$E93+1,$C93,""),"")</f>
        <v/>
      </c>
      <c r="DO93" s="34">
        <f>IF(AND(DO$5&gt;$E93,DO$5&lt;=$F93),IF(DO$5=$E93+1,$C93,""),"")</f>
        <v/>
      </c>
      <c r="DP93" s="34">
        <f>IF(AND(DP$5&gt;$E93,DP$5&lt;=$F93),IF(DP$5=$E93+1,$C93,""),"")</f>
        <v/>
      </c>
      <c r="DQ93" s="34">
        <f>IF(AND(DQ$5&gt;$E93,DQ$5&lt;=$F93),IF(DQ$5=$E93+1,$C93,""),"")</f>
        <v/>
      </c>
      <c r="DR93" s="34">
        <f>IF(AND(DR$5&gt;$E93,DR$5&lt;=$F93),IF(DR$5=$E93+1,$C93,""),"")</f>
        <v/>
      </c>
      <c r="DS93" s="34">
        <f>IF(AND(DS$5&gt;$E93,DS$5&lt;=$F93),IF(DS$5=$E93+1,$C93,""),"")</f>
        <v/>
      </c>
      <c r="DT93" s="34">
        <f>IF(AND(DT$5&gt;$E93,DT$5&lt;=$F93),IF(DT$5=$E93+1,$C93,""),"")</f>
        <v/>
      </c>
      <c r="DU93" s="34">
        <f>IF(AND(DU$5&gt;$E93,DU$5&lt;=$F93),IF(DU$5=$E93+1,$C93,""),"")</f>
        <v/>
      </c>
      <c r="DV93" s="34">
        <f>IF(AND(DV$5&gt;$E93,DV$5&lt;=$F93),IF(DV$5=$E93+1,$C93,""),"")</f>
        <v/>
      </c>
      <c r="DW93" s="34">
        <f>IF(AND(DW$5&gt;$E93,DW$5&lt;=$F93),IF(DW$5=$E93+1,$C93,""),"")</f>
        <v/>
      </c>
      <c r="DX93" s="34">
        <f>IF(AND(DX$5&gt;$E93,DX$5&lt;=$F93),IF(DX$5=$E93+1,$C93,""),"")</f>
        <v/>
      </c>
      <c r="DY93" s="34">
        <f>IF(AND(DY$5&gt;$E93,DY$5&lt;=$F93),IF(DY$5=$E93+1,$C93,""),"")</f>
        <v/>
      </c>
      <c r="DZ93" s="34">
        <f>IF(AND(DZ$5&gt;$E93,DZ$5&lt;=$F93),IF(DZ$5=$E93+1,$C93,""),"")</f>
        <v/>
      </c>
      <c r="EA93" s="34">
        <f>IF(AND(EA$5&gt;$E93,EA$5&lt;=$F93),IF(EA$5=$E93+1,$C93,""),"")</f>
        <v/>
      </c>
      <c r="EB93" s="34">
        <f>IF(AND(EB$5&gt;$E93,EB$5&lt;=$F93),IF(EB$5=$E93+1,$C93,""),"")</f>
        <v/>
      </c>
      <c r="EC93" s="34">
        <f>IF(AND(EC$5&gt;$E93,EC$5&lt;=$F93),IF(EC$5=$E93+1,$C93,""),"")</f>
        <v/>
      </c>
      <c r="ED93" s="34">
        <f>IF(AND(ED$5&gt;$E93,ED$5&lt;=$F93),IF(ED$5=$E93+1,$C93,""),"")</f>
        <v/>
      </c>
      <c r="EE93" s="34">
        <f>IF(AND(EE$5&gt;$E93,EE$5&lt;=$F93),IF(EE$5=$E93+1,$C93,""),"")</f>
        <v/>
      </c>
      <c r="EF93" s="34">
        <f>IF(AND(EF$5&gt;$E93,EF$5&lt;=$F93),IF(EF$5=$E93+1,$C93,""),"")</f>
        <v/>
      </c>
      <c r="EG93" s="34">
        <f>IF(AND(EG$5&gt;$E93,EG$5&lt;=$F93),IF(EG$5=$E93+1,$C93,""),"")</f>
        <v/>
      </c>
    </row>
    <row r="94">
      <c r="A94" s="32">
        <f>Plan!A64</f>
        <v/>
      </c>
      <c r="B94" s="33">
        <f>Plan!C64</f>
        <v/>
      </c>
      <c r="C94" s="16">
        <f>Plan!D64</f>
        <v/>
      </c>
      <c r="D94" s="16">
        <f>Plan!I64</f>
        <v/>
      </c>
      <c r="E94" s="16">
        <f>Plan!K64</f>
        <v/>
      </c>
      <c r="F94" s="16">
        <f>Plan!L64</f>
        <v/>
      </c>
      <c r="G94" s="16">
        <f>Plan!O64</f>
        <v/>
      </c>
      <c r="H94" s="34">
        <f>IF(AND(H$5&gt;$E94,H$5&lt;=$F94),IF(H$5=$E94+1,$C94,""),"")</f>
        <v/>
      </c>
      <c r="I94" s="34">
        <f>IF(AND(I$5&gt;$E94,I$5&lt;=$F94),IF(I$5=$E94+1,$C94,""),"")</f>
        <v/>
      </c>
      <c r="J94" s="34">
        <f>IF(AND(J$5&gt;$E94,J$5&lt;=$F94),IF(J$5=$E94+1,$C94,""),"")</f>
        <v/>
      </c>
      <c r="K94" s="34">
        <f>IF(AND(K$5&gt;$E94,K$5&lt;=$F94),IF(K$5=$E94+1,$C94,""),"")</f>
        <v/>
      </c>
      <c r="L94" s="34">
        <f>IF(AND(L$5&gt;$E94,L$5&lt;=$F94),IF(L$5=$E94+1,$C94,""),"")</f>
        <v/>
      </c>
      <c r="M94" s="34">
        <f>IF(AND(M$5&gt;$E94,M$5&lt;=$F94),IF(M$5=$E94+1,$C94,""),"")</f>
        <v/>
      </c>
      <c r="N94" s="34">
        <f>IF(AND(N$5&gt;$E94,N$5&lt;=$F94),IF(N$5=$E94+1,$C94,""),"")</f>
        <v/>
      </c>
      <c r="O94" s="34">
        <f>IF(AND(O$5&gt;$E94,O$5&lt;=$F94),IF(O$5=$E94+1,$C94,""),"")</f>
        <v/>
      </c>
      <c r="P94" s="34">
        <f>IF(AND(P$5&gt;$E94,P$5&lt;=$F94),IF(P$5=$E94+1,$C94,""),"")</f>
        <v/>
      </c>
      <c r="Q94" s="34">
        <f>IF(AND(Q$5&gt;$E94,Q$5&lt;=$F94),IF(Q$5=$E94+1,$C94,""),"")</f>
        <v/>
      </c>
      <c r="R94" s="34">
        <f>IF(AND(R$5&gt;$E94,R$5&lt;=$F94),IF(R$5=$E94+1,$C94,""),"")</f>
        <v/>
      </c>
      <c r="S94" s="34">
        <f>IF(AND(S$5&gt;$E94,S$5&lt;=$F94),IF(S$5=$E94+1,$C94,""),"")</f>
        <v/>
      </c>
      <c r="T94" s="34">
        <f>IF(AND(T$5&gt;$E94,T$5&lt;=$F94),IF(T$5=$E94+1,$C94,""),"")</f>
        <v/>
      </c>
      <c r="U94" s="34">
        <f>IF(AND(U$5&gt;$E94,U$5&lt;=$F94),IF(U$5=$E94+1,$C94,""),"")</f>
        <v/>
      </c>
      <c r="V94" s="34">
        <f>IF(AND(V$5&gt;$E94,V$5&lt;=$F94),IF(V$5=$E94+1,$C94,""),"")</f>
        <v/>
      </c>
      <c r="W94" s="34">
        <f>IF(AND(W$5&gt;$E94,W$5&lt;=$F94),IF(W$5=$E94+1,$C94,""),"")</f>
        <v/>
      </c>
      <c r="X94" s="34">
        <f>IF(AND(X$5&gt;$E94,X$5&lt;=$F94),IF(X$5=$E94+1,$C94,""),"")</f>
        <v/>
      </c>
      <c r="Y94" s="34">
        <f>IF(AND(Y$5&gt;$E94,Y$5&lt;=$F94),IF(Y$5=$E94+1,$C94,""),"")</f>
        <v/>
      </c>
      <c r="Z94" s="34">
        <f>IF(AND(Z$5&gt;$E94,Z$5&lt;=$F94),IF(Z$5=$E94+1,$C94,""),"")</f>
        <v/>
      </c>
      <c r="AA94" s="34">
        <f>IF(AND(AA$5&gt;$E94,AA$5&lt;=$F94),IF(AA$5=$E94+1,$C94,""),"")</f>
        <v/>
      </c>
      <c r="AB94" s="34">
        <f>IF(AND(AB$5&gt;$E94,AB$5&lt;=$F94),IF(AB$5=$E94+1,$C94,""),"")</f>
        <v/>
      </c>
      <c r="AC94" s="34">
        <f>IF(AND(AC$5&gt;$E94,AC$5&lt;=$F94),IF(AC$5=$E94+1,$C94,""),"")</f>
        <v/>
      </c>
      <c r="AD94" s="34">
        <f>IF(AND(AD$5&gt;$E94,AD$5&lt;=$F94),IF(AD$5=$E94+1,$C94,""),"")</f>
        <v/>
      </c>
      <c r="AE94" s="34">
        <f>IF(AND(AE$5&gt;$E94,AE$5&lt;=$F94),IF(AE$5=$E94+1,$C94,""),"")</f>
        <v/>
      </c>
      <c r="AF94" s="34">
        <f>IF(AND(AF$5&gt;$E94,AF$5&lt;=$F94),IF(AF$5=$E94+1,$C94,""),"")</f>
        <v/>
      </c>
      <c r="AG94" s="34">
        <f>IF(AND(AG$5&gt;$E94,AG$5&lt;=$F94),IF(AG$5=$E94+1,$C94,""),"")</f>
        <v/>
      </c>
      <c r="AH94" s="34">
        <f>IF(AND(AH$5&gt;$E94,AH$5&lt;=$F94),IF(AH$5=$E94+1,$C94,""),"")</f>
        <v/>
      </c>
      <c r="AI94" s="34">
        <f>IF(AND(AI$5&gt;$E94,AI$5&lt;=$F94),IF(AI$5=$E94+1,$C94,""),"")</f>
        <v/>
      </c>
      <c r="AJ94" s="34">
        <f>IF(AND(AJ$5&gt;$E94,AJ$5&lt;=$F94),IF(AJ$5=$E94+1,$C94,""),"")</f>
        <v/>
      </c>
      <c r="AK94" s="34">
        <f>IF(AND(AK$5&gt;$E94,AK$5&lt;=$F94),IF(AK$5=$E94+1,$C94,""),"")</f>
        <v/>
      </c>
      <c r="AL94" s="34">
        <f>IF(AND(AL$5&gt;$E94,AL$5&lt;=$F94),IF(AL$5=$E94+1,$C94,""),"")</f>
        <v/>
      </c>
      <c r="AM94" s="34">
        <f>IF(AND(AM$5&gt;$E94,AM$5&lt;=$F94),IF(AM$5=$E94+1,$C94,""),"")</f>
        <v/>
      </c>
      <c r="AN94" s="34">
        <f>IF(AND(AN$5&gt;$E94,AN$5&lt;=$F94),IF(AN$5=$E94+1,$C94,""),"")</f>
        <v/>
      </c>
      <c r="AO94" s="34">
        <f>IF(AND(AO$5&gt;$E94,AO$5&lt;=$F94),IF(AO$5=$E94+1,$C94,""),"")</f>
        <v/>
      </c>
      <c r="AP94" s="34">
        <f>IF(AND(AP$5&gt;$E94,AP$5&lt;=$F94),IF(AP$5=$E94+1,$C94,""),"")</f>
        <v/>
      </c>
      <c r="AQ94" s="34">
        <f>IF(AND(AQ$5&gt;$E94,AQ$5&lt;=$F94),IF(AQ$5=$E94+1,$C94,""),"")</f>
        <v/>
      </c>
      <c r="AR94" s="34">
        <f>IF(AND(AR$5&gt;$E94,AR$5&lt;=$F94),IF(AR$5=$E94+1,$C94,""),"")</f>
        <v/>
      </c>
      <c r="AS94" s="34">
        <f>IF(AND(AS$5&gt;$E94,AS$5&lt;=$F94),IF(AS$5=$E94+1,$C94,""),"")</f>
        <v/>
      </c>
      <c r="AT94" s="34">
        <f>IF(AND(AT$5&gt;$E94,AT$5&lt;=$F94),IF(AT$5=$E94+1,$C94,""),"")</f>
        <v/>
      </c>
      <c r="AU94" s="34">
        <f>IF(AND(AU$5&gt;$E94,AU$5&lt;=$F94),IF(AU$5=$E94+1,$C94,""),"")</f>
        <v/>
      </c>
      <c r="AV94" s="34">
        <f>IF(AND(AV$5&gt;$E94,AV$5&lt;=$F94),IF(AV$5=$E94+1,$C94,""),"")</f>
        <v/>
      </c>
      <c r="AW94" s="34">
        <f>IF(AND(AW$5&gt;$E94,AW$5&lt;=$F94),IF(AW$5=$E94+1,$C94,""),"")</f>
        <v/>
      </c>
      <c r="AX94" s="34">
        <f>IF(AND(AX$5&gt;$E94,AX$5&lt;=$F94),IF(AX$5=$E94+1,$C94,""),"")</f>
        <v/>
      </c>
      <c r="AY94" s="34">
        <f>IF(AND(AY$5&gt;$E94,AY$5&lt;=$F94),IF(AY$5=$E94+1,$C94,""),"")</f>
        <v/>
      </c>
      <c r="AZ94" s="34">
        <f>IF(AND(AZ$5&gt;$E94,AZ$5&lt;=$F94),IF(AZ$5=$E94+1,$C94,""),"")</f>
        <v/>
      </c>
      <c r="BA94" s="34">
        <f>IF(AND(BA$5&gt;$E94,BA$5&lt;=$F94),IF(BA$5=$E94+1,$C94,""),"")</f>
        <v/>
      </c>
      <c r="BB94" s="34">
        <f>IF(AND(BB$5&gt;$E94,BB$5&lt;=$F94),IF(BB$5=$E94+1,$C94,""),"")</f>
        <v/>
      </c>
      <c r="BC94" s="34">
        <f>IF(AND(BC$5&gt;$E94,BC$5&lt;=$F94),IF(BC$5=$E94+1,$C94,""),"")</f>
        <v/>
      </c>
      <c r="BD94" s="34">
        <f>IF(AND(BD$5&gt;$E94,BD$5&lt;=$F94),IF(BD$5=$E94+1,$C94,""),"")</f>
        <v/>
      </c>
      <c r="BE94" s="34">
        <f>IF(AND(BE$5&gt;$E94,BE$5&lt;=$F94),IF(BE$5=$E94+1,$C94,""),"")</f>
        <v/>
      </c>
      <c r="BF94" s="34">
        <f>IF(AND(BF$5&gt;$E94,BF$5&lt;=$F94),IF(BF$5=$E94+1,$C94,""),"")</f>
        <v/>
      </c>
      <c r="BG94" s="34">
        <f>IF(AND(BG$5&gt;$E94,BG$5&lt;=$F94),IF(BG$5=$E94+1,$C94,""),"")</f>
        <v/>
      </c>
      <c r="BH94" s="34">
        <f>IF(AND(BH$5&gt;$E94,BH$5&lt;=$F94),IF(BH$5=$E94+1,$C94,""),"")</f>
        <v/>
      </c>
      <c r="BI94" s="34">
        <f>IF(AND(BI$5&gt;$E94,BI$5&lt;=$F94),IF(BI$5=$E94+1,$C94,""),"")</f>
        <v/>
      </c>
      <c r="BJ94" s="34">
        <f>IF(AND(BJ$5&gt;$E94,BJ$5&lt;=$F94),IF(BJ$5=$E94+1,$C94,""),"")</f>
        <v/>
      </c>
      <c r="BK94" s="34">
        <f>IF(AND(BK$5&gt;$E94,BK$5&lt;=$F94),IF(BK$5=$E94+1,$C94,""),"")</f>
        <v/>
      </c>
      <c r="BL94" s="34">
        <f>IF(AND(BL$5&gt;$E94,BL$5&lt;=$F94),IF(BL$5=$E94+1,$C94,""),"")</f>
        <v/>
      </c>
      <c r="BM94" s="34">
        <f>IF(AND(BM$5&gt;$E94,BM$5&lt;=$F94),IF(BM$5=$E94+1,$C94,""),"")</f>
        <v/>
      </c>
      <c r="BN94" s="34">
        <f>IF(AND(BN$5&gt;$E94,BN$5&lt;=$F94),IF(BN$5=$E94+1,$C94,""),"")</f>
        <v/>
      </c>
      <c r="BO94" s="34">
        <f>IF(AND(BO$5&gt;$E94,BO$5&lt;=$F94),IF(BO$5=$E94+1,$C94,""),"")</f>
        <v/>
      </c>
      <c r="BP94" s="34">
        <f>IF(AND(BP$5&gt;$E94,BP$5&lt;=$F94),IF(BP$5=$E94+1,$C94,""),"")</f>
        <v/>
      </c>
      <c r="BQ94" s="34">
        <f>IF(AND(BQ$5&gt;$E94,BQ$5&lt;=$F94),IF(BQ$5=$E94+1,$C94,""),"")</f>
        <v/>
      </c>
      <c r="BR94" s="34">
        <f>IF(AND(BR$5&gt;$E94,BR$5&lt;=$F94),IF(BR$5=$E94+1,$C94,""),"")</f>
        <v/>
      </c>
      <c r="BS94" s="34">
        <f>IF(AND(BS$5&gt;$E94,BS$5&lt;=$F94),IF(BS$5=$E94+1,$C94,""),"")</f>
        <v/>
      </c>
      <c r="BT94" s="34">
        <f>IF(AND(BT$5&gt;$E94,BT$5&lt;=$F94),IF(BT$5=$E94+1,$C94,""),"")</f>
        <v/>
      </c>
      <c r="BU94" s="34">
        <f>IF(AND(BU$5&gt;$E94,BU$5&lt;=$F94),IF(BU$5=$E94+1,$C94,""),"")</f>
        <v/>
      </c>
      <c r="BV94" s="34">
        <f>IF(AND(BV$5&gt;$E94,BV$5&lt;=$F94),IF(BV$5=$E94+1,$C94,""),"")</f>
        <v/>
      </c>
      <c r="BW94" s="34">
        <f>IF(AND(BW$5&gt;$E94,BW$5&lt;=$F94),IF(BW$5=$E94+1,$C94,""),"")</f>
        <v/>
      </c>
      <c r="BX94" s="34">
        <f>IF(AND(BX$5&gt;$E94,BX$5&lt;=$F94),IF(BX$5=$E94+1,$C94,""),"")</f>
        <v/>
      </c>
      <c r="BY94" s="34">
        <f>IF(AND(BY$5&gt;$E94,BY$5&lt;=$F94),IF(BY$5=$E94+1,$C94,""),"")</f>
        <v/>
      </c>
      <c r="BZ94" s="34">
        <f>IF(AND(BZ$5&gt;$E94,BZ$5&lt;=$F94),IF(BZ$5=$E94+1,$C94,""),"")</f>
        <v/>
      </c>
      <c r="CA94" s="34">
        <f>IF(AND(CA$5&gt;$E94,CA$5&lt;=$F94),IF(CA$5=$E94+1,$C94,""),"")</f>
        <v/>
      </c>
      <c r="CB94" s="34">
        <f>IF(AND(CB$5&gt;$E94,CB$5&lt;=$F94),IF(CB$5=$E94+1,$C94,""),"")</f>
        <v/>
      </c>
      <c r="CC94" s="34">
        <f>IF(AND(CC$5&gt;$E94,CC$5&lt;=$F94),IF(CC$5=$E94+1,$C94,""),"")</f>
        <v/>
      </c>
      <c r="CD94" s="34">
        <f>IF(AND(CD$5&gt;$E94,CD$5&lt;=$F94),IF(CD$5=$E94+1,$C94,""),"")</f>
        <v/>
      </c>
      <c r="CE94" s="34">
        <f>IF(AND(CE$5&gt;$E94,CE$5&lt;=$F94),IF(CE$5=$E94+1,$C94,""),"")</f>
        <v/>
      </c>
      <c r="CF94" s="34">
        <f>IF(AND(CF$5&gt;$E94,CF$5&lt;=$F94),IF(CF$5=$E94+1,$C94,""),"")</f>
        <v/>
      </c>
      <c r="CG94" s="34">
        <f>IF(AND(CG$5&gt;$E94,CG$5&lt;=$F94),IF(CG$5=$E94+1,$C94,""),"")</f>
        <v/>
      </c>
      <c r="CH94" s="34">
        <f>IF(AND(CH$5&gt;$E94,CH$5&lt;=$F94),IF(CH$5=$E94+1,$C94,""),"")</f>
        <v/>
      </c>
      <c r="CI94" s="34">
        <f>IF(AND(CI$5&gt;$E94,CI$5&lt;=$F94),IF(CI$5=$E94+1,$C94,""),"")</f>
        <v/>
      </c>
      <c r="CJ94" s="34">
        <f>IF(AND(CJ$5&gt;$E94,CJ$5&lt;=$F94),IF(CJ$5=$E94+1,$C94,""),"")</f>
        <v/>
      </c>
      <c r="CK94" s="34">
        <f>IF(AND(CK$5&gt;$E94,CK$5&lt;=$F94),IF(CK$5=$E94+1,$C94,""),"")</f>
        <v/>
      </c>
      <c r="CL94" s="34">
        <f>IF(AND(CL$5&gt;$E94,CL$5&lt;=$F94),IF(CL$5=$E94+1,$C94,""),"")</f>
        <v/>
      </c>
      <c r="CM94" s="34">
        <f>IF(AND(CM$5&gt;$E94,CM$5&lt;=$F94),IF(CM$5=$E94+1,$C94,""),"")</f>
        <v/>
      </c>
      <c r="CN94" s="34">
        <f>IF(AND(CN$5&gt;$E94,CN$5&lt;=$F94),IF(CN$5=$E94+1,$C94,""),"")</f>
        <v/>
      </c>
      <c r="CO94" s="34">
        <f>IF(AND(CO$5&gt;$E94,CO$5&lt;=$F94),IF(CO$5=$E94+1,$C94,""),"")</f>
        <v/>
      </c>
      <c r="CP94" s="34">
        <f>IF(AND(CP$5&gt;$E94,CP$5&lt;=$F94),IF(CP$5=$E94+1,$C94,""),"")</f>
        <v/>
      </c>
      <c r="CQ94" s="34">
        <f>IF(AND(CQ$5&gt;$E94,CQ$5&lt;=$F94),IF(CQ$5=$E94+1,$C94,""),"")</f>
        <v/>
      </c>
      <c r="CR94" s="34">
        <f>IF(AND(CR$5&gt;$E94,CR$5&lt;=$F94),IF(CR$5=$E94+1,$C94,""),"")</f>
        <v/>
      </c>
      <c r="CS94" s="34">
        <f>IF(AND(CS$5&gt;$E94,CS$5&lt;=$F94),IF(CS$5=$E94+1,$C94,""),"")</f>
        <v/>
      </c>
      <c r="CT94" s="34">
        <f>IF(AND(CT$5&gt;$E94,CT$5&lt;=$F94),IF(CT$5=$E94+1,$C94,""),"")</f>
        <v/>
      </c>
      <c r="CU94" s="34">
        <f>IF(AND(CU$5&gt;$E94,CU$5&lt;=$F94),IF(CU$5=$E94+1,$C94,""),"")</f>
        <v/>
      </c>
      <c r="CV94" s="34">
        <f>IF(AND(CV$5&gt;$E94,CV$5&lt;=$F94),IF(CV$5=$E94+1,$C94,""),"")</f>
        <v/>
      </c>
      <c r="CW94" s="34">
        <f>IF(AND(CW$5&gt;$E94,CW$5&lt;=$F94),IF(CW$5=$E94+1,$C94,""),"")</f>
        <v/>
      </c>
      <c r="CX94" s="34">
        <f>IF(AND(CX$5&gt;$E94,CX$5&lt;=$F94),IF(CX$5=$E94+1,$C94,""),"")</f>
        <v/>
      </c>
      <c r="CY94" s="34">
        <f>IF(AND(CY$5&gt;$E94,CY$5&lt;=$F94),IF(CY$5=$E94+1,$C94,""),"")</f>
        <v/>
      </c>
      <c r="CZ94" s="34">
        <f>IF(AND(CZ$5&gt;$E94,CZ$5&lt;=$F94),IF(CZ$5=$E94+1,$C94,""),"")</f>
        <v/>
      </c>
      <c r="DA94" s="34">
        <f>IF(AND(DA$5&gt;$E94,DA$5&lt;=$F94),IF(DA$5=$E94+1,$C94,""),"")</f>
        <v/>
      </c>
      <c r="DB94" s="34">
        <f>IF(AND(DB$5&gt;$E94,DB$5&lt;=$F94),IF(DB$5=$E94+1,$C94,""),"")</f>
        <v/>
      </c>
      <c r="DC94" s="34">
        <f>IF(AND(DC$5&gt;$E94,DC$5&lt;=$F94),IF(DC$5=$E94+1,$C94,""),"")</f>
        <v/>
      </c>
      <c r="DD94" s="34">
        <f>IF(AND(DD$5&gt;$E94,DD$5&lt;=$F94),IF(DD$5=$E94+1,$C94,""),"")</f>
        <v/>
      </c>
      <c r="DE94" s="34">
        <f>IF(AND(DE$5&gt;$E94,DE$5&lt;=$F94),IF(DE$5=$E94+1,$C94,""),"")</f>
        <v/>
      </c>
      <c r="DF94" s="34">
        <f>IF(AND(DF$5&gt;$E94,DF$5&lt;=$F94),IF(DF$5=$E94+1,$C94,""),"")</f>
        <v/>
      </c>
      <c r="DG94" s="34">
        <f>IF(AND(DG$5&gt;$E94,DG$5&lt;=$F94),IF(DG$5=$E94+1,$C94,""),"")</f>
        <v/>
      </c>
      <c r="DH94" s="34">
        <f>IF(AND(DH$5&gt;$E94,DH$5&lt;=$F94),IF(DH$5=$E94+1,$C94,""),"")</f>
        <v/>
      </c>
      <c r="DI94" s="34">
        <f>IF(AND(DI$5&gt;$E94,DI$5&lt;=$F94),IF(DI$5=$E94+1,$C94,""),"")</f>
        <v/>
      </c>
      <c r="DJ94" s="34">
        <f>IF(AND(DJ$5&gt;$E94,DJ$5&lt;=$F94),IF(DJ$5=$E94+1,$C94,""),"")</f>
        <v/>
      </c>
      <c r="DK94" s="34">
        <f>IF(AND(DK$5&gt;$E94,DK$5&lt;=$F94),IF(DK$5=$E94+1,$C94,""),"")</f>
        <v/>
      </c>
      <c r="DL94" s="34">
        <f>IF(AND(DL$5&gt;$E94,DL$5&lt;=$F94),IF(DL$5=$E94+1,$C94,""),"")</f>
        <v/>
      </c>
      <c r="DM94" s="34">
        <f>IF(AND(DM$5&gt;$E94,DM$5&lt;=$F94),IF(DM$5=$E94+1,$C94,""),"")</f>
        <v/>
      </c>
      <c r="DN94" s="34">
        <f>IF(AND(DN$5&gt;$E94,DN$5&lt;=$F94),IF(DN$5=$E94+1,$C94,""),"")</f>
        <v/>
      </c>
      <c r="DO94" s="34">
        <f>IF(AND(DO$5&gt;$E94,DO$5&lt;=$F94),IF(DO$5=$E94+1,$C94,""),"")</f>
        <v/>
      </c>
      <c r="DP94" s="34">
        <f>IF(AND(DP$5&gt;$E94,DP$5&lt;=$F94),IF(DP$5=$E94+1,$C94,""),"")</f>
        <v/>
      </c>
      <c r="DQ94" s="34">
        <f>IF(AND(DQ$5&gt;$E94,DQ$5&lt;=$F94),IF(DQ$5=$E94+1,$C94,""),"")</f>
        <v/>
      </c>
      <c r="DR94" s="34">
        <f>IF(AND(DR$5&gt;$E94,DR$5&lt;=$F94),IF(DR$5=$E94+1,$C94,""),"")</f>
        <v/>
      </c>
      <c r="DS94" s="34">
        <f>IF(AND(DS$5&gt;$E94,DS$5&lt;=$F94),IF(DS$5=$E94+1,$C94,""),"")</f>
        <v/>
      </c>
      <c r="DT94" s="34">
        <f>IF(AND(DT$5&gt;$E94,DT$5&lt;=$F94),IF(DT$5=$E94+1,$C94,""),"")</f>
        <v/>
      </c>
      <c r="DU94" s="34">
        <f>IF(AND(DU$5&gt;$E94,DU$5&lt;=$F94),IF(DU$5=$E94+1,$C94,""),"")</f>
        <v/>
      </c>
      <c r="DV94" s="34">
        <f>IF(AND(DV$5&gt;$E94,DV$5&lt;=$F94),IF(DV$5=$E94+1,$C94,""),"")</f>
        <v/>
      </c>
      <c r="DW94" s="34">
        <f>IF(AND(DW$5&gt;$E94,DW$5&lt;=$F94),IF(DW$5=$E94+1,$C94,""),"")</f>
        <v/>
      </c>
      <c r="DX94" s="34">
        <f>IF(AND(DX$5&gt;$E94,DX$5&lt;=$F94),IF(DX$5=$E94+1,$C94,""),"")</f>
        <v/>
      </c>
      <c r="DY94" s="34">
        <f>IF(AND(DY$5&gt;$E94,DY$5&lt;=$F94),IF(DY$5=$E94+1,$C94,""),"")</f>
        <v/>
      </c>
      <c r="DZ94" s="34">
        <f>IF(AND(DZ$5&gt;$E94,DZ$5&lt;=$F94),IF(DZ$5=$E94+1,$C94,""),"")</f>
        <v/>
      </c>
      <c r="EA94" s="34">
        <f>IF(AND(EA$5&gt;$E94,EA$5&lt;=$F94),IF(EA$5=$E94+1,$C94,""),"")</f>
        <v/>
      </c>
      <c r="EB94" s="34">
        <f>IF(AND(EB$5&gt;$E94,EB$5&lt;=$F94),IF(EB$5=$E94+1,$C94,""),"")</f>
        <v/>
      </c>
      <c r="EC94" s="34">
        <f>IF(AND(EC$5&gt;$E94,EC$5&lt;=$F94),IF(EC$5=$E94+1,$C94,""),"")</f>
        <v/>
      </c>
      <c r="ED94" s="34">
        <f>IF(AND(ED$5&gt;$E94,ED$5&lt;=$F94),IF(ED$5=$E94+1,$C94,""),"")</f>
        <v/>
      </c>
      <c r="EE94" s="34">
        <f>IF(AND(EE$5&gt;$E94,EE$5&lt;=$F94),IF(EE$5=$E94+1,$C94,""),"")</f>
        <v/>
      </c>
      <c r="EF94" s="34">
        <f>IF(AND(EF$5&gt;$E94,EF$5&lt;=$F94),IF(EF$5=$E94+1,$C94,""),"")</f>
        <v/>
      </c>
      <c r="EG94" s="34">
        <f>IF(AND(EG$5&gt;$E94,EG$5&lt;=$F94),IF(EG$5=$E94+1,$C94,""),"")</f>
        <v/>
      </c>
    </row>
    <row r="95">
      <c r="A95" s="32">
        <f>Plan!A65</f>
        <v/>
      </c>
      <c r="B95" s="33">
        <f>Plan!C65</f>
        <v/>
      </c>
      <c r="C95" s="16">
        <f>Plan!D65</f>
        <v/>
      </c>
      <c r="D95" s="16">
        <f>Plan!I65</f>
        <v/>
      </c>
      <c r="E95" s="16">
        <f>Plan!K65</f>
        <v/>
      </c>
      <c r="F95" s="16">
        <f>Plan!L65</f>
        <v/>
      </c>
      <c r="G95" s="16">
        <f>Plan!O65</f>
        <v/>
      </c>
      <c r="H95" s="34">
        <f>IF(AND(H$5&gt;$E95,H$5&lt;=$F95),IF(H$5=$E95+1,$C95,""),"")</f>
        <v/>
      </c>
      <c r="I95" s="34">
        <f>IF(AND(I$5&gt;$E95,I$5&lt;=$F95),IF(I$5=$E95+1,$C95,""),"")</f>
        <v/>
      </c>
      <c r="J95" s="34">
        <f>IF(AND(J$5&gt;$E95,J$5&lt;=$F95),IF(J$5=$E95+1,$C95,""),"")</f>
        <v/>
      </c>
      <c r="K95" s="34">
        <f>IF(AND(K$5&gt;$E95,K$5&lt;=$F95),IF(K$5=$E95+1,$C95,""),"")</f>
        <v/>
      </c>
      <c r="L95" s="34">
        <f>IF(AND(L$5&gt;$E95,L$5&lt;=$F95),IF(L$5=$E95+1,$C95,""),"")</f>
        <v/>
      </c>
      <c r="M95" s="34">
        <f>IF(AND(M$5&gt;$E95,M$5&lt;=$F95),IF(M$5=$E95+1,$C95,""),"")</f>
        <v/>
      </c>
      <c r="N95" s="34">
        <f>IF(AND(N$5&gt;$E95,N$5&lt;=$F95),IF(N$5=$E95+1,$C95,""),"")</f>
        <v/>
      </c>
      <c r="O95" s="34">
        <f>IF(AND(O$5&gt;$E95,O$5&lt;=$F95),IF(O$5=$E95+1,$C95,""),"")</f>
        <v/>
      </c>
      <c r="P95" s="34">
        <f>IF(AND(P$5&gt;$E95,P$5&lt;=$F95),IF(P$5=$E95+1,$C95,""),"")</f>
        <v/>
      </c>
      <c r="Q95" s="34">
        <f>IF(AND(Q$5&gt;$E95,Q$5&lt;=$F95),IF(Q$5=$E95+1,$C95,""),"")</f>
        <v/>
      </c>
      <c r="R95" s="34">
        <f>IF(AND(R$5&gt;$E95,R$5&lt;=$F95),IF(R$5=$E95+1,$C95,""),"")</f>
        <v/>
      </c>
      <c r="S95" s="34">
        <f>IF(AND(S$5&gt;$E95,S$5&lt;=$F95),IF(S$5=$E95+1,$C95,""),"")</f>
        <v/>
      </c>
      <c r="T95" s="34">
        <f>IF(AND(T$5&gt;$E95,T$5&lt;=$F95),IF(T$5=$E95+1,$C95,""),"")</f>
        <v/>
      </c>
      <c r="U95" s="34">
        <f>IF(AND(U$5&gt;$E95,U$5&lt;=$F95),IF(U$5=$E95+1,$C95,""),"")</f>
        <v/>
      </c>
      <c r="V95" s="34">
        <f>IF(AND(V$5&gt;$E95,V$5&lt;=$F95),IF(V$5=$E95+1,$C95,""),"")</f>
        <v/>
      </c>
      <c r="W95" s="34">
        <f>IF(AND(W$5&gt;$E95,W$5&lt;=$F95),IF(W$5=$E95+1,$C95,""),"")</f>
        <v/>
      </c>
      <c r="X95" s="34">
        <f>IF(AND(X$5&gt;$E95,X$5&lt;=$F95),IF(X$5=$E95+1,$C95,""),"")</f>
        <v/>
      </c>
      <c r="Y95" s="34">
        <f>IF(AND(Y$5&gt;$E95,Y$5&lt;=$F95),IF(Y$5=$E95+1,$C95,""),"")</f>
        <v/>
      </c>
      <c r="Z95" s="34">
        <f>IF(AND(Z$5&gt;$E95,Z$5&lt;=$F95),IF(Z$5=$E95+1,$C95,""),"")</f>
        <v/>
      </c>
      <c r="AA95" s="34">
        <f>IF(AND(AA$5&gt;$E95,AA$5&lt;=$F95),IF(AA$5=$E95+1,$C95,""),"")</f>
        <v/>
      </c>
      <c r="AB95" s="34">
        <f>IF(AND(AB$5&gt;$E95,AB$5&lt;=$F95),IF(AB$5=$E95+1,$C95,""),"")</f>
        <v/>
      </c>
      <c r="AC95" s="34">
        <f>IF(AND(AC$5&gt;$E95,AC$5&lt;=$F95),IF(AC$5=$E95+1,$C95,""),"")</f>
        <v/>
      </c>
      <c r="AD95" s="34">
        <f>IF(AND(AD$5&gt;$E95,AD$5&lt;=$F95),IF(AD$5=$E95+1,$C95,""),"")</f>
        <v/>
      </c>
      <c r="AE95" s="34">
        <f>IF(AND(AE$5&gt;$E95,AE$5&lt;=$F95),IF(AE$5=$E95+1,$C95,""),"")</f>
        <v/>
      </c>
      <c r="AF95" s="34">
        <f>IF(AND(AF$5&gt;$E95,AF$5&lt;=$F95),IF(AF$5=$E95+1,$C95,""),"")</f>
        <v/>
      </c>
      <c r="AG95" s="34">
        <f>IF(AND(AG$5&gt;$E95,AG$5&lt;=$F95),IF(AG$5=$E95+1,$C95,""),"")</f>
        <v/>
      </c>
      <c r="AH95" s="34">
        <f>IF(AND(AH$5&gt;$E95,AH$5&lt;=$F95),IF(AH$5=$E95+1,$C95,""),"")</f>
        <v/>
      </c>
      <c r="AI95" s="34">
        <f>IF(AND(AI$5&gt;$E95,AI$5&lt;=$F95),IF(AI$5=$E95+1,$C95,""),"")</f>
        <v/>
      </c>
      <c r="AJ95" s="34">
        <f>IF(AND(AJ$5&gt;$E95,AJ$5&lt;=$F95),IF(AJ$5=$E95+1,$C95,""),"")</f>
        <v/>
      </c>
      <c r="AK95" s="34">
        <f>IF(AND(AK$5&gt;$E95,AK$5&lt;=$F95),IF(AK$5=$E95+1,$C95,""),"")</f>
        <v/>
      </c>
      <c r="AL95" s="34">
        <f>IF(AND(AL$5&gt;$E95,AL$5&lt;=$F95),IF(AL$5=$E95+1,$C95,""),"")</f>
        <v/>
      </c>
      <c r="AM95" s="34">
        <f>IF(AND(AM$5&gt;$E95,AM$5&lt;=$F95),IF(AM$5=$E95+1,$C95,""),"")</f>
        <v/>
      </c>
      <c r="AN95" s="34">
        <f>IF(AND(AN$5&gt;$E95,AN$5&lt;=$F95),IF(AN$5=$E95+1,$C95,""),"")</f>
        <v/>
      </c>
      <c r="AO95" s="34">
        <f>IF(AND(AO$5&gt;$E95,AO$5&lt;=$F95),IF(AO$5=$E95+1,$C95,""),"")</f>
        <v/>
      </c>
      <c r="AP95" s="34">
        <f>IF(AND(AP$5&gt;$E95,AP$5&lt;=$F95),IF(AP$5=$E95+1,$C95,""),"")</f>
        <v/>
      </c>
      <c r="AQ95" s="34">
        <f>IF(AND(AQ$5&gt;$E95,AQ$5&lt;=$F95),IF(AQ$5=$E95+1,$C95,""),"")</f>
        <v/>
      </c>
      <c r="AR95" s="34">
        <f>IF(AND(AR$5&gt;$E95,AR$5&lt;=$F95),IF(AR$5=$E95+1,$C95,""),"")</f>
        <v/>
      </c>
      <c r="AS95" s="34">
        <f>IF(AND(AS$5&gt;$E95,AS$5&lt;=$F95),IF(AS$5=$E95+1,$C95,""),"")</f>
        <v/>
      </c>
      <c r="AT95" s="34">
        <f>IF(AND(AT$5&gt;$E95,AT$5&lt;=$F95),IF(AT$5=$E95+1,$C95,""),"")</f>
        <v/>
      </c>
      <c r="AU95" s="34">
        <f>IF(AND(AU$5&gt;$E95,AU$5&lt;=$F95),IF(AU$5=$E95+1,$C95,""),"")</f>
        <v/>
      </c>
      <c r="AV95" s="34">
        <f>IF(AND(AV$5&gt;$E95,AV$5&lt;=$F95),IF(AV$5=$E95+1,$C95,""),"")</f>
        <v/>
      </c>
      <c r="AW95" s="34">
        <f>IF(AND(AW$5&gt;$E95,AW$5&lt;=$F95),IF(AW$5=$E95+1,$C95,""),"")</f>
        <v/>
      </c>
      <c r="AX95" s="34">
        <f>IF(AND(AX$5&gt;$E95,AX$5&lt;=$F95),IF(AX$5=$E95+1,$C95,""),"")</f>
        <v/>
      </c>
      <c r="AY95" s="34">
        <f>IF(AND(AY$5&gt;$E95,AY$5&lt;=$F95),IF(AY$5=$E95+1,$C95,""),"")</f>
        <v/>
      </c>
      <c r="AZ95" s="34">
        <f>IF(AND(AZ$5&gt;$E95,AZ$5&lt;=$F95),IF(AZ$5=$E95+1,$C95,""),"")</f>
        <v/>
      </c>
      <c r="BA95" s="34">
        <f>IF(AND(BA$5&gt;$E95,BA$5&lt;=$F95),IF(BA$5=$E95+1,$C95,""),"")</f>
        <v/>
      </c>
      <c r="BB95" s="34">
        <f>IF(AND(BB$5&gt;$E95,BB$5&lt;=$F95),IF(BB$5=$E95+1,$C95,""),"")</f>
        <v/>
      </c>
      <c r="BC95" s="34">
        <f>IF(AND(BC$5&gt;$E95,BC$5&lt;=$F95),IF(BC$5=$E95+1,$C95,""),"")</f>
        <v/>
      </c>
      <c r="BD95" s="34">
        <f>IF(AND(BD$5&gt;$E95,BD$5&lt;=$F95),IF(BD$5=$E95+1,$C95,""),"")</f>
        <v/>
      </c>
      <c r="BE95" s="34">
        <f>IF(AND(BE$5&gt;$E95,BE$5&lt;=$F95),IF(BE$5=$E95+1,$C95,""),"")</f>
        <v/>
      </c>
      <c r="BF95" s="34">
        <f>IF(AND(BF$5&gt;$E95,BF$5&lt;=$F95),IF(BF$5=$E95+1,$C95,""),"")</f>
        <v/>
      </c>
      <c r="BG95" s="34">
        <f>IF(AND(BG$5&gt;$E95,BG$5&lt;=$F95),IF(BG$5=$E95+1,$C95,""),"")</f>
        <v/>
      </c>
      <c r="BH95" s="34">
        <f>IF(AND(BH$5&gt;$E95,BH$5&lt;=$F95),IF(BH$5=$E95+1,$C95,""),"")</f>
        <v/>
      </c>
      <c r="BI95" s="34">
        <f>IF(AND(BI$5&gt;$E95,BI$5&lt;=$F95),IF(BI$5=$E95+1,$C95,""),"")</f>
        <v/>
      </c>
      <c r="BJ95" s="34">
        <f>IF(AND(BJ$5&gt;$E95,BJ$5&lt;=$F95),IF(BJ$5=$E95+1,$C95,""),"")</f>
        <v/>
      </c>
      <c r="BK95" s="34">
        <f>IF(AND(BK$5&gt;$E95,BK$5&lt;=$F95),IF(BK$5=$E95+1,$C95,""),"")</f>
        <v/>
      </c>
      <c r="BL95" s="34">
        <f>IF(AND(BL$5&gt;$E95,BL$5&lt;=$F95),IF(BL$5=$E95+1,$C95,""),"")</f>
        <v/>
      </c>
      <c r="BM95" s="34">
        <f>IF(AND(BM$5&gt;$E95,BM$5&lt;=$F95),IF(BM$5=$E95+1,$C95,""),"")</f>
        <v/>
      </c>
      <c r="BN95" s="34">
        <f>IF(AND(BN$5&gt;$E95,BN$5&lt;=$F95),IF(BN$5=$E95+1,$C95,""),"")</f>
        <v/>
      </c>
      <c r="BO95" s="34">
        <f>IF(AND(BO$5&gt;$E95,BO$5&lt;=$F95),IF(BO$5=$E95+1,$C95,""),"")</f>
        <v/>
      </c>
      <c r="BP95" s="34">
        <f>IF(AND(BP$5&gt;$E95,BP$5&lt;=$F95),IF(BP$5=$E95+1,$C95,""),"")</f>
        <v/>
      </c>
      <c r="BQ95" s="34">
        <f>IF(AND(BQ$5&gt;$E95,BQ$5&lt;=$F95),IF(BQ$5=$E95+1,$C95,""),"")</f>
        <v/>
      </c>
      <c r="BR95" s="34">
        <f>IF(AND(BR$5&gt;$E95,BR$5&lt;=$F95),IF(BR$5=$E95+1,$C95,""),"")</f>
        <v/>
      </c>
      <c r="BS95" s="34">
        <f>IF(AND(BS$5&gt;$E95,BS$5&lt;=$F95),IF(BS$5=$E95+1,$C95,""),"")</f>
        <v/>
      </c>
      <c r="BT95" s="34">
        <f>IF(AND(BT$5&gt;$E95,BT$5&lt;=$F95),IF(BT$5=$E95+1,$C95,""),"")</f>
        <v/>
      </c>
      <c r="BU95" s="34">
        <f>IF(AND(BU$5&gt;$E95,BU$5&lt;=$F95),IF(BU$5=$E95+1,$C95,""),"")</f>
        <v/>
      </c>
      <c r="BV95" s="34">
        <f>IF(AND(BV$5&gt;$E95,BV$5&lt;=$F95),IF(BV$5=$E95+1,$C95,""),"")</f>
        <v/>
      </c>
      <c r="BW95" s="34">
        <f>IF(AND(BW$5&gt;$E95,BW$5&lt;=$F95),IF(BW$5=$E95+1,$C95,""),"")</f>
        <v/>
      </c>
      <c r="BX95" s="34">
        <f>IF(AND(BX$5&gt;$E95,BX$5&lt;=$F95),IF(BX$5=$E95+1,$C95,""),"")</f>
        <v/>
      </c>
      <c r="BY95" s="34">
        <f>IF(AND(BY$5&gt;$E95,BY$5&lt;=$F95),IF(BY$5=$E95+1,$C95,""),"")</f>
        <v/>
      </c>
      <c r="BZ95" s="34">
        <f>IF(AND(BZ$5&gt;$E95,BZ$5&lt;=$F95),IF(BZ$5=$E95+1,$C95,""),"")</f>
        <v/>
      </c>
      <c r="CA95" s="34">
        <f>IF(AND(CA$5&gt;$E95,CA$5&lt;=$F95),IF(CA$5=$E95+1,$C95,""),"")</f>
        <v/>
      </c>
      <c r="CB95" s="34">
        <f>IF(AND(CB$5&gt;$E95,CB$5&lt;=$F95),IF(CB$5=$E95+1,$C95,""),"")</f>
        <v/>
      </c>
      <c r="CC95" s="34">
        <f>IF(AND(CC$5&gt;$E95,CC$5&lt;=$F95),IF(CC$5=$E95+1,$C95,""),"")</f>
        <v/>
      </c>
      <c r="CD95" s="34">
        <f>IF(AND(CD$5&gt;$E95,CD$5&lt;=$F95),IF(CD$5=$E95+1,$C95,""),"")</f>
        <v/>
      </c>
      <c r="CE95" s="34">
        <f>IF(AND(CE$5&gt;$E95,CE$5&lt;=$F95),IF(CE$5=$E95+1,$C95,""),"")</f>
        <v/>
      </c>
      <c r="CF95" s="34">
        <f>IF(AND(CF$5&gt;$E95,CF$5&lt;=$F95),IF(CF$5=$E95+1,$C95,""),"")</f>
        <v/>
      </c>
      <c r="CG95" s="34">
        <f>IF(AND(CG$5&gt;$E95,CG$5&lt;=$F95),IF(CG$5=$E95+1,$C95,""),"")</f>
        <v/>
      </c>
      <c r="CH95" s="34">
        <f>IF(AND(CH$5&gt;$E95,CH$5&lt;=$F95),IF(CH$5=$E95+1,$C95,""),"")</f>
        <v/>
      </c>
      <c r="CI95" s="34">
        <f>IF(AND(CI$5&gt;$E95,CI$5&lt;=$F95),IF(CI$5=$E95+1,$C95,""),"")</f>
        <v/>
      </c>
      <c r="CJ95" s="34">
        <f>IF(AND(CJ$5&gt;$E95,CJ$5&lt;=$F95),IF(CJ$5=$E95+1,$C95,""),"")</f>
        <v/>
      </c>
      <c r="CK95" s="34">
        <f>IF(AND(CK$5&gt;$E95,CK$5&lt;=$F95),IF(CK$5=$E95+1,$C95,""),"")</f>
        <v/>
      </c>
      <c r="CL95" s="34">
        <f>IF(AND(CL$5&gt;$E95,CL$5&lt;=$F95),IF(CL$5=$E95+1,$C95,""),"")</f>
        <v/>
      </c>
      <c r="CM95" s="34">
        <f>IF(AND(CM$5&gt;$E95,CM$5&lt;=$F95),IF(CM$5=$E95+1,$C95,""),"")</f>
        <v/>
      </c>
      <c r="CN95" s="34">
        <f>IF(AND(CN$5&gt;$E95,CN$5&lt;=$F95),IF(CN$5=$E95+1,$C95,""),"")</f>
        <v/>
      </c>
      <c r="CO95" s="34">
        <f>IF(AND(CO$5&gt;$E95,CO$5&lt;=$F95),IF(CO$5=$E95+1,$C95,""),"")</f>
        <v/>
      </c>
      <c r="CP95" s="34">
        <f>IF(AND(CP$5&gt;$E95,CP$5&lt;=$F95),IF(CP$5=$E95+1,$C95,""),"")</f>
        <v/>
      </c>
      <c r="CQ95" s="34">
        <f>IF(AND(CQ$5&gt;$E95,CQ$5&lt;=$F95),IF(CQ$5=$E95+1,$C95,""),"")</f>
        <v/>
      </c>
      <c r="CR95" s="34">
        <f>IF(AND(CR$5&gt;$E95,CR$5&lt;=$F95),IF(CR$5=$E95+1,$C95,""),"")</f>
        <v/>
      </c>
      <c r="CS95" s="34">
        <f>IF(AND(CS$5&gt;$E95,CS$5&lt;=$F95),IF(CS$5=$E95+1,$C95,""),"")</f>
        <v/>
      </c>
      <c r="CT95" s="34">
        <f>IF(AND(CT$5&gt;$E95,CT$5&lt;=$F95),IF(CT$5=$E95+1,$C95,""),"")</f>
        <v/>
      </c>
      <c r="CU95" s="34">
        <f>IF(AND(CU$5&gt;$E95,CU$5&lt;=$F95),IF(CU$5=$E95+1,$C95,""),"")</f>
        <v/>
      </c>
      <c r="CV95" s="34">
        <f>IF(AND(CV$5&gt;$E95,CV$5&lt;=$F95),IF(CV$5=$E95+1,$C95,""),"")</f>
        <v/>
      </c>
      <c r="CW95" s="34">
        <f>IF(AND(CW$5&gt;$E95,CW$5&lt;=$F95),IF(CW$5=$E95+1,$C95,""),"")</f>
        <v/>
      </c>
      <c r="CX95" s="34">
        <f>IF(AND(CX$5&gt;$E95,CX$5&lt;=$F95),IF(CX$5=$E95+1,$C95,""),"")</f>
        <v/>
      </c>
      <c r="CY95" s="34">
        <f>IF(AND(CY$5&gt;$E95,CY$5&lt;=$F95),IF(CY$5=$E95+1,$C95,""),"")</f>
        <v/>
      </c>
      <c r="CZ95" s="34">
        <f>IF(AND(CZ$5&gt;$E95,CZ$5&lt;=$F95),IF(CZ$5=$E95+1,$C95,""),"")</f>
        <v/>
      </c>
      <c r="DA95" s="34">
        <f>IF(AND(DA$5&gt;$E95,DA$5&lt;=$F95),IF(DA$5=$E95+1,$C95,""),"")</f>
        <v/>
      </c>
      <c r="DB95" s="34">
        <f>IF(AND(DB$5&gt;$E95,DB$5&lt;=$F95),IF(DB$5=$E95+1,$C95,""),"")</f>
        <v/>
      </c>
      <c r="DC95" s="34">
        <f>IF(AND(DC$5&gt;$E95,DC$5&lt;=$F95),IF(DC$5=$E95+1,$C95,""),"")</f>
        <v/>
      </c>
      <c r="DD95" s="34">
        <f>IF(AND(DD$5&gt;$E95,DD$5&lt;=$F95),IF(DD$5=$E95+1,$C95,""),"")</f>
        <v/>
      </c>
      <c r="DE95" s="34">
        <f>IF(AND(DE$5&gt;$E95,DE$5&lt;=$F95),IF(DE$5=$E95+1,$C95,""),"")</f>
        <v/>
      </c>
      <c r="DF95" s="34">
        <f>IF(AND(DF$5&gt;$E95,DF$5&lt;=$F95),IF(DF$5=$E95+1,$C95,""),"")</f>
        <v/>
      </c>
      <c r="DG95" s="34">
        <f>IF(AND(DG$5&gt;$E95,DG$5&lt;=$F95),IF(DG$5=$E95+1,$C95,""),"")</f>
        <v/>
      </c>
      <c r="DH95" s="34">
        <f>IF(AND(DH$5&gt;$E95,DH$5&lt;=$F95),IF(DH$5=$E95+1,$C95,""),"")</f>
        <v/>
      </c>
      <c r="DI95" s="34">
        <f>IF(AND(DI$5&gt;$E95,DI$5&lt;=$F95),IF(DI$5=$E95+1,$C95,""),"")</f>
        <v/>
      </c>
      <c r="DJ95" s="34">
        <f>IF(AND(DJ$5&gt;$E95,DJ$5&lt;=$F95),IF(DJ$5=$E95+1,$C95,""),"")</f>
        <v/>
      </c>
      <c r="DK95" s="34">
        <f>IF(AND(DK$5&gt;$E95,DK$5&lt;=$F95),IF(DK$5=$E95+1,$C95,""),"")</f>
        <v/>
      </c>
      <c r="DL95" s="34">
        <f>IF(AND(DL$5&gt;$E95,DL$5&lt;=$F95),IF(DL$5=$E95+1,$C95,""),"")</f>
        <v/>
      </c>
      <c r="DM95" s="34">
        <f>IF(AND(DM$5&gt;$E95,DM$5&lt;=$F95),IF(DM$5=$E95+1,$C95,""),"")</f>
        <v/>
      </c>
      <c r="DN95" s="34">
        <f>IF(AND(DN$5&gt;$E95,DN$5&lt;=$F95),IF(DN$5=$E95+1,$C95,""),"")</f>
        <v/>
      </c>
      <c r="DO95" s="34">
        <f>IF(AND(DO$5&gt;$E95,DO$5&lt;=$F95),IF(DO$5=$E95+1,$C95,""),"")</f>
        <v/>
      </c>
      <c r="DP95" s="34">
        <f>IF(AND(DP$5&gt;$E95,DP$5&lt;=$F95),IF(DP$5=$E95+1,$C95,""),"")</f>
        <v/>
      </c>
      <c r="DQ95" s="34">
        <f>IF(AND(DQ$5&gt;$E95,DQ$5&lt;=$F95),IF(DQ$5=$E95+1,$C95,""),"")</f>
        <v/>
      </c>
      <c r="DR95" s="34">
        <f>IF(AND(DR$5&gt;$E95,DR$5&lt;=$F95),IF(DR$5=$E95+1,$C95,""),"")</f>
        <v/>
      </c>
      <c r="DS95" s="34">
        <f>IF(AND(DS$5&gt;$E95,DS$5&lt;=$F95),IF(DS$5=$E95+1,$C95,""),"")</f>
        <v/>
      </c>
      <c r="DT95" s="34">
        <f>IF(AND(DT$5&gt;$E95,DT$5&lt;=$F95),IF(DT$5=$E95+1,$C95,""),"")</f>
        <v/>
      </c>
      <c r="DU95" s="34">
        <f>IF(AND(DU$5&gt;$E95,DU$5&lt;=$F95),IF(DU$5=$E95+1,$C95,""),"")</f>
        <v/>
      </c>
      <c r="DV95" s="34">
        <f>IF(AND(DV$5&gt;$E95,DV$5&lt;=$F95),IF(DV$5=$E95+1,$C95,""),"")</f>
        <v/>
      </c>
      <c r="DW95" s="34">
        <f>IF(AND(DW$5&gt;$E95,DW$5&lt;=$F95),IF(DW$5=$E95+1,$C95,""),"")</f>
        <v/>
      </c>
      <c r="DX95" s="34">
        <f>IF(AND(DX$5&gt;$E95,DX$5&lt;=$F95),IF(DX$5=$E95+1,$C95,""),"")</f>
        <v/>
      </c>
      <c r="DY95" s="34">
        <f>IF(AND(DY$5&gt;$E95,DY$5&lt;=$F95),IF(DY$5=$E95+1,$C95,""),"")</f>
        <v/>
      </c>
      <c r="DZ95" s="34">
        <f>IF(AND(DZ$5&gt;$E95,DZ$5&lt;=$F95),IF(DZ$5=$E95+1,$C95,""),"")</f>
        <v/>
      </c>
      <c r="EA95" s="34">
        <f>IF(AND(EA$5&gt;$E95,EA$5&lt;=$F95),IF(EA$5=$E95+1,$C95,""),"")</f>
        <v/>
      </c>
      <c r="EB95" s="34">
        <f>IF(AND(EB$5&gt;$E95,EB$5&lt;=$F95),IF(EB$5=$E95+1,$C95,""),"")</f>
        <v/>
      </c>
      <c r="EC95" s="34">
        <f>IF(AND(EC$5&gt;$E95,EC$5&lt;=$F95),IF(EC$5=$E95+1,$C95,""),"")</f>
        <v/>
      </c>
      <c r="ED95" s="34">
        <f>IF(AND(ED$5&gt;$E95,ED$5&lt;=$F95),IF(ED$5=$E95+1,$C95,""),"")</f>
        <v/>
      </c>
      <c r="EE95" s="34">
        <f>IF(AND(EE$5&gt;$E95,EE$5&lt;=$F95),IF(EE$5=$E95+1,$C95,""),"")</f>
        <v/>
      </c>
      <c r="EF95" s="34">
        <f>IF(AND(EF$5&gt;$E95,EF$5&lt;=$F95),IF(EF$5=$E95+1,$C95,""),"")</f>
        <v/>
      </c>
      <c r="EG95" s="34">
        <f>IF(AND(EG$5&gt;$E95,EG$5&lt;=$F95),IF(EG$5=$E95+1,$C95,""),"")</f>
        <v/>
      </c>
    </row>
    <row r="96">
      <c r="A96" s="32">
        <f>Plan!A66</f>
        <v/>
      </c>
      <c r="B96" s="33">
        <f>Plan!C66</f>
        <v/>
      </c>
      <c r="C96" s="16">
        <f>Plan!D66</f>
        <v/>
      </c>
      <c r="D96" s="16">
        <f>Plan!I66</f>
        <v/>
      </c>
      <c r="E96" s="16">
        <f>Plan!K66</f>
        <v/>
      </c>
      <c r="F96" s="16">
        <f>Plan!L66</f>
        <v/>
      </c>
      <c r="G96" s="16">
        <f>Plan!O66</f>
        <v/>
      </c>
      <c r="H96" s="34">
        <f>IF(AND(H$5&gt;$E96,H$5&lt;=$F96),IF(H$5=$E96+1,$C96,""),"")</f>
        <v/>
      </c>
      <c r="I96" s="34">
        <f>IF(AND(I$5&gt;$E96,I$5&lt;=$F96),IF(I$5=$E96+1,$C96,""),"")</f>
        <v/>
      </c>
      <c r="J96" s="34">
        <f>IF(AND(J$5&gt;$E96,J$5&lt;=$F96),IF(J$5=$E96+1,$C96,""),"")</f>
        <v/>
      </c>
      <c r="K96" s="34">
        <f>IF(AND(K$5&gt;$E96,K$5&lt;=$F96),IF(K$5=$E96+1,$C96,""),"")</f>
        <v/>
      </c>
      <c r="L96" s="34">
        <f>IF(AND(L$5&gt;$E96,L$5&lt;=$F96),IF(L$5=$E96+1,$C96,""),"")</f>
        <v/>
      </c>
      <c r="M96" s="34">
        <f>IF(AND(M$5&gt;$E96,M$5&lt;=$F96),IF(M$5=$E96+1,$C96,""),"")</f>
        <v/>
      </c>
      <c r="N96" s="34">
        <f>IF(AND(N$5&gt;$E96,N$5&lt;=$F96),IF(N$5=$E96+1,$C96,""),"")</f>
        <v/>
      </c>
      <c r="O96" s="34">
        <f>IF(AND(O$5&gt;$E96,O$5&lt;=$F96),IF(O$5=$E96+1,$C96,""),"")</f>
        <v/>
      </c>
      <c r="P96" s="34">
        <f>IF(AND(P$5&gt;$E96,P$5&lt;=$F96),IF(P$5=$E96+1,$C96,""),"")</f>
        <v/>
      </c>
      <c r="Q96" s="34">
        <f>IF(AND(Q$5&gt;$E96,Q$5&lt;=$F96),IF(Q$5=$E96+1,$C96,""),"")</f>
        <v/>
      </c>
      <c r="R96" s="34">
        <f>IF(AND(R$5&gt;$E96,R$5&lt;=$F96),IF(R$5=$E96+1,$C96,""),"")</f>
        <v/>
      </c>
      <c r="S96" s="34">
        <f>IF(AND(S$5&gt;$E96,S$5&lt;=$F96),IF(S$5=$E96+1,$C96,""),"")</f>
        <v/>
      </c>
      <c r="T96" s="34">
        <f>IF(AND(T$5&gt;$E96,T$5&lt;=$F96),IF(T$5=$E96+1,$C96,""),"")</f>
        <v/>
      </c>
      <c r="U96" s="34">
        <f>IF(AND(U$5&gt;$E96,U$5&lt;=$F96),IF(U$5=$E96+1,$C96,""),"")</f>
        <v/>
      </c>
      <c r="V96" s="34">
        <f>IF(AND(V$5&gt;$E96,V$5&lt;=$F96),IF(V$5=$E96+1,$C96,""),"")</f>
        <v/>
      </c>
      <c r="W96" s="34">
        <f>IF(AND(W$5&gt;$E96,W$5&lt;=$F96),IF(W$5=$E96+1,$C96,""),"")</f>
        <v/>
      </c>
      <c r="X96" s="34">
        <f>IF(AND(X$5&gt;$E96,X$5&lt;=$F96),IF(X$5=$E96+1,$C96,""),"")</f>
        <v/>
      </c>
      <c r="Y96" s="34">
        <f>IF(AND(Y$5&gt;$E96,Y$5&lt;=$F96),IF(Y$5=$E96+1,$C96,""),"")</f>
        <v/>
      </c>
      <c r="Z96" s="34">
        <f>IF(AND(Z$5&gt;$E96,Z$5&lt;=$F96),IF(Z$5=$E96+1,$C96,""),"")</f>
        <v/>
      </c>
      <c r="AA96" s="34">
        <f>IF(AND(AA$5&gt;$E96,AA$5&lt;=$F96),IF(AA$5=$E96+1,$C96,""),"")</f>
        <v/>
      </c>
      <c r="AB96" s="34">
        <f>IF(AND(AB$5&gt;$E96,AB$5&lt;=$F96),IF(AB$5=$E96+1,$C96,""),"")</f>
        <v/>
      </c>
      <c r="AC96" s="34">
        <f>IF(AND(AC$5&gt;$E96,AC$5&lt;=$F96),IF(AC$5=$E96+1,$C96,""),"")</f>
        <v/>
      </c>
      <c r="AD96" s="34">
        <f>IF(AND(AD$5&gt;$E96,AD$5&lt;=$F96),IF(AD$5=$E96+1,$C96,""),"")</f>
        <v/>
      </c>
      <c r="AE96" s="34">
        <f>IF(AND(AE$5&gt;$E96,AE$5&lt;=$F96),IF(AE$5=$E96+1,$C96,""),"")</f>
        <v/>
      </c>
      <c r="AF96" s="34">
        <f>IF(AND(AF$5&gt;$E96,AF$5&lt;=$F96),IF(AF$5=$E96+1,$C96,""),"")</f>
        <v/>
      </c>
      <c r="AG96" s="34">
        <f>IF(AND(AG$5&gt;$E96,AG$5&lt;=$F96),IF(AG$5=$E96+1,$C96,""),"")</f>
        <v/>
      </c>
      <c r="AH96" s="34">
        <f>IF(AND(AH$5&gt;$E96,AH$5&lt;=$F96),IF(AH$5=$E96+1,$C96,""),"")</f>
        <v/>
      </c>
      <c r="AI96" s="34">
        <f>IF(AND(AI$5&gt;$E96,AI$5&lt;=$F96),IF(AI$5=$E96+1,$C96,""),"")</f>
        <v/>
      </c>
      <c r="AJ96" s="34">
        <f>IF(AND(AJ$5&gt;$E96,AJ$5&lt;=$F96),IF(AJ$5=$E96+1,$C96,""),"")</f>
        <v/>
      </c>
      <c r="AK96" s="34">
        <f>IF(AND(AK$5&gt;$E96,AK$5&lt;=$F96),IF(AK$5=$E96+1,$C96,""),"")</f>
        <v/>
      </c>
      <c r="AL96" s="34">
        <f>IF(AND(AL$5&gt;$E96,AL$5&lt;=$F96),IF(AL$5=$E96+1,$C96,""),"")</f>
        <v/>
      </c>
      <c r="AM96" s="34">
        <f>IF(AND(AM$5&gt;$E96,AM$5&lt;=$F96),IF(AM$5=$E96+1,$C96,""),"")</f>
        <v/>
      </c>
      <c r="AN96" s="34">
        <f>IF(AND(AN$5&gt;$E96,AN$5&lt;=$F96),IF(AN$5=$E96+1,$C96,""),"")</f>
        <v/>
      </c>
      <c r="AO96" s="34">
        <f>IF(AND(AO$5&gt;$E96,AO$5&lt;=$F96),IF(AO$5=$E96+1,$C96,""),"")</f>
        <v/>
      </c>
      <c r="AP96" s="34">
        <f>IF(AND(AP$5&gt;$E96,AP$5&lt;=$F96),IF(AP$5=$E96+1,$C96,""),"")</f>
        <v/>
      </c>
      <c r="AQ96" s="34">
        <f>IF(AND(AQ$5&gt;$E96,AQ$5&lt;=$F96),IF(AQ$5=$E96+1,$C96,""),"")</f>
        <v/>
      </c>
      <c r="AR96" s="34">
        <f>IF(AND(AR$5&gt;$E96,AR$5&lt;=$F96),IF(AR$5=$E96+1,$C96,""),"")</f>
        <v/>
      </c>
      <c r="AS96" s="34">
        <f>IF(AND(AS$5&gt;$E96,AS$5&lt;=$F96),IF(AS$5=$E96+1,$C96,""),"")</f>
        <v/>
      </c>
      <c r="AT96" s="34">
        <f>IF(AND(AT$5&gt;$E96,AT$5&lt;=$F96),IF(AT$5=$E96+1,$C96,""),"")</f>
        <v/>
      </c>
      <c r="AU96" s="34">
        <f>IF(AND(AU$5&gt;$E96,AU$5&lt;=$F96),IF(AU$5=$E96+1,$C96,""),"")</f>
        <v/>
      </c>
      <c r="AV96" s="34">
        <f>IF(AND(AV$5&gt;$E96,AV$5&lt;=$F96),IF(AV$5=$E96+1,$C96,""),"")</f>
        <v/>
      </c>
      <c r="AW96" s="34">
        <f>IF(AND(AW$5&gt;$E96,AW$5&lt;=$F96),IF(AW$5=$E96+1,$C96,""),"")</f>
        <v/>
      </c>
      <c r="AX96" s="34">
        <f>IF(AND(AX$5&gt;$E96,AX$5&lt;=$F96),IF(AX$5=$E96+1,$C96,""),"")</f>
        <v/>
      </c>
      <c r="AY96" s="34">
        <f>IF(AND(AY$5&gt;$E96,AY$5&lt;=$F96),IF(AY$5=$E96+1,$C96,""),"")</f>
        <v/>
      </c>
      <c r="AZ96" s="34">
        <f>IF(AND(AZ$5&gt;$E96,AZ$5&lt;=$F96),IF(AZ$5=$E96+1,$C96,""),"")</f>
        <v/>
      </c>
      <c r="BA96" s="34">
        <f>IF(AND(BA$5&gt;$E96,BA$5&lt;=$F96),IF(BA$5=$E96+1,$C96,""),"")</f>
        <v/>
      </c>
      <c r="BB96" s="34">
        <f>IF(AND(BB$5&gt;$E96,BB$5&lt;=$F96),IF(BB$5=$E96+1,$C96,""),"")</f>
        <v/>
      </c>
      <c r="BC96" s="34">
        <f>IF(AND(BC$5&gt;$E96,BC$5&lt;=$F96),IF(BC$5=$E96+1,$C96,""),"")</f>
        <v/>
      </c>
      <c r="BD96" s="34">
        <f>IF(AND(BD$5&gt;$E96,BD$5&lt;=$F96),IF(BD$5=$E96+1,$C96,""),"")</f>
        <v/>
      </c>
      <c r="BE96" s="34">
        <f>IF(AND(BE$5&gt;$E96,BE$5&lt;=$F96),IF(BE$5=$E96+1,$C96,""),"")</f>
        <v/>
      </c>
      <c r="BF96" s="34">
        <f>IF(AND(BF$5&gt;$E96,BF$5&lt;=$F96),IF(BF$5=$E96+1,$C96,""),"")</f>
        <v/>
      </c>
      <c r="BG96" s="34">
        <f>IF(AND(BG$5&gt;$E96,BG$5&lt;=$F96),IF(BG$5=$E96+1,$C96,""),"")</f>
        <v/>
      </c>
      <c r="BH96" s="34">
        <f>IF(AND(BH$5&gt;$E96,BH$5&lt;=$F96),IF(BH$5=$E96+1,$C96,""),"")</f>
        <v/>
      </c>
      <c r="BI96" s="34">
        <f>IF(AND(BI$5&gt;$E96,BI$5&lt;=$F96),IF(BI$5=$E96+1,$C96,""),"")</f>
        <v/>
      </c>
      <c r="BJ96" s="34">
        <f>IF(AND(BJ$5&gt;$E96,BJ$5&lt;=$F96),IF(BJ$5=$E96+1,$C96,""),"")</f>
        <v/>
      </c>
      <c r="BK96" s="34">
        <f>IF(AND(BK$5&gt;$E96,BK$5&lt;=$F96),IF(BK$5=$E96+1,$C96,""),"")</f>
        <v/>
      </c>
      <c r="BL96" s="34">
        <f>IF(AND(BL$5&gt;$E96,BL$5&lt;=$F96),IF(BL$5=$E96+1,$C96,""),"")</f>
        <v/>
      </c>
      <c r="BM96" s="34">
        <f>IF(AND(BM$5&gt;$E96,BM$5&lt;=$F96),IF(BM$5=$E96+1,$C96,""),"")</f>
        <v/>
      </c>
      <c r="BN96" s="34">
        <f>IF(AND(BN$5&gt;$E96,BN$5&lt;=$F96),IF(BN$5=$E96+1,$C96,""),"")</f>
        <v/>
      </c>
      <c r="BO96" s="34">
        <f>IF(AND(BO$5&gt;$E96,BO$5&lt;=$F96),IF(BO$5=$E96+1,$C96,""),"")</f>
        <v/>
      </c>
      <c r="BP96" s="34">
        <f>IF(AND(BP$5&gt;$E96,BP$5&lt;=$F96),IF(BP$5=$E96+1,$C96,""),"")</f>
        <v/>
      </c>
      <c r="BQ96" s="34">
        <f>IF(AND(BQ$5&gt;$E96,BQ$5&lt;=$F96),IF(BQ$5=$E96+1,$C96,""),"")</f>
        <v/>
      </c>
      <c r="BR96" s="34">
        <f>IF(AND(BR$5&gt;$E96,BR$5&lt;=$F96),IF(BR$5=$E96+1,$C96,""),"")</f>
        <v/>
      </c>
      <c r="BS96" s="34">
        <f>IF(AND(BS$5&gt;$E96,BS$5&lt;=$F96),IF(BS$5=$E96+1,$C96,""),"")</f>
        <v/>
      </c>
      <c r="BT96" s="34">
        <f>IF(AND(BT$5&gt;$E96,BT$5&lt;=$F96),IF(BT$5=$E96+1,$C96,""),"")</f>
        <v/>
      </c>
      <c r="BU96" s="34">
        <f>IF(AND(BU$5&gt;$E96,BU$5&lt;=$F96),IF(BU$5=$E96+1,$C96,""),"")</f>
        <v/>
      </c>
      <c r="BV96" s="34">
        <f>IF(AND(BV$5&gt;$E96,BV$5&lt;=$F96),IF(BV$5=$E96+1,$C96,""),"")</f>
        <v/>
      </c>
      <c r="BW96" s="34">
        <f>IF(AND(BW$5&gt;$E96,BW$5&lt;=$F96),IF(BW$5=$E96+1,$C96,""),"")</f>
        <v/>
      </c>
      <c r="BX96" s="34">
        <f>IF(AND(BX$5&gt;$E96,BX$5&lt;=$F96),IF(BX$5=$E96+1,$C96,""),"")</f>
        <v/>
      </c>
      <c r="BY96" s="34">
        <f>IF(AND(BY$5&gt;$E96,BY$5&lt;=$F96),IF(BY$5=$E96+1,$C96,""),"")</f>
        <v/>
      </c>
      <c r="BZ96" s="34">
        <f>IF(AND(BZ$5&gt;$E96,BZ$5&lt;=$F96),IF(BZ$5=$E96+1,$C96,""),"")</f>
        <v/>
      </c>
      <c r="CA96" s="34">
        <f>IF(AND(CA$5&gt;$E96,CA$5&lt;=$F96),IF(CA$5=$E96+1,$C96,""),"")</f>
        <v/>
      </c>
      <c r="CB96" s="34">
        <f>IF(AND(CB$5&gt;$E96,CB$5&lt;=$F96),IF(CB$5=$E96+1,$C96,""),"")</f>
        <v/>
      </c>
      <c r="CC96" s="34">
        <f>IF(AND(CC$5&gt;$E96,CC$5&lt;=$F96),IF(CC$5=$E96+1,$C96,""),"")</f>
        <v/>
      </c>
      <c r="CD96" s="34">
        <f>IF(AND(CD$5&gt;$E96,CD$5&lt;=$F96),IF(CD$5=$E96+1,$C96,""),"")</f>
        <v/>
      </c>
      <c r="CE96" s="34">
        <f>IF(AND(CE$5&gt;$E96,CE$5&lt;=$F96),IF(CE$5=$E96+1,$C96,""),"")</f>
        <v/>
      </c>
      <c r="CF96" s="34">
        <f>IF(AND(CF$5&gt;$E96,CF$5&lt;=$F96),IF(CF$5=$E96+1,$C96,""),"")</f>
        <v/>
      </c>
      <c r="CG96" s="34">
        <f>IF(AND(CG$5&gt;$E96,CG$5&lt;=$F96),IF(CG$5=$E96+1,$C96,""),"")</f>
        <v/>
      </c>
      <c r="CH96" s="34">
        <f>IF(AND(CH$5&gt;$E96,CH$5&lt;=$F96),IF(CH$5=$E96+1,$C96,""),"")</f>
        <v/>
      </c>
      <c r="CI96" s="34">
        <f>IF(AND(CI$5&gt;$E96,CI$5&lt;=$F96),IF(CI$5=$E96+1,$C96,""),"")</f>
        <v/>
      </c>
      <c r="CJ96" s="34">
        <f>IF(AND(CJ$5&gt;$E96,CJ$5&lt;=$F96),IF(CJ$5=$E96+1,$C96,""),"")</f>
        <v/>
      </c>
      <c r="CK96" s="34">
        <f>IF(AND(CK$5&gt;$E96,CK$5&lt;=$F96),IF(CK$5=$E96+1,$C96,""),"")</f>
        <v/>
      </c>
      <c r="CL96" s="34">
        <f>IF(AND(CL$5&gt;$E96,CL$5&lt;=$F96),IF(CL$5=$E96+1,$C96,""),"")</f>
        <v/>
      </c>
      <c r="CM96" s="34">
        <f>IF(AND(CM$5&gt;$E96,CM$5&lt;=$F96),IF(CM$5=$E96+1,$C96,""),"")</f>
        <v/>
      </c>
      <c r="CN96" s="34">
        <f>IF(AND(CN$5&gt;$E96,CN$5&lt;=$F96),IF(CN$5=$E96+1,$C96,""),"")</f>
        <v/>
      </c>
      <c r="CO96" s="34">
        <f>IF(AND(CO$5&gt;$E96,CO$5&lt;=$F96),IF(CO$5=$E96+1,$C96,""),"")</f>
        <v/>
      </c>
      <c r="CP96" s="34">
        <f>IF(AND(CP$5&gt;$E96,CP$5&lt;=$F96),IF(CP$5=$E96+1,$C96,""),"")</f>
        <v/>
      </c>
      <c r="CQ96" s="34">
        <f>IF(AND(CQ$5&gt;$E96,CQ$5&lt;=$F96),IF(CQ$5=$E96+1,$C96,""),"")</f>
        <v/>
      </c>
      <c r="CR96" s="34">
        <f>IF(AND(CR$5&gt;$E96,CR$5&lt;=$F96),IF(CR$5=$E96+1,$C96,""),"")</f>
        <v/>
      </c>
      <c r="CS96" s="34">
        <f>IF(AND(CS$5&gt;$E96,CS$5&lt;=$F96),IF(CS$5=$E96+1,$C96,""),"")</f>
        <v/>
      </c>
      <c r="CT96" s="34">
        <f>IF(AND(CT$5&gt;$E96,CT$5&lt;=$F96),IF(CT$5=$E96+1,$C96,""),"")</f>
        <v/>
      </c>
      <c r="CU96" s="34">
        <f>IF(AND(CU$5&gt;$E96,CU$5&lt;=$F96),IF(CU$5=$E96+1,$C96,""),"")</f>
        <v/>
      </c>
      <c r="CV96" s="34">
        <f>IF(AND(CV$5&gt;$E96,CV$5&lt;=$F96),IF(CV$5=$E96+1,$C96,""),"")</f>
        <v/>
      </c>
      <c r="CW96" s="34">
        <f>IF(AND(CW$5&gt;$E96,CW$5&lt;=$F96),IF(CW$5=$E96+1,$C96,""),"")</f>
        <v/>
      </c>
      <c r="CX96" s="34">
        <f>IF(AND(CX$5&gt;$E96,CX$5&lt;=$F96),IF(CX$5=$E96+1,$C96,""),"")</f>
        <v/>
      </c>
      <c r="CY96" s="34">
        <f>IF(AND(CY$5&gt;$E96,CY$5&lt;=$F96),IF(CY$5=$E96+1,$C96,""),"")</f>
        <v/>
      </c>
      <c r="CZ96" s="34">
        <f>IF(AND(CZ$5&gt;$E96,CZ$5&lt;=$F96),IF(CZ$5=$E96+1,$C96,""),"")</f>
        <v/>
      </c>
      <c r="DA96" s="34">
        <f>IF(AND(DA$5&gt;$E96,DA$5&lt;=$F96),IF(DA$5=$E96+1,$C96,""),"")</f>
        <v/>
      </c>
      <c r="DB96" s="34">
        <f>IF(AND(DB$5&gt;$E96,DB$5&lt;=$F96),IF(DB$5=$E96+1,$C96,""),"")</f>
        <v/>
      </c>
      <c r="DC96" s="34">
        <f>IF(AND(DC$5&gt;$E96,DC$5&lt;=$F96),IF(DC$5=$E96+1,$C96,""),"")</f>
        <v/>
      </c>
      <c r="DD96" s="34">
        <f>IF(AND(DD$5&gt;$E96,DD$5&lt;=$F96),IF(DD$5=$E96+1,$C96,""),"")</f>
        <v/>
      </c>
      <c r="DE96" s="34">
        <f>IF(AND(DE$5&gt;$E96,DE$5&lt;=$F96),IF(DE$5=$E96+1,$C96,""),"")</f>
        <v/>
      </c>
      <c r="DF96" s="34">
        <f>IF(AND(DF$5&gt;$E96,DF$5&lt;=$F96),IF(DF$5=$E96+1,$C96,""),"")</f>
        <v/>
      </c>
      <c r="DG96" s="34">
        <f>IF(AND(DG$5&gt;$E96,DG$5&lt;=$F96),IF(DG$5=$E96+1,$C96,""),"")</f>
        <v/>
      </c>
      <c r="DH96" s="34">
        <f>IF(AND(DH$5&gt;$E96,DH$5&lt;=$F96),IF(DH$5=$E96+1,$C96,""),"")</f>
        <v/>
      </c>
      <c r="DI96" s="34">
        <f>IF(AND(DI$5&gt;$E96,DI$5&lt;=$F96),IF(DI$5=$E96+1,$C96,""),"")</f>
        <v/>
      </c>
      <c r="DJ96" s="34">
        <f>IF(AND(DJ$5&gt;$E96,DJ$5&lt;=$F96),IF(DJ$5=$E96+1,$C96,""),"")</f>
        <v/>
      </c>
      <c r="DK96" s="34">
        <f>IF(AND(DK$5&gt;$E96,DK$5&lt;=$F96),IF(DK$5=$E96+1,$C96,""),"")</f>
        <v/>
      </c>
      <c r="DL96" s="34">
        <f>IF(AND(DL$5&gt;$E96,DL$5&lt;=$F96),IF(DL$5=$E96+1,$C96,""),"")</f>
        <v/>
      </c>
      <c r="DM96" s="34">
        <f>IF(AND(DM$5&gt;$E96,DM$5&lt;=$F96),IF(DM$5=$E96+1,$C96,""),"")</f>
        <v/>
      </c>
      <c r="DN96" s="34">
        <f>IF(AND(DN$5&gt;$E96,DN$5&lt;=$F96),IF(DN$5=$E96+1,$C96,""),"")</f>
        <v/>
      </c>
      <c r="DO96" s="34">
        <f>IF(AND(DO$5&gt;$E96,DO$5&lt;=$F96),IF(DO$5=$E96+1,$C96,""),"")</f>
        <v/>
      </c>
      <c r="DP96" s="34">
        <f>IF(AND(DP$5&gt;$E96,DP$5&lt;=$F96),IF(DP$5=$E96+1,$C96,""),"")</f>
        <v/>
      </c>
      <c r="DQ96" s="34">
        <f>IF(AND(DQ$5&gt;$E96,DQ$5&lt;=$F96),IF(DQ$5=$E96+1,$C96,""),"")</f>
        <v/>
      </c>
      <c r="DR96" s="34">
        <f>IF(AND(DR$5&gt;$E96,DR$5&lt;=$F96),IF(DR$5=$E96+1,$C96,""),"")</f>
        <v/>
      </c>
      <c r="DS96" s="34">
        <f>IF(AND(DS$5&gt;$E96,DS$5&lt;=$F96),IF(DS$5=$E96+1,$C96,""),"")</f>
        <v/>
      </c>
      <c r="DT96" s="34">
        <f>IF(AND(DT$5&gt;$E96,DT$5&lt;=$F96),IF(DT$5=$E96+1,$C96,""),"")</f>
        <v/>
      </c>
      <c r="DU96" s="34">
        <f>IF(AND(DU$5&gt;$E96,DU$5&lt;=$F96),IF(DU$5=$E96+1,$C96,""),"")</f>
        <v/>
      </c>
      <c r="DV96" s="34">
        <f>IF(AND(DV$5&gt;$E96,DV$5&lt;=$F96),IF(DV$5=$E96+1,$C96,""),"")</f>
        <v/>
      </c>
      <c r="DW96" s="34">
        <f>IF(AND(DW$5&gt;$E96,DW$5&lt;=$F96),IF(DW$5=$E96+1,$C96,""),"")</f>
        <v/>
      </c>
      <c r="DX96" s="34">
        <f>IF(AND(DX$5&gt;$E96,DX$5&lt;=$F96),IF(DX$5=$E96+1,$C96,""),"")</f>
        <v/>
      </c>
      <c r="DY96" s="34">
        <f>IF(AND(DY$5&gt;$E96,DY$5&lt;=$F96),IF(DY$5=$E96+1,$C96,""),"")</f>
        <v/>
      </c>
      <c r="DZ96" s="34">
        <f>IF(AND(DZ$5&gt;$E96,DZ$5&lt;=$F96),IF(DZ$5=$E96+1,$C96,""),"")</f>
        <v/>
      </c>
      <c r="EA96" s="34">
        <f>IF(AND(EA$5&gt;$E96,EA$5&lt;=$F96),IF(EA$5=$E96+1,$C96,""),"")</f>
        <v/>
      </c>
      <c r="EB96" s="34">
        <f>IF(AND(EB$5&gt;$E96,EB$5&lt;=$F96),IF(EB$5=$E96+1,$C96,""),"")</f>
        <v/>
      </c>
      <c r="EC96" s="34">
        <f>IF(AND(EC$5&gt;$E96,EC$5&lt;=$F96),IF(EC$5=$E96+1,$C96,""),"")</f>
        <v/>
      </c>
      <c r="ED96" s="34">
        <f>IF(AND(ED$5&gt;$E96,ED$5&lt;=$F96),IF(ED$5=$E96+1,$C96,""),"")</f>
        <v/>
      </c>
      <c r="EE96" s="34">
        <f>IF(AND(EE$5&gt;$E96,EE$5&lt;=$F96),IF(EE$5=$E96+1,$C96,""),"")</f>
        <v/>
      </c>
      <c r="EF96" s="34">
        <f>IF(AND(EF$5&gt;$E96,EF$5&lt;=$F96),IF(EF$5=$E96+1,$C96,""),"")</f>
        <v/>
      </c>
      <c r="EG96" s="34">
        <f>IF(AND(EG$5&gt;$E96,EG$5&lt;=$F96),IF(EG$5=$E96+1,$C96,""),"")</f>
        <v/>
      </c>
    </row>
    <row r="97">
      <c r="A97" s="32">
        <f>Plan!A67</f>
        <v/>
      </c>
      <c r="B97" s="33">
        <f>Plan!C67</f>
        <v/>
      </c>
      <c r="C97" s="16">
        <f>Plan!D67</f>
        <v/>
      </c>
      <c r="D97" s="16">
        <f>Plan!I67</f>
        <v/>
      </c>
      <c r="E97" s="16">
        <f>Plan!K67</f>
        <v/>
      </c>
      <c r="F97" s="16">
        <f>Plan!L67</f>
        <v/>
      </c>
      <c r="G97" s="16">
        <f>Plan!O67</f>
        <v/>
      </c>
      <c r="H97" s="34">
        <f>IF(AND(H$5&gt;$E97,H$5&lt;=$F97),IF(H$5=$E97+1,$C97,""),"")</f>
        <v/>
      </c>
      <c r="I97" s="34">
        <f>IF(AND(I$5&gt;$E97,I$5&lt;=$F97),IF(I$5=$E97+1,$C97,""),"")</f>
        <v/>
      </c>
      <c r="J97" s="34">
        <f>IF(AND(J$5&gt;$E97,J$5&lt;=$F97),IF(J$5=$E97+1,$C97,""),"")</f>
        <v/>
      </c>
      <c r="K97" s="34">
        <f>IF(AND(K$5&gt;$E97,K$5&lt;=$F97),IF(K$5=$E97+1,$C97,""),"")</f>
        <v/>
      </c>
      <c r="L97" s="34">
        <f>IF(AND(L$5&gt;$E97,L$5&lt;=$F97),IF(L$5=$E97+1,$C97,""),"")</f>
        <v/>
      </c>
      <c r="M97" s="34">
        <f>IF(AND(M$5&gt;$E97,M$5&lt;=$F97),IF(M$5=$E97+1,$C97,""),"")</f>
        <v/>
      </c>
      <c r="N97" s="34">
        <f>IF(AND(N$5&gt;$E97,N$5&lt;=$F97),IF(N$5=$E97+1,$C97,""),"")</f>
        <v/>
      </c>
      <c r="O97" s="34">
        <f>IF(AND(O$5&gt;$E97,O$5&lt;=$F97),IF(O$5=$E97+1,$C97,""),"")</f>
        <v/>
      </c>
      <c r="P97" s="34">
        <f>IF(AND(P$5&gt;$E97,P$5&lt;=$F97),IF(P$5=$E97+1,$C97,""),"")</f>
        <v/>
      </c>
      <c r="Q97" s="34">
        <f>IF(AND(Q$5&gt;$E97,Q$5&lt;=$F97),IF(Q$5=$E97+1,$C97,""),"")</f>
        <v/>
      </c>
      <c r="R97" s="34">
        <f>IF(AND(R$5&gt;$E97,R$5&lt;=$F97),IF(R$5=$E97+1,$C97,""),"")</f>
        <v/>
      </c>
      <c r="S97" s="34">
        <f>IF(AND(S$5&gt;$E97,S$5&lt;=$F97),IF(S$5=$E97+1,$C97,""),"")</f>
        <v/>
      </c>
      <c r="T97" s="34">
        <f>IF(AND(T$5&gt;$E97,T$5&lt;=$F97),IF(T$5=$E97+1,$C97,""),"")</f>
        <v/>
      </c>
      <c r="U97" s="34">
        <f>IF(AND(U$5&gt;$E97,U$5&lt;=$F97),IF(U$5=$E97+1,$C97,""),"")</f>
        <v/>
      </c>
      <c r="V97" s="34">
        <f>IF(AND(V$5&gt;$E97,V$5&lt;=$F97),IF(V$5=$E97+1,$C97,""),"")</f>
        <v/>
      </c>
      <c r="W97" s="34">
        <f>IF(AND(W$5&gt;$E97,W$5&lt;=$F97),IF(W$5=$E97+1,$C97,""),"")</f>
        <v/>
      </c>
      <c r="X97" s="34">
        <f>IF(AND(X$5&gt;$E97,X$5&lt;=$F97),IF(X$5=$E97+1,$C97,""),"")</f>
        <v/>
      </c>
      <c r="Y97" s="34">
        <f>IF(AND(Y$5&gt;$E97,Y$5&lt;=$F97),IF(Y$5=$E97+1,$C97,""),"")</f>
        <v/>
      </c>
      <c r="Z97" s="34">
        <f>IF(AND(Z$5&gt;$E97,Z$5&lt;=$F97),IF(Z$5=$E97+1,$C97,""),"")</f>
        <v/>
      </c>
      <c r="AA97" s="34">
        <f>IF(AND(AA$5&gt;$E97,AA$5&lt;=$F97),IF(AA$5=$E97+1,$C97,""),"")</f>
        <v/>
      </c>
      <c r="AB97" s="34">
        <f>IF(AND(AB$5&gt;$E97,AB$5&lt;=$F97),IF(AB$5=$E97+1,$C97,""),"")</f>
        <v/>
      </c>
      <c r="AC97" s="34">
        <f>IF(AND(AC$5&gt;$E97,AC$5&lt;=$F97),IF(AC$5=$E97+1,$C97,""),"")</f>
        <v/>
      </c>
      <c r="AD97" s="34">
        <f>IF(AND(AD$5&gt;$E97,AD$5&lt;=$F97),IF(AD$5=$E97+1,$C97,""),"")</f>
        <v/>
      </c>
      <c r="AE97" s="34">
        <f>IF(AND(AE$5&gt;$E97,AE$5&lt;=$F97),IF(AE$5=$E97+1,$C97,""),"")</f>
        <v/>
      </c>
      <c r="AF97" s="34">
        <f>IF(AND(AF$5&gt;$E97,AF$5&lt;=$F97),IF(AF$5=$E97+1,$C97,""),"")</f>
        <v/>
      </c>
      <c r="AG97" s="34">
        <f>IF(AND(AG$5&gt;$E97,AG$5&lt;=$F97),IF(AG$5=$E97+1,$C97,""),"")</f>
        <v/>
      </c>
      <c r="AH97" s="34">
        <f>IF(AND(AH$5&gt;$E97,AH$5&lt;=$F97),IF(AH$5=$E97+1,$C97,""),"")</f>
        <v/>
      </c>
      <c r="AI97" s="34">
        <f>IF(AND(AI$5&gt;$E97,AI$5&lt;=$F97),IF(AI$5=$E97+1,$C97,""),"")</f>
        <v/>
      </c>
      <c r="AJ97" s="34">
        <f>IF(AND(AJ$5&gt;$E97,AJ$5&lt;=$F97),IF(AJ$5=$E97+1,$C97,""),"")</f>
        <v/>
      </c>
      <c r="AK97" s="34">
        <f>IF(AND(AK$5&gt;$E97,AK$5&lt;=$F97),IF(AK$5=$E97+1,$C97,""),"")</f>
        <v/>
      </c>
      <c r="AL97" s="34">
        <f>IF(AND(AL$5&gt;$E97,AL$5&lt;=$F97),IF(AL$5=$E97+1,$C97,""),"")</f>
        <v/>
      </c>
      <c r="AM97" s="34">
        <f>IF(AND(AM$5&gt;$E97,AM$5&lt;=$F97),IF(AM$5=$E97+1,$C97,""),"")</f>
        <v/>
      </c>
      <c r="AN97" s="34">
        <f>IF(AND(AN$5&gt;$E97,AN$5&lt;=$F97),IF(AN$5=$E97+1,$C97,""),"")</f>
        <v/>
      </c>
      <c r="AO97" s="34">
        <f>IF(AND(AO$5&gt;$E97,AO$5&lt;=$F97),IF(AO$5=$E97+1,$C97,""),"")</f>
        <v/>
      </c>
      <c r="AP97" s="34">
        <f>IF(AND(AP$5&gt;$E97,AP$5&lt;=$F97),IF(AP$5=$E97+1,$C97,""),"")</f>
        <v/>
      </c>
      <c r="AQ97" s="34">
        <f>IF(AND(AQ$5&gt;$E97,AQ$5&lt;=$F97),IF(AQ$5=$E97+1,$C97,""),"")</f>
        <v/>
      </c>
      <c r="AR97" s="34">
        <f>IF(AND(AR$5&gt;$E97,AR$5&lt;=$F97),IF(AR$5=$E97+1,$C97,""),"")</f>
        <v/>
      </c>
      <c r="AS97" s="34">
        <f>IF(AND(AS$5&gt;$E97,AS$5&lt;=$F97),IF(AS$5=$E97+1,$C97,""),"")</f>
        <v/>
      </c>
      <c r="AT97" s="34">
        <f>IF(AND(AT$5&gt;$E97,AT$5&lt;=$F97),IF(AT$5=$E97+1,$C97,""),"")</f>
        <v/>
      </c>
      <c r="AU97" s="34">
        <f>IF(AND(AU$5&gt;$E97,AU$5&lt;=$F97),IF(AU$5=$E97+1,$C97,""),"")</f>
        <v/>
      </c>
      <c r="AV97" s="34">
        <f>IF(AND(AV$5&gt;$E97,AV$5&lt;=$F97),IF(AV$5=$E97+1,$C97,""),"")</f>
        <v/>
      </c>
      <c r="AW97" s="34">
        <f>IF(AND(AW$5&gt;$E97,AW$5&lt;=$F97),IF(AW$5=$E97+1,$C97,""),"")</f>
        <v/>
      </c>
      <c r="AX97" s="34">
        <f>IF(AND(AX$5&gt;$E97,AX$5&lt;=$F97),IF(AX$5=$E97+1,$C97,""),"")</f>
        <v/>
      </c>
      <c r="AY97" s="34">
        <f>IF(AND(AY$5&gt;$E97,AY$5&lt;=$F97),IF(AY$5=$E97+1,$C97,""),"")</f>
        <v/>
      </c>
      <c r="AZ97" s="34">
        <f>IF(AND(AZ$5&gt;$E97,AZ$5&lt;=$F97),IF(AZ$5=$E97+1,$C97,""),"")</f>
        <v/>
      </c>
      <c r="BA97" s="34">
        <f>IF(AND(BA$5&gt;$E97,BA$5&lt;=$F97),IF(BA$5=$E97+1,$C97,""),"")</f>
        <v/>
      </c>
      <c r="BB97" s="34">
        <f>IF(AND(BB$5&gt;$E97,BB$5&lt;=$F97),IF(BB$5=$E97+1,$C97,""),"")</f>
        <v/>
      </c>
      <c r="BC97" s="34">
        <f>IF(AND(BC$5&gt;$E97,BC$5&lt;=$F97),IF(BC$5=$E97+1,$C97,""),"")</f>
        <v/>
      </c>
      <c r="BD97" s="34">
        <f>IF(AND(BD$5&gt;$E97,BD$5&lt;=$F97),IF(BD$5=$E97+1,$C97,""),"")</f>
        <v/>
      </c>
      <c r="BE97" s="34">
        <f>IF(AND(BE$5&gt;$E97,BE$5&lt;=$F97),IF(BE$5=$E97+1,$C97,""),"")</f>
        <v/>
      </c>
      <c r="BF97" s="34">
        <f>IF(AND(BF$5&gt;$E97,BF$5&lt;=$F97),IF(BF$5=$E97+1,$C97,""),"")</f>
        <v/>
      </c>
      <c r="BG97" s="34">
        <f>IF(AND(BG$5&gt;$E97,BG$5&lt;=$F97),IF(BG$5=$E97+1,$C97,""),"")</f>
        <v/>
      </c>
      <c r="BH97" s="34">
        <f>IF(AND(BH$5&gt;$E97,BH$5&lt;=$F97),IF(BH$5=$E97+1,$C97,""),"")</f>
        <v/>
      </c>
      <c r="BI97" s="34">
        <f>IF(AND(BI$5&gt;$E97,BI$5&lt;=$F97),IF(BI$5=$E97+1,$C97,""),"")</f>
        <v/>
      </c>
      <c r="BJ97" s="34">
        <f>IF(AND(BJ$5&gt;$E97,BJ$5&lt;=$F97),IF(BJ$5=$E97+1,$C97,""),"")</f>
        <v/>
      </c>
      <c r="BK97" s="34">
        <f>IF(AND(BK$5&gt;$E97,BK$5&lt;=$F97),IF(BK$5=$E97+1,$C97,""),"")</f>
        <v/>
      </c>
      <c r="BL97" s="34">
        <f>IF(AND(BL$5&gt;$E97,BL$5&lt;=$F97),IF(BL$5=$E97+1,$C97,""),"")</f>
        <v/>
      </c>
      <c r="BM97" s="34">
        <f>IF(AND(BM$5&gt;$E97,BM$5&lt;=$F97),IF(BM$5=$E97+1,$C97,""),"")</f>
        <v/>
      </c>
      <c r="BN97" s="34">
        <f>IF(AND(BN$5&gt;$E97,BN$5&lt;=$F97),IF(BN$5=$E97+1,$C97,""),"")</f>
        <v/>
      </c>
      <c r="BO97" s="34">
        <f>IF(AND(BO$5&gt;$E97,BO$5&lt;=$F97),IF(BO$5=$E97+1,$C97,""),"")</f>
        <v/>
      </c>
      <c r="BP97" s="34">
        <f>IF(AND(BP$5&gt;$E97,BP$5&lt;=$F97),IF(BP$5=$E97+1,$C97,""),"")</f>
        <v/>
      </c>
      <c r="BQ97" s="34">
        <f>IF(AND(BQ$5&gt;$E97,BQ$5&lt;=$F97),IF(BQ$5=$E97+1,$C97,""),"")</f>
        <v/>
      </c>
      <c r="BR97" s="34">
        <f>IF(AND(BR$5&gt;$E97,BR$5&lt;=$F97),IF(BR$5=$E97+1,$C97,""),"")</f>
        <v/>
      </c>
      <c r="BS97" s="34">
        <f>IF(AND(BS$5&gt;$E97,BS$5&lt;=$F97),IF(BS$5=$E97+1,$C97,""),"")</f>
        <v/>
      </c>
      <c r="BT97" s="34">
        <f>IF(AND(BT$5&gt;$E97,BT$5&lt;=$F97),IF(BT$5=$E97+1,$C97,""),"")</f>
        <v/>
      </c>
      <c r="BU97" s="34">
        <f>IF(AND(BU$5&gt;$E97,BU$5&lt;=$F97),IF(BU$5=$E97+1,$C97,""),"")</f>
        <v/>
      </c>
      <c r="BV97" s="34">
        <f>IF(AND(BV$5&gt;$E97,BV$5&lt;=$F97),IF(BV$5=$E97+1,$C97,""),"")</f>
        <v/>
      </c>
      <c r="BW97" s="34">
        <f>IF(AND(BW$5&gt;$E97,BW$5&lt;=$F97),IF(BW$5=$E97+1,$C97,""),"")</f>
        <v/>
      </c>
      <c r="BX97" s="34">
        <f>IF(AND(BX$5&gt;$E97,BX$5&lt;=$F97),IF(BX$5=$E97+1,$C97,""),"")</f>
        <v/>
      </c>
      <c r="BY97" s="34">
        <f>IF(AND(BY$5&gt;$E97,BY$5&lt;=$F97),IF(BY$5=$E97+1,$C97,""),"")</f>
        <v/>
      </c>
      <c r="BZ97" s="34">
        <f>IF(AND(BZ$5&gt;$E97,BZ$5&lt;=$F97),IF(BZ$5=$E97+1,$C97,""),"")</f>
        <v/>
      </c>
      <c r="CA97" s="34">
        <f>IF(AND(CA$5&gt;$E97,CA$5&lt;=$F97),IF(CA$5=$E97+1,$C97,""),"")</f>
        <v/>
      </c>
      <c r="CB97" s="34">
        <f>IF(AND(CB$5&gt;$E97,CB$5&lt;=$F97),IF(CB$5=$E97+1,$C97,""),"")</f>
        <v/>
      </c>
      <c r="CC97" s="34">
        <f>IF(AND(CC$5&gt;$E97,CC$5&lt;=$F97),IF(CC$5=$E97+1,$C97,""),"")</f>
        <v/>
      </c>
      <c r="CD97" s="34">
        <f>IF(AND(CD$5&gt;$E97,CD$5&lt;=$F97),IF(CD$5=$E97+1,$C97,""),"")</f>
        <v/>
      </c>
      <c r="CE97" s="34">
        <f>IF(AND(CE$5&gt;$E97,CE$5&lt;=$F97),IF(CE$5=$E97+1,$C97,""),"")</f>
        <v/>
      </c>
      <c r="CF97" s="34">
        <f>IF(AND(CF$5&gt;$E97,CF$5&lt;=$F97),IF(CF$5=$E97+1,$C97,""),"")</f>
        <v/>
      </c>
      <c r="CG97" s="34">
        <f>IF(AND(CG$5&gt;$E97,CG$5&lt;=$F97),IF(CG$5=$E97+1,$C97,""),"")</f>
        <v/>
      </c>
      <c r="CH97" s="34">
        <f>IF(AND(CH$5&gt;$E97,CH$5&lt;=$F97),IF(CH$5=$E97+1,$C97,""),"")</f>
        <v/>
      </c>
      <c r="CI97" s="34">
        <f>IF(AND(CI$5&gt;$E97,CI$5&lt;=$F97),IF(CI$5=$E97+1,$C97,""),"")</f>
        <v/>
      </c>
      <c r="CJ97" s="34">
        <f>IF(AND(CJ$5&gt;$E97,CJ$5&lt;=$F97),IF(CJ$5=$E97+1,$C97,""),"")</f>
        <v/>
      </c>
      <c r="CK97" s="34">
        <f>IF(AND(CK$5&gt;$E97,CK$5&lt;=$F97),IF(CK$5=$E97+1,$C97,""),"")</f>
        <v/>
      </c>
      <c r="CL97" s="34">
        <f>IF(AND(CL$5&gt;$E97,CL$5&lt;=$F97),IF(CL$5=$E97+1,$C97,""),"")</f>
        <v/>
      </c>
      <c r="CM97" s="34">
        <f>IF(AND(CM$5&gt;$E97,CM$5&lt;=$F97),IF(CM$5=$E97+1,$C97,""),"")</f>
        <v/>
      </c>
      <c r="CN97" s="34">
        <f>IF(AND(CN$5&gt;$E97,CN$5&lt;=$F97),IF(CN$5=$E97+1,$C97,""),"")</f>
        <v/>
      </c>
      <c r="CO97" s="34">
        <f>IF(AND(CO$5&gt;$E97,CO$5&lt;=$F97),IF(CO$5=$E97+1,$C97,""),"")</f>
        <v/>
      </c>
      <c r="CP97" s="34">
        <f>IF(AND(CP$5&gt;$E97,CP$5&lt;=$F97),IF(CP$5=$E97+1,$C97,""),"")</f>
        <v/>
      </c>
      <c r="CQ97" s="34">
        <f>IF(AND(CQ$5&gt;$E97,CQ$5&lt;=$F97),IF(CQ$5=$E97+1,$C97,""),"")</f>
        <v/>
      </c>
      <c r="CR97" s="34">
        <f>IF(AND(CR$5&gt;$E97,CR$5&lt;=$F97),IF(CR$5=$E97+1,$C97,""),"")</f>
        <v/>
      </c>
      <c r="CS97" s="34">
        <f>IF(AND(CS$5&gt;$E97,CS$5&lt;=$F97),IF(CS$5=$E97+1,$C97,""),"")</f>
        <v/>
      </c>
      <c r="CT97" s="34">
        <f>IF(AND(CT$5&gt;$E97,CT$5&lt;=$F97),IF(CT$5=$E97+1,$C97,""),"")</f>
        <v/>
      </c>
      <c r="CU97" s="34">
        <f>IF(AND(CU$5&gt;$E97,CU$5&lt;=$F97),IF(CU$5=$E97+1,$C97,""),"")</f>
        <v/>
      </c>
      <c r="CV97" s="34">
        <f>IF(AND(CV$5&gt;$E97,CV$5&lt;=$F97),IF(CV$5=$E97+1,$C97,""),"")</f>
        <v/>
      </c>
      <c r="CW97" s="34">
        <f>IF(AND(CW$5&gt;$E97,CW$5&lt;=$F97),IF(CW$5=$E97+1,$C97,""),"")</f>
        <v/>
      </c>
      <c r="CX97" s="34">
        <f>IF(AND(CX$5&gt;$E97,CX$5&lt;=$F97),IF(CX$5=$E97+1,$C97,""),"")</f>
        <v/>
      </c>
      <c r="CY97" s="34">
        <f>IF(AND(CY$5&gt;$E97,CY$5&lt;=$F97),IF(CY$5=$E97+1,$C97,""),"")</f>
        <v/>
      </c>
      <c r="CZ97" s="34">
        <f>IF(AND(CZ$5&gt;$E97,CZ$5&lt;=$F97),IF(CZ$5=$E97+1,$C97,""),"")</f>
        <v/>
      </c>
      <c r="DA97" s="34">
        <f>IF(AND(DA$5&gt;$E97,DA$5&lt;=$F97),IF(DA$5=$E97+1,$C97,""),"")</f>
        <v/>
      </c>
      <c r="DB97" s="34">
        <f>IF(AND(DB$5&gt;$E97,DB$5&lt;=$F97),IF(DB$5=$E97+1,$C97,""),"")</f>
        <v/>
      </c>
      <c r="DC97" s="34">
        <f>IF(AND(DC$5&gt;$E97,DC$5&lt;=$F97),IF(DC$5=$E97+1,$C97,""),"")</f>
        <v/>
      </c>
      <c r="DD97" s="34">
        <f>IF(AND(DD$5&gt;$E97,DD$5&lt;=$F97),IF(DD$5=$E97+1,$C97,""),"")</f>
        <v/>
      </c>
      <c r="DE97" s="34">
        <f>IF(AND(DE$5&gt;$E97,DE$5&lt;=$F97),IF(DE$5=$E97+1,$C97,""),"")</f>
        <v/>
      </c>
      <c r="DF97" s="34">
        <f>IF(AND(DF$5&gt;$E97,DF$5&lt;=$F97),IF(DF$5=$E97+1,$C97,""),"")</f>
        <v/>
      </c>
      <c r="DG97" s="34">
        <f>IF(AND(DG$5&gt;$E97,DG$5&lt;=$F97),IF(DG$5=$E97+1,$C97,""),"")</f>
        <v/>
      </c>
      <c r="DH97" s="34">
        <f>IF(AND(DH$5&gt;$E97,DH$5&lt;=$F97),IF(DH$5=$E97+1,$C97,""),"")</f>
        <v/>
      </c>
      <c r="DI97" s="34">
        <f>IF(AND(DI$5&gt;$E97,DI$5&lt;=$F97),IF(DI$5=$E97+1,$C97,""),"")</f>
        <v/>
      </c>
      <c r="DJ97" s="34">
        <f>IF(AND(DJ$5&gt;$E97,DJ$5&lt;=$F97),IF(DJ$5=$E97+1,$C97,""),"")</f>
        <v/>
      </c>
      <c r="DK97" s="34">
        <f>IF(AND(DK$5&gt;$E97,DK$5&lt;=$F97),IF(DK$5=$E97+1,$C97,""),"")</f>
        <v/>
      </c>
      <c r="DL97" s="34">
        <f>IF(AND(DL$5&gt;$E97,DL$5&lt;=$F97),IF(DL$5=$E97+1,$C97,""),"")</f>
        <v/>
      </c>
      <c r="DM97" s="34">
        <f>IF(AND(DM$5&gt;$E97,DM$5&lt;=$F97),IF(DM$5=$E97+1,$C97,""),"")</f>
        <v/>
      </c>
      <c r="DN97" s="34">
        <f>IF(AND(DN$5&gt;$E97,DN$5&lt;=$F97),IF(DN$5=$E97+1,$C97,""),"")</f>
        <v/>
      </c>
      <c r="DO97" s="34">
        <f>IF(AND(DO$5&gt;$E97,DO$5&lt;=$F97),IF(DO$5=$E97+1,$C97,""),"")</f>
        <v/>
      </c>
      <c r="DP97" s="34">
        <f>IF(AND(DP$5&gt;$E97,DP$5&lt;=$F97),IF(DP$5=$E97+1,$C97,""),"")</f>
        <v/>
      </c>
      <c r="DQ97" s="34">
        <f>IF(AND(DQ$5&gt;$E97,DQ$5&lt;=$F97),IF(DQ$5=$E97+1,$C97,""),"")</f>
        <v/>
      </c>
      <c r="DR97" s="34">
        <f>IF(AND(DR$5&gt;$E97,DR$5&lt;=$F97),IF(DR$5=$E97+1,$C97,""),"")</f>
        <v/>
      </c>
      <c r="DS97" s="34">
        <f>IF(AND(DS$5&gt;$E97,DS$5&lt;=$F97),IF(DS$5=$E97+1,$C97,""),"")</f>
        <v/>
      </c>
      <c r="DT97" s="34">
        <f>IF(AND(DT$5&gt;$E97,DT$5&lt;=$F97),IF(DT$5=$E97+1,$C97,""),"")</f>
        <v/>
      </c>
      <c r="DU97" s="34">
        <f>IF(AND(DU$5&gt;$E97,DU$5&lt;=$F97),IF(DU$5=$E97+1,$C97,""),"")</f>
        <v/>
      </c>
      <c r="DV97" s="34">
        <f>IF(AND(DV$5&gt;$E97,DV$5&lt;=$F97),IF(DV$5=$E97+1,$C97,""),"")</f>
        <v/>
      </c>
      <c r="DW97" s="34">
        <f>IF(AND(DW$5&gt;$E97,DW$5&lt;=$F97),IF(DW$5=$E97+1,$C97,""),"")</f>
        <v/>
      </c>
      <c r="DX97" s="34">
        <f>IF(AND(DX$5&gt;$E97,DX$5&lt;=$F97),IF(DX$5=$E97+1,$C97,""),"")</f>
        <v/>
      </c>
      <c r="DY97" s="34">
        <f>IF(AND(DY$5&gt;$E97,DY$5&lt;=$F97),IF(DY$5=$E97+1,$C97,""),"")</f>
        <v/>
      </c>
      <c r="DZ97" s="34">
        <f>IF(AND(DZ$5&gt;$E97,DZ$5&lt;=$F97),IF(DZ$5=$E97+1,$C97,""),"")</f>
        <v/>
      </c>
      <c r="EA97" s="34">
        <f>IF(AND(EA$5&gt;$E97,EA$5&lt;=$F97),IF(EA$5=$E97+1,$C97,""),"")</f>
        <v/>
      </c>
      <c r="EB97" s="34">
        <f>IF(AND(EB$5&gt;$E97,EB$5&lt;=$F97),IF(EB$5=$E97+1,$C97,""),"")</f>
        <v/>
      </c>
      <c r="EC97" s="34">
        <f>IF(AND(EC$5&gt;$E97,EC$5&lt;=$F97),IF(EC$5=$E97+1,$C97,""),"")</f>
        <v/>
      </c>
      <c r="ED97" s="34">
        <f>IF(AND(ED$5&gt;$E97,ED$5&lt;=$F97),IF(ED$5=$E97+1,$C97,""),"")</f>
        <v/>
      </c>
      <c r="EE97" s="34">
        <f>IF(AND(EE$5&gt;$E97,EE$5&lt;=$F97),IF(EE$5=$E97+1,$C97,""),"")</f>
        <v/>
      </c>
      <c r="EF97" s="34">
        <f>IF(AND(EF$5&gt;$E97,EF$5&lt;=$F97),IF(EF$5=$E97+1,$C97,""),"")</f>
        <v/>
      </c>
      <c r="EG97" s="34">
        <f>IF(AND(EG$5&gt;$E97,EG$5&lt;=$F97),IF(EG$5=$E97+1,$C97,""),"")</f>
        <v/>
      </c>
    </row>
    <row r="98">
      <c r="A98" s="32">
        <f>Plan!A68</f>
        <v/>
      </c>
      <c r="B98" s="33">
        <f>Plan!C68</f>
        <v/>
      </c>
      <c r="C98" s="16">
        <f>Plan!D68</f>
        <v/>
      </c>
      <c r="D98" s="16">
        <f>Plan!I68</f>
        <v/>
      </c>
      <c r="E98" s="16">
        <f>Plan!K68</f>
        <v/>
      </c>
      <c r="F98" s="16">
        <f>Plan!L68</f>
        <v/>
      </c>
      <c r="G98" s="16">
        <f>Plan!O68</f>
        <v/>
      </c>
      <c r="H98" s="34">
        <f>IF(AND(H$5&gt;$E98,H$5&lt;=$F98),IF(H$5=$E98+1,$C98,""),"")</f>
        <v/>
      </c>
      <c r="I98" s="34">
        <f>IF(AND(I$5&gt;$E98,I$5&lt;=$F98),IF(I$5=$E98+1,$C98,""),"")</f>
        <v/>
      </c>
      <c r="J98" s="34">
        <f>IF(AND(J$5&gt;$E98,J$5&lt;=$F98),IF(J$5=$E98+1,$C98,""),"")</f>
        <v/>
      </c>
      <c r="K98" s="34">
        <f>IF(AND(K$5&gt;$E98,K$5&lt;=$F98),IF(K$5=$E98+1,$C98,""),"")</f>
        <v/>
      </c>
      <c r="L98" s="34">
        <f>IF(AND(L$5&gt;$E98,L$5&lt;=$F98),IF(L$5=$E98+1,$C98,""),"")</f>
        <v/>
      </c>
      <c r="M98" s="34">
        <f>IF(AND(M$5&gt;$E98,M$5&lt;=$F98),IF(M$5=$E98+1,$C98,""),"")</f>
        <v/>
      </c>
      <c r="N98" s="34">
        <f>IF(AND(N$5&gt;$E98,N$5&lt;=$F98),IF(N$5=$E98+1,$C98,""),"")</f>
        <v/>
      </c>
      <c r="O98" s="34">
        <f>IF(AND(O$5&gt;$E98,O$5&lt;=$F98),IF(O$5=$E98+1,$C98,""),"")</f>
        <v/>
      </c>
      <c r="P98" s="34">
        <f>IF(AND(P$5&gt;$E98,P$5&lt;=$F98),IF(P$5=$E98+1,$C98,""),"")</f>
        <v/>
      </c>
      <c r="Q98" s="34">
        <f>IF(AND(Q$5&gt;$E98,Q$5&lt;=$F98),IF(Q$5=$E98+1,$C98,""),"")</f>
        <v/>
      </c>
      <c r="R98" s="34">
        <f>IF(AND(R$5&gt;$E98,R$5&lt;=$F98),IF(R$5=$E98+1,$C98,""),"")</f>
        <v/>
      </c>
      <c r="S98" s="34">
        <f>IF(AND(S$5&gt;$E98,S$5&lt;=$F98),IF(S$5=$E98+1,$C98,""),"")</f>
        <v/>
      </c>
      <c r="T98" s="34">
        <f>IF(AND(T$5&gt;$E98,T$5&lt;=$F98),IF(T$5=$E98+1,$C98,""),"")</f>
        <v/>
      </c>
      <c r="U98" s="34">
        <f>IF(AND(U$5&gt;$E98,U$5&lt;=$F98),IF(U$5=$E98+1,$C98,""),"")</f>
        <v/>
      </c>
      <c r="V98" s="34">
        <f>IF(AND(V$5&gt;$E98,V$5&lt;=$F98),IF(V$5=$E98+1,$C98,""),"")</f>
        <v/>
      </c>
      <c r="W98" s="34">
        <f>IF(AND(W$5&gt;$E98,W$5&lt;=$F98),IF(W$5=$E98+1,$C98,""),"")</f>
        <v/>
      </c>
      <c r="X98" s="34">
        <f>IF(AND(X$5&gt;$E98,X$5&lt;=$F98),IF(X$5=$E98+1,$C98,""),"")</f>
        <v/>
      </c>
      <c r="Y98" s="34">
        <f>IF(AND(Y$5&gt;$E98,Y$5&lt;=$F98),IF(Y$5=$E98+1,$C98,""),"")</f>
        <v/>
      </c>
      <c r="Z98" s="34">
        <f>IF(AND(Z$5&gt;$E98,Z$5&lt;=$F98),IF(Z$5=$E98+1,$C98,""),"")</f>
        <v/>
      </c>
      <c r="AA98" s="34">
        <f>IF(AND(AA$5&gt;$E98,AA$5&lt;=$F98),IF(AA$5=$E98+1,$C98,""),"")</f>
        <v/>
      </c>
      <c r="AB98" s="34">
        <f>IF(AND(AB$5&gt;$E98,AB$5&lt;=$F98),IF(AB$5=$E98+1,$C98,""),"")</f>
        <v/>
      </c>
      <c r="AC98" s="34">
        <f>IF(AND(AC$5&gt;$E98,AC$5&lt;=$F98),IF(AC$5=$E98+1,$C98,""),"")</f>
        <v/>
      </c>
      <c r="AD98" s="34">
        <f>IF(AND(AD$5&gt;$E98,AD$5&lt;=$F98),IF(AD$5=$E98+1,$C98,""),"")</f>
        <v/>
      </c>
      <c r="AE98" s="34">
        <f>IF(AND(AE$5&gt;$E98,AE$5&lt;=$F98),IF(AE$5=$E98+1,$C98,""),"")</f>
        <v/>
      </c>
      <c r="AF98" s="34">
        <f>IF(AND(AF$5&gt;$E98,AF$5&lt;=$F98),IF(AF$5=$E98+1,$C98,""),"")</f>
        <v/>
      </c>
      <c r="AG98" s="34">
        <f>IF(AND(AG$5&gt;$E98,AG$5&lt;=$F98),IF(AG$5=$E98+1,$C98,""),"")</f>
        <v/>
      </c>
      <c r="AH98" s="34">
        <f>IF(AND(AH$5&gt;$E98,AH$5&lt;=$F98),IF(AH$5=$E98+1,$C98,""),"")</f>
        <v/>
      </c>
      <c r="AI98" s="34">
        <f>IF(AND(AI$5&gt;$E98,AI$5&lt;=$F98),IF(AI$5=$E98+1,$C98,""),"")</f>
        <v/>
      </c>
      <c r="AJ98" s="34">
        <f>IF(AND(AJ$5&gt;$E98,AJ$5&lt;=$F98),IF(AJ$5=$E98+1,$C98,""),"")</f>
        <v/>
      </c>
      <c r="AK98" s="34">
        <f>IF(AND(AK$5&gt;$E98,AK$5&lt;=$F98),IF(AK$5=$E98+1,$C98,""),"")</f>
        <v/>
      </c>
      <c r="AL98" s="34">
        <f>IF(AND(AL$5&gt;$E98,AL$5&lt;=$F98),IF(AL$5=$E98+1,$C98,""),"")</f>
        <v/>
      </c>
      <c r="AM98" s="34">
        <f>IF(AND(AM$5&gt;$E98,AM$5&lt;=$F98),IF(AM$5=$E98+1,$C98,""),"")</f>
        <v/>
      </c>
      <c r="AN98" s="34">
        <f>IF(AND(AN$5&gt;$E98,AN$5&lt;=$F98),IF(AN$5=$E98+1,$C98,""),"")</f>
        <v/>
      </c>
      <c r="AO98" s="34">
        <f>IF(AND(AO$5&gt;$E98,AO$5&lt;=$F98),IF(AO$5=$E98+1,$C98,""),"")</f>
        <v/>
      </c>
      <c r="AP98" s="34">
        <f>IF(AND(AP$5&gt;$E98,AP$5&lt;=$F98),IF(AP$5=$E98+1,$C98,""),"")</f>
        <v/>
      </c>
      <c r="AQ98" s="34">
        <f>IF(AND(AQ$5&gt;$E98,AQ$5&lt;=$F98),IF(AQ$5=$E98+1,$C98,""),"")</f>
        <v/>
      </c>
      <c r="AR98" s="34">
        <f>IF(AND(AR$5&gt;$E98,AR$5&lt;=$F98),IF(AR$5=$E98+1,$C98,""),"")</f>
        <v/>
      </c>
      <c r="AS98" s="34">
        <f>IF(AND(AS$5&gt;$E98,AS$5&lt;=$F98),IF(AS$5=$E98+1,$C98,""),"")</f>
        <v/>
      </c>
      <c r="AT98" s="34">
        <f>IF(AND(AT$5&gt;$E98,AT$5&lt;=$F98),IF(AT$5=$E98+1,$C98,""),"")</f>
        <v/>
      </c>
      <c r="AU98" s="34">
        <f>IF(AND(AU$5&gt;$E98,AU$5&lt;=$F98),IF(AU$5=$E98+1,$C98,""),"")</f>
        <v/>
      </c>
      <c r="AV98" s="34">
        <f>IF(AND(AV$5&gt;$E98,AV$5&lt;=$F98),IF(AV$5=$E98+1,$C98,""),"")</f>
        <v/>
      </c>
      <c r="AW98" s="34">
        <f>IF(AND(AW$5&gt;$E98,AW$5&lt;=$F98),IF(AW$5=$E98+1,$C98,""),"")</f>
        <v/>
      </c>
      <c r="AX98" s="34">
        <f>IF(AND(AX$5&gt;$E98,AX$5&lt;=$F98),IF(AX$5=$E98+1,$C98,""),"")</f>
        <v/>
      </c>
      <c r="AY98" s="34">
        <f>IF(AND(AY$5&gt;$E98,AY$5&lt;=$F98),IF(AY$5=$E98+1,$C98,""),"")</f>
        <v/>
      </c>
      <c r="AZ98" s="34">
        <f>IF(AND(AZ$5&gt;$E98,AZ$5&lt;=$F98),IF(AZ$5=$E98+1,$C98,""),"")</f>
        <v/>
      </c>
      <c r="BA98" s="34">
        <f>IF(AND(BA$5&gt;$E98,BA$5&lt;=$F98),IF(BA$5=$E98+1,$C98,""),"")</f>
        <v/>
      </c>
      <c r="BB98" s="34">
        <f>IF(AND(BB$5&gt;$E98,BB$5&lt;=$F98),IF(BB$5=$E98+1,$C98,""),"")</f>
        <v/>
      </c>
      <c r="BC98" s="34">
        <f>IF(AND(BC$5&gt;$E98,BC$5&lt;=$F98),IF(BC$5=$E98+1,$C98,""),"")</f>
        <v/>
      </c>
      <c r="BD98" s="34">
        <f>IF(AND(BD$5&gt;$E98,BD$5&lt;=$F98),IF(BD$5=$E98+1,$C98,""),"")</f>
        <v/>
      </c>
      <c r="BE98" s="34">
        <f>IF(AND(BE$5&gt;$E98,BE$5&lt;=$F98),IF(BE$5=$E98+1,$C98,""),"")</f>
        <v/>
      </c>
      <c r="BF98" s="34">
        <f>IF(AND(BF$5&gt;$E98,BF$5&lt;=$F98),IF(BF$5=$E98+1,$C98,""),"")</f>
        <v/>
      </c>
      <c r="BG98" s="34">
        <f>IF(AND(BG$5&gt;$E98,BG$5&lt;=$F98),IF(BG$5=$E98+1,$C98,""),"")</f>
        <v/>
      </c>
      <c r="BH98" s="34">
        <f>IF(AND(BH$5&gt;$E98,BH$5&lt;=$F98),IF(BH$5=$E98+1,$C98,""),"")</f>
        <v/>
      </c>
      <c r="BI98" s="34">
        <f>IF(AND(BI$5&gt;$E98,BI$5&lt;=$F98),IF(BI$5=$E98+1,$C98,""),"")</f>
        <v/>
      </c>
      <c r="BJ98" s="34">
        <f>IF(AND(BJ$5&gt;$E98,BJ$5&lt;=$F98),IF(BJ$5=$E98+1,$C98,""),"")</f>
        <v/>
      </c>
      <c r="BK98" s="34">
        <f>IF(AND(BK$5&gt;$E98,BK$5&lt;=$F98),IF(BK$5=$E98+1,$C98,""),"")</f>
        <v/>
      </c>
      <c r="BL98" s="34">
        <f>IF(AND(BL$5&gt;$E98,BL$5&lt;=$F98),IF(BL$5=$E98+1,$C98,""),"")</f>
        <v/>
      </c>
      <c r="BM98" s="34">
        <f>IF(AND(BM$5&gt;$E98,BM$5&lt;=$F98),IF(BM$5=$E98+1,$C98,""),"")</f>
        <v/>
      </c>
      <c r="BN98" s="34">
        <f>IF(AND(BN$5&gt;$E98,BN$5&lt;=$F98),IF(BN$5=$E98+1,$C98,""),"")</f>
        <v/>
      </c>
      <c r="BO98" s="34">
        <f>IF(AND(BO$5&gt;$E98,BO$5&lt;=$F98),IF(BO$5=$E98+1,$C98,""),"")</f>
        <v/>
      </c>
      <c r="BP98" s="34">
        <f>IF(AND(BP$5&gt;$E98,BP$5&lt;=$F98),IF(BP$5=$E98+1,$C98,""),"")</f>
        <v/>
      </c>
      <c r="BQ98" s="34">
        <f>IF(AND(BQ$5&gt;$E98,BQ$5&lt;=$F98),IF(BQ$5=$E98+1,$C98,""),"")</f>
        <v/>
      </c>
      <c r="BR98" s="34">
        <f>IF(AND(BR$5&gt;$E98,BR$5&lt;=$F98),IF(BR$5=$E98+1,$C98,""),"")</f>
        <v/>
      </c>
      <c r="BS98" s="34">
        <f>IF(AND(BS$5&gt;$E98,BS$5&lt;=$F98),IF(BS$5=$E98+1,$C98,""),"")</f>
        <v/>
      </c>
      <c r="BT98" s="34">
        <f>IF(AND(BT$5&gt;$E98,BT$5&lt;=$F98),IF(BT$5=$E98+1,$C98,""),"")</f>
        <v/>
      </c>
      <c r="BU98" s="34">
        <f>IF(AND(BU$5&gt;$E98,BU$5&lt;=$F98),IF(BU$5=$E98+1,$C98,""),"")</f>
        <v/>
      </c>
      <c r="BV98" s="34">
        <f>IF(AND(BV$5&gt;$E98,BV$5&lt;=$F98),IF(BV$5=$E98+1,$C98,""),"")</f>
        <v/>
      </c>
      <c r="BW98" s="34">
        <f>IF(AND(BW$5&gt;$E98,BW$5&lt;=$F98),IF(BW$5=$E98+1,$C98,""),"")</f>
        <v/>
      </c>
      <c r="BX98" s="34">
        <f>IF(AND(BX$5&gt;$E98,BX$5&lt;=$F98),IF(BX$5=$E98+1,$C98,""),"")</f>
        <v/>
      </c>
      <c r="BY98" s="34">
        <f>IF(AND(BY$5&gt;$E98,BY$5&lt;=$F98),IF(BY$5=$E98+1,$C98,""),"")</f>
        <v/>
      </c>
      <c r="BZ98" s="34">
        <f>IF(AND(BZ$5&gt;$E98,BZ$5&lt;=$F98),IF(BZ$5=$E98+1,$C98,""),"")</f>
        <v/>
      </c>
      <c r="CA98" s="34">
        <f>IF(AND(CA$5&gt;$E98,CA$5&lt;=$F98),IF(CA$5=$E98+1,$C98,""),"")</f>
        <v/>
      </c>
      <c r="CB98" s="34">
        <f>IF(AND(CB$5&gt;$E98,CB$5&lt;=$F98),IF(CB$5=$E98+1,$C98,""),"")</f>
        <v/>
      </c>
      <c r="CC98" s="34">
        <f>IF(AND(CC$5&gt;$E98,CC$5&lt;=$F98),IF(CC$5=$E98+1,$C98,""),"")</f>
        <v/>
      </c>
      <c r="CD98" s="34">
        <f>IF(AND(CD$5&gt;$E98,CD$5&lt;=$F98),IF(CD$5=$E98+1,$C98,""),"")</f>
        <v/>
      </c>
      <c r="CE98" s="34">
        <f>IF(AND(CE$5&gt;$E98,CE$5&lt;=$F98),IF(CE$5=$E98+1,$C98,""),"")</f>
        <v/>
      </c>
      <c r="CF98" s="34">
        <f>IF(AND(CF$5&gt;$E98,CF$5&lt;=$F98),IF(CF$5=$E98+1,$C98,""),"")</f>
        <v/>
      </c>
      <c r="CG98" s="34">
        <f>IF(AND(CG$5&gt;$E98,CG$5&lt;=$F98),IF(CG$5=$E98+1,$C98,""),"")</f>
        <v/>
      </c>
      <c r="CH98" s="34">
        <f>IF(AND(CH$5&gt;$E98,CH$5&lt;=$F98),IF(CH$5=$E98+1,$C98,""),"")</f>
        <v/>
      </c>
      <c r="CI98" s="34">
        <f>IF(AND(CI$5&gt;$E98,CI$5&lt;=$F98),IF(CI$5=$E98+1,$C98,""),"")</f>
        <v/>
      </c>
      <c r="CJ98" s="34">
        <f>IF(AND(CJ$5&gt;$E98,CJ$5&lt;=$F98),IF(CJ$5=$E98+1,$C98,""),"")</f>
        <v/>
      </c>
      <c r="CK98" s="34">
        <f>IF(AND(CK$5&gt;$E98,CK$5&lt;=$F98),IF(CK$5=$E98+1,$C98,""),"")</f>
        <v/>
      </c>
      <c r="CL98" s="34">
        <f>IF(AND(CL$5&gt;$E98,CL$5&lt;=$F98),IF(CL$5=$E98+1,$C98,""),"")</f>
        <v/>
      </c>
      <c r="CM98" s="34">
        <f>IF(AND(CM$5&gt;$E98,CM$5&lt;=$F98),IF(CM$5=$E98+1,$C98,""),"")</f>
        <v/>
      </c>
      <c r="CN98" s="34">
        <f>IF(AND(CN$5&gt;$E98,CN$5&lt;=$F98),IF(CN$5=$E98+1,$C98,""),"")</f>
        <v/>
      </c>
      <c r="CO98" s="34">
        <f>IF(AND(CO$5&gt;$E98,CO$5&lt;=$F98),IF(CO$5=$E98+1,$C98,""),"")</f>
        <v/>
      </c>
      <c r="CP98" s="34">
        <f>IF(AND(CP$5&gt;$E98,CP$5&lt;=$F98),IF(CP$5=$E98+1,$C98,""),"")</f>
        <v/>
      </c>
      <c r="CQ98" s="34">
        <f>IF(AND(CQ$5&gt;$E98,CQ$5&lt;=$F98),IF(CQ$5=$E98+1,$C98,""),"")</f>
        <v/>
      </c>
      <c r="CR98" s="34">
        <f>IF(AND(CR$5&gt;$E98,CR$5&lt;=$F98),IF(CR$5=$E98+1,$C98,""),"")</f>
        <v/>
      </c>
      <c r="CS98" s="34">
        <f>IF(AND(CS$5&gt;$E98,CS$5&lt;=$F98),IF(CS$5=$E98+1,$C98,""),"")</f>
        <v/>
      </c>
      <c r="CT98" s="34">
        <f>IF(AND(CT$5&gt;$E98,CT$5&lt;=$F98),IF(CT$5=$E98+1,$C98,""),"")</f>
        <v/>
      </c>
      <c r="CU98" s="34">
        <f>IF(AND(CU$5&gt;$E98,CU$5&lt;=$F98),IF(CU$5=$E98+1,$C98,""),"")</f>
        <v/>
      </c>
      <c r="CV98" s="34">
        <f>IF(AND(CV$5&gt;$E98,CV$5&lt;=$F98),IF(CV$5=$E98+1,$C98,""),"")</f>
        <v/>
      </c>
      <c r="CW98" s="34">
        <f>IF(AND(CW$5&gt;$E98,CW$5&lt;=$F98),IF(CW$5=$E98+1,$C98,""),"")</f>
        <v/>
      </c>
      <c r="CX98" s="34">
        <f>IF(AND(CX$5&gt;$E98,CX$5&lt;=$F98),IF(CX$5=$E98+1,$C98,""),"")</f>
        <v/>
      </c>
      <c r="CY98" s="34">
        <f>IF(AND(CY$5&gt;$E98,CY$5&lt;=$F98),IF(CY$5=$E98+1,$C98,""),"")</f>
        <v/>
      </c>
      <c r="CZ98" s="34">
        <f>IF(AND(CZ$5&gt;$E98,CZ$5&lt;=$F98),IF(CZ$5=$E98+1,$C98,""),"")</f>
        <v/>
      </c>
      <c r="DA98" s="34">
        <f>IF(AND(DA$5&gt;$E98,DA$5&lt;=$F98),IF(DA$5=$E98+1,$C98,""),"")</f>
        <v/>
      </c>
      <c r="DB98" s="34">
        <f>IF(AND(DB$5&gt;$E98,DB$5&lt;=$F98),IF(DB$5=$E98+1,$C98,""),"")</f>
        <v/>
      </c>
      <c r="DC98" s="34">
        <f>IF(AND(DC$5&gt;$E98,DC$5&lt;=$F98),IF(DC$5=$E98+1,$C98,""),"")</f>
        <v/>
      </c>
      <c r="DD98" s="34">
        <f>IF(AND(DD$5&gt;$E98,DD$5&lt;=$F98),IF(DD$5=$E98+1,$C98,""),"")</f>
        <v/>
      </c>
      <c r="DE98" s="34">
        <f>IF(AND(DE$5&gt;$E98,DE$5&lt;=$F98),IF(DE$5=$E98+1,$C98,""),"")</f>
        <v/>
      </c>
      <c r="DF98" s="34">
        <f>IF(AND(DF$5&gt;$E98,DF$5&lt;=$F98),IF(DF$5=$E98+1,$C98,""),"")</f>
        <v/>
      </c>
      <c r="DG98" s="34">
        <f>IF(AND(DG$5&gt;$E98,DG$5&lt;=$F98),IF(DG$5=$E98+1,$C98,""),"")</f>
        <v/>
      </c>
      <c r="DH98" s="34">
        <f>IF(AND(DH$5&gt;$E98,DH$5&lt;=$F98),IF(DH$5=$E98+1,$C98,""),"")</f>
        <v/>
      </c>
      <c r="DI98" s="34">
        <f>IF(AND(DI$5&gt;$E98,DI$5&lt;=$F98),IF(DI$5=$E98+1,$C98,""),"")</f>
        <v/>
      </c>
      <c r="DJ98" s="34">
        <f>IF(AND(DJ$5&gt;$E98,DJ$5&lt;=$F98),IF(DJ$5=$E98+1,$C98,""),"")</f>
        <v/>
      </c>
      <c r="DK98" s="34">
        <f>IF(AND(DK$5&gt;$E98,DK$5&lt;=$F98),IF(DK$5=$E98+1,$C98,""),"")</f>
        <v/>
      </c>
      <c r="DL98" s="34">
        <f>IF(AND(DL$5&gt;$E98,DL$5&lt;=$F98),IF(DL$5=$E98+1,$C98,""),"")</f>
        <v/>
      </c>
      <c r="DM98" s="34">
        <f>IF(AND(DM$5&gt;$E98,DM$5&lt;=$F98),IF(DM$5=$E98+1,$C98,""),"")</f>
        <v/>
      </c>
      <c r="DN98" s="34">
        <f>IF(AND(DN$5&gt;$E98,DN$5&lt;=$F98),IF(DN$5=$E98+1,$C98,""),"")</f>
        <v/>
      </c>
      <c r="DO98" s="34">
        <f>IF(AND(DO$5&gt;$E98,DO$5&lt;=$F98),IF(DO$5=$E98+1,$C98,""),"")</f>
        <v/>
      </c>
      <c r="DP98" s="34">
        <f>IF(AND(DP$5&gt;$E98,DP$5&lt;=$F98),IF(DP$5=$E98+1,$C98,""),"")</f>
        <v/>
      </c>
      <c r="DQ98" s="34">
        <f>IF(AND(DQ$5&gt;$E98,DQ$5&lt;=$F98),IF(DQ$5=$E98+1,$C98,""),"")</f>
        <v/>
      </c>
      <c r="DR98" s="34">
        <f>IF(AND(DR$5&gt;$E98,DR$5&lt;=$F98),IF(DR$5=$E98+1,$C98,""),"")</f>
        <v/>
      </c>
      <c r="DS98" s="34">
        <f>IF(AND(DS$5&gt;$E98,DS$5&lt;=$F98),IF(DS$5=$E98+1,$C98,""),"")</f>
        <v/>
      </c>
      <c r="DT98" s="34">
        <f>IF(AND(DT$5&gt;$E98,DT$5&lt;=$F98),IF(DT$5=$E98+1,$C98,""),"")</f>
        <v/>
      </c>
      <c r="DU98" s="34">
        <f>IF(AND(DU$5&gt;$E98,DU$5&lt;=$F98),IF(DU$5=$E98+1,$C98,""),"")</f>
        <v/>
      </c>
      <c r="DV98" s="34">
        <f>IF(AND(DV$5&gt;$E98,DV$5&lt;=$F98),IF(DV$5=$E98+1,$C98,""),"")</f>
        <v/>
      </c>
      <c r="DW98" s="34">
        <f>IF(AND(DW$5&gt;$E98,DW$5&lt;=$F98),IF(DW$5=$E98+1,$C98,""),"")</f>
        <v/>
      </c>
      <c r="DX98" s="34">
        <f>IF(AND(DX$5&gt;$E98,DX$5&lt;=$F98),IF(DX$5=$E98+1,$C98,""),"")</f>
        <v/>
      </c>
      <c r="DY98" s="34">
        <f>IF(AND(DY$5&gt;$E98,DY$5&lt;=$F98),IF(DY$5=$E98+1,$C98,""),"")</f>
        <v/>
      </c>
      <c r="DZ98" s="34">
        <f>IF(AND(DZ$5&gt;$E98,DZ$5&lt;=$F98),IF(DZ$5=$E98+1,$C98,""),"")</f>
        <v/>
      </c>
      <c r="EA98" s="34">
        <f>IF(AND(EA$5&gt;$E98,EA$5&lt;=$F98),IF(EA$5=$E98+1,$C98,""),"")</f>
        <v/>
      </c>
      <c r="EB98" s="34">
        <f>IF(AND(EB$5&gt;$E98,EB$5&lt;=$F98),IF(EB$5=$E98+1,$C98,""),"")</f>
        <v/>
      </c>
      <c r="EC98" s="34">
        <f>IF(AND(EC$5&gt;$E98,EC$5&lt;=$F98),IF(EC$5=$E98+1,$C98,""),"")</f>
        <v/>
      </c>
      <c r="ED98" s="34">
        <f>IF(AND(ED$5&gt;$E98,ED$5&lt;=$F98),IF(ED$5=$E98+1,$C98,""),"")</f>
        <v/>
      </c>
      <c r="EE98" s="34">
        <f>IF(AND(EE$5&gt;$E98,EE$5&lt;=$F98),IF(EE$5=$E98+1,$C98,""),"")</f>
        <v/>
      </c>
      <c r="EF98" s="34">
        <f>IF(AND(EF$5&gt;$E98,EF$5&lt;=$F98),IF(EF$5=$E98+1,$C98,""),"")</f>
        <v/>
      </c>
      <c r="EG98" s="34">
        <f>IF(AND(EG$5&gt;$E98,EG$5&lt;=$F98),IF(EG$5=$E98+1,$C98,""),"")</f>
        <v/>
      </c>
    </row>
    <row r="99">
      <c r="A99" s="32">
        <f>Plan!A69</f>
        <v/>
      </c>
      <c r="B99" s="33">
        <f>Plan!C69</f>
        <v/>
      </c>
      <c r="C99" s="16">
        <f>Plan!D69</f>
        <v/>
      </c>
      <c r="D99" s="16">
        <f>Plan!I69</f>
        <v/>
      </c>
      <c r="E99" s="16">
        <f>Plan!K69</f>
        <v/>
      </c>
      <c r="F99" s="16">
        <f>Plan!L69</f>
        <v/>
      </c>
      <c r="G99" s="16">
        <f>Plan!O69</f>
        <v/>
      </c>
      <c r="H99" s="34">
        <f>IF(AND(H$5&gt;$E99,H$5&lt;=$F99),IF(H$5=$E99+1,$C99,""),"")</f>
        <v/>
      </c>
      <c r="I99" s="34">
        <f>IF(AND(I$5&gt;$E99,I$5&lt;=$F99),IF(I$5=$E99+1,$C99,""),"")</f>
        <v/>
      </c>
      <c r="J99" s="34">
        <f>IF(AND(J$5&gt;$E99,J$5&lt;=$F99),IF(J$5=$E99+1,$C99,""),"")</f>
        <v/>
      </c>
      <c r="K99" s="34">
        <f>IF(AND(K$5&gt;$E99,K$5&lt;=$F99),IF(K$5=$E99+1,$C99,""),"")</f>
        <v/>
      </c>
      <c r="L99" s="34">
        <f>IF(AND(L$5&gt;$E99,L$5&lt;=$F99),IF(L$5=$E99+1,$C99,""),"")</f>
        <v/>
      </c>
      <c r="M99" s="34">
        <f>IF(AND(M$5&gt;$E99,M$5&lt;=$F99),IF(M$5=$E99+1,$C99,""),"")</f>
        <v/>
      </c>
      <c r="N99" s="34">
        <f>IF(AND(N$5&gt;$E99,N$5&lt;=$F99),IF(N$5=$E99+1,$C99,""),"")</f>
        <v/>
      </c>
      <c r="O99" s="34">
        <f>IF(AND(O$5&gt;$E99,O$5&lt;=$F99),IF(O$5=$E99+1,$C99,""),"")</f>
        <v/>
      </c>
      <c r="P99" s="34">
        <f>IF(AND(P$5&gt;$E99,P$5&lt;=$F99),IF(P$5=$E99+1,$C99,""),"")</f>
        <v/>
      </c>
      <c r="Q99" s="34">
        <f>IF(AND(Q$5&gt;$E99,Q$5&lt;=$F99),IF(Q$5=$E99+1,$C99,""),"")</f>
        <v/>
      </c>
      <c r="R99" s="34">
        <f>IF(AND(R$5&gt;$E99,R$5&lt;=$F99),IF(R$5=$E99+1,$C99,""),"")</f>
        <v/>
      </c>
      <c r="S99" s="34">
        <f>IF(AND(S$5&gt;$E99,S$5&lt;=$F99),IF(S$5=$E99+1,$C99,""),"")</f>
        <v/>
      </c>
      <c r="T99" s="34">
        <f>IF(AND(T$5&gt;$E99,T$5&lt;=$F99),IF(T$5=$E99+1,$C99,""),"")</f>
        <v/>
      </c>
      <c r="U99" s="34">
        <f>IF(AND(U$5&gt;$E99,U$5&lt;=$F99),IF(U$5=$E99+1,$C99,""),"")</f>
        <v/>
      </c>
      <c r="V99" s="34">
        <f>IF(AND(V$5&gt;$E99,V$5&lt;=$F99),IF(V$5=$E99+1,$C99,""),"")</f>
        <v/>
      </c>
      <c r="W99" s="34">
        <f>IF(AND(W$5&gt;$E99,W$5&lt;=$F99),IF(W$5=$E99+1,$C99,""),"")</f>
        <v/>
      </c>
      <c r="X99" s="34">
        <f>IF(AND(X$5&gt;$E99,X$5&lt;=$F99),IF(X$5=$E99+1,$C99,""),"")</f>
        <v/>
      </c>
      <c r="Y99" s="34">
        <f>IF(AND(Y$5&gt;$E99,Y$5&lt;=$F99),IF(Y$5=$E99+1,$C99,""),"")</f>
        <v/>
      </c>
      <c r="Z99" s="34">
        <f>IF(AND(Z$5&gt;$E99,Z$5&lt;=$F99),IF(Z$5=$E99+1,$C99,""),"")</f>
        <v/>
      </c>
      <c r="AA99" s="34">
        <f>IF(AND(AA$5&gt;$E99,AA$5&lt;=$F99),IF(AA$5=$E99+1,$C99,""),"")</f>
        <v/>
      </c>
      <c r="AB99" s="34">
        <f>IF(AND(AB$5&gt;$E99,AB$5&lt;=$F99),IF(AB$5=$E99+1,$C99,""),"")</f>
        <v/>
      </c>
      <c r="AC99" s="34">
        <f>IF(AND(AC$5&gt;$E99,AC$5&lt;=$F99),IF(AC$5=$E99+1,$C99,""),"")</f>
        <v/>
      </c>
      <c r="AD99" s="34">
        <f>IF(AND(AD$5&gt;$E99,AD$5&lt;=$F99),IF(AD$5=$E99+1,$C99,""),"")</f>
        <v/>
      </c>
      <c r="AE99" s="34">
        <f>IF(AND(AE$5&gt;$E99,AE$5&lt;=$F99),IF(AE$5=$E99+1,$C99,""),"")</f>
        <v/>
      </c>
      <c r="AF99" s="34">
        <f>IF(AND(AF$5&gt;$E99,AF$5&lt;=$F99),IF(AF$5=$E99+1,$C99,""),"")</f>
        <v/>
      </c>
      <c r="AG99" s="34">
        <f>IF(AND(AG$5&gt;$E99,AG$5&lt;=$F99),IF(AG$5=$E99+1,$C99,""),"")</f>
        <v/>
      </c>
      <c r="AH99" s="34">
        <f>IF(AND(AH$5&gt;$E99,AH$5&lt;=$F99),IF(AH$5=$E99+1,$C99,""),"")</f>
        <v/>
      </c>
      <c r="AI99" s="34">
        <f>IF(AND(AI$5&gt;$E99,AI$5&lt;=$F99),IF(AI$5=$E99+1,$C99,""),"")</f>
        <v/>
      </c>
      <c r="AJ99" s="34">
        <f>IF(AND(AJ$5&gt;$E99,AJ$5&lt;=$F99),IF(AJ$5=$E99+1,$C99,""),"")</f>
        <v/>
      </c>
      <c r="AK99" s="34">
        <f>IF(AND(AK$5&gt;$E99,AK$5&lt;=$F99),IF(AK$5=$E99+1,$C99,""),"")</f>
        <v/>
      </c>
      <c r="AL99" s="34">
        <f>IF(AND(AL$5&gt;$E99,AL$5&lt;=$F99),IF(AL$5=$E99+1,$C99,""),"")</f>
        <v/>
      </c>
      <c r="AM99" s="34">
        <f>IF(AND(AM$5&gt;$E99,AM$5&lt;=$F99),IF(AM$5=$E99+1,$C99,""),"")</f>
        <v/>
      </c>
      <c r="AN99" s="34">
        <f>IF(AND(AN$5&gt;$E99,AN$5&lt;=$F99),IF(AN$5=$E99+1,$C99,""),"")</f>
        <v/>
      </c>
      <c r="AO99" s="34">
        <f>IF(AND(AO$5&gt;$E99,AO$5&lt;=$F99),IF(AO$5=$E99+1,$C99,""),"")</f>
        <v/>
      </c>
      <c r="AP99" s="34">
        <f>IF(AND(AP$5&gt;$E99,AP$5&lt;=$F99),IF(AP$5=$E99+1,$C99,""),"")</f>
        <v/>
      </c>
      <c r="AQ99" s="34">
        <f>IF(AND(AQ$5&gt;$E99,AQ$5&lt;=$F99),IF(AQ$5=$E99+1,$C99,""),"")</f>
        <v/>
      </c>
      <c r="AR99" s="34">
        <f>IF(AND(AR$5&gt;$E99,AR$5&lt;=$F99),IF(AR$5=$E99+1,$C99,""),"")</f>
        <v/>
      </c>
      <c r="AS99" s="34">
        <f>IF(AND(AS$5&gt;$E99,AS$5&lt;=$F99),IF(AS$5=$E99+1,$C99,""),"")</f>
        <v/>
      </c>
      <c r="AT99" s="34">
        <f>IF(AND(AT$5&gt;$E99,AT$5&lt;=$F99),IF(AT$5=$E99+1,$C99,""),"")</f>
        <v/>
      </c>
      <c r="AU99" s="34">
        <f>IF(AND(AU$5&gt;$E99,AU$5&lt;=$F99),IF(AU$5=$E99+1,$C99,""),"")</f>
        <v/>
      </c>
      <c r="AV99" s="34">
        <f>IF(AND(AV$5&gt;$E99,AV$5&lt;=$F99),IF(AV$5=$E99+1,$C99,""),"")</f>
        <v/>
      </c>
      <c r="AW99" s="34">
        <f>IF(AND(AW$5&gt;$E99,AW$5&lt;=$F99),IF(AW$5=$E99+1,$C99,""),"")</f>
        <v/>
      </c>
      <c r="AX99" s="34">
        <f>IF(AND(AX$5&gt;$E99,AX$5&lt;=$F99),IF(AX$5=$E99+1,$C99,""),"")</f>
        <v/>
      </c>
      <c r="AY99" s="34">
        <f>IF(AND(AY$5&gt;$E99,AY$5&lt;=$F99),IF(AY$5=$E99+1,$C99,""),"")</f>
        <v/>
      </c>
      <c r="AZ99" s="34">
        <f>IF(AND(AZ$5&gt;$E99,AZ$5&lt;=$F99),IF(AZ$5=$E99+1,$C99,""),"")</f>
        <v/>
      </c>
      <c r="BA99" s="34">
        <f>IF(AND(BA$5&gt;$E99,BA$5&lt;=$F99),IF(BA$5=$E99+1,$C99,""),"")</f>
        <v/>
      </c>
      <c r="BB99" s="34">
        <f>IF(AND(BB$5&gt;$E99,BB$5&lt;=$F99),IF(BB$5=$E99+1,$C99,""),"")</f>
        <v/>
      </c>
      <c r="BC99" s="34">
        <f>IF(AND(BC$5&gt;$E99,BC$5&lt;=$F99),IF(BC$5=$E99+1,$C99,""),"")</f>
        <v/>
      </c>
      <c r="BD99" s="34">
        <f>IF(AND(BD$5&gt;$E99,BD$5&lt;=$F99),IF(BD$5=$E99+1,$C99,""),"")</f>
        <v/>
      </c>
      <c r="BE99" s="34">
        <f>IF(AND(BE$5&gt;$E99,BE$5&lt;=$F99),IF(BE$5=$E99+1,$C99,""),"")</f>
        <v/>
      </c>
      <c r="BF99" s="34">
        <f>IF(AND(BF$5&gt;$E99,BF$5&lt;=$F99),IF(BF$5=$E99+1,$C99,""),"")</f>
        <v/>
      </c>
      <c r="BG99" s="34">
        <f>IF(AND(BG$5&gt;$E99,BG$5&lt;=$F99),IF(BG$5=$E99+1,$C99,""),"")</f>
        <v/>
      </c>
      <c r="BH99" s="34">
        <f>IF(AND(BH$5&gt;$E99,BH$5&lt;=$F99),IF(BH$5=$E99+1,$C99,""),"")</f>
        <v/>
      </c>
      <c r="BI99" s="34">
        <f>IF(AND(BI$5&gt;$E99,BI$5&lt;=$F99),IF(BI$5=$E99+1,$C99,""),"")</f>
        <v/>
      </c>
      <c r="BJ99" s="34">
        <f>IF(AND(BJ$5&gt;$E99,BJ$5&lt;=$F99),IF(BJ$5=$E99+1,$C99,""),"")</f>
        <v/>
      </c>
      <c r="BK99" s="34">
        <f>IF(AND(BK$5&gt;$E99,BK$5&lt;=$F99),IF(BK$5=$E99+1,$C99,""),"")</f>
        <v/>
      </c>
      <c r="BL99" s="34">
        <f>IF(AND(BL$5&gt;$E99,BL$5&lt;=$F99),IF(BL$5=$E99+1,$C99,""),"")</f>
        <v/>
      </c>
      <c r="BM99" s="34">
        <f>IF(AND(BM$5&gt;$E99,BM$5&lt;=$F99),IF(BM$5=$E99+1,$C99,""),"")</f>
        <v/>
      </c>
      <c r="BN99" s="34">
        <f>IF(AND(BN$5&gt;$E99,BN$5&lt;=$F99),IF(BN$5=$E99+1,$C99,""),"")</f>
        <v/>
      </c>
      <c r="BO99" s="34">
        <f>IF(AND(BO$5&gt;$E99,BO$5&lt;=$F99),IF(BO$5=$E99+1,$C99,""),"")</f>
        <v/>
      </c>
      <c r="BP99" s="34">
        <f>IF(AND(BP$5&gt;$E99,BP$5&lt;=$F99),IF(BP$5=$E99+1,$C99,""),"")</f>
        <v/>
      </c>
      <c r="BQ99" s="34">
        <f>IF(AND(BQ$5&gt;$E99,BQ$5&lt;=$F99),IF(BQ$5=$E99+1,$C99,""),"")</f>
        <v/>
      </c>
      <c r="BR99" s="34">
        <f>IF(AND(BR$5&gt;$E99,BR$5&lt;=$F99),IF(BR$5=$E99+1,$C99,""),"")</f>
        <v/>
      </c>
      <c r="BS99" s="34">
        <f>IF(AND(BS$5&gt;$E99,BS$5&lt;=$F99),IF(BS$5=$E99+1,$C99,""),"")</f>
        <v/>
      </c>
      <c r="BT99" s="34">
        <f>IF(AND(BT$5&gt;$E99,BT$5&lt;=$F99),IF(BT$5=$E99+1,$C99,""),"")</f>
        <v/>
      </c>
      <c r="BU99" s="34">
        <f>IF(AND(BU$5&gt;$E99,BU$5&lt;=$F99),IF(BU$5=$E99+1,$C99,""),"")</f>
        <v/>
      </c>
      <c r="BV99" s="34">
        <f>IF(AND(BV$5&gt;$E99,BV$5&lt;=$F99),IF(BV$5=$E99+1,$C99,""),"")</f>
        <v/>
      </c>
      <c r="BW99" s="34">
        <f>IF(AND(BW$5&gt;$E99,BW$5&lt;=$F99),IF(BW$5=$E99+1,$C99,""),"")</f>
        <v/>
      </c>
      <c r="BX99" s="34">
        <f>IF(AND(BX$5&gt;$E99,BX$5&lt;=$F99),IF(BX$5=$E99+1,$C99,""),"")</f>
        <v/>
      </c>
      <c r="BY99" s="34">
        <f>IF(AND(BY$5&gt;$E99,BY$5&lt;=$F99),IF(BY$5=$E99+1,$C99,""),"")</f>
        <v/>
      </c>
      <c r="BZ99" s="34">
        <f>IF(AND(BZ$5&gt;$E99,BZ$5&lt;=$F99),IF(BZ$5=$E99+1,$C99,""),"")</f>
        <v/>
      </c>
      <c r="CA99" s="34">
        <f>IF(AND(CA$5&gt;$E99,CA$5&lt;=$F99),IF(CA$5=$E99+1,$C99,""),"")</f>
        <v/>
      </c>
      <c r="CB99" s="34">
        <f>IF(AND(CB$5&gt;$E99,CB$5&lt;=$F99),IF(CB$5=$E99+1,$C99,""),"")</f>
        <v/>
      </c>
      <c r="CC99" s="34">
        <f>IF(AND(CC$5&gt;$E99,CC$5&lt;=$F99),IF(CC$5=$E99+1,$C99,""),"")</f>
        <v/>
      </c>
      <c r="CD99" s="34">
        <f>IF(AND(CD$5&gt;$E99,CD$5&lt;=$F99),IF(CD$5=$E99+1,$C99,""),"")</f>
        <v/>
      </c>
      <c r="CE99" s="34">
        <f>IF(AND(CE$5&gt;$E99,CE$5&lt;=$F99),IF(CE$5=$E99+1,$C99,""),"")</f>
        <v/>
      </c>
      <c r="CF99" s="34">
        <f>IF(AND(CF$5&gt;$E99,CF$5&lt;=$F99),IF(CF$5=$E99+1,$C99,""),"")</f>
        <v/>
      </c>
      <c r="CG99" s="34">
        <f>IF(AND(CG$5&gt;$E99,CG$5&lt;=$F99),IF(CG$5=$E99+1,$C99,""),"")</f>
        <v/>
      </c>
      <c r="CH99" s="34">
        <f>IF(AND(CH$5&gt;$E99,CH$5&lt;=$F99),IF(CH$5=$E99+1,$C99,""),"")</f>
        <v/>
      </c>
      <c r="CI99" s="34">
        <f>IF(AND(CI$5&gt;$E99,CI$5&lt;=$F99),IF(CI$5=$E99+1,$C99,""),"")</f>
        <v/>
      </c>
      <c r="CJ99" s="34">
        <f>IF(AND(CJ$5&gt;$E99,CJ$5&lt;=$F99),IF(CJ$5=$E99+1,$C99,""),"")</f>
        <v/>
      </c>
      <c r="CK99" s="34">
        <f>IF(AND(CK$5&gt;$E99,CK$5&lt;=$F99),IF(CK$5=$E99+1,$C99,""),"")</f>
        <v/>
      </c>
      <c r="CL99" s="34">
        <f>IF(AND(CL$5&gt;$E99,CL$5&lt;=$F99),IF(CL$5=$E99+1,$C99,""),"")</f>
        <v/>
      </c>
      <c r="CM99" s="34">
        <f>IF(AND(CM$5&gt;$E99,CM$5&lt;=$F99),IF(CM$5=$E99+1,$C99,""),"")</f>
        <v/>
      </c>
      <c r="CN99" s="34">
        <f>IF(AND(CN$5&gt;$E99,CN$5&lt;=$F99),IF(CN$5=$E99+1,$C99,""),"")</f>
        <v/>
      </c>
      <c r="CO99" s="34">
        <f>IF(AND(CO$5&gt;$E99,CO$5&lt;=$F99),IF(CO$5=$E99+1,$C99,""),"")</f>
        <v/>
      </c>
      <c r="CP99" s="34">
        <f>IF(AND(CP$5&gt;$E99,CP$5&lt;=$F99),IF(CP$5=$E99+1,$C99,""),"")</f>
        <v/>
      </c>
      <c r="CQ99" s="34">
        <f>IF(AND(CQ$5&gt;$E99,CQ$5&lt;=$F99),IF(CQ$5=$E99+1,$C99,""),"")</f>
        <v/>
      </c>
      <c r="CR99" s="34">
        <f>IF(AND(CR$5&gt;$E99,CR$5&lt;=$F99),IF(CR$5=$E99+1,$C99,""),"")</f>
        <v/>
      </c>
      <c r="CS99" s="34">
        <f>IF(AND(CS$5&gt;$E99,CS$5&lt;=$F99),IF(CS$5=$E99+1,$C99,""),"")</f>
        <v/>
      </c>
      <c r="CT99" s="34">
        <f>IF(AND(CT$5&gt;$E99,CT$5&lt;=$F99),IF(CT$5=$E99+1,$C99,""),"")</f>
        <v/>
      </c>
      <c r="CU99" s="34">
        <f>IF(AND(CU$5&gt;$E99,CU$5&lt;=$F99),IF(CU$5=$E99+1,$C99,""),"")</f>
        <v/>
      </c>
      <c r="CV99" s="34">
        <f>IF(AND(CV$5&gt;$E99,CV$5&lt;=$F99),IF(CV$5=$E99+1,$C99,""),"")</f>
        <v/>
      </c>
      <c r="CW99" s="34">
        <f>IF(AND(CW$5&gt;$E99,CW$5&lt;=$F99),IF(CW$5=$E99+1,$C99,""),"")</f>
        <v/>
      </c>
      <c r="CX99" s="34">
        <f>IF(AND(CX$5&gt;$E99,CX$5&lt;=$F99),IF(CX$5=$E99+1,$C99,""),"")</f>
        <v/>
      </c>
      <c r="CY99" s="34">
        <f>IF(AND(CY$5&gt;$E99,CY$5&lt;=$F99),IF(CY$5=$E99+1,$C99,""),"")</f>
        <v/>
      </c>
      <c r="CZ99" s="34">
        <f>IF(AND(CZ$5&gt;$E99,CZ$5&lt;=$F99),IF(CZ$5=$E99+1,$C99,""),"")</f>
        <v/>
      </c>
      <c r="DA99" s="34">
        <f>IF(AND(DA$5&gt;$E99,DA$5&lt;=$F99),IF(DA$5=$E99+1,$C99,""),"")</f>
        <v/>
      </c>
      <c r="DB99" s="34">
        <f>IF(AND(DB$5&gt;$E99,DB$5&lt;=$F99),IF(DB$5=$E99+1,$C99,""),"")</f>
        <v/>
      </c>
      <c r="DC99" s="34">
        <f>IF(AND(DC$5&gt;$E99,DC$5&lt;=$F99),IF(DC$5=$E99+1,$C99,""),"")</f>
        <v/>
      </c>
      <c r="DD99" s="34">
        <f>IF(AND(DD$5&gt;$E99,DD$5&lt;=$F99),IF(DD$5=$E99+1,$C99,""),"")</f>
        <v/>
      </c>
      <c r="DE99" s="34">
        <f>IF(AND(DE$5&gt;$E99,DE$5&lt;=$F99),IF(DE$5=$E99+1,$C99,""),"")</f>
        <v/>
      </c>
      <c r="DF99" s="34">
        <f>IF(AND(DF$5&gt;$E99,DF$5&lt;=$F99),IF(DF$5=$E99+1,$C99,""),"")</f>
        <v/>
      </c>
      <c r="DG99" s="34">
        <f>IF(AND(DG$5&gt;$E99,DG$5&lt;=$F99),IF(DG$5=$E99+1,$C99,""),"")</f>
        <v/>
      </c>
      <c r="DH99" s="34">
        <f>IF(AND(DH$5&gt;$E99,DH$5&lt;=$F99),IF(DH$5=$E99+1,$C99,""),"")</f>
        <v/>
      </c>
      <c r="DI99" s="34">
        <f>IF(AND(DI$5&gt;$E99,DI$5&lt;=$F99),IF(DI$5=$E99+1,$C99,""),"")</f>
        <v/>
      </c>
      <c r="DJ99" s="34">
        <f>IF(AND(DJ$5&gt;$E99,DJ$5&lt;=$F99),IF(DJ$5=$E99+1,$C99,""),"")</f>
        <v/>
      </c>
      <c r="DK99" s="34">
        <f>IF(AND(DK$5&gt;$E99,DK$5&lt;=$F99),IF(DK$5=$E99+1,$C99,""),"")</f>
        <v/>
      </c>
      <c r="DL99" s="34">
        <f>IF(AND(DL$5&gt;$E99,DL$5&lt;=$F99),IF(DL$5=$E99+1,$C99,""),"")</f>
        <v/>
      </c>
      <c r="DM99" s="34">
        <f>IF(AND(DM$5&gt;$E99,DM$5&lt;=$F99),IF(DM$5=$E99+1,$C99,""),"")</f>
        <v/>
      </c>
      <c r="DN99" s="34">
        <f>IF(AND(DN$5&gt;$E99,DN$5&lt;=$F99),IF(DN$5=$E99+1,$C99,""),"")</f>
        <v/>
      </c>
      <c r="DO99" s="34">
        <f>IF(AND(DO$5&gt;$E99,DO$5&lt;=$F99),IF(DO$5=$E99+1,$C99,""),"")</f>
        <v/>
      </c>
      <c r="DP99" s="34">
        <f>IF(AND(DP$5&gt;$E99,DP$5&lt;=$F99),IF(DP$5=$E99+1,$C99,""),"")</f>
        <v/>
      </c>
      <c r="DQ99" s="34">
        <f>IF(AND(DQ$5&gt;$E99,DQ$5&lt;=$F99),IF(DQ$5=$E99+1,$C99,""),"")</f>
        <v/>
      </c>
      <c r="DR99" s="34">
        <f>IF(AND(DR$5&gt;$E99,DR$5&lt;=$F99),IF(DR$5=$E99+1,$C99,""),"")</f>
        <v/>
      </c>
      <c r="DS99" s="34">
        <f>IF(AND(DS$5&gt;$E99,DS$5&lt;=$F99),IF(DS$5=$E99+1,$C99,""),"")</f>
        <v/>
      </c>
      <c r="DT99" s="34">
        <f>IF(AND(DT$5&gt;$E99,DT$5&lt;=$F99),IF(DT$5=$E99+1,$C99,""),"")</f>
        <v/>
      </c>
      <c r="DU99" s="34">
        <f>IF(AND(DU$5&gt;$E99,DU$5&lt;=$F99),IF(DU$5=$E99+1,$C99,""),"")</f>
        <v/>
      </c>
      <c r="DV99" s="34">
        <f>IF(AND(DV$5&gt;$E99,DV$5&lt;=$F99),IF(DV$5=$E99+1,$C99,""),"")</f>
        <v/>
      </c>
      <c r="DW99" s="34">
        <f>IF(AND(DW$5&gt;$E99,DW$5&lt;=$F99),IF(DW$5=$E99+1,$C99,""),"")</f>
        <v/>
      </c>
      <c r="DX99" s="34">
        <f>IF(AND(DX$5&gt;$E99,DX$5&lt;=$F99),IF(DX$5=$E99+1,$C99,""),"")</f>
        <v/>
      </c>
      <c r="DY99" s="34">
        <f>IF(AND(DY$5&gt;$E99,DY$5&lt;=$F99),IF(DY$5=$E99+1,$C99,""),"")</f>
        <v/>
      </c>
      <c r="DZ99" s="34">
        <f>IF(AND(DZ$5&gt;$E99,DZ$5&lt;=$F99),IF(DZ$5=$E99+1,$C99,""),"")</f>
        <v/>
      </c>
      <c r="EA99" s="34">
        <f>IF(AND(EA$5&gt;$E99,EA$5&lt;=$F99),IF(EA$5=$E99+1,$C99,""),"")</f>
        <v/>
      </c>
      <c r="EB99" s="34">
        <f>IF(AND(EB$5&gt;$E99,EB$5&lt;=$F99),IF(EB$5=$E99+1,$C99,""),"")</f>
        <v/>
      </c>
      <c r="EC99" s="34">
        <f>IF(AND(EC$5&gt;$E99,EC$5&lt;=$F99),IF(EC$5=$E99+1,$C99,""),"")</f>
        <v/>
      </c>
      <c r="ED99" s="34">
        <f>IF(AND(ED$5&gt;$E99,ED$5&lt;=$F99),IF(ED$5=$E99+1,$C99,""),"")</f>
        <v/>
      </c>
      <c r="EE99" s="34">
        <f>IF(AND(EE$5&gt;$E99,EE$5&lt;=$F99),IF(EE$5=$E99+1,$C99,""),"")</f>
        <v/>
      </c>
      <c r="EF99" s="34">
        <f>IF(AND(EF$5&gt;$E99,EF$5&lt;=$F99),IF(EF$5=$E99+1,$C99,""),"")</f>
        <v/>
      </c>
      <c r="EG99" s="34">
        <f>IF(AND(EG$5&gt;$E99,EG$5&lt;=$F99),IF(EG$5=$E99+1,$C99,""),"")</f>
        <v/>
      </c>
    </row>
    <row r="100">
      <c r="A100" s="32">
        <f>Plan!A70</f>
        <v/>
      </c>
      <c r="B100" s="33">
        <f>Plan!C70</f>
        <v/>
      </c>
      <c r="C100" s="16">
        <f>Plan!D70</f>
        <v/>
      </c>
      <c r="D100" s="16">
        <f>Plan!I70</f>
        <v/>
      </c>
      <c r="E100" s="16">
        <f>Plan!K70</f>
        <v/>
      </c>
      <c r="F100" s="16">
        <f>Plan!L70</f>
        <v/>
      </c>
      <c r="G100" s="16">
        <f>Plan!O70</f>
        <v/>
      </c>
      <c r="H100" s="34">
        <f>IF(AND(H$5&gt;$E100,H$5&lt;=$F100),IF(H$5=$E100+1,$C100,""),"")</f>
        <v/>
      </c>
      <c r="I100" s="34">
        <f>IF(AND(I$5&gt;$E100,I$5&lt;=$F100),IF(I$5=$E100+1,$C100,""),"")</f>
        <v/>
      </c>
      <c r="J100" s="34">
        <f>IF(AND(J$5&gt;$E100,J$5&lt;=$F100),IF(J$5=$E100+1,$C100,""),"")</f>
        <v/>
      </c>
      <c r="K100" s="34">
        <f>IF(AND(K$5&gt;$E100,K$5&lt;=$F100),IF(K$5=$E100+1,$C100,""),"")</f>
        <v/>
      </c>
      <c r="L100" s="34">
        <f>IF(AND(L$5&gt;$E100,L$5&lt;=$F100),IF(L$5=$E100+1,$C100,""),"")</f>
        <v/>
      </c>
      <c r="M100" s="34">
        <f>IF(AND(M$5&gt;$E100,M$5&lt;=$F100),IF(M$5=$E100+1,$C100,""),"")</f>
        <v/>
      </c>
      <c r="N100" s="34">
        <f>IF(AND(N$5&gt;$E100,N$5&lt;=$F100),IF(N$5=$E100+1,$C100,""),"")</f>
        <v/>
      </c>
      <c r="O100" s="34">
        <f>IF(AND(O$5&gt;$E100,O$5&lt;=$F100),IF(O$5=$E100+1,$C100,""),"")</f>
        <v/>
      </c>
      <c r="P100" s="34">
        <f>IF(AND(P$5&gt;$E100,P$5&lt;=$F100),IF(P$5=$E100+1,$C100,""),"")</f>
        <v/>
      </c>
      <c r="Q100" s="34">
        <f>IF(AND(Q$5&gt;$E100,Q$5&lt;=$F100),IF(Q$5=$E100+1,$C100,""),"")</f>
        <v/>
      </c>
      <c r="R100" s="34">
        <f>IF(AND(R$5&gt;$E100,R$5&lt;=$F100),IF(R$5=$E100+1,$C100,""),"")</f>
        <v/>
      </c>
      <c r="S100" s="34">
        <f>IF(AND(S$5&gt;$E100,S$5&lt;=$F100),IF(S$5=$E100+1,$C100,""),"")</f>
        <v/>
      </c>
      <c r="T100" s="34">
        <f>IF(AND(T$5&gt;$E100,T$5&lt;=$F100),IF(T$5=$E100+1,$C100,""),"")</f>
        <v/>
      </c>
      <c r="U100" s="34">
        <f>IF(AND(U$5&gt;$E100,U$5&lt;=$F100),IF(U$5=$E100+1,$C100,""),"")</f>
        <v/>
      </c>
      <c r="V100" s="34">
        <f>IF(AND(V$5&gt;$E100,V$5&lt;=$F100),IF(V$5=$E100+1,$C100,""),"")</f>
        <v/>
      </c>
      <c r="W100" s="34">
        <f>IF(AND(W$5&gt;$E100,W$5&lt;=$F100),IF(W$5=$E100+1,$C100,""),"")</f>
        <v/>
      </c>
      <c r="X100" s="34">
        <f>IF(AND(X$5&gt;$E100,X$5&lt;=$F100),IF(X$5=$E100+1,$C100,""),"")</f>
        <v/>
      </c>
      <c r="Y100" s="34">
        <f>IF(AND(Y$5&gt;$E100,Y$5&lt;=$F100),IF(Y$5=$E100+1,$C100,""),"")</f>
        <v/>
      </c>
      <c r="Z100" s="34">
        <f>IF(AND(Z$5&gt;$E100,Z$5&lt;=$F100),IF(Z$5=$E100+1,$C100,""),"")</f>
        <v/>
      </c>
      <c r="AA100" s="34">
        <f>IF(AND(AA$5&gt;$E100,AA$5&lt;=$F100),IF(AA$5=$E100+1,$C100,""),"")</f>
        <v/>
      </c>
      <c r="AB100" s="34">
        <f>IF(AND(AB$5&gt;$E100,AB$5&lt;=$F100),IF(AB$5=$E100+1,$C100,""),"")</f>
        <v/>
      </c>
      <c r="AC100" s="34">
        <f>IF(AND(AC$5&gt;$E100,AC$5&lt;=$F100),IF(AC$5=$E100+1,$C100,""),"")</f>
        <v/>
      </c>
      <c r="AD100" s="34">
        <f>IF(AND(AD$5&gt;$E100,AD$5&lt;=$F100),IF(AD$5=$E100+1,$C100,""),"")</f>
        <v/>
      </c>
      <c r="AE100" s="34">
        <f>IF(AND(AE$5&gt;$E100,AE$5&lt;=$F100),IF(AE$5=$E100+1,$C100,""),"")</f>
        <v/>
      </c>
      <c r="AF100" s="34">
        <f>IF(AND(AF$5&gt;$E100,AF$5&lt;=$F100),IF(AF$5=$E100+1,$C100,""),"")</f>
        <v/>
      </c>
      <c r="AG100" s="34">
        <f>IF(AND(AG$5&gt;$E100,AG$5&lt;=$F100),IF(AG$5=$E100+1,$C100,""),"")</f>
        <v/>
      </c>
      <c r="AH100" s="34">
        <f>IF(AND(AH$5&gt;$E100,AH$5&lt;=$F100),IF(AH$5=$E100+1,$C100,""),"")</f>
        <v/>
      </c>
      <c r="AI100" s="34">
        <f>IF(AND(AI$5&gt;$E100,AI$5&lt;=$F100),IF(AI$5=$E100+1,$C100,""),"")</f>
        <v/>
      </c>
      <c r="AJ100" s="34">
        <f>IF(AND(AJ$5&gt;$E100,AJ$5&lt;=$F100),IF(AJ$5=$E100+1,$C100,""),"")</f>
        <v/>
      </c>
      <c r="AK100" s="34">
        <f>IF(AND(AK$5&gt;$E100,AK$5&lt;=$F100),IF(AK$5=$E100+1,$C100,""),"")</f>
        <v/>
      </c>
      <c r="AL100" s="34">
        <f>IF(AND(AL$5&gt;$E100,AL$5&lt;=$F100),IF(AL$5=$E100+1,$C100,""),"")</f>
        <v/>
      </c>
      <c r="AM100" s="34">
        <f>IF(AND(AM$5&gt;$E100,AM$5&lt;=$F100),IF(AM$5=$E100+1,$C100,""),"")</f>
        <v/>
      </c>
      <c r="AN100" s="34">
        <f>IF(AND(AN$5&gt;$E100,AN$5&lt;=$F100),IF(AN$5=$E100+1,$C100,""),"")</f>
        <v/>
      </c>
      <c r="AO100" s="34">
        <f>IF(AND(AO$5&gt;$E100,AO$5&lt;=$F100),IF(AO$5=$E100+1,$C100,""),"")</f>
        <v/>
      </c>
      <c r="AP100" s="34">
        <f>IF(AND(AP$5&gt;$E100,AP$5&lt;=$F100),IF(AP$5=$E100+1,$C100,""),"")</f>
        <v/>
      </c>
      <c r="AQ100" s="34">
        <f>IF(AND(AQ$5&gt;$E100,AQ$5&lt;=$F100),IF(AQ$5=$E100+1,$C100,""),"")</f>
        <v/>
      </c>
      <c r="AR100" s="34">
        <f>IF(AND(AR$5&gt;$E100,AR$5&lt;=$F100),IF(AR$5=$E100+1,$C100,""),"")</f>
        <v/>
      </c>
      <c r="AS100" s="34">
        <f>IF(AND(AS$5&gt;$E100,AS$5&lt;=$F100),IF(AS$5=$E100+1,$C100,""),"")</f>
        <v/>
      </c>
      <c r="AT100" s="34">
        <f>IF(AND(AT$5&gt;$E100,AT$5&lt;=$F100),IF(AT$5=$E100+1,$C100,""),"")</f>
        <v/>
      </c>
      <c r="AU100" s="34">
        <f>IF(AND(AU$5&gt;$E100,AU$5&lt;=$F100),IF(AU$5=$E100+1,$C100,""),"")</f>
        <v/>
      </c>
      <c r="AV100" s="34">
        <f>IF(AND(AV$5&gt;$E100,AV$5&lt;=$F100),IF(AV$5=$E100+1,$C100,""),"")</f>
        <v/>
      </c>
      <c r="AW100" s="34">
        <f>IF(AND(AW$5&gt;$E100,AW$5&lt;=$F100),IF(AW$5=$E100+1,$C100,""),"")</f>
        <v/>
      </c>
      <c r="AX100" s="34">
        <f>IF(AND(AX$5&gt;$E100,AX$5&lt;=$F100),IF(AX$5=$E100+1,$C100,""),"")</f>
        <v/>
      </c>
      <c r="AY100" s="34">
        <f>IF(AND(AY$5&gt;$E100,AY$5&lt;=$F100),IF(AY$5=$E100+1,$C100,""),"")</f>
        <v/>
      </c>
      <c r="AZ100" s="34">
        <f>IF(AND(AZ$5&gt;$E100,AZ$5&lt;=$F100),IF(AZ$5=$E100+1,$C100,""),"")</f>
        <v/>
      </c>
      <c r="BA100" s="34">
        <f>IF(AND(BA$5&gt;$E100,BA$5&lt;=$F100),IF(BA$5=$E100+1,$C100,""),"")</f>
        <v/>
      </c>
      <c r="BB100" s="34">
        <f>IF(AND(BB$5&gt;$E100,BB$5&lt;=$F100),IF(BB$5=$E100+1,$C100,""),"")</f>
        <v/>
      </c>
      <c r="BC100" s="34">
        <f>IF(AND(BC$5&gt;$E100,BC$5&lt;=$F100),IF(BC$5=$E100+1,$C100,""),"")</f>
        <v/>
      </c>
      <c r="BD100" s="34">
        <f>IF(AND(BD$5&gt;$E100,BD$5&lt;=$F100),IF(BD$5=$E100+1,$C100,""),"")</f>
        <v/>
      </c>
      <c r="BE100" s="34">
        <f>IF(AND(BE$5&gt;$E100,BE$5&lt;=$F100),IF(BE$5=$E100+1,$C100,""),"")</f>
        <v/>
      </c>
      <c r="BF100" s="34">
        <f>IF(AND(BF$5&gt;$E100,BF$5&lt;=$F100),IF(BF$5=$E100+1,$C100,""),"")</f>
        <v/>
      </c>
      <c r="BG100" s="34">
        <f>IF(AND(BG$5&gt;$E100,BG$5&lt;=$F100),IF(BG$5=$E100+1,$C100,""),"")</f>
        <v/>
      </c>
      <c r="BH100" s="34">
        <f>IF(AND(BH$5&gt;$E100,BH$5&lt;=$F100),IF(BH$5=$E100+1,$C100,""),"")</f>
        <v/>
      </c>
      <c r="BI100" s="34">
        <f>IF(AND(BI$5&gt;$E100,BI$5&lt;=$F100),IF(BI$5=$E100+1,$C100,""),"")</f>
        <v/>
      </c>
      <c r="BJ100" s="34">
        <f>IF(AND(BJ$5&gt;$E100,BJ$5&lt;=$F100),IF(BJ$5=$E100+1,$C100,""),"")</f>
        <v/>
      </c>
      <c r="BK100" s="34">
        <f>IF(AND(BK$5&gt;$E100,BK$5&lt;=$F100),IF(BK$5=$E100+1,$C100,""),"")</f>
        <v/>
      </c>
      <c r="BL100" s="34">
        <f>IF(AND(BL$5&gt;$E100,BL$5&lt;=$F100),IF(BL$5=$E100+1,$C100,""),"")</f>
        <v/>
      </c>
      <c r="BM100" s="34">
        <f>IF(AND(BM$5&gt;$E100,BM$5&lt;=$F100),IF(BM$5=$E100+1,$C100,""),"")</f>
        <v/>
      </c>
      <c r="BN100" s="34">
        <f>IF(AND(BN$5&gt;$E100,BN$5&lt;=$F100),IF(BN$5=$E100+1,$C100,""),"")</f>
        <v/>
      </c>
      <c r="BO100" s="34">
        <f>IF(AND(BO$5&gt;$E100,BO$5&lt;=$F100),IF(BO$5=$E100+1,$C100,""),"")</f>
        <v/>
      </c>
      <c r="BP100" s="34">
        <f>IF(AND(BP$5&gt;$E100,BP$5&lt;=$F100),IF(BP$5=$E100+1,$C100,""),"")</f>
        <v/>
      </c>
      <c r="BQ100" s="34">
        <f>IF(AND(BQ$5&gt;$E100,BQ$5&lt;=$F100),IF(BQ$5=$E100+1,$C100,""),"")</f>
        <v/>
      </c>
      <c r="BR100" s="34">
        <f>IF(AND(BR$5&gt;$E100,BR$5&lt;=$F100),IF(BR$5=$E100+1,$C100,""),"")</f>
        <v/>
      </c>
      <c r="BS100" s="34">
        <f>IF(AND(BS$5&gt;$E100,BS$5&lt;=$F100),IF(BS$5=$E100+1,$C100,""),"")</f>
        <v/>
      </c>
      <c r="BT100" s="34">
        <f>IF(AND(BT$5&gt;$E100,BT$5&lt;=$F100),IF(BT$5=$E100+1,$C100,""),"")</f>
        <v/>
      </c>
      <c r="BU100" s="34">
        <f>IF(AND(BU$5&gt;$E100,BU$5&lt;=$F100),IF(BU$5=$E100+1,$C100,""),"")</f>
        <v/>
      </c>
      <c r="BV100" s="34">
        <f>IF(AND(BV$5&gt;$E100,BV$5&lt;=$F100),IF(BV$5=$E100+1,$C100,""),"")</f>
        <v/>
      </c>
      <c r="BW100" s="34">
        <f>IF(AND(BW$5&gt;$E100,BW$5&lt;=$F100),IF(BW$5=$E100+1,$C100,""),"")</f>
        <v/>
      </c>
      <c r="BX100" s="34">
        <f>IF(AND(BX$5&gt;$E100,BX$5&lt;=$F100),IF(BX$5=$E100+1,$C100,""),"")</f>
        <v/>
      </c>
      <c r="BY100" s="34">
        <f>IF(AND(BY$5&gt;$E100,BY$5&lt;=$F100),IF(BY$5=$E100+1,$C100,""),"")</f>
        <v/>
      </c>
      <c r="BZ100" s="34">
        <f>IF(AND(BZ$5&gt;$E100,BZ$5&lt;=$F100),IF(BZ$5=$E100+1,$C100,""),"")</f>
        <v/>
      </c>
      <c r="CA100" s="34">
        <f>IF(AND(CA$5&gt;$E100,CA$5&lt;=$F100),IF(CA$5=$E100+1,$C100,""),"")</f>
        <v/>
      </c>
      <c r="CB100" s="34">
        <f>IF(AND(CB$5&gt;$E100,CB$5&lt;=$F100),IF(CB$5=$E100+1,$C100,""),"")</f>
        <v/>
      </c>
      <c r="CC100" s="34">
        <f>IF(AND(CC$5&gt;$E100,CC$5&lt;=$F100),IF(CC$5=$E100+1,$C100,""),"")</f>
        <v/>
      </c>
      <c r="CD100" s="34">
        <f>IF(AND(CD$5&gt;$E100,CD$5&lt;=$F100),IF(CD$5=$E100+1,$C100,""),"")</f>
        <v/>
      </c>
      <c r="CE100" s="34">
        <f>IF(AND(CE$5&gt;$E100,CE$5&lt;=$F100),IF(CE$5=$E100+1,$C100,""),"")</f>
        <v/>
      </c>
      <c r="CF100" s="34">
        <f>IF(AND(CF$5&gt;$E100,CF$5&lt;=$F100),IF(CF$5=$E100+1,$C100,""),"")</f>
        <v/>
      </c>
      <c r="CG100" s="34">
        <f>IF(AND(CG$5&gt;$E100,CG$5&lt;=$F100),IF(CG$5=$E100+1,$C100,""),"")</f>
        <v/>
      </c>
      <c r="CH100" s="34">
        <f>IF(AND(CH$5&gt;$E100,CH$5&lt;=$F100),IF(CH$5=$E100+1,$C100,""),"")</f>
        <v/>
      </c>
      <c r="CI100" s="34">
        <f>IF(AND(CI$5&gt;$E100,CI$5&lt;=$F100),IF(CI$5=$E100+1,$C100,""),"")</f>
        <v/>
      </c>
      <c r="CJ100" s="34">
        <f>IF(AND(CJ$5&gt;$E100,CJ$5&lt;=$F100),IF(CJ$5=$E100+1,$C100,""),"")</f>
        <v/>
      </c>
      <c r="CK100" s="34">
        <f>IF(AND(CK$5&gt;$E100,CK$5&lt;=$F100),IF(CK$5=$E100+1,$C100,""),"")</f>
        <v/>
      </c>
      <c r="CL100" s="34">
        <f>IF(AND(CL$5&gt;$E100,CL$5&lt;=$F100),IF(CL$5=$E100+1,$C100,""),"")</f>
        <v/>
      </c>
      <c r="CM100" s="34">
        <f>IF(AND(CM$5&gt;$E100,CM$5&lt;=$F100),IF(CM$5=$E100+1,$C100,""),"")</f>
        <v/>
      </c>
      <c r="CN100" s="34">
        <f>IF(AND(CN$5&gt;$E100,CN$5&lt;=$F100),IF(CN$5=$E100+1,$C100,""),"")</f>
        <v/>
      </c>
      <c r="CO100" s="34">
        <f>IF(AND(CO$5&gt;$E100,CO$5&lt;=$F100),IF(CO$5=$E100+1,$C100,""),"")</f>
        <v/>
      </c>
      <c r="CP100" s="34">
        <f>IF(AND(CP$5&gt;$E100,CP$5&lt;=$F100),IF(CP$5=$E100+1,$C100,""),"")</f>
        <v/>
      </c>
      <c r="CQ100" s="34">
        <f>IF(AND(CQ$5&gt;$E100,CQ$5&lt;=$F100),IF(CQ$5=$E100+1,$C100,""),"")</f>
        <v/>
      </c>
      <c r="CR100" s="34">
        <f>IF(AND(CR$5&gt;$E100,CR$5&lt;=$F100),IF(CR$5=$E100+1,$C100,""),"")</f>
        <v/>
      </c>
      <c r="CS100" s="34">
        <f>IF(AND(CS$5&gt;$E100,CS$5&lt;=$F100),IF(CS$5=$E100+1,$C100,""),"")</f>
        <v/>
      </c>
      <c r="CT100" s="34">
        <f>IF(AND(CT$5&gt;$E100,CT$5&lt;=$F100),IF(CT$5=$E100+1,$C100,""),"")</f>
        <v/>
      </c>
      <c r="CU100" s="34">
        <f>IF(AND(CU$5&gt;$E100,CU$5&lt;=$F100),IF(CU$5=$E100+1,$C100,""),"")</f>
        <v/>
      </c>
      <c r="CV100" s="34">
        <f>IF(AND(CV$5&gt;$E100,CV$5&lt;=$F100),IF(CV$5=$E100+1,$C100,""),"")</f>
        <v/>
      </c>
      <c r="CW100" s="34">
        <f>IF(AND(CW$5&gt;$E100,CW$5&lt;=$F100),IF(CW$5=$E100+1,$C100,""),"")</f>
        <v/>
      </c>
      <c r="CX100" s="34">
        <f>IF(AND(CX$5&gt;$E100,CX$5&lt;=$F100),IF(CX$5=$E100+1,$C100,""),"")</f>
        <v/>
      </c>
      <c r="CY100" s="34">
        <f>IF(AND(CY$5&gt;$E100,CY$5&lt;=$F100),IF(CY$5=$E100+1,$C100,""),"")</f>
        <v/>
      </c>
      <c r="CZ100" s="34">
        <f>IF(AND(CZ$5&gt;$E100,CZ$5&lt;=$F100),IF(CZ$5=$E100+1,$C100,""),"")</f>
        <v/>
      </c>
      <c r="DA100" s="34">
        <f>IF(AND(DA$5&gt;$E100,DA$5&lt;=$F100),IF(DA$5=$E100+1,$C100,""),"")</f>
        <v/>
      </c>
      <c r="DB100" s="34">
        <f>IF(AND(DB$5&gt;$E100,DB$5&lt;=$F100),IF(DB$5=$E100+1,$C100,""),"")</f>
        <v/>
      </c>
      <c r="DC100" s="34">
        <f>IF(AND(DC$5&gt;$E100,DC$5&lt;=$F100),IF(DC$5=$E100+1,$C100,""),"")</f>
        <v/>
      </c>
      <c r="DD100" s="34">
        <f>IF(AND(DD$5&gt;$E100,DD$5&lt;=$F100),IF(DD$5=$E100+1,$C100,""),"")</f>
        <v/>
      </c>
      <c r="DE100" s="34">
        <f>IF(AND(DE$5&gt;$E100,DE$5&lt;=$F100),IF(DE$5=$E100+1,$C100,""),"")</f>
        <v/>
      </c>
      <c r="DF100" s="34">
        <f>IF(AND(DF$5&gt;$E100,DF$5&lt;=$F100),IF(DF$5=$E100+1,$C100,""),"")</f>
        <v/>
      </c>
      <c r="DG100" s="34">
        <f>IF(AND(DG$5&gt;$E100,DG$5&lt;=$F100),IF(DG$5=$E100+1,$C100,""),"")</f>
        <v/>
      </c>
      <c r="DH100" s="34">
        <f>IF(AND(DH$5&gt;$E100,DH$5&lt;=$F100),IF(DH$5=$E100+1,$C100,""),"")</f>
        <v/>
      </c>
      <c r="DI100" s="34">
        <f>IF(AND(DI$5&gt;$E100,DI$5&lt;=$F100),IF(DI$5=$E100+1,$C100,""),"")</f>
        <v/>
      </c>
      <c r="DJ100" s="34">
        <f>IF(AND(DJ$5&gt;$E100,DJ$5&lt;=$F100),IF(DJ$5=$E100+1,$C100,""),"")</f>
        <v/>
      </c>
      <c r="DK100" s="34">
        <f>IF(AND(DK$5&gt;$E100,DK$5&lt;=$F100),IF(DK$5=$E100+1,$C100,""),"")</f>
        <v/>
      </c>
      <c r="DL100" s="34">
        <f>IF(AND(DL$5&gt;$E100,DL$5&lt;=$F100),IF(DL$5=$E100+1,$C100,""),"")</f>
        <v/>
      </c>
      <c r="DM100" s="34">
        <f>IF(AND(DM$5&gt;$E100,DM$5&lt;=$F100),IF(DM$5=$E100+1,$C100,""),"")</f>
        <v/>
      </c>
      <c r="DN100" s="34">
        <f>IF(AND(DN$5&gt;$E100,DN$5&lt;=$F100),IF(DN$5=$E100+1,$C100,""),"")</f>
        <v/>
      </c>
      <c r="DO100" s="34">
        <f>IF(AND(DO$5&gt;$E100,DO$5&lt;=$F100),IF(DO$5=$E100+1,$C100,""),"")</f>
        <v/>
      </c>
      <c r="DP100" s="34">
        <f>IF(AND(DP$5&gt;$E100,DP$5&lt;=$F100),IF(DP$5=$E100+1,$C100,""),"")</f>
        <v/>
      </c>
      <c r="DQ100" s="34">
        <f>IF(AND(DQ$5&gt;$E100,DQ$5&lt;=$F100),IF(DQ$5=$E100+1,$C100,""),"")</f>
        <v/>
      </c>
      <c r="DR100" s="34">
        <f>IF(AND(DR$5&gt;$E100,DR$5&lt;=$F100),IF(DR$5=$E100+1,$C100,""),"")</f>
        <v/>
      </c>
      <c r="DS100" s="34">
        <f>IF(AND(DS$5&gt;$E100,DS$5&lt;=$F100),IF(DS$5=$E100+1,$C100,""),"")</f>
        <v/>
      </c>
      <c r="DT100" s="34">
        <f>IF(AND(DT$5&gt;$E100,DT$5&lt;=$F100),IF(DT$5=$E100+1,$C100,""),"")</f>
        <v/>
      </c>
      <c r="DU100" s="34">
        <f>IF(AND(DU$5&gt;$E100,DU$5&lt;=$F100),IF(DU$5=$E100+1,$C100,""),"")</f>
        <v/>
      </c>
      <c r="DV100" s="34">
        <f>IF(AND(DV$5&gt;$E100,DV$5&lt;=$F100),IF(DV$5=$E100+1,$C100,""),"")</f>
        <v/>
      </c>
      <c r="DW100" s="34">
        <f>IF(AND(DW$5&gt;$E100,DW$5&lt;=$F100),IF(DW$5=$E100+1,$C100,""),"")</f>
        <v/>
      </c>
      <c r="DX100" s="34">
        <f>IF(AND(DX$5&gt;$E100,DX$5&lt;=$F100),IF(DX$5=$E100+1,$C100,""),"")</f>
        <v/>
      </c>
      <c r="DY100" s="34">
        <f>IF(AND(DY$5&gt;$E100,DY$5&lt;=$F100),IF(DY$5=$E100+1,$C100,""),"")</f>
        <v/>
      </c>
      <c r="DZ100" s="34">
        <f>IF(AND(DZ$5&gt;$E100,DZ$5&lt;=$F100),IF(DZ$5=$E100+1,$C100,""),"")</f>
        <v/>
      </c>
      <c r="EA100" s="34">
        <f>IF(AND(EA$5&gt;$E100,EA$5&lt;=$F100),IF(EA$5=$E100+1,$C100,""),"")</f>
        <v/>
      </c>
      <c r="EB100" s="34">
        <f>IF(AND(EB$5&gt;$E100,EB$5&lt;=$F100),IF(EB$5=$E100+1,$C100,""),"")</f>
        <v/>
      </c>
      <c r="EC100" s="34">
        <f>IF(AND(EC$5&gt;$E100,EC$5&lt;=$F100),IF(EC$5=$E100+1,$C100,""),"")</f>
        <v/>
      </c>
      <c r="ED100" s="34">
        <f>IF(AND(ED$5&gt;$E100,ED$5&lt;=$F100),IF(ED$5=$E100+1,$C100,""),"")</f>
        <v/>
      </c>
      <c r="EE100" s="34">
        <f>IF(AND(EE$5&gt;$E100,EE$5&lt;=$F100),IF(EE$5=$E100+1,$C100,""),"")</f>
        <v/>
      </c>
      <c r="EF100" s="34">
        <f>IF(AND(EF$5&gt;$E100,EF$5&lt;=$F100),IF(EF$5=$E100+1,$C100,""),"")</f>
        <v/>
      </c>
      <c r="EG100" s="34">
        <f>IF(AND(EG$5&gt;$E100,EG$5&lt;=$F100),IF(EG$5=$E100+1,$C100,""),"")</f>
        <v/>
      </c>
    </row>
    <row r="101">
      <c r="A101" s="32">
        <f>Plan!A71</f>
        <v/>
      </c>
      <c r="B101" s="33">
        <f>Plan!C71</f>
        <v/>
      </c>
      <c r="C101" s="16">
        <f>Plan!D71</f>
        <v/>
      </c>
      <c r="D101" s="16">
        <f>Plan!I71</f>
        <v/>
      </c>
      <c r="E101" s="16">
        <f>Plan!K71</f>
        <v/>
      </c>
      <c r="F101" s="16">
        <f>Plan!L71</f>
        <v/>
      </c>
      <c r="G101" s="16">
        <f>Plan!O71</f>
        <v/>
      </c>
      <c r="H101" s="34">
        <f>IF(AND(H$5&gt;$E101,H$5&lt;=$F101),IF(H$5=$E101+1,$C101,""),"")</f>
        <v/>
      </c>
      <c r="I101" s="34">
        <f>IF(AND(I$5&gt;$E101,I$5&lt;=$F101),IF(I$5=$E101+1,$C101,""),"")</f>
        <v/>
      </c>
      <c r="J101" s="34">
        <f>IF(AND(J$5&gt;$E101,J$5&lt;=$F101),IF(J$5=$E101+1,$C101,""),"")</f>
        <v/>
      </c>
      <c r="K101" s="34">
        <f>IF(AND(K$5&gt;$E101,K$5&lt;=$F101),IF(K$5=$E101+1,$C101,""),"")</f>
        <v/>
      </c>
      <c r="L101" s="34">
        <f>IF(AND(L$5&gt;$E101,L$5&lt;=$F101),IF(L$5=$E101+1,$C101,""),"")</f>
        <v/>
      </c>
      <c r="M101" s="34">
        <f>IF(AND(M$5&gt;$E101,M$5&lt;=$F101),IF(M$5=$E101+1,$C101,""),"")</f>
        <v/>
      </c>
      <c r="N101" s="34">
        <f>IF(AND(N$5&gt;$E101,N$5&lt;=$F101),IF(N$5=$E101+1,$C101,""),"")</f>
        <v/>
      </c>
      <c r="O101" s="34">
        <f>IF(AND(O$5&gt;$E101,O$5&lt;=$F101),IF(O$5=$E101+1,$C101,""),"")</f>
        <v/>
      </c>
      <c r="P101" s="34">
        <f>IF(AND(P$5&gt;$E101,P$5&lt;=$F101),IF(P$5=$E101+1,$C101,""),"")</f>
        <v/>
      </c>
      <c r="Q101" s="34">
        <f>IF(AND(Q$5&gt;$E101,Q$5&lt;=$F101),IF(Q$5=$E101+1,$C101,""),"")</f>
        <v/>
      </c>
      <c r="R101" s="34">
        <f>IF(AND(R$5&gt;$E101,R$5&lt;=$F101),IF(R$5=$E101+1,$C101,""),"")</f>
        <v/>
      </c>
      <c r="S101" s="34">
        <f>IF(AND(S$5&gt;$E101,S$5&lt;=$F101),IF(S$5=$E101+1,$C101,""),"")</f>
        <v/>
      </c>
      <c r="T101" s="34">
        <f>IF(AND(T$5&gt;$E101,T$5&lt;=$F101),IF(T$5=$E101+1,$C101,""),"")</f>
        <v/>
      </c>
      <c r="U101" s="34">
        <f>IF(AND(U$5&gt;$E101,U$5&lt;=$F101),IF(U$5=$E101+1,$C101,""),"")</f>
        <v/>
      </c>
      <c r="V101" s="34">
        <f>IF(AND(V$5&gt;$E101,V$5&lt;=$F101),IF(V$5=$E101+1,$C101,""),"")</f>
        <v/>
      </c>
      <c r="W101" s="34">
        <f>IF(AND(W$5&gt;$E101,W$5&lt;=$F101),IF(W$5=$E101+1,$C101,""),"")</f>
        <v/>
      </c>
      <c r="X101" s="34">
        <f>IF(AND(X$5&gt;$E101,X$5&lt;=$F101),IF(X$5=$E101+1,$C101,""),"")</f>
        <v/>
      </c>
      <c r="Y101" s="34">
        <f>IF(AND(Y$5&gt;$E101,Y$5&lt;=$F101),IF(Y$5=$E101+1,$C101,""),"")</f>
        <v/>
      </c>
      <c r="Z101" s="34">
        <f>IF(AND(Z$5&gt;$E101,Z$5&lt;=$F101),IF(Z$5=$E101+1,$C101,""),"")</f>
        <v/>
      </c>
      <c r="AA101" s="34">
        <f>IF(AND(AA$5&gt;$E101,AA$5&lt;=$F101),IF(AA$5=$E101+1,$C101,""),"")</f>
        <v/>
      </c>
      <c r="AB101" s="34">
        <f>IF(AND(AB$5&gt;$E101,AB$5&lt;=$F101),IF(AB$5=$E101+1,$C101,""),"")</f>
        <v/>
      </c>
      <c r="AC101" s="34">
        <f>IF(AND(AC$5&gt;$E101,AC$5&lt;=$F101),IF(AC$5=$E101+1,$C101,""),"")</f>
        <v/>
      </c>
      <c r="AD101" s="34">
        <f>IF(AND(AD$5&gt;$E101,AD$5&lt;=$F101),IF(AD$5=$E101+1,$C101,""),"")</f>
        <v/>
      </c>
      <c r="AE101" s="34">
        <f>IF(AND(AE$5&gt;$E101,AE$5&lt;=$F101),IF(AE$5=$E101+1,$C101,""),"")</f>
        <v/>
      </c>
      <c r="AF101" s="34">
        <f>IF(AND(AF$5&gt;$E101,AF$5&lt;=$F101),IF(AF$5=$E101+1,$C101,""),"")</f>
        <v/>
      </c>
      <c r="AG101" s="34">
        <f>IF(AND(AG$5&gt;$E101,AG$5&lt;=$F101),IF(AG$5=$E101+1,$C101,""),"")</f>
        <v/>
      </c>
      <c r="AH101" s="34">
        <f>IF(AND(AH$5&gt;$E101,AH$5&lt;=$F101),IF(AH$5=$E101+1,$C101,""),"")</f>
        <v/>
      </c>
      <c r="AI101" s="34">
        <f>IF(AND(AI$5&gt;$E101,AI$5&lt;=$F101),IF(AI$5=$E101+1,$C101,""),"")</f>
        <v/>
      </c>
      <c r="AJ101" s="34">
        <f>IF(AND(AJ$5&gt;$E101,AJ$5&lt;=$F101),IF(AJ$5=$E101+1,$C101,""),"")</f>
        <v/>
      </c>
      <c r="AK101" s="34">
        <f>IF(AND(AK$5&gt;$E101,AK$5&lt;=$F101),IF(AK$5=$E101+1,$C101,""),"")</f>
        <v/>
      </c>
      <c r="AL101" s="34">
        <f>IF(AND(AL$5&gt;$E101,AL$5&lt;=$F101),IF(AL$5=$E101+1,$C101,""),"")</f>
        <v/>
      </c>
      <c r="AM101" s="34">
        <f>IF(AND(AM$5&gt;$E101,AM$5&lt;=$F101),IF(AM$5=$E101+1,$C101,""),"")</f>
        <v/>
      </c>
      <c r="AN101" s="34">
        <f>IF(AND(AN$5&gt;$E101,AN$5&lt;=$F101),IF(AN$5=$E101+1,$C101,""),"")</f>
        <v/>
      </c>
      <c r="AO101" s="34">
        <f>IF(AND(AO$5&gt;$E101,AO$5&lt;=$F101),IF(AO$5=$E101+1,$C101,""),"")</f>
        <v/>
      </c>
      <c r="AP101" s="34">
        <f>IF(AND(AP$5&gt;$E101,AP$5&lt;=$F101),IF(AP$5=$E101+1,$C101,""),"")</f>
        <v/>
      </c>
      <c r="AQ101" s="34">
        <f>IF(AND(AQ$5&gt;$E101,AQ$5&lt;=$F101),IF(AQ$5=$E101+1,$C101,""),"")</f>
        <v/>
      </c>
      <c r="AR101" s="34">
        <f>IF(AND(AR$5&gt;$E101,AR$5&lt;=$F101),IF(AR$5=$E101+1,$C101,""),"")</f>
        <v/>
      </c>
      <c r="AS101" s="34">
        <f>IF(AND(AS$5&gt;$E101,AS$5&lt;=$F101),IF(AS$5=$E101+1,$C101,""),"")</f>
        <v/>
      </c>
      <c r="AT101" s="34">
        <f>IF(AND(AT$5&gt;$E101,AT$5&lt;=$F101),IF(AT$5=$E101+1,$C101,""),"")</f>
        <v/>
      </c>
      <c r="AU101" s="34">
        <f>IF(AND(AU$5&gt;$E101,AU$5&lt;=$F101),IF(AU$5=$E101+1,$C101,""),"")</f>
        <v/>
      </c>
      <c r="AV101" s="34">
        <f>IF(AND(AV$5&gt;$E101,AV$5&lt;=$F101),IF(AV$5=$E101+1,$C101,""),"")</f>
        <v/>
      </c>
      <c r="AW101" s="34">
        <f>IF(AND(AW$5&gt;$E101,AW$5&lt;=$F101),IF(AW$5=$E101+1,$C101,""),"")</f>
        <v/>
      </c>
      <c r="AX101" s="34">
        <f>IF(AND(AX$5&gt;$E101,AX$5&lt;=$F101),IF(AX$5=$E101+1,$C101,""),"")</f>
        <v/>
      </c>
      <c r="AY101" s="34">
        <f>IF(AND(AY$5&gt;$E101,AY$5&lt;=$F101),IF(AY$5=$E101+1,$C101,""),"")</f>
        <v/>
      </c>
      <c r="AZ101" s="34">
        <f>IF(AND(AZ$5&gt;$E101,AZ$5&lt;=$F101),IF(AZ$5=$E101+1,$C101,""),"")</f>
        <v/>
      </c>
      <c r="BA101" s="34">
        <f>IF(AND(BA$5&gt;$E101,BA$5&lt;=$F101),IF(BA$5=$E101+1,$C101,""),"")</f>
        <v/>
      </c>
      <c r="BB101" s="34">
        <f>IF(AND(BB$5&gt;$E101,BB$5&lt;=$F101),IF(BB$5=$E101+1,$C101,""),"")</f>
        <v/>
      </c>
      <c r="BC101" s="34">
        <f>IF(AND(BC$5&gt;$E101,BC$5&lt;=$F101),IF(BC$5=$E101+1,$C101,""),"")</f>
        <v/>
      </c>
      <c r="BD101" s="34">
        <f>IF(AND(BD$5&gt;$E101,BD$5&lt;=$F101),IF(BD$5=$E101+1,$C101,""),"")</f>
        <v/>
      </c>
      <c r="BE101" s="34">
        <f>IF(AND(BE$5&gt;$E101,BE$5&lt;=$F101),IF(BE$5=$E101+1,$C101,""),"")</f>
        <v/>
      </c>
      <c r="BF101" s="34">
        <f>IF(AND(BF$5&gt;$E101,BF$5&lt;=$F101),IF(BF$5=$E101+1,$C101,""),"")</f>
        <v/>
      </c>
      <c r="BG101" s="34">
        <f>IF(AND(BG$5&gt;$E101,BG$5&lt;=$F101),IF(BG$5=$E101+1,$C101,""),"")</f>
        <v/>
      </c>
      <c r="BH101" s="34">
        <f>IF(AND(BH$5&gt;$E101,BH$5&lt;=$F101),IF(BH$5=$E101+1,$C101,""),"")</f>
        <v/>
      </c>
      <c r="BI101" s="34">
        <f>IF(AND(BI$5&gt;$E101,BI$5&lt;=$F101),IF(BI$5=$E101+1,$C101,""),"")</f>
        <v/>
      </c>
      <c r="BJ101" s="34">
        <f>IF(AND(BJ$5&gt;$E101,BJ$5&lt;=$F101),IF(BJ$5=$E101+1,$C101,""),"")</f>
        <v/>
      </c>
      <c r="BK101" s="34">
        <f>IF(AND(BK$5&gt;$E101,BK$5&lt;=$F101),IF(BK$5=$E101+1,$C101,""),"")</f>
        <v/>
      </c>
      <c r="BL101" s="34">
        <f>IF(AND(BL$5&gt;$E101,BL$5&lt;=$F101),IF(BL$5=$E101+1,$C101,""),"")</f>
        <v/>
      </c>
      <c r="BM101" s="34">
        <f>IF(AND(BM$5&gt;$E101,BM$5&lt;=$F101),IF(BM$5=$E101+1,$C101,""),"")</f>
        <v/>
      </c>
      <c r="BN101" s="34">
        <f>IF(AND(BN$5&gt;$E101,BN$5&lt;=$F101),IF(BN$5=$E101+1,$C101,""),"")</f>
        <v/>
      </c>
      <c r="BO101" s="34">
        <f>IF(AND(BO$5&gt;$E101,BO$5&lt;=$F101),IF(BO$5=$E101+1,$C101,""),"")</f>
        <v/>
      </c>
      <c r="BP101" s="34">
        <f>IF(AND(BP$5&gt;$E101,BP$5&lt;=$F101),IF(BP$5=$E101+1,$C101,""),"")</f>
        <v/>
      </c>
      <c r="BQ101" s="34">
        <f>IF(AND(BQ$5&gt;$E101,BQ$5&lt;=$F101),IF(BQ$5=$E101+1,$C101,""),"")</f>
        <v/>
      </c>
      <c r="BR101" s="34">
        <f>IF(AND(BR$5&gt;$E101,BR$5&lt;=$F101),IF(BR$5=$E101+1,$C101,""),"")</f>
        <v/>
      </c>
      <c r="BS101" s="34">
        <f>IF(AND(BS$5&gt;$E101,BS$5&lt;=$F101),IF(BS$5=$E101+1,$C101,""),"")</f>
        <v/>
      </c>
      <c r="BT101" s="34">
        <f>IF(AND(BT$5&gt;$E101,BT$5&lt;=$F101),IF(BT$5=$E101+1,$C101,""),"")</f>
        <v/>
      </c>
      <c r="BU101" s="34">
        <f>IF(AND(BU$5&gt;$E101,BU$5&lt;=$F101),IF(BU$5=$E101+1,$C101,""),"")</f>
        <v/>
      </c>
      <c r="BV101" s="34">
        <f>IF(AND(BV$5&gt;$E101,BV$5&lt;=$F101),IF(BV$5=$E101+1,$C101,""),"")</f>
        <v/>
      </c>
      <c r="BW101" s="34">
        <f>IF(AND(BW$5&gt;$E101,BW$5&lt;=$F101),IF(BW$5=$E101+1,$C101,""),"")</f>
        <v/>
      </c>
      <c r="BX101" s="34">
        <f>IF(AND(BX$5&gt;$E101,BX$5&lt;=$F101),IF(BX$5=$E101+1,$C101,""),"")</f>
        <v/>
      </c>
      <c r="BY101" s="34">
        <f>IF(AND(BY$5&gt;$E101,BY$5&lt;=$F101),IF(BY$5=$E101+1,$C101,""),"")</f>
        <v/>
      </c>
      <c r="BZ101" s="34">
        <f>IF(AND(BZ$5&gt;$E101,BZ$5&lt;=$F101),IF(BZ$5=$E101+1,$C101,""),"")</f>
        <v/>
      </c>
      <c r="CA101" s="34">
        <f>IF(AND(CA$5&gt;$E101,CA$5&lt;=$F101),IF(CA$5=$E101+1,$C101,""),"")</f>
        <v/>
      </c>
      <c r="CB101" s="34">
        <f>IF(AND(CB$5&gt;$E101,CB$5&lt;=$F101),IF(CB$5=$E101+1,$C101,""),"")</f>
        <v/>
      </c>
      <c r="CC101" s="34">
        <f>IF(AND(CC$5&gt;$E101,CC$5&lt;=$F101),IF(CC$5=$E101+1,$C101,""),"")</f>
        <v/>
      </c>
      <c r="CD101" s="34">
        <f>IF(AND(CD$5&gt;$E101,CD$5&lt;=$F101),IF(CD$5=$E101+1,$C101,""),"")</f>
        <v/>
      </c>
      <c r="CE101" s="34">
        <f>IF(AND(CE$5&gt;$E101,CE$5&lt;=$F101),IF(CE$5=$E101+1,$C101,""),"")</f>
        <v/>
      </c>
      <c r="CF101" s="34">
        <f>IF(AND(CF$5&gt;$E101,CF$5&lt;=$F101),IF(CF$5=$E101+1,$C101,""),"")</f>
        <v/>
      </c>
      <c r="CG101" s="34">
        <f>IF(AND(CG$5&gt;$E101,CG$5&lt;=$F101),IF(CG$5=$E101+1,$C101,""),"")</f>
        <v/>
      </c>
      <c r="CH101" s="34">
        <f>IF(AND(CH$5&gt;$E101,CH$5&lt;=$F101),IF(CH$5=$E101+1,$C101,""),"")</f>
        <v/>
      </c>
      <c r="CI101" s="34">
        <f>IF(AND(CI$5&gt;$E101,CI$5&lt;=$F101),IF(CI$5=$E101+1,$C101,""),"")</f>
        <v/>
      </c>
      <c r="CJ101" s="34">
        <f>IF(AND(CJ$5&gt;$E101,CJ$5&lt;=$F101),IF(CJ$5=$E101+1,$C101,""),"")</f>
        <v/>
      </c>
      <c r="CK101" s="34">
        <f>IF(AND(CK$5&gt;$E101,CK$5&lt;=$F101),IF(CK$5=$E101+1,$C101,""),"")</f>
        <v/>
      </c>
      <c r="CL101" s="34">
        <f>IF(AND(CL$5&gt;$E101,CL$5&lt;=$F101),IF(CL$5=$E101+1,$C101,""),"")</f>
        <v/>
      </c>
      <c r="CM101" s="34">
        <f>IF(AND(CM$5&gt;$E101,CM$5&lt;=$F101),IF(CM$5=$E101+1,$C101,""),"")</f>
        <v/>
      </c>
      <c r="CN101" s="34">
        <f>IF(AND(CN$5&gt;$E101,CN$5&lt;=$F101),IF(CN$5=$E101+1,$C101,""),"")</f>
        <v/>
      </c>
      <c r="CO101" s="34">
        <f>IF(AND(CO$5&gt;$E101,CO$5&lt;=$F101),IF(CO$5=$E101+1,$C101,""),"")</f>
        <v/>
      </c>
      <c r="CP101" s="34">
        <f>IF(AND(CP$5&gt;$E101,CP$5&lt;=$F101),IF(CP$5=$E101+1,$C101,""),"")</f>
        <v/>
      </c>
      <c r="CQ101" s="34">
        <f>IF(AND(CQ$5&gt;$E101,CQ$5&lt;=$F101),IF(CQ$5=$E101+1,$C101,""),"")</f>
        <v/>
      </c>
      <c r="CR101" s="34">
        <f>IF(AND(CR$5&gt;$E101,CR$5&lt;=$F101),IF(CR$5=$E101+1,$C101,""),"")</f>
        <v/>
      </c>
      <c r="CS101" s="34">
        <f>IF(AND(CS$5&gt;$E101,CS$5&lt;=$F101),IF(CS$5=$E101+1,$C101,""),"")</f>
        <v/>
      </c>
      <c r="CT101" s="34">
        <f>IF(AND(CT$5&gt;$E101,CT$5&lt;=$F101),IF(CT$5=$E101+1,$C101,""),"")</f>
        <v/>
      </c>
      <c r="CU101" s="34">
        <f>IF(AND(CU$5&gt;$E101,CU$5&lt;=$F101),IF(CU$5=$E101+1,$C101,""),"")</f>
        <v/>
      </c>
      <c r="CV101" s="34">
        <f>IF(AND(CV$5&gt;$E101,CV$5&lt;=$F101),IF(CV$5=$E101+1,$C101,""),"")</f>
        <v/>
      </c>
      <c r="CW101" s="34">
        <f>IF(AND(CW$5&gt;$E101,CW$5&lt;=$F101),IF(CW$5=$E101+1,$C101,""),"")</f>
        <v/>
      </c>
      <c r="CX101" s="34">
        <f>IF(AND(CX$5&gt;$E101,CX$5&lt;=$F101),IF(CX$5=$E101+1,$C101,""),"")</f>
        <v/>
      </c>
      <c r="CY101" s="34">
        <f>IF(AND(CY$5&gt;$E101,CY$5&lt;=$F101),IF(CY$5=$E101+1,$C101,""),"")</f>
        <v/>
      </c>
      <c r="CZ101" s="34">
        <f>IF(AND(CZ$5&gt;$E101,CZ$5&lt;=$F101),IF(CZ$5=$E101+1,$C101,""),"")</f>
        <v/>
      </c>
      <c r="DA101" s="34">
        <f>IF(AND(DA$5&gt;$E101,DA$5&lt;=$F101),IF(DA$5=$E101+1,$C101,""),"")</f>
        <v/>
      </c>
      <c r="DB101" s="34">
        <f>IF(AND(DB$5&gt;$E101,DB$5&lt;=$F101),IF(DB$5=$E101+1,$C101,""),"")</f>
        <v/>
      </c>
      <c r="DC101" s="34">
        <f>IF(AND(DC$5&gt;$E101,DC$5&lt;=$F101),IF(DC$5=$E101+1,$C101,""),"")</f>
        <v/>
      </c>
      <c r="DD101" s="34">
        <f>IF(AND(DD$5&gt;$E101,DD$5&lt;=$F101),IF(DD$5=$E101+1,$C101,""),"")</f>
        <v/>
      </c>
      <c r="DE101" s="34">
        <f>IF(AND(DE$5&gt;$E101,DE$5&lt;=$F101),IF(DE$5=$E101+1,$C101,""),"")</f>
        <v/>
      </c>
      <c r="DF101" s="34">
        <f>IF(AND(DF$5&gt;$E101,DF$5&lt;=$F101),IF(DF$5=$E101+1,$C101,""),"")</f>
        <v/>
      </c>
      <c r="DG101" s="34">
        <f>IF(AND(DG$5&gt;$E101,DG$5&lt;=$F101),IF(DG$5=$E101+1,$C101,""),"")</f>
        <v/>
      </c>
      <c r="DH101" s="34">
        <f>IF(AND(DH$5&gt;$E101,DH$5&lt;=$F101),IF(DH$5=$E101+1,$C101,""),"")</f>
        <v/>
      </c>
      <c r="DI101" s="34">
        <f>IF(AND(DI$5&gt;$E101,DI$5&lt;=$F101),IF(DI$5=$E101+1,$C101,""),"")</f>
        <v/>
      </c>
      <c r="DJ101" s="34">
        <f>IF(AND(DJ$5&gt;$E101,DJ$5&lt;=$F101),IF(DJ$5=$E101+1,$C101,""),"")</f>
        <v/>
      </c>
      <c r="DK101" s="34">
        <f>IF(AND(DK$5&gt;$E101,DK$5&lt;=$F101),IF(DK$5=$E101+1,$C101,""),"")</f>
        <v/>
      </c>
      <c r="DL101" s="34">
        <f>IF(AND(DL$5&gt;$E101,DL$5&lt;=$F101),IF(DL$5=$E101+1,$C101,""),"")</f>
        <v/>
      </c>
      <c r="DM101" s="34">
        <f>IF(AND(DM$5&gt;$E101,DM$5&lt;=$F101),IF(DM$5=$E101+1,$C101,""),"")</f>
        <v/>
      </c>
      <c r="DN101" s="34">
        <f>IF(AND(DN$5&gt;$E101,DN$5&lt;=$F101),IF(DN$5=$E101+1,$C101,""),"")</f>
        <v/>
      </c>
      <c r="DO101" s="34">
        <f>IF(AND(DO$5&gt;$E101,DO$5&lt;=$F101),IF(DO$5=$E101+1,$C101,""),"")</f>
        <v/>
      </c>
      <c r="DP101" s="34">
        <f>IF(AND(DP$5&gt;$E101,DP$5&lt;=$F101),IF(DP$5=$E101+1,$C101,""),"")</f>
        <v/>
      </c>
      <c r="DQ101" s="34">
        <f>IF(AND(DQ$5&gt;$E101,DQ$5&lt;=$F101),IF(DQ$5=$E101+1,$C101,""),"")</f>
        <v/>
      </c>
      <c r="DR101" s="34">
        <f>IF(AND(DR$5&gt;$E101,DR$5&lt;=$F101),IF(DR$5=$E101+1,$C101,""),"")</f>
        <v/>
      </c>
      <c r="DS101" s="34">
        <f>IF(AND(DS$5&gt;$E101,DS$5&lt;=$F101),IF(DS$5=$E101+1,$C101,""),"")</f>
        <v/>
      </c>
      <c r="DT101" s="34">
        <f>IF(AND(DT$5&gt;$E101,DT$5&lt;=$F101),IF(DT$5=$E101+1,$C101,""),"")</f>
        <v/>
      </c>
      <c r="DU101" s="34">
        <f>IF(AND(DU$5&gt;$E101,DU$5&lt;=$F101),IF(DU$5=$E101+1,$C101,""),"")</f>
        <v/>
      </c>
      <c r="DV101" s="34">
        <f>IF(AND(DV$5&gt;$E101,DV$5&lt;=$F101),IF(DV$5=$E101+1,$C101,""),"")</f>
        <v/>
      </c>
      <c r="DW101" s="34">
        <f>IF(AND(DW$5&gt;$E101,DW$5&lt;=$F101),IF(DW$5=$E101+1,$C101,""),"")</f>
        <v/>
      </c>
      <c r="DX101" s="34">
        <f>IF(AND(DX$5&gt;$E101,DX$5&lt;=$F101),IF(DX$5=$E101+1,$C101,""),"")</f>
        <v/>
      </c>
      <c r="DY101" s="34">
        <f>IF(AND(DY$5&gt;$E101,DY$5&lt;=$F101),IF(DY$5=$E101+1,$C101,""),"")</f>
        <v/>
      </c>
      <c r="DZ101" s="34">
        <f>IF(AND(DZ$5&gt;$E101,DZ$5&lt;=$F101),IF(DZ$5=$E101+1,$C101,""),"")</f>
        <v/>
      </c>
      <c r="EA101" s="34">
        <f>IF(AND(EA$5&gt;$E101,EA$5&lt;=$F101),IF(EA$5=$E101+1,$C101,""),"")</f>
        <v/>
      </c>
      <c r="EB101" s="34">
        <f>IF(AND(EB$5&gt;$E101,EB$5&lt;=$F101),IF(EB$5=$E101+1,$C101,""),"")</f>
        <v/>
      </c>
      <c r="EC101" s="34">
        <f>IF(AND(EC$5&gt;$E101,EC$5&lt;=$F101),IF(EC$5=$E101+1,$C101,""),"")</f>
        <v/>
      </c>
      <c r="ED101" s="34">
        <f>IF(AND(ED$5&gt;$E101,ED$5&lt;=$F101),IF(ED$5=$E101+1,$C101,""),"")</f>
        <v/>
      </c>
      <c r="EE101" s="34">
        <f>IF(AND(EE$5&gt;$E101,EE$5&lt;=$F101),IF(EE$5=$E101+1,$C101,""),"")</f>
        <v/>
      </c>
      <c r="EF101" s="34">
        <f>IF(AND(EF$5&gt;$E101,EF$5&lt;=$F101),IF(EF$5=$E101+1,$C101,""),"")</f>
        <v/>
      </c>
      <c r="EG101" s="34">
        <f>IF(AND(EG$5&gt;$E101,EG$5&lt;=$F101),IF(EG$5=$E101+1,$C101,""),"")</f>
        <v/>
      </c>
    </row>
    <row r="102">
      <c r="A102" s="32">
        <f>Plan!A72</f>
        <v/>
      </c>
      <c r="B102" s="33">
        <f>Plan!C72</f>
        <v/>
      </c>
      <c r="C102" s="16">
        <f>Plan!D72</f>
        <v/>
      </c>
      <c r="D102" s="16">
        <f>Plan!I72</f>
        <v/>
      </c>
      <c r="E102" s="16">
        <f>Plan!K72</f>
        <v/>
      </c>
      <c r="F102" s="16">
        <f>Plan!L72</f>
        <v/>
      </c>
      <c r="G102" s="16">
        <f>Plan!O72</f>
        <v/>
      </c>
      <c r="H102" s="34">
        <f>IF(AND(H$5&gt;$E102,H$5&lt;=$F102),IF(H$5=$E102+1,$C102,""),"")</f>
        <v/>
      </c>
      <c r="I102" s="34">
        <f>IF(AND(I$5&gt;$E102,I$5&lt;=$F102),IF(I$5=$E102+1,$C102,""),"")</f>
        <v/>
      </c>
      <c r="J102" s="34">
        <f>IF(AND(J$5&gt;$E102,J$5&lt;=$F102),IF(J$5=$E102+1,$C102,""),"")</f>
        <v/>
      </c>
      <c r="K102" s="34">
        <f>IF(AND(K$5&gt;$E102,K$5&lt;=$F102),IF(K$5=$E102+1,$C102,""),"")</f>
        <v/>
      </c>
      <c r="L102" s="34">
        <f>IF(AND(L$5&gt;$E102,L$5&lt;=$F102),IF(L$5=$E102+1,$C102,""),"")</f>
        <v/>
      </c>
      <c r="M102" s="34">
        <f>IF(AND(M$5&gt;$E102,M$5&lt;=$F102),IF(M$5=$E102+1,$C102,""),"")</f>
        <v/>
      </c>
      <c r="N102" s="34">
        <f>IF(AND(N$5&gt;$E102,N$5&lt;=$F102),IF(N$5=$E102+1,$C102,""),"")</f>
        <v/>
      </c>
      <c r="O102" s="34">
        <f>IF(AND(O$5&gt;$E102,O$5&lt;=$F102),IF(O$5=$E102+1,$C102,""),"")</f>
        <v/>
      </c>
      <c r="P102" s="34">
        <f>IF(AND(P$5&gt;$E102,P$5&lt;=$F102),IF(P$5=$E102+1,$C102,""),"")</f>
        <v/>
      </c>
      <c r="Q102" s="34">
        <f>IF(AND(Q$5&gt;$E102,Q$5&lt;=$F102),IF(Q$5=$E102+1,$C102,""),"")</f>
        <v/>
      </c>
      <c r="R102" s="34">
        <f>IF(AND(R$5&gt;$E102,R$5&lt;=$F102),IF(R$5=$E102+1,$C102,""),"")</f>
        <v/>
      </c>
      <c r="S102" s="34">
        <f>IF(AND(S$5&gt;$E102,S$5&lt;=$F102),IF(S$5=$E102+1,$C102,""),"")</f>
        <v/>
      </c>
      <c r="T102" s="34">
        <f>IF(AND(T$5&gt;$E102,T$5&lt;=$F102),IF(T$5=$E102+1,$C102,""),"")</f>
        <v/>
      </c>
      <c r="U102" s="34">
        <f>IF(AND(U$5&gt;$E102,U$5&lt;=$F102),IF(U$5=$E102+1,$C102,""),"")</f>
        <v/>
      </c>
      <c r="V102" s="34">
        <f>IF(AND(V$5&gt;$E102,V$5&lt;=$F102),IF(V$5=$E102+1,$C102,""),"")</f>
        <v/>
      </c>
      <c r="W102" s="34">
        <f>IF(AND(W$5&gt;$E102,W$5&lt;=$F102),IF(W$5=$E102+1,$C102,""),"")</f>
        <v/>
      </c>
      <c r="X102" s="34">
        <f>IF(AND(X$5&gt;$E102,X$5&lt;=$F102),IF(X$5=$E102+1,$C102,""),"")</f>
        <v/>
      </c>
      <c r="Y102" s="34">
        <f>IF(AND(Y$5&gt;$E102,Y$5&lt;=$F102),IF(Y$5=$E102+1,$C102,""),"")</f>
        <v/>
      </c>
      <c r="Z102" s="34">
        <f>IF(AND(Z$5&gt;$E102,Z$5&lt;=$F102),IF(Z$5=$E102+1,$C102,""),"")</f>
        <v/>
      </c>
      <c r="AA102" s="34">
        <f>IF(AND(AA$5&gt;$E102,AA$5&lt;=$F102),IF(AA$5=$E102+1,$C102,""),"")</f>
        <v/>
      </c>
      <c r="AB102" s="34">
        <f>IF(AND(AB$5&gt;$E102,AB$5&lt;=$F102),IF(AB$5=$E102+1,$C102,""),"")</f>
        <v/>
      </c>
      <c r="AC102" s="34">
        <f>IF(AND(AC$5&gt;$E102,AC$5&lt;=$F102),IF(AC$5=$E102+1,$C102,""),"")</f>
        <v/>
      </c>
      <c r="AD102" s="34">
        <f>IF(AND(AD$5&gt;$E102,AD$5&lt;=$F102),IF(AD$5=$E102+1,$C102,""),"")</f>
        <v/>
      </c>
      <c r="AE102" s="34">
        <f>IF(AND(AE$5&gt;$E102,AE$5&lt;=$F102),IF(AE$5=$E102+1,$C102,""),"")</f>
        <v/>
      </c>
      <c r="AF102" s="34">
        <f>IF(AND(AF$5&gt;$E102,AF$5&lt;=$F102),IF(AF$5=$E102+1,$C102,""),"")</f>
        <v/>
      </c>
      <c r="AG102" s="34">
        <f>IF(AND(AG$5&gt;$E102,AG$5&lt;=$F102),IF(AG$5=$E102+1,$C102,""),"")</f>
        <v/>
      </c>
      <c r="AH102" s="34">
        <f>IF(AND(AH$5&gt;$E102,AH$5&lt;=$F102),IF(AH$5=$E102+1,$C102,""),"")</f>
        <v/>
      </c>
      <c r="AI102" s="34">
        <f>IF(AND(AI$5&gt;$E102,AI$5&lt;=$F102),IF(AI$5=$E102+1,$C102,""),"")</f>
        <v/>
      </c>
      <c r="AJ102" s="34">
        <f>IF(AND(AJ$5&gt;$E102,AJ$5&lt;=$F102),IF(AJ$5=$E102+1,$C102,""),"")</f>
        <v/>
      </c>
      <c r="AK102" s="34">
        <f>IF(AND(AK$5&gt;$E102,AK$5&lt;=$F102),IF(AK$5=$E102+1,$C102,""),"")</f>
        <v/>
      </c>
      <c r="AL102" s="34">
        <f>IF(AND(AL$5&gt;$E102,AL$5&lt;=$F102),IF(AL$5=$E102+1,$C102,""),"")</f>
        <v/>
      </c>
      <c r="AM102" s="34">
        <f>IF(AND(AM$5&gt;$E102,AM$5&lt;=$F102),IF(AM$5=$E102+1,$C102,""),"")</f>
        <v/>
      </c>
      <c r="AN102" s="34">
        <f>IF(AND(AN$5&gt;$E102,AN$5&lt;=$F102),IF(AN$5=$E102+1,$C102,""),"")</f>
        <v/>
      </c>
      <c r="AO102" s="34">
        <f>IF(AND(AO$5&gt;$E102,AO$5&lt;=$F102),IF(AO$5=$E102+1,$C102,""),"")</f>
        <v/>
      </c>
      <c r="AP102" s="34">
        <f>IF(AND(AP$5&gt;$E102,AP$5&lt;=$F102),IF(AP$5=$E102+1,$C102,""),"")</f>
        <v/>
      </c>
      <c r="AQ102" s="34">
        <f>IF(AND(AQ$5&gt;$E102,AQ$5&lt;=$F102),IF(AQ$5=$E102+1,$C102,""),"")</f>
        <v/>
      </c>
      <c r="AR102" s="34">
        <f>IF(AND(AR$5&gt;$E102,AR$5&lt;=$F102),IF(AR$5=$E102+1,$C102,""),"")</f>
        <v/>
      </c>
      <c r="AS102" s="34">
        <f>IF(AND(AS$5&gt;$E102,AS$5&lt;=$F102),IF(AS$5=$E102+1,$C102,""),"")</f>
        <v/>
      </c>
      <c r="AT102" s="34">
        <f>IF(AND(AT$5&gt;$E102,AT$5&lt;=$F102),IF(AT$5=$E102+1,$C102,""),"")</f>
        <v/>
      </c>
      <c r="AU102" s="34">
        <f>IF(AND(AU$5&gt;$E102,AU$5&lt;=$F102),IF(AU$5=$E102+1,$C102,""),"")</f>
        <v/>
      </c>
      <c r="AV102" s="34">
        <f>IF(AND(AV$5&gt;$E102,AV$5&lt;=$F102),IF(AV$5=$E102+1,$C102,""),"")</f>
        <v/>
      </c>
      <c r="AW102" s="34">
        <f>IF(AND(AW$5&gt;$E102,AW$5&lt;=$F102),IF(AW$5=$E102+1,$C102,""),"")</f>
        <v/>
      </c>
      <c r="AX102" s="34">
        <f>IF(AND(AX$5&gt;$E102,AX$5&lt;=$F102),IF(AX$5=$E102+1,$C102,""),"")</f>
        <v/>
      </c>
      <c r="AY102" s="34">
        <f>IF(AND(AY$5&gt;$E102,AY$5&lt;=$F102),IF(AY$5=$E102+1,$C102,""),"")</f>
        <v/>
      </c>
      <c r="AZ102" s="34">
        <f>IF(AND(AZ$5&gt;$E102,AZ$5&lt;=$F102),IF(AZ$5=$E102+1,$C102,""),"")</f>
        <v/>
      </c>
      <c r="BA102" s="34">
        <f>IF(AND(BA$5&gt;$E102,BA$5&lt;=$F102),IF(BA$5=$E102+1,$C102,""),"")</f>
        <v/>
      </c>
      <c r="BB102" s="34">
        <f>IF(AND(BB$5&gt;$E102,BB$5&lt;=$F102),IF(BB$5=$E102+1,$C102,""),"")</f>
        <v/>
      </c>
      <c r="BC102" s="34">
        <f>IF(AND(BC$5&gt;$E102,BC$5&lt;=$F102),IF(BC$5=$E102+1,$C102,""),"")</f>
        <v/>
      </c>
      <c r="BD102" s="34">
        <f>IF(AND(BD$5&gt;$E102,BD$5&lt;=$F102),IF(BD$5=$E102+1,$C102,""),"")</f>
        <v/>
      </c>
      <c r="BE102" s="34">
        <f>IF(AND(BE$5&gt;$E102,BE$5&lt;=$F102),IF(BE$5=$E102+1,$C102,""),"")</f>
        <v/>
      </c>
      <c r="BF102" s="34">
        <f>IF(AND(BF$5&gt;$E102,BF$5&lt;=$F102),IF(BF$5=$E102+1,$C102,""),"")</f>
        <v/>
      </c>
      <c r="BG102" s="34">
        <f>IF(AND(BG$5&gt;$E102,BG$5&lt;=$F102),IF(BG$5=$E102+1,$C102,""),"")</f>
        <v/>
      </c>
      <c r="BH102" s="34">
        <f>IF(AND(BH$5&gt;$E102,BH$5&lt;=$F102),IF(BH$5=$E102+1,$C102,""),"")</f>
        <v/>
      </c>
      <c r="BI102" s="34">
        <f>IF(AND(BI$5&gt;$E102,BI$5&lt;=$F102),IF(BI$5=$E102+1,$C102,""),"")</f>
        <v/>
      </c>
      <c r="BJ102" s="34">
        <f>IF(AND(BJ$5&gt;$E102,BJ$5&lt;=$F102),IF(BJ$5=$E102+1,$C102,""),"")</f>
        <v/>
      </c>
      <c r="BK102" s="34">
        <f>IF(AND(BK$5&gt;$E102,BK$5&lt;=$F102),IF(BK$5=$E102+1,$C102,""),"")</f>
        <v/>
      </c>
      <c r="BL102" s="34">
        <f>IF(AND(BL$5&gt;$E102,BL$5&lt;=$F102),IF(BL$5=$E102+1,$C102,""),"")</f>
        <v/>
      </c>
      <c r="BM102" s="34">
        <f>IF(AND(BM$5&gt;$E102,BM$5&lt;=$F102),IF(BM$5=$E102+1,$C102,""),"")</f>
        <v/>
      </c>
      <c r="BN102" s="34">
        <f>IF(AND(BN$5&gt;$E102,BN$5&lt;=$F102),IF(BN$5=$E102+1,$C102,""),"")</f>
        <v/>
      </c>
      <c r="BO102" s="34">
        <f>IF(AND(BO$5&gt;$E102,BO$5&lt;=$F102),IF(BO$5=$E102+1,$C102,""),"")</f>
        <v/>
      </c>
      <c r="BP102" s="34">
        <f>IF(AND(BP$5&gt;$E102,BP$5&lt;=$F102),IF(BP$5=$E102+1,$C102,""),"")</f>
        <v/>
      </c>
      <c r="BQ102" s="34">
        <f>IF(AND(BQ$5&gt;$E102,BQ$5&lt;=$F102),IF(BQ$5=$E102+1,$C102,""),"")</f>
        <v/>
      </c>
      <c r="BR102" s="34">
        <f>IF(AND(BR$5&gt;$E102,BR$5&lt;=$F102),IF(BR$5=$E102+1,$C102,""),"")</f>
        <v/>
      </c>
      <c r="BS102" s="34">
        <f>IF(AND(BS$5&gt;$E102,BS$5&lt;=$F102),IF(BS$5=$E102+1,$C102,""),"")</f>
        <v/>
      </c>
      <c r="BT102" s="34">
        <f>IF(AND(BT$5&gt;$E102,BT$5&lt;=$F102),IF(BT$5=$E102+1,$C102,""),"")</f>
        <v/>
      </c>
      <c r="BU102" s="34">
        <f>IF(AND(BU$5&gt;$E102,BU$5&lt;=$F102),IF(BU$5=$E102+1,$C102,""),"")</f>
        <v/>
      </c>
      <c r="BV102" s="34">
        <f>IF(AND(BV$5&gt;$E102,BV$5&lt;=$F102),IF(BV$5=$E102+1,$C102,""),"")</f>
        <v/>
      </c>
      <c r="BW102" s="34">
        <f>IF(AND(BW$5&gt;$E102,BW$5&lt;=$F102),IF(BW$5=$E102+1,$C102,""),"")</f>
        <v/>
      </c>
      <c r="BX102" s="34">
        <f>IF(AND(BX$5&gt;$E102,BX$5&lt;=$F102),IF(BX$5=$E102+1,$C102,""),"")</f>
        <v/>
      </c>
      <c r="BY102" s="34">
        <f>IF(AND(BY$5&gt;$E102,BY$5&lt;=$F102),IF(BY$5=$E102+1,$C102,""),"")</f>
        <v/>
      </c>
      <c r="BZ102" s="34">
        <f>IF(AND(BZ$5&gt;$E102,BZ$5&lt;=$F102),IF(BZ$5=$E102+1,$C102,""),"")</f>
        <v/>
      </c>
      <c r="CA102" s="34">
        <f>IF(AND(CA$5&gt;$E102,CA$5&lt;=$F102),IF(CA$5=$E102+1,$C102,""),"")</f>
        <v/>
      </c>
      <c r="CB102" s="34">
        <f>IF(AND(CB$5&gt;$E102,CB$5&lt;=$F102),IF(CB$5=$E102+1,$C102,""),"")</f>
        <v/>
      </c>
      <c r="CC102" s="34">
        <f>IF(AND(CC$5&gt;$E102,CC$5&lt;=$F102),IF(CC$5=$E102+1,$C102,""),"")</f>
        <v/>
      </c>
      <c r="CD102" s="34">
        <f>IF(AND(CD$5&gt;$E102,CD$5&lt;=$F102),IF(CD$5=$E102+1,$C102,""),"")</f>
        <v/>
      </c>
      <c r="CE102" s="34">
        <f>IF(AND(CE$5&gt;$E102,CE$5&lt;=$F102),IF(CE$5=$E102+1,$C102,""),"")</f>
        <v/>
      </c>
      <c r="CF102" s="34">
        <f>IF(AND(CF$5&gt;$E102,CF$5&lt;=$F102),IF(CF$5=$E102+1,$C102,""),"")</f>
        <v/>
      </c>
      <c r="CG102" s="34">
        <f>IF(AND(CG$5&gt;$E102,CG$5&lt;=$F102),IF(CG$5=$E102+1,$C102,""),"")</f>
        <v/>
      </c>
      <c r="CH102" s="34">
        <f>IF(AND(CH$5&gt;$E102,CH$5&lt;=$F102),IF(CH$5=$E102+1,$C102,""),"")</f>
        <v/>
      </c>
      <c r="CI102" s="34">
        <f>IF(AND(CI$5&gt;$E102,CI$5&lt;=$F102),IF(CI$5=$E102+1,$C102,""),"")</f>
        <v/>
      </c>
      <c r="CJ102" s="34">
        <f>IF(AND(CJ$5&gt;$E102,CJ$5&lt;=$F102),IF(CJ$5=$E102+1,$C102,""),"")</f>
        <v/>
      </c>
      <c r="CK102" s="34">
        <f>IF(AND(CK$5&gt;$E102,CK$5&lt;=$F102),IF(CK$5=$E102+1,$C102,""),"")</f>
        <v/>
      </c>
      <c r="CL102" s="34">
        <f>IF(AND(CL$5&gt;$E102,CL$5&lt;=$F102),IF(CL$5=$E102+1,$C102,""),"")</f>
        <v/>
      </c>
      <c r="CM102" s="34">
        <f>IF(AND(CM$5&gt;$E102,CM$5&lt;=$F102),IF(CM$5=$E102+1,$C102,""),"")</f>
        <v/>
      </c>
      <c r="CN102" s="34">
        <f>IF(AND(CN$5&gt;$E102,CN$5&lt;=$F102),IF(CN$5=$E102+1,$C102,""),"")</f>
        <v/>
      </c>
      <c r="CO102" s="34">
        <f>IF(AND(CO$5&gt;$E102,CO$5&lt;=$F102),IF(CO$5=$E102+1,$C102,""),"")</f>
        <v/>
      </c>
      <c r="CP102" s="34">
        <f>IF(AND(CP$5&gt;$E102,CP$5&lt;=$F102),IF(CP$5=$E102+1,$C102,""),"")</f>
        <v/>
      </c>
      <c r="CQ102" s="34">
        <f>IF(AND(CQ$5&gt;$E102,CQ$5&lt;=$F102),IF(CQ$5=$E102+1,$C102,""),"")</f>
        <v/>
      </c>
      <c r="CR102" s="34">
        <f>IF(AND(CR$5&gt;$E102,CR$5&lt;=$F102),IF(CR$5=$E102+1,$C102,""),"")</f>
        <v/>
      </c>
      <c r="CS102" s="34">
        <f>IF(AND(CS$5&gt;$E102,CS$5&lt;=$F102),IF(CS$5=$E102+1,$C102,""),"")</f>
        <v/>
      </c>
      <c r="CT102" s="34">
        <f>IF(AND(CT$5&gt;$E102,CT$5&lt;=$F102),IF(CT$5=$E102+1,$C102,""),"")</f>
        <v/>
      </c>
      <c r="CU102" s="34">
        <f>IF(AND(CU$5&gt;$E102,CU$5&lt;=$F102),IF(CU$5=$E102+1,$C102,""),"")</f>
        <v/>
      </c>
      <c r="CV102" s="34">
        <f>IF(AND(CV$5&gt;$E102,CV$5&lt;=$F102),IF(CV$5=$E102+1,$C102,""),"")</f>
        <v/>
      </c>
      <c r="CW102" s="34">
        <f>IF(AND(CW$5&gt;$E102,CW$5&lt;=$F102),IF(CW$5=$E102+1,$C102,""),"")</f>
        <v/>
      </c>
      <c r="CX102" s="34">
        <f>IF(AND(CX$5&gt;$E102,CX$5&lt;=$F102),IF(CX$5=$E102+1,$C102,""),"")</f>
        <v/>
      </c>
      <c r="CY102" s="34">
        <f>IF(AND(CY$5&gt;$E102,CY$5&lt;=$F102),IF(CY$5=$E102+1,$C102,""),"")</f>
        <v/>
      </c>
      <c r="CZ102" s="34">
        <f>IF(AND(CZ$5&gt;$E102,CZ$5&lt;=$F102),IF(CZ$5=$E102+1,$C102,""),"")</f>
        <v/>
      </c>
      <c r="DA102" s="34">
        <f>IF(AND(DA$5&gt;$E102,DA$5&lt;=$F102),IF(DA$5=$E102+1,$C102,""),"")</f>
        <v/>
      </c>
      <c r="DB102" s="34">
        <f>IF(AND(DB$5&gt;$E102,DB$5&lt;=$F102),IF(DB$5=$E102+1,$C102,""),"")</f>
        <v/>
      </c>
      <c r="DC102" s="34">
        <f>IF(AND(DC$5&gt;$E102,DC$5&lt;=$F102),IF(DC$5=$E102+1,$C102,""),"")</f>
        <v/>
      </c>
      <c r="DD102" s="34">
        <f>IF(AND(DD$5&gt;$E102,DD$5&lt;=$F102),IF(DD$5=$E102+1,$C102,""),"")</f>
        <v/>
      </c>
      <c r="DE102" s="34">
        <f>IF(AND(DE$5&gt;$E102,DE$5&lt;=$F102),IF(DE$5=$E102+1,$C102,""),"")</f>
        <v/>
      </c>
      <c r="DF102" s="34">
        <f>IF(AND(DF$5&gt;$E102,DF$5&lt;=$F102),IF(DF$5=$E102+1,$C102,""),"")</f>
        <v/>
      </c>
      <c r="DG102" s="34">
        <f>IF(AND(DG$5&gt;$E102,DG$5&lt;=$F102),IF(DG$5=$E102+1,$C102,""),"")</f>
        <v/>
      </c>
      <c r="DH102" s="34">
        <f>IF(AND(DH$5&gt;$E102,DH$5&lt;=$F102),IF(DH$5=$E102+1,$C102,""),"")</f>
        <v/>
      </c>
      <c r="DI102" s="34">
        <f>IF(AND(DI$5&gt;$E102,DI$5&lt;=$F102),IF(DI$5=$E102+1,$C102,""),"")</f>
        <v/>
      </c>
      <c r="DJ102" s="34">
        <f>IF(AND(DJ$5&gt;$E102,DJ$5&lt;=$F102),IF(DJ$5=$E102+1,$C102,""),"")</f>
        <v/>
      </c>
      <c r="DK102" s="34">
        <f>IF(AND(DK$5&gt;$E102,DK$5&lt;=$F102),IF(DK$5=$E102+1,$C102,""),"")</f>
        <v/>
      </c>
      <c r="DL102" s="34">
        <f>IF(AND(DL$5&gt;$E102,DL$5&lt;=$F102),IF(DL$5=$E102+1,$C102,""),"")</f>
        <v/>
      </c>
      <c r="DM102" s="34">
        <f>IF(AND(DM$5&gt;$E102,DM$5&lt;=$F102),IF(DM$5=$E102+1,$C102,""),"")</f>
        <v/>
      </c>
      <c r="DN102" s="34">
        <f>IF(AND(DN$5&gt;$E102,DN$5&lt;=$F102),IF(DN$5=$E102+1,$C102,""),"")</f>
        <v/>
      </c>
      <c r="DO102" s="34">
        <f>IF(AND(DO$5&gt;$E102,DO$5&lt;=$F102),IF(DO$5=$E102+1,$C102,""),"")</f>
        <v/>
      </c>
      <c r="DP102" s="34">
        <f>IF(AND(DP$5&gt;$E102,DP$5&lt;=$F102),IF(DP$5=$E102+1,$C102,""),"")</f>
        <v/>
      </c>
      <c r="DQ102" s="34">
        <f>IF(AND(DQ$5&gt;$E102,DQ$5&lt;=$F102),IF(DQ$5=$E102+1,$C102,""),"")</f>
        <v/>
      </c>
      <c r="DR102" s="34">
        <f>IF(AND(DR$5&gt;$E102,DR$5&lt;=$F102),IF(DR$5=$E102+1,$C102,""),"")</f>
        <v/>
      </c>
      <c r="DS102" s="34">
        <f>IF(AND(DS$5&gt;$E102,DS$5&lt;=$F102),IF(DS$5=$E102+1,$C102,""),"")</f>
        <v/>
      </c>
      <c r="DT102" s="34">
        <f>IF(AND(DT$5&gt;$E102,DT$5&lt;=$F102),IF(DT$5=$E102+1,$C102,""),"")</f>
        <v/>
      </c>
      <c r="DU102" s="34">
        <f>IF(AND(DU$5&gt;$E102,DU$5&lt;=$F102),IF(DU$5=$E102+1,$C102,""),"")</f>
        <v/>
      </c>
      <c r="DV102" s="34">
        <f>IF(AND(DV$5&gt;$E102,DV$5&lt;=$F102),IF(DV$5=$E102+1,$C102,""),"")</f>
        <v/>
      </c>
      <c r="DW102" s="34">
        <f>IF(AND(DW$5&gt;$E102,DW$5&lt;=$F102),IF(DW$5=$E102+1,$C102,""),"")</f>
        <v/>
      </c>
      <c r="DX102" s="34">
        <f>IF(AND(DX$5&gt;$E102,DX$5&lt;=$F102),IF(DX$5=$E102+1,$C102,""),"")</f>
        <v/>
      </c>
      <c r="DY102" s="34">
        <f>IF(AND(DY$5&gt;$E102,DY$5&lt;=$F102),IF(DY$5=$E102+1,$C102,""),"")</f>
        <v/>
      </c>
      <c r="DZ102" s="34">
        <f>IF(AND(DZ$5&gt;$E102,DZ$5&lt;=$F102),IF(DZ$5=$E102+1,$C102,""),"")</f>
        <v/>
      </c>
      <c r="EA102" s="34">
        <f>IF(AND(EA$5&gt;$E102,EA$5&lt;=$F102),IF(EA$5=$E102+1,$C102,""),"")</f>
        <v/>
      </c>
      <c r="EB102" s="34">
        <f>IF(AND(EB$5&gt;$E102,EB$5&lt;=$F102),IF(EB$5=$E102+1,$C102,""),"")</f>
        <v/>
      </c>
      <c r="EC102" s="34">
        <f>IF(AND(EC$5&gt;$E102,EC$5&lt;=$F102),IF(EC$5=$E102+1,$C102,""),"")</f>
        <v/>
      </c>
      <c r="ED102" s="34">
        <f>IF(AND(ED$5&gt;$E102,ED$5&lt;=$F102),IF(ED$5=$E102+1,$C102,""),"")</f>
        <v/>
      </c>
      <c r="EE102" s="34">
        <f>IF(AND(EE$5&gt;$E102,EE$5&lt;=$F102),IF(EE$5=$E102+1,$C102,""),"")</f>
        <v/>
      </c>
      <c r="EF102" s="34">
        <f>IF(AND(EF$5&gt;$E102,EF$5&lt;=$F102),IF(EF$5=$E102+1,$C102,""),"")</f>
        <v/>
      </c>
      <c r="EG102" s="34">
        <f>IF(AND(EG$5&gt;$E102,EG$5&lt;=$F102),IF(EG$5=$E102+1,$C102,""),"")</f>
        <v/>
      </c>
    </row>
    <row r="103">
      <c r="A103" s="32">
        <f>Plan!A73</f>
        <v/>
      </c>
      <c r="B103" s="33">
        <f>Plan!C73</f>
        <v/>
      </c>
      <c r="C103" s="16">
        <f>Plan!D73</f>
        <v/>
      </c>
      <c r="D103" s="16">
        <f>Plan!I73</f>
        <v/>
      </c>
      <c r="E103" s="16">
        <f>Plan!K73</f>
        <v/>
      </c>
      <c r="F103" s="16">
        <f>Plan!L73</f>
        <v/>
      </c>
      <c r="G103" s="16">
        <f>Plan!O73</f>
        <v/>
      </c>
      <c r="H103" s="34">
        <f>IF(AND(H$5&gt;$E103,H$5&lt;=$F103),IF(H$5=$E103+1,$C103,""),"")</f>
        <v/>
      </c>
      <c r="I103" s="34">
        <f>IF(AND(I$5&gt;$E103,I$5&lt;=$F103),IF(I$5=$E103+1,$C103,""),"")</f>
        <v/>
      </c>
      <c r="J103" s="34">
        <f>IF(AND(J$5&gt;$E103,J$5&lt;=$F103),IF(J$5=$E103+1,$C103,""),"")</f>
        <v/>
      </c>
      <c r="K103" s="34">
        <f>IF(AND(K$5&gt;$E103,K$5&lt;=$F103),IF(K$5=$E103+1,$C103,""),"")</f>
        <v/>
      </c>
      <c r="L103" s="34">
        <f>IF(AND(L$5&gt;$E103,L$5&lt;=$F103),IF(L$5=$E103+1,$C103,""),"")</f>
        <v/>
      </c>
      <c r="M103" s="34">
        <f>IF(AND(M$5&gt;$E103,M$5&lt;=$F103),IF(M$5=$E103+1,$C103,""),"")</f>
        <v/>
      </c>
      <c r="N103" s="34">
        <f>IF(AND(N$5&gt;$E103,N$5&lt;=$F103),IF(N$5=$E103+1,$C103,""),"")</f>
        <v/>
      </c>
      <c r="O103" s="34">
        <f>IF(AND(O$5&gt;$E103,O$5&lt;=$F103),IF(O$5=$E103+1,$C103,""),"")</f>
        <v/>
      </c>
      <c r="P103" s="34">
        <f>IF(AND(P$5&gt;$E103,P$5&lt;=$F103),IF(P$5=$E103+1,$C103,""),"")</f>
        <v/>
      </c>
      <c r="Q103" s="34">
        <f>IF(AND(Q$5&gt;$E103,Q$5&lt;=$F103),IF(Q$5=$E103+1,$C103,""),"")</f>
        <v/>
      </c>
      <c r="R103" s="34">
        <f>IF(AND(R$5&gt;$E103,R$5&lt;=$F103),IF(R$5=$E103+1,$C103,""),"")</f>
        <v/>
      </c>
      <c r="S103" s="34">
        <f>IF(AND(S$5&gt;$E103,S$5&lt;=$F103),IF(S$5=$E103+1,$C103,""),"")</f>
        <v/>
      </c>
      <c r="T103" s="34">
        <f>IF(AND(T$5&gt;$E103,T$5&lt;=$F103),IF(T$5=$E103+1,$C103,""),"")</f>
        <v/>
      </c>
      <c r="U103" s="34">
        <f>IF(AND(U$5&gt;$E103,U$5&lt;=$F103),IF(U$5=$E103+1,$C103,""),"")</f>
        <v/>
      </c>
      <c r="V103" s="34">
        <f>IF(AND(V$5&gt;$E103,V$5&lt;=$F103),IF(V$5=$E103+1,$C103,""),"")</f>
        <v/>
      </c>
      <c r="W103" s="34">
        <f>IF(AND(W$5&gt;$E103,W$5&lt;=$F103),IF(W$5=$E103+1,$C103,""),"")</f>
        <v/>
      </c>
      <c r="X103" s="34">
        <f>IF(AND(X$5&gt;$E103,X$5&lt;=$F103),IF(X$5=$E103+1,$C103,""),"")</f>
        <v/>
      </c>
      <c r="Y103" s="34">
        <f>IF(AND(Y$5&gt;$E103,Y$5&lt;=$F103),IF(Y$5=$E103+1,$C103,""),"")</f>
        <v/>
      </c>
      <c r="Z103" s="34">
        <f>IF(AND(Z$5&gt;$E103,Z$5&lt;=$F103),IF(Z$5=$E103+1,$C103,""),"")</f>
        <v/>
      </c>
      <c r="AA103" s="34">
        <f>IF(AND(AA$5&gt;$E103,AA$5&lt;=$F103),IF(AA$5=$E103+1,$C103,""),"")</f>
        <v/>
      </c>
      <c r="AB103" s="34">
        <f>IF(AND(AB$5&gt;$E103,AB$5&lt;=$F103),IF(AB$5=$E103+1,$C103,""),"")</f>
        <v/>
      </c>
      <c r="AC103" s="34">
        <f>IF(AND(AC$5&gt;$E103,AC$5&lt;=$F103),IF(AC$5=$E103+1,$C103,""),"")</f>
        <v/>
      </c>
      <c r="AD103" s="34">
        <f>IF(AND(AD$5&gt;$E103,AD$5&lt;=$F103),IF(AD$5=$E103+1,$C103,""),"")</f>
        <v/>
      </c>
      <c r="AE103" s="34">
        <f>IF(AND(AE$5&gt;$E103,AE$5&lt;=$F103),IF(AE$5=$E103+1,$C103,""),"")</f>
        <v/>
      </c>
      <c r="AF103" s="34">
        <f>IF(AND(AF$5&gt;$E103,AF$5&lt;=$F103),IF(AF$5=$E103+1,$C103,""),"")</f>
        <v/>
      </c>
      <c r="AG103" s="34">
        <f>IF(AND(AG$5&gt;$E103,AG$5&lt;=$F103),IF(AG$5=$E103+1,$C103,""),"")</f>
        <v/>
      </c>
      <c r="AH103" s="34">
        <f>IF(AND(AH$5&gt;$E103,AH$5&lt;=$F103),IF(AH$5=$E103+1,$C103,""),"")</f>
        <v/>
      </c>
      <c r="AI103" s="34">
        <f>IF(AND(AI$5&gt;$E103,AI$5&lt;=$F103),IF(AI$5=$E103+1,$C103,""),"")</f>
        <v/>
      </c>
      <c r="AJ103" s="34">
        <f>IF(AND(AJ$5&gt;$E103,AJ$5&lt;=$F103),IF(AJ$5=$E103+1,$C103,""),"")</f>
        <v/>
      </c>
      <c r="AK103" s="34">
        <f>IF(AND(AK$5&gt;$E103,AK$5&lt;=$F103),IF(AK$5=$E103+1,$C103,""),"")</f>
        <v/>
      </c>
      <c r="AL103" s="34">
        <f>IF(AND(AL$5&gt;$E103,AL$5&lt;=$F103),IF(AL$5=$E103+1,$C103,""),"")</f>
        <v/>
      </c>
      <c r="AM103" s="34">
        <f>IF(AND(AM$5&gt;$E103,AM$5&lt;=$F103),IF(AM$5=$E103+1,$C103,""),"")</f>
        <v/>
      </c>
      <c r="AN103" s="34">
        <f>IF(AND(AN$5&gt;$E103,AN$5&lt;=$F103),IF(AN$5=$E103+1,$C103,""),"")</f>
        <v/>
      </c>
      <c r="AO103" s="34">
        <f>IF(AND(AO$5&gt;$E103,AO$5&lt;=$F103),IF(AO$5=$E103+1,$C103,""),"")</f>
        <v/>
      </c>
      <c r="AP103" s="34">
        <f>IF(AND(AP$5&gt;$E103,AP$5&lt;=$F103),IF(AP$5=$E103+1,$C103,""),"")</f>
        <v/>
      </c>
      <c r="AQ103" s="34">
        <f>IF(AND(AQ$5&gt;$E103,AQ$5&lt;=$F103),IF(AQ$5=$E103+1,$C103,""),"")</f>
        <v/>
      </c>
      <c r="AR103" s="34">
        <f>IF(AND(AR$5&gt;$E103,AR$5&lt;=$F103),IF(AR$5=$E103+1,$C103,""),"")</f>
        <v/>
      </c>
      <c r="AS103" s="34">
        <f>IF(AND(AS$5&gt;$E103,AS$5&lt;=$F103),IF(AS$5=$E103+1,$C103,""),"")</f>
        <v/>
      </c>
      <c r="AT103" s="34">
        <f>IF(AND(AT$5&gt;$E103,AT$5&lt;=$F103),IF(AT$5=$E103+1,$C103,""),"")</f>
        <v/>
      </c>
      <c r="AU103" s="34">
        <f>IF(AND(AU$5&gt;$E103,AU$5&lt;=$F103),IF(AU$5=$E103+1,$C103,""),"")</f>
        <v/>
      </c>
      <c r="AV103" s="34">
        <f>IF(AND(AV$5&gt;$E103,AV$5&lt;=$F103),IF(AV$5=$E103+1,$C103,""),"")</f>
        <v/>
      </c>
      <c r="AW103" s="34">
        <f>IF(AND(AW$5&gt;$E103,AW$5&lt;=$F103),IF(AW$5=$E103+1,$C103,""),"")</f>
        <v/>
      </c>
      <c r="AX103" s="34">
        <f>IF(AND(AX$5&gt;$E103,AX$5&lt;=$F103),IF(AX$5=$E103+1,$C103,""),"")</f>
        <v/>
      </c>
      <c r="AY103" s="34">
        <f>IF(AND(AY$5&gt;$E103,AY$5&lt;=$F103),IF(AY$5=$E103+1,$C103,""),"")</f>
        <v/>
      </c>
      <c r="AZ103" s="34">
        <f>IF(AND(AZ$5&gt;$E103,AZ$5&lt;=$F103),IF(AZ$5=$E103+1,$C103,""),"")</f>
        <v/>
      </c>
      <c r="BA103" s="34">
        <f>IF(AND(BA$5&gt;$E103,BA$5&lt;=$F103),IF(BA$5=$E103+1,$C103,""),"")</f>
        <v/>
      </c>
      <c r="BB103" s="34">
        <f>IF(AND(BB$5&gt;$E103,BB$5&lt;=$F103),IF(BB$5=$E103+1,$C103,""),"")</f>
        <v/>
      </c>
      <c r="BC103" s="34">
        <f>IF(AND(BC$5&gt;$E103,BC$5&lt;=$F103),IF(BC$5=$E103+1,$C103,""),"")</f>
        <v/>
      </c>
      <c r="BD103" s="34">
        <f>IF(AND(BD$5&gt;$E103,BD$5&lt;=$F103),IF(BD$5=$E103+1,$C103,""),"")</f>
        <v/>
      </c>
      <c r="BE103" s="34">
        <f>IF(AND(BE$5&gt;$E103,BE$5&lt;=$F103),IF(BE$5=$E103+1,$C103,""),"")</f>
        <v/>
      </c>
      <c r="BF103" s="34">
        <f>IF(AND(BF$5&gt;$E103,BF$5&lt;=$F103),IF(BF$5=$E103+1,$C103,""),"")</f>
        <v/>
      </c>
      <c r="BG103" s="34">
        <f>IF(AND(BG$5&gt;$E103,BG$5&lt;=$F103),IF(BG$5=$E103+1,$C103,""),"")</f>
        <v/>
      </c>
      <c r="BH103" s="34">
        <f>IF(AND(BH$5&gt;$E103,BH$5&lt;=$F103),IF(BH$5=$E103+1,$C103,""),"")</f>
        <v/>
      </c>
      <c r="BI103" s="34">
        <f>IF(AND(BI$5&gt;$E103,BI$5&lt;=$F103),IF(BI$5=$E103+1,$C103,""),"")</f>
        <v/>
      </c>
      <c r="BJ103" s="34">
        <f>IF(AND(BJ$5&gt;$E103,BJ$5&lt;=$F103),IF(BJ$5=$E103+1,$C103,""),"")</f>
        <v/>
      </c>
      <c r="BK103" s="34">
        <f>IF(AND(BK$5&gt;$E103,BK$5&lt;=$F103),IF(BK$5=$E103+1,$C103,""),"")</f>
        <v/>
      </c>
      <c r="BL103" s="34">
        <f>IF(AND(BL$5&gt;$E103,BL$5&lt;=$F103),IF(BL$5=$E103+1,$C103,""),"")</f>
        <v/>
      </c>
      <c r="BM103" s="34">
        <f>IF(AND(BM$5&gt;$E103,BM$5&lt;=$F103),IF(BM$5=$E103+1,$C103,""),"")</f>
        <v/>
      </c>
      <c r="BN103" s="34">
        <f>IF(AND(BN$5&gt;$E103,BN$5&lt;=$F103),IF(BN$5=$E103+1,$C103,""),"")</f>
        <v/>
      </c>
      <c r="BO103" s="34">
        <f>IF(AND(BO$5&gt;$E103,BO$5&lt;=$F103),IF(BO$5=$E103+1,$C103,""),"")</f>
        <v/>
      </c>
      <c r="BP103" s="34">
        <f>IF(AND(BP$5&gt;$E103,BP$5&lt;=$F103),IF(BP$5=$E103+1,$C103,""),"")</f>
        <v/>
      </c>
      <c r="BQ103" s="34">
        <f>IF(AND(BQ$5&gt;$E103,BQ$5&lt;=$F103),IF(BQ$5=$E103+1,$C103,""),"")</f>
        <v/>
      </c>
      <c r="BR103" s="34">
        <f>IF(AND(BR$5&gt;$E103,BR$5&lt;=$F103),IF(BR$5=$E103+1,$C103,""),"")</f>
        <v/>
      </c>
      <c r="BS103" s="34">
        <f>IF(AND(BS$5&gt;$E103,BS$5&lt;=$F103),IF(BS$5=$E103+1,$C103,""),"")</f>
        <v/>
      </c>
      <c r="BT103" s="34">
        <f>IF(AND(BT$5&gt;$E103,BT$5&lt;=$F103),IF(BT$5=$E103+1,$C103,""),"")</f>
        <v/>
      </c>
      <c r="BU103" s="34">
        <f>IF(AND(BU$5&gt;$E103,BU$5&lt;=$F103),IF(BU$5=$E103+1,$C103,""),"")</f>
        <v/>
      </c>
      <c r="BV103" s="34">
        <f>IF(AND(BV$5&gt;$E103,BV$5&lt;=$F103),IF(BV$5=$E103+1,$C103,""),"")</f>
        <v/>
      </c>
      <c r="BW103" s="34">
        <f>IF(AND(BW$5&gt;$E103,BW$5&lt;=$F103),IF(BW$5=$E103+1,$C103,""),"")</f>
        <v/>
      </c>
      <c r="BX103" s="34">
        <f>IF(AND(BX$5&gt;$E103,BX$5&lt;=$F103),IF(BX$5=$E103+1,$C103,""),"")</f>
        <v/>
      </c>
      <c r="BY103" s="34">
        <f>IF(AND(BY$5&gt;$E103,BY$5&lt;=$F103),IF(BY$5=$E103+1,$C103,""),"")</f>
        <v/>
      </c>
      <c r="BZ103" s="34">
        <f>IF(AND(BZ$5&gt;$E103,BZ$5&lt;=$F103),IF(BZ$5=$E103+1,$C103,""),"")</f>
        <v/>
      </c>
      <c r="CA103" s="34">
        <f>IF(AND(CA$5&gt;$E103,CA$5&lt;=$F103),IF(CA$5=$E103+1,$C103,""),"")</f>
        <v/>
      </c>
      <c r="CB103" s="34">
        <f>IF(AND(CB$5&gt;$E103,CB$5&lt;=$F103),IF(CB$5=$E103+1,$C103,""),"")</f>
        <v/>
      </c>
      <c r="CC103" s="34">
        <f>IF(AND(CC$5&gt;$E103,CC$5&lt;=$F103),IF(CC$5=$E103+1,$C103,""),"")</f>
        <v/>
      </c>
      <c r="CD103" s="34">
        <f>IF(AND(CD$5&gt;$E103,CD$5&lt;=$F103),IF(CD$5=$E103+1,$C103,""),"")</f>
        <v/>
      </c>
      <c r="CE103" s="34">
        <f>IF(AND(CE$5&gt;$E103,CE$5&lt;=$F103),IF(CE$5=$E103+1,$C103,""),"")</f>
        <v/>
      </c>
      <c r="CF103" s="34">
        <f>IF(AND(CF$5&gt;$E103,CF$5&lt;=$F103),IF(CF$5=$E103+1,$C103,""),"")</f>
        <v/>
      </c>
      <c r="CG103" s="34">
        <f>IF(AND(CG$5&gt;$E103,CG$5&lt;=$F103),IF(CG$5=$E103+1,$C103,""),"")</f>
        <v/>
      </c>
      <c r="CH103" s="34">
        <f>IF(AND(CH$5&gt;$E103,CH$5&lt;=$F103),IF(CH$5=$E103+1,$C103,""),"")</f>
        <v/>
      </c>
      <c r="CI103" s="34">
        <f>IF(AND(CI$5&gt;$E103,CI$5&lt;=$F103),IF(CI$5=$E103+1,$C103,""),"")</f>
        <v/>
      </c>
      <c r="CJ103" s="34">
        <f>IF(AND(CJ$5&gt;$E103,CJ$5&lt;=$F103),IF(CJ$5=$E103+1,$C103,""),"")</f>
        <v/>
      </c>
      <c r="CK103" s="34">
        <f>IF(AND(CK$5&gt;$E103,CK$5&lt;=$F103),IF(CK$5=$E103+1,$C103,""),"")</f>
        <v/>
      </c>
      <c r="CL103" s="34">
        <f>IF(AND(CL$5&gt;$E103,CL$5&lt;=$F103),IF(CL$5=$E103+1,$C103,""),"")</f>
        <v/>
      </c>
      <c r="CM103" s="34">
        <f>IF(AND(CM$5&gt;$E103,CM$5&lt;=$F103),IF(CM$5=$E103+1,$C103,""),"")</f>
        <v/>
      </c>
      <c r="CN103" s="34">
        <f>IF(AND(CN$5&gt;$E103,CN$5&lt;=$F103),IF(CN$5=$E103+1,$C103,""),"")</f>
        <v/>
      </c>
      <c r="CO103" s="34">
        <f>IF(AND(CO$5&gt;$E103,CO$5&lt;=$F103),IF(CO$5=$E103+1,$C103,""),"")</f>
        <v/>
      </c>
      <c r="CP103" s="34">
        <f>IF(AND(CP$5&gt;$E103,CP$5&lt;=$F103),IF(CP$5=$E103+1,$C103,""),"")</f>
        <v/>
      </c>
      <c r="CQ103" s="34">
        <f>IF(AND(CQ$5&gt;$E103,CQ$5&lt;=$F103),IF(CQ$5=$E103+1,$C103,""),"")</f>
        <v/>
      </c>
      <c r="CR103" s="34">
        <f>IF(AND(CR$5&gt;$E103,CR$5&lt;=$F103),IF(CR$5=$E103+1,$C103,""),"")</f>
        <v/>
      </c>
      <c r="CS103" s="34">
        <f>IF(AND(CS$5&gt;$E103,CS$5&lt;=$F103),IF(CS$5=$E103+1,$C103,""),"")</f>
        <v/>
      </c>
      <c r="CT103" s="34">
        <f>IF(AND(CT$5&gt;$E103,CT$5&lt;=$F103),IF(CT$5=$E103+1,$C103,""),"")</f>
        <v/>
      </c>
      <c r="CU103" s="34">
        <f>IF(AND(CU$5&gt;$E103,CU$5&lt;=$F103),IF(CU$5=$E103+1,$C103,""),"")</f>
        <v/>
      </c>
      <c r="CV103" s="34">
        <f>IF(AND(CV$5&gt;$E103,CV$5&lt;=$F103),IF(CV$5=$E103+1,$C103,""),"")</f>
        <v/>
      </c>
      <c r="CW103" s="34">
        <f>IF(AND(CW$5&gt;$E103,CW$5&lt;=$F103),IF(CW$5=$E103+1,$C103,""),"")</f>
        <v/>
      </c>
      <c r="CX103" s="34">
        <f>IF(AND(CX$5&gt;$E103,CX$5&lt;=$F103),IF(CX$5=$E103+1,$C103,""),"")</f>
        <v/>
      </c>
      <c r="CY103" s="34">
        <f>IF(AND(CY$5&gt;$E103,CY$5&lt;=$F103),IF(CY$5=$E103+1,$C103,""),"")</f>
        <v/>
      </c>
      <c r="CZ103" s="34">
        <f>IF(AND(CZ$5&gt;$E103,CZ$5&lt;=$F103),IF(CZ$5=$E103+1,$C103,""),"")</f>
        <v/>
      </c>
      <c r="DA103" s="34">
        <f>IF(AND(DA$5&gt;$E103,DA$5&lt;=$F103),IF(DA$5=$E103+1,$C103,""),"")</f>
        <v/>
      </c>
      <c r="DB103" s="34">
        <f>IF(AND(DB$5&gt;$E103,DB$5&lt;=$F103),IF(DB$5=$E103+1,$C103,""),"")</f>
        <v/>
      </c>
      <c r="DC103" s="34">
        <f>IF(AND(DC$5&gt;$E103,DC$5&lt;=$F103),IF(DC$5=$E103+1,$C103,""),"")</f>
        <v/>
      </c>
      <c r="DD103" s="34">
        <f>IF(AND(DD$5&gt;$E103,DD$5&lt;=$F103),IF(DD$5=$E103+1,$C103,""),"")</f>
        <v/>
      </c>
      <c r="DE103" s="34">
        <f>IF(AND(DE$5&gt;$E103,DE$5&lt;=$F103),IF(DE$5=$E103+1,$C103,""),"")</f>
        <v/>
      </c>
      <c r="DF103" s="34">
        <f>IF(AND(DF$5&gt;$E103,DF$5&lt;=$F103),IF(DF$5=$E103+1,$C103,""),"")</f>
        <v/>
      </c>
      <c r="DG103" s="34">
        <f>IF(AND(DG$5&gt;$E103,DG$5&lt;=$F103),IF(DG$5=$E103+1,$C103,""),"")</f>
        <v/>
      </c>
      <c r="DH103" s="34">
        <f>IF(AND(DH$5&gt;$E103,DH$5&lt;=$F103),IF(DH$5=$E103+1,$C103,""),"")</f>
        <v/>
      </c>
      <c r="DI103" s="34">
        <f>IF(AND(DI$5&gt;$E103,DI$5&lt;=$F103),IF(DI$5=$E103+1,$C103,""),"")</f>
        <v/>
      </c>
      <c r="DJ103" s="34">
        <f>IF(AND(DJ$5&gt;$E103,DJ$5&lt;=$F103),IF(DJ$5=$E103+1,$C103,""),"")</f>
        <v/>
      </c>
      <c r="DK103" s="34">
        <f>IF(AND(DK$5&gt;$E103,DK$5&lt;=$F103),IF(DK$5=$E103+1,$C103,""),"")</f>
        <v/>
      </c>
      <c r="DL103" s="34">
        <f>IF(AND(DL$5&gt;$E103,DL$5&lt;=$F103),IF(DL$5=$E103+1,$C103,""),"")</f>
        <v/>
      </c>
      <c r="DM103" s="34">
        <f>IF(AND(DM$5&gt;$E103,DM$5&lt;=$F103),IF(DM$5=$E103+1,$C103,""),"")</f>
        <v/>
      </c>
      <c r="DN103" s="34">
        <f>IF(AND(DN$5&gt;$E103,DN$5&lt;=$F103),IF(DN$5=$E103+1,$C103,""),"")</f>
        <v/>
      </c>
      <c r="DO103" s="34">
        <f>IF(AND(DO$5&gt;$E103,DO$5&lt;=$F103),IF(DO$5=$E103+1,$C103,""),"")</f>
        <v/>
      </c>
      <c r="DP103" s="34">
        <f>IF(AND(DP$5&gt;$E103,DP$5&lt;=$F103),IF(DP$5=$E103+1,$C103,""),"")</f>
        <v/>
      </c>
      <c r="DQ103" s="34">
        <f>IF(AND(DQ$5&gt;$E103,DQ$5&lt;=$F103),IF(DQ$5=$E103+1,$C103,""),"")</f>
        <v/>
      </c>
      <c r="DR103" s="34">
        <f>IF(AND(DR$5&gt;$E103,DR$5&lt;=$F103),IF(DR$5=$E103+1,$C103,""),"")</f>
        <v/>
      </c>
      <c r="DS103" s="34">
        <f>IF(AND(DS$5&gt;$E103,DS$5&lt;=$F103),IF(DS$5=$E103+1,$C103,""),"")</f>
        <v/>
      </c>
      <c r="DT103" s="34">
        <f>IF(AND(DT$5&gt;$E103,DT$5&lt;=$F103),IF(DT$5=$E103+1,$C103,""),"")</f>
        <v/>
      </c>
      <c r="DU103" s="34">
        <f>IF(AND(DU$5&gt;$E103,DU$5&lt;=$F103),IF(DU$5=$E103+1,$C103,""),"")</f>
        <v/>
      </c>
      <c r="DV103" s="34">
        <f>IF(AND(DV$5&gt;$E103,DV$5&lt;=$F103),IF(DV$5=$E103+1,$C103,""),"")</f>
        <v/>
      </c>
      <c r="DW103" s="34">
        <f>IF(AND(DW$5&gt;$E103,DW$5&lt;=$F103),IF(DW$5=$E103+1,$C103,""),"")</f>
        <v/>
      </c>
      <c r="DX103" s="34">
        <f>IF(AND(DX$5&gt;$E103,DX$5&lt;=$F103),IF(DX$5=$E103+1,$C103,""),"")</f>
        <v/>
      </c>
      <c r="DY103" s="34">
        <f>IF(AND(DY$5&gt;$E103,DY$5&lt;=$F103),IF(DY$5=$E103+1,$C103,""),"")</f>
        <v/>
      </c>
      <c r="DZ103" s="34">
        <f>IF(AND(DZ$5&gt;$E103,DZ$5&lt;=$F103),IF(DZ$5=$E103+1,$C103,""),"")</f>
        <v/>
      </c>
      <c r="EA103" s="34">
        <f>IF(AND(EA$5&gt;$E103,EA$5&lt;=$F103),IF(EA$5=$E103+1,$C103,""),"")</f>
        <v/>
      </c>
      <c r="EB103" s="34">
        <f>IF(AND(EB$5&gt;$E103,EB$5&lt;=$F103),IF(EB$5=$E103+1,$C103,""),"")</f>
        <v/>
      </c>
      <c r="EC103" s="34">
        <f>IF(AND(EC$5&gt;$E103,EC$5&lt;=$F103),IF(EC$5=$E103+1,$C103,""),"")</f>
        <v/>
      </c>
      <c r="ED103" s="34">
        <f>IF(AND(ED$5&gt;$E103,ED$5&lt;=$F103),IF(ED$5=$E103+1,$C103,""),"")</f>
        <v/>
      </c>
      <c r="EE103" s="34">
        <f>IF(AND(EE$5&gt;$E103,EE$5&lt;=$F103),IF(EE$5=$E103+1,$C103,""),"")</f>
        <v/>
      </c>
      <c r="EF103" s="34">
        <f>IF(AND(EF$5&gt;$E103,EF$5&lt;=$F103),IF(EF$5=$E103+1,$C103,""),"")</f>
        <v/>
      </c>
      <c r="EG103" s="34">
        <f>IF(AND(EG$5&gt;$E103,EG$5&lt;=$F103),IF(EG$5=$E103+1,$C103,""),"")</f>
        <v/>
      </c>
    </row>
    <row r="104">
      <c r="A104" s="32">
        <f>Plan!A74</f>
        <v/>
      </c>
      <c r="B104" s="33">
        <f>Plan!C74</f>
        <v/>
      </c>
      <c r="C104" s="16">
        <f>Plan!D74</f>
        <v/>
      </c>
      <c r="D104" s="16">
        <f>Plan!I74</f>
        <v/>
      </c>
      <c r="E104" s="16">
        <f>Plan!K74</f>
        <v/>
      </c>
      <c r="F104" s="16">
        <f>Plan!L74</f>
        <v/>
      </c>
      <c r="G104" s="16">
        <f>Plan!O74</f>
        <v/>
      </c>
      <c r="H104" s="34">
        <f>IF(AND(H$5&gt;$E104,H$5&lt;=$F104),IF(H$5=$E104+1,$C104,""),"")</f>
        <v/>
      </c>
      <c r="I104" s="34">
        <f>IF(AND(I$5&gt;$E104,I$5&lt;=$F104),IF(I$5=$E104+1,$C104,""),"")</f>
        <v/>
      </c>
      <c r="J104" s="34">
        <f>IF(AND(J$5&gt;$E104,J$5&lt;=$F104),IF(J$5=$E104+1,$C104,""),"")</f>
        <v/>
      </c>
      <c r="K104" s="34">
        <f>IF(AND(K$5&gt;$E104,K$5&lt;=$F104),IF(K$5=$E104+1,$C104,""),"")</f>
        <v/>
      </c>
      <c r="L104" s="34">
        <f>IF(AND(L$5&gt;$E104,L$5&lt;=$F104),IF(L$5=$E104+1,$C104,""),"")</f>
        <v/>
      </c>
      <c r="M104" s="34">
        <f>IF(AND(M$5&gt;$E104,M$5&lt;=$F104),IF(M$5=$E104+1,$C104,""),"")</f>
        <v/>
      </c>
      <c r="N104" s="34">
        <f>IF(AND(N$5&gt;$E104,N$5&lt;=$F104),IF(N$5=$E104+1,$C104,""),"")</f>
        <v/>
      </c>
      <c r="O104" s="34">
        <f>IF(AND(O$5&gt;$E104,O$5&lt;=$F104),IF(O$5=$E104+1,$C104,""),"")</f>
        <v/>
      </c>
      <c r="P104" s="34">
        <f>IF(AND(P$5&gt;$E104,P$5&lt;=$F104),IF(P$5=$E104+1,$C104,""),"")</f>
        <v/>
      </c>
      <c r="Q104" s="34">
        <f>IF(AND(Q$5&gt;$E104,Q$5&lt;=$F104),IF(Q$5=$E104+1,$C104,""),"")</f>
        <v/>
      </c>
      <c r="R104" s="34">
        <f>IF(AND(R$5&gt;$E104,R$5&lt;=$F104),IF(R$5=$E104+1,$C104,""),"")</f>
        <v/>
      </c>
      <c r="S104" s="34">
        <f>IF(AND(S$5&gt;$E104,S$5&lt;=$F104),IF(S$5=$E104+1,$C104,""),"")</f>
        <v/>
      </c>
      <c r="T104" s="34">
        <f>IF(AND(T$5&gt;$E104,T$5&lt;=$F104),IF(T$5=$E104+1,$C104,""),"")</f>
        <v/>
      </c>
      <c r="U104" s="34">
        <f>IF(AND(U$5&gt;$E104,U$5&lt;=$F104),IF(U$5=$E104+1,$C104,""),"")</f>
        <v/>
      </c>
      <c r="V104" s="34">
        <f>IF(AND(V$5&gt;$E104,V$5&lt;=$F104),IF(V$5=$E104+1,$C104,""),"")</f>
        <v/>
      </c>
      <c r="W104" s="34">
        <f>IF(AND(W$5&gt;$E104,W$5&lt;=$F104),IF(W$5=$E104+1,$C104,""),"")</f>
        <v/>
      </c>
      <c r="X104" s="34">
        <f>IF(AND(X$5&gt;$E104,X$5&lt;=$F104),IF(X$5=$E104+1,$C104,""),"")</f>
        <v/>
      </c>
      <c r="Y104" s="34">
        <f>IF(AND(Y$5&gt;$E104,Y$5&lt;=$F104),IF(Y$5=$E104+1,$C104,""),"")</f>
        <v/>
      </c>
      <c r="Z104" s="34">
        <f>IF(AND(Z$5&gt;$E104,Z$5&lt;=$F104),IF(Z$5=$E104+1,$C104,""),"")</f>
        <v/>
      </c>
      <c r="AA104" s="34">
        <f>IF(AND(AA$5&gt;$E104,AA$5&lt;=$F104),IF(AA$5=$E104+1,$C104,""),"")</f>
        <v/>
      </c>
      <c r="AB104" s="34">
        <f>IF(AND(AB$5&gt;$E104,AB$5&lt;=$F104),IF(AB$5=$E104+1,$C104,""),"")</f>
        <v/>
      </c>
      <c r="AC104" s="34">
        <f>IF(AND(AC$5&gt;$E104,AC$5&lt;=$F104),IF(AC$5=$E104+1,$C104,""),"")</f>
        <v/>
      </c>
      <c r="AD104" s="34">
        <f>IF(AND(AD$5&gt;$E104,AD$5&lt;=$F104),IF(AD$5=$E104+1,$C104,""),"")</f>
        <v/>
      </c>
      <c r="AE104" s="34">
        <f>IF(AND(AE$5&gt;$E104,AE$5&lt;=$F104),IF(AE$5=$E104+1,$C104,""),"")</f>
        <v/>
      </c>
      <c r="AF104" s="34">
        <f>IF(AND(AF$5&gt;$E104,AF$5&lt;=$F104),IF(AF$5=$E104+1,$C104,""),"")</f>
        <v/>
      </c>
      <c r="AG104" s="34">
        <f>IF(AND(AG$5&gt;$E104,AG$5&lt;=$F104),IF(AG$5=$E104+1,$C104,""),"")</f>
        <v/>
      </c>
      <c r="AH104" s="34">
        <f>IF(AND(AH$5&gt;$E104,AH$5&lt;=$F104),IF(AH$5=$E104+1,$C104,""),"")</f>
        <v/>
      </c>
      <c r="AI104" s="34">
        <f>IF(AND(AI$5&gt;$E104,AI$5&lt;=$F104),IF(AI$5=$E104+1,$C104,""),"")</f>
        <v/>
      </c>
      <c r="AJ104" s="34">
        <f>IF(AND(AJ$5&gt;$E104,AJ$5&lt;=$F104),IF(AJ$5=$E104+1,$C104,""),"")</f>
        <v/>
      </c>
      <c r="AK104" s="34">
        <f>IF(AND(AK$5&gt;$E104,AK$5&lt;=$F104),IF(AK$5=$E104+1,$C104,""),"")</f>
        <v/>
      </c>
      <c r="AL104" s="34">
        <f>IF(AND(AL$5&gt;$E104,AL$5&lt;=$F104),IF(AL$5=$E104+1,$C104,""),"")</f>
        <v/>
      </c>
      <c r="AM104" s="34">
        <f>IF(AND(AM$5&gt;$E104,AM$5&lt;=$F104),IF(AM$5=$E104+1,$C104,""),"")</f>
        <v/>
      </c>
      <c r="AN104" s="34">
        <f>IF(AND(AN$5&gt;$E104,AN$5&lt;=$F104),IF(AN$5=$E104+1,$C104,""),"")</f>
        <v/>
      </c>
      <c r="AO104" s="34">
        <f>IF(AND(AO$5&gt;$E104,AO$5&lt;=$F104),IF(AO$5=$E104+1,$C104,""),"")</f>
        <v/>
      </c>
      <c r="AP104" s="34">
        <f>IF(AND(AP$5&gt;$E104,AP$5&lt;=$F104),IF(AP$5=$E104+1,$C104,""),"")</f>
        <v/>
      </c>
      <c r="AQ104" s="34">
        <f>IF(AND(AQ$5&gt;$E104,AQ$5&lt;=$F104),IF(AQ$5=$E104+1,$C104,""),"")</f>
        <v/>
      </c>
      <c r="AR104" s="34">
        <f>IF(AND(AR$5&gt;$E104,AR$5&lt;=$F104),IF(AR$5=$E104+1,$C104,""),"")</f>
        <v/>
      </c>
      <c r="AS104" s="34">
        <f>IF(AND(AS$5&gt;$E104,AS$5&lt;=$F104),IF(AS$5=$E104+1,$C104,""),"")</f>
        <v/>
      </c>
      <c r="AT104" s="34">
        <f>IF(AND(AT$5&gt;$E104,AT$5&lt;=$F104),IF(AT$5=$E104+1,$C104,""),"")</f>
        <v/>
      </c>
      <c r="AU104" s="34">
        <f>IF(AND(AU$5&gt;$E104,AU$5&lt;=$F104),IF(AU$5=$E104+1,$C104,""),"")</f>
        <v/>
      </c>
      <c r="AV104" s="34">
        <f>IF(AND(AV$5&gt;$E104,AV$5&lt;=$F104),IF(AV$5=$E104+1,$C104,""),"")</f>
        <v/>
      </c>
      <c r="AW104" s="34">
        <f>IF(AND(AW$5&gt;$E104,AW$5&lt;=$F104),IF(AW$5=$E104+1,$C104,""),"")</f>
        <v/>
      </c>
      <c r="AX104" s="34">
        <f>IF(AND(AX$5&gt;$E104,AX$5&lt;=$F104),IF(AX$5=$E104+1,$C104,""),"")</f>
        <v/>
      </c>
      <c r="AY104" s="34">
        <f>IF(AND(AY$5&gt;$E104,AY$5&lt;=$F104),IF(AY$5=$E104+1,$C104,""),"")</f>
        <v/>
      </c>
      <c r="AZ104" s="34">
        <f>IF(AND(AZ$5&gt;$E104,AZ$5&lt;=$F104),IF(AZ$5=$E104+1,$C104,""),"")</f>
        <v/>
      </c>
      <c r="BA104" s="34">
        <f>IF(AND(BA$5&gt;$E104,BA$5&lt;=$F104),IF(BA$5=$E104+1,$C104,""),"")</f>
        <v/>
      </c>
      <c r="BB104" s="34">
        <f>IF(AND(BB$5&gt;$E104,BB$5&lt;=$F104),IF(BB$5=$E104+1,$C104,""),"")</f>
        <v/>
      </c>
      <c r="BC104" s="34">
        <f>IF(AND(BC$5&gt;$E104,BC$5&lt;=$F104),IF(BC$5=$E104+1,$C104,""),"")</f>
        <v/>
      </c>
      <c r="BD104" s="34">
        <f>IF(AND(BD$5&gt;$E104,BD$5&lt;=$F104),IF(BD$5=$E104+1,$C104,""),"")</f>
        <v/>
      </c>
      <c r="BE104" s="34">
        <f>IF(AND(BE$5&gt;$E104,BE$5&lt;=$F104),IF(BE$5=$E104+1,$C104,""),"")</f>
        <v/>
      </c>
      <c r="BF104" s="34">
        <f>IF(AND(BF$5&gt;$E104,BF$5&lt;=$F104),IF(BF$5=$E104+1,$C104,""),"")</f>
        <v/>
      </c>
      <c r="BG104" s="34">
        <f>IF(AND(BG$5&gt;$E104,BG$5&lt;=$F104),IF(BG$5=$E104+1,$C104,""),"")</f>
        <v/>
      </c>
      <c r="BH104" s="34">
        <f>IF(AND(BH$5&gt;$E104,BH$5&lt;=$F104),IF(BH$5=$E104+1,$C104,""),"")</f>
        <v/>
      </c>
      <c r="BI104" s="34">
        <f>IF(AND(BI$5&gt;$E104,BI$5&lt;=$F104),IF(BI$5=$E104+1,$C104,""),"")</f>
        <v/>
      </c>
      <c r="BJ104" s="34">
        <f>IF(AND(BJ$5&gt;$E104,BJ$5&lt;=$F104),IF(BJ$5=$E104+1,$C104,""),"")</f>
        <v/>
      </c>
      <c r="BK104" s="34">
        <f>IF(AND(BK$5&gt;$E104,BK$5&lt;=$F104),IF(BK$5=$E104+1,$C104,""),"")</f>
        <v/>
      </c>
      <c r="BL104" s="34">
        <f>IF(AND(BL$5&gt;$E104,BL$5&lt;=$F104),IF(BL$5=$E104+1,$C104,""),"")</f>
        <v/>
      </c>
      <c r="BM104" s="34">
        <f>IF(AND(BM$5&gt;$E104,BM$5&lt;=$F104),IF(BM$5=$E104+1,$C104,""),"")</f>
        <v/>
      </c>
      <c r="BN104" s="34">
        <f>IF(AND(BN$5&gt;$E104,BN$5&lt;=$F104),IF(BN$5=$E104+1,$C104,""),"")</f>
        <v/>
      </c>
      <c r="BO104" s="34">
        <f>IF(AND(BO$5&gt;$E104,BO$5&lt;=$F104),IF(BO$5=$E104+1,$C104,""),"")</f>
        <v/>
      </c>
      <c r="BP104" s="34">
        <f>IF(AND(BP$5&gt;$E104,BP$5&lt;=$F104),IF(BP$5=$E104+1,$C104,""),"")</f>
        <v/>
      </c>
      <c r="BQ104" s="34">
        <f>IF(AND(BQ$5&gt;$E104,BQ$5&lt;=$F104),IF(BQ$5=$E104+1,$C104,""),"")</f>
        <v/>
      </c>
      <c r="BR104" s="34">
        <f>IF(AND(BR$5&gt;$E104,BR$5&lt;=$F104),IF(BR$5=$E104+1,$C104,""),"")</f>
        <v/>
      </c>
      <c r="BS104" s="34">
        <f>IF(AND(BS$5&gt;$E104,BS$5&lt;=$F104),IF(BS$5=$E104+1,$C104,""),"")</f>
        <v/>
      </c>
      <c r="BT104" s="34">
        <f>IF(AND(BT$5&gt;$E104,BT$5&lt;=$F104),IF(BT$5=$E104+1,$C104,""),"")</f>
        <v/>
      </c>
      <c r="BU104" s="34">
        <f>IF(AND(BU$5&gt;$E104,BU$5&lt;=$F104),IF(BU$5=$E104+1,$C104,""),"")</f>
        <v/>
      </c>
      <c r="BV104" s="34">
        <f>IF(AND(BV$5&gt;$E104,BV$5&lt;=$F104),IF(BV$5=$E104+1,$C104,""),"")</f>
        <v/>
      </c>
      <c r="BW104" s="34">
        <f>IF(AND(BW$5&gt;$E104,BW$5&lt;=$F104),IF(BW$5=$E104+1,$C104,""),"")</f>
        <v/>
      </c>
      <c r="BX104" s="34">
        <f>IF(AND(BX$5&gt;$E104,BX$5&lt;=$F104),IF(BX$5=$E104+1,$C104,""),"")</f>
        <v/>
      </c>
      <c r="BY104" s="34">
        <f>IF(AND(BY$5&gt;$E104,BY$5&lt;=$F104),IF(BY$5=$E104+1,$C104,""),"")</f>
        <v/>
      </c>
      <c r="BZ104" s="34">
        <f>IF(AND(BZ$5&gt;$E104,BZ$5&lt;=$F104),IF(BZ$5=$E104+1,$C104,""),"")</f>
        <v/>
      </c>
      <c r="CA104" s="34">
        <f>IF(AND(CA$5&gt;$E104,CA$5&lt;=$F104),IF(CA$5=$E104+1,$C104,""),"")</f>
        <v/>
      </c>
      <c r="CB104" s="34">
        <f>IF(AND(CB$5&gt;$E104,CB$5&lt;=$F104),IF(CB$5=$E104+1,$C104,""),"")</f>
        <v/>
      </c>
      <c r="CC104" s="34">
        <f>IF(AND(CC$5&gt;$E104,CC$5&lt;=$F104),IF(CC$5=$E104+1,$C104,""),"")</f>
        <v/>
      </c>
      <c r="CD104" s="34">
        <f>IF(AND(CD$5&gt;$E104,CD$5&lt;=$F104),IF(CD$5=$E104+1,$C104,""),"")</f>
        <v/>
      </c>
      <c r="CE104" s="34">
        <f>IF(AND(CE$5&gt;$E104,CE$5&lt;=$F104),IF(CE$5=$E104+1,$C104,""),"")</f>
        <v/>
      </c>
      <c r="CF104" s="34">
        <f>IF(AND(CF$5&gt;$E104,CF$5&lt;=$F104),IF(CF$5=$E104+1,$C104,""),"")</f>
        <v/>
      </c>
      <c r="CG104" s="34">
        <f>IF(AND(CG$5&gt;$E104,CG$5&lt;=$F104),IF(CG$5=$E104+1,$C104,""),"")</f>
        <v/>
      </c>
      <c r="CH104" s="34">
        <f>IF(AND(CH$5&gt;$E104,CH$5&lt;=$F104),IF(CH$5=$E104+1,$C104,""),"")</f>
        <v/>
      </c>
      <c r="CI104" s="34">
        <f>IF(AND(CI$5&gt;$E104,CI$5&lt;=$F104),IF(CI$5=$E104+1,$C104,""),"")</f>
        <v/>
      </c>
      <c r="CJ104" s="34">
        <f>IF(AND(CJ$5&gt;$E104,CJ$5&lt;=$F104),IF(CJ$5=$E104+1,$C104,""),"")</f>
        <v/>
      </c>
      <c r="CK104" s="34">
        <f>IF(AND(CK$5&gt;$E104,CK$5&lt;=$F104),IF(CK$5=$E104+1,$C104,""),"")</f>
        <v/>
      </c>
      <c r="CL104" s="34">
        <f>IF(AND(CL$5&gt;$E104,CL$5&lt;=$F104),IF(CL$5=$E104+1,$C104,""),"")</f>
        <v/>
      </c>
      <c r="CM104" s="34">
        <f>IF(AND(CM$5&gt;$E104,CM$5&lt;=$F104),IF(CM$5=$E104+1,$C104,""),"")</f>
        <v/>
      </c>
      <c r="CN104" s="34">
        <f>IF(AND(CN$5&gt;$E104,CN$5&lt;=$F104),IF(CN$5=$E104+1,$C104,""),"")</f>
        <v/>
      </c>
      <c r="CO104" s="34">
        <f>IF(AND(CO$5&gt;$E104,CO$5&lt;=$F104),IF(CO$5=$E104+1,$C104,""),"")</f>
        <v/>
      </c>
      <c r="CP104" s="34">
        <f>IF(AND(CP$5&gt;$E104,CP$5&lt;=$F104),IF(CP$5=$E104+1,$C104,""),"")</f>
        <v/>
      </c>
      <c r="CQ104" s="34">
        <f>IF(AND(CQ$5&gt;$E104,CQ$5&lt;=$F104),IF(CQ$5=$E104+1,$C104,""),"")</f>
        <v/>
      </c>
      <c r="CR104" s="34">
        <f>IF(AND(CR$5&gt;$E104,CR$5&lt;=$F104),IF(CR$5=$E104+1,$C104,""),"")</f>
        <v/>
      </c>
      <c r="CS104" s="34">
        <f>IF(AND(CS$5&gt;$E104,CS$5&lt;=$F104),IF(CS$5=$E104+1,$C104,""),"")</f>
        <v/>
      </c>
      <c r="CT104" s="34">
        <f>IF(AND(CT$5&gt;$E104,CT$5&lt;=$F104),IF(CT$5=$E104+1,$C104,""),"")</f>
        <v/>
      </c>
      <c r="CU104" s="34">
        <f>IF(AND(CU$5&gt;$E104,CU$5&lt;=$F104),IF(CU$5=$E104+1,$C104,""),"")</f>
        <v/>
      </c>
      <c r="CV104" s="34">
        <f>IF(AND(CV$5&gt;$E104,CV$5&lt;=$F104),IF(CV$5=$E104+1,$C104,""),"")</f>
        <v/>
      </c>
      <c r="CW104" s="34">
        <f>IF(AND(CW$5&gt;$E104,CW$5&lt;=$F104),IF(CW$5=$E104+1,$C104,""),"")</f>
        <v/>
      </c>
      <c r="CX104" s="34">
        <f>IF(AND(CX$5&gt;$E104,CX$5&lt;=$F104),IF(CX$5=$E104+1,$C104,""),"")</f>
        <v/>
      </c>
      <c r="CY104" s="34">
        <f>IF(AND(CY$5&gt;$E104,CY$5&lt;=$F104),IF(CY$5=$E104+1,$C104,""),"")</f>
        <v/>
      </c>
      <c r="CZ104" s="34">
        <f>IF(AND(CZ$5&gt;$E104,CZ$5&lt;=$F104),IF(CZ$5=$E104+1,$C104,""),"")</f>
        <v/>
      </c>
      <c r="DA104" s="34">
        <f>IF(AND(DA$5&gt;$E104,DA$5&lt;=$F104),IF(DA$5=$E104+1,$C104,""),"")</f>
        <v/>
      </c>
      <c r="DB104" s="34">
        <f>IF(AND(DB$5&gt;$E104,DB$5&lt;=$F104),IF(DB$5=$E104+1,$C104,""),"")</f>
        <v/>
      </c>
      <c r="DC104" s="34">
        <f>IF(AND(DC$5&gt;$E104,DC$5&lt;=$F104),IF(DC$5=$E104+1,$C104,""),"")</f>
        <v/>
      </c>
      <c r="DD104" s="34">
        <f>IF(AND(DD$5&gt;$E104,DD$5&lt;=$F104),IF(DD$5=$E104+1,$C104,""),"")</f>
        <v/>
      </c>
      <c r="DE104" s="34">
        <f>IF(AND(DE$5&gt;$E104,DE$5&lt;=$F104),IF(DE$5=$E104+1,$C104,""),"")</f>
        <v/>
      </c>
      <c r="DF104" s="34">
        <f>IF(AND(DF$5&gt;$E104,DF$5&lt;=$F104),IF(DF$5=$E104+1,$C104,""),"")</f>
        <v/>
      </c>
      <c r="DG104" s="34">
        <f>IF(AND(DG$5&gt;$E104,DG$5&lt;=$F104),IF(DG$5=$E104+1,$C104,""),"")</f>
        <v/>
      </c>
      <c r="DH104" s="34">
        <f>IF(AND(DH$5&gt;$E104,DH$5&lt;=$F104),IF(DH$5=$E104+1,$C104,""),"")</f>
        <v/>
      </c>
      <c r="DI104" s="34">
        <f>IF(AND(DI$5&gt;$E104,DI$5&lt;=$F104),IF(DI$5=$E104+1,$C104,""),"")</f>
        <v/>
      </c>
      <c r="DJ104" s="34">
        <f>IF(AND(DJ$5&gt;$E104,DJ$5&lt;=$F104),IF(DJ$5=$E104+1,$C104,""),"")</f>
        <v/>
      </c>
      <c r="DK104" s="34">
        <f>IF(AND(DK$5&gt;$E104,DK$5&lt;=$F104),IF(DK$5=$E104+1,$C104,""),"")</f>
        <v/>
      </c>
      <c r="DL104" s="34">
        <f>IF(AND(DL$5&gt;$E104,DL$5&lt;=$F104),IF(DL$5=$E104+1,$C104,""),"")</f>
        <v/>
      </c>
      <c r="DM104" s="34">
        <f>IF(AND(DM$5&gt;$E104,DM$5&lt;=$F104),IF(DM$5=$E104+1,$C104,""),"")</f>
        <v/>
      </c>
      <c r="DN104" s="34">
        <f>IF(AND(DN$5&gt;$E104,DN$5&lt;=$F104),IF(DN$5=$E104+1,$C104,""),"")</f>
        <v/>
      </c>
      <c r="DO104" s="34">
        <f>IF(AND(DO$5&gt;$E104,DO$5&lt;=$F104),IF(DO$5=$E104+1,$C104,""),"")</f>
        <v/>
      </c>
      <c r="DP104" s="34">
        <f>IF(AND(DP$5&gt;$E104,DP$5&lt;=$F104),IF(DP$5=$E104+1,$C104,""),"")</f>
        <v/>
      </c>
      <c r="DQ104" s="34">
        <f>IF(AND(DQ$5&gt;$E104,DQ$5&lt;=$F104),IF(DQ$5=$E104+1,$C104,""),"")</f>
        <v/>
      </c>
      <c r="DR104" s="34">
        <f>IF(AND(DR$5&gt;$E104,DR$5&lt;=$F104),IF(DR$5=$E104+1,$C104,""),"")</f>
        <v/>
      </c>
      <c r="DS104" s="34">
        <f>IF(AND(DS$5&gt;$E104,DS$5&lt;=$F104),IF(DS$5=$E104+1,$C104,""),"")</f>
        <v/>
      </c>
      <c r="DT104" s="34">
        <f>IF(AND(DT$5&gt;$E104,DT$5&lt;=$F104),IF(DT$5=$E104+1,$C104,""),"")</f>
        <v/>
      </c>
      <c r="DU104" s="34">
        <f>IF(AND(DU$5&gt;$E104,DU$5&lt;=$F104),IF(DU$5=$E104+1,$C104,""),"")</f>
        <v/>
      </c>
      <c r="DV104" s="34">
        <f>IF(AND(DV$5&gt;$E104,DV$5&lt;=$F104),IF(DV$5=$E104+1,$C104,""),"")</f>
        <v/>
      </c>
      <c r="DW104" s="34">
        <f>IF(AND(DW$5&gt;$E104,DW$5&lt;=$F104),IF(DW$5=$E104+1,$C104,""),"")</f>
        <v/>
      </c>
      <c r="DX104" s="34">
        <f>IF(AND(DX$5&gt;$E104,DX$5&lt;=$F104),IF(DX$5=$E104+1,$C104,""),"")</f>
        <v/>
      </c>
      <c r="DY104" s="34">
        <f>IF(AND(DY$5&gt;$E104,DY$5&lt;=$F104),IF(DY$5=$E104+1,$C104,""),"")</f>
        <v/>
      </c>
      <c r="DZ104" s="34">
        <f>IF(AND(DZ$5&gt;$E104,DZ$5&lt;=$F104),IF(DZ$5=$E104+1,$C104,""),"")</f>
        <v/>
      </c>
      <c r="EA104" s="34">
        <f>IF(AND(EA$5&gt;$E104,EA$5&lt;=$F104),IF(EA$5=$E104+1,$C104,""),"")</f>
        <v/>
      </c>
      <c r="EB104" s="34">
        <f>IF(AND(EB$5&gt;$E104,EB$5&lt;=$F104),IF(EB$5=$E104+1,$C104,""),"")</f>
        <v/>
      </c>
      <c r="EC104" s="34">
        <f>IF(AND(EC$5&gt;$E104,EC$5&lt;=$F104),IF(EC$5=$E104+1,$C104,""),"")</f>
        <v/>
      </c>
      <c r="ED104" s="34">
        <f>IF(AND(ED$5&gt;$E104,ED$5&lt;=$F104),IF(ED$5=$E104+1,$C104,""),"")</f>
        <v/>
      </c>
      <c r="EE104" s="34">
        <f>IF(AND(EE$5&gt;$E104,EE$5&lt;=$F104),IF(EE$5=$E104+1,$C104,""),"")</f>
        <v/>
      </c>
      <c r="EF104" s="34">
        <f>IF(AND(EF$5&gt;$E104,EF$5&lt;=$F104),IF(EF$5=$E104+1,$C104,""),"")</f>
        <v/>
      </c>
      <c r="EG104" s="34">
        <f>IF(AND(EG$5&gt;$E104,EG$5&lt;=$F104),IF(EG$5=$E104+1,$C104,""),"")</f>
        <v/>
      </c>
    </row>
    <row r="105">
      <c r="A105" s="32">
        <f>Plan!A75</f>
        <v/>
      </c>
      <c r="B105" s="33">
        <f>Plan!C75</f>
        <v/>
      </c>
      <c r="C105" s="16">
        <f>Plan!D75</f>
        <v/>
      </c>
      <c r="D105" s="16">
        <f>Plan!I75</f>
        <v/>
      </c>
      <c r="E105" s="16">
        <f>Plan!K75</f>
        <v/>
      </c>
      <c r="F105" s="16">
        <f>Plan!L75</f>
        <v/>
      </c>
      <c r="G105" s="16">
        <f>Plan!O75</f>
        <v/>
      </c>
      <c r="H105" s="34">
        <f>IF(AND(H$5&gt;$E105,H$5&lt;=$F105),IF(H$5=$E105+1,$C105,""),"")</f>
        <v/>
      </c>
      <c r="I105" s="34">
        <f>IF(AND(I$5&gt;$E105,I$5&lt;=$F105),IF(I$5=$E105+1,$C105,""),"")</f>
        <v/>
      </c>
      <c r="J105" s="34">
        <f>IF(AND(J$5&gt;$E105,J$5&lt;=$F105),IF(J$5=$E105+1,$C105,""),"")</f>
        <v/>
      </c>
      <c r="K105" s="34">
        <f>IF(AND(K$5&gt;$E105,K$5&lt;=$F105),IF(K$5=$E105+1,$C105,""),"")</f>
        <v/>
      </c>
      <c r="L105" s="34">
        <f>IF(AND(L$5&gt;$E105,L$5&lt;=$F105),IF(L$5=$E105+1,$C105,""),"")</f>
        <v/>
      </c>
      <c r="M105" s="34">
        <f>IF(AND(M$5&gt;$E105,M$5&lt;=$F105),IF(M$5=$E105+1,$C105,""),"")</f>
        <v/>
      </c>
      <c r="N105" s="34">
        <f>IF(AND(N$5&gt;$E105,N$5&lt;=$F105),IF(N$5=$E105+1,$C105,""),"")</f>
        <v/>
      </c>
      <c r="O105" s="34">
        <f>IF(AND(O$5&gt;$E105,O$5&lt;=$F105),IF(O$5=$E105+1,$C105,""),"")</f>
        <v/>
      </c>
      <c r="P105" s="34">
        <f>IF(AND(P$5&gt;$E105,P$5&lt;=$F105),IF(P$5=$E105+1,$C105,""),"")</f>
        <v/>
      </c>
      <c r="Q105" s="34">
        <f>IF(AND(Q$5&gt;$E105,Q$5&lt;=$F105),IF(Q$5=$E105+1,$C105,""),"")</f>
        <v/>
      </c>
      <c r="R105" s="34">
        <f>IF(AND(R$5&gt;$E105,R$5&lt;=$F105),IF(R$5=$E105+1,$C105,""),"")</f>
        <v/>
      </c>
      <c r="S105" s="34">
        <f>IF(AND(S$5&gt;$E105,S$5&lt;=$F105),IF(S$5=$E105+1,$C105,""),"")</f>
        <v/>
      </c>
      <c r="T105" s="34">
        <f>IF(AND(T$5&gt;$E105,T$5&lt;=$F105),IF(T$5=$E105+1,$C105,""),"")</f>
        <v/>
      </c>
      <c r="U105" s="34">
        <f>IF(AND(U$5&gt;$E105,U$5&lt;=$F105),IF(U$5=$E105+1,$C105,""),"")</f>
        <v/>
      </c>
      <c r="V105" s="34">
        <f>IF(AND(V$5&gt;$E105,V$5&lt;=$F105),IF(V$5=$E105+1,$C105,""),"")</f>
        <v/>
      </c>
      <c r="W105" s="34">
        <f>IF(AND(W$5&gt;$E105,W$5&lt;=$F105),IF(W$5=$E105+1,$C105,""),"")</f>
        <v/>
      </c>
      <c r="X105" s="34">
        <f>IF(AND(X$5&gt;$E105,X$5&lt;=$F105),IF(X$5=$E105+1,$C105,""),"")</f>
        <v/>
      </c>
      <c r="Y105" s="34">
        <f>IF(AND(Y$5&gt;$E105,Y$5&lt;=$F105),IF(Y$5=$E105+1,$C105,""),"")</f>
        <v/>
      </c>
      <c r="Z105" s="34">
        <f>IF(AND(Z$5&gt;$E105,Z$5&lt;=$F105),IF(Z$5=$E105+1,$C105,""),"")</f>
        <v/>
      </c>
      <c r="AA105" s="34">
        <f>IF(AND(AA$5&gt;$E105,AA$5&lt;=$F105),IF(AA$5=$E105+1,$C105,""),"")</f>
        <v/>
      </c>
      <c r="AB105" s="34">
        <f>IF(AND(AB$5&gt;$E105,AB$5&lt;=$F105),IF(AB$5=$E105+1,$C105,""),"")</f>
        <v/>
      </c>
      <c r="AC105" s="34">
        <f>IF(AND(AC$5&gt;$E105,AC$5&lt;=$F105),IF(AC$5=$E105+1,$C105,""),"")</f>
        <v/>
      </c>
      <c r="AD105" s="34">
        <f>IF(AND(AD$5&gt;$E105,AD$5&lt;=$F105),IF(AD$5=$E105+1,$C105,""),"")</f>
        <v/>
      </c>
      <c r="AE105" s="34">
        <f>IF(AND(AE$5&gt;$E105,AE$5&lt;=$F105),IF(AE$5=$E105+1,$C105,""),"")</f>
        <v/>
      </c>
      <c r="AF105" s="34">
        <f>IF(AND(AF$5&gt;$E105,AF$5&lt;=$F105),IF(AF$5=$E105+1,$C105,""),"")</f>
        <v/>
      </c>
      <c r="AG105" s="34">
        <f>IF(AND(AG$5&gt;$E105,AG$5&lt;=$F105),IF(AG$5=$E105+1,$C105,""),"")</f>
        <v/>
      </c>
      <c r="AH105" s="34">
        <f>IF(AND(AH$5&gt;$E105,AH$5&lt;=$F105),IF(AH$5=$E105+1,$C105,""),"")</f>
        <v/>
      </c>
      <c r="AI105" s="34">
        <f>IF(AND(AI$5&gt;$E105,AI$5&lt;=$F105),IF(AI$5=$E105+1,$C105,""),"")</f>
        <v/>
      </c>
      <c r="AJ105" s="34">
        <f>IF(AND(AJ$5&gt;$E105,AJ$5&lt;=$F105),IF(AJ$5=$E105+1,$C105,""),"")</f>
        <v/>
      </c>
      <c r="AK105" s="34">
        <f>IF(AND(AK$5&gt;$E105,AK$5&lt;=$F105),IF(AK$5=$E105+1,$C105,""),"")</f>
        <v/>
      </c>
      <c r="AL105" s="34">
        <f>IF(AND(AL$5&gt;$E105,AL$5&lt;=$F105),IF(AL$5=$E105+1,$C105,""),"")</f>
        <v/>
      </c>
      <c r="AM105" s="34">
        <f>IF(AND(AM$5&gt;$E105,AM$5&lt;=$F105),IF(AM$5=$E105+1,$C105,""),"")</f>
        <v/>
      </c>
      <c r="AN105" s="34">
        <f>IF(AND(AN$5&gt;$E105,AN$5&lt;=$F105),IF(AN$5=$E105+1,$C105,""),"")</f>
        <v/>
      </c>
      <c r="AO105" s="34">
        <f>IF(AND(AO$5&gt;$E105,AO$5&lt;=$F105),IF(AO$5=$E105+1,$C105,""),"")</f>
        <v/>
      </c>
      <c r="AP105" s="34">
        <f>IF(AND(AP$5&gt;$E105,AP$5&lt;=$F105),IF(AP$5=$E105+1,$C105,""),"")</f>
        <v/>
      </c>
      <c r="AQ105" s="34">
        <f>IF(AND(AQ$5&gt;$E105,AQ$5&lt;=$F105),IF(AQ$5=$E105+1,$C105,""),"")</f>
        <v/>
      </c>
      <c r="AR105" s="34">
        <f>IF(AND(AR$5&gt;$E105,AR$5&lt;=$F105),IF(AR$5=$E105+1,$C105,""),"")</f>
        <v/>
      </c>
      <c r="AS105" s="34">
        <f>IF(AND(AS$5&gt;$E105,AS$5&lt;=$F105),IF(AS$5=$E105+1,$C105,""),"")</f>
        <v/>
      </c>
      <c r="AT105" s="34">
        <f>IF(AND(AT$5&gt;$E105,AT$5&lt;=$F105),IF(AT$5=$E105+1,$C105,""),"")</f>
        <v/>
      </c>
      <c r="AU105" s="34">
        <f>IF(AND(AU$5&gt;$E105,AU$5&lt;=$F105),IF(AU$5=$E105+1,$C105,""),"")</f>
        <v/>
      </c>
      <c r="AV105" s="34">
        <f>IF(AND(AV$5&gt;$E105,AV$5&lt;=$F105),IF(AV$5=$E105+1,$C105,""),"")</f>
        <v/>
      </c>
      <c r="AW105" s="34">
        <f>IF(AND(AW$5&gt;$E105,AW$5&lt;=$F105),IF(AW$5=$E105+1,$C105,""),"")</f>
        <v/>
      </c>
      <c r="AX105" s="34">
        <f>IF(AND(AX$5&gt;$E105,AX$5&lt;=$F105),IF(AX$5=$E105+1,$C105,""),"")</f>
        <v/>
      </c>
      <c r="AY105" s="34">
        <f>IF(AND(AY$5&gt;$E105,AY$5&lt;=$F105),IF(AY$5=$E105+1,$C105,""),"")</f>
        <v/>
      </c>
      <c r="AZ105" s="34">
        <f>IF(AND(AZ$5&gt;$E105,AZ$5&lt;=$F105),IF(AZ$5=$E105+1,$C105,""),"")</f>
        <v/>
      </c>
      <c r="BA105" s="34">
        <f>IF(AND(BA$5&gt;$E105,BA$5&lt;=$F105),IF(BA$5=$E105+1,$C105,""),"")</f>
        <v/>
      </c>
      <c r="BB105" s="34">
        <f>IF(AND(BB$5&gt;$E105,BB$5&lt;=$F105),IF(BB$5=$E105+1,$C105,""),"")</f>
        <v/>
      </c>
      <c r="BC105" s="34">
        <f>IF(AND(BC$5&gt;$E105,BC$5&lt;=$F105),IF(BC$5=$E105+1,$C105,""),"")</f>
        <v/>
      </c>
      <c r="BD105" s="34">
        <f>IF(AND(BD$5&gt;$E105,BD$5&lt;=$F105),IF(BD$5=$E105+1,$C105,""),"")</f>
        <v/>
      </c>
      <c r="BE105" s="34">
        <f>IF(AND(BE$5&gt;$E105,BE$5&lt;=$F105),IF(BE$5=$E105+1,$C105,""),"")</f>
        <v/>
      </c>
      <c r="BF105" s="34">
        <f>IF(AND(BF$5&gt;$E105,BF$5&lt;=$F105),IF(BF$5=$E105+1,$C105,""),"")</f>
        <v/>
      </c>
      <c r="BG105" s="34">
        <f>IF(AND(BG$5&gt;$E105,BG$5&lt;=$F105),IF(BG$5=$E105+1,$C105,""),"")</f>
        <v/>
      </c>
      <c r="BH105" s="34">
        <f>IF(AND(BH$5&gt;$E105,BH$5&lt;=$F105),IF(BH$5=$E105+1,$C105,""),"")</f>
        <v/>
      </c>
      <c r="BI105" s="34">
        <f>IF(AND(BI$5&gt;$E105,BI$5&lt;=$F105),IF(BI$5=$E105+1,$C105,""),"")</f>
        <v/>
      </c>
      <c r="BJ105" s="34">
        <f>IF(AND(BJ$5&gt;$E105,BJ$5&lt;=$F105),IF(BJ$5=$E105+1,$C105,""),"")</f>
        <v/>
      </c>
      <c r="BK105" s="34">
        <f>IF(AND(BK$5&gt;$E105,BK$5&lt;=$F105),IF(BK$5=$E105+1,$C105,""),"")</f>
        <v/>
      </c>
      <c r="BL105" s="34">
        <f>IF(AND(BL$5&gt;$E105,BL$5&lt;=$F105),IF(BL$5=$E105+1,$C105,""),"")</f>
        <v/>
      </c>
      <c r="BM105" s="34">
        <f>IF(AND(BM$5&gt;$E105,BM$5&lt;=$F105),IF(BM$5=$E105+1,$C105,""),"")</f>
        <v/>
      </c>
      <c r="BN105" s="34">
        <f>IF(AND(BN$5&gt;$E105,BN$5&lt;=$F105),IF(BN$5=$E105+1,$C105,""),"")</f>
        <v/>
      </c>
      <c r="BO105" s="34">
        <f>IF(AND(BO$5&gt;$E105,BO$5&lt;=$F105),IF(BO$5=$E105+1,$C105,""),"")</f>
        <v/>
      </c>
      <c r="BP105" s="34">
        <f>IF(AND(BP$5&gt;$E105,BP$5&lt;=$F105),IF(BP$5=$E105+1,$C105,""),"")</f>
        <v/>
      </c>
      <c r="BQ105" s="34">
        <f>IF(AND(BQ$5&gt;$E105,BQ$5&lt;=$F105),IF(BQ$5=$E105+1,$C105,""),"")</f>
        <v/>
      </c>
      <c r="BR105" s="34">
        <f>IF(AND(BR$5&gt;$E105,BR$5&lt;=$F105),IF(BR$5=$E105+1,$C105,""),"")</f>
        <v/>
      </c>
      <c r="BS105" s="34">
        <f>IF(AND(BS$5&gt;$E105,BS$5&lt;=$F105),IF(BS$5=$E105+1,$C105,""),"")</f>
        <v/>
      </c>
      <c r="BT105" s="34">
        <f>IF(AND(BT$5&gt;$E105,BT$5&lt;=$F105),IF(BT$5=$E105+1,$C105,""),"")</f>
        <v/>
      </c>
      <c r="BU105" s="34">
        <f>IF(AND(BU$5&gt;$E105,BU$5&lt;=$F105),IF(BU$5=$E105+1,$C105,""),"")</f>
        <v/>
      </c>
      <c r="BV105" s="34">
        <f>IF(AND(BV$5&gt;$E105,BV$5&lt;=$F105),IF(BV$5=$E105+1,$C105,""),"")</f>
        <v/>
      </c>
      <c r="BW105" s="34">
        <f>IF(AND(BW$5&gt;$E105,BW$5&lt;=$F105),IF(BW$5=$E105+1,$C105,""),"")</f>
        <v/>
      </c>
      <c r="BX105" s="34">
        <f>IF(AND(BX$5&gt;$E105,BX$5&lt;=$F105),IF(BX$5=$E105+1,$C105,""),"")</f>
        <v/>
      </c>
      <c r="BY105" s="34">
        <f>IF(AND(BY$5&gt;$E105,BY$5&lt;=$F105),IF(BY$5=$E105+1,$C105,""),"")</f>
        <v/>
      </c>
      <c r="BZ105" s="34">
        <f>IF(AND(BZ$5&gt;$E105,BZ$5&lt;=$F105),IF(BZ$5=$E105+1,$C105,""),"")</f>
        <v/>
      </c>
      <c r="CA105" s="34">
        <f>IF(AND(CA$5&gt;$E105,CA$5&lt;=$F105),IF(CA$5=$E105+1,$C105,""),"")</f>
        <v/>
      </c>
      <c r="CB105" s="34">
        <f>IF(AND(CB$5&gt;$E105,CB$5&lt;=$F105),IF(CB$5=$E105+1,$C105,""),"")</f>
        <v/>
      </c>
      <c r="CC105" s="34">
        <f>IF(AND(CC$5&gt;$E105,CC$5&lt;=$F105),IF(CC$5=$E105+1,$C105,""),"")</f>
        <v/>
      </c>
      <c r="CD105" s="34">
        <f>IF(AND(CD$5&gt;$E105,CD$5&lt;=$F105),IF(CD$5=$E105+1,$C105,""),"")</f>
        <v/>
      </c>
      <c r="CE105" s="34">
        <f>IF(AND(CE$5&gt;$E105,CE$5&lt;=$F105),IF(CE$5=$E105+1,$C105,""),"")</f>
        <v/>
      </c>
      <c r="CF105" s="34">
        <f>IF(AND(CF$5&gt;$E105,CF$5&lt;=$F105),IF(CF$5=$E105+1,$C105,""),"")</f>
        <v/>
      </c>
      <c r="CG105" s="34">
        <f>IF(AND(CG$5&gt;$E105,CG$5&lt;=$F105),IF(CG$5=$E105+1,$C105,""),"")</f>
        <v/>
      </c>
      <c r="CH105" s="34">
        <f>IF(AND(CH$5&gt;$E105,CH$5&lt;=$F105),IF(CH$5=$E105+1,$C105,""),"")</f>
        <v/>
      </c>
      <c r="CI105" s="34">
        <f>IF(AND(CI$5&gt;$E105,CI$5&lt;=$F105),IF(CI$5=$E105+1,$C105,""),"")</f>
        <v/>
      </c>
      <c r="CJ105" s="34">
        <f>IF(AND(CJ$5&gt;$E105,CJ$5&lt;=$F105),IF(CJ$5=$E105+1,$C105,""),"")</f>
        <v/>
      </c>
      <c r="CK105" s="34">
        <f>IF(AND(CK$5&gt;$E105,CK$5&lt;=$F105),IF(CK$5=$E105+1,$C105,""),"")</f>
        <v/>
      </c>
      <c r="CL105" s="34">
        <f>IF(AND(CL$5&gt;$E105,CL$5&lt;=$F105),IF(CL$5=$E105+1,$C105,""),"")</f>
        <v/>
      </c>
      <c r="CM105" s="34">
        <f>IF(AND(CM$5&gt;$E105,CM$5&lt;=$F105),IF(CM$5=$E105+1,$C105,""),"")</f>
        <v/>
      </c>
      <c r="CN105" s="34">
        <f>IF(AND(CN$5&gt;$E105,CN$5&lt;=$F105),IF(CN$5=$E105+1,$C105,""),"")</f>
        <v/>
      </c>
      <c r="CO105" s="34">
        <f>IF(AND(CO$5&gt;$E105,CO$5&lt;=$F105),IF(CO$5=$E105+1,$C105,""),"")</f>
        <v/>
      </c>
      <c r="CP105" s="34">
        <f>IF(AND(CP$5&gt;$E105,CP$5&lt;=$F105),IF(CP$5=$E105+1,$C105,""),"")</f>
        <v/>
      </c>
      <c r="CQ105" s="34">
        <f>IF(AND(CQ$5&gt;$E105,CQ$5&lt;=$F105),IF(CQ$5=$E105+1,$C105,""),"")</f>
        <v/>
      </c>
      <c r="CR105" s="34">
        <f>IF(AND(CR$5&gt;$E105,CR$5&lt;=$F105),IF(CR$5=$E105+1,$C105,""),"")</f>
        <v/>
      </c>
      <c r="CS105" s="34">
        <f>IF(AND(CS$5&gt;$E105,CS$5&lt;=$F105),IF(CS$5=$E105+1,$C105,""),"")</f>
        <v/>
      </c>
      <c r="CT105" s="34">
        <f>IF(AND(CT$5&gt;$E105,CT$5&lt;=$F105),IF(CT$5=$E105+1,$C105,""),"")</f>
        <v/>
      </c>
      <c r="CU105" s="34">
        <f>IF(AND(CU$5&gt;$E105,CU$5&lt;=$F105),IF(CU$5=$E105+1,$C105,""),"")</f>
        <v/>
      </c>
      <c r="CV105" s="34">
        <f>IF(AND(CV$5&gt;$E105,CV$5&lt;=$F105),IF(CV$5=$E105+1,$C105,""),"")</f>
        <v/>
      </c>
      <c r="CW105" s="34">
        <f>IF(AND(CW$5&gt;$E105,CW$5&lt;=$F105),IF(CW$5=$E105+1,$C105,""),"")</f>
        <v/>
      </c>
      <c r="CX105" s="34">
        <f>IF(AND(CX$5&gt;$E105,CX$5&lt;=$F105),IF(CX$5=$E105+1,$C105,""),"")</f>
        <v/>
      </c>
      <c r="CY105" s="34">
        <f>IF(AND(CY$5&gt;$E105,CY$5&lt;=$F105),IF(CY$5=$E105+1,$C105,""),"")</f>
        <v/>
      </c>
      <c r="CZ105" s="34">
        <f>IF(AND(CZ$5&gt;$E105,CZ$5&lt;=$F105),IF(CZ$5=$E105+1,$C105,""),"")</f>
        <v/>
      </c>
      <c r="DA105" s="34">
        <f>IF(AND(DA$5&gt;$E105,DA$5&lt;=$F105),IF(DA$5=$E105+1,$C105,""),"")</f>
        <v/>
      </c>
      <c r="DB105" s="34">
        <f>IF(AND(DB$5&gt;$E105,DB$5&lt;=$F105),IF(DB$5=$E105+1,$C105,""),"")</f>
        <v/>
      </c>
      <c r="DC105" s="34">
        <f>IF(AND(DC$5&gt;$E105,DC$5&lt;=$F105),IF(DC$5=$E105+1,$C105,""),"")</f>
        <v/>
      </c>
      <c r="DD105" s="34">
        <f>IF(AND(DD$5&gt;$E105,DD$5&lt;=$F105),IF(DD$5=$E105+1,$C105,""),"")</f>
        <v/>
      </c>
      <c r="DE105" s="34">
        <f>IF(AND(DE$5&gt;$E105,DE$5&lt;=$F105),IF(DE$5=$E105+1,$C105,""),"")</f>
        <v/>
      </c>
      <c r="DF105" s="34">
        <f>IF(AND(DF$5&gt;$E105,DF$5&lt;=$F105),IF(DF$5=$E105+1,$C105,""),"")</f>
        <v/>
      </c>
      <c r="DG105" s="34">
        <f>IF(AND(DG$5&gt;$E105,DG$5&lt;=$F105),IF(DG$5=$E105+1,$C105,""),"")</f>
        <v/>
      </c>
      <c r="DH105" s="34">
        <f>IF(AND(DH$5&gt;$E105,DH$5&lt;=$F105),IF(DH$5=$E105+1,$C105,""),"")</f>
        <v/>
      </c>
      <c r="DI105" s="34">
        <f>IF(AND(DI$5&gt;$E105,DI$5&lt;=$F105),IF(DI$5=$E105+1,$C105,""),"")</f>
        <v/>
      </c>
      <c r="DJ105" s="34">
        <f>IF(AND(DJ$5&gt;$E105,DJ$5&lt;=$F105),IF(DJ$5=$E105+1,$C105,""),"")</f>
        <v/>
      </c>
      <c r="DK105" s="34">
        <f>IF(AND(DK$5&gt;$E105,DK$5&lt;=$F105),IF(DK$5=$E105+1,$C105,""),"")</f>
        <v/>
      </c>
      <c r="DL105" s="34">
        <f>IF(AND(DL$5&gt;$E105,DL$5&lt;=$F105),IF(DL$5=$E105+1,$C105,""),"")</f>
        <v/>
      </c>
      <c r="DM105" s="34">
        <f>IF(AND(DM$5&gt;$E105,DM$5&lt;=$F105),IF(DM$5=$E105+1,$C105,""),"")</f>
        <v/>
      </c>
      <c r="DN105" s="34">
        <f>IF(AND(DN$5&gt;$E105,DN$5&lt;=$F105),IF(DN$5=$E105+1,$C105,""),"")</f>
        <v/>
      </c>
      <c r="DO105" s="34">
        <f>IF(AND(DO$5&gt;$E105,DO$5&lt;=$F105),IF(DO$5=$E105+1,$C105,""),"")</f>
        <v/>
      </c>
      <c r="DP105" s="34">
        <f>IF(AND(DP$5&gt;$E105,DP$5&lt;=$F105),IF(DP$5=$E105+1,$C105,""),"")</f>
        <v/>
      </c>
      <c r="DQ105" s="34">
        <f>IF(AND(DQ$5&gt;$E105,DQ$5&lt;=$F105),IF(DQ$5=$E105+1,$C105,""),"")</f>
        <v/>
      </c>
      <c r="DR105" s="34">
        <f>IF(AND(DR$5&gt;$E105,DR$5&lt;=$F105),IF(DR$5=$E105+1,$C105,""),"")</f>
        <v/>
      </c>
      <c r="DS105" s="34">
        <f>IF(AND(DS$5&gt;$E105,DS$5&lt;=$F105),IF(DS$5=$E105+1,$C105,""),"")</f>
        <v/>
      </c>
      <c r="DT105" s="34">
        <f>IF(AND(DT$5&gt;$E105,DT$5&lt;=$F105),IF(DT$5=$E105+1,$C105,""),"")</f>
        <v/>
      </c>
      <c r="DU105" s="34">
        <f>IF(AND(DU$5&gt;$E105,DU$5&lt;=$F105),IF(DU$5=$E105+1,$C105,""),"")</f>
        <v/>
      </c>
      <c r="DV105" s="34">
        <f>IF(AND(DV$5&gt;$E105,DV$5&lt;=$F105),IF(DV$5=$E105+1,$C105,""),"")</f>
        <v/>
      </c>
      <c r="DW105" s="34">
        <f>IF(AND(DW$5&gt;$E105,DW$5&lt;=$F105),IF(DW$5=$E105+1,$C105,""),"")</f>
        <v/>
      </c>
      <c r="DX105" s="34">
        <f>IF(AND(DX$5&gt;$E105,DX$5&lt;=$F105),IF(DX$5=$E105+1,$C105,""),"")</f>
        <v/>
      </c>
      <c r="DY105" s="34">
        <f>IF(AND(DY$5&gt;$E105,DY$5&lt;=$F105),IF(DY$5=$E105+1,$C105,""),"")</f>
        <v/>
      </c>
      <c r="DZ105" s="34">
        <f>IF(AND(DZ$5&gt;$E105,DZ$5&lt;=$F105),IF(DZ$5=$E105+1,$C105,""),"")</f>
        <v/>
      </c>
      <c r="EA105" s="34">
        <f>IF(AND(EA$5&gt;$E105,EA$5&lt;=$F105),IF(EA$5=$E105+1,$C105,""),"")</f>
        <v/>
      </c>
      <c r="EB105" s="34">
        <f>IF(AND(EB$5&gt;$E105,EB$5&lt;=$F105),IF(EB$5=$E105+1,$C105,""),"")</f>
        <v/>
      </c>
      <c r="EC105" s="34">
        <f>IF(AND(EC$5&gt;$E105,EC$5&lt;=$F105),IF(EC$5=$E105+1,$C105,""),"")</f>
        <v/>
      </c>
      <c r="ED105" s="34">
        <f>IF(AND(ED$5&gt;$E105,ED$5&lt;=$F105),IF(ED$5=$E105+1,$C105,""),"")</f>
        <v/>
      </c>
      <c r="EE105" s="34">
        <f>IF(AND(EE$5&gt;$E105,EE$5&lt;=$F105),IF(EE$5=$E105+1,$C105,""),"")</f>
        <v/>
      </c>
      <c r="EF105" s="34">
        <f>IF(AND(EF$5&gt;$E105,EF$5&lt;=$F105),IF(EF$5=$E105+1,$C105,""),"")</f>
        <v/>
      </c>
      <c r="EG105" s="34">
        <f>IF(AND(EG$5&gt;$E105,EG$5&lt;=$F105),IF(EG$5=$E105+1,$C105,""),"")</f>
        <v/>
      </c>
    </row>
    <row r="106">
      <c r="A106" s="32">
        <f>Plan!A76</f>
        <v/>
      </c>
      <c r="B106" s="33">
        <f>Plan!C76</f>
        <v/>
      </c>
      <c r="C106" s="16">
        <f>Plan!D76</f>
        <v/>
      </c>
      <c r="D106" s="16">
        <f>Plan!I76</f>
        <v/>
      </c>
      <c r="E106" s="16">
        <f>Plan!K76</f>
        <v/>
      </c>
      <c r="F106" s="16">
        <f>Plan!L76</f>
        <v/>
      </c>
      <c r="G106" s="16">
        <f>Plan!O76</f>
        <v/>
      </c>
      <c r="H106" s="34">
        <f>IF(AND(H$5&gt;$E106,H$5&lt;=$F106),IF(H$5=$E106+1,$C106,""),"")</f>
        <v/>
      </c>
      <c r="I106" s="34">
        <f>IF(AND(I$5&gt;$E106,I$5&lt;=$F106),IF(I$5=$E106+1,$C106,""),"")</f>
        <v/>
      </c>
      <c r="J106" s="34">
        <f>IF(AND(J$5&gt;$E106,J$5&lt;=$F106),IF(J$5=$E106+1,$C106,""),"")</f>
        <v/>
      </c>
      <c r="K106" s="34">
        <f>IF(AND(K$5&gt;$E106,K$5&lt;=$F106),IF(K$5=$E106+1,$C106,""),"")</f>
        <v/>
      </c>
      <c r="L106" s="34">
        <f>IF(AND(L$5&gt;$E106,L$5&lt;=$F106),IF(L$5=$E106+1,$C106,""),"")</f>
        <v/>
      </c>
      <c r="M106" s="34">
        <f>IF(AND(M$5&gt;$E106,M$5&lt;=$F106),IF(M$5=$E106+1,$C106,""),"")</f>
        <v/>
      </c>
      <c r="N106" s="34">
        <f>IF(AND(N$5&gt;$E106,N$5&lt;=$F106),IF(N$5=$E106+1,$C106,""),"")</f>
        <v/>
      </c>
      <c r="O106" s="34">
        <f>IF(AND(O$5&gt;$E106,O$5&lt;=$F106),IF(O$5=$E106+1,$C106,""),"")</f>
        <v/>
      </c>
      <c r="P106" s="34">
        <f>IF(AND(P$5&gt;$E106,P$5&lt;=$F106),IF(P$5=$E106+1,$C106,""),"")</f>
        <v/>
      </c>
      <c r="Q106" s="34">
        <f>IF(AND(Q$5&gt;$E106,Q$5&lt;=$F106),IF(Q$5=$E106+1,$C106,""),"")</f>
        <v/>
      </c>
      <c r="R106" s="34">
        <f>IF(AND(R$5&gt;$E106,R$5&lt;=$F106),IF(R$5=$E106+1,$C106,""),"")</f>
        <v/>
      </c>
      <c r="S106" s="34">
        <f>IF(AND(S$5&gt;$E106,S$5&lt;=$F106),IF(S$5=$E106+1,$C106,""),"")</f>
        <v/>
      </c>
      <c r="T106" s="34">
        <f>IF(AND(T$5&gt;$E106,T$5&lt;=$F106),IF(T$5=$E106+1,$C106,""),"")</f>
        <v/>
      </c>
      <c r="U106" s="34">
        <f>IF(AND(U$5&gt;$E106,U$5&lt;=$F106),IF(U$5=$E106+1,$C106,""),"")</f>
        <v/>
      </c>
      <c r="V106" s="34">
        <f>IF(AND(V$5&gt;$E106,V$5&lt;=$F106),IF(V$5=$E106+1,$C106,""),"")</f>
        <v/>
      </c>
      <c r="W106" s="34">
        <f>IF(AND(W$5&gt;$E106,W$5&lt;=$F106),IF(W$5=$E106+1,$C106,""),"")</f>
        <v/>
      </c>
      <c r="X106" s="34">
        <f>IF(AND(X$5&gt;$E106,X$5&lt;=$F106),IF(X$5=$E106+1,$C106,""),"")</f>
        <v/>
      </c>
      <c r="Y106" s="34">
        <f>IF(AND(Y$5&gt;$E106,Y$5&lt;=$F106),IF(Y$5=$E106+1,$C106,""),"")</f>
        <v/>
      </c>
      <c r="Z106" s="34">
        <f>IF(AND(Z$5&gt;$E106,Z$5&lt;=$F106),IF(Z$5=$E106+1,$C106,""),"")</f>
        <v/>
      </c>
      <c r="AA106" s="34">
        <f>IF(AND(AA$5&gt;$E106,AA$5&lt;=$F106),IF(AA$5=$E106+1,$C106,""),"")</f>
        <v/>
      </c>
      <c r="AB106" s="34">
        <f>IF(AND(AB$5&gt;$E106,AB$5&lt;=$F106),IF(AB$5=$E106+1,$C106,""),"")</f>
        <v/>
      </c>
      <c r="AC106" s="34">
        <f>IF(AND(AC$5&gt;$E106,AC$5&lt;=$F106),IF(AC$5=$E106+1,$C106,""),"")</f>
        <v/>
      </c>
      <c r="AD106" s="34">
        <f>IF(AND(AD$5&gt;$E106,AD$5&lt;=$F106),IF(AD$5=$E106+1,$C106,""),"")</f>
        <v/>
      </c>
      <c r="AE106" s="34">
        <f>IF(AND(AE$5&gt;$E106,AE$5&lt;=$F106),IF(AE$5=$E106+1,$C106,""),"")</f>
        <v/>
      </c>
      <c r="AF106" s="34">
        <f>IF(AND(AF$5&gt;$E106,AF$5&lt;=$F106),IF(AF$5=$E106+1,$C106,""),"")</f>
        <v/>
      </c>
      <c r="AG106" s="34">
        <f>IF(AND(AG$5&gt;$E106,AG$5&lt;=$F106),IF(AG$5=$E106+1,$C106,""),"")</f>
        <v/>
      </c>
      <c r="AH106" s="34">
        <f>IF(AND(AH$5&gt;$E106,AH$5&lt;=$F106),IF(AH$5=$E106+1,$C106,""),"")</f>
        <v/>
      </c>
      <c r="AI106" s="34">
        <f>IF(AND(AI$5&gt;$E106,AI$5&lt;=$F106),IF(AI$5=$E106+1,$C106,""),"")</f>
        <v/>
      </c>
      <c r="AJ106" s="34">
        <f>IF(AND(AJ$5&gt;$E106,AJ$5&lt;=$F106),IF(AJ$5=$E106+1,$C106,""),"")</f>
        <v/>
      </c>
      <c r="AK106" s="34">
        <f>IF(AND(AK$5&gt;$E106,AK$5&lt;=$F106),IF(AK$5=$E106+1,$C106,""),"")</f>
        <v/>
      </c>
      <c r="AL106" s="34">
        <f>IF(AND(AL$5&gt;$E106,AL$5&lt;=$F106),IF(AL$5=$E106+1,$C106,""),"")</f>
        <v/>
      </c>
      <c r="AM106" s="34">
        <f>IF(AND(AM$5&gt;$E106,AM$5&lt;=$F106),IF(AM$5=$E106+1,$C106,""),"")</f>
        <v/>
      </c>
      <c r="AN106" s="34">
        <f>IF(AND(AN$5&gt;$E106,AN$5&lt;=$F106),IF(AN$5=$E106+1,$C106,""),"")</f>
        <v/>
      </c>
      <c r="AO106" s="34">
        <f>IF(AND(AO$5&gt;$E106,AO$5&lt;=$F106),IF(AO$5=$E106+1,$C106,""),"")</f>
        <v/>
      </c>
      <c r="AP106" s="34">
        <f>IF(AND(AP$5&gt;$E106,AP$5&lt;=$F106),IF(AP$5=$E106+1,$C106,""),"")</f>
        <v/>
      </c>
      <c r="AQ106" s="34">
        <f>IF(AND(AQ$5&gt;$E106,AQ$5&lt;=$F106),IF(AQ$5=$E106+1,$C106,""),"")</f>
        <v/>
      </c>
      <c r="AR106" s="34">
        <f>IF(AND(AR$5&gt;$E106,AR$5&lt;=$F106),IF(AR$5=$E106+1,$C106,""),"")</f>
        <v/>
      </c>
      <c r="AS106" s="34">
        <f>IF(AND(AS$5&gt;$E106,AS$5&lt;=$F106),IF(AS$5=$E106+1,$C106,""),"")</f>
        <v/>
      </c>
      <c r="AT106" s="34">
        <f>IF(AND(AT$5&gt;$E106,AT$5&lt;=$F106),IF(AT$5=$E106+1,$C106,""),"")</f>
        <v/>
      </c>
      <c r="AU106" s="34">
        <f>IF(AND(AU$5&gt;$E106,AU$5&lt;=$F106),IF(AU$5=$E106+1,$C106,""),"")</f>
        <v/>
      </c>
      <c r="AV106" s="34">
        <f>IF(AND(AV$5&gt;$E106,AV$5&lt;=$F106),IF(AV$5=$E106+1,$C106,""),"")</f>
        <v/>
      </c>
      <c r="AW106" s="34">
        <f>IF(AND(AW$5&gt;$E106,AW$5&lt;=$F106),IF(AW$5=$E106+1,$C106,""),"")</f>
        <v/>
      </c>
      <c r="AX106" s="34">
        <f>IF(AND(AX$5&gt;$E106,AX$5&lt;=$F106),IF(AX$5=$E106+1,$C106,""),"")</f>
        <v/>
      </c>
      <c r="AY106" s="34">
        <f>IF(AND(AY$5&gt;$E106,AY$5&lt;=$F106),IF(AY$5=$E106+1,$C106,""),"")</f>
        <v/>
      </c>
      <c r="AZ106" s="34">
        <f>IF(AND(AZ$5&gt;$E106,AZ$5&lt;=$F106),IF(AZ$5=$E106+1,$C106,""),"")</f>
        <v/>
      </c>
      <c r="BA106" s="34">
        <f>IF(AND(BA$5&gt;$E106,BA$5&lt;=$F106),IF(BA$5=$E106+1,$C106,""),"")</f>
        <v/>
      </c>
      <c r="BB106" s="34">
        <f>IF(AND(BB$5&gt;$E106,BB$5&lt;=$F106),IF(BB$5=$E106+1,$C106,""),"")</f>
        <v/>
      </c>
      <c r="BC106" s="34">
        <f>IF(AND(BC$5&gt;$E106,BC$5&lt;=$F106),IF(BC$5=$E106+1,$C106,""),"")</f>
        <v/>
      </c>
      <c r="BD106" s="34">
        <f>IF(AND(BD$5&gt;$E106,BD$5&lt;=$F106),IF(BD$5=$E106+1,$C106,""),"")</f>
        <v/>
      </c>
      <c r="BE106" s="34">
        <f>IF(AND(BE$5&gt;$E106,BE$5&lt;=$F106),IF(BE$5=$E106+1,$C106,""),"")</f>
        <v/>
      </c>
      <c r="BF106" s="34">
        <f>IF(AND(BF$5&gt;$E106,BF$5&lt;=$F106),IF(BF$5=$E106+1,$C106,""),"")</f>
        <v/>
      </c>
      <c r="BG106" s="34">
        <f>IF(AND(BG$5&gt;$E106,BG$5&lt;=$F106),IF(BG$5=$E106+1,$C106,""),"")</f>
        <v/>
      </c>
      <c r="BH106" s="34">
        <f>IF(AND(BH$5&gt;$E106,BH$5&lt;=$F106),IF(BH$5=$E106+1,$C106,""),"")</f>
        <v/>
      </c>
      <c r="BI106" s="34">
        <f>IF(AND(BI$5&gt;$E106,BI$5&lt;=$F106),IF(BI$5=$E106+1,$C106,""),"")</f>
        <v/>
      </c>
      <c r="BJ106" s="34">
        <f>IF(AND(BJ$5&gt;$E106,BJ$5&lt;=$F106),IF(BJ$5=$E106+1,$C106,""),"")</f>
        <v/>
      </c>
      <c r="BK106" s="34">
        <f>IF(AND(BK$5&gt;$E106,BK$5&lt;=$F106),IF(BK$5=$E106+1,$C106,""),"")</f>
        <v/>
      </c>
      <c r="BL106" s="34">
        <f>IF(AND(BL$5&gt;$E106,BL$5&lt;=$F106),IF(BL$5=$E106+1,$C106,""),"")</f>
        <v/>
      </c>
      <c r="BM106" s="34">
        <f>IF(AND(BM$5&gt;$E106,BM$5&lt;=$F106),IF(BM$5=$E106+1,$C106,""),"")</f>
        <v/>
      </c>
      <c r="BN106" s="34">
        <f>IF(AND(BN$5&gt;$E106,BN$5&lt;=$F106),IF(BN$5=$E106+1,$C106,""),"")</f>
        <v/>
      </c>
      <c r="BO106" s="34">
        <f>IF(AND(BO$5&gt;$E106,BO$5&lt;=$F106),IF(BO$5=$E106+1,$C106,""),"")</f>
        <v/>
      </c>
      <c r="BP106" s="34">
        <f>IF(AND(BP$5&gt;$E106,BP$5&lt;=$F106),IF(BP$5=$E106+1,$C106,""),"")</f>
        <v/>
      </c>
      <c r="BQ106" s="34">
        <f>IF(AND(BQ$5&gt;$E106,BQ$5&lt;=$F106),IF(BQ$5=$E106+1,$C106,""),"")</f>
        <v/>
      </c>
      <c r="BR106" s="34">
        <f>IF(AND(BR$5&gt;$E106,BR$5&lt;=$F106),IF(BR$5=$E106+1,$C106,""),"")</f>
        <v/>
      </c>
      <c r="BS106" s="34">
        <f>IF(AND(BS$5&gt;$E106,BS$5&lt;=$F106),IF(BS$5=$E106+1,$C106,""),"")</f>
        <v/>
      </c>
      <c r="BT106" s="34">
        <f>IF(AND(BT$5&gt;$E106,BT$5&lt;=$F106),IF(BT$5=$E106+1,$C106,""),"")</f>
        <v/>
      </c>
      <c r="BU106" s="34">
        <f>IF(AND(BU$5&gt;$E106,BU$5&lt;=$F106),IF(BU$5=$E106+1,$C106,""),"")</f>
        <v/>
      </c>
      <c r="BV106" s="34">
        <f>IF(AND(BV$5&gt;$E106,BV$5&lt;=$F106),IF(BV$5=$E106+1,$C106,""),"")</f>
        <v/>
      </c>
      <c r="BW106" s="34">
        <f>IF(AND(BW$5&gt;$E106,BW$5&lt;=$F106),IF(BW$5=$E106+1,$C106,""),"")</f>
        <v/>
      </c>
      <c r="BX106" s="34">
        <f>IF(AND(BX$5&gt;$E106,BX$5&lt;=$F106),IF(BX$5=$E106+1,$C106,""),"")</f>
        <v/>
      </c>
      <c r="BY106" s="34">
        <f>IF(AND(BY$5&gt;$E106,BY$5&lt;=$F106),IF(BY$5=$E106+1,$C106,""),"")</f>
        <v/>
      </c>
      <c r="BZ106" s="34">
        <f>IF(AND(BZ$5&gt;$E106,BZ$5&lt;=$F106),IF(BZ$5=$E106+1,$C106,""),"")</f>
        <v/>
      </c>
      <c r="CA106" s="34">
        <f>IF(AND(CA$5&gt;$E106,CA$5&lt;=$F106),IF(CA$5=$E106+1,$C106,""),"")</f>
        <v/>
      </c>
      <c r="CB106" s="34">
        <f>IF(AND(CB$5&gt;$E106,CB$5&lt;=$F106),IF(CB$5=$E106+1,$C106,""),"")</f>
        <v/>
      </c>
      <c r="CC106" s="34">
        <f>IF(AND(CC$5&gt;$E106,CC$5&lt;=$F106),IF(CC$5=$E106+1,$C106,""),"")</f>
        <v/>
      </c>
      <c r="CD106" s="34">
        <f>IF(AND(CD$5&gt;$E106,CD$5&lt;=$F106),IF(CD$5=$E106+1,$C106,""),"")</f>
        <v/>
      </c>
      <c r="CE106" s="34">
        <f>IF(AND(CE$5&gt;$E106,CE$5&lt;=$F106),IF(CE$5=$E106+1,$C106,""),"")</f>
        <v/>
      </c>
      <c r="CF106" s="34">
        <f>IF(AND(CF$5&gt;$E106,CF$5&lt;=$F106),IF(CF$5=$E106+1,$C106,""),"")</f>
        <v/>
      </c>
      <c r="CG106" s="34">
        <f>IF(AND(CG$5&gt;$E106,CG$5&lt;=$F106),IF(CG$5=$E106+1,$C106,""),"")</f>
        <v/>
      </c>
      <c r="CH106" s="34">
        <f>IF(AND(CH$5&gt;$E106,CH$5&lt;=$F106),IF(CH$5=$E106+1,$C106,""),"")</f>
        <v/>
      </c>
      <c r="CI106" s="34">
        <f>IF(AND(CI$5&gt;$E106,CI$5&lt;=$F106),IF(CI$5=$E106+1,$C106,""),"")</f>
        <v/>
      </c>
      <c r="CJ106" s="34">
        <f>IF(AND(CJ$5&gt;$E106,CJ$5&lt;=$F106),IF(CJ$5=$E106+1,$C106,""),"")</f>
        <v/>
      </c>
      <c r="CK106" s="34">
        <f>IF(AND(CK$5&gt;$E106,CK$5&lt;=$F106),IF(CK$5=$E106+1,$C106,""),"")</f>
        <v/>
      </c>
      <c r="CL106" s="34">
        <f>IF(AND(CL$5&gt;$E106,CL$5&lt;=$F106),IF(CL$5=$E106+1,$C106,""),"")</f>
        <v/>
      </c>
      <c r="CM106" s="34">
        <f>IF(AND(CM$5&gt;$E106,CM$5&lt;=$F106),IF(CM$5=$E106+1,$C106,""),"")</f>
        <v/>
      </c>
      <c r="CN106" s="34">
        <f>IF(AND(CN$5&gt;$E106,CN$5&lt;=$F106),IF(CN$5=$E106+1,$C106,""),"")</f>
        <v/>
      </c>
      <c r="CO106" s="34">
        <f>IF(AND(CO$5&gt;$E106,CO$5&lt;=$F106),IF(CO$5=$E106+1,$C106,""),"")</f>
        <v/>
      </c>
      <c r="CP106" s="34">
        <f>IF(AND(CP$5&gt;$E106,CP$5&lt;=$F106),IF(CP$5=$E106+1,$C106,""),"")</f>
        <v/>
      </c>
      <c r="CQ106" s="34">
        <f>IF(AND(CQ$5&gt;$E106,CQ$5&lt;=$F106),IF(CQ$5=$E106+1,$C106,""),"")</f>
        <v/>
      </c>
      <c r="CR106" s="34">
        <f>IF(AND(CR$5&gt;$E106,CR$5&lt;=$F106),IF(CR$5=$E106+1,$C106,""),"")</f>
        <v/>
      </c>
      <c r="CS106" s="34">
        <f>IF(AND(CS$5&gt;$E106,CS$5&lt;=$F106),IF(CS$5=$E106+1,$C106,""),"")</f>
        <v/>
      </c>
      <c r="CT106" s="34">
        <f>IF(AND(CT$5&gt;$E106,CT$5&lt;=$F106),IF(CT$5=$E106+1,$C106,""),"")</f>
        <v/>
      </c>
      <c r="CU106" s="34">
        <f>IF(AND(CU$5&gt;$E106,CU$5&lt;=$F106),IF(CU$5=$E106+1,$C106,""),"")</f>
        <v/>
      </c>
      <c r="CV106" s="34">
        <f>IF(AND(CV$5&gt;$E106,CV$5&lt;=$F106),IF(CV$5=$E106+1,$C106,""),"")</f>
        <v/>
      </c>
      <c r="CW106" s="34">
        <f>IF(AND(CW$5&gt;$E106,CW$5&lt;=$F106),IF(CW$5=$E106+1,$C106,""),"")</f>
        <v/>
      </c>
      <c r="CX106" s="34">
        <f>IF(AND(CX$5&gt;$E106,CX$5&lt;=$F106),IF(CX$5=$E106+1,$C106,""),"")</f>
        <v/>
      </c>
      <c r="CY106" s="34">
        <f>IF(AND(CY$5&gt;$E106,CY$5&lt;=$F106),IF(CY$5=$E106+1,$C106,""),"")</f>
        <v/>
      </c>
      <c r="CZ106" s="34">
        <f>IF(AND(CZ$5&gt;$E106,CZ$5&lt;=$F106),IF(CZ$5=$E106+1,$C106,""),"")</f>
        <v/>
      </c>
      <c r="DA106" s="34">
        <f>IF(AND(DA$5&gt;$E106,DA$5&lt;=$F106),IF(DA$5=$E106+1,$C106,""),"")</f>
        <v/>
      </c>
      <c r="DB106" s="34">
        <f>IF(AND(DB$5&gt;$E106,DB$5&lt;=$F106),IF(DB$5=$E106+1,$C106,""),"")</f>
        <v/>
      </c>
      <c r="DC106" s="34">
        <f>IF(AND(DC$5&gt;$E106,DC$5&lt;=$F106),IF(DC$5=$E106+1,$C106,""),"")</f>
        <v/>
      </c>
      <c r="DD106" s="34">
        <f>IF(AND(DD$5&gt;$E106,DD$5&lt;=$F106),IF(DD$5=$E106+1,$C106,""),"")</f>
        <v/>
      </c>
      <c r="DE106" s="34">
        <f>IF(AND(DE$5&gt;$E106,DE$5&lt;=$F106),IF(DE$5=$E106+1,$C106,""),"")</f>
        <v/>
      </c>
      <c r="DF106" s="34">
        <f>IF(AND(DF$5&gt;$E106,DF$5&lt;=$F106),IF(DF$5=$E106+1,$C106,""),"")</f>
        <v/>
      </c>
      <c r="DG106" s="34">
        <f>IF(AND(DG$5&gt;$E106,DG$5&lt;=$F106),IF(DG$5=$E106+1,$C106,""),"")</f>
        <v/>
      </c>
      <c r="DH106" s="34">
        <f>IF(AND(DH$5&gt;$E106,DH$5&lt;=$F106),IF(DH$5=$E106+1,$C106,""),"")</f>
        <v/>
      </c>
      <c r="DI106" s="34">
        <f>IF(AND(DI$5&gt;$E106,DI$5&lt;=$F106),IF(DI$5=$E106+1,$C106,""),"")</f>
        <v/>
      </c>
      <c r="DJ106" s="34">
        <f>IF(AND(DJ$5&gt;$E106,DJ$5&lt;=$F106),IF(DJ$5=$E106+1,$C106,""),"")</f>
        <v/>
      </c>
      <c r="DK106" s="34">
        <f>IF(AND(DK$5&gt;$E106,DK$5&lt;=$F106),IF(DK$5=$E106+1,$C106,""),"")</f>
        <v/>
      </c>
      <c r="DL106" s="34">
        <f>IF(AND(DL$5&gt;$E106,DL$5&lt;=$F106),IF(DL$5=$E106+1,$C106,""),"")</f>
        <v/>
      </c>
      <c r="DM106" s="34">
        <f>IF(AND(DM$5&gt;$E106,DM$5&lt;=$F106),IF(DM$5=$E106+1,$C106,""),"")</f>
        <v/>
      </c>
      <c r="DN106" s="34">
        <f>IF(AND(DN$5&gt;$E106,DN$5&lt;=$F106),IF(DN$5=$E106+1,$C106,""),"")</f>
        <v/>
      </c>
      <c r="DO106" s="34">
        <f>IF(AND(DO$5&gt;$E106,DO$5&lt;=$F106),IF(DO$5=$E106+1,$C106,""),"")</f>
        <v/>
      </c>
      <c r="DP106" s="34">
        <f>IF(AND(DP$5&gt;$E106,DP$5&lt;=$F106),IF(DP$5=$E106+1,$C106,""),"")</f>
        <v/>
      </c>
      <c r="DQ106" s="34">
        <f>IF(AND(DQ$5&gt;$E106,DQ$5&lt;=$F106),IF(DQ$5=$E106+1,$C106,""),"")</f>
        <v/>
      </c>
      <c r="DR106" s="34">
        <f>IF(AND(DR$5&gt;$E106,DR$5&lt;=$F106),IF(DR$5=$E106+1,$C106,""),"")</f>
        <v/>
      </c>
      <c r="DS106" s="34">
        <f>IF(AND(DS$5&gt;$E106,DS$5&lt;=$F106),IF(DS$5=$E106+1,$C106,""),"")</f>
        <v/>
      </c>
      <c r="DT106" s="34">
        <f>IF(AND(DT$5&gt;$E106,DT$5&lt;=$F106),IF(DT$5=$E106+1,$C106,""),"")</f>
        <v/>
      </c>
      <c r="DU106" s="34">
        <f>IF(AND(DU$5&gt;$E106,DU$5&lt;=$F106),IF(DU$5=$E106+1,$C106,""),"")</f>
        <v/>
      </c>
      <c r="DV106" s="34">
        <f>IF(AND(DV$5&gt;$E106,DV$5&lt;=$F106),IF(DV$5=$E106+1,$C106,""),"")</f>
        <v/>
      </c>
      <c r="DW106" s="34">
        <f>IF(AND(DW$5&gt;$E106,DW$5&lt;=$F106),IF(DW$5=$E106+1,$C106,""),"")</f>
        <v/>
      </c>
      <c r="DX106" s="34">
        <f>IF(AND(DX$5&gt;$E106,DX$5&lt;=$F106),IF(DX$5=$E106+1,$C106,""),"")</f>
        <v/>
      </c>
      <c r="DY106" s="34">
        <f>IF(AND(DY$5&gt;$E106,DY$5&lt;=$F106),IF(DY$5=$E106+1,$C106,""),"")</f>
        <v/>
      </c>
      <c r="DZ106" s="34">
        <f>IF(AND(DZ$5&gt;$E106,DZ$5&lt;=$F106),IF(DZ$5=$E106+1,$C106,""),"")</f>
        <v/>
      </c>
      <c r="EA106" s="34">
        <f>IF(AND(EA$5&gt;$E106,EA$5&lt;=$F106),IF(EA$5=$E106+1,$C106,""),"")</f>
        <v/>
      </c>
      <c r="EB106" s="34">
        <f>IF(AND(EB$5&gt;$E106,EB$5&lt;=$F106),IF(EB$5=$E106+1,$C106,""),"")</f>
        <v/>
      </c>
      <c r="EC106" s="34">
        <f>IF(AND(EC$5&gt;$E106,EC$5&lt;=$F106),IF(EC$5=$E106+1,$C106,""),"")</f>
        <v/>
      </c>
      <c r="ED106" s="34">
        <f>IF(AND(ED$5&gt;$E106,ED$5&lt;=$F106),IF(ED$5=$E106+1,$C106,""),"")</f>
        <v/>
      </c>
      <c r="EE106" s="34">
        <f>IF(AND(EE$5&gt;$E106,EE$5&lt;=$F106),IF(EE$5=$E106+1,$C106,""),"")</f>
        <v/>
      </c>
      <c r="EF106" s="34">
        <f>IF(AND(EF$5&gt;$E106,EF$5&lt;=$F106),IF(EF$5=$E106+1,$C106,""),"")</f>
        <v/>
      </c>
      <c r="EG106" s="34">
        <f>IF(AND(EG$5&gt;$E106,EG$5&lt;=$F106),IF(EG$5=$E106+1,$C106,""),"")</f>
        <v/>
      </c>
    </row>
    <row r="107">
      <c r="A107" s="32">
        <f>Plan!A79</f>
        <v/>
      </c>
      <c r="B107" s="33">
        <f>Plan!C79</f>
        <v/>
      </c>
      <c r="C107" s="16">
        <f>Plan!D79</f>
        <v/>
      </c>
      <c r="D107" s="16">
        <f>Plan!I79</f>
        <v/>
      </c>
      <c r="E107" s="16">
        <f>Plan!K79</f>
        <v/>
      </c>
      <c r="F107" s="16">
        <f>Plan!L79</f>
        <v/>
      </c>
      <c r="G107" s="16">
        <f>Plan!O79</f>
        <v/>
      </c>
      <c r="H107" s="34">
        <f>IF(AND(H$5&gt;$E107,H$5&lt;=$F107),IF(H$5=$E107+1,$C107,""),"")</f>
        <v/>
      </c>
      <c r="I107" s="34">
        <f>IF(AND(I$5&gt;$E107,I$5&lt;=$F107),IF(I$5=$E107+1,$C107,""),"")</f>
        <v/>
      </c>
      <c r="J107" s="34">
        <f>IF(AND(J$5&gt;$E107,J$5&lt;=$F107),IF(J$5=$E107+1,$C107,""),"")</f>
        <v/>
      </c>
      <c r="K107" s="34">
        <f>IF(AND(K$5&gt;$E107,K$5&lt;=$F107),IF(K$5=$E107+1,$C107,""),"")</f>
        <v/>
      </c>
      <c r="L107" s="34">
        <f>IF(AND(L$5&gt;$E107,L$5&lt;=$F107),IF(L$5=$E107+1,$C107,""),"")</f>
        <v/>
      </c>
      <c r="M107" s="34">
        <f>IF(AND(M$5&gt;$E107,M$5&lt;=$F107),IF(M$5=$E107+1,$C107,""),"")</f>
        <v/>
      </c>
      <c r="N107" s="34">
        <f>IF(AND(N$5&gt;$E107,N$5&lt;=$F107),IF(N$5=$E107+1,$C107,""),"")</f>
        <v/>
      </c>
      <c r="O107" s="34">
        <f>IF(AND(O$5&gt;$E107,O$5&lt;=$F107),IF(O$5=$E107+1,$C107,""),"")</f>
        <v/>
      </c>
      <c r="P107" s="34">
        <f>IF(AND(P$5&gt;$E107,P$5&lt;=$F107),IF(P$5=$E107+1,$C107,""),"")</f>
        <v/>
      </c>
      <c r="Q107" s="34">
        <f>IF(AND(Q$5&gt;$E107,Q$5&lt;=$F107),IF(Q$5=$E107+1,$C107,""),"")</f>
        <v/>
      </c>
      <c r="R107" s="34">
        <f>IF(AND(R$5&gt;$E107,R$5&lt;=$F107),IF(R$5=$E107+1,$C107,""),"")</f>
        <v/>
      </c>
      <c r="S107" s="34">
        <f>IF(AND(S$5&gt;$E107,S$5&lt;=$F107),IF(S$5=$E107+1,$C107,""),"")</f>
        <v/>
      </c>
      <c r="T107" s="34">
        <f>IF(AND(T$5&gt;$E107,T$5&lt;=$F107),IF(T$5=$E107+1,$C107,""),"")</f>
        <v/>
      </c>
      <c r="U107" s="34">
        <f>IF(AND(U$5&gt;$E107,U$5&lt;=$F107),IF(U$5=$E107+1,$C107,""),"")</f>
        <v/>
      </c>
      <c r="V107" s="34">
        <f>IF(AND(V$5&gt;$E107,V$5&lt;=$F107),IF(V$5=$E107+1,$C107,""),"")</f>
        <v/>
      </c>
      <c r="W107" s="34">
        <f>IF(AND(W$5&gt;$E107,W$5&lt;=$F107),IF(W$5=$E107+1,$C107,""),"")</f>
        <v/>
      </c>
      <c r="X107" s="34">
        <f>IF(AND(X$5&gt;$E107,X$5&lt;=$F107),IF(X$5=$E107+1,$C107,""),"")</f>
        <v/>
      </c>
      <c r="Y107" s="34">
        <f>IF(AND(Y$5&gt;$E107,Y$5&lt;=$F107),IF(Y$5=$E107+1,$C107,""),"")</f>
        <v/>
      </c>
      <c r="Z107" s="34">
        <f>IF(AND(Z$5&gt;$E107,Z$5&lt;=$F107),IF(Z$5=$E107+1,$C107,""),"")</f>
        <v/>
      </c>
      <c r="AA107" s="34">
        <f>IF(AND(AA$5&gt;$E107,AA$5&lt;=$F107),IF(AA$5=$E107+1,$C107,""),"")</f>
        <v/>
      </c>
      <c r="AB107" s="34">
        <f>IF(AND(AB$5&gt;$E107,AB$5&lt;=$F107),IF(AB$5=$E107+1,$C107,""),"")</f>
        <v/>
      </c>
      <c r="AC107" s="34">
        <f>IF(AND(AC$5&gt;$E107,AC$5&lt;=$F107),IF(AC$5=$E107+1,$C107,""),"")</f>
        <v/>
      </c>
      <c r="AD107" s="34">
        <f>IF(AND(AD$5&gt;$E107,AD$5&lt;=$F107),IF(AD$5=$E107+1,$C107,""),"")</f>
        <v/>
      </c>
      <c r="AE107" s="34">
        <f>IF(AND(AE$5&gt;$E107,AE$5&lt;=$F107),IF(AE$5=$E107+1,$C107,""),"")</f>
        <v/>
      </c>
      <c r="AF107" s="34">
        <f>IF(AND(AF$5&gt;$E107,AF$5&lt;=$F107),IF(AF$5=$E107+1,$C107,""),"")</f>
        <v/>
      </c>
      <c r="AG107" s="34">
        <f>IF(AND(AG$5&gt;$E107,AG$5&lt;=$F107),IF(AG$5=$E107+1,$C107,""),"")</f>
        <v/>
      </c>
      <c r="AH107" s="34">
        <f>IF(AND(AH$5&gt;$E107,AH$5&lt;=$F107),IF(AH$5=$E107+1,$C107,""),"")</f>
        <v/>
      </c>
      <c r="AI107" s="34">
        <f>IF(AND(AI$5&gt;$E107,AI$5&lt;=$F107),IF(AI$5=$E107+1,$C107,""),"")</f>
        <v/>
      </c>
      <c r="AJ107" s="34">
        <f>IF(AND(AJ$5&gt;$E107,AJ$5&lt;=$F107),IF(AJ$5=$E107+1,$C107,""),"")</f>
        <v/>
      </c>
      <c r="AK107" s="34">
        <f>IF(AND(AK$5&gt;$E107,AK$5&lt;=$F107),IF(AK$5=$E107+1,$C107,""),"")</f>
        <v/>
      </c>
      <c r="AL107" s="34">
        <f>IF(AND(AL$5&gt;$E107,AL$5&lt;=$F107),IF(AL$5=$E107+1,$C107,""),"")</f>
        <v/>
      </c>
      <c r="AM107" s="34">
        <f>IF(AND(AM$5&gt;$E107,AM$5&lt;=$F107),IF(AM$5=$E107+1,$C107,""),"")</f>
        <v/>
      </c>
      <c r="AN107" s="34">
        <f>IF(AND(AN$5&gt;$E107,AN$5&lt;=$F107),IF(AN$5=$E107+1,$C107,""),"")</f>
        <v/>
      </c>
      <c r="AO107" s="34">
        <f>IF(AND(AO$5&gt;$E107,AO$5&lt;=$F107),IF(AO$5=$E107+1,$C107,""),"")</f>
        <v/>
      </c>
      <c r="AP107" s="34">
        <f>IF(AND(AP$5&gt;$E107,AP$5&lt;=$F107),IF(AP$5=$E107+1,$C107,""),"")</f>
        <v/>
      </c>
      <c r="AQ107" s="34">
        <f>IF(AND(AQ$5&gt;$E107,AQ$5&lt;=$F107),IF(AQ$5=$E107+1,$C107,""),"")</f>
        <v/>
      </c>
      <c r="AR107" s="34">
        <f>IF(AND(AR$5&gt;$E107,AR$5&lt;=$F107),IF(AR$5=$E107+1,$C107,""),"")</f>
        <v/>
      </c>
      <c r="AS107" s="34">
        <f>IF(AND(AS$5&gt;$E107,AS$5&lt;=$F107),IF(AS$5=$E107+1,$C107,""),"")</f>
        <v/>
      </c>
      <c r="AT107" s="34">
        <f>IF(AND(AT$5&gt;$E107,AT$5&lt;=$F107),IF(AT$5=$E107+1,$C107,""),"")</f>
        <v/>
      </c>
      <c r="AU107" s="34">
        <f>IF(AND(AU$5&gt;$E107,AU$5&lt;=$F107),IF(AU$5=$E107+1,$C107,""),"")</f>
        <v/>
      </c>
      <c r="AV107" s="34">
        <f>IF(AND(AV$5&gt;$E107,AV$5&lt;=$F107),IF(AV$5=$E107+1,$C107,""),"")</f>
        <v/>
      </c>
      <c r="AW107" s="34">
        <f>IF(AND(AW$5&gt;$E107,AW$5&lt;=$F107),IF(AW$5=$E107+1,$C107,""),"")</f>
        <v/>
      </c>
      <c r="AX107" s="34">
        <f>IF(AND(AX$5&gt;$E107,AX$5&lt;=$F107),IF(AX$5=$E107+1,$C107,""),"")</f>
        <v/>
      </c>
      <c r="AY107" s="34">
        <f>IF(AND(AY$5&gt;$E107,AY$5&lt;=$F107),IF(AY$5=$E107+1,$C107,""),"")</f>
        <v/>
      </c>
      <c r="AZ107" s="34">
        <f>IF(AND(AZ$5&gt;$E107,AZ$5&lt;=$F107),IF(AZ$5=$E107+1,$C107,""),"")</f>
        <v/>
      </c>
      <c r="BA107" s="34">
        <f>IF(AND(BA$5&gt;$E107,BA$5&lt;=$F107),IF(BA$5=$E107+1,$C107,""),"")</f>
        <v/>
      </c>
      <c r="BB107" s="34">
        <f>IF(AND(BB$5&gt;$E107,BB$5&lt;=$F107),IF(BB$5=$E107+1,$C107,""),"")</f>
        <v/>
      </c>
      <c r="BC107" s="34">
        <f>IF(AND(BC$5&gt;$E107,BC$5&lt;=$F107),IF(BC$5=$E107+1,$C107,""),"")</f>
        <v/>
      </c>
      <c r="BD107" s="34">
        <f>IF(AND(BD$5&gt;$E107,BD$5&lt;=$F107),IF(BD$5=$E107+1,$C107,""),"")</f>
        <v/>
      </c>
      <c r="BE107" s="34">
        <f>IF(AND(BE$5&gt;$E107,BE$5&lt;=$F107),IF(BE$5=$E107+1,$C107,""),"")</f>
        <v/>
      </c>
      <c r="BF107" s="34">
        <f>IF(AND(BF$5&gt;$E107,BF$5&lt;=$F107),IF(BF$5=$E107+1,$C107,""),"")</f>
        <v/>
      </c>
      <c r="BG107" s="34">
        <f>IF(AND(BG$5&gt;$E107,BG$5&lt;=$F107),IF(BG$5=$E107+1,$C107,""),"")</f>
        <v/>
      </c>
      <c r="BH107" s="34">
        <f>IF(AND(BH$5&gt;$E107,BH$5&lt;=$F107),IF(BH$5=$E107+1,$C107,""),"")</f>
        <v/>
      </c>
      <c r="BI107" s="34">
        <f>IF(AND(BI$5&gt;$E107,BI$5&lt;=$F107),IF(BI$5=$E107+1,$C107,""),"")</f>
        <v/>
      </c>
      <c r="BJ107" s="34">
        <f>IF(AND(BJ$5&gt;$E107,BJ$5&lt;=$F107),IF(BJ$5=$E107+1,$C107,""),"")</f>
        <v/>
      </c>
      <c r="BK107" s="34">
        <f>IF(AND(BK$5&gt;$E107,BK$5&lt;=$F107),IF(BK$5=$E107+1,$C107,""),"")</f>
        <v/>
      </c>
      <c r="BL107" s="34">
        <f>IF(AND(BL$5&gt;$E107,BL$5&lt;=$F107),IF(BL$5=$E107+1,$C107,""),"")</f>
        <v/>
      </c>
      <c r="BM107" s="34">
        <f>IF(AND(BM$5&gt;$E107,BM$5&lt;=$F107),IF(BM$5=$E107+1,$C107,""),"")</f>
        <v/>
      </c>
      <c r="BN107" s="34">
        <f>IF(AND(BN$5&gt;$E107,BN$5&lt;=$F107),IF(BN$5=$E107+1,$C107,""),"")</f>
        <v/>
      </c>
      <c r="BO107" s="34">
        <f>IF(AND(BO$5&gt;$E107,BO$5&lt;=$F107),IF(BO$5=$E107+1,$C107,""),"")</f>
        <v/>
      </c>
      <c r="BP107" s="34">
        <f>IF(AND(BP$5&gt;$E107,BP$5&lt;=$F107),IF(BP$5=$E107+1,$C107,""),"")</f>
        <v/>
      </c>
      <c r="BQ107" s="34">
        <f>IF(AND(BQ$5&gt;$E107,BQ$5&lt;=$F107),IF(BQ$5=$E107+1,$C107,""),"")</f>
        <v/>
      </c>
      <c r="BR107" s="34">
        <f>IF(AND(BR$5&gt;$E107,BR$5&lt;=$F107),IF(BR$5=$E107+1,$C107,""),"")</f>
        <v/>
      </c>
      <c r="BS107" s="34">
        <f>IF(AND(BS$5&gt;$E107,BS$5&lt;=$F107),IF(BS$5=$E107+1,$C107,""),"")</f>
        <v/>
      </c>
      <c r="BT107" s="34">
        <f>IF(AND(BT$5&gt;$E107,BT$5&lt;=$F107),IF(BT$5=$E107+1,$C107,""),"")</f>
        <v/>
      </c>
      <c r="BU107" s="34">
        <f>IF(AND(BU$5&gt;$E107,BU$5&lt;=$F107),IF(BU$5=$E107+1,$C107,""),"")</f>
        <v/>
      </c>
      <c r="BV107" s="34">
        <f>IF(AND(BV$5&gt;$E107,BV$5&lt;=$F107),IF(BV$5=$E107+1,$C107,""),"")</f>
        <v/>
      </c>
      <c r="BW107" s="34">
        <f>IF(AND(BW$5&gt;$E107,BW$5&lt;=$F107),IF(BW$5=$E107+1,$C107,""),"")</f>
        <v/>
      </c>
      <c r="BX107" s="34">
        <f>IF(AND(BX$5&gt;$E107,BX$5&lt;=$F107),IF(BX$5=$E107+1,$C107,""),"")</f>
        <v/>
      </c>
      <c r="BY107" s="34">
        <f>IF(AND(BY$5&gt;$E107,BY$5&lt;=$F107),IF(BY$5=$E107+1,$C107,""),"")</f>
        <v/>
      </c>
      <c r="BZ107" s="34">
        <f>IF(AND(BZ$5&gt;$E107,BZ$5&lt;=$F107),IF(BZ$5=$E107+1,$C107,""),"")</f>
        <v/>
      </c>
      <c r="CA107" s="34">
        <f>IF(AND(CA$5&gt;$E107,CA$5&lt;=$F107),IF(CA$5=$E107+1,$C107,""),"")</f>
        <v/>
      </c>
      <c r="CB107" s="34">
        <f>IF(AND(CB$5&gt;$E107,CB$5&lt;=$F107),IF(CB$5=$E107+1,$C107,""),"")</f>
        <v/>
      </c>
      <c r="CC107" s="34">
        <f>IF(AND(CC$5&gt;$E107,CC$5&lt;=$F107),IF(CC$5=$E107+1,$C107,""),"")</f>
        <v/>
      </c>
      <c r="CD107" s="34">
        <f>IF(AND(CD$5&gt;$E107,CD$5&lt;=$F107),IF(CD$5=$E107+1,$C107,""),"")</f>
        <v/>
      </c>
      <c r="CE107" s="34">
        <f>IF(AND(CE$5&gt;$E107,CE$5&lt;=$F107),IF(CE$5=$E107+1,$C107,""),"")</f>
        <v/>
      </c>
      <c r="CF107" s="34">
        <f>IF(AND(CF$5&gt;$E107,CF$5&lt;=$F107),IF(CF$5=$E107+1,$C107,""),"")</f>
        <v/>
      </c>
      <c r="CG107" s="34">
        <f>IF(AND(CG$5&gt;$E107,CG$5&lt;=$F107),IF(CG$5=$E107+1,$C107,""),"")</f>
        <v/>
      </c>
      <c r="CH107" s="34">
        <f>IF(AND(CH$5&gt;$E107,CH$5&lt;=$F107),IF(CH$5=$E107+1,$C107,""),"")</f>
        <v/>
      </c>
      <c r="CI107" s="34">
        <f>IF(AND(CI$5&gt;$E107,CI$5&lt;=$F107),IF(CI$5=$E107+1,$C107,""),"")</f>
        <v/>
      </c>
      <c r="CJ107" s="34">
        <f>IF(AND(CJ$5&gt;$E107,CJ$5&lt;=$F107),IF(CJ$5=$E107+1,$C107,""),"")</f>
        <v/>
      </c>
      <c r="CK107" s="34">
        <f>IF(AND(CK$5&gt;$E107,CK$5&lt;=$F107),IF(CK$5=$E107+1,$C107,""),"")</f>
        <v/>
      </c>
      <c r="CL107" s="34">
        <f>IF(AND(CL$5&gt;$E107,CL$5&lt;=$F107),IF(CL$5=$E107+1,$C107,""),"")</f>
        <v/>
      </c>
      <c r="CM107" s="34">
        <f>IF(AND(CM$5&gt;$E107,CM$5&lt;=$F107),IF(CM$5=$E107+1,$C107,""),"")</f>
        <v/>
      </c>
      <c r="CN107" s="34">
        <f>IF(AND(CN$5&gt;$E107,CN$5&lt;=$F107),IF(CN$5=$E107+1,$C107,""),"")</f>
        <v/>
      </c>
      <c r="CO107" s="34">
        <f>IF(AND(CO$5&gt;$E107,CO$5&lt;=$F107),IF(CO$5=$E107+1,$C107,""),"")</f>
        <v/>
      </c>
      <c r="CP107" s="34">
        <f>IF(AND(CP$5&gt;$E107,CP$5&lt;=$F107),IF(CP$5=$E107+1,$C107,""),"")</f>
        <v/>
      </c>
      <c r="CQ107" s="34">
        <f>IF(AND(CQ$5&gt;$E107,CQ$5&lt;=$F107),IF(CQ$5=$E107+1,$C107,""),"")</f>
        <v/>
      </c>
      <c r="CR107" s="34">
        <f>IF(AND(CR$5&gt;$E107,CR$5&lt;=$F107),IF(CR$5=$E107+1,$C107,""),"")</f>
        <v/>
      </c>
      <c r="CS107" s="34">
        <f>IF(AND(CS$5&gt;$E107,CS$5&lt;=$F107),IF(CS$5=$E107+1,$C107,""),"")</f>
        <v/>
      </c>
      <c r="CT107" s="34">
        <f>IF(AND(CT$5&gt;$E107,CT$5&lt;=$F107),IF(CT$5=$E107+1,$C107,""),"")</f>
        <v/>
      </c>
      <c r="CU107" s="34">
        <f>IF(AND(CU$5&gt;$E107,CU$5&lt;=$F107),IF(CU$5=$E107+1,$C107,""),"")</f>
        <v/>
      </c>
      <c r="CV107" s="34">
        <f>IF(AND(CV$5&gt;$E107,CV$5&lt;=$F107),IF(CV$5=$E107+1,$C107,""),"")</f>
        <v/>
      </c>
      <c r="CW107" s="34">
        <f>IF(AND(CW$5&gt;$E107,CW$5&lt;=$F107),IF(CW$5=$E107+1,$C107,""),"")</f>
        <v/>
      </c>
      <c r="CX107" s="34">
        <f>IF(AND(CX$5&gt;$E107,CX$5&lt;=$F107),IF(CX$5=$E107+1,$C107,""),"")</f>
        <v/>
      </c>
      <c r="CY107" s="34">
        <f>IF(AND(CY$5&gt;$E107,CY$5&lt;=$F107),IF(CY$5=$E107+1,$C107,""),"")</f>
        <v/>
      </c>
      <c r="CZ107" s="34">
        <f>IF(AND(CZ$5&gt;$E107,CZ$5&lt;=$F107),IF(CZ$5=$E107+1,$C107,""),"")</f>
        <v/>
      </c>
      <c r="DA107" s="34">
        <f>IF(AND(DA$5&gt;$E107,DA$5&lt;=$F107),IF(DA$5=$E107+1,$C107,""),"")</f>
        <v/>
      </c>
      <c r="DB107" s="34">
        <f>IF(AND(DB$5&gt;$E107,DB$5&lt;=$F107),IF(DB$5=$E107+1,$C107,""),"")</f>
        <v/>
      </c>
      <c r="DC107" s="34">
        <f>IF(AND(DC$5&gt;$E107,DC$5&lt;=$F107),IF(DC$5=$E107+1,$C107,""),"")</f>
        <v/>
      </c>
      <c r="DD107" s="34">
        <f>IF(AND(DD$5&gt;$E107,DD$5&lt;=$F107),IF(DD$5=$E107+1,$C107,""),"")</f>
        <v/>
      </c>
      <c r="DE107" s="34">
        <f>IF(AND(DE$5&gt;$E107,DE$5&lt;=$F107),IF(DE$5=$E107+1,$C107,""),"")</f>
        <v/>
      </c>
      <c r="DF107" s="34">
        <f>IF(AND(DF$5&gt;$E107,DF$5&lt;=$F107),IF(DF$5=$E107+1,$C107,""),"")</f>
        <v/>
      </c>
      <c r="DG107" s="34">
        <f>IF(AND(DG$5&gt;$E107,DG$5&lt;=$F107),IF(DG$5=$E107+1,$C107,""),"")</f>
        <v/>
      </c>
      <c r="DH107" s="34">
        <f>IF(AND(DH$5&gt;$E107,DH$5&lt;=$F107),IF(DH$5=$E107+1,$C107,""),"")</f>
        <v/>
      </c>
      <c r="DI107" s="34">
        <f>IF(AND(DI$5&gt;$E107,DI$5&lt;=$F107),IF(DI$5=$E107+1,$C107,""),"")</f>
        <v/>
      </c>
      <c r="DJ107" s="34">
        <f>IF(AND(DJ$5&gt;$E107,DJ$5&lt;=$F107),IF(DJ$5=$E107+1,$C107,""),"")</f>
        <v/>
      </c>
      <c r="DK107" s="34">
        <f>IF(AND(DK$5&gt;$E107,DK$5&lt;=$F107),IF(DK$5=$E107+1,$C107,""),"")</f>
        <v/>
      </c>
      <c r="DL107" s="34">
        <f>IF(AND(DL$5&gt;$E107,DL$5&lt;=$F107),IF(DL$5=$E107+1,$C107,""),"")</f>
        <v/>
      </c>
      <c r="DM107" s="34">
        <f>IF(AND(DM$5&gt;$E107,DM$5&lt;=$F107),IF(DM$5=$E107+1,$C107,""),"")</f>
        <v/>
      </c>
      <c r="DN107" s="34">
        <f>IF(AND(DN$5&gt;$E107,DN$5&lt;=$F107),IF(DN$5=$E107+1,$C107,""),"")</f>
        <v/>
      </c>
      <c r="DO107" s="34">
        <f>IF(AND(DO$5&gt;$E107,DO$5&lt;=$F107),IF(DO$5=$E107+1,$C107,""),"")</f>
        <v/>
      </c>
      <c r="DP107" s="34">
        <f>IF(AND(DP$5&gt;$E107,DP$5&lt;=$F107),IF(DP$5=$E107+1,$C107,""),"")</f>
        <v/>
      </c>
      <c r="DQ107" s="34">
        <f>IF(AND(DQ$5&gt;$E107,DQ$5&lt;=$F107),IF(DQ$5=$E107+1,$C107,""),"")</f>
        <v/>
      </c>
      <c r="DR107" s="34">
        <f>IF(AND(DR$5&gt;$E107,DR$5&lt;=$F107),IF(DR$5=$E107+1,$C107,""),"")</f>
        <v/>
      </c>
      <c r="DS107" s="34">
        <f>IF(AND(DS$5&gt;$E107,DS$5&lt;=$F107),IF(DS$5=$E107+1,$C107,""),"")</f>
        <v/>
      </c>
      <c r="DT107" s="34">
        <f>IF(AND(DT$5&gt;$E107,DT$5&lt;=$F107),IF(DT$5=$E107+1,$C107,""),"")</f>
        <v/>
      </c>
      <c r="DU107" s="34">
        <f>IF(AND(DU$5&gt;$E107,DU$5&lt;=$F107),IF(DU$5=$E107+1,$C107,""),"")</f>
        <v/>
      </c>
      <c r="DV107" s="34">
        <f>IF(AND(DV$5&gt;$E107,DV$5&lt;=$F107),IF(DV$5=$E107+1,$C107,""),"")</f>
        <v/>
      </c>
      <c r="DW107" s="34">
        <f>IF(AND(DW$5&gt;$E107,DW$5&lt;=$F107),IF(DW$5=$E107+1,$C107,""),"")</f>
        <v/>
      </c>
      <c r="DX107" s="34">
        <f>IF(AND(DX$5&gt;$E107,DX$5&lt;=$F107),IF(DX$5=$E107+1,$C107,""),"")</f>
        <v/>
      </c>
      <c r="DY107" s="34">
        <f>IF(AND(DY$5&gt;$E107,DY$5&lt;=$F107),IF(DY$5=$E107+1,$C107,""),"")</f>
        <v/>
      </c>
      <c r="DZ107" s="34">
        <f>IF(AND(DZ$5&gt;$E107,DZ$5&lt;=$F107),IF(DZ$5=$E107+1,$C107,""),"")</f>
        <v/>
      </c>
      <c r="EA107" s="34">
        <f>IF(AND(EA$5&gt;$E107,EA$5&lt;=$F107),IF(EA$5=$E107+1,$C107,""),"")</f>
        <v/>
      </c>
      <c r="EB107" s="34">
        <f>IF(AND(EB$5&gt;$E107,EB$5&lt;=$F107),IF(EB$5=$E107+1,$C107,""),"")</f>
        <v/>
      </c>
      <c r="EC107" s="34">
        <f>IF(AND(EC$5&gt;$E107,EC$5&lt;=$F107),IF(EC$5=$E107+1,$C107,""),"")</f>
        <v/>
      </c>
      <c r="ED107" s="34">
        <f>IF(AND(ED$5&gt;$E107,ED$5&lt;=$F107),IF(ED$5=$E107+1,$C107,""),"")</f>
        <v/>
      </c>
      <c r="EE107" s="34">
        <f>IF(AND(EE$5&gt;$E107,EE$5&lt;=$F107),IF(EE$5=$E107+1,$C107,""),"")</f>
        <v/>
      </c>
      <c r="EF107" s="34">
        <f>IF(AND(EF$5&gt;$E107,EF$5&lt;=$F107),IF(EF$5=$E107+1,$C107,""),"")</f>
        <v/>
      </c>
      <c r="EG107" s="34">
        <f>IF(AND(EG$5&gt;$E107,EG$5&lt;=$F107),IF(EG$5=$E107+1,$C107,""),"")</f>
        <v/>
      </c>
    </row>
    <row r="108">
      <c r="A108" s="32">
        <f>Plan!A82</f>
        <v/>
      </c>
      <c r="B108" s="33">
        <f>Plan!C82</f>
        <v/>
      </c>
      <c r="C108" s="16">
        <f>Plan!D82</f>
        <v/>
      </c>
      <c r="D108" s="16">
        <f>Plan!I82</f>
        <v/>
      </c>
      <c r="E108" s="16">
        <f>Plan!K82</f>
        <v/>
      </c>
      <c r="F108" s="16">
        <f>Plan!L82</f>
        <v/>
      </c>
      <c r="G108" s="16">
        <f>Plan!O82</f>
        <v/>
      </c>
      <c r="H108" s="34">
        <f>IF(AND(H$5&gt;$E108,H$5&lt;=$F108),IF(H$5=$E108+1,$C108,""),"")</f>
        <v/>
      </c>
      <c r="I108" s="34">
        <f>IF(AND(I$5&gt;$E108,I$5&lt;=$F108),IF(I$5=$E108+1,$C108,""),"")</f>
        <v/>
      </c>
      <c r="J108" s="34">
        <f>IF(AND(J$5&gt;$E108,J$5&lt;=$F108),IF(J$5=$E108+1,$C108,""),"")</f>
        <v/>
      </c>
      <c r="K108" s="34">
        <f>IF(AND(K$5&gt;$E108,K$5&lt;=$F108),IF(K$5=$E108+1,$C108,""),"")</f>
        <v/>
      </c>
      <c r="L108" s="34">
        <f>IF(AND(L$5&gt;$E108,L$5&lt;=$F108),IF(L$5=$E108+1,$C108,""),"")</f>
        <v/>
      </c>
      <c r="M108" s="34">
        <f>IF(AND(M$5&gt;$E108,M$5&lt;=$F108),IF(M$5=$E108+1,$C108,""),"")</f>
        <v/>
      </c>
      <c r="N108" s="34">
        <f>IF(AND(N$5&gt;$E108,N$5&lt;=$F108),IF(N$5=$E108+1,$C108,""),"")</f>
        <v/>
      </c>
      <c r="O108" s="34">
        <f>IF(AND(O$5&gt;$E108,O$5&lt;=$F108),IF(O$5=$E108+1,$C108,""),"")</f>
        <v/>
      </c>
      <c r="P108" s="34">
        <f>IF(AND(P$5&gt;$E108,P$5&lt;=$F108),IF(P$5=$E108+1,$C108,""),"")</f>
        <v/>
      </c>
      <c r="Q108" s="34">
        <f>IF(AND(Q$5&gt;$E108,Q$5&lt;=$F108),IF(Q$5=$E108+1,$C108,""),"")</f>
        <v/>
      </c>
      <c r="R108" s="34">
        <f>IF(AND(R$5&gt;$E108,R$5&lt;=$F108),IF(R$5=$E108+1,$C108,""),"")</f>
        <v/>
      </c>
      <c r="S108" s="34">
        <f>IF(AND(S$5&gt;$E108,S$5&lt;=$F108),IF(S$5=$E108+1,$C108,""),"")</f>
        <v/>
      </c>
      <c r="T108" s="34">
        <f>IF(AND(T$5&gt;$E108,T$5&lt;=$F108),IF(T$5=$E108+1,$C108,""),"")</f>
        <v/>
      </c>
      <c r="U108" s="34">
        <f>IF(AND(U$5&gt;$E108,U$5&lt;=$F108),IF(U$5=$E108+1,$C108,""),"")</f>
        <v/>
      </c>
      <c r="V108" s="34">
        <f>IF(AND(V$5&gt;$E108,V$5&lt;=$F108),IF(V$5=$E108+1,$C108,""),"")</f>
        <v/>
      </c>
      <c r="W108" s="34">
        <f>IF(AND(W$5&gt;$E108,W$5&lt;=$F108),IF(W$5=$E108+1,$C108,""),"")</f>
        <v/>
      </c>
      <c r="X108" s="34">
        <f>IF(AND(X$5&gt;$E108,X$5&lt;=$F108),IF(X$5=$E108+1,$C108,""),"")</f>
        <v/>
      </c>
      <c r="Y108" s="34">
        <f>IF(AND(Y$5&gt;$E108,Y$5&lt;=$F108),IF(Y$5=$E108+1,$C108,""),"")</f>
        <v/>
      </c>
      <c r="Z108" s="34">
        <f>IF(AND(Z$5&gt;$E108,Z$5&lt;=$F108),IF(Z$5=$E108+1,$C108,""),"")</f>
        <v/>
      </c>
      <c r="AA108" s="34">
        <f>IF(AND(AA$5&gt;$E108,AA$5&lt;=$F108),IF(AA$5=$E108+1,$C108,""),"")</f>
        <v/>
      </c>
      <c r="AB108" s="34">
        <f>IF(AND(AB$5&gt;$E108,AB$5&lt;=$F108),IF(AB$5=$E108+1,$C108,""),"")</f>
        <v/>
      </c>
      <c r="AC108" s="34">
        <f>IF(AND(AC$5&gt;$E108,AC$5&lt;=$F108),IF(AC$5=$E108+1,$C108,""),"")</f>
        <v/>
      </c>
      <c r="AD108" s="34">
        <f>IF(AND(AD$5&gt;$E108,AD$5&lt;=$F108),IF(AD$5=$E108+1,$C108,""),"")</f>
        <v/>
      </c>
      <c r="AE108" s="34">
        <f>IF(AND(AE$5&gt;$E108,AE$5&lt;=$F108),IF(AE$5=$E108+1,$C108,""),"")</f>
        <v/>
      </c>
      <c r="AF108" s="34">
        <f>IF(AND(AF$5&gt;$E108,AF$5&lt;=$F108),IF(AF$5=$E108+1,$C108,""),"")</f>
        <v/>
      </c>
      <c r="AG108" s="34">
        <f>IF(AND(AG$5&gt;$E108,AG$5&lt;=$F108),IF(AG$5=$E108+1,$C108,""),"")</f>
        <v/>
      </c>
      <c r="AH108" s="34">
        <f>IF(AND(AH$5&gt;$E108,AH$5&lt;=$F108),IF(AH$5=$E108+1,$C108,""),"")</f>
        <v/>
      </c>
      <c r="AI108" s="34">
        <f>IF(AND(AI$5&gt;$E108,AI$5&lt;=$F108),IF(AI$5=$E108+1,$C108,""),"")</f>
        <v/>
      </c>
      <c r="AJ108" s="34">
        <f>IF(AND(AJ$5&gt;$E108,AJ$5&lt;=$F108),IF(AJ$5=$E108+1,$C108,""),"")</f>
        <v/>
      </c>
      <c r="AK108" s="34">
        <f>IF(AND(AK$5&gt;$E108,AK$5&lt;=$F108),IF(AK$5=$E108+1,$C108,""),"")</f>
        <v/>
      </c>
      <c r="AL108" s="34">
        <f>IF(AND(AL$5&gt;$E108,AL$5&lt;=$F108),IF(AL$5=$E108+1,$C108,""),"")</f>
        <v/>
      </c>
      <c r="AM108" s="34">
        <f>IF(AND(AM$5&gt;$E108,AM$5&lt;=$F108),IF(AM$5=$E108+1,$C108,""),"")</f>
        <v/>
      </c>
      <c r="AN108" s="34">
        <f>IF(AND(AN$5&gt;$E108,AN$5&lt;=$F108),IF(AN$5=$E108+1,$C108,""),"")</f>
        <v/>
      </c>
      <c r="AO108" s="34">
        <f>IF(AND(AO$5&gt;$E108,AO$5&lt;=$F108),IF(AO$5=$E108+1,$C108,""),"")</f>
        <v/>
      </c>
      <c r="AP108" s="34">
        <f>IF(AND(AP$5&gt;$E108,AP$5&lt;=$F108),IF(AP$5=$E108+1,$C108,""),"")</f>
        <v/>
      </c>
      <c r="AQ108" s="34">
        <f>IF(AND(AQ$5&gt;$E108,AQ$5&lt;=$F108),IF(AQ$5=$E108+1,$C108,""),"")</f>
        <v/>
      </c>
      <c r="AR108" s="34">
        <f>IF(AND(AR$5&gt;$E108,AR$5&lt;=$F108),IF(AR$5=$E108+1,$C108,""),"")</f>
        <v/>
      </c>
      <c r="AS108" s="34">
        <f>IF(AND(AS$5&gt;$E108,AS$5&lt;=$F108),IF(AS$5=$E108+1,$C108,""),"")</f>
        <v/>
      </c>
      <c r="AT108" s="34">
        <f>IF(AND(AT$5&gt;$E108,AT$5&lt;=$F108),IF(AT$5=$E108+1,$C108,""),"")</f>
        <v/>
      </c>
      <c r="AU108" s="34">
        <f>IF(AND(AU$5&gt;$E108,AU$5&lt;=$F108),IF(AU$5=$E108+1,$C108,""),"")</f>
        <v/>
      </c>
      <c r="AV108" s="34">
        <f>IF(AND(AV$5&gt;$E108,AV$5&lt;=$F108),IF(AV$5=$E108+1,$C108,""),"")</f>
        <v/>
      </c>
      <c r="AW108" s="34">
        <f>IF(AND(AW$5&gt;$E108,AW$5&lt;=$F108),IF(AW$5=$E108+1,$C108,""),"")</f>
        <v/>
      </c>
      <c r="AX108" s="34">
        <f>IF(AND(AX$5&gt;$E108,AX$5&lt;=$F108),IF(AX$5=$E108+1,$C108,""),"")</f>
        <v/>
      </c>
      <c r="AY108" s="34">
        <f>IF(AND(AY$5&gt;$E108,AY$5&lt;=$F108),IF(AY$5=$E108+1,$C108,""),"")</f>
        <v/>
      </c>
      <c r="AZ108" s="34">
        <f>IF(AND(AZ$5&gt;$E108,AZ$5&lt;=$F108),IF(AZ$5=$E108+1,$C108,""),"")</f>
        <v/>
      </c>
      <c r="BA108" s="34">
        <f>IF(AND(BA$5&gt;$E108,BA$5&lt;=$F108),IF(BA$5=$E108+1,$C108,""),"")</f>
        <v/>
      </c>
      <c r="BB108" s="34">
        <f>IF(AND(BB$5&gt;$E108,BB$5&lt;=$F108),IF(BB$5=$E108+1,$C108,""),"")</f>
        <v/>
      </c>
      <c r="BC108" s="34">
        <f>IF(AND(BC$5&gt;$E108,BC$5&lt;=$F108),IF(BC$5=$E108+1,$C108,""),"")</f>
        <v/>
      </c>
      <c r="BD108" s="34">
        <f>IF(AND(BD$5&gt;$E108,BD$5&lt;=$F108),IF(BD$5=$E108+1,$C108,""),"")</f>
        <v/>
      </c>
      <c r="BE108" s="34">
        <f>IF(AND(BE$5&gt;$E108,BE$5&lt;=$F108),IF(BE$5=$E108+1,$C108,""),"")</f>
        <v/>
      </c>
      <c r="BF108" s="34">
        <f>IF(AND(BF$5&gt;$E108,BF$5&lt;=$F108),IF(BF$5=$E108+1,$C108,""),"")</f>
        <v/>
      </c>
      <c r="BG108" s="34">
        <f>IF(AND(BG$5&gt;$E108,BG$5&lt;=$F108),IF(BG$5=$E108+1,$C108,""),"")</f>
        <v/>
      </c>
      <c r="BH108" s="34">
        <f>IF(AND(BH$5&gt;$E108,BH$5&lt;=$F108),IF(BH$5=$E108+1,$C108,""),"")</f>
        <v/>
      </c>
      <c r="BI108" s="34">
        <f>IF(AND(BI$5&gt;$E108,BI$5&lt;=$F108),IF(BI$5=$E108+1,$C108,""),"")</f>
        <v/>
      </c>
      <c r="BJ108" s="34">
        <f>IF(AND(BJ$5&gt;$E108,BJ$5&lt;=$F108),IF(BJ$5=$E108+1,$C108,""),"")</f>
        <v/>
      </c>
      <c r="BK108" s="34">
        <f>IF(AND(BK$5&gt;$E108,BK$5&lt;=$F108),IF(BK$5=$E108+1,$C108,""),"")</f>
        <v/>
      </c>
      <c r="BL108" s="34">
        <f>IF(AND(BL$5&gt;$E108,BL$5&lt;=$F108),IF(BL$5=$E108+1,$C108,""),"")</f>
        <v/>
      </c>
      <c r="BM108" s="34">
        <f>IF(AND(BM$5&gt;$E108,BM$5&lt;=$F108),IF(BM$5=$E108+1,$C108,""),"")</f>
        <v/>
      </c>
      <c r="BN108" s="34">
        <f>IF(AND(BN$5&gt;$E108,BN$5&lt;=$F108),IF(BN$5=$E108+1,$C108,""),"")</f>
        <v/>
      </c>
      <c r="BO108" s="34">
        <f>IF(AND(BO$5&gt;$E108,BO$5&lt;=$F108),IF(BO$5=$E108+1,$C108,""),"")</f>
        <v/>
      </c>
      <c r="BP108" s="34">
        <f>IF(AND(BP$5&gt;$E108,BP$5&lt;=$F108),IF(BP$5=$E108+1,$C108,""),"")</f>
        <v/>
      </c>
      <c r="BQ108" s="34">
        <f>IF(AND(BQ$5&gt;$E108,BQ$5&lt;=$F108),IF(BQ$5=$E108+1,$C108,""),"")</f>
        <v/>
      </c>
      <c r="BR108" s="34">
        <f>IF(AND(BR$5&gt;$E108,BR$5&lt;=$F108),IF(BR$5=$E108+1,$C108,""),"")</f>
        <v/>
      </c>
      <c r="BS108" s="34">
        <f>IF(AND(BS$5&gt;$E108,BS$5&lt;=$F108),IF(BS$5=$E108+1,$C108,""),"")</f>
        <v/>
      </c>
      <c r="BT108" s="34">
        <f>IF(AND(BT$5&gt;$E108,BT$5&lt;=$F108),IF(BT$5=$E108+1,$C108,""),"")</f>
        <v/>
      </c>
      <c r="BU108" s="34">
        <f>IF(AND(BU$5&gt;$E108,BU$5&lt;=$F108),IF(BU$5=$E108+1,$C108,""),"")</f>
        <v/>
      </c>
      <c r="BV108" s="34">
        <f>IF(AND(BV$5&gt;$E108,BV$5&lt;=$F108),IF(BV$5=$E108+1,$C108,""),"")</f>
        <v/>
      </c>
      <c r="BW108" s="34">
        <f>IF(AND(BW$5&gt;$E108,BW$5&lt;=$F108),IF(BW$5=$E108+1,$C108,""),"")</f>
        <v/>
      </c>
      <c r="BX108" s="34">
        <f>IF(AND(BX$5&gt;$E108,BX$5&lt;=$F108),IF(BX$5=$E108+1,$C108,""),"")</f>
        <v/>
      </c>
      <c r="BY108" s="34">
        <f>IF(AND(BY$5&gt;$E108,BY$5&lt;=$F108),IF(BY$5=$E108+1,$C108,""),"")</f>
        <v/>
      </c>
      <c r="BZ108" s="34">
        <f>IF(AND(BZ$5&gt;$E108,BZ$5&lt;=$F108),IF(BZ$5=$E108+1,$C108,""),"")</f>
        <v/>
      </c>
      <c r="CA108" s="34">
        <f>IF(AND(CA$5&gt;$E108,CA$5&lt;=$F108),IF(CA$5=$E108+1,$C108,""),"")</f>
        <v/>
      </c>
      <c r="CB108" s="34">
        <f>IF(AND(CB$5&gt;$E108,CB$5&lt;=$F108),IF(CB$5=$E108+1,$C108,""),"")</f>
        <v/>
      </c>
      <c r="CC108" s="34">
        <f>IF(AND(CC$5&gt;$E108,CC$5&lt;=$F108),IF(CC$5=$E108+1,$C108,""),"")</f>
        <v/>
      </c>
      <c r="CD108" s="34">
        <f>IF(AND(CD$5&gt;$E108,CD$5&lt;=$F108),IF(CD$5=$E108+1,$C108,""),"")</f>
        <v/>
      </c>
      <c r="CE108" s="34">
        <f>IF(AND(CE$5&gt;$E108,CE$5&lt;=$F108),IF(CE$5=$E108+1,$C108,""),"")</f>
        <v/>
      </c>
      <c r="CF108" s="34">
        <f>IF(AND(CF$5&gt;$E108,CF$5&lt;=$F108),IF(CF$5=$E108+1,$C108,""),"")</f>
        <v/>
      </c>
      <c r="CG108" s="34">
        <f>IF(AND(CG$5&gt;$E108,CG$5&lt;=$F108),IF(CG$5=$E108+1,$C108,""),"")</f>
        <v/>
      </c>
      <c r="CH108" s="34">
        <f>IF(AND(CH$5&gt;$E108,CH$5&lt;=$F108),IF(CH$5=$E108+1,$C108,""),"")</f>
        <v/>
      </c>
      <c r="CI108" s="34">
        <f>IF(AND(CI$5&gt;$E108,CI$5&lt;=$F108),IF(CI$5=$E108+1,$C108,""),"")</f>
        <v/>
      </c>
      <c r="CJ108" s="34">
        <f>IF(AND(CJ$5&gt;$E108,CJ$5&lt;=$F108),IF(CJ$5=$E108+1,$C108,""),"")</f>
        <v/>
      </c>
      <c r="CK108" s="34">
        <f>IF(AND(CK$5&gt;$E108,CK$5&lt;=$F108),IF(CK$5=$E108+1,$C108,""),"")</f>
        <v/>
      </c>
      <c r="CL108" s="34">
        <f>IF(AND(CL$5&gt;$E108,CL$5&lt;=$F108),IF(CL$5=$E108+1,$C108,""),"")</f>
        <v/>
      </c>
      <c r="CM108" s="34">
        <f>IF(AND(CM$5&gt;$E108,CM$5&lt;=$F108),IF(CM$5=$E108+1,$C108,""),"")</f>
        <v/>
      </c>
      <c r="CN108" s="34">
        <f>IF(AND(CN$5&gt;$E108,CN$5&lt;=$F108),IF(CN$5=$E108+1,$C108,""),"")</f>
        <v/>
      </c>
      <c r="CO108" s="34">
        <f>IF(AND(CO$5&gt;$E108,CO$5&lt;=$F108),IF(CO$5=$E108+1,$C108,""),"")</f>
        <v/>
      </c>
      <c r="CP108" s="34">
        <f>IF(AND(CP$5&gt;$E108,CP$5&lt;=$F108),IF(CP$5=$E108+1,$C108,""),"")</f>
        <v/>
      </c>
      <c r="CQ108" s="34">
        <f>IF(AND(CQ$5&gt;$E108,CQ$5&lt;=$F108),IF(CQ$5=$E108+1,$C108,""),"")</f>
        <v/>
      </c>
      <c r="CR108" s="34">
        <f>IF(AND(CR$5&gt;$E108,CR$5&lt;=$F108),IF(CR$5=$E108+1,$C108,""),"")</f>
        <v/>
      </c>
      <c r="CS108" s="34">
        <f>IF(AND(CS$5&gt;$E108,CS$5&lt;=$F108),IF(CS$5=$E108+1,$C108,""),"")</f>
        <v/>
      </c>
      <c r="CT108" s="34">
        <f>IF(AND(CT$5&gt;$E108,CT$5&lt;=$F108),IF(CT$5=$E108+1,$C108,""),"")</f>
        <v/>
      </c>
      <c r="CU108" s="34">
        <f>IF(AND(CU$5&gt;$E108,CU$5&lt;=$F108),IF(CU$5=$E108+1,$C108,""),"")</f>
        <v/>
      </c>
      <c r="CV108" s="34">
        <f>IF(AND(CV$5&gt;$E108,CV$5&lt;=$F108),IF(CV$5=$E108+1,$C108,""),"")</f>
        <v/>
      </c>
      <c r="CW108" s="34">
        <f>IF(AND(CW$5&gt;$E108,CW$5&lt;=$F108),IF(CW$5=$E108+1,$C108,""),"")</f>
        <v/>
      </c>
      <c r="CX108" s="34">
        <f>IF(AND(CX$5&gt;$E108,CX$5&lt;=$F108),IF(CX$5=$E108+1,$C108,""),"")</f>
        <v/>
      </c>
      <c r="CY108" s="34">
        <f>IF(AND(CY$5&gt;$E108,CY$5&lt;=$F108),IF(CY$5=$E108+1,$C108,""),"")</f>
        <v/>
      </c>
      <c r="CZ108" s="34">
        <f>IF(AND(CZ$5&gt;$E108,CZ$5&lt;=$F108),IF(CZ$5=$E108+1,$C108,""),"")</f>
        <v/>
      </c>
      <c r="DA108" s="34">
        <f>IF(AND(DA$5&gt;$E108,DA$5&lt;=$F108),IF(DA$5=$E108+1,$C108,""),"")</f>
        <v/>
      </c>
      <c r="DB108" s="34">
        <f>IF(AND(DB$5&gt;$E108,DB$5&lt;=$F108),IF(DB$5=$E108+1,$C108,""),"")</f>
        <v/>
      </c>
      <c r="DC108" s="34">
        <f>IF(AND(DC$5&gt;$E108,DC$5&lt;=$F108),IF(DC$5=$E108+1,$C108,""),"")</f>
        <v/>
      </c>
      <c r="DD108" s="34">
        <f>IF(AND(DD$5&gt;$E108,DD$5&lt;=$F108),IF(DD$5=$E108+1,$C108,""),"")</f>
        <v/>
      </c>
      <c r="DE108" s="34">
        <f>IF(AND(DE$5&gt;$E108,DE$5&lt;=$F108),IF(DE$5=$E108+1,$C108,""),"")</f>
        <v/>
      </c>
      <c r="DF108" s="34">
        <f>IF(AND(DF$5&gt;$E108,DF$5&lt;=$F108),IF(DF$5=$E108+1,$C108,""),"")</f>
        <v/>
      </c>
      <c r="DG108" s="34">
        <f>IF(AND(DG$5&gt;$E108,DG$5&lt;=$F108),IF(DG$5=$E108+1,$C108,""),"")</f>
        <v/>
      </c>
      <c r="DH108" s="34">
        <f>IF(AND(DH$5&gt;$E108,DH$5&lt;=$F108),IF(DH$5=$E108+1,$C108,""),"")</f>
        <v/>
      </c>
      <c r="DI108" s="34">
        <f>IF(AND(DI$5&gt;$E108,DI$5&lt;=$F108),IF(DI$5=$E108+1,$C108,""),"")</f>
        <v/>
      </c>
      <c r="DJ108" s="34">
        <f>IF(AND(DJ$5&gt;$E108,DJ$5&lt;=$F108),IF(DJ$5=$E108+1,$C108,""),"")</f>
        <v/>
      </c>
      <c r="DK108" s="34">
        <f>IF(AND(DK$5&gt;$E108,DK$5&lt;=$F108),IF(DK$5=$E108+1,$C108,""),"")</f>
        <v/>
      </c>
      <c r="DL108" s="34">
        <f>IF(AND(DL$5&gt;$E108,DL$5&lt;=$F108),IF(DL$5=$E108+1,$C108,""),"")</f>
        <v/>
      </c>
      <c r="DM108" s="34">
        <f>IF(AND(DM$5&gt;$E108,DM$5&lt;=$F108),IF(DM$5=$E108+1,$C108,""),"")</f>
        <v/>
      </c>
      <c r="DN108" s="34">
        <f>IF(AND(DN$5&gt;$E108,DN$5&lt;=$F108),IF(DN$5=$E108+1,$C108,""),"")</f>
        <v/>
      </c>
      <c r="DO108" s="34">
        <f>IF(AND(DO$5&gt;$E108,DO$5&lt;=$F108),IF(DO$5=$E108+1,$C108,""),"")</f>
        <v/>
      </c>
      <c r="DP108" s="34">
        <f>IF(AND(DP$5&gt;$E108,DP$5&lt;=$F108),IF(DP$5=$E108+1,$C108,""),"")</f>
        <v/>
      </c>
      <c r="DQ108" s="34">
        <f>IF(AND(DQ$5&gt;$E108,DQ$5&lt;=$F108),IF(DQ$5=$E108+1,$C108,""),"")</f>
        <v/>
      </c>
      <c r="DR108" s="34">
        <f>IF(AND(DR$5&gt;$E108,DR$5&lt;=$F108),IF(DR$5=$E108+1,$C108,""),"")</f>
        <v/>
      </c>
      <c r="DS108" s="34">
        <f>IF(AND(DS$5&gt;$E108,DS$5&lt;=$F108),IF(DS$5=$E108+1,$C108,""),"")</f>
        <v/>
      </c>
      <c r="DT108" s="34">
        <f>IF(AND(DT$5&gt;$E108,DT$5&lt;=$F108),IF(DT$5=$E108+1,$C108,""),"")</f>
        <v/>
      </c>
      <c r="DU108" s="34">
        <f>IF(AND(DU$5&gt;$E108,DU$5&lt;=$F108),IF(DU$5=$E108+1,$C108,""),"")</f>
        <v/>
      </c>
      <c r="DV108" s="34">
        <f>IF(AND(DV$5&gt;$E108,DV$5&lt;=$F108),IF(DV$5=$E108+1,$C108,""),"")</f>
        <v/>
      </c>
      <c r="DW108" s="34">
        <f>IF(AND(DW$5&gt;$E108,DW$5&lt;=$F108),IF(DW$5=$E108+1,$C108,""),"")</f>
        <v/>
      </c>
      <c r="DX108" s="34">
        <f>IF(AND(DX$5&gt;$E108,DX$5&lt;=$F108),IF(DX$5=$E108+1,$C108,""),"")</f>
        <v/>
      </c>
      <c r="DY108" s="34">
        <f>IF(AND(DY$5&gt;$E108,DY$5&lt;=$F108),IF(DY$5=$E108+1,$C108,""),"")</f>
        <v/>
      </c>
      <c r="DZ108" s="34">
        <f>IF(AND(DZ$5&gt;$E108,DZ$5&lt;=$F108),IF(DZ$5=$E108+1,$C108,""),"")</f>
        <v/>
      </c>
      <c r="EA108" s="34">
        <f>IF(AND(EA$5&gt;$E108,EA$5&lt;=$F108),IF(EA$5=$E108+1,$C108,""),"")</f>
        <v/>
      </c>
      <c r="EB108" s="34">
        <f>IF(AND(EB$5&gt;$E108,EB$5&lt;=$F108),IF(EB$5=$E108+1,$C108,""),"")</f>
        <v/>
      </c>
      <c r="EC108" s="34">
        <f>IF(AND(EC$5&gt;$E108,EC$5&lt;=$F108),IF(EC$5=$E108+1,$C108,""),"")</f>
        <v/>
      </c>
      <c r="ED108" s="34">
        <f>IF(AND(ED$5&gt;$E108,ED$5&lt;=$F108),IF(ED$5=$E108+1,$C108,""),"")</f>
        <v/>
      </c>
      <c r="EE108" s="34">
        <f>IF(AND(EE$5&gt;$E108,EE$5&lt;=$F108),IF(EE$5=$E108+1,$C108,""),"")</f>
        <v/>
      </c>
      <c r="EF108" s="34">
        <f>IF(AND(EF$5&gt;$E108,EF$5&lt;=$F108),IF(EF$5=$E108+1,$C108,""),"")</f>
        <v/>
      </c>
      <c r="EG108" s="34">
        <f>IF(AND(EG$5&gt;$E108,EG$5&lt;=$F108),IF(EG$5=$E108+1,$C108,""),"")</f>
        <v/>
      </c>
    </row>
    <row r="109">
      <c r="A109" s="32">
        <f>Plan!A83</f>
        <v/>
      </c>
      <c r="B109" s="33">
        <f>Plan!C83</f>
        <v/>
      </c>
      <c r="C109" s="16">
        <f>Plan!D83</f>
        <v/>
      </c>
      <c r="D109" s="16">
        <f>Plan!I83</f>
        <v/>
      </c>
      <c r="E109" s="16">
        <f>Plan!K83</f>
        <v/>
      </c>
      <c r="F109" s="16">
        <f>Plan!L83</f>
        <v/>
      </c>
      <c r="G109" s="16">
        <f>Plan!O83</f>
        <v/>
      </c>
      <c r="H109" s="34">
        <f>IF(AND(H$5&gt;$E109,H$5&lt;=$F109),IF(H$5=$E109+1,$C109,""),"")</f>
        <v/>
      </c>
      <c r="I109" s="34">
        <f>IF(AND(I$5&gt;$E109,I$5&lt;=$F109),IF(I$5=$E109+1,$C109,""),"")</f>
        <v/>
      </c>
      <c r="J109" s="34">
        <f>IF(AND(J$5&gt;$E109,J$5&lt;=$F109),IF(J$5=$E109+1,$C109,""),"")</f>
        <v/>
      </c>
      <c r="K109" s="34">
        <f>IF(AND(K$5&gt;$E109,K$5&lt;=$F109),IF(K$5=$E109+1,$C109,""),"")</f>
        <v/>
      </c>
      <c r="L109" s="34">
        <f>IF(AND(L$5&gt;$E109,L$5&lt;=$F109),IF(L$5=$E109+1,$C109,""),"")</f>
        <v/>
      </c>
      <c r="M109" s="34">
        <f>IF(AND(M$5&gt;$E109,M$5&lt;=$F109),IF(M$5=$E109+1,$C109,""),"")</f>
        <v/>
      </c>
      <c r="N109" s="34">
        <f>IF(AND(N$5&gt;$E109,N$5&lt;=$F109),IF(N$5=$E109+1,$C109,""),"")</f>
        <v/>
      </c>
      <c r="O109" s="34">
        <f>IF(AND(O$5&gt;$E109,O$5&lt;=$F109),IF(O$5=$E109+1,$C109,""),"")</f>
        <v/>
      </c>
      <c r="P109" s="34">
        <f>IF(AND(P$5&gt;$E109,P$5&lt;=$F109),IF(P$5=$E109+1,$C109,""),"")</f>
        <v/>
      </c>
      <c r="Q109" s="34">
        <f>IF(AND(Q$5&gt;$E109,Q$5&lt;=$F109),IF(Q$5=$E109+1,$C109,""),"")</f>
        <v/>
      </c>
      <c r="R109" s="34">
        <f>IF(AND(R$5&gt;$E109,R$5&lt;=$F109),IF(R$5=$E109+1,$C109,""),"")</f>
        <v/>
      </c>
      <c r="S109" s="34">
        <f>IF(AND(S$5&gt;$E109,S$5&lt;=$F109),IF(S$5=$E109+1,$C109,""),"")</f>
        <v/>
      </c>
      <c r="T109" s="34">
        <f>IF(AND(T$5&gt;$E109,T$5&lt;=$F109),IF(T$5=$E109+1,$C109,""),"")</f>
        <v/>
      </c>
      <c r="U109" s="34">
        <f>IF(AND(U$5&gt;$E109,U$5&lt;=$F109),IF(U$5=$E109+1,$C109,""),"")</f>
        <v/>
      </c>
      <c r="V109" s="34">
        <f>IF(AND(V$5&gt;$E109,V$5&lt;=$F109),IF(V$5=$E109+1,$C109,""),"")</f>
        <v/>
      </c>
      <c r="W109" s="34">
        <f>IF(AND(W$5&gt;$E109,W$5&lt;=$F109),IF(W$5=$E109+1,$C109,""),"")</f>
        <v/>
      </c>
      <c r="X109" s="34">
        <f>IF(AND(X$5&gt;$E109,X$5&lt;=$F109),IF(X$5=$E109+1,$C109,""),"")</f>
        <v/>
      </c>
      <c r="Y109" s="34">
        <f>IF(AND(Y$5&gt;$E109,Y$5&lt;=$F109),IF(Y$5=$E109+1,$C109,""),"")</f>
        <v/>
      </c>
      <c r="Z109" s="34">
        <f>IF(AND(Z$5&gt;$E109,Z$5&lt;=$F109),IF(Z$5=$E109+1,$C109,""),"")</f>
        <v/>
      </c>
      <c r="AA109" s="34">
        <f>IF(AND(AA$5&gt;$E109,AA$5&lt;=$F109),IF(AA$5=$E109+1,$C109,""),"")</f>
        <v/>
      </c>
      <c r="AB109" s="34">
        <f>IF(AND(AB$5&gt;$E109,AB$5&lt;=$F109),IF(AB$5=$E109+1,$C109,""),"")</f>
        <v/>
      </c>
      <c r="AC109" s="34">
        <f>IF(AND(AC$5&gt;$E109,AC$5&lt;=$F109),IF(AC$5=$E109+1,$C109,""),"")</f>
        <v/>
      </c>
      <c r="AD109" s="34">
        <f>IF(AND(AD$5&gt;$E109,AD$5&lt;=$F109),IF(AD$5=$E109+1,$C109,""),"")</f>
        <v/>
      </c>
      <c r="AE109" s="34">
        <f>IF(AND(AE$5&gt;$E109,AE$5&lt;=$F109),IF(AE$5=$E109+1,$C109,""),"")</f>
        <v/>
      </c>
      <c r="AF109" s="34">
        <f>IF(AND(AF$5&gt;$E109,AF$5&lt;=$F109),IF(AF$5=$E109+1,$C109,""),"")</f>
        <v/>
      </c>
      <c r="AG109" s="34">
        <f>IF(AND(AG$5&gt;$E109,AG$5&lt;=$F109),IF(AG$5=$E109+1,$C109,""),"")</f>
        <v/>
      </c>
      <c r="AH109" s="34">
        <f>IF(AND(AH$5&gt;$E109,AH$5&lt;=$F109),IF(AH$5=$E109+1,$C109,""),"")</f>
        <v/>
      </c>
      <c r="AI109" s="34">
        <f>IF(AND(AI$5&gt;$E109,AI$5&lt;=$F109),IF(AI$5=$E109+1,$C109,""),"")</f>
        <v/>
      </c>
      <c r="AJ109" s="34">
        <f>IF(AND(AJ$5&gt;$E109,AJ$5&lt;=$F109),IF(AJ$5=$E109+1,$C109,""),"")</f>
        <v/>
      </c>
      <c r="AK109" s="34">
        <f>IF(AND(AK$5&gt;$E109,AK$5&lt;=$F109),IF(AK$5=$E109+1,$C109,""),"")</f>
        <v/>
      </c>
      <c r="AL109" s="34">
        <f>IF(AND(AL$5&gt;$E109,AL$5&lt;=$F109),IF(AL$5=$E109+1,$C109,""),"")</f>
        <v/>
      </c>
      <c r="AM109" s="34">
        <f>IF(AND(AM$5&gt;$E109,AM$5&lt;=$F109),IF(AM$5=$E109+1,$C109,""),"")</f>
        <v/>
      </c>
      <c r="AN109" s="34">
        <f>IF(AND(AN$5&gt;$E109,AN$5&lt;=$F109),IF(AN$5=$E109+1,$C109,""),"")</f>
        <v/>
      </c>
      <c r="AO109" s="34">
        <f>IF(AND(AO$5&gt;$E109,AO$5&lt;=$F109),IF(AO$5=$E109+1,$C109,""),"")</f>
        <v/>
      </c>
      <c r="AP109" s="34">
        <f>IF(AND(AP$5&gt;$E109,AP$5&lt;=$F109),IF(AP$5=$E109+1,$C109,""),"")</f>
        <v/>
      </c>
      <c r="AQ109" s="34">
        <f>IF(AND(AQ$5&gt;$E109,AQ$5&lt;=$F109),IF(AQ$5=$E109+1,$C109,""),"")</f>
        <v/>
      </c>
      <c r="AR109" s="34">
        <f>IF(AND(AR$5&gt;$E109,AR$5&lt;=$F109),IF(AR$5=$E109+1,$C109,""),"")</f>
        <v/>
      </c>
      <c r="AS109" s="34">
        <f>IF(AND(AS$5&gt;$E109,AS$5&lt;=$F109),IF(AS$5=$E109+1,$C109,""),"")</f>
        <v/>
      </c>
      <c r="AT109" s="34">
        <f>IF(AND(AT$5&gt;$E109,AT$5&lt;=$F109),IF(AT$5=$E109+1,$C109,""),"")</f>
        <v/>
      </c>
      <c r="AU109" s="34">
        <f>IF(AND(AU$5&gt;$E109,AU$5&lt;=$F109),IF(AU$5=$E109+1,$C109,""),"")</f>
        <v/>
      </c>
      <c r="AV109" s="34">
        <f>IF(AND(AV$5&gt;$E109,AV$5&lt;=$F109),IF(AV$5=$E109+1,$C109,""),"")</f>
        <v/>
      </c>
      <c r="AW109" s="34">
        <f>IF(AND(AW$5&gt;$E109,AW$5&lt;=$F109),IF(AW$5=$E109+1,$C109,""),"")</f>
        <v/>
      </c>
      <c r="AX109" s="34">
        <f>IF(AND(AX$5&gt;$E109,AX$5&lt;=$F109),IF(AX$5=$E109+1,$C109,""),"")</f>
        <v/>
      </c>
      <c r="AY109" s="34">
        <f>IF(AND(AY$5&gt;$E109,AY$5&lt;=$F109),IF(AY$5=$E109+1,$C109,""),"")</f>
        <v/>
      </c>
      <c r="AZ109" s="34">
        <f>IF(AND(AZ$5&gt;$E109,AZ$5&lt;=$F109),IF(AZ$5=$E109+1,$C109,""),"")</f>
        <v/>
      </c>
      <c r="BA109" s="34">
        <f>IF(AND(BA$5&gt;$E109,BA$5&lt;=$F109),IF(BA$5=$E109+1,$C109,""),"")</f>
        <v/>
      </c>
      <c r="BB109" s="34">
        <f>IF(AND(BB$5&gt;$E109,BB$5&lt;=$F109),IF(BB$5=$E109+1,$C109,""),"")</f>
        <v/>
      </c>
      <c r="BC109" s="34">
        <f>IF(AND(BC$5&gt;$E109,BC$5&lt;=$F109),IF(BC$5=$E109+1,$C109,""),"")</f>
        <v/>
      </c>
      <c r="BD109" s="34">
        <f>IF(AND(BD$5&gt;$E109,BD$5&lt;=$F109),IF(BD$5=$E109+1,$C109,""),"")</f>
        <v/>
      </c>
      <c r="BE109" s="34">
        <f>IF(AND(BE$5&gt;$E109,BE$5&lt;=$F109),IF(BE$5=$E109+1,$C109,""),"")</f>
        <v/>
      </c>
      <c r="BF109" s="34">
        <f>IF(AND(BF$5&gt;$E109,BF$5&lt;=$F109),IF(BF$5=$E109+1,$C109,""),"")</f>
        <v/>
      </c>
      <c r="BG109" s="34">
        <f>IF(AND(BG$5&gt;$E109,BG$5&lt;=$F109),IF(BG$5=$E109+1,$C109,""),"")</f>
        <v/>
      </c>
      <c r="BH109" s="34">
        <f>IF(AND(BH$5&gt;$E109,BH$5&lt;=$F109),IF(BH$5=$E109+1,$C109,""),"")</f>
        <v/>
      </c>
      <c r="BI109" s="34">
        <f>IF(AND(BI$5&gt;$E109,BI$5&lt;=$F109),IF(BI$5=$E109+1,$C109,""),"")</f>
        <v/>
      </c>
      <c r="BJ109" s="34">
        <f>IF(AND(BJ$5&gt;$E109,BJ$5&lt;=$F109),IF(BJ$5=$E109+1,$C109,""),"")</f>
        <v/>
      </c>
      <c r="BK109" s="34">
        <f>IF(AND(BK$5&gt;$E109,BK$5&lt;=$F109),IF(BK$5=$E109+1,$C109,""),"")</f>
        <v/>
      </c>
      <c r="BL109" s="34">
        <f>IF(AND(BL$5&gt;$E109,BL$5&lt;=$F109),IF(BL$5=$E109+1,$C109,""),"")</f>
        <v/>
      </c>
      <c r="BM109" s="34">
        <f>IF(AND(BM$5&gt;$E109,BM$5&lt;=$F109),IF(BM$5=$E109+1,$C109,""),"")</f>
        <v/>
      </c>
      <c r="BN109" s="34">
        <f>IF(AND(BN$5&gt;$E109,BN$5&lt;=$F109),IF(BN$5=$E109+1,$C109,""),"")</f>
        <v/>
      </c>
      <c r="BO109" s="34">
        <f>IF(AND(BO$5&gt;$E109,BO$5&lt;=$F109),IF(BO$5=$E109+1,$C109,""),"")</f>
        <v/>
      </c>
      <c r="BP109" s="34">
        <f>IF(AND(BP$5&gt;$E109,BP$5&lt;=$F109),IF(BP$5=$E109+1,$C109,""),"")</f>
        <v/>
      </c>
      <c r="BQ109" s="34">
        <f>IF(AND(BQ$5&gt;$E109,BQ$5&lt;=$F109),IF(BQ$5=$E109+1,$C109,""),"")</f>
        <v/>
      </c>
      <c r="BR109" s="34">
        <f>IF(AND(BR$5&gt;$E109,BR$5&lt;=$F109),IF(BR$5=$E109+1,$C109,""),"")</f>
        <v/>
      </c>
      <c r="BS109" s="34">
        <f>IF(AND(BS$5&gt;$E109,BS$5&lt;=$F109),IF(BS$5=$E109+1,$C109,""),"")</f>
        <v/>
      </c>
      <c r="BT109" s="34">
        <f>IF(AND(BT$5&gt;$E109,BT$5&lt;=$F109),IF(BT$5=$E109+1,$C109,""),"")</f>
        <v/>
      </c>
      <c r="BU109" s="34">
        <f>IF(AND(BU$5&gt;$E109,BU$5&lt;=$F109),IF(BU$5=$E109+1,$C109,""),"")</f>
        <v/>
      </c>
      <c r="BV109" s="34">
        <f>IF(AND(BV$5&gt;$E109,BV$5&lt;=$F109),IF(BV$5=$E109+1,$C109,""),"")</f>
        <v/>
      </c>
      <c r="BW109" s="34">
        <f>IF(AND(BW$5&gt;$E109,BW$5&lt;=$F109),IF(BW$5=$E109+1,$C109,""),"")</f>
        <v/>
      </c>
      <c r="BX109" s="34">
        <f>IF(AND(BX$5&gt;$E109,BX$5&lt;=$F109),IF(BX$5=$E109+1,$C109,""),"")</f>
        <v/>
      </c>
      <c r="BY109" s="34">
        <f>IF(AND(BY$5&gt;$E109,BY$5&lt;=$F109),IF(BY$5=$E109+1,$C109,""),"")</f>
        <v/>
      </c>
      <c r="BZ109" s="34">
        <f>IF(AND(BZ$5&gt;$E109,BZ$5&lt;=$F109),IF(BZ$5=$E109+1,$C109,""),"")</f>
        <v/>
      </c>
      <c r="CA109" s="34">
        <f>IF(AND(CA$5&gt;$E109,CA$5&lt;=$F109),IF(CA$5=$E109+1,$C109,""),"")</f>
        <v/>
      </c>
      <c r="CB109" s="34">
        <f>IF(AND(CB$5&gt;$E109,CB$5&lt;=$F109),IF(CB$5=$E109+1,$C109,""),"")</f>
        <v/>
      </c>
      <c r="CC109" s="34">
        <f>IF(AND(CC$5&gt;$E109,CC$5&lt;=$F109),IF(CC$5=$E109+1,$C109,""),"")</f>
        <v/>
      </c>
      <c r="CD109" s="34">
        <f>IF(AND(CD$5&gt;$E109,CD$5&lt;=$F109),IF(CD$5=$E109+1,$C109,""),"")</f>
        <v/>
      </c>
      <c r="CE109" s="34">
        <f>IF(AND(CE$5&gt;$E109,CE$5&lt;=$F109),IF(CE$5=$E109+1,$C109,""),"")</f>
        <v/>
      </c>
      <c r="CF109" s="34">
        <f>IF(AND(CF$5&gt;$E109,CF$5&lt;=$F109),IF(CF$5=$E109+1,$C109,""),"")</f>
        <v/>
      </c>
      <c r="CG109" s="34">
        <f>IF(AND(CG$5&gt;$E109,CG$5&lt;=$F109),IF(CG$5=$E109+1,$C109,""),"")</f>
        <v/>
      </c>
      <c r="CH109" s="34">
        <f>IF(AND(CH$5&gt;$E109,CH$5&lt;=$F109),IF(CH$5=$E109+1,$C109,""),"")</f>
        <v/>
      </c>
      <c r="CI109" s="34">
        <f>IF(AND(CI$5&gt;$E109,CI$5&lt;=$F109),IF(CI$5=$E109+1,$C109,""),"")</f>
        <v/>
      </c>
      <c r="CJ109" s="34">
        <f>IF(AND(CJ$5&gt;$E109,CJ$5&lt;=$F109),IF(CJ$5=$E109+1,$C109,""),"")</f>
        <v/>
      </c>
      <c r="CK109" s="34">
        <f>IF(AND(CK$5&gt;$E109,CK$5&lt;=$F109),IF(CK$5=$E109+1,$C109,""),"")</f>
        <v/>
      </c>
      <c r="CL109" s="34">
        <f>IF(AND(CL$5&gt;$E109,CL$5&lt;=$F109),IF(CL$5=$E109+1,$C109,""),"")</f>
        <v/>
      </c>
      <c r="CM109" s="34">
        <f>IF(AND(CM$5&gt;$E109,CM$5&lt;=$F109),IF(CM$5=$E109+1,$C109,""),"")</f>
        <v/>
      </c>
      <c r="CN109" s="34">
        <f>IF(AND(CN$5&gt;$E109,CN$5&lt;=$F109),IF(CN$5=$E109+1,$C109,""),"")</f>
        <v/>
      </c>
      <c r="CO109" s="34">
        <f>IF(AND(CO$5&gt;$E109,CO$5&lt;=$F109),IF(CO$5=$E109+1,$C109,""),"")</f>
        <v/>
      </c>
      <c r="CP109" s="34">
        <f>IF(AND(CP$5&gt;$E109,CP$5&lt;=$F109),IF(CP$5=$E109+1,$C109,""),"")</f>
        <v/>
      </c>
      <c r="CQ109" s="34">
        <f>IF(AND(CQ$5&gt;$E109,CQ$5&lt;=$F109),IF(CQ$5=$E109+1,$C109,""),"")</f>
        <v/>
      </c>
      <c r="CR109" s="34">
        <f>IF(AND(CR$5&gt;$E109,CR$5&lt;=$F109),IF(CR$5=$E109+1,$C109,""),"")</f>
        <v/>
      </c>
      <c r="CS109" s="34">
        <f>IF(AND(CS$5&gt;$E109,CS$5&lt;=$F109),IF(CS$5=$E109+1,$C109,""),"")</f>
        <v/>
      </c>
      <c r="CT109" s="34">
        <f>IF(AND(CT$5&gt;$E109,CT$5&lt;=$F109),IF(CT$5=$E109+1,$C109,""),"")</f>
        <v/>
      </c>
      <c r="CU109" s="34">
        <f>IF(AND(CU$5&gt;$E109,CU$5&lt;=$F109),IF(CU$5=$E109+1,$C109,""),"")</f>
        <v/>
      </c>
      <c r="CV109" s="34">
        <f>IF(AND(CV$5&gt;$E109,CV$5&lt;=$F109),IF(CV$5=$E109+1,$C109,""),"")</f>
        <v/>
      </c>
      <c r="CW109" s="34">
        <f>IF(AND(CW$5&gt;$E109,CW$5&lt;=$F109),IF(CW$5=$E109+1,$C109,""),"")</f>
        <v/>
      </c>
      <c r="CX109" s="34">
        <f>IF(AND(CX$5&gt;$E109,CX$5&lt;=$F109),IF(CX$5=$E109+1,$C109,""),"")</f>
        <v/>
      </c>
      <c r="CY109" s="34">
        <f>IF(AND(CY$5&gt;$E109,CY$5&lt;=$F109),IF(CY$5=$E109+1,$C109,""),"")</f>
        <v/>
      </c>
      <c r="CZ109" s="34">
        <f>IF(AND(CZ$5&gt;$E109,CZ$5&lt;=$F109),IF(CZ$5=$E109+1,$C109,""),"")</f>
        <v/>
      </c>
      <c r="DA109" s="34">
        <f>IF(AND(DA$5&gt;$E109,DA$5&lt;=$F109),IF(DA$5=$E109+1,$C109,""),"")</f>
        <v/>
      </c>
      <c r="DB109" s="34">
        <f>IF(AND(DB$5&gt;$E109,DB$5&lt;=$F109),IF(DB$5=$E109+1,$C109,""),"")</f>
        <v/>
      </c>
      <c r="DC109" s="34">
        <f>IF(AND(DC$5&gt;$E109,DC$5&lt;=$F109),IF(DC$5=$E109+1,$C109,""),"")</f>
        <v/>
      </c>
      <c r="DD109" s="34">
        <f>IF(AND(DD$5&gt;$E109,DD$5&lt;=$F109),IF(DD$5=$E109+1,$C109,""),"")</f>
        <v/>
      </c>
      <c r="DE109" s="34">
        <f>IF(AND(DE$5&gt;$E109,DE$5&lt;=$F109),IF(DE$5=$E109+1,$C109,""),"")</f>
        <v/>
      </c>
      <c r="DF109" s="34">
        <f>IF(AND(DF$5&gt;$E109,DF$5&lt;=$F109),IF(DF$5=$E109+1,$C109,""),"")</f>
        <v/>
      </c>
      <c r="DG109" s="34">
        <f>IF(AND(DG$5&gt;$E109,DG$5&lt;=$F109),IF(DG$5=$E109+1,$C109,""),"")</f>
        <v/>
      </c>
      <c r="DH109" s="34">
        <f>IF(AND(DH$5&gt;$E109,DH$5&lt;=$F109),IF(DH$5=$E109+1,$C109,""),"")</f>
        <v/>
      </c>
      <c r="DI109" s="34">
        <f>IF(AND(DI$5&gt;$E109,DI$5&lt;=$F109),IF(DI$5=$E109+1,$C109,""),"")</f>
        <v/>
      </c>
      <c r="DJ109" s="34">
        <f>IF(AND(DJ$5&gt;$E109,DJ$5&lt;=$F109),IF(DJ$5=$E109+1,$C109,""),"")</f>
        <v/>
      </c>
      <c r="DK109" s="34">
        <f>IF(AND(DK$5&gt;$E109,DK$5&lt;=$F109),IF(DK$5=$E109+1,$C109,""),"")</f>
        <v/>
      </c>
      <c r="DL109" s="34">
        <f>IF(AND(DL$5&gt;$E109,DL$5&lt;=$F109),IF(DL$5=$E109+1,$C109,""),"")</f>
        <v/>
      </c>
      <c r="DM109" s="34">
        <f>IF(AND(DM$5&gt;$E109,DM$5&lt;=$F109),IF(DM$5=$E109+1,$C109,""),"")</f>
        <v/>
      </c>
      <c r="DN109" s="34">
        <f>IF(AND(DN$5&gt;$E109,DN$5&lt;=$F109),IF(DN$5=$E109+1,$C109,""),"")</f>
        <v/>
      </c>
      <c r="DO109" s="34">
        <f>IF(AND(DO$5&gt;$E109,DO$5&lt;=$F109),IF(DO$5=$E109+1,$C109,""),"")</f>
        <v/>
      </c>
      <c r="DP109" s="34">
        <f>IF(AND(DP$5&gt;$E109,DP$5&lt;=$F109),IF(DP$5=$E109+1,$C109,""),"")</f>
        <v/>
      </c>
      <c r="DQ109" s="34">
        <f>IF(AND(DQ$5&gt;$E109,DQ$5&lt;=$F109),IF(DQ$5=$E109+1,$C109,""),"")</f>
        <v/>
      </c>
      <c r="DR109" s="34">
        <f>IF(AND(DR$5&gt;$E109,DR$5&lt;=$F109),IF(DR$5=$E109+1,$C109,""),"")</f>
        <v/>
      </c>
      <c r="DS109" s="34">
        <f>IF(AND(DS$5&gt;$E109,DS$5&lt;=$F109),IF(DS$5=$E109+1,$C109,""),"")</f>
        <v/>
      </c>
      <c r="DT109" s="34">
        <f>IF(AND(DT$5&gt;$E109,DT$5&lt;=$F109),IF(DT$5=$E109+1,$C109,""),"")</f>
        <v/>
      </c>
      <c r="DU109" s="34">
        <f>IF(AND(DU$5&gt;$E109,DU$5&lt;=$F109),IF(DU$5=$E109+1,$C109,""),"")</f>
        <v/>
      </c>
      <c r="DV109" s="34">
        <f>IF(AND(DV$5&gt;$E109,DV$5&lt;=$F109),IF(DV$5=$E109+1,$C109,""),"")</f>
        <v/>
      </c>
      <c r="DW109" s="34">
        <f>IF(AND(DW$5&gt;$E109,DW$5&lt;=$F109),IF(DW$5=$E109+1,$C109,""),"")</f>
        <v/>
      </c>
      <c r="DX109" s="34">
        <f>IF(AND(DX$5&gt;$E109,DX$5&lt;=$F109),IF(DX$5=$E109+1,$C109,""),"")</f>
        <v/>
      </c>
      <c r="DY109" s="34">
        <f>IF(AND(DY$5&gt;$E109,DY$5&lt;=$F109),IF(DY$5=$E109+1,$C109,""),"")</f>
        <v/>
      </c>
      <c r="DZ109" s="34">
        <f>IF(AND(DZ$5&gt;$E109,DZ$5&lt;=$F109),IF(DZ$5=$E109+1,$C109,""),"")</f>
        <v/>
      </c>
      <c r="EA109" s="34">
        <f>IF(AND(EA$5&gt;$E109,EA$5&lt;=$F109),IF(EA$5=$E109+1,$C109,""),"")</f>
        <v/>
      </c>
      <c r="EB109" s="34">
        <f>IF(AND(EB$5&gt;$E109,EB$5&lt;=$F109),IF(EB$5=$E109+1,$C109,""),"")</f>
        <v/>
      </c>
      <c r="EC109" s="34">
        <f>IF(AND(EC$5&gt;$E109,EC$5&lt;=$F109),IF(EC$5=$E109+1,$C109,""),"")</f>
        <v/>
      </c>
      <c r="ED109" s="34">
        <f>IF(AND(ED$5&gt;$E109,ED$5&lt;=$F109),IF(ED$5=$E109+1,$C109,""),"")</f>
        <v/>
      </c>
      <c r="EE109" s="34">
        <f>IF(AND(EE$5&gt;$E109,EE$5&lt;=$F109),IF(EE$5=$E109+1,$C109,""),"")</f>
        <v/>
      </c>
      <c r="EF109" s="34">
        <f>IF(AND(EF$5&gt;$E109,EF$5&lt;=$F109),IF(EF$5=$E109+1,$C109,""),"")</f>
        <v/>
      </c>
      <c r="EG109" s="34">
        <f>IF(AND(EG$5&gt;$E109,EG$5&lt;=$F109),IF(EG$5=$E109+1,$C109,""),"")</f>
        <v/>
      </c>
    </row>
    <row r="110">
      <c r="A110" s="32">
        <f>Plan!A87</f>
        <v/>
      </c>
      <c r="B110" s="33">
        <f>Plan!C87</f>
        <v/>
      </c>
      <c r="C110" s="16">
        <f>Plan!D87</f>
        <v/>
      </c>
      <c r="D110" s="16">
        <f>Plan!I87</f>
        <v/>
      </c>
      <c r="E110" s="16">
        <f>Plan!K87</f>
        <v/>
      </c>
      <c r="F110" s="16">
        <f>Plan!L87</f>
        <v/>
      </c>
      <c r="G110" s="16">
        <f>Plan!O87</f>
        <v/>
      </c>
      <c r="H110" s="34">
        <f>IF(AND(H$5&gt;$E110,H$5&lt;=$F110),IF(H$5=$E110+1,$C110,""),"")</f>
        <v/>
      </c>
      <c r="I110" s="34">
        <f>IF(AND(I$5&gt;$E110,I$5&lt;=$F110),IF(I$5=$E110+1,$C110,""),"")</f>
        <v/>
      </c>
      <c r="J110" s="34">
        <f>IF(AND(J$5&gt;$E110,J$5&lt;=$F110),IF(J$5=$E110+1,$C110,""),"")</f>
        <v/>
      </c>
      <c r="K110" s="34">
        <f>IF(AND(K$5&gt;$E110,K$5&lt;=$F110),IF(K$5=$E110+1,$C110,""),"")</f>
        <v/>
      </c>
      <c r="L110" s="34">
        <f>IF(AND(L$5&gt;$E110,L$5&lt;=$F110),IF(L$5=$E110+1,$C110,""),"")</f>
        <v/>
      </c>
      <c r="M110" s="34">
        <f>IF(AND(M$5&gt;$E110,M$5&lt;=$F110),IF(M$5=$E110+1,$C110,""),"")</f>
        <v/>
      </c>
      <c r="N110" s="34">
        <f>IF(AND(N$5&gt;$E110,N$5&lt;=$F110),IF(N$5=$E110+1,$C110,""),"")</f>
        <v/>
      </c>
      <c r="O110" s="34">
        <f>IF(AND(O$5&gt;$E110,O$5&lt;=$F110),IF(O$5=$E110+1,$C110,""),"")</f>
        <v/>
      </c>
      <c r="P110" s="34">
        <f>IF(AND(P$5&gt;$E110,P$5&lt;=$F110),IF(P$5=$E110+1,$C110,""),"")</f>
        <v/>
      </c>
      <c r="Q110" s="34">
        <f>IF(AND(Q$5&gt;$E110,Q$5&lt;=$F110),IF(Q$5=$E110+1,$C110,""),"")</f>
        <v/>
      </c>
      <c r="R110" s="34">
        <f>IF(AND(R$5&gt;$E110,R$5&lt;=$F110),IF(R$5=$E110+1,$C110,""),"")</f>
        <v/>
      </c>
      <c r="S110" s="34">
        <f>IF(AND(S$5&gt;$E110,S$5&lt;=$F110),IF(S$5=$E110+1,$C110,""),"")</f>
        <v/>
      </c>
      <c r="T110" s="34">
        <f>IF(AND(T$5&gt;$E110,T$5&lt;=$F110),IF(T$5=$E110+1,$C110,""),"")</f>
        <v/>
      </c>
      <c r="U110" s="34">
        <f>IF(AND(U$5&gt;$E110,U$5&lt;=$F110),IF(U$5=$E110+1,$C110,""),"")</f>
        <v/>
      </c>
      <c r="V110" s="34">
        <f>IF(AND(V$5&gt;$E110,V$5&lt;=$F110),IF(V$5=$E110+1,$C110,""),"")</f>
        <v/>
      </c>
      <c r="W110" s="34">
        <f>IF(AND(W$5&gt;$E110,W$5&lt;=$F110),IF(W$5=$E110+1,$C110,""),"")</f>
        <v/>
      </c>
      <c r="X110" s="34">
        <f>IF(AND(X$5&gt;$E110,X$5&lt;=$F110),IF(X$5=$E110+1,$C110,""),"")</f>
        <v/>
      </c>
      <c r="Y110" s="34">
        <f>IF(AND(Y$5&gt;$E110,Y$5&lt;=$F110),IF(Y$5=$E110+1,$C110,""),"")</f>
        <v/>
      </c>
      <c r="Z110" s="34">
        <f>IF(AND(Z$5&gt;$E110,Z$5&lt;=$F110),IF(Z$5=$E110+1,$C110,""),"")</f>
        <v/>
      </c>
      <c r="AA110" s="34">
        <f>IF(AND(AA$5&gt;$E110,AA$5&lt;=$F110),IF(AA$5=$E110+1,$C110,""),"")</f>
        <v/>
      </c>
      <c r="AB110" s="34">
        <f>IF(AND(AB$5&gt;$E110,AB$5&lt;=$F110),IF(AB$5=$E110+1,$C110,""),"")</f>
        <v/>
      </c>
      <c r="AC110" s="34">
        <f>IF(AND(AC$5&gt;$E110,AC$5&lt;=$F110),IF(AC$5=$E110+1,$C110,""),"")</f>
        <v/>
      </c>
      <c r="AD110" s="34">
        <f>IF(AND(AD$5&gt;$E110,AD$5&lt;=$F110),IF(AD$5=$E110+1,$C110,""),"")</f>
        <v/>
      </c>
      <c r="AE110" s="34">
        <f>IF(AND(AE$5&gt;$E110,AE$5&lt;=$F110),IF(AE$5=$E110+1,$C110,""),"")</f>
        <v/>
      </c>
      <c r="AF110" s="34">
        <f>IF(AND(AF$5&gt;$E110,AF$5&lt;=$F110),IF(AF$5=$E110+1,$C110,""),"")</f>
        <v/>
      </c>
      <c r="AG110" s="34">
        <f>IF(AND(AG$5&gt;$E110,AG$5&lt;=$F110),IF(AG$5=$E110+1,$C110,""),"")</f>
        <v/>
      </c>
      <c r="AH110" s="34">
        <f>IF(AND(AH$5&gt;$E110,AH$5&lt;=$F110),IF(AH$5=$E110+1,$C110,""),"")</f>
        <v/>
      </c>
      <c r="AI110" s="34">
        <f>IF(AND(AI$5&gt;$E110,AI$5&lt;=$F110),IF(AI$5=$E110+1,$C110,""),"")</f>
        <v/>
      </c>
      <c r="AJ110" s="34">
        <f>IF(AND(AJ$5&gt;$E110,AJ$5&lt;=$F110),IF(AJ$5=$E110+1,$C110,""),"")</f>
        <v/>
      </c>
      <c r="AK110" s="34">
        <f>IF(AND(AK$5&gt;$E110,AK$5&lt;=$F110),IF(AK$5=$E110+1,$C110,""),"")</f>
        <v/>
      </c>
      <c r="AL110" s="34">
        <f>IF(AND(AL$5&gt;$E110,AL$5&lt;=$F110),IF(AL$5=$E110+1,$C110,""),"")</f>
        <v/>
      </c>
      <c r="AM110" s="34">
        <f>IF(AND(AM$5&gt;$E110,AM$5&lt;=$F110),IF(AM$5=$E110+1,$C110,""),"")</f>
        <v/>
      </c>
      <c r="AN110" s="34">
        <f>IF(AND(AN$5&gt;$E110,AN$5&lt;=$F110),IF(AN$5=$E110+1,$C110,""),"")</f>
        <v/>
      </c>
      <c r="AO110" s="34">
        <f>IF(AND(AO$5&gt;$E110,AO$5&lt;=$F110),IF(AO$5=$E110+1,$C110,""),"")</f>
        <v/>
      </c>
      <c r="AP110" s="34">
        <f>IF(AND(AP$5&gt;$E110,AP$5&lt;=$F110),IF(AP$5=$E110+1,$C110,""),"")</f>
        <v/>
      </c>
      <c r="AQ110" s="34">
        <f>IF(AND(AQ$5&gt;$E110,AQ$5&lt;=$F110),IF(AQ$5=$E110+1,$C110,""),"")</f>
        <v/>
      </c>
      <c r="AR110" s="34">
        <f>IF(AND(AR$5&gt;$E110,AR$5&lt;=$F110),IF(AR$5=$E110+1,$C110,""),"")</f>
        <v/>
      </c>
      <c r="AS110" s="34">
        <f>IF(AND(AS$5&gt;$E110,AS$5&lt;=$F110),IF(AS$5=$E110+1,$C110,""),"")</f>
        <v/>
      </c>
      <c r="AT110" s="34">
        <f>IF(AND(AT$5&gt;$E110,AT$5&lt;=$F110),IF(AT$5=$E110+1,$C110,""),"")</f>
        <v/>
      </c>
      <c r="AU110" s="34">
        <f>IF(AND(AU$5&gt;$E110,AU$5&lt;=$F110),IF(AU$5=$E110+1,$C110,""),"")</f>
        <v/>
      </c>
      <c r="AV110" s="34">
        <f>IF(AND(AV$5&gt;$E110,AV$5&lt;=$F110),IF(AV$5=$E110+1,$C110,""),"")</f>
        <v/>
      </c>
      <c r="AW110" s="34">
        <f>IF(AND(AW$5&gt;$E110,AW$5&lt;=$F110),IF(AW$5=$E110+1,$C110,""),"")</f>
        <v/>
      </c>
      <c r="AX110" s="34">
        <f>IF(AND(AX$5&gt;$E110,AX$5&lt;=$F110),IF(AX$5=$E110+1,$C110,""),"")</f>
        <v/>
      </c>
      <c r="AY110" s="34">
        <f>IF(AND(AY$5&gt;$E110,AY$5&lt;=$F110),IF(AY$5=$E110+1,$C110,""),"")</f>
        <v/>
      </c>
      <c r="AZ110" s="34">
        <f>IF(AND(AZ$5&gt;$E110,AZ$5&lt;=$F110),IF(AZ$5=$E110+1,$C110,""),"")</f>
        <v/>
      </c>
      <c r="BA110" s="34">
        <f>IF(AND(BA$5&gt;$E110,BA$5&lt;=$F110),IF(BA$5=$E110+1,$C110,""),"")</f>
        <v/>
      </c>
      <c r="BB110" s="34">
        <f>IF(AND(BB$5&gt;$E110,BB$5&lt;=$F110),IF(BB$5=$E110+1,$C110,""),"")</f>
        <v/>
      </c>
      <c r="BC110" s="34">
        <f>IF(AND(BC$5&gt;$E110,BC$5&lt;=$F110),IF(BC$5=$E110+1,$C110,""),"")</f>
        <v/>
      </c>
      <c r="BD110" s="34">
        <f>IF(AND(BD$5&gt;$E110,BD$5&lt;=$F110),IF(BD$5=$E110+1,$C110,""),"")</f>
        <v/>
      </c>
      <c r="BE110" s="34">
        <f>IF(AND(BE$5&gt;$E110,BE$5&lt;=$F110),IF(BE$5=$E110+1,$C110,""),"")</f>
        <v/>
      </c>
      <c r="BF110" s="34">
        <f>IF(AND(BF$5&gt;$E110,BF$5&lt;=$F110),IF(BF$5=$E110+1,$C110,""),"")</f>
        <v/>
      </c>
      <c r="BG110" s="34">
        <f>IF(AND(BG$5&gt;$E110,BG$5&lt;=$F110),IF(BG$5=$E110+1,$C110,""),"")</f>
        <v/>
      </c>
      <c r="BH110" s="34">
        <f>IF(AND(BH$5&gt;$E110,BH$5&lt;=$F110),IF(BH$5=$E110+1,$C110,""),"")</f>
        <v/>
      </c>
      <c r="BI110" s="34">
        <f>IF(AND(BI$5&gt;$E110,BI$5&lt;=$F110),IF(BI$5=$E110+1,$C110,""),"")</f>
        <v/>
      </c>
      <c r="BJ110" s="34">
        <f>IF(AND(BJ$5&gt;$E110,BJ$5&lt;=$F110),IF(BJ$5=$E110+1,$C110,""),"")</f>
        <v/>
      </c>
      <c r="BK110" s="34">
        <f>IF(AND(BK$5&gt;$E110,BK$5&lt;=$F110),IF(BK$5=$E110+1,$C110,""),"")</f>
        <v/>
      </c>
      <c r="BL110" s="34">
        <f>IF(AND(BL$5&gt;$E110,BL$5&lt;=$F110),IF(BL$5=$E110+1,$C110,""),"")</f>
        <v/>
      </c>
      <c r="BM110" s="34">
        <f>IF(AND(BM$5&gt;$E110,BM$5&lt;=$F110),IF(BM$5=$E110+1,$C110,""),"")</f>
        <v/>
      </c>
      <c r="BN110" s="34">
        <f>IF(AND(BN$5&gt;$E110,BN$5&lt;=$F110),IF(BN$5=$E110+1,$C110,""),"")</f>
        <v/>
      </c>
      <c r="BO110" s="34">
        <f>IF(AND(BO$5&gt;$E110,BO$5&lt;=$F110),IF(BO$5=$E110+1,$C110,""),"")</f>
        <v/>
      </c>
      <c r="BP110" s="34">
        <f>IF(AND(BP$5&gt;$E110,BP$5&lt;=$F110),IF(BP$5=$E110+1,$C110,""),"")</f>
        <v/>
      </c>
      <c r="BQ110" s="34">
        <f>IF(AND(BQ$5&gt;$E110,BQ$5&lt;=$F110),IF(BQ$5=$E110+1,$C110,""),"")</f>
        <v/>
      </c>
      <c r="BR110" s="34">
        <f>IF(AND(BR$5&gt;$E110,BR$5&lt;=$F110),IF(BR$5=$E110+1,$C110,""),"")</f>
        <v/>
      </c>
      <c r="BS110" s="34">
        <f>IF(AND(BS$5&gt;$E110,BS$5&lt;=$F110),IF(BS$5=$E110+1,$C110,""),"")</f>
        <v/>
      </c>
      <c r="BT110" s="34">
        <f>IF(AND(BT$5&gt;$E110,BT$5&lt;=$F110),IF(BT$5=$E110+1,$C110,""),"")</f>
        <v/>
      </c>
      <c r="BU110" s="34">
        <f>IF(AND(BU$5&gt;$E110,BU$5&lt;=$F110),IF(BU$5=$E110+1,$C110,""),"")</f>
        <v/>
      </c>
      <c r="BV110" s="34">
        <f>IF(AND(BV$5&gt;$E110,BV$5&lt;=$F110),IF(BV$5=$E110+1,$C110,""),"")</f>
        <v/>
      </c>
      <c r="BW110" s="34">
        <f>IF(AND(BW$5&gt;$E110,BW$5&lt;=$F110),IF(BW$5=$E110+1,$C110,""),"")</f>
        <v/>
      </c>
      <c r="BX110" s="34">
        <f>IF(AND(BX$5&gt;$E110,BX$5&lt;=$F110),IF(BX$5=$E110+1,$C110,""),"")</f>
        <v/>
      </c>
      <c r="BY110" s="34">
        <f>IF(AND(BY$5&gt;$E110,BY$5&lt;=$F110),IF(BY$5=$E110+1,$C110,""),"")</f>
        <v/>
      </c>
      <c r="BZ110" s="34">
        <f>IF(AND(BZ$5&gt;$E110,BZ$5&lt;=$F110),IF(BZ$5=$E110+1,$C110,""),"")</f>
        <v/>
      </c>
      <c r="CA110" s="34">
        <f>IF(AND(CA$5&gt;$E110,CA$5&lt;=$F110),IF(CA$5=$E110+1,$C110,""),"")</f>
        <v/>
      </c>
      <c r="CB110" s="34">
        <f>IF(AND(CB$5&gt;$E110,CB$5&lt;=$F110),IF(CB$5=$E110+1,$C110,""),"")</f>
        <v/>
      </c>
      <c r="CC110" s="34">
        <f>IF(AND(CC$5&gt;$E110,CC$5&lt;=$F110),IF(CC$5=$E110+1,$C110,""),"")</f>
        <v/>
      </c>
      <c r="CD110" s="34">
        <f>IF(AND(CD$5&gt;$E110,CD$5&lt;=$F110),IF(CD$5=$E110+1,$C110,""),"")</f>
        <v/>
      </c>
      <c r="CE110" s="34">
        <f>IF(AND(CE$5&gt;$E110,CE$5&lt;=$F110),IF(CE$5=$E110+1,$C110,""),"")</f>
        <v/>
      </c>
      <c r="CF110" s="34">
        <f>IF(AND(CF$5&gt;$E110,CF$5&lt;=$F110),IF(CF$5=$E110+1,$C110,""),"")</f>
        <v/>
      </c>
      <c r="CG110" s="34">
        <f>IF(AND(CG$5&gt;$E110,CG$5&lt;=$F110),IF(CG$5=$E110+1,$C110,""),"")</f>
        <v/>
      </c>
      <c r="CH110" s="34">
        <f>IF(AND(CH$5&gt;$E110,CH$5&lt;=$F110),IF(CH$5=$E110+1,$C110,""),"")</f>
        <v/>
      </c>
      <c r="CI110" s="34">
        <f>IF(AND(CI$5&gt;$E110,CI$5&lt;=$F110),IF(CI$5=$E110+1,$C110,""),"")</f>
        <v/>
      </c>
      <c r="CJ110" s="34">
        <f>IF(AND(CJ$5&gt;$E110,CJ$5&lt;=$F110),IF(CJ$5=$E110+1,$C110,""),"")</f>
        <v/>
      </c>
      <c r="CK110" s="34">
        <f>IF(AND(CK$5&gt;$E110,CK$5&lt;=$F110),IF(CK$5=$E110+1,$C110,""),"")</f>
        <v/>
      </c>
      <c r="CL110" s="34">
        <f>IF(AND(CL$5&gt;$E110,CL$5&lt;=$F110),IF(CL$5=$E110+1,$C110,""),"")</f>
        <v/>
      </c>
      <c r="CM110" s="34">
        <f>IF(AND(CM$5&gt;$E110,CM$5&lt;=$F110),IF(CM$5=$E110+1,$C110,""),"")</f>
        <v/>
      </c>
      <c r="CN110" s="34">
        <f>IF(AND(CN$5&gt;$E110,CN$5&lt;=$F110),IF(CN$5=$E110+1,$C110,""),"")</f>
        <v/>
      </c>
      <c r="CO110" s="34">
        <f>IF(AND(CO$5&gt;$E110,CO$5&lt;=$F110),IF(CO$5=$E110+1,$C110,""),"")</f>
        <v/>
      </c>
      <c r="CP110" s="34">
        <f>IF(AND(CP$5&gt;$E110,CP$5&lt;=$F110),IF(CP$5=$E110+1,$C110,""),"")</f>
        <v/>
      </c>
      <c r="CQ110" s="34">
        <f>IF(AND(CQ$5&gt;$E110,CQ$5&lt;=$F110),IF(CQ$5=$E110+1,$C110,""),"")</f>
        <v/>
      </c>
      <c r="CR110" s="34">
        <f>IF(AND(CR$5&gt;$E110,CR$5&lt;=$F110),IF(CR$5=$E110+1,$C110,""),"")</f>
        <v/>
      </c>
      <c r="CS110" s="34">
        <f>IF(AND(CS$5&gt;$E110,CS$5&lt;=$F110),IF(CS$5=$E110+1,$C110,""),"")</f>
        <v/>
      </c>
      <c r="CT110" s="34">
        <f>IF(AND(CT$5&gt;$E110,CT$5&lt;=$F110),IF(CT$5=$E110+1,$C110,""),"")</f>
        <v/>
      </c>
      <c r="CU110" s="34">
        <f>IF(AND(CU$5&gt;$E110,CU$5&lt;=$F110),IF(CU$5=$E110+1,$C110,""),"")</f>
        <v/>
      </c>
      <c r="CV110" s="34">
        <f>IF(AND(CV$5&gt;$E110,CV$5&lt;=$F110),IF(CV$5=$E110+1,$C110,""),"")</f>
        <v/>
      </c>
      <c r="CW110" s="34">
        <f>IF(AND(CW$5&gt;$E110,CW$5&lt;=$F110),IF(CW$5=$E110+1,$C110,""),"")</f>
        <v/>
      </c>
      <c r="CX110" s="34">
        <f>IF(AND(CX$5&gt;$E110,CX$5&lt;=$F110),IF(CX$5=$E110+1,$C110,""),"")</f>
        <v/>
      </c>
      <c r="CY110" s="34">
        <f>IF(AND(CY$5&gt;$E110,CY$5&lt;=$F110),IF(CY$5=$E110+1,$C110,""),"")</f>
        <v/>
      </c>
      <c r="CZ110" s="34">
        <f>IF(AND(CZ$5&gt;$E110,CZ$5&lt;=$F110),IF(CZ$5=$E110+1,$C110,""),"")</f>
        <v/>
      </c>
      <c r="DA110" s="34">
        <f>IF(AND(DA$5&gt;$E110,DA$5&lt;=$F110),IF(DA$5=$E110+1,$C110,""),"")</f>
        <v/>
      </c>
      <c r="DB110" s="34">
        <f>IF(AND(DB$5&gt;$E110,DB$5&lt;=$F110),IF(DB$5=$E110+1,$C110,""),"")</f>
        <v/>
      </c>
      <c r="DC110" s="34">
        <f>IF(AND(DC$5&gt;$E110,DC$5&lt;=$F110),IF(DC$5=$E110+1,$C110,""),"")</f>
        <v/>
      </c>
      <c r="DD110" s="34">
        <f>IF(AND(DD$5&gt;$E110,DD$5&lt;=$F110),IF(DD$5=$E110+1,$C110,""),"")</f>
        <v/>
      </c>
      <c r="DE110" s="34">
        <f>IF(AND(DE$5&gt;$E110,DE$5&lt;=$F110),IF(DE$5=$E110+1,$C110,""),"")</f>
        <v/>
      </c>
      <c r="DF110" s="34">
        <f>IF(AND(DF$5&gt;$E110,DF$5&lt;=$F110),IF(DF$5=$E110+1,$C110,""),"")</f>
        <v/>
      </c>
      <c r="DG110" s="34">
        <f>IF(AND(DG$5&gt;$E110,DG$5&lt;=$F110),IF(DG$5=$E110+1,$C110,""),"")</f>
        <v/>
      </c>
      <c r="DH110" s="34">
        <f>IF(AND(DH$5&gt;$E110,DH$5&lt;=$F110),IF(DH$5=$E110+1,$C110,""),"")</f>
        <v/>
      </c>
      <c r="DI110" s="34">
        <f>IF(AND(DI$5&gt;$E110,DI$5&lt;=$F110),IF(DI$5=$E110+1,$C110,""),"")</f>
        <v/>
      </c>
      <c r="DJ110" s="34">
        <f>IF(AND(DJ$5&gt;$E110,DJ$5&lt;=$F110),IF(DJ$5=$E110+1,$C110,""),"")</f>
        <v/>
      </c>
      <c r="DK110" s="34">
        <f>IF(AND(DK$5&gt;$E110,DK$5&lt;=$F110),IF(DK$5=$E110+1,$C110,""),"")</f>
        <v/>
      </c>
      <c r="DL110" s="34">
        <f>IF(AND(DL$5&gt;$E110,DL$5&lt;=$F110),IF(DL$5=$E110+1,$C110,""),"")</f>
        <v/>
      </c>
      <c r="DM110" s="34">
        <f>IF(AND(DM$5&gt;$E110,DM$5&lt;=$F110),IF(DM$5=$E110+1,$C110,""),"")</f>
        <v/>
      </c>
      <c r="DN110" s="34">
        <f>IF(AND(DN$5&gt;$E110,DN$5&lt;=$F110),IF(DN$5=$E110+1,$C110,""),"")</f>
        <v/>
      </c>
      <c r="DO110" s="34">
        <f>IF(AND(DO$5&gt;$E110,DO$5&lt;=$F110),IF(DO$5=$E110+1,$C110,""),"")</f>
        <v/>
      </c>
      <c r="DP110" s="34">
        <f>IF(AND(DP$5&gt;$E110,DP$5&lt;=$F110),IF(DP$5=$E110+1,$C110,""),"")</f>
        <v/>
      </c>
      <c r="DQ110" s="34">
        <f>IF(AND(DQ$5&gt;$E110,DQ$5&lt;=$F110),IF(DQ$5=$E110+1,$C110,""),"")</f>
        <v/>
      </c>
      <c r="DR110" s="34">
        <f>IF(AND(DR$5&gt;$E110,DR$5&lt;=$F110),IF(DR$5=$E110+1,$C110,""),"")</f>
        <v/>
      </c>
      <c r="DS110" s="34">
        <f>IF(AND(DS$5&gt;$E110,DS$5&lt;=$F110),IF(DS$5=$E110+1,$C110,""),"")</f>
        <v/>
      </c>
      <c r="DT110" s="34">
        <f>IF(AND(DT$5&gt;$E110,DT$5&lt;=$F110),IF(DT$5=$E110+1,$C110,""),"")</f>
        <v/>
      </c>
      <c r="DU110" s="34">
        <f>IF(AND(DU$5&gt;$E110,DU$5&lt;=$F110),IF(DU$5=$E110+1,$C110,""),"")</f>
        <v/>
      </c>
      <c r="DV110" s="34">
        <f>IF(AND(DV$5&gt;$E110,DV$5&lt;=$F110),IF(DV$5=$E110+1,$C110,""),"")</f>
        <v/>
      </c>
      <c r="DW110" s="34">
        <f>IF(AND(DW$5&gt;$E110,DW$5&lt;=$F110),IF(DW$5=$E110+1,$C110,""),"")</f>
        <v/>
      </c>
      <c r="DX110" s="34">
        <f>IF(AND(DX$5&gt;$E110,DX$5&lt;=$F110),IF(DX$5=$E110+1,$C110,""),"")</f>
        <v/>
      </c>
      <c r="DY110" s="34">
        <f>IF(AND(DY$5&gt;$E110,DY$5&lt;=$F110),IF(DY$5=$E110+1,$C110,""),"")</f>
        <v/>
      </c>
      <c r="DZ110" s="34">
        <f>IF(AND(DZ$5&gt;$E110,DZ$5&lt;=$F110),IF(DZ$5=$E110+1,$C110,""),"")</f>
        <v/>
      </c>
      <c r="EA110" s="34">
        <f>IF(AND(EA$5&gt;$E110,EA$5&lt;=$F110),IF(EA$5=$E110+1,$C110,""),"")</f>
        <v/>
      </c>
      <c r="EB110" s="34">
        <f>IF(AND(EB$5&gt;$E110,EB$5&lt;=$F110),IF(EB$5=$E110+1,$C110,""),"")</f>
        <v/>
      </c>
      <c r="EC110" s="34">
        <f>IF(AND(EC$5&gt;$E110,EC$5&lt;=$F110),IF(EC$5=$E110+1,$C110,""),"")</f>
        <v/>
      </c>
      <c r="ED110" s="34">
        <f>IF(AND(ED$5&gt;$E110,ED$5&lt;=$F110),IF(ED$5=$E110+1,$C110,""),"")</f>
        <v/>
      </c>
      <c r="EE110" s="34">
        <f>IF(AND(EE$5&gt;$E110,EE$5&lt;=$F110),IF(EE$5=$E110+1,$C110,""),"")</f>
        <v/>
      </c>
      <c r="EF110" s="34">
        <f>IF(AND(EF$5&gt;$E110,EF$5&lt;=$F110),IF(EF$5=$E110+1,$C110,""),"")</f>
        <v/>
      </c>
      <c r="EG110" s="34">
        <f>IF(AND(EG$5&gt;$E110,EG$5&lt;=$F110),IF(EG$5=$E110+1,$C110,""),"")</f>
        <v/>
      </c>
    </row>
    <row r="111">
      <c r="A111" s="32">
        <f>Plan!A88</f>
        <v/>
      </c>
      <c r="B111" s="33">
        <f>Plan!C88</f>
        <v/>
      </c>
      <c r="C111" s="16">
        <f>Plan!D88</f>
        <v/>
      </c>
      <c r="D111" s="16">
        <f>Plan!I88</f>
        <v/>
      </c>
      <c r="E111" s="16">
        <f>Plan!K88</f>
        <v/>
      </c>
      <c r="F111" s="16">
        <f>Plan!L88</f>
        <v/>
      </c>
      <c r="G111" s="16">
        <f>Plan!O88</f>
        <v/>
      </c>
      <c r="H111" s="34">
        <f>IF(AND(H$5&gt;$E111,H$5&lt;=$F111),IF(H$5=$E111+1,$C111,""),"")</f>
        <v/>
      </c>
      <c r="I111" s="34">
        <f>IF(AND(I$5&gt;$E111,I$5&lt;=$F111),IF(I$5=$E111+1,$C111,""),"")</f>
        <v/>
      </c>
      <c r="J111" s="34">
        <f>IF(AND(J$5&gt;$E111,J$5&lt;=$F111),IF(J$5=$E111+1,$C111,""),"")</f>
        <v/>
      </c>
      <c r="K111" s="34">
        <f>IF(AND(K$5&gt;$E111,K$5&lt;=$F111),IF(K$5=$E111+1,$C111,""),"")</f>
        <v/>
      </c>
      <c r="L111" s="34">
        <f>IF(AND(L$5&gt;$E111,L$5&lt;=$F111),IF(L$5=$E111+1,$C111,""),"")</f>
        <v/>
      </c>
      <c r="M111" s="34">
        <f>IF(AND(M$5&gt;$E111,M$5&lt;=$F111),IF(M$5=$E111+1,$C111,""),"")</f>
        <v/>
      </c>
      <c r="N111" s="34">
        <f>IF(AND(N$5&gt;$E111,N$5&lt;=$F111),IF(N$5=$E111+1,$C111,""),"")</f>
        <v/>
      </c>
      <c r="O111" s="34">
        <f>IF(AND(O$5&gt;$E111,O$5&lt;=$F111),IF(O$5=$E111+1,$C111,""),"")</f>
        <v/>
      </c>
      <c r="P111" s="34">
        <f>IF(AND(P$5&gt;$E111,P$5&lt;=$F111),IF(P$5=$E111+1,$C111,""),"")</f>
        <v/>
      </c>
      <c r="Q111" s="34">
        <f>IF(AND(Q$5&gt;$E111,Q$5&lt;=$F111),IF(Q$5=$E111+1,$C111,""),"")</f>
        <v/>
      </c>
      <c r="R111" s="34">
        <f>IF(AND(R$5&gt;$E111,R$5&lt;=$F111),IF(R$5=$E111+1,$C111,""),"")</f>
        <v/>
      </c>
      <c r="S111" s="34">
        <f>IF(AND(S$5&gt;$E111,S$5&lt;=$F111),IF(S$5=$E111+1,$C111,""),"")</f>
        <v/>
      </c>
      <c r="T111" s="34">
        <f>IF(AND(T$5&gt;$E111,T$5&lt;=$F111),IF(T$5=$E111+1,$C111,""),"")</f>
        <v/>
      </c>
      <c r="U111" s="34">
        <f>IF(AND(U$5&gt;$E111,U$5&lt;=$F111),IF(U$5=$E111+1,$C111,""),"")</f>
        <v/>
      </c>
      <c r="V111" s="34">
        <f>IF(AND(V$5&gt;$E111,V$5&lt;=$F111),IF(V$5=$E111+1,$C111,""),"")</f>
        <v/>
      </c>
      <c r="W111" s="34">
        <f>IF(AND(W$5&gt;$E111,W$5&lt;=$F111),IF(W$5=$E111+1,$C111,""),"")</f>
        <v/>
      </c>
      <c r="X111" s="34">
        <f>IF(AND(X$5&gt;$E111,X$5&lt;=$F111),IF(X$5=$E111+1,$C111,""),"")</f>
        <v/>
      </c>
      <c r="Y111" s="34">
        <f>IF(AND(Y$5&gt;$E111,Y$5&lt;=$F111),IF(Y$5=$E111+1,$C111,""),"")</f>
        <v/>
      </c>
      <c r="Z111" s="34">
        <f>IF(AND(Z$5&gt;$E111,Z$5&lt;=$F111),IF(Z$5=$E111+1,$C111,""),"")</f>
        <v/>
      </c>
      <c r="AA111" s="34">
        <f>IF(AND(AA$5&gt;$E111,AA$5&lt;=$F111),IF(AA$5=$E111+1,$C111,""),"")</f>
        <v/>
      </c>
      <c r="AB111" s="34">
        <f>IF(AND(AB$5&gt;$E111,AB$5&lt;=$F111),IF(AB$5=$E111+1,$C111,""),"")</f>
        <v/>
      </c>
      <c r="AC111" s="34">
        <f>IF(AND(AC$5&gt;$E111,AC$5&lt;=$F111),IF(AC$5=$E111+1,$C111,""),"")</f>
        <v/>
      </c>
      <c r="AD111" s="34">
        <f>IF(AND(AD$5&gt;$E111,AD$5&lt;=$F111),IF(AD$5=$E111+1,$C111,""),"")</f>
        <v/>
      </c>
      <c r="AE111" s="34">
        <f>IF(AND(AE$5&gt;$E111,AE$5&lt;=$F111),IF(AE$5=$E111+1,$C111,""),"")</f>
        <v/>
      </c>
      <c r="AF111" s="34">
        <f>IF(AND(AF$5&gt;$E111,AF$5&lt;=$F111),IF(AF$5=$E111+1,$C111,""),"")</f>
        <v/>
      </c>
      <c r="AG111" s="34">
        <f>IF(AND(AG$5&gt;$E111,AG$5&lt;=$F111),IF(AG$5=$E111+1,$C111,""),"")</f>
        <v/>
      </c>
      <c r="AH111" s="34">
        <f>IF(AND(AH$5&gt;$E111,AH$5&lt;=$F111),IF(AH$5=$E111+1,$C111,""),"")</f>
        <v/>
      </c>
      <c r="AI111" s="34">
        <f>IF(AND(AI$5&gt;$E111,AI$5&lt;=$F111),IF(AI$5=$E111+1,$C111,""),"")</f>
        <v/>
      </c>
      <c r="AJ111" s="34">
        <f>IF(AND(AJ$5&gt;$E111,AJ$5&lt;=$F111),IF(AJ$5=$E111+1,$C111,""),"")</f>
        <v/>
      </c>
      <c r="AK111" s="34">
        <f>IF(AND(AK$5&gt;$E111,AK$5&lt;=$F111),IF(AK$5=$E111+1,$C111,""),"")</f>
        <v/>
      </c>
      <c r="AL111" s="34">
        <f>IF(AND(AL$5&gt;$E111,AL$5&lt;=$F111),IF(AL$5=$E111+1,$C111,""),"")</f>
        <v/>
      </c>
      <c r="AM111" s="34">
        <f>IF(AND(AM$5&gt;$E111,AM$5&lt;=$F111),IF(AM$5=$E111+1,$C111,""),"")</f>
        <v/>
      </c>
      <c r="AN111" s="34">
        <f>IF(AND(AN$5&gt;$E111,AN$5&lt;=$F111),IF(AN$5=$E111+1,$C111,""),"")</f>
        <v/>
      </c>
      <c r="AO111" s="34">
        <f>IF(AND(AO$5&gt;$E111,AO$5&lt;=$F111),IF(AO$5=$E111+1,$C111,""),"")</f>
        <v/>
      </c>
      <c r="AP111" s="34">
        <f>IF(AND(AP$5&gt;$E111,AP$5&lt;=$F111),IF(AP$5=$E111+1,$C111,""),"")</f>
        <v/>
      </c>
      <c r="AQ111" s="34">
        <f>IF(AND(AQ$5&gt;$E111,AQ$5&lt;=$F111),IF(AQ$5=$E111+1,$C111,""),"")</f>
        <v/>
      </c>
      <c r="AR111" s="34">
        <f>IF(AND(AR$5&gt;$E111,AR$5&lt;=$F111),IF(AR$5=$E111+1,$C111,""),"")</f>
        <v/>
      </c>
      <c r="AS111" s="34">
        <f>IF(AND(AS$5&gt;$E111,AS$5&lt;=$F111),IF(AS$5=$E111+1,$C111,""),"")</f>
        <v/>
      </c>
      <c r="AT111" s="34">
        <f>IF(AND(AT$5&gt;$E111,AT$5&lt;=$F111),IF(AT$5=$E111+1,$C111,""),"")</f>
        <v/>
      </c>
      <c r="AU111" s="34">
        <f>IF(AND(AU$5&gt;$E111,AU$5&lt;=$F111),IF(AU$5=$E111+1,$C111,""),"")</f>
        <v/>
      </c>
      <c r="AV111" s="34">
        <f>IF(AND(AV$5&gt;$E111,AV$5&lt;=$F111),IF(AV$5=$E111+1,$C111,""),"")</f>
        <v/>
      </c>
      <c r="AW111" s="34">
        <f>IF(AND(AW$5&gt;$E111,AW$5&lt;=$F111),IF(AW$5=$E111+1,$C111,""),"")</f>
        <v/>
      </c>
      <c r="AX111" s="34">
        <f>IF(AND(AX$5&gt;$E111,AX$5&lt;=$F111),IF(AX$5=$E111+1,$C111,""),"")</f>
        <v/>
      </c>
      <c r="AY111" s="34">
        <f>IF(AND(AY$5&gt;$E111,AY$5&lt;=$F111),IF(AY$5=$E111+1,$C111,""),"")</f>
        <v/>
      </c>
      <c r="AZ111" s="34">
        <f>IF(AND(AZ$5&gt;$E111,AZ$5&lt;=$F111),IF(AZ$5=$E111+1,$C111,""),"")</f>
        <v/>
      </c>
      <c r="BA111" s="34">
        <f>IF(AND(BA$5&gt;$E111,BA$5&lt;=$F111),IF(BA$5=$E111+1,$C111,""),"")</f>
        <v/>
      </c>
      <c r="BB111" s="34">
        <f>IF(AND(BB$5&gt;$E111,BB$5&lt;=$F111),IF(BB$5=$E111+1,$C111,""),"")</f>
        <v/>
      </c>
      <c r="BC111" s="34">
        <f>IF(AND(BC$5&gt;$E111,BC$5&lt;=$F111),IF(BC$5=$E111+1,$C111,""),"")</f>
        <v/>
      </c>
      <c r="BD111" s="34">
        <f>IF(AND(BD$5&gt;$E111,BD$5&lt;=$F111),IF(BD$5=$E111+1,$C111,""),"")</f>
        <v/>
      </c>
      <c r="BE111" s="34">
        <f>IF(AND(BE$5&gt;$E111,BE$5&lt;=$F111),IF(BE$5=$E111+1,$C111,""),"")</f>
        <v/>
      </c>
      <c r="BF111" s="34">
        <f>IF(AND(BF$5&gt;$E111,BF$5&lt;=$F111),IF(BF$5=$E111+1,$C111,""),"")</f>
        <v/>
      </c>
      <c r="BG111" s="34">
        <f>IF(AND(BG$5&gt;$E111,BG$5&lt;=$F111),IF(BG$5=$E111+1,$C111,""),"")</f>
        <v/>
      </c>
      <c r="BH111" s="34">
        <f>IF(AND(BH$5&gt;$E111,BH$5&lt;=$F111),IF(BH$5=$E111+1,$C111,""),"")</f>
        <v/>
      </c>
      <c r="BI111" s="34">
        <f>IF(AND(BI$5&gt;$E111,BI$5&lt;=$F111),IF(BI$5=$E111+1,$C111,""),"")</f>
        <v/>
      </c>
      <c r="BJ111" s="34">
        <f>IF(AND(BJ$5&gt;$E111,BJ$5&lt;=$F111),IF(BJ$5=$E111+1,$C111,""),"")</f>
        <v/>
      </c>
      <c r="BK111" s="34">
        <f>IF(AND(BK$5&gt;$E111,BK$5&lt;=$F111),IF(BK$5=$E111+1,$C111,""),"")</f>
        <v/>
      </c>
      <c r="BL111" s="34">
        <f>IF(AND(BL$5&gt;$E111,BL$5&lt;=$F111),IF(BL$5=$E111+1,$C111,""),"")</f>
        <v/>
      </c>
      <c r="BM111" s="34">
        <f>IF(AND(BM$5&gt;$E111,BM$5&lt;=$F111),IF(BM$5=$E111+1,$C111,""),"")</f>
        <v/>
      </c>
      <c r="BN111" s="34">
        <f>IF(AND(BN$5&gt;$E111,BN$5&lt;=$F111),IF(BN$5=$E111+1,$C111,""),"")</f>
        <v/>
      </c>
      <c r="BO111" s="34">
        <f>IF(AND(BO$5&gt;$E111,BO$5&lt;=$F111),IF(BO$5=$E111+1,$C111,""),"")</f>
        <v/>
      </c>
      <c r="BP111" s="34">
        <f>IF(AND(BP$5&gt;$E111,BP$5&lt;=$F111),IF(BP$5=$E111+1,$C111,""),"")</f>
        <v/>
      </c>
      <c r="BQ111" s="34">
        <f>IF(AND(BQ$5&gt;$E111,BQ$5&lt;=$F111),IF(BQ$5=$E111+1,$C111,""),"")</f>
        <v/>
      </c>
      <c r="BR111" s="34">
        <f>IF(AND(BR$5&gt;$E111,BR$5&lt;=$F111),IF(BR$5=$E111+1,$C111,""),"")</f>
        <v/>
      </c>
      <c r="BS111" s="34">
        <f>IF(AND(BS$5&gt;$E111,BS$5&lt;=$F111),IF(BS$5=$E111+1,$C111,""),"")</f>
        <v/>
      </c>
      <c r="BT111" s="34">
        <f>IF(AND(BT$5&gt;$E111,BT$5&lt;=$F111),IF(BT$5=$E111+1,$C111,""),"")</f>
        <v/>
      </c>
      <c r="BU111" s="34">
        <f>IF(AND(BU$5&gt;$E111,BU$5&lt;=$F111),IF(BU$5=$E111+1,$C111,""),"")</f>
        <v/>
      </c>
      <c r="BV111" s="34">
        <f>IF(AND(BV$5&gt;$E111,BV$5&lt;=$F111),IF(BV$5=$E111+1,$C111,""),"")</f>
        <v/>
      </c>
      <c r="BW111" s="34">
        <f>IF(AND(BW$5&gt;$E111,BW$5&lt;=$F111),IF(BW$5=$E111+1,$C111,""),"")</f>
        <v/>
      </c>
      <c r="BX111" s="34">
        <f>IF(AND(BX$5&gt;$E111,BX$5&lt;=$F111),IF(BX$5=$E111+1,$C111,""),"")</f>
        <v/>
      </c>
      <c r="BY111" s="34">
        <f>IF(AND(BY$5&gt;$E111,BY$5&lt;=$F111),IF(BY$5=$E111+1,$C111,""),"")</f>
        <v/>
      </c>
      <c r="BZ111" s="34">
        <f>IF(AND(BZ$5&gt;$E111,BZ$5&lt;=$F111),IF(BZ$5=$E111+1,$C111,""),"")</f>
        <v/>
      </c>
      <c r="CA111" s="34">
        <f>IF(AND(CA$5&gt;$E111,CA$5&lt;=$F111),IF(CA$5=$E111+1,$C111,""),"")</f>
        <v/>
      </c>
      <c r="CB111" s="34">
        <f>IF(AND(CB$5&gt;$E111,CB$5&lt;=$F111),IF(CB$5=$E111+1,$C111,""),"")</f>
        <v/>
      </c>
      <c r="CC111" s="34">
        <f>IF(AND(CC$5&gt;$E111,CC$5&lt;=$F111),IF(CC$5=$E111+1,$C111,""),"")</f>
        <v/>
      </c>
      <c r="CD111" s="34">
        <f>IF(AND(CD$5&gt;$E111,CD$5&lt;=$F111),IF(CD$5=$E111+1,$C111,""),"")</f>
        <v/>
      </c>
      <c r="CE111" s="34">
        <f>IF(AND(CE$5&gt;$E111,CE$5&lt;=$F111),IF(CE$5=$E111+1,$C111,""),"")</f>
        <v/>
      </c>
      <c r="CF111" s="34">
        <f>IF(AND(CF$5&gt;$E111,CF$5&lt;=$F111),IF(CF$5=$E111+1,$C111,""),"")</f>
        <v/>
      </c>
      <c r="CG111" s="34">
        <f>IF(AND(CG$5&gt;$E111,CG$5&lt;=$F111),IF(CG$5=$E111+1,$C111,""),"")</f>
        <v/>
      </c>
      <c r="CH111" s="34">
        <f>IF(AND(CH$5&gt;$E111,CH$5&lt;=$F111),IF(CH$5=$E111+1,$C111,""),"")</f>
        <v/>
      </c>
      <c r="CI111" s="34">
        <f>IF(AND(CI$5&gt;$E111,CI$5&lt;=$F111),IF(CI$5=$E111+1,$C111,""),"")</f>
        <v/>
      </c>
      <c r="CJ111" s="34">
        <f>IF(AND(CJ$5&gt;$E111,CJ$5&lt;=$F111),IF(CJ$5=$E111+1,$C111,""),"")</f>
        <v/>
      </c>
      <c r="CK111" s="34">
        <f>IF(AND(CK$5&gt;$E111,CK$5&lt;=$F111),IF(CK$5=$E111+1,$C111,""),"")</f>
        <v/>
      </c>
      <c r="CL111" s="34">
        <f>IF(AND(CL$5&gt;$E111,CL$5&lt;=$F111),IF(CL$5=$E111+1,$C111,""),"")</f>
        <v/>
      </c>
      <c r="CM111" s="34">
        <f>IF(AND(CM$5&gt;$E111,CM$5&lt;=$F111),IF(CM$5=$E111+1,$C111,""),"")</f>
        <v/>
      </c>
      <c r="CN111" s="34">
        <f>IF(AND(CN$5&gt;$E111,CN$5&lt;=$F111),IF(CN$5=$E111+1,$C111,""),"")</f>
        <v/>
      </c>
      <c r="CO111" s="34">
        <f>IF(AND(CO$5&gt;$E111,CO$5&lt;=$F111),IF(CO$5=$E111+1,$C111,""),"")</f>
        <v/>
      </c>
      <c r="CP111" s="34">
        <f>IF(AND(CP$5&gt;$E111,CP$5&lt;=$F111),IF(CP$5=$E111+1,$C111,""),"")</f>
        <v/>
      </c>
      <c r="CQ111" s="34">
        <f>IF(AND(CQ$5&gt;$E111,CQ$5&lt;=$F111),IF(CQ$5=$E111+1,$C111,""),"")</f>
        <v/>
      </c>
      <c r="CR111" s="34">
        <f>IF(AND(CR$5&gt;$E111,CR$5&lt;=$F111),IF(CR$5=$E111+1,$C111,""),"")</f>
        <v/>
      </c>
      <c r="CS111" s="34">
        <f>IF(AND(CS$5&gt;$E111,CS$5&lt;=$F111),IF(CS$5=$E111+1,$C111,""),"")</f>
        <v/>
      </c>
      <c r="CT111" s="34">
        <f>IF(AND(CT$5&gt;$E111,CT$5&lt;=$F111),IF(CT$5=$E111+1,$C111,""),"")</f>
        <v/>
      </c>
      <c r="CU111" s="34">
        <f>IF(AND(CU$5&gt;$E111,CU$5&lt;=$F111),IF(CU$5=$E111+1,$C111,""),"")</f>
        <v/>
      </c>
      <c r="CV111" s="34">
        <f>IF(AND(CV$5&gt;$E111,CV$5&lt;=$F111),IF(CV$5=$E111+1,$C111,""),"")</f>
        <v/>
      </c>
      <c r="CW111" s="34">
        <f>IF(AND(CW$5&gt;$E111,CW$5&lt;=$F111),IF(CW$5=$E111+1,$C111,""),"")</f>
        <v/>
      </c>
      <c r="CX111" s="34">
        <f>IF(AND(CX$5&gt;$E111,CX$5&lt;=$F111),IF(CX$5=$E111+1,$C111,""),"")</f>
        <v/>
      </c>
      <c r="CY111" s="34">
        <f>IF(AND(CY$5&gt;$E111,CY$5&lt;=$F111),IF(CY$5=$E111+1,$C111,""),"")</f>
        <v/>
      </c>
      <c r="CZ111" s="34">
        <f>IF(AND(CZ$5&gt;$E111,CZ$5&lt;=$F111),IF(CZ$5=$E111+1,$C111,""),"")</f>
        <v/>
      </c>
      <c r="DA111" s="34">
        <f>IF(AND(DA$5&gt;$E111,DA$5&lt;=$F111),IF(DA$5=$E111+1,$C111,""),"")</f>
        <v/>
      </c>
      <c r="DB111" s="34">
        <f>IF(AND(DB$5&gt;$E111,DB$5&lt;=$F111),IF(DB$5=$E111+1,$C111,""),"")</f>
        <v/>
      </c>
      <c r="DC111" s="34">
        <f>IF(AND(DC$5&gt;$E111,DC$5&lt;=$F111),IF(DC$5=$E111+1,$C111,""),"")</f>
        <v/>
      </c>
      <c r="DD111" s="34">
        <f>IF(AND(DD$5&gt;$E111,DD$5&lt;=$F111),IF(DD$5=$E111+1,$C111,""),"")</f>
        <v/>
      </c>
      <c r="DE111" s="34">
        <f>IF(AND(DE$5&gt;$E111,DE$5&lt;=$F111),IF(DE$5=$E111+1,$C111,""),"")</f>
        <v/>
      </c>
      <c r="DF111" s="34">
        <f>IF(AND(DF$5&gt;$E111,DF$5&lt;=$F111),IF(DF$5=$E111+1,$C111,""),"")</f>
        <v/>
      </c>
      <c r="DG111" s="34">
        <f>IF(AND(DG$5&gt;$E111,DG$5&lt;=$F111),IF(DG$5=$E111+1,$C111,""),"")</f>
        <v/>
      </c>
      <c r="DH111" s="34">
        <f>IF(AND(DH$5&gt;$E111,DH$5&lt;=$F111),IF(DH$5=$E111+1,$C111,""),"")</f>
        <v/>
      </c>
      <c r="DI111" s="34">
        <f>IF(AND(DI$5&gt;$E111,DI$5&lt;=$F111),IF(DI$5=$E111+1,$C111,""),"")</f>
        <v/>
      </c>
      <c r="DJ111" s="34">
        <f>IF(AND(DJ$5&gt;$E111,DJ$5&lt;=$F111),IF(DJ$5=$E111+1,$C111,""),"")</f>
        <v/>
      </c>
      <c r="DK111" s="34">
        <f>IF(AND(DK$5&gt;$E111,DK$5&lt;=$F111),IF(DK$5=$E111+1,$C111,""),"")</f>
        <v/>
      </c>
      <c r="DL111" s="34">
        <f>IF(AND(DL$5&gt;$E111,DL$5&lt;=$F111),IF(DL$5=$E111+1,$C111,""),"")</f>
        <v/>
      </c>
      <c r="DM111" s="34">
        <f>IF(AND(DM$5&gt;$E111,DM$5&lt;=$F111),IF(DM$5=$E111+1,$C111,""),"")</f>
        <v/>
      </c>
      <c r="DN111" s="34">
        <f>IF(AND(DN$5&gt;$E111,DN$5&lt;=$F111),IF(DN$5=$E111+1,$C111,""),"")</f>
        <v/>
      </c>
      <c r="DO111" s="34">
        <f>IF(AND(DO$5&gt;$E111,DO$5&lt;=$F111),IF(DO$5=$E111+1,$C111,""),"")</f>
        <v/>
      </c>
      <c r="DP111" s="34">
        <f>IF(AND(DP$5&gt;$E111,DP$5&lt;=$F111),IF(DP$5=$E111+1,$C111,""),"")</f>
        <v/>
      </c>
      <c r="DQ111" s="34">
        <f>IF(AND(DQ$5&gt;$E111,DQ$5&lt;=$F111),IF(DQ$5=$E111+1,$C111,""),"")</f>
        <v/>
      </c>
      <c r="DR111" s="34">
        <f>IF(AND(DR$5&gt;$E111,DR$5&lt;=$F111),IF(DR$5=$E111+1,$C111,""),"")</f>
        <v/>
      </c>
      <c r="DS111" s="34">
        <f>IF(AND(DS$5&gt;$E111,DS$5&lt;=$F111),IF(DS$5=$E111+1,$C111,""),"")</f>
        <v/>
      </c>
      <c r="DT111" s="34">
        <f>IF(AND(DT$5&gt;$E111,DT$5&lt;=$F111),IF(DT$5=$E111+1,$C111,""),"")</f>
        <v/>
      </c>
      <c r="DU111" s="34">
        <f>IF(AND(DU$5&gt;$E111,DU$5&lt;=$F111),IF(DU$5=$E111+1,$C111,""),"")</f>
        <v/>
      </c>
      <c r="DV111" s="34">
        <f>IF(AND(DV$5&gt;$E111,DV$5&lt;=$F111),IF(DV$5=$E111+1,$C111,""),"")</f>
        <v/>
      </c>
      <c r="DW111" s="34">
        <f>IF(AND(DW$5&gt;$E111,DW$5&lt;=$F111),IF(DW$5=$E111+1,$C111,""),"")</f>
        <v/>
      </c>
      <c r="DX111" s="34">
        <f>IF(AND(DX$5&gt;$E111,DX$5&lt;=$F111),IF(DX$5=$E111+1,$C111,""),"")</f>
        <v/>
      </c>
      <c r="DY111" s="34">
        <f>IF(AND(DY$5&gt;$E111,DY$5&lt;=$F111),IF(DY$5=$E111+1,$C111,""),"")</f>
        <v/>
      </c>
      <c r="DZ111" s="34">
        <f>IF(AND(DZ$5&gt;$E111,DZ$5&lt;=$F111),IF(DZ$5=$E111+1,$C111,""),"")</f>
        <v/>
      </c>
      <c r="EA111" s="34">
        <f>IF(AND(EA$5&gt;$E111,EA$5&lt;=$F111),IF(EA$5=$E111+1,$C111,""),"")</f>
        <v/>
      </c>
      <c r="EB111" s="34">
        <f>IF(AND(EB$5&gt;$E111,EB$5&lt;=$F111),IF(EB$5=$E111+1,$C111,""),"")</f>
        <v/>
      </c>
      <c r="EC111" s="34">
        <f>IF(AND(EC$5&gt;$E111,EC$5&lt;=$F111),IF(EC$5=$E111+1,$C111,""),"")</f>
        <v/>
      </c>
      <c r="ED111" s="34">
        <f>IF(AND(ED$5&gt;$E111,ED$5&lt;=$F111),IF(ED$5=$E111+1,$C111,""),"")</f>
        <v/>
      </c>
      <c r="EE111" s="34">
        <f>IF(AND(EE$5&gt;$E111,EE$5&lt;=$F111),IF(EE$5=$E111+1,$C111,""),"")</f>
        <v/>
      </c>
      <c r="EF111" s="34">
        <f>IF(AND(EF$5&gt;$E111,EF$5&lt;=$F111),IF(EF$5=$E111+1,$C111,""),"")</f>
        <v/>
      </c>
      <c r="EG111" s="34">
        <f>IF(AND(EG$5&gt;$E111,EG$5&lt;=$F111),IF(EG$5=$E111+1,$C111,""),"")</f>
        <v/>
      </c>
    </row>
    <row r="112">
      <c r="A112" s="32">
        <f>Plan!A89</f>
        <v/>
      </c>
      <c r="B112" s="33">
        <f>Plan!C89</f>
        <v/>
      </c>
      <c r="C112" s="16">
        <f>Plan!D89</f>
        <v/>
      </c>
      <c r="D112" s="16">
        <f>Plan!I89</f>
        <v/>
      </c>
      <c r="E112" s="16">
        <f>Plan!K89</f>
        <v/>
      </c>
      <c r="F112" s="16">
        <f>Plan!L89</f>
        <v/>
      </c>
      <c r="G112" s="16">
        <f>Plan!O89</f>
        <v/>
      </c>
      <c r="H112" s="34">
        <f>IF(AND(H$5&gt;$E112,H$5&lt;=$F112),IF(H$5=$E112+1,$C112,""),"")</f>
        <v/>
      </c>
      <c r="I112" s="34">
        <f>IF(AND(I$5&gt;$E112,I$5&lt;=$F112),IF(I$5=$E112+1,$C112,""),"")</f>
        <v/>
      </c>
      <c r="J112" s="34">
        <f>IF(AND(J$5&gt;$E112,J$5&lt;=$F112),IF(J$5=$E112+1,$C112,""),"")</f>
        <v/>
      </c>
      <c r="K112" s="34">
        <f>IF(AND(K$5&gt;$E112,K$5&lt;=$F112),IF(K$5=$E112+1,$C112,""),"")</f>
        <v/>
      </c>
      <c r="L112" s="34">
        <f>IF(AND(L$5&gt;$E112,L$5&lt;=$F112),IF(L$5=$E112+1,$C112,""),"")</f>
        <v/>
      </c>
      <c r="M112" s="34">
        <f>IF(AND(M$5&gt;$E112,M$5&lt;=$F112),IF(M$5=$E112+1,$C112,""),"")</f>
        <v/>
      </c>
      <c r="N112" s="34">
        <f>IF(AND(N$5&gt;$E112,N$5&lt;=$F112),IF(N$5=$E112+1,$C112,""),"")</f>
        <v/>
      </c>
      <c r="O112" s="34">
        <f>IF(AND(O$5&gt;$E112,O$5&lt;=$F112),IF(O$5=$E112+1,$C112,""),"")</f>
        <v/>
      </c>
      <c r="P112" s="34">
        <f>IF(AND(P$5&gt;$E112,P$5&lt;=$F112),IF(P$5=$E112+1,$C112,""),"")</f>
        <v/>
      </c>
      <c r="Q112" s="34">
        <f>IF(AND(Q$5&gt;$E112,Q$5&lt;=$F112),IF(Q$5=$E112+1,$C112,""),"")</f>
        <v/>
      </c>
      <c r="R112" s="34">
        <f>IF(AND(R$5&gt;$E112,R$5&lt;=$F112),IF(R$5=$E112+1,$C112,""),"")</f>
        <v/>
      </c>
      <c r="S112" s="34">
        <f>IF(AND(S$5&gt;$E112,S$5&lt;=$F112),IF(S$5=$E112+1,$C112,""),"")</f>
        <v/>
      </c>
      <c r="T112" s="34">
        <f>IF(AND(T$5&gt;$E112,T$5&lt;=$F112),IF(T$5=$E112+1,$C112,""),"")</f>
        <v/>
      </c>
      <c r="U112" s="34">
        <f>IF(AND(U$5&gt;$E112,U$5&lt;=$F112),IF(U$5=$E112+1,$C112,""),"")</f>
        <v/>
      </c>
      <c r="V112" s="34">
        <f>IF(AND(V$5&gt;$E112,V$5&lt;=$F112),IF(V$5=$E112+1,$C112,""),"")</f>
        <v/>
      </c>
      <c r="W112" s="34">
        <f>IF(AND(W$5&gt;$E112,W$5&lt;=$F112),IF(W$5=$E112+1,$C112,""),"")</f>
        <v/>
      </c>
      <c r="X112" s="34">
        <f>IF(AND(X$5&gt;$E112,X$5&lt;=$F112),IF(X$5=$E112+1,$C112,""),"")</f>
        <v/>
      </c>
      <c r="Y112" s="34">
        <f>IF(AND(Y$5&gt;$E112,Y$5&lt;=$F112),IF(Y$5=$E112+1,$C112,""),"")</f>
        <v/>
      </c>
      <c r="Z112" s="34">
        <f>IF(AND(Z$5&gt;$E112,Z$5&lt;=$F112),IF(Z$5=$E112+1,$C112,""),"")</f>
        <v/>
      </c>
      <c r="AA112" s="34">
        <f>IF(AND(AA$5&gt;$E112,AA$5&lt;=$F112),IF(AA$5=$E112+1,$C112,""),"")</f>
        <v/>
      </c>
      <c r="AB112" s="34">
        <f>IF(AND(AB$5&gt;$E112,AB$5&lt;=$F112),IF(AB$5=$E112+1,$C112,""),"")</f>
        <v/>
      </c>
      <c r="AC112" s="34">
        <f>IF(AND(AC$5&gt;$E112,AC$5&lt;=$F112),IF(AC$5=$E112+1,$C112,""),"")</f>
        <v/>
      </c>
      <c r="AD112" s="34">
        <f>IF(AND(AD$5&gt;$E112,AD$5&lt;=$F112),IF(AD$5=$E112+1,$C112,""),"")</f>
        <v/>
      </c>
      <c r="AE112" s="34">
        <f>IF(AND(AE$5&gt;$E112,AE$5&lt;=$F112),IF(AE$5=$E112+1,$C112,""),"")</f>
        <v/>
      </c>
      <c r="AF112" s="34">
        <f>IF(AND(AF$5&gt;$E112,AF$5&lt;=$F112),IF(AF$5=$E112+1,$C112,""),"")</f>
        <v/>
      </c>
      <c r="AG112" s="34">
        <f>IF(AND(AG$5&gt;$E112,AG$5&lt;=$F112),IF(AG$5=$E112+1,$C112,""),"")</f>
        <v/>
      </c>
      <c r="AH112" s="34">
        <f>IF(AND(AH$5&gt;$E112,AH$5&lt;=$F112),IF(AH$5=$E112+1,$C112,""),"")</f>
        <v/>
      </c>
      <c r="AI112" s="34">
        <f>IF(AND(AI$5&gt;$E112,AI$5&lt;=$F112),IF(AI$5=$E112+1,$C112,""),"")</f>
        <v/>
      </c>
      <c r="AJ112" s="34">
        <f>IF(AND(AJ$5&gt;$E112,AJ$5&lt;=$F112),IF(AJ$5=$E112+1,$C112,""),"")</f>
        <v/>
      </c>
      <c r="AK112" s="34">
        <f>IF(AND(AK$5&gt;$E112,AK$5&lt;=$F112),IF(AK$5=$E112+1,$C112,""),"")</f>
        <v/>
      </c>
      <c r="AL112" s="34">
        <f>IF(AND(AL$5&gt;$E112,AL$5&lt;=$F112),IF(AL$5=$E112+1,$C112,""),"")</f>
        <v/>
      </c>
      <c r="AM112" s="34">
        <f>IF(AND(AM$5&gt;$E112,AM$5&lt;=$F112),IF(AM$5=$E112+1,$C112,""),"")</f>
        <v/>
      </c>
      <c r="AN112" s="34">
        <f>IF(AND(AN$5&gt;$E112,AN$5&lt;=$F112),IF(AN$5=$E112+1,$C112,""),"")</f>
        <v/>
      </c>
      <c r="AO112" s="34">
        <f>IF(AND(AO$5&gt;$E112,AO$5&lt;=$F112),IF(AO$5=$E112+1,$C112,""),"")</f>
        <v/>
      </c>
      <c r="AP112" s="34">
        <f>IF(AND(AP$5&gt;$E112,AP$5&lt;=$F112),IF(AP$5=$E112+1,$C112,""),"")</f>
        <v/>
      </c>
      <c r="AQ112" s="34">
        <f>IF(AND(AQ$5&gt;$E112,AQ$5&lt;=$F112),IF(AQ$5=$E112+1,$C112,""),"")</f>
        <v/>
      </c>
      <c r="AR112" s="34">
        <f>IF(AND(AR$5&gt;$E112,AR$5&lt;=$F112),IF(AR$5=$E112+1,$C112,""),"")</f>
        <v/>
      </c>
      <c r="AS112" s="34">
        <f>IF(AND(AS$5&gt;$E112,AS$5&lt;=$F112),IF(AS$5=$E112+1,$C112,""),"")</f>
        <v/>
      </c>
      <c r="AT112" s="34">
        <f>IF(AND(AT$5&gt;$E112,AT$5&lt;=$F112),IF(AT$5=$E112+1,$C112,""),"")</f>
        <v/>
      </c>
      <c r="AU112" s="34">
        <f>IF(AND(AU$5&gt;$E112,AU$5&lt;=$F112),IF(AU$5=$E112+1,$C112,""),"")</f>
        <v/>
      </c>
      <c r="AV112" s="34">
        <f>IF(AND(AV$5&gt;$E112,AV$5&lt;=$F112),IF(AV$5=$E112+1,$C112,""),"")</f>
        <v/>
      </c>
      <c r="AW112" s="34">
        <f>IF(AND(AW$5&gt;$E112,AW$5&lt;=$F112),IF(AW$5=$E112+1,$C112,""),"")</f>
        <v/>
      </c>
      <c r="AX112" s="34">
        <f>IF(AND(AX$5&gt;$E112,AX$5&lt;=$F112),IF(AX$5=$E112+1,$C112,""),"")</f>
        <v/>
      </c>
      <c r="AY112" s="34">
        <f>IF(AND(AY$5&gt;$E112,AY$5&lt;=$F112),IF(AY$5=$E112+1,$C112,""),"")</f>
        <v/>
      </c>
      <c r="AZ112" s="34">
        <f>IF(AND(AZ$5&gt;$E112,AZ$5&lt;=$F112),IF(AZ$5=$E112+1,$C112,""),"")</f>
        <v/>
      </c>
      <c r="BA112" s="34">
        <f>IF(AND(BA$5&gt;$E112,BA$5&lt;=$F112),IF(BA$5=$E112+1,$C112,""),"")</f>
        <v/>
      </c>
      <c r="BB112" s="34">
        <f>IF(AND(BB$5&gt;$E112,BB$5&lt;=$F112),IF(BB$5=$E112+1,$C112,""),"")</f>
        <v/>
      </c>
      <c r="BC112" s="34">
        <f>IF(AND(BC$5&gt;$E112,BC$5&lt;=$F112),IF(BC$5=$E112+1,$C112,""),"")</f>
        <v/>
      </c>
      <c r="BD112" s="34">
        <f>IF(AND(BD$5&gt;$E112,BD$5&lt;=$F112),IF(BD$5=$E112+1,$C112,""),"")</f>
        <v/>
      </c>
      <c r="BE112" s="34">
        <f>IF(AND(BE$5&gt;$E112,BE$5&lt;=$F112),IF(BE$5=$E112+1,$C112,""),"")</f>
        <v/>
      </c>
      <c r="BF112" s="34">
        <f>IF(AND(BF$5&gt;$E112,BF$5&lt;=$F112),IF(BF$5=$E112+1,$C112,""),"")</f>
        <v/>
      </c>
      <c r="BG112" s="34">
        <f>IF(AND(BG$5&gt;$E112,BG$5&lt;=$F112),IF(BG$5=$E112+1,$C112,""),"")</f>
        <v/>
      </c>
      <c r="BH112" s="34">
        <f>IF(AND(BH$5&gt;$E112,BH$5&lt;=$F112),IF(BH$5=$E112+1,$C112,""),"")</f>
        <v/>
      </c>
      <c r="BI112" s="34">
        <f>IF(AND(BI$5&gt;$E112,BI$5&lt;=$F112),IF(BI$5=$E112+1,$C112,""),"")</f>
        <v/>
      </c>
      <c r="BJ112" s="34">
        <f>IF(AND(BJ$5&gt;$E112,BJ$5&lt;=$F112),IF(BJ$5=$E112+1,$C112,""),"")</f>
        <v/>
      </c>
      <c r="BK112" s="34">
        <f>IF(AND(BK$5&gt;$E112,BK$5&lt;=$F112),IF(BK$5=$E112+1,$C112,""),"")</f>
        <v/>
      </c>
      <c r="BL112" s="34">
        <f>IF(AND(BL$5&gt;$E112,BL$5&lt;=$F112),IF(BL$5=$E112+1,$C112,""),"")</f>
        <v/>
      </c>
      <c r="BM112" s="34">
        <f>IF(AND(BM$5&gt;$E112,BM$5&lt;=$F112),IF(BM$5=$E112+1,$C112,""),"")</f>
        <v/>
      </c>
      <c r="BN112" s="34">
        <f>IF(AND(BN$5&gt;$E112,BN$5&lt;=$F112),IF(BN$5=$E112+1,$C112,""),"")</f>
        <v/>
      </c>
      <c r="BO112" s="34">
        <f>IF(AND(BO$5&gt;$E112,BO$5&lt;=$F112),IF(BO$5=$E112+1,$C112,""),"")</f>
        <v/>
      </c>
      <c r="BP112" s="34">
        <f>IF(AND(BP$5&gt;$E112,BP$5&lt;=$F112),IF(BP$5=$E112+1,$C112,""),"")</f>
        <v/>
      </c>
      <c r="BQ112" s="34">
        <f>IF(AND(BQ$5&gt;$E112,BQ$5&lt;=$F112),IF(BQ$5=$E112+1,$C112,""),"")</f>
        <v/>
      </c>
      <c r="BR112" s="34">
        <f>IF(AND(BR$5&gt;$E112,BR$5&lt;=$F112),IF(BR$5=$E112+1,$C112,""),"")</f>
        <v/>
      </c>
      <c r="BS112" s="34">
        <f>IF(AND(BS$5&gt;$E112,BS$5&lt;=$F112),IF(BS$5=$E112+1,$C112,""),"")</f>
        <v/>
      </c>
      <c r="BT112" s="34">
        <f>IF(AND(BT$5&gt;$E112,BT$5&lt;=$F112),IF(BT$5=$E112+1,$C112,""),"")</f>
        <v/>
      </c>
      <c r="BU112" s="34">
        <f>IF(AND(BU$5&gt;$E112,BU$5&lt;=$F112),IF(BU$5=$E112+1,$C112,""),"")</f>
        <v/>
      </c>
      <c r="BV112" s="34">
        <f>IF(AND(BV$5&gt;$E112,BV$5&lt;=$F112),IF(BV$5=$E112+1,$C112,""),"")</f>
        <v/>
      </c>
      <c r="BW112" s="34">
        <f>IF(AND(BW$5&gt;$E112,BW$5&lt;=$F112),IF(BW$5=$E112+1,$C112,""),"")</f>
        <v/>
      </c>
      <c r="BX112" s="34">
        <f>IF(AND(BX$5&gt;$E112,BX$5&lt;=$F112),IF(BX$5=$E112+1,$C112,""),"")</f>
        <v/>
      </c>
      <c r="BY112" s="34">
        <f>IF(AND(BY$5&gt;$E112,BY$5&lt;=$F112),IF(BY$5=$E112+1,$C112,""),"")</f>
        <v/>
      </c>
      <c r="BZ112" s="34">
        <f>IF(AND(BZ$5&gt;$E112,BZ$5&lt;=$F112),IF(BZ$5=$E112+1,$C112,""),"")</f>
        <v/>
      </c>
      <c r="CA112" s="34">
        <f>IF(AND(CA$5&gt;$E112,CA$5&lt;=$F112),IF(CA$5=$E112+1,$C112,""),"")</f>
        <v/>
      </c>
      <c r="CB112" s="34">
        <f>IF(AND(CB$5&gt;$E112,CB$5&lt;=$F112),IF(CB$5=$E112+1,$C112,""),"")</f>
        <v/>
      </c>
      <c r="CC112" s="34">
        <f>IF(AND(CC$5&gt;$E112,CC$5&lt;=$F112),IF(CC$5=$E112+1,$C112,""),"")</f>
        <v/>
      </c>
      <c r="CD112" s="34">
        <f>IF(AND(CD$5&gt;$E112,CD$5&lt;=$F112),IF(CD$5=$E112+1,$C112,""),"")</f>
        <v/>
      </c>
      <c r="CE112" s="34">
        <f>IF(AND(CE$5&gt;$E112,CE$5&lt;=$F112),IF(CE$5=$E112+1,$C112,""),"")</f>
        <v/>
      </c>
      <c r="CF112" s="34">
        <f>IF(AND(CF$5&gt;$E112,CF$5&lt;=$F112),IF(CF$5=$E112+1,$C112,""),"")</f>
        <v/>
      </c>
      <c r="CG112" s="34">
        <f>IF(AND(CG$5&gt;$E112,CG$5&lt;=$F112),IF(CG$5=$E112+1,$C112,""),"")</f>
        <v/>
      </c>
      <c r="CH112" s="34">
        <f>IF(AND(CH$5&gt;$E112,CH$5&lt;=$F112),IF(CH$5=$E112+1,$C112,""),"")</f>
        <v/>
      </c>
      <c r="CI112" s="34">
        <f>IF(AND(CI$5&gt;$E112,CI$5&lt;=$F112),IF(CI$5=$E112+1,$C112,""),"")</f>
        <v/>
      </c>
      <c r="CJ112" s="34">
        <f>IF(AND(CJ$5&gt;$E112,CJ$5&lt;=$F112),IF(CJ$5=$E112+1,$C112,""),"")</f>
        <v/>
      </c>
      <c r="CK112" s="34">
        <f>IF(AND(CK$5&gt;$E112,CK$5&lt;=$F112),IF(CK$5=$E112+1,$C112,""),"")</f>
        <v/>
      </c>
      <c r="CL112" s="34">
        <f>IF(AND(CL$5&gt;$E112,CL$5&lt;=$F112),IF(CL$5=$E112+1,$C112,""),"")</f>
        <v/>
      </c>
      <c r="CM112" s="34">
        <f>IF(AND(CM$5&gt;$E112,CM$5&lt;=$F112),IF(CM$5=$E112+1,$C112,""),"")</f>
        <v/>
      </c>
      <c r="CN112" s="34">
        <f>IF(AND(CN$5&gt;$E112,CN$5&lt;=$F112),IF(CN$5=$E112+1,$C112,""),"")</f>
        <v/>
      </c>
      <c r="CO112" s="34">
        <f>IF(AND(CO$5&gt;$E112,CO$5&lt;=$F112),IF(CO$5=$E112+1,$C112,""),"")</f>
        <v/>
      </c>
      <c r="CP112" s="34">
        <f>IF(AND(CP$5&gt;$E112,CP$5&lt;=$F112),IF(CP$5=$E112+1,$C112,""),"")</f>
        <v/>
      </c>
      <c r="CQ112" s="34">
        <f>IF(AND(CQ$5&gt;$E112,CQ$5&lt;=$F112),IF(CQ$5=$E112+1,$C112,""),"")</f>
        <v/>
      </c>
      <c r="CR112" s="34">
        <f>IF(AND(CR$5&gt;$E112,CR$5&lt;=$F112),IF(CR$5=$E112+1,$C112,""),"")</f>
        <v/>
      </c>
      <c r="CS112" s="34">
        <f>IF(AND(CS$5&gt;$E112,CS$5&lt;=$F112),IF(CS$5=$E112+1,$C112,""),"")</f>
        <v/>
      </c>
      <c r="CT112" s="34">
        <f>IF(AND(CT$5&gt;$E112,CT$5&lt;=$F112),IF(CT$5=$E112+1,$C112,""),"")</f>
        <v/>
      </c>
      <c r="CU112" s="34">
        <f>IF(AND(CU$5&gt;$E112,CU$5&lt;=$F112),IF(CU$5=$E112+1,$C112,""),"")</f>
        <v/>
      </c>
      <c r="CV112" s="34">
        <f>IF(AND(CV$5&gt;$E112,CV$5&lt;=$F112),IF(CV$5=$E112+1,$C112,""),"")</f>
        <v/>
      </c>
      <c r="CW112" s="34">
        <f>IF(AND(CW$5&gt;$E112,CW$5&lt;=$F112),IF(CW$5=$E112+1,$C112,""),"")</f>
        <v/>
      </c>
      <c r="CX112" s="34">
        <f>IF(AND(CX$5&gt;$E112,CX$5&lt;=$F112),IF(CX$5=$E112+1,$C112,""),"")</f>
        <v/>
      </c>
      <c r="CY112" s="34">
        <f>IF(AND(CY$5&gt;$E112,CY$5&lt;=$F112),IF(CY$5=$E112+1,$C112,""),"")</f>
        <v/>
      </c>
      <c r="CZ112" s="34">
        <f>IF(AND(CZ$5&gt;$E112,CZ$5&lt;=$F112),IF(CZ$5=$E112+1,$C112,""),"")</f>
        <v/>
      </c>
      <c r="DA112" s="34">
        <f>IF(AND(DA$5&gt;$E112,DA$5&lt;=$F112),IF(DA$5=$E112+1,$C112,""),"")</f>
        <v/>
      </c>
      <c r="DB112" s="34">
        <f>IF(AND(DB$5&gt;$E112,DB$5&lt;=$F112),IF(DB$5=$E112+1,$C112,""),"")</f>
        <v/>
      </c>
      <c r="DC112" s="34">
        <f>IF(AND(DC$5&gt;$E112,DC$5&lt;=$F112),IF(DC$5=$E112+1,$C112,""),"")</f>
        <v/>
      </c>
      <c r="DD112" s="34">
        <f>IF(AND(DD$5&gt;$E112,DD$5&lt;=$F112),IF(DD$5=$E112+1,$C112,""),"")</f>
        <v/>
      </c>
      <c r="DE112" s="34">
        <f>IF(AND(DE$5&gt;$E112,DE$5&lt;=$F112),IF(DE$5=$E112+1,$C112,""),"")</f>
        <v/>
      </c>
      <c r="DF112" s="34">
        <f>IF(AND(DF$5&gt;$E112,DF$5&lt;=$F112),IF(DF$5=$E112+1,$C112,""),"")</f>
        <v/>
      </c>
      <c r="DG112" s="34">
        <f>IF(AND(DG$5&gt;$E112,DG$5&lt;=$F112),IF(DG$5=$E112+1,$C112,""),"")</f>
        <v/>
      </c>
      <c r="DH112" s="34">
        <f>IF(AND(DH$5&gt;$E112,DH$5&lt;=$F112),IF(DH$5=$E112+1,$C112,""),"")</f>
        <v/>
      </c>
      <c r="DI112" s="34">
        <f>IF(AND(DI$5&gt;$E112,DI$5&lt;=$F112),IF(DI$5=$E112+1,$C112,""),"")</f>
        <v/>
      </c>
      <c r="DJ112" s="34">
        <f>IF(AND(DJ$5&gt;$E112,DJ$5&lt;=$F112),IF(DJ$5=$E112+1,$C112,""),"")</f>
        <v/>
      </c>
      <c r="DK112" s="34">
        <f>IF(AND(DK$5&gt;$E112,DK$5&lt;=$F112),IF(DK$5=$E112+1,$C112,""),"")</f>
        <v/>
      </c>
      <c r="DL112" s="34">
        <f>IF(AND(DL$5&gt;$E112,DL$5&lt;=$F112),IF(DL$5=$E112+1,$C112,""),"")</f>
        <v/>
      </c>
      <c r="DM112" s="34">
        <f>IF(AND(DM$5&gt;$E112,DM$5&lt;=$F112),IF(DM$5=$E112+1,$C112,""),"")</f>
        <v/>
      </c>
      <c r="DN112" s="34">
        <f>IF(AND(DN$5&gt;$E112,DN$5&lt;=$F112),IF(DN$5=$E112+1,$C112,""),"")</f>
        <v/>
      </c>
      <c r="DO112" s="34">
        <f>IF(AND(DO$5&gt;$E112,DO$5&lt;=$F112),IF(DO$5=$E112+1,$C112,""),"")</f>
        <v/>
      </c>
      <c r="DP112" s="34">
        <f>IF(AND(DP$5&gt;$E112,DP$5&lt;=$F112),IF(DP$5=$E112+1,$C112,""),"")</f>
        <v/>
      </c>
      <c r="DQ112" s="34">
        <f>IF(AND(DQ$5&gt;$E112,DQ$5&lt;=$F112),IF(DQ$5=$E112+1,$C112,""),"")</f>
        <v/>
      </c>
      <c r="DR112" s="34">
        <f>IF(AND(DR$5&gt;$E112,DR$5&lt;=$F112),IF(DR$5=$E112+1,$C112,""),"")</f>
        <v/>
      </c>
      <c r="DS112" s="34">
        <f>IF(AND(DS$5&gt;$E112,DS$5&lt;=$F112),IF(DS$5=$E112+1,$C112,""),"")</f>
        <v/>
      </c>
      <c r="DT112" s="34">
        <f>IF(AND(DT$5&gt;$E112,DT$5&lt;=$F112),IF(DT$5=$E112+1,$C112,""),"")</f>
        <v/>
      </c>
      <c r="DU112" s="34">
        <f>IF(AND(DU$5&gt;$E112,DU$5&lt;=$F112),IF(DU$5=$E112+1,$C112,""),"")</f>
        <v/>
      </c>
      <c r="DV112" s="34">
        <f>IF(AND(DV$5&gt;$E112,DV$5&lt;=$F112),IF(DV$5=$E112+1,$C112,""),"")</f>
        <v/>
      </c>
      <c r="DW112" s="34">
        <f>IF(AND(DW$5&gt;$E112,DW$5&lt;=$F112),IF(DW$5=$E112+1,$C112,""),"")</f>
        <v/>
      </c>
      <c r="DX112" s="34">
        <f>IF(AND(DX$5&gt;$E112,DX$5&lt;=$F112),IF(DX$5=$E112+1,$C112,""),"")</f>
        <v/>
      </c>
      <c r="DY112" s="34">
        <f>IF(AND(DY$5&gt;$E112,DY$5&lt;=$F112),IF(DY$5=$E112+1,$C112,""),"")</f>
        <v/>
      </c>
      <c r="DZ112" s="34">
        <f>IF(AND(DZ$5&gt;$E112,DZ$5&lt;=$F112),IF(DZ$5=$E112+1,$C112,""),"")</f>
        <v/>
      </c>
      <c r="EA112" s="34">
        <f>IF(AND(EA$5&gt;$E112,EA$5&lt;=$F112),IF(EA$5=$E112+1,$C112,""),"")</f>
        <v/>
      </c>
      <c r="EB112" s="34">
        <f>IF(AND(EB$5&gt;$E112,EB$5&lt;=$F112),IF(EB$5=$E112+1,$C112,""),"")</f>
        <v/>
      </c>
      <c r="EC112" s="34">
        <f>IF(AND(EC$5&gt;$E112,EC$5&lt;=$F112),IF(EC$5=$E112+1,$C112,""),"")</f>
        <v/>
      </c>
      <c r="ED112" s="34">
        <f>IF(AND(ED$5&gt;$E112,ED$5&lt;=$F112),IF(ED$5=$E112+1,$C112,""),"")</f>
        <v/>
      </c>
      <c r="EE112" s="34">
        <f>IF(AND(EE$5&gt;$E112,EE$5&lt;=$F112),IF(EE$5=$E112+1,$C112,""),"")</f>
        <v/>
      </c>
      <c r="EF112" s="34">
        <f>IF(AND(EF$5&gt;$E112,EF$5&lt;=$F112),IF(EF$5=$E112+1,$C112,""),"")</f>
        <v/>
      </c>
      <c r="EG112" s="34">
        <f>IF(AND(EG$5&gt;$E112,EG$5&lt;=$F112),IF(EG$5=$E112+1,$C112,""),"")</f>
        <v/>
      </c>
    </row>
    <row r="113">
      <c r="A113" s="32">
        <f>Plan!A99</f>
        <v/>
      </c>
      <c r="B113" s="33">
        <f>Plan!C99</f>
        <v/>
      </c>
      <c r="C113" s="16">
        <f>Plan!D99</f>
        <v/>
      </c>
      <c r="D113" s="16">
        <f>Plan!I99</f>
        <v/>
      </c>
      <c r="E113" s="16">
        <f>Plan!K99</f>
        <v/>
      </c>
      <c r="F113" s="16">
        <f>Plan!L99</f>
        <v/>
      </c>
      <c r="G113" s="16">
        <f>Plan!O99</f>
        <v/>
      </c>
      <c r="H113" s="34">
        <f>IF(AND(H$5&gt;$E113,H$5&lt;=$F113),IF(H$5=$E113+1,$C113,""),"")</f>
        <v/>
      </c>
      <c r="I113" s="34">
        <f>IF(AND(I$5&gt;$E113,I$5&lt;=$F113),IF(I$5=$E113+1,$C113,""),"")</f>
        <v/>
      </c>
      <c r="J113" s="34">
        <f>IF(AND(J$5&gt;$E113,J$5&lt;=$F113),IF(J$5=$E113+1,$C113,""),"")</f>
        <v/>
      </c>
      <c r="K113" s="34">
        <f>IF(AND(K$5&gt;$E113,K$5&lt;=$F113),IF(K$5=$E113+1,$C113,""),"")</f>
        <v/>
      </c>
      <c r="L113" s="34">
        <f>IF(AND(L$5&gt;$E113,L$5&lt;=$F113),IF(L$5=$E113+1,$C113,""),"")</f>
        <v/>
      </c>
      <c r="M113" s="34">
        <f>IF(AND(M$5&gt;$E113,M$5&lt;=$F113),IF(M$5=$E113+1,$C113,""),"")</f>
        <v/>
      </c>
      <c r="N113" s="34">
        <f>IF(AND(N$5&gt;$E113,N$5&lt;=$F113),IF(N$5=$E113+1,$C113,""),"")</f>
        <v/>
      </c>
      <c r="O113" s="34">
        <f>IF(AND(O$5&gt;$E113,O$5&lt;=$F113),IF(O$5=$E113+1,$C113,""),"")</f>
        <v/>
      </c>
      <c r="P113" s="34">
        <f>IF(AND(P$5&gt;$E113,P$5&lt;=$F113),IF(P$5=$E113+1,$C113,""),"")</f>
        <v/>
      </c>
      <c r="Q113" s="34">
        <f>IF(AND(Q$5&gt;$E113,Q$5&lt;=$F113),IF(Q$5=$E113+1,$C113,""),"")</f>
        <v/>
      </c>
      <c r="R113" s="34">
        <f>IF(AND(R$5&gt;$E113,R$5&lt;=$F113),IF(R$5=$E113+1,$C113,""),"")</f>
        <v/>
      </c>
      <c r="S113" s="34">
        <f>IF(AND(S$5&gt;$E113,S$5&lt;=$F113),IF(S$5=$E113+1,$C113,""),"")</f>
        <v/>
      </c>
      <c r="T113" s="34">
        <f>IF(AND(T$5&gt;$E113,T$5&lt;=$F113),IF(T$5=$E113+1,$C113,""),"")</f>
        <v/>
      </c>
      <c r="U113" s="34">
        <f>IF(AND(U$5&gt;$E113,U$5&lt;=$F113),IF(U$5=$E113+1,$C113,""),"")</f>
        <v/>
      </c>
      <c r="V113" s="34">
        <f>IF(AND(V$5&gt;$E113,V$5&lt;=$F113),IF(V$5=$E113+1,$C113,""),"")</f>
        <v/>
      </c>
      <c r="W113" s="34">
        <f>IF(AND(W$5&gt;$E113,W$5&lt;=$F113),IF(W$5=$E113+1,$C113,""),"")</f>
        <v/>
      </c>
      <c r="X113" s="34">
        <f>IF(AND(X$5&gt;$E113,X$5&lt;=$F113),IF(X$5=$E113+1,$C113,""),"")</f>
        <v/>
      </c>
      <c r="Y113" s="34">
        <f>IF(AND(Y$5&gt;$E113,Y$5&lt;=$F113),IF(Y$5=$E113+1,$C113,""),"")</f>
        <v/>
      </c>
      <c r="Z113" s="34">
        <f>IF(AND(Z$5&gt;$E113,Z$5&lt;=$F113),IF(Z$5=$E113+1,$C113,""),"")</f>
        <v/>
      </c>
      <c r="AA113" s="34">
        <f>IF(AND(AA$5&gt;$E113,AA$5&lt;=$F113),IF(AA$5=$E113+1,$C113,""),"")</f>
        <v/>
      </c>
      <c r="AB113" s="34">
        <f>IF(AND(AB$5&gt;$E113,AB$5&lt;=$F113),IF(AB$5=$E113+1,$C113,""),"")</f>
        <v/>
      </c>
      <c r="AC113" s="34">
        <f>IF(AND(AC$5&gt;$E113,AC$5&lt;=$F113),IF(AC$5=$E113+1,$C113,""),"")</f>
        <v/>
      </c>
      <c r="AD113" s="34">
        <f>IF(AND(AD$5&gt;$E113,AD$5&lt;=$F113),IF(AD$5=$E113+1,$C113,""),"")</f>
        <v/>
      </c>
      <c r="AE113" s="34">
        <f>IF(AND(AE$5&gt;$E113,AE$5&lt;=$F113),IF(AE$5=$E113+1,$C113,""),"")</f>
        <v/>
      </c>
      <c r="AF113" s="34">
        <f>IF(AND(AF$5&gt;$E113,AF$5&lt;=$F113),IF(AF$5=$E113+1,$C113,""),"")</f>
        <v/>
      </c>
      <c r="AG113" s="34">
        <f>IF(AND(AG$5&gt;$E113,AG$5&lt;=$F113),IF(AG$5=$E113+1,$C113,""),"")</f>
        <v/>
      </c>
      <c r="AH113" s="34">
        <f>IF(AND(AH$5&gt;$E113,AH$5&lt;=$F113),IF(AH$5=$E113+1,$C113,""),"")</f>
        <v/>
      </c>
      <c r="AI113" s="34">
        <f>IF(AND(AI$5&gt;$E113,AI$5&lt;=$F113),IF(AI$5=$E113+1,$C113,""),"")</f>
        <v/>
      </c>
      <c r="AJ113" s="34">
        <f>IF(AND(AJ$5&gt;$E113,AJ$5&lt;=$F113),IF(AJ$5=$E113+1,$C113,""),"")</f>
        <v/>
      </c>
      <c r="AK113" s="34">
        <f>IF(AND(AK$5&gt;$E113,AK$5&lt;=$F113),IF(AK$5=$E113+1,$C113,""),"")</f>
        <v/>
      </c>
      <c r="AL113" s="34">
        <f>IF(AND(AL$5&gt;$E113,AL$5&lt;=$F113),IF(AL$5=$E113+1,$C113,""),"")</f>
        <v/>
      </c>
      <c r="AM113" s="34">
        <f>IF(AND(AM$5&gt;$E113,AM$5&lt;=$F113),IF(AM$5=$E113+1,$C113,""),"")</f>
        <v/>
      </c>
      <c r="AN113" s="34">
        <f>IF(AND(AN$5&gt;$E113,AN$5&lt;=$F113),IF(AN$5=$E113+1,$C113,""),"")</f>
        <v/>
      </c>
      <c r="AO113" s="34">
        <f>IF(AND(AO$5&gt;$E113,AO$5&lt;=$F113),IF(AO$5=$E113+1,$C113,""),"")</f>
        <v/>
      </c>
      <c r="AP113" s="34">
        <f>IF(AND(AP$5&gt;$E113,AP$5&lt;=$F113),IF(AP$5=$E113+1,$C113,""),"")</f>
        <v/>
      </c>
      <c r="AQ113" s="34">
        <f>IF(AND(AQ$5&gt;$E113,AQ$5&lt;=$F113),IF(AQ$5=$E113+1,$C113,""),"")</f>
        <v/>
      </c>
      <c r="AR113" s="34">
        <f>IF(AND(AR$5&gt;$E113,AR$5&lt;=$F113),IF(AR$5=$E113+1,$C113,""),"")</f>
        <v/>
      </c>
      <c r="AS113" s="34">
        <f>IF(AND(AS$5&gt;$E113,AS$5&lt;=$F113),IF(AS$5=$E113+1,$C113,""),"")</f>
        <v/>
      </c>
      <c r="AT113" s="34">
        <f>IF(AND(AT$5&gt;$E113,AT$5&lt;=$F113),IF(AT$5=$E113+1,$C113,""),"")</f>
        <v/>
      </c>
      <c r="AU113" s="34">
        <f>IF(AND(AU$5&gt;$E113,AU$5&lt;=$F113),IF(AU$5=$E113+1,$C113,""),"")</f>
        <v/>
      </c>
      <c r="AV113" s="34">
        <f>IF(AND(AV$5&gt;$E113,AV$5&lt;=$F113),IF(AV$5=$E113+1,$C113,""),"")</f>
        <v/>
      </c>
      <c r="AW113" s="34">
        <f>IF(AND(AW$5&gt;$E113,AW$5&lt;=$F113),IF(AW$5=$E113+1,$C113,""),"")</f>
        <v/>
      </c>
      <c r="AX113" s="34">
        <f>IF(AND(AX$5&gt;$E113,AX$5&lt;=$F113),IF(AX$5=$E113+1,$C113,""),"")</f>
        <v/>
      </c>
      <c r="AY113" s="34">
        <f>IF(AND(AY$5&gt;$E113,AY$5&lt;=$F113),IF(AY$5=$E113+1,$C113,""),"")</f>
        <v/>
      </c>
      <c r="AZ113" s="34">
        <f>IF(AND(AZ$5&gt;$E113,AZ$5&lt;=$F113),IF(AZ$5=$E113+1,$C113,""),"")</f>
        <v/>
      </c>
      <c r="BA113" s="34">
        <f>IF(AND(BA$5&gt;$E113,BA$5&lt;=$F113),IF(BA$5=$E113+1,$C113,""),"")</f>
        <v/>
      </c>
      <c r="BB113" s="34">
        <f>IF(AND(BB$5&gt;$E113,BB$5&lt;=$F113),IF(BB$5=$E113+1,$C113,""),"")</f>
        <v/>
      </c>
      <c r="BC113" s="34">
        <f>IF(AND(BC$5&gt;$E113,BC$5&lt;=$F113),IF(BC$5=$E113+1,$C113,""),"")</f>
        <v/>
      </c>
      <c r="BD113" s="34">
        <f>IF(AND(BD$5&gt;$E113,BD$5&lt;=$F113),IF(BD$5=$E113+1,$C113,""),"")</f>
        <v/>
      </c>
      <c r="BE113" s="34">
        <f>IF(AND(BE$5&gt;$E113,BE$5&lt;=$F113),IF(BE$5=$E113+1,$C113,""),"")</f>
        <v/>
      </c>
      <c r="BF113" s="34">
        <f>IF(AND(BF$5&gt;$E113,BF$5&lt;=$F113),IF(BF$5=$E113+1,$C113,""),"")</f>
        <v/>
      </c>
      <c r="BG113" s="34">
        <f>IF(AND(BG$5&gt;$E113,BG$5&lt;=$F113),IF(BG$5=$E113+1,$C113,""),"")</f>
        <v/>
      </c>
      <c r="BH113" s="34">
        <f>IF(AND(BH$5&gt;$E113,BH$5&lt;=$F113),IF(BH$5=$E113+1,$C113,""),"")</f>
        <v/>
      </c>
      <c r="BI113" s="34">
        <f>IF(AND(BI$5&gt;$E113,BI$5&lt;=$F113),IF(BI$5=$E113+1,$C113,""),"")</f>
        <v/>
      </c>
      <c r="BJ113" s="34">
        <f>IF(AND(BJ$5&gt;$E113,BJ$5&lt;=$F113),IF(BJ$5=$E113+1,$C113,""),"")</f>
        <v/>
      </c>
      <c r="BK113" s="34">
        <f>IF(AND(BK$5&gt;$E113,BK$5&lt;=$F113),IF(BK$5=$E113+1,$C113,""),"")</f>
        <v/>
      </c>
      <c r="BL113" s="34">
        <f>IF(AND(BL$5&gt;$E113,BL$5&lt;=$F113),IF(BL$5=$E113+1,$C113,""),"")</f>
        <v/>
      </c>
      <c r="BM113" s="34">
        <f>IF(AND(BM$5&gt;$E113,BM$5&lt;=$F113),IF(BM$5=$E113+1,$C113,""),"")</f>
        <v/>
      </c>
      <c r="BN113" s="34">
        <f>IF(AND(BN$5&gt;$E113,BN$5&lt;=$F113),IF(BN$5=$E113+1,$C113,""),"")</f>
        <v/>
      </c>
      <c r="BO113" s="34">
        <f>IF(AND(BO$5&gt;$E113,BO$5&lt;=$F113),IF(BO$5=$E113+1,$C113,""),"")</f>
        <v/>
      </c>
      <c r="BP113" s="34">
        <f>IF(AND(BP$5&gt;$E113,BP$5&lt;=$F113),IF(BP$5=$E113+1,$C113,""),"")</f>
        <v/>
      </c>
      <c r="BQ113" s="34">
        <f>IF(AND(BQ$5&gt;$E113,BQ$5&lt;=$F113),IF(BQ$5=$E113+1,$C113,""),"")</f>
        <v/>
      </c>
      <c r="BR113" s="34">
        <f>IF(AND(BR$5&gt;$E113,BR$5&lt;=$F113),IF(BR$5=$E113+1,$C113,""),"")</f>
        <v/>
      </c>
      <c r="BS113" s="34">
        <f>IF(AND(BS$5&gt;$E113,BS$5&lt;=$F113),IF(BS$5=$E113+1,$C113,""),"")</f>
        <v/>
      </c>
      <c r="BT113" s="34">
        <f>IF(AND(BT$5&gt;$E113,BT$5&lt;=$F113),IF(BT$5=$E113+1,$C113,""),"")</f>
        <v/>
      </c>
      <c r="BU113" s="34">
        <f>IF(AND(BU$5&gt;$E113,BU$5&lt;=$F113),IF(BU$5=$E113+1,$C113,""),"")</f>
        <v/>
      </c>
      <c r="BV113" s="34">
        <f>IF(AND(BV$5&gt;$E113,BV$5&lt;=$F113),IF(BV$5=$E113+1,$C113,""),"")</f>
        <v/>
      </c>
      <c r="BW113" s="34">
        <f>IF(AND(BW$5&gt;$E113,BW$5&lt;=$F113),IF(BW$5=$E113+1,$C113,""),"")</f>
        <v/>
      </c>
      <c r="BX113" s="34">
        <f>IF(AND(BX$5&gt;$E113,BX$5&lt;=$F113),IF(BX$5=$E113+1,$C113,""),"")</f>
        <v/>
      </c>
      <c r="BY113" s="34">
        <f>IF(AND(BY$5&gt;$E113,BY$5&lt;=$F113),IF(BY$5=$E113+1,$C113,""),"")</f>
        <v/>
      </c>
      <c r="BZ113" s="34">
        <f>IF(AND(BZ$5&gt;$E113,BZ$5&lt;=$F113),IF(BZ$5=$E113+1,$C113,""),"")</f>
        <v/>
      </c>
      <c r="CA113" s="34">
        <f>IF(AND(CA$5&gt;$E113,CA$5&lt;=$F113),IF(CA$5=$E113+1,$C113,""),"")</f>
        <v/>
      </c>
      <c r="CB113" s="34">
        <f>IF(AND(CB$5&gt;$E113,CB$5&lt;=$F113),IF(CB$5=$E113+1,$C113,""),"")</f>
        <v/>
      </c>
      <c r="CC113" s="34">
        <f>IF(AND(CC$5&gt;$E113,CC$5&lt;=$F113),IF(CC$5=$E113+1,$C113,""),"")</f>
        <v/>
      </c>
      <c r="CD113" s="34">
        <f>IF(AND(CD$5&gt;$E113,CD$5&lt;=$F113),IF(CD$5=$E113+1,$C113,""),"")</f>
        <v/>
      </c>
      <c r="CE113" s="34">
        <f>IF(AND(CE$5&gt;$E113,CE$5&lt;=$F113),IF(CE$5=$E113+1,$C113,""),"")</f>
        <v/>
      </c>
      <c r="CF113" s="34">
        <f>IF(AND(CF$5&gt;$E113,CF$5&lt;=$F113),IF(CF$5=$E113+1,$C113,""),"")</f>
        <v/>
      </c>
      <c r="CG113" s="34">
        <f>IF(AND(CG$5&gt;$E113,CG$5&lt;=$F113),IF(CG$5=$E113+1,$C113,""),"")</f>
        <v/>
      </c>
      <c r="CH113" s="34">
        <f>IF(AND(CH$5&gt;$E113,CH$5&lt;=$F113),IF(CH$5=$E113+1,$C113,""),"")</f>
        <v/>
      </c>
      <c r="CI113" s="34">
        <f>IF(AND(CI$5&gt;$E113,CI$5&lt;=$F113),IF(CI$5=$E113+1,$C113,""),"")</f>
        <v/>
      </c>
      <c r="CJ113" s="34">
        <f>IF(AND(CJ$5&gt;$E113,CJ$5&lt;=$F113),IF(CJ$5=$E113+1,$C113,""),"")</f>
        <v/>
      </c>
      <c r="CK113" s="34">
        <f>IF(AND(CK$5&gt;$E113,CK$5&lt;=$F113),IF(CK$5=$E113+1,$C113,""),"")</f>
        <v/>
      </c>
      <c r="CL113" s="34">
        <f>IF(AND(CL$5&gt;$E113,CL$5&lt;=$F113),IF(CL$5=$E113+1,$C113,""),"")</f>
        <v/>
      </c>
      <c r="CM113" s="34">
        <f>IF(AND(CM$5&gt;$E113,CM$5&lt;=$F113),IF(CM$5=$E113+1,$C113,""),"")</f>
        <v/>
      </c>
      <c r="CN113" s="34">
        <f>IF(AND(CN$5&gt;$E113,CN$5&lt;=$F113),IF(CN$5=$E113+1,$C113,""),"")</f>
        <v/>
      </c>
      <c r="CO113" s="34">
        <f>IF(AND(CO$5&gt;$E113,CO$5&lt;=$F113),IF(CO$5=$E113+1,$C113,""),"")</f>
        <v/>
      </c>
      <c r="CP113" s="34">
        <f>IF(AND(CP$5&gt;$E113,CP$5&lt;=$F113),IF(CP$5=$E113+1,$C113,""),"")</f>
        <v/>
      </c>
      <c r="CQ113" s="34">
        <f>IF(AND(CQ$5&gt;$E113,CQ$5&lt;=$F113),IF(CQ$5=$E113+1,$C113,""),"")</f>
        <v/>
      </c>
      <c r="CR113" s="34">
        <f>IF(AND(CR$5&gt;$E113,CR$5&lt;=$F113),IF(CR$5=$E113+1,$C113,""),"")</f>
        <v/>
      </c>
      <c r="CS113" s="34">
        <f>IF(AND(CS$5&gt;$E113,CS$5&lt;=$F113),IF(CS$5=$E113+1,$C113,""),"")</f>
        <v/>
      </c>
      <c r="CT113" s="34">
        <f>IF(AND(CT$5&gt;$E113,CT$5&lt;=$F113),IF(CT$5=$E113+1,$C113,""),"")</f>
        <v/>
      </c>
      <c r="CU113" s="34">
        <f>IF(AND(CU$5&gt;$E113,CU$5&lt;=$F113),IF(CU$5=$E113+1,$C113,""),"")</f>
        <v/>
      </c>
      <c r="CV113" s="34">
        <f>IF(AND(CV$5&gt;$E113,CV$5&lt;=$F113),IF(CV$5=$E113+1,$C113,""),"")</f>
        <v/>
      </c>
      <c r="CW113" s="34">
        <f>IF(AND(CW$5&gt;$E113,CW$5&lt;=$F113),IF(CW$5=$E113+1,$C113,""),"")</f>
        <v/>
      </c>
      <c r="CX113" s="34">
        <f>IF(AND(CX$5&gt;$E113,CX$5&lt;=$F113),IF(CX$5=$E113+1,$C113,""),"")</f>
        <v/>
      </c>
      <c r="CY113" s="34">
        <f>IF(AND(CY$5&gt;$E113,CY$5&lt;=$F113),IF(CY$5=$E113+1,$C113,""),"")</f>
        <v/>
      </c>
      <c r="CZ113" s="34">
        <f>IF(AND(CZ$5&gt;$E113,CZ$5&lt;=$F113),IF(CZ$5=$E113+1,$C113,""),"")</f>
        <v/>
      </c>
      <c r="DA113" s="34">
        <f>IF(AND(DA$5&gt;$E113,DA$5&lt;=$F113),IF(DA$5=$E113+1,$C113,""),"")</f>
        <v/>
      </c>
      <c r="DB113" s="34">
        <f>IF(AND(DB$5&gt;$E113,DB$5&lt;=$F113),IF(DB$5=$E113+1,$C113,""),"")</f>
        <v/>
      </c>
      <c r="DC113" s="34">
        <f>IF(AND(DC$5&gt;$E113,DC$5&lt;=$F113),IF(DC$5=$E113+1,$C113,""),"")</f>
        <v/>
      </c>
      <c r="DD113" s="34">
        <f>IF(AND(DD$5&gt;$E113,DD$5&lt;=$F113),IF(DD$5=$E113+1,$C113,""),"")</f>
        <v/>
      </c>
      <c r="DE113" s="34">
        <f>IF(AND(DE$5&gt;$E113,DE$5&lt;=$F113),IF(DE$5=$E113+1,$C113,""),"")</f>
        <v/>
      </c>
      <c r="DF113" s="34">
        <f>IF(AND(DF$5&gt;$E113,DF$5&lt;=$F113),IF(DF$5=$E113+1,$C113,""),"")</f>
        <v/>
      </c>
      <c r="DG113" s="34">
        <f>IF(AND(DG$5&gt;$E113,DG$5&lt;=$F113),IF(DG$5=$E113+1,$C113,""),"")</f>
        <v/>
      </c>
      <c r="DH113" s="34">
        <f>IF(AND(DH$5&gt;$E113,DH$5&lt;=$F113),IF(DH$5=$E113+1,$C113,""),"")</f>
        <v/>
      </c>
      <c r="DI113" s="34">
        <f>IF(AND(DI$5&gt;$E113,DI$5&lt;=$F113),IF(DI$5=$E113+1,$C113,""),"")</f>
        <v/>
      </c>
      <c r="DJ113" s="34">
        <f>IF(AND(DJ$5&gt;$E113,DJ$5&lt;=$F113),IF(DJ$5=$E113+1,$C113,""),"")</f>
        <v/>
      </c>
      <c r="DK113" s="34">
        <f>IF(AND(DK$5&gt;$E113,DK$5&lt;=$F113),IF(DK$5=$E113+1,$C113,""),"")</f>
        <v/>
      </c>
      <c r="DL113" s="34">
        <f>IF(AND(DL$5&gt;$E113,DL$5&lt;=$F113),IF(DL$5=$E113+1,$C113,""),"")</f>
        <v/>
      </c>
      <c r="DM113" s="34">
        <f>IF(AND(DM$5&gt;$E113,DM$5&lt;=$F113),IF(DM$5=$E113+1,$C113,""),"")</f>
        <v/>
      </c>
      <c r="DN113" s="34">
        <f>IF(AND(DN$5&gt;$E113,DN$5&lt;=$F113),IF(DN$5=$E113+1,$C113,""),"")</f>
        <v/>
      </c>
      <c r="DO113" s="34">
        <f>IF(AND(DO$5&gt;$E113,DO$5&lt;=$F113),IF(DO$5=$E113+1,$C113,""),"")</f>
        <v/>
      </c>
      <c r="DP113" s="34">
        <f>IF(AND(DP$5&gt;$E113,DP$5&lt;=$F113),IF(DP$5=$E113+1,$C113,""),"")</f>
        <v/>
      </c>
      <c r="DQ113" s="34">
        <f>IF(AND(DQ$5&gt;$E113,DQ$5&lt;=$F113),IF(DQ$5=$E113+1,$C113,""),"")</f>
        <v/>
      </c>
      <c r="DR113" s="34">
        <f>IF(AND(DR$5&gt;$E113,DR$5&lt;=$F113),IF(DR$5=$E113+1,$C113,""),"")</f>
        <v/>
      </c>
      <c r="DS113" s="34">
        <f>IF(AND(DS$5&gt;$E113,DS$5&lt;=$F113),IF(DS$5=$E113+1,$C113,""),"")</f>
        <v/>
      </c>
      <c r="DT113" s="34">
        <f>IF(AND(DT$5&gt;$E113,DT$5&lt;=$F113),IF(DT$5=$E113+1,$C113,""),"")</f>
        <v/>
      </c>
      <c r="DU113" s="34">
        <f>IF(AND(DU$5&gt;$E113,DU$5&lt;=$F113),IF(DU$5=$E113+1,$C113,""),"")</f>
        <v/>
      </c>
      <c r="DV113" s="34">
        <f>IF(AND(DV$5&gt;$E113,DV$5&lt;=$F113),IF(DV$5=$E113+1,$C113,""),"")</f>
        <v/>
      </c>
      <c r="DW113" s="34">
        <f>IF(AND(DW$5&gt;$E113,DW$5&lt;=$F113),IF(DW$5=$E113+1,$C113,""),"")</f>
        <v/>
      </c>
      <c r="DX113" s="34">
        <f>IF(AND(DX$5&gt;$E113,DX$5&lt;=$F113),IF(DX$5=$E113+1,$C113,""),"")</f>
        <v/>
      </c>
      <c r="DY113" s="34">
        <f>IF(AND(DY$5&gt;$E113,DY$5&lt;=$F113),IF(DY$5=$E113+1,$C113,""),"")</f>
        <v/>
      </c>
      <c r="DZ113" s="34">
        <f>IF(AND(DZ$5&gt;$E113,DZ$5&lt;=$F113),IF(DZ$5=$E113+1,$C113,""),"")</f>
        <v/>
      </c>
      <c r="EA113" s="34">
        <f>IF(AND(EA$5&gt;$E113,EA$5&lt;=$F113),IF(EA$5=$E113+1,$C113,""),"")</f>
        <v/>
      </c>
      <c r="EB113" s="34">
        <f>IF(AND(EB$5&gt;$E113,EB$5&lt;=$F113),IF(EB$5=$E113+1,$C113,""),"")</f>
        <v/>
      </c>
      <c r="EC113" s="34">
        <f>IF(AND(EC$5&gt;$E113,EC$5&lt;=$F113),IF(EC$5=$E113+1,$C113,""),"")</f>
        <v/>
      </c>
      <c r="ED113" s="34">
        <f>IF(AND(ED$5&gt;$E113,ED$5&lt;=$F113),IF(ED$5=$E113+1,$C113,""),"")</f>
        <v/>
      </c>
      <c r="EE113" s="34">
        <f>IF(AND(EE$5&gt;$E113,EE$5&lt;=$F113),IF(EE$5=$E113+1,$C113,""),"")</f>
        <v/>
      </c>
      <c r="EF113" s="34">
        <f>IF(AND(EF$5&gt;$E113,EF$5&lt;=$F113),IF(EF$5=$E113+1,$C113,""),"")</f>
        <v/>
      </c>
      <c r="EG113" s="34">
        <f>IF(AND(EG$5&gt;$E113,EG$5&lt;=$F113),IF(EG$5=$E113+1,$C113,""),"")</f>
        <v/>
      </c>
    </row>
    <row r="114">
      <c r="A114" s="32">
        <f>Plan!A100</f>
        <v/>
      </c>
      <c r="B114" s="33">
        <f>Plan!C100</f>
        <v/>
      </c>
      <c r="C114" s="16">
        <f>Plan!D100</f>
        <v/>
      </c>
      <c r="D114" s="16">
        <f>Plan!I100</f>
        <v/>
      </c>
      <c r="E114" s="16">
        <f>Plan!K100</f>
        <v/>
      </c>
      <c r="F114" s="16">
        <f>Plan!L100</f>
        <v/>
      </c>
      <c r="G114" s="16">
        <f>Plan!O100</f>
        <v/>
      </c>
      <c r="H114" s="34">
        <f>IF(AND(H$5&gt;$E114,H$5&lt;=$F114),IF(H$5=$E114+1,$C114,""),"")</f>
        <v/>
      </c>
      <c r="I114" s="34">
        <f>IF(AND(I$5&gt;$E114,I$5&lt;=$F114),IF(I$5=$E114+1,$C114,""),"")</f>
        <v/>
      </c>
      <c r="J114" s="34">
        <f>IF(AND(J$5&gt;$E114,J$5&lt;=$F114),IF(J$5=$E114+1,$C114,""),"")</f>
        <v/>
      </c>
      <c r="K114" s="34">
        <f>IF(AND(K$5&gt;$E114,K$5&lt;=$F114),IF(K$5=$E114+1,$C114,""),"")</f>
        <v/>
      </c>
      <c r="L114" s="34">
        <f>IF(AND(L$5&gt;$E114,L$5&lt;=$F114),IF(L$5=$E114+1,$C114,""),"")</f>
        <v/>
      </c>
      <c r="M114" s="34">
        <f>IF(AND(M$5&gt;$E114,M$5&lt;=$F114),IF(M$5=$E114+1,$C114,""),"")</f>
        <v/>
      </c>
      <c r="N114" s="34">
        <f>IF(AND(N$5&gt;$E114,N$5&lt;=$F114),IF(N$5=$E114+1,$C114,""),"")</f>
        <v/>
      </c>
      <c r="O114" s="34">
        <f>IF(AND(O$5&gt;$E114,O$5&lt;=$F114),IF(O$5=$E114+1,$C114,""),"")</f>
        <v/>
      </c>
      <c r="P114" s="34">
        <f>IF(AND(P$5&gt;$E114,P$5&lt;=$F114),IF(P$5=$E114+1,$C114,""),"")</f>
        <v/>
      </c>
      <c r="Q114" s="34">
        <f>IF(AND(Q$5&gt;$E114,Q$5&lt;=$F114),IF(Q$5=$E114+1,$C114,""),"")</f>
        <v/>
      </c>
      <c r="R114" s="34">
        <f>IF(AND(R$5&gt;$E114,R$5&lt;=$F114),IF(R$5=$E114+1,$C114,""),"")</f>
        <v/>
      </c>
      <c r="S114" s="34">
        <f>IF(AND(S$5&gt;$E114,S$5&lt;=$F114),IF(S$5=$E114+1,$C114,""),"")</f>
        <v/>
      </c>
      <c r="T114" s="34">
        <f>IF(AND(T$5&gt;$E114,T$5&lt;=$F114),IF(T$5=$E114+1,$C114,""),"")</f>
        <v/>
      </c>
      <c r="U114" s="34">
        <f>IF(AND(U$5&gt;$E114,U$5&lt;=$F114),IF(U$5=$E114+1,$C114,""),"")</f>
        <v/>
      </c>
      <c r="V114" s="34">
        <f>IF(AND(V$5&gt;$E114,V$5&lt;=$F114),IF(V$5=$E114+1,$C114,""),"")</f>
        <v/>
      </c>
      <c r="W114" s="34">
        <f>IF(AND(W$5&gt;$E114,W$5&lt;=$F114),IF(W$5=$E114+1,$C114,""),"")</f>
        <v/>
      </c>
      <c r="X114" s="34">
        <f>IF(AND(X$5&gt;$E114,X$5&lt;=$F114),IF(X$5=$E114+1,$C114,""),"")</f>
        <v/>
      </c>
      <c r="Y114" s="34">
        <f>IF(AND(Y$5&gt;$E114,Y$5&lt;=$F114),IF(Y$5=$E114+1,$C114,""),"")</f>
        <v/>
      </c>
      <c r="Z114" s="34">
        <f>IF(AND(Z$5&gt;$E114,Z$5&lt;=$F114),IF(Z$5=$E114+1,$C114,""),"")</f>
        <v/>
      </c>
      <c r="AA114" s="34">
        <f>IF(AND(AA$5&gt;$E114,AA$5&lt;=$F114),IF(AA$5=$E114+1,$C114,""),"")</f>
        <v/>
      </c>
      <c r="AB114" s="34">
        <f>IF(AND(AB$5&gt;$E114,AB$5&lt;=$F114),IF(AB$5=$E114+1,$C114,""),"")</f>
        <v/>
      </c>
      <c r="AC114" s="34">
        <f>IF(AND(AC$5&gt;$E114,AC$5&lt;=$F114),IF(AC$5=$E114+1,$C114,""),"")</f>
        <v/>
      </c>
      <c r="AD114" s="34">
        <f>IF(AND(AD$5&gt;$E114,AD$5&lt;=$F114),IF(AD$5=$E114+1,$C114,""),"")</f>
        <v/>
      </c>
      <c r="AE114" s="34">
        <f>IF(AND(AE$5&gt;$E114,AE$5&lt;=$F114),IF(AE$5=$E114+1,$C114,""),"")</f>
        <v/>
      </c>
      <c r="AF114" s="34">
        <f>IF(AND(AF$5&gt;$E114,AF$5&lt;=$F114),IF(AF$5=$E114+1,$C114,""),"")</f>
        <v/>
      </c>
      <c r="AG114" s="34">
        <f>IF(AND(AG$5&gt;$E114,AG$5&lt;=$F114),IF(AG$5=$E114+1,$C114,""),"")</f>
        <v/>
      </c>
      <c r="AH114" s="34">
        <f>IF(AND(AH$5&gt;$E114,AH$5&lt;=$F114),IF(AH$5=$E114+1,$C114,""),"")</f>
        <v/>
      </c>
      <c r="AI114" s="34">
        <f>IF(AND(AI$5&gt;$E114,AI$5&lt;=$F114),IF(AI$5=$E114+1,$C114,""),"")</f>
        <v/>
      </c>
      <c r="AJ114" s="34">
        <f>IF(AND(AJ$5&gt;$E114,AJ$5&lt;=$F114),IF(AJ$5=$E114+1,$C114,""),"")</f>
        <v/>
      </c>
      <c r="AK114" s="34">
        <f>IF(AND(AK$5&gt;$E114,AK$5&lt;=$F114),IF(AK$5=$E114+1,$C114,""),"")</f>
        <v/>
      </c>
      <c r="AL114" s="34">
        <f>IF(AND(AL$5&gt;$E114,AL$5&lt;=$F114),IF(AL$5=$E114+1,$C114,""),"")</f>
        <v/>
      </c>
      <c r="AM114" s="34">
        <f>IF(AND(AM$5&gt;$E114,AM$5&lt;=$F114),IF(AM$5=$E114+1,$C114,""),"")</f>
        <v/>
      </c>
      <c r="AN114" s="34">
        <f>IF(AND(AN$5&gt;$E114,AN$5&lt;=$F114),IF(AN$5=$E114+1,$C114,""),"")</f>
        <v/>
      </c>
      <c r="AO114" s="34">
        <f>IF(AND(AO$5&gt;$E114,AO$5&lt;=$F114),IF(AO$5=$E114+1,$C114,""),"")</f>
        <v/>
      </c>
      <c r="AP114" s="34">
        <f>IF(AND(AP$5&gt;$E114,AP$5&lt;=$F114),IF(AP$5=$E114+1,$C114,""),"")</f>
        <v/>
      </c>
      <c r="AQ114" s="34">
        <f>IF(AND(AQ$5&gt;$E114,AQ$5&lt;=$F114),IF(AQ$5=$E114+1,$C114,""),"")</f>
        <v/>
      </c>
      <c r="AR114" s="34">
        <f>IF(AND(AR$5&gt;$E114,AR$5&lt;=$F114),IF(AR$5=$E114+1,$C114,""),"")</f>
        <v/>
      </c>
      <c r="AS114" s="34">
        <f>IF(AND(AS$5&gt;$E114,AS$5&lt;=$F114),IF(AS$5=$E114+1,$C114,""),"")</f>
        <v/>
      </c>
      <c r="AT114" s="34">
        <f>IF(AND(AT$5&gt;$E114,AT$5&lt;=$F114),IF(AT$5=$E114+1,$C114,""),"")</f>
        <v/>
      </c>
      <c r="AU114" s="34">
        <f>IF(AND(AU$5&gt;$E114,AU$5&lt;=$F114),IF(AU$5=$E114+1,$C114,""),"")</f>
        <v/>
      </c>
      <c r="AV114" s="34">
        <f>IF(AND(AV$5&gt;$E114,AV$5&lt;=$F114),IF(AV$5=$E114+1,$C114,""),"")</f>
        <v/>
      </c>
      <c r="AW114" s="34">
        <f>IF(AND(AW$5&gt;$E114,AW$5&lt;=$F114),IF(AW$5=$E114+1,$C114,""),"")</f>
        <v/>
      </c>
      <c r="AX114" s="34">
        <f>IF(AND(AX$5&gt;$E114,AX$5&lt;=$F114),IF(AX$5=$E114+1,$C114,""),"")</f>
        <v/>
      </c>
      <c r="AY114" s="34">
        <f>IF(AND(AY$5&gt;$E114,AY$5&lt;=$F114),IF(AY$5=$E114+1,$C114,""),"")</f>
        <v/>
      </c>
      <c r="AZ114" s="34">
        <f>IF(AND(AZ$5&gt;$E114,AZ$5&lt;=$F114),IF(AZ$5=$E114+1,$C114,""),"")</f>
        <v/>
      </c>
      <c r="BA114" s="34">
        <f>IF(AND(BA$5&gt;$E114,BA$5&lt;=$F114),IF(BA$5=$E114+1,$C114,""),"")</f>
        <v/>
      </c>
      <c r="BB114" s="34">
        <f>IF(AND(BB$5&gt;$E114,BB$5&lt;=$F114),IF(BB$5=$E114+1,$C114,""),"")</f>
        <v/>
      </c>
      <c r="BC114" s="34">
        <f>IF(AND(BC$5&gt;$E114,BC$5&lt;=$F114),IF(BC$5=$E114+1,$C114,""),"")</f>
        <v/>
      </c>
      <c r="BD114" s="34">
        <f>IF(AND(BD$5&gt;$E114,BD$5&lt;=$F114),IF(BD$5=$E114+1,$C114,""),"")</f>
        <v/>
      </c>
      <c r="BE114" s="34">
        <f>IF(AND(BE$5&gt;$E114,BE$5&lt;=$F114),IF(BE$5=$E114+1,$C114,""),"")</f>
        <v/>
      </c>
      <c r="BF114" s="34">
        <f>IF(AND(BF$5&gt;$E114,BF$5&lt;=$F114),IF(BF$5=$E114+1,$C114,""),"")</f>
        <v/>
      </c>
      <c r="BG114" s="34">
        <f>IF(AND(BG$5&gt;$E114,BG$5&lt;=$F114),IF(BG$5=$E114+1,$C114,""),"")</f>
        <v/>
      </c>
      <c r="BH114" s="34">
        <f>IF(AND(BH$5&gt;$E114,BH$5&lt;=$F114),IF(BH$5=$E114+1,$C114,""),"")</f>
        <v/>
      </c>
      <c r="BI114" s="34">
        <f>IF(AND(BI$5&gt;$E114,BI$5&lt;=$F114),IF(BI$5=$E114+1,$C114,""),"")</f>
        <v/>
      </c>
      <c r="BJ114" s="34">
        <f>IF(AND(BJ$5&gt;$E114,BJ$5&lt;=$F114),IF(BJ$5=$E114+1,$C114,""),"")</f>
        <v/>
      </c>
      <c r="BK114" s="34">
        <f>IF(AND(BK$5&gt;$E114,BK$5&lt;=$F114),IF(BK$5=$E114+1,$C114,""),"")</f>
        <v/>
      </c>
      <c r="BL114" s="34">
        <f>IF(AND(BL$5&gt;$E114,BL$5&lt;=$F114),IF(BL$5=$E114+1,$C114,""),"")</f>
        <v/>
      </c>
      <c r="BM114" s="34">
        <f>IF(AND(BM$5&gt;$E114,BM$5&lt;=$F114),IF(BM$5=$E114+1,$C114,""),"")</f>
        <v/>
      </c>
      <c r="BN114" s="34">
        <f>IF(AND(BN$5&gt;$E114,BN$5&lt;=$F114),IF(BN$5=$E114+1,$C114,""),"")</f>
        <v/>
      </c>
      <c r="BO114" s="34">
        <f>IF(AND(BO$5&gt;$E114,BO$5&lt;=$F114),IF(BO$5=$E114+1,$C114,""),"")</f>
        <v/>
      </c>
      <c r="BP114" s="34">
        <f>IF(AND(BP$5&gt;$E114,BP$5&lt;=$F114),IF(BP$5=$E114+1,$C114,""),"")</f>
        <v/>
      </c>
      <c r="BQ114" s="34">
        <f>IF(AND(BQ$5&gt;$E114,BQ$5&lt;=$F114),IF(BQ$5=$E114+1,$C114,""),"")</f>
        <v/>
      </c>
      <c r="BR114" s="34">
        <f>IF(AND(BR$5&gt;$E114,BR$5&lt;=$F114),IF(BR$5=$E114+1,$C114,""),"")</f>
        <v/>
      </c>
      <c r="BS114" s="34">
        <f>IF(AND(BS$5&gt;$E114,BS$5&lt;=$F114),IF(BS$5=$E114+1,$C114,""),"")</f>
        <v/>
      </c>
      <c r="BT114" s="34">
        <f>IF(AND(BT$5&gt;$E114,BT$5&lt;=$F114),IF(BT$5=$E114+1,$C114,""),"")</f>
        <v/>
      </c>
      <c r="BU114" s="34">
        <f>IF(AND(BU$5&gt;$E114,BU$5&lt;=$F114),IF(BU$5=$E114+1,$C114,""),"")</f>
        <v/>
      </c>
      <c r="BV114" s="34">
        <f>IF(AND(BV$5&gt;$E114,BV$5&lt;=$F114),IF(BV$5=$E114+1,$C114,""),"")</f>
        <v/>
      </c>
      <c r="BW114" s="34">
        <f>IF(AND(BW$5&gt;$E114,BW$5&lt;=$F114),IF(BW$5=$E114+1,$C114,""),"")</f>
        <v/>
      </c>
      <c r="BX114" s="34">
        <f>IF(AND(BX$5&gt;$E114,BX$5&lt;=$F114),IF(BX$5=$E114+1,$C114,""),"")</f>
        <v/>
      </c>
      <c r="BY114" s="34">
        <f>IF(AND(BY$5&gt;$E114,BY$5&lt;=$F114),IF(BY$5=$E114+1,$C114,""),"")</f>
        <v/>
      </c>
      <c r="BZ114" s="34">
        <f>IF(AND(BZ$5&gt;$E114,BZ$5&lt;=$F114),IF(BZ$5=$E114+1,$C114,""),"")</f>
        <v/>
      </c>
      <c r="CA114" s="34">
        <f>IF(AND(CA$5&gt;$E114,CA$5&lt;=$F114),IF(CA$5=$E114+1,$C114,""),"")</f>
        <v/>
      </c>
      <c r="CB114" s="34">
        <f>IF(AND(CB$5&gt;$E114,CB$5&lt;=$F114),IF(CB$5=$E114+1,$C114,""),"")</f>
        <v/>
      </c>
      <c r="CC114" s="34">
        <f>IF(AND(CC$5&gt;$E114,CC$5&lt;=$F114),IF(CC$5=$E114+1,$C114,""),"")</f>
        <v/>
      </c>
      <c r="CD114" s="34">
        <f>IF(AND(CD$5&gt;$E114,CD$5&lt;=$F114),IF(CD$5=$E114+1,$C114,""),"")</f>
        <v/>
      </c>
      <c r="CE114" s="34">
        <f>IF(AND(CE$5&gt;$E114,CE$5&lt;=$F114),IF(CE$5=$E114+1,$C114,""),"")</f>
        <v/>
      </c>
      <c r="CF114" s="34">
        <f>IF(AND(CF$5&gt;$E114,CF$5&lt;=$F114),IF(CF$5=$E114+1,$C114,""),"")</f>
        <v/>
      </c>
      <c r="CG114" s="34">
        <f>IF(AND(CG$5&gt;$E114,CG$5&lt;=$F114),IF(CG$5=$E114+1,$C114,""),"")</f>
        <v/>
      </c>
      <c r="CH114" s="34">
        <f>IF(AND(CH$5&gt;$E114,CH$5&lt;=$F114),IF(CH$5=$E114+1,$C114,""),"")</f>
        <v/>
      </c>
      <c r="CI114" s="34">
        <f>IF(AND(CI$5&gt;$E114,CI$5&lt;=$F114),IF(CI$5=$E114+1,$C114,""),"")</f>
        <v/>
      </c>
      <c r="CJ114" s="34">
        <f>IF(AND(CJ$5&gt;$E114,CJ$5&lt;=$F114),IF(CJ$5=$E114+1,$C114,""),"")</f>
        <v/>
      </c>
      <c r="CK114" s="34">
        <f>IF(AND(CK$5&gt;$E114,CK$5&lt;=$F114),IF(CK$5=$E114+1,$C114,""),"")</f>
        <v/>
      </c>
      <c r="CL114" s="34">
        <f>IF(AND(CL$5&gt;$E114,CL$5&lt;=$F114),IF(CL$5=$E114+1,$C114,""),"")</f>
        <v/>
      </c>
      <c r="CM114" s="34">
        <f>IF(AND(CM$5&gt;$E114,CM$5&lt;=$F114),IF(CM$5=$E114+1,$C114,""),"")</f>
        <v/>
      </c>
      <c r="CN114" s="34">
        <f>IF(AND(CN$5&gt;$E114,CN$5&lt;=$F114),IF(CN$5=$E114+1,$C114,""),"")</f>
        <v/>
      </c>
      <c r="CO114" s="34">
        <f>IF(AND(CO$5&gt;$E114,CO$5&lt;=$F114),IF(CO$5=$E114+1,$C114,""),"")</f>
        <v/>
      </c>
      <c r="CP114" s="34">
        <f>IF(AND(CP$5&gt;$E114,CP$5&lt;=$F114),IF(CP$5=$E114+1,$C114,""),"")</f>
        <v/>
      </c>
      <c r="CQ114" s="34">
        <f>IF(AND(CQ$5&gt;$E114,CQ$5&lt;=$F114),IF(CQ$5=$E114+1,$C114,""),"")</f>
        <v/>
      </c>
      <c r="CR114" s="34">
        <f>IF(AND(CR$5&gt;$E114,CR$5&lt;=$F114),IF(CR$5=$E114+1,$C114,""),"")</f>
        <v/>
      </c>
      <c r="CS114" s="34">
        <f>IF(AND(CS$5&gt;$E114,CS$5&lt;=$F114),IF(CS$5=$E114+1,$C114,""),"")</f>
        <v/>
      </c>
      <c r="CT114" s="34">
        <f>IF(AND(CT$5&gt;$E114,CT$5&lt;=$F114),IF(CT$5=$E114+1,$C114,""),"")</f>
        <v/>
      </c>
      <c r="CU114" s="34">
        <f>IF(AND(CU$5&gt;$E114,CU$5&lt;=$F114),IF(CU$5=$E114+1,$C114,""),"")</f>
        <v/>
      </c>
      <c r="CV114" s="34">
        <f>IF(AND(CV$5&gt;$E114,CV$5&lt;=$F114),IF(CV$5=$E114+1,$C114,""),"")</f>
        <v/>
      </c>
      <c r="CW114" s="34">
        <f>IF(AND(CW$5&gt;$E114,CW$5&lt;=$F114),IF(CW$5=$E114+1,$C114,""),"")</f>
        <v/>
      </c>
      <c r="CX114" s="34">
        <f>IF(AND(CX$5&gt;$E114,CX$5&lt;=$F114),IF(CX$5=$E114+1,$C114,""),"")</f>
        <v/>
      </c>
      <c r="CY114" s="34">
        <f>IF(AND(CY$5&gt;$E114,CY$5&lt;=$F114),IF(CY$5=$E114+1,$C114,""),"")</f>
        <v/>
      </c>
      <c r="CZ114" s="34">
        <f>IF(AND(CZ$5&gt;$E114,CZ$5&lt;=$F114),IF(CZ$5=$E114+1,$C114,""),"")</f>
        <v/>
      </c>
      <c r="DA114" s="34">
        <f>IF(AND(DA$5&gt;$E114,DA$5&lt;=$F114),IF(DA$5=$E114+1,$C114,""),"")</f>
        <v/>
      </c>
      <c r="DB114" s="34">
        <f>IF(AND(DB$5&gt;$E114,DB$5&lt;=$F114),IF(DB$5=$E114+1,$C114,""),"")</f>
        <v/>
      </c>
      <c r="DC114" s="34">
        <f>IF(AND(DC$5&gt;$E114,DC$5&lt;=$F114),IF(DC$5=$E114+1,$C114,""),"")</f>
        <v/>
      </c>
      <c r="DD114" s="34">
        <f>IF(AND(DD$5&gt;$E114,DD$5&lt;=$F114),IF(DD$5=$E114+1,$C114,""),"")</f>
        <v/>
      </c>
      <c r="DE114" s="34">
        <f>IF(AND(DE$5&gt;$E114,DE$5&lt;=$F114),IF(DE$5=$E114+1,$C114,""),"")</f>
        <v/>
      </c>
      <c r="DF114" s="34">
        <f>IF(AND(DF$5&gt;$E114,DF$5&lt;=$F114),IF(DF$5=$E114+1,$C114,""),"")</f>
        <v/>
      </c>
      <c r="DG114" s="34">
        <f>IF(AND(DG$5&gt;$E114,DG$5&lt;=$F114),IF(DG$5=$E114+1,$C114,""),"")</f>
        <v/>
      </c>
      <c r="DH114" s="34">
        <f>IF(AND(DH$5&gt;$E114,DH$5&lt;=$F114),IF(DH$5=$E114+1,$C114,""),"")</f>
        <v/>
      </c>
      <c r="DI114" s="34">
        <f>IF(AND(DI$5&gt;$E114,DI$5&lt;=$F114),IF(DI$5=$E114+1,$C114,""),"")</f>
        <v/>
      </c>
      <c r="DJ114" s="34">
        <f>IF(AND(DJ$5&gt;$E114,DJ$5&lt;=$F114),IF(DJ$5=$E114+1,$C114,""),"")</f>
        <v/>
      </c>
      <c r="DK114" s="34">
        <f>IF(AND(DK$5&gt;$E114,DK$5&lt;=$F114),IF(DK$5=$E114+1,$C114,""),"")</f>
        <v/>
      </c>
      <c r="DL114" s="34">
        <f>IF(AND(DL$5&gt;$E114,DL$5&lt;=$F114),IF(DL$5=$E114+1,$C114,""),"")</f>
        <v/>
      </c>
      <c r="DM114" s="34">
        <f>IF(AND(DM$5&gt;$E114,DM$5&lt;=$F114),IF(DM$5=$E114+1,$C114,""),"")</f>
        <v/>
      </c>
      <c r="DN114" s="34">
        <f>IF(AND(DN$5&gt;$E114,DN$5&lt;=$F114),IF(DN$5=$E114+1,$C114,""),"")</f>
        <v/>
      </c>
      <c r="DO114" s="34">
        <f>IF(AND(DO$5&gt;$E114,DO$5&lt;=$F114),IF(DO$5=$E114+1,$C114,""),"")</f>
        <v/>
      </c>
      <c r="DP114" s="34">
        <f>IF(AND(DP$5&gt;$E114,DP$5&lt;=$F114),IF(DP$5=$E114+1,$C114,""),"")</f>
        <v/>
      </c>
      <c r="DQ114" s="34">
        <f>IF(AND(DQ$5&gt;$E114,DQ$5&lt;=$F114),IF(DQ$5=$E114+1,$C114,""),"")</f>
        <v/>
      </c>
      <c r="DR114" s="34">
        <f>IF(AND(DR$5&gt;$E114,DR$5&lt;=$F114),IF(DR$5=$E114+1,$C114,""),"")</f>
        <v/>
      </c>
      <c r="DS114" s="34">
        <f>IF(AND(DS$5&gt;$E114,DS$5&lt;=$F114),IF(DS$5=$E114+1,$C114,""),"")</f>
        <v/>
      </c>
      <c r="DT114" s="34">
        <f>IF(AND(DT$5&gt;$E114,DT$5&lt;=$F114),IF(DT$5=$E114+1,$C114,""),"")</f>
        <v/>
      </c>
      <c r="DU114" s="34">
        <f>IF(AND(DU$5&gt;$E114,DU$5&lt;=$F114),IF(DU$5=$E114+1,$C114,""),"")</f>
        <v/>
      </c>
      <c r="DV114" s="34">
        <f>IF(AND(DV$5&gt;$E114,DV$5&lt;=$F114),IF(DV$5=$E114+1,$C114,""),"")</f>
        <v/>
      </c>
      <c r="DW114" s="34">
        <f>IF(AND(DW$5&gt;$E114,DW$5&lt;=$F114),IF(DW$5=$E114+1,$C114,""),"")</f>
        <v/>
      </c>
      <c r="DX114" s="34">
        <f>IF(AND(DX$5&gt;$E114,DX$5&lt;=$F114),IF(DX$5=$E114+1,$C114,""),"")</f>
        <v/>
      </c>
      <c r="DY114" s="34">
        <f>IF(AND(DY$5&gt;$E114,DY$5&lt;=$F114),IF(DY$5=$E114+1,$C114,""),"")</f>
        <v/>
      </c>
      <c r="DZ114" s="34">
        <f>IF(AND(DZ$5&gt;$E114,DZ$5&lt;=$F114),IF(DZ$5=$E114+1,$C114,""),"")</f>
        <v/>
      </c>
      <c r="EA114" s="34">
        <f>IF(AND(EA$5&gt;$E114,EA$5&lt;=$F114),IF(EA$5=$E114+1,$C114,""),"")</f>
        <v/>
      </c>
      <c r="EB114" s="34">
        <f>IF(AND(EB$5&gt;$E114,EB$5&lt;=$F114),IF(EB$5=$E114+1,$C114,""),"")</f>
        <v/>
      </c>
      <c r="EC114" s="34">
        <f>IF(AND(EC$5&gt;$E114,EC$5&lt;=$F114),IF(EC$5=$E114+1,$C114,""),"")</f>
        <v/>
      </c>
      <c r="ED114" s="34">
        <f>IF(AND(ED$5&gt;$E114,ED$5&lt;=$F114),IF(ED$5=$E114+1,$C114,""),"")</f>
        <v/>
      </c>
      <c r="EE114" s="34">
        <f>IF(AND(EE$5&gt;$E114,EE$5&lt;=$F114),IF(EE$5=$E114+1,$C114,""),"")</f>
        <v/>
      </c>
      <c r="EF114" s="34">
        <f>IF(AND(EF$5&gt;$E114,EF$5&lt;=$F114),IF(EF$5=$E114+1,$C114,""),"")</f>
        <v/>
      </c>
      <c r="EG114" s="34">
        <f>IF(AND(EG$5&gt;$E114,EG$5&lt;=$F114),IF(EG$5=$E114+1,$C114,""),"")</f>
        <v/>
      </c>
    </row>
    <row r="115">
      <c r="A115" s="32">
        <f>Plan!A101</f>
        <v/>
      </c>
      <c r="B115" s="33">
        <f>Plan!C101</f>
        <v/>
      </c>
      <c r="C115" s="16">
        <f>Plan!D101</f>
        <v/>
      </c>
      <c r="D115" s="16">
        <f>Plan!I101</f>
        <v/>
      </c>
      <c r="E115" s="16">
        <f>Plan!K101</f>
        <v/>
      </c>
      <c r="F115" s="16">
        <f>Plan!L101</f>
        <v/>
      </c>
      <c r="G115" s="16">
        <f>Plan!O101</f>
        <v/>
      </c>
      <c r="H115" s="34">
        <f>IF(AND(H$5&gt;$E115,H$5&lt;=$F115),IF(H$5=$E115+1,$C115,""),"")</f>
        <v/>
      </c>
      <c r="I115" s="34">
        <f>IF(AND(I$5&gt;$E115,I$5&lt;=$F115),IF(I$5=$E115+1,$C115,""),"")</f>
        <v/>
      </c>
      <c r="J115" s="34">
        <f>IF(AND(J$5&gt;$E115,J$5&lt;=$F115),IF(J$5=$E115+1,$C115,""),"")</f>
        <v/>
      </c>
      <c r="K115" s="34">
        <f>IF(AND(K$5&gt;$E115,K$5&lt;=$F115),IF(K$5=$E115+1,$C115,""),"")</f>
        <v/>
      </c>
      <c r="L115" s="34">
        <f>IF(AND(L$5&gt;$E115,L$5&lt;=$F115),IF(L$5=$E115+1,$C115,""),"")</f>
        <v/>
      </c>
      <c r="M115" s="34">
        <f>IF(AND(M$5&gt;$E115,M$5&lt;=$F115),IF(M$5=$E115+1,$C115,""),"")</f>
        <v/>
      </c>
      <c r="N115" s="34">
        <f>IF(AND(N$5&gt;$E115,N$5&lt;=$F115),IF(N$5=$E115+1,$C115,""),"")</f>
        <v/>
      </c>
      <c r="O115" s="34">
        <f>IF(AND(O$5&gt;$E115,O$5&lt;=$F115),IF(O$5=$E115+1,$C115,""),"")</f>
        <v/>
      </c>
      <c r="P115" s="34">
        <f>IF(AND(P$5&gt;$E115,P$5&lt;=$F115),IF(P$5=$E115+1,$C115,""),"")</f>
        <v/>
      </c>
      <c r="Q115" s="34">
        <f>IF(AND(Q$5&gt;$E115,Q$5&lt;=$F115),IF(Q$5=$E115+1,$C115,""),"")</f>
        <v/>
      </c>
      <c r="R115" s="34">
        <f>IF(AND(R$5&gt;$E115,R$5&lt;=$F115),IF(R$5=$E115+1,$C115,""),"")</f>
        <v/>
      </c>
      <c r="S115" s="34">
        <f>IF(AND(S$5&gt;$E115,S$5&lt;=$F115),IF(S$5=$E115+1,$C115,""),"")</f>
        <v/>
      </c>
      <c r="T115" s="34">
        <f>IF(AND(T$5&gt;$E115,T$5&lt;=$F115),IF(T$5=$E115+1,$C115,""),"")</f>
        <v/>
      </c>
      <c r="U115" s="34">
        <f>IF(AND(U$5&gt;$E115,U$5&lt;=$F115),IF(U$5=$E115+1,$C115,""),"")</f>
        <v/>
      </c>
      <c r="V115" s="34">
        <f>IF(AND(V$5&gt;$E115,V$5&lt;=$F115),IF(V$5=$E115+1,$C115,""),"")</f>
        <v/>
      </c>
      <c r="W115" s="34">
        <f>IF(AND(W$5&gt;$E115,W$5&lt;=$F115),IF(W$5=$E115+1,$C115,""),"")</f>
        <v/>
      </c>
      <c r="X115" s="34">
        <f>IF(AND(X$5&gt;$E115,X$5&lt;=$F115),IF(X$5=$E115+1,$C115,""),"")</f>
        <v/>
      </c>
      <c r="Y115" s="34">
        <f>IF(AND(Y$5&gt;$E115,Y$5&lt;=$F115),IF(Y$5=$E115+1,$C115,""),"")</f>
        <v/>
      </c>
      <c r="Z115" s="34">
        <f>IF(AND(Z$5&gt;$E115,Z$5&lt;=$F115),IF(Z$5=$E115+1,$C115,""),"")</f>
        <v/>
      </c>
      <c r="AA115" s="34">
        <f>IF(AND(AA$5&gt;$E115,AA$5&lt;=$F115),IF(AA$5=$E115+1,$C115,""),"")</f>
        <v/>
      </c>
      <c r="AB115" s="34">
        <f>IF(AND(AB$5&gt;$E115,AB$5&lt;=$F115),IF(AB$5=$E115+1,$C115,""),"")</f>
        <v/>
      </c>
      <c r="AC115" s="34">
        <f>IF(AND(AC$5&gt;$E115,AC$5&lt;=$F115),IF(AC$5=$E115+1,$C115,""),"")</f>
        <v/>
      </c>
      <c r="AD115" s="34">
        <f>IF(AND(AD$5&gt;$E115,AD$5&lt;=$F115),IF(AD$5=$E115+1,$C115,""),"")</f>
        <v/>
      </c>
      <c r="AE115" s="34">
        <f>IF(AND(AE$5&gt;$E115,AE$5&lt;=$F115),IF(AE$5=$E115+1,$C115,""),"")</f>
        <v/>
      </c>
      <c r="AF115" s="34">
        <f>IF(AND(AF$5&gt;$E115,AF$5&lt;=$F115),IF(AF$5=$E115+1,$C115,""),"")</f>
        <v/>
      </c>
      <c r="AG115" s="34">
        <f>IF(AND(AG$5&gt;$E115,AG$5&lt;=$F115),IF(AG$5=$E115+1,$C115,""),"")</f>
        <v/>
      </c>
      <c r="AH115" s="34">
        <f>IF(AND(AH$5&gt;$E115,AH$5&lt;=$F115),IF(AH$5=$E115+1,$C115,""),"")</f>
        <v/>
      </c>
      <c r="AI115" s="34">
        <f>IF(AND(AI$5&gt;$E115,AI$5&lt;=$F115),IF(AI$5=$E115+1,$C115,""),"")</f>
        <v/>
      </c>
      <c r="AJ115" s="34">
        <f>IF(AND(AJ$5&gt;$E115,AJ$5&lt;=$F115),IF(AJ$5=$E115+1,$C115,""),"")</f>
        <v/>
      </c>
      <c r="AK115" s="34">
        <f>IF(AND(AK$5&gt;$E115,AK$5&lt;=$F115),IF(AK$5=$E115+1,$C115,""),"")</f>
        <v/>
      </c>
      <c r="AL115" s="34">
        <f>IF(AND(AL$5&gt;$E115,AL$5&lt;=$F115),IF(AL$5=$E115+1,$C115,""),"")</f>
        <v/>
      </c>
      <c r="AM115" s="34">
        <f>IF(AND(AM$5&gt;$E115,AM$5&lt;=$F115),IF(AM$5=$E115+1,$C115,""),"")</f>
        <v/>
      </c>
      <c r="AN115" s="34">
        <f>IF(AND(AN$5&gt;$E115,AN$5&lt;=$F115),IF(AN$5=$E115+1,$C115,""),"")</f>
        <v/>
      </c>
      <c r="AO115" s="34">
        <f>IF(AND(AO$5&gt;$E115,AO$5&lt;=$F115),IF(AO$5=$E115+1,$C115,""),"")</f>
        <v/>
      </c>
      <c r="AP115" s="34">
        <f>IF(AND(AP$5&gt;$E115,AP$5&lt;=$F115),IF(AP$5=$E115+1,$C115,""),"")</f>
        <v/>
      </c>
      <c r="AQ115" s="34">
        <f>IF(AND(AQ$5&gt;$E115,AQ$5&lt;=$F115),IF(AQ$5=$E115+1,$C115,""),"")</f>
        <v/>
      </c>
      <c r="AR115" s="34">
        <f>IF(AND(AR$5&gt;$E115,AR$5&lt;=$F115),IF(AR$5=$E115+1,$C115,""),"")</f>
        <v/>
      </c>
      <c r="AS115" s="34">
        <f>IF(AND(AS$5&gt;$E115,AS$5&lt;=$F115),IF(AS$5=$E115+1,$C115,""),"")</f>
        <v/>
      </c>
      <c r="AT115" s="34">
        <f>IF(AND(AT$5&gt;$E115,AT$5&lt;=$F115),IF(AT$5=$E115+1,$C115,""),"")</f>
        <v/>
      </c>
      <c r="AU115" s="34">
        <f>IF(AND(AU$5&gt;$E115,AU$5&lt;=$F115),IF(AU$5=$E115+1,$C115,""),"")</f>
        <v/>
      </c>
      <c r="AV115" s="34">
        <f>IF(AND(AV$5&gt;$E115,AV$5&lt;=$F115),IF(AV$5=$E115+1,$C115,""),"")</f>
        <v/>
      </c>
      <c r="AW115" s="34">
        <f>IF(AND(AW$5&gt;$E115,AW$5&lt;=$F115),IF(AW$5=$E115+1,$C115,""),"")</f>
        <v/>
      </c>
      <c r="AX115" s="34">
        <f>IF(AND(AX$5&gt;$E115,AX$5&lt;=$F115),IF(AX$5=$E115+1,$C115,""),"")</f>
        <v/>
      </c>
      <c r="AY115" s="34">
        <f>IF(AND(AY$5&gt;$E115,AY$5&lt;=$F115),IF(AY$5=$E115+1,$C115,""),"")</f>
        <v/>
      </c>
      <c r="AZ115" s="34">
        <f>IF(AND(AZ$5&gt;$E115,AZ$5&lt;=$F115),IF(AZ$5=$E115+1,$C115,""),"")</f>
        <v/>
      </c>
      <c r="BA115" s="34">
        <f>IF(AND(BA$5&gt;$E115,BA$5&lt;=$F115),IF(BA$5=$E115+1,$C115,""),"")</f>
        <v/>
      </c>
      <c r="BB115" s="34">
        <f>IF(AND(BB$5&gt;$E115,BB$5&lt;=$F115),IF(BB$5=$E115+1,$C115,""),"")</f>
        <v/>
      </c>
      <c r="BC115" s="34">
        <f>IF(AND(BC$5&gt;$E115,BC$5&lt;=$F115),IF(BC$5=$E115+1,$C115,""),"")</f>
        <v/>
      </c>
      <c r="BD115" s="34">
        <f>IF(AND(BD$5&gt;$E115,BD$5&lt;=$F115),IF(BD$5=$E115+1,$C115,""),"")</f>
        <v/>
      </c>
      <c r="BE115" s="34">
        <f>IF(AND(BE$5&gt;$E115,BE$5&lt;=$F115),IF(BE$5=$E115+1,$C115,""),"")</f>
        <v/>
      </c>
      <c r="BF115" s="34">
        <f>IF(AND(BF$5&gt;$E115,BF$5&lt;=$F115),IF(BF$5=$E115+1,$C115,""),"")</f>
        <v/>
      </c>
      <c r="BG115" s="34">
        <f>IF(AND(BG$5&gt;$E115,BG$5&lt;=$F115),IF(BG$5=$E115+1,$C115,""),"")</f>
        <v/>
      </c>
      <c r="BH115" s="34">
        <f>IF(AND(BH$5&gt;$E115,BH$5&lt;=$F115),IF(BH$5=$E115+1,$C115,""),"")</f>
        <v/>
      </c>
      <c r="BI115" s="34">
        <f>IF(AND(BI$5&gt;$E115,BI$5&lt;=$F115),IF(BI$5=$E115+1,$C115,""),"")</f>
        <v/>
      </c>
      <c r="BJ115" s="34">
        <f>IF(AND(BJ$5&gt;$E115,BJ$5&lt;=$F115),IF(BJ$5=$E115+1,$C115,""),"")</f>
        <v/>
      </c>
      <c r="BK115" s="34">
        <f>IF(AND(BK$5&gt;$E115,BK$5&lt;=$F115),IF(BK$5=$E115+1,$C115,""),"")</f>
        <v/>
      </c>
      <c r="BL115" s="34">
        <f>IF(AND(BL$5&gt;$E115,BL$5&lt;=$F115),IF(BL$5=$E115+1,$C115,""),"")</f>
        <v/>
      </c>
      <c r="BM115" s="34">
        <f>IF(AND(BM$5&gt;$E115,BM$5&lt;=$F115),IF(BM$5=$E115+1,$C115,""),"")</f>
        <v/>
      </c>
      <c r="BN115" s="34">
        <f>IF(AND(BN$5&gt;$E115,BN$5&lt;=$F115),IF(BN$5=$E115+1,$C115,""),"")</f>
        <v/>
      </c>
      <c r="BO115" s="34">
        <f>IF(AND(BO$5&gt;$E115,BO$5&lt;=$F115),IF(BO$5=$E115+1,$C115,""),"")</f>
        <v/>
      </c>
      <c r="BP115" s="34">
        <f>IF(AND(BP$5&gt;$E115,BP$5&lt;=$F115),IF(BP$5=$E115+1,$C115,""),"")</f>
        <v/>
      </c>
      <c r="BQ115" s="34">
        <f>IF(AND(BQ$5&gt;$E115,BQ$5&lt;=$F115),IF(BQ$5=$E115+1,$C115,""),"")</f>
        <v/>
      </c>
      <c r="BR115" s="34">
        <f>IF(AND(BR$5&gt;$E115,BR$5&lt;=$F115),IF(BR$5=$E115+1,$C115,""),"")</f>
        <v/>
      </c>
      <c r="BS115" s="34">
        <f>IF(AND(BS$5&gt;$E115,BS$5&lt;=$F115),IF(BS$5=$E115+1,$C115,""),"")</f>
        <v/>
      </c>
      <c r="BT115" s="34">
        <f>IF(AND(BT$5&gt;$E115,BT$5&lt;=$F115),IF(BT$5=$E115+1,$C115,""),"")</f>
        <v/>
      </c>
      <c r="BU115" s="34">
        <f>IF(AND(BU$5&gt;$E115,BU$5&lt;=$F115),IF(BU$5=$E115+1,$C115,""),"")</f>
        <v/>
      </c>
      <c r="BV115" s="34">
        <f>IF(AND(BV$5&gt;$E115,BV$5&lt;=$F115),IF(BV$5=$E115+1,$C115,""),"")</f>
        <v/>
      </c>
      <c r="BW115" s="34">
        <f>IF(AND(BW$5&gt;$E115,BW$5&lt;=$F115),IF(BW$5=$E115+1,$C115,""),"")</f>
        <v/>
      </c>
      <c r="BX115" s="34">
        <f>IF(AND(BX$5&gt;$E115,BX$5&lt;=$F115),IF(BX$5=$E115+1,$C115,""),"")</f>
        <v/>
      </c>
      <c r="BY115" s="34">
        <f>IF(AND(BY$5&gt;$E115,BY$5&lt;=$F115),IF(BY$5=$E115+1,$C115,""),"")</f>
        <v/>
      </c>
      <c r="BZ115" s="34">
        <f>IF(AND(BZ$5&gt;$E115,BZ$5&lt;=$F115),IF(BZ$5=$E115+1,$C115,""),"")</f>
        <v/>
      </c>
      <c r="CA115" s="34">
        <f>IF(AND(CA$5&gt;$E115,CA$5&lt;=$F115),IF(CA$5=$E115+1,$C115,""),"")</f>
        <v/>
      </c>
      <c r="CB115" s="34">
        <f>IF(AND(CB$5&gt;$E115,CB$5&lt;=$F115),IF(CB$5=$E115+1,$C115,""),"")</f>
        <v/>
      </c>
      <c r="CC115" s="34">
        <f>IF(AND(CC$5&gt;$E115,CC$5&lt;=$F115),IF(CC$5=$E115+1,$C115,""),"")</f>
        <v/>
      </c>
      <c r="CD115" s="34">
        <f>IF(AND(CD$5&gt;$E115,CD$5&lt;=$F115),IF(CD$5=$E115+1,$C115,""),"")</f>
        <v/>
      </c>
      <c r="CE115" s="34">
        <f>IF(AND(CE$5&gt;$E115,CE$5&lt;=$F115),IF(CE$5=$E115+1,$C115,""),"")</f>
        <v/>
      </c>
      <c r="CF115" s="34">
        <f>IF(AND(CF$5&gt;$E115,CF$5&lt;=$F115),IF(CF$5=$E115+1,$C115,""),"")</f>
        <v/>
      </c>
      <c r="CG115" s="34">
        <f>IF(AND(CG$5&gt;$E115,CG$5&lt;=$F115),IF(CG$5=$E115+1,$C115,""),"")</f>
        <v/>
      </c>
      <c r="CH115" s="34">
        <f>IF(AND(CH$5&gt;$E115,CH$5&lt;=$F115),IF(CH$5=$E115+1,$C115,""),"")</f>
        <v/>
      </c>
      <c r="CI115" s="34">
        <f>IF(AND(CI$5&gt;$E115,CI$5&lt;=$F115),IF(CI$5=$E115+1,$C115,""),"")</f>
        <v/>
      </c>
      <c r="CJ115" s="34">
        <f>IF(AND(CJ$5&gt;$E115,CJ$5&lt;=$F115),IF(CJ$5=$E115+1,$C115,""),"")</f>
        <v/>
      </c>
      <c r="CK115" s="34">
        <f>IF(AND(CK$5&gt;$E115,CK$5&lt;=$F115),IF(CK$5=$E115+1,$C115,""),"")</f>
        <v/>
      </c>
      <c r="CL115" s="34">
        <f>IF(AND(CL$5&gt;$E115,CL$5&lt;=$F115),IF(CL$5=$E115+1,$C115,""),"")</f>
        <v/>
      </c>
      <c r="CM115" s="34">
        <f>IF(AND(CM$5&gt;$E115,CM$5&lt;=$F115),IF(CM$5=$E115+1,$C115,""),"")</f>
        <v/>
      </c>
      <c r="CN115" s="34">
        <f>IF(AND(CN$5&gt;$E115,CN$5&lt;=$F115),IF(CN$5=$E115+1,$C115,""),"")</f>
        <v/>
      </c>
      <c r="CO115" s="34">
        <f>IF(AND(CO$5&gt;$E115,CO$5&lt;=$F115),IF(CO$5=$E115+1,$C115,""),"")</f>
        <v/>
      </c>
      <c r="CP115" s="34">
        <f>IF(AND(CP$5&gt;$E115,CP$5&lt;=$F115),IF(CP$5=$E115+1,$C115,""),"")</f>
        <v/>
      </c>
      <c r="CQ115" s="34">
        <f>IF(AND(CQ$5&gt;$E115,CQ$5&lt;=$F115),IF(CQ$5=$E115+1,$C115,""),"")</f>
        <v/>
      </c>
      <c r="CR115" s="34">
        <f>IF(AND(CR$5&gt;$E115,CR$5&lt;=$F115),IF(CR$5=$E115+1,$C115,""),"")</f>
        <v/>
      </c>
      <c r="CS115" s="34">
        <f>IF(AND(CS$5&gt;$E115,CS$5&lt;=$F115),IF(CS$5=$E115+1,$C115,""),"")</f>
        <v/>
      </c>
      <c r="CT115" s="34">
        <f>IF(AND(CT$5&gt;$E115,CT$5&lt;=$F115),IF(CT$5=$E115+1,$C115,""),"")</f>
        <v/>
      </c>
      <c r="CU115" s="34">
        <f>IF(AND(CU$5&gt;$E115,CU$5&lt;=$F115),IF(CU$5=$E115+1,$C115,""),"")</f>
        <v/>
      </c>
      <c r="CV115" s="34">
        <f>IF(AND(CV$5&gt;$E115,CV$5&lt;=$F115),IF(CV$5=$E115+1,$C115,""),"")</f>
        <v/>
      </c>
      <c r="CW115" s="34">
        <f>IF(AND(CW$5&gt;$E115,CW$5&lt;=$F115),IF(CW$5=$E115+1,$C115,""),"")</f>
        <v/>
      </c>
      <c r="CX115" s="34">
        <f>IF(AND(CX$5&gt;$E115,CX$5&lt;=$F115),IF(CX$5=$E115+1,$C115,""),"")</f>
        <v/>
      </c>
      <c r="CY115" s="34">
        <f>IF(AND(CY$5&gt;$E115,CY$5&lt;=$F115),IF(CY$5=$E115+1,$C115,""),"")</f>
        <v/>
      </c>
      <c r="CZ115" s="34">
        <f>IF(AND(CZ$5&gt;$E115,CZ$5&lt;=$F115),IF(CZ$5=$E115+1,$C115,""),"")</f>
        <v/>
      </c>
      <c r="DA115" s="34">
        <f>IF(AND(DA$5&gt;$E115,DA$5&lt;=$F115),IF(DA$5=$E115+1,$C115,""),"")</f>
        <v/>
      </c>
      <c r="DB115" s="34">
        <f>IF(AND(DB$5&gt;$E115,DB$5&lt;=$F115),IF(DB$5=$E115+1,$C115,""),"")</f>
        <v/>
      </c>
      <c r="DC115" s="34">
        <f>IF(AND(DC$5&gt;$E115,DC$5&lt;=$F115),IF(DC$5=$E115+1,$C115,""),"")</f>
        <v/>
      </c>
      <c r="DD115" s="34">
        <f>IF(AND(DD$5&gt;$E115,DD$5&lt;=$F115),IF(DD$5=$E115+1,$C115,""),"")</f>
        <v/>
      </c>
      <c r="DE115" s="34">
        <f>IF(AND(DE$5&gt;$E115,DE$5&lt;=$F115),IF(DE$5=$E115+1,$C115,""),"")</f>
        <v/>
      </c>
      <c r="DF115" s="34">
        <f>IF(AND(DF$5&gt;$E115,DF$5&lt;=$F115),IF(DF$5=$E115+1,$C115,""),"")</f>
        <v/>
      </c>
      <c r="DG115" s="34">
        <f>IF(AND(DG$5&gt;$E115,DG$5&lt;=$F115),IF(DG$5=$E115+1,$C115,""),"")</f>
        <v/>
      </c>
      <c r="DH115" s="34">
        <f>IF(AND(DH$5&gt;$E115,DH$5&lt;=$F115),IF(DH$5=$E115+1,$C115,""),"")</f>
        <v/>
      </c>
      <c r="DI115" s="34">
        <f>IF(AND(DI$5&gt;$E115,DI$5&lt;=$F115),IF(DI$5=$E115+1,$C115,""),"")</f>
        <v/>
      </c>
      <c r="DJ115" s="34">
        <f>IF(AND(DJ$5&gt;$E115,DJ$5&lt;=$F115),IF(DJ$5=$E115+1,$C115,""),"")</f>
        <v/>
      </c>
      <c r="DK115" s="34">
        <f>IF(AND(DK$5&gt;$E115,DK$5&lt;=$F115),IF(DK$5=$E115+1,$C115,""),"")</f>
        <v/>
      </c>
      <c r="DL115" s="34">
        <f>IF(AND(DL$5&gt;$E115,DL$5&lt;=$F115),IF(DL$5=$E115+1,$C115,""),"")</f>
        <v/>
      </c>
      <c r="DM115" s="34">
        <f>IF(AND(DM$5&gt;$E115,DM$5&lt;=$F115),IF(DM$5=$E115+1,$C115,""),"")</f>
        <v/>
      </c>
      <c r="DN115" s="34">
        <f>IF(AND(DN$5&gt;$E115,DN$5&lt;=$F115),IF(DN$5=$E115+1,$C115,""),"")</f>
        <v/>
      </c>
      <c r="DO115" s="34">
        <f>IF(AND(DO$5&gt;$E115,DO$5&lt;=$F115),IF(DO$5=$E115+1,$C115,""),"")</f>
        <v/>
      </c>
      <c r="DP115" s="34">
        <f>IF(AND(DP$5&gt;$E115,DP$5&lt;=$F115),IF(DP$5=$E115+1,$C115,""),"")</f>
        <v/>
      </c>
      <c r="DQ115" s="34">
        <f>IF(AND(DQ$5&gt;$E115,DQ$5&lt;=$F115),IF(DQ$5=$E115+1,$C115,""),"")</f>
        <v/>
      </c>
      <c r="DR115" s="34">
        <f>IF(AND(DR$5&gt;$E115,DR$5&lt;=$F115),IF(DR$5=$E115+1,$C115,""),"")</f>
        <v/>
      </c>
      <c r="DS115" s="34">
        <f>IF(AND(DS$5&gt;$E115,DS$5&lt;=$F115),IF(DS$5=$E115+1,$C115,""),"")</f>
        <v/>
      </c>
      <c r="DT115" s="34">
        <f>IF(AND(DT$5&gt;$E115,DT$5&lt;=$F115),IF(DT$5=$E115+1,$C115,""),"")</f>
        <v/>
      </c>
      <c r="DU115" s="34">
        <f>IF(AND(DU$5&gt;$E115,DU$5&lt;=$F115),IF(DU$5=$E115+1,$C115,""),"")</f>
        <v/>
      </c>
      <c r="DV115" s="34">
        <f>IF(AND(DV$5&gt;$E115,DV$5&lt;=$F115),IF(DV$5=$E115+1,$C115,""),"")</f>
        <v/>
      </c>
      <c r="DW115" s="34">
        <f>IF(AND(DW$5&gt;$E115,DW$5&lt;=$F115),IF(DW$5=$E115+1,$C115,""),"")</f>
        <v/>
      </c>
      <c r="DX115" s="34">
        <f>IF(AND(DX$5&gt;$E115,DX$5&lt;=$F115),IF(DX$5=$E115+1,$C115,""),"")</f>
        <v/>
      </c>
      <c r="DY115" s="34">
        <f>IF(AND(DY$5&gt;$E115,DY$5&lt;=$F115),IF(DY$5=$E115+1,$C115,""),"")</f>
        <v/>
      </c>
      <c r="DZ115" s="34">
        <f>IF(AND(DZ$5&gt;$E115,DZ$5&lt;=$F115),IF(DZ$5=$E115+1,$C115,""),"")</f>
        <v/>
      </c>
      <c r="EA115" s="34">
        <f>IF(AND(EA$5&gt;$E115,EA$5&lt;=$F115),IF(EA$5=$E115+1,$C115,""),"")</f>
        <v/>
      </c>
      <c r="EB115" s="34">
        <f>IF(AND(EB$5&gt;$E115,EB$5&lt;=$F115),IF(EB$5=$E115+1,$C115,""),"")</f>
        <v/>
      </c>
      <c r="EC115" s="34">
        <f>IF(AND(EC$5&gt;$E115,EC$5&lt;=$F115),IF(EC$5=$E115+1,$C115,""),"")</f>
        <v/>
      </c>
      <c r="ED115" s="34">
        <f>IF(AND(ED$5&gt;$E115,ED$5&lt;=$F115),IF(ED$5=$E115+1,$C115,""),"")</f>
        <v/>
      </c>
      <c r="EE115" s="34">
        <f>IF(AND(EE$5&gt;$E115,EE$5&lt;=$F115),IF(EE$5=$E115+1,$C115,""),"")</f>
        <v/>
      </c>
      <c r="EF115" s="34">
        <f>IF(AND(EF$5&gt;$E115,EF$5&lt;=$F115),IF(EF$5=$E115+1,$C115,""),"")</f>
        <v/>
      </c>
      <c r="EG115" s="34">
        <f>IF(AND(EG$5&gt;$E115,EG$5&lt;=$F115),IF(EG$5=$E115+1,$C115,""),"")</f>
        <v/>
      </c>
    </row>
    <row r="116">
      <c r="A116" s="32">
        <f>Plan!A102</f>
        <v/>
      </c>
      <c r="B116" s="33">
        <f>Plan!C102</f>
        <v/>
      </c>
      <c r="C116" s="16">
        <f>Plan!D102</f>
        <v/>
      </c>
      <c r="D116" s="16">
        <f>Plan!I102</f>
        <v/>
      </c>
      <c r="E116" s="16">
        <f>Plan!K102</f>
        <v/>
      </c>
      <c r="F116" s="16">
        <f>Plan!L102</f>
        <v/>
      </c>
      <c r="G116" s="16">
        <f>Plan!O102</f>
        <v/>
      </c>
      <c r="H116" s="34">
        <f>IF(AND(H$5&gt;$E116,H$5&lt;=$F116),IF(H$5=$E116+1,$C116,""),"")</f>
        <v/>
      </c>
      <c r="I116" s="34">
        <f>IF(AND(I$5&gt;$E116,I$5&lt;=$F116),IF(I$5=$E116+1,$C116,""),"")</f>
        <v/>
      </c>
      <c r="J116" s="34">
        <f>IF(AND(J$5&gt;$E116,J$5&lt;=$F116),IF(J$5=$E116+1,$C116,""),"")</f>
        <v/>
      </c>
      <c r="K116" s="34">
        <f>IF(AND(K$5&gt;$E116,K$5&lt;=$F116),IF(K$5=$E116+1,$C116,""),"")</f>
        <v/>
      </c>
      <c r="L116" s="34">
        <f>IF(AND(L$5&gt;$E116,L$5&lt;=$F116),IF(L$5=$E116+1,$C116,""),"")</f>
        <v/>
      </c>
      <c r="M116" s="34">
        <f>IF(AND(M$5&gt;$E116,M$5&lt;=$F116),IF(M$5=$E116+1,$C116,""),"")</f>
        <v/>
      </c>
      <c r="N116" s="34">
        <f>IF(AND(N$5&gt;$E116,N$5&lt;=$F116),IF(N$5=$E116+1,$C116,""),"")</f>
        <v/>
      </c>
      <c r="O116" s="34">
        <f>IF(AND(O$5&gt;$E116,O$5&lt;=$F116),IF(O$5=$E116+1,$C116,""),"")</f>
        <v/>
      </c>
      <c r="P116" s="34">
        <f>IF(AND(P$5&gt;$E116,P$5&lt;=$F116),IF(P$5=$E116+1,$C116,""),"")</f>
        <v/>
      </c>
      <c r="Q116" s="34">
        <f>IF(AND(Q$5&gt;$E116,Q$5&lt;=$F116),IF(Q$5=$E116+1,$C116,""),"")</f>
        <v/>
      </c>
      <c r="R116" s="34">
        <f>IF(AND(R$5&gt;$E116,R$5&lt;=$F116),IF(R$5=$E116+1,$C116,""),"")</f>
        <v/>
      </c>
      <c r="S116" s="34">
        <f>IF(AND(S$5&gt;$E116,S$5&lt;=$F116),IF(S$5=$E116+1,$C116,""),"")</f>
        <v/>
      </c>
      <c r="T116" s="34">
        <f>IF(AND(T$5&gt;$E116,T$5&lt;=$F116),IF(T$5=$E116+1,$C116,""),"")</f>
        <v/>
      </c>
      <c r="U116" s="34">
        <f>IF(AND(U$5&gt;$E116,U$5&lt;=$F116),IF(U$5=$E116+1,$C116,""),"")</f>
        <v/>
      </c>
      <c r="V116" s="34">
        <f>IF(AND(V$5&gt;$E116,V$5&lt;=$F116),IF(V$5=$E116+1,$C116,""),"")</f>
        <v/>
      </c>
      <c r="W116" s="34">
        <f>IF(AND(W$5&gt;$E116,W$5&lt;=$F116),IF(W$5=$E116+1,$C116,""),"")</f>
        <v/>
      </c>
      <c r="X116" s="34">
        <f>IF(AND(X$5&gt;$E116,X$5&lt;=$F116),IF(X$5=$E116+1,$C116,""),"")</f>
        <v/>
      </c>
      <c r="Y116" s="34">
        <f>IF(AND(Y$5&gt;$E116,Y$5&lt;=$F116),IF(Y$5=$E116+1,$C116,""),"")</f>
        <v/>
      </c>
      <c r="Z116" s="34">
        <f>IF(AND(Z$5&gt;$E116,Z$5&lt;=$F116),IF(Z$5=$E116+1,$C116,""),"")</f>
        <v/>
      </c>
      <c r="AA116" s="34">
        <f>IF(AND(AA$5&gt;$E116,AA$5&lt;=$F116),IF(AA$5=$E116+1,$C116,""),"")</f>
        <v/>
      </c>
      <c r="AB116" s="34">
        <f>IF(AND(AB$5&gt;$E116,AB$5&lt;=$F116),IF(AB$5=$E116+1,$C116,""),"")</f>
        <v/>
      </c>
      <c r="AC116" s="34">
        <f>IF(AND(AC$5&gt;$E116,AC$5&lt;=$F116),IF(AC$5=$E116+1,$C116,""),"")</f>
        <v/>
      </c>
      <c r="AD116" s="34">
        <f>IF(AND(AD$5&gt;$E116,AD$5&lt;=$F116),IF(AD$5=$E116+1,$C116,""),"")</f>
        <v/>
      </c>
      <c r="AE116" s="34">
        <f>IF(AND(AE$5&gt;$E116,AE$5&lt;=$F116),IF(AE$5=$E116+1,$C116,""),"")</f>
        <v/>
      </c>
      <c r="AF116" s="34">
        <f>IF(AND(AF$5&gt;$E116,AF$5&lt;=$F116),IF(AF$5=$E116+1,$C116,""),"")</f>
        <v/>
      </c>
      <c r="AG116" s="34">
        <f>IF(AND(AG$5&gt;$E116,AG$5&lt;=$F116),IF(AG$5=$E116+1,$C116,""),"")</f>
        <v/>
      </c>
      <c r="AH116" s="34">
        <f>IF(AND(AH$5&gt;$E116,AH$5&lt;=$F116),IF(AH$5=$E116+1,$C116,""),"")</f>
        <v/>
      </c>
      <c r="AI116" s="34">
        <f>IF(AND(AI$5&gt;$E116,AI$5&lt;=$F116),IF(AI$5=$E116+1,$C116,""),"")</f>
        <v/>
      </c>
      <c r="AJ116" s="34">
        <f>IF(AND(AJ$5&gt;$E116,AJ$5&lt;=$F116),IF(AJ$5=$E116+1,$C116,""),"")</f>
        <v/>
      </c>
      <c r="AK116" s="34">
        <f>IF(AND(AK$5&gt;$E116,AK$5&lt;=$F116),IF(AK$5=$E116+1,$C116,""),"")</f>
        <v/>
      </c>
      <c r="AL116" s="34">
        <f>IF(AND(AL$5&gt;$E116,AL$5&lt;=$F116),IF(AL$5=$E116+1,$C116,""),"")</f>
        <v/>
      </c>
      <c r="AM116" s="34">
        <f>IF(AND(AM$5&gt;$E116,AM$5&lt;=$F116),IF(AM$5=$E116+1,$C116,""),"")</f>
        <v/>
      </c>
      <c r="AN116" s="34">
        <f>IF(AND(AN$5&gt;$E116,AN$5&lt;=$F116),IF(AN$5=$E116+1,$C116,""),"")</f>
        <v/>
      </c>
      <c r="AO116" s="34">
        <f>IF(AND(AO$5&gt;$E116,AO$5&lt;=$F116),IF(AO$5=$E116+1,$C116,""),"")</f>
        <v/>
      </c>
      <c r="AP116" s="34">
        <f>IF(AND(AP$5&gt;$E116,AP$5&lt;=$F116),IF(AP$5=$E116+1,$C116,""),"")</f>
        <v/>
      </c>
      <c r="AQ116" s="34">
        <f>IF(AND(AQ$5&gt;$E116,AQ$5&lt;=$F116),IF(AQ$5=$E116+1,$C116,""),"")</f>
        <v/>
      </c>
      <c r="AR116" s="34">
        <f>IF(AND(AR$5&gt;$E116,AR$5&lt;=$F116),IF(AR$5=$E116+1,$C116,""),"")</f>
        <v/>
      </c>
      <c r="AS116" s="34">
        <f>IF(AND(AS$5&gt;$E116,AS$5&lt;=$F116),IF(AS$5=$E116+1,$C116,""),"")</f>
        <v/>
      </c>
      <c r="AT116" s="34">
        <f>IF(AND(AT$5&gt;$E116,AT$5&lt;=$F116),IF(AT$5=$E116+1,$C116,""),"")</f>
        <v/>
      </c>
      <c r="AU116" s="34">
        <f>IF(AND(AU$5&gt;$E116,AU$5&lt;=$F116),IF(AU$5=$E116+1,$C116,""),"")</f>
        <v/>
      </c>
      <c r="AV116" s="34">
        <f>IF(AND(AV$5&gt;$E116,AV$5&lt;=$F116),IF(AV$5=$E116+1,$C116,""),"")</f>
        <v/>
      </c>
      <c r="AW116" s="34">
        <f>IF(AND(AW$5&gt;$E116,AW$5&lt;=$F116),IF(AW$5=$E116+1,$C116,""),"")</f>
        <v/>
      </c>
      <c r="AX116" s="34">
        <f>IF(AND(AX$5&gt;$E116,AX$5&lt;=$F116),IF(AX$5=$E116+1,$C116,""),"")</f>
        <v/>
      </c>
      <c r="AY116" s="34">
        <f>IF(AND(AY$5&gt;$E116,AY$5&lt;=$F116),IF(AY$5=$E116+1,$C116,""),"")</f>
        <v/>
      </c>
      <c r="AZ116" s="34">
        <f>IF(AND(AZ$5&gt;$E116,AZ$5&lt;=$F116),IF(AZ$5=$E116+1,$C116,""),"")</f>
        <v/>
      </c>
      <c r="BA116" s="34">
        <f>IF(AND(BA$5&gt;$E116,BA$5&lt;=$F116),IF(BA$5=$E116+1,$C116,""),"")</f>
        <v/>
      </c>
      <c r="BB116" s="34">
        <f>IF(AND(BB$5&gt;$E116,BB$5&lt;=$F116),IF(BB$5=$E116+1,$C116,""),"")</f>
        <v/>
      </c>
      <c r="BC116" s="34">
        <f>IF(AND(BC$5&gt;$E116,BC$5&lt;=$F116),IF(BC$5=$E116+1,$C116,""),"")</f>
        <v/>
      </c>
      <c r="BD116" s="34">
        <f>IF(AND(BD$5&gt;$E116,BD$5&lt;=$F116),IF(BD$5=$E116+1,$C116,""),"")</f>
        <v/>
      </c>
      <c r="BE116" s="34">
        <f>IF(AND(BE$5&gt;$E116,BE$5&lt;=$F116),IF(BE$5=$E116+1,$C116,""),"")</f>
        <v/>
      </c>
      <c r="BF116" s="34">
        <f>IF(AND(BF$5&gt;$E116,BF$5&lt;=$F116),IF(BF$5=$E116+1,$C116,""),"")</f>
        <v/>
      </c>
      <c r="BG116" s="34">
        <f>IF(AND(BG$5&gt;$E116,BG$5&lt;=$F116),IF(BG$5=$E116+1,$C116,""),"")</f>
        <v/>
      </c>
      <c r="BH116" s="34">
        <f>IF(AND(BH$5&gt;$E116,BH$5&lt;=$F116),IF(BH$5=$E116+1,$C116,""),"")</f>
        <v/>
      </c>
      <c r="BI116" s="34">
        <f>IF(AND(BI$5&gt;$E116,BI$5&lt;=$F116),IF(BI$5=$E116+1,$C116,""),"")</f>
        <v/>
      </c>
      <c r="BJ116" s="34">
        <f>IF(AND(BJ$5&gt;$E116,BJ$5&lt;=$F116),IF(BJ$5=$E116+1,$C116,""),"")</f>
        <v/>
      </c>
      <c r="BK116" s="34">
        <f>IF(AND(BK$5&gt;$E116,BK$5&lt;=$F116),IF(BK$5=$E116+1,$C116,""),"")</f>
        <v/>
      </c>
      <c r="BL116" s="34">
        <f>IF(AND(BL$5&gt;$E116,BL$5&lt;=$F116),IF(BL$5=$E116+1,$C116,""),"")</f>
        <v/>
      </c>
      <c r="BM116" s="34">
        <f>IF(AND(BM$5&gt;$E116,BM$5&lt;=$F116),IF(BM$5=$E116+1,$C116,""),"")</f>
        <v/>
      </c>
      <c r="BN116" s="34">
        <f>IF(AND(BN$5&gt;$E116,BN$5&lt;=$F116),IF(BN$5=$E116+1,$C116,""),"")</f>
        <v/>
      </c>
      <c r="BO116" s="34">
        <f>IF(AND(BO$5&gt;$E116,BO$5&lt;=$F116),IF(BO$5=$E116+1,$C116,""),"")</f>
        <v/>
      </c>
      <c r="BP116" s="34">
        <f>IF(AND(BP$5&gt;$E116,BP$5&lt;=$F116),IF(BP$5=$E116+1,$C116,""),"")</f>
        <v/>
      </c>
      <c r="BQ116" s="34">
        <f>IF(AND(BQ$5&gt;$E116,BQ$5&lt;=$F116),IF(BQ$5=$E116+1,$C116,""),"")</f>
        <v/>
      </c>
      <c r="BR116" s="34">
        <f>IF(AND(BR$5&gt;$E116,BR$5&lt;=$F116),IF(BR$5=$E116+1,$C116,""),"")</f>
        <v/>
      </c>
      <c r="BS116" s="34">
        <f>IF(AND(BS$5&gt;$E116,BS$5&lt;=$F116),IF(BS$5=$E116+1,$C116,""),"")</f>
        <v/>
      </c>
      <c r="BT116" s="34">
        <f>IF(AND(BT$5&gt;$E116,BT$5&lt;=$F116),IF(BT$5=$E116+1,$C116,""),"")</f>
        <v/>
      </c>
      <c r="BU116" s="34">
        <f>IF(AND(BU$5&gt;$E116,BU$5&lt;=$F116),IF(BU$5=$E116+1,$C116,""),"")</f>
        <v/>
      </c>
      <c r="BV116" s="34">
        <f>IF(AND(BV$5&gt;$E116,BV$5&lt;=$F116),IF(BV$5=$E116+1,$C116,""),"")</f>
        <v/>
      </c>
      <c r="BW116" s="34">
        <f>IF(AND(BW$5&gt;$E116,BW$5&lt;=$F116),IF(BW$5=$E116+1,$C116,""),"")</f>
        <v/>
      </c>
      <c r="BX116" s="34">
        <f>IF(AND(BX$5&gt;$E116,BX$5&lt;=$F116),IF(BX$5=$E116+1,$C116,""),"")</f>
        <v/>
      </c>
      <c r="BY116" s="34">
        <f>IF(AND(BY$5&gt;$E116,BY$5&lt;=$F116),IF(BY$5=$E116+1,$C116,""),"")</f>
        <v/>
      </c>
      <c r="BZ116" s="34">
        <f>IF(AND(BZ$5&gt;$E116,BZ$5&lt;=$F116),IF(BZ$5=$E116+1,$C116,""),"")</f>
        <v/>
      </c>
      <c r="CA116" s="34">
        <f>IF(AND(CA$5&gt;$E116,CA$5&lt;=$F116),IF(CA$5=$E116+1,$C116,""),"")</f>
        <v/>
      </c>
      <c r="CB116" s="34">
        <f>IF(AND(CB$5&gt;$E116,CB$5&lt;=$F116),IF(CB$5=$E116+1,$C116,""),"")</f>
        <v/>
      </c>
      <c r="CC116" s="34">
        <f>IF(AND(CC$5&gt;$E116,CC$5&lt;=$F116),IF(CC$5=$E116+1,$C116,""),"")</f>
        <v/>
      </c>
      <c r="CD116" s="34">
        <f>IF(AND(CD$5&gt;$E116,CD$5&lt;=$F116),IF(CD$5=$E116+1,$C116,""),"")</f>
        <v/>
      </c>
      <c r="CE116" s="34">
        <f>IF(AND(CE$5&gt;$E116,CE$5&lt;=$F116),IF(CE$5=$E116+1,$C116,""),"")</f>
        <v/>
      </c>
      <c r="CF116" s="34">
        <f>IF(AND(CF$5&gt;$E116,CF$5&lt;=$F116),IF(CF$5=$E116+1,$C116,""),"")</f>
        <v/>
      </c>
      <c r="CG116" s="34">
        <f>IF(AND(CG$5&gt;$E116,CG$5&lt;=$F116),IF(CG$5=$E116+1,$C116,""),"")</f>
        <v/>
      </c>
      <c r="CH116" s="34">
        <f>IF(AND(CH$5&gt;$E116,CH$5&lt;=$F116),IF(CH$5=$E116+1,$C116,""),"")</f>
        <v/>
      </c>
      <c r="CI116" s="34">
        <f>IF(AND(CI$5&gt;$E116,CI$5&lt;=$F116),IF(CI$5=$E116+1,$C116,""),"")</f>
        <v/>
      </c>
      <c r="CJ116" s="34">
        <f>IF(AND(CJ$5&gt;$E116,CJ$5&lt;=$F116),IF(CJ$5=$E116+1,$C116,""),"")</f>
        <v/>
      </c>
      <c r="CK116" s="34">
        <f>IF(AND(CK$5&gt;$E116,CK$5&lt;=$F116),IF(CK$5=$E116+1,$C116,""),"")</f>
        <v/>
      </c>
      <c r="CL116" s="34">
        <f>IF(AND(CL$5&gt;$E116,CL$5&lt;=$F116),IF(CL$5=$E116+1,$C116,""),"")</f>
        <v/>
      </c>
      <c r="CM116" s="34">
        <f>IF(AND(CM$5&gt;$E116,CM$5&lt;=$F116),IF(CM$5=$E116+1,$C116,""),"")</f>
        <v/>
      </c>
      <c r="CN116" s="34">
        <f>IF(AND(CN$5&gt;$E116,CN$5&lt;=$F116),IF(CN$5=$E116+1,$C116,""),"")</f>
        <v/>
      </c>
      <c r="CO116" s="34">
        <f>IF(AND(CO$5&gt;$E116,CO$5&lt;=$F116),IF(CO$5=$E116+1,$C116,""),"")</f>
        <v/>
      </c>
      <c r="CP116" s="34">
        <f>IF(AND(CP$5&gt;$E116,CP$5&lt;=$F116),IF(CP$5=$E116+1,$C116,""),"")</f>
        <v/>
      </c>
      <c r="CQ116" s="34">
        <f>IF(AND(CQ$5&gt;$E116,CQ$5&lt;=$F116),IF(CQ$5=$E116+1,$C116,""),"")</f>
        <v/>
      </c>
      <c r="CR116" s="34">
        <f>IF(AND(CR$5&gt;$E116,CR$5&lt;=$F116),IF(CR$5=$E116+1,$C116,""),"")</f>
        <v/>
      </c>
      <c r="CS116" s="34">
        <f>IF(AND(CS$5&gt;$E116,CS$5&lt;=$F116),IF(CS$5=$E116+1,$C116,""),"")</f>
        <v/>
      </c>
      <c r="CT116" s="34">
        <f>IF(AND(CT$5&gt;$E116,CT$5&lt;=$F116),IF(CT$5=$E116+1,$C116,""),"")</f>
        <v/>
      </c>
      <c r="CU116" s="34">
        <f>IF(AND(CU$5&gt;$E116,CU$5&lt;=$F116),IF(CU$5=$E116+1,$C116,""),"")</f>
        <v/>
      </c>
      <c r="CV116" s="34">
        <f>IF(AND(CV$5&gt;$E116,CV$5&lt;=$F116),IF(CV$5=$E116+1,$C116,""),"")</f>
        <v/>
      </c>
      <c r="CW116" s="34">
        <f>IF(AND(CW$5&gt;$E116,CW$5&lt;=$F116),IF(CW$5=$E116+1,$C116,""),"")</f>
        <v/>
      </c>
      <c r="CX116" s="34">
        <f>IF(AND(CX$5&gt;$E116,CX$5&lt;=$F116),IF(CX$5=$E116+1,$C116,""),"")</f>
        <v/>
      </c>
      <c r="CY116" s="34">
        <f>IF(AND(CY$5&gt;$E116,CY$5&lt;=$F116),IF(CY$5=$E116+1,$C116,""),"")</f>
        <v/>
      </c>
      <c r="CZ116" s="34">
        <f>IF(AND(CZ$5&gt;$E116,CZ$5&lt;=$F116),IF(CZ$5=$E116+1,$C116,""),"")</f>
        <v/>
      </c>
      <c r="DA116" s="34">
        <f>IF(AND(DA$5&gt;$E116,DA$5&lt;=$F116),IF(DA$5=$E116+1,$C116,""),"")</f>
        <v/>
      </c>
      <c r="DB116" s="34">
        <f>IF(AND(DB$5&gt;$E116,DB$5&lt;=$F116),IF(DB$5=$E116+1,$C116,""),"")</f>
        <v/>
      </c>
      <c r="DC116" s="34">
        <f>IF(AND(DC$5&gt;$E116,DC$5&lt;=$F116),IF(DC$5=$E116+1,$C116,""),"")</f>
        <v/>
      </c>
      <c r="DD116" s="34">
        <f>IF(AND(DD$5&gt;$E116,DD$5&lt;=$F116),IF(DD$5=$E116+1,$C116,""),"")</f>
        <v/>
      </c>
      <c r="DE116" s="34">
        <f>IF(AND(DE$5&gt;$E116,DE$5&lt;=$F116),IF(DE$5=$E116+1,$C116,""),"")</f>
        <v/>
      </c>
      <c r="DF116" s="34">
        <f>IF(AND(DF$5&gt;$E116,DF$5&lt;=$F116),IF(DF$5=$E116+1,$C116,""),"")</f>
        <v/>
      </c>
      <c r="DG116" s="34">
        <f>IF(AND(DG$5&gt;$E116,DG$5&lt;=$F116),IF(DG$5=$E116+1,$C116,""),"")</f>
        <v/>
      </c>
      <c r="DH116" s="34">
        <f>IF(AND(DH$5&gt;$E116,DH$5&lt;=$F116),IF(DH$5=$E116+1,$C116,""),"")</f>
        <v/>
      </c>
      <c r="DI116" s="34">
        <f>IF(AND(DI$5&gt;$E116,DI$5&lt;=$F116),IF(DI$5=$E116+1,$C116,""),"")</f>
        <v/>
      </c>
      <c r="DJ116" s="34">
        <f>IF(AND(DJ$5&gt;$E116,DJ$5&lt;=$F116),IF(DJ$5=$E116+1,$C116,""),"")</f>
        <v/>
      </c>
      <c r="DK116" s="34">
        <f>IF(AND(DK$5&gt;$E116,DK$5&lt;=$F116),IF(DK$5=$E116+1,$C116,""),"")</f>
        <v/>
      </c>
      <c r="DL116" s="34">
        <f>IF(AND(DL$5&gt;$E116,DL$5&lt;=$F116),IF(DL$5=$E116+1,$C116,""),"")</f>
        <v/>
      </c>
      <c r="DM116" s="34">
        <f>IF(AND(DM$5&gt;$E116,DM$5&lt;=$F116),IF(DM$5=$E116+1,$C116,""),"")</f>
        <v/>
      </c>
      <c r="DN116" s="34">
        <f>IF(AND(DN$5&gt;$E116,DN$5&lt;=$F116),IF(DN$5=$E116+1,$C116,""),"")</f>
        <v/>
      </c>
      <c r="DO116" s="34">
        <f>IF(AND(DO$5&gt;$E116,DO$5&lt;=$F116),IF(DO$5=$E116+1,$C116,""),"")</f>
        <v/>
      </c>
      <c r="DP116" s="34">
        <f>IF(AND(DP$5&gt;$E116,DP$5&lt;=$F116),IF(DP$5=$E116+1,$C116,""),"")</f>
        <v/>
      </c>
      <c r="DQ116" s="34">
        <f>IF(AND(DQ$5&gt;$E116,DQ$5&lt;=$F116),IF(DQ$5=$E116+1,$C116,""),"")</f>
        <v/>
      </c>
      <c r="DR116" s="34">
        <f>IF(AND(DR$5&gt;$E116,DR$5&lt;=$F116),IF(DR$5=$E116+1,$C116,""),"")</f>
        <v/>
      </c>
      <c r="DS116" s="34">
        <f>IF(AND(DS$5&gt;$E116,DS$5&lt;=$F116),IF(DS$5=$E116+1,$C116,""),"")</f>
        <v/>
      </c>
      <c r="DT116" s="34">
        <f>IF(AND(DT$5&gt;$E116,DT$5&lt;=$F116),IF(DT$5=$E116+1,$C116,""),"")</f>
        <v/>
      </c>
      <c r="DU116" s="34">
        <f>IF(AND(DU$5&gt;$E116,DU$5&lt;=$F116),IF(DU$5=$E116+1,$C116,""),"")</f>
        <v/>
      </c>
      <c r="DV116" s="34">
        <f>IF(AND(DV$5&gt;$E116,DV$5&lt;=$F116),IF(DV$5=$E116+1,$C116,""),"")</f>
        <v/>
      </c>
      <c r="DW116" s="34">
        <f>IF(AND(DW$5&gt;$E116,DW$5&lt;=$F116),IF(DW$5=$E116+1,$C116,""),"")</f>
        <v/>
      </c>
      <c r="DX116" s="34">
        <f>IF(AND(DX$5&gt;$E116,DX$5&lt;=$F116),IF(DX$5=$E116+1,$C116,""),"")</f>
        <v/>
      </c>
      <c r="DY116" s="34">
        <f>IF(AND(DY$5&gt;$E116,DY$5&lt;=$F116),IF(DY$5=$E116+1,$C116,""),"")</f>
        <v/>
      </c>
      <c r="DZ116" s="34">
        <f>IF(AND(DZ$5&gt;$E116,DZ$5&lt;=$F116),IF(DZ$5=$E116+1,$C116,""),"")</f>
        <v/>
      </c>
      <c r="EA116" s="34">
        <f>IF(AND(EA$5&gt;$E116,EA$5&lt;=$F116),IF(EA$5=$E116+1,$C116,""),"")</f>
        <v/>
      </c>
      <c r="EB116" s="34">
        <f>IF(AND(EB$5&gt;$E116,EB$5&lt;=$F116),IF(EB$5=$E116+1,$C116,""),"")</f>
        <v/>
      </c>
      <c r="EC116" s="34">
        <f>IF(AND(EC$5&gt;$E116,EC$5&lt;=$F116),IF(EC$5=$E116+1,$C116,""),"")</f>
        <v/>
      </c>
      <c r="ED116" s="34">
        <f>IF(AND(ED$5&gt;$E116,ED$5&lt;=$F116),IF(ED$5=$E116+1,$C116,""),"")</f>
        <v/>
      </c>
      <c r="EE116" s="34">
        <f>IF(AND(EE$5&gt;$E116,EE$5&lt;=$F116),IF(EE$5=$E116+1,$C116,""),"")</f>
        <v/>
      </c>
      <c r="EF116" s="34">
        <f>IF(AND(EF$5&gt;$E116,EF$5&lt;=$F116),IF(EF$5=$E116+1,$C116,""),"")</f>
        <v/>
      </c>
      <c r="EG116" s="34">
        <f>IF(AND(EG$5&gt;$E116,EG$5&lt;=$F116),IF(EG$5=$E116+1,$C116,""),"")</f>
        <v/>
      </c>
    </row>
    <row r="117">
      <c r="A117" s="32">
        <f>Plan!A107</f>
        <v/>
      </c>
      <c r="B117" s="33">
        <f>Plan!C107</f>
        <v/>
      </c>
      <c r="C117" s="16">
        <f>Plan!D107</f>
        <v/>
      </c>
      <c r="D117" s="16">
        <f>Plan!I107</f>
        <v/>
      </c>
      <c r="E117" s="16">
        <f>Plan!K107</f>
        <v/>
      </c>
      <c r="F117" s="16">
        <f>Plan!L107</f>
        <v/>
      </c>
      <c r="G117" s="16">
        <f>Plan!O107</f>
        <v/>
      </c>
      <c r="H117" s="34">
        <f>IF(AND(H$5&gt;$E117,H$5&lt;=$F117),IF(H$5=$E117+1,$C117,""),"")</f>
        <v/>
      </c>
      <c r="I117" s="34">
        <f>IF(AND(I$5&gt;$E117,I$5&lt;=$F117),IF(I$5=$E117+1,$C117,""),"")</f>
        <v/>
      </c>
      <c r="J117" s="34">
        <f>IF(AND(J$5&gt;$E117,J$5&lt;=$F117),IF(J$5=$E117+1,$C117,""),"")</f>
        <v/>
      </c>
      <c r="K117" s="34">
        <f>IF(AND(K$5&gt;$E117,K$5&lt;=$F117),IF(K$5=$E117+1,$C117,""),"")</f>
        <v/>
      </c>
      <c r="L117" s="34">
        <f>IF(AND(L$5&gt;$E117,L$5&lt;=$F117),IF(L$5=$E117+1,$C117,""),"")</f>
        <v/>
      </c>
      <c r="M117" s="34">
        <f>IF(AND(M$5&gt;$E117,M$5&lt;=$F117),IF(M$5=$E117+1,$C117,""),"")</f>
        <v/>
      </c>
      <c r="N117" s="34">
        <f>IF(AND(N$5&gt;$E117,N$5&lt;=$F117),IF(N$5=$E117+1,$C117,""),"")</f>
        <v/>
      </c>
      <c r="O117" s="34">
        <f>IF(AND(O$5&gt;$E117,O$5&lt;=$F117),IF(O$5=$E117+1,$C117,""),"")</f>
        <v/>
      </c>
      <c r="P117" s="34">
        <f>IF(AND(P$5&gt;$E117,P$5&lt;=$F117),IF(P$5=$E117+1,$C117,""),"")</f>
        <v/>
      </c>
      <c r="Q117" s="34">
        <f>IF(AND(Q$5&gt;$E117,Q$5&lt;=$F117),IF(Q$5=$E117+1,$C117,""),"")</f>
        <v/>
      </c>
      <c r="R117" s="34">
        <f>IF(AND(R$5&gt;$E117,R$5&lt;=$F117),IF(R$5=$E117+1,$C117,""),"")</f>
        <v/>
      </c>
      <c r="S117" s="34">
        <f>IF(AND(S$5&gt;$E117,S$5&lt;=$F117),IF(S$5=$E117+1,$C117,""),"")</f>
        <v/>
      </c>
      <c r="T117" s="34">
        <f>IF(AND(T$5&gt;$E117,T$5&lt;=$F117),IF(T$5=$E117+1,$C117,""),"")</f>
        <v/>
      </c>
      <c r="U117" s="34">
        <f>IF(AND(U$5&gt;$E117,U$5&lt;=$F117),IF(U$5=$E117+1,$C117,""),"")</f>
        <v/>
      </c>
      <c r="V117" s="34">
        <f>IF(AND(V$5&gt;$E117,V$5&lt;=$F117),IF(V$5=$E117+1,$C117,""),"")</f>
        <v/>
      </c>
      <c r="W117" s="34">
        <f>IF(AND(W$5&gt;$E117,W$5&lt;=$F117),IF(W$5=$E117+1,$C117,""),"")</f>
        <v/>
      </c>
      <c r="X117" s="34">
        <f>IF(AND(X$5&gt;$E117,X$5&lt;=$F117),IF(X$5=$E117+1,$C117,""),"")</f>
        <v/>
      </c>
      <c r="Y117" s="34">
        <f>IF(AND(Y$5&gt;$E117,Y$5&lt;=$F117),IF(Y$5=$E117+1,$C117,""),"")</f>
        <v/>
      </c>
      <c r="Z117" s="34">
        <f>IF(AND(Z$5&gt;$E117,Z$5&lt;=$F117),IF(Z$5=$E117+1,$C117,""),"")</f>
        <v/>
      </c>
      <c r="AA117" s="34">
        <f>IF(AND(AA$5&gt;$E117,AA$5&lt;=$F117),IF(AA$5=$E117+1,$C117,""),"")</f>
        <v/>
      </c>
      <c r="AB117" s="34">
        <f>IF(AND(AB$5&gt;$E117,AB$5&lt;=$F117),IF(AB$5=$E117+1,$C117,""),"")</f>
        <v/>
      </c>
      <c r="AC117" s="34">
        <f>IF(AND(AC$5&gt;$E117,AC$5&lt;=$F117),IF(AC$5=$E117+1,$C117,""),"")</f>
        <v/>
      </c>
      <c r="AD117" s="34">
        <f>IF(AND(AD$5&gt;$E117,AD$5&lt;=$F117),IF(AD$5=$E117+1,$C117,""),"")</f>
        <v/>
      </c>
      <c r="AE117" s="34">
        <f>IF(AND(AE$5&gt;$E117,AE$5&lt;=$F117),IF(AE$5=$E117+1,$C117,""),"")</f>
        <v/>
      </c>
      <c r="AF117" s="34">
        <f>IF(AND(AF$5&gt;$E117,AF$5&lt;=$F117),IF(AF$5=$E117+1,$C117,""),"")</f>
        <v/>
      </c>
      <c r="AG117" s="34">
        <f>IF(AND(AG$5&gt;$E117,AG$5&lt;=$F117),IF(AG$5=$E117+1,$C117,""),"")</f>
        <v/>
      </c>
      <c r="AH117" s="34">
        <f>IF(AND(AH$5&gt;$E117,AH$5&lt;=$F117),IF(AH$5=$E117+1,$C117,""),"")</f>
        <v/>
      </c>
      <c r="AI117" s="34">
        <f>IF(AND(AI$5&gt;$E117,AI$5&lt;=$F117),IF(AI$5=$E117+1,$C117,""),"")</f>
        <v/>
      </c>
      <c r="AJ117" s="34">
        <f>IF(AND(AJ$5&gt;$E117,AJ$5&lt;=$F117),IF(AJ$5=$E117+1,$C117,""),"")</f>
        <v/>
      </c>
      <c r="AK117" s="34">
        <f>IF(AND(AK$5&gt;$E117,AK$5&lt;=$F117),IF(AK$5=$E117+1,$C117,""),"")</f>
        <v/>
      </c>
      <c r="AL117" s="34">
        <f>IF(AND(AL$5&gt;$E117,AL$5&lt;=$F117),IF(AL$5=$E117+1,$C117,""),"")</f>
        <v/>
      </c>
      <c r="AM117" s="34">
        <f>IF(AND(AM$5&gt;$E117,AM$5&lt;=$F117),IF(AM$5=$E117+1,$C117,""),"")</f>
        <v/>
      </c>
      <c r="AN117" s="34">
        <f>IF(AND(AN$5&gt;$E117,AN$5&lt;=$F117),IF(AN$5=$E117+1,$C117,""),"")</f>
        <v/>
      </c>
      <c r="AO117" s="34">
        <f>IF(AND(AO$5&gt;$E117,AO$5&lt;=$F117),IF(AO$5=$E117+1,$C117,""),"")</f>
        <v/>
      </c>
      <c r="AP117" s="34">
        <f>IF(AND(AP$5&gt;$E117,AP$5&lt;=$F117),IF(AP$5=$E117+1,$C117,""),"")</f>
        <v/>
      </c>
      <c r="AQ117" s="34">
        <f>IF(AND(AQ$5&gt;$E117,AQ$5&lt;=$F117),IF(AQ$5=$E117+1,$C117,""),"")</f>
        <v/>
      </c>
      <c r="AR117" s="34">
        <f>IF(AND(AR$5&gt;$E117,AR$5&lt;=$F117),IF(AR$5=$E117+1,$C117,""),"")</f>
        <v/>
      </c>
      <c r="AS117" s="34">
        <f>IF(AND(AS$5&gt;$E117,AS$5&lt;=$F117),IF(AS$5=$E117+1,$C117,""),"")</f>
        <v/>
      </c>
      <c r="AT117" s="34">
        <f>IF(AND(AT$5&gt;$E117,AT$5&lt;=$F117),IF(AT$5=$E117+1,$C117,""),"")</f>
        <v/>
      </c>
      <c r="AU117" s="34">
        <f>IF(AND(AU$5&gt;$E117,AU$5&lt;=$F117),IF(AU$5=$E117+1,$C117,""),"")</f>
        <v/>
      </c>
      <c r="AV117" s="34">
        <f>IF(AND(AV$5&gt;$E117,AV$5&lt;=$F117),IF(AV$5=$E117+1,$C117,""),"")</f>
        <v/>
      </c>
      <c r="AW117" s="34">
        <f>IF(AND(AW$5&gt;$E117,AW$5&lt;=$F117),IF(AW$5=$E117+1,$C117,""),"")</f>
        <v/>
      </c>
      <c r="AX117" s="34">
        <f>IF(AND(AX$5&gt;$E117,AX$5&lt;=$F117),IF(AX$5=$E117+1,$C117,""),"")</f>
        <v/>
      </c>
      <c r="AY117" s="34">
        <f>IF(AND(AY$5&gt;$E117,AY$5&lt;=$F117),IF(AY$5=$E117+1,$C117,""),"")</f>
        <v/>
      </c>
      <c r="AZ117" s="34">
        <f>IF(AND(AZ$5&gt;$E117,AZ$5&lt;=$F117),IF(AZ$5=$E117+1,$C117,""),"")</f>
        <v/>
      </c>
      <c r="BA117" s="34">
        <f>IF(AND(BA$5&gt;$E117,BA$5&lt;=$F117),IF(BA$5=$E117+1,$C117,""),"")</f>
        <v/>
      </c>
      <c r="BB117" s="34">
        <f>IF(AND(BB$5&gt;$E117,BB$5&lt;=$F117),IF(BB$5=$E117+1,$C117,""),"")</f>
        <v/>
      </c>
      <c r="BC117" s="34">
        <f>IF(AND(BC$5&gt;$E117,BC$5&lt;=$F117),IF(BC$5=$E117+1,$C117,""),"")</f>
        <v/>
      </c>
      <c r="BD117" s="34">
        <f>IF(AND(BD$5&gt;$E117,BD$5&lt;=$F117),IF(BD$5=$E117+1,$C117,""),"")</f>
        <v/>
      </c>
      <c r="BE117" s="34">
        <f>IF(AND(BE$5&gt;$E117,BE$5&lt;=$F117),IF(BE$5=$E117+1,$C117,""),"")</f>
        <v/>
      </c>
      <c r="BF117" s="34">
        <f>IF(AND(BF$5&gt;$E117,BF$5&lt;=$F117),IF(BF$5=$E117+1,$C117,""),"")</f>
        <v/>
      </c>
      <c r="BG117" s="34">
        <f>IF(AND(BG$5&gt;$E117,BG$5&lt;=$F117),IF(BG$5=$E117+1,$C117,""),"")</f>
        <v/>
      </c>
      <c r="BH117" s="34">
        <f>IF(AND(BH$5&gt;$E117,BH$5&lt;=$F117),IF(BH$5=$E117+1,$C117,""),"")</f>
        <v/>
      </c>
      <c r="BI117" s="34">
        <f>IF(AND(BI$5&gt;$E117,BI$5&lt;=$F117),IF(BI$5=$E117+1,$C117,""),"")</f>
        <v/>
      </c>
      <c r="BJ117" s="34">
        <f>IF(AND(BJ$5&gt;$E117,BJ$5&lt;=$F117),IF(BJ$5=$E117+1,$C117,""),"")</f>
        <v/>
      </c>
      <c r="BK117" s="34">
        <f>IF(AND(BK$5&gt;$E117,BK$5&lt;=$F117),IF(BK$5=$E117+1,$C117,""),"")</f>
        <v/>
      </c>
      <c r="BL117" s="34">
        <f>IF(AND(BL$5&gt;$E117,BL$5&lt;=$F117),IF(BL$5=$E117+1,$C117,""),"")</f>
        <v/>
      </c>
      <c r="BM117" s="34">
        <f>IF(AND(BM$5&gt;$E117,BM$5&lt;=$F117),IF(BM$5=$E117+1,$C117,""),"")</f>
        <v/>
      </c>
      <c r="BN117" s="34">
        <f>IF(AND(BN$5&gt;$E117,BN$5&lt;=$F117),IF(BN$5=$E117+1,$C117,""),"")</f>
        <v/>
      </c>
      <c r="BO117" s="34">
        <f>IF(AND(BO$5&gt;$E117,BO$5&lt;=$F117),IF(BO$5=$E117+1,$C117,""),"")</f>
        <v/>
      </c>
      <c r="BP117" s="34">
        <f>IF(AND(BP$5&gt;$E117,BP$5&lt;=$F117),IF(BP$5=$E117+1,$C117,""),"")</f>
        <v/>
      </c>
      <c r="BQ117" s="34">
        <f>IF(AND(BQ$5&gt;$E117,BQ$5&lt;=$F117),IF(BQ$5=$E117+1,$C117,""),"")</f>
        <v/>
      </c>
      <c r="BR117" s="34">
        <f>IF(AND(BR$5&gt;$E117,BR$5&lt;=$F117),IF(BR$5=$E117+1,$C117,""),"")</f>
        <v/>
      </c>
      <c r="BS117" s="34">
        <f>IF(AND(BS$5&gt;$E117,BS$5&lt;=$F117),IF(BS$5=$E117+1,$C117,""),"")</f>
        <v/>
      </c>
      <c r="BT117" s="34">
        <f>IF(AND(BT$5&gt;$E117,BT$5&lt;=$F117),IF(BT$5=$E117+1,$C117,""),"")</f>
        <v/>
      </c>
      <c r="BU117" s="34">
        <f>IF(AND(BU$5&gt;$E117,BU$5&lt;=$F117),IF(BU$5=$E117+1,$C117,""),"")</f>
        <v/>
      </c>
      <c r="BV117" s="34">
        <f>IF(AND(BV$5&gt;$E117,BV$5&lt;=$F117),IF(BV$5=$E117+1,$C117,""),"")</f>
        <v/>
      </c>
      <c r="BW117" s="34">
        <f>IF(AND(BW$5&gt;$E117,BW$5&lt;=$F117),IF(BW$5=$E117+1,$C117,""),"")</f>
        <v/>
      </c>
      <c r="BX117" s="34">
        <f>IF(AND(BX$5&gt;$E117,BX$5&lt;=$F117),IF(BX$5=$E117+1,$C117,""),"")</f>
        <v/>
      </c>
      <c r="BY117" s="34">
        <f>IF(AND(BY$5&gt;$E117,BY$5&lt;=$F117),IF(BY$5=$E117+1,$C117,""),"")</f>
        <v/>
      </c>
      <c r="BZ117" s="34">
        <f>IF(AND(BZ$5&gt;$E117,BZ$5&lt;=$F117),IF(BZ$5=$E117+1,$C117,""),"")</f>
        <v/>
      </c>
      <c r="CA117" s="34">
        <f>IF(AND(CA$5&gt;$E117,CA$5&lt;=$F117),IF(CA$5=$E117+1,$C117,""),"")</f>
        <v/>
      </c>
      <c r="CB117" s="34">
        <f>IF(AND(CB$5&gt;$E117,CB$5&lt;=$F117),IF(CB$5=$E117+1,$C117,""),"")</f>
        <v/>
      </c>
      <c r="CC117" s="34">
        <f>IF(AND(CC$5&gt;$E117,CC$5&lt;=$F117),IF(CC$5=$E117+1,$C117,""),"")</f>
        <v/>
      </c>
      <c r="CD117" s="34">
        <f>IF(AND(CD$5&gt;$E117,CD$5&lt;=$F117),IF(CD$5=$E117+1,$C117,""),"")</f>
        <v/>
      </c>
      <c r="CE117" s="34">
        <f>IF(AND(CE$5&gt;$E117,CE$5&lt;=$F117),IF(CE$5=$E117+1,$C117,""),"")</f>
        <v/>
      </c>
      <c r="CF117" s="34">
        <f>IF(AND(CF$5&gt;$E117,CF$5&lt;=$F117),IF(CF$5=$E117+1,$C117,""),"")</f>
        <v/>
      </c>
      <c r="CG117" s="34">
        <f>IF(AND(CG$5&gt;$E117,CG$5&lt;=$F117),IF(CG$5=$E117+1,$C117,""),"")</f>
        <v/>
      </c>
      <c r="CH117" s="34">
        <f>IF(AND(CH$5&gt;$E117,CH$5&lt;=$F117),IF(CH$5=$E117+1,$C117,""),"")</f>
        <v/>
      </c>
      <c r="CI117" s="34">
        <f>IF(AND(CI$5&gt;$E117,CI$5&lt;=$F117),IF(CI$5=$E117+1,$C117,""),"")</f>
        <v/>
      </c>
      <c r="CJ117" s="34">
        <f>IF(AND(CJ$5&gt;$E117,CJ$5&lt;=$F117),IF(CJ$5=$E117+1,$C117,""),"")</f>
        <v/>
      </c>
      <c r="CK117" s="34">
        <f>IF(AND(CK$5&gt;$E117,CK$5&lt;=$F117),IF(CK$5=$E117+1,$C117,""),"")</f>
        <v/>
      </c>
      <c r="CL117" s="34">
        <f>IF(AND(CL$5&gt;$E117,CL$5&lt;=$F117),IF(CL$5=$E117+1,$C117,""),"")</f>
        <v/>
      </c>
      <c r="CM117" s="34">
        <f>IF(AND(CM$5&gt;$E117,CM$5&lt;=$F117),IF(CM$5=$E117+1,$C117,""),"")</f>
        <v/>
      </c>
      <c r="CN117" s="34">
        <f>IF(AND(CN$5&gt;$E117,CN$5&lt;=$F117),IF(CN$5=$E117+1,$C117,""),"")</f>
        <v/>
      </c>
      <c r="CO117" s="34">
        <f>IF(AND(CO$5&gt;$E117,CO$5&lt;=$F117),IF(CO$5=$E117+1,$C117,""),"")</f>
        <v/>
      </c>
      <c r="CP117" s="34">
        <f>IF(AND(CP$5&gt;$E117,CP$5&lt;=$F117),IF(CP$5=$E117+1,$C117,""),"")</f>
        <v/>
      </c>
      <c r="CQ117" s="34">
        <f>IF(AND(CQ$5&gt;$E117,CQ$5&lt;=$F117),IF(CQ$5=$E117+1,$C117,""),"")</f>
        <v/>
      </c>
      <c r="CR117" s="34">
        <f>IF(AND(CR$5&gt;$E117,CR$5&lt;=$F117),IF(CR$5=$E117+1,$C117,""),"")</f>
        <v/>
      </c>
      <c r="CS117" s="34">
        <f>IF(AND(CS$5&gt;$E117,CS$5&lt;=$F117),IF(CS$5=$E117+1,$C117,""),"")</f>
        <v/>
      </c>
      <c r="CT117" s="34">
        <f>IF(AND(CT$5&gt;$E117,CT$5&lt;=$F117),IF(CT$5=$E117+1,$C117,""),"")</f>
        <v/>
      </c>
      <c r="CU117" s="34">
        <f>IF(AND(CU$5&gt;$E117,CU$5&lt;=$F117),IF(CU$5=$E117+1,$C117,""),"")</f>
        <v/>
      </c>
      <c r="CV117" s="34">
        <f>IF(AND(CV$5&gt;$E117,CV$5&lt;=$F117),IF(CV$5=$E117+1,$C117,""),"")</f>
        <v/>
      </c>
      <c r="CW117" s="34">
        <f>IF(AND(CW$5&gt;$E117,CW$5&lt;=$F117),IF(CW$5=$E117+1,$C117,""),"")</f>
        <v/>
      </c>
      <c r="CX117" s="34">
        <f>IF(AND(CX$5&gt;$E117,CX$5&lt;=$F117),IF(CX$5=$E117+1,$C117,""),"")</f>
        <v/>
      </c>
      <c r="CY117" s="34">
        <f>IF(AND(CY$5&gt;$E117,CY$5&lt;=$F117),IF(CY$5=$E117+1,$C117,""),"")</f>
        <v/>
      </c>
      <c r="CZ117" s="34">
        <f>IF(AND(CZ$5&gt;$E117,CZ$5&lt;=$F117),IF(CZ$5=$E117+1,$C117,""),"")</f>
        <v/>
      </c>
      <c r="DA117" s="34">
        <f>IF(AND(DA$5&gt;$E117,DA$5&lt;=$F117),IF(DA$5=$E117+1,$C117,""),"")</f>
        <v/>
      </c>
      <c r="DB117" s="34">
        <f>IF(AND(DB$5&gt;$E117,DB$5&lt;=$F117),IF(DB$5=$E117+1,$C117,""),"")</f>
        <v/>
      </c>
      <c r="DC117" s="34">
        <f>IF(AND(DC$5&gt;$E117,DC$5&lt;=$F117),IF(DC$5=$E117+1,$C117,""),"")</f>
        <v/>
      </c>
      <c r="DD117" s="34">
        <f>IF(AND(DD$5&gt;$E117,DD$5&lt;=$F117),IF(DD$5=$E117+1,$C117,""),"")</f>
        <v/>
      </c>
      <c r="DE117" s="34">
        <f>IF(AND(DE$5&gt;$E117,DE$5&lt;=$F117),IF(DE$5=$E117+1,$C117,""),"")</f>
        <v/>
      </c>
      <c r="DF117" s="34">
        <f>IF(AND(DF$5&gt;$E117,DF$5&lt;=$F117),IF(DF$5=$E117+1,$C117,""),"")</f>
        <v/>
      </c>
      <c r="DG117" s="34">
        <f>IF(AND(DG$5&gt;$E117,DG$5&lt;=$F117),IF(DG$5=$E117+1,$C117,""),"")</f>
        <v/>
      </c>
      <c r="DH117" s="34">
        <f>IF(AND(DH$5&gt;$E117,DH$5&lt;=$F117),IF(DH$5=$E117+1,$C117,""),"")</f>
        <v/>
      </c>
      <c r="DI117" s="34">
        <f>IF(AND(DI$5&gt;$E117,DI$5&lt;=$F117),IF(DI$5=$E117+1,$C117,""),"")</f>
        <v/>
      </c>
      <c r="DJ117" s="34">
        <f>IF(AND(DJ$5&gt;$E117,DJ$5&lt;=$F117),IF(DJ$5=$E117+1,$C117,""),"")</f>
        <v/>
      </c>
      <c r="DK117" s="34">
        <f>IF(AND(DK$5&gt;$E117,DK$5&lt;=$F117),IF(DK$5=$E117+1,$C117,""),"")</f>
        <v/>
      </c>
      <c r="DL117" s="34">
        <f>IF(AND(DL$5&gt;$E117,DL$5&lt;=$F117),IF(DL$5=$E117+1,$C117,""),"")</f>
        <v/>
      </c>
      <c r="DM117" s="34">
        <f>IF(AND(DM$5&gt;$E117,DM$5&lt;=$F117),IF(DM$5=$E117+1,$C117,""),"")</f>
        <v/>
      </c>
      <c r="DN117" s="34">
        <f>IF(AND(DN$5&gt;$E117,DN$5&lt;=$F117),IF(DN$5=$E117+1,$C117,""),"")</f>
        <v/>
      </c>
      <c r="DO117" s="34">
        <f>IF(AND(DO$5&gt;$E117,DO$5&lt;=$F117),IF(DO$5=$E117+1,$C117,""),"")</f>
        <v/>
      </c>
      <c r="DP117" s="34">
        <f>IF(AND(DP$5&gt;$E117,DP$5&lt;=$F117),IF(DP$5=$E117+1,$C117,""),"")</f>
        <v/>
      </c>
      <c r="DQ117" s="34">
        <f>IF(AND(DQ$5&gt;$E117,DQ$5&lt;=$F117),IF(DQ$5=$E117+1,$C117,""),"")</f>
        <v/>
      </c>
      <c r="DR117" s="34">
        <f>IF(AND(DR$5&gt;$E117,DR$5&lt;=$F117),IF(DR$5=$E117+1,$C117,""),"")</f>
        <v/>
      </c>
      <c r="DS117" s="34">
        <f>IF(AND(DS$5&gt;$E117,DS$5&lt;=$F117),IF(DS$5=$E117+1,$C117,""),"")</f>
        <v/>
      </c>
      <c r="DT117" s="34">
        <f>IF(AND(DT$5&gt;$E117,DT$5&lt;=$F117),IF(DT$5=$E117+1,$C117,""),"")</f>
        <v/>
      </c>
      <c r="DU117" s="34">
        <f>IF(AND(DU$5&gt;$E117,DU$5&lt;=$F117),IF(DU$5=$E117+1,$C117,""),"")</f>
        <v/>
      </c>
      <c r="DV117" s="34">
        <f>IF(AND(DV$5&gt;$E117,DV$5&lt;=$F117),IF(DV$5=$E117+1,$C117,""),"")</f>
        <v/>
      </c>
      <c r="DW117" s="34">
        <f>IF(AND(DW$5&gt;$E117,DW$5&lt;=$F117),IF(DW$5=$E117+1,$C117,""),"")</f>
        <v/>
      </c>
      <c r="DX117" s="34">
        <f>IF(AND(DX$5&gt;$E117,DX$5&lt;=$F117),IF(DX$5=$E117+1,$C117,""),"")</f>
        <v/>
      </c>
      <c r="DY117" s="34">
        <f>IF(AND(DY$5&gt;$E117,DY$5&lt;=$F117),IF(DY$5=$E117+1,$C117,""),"")</f>
        <v/>
      </c>
      <c r="DZ117" s="34">
        <f>IF(AND(DZ$5&gt;$E117,DZ$5&lt;=$F117),IF(DZ$5=$E117+1,$C117,""),"")</f>
        <v/>
      </c>
      <c r="EA117" s="34">
        <f>IF(AND(EA$5&gt;$E117,EA$5&lt;=$F117),IF(EA$5=$E117+1,$C117,""),"")</f>
        <v/>
      </c>
      <c r="EB117" s="34">
        <f>IF(AND(EB$5&gt;$E117,EB$5&lt;=$F117),IF(EB$5=$E117+1,$C117,""),"")</f>
        <v/>
      </c>
      <c r="EC117" s="34">
        <f>IF(AND(EC$5&gt;$E117,EC$5&lt;=$F117),IF(EC$5=$E117+1,$C117,""),"")</f>
        <v/>
      </c>
      <c r="ED117" s="34">
        <f>IF(AND(ED$5&gt;$E117,ED$5&lt;=$F117),IF(ED$5=$E117+1,$C117,""),"")</f>
        <v/>
      </c>
      <c r="EE117" s="34">
        <f>IF(AND(EE$5&gt;$E117,EE$5&lt;=$F117),IF(EE$5=$E117+1,$C117,""),"")</f>
        <v/>
      </c>
      <c r="EF117" s="34">
        <f>IF(AND(EF$5&gt;$E117,EF$5&lt;=$F117),IF(EF$5=$E117+1,$C117,""),"")</f>
        <v/>
      </c>
      <c r="EG117" s="34">
        <f>IF(AND(EG$5&gt;$E117,EG$5&lt;=$F117),IF(EG$5=$E117+1,$C117,""),"")</f>
        <v/>
      </c>
    </row>
    <row r="118">
      <c r="A118" s="32">
        <f>Plan!A108</f>
        <v/>
      </c>
      <c r="B118" s="33">
        <f>Plan!C108</f>
        <v/>
      </c>
      <c r="C118" s="16">
        <f>Plan!D108</f>
        <v/>
      </c>
      <c r="D118" s="16">
        <f>Plan!I108</f>
        <v/>
      </c>
      <c r="E118" s="16">
        <f>Plan!K108</f>
        <v/>
      </c>
      <c r="F118" s="16">
        <f>Plan!L108</f>
        <v/>
      </c>
      <c r="G118" s="16">
        <f>Plan!O108</f>
        <v/>
      </c>
      <c r="H118" s="34">
        <f>IF(AND(H$5&gt;$E118,H$5&lt;=$F118),IF(H$5=$E118+1,$C118,""),"")</f>
        <v/>
      </c>
      <c r="I118" s="34">
        <f>IF(AND(I$5&gt;$E118,I$5&lt;=$F118),IF(I$5=$E118+1,$C118,""),"")</f>
        <v/>
      </c>
      <c r="J118" s="34">
        <f>IF(AND(J$5&gt;$E118,J$5&lt;=$F118),IF(J$5=$E118+1,$C118,""),"")</f>
        <v/>
      </c>
      <c r="K118" s="34">
        <f>IF(AND(K$5&gt;$E118,K$5&lt;=$F118),IF(K$5=$E118+1,$C118,""),"")</f>
        <v/>
      </c>
      <c r="L118" s="34">
        <f>IF(AND(L$5&gt;$E118,L$5&lt;=$F118),IF(L$5=$E118+1,$C118,""),"")</f>
        <v/>
      </c>
      <c r="M118" s="34">
        <f>IF(AND(M$5&gt;$E118,M$5&lt;=$F118),IF(M$5=$E118+1,$C118,""),"")</f>
        <v/>
      </c>
      <c r="N118" s="34">
        <f>IF(AND(N$5&gt;$E118,N$5&lt;=$F118),IF(N$5=$E118+1,$C118,""),"")</f>
        <v/>
      </c>
      <c r="O118" s="34">
        <f>IF(AND(O$5&gt;$E118,O$5&lt;=$F118),IF(O$5=$E118+1,$C118,""),"")</f>
        <v/>
      </c>
      <c r="P118" s="34">
        <f>IF(AND(P$5&gt;$E118,P$5&lt;=$F118),IF(P$5=$E118+1,$C118,""),"")</f>
        <v/>
      </c>
      <c r="Q118" s="34">
        <f>IF(AND(Q$5&gt;$E118,Q$5&lt;=$F118),IF(Q$5=$E118+1,$C118,""),"")</f>
        <v/>
      </c>
      <c r="R118" s="34">
        <f>IF(AND(R$5&gt;$E118,R$5&lt;=$F118),IF(R$5=$E118+1,$C118,""),"")</f>
        <v/>
      </c>
      <c r="S118" s="34">
        <f>IF(AND(S$5&gt;$E118,S$5&lt;=$F118),IF(S$5=$E118+1,$C118,""),"")</f>
        <v/>
      </c>
      <c r="T118" s="34">
        <f>IF(AND(T$5&gt;$E118,T$5&lt;=$F118),IF(T$5=$E118+1,$C118,""),"")</f>
        <v/>
      </c>
      <c r="U118" s="34">
        <f>IF(AND(U$5&gt;$E118,U$5&lt;=$F118),IF(U$5=$E118+1,$C118,""),"")</f>
        <v/>
      </c>
      <c r="V118" s="34">
        <f>IF(AND(V$5&gt;$E118,V$5&lt;=$F118),IF(V$5=$E118+1,$C118,""),"")</f>
        <v/>
      </c>
      <c r="W118" s="34">
        <f>IF(AND(W$5&gt;$E118,W$5&lt;=$F118),IF(W$5=$E118+1,$C118,""),"")</f>
        <v/>
      </c>
      <c r="X118" s="34">
        <f>IF(AND(X$5&gt;$E118,X$5&lt;=$F118),IF(X$5=$E118+1,$C118,""),"")</f>
        <v/>
      </c>
      <c r="Y118" s="34">
        <f>IF(AND(Y$5&gt;$E118,Y$5&lt;=$F118),IF(Y$5=$E118+1,$C118,""),"")</f>
        <v/>
      </c>
      <c r="Z118" s="34">
        <f>IF(AND(Z$5&gt;$E118,Z$5&lt;=$F118),IF(Z$5=$E118+1,$C118,""),"")</f>
        <v/>
      </c>
      <c r="AA118" s="34">
        <f>IF(AND(AA$5&gt;$E118,AA$5&lt;=$F118),IF(AA$5=$E118+1,$C118,""),"")</f>
        <v/>
      </c>
      <c r="AB118" s="34">
        <f>IF(AND(AB$5&gt;$E118,AB$5&lt;=$F118),IF(AB$5=$E118+1,$C118,""),"")</f>
        <v/>
      </c>
      <c r="AC118" s="34">
        <f>IF(AND(AC$5&gt;$E118,AC$5&lt;=$F118),IF(AC$5=$E118+1,$C118,""),"")</f>
        <v/>
      </c>
      <c r="AD118" s="34">
        <f>IF(AND(AD$5&gt;$E118,AD$5&lt;=$F118),IF(AD$5=$E118+1,$C118,""),"")</f>
        <v/>
      </c>
      <c r="AE118" s="34">
        <f>IF(AND(AE$5&gt;$E118,AE$5&lt;=$F118),IF(AE$5=$E118+1,$C118,""),"")</f>
        <v/>
      </c>
      <c r="AF118" s="34">
        <f>IF(AND(AF$5&gt;$E118,AF$5&lt;=$F118),IF(AF$5=$E118+1,$C118,""),"")</f>
        <v/>
      </c>
      <c r="AG118" s="34">
        <f>IF(AND(AG$5&gt;$E118,AG$5&lt;=$F118),IF(AG$5=$E118+1,$C118,""),"")</f>
        <v/>
      </c>
      <c r="AH118" s="34">
        <f>IF(AND(AH$5&gt;$E118,AH$5&lt;=$F118),IF(AH$5=$E118+1,$C118,""),"")</f>
        <v/>
      </c>
      <c r="AI118" s="34">
        <f>IF(AND(AI$5&gt;$E118,AI$5&lt;=$F118),IF(AI$5=$E118+1,$C118,""),"")</f>
        <v/>
      </c>
      <c r="AJ118" s="34">
        <f>IF(AND(AJ$5&gt;$E118,AJ$5&lt;=$F118),IF(AJ$5=$E118+1,$C118,""),"")</f>
        <v/>
      </c>
      <c r="AK118" s="34">
        <f>IF(AND(AK$5&gt;$E118,AK$5&lt;=$F118),IF(AK$5=$E118+1,$C118,""),"")</f>
        <v/>
      </c>
      <c r="AL118" s="34">
        <f>IF(AND(AL$5&gt;$E118,AL$5&lt;=$F118),IF(AL$5=$E118+1,$C118,""),"")</f>
        <v/>
      </c>
      <c r="AM118" s="34">
        <f>IF(AND(AM$5&gt;$E118,AM$5&lt;=$F118),IF(AM$5=$E118+1,$C118,""),"")</f>
        <v/>
      </c>
      <c r="AN118" s="34">
        <f>IF(AND(AN$5&gt;$E118,AN$5&lt;=$F118),IF(AN$5=$E118+1,$C118,""),"")</f>
        <v/>
      </c>
      <c r="AO118" s="34">
        <f>IF(AND(AO$5&gt;$E118,AO$5&lt;=$F118),IF(AO$5=$E118+1,$C118,""),"")</f>
        <v/>
      </c>
      <c r="AP118" s="34">
        <f>IF(AND(AP$5&gt;$E118,AP$5&lt;=$F118),IF(AP$5=$E118+1,$C118,""),"")</f>
        <v/>
      </c>
      <c r="AQ118" s="34">
        <f>IF(AND(AQ$5&gt;$E118,AQ$5&lt;=$F118),IF(AQ$5=$E118+1,$C118,""),"")</f>
        <v/>
      </c>
      <c r="AR118" s="34">
        <f>IF(AND(AR$5&gt;$E118,AR$5&lt;=$F118),IF(AR$5=$E118+1,$C118,""),"")</f>
        <v/>
      </c>
      <c r="AS118" s="34">
        <f>IF(AND(AS$5&gt;$E118,AS$5&lt;=$F118),IF(AS$5=$E118+1,$C118,""),"")</f>
        <v/>
      </c>
      <c r="AT118" s="34">
        <f>IF(AND(AT$5&gt;$E118,AT$5&lt;=$F118),IF(AT$5=$E118+1,$C118,""),"")</f>
        <v/>
      </c>
      <c r="AU118" s="34">
        <f>IF(AND(AU$5&gt;$E118,AU$5&lt;=$F118),IF(AU$5=$E118+1,$C118,""),"")</f>
        <v/>
      </c>
      <c r="AV118" s="34">
        <f>IF(AND(AV$5&gt;$E118,AV$5&lt;=$F118),IF(AV$5=$E118+1,$C118,""),"")</f>
        <v/>
      </c>
      <c r="AW118" s="34">
        <f>IF(AND(AW$5&gt;$E118,AW$5&lt;=$F118),IF(AW$5=$E118+1,$C118,""),"")</f>
        <v/>
      </c>
      <c r="AX118" s="34">
        <f>IF(AND(AX$5&gt;$E118,AX$5&lt;=$F118),IF(AX$5=$E118+1,$C118,""),"")</f>
        <v/>
      </c>
      <c r="AY118" s="34">
        <f>IF(AND(AY$5&gt;$E118,AY$5&lt;=$F118),IF(AY$5=$E118+1,$C118,""),"")</f>
        <v/>
      </c>
      <c r="AZ118" s="34">
        <f>IF(AND(AZ$5&gt;$E118,AZ$5&lt;=$F118),IF(AZ$5=$E118+1,$C118,""),"")</f>
        <v/>
      </c>
      <c r="BA118" s="34">
        <f>IF(AND(BA$5&gt;$E118,BA$5&lt;=$F118),IF(BA$5=$E118+1,$C118,""),"")</f>
        <v/>
      </c>
      <c r="BB118" s="34">
        <f>IF(AND(BB$5&gt;$E118,BB$5&lt;=$F118),IF(BB$5=$E118+1,$C118,""),"")</f>
        <v/>
      </c>
      <c r="BC118" s="34">
        <f>IF(AND(BC$5&gt;$E118,BC$5&lt;=$F118),IF(BC$5=$E118+1,$C118,""),"")</f>
        <v/>
      </c>
      <c r="BD118" s="34">
        <f>IF(AND(BD$5&gt;$E118,BD$5&lt;=$F118),IF(BD$5=$E118+1,$C118,""),"")</f>
        <v/>
      </c>
      <c r="BE118" s="34">
        <f>IF(AND(BE$5&gt;$E118,BE$5&lt;=$F118),IF(BE$5=$E118+1,$C118,""),"")</f>
        <v/>
      </c>
      <c r="BF118" s="34">
        <f>IF(AND(BF$5&gt;$E118,BF$5&lt;=$F118),IF(BF$5=$E118+1,$C118,""),"")</f>
        <v/>
      </c>
      <c r="BG118" s="34">
        <f>IF(AND(BG$5&gt;$E118,BG$5&lt;=$F118),IF(BG$5=$E118+1,$C118,""),"")</f>
        <v/>
      </c>
      <c r="BH118" s="34">
        <f>IF(AND(BH$5&gt;$E118,BH$5&lt;=$F118),IF(BH$5=$E118+1,$C118,""),"")</f>
        <v/>
      </c>
      <c r="BI118" s="34">
        <f>IF(AND(BI$5&gt;$E118,BI$5&lt;=$F118),IF(BI$5=$E118+1,$C118,""),"")</f>
        <v/>
      </c>
      <c r="BJ118" s="34">
        <f>IF(AND(BJ$5&gt;$E118,BJ$5&lt;=$F118),IF(BJ$5=$E118+1,$C118,""),"")</f>
        <v/>
      </c>
      <c r="BK118" s="34">
        <f>IF(AND(BK$5&gt;$E118,BK$5&lt;=$F118),IF(BK$5=$E118+1,$C118,""),"")</f>
        <v/>
      </c>
      <c r="BL118" s="34">
        <f>IF(AND(BL$5&gt;$E118,BL$5&lt;=$F118),IF(BL$5=$E118+1,$C118,""),"")</f>
        <v/>
      </c>
      <c r="BM118" s="34">
        <f>IF(AND(BM$5&gt;$E118,BM$5&lt;=$F118),IF(BM$5=$E118+1,$C118,""),"")</f>
        <v/>
      </c>
      <c r="BN118" s="34">
        <f>IF(AND(BN$5&gt;$E118,BN$5&lt;=$F118),IF(BN$5=$E118+1,$C118,""),"")</f>
        <v/>
      </c>
      <c r="BO118" s="34">
        <f>IF(AND(BO$5&gt;$E118,BO$5&lt;=$F118),IF(BO$5=$E118+1,$C118,""),"")</f>
        <v/>
      </c>
      <c r="BP118" s="34">
        <f>IF(AND(BP$5&gt;$E118,BP$5&lt;=$F118),IF(BP$5=$E118+1,$C118,""),"")</f>
        <v/>
      </c>
      <c r="BQ118" s="34">
        <f>IF(AND(BQ$5&gt;$E118,BQ$5&lt;=$F118),IF(BQ$5=$E118+1,$C118,""),"")</f>
        <v/>
      </c>
      <c r="BR118" s="34">
        <f>IF(AND(BR$5&gt;$E118,BR$5&lt;=$F118),IF(BR$5=$E118+1,$C118,""),"")</f>
        <v/>
      </c>
      <c r="BS118" s="34">
        <f>IF(AND(BS$5&gt;$E118,BS$5&lt;=$F118),IF(BS$5=$E118+1,$C118,""),"")</f>
        <v/>
      </c>
      <c r="BT118" s="34">
        <f>IF(AND(BT$5&gt;$E118,BT$5&lt;=$F118),IF(BT$5=$E118+1,$C118,""),"")</f>
        <v/>
      </c>
      <c r="BU118" s="34">
        <f>IF(AND(BU$5&gt;$E118,BU$5&lt;=$F118),IF(BU$5=$E118+1,$C118,""),"")</f>
        <v/>
      </c>
      <c r="BV118" s="34">
        <f>IF(AND(BV$5&gt;$E118,BV$5&lt;=$F118),IF(BV$5=$E118+1,$C118,""),"")</f>
        <v/>
      </c>
      <c r="BW118" s="34">
        <f>IF(AND(BW$5&gt;$E118,BW$5&lt;=$F118),IF(BW$5=$E118+1,$C118,""),"")</f>
        <v/>
      </c>
      <c r="BX118" s="34">
        <f>IF(AND(BX$5&gt;$E118,BX$5&lt;=$F118),IF(BX$5=$E118+1,$C118,""),"")</f>
        <v/>
      </c>
      <c r="BY118" s="34">
        <f>IF(AND(BY$5&gt;$E118,BY$5&lt;=$F118),IF(BY$5=$E118+1,$C118,""),"")</f>
        <v/>
      </c>
      <c r="BZ118" s="34">
        <f>IF(AND(BZ$5&gt;$E118,BZ$5&lt;=$F118),IF(BZ$5=$E118+1,$C118,""),"")</f>
        <v/>
      </c>
      <c r="CA118" s="34">
        <f>IF(AND(CA$5&gt;$E118,CA$5&lt;=$F118),IF(CA$5=$E118+1,$C118,""),"")</f>
        <v/>
      </c>
      <c r="CB118" s="34">
        <f>IF(AND(CB$5&gt;$E118,CB$5&lt;=$F118),IF(CB$5=$E118+1,$C118,""),"")</f>
        <v/>
      </c>
      <c r="CC118" s="34">
        <f>IF(AND(CC$5&gt;$E118,CC$5&lt;=$F118),IF(CC$5=$E118+1,$C118,""),"")</f>
        <v/>
      </c>
      <c r="CD118" s="34">
        <f>IF(AND(CD$5&gt;$E118,CD$5&lt;=$F118),IF(CD$5=$E118+1,$C118,""),"")</f>
        <v/>
      </c>
      <c r="CE118" s="34">
        <f>IF(AND(CE$5&gt;$E118,CE$5&lt;=$F118),IF(CE$5=$E118+1,$C118,""),"")</f>
        <v/>
      </c>
      <c r="CF118" s="34">
        <f>IF(AND(CF$5&gt;$E118,CF$5&lt;=$F118),IF(CF$5=$E118+1,$C118,""),"")</f>
        <v/>
      </c>
      <c r="CG118" s="34">
        <f>IF(AND(CG$5&gt;$E118,CG$5&lt;=$F118),IF(CG$5=$E118+1,$C118,""),"")</f>
        <v/>
      </c>
      <c r="CH118" s="34">
        <f>IF(AND(CH$5&gt;$E118,CH$5&lt;=$F118),IF(CH$5=$E118+1,$C118,""),"")</f>
        <v/>
      </c>
      <c r="CI118" s="34">
        <f>IF(AND(CI$5&gt;$E118,CI$5&lt;=$F118),IF(CI$5=$E118+1,$C118,""),"")</f>
        <v/>
      </c>
      <c r="CJ118" s="34">
        <f>IF(AND(CJ$5&gt;$E118,CJ$5&lt;=$F118),IF(CJ$5=$E118+1,$C118,""),"")</f>
        <v/>
      </c>
      <c r="CK118" s="34">
        <f>IF(AND(CK$5&gt;$E118,CK$5&lt;=$F118),IF(CK$5=$E118+1,$C118,""),"")</f>
        <v/>
      </c>
      <c r="CL118" s="34">
        <f>IF(AND(CL$5&gt;$E118,CL$5&lt;=$F118),IF(CL$5=$E118+1,$C118,""),"")</f>
        <v/>
      </c>
      <c r="CM118" s="34">
        <f>IF(AND(CM$5&gt;$E118,CM$5&lt;=$F118),IF(CM$5=$E118+1,$C118,""),"")</f>
        <v/>
      </c>
      <c r="CN118" s="34">
        <f>IF(AND(CN$5&gt;$E118,CN$5&lt;=$F118),IF(CN$5=$E118+1,$C118,""),"")</f>
        <v/>
      </c>
      <c r="CO118" s="34">
        <f>IF(AND(CO$5&gt;$E118,CO$5&lt;=$F118),IF(CO$5=$E118+1,$C118,""),"")</f>
        <v/>
      </c>
      <c r="CP118" s="34">
        <f>IF(AND(CP$5&gt;$E118,CP$5&lt;=$F118),IF(CP$5=$E118+1,$C118,""),"")</f>
        <v/>
      </c>
      <c r="CQ118" s="34">
        <f>IF(AND(CQ$5&gt;$E118,CQ$5&lt;=$F118),IF(CQ$5=$E118+1,$C118,""),"")</f>
        <v/>
      </c>
      <c r="CR118" s="34">
        <f>IF(AND(CR$5&gt;$E118,CR$5&lt;=$F118),IF(CR$5=$E118+1,$C118,""),"")</f>
        <v/>
      </c>
      <c r="CS118" s="34">
        <f>IF(AND(CS$5&gt;$E118,CS$5&lt;=$F118),IF(CS$5=$E118+1,$C118,""),"")</f>
        <v/>
      </c>
      <c r="CT118" s="34">
        <f>IF(AND(CT$5&gt;$E118,CT$5&lt;=$F118),IF(CT$5=$E118+1,$C118,""),"")</f>
        <v/>
      </c>
      <c r="CU118" s="34">
        <f>IF(AND(CU$5&gt;$E118,CU$5&lt;=$F118),IF(CU$5=$E118+1,$C118,""),"")</f>
        <v/>
      </c>
      <c r="CV118" s="34">
        <f>IF(AND(CV$5&gt;$E118,CV$5&lt;=$F118),IF(CV$5=$E118+1,$C118,""),"")</f>
        <v/>
      </c>
      <c r="CW118" s="34">
        <f>IF(AND(CW$5&gt;$E118,CW$5&lt;=$F118),IF(CW$5=$E118+1,$C118,""),"")</f>
        <v/>
      </c>
      <c r="CX118" s="34">
        <f>IF(AND(CX$5&gt;$E118,CX$5&lt;=$F118),IF(CX$5=$E118+1,$C118,""),"")</f>
        <v/>
      </c>
      <c r="CY118" s="34">
        <f>IF(AND(CY$5&gt;$E118,CY$5&lt;=$F118),IF(CY$5=$E118+1,$C118,""),"")</f>
        <v/>
      </c>
      <c r="CZ118" s="34">
        <f>IF(AND(CZ$5&gt;$E118,CZ$5&lt;=$F118),IF(CZ$5=$E118+1,$C118,""),"")</f>
        <v/>
      </c>
      <c r="DA118" s="34">
        <f>IF(AND(DA$5&gt;$E118,DA$5&lt;=$F118),IF(DA$5=$E118+1,$C118,""),"")</f>
        <v/>
      </c>
      <c r="DB118" s="34">
        <f>IF(AND(DB$5&gt;$E118,DB$5&lt;=$F118),IF(DB$5=$E118+1,$C118,""),"")</f>
        <v/>
      </c>
      <c r="DC118" s="34">
        <f>IF(AND(DC$5&gt;$E118,DC$5&lt;=$F118),IF(DC$5=$E118+1,$C118,""),"")</f>
        <v/>
      </c>
      <c r="DD118" s="34">
        <f>IF(AND(DD$5&gt;$E118,DD$5&lt;=$F118),IF(DD$5=$E118+1,$C118,""),"")</f>
        <v/>
      </c>
      <c r="DE118" s="34">
        <f>IF(AND(DE$5&gt;$E118,DE$5&lt;=$F118),IF(DE$5=$E118+1,$C118,""),"")</f>
        <v/>
      </c>
      <c r="DF118" s="34">
        <f>IF(AND(DF$5&gt;$E118,DF$5&lt;=$F118),IF(DF$5=$E118+1,$C118,""),"")</f>
        <v/>
      </c>
      <c r="DG118" s="34">
        <f>IF(AND(DG$5&gt;$E118,DG$5&lt;=$F118),IF(DG$5=$E118+1,$C118,""),"")</f>
        <v/>
      </c>
      <c r="DH118" s="34">
        <f>IF(AND(DH$5&gt;$E118,DH$5&lt;=$F118),IF(DH$5=$E118+1,$C118,""),"")</f>
        <v/>
      </c>
      <c r="DI118" s="34">
        <f>IF(AND(DI$5&gt;$E118,DI$5&lt;=$F118),IF(DI$5=$E118+1,$C118,""),"")</f>
        <v/>
      </c>
      <c r="DJ118" s="34">
        <f>IF(AND(DJ$5&gt;$E118,DJ$5&lt;=$F118),IF(DJ$5=$E118+1,$C118,""),"")</f>
        <v/>
      </c>
      <c r="DK118" s="34">
        <f>IF(AND(DK$5&gt;$E118,DK$5&lt;=$F118),IF(DK$5=$E118+1,$C118,""),"")</f>
        <v/>
      </c>
      <c r="DL118" s="34">
        <f>IF(AND(DL$5&gt;$E118,DL$5&lt;=$F118),IF(DL$5=$E118+1,$C118,""),"")</f>
        <v/>
      </c>
      <c r="DM118" s="34">
        <f>IF(AND(DM$5&gt;$E118,DM$5&lt;=$F118),IF(DM$5=$E118+1,$C118,""),"")</f>
        <v/>
      </c>
      <c r="DN118" s="34">
        <f>IF(AND(DN$5&gt;$E118,DN$5&lt;=$F118),IF(DN$5=$E118+1,$C118,""),"")</f>
        <v/>
      </c>
      <c r="DO118" s="34">
        <f>IF(AND(DO$5&gt;$E118,DO$5&lt;=$F118),IF(DO$5=$E118+1,$C118,""),"")</f>
        <v/>
      </c>
      <c r="DP118" s="34">
        <f>IF(AND(DP$5&gt;$E118,DP$5&lt;=$F118),IF(DP$5=$E118+1,$C118,""),"")</f>
        <v/>
      </c>
      <c r="DQ118" s="34">
        <f>IF(AND(DQ$5&gt;$E118,DQ$5&lt;=$F118),IF(DQ$5=$E118+1,$C118,""),"")</f>
        <v/>
      </c>
      <c r="DR118" s="34">
        <f>IF(AND(DR$5&gt;$E118,DR$5&lt;=$F118),IF(DR$5=$E118+1,$C118,""),"")</f>
        <v/>
      </c>
      <c r="DS118" s="34">
        <f>IF(AND(DS$5&gt;$E118,DS$5&lt;=$F118),IF(DS$5=$E118+1,$C118,""),"")</f>
        <v/>
      </c>
      <c r="DT118" s="34">
        <f>IF(AND(DT$5&gt;$E118,DT$5&lt;=$F118),IF(DT$5=$E118+1,$C118,""),"")</f>
        <v/>
      </c>
      <c r="DU118" s="34">
        <f>IF(AND(DU$5&gt;$E118,DU$5&lt;=$F118),IF(DU$5=$E118+1,$C118,""),"")</f>
        <v/>
      </c>
      <c r="DV118" s="34">
        <f>IF(AND(DV$5&gt;$E118,DV$5&lt;=$F118),IF(DV$5=$E118+1,$C118,""),"")</f>
        <v/>
      </c>
      <c r="DW118" s="34">
        <f>IF(AND(DW$5&gt;$E118,DW$5&lt;=$F118),IF(DW$5=$E118+1,$C118,""),"")</f>
        <v/>
      </c>
      <c r="DX118" s="34">
        <f>IF(AND(DX$5&gt;$E118,DX$5&lt;=$F118),IF(DX$5=$E118+1,$C118,""),"")</f>
        <v/>
      </c>
      <c r="DY118" s="34">
        <f>IF(AND(DY$5&gt;$E118,DY$5&lt;=$F118),IF(DY$5=$E118+1,$C118,""),"")</f>
        <v/>
      </c>
      <c r="DZ118" s="34">
        <f>IF(AND(DZ$5&gt;$E118,DZ$5&lt;=$F118),IF(DZ$5=$E118+1,$C118,""),"")</f>
        <v/>
      </c>
      <c r="EA118" s="34">
        <f>IF(AND(EA$5&gt;$E118,EA$5&lt;=$F118),IF(EA$5=$E118+1,$C118,""),"")</f>
        <v/>
      </c>
      <c r="EB118" s="34">
        <f>IF(AND(EB$5&gt;$E118,EB$5&lt;=$F118),IF(EB$5=$E118+1,$C118,""),"")</f>
        <v/>
      </c>
      <c r="EC118" s="34">
        <f>IF(AND(EC$5&gt;$E118,EC$5&lt;=$F118),IF(EC$5=$E118+1,$C118,""),"")</f>
        <v/>
      </c>
      <c r="ED118" s="34">
        <f>IF(AND(ED$5&gt;$E118,ED$5&lt;=$F118),IF(ED$5=$E118+1,$C118,""),"")</f>
        <v/>
      </c>
      <c r="EE118" s="34">
        <f>IF(AND(EE$5&gt;$E118,EE$5&lt;=$F118),IF(EE$5=$E118+1,$C118,""),"")</f>
        <v/>
      </c>
      <c r="EF118" s="34">
        <f>IF(AND(EF$5&gt;$E118,EF$5&lt;=$F118),IF(EF$5=$E118+1,$C118,""),"")</f>
        <v/>
      </c>
      <c r="EG118" s="34">
        <f>IF(AND(EG$5&gt;$E118,EG$5&lt;=$F118),IF(EG$5=$E118+1,$C118,""),"")</f>
        <v/>
      </c>
    </row>
    <row r="119">
      <c r="A119" s="32">
        <f>Plan!A109</f>
        <v/>
      </c>
      <c r="B119" s="33">
        <f>Plan!C109</f>
        <v/>
      </c>
      <c r="C119" s="16">
        <f>Plan!D109</f>
        <v/>
      </c>
      <c r="D119" s="16">
        <f>Plan!I109</f>
        <v/>
      </c>
      <c r="E119" s="16">
        <f>Plan!K109</f>
        <v/>
      </c>
      <c r="F119" s="16">
        <f>Plan!L109</f>
        <v/>
      </c>
      <c r="G119" s="16">
        <f>Plan!O109</f>
        <v/>
      </c>
      <c r="H119" s="34">
        <f>IF(AND(H$5&gt;$E119,H$5&lt;=$F119),IF(H$5=$E119+1,$C119,""),"")</f>
        <v/>
      </c>
      <c r="I119" s="34">
        <f>IF(AND(I$5&gt;$E119,I$5&lt;=$F119),IF(I$5=$E119+1,$C119,""),"")</f>
        <v/>
      </c>
      <c r="J119" s="34">
        <f>IF(AND(J$5&gt;$E119,J$5&lt;=$F119),IF(J$5=$E119+1,$C119,""),"")</f>
        <v/>
      </c>
      <c r="K119" s="34">
        <f>IF(AND(K$5&gt;$E119,K$5&lt;=$F119),IF(K$5=$E119+1,$C119,""),"")</f>
        <v/>
      </c>
      <c r="L119" s="34">
        <f>IF(AND(L$5&gt;$E119,L$5&lt;=$F119),IF(L$5=$E119+1,$C119,""),"")</f>
        <v/>
      </c>
      <c r="M119" s="34">
        <f>IF(AND(M$5&gt;$E119,M$5&lt;=$F119),IF(M$5=$E119+1,$C119,""),"")</f>
        <v/>
      </c>
      <c r="N119" s="34">
        <f>IF(AND(N$5&gt;$E119,N$5&lt;=$F119),IF(N$5=$E119+1,$C119,""),"")</f>
        <v/>
      </c>
      <c r="O119" s="34">
        <f>IF(AND(O$5&gt;$E119,O$5&lt;=$F119),IF(O$5=$E119+1,$C119,""),"")</f>
        <v/>
      </c>
      <c r="P119" s="34">
        <f>IF(AND(P$5&gt;$E119,P$5&lt;=$F119),IF(P$5=$E119+1,$C119,""),"")</f>
        <v/>
      </c>
      <c r="Q119" s="34">
        <f>IF(AND(Q$5&gt;$E119,Q$5&lt;=$F119),IF(Q$5=$E119+1,$C119,""),"")</f>
        <v/>
      </c>
      <c r="R119" s="34">
        <f>IF(AND(R$5&gt;$E119,R$5&lt;=$F119),IF(R$5=$E119+1,$C119,""),"")</f>
        <v/>
      </c>
      <c r="S119" s="34">
        <f>IF(AND(S$5&gt;$E119,S$5&lt;=$F119),IF(S$5=$E119+1,$C119,""),"")</f>
        <v/>
      </c>
      <c r="T119" s="34">
        <f>IF(AND(T$5&gt;$E119,T$5&lt;=$F119),IF(T$5=$E119+1,$C119,""),"")</f>
        <v/>
      </c>
      <c r="U119" s="34">
        <f>IF(AND(U$5&gt;$E119,U$5&lt;=$F119),IF(U$5=$E119+1,$C119,""),"")</f>
        <v/>
      </c>
      <c r="V119" s="34">
        <f>IF(AND(V$5&gt;$E119,V$5&lt;=$F119),IF(V$5=$E119+1,$C119,""),"")</f>
        <v/>
      </c>
      <c r="W119" s="34">
        <f>IF(AND(W$5&gt;$E119,W$5&lt;=$F119),IF(W$5=$E119+1,$C119,""),"")</f>
        <v/>
      </c>
      <c r="X119" s="34">
        <f>IF(AND(X$5&gt;$E119,X$5&lt;=$F119),IF(X$5=$E119+1,$C119,""),"")</f>
        <v/>
      </c>
      <c r="Y119" s="34">
        <f>IF(AND(Y$5&gt;$E119,Y$5&lt;=$F119),IF(Y$5=$E119+1,$C119,""),"")</f>
        <v/>
      </c>
      <c r="Z119" s="34">
        <f>IF(AND(Z$5&gt;$E119,Z$5&lt;=$F119),IF(Z$5=$E119+1,$C119,""),"")</f>
        <v/>
      </c>
      <c r="AA119" s="34">
        <f>IF(AND(AA$5&gt;$E119,AA$5&lt;=$F119),IF(AA$5=$E119+1,$C119,""),"")</f>
        <v/>
      </c>
      <c r="AB119" s="34">
        <f>IF(AND(AB$5&gt;$E119,AB$5&lt;=$F119),IF(AB$5=$E119+1,$C119,""),"")</f>
        <v/>
      </c>
      <c r="AC119" s="34">
        <f>IF(AND(AC$5&gt;$E119,AC$5&lt;=$F119),IF(AC$5=$E119+1,$C119,""),"")</f>
        <v/>
      </c>
      <c r="AD119" s="34">
        <f>IF(AND(AD$5&gt;$E119,AD$5&lt;=$F119),IF(AD$5=$E119+1,$C119,""),"")</f>
        <v/>
      </c>
      <c r="AE119" s="34">
        <f>IF(AND(AE$5&gt;$E119,AE$5&lt;=$F119),IF(AE$5=$E119+1,$C119,""),"")</f>
        <v/>
      </c>
      <c r="AF119" s="34">
        <f>IF(AND(AF$5&gt;$E119,AF$5&lt;=$F119),IF(AF$5=$E119+1,$C119,""),"")</f>
        <v/>
      </c>
      <c r="AG119" s="34">
        <f>IF(AND(AG$5&gt;$E119,AG$5&lt;=$F119),IF(AG$5=$E119+1,$C119,""),"")</f>
        <v/>
      </c>
      <c r="AH119" s="34">
        <f>IF(AND(AH$5&gt;$E119,AH$5&lt;=$F119),IF(AH$5=$E119+1,$C119,""),"")</f>
        <v/>
      </c>
      <c r="AI119" s="34">
        <f>IF(AND(AI$5&gt;$E119,AI$5&lt;=$F119),IF(AI$5=$E119+1,$C119,""),"")</f>
        <v/>
      </c>
      <c r="AJ119" s="34">
        <f>IF(AND(AJ$5&gt;$E119,AJ$5&lt;=$F119),IF(AJ$5=$E119+1,$C119,""),"")</f>
        <v/>
      </c>
      <c r="AK119" s="34">
        <f>IF(AND(AK$5&gt;$E119,AK$5&lt;=$F119),IF(AK$5=$E119+1,$C119,""),"")</f>
        <v/>
      </c>
      <c r="AL119" s="34">
        <f>IF(AND(AL$5&gt;$E119,AL$5&lt;=$F119),IF(AL$5=$E119+1,$C119,""),"")</f>
        <v/>
      </c>
      <c r="AM119" s="34">
        <f>IF(AND(AM$5&gt;$E119,AM$5&lt;=$F119),IF(AM$5=$E119+1,$C119,""),"")</f>
        <v/>
      </c>
      <c r="AN119" s="34">
        <f>IF(AND(AN$5&gt;$E119,AN$5&lt;=$F119),IF(AN$5=$E119+1,$C119,""),"")</f>
        <v/>
      </c>
      <c r="AO119" s="34">
        <f>IF(AND(AO$5&gt;$E119,AO$5&lt;=$F119),IF(AO$5=$E119+1,$C119,""),"")</f>
        <v/>
      </c>
      <c r="AP119" s="34">
        <f>IF(AND(AP$5&gt;$E119,AP$5&lt;=$F119),IF(AP$5=$E119+1,$C119,""),"")</f>
        <v/>
      </c>
      <c r="AQ119" s="34">
        <f>IF(AND(AQ$5&gt;$E119,AQ$5&lt;=$F119),IF(AQ$5=$E119+1,$C119,""),"")</f>
        <v/>
      </c>
      <c r="AR119" s="34">
        <f>IF(AND(AR$5&gt;$E119,AR$5&lt;=$F119),IF(AR$5=$E119+1,$C119,""),"")</f>
        <v/>
      </c>
      <c r="AS119" s="34">
        <f>IF(AND(AS$5&gt;$E119,AS$5&lt;=$F119),IF(AS$5=$E119+1,$C119,""),"")</f>
        <v/>
      </c>
      <c r="AT119" s="34">
        <f>IF(AND(AT$5&gt;$E119,AT$5&lt;=$F119),IF(AT$5=$E119+1,$C119,""),"")</f>
        <v/>
      </c>
      <c r="AU119" s="34">
        <f>IF(AND(AU$5&gt;$E119,AU$5&lt;=$F119),IF(AU$5=$E119+1,$C119,""),"")</f>
        <v/>
      </c>
      <c r="AV119" s="34">
        <f>IF(AND(AV$5&gt;$E119,AV$5&lt;=$F119),IF(AV$5=$E119+1,$C119,""),"")</f>
        <v/>
      </c>
      <c r="AW119" s="34">
        <f>IF(AND(AW$5&gt;$E119,AW$5&lt;=$F119),IF(AW$5=$E119+1,$C119,""),"")</f>
        <v/>
      </c>
      <c r="AX119" s="34">
        <f>IF(AND(AX$5&gt;$E119,AX$5&lt;=$F119),IF(AX$5=$E119+1,$C119,""),"")</f>
        <v/>
      </c>
      <c r="AY119" s="34">
        <f>IF(AND(AY$5&gt;$E119,AY$5&lt;=$F119),IF(AY$5=$E119+1,$C119,""),"")</f>
        <v/>
      </c>
      <c r="AZ119" s="34">
        <f>IF(AND(AZ$5&gt;$E119,AZ$5&lt;=$F119),IF(AZ$5=$E119+1,$C119,""),"")</f>
        <v/>
      </c>
      <c r="BA119" s="34">
        <f>IF(AND(BA$5&gt;$E119,BA$5&lt;=$F119),IF(BA$5=$E119+1,$C119,""),"")</f>
        <v/>
      </c>
      <c r="BB119" s="34">
        <f>IF(AND(BB$5&gt;$E119,BB$5&lt;=$F119),IF(BB$5=$E119+1,$C119,""),"")</f>
        <v/>
      </c>
      <c r="BC119" s="34">
        <f>IF(AND(BC$5&gt;$E119,BC$5&lt;=$F119),IF(BC$5=$E119+1,$C119,""),"")</f>
        <v/>
      </c>
      <c r="BD119" s="34">
        <f>IF(AND(BD$5&gt;$E119,BD$5&lt;=$F119),IF(BD$5=$E119+1,$C119,""),"")</f>
        <v/>
      </c>
      <c r="BE119" s="34">
        <f>IF(AND(BE$5&gt;$E119,BE$5&lt;=$F119),IF(BE$5=$E119+1,$C119,""),"")</f>
        <v/>
      </c>
      <c r="BF119" s="34">
        <f>IF(AND(BF$5&gt;$E119,BF$5&lt;=$F119),IF(BF$5=$E119+1,$C119,""),"")</f>
        <v/>
      </c>
      <c r="BG119" s="34">
        <f>IF(AND(BG$5&gt;$E119,BG$5&lt;=$F119),IF(BG$5=$E119+1,$C119,""),"")</f>
        <v/>
      </c>
      <c r="BH119" s="34">
        <f>IF(AND(BH$5&gt;$E119,BH$5&lt;=$F119),IF(BH$5=$E119+1,$C119,""),"")</f>
        <v/>
      </c>
      <c r="BI119" s="34">
        <f>IF(AND(BI$5&gt;$E119,BI$5&lt;=$F119),IF(BI$5=$E119+1,$C119,""),"")</f>
        <v/>
      </c>
      <c r="BJ119" s="34">
        <f>IF(AND(BJ$5&gt;$E119,BJ$5&lt;=$F119),IF(BJ$5=$E119+1,$C119,""),"")</f>
        <v/>
      </c>
      <c r="BK119" s="34">
        <f>IF(AND(BK$5&gt;$E119,BK$5&lt;=$F119),IF(BK$5=$E119+1,$C119,""),"")</f>
        <v/>
      </c>
      <c r="BL119" s="34">
        <f>IF(AND(BL$5&gt;$E119,BL$5&lt;=$F119),IF(BL$5=$E119+1,$C119,""),"")</f>
        <v/>
      </c>
      <c r="BM119" s="34">
        <f>IF(AND(BM$5&gt;$E119,BM$5&lt;=$F119),IF(BM$5=$E119+1,$C119,""),"")</f>
        <v/>
      </c>
      <c r="BN119" s="34">
        <f>IF(AND(BN$5&gt;$E119,BN$5&lt;=$F119),IF(BN$5=$E119+1,$C119,""),"")</f>
        <v/>
      </c>
      <c r="BO119" s="34">
        <f>IF(AND(BO$5&gt;$E119,BO$5&lt;=$F119),IF(BO$5=$E119+1,$C119,""),"")</f>
        <v/>
      </c>
      <c r="BP119" s="34">
        <f>IF(AND(BP$5&gt;$E119,BP$5&lt;=$F119),IF(BP$5=$E119+1,$C119,""),"")</f>
        <v/>
      </c>
      <c r="BQ119" s="34">
        <f>IF(AND(BQ$5&gt;$E119,BQ$5&lt;=$F119),IF(BQ$5=$E119+1,$C119,""),"")</f>
        <v/>
      </c>
      <c r="BR119" s="34">
        <f>IF(AND(BR$5&gt;$E119,BR$5&lt;=$F119),IF(BR$5=$E119+1,$C119,""),"")</f>
        <v/>
      </c>
      <c r="BS119" s="34">
        <f>IF(AND(BS$5&gt;$E119,BS$5&lt;=$F119),IF(BS$5=$E119+1,$C119,""),"")</f>
        <v/>
      </c>
      <c r="BT119" s="34">
        <f>IF(AND(BT$5&gt;$E119,BT$5&lt;=$F119),IF(BT$5=$E119+1,$C119,""),"")</f>
        <v/>
      </c>
      <c r="BU119" s="34">
        <f>IF(AND(BU$5&gt;$E119,BU$5&lt;=$F119),IF(BU$5=$E119+1,$C119,""),"")</f>
        <v/>
      </c>
      <c r="BV119" s="34">
        <f>IF(AND(BV$5&gt;$E119,BV$5&lt;=$F119),IF(BV$5=$E119+1,$C119,""),"")</f>
        <v/>
      </c>
      <c r="BW119" s="34">
        <f>IF(AND(BW$5&gt;$E119,BW$5&lt;=$F119),IF(BW$5=$E119+1,$C119,""),"")</f>
        <v/>
      </c>
      <c r="BX119" s="34">
        <f>IF(AND(BX$5&gt;$E119,BX$5&lt;=$F119),IF(BX$5=$E119+1,$C119,""),"")</f>
        <v/>
      </c>
      <c r="BY119" s="34">
        <f>IF(AND(BY$5&gt;$E119,BY$5&lt;=$F119),IF(BY$5=$E119+1,$C119,""),"")</f>
        <v/>
      </c>
      <c r="BZ119" s="34">
        <f>IF(AND(BZ$5&gt;$E119,BZ$5&lt;=$F119),IF(BZ$5=$E119+1,$C119,""),"")</f>
        <v/>
      </c>
      <c r="CA119" s="34">
        <f>IF(AND(CA$5&gt;$E119,CA$5&lt;=$F119),IF(CA$5=$E119+1,$C119,""),"")</f>
        <v/>
      </c>
      <c r="CB119" s="34">
        <f>IF(AND(CB$5&gt;$E119,CB$5&lt;=$F119),IF(CB$5=$E119+1,$C119,""),"")</f>
        <v/>
      </c>
      <c r="CC119" s="34">
        <f>IF(AND(CC$5&gt;$E119,CC$5&lt;=$F119),IF(CC$5=$E119+1,$C119,""),"")</f>
        <v/>
      </c>
      <c r="CD119" s="34">
        <f>IF(AND(CD$5&gt;$E119,CD$5&lt;=$F119),IF(CD$5=$E119+1,$C119,""),"")</f>
        <v/>
      </c>
      <c r="CE119" s="34">
        <f>IF(AND(CE$5&gt;$E119,CE$5&lt;=$F119),IF(CE$5=$E119+1,$C119,""),"")</f>
        <v/>
      </c>
      <c r="CF119" s="34">
        <f>IF(AND(CF$5&gt;$E119,CF$5&lt;=$F119),IF(CF$5=$E119+1,$C119,""),"")</f>
        <v/>
      </c>
      <c r="CG119" s="34">
        <f>IF(AND(CG$5&gt;$E119,CG$5&lt;=$F119),IF(CG$5=$E119+1,$C119,""),"")</f>
        <v/>
      </c>
      <c r="CH119" s="34">
        <f>IF(AND(CH$5&gt;$E119,CH$5&lt;=$F119),IF(CH$5=$E119+1,$C119,""),"")</f>
        <v/>
      </c>
      <c r="CI119" s="34">
        <f>IF(AND(CI$5&gt;$E119,CI$5&lt;=$F119),IF(CI$5=$E119+1,$C119,""),"")</f>
        <v/>
      </c>
      <c r="CJ119" s="34">
        <f>IF(AND(CJ$5&gt;$E119,CJ$5&lt;=$F119),IF(CJ$5=$E119+1,$C119,""),"")</f>
        <v/>
      </c>
      <c r="CK119" s="34">
        <f>IF(AND(CK$5&gt;$E119,CK$5&lt;=$F119),IF(CK$5=$E119+1,$C119,""),"")</f>
        <v/>
      </c>
      <c r="CL119" s="34">
        <f>IF(AND(CL$5&gt;$E119,CL$5&lt;=$F119),IF(CL$5=$E119+1,$C119,""),"")</f>
        <v/>
      </c>
      <c r="CM119" s="34">
        <f>IF(AND(CM$5&gt;$E119,CM$5&lt;=$F119),IF(CM$5=$E119+1,$C119,""),"")</f>
        <v/>
      </c>
      <c r="CN119" s="34">
        <f>IF(AND(CN$5&gt;$E119,CN$5&lt;=$F119),IF(CN$5=$E119+1,$C119,""),"")</f>
        <v/>
      </c>
      <c r="CO119" s="34">
        <f>IF(AND(CO$5&gt;$E119,CO$5&lt;=$F119),IF(CO$5=$E119+1,$C119,""),"")</f>
        <v/>
      </c>
      <c r="CP119" s="34">
        <f>IF(AND(CP$5&gt;$E119,CP$5&lt;=$F119),IF(CP$5=$E119+1,$C119,""),"")</f>
        <v/>
      </c>
      <c r="CQ119" s="34">
        <f>IF(AND(CQ$5&gt;$E119,CQ$5&lt;=$F119),IF(CQ$5=$E119+1,$C119,""),"")</f>
        <v/>
      </c>
      <c r="CR119" s="34">
        <f>IF(AND(CR$5&gt;$E119,CR$5&lt;=$F119),IF(CR$5=$E119+1,$C119,""),"")</f>
        <v/>
      </c>
      <c r="CS119" s="34">
        <f>IF(AND(CS$5&gt;$E119,CS$5&lt;=$F119),IF(CS$5=$E119+1,$C119,""),"")</f>
        <v/>
      </c>
      <c r="CT119" s="34">
        <f>IF(AND(CT$5&gt;$E119,CT$5&lt;=$F119),IF(CT$5=$E119+1,$C119,""),"")</f>
        <v/>
      </c>
      <c r="CU119" s="34">
        <f>IF(AND(CU$5&gt;$E119,CU$5&lt;=$F119),IF(CU$5=$E119+1,$C119,""),"")</f>
        <v/>
      </c>
      <c r="CV119" s="34">
        <f>IF(AND(CV$5&gt;$E119,CV$5&lt;=$F119),IF(CV$5=$E119+1,$C119,""),"")</f>
        <v/>
      </c>
      <c r="CW119" s="34">
        <f>IF(AND(CW$5&gt;$E119,CW$5&lt;=$F119),IF(CW$5=$E119+1,$C119,""),"")</f>
        <v/>
      </c>
      <c r="CX119" s="34">
        <f>IF(AND(CX$5&gt;$E119,CX$5&lt;=$F119),IF(CX$5=$E119+1,$C119,""),"")</f>
        <v/>
      </c>
      <c r="CY119" s="34">
        <f>IF(AND(CY$5&gt;$E119,CY$5&lt;=$F119),IF(CY$5=$E119+1,$C119,""),"")</f>
        <v/>
      </c>
      <c r="CZ119" s="34">
        <f>IF(AND(CZ$5&gt;$E119,CZ$5&lt;=$F119),IF(CZ$5=$E119+1,$C119,""),"")</f>
        <v/>
      </c>
      <c r="DA119" s="34">
        <f>IF(AND(DA$5&gt;$E119,DA$5&lt;=$F119),IF(DA$5=$E119+1,$C119,""),"")</f>
        <v/>
      </c>
      <c r="DB119" s="34">
        <f>IF(AND(DB$5&gt;$E119,DB$5&lt;=$F119),IF(DB$5=$E119+1,$C119,""),"")</f>
        <v/>
      </c>
      <c r="DC119" s="34">
        <f>IF(AND(DC$5&gt;$E119,DC$5&lt;=$F119),IF(DC$5=$E119+1,$C119,""),"")</f>
        <v/>
      </c>
      <c r="DD119" s="34">
        <f>IF(AND(DD$5&gt;$E119,DD$5&lt;=$F119),IF(DD$5=$E119+1,$C119,""),"")</f>
        <v/>
      </c>
      <c r="DE119" s="34">
        <f>IF(AND(DE$5&gt;$E119,DE$5&lt;=$F119),IF(DE$5=$E119+1,$C119,""),"")</f>
        <v/>
      </c>
      <c r="DF119" s="34">
        <f>IF(AND(DF$5&gt;$E119,DF$5&lt;=$F119),IF(DF$5=$E119+1,$C119,""),"")</f>
        <v/>
      </c>
      <c r="DG119" s="34">
        <f>IF(AND(DG$5&gt;$E119,DG$5&lt;=$F119),IF(DG$5=$E119+1,$C119,""),"")</f>
        <v/>
      </c>
      <c r="DH119" s="34">
        <f>IF(AND(DH$5&gt;$E119,DH$5&lt;=$F119),IF(DH$5=$E119+1,$C119,""),"")</f>
        <v/>
      </c>
      <c r="DI119" s="34">
        <f>IF(AND(DI$5&gt;$E119,DI$5&lt;=$F119),IF(DI$5=$E119+1,$C119,""),"")</f>
        <v/>
      </c>
      <c r="DJ119" s="34">
        <f>IF(AND(DJ$5&gt;$E119,DJ$5&lt;=$F119),IF(DJ$5=$E119+1,$C119,""),"")</f>
        <v/>
      </c>
      <c r="DK119" s="34">
        <f>IF(AND(DK$5&gt;$E119,DK$5&lt;=$F119),IF(DK$5=$E119+1,$C119,""),"")</f>
        <v/>
      </c>
      <c r="DL119" s="34">
        <f>IF(AND(DL$5&gt;$E119,DL$5&lt;=$F119),IF(DL$5=$E119+1,$C119,""),"")</f>
        <v/>
      </c>
      <c r="DM119" s="34">
        <f>IF(AND(DM$5&gt;$E119,DM$5&lt;=$F119),IF(DM$5=$E119+1,$C119,""),"")</f>
        <v/>
      </c>
      <c r="DN119" s="34">
        <f>IF(AND(DN$5&gt;$E119,DN$5&lt;=$F119),IF(DN$5=$E119+1,$C119,""),"")</f>
        <v/>
      </c>
      <c r="DO119" s="34">
        <f>IF(AND(DO$5&gt;$E119,DO$5&lt;=$F119),IF(DO$5=$E119+1,$C119,""),"")</f>
        <v/>
      </c>
      <c r="DP119" s="34">
        <f>IF(AND(DP$5&gt;$E119,DP$5&lt;=$F119),IF(DP$5=$E119+1,$C119,""),"")</f>
        <v/>
      </c>
      <c r="DQ119" s="34">
        <f>IF(AND(DQ$5&gt;$E119,DQ$5&lt;=$F119),IF(DQ$5=$E119+1,$C119,""),"")</f>
        <v/>
      </c>
      <c r="DR119" s="34">
        <f>IF(AND(DR$5&gt;$E119,DR$5&lt;=$F119),IF(DR$5=$E119+1,$C119,""),"")</f>
        <v/>
      </c>
      <c r="DS119" s="34">
        <f>IF(AND(DS$5&gt;$E119,DS$5&lt;=$F119),IF(DS$5=$E119+1,$C119,""),"")</f>
        <v/>
      </c>
      <c r="DT119" s="34">
        <f>IF(AND(DT$5&gt;$E119,DT$5&lt;=$F119),IF(DT$5=$E119+1,$C119,""),"")</f>
        <v/>
      </c>
      <c r="DU119" s="34">
        <f>IF(AND(DU$5&gt;$E119,DU$5&lt;=$F119),IF(DU$5=$E119+1,$C119,""),"")</f>
        <v/>
      </c>
      <c r="DV119" s="34">
        <f>IF(AND(DV$5&gt;$E119,DV$5&lt;=$F119),IF(DV$5=$E119+1,$C119,""),"")</f>
        <v/>
      </c>
      <c r="DW119" s="34">
        <f>IF(AND(DW$5&gt;$E119,DW$5&lt;=$F119),IF(DW$5=$E119+1,$C119,""),"")</f>
        <v/>
      </c>
      <c r="DX119" s="34">
        <f>IF(AND(DX$5&gt;$E119,DX$5&lt;=$F119),IF(DX$5=$E119+1,$C119,""),"")</f>
        <v/>
      </c>
      <c r="DY119" s="34">
        <f>IF(AND(DY$5&gt;$E119,DY$5&lt;=$F119),IF(DY$5=$E119+1,$C119,""),"")</f>
        <v/>
      </c>
      <c r="DZ119" s="34">
        <f>IF(AND(DZ$5&gt;$E119,DZ$5&lt;=$F119),IF(DZ$5=$E119+1,$C119,""),"")</f>
        <v/>
      </c>
      <c r="EA119" s="34">
        <f>IF(AND(EA$5&gt;$E119,EA$5&lt;=$F119),IF(EA$5=$E119+1,$C119,""),"")</f>
        <v/>
      </c>
      <c r="EB119" s="34">
        <f>IF(AND(EB$5&gt;$E119,EB$5&lt;=$F119),IF(EB$5=$E119+1,$C119,""),"")</f>
        <v/>
      </c>
      <c r="EC119" s="34">
        <f>IF(AND(EC$5&gt;$E119,EC$5&lt;=$F119),IF(EC$5=$E119+1,$C119,""),"")</f>
        <v/>
      </c>
      <c r="ED119" s="34">
        <f>IF(AND(ED$5&gt;$E119,ED$5&lt;=$F119),IF(ED$5=$E119+1,$C119,""),"")</f>
        <v/>
      </c>
      <c r="EE119" s="34">
        <f>IF(AND(EE$5&gt;$E119,EE$5&lt;=$F119),IF(EE$5=$E119+1,$C119,""),"")</f>
        <v/>
      </c>
      <c r="EF119" s="34">
        <f>IF(AND(EF$5&gt;$E119,EF$5&lt;=$F119),IF(EF$5=$E119+1,$C119,""),"")</f>
        <v/>
      </c>
      <c r="EG119" s="34">
        <f>IF(AND(EG$5&gt;$E119,EG$5&lt;=$F119),IF(EG$5=$E119+1,$C119,""),"")</f>
        <v/>
      </c>
    </row>
    <row r="120">
      <c r="A120" s="32">
        <f>Plan!A110</f>
        <v/>
      </c>
      <c r="B120" s="33">
        <f>Plan!C110</f>
        <v/>
      </c>
      <c r="C120" s="16">
        <f>Plan!D110</f>
        <v/>
      </c>
      <c r="D120" s="16">
        <f>Plan!I110</f>
        <v/>
      </c>
      <c r="E120" s="16">
        <f>Plan!K110</f>
        <v/>
      </c>
      <c r="F120" s="16">
        <f>Plan!L110</f>
        <v/>
      </c>
      <c r="G120" s="16">
        <f>Plan!O110</f>
        <v/>
      </c>
      <c r="H120" s="34">
        <f>IF(AND(H$5&gt;$E120,H$5&lt;=$F120),IF(H$5=$E120+1,$C120,""),"")</f>
        <v/>
      </c>
      <c r="I120" s="34">
        <f>IF(AND(I$5&gt;$E120,I$5&lt;=$F120),IF(I$5=$E120+1,$C120,""),"")</f>
        <v/>
      </c>
      <c r="J120" s="34">
        <f>IF(AND(J$5&gt;$E120,J$5&lt;=$F120),IF(J$5=$E120+1,$C120,""),"")</f>
        <v/>
      </c>
      <c r="K120" s="34">
        <f>IF(AND(K$5&gt;$E120,K$5&lt;=$F120),IF(K$5=$E120+1,$C120,""),"")</f>
        <v/>
      </c>
      <c r="L120" s="34">
        <f>IF(AND(L$5&gt;$E120,L$5&lt;=$F120),IF(L$5=$E120+1,$C120,""),"")</f>
        <v/>
      </c>
      <c r="M120" s="34">
        <f>IF(AND(M$5&gt;$E120,M$5&lt;=$F120),IF(M$5=$E120+1,$C120,""),"")</f>
        <v/>
      </c>
      <c r="N120" s="34">
        <f>IF(AND(N$5&gt;$E120,N$5&lt;=$F120),IF(N$5=$E120+1,$C120,""),"")</f>
        <v/>
      </c>
      <c r="O120" s="34">
        <f>IF(AND(O$5&gt;$E120,O$5&lt;=$F120),IF(O$5=$E120+1,$C120,""),"")</f>
        <v/>
      </c>
      <c r="P120" s="34">
        <f>IF(AND(P$5&gt;$E120,P$5&lt;=$F120),IF(P$5=$E120+1,$C120,""),"")</f>
        <v/>
      </c>
      <c r="Q120" s="34">
        <f>IF(AND(Q$5&gt;$E120,Q$5&lt;=$F120),IF(Q$5=$E120+1,$C120,""),"")</f>
        <v/>
      </c>
      <c r="R120" s="34">
        <f>IF(AND(R$5&gt;$E120,R$5&lt;=$F120),IF(R$5=$E120+1,$C120,""),"")</f>
        <v/>
      </c>
      <c r="S120" s="34">
        <f>IF(AND(S$5&gt;$E120,S$5&lt;=$F120),IF(S$5=$E120+1,$C120,""),"")</f>
        <v/>
      </c>
      <c r="T120" s="34">
        <f>IF(AND(T$5&gt;$E120,T$5&lt;=$F120),IF(T$5=$E120+1,$C120,""),"")</f>
        <v/>
      </c>
      <c r="U120" s="34">
        <f>IF(AND(U$5&gt;$E120,U$5&lt;=$F120),IF(U$5=$E120+1,$C120,""),"")</f>
        <v/>
      </c>
      <c r="V120" s="34">
        <f>IF(AND(V$5&gt;$E120,V$5&lt;=$F120),IF(V$5=$E120+1,$C120,""),"")</f>
        <v/>
      </c>
      <c r="W120" s="34">
        <f>IF(AND(W$5&gt;$E120,W$5&lt;=$F120),IF(W$5=$E120+1,$C120,""),"")</f>
        <v/>
      </c>
      <c r="X120" s="34">
        <f>IF(AND(X$5&gt;$E120,X$5&lt;=$F120),IF(X$5=$E120+1,$C120,""),"")</f>
        <v/>
      </c>
      <c r="Y120" s="34">
        <f>IF(AND(Y$5&gt;$E120,Y$5&lt;=$F120),IF(Y$5=$E120+1,$C120,""),"")</f>
        <v/>
      </c>
      <c r="Z120" s="34">
        <f>IF(AND(Z$5&gt;$E120,Z$5&lt;=$F120),IF(Z$5=$E120+1,$C120,""),"")</f>
        <v/>
      </c>
      <c r="AA120" s="34">
        <f>IF(AND(AA$5&gt;$E120,AA$5&lt;=$F120),IF(AA$5=$E120+1,$C120,""),"")</f>
        <v/>
      </c>
      <c r="AB120" s="34">
        <f>IF(AND(AB$5&gt;$E120,AB$5&lt;=$F120),IF(AB$5=$E120+1,$C120,""),"")</f>
        <v/>
      </c>
      <c r="AC120" s="34">
        <f>IF(AND(AC$5&gt;$E120,AC$5&lt;=$F120),IF(AC$5=$E120+1,$C120,""),"")</f>
        <v/>
      </c>
      <c r="AD120" s="34">
        <f>IF(AND(AD$5&gt;$E120,AD$5&lt;=$F120),IF(AD$5=$E120+1,$C120,""),"")</f>
        <v/>
      </c>
      <c r="AE120" s="34">
        <f>IF(AND(AE$5&gt;$E120,AE$5&lt;=$F120),IF(AE$5=$E120+1,$C120,""),"")</f>
        <v/>
      </c>
      <c r="AF120" s="34">
        <f>IF(AND(AF$5&gt;$E120,AF$5&lt;=$F120),IF(AF$5=$E120+1,$C120,""),"")</f>
        <v/>
      </c>
      <c r="AG120" s="34">
        <f>IF(AND(AG$5&gt;$E120,AG$5&lt;=$F120),IF(AG$5=$E120+1,$C120,""),"")</f>
        <v/>
      </c>
      <c r="AH120" s="34">
        <f>IF(AND(AH$5&gt;$E120,AH$5&lt;=$F120),IF(AH$5=$E120+1,$C120,""),"")</f>
        <v/>
      </c>
      <c r="AI120" s="34">
        <f>IF(AND(AI$5&gt;$E120,AI$5&lt;=$F120),IF(AI$5=$E120+1,$C120,""),"")</f>
        <v/>
      </c>
      <c r="AJ120" s="34">
        <f>IF(AND(AJ$5&gt;$E120,AJ$5&lt;=$F120),IF(AJ$5=$E120+1,$C120,""),"")</f>
        <v/>
      </c>
      <c r="AK120" s="34">
        <f>IF(AND(AK$5&gt;$E120,AK$5&lt;=$F120),IF(AK$5=$E120+1,$C120,""),"")</f>
        <v/>
      </c>
      <c r="AL120" s="34">
        <f>IF(AND(AL$5&gt;$E120,AL$5&lt;=$F120),IF(AL$5=$E120+1,$C120,""),"")</f>
        <v/>
      </c>
      <c r="AM120" s="34">
        <f>IF(AND(AM$5&gt;$E120,AM$5&lt;=$F120),IF(AM$5=$E120+1,$C120,""),"")</f>
        <v/>
      </c>
      <c r="AN120" s="34">
        <f>IF(AND(AN$5&gt;$E120,AN$5&lt;=$F120),IF(AN$5=$E120+1,$C120,""),"")</f>
        <v/>
      </c>
      <c r="AO120" s="34">
        <f>IF(AND(AO$5&gt;$E120,AO$5&lt;=$F120),IF(AO$5=$E120+1,$C120,""),"")</f>
        <v/>
      </c>
      <c r="AP120" s="34">
        <f>IF(AND(AP$5&gt;$E120,AP$5&lt;=$F120),IF(AP$5=$E120+1,$C120,""),"")</f>
        <v/>
      </c>
      <c r="AQ120" s="34">
        <f>IF(AND(AQ$5&gt;$E120,AQ$5&lt;=$F120),IF(AQ$5=$E120+1,$C120,""),"")</f>
        <v/>
      </c>
      <c r="AR120" s="34">
        <f>IF(AND(AR$5&gt;$E120,AR$5&lt;=$F120),IF(AR$5=$E120+1,$C120,""),"")</f>
        <v/>
      </c>
      <c r="AS120" s="34">
        <f>IF(AND(AS$5&gt;$E120,AS$5&lt;=$F120),IF(AS$5=$E120+1,$C120,""),"")</f>
        <v/>
      </c>
      <c r="AT120" s="34">
        <f>IF(AND(AT$5&gt;$E120,AT$5&lt;=$F120),IF(AT$5=$E120+1,$C120,""),"")</f>
        <v/>
      </c>
      <c r="AU120" s="34">
        <f>IF(AND(AU$5&gt;$E120,AU$5&lt;=$F120),IF(AU$5=$E120+1,$C120,""),"")</f>
        <v/>
      </c>
      <c r="AV120" s="34">
        <f>IF(AND(AV$5&gt;$E120,AV$5&lt;=$F120),IF(AV$5=$E120+1,$C120,""),"")</f>
        <v/>
      </c>
      <c r="AW120" s="34">
        <f>IF(AND(AW$5&gt;$E120,AW$5&lt;=$F120),IF(AW$5=$E120+1,$C120,""),"")</f>
        <v/>
      </c>
      <c r="AX120" s="34">
        <f>IF(AND(AX$5&gt;$E120,AX$5&lt;=$F120),IF(AX$5=$E120+1,$C120,""),"")</f>
        <v/>
      </c>
      <c r="AY120" s="34">
        <f>IF(AND(AY$5&gt;$E120,AY$5&lt;=$F120),IF(AY$5=$E120+1,$C120,""),"")</f>
        <v/>
      </c>
      <c r="AZ120" s="34">
        <f>IF(AND(AZ$5&gt;$E120,AZ$5&lt;=$F120),IF(AZ$5=$E120+1,$C120,""),"")</f>
        <v/>
      </c>
      <c r="BA120" s="34">
        <f>IF(AND(BA$5&gt;$E120,BA$5&lt;=$F120),IF(BA$5=$E120+1,$C120,""),"")</f>
        <v/>
      </c>
      <c r="BB120" s="34">
        <f>IF(AND(BB$5&gt;$E120,BB$5&lt;=$F120),IF(BB$5=$E120+1,$C120,""),"")</f>
        <v/>
      </c>
      <c r="BC120" s="34">
        <f>IF(AND(BC$5&gt;$E120,BC$5&lt;=$F120),IF(BC$5=$E120+1,$C120,""),"")</f>
        <v/>
      </c>
      <c r="BD120" s="34">
        <f>IF(AND(BD$5&gt;$E120,BD$5&lt;=$F120),IF(BD$5=$E120+1,$C120,""),"")</f>
        <v/>
      </c>
      <c r="BE120" s="34">
        <f>IF(AND(BE$5&gt;$E120,BE$5&lt;=$F120),IF(BE$5=$E120+1,$C120,""),"")</f>
        <v/>
      </c>
      <c r="BF120" s="34">
        <f>IF(AND(BF$5&gt;$E120,BF$5&lt;=$F120),IF(BF$5=$E120+1,$C120,""),"")</f>
        <v/>
      </c>
      <c r="BG120" s="34">
        <f>IF(AND(BG$5&gt;$E120,BG$5&lt;=$F120),IF(BG$5=$E120+1,$C120,""),"")</f>
        <v/>
      </c>
      <c r="BH120" s="34">
        <f>IF(AND(BH$5&gt;$E120,BH$5&lt;=$F120),IF(BH$5=$E120+1,$C120,""),"")</f>
        <v/>
      </c>
      <c r="BI120" s="34">
        <f>IF(AND(BI$5&gt;$E120,BI$5&lt;=$F120),IF(BI$5=$E120+1,$C120,""),"")</f>
        <v/>
      </c>
      <c r="BJ120" s="34">
        <f>IF(AND(BJ$5&gt;$E120,BJ$5&lt;=$F120),IF(BJ$5=$E120+1,$C120,""),"")</f>
        <v/>
      </c>
      <c r="BK120" s="34">
        <f>IF(AND(BK$5&gt;$E120,BK$5&lt;=$F120),IF(BK$5=$E120+1,$C120,""),"")</f>
        <v/>
      </c>
      <c r="BL120" s="34">
        <f>IF(AND(BL$5&gt;$E120,BL$5&lt;=$F120),IF(BL$5=$E120+1,$C120,""),"")</f>
        <v/>
      </c>
      <c r="BM120" s="34">
        <f>IF(AND(BM$5&gt;$E120,BM$5&lt;=$F120),IF(BM$5=$E120+1,$C120,""),"")</f>
        <v/>
      </c>
      <c r="BN120" s="34">
        <f>IF(AND(BN$5&gt;$E120,BN$5&lt;=$F120),IF(BN$5=$E120+1,$C120,""),"")</f>
        <v/>
      </c>
      <c r="BO120" s="34">
        <f>IF(AND(BO$5&gt;$E120,BO$5&lt;=$F120),IF(BO$5=$E120+1,$C120,""),"")</f>
        <v/>
      </c>
      <c r="BP120" s="34">
        <f>IF(AND(BP$5&gt;$E120,BP$5&lt;=$F120),IF(BP$5=$E120+1,$C120,""),"")</f>
        <v/>
      </c>
      <c r="BQ120" s="34">
        <f>IF(AND(BQ$5&gt;$E120,BQ$5&lt;=$F120),IF(BQ$5=$E120+1,$C120,""),"")</f>
        <v/>
      </c>
      <c r="BR120" s="34">
        <f>IF(AND(BR$5&gt;$E120,BR$5&lt;=$F120),IF(BR$5=$E120+1,$C120,""),"")</f>
        <v/>
      </c>
      <c r="BS120" s="34">
        <f>IF(AND(BS$5&gt;$E120,BS$5&lt;=$F120),IF(BS$5=$E120+1,$C120,""),"")</f>
        <v/>
      </c>
      <c r="BT120" s="34">
        <f>IF(AND(BT$5&gt;$E120,BT$5&lt;=$F120),IF(BT$5=$E120+1,$C120,""),"")</f>
        <v/>
      </c>
      <c r="BU120" s="34">
        <f>IF(AND(BU$5&gt;$E120,BU$5&lt;=$F120),IF(BU$5=$E120+1,$C120,""),"")</f>
        <v/>
      </c>
      <c r="BV120" s="34">
        <f>IF(AND(BV$5&gt;$E120,BV$5&lt;=$F120),IF(BV$5=$E120+1,$C120,""),"")</f>
        <v/>
      </c>
      <c r="BW120" s="34">
        <f>IF(AND(BW$5&gt;$E120,BW$5&lt;=$F120),IF(BW$5=$E120+1,$C120,""),"")</f>
        <v/>
      </c>
      <c r="BX120" s="34">
        <f>IF(AND(BX$5&gt;$E120,BX$5&lt;=$F120),IF(BX$5=$E120+1,$C120,""),"")</f>
        <v/>
      </c>
      <c r="BY120" s="34">
        <f>IF(AND(BY$5&gt;$E120,BY$5&lt;=$F120),IF(BY$5=$E120+1,$C120,""),"")</f>
        <v/>
      </c>
      <c r="BZ120" s="34">
        <f>IF(AND(BZ$5&gt;$E120,BZ$5&lt;=$F120),IF(BZ$5=$E120+1,$C120,""),"")</f>
        <v/>
      </c>
      <c r="CA120" s="34">
        <f>IF(AND(CA$5&gt;$E120,CA$5&lt;=$F120),IF(CA$5=$E120+1,$C120,""),"")</f>
        <v/>
      </c>
      <c r="CB120" s="34">
        <f>IF(AND(CB$5&gt;$E120,CB$5&lt;=$F120),IF(CB$5=$E120+1,$C120,""),"")</f>
        <v/>
      </c>
      <c r="CC120" s="34">
        <f>IF(AND(CC$5&gt;$E120,CC$5&lt;=$F120),IF(CC$5=$E120+1,$C120,""),"")</f>
        <v/>
      </c>
      <c r="CD120" s="34">
        <f>IF(AND(CD$5&gt;$E120,CD$5&lt;=$F120),IF(CD$5=$E120+1,$C120,""),"")</f>
        <v/>
      </c>
      <c r="CE120" s="34">
        <f>IF(AND(CE$5&gt;$E120,CE$5&lt;=$F120),IF(CE$5=$E120+1,$C120,""),"")</f>
        <v/>
      </c>
      <c r="CF120" s="34">
        <f>IF(AND(CF$5&gt;$E120,CF$5&lt;=$F120),IF(CF$5=$E120+1,$C120,""),"")</f>
        <v/>
      </c>
      <c r="CG120" s="34">
        <f>IF(AND(CG$5&gt;$E120,CG$5&lt;=$F120),IF(CG$5=$E120+1,$C120,""),"")</f>
        <v/>
      </c>
      <c r="CH120" s="34">
        <f>IF(AND(CH$5&gt;$E120,CH$5&lt;=$F120),IF(CH$5=$E120+1,$C120,""),"")</f>
        <v/>
      </c>
      <c r="CI120" s="34">
        <f>IF(AND(CI$5&gt;$E120,CI$5&lt;=$F120),IF(CI$5=$E120+1,$C120,""),"")</f>
        <v/>
      </c>
      <c r="CJ120" s="34">
        <f>IF(AND(CJ$5&gt;$E120,CJ$5&lt;=$F120),IF(CJ$5=$E120+1,$C120,""),"")</f>
        <v/>
      </c>
      <c r="CK120" s="34">
        <f>IF(AND(CK$5&gt;$E120,CK$5&lt;=$F120),IF(CK$5=$E120+1,$C120,""),"")</f>
        <v/>
      </c>
      <c r="CL120" s="34">
        <f>IF(AND(CL$5&gt;$E120,CL$5&lt;=$F120),IF(CL$5=$E120+1,$C120,""),"")</f>
        <v/>
      </c>
      <c r="CM120" s="34">
        <f>IF(AND(CM$5&gt;$E120,CM$5&lt;=$F120),IF(CM$5=$E120+1,$C120,""),"")</f>
        <v/>
      </c>
      <c r="CN120" s="34">
        <f>IF(AND(CN$5&gt;$E120,CN$5&lt;=$F120),IF(CN$5=$E120+1,$C120,""),"")</f>
        <v/>
      </c>
      <c r="CO120" s="34">
        <f>IF(AND(CO$5&gt;$E120,CO$5&lt;=$F120),IF(CO$5=$E120+1,$C120,""),"")</f>
        <v/>
      </c>
      <c r="CP120" s="34">
        <f>IF(AND(CP$5&gt;$E120,CP$5&lt;=$F120),IF(CP$5=$E120+1,$C120,""),"")</f>
        <v/>
      </c>
      <c r="CQ120" s="34">
        <f>IF(AND(CQ$5&gt;$E120,CQ$5&lt;=$F120),IF(CQ$5=$E120+1,$C120,""),"")</f>
        <v/>
      </c>
      <c r="CR120" s="34">
        <f>IF(AND(CR$5&gt;$E120,CR$5&lt;=$F120),IF(CR$5=$E120+1,$C120,""),"")</f>
        <v/>
      </c>
      <c r="CS120" s="34">
        <f>IF(AND(CS$5&gt;$E120,CS$5&lt;=$F120),IF(CS$5=$E120+1,$C120,""),"")</f>
        <v/>
      </c>
      <c r="CT120" s="34">
        <f>IF(AND(CT$5&gt;$E120,CT$5&lt;=$F120),IF(CT$5=$E120+1,$C120,""),"")</f>
        <v/>
      </c>
      <c r="CU120" s="34">
        <f>IF(AND(CU$5&gt;$E120,CU$5&lt;=$F120),IF(CU$5=$E120+1,$C120,""),"")</f>
        <v/>
      </c>
      <c r="CV120" s="34">
        <f>IF(AND(CV$5&gt;$E120,CV$5&lt;=$F120),IF(CV$5=$E120+1,$C120,""),"")</f>
        <v/>
      </c>
      <c r="CW120" s="34">
        <f>IF(AND(CW$5&gt;$E120,CW$5&lt;=$F120),IF(CW$5=$E120+1,$C120,""),"")</f>
        <v/>
      </c>
      <c r="CX120" s="34">
        <f>IF(AND(CX$5&gt;$E120,CX$5&lt;=$F120),IF(CX$5=$E120+1,$C120,""),"")</f>
        <v/>
      </c>
      <c r="CY120" s="34">
        <f>IF(AND(CY$5&gt;$E120,CY$5&lt;=$F120),IF(CY$5=$E120+1,$C120,""),"")</f>
        <v/>
      </c>
      <c r="CZ120" s="34">
        <f>IF(AND(CZ$5&gt;$E120,CZ$5&lt;=$F120),IF(CZ$5=$E120+1,$C120,""),"")</f>
        <v/>
      </c>
      <c r="DA120" s="34">
        <f>IF(AND(DA$5&gt;$E120,DA$5&lt;=$F120),IF(DA$5=$E120+1,$C120,""),"")</f>
        <v/>
      </c>
      <c r="DB120" s="34">
        <f>IF(AND(DB$5&gt;$E120,DB$5&lt;=$F120),IF(DB$5=$E120+1,$C120,""),"")</f>
        <v/>
      </c>
      <c r="DC120" s="34">
        <f>IF(AND(DC$5&gt;$E120,DC$5&lt;=$F120),IF(DC$5=$E120+1,$C120,""),"")</f>
        <v/>
      </c>
      <c r="DD120" s="34">
        <f>IF(AND(DD$5&gt;$E120,DD$5&lt;=$F120),IF(DD$5=$E120+1,$C120,""),"")</f>
        <v/>
      </c>
      <c r="DE120" s="34">
        <f>IF(AND(DE$5&gt;$E120,DE$5&lt;=$F120),IF(DE$5=$E120+1,$C120,""),"")</f>
        <v/>
      </c>
      <c r="DF120" s="34">
        <f>IF(AND(DF$5&gt;$E120,DF$5&lt;=$F120),IF(DF$5=$E120+1,$C120,""),"")</f>
        <v/>
      </c>
      <c r="DG120" s="34">
        <f>IF(AND(DG$5&gt;$E120,DG$5&lt;=$F120),IF(DG$5=$E120+1,$C120,""),"")</f>
        <v/>
      </c>
      <c r="DH120" s="34">
        <f>IF(AND(DH$5&gt;$E120,DH$5&lt;=$F120),IF(DH$5=$E120+1,$C120,""),"")</f>
        <v/>
      </c>
      <c r="DI120" s="34">
        <f>IF(AND(DI$5&gt;$E120,DI$5&lt;=$F120),IF(DI$5=$E120+1,$C120,""),"")</f>
        <v/>
      </c>
      <c r="DJ120" s="34">
        <f>IF(AND(DJ$5&gt;$E120,DJ$5&lt;=$F120),IF(DJ$5=$E120+1,$C120,""),"")</f>
        <v/>
      </c>
      <c r="DK120" s="34">
        <f>IF(AND(DK$5&gt;$E120,DK$5&lt;=$F120),IF(DK$5=$E120+1,$C120,""),"")</f>
        <v/>
      </c>
      <c r="DL120" s="34">
        <f>IF(AND(DL$5&gt;$E120,DL$5&lt;=$F120),IF(DL$5=$E120+1,$C120,""),"")</f>
        <v/>
      </c>
      <c r="DM120" s="34">
        <f>IF(AND(DM$5&gt;$E120,DM$5&lt;=$F120),IF(DM$5=$E120+1,$C120,""),"")</f>
        <v/>
      </c>
      <c r="DN120" s="34">
        <f>IF(AND(DN$5&gt;$E120,DN$5&lt;=$F120),IF(DN$5=$E120+1,$C120,""),"")</f>
        <v/>
      </c>
      <c r="DO120" s="34">
        <f>IF(AND(DO$5&gt;$E120,DO$5&lt;=$F120),IF(DO$5=$E120+1,$C120,""),"")</f>
        <v/>
      </c>
      <c r="DP120" s="34">
        <f>IF(AND(DP$5&gt;$E120,DP$5&lt;=$F120),IF(DP$5=$E120+1,$C120,""),"")</f>
        <v/>
      </c>
      <c r="DQ120" s="34">
        <f>IF(AND(DQ$5&gt;$E120,DQ$5&lt;=$F120),IF(DQ$5=$E120+1,$C120,""),"")</f>
        <v/>
      </c>
      <c r="DR120" s="34">
        <f>IF(AND(DR$5&gt;$E120,DR$5&lt;=$F120),IF(DR$5=$E120+1,$C120,""),"")</f>
        <v/>
      </c>
      <c r="DS120" s="34">
        <f>IF(AND(DS$5&gt;$E120,DS$5&lt;=$F120),IF(DS$5=$E120+1,$C120,""),"")</f>
        <v/>
      </c>
      <c r="DT120" s="34">
        <f>IF(AND(DT$5&gt;$E120,DT$5&lt;=$F120),IF(DT$5=$E120+1,$C120,""),"")</f>
        <v/>
      </c>
      <c r="DU120" s="34">
        <f>IF(AND(DU$5&gt;$E120,DU$5&lt;=$F120),IF(DU$5=$E120+1,$C120,""),"")</f>
        <v/>
      </c>
      <c r="DV120" s="34">
        <f>IF(AND(DV$5&gt;$E120,DV$5&lt;=$F120),IF(DV$5=$E120+1,$C120,""),"")</f>
        <v/>
      </c>
      <c r="DW120" s="34">
        <f>IF(AND(DW$5&gt;$E120,DW$5&lt;=$F120),IF(DW$5=$E120+1,$C120,""),"")</f>
        <v/>
      </c>
      <c r="DX120" s="34">
        <f>IF(AND(DX$5&gt;$E120,DX$5&lt;=$F120),IF(DX$5=$E120+1,$C120,""),"")</f>
        <v/>
      </c>
      <c r="DY120" s="34">
        <f>IF(AND(DY$5&gt;$E120,DY$5&lt;=$F120),IF(DY$5=$E120+1,$C120,""),"")</f>
        <v/>
      </c>
      <c r="DZ120" s="34">
        <f>IF(AND(DZ$5&gt;$E120,DZ$5&lt;=$F120),IF(DZ$5=$E120+1,$C120,""),"")</f>
        <v/>
      </c>
      <c r="EA120" s="34">
        <f>IF(AND(EA$5&gt;$E120,EA$5&lt;=$F120),IF(EA$5=$E120+1,$C120,""),"")</f>
        <v/>
      </c>
      <c r="EB120" s="34">
        <f>IF(AND(EB$5&gt;$E120,EB$5&lt;=$F120),IF(EB$5=$E120+1,$C120,""),"")</f>
        <v/>
      </c>
      <c r="EC120" s="34">
        <f>IF(AND(EC$5&gt;$E120,EC$5&lt;=$F120),IF(EC$5=$E120+1,$C120,""),"")</f>
        <v/>
      </c>
      <c r="ED120" s="34">
        <f>IF(AND(ED$5&gt;$E120,ED$5&lt;=$F120),IF(ED$5=$E120+1,$C120,""),"")</f>
        <v/>
      </c>
      <c r="EE120" s="34">
        <f>IF(AND(EE$5&gt;$E120,EE$5&lt;=$F120),IF(EE$5=$E120+1,$C120,""),"")</f>
        <v/>
      </c>
      <c r="EF120" s="34">
        <f>IF(AND(EF$5&gt;$E120,EF$5&lt;=$F120),IF(EF$5=$E120+1,$C120,""),"")</f>
        <v/>
      </c>
      <c r="EG120" s="34">
        <f>IF(AND(EG$5&gt;$E120,EG$5&lt;=$F120),IF(EG$5=$E120+1,$C120,""),"")</f>
        <v/>
      </c>
    </row>
    <row r="121">
      <c r="A121" s="32">
        <f>Plan!A111</f>
        <v/>
      </c>
      <c r="B121" s="33">
        <f>Plan!C111</f>
        <v/>
      </c>
      <c r="C121" s="16">
        <f>Plan!D111</f>
        <v/>
      </c>
      <c r="D121" s="16">
        <f>Plan!I111</f>
        <v/>
      </c>
      <c r="E121" s="16">
        <f>Plan!K111</f>
        <v/>
      </c>
      <c r="F121" s="16">
        <f>Plan!L111</f>
        <v/>
      </c>
      <c r="G121" s="16">
        <f>Plan!O111</f>
        <v/>
      </c>
      <c r="H121" s="34">
        <f>IF(AND(H$5&gt;$E121,H$5&lt;=$F121),IF(H$5=$E121+1,$C121,""),"")</f>
        <v/>
      </c>
      <c r="I121" s="34">
        <f>IF(AND(I$5&gt;$E121,I$5&lt;=$F121),IF(I$5=$E121+1,$C121,""),"")</f>
        <v/>
      </c>
      <c r="J121" s="34">
        <f>IF(AND(J$5&gt;$E121,J$5&lt;=$F121),IF(J$5=$E121+1,$C121,""),"")</f>
        <v/>
      </c>
      <c r="K121" s="34">
        <f>IF(AND(K$5&gt;$E121,K$5&lt;=$F121),IF(K$5=$E121+1,$C121,""),"")</f>
        <v/>
      </c>
      <c r="L121" s="34">
        <f>IF(AND(L$5&gt;$E121,L$5&lt;=$F121),IF(L$5=$E121+1,$C121,""),"")</f>
        <v/>
      </c>
      <c r="M121" s="34">
        <f>IF(AND(M$5&gt;$E121,M$5&lt;=$F121),IF(M$5=$E121+1,$C121,""),"")</f>
        <v/>
      </c>
      <c r="N121" s="34">
        <f>IF(AND(N$5&gt;$E121,N$5&lt;=$F121),IF(N$5=$E121+1,$C121,""),"")</f>
        <v/>
      </c>
      <c r="O121" s="34">
        <f>IF(AND(O$5&gt;$E121,O$5&lt;=$F121),IF(O$5=$E121+1,$C121,""),"")</f>
        <v/>
      </c>
      <c r="P121" s="34">
        <f>IF(AND(P$5&gt;$E121,P$5&lt;=$F121),IF(P$5=$E121+1,$C121,""),"")</f>
        <v/>
      </c>
      <c r="Q121" s="34">
        <f>IF(AND(Q$5&gt;$E121,Q$5&lt;=$F121),IF(Q$5=$E121+1,$C121,""),"")</f>
        <v/>
      </c>
      <c r="R121" s="34">
        <f>IF(AND(R$5&gt;$E121,R$5&lt;=$F121),IF(R$5=$E121+1,$C121,""),"")</f>
        <v/>
      </c>
      <c r="S121" s="34">
        <f>IF(AND(S$5&gt;$E121,S$5&lt;=$F121),IF(S$5=$E121+1,$C121,""),"")</f>
        <v/>
      </c>
      <c r="T121" s="34">
        <f>IF(AND(T$5&gt;$E121,T$5&lt;=$F121),IF(T$5=$E121+1,$C121,""),"")</f>
        <v/>
      </c>
      <c r="U121" s="34">
        <f>IF(AND(U$5&gt;$E121,U$5&lt;=$F121),IF(U$5=$E121+1,$C121,""),"")</f>
        <v/>
      </c>
      <c r="V121" s="34">
        <f>IF(AND(V$5&gt;$E121,V$5&lt;=$F121),IF(V$5=$E121+1,$C121,""),"")</f>
        <v/>
      </c>
      <c r="W121" s="34">
        <f>IF(AND(W$5&gt;$E121,W$5&lt;=$F121),IF(W$5=$E121+1,$C121,""),"")</f>
        <v/>
      </c>
      <c r="X121" s="34">
        <f>IF(AND(X$5&gt;$E121,X$5&lt;=$F121),IF(X$5=$E121+1,$C121,""),"")</f>
        <v/>
      </c>
      <c r="Y121" s="34">
        <f>IF(AND(Y$5&gt;$E121,Y$5&lt;=$F121),IF(Y$5=$E121+1,$C121,""),"")</f>
        <v/>
      </c>
      <c r="Z121" s="34">
        <f>IF(AND(Z$5&gt;$E121,Z$5&lt;=$F121),IF(Z$5=$E121+1,$C121,""),"")</f>
        <v/>
      </c>
      <c r="AA121" s="34">
        <f>IF(AND(AA$5&gt;$E121,AA$5&lt;=$F121),IF(AA$5=$E121+1,$C121,""),"")</f>
        <v/>
      </c>
      <c r="AB121" s="34">
        <f>IF(AND(AB$5&gt;$E121,AB$5&lt;=$F121),IF(AB$5=$E121+1,$C121,""),"")</f>
        <v/>
      </c>
      <c r="AC121" s="34">
        <f>IF(AND(AC$5&gt;$E121,AC$5&lt;=$F121),IF(AC$5=$E121+1,$C121,""),"")</f>
        <v/>
      </c>
      <c r="AD121" s="34">
        <f>IF(AND(AD$5&gt;$E121,AD$5&lt;=$F121),IF(AD$5=$E121+1,$C121,""),"")</f>
        <v/>
      </c>
      <c r="AE121" s="34">
        <f>IF(AND(AE$5&gt;$E121,AE$5&lt;=$F121),IF(AE$5=$E121+1,$C121,""),"")</f>
        <v/>
      </c>
      <c r="AF121" s="34">
        <f>IF(AND(AF$5&gt;$E121,AF$5&lt;=$F121),IF(AF$5=$E121+1,$C121,""),"")</f>
        <v/>
      </c>
      <c r="AG121" s="34">
        <f>IF(AND(AG$5&gt;$E121,AG$5&lt;=$F121),IF(AG$5=$E121+1,$C121,""),"")</f>
        <v/>
      </c>
      <c r="AH121" s="34">
        <f>IF(AND(AH$5&gt;$E121,AH$5&lt;=$F121),IF(AH$5=$E121+1,$C121,""),"")</f>
        <v/>
      </c>
      <c r="AI121" s="34">
        <f>IF(AND(AI$5&gt;$E121,AI$5&lt;=$F121),IF(AI$5=$E121+1,$C121,""),"")</f>
        <v/>
      </c>
      <c r="AJ121" s="34">
        <f>IF(AND(AJ$5&gt;$E121,AJ$5&lt;=$F121),IF(AJ$5=$E121+1,$C121,""),"")</f>
        <v/>
      </c>
      <c r="AK121" s="34">
        <f>IF(AND(AK$5&gt;$E121,AK$5&lt;=$F121),IF(AK$5=$E121+1,$C121,""),"")</f>
        <v/>
      </c>
      <c r="AL121" s="34">
        <f>IF(AND(AL$5&gt;$E121,AL$5&lt;=$F121),IF(AL$5=$E121+1,$C121,""),"")</f>
        <v/>
      </c>
      <c r="AM121" s="34">
        <f>IF(AND(AM$5&gt;$E121,AM$5&lt;=$F121),IF(AM$5=$E121+1,$C121,""),"")</f>
        <v/>
      </c>
      <c r="AN121" s="34">
        <f>IF(AND(AN$5&gt;$E121,AN$5&lt;=$F121),IF(AN$5=$E121+1,$C121,""),"")</f>
        <v/>
      </c>
      <c r="AO121" s="34">
        <f>IF(AND(AO$5&gt;$E121,AO$5&lt;=$F121),IF(AO$5=$E121+1,$C121,""),"")</f>
        <v/>
      </c>
      <c r="AP121" s="34">
        <f>IF(AND(AP$5&gt;$E121,AP$5&lt;=$F121),IF(AP$5=$E121+1,$C121,""),"")</f>
        <v/>
      </c>
      <c r="AQ121" s="34">
        <f>IF(AND(AQ$5&gt;$E121,AQ$5&lt;=$F121),IF(AQ$5=$E121+1,$C121,""),"")</f>
        <v/>
      </c>
      <c r="AR121" s="34">
        <f>IF(AND(AR$5&gt;$E121,AR$5&lt;=$F121),IF(AR$5=$E121+1,$C121,""),"")</f>
        <v/>
      </c>
      <c r="AS121" s="34">
        <f>IF(AND(AS$5&gt;$E121,AS$5&lt;=$F121),IF(AS$5=$E121+1,$C121,""),"")</f>
        <v/>
      </c>
      <c r="AT121" s="34">
        <f>IF(AND(AT$5&gt;$E121,AT$5&lt;=$F121),IF(AT$5=$E121+1,$C121,""),"")</f>
        <v/>
      </c>
      <c r="AU121" s="34">
        <f>IF(AND(AU$5&gt;$E121,AU$5&lt;=$F121),IF(AU$5=$E121+1,$C121,""),"")</f>
        <v/>
      </c>
      <c r="AV121" s="34">
        <f>IF(AND(AV$5&gt;$E121,AV$5&lt;=$F121),IF(AV$5=$E121+1,$C121,""),"")</f>
        <v/>
      </c>
      <c r="AW121" s="34">
        <f>IF(AND(AW$5&gt;$E121,AW$5&lt;=$F121),IF(AW$5=$E121+1,$C121,""),"")</f>
        <v/>
      </c>
      <c r="AX121" s="34">
        <f>IF(AND(AX$5&gt;$E121,AX$5&lt;=$F121),IF(AX$5=$E121+1,$C121,""),"")</f>
        <v/>
      </c>
      <c r="AY121" s="34">
        <f>IF(AND(AY$5&gt;$E121,AY$5&lt;=$F121),IF(AY$5=$E121+1,$C121,""),"")</f>
        <v/>
      </c>
      <c r="AZ121" s="34">
        <f>IF(AND(AZ$5&gt;$E121,AZ$5&lt;=$F121),IF(AZ$5=$E121+1,$C121,""),"")</f>
        <v/>
      </c>
      <c r="BA121" s="34">
        <f>IF(AND(BA$5&gt;$E121,BA$5&lt;=$F121),IF(BA$5=$E121+1,$C121,""),"")</f>
        <v/>
      </c>
      <c r="BB121" s="34">
        <f>IF(AND(BB$5&gt;$E121,BB$5&lt;=$F121),IF(BB$5=$E121+1,$C121,""),"")</f>
        <v/>
      </c>
      <c r="BC121" s="34">
        <f>IF(AND(BC$5&gt;$E121,BC$5&lt;=$F121),IF(BC$5=$E121+1,$C121,""),"")</f>
        <v/>
      </c>
      <c r="BD121" s="34">
        <f>IF(AND(BD$5&gt;$E121,BD$5&lt;=$F121),IF(BD$5=$E121+1,$C121,""),"")</f>
        <v/>
      </c>
      <c r="BE121" s="34">
        <f>IF(AND(BE$5&gt;$E121,BE$5&lt;=$F121),IF(BE$5=$E121+1,$C121,""),"")</f>
        <v/>
      </c>
      <c r="BF121" s="34">
        <f>IF(AND(BF$5&gt;$E121,BF$5&lt;=$F121),IF(BF$5=$E121+1,$C121,""),"")</f>
        <v/>
      </c>
      <c r="BG121" s="34">
        <f>IF(AND(BG$5&gt;$E121,BG$5&lt;=$F121),IF(BG$5=$E121+1,$C121,""),"")</f>
        <v/>
      </c>
      <c r="BH121" s="34">
        <f>IF(AND(BH$5&gt;$E121,BH$5&lt;=$F121),IF(BH$5=$E121+1,$C121,""),"")</f>
        <v/>
      </c>
      <c r="BI121" s="34">
        <f>IF(AND(BI$5&gt;$E121,BI$5&lt;=$F121),IF(BI$5=$E121+1,$C121,""),"")</f>
        <v/>
      </c>
      <c r="BJ121" s="34">
        <f>IF(AND(BJ$5&gt;$E121,BJ$5&lt;=$F121),IF(BJ$5=$E121+1,$C121,""),"")</f>
        <v/>
      </c>
      <c r="BK121" s="34">
        <f>IF(AND(BK$5&gt;$E121,BK$5&lt;=$F121),IF(BK$5=$E121+1,$C121,""),"")</f>
        <v/>
      </c>
      <c r="BL121" s="34">
        <f>IF(AND(BL$5&gt;$E121,BL$5&lt;=$F121),IF(BL$5=$E121+1,$C121,""),"")</f>
        <v/>
      </c>
      <c r="BM121" s="34">
        <f>IF(AND(BM$5&gt;$E121,BM$5&lt;=$F121),IF(BM$5=$E121+1,$C121,""),"")</f>
        <v/>
      </c>
      <c r="BN121" s="34">
        <f>IF(AND(BN$5&gt;$E121,BN$5&lt;=$F121),IF(BN$5=$E121+1,$C121,""),"")</f>
        <v/>
      </c>
      <c r="BO121" s="34">
        <f>IF(AND(BO$5&gt;$E121,BO$5&lt;=$F121),IF(BO$5=$E121+1,$C121,""),"")</f>
        <v/>
      </c>
      <c r="BP121" s="34">
        <f>IF(AND(BP$5&gt;$E121,BP$5&lt;=$F121),IF(BP$5=$E121+1,$C121,""),"")</f>
        <v/>
      </c>
      <c r="BQ121" s="34">
        <f>IF(AND(BQ$5&gt;$E121,BQ$5&lt;=$F121),IF(BQ$5=$E121+1,$C121,""),"")</f>
        <v/>
      </c>
      <c r="BR121" s="34">
        <f>IF(AND(BR$5&gt;$E121,BR$5&lt;=$F121),IF(BR$5=$E121+1,$C121,""),"")</f>
        <v/>
      </c>
      <c r="BS121" s="34">
        <f>IF(AND(BS$5&gt;$E121,BS$5&lt;=$F121),IF(BS$5=$E121+1,$C121,""),"")</f>
        <v/>
      </c>
      <c r="BT121" s="34">
        <f>IF(AND(BT$5&gt;$E121,BT$5&lt;=$F121),IF(BT$5=$E121+1,$C121,""),"")</f>
        <v/>
      </c>
      <c r="BU121" s="34">
        <f>IF(AND(BU$5&gt;$E121,BU$5&lt;=$F121),IF(BU$5=$E121+1,$C121,""),"")</f>
        <v/>
      </c>
      <c r="BV121" s="34">
        <f>IF(AND(BV$5&gt;$E121,BV$5&lt;=$F121),IF(BV$5=$E121+1,$C121,""),"")</f>
        <v/>
      </c>
      <c r="BW121" s="34">
        <f>IF(AND(BW$5&gt;$E121,BW$5&lt;=$F121),IF(BW$5=$E121+1,$C121,""),"")</f>
        <v/>
      </c>
      <c r="BX121" s="34">
        <f>IF(AND(BX$5&gt;$E121,BX$5&lt;=$F121),IF(BX$5=$E121+1,$C121,""),"")</f>
        <v/>
      </c>
      <c r="BY121" s="34">
        <f>IF(AND(BY$5&gt;$E121,BY$5&lt;=$F121),IF(BY$5=$E121+1,$C121,""),"")</f>
        <v/>
      </c>
      <c r="BZ121" s="34">
        <f>IF(AND(BZ$5&gt;$E121,BZ$5&lt;=$F121),IF(BZ$5=$E121+1,$C121,""),"")</f>
        <v/>
      </c>
      <c r="CA121" s="34">
        <f>IF(AND(CA$5&gt;$E121,CA$5&lt;=$F121),IF(CA$5=$E121+1,$C121,""),"")</f>
        <v/>
      </c>
      <c r="CB121" s="34">
        <f>IF(AND(CB$5&gt;$E121,CB$5&lt;=$F121),IF(CB$5=$E121+1,$C121,""),"")</f>
        <v/>
      </c>
      <c r="CC121" s="34">
        <f>IF(AND(CC$5&gt;$E121,CC$5&lt;=$F121),IF(CC$5=$E121+1,$C121,""),"")</f>
        <v/>
      </c>
      <c r="CD121" s="34">
        <f>IF(AND(CD$5&gt;$E121,CD$5&lt;=$F121),IF(CD$5=$E121+1,$C121,""),"")</f>
        <v/>
      </c>
      <c r="CE121" s="34">
        <f>IF(AND(CE$5&gt;$E121,CE$5&lt;=$F121),IF(CE$5=$E121+1,$C121,""),"")</f>
        <v/>
      </c>
      <c r="CF121" s="34">
        <f>IF(AND(CF$5&gt;$E121,CF$5&lt;=$F121),IF(CF$5=$E121+1,$C121,""),"")</f>
        <v/>
      </c>
      <c r="CG121" s="34">
        <f>IF(AND(CG$5&gt;$E121,CG$5&lt;=$F121),IF(CG$5=$E121+1,$C121,""),"")</f>
        <v/>
      </c>
      <c r="CH121" s="34">
        <f>IF(AND(CH$5&gt;$E121,CH$5&lt;=$F121),IF(CH$5=$E121+1,$C121,""),"")</f>
        <v/>
      </c>
      <c r="CI121" s="34">
        <f>IF(AND(CI$5&gt;$E121,CI$5&lt;=$F121),IF(CI$5=$E121+1,$C121,""),"")</f>
        <v/>
      </c>
      <c r="CJ121" s="34">
        <f>IF(AND(CJ$5&gt;$E121,CJ$5&lt;=$F121),IF(CJ$5=$E121+1,$C121,""),"")</f>
        <v/>
      </c>
      <c r="CK121" s="34">
        <f>IF(AND(CK$5&gt;$E121,CK$5&lt;=$F121),IF(CK$5=$E121+1,$C121,""),"")</f>
        <v/>
      </c>
      <c r="CL121" s="34">
        <f>IF(AND(CL$5&gt;$E121,CL$5&lt;=$F121),IF(CL$5=$E121+1,$C121,""),"")</f>
        <v/>
      </c>
      <c r="CM121" s="34">
        <f>IF(AND(CM$5&gt;$E121,CM$5&lt;=$F121),IF(CM$5=$E121+1,$C121,""),"")</f>
        <v/>
      </c>
      <c r="CN121" s="34">
        <f>IF(AND(CN$5&gt;$E121,CN$5&lt;=$F121),IF(CN$5=$E121+1,$C121,""),"")</f>
        <v/>
      </c>
      <c r="CO121" s="34">
        <f>IF(AND(CO$5&gt;$E121,CO$5&lt;=$F121),IF(CO$5=$E121+1,$C121,""),"")</f>
        <v/>
      </c>
      <c r="CP121" s="34">
        <f>IF(AND(CP$5&gt;$E121,CP$5&lt;=$F121),IF(CP$5=$E121+1,$C121,""),"")</f>
        <v/>
      </c>
      <c r="CQ121" s="34">
        <f>IF(AND(CQ$5&gt;$E121,CQ$5&lt;=$F121),IF(CQ$5=$E121+1,$C121,""),"")</f>
        <v/>
      </c>
      <c r="CR121" s="34">
        <f>IF(AND(CR$5&gt;$E121,CR$5&lt;=$F121),IF(CR$5=$E121+1,$C121,""),"")</f>
        <v/>
      </c>
      <c r="CS121" s="34">
        <f>IF(AND(CS$5&gt;$E121,CS$5&lt;=$F121),IF(CS$5=$E121+1,$C121,""),"")</f>
        <v/>
      </c>
      <c r="CT121" s="34">
        <f>IF(AND(CT$5&gt;$E121,CT$5&lt;=$F121),IF(CT$5=$E121+1,$C121,""),"")</f>
        <v/>
      </c>
      <c r="CU121" s="34">
        <f>IF(AND(CU$5&gt;$E121,CU$5&lt;=$F121),IF(CU$5=$E121+1,$C121,""),"")</f>
        <v/>
      </c>
      <c r="CV121" s="34">
        <f>IF(AND(CV$5&gt;$E121,CV$5&lt;=$F121),IF(CV$5=$E121+1,$C121,""),"")</f>
        <v/>
      </c>
      <c r="CW121" s="34">
        <f>IF(AND(CW$5&gt;$E121,CW$5&lt;=$F121),IF(CW$5=$E121+1,$C121,""),"")</f>
        <v/>
      </c>
      <c r="CX121" s="34">
        <f>IF(AND(CX$5&gt;$E121,CX$5&lt;=$F121),IF(CX$5=$E121+1,$C121,""),"")</f>
        <v/>
      </c>
      <c r="CY121" s="34">
        <f>IF(AND(CY$5&gt;$E121,CY$5&lt;=$F121),IF(CY$5=$E121+1,$C121,""),"")</f>
        <v/>
      </c>
      <c r="CZ121" s="34">
        <f>IF(AND(CZ$5&gt;$E121,CZ$5&lt;=$F121),IF(CZ$5=$E121+1,$C121,""),"")</f>
        <v/>
      </c>
      <c r="DA121" s="34">
        <f>IF(AND(DA$5&gt;$E121,DA$5&lt;=$F121),IF(DA$5=$E121+1,$C121,""),"")</f>
        <v/>
      </c>
      <c r="DB121" s="34">
        <f>IF(AND(DB$5&gt;$E121,DB$5&lt;=$F121),IF(DB$5=$E121+1,$C121,""),"")</f>
        <v/>
      </c>
      <c r="DC121" s="34">
        <f>IF(AND(DC$5&gt;$E121,DC$5&lt;=$F121),IF(DC$5=$E121+1,$C121,""),"")</f>
        <v/>
      </c>
      <c r="DD121" s="34">
        <f>IF(AND(DD$5&gt;$E121,DD$5&lt;=$F121),IF(DD$5=$E121+1,$C121,""),"")</f>
        <v/>
      </c>
      <c r="DE121" s="34">
        <f>IF(AND(DE$5&gt;$E121,DE$5&lt;=$F121),IF(DE$5=$E121+1,$C121,""),"")</f>
        <v/>
      </c>
      <c r="DF121" s="34">
        <f>IF(AND(DF$5&gt;$E121,DF$5&lt;=$F121),IF(DF$5=$E121+1,$C121,""),"")</f>
        <v/>
      </c>
      <c r="DG121" s="34">
        <f>IF(AND(DG$5&gt;$E121,DG$5&lt;=$F121),IF(DG$5=$E121+1,$C121,""),"")</f>
        <v/>
      </c>
      <c r="DH121" s="34">
        <f>IF(AND(DH$5&gt;$E121,DH$5&lt;=$F121),IF(DH$5=$E121+1,$C121,""),"")</f>
        <v/>
      </c>
      <c r="DI121" s="34">
        <f>IF(AND(DI$5&gt;$E121,DI$5&lt;=$F121),IF(DI$5=$E121+1,$C121,""),"")</f>
        <v/>
      </c>
      <c r="DJ121" s="34">
        <f>IF(AND(DJ$5&gt;$E121,DJ$5&lt;=$F121),IF(DJ$5=$E121+1,$C121,""),"")</f>
        <v/>
      </c>
      <c r="DK121" s="34">
        <f>IF(AND(DK$5&gt;$E121,DK$5&lt;=$F121),IF(DK$5=$E121+1,$C121,""),"")</f>
        <v/>
      </c>
      <c r="DL121" s="34">
        <f>IF(AND(DL$5&gt;$E121,DL$5&lt;=$F121),IF(DL$5=$E121+1,$C121,""),"")</f>
        <v/>
      </c>
      <c r="DM121" s="34">
        <f>IF(AND(DM$5&gt;$E121,DM$5&lt;=$F121),IF(DM$5=$E121+1,$C121,""),"")</f>
        <v/>
      </c>
      <c r="DN121" s="34">
        <f>IF(AND(DN$5&gt;$E121,DN$5&lt;=$F121),IF(DN$5=$E121+1,$C121,""),"")</f>
        <v/>
      </c>
      <c r="DO121" s="34">
        <f>IF(AND(DO$5&gt;$E121,DO$5&lt;=$F121),IF(DO$5=$E121+1,$C121,""),"")</f>
        <v/>
      </c>
      <c r="DP121" s="34">
        <f>IF(AND(DP$5&gt;$E121,DP$5&lt;=$F121),IF(DP$5=$E121+1,$C121,""),"")</f>
        <v/>
      </c>
      <c r="DQ121" s="34">
        <f>IF(AND(DQ$5&gt;$E121,DQ$5&lt;=$F121),IF(DQ$5=$E121+1,$C121,""),"")</f>
        <v/>
      </c>
      <c r="DR121" s="34">
        <f>IF(AND(DR$5&gt;$E121,DR$5&lt;=$F121),IF(DR$5=$E121+1,$C121,""),"")</f>
        <v/>
      </c>
      <c r="DS121" s="34">
        <f>IF(AND(DS$5&gt;$E121,DS$5&lt;=$F121),IF(DS$5=$E121+1,$C121,""),"")</f>
        <v/>
      </c>
      <c r="DT121" s="34">
        <f>IF(AND(DT$5&gt;$E121,DT$5&lt;=$F121),IF(DT$5=$E121+1,$C121,""),"")</f>
        <v/>
      </c>
      <c r="DU121" s="34">
        <f>IF(AND(DU$5&gt;$E121,DU$5&lt;=$F121),IF(DU$5=$E121+1,$C121,""),"")</f>
        <v/>
      </c>
      <c r="DV121" s="34">
        <f>IF(AND(DV$5&gt;$E121,DV$5&lt;=$F121),IF(DV$5=$E121+1,$C121,""),"")</f>
        <v/>
      </c>
      <c r="DW121" s="34">
        <f>IF(AND(DW$5&gt;$E121,DW$5&lt;=$F121),IF(DW$5=$E121+1,$C121,""),"")</f>
        <v/>
      </c>
      <c r="DX121" s="34">
        <f>IF(AND(DX$5&gt;$E121,DX$5&lt;=$F121),IF(DX$5=$E121+1,$C121,""),"")</f>
        <v/>
      </c>
      <c r="DY121" s="34">
        <f>IF(AND(DY$5&gt;$E121,DY$5&lt;=$F121),IF(DY$5=$E121+1,$C121,""),"")</f>
        <v/>
      </c>
      <c r="DZ121" s="34">
        <f>IF(AND(DZ$5&gt;$E121,DZ$5&lt;=$F121),IF(DZ$5=$E121+1,$C121,""),"")</f>
        <v/>
      </c>
      <c r="EA121" s="34">
        <f>IF(AND(EA$5&gt;$E121,EA$5&lt;=$F121),IF(EA$5=$E121+1,$C121,""),"")</f>
        <v/>
      </c>
      <c r="EB121" s="34">
        <f>IF(AND(EB$5&gt;$E121,EB$5&lt;=$F121),IF(EB$5=$E121+1,$C121,""),"")</f>
        <v/>
      </c>
      <c r="EC121" s="34">
        <f>IF(AND(EC$5&gt;$E121,EC$5&lt;=$F121),IF(EC$5=$E121+1,$C121,""),"")</f>
        <v/>
      </c>
      <c r="ED121" s="34">
        <f>IF(AND(ED$5&gt;$E121,ED$5&lt;=$F121),IF(ED$5=$E121+1,$C121,""),"")</f>
        <v/>
      </c>
      <c r="EE121" s="34">
        <f>IF(AND(EE$5&gt;$E121,EE$5&lt;=$F121),IF(EE$5=$E121+1,$C121,""),"")</f>
        <v/>
      </c>
      <c r="EF121" s="34">
        <f>IF(AND(EF$5&gt;$E121,EF$5&lt;=$F121),IF(EF$5=$E121+1,$C121,""),"")</f>
        <v/>
      </c>
      <c r="EG121" s="34">
        <f>IF(AND(EG$5&gt;$E121,EG$5&lt;=$F121),IF(EG$5=$E121+1,$C121,""),"")</f>
        <v/>
      </c>
    </row>
    <row r="122">
      <c r="A122" s="32">
        <f>Plan!A112</f>
        <v/>
      </c>
      <c r="B122" s="33">
        <f>Plan!C112</f>
        <v/>
      </c>
      <c r="C122" s="16">
        <f>Plan!D112</f>
        <v/>
      </c>
      <c r="D122" s="16">
        <f>Plan!I112</f>
        <v/>
      </c>
      <c r="E122" s="16">
        <f>Plan!K112</f>
        <v/>
      </c>
      <c r="F122" s="16">
        <f>Plan!L112</f>
        <v/>
      </c>
      <c r="G122" s="16">
        <f>Plan!O112</f>
        <v/>
      </c>
      <c r="H122" s="34">
        <f>IF(AND(H$5&gt;$E122,H$5&lt;=$F122),IF(H$5=$E122+1,$C122,""),"")</f>
        <v/>
      </c>
      <c r="I122" s="34">
        <f>IF(AND(I$5&gt;$E122,I$5&lt;=$F122),IF(I$5=$E122+1,$C122,""),"")</f>
        <v/>
      </c>
      <c r="J122" s="34">
        <f>IF(AND(J$5&gt;$E122,J$5&lt;=$F122),IF(J$5=$E122+1,$C122,""),"")</f>
        <v/>
      </c>
      <c r="K122" s="34">
        <f>IF(AND(K$5&gt;$E122,K$5&lt;=$F122),IF(K$5=$E122+1,$C122,""),"")</f>
        <v/>
      </c>
      <c r="L122" s="34">
        <f>IF(AND(L$5&gt;$E122,L$5&lt;=$F122),IF(L$5=$E122+1,$C122,""),"")</f>
        <v/>
      </c>
      <c r="M122" s="34">
        <f>IF(AND(M$5&gt;$E122,M$5&lt;=$F122),IF(M$5=$E122+1,$C122,""),"")</f>
        <v/>
      </c>
      <c r="N122" s="34">
        <f>IF(AND(N$5&gt;$E122,N$5&lt;=$F122),IF(N$5=$E122+1,$C122,""),"")</f>
        <v/>
      </c>
      <c r="O122" s="34">
        <f>IF(AND(O$5&gt;$E122,O$5&lt;=$F122),IF(O$5=$E122+1,$C122,""),"")</f>
        <v/>
      </c>
      <c r="P122" s="34">
        <f>IF(AND(P$5&gt;$E122,P$5&lt;=$F122),IF(P$5=$E122+1,$C122,""),"")</f>
        <v/>
      </c>
      <c r="Q122" s="34">
        <f>IF(AND(Q$5&gt;$E122,Q$5&lt;=$F122),IF(Q$5=$E122+1,$C122,""),"")</f>
        <v/>
      </c>
      <c r="R122" s="34">
        <f>IF(AND(R$5&gt;$E122,R$5&lt;=$F122),IF(R$5=$E122+1,$C122,""),"")</f>
        <v/>
      </c>
      <c r="S122" s="34">
        <f>IF(AND(S$5&gt;$E122,S$5&lt;=$F122),IF(S$5=$E122+1,$C122,""),"")</f>
        <v/>
      </c>
      <c r="T122" s="34">
        <f>IF(AND(T$5&gt;$E122,T$5&lt;=$F122),IF(T$5=$E122+1,$C122,""),"")</f>
        <v/>
      </c>
      <c r="U122" s="34">
        <f>IF(AND(U$5&gt;$E122,U$5&lt;=$F122),IF(U$5=$E122+1,$C122,""),"")</f>
        <v/>
      </c>
      <c r="V122" s="34">
        <f>IF(AND(V$5&gt;$E122,V$5&lt;=$F122),IF(V$5=$E122+1,$C122,""),"")</f>
        <v/>
      </c>
      <c r="W122" s="34">
        <f>IF(AND(W$5&gt;$E122,W$5&lt;=$F122),IF(W$5=$E122+1,$C122,""),"")</f>
        <v/>
      </c>
      <c r="X122" s="34">
        <f>IF(AND(X$5&gt;$E122,X$5&lt;=$F122),IF(X$5=$E122+1,$C122,""),"")</f>
        <v/>
      </c>
      <c r="Y122" s="34">
        <f>IF(AND(Y$5&gt;$E122,Y$5&lt;=$F122),IF(Y$5=$E122+1,$C122,""),"")</f>
        <v/>
      </c>
      <c r="Z122" s="34">
        <f>IF(AND(Z$5&gt;$E122,Z$5&lt;=$F122),IF(Z$5=$E122+1,$C122,""),"")</f>
        <v/>
      </c>
      <c r="AA122" s="34">
        <f>IF(AND(AA$5&gt;$E122,AA$5&lt;=$F122),IF(AA$5=$E122+1,$C122,""),"")</f>
        <v/>
      </c>
      <c r="AB122" s="34">
        <f>IF(AND(AB$5&gt;$E122,AB$5&lt;=$F122),IF(AB$5=$E122+1,$C122,""),"")</f>
        <v/>
      </c>
      <c r="AC122" s="34">
        <f>IF(AND(AC$5&gt;$E122,AC$5&lt;=$F122),IF(AC$5=$E122+1,$C122,""),"")</f>
        <v/>
      </c>
      <c r="AD122" s="34">
        <f>IF(AND(AD$5&gt;$E122,AD$5&lt;=$F122),IF(AD$5=$E122+1,$C122,""),"")</f>
        <v/>
      </c>
      <c r="AE122" s="34">
        <f>IF(AND(AE$5&gt;$E122,AE$5&lt;=$F122),IF(AE$5=$E122+1,$C122,""),"")</f>
        <v/>
      </c>
      <c r="AF122" s="34">
        <f>IF(AND(AF$5&gt;$E122,AF$5&lt;=$F122),IF(AF$5=$E122+1,$C122,""),"")</f>
        <v/>
      </c>
      <c r="AG122" s="34">
        <f>IF(AND(AG$5&gt;$E122,AG$5&lt;=$F122),IF(AG$5=$E122+1,$C122,""),"")</f>
        <v/>
      </c>
      <c r="AH122" s="34">
        <f>IF(AND(AH$5&gt;$E122,AH$5&lt;=$F122),IF(AH$5=$E122+1,$C122,""),"")</f>
        <v/>
      </c>
      <c r="AI122" s="34">
        <f>IF(AND(AI$5&gt;$E122,AI$5&lt;=$F122),IF(AI$5=$E122+1,$C122,""),"")</f>
        <v/>
      </c>
      <c r="AJ122" s="34">
        <f>IF(AND(AJ$5&gt;$E122,AJ$5&lt;=$F122),IF(AJ$5=$E122+1,$C122,""),"")</f>
        <v/>
      </c>
      <c r="AK122" s="34">
        <f>IF(AND(AK$5&gt;$E122,AK$5&lt;=$F122),IF(AK$5=$E122+1,$C122,""),"")</f>
        <v/>
      </c>
      <c r="AL122" s="34">
        <f>IF(AND(AL$5&gt;$E122,AL$5&lt;=$F122),IF(AL$5=$E122+1,$C122,""),"")</f>
        <v/>
      </c>
      <c r="AM122" s="34">
        <f>IF(AND(AM$5&gt;$E122,AM$5&lt;=$F122),IF(AM$5=$E122+1,$C122,""),"")</f>
        <v/>
      </c>
      <c r="AN122" s="34">
        <f>IF(AND(AN$5&gt;$E122,AN$5&lt;=$F122),IF(AN$5=$E122+1,$C122,""),"")</f>
        <v/>
      </c>
      <c r="AO122" s="34">
        <f>IF(AND(AO$5&gt;$E122,AO$5&lt;=$F122),IF(AO$5=$E122+1,$C122,""),"")</f>
        <v/>
      </c>
      <c r="AP122" s="34">
        <f>IF(AND(AP$5&gt;$E122,AP$5&lt;=$F122),IF(AP$5=$E122+1,$C122,""),"")</f>
        <v/>
      </c>
      <c r="AQ122" s="34">
        <f>IF(AND(AQ$5&gt;$E122,AQ$5&lt;=$F122),IF(AQ$5=$E122+1,$C122,""),"")</f>
        <v/>
      </c>
      <c r="AR122" s="34">
        <f>IF(AND(AR$5&gt;$E122,AR$5&lt;=$F122),IF(AR$5=$E122+1,$C122,""),"")</f>
        <v/>
      </c>
      <c r="AS122" s="34">
        <f>IF(AND(AS$5&gt;$E122,AS$5&lt;=$F122),IF(AS$5=$E122+1,$C122,""),"")</f>
        <v/>
      </c>
      <c r="AT122" s="34">
        <f>IF(AND(AT$5&gt;$E122,AT$5&lt;=$F122),IF(AT$5=$E122+1,$C122,""),"")</f>
        <v/>
      </c>
      <c r="AU122" s="34">
        <f>IF(AND(AU$5&gt;$E122,AU$5&lt;=$F122),IF(AU$5=$E122+1,$C122,""),"")</f>
        <v/>
      </c>
      <c r="AV122" s="34">
        <f>IF(AND(AV$5&gt;$E122,AV$5&lt;=$F122),IF(AV$5=$E122+1,$C122,""),"")</f>
        <v/>
      </c>
      <c r="AW122" s="34">
        <f>IF(AND(AW$5&gt;$E122,AW$5&lt;=$F122),IF(AW$5=$E122+1,$C122,""),"")</f>
        <v/>
      </c>
      <c r="AX122" s="34">
        <f>IF(AND(AX$5&gt;$E122,AX$5&lt;=$F122),IF(AX$5=$E122+1,$C122,""),"")</f>
        <v/>
      </c>
      <c r="AY122" s="34">
        <f>IF(AND(AY$5&gt;$E122,AY$5&lt;=$F122),IF(AY$5=$E122+1,$C122,""),"")</f>
        <v/>
      </c>
      <c r="AZ122" s="34">
        <f>IF(AND(AZ$5&gt;$E122,AZ$5&lt;=$F122),IF(AZ$5=$E122+1,$C122,""),"")</f>
        <v/>
      </c>
      <c r="BA122" s="34">
        <f>IF(AND(BA$5&gt;$E122,BA$5&lt;=$F122),IF(BA$5=$E122+1,$C122,""),"")</f>
        <v/>
      </c>
      <c r="BB122" s="34">
        <f>IF(AND(BB$5&gt;$E122,BB$5&lt;=$F122),IF(BB$5=$E122+1,$C122,""),"")</f>
        <v/>
      </c>
      <c r="BC122" s="34">
        <f>IF(AND(BC$5&gt;$E122,BC$5&lt;=$F122),IF(BC$5=$E122+1,$C122,""),"")</f>
        <v/>
      </c>
      <c r="BD122" s="34">
        <f>IF(AND(BD$5&gt;$E122,BD$5&lt;=$F122),IF(BD$5=$E122+1,$C122,""),"")</f>
        <v/>
      </c>
      <c r="BE122" s="34">
        <f>IF(AND(BE$5&gt;$E122,BE$5&lt;=$F122),IF(BE$5=$E122+1,$C122,""),"")</f>
        <v/>
      </c>
      <c r="BF122" s="34">
        <f>IF(AND(BF$5&gt;$E122,BF$5&lt;=$F122),IF(BF$5=$E122+1,$C122,""),"")</f>
        <v/>
      </c>
      <c r="BG122" s="34">
        <f>IF(AND(BG$5&gt;$E122,BG$5&lt;=$F122),IF(BG$5=$E122+1,$C122,""),"")</f>
        <v/>
      </c>
      <c r="BH122" s="34">
        <f>IF(AND(BH$5&gt;$E122,BH$5&lt;=$F122),IF(BH$5=$E122+1,$C122,""),"")</f>
        <v/>
      </c>
      <c r="BI122" s="34">
        <f>IF(AND(BI$5&gt;$E122,BI$5&lt;=$F122),IF(BI$5=$E122+1,$C122,""),"")</f>
        <v/>
      </c>
      <c r="BJ122" s="34">
        <f>IF(AND(BJ$5&gt;$E122,BJ$5&lt;=$F122),IF(BJ$5=$E122+1,$C122,""),"")</f>
        <v/>
      </c>
      <c r="BK122" s="34">
        <f>IF(AND(BK$5&gt;$E122,BK$5&lt;=$F122),IF(BK$5=$E122+1,$C122,""),"")</f>
        <v/>
      </c>
      <c r="BL122" s="34">
        <f>IF(AND(BL$5&gt;$E122,BL$5&lt;=$F122),IF(BL$5=$E122+1,$C122,""),"")</f>
        <v/>
      </c>
      <c r="BM122" s="34">
        <f>IF(AND(BM$5&gt;$E122,BM$5&lt;=$F122),IF(BM$5=$E122+1,$C122,""),"")</f>
        <v/>
      </c>
      <c r="BN122" s="34">
        <f>IF(AND(BN$5&gt;$E122,BN$5&lt;=$F122),IF(BN$5=$E122+1,$C122,""),"")</f>
        <v/>
      </c>
      <c r="BO122" s="34">
        <f>IF(AND(BO$5&gt;$E122,BO$5&lt;=$F122),IF(BO$5=$E122+1,$C122,""),"")</f>
        <v/>
      </c>
      <c r="BP122" s="34">
        <f>IF(AND(BP$5&gt;$E122,BP$5&lt;=$F122),IF(BP$5=$E122+1,$C122,""),"")</f>
        <v/>
      </c>
      <c r="BQ122" s="34">
        <f>IF(AND(BQ$5&gt;$E122,BQ$5&lt;=$F122),IF(BQ$5=$E122+1,$C122,""),"")</f>
        <v/>
      </c>
      <c r="BR122" s="34">
        <f>IF(AND(BR$5&gt;$E122,BR$5&lt;=$F122),IF(BR$5=$E122+1,$C122,""),"")</f>
        <v/>
      </c>
      <c r="BS122" s="34">
        <f>IF(AND(BS$5&gt;$E122,BS$5&lt;=$F122),IF(BS$5=$E122+1,$C122,""),"")</f>
        <v/>
      </c>
      <c r="BT122" s="34">
        <f>IF(AND(BT$5&gt;$E122,BT$5&lt;=$F122),IF(BT$5=$E122+1,$C122,""),"")</f>
        <v/>
      </c>
      <c r="BU122" s="34">
        <f>IF(AND(BU$5&gt;$E122,BU$5&lt;=$F122),IF(BU$5=$E122+1,$C122,""),"")</f>
        <v/>
      </c>
      <c r="BV122" s="34">
        <f>IF(AND(BV$5&gt;$E122,BV$5&lt;=$F122),IF(BV$5=$E122+1,$C122,""),"")</f>
        <v/>
      </c>
      <c r="BW122" s="34">
        <f>IF(AND(BW$5&gt;$E122,BW$5&lt;=$F122),IF(BW$5=$E122+1,$C122,""),"")</f>
        <v/>
      </c>
      <c r="BX122" s="34">
        <f>IF(AND(BX$5&gt;$E122,BX$5&lt;=$F122),IF(BX$5=$E122+1,$C122,""),"")</f>
        <v/>
      </c>
      <c r="BY122" s="34">
        <f>IF(AND(BY$5&gt;$E122,BY$5&lt;=$F122),IF(BY$5=$E122+1,$C122,""),"")</f>
        <v/>
      </c>
      <c r="BZ122" s="34">
        <f>IF(AND(BZ$5&gt;$E122,BZ$5&lt;=$F122),IF(BZ$5=$E122+1,$C122,""),"")</f>
        <v/>
      </c>
      <c r="CA122" s="34">
        <f>IF(AND(CA$5&gt;$E122,CA$5&lt;=$F122),IF(CA$5=$E122+1,$C122,""),"")</f>
        <v/>
      </c>
      <c r="CB122" s="34">
        <f>IF(AND(CB$5&gt;$E122,CB$5&lt;=$F122),IF(CB$5=$E122+1,$C122,""),"")</f>
        <v/>
      </c>
      <c r="CC122" s="34">
        <f>IF(AND(CC$5&gt;$E122,CC$5&lt;=$F122),IF(CC$5=$E122+1,$C122,""),"")</f>
        <v/>
      </c>
      <c r="CD122" s="34">
        <f>IF(AND(CD$5&gt;$E122,CD$5&lt;=$F122),IF(CD$5=$E122+1,$C122,""),"")</f>
        <v/>
      </c>
      <c r="CE122" s="34">
        <f>IF(AND(CE$5&gt;$E122,CE$5&lt;=$F122),IF(CE$5=$E122+1,$C122,""),"")</f>
        <v/>
      </c>
      <c r="CF122" s="34">
        <f>IF(AND(CF$5&gt;$E122,CF$5&lt;=$F122),IF(CF$5=$E122+1,$C122,""),"")</f>
        <v/>
      </c>
      <c r="CG122" s="34">
        <f>IF(AND(CG$5&gt;$E122,CG$5&lt;=$F122),IF(CG$5=$E122+1,$C122,""),"")</f>
        <v/>
      </c>
      <c r="CH122" s="34">
        <f>IF(AND(CH$5&gt;$E122,CH$5&lt;=$F122),IF(CH$5=$E122+1,$C122,""),"")</f>
        <v/>
      </c>
      <c r="CI122" s="34">
        <f>IF(AND(CI$5&gt;$E122,CI$5&lt;=$F122),IF(CI$5=$E122+1,$C122,""),"")</f>
        <v/>
      </c>
      <c r="CJ122" s="34">
        <f>IF(AND(CJ$5&gt;$E122,CJ$5&lt;=$F122),IF(CJ$5=$E122+1,$C122,""),"")</f>
        <v/>
      </c>
      <c r="CK122" s="34">
        <f>IF(AND(CK$5&gt;$E122,CK$5&lt;=$F122),IF(CK$5=$E122+1,$C122,""),"")</f>
        <v/>
      </c>
      <c r="CL122" s="34">
        <f>IF(AND(CL$5&gt;$E122,CL$5&lt;=$F122),IF(CL$5=$E122+1,$C122,""),"")</f>
        <v/>
      </c>
      <c r="CM122" s="34">
        <f>IF(AND(CM$5&gt;$E122,CM$5&lt;=$F122),IF(CM$5=$E122+1,$C122,""),"")</f>
        <v/>
      </c>
      <c r="CN122" s="34">
        <f>IF(AND(CN$5&gt;$E122,CN$5&lt;=$F122),IF(CN$5=$E122+1,$C122,""),"")</f>
        <v/>
      </c>
      <c r="CO122" s="34">
        <f>IF(AND(CO$5&gt;$E122,CO$5&lt;=$F122),IF(CO$5=$E122+1,$C122,""),"")</f>
        <v/>
      </c>
      <c r="CP122" s="34">
        <f>IF(AND(CP$5&gt;$E122,CP$5&lt;=$F122),IF(CP$5=$E122+1,$C122,""),"")</f>
        <v/>
      </c>
      <c r="CQ122" s="34">
        <f>IF(AND(CQ$5&gt;$E122,CQ$5&lt;=$F122),IF(CQ$5=$E122+1,$C122,""),"")</f>
        <v/>
      </c>
      <c r="CR122" s="34">
        <f>IF(AND(CR$5&gt;$E122,CR$5&lt;=$F122),IF(CR$5=$E122+1,$C122,""),"")</f>
        <v/>
      </c>
      <c r="CS122" s="34">
        <f>IF(AND(CS$5&gt;$E122,CS$5&lt;=$F122),IF(CS$5=$E122+1,$C122,""),"")</f>
        <v/>
      </c>
      <c r="CT122" s="34">
        <f>IF(AND(CT$5&gt;$E122,CT$5&lt;=$F122),IF(CT$5=$E122+1,$C122,""),"")</f>
        <v/>
      </c>
      <c r="CU122" s="34">
        <f>IF(AND(CU$5&gt;$E122,CU$5&lt;=$F122),IF(CU$5=$E122+1,$C122,""),"")</f>
        <v/>
      </c>
      <c r="CV122" s="34">
        <f>IF(AND(CV$5&gt;$E122,CV$5&lt;=$F122),IF(CV$5=$E122+1,$C122,""),"")</f>
        <v/>
      </c>
      <c r="CW122" s="34">
        <f>IF(AND(CW$5&gt;$E122,CW$5&lt;=$F122),IF(CW$5=$E122+1,$C122,""),"")</f>
        <v/>
      </c>
      <c r="CX122" s="34">
        <f>IF(AND(CX$5&gt;$E122,CX$5&lt;=$F122),IF(CX$5=$E122+1,$C122,""),"")</f>
        <v/>
      </c>
      <c r="CY122" s="34">
        <f>IF(AND(CY$5&gt;$E122,CY$5&lt;=$F122),IF(CY$5=$E122+1,$C122,""),"")</f>
        <v/>
      </c>
      <c r="CZ122" s="34">
        <f>IF(AND(CZ$5&gt;$E122,CZ$5&lt;=$F122),IF(CZ$5=$E122+1,$C122,""),"")</f>
        <v/>
      </c>
      <c r="DA122" s="34">
        <f>IF(AND(DA$5&gt;$E122,DA$5&lt;=$F122),IF(DA$5=$E122+1,$C122,""),"")</f>
        <v/>
      </c>
      <c r="DB122" s="34">
        <f>IF(AND(DB$5&gt;$E122,DB$5&lt;=$F122),IF(DB$5=$E122+1,$C122,""),"")</f>
        <v/>
      </c>
      <c r="DC122" s="34">
        <f>IF(AND(DC$5&gt;$E122,DC$5&lt;=$F122),IF(DC$5=$E122+1,$C122,""),"")</f>
        <v/>
      </c>
      <c r="DD122" s="34">
        <f>IF(AND(DD$5&gt;$E122,DD$5&lt;=$F122),IF(DD$5=$E122+1,$C122,""),"")</f>
        <v/>
      </c>
      <c r="DE122" s="34">
        <f>IF(AND(DE$5&gt;$E122,DE$5&lt;=$F122),IF(DE$5=$E122+1,$C122,""),"")</f>
        <v/>
      </c>
      <c r="DF122" s="34">
        <f>IF(AND(DF$5&gt;$E122,DF$5&lt;=$F122),IF(DF$5=$E122+1,$C122,""),"")</f>
        <v/>
      </c>
      <c r="DG122" s="34">
        <f>IF(AND(DG$5&gt;$E122,DG$5&lt;=$F122),IF(DG$5=$E122+1,$C122,""),"")</f>
        <v/>
      </c>
      <c r="DH122" s="34">
        <f>IF(AND(DH$5&gt;$E122,DH$5&lt;=$F122),IF(DH$5=$E122+1,$C122,""),"")</f>
        <v/>
      </c>
      <c r="DI122" s="34">
        <f>IF(AND(DI$5&gt;$E122,DI$5&lt;=$F122),IF(DI$5=$E122+1,$C122,""),"")</f>
        <v/>
      </c>
      <c r="DJ122" s="34">
        <f>IF(AND(DJ$5&gt;$E122,DJ$5&lt;=$F122),IF(DJ$5=$E122+1,$C122,""),"")</f>
        <v/>
      </c>
      <c r="DK122" s="34">
        <f>IF(AND(DK$5&gt;$E122,DK$5&lt;=$F122),IF(DK$5=$E122+1,$C122,""),"")</f>
        <v/>
      </c>
      <c r="DL122" s="34">
        <f>IF(AND(DL$5&gt;$E122,DL$5&lt;=$F122),IF(DL$5=$E122+1,$C122,""),"")</f>
        <v/>
      </c>
      <c r="DM122" s="34">
        <f>IF(AND(DM$5&gt;$E122,DM$5&lt;=$F122),IF(DM$5=$E122+1,$C122,""),"")</f>
        <v/>
      </c>
      <c r="DN122" s="34">
        <f>IF(AND(DN$5&gt;$E122,DN$5&lt;=$F122),IF(DN$5=$E122+1,$C122,""),"")</f>
        <v/>
      </c>
      <c r="DO122" s="34">
        <f>IF(AND(DO$5&gt;$E122,DO$5&lt;=$F122),IF(DO$5=$E122+1,$C122,""),"")</f>
        <v/>
      </c>
      <c r="DP122" s="34">
        <f>IF(AND(DP$5&gt;$E122,DP$5&lt;=$F122),IF(DP$5=$E122+1,$C122,""),"")</f>
        <v/>
      </c>
      <c r="DQ122" s="34">
        <f>IF(AND(DQ$5&gt;$E122,DQ$5&lt;=$F122),IF(DQ$5=$E122+1,$C122,""),"")</f>
        <v/>
      </c>
      <c r="DR122" s="34">
        <f>IF(AND(DR$5&gt;$E122,DR$5&lt;=$F122),IF(DR$5=$E122+1,$C122,""),"")</f>
        <v/>
      </c>
      <c r="DS122" s="34">
        <f>IF(AND(DS$5&gt;$E122,DS$5&lt;=$F122),IF(DS$5=$E122+1,$C122,""),"")</f>
        <v/>
      </c>
      <c r="DT122" s="34">
        <f>IF(AND(DT$5&gt;$E122,DT$5&lt;=$F122),IF(DT$5=$E122+1,$C122,""),"")</f>
        <v/>
      </c>
      <c r="DU122" s="34">
        <f>IF(AND(DU$5&gt;$E122,DU$5&lt;=$F122),IF(DU$5=$E122+1,$C122,""),"")</f>
        <v/>
      </c>
      <c r="DV122" s="34">
        <f>IF(AND(DV$5&gt;$E122,DV$5&lt;=$F122),IF(DV$5=$E122+1,$C122,""),"")</f>
        <v/>
      </c>
      <c r="DW122" s="34">
        <f>IF(AND(DW$5&gt;$E122,DW$5&lt;=$F122),IF(DW$5=$E122+1,$C122,""),"")</f>
        <v/>
      </c>
      <c r="DX122" s="34">
        <f>IF(AND(DX$5&gt;$E122,DX$5&lt;=$F122),IF(DX$5=$E122+1,$C122,""),"")</f>
        <v/>
      </c>
      <c r="DY122" s="34">
        <f>IF(AND(DY$5&gt;$E122,DY$5&lt;=$F122),IF(DY$5=$E122+1,$C122,""),"")</f>
        <v/>
      </c>
      <c r="DZ122" s="34">
        <f>IF(AND(DZ$5&gt;$E122,DZ$5&lt;=$F122),IF(DZ$5=$E122+1,$C122,""),"")</f>
        <v/>
      </c>
      <c r="EA122" s="34">
        <f>IF(AND(EA$5&gt;$E122,EA$5&lt;=$F122),IF(EA$5=$E122+1,$C122,""),"")</f>
        <v/>
      </c>
      <c r="EB122" s="34">
        <f>IF(AND(EB$5&gt;$E122,EB$5&lt;=$F122),IF(EB$5=$E122+1,$C122,""),"")</f>
        <v/>
      </c>
      <c r="EC122" s="34">
        <f>IF(AND(EC$5&gt;$E122,EC$5&lt;=$F122),IF(EC$5=$E122+1,$C122,""),"")</f>
        <v/>
      </c>
      <c r="ED122" s="34">
        <f>IF(AND(ED$5&gt;$E122,ED$5&lt;=$F122),IF(ED$5=$E122+1,$C122,""),"")</f>
        <v/>
      </c>
      <c r="EE122" s="34">
        <f>IF(AND(EE$5&gt;$E122,EE$5&lt;=$F122),IF(EE$5=$E122+1,$C122,""),"")</f>
        <v/>
      </c>
      <c r="EF122" s="34">
        <f>IF(AND(EF$5&gt;$E122,EF$5&lt;=$F122),IF(EF$5=$E122+1,$C122,""),"")</f>
        <v/>
      </c>
      <c r="EG122" s="34">
        <f>IF(AND(EG$5&gt;$E122,EG$5&lt;=$F122),IF(EG$5=$E122+1,$C122,""),"")</f>
        <v/>
      </c>
    </row>
    <row r="123">
      <c r="A123" s="32">
        <f>Plan!A113</f>
        <v/>
      </c>
      <c r="B123" s="33">
        <f>Plan!C113</f>
        <v/>
      </c>
      <c r="C123" s="16">
        <f>Plan!D113</f>
        <v/>
      </c>
      <c r="D123" s="16">
        <f>Plan!I113</f>
        <v/>
      </c>
      <c r="E123" s="16">
        <f>Plan!K113</f>
        <v/>
      </c>
      <c r="F123" s="16">
        <f>Plan!L113</f>
        <v/>
      </c>
      <c r="G123" s="16">
        <f>Plan!O113</f>
        <v/>
      </c>
      <c r="H123" s="34">
        <f>IF(AND(H$5&gt;$E123,H$5&lt;=$F123),IF(H$5=$E123+1,$C123,""),"")</f>
        <v/>
      </c>
      <c r="I123" s="34">
        <f>IF(AND(I$5&gt;$E123,I$5&lt;=$F123),IF(I$5=$E123+1,$C123,""),"")</f>
        <v/>
      </c>
      <c r="J123" s="34">
        <f>IF(AND(J$5&gt;$E123,J$5&lt;=$F123),IF(J$5=$E123+1,$C123,""),"")</f>
        <v/>
      </c>
      <c r="K123" s="34">
        <f>IF(AND(K$5&gt;$E123,K$5&lt;=$F123),IF(K$5=$E123+1,$C123,""),"")</f>
        <v/>
      </c>
      <c r="L123" s="34">
        <f>IF(AND(L$5&gt;$E123,L$5&lt;=$F123),IF(L$5=$E123+1,$C123,""),"")</f>
        <v/>
      </c>
      <c r="M123" s="34">
        <f>IF(AND(M$5&gt;$E123,M$5&lt;=$F123),IF(M$5=$E123+1,$C123,""),"")</f>
        <v/>
      </c>
      <c r="N123" s="34">
        <f>IF(AND(N$5&gt;$E123,N$5&lt;=$F123),IF(N$5=$E123+1,$C123,""),"")</f>
        <v/>
      </c>
      <c r="O123" s="34">
        <f>IF(AND(O$5&gt;$E123,O$5&lt;=$F123),IF(O$5=$E123+1,$C123,""),"")</f>
        <v/>
      </c>
      <c r="P123" s="34">
        <f>IF(AND(P$5&gt;$E123,P$5&lt;=$F123),IF(P$5=$E123+1,$C123,""),"")</f>
        <v/>
      </c>
      <c r="Q123" s="34">
        <f>IF(AND(Q$5&gt;$E123,Q$5&lt;=$F123),IF(Q$5=$E123+1,$C123,""),"")</f>
        <v/>
      </c>
      <c r="R123" s="34">
        <f>IF(AND(R$5&gt;$E123,R$5&lt;=$F123),IF(R$5=$E123+1,$C123,""),"")</f>
        <v/>
      </c>
      <c r="S123" s="34">
        <f>IF(AND(S$5&gt;$E123,S$5&lt;=$F123),IF(S$5=$E123+1,$C123,""),"")</f>
        <v/>
      </c>
      <c r="T123" s="34">
        <f>IF(AND(T$5&gt;$E123,T$5&lt;=$F123),IF(T$5=$E123+1,$C123,""),"")</f>
        <v/>
      </c>
      <c r="U123" s="34">
        <f>IF(AND(U$5&gt;$E123,U$5&lt;=$F123),IF(U$5=$E123+1,$C123,""),"")</f>
        <v/>
      </c>
      <c r="V123" s="34">
        <f>IF(AND(V$5&gt;$E123,V$5&lt;=$F123),IF(V$5=$E123+1,$C123,""),"")</f>
        <v/>
      </c>
      <c r="W123" s="34">
        <f>IF(AND(W$5&gt;$E123,W$5&lt;=$F123),IF(W$5=$E123+1,$C123,""),"")</f>
        <v/>
      </c>
      <c r="X123" s="34">
        <f>IF(AND(X$5&gt;$E123,X$5&lt;=$F123),IF(X$5=$E123+1,$C123,""),"")</f>
        <v/>
      </c>
      <c r="Y123" s="34">
        <f>IF(AND(Y$5&gt;$E123,Y$5&lt;=$F123),IF(Y$5=$E123+1,$C123,""),"")</f>
        <v/>
      </c>
      <c r="Z123" s="34">
        <f>IF(AND(Z$5&gt;$E123,Z$5&lt;=$F123),IF(Z$5=$E123+1,$C123,""),"")</f>
        <v/>
      </c>
      <c r="AA123" s="34">
        <f>IF(AND(AA$5&gt;$E123,AA$5&lt;=$F123),IF(AA$5=$E123+1,$C123,""),"")</f>
        <v/>
      </c>
      <c r="AB123" s="34">
        <f>IF(AND(AB$5&gt;$E123,AB$5&lt;=$F123),IF(AB$5=$E123+1,$C123,""),"")</f>
        <v/>
      </c>
      <c r="AC123" s="34">
        <f>IF(AND(AC$5&gt;$E123,AC$5&lt;=$F123),IF(AC$5=$E123+1,$C123,""),"")</f>
        <v/>
      </c>
      <c r="AD123" s="34">
        <f>IF(AND(AD$5&gt;$E123,AD$5&lt;=$F123),IF(AD$5=$E123+1,$C123,""),"")</f>
        <v/>
      </c>
      <c r="AE123" s="34">
        <f>IF(AND(AE$5&gt;$E123,AE$5&lt;=$F123),IF(AE$5=$E123+1,$C123,""),"")</f>
        <v/>
      </c>
      <c r="AF123" s="34">
        <f>IF(AND(AF$5&gt;$E123,AF$5&lt;=$F123),IF(AF$5=$E123+1,$C123,""),"")</f>
        <v/>
      </c>
      <c r="AG123" s="34">
        <f>IF(AND(AG$5&gt;$E123,AG$5&lt;=$F123),IF(AG$5=$E123+1,$C123,""),"")</f>
        <v/>
      </c>
      <c r="AH123" s="34">
        <f>IF(AND(AH$5&gt;$E123,AH$5&lt;=$F123),IF(AH$5=$E123+1,$C123,""),"")</f>
        <v/>
      </c>
      <c r="AI123" s="34">
        <f>IF(AND(AI$5&gt;$E123,AI$5&lt;=$F123),IF(AI$5=$E123+1,$C123,""),"")</f>
        <v/>
      </c>
      <c r="AJ123" s="34">
        <f>IF(AND(AJ$5&gt;$E123,AJ$5&lt;=$F123),IF(AJ$5=$E123+1,$C123,""),"")</f>
        <v/>
      </c>
      <c r="AK123" s="34">
        <f>IF(AND(AK$5&gt;$E123,AK$5&lt;=$F123),IF(AK$5=$E123+1,$C123,""),"")</f>
        <v/>
      </c>
      <c r="AL123" s="34">
        <f>IF(AND(AL$5&gt;$E123,AL$5&lt;=$F123),IF(AL$5=$E123+1,$C123,""),"")</f>
        <v/>
      </c>
      <c r="AM123" s="34">
        <f>IF(AND(AM$5&gt;$E123,AM$5&lt;=$F123),IF(AM$5=$E123+1,$C123,""),"")</f>
        <v/>
      </c>
      <c r="AN123" s="34">
        <f>IF(AND(AN$5&gt;$E123,AN$5&lt;=$F123),IF(AN$5=$E123+1,$C123,""),"")</f>
        <v/>
      </c>
      <c r="AO123" s="34">
        <f>IF(AND(AO$5&gt;$E123,AO$5&lt;=$F123),IF(AO$5=$E123+1,$C123,""),"")</f>
        <v/>
      </c>
      <c r="AP123" s="34">
        <f>IF(AND(AP$5&gt;$E123,AP$5&lt;=$F123),IF(AP$5=$E123+1,$C123,""),"")</f>
        <v/>
      </c>
      <c r="AQ123" s="34">
        <f>IF(AND(AQ$5&gt;$E123,AQ$5&lt;=$F123),IF(AQ$5=$E123+1,$C123,""),"")</f>
        <v/>
      </c>
      <c r="AR123" s="34">
        <f>IF(AND(AR$5&gt;$E123,AR$5&lt;=$F123),IF(AR$5=$E123+1,$C123,""),"")</f>
        <v/>
      </c>
      <c r="AS123" s="34">
        <f>IF(AND(AS$5&gt;$E123,AS$5&lt;=$F123),IF(AS$5=$E123+1,$C123,""),"")</f>
        <v/>
      </c>
      <c r="AT123" s="34">
        <f>IF(AND(AT$5&gt;$E123,AT$5&lt;=$F123),IF(AT$5=$E123+1,$C123,""),"")</f>
        <v/>
      </c>
      <c r="AU123" s="34">
        <f>IF(AND(AU$5&gt;$E123,AU$5&lt;=$F123),IF(AU$5=$E123+1,$C123,""),"")</f>
        <v/>
      </c>
      <c r="AV123" s="34">
        <f>IF(AND(AV$5&gt;$E123,AV$5&lt;=$F123),IF(AV$5=$E123+1,$C123,""),"")</f>
        <v/>
      </c>
      <c r="AW123" s="34">
        <f>IF(AND(AW$5&gt;$E123,AW$5&lt;=$F123),IF(AW$5=$E123+1,$C123,""),"")</f>
        <v/>
      </c>
      <c r="AX123" s="34">
        <f>IF(AND(AX$5&gt;$E123,AX$5&lt;=$F123),IF(AX$5=$E123+1,$C123,""),"")</f>
        <v/>
      </c>
      <c r="AY123" s="34">
        <f>IF(AND(AY$5&gt;$E123,AY$5&lt;=$F123),IF(AY$5=$E123+1,$C123,""),"")</f>
        <v/>
      </c>
      <c r="AZ123" s="34">
        <f>IF(AND(AZ$5&gt;$E123,AZ$5&lt;=$F123),IF(AZ$5=$E123+1,$C123,""),"")</f>
        <v/>
      </c>
      <c r="BA123" s="34">
        <f>IF(AND(BA$5&gt;$E123,BA$5&lt;=$F123),IF(BA$5=$E123+1,$C123,""),"")</f>
        <v/>
      </c>
      <c r="BB123" s="34">
        <f>IF(AND(BB$5&gt;$E123,BB$5&lt;=$F123),IF(BB$5=$E123+1,$C123,""),"")</f>
        <v/>
      </c>
      <c r="BC123" s="34">
        <f>IF(AND(BC$5&gt;$E123,BC$5&lt;=$F123),IF(BC$5=$E123+1,$C123,""),"")</f>
        <v/>
      </c>
      <c r="BD123" s="34">
        <f>IF(AND(BD$5&gt;$E123,BD$5&lt;=$F123),IF(BD$5=$E123+1,$C123,""),"")</f>
        <v/>
      </c>
      <c r="BE123" s="34">
        <f>IF(AND(BE$5&gt;$E123,BE$5&lt;=$F123),IF(BE$5=$E123+1,$C123,""),"")</f>
        <v/>
      </c>
      <c r="BF123" s="34">
        <f>IF(AND(BF$5&gt;$E123,BF$5&lt;=$F123),IF(BF$5=$E123+1,$C123,""),"")</f>
        <v/>
      </c>
      <c r="BG123" s="34">
        <f>IF(AND(BG$5&gt;$E123,BG$5&lt;=$F123),IF(BG$5=$E123+1,$C123,""),"")</f>
        <v/>
      </c>
      <c r="BH123" s="34">
        <f>IF(AND(BH$5&gt;$E123,BH$5&lt;=$F123),IF(BH$5=$E123+1,$C123,""),"")</f>
        <v/>
      </c>
      <c r="BI123" s="34">
        <f>IF(AND(BI$5&gt;$E123,BI$5&lt;=$F123),IF(BI$5=$E123+1,$C123,""),"")</f>
        <v/>
      </c>
      <c r="BJ123" s="34">
        <f>IF(AND(BJ$5&gt;$E123,BJ$5&lt;=$F123),IF(BJ$5=$E123+1,$C123,""),"")</f>
        <v/>
      </c>
      <c r="BK123" s="34">
        <f>IF(AND(BK$5&gt;$E123,BK$5&lt;=$F123),IF(BK$5=$E123+1,$C123,""),"")</f>
        <v/>
      </c>
      <c r="BL123" s="34">
        <f>IF(AND(BL$5&gt;$E123,BL$5&lt;=$F123),IF(BL$5=$E123+1,$C123,""),"")</f>
        <v/>
      </c>
      <c r="BM123" s="34">
        <f>IF(AND(BM$5&gt;$E123,BM$5&lt;=$F123),IF(BM$5=$E123+1,$C123,""),"")</f>
        <v/>
      </c>
      <c r="BN123" s="34">
        <f>IF(AND(BN$5&gt;$E123,BN$5&lt;=$F123),IF(BN$5=$E123+1,$C123,""),"")</f>
        <v/>
      </c>
      <c r="BO123" s="34">
        <f>IF(AND(BO$5&gt;$E123,BO$5&lt;=$F123),IF(BO$5=$E123+1,$C123,""),"")</f>
        <v/>
      </c>
      <c r="BP123" s="34">
        <f>IF(AND(BP$5&gt;$E123,BP$5&lt;=$F123),IF(BP$5=$E123+1,$C123,""),"")</f>
        <v/>
      </c>
      <c r="BQ123" s="34">
        <f>IF(AND(BQ$5&gt;$E123,BQ$5&lt;=$F123),IF(BQ$5=$E123+1,$C123,""),"")</f>
        <v/>
      </c>
      <c r="BR123" s="34">
        <f>IF(AND(BR$5&gt;$E123,BR$5&lt;=$F123),IF(BR$5=$E123+1,$C123,""),"")</f>
        <v/>
      </c>
      <c r="BS123" s="34">
        <f>IF(AND(BS$5&gt;$E123,BS$5&lt;=$F123),IF(BS$5=$E123+1,$C123,""),"")</f>
        <v/>
      </c>
      <c r="BT123" s="34">
        <f>IF(AND(BT$5&gt;$E123,BT$5&lt;=$F123),IF(BT$5=$E123+1,$C123,""),"")</f>
        <v/>
      </c>
      <c r="BU123" s="34">
        <f>IF(AND(BU$5&gt;$E123,BU$5&lt;=$F123),IF(BU$5=$E123+1,$C123,""),"")</f>
        <v/>
      </c>
      <c r="BV123" s="34">
        <f>IF(AND(BV$5&gt;$E123,BV$5&lt;=$F123),IF(BV$5=$E123+1,$C123,""),"")</f>
        <v/>
      </c>
      <c r="BW123" s="34">
        <f>IF(AND(BW$5&gt;$E123,BW$5&lt;=$F123),IF(BW$5=$E123+1,$C123,""),"")</f>
        <v/>
      </c>
      <c r="BX123" s="34">
        <f>IF(AND(BX$5&gt;$E123,BX$5&lt;=$F123),IF(BX$5=$E123+1,$C123,""),"")</f>
        <v/>
      </c>
      <c r="BY123" s="34">
        <f>IF(AND(BY$5&gt;$E123,BY$5&lt;=$F123),IF(BY$5=$E123+1,$C123,""),"")</f>
        <v/>
      </c>
      <c r="BZ123" s="34">
        <f>IF(AND(BZ$5&gt;$E123,BZ$5&lt;=$F123),IF(BZ$5=$E123+1,$C123,""),"")</f>
        <v/>
      </c>
      <c r="CA123" s="34">
        <f>IF(AND(CA$5&gt;$E123,CA$5&lt;=$F123),IF(CA$5=$E123+1,$C123,""),"")</f>
        <v/>
      </c>
      <c r="CB123" s="34">
        <f>IF(AND(CB$5&gt;$E123,CB$5&lt;=$F123),IF(CB$5=$E123+1,$C123,""),"")</f>
        <v/>
      </c>
      <c r="CC123" s="34">
        <f>IF(AND(CC$5&gt;$E123,CC$5&lt;=$F123),IF(CC$5=$E123+1,$C123,""),"")</f>
        <v/>
      </c>
      <c r="CD123" s="34">
        <f>IF(AND(CD$5&gt;$E123,CD$5&lt;=$F123),IF(CD$5=$E123+1,$C123,""),"")</f>
        <v/>
      </c>
      <c r="CE123" s="34">
        <f>IF(AND(CE$5&gt;$E123,CE$5&lt;=$F123),IF(CE$5=$E123+1,$C123,""),"")</f>
        <v/>
      </c>
      <c r="CF123" s="34">
        <f>IF(AND(CF$5&gt;$E123,CF$5&lt;=$F123),IF(CF$5=$E123+1,$C123,""),"")</f>
        <v/>
      </c>
      <c r="CG123" s="34">
        <f>IF(AND(CG$5&gt;$E123,CG$5&lt;=$F123),IF(CG$5=$E123+1,$C123,""),"")</f>
        <v/>
      </c>
      <c r="CH123" s="34">
        <f>IF(AND(CH$5&gt;$E123,CH$5&lt;=$F123),IF(CH$5=$E123+1,$C123,""),"")</f>
        <v/>
      </c>
      <c r="CI123" s="34">
        <f>IF(AND(CI$5&gt;$E123,CI$5&lt;=$F123),IF(CI$5=$E123+1,$C123,""),"")</f>
        <v/>
      </c>
      <c r="CJ123" s="34">
        <f>IF(AND(CJ$5&gt;$E123,CJ$5&lt;=$F123),IF(CJ$5=$E123+1,$C123,""),"")</f>
        <v/>
      </c>
      <c r="CK123" s="34">
        <f>IF(AND(CK$5&gt;$E123,CK$5&lt;=$F123),IF(CK$5=$E123+1,$C123,""),"")</f>
        <v/>
      </c>
      <c r="CL123" s="34">
        <f>IF(AND(CL$5&gt;$E123,CL$5&lt;=$F123),IF(CL$5=$E123+1,$C123,""),"")</f>
        <v/>
      </c>
      <c r="CM123" s="34">
        <f>IF(AND(CM$5&gt;$E123,CM$5&lt;=$F123),IF(CM$5=$E123+1,$C123,""),"")</f>
        <v/>
      </c>
      <c r="CN123" s="34">
        <f>IF(AND(CN$5&gt;$E123,CN$5&lt;=$F123),IF(CN$5=$E123+1,$C123,""),"")</f>
        <v/>
      </c>
      <c r="CO123" s="34">
        <f>IF(AND(CO$5&gt;$E123,CO$5&lt;=$F123),IF(CO$5=$E123+1,$C123,""),"")</f>
        <v/>
      </c>
      <c r="CP123" s="34">
        <f>IF(AND(CP$5&gt;$E123,CP$5&lt;=$F123),IF(CP$5=$E123+1,$C123,""),"")</f>
        <v/>
      </c>
      <c r="CQ123" s="34">
        <f>IF(AND(CQ$5&gt;$E123,CQ$5&lt;=$F123),IF(CQ$5=$E123+1,$C123,""),"")</f>
        <v/>
      </c>
      <c r="CR123" s="34">
        <f>IF(AND(CR$5&gt;$E123,CR$5&lt;=$F123),IF(CR$5=$E123+1,$C123,""),"")</f>
        <v/>
      </c>
      <c r="CS123" s="34">
        <f>IF(AND(CS$5&gt;$E123,CS$5&lt;=$F123),IF(CS$5=$E123+1,$C123,""),"")</f>
        <v/>
      </c>
      <c r="CT123" s="34">
        <f>IF(AND(CT$5&gt;$E123,CT$5&lt;=$F123),IF(CT$5=$E123+1,$C123,""),"")</f>
        <v/>
      </c>
      <c r="CU123" s="34">
        <f>IF(AND(CU$5&gt;$E123,CU$5&lt;=$F123),IF(CU$5=$E123+1,$C123,""),"")</f>
        <v/>
      </c>
      <c r="CV123" s="34">
        <f>IF(AND(CV$5&gt;$E123,CV$5&lt;=$F123),IF(CV$5=$E123+1,$C123,""),"")</f>
        <v/>
      </c>
      <c r="CW123" s="34">
        <f>IF(AND(CW$5&gt;$E123,CW$5&lt;=$F123),IF(CW$5=$E123+1,$C123,""),"")</f>
        <v/>
      </c>
      <c r="CX123" s="34">
        <f>IF(AND(CX$5&gt;$E123,CX$5&lt;=$F123),IF(CX$5=$E123+1,$C123,""),"")</f>
        <v/>
      </c>
      <c r="CY123" s="34">
        <f>IF(AND(CY$5&gt;$E123,CY$5&lt;=$F123),IF(CY$5=$E123+1,$C123,""),"")</f>
        <v/>
      </c>
      <c r="CZ123" s="34">
        <f>IF(AND(CZ$5&gt;$E123,CZ$5&lt;=$F123),IF(CZ$5=$E123+1,$C123,""),"")</f>
        <v/>
      </c>
      <c r="DA123" s="34">
        <f>IF(AND(DA$5&gt;$E123,DA$5&lt;=$F123),IF(DA$5=$E123+1,$C123,""),"")</f>
        <v/>
      </c>
      <c r="DB123" s="34">
        <f>IF(AND(DB$5&gt;$E123,DB$5&lt;=$F123),IF(DB$5=$E123+1,$C123,""),"")</f>
        <v/>
      </c>
      <c r="DC123" s="34">
        <f>IF(AND(DC$5&gt;$E123,DC$5&lt;=$F123),IF(DC$5=$E123+1,$C123,""),"")</f>
        <v/>
      </c>
      <c r="DD123" s="34">
        <f>IF(AND(DD$5&gt;$E123,DD$5&lt;=$F123),IF(DD$5=$E123+1,$C123,""),"")</f>
        <v/>
      </c>
      <c r="DE123" s="34">
        <f>IF(AND(DE$5&gt;$E123,DE$5&lt;=$F123),IF(DE$5=$E123+1,$C123,""),"")</f>
        <v/>
      </c>
      <c r="DF123" s="34">
        <f>IF(AND(DF$5&gt;$E123,DF$5&lt;=$F123),IF(DF$5=$E123+1,$C123,""),"")</f>
        <v/>
      </c>
      <c r="DG123" s="34">
        <f>IF(AND(DG$5&gt;$E123,DG$5&lt;=$F123),IF(DG$5=$E123+1,$C123,""),"")</f>
        <v/>
      </c>
      <c r="DH123" s="34">
        <f>IF(AND(DH$5&gt;$E123,DH$5&lt;=$F123),IF(DH$5=$E123+1,$C123,""),"")</f>
        <v/>
      </c>
      <c r="DI123" s="34">
        <f>IF(AND(DI$5&gt;$E123,DI$5&lt;=$F123),IF(DI$5=$E123+1,$C123,""),"")</f>
        <v/>
      </c>
      <c r="DJ123" s="34">
        <f>IF(AND(DJ$5&gt;$E123,DJ$5&lt;=$F123),IF(DJ$5=$E123+1,$C123,""),"")</f>
        <v/>
      </c>
      <c r="DK123" s="34">
        <f>IF(AND(DK$5&gt;$E123,DK$5&lt;=$F123),IF(DK$5=$E123+1,$C123,""),"")</f>
        <v/>
      </c>
      <c r="DL123" s="34">
        <f>IF(AND(DL$5&gt;$E123,DL$5&lt;=$F123),IF(DL$5=$E123+1,$C123,""),"")</f>
        <v/>
      </c>
      <c r="DM123" s="34">
        <f>IF(AND(DM$5&gt;$E123,DM$5&lt;=$F123),IF(DM$5=$E123+1,$C123,""),"")</f>
        <v/>
      </c>
      <c r="DN123" s="34">
        <f>IF(AND(DN$5&gt;$E123,DN$5&lt;=$F123),IF(DN$5=$E123+1,$C123,""),"")</f>
        <v/>
      </c>
      <c r="DO123" s="34">
        <f>IF(AND(DO$5&gt;$E123,DO$5&lt;=$F123),IF(DO$5=$E123+1,$C123,""),"")</f>
        <v/>
      </c>
      <c r="DP123" s="34">
        <f>IF(AND(DP$5&gt;$E123,DP$5&lt;=$F123),IF(DP$5=$E123+1,$C123,""),"")</f>
        <v/>
      </c>
      <c r="DQ123" s="34">
        <f>IF(AND(DQ$5&gt;$E123,DQ$5&lt;=$F123),IF(DQ$5=$E123+1,$C123,""),"")</f>
        <v/>
      </c>
      <c r="DR123" s="34">
        <f>IF(AND(DR$5&gt;$E123,DR$5&lt;=$F123),IF(DR$5=$E123+1,$C123,""),"")</f>
        <v/>
      </c>
      <c r="DS123" s="34">
        <f>IF(AND(DS$5&gt;$E123,DS$5&lt;=$F123),IF(DS$5=$E123+1,$C123,""),"")</f>
        <v/>
      </c>
      <c r="DT123" s="34">
        <f>IF(AND(DT$5&gt;$E123,DT$5&lt;=$F123),IF(DT$5=$E123+1,$C123,""),"")</f>
        <v/>
      </c>
      <c r="DU123" s="34">
        <f>IF(AND(DU$5&gt;$E123,DU$5&lt;=$F123),IF(DU$5=$E123+1,$C123,""),"")</f>
        <v/>
      </c>
      <c r="DV123" s="34">
        <f>IF(AND(DV$5&gt;$E123,DV$5&lt;=$F123),IF(DV$5=$E123+1,$C123,""),"")</f>
        <v/>
      </c>
      <c r="DW123" s="34">
        <f>IF(AND(DW$5&gt;$E123,DW$5&lt;=$F123),IF(DW$5=$E123+1,$C123,""),"")</f>
        <v/>
      </c>
      <c r="DX123" s="34">
        <f>IF(AND(DX$5&gt;$E123,DX$5&lt;=$F123),IF(DX$5=$E123+1,$C123,""),"")</f>
        <v/>
      </c>
      <c r="DY123" s="34">
        <f>IF(AND(DY$5&gt;$E123,DY$5&lt;=$F123),IF(DY$5=$E123+1,$C123,""),"")</f>
        <v/>
      </c>
      <c r="DZ123" s="34">
        <f>IF(AND(DZ$5&gt;$E123,DZ$5&lt;=$F123),IF(DZ$5=$E123+1,$C123,""),"")</f>
        <v/>
      </c>
      <c r="EA123" s="34">
        <f>IF(AND(EA$5&gt;$E123,EA$5&lt;=$F123),IF(EA$5=$E123+1,$C123,""),"")</f>
        <v/>
      </c>
      <c r="EB123" s="34">
        <f>IF(AND(EB$5&gt;$E123,EB$5&lt;=$F123),IF(EB$5=$E123+1,$C123,""),"")</f>
        <v/>
      </c>
      <c r="EC123" s="34">
        <f>IF(AND(EC$5&gt;$E123,EC$5&lt;=$F123),IF(EC$5=$E123+1,$C123,""),"")</f>
        <v/>
      </c>
      <c r="ED123" s="34">
        <f>IF(AND(ED$5&gt;$E123,ED$5&lt;=$F123),IF(ED$5=$E123+1,$C123,""),"")</f>
        <v/>
      </c>
      <c r="EE123" s="34">
        <f>IF(AND(EE$5&gt;$E123,EE$5&lt;=$F123),IF(EE$5=$E123+1,$C123,""),"")</f>
        <v/>
      </c>
      <c r="EF123" s="34">
        <f>IF(AND(EF$5&gt;$E123,EF$5&lt;=$F123),IF(EF$5=$E123+1,$C123,""),"")</f>
        <v/>
      </c>
      <c r="EG123" s="34">
        <f>IF(AND(EG$5&gt;$E123,EG$5&lt;=$F123),IF(EG$5=$E123+1,$C123,""),"")</f>
        <v/>
      </c>
    </row>
    <row r="124">
      <c r="A124" s="32">
        <f>Plan!A114</f>
        <v/>
      </c>
      <c r="B124" s="33">
        <f>Plan!C114</f>
        <v/>
      </c>
      <c r="C124" s="16">
        <f>Plan!D114</f>
        <v/>
      </c>
      <c r="D124" s="16">
        <f>Plan!I114</f>
        <v/>
      </c>
      <c r="E124" s="16">
        <f>Plan!K114</f>
        <v/>
      </c>
      <c r="F124" s="16">
        <f>Plan!L114</f>
        <v/>
      </c>
      <c r="G124" s="16">
        <f>Plan!O114</f>
        <v/>
      </c>
      <c r="H124" s="34">
        <f>IF(AND(H$5&gt;$E124,H$5&lt;=$F124),IF(H$5=$E124+1,$C124,""),"")</f>
        <v/>
      </c>
      <c r="I124" s="34">
        <f>IF(AND(I$5&gt;$E124,I$5&lt;=$F124),IF(I$5=$E124+1,$C124,""),"")</f>
        <v/>
      </c>
      <c r="J124" s="34">
        <f>IF(AND(J$5&gt;$E124,J$5&lt;=$F124),IF(J$5=$E124+1,$C124,""),"")</f>
        <v/>
      </c>
      <c r="K124" s="34">
        <f>IF(AND(K$5&gt;$E124,K$5&lt;=$F124),IF(K$5=$E124+1,$C124,""),"")</f>
        <v/>
      </c>
      <c r="L124" s="34">
        <f>IF(AND(L$5&gt;$E124,L$5&lt;=$F124),IF(L$5=$E124+1,$C124,""),"")</f>
        <v/>
      </c>
      <c r="M124" s="34">
        <f>IF(AND(M$5&gt;$E124,M$5&lt;=$F124),IF(M$5=$E124+1,$C124,""),"")</f>
        <v/>
      </c>
      <c r="N124" s="34">
        <f>IF(AND(N$5&gt;$E124,N$5&lt;=$F124),IF(N$5=$E124+1,$C124,""),"")</f>
        <v/>
      </c>
      <c r="O124" s="34">
        <f>IF(AND(O$5&gt;$E124,O$5&lt;=$F124),IF(O$5=$E124+1,$C124,""),"")</f>
        <v/>
      </c>
      <c r="P124" s="34">
        <f>IF(AND(P$5&gt;$E124,P$5&lt;=$F124),IF(P$5=$E124+1,$C124,""),"")</f>
        <v/>
      </c>
      <c r="Q124" s="34">
        <f>IF(AND(Q$5&gt;$E124,Q$5&lt;=$F124),IF(Q$5=$E124+1,$C124,""),"")</f>
        <v/>
      </c>
      <c r="R124" s="34">
        <f>IF(AND(R$5&gt;$E124,R$5&lt;=$F124),IF(R$5=$E124+1,$C124,""),"")</f>
        <v/>
      </c>
      <c r="S124" s="34">
        <f>IF(AND(S$5&gt;$E124,S$5&lt;=$F124),IF(S$5=$E124+1,$C124,""),"")</f>
        <v/>
      </c>
      <c r="T124" s="34">
        <f>IF(AND(T$5&gt;$E124,T$5&lt;=$F124),IF(T$5=$E124+1,$C124,""),"")</f>
        <v/>
      </c>
      <c r="U124" s="34">
        <f>IF(AND(U$5&gt;$E124,U$5&lt;=$F124),IF(U$5=$E124+1,$C124,""),"")</f>
        <v/>
      </c>
      <c r="V124" s="34">
        <f>IF(AND(V$5&gt;$E124,V$5&lt;=$F124),IF(V$5=$E124+1,$C124,""),"")</f>
        <v/>
      </c>
      <c r="W124" s="34">
        <f>IF(AND(W$5&gt;$E124,W$5&lt;=$F124),IF(W$5=$E124+1,$C124,""),"")</f>
        <v/>
      </c>
      <c r="X124" s="34">
        <f>IF(AND(X$5&gt;$E124,X$5&lt;=$F124),IF(X$5=$E124+1,$C124,""),"")</f>
        <v/>
      </c>
      <c r="Y124" s="34">
        <f>IF(AND(Y$5&gt;$E124,Y$5&lt;=$F124),IF(Y$5=$E124+1,$C124,""),"")</f>
        <v/>
      </c>
      <c r="Z124" s="34">
        <f>IF(AND(Z$5&gt;$E124,Z$5&lt;=$F124),IF(Z$5=$E124+1,$C124,""),"")</f>
        <v/>
      </c>
      <c r="AA124" s="34">
        <f>IF(AND(AA$5&gt;$E124,AA$5&lt;=$F124),IF(AA$5=$E124+1,$C124,""),"")</f>
        <v/>
      </c>
      <c r="AB124" s="34">
        <f>IF(AND(AB$5&gt;$E124,AB$5&lt;=$F124),IF(AB$5=$E124+1,$C124,""),"")</f>
        <v/>
      </c>
      <c r="AC124" s="34">
        <f>IF(AND(AC$5&gt;$E124,AC$5&lt;=$F124),IF(AC$5=$E124+1,$C124,""),"")</f>
        <v/>
      </c>
      <c r="AD124" s="34">
        <f>IF(AND(AD$5&gt;$E124,AD$5&lt;=$F124),IF(AD$5=$E124+1,$C124,""),"")</f>
        <v/>
      </c>
      <c r="AE124" s="34">
        <f>IF(AND(AE$5&gt;$E124,AE$5&lt;=$F124),IF(AE$5=$E124+1,$C124,""),"")</f>
        <v/>
      </c>
      <c r="AF124" s="34">
        <f>IF(AND(AF$5&gt;$E124,AF$5&lt;=$F124),IF(AF$5=$E124+1,$C124,""),"")</f>
        <v/>
      </c>
      <c r="AG124" s="34">
        <f>IF(AND(AG$5&gt;$E124,AG$5&lt;=$F124),IF(AG$5=$E124+1,$C124,""),"")</f>
        <v/>
      </c>
      <c r="AH124" s="34">
        <f>IF(AND(AH$5&gt;$E124,AH$5&lt;=$F124),IF(AH$5=$E124+1,$C124,""),"")</f>
        <v/>
      </c>
      <c r="AI124" s="34">
        <f>IF(AND(AI$5&gt;$E124,AI$5&lt;=$F124),IF(AI$5=$E124+1,$C124,""),"")</f>
        <v/>
      </c>
      <c r="AJ124" s="34">
        <f>IF(AND(AJ$5&gt;$E124,AJ$5&lt;=$F124),IF(AJ$5=$E124+1,$C124,""),"")</f>
        <v/>
      </c>
      <c r="AK124" s="34">
        <f>IF(AND(AK$5&gt;$E124,AK$5&lt;=$F124),IF(AK$5=$E124+1,$C124,""),"")</f>
        <v/>
      </c>
      <c r="AL124" s="34">
        <f>IF(AND(AL$5&gt;$E124,AL$5&lt;=$F124),IF(AL$5=$E124+1,$C124,""),"")</f>
        <v/>
      </c>
      <c r="AM124" s="34">
        <f>IF(AND(AM$5&gt;$E124,AM$5&lt;=$F124),IF(AM$5=$E124+1,$C124,""),"")</f>
        <v/>
      </c>
      <c r="AN124" s="34">
        <f>IF(AND(AN$5&gt;$E124,AN$5&lt;=$F124),IF(AN$5=$E124+1,$C124,""),"")</f>
        <v/>
      </c>
      <c r="AO124" s="34">
        <f>IF(AND(AO$5&gt;$E124,AO$5&lt;=$F124),IF(AO$5=$E124+1,$C124,""),"")</f>
        <v/>
      </c>
      <c r="AP124" s="34">
        <f>IF(AND(AP$5&gt;$E124,AP$5&lt;=$F124),IF(AP$5=$E124+1,$C124,""),"")</f>
        <v/>
      </c>
      <c r="AQ124" s="34">
        <f>IF(AND(AQ$5&gt;$E124,AQ$5&lt;=$F124),IF(AQ$5=$E124+1,$C124,""),"")</f>
        <v/>
      </c>
      <c r="AR124" s="34">
        <f>IF(AND(AR$5&gt;$E124,AR$5&lt;=$F124),IF(AR$5=$E124+1,$C124,""),"")</f>
        <v/>
      </c>
      <c r="AS124" s="34">
        <f>IF(AND(AS$5&gt;$E124,AS$5&lt;=$F124),IF(AS$5=$E124+1,$C124,""),"")</f>
        <v/>
      </c>
      <c r="AT124" s="34">
        <f>IF(AND(AT$5&gt;$E124,AT$5&lt;=$F124),IF(AT$5=$E124+1,$C124,""),"")</f>
        <v/>
      </c>
      <c r="AU124" s="34">
        <f>IF(AND(AU$5&gt;$E124,AU$5&lt;=$F124),IF(AU$5=$E124+1,$C124,""),"")</f>
        <v/>
      </c>
      <c r="AV124" s="34">
        <f>IF(AND(AV$5&gt;$E124,AV$5&lt;=$F124),IF(AV$5=$E124+1,$C124,""),"")</f>
        <v/>
      </c>
      <c r="AW124" s="34">
        <f>IF(AND(AW$5&gt;$E124,AW$5&lt;=$F124),IF(AW$5=$E124+1,$C124,""),"")</f>
        <v/>
      </c>
      <c r="AX124" s="34">
        <f>IF(AND(AX$5&gt;$E124,AX$5&lt;=$F124),IF(AX$5=$E124+1,$C124,""),"")</f>
        <v/>
      </c>
      <c r="AY124" s="34">
        <f>IF(AND(AY$5&gt;$E124,AY$5&lt;=$F124),IF(AY$5=$E124+1,$C124,""),"")</f>
        <v/>
      </c>
      <c r="AZ124" s="34">
        <f>IF(AND(AZ$5&gt;$E124,AZ$5&lt;=$F124),IF(AZ$5=$E124+1,$C124,""),"")</f>
        <v/>
      </c>
      <c r="BA124" s="34">
        <f>IF(AND(BA$5&gt;$E124,BA$5&lt;=$F124),IF(BA$5=$E124+1,$C124,""),"")</f>
        <v/>
      </c>
      <c r="BB124" s="34">
        <f>IF(AND(BB$5&gt;$E124,BB$5&lt;=$F124),IF(BB$5=$E124+1,$C124,""),"")</f>
        <v/>
      </c>
      <c r="BC124" s="34">
        <f>IF(AND(BC$5&gt;$E124,BC$5&lt;=$F124),IF(BC$5=$E124+1,$C124,""),"")</f>
        <v/>
      </c>
      <c r="BD124" s="34">
        <f>IF(AND(BD$5&gt;$E124,BD$5&lt;=$F124),IF(BD$5=$E124+1,$C124,""),"")</f>
        <v/>
      </c>
      <c r="BE124" s="34">
        <f>IF(AND(BE$5&gt;$E124,BE$5&lt;=$F124),IF(BE$5=$E124+1,$C124,""),"")</f>
        <v/>
      </c>
      <c r="BF124" s="34">
        <f>IF(AND(BF$5&gt;$E124,BF$5&lt;=$F124),IF(BF$5=$E124+1,$C124,""),"")</f>
        <v/>
      </c>
      <c r="BG124" s="34">
        <f>IF(AND(BG$5&gt;$E124,BG$5&lt;=$F124),IF(BG$5=$E124+1,$C124,""),"")</f>
        <v/>
      </c>
      <c r="BH124" s="34">
        <f>IF(AND(BH$5&gt;$E124,BH$5&lt;=$F124),IF(BH$5=$E124+1,$C124,""),"")</f>
        <v/>
      </c>
      <c r="BI124" s="34">
        <f>IF(AND(BI$5&gt;$E124,BI$5&lt;=$F124),IF(BI$5=$E124+1,$C124,""),"")</f>
        <v/>
      </c>
      <c r="BJ124" s="34">
        <f>IF(AND(BJ$5&gt;$E124,BJ$5&lt;=$F124),IF(BJ$5=$E124+1,$C124,""),"")</f>
        <v/>
      </c>
      <c r="BK124" s="34">
        <f>IF(AND(BK$5&gt;$E124,BK$5&lt;=$F124),IF(BK$5=$E124+1,$C124,""),"")</f>
        <v/>
      </c>
      <c r="BL124" s="34">
        <f>IF(AND(BL$5&gt;$E124,BL$5&lt;=$F124),IF(BL$5=$E124+1,$C124,""),"")</f>
        <v/>
      </c>
      <c r="BM124" s="34">
        <f>IF(AND(BM$5&gt;$E124,BM$5&lt;=$F124),IF(BM$5=$E124+1,$C124,""),"")</f>
        <v/>
      </c>
      <c r="BN124" s="34">
        <f>IF(AND(BN$5&gt;$E124,BN$5&lt;=$F124),IF(BN$5=$E124+1,$C124,""),"")</f>
        <v/>
      </c>
      <c r="BO124" s="34">
        <f>IF(AND(BO$5&gt;$E124,BO$5&lt;=$F124),IF(BO$5=$E124+1,$C124,""),"")</f>
        <v/>
      </c>
      <c r="BP124" s="34">
        <f>IF(AND(BP$5&gt;$E124,BP$5&lt;=$F124),IF(BP$5=$E124+1,$C124,""),"")</f>
        <v/>
      </c>
      <c r="BQ124" s="34">
        <f>IF(AND(BQ$5&gt;$E124,BQ$5&lt;=$F124),IF(BQ$5=$E124+1,$C124,""),"")</f>
        <v/>
      </c>
      <c r="BR124" s="34">
        <f>IF(AND(BR$5&gt;$E124,BR$5&lt;=$F124),IF(BR$5=$E124+1,$C124,""),"")</f>
        <v/>
      </c>
      <c r="BS124" s="34">
        <f>IF(AND(BS$5&gt;$E124,BS$5&lt;=$F124),IF(BS$5=$E124+1,$C124,""),"")</f>
        <v/>
      </c>
      <c r="BT124" s="34">
        <f>IF(AND(BT$5&gt;$E124,BT$5&lt;=$F124),IF(BT$5=$E124+1,$C124,""),"")</f>
        <v/>
      </c>
      <c r="BU124" s="34">
        <f>IF(AND(BU$5&gt;$E124,BU$5&lt;=$F124),IF(BU$5=$E124+1,$C124,""),"")</f>
        <v/>
      </c>
      <c r="BV124" s="34">
        <f>IF(AND(BV$5&gt;$E124,BV$5&lt;=$F124),IF(BV$5=$E124+1,$C124,""),"")</f>
        <v/>
      </c>
      <c r="BW124" s="34">
        <f>IF(AND(BW$5&gt;$E124,BW$5&lt;=$F124),IF(BW$5=$E124+1,$C124,""),"")</f>
        <v/>
      </c>
      <c r="BX124" s="34">
        <f>IF(AND(BX$5&gt;$E124,BX$5&lt;=$F124),IF(BX$5=$E124+1,$C124,""),"")</f>
        <v/>
      </c>
      <c r="BY124" s="34">
        <f>IF(AND(BY$5&gt;$E124,BY$5&lt;=$F124),IF(BY$5=$E124+1,$C124,""),"")</f>
        <v/>
      </c>
      <c r="BZ124" s="34">
        <f>IF(AND(BZ$5&gt;$E124,BZ$5&lt;=$F124),IF(BZ$5=$E124+1,$C124,""),"")</f>
        <v/>
      </c>
      <c r="CA124" s="34">
        <f>IF(AND(CA$5&gt;$E124,CA$5&lt;=$F124),IF(CA$5=$E124+1,$C124,""),"")</f>
        <v/>
      </c>
      <c r="CB124" s="34">
        <f>IF(AND(CB$5&gt;$E124,CB$5&lt;=$F124),IF(CB$5=$E124+1,$C124,""),"")</f>
        <v/>
      </c>
      <c r="CC124" s="34">
        <f>IF(AND(CC$5&gt;$E124,CC$5&lt;=$F124),IF(CC$5=$E124+1,$C124,""),"")</f>
        <v/>
      </c>
      <c r="CD124" s="34">
        <f>IF(AND(CD$5&gt;$E124,CD$5&lt;=$F124),IF(CD$5=$E124+1,$C124,""),"")</f>
        <v/>
      </c>
      <c r="CE124" s="34">
        <f>IF(AND(CE$5&gt;$E124,CE$5&lt;=$F124),IF(CE$5=$E124+1,$C124,""),"")</f>
        <v/>
      </c>
      <c r="CF124" s="34">
        <f>IF(AND(CF$5&gt;$E124,CF$5&lt;=$F124),IF(CF$5=$E124+1,$C124,""),"")</f>
        <v/>
      </c>
      <c r="CG124" s="34">
        <f>IF(AND(CG$5&gt;$E124,CG$5&lt;=$F124),IF(CG$5=$E124+1,$C124,""),"")</f>
        <v/>
      </c>
      <c r="CH124" s="34">
        <f>IF(AND(CH$5&gt;$E124,CH$5&lt;=$F124),IF(CH$5=$E124+1,$C124,""),"")</f>
        <v/>
      </c>
      <c r="CI124" s="34">
        <f>IF(AND(CI$5&gt;$E124,CI$5&lt;=$F124),IF(CI$5=$E124+1,$C124,""),"")</f>
        <v/>
      </c>
      <c r="CJ124" s="34">
        <f>IF(AND(CJ$5&gt;$E124,CJ$5&lt;=$F124),IF(CJ$5=$E124+1,$C124,""),"")</f>
        <v/>
      </c>
      <c r="CK124" s="34">
        <f>IF(AND(CK$5&gt;$E124,CK$5&lt;=$F124),IF(CK$5=$E124+1,$C124,""),"")</f>
        <v/>
      </c>
      <c r="CL124" s="34">
        <f>IF(AND(CL$5&gt;$E124,CL$5&lt;=$F124),IF(CL$5=$E124+1,$C124,""),"")</f>
        <v/>
      </c>
      <c r="CM124" s="34">
        <f>IF(AND(CM$5&gt;$E124,CM$5&lt;=$F124),IF(CM$5=$E124+1,$C124,""),"")</f>
        <v/>
      </c>
      <c r="CN124" s="34">
        <f>IF(AND(CN$5&gt;$E124,CN$5&lt;=$F124),IF(CN$5=$E124+1,$C124,""),"")</f>
        <v/>
      </c>
      <c r="CO124" s="34">
        <f>IF(AND(CO$5&gt;$E124,CO$5&lt;=$F124),IF(CO$5=$E124+1,$C124,""),"")</f>
        <v/>
      </c>
      <c r="CP124" s="34">
        <f>IF(AND(CP$5&gt;$E124,CP$5&lt;=$F124),IF(CP$5=$E124+1,$C124,""),"")</f>
        <v/>
      </c>
      <c r="CQ124" s="34">
        <f>IF(AND(CQ$5&gt;$E124,CQ$5&lt;=$F124),IF(CQ$5=$E124+1,$C124,""),"")</f>
        <v/>
      </c>
      <c r="CR124" s="34">
        <f>IF(AND(CR$5&gt;$E124,CR$5&lt;=$F124),IF(CR$5=$E124+1,$C124,""),"")</f>
        <v/>
      </c>
      <c r="CS124" s="34">
        <f>IF(AND(CS$5&gt;$E124,CS$5&lt;=$F124),IF(CS$5=$E124+1,$C124,""),"")</f>
        <v/>
      </c>
      <c r="CT124" s="34">
        <f>IF(AND(CT$5&gt;$E124,CT$5&lt;=$F124),IF(CT$5=$E124+1,$C124,""),"")</f>
        <v/>
      </c>
      <c r="CU124" s="34">
        <f>IF(AND(CU$5&gt;$E124,CU$5&lt;=$F124),IF(CU$5=$E124+1,$C124,""),"")</f>
        <v/>
      </c>
      <c r="CV124" s="34">
        <f>IF(AND(CV$5&gt;$E124,CV$5&lt;=$F124),IF(CV$5=$E124+1,$C124,""),"")</f>
        <v/>
      </c>
      <c r="CW124" s="34">
        <f>IF(AND(CW$5&gt;$E124,CW$5&lt;=$F124),IF(CW$5=$E124+1,$C124,""),"")</f>
        <v/>
      </c>
      <c r="CX124" s="34">
        <f>IF(AND(CX$5&gt;$E124,CX$5&lt;=$F124),IF(CX$5=$E124+1,$C124,""),"")</f>
        <v/>
      </c>
      <c r="CY124" s="34">
        <f>IF(AND(CY$5&gt;$E124,CY$5&lt;=$F124),IF(CY$5=$E124+1,$C124,""),"")</f>
        <v/>
      </c>
      <c r="CZ124" s="34">
        <f>IF(AND(CZ$5&gt;$E124,CZ$5&lt;=$F124),IF(CZ$5=$E124+1,$C124,""),"")</f>
        <v/>
      </c>
      <c r="DA124" s="34">
        <f>IF(AND(DA$5&gt;$E124,DA$5&lt;=$F124),IF(DA$5=$E124+1,$C124,""),"")</f>
        <v/>
      </c>
      <c r="DB124" s="34">
        <f>IF(AND(DB$5&gt;$E124,DB$5&lt;=$F124),IF(DB$5=$E124+1,$C124,""),"")</f>
        <v/>
      </c>
      <c r="DC124" s="34">
        <f>IF(AND(DC$5&gt;$E124,DC$5&lt;=$F124),IF(DC$5=$E124+1,$C124,""),"")</f>
        <v/>
      </c>
      <c r="DD124" s="34">
        <f>IF(AND(DD$5&gt;$E124,DD$5&lt;=$F124),IF(DD$5=$E124+1,$C124,""),"")</f>
        <v/>
      </c>
      <c r="DE124" s="34">
        <f>IF(AND(DE$5&gt;$E124,DE$5&lt;=$F124),IF(DE$5=$E124+1,$C124,""),"")</f>
        <v/>
      </c>
      <c r="DF124" s="34">
        <f>IF(AND(DF$5&gt;$E124,DF$5&lt;=$F124),IF(DF$5=$E124+1,$C124,""),"")</f>
        <v/>
      </c>
      <c r="DG124" s="34">
        <f>IF(AND(DG$5&gt;$E124,DG$5&lt;=$F124),IF(DG$5=$E124+1,$C124,""),"")</f>
        <v/>
      </c>
      <c r="DH124" s="34">
        <f>IF(AND(DH$5&gt;$E124,DH$5&lt;=$F124),IF(DH$5=$E124+1,$C124,""),"")</f>
        <v/>
      </c>
      <c r="DI124" s="34">
        <f>IF(AND(DI$5&gt;$E124,DI$5&lt;=$F124),IF(DI$5=$E124+1,$C124,""),"")</f>
        <v/>
      </c>
      <c r="DJ124" s="34">
        <f>IF(AND(DJ$5&gt;$E124,DJ$5&lt;=$F124),IF(DJ$5=$E124+1,$C124,""),"")</f>
        <v/>
      </c>
      <c r="DK124" s="34">
        <f>IF(AND(DK$5&gt;$E124,DK$5&lt;=$F124),IF(DK$5=$E124+1,$C124,""),"")</f>
        <v/>
      </c>
      <c r="DL124" s="34">
        <f>IF(AND(DL$5&gt;$E124,DL$5&lt;=$F124),IF(DL$5=$E124+1,$C124,""),"")</f>
        <v/>
      </c>
      <c r="DM124" s="34">
        <f>IF(AND(DM$5&gt;$E124,DM$5&lt;=$F124),IF(DM$5=$E124+1,$C124,""),"")</f>
        <v/>
      </c>
      <c r="DN124" s="34">
        <f>IF(AND(DN$5&gt;$E124,DN$5&lt;=$F124),IF(DN$5=$E124+1,$C124,""),"")</f>
        <v/>
      </c>
      <c r="DO124" s="34">
        <f>IF(AND(DO$5&gt;$E124,DO$5&lt;=$F124),IF(DO$5=$E124+1,$C124,""),"")</f>
        <v/>
      </c>
      <c r="DP124" s="34">
        <f>IF(AND(DP$5&gt;$E124,DP$5&lt;=$F124),IF(DP$5=$E124+1,$C124,""),"")</f>
        <v/>
      </c>
      <c r="DQ124" s="34">
        <f>IF(AND(DQ$5&gt;$E124,DQ$5&lt;=$F124),IF(DQ$5=$E124+1,$C124,""),"")</f>
        <v/>
      </c>
      <c r="DR124" s="34">
        <f>IF(AND(DR$5&gt;$E124,DR$5&lt;=$F124),IF(DR$5=$E124+1,$C124,""),"")</f>
        <v/>
      </c>
      <c r="DS124" s="34">
        <f>IF(AND(DS$5&gt;$E124,DS$5&lt;=$F124),IF(DS$5=$E124+1,$C124,""),"")</f>
        <v/>
      </c>
      <c r="DT124" s="34">
        <f>IF(AND(DT$5&gt;$E124,DT$5&lt;=$F124),IF(DT$5=$E124+1,$C124,""),"")</f>
        <v/>
      </c>
      <c r="DU124" s="34">
        <f>IF(AND(DU$5&gt;$E124,DU$5&lt;=$F124),IF(DU$5=$E124+1,$C124,""),"")</f>
        <v/>
      </c>
      <c r="DV124" s="34">
        <f>IF(AND(DV$5&gt;$E124,DV$5&lt;=$F124),IF(DV$5=$E124+1,$C124,""),"")</f>
        <v/>
      </c>
      <c r="DW124" s="34">
        <f>IF(AND(DW$5&gt;$E124,DW$5&lt;=$F124),IF(DW$5=$E124+1,$C124,""),"")</f>
        <v/>
      </c>
      <c r="DX124" s="34">
        <f>IF(AND(DX$5&gt;$E124,DX$5&lt;=$F124),IF(DX$5=$E124+1,$C124,""),"")</f>
        <v/>
      </c>
      <c r="DY124" s="34">
        <f>IF(AND(DY$5&gt;$E124,DY$5&lt;=$F124),IF(DY$5=$E124+1,$C124,""),"")</f>
        <v/>
      </c>
      <c r="DZ124" s="34">
        <f>IF(AND(DZ$5&gt;$E124,DZ$5&lt;=$F124),IF(DZ$5=$E124+1,$C124,""),"")</f>
        <v/>
      </c>
      <c r="EA124" s="34">
        <f>IF(AND(EA$5&gt;$E124,EA$5&lt;=$F124),IF(EA$5=$E124+1,$C124,""),"")</f>
        <v/>
      </c>
      <c r="EB124" s="34">
        <f>IF(AND(EB$5&gt;$E124,EB$5&lt;=$F124),IF(EB$5=$E124+1,$C124,""),"")</f>
        <v/>
      </c>
      <c r="EC124" s="34">
        <f>IF(AND(EC$5&gt;$E124,EC$5&lt;=$F124),IF(EC$5=$E124+1,$C124,""),"")</f>
        <v/>
      </c>
      <c r="ED124" s="34">
        <f>IF(AND(ED$5&gt;$E124,ED$5&lt;=$F124),IF(ED$5=$E124+1,$C124,""),"")</f>
        <v/>
      </c>
      <c r="EE124" s="34">
        <f>IF(AND(EE$5&gt;$E124,EE$5&lt;=$F124),IF(EE$5=$E124+1,$C124,""),"")</f>
        <v/>
      </c>
      <c r="EF124" s="34">
        <f>IF(AND(EF$5&gt;$E124,EF$5&lt;=$F124),IF(EF$5=$E124+1,$C124,""),"")</f>
        <v/>
      </c>
      <c r="EG124" s="34">
        <f>IF(AND(EG$5&gt;$E124,EG$5&lt;=$F124),IF(EG$5=$E124+1,$C124,""),"")</f>
        <v/>
      </c>
    </row>
    <row r="125">
      <c r="A125" s="32">
        <f>Plan!A115</f>
        <v/>
      </c>
      <c r="B125" s="33">
        <f>Plan!C115</f>
        <v/>
      </c>
      <c r="C125" s="16">
        <f>Plan!D115</f>
        <v/>
      </c>
      <c r="D125" s="16">
        <f>Plan!I115</f>
        <v/>
      </c>
      <c r="E125" s="16">
        <f>Plan!K115</f>
        <v/>
      </c>
      <c r="F125" s="16">
        <f>Plan!L115</f>
        <v/>
      </c>
      <c r="G125" s="16">
        <f>Plan!O115</f>
        <v/>
      </c>
      <c r="H125" s="34">
        <f>IF(AND(H$5&gt;$E125,H$5&lt;=$F125),IF(H$5=$E125+1,$C125,""),"")</f>
        <v/>
      </c>
      <c r="I125" s="34">
        <f>IF(AND(I$5&gt;$E125,I$5&lt;=$F125),IF(I$5=$E125+1,$C125,""),"")</f>
        <v/>
      </c>
      <c r="J125" s="34">
        <f>IF(AND(J$5&gt;$E125,J$5&lt;=$F125),IF(J$5=$E125+1,$C125,""),"")</f>
        <v/>
      </c>
      <c r="K125" s="34">
        <f>IF(AND(K$5&gt;$E125,K$5&lt;=$F125),IF(K$5=$E125+1,$C125,""),"")</f>
        <v/>
      </c>
      <c r="L125" s="34">
        <f>IF(AND(L$5&gt;$E125,L$5&lt;=$F125),IF(L$5=$E125+1,$C125,""),"")</f>
        <v/>
      </c>
      <c r="M125" s="34">
        <f>IF(AND(M$5&gt;$E125,M$5&lt;=$F125),IF(M$5=$E125+1,$C125,""),"")</f>
        <v/>
      </c>
      <c r="N125" s="34">
        <f>IF(AND(N$5&gt;$E125,N$5&lt;=$F125),IF(N$5=$E125+1,$C125,""),"")</f>
        <v/>
      </c>
      <c r="O125" s="34">
        <f>IF(AND(O$5&gt;$E125,O$5&lt;=$F125),IF(O$5=$E125+1,$C125,""),"")</f>
        <v/>
      </c>
      <c r="P125" s="34">
        <f>IF(AND(P$5&gt;$E125,P$5&lt;=$F125),IF(P$5=$E125+1,$C125,""),"")</f>
        <v/>
      </c>
      <c r="Q125" s="34">
        <f>IF(AND(Q$5&gt;$E125,Q$5&lt;=$F125),IF(Q$5=$E125+1,$C125,""),"")</f>
        <v/>
      </c>
      <c r="R125" s="34">
        <f>IF(AND(R$5&gt;$E125,R$5&lt;=$F125),IF(R$5=$E125+1,$C125,""),"")</f>
        <v/>
      </c>
      <c r="S125" s="34">
        <f>IF(AND(S$5&gt;$E125,S$5&lt;=$F125),IF(S$5=$E125+1,$C125,""),"")</f>
        <v/>
      </c>
      <c r="T125" s="34">
        <f>IF(AND(T$5&gt;$E125,T$5&lt;=$F125),IF(T$5=$E125+1,$C125,""),"")</f>
        <v/>
      </c>
      <c r="U125" s="34">
        <f>IF(AND(U$5&gt;$E125,U$5&lt;=$F125),IF(U$5=$E125+1,$C125,""),"")</f>
        <v/>
      </c>
      <c r="V125" s="34">
        <f>IF(AND(V$5&gt;$E125,V$5&lt;=$F125),IF(V$5=$E125+1,$C125,""),"")</f>
        <v/>
      </c>
      <c r="W125" s="34">
        <f>IF(AND(W$5&gt;$E125,W$5&lt;=$F125),IF(W$5=$E125+1,$C125,""),"")</f>
        <v/>
      </c>
      <c r="X125" s="34">
        <f>IF(AND(X$5&gt;$E125,X$5&lt;=$F125),IF(X$5=$E125+1,$C125,""),"")</f>
        <v/>
      </c>
      <c r="Y125" s="34">
        <f>IF(AND(Y$5&gt;$E125,Y$5&lt;=$F125),IF(Y$5=$E125+1,$C125,""),"")</f>
        <v/>
      </c>
      <c r="Z125" s="34">
        <f>IF(AND(Z$5&gt;$E125,Z$5&lt;=$F125),IF(Z$5=$E125+1,$C125,""),"")</f>
        <v/>
      </c>
      <c r="AA125" s="34">
        <f>IF(AND(AA$5&gt;$E125,AA$5&lt;=$F125),IF(AA$5=$E125+1,$C125,""),"")</f>
        <v/>
      </c>
      <c r="AB125" s="34">
        <f>IF(AND(AB$5&gt;$E125,AB$5&lt;=$F125),IF(AB$5=$E125+1,$C125,""),"")</f>
        <v/>
      </c>
      <c r="AC125" s="34">
        <f>IF(AND(AC$5&gt;$E125,AC$5&lt;=$F125),IF(AC$5=$E125+1,$C125,""),"")</f>
        <v/>
      </c>
      <c r="AD125" s="34">
        <f>IF(AND(AD$5&gt;$E125,AD$5&lt;=$F125),IF(AD$5=$E125+1,$C125,""),"")</f>
        <v/>
      </c>
      <c r="AE125" s="34">
        <f>IF(AND(AE$5&gt;$E125,AE$5&lt;=$F125),IF(AE$5=$E125+1,$C125,""),"")</f>
        <v/>
      </c>
      <c r="AF125" s="34">
        <f>IF(AND(AF$5&gt;$E125,AF$5&lt;=$F125),IF(AF$5=$E125+1,$C125,""),"")</f>
        <v/>
      </c>
      <c r="AG125" s="34">
        <f>IF(AND(AG$5&gt;$E125,AG$5&lt;=$F125),IF(AG$5=$E125+1,$C125,""),"")</f>
        <v/>
      </c>
      <c r="AH125" s="34">
        <f>IF(AND(AH$5&gt;$E125,AH$5&lt;=$F125),IF(AH$5=$E125+1,$C125,""),"")</f>
        <v/>
      </c>
      <c r="AI125" s="34">
        <f>IF(AND(AI$5&gt;$E125,AI$5&lt;=$F125),IF(AI$5=$E125+1,$C125,""),"")</f>
        <v/>
      </c>
      <c r="AJ125" s="34">
        <f>IF(AND(AJ$5&gt;$E125,AJ$5&lt;=$F125),IF(AJ$5=$E125+1,$C125,""),"")</f>
        <v/>
      </c>
      <c r="AK125" s="34">
        <f>IF(AND(AK$5&gt;$E125,AK$5&lt;=$F125),IF(AK$5=$E125+1,$C125,""),"")</f>
        <v/>
      </c>
      <c r="AL125" s="34">
        <f>IF(AND(AL$5&gt;$E125,AL$5&lt;=$F125),IF(AL$5=$E125+1,$C125,""),"")</f>
        <v/>
      </c>
      <c r="AM125" s="34">
        <f>IF(AND(AM$5&gt;$E125,AM$5&lt;=$F125),IF(AM$5=$E125+1,$C125,""),"")</f>
        <v/>
      </c>
      <c r="AN125" s="34">
        <f>IF(AND(AN$5&gt;$E125,AN$5&lt;=$F125),IF(AN$5=$E125+1,$C125,""),"")</f>
        <v/>
      </c>
      <c r="AO125" s="34">
        <f>IF(AND(AO$5&gt;$E125,AO$5&lt;=$F125),IF(AO$5=$E125+1,$C125,""),"")</f>
        <v/>
      </c>
      <c r="AP125" s="34">
        <f>IF(AND(AP$5&gt;$E125,AP$5&lt;=$F125),IF(AP$5=$E125+1,$C125,""),"")</f>
        <v/>
      </c>
      <c r="AQ125" s="34">
        <f>IF(AND(AQ$5&gt;$E125,AQ$5&lt;=$F125),IF(AQ$5=$E125+1,$C125,""),"")</f>
        <v/>
      </c>
      <c r="AR125" s="34">
        <f>IF(AND(AR$5&gt;$E125,AR$5&lt;=$F125),IF(AR$5=$E125+1,$C125,""),"")</f>
        <v/>
      </c>
      <c r="AS125" s="34">
        <f>IF(AND(AS$5&gt;$E125,AS$5&lt;=$F125),IF(AS$5=$E125+1,$C125,""),"")</f>
        <v/>
      </c>
      <c r="AT125" s="34">
        <f>IF(AND(AT$5&gt;$E125,AT$5&lt;=$F125),IF(AT$5=$E125+1,$C125,""),"")</f>
        <v/>
      </c>
      <c r="AU125" s="34">
        <f>IF(AND(AU$5&gt;$E125,AU$5&lt;=$F125),IF(AU$5=$E125+1,$C125,""),"")</f>
        <v/>
      </c>
      <c r="AV125" s="34">
        <f>IF(AND(AV$5&gt;$E125,AV$5&lt;=$F125),IF(AV$5=$E125+1,$C125,""),"")</f>
        <v/>
      </c>
      <c r="AW125" s="34">
        <f>IF(AND(AW$5&gt;$E125,AW$5&lt;=$F125),IF(AW$5=$E125+1,$C125,""),"")</f>
        <v/>
      </c>
      <c r="AX125" s="34">
        <f>IF(AND(AX$5&gt;$E125,AX$5&lt;=$F125),IF(AX$5=$E125+1,$C125,""),"")</f>
        <v/>
      </c>
      <c r="AY125" s="34">
        <f>IF(AND(AY$5&gt;$E125,AY$5&lt;=$F125),IF(AY$5=$E125+1,$C125,""),"")</f>
        <v/>
      </c>
      <c r="AZ125" s="34">
        <f>IF(AND(AZ$5&gt;$E125,AZ$5&lt;=$F125),IF(AZ$5=$E125+1,$C125,""),"")</f>
        <v/>
      </c>
      <c r="BA125" s="34">
        <f>IF(AND(BA$5&gt;$E125,BA$5&lt;=$F125),IF(BA$5=$E125+1,$C125,""),"")</f>
        <v/>
      </c>
      <c r="BB125" s="34">
        <f>IF(AND(BB$5&gt;$E125,BB$5&lt;=$F125),IF(BB$5=$E125+1,$C125,""),"")</f>
        <v/>
      </c>
      <c r="BC125" s="34">
        <f>IF(AND(BC$5&gt;$E125,BC$5&lt;=$F125),IF(BC$5=$E125+1,$C125,""),"")</f>
        <v/>
      </c>
      <c r="BD125" s="34">
        <f>IF(AND(BD$5&gt;$E125,BD$5&lt;=$F125),IF(BD$5=$E125+1,$C125,""),"")</f>
        <v/>
      </c>
      <c r="BE125" s="34">
        <f>IF(AND(BE$5&gt;$E125,BE$5&lt;=$F125),IF(BE$5=$E125+1,$C125,""),"")</f>
        <v/>
      </c>
      <c r="BF125" s="34">
        <f>IF(AND(BF$5&gt;$E125,BF$5&lt;=$F125),IF(BF$5=$E125+1,$C125,""),"")</f>
        <v/>
      </c>
      <c r="BG125" s="34">
        <f>IF(AND(BG$5&gt;$E125,BG$5&lt;=$F125),IF(BG$5=$E125+1,$C125,""),"")</f>
        <v/>
      </c>
      <c r="BH125" s="34">
        <f>IF(AND(BH$5&gt;$E125,BH$5&lt;=$F125),IF(BH$5=$E125+1,$C125,""),"")</f>
        <v/>
      </c>
      <c r="BI125" s="34">
        <f>IF(AND(BI$5&gt;$E125,BI$5&lt;=$F125),IF(BI$5=$E125+1,$C125,""),"")</f>
        <v/>
      </c>
      <c r="BJ125" s="34">
        <f>IF(AND(BJ$5&gt;$E125,BJ$5&lt;=$F125),IF(BJ$5=$E125+1,$C125,""),"")</f>
        <v/>
      </c>
      <c r="BK125" s="34">
        <f>IF(AND(BK$5&gt;$E125,BK$5&lt;=$F125),IF(BK$5=$E125+1,$C125,""),"")</f>
        <v/>
      </c>
      <c r="BL125" s="34">
        <f>IF(AND(BL$5&gt;$E125,BL$5&lt;=$F125),IF(BL$5=$E125+1,$C125,""),"")</f>
        <v/>
      </c>
      <c r="BM125" s="34">
        <f>IF(AND(BM$5&gt;$E125,BM$5&lt;=$F125),IF(BM$5=$E125+1,$C125,""),"")</f>
        <v/>
      </c>
      <c r="BN125" s="34">
        <f>IF(AND(BN$5&gt;$E125,BN$5&lt;=$F125),IF(BN$5=$E125+1,$C125,""),"")</f>
        <v/>
      </c>
      <c r="BO125" s="34">
        <f>IF(AND(BO$5&gt;$E125,BO$5&lt;=$F125),IF(BO$5=$E125+1,$C125,""),"")</f>
        <v/>
      </c>
      <c r="BP125" s="34">
        <f>IF(AND(BP$5&gt;$E125,BP$5&lt;=$F125),IF(BP$5=$E125+1,$C125,""),"")</f>
        <v/>
      </c>
      <c r="BQ125" s="34">
        <f>IF(AND(BQ$5&gt;$E125,BQ$5&lt;=$F125),IF(BQ$5=$E125+1,$C125,""),"")</f>
        <v/>
      </c>
      <c r="BR125" s="34">
        <f>IF(AND(BR$5&gt;$E125,BR$5&lt;=$F125),IF(BR$5=$E125+1,$C125,""),"")</f>
        <v/>
      </c>
      <c r="BS125" s="34">
        <f>IF(AND(BS$5&gt;$E125,BS$5&lt;=$F125),IF(BS$5=$E125+1,$C125,""),"")</f>
        <v/>
      </c>
      <c r="BT125" s="34">
        <f>IF(AND(BT$5&gt;$E125,BT$5&lt;=$F125),IF(BT$5=$E125+1,$C125,""),"")</f>
        <v/>
      </c>
      <c r="BU125" s="34">
        <f>IF(AND(BU$5&gt;$E125,BU$5&lt;=$F125),IF(BU$5=$E125+1,$C125,""),"")</f>
        <v/>
      </c>
      <c r="BV125" s="34">
        <f>IF(AND(BV$5&gt;$E125,BV$5&lt;=$F125),IF(BV$5=$E125+1,$C125,""),"")</f>
        <v/>
      </c>
      <c r="BW125" s="34">
        <f>IF(AND(BW$5&gt;$E125,BW$5&lt;=$F125),IF(BW$5=$E125+1,$C125,""),"")</f>
        <v/>
      </c>
      <c r="BX125" s="34">
        <f>IF(AND(BX$5&gt;$E125,BX$5&lt;=$F125),IF(BX$5=$E125+1,$C125,""),"")</f>
        <v/>
      </c>
      <c r="BY125" s="34">
        <f>IF(AND(BY$5&gt;$E125,BY$5&lt;=$F125),IF(BY$5=$E125+1,$C125,""),"")</f>
        <v/>
      </c>
      <c r="BZ125" s="34">
        <f>IF(AND(BZ$5&gt;$E125,BZ$5&lt;=$F125),IF(BZ$5=$E125+1,$C125,""),"")</f>
        <v/>
      </c>
      <c r="CA125" s="34">
        <f>IF(AND(CA$5&gt;$E125,CA$5&lt;=$F125),IF(CA$5=$E125+1,$C125,""),"")</f>
        <v/>
      </c>
      <c r="CB125" s="34">
        <f>IF(AND(CB$5&gt;$E125,CB$5&lt;=$F125),IF(CB$5=$E125+1,$C125,""),"")</f>
        <v/>
      </c>
      <c r="CC125" s="34">
        <f>IF(AND(CC$5&gt;$E125,CC$5&lt;=$F125),IF(CC$5=$E125+1,$C125,""),"")</f>
        <v/>
      </c>
      <c r="CD125" s="34">
        <f>IF(AND(CD$5&gt;$E125,CD$5&lt;=$F125),IF(CD$5=$E125+1,$C125,""),"")</f>
        <v/>
      </c>
      <c r="CE125" s="34">
        <f>IF(AND(CE$5&gt;$E125,CE$5&lt;=$F125),IF(CE$5=$E125+1,$C125,""),"")</f>
        <v/>
      </c>
      <c r="CF125" s="34">
        <f>IF(AND(CF$5&gt;$E125,CF$5&lt;=$F125),IF(CF$5=$E125+1,$C125,""),"")</f>
        <v/>
      </c>
      <c r="CG125" s="34">
        <f>IF(AND(CG$5&gt;$E125,CG$5&lt;=$F125),IF(CG$5=$E125+1,$C125,""),"")</f>
        <v/>
      </c>
      <c r="CH125" s="34">
        <f>IF(AND(CH$5&gt;$E125,CH$5&lt;=$F125),IF(CH$5=$E125+1,$C125,""),"")</f>
        <v/>
      </c>
      <c r="CI125" s="34">
        <f>IF(AND(CI$5&gt;$E125,CI$5&lt;=$F125),IF(CI$5=$E125+1,$C125,""),"")</f>
        <v/>
      </c>
      <c r="CJ125" s="34">
        <f>IF(AND(CJ$5&gt;$E125,CJ$5&lt;=$F125),IF(CJ$5=$E125+1,$C125,""),"")</f>
        <v/>
      </c>
      <c r="CK125" s="34">
        <f>IF(AND(CK$5&gt;$E125,CK$5&lt;=$F125),IF(CK$5=$E125+1,$C125,""),"")</f>
        <v/>
      </c>
      <c r="CL125" s="34">
        <f>IF(AND(CL$5&gt;$E125,CL$5&lt;=$F125),IF(CL$5=$E125+1,$C125,""),"")</f>
        <v/>
      </c>
      <c r="CM125" s="34">
        <f>IF(AND(CM$5&gt;$E125,CM$5&lt;=$F125),IF(CM$5=$E125+1,$C125,""),"")</f>
        <v/>
      </c>
      <c r="CN125" s="34">
        <f>IF(AND(CN$5&gt;$E125,CN$5&lt;=$F125),IF(CN$5=$E125+1,$C125,""),"")</f>
        <v/>
      </c>
      <c r="CO125" s="34">
        <f>IF(AND(CO$5&gt;$E125,CO$5&lt;=$F125),IF(CO$5=$E125+1,$C125,""),"")</f>
        <v/>
      </c>
      <c r="CP125" s="34">
        <f>IF(AND(CP$5&gt;$E125,CP$5&lt;=$F125),IF(CP$5=$E125+1,$C125,""),"")</f>
        <v/>
      </c>
      <c r="CQ125" s="34">
        <f>IF(AND(CQ$5&gt;$E125,CQ$5&lt;=$F125),IF(CQ$5=$E125+1,$C125,""),"")</f>
        <v/>
      </c>
      <c r="CR125" s="34">
        <f>IF(AND(CR$5&gt;$E125,CR$5&lt;=$F125),IF(CR$5=$E125+1,$C125,""),"")</f>
        <v/>
      </c>
      <c r="CS125" s="34">
        <f>IF(AND(CS$5&gt;$E125,CS$5&lt;=$F125),IF(CS$5=$E125+1,$C125,""),"")</f>
        <v/>
      </c>
      <c r="CT125" s="34">
        <f>IF(AND(CT$5&gt;$E125,CT$5&lt;=$F125),IF(CT$5=$E125+1,$C125,""),"")</f>
        <v/>
      </c>
      <c r="CU125" s="34">
        <f>IF(AND(CU$5&gt;$E125,CU$5&lt;=$F125),IF(CU$5=$E125+1,$C125,""),"")</f>
        <v/>
      </c>
      <c r="CV125" s="34">
        <f>IF(AND(CV$5&gt;$E125,CV$5&lt;=$F125),IF(CV$5=$E125+1,$C125,""),"")</f>
        <v/>
      </c>
      <c r="CW125" s="34">
        <f>IF(AND(CW$5&gt;$E125,CW$5&lt;=$F125),IF(CW$5=$E125+1,$C125,""),"")</f>
        <v/>
      </c>
      <c r="CX125" s="34">
        <f>IF(AND(CX$5&gt;$E125,CX$5&lt;=$F125),IF(CX$5=$E125+1,$C125,""),"")</f>
        <v/>
      </c>
      <c r="CY125" s="34">
        <f>IF(AND(CY$5&gt;$E125,CY$5&lt;=$F125),IF(CY$5=$E125+1,$C125,""),"")</f>
        <v/>
      </c>
      <c r="CZ125" s="34">
        <f>IF(AND(CZ$5&gt;$E125,CZ$5&lt;=$F125),IF(CZ$5=$E125+1,$C125,""),"")</f>
        <v/>
      </c>
      <c r="DA125" s="34">
        <f>IF(AND(DA$5&gt;$E125,DA$5&lt;=$F125),IF(DA$5=$E125+1,$C125,""),"")</f>
        <v/>
      </c>
      <c r="DB125" s="34">
        <f>IF(AND(DB$5&gt;$E125,DB$5&lt;=$F125),IF(DB$5=$E125+1,$C125,""),"")</f>
        <v/>
      </c>
      <c r="DC125" s="34">
        <f>IF(AND(DC$5&gt;$E125,DC$5&lt;=$F125),IF(DC$5=$E125+1,$C125,""),"")</f>
        <v/>
      </c>
      <c r="DD125" s="34">
        <f>IF(AND(DD$5&gt;$E125,DD$5&lt;=$F125),IF(DD$5=$E125+1,$C125,""),"")</f>
        <v/>
      </c>
      <c r="DE125" s="34">
        <f>IF(AND(DE$5&gt;$E125,DE$5&lt;=$F125),IF(DE$5=$E125+1,$C125,""),"")</f>
        <v/>
      </c>
      <c r="DF125" s="34">
        <f>IF(AND(DF$5&gt;$E125,DF$5&lt;=$F125),IF(DF$5=$E125+1,$C125,""),"")</f>
        <v/>
      </c>
      <c r="DG125" s="34">
        <f>IF(AND(DG$5&gt;$E125,DG$5&lt;=$F125),IF(DG$5=$E125+1,$C125,""),"")</f>
        <v/>
      </c>
      <c r="DH125" s="34">
        <f>IF(AND(DH$5&gt;$E125,DH$5&lt;=$F125),IF(DH$5=$E125+1,$C125,""),"")</f>
        <v/>
      </c>
      <c r="DI125" s="34">
        <f>IF(AND(DI$5&gt;$E125,DI$5&lt;=$F125),IF(DI$5=$E125+1,$C125,""),"")</f>
        <v/>
      </c>
      <c r="DJ125" s="34">
        <f>IF(AND(DJ$5&gt;$E125,DJ$5&lt;=$F125),IF(DJ$5=$E125+1,$C125,""),"")</f>
        <v/>
      </c>
      <c r="DK125" s="34">
        <f>IF(AND(DK$5&gt;$E125,DK$5&lt;=$F125),IF(DK$5=$E125+1,$C125,""),"")</f>
        <v/>
      </c>
      <c r="DL125" s="34">
        <f>IF(AND(DL$5&gt;$E125,DL$5&lt;=$F125),IF(DL$5=$E125+1,$C125,""),"")</f>
        <v/>
      </c>
      <c r="DM125" s="34">
        <f>IF(AND(DM$5&gt;$E125,DM$5&lt;=$F125),IF(DM$5=$E125+1,$C125,""),"")</f>
        <v/>
      </c>
      <c r="DN125" s="34">
        <f>IF(AND(DN$5&gt;$E125,DN$5&lt;=$F125),IF(DN$5=$E125+1,$C125,""),"")</f>
        <v/>
      </c>
      <c r="DO125" s="34">
        <f>IF(AND(DO$5&gt;$E125,DO$5&lt;=$F125),IF(DO$5=$E125+1,$C125,""),"")</f>
        <v/>
      </c>
      <c r="DP125" s="34">
        <f>IF(AND(DP$5&gt;$E125,DP$5&lt;=$F125),IF(DP$5=$E125+1,$C125,""),"")</f>
        <v/>
      </c>
      <c r="DQ125" s="34">
        <f>IF(AND(DQ$5&gt;$E125,DQ$5&lt;=$F125),IF(DQ$5=$E125+1,$C125,""),"")</f>
        <v/>
      </c>
      <c r="DR125" s="34">
        <f>IF(AND(DR$5&gt;$E125,DR$5&lt;=$F125),IF(DR$5=$E125+1,$C125,""),"")</f>
        <v/>
      </c>
      <c r="DS125" s="34">
        <f>IF(AND(DS$5&gt;$E125,DS$5&lt;=$F125),IF(DS$5=$E125+1,$C125,""),"")</f>
        <v/>
      </c>
      <c r="DT125" s="34">
        <f>IF(AND(DT$5&gt;$E125,DT$5&lt;=$F125),IF(DT$5=$E125+1,$C125,""),"")</f>
        <v/>
      </c>
      <c r="DU125" s="34">
        <f>IF(AND(DU$5&gt;$E125,DU$5&lt;=$F125),IF(DU$5=$E125+1,$C125,""),"")</f>
        <v/>
      </c>
      <c r="DV125" s="34">
        <f>IF(AND(DV$5&gt;$E125,DV$5&lt;=$F125),IF(DV$5=$E125+1,$C125,""),"")</f>
        <v/>
      </c>
      <c r="DW125" s="34">
        <f>IF(AND(DW$5&gt;$E125,DW$5&lt;=$F125),IF(DW$5=$E125+1,$C125,""),"")</f>
        <v/>
      </c>
      <c r="DX125" s="34">
        <f>IF(AND(DX$5&gt;$E125,DX$5&lt;=$F125),IF(DX$5=$E125+1,$C125,""),"")</f>
        <v/>
      </c>
      <c r="DY125" s="34">
        <f>IF(AND(DY$5&gt;$E125,DY$5&lt;=$F125),IF(DY$5=$E125+1,$C125,""),"")</f>
        <v/>
      </c>
      <c r="DZ125" s="34">
        <f>IF(AND(DZ$5&gt;$E125,DZ$5&lt;=$F125),IF(DZ$5=$E125+1,$C125,""),"")</f>
        <v/>
      </c>
      <c r="EA125" s="34">
        <f>IF(AND(EA$5&gt;$E125,EA$5&lt;=$F125),IF(EA$5=$E125+1,$C125,""),"")</f>
        <v/>
      </c>
      <c r="EB125" s="34">
        <f>IF(AND(EB$5&gt;$E125,EB$5&lt;=$F125),IF(EB$5=$E125+1,$C125,""),"")</f>
        <v/>
      </c>
      <c r="EC125" s="34">
        <f>IF(AND(EC$5&gt;$E125,EC$5&lt;=$F125),IF(EC$5=$E125+1,$C125,""),"")</f>
        <v/>
      </c>
      <c r="ED125" s="34">
        <f>IF(AND(ED$5&gt;$E125,ED$5&lt;=$F125),IF(ED$5=$E125+1,$C125,""),"")</f>
        <v/>
      </c>
      <c r="EE125" s="34">
        <f>IF(AND(EE$5&gt;$E125,EE$5&lt;=$F125),IF(EE$5=$E125+1,$C125,""),"")</f>
        <v/>
      </c>
      <c r="EF125" s="34">
        <f>IF(AND(EF$5&gt;$E125,EF$5&lt;=$F125),IF(EF$5=$E125+1,$C125,""),"")</f>
        <v/>
      </c>
      <c r="EG125" s="34">
        <f>IF(AND(EG$5&gt;$E125,EG$5&lt;=$F125),IF(EG$5=$E125+1,$C125,""),"")</f>
        <v/>
      </c>
    </row>
    <row r="126">
      <c r="A126" s="32">
        <f>Plan!A116</f>
        <v/>
      </c>
      <c r="B126" s="33">
        <f>Plan!C116</f>
        <v/>
      </c>
      <c r="C126" s="16">
        <f>Plan!D116</f>
        <v/>
      </c>
      <c r="D126" s="16">
        <f>Plan!I116</f>
        <v/>
      </c>
      <c r="E126" s="16">
        <f>Plan!K116</f>
        <v/>
      </c>
      <c r="F126" s="16">
        <f>Plan!L116</f>
        <v/>
      </c>
      <c r="G126" s="16">
        <f>Plan!O116</f>
        <v/>
      </c>
      <c r="H126" s="34">
        <f>IF(AND(H$5&gt;$E126,H$5&lt;=$F126),IF(H$5=$E126+1,$C126,""),"")</f>
        <v/>
      </c>
      <c r="I126" s="34">
        <f>IF(AND(I$5&gt;$E126,I$5&lt;=$F126),IF(I$5=$E126+1,$C126,""),"")</f>
        <v/>
      </c>
      <c r="J126" s="34">
        <f>IF(AND(J$5&gt;$E126,J$5&lt;=$F126),IF(J$5=$E126+1,$C126,""),"")</f>
        <v/>
      </c>
      <c r="K126" s="34">
        <f>IF(AND(K$5&gt;$E126,K$5&lt;=$F126),IF(K$5=$E126+1,$C126,""),"")</f>
        <v/>
      </c>
      <c r="L126" s="34">
        <f>IF(AND(L$5&gt;$E126,L$5&lt;=$F126),IF(L$5=$E126+1,$C126,""),"")</f>
        <v/>
      </c>
      <c r="M126" s="34">
        <f>IF(AND(M$5&gt;$E126,M$5&lt;=$F126),IF(M$5=$E126+1,$C126,""),"")</f>
        <v/>
      </c>
      <c r="N126" s="34">
        <f>IF(AND(N$5&gt;$E126,N$5&lt;=$F126),IF(N$5=$E126+1,$C126,""),"")</f>
        <v/>
      </c>
      <c r="O126" s="34">
        <f>IF(AND(O$5&gt;$E126,O$5&lt;=$F126),IF(O$5=$E126+1,$C126,""),"")</f>
        <v/>
      </c>
      <c r="P126" s="34">
        <f>IF(AND(P$5&gt;$E126,P$5&lt;=$F126),IF(P$5=$E126+1,$C126,""),"")</f>
        <v/>
      </c>
      <c r="Q126" s="34">
        <f>IF(AND(Q$5&gt;$E126,Q$5&lt;=$F126),IF(Q$5=$E126+1,$C126,""),"")</f>
        <v/>
      </c>
      <c r="R126" s="34">
        <f>IF(AND(R$5&gt;$E126,R$5&lt;=$F126),IF(R$5=$E126+1,$C126,""),"")</f>
        <v/>
      </c>
      <c r="S126" s="34">
        <f>IF(AND(S$5&gt;$E126,S$5&lt;=$F126),IF(S$5=$E126+1,$C126,""),"")</f>
        <v/>
      </c>
      <c r="T126" s="34">
        <f>IF(AND(T$5&gt;$E126,T$5&lt;=$F126),IF(T$5=$E126+1,$C126,""),"")</f>
        <v/>
      </c>
      <c r="U126" s="34">
        <f>IF(AND(U$5&gt;$E126,U$5&lt;=$F126),IF(U$5=$E126+1,$C126,""),"")</f>
        <v/>
      </c>
      <c r="V126" s="34">
        <f>IF(AND(V$5&gt;$E126,V$5&lt;=$F126),IF(V$5=$E126+1,$C126,""),"")</f>
        <v/>
      </c>
      <c r="W126" s="34">
        <f>IF(AND(W$5&gt;$E126,W$5&lt;=$F126),IF(W$5=$E126+1,$C126,""),"")</f>
        <v/>
      </c>
      <c r="X126" s="34">
        <f>IF(AND(X$5&gt;$E126,X$5&lt;=$F126),IF(X$5=$E126+1,$C126,""),"")</f>
        <v/>
      </c>
      <c r="Y126" s="34">
        <f>IF(AND(Y$5&gt;$E126,Y$5&lt;=$F126),IF(Y$5=$E126+1,$C126,""),"")</f>
        <v/>
      </c>
      <c r="Z126" s="34">
        <f>IF(AND(Z$5&gt;$E126,Z$5&lt;=$F126),IF(Z$5=$E126+1,$C126,""),"")</f>
        <v/>
      </c>
      <c r="AA126" s="34">
        <f>IF(AND(AA$5&gt;$E126,AA$5&lt;=$F126),IF(AA$5=$E126+1,$C126,""),"")</f>
        <v/>
      </c>
      <c r="AB126" s="34">
        <f>IF(AND(AB$5&gt;$E126,AB$5&lt;=$F126),IF(AB$5=$E126+1,$C126,""),"")</f>
        <v/>
      </c>
      <c r="AC126" s="34">
        <f>IF(AND(AC$5&gt;$E126,AC$5&lt;=$F126),IF(AC$5=$E126+1,$C126,""),"")</f>
        <v/>
      </c>
      <c r="AD126" s="34">
        <f>IF(AND(AD$5&gt;$E126,AD$5&lt;=$F126),IF(AD$5=$E126+1,$C126,""),"")</f>
        <v/>
      </c>
      <c r="AE126" s="34">
        <f>IF(AND(AE$5&gt;$E126,AE$5&lt;=$F126),IF(AE$5=$E126+1,$C126,""),"")</f>
        <v/>
      </c>
      <c r="AF126" s="34">
        <f>IF(AND(AF$5&gt;$E126,AF$5&lt;=$F126),IF(AF$5=$E126+1,$C126,""),"")</f>
        <v/>
      </c>
      <c r="AG126" s="34">
        <f>IF(AND(AG$5&gt;$E126,AG$5&lt;=$F126),IF(AG$5=$E126+1,$C126,""),"")</f>
        <v/>
      </c>
      <c r="AH126" s="34">
        <f>IF(AND(AH$5&gt;$E126,AH$5&lt;=$F126),IF(AH$5=$E126+1,$C126,""),"")</f>
        <v/>
      </c>
      <c r="AI126" s="34">
        <f>IF(AND(AI$5&gt;$E126,AI$5&lt;=$F126),IF(AI$5=$E126+1,$C126,""),"")</f>
        <v/>
      </c>
      <c r="AJ126" s="34">
        <f>IF(AND(AJ$5&gt;$E126,AJ$5&lt;=$F126),IF(AJ$5=$E126+1,$C126,""),"")</f>
        <v/>
      </c>
      <c r="AK126" s="34">
        <f>IF(AND(AK$5&gt;$E126,AK$5&lt;=$F126),IF(AK$5=$E126+1,$C126,""),"")</f>
        <v/>
      </c>
      <c r="AL126" s="34">
        <f>IF(AND(AL$5&gt;$E126,AL$5&lt;=$F126),IF(AL$5=$E126+1,$C126,""),"")</f>
        <v/>
      </c>
      <c r="AM126" s="34">
        <f>IF(AND(AM$5&gt;$E126,AM$5&lt;=$F126),IF(AM$5=$E126+1,$C126,""),"")</f>
        <v/>
      </c>
      <c r="AN126" s="34">
        <f>IF(AND(AN$5&gt;$E126,AN$5&lt;=$F126),IF(AN$5=$E126+1,$C126,""),"")</f>
        <v/>
      </c>
      <c r="AO126" s="34">
        <f>IF(AND(AO$5&gt;$E126,AO$5&lt;=$F126),IF(AO$5=$E126+1,$C126,""),"")</f>
        <v/>
      </c>
      <c r="AP126" s="34">
        <f>IF(AND(AP$5&gt;$E126,AP$5&lt;=$F126),IF(AP$5=$E126+1,$C126,""),"")</f>
        <v/>
      </c>
      <c r="AQ126" s="34">
        <f>IF(AND(AQ$5&gt;$E126,AQ$5&lt;=$F126),IF(AQ$5=$E126+1,$C126,""),"")</f>
        <v/>
      </c>
      <c r="AR126" s="34">
        <f>IF(AND(AR$5&gt;$E126,AR$5&lt;=$F126),IF(AR$5=$E126+1,$C126,""),"")</f>
        <v/>
      </c>
      <c r="AS126" s="34">
        <f>IF(AND(AS$5&gt;$E126,AS$5&lt;=$F126),IF(AS$5=$E126+1,$C126,""),"")</f>
        <v/>
      </c>
      <c r="AT126" s="34">
        <f>IF(AND(AT$5&gt;$E126,AT$5&lt;=$F126),IF(AT$5=$E126+1,$C126,""),"")</f>
        <v/>
      </c>
      <c r="AU126" s="34">
        <f>IF(AND(AU$5&gt;$E126,AU$5&lt;=$F126),IF(AU$5=$E126+1,$C126,""),"")</f>
        <v/>
      </c>
      <c r="AV126" s="34">
        <f>IF(AND(AV$5&gt;$E126,AV$5&lt;=$F126),IF(AV$5=$E126+1,$C126,""),"")</f>
        <v/>
      </c>
      <c r="AW126" s="34">
        <f>IF(AND(AW$5&gt;$E126,AW$5&lt;=$F126),IF(AW$5=$E126+1,$C126,""),"")</f>
        <v/>
      </c>
      <c r="AX126" s="34">
        <f>IF(AND(AX$5&gt;$E126,AX$5&lt;=$F126),IF(AX$5=$E126+1,$C126,""),"")</f>
        <v/>
      </c>
      <c r="AY126" s="34">
        <f>IF(AND(AY$5&gt;$E126,AY$5&lt;=$F126),IF(AY$5=$E126+1,$C126,""),"")</f>
        <v/>
      </c>
      <c r="AZ126" s="34">
        <f>IF(AND(AZ$5&gt;$E126,AZ$5&lt;=$F126),IF(AZ$5=$E126+1,$C126,""),"")</f>
        <v/>
      </c>
      <c r="BA126" s="34">
        <f>IF(AND(BA$5&gt;$E126,BA$5&lt;=$F126),IF(BA$5=$E126+1,$C126,""),"")</f>
        <v/>
      </c>
      <c r="BB126" s="34">
        <f>IF(AND(BB$5&gt;$E126,BB$5&lt;=$F126),IF(BB$5=$E126+1,$C126,""),"")</f>
        <v/>
      </c>
      <c r="BC126" s="34">
        <f>IF(AND(BC$5&gt;$E126,BC$5&lt;=$F126),IF(BC$5=$E126+1,$C126,""),"")</f>
        <v/>
      </c>
      <c r="BD126" s="34">
        <f>IF(AND(BD$5&gt;$E126,BD$5&lt;=$F126),IF(BD$5=$E126+1,$C126,""),"")</f>
        <v/>
      </c>
      <c r="BE126" s="34">
        <f>IF(AND(BE$5&gt;$E126,BE$5&lt;=$F126),IF(BE$5=$E126+1,$C126,""),"")</f>
        <v/>
      </c>
      <c r="BF126" s="34">
        <f>IF(AND(BF$5&gt;$E126,BF$5&lt;=$F126),IF(BF$5=$E126+1,$C126,""),"")</f>
        <v/>
      </c>
      <c r="BG126" s="34">
        <f>IF(AND(BG$5&gt;$E126,BG$5&lt;=$F126),IF(BG$5=$E126+1,$C126,""),"")</f>
        <v/>
      </c>
      <c r="BH126" s="34">
        <f>IF(AND(BH$5&gt;$E126,BH$5&lt;=$F126),IF(BH$5=$E126+1,$C126,""),"")</f>
        <v/>
      </c>
      <c r="BI126" s="34">
        <f>IF(AND(BI$5&gt;$E126,BI$5&lt;=$F126),IF(BI$5=$E126+1,$C126,""),"")</f>
        <v/>
      </c>
      <c r="BJ126" s="34">
        <f>IF(AND(BJ$5&gt;$E126,BJ$5&lt;=$F126),IF(BJ$5=$E126+1,$C126,""),"")</f>
        <v/>
      </c>
      <c r="BK126" s="34">
        <f>IF(AND(BK$5&gt;$E126,BK$5&lt;=$F126),IF(BK$5=$E126+1,$C126,""),"")</f>
        <v/>
      </c>
      <c r="BL126" s="34">
        <f>IF(AND(BL$5&gt;$E126,BL$5&lt;=$F126),IF(BL$5=$E126+1,$C126,""),"")</f>
        <v/>
      </c>
      <c r="BM126" s="34">
        <f>IF(AND(BM$5&gt;$E126,BM$5&lt;=$F126),IF(BM$5=$E126+1,$C126,""),"")</f>
        <v/>
      </c>
      <c r="BN126" s="34">
        <f>IF(AND(BN$5&gt;$E126,BN$5&lt;=$F126),IF(BN$5=$E126+1,$C126,""),"")</f>
        <v/>
      </c>
      <c r="BO126" s="34">
        <f>IF(AND(BO$5&gt;$E126,BO$5&lt;=$F126),IF(BO$5=$E126+1,$C126,""),"")</f>
        <v/>
      </c>
      <c r="BP126" s="34">
        <f>IF(AND(BP$5&gt;$E126,BP$5&lt;=$F126),IF(BP$5=$E126+1,$C126,""),"")</f>
        <v/>
      </c>
      <c r="BQ126" s="34">
        <f>IF(AND(BQ$5&gt;$E126,BQ$5&lt;=$F126),IF(BQ$5=$E126+1,$C126,""),"")</f>
        <v/>
      </c>
      <c r="BR126" s="34">
        <f>IF(AND(BR$5&gt;$E126,BR$5&lt;=$F126),IF(BR$5=$E126+1,$C126,""),"")</f>
        <v/>
      </c>
      <c r="BS126" s="34">
        <f>IF(AND(BS$5&gt;$E126,BS$5&lt;=$F126),IF(BS$5=$E126+1,$C126,""),"")</f>
        <v/>
      </c>
      <c r="BT126" s="34">
        <f>IF(AND(BT$5&gt;$E126,BT$5&lt;=$F126),IF(BT$5=$E126+1,$C126,""),"")</f>
        <v/>
      </c>
      <c r="BU126" s="34">
        <f>IF(AND(BU$5&gt;$E126,BU$5&lt;=$F126),IF(BU$5=$E126+1,$C126,""),"")</f>
        <v/>
      </c>
      <c r="BV126" s="34">
        <f>IF(AND(BV$5&gt;$E126,BV$5&lt;=$F126),IF(BV$5=$E126+1,$C126,""),"")</f>
        <v/>
      </c>
      <c r="BW126" s="34">
        <f>IF(AND(BW$5&gt;$E126,BW$5&lt;=$F126),IF(BW$5=$E126+1,$C126,""),"")</f>
        <v/>
      </c>
      <c r="BX126" s="34">
        <f>IF(AND(BX$5&gt;$E126,BX$5&lt;=$F126),IF(BX$5=$E126+1,$C126,""),"")</f>
        <v/>
      </c>
      <c r="BY126" s="34">
        <f>IF(AND(BY$5&gt;$E126,BY$5&lt;=$F126),IF(BY$5=$E126+1,$C126,""),"")</f>
        <v/>
      </c>
      <c r="BZ126" s="34">
        <f>IF(AND(BZ$5&gt;$E126,BZ$5&lt;=$F126),IF(BZ$5=$E126+1,$C126,""),"")</f>
        <v/>
      </c>
      <c r="CA126" s="34">
        <f>IF(AND(CA$5&gt;$E126,CA$5&lt;=$F126),IF(CA$5=$E126+1,$C126,""),"")</f>
        <v/>
      </c>
      <c r="CB126" s="34">
        <f>IF(AND(CB$5&gt;$E126,CB$5&lt;=$F126),IF(CB$5=$E126+1,$C126,""),"")</f>
        <v/>
      </c>
      <c r="CC126" s="34">
        <f>IF(AND(CC$5&gt;$E126,CC$5&lt;=$F126),IF(CC$5=$E126+1,$C126,""),"")</f>
        <v/>
      </c>
      <c r="CD126" s="34">
        <f>IF(AND(CD$5&gt;$E126,CD$5&lt;=$F126),IF(CD$5=$E126+1,$C126,""),"")</f>
        <v/>
      </c>
      <c r="CE126" s="34">
        <f>IF(AND(CE$5&gt;$E126,CE$5&lt;=$F126),IF(CE$5=$E126+1,$C126,""),"")</f>
        <v/>
      </c>
      <c r="CF126" s="34">
        <f>IF(AND(CF$5&gt;$E126,CF$5&lt;=$F126),IF(CF$5=$E126+1,$C126,""),"")</f>
        <v/>
      </c>
      <c r="CG126" s="34">
        <f>IF(AND(CG$5&gt;$E126,CG$5&lt;=$F126),IF(CG$5=$E126+1,$C126,""),"")</f>
        <v/>
      </c>
      <c r="CH126" s="34">
        <f>IF(AND(CH$5&gt;$E126,CH$5&lt;=$F126),IF(CH$5=$E126+1,$C126,""),"")</f>
        <v/>
      </c>
      <c r="CI126" s="34">
        <f>IF(AND(CI$5&gt;$E126,CI$5&lt;=$F126),IF(CI$5=$E126+1,$C126,""),"")</f>
        <v/>
      </c>
      <c r="CJ126" s="34">
        <f>IF(AND(CJ$5&gt;$E126,CJ$5&lt;=$F126),IF(CJ$5=$E126+1,$C126,""),"")</f>
        <v/>
      </c>
      <c r="CK126" s="34">
        <f>IF(AND(CK$5&gt;$E126,CK$5&lt;=$F126),IF(CK$5=$E126+1,$C126,""),"")</f>
        <v/>
      </c>
      <c r="CL126" s="34">
        <f>IF(AND(CL$5&gt;$E126,CL$5&lt;=$F126),IF(CL$5=$E126+1,$C126,""),"")</f>
        <v/>
      </c>
      <c r="CM126" s="34">
        <f>IF(AND(CM$5&gt;$E126,CM$5&lt;=$F126),IF(CM$5=$E126+1,$C126,""),"")</f>
        <v/>
      </c>
      <c r="CN126" s="34">
        <f>IF(AND(CN$5&gt;$E126,CN$5&lt;=$F126),IF(CN$5=$E126+1,$C126,""),"")</f>
        <v/>
      </c>
      <c r="CO126" s="34">
        <f>IF(AND(CO$5&gt;$E126,CO$5&lt;=$F126),IF(CO$5=$E126+1,$C126,""),"")</f>
        <v/>
      </c>
      <c r="CP126" s="34">
        <f>IF(AND(CP$5&gt;$E126,CP$5&lt;=$F126),IF(CP$5=$E126+1,$C126,""),"")</f>
        <v/>
      </c>
      <c r="CQ126" s="34">
        <f>IF(AND(CQ$5&gt;$E126,CQ$5&lt;=$F126),IF(CQ$5=$E126+1,$C126,""),"")</f>
        <v/>
      </c>
      <c r="CR126" s="34">
        <f>IF(AND(CR$5&gt;$E126,CR$5&lt;=$F126),IF(CR$5=$E126+1,$C126,""),"")</f>
        <v/>
      </c>
      <c r="CS126" s="34">
        <f>IF(AND(CS$5&gt;$E126,CS$5&lt;=$F126),IF(CS$5=$E126+1,$C126,""),"")</f>
        <v/>
      </c>
      <c r="CT126" s="34">
        <f>IF(AND(CT$5&gt;$E126,CT$5&lt;=$F126),IF(CT$5=$E126+1,$C126,""),"")</f>
        <v/>
      </c>
      <c r="CU126" s="34">
        <f>IF(AND(CU$5&gt;$E126,CU$5&lt;=$F126),IF(CU$5=$E126+1,$C126,""),"")</f>
        <v/>
      </c>
      <c r="CV126" s="34">
        <f>IF(AND(CV$5&gt;$E126,CV$5&lt;=$F126),IF(CV$5=$E126+1,$C126,""),"")</f>
        <v/>
      </c>
      <c r="CW126" s="34">
        <f>IF(AND(CW$5&gt;$E126,CW$5&lt;=$F126),IF(CW$5=$E126+1,$C126,""),"")</f>
        <v/>
      </c>
      <c r="CX126" s="34">
        <f>IF(AND(CX$5&gt;$E126,CX$5&lt;=$F126),IF(CX$5=$E126+1,$C126,""),"")</f>
        <v/>
      </c>
      <c r="CY126" s="34">
        <f>IF(AND(CY$5&gt;$E126,CY$5&lt;=$F126),IF(CY$5=$E126+1,$C126,""),"")</f>
        <v/>
      </c>
      <c r="CZ126" s="34">
        <f>IF(AND(CZ$5&gt;$E126,CZ$5&lt;=$F126),IF(CZ$5=$E126+1,$C126,""),"")</f>
        <v/>
      </c>
      <c r="DA126" s="34">
        <f>IF(AND(DA$5&gt;$E126,DA$5&lt;=$F126),IF(DA$5=$E126+1,$C126,""),"")</f>
        <v/>
      </c>
      <c r="DB126" s="34">
        <f>IF(AND(DB$5&gt;$E126,DB$5&lt;=$F126),IF(DB$5=$E126+1,$C126,""),"")</f>
        <v/>
      </c>
      <c r="DC126" s="34">
        <f>IF(AND(DC$5&gt;$E126,DC$5&lt;=$F126),IF(DC$5=$E126+1,$C126,""),"")</f>
        <v/>
      </c>
      <c r="DD126" s="34">
        <f>IF(AND(DD$5&gt;$E126,DD$5&lt;=$F126),IF(DD$5=$E126+1,$C126,""),"")</f>
        <v/>
      </c>
      <c r="DE126" s="34">
        <f>IF(AND(DE$5&gt;$E126,DE$5&lt;=$F126),IF(DE$5=$E126+1,$C126,""),"")</f>
        <v/>
      </c>
      <c r="DF126" s="34">
        <f>IF(AND(DF$5&gt;$E126,DF$5&lt;=$F126),IF(DF$5=$E126+1,$C126,""),"")</f>
        <v/>
      </c>
      <c r="DG126" s="34">
        <f>IF(AND(DG$5&gt;$E126,DG$5&lt;=$F126),IF(DG$5=$E126+1,$C126,""),"")</f>
        <v/>
      </c>
      <c r="DH126" s="34">
        <f>IF(AND(DH$5&gt;$E126,DH$5&lt;=$F126),IF(DH$5=$E126+1,$C126,""),"")</f>
        <v/>
      </c>
      <c r="DI126" s="34">
        <f>IF(AND(DI$5&gt;$E126,DI$5&lt;=$F126),IF(DI$5=$E126+1,$C126,""),"")</f>
        <v/>
      </c>
      <c r="DJ126" s="34">
        <f>IF(AND(DJ$5&gt;$E126,DJ$5&lt;=$F126),IF(DJ$5=$E126+1,$C126,""),"")</f>
        <v/>
      </c>
      <c r="DK126" s="34">
        <f>IF(AND(DK$5&gt;$E126,DK$5&lt;=$F126),IF(DK$5=$E126+1,$C126,""),"")</f>
        <v/>
      </c>
      <c r="DL126" s="34">
        <f>IF(AND(DL$5&gt;$E126,DL$5&lt;=$F126),IF(DL$5=$E126+1,$C126,""),"")</f>
        <v/>
      </c>
      <c r="DM126" s="34">
        <f>IF(AND(DM$5&gt;$E126,DM$5&lt;=$F126),IF(DM$5=$E126+1,$C126,""),"")</f>
        <v/>
      </c>
      <c r="DN126" s="34">
        <f>IF(AND(DN$5&gt;$E126,DN$5&lt;=$F126),IF(DN$5=$E126+1,$C126,""),"")</f>
        <v/>
      </c>
      <c r="DO126" s="34">
        <f>IF(AND(DO$5&gt;$E126,DO$5&lt;=$F126),IF(DO$5=$E126+1,$C126,""),"")</f>
        <v/>
      </c>
      <c r="DP126" s="34">
        <f>IF(AND(DP$5&gt;$E126,DP$5&lt;=$F126),IF(DP$5=$E126+1,$C126,""),"")</f>
        <v/>
      </c>
      <c r="DQ126" s="34">
        <f>IF(AND(DQ$5&gt;$E126,DQ$5&lt;=$F126),IF(DQ$5=$E126+1,$C126,""),"")</f>
        <v/>
      </c>
      <c r="DR126" s="34">
        <f>IF(AND(DR$5&gt;$E126,DR$5&lt;=$F126),IF(DR$5=$E126+1,$C126,""),"")</f>
        <v/>
      </c>
      <c r="DS126" s="34">
        <f>IF(AND(DS$5&gt;$E126,DS$5&lt;=$F126),IF(DS$5=$E126+1,$C126,""),"")</f>
        <v/>
      </c>
      <c r="DT126" s="34">
        <f>IF(AND(DT$5&gt;$E126,DT$5&lt;=$F126),IF(DT$5=$E126+1,$C126,""),"")</f>
        <v/>
      </c>
      <c r="DU126" s="34">
        <f>IF(AND(DU$5&gt;$E126,DU$5&lt;=$F126),IF(DU$5=$E126+1,$C126,""),"")</f>
        <v/>
      </c>
      <c r="DV126" s="34">
        <f>IF(AND(DV$5&gt;$E126,DV$5&lt;=$F126),IF(DV$5=$E126+1,$C126,""),"")</f>
        <v/>
      </c>
      <c r="DW126" s="34">
        <f>IF(AND(DW$5&gt;$E126,DW$5&lt;=$F126),IF(DW$5=$E126+1,$C126,""),"")</f>
        <v/>
      </c>
      <c r="DX126" s="34">
        <f>IF(AND(DX$5&gt;$E126,DX$5&lt;=$F126),IF(DX$5=$E126+1,$C126,""),"")</f>
        <v/>
      </c>
      <c r="DY126" s="34">
        <f>IF(AND(DY$5&gt;$E126,DY$5&lt;=$F126),IF(DY$5=$E126+1,$C126,""),"")</f>
        <v/>
      </c>
      <c r="DZ126" s="34">
        <f>IF(AND(DZ$5&gt;$E126,DZ$5&lt;=$F126),IF(DZ$5=$E126+1,$C126,""),"")</f>
        <v/>
      </c>
      <c r="EA126" s="34">
        <f>IF(AND(EA$5&gt;$E126,EA$5&lt;=$F126),IF(EA$5=$E126+1,$C126,""),"")</f>
        <v/>
      </c>
      <c r="EB126" s="34">
        <f>IF(AND(EB$5&gt;$E126,EB$5&lt;=$F126),IF(EB$5=$E126+1,$C126,""),"")</f>
        <v/>
      </c>
      <c r="EC126" s="34">
        <f>IF(AND(EC$5&gt;$E126,EC$5&lt;=$F126),IF(EC$5=$E126+1,$C126,""),"")</f>
        <v/>
      </c>
      <c r="ED126" s="34">
        <f>IF(AND(ED$5&gt;$E126,ED$5&lt;=$F126),IF(ED$5=$E126+1,$C126,""),"")</f>
        <v/>
      </c>
      <c r="EE126" s="34">
        <f>IF(AND(EE$5&gt;$E126,EE$5&lt;=$F126),IF(EE$5=$E126+1,$C126,""),"")</f>
        <v/>
      </c>
      <c r="EF126" s="34">
        <f>IF(AND(EF$5&gt;$E126,EF$5&lt;=$F126),IF(EF$5=$E126+1,$C126,""),"")</f>
        <v/>
      </c>
      <c r="EG126" s="34">
        <f>IF(AND(EG$5&gt;$E126,EG$5&lt;=$F126),IF(EG$5=$E126+1,$C126,""),"")</f>
        <v/>
      </c>
    </row>
    <row r="127">
      <c r="A127" s="32">
        <f>Plan!A117</f>
        <v/>
      </c>
      <c r="B127" s="33">
        <f>Plan!C117</f>
        <v/>
      </c>
      <c r="C127" s="16">
        <f>Plan!D117</f>
        <v/>
      </c>
      <c r="D127" s="16">
        <f>Plan!I117</f>
        <v/>
      </c>
      <c r="E127" s="16">
        <f>Plan!K117</f>
        <v/>
      </c>
      <c r="F127" s="16">
        <f>Plan!L117</f>
        <v/>
      </c>
      <c r="G127" s="16">
        <f>Plan!O117</f>
        <v/>
      </c>
      <c r="H127" s="34">
        <f>IF(AND(H$5&gt;$E127,H$5&lt;=$F127),IF(H$5=$E127+1,$C127,""),"")</f>
        <v/>
      </c>
      <c r="I127" s="34">
        <f>IF(AND(I$5&gt;$E127,I$5&lt;=$F127),IF(I$5=$E127+1,$C127,""),"")</f>
        <v/>
      </c>
      <c r="J127" s="34">
        <f>IF(AND(J$5&gt;$E127,J$5&lt;=$F127),IF(J$5=$E127+1,$C127,""),"")</f>
        <v/>
      </c>
      <c r="K127" s="34">
        <f>IF(AND(K$5&gt;$E127,K$5&lt;=$F127),IF(K$5=$E127+1,$C127,""),"")</f>
        <v/>
      </c>
      <c r="L127" s="34">
        <f>IF(AND(L$5&gt;$E127,L$5&lt;=$F127),IF(L$5=$E127+1,$C127,""),"")</f>
        <v/>
      </c>
      <c r="M127" s="34">
        <f>IF(AND(M$5&gt;$E127,M$5&lt;=$F127),IF(M$5=$E127+1,$C127,""),"")</f>
        <v/>
      </c>
      <c r="N127" s="34">
        <f>IF(AND(N$5&gt;$E127,N$5&lt;=$F127),IF(N$5=$E127+1,$C127,""),"")</f>
        <v/>
      </c>
      <c r="O127" s="34">
        <f>IF(AND(O$5&gt;$E127,O$5&lt;=$F127),IF(O$5=$E127+1,$C127,""),"")</f>
        <v/>
      </c>
      <c r="P127" s="34">
        <f>IF(AND(P$5&gt;$E127,P$5&lt;=$F127),IF(P$5=$E127+1,$C127,""),"")</f>
        <v/>
      </c>
      <c r="Q127" s="34">
        <f>IF(AND(Q$5&gt;$E127,Q$5&lt;=$F127),IF(Q$5=$E127+1,$C127,""),"")</f>
        <v/>
      </c>
      <c r="R127" s="34">
        <f>IF(AND(R$5&gt;$E127,R$5&lt;=$F127),IF(R$5=$E127+1,$C127,""),"")</f>
        <v/>
      </c>
      <c r="S127" s="34">
        <f>IF(AND(S$5&gt;$E127,S$5&lt;=$F127),IF(S$5=$E127+1,$C127,""),"")</f>
        <v/>
      </c>
      <c r="T127" s="34">
        <f>IF(AND(T$5&gt;$E127,T$5&lt;=$F127),IF(T$5=$E127+1,$C127,""),"")</f>
        <v/>
      </c>
      <c r="U127" s="34">
        <f>IF(AND(U$5&gt;$E127,U$5&lt;=$F127),IF(U$5=$E127+1,$C127,""),"")</f>
        <v/>
      </c>
      <c r="V127" s="34">
        <f>IF(AND(V$5&gt;$E127,V$5&lt;=$F127),IF(V$5=$E127+1,$C127,""),"")</f>
        <v/>
      </c>
      <c r="W127" s="34">
        <f>IF(AND(W$5&gt;$E127,W$5&lt;=$F127),IF(W$5=$E127+1,$C127,""),"")</f>
        <v/>
      </c>
      <c r="X127" s="34">
        <f>IF(AND(X$5&gt;$E127,X$5&lt;=$F127),IF(X$5=$E127+1,$C127,""),"")</f>
        <v/>
      </c>
      <c r="Y127" s="34">
        <f>IF(AND(Y$5&gt;$E127,Y$5&lt;=$F127),IF(Y$5=$E127+1,$C127,""),"")</f>
        <v/>
      </c>
      <c r="Z127" s="34">
        <f>IF(AND(Z$5&gt;$E127,Z$5&lt;=$F127),IF(Z$5=$E127+1,$C127,""),"")</f>
        <v/>
      </c>
      <c r="AA127" s="34">
        <f>IF(AND(AA$5&gt;$E127,AA$5&lt;=$F127),IF(AA$5=$E127+1,$C127,""),"")</f>
        <v/>
      </c>
      <c r="AB127" s="34">
        <f>IF(AND(AB$5&gt;$E127,AB$5&lt;=$F127),IF(AB$5=$E127+1,$C127,""),"")</f>
        <v/>
      </c>
      <c r="AC127" s="34">
        <f>IF(AND(AC$5&gt;$E127,AC$5&lt;=$F127),IF(AC$5=$E127+1,$C127,""),"")</f>
        <v/>
      </c>
      <c r="AD127" s="34">
        <f>IF(AND(AD$5&gt;$E127,AD$5&lt;=$F127),IF(AD$5=$E127+1,$C127,""),"")</f>
        <v/>
      </c>
      <c r="AE127" s="34">
        <f>IF(AND(AE$5&gt;$E127,AE$5&lt;=$F127),IF(AE$5=$E127+1,$C127,""),"")</f>
        <v/>
      </c>
      <c r="AF127" s="34">
        <f>IF(AND(AF$5&gt;$E127,AF$5&lt;=$F127),IF(AF$5=$E127+1,$C127,""),"")</f>
        <v/>
      </c>
      <c r="AG127" s="34">
        <f>IF(AND(AG$5&gt;$E127,AG$5&lt;=$F127),IF(AG$5=$E127+1,$C127,""),"")</f>
        <v/>
      </c>
      <c r="AH127" s="34">
        <f>IF(AND(AH$5&gt;$E127,AH$5&lt;=$F127),IF(AH$5=$E127+1,$C127,""),"")</f>
        <v/>
      </c>
      <c r="AI127" s="34">
        <f>IF(AND(AI$5&gt;$E127,AI$5&lt;=$F127),IF(AI$5=$E127+1,$C127,""),"")</f>
        <v/>
      </c>
      <c r="AJ127" s="34">
        <f>IF(AND(AJ$5&gt;$E127,AJ$5&lt;=$F127),IF(AJ$5=$E127+1,$C127,""),"")</f>
        <v/>
      </c>
      <c r="AK127" s="34">
        <f>IF(AND(AK$5&gt;$E127,AK$5&lt;=$F127),IF(AK$5=$E127+1,$C127,""),"")</f>
        <v/>
      </c>
      <c r="AL127" s="34">
        <f>IF(AND(AL$5&gt;$E127,AL$5&lt;=$F127),IF(AL$5=$E127+1,$C127,""),"")</f>
        <v/>
      </c>
      <c r="AM127" s="34">
        <f>IF(AND(AM$5&gt;$E127,AM$5&lt;=$F127),IF(AM$5=$E127+1,$C127,""),"")</f>
        <v/>
      </c>
      <c r="AN127" s="34">
        <f>IF(AND(AN$5&gt;$E127,AN$5&lt;=$F127),IF(AN$5=$E127+1,$C127,""),"")</f>
        <v/>
      </c>
      <c r="AO127" s="34">
        <f>IF(AND(AO$5&gt;$E127,AO$5&lt;=$F127),IF(AO$5=$E127+1,$C127,""),"")</f>
        <v/>
      </c>
      <c r="AP127" s="34">
        <f>IF(AND(AP$5&gt;$E127,AP$5&lt;=$F127),IF(AP$5=$E127+1,$C127,""),"")</f>
        <v/>
      </c>
      <c r="AQ127" s="34">
        <f>IF(AND(AQ$5&gt;$E127,AQ$5&lt;=$F127),IF(AQ$5=$E127+1,$C127,""),"")</f>
        <v/>
      </c>
      <c r="AR127" s="34">
        <f>IF(AND(AR$5&gt;$E127,AR$5&lt;=$F127),IF(AR$5=$E127+1,$C127,""),"")</f>
        <v/>
      </c>
      <c r="AS127" s="34">
        <f>IF(AND(AS$5&gt;$E127,AS$5&lt;=$F127),IF(AS$5=$E127+1,$C127,""),"")</f>
        <v/>
      </c>
      <c r="AT127" s="34">
        <f>IF(AND(AT$5&gt;$E127,AT$5&lt;=$F127),IF(AT$5=$E127+1,$C127,""),"")</f>
        <v/>
      </c>
      <c r="AU127" s="34">
        <f>IF(AND(AU$5&gt;$E127,AU$5&lt;=$F127),IF(AU$5=$E127+1,$C127,""),"")</f>
        <v/>
      </c>
      <c r="AV127" s="34">
        <f>IF(AND(AV$5&gt;$E127,AV$5&lt;=$F127),IF(AV$5=$E127+1,$C127,""),"")</f>
        <v/>
      </c>
      <c r="AW127" s="34">
        <f>IF(AND(AW$5&gt;$E127,AW$5&lt;=$F127),IF(AW$5=$E127+1,$C127,""),"")</f>
        <v/>
      </c>
      <c r="AX127" s="34">
        <f>IF(AND(AX$5&gt;$E127,AX$5&lt;=$F127),IF(AX$5=$E127+1,$C127,""),"")</f>
        <v/>
      </c>
      <c r="AY127" s="34">
        <f>IF(AND(AY$5&gt;$E127,AY$5&lt;=$F127),IF(AY$5=$E127+1,$C127,""),"")</f>
        <v/>
      </c>
      <c r="AZ127" s="34">
        <f>IF(AND(AZ$5&gt;$E127,AZ$5&lt;=$F127),IF(AZ$5=$E127+1,$C127,""),"")</f>
        <v/>
      </c>
      <c r="BA127" s="34">
        <f>IF(AND(BA$5&gt;$E127,BA$5&lt;=$F127),IF(BA$5=$E127+1,$C127,""),"")</f>
        <v/>
      </c>
      <c r="BB127" s="34">
        <f>IF(AND(BB$5&gt;$E127,BB$5&lt;=$F127),IF(BB$5=$E127+1,$C127,""),"")</f>
        <v/>
      </c>
      <c r="BC127" s="34">
        <f>IF(AND(BC$5&gt;$E127,BC$5&lt;=$F127),IF(BC$5=$E127+1,$C127,""),"")</f>
        <v/>
      </c>
      <c r="BD127" s="34">
        <f>IF(AND(BD$5&gt;$E127,BD$5&lt;=$F127),IF(BD$5=$E127+1,$C127,""),"")</f>
        <v/>
      </c>
      <c r="BE127" s="34">
        <f>IF(AND(BE$5&gt;$E127,BE$5&lt;=$F127),IF(BE$5=$E127+1,$C127,""),"")</f>
        <v/>
      </c>
      <c r="BF127" s="34">
        <f>IF(AND(BF$5&gt;$E127,BF$5&lt;=$F127),IF(BF$5=$E127+1,$C127,""),"")</f>
        <v/>
      </c>
      <c r="BG127" s="34">
        <f>IF(AND(BG$5&gt;$E127,BG$5&lt;=$F127),IF(BG$5=$E127+1,$C127,""),"")</f>
        <v/>
      </c>
      <c r="BH127" s="34">
        <f>IF(AND(BH$5&gt;$E127,BH$5&lt;=$F127),IF(BH$5=$E127+1,$C127,""),"")</f>
        <v/>
      </c>
      <c r="BI127" s="34">
        <f>IF(AND(BI$5&gt;$E127,BI$5&lt;=$F127),IF(BI$5=$E127+1,$C127,""),"")</f>
        <v/>
      </c>
      <c r="BJ127" s="34">
        <f>IF(AND(BJ$5&gt;$E127,BJ$5&lt;=$F127),IF(BJ$5=$E127+1,$C127,""),"")</f>
        <v/>
      </c>
      <c r="BK127" s="34">
        <f>IF(AND(BK$5&gt;$E127,BK$5&lt;=$F127),IF(BK$5=$E127+1,$C127,""),"")</f>
        <v/>
      </c>
      <c r="BL127" s="34">
        <f>IF(AND(BL$5&gt;$E127,BL$5&lt;=$F127),IF(BL$5=$E127+1,$C127,""),"")</f>
        <v/>
      </c>
      <c r="BM127" s="34">
        <f>IF(AND(BM$5&gt;$E127,BM$5&lt;=$F127),IF(BM$5=$E127+1,$C127,""),"")</f>
        <v/>
      </c>
      <c r="BN127" s="34">
        <f>IF(AND(BN$5&gt;$E127,BN$5&lt;=$F127),IF(BN$5=$E127+1,$C127,""),"")</f>
        <v/>
      </c>
      <c r="BO127" s="34">
        <f>IF(AND(BO$5&gt;$E127,BO$5&lt;=$F127),IF(BO$5=$E127+1,$C127,""),"")</f>
        <v/>
      </c>
      <c r="BP127" s="34">
        <f>IF(AND(BP$5&gt;$E127,BP$5&lt;=$F127),IF(BP$5=$E127+1,$C127,""),"")</f>
        <v/>
      </c>
      <c r="BQ127" s="34">
        <f>IF(AND(BQ$5&gt;$E127,BQ$5&lt;=$F127),IF(BQ$5=$E127+1,$C127,""),"")</f>
        <v/>
      </c>
      <c r="BR127" s="34">
        <f>IF(AND(BR$5&gt;$E127,BR$5&lt;=$F127),IF(BR$5=$E127+1,$C127,""),"")</f>
        <v/>
      </c>
      <c r="BS127" s="34">
        <f>IF(AND(BS$5&gt;$E127,BS$5&lt;=$F127),IF(BS$5=$E127+1,$C127,""),"")</f>
        <v/>
      </c>
      <c r="BT127" s="34">
        <f>IF(AND(BT$5&gt;$E127,BT$5&lt;=$F127),IF(BT$5=$E127+1,$C127,""),"")</f>
        <v/>
      </c>
      <c r="BU127" s="34">
        <f>IF(AND(BU$5&gt;$E127,BU$5&lt;=$F127),IF(BU$5=$E127+1,$C127,""),"")</f>
        <v/>
      </c>
      <c r="BV127" s="34">
        <f>IF(AND(BV$5&gt;$E127,BV$5&lt;=$F127),IF(BV$5=$E127+1,$C127,""),"")</f>
        <v/>
      </c>
      <c r="BW127" s="34">
        <f>IF(AND(BW$5&gt;$E127,BW$5&lt;=$F127),IF(BW$5=$E127+1,$C127,""),"")</f>
        <v/>
      </c>
      <c r="BX127" s="34">
        <f>IF(AND(BX$5&gt;$E127,BX$5&lt;=$F127),IF(BX$5=$E127+1,$C127,""),"")</f>
        <v/>
      </c>
      <c r="BY127" s="34">
        <f>IF(AND(BY$5&gt;$E127,BY$5&lt;=$F127),IF(BY$5=$E127+1,$C127,""),"")</f>
        <v/>
      </c>
      <c r="BZ127" s="34">
        <f>IF(AND(BZ$5&gt;$E127,BZ$5&lt;=$F127),IF(BZ$5=$E127+1,$C127,""),"")</f>
        <v/>
      </c>
      <c r="CA127" s="34">
        <f>IF(AND(CA$5&gt;$E127,CA$5&lt;=$F127),IF(CA$5=$E127+1,$C127,""),"")</f>
        <v/>
      </c>
      <c r="CB127" s="34">
        <f>IF(AND(CB$5&gt;$E127,CB$5&lt;=$F127),IF(CB$5=$E127+1,$C127,""),"")</f>
        <v/>
      </c>
      <c r="CC127" s="34">
        <f>IF(AND(CC$5&gt;$E127,CC$5&lt;=$F127),IF(CC$5=$E127+1,$C127,""),"")</f>
        <v/>
      </c>
      <c r="CD127" s="34">
        <f>IF(AND(CD$5&gt;$E127,CD$5&lt;=$F127),IF(CD$5=$E127+1,$C127,""),"")</f>
        <v/>
      </c>
      <c r="CE127" s="34">
        <f>IF(AND(CE$5&gt;$E127,CE$5&lt;=$F127),IF(CE$5=$E127+1,$C127,""),"")</f>
        <v/>
      </c>
      <c r="CF127" s="34">
        <f>IF(AND(CF$5&gt;$E127,CF$5&lt;=$F127),IF(CF$5=$E127+1,$C127,""),"")</f>
        <v/>
      </c>
      <c r="CG127" s="34">
        <f>IF(AND(CG$5&gt;$E127,CG$5&lt;=$F127),IF(CG$5=$E127+1,$C127,""),"")</f>
        <v/>
      </c>
      <c r="CH127" s="34">
        <f>IF(AND(CH$5&gt;$E127,CH$5&lt;=$F127),IF(CH$5=$E127+1,$C127,""),"")</f>
        <v/>
      </c>
      <c r="CI127" s="34">
        <f>IF(AND(CI$5&gt;$E127,CI$5&lt;=$F127),IF(CI$5=$E127+1,$C127,""),"")</f>
        <v/>
      </c>
      <c r="CJ127" s="34">
        <f>IF(AND(CJ$5&gt;$E127,CJ$5&lt;=$F127),IF(CJ$5=$E127+1,$C127,""),"")</f>
        <v/>
      </c>
      <c r="CK127" s="34">
        <f>IF(AND(CK$5&gt;$E127,CK$5&lt;=$F127),IF(CK$5=$E127+1,$C127,""),"")</f>
        <v/>
      </c>
      <c r="CL127" s="34">
        <f>IF(AND(CL$5&gt;$E127,CL$5&lt;=$F127),IF(CL$5=$E127+1,$C127,""),"")</f>
        <v/>
      </c>
      <c r="CM127" s="34">
        <f>IF(AND(CM$5&gt;$E127,CM$5&lt;=$F127),IF(CM$5=$E127+1,$C127,""),"")</f>
        <v/>
      </c>
      <c r="CN127" s="34">
        <f>IF(AND(CN$5&gt;$E127,CN$5&lt;=$F127),IF(CN$5=$E127+1,$C127,""),"")</f>
        <v/>
      </c>
      <c r="CO127" s="34">
        <f>IF(AND(CO$5&gt;$E127,CO$5&lt;=$F127),IF(CO$5=$E127+1,$C127,""),"")</f>
        <v/>
      </c>
      <c r="CP127" s="34">
        <f>IF(AND(CP$5&gt;$E127,CP$5&lt;=$F127),IF(CP$5=$E127+1,$C127,""),"")</f>
        <v/>
      </c>
      <c r="CQ127" s="34">
        <f>IF(AND(CQ$5&gt;$E127,CQ$5&lt;=$F127),IF(CQ$5=$E127+1,$C127,""),"")</f>
        <v/>
      </c>
      <c r="CR127" s="34">
        <f>IF(AND(CR$5&gt;$E127,CR$5&lt;=$F127),IF(CR$5=$E127+1,$C127,""),"")</f>
        <v/>
      </c>
      <c r="CS127" s="34">
        <f>IF(AND(CS$5&gt;$E127,CS$5&lt;=$F127),IF(CS$5=$E127+1,$C127,""),"")</f>
        <v/>
      </c>
      <c r="CT127" s="34">
        <f>IF(AND(CT$5&gt;$E127,CT$5&lt;=$F127),IF(CT$5=$E127+1,$C127,""),"")</f>
        <v/>
      </c>
      <c r="CU127" s="34">
        <f>IF(AND(CU$5&gt;$E127,CU$5&lt;=$F127),IF(CU$5=$E127+1,$C127,""),"")</f>
        <v/>
      </c>
      <c r="CV127" s="34">
        <f>IF(AND(CV$5&gt;$E127,CV$5&lt;=$F127),IF(CV$5=$E127+1,$C127,""),"")</f>
        <v/>
      </c>
      <c r="CW127" s="34">
        <f>IF(AND(CW$5&gt;$E127,CW$5&lt;=$F127),IF(CW$5=$E127+1,$C127,""),"")</f>
        <v/>
      </c>
      <c r="CX127" s="34">
        <f>IF(AND(CX$5&gt;$E127,CX$5&lt;=$F127),IF(CX$5=$E127+1,$C127,""),"")</f>
        <v/>
      </c>
      <c r="CY127" s="34">
        <f>IF(AND(CY$5&gt;$E127,CY$5&lt;=$F127),IF(CY$5=$E127+1,$C127,""),"")</f>
        <v/>
      </c>
      <c r="CZ127" s="34">
        <f>IF(AND(CZ$5&gt;$E127,CZ$5&lt;=$F127),IF(CZ$5=$E127+1,$C127,""),"")</f>
        <v/>
      </c>
      <c r="DA127" s="34">
        <f>IF(AND(DA$5&gt;$E127,DA$5&lt;=$F127),IF(DA$5=$E127+1,$C127,""),"")</f>
        <v/>
      </c>
      <c r="DB127" s="34">
        <f>IF(AND(DB$5&gt;$E127,DB$5&lt;=$F127),IF(DB$5=$E127+1,$C127,""),"")</f>
        <v/>
      </c>
      <c r="DC127" s="34">
        <f>IF(AND(DC$5&gt;$E127,DC$5&lt;=$F127),IF(DC$5=$E127+1,$C127,""),"")</f>
        <v/>
      </c>
      <c r="DD127" s="34">
        <f>IF(AND(DD$5&gt;$E127,DD$5&lt;=$F127),IF(DD$5=$E127+1,$C127,""),"")</f>
        <v/>
      </c>
      <c r="DE127" s="34">
        <f>IF(AND(DE$5&gt;$E127,DE$5&lt;=$F127),IF(DE$5=$E127+1,$C127,""),"")</f>
        <v/>
      </c>
      <c r="DF127" s="34">
        <f>IF(AND(DF$5&gt;$E127,DF$5&lt;=$F127),IF(DF$5=$E127+1,$C127,""),"")</f>
        <v/>
      </c>
      <c r="DG127" s="34">
        <f>IF(AND(DG$5&gt;$E127,DG$5&lt;=$F127),IF(DG$5=$E127+1,$C127,""),"")</f>
        <v/>
      </c>
      <c r="DH127" s="34">
        <f>IF(AND(DH$5&gt;$E127,DH$5&lt;=$F127),IF(DH$5=$E127+1,$C127,""),"")</f>
        <v/>
      </c>
      <c r="DI127" s="34">
        <f>IF(AND(DI$5&gt;$E127,DI$5&lt;=$F127),IF(DI$5=$E127+1,$C127,""),"")</f>
        <v/>
      </c>
      <c r="DJ127" s="34">
        <f>IF(AND(DJ$5&gt;$E127,DJ$5&lt;=$F127),IF(DJ$5=$E127+1,$C127,""),"")</f>
        <v/>
      </c>
      <c r="DK127" s="34">
        <f>IF(AND(DK$5&gt;$E127,DK$5&lt;=$F127),IF(DK$5=$E127+1,$C127,""),"")</f>
        <v/>
      </c>
      <c r="DL127" s="34">
        <f>IF(AND(DL$5&gt;$E127,DL$5&lt;=$F127),IF(DL$5=$E127+1,$C127,""),"")</f>
        <v/>
      </c>
      <c r="DM127" s="34">
        <f>IF(AND(DM$5&gt;$E127,DM$5&lt;=$F127),IF(DM$5=$E127+1,$C127,""),"")</f>
        <v/>
      </c>
      <c r="DN127" s="34">
        <f>IF(AND(DN$5&gt;$E127,DN$5&lt;=$F127),IF(DN$5=$E127+1,$C127,""),"")</f>
        <v/>
      </c>
      <c r="DO127" s="34">
        <f>IF(AND(DO$5&gt;$E127,DO$5&lt;=$F127),IF(DO$5=$E127+1,$C127,""),"")</f>
        <v/>
      </c>
      <c r="DP127" s="34">
        <f>IF(AND(DP$5&gt;$E127,DP$5&lt;=$F127),IF(DP$5=$E127+1,$C127,""),"")</f>
        <v/>
      </c>
      <c r="DQ127" s="34">
        <f>IF(AND(DQ$5&gt;$E127,DQ$5&lt;=$F127),IF(DQ$5=$E127+1,$C127,""),"")</f>
        <v/>
      </c>
      <c r="DR127" s="34">
        <f>IF(AND(DR$5&gt;$E127,DR$5&lt;=$F127),IF(DR$5=$E127+1,$C127,""),"")</f>
        <v/>
      </c>
      <c r="DS127" s="34">
        <f>IF(AND(DS$5&gt;$E127,DS$5&lt;=$F127),IF(DS$5=$E127+1,$C127,""),"")</f>
        <v/>
      </c>
      <c r="DT127" s="34">
        <f>IF(AND(DT$5&gt;$E127,DT$5&lt;=$F127),IF(DT$5=$E127+1,$C127,""),"")</f>
        <v/>
      </c>
      <c r="DU127" s="34">
        <f>IF(AND(DU$5&gt;$E127,DU$5&lt;=$F127),IF(DU$5=$E127+1,$C127,""),"")</f>
        <v/>
      </c>
      <c r="DV127" s="34">
        <f>IF(AND(DV$5&gt;$E127,DV$5&lt;=$F127),IF(DV$5=$E127+1,$C127,""),"")</f>
        <v/>
      </c>
      <c r="DW127" s="34">
        <f>IF(AND(DW$5&gt;$E127,DW$5&lt;=$F127),IF(DW$5=$E127+1,$C127,""),"")</f>
        <v/>
      </c>
      <c r="DX127" s="34">
        <f>IF(AND(DX$5&gt;$E127,DX$5&lt;=$F127),IF(DX$5=$E127+1,$C127,""),"")</f>
        <v/>
      </c>
      <c r="DY127" s="34">
        <f>IF(AND(DY$5&gt;$E127,DY$5&lt;=$F127),IF(DY$5=$E127+1,$C127,""),"")</f>
        <v/>
      </c>
      <c r="DZ127" s="34">
        <f>IF(AND(DZ$5&gt;$E127,DZ$5&lt;=$F127),IF(DZ$5=$E127+1,$C127,""),"")</f>
        <v/>
      </c>
      <c r="EA127" s="34">
        <f>IF(AND(EA$5&gt;$E127,EA$5&lt;=$F127),IF(EA$5=$E127+1,$C127,""),"")</f>
        <v/>
      </c>
      <c r="EB127" s="34">
        <f>IF(AND(EB$5&gt;$E127,EB$5&lt;=$F127),IF(EB$5=$E127+1,$C127,""),"")</f>
        <v/>
      </c>
      <c r="EC127" s="34">
        <f>IF(AND(EC$5&gt;$E127,EC$5&lt;=$F127),IF(EC$5=$E127+1,$C127,""),"")</f>
        <v/>
      </c>
      <c r="ED127" s="34">
        <f>IF(AND(ED$5&gt;$E127,ED$5&lt;=$F127),IF(ED$5=$E127+1,$C127,""),"")</f>
        <v/>
      </c>
      <c r="EE127" s="34">
        <f>IF(AND(EE$5&gt;$E127,EE$5&lt;=$F127),IF(EE$5=$E127+1,$C127,""),"")</f>
        <v/>
      </c>
      <c r="EF127" s="34">
        <f>IF(AND(EF$5&gt;$E127,EF$5&lt;=$F127),IF(EF$5=$E127+1,$C127,""),"")</f>
        <v/>
      </c>
      <c r="EG127" s="34">
        <f>IF(AND(EG$5&gt;$E127,EG$5&lt;=$F127),IF(EG$5=$E127+1,$C127,""),"")</f>
        <v/>
      </c>
    </row>
  </sheetData>
  <mergeCells count="21">
    <mergeCell ref="BZ4:CI4"/>
    <mergeCell ref="AL4:AU4"/>
    <mergeCell ref="A44:D44"/>
    <mergeCell ref="A9:D9"/>
    <mergeCell ref="A67:D67"/>
    <mergeCell ref="A34:D34"/>
    <mergeCell ref="AV4:BE4"/>
    <mergeCell ref="DD4:DM4"/>
    <mergeCell ref="DX4:EG4"/>
    <mergeCell ref="DN4:DW4"/>
    <mergeCell ref="R4:AA4"/>
    <mergeCell ref="H4:Q4"/>
    <mergeCell ref="A6:G6"/>
    <mergeCell ref="AB4:AK4"/>
    <mergeCell ref="A87:D87"/>
    <mergeCell ref="A7:G7"/>
    <mergeCell ref="BP4:BY4"/>
    <mergeCell ref="CJ4:CS4"/>
    <mergeCell ref="A18:D18"/>
    <mergeCell ref="CT4:DC4"/>
    <mergeCell ref="BF4:BO4"/>
  </mergeCells>
  <conditionalFormatting sqref="H6:EG6">
    <cfRule type="expression" priority="1" dxfId="9">
      <formula>H6&lt;&gt;""</formula>
    </cfRule>
  </conditionalFormatting>
  <conditionalFormatting sqref="H7:EG7">
    <cfRule type="expression" priority="2" dxfId="10">
      <formula>H7&lt;&gt;""</formula>
    </cfRule>
  </conditionalFormatting>
  <conditionalFormatting sqref="H9:EG9">
    <cfRule type="expression" priority="3" dxfId="11">
      <formula>AND(H$5&gt;$E9,H$5&lt;=$F9)</formula>
    </cfRule>
  </conditionalFormatting>
  <conditionalFormatting sqref="H18:EG18">
    <cfRule type="expression" priority="4" dxfId="11">
      <formula>AND(H$5&gt;$E18,H$5&lt;=$F18)</formula>
    </cfRule>
  </conditionalFormatting>
  <conditionalFormatting sqref="H34:EG34">
    <cfRule type="expression" priority="5" dxfId="11">
      <formula>AND(H$5&gt;$E34,H$5&lt;=$F34)</formula>
    </cfRule>
  </conditionalFormatting>
  <conditionalFormatting sqref="H44:EG44">
    <cfRule type="expression" priority="6" dxfId="11">
      <formula>AND(H$5&gt;$E44,H$5&lt;=$F44)</formula>
    </cfRule>
  </conditionalFormatting>
  <conditionalFormatting sqref="H67:EG67">
    <cfRule type="expression" priority="7" dxfId="11">
      <formula>AND(H$5&gt;$E67,H$5&lt;=$F67)</formula>
    </cfRule>
  </conditionalFormatting>
  <conditionalFormatting sqref="H87:EG87">
    <cfRule type="expression" priority="8" dxfId="11">
      <formula>AND(H$5&gt;$E87,H$5&lt;=$F87)</formula>
    </cfRule>
  </conditionalFormatting>
  <conditionalFormatting sqref="H9:EG127">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EG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53</v>
      </c>
      <c r="E5" s="16">
        <f>Plan!J5</f>
        <v/>
      </c>
      <c r="F5" s="16">
        <f>Plan!K5</f>
        <v/>
      </c>
      <c r="G5" s="8">
        <f>F5-E5</f>
        <v/>
      </c>
      <c r="H5" s="16">
        <f>Plan!I5</f>
        <v/>
      </c>
      <c r="I5" s="16">
        <f>Plan!O5</f>
        <v/>
      </c>
    </row>
    <row r="6">
      <c r="A6" s="8" t="n">
        <v>2</v>
      </c>
      <c r="B6" s="18" t="inlineStr">
        <is>
          <t>1.3</t>
        </is>
      </c>
      <c r="C6" s="35">
        <f>Plan!C7</f>
        <v/>
      </c>
      <c r="D6" s="8" t="n">
        <v>50</v>
      </c>
      <c r="E6" s="16">
        <f>Plan!J7</f>
        <v/>
      </c>
      <c r="F6" s="16">
        <f>Plan!K7</f>
        <v/>
      </c>
      <c r="G6" s="8">
        <f>F6-E6</f>
        <v/>
      </c>
      <c r="H6" s="16">
        <f>Plan!I7</f>
        <v/>
      </c>
      <c r="I6" s="16">
        <f>Plan!O7</f>
        <v/>
      </c>
    </row>
    <row r="7">
      <c r="A7" s="8" t="n">
        <v>3</v>
      </c>
      <c r="B7" s="18" t="inlineStr">
        <is>
          <t>1.2</t>
        </is>
      </c>
      <c r="C7" s="35">
        <f>Plan!C6</f>
        <v/>
      </c>
      <c r="D7" s="8" t="n">
        <v>44</v>
      </c>
      <c r="E7" s="16">
        <f>Plan!J6</f>
        <v/>
      </c>
      <c r="F7" s="16">
        <f>Plan!K6</f>
        <v/>
      </c>
      <c r="G7" s="8">
        <f>F7-E7</f>
        <v/>
      </c>
      <c r="H7" s="16">
        <f>Plan!I6</f>
        <v/>
      </c>
      <c r="I7" s="16">
        <f>Plan!O6</f>
        <v/>
      </c>
    </row>
    <row r="8">
      <c r="A8" s="8" t="n">
        <v>4</v>
      </c>
      <c r="B8" s="18" t="inlineStr">
        <is>
          <t>1.4</t>
        </is>
      </c>
      <c r="C8" s="35">
        <f>Plan!C8</f>
        <v/>
      </c>
      <c r="D8" s="8" t="n">
        <v>49</v>
      </c>
      <c r="E8" s="16">
        <f>Plan!J8</f>
        <v/>
      </c>
      <c r="F8" s="16">
        <f>Plan!K8</f>
        <v/>
      </c>
      <c r="G8" s="8">
        <f>F8-E8</f>
        <v/>
      </c>
      <c r="H8" s="16">
        <f>Plan!I8</f>
        <v/>
      </c>
      <c r="I8" s="16">
        <f>Plan!O8</f>
        <v/>
      </c>
    </row>
    <row r="9">
      <c r="A9" s="8" t="n">
        <v>5</v>
      </c>
      <c r="B9" s="18" t="inlineStr">
        <is>
          <t>2.4</t>
        </is>
      </c>
      <c r="C9" s="35">
        <f>Plan!C16</f>
        <v/>
      </c>
      <c r="D9" s="8" t="n">
        <v>15</v>
      </c>
      <c r="E9" s="16">
        <f>Plan!J16</f>
        <v/>
      </c>
      <c r="F9" s="16">
        <f>Plan!K16</f>
        <v/>
      </c>
      <c r="G9" s="8">
        <f>F9-E9</f>
        <v/>
      </c>
      <c r="H9" s="16">
        <f>Plan!I16</f>
        <v/>
      </c>
      <c r="I9" s="16">
        <f>Plan!O16</f>
        <v/>
      </c>
    </row>
    <row r="10">
      <c r="A10" s="8" t="n">
        <v>6</v>
      </c>
      <c r="B10" s="18" t="inlineStr">
        <is>
          <t>2.2</t>
        </is>
      </c>
      <c r="C10" s="35">
        <f>Plan!C14</f>
        <v/>
      </c>
      <c r="D10" s="8" t="n">
        <v>47</v>
      </c>
      <c r="E10" s="16">
        <f>Plan!J14</f>
        <v/>
      </c>
      <c r="F10" s="16">
        <f>Plan!K14</f>
        <v/>
      </c>
      <c r="G10" s="8">
        <f>F10-E10</f>
        <v/>
      </c>
      <c r="H10" s="16">
        <f>Plan!I14</f>
        <v/>
      </c>
      <c r="I10" s="16">
        <f>Plan!O14</f>
        <v/>
      </c>
    </row>
    <row r="11">
      <c r="A11" s="8" t="n">
        <v>7</v>
      </c>
      <c r="B11" s="18" t="inlineStr">
        <is>
          <t>2.1</t>
        </is>
      </c>
      <c r="C11" s="35">
        <f>Plan!C13</f>
        <v/>
      </c>
      <c r="D11" s="8" t="n">
        <v>38</v>
      </c>
      <c r="E11" s="16">
        <f>Plan!J13</f>
        <v/>
      </c>
      <c r="F11" s="16">
        <f>Plan!K13</f>
        <v/>
      </c>
      <c r="G11" s="8">
        <f>F11-E11</f>
        <v/>
      </c>
      <c r="H11" s="16">
        <f>Plan!I13</f>
        <v/>
      </c>
      <c r="I11" s="16">
        <f>Plan!O13</f>
        <v/>
      </c>
    </row>
    <row r="12">
      <c r="A12" s="8" t="n">
        <v>8</v>
      </c>
      <c r="B12" s="18" t="inlineStr">
        <is>
          <t>2.5</t>
        </is>
      </c>
      <c r="C12" s="35">
        <f>Plan!C17</f>
        <v/>
      </c>
      <c r="D12" s="8" t="n">
        <v>45</v>
      </c>
      <c r="E12" s="16">
        <f>Plan!J17</f>
        <v/>
      </c>
      <c r="F12" s="16">
        <f>Plan!K17</f>
        <v/>
      </c>
      <c r="G12" s="8">
        <f>F12-E12</f>
        <v/>
      </c>
      <c r="H12" s="16">
        <f>Plan!I17</f>
        <v/>
      </c>
      <c r="I12" s="16">
        <f>Plan!O17</f>
        <v/>
      </c>
    </row>
    <row r="13">
      <c r="A13" s="8" t="n">
        <v>9</v>
      </c>
      <c r="B13" s="18" t="inlineStr">
        <is>
          <t>3.1</t>
        </is>
      </c>
      <c r="C13" s="35">
        <f>Plan!C28</f>
        <v/>
      </c>
      <c r="D13" s="8" t="n">
        <v>41</v>
      </c>
      <c r="E13" s="16">
        <f>Plan!J28</f>
        <v/>
      </c>
      <c r="F13" s="16">
        <f>Plan!K28</f>
        <v/>
      </c>
      <c r="G13" s="8">
        <f>F13-E13</f>
        <v/>
      </c>
      <c r="H13" s="16">
        <f>Plan!I28</f>
        <v/>
      </c>
      <c r="I13" s="16">
        <f>Plan!O28</f>
        <v/>
      </c>
    </row>
    <row r="14">
      <c r="A14" s="8" t="n">
        <v>10</v>
      </c>
      <c r="B14" s="18" t="inlineStr">
        <is>
          <t>2.6</t>
        </is>
      </c>
      <c r="C14" s="35">
        <f>Plan!C18</f>
        <v/>
      </c>
      <c r="D14" s="8" t="n">
        <v>42</v>
      </c>
      <c r="E14" s="16">
        <f>Plan!J18</f>
        <v/>
      </c>
      <c r="F14" s="16">
        <f>Plan!K18</f>
        <v/>
      </c>
      <c r="G14" s="8">
        <f>F14-E14</f>
        <v/>
      </c>
      <c r="H14" s="16">
        <f>Plan!I18</f>
        <v/>
      </c>
      <c r="I14" s="16">
        <f>Plan!O18</f>
        <v/>
      </c>
    </row>
    <row r="15">
      <c r="A15" s="8" t="n">
        <v>11</v>
      </c>
      <c r="B15" s="18" t="inlineStr">
        <is>
          <t>3.4</t>
        </is>
      </c>
      <c r="C15" s="35">
        <f>Plan!C31</f>
        <v/>
      </c>
      <c r="D15" s="8" t="n">
        <v>36</v>
      </c>
      <c r="E15" s="16">
        <f>Plan!J31</f>
        <v/>
      </c>
      <c r="F15" s="16">
        <f>Plan!K31</f>
        <v/>
      </c>
      <c r="G15" s="8">
        <f>F15-E15</f>
        <v/>
      </c>
      <c r="H15" s="16">
        <f>Plan!I31</f>
        <v/>
      </c>
      <c r="I15" s="16">
        <f>Plan!O31</f>
        <v/>
      </c>
    </row>
    <row r="16">
      <c r="A16" s="8" t="n">
        <v>12</v>
      </c>
      <c r="B16" s="18" t="inlineStr">
        <is>
          <t>2.7</t>
        </is>
      </c>
      <c r="C16" s="35">
        <f>Plan!C19</f>
        <v/>
      </c>
      <c r="D16" s="8" t="n">
        <v>39</v>
      </c>
      <c r="E16" s="16">
        <f>Plan!J19</f>
        <v/>
      </c>
      <c r="F16" s="16">
        <f>Plan!K19</f>
        <v/>
      </c>
      <c r="G16" s="8">
        <f>F16-E16</f>
        <v/>
      </c>
      <c r="H16" s="16">
        <f>Plan!I19</f>
        <v/>
      </c>
      <c r="I16" s="16">
        <f>Plan!O19</f>
        <v/>
      </c>
    </row>
    <row r="17">
      <c r="A17" s="8" t="n">
        <v>13</v>
      </c>
      <c r="B17" s="18" t="inlineStr">
        <is>
          <t>1.5</t>
        </is>
      </c>
      <c r="C17" s="35">
        <f>Plan!C9</f>
        <v/>
      </c>
      <c r="D17" s="8" t="n">
        <v>40</v>
      </c>
      <c r="E17" s="16">
        <f>Plan!J9</f>
        <v/>
      </c>
      <c r="F17" s="16">
        <f>Plan!K9</f>
        <v/>
      </c>
      <c r="G17" s="8">
        <f>F17-E17</f>
        <v/>
      </c>
      <c r="H17" s="16">
        <f>Plan!I9</f>
        <v/>
      </c>
      <c r="I17" s="16">
        <f>Plan!O9</f>
        <v/>
      </c>
    </row>
    <row r="18">
      <c r="A18" s="8" t="n">
        <v>14</v>
      </c>
      <c r="B18" s="18" t="inlineStr">
        <is>
          <t>2.3</t>
        </is>
      </c>
      <c r="C18" s="35">
        <f>Plan!C15</f>
        <v/>
      </c>
      <c r="D18" s="8" t="n">
        <v>36</v>
      </c>
      <c r="E18" s="16">
        <f>Plan!J15</f>
        <v/>
      </c>
      <c r="F18" s="16">
        <f>Plan!K15</f>
        <v/>
      </c>
      <c r="G18" s="8">
        <f>F18-E18</f>
        <v/>
      </c>
      <c r="H18" s="16">
        <f>Plan!I15</f>
        <v/>
      </c>
      <c r="I18" s="16">
        <f>Plan!O15</f>
        <v/>
      </c>
    </row>
    <row r="19">
      <c r="A19" s="8" t="n">
        <v>15</v>
      </c>
      <c r="B19" s="18" t="inlineStr">
        <is>
          <t>1.7</t>
        </is>
      </c>
      <c r="C19" s="35">
        <f>Plan!C11</f>
        <v/>
      </c>
      <c r="D19" s="8" t="n">
        <v>37</v>
      </c>
      <c r="E19" s="16">
        <f>Plan!J11</f>
        <v/>
      </c>
      <c r="F19" s="16">
        <f>Plan!K11</f>
        <v/>
      </c>
      <c r="G19" s="8">
        <f>F19-E19</f>
        <v/>
      </c>
      <c r="H19" s="16">
        <f>Plan!I11</f>
        <v/>
      </c>
      <c r="I19" s="16">
        <f>Plan!O11</f>
        <v/>
      </c>
    </row>
    <row r="20">
      <c r="A20" s="8" t="n">
        <v>16</v>
      </c>
      <c r="B20" s="18" t="inlineStr">
        <is>
          <t>2.8</t>
        </is>
      </c>
      <c r="C20" s="35">
        <f>Plan!C20</f>
        <v/>
      </c>
      <c r="D20" s="8" t="n">
        <v>9</v>
      </c>
      <c r="E20" s="16">
        <f>Plan!J20</f>
        <v/>
      </c>
      <c r="F20" s="16">
        <f>Plan!K20</f>
        <v/>
      </c>
      <c r="G20" s="8">
        <f>F20-E20</f>
        <v/>
      </c>
      <c r="H20" s="16">
        <f>Plan!I20</f>
        <v/>
      </c>
      <c r="I20" s="16">
        <f>Plan!O20</f>
        <v/>
      </c>
    </row>
    <row r="21">
      <c r="A21" s="8" t="n">
        <v>17</v>
      </c>
      <c r="B21" s="18" t="inlineStr">
        <is>
          <t>4.1</t>
        </is>
      </c>
      <c r="C21" s="35">
        <f>Plan!C37</f>
        <v/>
      </c>
      <c r="D21" s="8" t="n">
        <v>37</v>
      </c>
      <c r="E21" s="16">
        <f>Plan!J37</f>
        <v/>
      </c>
      <c r="F21" s="16">
        <f>Plan!K37</f>
        <v/>
      </c>
      <c r="G21" s="8">
        <f>F21-E21</f>
        <v/>
      </c>
      <c r="H21" s="16">
        <f>Plan!I37</f>
        <v/>
      </c>
      <c r="I21" s="16">
        <f>Plan!O37</f>
        <v/>
      </c>
    </row>
    <row r="22">
      <c r="A22" s="8" t="n">
        <v>18</v>
      </c>
      <c r="B22" s="18" t="inlineStr">
        <is>
          <t>4.6</t>
        </is>
      </c>
      <c r="C22" s="35">
        <f>Plan!C42</f>
        <v/>
      </c>
      <c r="D22" s="8" t="n">
        <v>35</v>
      </c>
      <c r="E22" s="16">
        <f>Plan!J42</f>
        <v/>
      </c>
      <c r="F22" s="16">
        <f>Plan!K42</f>
        <v/>
      </c>
      <c r="G22" s="8">
        <f>F22-E22</f>
        <v/>
      </c>
      <c r="H22" s="16">
        <f>Plan!I42</f>
        <v/>
      </c>
      <c r="I22" s="16">
        <f>Plan!O42</f>
        <v/>
      </c>
    </row>
    <row r="23">
      <c r="A23" s="8" t="n">
        <v>19</v>
      </c>
      <c r="B23" s="18" t="inlineStr">
        <is>
          <t>2.14</t>
        </is>
      </c>
      <c r="C23" s="35">
        <f>Plan!C26</f>
        <v/>
      </c>
      <c r="D23" s="8" t="n">
        <v>35</v>
      </c>
      <c r="E23" s="16">
        <f>Plan!J26</f>
        <v/>
      </c>
      <c r="F23" s="16">
        <f>Plan!K26</f>
        <v/>
      </c>
      <c r="G23" s="8">
        <f>F23-E23</f>
        <v/>
      </c>
      <c r="H23" s="16">
        <f>Plan!I26</f>
        <v/>
      </c>
      <c r="I23" s="16">
        <f>Plan!O26</f>
        <v/>
      </c>
    </row>
    <row r="24">
      <c r="A24" s="8" t="n">
        <v>20</v>
      </c>
      <c r="B24" s="18" t="inlineStr">
        <is>
          <t>4.11</t>
        </is>
      </c>
      <c r="C24" s="35">
        <f>Plan!C47</f>
        <v/>
      </c>
      <c r="D24" s="8" t="n">
        <v>33</v>
      </c>
      <c r="E24" s="16">
        <f>Plan!J47</f>
        <v/>
      </c>
      <c r="F24" s="16">
        <f>Plan!K47</f>
        <v/>
      </c>
      <c r="G24" s="8">
        <f>F24-E24</f>
        <v/>
      </c>
      <c r="H24" s="16">
        <f>Plan!I47</f>
        <v/>
      </c>
      <c r="I24" s="16">
        <f>Plan!O47</f>
        <v/>
      </c>
    </row>
    <row r="25">
      <c r="A25" s="8" t="n">
        <v>21</v>
      </c>
      <c r="B25" s="18" t="inlineStr">
        <is>
          <t>3.10</t>
        </is>
      </c>
      <c r="C25" s="35">
        <f>Plan!C36</f>
        <v/>
      </c>
      <c r="D25" s="8" t="n">
        <v>33</v>
      </c>
      <c r="E25" s="16">
        <f>Plan!J36</f>
        <v/>
      </c>
      <c r="F25" s="16">
        <f>Plan!K36</f>
        <v/>
      </c>
      <c r="G25" s="8">
        <f>F25-E25</f>
        <v/>
      </c>
      <c r="H25" s="16">
        <f>Plan!I36</f>
        <v/>
      </c>
      <c r="I25" s="16">
        <f>Plan!O36</f>
        <v/>
      </c>
    </row>
    <row r="26">
      <c r="A26" s="8" t="n">
        <v>22</v>
      </c>
      <c r="B26" s="18" t="inlineStr">
        <is>
          <t>4.10</t>
        </is>
      </c>
      <c r="C26" s="35">
        <f>Plan!C46</f>
        <v/>
      </c>
      <c r="D26" s="8" t="n">
        <v>32</v>
      </c>
      <c r="E26" s="16">
        <f>Plan!J46</f>
        <v/>
      </c>
      <c r="F26" s="16">
        <f>Plan!K46</f>
        <v/>
      </c>
      <c r="G26" s="8">
        <f>F26-E26</f>
        <v/>
      </c>
      <c r="H26" s="16">
        <f>Plan!I46</f>
        <v/>
      </c>
      <c r="I26" s="16">
        <f>Plan!O46</f>
        <v/>
      </c>
    </row>
    <row r="27">
      <c r="A27" s="8" t="n">
        <v>23</v>
      </c>
      <c r="B27" s="18" t="inlineStr">
        <is>
          <t>2.15</t>
        </is>
      </c>
      <c r="C27" s="35">
        <f>Plan!C27</f>
        <v/>
      </c>
      <c r="D27" s="8" t="n">
        <v>34</v>
      </c>
      <c r="E27" s="16">
        <f>Plan!J27</f>
        <v/>
      </c>
      <c r="F27" s="16">
        <f>Plan!K27</f>
        <v/>
      </c>
      <c r="G27" s="8">
        <f>F27-E27</f>
        <v/>
      </c>
      <c r="H27" s="16">
        <f>Plan!I27</f>
        <v/>
      </c>
      <c r="I27" s="16">
        <f>Plan!O27</f>
        <v/>
      </c>
    </row>
    <row r="28">
      <c r="A28" s="8" t="n">
        <v>24</v>
      </c>
      <c r="B28" s="18" t="inlineStr">
        <is>
          <t>6.4</t>
        </is>
      </c>
      <c r="C28" s="35">
        <f>Plan!C61</f>
        <v/>
      </c>
      <c r="D28" s="8" t="n">
        <v>6</v>
      </c>
      <c r="E28" s="16">
        <f>Plan!J61</f>
        <v/>
      </c>
      <c r="F28" s="16">
        <f>Plan!K61</f>
        <v/>
      </c>
      <c r="G28" s="8">
        <f>F28-E28</f>
        <v/>
      </c>
      <c r="H28" s="16">
        <f>Plan!I61</f>
        <v/>
      </c>
      <c r="I28" s="16">
        <f>Plan!O61</f>
        <v/>
      </c>
    </row>
    <row r="29">
      <c r="A29" s="8" t="n">
        <v>25</v>
      </c>
      <c r="B29" s="18" t="inlineStr">
        <is>
          <t>6.10</t>
        </is>
      </c>
      <c r="C29" s="35">
        <f>Plan!C67</f>
        <v/>
      </c>
      <c r="D29" s="8" t="n">
        <v>6</v>
      </c>
      <c r="E29" s="16">
        <f>Plan!J67</f>
        <v/>
      </c>
      <c r="F29" s="16">
        <f>Plan!K67</f>
        <v/>
      </c>
      <c r="G29" s="8">
        <f>F29-E29</f>
        <v/>
      </c>
      <c r="H29" s="16">
        <f>Plan!I67</f>
        <v/>
      </c>
      <c r="I29" s="16">
        <f>Plan!O67</f>
        <v/>
      </c>
    </row>
    <row r="30">
      <c r="A30" s="8" t="n">
        <v>26</v>
      </c>
      <c r="B30" s="18" t="inlineStr">
        <is>
          <t>6.16</t>
        </is>
      </c>
      <c r="C30" s="35">
        <f>Plan!C73</f>
        <v/>
      </c>
      <c r="D30" s="8" t="n">
        <v>31</v>
      </c>
      <c r="E30" s="16">
        <f>Plan!J73</f>
        <v/>
      </c>
      <c r="F30" s="16">
        <f>Plan!K73</f>
        <v/>
      </c>
      <c r="G30" s="8">
        <f>F30-E30</f>
        <v/>
      </c>
      <c r="H30" s="16">
        <f>Plan!I73</f>
        <v/>
      </c>
      <c r="I30" s="16">
        <f>Plan!O73</f>
        <v/>
      </c>
    </row>
    <row r="31">
      <c r="A31" s="8" t="n">
        <v>27</v>
      </c>
      <c r="B31" s="18" t="inlineStr">
        <is>
          <t>6.19</t>
        </is>
      </c>
      <c r="C31" s="35">
        <f>Plan!C74</f>
        <v/>
      </c>
      <c r="D31" s="8" t="n">
        <v>31</v>
      </c>
      <c r="E31" s="16">
        <f>Plan!J74</f>
        <v/>
      </c>
      <c r="F31" s="16">
        <f>Plan!K74</f>
        <v/>
      </c>
      <c r="G31" s="8">
        <f>F31-E31</f>
        <v/>
      </c>
      <c r="H31" s="16">
        <f>Plan!I74</f>
        <v/>
      </c>
      <c r="I31" s="16">
        <f>Plan!O74</f>
        <v/>
      </c>
    </row>
    <row r="32">
      <c r="A32" s="8" t="n">
        <v>28</v>
      </c>
      <c r="B32" s="18" t="inlineStr">
        <is>
          <t>1.6</t>
        </is>
      </c>
      <c r="C32" s="35">
        <f>Plan!C10</f>
        <v/>
      </c>
      <c r="D32" s="8" t="n">
        <v>31</v>
      </c>
      <c r="E32" s="16">
        <f>Plan!J10</f>
        <v/>
      </c>
      <c r="F32" s="16">
        <f>Plan!K10</f>
        <v/>
      </c>
      <c r="G32" s="8">
        <f>F32-E32</f>
        <v/>
      </c>
      <c r="H32" s="16">
        <f>Plan!I10</f>
        <v/>
      </c>
      <c r="I32" s="16">
        <f>Plan!O10</f>
        <v/>
      </c>
    </row>
    <row r="33">
      <c r="A33" s="8" t="n">
        <v>29</v>
      </c>
      <c r="B33" s="18" t="inlineStr">
        <is>
          <t>6.17</t>
        </is>
      </c>
      <c r="C33" s="35">
        <f>Plan!C75</f>
        <v/>
      </c>
      <c r="D33" s="8" t="n">
        <v>30</v>
      </c>
      <c r="E33" s="16">
        <f>Plan!J75</f>
        <v/>
      </c>
      <c r="F33" s="16">
        <f>Plan!K75</f>
        <v/>
      </c>
      <c r="G33" s="8">
        <f>F33-E33</f>
        <v/>
      </c>
      <c r="H33" s="16">
        <f>Plan!I75</f>
        <v/>
      </c>
      <c r="I33" s="16">
        <f>Plan!O75</f>
        <v/>
      </c>
    </row>
    <row r="34">
      <c r="A34" s="8" t="n">
        <v>30</v>
      </c>
      <c r="B34" s="18" t="inlineStr">
        <is>
          <t>1.8</t>
        </is>
      </c>
      <c r="C34" s="35">
        <f>Plan!C12</f>
        <v/>
      </c>
      <c r="D34" s="8" t="n">
        <v>28</v>
      </c>
      <c r="E34" s="16">
        <f>Plan!J12</f>
        <v/>
      </c>
      <c r="F34" s="16">
        <f>Plan!K12</f>
        <v/>
      </c>
      <c r="G34" s="8">
        <f>F34-E34</f>
        <v/>
      </c>
      <c r="H34" s="16">
        <f>Plan!I12</f>
        <v/>
      </c>
      <c r="I34" s="16">
        <f>Plan!O12</f>
        <v/>
      </c>
    </row>
    <row r="35">
      <c r="A35" s="8" t="n">
        <v>31</v>
      </c>
      <c r="B35" s="18" t="inlineStr">
        <is>
          <t>6.18</t>
        </is>
      </c>
      <c r="C35" s="35">
        <f>Plan!C76</f>
        <v/>
      </c>
      <c r="D35" s="8" t="n">
        <v>27</v>
      </c>
      <c r="E35" s="16">
        <f>Plan!J76</f>
        <v/>
      </c>
      <c r="F35" s="16">
        <f>Plan!K76</f>
        <v/>
      </c>
      <c r="G35" s="8">
        <f>F35-E35</f>
        <v/>
      </c>
      <c r="H35" s="16">
        <f>Plan!I76</f>
        <v/>
      </c>
      <c r="I35" s="16">
        <f>Plan!O76</f>
        <v/>
      </c>
    </row>
    <row r="36">
      <c r="A36" s="8" t="n">
        <v>32</v>
      </c>
      <c r="B36" s="18" t="inlineStr">
        <is>
          <t>6.13</t>
        </is>
      </c>
      <c r="C36" s="35">
        <f>Plan!C70</f>
        <v/>
      </c>
      <c r="D36" s="8" t="n">
        <v>6</v>
      </c>
      <c r="E36" s="16">
        <f>Plan!J70</f>
        <v/>
      </c>
      <c r="F36" s="16">
        <f>Plan!K70</f>
        <v/>
      </c>
      <c r="G36" s="8">
        <f>F36-E36</f>
        <v/>
      </c>
      <c r="H36" s="16">
        <f>Plan!I70</f>
        <v/>
      </c>
      <c r="I36" s="16">
        <f>Plan!O70</f>
        <v/>
      </c>
    </row>
    <row r="37">
      <c r="A37" s="8" t="n">
        <v>33</v>
      </c>
      <c r="B37" s="18" t="inlineStr">
        <is>
          <t>4.12</t>
        </is>
      </c>
      <c r="C37" s="35">
        <f>Plan!C77</f>
        <v/>
      </c>
      <c r="D37" s="8" t="n">
        <v>26</v>
      </c>
      <c r="E37" s="16">
        <f>Plan!J77</f>
        <v/>
      </c>
      <c r="F37" s="16">
        <f>Plan!K77</f>
        <v/>
      </c>
      <c r="G37" s="8">
        <f>F37-E37</f>
        <v/>
      </c>
      <c r="H37" s="16">
        <f>Plan!I77</f>
        <v/>
      </c>
      <c r="I37" s="16">
        <f>Plan!O77</f>
        <v/>
      </c>
    </row>
    <row r="38">
      <c r="A38" s="8" t="n">
        <v>34</v>
      </c>
      <c r="B38" s="18" t="inlineStr">
        <is>
          <t>4.2</t>
        </is>
      </c>
      <c r="C38" s="35">
        <f>Plan!C38</f>
        <v/>
      </c>
      <c r="D38" s="8" t="n">
        <v>16</v>
      </c>
      <c r="E38" s="16">
        <f>Plan!J38</f>
        <v/>
      </c>
      <c r="F38" s="16">
        <f>Plan!K38</f>
        <v/>
      </c>
      <c r="G38" s="8">
        <f>F38-E38</f>
        <v/>
      </c>
      <c r="H38" s="16">
        <f>Plan!I38</f>
        <v/>
      </c>
      <c r="I38" s="16">
        <f>Plan!O38</f>
        <v/>
      </c>
    </row>
    <row r="39">
      <c r="A39" s="8" t="n">
        <v>35</v>
      </c>
      <c r="B39" s="18" t="inlineStr">
        <is>
          <t>2.9</t>
        </is>
      </c>
      <c r="C39" s="35">
        <f>Plan!C21</f>
        <v/>
      </c>
      <c r="D39" s="8" t="n">
        <v>18</v>
      </c>
      <c r="E39" s="16">
        <f>Plan!J21</f>
        <v/>
      </c>
      <c r="F39" s="16">
        <f>Plan!K21</f>
        <v/>
      </c>
      <c r="G39" s="8">
        <f>F39-E39</f>
        <v/>
      </c>
      <c r="H39" s="16">
        <f>Plan!I21</f>
        <v/>
      </c>
      <c r="I39" s="16">
        <f>Plan!O21</f>
        <v/>
      </c>
    </row>
    <row r="40">
      <c r="A40" s="8" t="n">
        <v>36</v>
      </c>
      <c r="B40" s="18" t="inlineStr">
        <is>
          <t>4.13</t>
        </is>
      </c>
      <c r="C40" s="35">
        <f>Plan!C78</f>
        <v/>
      </c>
      <c r="D40" s="8" t="n">
        <v>21</v>
      </c>
      <c r="E40" s="16">
        <f>Plan!J78</f>
        <v/>
      </c>
      <c r="F40" s="16">
        <f>Plan!K78</f>
        <v/>
      </c>
      <c r="G40" s="8">
        <f>F40-E40</f>
        <v/>
      </c>
      <c r="H40" s="16">
        <f>Plan!I78</f>
        <v/>
      </c>
      <c r="I40" s="16">
        <f>Plan!O78</f>
        <v/>
      </c>
    </row>
    <row r="41">
      <c r="A41" s="8" t="n">
        <v>37</v>
      </c>
      <c r="B41" s="18" t="inlineStr">
        <is>
          <t>2.12</t>
        </is>
      </c>
      <c r="C41" s="35">
        <f>Plan!C24</f>
        <v/>
      </c>
      <c r="D41" s="8" t="n">
        <v>12</v>
      </c>
      <c r="E41" s="16">
        <f>Plan!J24</f>
        <v/>
      </c>
      <c r="F41" s="16">
        <f>Plan!K24</f>
        <v/>
      </c>
      <c r="G41" s="8">
        <f>F41-E41</f>
        <v/>
      </c>
      <c r="H41" s="16">
        <f>Plan!I24</f>
        <v/>
      </c>
      <c r="I41" s="16">
        <f>Plan!O24</f>
        <v/>
      </c>
    </row>
    <row r="42">
      <c r="A42" s="8" t="n">
        <v>38</v>
      </c>
      <c r="B42" s="18" t="inlineStr">
        <is>
          <t>3.3</t>
        </is>
      </c>
      <c r="C42" s="35">
        <f>Plan!C30</f>
        <v/>
      </c>
      <c r="D42" s="8" t="n">
        <v>15</v>
      </c>
      <c r="E42" s="16">
        <f>Plan!J30</f>
        <v/>
      </c>
      <c r="F42" s="16">
        <f>Plan!K30</f>
        <v/>
      </c>
      <c r="G42" s="8">
        <f>F42-E42</f>
        <v/>
      </c>
      <c r="H42" s="16">
        <f>Plan!I30</f>
        <v/>
      </c>
      <c r="I42" s="16">
        <f>Plan!O30</f>
        <v/>
      </c>
    </row>
    <row r="43">
      <c r="A43" s="8" t="n">
        <v>39</v>
      </c>
      <c r="B43" s="18" t="inlineStr">
        <is>
          <t>3.5</t>
        </is>
      </c>
      <c r="C43" s="35">
        <f>Plan!C32</f>
        <v/>
      </c>
      <c r="D43" s="8" t="n">
        <v>16</v>
      </c>
      <c r="E43" s="16">
        <f>Plan!J32</f>
        <v/>
      </c>
      <c r="F43" s="16">
        <f>Plan!K32</f>
        <v/>
      </c>
      <c r="G43" s="8">
        <f>F43-E43</f>
        <v/>
      </c>
      <c r="H43" s="16">
        <f>Plan!I32</f>
        <v/>
      </c>
      <c r="I43" s="16">
        <f>Plan!O32</f>
        <v/>
      </c>
    </row>
    <row r="44">
      <c r="A44" s="8" t="n">
        <v>40</v>
      </c>
      <c r="B44" s="18" t="inlineStr">
        <is>
          <t>2.10</t>
        </is>
      </c>
      <c r="C44" s="35">
        <f>Plan!C22</f>
        <v/>
      </c>
      <c r="D44" s="8" t="n">
        <v>12</v>
      </c>
      <c r="E44" s="16">
        <f>Plan!J22</f>
        <v/>
      </c>
      <c r="F44" s="16">
        <f>Plan!K22</f>
        <v/>
      </c>
      <c r="G44" s="8">
        <f>F44-E44</f>
        <v/>
      </c>
      <c r="H44" s="16">
        <f>Plan!I22</f>
        <v/>
      </c>
      <c r="I44" s="16">
        <f>Plan!O22</f>
        <v/>
      </c>
    </row>
    <row r="45">
      <c r="A45" s="8" t="n">
        <v>41</v>
      </c>
      <c r="B45" s="18" t="inlineStr">
        <is>
          <t>3.6</t>
        </is>
      </c>
      <c r="C45" s="35">
        <f>Plan!C33</f>
        <v/>
      </c>
      <c r="D45" s="8" t="n">
        <v>13</v>
      </c>
      <c r="E45" s="16">
        <f>Plan!J33</f>
        <v/>
      </c>
      <c r="F45" s="16">
        <f>Plan!K33</f>
        <v/>
      </c>
      <c r="G45" s="8">
        <f>F45-E45</f>
        <v/>
      </c>
      <c r="H45" s="16">
        <f>Plan!I33</f>
        <v/>
      </c>
      <c r="I45" s="16">
        <f>Plan!O33</f>
        <v/>
      </c>
    </row>
    <row r="46">
      <c r="A46" s="8" t="n">
        <v>42</v>
      </c>
      <c r="B46" s="18" t="inlineStr">
        <is>
          <t>3.7</t>
        </is>
      </c>
      <c r="C46" s="35">
        <f>Plan!C34</f>
        <v/>
      </c>
      <c r="D46" s="8" t="n">
        <v>12</v>
      </c>
      <c r="E46" s="16">
        <f>Plan!J34</f>
        <v/>
      </c>
      <c r="F46" s="16">
        <f>Plan!K34</f>
        <v/>
      </c>
      <c r="G46" s="8">
        <f>F46-E46</f>
        <v/>
      </c>
      <c r="H46" s="16">
        <f>Plan!I34</f>
        <v/>
      </c>
      <c r="I46" s="16">
        <f>Plan!O34</f>
        <v/>
      </c>
    </row>
    <row r="47">
      <c r="A47" s="8" t="n">
        <v>43</v>
      </c>
      <c r="B47" s="18" t="inlineStr">
        <is>
          <t>6.11</t>
        </is>
      </c>
      <c r="C47" s="35">
        <f>Plan!C68</f>
        <v/>
      </c>
      <c r="D47" s="8" t="n">
        <v>7</v>
      </c>
      <c r="E47" s="16">
        <f>Plan!J68</f>
        <v/>
      </c>
      <c r="F47" s="16">
        <f>Plan!K68</f>
        <v/>
      </c>
      <c r="G47" s="8">
        <f>F47-E47</f>
        <v/>
      </c>
      <c r="H47" s="16">
        <f>Plan!I68</f>
        <v/>
      </c>
      <c r="I47" s="16">
        <f>Plan!O68</f>
        <v/>
      </c>
    </row>
    <row r="48">
      <c r="A48" s="8" t="n">
        <v>44</v>
      </c>
      <c r="B48" s="18" t="inlineStr">
        <is>
          <t>6.20</t>
        </is>
      </c>
      <c r="C48" s="35">
        <f>Plan!C79</f>
        <v/>
      </c>
      <c r="D48" s="8" t="n">
        <v>16</v>
      </c>
      <c r="E48" s="16">
        <f>Plan!J79</f>
        <v/>
      </c>
      <c r="F48" s="16">
        <f>Plan!K79</f>
        <v/>
      </c>
      <c r="G48" s="8">
        <f>F48-E48</f>
        <v/>
      </c>
      <c r="H48" s="16">
        <f>Plan!I79</f>
        <v/>
      </c>
      <c r="I48" s="16">
        <f>Plan!O79</f>
        <v/>
      </c>
    </row>
    <row r="49">
      <c r="A49" s="8" t="n">
        <v>45</v>
      </c>
      <c r="B49" s="18" t="inlineStr">
        <is>
          <t>4.5</t>
        </is>
      </c>
      <c r="C49" s="35">
        <f>Plan!C41</f>
        <v/>
      </c>
      <c r="D49" s="8" t="n">
        <v>14</v>
      </c>
      <c r="E49" s="16">
        <f>Plan!J41</f>
        <v/>
      </c>
      <c r="F49" s="16">
        <f>Plan!K41</f>
        <v/>
      </c>
      <c r="G49" s="8">
        <f>F49-E49</f>
        <v/>
      </c>
      <c r="H49" s="16">
        <f>Plan!I41</f>
        <v/>
      </c>
      <c r="I49" s="16">
        <f>Plan!O41</f>
        <v/>
      </c>
    </row>
    <row r="50">
      <c r="A50" s="8" t="n">
        <v>46</v>
      </c>
      <c r="B50" s="18" t="inlineStr">
        <is>
          <t>4.3</t>
        </is>
      </c>
      <c r="C50" s="35">
        <f>Plan!C39</f>
        <v/>
      </c>
      <c r="D50" s="8" t="n">
        <v>13</v>
      </c>
      <c r="E50" s="16">
        <f>Plan!J39</f>
        <v/>
      </c>
      <c r="F50" s="16">
        <f>Plan!K39</f>
        <v/>
      </c>
      <c r="G50" s="8">
        <f>F50-E50</f>
        <v/>
      </c>
      <c r="H50" s="16">
        <f>Plan!I39</f>
        <v/>
      </c>
      <c r="I50" s="16">
        <f>Plan!O39</f>
        <v/>
      </c>
    </row>
    <row r="51">
      <c r="A51" s="8" t="n">
        <v>47</v>
      </c>
      <c r="B51" s="18" t="inlineStr">
        <is>
          <t>4.14</t>
        </is>
      </c>
      <c r="C51" s="35">
        <f>Plan!C80</f>
        <v/>
      </c>
      <c r="D51" s="8" t="n">
        <v>15</v>
      </c>
      <c r="E51" s="16">
        <f>Plan!J80</f>
        <v/>
      </c>
      <c r="F51" s="16">
        <f>Plan!K80</f>
        <v/>
      </c>
      <c r="G51" s="8">
        <f>F51-E51</f>
        <v/>
      </c>
      <c r="H51" s="16">
        <f>Plan!I80</f>
        <v/>
      </c>
      <c r="I51" s="16">
        <f>Plan!O80</f>
        <v/>
      </c>
    </row>
    <row r="52">
      <c r="A52" s="8" t="n">
        <v>48</v>
      </c>
      <c r="B52" s="18" t="inlineStr">
        <is>
          <t>6.1</t>
        </is>
      </c>
      <c r="C52" s="35">
        <f>Plan!C58</f>
        <v/>
      </c>
      <c r="D52" s="8" t="n">
        <v>11</v>
      </c>
      <c r="E52" s="16">
        <f>Plan!J58</f>
        <v/>
      </c>
      <c r="F52" s="16">
        <f>Plan!K58</f>
        <v/>
      </c>
      <c r="G52" s="8">
        <f>F52-E52</f>
        <v/>
      </c>
      <c r="H52" s="16">
        <f>Plan!I58</f>
        <v/>
      </c>
      <c r="I52" s="16">
        <f>Plan!O58</f>
        <v/>
      </c>
    </row>
    <row r="53">
      <c r="A53" s="8" t="n">
        <v>49</v>
      </c>
      <c r="B53" s="18" t="inlineStr">
        <is>
          <t>4.20</t>
        </is>
      </c>
      <c r="C53" s="35">
        <f>Plan!C95</f>
        <v/>
      </c>
      <c r="D53" s="8" t="n">
        <v>11</v>
      </c>
      <c r="E53" s="16">
        <f>Plan!J95</f>
        <v/>
      </c>
      <c r="F53" s="16">
        <f>Plan!K95</f>
        <v/>
      </c>
      <c r="G53" s="8">
        <f>F53-E53</f>
        <v/>
      </c>
      <c r="H53" s="16">
        <f>Plan!I95</f>
        <v/>
      </c>
      <c r="I53" s="16">
        <f>Plan!O95</f>
        <v/>
      </c>
    </row>
    <row r="54">
      <c r="A54" s="8" t="n">
        <v>50</v>
      </c>
      <c r="B54" s="18" t="inlineStr">
        <is>
          <t>5.5</t>
        </is>
      </c>
      <c r="C54" s="35">
        <f>Plan!C52</f>
        <v/>
      </c>
      <c r="D54" s="8" t="n">
        <v>9</v>
      </c>
      <c r="E54" s="16">
        <f>Plan!J52</f>
        <v/>
      </c>
      <c r="F54" s="16">
        <f>Plan!K52</f>
        <v/>
      </c>
      <c r="G54" s="8">
        <f>F54-E54</f>
        <v/>
      </c>
      <c r="H54" s="16">
        <f>Plan!I52</f>
        <v/>
      </c>
      <c r="I54" s="16">
        <f>Plan!O52</f>
        <v/>
      </c>
    </row>
    <row r="55">
      <c r="A55" s="8" t="n">
        <v>51</v>
      </c>
      <c r="B55" s="18" t="inlineStr">
        <is>
          <t>5.2</t>
        </is>
      </c>
      <c r="C55" s="35">
        <f>Plan!C49</f>
        <v/>
      </c>
      <c r="D55" s="8" t="n">
        <v>12</v>
      </c>
      <c r="E55" s="16">
        <f>Plan!J49</f>
        <v/>
      </c>
      <c r="F55" s="16">
        <f>Plan!K49</f>
        <v/>
      </c>
      <c r="G55" s="8">
        <f>F55-E55</f>
        <v/>
      </c>
      <c r="H55" s="16">
        <f>Plan!I49</f>
        <v/>
      </c>
      <c r="I55" s="16">
        <f>Plan!O49</f>
        <v/>
      </c>
    </row>
    <row r="56">
      <c r="A56" s="8" t="n">
        <v>52</v>
      </c>
      <c r="B56" s="18" t="inlineStr">
        <is>
          <t>6.22</t>
        </is>
      </c>
      <c r="C56" s="35">
        <f>Plan!C83</f>
        <v/>
      </c>
      <c r="D56" s="8" t="n">
        <v>10</v>
      </c>
      <c r="E56" s="16">
        <f>Plan!J83</f>
        <v/>
      </c>
      <c r="F56" s="16">
        <f>Plan!K83</f>
        <v/>
      </c>
      <c r="G56" s="8">
        <f>F56-E56</f>
        <v/>
      </c>
      <c r="H56" s="16">
        <f>Plan!I83</f>
        <v/>
      </c>
      <c r="I56" s="16">
        <f>Plan!O83</f>
        <v/>
      </c>
    </row>
    <row r="57">
      <c r="A57" s="8" t="n">
        <v>53</v>
      </c>
      <c r="B57" s="18" t="inlineStr">
        <is>
          <t>3.9</t>
        </is>
      </c>
      <c r="C57" s="35">
        <f>Plan!C35</f>
        <v/>
      </c>
      <c r="D57" s="8" t="n">
        <v>12</v>
      </c>
      <c r="E57" s="16">
        <f>Plan!J35</f>
        <v/>
      </c>
      <c r="F57" s="16">
        <f>Plan!K35</f>
        <v/>
      </c>
      <c r="G57" s="8">
        <f>F57-E57</f>
        <v/>
      </c>
      <c r="H57" s="16">
        <f>Plan!I35</f>
        <v/>
      </c>
      <c r="I57" s="16">
        <f>Plan!O35</f>
        <v/>
      </c>
    </row>
    <row r="58">
      <c r="A58" s="8" t="n">
        <v>54</v>
      </c>
      <c r="B58" s="18" t="inlineStr">
        <is>
          <t>2.11</t>
        </is>
      </c>
      <c r="C58" s="35">
        <f>Plan!C23</f>
        <v/>
      </c>
      <c r="D58" s="8" t="n">
        <v>9</v>
      </c>
      <c r="E58" s="16">
        <f>Plan!J23</f>
        <v/>
      </c>
      <c r="F58" s="16">
        <f>Plan!K23</f>
        <v/>
      </c>
      <c r="G58" s="8">
        <f>F58-E58</f>
        <v/>
      </c>
      <c r="H58" s="16">
        <f>Plan!I23</f>
        <v/>
      </c>
      <c r="I58" s="16">
        <f>Plan!O23</f>
        <v/>
      </c>
    </row>
    <row r="59">
      <c r="A59" s="8" t="n">
        <v>55</v>
      </c>
      <c r="B59" s="18" t="inlineStr">
        <is>
          <t>5.4</t>
        </is>
      </c>
      <c r="C59" s="35">
        <f>Plan!C51</f>
        <v/>
      </c>
      <c r="D59" s="8" t="n">
        <v>9</v>
      </c>
      <c r="E59" s="16">
        <f>Plan!J51</f>
        <v/>
      </c>
      <c r="F59" s="16">
        <f>Plan!K51</f>
        <v/>
      </c>
      <c r="G59" s="8">
        <f>F59-E59</f>
        <v/>
      </c>
      <c r="H59" s="16">
        <f>Plan!I51</f>
        <v/>
      </c>
      <c r="I59" s="16">
        <f>Plan!O51</f>
        <v/>
      </c>
    </row>
    <row r="60">
      <c r="A60" s="8" t="n">
        <v>56</v>
      </c>
      <c r="B60" s="18" t="inlineStr">
        <is>
          <t>4.4</t>
        </is>
      </c>
      <c r="C60" s="35">
        <f>Plan!C40</f>
        <v/>
      </c>
      <c r="D60" s="8" t="n">
        <v>7</v>
      </c>
      <c r="E60" s="16">
        <f>Plan!J40</f>
        <v/>
      </c>
      <c r="F60" s="16">
        <f>Plan!K40</f>
        <v/>
      </c>
      <c r="G60" s="8">
        <f>F60-E60</f>
        <v/>
      </c>
      <c r="H60" s="16">
        <f>Plan!I40</f>
        <v/>
      </c>
      <c r="I60" s="16">
        <f>Plan!O40</f>
        <v/>
      </c>
    </row>
    <row r="61">
      <c r="A61" s="8" t="n">
        <v>57</v>
      </c>
      <c r="B61" s="18" t="inlineStr">
        <is>
          <t>6.9</t>
        </is>
      </c>
      <c r="C61" s="35">
        <f>Plan!C66</f>
        <v/>
      </c>
      <c r="D61" s="8" t="n">
        <v>6</v>
      </c>
      <c r="E61" s="16">
        <f>Plan!J66</f>
        <v/>
      </c>
      <c r="F61" s="16">
        <f>Plan!K66</f>
        <v/>
      </c>
      <c r="G61" s="8">
        <f>F61-E61</f>
        <v/>
      </c>
      <c r="H61" s="16">
        <f>Plan!I66</f>
        <v/>
      </c>
      <c r="I61" s="16">
        <f>Plan!O66</f>
        <v/>
      </c>
    </row>
    <row r="62">
      <c r="A62" s="8" t="n">
        <v>58</v>
      </c>
      <c r="B62" s="18" t="inlineStr">
        <is>
          <t>5.1</t>
        </is>
      </c>
      <c r="C62" s="35">
        <f>Plan!C48</f>
        <v/>
      </c>
      <c r="D62" s="8" t="n">
        <v>10</v>
      </c>
      <c r="E62" s="16">
        <f>Plan!J48</f>
        <v/>
      </c>
      <c r="F62" s="16">
        <f>Plan!K48</f>
        <v/>
      </c>
      <c r="G62" s="8">
        <f>F62-E62</f>
        <v/>
      </c>
      <c r="H62" s="16">
        <f>Plan!I48</f>
        <v/>
      </c>
      <c r="I62" s="16">
        <f>Plan!O48</f>
        <v/>
      </c>
    </row>
    <row r="63">
      <c r="A63" s="8" t="n">
        <v>59</v>
      </c>
      <c r="B63" s="18" t="inlineStr">
        <is>
          <t>6.31</t>
        </is>
      </c>
      <c r="C63" s="35">
        <f>Plan!C108</f>
        <v/>
      </c>
      <c r="D63" s="8" t="n">
        <v>7</v>
      </c>
      <c r="E63" s="16">
        <f>Plan!J108</f>
        <v/>
      </c>
      <c r="F63" s="16">
        <f>Plan!K108</f>
        <v/>
      </c>
      <c r="G63" s="8">
        <f>F63-E63</f>
        <v/>
      </c>
      <c r="H63" s="16">
        <f>Plan!I108</f>
        <v/>
      </c>
      <c r="I63" s="16">
        <f>Plan!O108</f>
        <v/>
      </c>
    </row>
    <row r="64">
      <c r="A64" s="8" t="n">
        <v>60</v>
      </c>
      <c r="B64" s="18" t="inlineStr">
        <is>
          <t>5.9</t>
        </is>
      </c>
      <c r="C64" s="35">
        <f>Plan!C56</f>
        <v/>
      </c>
      <c r="D64" s="8" t="n">
        <v>8</v>
      </c>
      <c r="E64" s="16">
        <f>Plan!J56</f>
        <v/>
      </c>
      <c r="F64" s="16">
        <f>Plan!K56</f>
        <v/>
      </c>
      <c r="G64" s="8">
        <f>F64-E64</f>
        <v/>
      </c>
      <c r="H64" s="16">
        <f>Plan!I56</f>
        <v/>
      </c>
      <c r="I64" s="16">
        <f>Plan!O56</f>
        <v/>
      </c>
    </row>
    <row r="65">
      <c r="A65" s="8" t="n">
        <v>61</v>
      </c>
      <c r="B65" s="18" t="inlineStr">
        <is>
          <t>6.32</t>
        </is>
      </c>
      <c r="C65" s="35">
        <f>Plan!C109</f>
        <v/>
      </c>
      <c r="D65" s="8" t="n">
        <v>5</v>
      </c>
      <c r="E65" s="16">
        <f>Plan!J109</f>
        <v/>
      </c>
      <c r="F65" s="16">
        <f>Plan!K109</f>
        <v/>
      </c>
      <c r="G65" s="8">
        <f>F65-E65</f>
        <v/>
      </c>
      <c r="H65" s="16">
        <f>Plan!I109</f>
        <v/>
      </c>
      <c r="I65" s="16">
        <f>Plan!O109</f>
        <v/>
      </c>
    </row>
    <row r="66">
      <c r="A66" s="8" t="n">
        <v>62</v>
      </c>
      <c r="B66" s="18" t="inlineStr">
        <is>
          <t>6.33</t>
        </is>
      </c>
      <c r="C66" s="35">
        <f>Plan!C110</f>
        <v/>
      </c>
      <c r="D66" s="8" t="n">
        <v>6</v>
      </c>
      <c r="E66" s="16">
        <f>Plan!J110</f>
        <v/>
      </c>
      <c r="F66" s="16">
        <f>Plan!K110</f>
        <v/>
      </c>
      <c r="G66" s="8">
        <f>F66-E66</f>
        <v/>
      </c>
      <c r="H66" s="16">
        <f>Plan!I110</f>
        <v/>
      </c>
      <c r="I66" s="16">
        <f>Plan!O110</f>
        <v/>
      </c>
    </row>
    <row r="67">
      <c r="A67" s="8" t="n">
        <v>63</v>
      </c>
      <c r="B67" s="18" t="inlineStr">
        <is>
          <t>5.6</t>
        </is>
      </c>
      <c r="C67" s="35">
        <f>Plan!C53</f>
        <v/>
      </c>
      <c r="D67" s="8" t="n">
        <v>9</v>
      </c>
      <c r="E67" s="16">
        <f>Plan!J53</f>
        <v/>
      </c>
      <c r="F67" s="16">
        <f>Plan!K53</f>
        <v/>
      </c>
      <c r="G67" s="8">
        <f>F67-E67</f>
        <v/>
      </c>
      <c r="H67" s="16">
        <f>Plan!I53</f>
        <v/>
      </c>
      <c r="I67" s="16">
        <f>Plan!O53</f>
        <v/>
      </c>
    </row>
    <row r="68">
      <c r="A68" s="8" t="n">
        <v>64</v>
      </c>
      <c r="B68" s="18" t="inlineStr">
        <is>
          <t>6.3</t>
        </is>
      </c>
      <c r="C68" s="35">
        <f>Plan!C60</f>
        <v/>
      </c>
      <c r="D68" s="8" t="n">
        <v>8</v>
      </c>
      <c r="E68" s="16">
        <f>Plan!J60</f>
        <v/>
      </c>
      <c r="F68" s="16">
        <f>Plan!K60</f>
        <v/>
      </c>
      <c r="G68" s="8">
        <f>F68-E68</f>
        <v/>
      </c>
      <c r="H68" s="16">
        <f>Plan!I60</f>
        <v/>
      </c>
      <c r="I68" s="16">
        <f>Plan!O60</f>
        <v/>
      </c>
    </row>
    <row r="69">
      <c r="A69" s="8" t="n">
        <v>65</v>
      </c>
      <c r="B69" s="18" t="inlineStr">
        <is>
          <t>4.18</t>
        </is>
      </c>
      <c r="C69" s="35">
        <f>Plan!C93</f>
        <v/>
      </c>
      <c r="D69" s="8" t="n">
        <v>4</v>
      </c>
      <c r="E69" s="16">
        <f>Plan!J93</f>
        <v/>
      </c>
      <c r="F69" s="16">
        <f>Plan!K93</f>
        <v/>
      </c>
      <c r="G69" s="8">
        <f>F69-E69</f>
        <v/>
      </c>
      <c r="H69" s="16">
        <f>Plan!I93</f>
        <v/>
      </c>
      <c r="I69" s="16">
        <f>Plan!O93</f>
        <v/>
      </c>
    </row>
    <row r="70">
      <c r="A70" s="8" t="n">
        <v>66</v>
      </c>
      <c r="B70" s="18" t="inlineStr">
        <is>
          <t>5.12</t>
        </is>
      </c>
      <c r="C70" s="35">
        <f>Plan!C85</f>
        <v/>
      </c>
      <c r="D70" s="8" t="n">
        <v>9</v>
      </c>
      <c r="E70" s="16">
        <f>Plan!J85</f>
        <v/>
      </c>
      <c r="F70" s="16">
        <f>Plan!K85</f>
        <v/>
      </c>
      <c r="G70" s="8">
        <f>F70-E70</f>
        <v/>
      </c>
      <c r="H70" s="16">
        <f>Plan!I85</f>
        <v/>
      </c>
      <c r="I70" s="16">
        <f>Plan!O85</f>
        <v/>
      </c>
    </row>
    <row r="71">
      <c r="A71" s="8" t="n">
        <v>67</v>
      </c>
      <c r="B71" s="18" t="inlineStr">
        <is>
          <t>6.34</t>
        </is>
      </c>
      <c r="C71" s="35">
        <f>Plan!C111</f>
        <v/>
      </c>
      <c r="D71" s="8" t="n">
        <v>4</v>
      </c>
      <c r="E71" s="16">
        <f>Plan!J111</f>
        <v/>
      </c>
      <c r="F71" s="16">
        <f>Plan!K111</f>
        <v/>
      </c>
      <c r="G71" s="8">
        <f>F71-E71</f>
        <v/>
      </c>
      <c r="H71" s="16">
        <f>Plan!I111</f>
        <v/>
      </c>
      <c r="I71" s="16">
        <f>Plan!O111</f>
        <v/>
      </c>
    </row>
    <row r="72">
      <c r="A72" s="8" t="n">
        <v>68</v>
      </c>
      <c r="B72" s="18" t="inlineStr">
        <is>
          <t>5.19</t>
        </is>
      </c>
      <c r="C72" s="35">
        <f>Plan!C106</f>
        <v/>
      </c>
      <c r="D72" s="8" t="n">
        <v>5</v>
      </c>
      <c r="E72" s="16">
        <f>Plan!J106</f>
        <v/>
      </c>
      <c r="F72" s="16">
        <f>Plan!K106</f>
        <v/>
      </c>
      <c r="G72" s="8">
        <f>F72-E72</f>
        <v/>
      </c>
      <c r="H72" s="16">
        <f>Plan!I106</f>
        <v/>
      </c>
      <c r="I72" s="16">
        <f>Plan!O106</f>
        <v/>
      </c>
    </row>
    <row r="73">
      <c r="A73" s="8" t="n">
        <v>69</v>
      </c>
      <c r="B73" s="18" t="inlineStr">
        <is>
          <t>5.14</t>
        </is>
      </c>
      <c r="C73" s="35">
        <f>Plan!C91</f>
        <v/>
      </c>
      <c r="D73" s="8" t="n">
        <v>7</v>
      </c>
      <c r="E73" s="16">
        <f>Plan!J91</f>
        <v/>
      </c>
      <c r="F73" s="16">
        <f>Plan!K91</f>
        <v/>
      </c>
      <c r="G73" s="8">
        <f>F73-E73</f>
        <v/>
      </c>
      <c r="H73" s="16">
        <f>Plan!I91</f>
        <v/>
      </c>
      <c r="I73" s="16">
        <f>Plan!O91</f>
        <v/>
      </c>
    </row>
    <row r="74">
      <c r="A74" s="8" t="n">
        <v>70</v>
      </c>
      <c r="B74" s="18" t="inlineStr">
        <is>
          <t>6.2</t>
        </is>
      </c>
      <c r="C74" s="35">
        <f>Plan!C59</f>
        <v/>
      </c>
      <c r="D74" s="8" t="n">
        <v>7</v>
      </c>
      <c r="E74" s="16">
        <f>Plan!J59</f>
        <v/>
      </c>
      <c r="F74" s="16">
        <f>Plan!K59</f>
        <v/>
      </c>
      <c r="G74" s="8">
        <f>F74-E74</f>
        <v/>
      </c>
      <c r="H74" s="16">
        <f>Plan!I59</f>
        <v/>
      </c>
      <c r="I74" s="16">
        <f>Plan!O59</f>
        <v/>
      </c>
    </row>
    <row r="75">
      <c r="A75" s="8" t="n">
        <v>71</v>
      </c>
      <c r="B75" s="18" t="inlineStr">
        <is>
          <t>5.15</t>
        </is>
      </c>
      <c r="C75" s="35">
        <f>Plan!C96</f>
        <v/>
      </c>
      <c r="D75" s="8" t="n">
        <v>5</v>
      </c>
      <c r="E75" s="16">
        <f>Plan!J96</f>
        <v/>
      </c>
      <c r="F75" s="16">
        <f>Plan!K96</f>
        <v/>
      </c>
      <c r="G75" s="8">
        <f>F75-E75</f>
        <v/>
      </c>
      <c r="H75" s="16">
        <f>Plan!I96</f>
        <v/>
      </c>
      <c r="I75" s="16">
        <f>Plan!O96</f>
        <v/>
      </c>
    </row>
    <row r="76">
      <c r="A76" s="8" t="n">
        <v>72</v>
      </c>
      <c r="B76" s="18" t="inlineStr">
        <is>
          <t>6.26</t>
        </is>
      </c>
      <c r="C76" s="35">
        <f>Plan!C99</f>
        <v/>
      </c>
      <c r="D76" s="8" t="n">
        <v>4</v>
      </c>
      <c r="E76" s="16">
        <f>Plan!J99</f>
        <v/>
      </c>
      <c r="F76" s="16">
        <f>Plan!K99</f>
        <v/>
      </c>
      <c r="G76" s="8">
        <f>F76-E76</f>
        <v/>
      </c>
      <c r="H76" s="16">
        <f>Plan!I99</f>
        <v/>
      </c>
      <c r="I76" s="16">
        <f>Plan!O99</f>
        <v/>
      </c>
    </row>
    <row r="77">
      <c r="A77" s="8" t="n">
        <v>73</v>
      </c>
      <c r="B77" s="18" t="inlineStr">
        <is>
          <t>6.36</t>
        </is>
      </c>
      <c r="C77" s="35">
        <f>Plan!C113</f>
        <v/>
      </c>
      <c r="D77" s="8" t="n">
        <v>4</v>
      </c>
      <c r="E77" s="16">
        <f>Plan!J113</f>
        <v/>
      </c>
      <c r="F77" s="16">
        <f>Plan!K113</f>
        <v/>
      </c>
      <c r="G77" s="8">
        <f>F77-E77</f>
        <v/>
      </c>
      <c r="H77" s="16">
        <f>Plan!I113</f>
        <v/>
      </c>
      <c r="I77" s="16">
        <f>Plan!O113</f>
        <v/>
      </c>
    </row>
    <row r="78">
      <c r="A78" s="8" t="n">
        <v>74</v>
      </c>
      <c r="B78" s="18" t="inlineStr">
        <is>
          <t>4.19</t>
        </is>
      </c>
      <c r="C78" s="35">
        <f>Plan!C94</f>
        <v/>
      </c>
      <c r="D78" s="8" t="n">
        <v>6</v>
      </c>
      <c r="E78" s="16">
        <f>Plan!J94</f>
        <v/>
      </c>
      <c r="F78" s="16">
        <f>Plan!K94</f>
        <v/>
      </c>
      <c r="G78" s="8">
        <f>F78-E78</f>
        <v/>
      </c>
      <c r="H78" s="16">
        <f>Plan!I94</f>
        <v/>
      </c>
      <c r="I78" s="16">
        <f>Plan!O94</f>
        <v/>
      </c>
    </row>
    <row r="79">
      <c r="A79" s="8" t="n">
        <v>75</v>
      </c>
      <c r="B79" s="18" t="inlineStr">
        <is>
          <t>5.17</t>
        </is>
      </c>
      <c r="C79" s="35">
        <f>Plan!C98</f>
        <v/>
      </c>
      <c r="D79" s="8" t="n">
        <v>3</v>
      </c>
      <c r="E79" s="16">
        <f>Plan!J98</f>
        <v/>
      </c>
      <c r="F79" s="16">
        <f>Plan!K98</f>
        <v/>
      </c>
      <c r="G79" s="8">
        <f>F79-E79</f>
        <v/>
      </c>
      <c r="H79" s="16">
        <f>Plan!I98</f>
        <v/>
      </c>
      <c r="I79" s="16">
        <f>Plan!O98</f>
        <v/>
      </c>
    </row>
    <row r="80">
      <c r="A80" s="8" t="n">
        <v>76</v>
      </c>
      <c r="B80" s="18" t="inlineStr">
        <is>
          <t>6.8</t>
        </is>
      </c>
      <c r="C80" s="35">
        <f>Plan!C65</f>
        <v/>
      </c>
      <c r="D80" s="8" t="n">
        <v>6</v>
      </c>
      <c r="E80" s="16">
        <f>Plan!J65</f>
        <v/>
      </c>
      <c r="F80" s="16">
        <f>Plan!K65</f>
        <v/>
      </c>
      <c r="G80" s="8">
        <f>F80-E80</f>
        <v/>
      </c>
      <c r="H80" s="16">
        <f>Plan!I65</f>
        <v/>
      </c>
      <c r="I80" s="16">
        <f>Plan!O65</f>
        <v/>
      </c>
    </row>
    <row r="81">
      <c r="A81" s="8" t="n">
        <v>77</v>
      </c>
      <c r="B81" s="18" t="inlineStr">
        <is>
          <t>5.11</t>
        </is>
      </c>
      <c r="C81" s="35">
        <f>Plan!C84</f>
        <v/>
      </c>
      <c r="D81" s="8" t="n">
        <v>2</v>
      </c>
      <c r="E81" s="16">
        <f>Plan!J84</f>
        <v/>
      </c>
      <c r="F81" s="16">
        <f>Plan!K84</f>
        <v/>
      </c>
      <c r="G81" s="8">
        <f>F81-E81</f>
        <v/>
      </c>
      <c r="H81" s="16">
        <f>Plan!I84</f>
        <v/>
      </c>
      <c r="I81" s="16">
        <f>Plan!O84</f>
        <v/>
      </c>
    </row>
    <row r="82">
      <c r="A82" s="8" t="n">
        <v>78</v>
      </c>
      <c r="B82" s="18" t="inlineStr">
        <is>
          <t>4.15</t>
        </is>
      </c>
      <c r="C82" s="35">
        <f>Plan!C81</f>
        <v/>
      </c>
      <c r="D82" s="8" t="n">
        <v>4</v>
      </c>
      <c r="E82" s="16">
        <f>Plan!J81</f>
        <v/>
      </c>
      <c r="F82" s="16">
        <f>Plan!K81</f>
        <v/>
      </c>
      <c r="G82" s="8">
        <f>F82-E82</f>
        <v/>
      </c>
      <c r="H82" s="16">
        <f>Plan!I81</f>
        <v/>
      </c>
      <c r="I82" s="16">
        <f>Plan!O81</f>
        <v/>
      </c>
    </row>
    <row r="83">
      <c r="A83" s="8" t="n">
        <v>79</v>
      </c>
      <c r="B83" s="18" t="inlineStr">
        <is>
          <t>4.8</t>
        </is>
      </c>
      <c r="C83" s="35">
        <f>Plan!C44</f>
        <v/>
      </c>
      <c r="D83" s="8" t="n">
        <v>4</v>
      </c>
      <c r="E83" s="16">
        <f>Plan!J44</f>
        <v/>
      </c>
      <c r="F83" s="16">
        <f>Plan!K44</f>
        <v/>
      </c>
      <c r="G83" s="8">
        <f>F83-E83</f>
        <v/>
      </c>
      <c r="H83" s="16">
        <f>Plan!I44</f>
        <v/>
      </c>
      <c r="I83" s="16">
        <f>Plan!O44</f>
        <v/>
      </c>
    </row>
    <row r="84">
      <c r="A84" s="8" t="n">
        <v>80</v>
      </c>
      <c r="B84" s="18" t="inlineStr">
        <is>
          <t>6.5</t>
        </is>
      </c>
      <c r="C84" s="35">
        <f>Plan!C62</f>
        <v/>
      </c>
      <c r="D84" s="8" t="n">
        <v>5</v>
      </c>
      <c r="E84" s="16">
        <f>Plan!J62</f>
        <v/>
      </c>
      <c r="F84" s="16">
        <f>Plan!K62</f>
        <v/>
      </c>
      <c r="G84" s="8">
        <f>F84-E84</f>
        <v/>
      </c>
      <c r="H84" s="16">
        <f>Plan!I62</f>
        <v/>
      </c>
      <c r="I84" s="16">
        <f>Plan!O62</f>
        <v/>
      </c>
    </row>
    <row r="85">
      <c r="A85" s="8" t="n">
        <v>81</v>
      </c>
      <c r="B85" s="18" t="inlineStr">
        <is>
          <t>4.17</t>
        </is>
      </c>
      <c r="C85" s="35">
        <f>Plan!C92</f>
        <v/>
      </c>
      <c r="D85" s="8" t="n">
        <v>6</v>
      </c>
      <c r="E85" s="16">
        <f>Plan!J92</f>
        <v/>
      </c>
      <c r="F85" s="16">
        <f>Plan!K92</f>
        <v/>
      </c>
      <c r="G85" s="8">
        <f>F85-E85</f>
        <v/>
      </c>
      <c r="H85" s="16">
        <f>Plan!I92</f>
        <v/>
      </c>
      <c r="I85" s="16">
        <f>Plan!O92</f>
        <v/>
      </c>
    </row>
    <row r="86">
      <c r="A86" s="8" t="n">
        <v>82</v>
      </c>
      <c r="B86" s="18" t="inlineStr">
        <is>
          <t>3.2</t>
        </is>
      </c>
      <c r="C86" s="35">
        <f>Plan!C29</f>
        <v/>
      </c>
      <c r="D86" s="8" t="n">
        <v>3</v>
      </c>
      <c r="E86" s="16">
        <f>Plan!J29</f>
        <v/>
      </c>
      <c r="F86" s="16">
        <f>Plan!K29</f>
        <v/>
      </c>
      <c r="G86" s="8">
        <f>F86-E86</f>
        <v/>
      </c>
      <c r="H86" s="16">
        <f>Plan!I29</f>
        <v/>
      </c>
      <c r="I86" s="16">
        <f>Plan!O29</f>
        <v/>
      </c>
    </row>
    <row r="87">
      <c r="A87" s="8" t="n">
        <v>83</v>
      </c>
      <c r="B87" s="18" t="inlineStr">
        <is>
          <t>4.9</t>
        </is>
      </c>
      <c r="C87" s="35">
        <f>Plan!C45</f>
        <v/>
      </c>
      <c r="D87" s="8" t="n">
        <v>2</v>
      </c>
      <c r="E87" s="16">
        <f>Plan!J45</f>
        <v/>
      </c>
      <c r="F87" s="16">
        <f>Plan!K45</f>
        <v/>
      </c>
      <c r="G87" s="8">
        <f>F87-E87</f>
        <v/>
      </c>
      <c r="H87" s="16">
        <f>Plan!I45</f>
        <v/>
      </c>
      <c r="I87" s="16">
        <f>Plan!O45</f>
        <v/>
      </c>
    </row>
    <row r="88">
      <c r="A88" s="8" t="n">
        <v>84</v>
      </c>
      <c r="B88" s="18" t="inlineStr">
        <is>
          <t>5.10</t>
        </is>
      </c>
      <c r="C88" s="35">
        <f>Plan!C57</f>
        <v/>
      </c>
      <c r="D88" s="8" t="n">
        <v>2</v>
      </c>
      <c r="E88" s="16">
        <f>Plan!J57</f>
        <v/>
      </c>
      <c r="F88" s="16">
        <f>Plan!K57</f>
        <v/>
      </c>
      <c r="G88" s="8">
        <f>F88-E88</f>
        <v/>
      </c>
      <c r="H88" s="16">
        <f>Plan!I57</f>
        <v/>
      </c>
      <c r="I88" s="16">
        <f>Plan!O57</f>
        <v/>
      </c>
    </row>
    <row r="89">
      <c r="A89" s="8" t="n">
        <v>85</v>
      </c>
      <c r="B89" s="18" t="inlineStr">
        <is>
          <t>5.13</t>
        </is>
      </c>
      <c r="C89" s="35">
        <f>Plan!C86</f>
        <v/>
      </c>
      <c r="D89" s="8" t="n">
        <v>1</v>
      </c>
      <c r="E89" s="16">
        <f>Plan!J86</f>
        <v/>
      </c>
      <c r="F89" s="16">
        <f>Plan!K86</f>
        <v/>
      </c>
      <c r="G89" s="8">
        <f>F89-E89</f>
        <v/>
      </c>
      <c r="H89" s="16">
        <f>Plan!I86</f>
        <v/>
      </c>
      <c r="I89" s="16">
        <f>Plan!O86</f>
        <v/>
      </c>
    </row>
    <row r="90">
      <c r="A90" s="8" t="n">
        <v>86</v>
      </c>
      <c r="B90" s="18" t="inlineStr">
        <is>
          <t>4.16</t>
        </is>
      </c>
      <c r="C90" s="35">
        <f>Plan!C90</f>
        <v/>
      </c>
      <c r="D90" s="8" t="n">
        <v>3</v>
      </c>
      <c r="E90" s="16">
        <f>Plan!J90</f>
        <v/>
      </c>
      <c r="F90" s="16">
        <f>Plan!K90</f>
        <v/>
      </c>
      <c r="G90" s="8">
        <f>F90-E90</f>
        <v/>
      </c>
      <c r="H90" s="16">
        <f>Plan!I90</f>
        <v/>
      </c>
      <c r="I90" s="16">
        <f>Plan!O90</f>
        <v/>
      </c>
    </row>
    <row r="91">
      <c r="A91" s="8" t="n">
        <v>87</v>
      </c>
      <c r="B91" s="18" t="inlineStr">
        <is>
          <t>5.18</t>
        </is>
      </c>
      <c r="C91" s="35">
        <f>Plan!C105</f>
        <v/>
      </c>
      <c r="D91" s="8" t="n">
        <v>1</v>
      </c>
      <c r="E91" s="16">
        <f>Plan!J105</f>
        <v/>
      </c>
      <c r="F91" s="16">
        <f>Plan!K105</f>
        <v/>
      </c>
      <c r="G91" s="8">
        <f>F91-E91</f>
        <v/>
      </c>
      <c r="H91" s="16">
        <f>Plan!I105</f>
        <v/>
      </c>
      <c r="I91" s="16">
        <f>Plan!O105</f>
        <v/>
      </c>
    </row>
    <row r="92">
      <c r="A92" s="8" t="n">
        <v>88</v>
      </c>
      <c r="B92" s="18" t="inlineStr">
        <is>
          <t>2.13</t>
        </is>
      </c>
      <c r="C92" s="35">
        <f>Plan!C25</f>
        <v/>
      </c>
      <c r="D92" s="8" t="n">
        <v>1</v>
      </c>
      <c r="E92" s="16">
        <f>Plan!J25</f>
        <v/>
      </c>
      <c r="F92" s="16">
        <f>Plan!K25</f>
        <v/>
      </c>
      <c r="G92" s="8">
        <f>F92-E92</f>
        <v/>
      </c>
      <c r="H92" s="16">
        <f>Plan!I25</f>
        <v/>
      </c>
      <c r="I92" s="16">
        <f>Plan!O25</f>
        <v/>
      </c>
    </row>
    <row r="93">
      <c r="A93" s="8" t="n">
        <v>89</v>
      </c>
      <c r="B93" s="18" t="inlineStr">
        <is>
          <t>6.30</t>
        </is>
      </c>
      <c r="C93" s="35">
        <f>Plan!C107</f>
        <v/>
      </c>
      <c r="D93" s="8" t="n">
        <v>1</v>
      </c>
      <c r="E93" s="16">
        <f>Plan!J107</f>
        <v/>
      </c>
      <c r="F93" s="16">
        <f>Plan!K107</f>
        <v/>
      </c>
      <c r="G93" s="8">
        <f>F93-E93</f>
        <v/>
      </c>
      <c r="H93" s="16">
        <f>Plan!I107</f>
        <v/>
      </c>
      <c r="I93" s="16">
        <f>Plan!O107</f>
        <v/>
      </c>
    </row>
    <row r="94">
      <c r="A94" s="8" t="n">
        <v>90</v>
      </c>
      <c r="B94" s="18" t="inlineStr">
        <is>
          <t>6.25</t>
        </is>
      </c>
      <c r="C94" s="35">
        <f>Plan!C89</f>
        <v/>
      </c>
      <c r="D94" s="8" t="n">
        <v>3</v>
      </c>
      <c r="E94" s="16">
        <f>Plan!J89</f>
        <v/>
      </c>
      <c r="F94" s="16">
        <f>Plan!K89</f>
        <v/>
      </c>
      <c r="G94" s="8">
        <f>F94-E94</f>
        <v/>
      </c>
      <c r="H94" s="16">
        <f>Plan!I89</f>
        <v/>
      </c>
      <c r="I94" s="16">
        <f>Plan!O89</f>
        <v/>
      </c>
    </row>
    <row r="95">
      <c r="A95" s="8" t="n">
        <v>91</v>
      </c>
      <c r="B95" s="18" t="inlineStr">
        <is>
          <t>6.27</t>
        </is>
      </c>
      <c r="C95" s="35">
        <f>Plan!C100</f>
        <v/>
      </c>
      <c r="D95" s="8" t="n">
        <v>2</v>
      </c>
      <c r="E95" s="16">
        <f>Plan!J100</f>
        <v/>
      </c>
      <c r="F95" s="16">
        <f>Plan!K100</f>
        <v/>
      </c>
      <c r="G95" s="8">
        <f>F95-E95</f>
        <v/>
      </c>
      <c r="H95" s="16">
        <f>Plan!I100</f>
        <v/>
      </c>
      <c r="I95" s="16">
        <f>Plan!O100</f>
        <v/>
      </c>
    </row>
    <row r="96">
      <c r="A96" s="8" t="n">
        <v>92</v>
      </c>
      <c r="B96" s="18" t="inlineStr">
        <is>
          <t>4.7</t>
        </is>
      </c>
      <c r="C96" s="35">
        <f>Plan!C43</f>
        <v/>
      </c>
      <c r="D96" s="8" t="n">
        <v>5</v>
      </c>
      <c r="E96" s="16">
        <f>Plan!J43</f>
        <v/>
      </c>
      <c r="F96" s="16">
        <f>Plan!K43</f>
        <v/>
      </c>
      <c r="G96" s="8">
        <f>F96-E96</f>
        <v/>
      </c>
      <c r="H96" s="16">
        <f>Plan!I43</f>
        <v/>
      </c>
      <c r="I96" s="16">
        <f>Plan!O43</f>
        <v/>
      </c>
    </row>
    <row r="97">
      <c r="A97" s="8" t="n">
        <v>93</v>
      </c>
      <c r="B97" s="18" t="inlineStr">
        <is>
          <t>6.37</t>
        </is>
      </c>
      <c r="C97" s="35">
        <f>Plan!C114</f>
        <v/>
      </c>
      <c r="D97" s="8" t="n">
        <v>1</v>
      </c>
      <c r="E97" s="16">
        <f>Plan!J114</f>
        <v/>
      </c>
      <c r="F97" s="16">
        <f>Plan!K114</f>
        <v/>
      </c>
      <c r="G97" s="8">
        <f>F97-E97</f>
        <v/>
      </c>
      <c r="H97" s="16">
        <f>Plan!I114</f>
        <v/>
      </c>
      <c r="I97" s="16">
        <f>Plan!O114</f>
        <v/>
      </c>
    </row>
    <row r="98">
      <c r="A98" s="8" t="n">
        <v>94</v>
      </c>
      <c r="B98" s="18" t="inlineStr">
        <is>
          <t>5.7</t>
        </is>
      </c>
      <c r="C98" s="35">
        <f>Plan!C54</f>
        <v/>
      </c>
      <c r="D98" s="8" t="n">
        <v>3</v>
      </c>
      <c r="E98" s="16">
        <f>Plan!J54</f>
        <v/>
      </c>
      <c r="F98" s="16">
        <f>Plan!K54</f>
        <v/>
      </c>
      <c r="G98" s="8">
        <f>F98-E98</f>
        <v/>
      </c>
      <c r="H98" s="16">
        <f>Plan!I54</f>
        <v/>
      </c>
      <c r="I98" s="16">
        <f>Plan!O54</f>
        <v/>
      </c>
    </row>
    <row r="99">
      <c r="A99" s="8" t="n">
        <v>95</v>
      </c>
      <c r="B99" s="18" t="inlineStr">
        <is>
          <t>5.8</t>
        </is>
      </c>
      <c r="C99" s="35">
        <f>Plan!C55</f>
        <v/>
      </c>
      <c r="D99" s="8" t="n">
        <v>1</v>
      </c>
      <c r="E99" s="16">
        <f>Plan!J55</f>
        <v/>
      </c>
      <c r="F99" s="16">
        <f>Plan!K55</f>
        <v/>
      </c>
      <c r="G99" s="8">
        <f>F99-E99</f>
        <v/>
      </c>
      <c r="H99" s="16">
        <f>Plan!I55</f>
        <v/>
      </c>
      <c r="I99" s="16">
        <f>Plan!O55</f>
        <v/>
      </c>
    </row>
    <row r="100">
      <c r="A100" s="8" t="n">
        <v>96</v>
      </c>
      <c r="B100" s="18" t="inlineStr">
        <is>
          <t>6.23</t>
        </is>
      </c>
      <c r="C100" s="35">
        <f>Plan!C87</f>
        <v/>
      </c>
      <c r="D100" s="8" t="n">
        <v>1</v>
      </c>
      <c r="E100" s="16">
        <f>Plan!J87</f>
        <v/>
      </c>
      <c r="F100" s="16">
        <f>Plan!K87</f>
        <v/>
      </c>
      <c r="G100" s="8">
        <f>F100-E100</f>
        <v/>
      </c>
      <c r="H100" s="16">
        <f>Plan!I87</f>
        <v/>
      </c>
      <c r="I100" s="16">
        <f>Plan!O87</f>
        <v/>
      </c>
    </row>
    <row r="101">
      <c r="A101" s="8" t="n">
        <v>97</v>
      </c>
      <c r="B101" s="18" t="inlineStr">
        <is>
          <t>6.21</t>
        </is>
      </c>
      <c r="C101" s="35">
        <f>Plan!C82</f>
        <v/>
      </c>
      <c r="D101" s="8" t="n">
        <v>2</v>
      </c>
      <c r="E101" s="16">
        <f>Plan!J82</f>
        <v/>
      </c>
      <c r="F101" s="16">
        <f>Plan!K82</f>
        <v/>
      </c>
      <c r="G101" s="8">
        <f>F101-E101</f>
        <v/>
      </c>
      <c r="H101" s="16">
        <f>Plan!I82</f>
        <v/>
      </c>
      <c r="I101" s="16">
        <f>Plan!O82</f>
        <v/>
      </c>
    </row>
    <row r="102">
      <c r="A102" s="8" t="n">
        <v>98</v>
      </c>
      <c r="B102" s="18" t="inlineStr">
        <is>
          <t>6.24</t>
        </is>
      </c>
      <c r="C102" s="35">
        <f>Plan!C88</f>
        <v/>
      </c>
      <c r="D102" s="8" t="n">
        <v>1</v>
      </c>
      <c r="E102" s="16">
        <f>Plan!J88</f>
        <v/>
      </c>
      <c r="F102" s="16">
        <f>Plan!K88</f>
        <v/>
      </c>
      <c r="G102" s="8">
        <f>F102-E102</f>
        <v/>
      </c>
      <c r="H102" s="16">
        <f>Plan!I88</f>
        <v/>
      </c>
      <c r="I102" s="16">
        <f>Plan!O88</f>
        <v/>
      </c>
    </row>
    <row r="103">
      <c r="A103" s="8" t="n">
        <v>99</v>
      </c>
      <c r="B103" s="18" t="inlineStr">
        <is>
          <t>6.28</t>
        </is>
      </c>
      <c r="C103" s="35">
        <f>Plan!C101</f>
        <v/>
      </c>
      <c r="D103" s="8" t="n">
        <v>2</v>
      </c>
      <c r="E103" s="16">
        <f>Plan!J101</f>
        <v/>
      </c>
      <c r="F103" s="16">
        <f>Plan!K101</f>
        <v/>
      </c>
      <c r="G103" s="8">
        <f>F103-E103</f>
        <v/>
      </c>
      <c r="H103" s="16">
        <f>Plan!I101</f>
        <v/>
      </c>
      <c r="I103" s="16">
        <f>Plan!O101</f>
        <v/>
      </c>
    </row>
    <row r="104">
      <c r="A104" s="8" t="n">
        <v>100</v>
      </c>
      <c r="B104" s="18" t="inlineStr">
        <is>
          <t>5.16</t>
        </is>
      </c>
      <c r="C104" s="35">
        <f>Plan!C97</f>
        <v/>
      </c>
      <c r="D104" s="8" t="n">
        <v>2</v>
      </c>
      <c r="E104" s="16">
        <f>Plan!J97</f>
        <v/>
      </c>
      <c r="F104" s="16">
        <f>Plan!K97</f>
        <v/>
      </c>
      <c r="G104" s="8">
        <f>F104-E104</f>
        <v/>
      </c>
      <c r="H104" s="16">
        <f>Plan!I97</f>
        <v/>
      </c>
      <c r="I104" s="16">
        <f>Plan!O97</f>
        <v/>
      </c>
    </row>
    <row r="105">
      <c r="A105" s="8" t="n">
        <v>101</v>
      </c>
      <c r="B105" s="18" t="inlineStr">
        <is>
          <t>4.22</t>
        </is>
      </c>
      <c r="C105" s="35">
        <f>Plan!C104</f>
        <v/>
      </c>
      <c r="D105" s="8" t="n">
        <v>1</v>
      </c>
      <c r="E105" s="16">
        <f>Plan!J104</f>
        <v/>
      </c>
      <c r="F105" s="16">
        <f>Plan!K104</f>
        <v/>
      </c>
      <c r="G105" s="8">
        <f>F105-E105</f>
        <v/>
      </c>
      <c r="H105" s="16">
        <f>Plan!I104</f>
        <v/>
      </c>
      <c r="I105" s="16">
        <f>Plan!O104</f>
        <v/>
      </c>
    </row>
    <row r="106">
      <c r="A106" s="8" t="n">
        <v>102</v>
      </c>
      <c r="B106" s="18" t="inlineStr">
        <is>
          <t>6.15</t>
        </is>
      </c>
      <c r="C106" s="35">
        <f>Plan!C72</f>
        <v/>
      </c>
      <c r="D106" s="8" t="n">
        <v>1</v>
      </c>
      <c r="E106" s="16">
        <f>Plan!J72</f>
        <v/>
      </c>
      <c r="F106" s="16">
        <f>Plan!K72</f>
        <v/>
      </c>
      <c r="G106" s="8">
        <f>F106-E106</f>
        <v/>
      </c>
      <c r="H106" s="16">
        <f>Plan!I72</f>
        <v/>
      </c>
      <c r="I106" s="16">
        <f>Plan!O72</f>
        <v/>
      </c>
    </row>
    <row r="107">
      <c r="A107" s="8" t="n">
        <v>103</v>
      </c>
      <c r="B107" s="18" t="inlineStr">
        <is>
          <t>6.39</t>
        </is>
      </c>
      <c r="C107" s="35">
        <f>Plan!C116</f>
        <v/>
      </c>
      <c r="D107" s="8" t="n">
        <v>3</v>
      </c>
      <c r="E107" s="16">
        <f>Plan!J116</f>
        <v/>
      </c>
      <c r="F107" s="16">
        <f>Plan!K116</f>
        <v/>
      </c>
      <c r="G107" s="8">
        <f>F107-E107</f>
        <v/>
      </c>
      <c r="H107" s="16">
        <f>Plan!I116</f>
        <v/>
      </c>
      <c r="I107" s="16">
        <f>Plan!O116</f>
        <v/>
      </c>
    </row>
    <row r="108">
      <c r="A108" s="8" t="n">
        <v>104</v>
      </c>
      <c r="B108" s="18" t="inlineStr">
        <is>
          <t>4.21</t>
        </is>
      </c>
      <c r="C108" s="35">
        <f>Plan!C103</f>
        <v/>
      </c>
      <c r="D108" s="8" t="n">
        <v>3</v>
      </c>
      <c r="E108" s="16">
        <f>Plan!J103</f>
        <v/>
      </c>
      <c r="F108" s="16">
        <f>Plan!K103</f>
        <v/>
      </c>
      <c r="G108" s="8">
        <f>F108-E108</f>
        <v/>
      </c>
      <c r="H108" s="16">
        <f>Plan!I103</f>
        <v/>
      </c>
      <c r="I108" s="16">
        <f>Plan!O103</f>
        <v/>
      </c>
    </row>
    <row r="109">
      <c r="A109" s="8" t="n">
        <v>105</v>
      </c>
      <c r="B109" s="18" t="inlineStr">
        <is>
          <t>6.12</t>
        </is>
      </c>
      <c r="C109" s="35">
        <f>Plan!C69</f>
        <v/>
      </c>
      <c r="D109" s="8" t="n">
        <v>1</v>
      </c>
      <c r="E109" s="16">
        <f>Plan!J69</f>
        <v/>
      </c>
      <c r="F109" s="16">
        <f>Plan!K69</f>
        <v/>
      </c>
      <c r="G109" s="8">
        <f>F109-E109</f>
        <v/>
      </c>
      <c r="H109" s="16">
        <f>Plan!I69</f>
        <v/>
      </c>
      <c r="I109" s="16">
        <f>Plan!O69</f>
        <v/>
      </c>
    </row>
    <row r="110">
      <c r="A110" s="8" t="n">
        <v>106</v>
      </c>
      <c r="B110" s="18" t="inlineStr">
        <is>
          <t>6.35</t>
        </is>
      </c>
      <c r="C110" s="35">
        <f>Plan!C112</f>
        <v/>
      </c>
      <c r="D110" s="8" t="n">
        <v>1</v>
      </c>
      <c r="E110" s="16">
        <f>Plan!J112</f>
        <v/>
      </c>
      <c r="F110" s="16">
        <f>Plan!K112</f>
        <v/>
      </c>
      <c r="G110" s="8">
        <f>F110-E110</f>
        <v/>
      </c>
      <c r="H110" s="16">
        <f>Plan!I112</f>
        <v/>
      </c>
      <c r="I110" s="16">
        <f>Plan!O112</f>
        <v/>
      </c>
    </row>
    <row r="111">
      <c r="A111" s="8" t="n">
        <v>107</v>
      </c>
      <c r="B111" s="18" t="inlineStr">
        <is>
          <t>6.38</t>
        </is>
      </c>
      <c r="C111" s="35">
        <f>Plan!C115</f>
        <v/>
      </c>
      <c r="D111" s="8" t="n">
        <v>1</v>
      </c>
      <c r="E111" s="16">
        <f>Plan!J115</f>
        <v/>
      </c>
      <c r="F111" s="16">
        <f>Plan!K115</f>
        <v/>
      </c>
      <c r="G111" s="8">
        <f>F111-E111</f>
        <v/>
      </c>
      <c r="H111" s="16">
        <f>Plan!I115</f>
        <v/>
      </c>
      <c r="I111" s="16">
        <f>Plan!O115</f>
        <v/>
      </c>
    </row>
    <row r="112">
      <c r="A112" s="8" t="n">
        <v>108</v>
      </c>
      <c r="B112" s="18" t="inlineStr">
        <is>
          <t>6.40</t>
        </is>
      </c>
      <c r="C112" s="35">
        <f>Plan!C117</f>
        <v/>
      </c>
      <c r="D112" s="8" t="n">
        <v>2</v>
      </c>
      <c r="E112" s="16">
        <f>Plan!J117</f>
        <v/>
      </c>
      <c r="F112" s="16">
        <f>Plan!K117</f>
        <v/>
      </c>
      <c r="G112" s="8">
        <f>F112-E112</f>
        <v/>
      </c>
      <c r="H112" s="16">
        <f>Plan!I117</f>
        <v/>
      </c>
      <c r="I112" s="16">
        <f>Plan!O117</f>
        <v/>
      </c>
    </row>
    <row r="113">
      <c r="A113" s="8" t="n">
        <v>109</v>
      </c>
      <c r="B113" s="18" t="inlineStr">
        <is>
          <t>6.29</t>
        </is>
      </c>
      <c r="C113" s="35">
        <f>Plan!C102</f>
        <v/>
      </c>
      <c r="D113" s="8" t="n">
        <v>1</v>
      </c>
      <c r="E113" s="16">
        <f>Plan!J102</f>
        <v/>
      </c>
      <c r="F113" s="16">
        <f>Plan!K102</f>
        <v/>
      </c>
      <c r="G113" s="8">
        <f>F113-E113</f>
        <v/>
      </c>
      <c r="H113" s="16">
        <f>Plan!I102</f>
        <v/>
      </c>
      <c r="I113" s="16">
        <f>Plan!O102</f>
        <v/>
      </c>
    </row>
    <row r="114">
      <c r="A114" s="8" t="n">
        <v>110</v>
      </c>
      <c r="B114" s="18" t="inlineStr">
        <is>
          <t>6.14</t>
        </is>
      </c>
      <c r="C114" s="35">
        <f>Plan!C71</f>
        <v/>
      </c>
      <c r="D114" s="8" t="n">
        <v>1</v>
      </c>
      <c r="E114" s="16">
        <f>Plan!J71</f>
        <v/>
      </c>
      <c r="F114" s="16">
        <f>Plan!K71</f>
        <v/>
      </c>
      <c r="G114" s="8">
        <f>F114-E114</f>
        <v/>
      </c>
      <c r="H114" s="16">
        <f>Plan!I71</f>
        <v/>
      </c>
      <c r="I114" s="16">
        <f>Plan!O71</f>
        <v/>
      </c>
    </row>
    <row r="115">
      <c r="A115" s="8" t="n">
        <v>111</v>
      </c>
      <c r="B115" s="18" t="inlineStr">
        <is>
          <t>6.7</t>
        </is>
      </c>
      <c r="C115" s="35">
        <f>Plan!C64</f>
        <v/>
      </c>
      <c r="D115" s="8" t="n">
        <v>1</v>
      </c>
      <c r="E115" s="16">
        <f>Plan!J64</f>
        <v/>
      </c>
      <c r="F115" s="16">
        <f>Plan!K64</f>
        <v/>
      </c>
      <c r="G115" s="8">
        <f>F115-E115</f>
        <v/>
      </c>
      <c r="H115" s="16">
        <f>Plan!I64</f>
        <v/>
      </c>
      <c r="I115" s="16">
        <f>Plan!O64</f>
        <v/>
      </c>
    </row>
    <row r="116">
      <c r="A116" s="8" t="n">
        <v>112</v>
      </c>
      <c r="B116" s="18" t="inlineStr">
        <is>
          <t>6.6</t>
        </is>
      </c>
      <c r="C116" s="35">
        <f>Plan!C63</f>
        <v/>
      </c>
      <c r="D116" s="8" t="n">
        <v>3</v>
      </c>
      <c r="E116" s="16">
        <f>Plan!J63</f>
        <v/>
      </c>
      <c r="F116" s="16">
        <f>Plan!K63</f>
        <v/>
      </c>
      <c r="G116" s="8">
        <f>F116-E116</f>
        <v/>
      </c>
      <c r="H116" s="16">
        <f>Plan!I63</f>
        <v/>
      </c>
      <c r="I116" s="16">
        <f>Plan!O63</f>
        <v/>
      </c>
    </row>
    <row r="117">
      <c r="A117" s="8" t="n">
        <v>113</v>
      </c>
      <c r="B117" s="18" t="inlineStr">
        <is>
          <t>5.3</t>
        </is>
      </c>
      <c r="C117" s="35">
        <f>Plan!C50</f>
        <v/>
      </c>
      <c r="D117" s="8" t="n">
        <v>2</v>
      </c>
      <c r="E117" s="16">
        <f>Plan!J50</f>
        <v/>
      </c>
      <c r="F117" s="16">
        <f>Plan!K50</f>
        <v/>
      </c>
      <c r="G117" s="8">
        <f>F117-E117</f>
        <v/>
      </c>
      <c r="H117" s="16">
        <f>Plan!I50</f>
        <v/>
      </c>
      <c r="I117" s="16">
        <f>Plan!O50</f>
        <v/>
      </c>
    </row>
    <row r="119">
      <c r="B119" s="3" t="inlineStr">
        <is>
          <t>Estadísticas de la cola</t>
        </is>
      </c>
    </row>
    <row r="120">
      <c r="B120" s="23" t="inlineStr">
        <is>
          <t>Fila</t>
        </is>
      </c>
      <c r="C120" s="23" t="inlineStr">
        <is>
          <t>Actividades</t>
        </is>
      </c>
      <c r="D120" s="23" t="inlineStr">
        <is>
          <t>Bloques ocupados</t>
        </is>
      </c>
      <c r="E120" s="23" t="inlineStr">
        <is>
          <t>Uso</t>
        </is>
      </c>
      <c r="F120" s="23" t="inlineStr">
        <is>
          <t>Espera promedio</t>
        </is>
      </c>
    </row>
    <row r="121">
      <c r="B121" s="18" t="inlineStr">
        <is>
          <t>A</t>
        </is>
      </c>
      <c r="C121" s="15">
        <f>COUNTIF($H$5:$H$117,B121)</f>
        <v/>
      </c>
      <c r="D121" s="15">
        <f>SUMIF(Plan!$I$5:$I$117,B121,Plan!$E$5:$E$117)</f>
        <v/>
      </c>
      <c r="E121" s="36">
        <f>IF(Resumen!$C$17=0,0,D121/Resumen!$C$17)</f>
        <v/>
      </c>
      <c r="F121" s="37">
        <f>IFERROR(AVERAGEIF($H$5:$H$117,B121,$G$5:$G$117),0)</f>
        <v/>
      </c>
    </row>
    <row r="122">
      <c r="B122" s="18" t="inlineStr">
        <is>
          <t>B</t>
        </is>
      </c>
      <c r="C122" s="15">
        <f>COUNTIF($H$5:$H$117,B122)</f>
        <v/>
      </c>
      <c r="D122" s="15">
        <f>SUMIF(Plan!$I$5:$I$117,B122,Plan!$E$5:$E$117)</f>
        <v/>
      </c>
      <c r="E122" s="36">
        <f>IF(Resumen!$C$17=0,0,D122/Resumen!$C$17)</f>
        <v/>
      </c>
      <c r="F122" s="37">
        <f>IFERROR(AVERAGEIF($H$5:$H$117,B122,$G$5:$G$117),0)</f>
        <v/>
      </c>
    </row>
    <row r="123">
      <c r="B123" s="18" t="inlineStr">
        <is>
          <t>A+B</t>
        </is>
      </c>
      <c r="C123" s="15">
        <f>COUNTIF($H$5:$H$117,B123)</f>
        <v/>
      </c>
      <c r="D123" s="15">
        <f>SUMIF(Plan!$I$5:$I$117,B123,Plan!$E$5:$E$117)</f>
        <v/>
      </c>
      <c r="E123" s="36">
        <f>IF(Resumen!$C$17=0,0,D123/Resumen!$C$17)</f>
        <v/>
      </c>
      <c r="F123" s="37">
        <f>IFERROR(AVERAGEIF($H$5:$H$117,B123,$G$5:$G$117),0)</f>
        <v/>
      </c>
    </row>
    <row r="124">
      <c r="B124" s="19" t="inlineStr">
        <is>
          <t>Total</t>
        </is>
      </c>
      <c r="C124" s="9">
        <f>SUM(C121:C123)</f>
        <v/>
      </c>
      <c r="F124" s="11">
        <f>AVERAGE($G$5:$G$117)</f>
        <v/>
      </c>
    </row>
  </sheetData>
  <conditionalFormatting sqref="I5:I117">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117">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COUNTIF(Plan!$D$5:$D$117,A5)</f>
        <v/>
      </c>
    </row>
    <row r="6">
      <c r="A6" s="18" t="n">
        <v>2</v>
      </c>
      <c r="B6" s="4" t="inlineStr">
        <is>
          <t>Baja</t>
        </is>
      </c>
      <c r="C6" s="8" t="n">
        <v>2</v>
      </c>
      <c r="D6" s="4" t="inlineStr">
        <is>
          <t>1 jornada</t>
        </is>
      </c>
      <c r="E6" s="7" t="inlineStr">
        <is>
          <t>SMTP con Resend; proteger /cuenta en proxy.ts</t>
        </is>
      </c>
      <c r="F6" s="15">
        <f>COUNTIF(Plan!$D$5:$D$117,A6)</f>
        <v/>
      </c>
    </row>
    <row r="7">
      <c r="A7" s="18" t="n">
        <v>3</v>
      </c>
      <c r="B7" s="4" t="inlineStr">
        <is>
          <t>Media</t>
        </is>
      </c>
      <c r="C7" s="8" t="n">
        <v>3</v>
      </c>
      <c r="D7" s="4" t="inlineStr">
        <is>
          <t>1,5 jornadas</t>
        </is>
      </c>
      <c r="E7" s="7" t="inlineStr">
        <is>
          <t>Verificación del código OTP; /cuenta con datos reales</t>
        </is>
      </c>
      <c r="F7" s="15">
        <f>COUNTIF(Plan!$D$5:$D$117,A7)</f>
        <v/>
      </c>
    </row>
    <row r="8">
      <c r="A8" s="18" t="n">
        <v>4</v>
      </c>
      <c r="B8" s="4" t="inlineStr">
        <is>
          <t>Alta</t>
        </is>
      </c>
      <c r="C8" s="8" t="n">
        <v>4</v>
      </c>
      <c r="D8" s="4" t="inlineStr">
        <is>
          <t>2 jornadas</t>
        </is>
      </c>
      <c r="E8" s="7" t="inlineStr">
        <is>
          <t>Panel /admin; afiliación con Resend; importar asociados</t>
        </is>
      </c>
      <c r="F8" s="15">
        <f>COUNTIF(Plan!$D$5:$D$117,A8)</f>
        <v/>
      </c>
    </row>
    <row r="9">
      <c r="A9" s="18" t="n">
        <v>5</v>
      </c>
      <c r="B9" s="4" t="inlineStr">
        <is>
          <t>Muy alta</t>
        </is>
      </c>
      <c r="C9" s="8" t="n">
        <v>5</v>
      </c>
      <c r="D9" s="4" t="inlineStr">
        <is>
          <t>2,5 jornadas o más</t>
        </is>
      </c>
      <c r="E9" s="7" t="inlineStr">
        <is>
          <t>Reservado para trabajos que conviene partir en dos</t>
        </is>
      </c>
      <c r="F9" s="15">
        <f>COUNTIF(Plan!$D$5:$D$117,A9)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26"/>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2026-10-09</t>
        </is>
      </c>
      <c r="B5" s="4" t="inlineStr">
        <is>
          <t>sesión principal</t>
        </is>
      </c>
      <c r="C5" s="8" t="inlineStr">
        <is>
          <t>6.12 (P-54)</t>
        </is>
      </c>
      <c r="D5" s="7" t="inlineStr">
        <is>
          <t>Alerta del límite de intentos resuelta desde el cron, no desde Vercel</t>
        </is>
      </c>
      <c r="E5" s="7" t="inlineStr">
        <is>
          <t>Vercel Pro sin Observability Plus no permite alertas por texto del log. El cron horario /api/cron/limpiar-fotos revisa el límite (lib/servidor/saludLimite.ts): LIMITE_HMAC_SECRET y conteo de intentos; si falla registra salud_limite_fallo y envía un correo diario a las 8 a. m. de Bogotá a ALERTA_TECNICA_CORREOS o soporte@greenallianceco.com. Documentado en documentacion-tecnica. 763 unitarias, tsc, lint y build en verde. Falta desplegar (Sebas); opcional crear ALERTA_TECNICA_CORREOS en Vercel.</t>
        </is>
      </c>
    </row>
    <row r="6">
      <c r="A6" s="8" t="inlineStr">
        <is>
          <t>2026-10-09</t>
        </is>
      </c>
      <c r="B6" s="4" t="inlineStr">
        <is>
          <t>ga-supervisor-avances</t>
        </is>
      </c>
      <c r="C6" s="8" t="inlineStr">
        <is>
          <t>5.4, 5.11, 6.1, 6.2, 6.3, 6.5, 6.15, 6.29, 6.7, 6.14, 6.6, 5.3 (P-37, P-42, P-58, P-70, P-81, P-106, P-108, P-111, P-118 a P-122, P-125, P-140)</t>
        </is>
      </c>
      <c r="D6" s="7" t="inlineStr">
        <is>
          <t>Limpieza del plan pedida por Sebas: se cierran tareas ya hechas</t>
        </is>
      </c>
      <c r="E6" s="7" t="inlineStr">
        <is>
          <t>Hecho: 5.4 (la página /politica-de-datos existe; la revisión del abogado sigue aparte en P-81), 5.11 (premios de asesores 50 y 100, migración 20261002100000), 6.1 (755 pruebas unitarias en verde), 6.2 (revisión de seguridad del 8-oct con hallazgos corregidos y en producción), 6.3 (e2e escritorio y celular 395 pasaron, 0 fallos), 6.5 (desplegado en www.greenallianceco.com), 6.15 (e2e al día) y 6.29 (entrega final, acta y último pago, cerrada por Sebas hoy). En curso: 6.7 (capacitación por Ricardo), 6.14 (celulares reales) y 6.6 (usuarios reales, sigue durante la garantía). 5.3 queda Bloqueada esperando a la cooperativa (fotos, cifras, testimonios, sedes); 6.12 sigue Pendiente (Sebas). Pendientes cerrados: P-37, P-42, P-58, P-106, P-108, P-111, P-118, P-119, P-120, P-121, P-122, P-125. P-70 y P-81 pasan a En curso. Nuevo P-140: cómo se desactiva o baja de rol a un administrador. Para poder cerrar 6.3 se quitó su dependencia de 5.3, porque el contenido real de la cooperativa no impide el QA.</t>
        </is>
      </c>
    </row>
    <row r="7">
      <c r="A7" s="8" t="inlineStr">
        <is>
          <t>2026-10-09</t>
        </is>
      </c>
      <c r="B7" s="4" t="inlineStr">
        <is>
          <t>sesión principal</t>
        </is>
      </c>
      <c r="C7" s="8" t="inlineStr">
        <is>
          <t>6.38, 6.39, 6.40 (P-137, P-138, P-139)</t>
        </is>
      </c>
      <c r="D7" s="7" t="inlineStr">
        <is>
          <t>SVM activado, migración 20261009000000 aplicada y código desplegado</t>
        </is>
      </c>
      <c r="E7" s="7" t="inlineStr">
        <is>
          <t>Verificado en producción: migración remota aplicada y landing sin números de convenios (6 convenios con whatsapp null; solo queda el WhatsApp de la cooperativa). Pruebas: pgTAP desde cero 32 archivos, 826 PASS; e2e escritorio y celular 395 pasaron, 47 omitidas a propósito por proyecto y 0 fallos (39,9 min); unitarias 755 en verde.</t>
        </is>
      </c>
    </row>
    <row r="8">
      <c r="A8" s="8" t="inlineStr">
        <is>
          <t>2026-10-09</t>
        </is>
      </c>
      <c r="B8" s="4" t="inlineStr">
        <is>
          <t>sesión principal</t>
        </is>
      </c>
      <c r="C8" s="8" t="inlineStr">
        <is>
          <t>6.27, 6.28, 6.32 a 6.37, 6.39, 6.40, P-116, P-117, P-126 a P-139</t>
        </is>
      </c>
      <c r="D8" s="7" t="inlineStr">
        <is>
          <t>Hallazgos de seguridad cerrados en código; Sebas cerró 4 pendientes</t>
        </is>
      </c>
      <c r="E8" s="7" t="inlineStr">
        <is>
          <t>Sebas hizo P-116, P-117, P-135 y P-136. Hechos en código P-126, P-127, P-128, P-130 a P-134 (H-09 rehecho con fotos_carne_huerfanas; npm audit fix con 0 vulnerabilidades en producción; 755 unitarias, tsc, lint y build verdes; pgTAP y e2e sin correr por SVM). P-129 (H-04) cerrado por riesgo aceptado. Nuevos pendientes de Sebas: aplicar 20261009000000 (P-138, 6.39) y desplegar junto (P-139, 6.40). P-137 (SVM) sigue pendiente.</t>
        </is>
      </c>
    </row>
    <row r="9">
      <c r="A9" s="8" t="inlineStr">
        <is>
          <t>2026-10-09</t>
        </is>
      </c>
      <c r="B9" s="4" t="inlineStr">
        <is>
          <t>ga-funcionalidad-botones</t>
        </is>
      </c>
      <c r="C9" s="8" t="inlineStr">
        <is>
          <t>6.32, 6.33, 6.34, P-126, P-127, P-128, P-132, P-133, P-134</t>
        </is>
      </c>
      <c r="D9" s="7" t="inlineStr">
        <is>
          <t>Código de los hallazgos H-01, H-02, H-03, H-07, H-09 y H-10</t>
        </is>
      </c>
      <c r="E9" s="7" t="inlineStr">
        <is>
          <t>Su reporte decía todo hecho, pero H-09 estaba mal (listaba carpetas y leía una columna inexistente); prevalece el reporte de la sesión principal, que lo rehízo.</t>
        </is>
      </c>
    </row>
    <row r="10">
      <c r="A10" s="8" t="inlineStr">
        <is>
          <t>2026-10-09</t>
        </is>
      </c>
      <c r="B10" s="4" t="inlineStr">
        <is>
          <t>ga-auditor-supabase</t>
        </is>
      </c>
      <c r="C10" s="8" t="inlineStr">
        <is>
          <t>6.32, 6.33, 6.34, P-126, P-127, P-128, P-130, P-132</t>
        </is>
      </c>
      <c r="D10" s="7" t="inlineStr">
        <is>
          <t>Migración 20261009000000 y pruebas pgTAP escritas</t>
        </is>
      </c>
      <c r="E10" s="7" t="inlineStr">
        <is>
          <t>Anon sin telefono_contacto, cédula exacta en la búsqueda general, cambio de correo atado a la solicitud con espera de 10 min, hasta 3 recuperaciones pendientes por persona, no se desactiva a un admin. Pruebas 27 actualizada y 31 nueva; sin aplicar ni correr (Docker apagado).</t>
        </is>
      </c>
    </row>
    <row r="11">
      <c r="A11" s="8" t="inlineStr">
        <is>
          <t>2026-10-08</t>
        </is>
      </c>
      <c r="B11" s="4" t="inlineStr">
        <is>
          <t>sesión principal</t>
        </is>
      </c>
      <c r="C11" s="8" t="inlineStr">
        <is>
          <t>5.19, 6.29, 6.36 a 6.38, P-118, P-135 a P-137</t>
        </is>
      </c>
      <c r="D11" s="7" t="inlineStr">
        <is>
          <t>Demo con convenios reales, PP y fecha de entrega</t>
        </is>
      </c>
      <c r="E11" s="7" t="inlineStr">
        <is>
          <t>Demo con convenios reales, PP vuelve a ofrecerse (migración 20261008000000 sin aplicar), agentes un escalón abajo. Entrega final movida al viernes 9-oct; garantía 9-oct al 7-nov, soporte desde el 8-nov (6.26 y 6.29 actualizadas). Pendientes de Sebas: aplicar la migración, borrar 2 solicitudes de prueba, activar SVM para pgTAP y e2e.</t>
        </is>
      </c>
    </row>
    <row r="12">
      <c r="A12" s="8" t="inlineStr">
        <is>
          <t>2026-10-08</t>
        </is>
      </c>
      <c r="B12" s="4" t="inlineStr">
        <is>
          <t>ga-revisor-seguridad</t>
        </is>
      </c>
      <c r="C12" s="8" t="inlineStr">
        <is>
          <t>6.31, 6.32-6.35, P-126 a P-134</t>
        </is>
      </c>
      <c r="D12" s="7" t="inlineStr">
        <is>
          <t>Revisión de seguridad del 8-oct</t>
        </is>
      </c>
      <c r="E12" s="7" t="inlineStr">
        <is>
          <t>Sin críticos; 1 alta (H-01) y 5 medias. Se agregan H-01 a H-07 y H-09 a H-10 como pendientes (6.32 a 6.35). Severidad asignada por el conteo del reporte: H-01 alta; H-02 a H-06 media; H-07, H-09 y H-10 baja. H-04, H-05, H-07, H-09 y H-10 no traían descripción en el buzón.</t>
        </is>
      </c>
    </row>
    <row r="13">
      <c r="A13" s="8" t="inlineStr">
        <is>
          <t>2026-10-08</t>
        </is>
      </c>
      <c r="B13" s="4" t="inlineStr">
        <is>
          <t>ga-auditor-supabase</t>
        </is>
      </c>
      <c r="C13" s="8" t="inlineStr">
        <is>
          <t>6.30</t>
        </is>
      </c>
      <c r="D13" s="7" t="inlineStr">
        <is>
          <t>Migraciones resincronizadas con producción</t>
        </is>
      </c>
      <c r="E13" s="7" t="inlineStr">
        <is>
          <t>Reporte del 02-oct: 20261003000000/100000/200000 restauradas a lo aplicado y lo posterior en 20261003300000 (se suma a 6.27). pgTAP 799 PASS.</t>
        </is>
      </c>
    </row>
    <row r="14">
      <c r="A14" s="8" t="inlineStr">
        <is>
          <t>2026-10-08</t>
        </is>
      </c>
      <c r="B14" s="4" t="inlineStr">
        <is>
          <t>ga-funcionalidad-botones</t>
        </is>
      </c>
      <c r="C14" s="8" t="inlineStr">
        <is>
          <t>4.21</t>
        </is>
      </c>
      <c r="D14" s="7" t="inlineStr">
        <is>
          <t>Secretario ampliado e Historial del equipo</t>
        </is>
      </c>
      <c r="E14" s="7" t="inlineStr">
        <is>
          <t>Reporte del 02-oct: el secretario ve Asociados y Créditos en solo lectura; el admin desactiva y cambia el rol de secretarios con motivo; búsqueda con nombre del admin; nueva /admin/historial. pgTAP 29 (82), vitest 751, e2e en verde.</t>
        </is>
      </c>
    </row>
    <row r="15">
      <c r="A15" s="8" t="inlineStr">
        <is>
          <t>2026-10-08</t>
        </is>
      </c>
      <c r="B15" s="4" t="inlineStr">
        <is>
          <t>ga-funcionalidad-botones</t>
        </is>
      </c>
      <c r="C15" s="8" t="inlineStr">
        <is>
          <t>4.22</t>
        </is>
      </c>
      <c r="D15" s="7" t="inlineStr">
        <is>
          <t>Comprobantes 30 días</t>
        </is>
      </c>
      <c r="E15" s="7" t="inlineStr">
        <is>
          <t>Reporte del 02-oct: los comprobantes del eliminado se conservan 30 días y los borra /api/cron/limpiar-fotos; también los huérfanos de más de 24 h. pgTAP 28 (76), vitest y e2e ajustados.</t>
        </is>
      </c>
    </row>
    <row r="16">
      <c r="A16" s="8" t="inlineStr">
        <is>
          <t>2026-10-08</t>
        </is>
      </c>
      <c r="B16" s="4" t="inlineStr">
        <is>
          <t>ga-correos</t>
        </is>
      </c>
      <c r="C16" s="8" t="inlineStr">
        <is>
          <t>5.18</t>
        </is>
      </c>
      <c r="D16" s="7" t="inlineStr">
        <is>
          <t>5 plantillas de Resend nuevas</t>
        </is>
      </c>
      <c r="E16" s="7" t="inlineStr">
        <is>
          <t>Reporte del 02-oct: plantillas en docs/resend/ y guía con las 10 plantillas; COMPROBANTE viaja siempre. Sebas debe publicarlas y agregar las 5 RESEND_TEMPLATE_* en Vercel (6.28).</t>
        </is>
      </c>
    </row>
    <row r="17">
      <c r="A17" s="8" t="inlineStr">
        <is>
          <t>2026-10-02</t>
        </is>
      </c>
      <c r="B17" s="4" t="inlineStr">
        <is>
          <t>sesión principal</t>
        </is>
      </c>
      <c r="C17" s="8" t="inlineStr">
        <is>
          <t>6.25, 6.26, 6.27, 6.28, 6.29, P-114, P-115, P-116–P-125</t>
        </is>
      </c>
      <c r="D17" s="7" t="inlineStr">
        <is>
          <t>Todo en develop; contrato y garantía</t>
        </is>
      </c>
      <c r="E17" s="7" t="inlineStr">
        <is>
          <t>Todo fusionado en develop. Contrato diligenciado con anexos 2 y 3, garantía 7–21 oct y soporte $500.000/mes desde el 22. Pendiente de Sebas: 5 migraciones + develop→main, plantillas Resend, entrega y último pago el 7-oct.</t>
        </is>
      </c>
    </row>
    <row r="18">
      <c r="A18" s="8" t="inlineStr">
        <is>
          <t>2026-10-02</t>
        </is>
      </c>
      <c r="B18" s="4" t="inlineStr">
        <is>
          <t>ga-funcionalidad-botones</t>
        </is>
      </c>
      <c r="C18" s="8" t="inlineStr">
        <is>
          <t>5.15</t>
        </is>
      </c>
      <c r="D18" s="7" t="inlineStr">
        <is>
          <t>Foto del carné (20261003200000)</t>
        </is>
      </c>
      <c r="E18" s="7" t="inlineStr">
        <is>
          <t>Bucket fotos-carne, pgTAP 30, e2e q-foto-carne. Decisiones P-121 y P-122.</t>
        </is>
      </c>
    </row>
    <row r="19">
      <c r="A19" s="8" t="inlineStr">
        <is>
          <t>2026-10-02</t>
        </is>
      </c>
      <c r="B19" s="4" t="inlineStr">
        <is>
          <t>ga-funcionalidad-botones</t>
        </is>
      </c>
      <c r="C19" s="8" t="inlineStr">
        <is>
          <t>4.20</t>
        </is>
      </c>
      <c r="D19" s="7" t="inlineStr">
        <is>
          <t>Secretario y búsqueda general (20261003100000)</t>
        </is>
      </c>
      <c r="E19" s="7" t="inlineStr">
        <is>
          <t>pgTAP 29, e2e p-secretario-busqueda. Decisión P-119.</t>
        </is>
      </c>
    </row>
    <row r="20">
      <c r="A20" s="8" t="inlineStr">
        <is>
          <t>2026-10-02</t>
        </is>
      </c>
      <c r="B20" s="4" t="inlineStr">
        <is>
          <t>ga-funcionalidad-botones</t>
        </is>
      </c>
      <c r="C20" s="8" t="inlineStr">
        <is>
          <t>4.19</t>
        </is>
      </c>
      <c r="D20" s="7" t="inlineStr">
        <is>
          <t>Comprobante y eliminar definitivamente (20261003000000)</t>
        </is>
      </c>
      <c r="E20" s="7" t="inlineStr">
        <is>
          <t>Bucket privado, anonimizar con código; pgTAP 28. Decisión P-120.</t>
        </is>
      </c>
    </row>
    <row r="21">
      <c r="A21" s="8" t="inlineStr">
        <is>
          <t>2026-10-02</t>
        </is>
      </c>
      <c r="B21" s="4" t="inlineStr">
        <is>
          <t>ga-diseno-a-codigo</t>
        </is>
      </c>
      <c r="C21" s="8" t="inlineStr">
        <is>
          <t>5.16</t>
        </is>
      </c>
      <c r="D21" s="7" t="inlineStr">
        <is>
          <t>/cuenta igual a la demo</t>
        </is>
      </c>
      <c r="E21" s="7" t="inlineStr">
        <is>
          <t>CamposSolicitud y TarjetaTope compartidos; slot accionDesembolso.</t>
        </is>
      </c>
    </row>
    <row r="22">
      <c r="A22" s="8" t="inlineStr">
        <is>
          <t>2026-10-02</t>
        </is>
      </c>
      <c r="B22" s="4" t="inlineStr">
        <is>
          <t>ga-correos</t>
        </is>
      </c>
      <c r="C22" s="8" t="inlineStr">
        <is>
          <t>5.17, 6.28</t>
        </is>
      </c>
      <c r="D22" s="7" t="inlineStr">
        <is>
          <t>Correo del sorteo y plan de correos</t>
        </is>
      </c>
      <c r="E22" s="7" t="inlineStr">
        <is>
          <t>Diagnóstico del texto plano, plan Resend y mensajes WhatsApp. Pendientes P-117 y P-123.</t>
        </is>
      </c>
    </row>
    <row r="23">
      <c r="A23" s="8" t="inlineStr">
        <is>
          <t>2026-10-02</t>
        </is>
      </c>
      <c r="B23" s="4" t="inlineStr">
        <is>
          <t>ga-escritor-tests</t>
        </is>
      </c>
      <c r="C23" s="8" t="inlineStr">
        <is>
          <t>4.18</t>
        </is>
      </c>
      <c r="D23" s="7" t="inlineStr">
        <is>
          <t>Pruebas por reglas nuevas</t>
        </is>
      </c>
      <c r="E23" s="7" t="inlineStr">
        <is>
          <t>Admin sin restricción sobre sus clientes, PP no seleccionable; pgTAP, vitest 628 y e2e en verde.</t>
        </is>
      </c>
    </row>
    <row r="24">
      <c r="A24" s="8" t="inlineStr">
        <is>
          <t>2026-10-02</t>
        </is>
      </c>
      <c r="B24" s="4" t="inlineStr">
        <is>
          <t>ga-funcionalidad-botones</t>
        </is>
      </c>
      <c r="C24" s="8" t="inlineStr">
        <is>
          <t>4.17</t>
        </is>
      </c>
      <c r="D24" s="7" t="inlineStr">
        <is>
          <t>Correcciones SEC-REC-01 a 05</t>
        </is>
      </c>
      <c r="E24" s="7" t="inlineStr">
        <is>
          <t>WhatsApp al celular del perfil, cierre de sesiones, trigger en auth.users como compensación de SEC-REC-02.</t>
        </is>
      </c>
    </row>
    <row r="25">
      <c r="A25" s="8" t="inlineStr">
        <is>
          <t>2026-10-02</t>
        </is>
      </c>
      <c r="B25" s="4" t="inlineStr">
        <is>
          <t>ga-revisor-seguridad</t>
        </is>
      </c>
      <c r="C25" s="8" t="inlineStr">
        <is>
          <t>4.17</t>
        </is>
      </c>
      <c r="D25" s="7" t="inlineStr">
        <is>
          <t>Revisión de la recuperación de acceso</t>
        </is>
      </c>
      <c r="E25" s="7" t="inlineStr">
        <is>
          <t>2 altos (SEC-REC-01 y 02) de toma de cuenta.</t>
        </is>
      </c>
    </row>
    <row r="26">
      <c r="A26" s="8" t="inlineStr">
        <is>
          <t>2026-10-02</t>
        </is>
      </c>
      <c r="B26" s="4" t="inlineStr">
        <is>
          <t>ga-funcionalidad-botones</t>
        </is>
      </c>
      <c r="C26" s="8" t="inlineStr">
        <is>
          <t>4.17</t>
        </is>
      </c>
      <c r="D26" s="7" t="inlineStr">
        <is>
          <t>Recuperación de acceso (20261002500000)</t>
        </is>
      </c>
      <c r="E26" s="7" t="inlineStr">
        <is>
          <t>/ingresar/recuperar, cambio de correo asistido y propio; pgTAP 27.</t>
        </is>
      </c>
    </row>
    <row r="27">
      <c r="A27" s="8" t="inlineStr">
        <is>
          <t>2026-10-02</t>
        </is>
      </c>
      <c r="B27" s="7" t="inlineStr">
        <is>
          <t>agente de documentos de entrega</t>
        </is>
      </c>
      <c r="C27" s="8" t="inlineStr">
        <is>
          <t>6.26</t>
        </is>
      </c>
      <c r="D27" s="7" t="inlineStr">
        <is>
          <t>Documentos de entrega</t>
        </is>
      </c>
      <c r="E27" s="7" t="inlineStr">
        <is>
          <t>docs/entrega/ (documentación técnica, respaldo, anexos 2 y 3, actas) y scripts/respaldo.sh.</t>
        </is>
      </c>
    </row>
    <row r="28">
      <c r="A28" s="8" t="inlineStr">
        <is>
          <t>2026-10-02</t>
        </is>
      </c>
      <c r="B28" s="4" t="inlineStr">
        <is>
          <t>ga-funcionalidad-botones</t>
        </is>
      </c>
      <c r="C28" s="8" t="inlineStr">
        <is>
          <t>5.14</t>
        </is>
      </c>
      <c r="D28" s="7" t="inlineStr">
        <is>
          <t>PDF del carné</t>
        </is>
      </c>
      <c r="E28" s="7" t="inlineStr">
        <is>
          <t>/cuenta/carne/pdf con pdf-lib + qrcode; vitest y e2e M2.</t>
        </is>
      </c>
    </row>
    <row r="29">
      <c r="A29" s="8" t="inlineStr">
        <is>
          <t>2026-10-02</t>
        </is>
      </c>
      <c r="B29" s="4" t="inlineStr">
        <is>
          <t>ga-funcionalidad-botones</t>
        </is>
      </c>
      <c r="C29" s="8" t="inlineStr">
        <is>
          <t>4.16</t>
        </is>
      </c>
      <c r="D29" s="7" t="inlineStr">
        <is>
          <t>Ajustes de entrega (20261002400000)</t>
        </is>
      </c>
      <c r="E29" s="7" t="inlineStr">
        <is>
          <t>Tope de toques por meta, verificar_carne solo activos, regenerar 1/min, grado con nombre; pgTAP 26.</t>
        </is>
      </c>
    </row>
    <row r="30">
      <c r="A30" s="8" t="inlineStr">
        <is>
          <t>2026-10-02</t>
        </is>
      </c>
      <c r="B30" s="4" t="inlineStr">
        <is>
          <t>ga-verificador-qa</t>
        </is>
      </c>
      <c r="C30" s="8" t="inlineStr">
        <is>
          <t>4.16, 5.14</t>
        </is>
      </c>
      <c r="D30" s="7" t="inlineStr">
        <is>
          <t>e2e de premios, carné con QR e inscritos</t>
        </is>
      </c>
      <c r="E30" s="7" t="inlineStr">
        <is>
          <t>Escritorio 188 / celular 148 pasan, 0 fallan; m-premios-qr-sorteo.spec.ts.</t>
        </is>
      </c>
    </row>
    <row r="31">
      <c r="A31" s="8" t="inlineStr">
        <is>
          <t>2026-10-02</t>
        </is>
      </c>
      <c r="B31" s="4" t="inlineStr">
        <is>
          <t>ga-revisor-seguridad</t>
        </is>
      </c>
      <c r="C31" s="8" t="inlineStr">
        <is>
          <t>4.16, 5.14</t>
        </is>
      </c>
      <c r="D31" s="7" t="inlineStr">
        <is>
          <t>Revisión de premios, QR y sorteo</t>
        </is>
      </c>
      <c r="E31" s="7" t="inlineStr">
        <is>
          <t>Sin críticos ni altos; medios/bajos atendidos en 20261002400000. Nombre público en /verificar: P-125.</t>
        </is>
      </c>
    </row>
    <row r="32">
      <c r="A32" s="8" t="inlineStr">
        <is>
          <t>2026-10-01</t>
        </is>
      </c>
      <c r="B32" s="4" t="inlineStr">
        <is>
          <t>sesión principal</t>
        </is>
      </c>
      <c r="C32" s="8" t="inlineStr">
        <is>
          <t>6.23, 6.24, P-73, P-51, P-57, P-66, P-67, 6.25</t>
        </is>
      </c>
      <c r="D32" s="7" t="inlineStr">
        <is>
          <t>Migraciones aplicadas, pago a Carlos y cierres verificados</t>
        </is>
      </c>
      <c r="E32" s="7" t="inlineStr">
        <is>
          <t>20261001000000 y 20261001100000 aplicadas en producción; pago de 150.000 COP a Carlos hecho. P-51, P-57, P-66 y P-67 verificados contra el código y cerrados. Nuevo 6.25/P-114: Sebas aplica 20261002000000 y fusiona develop→main (e2523de).</t>
        </is>
      </c>
    </row>
    <row r="33">
      <c r="A33" s="8" t="inlineStr">
        <is>
          <t>2026-10-01</t>
        </is>
      </c>
      <c r="B33" s="4" t="inlineStr">
        <is>
          <t>ga-diseno-a-codigo</t>
        </is>
      </c>
      <c r="C33" s="8" t="inlineStr">
        <is>
          <t>5.12, 5.9</t>
        </is>
      </c>
      <c r="D33" s="7" t="inlineStr">
        <is>
          <t>D-25 y D-26 al código</t>
        </is>
      </c>
      <c r="E33" s="7" t="inlineStr">
        <is>
          <t>Carné con wordmark blanco y enlace a convenios (700 px); logo de marca en tarjeta, chip y detalle con respaldo; GestorConvenios al lienzo 3v.</t>
        </is>
      </c>
    </row>
    <row r="34">
      <c r="A34" s="8" t="inlineStr">
        <is>
          <t>2026-10-01</t>
        </is>
      </c>
      <c r="B34" s="4" t="inlineStr">
        <is>
          <t>ga-verificador-qa</t>
        </is>
      </c>
      <c r="C34" s="8" t="inlineStr">
        <is>
          <t>5.9, 5.12, 6.3</t>
        </is>
      </c>
      <c r="D34" s="7" t="inlineStr">
        <is>
          <t>e2e final en verde</t>
        </is>
      </c>
      <c r="E34" s="7" t="inlineStr">
        <is>
          <t>Escritorio 174/3 (fallas de prueba corregidas), celular 146/0; nueva l-convenios-carne.spec.ts. QA-07 (textos con SVG) y QA-08 corregidos.</t>
        </is>
      </c>
    </row>
    <row r="35">
      <c r="A35" s="8" t="inlineStr">
        <is>
          <t>2026-10-01</t>
        </is>
      </c>
      <c r="B35" s="4" t="inlineStr">
        <is>
          <t>ga-disenador-lienzo</t>
        </is>
      </c>
      <c r="C35" s="8" t="inlineStr">
        <is>
          <t>5.12, 5.9</t>
        </is>
      </c>
      <c r="D35" s="7" t="inlineStr">
        <is>
          <t>Lienzo t3: 3u, 3v, 3w (D-25, D-26)</t>
        </is>
      </c>
      <c r="E35" s="7" t="inlineStr">
        <is>
          <t>Carné virtual, /admin/convenios y logo en tarjetas/chips/detalle. Decisión pendiente de la cooperativa sobre QR en el carné (P-115).</t>
        </is>
      </c>
    </row>
    <row r="36">
      <c r="A36" s="8" t="inlineStr">
        <is>
          <t>2026-10-01</t>
        </is>
      </c>
      <c r="B36" s="4" t="inlineStr">
        <is>
          <t>ga-revisor-seguridad</t>
        </is>
      </c>
      <c r="C36" s="8" t="inlineStr">
        <is>
          <t>5.9, P-68</t>
        </is>
      </c>
      <c r="D36" s="7" t="inlineStr">
        <is>
          <t>Revisión sin críticos ni altos</t>
        </is>
      </c>
      <c r="E36" s="7" t="inlineStr">
        <is>
          <t>S-30 (filtro SVG saltable) y S-32 corregidos según la sesión principal; S-31 aceptado como bajo. npm audit 0.</t>
        </is>
      </c>
    </row>
    <row r="37">
      <c r="A37" s="8" t="inlineStr">
        <is>
          <t>2026-10-01</t>
        </is>
      </c>
      <c r="B37" s="4" t="inlineStr">
        <is>
          <t>ga-funcionalidad-botones</t>
        </is>
      </c>
      <c r="C37" s="8" t="inlineStr">
        <is>
          <t>5.9, P-68</t>
        </is>
      </c>
      <c r="D37" s="7" t="inlineStr">
        <is>
          <t>/admin/convenios hecho</t>
        </is>
      </c>
      <c r="E37" s="7" t="inlineStr">
        <is>
          <t>CRUD con exigirAdmin + zod + registro, logo validado en servidor; landing y /cuenta leen de la tabla con respaldo; 30 pruebas unitarias nuevas, vitest 582 y build en verde.</t>
        </is>
      </c>
    </row>
    <row r="38">
      <c r="A38" s="8" t="inlineStr">
        <is>
          <t>2026-10-01</t>
        </is>
      </c>
      <c r="B38" s="4" t="inlineStr">
        <is>
          <t>ga-auditor-supabase</t>
        </is>
      </c>
      <c r="C38" s="8" t="inlineStr">
        <is>
          <t>5.9, P-68, P-88</t>
        </is>
      </c>
      <c r="D38" s="7" t="inlineStr">
        <is>
          <t>Migración 20261002000000 y F2-08</t>
        </is>
      </c>
      <c r="E38" s="7" t="inlineStr">
        <is>
          <t>Convenios administrables (orden, visible, logo_path, medios, bucket convenios-logos solo admin) y corrección F2-08; pgTAP 23 archivos / 522 pruebas en verde. Sin aplicar en producción (6.25/P-114).</t>
        </is>
      </c>
    </row>
    <row r="39">
      <c r="A39" s="8" t="inlineStr">
        <is>
          <t>2026-10-01</t>
        </is>
      </c>
      <c r="B39" s="4" t="inlineStr">
        <is>
          <t>ga-diseno-a-codigo</t>
        </is>
      </c>
      <c r="C39" s="8" t="inlineStr">
        <is>
          <t>5.12, P-109, P-53</t>
        </is>
      </c>
      <c r="D39" s="7" t="inlineStr">
        <is>
          <t>Carné virtual y logo bajo 360 px</t>
        </is>
      </c>
      <c r="E39" s="7" t="inlineStr">
        <is>
          <t>CarneVirtual.tsx en /cuenta; el logo horizontal oculta «COOPERATIVA» bajo 360 px. Pidió D-25 al lienzo.</t>
        </is>
      </c>
    </row>
    <row r="40">
      <c r="A40" s="8" t="inlineStr">
        <is>
          <t>2026-10-01</t>
        </is>
      </c>
      <c r="B40" s="4" t="inlineStr">
        <is>
          <t>sesión principal</t>
        </is>
      </c>
      <c r="C40" s="8" t="inlineStr">
        <is>
          <t>6.23, 6.24</t>
        </is>
      </c>
      <c r="D40" s="7" t="inlineStr">
        <is>
          <t>QA-06 corregido y develop subido</t>
        </is>
      </c>
      <c r="E40" s="7" t="inlineStr">
        <is>
          <t>Aviso de cuenta inactiva en app/ingresar/actions.ts; y-tanda2 escritorio 14/14; commit 7526e7d en develop. Pendiente de Sebas: db push --linked de 20261001000000 y 20261001100000 y fusionar develop→main.</t>
        </is>
      </c>
    </row>
    <row r="41">
      <c r="A41" s="8" t="inlineStr">
        <is>
          <t>2026-10-01</t>
        </is>
      </c>
      <c r="B41" s="4" t="inlineStr">
        <is>
          <t>ga-verificador-qa</t>
        </is>
      </c>
      <c r="C41" s="8" t="inlineStr">
        <is>
          <t>6.21, 6.15</t>
        </is>
      </c>
      <c r="D41" s="7" t="inlineStr">
        <is>
          <t>6.21 Hecho; 6.15 desbloqueada (En curso)</t>
        </is>
      </c>
      <c r="E41" s="7" t="inlineStr">
        <is>
          <t>E2E ajustadas a v3/S-06/crédito: escritorio 171/4, celular 143/3, fallas corregidas y confirmadas. Bug QA-06 reportado.</t>
        </is>
      </c>
    </row>
    <row r="42">
      <c r="A42" s="8" t="inlineStr">
        <is>
          <t>2026-10-01</t>
        </is>
      </c>
      <c r="B42" s="4" t="inlineStr">
        <is>
          <t>ga-funcionalidad-botones</t>
        </is>
      </c>
      <c r="C42" s="8" t="inlineStr">
        <is>
          <t>P-48</t>
        </is>
      </c>
      <c r="D42" s="7" t="inlineStr">
        <is>
          <t>QA-01 a QA-05 de /afiliacion corregidos</t>
        </is>
      </c>
      <c r="E42" s="7" t="inlineStr">
        <is>
          <t>Texto restaurado, contador, formulario con key (conserva selects, cierra F-01), aviso de fotos rechazadas, tabIndex de SelectBusqueda.</t>
        </is>
      </c>
    </row>
    <row r="43">
      <c r="A43" s="8" t="inlineStr">
        <is>
          <t>2026-10-01</t>
        </is>
      </c>
      <c r="B43" s="4" t="inlineStr">
        <is>
          <t>ga-auditor-supabase</t>
        </is>
      </c>
      <c r="C43" s="8" t="inlineStr">
        <is>
          <t>6.24, P-113</t>
        </is>
      </c>
      <c r="D43" s="7" t="inlineStr">
        <is>
          <t>pgTAP 20261001* en verde</t>
        </is>
      </c>
      <c r="E43" s="7" t="inlineStr">
        <is>
          <t>Arreglado admin_habilitar_credito (array_append) y pruebas 21 y 10; 22 archivos, 497 pruebas. Falta aplicar en remoto.</t>
        </is>
      </c>
    </row>
    <row r="44">
      <c r="A44" s="8" t="inlineStr">
        <is>
          <t>2026-10-01</t>
        </is>
      </c>
      <c r="B44" s="4" t="inlineStr">
        <is>
          <t>ga-diseno-a-codigo</t>
        </is>
      </c>
      <c r="C44" s="8" t="inlineStr">
        <is>
          <t>4.7, 4.8, 4.15</t>
        </is>
      </c>
      <c r="D44" s="7" t="inlineStr">
        <is>
          <t>Verificación visual tanda §13</t>
        </is>
      </c>
      <c r="E44" s="7" t="inlineStr">
        <is>
          <t>CuentaDemo, WhatsApp en el pie, paneles por estado y desembolsos, HabilitarCredito; tsc, lint, vitest 552 y build en verde.</t>
        </is>
      </c>
    </row>
    <row r="45">
      <c r="A45" s="8" t="inlineStr">
        <is>
          <t>2026-10-01</t>
        </is>
      </c>
      <c r="B45" s="4" t="inlineStr">
        <is>
          <t>ga-diseno-a-codigo</t>
        </is>
      </c>
      <c r="C45" s="8" t="inlineStr">
        <is>
          <t>4.15, 4.7, 4.8</t>
        </is>
      </c>
      <c r="D45" s="7" t="inlineStr">
        <is>
          <t>4.7, 4.8 y 4.15 Hecho</t>
        </is>
      </c>
      <c r="E45" s="7" t="inlineStr">
        <is>
          <t>Ícono WhatsApp en el pie, botón «Habilitar nuevo crédito», selector segmentado en la demo, 8 estados y KPI Desembolsos del mes en admin, chips en asesor. e2e sin ejecutar.</t>
        </is>
      </c>
    </row>
    <row r="46">
      <c r="A46" s="8" t="inlineStr">
        <is>
          <t>2026-10-01</t>
        </is>
      </c>
      <c r="B46" s="4" t="inlineStr">
        <is>
          <t>ga-funcionalidad-botones</t>
        </is>
      </c>
      <c r="C46" s="8" t="inlineStr">
        <is>
          <t>4.15, 4.7, 4.8</t>
        </is>
      </c>
      <c r="D46" s="7" t="inlineStr">
        <is>
          <t>Pedidos §13 en servidor y front</t>
        </is>
      </c>
      <c r="E46" s="7" t="inlineStr">
        <is>
          <t>Correos con respaldo en texto plano y log correo_plantilla_faltante; acción Habilitar crédito; /cuenta con tarjeta vacía; loaders con por_estado_proceso y desembolsos_mes; demo Policía/Ejército; wa.me en el pie. 552 vitest y build en verde.</t>
        </is>
      </c>
    </row>
    <row r="47">
      <c r="A47" s="8" t="inlineStr">
        <is>
          <t>2026-10-01</t>
        </is>
      </c>
      <c r="B47" s="4" t="inlineStr">
        <is>
          <t>ga-auditor-supabase</t>
        </is>
      </c>
      <c r="C47" s="8" t="inlineStr">
        <is>
          <t>4.15, 4.7, 4.8, P-112, 6.24, P-113</t>
        </is>
      </c>
      <c r="D47" s="7" t="inlineStr">
        <is>
          <t>Migración 20261001100000 y pgTAP 21</t>
        </is>
      </c>
      <c r="E47" s="7" t="inlineStr">
        <is>
          <t>admin_habilitar_credito, mi_habilitacion_credito, por_estado_proceso y desembolsos_mes; listas blancas 00/15 (P-112 Hecho). Diagnóstico: el bloqueo tras rechazo es de pantalla, no de base. Sin db reset por Docker: nueva 6.24/P-113 (Sebas).</t>
        </is>
      </c>
    </row>
    <row r="48">
      <c r="A48" s="8" t="inlineStr">
        <is>
          <t>2026-10-01</t>
        </is>
      </c>
      <c r="B48" s="4" t="inlineStr">
        <is>
          <t>ga-verificador-qa</t>
        </is>
      </c>
      <c r="C48" s="8" t="inlineStr">
        <is>
          <t>6.15, 6.21</t>
        </is>
      </c>
      <c r="D48" s="7" t="inlineStr">
        <is>
          <t>E2E al día pero sin ejecutar: Bloqueado</t>
        </is>
      </c>
      <c r="E48" s="7" t="inlineStr">
        <is>
          <t>y-tanda2.spec.ts y ajustes de e2e (370 pruebas listadas, tsc y eslint en verde). Docker se cayó: Sebas reinicia Docker, db reset y corre Playwright.</t>
        </is>
      </c>
    </row>
    <row r="49">
      <c r="A49" s="8" t="inlineStr">
        <is>
          <t>2026-09-30</t>
        </is>
      </c>
      <c r="B49" s="4" t="inlineStr">
        <is>
          <t>ga-diseno-a-codigo</t>
        </is>
      </c>
      <c r="C49" s="8" t="inlineStr">
        <is>
          <t>4.7, 4.8, 5.6</t>
        </is>
      </c>
      <c r="D49" s="7" t="inlineStr">
        <is>
          <t>Pantallas Resumen y /cuenta/solicitar en código</t>
        </is>
      </c>
      <c r="E49" s="7" t="inlineStr">
        <is>
          <t>4.7 y 4.8 En curso: falta estado_proceso y desembolsos del mes en las RPC y decisión P-111. tsc, lint, vitest y build en verde.</t>
        </is>
      </c>
    </row>
    <row r="50">
      <c r="A50" s="8" t="inlineStr">
        <is>
          <t>2026-09-30</t>
        </is>
      </c>
      <c r="B50" s="4" t="inlineStr">
        <is>
          <t>ga-funcionalidad-botones</t>
        </is>
      </c>
      <c r="C50" s="8" t="inlineStr">
        <is>
          <t>2.11, 4.3, 4.7, 4.8</t>
        </is>
      </c>
      <c r="D50" s="7" t="inlineStr">
        <is>
          <t>F-01 corregido, revalidación de /cuenta y loaders de métricas</t>
        </is>
      </c>
      <c r="E50" s="7" t="inlineStr">
        <is>
          <t>2.11 y 4.3 Hecho. Afiliación guarda version_politica_datos; loaders cargarMetricasAdmin/Asesor con 8 pruebas (523 vitest en verde).</t>
        </is>
      </c>
    </row>
    <row r="51">
      <c r="A51" s="8" t="inlineStr">
        <is>
          <t>2026-09-30</t>
        </is>
      </c>
      <c r="B51" s="4" t="inlineStr">
        <is>
          <t>ga-auditor-supabase</t>
        </is>
      </c>
      <c r="C51" s="8" t="inlineStr">
        <is>
          <t>P-55, 4.7, 4.8, 6.23</t>
        </is>
      </c>
      <c r="D51" s="7" t="inlineStr">
        <is>
          <t>Migración 20261001000000 y pgTAP 20</t>
        </is>
      </c>
      <c r="E51" s="7" t="inlineStr">
        <is>
          <t>version_politica_datos sellada, revoke de limites_intentos_id_seq, RPC de métricas solo con conteos; 16 pruebas en verde. Sin aplicar: nueva 6.23/P-110. Listas blancas pgTAP: P-112.</t>
        </is>
      </c>
    </row>
    <row r="52">
      <c r="A52" s="8" t="inlineStr">
        <is>
          <t>2026-09-30</t>
        </is>
      </c>
      <c r="B52" s="4" t="inlineStr">
        <is>
          <t>ga-disenador-lienzo</t>
        </is>
      </c>
      <c r="C52" s="8" t="inlineStr">
        <is>
          <t>4.7, 4.8, 5.6</t>
        </is>
      </c>
      <c r="D52" s="7" t="inlineStr">
        <is>
          <t>Lienzo 3r, 3s, 3t</t>
        </is>
      </c>
      <c r="E52" s="7" t="inlineStr">
        <is>
          <t>Dashboards admin y asesor y /cuenta/solicitar maquetados en el lienzo (D-22 a D-24). 5.6 Hecho.</t>
        </is>
      </c>
    </row>
    <row r="53">
      <c r="A53" s="8" t="inlineStr">
        <is>
          <t>2026-09-30</t>
        </is>
      </c>
      <c r="B53" s="4" t="inlineStr">
        <is>
          <t>ga-funcionalidad-botones</t>
        </is>
      </c>
      <c r="C53" s="8" t="inlineStr">
        <is>
          <t>P-81 (política v1.0)</t>
        </is>
      </c>
      <c r="D53" s="7" t="inlineStr">
        <is>
          <t>Política de datos v1.0 publicada en código</t>
        </is>
      </c>
      <c r="E53" s="7" t="inlineStr">
        <is>
          <t>/politica-de-datos con 28 secciones, anexo, índice, aviso de revisión jurídica en 7.3, 8 y 18 y botón PDF. Por definir: horario, órgano y acta de aprobación.</t>
        </is>
      </c>
    </row>
    <row r="54">
      <c r="A54" s="8" t="inlineStr">
        <is>
          <t>2026-09-30</t>
        </is>
      </c>
      <c r="B54" s="4" t="inlineStr">
        <is>
          <t>sesión principal (Sebas)</t>
        </is>
      </c>
      <c r="C54" s="8" t="inlineStr">
        <is>
          <t>6.22; P-20, P-21, P-43, P-45, P-105</t>
        </is>
      </c>
      <c r="D54" s="7" t="inlineStr">
        <is>
          <t>Tanda 2 en producción y pendientes de configuración cerrados</t>
        </is>
      </c>
      <c r="E54" s="7" t="inlineStr">
        <is>
          <t>Sebas aplicó las 7 migraciones 20260930200* y fusionó develop→main. Hechos: P-20 (plantilla del código), P-43 (límite de intentos), P-45 (ajustes OTP), P-105 (CRON_SECRET y plantilla del aviso institucional). P-21 cancelado: el límite de Resend no preocupa por ahora. P-54 y P-73 siguen pendientes.</t>
        </is>
      </c>
    </row>
    <row r="55">
      <c r="A55" s="8" t="inlineStr">
        <is>
          <t>2026-09-30</t>
        </is>
      </c>
      <c r="B55" s="4" t="inlineStr">
        <is>
          <t>sesión principal (Sebas)</t>
        </is>
      </c>
      <c r="C55" s="8" t="inlineStr">
        <is>
          <t>5.4, 6.21, 6.22; P-81</t>
        </is>
      </c>
      <c r="D55" s="7" t="inlineStr">
        <is>
          <t>Política v1 en publicación; tanda 2 en develop</t>
        </is>
      </c>
      <c r="E55" s="7" t="inlineStr">
        <is>
          <t>Tanda 2 en develop e4b8350 con 7 migraciones 20260930200* por aplicar y develop a main pendiente (6.22). Política v1 del Dr. Breinner con 7.3, 8 y 18 en revisión. E2E desactualizadas (6.21). Copia de seguridad de producción del 30-sep.</t>
        </is>
      </c>
    </row>
    <row r="56">
      <c r="A56" s="8" t="inlineStr">
        <is>
          <t>2026-09-30</t>
        </is>
      </c>
      <c r="B56" s="4" t="inlineStr">
        <is>
          <t>ga-diseno-a-codigo</t>
        </is>
      </c>
      <c r="C56" s="8" t="inlineStr">
        <is>
          <t>5.13</t>
        </is>
      </c>
      <c r="D56" s="7" t="inlineStr">
        <is>
          <t>Medios en el detalle de convenios</t>
        </is>
      </c>
      <c r="E56" s="7" t="inlineStr">
        <is>
          <t>Videos y PDF de Racing Tours mapeados por NIT en lib/convenios.ts; develop 4357939 (video de Locos en politica-datos-v1).</t>
        </is>
      </c>
    </row>
    <row r="57">
      <c r="A57" s="8" t="inlineStr">
        <is>
          <t>2026-09-30</t>
        </is>
      </c>
      <c r="B57" s="4" t="inlineStr">
        <is>
          <t>ga-auditor-supabase</t>
        </is>
      </c>
      <c r="C57" s="8" t="inlineStr">
        <is>
          <t>4.14, 6.22</t>
        </is>
      </c>
      <c r="D57" s="7" t="inlineStr">
        <is>
          <t>SP remapeado a IJ (§12.14)</t>
        </is>
      </c>
      <c r="E57" s="7" t="inlineStr">
        <is>
          <t>En la migración 20260930200100 (sin aplicar); R-10/R-11 decididos; pgTAP, db reset y vitest en verde.</t>
        </is>
      </c>
    </row>
    <row r="58">
      <c r="A58" s="8" t="inlineStr">
        <is>
          <t>2026-09-30</t>
        </is>
      </c>
      <c r="B58" s="7" t="inlineStr">
        <is>
          <t>ga-disenador-lienzo + ga-auditor-supabase + ga-funcionalidad-botones + ga-diseno-a-codigo</t>
        </is>
      </c>
      <c r="C58" s="8" t="inlineStr">
        <is>
          <t>4.14, 6.21, 6.22, 5.11, 5.12</t>
        </is>
      </c>
      <c r="D58" s="7" t="inlineStr">
        <is>
          <t>Tanda 2 (§12) hecha en local</t>
        </is>
      </c>
      <c r="E58" s="7" t="inlineStr">
        <is>
          <t>Lienzo 3q, migraciones 20260930200000–200600 (pgTAP 464/464), acciones y UI (vitest 516, build en verde). Sin aplicar en producción. Backlog §12.12 agregado.</t>
        </is>
      </c>
    </row>
    <row r="59">
      <c r="A59" s="8" t="inlineStr">
        <is>
          <t>2026-09-30</t>
        </is>
      </c>
      <c r="B59" s="4" t="inlineStr">
        <is>
          <t>ga-enlace-cooperativa</t>
        </is>
      </c>
      <c r="C59" s="8" t="inlineStr">
        <is>
          <t>P-14, P-47, P-76..P-80, P-90..P-93, P-97; P-106</t>
        </is>
      </c>
      <c r="D59" s="7" t="inlineStr">
        <is>
          <t>Respuestas de la cooperativa</t>
        </is>
      </c>
      <c r="E59" s="7" t="inlineStr">
        <is>
          <t>docs/cooperativa/preguntas.md. R-10 y R-11 cerrados por Sebas (§12.14, SP a IJ); abierta R-09.</t>
        </is>
      </c>
    </row>
    <row r="60">
      <c r="A60" s="8" t="inlineStr">
        <is>
          <t>2026-09-30</t>
        </is>
      </c>
      <c r="B60" s="4" t="inlineStr">
        <is>
          <t>sesión principal (Sebas)</t>
        </is>
      </c>
      <c r="C60" s="8" t="inlineStr">
        <is>
          <t>1.8, 6.20, 5.10, 4.7, 4.8, 5.9, 6.14, 6.15; P-104, P-46, P-75, P-69, P-72, P-73</t>
        </is>
      </c>
      <c r="D60" s="7" t="inlineStr">
        <is>
          <t>C+ y tanda 1 de Ricardo en producción; Carlos sale</t>
        </is>
      </c>
      <c r="E60" s="7" t="inlineStr">
        <is>
          <t>PR develop a main de C+ fusionado; PR #5 fusionado y 19 migraciones aplicadas. Asesores Miguel Rueda, Rafael González y Nany Barón creados. Vercel Pro (cron cada hora). Carlos Pardo no sigue: se le pagan 150.000 COP; sus tareas pasan a agentes/Sebas (5.10 ya hecha).</t>
        </is>
      </c>
    </row>
    <row r="61">
      <c r="A61" s="8" t="inlineStr">
        <is>
          <t>2026-09-30</t>
        </is>
      </c>
      <c r="B61" s="4" t="inlineStr">
        <is>
          <t>ga-correos</t>
        </is>
      </c>
      <c r="C61" s="8" t="inlineStr">
        <is>
          <t>4.13; P-105</t>
        </is>
      </c>
      <c r="D61" s="7" t="inlineStr">
        <is>
          <t>Plantilla ga-aviso-institucional</t>
        </is>
      </c>
      <c r="E61" s="7" t="inlineStr">
        <is>
          <t>docs/resend/aviso-institucional.*; falta publicarla y crear la variable en Vercel.</t>
        </is>
      </c>
    </row>
    <row r="62">
      <c r="A62" s="8" t="inlineStr">
        <is>
          <t>2026-09-30</t>
        </is>
      </c>
      <c r="B62" s="4" t="inlineStr">
        <is>
          <t>ga-revisor-seguridad</t>
        </is>
      </c>
      <c r="C62" s="8" t="inlineStr">
        <is>
          <t>6.2, 4.13</t>
        </is>
      </c>
      <c r="D62" s="7" t="inlineStr">
        <is>
          <t>Dos pasadas de seguridad</t>
        </is>
      </c>
      <c r="E62" s="7" t="inlineStr">
        <is>
          <t>RS-01 a RS-22 sobre migraciones y pantallas de Ricardo. 6.2 sigue En curso (depende de 4.3).</t>
        </is>
      </c>
    </row>
    <row r="63">
      <c r="A63" s="8" t="inlineStr">
        <is>
          <t>2026-09-30</t>
        </is>
      </c>
      <c r="B63" s="4" t="inlineStr">
        <is>
          <t>ga-diseno-a-codigo</t>
        </is>
      </c>
      <c r="C63" s="8" t="inlineStr">
        <is>
          <t>4.13</t>
        </is>
      </c>
      <c r="D63" s="7" t="inlineStr">
        <is>
          <t>UI 3j–3p</t>
        </is>
      </c>
      <c r="E63" s="7" t="inlineStr">
        <is>
          <t>Pantallas y revisión de diseño A1–A3.</t>
        </is>
      </c>
    </row>
    <row r="64">
      <c r="A64" s="8" t="inlineStr">
        <is>
          <t>2026-09-30</t>
        </is>
      </c>
      <c r="B64" s="4" t="inlineStr">
        <is>
          <t>ga-funcionalidad-botones</t>
        </is>
      </c>
      <c r="C64" s="8" t="inlineStr">
        <is>
          <t>4.13</t>
        </is>
      </c>
      <c r="D64" s="7" t="inlineStr">
        <is>
          <t>Lógica y datos de 3j–3p y correcciones de seguridad</t>
        </is>
      </c>
      <c r="E64" s="7" t="inlineStr">
        <is>
          <t>RS-01..RS-22 de código, limpieza de fotos por RPC (5.10), aviso institucional siempre. vitest 503, build en verde.</t>
        </is>
      </c>
    </row>
    <row r="65">
      <c r="A65" s="8" t="inlineStr">
        <is>
          <t>2026-09-30</t>
        </is>
      </c>
      <c r="B65" s="4" t="inlineStr">
        <is>
          <t>ga-disenador-lienzo</t>
        </is>
      </c>
      <c r="C65" s="8" t="inlineStr">
        <is>
          <t>4.12</t>
        </is>
      </c>
      <c r="D65" s="7" t="inlineStr">
        <is>
          <t>Lienzo 3j–3p</t>
        </is>
      </c>
      <c r="E65" s="7" t="inlineStr">
        <is>
          <t>Piezas 3j–3n, 3o/3p (D-15, D-16) y revisión de fidelidad.</t>
        </is>
      </c>
    </row>
    <row r="66">
      <c r="A66" s="8" t="inlineStr">
        <is>
          <t>2026-09-30</t>
        </is>
      </c>
      <c r="B66" s="4" t="inlineStr">
        <is>
          <t>ga-auditor-supabase</t>
        </is>
      </c>
      <c r="C66" s="8" t="inlineStr">
        <is>
          <t>4.12; P-46</t>
        </is>
      </c>
      <c r="D66" s="7" t="inlineStr">
        <is>
          <t>Migraciones tanda 1 de Ricardo (29/30-sep)</t>
        </is>
      </c>
      <c r="E66" s="7" t="inlineStr">
        <is>
          <t>20260929100000..100700, 20260930100000..100500: grados, nómina, proceso ejecutivo, alertas, comisiones con pagos editables, tasa oculta (P-100), crédito solo en «operando», segunda pasada RS-17/18/20/21. pgTAP en verde.</t>
        </is>
      </c>
    </row>
    <row r="67">
      <c r="A67" s="8" t="inlineStr">
        <is>
          <t>2026-09-29</t>
        </is>
      </c>
      <c r="B67" s="4" t="inlineStr">
        <is>
          <t>sesión principal</t>
        </is>
      </c>
      <c r="C67" s="8" t="inlineStr">
        <is>
          <t>4.7, 4.8, 5.9, 5.10, 6.14, 6.15; P-69, P-72</t>
        </is>
      </c>
      <c r="D67" s="7" t="inlineStr">
        <is>
          <t>Primera entrega de Carlos Pardo revisada: NO fusionable</t>
        </is>
      </c>
      <c r="E67"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68">
      <c r="A68" s="8" t="inlineStr">
        <is>
          <t>2026-09-29</t>
        </is>
      </c>
      <c r="B68" s="4" t="inlineStr">
        <is>
          <t>sesión principal</t>
        </is>
      </c>
      <c r="C68" s="8" t="inlineStr">
        <is>
          <t>6.18; nuevo P-104</t>
        </is>
      </c>
      <c r="D68" s="7" t="inlineStr">
        <is>
          <t>Push y fusión de rediseno-c-plus a develop autorizados por Sebas; 6.18 pasa a Hecho</t>
        </is>
      </c>
      <c r="E68"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69">
      <c r="A69" s="8" t="inlineStr">
        <is>
          <t>2026-09-29</t>
        </is>
      </c>
      <c r="B69" s="4" t="inlineStr">
        <is>
          <t>ga-verificador-qa</t>
        </is>
      </c>
      <c r="C69" s="8" t="inlineStr">
        <is>
          <t>6.18 (verificación pre-commit de rediseno-c-plus)</t>
        </is>
      </c>
      <c r="D69" s="7" t="inlineStr">
        <is>
          <t>Suite e2e completa 290/290 tras independizar las pruebas del crédito de ejemplo</t>
        </is>
      </c>
      <c r="E69"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70">
      <c r="A70" s="8" t="inlineStr">
        <is>
          <t>2026-09-27</t>
        </is>
      </c>
      <c r="B70" s="4" t="inlineStr">
        <is>
          <t>sesión principal</t>
        </is>
      </c>
      <c r="C70" s="8" t="inlineStr">
        <is>
          <t>2.14; P-103</t>
        </is>
      </c>
      <c r="D70" s="7" t="inlineStr">
        <is>
          <t>Se quita la sección de testimonios de la landing (decisión de Sebas)</t>
        </is>
      </c>
      <c r="E70" s="7" t="inlineStr">
        <is>
          <t>Commit 4c63924: sección de testimonios (que estaba oculta desde P-102 por tener textos de ejemplo) eliminada de la landing por decisión de Sebas. P-103 (D-07, ¿se mantiene la sección?) cierra Hecho con esa decisión: no se mantiene.</t>
        </is>
      </c>
    </row>
    <row r="71">
      <c r="A71" s="8" t="inlineStr">
        <is>
          <t>2026-09-27</t>
        </is>
      </c>
      <c r="B71" s="4" t="inlineStr">
        <is>
          <t>sesión principal</t>
        </is>
      </c>
      <c r="C71" s="8" t="inlineStr">
        <is>
          <t>4.11; P-95, P-96</t>
        </is>
      </c>
      <c r="D71" s="7" t="inlineStr">
        <is>
          <t>Sebas aprueba P-95 y P-96; ambos pasan a Hecho</t>
        </is>
      </c>
      <c r="E71"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72">
      <c r="A72" s="8" t="inlineStr">
        <is>
          <t>2026-09-27</t>
        </is>
      </c>
      <c r="B72" s="4" t="inlineStr">
        <is>
          <t>ga-disenador-lienzo</t>
        </is>
      </c>
      <c r="C72" s="8" t="inlineStr">
        <is>
          <t>4.11 (revisión de diseño 3e/3i)</t>
        </is>
      </c>
      <c r="D72" s="7" t="inlineStr">
        <is>
          <t>Revisión de diseño aprobada con cambios menores</t>
        </is>
      </c>
      <c r="E72"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73">
      <c r="A73" s="8" t="inlineStr">
        <is>
          <t>2026-09-27</t>
        </is>
      </c>
      <c r="B73" s="4" t="inlineStr">
        <is>
          <t>ga-diseno-a-codigo</t>
        </is>
      </c>
      <c r="C73" s="8" t="inlineStr">
        <is>
          <t>4.11, P-95, P-96</t>
        </is>
      </c>
      <c r="D73" s="7" t="inlineStr">
        <is>
          <t>WhatsApp y bloque «Asesor» maquetados y conectados en código</t>
        </is>
      </c>
      <c r="E73"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74">
      <c r="A74" s="8" t="inlineStr">
        <is>
          <t>2026-09-27</t>
        </is>
      </c>
      <c r="B74" s="4" t="inlineStr">
        <is>
          <t>ga-funcionalidad-botones</t>
        </is>
      </c>
      <c r="C74" s="8" t="inlineStr">
        <is>
          <t>4.11, P-96</t>
        </is>
      </c>
      <c r="D74" s="7" t="inlineStr">
        <is>
          <t>Server Action asignarAsesor lista en el servidor</t>
        </is>
      </c>
      <c r="E74"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75">
      <c r="A75" s="8" t="inlineStr">
        <is>
          <t>2026-09-27</t>
        </is>
      </c>
      <c r="B75" s="4" t="inlineStr">
        <is>
          <t>ga-disenador-lienzo</t>
        </is>
      </c>
      <c r="C75" s="8" t="inlineStr">
        <is>
          <t>4.11 (D-08, D-09)</t>
        </is>
      </c>
      <c r="D75" s="7" t="inlineStr">
        <is>
          <t>Diseñado el botón WhatsApp habilitado (3e) y el bloque «Asesor» (3i) en el lienzo</t>
        </is>
      </c>
      <c r="E75"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76">
      <c r="A76" s="8" t="inlineStr">
        <is>
          <t>2026-09-27</t>
        </is>
      </c>
      <c r="B76" s="4" t="inlineStr">
        <is>
          <t>sesión principal</t>
        </is>
      </c>
      <c r="C76" s="8" t="inlineStr">
        <is>
          <t>6.18</t>
        </is>
      </c>
      <c r="D76" s="7" t="inlineStr">
        <is>
          <t>Se corrige la dependencia de 6.18: ya no depende de 1.8</t>
        </is>
      </c>
      <c r="E76"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77">
      <c r="A77" s="8" t="inlineStr">
        <is>
          <t>2026-09-27</t>
        </is>
      </c>
      <c r="B77" s="4" t="inlineStr">
        <is>
          <t>sesión principal</t>
        </is>
      </c>
      <c r="C77" s="8" t="inlineStr">
        <is>
          <t>6.17; 3.10, 4.10</t>
        </is>
      </c>
      <c r="D77" s="7" t="inlineStr">
        <is>
          <t>Correcciones responsive del C+ (commit b0239a8): barra inferior siempre visible en vez de oculta hasta el primer scroll</t>
        </is>
      </c>
      <c r="E77"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78">
      <c r="A78" s="8" t="inlineStr">
        <is>
          <t>2026-09-27</t>
        </is>
      </c>
      <c r="B78" s="4" t="inlineStr">
        <is>
          <t>sesión principal</t>
        </is>
      </c>
      <c r="C78" s="8" t="inlineStr">
        <is>
          <t>4.11; 6.17</t>
        </is>
      </c>
      <c r="D78" s="7" t="inlineStr">
        <is>
          <t>Hallazgo 0 corregido en producción del rediseño (commit 846657b): colores del admin oscuro en su propio grupo de Tailwind</t>
        </is>
      </c>
      <c r="E78"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79">
      <c r="A79" s="8" t="inlineStr">
        <is>
          <t>2026-09-27</t>
        </is>
      </c>
      <c r="B79" s="4" t="inlineStr">
        <is>
          <t>ga-diseno-a-codigo</t>
        </is>
      </c>
      <c r="C79" s="8" t="inlineStr">
        <is>
          <t>6.17</t>
        </is>
      </c>
      <c r="D79" s="7" t="inlineStr">
        <is>
          <t>Corregidos todos los hallazgos del informe de responsive; 6.17 pasa a Hecho en su parte de código</t>
        </is>
      </c>
      <c r="E79"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80">
      <c r="A80" s="8" t="inlineStr">
        <is>
          <t>2026-09-27</t>
        </is>
      </c>
      <c r="B80" s="4" t="inlineStr">
        <is>
          <t>ga-verificador-responsive</t>
        </is>
      </c>
      <c r="C80" s="8" t="inlineStr">
        <is>
          <t>6.19</t>
        </is>
      </c>
      <c r="D80" s="7" t="inlineStr">
        <is>
          <t>Verificación responsive de punta a punta del rediseño C+; 6.19 pasa a Hecho</t>
        </is>
      </c>
      <c r="E80"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81">
      <c r="A81" s="8" t="inlineStr">
        <is>
          <t>2026-09-27</t>
        </is>
      </c>
      <c r="B81" s="4" t="inlineStr">
        <is>
          <t>sesión principal</t>
        </is>
      </c>
      <c r="C81" s="8" t="inlineStr">
        <is>
          <t>4.11; P-99, P-100, P-101, P-102, P-103</t>
        </is>
      </c>
      <c r="D81" s="7" t="inlineStr">
        <is>
          <t>H1 corregido (tasa de interés fuera del payload de /cuenta) y H2/B-01 cerrados (cédula de las «hermanas» enmascarada en servidor, testimonios de ejemplo ocultos)</t>
        </is>
      </c>
      <c r="E81"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82">
      <c r="A82" s="8" t="inlineStr">
        <is>
          <t>2026-09-27</t>
        </is>
      </c>
      <c r="B82" s="4" t="inlineStr">
        <is>
          <t>ga-verificador-qa</t>
        </is>
      </c>
      <c r="C82" s="8" t="inlineStr">
        <is>
          <t>4.11, P-94, P-71; 6.16 pasa a Hecho; nuevos P-102, P-103</t>
        </is>
      </c>
      <c r="D82" s="7" t="inlineStr">
        <is>
          <t>QA completo del rediseño C+ en verde: 161/162 escritorio, 129/129 celular</t>
        </is>
      </c>
      <c r="E82"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83">
      <c r="A83" s="8" t="inlineStr">
        <is>
          <t>2026-09-27</t>
        </is>
      </c>
      <c r="B83" s="4" t="inlineStr">
        <is>
          <t>ga-revisor-seguridad</t>
        </is>
      </c>
      <c r="C83" s="8" t="inlineStr">
        <is>
          <t>4.11; nuevos P-99, P-100, P-101</t>
        </is>
      </c>
      <c r="D83" s="7" t="inlineStr">
        <is>
          <t>Revisión de seguridad del rediseño C+ aprobada; 2 fugas de datos confirmadas (no introducidas por el rediseño)</t>
        </is>
      </c>
      <c r="E83"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84">
      <c r="A84" s="8" t="inlineStr">
        <is>
          <t>2026-09-27</t>
        </is>
      </c>
      <c r="B84" s="4" t="inlineStr">
        <is>
          <t>ga-funcionalidad-botones</t>
        </is>
      </c>
      <c r="C84" s="8" t="inlineStr">
        <is>
          <t>4.11</t>
        </is>
      </c>
      <c r="D84" s="7" t="inlineStr">
        <is>
          <t>KPIs reales, tope real de grados_credito y nota interna oculta en el admin C+</t>
        </is>
      </c>
      <c r="E84"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85">
      <c r="A85" s="8" t="inlineStr">
        <is>
          <t>2026-09-27</t>
        </is>
      </c>
      <c r="B85" s="4" t="inlineStr">
        <is>
          <t>ga-diseno-a-codigo</t>
        </is>
      </c>
      <c r="C85" s="8" t="inlineStr">
        <is>
          <t>4.11</t>
        </is>
      </c>
      <c r="D85" s="7" t="inlineStr">
        <is>
          <t>Panel del admin C+ en modo oscuro maquetado en código; 4.11 pasa a Hecho</t>
        </is>
      </c>
      <c r="E85"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86">
      <c r="A86" s="8" t="inlineStr">
        <is>
          <t>2026-09-27</t>
        </is>
      </c>
      <c r="B86" s="4" t="inlineStr">
        <is>
          <t>ga-diseno-a-codigo</t>
        </is>
      </c>
      <c r="C86" s="8" t="inlineStr">
        <is>
          <t>4.10; nuevo P-98</t>
        </is>
      </c>
      <c r="D86" s="7" t="inlineStr">
        <is>
          <t>Panel del asesor C+ maquetado en código; 4.10 pasa a Hecho</t>
        </is>
      </c>
      <c r="E86"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87">
      <c r="A87" s="8" t="inlineStr">
        <is>
          <t>2026-09-27</t>
        </is>
      </c>
      <c r="B87" s="4" t="inlineStr">
        <is>
          <t>ga-diseno-a-codigo</t>
        </is>
      </c>
      <c r="C87" s="8" t="inlineStr">
        <is>
          <t>3.10</t>
        </is>
      </c>
      <c r="D87" s="7" t="inlineStr">
        <is>
          <t>Panel del asociado C+ maquetado en código; 3.10 pasa a Hecho</t>
        </is>
      </c>
      <c r="E87"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88">
      <c r="A88" s="8" t="inlineStr">
        <is>
          <t>2026-09-25</t>
        </is>
      </c>
      <c r="B88" s="4" t="inlineStr">
        <is>
          <t>ga-diseno-a-codigo</t>
        </is>
      </c>
      <c r="C88" s="8" t="inlineStr">
        <is>
          <t>1.7, 2.15</t>
        </is>
      </c>
      <c r="D88" s="7" t="inlineStr">
        <is>
          <t>Componentes base y maquetación C+ de ingreso/afiliación llevados a código; 2.15 pasa a Hecho</t>
        </is>
      </c>
      <c r="E88"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89">
      <c r="A89" s="8" t="inlineStr">
        <is>
          <t>2026-09-25</t>
        </is>
      </c>
      <c r="B89" s="4" t="inlineStr">
        <is>
          <t>ga-disenador-lienzo</t>
        </is>
      </c>
      <c r="C89" s="8" t="inlineStr">
        <is>
          <t>3.10, 4.10, 4.11</t>
        </is>
      </c>
      <c r="D89" s="7" t="inlineStr">
        <is>
          <t>Lienzo C+ completo: piezas 3d (asociado) y 3e–3h (admin)</t>
        </is>
      </c>
      <c r="E89"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90">
      <c r="A90" s="8" t="inlineStr">
        <is>
          <t>2026-09-25</t>
        </is>
      </c>
      <c r="B90" s="4" t="inlineStr">
        <is>
          <t>ga-diseno-a-codigo</t>
        </is>
      </c>
      <c r="C90" s="8" t="inlineStr">
        <is>
          <t>1.7, 2.14; nuevo 6.16</t>
        </is>
      </c>
      <c r="D90" s="7" t="inlineStr">
        <is>
          <t>Tokens y landing del rediseño C+ llevados a código</t>
        </is>
      </c>
      <c r="E90"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91">
      <c r="A91" s="8" t="inlineStr">
        <is>
          <t>2026-09-25</t>
        </is>
      </c>
      <c r="B91" s="4" t="inlineStr">
        <is>
          <t>ga-disenador-lienzo</t>
        </is>
      </c>
      <c r="C91" s="8" t="inlineStr">
        <is>
          <t>1.7, 2.15, 3.10, 4.10, 4.11</t>
        </is>
      </c>
      <c r="D91" s="7" t="inlineStr">
        <is>
          <t>Lienzo C+ ampliado: design system, Ingreso y Afiliación (piezas 3a/3b/3c)</t>
        </is>
      </c>
      <c r="E91"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92">
      <c r="A92" s="8" t="inlineStr">
        <is>
          <t>2026-09-25</t>
        </is>
      </c>
      <c r="B92" s="4" t="inlineStr">
        <is>
          <t>ga-auditor-supabase</t>
        </is>
      </c>
      <c r="C92" s="8" t="inlineStr">
        <is>
          <t>1.8; P-47, P-90, P-91, P-92</t>
        </is>
      </c>
      <c r="D92" s="7" t="inlineStr">
        <is>
          <t>Auditoría de backend para el rediseño C+: 5 migraciones propuestas sin aplicar</t>
        </is>
      </c>
      <c r="E92"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93">
      <c r="A93" s="8" t="inlineStr">
        <is>
          <t>2026-09-25</t>
        </is>
      </c>
      <c r="B93" s="7" t="inlineStr">
        <is>
          <t>sesión principal (despliegue PR #2)</t>
        </is>
      </c>
      <c r="C93" s="8" t="inlineStr">
        <is>
          <t>4.9; P-83, P-84, P-85, P-89</t>
        </is>
      </c>
      <c r="D93" s="7" t="inlineStr">
        <is>
          <t>Despliegue confirmado en producción: 4.9, P-83, P-84, P-85 y P-89 pasan a Hecho</t>
        </is>
      </c>
      <c r="E93"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94">
      <c r="A94" s="8" t="inlineStr">
        <is>
          <t>2026-09-25</t>
        </is>
      </c>
      <c r="B94" s="7" t="inlineStr">
        <is>
          <t>sesión principal (coordinador)</t>
        </is>
      </c>
      <c r="C94" s="8" t="inlineStr">
        <is>
          <t>4.9; P-83, P-84, P-85, P-89; 6.15</t>
        </is>
      </c>
      <c r="D94" s="7" t="inlineStr">
        <is>
          <t>Cuenta demo para admin, máscara de correo sin dominio y cierre de P-86/P-87</t>
        </is>
      </c>
      <c r="E94"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95">
      <c r="A95" s="8" t="inlineStr">
        <is>
          <t>2026-09-25</t>
        </is>
      </c>
      <c r="B95" s="4" t="inlineStr">
        <is>
          <t>sesión principal</t>
        </is>
      </c>
      <c r="C95" s="8" t="inlineStr">
        <is>
          <t>5.3; P-13</t>
        </is>
      </c>
      <c r="D95" s="7" t="inlineStr">
        <is>
          <t>Texto de vigilancia de Supersolidaria confirmado</t>
        </is>
      </c>
      <c r="E95"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96">
      <c r="A96" s="8" t="inlineStr">
        <is>
          <t>2026-09-25</t>
        </is>
      </c>
      <c r="B96" s="4" t="inlineStr">
        <is>
          <t>ga-verificador-qa</t>
        </is>
      </c>
      <c r="C96" s="8" t="inlineStr">
        <is>
          <t>6.3; nuevos P-84, P-86, P-87</t>
        </is>
      </c>
      <c r="D96" s="7" t="inlineStr">
        <is>
          <t>QA de producción: con observaciones</t>
        </is>
      </c>
      <c r="E96"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97">
      <c r="A97" s="8" t="inlineStr">
        <is>
          <t>2026-09-25</t>
        </is>
      </c>
      <c r="B97" s="4" t="inlineStr">
        <is>
          <t>sesión principal</t>
        </is>
      </c>
      <c r="C97" s="8" t="inlineStr">
        <is>
          <t>2.12; nuevo P-85</t>
        </is>
      </c>
      <c r="D97" s="7" t="inlineStr">
        <is>
          <t>El formulario de afiliación acepta correo de cualquier dominio</t>
        </is>
      </c>
      <c r="E97"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98">
      <c r="A98" s="8" t="inlineStr">
        <is>
          <t>2026-09-25</t>
        </is>
      </c>
      <c r="B98" s="4" t="inlineStr">
        <is>
          <t>ga-revisor-seguridad</t>
        </is>
      </c>
      <c r="C98" s="8" t="inlineStr">
        <is>
          <t>6.2; nuevos P-83, P-88</t>
        </is>
      </c>
      <c r="D98" s="7" t="inlineStr">
        <is>
          <t>Revisión de seguridad final de producción: aprobado con observaciones</t>
        </is>
      </c>
      <c r="E98"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99">
      <c r="A99" s="8" t="inlineStr">
        <is>
          <t>2026-09-25</t>
        </is>
      </c>
      <c r="B99" s="7" t="inlineStr">
        <is>
          <t>sesión principal (coordinador)</t>
        </is>
      </c>
      <c r="C99" s="8" t="inlineStr">
        <is>
          <t>6.5, 6.13; P-59, P-64; nuevo P-82</t>
        </is>
      </c>
      <c r="D99" s="7" t="inlineStr">
        <is>
          <t>PR develop → main fusionado; fase 2 desplegada en producción</t>
        </is>
      </c>
      <c r="E99"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100">
      <c r="A100" s="8" t="inlineStr">
        <is>
          <t>2026-09-25</t>
        </is>
      </c>
      <c r="B100" s="7" t="inlineStr">
        <is>
          <t>sesión principal (coordinador)</t>
        </is>
      </c>
      <c r="C100" s="8" t="inlineStr">
        <is>
          <t>6.9, 6.13; P-44, P-59, P-61</t>
        </is>
      </c>
      <c r="D100" s="7" t="inlineStr">
        <is>
          <t>Migraciones de fase 2 aplicadas en producción; plantillas de Resend y variables de Vercel puestas</t>
        </is>
      </c>
      <c r="E100"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101">
      <c r="A101" s="8" t="inlineStr">
        <is>
          <t>2026-09-24</t>
        </is>
      </c>
      <c r="B101" s="7" t="inlineStr">
        <is>
          <t>sesión principal (coordinador)</t>
        </is>
      </c>
      <c r="C101" s="8" t="inlineStr">
        <is>
          <t>5.4, P-14, P-61, P-62, P-72; nuevos P-75 a P-81</t>
        </is>
      </c>
      <c r="D101" s="7" t="inlineStr">
        <is>
          <t>Borrador de la política de datos y plantillas de Resend listas; Test QA borrado y dominio conectado</t>
        </is>
      </c>
      <c r="E101"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102">
      <c r="A102" s="8" t="inlineStr">
        <is>
          <t>2026-09-24</t>
        </is>
      </c>
      <c r="B102" s="7" t="inlineStr">
        <is>
          <t>Sebas (acuerdo con Carlos Pardo)</t>
        </is>
      </c>
      <c r="C102" s="8" t="inlineStr">
        <is>
          <t>4.1, 4.7, 4.8, 5.9, 5.10, 6.14, 6.15; P-65 a P-74</t>
        </is>
      </c>
      <c r="D102" s="7" t="inlineStr">
        <is>
          <t>Corrección de 4.1 y encargo externo a Carlos Pardo (500.000 COP) por PR a develop</t>
        </is>
      </c>
      <c r="E102"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103">
      <c r="A103" s="8" t="inlineStr">
        <is>
          <t>2026-09-24</t>
        </is>
      </c>
      <c r="B103" s="4" t="inlineStr">
        <is>
          <t>ga-escritor-tests</t>
        </is>
      </c>
      <c r="C103" s="8" t="inlineStr">
        <is>
          <t>6.1, P-58</t>
        </is>
      </c>
      <c r="D103" s="7" t="inlineStr">
        <is>
          <t>tests/e2e/d-afiliacion.spec.ts reescrito para la afiliación v2; bug real encontrado en esquemaAfiliacion</t>
        </is>
      </c>
      <c r="E103"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104">
      <c r="A104" s="8" t="inlineStr">
        <is>
          <t>2026-09-24</t>
        </is>
      </c>
      <c r="B104" s="7" t="inlineStr">
        <is>
          <t>Sebas (coordinación con la cooperativa)</t>
        </is>
      </c>
      <c r="C104" s="8" t="inlineStr">
        <is>
          <t>5.3; P-10, P-11, P-12, P-17, P-18, P-38, P-44</t>
        </is>
      </c>
      <c r="D104" s="7" t="inlineStr">
        <is>
          <t>Datos reales de contacto entregados; se cancela la importación de Excel; 3 admins reales en producción</t>
        </is>
      </c>
      <c r="E104"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105">
      <c r="A105" s="8" t="inlineStr">
        <is>
          <t>2026-09-24</t>
        </is>
      </c>
      <c r="B105" s="4" t="inlineStr">
        <is>
          <t>ga-funcionalidad-botones</t>
        </is>
      </c>
      <c r="C105" s="8" t="inlineStr">
        <is>
          <t>2.12, 4.1, 4.2, 4.5, 4.6, 6.2; P-36, P-37</t>
        </is>
      </c>
      <c r="D105" s="7" t="inlineStr">
        <is>
          <t>Afiliación v2, panel /admin y correcciones de la auditoría y la revisión de seguridad (F2-01/F2-04, S-01 a S-14)</t>
        </is>
      </c>
      <c r="E105"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106">
      <c r="A106" s="8" t="inlineStr">
        <is>
          <t>2026-09-24</t>
        </is>
      </c>
      <c r="B106" s="4" t="inlineStr">
        <is>
          <t>ga-revisor-seguridad</t>
        </is>
      </c>
      <c r="C106" s="8" t="inlineStr">
        <is>
          <t>6.2</t>
        </is>
      </c>
      <c r="D106" s="7" t="inlineStr">
        <is>
          <t>Revisión de seguridad de fase 2: 3 bloqueos para el despliegue</t>
        </is>
      </c>
      <c r="E106"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107">
      <c r="A107" s="8" t="inlineStr">
        <is>
          <t>2026-09-24</t>
        </is>
      </c>
      <c r="B107" s="4" t="inlineStr">
        <is>
          <t>ga-auditor-supabase</t>
        </is>
      </c>
      <c r="C107" s="8" t="inlineStr">
        <is>
          <t>1.6</t>
        </is>
      </c>
      <c r="D107" s="7" t="inlineStr">
        <is>
          <t>Auditoría de las 6 migraciones de fase 2: 1 hallazgo alto, 3 migraciones correctivas propuestas</t>
        </is>
      </c>
      <c r="E107"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108">
      <c r="A108" s="8" t="inlineStr">
        <is>
          <t>2026-09-24</t>
        </is>
      </c>
      <c r="B108" s="4" t="inlineStr">
        <is>
          <t>ga-funcionalidad-botones</t>
        </is>
      </c>
      <c r="C108" s="8" t="inlineStr">
        <is>
          <t>3.9</t>
        </is>
      </c>
      <c r="D108" s="7" t="inlineStr">
        <is>
          <t>Sorteo mensual en /cuenta</t>
        </is>
      </c>
      <c r="E108"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109">
      <c r="A109" s="8" t="inlineStr">
        <is>
          <t>2026-09-24</t>
        </is>
      </c>
      <c r="B109" s="4" t="inlineStr">
        <is>
          <t>ga-funcionalidad-botones</t>
        </is>
      </c>
      <c r="C109" s="8" t="inlineStr">
        <is>
          <t>4.6; P-57</t>
        </is>
      </c>
      <c r="D109" s="7" t="inlineStr">
        <is>
          <t>Rol asesor: /asesor (mis clientes) y /asesor/demo</t>
        </is>
      </c>
      <c r="E109"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110">
      <c r="A110" s="8" t="inlineStr">
        <is>
          <t>2026-09-24</t>
        </is>
      </c>
      <c r="B110" s="4" t="inlineStr">
        <is>
          <t>ga-auditor-supabase</t>
        </is>
      </c>
      <c r="C110" s="8" t="inlineStr">
        <is>
          <t>1.5; P-63</t>
        </is>
      </c>
      <c r="D110" s="7" t="inlineStr">
        <is>
          <t>Modelo de datos de fase 2: rol asesor, afiliación v2, bucket de fotos y sorteo mensual</t>
        </is>
      </c>
      <c r="E110"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111">
      <c r="A111" s="8" t="inlineStr">
        <is>
          <t>2026-09-23</t>
        </is>
      </c>
      <c r="B111" s="7" t="inlineStr">
        <is>
          <t>ga-funcionalidad-botones + ga-diseno-a-codigo</t>
        </is>
      </c>
      <c r="C111" s="8" t="inlineStr">
        <is>
          <t>6.3</t>
        </is>
      </c>
      <c r="D111" s="7" t="inlineStr">
        <is>
          <t>Corregidos F-01 a F-08 de verificación 3 y los 8 hallazgos responsive</t>
        </is>
      </c>
      <c r="E111"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112">
      <c r="A112" s="8" t="inlineStr">
        <is>
          <t>2026-09-23</t>
        </is>
      </c>
      <c r="B112" s="7" t="inlineStr">
        <is>
          <t>ga-verificador-responsive + ga-verificador-qa</t>
        </is>
      </c>
      <c r="C112" s="8" t="inlineStr">
        <is>
          <t>6.3; P-39</t>
        </is>
      </c>
      <c r="D112" s="7" t="inlineStr">
        <is>
          <t>Responsive 3 (8 hallazgos menores) y QA E2E 3 (236/241, NO APROBADO)</t>
        </is>
      </c>
      <c r="E112"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113">
      <c r="A113" s="8" t="inlineStr">
        <is>
          <t>2026-09-23</t>
        </is>
      </c>
      <c r="B113" s="4" t="inlineStr">
        <is>
          <t>ga-verificador-responsive</t>
        </is>
      </c>
      <c r="C113" s="8" t="inlineStr">
        <is>
          <t>6.3, 5.2, 5.8; P-39, P-53</t>
        </is>
      </c>
      <c r="D113" s="7" t="inlineStr">
        <is>
          <t>Verificación responsive 2: 0 fallas en 13 anchos; tests/responsive 10/10</t>
        </is>
      </c>
      <c r="E113"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114">
      <c r="A114" s="8" t="inlineStr">
        <is>
          <t>2026-09-23</t>
        </is>
      </c>
      <c r="B114" s="4" t="inlineStr">
        <is>
          <t>ga-funcionalidad-botones</t>
        </is>
      </c>
      <c r="C114" s="8" t="inlineStr">
        <is>
          <t>3.7, 5.5, 5.6, 6.9, 6.11; P-35, P-40, P-44, P-56</t>
        </is>
      </c>
      <c r="D114" s="7" t="inlineStr">
        <is>
          <t>HMAC en el límite de intentos, crédito en /cuenta/solicitar y borradas /login y /dashboard</t>
        </is>
      </c>
      <c r="E114"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115">
      <c r="A115" s="8" t="inlineStr">
        <is>
          <t>2026-09-23</t>
        </is>
      </c>
      <c r="B115" s="4" t="inlineStr">
        <is>
          <t>ga-diseno-a-codigo</t>
        </is>
      </c>
      <c r="C115" s="8" t="inlineStr">
        <is>
          <t>5.2, 5.8, 6.3</t>
        </is>
      </c>
      <c r="D115" s="7" t="inlineStr">
        <is>
          <t>Corregido el scroll horizontal y marca de agua más tenue</t>
        </is>
      </c>
      <c r="E115" s="7" t="inlineStr">
        <is>
          <t>Enlace del logo encoge (min-w-0 shrink) en los 5 headers; formulario de ingreso w-full con máximo 440 px y relleno de 32 px entre 1024 y 1279 px; marca de agua del hero en la esquina contraria y más tenue. 5.8 queda Hecho (peso 1, depende de 5.2 y 5.7).</t>
        </is>
      </c>
    </row>
    <row r="116">
      <c r="A116" s="8" t="inlineStr">
        <is>
          <t>2026-09-23</t>
        </is>
      </c>
      <c r="B116" s="4" t="inlineStr">
        <is>
          <t>ga-verificador-responsive</t>
        </is>
      </c>
      <c r="C116" s="8" t="inlineStr">
        <is>
          <t>6.3, 5.2, 2.1, 5.8; P-39</t>
        </is>
      </c>
      <c r="D116" s="7" t="inlineStr">
        <is>
          <t>Verificación responsive 1: logo y fotos bien; 2 fallas críticas de scroll previas</t>
        </is>
      </c>
      <c r="E116"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117">
      <c r="A117" s="8" t="inlineStr">
        <is>
          <t>2026-09-23</t>
        </is>
      </c>
      <c r="B117" s="4" t="inlineStr">
        <is>
          <t>ga-diseno-a-codigo</t>
        </is>
      </c>
      <c r="C117" s="8" t="inlineStr">
        <is>
          <t>2.1, 5.3, 5.7; P-16, P-52</t>
        </is>
      </c>
      <c r="D117" s="7" t="inlineStr">
        <is>
          <t>Logo con letras oficiales en SVG y espacios de foto de marca en la landing</t>
        </is>
      </c>
      <c r="E117"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118">
      <c r="A118" s="8" t="inlineStr">
        <is>
          <t>2026-09-23</t>
        </is>
      </c>
      <c r="B118" s="4" t="inlineStr">
        <is>
          <t>ga-auditor-supabase</t>
        </is>
      </c>
      <c r="C118" s="8" t="inlineStr">
        <is>
          <t>6.8, 6.11, 6.12; P-43, P-54, P-55</t>
        </is>
      </c>
      <c r="D118" s="7" t="inlineStr">
        <is>
          <t>Migración limite_de_intentos auditada: se puede aplicar tal cual</t>
        </is>
      </c>
      <c r="E118"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119">
      <c r="A119" s="8" t="inlineStr">
        <is>
          <t>2026-09-23</t>
        </is>
      </c>
      <c r="B119" s="7" t="inlineStr">
        <is>
          <t>Sebas + ga-auditor-supabase</t>
        </is>
      </c>
      <c r="C119" s="8" t="inlineStr">
        <is>
          <t>2.4, 6.8, 6.10; P-09, P-19, P-20, P-43, P-45</t>
        </is>
      </c>
      <c r="D119" s="7" t="inlineStr">
        <is>
          <t>SMTP de Resend configurado, plantilla del código lista en local y blindar confirmada en producción</t>
        </is>
      </c>
      <c r="E119"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120">
      <c r="A120" s="8" t="inlineStr">
        <is>
          <t>2026-09-23</t>
        </is>
      </c>
      <c r="B120" s="4" t="inlineStr">
        <is>
          <t>Sebas</t>
        </is>
      </c>
      <c r="C120" s="8" t="inlineStr">
        <is>
          <t>—</t>
        </is>
      </c>
      <c r="D120" s="7" t="inlineStr">
        <is>
          <t>Agente ga-auditor-supabase corregido</t>
        </is>
      </c>
      <c r="E120" s="7" t="inlineStr">
        <is>
          <t>Sus disallowedTools ahora usan los nombres reales del MCP (mcp__claude_ai_Supabase__*). Sin efecto en el plan.</t>
        </is>
      </c>
    </row>
    <row r="121">
      <c r="A121" s="8" t="inlineStr">
        <is>
          <t>2026-09-23</t>
        </is>
      </c>
      <c r="B121" s="7" t="inlineStr">
        <is>
          <t>Sebas + ga-auditor-supabase</t>
        </is>
      </c>
      <c r="C121" s="8" t="inlineStr">
        <is>
          <t>3.1, 6.5, 6.10; P-09</t>
        </is>
      </c>
      <c r="D121" s="7" t="inlineStr">
        <is>
          <t>Producción atrasada: falta la migración blindar_solicitudes_y_revisiones</t>
        </is>
      </c>
      <c r="E121"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122">
      <c r="A122" s="8" t="inlineStr">
        <is>
          <t>2026-09-23</t>
        </is>
      </c>
      <c r="B122" s="4" t="inlineStr">
        <is>
          <t>ga-escritor-tests</t>
        </is>
      </c>
      <c r="C122" s="8" t="inlineStr">
        <is>
          <t>6.1</t>
        </is>
      </c>
      <c r="D122" s="7" t="inlineStr">
        <is>
          <t>132/132 unitarias, 131/131 pgTAP y tsc sin errores</t>
        </is>
      </c>
      <c r="E122"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123">
      <c r="A123" s="8" t="inlineStr">
        <is>
          <t>2026-09-23</t>
        </is>
      </c>
      <c r="B123" s="7" t="inlineStr">
        <is>
          <t>Sebas + ga-funcionalidad-botones</t>
        </is>
      </c>
      <c r="C123" s="8" t="inlineStr">
        <is>
          <t>2.9, 3.8, 4.5, 6.1, 6.2, 6.9; P-19, P-20, P-28, P-36, P-37, P-44, P-45, P-50, P-51</t>
        </is>
      </c>
      <c r="D123" s="7" t="inlineStr">
        <is>
          <t>Se quitan del código los correos de aviso de afiliación y de solicitud de crédito; docs/resend-plantillas.md reescrito</t>
        </is>
      </c>
      <c r="E123"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124">
      <c r="A124" s="8" t="inlineStr">
        <is>
          <t>2026-09-23</t>
        </is>
      </c>
      <c r="B124" s="4" t="inlineStr">
        <is>
          <t>ga-verificador-qa</t>
        </is>
      </c>
      <c r="C124" s="8" t="inlineStr">
        <is>
          <t>6.3, 2.11; P-39, P-48, P-49, P-50</t>
        </is>
      </c>
      <c r="D124" s="7" t="inlineStr">
        <is>
          <t>QA 1 de punta a punta: 186 pruebas pasan, 2 fallan</t>
        </is>
      </c>
      <c r="E124"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125">
      <c r="A125" s="8" t="inlineStr">
        <is>
          <t>2026-09-23</t>
        </is>
      </c>
      <c r="B125" s="4" t="inlineStr">
        <is>
          <t>ga-funcionalidad-botones</t>
        </is>
      </c>
      <c r="C125" s="8" t="inlineStr">
        <is>
          <t>2.4, 2.5, 2.6, 2.7, 2.8, 2.9, 2.10, 3.5, 3.6, 3.7, 3.8, 5.4, 6.1, 6.5, 6.8, 6.9; P-15, P-20, P-22 a P-35, P-43 a P-47</t>
        </is>
      </c>
      <c r="D125" s="7" t="inlineStr">
        <is>
          <t>Botones de /, /ingresar, /ingresar/codigo, /afiliacion, /afiliacion/enviada y /cuenta funcionando en local</t>
        </is>
      </c>
      <c r="E125"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126">
      <c r="A126" s="8" t="inlineStr">
        <is>
          <t>2026-09-23</t>
        </is>
      </c>
      <c r="B126" s="4" t="inlineStr">
        <is>
          <t>Claude (sesión principal)</t>
        </is>
      </c>
      <c r="C126" s="8" t="inlineStr">
        <is>
          <t>Todas</t>
        </is>
      </c>
      <c r="D126" s="7" t="inlineStr">
        <is>
          <t>Creación del Excel de avances</t>
        </is>
      </c>
      <c r="E126"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2026-10-09T22:49:31Z</dcterms:created>
  <dcterms:modified xsi:type="dcterms:W3CDTF">2026-10-09T22:49:34Z</dcterms:modified>
</cp:coreProperties>
</file>