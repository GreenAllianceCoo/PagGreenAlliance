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Plan" sheetId="3" state="visible" r:id="rId3"/>
    <sheet xmlns:r="http://schemas.openxmlformats.org/officeDocument/2006/relationships" name="Gantt" sheetId="4" state="visible" r:id="rId4"/>
    <sheet xmlns:r="http://schemas.openxmlformats.org/officeDocument/2006/relationships" name="Cola" sheetId="5" state="visible" r:id="rId5"/>
    <sheet xmlns:r="http://schemas.openxmlformats.org/officeDocument/2006/relationships" name="Propuesta original" sheetId="6" state="visible" r:id="rId6"/>
    <sheet xmlns:r="http://schemas.openxmlformats.org/officeDocument/2006/relationships" name="Pesos" sheetId="7" state="visible" r:id="rId7"/>
    <sheet xmlns:r="http://schemas.openxmlformats.org/officeDocument/2006/relationships" name="Bitácora" sheetId="8" state="visible" r:id="rId8"/>
  </sheets>
  <definedNames>
    <definedName name="_xlnm._FilterDatabase" localSheetId="1" hidden="1">'Pendientes'!$A$4:$J$117</definedName>
    <definedName name="_xlnm._FilterDatabase" localSheetId="2" hidden="1">'Plan'!$A$4:$R$88</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2026-10-01.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84</v>
      </c>
      <c r="D6" s="6" t="inlineStr">
        <is>
          <t>Calculado por el optimizador.</t>
        </is>
      </c>
    </row>
    <row r="8">
      <c r="B8" s="3" t="inlineStr">
        <is>
          <t>Indicadores</t>
        </is>
      </c>
    </row>
    <row r="9">
      <c r="B9" s="4" t="inlineStr">
        <is>
          <t>Actividades en el plan</t>
        </is>
      </c>
      <c r="C9" s="9">
        <f>COUNTA(Plan!$A$5:$A$88)</f>
        <v/>
      </c>
    </row>
    <row r="10">
      <c r="B10" s="4" t="inlineStr">
        <is>
          <t>Hechas</t>
        </is>
      </c>
      <c r="C10" s="9">
        <f>COUNTIF(Plan!$O$5:$O$88,"Hecho")</f>
        <v/>
      </c>
    </row>
    <row r="11">
      <c r="B11" s="4" t="inlineStr">
        <is>
          <t>En curso</t>
        </is>
      </c>
      <c r="C11" s="9">
        <f>COUNTIF(Plan!$O$5:$O$88,"En curso")</f>
        <v/>
      </c>
    </row>
    <row r="12">
      <c r="B12" s="4" t="inlineStr">
        <is>
          <t>Pendientes</t>
        </is>
      </c>
      <c r="C12" s="9">
        <f>COUNTIF(Plan!$O$5:$O$88,"Pendiente")</f>
        <v/>
      </c>
    </row>
    <row r="13">
      <c r="B13" s="7" t="inlineStr">
        <is>
          <t>Bloqueadas (esperan a la cooperativa)</t>
        </is>
      </c>
      <c r="C13" s="9">
        <f>COUNTIF(Plan!$O$5:$O$88,"Bloqueado")</f>
        <v/>
      </c>
    </row>
    <row r="14">
      <c r="B14" s="4" t="inlineStr">
        <is>
          <t>Peso total (puntos)</t>
        </is>
      </c>
      <c r="C14" s="9">
        <f>SUM(Plan!$D$5:$D$88)</f>
        <v/>
      </c>
    </row>
    <row r="15">
      <c r="B15" s="4" t="inlineStr">
        <is>
          <t>Peso hecho (puntos)</t>
        </is>
      </c>
      <c r="C15" s="9">
        <f>SUMIF(Plan!$O$5:$O$88,"Hecho",Plan!$D$5:$D$88)</f>
        <v/>
      </c>
    </row>
    <row r="16">
      <c r="B16" s="4" t="inlineStr">
        <is>
          <t>Avance ponderado por peso</t>
        </is>
      </c>
      <c r="C16" s="10">
        <f>IF(C14=0,0,C15/C14)</f>
        <v/>
      </c>
    </row>
    <row r="17">
      <c r="B17" s="7" t="inlineStr">
        <is>
          <t>Duración total optimizada (bloques)</t>
        </is>
      </c>
      <c r="C17" s="9">
        <f>MAX(Plan!$L$5:$L$88)</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IF(C17=0,0,(SUMIF(Plan!$I$5:$I$88,"A",Plan!$E$5:$E$88)+SUMIF(Plan!$I$5:$I$88,"A+B",Plan!$E$5:$E$88))/C17)</f>
        <v/>
      </c>
    </row>
    <row r="24">
      <c r="B24" s="4" t="inlineStr">
        <is>
          <t>Uso de la Fila B</t>
        </is>
      </c>
      <c r="C24" s="12">
        <f>IF(C17=0,0,(SUMIF(Plan!$I$5:$I$88,"B",Plan!$E$5:$E$88)+SUMIF(Plan!$I$5:$I$88,"A+B",Plan!$E$5:$E$88))/C17)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SUMIF(Plan!$B$5:$B$88,"1. Diseño y arquitectura",Plan!$D$5:$D$88)</f>
        <v/>
      </c>
      <c r="D29" s="15">
        <f>SUMIFS(Plan!$D$5:$D$88,Plan!$B$5:$B$88,"1. Diseño y arquitectura",Plan!$O$5:$O$88,"Hecho")</f>
        <v/>
      </c>
      <c r="E29" s="12">
        <f>IF(C29=0,0,D29/C29)</f>
        <v/>
      </c>
      <c r="F29" s="15">
        <f>SUMPRODUCT(MAX((Plan!$B$5:$B$88="1. Diseño y arquitectura")*Plan!$L$5:$L$88))</f>
        <v/>
      </c>
      <c r="G29" s="8">
        <f>"S"&amp;ROUNDUP(F29/$C$5,0)</f>
        <v/>
      </c>
      <c r="H29" s="16">
        <f>'Propuesta original'!E5</f>
        <v/>
      </c>
    </row>
    <row r="30">
      <c r="B30" s="7" t="inlineStr">
        <is>
          <t>2. Landing y autenticación</t>
        </is>
      </c>
      <c r="C30" s="15">
        <f>SUMIF(Plan!$B$5:$B$88,"2. Landing y autenticación",Plan!$D$5:$D$88)</f>
        <v/>
      </c>
      <c r="D30" s="15">
        <f>SUMIFS(Plan!$D$5:$D$88,Plan!$B$5:$B$88,"2. Landing y autenticación",Plan!$O$5:$O$88,"Hecho")</f>
        <v/>
      </c>
      <c r="E30" s="12">
        <f>IF(C30=0,0,D30/C30)</f>
        <v/>
      </c>
      <c r="F30" s="15">
        <f>SUMPRODUCT(MAX((Plan!$B$5:$B$88="2. Landing y autenticación")*Plan!$L$5:$L$88))</f>
        <v/>
      </c>
      <c r="G30" s="8">
        <f>"S"&amp;ROUNDUP(F30/$C$5,0)</f>
        <v/>
      </c>
      <c r="H30" s="16">
        <f>'Propuesta original'!E6</f>
        <v/>
      </c>
    </row>
    <row r="31">
      <c r="B31" s="7" t="inlineStr">
        <is>
          <t>3. Flujo de solicitud de crédito</t>
        </is>
      </c>
      <c r="C31" s="15">
        <f>SUMIF(Plan!$B$5:$B$88,"3. Flujo de solicitud de crédito",Plan!$D$5:$D$88)</f>
        <v/>
      </c>
      <c r="D31" s="15">
        <f>SUMIFS(Plan!$D$5:$D$88,Plan!$B$5:$B$88,"3. Flujo de solicitud de crédito",Plan!$O$5:$O$88,"Hecho")</f>
        <v/>
      </c>
      <c r="E31" s="12">
        <f>IF(C31=0,0,D31/C31)</f>
        <v/>
      </c>
      <c r="F31" s="15">
        <f>SUMPRODUCT(MAX((Plan!$B$5:$B$88="3. Flujo de solicitud de crédito")*Plan!$L$5:$L$88))</f>
        <v/>
      </c>
      <c r="G31" s="8">
        <f>"S"&amp;ROUNDUP(F31/$C$5,0)</f>
        <v/>
      </c>
      <c r="H31" s="16">
        <f>'Propuesta original'!E7</f>
        <v/>
      </c>
    </row>
    <row r="32">
      <c r="B32" s="7" t="inlineStr">
        <is>
          <t>4. Panel de administración</t>
        </is>
      </c>
      <c r="C32" s="15">
        <f>SUMIF(Plan!$B$5:$B$88,"4. Panel de administración",Plan!$D$5:$D$88)</f>
        <v/>
      </c>
      <c r="D32" s="15">
        <f>SUMIFS(Plan!$D$5:$D$88,Plan!$B$5:$B$88,"4. Panel de administración",Plan!$O$5:$O$88,"Hecho")</f>
        <v/>
      </c>
      <c r="E32" s="12">
        <f>IF(C32=0,0,D32/C32)</f>
        <v/>
      </c>
      <c r="F32" s="15">
        <f>SUMPRODUCT(MAX((Plan!$B$5:$B$88="4. Panel de administración")*Plan!$L$5:$L$88))</f>
        <v/>
      </c>
      <c r="G32" s="8">
        <f>"S"&amp;ROUNDUP(F32/$C$5,0)</f>
        <v/>
      </c>
      <c r="H32" s="16">
        <f>'Propuesta original'!E8</f>
        <v/>
      </c>
    </row>
    <row r="33">
      <c r="B33" s="4" t="inlineStr">
        <is>
          <t>5. Convenios y pulido</t>
        </is>
      </c>
      <c r="C33" s="15">
        <f>SUMIF(Plan!$B$5:$B$88,"5. Convenios y pulido",Plan!$D$5:$D$88)</f>
        <v/>
      </c>
      <c r="D33" s="15">
        <f>SUMIFS(Plan!$D$5:$D$88,Plan!$B$5:$B$88,"5. Convenios y pulido",Plan!$O$5:$O$88,"Hecho")</f>
        <v/>
      </c>
      <c r="E33" s="12">
        <f>IF(C33=0,0,D33/C33)</f>
        <v/>
      </c>
      <c r="F33" s="15">
        <f>SUMPRODUCT(MAX((Plan!$B$5:$B$88="5. Convenios y pulido")*Plan!$L$5:$L$88))</f>
        <v/>
      </c>
      <c r="G33" s="8">
        <f>"S"&amp;ROUNDUP(F33/$C$5,0)</f>
        <v/>
      </c>
      <c r="H33" s="16">
        <f>'Propuesta original'!E9</f>
        <v/>
      </c>
    </row>
    <row r="34">
      <c r="B34" s="4" t="inlineStr">
        <is>
          <t>6. Pruebas y lanzamiento</t>
        </is>
      </c>
      <c r="C34" s="15">
        <f>SUMIF(Plan!$B$5:$B$88,"6. Pruebas y lanzamiento",Plan!$D$5:$D$88)</f>
        <v/>
      </c>
      <c r="D34" s="15">
        <f>SUMIFS(Plan!$D$5:$D$88,Plan!$B$5:$B$88,"6. Pruebas y lanzamiento",Plan!$O$5:$O$88,"Hecho")</f>
        <v/>
      </c>
      <c r="E34" s="12">
        <f>IF(C34=0,0,D34/C34)</f>
        <v/>
      </c>
      <c r="F34" s="15">
        <f>SUMPRODUCT(MAX((Plan!$B$5:$B$88="6. Pruebas y lanzamiento")*Plan!$L$5:$L$88))</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COUNTIFS(Pendientes!$B$5:$B$117,$B46,Pendientes!$G$5:$G$117,"Hecho")</f>
        <v/>
      </c>
      <c r="D46" s="15">
        <f>COUNTIFS(Pendientes!$B$5:$B$117,$B46,Pendientes!$G$5:$G$117,"En curso")</f>
        <v/>
      </c>
      <c r="E46" s="15">
        <f>COUNTIFS(Pendientes!$B$5:$B$117,$B46,Pendientes!$G$5:$G$117,"Pendiente")</f>
        <v/>
      </c>
      <c r="F46" s="15">
        <f>COUNTIFS(Pendientes!$B$5:$B$117,$B46,Pendientes!$G$5:$G$117,"Bloqueado")</f>
        <v/>
      </c>
      <c r="G46" s="9">
        <f>SUM(C46:F46)</f>
        <v/>
      </c>
    </row>
    <row r="47">
      <c r="B47" s="4" t="inlineStr">
        <is>
          <t>Dato de la cooperativa</t>
        </is>
      </c>
      <c r="C47" s="15">
        <f>COUNTIFS(Pendientes!$B$5:$B$117,$B47,Pendientes!$G$5:$G$117,"Hecho")</f>
        <v/>
      </c>
      <c r="D47" s="15">
        <f>COUNTIFS(Pendientes!$B$5:$B$117,$B47,Pendientes!$G$5:$G$117,"En curso")</f>
        <v/>
      </c>
      <c r="E47" s="15">
        <f>COUNTIFS(Pendientes!$B$5:$B$117,$B47,Pendientes!$G$5:$G$117,"Pendiente")</f>
        <v/>
      </c>
      <c r="F47" s="15">
        <f>COUNTIFS(Pendientes!$B$5:$B$117,$B47,Pendientes!$G$5:$G$117,"Bloqueado")</f>
        <v/>
      </c>
      <c r="G47" s="9">
        <f>SUM(C47:F47)</f>
        <v/>
      </c>
    </row>
    <row r="48">
      <c r="B48" s="4" t="inlineStr">
        <is>
          <t>Configuración</t>
        </is>
      </c>
      <c r="C48" s="15">
        <f>COUNTIFS(Pendientes!$B$5:$B$117,$B48,Pendientes!$G$5:$G$117,"Hecho")</f>
        <v/>
      </c>
      <c r="D48" s="15">
        <f>COUNTIFS(Pendientes!$B$5:$B$117,$B48,Pendientes!$G$5:$G$117,"En curso")</f>
        <v/>
      </c>
      <c r="E48" s="15">
        <f>COUNTIFS(Pendientes!$B$5:$B$117,$B48,Pendientes!$G$5:$G$117,"Pendiente")</f>
        <v/>
      </c>
      <c r="F48" s="15">
        <f>COUNTIFS(Pendientes!$B$5:$B$117,$B48,Pendientes!$G$5:$G$117,"Bloqueado")</f>
        <v/>
      </c>
      <c r="G48" s="9">
        <f>SUM(C48:F48)</f>
        <v/>
      </c>
    </row>
    <row r="49">
      <c r="B49" s="4" t="inlineStr">
        <is>
          <t>Funcionalidad</t>
        </is>
      </c>
      <c r="C49" s="15">
        <f>COUNTIFS(Pendientes!$B$5:$B$117,$B49,Pendientes!$G$5:$G$117,"Hecho")</f>
        <v/>
      </c>
      <c r="D49" s="15">
        <f>COUNTIFS(Pendientes!$B$5:$B$117,$B49,Pendientes!$G$5:$G$117,"En curso")</f>
        <v/>
      </c>
      <c r="E49" s="15">
        <f>COUNTIFS(Pendientes!$B$5:$B$117,$B49,Pendientes!$G$5:$G$117,"Pendiente")</f>
        <v/>
      </c>
      <c r="F49" s="15">
        <f>COUNTIFS(Pendientes!$B$5:$B$117,$B49,Pendientes!$G$5:$G$117,"Bloqueado")</f>
        <v/>
      </c>
      <c r="G49" s="9">
        <f>SUM(C49:F49)</f>
        <v/>
      </c>
    </row>
    <row r="50">
      <c r="B50" s="4" t="inlineStr">
        <is>
          <t>Verificación y cierre</t>
        </is>
      </c>
      <c r="C50" s="15">
        <f>COUNTIFS(Pendientes!$B$5:$B$117,$B50,Pendientes!$G$5:$G$117,"Hecho")</f>
        <v/>
      </c>
      <c r="D50" s="15">
        <f>COUNTIFS(Pendientes!$B$5:$B$117,$B50,Pendientes!$G$5:$G$117,"En curso")</f>
        <v/>
      </c>
      <c r="E50" s="15">
        <f>COUNTIFS(Pendientes!$B$5:$B$117,$B50,Pendientes!$G$5:$G$117,"Pendiente")</f>
        <v/>
      </c>
      <c r="F50" s="15">
        <f>COUNTIFS(Pendientes!$B$5:$B$117,$B50,Pendientes!$G$5:$G$117,"Bloqueado")</f>
        <v/>
      </c>
      <c r="G50" s="9">
        <f>SUM(C50:F50)</f>
        <v/>
      </c>
    </row>
    <row r="51">
      <c r="B51" s="4" t="inlineStr">
        <is>
          <t>Seguridad</t>
        </is>
      </c>
      <c r="C51" s="15">
        <f>COUNTIFS(Pendientes!$B$5:$B$117,$B51,Pendientes!$G$5:$G$117,"Hecho")</f>
        <v/>
      </c>
      <c r="D51" s="15">
        <f>COUNTIFS(Pendientes!$B$5:$B$117,$B51,Pendientes!$G$5:$G$117,"En curso")</f>
        <v/>
      </c>
      <c r="E51" s="15">
        <f>COUNTIFS(Pendientes!$B$5:$B$117,$B51,Pendientes!$G$5:$G$117,"Pendiente")</f>
        <v/>
      </c>
      <c r="F51" s="15">
        <f>COUNTIFS(Pendientes!$B$5:$B$117,$B51,Pendientes!$G$5:$G$117,"Bloqueado")</f>
        <v/>
      </c>
      <c r="G51" s="9">
        <f>SUM(C51:F51)</f>
        <v/>
      </c>
    </row>
    <row r="52">
      <c r="B52" s="4" t="inlineStr">
        <is>
          <t>Código</t>
        </is>
      </c>
      <c r="C52" s="15">
        <f>COUNTIFS(Pendientes!$B$5:$B$117,$B52,Pendientes!$G$5:$G$117,"Hecho")</f>
        <v/>
      </c>
      <c r="D52" s="15">
        <f>COUNTIFS(Pendientes!$B$5:$B$117,$B52,Pendientes!$G$5:$G$117,"En curso")</f>
        <v/>
      </c>
      <c r="E52" s="15">
        <f>COUNTIFS(Pendientes!$B$5:$B$117,$B52,Pendientes!$G$5:$G$117,"Pendiente")</f>
        <v/>
      </c>
      <c r="F52" s="15">
        <f>COUNTIFS(Pendientes!$B$5:$B$117,$B52,Pendientes!$G$5:$G$117,"Bloqueado")</f>
        <v/>
      </c>
      <c r="G52" s="9">
        <f>SUM(C52:F52)</f>
        <v/>
      </c>
    </row>
    <row r="53">
      <c r="B53" s="4" t="inlineStr">
        <is>
          <t>Base de datos</t>
        </is>
      </c>
      <c r="C53" s="15">
        <f>COUNTIFS(Pendientes!$B$5:$B$117,$B53,Pendientes!$G$5:$G$117,"Hecho")</f>
        <v/>
      </c>
      <c r="D53" s="15">
        <f>COUNTIFS(Pendientes!$B$5:$B$117,$B53,Pendientes!$G$5:$G$117,"En curso")</f>
        <v/>
      </c>
      <c r="E53" s="15">
        <f>COUNTIFS(Pendientes!$B$5:$B$117,$B53,Pendientes!$G$5:$G$117,"Pendiente")</f>
        <v/>
      </c>
      <c r="F53" s="15">
        <f>COUNTIFS(Pendientes!$B$5:$B$117,$B53,Pendientes!$G$5:$G$117,"Bloqueado")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7"/>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P-113</t>
        </is>
      </c>
      <c r="B5" s="4" t="inlineStr">
        <is>
          <t>Configuración</t>
        </is>
      </c>
      <c r="C5" s="4" t="inlineStr">
        <is>
          <t>Base de datos</t>
        </is>
      </c>
      <c r="D5" s="7" t="inlineStr">
        <is>
          <t>Docker: db reset + test db local y aplicar la migración 20261001100000 en producción</t>
        </is>
      </c>
      <c r="E5" s="7" t="inlineStr">
        <is>
          <t>Sebas</t>
        </is>
      </c>
      <c r="F5" s="8" t="inlineStr">
        <is>
          <t>Alta</t>
        </is>
      </c>
      <c r="G5" s="8" t="inlineStr">
        <is>
          <t>En curso</t>
        </is>
      </c>
      <c r="H5" s="8" t="inlineStr">
        <is>
          <t>6.24</t>
        </is>
      </c>
      <c r="I5" s="21">
        <f>IFERROR(INDEX(Plan!$B$5:$B$88,MATCH(H5,Plan!$A$5:$A$88,0)),"—")</f>
        <v/>
      </c>
      <c r="J5" s="7" t="inlineStr">
        <is>
          <t>01-oct: Docker Desktop no arranca («unable to start»). 01-oct: Docker de vuelta; db test local en verde (22 archivos, 497 pruebas). Falta solo db push --linked de 20261001000000 y 20261001100000 y fusionar develop→main.</t>
        </is>
      </c>
    </row>
    <row r="6">
      <c r="A6" s="19" t="inlineStr">
        <is>
          <t>P-55</t>
        </is>
      </c>
      <c r="B6" s="4" t="inlineStr">
        <is>
          <t>Configuración</t>
        </is>
      </c>
      <c r="C6" s="4" t="inlineStr">
        <is>
          <t>Base de datos</t>
        </is>
      </c>
      <c r="D6" s="7" t="inlineStr">
        <is>
          <t>Opcional: revocar la secuencia limites_intentos_id_seq a anon y authenticated</t>
        </is>
      </c>
      <c r="E6" s="7" t="inlineStr">
        <is>
          <t>Yo + ga-auditor-supabase</t>
        </is>
      </c>
      <c r="F6" s="8" t="inlineStr">
        <is>
          <t>Baja</t>
        </is>
      </c>
      <c r="G6" s="8" t="inlineStr">
        <is>
          <t>En curso</t>
        </is>
      </c>
      <c r="H6" s="8" t="inlineStr">
        <is>
          <t>6.8</t>
        </is>
      </c>
      <c r="I6" s="21">
        <f>IFERROR(INDEX(Plan!$B$5:$B$88,MATCH(H6,Plan!$A$5:$A$88,0)),"—")</f>
        <v/>
      </c>
      <c r="J6" s="7" t="inlineStr">
        <is>
          <t>Sugerido por ga-auditor-supabase en la auditoría de P-43. 30-sep: revoke incluido en la migración 20261001000000 (pgTAP 20 en verde); falta aplicarla (6.23).</t>
        </is>
      </c>
    </row>
    <row r="7">
      <c r="A7" s="19" t="inlineStr">
        <is>
          <t>P-110</t>
        </is>
      </c>
      <c r="B7" s="4" t="inlineStr">
        <is>
          <t>Configuración</t>
        </is>
      </c>
      <c r="C7" s="4" t="inlineStr">
        <is>
          <t>Base de datos</t>
        </is>
      </c>
      <c r="D7" s="7" t="inlineStr">
        <is>
          <t>Aplicar la migración 20261001000000 antes de desplegar (sin ella falla el insert de afiliación por la columna version_politica_datos)</t>
        </is>
      </c>
      <c r="E7" s="7" t="inlineStr">
        <is>
          <t>Sebas</t>
        </is>
      </c>
      <c r="F7" s="8" t="inlineStr">
        <is>
          <t>Alta</t>
        </is>
      </c>
      <c r="G7" s="8" t="inlineStr">
        <is>
          <t>Pendiente</t>
        </is>
      </c>
      <c r="H7" s="8" t="inlineStr">
        <is>
          <t>6.23</t>
        </is>
      </c>
      <c r="I7" s="21">
        <f>IFERROR(INDEX(Plan!$B$5:$B$88,MATCH(H7,Plan!$A$5:$A$88,0)),"—")</f>
        <v/>
      </c>
      <c r="J7" s="7" t="inlineStr">
        <is>
          <t>30-sep: reportado por ga-auditor-supabase y ga-funcionalidad-botones.</t>
        </is>
      </c>
    </row>
    <row r="8">
      <c r="A8" s="19" t="inlineStr">
        <is>
          <t>P-54</t>
        </is>
      </c>
      <c r="B8" s="4" t="inlineStr">
        <is>
          <t>Configuración</t>
        </is>
      </c>
      <c r="C8" s="4" t="inlineStr">
        <is>
          <t>Vercel</t>
        </is>
      </c>
      <c r="D8" s="7" t="inlineStr">
        <is>
          <t>Alerta en los logs de Vercel para limite_de_intentos_fallo y limite_secreto_faltante</t>
        </is>
      </c>
      <c r="E8" s="7" t="inlineStr">
        <is>
          <t>Yo (panel Vercel)</t>
        </is>
      </c>
      <c r="F8" s="8" t="inlineStr">
        <is>
          <t>Media</t>
        </is>
      </c>
      <c r="G8" s="8" t="inlineStr">
        <is>
          <t>Pendiente</t>
        </is>
      </c>
      <c r="H8" s="8" t="inlineStr">
        <is>
          <t>6.12</t>
        </is>
      </c>
      <c r="I8" s="21">
        <f>IFERROR(INDEX(Plan!$B$5:$B$88,MATCH(H8,Plan!$A$5:$A$88,0)),"—")</f>
        <v/>
      </c>
      <c r="J8" s="7" t="inlineStr">
        <is>
          <t>Sugerido por ga-auditor-supabase en la auditoría de P-43.</t>
        </is>
      </c>
    </row>
    <row r="9">
      <c r="A9" s="19" t="inlineStr">
        <is>
          <t>P-73</t>
        </is>
      </c>
      <c r="B9" s="4" t="inlineStr">
        <is>
          <t>Configuración</t>
        </is>
      </c>
      <c r="C9" s="4" t="inlineStr">
        <is>
          <t>Pagos</t>
        </is>
      </c>
      <c r="D9" s="7" t="inlineStr">
        <is>
          <t>Pagar a Carlos Pardo 150.000 COP (cierre del encargo; no sigue en el proyecto)</t>
        </is>
      </c>
      <c r="E9" s="7" t="inlineStr">
        <is>
          <t>Sebas</t>
        </is>
      </c>
      <c r="F9" s="8" t="inlineStr">
        <is>
          <t>Media</t>
        </is>
      </c>
      <c r="G9" s="8" t="inlineStr">
        <is>
          <t>Pendiente</t>
        </is>
      </c>
      <c r="H9" s="8" t="inlineStr">
        <is>
          <t>—</t>
        </is>
      </c>
      <c r="I9" s="21">
        <f>IFERROR(INDEX(Plan!$B$5:$B$88,MATCH(H9,Plan!$A$5:$A$88,0)),"—")</f>
        <v/>
      </c>
      <c r="J9" s="7" t="inlineStr">
        <is>
          <t>Pago único por P-66 a P-71 (4.7, 4.8, 5.9, 5.10, 6.14, 6.15). Cada PR de Carlos lo revisa un agente ga-* antes de fusionarlo a develop.</t>
        </is>
      </c>
    </row>
    <row r="10">
      <c r="A10" s="19" t="inlineStr">
        <is>
          <t>P-105</t>
        </is>
      </c>
      <c r="B10" s="4" t="inlineStr">
        <is>
          <t>Configuración</t>
        </is>
      </c>
      <c r="C10" s="4" t="inlineStr">
        <is>
          <t>Vercel/Resend</t>
        </is>
      </c>
      <c r="D10" s="7" t="inlineStr">
        <is>
          <t>CRON_SECRET de 32+ caracteres, publicar plantilla ga-aviso-institucional y crear RESEND_TEMPLATE_AVISO_INSTITUCIONAL</t>
        </is>
      </c>
      <c r="E10" s="7" t="inlineStr">
        <is>
          <t>Sebas</t>
        </is>
      </c>
      <c r="F10" s="8" t="inlineStr">
        <is>
          <t>Alta</t>
        </is>
      </c>
      <c r="G10" s="8" t="inlineStr">
        <is>
          <t>Hecho</t>
        </is>
      </c>
      <c r="H10" s="8" t="inlineStr">
        <is>
          <t>6.22</t>
        </is>
      </c>
      <c r="I10" s="21">
        <f>IFERROR(INDEX(Plan!$B$5:$B$88,MATCH(H10,Plan!$A$5:$A$88,0)),"—")</f>
        <v/>
      </c>
      <c r="J10" s="7" t="inlineStr">
        <is>
          <t>30-sep: Sebas lo hizo en producción.</t>
        </is>
      </c>
    </row>
    <row r="11">
      <c r="A11" s="19" t="inlineStr">
        <is>
          <t>P-19</t>
        </is>
      </c>
      <c r="B11" s="4" t="inlineStr">
        <is>
          <t>Configuración</t>
        </is>
      </c>
      <c r="C11" s="4" t="inlineStr">
        <is>
          <t>Supabase</t>
        </is>
      </c>
      <c r="D11" s="7" t="inlineStr">
        <is>
          <t>SMTP propio con Resend (Authentication → Emails → SMTP Settings)</t>
        </is>
      </c>
      <c r="E11" s="7" t="inlineStr">
        <is>
          <t>Yo (panel Supabase/Resend)</t>
        </is>
      </c>
      <c r="F11" s="8" t="inlineStr">
        <is>
          <t>Alta</t>
        </is>
      </c>
      <c r="G11" s="8" t="inlineStr">
        <is>
          <t>Hecho</t>
        </is>
      </c>
      <c r="H11" s="8" t="inlineStr">
        <is>
          <t>2.4</t>
        </is>
      </c>
      <c r="I11" s="21">
        <f>IFERROR(INDEX(Plan!$B$5:$B$88,MATCH(H11,Plan!$A$5:$A$88,0)),"—")</f>
        <v/>
      </c>
      <c r="J11" s="7" t="inlineStr">
        <is>
          <t>Configurado por Sebas el 23-sep. El código de 6 dígitos lo envía Supabase Auth (no Resend desde la app); funciona en local. Ver docs/resend-plantillas.md.</t>
        </is>
      </c>
    </row>
    <row r="12">
      <c r="A12" s="19" t="inlineStr">
        <is>
          <t>P-20</t>
        </is>
      </c>
      <c r="B12" s="4" t="inlineStr">
        <is>
          <t>Configuración</t>
        </is>
      </c>
      <c r="C12" s="4" t="inlineStr">
        <is>
          <t>Supabase</t>
        </is>
      </c>
      <c r="D12" s="7" t="inlineStr">
        <is>
          <t>Plantilla del correo con {{ .Token }} (código, no enlace)</t>
        </is>
      </c>
      <c r="E12" s="7" t="inlineStr">
        <is>
          <t>Yo (panel Supabase/Resend)</t>
        </is>
      </c>
      <c r="F12" s="8" t="inlineStr">
        <is>
          <t>Alta</t>
        </is>
      </c>
      <c r="G12" s="8" t="inlineStr">
        <is>
          <t>Hecho</t>
        </is>
      </c>
      <c r="H12" s="8" t="inlineStr">
        <is>
          <t>2.4</t>
        </is>
      </c>
      <c r="I12" s="21">
        <f>IFERROR(INDEX(Plan!$B$5:$B$88,MATCH(H12,Plan!$A$5:$A$88,0)),"—")</f>
        <v/>
      </c>
      <c r="J12" s="7" t="inlineStr">
        <is>
          <t>23-sep: supabase/templates/codigo-ingreso.html rediseñada (HTML con la marca Green Alliance) y probada en local (llega a Mailpit con el código). Falta que Sebas la pegue en Authentication → Emails → Templates → Magic Link del panel de producción. 30-sep: Sebas lo hizo en producción.</t>
        </is>
      </c>
    </row>
    <row r="13">
      <c r="A13" s="19" t="inlineStr">
        <is>
          <t>P-43</t>
        </is>
      </c>
      <c r="B13" s="4" t="inlineStr">
        <is>
          <t>Configuración</t>
        </is>
      </c>
      <c r="C13" s="4" t="inlineStr">
        <is>
          <t>Base de datos</t>
        </is>
      </c>
      <c r="D13" s="7" t="inlineStr">
        <is>
          <t>Aplicar en producción la migración 20260923210000_limite_de_intentos.sql</t>
        </is>
      </c>
      <c r="E13" s="7" t="inlineStr">
        <is>
          <t>Sebas (ga-auditor-supabase revisa antes)</t>
        </is>
      </c>
      <c r="F13" s="8" t="inlineStr">
        <is>
          <t>Alta</t>
        </is>
      </c>
      <c r="G13" s="8" t="inlineStr">
        <is>
          <t>Hecho</t>
        </is>
      </c>
      <c r="H13" s="8" t="inlineStr">
        <is>
          <t>6.8</t>
        </is>
      </c>
      <c r="I13" s="21">
        <f>IFERROR(INDEX(Plan!$B$5:$B$88,MATCH(H13,Plan!$A$5:$A$88,0)),"—")</f>
        <v/>
      </c>
      <c r="J13"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 30-sep: Sebas lo hizo en producción.</t>
        </is>
      </c>
    </row>
    <row r="14">
      <c r="A14" s="19" t="inlineStr">
        <is>
          <t>P-44</t>
        </is>
      </c>
      <c r="B14" s="4" t="inlineStr">
        <is>
          <t>Configuración</t>
        </is>
      </c>
      <c r="C14" s="4" t="inlineStr">
        <is>
          <t>Vercel</t>
        </is>
      </c>
      <c r="D14"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4" s="7" t="inlineStr">
        <is>
          <t>Yo</t>
        </is>
      </c>
      <c r="F14" s="8" t="inlineStr">
        <is>
          <t>Alta</t>
        </is>
      </c>
      <c r="G14" s="8" t="inlineStr">
        <is>
          <t>Hecho</t>
        </is>
      </c>
      <c r="H14" s="8" t="inlineStr">
        <is>
          <t>6.9</t>
        </is>
      </c>
      <c r="I14" s="21">
        <f>IFERROR(INDEX(Plan!$B$5:$B$88,MATCH(H14,Plan!$A$5:$A$88,0)),"—")</f>
        <v/>
      </c>
      <c r="J14"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5">
      <c r="A15" s="19" t="inlineStr">
        <is>
          <t>P-45</t>
        </is>
      </c>
      <c r="B15" s="4" t="inlineStr">
        <is>
          <t>Configuración</t>
        </is>
      </c>
      <c r="C15" s="4" t="inlineStr">
        <is>
          <t>Supabase</t>
        </is>
      </c>
      <c r="D15" s="7" t="inlineStr">
        <is>
          <t>Panel de producción: OTP de 6 dígitos, vencimiento del código en 600 s (10 min) e intervalo entre correos ≤ 45 s</t>
        </is>
      </c>
      <c r="E15" s="7" t="inlineStr">
        <is>
          <t>Yo (panel Supabase/Resend)</t>
        </is>
      </c>
      <c r="F15" s="8" t="inlineStr">
        <is>
          <t>Alta</t>
        </is>
      </c>
      <c r="G15" s="8" t="inlineStr">
        <is>
          <t>Hecho</t>
        </is>
      </c>
      <c r="H15" s="8" t="inlineStr">
        <is>
          <t>2.4</t>
        </is>
      </c>
      <c r="I15" s="21">
        <f>IFERROR(INDEX(Plan!$B$5:$B$88,MATCH(H15,Plan!$A$5:$A$88,0)),"—")</f>
        <v/>
      </c>
      <c r="J15" s="7" t="inlineStr">
        <is>
          <t>Complementa P-19 (SMTP) y P-20 (plantilla Magic Link con {{ .Token }}). 30-sep: Sebas lo hizo en producción.</t>
        </is>
      </c>
    </row>
    <row r="16">
      <c r="A16" s="19" t="inlineStr">
        <is>
          <t>P-59</t>
        </is>
      </c>
      <c r="B16" s="4" t="inlineStr">
        <is>
          <t>Configuración</t>
        </is>
      </c>
      <c r="C16" s="4" t="inlineStr">
        <is>
          <t>Base de datos</t>
        </is>
      </c>
      <c r="D16" s="7" t="inlineStr">
        <is>
          <t>Aplicar en producción las 9 migraciones de fase 2 (20260924000000…000800) y desplegar enseguida</t>
        </is>
      </c>
      <c r="E16" s="7" t="inlineStr">
        <is>
          <t>Sebas (ga-auditor-supabase revisa antes)</t>
        </is>
      </c>
      <c r="F16" s="8" t="inlineStr">
        <is>
          <t>Alta</t>
        </is>
      </c>
      <c r="G16" s="8" t="inlineStr">
        <is>
          <t>Hecho</t>
        </is>
      </c>
      <c r="H16" s="8" t="inlineStr">
        <is>
          <t>6.13</t>
        </is>
      </c>
      <c r="I16" s="21">
        <f>IFERROR(INDEX(Plan!$B$5:$B$88,MATCH(H16,Plan!$A$5:$A$88,0)),"—")</f>
        <v/>
      </c>
      <c r="J16" s="7" t="inlineStr">
        <is>
          <t>25-sep: Sebas aplicó las 9 migraciones en producción con `supabase db push` (dry-run confirmó exactamente esas 9) y fusionó el PR develop → main; Vercel desplegó fase 2 en www.greenallianceco.com, verificado por HTTP.</t>
        </is>
      </c>
    </row>
    <row r="17">
      <c r="A17" s="19" t="inlineStr">
        <is>
          <t>P-60</t>
        </is>
      </c>
      <c r="B17" s="4" t="inlineStr">
        <is>
          <t>Configuración</t>
        </is>
      </c>
      <c r="C17" s="4" t="inlineStr">
        <is>
          <t>Vercel</t>
        </is>
      </c>
      <c r="D17" s="7" t="inlineStr">
        <is>
          <t>Corregir SUPABASE_SERVICE_ROLE_KEY en Vercel (hoy da «Invalid API key»)</t>
        </is>
      </c>
      <c r="E17" s="7" t="inlineStr">
        <is>
          <t>Sebas</t>
        </is>
      </c>
      <c r="F17" s="8" t="inlineStr">
        <is>
          <t>Alta</t>
        </is>
      </c>
      <c r="G17" s="8" t="inlineStr">
        <is>
          <t>Hecho</t>
        </is>
      </c>
      <c r="H17" s="8" t="inlineStr">
        <is>
          <t>6.9</t>
        </is>
      </c>
      <c r="I17" s="21">
        <f>IFERROR(INDEX(Plan!$B$5:$B$88,MATCH(H17,Plan!$A$5:$A$88,0)),"—")</f>
        <v/>
      </c>
      <c r="J17" s="7" t="inlineStr">
        <is>
          <t>24-sep: Sebas corrigió la llave en Vercel (confirmado el 25-sep).</t>
        </is>
      </c>
    </row>
    <row r="18">
      <c r="A18" s="19" t="inlineStr">
        <is>
          <t>P-61</t>
        </is>
      </c>
      <c r="B18" s="4" t="inlineStr">
        <is>
          <t>Configuración</t>
        </is>
      </c>
      <c r="C18" s="4" t="inlineStr">
        <is>
          <t>Resend</t>
        </is>
      </c>
      <c r="D18" s="7" t="inlineStr">
        <is>
          <t>Crear en Resend las plantillas de ingreso aceptado, crédito aprobado/rechazado y boleta del sorteo (ga-sorteo-boleta); confirmar el tope de 3 reenvíos de boleta al día</t>
        </is>
      </c>
      <c r="E18" s="7" t="inlineStr">
        <is>
          <t>Sebas</t>
        </is>
      </c>
      <c r="F18" s="8" t="inlineStr">
        <is>
          <t>Alta</t>
        </is>
      </c>
      <c r="G18" s="8" t="inlineStr">
        <is>
          <t>Hecho</t>
        </is>
      </c>
      <c r="H18" s="8" t="inlineStr">
        <is>
          <t>6.9</t>
        </is>
      </c>
      <c r="I18" s="21">
        <f>IFERROR(INDEX(Plan!$B$5:$B$88,MATCH(H18,Plan!$A$5:$A$88,0)),"—")</f>
        <v/>
      </c>
      <c r="J18" s="7" t="inlineStr">
        <is>
          <t>RESEND_API_KEY, EMAIL_FROM y RESEND_TEMPLATE_SORTEO_BOLETA ya son obligatorias para el build. 24-sep: el HTML de las 4 plantillas listo en docs/resend/. 25-sep: Sebas creó y publicó las 4 plantillas en Resend.</t>
        </is>
      </c>
    </row>
    <row r="19">
      <c r="A19" s="19" t="inlineStr">
        <is>
          <t>P-72</t>
        </is>
      </c>
      <c r="B19" s="4" t="inlineStr">
        <is>
          <t>Configuración</t>
        </is>
      </c>
      <c r="C19" s="4" t="inlineStr">
        <is>
          <t>Git</t>
        </is>
      </c>
      <c r="D19" s="7" t="inlineStr">
        <is>
          <t>Dar a Carlos acceso de colaborador al repo GitHub GreenAllianceCoo/PagGreenAlliance y compartirle el encargo (sin llaves de producción)</t>
        </is>
      </c>
      <c r="E19" s="7" t="inlineStr">
        <is>
          <t>Sebas</t>
        </is>
      </c>
      <c r="F19" s="8" t="inlineStr">
        <is>
          <t>Alta</t>
        </is>
      </c>
      <c r="G19" s="8" t="inlineStr">
        <is>
          <t>Hecho</t>
        </is>
      </c>
      <c r="H19" s="8" t="inlineStr">
        <is>
          <t>—</t>
        </is>
      </c>
      <c r="I19" s="21">
        <f>IFERROR(INDEX(Plan!$B$5:$B$88,MATCH(H19,Plan!$A$5:$A$88,0)),"—")</f>
        <v/>
      </c>
      <c r="J19" s="7" t="inlineStr">
        <is>
          <t>Necesario antes de que Carlos pueda abrir PRs a develop desde su propia rama. 24-sep: Sebas ya habló con Carlos para darle el acceso; falta confirmarlo en GitHub. 29-sep: la primera entrega de Carlos llegó como ZIP de un repo privado propio (no como PR al repo de Green Alliance), señal de que este acceso sigue sin confirmarse; además trabajó sobre una base main anterior al rediseño C+ en vez de rediseno-c-plus. Se le pidió que la próxima entrega sea un PR por tarea sobre rediseno-c-plus, lo que requiere este acceso ya confirmado. 30-sep: cerrado, Carlos Pardo ya no trabaja en el proyecto.</t>
        </is>
      </c>
    </row>
    <row r="20">
      <c r="A20" s="19" t="inlineStr">
        <is>
          <t>P-21</t>
        </is>
      </c>
      <c r="B20" s="4" t="inlineStr">
        <is>
          <t>Configuración</t>
        </is>
      </c>
      <c r="C20" s="4" t="inlineStr">
        <is>
          <t>Resend</t>
        </is>
      </c>
      <c r="D20" s="7" t="inlineStr">
        <is>
          <t>(Cancelado) Revisar el límite de Resend (plan gratis ≈ 100 correos/día)</t>
        </is>
      </c>
      <c r="E20" s="7" t="inlineStr">
        <is>
          <t>Yo</t>
        </is>
      </c>
      <c r="F20" s="8" t="inlineStr">
        <is>
          <t>Media</t>
        </is>
      </c>
      <c r="G20" s="8" t="inlineStr">
        <is>
          <t>Hecho</t>
        </is>
      </c>
      <c r="H20" s="8" t="inlineStr">
        <is>
          <t>2.4</t>
        </is>
      </c>
      <c r="I20" s="21">
        <f>IFERROR(INDEX(Plan!$B$5:$B$88,MATCH(H20,Plan!$A$5:$A$88,0)),"—")</f>
        <v/>
      </c>
      <c r="J20" s="7" t="inlineStr">
        <is>
          <t>30-sep: con ~500 asociados el plan gratis se queda corto; confirmar plan. 30-sep: Sebas decide que el límite de Resend no es problema por ahora; se quita.</t>
        </is>
      </c>
    </row>
    <row r="21">
      <c r="A21" s="19" t="inlineStr">
        <is>
          <t>P-87</t>
        </is>
      </c>
      <c r="B21" s="4" t="inlineStr">
        <is>
          <t>Configuración</t>
        </is>
      </c>
      <c r="C21" s="4" t="inlineStr">
        <is>
          <t>Vercel</t>
        </is>
      </c>
      <c r="D21" s="7" t="inlineStr">
        <is>
          <t>M-02: greenallianceco.com a veces sirve 200 en vez de redirigir 308 a www</t>
        </is>
      </c>
      <c r="E21" s="7" t="inlineStr">
        <is>
          <t>Sebas</t>
        </is>
      </c>
      <c r="F21" s="8" t="inlineStr">
        <is>
          <t>Media</t>
        </is>
      </c>
      <c r="G21" s="8" t="inlineStr">
        <is>
          <t>Hecho</t>
        </is>
      </c>
      <c r="H21" s="8" t="inlineStr">
        <is>
          <t>6.4</t>
        </is>
      </c>
      <c r="I21" s="21">
        <f>IFERROR(INDEX(Plan!$B$5:$B$88,MATCH(H21,Plan!$A$5:$A$88,0)),"—")</f>
        <v/>
      </c>
      <c r="J21"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22">
      <c r="A22" s="19" t="inlineStr">
        <is>
          <t>P-37</t>
        </is>
      </c>
      <c r="B22" s="4" t="inlineStr">
        <is>
          <t>Funcionalidad</t>
        </is>
      </c>
      <c r="C22" s="4" t="inlineStr">
        <is>
          <t>Correos</t>
        </is>
      </c>
      <c r="D22" s="7" t="inlineStr">
        <is>
          <t>Correo «Resultado del crédito» (aprobado / no aprobado) al asociado al resolver una solicitud</t>
        </is>
      </c>
      <c r="E22" s="7" t="inlineStr">
        <is>
          <t>ga-funcionalidad-botones</t>
        </is>
      </c>
      <c r="F22" s="8" t="inlineStr">
        <is>
          <t>Alta</t>
        </is>
      </c>
      <c r="G22" s="8" t="inlineStr">
        <is>
          <t>En curso</t>
        </is>
      </c>
      <c r="H22" s="8" t="inlineStr">
        <is>
          <t>4.3</t>
        </is>
      </c>
      <c r="I22" s="21">
        <f>IFERROR(INDEX(Plan!$B$5:$B$88,MATCH(H22,Plan!$A$5:$A$88,0)),"—")</f>
        <v/>
      </c>
      <c r="J22" s="7" t="inlineStr">
        <is>
          <t>24-sep: enviarResultadoCredito ya está conectado al aprobar/rechazar en /admin (probado en local); falta que Sebas configure el SMTP/Resend de producción (2.4) para que salga de verdad.</t>
        </is>
      </c>
    </row>
    <row r="23">
      <c r="A23" s="19" t="inlineStr">
        <is>
          <t>P-51</t>
        </is>
      </c>
      <c r="B23" s="4" t="inlineStr">
        <is>
          <t>Funcionalidad</t>
        </is>
      </c>
      <c r="C23" s="4" t="inlineStr">
        <is>
          <t>Correos</t>
        </is>
      </c>
      <c r="D23" s="7" t="inlineStr">
        <is>
          <t>Correo «Ingreso aceptado» (plantilla ga-ingreso-aceptado): acción del admin que aprueba la afiliación, crea el usuario y envía el correo</t>
        </is>
      </c>
      <c r="E23" s="7" t="inlineStr">
        <is>
          <t>ga-funcionalidad-botones</t>
        </is>
      </c>
      <c r="F23" s="8" t="inlineStr">
        <is>
          <t>Alta</t>
        </is>
      </c>
      <c r="G23" s="8" t="inlineStr">
        <is>
          <t>Pendiente</t>
        </is>
      </c>
      <c r="H23" s="8" t="inlineStr">
        <is>
          <t>4.5</t>
        </is>
      </c>
      <c r="I23" s="21">
        <f>IFERROR(INDEX(Plan!$B$5:$B$88,MATCH(H23,Plan!$A$5:$A$88,0)),"—")</f>
        <v/>
      </c>
      <c r="J23" s="7" t="inlineStr">
        <is>
          <t>No implementado en la app. Requiere RESEND_TEMPLATE_INGRESO_ACEPTADO (P-44). Ver docs/resend-plantillas.md.</t>
        </is>
      </c>
    </row>
    <row r="24">
      <c r="A24" s="19" t="inlineStr">
        <is>
          <t>P-66</t>
        </is>
      </c>
      <c r="B24" s="4" t="inlineStr">
        <is>
          <t>Funcionalidad</t>
        </is>
      </c>
      <c r="C24" s="4" t="inlineStr">
        <is>
          <t>Admin</t>
        </is>
      </c>
      <c r="D24" s="7" t="inlineStr">
        <is>
          <t>Dashboard de clientes en /admin: métricas (asociados por grado/institución, afiliaciones y créditos pendientes, montos del mes, inscritos al sorteo), lista con buscador/filtros, detalle de cliente y reasignar asesor</t>
        </is>
      </c>
      <c r="E24" s="7" t="inlineStr">
        <is>
          <t>Carlos Pardo</t>
        </is>
      </c>
      <c r="F24" s="8" t="inlineStr">
        <is>
          <t>Alta</t>
        </is>
      </c>
      <c r="G24" s="8" t="inlineStr">
        <is>
          <t>Pendiente</t>
        </is>
      </c>
      <c r="H24" s="8" t="inlineStr">
        <is>
          <t>4.7</t>
        </is>
      </c>
      <c r="I24" s="21">
        <f>IFERROR(INDEX(Plan!$B$5:$B$88,MATCH(H24,Plan!$A$5:$A$88,0)),"—")</f>
        <v/>
      </c>
      <c r="J24" s="7" t="inlineStr">
        <is>
          <t>Encargo externo (500.000 COP) por PR a develop. Ver P-73. 30-sep: Carlos salió; pasa a ga-funcionalidad-botones.</t>
        </is>
      </c>
    </row>
    <row r="25">
      <c r="A25" s="19" t="inlineStr">
        <is>
          <t>P-67</t>
        </is>
      </c>
      <c r="B25" s="4" t="inlineStr">
        <is>
          <t>Funcionalidad</t>
        </is>
      </c>
      <c r="C25" s="4" t="inlineStr">
        <is>
          <t>Asesor</t>
        </is>
      </c>
      <c r="D25" s="7" t="inlineStr">
        <is>
          <t>Dashboard del asesor en /asesor: métricas de sus clientes y detalle de cliente sin celular, correo, Nequi ni fotos</t>
        </is>
      </c>
      <c r="E25" s="7" t="inlineStr">
        <is>
          <t>Carlos Pardo</t>
        </is>
      </c>
      <c r="F25" s="8" t="inlineStr">
        <is>
          <t>Alta</t>
        </is>
      </c>
      <c r="G25" s="8" t="inlineStr">
        <is>
          <t>Pendiente</t>
        </is>
      </c>
      <c r="H25" s="8" t="inlineStr">
        <is>
          <t>4.8</t>
        </is>
      </c>
      <c r="I25" s="21">
        <f>IFERROR(INDEX(Plan!$B$5:$B$88,MATCH(H25,Plan!$A$5:$A$88,0)),"—")</f>
        <v/>
      </c>
      <c r="J25" s="7" t="inlineStr">
        <is>
          <t>Encargo externo (500.000 COP) por PR a develop. Ver P-73. 30-sep: Carlos salió; pasa a ga-funcionalidad-botones.</t>
        </is>
      </c>
    </row>
    <row r="26">
      <c r="A26" s="19" t="inlineStr">
        <is>
          <t>P-56</t>
        </is>
      </c>
      <c r="B26" s="4" t="inlineStr">
        <is>
          <t>Funcionalidad</t>
        </is>
      </c>
      <c r="C26" s="4" t="inlineStr">
        <is>
          <t>/cuenta/solicitar</t>
        </is>
      </c>
      <c r="D26" s="7" t="inlineStr">
        <is>
          <t>Revisar el diseño de /cuenta/solicitar (sin maqueta; selector 50/100 como radios)</t>
        </is>
      </c>
      <c r="E26" s="7" t="inlineStr">
        <is>
          <t>ga-diseno-a-codigo</t>
        </is>
      </c>
      <c r="F26" s="8" t="inlineStr">
        <is>
          <t>Media</t>
        </is>
      </c>
      <c r="G26" s="8" t="inlineStr">
        <is>
          <t>Pendiente</t>
        </is>
      </c>
      <c r="H26" s="8" t="inlineStr">
        <is>
          <t>5.6</t>
        </is>
      </c>
      <c r="I26" s="21">
        <f>IFERROR(INDEX(Plan!$B$5:$B$88,MATCH(H26,Plan!$A$5:$A$88,0)),"—")</f>
        <v/>
      </c>
      <c r="J26" s="7" t="inlineStr">
        <is>
          <t>Pedido por ga-funcionalidad-botones el 23-sep.</t>
        </is>
      </c>
    </row>
    <row r="27">
      <c r="A27" s="19" t="inlineStr">
        <is>
          <t>P-57</t>
        </is>
      </c>
      <c r="B27" s="4" t="inlineStr">
        <is>
          <t>Funcionalidad</t>
        </is>
      </c>
      <c r="C27" s="4" t="inlineStr">
        <is>
          <t>/asesor</t>
        </is>
      </c>
      <c r="D27" s="7" t="inlineStr">
        <is>
          <t>Agregar /asesor al matcher de proxy.ts y redirigir por rol tras el login</t>
        </is>
      </c>
      <c r="E27" s="7" t="inlineStr">
        <is>
          <t>ga-funcionalidad-botones</t>
        </is>
      </c>
      <c r="F27" s="8" t="inlineStr">
        <is>
          <t>Media</t>
        </is>
      </c>
      <c r="G27" s="8" t="inlineStr">
        <is>
          <t>Pendiente</t>
        </is>
      </c>
      <c r="H27" s="8" t="inlineStr">
        <is>
          <t>4.6</t>
        </is>
      </c>
      <c r="I27" s="21">
        <f>IFERROR(INDEX(Plan!$B$5:$B$88,MATCH(H27,Plan!$A$5:$A$88,0)),"—")</f>
        <v/>
      </c>
      <c r="J27" s="7" t="inlineStr">
        <is>
          <t>Hoy un asesor que ingresa cae en /cuenta, no en /asesor; la página /asesor igual se protege por su cuenta si se navega directo.</t>
        </is>
      </c>
    </row>
    <row r="28">
      <c r="A28" s="19" t="inlineStr">
        <is>
          <t>P-68</t>
        </is>
      </c>
      <c r="B28" s="4" t="inlineStr">
        <is>
          <t>Funcionalidad</t>
        </is>
      </c>
      <c r="C28" s="4" t="inlineStr">
        <is>
          <t>Convenios</t>
        </is>
      </c>
      <c r="D28" s="7" t="inlineStr">
        <is>
          <t>Convenios administrables desde /admin (crear, editar, ocultar, ordenar, logo en Storage); landing y /cuenta leen de la tabla convenios</t>
        </is>
      </c>
      <c r="E28" s="7" t="inlineStr">
        <is>
          <t>Carlos Pardo</t>
        </is>
      </c>
      <c r="F28" s="8" t="inlineStr">
        <is>
          <t>Media</t>
        </is>
      </c>
      <c r="G28" s="8" t="inlineStr">
        <is>
          <t>Pendiente</t>
        </is>
      </c>
      <c r="H28" s="8" t="inlineStr">
        <is>
          <t>5.9</t>
        </is>
      </c>
      <c r="I28" s="21">
        <f>IFERROR(INDEX(Plan!$B$5:$B$88,MATCH(H28,Plan!$A$5:$A$88,0)),"—")</f>
        <v/>
      </c>
      <c r="J28" s="7" t="inlineStr">
        <is>
          <t>Encargo externo (500.000 COP) por PR a develop. Ver P-73. 30-sep: Carlos salió; pasa a ga-funcionalidad-botones.</t>
        </is>
      </c>
    </row>
    <row r="29">
      <c r="A29" s="19" t="inlineStr">
        <is>
          <t>P-108</t>
        </is>
      </c>
      <c r="B29" s="4" t="inlineStr">
        <is>
          <t>Funcionalidad</t>
        </is>
      </c>
      <c r="C29" s="4" t="inlineStr">
        <is>
          <t>Asesor</t>
        </is>
      </c>
      <c r="D29" s="7" t="inlineStr">
        <is>
          <t>Backlog: premio al primer asesor</t>
        </is>
      </c>
      <c r="E29" s="7" t="inlineStr">
        <is>
          <t>ga-funcionalidad-botones</t>
        </is>
      </c>
      <c r="F29" s="8" t="inlineStr">
        <is>
          <t>Baja</t>
        </is>
      </c>
      <c r="G29" s="8" t="inlineStr">
        <is>
          <t>Pendiente</t>
        </is>
      </c>
      <c r="H29" s="8" t="inlineStr">
        <is>
          <t>5.11</t>
        </is>
      </c>
      <c r="I29" s="21">
        <f>IFERROR(INDEX(Plan!$B$5:$B$88,MATCH(H29,Plan!$A$5:$A$88,0)),"—")</f>
        <v/>
      </c>
      <c r="J29" s="7" t="inlineStr">
        <is>
          <t>Spec §12.12</t>
        </is>
      </c>
    </row>
    <row r="30">
      <c r="A30" s="19" t="inlineStr">
        <is>
          <t>P-109</t>
        </is>
      </c>
      <c r="B30" s="4" t="inlineStr">
        <is>
          <t>Funcionalidad</t>
        </is>
      </c>
      <c r="C30" s="4" t="inlineStr">
        <is>
          <t>/cuenta</t>
        </is>
      </c>
      <c r="D30" s="7" t="inlineStr">
        <is>
          <t>Backlog: carné virtual del asociado</t>
        </is>
      </c>
      <c r="E30" s="7" t="inlineStr">
        <is>
          <t>ga-diseno-a-codigo</t>
        </is>
      </c>
      <c r="F30" s="8" t="inlineStr">
        <is>
          <t>Baja</t>
        </is>
      </c>
      <c r="G30" s="8" t="inlineStr">
        <is>
          <t>Pendiente</t>
        </is>
      </c>
      <c r="H30" s="8" t="inlineStr">
        <is>
          <t>5.12</t>
        </is>
      </c>
      <c r="I30" s="21">
        <f>IFERROR(INDEX(Plan!$B$5:$B$88,MATCH(H30,Plan!$A$5:$A$88,0)),"—")</f>
        <v/>
      </c>
      <c r="J30" s="7" t="inlineStr">
        <is>
          <t>Spec §12.12</t>
        </is>
      </c>
    </row>
    <row r="31">
      <c r="A31" s="19" t="inlineStr">
        <is>
          <t>P-22</t>
        </is>
      </c>
      <c r="B31" s="4" t="inlineStr">
        <is>
          <t>Funcionalidad</t>
        </is>
      </c>
      <c r="C31" s="4" t="inlineStr">
        <is>
          <t>/ingresar</t>
        </is>
      </c>
      <c r="D31" s="7" t="inlineStr">
        <is>
          <t>Server Action: correo_por_cedula(), signInWithOtp, cookie firmada, ir a /ingresar/codigo</t>
        </is>
      </c>
      <c r="E31" s="7" t="inlineStr">
        <is>
          <t>ga-funcionalidad-botones</t>
        </is>
      </c>
      <c r="F31" s="8" t="inlineStr">
        <is>
          <t>Alta</t>
        </is>
      </c>
      <c r="G31" s="8" t="inlineStr">
        <is>
          <t>Hecho</t>
        </is>
      </c>
      <c r="H31" s="8" t="inlineStr">
        <is>
          <t>2.5</t>
        </is>
      </c>
      <c r="I31" s="21">
        <f>IFERROR(INDEX(Plan!$B$5:$B$88,MATCH(H31,Plan!$A$5:$A$88,0)),"—")</f>
        <v/>
      </c>
      <c r="J31" s="7" t="inlineStr"/>
    </row>
    <row r="32">
      <c r="A32" s="19" t="inlineStr">
        <is>
          <t>P-24</t>
        </is>
      </c>
      <c r="B32" s="4" t="inlineStr">
        <is>
          <t>Funcionalidad</t>
        </is>
      </c>
      <c r="C32" s="4" t="inlineStr">
        <is>
          <t>/ingresar/codigo</t>
        </is>
      </c>
      <c r="D32" s="7" t="inlineStr">
        <is>
          <t>Leer la cookie del paso 1; sin cookie, volver a /ingresar</t>
        </is>
      </c>
      <c r="E32" s="7" t="inlineStr">
        <is>
          <t>ga-funcionalidad-botones</t>
        </is>
      </c>
      <c r="F32" s="8" t="inlineStr">
        <is>
          <t>Alta</t>
        </is>
      </c>
      <c r="G32" s="8" t="inlineStr">
        <is>
          <t>Hecho</t>
        </is>
      </c>
      <c r="H32" s="8" t="inlineStr">
        <is>
          <t>2.6</t>
        </is>
      </c>
      <c r="I32" s="21">
        <f>IFERROR(INDEX(Plan!$B$5:$B$88,MATCH(H32,Plan!$A$5:$A$88,0)),"—")</f>
        <v/>
      </c>
      <c r="J32" s="7" t="inlineStr"/>
    </row>
    <row r="33">
      <c r="A33" s="19" t="inlineStr">
        <is>
          <t>P-25</t>
        </is>
      </c>
      <c r="B33" s="4" t="inlineStr">
        <is>
          <t>Funcionalidad</t>
        </is>
      </c>
      <c r="C33" s="4" t="inlineStr">
        <is>
          <t>/ingresar/codigo</t>
        </is>
      </c>
      <c r="D33" s="7" t="inlineStr">
        <is>
          <t>verifyOtp y entrar a /cuenta</t>
        </is>
      </c>
      <c r="E33" s="7" t="inlineStr">
        <is>
          <t>ga-funcionalidad-botones</t>
        </is>
      </c>
      <c r="F33" s="8" t="inlineStr">
        <is>
          <t>Alta</t>
        </is>
      </c>
      <c r="G33" s="8" t="inlineStr">
        <is>
          <t>Hecho</t>
        </is>
      </c>
      <c r="H33" s="8" t="inlineStr">
        <is>
          <t>2.6</t>
        </is>
      </c>
      <c r="I33" s="21">
        <f>IFERROR(INDEX(Plan!$B$5:$B$88,MATCH(H33,Plan!$A$5:$A$88,0)),"—")</f>
        <v/>
      </c>
      <c r="J33" s="7" t="inlineStr"/>
    </row>
    <row r="34">
      <c r="A34" s="19" t="inlineStr">
        <is>
          <t>P-28</t>
        </is>
      </c>
      <c r="B34" s="4" t="inlineStr">
        <is>
          <t>Funcionalidad</t>
        </is>
      </c>
      <c r="C34" s="4" t="inlineStr">
        <is>
          <t>/afiliacion</t>
        </is>
      </c>
      <c r="D34" s="7" t="inlineStr">
        <is>
          <t>Server Action: zod, límites por IP y cédula, guardar</t>
        </is>
      </c>
      <c r="E34" s="7" t="inlineStr">
        <is>
          <t>ga-funcionalidad-botones</t>
        </is>
      </c>
      <c r="F34" s="8" t="inlineStr">
        <is>
          <t>Alta</t>
        </is>
      </c>
      <c r="G34" s="8" t="inlineStr">
        <is>
          <t>Hecho</t>
        </is>
      </c>
      <c r="H34" s="8" t="inlineStr">
        <is>
          <t>2.9</t>
        </is>
      </c>
      <c r="I34" s="21">
        <f>IFERROR(INDEX(Plan!$B$5:$B$88,MATCH(H34,Plan!$A$5:$A$88,0)),"—")</f>
        <v/>
      </c>
      <c r="J34" s="7" t="inlineStr">
        <is>
          <t>23-sep: se quitaron los correos al equipo y al solicitante (decisión de Sebas). El equipo revisa las afiliaciones en Supabase hasta que exista el panel /admin; el correo «Ingreso aceptado» sale al aprobar (P-51).</t>
        </is>
      </c>
    </row>
    <row r="35">
      <c r="A35" s="19" t="inlineStr">
        <is>
          <t>P-31</t>
        </is>
      </c>
      <c r="B35" s="4" t="inlineStr">
        <is>
          <t>Funcionalidad</t>
        </is>
      </c>
      <c r="C35" s="4" t="inlineStr">
        <is>
          <t>/cuenta</t>
        </is>
      </c>
      <c r="D35" s="7" t="inlineStr">
        <is>
          <t>Proteger con proxy.ts y «Salir» con signOut</t>
        </is>
      </c>
      <c r="E35" s="7" t="inlineStr">
        <is>
          <t>ga-funcionalidad-botones</t>
        </is>
      </c>
      <c r="F35" s="8" t="inlineStr">
        <is>
          <t>Alta</t>
        </is>
      </c>
      <c r="G35" s="8" t="inlineStr">
        <is>
          <t>Hecho</t>
        </is>
      </c>
      <c r="H35" s="8" t="inlineStr">
        <is>
          <t>2.7</t>
        </is>
      </c>
      <c r="I35" s="21">
        <f>IFERROR(INDEX(Plan!$B$5:$B$88,MATCH(H35,Plan!$A$5:$A$88,0)),"—")</f>
        <v/>
      </c>
      <c r="J35" s="7" t="inlineStr"/>
    </row>
    <row r="36">
      <c r="A36" s="19" t="inlineStr">
        <is>
          <t>P-32</t>
        </is>
      </c>
      <c r="B36" s="4" t="inlineStr">
        <is>
          <t>Funcionalidad</t>
        </is>
      </c>
      <c r="C36" s="4" t="inlineStr">
        <is>
          <t>/cuenta</t>
        </is>
      </c>
      <c r="D36" s="7" t="inlineStr">
        <is>
          <t>Cargar perfil, última solicitud (con tasa), tope y convenios</t>
        </is>
      </c>
      <c r="E36" s="7" t="inlineStr">
        <is>
          <t>ga-funcionalidad-botones</t>
        </is>
      </c>
      <c r="F36" s="8" t="inlineStr">
        <is>
          <t>Alta</t>
        </is>
      </c>
      <c r="G36" s="8" t="inlineStr">
        <is>
          <t>Hecho</t>
        </is>
      </c>
      <c r="H36" s="8" t="inlineStr">
        <is>
          <t>3.5</t>
        </is>
      </c>
      <c r="I36" s="21">
        <f>IFERROR(INDEX(Plan!$B$5:$B$88,MATCH(H36,Plan!$A$5:$A$88,0)),"—")</f>
        <v/>
      </c>
      <c r="J36" s="7" t="inlineStr"/>
    </row>
    <row r="37">
      <c r="A37" s="19" t="inlineStr">
        <is>
          <t>P-35</t>
        </is>
      </c>
      <c r="B37" s="4" t="inlineStr">
        <is>
          <t>Funcionalidad</t>
        </is>
      </c>
      <c r="C37" s="4" t="inlineStr">
        <is>
          <t>Crédito</t>
        </is>
      </c>
      <c r="D37" s="7" t="inlineStr">
        <is>
          <t>Conectar el formulario de crédito a /cuenta</t>
        </is>
      </c>
      <c r="E37" s="7" t="inlineStr">
        <is>
          <t>ga-funcionalidad-botones</t>
        </is>
      </c>
      <c r="F37" s="8" t="inlineStr">
        <is>
          <t>Alta</t>
        </is>
      </c>
      <c r="G37" s="8" t="inlineStr">
        <is>
          <t>Hecho</t>
        </is>
      </c>
      <c r="H37" s="8" t="inlineStr">
        <is>
          <t>3.7</t>
        </is>
      </c>
      <c r="I37" s="21">
        <f>IFERROR(INDEX(Plan!$B$5:$B$88,MATCH(H37,Plan!$A$5:$A$88,0)),"—")</f>
        <v/>
      </c>
      <c r="J37" s="7" t="inlineStr">
        <is>
          <t>23-sep: el formulario vive en /cuenta/solicitar (protegida por proxy.ts, encabezado compartido EncabezadoCuenta); «Nueva solicitud» lleva ahí.</t>
        </is>
      </c>
    </row>
    <row r="38">
      <c r="A38" s="19" t="inlineStr">
        <is>
          <t>P-36</t>
        </is>
      </c>
      <c r="B38" s="4" t="inlineStr">
        <is>
          <t>Funcionalidad</t>
        </is>
      </c>
      <c r="C38" s="4" t="inlineStr">
        <is>
          <t>Admin</t>
        </is>
      </c>
      <c r="D38" s="7" t="inlineStr">
        <is>
          <t>Panel /admin: listado, aprobar y rechazar con motivo</t>
        </is>
      </c>
      <c r="E38" s="7" t="inlineStr">
        <is>
          <t>ga-funcionalidad-botones</t>
        </is>
      </c>
      <c r="F38" s="8" t="inlineStr">
        <is>
          <t>Alta</t>
        </is>
      </c>
      <c r="G38" s="8" t="inlineStr">
        <is>
          <t>Hecho</t>
        </is>
      </c>
      <c r="H38" s="8" t="inlineStr">
        <is>
          <t>4.1</t>
        </is>
      </c>
      <c r="I38" s="21">
        <f>IFERROR(INDEX(Plan!$B$5:$B$88,MATCH(H38,Plan!$A$5:$A$88,0)),"—")</f>
        <v/>
      </c>
      <c r="J38" s="7" t="inlineStr">
        <is>
          <t>24-sep: implementado y probado en local (commits 235ffbe, a13c2de). Un admin no puede resolver su propia solicitud.</t>
        </is>
      </c>
    </row>
    <row r="39">
      <c r="A39" s="19" t="inlineStr">
        <is>
          <t>P-38</t>
        </is>
      </c>
      <c r="B39" s="4" t="inlineStr">
        <is>
          <t>Funcionalidad</t>
        </is>
      </c>
      <c r="C39" s="4" t="inlineStr">
        <is>
          <t>Asociados</t>
        </is>
      </c>
      <c r="D39" s="7" t="inlineStr">
        <is>
          <t>Importación de asociados desde Excel</t>
        </is>
      </c>
      <c r="E39" s="7" t="inlineStr">
        <is>
          <t>ga-funcionalidad-botones</t>
        </is>
      </c>
      <c r="F39" s="8" t="inlineStr">
        <is>
          <t>Alta</t>
        </is>
      </c>
      <c r="G39" s="8" t="inlineStr">
        <is>
          <t>Hecho</t>
        </is>
      </c>
      <c r="H39" s="8" t="inlineStr">
        <is>
          <t>4.4</t>
        </is>
      </c>
      <c r="I39" s="21">
        <f>IFERROR(INDEX(Plan!$B$5:$B$88,MATCH(H39,Plan!$A$5:$A$88,0)),"—")</f>
        <v/>
      </c>
      <c r="J39" s="7" t="inlineStr">
        <is>
          <t>Ya no aplica: decisión de la cooperativa 2026-09-24, no habrá importación de Excel.</t>
        </is>
      </c>
    </row>
    <row r="40">
      <c r="A40" s="19" t="inlineStr">
        <is>
          <t>P-69</t>
        </is>
      </c>
      <c r="B40" s="4" t="inlineStr">
        <is>
          <t>Funcionalidad</t>
        </is>
      </c>
      <c r="C40" s="4" t="inlineStr">
        <is>
          <t>Legal</t>
        </is>
      </c>
      <c r="D40" s="7" t="inlineStr">
        <is>
          <t>Ley 1581: borrado automático de fotos de afiliaciones rechazadas tras X días y motivo de rechazo en /admin</t>
        </is>
      </c>
      <c r="E40" s="7" t="inlineStr">
        <is>
          <t>Carlos Pardo</t>
        </is>
      </c>
      <c r="F40" s="8" t="inlineStr">
        <is>
          <t>Alta</t>
        </is>
      </c>
      <c r="G40" s="8" t="inlineStr">
        <is>
          <t>Hecho</t>
        </is>
      </c>
      <c r="H40" s="8" t="inlineStr">
        <is>
          <t>5.10</t>
        </is>
      </c>
      <c r="I40" s="21">
        <f>IFERROR(INDEX(Plan!$B$5:$B$88,MATCH(H40,Plan!$A$5:$A$88,0)),"—")</f>
        <v/>
      </c>
      <c r="J40" s="7" t="inlineStr">
        <is>
          <t>Encargo externo (500.000 COP) por PR a develop. Falta que la cooperativa dé el X de días (ver P-63). Ver P-73. 29-sep: primera entrega (ZIP, base main anterior al rediseño C+) NO fusionable — reintroduce F2-03, pierde el revoke en resumen_clientes_asesor, columna de motivo de rechazo inexistente sin migración, purga con columnas/bucket equivocados y cron abierto sin CRON_SECRET, claves en .env.example, console.log, config de túnel, sin pruebas. Se le envió la lista de correcciones para rehacer sobre rediseno-c-plus, un PR por tarea. 30-sep: hecho por agentes (cron cada hora + RPC fotos_huerfanas_afiliacion).</t>
        </is>
      </c>
    </row>
    <row r="41">
      <c r="A41" s="19" t="inlineStr">
        <is>
          <t>P-85</t>
        </is>
      </c>
      <c r="B41" s="4" t="inlineStr">
        <is>
          <t>Funcionalidad</t>
        </is>
      </c>
      <c r="C41" s="4" t="inlineStr">
        <is>
          <t>/afiliacion</t>
        </is>
      </c>
      <c r="D41" s="7" t="inlineStr">
        <is>
          <t>Correo de afiliación acepta cualquier dominio (ya no exige @policia.gov.co / @ejercito.mil.co)</t>
        </is>
      </c>
      <c r="E41" s="7" t="inlineStr">
        <is>
          <t>sesión principal</t>
        </is>
      </c>
      <c r="F41" s="8" t="inlineStr">
        <is>
          <t>Alta</t>
        </is>
      </c>
      <c r="G41" s="8" t="inlineStr">
        <is>
          <t>Hecho</t>
        </is>
      </c>
      <c r="H41" s="8" t="inlineStr">
        <is>
          <t>2.12</t>
        </is>
      </c>
      <c r="I41" s="21">
        <f>IFERROR(INDEX(Plan!$B$5:$B$88,MATCH(H41,Plan!$A$5:$A$88,0)),"—")</f>
        <v/>
      </c>
      <c r="J41"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42">
      <c r="A42" s="19" t="inlineStr">
        <is>
          <t>P-112</t>
        </is>
      </c>
      <c r="B42" s="4" t="inlineStr">
        <is>
          <t>Funcionalidad</t>
        </is>
      </c>
      <c r="C42" s="4" t="inlineStr">
        <is>
          <t>Pruebas</t>
        </is>
      </c>
      <c r="D42" s="7" t="inlineStr">
        <is>
          <t>Agregar admin_metricas_dashboard y asesor_metricas_dashboard a las listas blancas de security definer (pgTAP 00 #14 y 15 #24)</t>
        </is>
      </c>
      <c r="E42" s="7" t="inlineStr">
        <is>
          <t>ga-escritor-tests</t>
        </is>
      </c>
      <c r="F42" s="8" t="inlineStr">
        <is>
          <t>Media</t>
        </is>
      </c>
      <c r="G42" s="8" t="inlineStr">
        <is>
          <t>Hecho</t>
        </is>
      </c>
      <c r="H42" s="8" t="inlineStr">
        <is>
          <t>6.21</t>
        </is>
      </c>
      <c r="I42" s="21">
        <f>IFERROR(INDEX(Plan!$B$5:$B$88,MATCH(H42,Plan!$A$5:$A$88,0)),"—")</f>
        <v/>
      </c>
      <c r="J42" s="7" t="inlineStr">
        <is>
          <t>30-sep: reportado por ga-auditor-supabase. 01-oct: listas blancas de 00 y 15 actualizadas por ga-auditor-supabase (falta correrlas: Docker).</t>
        </is>
      </c>
    </row>
    <row r="43">
      <c r="A43" s="19" t="inlineStr">
        <is>
          <t>P-23</t>
        </is>
      </c>
      <c r="B43" s="4" t="inlineStr">
        <is>
          <t>Funcionalidad</t>
        </is>
      </c>
      <c r="C43" s="4" t="inlineStr">
        <is>
          <t>/ingresar</t>
        </is>
      </c>
      <c r="D43" s="7" t="inlineStr">
        <is>
          <t>Estado «Enviando…» (prop cargando) y errores (prop error)</t>
        </is>
      </c>
      <c r="E43" s="7" t="inlineStr">
        <is>
          <t>ga-funcionalidad-botones</t>
        </is>
      </c>
      <c r="F43" s="8" t="inlineStr">
        <is>
          <t>Media</t>
        </is>
      </c>
      <c r="G43" s="8" t="inlineStr">
        <is>
          <t>Hecho</t>
        </is>
      </c>
      <c r="H43" s="8" t="inlineStr">
        <is>
          <t>2.5</t>
        </is>
      </c>
      <c r="I43" s="21">
        <f>IFERROR(INDEX(Plan!$B$5:$B$88,MATCH(H43,Plan!$A$5:$A$88,0)),"—")</f>
        <v/>
      </c>
      <c r="J43" s="7" t="inlineStr"/>
    </row>
    <row r="44">
      <c r="A44" s="19" t="inlineStr">
        <is>
          <t>P-26</t>
        </is>
      </c>
      <c r="B44" s="4" t="inlineStr">
        <is>
          <t>Funcionalidad</t>
        </is>
      </c>
      <c r="C44" s="4" t="inlineStr">
        <is>
          <t>/ingresar/codigo</t>
        </is>
      </c>
      <c r="D44" s="7" t="inlineStr">
        <is>
          <t>Casillas OTP: avance automático, Backspace, pegar; «Entrar» con 6 dígitos</t>
        </is>
      </c>
      <c r="E44" s="7" t="inlineStr">
        <is>
          <t>ga-funcionalidad-botones</t>
        </is>
      </c>
      <c r="F44" s="8" t="inlineStr">
        <is>
          <t>Media</t>
        </is>
      </c>
      <c r="G44" s="8" t="inlineStr">
        <is>
          <t>Hecho</t>
        </is>
      </c>
      <c r="H44" s="8" t="inlineStr">
        <is>
          <t>2.6</t>
        </is>
      </c>
      <c r="I44" s="21">
        <f>IFERROR(INDEX(Plan!$B$5:$B$88,MATCH(H44,Plan!$A$5:$A$88,0)),"—")</f>
        <v/>
      </c>
      <c r="J44" s="7" t="inlineStr"/>
    </row>
    <row r="45">
      <c r="A45" s="19" t="inlineStr">
        <is>
          <t>P-27</t>
        </is>
      </c>
      <c r="B45" s="4" t="inlineStr">
        <is>
          <t>Funcionalidad</t>
        </is>
      </c>
      <c r="C45" s="4" t="inlineStr">
        <is>
          <t>/ingresar/codigo</t>
        </is>
      </c>
      <c r="D45" s="7" t="inlineStr">
        <is>
          <t>«Reenviar código» con contador de 45 s; «Cambiar cédula» limpia la cookie</t>
        </is>
      </c>
      <c r="E45" s="7" t="inlineStr">
        <is>
          <t>ga-funcionalidad-botones</t>
        </is>
      </c>
      <c r="F45" s="8" t="inlineStr">
        <is>
          <t>Media</t>
        </is>
      </c>
      <c r="G45" s="8" t="inlineStr">
        <is>
          <t>Hecho</t>
        </is>
      </c>
      <c r="H45" s="8" t="inlineStr">
        <is>
          <t>2.6</t>
        </is>
      </c>
      <c r="I45" s="21">
        <f>IFERROR(INDEX(Plan!$B$5:$B$88,MATCH(H45,Plan!$A$5:$A$88,0)),"—")</f>
        <v/>
      </c>
      <c r="J45" s="7" t="inlineStr"/>
    </row>
    <row r="46">
      <c r="A46" s="19" t="inlineStr">
        <is>
          <t>P-29</t>
        </is>
      </c>
      <c r="B46" s="4" t="inlineStr">
        <is>
          <t>Funcionalidad</t>
        </is>
      </c>
      <c r="C46" s="4" t="inlineStr">
        <is>
          <t>/afiliacion</t>
        </is>
      </c>
      <c r="D46" s="7" t="inlineStr">
        <is>
          <t>Grados desde grados_credito, honeypot, errores y estado de carga</t>
        </is>
      </c>
      <c r="E46" s="7" t="inlineStr">
        <is>
          <t>ga-funcionalidad-botones</t>
        </is>
      </c>
      <c r="F46" s="8" t="inlineStr">
        <is>
          <t>Media</t>
        </is>
      </c>
      <c r="G46" s="8" t="inlineStr">
        <is>
          <t>Hecho</t>
        </is>
      </c>
      <c r="H46" s="8" t="inlineStr">
        <is>
          <t>2.9</t>
        </is>
      </c>
      <c r="I46" s="21">
        <f>IFERROR(INDEX(Plan!$B$5:$B$88,MATCH(H46,Plan!$A$5:$A$88,0)),"—")</f>
        <v/>
      </c>
      <c r="J46" s="7" t="inlineStr"/>
    </row>
    <row r="47">
      <c r="A47" s="19" t="inlineStr">
        <is>
          <t>P-33</t>
        </is>
      </c>
      <c r="B47" s="4" t="inlineStr">
        <is>
          <t>Funcionalidad</t>
        </is>
      </c>
      <c r="C47" s="4" t="inlineStr">
        <is>
          <t>/cuenta</t>
        </is>
      </c>
      <c r="D47" s="7" t="inlineStr">
        <is>
          <t>«Mis datos»: actualizar solo perfiles.telefono</t>
        </is>
      </c>
      <c r="E47" s="7" t="inlineStr">
        <is>
          <t>ga-funcionalidad-botones</t>
        </is>
      </c>
      <c r="F47" s="8" t="inlineStr">
        <is>
          <t>Media</t>
        </is>
      </c>
      <c r="G47" s="8" t="inlineStr">
        <is>
          <t>Hecho</t>
        </is>
      </c>
      <c r="H47" s="8" t="inlineStr">
        <is>
          <t>3.6</t>
        </is>
      </c>
      <c r="I47" s="21">
        <f>IFERROR(INDEX(Plan!$B$5:$B$88,MATCH(H47,Plan!$A$5:$A$88,0)),"—")</f>
        <v/>
      </c>
      <c r="J47" s="7" t="inlineStr">
        <is>
          <t>Con error, alinear «Guardar» con el campo desde 640 px.</t>
        </is>
      </c>
    </row>
    <row r="48">
      <c r="A48" s="19" t="inlineStr">
        <is>
          <t>P-48</t>
        </is>
      </c>
      <c r="B48" s="4" t="inlineStr">
        <is>
          <t>Funcionalidad</t>
        </is>
      </c>
      <c r="C48" s="4" t="inlineStr">
        <is>
          <t>/afiliacion</t>
        </is>
      </c>
      <c r="D48" s="7" t="inlineStr">
        <is>
          <t>F-01: el select «Grado» se vacía tras un error de validación</t>
        </is>
      </c>
      <c r="E48" s="7" t="inlineStr">
        <is>
          <t>ga-funcionalidad-botones</t>
        </is>
      </c>
      <c r="F48" s="8" t="inlineStr">
        <is>
          <t>Media</t>
        </is>
      </c>
      <c r="G48" s="8" t="inlineStr">
        <is>
          <t>Hecho</t>
        </is>
      </c>
      <c r="H48" s="8" t="inlineStr">
        <is>
          <t>2.11</t>
        </is>
      </c>
      <c r="I48" s="21">
        <f>IFERROR(INDEX(Plan!$B$5:$B$88,MATCH(H48,Plan!$A$5:$A$88,0)),"—")</f>
        <v/>
      </c>
      <c r="J48" s="7" t="inlineStr">
        <is>
          <t>Falla media de la verificación QA 1 (docs/verificaciones/2026-09-23-verificacion-1.md). 01-oct: corregido (formulario se rehace con key; conserva Institución/Grado).</t>
        </is>
      </c>
    </row>
    <row r="49">
      <c r="A49" s="19" t="inlineStr">
        <is>
          <t>P-74</t>
        </is>
      </c>
      <c r="B49" s="4" t="inlineStr">
        <is>
          <t>Funcionalidad</t>
        </is>
      </c>
      <c r="C49" s="4" t="inlineStr">
        <is>
          <t>/afiliacion</t>
        </is>
      </c>
      <c r="D49" s="7" t="inlineStr">
        <is>
          <t>Bug: esquemaAfiliacion no valida el cruce institución↔correo institucional si falla cualquier otro campo del formulario</t>
        </is>
      </c>
      <c r="E49" s="7" t="inlineStr">
        <is>
          <t>ga-funcionalidad-botones</t>
        </is>
      </c>
      <c r="F49" s="8" t="inlineStr">
        <is>
          <t>Media</t>
        </is>
      </c>
      <c r="G49" s="8" t="inlineStr">
        <is>
          <t>Hecho</t>
        </is>
      </c>
      <c r="H49" s="8" t="inlineStr">
        <is>
          <t>2.13</t>
        </is>
      </c>
      <c r="I49" s="21">
        <f>IFERROR(INDEX(Plan!$B$5:$B$88,MATCH(H49,Plan!$A$5:$A$88,0)),"—")</f>
        <v/>
      </c>
      <c r="J49"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50">
      <c r="A50" s="19" t="inlineStr">
        <is>
          <t>P-89</t>
        </is>
      </c>
      <c r="B50" s="4" t="inlineStr">
        <is>
          <t>Funcionalidad</t>
        </is>
      </c>
      <c r="C50" s="4" t="inlineStr">
        <is>
          <t>Admin</t>
        </is>
      </c>
      <c r="D50" s="7" t="inlineStr">
        <is>
          <t>Cuenta de demostración para administradores en /admin/demo (pestaña «Demostración»)</t>
        </is>
      </c>
      <c r="E50" s="7" t="inlineStr">
        <is>
          <t>sesión principal</t>
        </is>
      </c>
      <c r="F50" s="8" t="inlineStr">
        <is>
          <t>Media</t>
        </is>
      </c>
      <c r="G50" s="8" t="inlineStr">
        <is>
          <t>Hecho</t>
        </is>
      </c>
      <c r="H50" s="8" t="inlineStr">
        <is>
          <t>4.9</t>
        </is>
      </c>
      <c r="I50" s="21">
        <f>IFERROR(INDEX(Plan!$B$5:$B$88,MATCH(H50,Plan!$A$5:$A$88,0)),"—")</f>
        <v/>
      </c>
      <c r="J50"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51">
      <c r="A51" s="19" t="inlineStr">
        <is>
          <t>P-30</t>
        </is>
      </c>
      <c r="B51" s="4" t="inlineStr">
        <is>
          <t>Funcionalidad</t>
        </is>
      </c>
      <c r="C51" s="4" t="inlineStr">
        <is>
          <t>/afiliacion/enviada</t>
        </is>
      </c>
      <c r="D51" s="7" t="inlineStr">
        <is>
          <t>Mostrar el correo real; si se entra directo, redirigir</t>
        </is>
      </c>
      <c r="E51" s="7" t="inlineStr">
        <is>
          <t>ga-funcionalidad-botones</t>
        </is>
      </c>
      <c r="F51" s="8" t="inlineStr">
        <is>
          <t>Baja</t>
        </is>
      </c>
      <c r="G51" s="8" t="inlineStr">
        <is>
          <t>Hecho</t>
        </is>
      </c>
      <c r="H51" s="8" t="inlineStr">
        <is>
          <t>2.10</t>
        </is>
      </c>
      <c r="I51" s="21">
        <f>IFERROR(INDEX(Plan!$B$5:$B$88,MATCH(H51,Plan!$A$5:$A$88,0)),"—")</f>
        <v/>
      </c>
      <c r="J51" s="7" t="inlineStr"/>
    </row>
    <row r="52">
      <c r="A52" s="19" t="inlineStr">
        <is>
          <t>P-34</t>
        </is>
      </c>
      <c r="B52" s="4" t="inlineStr">
        <is>
          <t>Funcionalidad</t>
        </is>
      </c>
      <c r="C52" s="4" t="inlineStr">
        <is>
          <t>Landing</t>
        </is>
      </c>
      <c r="D52" s="7" t="inlineStr">
        <is>
          <t>«Mi cuenta», «Ingresar», «Solicitar crédito», «Ver beneficios» → /cuenta con sesión</t>
        </is>
      </c>
      <c r="E52" s="7" t="inlineStr">
        <is>
          <t>ga-funcionalidad-botones</t>
        </is>
      </c>
      <c r="F52" s="8" t="inlineStr">
        <is>
          <t>Baja</t>
        </is>
      </c>
      <c r="G52" s="8" t="inlineStr">
        <is>
          <t>Hecho</t>
        </is>
      </c>
      <c r="H52" s="8" t="inlineStr">
        <is>
          <t>2.8</t>
        </is>
      </c>
      <c r="I52" s="21">
        <f>IFERROR(INDEX(Plan!$B$5:$B$88,MATCH(H52,Plan!$A$5:$A$88,0)),"—")</f>
        <v/>
      </c>
      <c r="J52" s="7" t="inlineStr">
        <is>
          <t>Convenios fijos en la landing por ahora.</t>
        </is>
      </c>
    </row>
    <row r="53">
      <c r="A53" s="19" t="inlineStr">
        <is>
          <t>P-16</t>
        </is>
      </c>
      <c r="B53" s="4" t="inlineStr">
        <is>
          <t>Dato de la cooperativa</t>
        </is>
      </c>
      <c r="C53" s="4" t="inlineStr">
        <is>
          <t>Landing</t>
        </is>
      </c>
      <c r="D53" s="7" t="inlineStr">
        <is>
          <t>Fotos reales, cifras y testimonios</t>
        </is>
      </c>
      <c r="E53" s="7" t="inlineStr">
        <is>
          <t>Cooperativa</t>
        </is>
      </c>
      <c r="F53" s="8" t="inlineStr">
        <is>
          <t>Baja</t>
        </is>
      </c>
      <c r="G53" s="8" t="inlineStr">
        <is>
          <t>Pendiente</t>
        </is>
      </c>
      <c r="H53" s="8" t="inlineStr">
        <is>
          <t>5.3</t>
        </is>
      </c>
      <c r="I53" s="21">
        <f>IFERROR(INDEX(Plan!$B$5:$B$88,MATCH(H53,Plan!$A$5:$A$88,0)),"—")</f>
        <v/>
      </c>
      <c r="J53" s="7" t="inlineStr">
        <is>
          <t>23-sep: los espacios de foto de la landing ya tienen diseño de marca (EspacioFoto). Para poner la foto real se cambia `null` por { src, alt }. Faltan las fotos de la cooperativa.</t>
        </is>
      </c>
    </row>
    <row r="54">
      <c r="A54" s="19" t="inlineStr">
        <is>
          <t>P-14</t>
        </is>
      </c>
      <c r="B54" s="4" t="inlineStr">
        <is>
          <t>Dato de la cooperativa</t>
        </is>
      </c>
      <c r="C54" s="4" t="inlineStr">
        <is>
          <t>Legal</t>
        </is>
      </c>
      <c r="D54" s="7" t="inlineStr">
        <is>
          <t>Texto de la política de datos</t>
        </is>
      </c>
      <c r="E54" s="7" t="inlineStr">
        <is>
          <t>Cooperativa</t>
        </is>
      </c>
      <c r="F54" s="8" t="inlineStr">
        <is>
          <t>Alta</t>
        </is>
      </c>
      <c r="G54" s="8" t="inlineStr">
        <is>
          <t>Hecho</t>
        </is>
      </c>
      <c r="H54" s="8" t="inlineStr">
        <is>
          <t>5.4</t>
        </is>
      </c>
      <c r="I54" s="21">
        <f>IFERROR(INDEX(Plan!$B$5:$B$88,MATCH(H54,Plan!$A$5:$A$88,0)),"—")</f>
        <v/>
      </c>
      <c r="J54"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55">
      <c r="A55" s="19" t="inlineStr">
        <is>
          <t>P-18</t>
        </is>
      </c>
      <c r="B55" s="4" t="inlineStr">
        <is>
          <t>Dato de la cooperativa</t>
        </is>
      </c>
      <c r="C55" s="4" t="inlineStr">
        <is>
          <t>Asociados</t>
        </is>
      </c>
      <c r="D55" s="7" t="inlineStr">
        <is>
          <t>Correos reales de los asociados (Excel de importación)</t>
        </is>
      </c>
      <c r="E55" s="7" t="inlineStr">
        <is>
          <t>Cooperativa</t>
        </is>
      </c>
      <c r="F55" s="8" t="inlineStr">
        <is>
          <t>Alta</t>
        </is>
      </c>
      <c r="G55" s="8" t="inlineStr">
        <is>
          <t>Hecho</t>
        </is>
      </c>
      <c r="H55" s="8" t="inlineStr">
        <is>
          <t>4.4</t>
        </is>
      </c>
      <c r="I55" s="21">
        <f>IFERROR(INDEX(Plan!$B$5:$B$88,MATCH(H55,Plan!$A$5:$A$88,0)),"—")</f>
        <v/>
      </c>
      <c r="J55" s="7" t="inlineStr">
        <is>
          <t>Ya no aplica: decisión de la cooperativa 2026-09-24, no habrá importación de Excel. El ingreso ahora se resuelve con la afiliación v2 (correo institucional propio) más aprobación en /admin.</t>
        </is>
      </c>
    </row>
    <row r="56">
      <c r="A56" s="19" t="inlineStr">
        <is>
          <t>P-75</t>
        </is>
      </c>
      <c r="B56" s="4" t="inlineStr">
        <is>
          <t>Dato de la cooperativa</t>
        </is>
      </c>
      <c r="C56" s="4" t="inlineStr">
        <is>
          <t>Legal</t>
        </is>
      </c>
      <c r="D56" s="7" t="inlineStr">
        <is>
          <t>NIT, dirección y ciudad de la cooperativa para la política de datos</t>
        </is>
      </c>
      <c r="E56" s="7" t="inlineStr">
        <is>
          <t>Cooperativa</t>
        </is>
      </c>
      <c r="F56" s="8" t="inlineStr">
        <is>
          <t>Alta</t>
        </is>
      </c>
      <c r="G56" s="8" t="inlineStr">
        <is>
          <t>Hecho</t>
        </is>
      </c>
      <c r="H56" s="8" t="inlineStr">
        <is>
          <t>5.4</t>
        </is>
      </c>
      <c r="I56" s="21">
        <f>IFERROR(INDEX(Plan!$B$5:$B$88,MATCH(H56,Plan!$A$5:$A$88,0)),"—")</f>
        <v/>
      </c>
      <c r="J56" s="7" t="inlineStr">
        <is>
          <t>24-sep: reportado por la sesión principal, necesario para publicar /politica-de-datos. 30-sep: NIT 902.103.335-7, Cr 78 No. 16 D 71, Bogotá (Cámara de Comercio).</t>
        </is>
      </c>
    </row>
    <row r="57">
      <c r="A57" s="19" t="inlineStr">
        <is>
          <t>P-76</t>
        </is>
      </c>
      <c r="B57" s="4" t="inlineStr">
        <is>
          <t>Dato de la cooperativa</t>
        </is>
      </c>
      <c r="C57" s="4" t="inlineStr">
        <is>
          <t>Legal</t>
        </is>
      </c>
      <c r="D57" s="7" t="inlineStr">
        <is>
          <t>Fecha de vigencia de la política de datos</t>
        </is>
      </c>
      <c r="E57" s="7" t="inlineStr">
        <is>
          <t>Cooperativa</t>
        </is>
      </c>
      <c r="F57" s="8" t="inlineStr">
        <is>
          <t>Alta</t>
        </is>
      </c>
      <c r="G57" s="8" t="inlineStr">
        <is>
          <t>Hecho</t>
        </is>
      </c>
      <c r="H57" s="8" t="inlineStr">
        <is>
          <t>5.4</t>
        </is>
      </c>
      <c r="I57" s="21">
        <f>IFERROR(INDEX(Plan!$B$5:$B$88,MATCH(H57,Plan!$A$5:$A$88,0)),"—")</f>
        <v/>
      </c>
      <c r="J57" s="7" t="inlineStr">
        <is>
          <t>24-sep: reportado por la sesión principal.</t>
        </is>
      </c>
    </row>
    <row r="58">
      <c r="A58" s="19" t="inlineStr">
        <is>
          <t>P-77</t>
        </is>
      </c>
      <c r="B58" s="4" t="inlineStr">
        <is>
          <t>Dato de la cooperativa</t>
        </is>
      </c>
      <c r="C58" s="4" t="inlineStr">
        <is>
          <t>Legal</t>
        </is>
      </c>
      <c r="D58" s="7" t="inlineStr">
        <is>
          <t>País o región de los servidores (Supabase, Vercel, Resend)</t>
        </is>
      </c>
      <c r="E58" s="7" t="inlineStr">
        <is>
          <t>Cooperativa</t>
        </is>
      </c>
      <c r="F58" s="8" t="inlineStr">
        <is>
          <t>Alta</t>
        </is>
      </c>
      <c r="G58" s="8" t="inlineStr">
        <is>
          <t>Hecho</t>
        </is>
      </c>
      <c r="H58" s="8" t="inlineStr">
        <is>
          <t>5.4</t>
        </is>
      </c>
      <c r="I58" s="21">
        <f>IFERROR(INDEX(Plan!$B$5:$B$88,MATCH(H58,Plan!$A$5:$A$88,0)),"—")</f>
        <v/>
      </c>
      <c r="J58" s="7" t="inlineStr">
        <is>
          <t>24-sep: reportado por la sesión principal, dato exigido por la Ley 1581 para informar transferencia internacional de datos.</t>
        </is>
      </c>
    </row>
    <row r="59">
      <c r="A59" s="19" t="inlineStr">
        <is>
          <t>P-78</t>
        </is>
      </c>
      <c r="B59" s="4" t="inlineStr">
        <is>
          <t>Dato de la cooperativa</t>
        </is>
      </c>
      <c r="C59" s="4" t="inlineStr">
        <is>
          <t>Legal</t>
        </is>
      </c>
      <c r="D59" s="7" t="inlineStr">
        <is>
          <t>Alternativa de verificación para quien no quiera subir la selfie</t>
        </is>
      </c>
      <c r="E59" s="7" t="inlineStr">
        <is>
          <t>Cooperativa</t>
        </is>
      </c>
      <c r="F59" s="8" t="inlineStr">
        <is>
          <t>Alta</t>
        </is>
      </c>
      <c r="G59" s="8" t="inlineStr">
        <is>
          <t>Hecho</t>
        </is>
      </c>
      <c r="H59" s="8" t="inlineStr">
        <is>
          <t>5.4</t>
        </is>
      </c>
      <c r="I59" s="21">
        <f>IFERROR(INDEX(Plan!$B$5:$B$88,MATCH(H59,Plan!$A$5:$A$88,0)),"—")</f>
        <v/>
      </c>
      <c r="J59" s="7" t="inlineStr">
        <is>
          <t>24-sep: reportado por la sesión principal.</t>
        </is>
      </c>
    </row>
    <row r="60">
      <c r="A60" s="19" t="inlineStr">
        <is>
          <t>P-79</t>
        </is>
      </c>
      <c r="B60" s="4" t="inlineStr">
        <is>
          <t>Dato de la cooperativa</t>
        </is>
      </c>
      <c r="C60" s="4" t="inlineStr">
        <is>
          <t>Legal</t>
        </is>
      </c>
      <c r="D60" s="7" t="inlineStr">
        <is>
          <t>Plazos de conservación de los datos (fotos de rechazados y de asociados, y demás datos)</t>
        </is>
      </c>
      <c r="E60" s="7" t="inlineStr">
        <is>
          <t>Cooperativa</t>
        </is>
      </c>
      <c r="F60" s="8" t="inlineStr">
        <is>
          <t>Alta</t>
        </is>
      </c>
      <c r="G60" s="8" t="inlineStr">
        <is>
          <t>Hecho</t>
        </is>
      </c>
      <c r="H60" s="8" t="inlineStr">
        <is>
          <t>5.4</t>
        </is>
      </c>
      <c r="I60" s="21">
        <f>IFERROR(INDEX(Plan!$B$5:$B$88,MATCH(H60,Plan!$A$5:$A$88,0)),"—")</f>
        <v/>
      </c>
      <c r="J60" s="7" t="inlineStr">
        <is>
          <t>24-sep: reportado por la sesión principal; el plazo de las fotos es el mismo que decida P-63 (borrado automático de fotos rechazadas, 5.10).</t>
        </is>
      </c>
    </row>
    <row r="61">
      <c r="A61" s="19" t="inlineStr">
        <is>
          <t>P-10</t>
        </is>
      </c>
      <c r="B61" s="4" t="inlineStr">
        <is>
          <t>Dato de la cooperativa</t>
        </is>
      </c>
      <c r="C61" s="4" t="inlineStr">
        <is>
          <t>Configuración</t>
        </is>
      </c>
      <c r="D61" s="7" t="inlineStr">
        <is>
          <t>Número de WhatsApp (NEXT_PUBLIC_WHATSAPP)</t>
        </is>
      </c>
      <c r="E61" s="7" t="inlineStr">
        <is>
          <t>Cooperativa</t>
        </is>
      </c>
      <c r="F61" s="8" t="inlineStr">
        <is>
          <t>Media</t>
        </is>
      </c>
      <c r="G61" s="8" t="inlineStr">
        <is>
          <t>Hecho</t>
        </is>
      </c>
      <c r="H61" s="8" t="inlineStr">
        <is>
          <t>5.3</t>
        </is>
      </c>
      <c r="I61" s="21">
        <f>IFERROR(INDEX(Plan!$B$5:$B$88,MATCH(H61,Plan!$A$5:$A$88,0)),"—")</f>
        <v/>
      </c>
      <c r="J61" s="7" t="inlineStr">
        <is>
          <t>24-sep: 311 724 1942.</t>
        </is>
      </c>
    </row>
    <row r="62">
      <c r="A62" s="19" t="inlineStr">
        <is>
          <t>P-11</t>
        </is>
      </c>
      <c r="B62" s="4" t="inlineStr">
        <is>
          <t>Dato de la cooperativa</t>
        </is>
      </c>
      <c r="C62" s="4" t="inlineStr">
        <is>
          <t>Configuración</t>
        </is>
      </c>
      <c r="D62" s="7" t="inlineStr">
        <is>
          <t>Días hábiles de respuesta (DIAS_RESPUESTA)</t>
        </is>
      </c>
      <c r="E62" s="7" t="inlineStr">
        <is>
          <t>Cooperativa</t>
        </is>
      </c>
      <c r="F62" s="8" t="inlineStr">
        <is>
          <t>Media</t>
        </is>
      </c>
      <c r="G62" s="8" t="inlineStr">
        <is>
          <t>Hecho</t>
        </is>
      </c>
      <c r="H62" s="8" t="inlineStr">
        <is>
          <t>5.3</t>
        </is>
      </c>
      <c r="I62" s="21">
        <f>IFERROR(INDEX(Plan!$B$5:$B$88,MATCH(H62,Plan!$A$5:$A$88,0)),"—")</f>
        <v/>
      </c>
      <c r="J62" s="7" t="inlineStr">
        <is>
          <t>24-sep: la cooperativa dio el tiempo de respuesta como «4 horas o menos» (ver P-17); se usa ese dato en vez de días hábiles.</t>
        </is>
      </c>
    </row>
    <row r="63">
      <c r="A63" s="19" t="inlineStr">
        <is>
          <t>P-12</t>
        </is>
      </c>
      <c r="B63" s="4" t="inlineStr">
        <is>
          <t>Dato de la cooperativa</t>
        </is>
      </c>
      <c r="C63" s="4" t="inlineStr">
        <is>
          <t>Configuración</t>
        </is>
      </c>
      <c r="D63" s="7" t="inlineStr">
        <is>
          <t>Correo de contacto (CORREO_CONTACTO)</t>
        </is>
      </c>
      <c r="E63" s="7" t="inlineStr">
        <is>
          <t>Cooperativa</t>
        </is>
      </c>
      <c r="F63" s="8" t="inlineStr">
        <is>
          <t>Media</t>
        </is>
      </c>
      <c r="G63" s="8" t="inlineStr">
        <is>
          <t>Hecho</t>
        </is>
      </c>
      <c r="H63" s="8" t="inlineStr">
        <is>
          <t>5.3</t>
        </is>
      </c>
      <c r="I63" s="21">
        <f>IFERROR(INDEX(Plan!$B$5:$B$88,MATCH(H63,Plan!$A$5:$A$88,0)),"—")</f>
        <v/>
      </c>
      <c r="J63" s="7" t="inlineStr">
        <is>
          <t>24-sep: soporte@greenallianceco.com.</t>
        </is>
      </c>
    </row>
    <row r="64">
      <c r="A64" s="19" t="inlineStr">
        <is>
          <t>P-13</t>
        </is>
      </c>
      <c r="B64" s="4" t="inlineStr">
        <is>
          <t>Dato de la cooperativa</t>
        </is>
      </c>
      <c r="C64" s="4" t="inlineStr">
        <is>
          <t>Configuración</t>
        </is>
      </c>
      <c r="D64" s="7" t="inlineStr">
        <is>
          <t>Texto de vigilancia de Supersolidaria (TEXTO_VIGILANCIA)</t>
        </is>
      </c>
      <c r="E64" s="7" t="inlineStr">
        <is>
          <t>Cooperativa</t>
        </is>
      </c>
      <c r="F64" s="8" t="inlineStr">
        <is>
          <t>Media</t>
        </is>
      </c>
      <c r="G64" s="8" t="inlineStr">
        <is>
          <t>Hecho</t>
        </is>
      </c>
      <c r="H64" s="8" t="inlineStr">
        <is>
          <t>5.3</t>
        </is>
      </c>
      <c r="I64" s="21">
        <f>IFERROR(INDEX(Plan!$B$5:$B$88,MATCH(H64,Plan!$A$5:$A$88,0)),"—")</f>
        <v/>
      </c>
      <c r="J64" s="7" t="inlineStr">
        <is>
          <t>25-sep: Sebas confirmó que la cooperativa está vigilada por la Supersolidaria; TEXTO_VIGILANCIA pasa a «Vigilada por Supersolidaria» en local (falta desplegar).</t>
        </is>
      </c>
    </row>
    <row r="65">
      <c r="A65" s="19" t="inlineStr">
        <is>
          <t>P-15</t>
        </is>
      </c>
      <c r="B65" s="4" t="inlineStr">
        <is>
          <t>Dato de la cooperativa</t>
        </is>
      </c>
      <c r="C65" s="4" t="inlineStr">
        <is>
          <t>/cuenta</t>
        </is>
      </c>
      <c r="D65" s="7" t="inlineStr">
        <is>
          <t>Destino de «Nueva solicitud» (nav y acceso rápido)</t>
        </is>
      </c>
      <c r="E65" s="7" t="inlineStr">
        <is>
          <t>Yo</t>
        </is>
      </c>
      <c r="F65" s="8" t="inlineStr">
        <is>
          <t>Media</t>
        </is>
      </c>
      <c r="G65" s="8" t="inlineStr">
        <is>
          <t>Hecho</t>
        </is>
      </c>
      <c r="H65" s="8" t="inlineStr">
        <is>
          <t>3.7</t>
        </is>
      </c>
      <c r="I65" s="21">
        <f>IFERROR(INDEX(Plan!$B$5:$B$88,MATCH(H65,Plan!$A$5:$A$88,0)),"—")</f>
        <v/>
      </c>
      <c r="J65" s="7" t="inlineStr">
        <is>
          <t>Hoy es href="#".</t>
        </is>
      </c>
    </row>
    <row r="66">
      <c r="A66" s="19" t="inlineStr">
        <is>
          <t>P-46</t>
        </is>
      </c>
      <c r="B66" s="4" t="inlineStr">
        <is>
          <t>Dato de la cooperativa</t>
        </is>
      </c>
      <c r="C66" s="4" t="inlineStr">
        <is>
          <t>/afiliacion</t>
        </is>
      </c>
      <c r="D66" s="7" t="inlineStr">
        <is>
          <t>Nombres oficiales de los grados</t>
        </is>
      </c>
      <c r="E66" s="7" t="inlineStr">
        <is>
          <t>Cooperativa</t>
        </is>
      </c>
      <c r="F66" s="8" t="inlineStr">
        <is>
          <t>Media</t>
        </is>
      </c>
      <c r="G66" s="8" t="inlineStr">
        <is>
          <t>Hecho</t>
        </is>
      </c>
      <c r="H66" s="8" t="inlineStr">
        <is>
          <t>5.3</t>
        </is>
      </c>
      <c r="I66" s="21">
        <f>IFERROR(INDEX(Plan!$B$5:$B$88,MATCH(H66,Plan!$A$5:$A$88,0)),"—")</f>
        <v/>
      </c>
      <c r="J66" s="7" t="inlineStr">
        <is>
          <t>Se usan en el select «Grado» (grados_credito).</t>
        </is>
      </c>
    </row>
    <row r="67">
      <c r="A67" s="19" t="inlineStr">
        <is>
          <t>P-47</t>
        </is>
      </c>
      <c r="B67" s="4" t="inlineStr">
        <is>
          <t>Dato de la cooperativa</t>
        </is>
      </c>
      <c r="C67" s="4" t="inlineStr">
        <is>
          <t>/cuenta</t>
        </is>
      </c>
      <c r="D67" s="7" t="inlineStr">
        <is>
          <t>Estado de desembolso (cómo y cuándo se informa al asociado)</t>
        </is>
      </c>
      <c r="E67" s="7" t="inlineStr">
        <is>
          <t>Cooperativa</t>
        </is>
      </c>
      <c r="F67" s="8" t="inlineStr">
        <is>
          <t>Media</t>
        </is>
      </c>
      <c r="G67" s="8" t="inlineStr">
        <is>
          <t>Hecho</t>
        </is>
      </c>
      <c r="H67" s="8" t="inlineStr">
        <is>
          <t>5.3</t>
        </is>
      </c>
      <c r="I67" s="21">
        <f>IFERROR(INDEX(Plan!$B$5:$B$88,MATCH(H67,Plan!$A$5:$A$88,0)),"—")</f>
        <v/>
      </c>
      <c r="J67" s="7" t="inlineStr">
        <is>
          <t>Reportado por ga-funcionalidad-botones el 23-sep. 25-sep: también identificado por ga-auditor-supabase en la auditoría de backend del rediseño C+ (misma pregunta, no se duplica).</t>
        </is>
      </c>
    </row>
    <row r="68">
      <c r="A68" s="19" t="inlineStr">
        <is>
          <t>P-80</t>
        </is>
      </c>
      <c r="B68" s="4" t="inlineStr">
        <is>
          <t>Dato de la cooperativa</t>
        </is>
      </c>
      <c r="C68" s="4" t="inlineStr">
        <is>
          <t>Legal</t>
        </is>
      </c>
      <c r="D68" s="7" t="inlineStr">
        <is>
          <t>Si van a reportar a centrales de riesgo (Ley 1266, autorización aparte)</t>
        </is>
      </c>
      <c r="E68" s="7" t="inlineStr">
        <is>
          <t>Cooperativa</t>
        </is>
      </c>
      <c r="F68" s="8" t="inlineStr">
        <is>
          <t>Media</t>
        </is>
      </c>
      <c r="G68" s="8" t="inlineStr">
        <is>
          <t>Hecho</t>
        </is>
      </c>
      <c r="H68" s="8" t="inlineStr">
        <is>
          <t>5.4</t>
        </is>
      </c>
      <c r="I68" s="21">
        <f>IFERROR(INDEX(Plan!$B$5:$B$88,MATCH(H68,Plan!$A$5:$A$88,0)),"—")</f>
        <v/>
      </c>
      <c r="J68" s="7" t="inlineStr">
        <is>
          <t>24-sep: reportado por la sesión principal.</t>
        </is>
      </c>
    </row>
    <row r="69">
      <c r="A69" s="19" t="inlineStr">
        <is>
          <t>P-90</t>
        </is>
      </c>
      <c r="B69" s="4" t="inlineStr">
        <is>
          <t>Dato de la cooperativa</t>
        </is>
      </c>
      <c r="C69" s="4" t="inlineStr">
        <is>
          <t>Backend C+</t>
        </is>
      </c>
      <c r="D69" s="7" t="inlineStr">
        <is>
          <t>Origen de la fecha del primer descuento del embargo solidario</t>
        </is>
      </c>
      <c r="E69" s="7" t="inlineStr">
        <is>
          <t>Cooperativa</t>
        </is>
      </c>
      <c r="F69" s="8" t="inlineStr">
        <is>
          <t>Media</t>
        </is>
      </c>
      <c r="G69" s="8" t="inlineStr">
        <is>
          <t>Hecho</t>
        </is>
      </c>
      <c r="H69" s="8" t="inlineStr">
        <is>
          <t>1.8</t>
        </is>
      </c>
      <c r="I69" s="21">
        <f>IFERROR(INDEX(Plan!$B$5:$B$88,MATCH(H69,Plan!$A$5:$A$88,0)),"—")</f>
        <v/>
      </c>
      <c r="J69" s="7" t="inlineStr">
        <is>
          <t>25-sep: pregunta abierta del informe de ga-auditor-supabase (docs/auditorias/2026-09-25-backend-rediseno-c-plus.md).</t>
        </is>
      </c>
    </row>
    <row r="70">
      <c r="A70" s="19" t="inlineStr">
        <is>
          <t>P-91</t>
        </is>
      </c>
      <c r="B70" s="4" t="inlineStr">
        <is>
          <t>Dato de la cooperativa</t>
        </is>
      </c>
      <c r="C70" s="4" t="inlineStr">
        <is>
          <t>Backend C+</t>
        </is>
      </c>
      <c r="D70" s="7" t="inlineStr">
        <is>
          <t>Proceso para dar de baja a un asociado</t>
        </is>
      </c>
      <c r="E70" s="7" t="inlineStr">
        <is>
          <t>Cooperativa</t>
        </is>
      </c>
      <c r="F70" s="8" t="inlineStr">
        <is>
          <t>Media</t>
        </is>
      </c>
      <c r="G70" s="8" t="inlineStr">
        <is>
          <t>Hecho</t>
        </is>
      </c>
      <c r="H70" s="8" t="inlineStr">
        <is>
          <t>1.8</t>
        </is>
      </c>
      <c r="I70" s="21">
        <f>IFERROR(INDEX(Plan!$B$5:$B$88,MATCH(H70,Plan!$A$5:$A$88,0)),"—")</f>
        <v/>
      </c>
      <c r="J70" s="7" t="inlineStr">
        <is>
          <t>25-sep: pregunta abierta del informe de ga-auditor-supabase; relacionada con la migración de institución/activo en perfiles.</t>
        </is>
      </c>
    </row>
    <row r="71">
      <c r="A71" s="19" t="inlineStr">
        <is>
          <t>P-92</t>
        </is>
      </c>
      <c r="B71" s="4" t="inlineStr">
        <is>
          <t>Dato de la cooperativa</t>
        </is>
      </c>
      <c r="C71" s="4" t="inlineStr">
        <is>
          <t>Backend C+</t>
        </is>
      </c>
      <c r="D71" s="7" t="inlineStr">
        <is>
          <t>Quién dispara el correo del aviso del sorteo</t>
        </is>
      </c>
      <c r="E71" s="7" t="inlineStr">
        <is>
          <t>Cooperativa</t>
        </is>
      </c>
      <c r="F71" s="8" t="inlineStr">
        <is>
          <t>Media</t>
        </is>
      </c>
      <c r="G71" s="8" t="inlineStr">
        <is>
          <t>Hecho</t>
        </is>
      </c>
      <c r="H71" s="8" t="inlineStr">
        <is>
          <t>1.8</t>
        </is>
      </c>
      <c r="I71" s="21">
        <f>IFERROR(INDEX(Plan!$B$5:$B$88,MATCH(H71,Plan!$A$5:$A$88,0)),"—")</f>
        <v/>
      </c>
      <c r="J71" s="7" t="inlineStr">
        <is>
          <t>25-sep: pregunta abierta del informe de ga-auditor-supabase; relacionada con la migración perfiles_avisar_sorteo.</t>
        </is>
      </c>
    </row>
    <row r="72">
      <c r="A72" s="19" t="inlineStr">
        <is>
          <t>P-93</t>
        </is>
      </c>
      <c r="B72" s="4" t="inlineStr">
        <is>
          <t>Dato de la cooperativa</t>
        </is>
      </c>
      <c r="C72" s="4" t="inlineStr">
        <is>
          <t>Landing C+</t>
        </is>
      </c>
      <c r="D72" s="7" t="inlineStr">
        <is>
          <t>Confirmar las cifras de la landing C+ (+200 asociados, 4 horas, 3 años, 5 sedes con sus ciudades, embargo a 36 meses)</t>
        </is>
      </c>
      <c r="E72" s="7" t="inlineStr">
        <is>
          <t>Cooperativa</t>
        </is>
      </c>
      <c r="F72" s="8" t="inlineStr">
        <is>
          <t>Media</t>
        </is>
      </c>
      <c r="G72" s="8" t="inlineStr">
        <is>
          <t>Hecho</t>
        </is>
      </c>
      <c r="H72" s="8" t="inlineStr">
        <is>
          <t>2.14</t>
        </is>
      </c>
      <c r="I72" s="21">
        <f>IFERROR(INDEX(Plan!$B$5:$B$88,MATCH(H72,Plan!$A$5:$A$88,0)),"—")</f>
        <v/>
      </c>
      <c r="J72" s="7" t="inlineStr">
        <is>
          <t>25-sep: cifras usadas en el nuevo hero/servicios del rediseño C+; falta confirmarlas con la cooperativa.</t>
        </is>
      </c>
    </row>
    <row r="73">
      <c r="A73" s="19" t="inlineStr">
        <is>
          <t>P-17</t>
        </is>
      </c>
      <c r="B73" s="4" t="inlineStr">
        <is>
          <t>Dato de la cooperativa</t>
        </is>
      </c>
      <c r="C73" s="4" t="inlineStr">
        <is>
          <t>Landing</t>
        </is>
      </c>
      <c r="D73" s="7" t="inlineStr">
        <is>
          <t>Tiempo de respuesta real ([TIEMPO] y [T])</t>
        </is>
      </c>
      <c r="E73" s="7" t="inlineStr">
        <is>
          <t>Cooperativa</t>
        </is>
      </c>
      <c r="F73" s="8" t="inlineStr">
        <is>
          <t>Baja</t>
        </is>
      </c>
      <c r="G73" s="8" t="inlineStr">
        <is>
          <t>Hecho</t>
        </is>
      </c>
      <c r="H73" s="8" t="inlineStr">
        <is>
          <t>5.3</t>
        </is>
      </c>
      <c r="I73" s="21">
        <f>IFERROR(INDEX(Plan!$B$5:$B$88,MATCH(H73,Plan!$A$5:$A$88,0)),"—")</f>
        <v/>
      </c>
      <c r="J73" s="7" t="inlineStr">
        <is>
          <t>24-sep: «4 horas o menos».</t>
        </is>
      </c>
    </row>
    <row r="74">
      <c r="A74" s="19" t="inlineStr">
        <is>
          <t>P-58</t>
        </is>
      </c>
      <c r="B74" s="4" t="inlineStr">
        <is>
          <t>Verificación y cierre</t>
        </is>
      </c>
      <c r="C74" s="4" t="inlineStr">
        <is>
          <t>Pruebas</t>
        </is>
      </c>
      <c r="D74" s="7" t="inlineStr">
        <is>
          <t>Actualizar tests/e2e a la afiliación v2 y a la nueva máscara de correo</t>
        </is>
      </c>
      <c r="E74" s="7" t="inlineStr">
        <is>
          <t>ga-escritor-tests</t>
        </is>
      </c>
      <c r="F74" s="8" t="inlineStr">
        <is>
          <t>Alta</t>
        </is>
      </c>
      <c r="G74" s="8" t="inlineStr">
        <is>
          <t>En curso</t>
        </is>
      </c>
      <c r="H74" s="8" t="inlineStr">
        <is>
          <t>6.1</t>
        </is>
      </c>
      <c r="I74" s="21">
        <f>IFERROR(INDEX(Plan!$B$5:$B$88,MATCH(H74,Plan!$A$5:$A$88,0)),"—")</f>
        <v/>
      </c>
      <c r="J74"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75">
      <c r="A75" s="19" t="inlineStr">
        <is>
          <t>P-42</t>
        </is>
      </c>
      <c r="B75" s="4" t="inlineStr">
        <is>
          <t>Verificación y cierre</t>
        </is>
      </c>
      <c r="C75" s="4" t="inlineStr">
        <is>
          <t>Despliegue</t>
        </is>
      </c>
      <c r="D75" s="7" t="inlineStr">
        <is>
          <t>Subir a GitHub y desplegar en Vercel</t>
        </is>
      </c>
      <c r="E75" s="7" t="inlineStr">
        <is>
          <t>Yo</t>
        </is>
      </c>
      <c r="F75" s="8" t="inlineStr">
        <is>
          <t>Alta</t>
        </is>
      </c>
      <c r="G75" s="8" t="inlineStr">
        <is>
          <t>Pendiente</t>
        </is>
      </c>
      <c r="H75" s="8" t="inlineStr">
        <is>
          <t>6.5</t>
        </is>
      </c>
      <c r="I75" s="21">
        <f>IFERROR(INDEX(Plan!$B$5:$B$88,MATCH(H75,Plan!$A$5:$A$88,0)),"—")</f>
        <v/>
      </c>
      <c r="J75" s="7" t="inlineStr"/>
    </row>
    <row r="76">
      <c r="A76" s="19" t="inlineStr">
        <is>
          <t>P-81</t>
        </is>
      </c>
      <c r="B76" s="4" t="inlineStr">
        <is>
          <t>Verificación y cierre</t>
        </is>
      </c>
      <c r="C76" s="4" t="inlineStr">
        <is>
          <t>Legal</t>
        </is>
      </c>
      <c r="D76" s="7" t="inlineStr">
        <is>
          <t>Revisión de la política de datos por un abogado (Dr. Breinner: secciones 7.3, 8 y 18)</t>
        </is>
      </c>
      <c r="E76" s="7" t="inlineStr">
        <is>
          <t>Sebas</t>
        </is>
      </c>
      <c r="F76" s="8" t="inlineStr">
        <is>
          <t>Alta</t>
        </is>
      </c>
      <c r="G76" s="8" t="inlineStr">
        <is>
          <t>Pendiente</t>
        </is>
      </c>
      <c r="H76" s="8" t="inlineStr">
        <is>
          <t>5.4</t>
        </is>
      </c>
      <c r="I76" s="21">
        <f>IFERROR(INDEX(Plan!$B$5:$B$88,MATCH(H76,Plan!$A$5:$A$88,0)),"—")</f>
        <v/>
      </c>
      <c r="J76" s="7" t="inlineStr">
        <is>
          <t>24-sep: reportado por la sesión principal; falta antes de publicar /politica-de-datos.</t>
        </is>
      </c>
    </row>
    <row r="77">
      <c r="A77" s="19" t="inlineStr">
        <is>
          <t>P-70</t>
        </is>
      </c>
      <c r="B77" s="4" t="inlineStr">
        <is>
          <t>Verificación y cierre</t>
        </is>
      </c>
      <c r="C77" s="4" t="inlineStr">
        <is>
          <t>QA</t>
        </is>
      </c>
      <c r="D77" s="7" t="inlineStr">
        <is>
          <t>Pruebas en celulares reales (Android e iPhone): cámara, código, sorteo, crédito y correos en Gmail/Outlook, con informe y capturas</t>
        </is>
      </c>
      <c r="E77" s="7" t="inlineStr">
        <is>
          <t>Sebas</t>
        </is>
      </c>
      <c r="F77" s="8" t="inlineStr">
        <is>
          <t>Media</t>
        </is>
      </c>
      <c r="G77" s="8" t="inlineStr">
        <is>
          <t>Pendiente</t>
        </is>
      </c>
      <c r="H77" s="8" t="inlineStr">
        <is>
          <t>6.14</t>
        </is>
      </c>
      <c r="I77" s="21">
        <f>IFERROR(INDEX(Plan!$B$5:$B$88,MATCH(H77,Plan!$A$5:$A$88,0)),"—")</f>
        <v/>
      </c>
      <c r="J77" s="7" t="inlineStr">
        <is>
          <t>Encargo externo (500.000 COP) por PR a develop. Ver P-73.</t>
        </is>
      </c>
    </row>
    <row r="78">
      <c r="A78" s="19" t="inlineStr">
        <is>
          <t>P-104</t>
        </is>
      </c>
      <c r="B78" s="4" t="inlineStr">
        <is>
          <t>Verificación y cierre</t>
        </is>
      </c>
      <c r="C78" s="4" t="inlineStr">
        <is>
          <t>Despliegue</t>
        </is>
      </c>
      <c r="D78" s="7" t="inlineStr">
        <is>
          <t>Aprobar y fusionar el PR develop → main para desplegar el rediseño C+ (con el arreglo de la tasa) en producción</t>
        </is>
      </c>
      <c r="E78" s="7" t="inlineStr">
        <is>
          <t>Sebas</t>
        </is>
      </c>
      <c r="F78" s="8" t="inlineStr">
        <is>
          <t>Alta</t>
        </is>
      </c>
      <c r="G78" s="8" t="inlineStr">
        <is>
          <t>Hecho</t>
        </is>
      </c>
      <c r="H78" s="8" t="inlineStr">
        <is>
          <t>6.18</t>
        </is>
      </c>
      <c r="I78" s="21">
        <f>IFERROR(INDEX(Plan!$B$5:$B$88,MATCH(H78,Plan!$A$5:$A$88,0)),"—")</f>
        <v/>
      </c>
      <c r="J78" s="7" t="inlineStr">
        <is>
          <t>29-sep: rediseno-c-plus ya fusionada a develop y subida a origin (suite e2e 290/290, tsc/lint/build en verde). Falta que Sebas apruebe/fusione el PR develop → main para que Vercel despliegue el rediseño C+ en producción. 30-sep: fusionado; C+ en producción.</t>
        </is>
      </c>
    </row>
    <row r="79">
      <c r="A79" s="19" t="inlineStr">
        <is>
          <t>P-39</t>
        </is>
      </c>
      <c r="B79" s="4" t="inlineStr">
        <is>
          <t>Verificación y cierre</t>
        </is>
      </c>
      <c r="C79" s="4" t="inlineStr">
        <is>
          <t>Calidad</t>
        </is>
      </c>
      <c r="D79" s="7" t="inlineStr">
        <is>
          <t>Correr ga-verificador-qa y ga-verificador-responsive</t>
        </is>
      </c>
      <c r="E79" s="7" t="inlineStr">
        <is>
          <t>Yo</t>
        </is>
      </c>
      <c r="F79" s="8" t="inlineStr">
        <is>
          <t>Alta</t>
        </is>
      </c>
      <c r="G79" s="8" t="inlineStr">
        <is>
          <t>Hecho</t>
        </is>
      </c>
      <c r="H79" s="8" t="inlineStr">
        <is>
          <t>6.3</t>
        </is>
      </c>
      <c r="I79" s="21">
        <f>IFERROR(INDEX(Plan!$B$5:$B$88,MATCH(H79,Plan!$A$5:$A$88,0)),"—")</f>
        <v/>
      </c>
      <c r="J79"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80">
      <c r="A80" s="19" t="inlineStr">
        <is>
          <t>P-41</t>
        </is>
      </c>
      <c r="B80" s="4" t="inlineStr">
        <is>
          <t>Verificación y cierre</t>
        </is>
      </c>
      <c r="C80" s="4" t="inlineStr">
        <is>
          <t>Git</t>
        </is>
      </c>
      <c r="D80" s="7" t="inlineStr">
        <is>
          <t>Commit de las pantallas nuevas</t>
        </is>
      </c>
      <c r="E80" s="7" t="inlineStr">
        <is>
          <t>Yo</t>
        </is>
      </c>
      <c r="F80" s="8" t="inlineStr">
        <is>
          <t>Alta</t>
        </is>
      </c>
      <c r="G80" s="8" t="inlineStr">
        <is>
          <t>Hecho</t>
        </is>
      </c>
      <c r="H80" s="8" t="inlineStr">
        <is>
          <t>—</t>
        </is>
      </c>
      <c r="I80" s="21">
        <f>IFERROR(INDEX(Plan!$B$5:$B$88,MATCH(H80,Plan!$A$5:$A$88,0)),"—")</f>
        <v/>
      </c>
      <c r="J80" s="7" t="inlineStr">
        <is>
          <t>Commit d86db86 en develop.</t>
        </is>
      </c>
    </row>
    <row r="81">
      <c r="A81" s="19" t="inlineStr">
        <is>
          <t>P-64</t>
        </is>
      </c>
      <c r="B81" s="4" t="inlineStr">
        <is>
          <t>Verificación y cierre</t>
        </is>
      </c>
      <c r="C81" s="4" t="inlineStr">
        <is>
          <t>Git</t>
        </is>
      </c>
      <c r="D81" s="7" t="inlineStr">
        <is>
          <t>Abrir el PR de develop a main</t>
        </is>
      </c>
      <c r="E81" s="7" t="inlineStr">
        <is>
          <t>Sebas</t>
        </is>
      </c>
      <c r="F81" s="8" t="inlineStr">
        <is>
          <t>Alta</t>
        </is>
      </c>
      <c r="G81" s="8" t="inlineStr">
        <is>
          <t>Hecho</t>
        </is>
      </c>
      <c r="H81" s="8" t="inlineStr">
        <is>
          <t>6.5</t>
        </is>
      </c>
      <c r="I81" s="21">
        <f>IFERROR(INDEX(Plan!$B$5:$B$88,MATCH(H81,Plan!$A$5:$A$88,0)),"—")</f>
        <v/>
      </c>
      <c r="J81" s="7" t="inlineStr">
        <is>
          <t>25-sep: Sebas abrió y fusionó el PR #1 develop → main (merge 5a39d34); Vercel desplegó fase 2 en producción.</t>
        </is>
      </c>
    </row>
    <row r="82">
      <c r="A82" s="19" t="inlineStr">
        <is>
          <t>P-82</t>
        </is>
      </c>
      <c r="B82" s="4" t="inlineStr">
        <is>
          <t>Verificación y cierre</t>
        </is>
      </c>
      <c r="C82" s="4" t="inlineStr">
        <is>
          <t>Despliegue</t>
        </is>
      </c>
      <c r="D82" s="7" t="inlineStr">
        <is>
          <t>Probar en producción con sesión real de los 3 administradores (ingreso con código OTP y logo del correo)</t>
        </is>
      </c>
      <c r="E82" s="7" t="inlineStr">
        <is>
          <t>Sebas</t>
        </is>
      </c>
      <c r="F82" s="8" t="inlineStr">
        <is>
          <t>Alta</t>
        </is>
      </c>
      <c r="G82" s="8" t="inlineStr">
        <is>
          <t>Hecho</t>
        </is>
      </c>
      <c r="H82" s="8" t="inlineStr">
        <is>
          <t>6.5</t>
        </is>
      </c>
      <c r="I82" s="21">
        <f>IFERROR(INDEX(Plan!$B$5:$B$88,MATCH(H82,Plan!$A$5:$A$88,0)),"—")</f>
        <v/>
      </c>
      <c r="J82" s="7" t="inlineStr">
        <is>
          <t>25-sep: Sebas entró con su cédula y le apareció el panel de administrador (falta confirmar Ricardo y abogadosprieto). 25-sep: reportado por la sesión principal tras el despliegue de fase 2; falta esta prueba manual antes de cerrar 6.5.</t>
        </is>
      </c>
    </row>
    <row r="83">
      <c r="A83" s="19" t="inlineStr">
        <is>
          <t>P-86</t>
        </is>
      </c>
      <c r="B83" s="4" t="inlineStr">
        <is>
          <t>Verificación y cierre</t>
        </is>
      </c>
      <c r="C83" s="4" t="inlineStr">
        <is>
          <t>/afiliacion</t>
        </is>
      </c>
      <c r="D83" s="7" t="inlineStr">
        <is>
          <t>A-01: la ayuda del dominio de correo institucional no se actualiza en vivo al elegir Policía/Ejército</t>
        </is>
      </c>
      <c r="E83" s="7" t="inlineStr">
        <is>
          <t>ga-funcionalidad-botones</t>
        </is>
      </c>
      <c r="F83" s="8" t="inlineStr">
        <is>
          <t>Alta</t>
        </is>
      </c>
      <c r="G83" s="8" t="inlineStr">
        <is>
          <t>Hecho</t>
        </is>
      </c>
      <c r="H83" s="8" t="inlineStr">
        <is>
          <t>6.3</t>
        </is>
      </c>
      <c r="I83" s="21">
        <f>IFERROR(INDEX(Plan!$B$5:$B$88,MATCH(H83,Plan!$A$5:$A$88,0)),"—")</f>
        <v/>
      </c>
      <c r="J83"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84">
      <c r="A84" s="19" t="inlineStr">
        <is>
          <t>P-40</t>
        </is>
      </c>
      <c r="B84" s="4" t="inlineStr">
        <is>
          <t>Verificación y cierre</t>
        </is>
      </c>
      <c r="C84" s="4" t="inlineStr">
        <is>
          <t>Código</t>
        </is>
      </c>
      <c r="D84" s="7" t="inlineStr">
        <is>
          <t>Borrar /login y /dashboard cuando /ingresar y /cuenta funcionen</t>
        </is>
      </c>
      <c r="E84" s="7" t="inlineStr">
        <is>
          <t>Yo</t>
        </is>
      </c>
      <c r="F84" s="8" t="inlineStr">
        <is>
          <t>Media</t>
        </is>
      </c>
      <c r="G84" s="8" t="inlineStr">
        <is>
          <t>Hecho</t>
        </is>
      </c>
      <c r="H84" s="8" t="inlineStr">
        <is>
          <t>5.5</t>
        </is>
      </c>
      <c r="I84" s="21">
        <f>IFERROR(INDEX(Plan!$B$5:$B$88,MATCH(H84,Plan!$A$5:$A$88,0)),"—")</f>
        <v/>
      </c>
      <c r="J84" s="7" t="inlineStr">
        <is>
          <t>Borradas el 23-sep (incluida /dashboard/solicitar, su parte del proxy y los colores heredados de tailwind.config.ts).</t>
        </is>
      </c>
    </row>
    <row r="85">
      <c r="A85" s="19" t="inlineStr">
        <is>
          <t>P-49</t>
        </is>
      </c>
      <c r="B85" s="4" t="inlineStr">
        <is>
          <t>Verificación y cierre</t>
        </is>
      </c>
      <c r="C85" s="4" t="inlineStr">
        <is>
          <t>Seguridad</t>
        </is>
      </c>
      <c r="D85" s="7" t="inlineStr">
        <is>
          <t>Revisar si conviene confiar en x-forwarded-for para el límite de intentos por IP</t>
        </is>
      </c>
      <c r="E85" s="7" t="inlineStr">
        <is>
          <t>ga-revisor-seguridad</t>
        </is>
      </c>
      <c r="F85" s="8" t="inlineStr">
        <is>
          <t>Media</t>
        </is>
      </c>
      <c r="G85" s="8" t="inlineStr">
        <is>
          <t>Hecho</t>
        </is>
      </c>
      <c r="H85" s="8" t="inlineStr">
        <is>
          <t>6.2</t>
        </is>
      </c>
      <c r="I85" s="21">
        <f>IFERROR(INDEX(Plan!$B$5:$B$88,MATCH(H85,Plan!$A$5:$A$88,0)),"—")</f>
        <v/>
      </c>
      <c r="J85" s="7" t="inlineStr">
        <is>
          <t>Sugerido por ga-verificador-qa el 23-sep. Documentado por ga-funcionalidad-botones como O-01 en lib/servidor/limite.ts: x-forwarded-for/x-real-ip solo son confiables detrás de Vercel (nuestro caso); el límite real por cédula/IP lo hace la app, no Supabase.</t>
        </is>
      </c>
    </row>
    <row r="86">
      <c r="A86" s="19" t="inlineStr">
        <is>
          <t>P-50</t>
        </is>
      </c>
      <c r="B86" s="4" t="inlineStr">
        <is>
          <t>Verificación y cierre</t>
        </is>
      </c>
      <c r="C86" s="4" t="inlineStr">
        <is>
          <t>Correos</t>
        </is>
      </c>
      <c r="D86" s="7" t="inlineStr">
        <is>
          <t>Confirmar que salen los correos de afiliación (el log queda en la terminal de next dev)</t>
        </is>
      </c>
      <c r="E86" s="7" t="inlineStr">
        <is>
          <t>Yo</t>
        </is>
      </c>
      <c r="F86" s="8" t="inlineStr">
        <is>
          <t>Media</t>
        </is>
      </c>
      <c r="G86" s="8" t="inlineStr">
        <is>
          <t>Hecho</t>
        </is>
      </c>
      <c r="H86" s="8" t="inlineStr">
        <is>
          <t>—</t>
        </is>
      </c>
      <c r="I86" s="21">
        <f>IFERROR(INDEX(Plan!$B$5:$B$88,MATCH(H86,Plan!$A$5:$A$88,0)),"—")</f>
        <v/>
      </c>
      <c r="J86" s="7" t="inlineStr">
        <is>
          <t>Ya no aplica: el 23-sep se quitaron los correos de afiliación del código (decisión de Sebas).</t>
        </is>
      </c>
    </row>
    <row r="87">
      <c r="A87" s="19" t="inlineStr">
        <is>
          <t>P-62</t>
        </is>
      </c>
      <c r="B87" s="4" t="inlineStr">
        <is>
          <t>Verificación y cierre</t>
        </is>
      </c>
      <c r="C87" s="4" t="inlineStr">
        <is>
          <t>Base de datos</t>
        </is>
      </c>
      <c r="D87" s="7" t="inlineStr">
        <is>
          <t>Borrar la cuenta admin de prueba «Test QA» (cédula 1099887766) desde el panel de Supabase</t>
        </is>
      </c>
      <c r="E87" s="7" t="inlineStr">
        <is>
          <t>Sebas</t>
        </is>
      </c>
      <c r="F87" s="8" t="inlineStr">
        <is>
          <t>Media</t>
        </is>
      </c>
      <c r="G87" s="8" t="inlineStr">
        <is>
          <t>Hecho</t>
        </is>
      </c>
      <c r="H87" s="8" t="inlineStr">
        <is>
          <t>6.13</t>
        </is>
      </c>
      <c r="I87" s="21">
        <f>IFERROR(INDEX(Plan!$B$5:$B$88,MATCH(H87,Plan!$A$5:$A$88,0)),"—")</f>
        <v/>
      </c>
      <c r="J87" s="7" t="inlineStr">
        <is>
          <t>Ya hay 3 administradores reales en producción: Ricardo, Abogados Prieto y Sebas. 24-sep: usuario «Test QA» borrado de producción por Sebas.</t>
        </is>
      </c>
    </row>
    <row r="88">
      <c r="A88" s="19" t="inlineStr">
        <is>
          <t>P-71</t>
        </is>
      </c>
      <c r="B88" s="4" t="inlineStr">
        <is>
          <t>Verificación y cierre</t>
        </is>
      </c>
      <c r="C88" s="4" t="inlineStr">
        <is>
          <t>Pruebas</t>
        </is>
      </c>
      <c r="D88" s="7" t="inlineStr">
        <is>
          <t>Actualizar tests/e2e b-ingreso, i-despliegue y j-produccion al formato nuevo de máscara de correo</t>
        </is>
      </c>
      <c r="E88" s="7" t="inlineStr">
        <is>
          <t>Carlos Pardo</t>
        </is>
      </c>
      <c r="F88" s="8" t="inlineStr">
        <is>
          <t>Media</t>
        </is>
      </c>
      <c r="G88" s="8" t="inlineStr">
        <is>
          <t>Hecho</t>
        </is>
      </c>
      <c r="H88" s="8" t="inlineStr">
        <is>
          <t>6.15</t>
        </is>
      </c>
      <c r="I88" s="21">
        <f>IFERROR(INDEX(Plan!$B$5:$B$88,MATCH(H88,Plan!$A$5:$A$88,0)),"—")</f>
        <v/>
      </c>
      <c r="J88" s="7" t="inlineStr">
        <is>
          <t>Encargo externo (500.000 COP) por PR a develop. Parte del alcance que P-58 dejó fuera. Ver P-73. 27-sep: ga-verificador-qa se adelantó al encargo de Carlos y actualizó b-ingreso y j-produccion al formato de máscara con dominio oculto; i-despliegue ya usaba el formato nuevo, no necesitó cambio. Los 3 archivos quedan al día. La actividad 6.15 sigue Pendiente en el plan porque depende de 6.1 (En curso), pero su alcance ya está cubierto.</t>
        </is>
      </c>
    </row>
    <row r="89">
      <c r="A89" s="19" t="inlineStr">
        <is>
          <t>P-94</t>
        </is>
      </c>
      <c r="B89" s="4" t="inlineStr">
        <is>
          <t>Verificación y cierre</t>
        </is>
      </c>
      <c r="C89" s="4" t="inlineStr">
        <is>
          <t>Pruebas</t>
        </is>
      </c>
      <c r="D89" s="7" t="inlineStr">
        <is>
          <t>Correr tests/e2e/b-ingreso.spec.ts y d-afiliacion.spec.ts contra la maquetación C+ de ingreso y afiliación, con Supabase local</t>
        </is>
      </c>
      <c r="E89" s="7" t="inlineStr">
        <is>
          <t>ga-verificador-qa o ga-escritor-tests</t>
        </is>
      </c>
      <c r="F89" s="8" t="inlineStr">
        <is>
          <t>Media</t>
        </is>
      </c>
      <c r="G89" s="8" t="inlineStr">
        <is>
          <t>Hecho</t>
        </is>
      </c>
      <c r="H89" s="8" t="inlineStr">
        <is>
          <t>2.15</t>
        </is>
      </c>
      <c r="I89" s="21">
        <f>IFERROR(INDEX(Plan!$B$5:$B$88,MATCH(H89,Plan!$A$5:$A$88,0)),"—")</f>
        <v/>
      </c>
      <c r="J89" s="7" t="inlineStr">
        <is>
          <t>25-sep: reportado por ga-diseno-a-codigo tras maquetar 2.15 en C+; no se corrieron porque requieren Supabase local. 27-sep: ga-verificador-qa corrió el QA completo contra Supabase local (161/162 escritorio, 129/129 celular) y actualizó f-accesibilidad/utils.ts a la afiliación v2; queda cerrado.</t>
        </is>
      </c>
    </row>
    <row r="90">
      <c r="A90" s="19" t="inlineStr">
        <is>
          <t>P-102</t>
        </is>
      </c>
      <c r="B90" s="4" t="inlineStr">
        <is>
          <t>Verificación y cierre</t>
        </is>
      </c>
      <c r="C90" s="4" t="inlineStr">
        <is>
          <t>Landing</t>
        </is>
      </c>
      <c r="D90" s="7" t="inlineStr">
        <is>
          <t>B-01: sección de testimonios de la landing con corchetes de ejemplo visibles ([Nombre], [Testimonio]...)</t>
        </is>
      </c>
      <c r="E90" s="7" t="inlineStr">
        <is>
          <t>sesión principal</t>
        </is>
      </c>
      <c r="F90" s="8" t="inlineStr">
        <is>
          <t>Baja</t>
        </is>
      </c>
      <c r="G90" s="8" t="inlineStr">
        <is>
          <t>Hecho</t>
        </is>
      </c>
      <c r="H90" s="8" t="inlineStr">
        <is>
          <t>2.14</t>
        </is>
      </c>
      <c r="I90" s="21">
        <f>IFERROR(INDEX(Plan!$B$5:$B$88,MATCH(H90,Plan!$A$5:$A$88,0)),"—")</f>
        <v/>
      </c>
      <c r="J90" s="7" t="inlineStr">
        <is>
          <t>27-sep: hallazgo Bajo de ga-verificador-qa. Corregido en rediseno-c-plus (commit local fdab456): la sección se oculta mientras tenga textos de ejemplo. Falta el contenido real y decidir si se mantiene la sección, ver P-103.</t>
        </is>
      </c>
    </row>
    <row r="91">
      <c r="A91" s="19" t="inlineStr">
        <is>
          <t>P-52</t>
        </is>
      </c>
      <c r="B91" s="4" t="inlineStr">
        <is>
          <t>Verificación y cierre</t>
        </is>
      </c>
      <c r="C91" s="4" t="inlineStr">
        <is>
          <t>Documentación</t>
        </is>
      </c>
      <c r="D91" s="7" t="inlineStr">
        <is>
          <t>Mapa de botones: §4 «Nueva solicitud» → /cuenta/solicitar y sección para la ruta /cuenta/solicitar</t>
        </is>
      </c>
      <c r="E91" s="7" t="inlineStr">
        <is>
          <t>ga-funcionalidad-botones</t>
        </is>
      </c>
      <c r="F91" s="8" t="inlineStr">
        <is>
          <t>Baja</t>
        </is>
      </c>
      <c r="G91" s="8" t="inlineStr">
        <is>
          <t>Hecho</t>
        </is>
      </c>
      <c r="H91" s="8" t="inlineStr">
        <is>
          <t>3.7</t>
        </is>
      </c>
      <c r="I91" s="21">
        <f>IFERROR(INDEX(Plan!$B$5:$B$88,MATCH(H91,Plan!$A$5:$A$88,0)),"—")</f>
        <v/>
      </c>
      <c r="J91" s="7" t="inlineStr">
        <is>
          <t>Reportado por ga-diseno-a-codigo. Verificado el 23-sep: docs/mapa-de-botones.md ya tiene §4 «Nueva solicitud» → /cuenta/solicitar (Definido) y §4b /cuenta/solicitar; /dashboard se eliminó.</t>
        </is>
      </c>
    </row>
    <row r="92">
      <c r="A92" s="19" t="inlineStr">
        <is>
          <t>P-63</t>
        </is>
      </c>
      <c r="B92" s="4" t="inlineStr">
        <is>
          <t>Decisión</t>
        </is>
      </c>
      <c r="C92" s="4" t="inlineStr">
        <is>
          <t>Fase 2</t>
        </is>
      </c>
      <c r="D92" s="7" t="inlineStr">
        <is>
          <t>Preguntas abiertas de fase 2 para la cooperativa: grados del Ejército, dominios de correo institucionales (hoy solo policia.gov.co, buzonejercito.mil.co, ejercito.mil.co), tiempo que se guardan las fotos y tope de intentos del sorteo</t>
        </is>
      </c>
      <c r="E92" s="7" t="inlineStr">
        <is>
          <t>Cooperativa</t>
        </is>
      </c>
      <c r="F92" s="8" t="inlineStr">
        <is>
          <t>Alta</t>
        </is>
      </c>
      <c r="G92" s="8" t="inlineStr">
        <is>
          <t>Pendiente</t>
        </is>
      </c>
      <c r="H92" s="8" t="inlineStr">
        <is>
          <t>1.5</t>
        </is>
      </c>
      <c r="I92" s="21">
        <f>IFERROR(INDEX(Plan!$B$5:$B$88,MATCH(H92,Plan!$A$5:$A$88,0)),"—")</f>
        <v/>
      </c>
      <c r="J92" s="7" t="inlineStr">
        <is>
          <t>Ver docs/spec-fase-2.md §Preguntas abiertas. 30-sep: no aparece en §12; por confirmar (dominio del Ejército).</t>
        </is>
      </c>
    </row>
    <row r="93">
      <c r="A93" s="19" t="inlineStr">
        <is>
          <t>P-106</t>
        </is>
      </c>
      <c r="B93" s="4" t="inlineStr">
        <is>
          <t>Decisión</t>
        </is>
      </c>
      <c r="C93" s="4" t="inlineStr">
        <is>
          <t>Admin</t>
        </is>
      </c>
      <c r="D93" s="7" t="inlineStr">
        <is>
          <t>R-09: quién registra los pagos de comisión</t>
        </is>
      </c>
      <c r="E93" s="7" t="inlineStr">
        <is>
          <t>Sebas + Ricardo</t>
        </is>
      </c>
      <c r="F93" s="8" t="inlineStr">
        <is>
          <t>Media</t>
        </is>
      </c>
      <c r="G93" s="8" t="inlineStr">
        <is>
          <t>Pendiente</t>
        </is>
      </c>
      <c r="H93" s="8" t="inlineStr">
        <is>
          <t>—</t>
        </is>
      </c>
      <c r="I93" s="21">
        <f>IFERROR(INDEX(Plan!$B$5:$B$88,MATCH(H93,Plan!$A$5:$A$88,0)),"—")</f>
        <v/>
      </c>
      <c r="J93" s="7" t="inlineStr">
        <is>
          <t>R-10 y R-11 cerrados por Sebas (§12.14).</t>
        </is>
      </c>
    </row>
    <row r="94">
      <c r="A94" s="19" t="inlineStr">
        <is>
          <t>P-111</t>
        </is>
      </c>
      <c r="B94" s="4" t="inlineStr">
        <is>
          <t>Decisión</t>
        </is>
      </c>
      <c r="C94" s="4" t="inlineStr">
        <is>
          <t>/admin</t>
        </is>
      </c>
      <c r="D94" s="7" t="inlineStr">
        <is>
          <t>¿«Inscritos al sorteo» entra al dashboard del admin?</t>
        </is>
      </c>
      <c r="E94" s="7" t="inlineStr">
        <is>
          <t>Cooperativa</t>
        </is>
      </c>
      <c r="F94" s="8" t="inlineStr">
        <is>
          <t>Media</t>
        </is>
      </c>
      <c r="G94" s="8" t="inlineStr">
        <is>
          <t>Pendiente</t>
        </is>
      </c>
      <c r="H94" s="8" t="inlineStr">
        <is>
          <t>4.7</t>
        </is>
      </c>
      <c r="I94" s="21">
        <f>IFERROR(INDEX(Plan!$B$5:$B$88,MATCH(H94,Plan!$A$5:$A$88,0)),"—")</f>
        <v/>
      </c>
      <c r="J94" s="7" t="inlineStr">
        <is>
          <t>30-sep: reportado por ga-disenador-lienzo y ga-diseno-a-codigo.</t>
        </is>
      </c>
    </row>
    <row r="95">
      <c r="A95" s="19" t="inlineStr">
        <is>
          <t>P-98</t>
        </is>
      </c>
      <c r="B95" s="4" t="inlineStr">
        <is>
          <t>Decisión</t>
        </is>
      </c>
      <c r="C95" s="4" t="inlineStr">
        <is>
          <t>Asesor</t>
        </is>
      </c>
      <c r="D95" s="7" t="inlineStr">
        <is>
          <t>Confirmar la regla de categorización de asociados ya afiliados como «Aprobada» en las tarjetas/chips de /asesor (pedido D-06 del lienzo)</t>
        </is>
      </c>
      <c r="E95" s="7" t="inlineStr">
        <is>
          <t>Sebas</t>
        </is>
      </c>
      <c r="F95" s="8" t="inlineStr">
        <is>
          <t>Media</t>
        </is>
      </c>
      <c r="G95" s="8" t="inlineStr">
        <is>
          <t>Pendiente</t>
        </is>
      </c>
      <c r="H95" s="8" t="inlineStr">
        <is>
          <t>4.10</t>
        </is>
      </c>
      <c r="I95" s="21">
        <f>IFERROR(INDEX(Plan!$B$5:$B$88,MATCH(H95,Plan!$A$5:$A$88,0)),"—")</f>
        <v/>
      </c>
      <c r="J95"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96">
      <c r="A96" s="19" t="inlineStr">
        <is>
          <t>P-02</t>
        </is>
      </c>
      <c r="B96" s="4" t="inlineStr">
        <is>
          <t>Decisión</t>
        </is>
      </c>
      <c r="C96" s="4" t="inlineStr">
        <is>
          <t>/cuenta</t>
        </is>
      </c>
      <c r="D96" s="7" t="inlineStr">
        <is>
          <t>Preguntar a la cooperativa si los convenios tendrán página propia</t>
        </is>
      </c>
      <c r="E96" s="7" t="inlineStr">
        <is>
          <t>Cooperativa</t>
        </is>
      </c>
      <c r="F96" s="8" t="inlineStr">
        <is>
          <t>Baja</t>
        </is>
      </c>
      <c r="G96" s="8" t="inlineStr">
        <is>
          <t>Pendiente</t>
        </is>
      </c>
      <c r="H96" s="8" t="inlineStr">
        <is>
          <t>5.1</t>
        </is>
      </c>
      <c r="I96" s="21">
        <f>IFERROR(INDEX(Plan!$B$5:$B$88,MATCH(H96,Plan!$A$5:$A$88,0)),"—")</f>
        <v/>
      </c>
      <c r="J96" s="7" t="inlineStr">
        <is>
          <t>Por ahora son una sección en /cuenta (#convenios).</t>
        </is>
      </c>
    </row>
    <row r="97">
      <c r="A97" s="19" t="inlineStr">
        <is>
          <t>P-107</t>
        </is>
      </c>
      <c r="B97" s="4" t="inlineStr">
        <is>
          <t>Decisión</t>
        </is>
      </c>
      <c r="C97" s="4" t="inlineStr">
        <is>
          <t>/afiliacion/enviada</t>
        </is>
      </c>
      <c r="D97" s="7" t="inlineStr">
        <is>
          <t>Confirmar si «4 horas» de /afiliacion/enviada también cambia</t>
        </is>
      </c>
      <c r="E97" s="7" t="inlineStr">
        <is>
          <t>Sebas</t>
        </is>
      </c>
      <c r="F97" s="8" t="inlineStr">
        <is>
          <t>Baja</t>
        </is>
      </c>
      <c r="G97" s="8" t="inlineStr">
        <is>
          <t>Pendiente</t>
        </is>
      </c>
      <c r="H97" s="8" t="inlineStr">
        <is>
          <t>6.22</t>
        </is>
      </c>
      <c r="I97" s="21">
        <f>IFERROR(INDEX(Plan!$B$5:$B$88,MATCH(H97,Plan!$A$5:$A$88,0)),"—")</f>
        <v/>
      </c>
      <c r="J97" s="7" t="inlineStr"/>
    </row>
    <row r="98">
      <c r="A98" s="19" t="inlineStr">
        <is>
          <t>P-53</t>
        </is>
      </c>
      <c r="B98" s="4" t="inlineStr">
        <is>
          <t>Decisión</t>
        </is>
      </c>
      <c r="C98" s="4" t="inlineStr">
        <is>
          <t>Landing</t>
        </is>
      </c>
      <c r="D98" s="7" t="inlineStr">
        <is>
          <t>A 320 px la línea «COOPERATIVA» del logo mide ~5 px de alto (opcional: ocultarla o achicar «Ingresar» bajo 360 px)</t>
        </is>
      </c>
      <c r="E98" s="7" t="inlineStr">
        <is>
          <t>Yo</t>
        </is>
      </c>
      <c r="F98" s="8" t="inlineStr">
        <is>
          <t>Baja</t>
        </is>
      </c>
      <c r="G98" s="8" t="inlineStr">
        <is>
          <t>Pendiente</t>
        </is>
      </c>
      <c r="H98" s="8" t="inlineStr">
        <is>
          <t>—</t>
        </is>
      </c>
      <c r="I98" s="21">
        <f>IFERROR(INDEX(Plan!$B$5:$B$88,MATCH(H98,Plan!$A$5:$A$88,0)),"—")</f>
        <v/>
      </c>
      <c r="J98" s="7" t="inlineStr">
        <is>
          <t>Menor y opcional, reportado por ga-verificador-responsive el 23-sep.</t>
        </is>
      </c>
    </row>
    <row r="99">
      <c r="A99" s="19" t="inlineStr">
        <is>
          <t>P-09</t>
        </is>
      </c>
      <c r="B99" s="4" t="inlineStr">
        <is>
          <t>Decisión</t>
        </is>
      </c>
      <c r="C99" s="4" t="inlineStr">
        <is>
          <t>Base de datos</t>
        </is>
      </c>
      <c r="D99" s="7" t="inlineStr">
        <is>
          <t>Revisar y aplicar en producción la migración blindar_solicitudes_y_revisiones</t>
        </is>
      </c>
      <c r="E99" s="7" t="inlineStr">
        <is>
          <t>Sebas (ga-auditor-supabase revisa antes)</t>
        </is>
      </c>
      <c r="F99" s="8" t="inlineStr">
        <is>
          <t>Alta</t>
        </is>
      </c>
      <c r="G99" s="8" t="inlineStr">
        <is>
          <t>Hecho</t>
        </is>
      </c>
      <c r="H99" s="8" t="inlineStr">
        <is>
          <t>6.10</t>
        </is>
      </c>
      <c r="I99" s="21">
        <f>IFERROR(INDEX(Plan!$B$5:$B$88,MATCH(H99,Plan!$A$5:$A$88,0)),"—")</f>
        <v/>
      </c>
      <c r="J99" s="7" t="inlineStr">
        <is>
          <t>Verificado con list_migrations el 23-sep: producción ya tiene 20260923173355_blindar_solicitudes_y_revisiones.</t>
        </is>
      </c>
    </row>
    <row r="100">
      <c r="A100" s="19" t="inlineStr">
        <is>
          <t>P-08</t>
        </is>
      </c>
      <c r="B100" s="4" t="inlineStr">
        <is>
          <t>Decisión</t>
        </is>
      </c>
      <c r="C100" s="4" t="inlineStr">
        <is>
          <t>/cuenta</t>
        </is>
      </c>
      <c r="D100" s="7" t="inlineStr">
        <is>
          <t>P-10: el asociado no cambia su nombre pero sí su teléfono</t>
        </is>
      </c>
      <c r="E100" s="7" t="inlineStr">
        <is>
          <t>Yo</t>
        </is>
      </c>
      <c r="F100" s="8" t="inlineStr">
        <is>
          <t>Media</t>
        </is>
      </c>
      <c r="G100" s="8" t="inlineStr">
        <is>
          <t>Hecho</t>
        </is>
      </c>
      <c r="H100" s="8" t="inlineStr">
        <is>
          <t>3.6</t>
        </is>
      </c>
      <c r="I100" s="21">
        <f>IFERROR(INDEX(Plan!$B$5:$B$88,MATCH(H100,Plan!$A$5:$A$88,0)),"—")</f>
        <v/>
      </c>
      <c r="J100" s="7" t="inlineStr">
        <is>
          <t>Apartado «Mis datos» ya maquetado.</t>
        </is>
      </c>
    </row>
    <row r="101">
      <c r="A101" s="19" t="inlineStr">
        <is>
          <t>P-100</t>
        </is>
      </c>
      <c r="B101" s="4" t="inlineStr">
        <is>
          <t>Decisión</t>
        </is>
      </c>
      <c r="C101" s="4" t="inlineStr">
        <is>
          <t>Seguridad</t>
        </is>
      </c>
      <c r="D101" s="7" t="inlineStr">
        <is>
          <t>Migración de permisos por columna para que un asociado no pueda leer la tasa de interés consultando la API directo con su sesión</t>
        </is>
      </c>
      <c r="E101" s="7" t="inlineStr">
        <is>
          <t>Sebas</t>
        </is>
      </c>
      <c r="F101" s="8" t="inlineStr">
        <is>
          <t>Media</t>
        </is>
      </c>
      <c r="G101" s="8" t="inlineStr">
        <is>
          <t>Hecho</t>
        </is>
      </c>
      <c r="H101" s="8" t="inlineStr">
        <is>
          <t>3.5</t>
        </is>
      </c>
      <c r="I101" s="21">
        <f>IFERROR(INDEX(Plan!$B$5:$B$88,MATCH(H101,Plan!$A$5:$A$88,0)),"—")</f>
        <v/>
      </c>
      <c r="J101" s="7" t="inlineStr">
        <is>
          <t>27-sep: residuo tras corregir P-99. Aunque la tasa ya no llega al payload de /cuenta, la RLS actual le sigue permitiendo al asociado leer sus propias solicitudes y grados_credito por la API REST/PostgREST con su sesión, así que la tasa se puede seguir consultando ahí. Ocultarla del todo requiere una migración de permisos por columna (revoke/grant o vista); pendiente de que Sebas decida si vale la pena.</t>
        </is>
      </c>
    </row>
    <row r="102">
      <c r="A102" s="19" t="inlineStr">
        <is>
          <t>P-65</t>
        </is>
      </c>
      <c r="B102" s="4" t="inlineStr">
        <is>
          <t>Decisión</t>
        </is>
      </c>
      <c r="C102" s="4" t="inlineStr">
        <is>
          <t>Sorteo</t>
        </is>
      </c>
      <c r="D102" s="7" t="inlineStr">
        <is>
          <t>Decidir si un admin o un asesor pueden participar en el sorteo mensual</t>
        </is>
      </c>
      <c r="E102" s="7" t="inlineStr">
        <is>
          <t>Cooperativa</t>
        </is>
      </c>
      <c r="F102" s="8" t="inlineStr">
        <is>
          <t>Media</t>
        </is>
      </c>
      <c r="G102" s="8" t="inlineStr">
        <is>
          <t>Hecho</t>
        </is>
      </c>
      <c r="H102" s="8" t="inlineStr">
        <is>
          <t>3.9</t>
        </is>
      </c>
      <c r="I102" s="21">
        <f>IFERROR(INDEX(Plan!$B$5:$B$88,MATCH(H102,Plan!$A$5:$A$88,0)),"—")</f>
        <v/>
      </c>
      <c r="J102" s="7" t="inlineStr">
        <is>
          <t>Sugerido por ga-revisor-seguridad el 24-sep. 24-sep: decidido que solo participan asociados (S-13, ya implementado en participarSorteo).</t>
        </is>
      </c>
    </row>
    <row r="103">
      <c r="A103" s="19" t="inlineStr">
        <is>
          <t>P-95</t>
        </is>
      </c>
      <c r="B103" s="4" t="inlineStr">
        <is>
          <t>Decisión</t>
        </is>
      </c>
      <c r="C103" s="4" t="inlineStr">
        <is>
          <t>Admin</t>
        </is>
      </c>
      <c r="D103" s="7" t="inlineStr">
        <is>
          <t>Botón «Escribir por WhatsApp» en el detalle de afiliación del admin</t>
        </is>
      </c>
      <c r="E103" s="7" t="inlineStr">
        <is>
          <t>Cooperativa</t>
        </is>
      </c>
      <c r="F103" s="8" t="inlineStr">
        <is>
          <t>Media</t>
        </is>
      </c>
      <c r="G103" s="8" t="inlineStr">
        <is>
          <t>Hecho</t>
        </is>
      </c>
      <c r="H103" s="8" t="inlineStr">
        <is>
          <t>4.11</t>
        </is>
      </c>
      <c r="I103" s="21">
        <f>IFERROR(INDEX(Plan!$B$5:$B$88,MATCH(H103,Plan!$A$5:$A$88,0)),"—")</f>
        <v/>
      </c>
      <c r="J103" s="7" t="inlineStr">
        <is>
          <t>25-sep: propuesto por el diseño (pieza 3e del lienzo, detalle de afiliación); es funcionalidad nueva, no existía antes. El resto de las piezas 3d–3h usa componentes/rutas que ya existen. 27-sep: Sebas aprobó la funcionalidad; diseñada (D-08) y maquetada en código (enlace wa.me con mensaje prellenado).</t>
        </is>
      </c>
    </row>
    <row r="104">
      <c r="A104" s="19" t="inlineStr">
        <is>
          <t>P-96</t>
        </is>
      </c>
      <c r="B104" s="4" t="inlineStr">
        <is>
          <t>Decisión</t>
        </is>
      </c>
      <c r="C104" s="4" t="inlineStr">
        <is>
          <t>Admin</t>
        </is>
      </c>
      <c r="D104" s="7" t="inlineStr">
        <is>
          <t>Asignar/desactivar el asesor de un asociado (proceso sin definir)</t>
        </is>
      </c>
      <c r="E104" s="7" t="inlineStr">
        <is>
          <t>Cooperativa</t>
        </is>
      </c>
      <c r="F104" s="8" t="inlineStr">
        <is>
          <t>Media</t>
        </is>
      </c>
      <c r="G104" s="8" t="inlineStr">
        <is>
          <t>Hecho</t>
        </is>
      </c>
      <c r="H104" s="8" t="inlineStr">
        <is>
          <t>4.11</t>
        </is>
      </c>
      <c r="I104" s="21">
        <f>IFERROR(INDEX(Plan!$B$5:$B$88,MATCH(H104,Plan!$A$5:$A$88,0)),"—")</f>
        <v/>
      </c>
      <c r="J104" s="7" t="inlineStr">
        <is>
          <t>25-sep: ga-disenador-lienzo no puede diseñar esta pantalla porque no hay backend ni proceso definido para asignar o desactivar el asesor de un asociado. 27-sep: Sebas aprobó únicamente asignar asesor, y solo cuando la afiliación está aprobada y el asociado todavía no tiene asesor; sin cambiar ni quitar un asesor ya asignado por ahora. Diseñada (D-09, bloque «Asesor» 3i), con Server Action asignarAsesor y bloque conectado en código; estado «ya asignado» persistente al recargar agregado por la sesión principal (commit 3b5ae14).</t>
        </is>
      </c>
    </row>
    <row r="105">
      <c r="A105" s="19" t="inlineStr">
        <is>
          <t>P-97</t>
        </is>
      </c>
      <c r="B105" s="4" t="inlineStr">
        <is>
          <t>Decisión</t>
        </is>
      </c>
      <c r="C105" s="4" t="inlineStr">
        <is>
          <t>Admin</t>
        </is>
      </c>
      <c r="D105" s="7" t="inlineStr">
        <is>
          <t>Motivo de rechazo visible en el detalle de afiliación (requiere migración)</t>
        </is>
      </c>
      <c r="E105" s="7" t="inlineStr">
        <is>
          <t>Cooperativa</t>
        </is>
      </c>
      <c r="F105" s="8" t="inlineStr">
        <is>
          <t>Media</t>
        </is>
      </c>
      <c r="G105" s="8" t="inlineStr">
        <is>
          <t>Hecho</t>
        </is>
      </c>
      <c r="H105" s="8" t="inlineStr">
        <is>
          <t>4.11</t>
        </is>
      </c>
      <c r="I105" s="21">
        <f>IFERROR(INDEX(Plan!$B$5:$B$88,MATCH(H105,Plan!$A$5:$A$88,0)),"—")</f>
        <v/>
      </c>
      <c r="J105"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106">
      <c r="A106" s="19" t="inlineStr">
        <is>
          <t>P-01</t>
        </is>
      </c>
      <c r="B106" s="4" t="inlineStr">
        <is>
          <t>Decisión</t>
        </is>
      </c>
      <c r="C106" s="4" t="inlineStr">
        <is>
          <t>General</t>
        </is>
      </c>
      <c r="D106" s="7" t="inlineStr">
        <is>
          <t>Color de error #B3261E</t>
        </is>
      </c>
      <c r="E106" s="7" t="inlineStr">
        <is>
          <t>Yo</t>
        </is>
      </c>
      <c r="F106" s="8" t="inlineStr">
        <is>
          <t>Baja</t>
        </is>
      </c>
      <c r="G106" s="8" t="inlineStr">
        <is>
          <t>Hecho</t>
        </is>
      </c>
      <c r="H106" s="8" t="inlineStr">
        <is>
          <t>—</t>
        </is>
      </c>
      <c r="I106" s="21">
        <f>IFERROR(INDEX(Plan!$B$5:$B$88,MATCH(H106,Plan!$A$5:$A$88,0)),"—")</f>
        <v/>
      </c>
      <c r="J106" s="7" t="inlineStr">
        <is>
          <t>Se deja.</t>
        </is>
      </c>
    </row>
    <row r="107">
      <c r="A107" s="19" t="inlineStr">
        <is>
          <t>P-03</t>
        </is>
      </c>
      <c r="B107" s="4" t="inlineStr">
        <is>
          <t>Decisión</t>
        </is>
      </c>
      <c r="C107" s="4" t="inlineStr">
        <is>
          <t>/cuenta</t>
        </is>
      </c>
      <c r="D107" s="7" t="inlineStr">
        <is>
          <t>Estado vacío de «Tu solicitud»</t>
        </is>
      </c>
      <c r="E107" s="7" t="inlineStr">
        <is>
          <t>Yo</t>
        </is>
      </c>
      <c r="F107" s="8" t="inlineStr">
        <is>
          <t>Baja</t>
        </is>
      </c>
      <c r="G107" s="8" t="inlineStr">
        <is>
          <t>Hecho</t>
        </is>
      </c>
      <c r="H107" s="8" t="inlineStr">
        <is>
          <t>3.4</t>
        </is>
      </c>
      <c r="I107" s="21">
        <f>IFERROR(INDEX(Plan!$B$5:$B$88,MATCH(H107,Plan!$A$5:$A$88,0)),"—")</f>
        <v/>
      </c>
      <c r="J107" s="7" t="inlineStr">
        <is>
          <t>Ver con /cuenta?vacio=1.</t>
        </is>
      </c>
    </row>
    <row r="108">
      <c r="A108" s="19" t="inlineStr">
        <is>
          <t>P-04</t>
        </is>
      </c>
      <c r="B108" s="4" t="inlineStr">
        <is>
          <t>Decisión</t>
        </is>
      </c>
      <c r="C108" s="4" t="inlineStr">
        <is>
          <t>General</t>
        </is>
      </c>
      <c r="D108" s="7" t="inlineStr">
        <is>
          <t>Logo en celular como enlace a la landing</t>
        </is>
      </c>
      <c r="E108" s="7" t="inlineStr">
        <is>
          <t>Yo</t>
        </is>
      </c>
      <c r="F108" s="8" t="inlineStr">
        <is>
          <t>Baja</t>
        </is>
      </c>
      <c r="G108" s="8" t="inlineStr">
        <is>
          <t>Hecho</t>
        </is>
      </c>
      <c r="H108" s="8" t="inlineStr">
        <is>
          <t>—</t>
        </is>
      </c>
      <c r="I108" s="21">
        <f>IFERROR(INDEX(Plan!$B$5:$B$88,MATCH(H108,Plan!$A$5:$A$88,0)),"—")</f>
        <v/>
      </c>
      <c r="J108" s="7" t="inlineStr"/>
    </row>
    <row r="109">
      <c r="A109" s="19" t="inlineStr">
        <is>
          <t>P-05</t>
        </is>
      </c>
      <c r="B109" s="4" t="inlineStr">
        <is>
          <t>Decisión</t>
        </is>
      </c>
      <c r="C109" s="4" t="inlineStr">
        <is>
          <t>General</t>
        </is>
      </c>
      <c r="D109" s="7" t="inlineStr">
        <is>
          <t>Escudo: public/logos/vector/green-alliance-logo.svg</t>
        </is>
      </c>
      <c r="E109" s="7" t="inlineStr">
        <is>
          <t>Yo</t>
        </is>
      </c>
      <c r="F109" s="8" t="inlineStr">
        <is>
          <t>Baja</t>
        </is>
      </c>
      <c r="G109" s="8" t="inlineStr">
        <is>
          <t>Hecho</t>
        </is>
      </c>
      <c r="H109" s="8" t="inlineStr">
        <is>
          <t>—</t>
        </is>
      </c>
      <c r="I109" s="21">
        <f>IFERROR(INDEX(Plan!$B$5:$B$88,MATCH(H109,Plan!$A$5:$A$88,0)),"—")</f>
        <v/>
      </c>
      <c r="J109" s="7" t="inlineStr"/>
    </row>
    <row r="110">
      <c r="A110" s="19" t="inlineStr">
        <is>
          <t>P-06</t>
        </is>
      </c>
      <c r="B110" s="4" t="inlineStr">
        <is>
          <t>Decisión</t>
        </is>
      </c>
      <c r="C110" s="4" t="inlineStr">
        <is>
          <t>/ingresar</t>
        </is>
      </c>
      <c r="D110" s="7" t="inlineStr">
        <is>
          <t>Formulario de ingreso entre 640 y 767 px (columna de 440 px)</t>
        </is>
      </c>
      <c r="E110" s="7" t="inlineStr">
        <is>
          <t>Yo</t>
        </is>
      </c>
      <c r="F110" s="8" t="inlineStr">
        <is>
          <t>Baja</t>
        </is>
      </c>
      <c r="G110" s="8" t="inlineStr">
        <is>
          <t>Hecho</t>
        </is>
      </c>
      <c r="H110" s="8" t="inlineStr">
        <is>
          <t>5.2</t>
        </is>
      </c>
      <c r="I110" s="21">
        <f>IFERROR(INDEX(Plan!$B$5:$B$88,MATCH(H110,Plan!$A$5:$A$88,0)),"—")</f>
        <v/>
      </c>
      <c r="J110" s="7" t="inlineStr"/>
    </row>
    <row r="111">
      <c r="A111" s="19" t="inlineStr">
        <is>
          <t>P-07</t>
        </is>
      </c>
      <c r="B111" s="4" t="inlineStr">
        <is>
          <t>Decisión</t>
        </is>
      </c>
      <c r="C111" s="4" t="inlineStr">
        <is>
          <t>/ingresar</t>
        </is>
      </c>
      <c r="D111" s="7" t="inlineStr">
        <is>
          <t>Panel verde en tableta (640–1023 px) centrado</t>
        </is>
      </c>
      <c r="E111" s="7" t="inlineStr">
        <is>
          <t>Yo</t>
        </is>
      </c>
      <c r="F111" s="8" t="inlineStr">
        <is>
          <t>Baja</t>
        </is>
      </c>
      <c r="G111" s="8" t="inlineStr">
        <is>
          <t>Hecho</t>
        </is>
      </c>
      <c r="H111" s="8" t="inlineStr">
        <is>
          <t>5.2</t>
        </is>
      </c>
      <c r="I111" s="21">
        <f>IFERROR(INDEX(Plan!$B$5:$B$88,MATCH(H111,Plan!$A$5:$A$88,0)),"—")</f>
        <v/>
      </c>
      <c r="J111" s="7" t="inlineStr"/>
    </row>
    <row r="112">
      <c r="A112" s="19" t="inlineStr">
        <is>
          <t>P-103</t>
        </is>
      </c>
      <c r="B112" s="4" t="inlineStr">
        <is>
          <t>Decisión</t>
        </is>
      </c>
      <c r="C112" s="4" t="inlineStr">
        <is>
          <t>Landing</t>
        </is>
      </c>
      <c r="D112" s="7" t="inlineStr">
        <is>
          <t>D-07: ¿se mantiene la sección de testimonios de la landing? si sí, falta su diseño en la pieza 2a y de dónde salen los testimonios reales</t>
        </is>
      </c>
      <c r="E112" s="7" t="inlineStr">
        <is>
          <t>Cooperativa</t>
        </is>
      </c>
      <c r="F112" s="8" t="inlineStr">
        <is>
          <t>Baja</t>
        </is>
      </c>
      <c r="G112" s="8" t="inlineStr">
        <is>
          <t>Hecho</t>
        </is>
      </c>
      <c r="H112" s="8" t="inlineStr">
        <is>
          <t>2.14</t>
        </is>
      </c>
      <c r="I112" s="21">
        <f>IFERROR(INDEX(Plan!$B$5:$B$88,MATCH(H112,Plan!$A$5:$A$88,0)),"—")</f>
        <v/>
      </c>
      <c r="J112" s="7" t="inlineStr">
        <is>
          <t>27-sep: pedido de diseño nuevo de ga-verificador-qa (la sección no tiene respaldo en la pieza 2a del lienzo). Relacionado con P-16 (fotos/cifras/testimonios reales, 5.3). 27-sep: Sebas decidió quitar la sección de testimonios de la landing (commit 4c63924).</t>
        </is>
      </c>
    </row>
    <row r="113">
      <c r="A113" s="19" t="inlineStr">
        <is>
          <t>P-88</t>
        </is>
      </c>
      <c r="B113" s="4" t="inlineStr">
        <is>
          <t>Base de datos</t>
        </is>
      </c>
      <c r="C113" s="4" t="inlineStr">
        <is>
          <t>Seguridad</t>
        </is>
      </c>
      <c r="D113" s="7" t="inlineStr">
        <is>
          <t>F2-08: tr_componer_nombre_afiliacion no cubre el update directo de solicitudes_afiliacion.nombre por un admin</t>
        </is>
      </c>
      <c r="E113" s="7" t="inlineStr">
        <is>
          <t>ga-auditor-supabase</t>
        </is>
      </c>
      <c r="F113" s="8" t="inlineStr">
        <is>
          <t>Baja</t>
        </is>
      </c>
      <c r="G113" s="8" t="inlineStr">
        <is>
          <t>Pendiente</t>
        </is>
      </c>
      <c r="H113" s="8" t="inlineStr">
        <is>
          <t>1.6</t>
        </is>
      </c>
      <c r="I113" s="21">
        <f>IFERROR(INDEX(Plan!$B$5:$B$88,MATCH(H113,Plan!$A$5:$A$88,0)),"—")</f>
        <v/>
      </c>
      <c r="J113" s="7" t="inlineStr">
        <is>
          <t>Documentado en docs/auditorias/2026-09-24-fase-2.md; confirmado sin corregir por ga-revisor-seguridad el 25-sep. Un admin puede reescribir `nombre` por SQL directo, y ese texto lo usan el correo «Ingreso aceptado» y el nombre_completo del perfil. Solo afecta a admins.</t>
        </is>
      </c>
    </row>
    <row r="114">
      <c r="A114" s="19" t="inlineStr">
        <is>
          <t>P-101</t>
        </is>
      </c>
      <c r="B114" s="4" t="inlineStr">
        <is>
          <t>Seguridad</t>
        </is>
      </c>
      <c r="C114" s="4" t="inlineStr">
        <is>
          <t>Admin</t>
        </is>
      </c>
      <c r="D114" s="7" t="inlineStr">
        <is>
          <t>H2/M-01: cédula sin enmascarar de las «hermanas» en el detalle de afiliación viajaba completa a un client component</t>
        </is>
      </c>
      <c r="E114" s="7" t="inlineStr">
        <is>
          <t>sesión principal</t>
        </is>
      </c>
      <c r="F114" s="8" t="inlineStr">
        <is>
          <t>Media</t>
        </is>
      </c>
      <c r="G114" s="8" t="inlineStr">
        <is>
          <t>Hecho</t>
        </is>
      </c>
      <c r="H114" s="8" t="inlineStr">
        <is>
          <t>4.11</t>
        </is>
      </c>
      <c r="I114" s="21">
        <f>IFERROR(INDEX(Plan!$B$5:$B$88,MATCH(H114,Plan!$A$5:$A$88,0)),"—")</f>
        <v/>
      </c>
      <c r="J114" s="7" t="inlineStr">
        <is>
          <t>27-sep: hallazgo de ga-revisor-seguridad, confirmado por ga-verificador-qa el mismo día (se mostraba enmascarada en pantalla pero viajaba completa en las props de PanelAfiliacionDetalle / app/admin/afiliaciones/_datos.ts). Corregido en rediseno-c-plus (commit local fdab456): la cédula se enmascara en el servidor antes de llegar al client component.</t>
        </is>
      </c>
    </row>
    <row r="115">
      <c r="A115" s="19" t="inlineStr">
        <is>
          <t>P-83</t>
        </is>
      </c>
      <c r="B115" s="4" t="inlineStr">
        <is>
          <t>Seguridad</t>
        </is>
      </c>
      <c r="C115" s="4" t="inlineStr">
        <is>
          <t>Correos</t>
        </is>
      </c>
      <c r="D115" s="7" t="inlineStr">
        <is>
          <t>S-15: escapar/validar HTML en las variables NOMBRE/MOTIVO de los correos de Resend</t>
        </is>
      </c>
      <c r="E115" s="7" t="inlineStr">
        <is>
          <t>ga-funcionalidad-botones</t>
        </is>
      </c>
      <c r="F115" s="8" t="inlineStr">
        <is>
          <t>Media</t>
        </is>
      </c>
      <c r="G115" s="8" t="inlineStr">
        <is>
          <t>Hecho</t>
        </is>
      </c>
      <c r="H115" s="8" t="inlineStr">
        <is>
          <t>6.2</t>
        </is>
      </c>
      <c r="I115" s="21">
        <f>IFERROR(INDEX(Plan!$B$5:$B$88,MATCH(H115,Plan!$A$5:$A$88,0)),"—")</f>
        <v/>
      </c>
      <c r="J115" s="7" t="inlineStr">
        <is>
          <t>25-sep: hallazgo de ga-revisor-seguridad (un admin puede meter HTML en perfiles.nombre_completo o en el motivo de rechazo). Corregido en local con pruebas (tests/unit/correo-resend.test.ts). 25-sep: desplegado con el PR #2 (merge 2c19d02).</t>
        </is>
      </c>
    </row>
    <row r="116">
      <c r="A116" s="19" t="inlineStr">
        <is>
          <t>P-84</t>
        </is>
      </c>
      <c r="B116" s="4" t="inlineStr">
        <is>
          <t>Código</t>
        </is>
      </c>
      <c r="C116" s="4" t="inlineStr">
        <is>
          <t>Configuración</t>
        </is>
      </c>
      <c r="D116" s="7" t="inlineStr">
        <is>
          <t>M-01: el número de WhatsApp se muestra sin espacios por un typo de regex en lib/config.ts</t>
        </is>
      </c>
      <c r="E116" s="7" t="inlineStr">
        <is>
          <t>ga-funcionalidad-botones</t>
        </is>
      </c>
      <c r="F116" s="8" t="inlineStr">
        <is>
          <t>Media</t>
        </is>
      </c>
      <c r="G116" s="8" t="inlineStr">
        <is>
          <t>Hecho</t>
        </is>
      </c>
      <c r="H116" s="8" t="inlineStr">
        <is>
          <t>5.3</t>
        </is>
      </c>
      <c r="I116" s="21">
        <f>IFERROR(INDEX(Plan!$B$5:$B$88,MATCH(H116,Plan!$A$5:$A$88,0)),"—")</f>
        <v/>
      </c>
      <c r="J116" s="7" t="inlineStr">
        <is>
          <t>25-sep: hallazgo de ga-verificador-qa (patrón sin la barra invertida de \D/\d; el enlace wa.me sí funciona). Corregido en local con pruebas (tests/unit/config-whatsapp.test.ts). 25-sep: desplegado con el PR #2 (merge 2c19d02); confirmado en vivo «311 724 1942».</t>
        </is>
      </c>
    </row>
    <row r="117">
      <c r="A117" s="19" t="inlineStr">
        <is>
          <t>P-99</t>
        </is>
      </c>
      <c r="B117" s="4" t="inlineStr">
        <is>
          <t>Seguridad</t>
        </is>
      </c>
      <c r="C117" s="4" t="inlineStr">
        <is>
          <t>/cuenta</t>
        </is>
      </c>
      <c r="D117" s="7" t="inlineStr">
        <is>
          <t>H1: la tasa de interés de la solicitud viajaba en las props de CuentaCliente aunque nunca se renderizara</t>
        </is>
      </c>
      <c r="E117" s="7" t="inlineStr">
        <is>
          <t>sesión principal</t>
        </is>
      </c>
      <c r="F117" s="8" t="inlineStr">
        <is>
          <t>Media</t>
        </is>
      </c>
      <c r="G117" s="8" t="inlineStr">
        <is>
          <t>Hecho</t>
        </is>
      </c>
      <c r="H117" s="8" t="inlineStr">
        <is>
          <t>3.5</t>
        </is>
      </c>
      <c r="I117" s="21">
        <f>IFERROR(INDEX(Plan!$B$5:$B$88,MATCH(H117,Plan!$A$5:$A$88,0)),"—")</f>
        <v/>
      </c>
      <c r="J117" s="7" t="inlineStr">
        <is>
          <t>27-sep: hallazgo de ga-revisor-seguridad al revisar el rediseño C+; confirmado vigente en producción desde el 25-sep, no introducido por el rediseño. Corregido en rediseno-c-plus (commit local e650033): app/cuenta/page.tsx y lib/cuenta.ts ya no mandan tasa/tasa_interes_mensual a CuentaCliente (client component). Como también afecta a producción (main), conviene llevar este hotfix aparte aunque el rediseño no se fusione todavía; queda a decisión de Sebas. Ver el residuo en P-100.</t>
        </is>
      </c>
    </row>
  </sheetData>
  <autoFilter ref="A4:J117"/>
  <conditionalFormatting sqref="G5:G117">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17">
    <cfRule type="expression" priority="5" dxfId="5">
      <formula>$F5="Alta"</formula>
    </cfRule>
    <cfRule type="expression" priority="6" dxfId="6">
      <formula>$F5="Media"</formula>
    </cfRule>
    <cfRule type="expression" priority="7" dxfId="7">
      <formula>$F5="Baja"</formula>
    </cfRule>
  </conditionalFormatting>
  <conditionalFormatting sqref="A5:F117">
    <cfRule type="expression" priority="8" dxfId="8">
      <formula>$G5="Hecho"</formula>
    </cfRule>
  </conditionalFormatting>
  <dataValidations count="2">
    <dataValidation sqref="G5:G117" showDropDown="0" showInputMessage="0" showErrorMessage="0" allowBlank="0" type="list">
      <formula1>"Hecho,En curso,Pendiente,Bloqueado"</formula1>
    </dataValidation>
    <dataValidation sqref="F5:F117"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9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1.5</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1.4, 2.2, 2.5</t>
        </is>
      </c>
      <c r="I9" s="18" t="inlineStr">
        <is>
          <t>B</t>
        </is>
      </c>
      <c r="J9" s="8" t="n">
        <v>4</v>
      </c>
      <c r="K9" s="8" t="n">
        <v>4</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6.17</t>
        </is>
      </c>
      <c r="I10" s="18" t="inlineStr">
        <is>
          <t>B</t>
        </is>
      </c>
      <c r="J10" s="8" t="n">
        <v>9</v>
      </c>
      <c r="K10" s="8" t="n">
        <v>34</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3.4, 6.10</t>
        </is>
      </c>
      <c r="I11" s="18" t="inlineStr">
        <is>
          <t>B</t>
        </is>
      </c>
      <c r="J11" s="8" t="n">
        <v>6</v>
      </c>
      <c r="K11" s="8" t="n">
        <v>16</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6.18, 6.13</t>
        </is>
      </c>
      <c r="I12" s="18" t="inlineStr">
        <is>
          <t>B</t>
        </is>
      </c>
      <c r="J12" s="8" t="n">
        <v>37</v>
      </c>
      <c r="K12" s="8" t="n">
        <v>37</v>
      </c>
      <c r="L12" s="8">
        <f>K12+E12</f>
        <v/>
      </c>
      <c r="M12" s="8">
        <f>K12-J12</f>
        <v/>
      </c>
      <c r="N12" s="8">
        <f>"S"&amp;(INT(K12/Resumen!$C$5)+1)&amp;"–S"&amp;MAX(INT(K12/Resumen!$C$5)+1,ROUNDUP(L12/Resumen!$C$5,0))</f>
        <v/>
      </c>
      <c r="O12" s="8" t="inlineStr">
        <is>
          <t>Hecho</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2.5, 2.6</t>
        </is>
      </c>
      <c r="I13" s="18" t="inlineStr">
        <is>
          <t>B</t>
        </is>
      </c>
      <c r="J13" s="8" t="n">
        <v>6</v>
      </c>
      <c r="K13" s="8" t="n">
        <v>9</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1.5</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4.1</t>
        </is>
      </c>
      <c r="I15" s="18" t="inlineStr">
        <is>
          <t>B</t>
        </is>
      </c>
      <c r="J15" s="8" t="n">
        <v>6</v>
      </c>
      <c r="K15" s="8" t="n">
        <v>23</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4.11</t>
        </is>
      </c>
      <c r="I16" s="18" t="inlineStr">
        <is>
          <t>A</t>
        </is>
      </c>
      <c r="J16" s="8" t="n">
        <v>1</v>
      </c>
      <c r="K16" s="8" t="n">
        <v>32</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1.5, 2.1</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2.1, 3.1</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2.14, 6.4</t>
        </is>
      </c>
      <c r="I19" s="18" t="inlineStr">
        <is>
          <t>B</t>
        </is>
      </c>
      <c r="J19" s="8" t="n">
        <v>14</v>
      </c>
      <c r="K19" s="8" t="n">
        <v>21</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2.15</t>
        </is>
      </c>
      <c r="I20" s="18" t="inlineStr">
        <is>
          <t>A</t>
        </is>
      </c>
      <c r="J20" s="8" t="n">
        <v>23</v>
      </c>
      <c r="K20" s="8" t="n">
        <v>27</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4.12, 3.6</t>
        </is>
      </c>
      <c r="I21" s="18" t="inlineStr">
        <is>
          <t>B</t>
        </is>
      </c>
      <c r="J21" s="8" t="n">
        <v>25</v>
      </c>
      <c r="K21" s="8" t="n">
        <v>42</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2.12</t>
        </is>
      </c>
      <c r="I22" s="18" t="inlineStr">
        <is>
          <t>A</t>
        </is>
      </c>
      <c r="J22" s="8" t="n">
        <v>46</v>
      </c>
      <c r="K22" s="8" t="n">
        <v>55</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4.13</t>
        </is>
      </c>
      <c r="I23" s="18" t="inlineStr">
        <is>
          <t>A</t>
        </is>
      </c>
      <c r="J23" s="8" t="n">
        <v>46</v>
      </c>
      <c r="K23" s="8" t="n">
        <v>62</v>
      </c>
      <c r="L23" s="8">
        <f>K23+E23</f>
        <v/>
      </c>
      <c r="M23" s="8">
        <f>K23-J23</f>
        <v/>
      </c>
      <c r="N23" s="8">
        <f>"S"&amp;(INT(K23/Resumen!$C$5)+1)&amp;"–S"&amp;MAX(INT(K23/Resumen!$C$5)+1,ROUNDUP(L23/Resumen!$C$5,0))</f>
        <v/>
      </c>
      <c r="O23" s="8" t="inlineStr">
        <is>
          <t>Hecho</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3.7, 2.10, 3.9</t>
        </is>
      </c>
      <c r="I24" s="18" t="inlineStr">
        <is>
          <t>B</t>
        </is>
      </c>
      <c r="J24" s="8" t="n">
        <v>46</v>
      </c>
      <c r="K24" s="8" t="n">
        <v>54</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5.7</t>
        </is>
      </c>
      <c r="I25" s="18" t="inlineStr">
        <is>
          <t>A</t>
        </is>
      </c>
      <c r="J25" s="8" t="n">
        <v>58</v>
      </c>
      <c r="K25" s="8" t="n">
        <v>75</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4.6, 2.7</t>
        </is>
      </c>
      <c r="I26" s="18" t="inlineStr">
        <is>
          <t>A</t>
        </is>
      </c>
      <c r="J26" s="8" t="n">
        <v>18</v>
      </c>
      <c r="K26" s="8" t="n">
        <v>18</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4.1, 2.8</t>
        </is>
      </c>
      <c r="I27" s="18" t="inlineStr">
        <is>
          <t>B</t>
        </is>
      </c>
      <c r="J27" s="8" t="n">
        <v>25</v>
      </c>
      <c r="K27" s="8" t="n">
        <v>25</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2.6, 3.4</t>
        </is>
      </c>
      <c r="I28" s="18" t="inlineStr">
        <is>
          <t>B</t>
        </is>
      </c>
      <c r="J28" s="8" t="n">
        <v>4</v>
      </c>
      <c r="K28" s="8" t="n">
        <v>12</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4.15, 4.9</t>
        </is>
      </c>
      <c r="I29" s="18" t="inlineStr">
        <is>
          <t>B</t>
        </is>
      </c>
      <c r="J29" s="8" t="n">
        <v>16</v>
      </c>
      <c r="K29" s="8" t="n">
        <v>79</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5.2</t>
        </is>
      </c>
      <c r="I30" s="18" t="inlineStr">
        <is>
          <t>B</t>
        </is>
      </c>
      <c r="J30" s="8" t="n">
        <v>16</v>
      </c>
      <c r="K30" s="8" t="n">
        <v>49</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3.1, 1.7</t>
        </is>
      </c>
      <c r="I31" s="18" t="inlineStr">
        <is>
          <t>A</t>
        </is>
      </c>
      <c r="J31" s="8" t="n">
        <v>6</v>
      </c>
      <c r="K31" s="8" t="n">
        <v>14</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4.12</t>
        </is>
      </c>
      <c r="I32" s="18" t="inlineStr">
        <is>
          <t>B</t>
        </is>
      </c>
      <c r="J32" s="8" t="n">
        <v>23</v>
      </c>
      <c r="K32" s="8" t="n">
        <v>39</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2.9</t>
        </is>
      </c>
      <c r="I33" s="18" t="inlineStr">
        <is>
          <t>A</t>
        </is>
      </c>
      <c r="J33" s="8" t="n">
        <v>42</v>
      </c>
      <c r="K33" s="8" t="n">
        <v>44</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4.3, 2.12</t>
        </is>
      </c>
      <c r="I34" s="18" t="inlineStr">
        <is>
          <t>A</t>
        </is>
      </c>
      <c r="J34" s="8" t="n">
        <v>52</v>
      </c>
      <c r="K34" s="8" t="n">
        <v>52</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2.12, 4.13</t>
        </is>
      </c>
      <c r="I35" s="18" t="inlineStr">
        <is>
          <t>A</t>
        </is>
      </c>
      <c r="J35" s="8" t="n">
        <v>42</v>
      </c>
      <c r="K35" s="8" t="n">
        <v>56</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4.10, 6.16, 4.11</t>
        </is>
      </c>
      <c r="I36" s="18" t="inlineStr">
        <is>
          <t>A</t>
        </is>
      </c>
      <c r="J36" s="8" t="n">
        <v>18</v>
      </c>
      <c r="K36" s="8" t="n">
        <v>29</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2.3, 2.15</t>
        </is>
      </c>
      <c r="I37" s="18" t="inlineStr">
        <is>
          <t>A</t>
        </is>
      </c>
      <c r="J37" s="8" t="n">
        <v>23</v>
      </c>
      <c r="K37" s="8" t="n">
        <v>23</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4.5</t>
        </is>
      </c>
      <c r="I38" s="18" t="inlineStr">
        <is>
          <t>B</t>
        </is>
      </c>
      <c r="J38" s="8" t="n">
        <v>27</v>
      </c>
      <c r="K38" s="8" t="n">
        <v>46</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3.7</t>
        </is>
      </c>
      <c r="I39" s="18" t="inlineStr">
        <is>
          <t>B</t>
        </is>
      </c>
      <c r="J39" s="8" t="n">
        <v>49</v>
      </c>
      <c r="K39" s="8" t="n">
        <v>52</v>
      </c>
      <c r="L39" s="8">
        <f>K39+E39</f>
        <v/>
      </c>
      <c r="M39" s="8">
        <f>K39-J39</f>
        <v/>
      </c>
      <c r="N39" s="8">
        <f>"S"&amp;(INT(K39/Resumen!$C$5)+1)&amp;"–S"&amp;MAX(INT(K39/Resumen!$C$5)+1,ROUNDUP(L39/Resumen!$C$5,0))</f>
        <v/>
      </c>
      <c r="O39" s="8" t="inlineStr">
        <is>
          <t>Hecho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4.7, 5.1</t>
        </is>
      </c>
      <c r="I40" s="18" t="inlineStr">
        <is>
          <t>A</t>
        </is>
      </c>
      <c r="J40" s="8" t="n">
        <v>4</v>
      </c>
      <c r="K40" s="8" t="n">
        <v>70</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4.2</t>
        </is>
      </c>
      <c r="I41" s="18" t="inlineStr">
        <is>
          <t>A</t>
        </is>
      </c>
      <c r="J41" s="8" t="n">
        <v>46</v>
      </c>
      <c r="K41" s="8" t="n">
        <v>46</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2.14</t>
        </is>
      </c>
      <c r="I42" s="18" t="inlineStr">
        <is>
          <t>B</t>
        </is>
      </c>
      <c r="J42" s="8" t="n">
        <v>9</v>
      </c>
      <c r="K42" s="8" t="n">
        <v>18</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6.11, 6.9, 4.4</t>
        </is>
      </c>
      <c r="I43" s="18" t="inlineStr">
        <is>
          <t>B</t>
        </is>
      </c>
      <c r="J43" s="8" t="n">
        <v>27</v>
      </c>
      <c r="K43" s="8" t="n">
        <v>68</v>
      </c>
      <c r="L43" s="8">
        <f>K43+E43</f>
        <v/>
      </c>
      <c r="M43" s="8">
        <f>K43-J43</f>
        <v/>
      </c>
      <c r="N43" s="8">
        <f>"S"&amp;(INT(K43/Resumen!$C$5)+1)&amp;"–S"&amp;MAX(INT(K43/Resumen!$C$5)+1,ROUNDUP(L43/Resumen!$C$5,0))</f>
        <v/>
      </c>
      <c r="O43" s="8" t="inlineStr">
        <is>
          <t>Hecho</t>
        </is>
      </c>
      <c r="P43" s="8" t="inlineStr">
        <is>
          <t>Agregado</t>
        </is>
      </c>
      <c r="Q43" s="7" t="inlineStr">
        <is>
          <t>ga-funcionalidad-botones (antes 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4.14</t>
        </is>
      </c>
      <c r="I44" s="18" t="inlineStr">
        <is>
          <t>B</t>
        </is>
      </c>
      <c r="J44" s="8" t="n">
        <v>21</v>
      </c>
      <c r="K44" s="8" t="n">
        <v>65</v>
      </c>
      <c r="L44" s="8">
        <f>K44+E44</f>
        <v/>
      </c>
      <c r="M44" s="8">
        <f>K44-J44</f>
        <v/>
      </c>
      <c r="N44" s="8">
        <f>"S"&amp;(INT(K44/Resumen!$C$5)+1)&amp;"–S"&amp;MAX(INT(K44/Resumen!$C$5)+1,ROUNDUP(L44/Resumen!$C$5,0))</f>
        <v/>
      </c>
      <c r="O44" s="8" t="inlineStr">
        <is>
          <t>Hecho</t>
        </is>
      </c>
      <c r="P44" s="8" t="inlineStr">
        <is>
          <t>Agregado</t>
        </is>
      </c>
      <c r="Q44" s="7" t="inlineStr">
        <is>
          <t>ga-funcionalidad-botones (antes 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3.2, 5.10</t>
        </is>
      </c>
      <c r="I45" s="18" t="inlineStr">
        <is>
          <t>A</t>
        </is>
      </c>
      <c r="J45" s="8" t="n">
        <v>27</v>
      </c>
      <c r="K45" s="8" t="n">
        <v>81</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6.19, 3.10</t>
        </is>
      </c>
      <c r="I46" s="18" t="inlineStr">
        <is>
          <t>B</t>
        </is>
      </c>
      <c r="J46" s="8" t="n">
        <v>21</v>
      </c>
      <c r="K46" s="8" t="n">
        <v>28</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3.10, 2.4</t>
        </is>
      </c>
      <c r="I47" s="18" t="inlineStr">
        <is>
          <t>B</t>
        </is>
      </c>
      <c r="J47" s="8" t="n">
        <v>27</v>
      </c>
      <c r="K47" s="8" t="n">
        <v>31</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4.4</t>
        </is>
      </c>
      <c r="I48" s="18" t="inlineStr">
        <is>
          <t>B</t>
        </is>
      </c>
      <c r="J48" s="8" t="n">
        <v>17</v>
      </c>
      <c r="K48" s="8" t="n">
        <v>72</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3.3</t>
        </is>
      </c>
      <c r="I49" s="18" t="inlineStr">
        <is>
          <t>A</t>
        </is>
      </c>
      <c r="J49" s="8" t="n">
        <v>25</v>
      </c>
      <c r="K49" s="8" t="n">
        <v>49</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6.14, 6.12</t>
        </is>
      </c>
      <c r="I50" s="18" t="inlineStr">
        <is>
          <t>A</t>
        </is>
      </c>
      <c r="J50" s="8" t="n">
        <v>84</v>
      </c>
      <c r="K50" s="8" t="n">
        <v>87</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30-sep: fotos reales de la landing por llegar (cooperativa); cifras ya corregidas (§12).</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6.1</t>
        </is>
      </c>
      <c r="I51" s="18" t="inlineStr">
        <is>
          <t>B</t>
        </is>
      </c>
      <c r="J51" s="8" t="n">
        <v>84</v>
      </c>
      <c r="K51" s="8" t="n">
        <v>84</v>
      </c>
      <c r="L51" s="8">
        <f>K51+E51</f>
        <v/>
      </c>
      <c r="M51" s="8">
        <f>K51-J51</f>
        <v/>
      </c>
      <c r="N51" s="8">
        <f>"S"&amp;(INT(K51/Resumen!$C$5)+1)&amp;"–S"&amp;MAX(INT(K51/Resumen!$C$5)+1,ROUNDUP(L51/Resumen!$C$5,0))</f>
        <v/>
      </c>
      <c r="O51" s="8" t="inlineStr">
        <is>
          <t>En curso</t>
        </is>
      </c>
      <c r="P51" s="8" t="inlineStr">
        <is>
          <t>Agregado</t>
        </is>
      </c>
      <c r="Q51" s="7" t="inlineStr">
        <is>
          <t>ga-diseno-a-codigo</t>
        </is>
      </c>
      <c r="R51" s="7" t="inlineStr">
        <is>
          <t>30-sep: política v1 del Dr. Breinner publicada en la rama politica-datos-v1; falta su revisión de 7.3, 8 y 18 (selfie como dato sensible; aclarar que no se reporta a centrales).</t>
        </is>
      </c>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4.13</t>
        </is>
      </c>
      <c r="I52" s="18" t="inlineStr">
        <is>
          <t>A</t>
        </is>
      </c>
      <c r="J52" s="8" t="n">
        <v>55</v>
      </c>
      <c r="K52" s="8" t="n">
        <v>60</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4.13</t>
        </is>
      </c>
      <c r="I53" s="18" t="inlineStr">
        <is>
          <t>A</t>
        </is>
      </c>
      <c r="J53" s="8" t="n">
        <v>55</v>
      </c>
      <c r="K53" s="8" t="n">
        <v>61</v>
      </c>
      <c r="L53" s="8">
        <f>K53+E53</f>
        <v/>
      </c>
      <c r="M53" s="8">
        <f>K53-J53</f>
        <v/>
      </c>
      <c r="N53" s="8">
        <f>"S"&amp;(INT(K53/Resumen!$C$5)+1)&amp;"–S"&amp;MAX(INT(K53/Resumen!$C$5)+1,ROUNDUP(L53/Resumen!$C$5,0))</f>
        <v/>
      </c>
      <c r="O53" s="8" t="inlineStr">
        <is>
          <t>Hecho</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2.13, 5.13</t>
        </is>
      </c>
      <c r="I54" s="18" t="inlineStr">
        <is>
          <t>B</t>
        </is>
      </c>
      <c r="J54" s="8" t="n">
        <v>12</v>
      </c>
      <c r="K54" s="8" t="n">
        <v>75</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6.21</t>
        </is>
      </c>
      <c r="I55" s="18" t="inlineStr">
        <is>
          <t>A</t>
        </is>
      </c>
      <c r="J55" s="8" t="n">
        <v>77</v>
      </c>
      <c r="K55" s="8" t="n">
        <v>77</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6.6, 5.11</t>
        </is>
      </c>
      <c r="I56" s="18" t="inlineStr">
        <is>
          <t>B</t>
        </is>
      </c>
      <c r="J56" s="8" t="n">
        <v>84</v>
      </c>
      <c r="K56" s="8" t="n">
        <v>97</v>
      </c>
      <c r="L56" s="8">
        <f>K56+E56</f>
        <v/>
      </c>
      <c r="M56" s="8">
        <f>K56-J56</f>
        <v/>
      </c>
      <c r="N56" s="8">
        <f>"S"&amp;(INT(K56/Resumen!$C$5)+1)&amp;"–S"&amp;MAX(INT(K56/Resumen!$C$5)+1,ROUNDUP(L56/Resumen!$C$5,0))</f>
        <v/>
      </c>
      <c r="O56" s="8" t="inlineStr">
        <is>
          <t>Pendiente</t>
        </is>
      </c>
      <c r="P56" s="8" t="inlineStr">
        <is>
          <t>Agregado</t>
        </is>
      </c>
      <c r="Q56" s="7" t="inlineStr">
        <is>
          <t>ga-funcionalidad-botones (antes Carlos Pardo)</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4.9</t>
        </is>
      </c>
      <c r="I57" s="18" t="inlineStr">
        <is>
          <t>B</t>
        </is>
      </c>
      <c r="J57" s="8" t="n">
        <v>58</v>
      </c>
      <c r="K57" s="8" t="n">
        <v>82</v>
      </c>
      <c r="L57" s="8">
        <f>K57+E57</f>
        <v/>
      </c>
      <c r="M57" s="8">
        <f>K57-J57</f>
        <v/>
      </c>
      <c r="N57" s="8">
        <f>"S"&amp;(INT(K57/Resumen!$C$5)+1)&amp;"–S"&amp;MAX(INT(K57/Resumen!$C$5)+1,ROUNDUP(L57/Resumen!$C$5,0))</f>
        <v/>
      </c>
      <c r="O57" s="8" t="inlineStr">
        <is>
          <t>Hecho</t>
        </is>
      </c>
      <c r="P57" s="8" t="inlineStr">
        <is>
          <t>Agregado</t>
        </is>
      </c>
      <c r="Q57" s="7" t="inlineStr">
        <is>
          <t>ga-funcionalidad-botones + ga-auditor-supabase (antes 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5.4, 6.2</t>
        </is>
      </c>
      <c r="I58" s="18" t="inlineStr">
        <is>
          <t>A</t>
        </is>
      </c>
      <c r="J58" s="8" t="n">
        <v>84</v>
      </c>
      <c r="K58" s="8" t="n">
        <v>84</v>
      </c>
      <c r="L58" s="8">
        <f>K58+E58</f>
        <v/>
      </c>
      <c r="M58" s="8">
        <f>K58-J58</f>
        <v/>
      </c>
      <c r="N58" s="8">
        <f>"S"&amp;(INT(K58/Resumen!$C$5)+1)&amp;"–S"&amp;MAX(INT(K58/Resumen!$C$5)+1,ROUNDUP(L58/Resumen!$C$5,0))</f>
        <v/>
      </c>
      <c r="O58" s="8" t="inlineStr">
        <is>
          <t>En curso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6.1</t>
        </is>
      </c>
      <c r="I59" s="18" t="inlineStr">
        <is>
          <t>B</t>
        </is>
      </c>
      <c r="J59" s="8" t="n">
        <v>84</v>
      </c>
      <c r="K59" s="8" t="n">
        <v>85</v>
      </c>
      <c r="L59" s="8">
        <f>K59+E59</f>
        <v/>
      </c>
      <c r="M59" s="8">
        <f>K59-J59</f>
        <v/>
      </c>
      <c r="N59" s="8">
        <f>"S"&amp;(INT(K59/Resumen!$C$5)+1)&amp;"–S"&amp;MAX(INT(K59/Resumen!$C$5)+1,ROUNDUP(L59/Resumen!$C$5,0))</f>
        <v/>
      </c>
      <c r="O59" s="8" t="inlineStr">
        <is>
          <t>En curso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6.1, 5.5, 2.8, 5.3, 5.4, 2.11, 5.6, 1.6, 2.12, 3.9, 4.6</t>
        </is>
      </c>
      <c r="G60" s="7" t="inlineStr">
        <is>
          <t>Sí</t>
        </is>
      </c>
      <c r="H60" s="7" t="inlineStr">
        <is>
          <t>6.15, 5.12</t>
        </is>
      </c>
      <c r="I60" s="18" t="inlineStr">
        <is>
          <t>A</t>
        </is>
      </c>
      <c r="J60" s="8" t="n">
        <v>89</v>
      </c>
      <c r="K60" s="8" t="n">
        <v>89</v>
      </c>
      <c r="L60" s="8">
        <f>K60+E60</f>
        <v/>
      </c>
      <c r="M60" s="8">
        <f>K60-J60</f>
        <v/>
      </c>
      <c r="N60" s="8">
        <f>"S"&amp;(INT(K60/Resumen!$C$5)+1)&amp;"–S"&amp;MAX(INT(K60/Resumen!$C$5)+1,ROUNDUP(L60/Resumen!$C$5,0))</f>
        <v/>
      </c>
      <c r="O60" s="8" t="inlineStr">
        <is>
          <t>En curso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2.7</t>
        </is>
      </c>
      <c r="I61" s="18" t="inlineStr">
        <is>
          <t>A</t>
        </is>
      </c>
      <c r="J61" s="8" t="n">
        <v>0</v>
      </c>
      <c r="K61" s="8" t="n">
        <v>22</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92</v>
      </c>
      <c r="K62" s="8" t="n">
        <v>93</v>
      </c>
      <c r="L62" s="8">
        <f>K62+E62</f>
        <v/>
      </c>
      <c r="M62" s="8">
        <f>K62-J62</f>
        <v/>
      </c>
      <c r="N62" s="8">
        <f>"S"&amp;(INT(K62/Resumen!$C$5)+1)&amp;"–S"&amp;MAX(INT(K62/Resumen!$C$5)+1,ROUNDUP(L62/Resumen!$C$5,0))</f>
        <v/>
      </c>
      <c r="O62" s="8" t="inlineStr">
        <is>
          <t>En curso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6.24, 6.7, 5.9</t>
        </is>
      </c>
      <c r="I63" s="18" t="inlineStr">
        <is>
          <t>A</t>
        </is>
      </c>
      <c r="J63" s="8" t="n">
        <v>95</v>
      </c>
      <c r="K63" s="8" t="n">
        <v>95</v>
      </c>
      <c r="L63" s="8">
        <f>K63+E63</f>
        <v/>
      </c>
      <c r="M63" s="8">
        <f>K63-J63</f>
        <v/>
      </c>
      <c r="N63" s="8">
        <f>"S"&amp;(INT(K63/Resumen!$C$5)+1)&amp;"–S"&amp;MAX(INT(K63/Resumen!$C$5)+1,ROUNDUP(L63/Resumen!$C$5,0))</f>
        <v/>
      </c>
      <c r="O63" s="8" t="inlineStr">
        <is>
          <t>Pendiente</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6.6</t>
        </is>
      </c>
      <c r="I64" s="18" t="inlineStr">
        <is>
          <t>B</t>
        </is>
      </c>
      <c r="J64" s="8" t="n">
        <v>95</v>
      </c>
      <c r="K64" s="8" t="n">
        <v>96</v>
      </c>
      <c r="L64" s="8">
        <f>K64+E64</f>
        <v/>
      </c>
      <c r="M64" s="8">
        <f>K64-J64</f>
        <v/>
      </c>
      <c r="N64" s="8">
        <f>"S"&amp;(INT(K64/Resumen!$C$5)+1)&amp;"–S"&amp;MAX(INT(K64/Resumen!$C$5)+1,ROUNDUP(L64/Resumen!$C$5,0))</f>
        <v/>
      </c>
      <c r="O64" s="8" t="inlineStr">
        <is>
          <t>Pendiente</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4.14</t>
        </is>
      </c>
      <c r="I65" s="18" t="inlineStr">
        <is>
          <t>B</t>
        </is>
      </c>
      <c r="J65" s="8" t="n">
        <v>46</v>
      </c>
      <c r="K65" s="8" t="n">
        <v>64</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4.7</t>
        </is>
      </c>
      <c r="I66" s="18" t="inlineStr">
        <is>
          <t>A</t>
        </is>
      </c>
      <c r="J66" s="8" t="n">
        <v>69</v>
      </c>
      <c r="K66" s="8" t="n">
        <v>69</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1.7</t>
        </is>
      </c>
      <c r="I67" s="18" t="inlineStr">
        <is>
          <t>A</t>
        </is>
      </c>
      <c r="J67" s="8" t="n">
        <v>16</v>
      </c>
      <c r="K67" s="8" t="n">
        <v>17</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4.7</t>
        </is>
      </c>
      <c r="I68" s="18" t="inlineStr">
        <is>
          <t>A</t>
        </is>
      </c>
      <c r="J68" s="8" t="n">
        <v>46</v>
      </c>
      <c r="K68" s="8" t="n">
        <v>68</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5.3</t>
        </is>
      </c>
      <c r="I69" s="18" t="inlineStr">
        <is>
          <t>B</t>
        </is>
      </c>
      <c r="J69" s="8" t="n">
        <v>84</v>
      </c>
      <c r="K69" s="8" t="n">
        <v>88</v>
      </c>
      <c r="L69" s="8">
        <f>K69+E69</f>
        <v/>
      </c>
      <c r="M69" s="8">
        <f>K69-J69</f>
        <v/>
      </c>
      <c r="N69" s="8">
        <f>"S"&amp;(INT(K69/Resumen!$C$5)+1)&amp;"–S"&amp;MAX(INT(K69/Resumen!$C$5)+1,ROUNDUP(L69/Resumen!$C$5,0))</f>
        <v/>
      </c>
      <c r="O69" s="8" t="inlineStr">
        <is>
          <t>Pendiente</t>
        </is>
      </c>
      <c r="P69" s="8" t="inlineStr">
        <is>
          <t>Agregado</t>
        </is>
      </c>
      <c r="Q69" s="7" t="inlineStr">
        <is>
          <t>Yo (panel Vercel)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1.8</t>
        </is>
      </c>
      <c r="I70" s="18" t="inlineStr">
        <is>
          <t>A</t>
        </is>
      </c>
      <c r="J70" s="8" t="n">
        <v>37</v>
      </c>
      <c r="K70" s="8" t="n">
        <v>38</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5.3</t>
        </is>
      </c>
      <c r="I71" s="18" t="inlineStr">
        <is>
          <t>B</t>
        </is>
      </c>
      <c r="J71" s="8" t="n">
        <v>84</v>
      </c>
      <c r="K71" s="8" t="n">
        <v>87</v>
      </c>
      <c r="L71" s="8">
        <f>K71+E71</f>
        <v/>
      </c>
      <c r="M71" s="8">
        <f>K71-J71</f>
        <v/>
      </c>
      <c r="N71" s="8">
        <f>"S"&amp;(INT(K71/Resumen!$C$5)+1)&amp;"–S"&amp;MAX(INT(K71/Resumen!$C$5)+1,ROUNDUP(L71/Resumen!$C$5,0))</f>
        <v/>
      </c>
      <c r="O71" s="8" t="inlineStr">
        <is>
          <t>Pendiente</t>
        </is>
      </c>
      <c r="P71" s="8" t="inlineStr">
        <is>
          <t>Agregado</t>
        </is>
      </c>
      <c r="Q71" s="7" t="inlineStr">
        <is>
          <t>Sebas (antes 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6.3</t>
        </is>
      </c>
      <c r="I72" s="18" t="inlineStr">
        <is>
          <t>B</t>
        </is>
      </c>
      <c r="J72" s="8" t="n">
        <v>87</v>
      </c>
      <c r="K72" s="8" t="n">
        <v>89</v>
      </c>
      <c r="L72" s="8">
        <f>K72+E72</f>
        <v/>
      </c>
      <c r="M72" s="8">
        <f>K72-J72</f>
        <v/>
      </c>
      <c r="N72" s="8">
        <f>"S"&amp;(INT(K72/Resumen!$C$5)+1)&amp;"–S"&amp;MAX(INT(K72/Resumen!$C$5)+1,ROUNDUP(L72/Resumen!$C$5,0))</f>
        <v/>
      </c>
      <c r="O72" s="8" t="inlineStr">
        <is>
          <t>En curso</t>
        </is>
      </c>
      <c r="P72" s="8" t="inlineStr">
        <is>
          <t>Agregado</t>
        </is>
      </c>
      <c r="Q72" s="7" t="inlineStr">
        <is>
          <t>ga-verificador-qa (antes Carlos Pardo)</t>
        </is>
      </c>
      <c r="R72" s="7" t="inlineStr"/>
    </row>
    <row r="73">
      <c r="A73" s="19" t="inlineStr">
        <is>
          <t>6.16</t>
        </is>
      </c>
      <c r="B73" s="4" t="inlineStr">
        <is>
          <t>6. Pruebas y lanzamiento</t>
        </is>
      </c>
      <c r="C73" s="7" t="inlineStr">
        <is>
          <t>Actualizar tests/e2e (e-diseno, a-navegacion) tras el rediseño C+ de la landing e ingreso/afiliación</t>
        </is>
      </c>
      <c r="D73" s="5" t="n">
        <v>1</v>
      </c>
      <c r="E73" s="8">
        <f>D73</f>
        <v/>
      </c>
      <c r="F73" s="4" t="inlineStr">
        <is>
          <t>2.14, 2.15</t>
        </is>
      </c>
      <c r="G73" s="7" t="inlineStr">
        <is>
          <t>Sí</t>
        </is>
      </c>
      <c r="H73" s="7" t="inlineStr">
        <is>
          <t>3.10</t>
        </is>
      </c>
      <c r="I73" s="18" t="inlineStr">
        <is>
          <t>B</t>
        </is>
      </c>
      <c r="J73" s="8" t="n">
        <v>28</v>
      </c>
      <c r="K73" s="8" t="n">
        <v>30</v>
      </c>
      <c r="L73" s="8">
        <f>K73+E73</f>
        <v/>
      </c>
      <c r="M73" s="8">
        <f>K73-J73</f>
        <v/>
      </c>
      <c r="N73" s="8">
        <f>"S"&amp;(INT(K73/Resumen!$C$5)+1)&amp;"–S"&amp;MAX(INT(K73/Resumen!$C$5)+1,ROUNDUP(L73/Resumen!$C$5,0))</f>
        <v/>
      </c>
      <c r="O73" s="8" t="inlineStr">
        <is>
          <t>Hecho</t>
        </is>
      </c>
      <c r="P73" s="8" t="inlineStr">
        <is>
          <t>Agregado</t>
        </is>
      </c>
      <c r="Q73" s="7" t="inlineStr">
        <is>
          <t>ga-verificador-qa</t>
        </is>
      </c>
      <c r="R73" s="7" t="inlineStr"/>
    </row>
    <row r="74">
      <c r="A74" s="19" t="inlineStr">
        <is>
          <t>6.19</t>
        </is>
      </c>
      <c r="B74" s="4" t="inlineStr">
        <is>
          <t>6. Pruebas y lanzamiento</t>
        </is>
      </c>
      <c r="C74" s="7" t="inlineStr">
        <is>
          <t>Actualizar tests/responsive/logo-y-fotos tras el rediseño C+ de la landing</t>
        </is>
      </c>
      <c r="D74" s="5" t="n">
        <v>1</v>
      </c>
      <c r="E74" s="8">
        <f>D74</f>
        <v/>
      </c>
      <c r="F74" s="4" t="inlineStr">
        <is>
          <t>2.14, 2.15</t>
        </is>
      </c>
      <c r="G74" s="7" t="inlineStr">
        <is>
          <t>Sí</t>
        </is>
      </c>
      <c r="H74" s="7" t="inlineStr">
        <is>
          <t>4.10</t>
        </is>
      </c>
      <c r="I74" s="18" t="inlineStr">
        <is>
          <t>A</t>
        </is>
      </c>
      <c r="J74" s="8" t="n">
        <v>28</v>
      </c>
      <c r="K74" s="8" t="n">
        <v>28</v>
      </c>
      <c r="L74" s="8">
        <f>K74+E74</f>
        <v/>
      </c>
      <c r="M74" s="8">
        <f>K74-J74</f>
        <v/>
      </c>
      <c r="N74" s="8">
        <f>"S"&amp;(INT(K74/Resumen!$C$5)+1)&amp;"–S"&amp;MAX(INT(K74/Resumen!$C$5)+1,ROUNDUP(L74/Resumen!$C$5,0))</f>
        <v/>
      </c>
      <c r="O74" s="8" t="inlineStr">
        <is>
          <t>Hecho</t>
        </is>
      </c>
      <c r="P74" s="8" t="inlineStr">
        <is>
          <t>Agregado</t>
        </is>
      </c>
      <c r="Q74" s="7" t="inlineStr">
        <is>
          <t>ga-verificador-responsive</t>
        </is>
      </c>
      <c r="R74" s="7" t="inlineStr"/>
    </row>
    <row r="75">
      <c r="A75" s="19" t="inlineStr">
        <is>
          <t>6.17</t>
        </is>
      </c>
      <c r="B75" s="4" t="inlineStr">
        <is>
          <t>6. Pruebas y lanzamiento</t>
        </is>
      </c>
      <c r="C75" s="7" t="inlineStr">
        <is>
          <t>QA, seguridad y responsive del rediseño C+ de punta a punta</t>
        </is>
      </c>
      <c r="D75" s="5" t="n">
        <v>3</v>
      </c>
      <c r="E75" s="8">
        <f>D75</f>
        <v/>
      </c>
      <c r="F75" s="7" t="inlineStr">
        <is>
          <t>6.16, 6.19, 2.15, 3.10, 4.10, 4.11</t>
        </is>
      </c>
      <c r="G75" s="7" t="inlineStr">
        <is>
          <t>Sí</t>
        </is>
      </c>
      <c r="H75" s="7" t="inlineStr">
        <is>
          <t>1.6</t>
        </is>
      </c>
      <c r="I75" s="18" t="inlineStr">
        <is>
          <t>A</t>
        </is>
      </c>
      <c r="J75" s="8" t="n">
        <v>34</v>
      </c>
      <c r="K75" s="8" t="n">
        <v>34</v>
      </c>
      <c r="L75" s="8">
        <f>K75+E75</f>
        <v/>
      </c>
      <c r="M75" s="8">
        <f>K75-J75</f>
        <v/>
      </c>
      <c r="N75" s="8">
        <f>"S"&amp;(INT(K75/Resumen!$C$5)+1)&amp;"–S"&amp;MAX(INT(K75/Resumen!$C$5)+1,ROUNDUP(L75/Resumen!$C$5,0))</f>
        <v/>
      </c>
      <c r="O75" s="8" t="inlineStr">
        <is>
          <t>Hecho</t>
        </is>
      </c>
      <c r="P75" s="8" t="inlineStr">
        <is>
          <t>Agregado</t>
        </is>
      </c>
      <c r="Q75" s="7" t="inlineStr">
        <is>
          <t>ga-verificador-qa + ga-verificador-responsive + ga-revisor-seguridad</t>
        </is>
      </c>
      <c r="R75" s="7" t="inlineStr"/>
    </row>
    <row r="76">
      <c r="A76" s="19" t="inlineStr">
        <is>
          <t>6.18</t>
        </is>
      </c>
      <c r="B76" s="4" t="inlineStr">
        <is>
          <t>6. Pruebas y lanzamiento</t>
        </is>
      </c>
      <c r="C76" s="7" t="inlineStr">
        <is>
          <t>Fusionar la rama rediseno-c-plus a develop</t>
        </is>
      </c>
      <c r="D76" s="5" t="n">
        <v>1</v>
      </c>
      <c r="E76" s="8">
        <f>D76</f>
        <v/>
      </c>
      <c r="F76" s="4" t="inlineStr">
        <is>
          <t>6.17</t>
        </is>
      </c>
      <c r="G76" s="7" t="inlineStr">
        <is>
          <t>Sí</t>
        </is>
      </c>
      <c r="H76" s="7" t="inlineStr">
        <is>
          <t>1.8</t>
        </is>
      </c>
      <c r="I76" s="18" t="inlineStr">
        <is>
          <t>A</t>
        </is>
      </c>
      <c r="J76" s="8" t="n">
        <v>37</v>
      </c>
      <c r="K76" s="8" t="n">
        <v>37</v>
      </c>
      <c r="L76" s="8">
        <f>K76+E76</f>
        <v/>
      </c>
      <c r="M76" s="8">
        <f>K76-J76</f>
        <v/>
      </c>
      <c r="N76" s="8">
        <f>"S"&amp;(INT(K76/Resumen!$C$5)+1)&amp;"–S"&amp;MAX(INT(K76/Resumen!$C$5)+1,ROUNDUP(L76/Resumen!$C$5,0))</f>
        <v/>
      </c>
      <c r="O76" s="8" t="inlineStr">
        <is>
          <t>Hecho</t>
        </is>
      </c>
      <c r="P76" s="8" t="inlineStr">
        <is>
          <t>Agregado</t>
        </is>
      </c>
      <c r="Q76" s="7" t="inlineStr">
        <is>
          <t>Sebas</t>
        </is>
      </c>
      <c r="R76" s="7" t="inlineStr"/>
    </row>
    <row r="77">
      <c r="A77" s="19" t="inlineStr">
        <is>
          <t>4.12</t>
        </is>
      </c>
      <c r="B77" s="7" t="inlineStr">
        <is>
          <t>4. Panel de administración</t>
        </is>
      </c>
      <c r="C77" s="7" t="inlineStr">
        <is>
          <t>Requerimientos de Ricardo (tanda 1): 19 migraciones, lienzo 3j–3p (afiliación v3, perfil, comisiones, admin de asociados y alertas, convenios con detalle)</t>
        </is>
      </c>
      <c r="D77" s="5" t="n">
        <v>5</v>
      </c>
      <c r="E77" s="8">
        <f>D77</f>
        <v/>
      </c>
      <c r="F77" s="4" t="inlineStr">
        <is>
          <t>1.8, 6.18</t>
        </is>
      </c>
      <c r="G77" s="7" t="inlineStr">
        <is>
          <t>Sí</t>
        </is>
      </c>
      <c r="H77" s="7" t="inlineStr">
        <is>
          <t>3.5, 2.9</t>
        </is>
      </c>
      <c r="I77" s="18" t="inlineStr">
        <is>
          <t>A</t>
        </is>
      </c>
      <c r="J77" s="8" t="n">
        <v>39</v>
      </c>
      <c r="K77" s="8" t="n">
        <v>39</v>
      </c>
      <c r="L77" s="8">
        <f>K77+E77</f>
        <v/>
      </c>
      <c r="M77" s="8">
        <f>K77-J77</f>
        <v/>
      </c>
      <c r="N77" s="8">
        <f>"S"&amp;(INT(K77/Resumen!$C$5)+1)&amp;"–S"&amp;MAX(INT(K77/Resumen!$C$5)+1,ROUNDUP(L77/Resumen!$C$5,0))</f>
        <v/>
      </c>
      <c r="O77" s="8" t="inlineStr">
        <is>
          <t>Hecho</t>
        </is>
      </c>
      <c r="P77" s="8" t="inlineStr">
        <is>
          <t>Agregado</t>
        </is>
      </c>
      <c r="Q77" s="7" t="inlineStr">
        <is>
          <t>ga-auditor-supabase + ga-disenador-lienzo</t>
        </is>
      </c>
      <c r="R77" s="7" t="inlineStr"/>
    </row>
    <row r="78">
      <c r="A78" s="19" t="inlineStr">
        <is>
          <t>4.13</t>
        </is>
      </c>
      <c r="B78" s="7" t="inlineStr">
        <is>
          <t>4. Panel de administración</t>
        </is>
      </c>
      <c r="C78" s="7" t="inlineStr">
        <is>
          <t>Requerimientos de Ricardo (tanda 1): código de 3j–3p y correcciones de las dos revisiones de seguridad (RS-01 a RS-22)</t>
        </is>
      </c>
      <c r="D78" s="5" t="n">
        <v>5</v>
      </c>
      <c r="E78" s="8">
        <f>D78</f>
        <v/>
      </c>
      <c r="F78" s="4" t="inlineStr">
        <is>
          <t>4.12</t>
        </is>
      </c>
      <c r="G78" s="7" t="inlineStr">
        <is>
          <t>Sí</t>
        </is>
      </c>
      <c r="H78" s="7" t="inlineStr">
        <is>
          <t>3.9, 5.5, 5.6, 2.11</t>
        </is>
      </c>
      <c r="I78" s="18" t="inlineStr">
        <is>
          <t>B</t>
        </is>
      </c>
      <c r="J78" s="8" t="n">
        <v>44</v>
      </c>
      <c r="K78" s="8" t="n">
        <v>58</v>
      </c>
      <c r="L78" s="8">
        <f>K78+E78</f>
        <v/>
      </c>
      <c r="M78" s="8">
        <f>K78-J78</f>
        <v/>
      </c>
      <c r="N78" s="8">
        <f>"S"&amp;(INT(K78/Resumen!$C$5)+1)&amp;"–S"&amp;MAX(INT(K78/Resumen!$C$5)+1,ROUNDUP(L78/Resumen!$C$5,0))</f>
        <v/>
      </c>
      <c r="O78" s="8" t="inlineStr">
        <is>
          <t>Hecho</t>
        </is>
      </c>
      <c r="P78" s="8" t="inlineStr">
        <is>
          <t>Agregado</t>
        </is>
      </c>
      <c r="Q78" s="7" t="inlineStr">
        <is>
          <t>ga-funcionalidad-botones + ga-diseno-a-codigo + ga-revisor-seguridad</t>
        </is>
      </c>
      <c r="R78" s="7" t="inlineStr"/>
    </row>
    <row r="79">
      <c r="A79" s="19" t="inlineStr">
        <is>
          <t>6.20</t>
        </is>
      </c>
      <c r="B79" s="4" t="inlineStr">
        <is>
          <t>6. Pruebas y lanzamiento</t>
        </is>
      </c>
      <c r="C79" s="7" t="inlineStr">
        <is>
          <t>Desplegar requerimientos de Ricardo (PR #5 a main y 19 migraciones en producción)</t>
        </is>
      </c>
      <c r="D79" s="5" t="n">
        <v>1</v>
      </c>
      <c r="E79" s="8">
        <f>D79</f>
        <v/>
      </c>
      <c r="F79" s="4" t="inlineStr">
        <is>
          <t>4.13</t>
        </is>
      </c>
      <c r="G79" s="7" t="inlineStr">
        <is>
          <t>No (usa las 2 filas)</t>
        </is>
      </c>
      <c r="H79" s="7" t="inlineStr">
        <is>
          <t>—</t>
        </is>
      </c>
      <c r="I79" s="18" t="inlineStr">
        <is>
          <t>A+B</t>
        </is>
      </c>
      <c r="J79" s="8" t="n">
        <v>63</v>
      </c>
      <c r="K79" s="8" t="n">
        <v>63</v>
      </c>
      <c r="L79" s="8">
        <f>K79+E79</f>
        <v/>
      </c>
      <c r="M79" s="8">
        <f>K79-J79</f>
        <v/>
      </c>
      <c r="N79" s="8">
        <f>"S"&amp;(INT(K79/Resumen!$C$5)+1)&amp;"–S"&amp;MAX(INT(K79/Resumen!$C$5)+1,ROUNDUP(L79/Resumen!$C$5,0))</f>
        <v/>
      </c>
      <c r="O79" s="8" t="inlineStr">
        <is>
          <t>Hecho</t>
        </is>
      </c>
      <c r="P79" s="8" t="inlineStr">
        <is>
          <t>Agregado</t>
        </is>
      </c>
      <c r="Q79" s="7" t="inlineStr">
        <is>
          <t>Sebas</t>
        </is>
      </c>
      <c r="R79" s="7" t="inlineStr"/>
    </row>
    <row r="80">
      <c r="A80" s="19" t="inlineStr">
        <is>
          <t>4.14</t>
        </is>
      </c>
      <c r="B80" s="7" t="inlineStr">
        <is>
          <t>4. Panel de administración</t>
        </is>
      </c>
      <c r="C80" s="7" t="inlineStr">
        <is>
          <t>Requerimientos de Ricardo (tanda 2, spec §12): lienzo 3q, 7 migraciones 20260930200*, desembolso, baja/reactivación, dominio de correo, bonos, sorteo con ganador y textos de landing</t>
        </is>
      </c>
      <c r="D80" s="5" t="n">
        <v>4</v>
      </c>
      <c r="E80" s="8">
        <f>D80</f>
        <v/>
      </c>
      <c r="F80" s="4" t="inlineStr">
        <is>
          <t>6.20</t>
        </is>
      </c>
      <c r="G80" s="7" t="inlineStr">
        <is>
          <t>Sí</t>
        </is>
      </c>
      <c r="H80" s="7" t="inlineStr">
        <is>
          <t>6.8, 4.8</t>
        </is>
      </c>
      <c r="I80" s="18" t="inlineStr">
        <is>
          <t>A</t>
        </is>
      </c>
      <c r="J80" s="8" t="n">
        <v>64</v>
      </c>
      <c r="K80" s="8" t="n">
        <v>64</v>
      </c>
      <c r="L80" s="8">
        <f>K80+E80</f>
        <v/>
      </c>
      <c r="M80" s="8">
        <f>K80-J80</f>
        <v/>
      </c>
      <c r="N80" s="8">
        <f>"S"&amp;(INT(K80/Resumen!$C$5)+1)&amp;"–S"&amp;MAX(INT(K80/Resumen!$C$5)+1,ROUNDUP(L80/Resumen!$C$5,0))</f>
        <v/>
      </c>
      <c r="O80" s="8" t="inlineStr">
        <is>
          <t>Hecho</t>
        </is>
      </c>
      <c r="P80" s="8" t="inlineStr">
        <is>
          <t>Agregado</t>
        </is>
      </c>
      <c r="Q80" s="7" t="inlineStr">
        <is>
          <t>ga-disenador-lienzo + ga-auditor-supabase + ga-funcionalidad-botones + ga-diseno-a-codigo</t>
        </is>
      </c>
      <c r="R80" s="7" t="inlineStr"/>
    </row>
    <row r="81">
      <c r="A81" s="19" t="inlineStr">
        <is>
          <t>4.15</t>
        </is>
      </c>
      <c r="B81" s="7" t="inlineStr">
        <is>
          <t>4. Panel de administración</t>
        </is>
      </c>
      <c r="C81" s="7" t="inlineStr">
        <is>
          <t>Pedidos de Sebas (spec §13): correos con respaldo en texto plano, acción admin «Habilitar nuevo crédito» y tarjeta vacía en /cuenta, demo con selector Policía/Ejército y cupo por grado, WhatsApp en el pie</t>
        </is>
      </c>
      <c r="D81" s="5" t="n">
        <v>3</v>
      </c>
      <c r="E81" s="8">
        <f>D81</f>
        <v/>
      </c>
      <c r="F81" s="4" t="inlineStr">
        <is>
          <t>4.14</t>
        </is>
      </c>
      <c r="G81" s="7" t="inlineStr">
        <is>
          <t>Sí</t>
        </is>
      </c>
      <c r="H81" s="7" t="inlineStr">
        <is>
          <t>6.21, 3.2</t>
        </is>
      </c>
      <c r="I81" s="18" t="inlineStr">
        <is>
          <t>A</t>
        </is>
      </c>
      <c r="J81" s="8" t="n">
        <v>68</v>
      </c>
      <c r="K81" s="8" t="n">
        <v>78</v>
      </c>
      <c r="L81" s="8">
        <f>K81+E81</f>
        <v/>
      </c>
      <c r="M81" s="8">
        <f>K81-J81</f>
        <v/>
      </c>
      <c r="N81" s="8">
        <f>"S"&amp;(INT(K81/Resumen!$C$5)+1)&amp;"–S"&amp;MAX(INT(K81/Resumen!$C$5)+1,ROUNDUP(L81/Resumen!$C$5,0))</f>
        <v/>
      </c>
      <c r="O81" s="8" t="inlineStr">
        <is>
          <t>Hecho</t>
        </is>
      </c>
      <c r="P81" s="8" t="inlineStr">
        <is>
          <t>Agregado</t>
        </is>
      </c>
      <c r="Q81" s="7" t="inlineStr">
        <is>
          <t>ga-auditor-supabase + ga-funcionalidad-botones + ga-diseno-a-codigo</t>
        </is>
      </c>
      <c r="R81" s="7" t="inlineStr"/>
    </row>
    <row r="82">
      <c r="A82" s="19" t="inlineStr">
        <is>
          <t>6.21</t>
        </is>
      </c>
      <c r="B82" s="4" t="inlineStr">
        <is>
          <t>6. Pruebas y lanzamiento</t>
        </is>
      </c>
      <c r="C82" s="7" t="inlineStr">
        <is>
          <t>E2E nuevas de la tanda 2 (§12) y ajuste de las que buscan «Mis datos» en /cuenta</t>
        </is>
      </c>
      <c r="D82" s="5" t="n">
        <v>2</v>
      </c>
      <c r="E82" s="8">
        <f>D82</f>
        <v/>
      </c>
      <c r="F82" s="4" t="inlineStr">
        <is>
          <t>4.14</t>
        </is>
      </c>
      <c r="G82" s="7" t="inlineStr">
        <is>
          <t>Sí</t>
        </is>
      </c>
      <c r="H82" s="7" t="inlineStr">
        <is>
          <t>5.8, 4.15</t>
        </is>
      </c>
      <c r="I82" s="18" t="inlineStr">
        <is>
          <t>B</t>
        </is>
      </c>
      <c r="J82" s="8" t="n">
        <v>68</v>
      </c>
      <c r="K82" s="8" t="n">
        <v>77</v>
      </c>
      <c r="L82" s="8">
        <f>K82+E82</f>
        <v/>
      </c>
      <c r="M82" s="8">
        <f>K82-J82</f>
        <v/>
      </c>
      <c r="N82" s="8">
        <f>"S"&amp;(INT(K82/Resumen!$C$5)+1)&amp;"–S"&amp;MAX(INT(K82/Resumen!$C$5)+1,ROUNDUP(L82/Resumen!$C$5,0))</f>
        <v/>
      </c>
      <c r="O82" s="8" t="inlineStr">
        <is>
          <t>Hecho</t>
        </is>
      </c>
      <c r="P82" s="8" t="inlineStr">
        <is>
          <t>Agregado</t>
        </is>
      </c>
      <c r="Q82" s="7" t="inlineStr">
        <is>
          <t>ga-verificador-qa</t>
        </is>
      </c>
      <c r="R82" s="7" t="inlineStr"/>
    </row>
    <row r="83">
      <c r="A83" s="19" t="inlineStr">
        <is>
          <t>6.22</t>
        </is>
      </c>
      <c r="B83" s="4" t="inlineStr">
        <is>
          <t>6. Pruebas y lanzamiento</t>
        </is>
      </c>
      <c r="C83" s="7" t="inlineStr">
        <is>
          <t>Desplegar la tanda 2: aplicar migraciones 20260930200*, CRON_SECRET (32+), plantilla ga-aviso-institucional y su variable en Vercel</t>
        </is>
      </c>
      <c r="D83" s="5" t="n">
        <v>1</v>
      </c>
      <c r="E83" s="8">
        <f>D83</f>
        <v/>
      </c>
      <c r="F83" s="4" t="inlineStr">
        <is>
          <t>4.14</t>
        </is>
      </c>
      <c r="G83" s="7" t="inlineStr">
        <is>
          <t>No (usa las 2 filas)</t>
        </is>
      </c>
      <c r="H83" s="7" t="inlineStr">
        <is>
          <t>—</t>
        </is>
      </c>
      <c r="I83" s="18" t="inlineStr">
        <is>
          <t>A+B</t>
        </is>
      </c>
      <c r="J83" s="8" t="n">
        <v>68</v>
      </c>
      <c r="K83" s="8" t="n">
        <v>74</v>
      </c>
      <c r="L83" s="8">
        <f>K83+E83</f>
        <v/>
      </c>
      <c r="M83" s="8">
        <f>K83-J83</f>
        <v/>
      </c>
      <c r="N83" s="8">
        <f>"S"&amp;(INT(K83/Resumen!$C$5)+1)&amp;"–S"&amp;MAX(INT(K83/Resumen!$C$5)+1,ROUNDUP(L83/Resumen!$C$5,0))</f>
        <v/>
      </c>
      <c r="O83" s="8" t="inlineStr">
        <is>
          <t>Hecho</t>
        </is>
      </c>
      <c r="P83" s="8" t="inlineStr">
        <is>
          <t>Agregado</t>
        </is>
      </c>
      <c r="Q83" s="7" t="inlineStr">
        <is>
          <t>Sebas</t>
        </is>
      </c>
      <c r="R83" s="7" t="inlineStr"/>
    </row>
    <row r="84">
      <c r="A84" s="19" t="inlineStr">
        <is>
          <t>5.11</t>
        </is>
      </c>
      <c r="B84" s="4" t="inlineStr">
        <is>
          <t>5. Convenios y pulido</t>
        </is>
      </c>
      <c r="C84" s="7" t="inlineStr">
        <is>
          <t>Backlog §12.12: reconocimiento al primer asesor que llegue a los premios por asociados</t>
        </is>
      </c>
      <c r="D84" s="5" t="n">
        <v>2</v>
      </c>
      <c r="E84" s="8">
        <f>D84</f>
        <v/>
      </c>
      <c r="F84" s="4" t="inlineStr">
        <is>
          <t>6.22</t>
        </is>
      </c>
      <c r="G84" s="7" t="inlineStr">
        <is>
          <t>Sí</t>
        </is>
      </c>
      <c r="H84" s="7" t="inlineStr">
        <is>
          <t>5.9</t>
        </is>
      </c>
      <c r="I84" s="18" t="inlineStr">
        <is>
          <t>A</t>
        </is>
      </c>
      <c r="J84" s="8" t="n">
        <v>84</v>
      </c>
      <c r="K84" s="8" t="n">
        <v>98</v>
      </c>
      <c r="L84" s="8">
        <f>K84+E84</f>
        <v/>
      </c>
      <c r="M84" s="8">
        <f>K84-J84</f>
        <v/>
      </c>
      <c r="N84" s="8">
        <f>"S"&amp;(INT(K84/Resumen!$C$5)+1)&amp;"–S"&amp;MAX(INT(K84/Resumen!$C$5)+1,ROUNDUP(L84/Resumen!$C$5,0))</f>
        <v/>
      </c>
      <c r="O84" s="8" t="inlineStr">
        <is>
          <t>Pendiente</t>
        </is>
      </c>
      <c r="P84" s="8" t="inlineStr">
        <is>
          <t>Agregado</t>
        </is>
      </c>
      <c r="Q84" s="7" t="inlineStr">
        <is>
          <t>ga-funcionalidad-botones + ga-diseno-a-codigo</t>
        </is>
      </c>
      <c r="R84" s="7" t="inlineStr"/>
    </row>
    <row r="85">
      <c r="A85" s="19" t="inlineStr">
        <is>
          <t>5.12</t>
        </is>
      </c>
      <c r="B85" s="4" t="inlineStr">
        <is>
          <t>5. Convenios y pulido</t>
        </is>
      </c>
      <c r="C85" s="7" t="inlineStr">
        <is>
          <t>Backlog §12.12: carné virtual del asociado («Afiliado Titular», nombre, grado, institución, cédula)</t>
        </is>
      </c>
      <c r="D85" s="5" t="n">
        <v>2</v>
      </c>
      <c r="E85" s="8">
        <f>D85</f>
        <v/>
      </c>
      <c r="F85" s="4" t="inlineStr">
        <is>
          <t>6.22</t>
        </is>
      </c>
      <c r="G85" s="7" t="inlineStr">
        <is>
          <t>Sí</t>
        </is>
      </c>
      <c r="H85" s="7" t="inlineStr">
        <is>
          <t>6.3</t>
        </is>
      </c>
      <c r="I85" s="18" t="inlineStr">
        <is>
          <t>B</t>
        </is>
      </c>
      <c r="J85" s="8" t="n">
        <v>84</v>
      </c>
      <c r="K85" s="8" t="n">
        <v>90</v>
      </c>
      <c r="L85" s="8">
        <f>K85+E85</f>
        <v/>
      </c>
      <c r="M85" s="8">
        <f>K85-J85</f>
        <v/>
      </c>
      <c r="N85" s="8">
        <f>"S"&amp;(INT(K85/Resumen!$C$5)+1)&amp;"–S"&amp;MAX(INT(K85/Resumen!$C$5)+1,ROUNDUP(L85/Resumen!$C$5,0))</f>
        <v/>
      </c>
      <c r="O85" s="8" t="inlineStr">
        <is>
          <t>Pendiente</t>
        </is>
      </c>
      <c r="P85" s="8" t="inlineStr">
        <is>
          <t>Agregado</t>
        </is>
      </c>
      <c r="Q85" s="7" t="inlineStr">
        <is>
          <t>ga-disenador-lienzo + ga-diseno-a-codigo</t>
        </is>
      </c>
      <c r="R85" s="7" t="inlineStr"/>
    </row>
    <row r="86">
      <c r="A86" s="19" t="inlineStr">
        <is>
          <t>5.13</t>
        </is>
      </c>
      <c r="B86" s="4" t="inlineStr">
        <is>
          <t>5. Convenios y pulido</t>
        </is>
      </c>
      <c r="C86" s="7" t="inlineStr">
        <is>
          <t>Convenios: videos (AMB Móvil, Dr. Ribero, Dream &amp; Go, Locos por los Viajes) y PDF de Racing Tours en el detalle de cada marca</t>
        </is>
      </c>
      <c r="D86" s="5" t="n">
        <v>1</v>
      </c>
      <c r="E86" s="8">
        <f>D86</f>
        <v/>
      </c>
      <c r="F86" s="4" t="inlineStr">
        <is>
          <t>5.2</t>
        </is>
      </c>
      <c r="G86" s="7" t="inlineStr">
        <is>
          <t>Sí</t>
        </is>
      </c>
      <c r="H86" s="7" t="inlineStr">
        <is>
          <t>5.7</t>
        </is>
      </c>
      <c r="I86" s="18" t="inlineStr">
        <is>
          <t>A</t>
        </is>
      </c>
      <c r="J86" s="8" t="n">
        <v>52</v>
      </c>
      <c r="K86" s="8" t="n">
        <v>76</v>
      </c>
      <c r="L86" s="8">
        <f>K86+E86</f>
        <v/>
      </c>
      <c r="M86" s="8">
        <f>K86-J86</f>
        <v/>
      </c>
      <c r="N86" s="8">
        <f>"S"&amp;(INT(K86/Resumen!$C$5)+1)&amp;"–S"&amp;MAX(INT(K86/Resumen!$C$5)+1,ROUNDUP(L86/Resumen!$C$5,0))</f>
        <v/>
      </c>
      <c r="O86" s="8" t="inlineStr">
        <is>
          <t>Hecho</t>
        </is>
      </c>
      <c r="P86" s="8" t="inlineStr">
        <is>
          <t>Agregado</t>
        </is>
      </c>
      <c r="Q86" s="7" t="inlineStr">
        <is>
          <t>ga-diseno-a-codigo</t>
        </is>
      </c>
      <c r="R86" s="7" t="inlineStr"/>
    </row>
    <row r="87">
      <c r="A87" s="19" t="inlineStr">
        <is>
          <t>6.23</t>
        </is>
      </c>
      <c r="B87" s="4" t="inlineStr">
        <is>
          <t>6. Pruebas y lanzamiento</t>
        </is>
      </c>
      <c r="C87" s="7" t="inlineStr">
        <is>
          <t>Aplicar la migración 20261001000000 (versión de política aceptada, secuencia revocada, RPC de métricas) ANTES de desplegar</t>
        </is>
      </c>
      <c r="D87" s="5" t="n">
        <v>1</v>
      </c>
      <c r="E87" s="8">
        <f>D87</f>
        <v/>
      </c>
      <c r="F87" s="4" t="inlineStr">
        <is>
          <t>4.14</t>
        </is>
      </c>
      <c r="G87" s="7" t="inlineStr">
        <is>
          <t>No (usa las 2 filas)</t>
        </is>
      </c>
      <c r="H87" s="7" t="inlineStr">
        <is>
          <t>—</t>
        </is>
      </c>
      <c r="I87" s="18" t="inlineStr">
        <is>
          <t>A+B</t>
        </is>
      </c>
      <c r="J87" s="8" t="n">
        <v>84</v>
      </c>
      <c r="K87" s="8" t="n">
        <v>92</v>
      </c>
      <c r="L87" s="8">
        <f>K87+E87</f>
        <v/>
      </c>
      <c r="M87" s="8">
        <f>K87-J87</f>
        <v/>
      </c>
      <c r="N87" s="8">
        <f>"S"&amp;(INT(K87/Resumen!$C$5)+1)&amp;"–S"&amp;MAX(INT(K87/Resumen!$C$5)+1,ROUNDUP(L87/Resumen!$C$5,0))</f>
        <v/>
      </c>
      <c r="O87" s="8" t="inlineStr">
        <is>
          <t>Pendiente</t>
        </is>
      </c>
      <c r="P87" s="8" t="inlineStr">
        <is>
          <t>Agregado</t>
        </is>
      </c>
      <c r="Q87" s="7" t="inlineStr">
        <is>
          <t>Sebas</t>
        </is>
      </c>
      <c r="R87" s="7" t="inlineStr"/>
    </row>
    <row r="88">
      <c r="A88" s="19" t="inlineStr">
        <is>
          <t>6.24</t>
        </is>
      </c>
      <c r="B88" s="4" t="inlineStr">
        <is>
          <t>6. Pruebas y lanzamiento</t>
        </is>
      </c>
      <c r="C88" s="7" t="inlineStr">
        <is>
          <t>Aplicar la migración 20261001100000 (habilitar crédito y métricas por estado/desembolsos) tras db reset y test db en local</t>
        </is>
      </c>
      <c r="D88" s="5" t="n">
        <v>1</v>
      </c>
      <c r="E88" s="8">
        <f>D88</f>
        <v/>
      </c>
      <c r="F88" s="4" t="inlineStr">
        <is>
          <t>4.15, 4.7, 4.8</t>
        </is>
      </c>
      <c r="G88" s="7" t="inlineStr">
        <is>
          <t>Sí</t>
        </is>
      </c>
      <c r="H88" s="7" t="inlineStr">
        <is>
          <t>6.6</t>
        </is>
      </c>
      <c r="I88" s="18" t="inlineStr">
        <is>
          <t>B</t>
        </is>
      </c>
      <c r="J88" s="8" t="n">
        <v>84</v>
      </c>
      <c r="K88" s="8" t="n">
        <v>95</v>
      </c>
      <c r="L88" s="8">
        <f>K88+E88</f>
        <v/>
      </c>
      <c r="M88" s="8">
        <f>K88-J88</f>
        <v/>
      </c>
      <c r="N88" s="8">
        <f>"S"&amp;(INT(K88/Resumen!$C$5)+1)&amp;"–S"&amp;MAX(INT(K88/Resumen!$C$5)+1,ROUNDUP(L88/Resumen!$C$5,0))</f>
        <v/>
      </c>
      <c r="O88" s="8" t="inlineStr">
        <is>
          <t>Pendiente</t>
        </is>
      </c>
      <c r="P88" s="8" t="inlineStr">
        <is>
          <t>Agregado</t>
        </is>
      </c>
      <c r="Q88" s="7" t="inlineStr">
        <is>
          <t>Sebas</t>
        </is>
      </c>
      <c r="R88" s="7" t="inlineStr"/>
    </row>
    <row r="90">
      <c r="A90" s="3" t="inlineStr">
        <is>
          <t>Notas</t>
        </is>
      </c>
    </row>
    <row r="91">
      <c r="A91" s="2" t="inlineStr">
        <is>
          <t>Peso (azul, fondo amarillo) = dato de entrada; 1 punto de peso = 1 bloque de tiempo (ver hoja Pesos).</t>
        </is>
      </c>
    </row>
    <row r="92">
      <c r="A92" s="2" t="inlineStr">
        <is>
          <t>«Origen: Agregado» = actividad que no estaba en la propuesta del 31-ago (p. ej. ingreso con código, afiliación, importación).</t>
        </is>
      </c>
    </row>
    <row r="93">
      <c r="A93" s="2" t="inlineStr">
        <is>
          <t>«En paralelo con» lista las tareas que comparten tiempo con esta en el plan optimizado.</t>
        </is>
      </c>
    </row>
    <row r="94">
      <c r="A94" s="2" t="inlineStr">
        <is>
          <t>Espera en cola = bloques entre que la tarea queda lista y una fila la toma.</t>
        </is>
      </c>
    </row>
  </sheetData>
  <autoFilter ref="A4:R88"/>
  <conditionalFormatting sqref="O5:O88">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88"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C98"/>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 width="3.2" customWidth="1" min="98" max="98"/>
    <col width="3.2" customWidth="1" min="99" max="99"/>
    <col width="3.2" customWidth="1" min="100" max="100"/>
    <col width="3.2" customWidth="1" min="101" max="101"/>
    <col width="3.2" customWidth="1" min="102" max="102"/>
    <col width="3.2" customWidth="1" min="103" max="103"/>
    <col width="3.2" customWidth="1" min="104" max="104"/>
    <col width="3.2" customWidth="1" min="105" max="105"/>
    <col width="3.2" customWidth="1" min="106" max="106"/>
    <col width="3.2" customWidth="1" min="107" max="10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c r="CT4" s="22" t="inlineStr">
        <is>
          <t>Semana 10</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c r="CT5" s="24" t="n">
        <v>91</v>
      </c>
      <c r="CU5" s="24" t="n">
        <v>92</v>
      </c>
      <c r="CV5" s="24" t="n">
        <v>93</v>
      </c>
      <c r="CW5" s="24" t="n">
        <v>94</v>
      </c>
      <c r="CX5" s="24" t="n">
        <v>95</v>
      </c>
      <c r="CY5" s="24" t="n">
        <v>96</v>
      </c>
      <c r="CZ5" s="24" t="n">
        <v>97</v>
      </c>
      <c r="DA5" s="24" t="n">
        <v>98</v>
      </c>
      <c r="DB5" s="24" t="n">
        <v>99</v>
      </c>
      <c r="DC5" s="24" t="n">
        <v>100</v>
      </c>
    </row>
    <row r="6" ht="26" customHeight="1">
      <c r="A6" s="25" t="inlineStr">
        <is>
          <t>Fila A — tarea en curso</t>
        </is>
      </c>
      <c r="H6" s="26">
        <f>IF(SUMPRODUCT(((Plan!$I$5:$I$88="A")+(Plan!$I$5:$I$88="A+B"))*(Plan!$K$5:$K$88&lt;H$5)*(Plan!$L$5:$L$88&gt;=H$5))=0,"",INDEX(Plan!$A$5:$A$88,SUMPRODUCT(((Plan!$I$5:$I$88="A")+(Plan!$I$5:$I$88="A+B"))*(Plan!$K$5:$K$88&lt;H$5)*(Plan!$L$5:$L$88&gt;=H$5)*(ROW(Plan!$A$5:$A$88)-4))))</f>
        <v/>
      </c>
      <c r="I6" s="26">
        <f>IF(SUMPRODUCT(((Plan!$I$5:$I$88="A")+(Plan!$I$5:$I$88="A+B"))*(Plan!$K$5:$K$88&lt;I$5)*(Plan!$L$5:$L$88&gt;=I$5))=0,"",INDEX(Plan!$A$5:$A$88,SUMPRODUCT(((Plan!$I$5:$I$88="A")+(Plan!$I$5:$I$88="A+B"))*(Plan!$K$5:$K$88&lt;I$5)*(Plan!$L$5:$L$88&gt;=I$5)*(ROW(Plan!$A$5:$A$88)-4))))</f>
        <v/>
      </c>
      <c r="J6" s="26">
        <f>IF(SUMPRODUCT(((Plan!$I$5:$I$88="A")+(Plan!$I$5:$I$88="A+B"))*(Plan!$K$5:$K$88&lt;J$5)*(Plan!$L$5:$L$88&gt;=J$5))=0,"",INDEX(Plan!$A$5:$A$88,SUMPRODUCT(((Plan!$I$5:$I$88="A")+(Plan!$I$5:$I$88="A+B"))*(Plan!$K$5:$K$88&lt;J$5)*(Plan!$L$5:$L$88&gt;=J$5)*(ROW(Plan!$A$5:$A$88)-4))))</f>
        <v/>
      </c>
      <c r="K6" s="26">
        <f>IF(SUMPRODUCT(((Plan!$I$5:$I$88="A")+(Plan!$I$5:$I$88="A+B"))*(Plan!$K$5:$K$88&lt;K$5)*(Plan!$L$5:$L$88&gt;=K$5))=0,"",INDEX(Plan!$A$5:$A$88,SUMPRODUCT(((Plan!$I$5:$I$88="A")+(Plan!$I$5:$I$88="A+B"))*(Plan!$K$5:$K$88&lt;K$5)*(Plan!$L$5:$L$88&gt;=K$5)*(ROW(Plan!$A$5:$A$88)-4))))</f>
        <v/>
      </c>
      <c r="L6" s="26">
        <f>IF(SUMPRODUCT(((Plan!$I$5:$I$88="A")+(Plan!$I$5:$I$88="A+B"))*(Plan!$K$5:$K$88&lt;L$5)*(Plan!$L$5:$L$88&gt;=L$5))=0,"",INDEX(Plan!$A$5:$A$88,SUMPRODUCT(((Plan!$I$5:$I$88="A")+(Plan!$I$5:$I$88="A+B"))*(Plan!$K$5:$K$88&lt;L$5)*(Plan!$L$5:$L$88&gt;=L$5)*(ROW(Plan!$A$5:$A$88)-4))))</f>
        <v/>
      </c>
      <c r="M6" s="26">
        <f>IF(SUMPRODUCT(((Plan!$I$5:$I$88="A")+(Plan!$I$5:$I$88="A+B"))*(Plan!$K$5:$K$88&lt;M$5)*(Plan!$L$5:$L$88&gt;=M$5))=0,"",INDEX(Plan!$A$5:$A$88,SUMPRODUCT(((Plan!$I$5:$I$88="A")+(Plan!$I$5:$I$88="A+B"))*(Plan!$K$5:$K$88&lt;M$5)*(Plan!$L$5:$L$88&gt;=M$5)*(ROW(Plan!$A$5:$A$88)-4))))</f>
        <v/>
      </c>
      <c r="N6" s="26">
        <f>IF(SUMPRODUCT(((Plan!$I$5:$I$88="A")+(Plan!$I$5:$I$88="A+B"))*(Plan!$K$5:$K$88&lt;N$5)*(Plan!$L$5:$L$88&gt;=N$5))=0,"",INDEX(Plan!$A$5:$A$88,SUMPRODUCT(((Plan!$I$5:$I$88="A")+(Plan!$I$5:$I$88="A+B"))*(Plan!$K$5:$K$88&lt;N$5)*(Plan!$L$5:$L$88&gt;=N$5)*(ROW(Plan!$A$5:$A$88)-4))))</f>
        <v/>
      </c>
      <c r="O6" s="26">
        <f>IF(SUMPRODUCT(((Plan!$I$5:$I$88="A")+(Plan!$I$5:$I$88="A+B"))*(Plan!$K$5:$K$88&lt;O$5)*(Plan!$L$5:$L$88&gt;=O$5))=0,"",INDEX(Plan!$A$5:$A$88,SUMPRODUCT(((Plan!$I$5:$I$88="A")+(Plan!$I$5:$I$88="A+B"))*(Plan!$K$5:$K$88&lt;O$5)*(Plan!$L$5:$L$88&gt;=O$5)*(ROW(Plan!$A$5:$A$88)-4))))</f>
        <v/>
      </c>
      <c r="P6" s="26">
        <f>IF(SUMPRODUCT(((Plan!$I$5:$I$88="A")+(Plan!$I$5:$I$88="A+B"))*(Plan!$K$5:$K$88&lt;P$5)*(Plan!$L$5:$L$88&gt;=P$5))=0,"",INDEX(Plan!$A$5:$A$88,SUMPRODUCT(((Plan!$I$5:$I$88="A")+(Plan!$I$5:$I$88="A+B"))*(Plan!$K$5:$K$88&lt;P$5)*(Plan!$L$5:$L$88&gt;=P$5)*(ROW(Plan!$A$5:$A$88)-4))))</f>
        <v/>
      </c>
      <c r="Q6" s="26">
        <f>IF(SUMPRODUCT(((Plan!$I$5:$I$88="A")+(Plan!$I$5:$I$88="A+B"))*(Plan!$K$5:$K$88&lt;Q$5)*(Plan!$L$5:$L$88&gt;=Q$5))=0,"",INDEX(Plan!$A$5:$A$88,SUMPRODUCT(((Plan!$I$5:$I$88="A")+(Plan!$I$5:$I$88="A+B"))*(Plan!$K$5:$K$88&lt;Q$5)*(Plan!$L$5:$L$88&gt;=Q$5)*(ROW(Plan!$A$5:$A$88)-4))))</f>
        <v/>
      </c>
      <c r="R6" s="26">
        <f>IF(SUMPRODUCT(((Plan!$I$5:$I$88="A")+(Plan!$I$5:$I$88="A+B"))*(Plan!$K$5:$K$88&lt;R$5)*(Plan!$L$5:$L$88&gt;=R$5))=0,"",INDEX(Plan!$A$5:$A$88,SUMPRODUCT(((Plan!$I$5:$I$88="A")+(Plan!$I$5:$I$88="A+B"))*(Plan!$K$5:$K$88&lt;R$5)*(Plan!$L$5:$L$88&gt;=R$5)*(ROW(Plan!$A$5:$A$88)-4))))</f>
        <v/>
      </c>
      <c r="S6" s="26">
        <f>IF(SUMPRODUCT(((Plan!$I$5:$I$88="A")+(Plan!$I$5:$I$88="A+B"))*(Plan!$K$5:$K$88&lt;S$5)*(Plan!$L$5:$L$88&gt;=S$5))=0,"",INDEX(Plan!$A$5:$A$88,SUMPRODUCT(((Plan!$I$5:$I$88="A")+(Plan!$I$5:$I$88="A+B"))*(Plan!$K$5:$K$88&lt;S$5)*(Plan!$L$5:$L$88&gt;=S$5)*(ROW(Plan!$A$5:$A$88)-4))))</f>
        <v/>
      </c>
      <c r="T6" s="26">
        <f>IF(SUMPRODUCT(((Plan!$I$5:$I$88="A")+(Plan!$I$5:$I$88="A+B"))*(Plan!$K$5:$K$88&lt;T$5)*(Plan!$L$5:$L$88&gt;=T$5))=0,"",INDEX(Plan!$A$5:$A$88,SUMPRODUCT(((Plan!$I$5:$I$88="A")+(Plan!$I$5:$I$88="A+B"))*(Plan!$K$5:$K$88&lt;T$5)*(Plan!$L$5:$L$88&gt;=T$5)*(ROW(Plan!$A$5:$A$88)-4))))</f>
        <v/>
      </c>
      <c r="U6" s="26">
        <f>IF(SUMPRODUCT(((Plan!$I$5:$I$88="A")+(Plan!$I$5:$I$88="A+B"))*(Plan!$K$5:$K$88&lt;U$5)*(Plan!$L$5:$L$88&gt;=U$5))=0,"",INDEX(Plan!$A$5:$A$88,SUMPRODUCT(((Plan!$I$5:$I$88="A")+(Plan!$I$5:$I$88="A+B"))*(Plan!$K$5:$K$88&lt;U$5)*(Plan!$L$5:$L$88&gt;=U$5)*(ROW(Plan!$A$5:$A$88)-4))))</f>
        <v/>
      </c>
      <c r="V6" s="26">
        <f>IF(SUMPRODUCT(((Plan!$I$5:$I$88="A")+(Plan!$I$5:$I$88="A+B"))*(Plan!$K$5:$K$88&lt;V$5)*(Plan!$L$5:$L$88&gt;=V$5))=0,"",INDEX(Plan!$A$5:$A$88,SUMPRODUCT(((Plan!$I$5:$I$88="A")+(Plan!$I$5:$I$88="A+B"))*(Plan!$K$5:$K$88&lt;V$5)*(Plan!$L$5:$L$88&gt;=V$5)*(ROW(Plan!$A$5:$A$88)-4))))</f>
        <v/>
      </c>
      <c r="W6" s="26">
        <f>IF(SUMPRODUCT(((Plan!$I$5:$I$88="A")+(Plan!$I$5:$I$88="A+B"))*(Plan!$K$5:$K$88&lt;W$5)*(Plan!$L$5:$L$88&gt;=W$5))=0,"",INDEX(Plan!$A$5:$A$88,SUMPRODUCT(((Plan!$I$5:$I$88="A")+(Plan!$I$5:$I$88="A+B"))*(Plan!$K$5:$K$88&lt;W$5)*(Plan!$L$5:$L$88&gt;=W$5)*(ROW(Plan!$A$5:$A$88)-4))))</f>
        <v/>
      </c>
      <c r="X6" s="26">
        <f>IF(SUMPRODUCT(((Plan!$I$5:$I$88="A")+(Plan!$I$5:$I$88="A+B"))*(Plan!$K$5:$K$88&lt;X$5)*(Plan!$L$5:$L$88&gt;=X$5))=0,"",INDEX(Plan!$A$5:$A$88,SUMPRODUCT(((Plan!$I$5:$I$88="A")+(Plan!$I$5:$I$88="A+B"))*(Plan!$K$5:$K$88&lt;X$5)*(Plan!$L$5:$L$88&gt;=X$5)*(ROW(Plan!$A$5:$A$88)-4))))</f>
        <v/>
      </c>
      <c r="Y6" s="26">
        <f>IF(SUMPRODUCT(((Plan!$I$5:$I$88="A")+(Plan!$I$5:$I$88="A+B"))*(Plan!$K$5:$K$88&lt;Y$5)*(Plan!$L$5:$L$88&gt;=Y$5))=0,"",INDEX(Plan!$A$5:$A$88,SUMPRODUCT(((Plan!$I$5:$I$88="A")+(Plan!$I$5:$I$88="A+B"))*(Plan!$K$5:$K$88&lt;Y$5)*(Plan!$L$5:$L$88&gt;=Y$5)*(ROW(Plan!$A$5:$A$88)-4))))</f>
        <v/>
      </c>
      <c r="Z6" s="26">
        <f>IF(SUMPRODUCT(((Plan!$I$5:$I$88="A")+(Plan!$I$5:$I$88="A+B"))*(Plan!$K$5:$K$88&lt;Z$5)*(Plan!$L$5:$L$88&gt;=Z$5))=0,"",INDEX(Plan!$A$5:$A$88,SUMPRODUCT(((Plan!$I$5:$I$88="A")+(Plan!$I$5:$I$88="A+B"))*(Plan!$K$5:$K$88&lt;Z$5)*(Plan!$L$5:$L$88&gt;=Z$5)*(ROW(Plan!$A$5:$A$88)-4))))</f>
        <v/>
      </c>
      <c r="AA6" s="26">
        <f>IF(SUMPRODUCT(((Plan!$I$5:$I$88="A")+(Plan!$I$5:$I$88="A+B"))*(Plan!$K$5:$K$88&lt;AA$5)*(Plan!$L$5:$L$88&gt;=AA$5))=0,"",INDEX(Plan!$A$5:$A$88,SUMPRODUCT(((Plan!$I$5:$I$88="A")+(Plan!$I$5:$I$88="A+B"))*(Plan!$K$5:$K$88&lt;AA$5)*(Plan!$L$5:$L$88&gt;=AA$5)*(ROW(Plan!$A$5:$A$88)-4))))</f>
        <v/>
      </c>
      <c r="AB6" s="26">
        <f>IF(SUMPRODUCT(((Plan!$I$5:$I$88="A")+(Plan!$I$5:$I$88="A+B"))*(Plan!$K$5:$K$88&lt;AB$5)*(Plan!$L$5:$L$88&gt;=AB$5))=0,"",INDEX(Plan!$A$5:$A$88,SUMPRODUCT(((Plan!$I$5:$I$88="A")+(Plan!$I$5:$I$88="A+B"))*(Plan!$K$5:$K$88&lt;AB$5)*(Plan!$L$5:$L$88&gt;=AB$5)*(ROW(Plan!$A$5:$A$88)-4))))</f>
        <v/>
      </c>
      <c r="AC6" s="26">
        <f>IF(SUMPRODUCT(((Plan!$I$5:$I$88="A")+(Plan!$I$5:$I$88="A+B"))*(Plan!$K$5:$K$88&lt;AC$5)*(Plan!$L$5:$L$88&gt;=AC$5))=0,"",INDEX(Plan!$A$5:$A$88,SUMPRODUCT(((Plan!$I$5:$I$88="A")+(Plan!$I$5:$I$88="A+B"))*(Plan!$K$5:$K$88&lt;AC$5)*(Plan!$L$5:$L$88&gt;=AC$5)*(ROW(Plan!$A$5:$A$88)-4))))</f>
        <v/>
      </c>
      <c r="AD6" s="26">
        <f>IF(SUMPRODUCT(((Plan!$I$5:$I$88="A")+(Plan!$I$5:$I$88="A+B"))*(Plan!$K$5:$K$88&lt;AD$5)*(Plan!$L$5:$L$88&gt;=AD$5))=0,"",INDEX(Plan!$A$5:$A$88,SUMPRODUCT(((Plan!$I$5:$I$88="A")+(Plan!$I$5:$I$88="A+B"))*(Plan!$K$5:$K$88&lt;AD$5)*(Plan!$L$5:$L$88&gt;=AD$5)*(ROW(Plan!$A$5:$A$88)-4))))</f>
        <v/>
      </c>
      <c r="AE6" s="26">
        <f>IF(SUMPRODUCT(((Plan!$I$5:$I$88="A")+(Plan!$I$5:$I$88="A+B"))*(Plan!$K$5:$K$88&lt;AE$5)*(Plan!$L$5:$L$88&gt;=AE$5))=0,"",INDEX(Plan!$A$5:$A$88,SUMPRODUCT(((Plan!$I$5:$I$88="A")+(Plan!$I$5:$I$88="A+B"))*(Plan!$K$5:$K$88&lt;AE$5)*(Plan!$L$5:$L$88&gt;=AE$5)*(ROW(Plan!$A$5:$A$88)-4))))</f>
        <v/>
      </c>
      <c r="AF6" s="26">
        <f>IF(SUMPRODUCT(((Plan!$I$5:$I$88="A")+(Plan!$I$5:$I$88="A+B"))*(Plan!$K$5:$K$88&lt;AF$5)*(Plan!$L$5:$L$88&gt;=AF$5))=0,"",INDEX(Plan!$A$5:$A$88,SUMPRODUCT(((Plan!$I$5:$I$88="A")+(Plan!$I$5:$I$88="A+B"))*(Plan!$K$5:$K$88&lt;AF$5)*(Plan!$L$5:$L$88&gt;=AF$5)*(ROW(Plan!$A$5:$A$88)-4))))</f>
        <v/>
      </c>
      <c r="AG6" s="26">
        <f>IF(SUMPRODUCT(((Plan!$I$5:$I$88="A")+(Plan!$I$5:$I$88="A+B"))*(Plan!$K$5:$K$88&lt;AG$5)*(Plan!$L$5:$L$88&gt;=AG$5))=0,"",INDEX(Plan!$A$5:$A$88,SUMPRODUCT(((Plan!$I$5:$I$88="A")+(Plan!$I$5:$I$88="A+B"))*(Plan!$K$5:$K$88&lt;AG$5)*(Plan!$L$5:$L$88&gt;=AG$5)*(ROW(Plan!$A$5:$A$88)-4))))</f>
        <v/>
      </c>
      <c r="AH6" s="26">
        <f>IF(SUMPRODUCT(((Plan!$I$5:$I$88="A")+(Plan!$I$5:$I$88="A+B"))*(Plan!$K$5:$K$88&lt;AH$5)*(Plan!$L$5:$L$88&gt;=AH$5))=0,"",INDEX(Plan!$A$5:$A$88,SUMPRODUCT(((Plan!$I$5:$I$88="A")+(Plan!$I$5:$I$88="A+B"))*(Plan!$K$5:$K$88&lt;AH$5)*(Plan!$L$5:$L$88&gt;=AH$5)*(ROW(Plan!$A$5:$A$88)-4))))</f>
        <v/>
      </c>
      <c r="AI6" s="26">
        <f>IF(SUMPRODUCT(((Plan!$I$5:$I$88="A")+(Plan!$I$5:$I$88="A+B"))*(Plan!$K$5:$K$88&lt;AI$5)*(Plan!$L$5:$L$88&gt;=AI$5))=0,"",INDEX(Plan!$A$5:$A$88,SUMPRODUCT(((Plan!$I$5:$I$88="A")+(Plan!$I$5:$I$88="A+B"))*(Plan!$K$5:$K$88&lt;AI$5)*(Plan!$L$5:$L$88&gt;=AI$5)*(ROW(Plan!$A$5:$A$88)-4))))</f>
        <v/>
      </c>
      <c r="AJ6" s="26">
        <f>IF(SUMPRODUCT(((Plan!$I$5:$I$88="A")+(Plan!$I$5:$I$88="A+B"))*(Plan!$K$5:$K$88&lt;AJ$5)*(Plan!$L$5:$L$88&gt;=AJ$5))=0,"",INDEX(Plan!$A$5:$A$88,SUMPRODUCT(((Plan!$I$5:$I$88="A")+(Plan!$I$5:$I$88="A+B"))*(Plan!$K$5:$K$88&lt;AJ$5)*(Plan!$L$5:$L$88&gt;=AJ$5)*(ROW(Plan!$A$5:$A$88)-4))))</f>
        <v/>
      </c>
      <c r="AK6" s="26">
        <f>IF(SUMPRODUCT(((Plan!$I$5:$I$88="A")+(Plan!$I$5:$I$88="A+B"))*(Plan!$K$5:$K$88&lt;AK$5)*(Plan!$L$5:$L$88&gt;=AK$5))=0,"",INDEX(Plan!$A$5:$A$88,SUMPRODUCT(((Plan!$I$5:$I$88="A")+(Plan!$I$5:$I$88="A+B"))*(Plan!$K$5:$K$88&lt;AK$5)*(Plan!$L$5:$L$88&gt;=AK$5)*(ROW(Plan!$A$5:$A$88)-4))))</f>
        <v/>
      </c>
      <c r="AL6" s="26">
        <f>IF(SUMPRODUCT(((Plan!$I$5:$I$88="A")+(Plan!$I$5:$I$88="A+B"))*(Plan!$K$5:$K$88&lt;AL$5)*(Plan!$L$5:$L$88&gt;=AL$5))=0,"",INDEX(Plan!$A$5:$A$88,SUMPRODUCT(((Plan!$I$5:$I$88="A")+(Plan!$I$5:$I$88="A+B"))*(Plan!$K$5:$K$88&lt;AL$5)*(Plan!$L$5:$L$88&gt;=AL$5)*(ROW(Plan!$A$5:$A$88)-4))))</f>
        <v/>
      </c>
      <c r="AM6" s="26">
        <f>IF(SUMPRODUCT(((Plan!$I$5:$I$88="A")+(Plan!$I$5:$I$88="A+B"))*(Plan!$K$5:$K$88&lt;AM$5)*(Plan!$L$5:$L$88&gt;=AM$5))=0,"",INDEX(Plan!$A$5:$A$88,SUMPRODUCT(((Plan!$I$5:$I$88="A")+(Plan!$I$5:$I$88="A+B"))*(Plan!$K$5:$K$88&lt;AM$5)*(Plan!$L$5:$L$88&gt;=AM$5)*(ROW(Plan!$A$5:$A$88)-4))))</f>
        <v/>
      </c>
      <c r="AN6" s="26">
        <f>IF(SUMPRODUCT(((Plan!$I$5:$I$88="A")+(Plan!$I$5:$I$88="A+B"))*(Plan!$K$5:$K$88&lt;AN$5)*(Plan!$L$5:$L$88&gt;=AN$5))=0,"",INDEX(Plan!$A$5:$A$88,SUMPRODUCT(((Plan!$I$5:$I$88="A")+(Plan!$I$5:$I$88="A+B"))*(Plan!$K$5:$K$88&lt;AN$5)*(Plan!$L$5:$L$88&gt;=AN$5)*(ROW(Plan!$A$5:$A$88)-4))))</f>
        <v/>
      </c>
      <c r="AO6" s="26">
        <f>IF(SUMPRODUCT(((Plan!$I$5:$I$88="A")+(Plan!$I$5:$I$88="A+B"))*(Plan!$K$5:$K$88&lt;AO$5)*(Plan!$L$5:$L$88&gt;=AO$5))=0,"",INDEX(Plan!$A$5:$A$88,SUMPRODUCT(((Plan!$I$5:$I$88="A")+(Plan!$I$5:$I$88="A+B"))*(Plan!$K$5:$K$88&lt;AO$5)*(Plan!$L$5:$L$88&gt;=AO$5)*(ROW(Plan!$A$5:$A$88)-4))))</f>
        <v/>
      </c>
      <c r="AP6" s="26">
        <f>IF(SUMPRODUCT(((Plan!$I$5:$I$88="A")+(Plan!$I$5:$I$88="A+B"))*(Plan!$K$5:$K$88&lt;AP$5)*(Plan!$L$5:$L$88&gt;=AP$5))=0,"",INDEX(Plan!$A$5:$A$88,SUMPRODUCT(((Plan!$I$5:$I$88="A")+(Plan!$I$5:$I$88="A+B"))*(Plan!$K$5:$K$88&lt;AP$5)*(Plan!$L$5:$L$88&gt;=AP$5)*(ROW(Plan!$A$5:$A$88)-4))))</f>
        <v/>
      </c>
      <c r="AQ6" s="26">
        <f>IF(SUMPRODUCT(((Plan!$I$5:$I$88="A")+(Plan!$I$5:$I$88="A+B"))*(Plan!$K$5:$K$88&lt;AQ$5)*(Plan!$L$5:$L$88&gt;=AQ$5))=0,"",INDEX(Plan!$A$5:$A$88,SUMPRODUCT(((Plan!$I$5:$I$88="A")+(Plan!$I$5:$I$88="A+B"))*(Plan!$K$5:$K$88&lt;AQ$5)*(Plan!$L$5:$L$88&gt;=AQ$5)*(ROW(Plan!$A$5:$A$88)-4))))</f>
        <v/>
      </c>
      <c r="AR6" s="26">
        <f>IF(SUMPRODUCT(((Plan!$I$5:$I$88="A")+(Plan!$I$5:$I$88="A+B"))*(Plan!$K$5:$K$88&lt;AR$5)*(Plan!$L$5:$L$88&gt;=AR$5))=0,"",INDEX(Plan!$A$5:$A$88,SUMPRODUCT(((Plan!$I$5:$I$88="A")+(Plan!$I$5:$I$88="A+B"))*(Plan!$K$5:$K$88&lt;AR$5)*(Plan!$L$5:$L$88&gt;=AR$5)*(ROW(Plan!$A$5:$A$88)-4))))</f>
        <v/>
      </c>
      <c r="AS6" s="26">
        <f>IF(SUMPRODUCT(((Plan!$I$5:$I$88="A")+(Plan!$I$5:$I$88="A+B"))*(Plan!$K$5:$K$88&lt;AS$5)*(Plan!$L$5:$L$88&gt;=AS$5))=0,"",INDEX(Plan!$A$5:$A$88,SUMPRODUCT(((Plan!$I$5:$I$88="A")+(Plan!$I$5:$I$88="A+B"))*(Plan!$K$5:$K$88&lt;AS$5)*(Plan!$L$5:$L$88&gt;=AS$5)*(ROW(Plan!$A$5:$A$88)-4))))</f>
        <v/>
      </c>
      <c r="AT6" s="26">
        <f>IF(SUMPRODUCT(((Plan!$I$5:$I$88="A")+(Plan!$I$5:$I$88="A+B"))*(Plan!$K$5:$K$88&lt;AT$5)*(Plan!$L$5:$L$88&gt;=AT$5))=0,"",INDEX(Plan!$A$5:$A$88,SUMPRODUCT(((Plan!$I$5:$I$88="A")+(Plan!$I$5:$I$88="A+B"))*(Plan!$K$5:$K$88&lt;AT$5)*(Plan!$L$5:$L$88&gt;=AT$5)*(ROW(Plan!$A$5:$A$88)-4))))</f>
        <v/>
      </c>
      <c r="AU6" s="26">
        <f>IF(SUMPRODUCT(((Plan!$I$5:$I$88="A")+(Plan!$I$5:$I$88="A+B"))*(Plan!$K$5:$K$88&lt;AU$5)*(Plan!$L$5:$L$88&gt;=AU$5))=0,"",INDEX(Plan!$A$5:$A$88,SUMPRODUCT(((Plan!$I$5:$I$88="A")+(Plan!$I$5:$I$88="A+B"))*(Plan!$K$5:$K$88&lt;AU$5)*(Plan!$L$5:$L$88&gt;=AU$5)*(ROW(Plan!$A$5:$A$88)-4))))</f>
        <v/>
      </c>
      <c r="AV6" s="26">
        <f>IF(SUMPRODUCT(((Plan!$I$5:$I$88="A")+(Plan!$I$5:$I$88="A+B"))*(Plan!$K$5:$K$88&lt;AV$5)*(Plan!$L$5:$L$88&gt;=AV$5))=0,"",INDEX(Plan!$A$5:$A$88,SUMPRODUCT(((Plan!$I$5:$I$88="A")+(Plan!$I$5:$I$88="A+B"))*(Plan!$K$5:$K$88&lt;AV$5)*(Plan!$L$5:$L$88&gt;=AV$5)*(ROW(Plan!$A$5:$A$88)-4))))</f>
        <v/>
      </c>
      <c r="AW6" s="26">
        <f>IF(SUMPRODUCT(((Plan!$I$5:$I$88="A")+(Plan!$I$5:$I$88="A+B"))*(Plan!$K$5:$K$88&lt;AW$5)*(Plan!$L$5:$L$88&gt;=AW$5))=0,"",INDEX(Plan!$A$5:$A$88,SUMPRODUCT(((Plan!$I$5:$I$88="A")+(Plan!$I$5:$I$88="A+B"))*(Plan!$K$5:$K$88&lt;AW$5)*(Plan!$L$5:$L$88&gt;=AW$5)*(ROW(Plan!$A$5:$A$88)-4))))</f>
        <v/>
      </c>
      <c r="AX6" s="26">
        <f>IF(SUMPRODUCT(((Plan!$I$5:$I$88="A")+(Plan!$I$5:$I$88="A+B"))*(Plan!$K$5:$K$88&lt;AX$5)*(Plan!$L$5:$L$88&gt;=AX$5))=0,"",INDEX(Plan!$A$5:$A$88,SUMPRODUCT(((Plan!$I$5:$I$88="A")+(Plan!$I$5:$I$88="A+B"))*(Plan!$K$5:$K$88&lt;AX$5)*(Plan!$L$5:$L$88&gt;=AX$5)*(ROW(Plan!$A$5:$A$88)-4))))</f>
        <v/>
      </c>
      <c r="AY6" s="26">
        <f>IF(SUMPRODUCT(((Plan!$I$5:$I$88="A")+(Plan!$I$5:$I$88="A+B"))*(Plan!$K$5:$K$88&lt;AY$5)*(Plan!$L$5:$L$88&gt;=AY$5))=0,"",INDEX(Plan!$A$5:$A$88,SUMPRODUCT(((Plan!$I$5:$I$88="A")+(Plan!$I$5:$I$88="A+B"))*(Plan!$K$5:$K$88&lt;AY$5)*(Plan!$L$5:$L$88&gt;=AY$5)*(ROW(Plan!$A$5:$A$88)-4))))</f>
        <v/>
      </c>
      <c r="AZ6" s="26">
        <f>IF(SUMPRODUCT(((Plan!$I$5:$I$88="A")+(Plan!$I$5:$I$88="A+B"))*(Plan!$K$5:$K$88&lt;AZ$5)*(Plan!$L$5:$L$88&gt;=AZ$5))=0,"",INDEX(Plan!$A$5:$A$88,SUMPRODUCT(((Plan!$I$5:$I$88="A")+(Plan!$I$5:$I$88="A+B"))*(Plan!$K$5:$K$88&lt;AZ$5)*(Plan!$L$5:$L$88&gt;=AZ$5)*(ROW(Plan!$A$5:$A$88)-4))))</f>
        <v/>
      </c>
      <c r="BA6" s="26">
        <f>IF(SUMPRODUCT(((Plan!$I$5:$I$88="A")+(Plan!$I$5:$I$88="A+B"))*(Plan!$K$5:$K$88&lt;BA$5)*(Plan!$L$5:$L$88&gt;=BA$5))=0,"",INDEX(Plan!$A$5:$A$88,SUMPRODUCT(((Plan!$I$5:$I$88="A")+(Plan!$I$5:$I$88="A+B"))*(Plan!$K$5:$K$88&lt;BA$5)*(Plan!$L$5:$L$88&gt;=BA$5)*(ROW(Plan!$A$5:$A$88)-4))))</f>
        <v/>
      </c>
      <c r="BB6" s="26">
        <f>IF(SUMPRODUCT(((Plan!$I$5:$I$88="A")+(Plan!$I$5:$I$88="A+B"))*(Plan!$K$5:$K$88&lt;BB$5)*(Plan!$L$5:$L$88&gt;=BB$5))=0,"",INDEX(Plan!$A$5:$A$88,SUMPRODUCT(((Plan!$I$5:$I$88="A")+(Plan!$I$5:$I$88="A+B"))*(Plan!$K$5:$K$88&lt;BB$5)*(Plan!$L$5:$L$88&gt;=BB$5)*(ROW(Plan!$A$5:$A$88)-4))))</f>
        <v/>
      </c>
      <c r="BC6" s="26">
        <f>IF(SUMPRODUCT(((Plan!$I$5:$I$88="A")+(Plan!$I$5:$I$88="A+B"))*(Plan!$K$5:$K$88&lt;BC$5)*(Plan!$L$5:$L$88&gt;=BC$5))=0,"",INDEX(Plan!$A$5:$A$88,SUMPRODUCT(((Plan!$I$5:$I$88="A")+(Plan!$I$5:$I$88="A+B"))*(Plan!$K$5:$K$88&lt;BC$5)*(Plan!$L$5:$L$88&gt;=BC$5)*(ROW(Plan!$A$5:$A$88)-4))))</f>
        <v/>
      </c>
      <c r="BD6" s="26">
        <f>IF(SUMPRODUCT(((Plan!$I$5:$I$88="A")+(Plan!$I$5:$I$88="A+B"))*(Plan!$K$5:$K$88&lt;BD$5)*(Plan!$L$5:$L$88&gt;=BD$5))=0,"",INDEX(Plan!$A$5:$A$88,SUMPRODUCT(((Plan!$I$5:$I$88="A")+(Plan!$I$5:$I$88="A+B"))*(Plan!$K$5:$K$88&lt;BD$5)*(Plan!$L$5:$L$88&gt;=BD$5)*(ROW(Plan!$A$5:$A$88)-4))))</f>
        <v/>
      </c>
      <c r="BE6" s="26">
        <f>IF(SUMPRODUCT(((Plan!$I$5:$I$88="A")+(Plan!$I$5:$I$88="A+B"))*(Plan!$K$5:$K$88&lt;BE$5)*(Plan!$L$5:$L$88&gt;=BE$5))=0,"",INDEX(Plan!$A$5:$A$88,SUMPRODUCT(((Plan!$I$5:$I$88="A")+(Plan!$I$5:$I$88="A+B"))*(Plan!$K$5:$K$88&lt;BE$5)*(Plan!$L$5:$L$88&gt;=BE$5)*(ROW(Plan!$A$5:$A$88)-4))))</f>
        <v/>
      </c>
      <c r="BF6" s="26">
        <f>IF(SUMPRODUCT(((Plan!$I$5:$I$88="A")+(Plan!$I$5:$I$88="A+B"))*(Plan!$K$5:$K$88&lt;BF$5)*(Plan!$L$5:$L$88&gt;=BF$5))=0,"",INDEX(Plan!$A$5:$A$88,SUMPRODUCT(((Plan!$I$5:$I$88="A")+(Plan!$I$5:$I$88="A+B"))*(Plan!$K$5:$K$88&lt;BF$5)*(Plan!$L$5:$L$88&gt;=BF$5)*(ROW(Plan!$A$5:$A$88)-4))))</f>
        <v/>
      </c>
      <c r="BG6" s="26">
        <f>IF(SUMPRODUCT(((Plan!$I$5:$I$88="A")+(Plan!$I$5:$I$88="A+B"))*(Plan!$K$5:$K$88&lt;BG$5)*(Plan!$L$5:$L$88&gt;=BG$5))=0,"",INDEX(Plan!$A$5:$A$88,SUMPRODUCT(((Plan!$I$5:$I$88="A")+(Plan!$I$5:$I$88="A+B"))*(Plan!$K$5:$K$88&lt;BG$5)*(Plan!$L$5:$L$88&gt;=BG$5)*(ROW(Plan!$A$5:$A$88)-4))))</f>
        <v/>
      </c>
      <c r="BH6" s="26">
        <f>IF(SUMPRODUCT(((Plan!$I$5:$I$88="A")+(Plan!$I$5:$I$88="A+B"))*(Plan!$K$5:$K$88&lt;BH$5)*(Plan!$L$5:$L$88&gt;=BH$5))=0,"",INDEX(Plan!$A$5:$A$88,SUMPRODUCT(((Plan!$I$5:$I$88="A")+(Plan!$I$5:$I$88="A+B"))*(Plan!$K$5:$K$88&lt;BH$5)*(Plan!$L$5:$L$88&gt;=BH$5)*(ROW(Plan!$A$5:$A$88)-4))))</f>
        <v/>
      </c>
      <c r="BI6" s="26">
        <f>IF(SUMPRODUCT(((Plan!$I$5:$I$88="A")+(Plan!$I$5:$I$88="A+B"))*(Plan!$K$5:$K$88&lt;BI$5)*(Plan!$L$5:$L$88&gt;=BI$5))=0,"",INDEX(Plan!$A$5:$A$88,SUMPRODUCT(((Plan!$I$5:$I$88="A")+(Plan!$I$5:$I$88="A+B"))*(Plan!$K$5:$K$88&lt;BI$5)*(Plan!$L$5:$L$88&gt;=BI$5)*(ROW(Plan!$A$5:$A$88)-4))))</f>
        <v/>
      </c>
      <c r="BJ6" s="26">
        <f>IF(SUMPRODUCT(((Plan!$I$5:$I$88="A")+(Plan!$I$5:$I$88="A+B"))*(Plan!$K$5:$K$88&lt;BJ$5)*(Plan!$L$5:$L$88&gt;=BJ$5))=0,"",INDEX(Plan!$A$5:$A$88,SUMPRODUCT(((Plan!$I$5:$I$88="A")+(Plan!$I$5:$I$88="A+B"))*(Plan!$K$5:$K$88&lt;BJ$5)*(Plan!$L$5:$L$88&gt;=BJ$5)*(ROW(Plan!$A$5:$A$88)-4))))</f>
        <v/>
      </c>
      <c r="BK6" s="26">
        <f>IF(SUMPRODUCT(((Plan!$I$5:$I$88="A")+(Plan!$I$5:$I$88="A+B"))*(Plan!$K$5:$K$88&lt;BK$5)*(Plan!$L$5:$L$88&gt;=BK$5))=0,"",INDEX(Plan!$A$5:$A$88,SUMPRODUCT(((Plan!$I$5:$I$88="A")+(Plan!$I$5:$I$88="A+B"))*(Plan!$K$5:$K$88&lt;BK$5)*(Plan!$L$5:$L$88&gt;=BK$5)*(ROW(Plan!$A$5:$A$88)-4))))</f>
        <v/>
      </c>
      <c r="BL6" s="26">
        <f>IF(SUMPRODUCT(((Plan!$I$5:$I$88="A")+(Plan!$I$5:$I$88="A+B"))*(Plan!$K$5:$K$88&lt;BL$5)*(Plan!$L$5:$L$88&gt;=BL$5))=0,"",INDEX(Plan!$A$5:$A$88,SUMPRODUCT(((Plan!$I$5:$I$88="A")+(Plan!$I$5:$I$88="A+B"))*(Plan!$K$5:$K$88&lt;BL$5)*(Plan!$L$5:$L$88&gt;=BL$5)*(ROW(Plan!$A$5:$A$88)-4))))</f>
        <v/>
      </c>
      <c r="BM6" s="26">
        <f>IF(SUMPRODUCT(((Plan!$I$5:$I$88="A")+(Plan!$I$5:$I$88="A+B"))*(Plan!$K$5:$K$88&lt;BM$5)*(Plan!$L$5:$L$88&gt;=BM$5))=0,"",INDEX(Plan!$A$5:$A$88,SUMPRODUCT(((Plan!$I$5:$I$88="A")+(Plan!$I$5:$I$88="A+B"))*(Plan!$K$5:$K$88&lt;BM$5)*(Plan!$L$5:$L$88&gt;=BM$5)*(ROW(Plan!$A$5:$A$88)-4))))</f>
        <v/>
      </c>
      <c r="BN6" s="26">
        <f>IF(SUMPRODUCT(((Plan!$I$5:$I$88="A")+(Plan!$I$5:$I$88="A+B"))*(Plan!$K$5:$K$88&lt;BN$5)*(Plan!$L$5:$L$88&gt;=BN$5))=0,"",INDEX(Plan!$A$5:$A$88,SUMPRODUCT(((Plan!$I$5:$I$88="A")+(Plan!$I$5:$I$88="A+B"))*(Plan!$K$5:$K$88&lt;BN$5)*(Plan!$L$5:$L$88&gt;=BN$5)*(ROW(Plan!$A$5:$A$88)-4))))</f>
        <v/>
      </c>
      <c r="BO6" s="26">
        <f>IF(SUMPRODUCT(((Plan!$I$5:$I$88="A")+(Plan!$I$5:$I$88="A+B"))*(Plan!$K$5:$K$88&lt;BO$5)*(Plan!$L$5:$L$88&gt;=BO$5))=0,"",INDEX(Plan!$A$5:$A$88,SUMPRODUCT(((Plan!$I$5:$I$88="A")+(Plan!$I$5:$I$88="A+B"))*(Plan!$K$5:$K$88&lt;BO$5)*(Plan!$L$5:$L$88&gt;=BO$5)*(ROW(Plan!$A$5:$A$88)-4))))</f>
        <v/>
      </c>
      <c r="BP6" s="26">
        <f>IF(SUMPRODUCT(((Plan!$I$5:$I$88="A")+(Plan!$I$5:$I$88="A+B"))*(Plan!$K$5:$K$88&lt;BP$5)*(Plan!$L$5:$L$88&gt;=BP$5))=0,"",INDEX(Plan!$A$5:$A$88,SUMPRODUCT(((Plan!$I$5:$I$88="A")+(Plan!$I$5:$I$88="A+B"))*(Plan!$K$5:$K$88&lt;BP$5)*(Plan!$L$5:$L$88&gt;=BP$5)*(ROW(Plan!$A$5:$A$88)-4))))</f>
        <v/>
      </c>
      <c r="BQ6" s="26">
        <f>IF(SUMPRODUCT(((Plan!$I$5:$I$88="A")+(Plan!$I$5:$I$88="A+B"))*(Plan!$K$5:$K$88&lt;BQ$5)*(Plan!$L$5:$L$88&gt;=BQ$5))=0,"",INDEX(Plan!$A$5:$A$88,SUMPRODUCT(((Plan!$I$5:$I$88="A")+(Plan!$I$5:$I$88="A+B"))*(Plan!$K$5:$K$88&lt;BQ$5)*(Plan!$L$5:$L$88&gt;=BQ$5)*(ROW(Plan!$A$5:$A$88)-4))))</f>
        <v/>
      </c>
      <c r="BR6" s="26">
        <f>IF(SUMPRODUCT(((Plan!$I$5:$I$88="A")+(Plan!$I$5:$I$88="A+B"))*(Plan!$K$5:$K$88&lt;BR$5)*(Plan!$L$5:$L$88&gt;=BR$5))=0,"",INDEX(Plan!$A$5:$A$88,SUMPRODUCT(((Plan!$I$5:$I$88="A")+(Plan!$I$5:$I$88="A+B"))*(Plan!$K$5:$K$88&lt;BR$5)*(Plan!$L$5:$L$88&gt;=BR$5)*(ROW(Plan!$A$5:$A$88)-4))))</f>
        <v/>
      </c>
      <c r="BS6" s="26">
        <f>IF(SUMPRODUCT(((Plan!$I$5:$I$88="A")+(Plan!$I$5:$I$88="A+B"))*(Plan!$K$5:$K$88&lt;BS$5)*(Plan!$L$5:$L$88&gt;=BS$5))=0,"",INDEX(Plan!$A$5:$A$88,SUMPRODUCT(((Plan!$I$5:$I$88="A")+(Plan!$I$5:$I$88="A+B"))*(Plan!$K$5:$K$88&lt;BS$5)*(Plan!$L$5:$L$88&gt;=BS$5)*(ROW(Plan!$A$5:$A$88)-4))))</f>
        <v/>
      </c>
      <c r="BT6" s="26">
        <f>IF(SUMPRODUCT(((Plan!$I$5:$I$88="A")+(Plan!$I$5:$I$88="A+B"))*(Plan!$K$5:$K$88&lt;BT$5)*(Plan!$L$5:$L$88&gt;=BT$5))=0,"",INDEX(Plan!$A$5:$A$88,SUMPRODUCT(((Plan!$I$5:$I$88="A")+(Plan!$I$5:$I$88="A+B"))*(Plan!$K$5:$K$88&lt;BT$5)*(Plan!$L$5:$L$88&gt;=BT$5)*(ROW(Plan!$A$5:$A$88)-4))))</f>
        <v/>
      </c>
      <c r="BU6" s="26">
        <f>IF(SUMPRODUCT(((Plan!$I$5:$I$88="A")+(Plan!$I$5:$I$88="A+B"))*(Plan!$K$5:$K$88&lt;BU$5)*(Plan!$L$5:$L$88&gt;=BU$5))=0,"",INDEX(Plan!$A$5:$A$88,SUMPRODUCT(((Plan!$I$5:$I$88="A")+(Plan!$I$5:$I$88="A+B"))*(Plan!$K$5:$K$88&lt;BU$5)*(Plan!$L$5:$L$88&gt;=BU$5)*(ROW(Plan!$A$5:$A$88)-4))))</f>
        <v/>
      </c>
      <c r="BV6" s="26">
        <f>IF(SUMPRODUCT(((Plan!$I$5:$I$88="A")+(Plan!$I$5:$I$88="A+B"))*(Plan!$K$5:$K$88&lt;BV$5)*(Plan!$L$5:$L$88&gt;=BV$5))=0,"",INDEX(Plan!$A$5:$A$88,SUMPRODUCT(((Plan!$I$5:$I$88="A")+(Plan!$I$5:$I$88="A+B"))*(Plan!$K$5:$K$88&lt;BV$5)*(Plan!$L$5:$L$88&gt;=BV$5)*(ROW(Plan!$A$5:$A$88)-4))))</f>
        <v/>
      </c>
      <c r="BW6" s="26">
        <f>IF(SUMPRODUCT(((Plan!$I$5:$I$88="A")+(Plan!$I$5:$I$88="A+B"))*(Plan!$K$5:$K$88&lt;BW$5)*(Plan!$L$5:$L$88&gt;=BW$5))=0,"",INDEX(Plan!$A$5:$A$88,SUMPRODUCT(((Plan!$I$5:$I$88="A")+(Plan!$I$5:$I$88="A+B"))*(Plan!$K$5:$K$88&lt;BW$5)*(Plan!$L$5:$L$88&gt;=BW$5)*(ROW(Plan!$A$5:$A$88)-4))))</f>
        <v/>
      </c>
      <c r="BX6" s="26">
        <f>IF(SUMPRODUCT(((Plan!$I$5:$I$88="A")+(Plan!$I$5:$I$88="A+B"))*(Plan!$K$5:$K$88&lt;BX$5)*(Plan!$L$5:$L$88&gt;=BX$5))=0,"",INDEX(Plan!$A$5:$A$88,SUMPRODUCT(((Plan!$I$5:$I$88="A")+(Plan!$I$5:$I$88="A+B"))*(Plan!$K$5:$K$88&lt;BX$5)*(Plan!$L$5:$L$88&gt;=BX$5)*(ROW(Plan!$A$5:$A$88)-4))))</f>
        <v/>
      </c>
      <c r="BY6" s="26">
        <f>IF(SUMPRODUCT(((Plan!$I$5:$I$88="A")+(Plan!$I$5:$I$88="A+B"))*(Plan!$K$5:$K$88&lt;BY$5)*(Plan!$L$5:$L$88&gt;=BY$5))=0,"",INDEX(Plan!$A$5:$A$88,SUMPRODUCT(((Plan!$I$5:$I$88="A")+(Plan!$I$5:$I$88="A+B"))*(Plan!$K$5:$K$88&lt;BY$5)*(Plan!$L$5:$L$88&gt;=BY$5)*(ROW(Plan!$A$5:$A$88)-4))))</f>
        <v/>
      </c>
      <c r="BZ6" s="26">
        <f>IF(SUMPRODUCT(((Plan!$I$5:$I$88="A")+(Plan!$I$5:$I$88="A+B"))*(Plan!$K$5:$K$88&lt;BZ$5)*(Plan!$L$5:$L$88&gt;=BZ$5))=0,"",INDEX(Plan!$A$5:$A$88,SUMPRODUCT(((Plan!$I$5:$I$88="A")+(Plan!$I$5:$I$88="A+B"))*(Plan!$K$5:$K$88&lt;BZ$5)*(Plan!$L$5:$L$88&gt;=BZ$5)*(ROW(Plan!$A$5:$A$88)-4))))</f>
        <v/>
      </c>
      <c r="CA6" s="26">
        <f>IF(SUMPRODUCT(((Plan!$I$5:$I$88="A")+(Plan!$I$5:$I$88="A+B"))*(Plan!$K$5:$K$88&lt;CA$5)*(Plan!$L$5:$L$88&gt;=CA$5))=0,"",INDEX(Plan!$A$5:$A$88,SUMPRODUCT(((Plan!$I$5:$I$88="A")+(Plan!$I$5:$I$88="A+B"))*(Plan!$K$5:$K$88&lt;CA$5)*(Plan!$L$5:$L$88&gt;=CA$5)*(ROW(Plan!$A$5:$A$88)-4))))</f>
        <v/>
      </c>
      <c r="CB6" s="26">
        <f>IF(SUMPRODUCT(((Plan!$I$5:$I$88="A")+(Plan!$I$5:$I$88="A+B"))*(Plan!$K$5:$K$88&lt;CB$5)*(Plan!$L$5:$L$88&gt;=CB$5))=0,"",INDEX(Plan!$A$5:$A$88,SUMPRODUCT(((Plan!$I$5:$I$88="A")+(Plan!$I$5:$I$88="A+B"))*(Plan!$K$5:$K$88&lt;CB$5)*(Plan!$L$5:$L$88&gt;=CB$5)*(ROW(Plan!$A$5:$A$88)-4))))</f>
        <v/>
      </c>
      <c r="CC6" s="26">
        <f>IF(SUMPRODUCT(((Plan!$I$5:$I$88="A")+(Plan!$I$5:$I$88="A+B"))*(Plan!$K$5:$K$88&lt;CC$5)*(Plan!$L$5:$L$88&gt;=CC$5))=0,"",INDEX(Plan!$A$5:$A$88,SUMPRODUCT(((Plan!$I$5:$I$88="A")+(Plan!$I$5:$I$88="A+B"))*(Plan!$K$5:$K$88&lt;CC$5)*(Plan!$L$5:$L$88&gt;=CC$5)*(ROW(Plan!$A$5:$A$88)-4))))</f>
        <v/>
      </c>
      <c r="CD6" s="26">
        <f>IF(SUMPRODUCT(((Plan!$I$5:$I$88="A")+(Plan!$I$5:$I$88="A+B"))*(Plan!$K$5:$K$88&lt;CD$5)*(Plan!$L$5:$L$88&gt;=CD$5))=0,"",INDEX(Plan!$A$5:$A$88,SUMPRODUCT(((Plan!$I$5:$I$88="A")+(Plan!$I$5:$I$88="A+B"))*(Plan!$K$5:$K$88&lt;CD$5)*(Plan!$L$5:$L$88&gt;=CD$5)*(ROW(Plan!$A$5:$A$88)-4))))</f>
        <v/>
      </c>
      <c r="CE6" s="26">
        <f>IF(SUMPRODUCT(((Plan!$I$5:$I$88="A")+(Plan!$I$5:$I$88="A+B"))*(Plan!$K$5:$K$88&lt;CE$5)*(Plan!$L$5:$L$88&gt;=CE$5))=0,"",INDEX(Plan!$A$5:$A$88,SUMPRODUCT(((Plan!$I$5:$I$88="A")+(Plan!$I$5:$I$88="A+B"))*(Plan!$K$5:$K$88&lt;CE$5)*(Plan!$L$5:$L$88&gt;=CE$5)*(ROW(Plan!$A$5:$A$88)-4))))</f>
        <v/>
      </c>
      <c r="CF6" s="26">
        <f>IF(SUMPRODUCT(((Plan!$I$5:$I$88="A")+(Plan!$I$5:$I$88="A+B"))*(Plan!$K$5:$K$88&lt;CF$5)*(Plan!$L$5:$L$88&gt;=CF$5))=0,"",INDEX(Plan!$A$5:$A$88,SUMPRODUCT(((Plan!$I$5:$I$88="A")+(Plan!$I$5:$I$88="A+B"))*(Plan!$K$5:$K$88&lt;CF$5)*(Plan!$L$5:$L$88&gt;=CF$5)*(ROW(Plan!$A$5:$A$88)-4))))</f>
        <v/>
      </c>
      <c r="CG6" s="26">
        <f>IF(SUMPRODUCT(((Plan!$I$5:$I$88="A")+(Plan!$I$5:$I$88="A+B"))*(Plan!$K$5:$K$88&lt;CG$5)*(Plan!$L$5:$L$88&gt;=CG$5))=0,"",INDEX(Plan!$A$5:$A$88,SUMPRODUCT(((Plan!$I$5:$I$88="A")+(Plan!$I$5:$I$88="A+B"))*(Plan!$K$5:$K$88&lt;CG$5)*(Plan!$L$5:$L$88&gt;=CG$5)*(ROW(Plan!$A$5:$A$88)-4))))</f>
        <v/>
      </c>
      <c r="CH6" s="26">
        <f>IF(SUMPRODUCT(((Plan!$I$5:$I$88="A")+(Plan!$I$5:$I$88="A+B"))*(Plan!$K$5:$K$88&lt;CH$5)*(Plan!$L$5:$L$88&gt;=CH$5))=0,"",INDEX(Plan!$A$5:$A$88,SUMPRODUCT(((Plan!$I$5:$I$88="A")+(Plan!$I$5:$I$88="A+B"))*(Plan!$K$5:$K$88&lt;CH$5)*(Plan!$L$5:$L$88&gt;=CH$5)*(ROW(Plan!$A$5:$A$88)-4))))</f>
        <v/>
      </c>
      <c r="CI6" s="26">
        <f>IF(SUMPRODUCT(((Plan!$I$5:$I$88="A")+(Plan!$I$5:$I$88="A+B"))*(Plan!$K$5:$K$88&lt;CI$5)*(Plan!$L$5:$L$88&gt;=CI$5))=0,"",INDEX(Plan!$A$5:$A$88,SUMPRODUCT(((Plan!$I$5:$I$88="A")+(Plan!$I$5:$I$88="A+B"))*(Plan!$K$5:$K$88&lt;CI$5)*(Plan!$L$5:$L$88&gt;=CI$5)*(ROW(Plan!$A$5:$A$88)-4))))</f>
        <v/>
      </c>
      <c r="CJ6" s="26">
        <f>IF(SUMPRODUCT(((Plan!$I$5:$I$88="A")+(Plan!$I$5:$I$88="A+B"))*(Plan!$K$5:$K$88&lt;CJ$5)*(Plan!$L$5:$L$88&gt;=CJ$5))=0,"",INDEX(Plan!$A$5:$A$88,SUMPRODUCT(((Plan!$I$5:$I$88="A")+(Plan!$I$5:$I$88="A+B"))*(Plan!$K$5:$K$88&lt;CJ$5)*(Plan!$L$5:$L$88&gt;=CJ$5)*(ROW(Plan!$A$5:$A$88)-4))))</f>
        <v/>
      </c>
      <c r="CK6" s="26">
        <f>IF(SUMPRODUCT(((Plan!$I$5:$I$88="A")+(Plan!$I$5:$I$88="A+B"))*(Plan!$K$5:$K$88&lt;CK$5)*(Plan!$L$5:$L$88&gt;=CK$5))=0,"",INDEX(Plan!$A$5:$A$88,SUMPRODUCT(((Plan!$I$5:$I$88="A")+(Plan!$I$5:$I$88="A+B"))*(Plan!$K$5:$K$88&lt;CK$5)*(Plan!$L$5:$L$88&gt;=CK$5)*(ROW(Plan!$A$5:$A$88)-4))))</f>
        <v/>
      </c>
      <c r="CL6" s="26">
        <f>IF(SUMPRODUCT(((Plan!$I$5:$I$88="A")+(Plan!$I$5:$I$88="A+B"))*(Plan!$K$5:$K$88&lt;CL$5)*(Plan!$L$5:$L$88&gt;=CL$5))=0,"",INDEX(Plan!$A$5:$A$88,SUMPRODUCT(((Plan!$I$5:$I$88="A")+(Plan!$I$5:$I$88="A+B"))*(Plan!$K$5:$K$88&lt;CL$5)*(Plan!$L$5:$L$88&gt;=CL$5)*(ROW(Plan!$A$5:$A$88)-4))))</f>
        <v/>
      </c>
      <c r="CM6" s="26">
        <f>IF(SUMPRODUCT(((Plan!$I$5:$I$88="A")+(Plan!$I$5:$I$88="A+B"))*(Plan!$K$5:$K$88&lt;CM$5)*(Plan!$L$5:$L$88&gt;=CM$5))=0,"",INDEX(Plan!$A$5:$A$88,SUMPRODUCT(((Plan!$I$5:$I$88="A")+(Plan!$I$5:$I$88="A+B"))*(Plan!$K$5:$K$88&lt;CM$5)*(Plan!$L$5:$L$88&gt;=CM$5)*(ROW(Plan!$A$5:$A$88)-4))))</f>
        <v/>
      </c>
      <c r="CN6" s="26">
        <f>IF(SUMPRODUCT(((Plan!$I$5:$I$88="A")+(Plan!$I$5:$I$88="A+B"))*(Plan!$K$5:$K$88&lt;CN$5)*(Plan!$L$5:$L$88&gt;=CN$5))=0,"",INDEX(Plan!$A$5:$A$88,SUMPRODUCT(((Plan!$I$5:$I$88="A")+(Plan!$I$5:$I$88="A+B"))*(Plan!$K$5:$K$88&lt;CN$5)*(Plan!$L$5:$L$88&gt;=CN$5)*(ROW(Plan!$A$5:$A$88)-4))))</f>
        <v/>
      </c>
      <c r="CO6" s="26">
        <f>IF(SUMPRODUCT(((Plan!$I$5:$I$88="A")+(Plan!$I$5:$I$88="A+B"))*(Plan!$K$5:$K$88&lt;CO$5)*(Plan!$L$5:$L$88&gt;=CO$5))=0,"",INDEX(Plan!$A$5:$A$88,SUMPRODUCT(((Plan!$I$5:$I$88="A")+(Plan!$I$5:$I$88="A+B"))*(Plan!$K$5:$K$88&lt;CO$5)*(Plan!$L$5:$L$88&gt;=CO$5)*(ROW(Plan!$A$5:$A$88)-4))))</f>
        <v/>
      </c>
      <c r="CP6" s="26">
        <f>IF(SUMPRODUCT(((Plan!$I$5:$I$88="A")+(Plan!$I$5:$I$88="A+B"))*(Plan!$K$5:$K$88&lt;CP$5)*(Plan!$L$5:$L$88&gt;=CP$5))=0,"",INDEX(Plan!$A$5:$A$88,SUMPRODUCT(((Plan!$I$5:$I$88="A")+(Plan!$I$5:$I$88="A+B"))*(Plan!$K$5:$K$88&lt;CP$5)*(Plan!$L$5:$L$88&gt;=CP$5)*(ROW(Plan!$A$5:$A$88)-4))))</f>
        <v/>
      </c>
      <c r="CQ6" s="26">
        <f>IF(SUMPRODUCT(((Plan!$I$5:$I$88="A")+(Plan!$I$5:$I$88="A+B"))*(Plan!$K$5:$K$88&lt;CQ$5)*(Plan!$L$5:$L$88&gt;=CQ$5))=0,"",INDEX(Plan!$A$5:$A$88,SUMPRODUCT(((Plan!$I$5:$I$88="A")+(Plan!$I$5:$I$88="A+B"))*(Plan!$K$5:$K$88&lt;CQ$5)*(Plan!$L$5:$L$88&gt;=CQ$5)*(ROW(Plan!$A$5:$A$88)-4))))</f>
        <v/>
      </c>
      <c r="CR6" s="26">
        <f>IF(SUMPRODUCT(((Plan!$I$5:$I$88="A")+(Plan!$I$5:$I$88="A+B"))*(Plan!$K$5:$K$88&lt;CR$5)*(Plan!$L$5:$L$88&gt;=CR$5))=0,"",INDEX(Plan!$A$5:$A$88,SUMPRODUCT(((Plan!$I$5:$I$88="A")+(Plan!$I$5:$I$88="A+B"))*(Plan!$K$5:$K$88&lt;CR$5)*(Plan!$L$5:$L$88&gt;=CR$5)*(ROW(Plan!$A$5:$A$88)-4))))</f>
        <v/>
      </c>
      <c r="CS6" s="26">
        <f>IF(SUMPRODUCT(((Plan!$I$5:$I$88="A")+(Plan!$I$5:$I$88="A+B"))*(Plan!$K$5:$K$88&lt;CS$5)*(Plan!$L$5:$L$88&gt;=CS$5))=0,"",INDEX(Plan!$A$5:$A$88,SUMPRODUCT(((Plan!$I$5:$I$88="A")+(Plan!$I$5:$I$88="A+B"))*(Plan!$K$5:$K$88&lt;CS$5)*(Plan!$L$5:$L$88&gt;=CS$5)*(ROW(Plan!$A$5:$A$88)-4))))</f>
        <v/>
      </c>
      <c r="CT6" s="26">
        <f>IF(SUMPRODUCT(((Plan!$I$5:$I$88="A")+(Plan!$I$5:$I$88="A+B"))*(Plan!$K$5:$K$88&lt;CT$5)*(Plan!$L$5:$L$88&gt;=CT$5))=0,"",INDEX(Plan!$A$5:$A$88,SUMPRODUCT(((Plan!$I$5:$I$88="A")+(Plan!$I$5:$I$88="A+B"))*(Plan!$K$5:$K$88&lt;CT$5)*(Plan!$L$5:$L$88&gt;=CT$5)*(ROW(Plan!$A$5:$A$88)-4))))</f>
        <v/>
      </c>
      <c r="CU6" s="26">
        <f>IF(SUMPRODUCT(((Plan!$I$5:$I$88="A")+(Plan!$I$5:$I$88="A+B"))*(Plan!$K$5:$K$88&lt;CU$5)*(Plan!$L$5:$L$88&gt;=CU$5))=0,"",INDEX(Plan!$A$5:$A$88,SUMPRODUCT(((Plan!$I$5:$I$88="A")+(Plan!$I$5:$I$88="A+B"))*(Plan!$K$5:$K$88&lt;CU$5)*(Plan!$L$5:$L$88&gt;=CU$5)*(ROW(Plan!$A$5:$A$88)-4))))</f>
        <v/>
      </c>
      <c r="CV6" s="26">
        <f>IF(SUMPRODUCT(((Plan!$I$5:$I$88="A")+(Plan!$I$5:$I$88="A+B"))*(Plan!$K$5:$K$88&lt;CV$5)*(Plan!$L$5:$L$88&gt;=CV$5))=0,"",INDEX(Plan!$A$5:$A$88,SUMPRODUCT(((Plan!$I$5:$I$88="A")+(Plan!$I$5:$I$88="A+B"))*(Plan!$K$5:$K$88&lt;CV$5)*(Plan!$L$5:$L$88&gt;=CV$5)*(ROW(Plan!$A$5:$A$88)-4))))</f>
        <v/>
      </c>
      <c r="CW6" s="26">
        <f>IF(SUMPRODUCT(((Plan!$I$5:$I$88="A")+(Plan!$I$5:$I$88="A+B"))*(Plan!$K$5:$K$88&lt;CW$5)*(Plan!$L$5:$L$88&gt;=CW$5))=0,"",INDEX(Plan!$A$5:$A$88,SUMPRODUCT(((Plan!$I$5:$I$88="A")+(Plan!$I$5:$I$88="A+B"))*(Plan!$K$5:$K$88&lt;CW$5)*(Plan!$L$5:$L$88&gt;=CW$5)*(ROW(Plan!$A$5:$A$88)-4))))</f>
        <v/>
      </c>
      <c r="CX6" s="26">
        <f>IF(SUMPRODUCT(((Plan!$I$5:$I$88="A")+(Plan!$I$5:$I$88="A+B"))*(Plan!$K$5:$K$88&lt;CX$5)*(Plan!$L$5:$L$88&gt;=CX$5))=0,"",INDEX(Plan!$A$5:$A$88,SUMPRODUCT(((Plan!$I$5:$I$88="A")+(Plan!$I$5:$I$88="A+B"))*(Plan!$K$5:$K$88&lt;CX$5)*(Plan!$L$5:$L$88&gt;=CX$5)*(ROW(Plan!$A$5:$A$88)-4))))</f>
        <v/>
      </c>
      <c r="CY6" s="26">
        <f>IF(SUMPRODUCT(((Plan!$I$5:$I$88="A")+(Plan!$I$5:$I$88="A+B"))*(Plan!$K$5:$K$88&lt;CY$5)*(Plan!$L$5:$L$88&gt;=CY$5))=0,"",INDEX(Plan!$A$5:$A$88,SUMPRODUCT(((Plan!$I$5:$I$88="A")+(Plan!$I$5:$I$88="A+B"))*(Plan!$K$5:$K$88&lt;CY$5)*(Plan!$L$5:$L$88&gt;=CY$5)*(ROW(Plan!$A$5:$A$88)-4))))</f>
        <v/>
      </c>
      <c r="CZ6" s="26">
        <f>IF(SUMPRODUCT(((Plan!$I$5:$I$88="A")+(Plan!$I$5:$I$88="A+B"))*(Plan!$K$5:$K$88&lt;CZ$5)*(Plan!$L$5:$L$88&gt;=CZ$5))=0,"",INDEX(Plan!$A$5:$A$88,SUMPRODUCT(((Plan!$I$5:$I$88="A")+(Plan!$I$5:$I$88="A+B"))*(Plan!$K$5:$K$88&lt;CZ$5)*(Plan!$L$5:$L$88&gt;=CZ$5)*(ROW(Plan!$A$5:$A$88)-4))))</f>
        <v/>
      </c>
      <c r="DA6" s="26">
        <f>IF(SUMPRODUCT(((Plan!$I$5:$I$88="A")+(Plan!$I$5:$I$88="A+B"))*(Plan!$K$5:$K$88&lt;DA$5)*(Plan!$L$5:$L$88&gt;=DA$5))=0,"",INDEX(Plan!$A$5:$A$88,SUMPRODUCT(((Plan!$I$5:$I$88="A")+(Plan!$I$5:$I$88="A+B"))*(Plan!$K$5:$K$88&lt;DA$5)*(Plan!$L$5:$L$88&gt;=DA$5)*(ROW(Plan!$A$5:$A$88)-4))))</f>
        <v/>
      </c>
      <c r="DB6" s="26">
        <f>IF(SUMPRODUCT(((Plan!$I$5:$I$88="A")+(Plan!$I$5:$I$88="A+B"))*(Plan!$K$5:$K$88&lt;DB$5)*(Plan!$L$5:$L$88&gt;=DB$5))=0,"",INDEX(Plan!$A$5:$A$88,SUMPRODUCT(((Plan!$I$5:$I$88="A")+(Plan!$I$5:$I$88="A+B"))*(Plan!$K$5:$K$88&lt;DB$5)*(Plan!$L$5:$L$88&gt;=DB$5)*(ROW(Plan!$A$5:$A$88)-4))))</f>
        <v/>
      </c>
      <c r="DC6" s="26">
        <f>IF(SUMPRODUCT(((Plan!$I$5:$I$88="A")+(Plan!$I$5:$I$88="A+B"))*(Plan!$K$5:$K$88&lt;DC$5)*(Plan!$L$5:$L$88&gt;=DC$5))=0,"",INDEX(Plan!$A$5:$A$88,SUMPRODUCT(((Plan!$I$5:$I$88="A")+(Plan!$I$5:$I$88="A+B"))*(Plan!$K$5:$K$88&lt;DC$5)*(Plan!$L$5:$L$88&gt;=DC$5)*(ROW(Plan!$A$5:$A$88)-4))))</f>
        <v/>
      </c>
    </row>
    <row r="7" ht="26" customHeight="1">
      <c r="A7" s="22" t="inlineStr">
        <is>
          <t>Fila B — tarea en curso</t>
        </is>
      </c>
      <c r="H7" s="26">
        <f>IF(SUMPRODUCT(((Plan!$I$5:$I$88="B")+(Plan!$I$5:$I$88="A+B"))*(Plan!$K$5:$K$88&lt;H$5)*(Plan!$L$5:$L$88&gt;=H$5))=0,"",INDEX(Plan!$A$5:$A$88,SUMPRODUCT(((Plan!$I$5:$I$88="B")+(Plan!$I$5:$I$88="A+B"))*(Plan!$K$5:$K$88&lt;H$5)*(Plan!$L$5:$L$88&gt;=H$5)*(ROW(Plan!$A$5:$A$88)-4))))</f>
        <v/>
      </c>
      <c r="I7" s="26">
        <f>IF(SUMPRODUCT(((Plan!$I$5:$I$88="B")+(Plan!$I$5:$I$88="A+B"))*(Plan!$K$5:$K$88&lt;I$5)*(Plan!$L$5:$L$88&gt;=I$5))=0,"",INDEX(Plan!$A$5:$A$88,SUMPRODUCT(((Plan!$I$5:$I$88="B")+(Plan!$I$5:$I$88="A+B"))*(Plan!$K$5:$K$88&lt;I$5)*(Plan!$L$5:$L$88&gt;=I$5)*(ROW(Plan!$A$5:$A$88)-4))))</f>
        <v/>
      </c>
      <c r="J7" s="26">
        <f>IF(SUMPRODUCT(((Plan!$I$5:$I$88="B")+(Plan!$I$5:$I$88="A+B"))*(Plan!$K$5:$K$88&lt;J$5)*(Plan!$L$5:$L$88&gt;=J$5))=0,"",INDEX(Plan!$A$5:$A$88,SUMPRODUCT(((Plan!$I$5:$I$88="B")+(Plan!$I$5:$I$88="A+B"))*(Plan!$K$5:$K$88&lt;J$5)*(Plan!$L$5:$L$88&gt;=J$5)*(ROW(Plan!$A$5:$A$88)-4))))</f>
        <v/>
      </c>
      <c r="K7" s="26">
        <f>IF(SUMPRODUCT(((Plan!$I$5:$I$88="B")+(Plan!$I$5:$I$88="A+B"))*(Plan!$K$5:$K$88&lt;K$5)*(Plan!$L$5:$L$88&gt;=K$5))=0,"",INDEX(Plan!$A$5:$A$88,SUMPRODUCT(((Plan!$I$5:$I$88="B")+(Plan!$I$5:$I$88="A+B"))*(Plan!$K$5:$K$88&lt;K$5)*(Plan!$L$5:$L$88&gt;=K$5)*(ROW(Plan!$A$5:$A$88)-4))))</f>
        <v/>
      </c>
      <c r="L7" s="26">
        <f>IF(SUMPRODUCT(((Plan!$I$5:$I$88="B")+(Plan!$I$5:$I$88="A+B"))*(Plan!$K$5:$K$88&lt;L$5)*(Plan!$L$5:$L$88&gt;=L$5))=0,"",INDEX(Plan!$A$5:$A$88,SUMPRODUCT(((Plan!$I$5:$I$88="B")+(Plan!$I$5:$I$88="A+B"))*(Plan!$K$5:$K$88&lt;L$5)*(Plan!$L$5:$L$88&gt;=L$5)*(ROW(Plan!$A$5:$A$88)-4))))</f>
        <v/>
      </c>
      <c r="M7" s="26">
        <f>IF(SUMPRODUCT(((Plan!$I$5:$I$88="B")+(Plan!$I$5:$I$88="A+B"))*(Plan!$K$5:$K$88&lt;M$5)*(Plan!$L$5:$L$88&gt;=M$5))=0,"",INDEX(Plan!$A$5:$A$88,SUMPRODUCT(((Plan!$I$5:$I$88="B")+(Plan!$I$5:$I$88="A+B"))*(Plan!$K$5:$K$88&lt;M$5)*(Plan!$L$5:$L$88&gt;=M$5)*(ROW(Plan!$A$5:$A$88)-4))))</f>
        <v/>
      </c>
      <c r="N7" s="26">
        <f>IF(SUMPRODUCT(((Plan!$I$5:$I$88="B")+(Plan!$I$5:$I$88="A+B"))*(Plan!$K$5:$K$88&lt;N$5)*(Plan!$L$5:$L$88&gt;=N$5))=0,"",INDEX(Plan!$A$5:$A$88,SUMPRODUCT(((Plan!$I$5:$I$88="B")+(Plan!$I$5:$I$88="A+B"))*(Plan!$K$5:$K$88&lt;N$5)*(Plan!$L$5:$L$88&gt;=N$5)*(ROW(Plan!$A$5:$A$88)-4))))</f>
        <v/>
      </c>
      <c r="O7" s="26">
        <f>IF(SUMPRODUCT(((Plan!$I$5:$I$88="B")+(Plan!$I$5:$I$88="A+B"))*(Plan!$K$5:$K$88&lt;O$5)*(Plan!$L$5:$L$88&gt;=O$5))=0,"",INDEX(Plan!$A$5:$A$88,SUMPRODUCT(((Plan!$I$5:$I$88="B")+(Plan!$I$5:$I$88="A+B"))*(Plan!$K$5:$K$88&lt;O$5)*(Plan!$L$5:$L$88&gt;=O$5)*(ROW(Plan!$A$5:$A$88)-4))))</f>
        <v/>
      </c>
      <c r="P7" s="26">
        <f>IF(SUMPRODUCT(((Plan!$I$5:$I$88="B")+(Plan!$I$5:$I$88="A+B"))*(Plan!$K$5:$K$88&lt;P$5)*(Plan!$L$5:$L$88&gt;=P$5))=0,"",INDEX(Plan!$A$5:$A$88,SUMPRODUCT(((Plan!$I$5:$I$88="B")+(Plan!$I$5:$I$88="A+B"))*(Plan!$K$5:$K$88&lt;P$5)*(Plan!$L$5:$L$88&gt;=P$5)*(ROW(Plan!$A$5:$A$88)-4))))</f>
        <v/>
      </c>
      <c r="Q7" s="26">
        <f>IF(SUMPRODUCT(((Plan!$I$5:$I$88="B")+(Plan!$I$5:$I$88="A+B"))*(Plan!$K$5:$K$88&lt;Q$5)*(Plan!$L$5:$L$88&gt;=Q$5))=0,"",INDEX(Plan!$A$5:$A$88,SUMPRODUCT(((Plan!$I$5:$I$88="B")+(Plan!$I$5:$I$88="A+B"))*(Plan!$K$5:$K$88&lt;Q$5)*(Plan!$L$5:$L$88&gt;=Q$5)*(ROW(Plan!$A$5:$A$88)-4))))</f>
        <v/>
      </c>
      <c r="R7" s="26">
        <f>IF(SUMPRODUCT(((Plan!$I$5:$I$88="B")+(Plan!$I$5:$I$88="A+B"))*(Plan!$K$5:$K$88&lt;R$5)*(Plan!$L$5:$L$88&gt;=R$5))=0,"",INDEX(Plan!$A$5:$A$88,SUMPRODUCT(((Plan!$I$5:$I$88="B")+(Plan!$I$5:$I$88="A+B"))*(Plan!$K$5:$K$88&lt;R$5)*(Plan!$L$5:$L$88&gt;=R$5)*(ROW(Plan!$A$5:$A$88)-4))))</f>
        <v/>
      </c>
      <c r="S7" s="26">
        <f>IF(SUMPRODUCT(((Plan!$I$5:$I$88="B")+(Plan!$I$5:$I$88="A+B"))*(Plan!$K$5:$K$88&lt;S$5)*(Plan!$L$5:$L$88&gt;=S$5))=0,"",INDEX(Plan!$A$5:$A$88,SUMPRODUCT(((Plan!$I$5:$I$88="B")+(Plan!$I$5:$I$88="A+B"))*(Plan!$K$5:$K$88&lt;S$5)*(Plan!$L$5:$L$88&gt;=S$5)*(ROW(Plan!$A$5:$A$88)-4))))</f>
        <v/>
      </c>
      <c r="T7" s="26">
        <f>IF(SUMPRODUCT(((Plan!$I$5:$I$88="B")+(Plan!$I$5:$I$88="A+B"))*(Plan!$K$5:$K$88&lt;T$5)*(Plan!$L$5:$L$88&gt;=T$5))=0,"",INDEX(Plan!$A$5:$A$88,SUMPRODUCT(((Plan!$I$5:$I$88="B")+(Plan!$I$5:$I$88="A+B"))*(Plan!$K$5:$K$88&lt;T$5)*(Plan!$L$5:$L$88&gt;=T$5)*(ROW(Plan!$A$5:$A$88)-4))))</f>
        <v/>
      </c>
      <c r="U7" s="26">
        <f>IF(SUMPRODUCT(((Plan!$I$5:$I$88="B")+(Plan!$I$5:$I$88="A+B"))*(Plan!$K$5:$K$88&lt;U$5)*(Plan!$L$5:$L$88&gt;=U$5))=0,"",INDEX(Plan!$A$5:$A$88,SUMPRODUCT(((Plan!$I$5:$I$88="B")+(Plan!$I$5:$I$88="A+B"))*(Plan!$K$5:$K$88&lt;U$5)*(Plan!$L$5:$L$88&gt;=U$5)*(ROW(Plan!$A$5:$A$88)-4))))</f>
        <v/>
      </c>
      <c r="V7" s="26">
        <f>IF(SUMPRODUCT(((Plan!$I$5:$I$88="B")+(Plan!$I$5:$I$88="A+B"))*(Plan!$K$5:$K$88&lt;V$5)*(Plan!$L$5:$L$88&gt;=V$5))=0,"",INDEX(Plan!$A$5:$A$88,SUMPRODUCT(((Plan!$I$5:$I$88="B")+(Plan!$I$5:$I$88="A+B"))*(Plan!$K$5:$K$88&lt;V$5)*(Plan!$L$5:$L$88&gt;=V$5)*(ROW(Plan!$A$5:$A$88)-4))))</f>
        <v/>
      </c>
      <c r="W7" s="26">
        <f>IF(SUMPRODUCT(((Plan!$I$5:$I$88="B")+(Plan!$I$5:$I$88="A+B"))*(Plan!$K$5:$K$88&lt;W$5)*(Plan!$L$5:$L$88&gt;=W$5))=0,"",INDEX(Plan!$A$5:$A$88,SUMPRODUCT(((Plan!$I$5:$I$88="B")+(Plan!$I$5:$I$88="A+B"))*(Plan!$K$5:$K$88&lt;W$5)*(Plan!$L$5:$L$88&gt;=W$5)*(ROW(Plan!$A$5:$A$88)-4))))</f>
        <v/>
      </c>
      <c r="X7" s="26">
        <f>IF(SUMPRODUCT(((Plan!$I$5:$I$88="B")+(Plan!$I$5:$I$88="A+B"))*(Plan!$K$5:$K$88&lt;X$5)*(Plan!$L$5:$L$88&gt;=X$5))=0,"",INDEX(Plan!$A$5:$A$88,SUMPRODUCT(((Plan!$I$5:$I$88="B")+(Plan!$I$5:$I$88="A+B"))*(Plan!$K$5:$K$88&lt;X$5)*(Plan!$L$5:$L$88&gt;=X$5)*(ROW(Plan!$A$5:$A$88)-4))))</f>
        <v/>
      </c>
      <c r="Y7" s="26">
        <f>IF(SUMPRODUCT(((Plan!$I$5:$I$88="B")+(Plan!$I$5:$I$88="A+B"))*(Plan!$K$5:$K$88&lt;Y$5)*(Plan!$L$5:$L$88&gt;=Y$5))=0,"",INDEX(Plan!$A$5:$A$88,SUMPRODUCT(((Plan!$I$5:$I$88="B")+(Plan!$I$5:$I$88="A+B"))*(Plan!$K$5:$K$88&lt;Y$5)*(Plan!$L$5:$L$88&gt;=Y$5)*(ROW(Plan!$A$5:$A$88)-4))))</f>
        <v/>
      </c>
      <c r="Z7" s="26">
        <f>IF(SUMPRODUCT(((Plan!$I$5:$I$88="B")+(Plan!$I$5:$I$88="A+B"))*(Plan!$K$5:$K$88&lt;Z$5)*(Plan!$L$5:$L$88&gt;=Z$5))=0,"",INDEX(Plan!$A$5:$A$88,SUMPRODUCT(((Plan!$I$5:$I$88="B")+(Plan!$I$5:$I$88="A+B"))*(Plan!$K$5:$K$88&lt;Z$5)*(Plan!$L$5:$L$88&gt;=Z$5)*(ROW(Plan!$A$5:$A$88)-4))))</f>
        <v/>
      </c>
      <c r="AA7" s="26">
        <f>IF(SUMPRODUCT(((Plan!$I$5:$I$88="B")+(Plan!$I$5:$I$88="A+B"))*(Plan!$K$5:$K$88&lt;AA$5)*(Plan!$L$5:$L$88&gt;=AA$5))=0,"",INDEX(Plan!$A$5:$A$88,SUMPRODUCT(((Plan!$I$5:$I$88="B")+(Plan!$I$5:$I$88="A+B"))*(Plan!$K$5:$K$88&lt;AA$5)*(Plan!$L$5:$L$88&gt;=AA$5)*(ROW(Plan!$A$5:$A$88)-4))))</f>
        <v/>
      </c>
      <c r="AB7" s="26">
        <f>IF(SUMPRODUCT(((Plan!$I$5:$I$88="B")+(Plan!$I$5:$I$88="A+B"))*(Plan!$K$5:$K$88&lt;AB$5)*(Plan!$L$5:$L$88&gt;=AB$5))=0,"",INDEX(Plan!$A$5:$A$88,SUMPRODUCT(((Plan!$I$5:$I$88="B")+(Plan!$I$5:$I$88="A+B"))*(Plan!$K$5:$K$88&lt;AB$5)*(Plan!$L$5:$L$88&gt;=AB$5)*(ROW(Plan!$A$5:$A$88)-4))))</f>
        <v/>
      </c>
      <c r="AC7" s="26">
        <f>IF(SUMPRODUCT(((Plan!$I$5:$I$88="B")+(Plan!$I$5:$I$88="A+B"))*(Plan!$K$5:$K$88&lt;AC$5)*(Plan!$L$5:$L$88&gt;=AC$5))=0,"",INDEX(Plan!$A$5:$A$88,SUMPRODUCT(((Plan!$I$5:$I$88="B")+(Plan!$I$5:$I$88="A+B"))*(Plan!$K$5:$K$88&lt;AC$5)*(Plan!$L$5:$L$88&gt;=AC$5)*(ROW(Plan!$A$5:$A$88)-4))))</f>
        <v/>
      </c>
      <c r="AD7" s="26">
        <f>IF(SUMPRODUCT(((Plan!$I$5:$I$88="B")+(Plan!$I$5:$I$88="A+B"))*(Plan!$K$5:$K$88&lt;AD$5)*(Plan!$L$5:$L$88&gt;=AD$5))=0,"",INDEX(Plan!$A$5:$A$88,SUMPRODUCT(((Plan!$I$5:$I$88="B")+(Plan!$I$5:$I$88="A+B"))*(Plan!$K$5:$K$88&lt;AD$5)*(Plan!$L$5:$L$88&gt;=AD$5)*(ROW(Plan!$A$5:$A$88)-4))))</f>
        <v/>
      </c>
      <c r="AE7" s="26">
        <f>IF(SUMPRODUCT(((Plan!$I$5:$I$88="B")+(Plan!$I$5:$I$88="A+B"))*(Plan!$K$5:$K$88&lt;AE$5)*(Plan!$L$5:$L$88&gt;=AE$5))=0,"",INDEX(Plan!$A$5:$A$88,SUMPRODUCT(((Plan!$I$5:$I$88="B")+(Plan!$I$5:$I$88="A+B"))*(Plan!$K$5:$K$88&lt;AE$5)*(Plan!$L$5:$L$88&gt;=AE$5)*(ROW(Plan!$A$5:$A$88)-4))))</f>
        <v/>
      </c>
      <c r="AF7" s="26">
        <f>IF(SUMPRODUCT(((Plan!$I$5:$I$88="B")+(Plan!$I$5:$I$88="A+B"))*(Plan!$K$5:$K$88&lt;AF$5)*(Plan!$L$5:$L$88&gt;=AF$5))=0,"",INDEX(Plan!$A$5:$A$88,SUMPRODUCT(((Plan!$I$5:$I$88="B")+(Plan!$I$5:$I$88="A+B"))*(Plan!$K$5:$K$88&lt;AF$5)*(Plan!$L$5:$L$88&gt;=AF$5)*(ROW(Plan!$A$5:$A$88)-4))))</f>
        <v/>
      </c>
      <c r="AG7" s="26">
        <f>IF(SUMPRODUCT(((Plan!$I$5:$I$88="B")+(Plan!$I$5:$I$88="A+B"))*(Plan!$K$5:$K$88&lt;AG$5)*(Plan!$L$5:$L$88&gt;=AG$5))=0,"",INDEX(Plan!$A$5:$A$88,SUMPRODUCT(((Plan!$I$5:$I$88="B")+(Plan!$I$5:$I$88="A+B"))*(Plan!$K$5:$K$88&lt;AG$5)*(Plan!$L$5:$L$88&gt;=AG$5)*(ROW(Plan!$A$5:$A$88)-4))))</f>
        <v/>
      </c>
      <c r="AH7" s="26">
        <f>IF(SUMPRODUCT(((Plan!$I$5:$I$88="B")+(Plan!$I$5:$I$88="A+B"))*(Plan!$K$5:$K$88&lt;AH$5)*(Plan!$L$5:$L$88&gt;=AH$5))=0,"",INDEX(Plan!$A$5:$A$88,SUMPRODUCT(((Plan!$I$5:$I$88="B")+(Plan!$I$5:$I$88="A+B"))*(Plan!$K$5:$K$88&lt;AH$5)*(Plan!$L$5:$L$88&gt;=AH$5)*(ROW(Plan!$A$5:$A$88)-4))))</f>
        <v/>
      </c>
      <c r="AI7" s="26">
        <f>IF(SUMPRODUCT(((Plan!$I$5:$I$88="B")+(Plan!$I$5:$I$88="A+B"))*(Plan!$K$5:$K$88&lt;AI$5)*(Plan!$L$5:$L$88&gt;=AI$5))=0,"",INDEX(Plan!$A$5:$A$88,SUMPRODUCT(((Plan!$I$5:$I$88="B")+(Plan!$I$5:$I$88="A+B"))*(Plan!$K$5:$K$88&lt;AI$5)*(Plan!$L$5:$L$88&gt;=AI$5)*(ROW(Plan!$A$5:$A$88)-4))))</f>
        <v/>
      </c>
      <c r="AJ7" s="26">
        <f>IF(SUMPRODUCT(((Plan!$I$5:$I$88="B")+(Plan!$I$5:$I$88="A+B"))*(Plan!$K$5:$K$88&lt;AJ$5)*(Plan!$L$5:$L$88&gt;=AJ$5))=0,"",INDEX(Plan!$A$5:$A$88,SUMPRODUCT(((Plan!$I$5:$I$88="B")+(Plan!$I$5:$I$88="A+B"))*(Plan!$K$5:$K$88&lt;AJ$5)*(Plan!$L$5:$L$88&gt;=AJ$5)*(ROW(Plan!$A$5:$A$88)-4))))</f>
        <v/>
      </c>
      <c r="AK7" s="26">
        <f>IF(SUMPRODUCT(((Plan!$I$5:$I$88="B")+(Plan!$I$5:$I$88="A+B"))*(Plan!$K$5:$K$88&lt;AK$5)*(Plan!$L$5:$L$88&gt;=AK$5))=0,"",INDEX(Plan!$A$5:$A$88,SUMPRODUCT(((Plan!$I$5:$I$88="B")+(Plan!$I$5:$I$88="A+B"))*(Plan!$K$5:$K$88&lt;AK$5)*(Plan!$L$5:$L$88&gt;=AK$5)*(ROW(Plan!$A$5:$A$88)-4))))</f>
        <v/>
      </c>
      <c r="AL7" s="26">
        <f>IF(SUMPRODUCT(((Plan!$I$5:$I$88="B")+(Plan!$I$5:$I$88="A+B"))*(Plan!$K$5:$K$88&lt;AL$5)*(Plan!$L$5:$L$88&gt;=AL$5))=0,"",INDEX(Plan!$A$5:$A$88,SUMPRODUCT(((Plan!$I$5:$I$88="B")+(Plan!$I$5:$I$88="A+B"))*(Plan!$K$5:$K$88&lt;AL$5)*(Plan!$L$5:$L$88&gt;=AL$5)*(ROW(Plan!$A$5:$A$88)-4))))</f>
        <v/>
      </c>
      <c r="AM7" s="26">
        <f>IF(SUMPRODUCT(((Plan!$I$5:$I$88="B")+(Plan!$I$5:$I$88="A+B"))*(Plan!$K$5:$K$88&lt;AM$5)*(Plan!$L$5:$L$88&gt;=AM$5))=0,"",INDEX(Plan!$A$5:$A$88,SUMPRODUCT(((Plan!$I$5:$I$88="B")+(Plan!$I$5:$I$88="A+B"))*(Plan!$K$5:$K$88&lt;AM$5)*(Plan!$L$5:$L$88&gt;=AM$5)*(ROW(Plan!$A$5:$A$88)-4))))</f>
        <v/>
      </c>
      <c r="AN7" s="26">
        <f>IF(SUMPRODUCT(((Plan!$I$5:$I$88="B")+(Plan!$I$5:$I$88="A+B"))*(Plan!$K$5:$K$88&lt;AN$5)*(Plan!$L$5:$L$88&gt;=AN$5))=0,"",INDEX(Plan!$A$5:$A$88,SUMPRODUCT(((Plan!$I$5:$I$88="B")+(Plan!$I$5:$I$88="A+B"))*(Plan!$K$5:$K$88&lt;AN$5)*(Plan!$L$5:$L$88&gt;=AN$5)*(ROW(Plan!$A$5:$A$88)-4))))</f>
        <v/>
      </c>
      <c r="AO7" s="26">
        <f>IF(SUMPRODUCT(((Plan!$I$5:$I$88="B")+(Plan!$I$5:$I$88="A+B"))*(Plan!$K$5:$K$88&lt;AO$5)*(Plan!$L$5:$L$88&gt;=AO$5))=0,"",INDEX(Plan!$A$5:$A$88,SUMPRODUCT(((Plan!$I$5:$I$88="B")+(Plan!$I$5:$I$88="A+B"))*(Plan!$K$5:$K$88&lt;AO$5)*(Plan!$L$5:$L$88&gt;=AO$5)*(ROW(Plan!$A$5:$A$88)-4))))</f>
        <v/>
      </c>
      <c r="AP7" s="26">
        <f>IF(SUMPRODUCT(((Plan!$I$5:$I$88="B")+(Plan!$I$5:$I$88="A+B"))*(Plan!$K$5:$K$88&lt;AP$5)*(Plan!$L$5:$L$88&gt;=AP$5))=0,"",INDEX(Plan!$A$5:$A$88,SUMPRODUCT(((Plan!$I$5:$I$88="B")+(Plan!$I$5:$I$88="A+B"))*(Plan!$K$5:$K$88&lt;AP$5)*(Plan!$L$5:$L$88&gt;=AP$5)*(ROW(Plan!$A$5:$A$88)-4))))</f>
        <v/>
      </c>
      <c r="AQ7" s="26">
        <f>IF(SUMPRODUCT(((Plan!$I$5:$I$88="B")+(Plan!$I$5:$I$88="A+B"))*(Plan!$K$5:$K$88&lt;AQ$5)*(Plan!$L$5:$L$88&gt;=AQ$5))=0,"",INDEX(Plan!$A$5:$A$88,SUMPRODUCT(((Plan!$I$5:$I$88="B")+(Plan!$I$5:$I$88="A+B"))*(Plan!$K$5:$K$88&lt;AQ$5)*(Plan!$L$5:$L$88&gt;=AQ$5)*(ROW(Plan!$A$5:$A$88)-4))))</f>
        <v/>
      </c>
      <c r="AR7" s="26">
        <f>IF(SUMPRODUCT(((Plan!$I$5:$I$88="B")+(Plan!$I$5:$I$88="A+B"))*(Plan!$K$5:$K$88&lt;AR$5)*(Plan!$L$5:$L$88&gt;=AR$5))=0,"",INDEX(Plan!$A$5:$A$88,SUMPRODUCT(((Plan!$I$5:$I$88="B")+(Plan!$I$5:$I$88="A+B"))*(Plan!$K$5:$K$88&lt;AR$5)*(Plan!$L$5:$L$88&gt;=AR$5)*(ROW(Plan!$A$5:$A$88)-4))))</f>
        <v/>
      </c>
      <c r="AS7" s="26">
        <f>IF(SUMPRODUCT(((Plan!$I$5:$I$88="B")+(Plan!$I$5:$I$88="A+B"))*(Plan!$K$5:$K$88&lt;AS$5)*(Plan!$L$5:$L$88&gt;=AS$5))=0,"",INDEX(Plan!$A$5:$A$88,SUMPRODUCT(((Plan!$I$5:$I$88="B")+(Plan!$I$5:$I$88="A+B"))*(Plan!$K$5:$K$88&lt;AS$5)*(Plan!$L$5:$L$88&gt;=AS$5)*(ROW(Plan!$A$5:$A$88)-4))))</f>
        <v/>
      </c>
      <c r="AT7" s="26">
        <f>IF(SUMPRODUCT(((Plan!$I$5:$I$88="B")+(Plan!$I$5:$I$88="A+B"))*(Plan!$K$5:$K$88&lt;AT$5)*(Plan!$L$5:$L$88&gt;=AT$5))=0,"",INDEX(Plan!$A$5:$A$88,SUMPRODUCT(((Plan!$I$5:$I$88="B")+(Plan!$I$5:$I$88="A+B"))*(Plan!$K$5:$K$88&lt;AT$5)*(Plan!$L$5:$L$88&gt;=AT$5)*(ROW(Plan!$A$5:$A$88)-4))))</f>
        <v/>
      </c>
      <c r="AU7" s="26">
        <f>IF(SUMPRODUCT(((Plan!$I$5:$I$88="B")+(Plan!$I$5:$I$88="A+B"))*(Plan!$K$5:$K$88&lt;AU$5)*(Plan!$L$5:$L$88&gt;=AU$5))=0,"",INDEX(Plan!$A$5:$A$88,SUMPRODUCT(((Plan!$I$5:$I$88="B")+(Plan!$I$5:$I$88="A+B"))*(Plan!$K$5:$K$88&lt;AU$5)*(Plan!$L$5:$L$88&gt;=AU$5)*(ROW(Plan!$A$5:$A$88)-4))))</f>
        <v/>
      </c>
      <c r="AV7" s="26">
        <f>IF(SUMPRODUCT(((Plan!$I$5:$I$88="B")+(Plan!$I$5:$I$88="A+B"))*(Plan!$K$5:$K$88&lt;AV$5)*(Plan!$L$5:$L$88&gt;=AV$5))=0,"",INDEX(Plan!$A$5:$A$88,SUMPRODUCT(((Plan!$I$5:$I$88="B")+(Plan!$I$5:$I$88="A+B"))*(Plan!$K$5:$K$88&lt;AV$5)*(Plan!$L$5:$L$88&gt;=AV$5)*(ROW(Plan!$A$5:$A$88)-4))))</f>
        <v/>
      </c>
      <c r="AW7" s="26">
        <f>IF(SUMPRODUCT(((Plan!$I$5:$I$88="B")+(Plan!$I$5:$I$88="A+B"))*(Plan!$K$5:$K$88&lt;AW$5)*(Plan!$L$5:$L$88&gt;=AW$5))=0,"",INDEX(Plan!$A$5:$A$88,SUMPRODUCT(((Plan!$I$5:$I$88="B")+(Plan!$I$5:$I$88="A+B"))*(Plan!$K$5:$K$88&lt;AW$5)*(Plan!$L$5:$L$88&gt;=AW$5)*(ROW(Plan!$A$5:$A$88)-4))))</f>
        <v/>
      </c>
      <c r="AX7" s="26">
        <f>IF(SUMPRODUCT(((Plan!$I$5:$I$88="B")+(Plan!$I$5:$I$88="A+B"))*(Plan!$K$5:$K$88&lt;AX$5)*(Plan!$L$5:$L$88&gt;=AX$5))=0,"",INDEX(Plan!$A$5:$A$88,SUMPRODUCT(((Plan!$I$5:$I$88="B")+(Plan!$I$5:$I$88="A+B"))*(Plan!$K$5:$K$88&lt;AX$5)*(Plan!$L$5:$L$88&gt;=AX$5)*(ROW(Plan!$A$5:$A$88)-4))))</f>
        <v/>
      </c>
      <c r="AY7" s="26">
        <f>IF(SUMPRODUCT(((Plan!$I$5:$I$88="B")+(Plan!$I$5:$I$88="A+B"))*(Plan!$K$5:$K$88&lt;AY$5)*(Plan!$L$5:$L$88&gt;=AY$5))=0,"",INDEX(Plan!$A$5:$A$88,SUMPRODUCT(((Plan!$I$5:$I$88="B")+(Plan!$I$5:$I$88="A+B"))*(Plan!$K$5:$K$88&lt;AY$5)*(Plan!$L$5:$L$88&gt;=AY$5)*(ROW(Plan!$A$5:$A$88)-4))))</f>
        <v/>
      </c>
      <c r="AZ7" s="26">
        <f>IF(SUMPRODUCT(((Plan!$I$5:$I$88="B")+(Plan!$I$5:$I$88="A+B"))*(Plan!$K$5:$K$88&lt;AZ$5)*(Plan!$L$5:$L$88&gt;=AZ$5))=0,"",INDEX(Plan!$A$5:$A$88,SUMPRODUCT(((Plan!$I$5:$I$88="B")+(Plan!$I$5:$I$88="A+B"))*(Plan!$K$5:$K$88&lt;AZ$5)*(Plan!$L$5:$L$88&gt;=AZ$5)*(ROW(Plan!$A$5:$A$88)-4))))</f>
        <v/>
      </c>
      <c r="BA7" s="26">
        <f>IF(SUMPRODUCT(((Plan!$I$5:$I$88="B")+(Plan!$I$5:$I$88="A+B"))*(Plan!$K$5:$K$88&lt;BA$5)*(Plan!$L$5:$L$88&gt;=BA$5))=0,"",INDEX(Plan!$A$5:$A$88,SUMPRODUCT(((Plan!$I$5:$I$88="B")+(Plan!$I$5:$I$88="A+B"))*(Plan!$K$5:$K$88&lt;BA$5)*(Plan!$L$5:$L$88&gt;=BA$5)*(ROW(Plan!$A$5:$A$88)-4))))</f>
        <v/>
      </c>
      <c r="BB7" s="26">
        <f>IF(SUMPRODUCT(((Plan!$I$5:$I$88="B")+(Plan!$I$5:$I$88="A+B"))*(Plan!$K$5:$K$88&lt;BB$5)*(Plan!$L$5:$L$88&gt;=BB$5))=0,"",INDEX(Plan!$A$5:$A$88,SUMPRODUCT(((Plan!$I$5:$I$88="B")+(Plan!$I$5:$I$88="A+B"))*(Plan!$K$5:$K$88&lt;BB$5)*(Plan!$L$5:$L$88&gt;=BB$5)*(ROW(Plan!$A$5:$A$88)-4))))</f>
        <v/>
      </c>
      <c r="BC7" s="26">
        <f>IF(SUMPRODUCT(((Plan!$I$5:$I$88="B")+(Plan!$I$5:$I$88="A+B"))*(Plan!$K$5:$K$88&lt;BC$5)*(Plan!$L$5:$L$88&gt;=BC$5))=0,"",INDEX(Plan!$A$5:$A$88,SUMPRODUCT(((Plan!$I$5:$I$88="B")+(Plan!$I$5:$I$88="A+B"))*(Plan!$K$5:$K$88&lt;BC$5)*(Plan!$L$5:$L$88&gt;=BC$5)*(ROW(Plan!$A$5:$A$88)-4))))</f>
        <v/>
      </c>
      <c r="BD7" s="26">
        <f>IF(SUMPRODUCT(((Plan!$I$5:$I$88="B")+(Plan!$I$5:$I$88="A+B"))*(Plan!$K$5:$K$88&lt;BD$5)*(Plan!$L$5:$L$88&gt;=BD$5))=0,"",INDEX(Plan!$A$5:$A$88,SUMPRODUCT(((Plan!$I$5:$I$88="B")+(Plan!$I$5:$I$88="A+B"))*(Plan!$K$5:$K$88&lt;BD$5)*(Plan!$L$5:$L$88&gt;=BD$5)*(ROW(Plan!$A$5:$A$88)-4))))</f>
        <v/>
      </c>
      <c r="BE7" s="26">
        <f>IF(SUMPRODUCT(((Plan!$I$5:$I$88="B")+(Plan!$I$5:$I$88="A+B"))*(Plan!$K$5:$K$88&lt;BE$5)*(Plan!$L$5:$L$88&gt;=BE$5))=0,"",INDEX(Plan!$A$5:$A$88,SUMPRODUCT(((Plan!$I$5:$I$88="B")+(Plan!$I$5:$I$88="A+B"))*(Plan!$K$5:$K$88&lt;BE$5)*(Plan!$L$5:$L$88&gt;=BE$5)*(ROW(Plan!$A$5:$A$88)-4))))</f>
        <v/>
      </c>
      <c r="BF7" s="26">
        <f>IF(SUMPRODUCT(((Plan!$I$5:$I$88="B")+(Plan!$I$5:$I$88="A+B"))*(Plan!$K$5:$K$88&lt;BF$5)*(Plan!$L$5:$L$88&gt;=BF$5))=0,"",INDEX(Plan!$A$5:$A$88,SUMPRODUCT(((Plan!$I$5:$I$88="B")+(Plan!$I$5:$I$88="A+B"))*(Plan!$K$5:$K$88&lt;BF$5)*(Plan!$L$5:$L$88&gt;=BF$5)*(ROW(Plan!$A$5:$A$88)-4))))</f>
        <v/>
      </c>
      <c r="BG7" s="26">
        <f>IF(SUMPRODUCT(((Plan!$I$5:$I$88="B")+(Plan!$I$5:$I$88="A+B"))*(Plan!$K$5:$K$88&lt;BG$5)*(Plan!$L$5:$L$88&gt;=BG$5))=0,"",INDEX(Plan!$A$5:$A$88,SUMPRODUCT(((Plan!$I$5:$I$88="B")+(Plan!$I$5:$I$88="A+B"))*(Plan!$K$5:$K$88&lt;BG$5)*(Plan!$L$5:$L$88&gt;=BG$5)*(ROW(Plan!$A$5:$A$88)-4))))</f>
        <v/>
      </c>
      <c r="BH7" s="26">
        <f>IF(SUMPRODUCT(((Plan!$I$5:$I$88="B")+(Plan!$I$5:$I$88="A+B"))*(Plan!$K$5:$K$88&lt;BH$5)*(Plan!$L$5:$L$88&gt;=BH$5))=0,"",INDEX(Plan!$A$5:$A$88,SUMPRODUCT(((Plan!$I$5:$I$88="B")+(Plan!$I$5:$I$88="A+B"))*(Plan!$K$5:$K$88&lt;BH$5)*(Plan!$L$5:$L$88&gt;=BH$5)*(ROW(Plan!$A$5:$A$88)-4))))</f>
        <v/>
      </c>
      <c r="BI7" s="26">
        <f>IF(SUMPRODUCT(((Plan!$I$5:$I$88="B")+(Plan!$I$5:$I$88="A+B"))*(Plan!$K$5:$K$88&lt;BI$5)*(Plan!$L$5:$L$88&gt;=BI$5))=0,"",INDEX(Plan!$A$5:$A$88,SUMPRODUCT(((Plan!$I$5:$I$88="B")+(Plan!$I$5:$I$88="A+B"))*(Plan!$K$5:$K$88&lt;BI$5)*(Plan!$L$5:$L$88&gt;=BI$5)*(ROW(Plan!$A$5:$A$88)-4))))</f>
        <v/>
      </c>
      <c r="BJ7" s="26">
        <f>IF(SUMPRODUCT(((Plan!$I$5:$I$88="B")+(Plan!$I$5:$I$88="A+B"))*(Plan!$K$5:$K$88&lt;BJ$5)*(Plan!$L$5:$L$88&gt;=BJ$5))=0,"",INDEX(Plan!$A$5:$A$88,SUMPRODUCT(((Plan!$I$5:$I$88="B")+(Plan!$I$5:$I$88="A+B"))*(Plan!$K$5:$K$88&lt;BJ$5)*(Plan!$L$5:$L$88&gt;=BJ$5)*(ROW(Plan!$A$5:$A$88)-4))))</f>
        <v/>
      </c>
      <c r="BK7" s="26">
        <f>IF(SUMPRODUCT(((Plan!$I$5:$I$88="B")+(Plan!$I$5:$I$88="A+B"))*(Plan!$K$5:$K$88&lt;BK$5)*(Plan!$L$5:$L$88&gt;=BK$5))=0,"",INDEX(Plan!$A$5:$A$88,SUMPRODUCT(((Plan!$I$5:$I$88="B")+(Plan!$I$5:$I$88="A+B"))*(Plan!$K$5:$K$88&lt;BK$5)*(Plan!$L$5:$L$88&gt;=BK$5)*(ROW(Plan!$A$5:$A$88)-4))))</f>
        <v/>
      </c>
      <c r="BL7" s="26">
        <f>IF(SUMPRODUCT(((Plan!$I$5:$I$88="B")+(Plan!$I$5:$I$88="A+B"))*(Plan!$K$5:$K$88&lt;BL$5)*(Plan!$L$5:$L$88&gt;=BL$5))=0,"",INDEX(Plan!$A$5:$A$88,SUMPRODUCT(((Plan!$I$5:$I$88="B")+(Plan!$I$5:$I$88="A+B"))*(Plan!$K$5:$K$88&lt;BL$5)*(Plan!$L$5:$L$88&gt;=BL$5)*(ROW(Plan!$A$5:$A$88)-4))))</f>
        <v/>
      </c>
      <c r="BM7" s="26">
        <f>IF(SUMPRODUCT(((Plan!$I$5:$I$88="B")+(Plan!$I$5:$I$88="A+B"))*(Plan!$K$5:$K$88&lt;BM$5)*(Plan!$L$5:$L$88&gt;=BM$5))=0,"",INDEX(Plan!$A$5:$A$88,SUMPRODUCT(((Plan!$I$5:$I$88="B")+(Plan!$I$5:$I$88="A+B"))*(Plan!$K$5:$K$88&lt;BM$5)*(Plan!$L$5:$L$88&gt;=BM$5)*(ROW(Plan!$A$5:$A$88)-4))))</f>
        <v/>
      </c>
      <c r="BN7" s="26">
        <f>IF(SUMPRODUCT(((Plan!$I$5:$I$88="B")+(Plan!$I$5:$I$88="A+B"))*(Plan!$K$5:$K$88&lt;BN$5)*(Plan!$L$5:$L$88&gt;=BN$5))=0,"",INDEX(Plan!$A$5:$A$88,SUMPRODUCT(((Plan!$I$5:$I$88="B")+(Plan!$I$5:$I$88="A+B"))*(Plan!$K$5:$K$88&lt;BN$5)*(Plan!$L$5:$L$88&gt;=BN$5)*(ROW(Plan!$A$5:$A$88)-4))))</f>
        <v/>
      </c>
      <c r="BO7" s="26">
        <f>IF(SUMPRODUCT(((Plan!$I$5:$I$88="B")+(Plan!$I$5:$I$88="A+B"))*(Plan!$K$5:$K$88&lt;BO$5)*(Plan!$L$5:$L$88&gt;=BO$5))=0,"",INDEX(Plan!$A$5:$A$88,SUMPRODUCT(((Plan!$I$5:$I$88="B")+(Plan!$I$5:$I$88="A+B"))*(Plan!$K$5:$K$88&lt;BO$5)*(Plan!$L$5:$L$88&gt;=BO$5)*(ROW(Plan!$A$5:$A$88)-4))))</f>
        <v/>
      </c>
      <c r="BP7" s="26">
        <f>IF(SUMPRODUCT(((Plan!$I$5:$I$88="B")+(Plan!$I$5:$I$88="A+B"))*(Plan!$K$5:$K$88&lt;BP$5)*(Plan!$L$5:$L$88&gt;=BP$5))=0,"",INDEX(Plan!$A$5:$A$88,SUMPRODUCT(((Plan!$I$5:$I$88="B")+(Plan!$I$5:$I$88="A+B"))*(Plan!$K$5:$K$88&lt;BP$5)*(Plan!$L$5:$L$88&gt;=BP$5)*(ROW(Plan!$A$5:$A$88)-4))))</f>
        <v/>
      </c>
      <c r="BQ7" s="26">
        <f>IF(SUMPRODUCT(((Plan!$I$5:$I$88="B")+(Plan!$I$5:$I$88="A+B"))*(Plan!$K$5:$K$88&lt;BQ$5)*(Plan!$L$5:$L$88&gt;=BQ$5))=0,"",INDEX(Plan!$A$5:$A$88,SUMPRODUCT(((Plan!$I$5:$I$88="B")+(Plan!$I$5:$I$88="A+B"))*(Plan!$K$5:$K$88&lt;BQ$5)*(Plan!$L$5:$L$88&gt;=BQ$5)*(ROW(Plan!$A$5:$A$88)-4))))</f>
        <v/>
      </c>
      <c r="BR7" s="26">
        <f>IF(SUMPRODUCT(((Plan!$I$5:$I$88="B")+(Plan!$I$5:$I$88="A+B"))*(Plan!$K$5:$K$88&lt;BR$5)*(Plan!$L$5:$L$88&gt;=BR$5))=0,"",INDEX(Plan!$A$5:$A$88,SUMPRODUCT(((Plan!$I$5:$I$88="B")+(Plan!$I$5:$I$88="A+B"))*(Plan!$K$5:$K$88&lt;BR$5)*(Plan!$L$5:$L$88&gt;=BR$5)*(ROW(Plan!$A$5:$A$88)-4))))</f>
        <v/>
      </c>
      <c r="BS7" s="26">
        <f>IF(SUMPRODUCT(((Plan!$I$5:$I$88="B")+(Plan!$I$5:$I$88="A+B"))*(Plan!$K$5:$K$88&lt;BS$5)*(Plan!$L$5:$L$88&gt;=BS$5))=0,"",INDEX(Plan!$A$5:$A$88,SUMPRODUCT(((Plan!$I$5:$I$88="B")+(Plan!$I$5:$I$88="A+B"))*(Plan!$K$5:$K$88&lt;BS$5)*(Plan!$L$5:$L$88&gt;=BS$5)*(ROW(Plan!$A$5:$A$88)-4))))</f>
        <v/>
      </c>
      <c r="BT7" s="26">
        <f>IF(SUMPRODUCT(((Plan!$I$5:$I$88="B")+(Plan!$I$5:$I$88="A+B"))*(Plan!$K$5:$K$88&lt;BT$5)*(Plan!$L$5:$L$88&gt;=BT$5))=0,"",INDEX(Plan!$A$5:$A$88,SUMPRODUCT(((Plan!$I$5:$I$88="B")+(Plan!$I$5:$I$88="A+B"))*(Plan!$K$5:$K$88&lt;BT$5)*(Plan!$L$5:$L$88&gt;=BT$5)*(ROW(Plan!$A$5:$A$88)-4))))</f>
        <v/>
      </c>
      <c r="BU7" s="26">
        <f>IF(SUMPRODUCT(((Plan!$I$5:$I$88="B")+(Plan!$I$5:$I$88="A+B"))*(Plan!$K$5:$K$88&lt;BU$5)*(Plan!$L$5:$L$88&gt;=BU$5))=0,"",INDEX(Plan!$A$5:$A$88,SUMPRODUCT(((Plan!$I$5:$I$88="B")+(Plan!$I$5:$I$88="A+B"))*(Plan!$K$5:$K$88&lt;BU$5)*(Plan!$L$5:$L$88&gt;=BU$5)*(ROW(Plan!$A$5:$A$88)-4))))</f>
        <v/>
      </c>
      <c r="BV7" s="26">
        <f>IF(SUMPRODUCT(((Plan!$I$5:$I$88="B")+(Plan!$I$5:$I$88="A+B"))*(Plan!$K$5:$K$88&lt;BV$5)*(Plan!$L$5:$L$88&gt;=BV$5))=0,"",INDEX(Plan!$A$5:$A$88,SUMPRODUCT(((Plan!$I$5:$I$88="B")+(Plan!$I$5:$I$88="A+B"))*(Plan!$K$5:$K$88&lt;BV$5)*(Plan!$L$5:$L$88&gt;=BV$5)*(ROW(Plan!$A$5:$A$88)-4))))</f>
        <v/>
      </c>
      <c r="BW7" s="26">
        <f>IF(SUMPRODUCT(((Plan!$I$5:$I$88="B")+(Plan!$I$5:$I$88="A+B"))*(Plan!$K$5:$K$88&lt;BW$5)*(Plan!$L$5:$L$88&gt;=BW$5))=0,"",INDEX(Plan!$A$5:$A$88,SUMPRODUCT(((Plan!$I$5:$I$88="B")+(Plan!$I$5:$I$88="A+B"))*(Plan!$K$5:$K$88&lt;BW$5)*(Plan!$L$5:$L$88&gt;=BW$5)*(ROW(Plan!$A$5:$A$88)-4))))</f>
        <v/>
      </c>
      <c r="BX7" s="26">
        <f>IF(SUMPRODUCT(((Plan!$I$5:$I$88="B")+(Plan!$I$5:$I$88="A+B"))*(Plan!$K$5:$K$88&lt;BX$5)*(Plan!$L$5:$L$88&gt;=BX$5))=0,"",INDEX(Plan!$A$5:$A$88,SUMPRODUCT(((Plan!$I$5:$I$88="B")+(Plan!$I$5:$I$88="A+B"))*(Plan!$K$5:$K$88&lt;BX$5)*(Plan!$L$5:$L$88&gt;=BX$5)*(ROW(Plan!$A$5:$A$88)-4))))</f>
        <v/>
      </c>
      <c r="BY7" s="26">
        <f>IF(SUMPRODUCT(((Plan!$I$5:$I$88="B")+(Plan!$I$5:$I$88="A+B"))*(Plan!$K$5:$K$88&lt;BY$5)*(Plan!$L$5:$L$88&gt;=BY$5))=0,"",INDEX(Plan!$A$5:$A$88,SUMPRODUCT(((Plan!$I$5:$I$88="B")+(Plan!$I$5:$I$88="A+B"))*(Plan!$K$5:$K$88&lt;BY$5)*(Plan!$L$5:$L$88&gt;=BY$5)*(ROW(Plan!$A$5:$A$88)-4))))</f>
        <v/>
      </c>
      <c r="BZ7" s="26">
        <f>IF(SUMPRODUCT(((Plan!$I$5:$I$88="B")+(Plan!$I$5:$I$88="A+B"))*(Plan!$K$5:$K$88&lt;BZ$5)*(Plan!$L$5:$L$88&gt;=BZ$5))=0,"",INDEX(Plan!$A$5:$A$88,SUMPRODUCT(((Plan!$I$5:$I$88="B")+(Plan!$I$5:$I$88="A+B"))*(Plan!$K$5:$K$88&lt;BZ$5)*(Plan!$L$5:$L$88&gt;=BZ$5)*(ROW(Plan!$A$5:$A$88)-4))))</f>
        <v/>
      </c>
      <c r="CA7" s="26">
        <f>IF(SUMPRODUCT(((Plan!$I$5:$I$88="B")+(Plan!$I$5:$I$88="A+B"))*(Plan!$K$5:$K$88&lt;CA$5)*(Plan!$L$5:$L$88&gt;=CA$5))=0,"",INDEX(Plan!$A$5:$A$88,SUMPRODUCT(((Plan!$I$5:$I$88="B")+(Plan!$I$5:$I$88="A+B"))*(Plan!$K$5:$K$88&lt;CA$5)*(Plan!$L$5:$L$88&gt;=CA$5)*(ROW(Plan!$A$5:$A$88)-4))))</f>
        <v/>
      </c>
      <c r="CB7" s="26">
        <f>IF(SUMPRODUCT(((Plan!$I$5:$I$88="B")+(Plan!$I$5:$I$88="A+B"))*(Plan!$K$5:$K$88&lt;CB$5)*(Plan!$L$5:$L$88&gt;=CB$5))=0,"",INDEX(Plan!$A$5:$A$88,SUMPRODUCT(((Plan!$I$5:$I$88="B")+(Plan!$I$5:$I$88="A+B"))*(Plan!$K$5:$K$88&lt;CB$5)*(Plan!$L$5:$L$88&gt;=CB$5)*(ROW(Plan!$A$5:$A$88)-4))))</f>
        <v/>
      </c>
      <c r="CC7" s="26">
        <f>IF(SUMPRODUCT(((Plan!$I$5:$I$88="B")+(Plan!$I$5:$I$88="A+B"))*(Plan!$K$5:$K$88&lt;CC$5)*(Plan!$L$5:$L$88&gt;=CC$5))=0,"",INDEX(Plan!$A$5:$A$88,SUMPRODUCT(((Plan!$I$5:$I$88="B")+(Plan!$I$5:$I$88="A+B"))*(Plan!$K$5:$K$88&lt;CC$5)*(Plan!$L$5:$L$88&gt;=CC$5)*(ROW(Plan!$A$5:$A$88)-4))))</f>
        <v/>
      </c>
      <c r="CD7" s="26">
        <f>IF(SUMPRODUCT(((Plan!$I$5:$I$88="B")+(Plan!$I$5:$I$88="A+B"))*(Plan!$K$5:$K$88&lt;CD$5)*(Plan!$L$5:$L$88&gt;=CD$5))=0,"",INDEX(Plan!$A$5:$A$88,SUMPRODUCT(((Plan!$I$5:$I$88="B")+(Plan!$I$5:$I$88="A+B"))*(Plan!$K$5:$K$88&lt;CD$5)*(Plan!$L$5:$L$88&gt;=CD$5)*(ROW(Plan!$A$5:$A$88)-4))))</f>
        <v/>
      </c>
      <c r="CE7" s="26">
        <f>IF(SUMPRODUCT(((Plan!$I$5:$I$88="B")+(Plan!$I$5:$I$88="A+B"))*(Plan!$K$5:$K$88&lt;CE$5)*(Plan!$L$5:$L$88&gt;=CE$5))=0,"",INDEX(Plan!$A$5:$A$88,SUMPRODUCT(((Plan!$I$5:$I$88="B")+(Plan!$I$5:$I$88="A+B"))*(Plan!$K$5:$K$88&lt;CE$5)*(Plan!$L$5:$L$88&gt;=CE$5)*(ROW(Plan!$A$5:$A$88)-4))))</f>
        <v/>
      </c>
      <c r="CF7" s="26">
        <f>IF(SUMPRODUCT(((Plan!$I$5:$I$88="B")+(Plan!$I$5:$I$88="A+B"))*(Plan!$K$5:$K$88&lt;CF$5)*(Plan!$L$5:$L$88&gt;=CF$5))=0,"",INDEX(Plan!$A$5:$A$88,SUMPRODUCT(((Plan!$I$5:$I$88="B")+(Plan!$I$5:$I$88="A+B"))*(Plan!$K$5:$K$88&lt;CF$5)*(Plan!$L$5:$L$88&gt;=CF$5)*(ROW(Plan!$A$5:$A$88)-4))))</f>
        <v/>
      </c>
      <c r="CG7" s="26">
        <f>IF(SUMPRODUCT(((Plan!$I$5:$I$88="B")+(Plan!$I$5:$I$88="A+B"))*(Plan!$K$5:$K$88&lt;CG$5)*(Plan!$L$5:$L$88&gt;=CG$5))=0,"",INDEX(Plan!$A$5:$A$88,SUMPRODUCT(((Plan!$I$5:$I$88="B")+(Plan!$I$5:$I$88="A+B"))*(Plan!$K$5:$K$88&lt;CG$5)*(Plan!$L$5:$L$88&gt;=CG$5)*(ROW(Plan!$A$5:$A$88)-4))))</f>
        <v/>
      </c>
      <c r="CH7" s="26">
        <f>IF(SUMPRODUCT(((Plan!$I$5:$I$88="B")+(Plan!$I$5:$I$88="A+B"))*(Plan!$K$5:$K$88&lt;CH$5)*(Plan!$L$5:$L$88&gt;=CH$5))=0,"",INDEX(Plan!$A$5:$A$88,SUMPRODUCT(((Plan!$I$5:$I$88="B")+(Plan!$I$5:$I$88="A+B"))*(Plan!$K$5:$K$88&lt;CH$5)*(Plan!$L$5:$L$88&gt;=CH$5)*(ROW(Plan!$A$5:$A$88)-4))))</f>
        <v/>
      </c>
      <c r="CI7" s="26">
        <f>IF(SUMPRODUCT(((Plan!$I$5:$I$88="B")+(Plan!$I$5:$I$88="A+B"))*(Plan!$K$5:$K$88&lt;CI$5)*(Plan!$L$5:$L$88&gt;=CI$5))=0,"",INDEX(Plan!$A$5:$A$88,SUMPRODUCT(((Plan!$I$5:$I$88="B")+(Plan!$I$5:$I$88="A+B"))*(Plan!$K$5:$K$88&lt;CI$5)*(Plan!$L$5:$L$88&gt;=CI$5)*(ROW(Plan!$A$5:$A$88)-4))))</f>
        <v/>
      </c>
      <c r="CJ7" s="26">
        <f>IF(SUMPRODUCT(((Plan!$I$5:$I$88="B")+(Plan!$I$5:$I$88="A+B"))*(Plan!$K$5:$K$88&lt;CJ$5)*(Plan!$L$5:$L$88&gt;=CJ$5))=0,"",INDEX(Plan!$A$5:$A$88,SUMPRODUCT(((Plan!$I$5:$I$88="B")+(Plan!$I$5:$I$88="A+B"))*(Plan!$K$5:$K$88&lt;CJ$5)*(Plan!$L$5:$L$88&gt;=CJ$5)*(ROW(Plan!$A$5:$A$88)-4))))</f>
        <v/>
      </c>
      <c r="CK7" s="26">
        <f>IF(SUMPRODUCT(((Plan!$I$5:$I$88="B")+(Plan!$I$5:$I$88="A+B"))*(Plan!$K$5:$K$88&lt;CK$5)*(Plan!$L$5:$L$88&gt;=CK$5))=0,"",INDEX(Plan!$A$5:$A$88,SUMPRODUCT(((Plan!$I$5:$I$88="B")+(Plan!$I$5:$I$88="A+B"))*(Plan!$K$5:$K$88&lt;CK$5)*(Plan!$L$5:$L$88&gt;=CK$5)*(ROW(Plan!$A$5:$A$88)-4))))</f>
        <v/>
      </c>
      <c r="CL7" s="26">
        <f>IF(SUMPRODUCT(((Plan!$I$5:$I$88="B")+(Plan!$I$5:$I$88="A+B"))*(Plan!$K$5:$K$88&lt;CL$5)*(Plan!$L$5:$L$88&gt;=CL$5))=0,"",INDEX(Plan!$A$5:$A$88,SUMPRODUCT(((Plan!$I$5:$I$88="B")+(Plan!$I$5:$I$88="A+B"))*(Plan!$K$5:$K$88&lt;CL$5)*(Plan!$L$5:$L$88&gt;=CL$5)*(ROW(Plan!$A$5:$A$88)-4))))</f>
        <v/>
      </c>
      <c r="CM7" s="26">
        <f>IF(SUMPRODUCT(((Plan!$I$5:$I$88="B")+(Plan!$I$5:$I$88="A+B"))*(Plan!$K$5:$K$88&lt;CM$5)*(Plan!$L$5:$L$88&gt;=CM$5))=0,"",INDEX(Plan!$A$5:$A$88,SUMPRODUCT(((Plan!$I$5:$I$88="B")+(Plan!$I$5:$I$88="A+B"))*(Plan!$K$5:$K$88&lt;CM$5)*(Plan!$L$5:$L$88&gt;=CM$5)*(ROW(Plan!$A$5:$A$88)-4))))</f>
        <v/>
      </c>
      <c r="CN7" s="26">
        <f>IF(SUMPRODUCT(((Plan!$I$5:$I$88="B")+(Plan!$I$5:$I$88="A+B"))*(Plan!$K$5:$K$88&lt;CN$5)*(Plan!$L$5:$L$88&gt;=CN$5))=0,"",INDEX(Plan!$A$5:$A$88,SUMPRODUCT(((Plan!$I$5:$I$88="B")+(Plan!$I$5:$I$88="A+B"))*(Plan!$K$5:$K$88&lt;CN$5)*(Plan!$L$5:$L$88&gt;=CN$5)*(ROW(Plan!$A$5:$A$88)-4))))</f>
        <v/>
      </c>
      <c r="CO7" s="26">
        <f>IF(SUMPRODUCT(((Plan!$I$5:$I$88="B")+(Plan!$I$5:$I$88="A+B"))*(Plan!$K$5:$K$88&lt;CO$5)*(Plan!$L$5:$L$88&gt;=CO$5))=0,"",INDEX(Plan!$A$5:$A$88,SUMPRODUCT(((Plan!$I$5:$I$88="B")+(Plan!$I$5:$I$88="A+B"))*(Plan!$K$5:$K$88&lt;CO$5)*(Plan!$L$5:$L$88&gt;=CO$5)*(ROW(Plan!$A$5:$A$88)-4))))</f>
        <v/>
      </c>
      <c r="CP7" s="26">
        <f>IF(SUMPRODUCT(((Plan!$I$5:$I$88="B")+(Plan!$I$5:$I$88="A+B"))*(Plan!$K$5:$K$88&lt;CP$5)*(Plan!$L$5:$L$88&gt;=CP$5))=0,"",INDEX(Plan!$A$5:$A$88,SUMPRODUCT(((Plan!$I$5:$I$88="B")+(Plan!$I$5:$I$88="A+B"))*(Plan!$K$5:$K$88&lt;CP$5)*(Plan!$L$5:$L$88&gt;=CP$5)*(ROW(Plan!$A$5:$A$88)-4))))</f>
        <v/>
      </c>
      <c r="CQ7" s="26">
        <f>IF(SUMPRODUCT(((Plan!$I$5:$I$88="B")+(Plan!$I$5:$I$88="A+B"))*(Plan!$K$5:$K$88&lt;CQ$5)*(Plan!$L$5:$L$88&gt;=CQ$5))=0,"",INDEX(Plan!$A$5:$A$88,SUMPRODUCT(((Plan!$I$5:$I$88="B")+(Plan!$I$5:$I$88="A+B"))*(Plan!$K$5:$K$88&lt;CQ$5)*(Plan!$L$5:$L$88&gt;=CQ$5)*(ROW(Plan!$A$5:$A$88)-4))))</f>
        <v/>
      </c>
      <c r="CR7" s="26">
        <f>IF(SUMPRODUCT(((Plan!$I$5:$I$88="B")+(Plan!$I$5:$I$88="A+B"))*(Plan!$K$5:$K$88&lt;CR$5)*(Plan!$L$5:$L$88&gt;=CR$5))=0,"",INDEX(Plan!$A$5:$A$88,SUMPRODUCT(((Plan!$I$5:$I$88="B")+(Plan!$I$5:$I$88="A+B"))*(Plan!$K$5:$K$88&lt;CR$5)*(Plan!$L$5:$L$88&gt;=CR$5)*(ROW(Plan!$A$5:$A$88)-4))))</f>
        <v/>
      </c>
      <c r="CS7" s="26">
        <f>IF(SUMPRODUCT(((Plan!$I$5:$I$88="B")+(Plan!$I$5:$I$88="A+B"))*(Plan!$K$5:$K$88&lt;CS$5)*(Plan!$L$5:$L$88&gt;=CS$5))=0,"",INDEX(Plan!$A$5:$A$88,SUMPRODUCT(((Plan!$I$5:$I$88="B")+(Plan!$I$5:$I$88="A+B"))*(Plan!$K$5:$K$88&lt;CS$5)*(Plan!$L$5:$L$88&gt;=CS$5)*(ROW(Plan!$A$5:$A$88)-4))))</f>
        <v/>
      </c>
      <c r="CT7" s="26">
        <f>IF(SUMPRODUCT(((Plan!$I$5:$I$88="B")+(Plan!$I$5:$I$88="A+B"))*(Plan!$K$5:$K$88&lt;CT$5)*(Plan!$L$5:$L$88&gt;=CT$5))=0,"",INDEX(Plan!$A$5:$A$88,SUMPRODUCT(((Plan!$I$5:$I$88="B")+(Plan!$I$5:$I$88="A+B"))*(Plan!$K$5:$K$88&lt;CT$5)*(Plan!$L$5:$L$88&gt;=CT$5)*(ROW(Plan!$A$5:$A$88)-4))))</f>
        <v/>
      </c>
      <c r="CU7" s="26">
        <f>IF(SUMPRODUCT(((Plan!$I$5:$I$88="B")+(Plan!$I$5:$I$88="A+B"))*(Plan!$K$5:$K$88&lt;CU$5)*(Plan!$L$5:$L$88&gt;=CU$5))=0,"",INDEX(Plan!$A$5:$A$88,SUMPRODUCT(((Plan!$I$5:$I$88="B")+(Plan!$I$5:$I$88="A+B"))*(Plan!$K$5:$K$88&lt;CU$5)*(Plan!$L$5:$L$88&gt;=CU$5)*(ROW(Plan!$A$5:$A$88)-4))))</f>
        <v/>
      </c>
      <c r="CV7" s="26">
        <f>IF(SUMPRODUCT(((Plan!$I$5:$I$88="B")+(Plan!$I$5:$I$88="A+B"))*(Plan!$K$5:$K$88&lt;CV$5)*(Plan!$L$5:$L$88&gt;=CV$5))=0,"",INDEX(Plan!$A$5:$A$88,SUMPRODUCT(((Plan!$I$5:$I$88="B")+(Plan!$I$5:$I$88="A+B"))*(Plan!$K$5:$K$88&lt;CV$5)*(Plan!$L$5:$L$88&gt;=CV$5)*(ROW(Plan!$A$5:$A$88)-4))))</f>
        <v/>
      </c>
      <c r="CW7" s="26">
        <f>IF(SUMPRODUCT(((Plan!$I$5:$I$88="B")+(Plan!$I$5:$I$88="A+B"))*(Plan!$K$5:$K$88&lt;CW$5)*(Plan!$L$5:$L$88&gt;=CW$5))=0,"",INDEX(Plan!$A$5:$A$88,SUMPRODUCT(((Plan!$I$5:$I$88="B")+(Plan!$I$5:$I$88="A+B"))*(Plan!$K$5:$K$88&lt;CW$5)*(Plan!$L$5:$L$88&gt;=CW$5)*(ROW(Plan!$A$5:$A$88)-4))))</f>
        <v/>
      </c>
      <c r="CX7" s="26">
        <f>IF(SUMPRODUCT(((Plan!$I$5:$I$88="B")+(Plan!$I$5:$I$88="A+B"))*(Plan!$K$5:$K$88&lt;CX$5)*(Plan!$L$5:$L$88&gt;=CX$5))=0,"",INDEX(Plan!$A$5:$A$88,SUMPRODUCT(((Plan!$I$5:$I$88="B")+(Plan!$I$5:$I$88="A+B"))*(Plan!$K$5:$K$88&lt;CX$5)*(Plan!$L$5:$L$88&gt;=CX$5)*(ROW(Plan!$A$5:$A$88)-4))))</f>
        <v/>
      </c>
      <c r="CY7" s="26">
        <f>IF(SUMPRODUCT(((Plan!$I$5:$I$88="B")+(Plan!$I$5:$I$88="A+B"))*(Plan!$K$5:$K$88&lt;CY$5)*(Plan!$L$5:$L$88&gt;=CY$5))=0,"",INDEX(Plan!$A$5:$A$88,SUMPRODUCT(((Plan!$I$5:$I$88="B")+(Plan!$I$5:$I$88="A+B"))*(Plan!$K$5:$K$88&lt;CY$5)*(Plan!$L$5:$L$88&gt;=CY$5)*(ROW(Plan!$A$5:$A$88)-4))))</f>
        <v/>
      </c>
      <c r="CZ7" s="26">
        <f>IF(SUMPRODUCT(((Plan!$I$5:$I$88="B")+(Plan!$I$5:$I$88="A+B"))*(Plan!$K$5:$K$88&lt;CZ$5)*(Plan!$L$5:$L$88&gt;=CZ$5))=0,"",INDEX(Plan!$A$5:$A$88,SUMPRODUCT(((Plan!$I$5:$I$88="B")+(Plan!$I$5:$I$88="A+B"))*(Plan!$K$5:$K$88&lt;CZ$5)*(Plan!$L$5:$L$88&gt;=CZ$5)*(ROW(Plan!$A$5:$A$88)-4))))</f>
        <v/>
      </c>
      <c r="DA7" s="26">
        <f>IF(SUMPRODUCT(((Plan!$I$5:$I$88="B")+(Plan!$I$5:$I$88="A+B"))*(Plan!$K$5:$K$88&lt;DA$5)*(Plan!$L$5:$L$88&gt;=DA$5))=0,"",INDEX(Plan!$A$5:$A$88,SUMPRODUCT(((Plan!$I$5:$I$88="B")+(Plan!$I$5:$I$88="A+B"))*(Plan!$K$5:$K$88&lt;DA$5)*(Plan!$L$5:$L$88&gt;=DA$5)*(ROW(Plan!$A$5:$A$88)-4))))</f>
        <v/>
      </c>
      <c r="DB7" s="26">
        <f>IF(SUMPRODUCT(((Plan!$I$5:$I$88="B")+(Plan!$I$5:$I$88="A+B"))*(Plan!$K$5:$K$88&lt;DB$5)*(Plan!$L$5:$L$88&gt;=DB$5))=0,"",INDEX(Plan!$A$5:$A$88,SUMPRODUCT(((Plan!$I$5:$I$88="B")+(Plan!$I$5:$I$88="A+B"))*(Plan!$K$5:$K$88&lt;DB$5)*(Plan!$L$5:$L$88&gt;=DB$5)*(ROW(Plan!$A$5:$A$88)-4))))</f>
        <v/>
      </c>
      <c r="DC7" s="26">
        <f>IF(SUMPRODUCT(((Plan!$I$5:$I$88="B")+(Plan!$I$5:$I$88="A+B"))*(Plan!$K$5:$K$88&lt;DC$5)*(Plan!$L$5:$L$88&gt;=DC$5))=0,"",INDEX(Plan!$A$5:$A$88,SUMPRODUCT(((Plan!$I$5:$I$88="B")+(Plan!$I$5:$I$88="A+B"))*(Plan!$K$5:$K$88&lt;DC$5)*(Plan!$L$5:$L$88&gt;=DC$5)*(ROW(Plan!$A$5:$A$88)-4))))</f>
        <v/>
      </c>
    </row>
    <row r="8"/>
    <row r="9">
      <c r="A9" s="27" t="inlineStr">
        <is>
          <t>Fase 1. Diseño y arquitectura</t>
        </is>
      </c>
      <c r="B9" s="28" t="n"/>
      <c r="C9" s="28" t="n"/>
      <c r="D9" s="28" t="n"/>
      <c r="E9" s="29">
        <f>SUMPRODUCT(MIN((Plan!$B$5:$B$88="1. Diseño y arquitectura")*Plan!$K$5:$K$88+(Plan!$B$5:$B$88&lt;&gt;"1. Diseño y arquitectura")*1E9))</f>
        <v/>
      </c>
      <c r="F9" s="29">
        <f>SUMPRODUCT(MAX((Plan!$B$5:$B$88="1. Diseño y arquitectura")*Plan!$L$5:$L$88))</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c r="CT10" s="34">
        <f>IF(AND(CT$5&gt;$E10,CT$5&lt;=$F10),IF(CT$5=$E10+1,$C10,""),"")</f>
        <v/>
      </c>
      <c r="CU10" s="34">
        <f>IF(AND(CU$5&gt;$E10,CU$5&lt;=$F10),IF(CU$5=$E10+1,$C10,""),"")</f>
        <v/>
      </c>
      <c r="CV10" s="34">
        <f>IF(AND(CV$5&gt;$E10,CV$5&lt;=$F10),IF(CV$5=$E10+1,$C10,""),"")</f>
        <v/>
      </c>
      <c r="CW10" s="34">
        <f>IF(AND(CW$5&gt;$E10,CW$5&lt;=$F10),IF(CW$5=$E10+1,$C10,""),"")</f>
        <v/>
      </c>
      <c r="CX10" s="34">
        <f>IF(AND(CX$5&gt;$E10,CX$5&lt;=$F10),IF(CX$5=$E10+1,$C10,""),"")</f>
        <v/>
      </c>
      <c r="CY10" s="34">
        <f>IF(AND(CY$5&gt;$E10,CY$5&lt;=$F10),IF(CY$5=$E10+1,$C10,""),"")</f>
        <v/>
      </c>
      <c r="CZ10" s="34">
        <f>IF(AND(CZ$5&gt;$E10,CZ$5&lt;=$F10),IF(CZ$5=$E10+1,$C10,""),"")</f>
        <v/>
      </c>
      <c r="DA10" s="34">
        <f>IF(AND(DA$5&gt;$E10,DA$5&lt;=$F10),IF(DA$5=$E10+1,$C10,""),"")</f>
        <v/>
      </c>
      <c r="DB10" s="34">
        <f>IF(AND(DB$5&gt;$E10,DB$5&lt;=$F10),IF(DB$5=$E10+1,$C10,""),"")</f>
        <v/>
      </c>
      <c r="DC10" s="34">
        <f>IF(AND(DC$5&gt;$E10,DC$5&lt;=$F10),IF(DC$5=$E10+1,$C10,""),"")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c r="CT11" s="34">
        <f>IF(AND(CT$5&gt;$E11,CT$5&lt;=$F11),IF(CT$5=$E11+1,$C11,""),"")</f>
        <v/>
      </c>
      <c r="CU11" s="34">
        <f>IF(AND(CU$5&gt;$E11,CU$5&lt;=$F11),IF(CU$5=$E11+1,$C11,""),"")</f>
        <v/>
      </c>
      <c r="CV11" s="34">
        <f>IF(AND(CV$5&gt;$E11,CV$5&lt;=$F11),IF(CV$5=$E11+1,$C11,""),"")</f>
        <v/>
      </c>
      <c r="CW11" s="34">
        <f>IF(AND(CW$5&gt;$E11,CW$5&lt;=$F11),IF(CW$5=$E11+1,$C11,""),"")</f>
        <v/>
      </c>
      <c r="CX11" s="34">
        <f>IF(AND(CX$5&gt;$E11,CX$5&lt;=$F11),IF(CX$5=$E11+1,$C11,""),"")</f>
        <v/>
      </c>
      <c r="CY11" s="34">
        <f>IF(AND(CY$5&gt;$E11,CY$5&lt;=$F11),IF(CY$5=$E11+1,$C11,""),"")</f>
        <v/>
      </c>
      <c r="CZ11" s="34">
        <f>IF(AND(CZ$5&gt;$E11,CZ$5&lt;=$F11),IF(CZ$5=$E11+1,$C11,""),"")</f>
        <v/>
      </c>
      <c r="DA11" s="34">
        <f>IF(AND(DA$5&gt;$E11,DA$5&lt;=$F11),IF(DA$5=$E11+1,$C11,""),"")</f>
        <v/>
      </c>
      <c r="DB11" s="34">
        <f>IF(AND(DB$5&gt;$E11,DB$5&lt;=$F11),IF(DB$5=$E11+1,$C11,""),"")</f>
        <v/>
      </c>
      <c r="DC11" s="34">
        <f>IF(AND(DC$5&gt;$E11,DC$5&lt;=$F11),IF(DC$5=$E11+1,$C11,""),"")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c r="CT12" s="34">
        <f>IF(AND(CT$5&gt;$E12,CT$5&lt;=$F12),IF(CT$5=$E12+1,$C12,""),"")</f>
        <v/>
      </c>
      <c r="CU12" s="34">
        <f>IF(AND(CU$5&gt;$E12,CU$5&lt;=$F12),IF(CU$5=$E12+1,$C12,""),"")</f>
        <v/>
      </c>
      <c r="CV12" s="34">
        <f>IF(AND(CV$5&gt;$E12,CV$5&lt;=$F12),IF(CV$5=$E12+1,$C12,""),"")</f>
        <v/>
      </c>
      <c r="CW12" s="34">
        <f>IF(AND(CW$5&gt;$E12,CW$5&lt;=$F12),IF(CW$5=$E12+1,$C12,""),"")</f>
        <v/>
      </c>
      <c r="CX12" s="34">
        <f>IF(AND(CX$5&gt;$E12,CX$5&lt;=$F12),IF(CX$5=$E12+1,$C12,""),"")</f>
        <v/>
      </c>
      <c r="CY12" s="34">
        <f>IF(AND(CY$5&gt;$E12,CY$5&lt;=$F12),IF(CY$5=$E12+1,$C12,""),"")</f>
        <v/>
      </c>
      <c r="CZ12" s="34">
        <f>IF(AND(CZ$5&gt;$E12,CZ$5&lt;=$F12),IF(CZ$5=$E12+1,$C12,""),"")</f>
        <v/>
      </c>
      <c r="DA12" s="34">
        <f>IF(AND(DA$5&gt;$E12,DA$5&lt;=$F12),IF(DA$5=$E12+1,$C12,""),"")</f>
        <v/>
      </c>
      <c r="DB12" s="34">
        <f>IF(AND(DB$5&gt;$E12,DB$5&lt;=$F12),IF(DB$5=$E12+1,$C12,""),"")</f>
        <v/>
      </c>
      <c r="DC12" s="34">
        <f>IF(AND(DC$5&gt;$E12,DC$5&lt;=$F12),IF(DC$5=$E12+1,$C12,""),"")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c r="CT13" s="34">
        <f>IF(AND(CT$5&gt;$E13,CT$5&lt;=$F13),IF(CT$5=$E13+1,$C13,""),"")</f>
        <v/>
      </c>
      <c r="CU13" s="34">
        <f>IF(AND(CU$5&gt;$E13,CU$5&lt;=$F13),IF(CU$5=$E13+1,$C13,""),"")</f>
        <v/>
      </c>
      <c r="CV13" s="34">
        <f>IF(AND(CV$5&gt;$E13,CV$5&lt;=$F13),IF(CV$5=$E13+1,$C13,""),"")</f>
        <v/>
      </c>
      <c r="CW13" s="34">
        <f>IF(AND(CW$5&gt;$E13,CW$5&lt;=$F13),IF(CW$5=$E13+1,$C13,""),"")</f>
        <v/>
      </c>
      <c r="CX13" s="34">
        <f>IF(AND(CX$5&gt;$E13,CX$5&lt;=$F13),IF(CX$5=$E13+1,$C13,""),"")</f>
        <v/>
      </c>
      <c r="CY13" s="34">
        <f>IF(AND(CY$5&gt;$E13,CY$5&lt;=$F13),IF(CY$5=$E13+1,$C13,""),"")</f>
        <v/>
      </c>
      <c r="CZ13" s="34">
        <f>IF(AND(CZ$5&gt;$E13,CZ$5&lt;=$F13),IF(CZ$5=$E13+1,$C13,""),"")</f>
        <v/>
      </c>
      <c r="DA13" s="34">
        <f>IF(AND(DA$5&gt;$E13,DA$5&lt;=$F13),IF(DA$5=$E13+1,$C13,""),"")</f>
        <v/>
      </c>
      <c r="DB13" s="34">
        <f>IF(AND(DB$5&gt;$E13,DB$5&lt;=$F13),IF(DB$5=$E13+1,$C13,""),"")</f>
        <v/>
      </c>
      <c r="DC13" s="34">
        <f>IF(AND(DC$5&gt;$E13,DC$5&lt;=$F13),IF(DC$5=$E13+1,$C13,""),"")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c r="CT14" s="34">
        <f>IF(AND(CT$5&gt;$E14,CT$5&lt;=$F14),IF(CT$5=$E14+1,$C14,""),"")</f>
        <v/>
      </c>
      <c r="CU14" s="34">
        <f>IF(AND(CU$5&gt;$E14,CU$5&lt;=$F14),IF(CU$5=$E14+1,$C14,""),"")</f>
        <v/>
      </c>
      <c r="CV14" s="34">
        <f>IF(AND(CV$5&gt;$E14,CV$5&lt;=$F14),IF(CV$5=$E14+1,$C14,""),"")</f>
        <v/>
      </c>
      <c r="CW14" s="34">
        <f>IF(AND(CW$5&gt;$E14,CW$5&lt;=$F14),IF(CW$5=$E14+1,$C14,""),"")</f>
        <v/>
      </c>
      <c r="CX14" s="34">
        <f>IF(AND(CX$5&gt;$E14,CX$5&lt;=$F14),IF(CX$5=$E14+1,$C14,""),"")</f>
        <v/>
      </c>
      <c r="CY14" s="34">
        <f>IF(AND(CY$5&gt;$E14,CY$5&lt;=$F14),IF(CY$5=$E14+1,$C14,""),"")</f>
        <v/>
      </c>
      <c r="CZ14" s="34">
        <f>IF(AND(CZ$5&gt;$E14,CZ$5&lt;=$F14),IF(CZ$5=$E14+1,$C14,""),"")</f>
        <v/>
      </c>
      <c r="DA14" s="34">
        <f>IF(AND(DA$5&gt;$E14,DA$5&lt;=$F14),IF(DA$5=$E14+1,$C14,""),"")</f>
        <v/>
      </c>
      <c r="DB14" s="34">
        <f>IF(AND(DB$5&gt;$E14,DB$5&lt;=$F14),IF(DB$5=$E14+1,$C14,""),"")</f>
        <v/>
      </c>
      <c r="DC14" s="34">
        <f>IF(AND(DC$5&gt;$E14,DC$5&lt;=$F14),IF(DC$5=$E14+1,$C14,""),"")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c r="CT15" s="34">
        <f>IF(AND(CT$5&gt;$E15,CT$5&lt;=$F15),IF(CT$5=$E15+1,$C15,""),"")</f>
        <v/>
      </c>
      <c r="CU15" s="34">
        <f>IF(AND(CU$5&gt;$E15,CU$5&lt;=$F15),IF(CU$5=$E15+1,$C15,""),"")</f>
        <v/>
      </c>
      <c r="CV15" s="34">
        <f>IF(AND(CV$5&gt;$E15,CV$5&lt;=$F15),IF(CV$5=$E15+1,$C15,""),"")</f>
        <v/>
      </c>
      <c r="CW15" s="34">
        <f>IF(AND(CW$5&gt;$E15,CW$5&lt;=$F15),IF(CW$5=$E15+1,$C15,""),"")</f>
        <v/>
      </c>
      <c r="CX15" s="34">
        <f>IF(AND(CX$5&gt;$E15,CX$5&lt;=$F15),IF(CX$5=$E15+1,$C15,""),"")</f>
        <v/>
      </c>
      <c r="CY15" s="34">
        <f>IF(AND(CY$5&gt;$E15,CY$5&lt;=$F15),IF(CY$5=$E15+1,$C15,""),"")</f>
        <v/>
      </c>
      <c r="CZ15" s="34">
        <f>IF(AND(CZ$5&gt;$E15,CZ$5&lt;=$F15),IF(CZ$5=$E15+1,$C15,""),"")</f>
        <v/>
      </c>
      <c r="DA15" s="34">
        <f>IF(AND(DA$5&gt;$E15,DA$5&lt;=$F15),IF(DA$5=$E15+1,$C15,""),"")</f>
        <v/>
      </c>
      <c r="DB15" s="34">
        <f>IF(AND(DB$5&gt;$E15,DB$5&lt;=$F15),IF(DB$5=$E15+1,$C15,""),"")</f>
        <v/>
      </c>
      <c r="DC15" s="34">
        <f>IF(AND(DC$5&gt;$E15,DC$5&lt;=$F15),IF(DC$5=$E15+1,$C15,""),"")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c r="CT16" s="34">
        <f>IF(AND(CT$5&gt;$E16,CT$5&lt;=$F16),IF(CT$5=$E16+1,$C16,""),"")</f>
        <v/>
      </c>
      <c r="CU16" s="34">
        <f>IF(AND(CU$5&gt;$E16,CU$5&lt;=$F16),IF(CU$5=$E16+1,$C16,""),"")</f>
        <v/>
      </c>
      <c r="CV16" s="34">
        <f>IF(AND(CV$5&gt;$E16,CV$5&lt;=$F16),IF(CV$5=$E16+1,$C16,""),"")</f>
        <v/>
      </c>
      <c r="CW16" s="34">
        <f>IF(AND(CW$5&gt;$E16,CW$5&lt;=$F16),IF(CW$5=$E16+1,$C16,""),"")</f>
        <v/>
      </c>
      <c r="CX16" s="34">
        <f>IF(AND(CX$5&gt;$E16,CX$5&lt;=$F16),IF(CX$5=$E16+1,$C16,""),"")</f>
        <v/>
      </c>
      <c r="CY16" s="34">
        <f>IF(AND(CY$5&gt;$E16,CY$5&lt;=$F16),IF(CY$5=$E16+1,$C16,""),"")</f>
        <v/>
      </c>
      <c r="CZ16" s="34">
        <f>IF(AND(CZ$5&gt;$E16,CZ$5&lt;=$F16),IF(CZ$5=$E16+1,$C16,""),"")</f>
        <v/>
      </c>
      <c r="DA16" s="34">
        <f>IF(AND(DA$5&gt;$E16,DA$5&lt;=$F16),IF(DA$5=$E16+1,$C16,""),"")</f>
        <v/>
      </c>
      <c r="DB16" s="34">
        <f>IF(AND(DB$5&gt;$E16,DB$5&lt;=$F16),IF(DB$5=$E16+1,$C16,""),"")</f>
        <v/>
      </c>
      <c r="DC16" s="34">
        <f>IF(AND(DC$5&gt;$E16,DC$5&lt;=$F16),IF(DC$5=$E16+1,$C16,""),"")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c r="CT17" s="34">
        <f>IF(AND(CT$5&gt;$E17,CT$5&lt;=$F17),IF(CT$5=$E17+1,$C17,""),"")</f>
        <v/>
      </c>
      <c r="CU17" s="34">
        <f>IF(AND(CU$5&gt;$E17,CU$5&lt;=$F17),IF(CU$5=$E17+1,$C17,""),"")</f>
        <v/>
      </c>
      <c r="CV17" s="34">
        <f>IF(AND(CV$5&gt;$E17,CV$5&lt;=$F17),IF(CV$5=$E17+1,$C17,""),"")</f>
        <v/>
      </c>
      <c r="CW17" s="34">
        <f>IF(AND(CW$5&gt;$E17,CW$5&lt;=$F17),IF(CW$5=$E17+1,$C17,""),"")</f>
        <v/>
      </c>
      <c r="CX17" s="34">
        <f>IF(AND(CX$5&gt;$E17,CX$5&lt;=$F17),IF(CX$5=$E17+1,$C17,""),"")</f>
        <v/>
      </c>
      <c r="CY17" s="34">
        <f>IF(AND(CY$5&gt;$E17,CY$5&lt;=$F17),IF(CY$5=$E17+1,$C17,""),"")</f>
        <v/>
      </c>
      <c r="CZ17" s="34">
        <f>IF(AND(CZ$5&gt;$E17,CZ$5&lt;=$F17),IF(CZ$5=$E17+1,$C17,""),"")</f>
        <v/>
      </c>
      <c r="DA17" s="34">
        <f>IF(AND(DA$5&gt;$E17,DA$5&lt;=$F17),IF(DA$5=$E17+1,$C17,""),"")</f>
        <v/>
      </c>
      <c r="DB17" s="34">
        <f>IF(AND(DB$5&gt;$E17,DB$5&lt;=$F17),IF(DB$5=$E17+1,$C17,""),"")</f>
        <v/>
      </c>
      <c r="DC17" s="34">
        <f>IF(AND(DC$5&gt;$E17,DC$5&lt;=$F17),IF(DC$5=$E17+1,$C17,""),"")</f>
        <v/>
      </c>
    </row>
    <row r="18">
      <c r="A18" s="27" t="inlineStr">
        <is>
          <t>Fase 2. Landing y autenticación</t>
        </is>
      </c>
      <c r="B18" s="28" t="n"/>
      <c r="C18" s="28" t="n"/>
      <c r="D18" s="28" t="n"/>
      <c r="E18" s="29">
        <f>SUMPRODUCT(MIN((Plan!$B$5:$B$88="2. Landing y autenticación")*Plan!$K$5:$K$88+(Plan!$B$5:$B$88&lt;&gt;"2. Landing y autenticación")*1E9))</f>
        <v/>
      </c>
      <c r="F18" s="29">
        <f>SUMPRODUCT(MAX((Plan!$B$5:$B$88="2. Landing y autenticación")*Plan!$L$5:$L$88))</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c r="CT19" s="34">
        <f>IF(AND(CT$5&gt;$E19,CT$5&lt;=$F19),IF(CT$5=$E19+1,$C19,""),"")</f>
        <v/>
      </c>
      <c r="CU19" s="34">
        <f>IF(AND(CU$5&gt;$E19,CU$5&lt;=$F19),IF(CU$5=$E19+1,$C19,""),"")</f>
        <v/>
      </c>
      <c r="CV19" s="34">
        <f>IF(AND(CV$5&gt;$E19,CV$5&lt;=$F19),IF(CV$5=$E19+1,$C19,""),"")</f>
        <v/>
      </c>
      <c r="CW19" s="34">
        <f>IF(AND(CW$5&gt;$E19,CW$5&lt;=$F19),IF(CW$5=$E19+1,$C19,""),"")</f>
        <v/>
      </c>
      <c r="CX19" s="34">
        <f>IF(AND(CX$5&gt;$E19,CX$5&lt;=$F19),IF(CX$5=$E19+1,$C19,""),"")</f>
        <v/>
      </c>
      <c r="CY19" s="34">
        <f>IF(AND(CY$5&gt;$E19,CY$5&lt;=$F19),IF(CY$5=$E19+1,$C19,""),"")</f>
        <v/>
      </c>
      <c r="CZ19" s="34">
        <f>IF(AND(CZ$5&gt;$E19,CZ$5&lt;=$F19),IF(CZ$5=$E19+1,$C19,""),"")</f>
        <v/>
      </c>
      <c r="DA19" s="34">
        <f>IF(AND(DA$5&gt;$E19,DA$5&lt;=$F19),IF(DA$5=$E19+1,$C19,""),"")</f>
        <v/>
      </c>
      <c r="DB19" s="34">
        <f>IF(AND(DB$5&gt;$E19,DB$5&lt;=$F19),IF(DB$5=$E19+1,$C19,""),"")</f>
        <v/>
      </c>
      <c r="DC19" s="34">
        <f>IF(AND(DC$5&gt;$E19,DC$5&lt;=$F19),IF(DC$5=$E19+1,$C19,""),"")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c r="CT20" s="34">
        <f>IF(AND(CT$5&gt;$E20,CT$5&lt;=$F20),IF(CT$5=$E20+1,$C20,""),"")</f>
        <v/>
      </c>
      <c r="CU20" s="34">
        <f>IF(AND(CU$5&gt;$E20,CU$5&lt;=$F20),IF(CU$5=$E20+1,$C20,""),"")</f>
        <v/>
      </c>
      <c r="CV20" s="34">
        <f>IF(AND(CV$5&gt;$E20,CV$5&lt;=$F20),IF(CV$5=$E20+1,$C20,""),"")</f>
        <v/>
      </c>
      <c r="CW20" s="34">
        <f>IF(AND(CW$5&gt;$E20,CW$5&lt;=$F20),IF(CW$5=$E20+1,$C20,""),"")</f>
        <v/>
      </c>
      <c r="CX20" s="34">
        <f>IF(AND(CX$5&gt;$E20,CX$5&lt;=$F20),IF(CX$5=$E20+1,$C20,""),"")</f>
        <v/>
      </c>
      <c r="CY20" s="34">
        <f>IF(AND(CY$5&gt;$E20,CY$5&lt;=$F20),IF(CY$5=$E20+1,$C20,""),"")</f>
        <v/>
      </c>
      <c r="CZ20" s="34">
        <f>IF(AND(CZ$5&gt;$E20,CZ$5&lt;=$F20),IF(CZ$5=$E20+1,$C20,""),"")</f>
        <v/>
      </c>
      <c r="DA20" s="34">
        <f>IF(AND(DA$5&gt;$E20,DA$5&lt;=$F20),IF(DA$5=$E20+1,$C20,""),"")</f>
        <v/>
      </c>
      <c r="DB20" s="34">
        <f>IF(AND(DB$5&gt;$E20,DB$5&lt;=$F20),IF(DB$5=$E20+1,$C20,""),"")</f>
        <v/>
      </c>
      <c r="DC20" s="34">
        <f>IF(AND(DC$5&gt;$E20,DC$5&lt;=$F20),IF(DC$5=$E20+1,$C20,""),"")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c r="CT21" s="34">
        <f>IF(AND(CT$5&gt;$E21,CT$5&lt;=$F21),IF(CT$5=$E21+1,$C21,""),"")</f>
        <v/>
      </c>
      <c r="CU21" s="34">
        <f>IF(AND(CU$5&gt;$E21,CU$5&lt;=$F21),IF(CU$5=$E21+1,$C21,""),"")</f>
        <v/>
      </c>
      <c r="CV21" s="34">
        <f>IF(AND(CV$5&gt;$E21,CV$5&lt;=$F21),IF(CV$5=$E21+1,$C21,""),"")</f>
        <v/>
      </c>
      <c r="CW21" s="34">
        <f>IF(AND(CW$5&gt;$E21,CW$5&lt;=$F21),IF(CW$5=$E21+1,$C21,""),"")</f>
        <v/>
      </c>
      <c r="CX21" s="34">
        <f>IF(AND(CX$5&gt;$E21,CX$5&lt;=$F21),IF(CX$5=$E21+1,$C21,""),"")</f>
        <v/>
      </c>
      <c r="CY21" s="34">
        <f>IF(AND(CY$5&gt;$E21,CY$5&lt;=$F21),IF(CY$5=$E21+1,$C21,""),"")</f>
        <v/>
      </c>
      <c r="CZ21" s="34">
        <f>IF(AND(CZ$5&gt;$E21,CZ$5&lt;=$F21),IF(CZ$5=$E21+1,$C21,""),"")</f>
        <v/>
      </c>
      <c r="DA21" s="34">
        <f>IF(AND(DA$5&gt;$E21,DA$5&lt;=$F21),IF(DA$5=$E21+1,$C21,""),"")</f>
        <v/>
      </c>
      <c r="DB21" s="34">
        <f>IF(AND(DB$5&gt;$E21,DB$5&lt;=$F21),IF(DB$5=$E21+1,$C21,""),"")</f>
        <v/>
      </c>
      <c r="DC21" s="34">
        <f>IF(AND(DC$5&gt;$E21,DC$5&lt;=$F21),IF(DC$5=$E21+1,$C21,""),"")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c r="CT22" s="34">
        <f>IF(AND(CT$5&gt;$E22,CT$5&lt;=$F22),IF(CT$5=$E22+1,$C22,""),"")</f>
        <v/>
      </c>
      <c r="CU22" s="34">
        <f>IF(AND(CU$5&gt;$E22,CU$5&lt;=$F22),IF(CU$5=$E22+1,$C22,""),"")</f>
        <v/>
      </c>
      <c r="CV22" s="34">
        <f>IF(AND(CV$5&gt;$E22,CV$5&lt;=$F22),IF(CV$5=$E22+1,$C22,""),"")</f>
        <v/>
      </c>
      <c r="CW22" s="34">
        <f>IF(AND(CW$5&gt;$E22,CW$5&lt;=$F22),IF(CW$5=$E22+1,$C22,""),"")</f>
        <v/>
      </c>
      <c r="CX22" s="34">
        <f>IF(AND(CX$5&gt;$E22,CX$5&lt;=$F22),IF(CX$5=$E22+1,$C22,""),"")</f>
        <v/>
      </c>
      <c r="CY22" s="34">
        <f>IF(AND(CY$5&gt;$E22,CY$5&lt;=$F22),IF(CY$5=$E22+1,$C22,""),"")</f>
        <v/>
      </c>
      <c r="CZ22" s="34">
        <f>IF(AND(CZ$5&gt;$E22,CZ$5&lt;=$F22),IF(CZ$5=$E22+1,$C22,""),"")</f>
        <v/>
      </c>
      <c r="DA22" s="34">
        <f>IF(AND(DA$5&gt;$E22,DA$5&lt;=$F22),IF(DA$5=$E22+1,$C22,""),"")</f>
        <v/>
      </c>
      <c r="DB22" s="34">
        <f>IF(AND(DB$5&gt;$E22,DB$5&lt;=$F22),IF(DB$5=$E22+1,$C22,""),"")</f>
        <v/>
      </c>
      <c r="DC22" s="34">
        <f>IF(AND(DC$5&gt;$E22,DC$5&lt;=$F22),IF(DC$5=$E22+1,$C22,""),"")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c r="CT23" s="34">
        <f>IF(AND(CT$5&gt;$E23,CT$5&lt;=$F23),IF(CT$5=$E23+1,$C23,""),"")</f>
        <v/>
      </c>
      <c r="CU23" s="34">
        <f>IF(AND(CU$5&gt;$E23,CU$5&lt;=$F23),IF(CU$5=$E23+1,$C23,""),"")</f>
        <v/>
      </c>
      <c r="CV23" s="34">
        <f>IF(AND(CV$5&gt;$E23,CV$5&lt;=$F23),IF(CV$5=$E23+1,$C23,""),"")</f>
        <v/>
      </c>
      <c r="CW23" s="34">
        <f>IF(AND(CW$5&gt;$E23,CW$5&lt;=$F23),IF(CW$5=$E23+1,$C23,""),"")</f>
        <v/>
      </c>
      <c r="CX23" s="34">
        <f>IF(AND(CX$5&gt;$E23,CX$5&lt;=$F23),IF(CX$5=$E23+1,$C23,""),"")</f>
        <v/>
      </c>
      <c r="CY23" s="34">
        <f>IF(AND(CY$5&gt;$E23,CY$5&lt;=$F23),IF(CY$5=$E23+1,$C23,""),"")</f>
        <v/>
      </c>
      <c r="CZ23" s="34">
        <f>IF(AND(CZ$5&gt;$E23,CZ$5&lt;=$F23),IF(CZ$5=$E23+1,$C23,""),"")</f>
        <v/>
      </c>
      <c r="DA23" s="34">
        <f>IF(AND(DA$5&gt;$E23,DA$5&lt;=$F23),IF(DA$5=$E23+1,$C23,""),"")</f>
        <v/>
      </c>
      <c r="DB23" s="34">
        <f>IF(AND(DB$5&gt;$E23,DB$5&lt;=$F23),IF(DB$5=$E23+1,$C23,""),"")</f>
        <v/>
      </c>
      <c r="DC23" s="34">
        <f>IF(AND(DC$5&gt;$E23,DC$5&lt;=$F23),IF(DC$5=$E23+1,$C23,""),"")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c r="CT24" s="34">
        <f>IF(AND(CT$5&gt;$E24,CT$5&lt;=$F24),IF(CT$5=$E24+1,$C24,""),"")</f>
        <v/>
      </c>
      <c r="CU24" s="34">
        <f>IF(AND(CU$5&gt;$E24,CU$5&lt;=$F24),IF(CU$5=$E24+1,$C24,""),"")</f>
        <v/>
      </c>
      <c r="CV24" s="34">
        <f>IF(AND(CV$5&gt;$E24,CV$5&lt;=$F24),IF(CV$5=$E24+1,$C24,""),"")</f>
        <v/>
      </c>
      <c r="CW24" s="34">
        <f>IF(AND(CW$5&gt;$E24,CW$5&lt;=$F24),IF(CW$5=$E24+1,$C24,""),"")</f>
        <v/>
      </c>
      <c r="CX24" s="34">
        <f>IF(AND(CX$5&gt;$E24,CX$5&lt;=$F24),IF(CX$5=$E24+1,$C24,""),"")</f>
        <v/>
      </c>
      <c r="CY24" s="34">
        <f>IF(AND(CY$5&gt;$E24,CY$5&lt;=$F24),IF(CY$5=$E24+1,$C24,""),"")</f>
        <v/>
      </c>
      <c r="CZ24" s="34">
        <f>IF(AND(CZ$5&gt;$E24,CZ$5&lt;=$F24),IF(CZ$5=$E24+1,$C24,""),"")</f>
        <v/>
      </c>
      <c r="DA24" s="34">
        <f>IF(AND(DA$5&gt;$E24,DA$5&lt;=$F24),IF(DA$5=$E24+1,$C24,""),"")</f>
        <v/>
      </c>
      <c r="DB24" s="34">
        <f>IF(AND(DB$5&gt;$E24,DB$5&lt;=$F24),IF(DB$5=$E24+1,$C24,""),"")</f>
        <v/>
      </c>
      <c r="DC24" s="34">
        <f>IF(AND(DC$5&gt;$E24,DC$5&lt;=$F24),IF(DC$5=$E24+1,$C24,""),"")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c r="CT25" s="34">
        <f>IF(AND(CT$5&gt;$E25,CT$5&lt;=$F25),IF(CT$5=$E25+1,$C25,""),"")</f>
        <v/>
      </c>
      <c r="CU25" s="34">
        <f>IF(AND(CU$5&gt;$E25,CU$5&lt;=$F25),IF(CU$5=$E25+1,$C25,""),"")</f>
        <v/>
      </c>
      <c r="CV25" s="34">
        <f>IF(AND(CV$5&gt;$E25,CV$5&lt;=$F25),IF(CV$5=$E25+1,$C25,""),"")</f>
        <v/>
      </c>
      <c r="CW25" s="34">
        <f>IF(AND(CW$5&gt;$E25,CW$5&lt;=$F25),IF(CW$5=$E25+1,$C25,""),"")</f>
        <v/>
      </c>
      <c r="CX25" s="34">
        <f>IF(AND(CX$5&gt;$E25,CX$5&lt;=$F25),IF(CX$5=$E25+1,$C25,""),"")</f>
        <v/>
      </c>
      <c r="CY25" s="34">
        <f>IF(AND(CY$5&gt;$E25,CY$5&lt;=$F25),IF(CY$5=$E25+1,$C25,""),"")</f>
        <v/>
      </c>
      <c r="CZ25" s="34">
        <f>IF(AND(CZ$5&gt;$E25,CZ$5&lt;=$F25),IF(CZ$5=$E25+1,$C25,""),"")</f>
        <v/>
      </c>
      <c r="DA25" s="34">
        <f>IF(AND(DA$5&gt;$E25,DA$5&lt;=$F25),IF(DA$5=$E25+1,$C25,""),"")</f>
        <v/>
      </c>
      <c r="DB25" s="34">
        <f>IF(AND(DB$5&gt;$E25,DB$5&lt;=$F25),IF(DB$5=$E25+1,$C25,""),"")</f>
        <v/>
      </c>
      <c r="DC25" s="34">
        <f>IF(AND(DC$5&gt;$E25,DC$5&lt;=$F25),IF(DC$5=$E25+1,$C25,""),"")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c r="CT26" s="34">
        <f>IF(AND(CT$5&gt;$E26,CT$5&lt;=$F26),IF(CT$5=$E26+1,$C26,""),"")</f>
        <v/>
      </c>
      <c r="CU26" s="34">
        <f>IF(AND(CU$5&gt;$E26,CU$5&lt;=$F26),IF(CU$5=$E26+1,$C26,""),"")</f>
        <v/>
      </c>
      <c r="CV26" s="34">
        <f>IF(AND(CV$5&gt;$E26,CV$5&lt;=$F26),IF(CV$5=$E26+1,$C26,""),"")</f>
        <v/>
      </c>
      <c r="CW26" s="34">
        <f>IF(AND(CW$5&gt;$E26,CW$5&lt;=$F26),IF(CW$5=$E26+1,$C26,""),"")</f>
        <v/>
      </c>
      <c r="CX26" s="34">
        <f>IF(AND(CX$5&gt;$E26,CX$5&lt;=$F26),IF(CX$5=$E26+1,$C26,""),"")</f>
        <v/>
      </c>
      <c r="CY26" s="34">
        <f>IF(AND(CY$5&gt;$E26,CY$5&lt;=$F26),IF(CY$5=$E26+1,$C26,""),"")</f>
        <v/>
      </c>
      <c r="CZ26" s="34">
        <f>IF(AND(CZ$5&gt;$E26,CZ$5&lt;=$F26),IF(CZ$5=$E26+1,$C26,""),"")</f>
        <v/>
      </c>
      <c r="DA26" s="34">
        <f>IF(AND(DA$5&gt;$E26,DA$5&lt;=$F26),IF(DA$5=$E26+1,$C26,""),"")</f>
        <v/>
      </c>
      <c r="DB26" s="34">
        <f>IF(AND(DB$5&gt;$E26,DB$5&lt;=$F26),IF(DB$5=$E26+1,$C26,""),"")</f>
        <v/>
      </c>
      <c r="DC26" s="34">
        <f>IF(AND(DC$5&gt;$E26,DC$5&lt;=$F26),IF(DC$5=$E26+1,$C26,""),"")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c r="CT27" s="34">
        <f>IF(AND(CT$5&gt;$E27,CT$5&lt;=$F27),IF(CT$5=$E27+1,$C27,""),"")</f>
        <v/>
      </c>
      <c r="CU27" s="34">
        <f>IF(AND(CU$5&gt;$E27,CU$5&lt;=$F27),IF(CU$5=$E27+1,$C27,""),"")</f>
        <v/>
      </c>
      <c r="CV27" s="34">
        <f>IF(AND(CV$5&gt;$E27,CV$5&lt;=$F27),IF(CV$5=$E27+1,$C27,""),"")</f>
        <v/>
      </c>
      <c r="CW27" s="34">
        <f>IF(AND(CW$5&gt;$E27,CW$5&lt;=$F27),IF(CW$5=$E27+1,$C27,""),"")</f>
        <v/>
      </c>
      <c r="CX27" s="34">
        <f>IF(AND(CX$5&gt;$E27,CX$5&lt;=$F27),IF(CX$5=$E27+1,$C27,""),"")</f>
        <v/>
      </c>
      <c r="CY27" s="34">
        <f>IF(AND(CY$5&gt;$E27,CY$5&lt;=$F27),IF(CY$5=$E27+1,$C27,""),"")</f>
        <v/>
      </c>
      <c r="CZ27" s="34">
        <f>IF(AND(CZ$5&gt;$E27,CZ$5&lt;=$F27),IF(CZ$5=$E27+1,$C27,""),"")</f>
        <v/>
      </c>
      <c r="DA27" s="34">
        <f>IF(AND(DA$5&gt;$E27,DA$5&lt;=$F27),IF(DA$5=$E27+1,$C27,""),"")</f>
        <v/>
      </c>
      <c r="DB27" s="34">
        <f>IF(AND(DB$5&gt;$E27,DB$5&lt;=$F27),IF(DB$5=$E27+1,$C27,""),"")</f>
        <v/>
      </c>
      <c r="DC27" s="34">
        <f>IF(AND(DC$5&gt;$E27,DC$5&lt;=$F27),IF(DC$5=$E27+1,$C27,""),"")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c r="CT28" s="34">
        <f>IF(AND(CT$5&gt;$E28,CT$5&lt;=$F28),IF(CT$5=$E28+1,$C28,""),"")</f>
        <v/>
      </c>
      <c r="CU28" s="34">
        <f>IF(AND(CU$5&gt;$E28,CU$5&lt;=$F28),IF(CU$5=$E28+1,$C28,""),"")</f>
        <v/>
      </c>
      <c r="CV28" s="34">
        <f>IF(AND(CV$5&gt;$E28,CV$5&lt;=$F28),IF(CV$5=$E28+1,$C28,""),"")</f>
        <v/>
      </c>
      <c r="CW28" s="34">
        <f>IF(AND(CW$5&gt;$E28,CW$5&lt;=$F28),IF(CW$5=$E28+1,$C28,""),"")</f>
        <v/>
      </c>
      <c r="CX28" s="34">
        <f>IF(AND(CX$5&gt;$E28,CX$5&lt;=$F28),IF(CX$5=$E28+1,$C28,""),"")</f>
        <v/>
      </c>
      <c r="CY28" s="34">
        <f>IF(AND(CY$5&gt;$E28,CY$5&lt;=$F28),IF(CY$5=$E28+1,$C28,""),"")</f>
        <v/>
      </c>
      <c r="CZ28" s="34">
        <f>IF(AND(CZ$5&gt;$E28,CZ$5&lt;=$F28),IF(CZ$5=$E28+1,$C28,""),"")</f>
        <v/>
      </c>
      <c r="DA28" s="34">
        <f>IF(AND(DA$5&gt;$E28,DA$5&lt;=$F28),IF(DA$5=$E28+1,$C28,""),"")</f>
        <v/>
      </c>
      <c r="DB28" s="34">
        <f>IF(AND(DB$5&gt;$E28,DB$5&lt;=$F28),IF(DB$5=$E28+1,$C28,""),"")</f>
        <v/>
      </c>
      <c r="DC28" s="34">
        <f>IF(AND(DC$5&gt;$E28,DC$5&lt;=$F28),IF(DC$5=$E28+1,$C28,""),"")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c r="CT29" s="34">
        <f>IF(AND(CT$5&gt;$E29,CT$5&lt;=$F29),IF(CT$5=$E29+1,$C29,""),"")</f>
        <v/>
      </c>
      <c r="CU29" s="34">
        <f>IF(AND(CU$5&gt;$E29,CU$5&lt;=$F29),IF(CU$5=$E29+1,$C29,""),"")</f>
        <v/>
      </c>
      <c r="CV29" s="34">
        <f>IF(AND(CV$5&gt;$E29,CV$5&lt;=$F29),IF(CV$5=$E29+1,$C29,""),"")</f>
        <v/>
      </c>
      <c r="CW29" s="34">
        <f>IF(AND(CW$5&gt;$E29,CW$5&lt;=$F29),IF(CW$5=$E29+1,$C29,""),"")</f>
        <v/>
      </c>
      <c r="CX29" s="34">
        <f>IF(AND(CX$5&gt;$E29,CX$5&lt;=$F29),IF(CX$5=$E29+1,$C29,""),"")</f>
        <v/>
      </c>
      <c r="CY29" s="34">
        <f>IF(AND(CY$5&gt;$E29,CY$5&lt;=$F29),IF(CY$5=$E29+1,$C29,""),"")</f>
        <v/>
      </c>
      <c r="CZ29" s="34">
        <f>IF(AND(CZ$5&gt;$E29,CZ$5&lt;=$F29),IF(CZ$5=$E29+1,$C29,""),"")</f>
        <v/>
      </c>
      <c r="DA29" s="34">
        <f>IF(AND(DA$5&gt;$E29,DA$5&lt;=$F29),IF(DA$5=$E29+1,$C29,""),"")</f>
        <v/>
      </c>
      <c r="DB29" s="34">
        <f>IF(AND(DB$5&gt;$E29,DB$5&lt;=$F29),IF(DB$5=$E29+1,$C29,""),"")</f>
        <v/>
      </c>
      <c r="DC29" s="34">
        <f>IF(AND(DC$5&gt;$E29,DC$5&lt;=$F29),IF(DC$5=$E29+1,$C29,""),"")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c r="CT30" s="34">
        <f>IF(AND(CT$5&gt;$E30,CT$5&lt;=$F30),IF(CT$5=$E30+1,$C30,""),"")</f>
        <v/>
      </c>
      <c r="CU30" s="34">
        <f>IF(AND(CU$5&gt;$E30,CU$5&lt;=$F30),IF(CU$5=$E30+1,$C30,""),"")</f>
        <v/>
      </c>
      <c r="CV30" s="34">
        <f>IF(AND(CV$5&gt;$E30,CV$5&lt;=$F30),IF(CV$5=$E30+1,$C30,""),"")</f>
        <v/>
      </c>
      <c r="CW30" s="34">
        <f>IF(AND(CW$5&gt;$E30,CW$5&lt;=$F30),IF(CW$5=$E30+1,$C30,""),"")</f>
        <v/>
      </c>
      <c r="CX30" s="34">
        <f>IF(AND(CX$5&gt;$E30,CX$5&lt;=$F30),IF(CX$5=$E30+1,$C30,""),"")</f>
        <v/>
      </c>
      <c r="CY30" s="34">
        <f>IF(AND(CY$5&gt;$E30,CY$5&lt;=$F30),IF(CY$5=$E30+1,$C30,""),"")</f>
        <v/>
      </c>
      <c r="CZ30" s="34">
        <f>IF(AND(CZ$5&gt;$E30,CZ$5&lt;=$F30),IF(CZ$5=$E30+1,$C30,""),"")</f>
        <v/>
      </c>
      <c r="DA30" s="34">
        <f>IF(AND(DA$5&gt;$E30,DA$5&lt;=$F30),IF(DA$5=$E30+1,$C30,""),"")</f>
        <v/>
      </c>
      <c r="DB30" s="34">
        <f>IF(AND(DB$5&gt;$E30,DB$5&lt;=$F30),IF(DB$5=$E30+1,$C30,""),"")</f>
        <v/>
      </c>
      <c r="DC30" s="34">
        <f>IF(AND(DC$5&gt;$E30,DC$5&lt;=$F30),IF(DC$5=$E30+1,$C30,""),"")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c r="CT31" s="34">
        <f>IF(AND(CT$5&gt;$E31,CT$5&lt;=$F31),IF(CT$5=$E31+1,$C31,""),"")</f>
        <v/>
      </c>
      <c r="CU31" s="34">
        <f>IF(AND(CU$5&gt;$E31,CU$5&lt;=$F31),IF(CU$5=$E31+1,$C31,""),"")</f>
        <v/>
      </c>
      <c r="CV31" s="34">
        <f>IF(AND(CV$5&gt;$E31,CV$5&lt;=$F31),IF(CV$5=$E31+1,$C31,""),"")</f>
        <v/>
      </c>
      <c r="CW31" s="34">
        <f>IF(AND(CW$5&gt;$E31,CW$5&lt;=$F31),IF(CW$5=$E31+1,$C31,""),"")</f>
        <v/>
      </c>
      <c r="CX31" s="34">
        <f>IF(AND(CX$5&gt;$E31,CX$5&lt;=$F31),IF(CX$5=$E31+1,$C31,""),"")</f>
        <v/>
      </c>
      <c r="CY31" s="34">
        <f>IF(AND(CY$5&gt;$E31,CY$5&lt;=$F31),IF(CY$5=$E31+1,$C31,""),"")</f>
        <v/>
      </c>
      <c r="CZ31" s="34">
        <f>IF(AND(CZ$5&gt;$E31,CZ$5&lt;=$F31),IF(CZ$5=$E31+1,$C31,""),"")</f>
        <v/>
      </c>
      <c r="DA31" s="34">
        <f>IF(AND(DA$5&gt;$E31,DA$5&lt;=$F31),IF(DA$5=$E31+1,$C31,""),"")</f>
        <v/>
      </c>
      <c r="DB31" s="34">
        <f>IF(AND(DB$5&gt;$E31,DB$5&lt;=$F31),IF(DB$5=$E31+1,$C31,""),"")</f>
        <v/>
      </c>
      <c r="DC31" s="34">
        <f>IF(AND(DC$5&gt;$E31,DC$5&lt;=$F31),IF(DC$5=$E31+1,$C31,""),"")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c r="CT32" s="34">
        <f>IF(AND(CT$5&gt;$E32,CT$5&lt;=$F32),IF(CT$5=$E32+1,$C32,""),"")</f>
        <v/>
      </c>
      <c r="CU32" s="34">
        <f>IF(AND(CU$5&gt;$E32,CU$5&lt;=$F32),IF(CU$5=$E32+1,$C32,""),"")</f>
        <v/>
      </c>
      <c r="CV32" s="34">
        <f>IF(AND(CV$5&gt;$E32,CV$5&lt;=$F32),IF(CV$5=$E32+1,$C32,""),"")</f>
        <v/>
      </c>
      <c r="CW32" s="34">
        <f>IF(AND(CW$5&gt;$E32,CW$5&lt;=$F32),IF(CW$5=$E32+1,$C32,""),"")</f>
        <v/>
      </c>
      <c r="CX32" s="34">
        <f>IF(AND(CX$5&gt;$E32,CX$5&lt;=$F32),IF(CX$5=$E32+1,$C32,""),"")</f>
        <v/>
      </c>
      <c r="CY32" s="34">
        <f>IF(AND(CY$5&gt;$E32,CY$5&lt;=$F32),IF(CY$5=$E32+1,$C32,""),"")</f>
        <v/>
      </c>
      <c r="CZ32" s="34">
        <f>IF(AND(CZ$5&gt;$E32,CZ$5&lt;=$F32),IF(CZ$5=$E32+1,$C32,""),"")</f>
        <v/>
      </c>
      <c r="DA32" s="34">
        <f>IF(AND(DA$5&gt;$E32,DA$5&lt;=$F32),IF(DA$5=$E32+1,$C32,""),"")</f>
        <v/>
      </c>
      <c r="DB32" s="34">
        <f>IF(AND(DB$5&gt;$E32,DB$5&lt;=$F32),IF(DB$5=$E32+1,$C32,""),"")</f>
        <v/>
      </c>
      <c r="DC32" s="34">
        <f>IF(AND(DC$5&gt;$E32,DC$5&lt;=$F32),IF(DC$5=$E32+1,$C32,""),"")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c r="CT33" s="34">
        <f>IF(AND(CT$5&gt;$E33,CT$5&lt;=$F33),IF(CT$5=$E33+1,$C33,""),"")</f>
        <v/>
      </c>
      <c r="CU33" s="34">
        <f>IF(AND(CU$5&gt;$E33,CU$5&lt;=$F33),IF(CU$5=$E33+1,$C33,""),"")</f>
        <v/>
      </c>
      <c r="CV33" s="34">
        <f>IF(AND(CV$5&gt;$E33,CV$5&lt;=$F33),IF(CV$5=$E33+1,$C33,""),"")</f>
        <v/>
      </c>
      <c r="CW33" s="34">
        <f>IF(AND(CW$5&gt;$E33,CW$5&lt;=$F33),IF(CW$5=$E33+1,$C33,""),"")</f>
        <v/>
      </c>
      <c r="CX33" s="34">
        <f>IF(AND(CX$5&gt;$E33,CX$5&lt;=$F33),IF(CX$5=$E33+1,$C33,""),"")</f>
        <v/>
      </c>
      <c r="CY33" s="34">
        <f>IF(AND(CY$5&gt;$E33,CY$5&lt;=$F33),IF(CY$5=$E33+1,$C33,""),"")</f>
        <v/>
      </c>
      <c r="CZ33" s="34">
        <f>IF(AND(CZ$5&gt;$E33,CZ$5&lt;=$F33),IF(CZ$5=$E33+1,$C33,""),"")</f>
        <v/>
      </c>
      <c r="DA33" s="34">
        <f>IF(AND(DA$5&gt;$E33,DA$5&lt;=$F33),IF(DA$5=$E33+1,$C33,""),"")</f>
        <v/>
      </c>
      <c r="DB33" s="34">
        <f>IF(AND(DB$5&gt;$E33,DB$5&lt;=$F33),IF(DB$5=$E33+1,$C33,""),"")</f>
        <v/>
      </c>
      <c r="DC33" s="34">
        <f>IF(AND(DC$5&gt;$E33,DC$5&lt;=$F33),IF(DC$5=$E33+1,$C33,""),"")</f>
        <v/>
      </c>
    </row>
    <row r="34">
      <c r="A34" s="27" t="inlineStr">
        <is>
          <t>Fase 3. Flujo de solicitud de crédito</t>
        </is>
      </c>
      <c r="B34" s="28" t="n"/>
      <c r="C34" s="28" t="n"/>
      <c r="D34" s="28" t="n"/>
      <c r="E34" s="29">
        <f>SUMPRODUCT(MIN((Plan!$B$5:$B$88="3. Flujo de solicitud de crédito")*Plan!$K$5:$K$88+(Plan!$B$5:$B$88&lt;&gt;"3. Flujo de solicitud de crédito")*1E9))</f>
        <v/>
      </c>
      <c r="F34" s="29">
        <f>SUMPRODUCT(MAX((Plan!$B$5:$B$88="3. Flujo de solicitud de crédito")*Plan!$L$5:$L$88))</f>
        <v/>
      </c>
      <c r="G34" s="30">
        <f>Resumen!E31</f>
        <v/>
      </c>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c r="CT35" s="34">
        <f>IF(AND(CT$5&gt;$E35,CT$5&lt;=$F35),IF(CT$5=$E35+1,$C35,""),"")</f>
        <v/>
      </c>
      <c r="CU35" s="34">
        <f>IF(AND(CU$5&gt;$E35,CU$5&lt;=$F35),IF(CU$5=$E35+1,$C35,""),"")</f>
        <v/>
      </c>
      <c r="CV35" s="34">
        <f>IF(AND(CV$5&gt;$E35,CV$5&lt;=$F35),IF(CV$5=$E35+1,$C35,""),"")</f>
        <v/>
      </c>
      <c r="CW35" s="34">
        <f>IF(AND(CW$5&gt;$E35,CW$5&lt;=$F35),IF(CW$5=$E35+1,$C35,""),"")</f>
        <v/>
      </c>
      <c r="CX35" s="34">
        <f>IF(AND(CX$5&gt;$E35,CX$5&lt;=$F35),IF(CX$5=$E35+1,$C35,""),"")</f>
        <v/>
      </c>
      <c r="CY35" s="34">
        <f>IF(AND(CY$5&gt;$E35,CY$5&lt;=$F35),IF(CY$5=$E35+1,$C35,""),"")</f>
        <v/>
      </c>
      <c r="CZ35" s="34">
        <f>IF(AND(CZ$5&gt;$E35,CZ$5&lt;=$F35),IF(CZ$5=$E35+1,$C35,""),"")</f>
        <v/>
      </c>
      <c r="DA35" s="34">
        <f>IF(AND(DA$5&gt;$E35,DA$5&lt;=$F35),IF(DA$5=$E35+1,$C35,""),"")</f>
        <v/>
      </c>
      <c r="DB35" s="34">
        <f>IF(AND(DB$5&gt;$E35,DB$5&lt;=$F35),IF(DB$5=$E35+1,$C35,""),"")</f>
        <v/>
      </c>
      <c r="DC35" s="34">
        <f>IF(AND(DC$5&gt;$E35,DC$5&lt;=$F35),IF(DC$5=$E35+1,$C35,""),"")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c r="CJ36" s="34">
        <f>IF(AND(CJ$5&gt;$E36,CJ$5&lt;=$F36),IF(CJ$5=$E36+1,$C36,""),"")</f>
        <v/>
      </c>
      <c r="CK36" s="34">
        <f>IF(AND(CK$5&gt;$E36,CK$5&lt;=$F36),IF(CK$5=$E36+1,$C36,""),"")</f>
        <v/>
      </c>
      <c r="CL36" s="34">
        <f>IF(AND(CL$5&gt;$E36,CL$5&lt;=$F36),IF(CL$5=$E36+1,$C36,""),"")</f>
        <v/>
      </c>
      <c r="CM36" s="34">
        <f>IF(AND(CM$5&gt;$E36,CM$5&lt;=$F36),IF(CM$5=$E36+1,$C36,""),"")</f>
        <v/>
      </c>
      <c r="CN36" s="34">
        <f>IF(AND(CN$5&gt;$E36,CN$5&lt;=$F36),IF(CN$5=$E36+1,$C36,""),"")</f>
        <v/>
      </c>
      <c r="CO36" s="34">
        <f>IF(AND(CO$5&gt;$E36,CO$5&lt;=$F36),IF(CO$5=$E36+1,$C36,""),"")</f>
        <v/>
      </c>
      <c r="CP36" s="34">
        <f>IF(AND(CP$5&gt;$E36,CP$5&lt;=$F36),IF(CP$5=$E36+1,$C36,""),"")</f>
        <v/>
      </c>
      <c r="CQ36" s="34">
        <f>IF(AND(CQ$5&gt;$E36,CQ$5&lt;=$F36),IF(CQ$5=$E36+1,$C36,""),"")</f>
        <v/>
      </c>
      <c r="CR36" s="34">
        <f>IF(AND(CR$5&gt;$E36,CR$5&lt;=$F36),IF(CR$5=$E36+1,$C36,""),"")</f>
        <v/>
      </c>
      <c r="CS36" s="34">
        <f>IF(AND(CS$5&gt;$E36,CS$5&lt;=$F36),IF(CS$5=$E36+1,$C36,""),"")</f>
        <v/>
      </c>
      <c r="CT36" s="34">
        <f>IF(AND(CT$5&gt;$E36,CT$5&lt;=$F36),IF(CT$5=$E36+1,$C36,""),"")</f>
        <v/>
      </c>
      <c r="CU36" s="34">
        <f>IF(AND(CU$5&gt;$E36,CU$5&lt;=$F36),IF(CU$5=$E36+1,$C36,""),"")</f>
        <v/>
      </c>
      <c r="CV36" s="34">
        <f>IF(AND(CV$5&gt;$E36,CV$5&lt;=$F36),IF(CV$5=$E36+1,$C36,""),"")</f>
        <v/>
      </c>
      <c r="CW36" s="34">
        <f>IF(AND(CW$5&gt;$E36,CW$5&lt;=$F36),IF(CW$5=$E36+1,$C36,""),"")</f>
        <v/>
      </c>
      <c r="CX36" s="34">
        <f>IF(AND(CX$5&gt;$E36,CX$5&lt;=$F36),IF(CX$5=$E36+1,$C36,""),"")</f>
        <v/>
      </c>
      <c r="CY36" s="34">
        <f>IF(AND(CY$5&gt;$E36,CY$5&lt;=$F36),IF(CY$5=$E36+1,$C36,""),"")</f>
        <v/>
      </c>
      <c r="CZ36" s="34">
        <f>IF(AND(CZ$5&gt;$E36,CZ$5&lt;=$F36),IF(CZ$5=$E36+1,$C36,""),"")</f>
        <v/>
      </c>
      <c r="DA36" s="34">
        <f>IF(AND(DA$5&gt;$E36,DA$5&lt;=$F36),IF(DA$5=$E36+1,$C36,""),"")</f>
        <v/>
      </c>
      <c r="DB36" s="34">
        <f>IF(AND(DB$5&gt;$E36,DB$5&lt;=$F36),IF(DB$5=$E36+1,$C36,""),"")</f>
        <v/>
      </c>
      <c r="DC36" s="34">
        <f>IF(AND(DC$5&gt;$E36,DC$5&lt;=$F36),IF(DC$5=$E36+1,$C36,""),"")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c r="CT37" s="34">
        <f>IF(AND(CT$5&gt;$E37,CT$5&lt;=$F37),IF(CT$5=$E37+1,$C37,""),"")</f>
        <v/>
      </c>
      <c r="CU37" s="34">
        <f>IF(AND(CU$5&gt;$E37,CU$5&lt;=$F37),IF(CU$5=$E37+1,$C37,""),"")</f>
        <v/>
      </c>
      <c r="CV37" s="34">
        <f>IF(AND(CV$5&gt;$E37,CV$5&lt;=$F37),IF(CV$5=$E37+1,$C37,""),"")</f>
        <v/>
      </c>
      <c r="CW37" s="34">
        <f>IF(AND(CW$5&gt;$E37,CW$5&lt;=$F37),IF(CW$5=$E37+1,$C37,""),"")</f>
        <v/>
      </c>
      <c r="CX37" s="34">
        <f>IF(AND(CX$5&gt;$E37,CX$5&lt;=$F37),IF(CX$5=$E37+1,$C37,""),"")</f>
        <v/>
      </c>
      <c r="CY37" s="34">
        <f>IF(AND(CY$5&gt;$E37,CY$5&lt;=$F37),IF(CY$5=$E37+1,$C37,""),"")</f>
        <v/>
      </c>
      <c r="CZ37" s="34">
        <f>IF(AND(CZ$5&gt;$E37,CZ$5&lt;=$F37),IF(CZ$5=$E37+1,$C37,""),"")</f>
        <v/>
      </c>
      <c r="DA37" s="34">
        <f>IF(AND(DA$5&gt;$E37,DA$5&lt;=$F37),IF(DA$5=$E37+1,$C37,""),"")</f>
        <v/>
      </c>
      <c r="DB37" s="34">
        <f>IF(AND(DB$5&gt;$E37,DB$5&lt;=$F37),IF(DB$5=$E37+1,$C37,""),"")</f>
        <v/>
      </c>
      <c r="DC37" s="34">
        <f>IF(AND(DC$5&gt;$E37,DC$5&lt;=$F37),IF(DC$5=$E37+1,$C37,""),"")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c r="CT38" s="34">
        <f>IF(AND(CT$5&gt;$E38,CT$5&lt;=$F38),IF(CT$5=$E38+1,$C38,""),"")</f>
        <v/>
      </c>
      <c r="CU38" s="34">
        <f>IF(AND(CU$5&gt;$E38,CU$5&lt;=$F38),IF(CU$5=$E38+1,$C38,""),"")</f>
        <v/>
      </c>
      <c r="CV38" s="34">
        <f>IF(AND(CV$5&gt;$E38,CV$5&lt;=$F38),IF(CV$5=$E38+1,$C38,""),"")</f>
        <v/>
      </c>
      <c r="CW38" s="34">
        <f>IF(AND(CW$5&gt;$E38,CW$5&lt;=$F38),IF(CW$5=$E38+1,$C38,""),"")</f>
        <v/>
      </c>
      <c r="CX38" s="34">
        <f>IF(AND(CX$5&gt;$E38,CX$5&lt;=$F38),IF(CX$5=$E38+1,$C38,""),"")</f>
        <v/>
      </c>
      <c r="CY38" s="34">
        <f>IF(AND(CY$5&gt;$E38,CY$5&lt;=$F38),IF(CY$5=$E38+1,$C38,""),"")</f>
        <v/>
      </c>
      <c r="CZ38" s="34">
        <f>IF(AND(CZ$5&gt;$E38,CZ$5&lt;=$F38),IF(CZ$5=$E38+1,$C38,""),"")</f>
        <v/>
      </c>
      <c r="DA38" s="34">
        <f>IF(AND(DA$5&gt;$E38,DA$5&lt;=$F38),IF(DA$5=$E38+1,$C38,""),"")</f>
        <v/>
      </c>
      <c r="DB38" s="34">
        <f>IF(AND(DB$5&gt;$E38,DB$5&lt;=$F38),IF(DB$5=$E38+1,$C38,""),"")</f>
        <v/>
      </c>
      <c r="DC38" s="34">
        <f>IF(AND(DC$5&gt;$E38,DC$5&lt;=$F38),IF(DC$5=$E38+1,$C38,""),"")</f>
        <v/>
      </c>
    </row>
    <row r="39">
      <c r="A39" s="32">
        <f>Plan!A32</f>
        <v/>
      </c>
      <c r="B39" s="33">
        <f>Plan!C32</f>
        <v/>
      </c>
      <c r="C39" s="16">
        <f>Plan!D32</f>
        <v/>
      </c>
      <c r="D39" s="16">
        <f>Plan!I32</f>
        <v/>
      </c>
      <c r="E39" s="16">
        <f>Plan!K32</f>
        <v/>
      </c>
      <c r="F39" s="16">
        <f>Plan!L32</f>
        <v/>
      </c>
      <c r="G39" s="16">
        <f>Plan!O32</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c r="CT39" s="34">
        <f>IF(AND(CT$5&gt;$E39,CT$5&lt;=$F39),IF(CT$5=$E39+1,$C39,""),"")</f>
        <v/>
      </c>
      <c r="CU39" s="34">
        <f>IF(AND(CU$5&gt;$E39,CU$5&lt;=$F39),IF(CU$5=$E39+1,$C39,""),"")</f>
        <v/>
      </c>
      <c r="CV39" s="34">
        <f>IF(AND(CV$5&gt;$E39,CV$5&lt;=$F39),IF(CV$5=$E39+1,$C39,""),"")</f>
        <v/>
      </c>
      <c r="CW39" s="34">
        <f>IF(AND(CW$5&gt;$E39,CW$5&lt;=$F39),IF(CW$5=$E39+1,$C39,""),"")</f>
        <v/>
      </c>
      <c r="CX39" s="34">
        <f>IF(AND(CX$5&gt;$E39,CX$5&lt;=$F39),IF(CX$5=$E39+1,$C39,""),"")</f>
        <v/>
      </c>
      <c r="CY39" s="34">
        <f>IF(AND(CY$5&gt;$E39,CY$5&lt;=$F39),IF(CY$5=$E39+1,$C39,""),"")</f>
        <v/>
      </c>
      <c r="CZ39" s="34">
        <f>IF(AND(CZ$5&gt;$E39,CZ$5&lt;=$F39),IF(CZ$5=$E39+1,$C39,""),"")</f>
        <v/>
      </c>
      <c r="DA39" s="34">
        <f>IF(AND(DA$5&gt;$E39,DA$5&lt;=$F39),IF(DA$5=$E39+1,$C39,""),"")</f>
        <v/>
      </c>
      <c r="DB39" s="34">
        <f>IF(AND(DB$5&gt;$E39,DB$5&lt;=$F39),IF(DB$5=$E39+1,$C39,""),"")</f>
        <v/>
      </c>
      <c r="DC39" s="34">
        <f>IF(AND(DC$5&gt;$E39,DC$5&lt;=$F39),IF(DC$5=$E39+1,$C39,""),"")</f>
        <v/>
      </c>
    </row>
    <row r="40">
      <c r="A40" s="32">
        <f>Plan!A33</f>
        <v/>
      </c>
      <c r="B40" s="33">
        <f>Plan!C33</f>
        <v/>
      </c>
      <c r="C40" s="16">
        <f>Plan!D33</f>
        <v/>
      </c>
      <c r="D40" s="16">
        <f>Plan!I33</f>
        <v/>
      </c>
      <c r="E40" s="16">
        <f>Plan!K33</f>
        <v/>
      </c>
      <c r="F40" s="16">
        <f>Plan!L33</f>
        <v/>
      </c>
      <c r="G40" s="16">
        <f>Plan!O33</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c r="CT40" s="34">
        <f>IF(AND(CT$5&gt;$E40,CT$5&lt;=$F40),IF(CT$5=$E40+1,$C40,""),"")</f>
        <v/>
      </c>
      <c r="CU40" s="34">
        <f>IF(AND(CU$5&gt;$E40,CU$5&lt;=$F40),IF(CU$5=$E40+1,$C40,""),"")</f>
        <v/>
      </c>
      <c r="CV40" s="34">
        <f>IF(AND(CV$5&gt;$E40,CV$5&lt;=$F40),IF(CV$5=$E40+1,$C40,""),"")</f>
        <v/>
      </c>
      <c r="CW40" s="34">
        <f>IF(AND(CW$5&gt;$E40,CW$5&lt;=$F40),IF(CW$5=$E40+1,$C40,""),"")</f>
        <v/>
      </c>
      <c r="CX40" s="34">
        <f>IF(AND(CX$5&gt;$E40,CX$5&lt;=$F40),IF(CX$5=$E40+1,$C40,""),"")</f>
        <v/>
      </c>
      <c r="CY40" s="34">
        <f>IF(AND(CY$5&gt;$E40,CY$5&lt;=$F40),IF(CY$5=$E40+1,$C40,""),"")</f>
        <v/>
      </c>
      <c r="CZ40" s="34">
        <f>IF(AND(CZ$5&gt;$E40,CZ$5&lt;=$F40),IF(CZ$5=$E40+1,$C40,""),"")</f>
        <v/>
      </c>
      <c r="DA40" s="34">
        <f>IF(AND(DA$5&gt;$E40,DA$5&lt;=$F40),IF(DA$5=$E40+1,$C40,""),"")</f>
        <v/>
      </c>
      <c r="DB40" s="34">
        <f>IF(AND(DB$5&gt;$E40,DB$5&lt;=$F40),IF(DB$5=$E40+1,$C40,""),"")</f>
        <v/>
      </c>
      <c r="DC40" s="34">
        <f>IF(AND(DC$5&gt;$E40,DC$5&lt;=$F40),IF(DC$5=$E40+1,$C40,""),"")</f>
        <v/>
      </c>
    </row>
    <row r="41">
      <c r="A41" s="32">
        <f>Plan!A34</f>
        <v/>
      </c>
      <c r="B41" s="33">
        <f>Plan!C34</f>
        <v/>
      </c>
      <c r="C41" s="16">
        <f>Plan!D34</f>
        <v/>
      </c>
      <c r="D41" s="16">
        <f>Plan!I34</f>
        <v/>
      </c>
      <c r="E41" s="16">
        <f>Plan!K34</f>
        <v/>
      </c>
      <c r="F41" s="16">
        <f>Plan!L34</f>
        <v/>
      </c>
      <c r="G41" s="16">
        <f>Plan!O34</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c r="CT41" s="34">
        <f>IF(AND(CT$5&gt;$E41,CT$5&lt;=$F41),IF(CT$5=$E41+1,$C41,""),"")</f>
        <v/>
      </c>
      <c r="CU41" s="34">
        <f>IF(AND(CU$5&gt;$E41,CU$5&lt;=$F41),IF(CU$5=$E41+1,$C41,""),"")</f>
        <v/>
      </c>
      <c r="CV41" s="34">
        <f>IF(AND(CV$5&gt;$E41,CV$5&lt;=$F41),IF(CV$5=$E41+1,$C41,""),"")</f>
        <v/>
      </c>
      <c r="CW41" s="34">
        <f>IF(AND(CW$5&gt;$E41,CW$5&lt;=$F41),IF(CW$5=$E41+1,$C41,""),"")</f>
        <v/>
      </c>
      <c r="CX41" s="34">
        <f>IF(AND(CX$5&gt;$E41,CX$5&lt;=$F41),IF(CX$5=$E41+1,$C41,""),"")</f>
        <v/>
      </c>
      <c r="CY41" s="34">
        <f>IF(AND(CY$5&gt;$E41,CY$5&lt;=$F41),IF(CY$5=$E41+1,$C41,""),"")</f>
        <v/>
      </c>
      <c r="CZ41" s="34">
        <f>IF(AND(CZ$5&gt;$E41,CZ$5&lt;=$F41),IF(CZ$5=$E41+1,$C41,""),"")</f>
        <v/>
      </c>
      <c r="DA41" s="34">
        <f>IF(AND(DA$5&gt;$E41,DA$5&lt;=$F41),IF(DA$5=$E41+1,$C41,""),"")</f>
        <v/>
      </c>
      <c r="DB41" s="34">
        <f>IF(AND(DB$5&gt;$E41,DB$5&lt;=$F41),IF(DB$5=$E41+1,$C41,""),"")</f>
        <v/>
      </c>
      <c r="DC41" s="34">
        <f>IF(AND(DC$5&gt;$E41,DC$5&lt;=$F41),IF(DC$5=$E41+1,$C41,""),"")</f>
        <v/>
      </c>
    </row>
    <row r="42">
      <c r="A42" s="32">
        <f>Plan!A35</f>
        <v/>
      </c>
      <c r="B42" s="33">
        <f>Plan!C35</f>
        <v/>
      </c>
      <c r="C42" s="16">
        <f>Plan!D35</f>
        <v/>
      </c>
      <c r="D42" s="16">
        <f>Plan!I35</f>
        <v/>
      </c>
      <c r="E42" s="16">
        <f>Plan!K35</f>
        <v/>
      </c>
      <c r="F42" s="16">
        <f>Plan!L35</f>
        <v/>
      </c>
      <c r="G42" s="16">
        <f>Plan!O35</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c r="CT42" s="34">
        <f>IF(AND(CT$5&gt;$E42,CT$5&lt;=$F42),IF(CT$5=$E42+1,$C42,""),"")</f>
        <v/>
      </c>
      <c r="CU42" s="34">
        <f>IF(AND(CU$5&gt;$E42,CU$5&lt;=$F42),IF(CU$5=$E42+1,$C42,""),"")</f>
        <v/>
      </c>
      <c r="CV42" s="34">
        <f>IF(AND(CV$5&gt;$E42,CV$5&lt;=$F42),IF(CV$5=$E42+1,$C42,""),"")</f>
        <v/>
      </c>
      <c r="CW42" s="34">
        <f>IF(AND(CW$5&gt;$E42,CW$5&lt;=$F42),IF(CW$5=$E42+1,$C42,""),"")</f>
        <v/>
      </c>
      <c r="CX42" s="34">
        <f>IF(AND(CX$5&gt;$E42,CX$5&lt;=$F42),IF(CX$5=$E42+1,$C42,""),"")</f>
        <v/>
      </c>
      <c r="CY42" s="34">
        <f>IF(AND(CY$5&gt;$E42,CY$5&lt;=$F42),IF(CY$5=$E42+1,$C42,""),"")</f>
        <v/>
      </c>
      <c r="CZ42" s="34">
        <f>IF(AND(CZ$5&gt;$E42,CZ$5&lt;=$F42),IF(CZ$5=$E42+1,$C42,""),"")</f>
        <v/>
      </c>
      <c r="DA42" s="34">
        <f>IF(AND(DA$5&gt;$E42,DA$5&lt;=$F42),IF(DA$5=$E42+1,$C42,""),"")</f>
        <v/>
      </c>
      <c r="DB42" s="34">
        <f>IF(AND(DB$5&gt;$E42,DB$5&lt;=$F42),IF(DB$5=$E42+1,$C42,""),"")</f>
        <v/>
      </c>
      <c r="DC42" s="34">
        <f>IF(AND(DC$5&gt;$E42,DC$5&lt;=$F42),IF(DC$5=$E42+1,$C42,""),"")</f>
        <v/>
      </c>
    </row>
    <row r="43">
      <c r="A43" s="32">
        <f>Plan!A36</f>
        <v/>
      </c>
      <c r="B43" s="33">
        <f>Plan!C36</f>
        <v/>
      </c>
      <c r="C43" s="16">
        <f>Plan!D36</f>
        <v/>
      </c>
      <c r="D43" s="16">
        <f>Plan!I36</f>
        <v/>
      </c>
      <c r="E43" s="16">
        <f>Plan!K36</f>
        <v/>
      </c>
      <c r="F43" s="16">
        <f>Plan!L36</f>
        <v/>
      </c>
      <c r="G43" s="16">
        <f>Plan!O36</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c r="CT43" s="34">
        <f>IF(AND(CT$5&gt;$E43,CT$5&lt;=$F43),IF(CT$5=$E43+1,$C43,""),"")</f>
        <v/>
      </c>
      <c r="CU43" s="34">
        <f>IF(AND(CU$5&gt;$E43,CU$5&lt;=$F43),IF(CU$5=$E43+1,$C43,""),"")</f>
        <v/>
      </c>
      <c r="CV43" s="34">
        <f>IF(AND(CV$5&gt;$E43,CV$5&lt;=$F43),IF(CV$5=$E43+1,$C43,""),"")</f>
        <v/>
      </c>
      <c r="CW43" s="34">
        <f>IF(AND(CW$5&gt;$E43,CW$5&lt;=$F43),IF(CW$5=$E43+1,$C43,""),"")</f>
        <v/>
      </c>
      <c r="CX43" s="34">
        <f>IF(AND(CX$5&gt;$E43,CX$5&lt;=$F43),IF(CX$5=$E43+1,$C43,""),"")</f>
        <v/>
      </c>
      <c r="CY43" s="34">
        <f>IF(AND(CY$5&gt;$E43,CY$5&lt;=$F43),IF(CY$5=$E43+1,$C43,""),"")</f>
        <v/>
      </c>
      <c r="CZ43" s="34">
        <f>IF(AND(CZ$5&gt;$E43,CZ$5&lt;=$F43),IF(CZ$5=$E43+1,$C43,""),"")</f>
        <v/>
      </c>
      <c r="DA43" s="34">
        <f>IF(AND(DA$5&gt;$E43,DA$5&lt;=$F43),IF(DA$5=$E43+1,$C43,""),"")</f>
        <v/>
      </c>
      <c r="DB43" s="34">
        <f>IF(AND(DB$5&gt;$E43,DB$5&lt;=$F43),IF(DB$5=$E43+1,$C43,""),"")</f>
        <v/>
      </c>
      <c r="DC43" s="34">
        <f>IF(AND(DC$5&gt;$E43,DC$5&lt;=$F43),IF(DC$5=$E43+1,$C43,""),"")</f>
        <v/>
      </c>
    </row>
    <row r="44">
      <c r="A44" s="27" t="inlineStr">
        <is>
          <t>Fase 4. Panel de administración</t>
        </is>
      </c>
      <c r="B44" s="28" t="n"/>
      <c r="C44" s="28" t="n"/>
      <c r="D44" s="28" t="n"/>
      <c r="E44" s="29">
        <f>SUMPRODUCT(MIN((Plan!$B$5:$B$88="4. Panel de administración")*Plan!$K$5:$K$88+(Plan!$B$5:$B$88&lt;&gt;"4. Panel de administración")*1E9))</f>
        <v/>
      </c>
      <c r="F44" s="29">
        <f>SUMPRODUCT(MAX((Plan!$B$5:$B$88="4. Panel de administración")*Plan!$L$5:$L$88))</f>
        <v/>
      </c>
      <c r="G44" s="30">
        <f>Resumen!E32</f>
        <v/>
      </c>
      <c r="H44" s="31" t="n"/>
      <c r="I44" s="31" t="n"/>
      <c r="J44" s="31" t="n"/>
      <c r="K44" s="31" t="n"/>
      <c r="L44" s="31" t="n"/>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c r="CT45" s="34">
        <f>IF(AND(CT$5&gt;$E45,CT$5&lt;=$F45),IF(CT$5=$E45+1,$C45,""),"")</f>
        <v/>
      </c>
      <c r="CU45" s="34">
        <f>IF(AND(CU$5&gt;$E45,CU$5&lt;=$F45),IF(CU$5=$E45+1,$C45,""),"")</f>
        <v/>
      </c>
      <c r="CV45" s="34">
        <f>IF(AND(CV$5&gt;$E45,CV$5&lt;=$F45),IF(CV$5=$E45+1,$C45,""),"")</f>
        <v/>
      </c>
      <c r="CW45" s="34">
        <f>IF(AND(CW$5&gt;$E45,CW$5&lt;=$F45),IF(CW$5=$E45+1,$C45,""),"")</f>
        <v/>
      </c>
      <c r="CX45" s="34">
        <f>IF(AND(CX$5&gt;$E45,CX$5&lt;=$F45),IF(CX$5=$E45+1,$C45,""),"")</f>
        <v/>
      </c>
      <c r="CY45" s="34">
        <f>IF(AND(CY$5&gt;$E45,CY$5&lt;=$F45),IF(CY$5=$E45+1,$C45,""),"")</f>
        <v/>
      </c>
      <c r="CZ45" s="34">
        <f>IF(AND(CZ$5&gt;$E45,CZ$5&lt;=$F45),IF(CZ$5=$E45+1,$C45,""),"")</f>
        <v/>
      </c>
      <c r="DA45" s="34">
        <f>IF(AND(DA$5&gt;$E45,DA$5&lt;=$F45),IF(DA$5=$E45+1,$C45,""),"")</f>
        <v/>
      </c>
      <c r="DB45" s="34">
        <f>IF(AND(DB$5&gt;$E45,DB$5&lt;=$F45),IF(DB$5=$E45+1,$C45,""),"")</f>
        <v/>
      </c>
      <c r="DC45" s="34">
        <f>IF(AND(DC$5&gt;$E45,DC$5&lt;=$F45),IF(DC$5=$E45+1,$C45,""),"")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c r="CT46" s="34">
        <f>IF(AND(CT$5&gt;$E46,CT$5&lt;=$F46),IF(CT$5=$E46+1,$C46,""),"")</f>
        <v/>
      </c>
      <c r="CU46" s="34">
        <f>IF(AND(CU$5&gt;$E46,CU$5&lt;=$F46),IF(CU$5=$E46+1,$C46,""),"")</f>
        <v/>
      </c>
      <c r="CV46" s="34">
        <f>IF(AND(CV$5&gt;$E46,CV$5&lt;=$F46),IF(CV$5=$E46+1,$C46,""),"")</f>
        <v/>
      </c>
      <c r="CW46" s="34">
        <f>IF(AND(CW$5&gt;$E46,CW$5&lt;=$F46),IF(CW$5=$E46+1,$C46,""),"")</f>
        <v/>
      </c>
      <c r="CX46" s="34">
        <f>IF(AND(CX$5&gt;$E46,CX$5&lt;=$F46),IF(CX$5=$E46+1,$C46,""),"")</f>
        <v/>
      </c>
      <c r="CY46" s="34">
        <f>IF(AND(CY$5&gt;$E46,CY$5&lt;=$F46),IF(CY$5=$E46+1,$C46,""),"")</f>
        <v/>
      </c>
      <c r="CZ46" s="34">
        <f>IF(AND(CZ$5&gt;$E46,CZ$5&lt;=$F46),IF(CZ$5=$E46+1,$C46,""),"")</f>
        <v/>
      </c>
      <c r="DA46" s="34">
        <f>IF(AND(DA$5&gt;$E46,DA$5&lt;=$F46),IF(DA$5=$E46+1,$C46,""),"")</f>
        <v/>
      </c>
      <c r="DB46" s="34">
        <f>IF(AND(DB$5&gt;$E46,DB$5&lt;=$F46),IF(DB$5=$E46+1,$C46,""),"")</f>
        <v/>
      </c>
      <c r="DC46" s="34">
        <f>IF(AND(DC$5&gt;$E46,DC$5&lt;=$F46),IF(DC$5=$E46+1,$C46,""),"")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c r="CJ47" s="34">
        <f>IF(AND(CJ$5&gt;$E47,CJ$5&lt;=$F47),IF(CJ$5=$E47+1,$C47,""),"")</f>
        <v/>
      </c>
      <c r="CK47" s="34">
        <f>IF(AND(CK$5&gt;$E47,CK$5&lt;=$F47),IF(CK$5=$E47+1,$C47,""),"")</f>
        <v/>
      </c>
      <c r="CL47" s="34">
        <f>IF(AND(CL$5&gt;$E47,CL$5&lt;=$F47),IF(CL$5=$E47+1,$C47,""),"")</f>
        <v/>
      </c>
      <c r="CM47" s="34">
        <f>IF(AND(CM$5&gt;$E47,CM$5&lt;=$F47),IF(CM$5=$E47+1,$C47,""),"")</f>
        <v/>
      </c>
      <c r="CN47" s="34">
        <f>IF(AND(CN$5&gt;$E47,CN$5&lt;=$F47),IF(CN$5=$E47+1,$C47,""),"")</f>
        <v/>
      </c>
      <c r="CO47" s="34">
        <f>IF(AND(CO$5&gt;$E47,CO$5&lt;=$F47),IF(CO$5=$E47+1,$C47,""),"")</f>
        <v/>
      </c>
      <c r="CP47" s="34">
        <f>IF(AND(CP$5&gt;$E47,CP$5&lt;=$F47),IF(CP$5=$E47+1,$C47,""),"")</f>
        <v/>
      </c>
      <c r="CQ47" s="34">
        <f>IF(AND(CQ$5&gt;$E47,CQ$5&lt;=$F47),IF(CQ$5=$E47+1,$C47,""),"")</f>
        <v/>
      </c>
      <c r="CR47" s="34">
        <f>IF(AND(CR$5&gt;$E47,CR$5&lt;=$F47),IF(CR$5=$E47+1,$C47,""),"")</f>
        <v/>
      </c>
      <c r="CS47" s="34">
        <f>IF(AND(CS$5&gt;$E47,CS$5&lt;=$F47),IF(CS$5=$E47+1,$C47,""),"")</f>
        <v/>
      </c>
      <c r="CT47" s="34">
        <f>IF(AND(CT$5&gt;$E47,CT$5&lt;=$F47),IF(CT$5=$E47+1,$C47,""),"")</f>
        <v/>
      </c>
      <c r="CU47" s="34">
        <f>IF(AND(CU$5&gt;$E47,CU$5&lt;=$F47),IF(CU$5=$E47+1,$C47,""),"")</f>
        <v/>
      </c>
      <c r="CV47" s="34">
        <f>IF(AND(CV$5&gt;$E47,CV$5&lt;=$F47),IF(CV$5=$E47+1,$C47,""),"")</f>
        <v/>
      </c>
      <c r="CW47" s="34">
        <f>IF(AND(CW$5&gt;$E47,CW$5&lt;=$F47),IF(CW$5=$E47+1,$C47,""),"")</f>
        <v/>
      </c>
      <c r="CX47" s="34">
        <f>IF(AND(CX$5&gt;$E47,CX$5&lt;=$F47),IF(CX$5=$E47+1,$C47,""),"")</f>
        <v/>
      </c>
      <c r="CY47" s="34">
        <f>IF(AND(CY$5&gt;$E47,CY$5&lt;=$F47),IF(CY$5=$E47+1,$C47,""),"")</f>
        <v/>
      </c>
      <c r="CZ47" s="34">
        <f>IF(AND(CZ$5&gt;$E47,CZ$5&lt;=$F47),IF(CZ$5=$E47+1,$C47,""),"")</f>
        <v/>
      </c>
      <c r="DA47" s="34">
        <f>IF(AND(DA$5&gt;$E47,DA$5&lt;=$F47),IF(DA$5=$E47+1,$C47,""),"")</f>
        <v/>
      </c>
      <c r="DB47" s="34">
        <f>IF(AND(DB$5&gt;$E47,DB$5&lt;=$F47),IF(DB$5=$E47+1,$C47,""),"")</f>
        <v/>
      </c>
      <c r="DC47" s="34">
        <f>IF(AND(DC$5&gt;$E47,DC$5&lt;=$F47),IF(DC$5=$E47+1,$C47,""),"")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c r="CT48" s="34">
        <f>IF(AND(CT$5&gt;$E48,CT$5&lt;=$F48),IF(CT$5=$E48+1,$C48,""),"")</f>
        <v/>
      </c>
      <c r="CU48" s="34">
        <f>IF(AND(CU$5&gt;$E48,CU$5&lt;=$F48),IF(CU$5=$E48+1,$C48,""),"")</f>
        <v/>
      </c>
      <c r="CV48" s="34">
        <f>IF(AND(CV$5&gt;$E48,CV$5&lt;=$F48),IF(CV$5=$E48+1,$C48,""),"")</f>
        <v/>
      </c>
      <c r="CW48" s="34">
        <f>IF(AND(CW$5&gt;$E48,CW$5&lt;=$F48),IF(CW$5=$E48+1,$C48,""),"")</f>
        <v/>
      </c>
      <c r="CX48" s="34">
        <f>IF(AND(CX$5&gt;$E48,CX$5&lt;=$F48),IF(CX$5=$E48+1,$C48,""),"")</f>
        <v/>
      </c>
      <c r="CY48" s="34">
        <f>IF(AND(CY$5&gt;$E48,CY$5&lt;=$F48),IF(CY$5=$E48+1,$C48,""),"")</f>
        <v/>
      </c>
      <c r="CZ48" s="34">
        <f>IF(AND(CZ$5&gt;$E48,CZ$5&lt;=$F48),IF(CZ$5=$E48+1,$C48,""),"")</f>
        <v/>
      </c>
      <c r="DA48" s="34">
        <f>IF(AND(DA$5&gt;$E48,DA$5&lt;=$F48),IF(DA$5=$E48+1,$C48,""),"")</f>
        <v/>
      </c>
      <c r="DB48" s="34">
        <f>IF(AND(DB$5&gt;$E48,DB$5&lt;=$F48),IF(DB$5=$E48+1,$C48,""),"")</f>
        <v/>
      </c>
      <c r="DC48" s="34">
        <f>IF(AND(DC$5&gt;$E48,DC$5&lt;=$F48),IF(DC$5=$E48+1,$C48,""),"")</f>
        <v/>
      </c>
    </row>
    <row r="49">
      <c r="A49" s="32">
        <f>Plan!A41</f>
        <v/>
      </c>
      <c r="B49" s="33">
        <f>Plan!C41</f>
        <v/>
      </c>
      <c r="C49" s="16">
        <f>Plan!D41</f>
        <v/>
      </c>
      <c r="D49" s="16">
        <f>Plan!I41</f>
        <v/>
      </c>
      <c r="E49" s="16">
        <f>Plan!K41</f>
        <v/>
      </c>
      <c r="F49" s="16">
        <f>Plan!L41</f>
        <v/>
      </c>
      <c r="G49" s="16">
        <f>Plan!O41</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c r="CT49" s="34">
        <f>IF(AND(CT$5&gt;$E49,CT$5&lt;=$F49),IF(CT$5=$E49+1,$C49,""),"")</f>
        <v/>
      </c>
      <c r="CU49" s="34">
        <f>IF(AND(CU$5&gt;$E49,CU$5&lt;=$F49),IF(CU$5=$E49+1,$C49,""),"")</f>
        <v/>
      </c>
      <c r="CV49" s="34">
        <f>IF(AND(CV$5&gt;$E49,CV$5&lt;=$F49),IF(CV$5=$E49+1,$C49,""),"")</f>
        <v/>
      </c>
      <c r="CW49" s="34">
        <f>IF(AND(CW$5&gt;$E49,CW$5&lt;=$F49),IF(CW$5=$E49+1,$C49,""),"")</f>
        <v/>
      </c>
      <c r="CX49" s="34">
        <f>IF(AND(CX$5&gt;$E49,CX$5&lt;=$F49),IF(CX$5=$E49+1,$C49,""),"")</f>
        <v/>
      </c>
      <c r="CY49" s="34">
        <f>IF(AND(CY$5&gt;$E49,CY$5&lt;=$F49),IF(CY$5=$E49+1,$C49,""),"")</f>
        <v/>
      </c>
      <c r="CZ49" s="34">
        <f>IF(AND(CZ$5&gt;$E49,CZ$5&lt;=$F49),IF(CZ$5=$E49+1,$C49,""),"")</f>
        <v/>
      </c>
      <c r="DA49" s="34">
        <f>IF(AND(DA$5&gt;$E49,DA$5&lt;=$F49),IF(DA$5=$E49+1,$C49,""),"")</f>
        <v/>
      </c>
      <c r="DB49" s="34">
        <f>IF(AND(DB$5&gt;$E49,DB$5&lt;=$F49),IF(DB$5=$E49+1,$C49,""),"")</f>
        <v/>
      </c>
      <c r="DC49" s="34">
        <f>IF(AND(DC$5&gt;$E49,DC$5&lt;=$F49),IF(DC$5=$E49+1,$C49,""),"")</f>
        <v/>
      </c>
    </row>
    <row r="50">
      <c r="A50" s="32">
        <f>Plan!A42</f>
        <v/>
      </c>
      <c r="B50" s="33">
        <f>Plan!C42</f>
        <v/>
      </c>
      <c r="C50" s="16">
        <f>Plan!D42</f>
        <v/>
      </c>
      <c r="D50" s="16">
        <f>Plan!I42</f>
        <v/>
      </c>
      <c r="E50" s="16">
        <f>Plan!K42</f>
        <v/>
      </c>
      <c r="F50" s="16">
        <f>Plan!L42</f>
        <v/>
      </c>
      <c r="G50" s="16">
        <f>Plan!O42</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c r="CT50" s="34">
        <f>IF(AND(CT$5&gt;$E50,CT$5&lt;=$F50),IF(CT$5=$E50+1,$C50,""),"")</f>
        <v/>
      </c>
      <c r="CU50" s="34">
        <f>IF(AND(CU$5&gt;$E50,CU$5&lt;=$F50),IF(CU$5=$E50+1,$C50,""),"")</f>
        <v/>
      </c>
      <c r="CV50" s="34">
        <f>IF(AND(CV$5&gt;$E50,CV$5&lt;=$F50),IF(CV$5=$E50+1,$C50,""),"")</f>
        <v/>
      </c>
      <c r="CW50" s="34">
        <f>IF(AND(CW$5&gt;$E50,CW$5&lt;=$F50),IF(CW$5=$E50+1,$C50,""),"")</f>
        <v/>
      </c>
      <c r="CX50" s="34">
        <f>IF(AND(CX$5&gt;$E50,CX$5&lt;=$F50),IF(CX$5=$E50+1,$C50,""),"")</f>
        <v/>
      </c>
      <c r="CY50" s="34">
        <f>IF(AND(CY$5&gt;$E50,CY$5&lt;=$F50),IF(CY$5=$E50+1,$C50,""),"")</f>
        <v/>
      </c>
      <c r="CZ50" s="34">
        <f>IF(AND(CZ$5&gt;$E50,CZ$5&lt;=$F50),IF(CZ$5=$E50+1,$C50,""),"")</f>
        <v/>
      </c>
      <c r="DA50" s="34">
        <f>IF(AND(DA$5&gt;$E50,DA$5&lt;=$F50),IF(DA$5=$E50+1,$C50,""),"")</f>
        <v/>
      </c>
      <c r="DB50" s="34">
        <f>IF(AND(DB$5&gt;$E50,DB$5&lt;=$F50),IF(DB$5=$E50+1,$C50,""),"")</f>
        <v/>
      </c>
      <c r="DC50" s="34">
        <f>IF(AND(DC$5&gt;$E50,DC$5&lt;=$F50),IF(DC$5=$E50+1,$C50,""),"")</f>
        <v/>
      </c>
    </row>
    <row r="51">
      <c r="A51" s="32">
        <f>Plan!A43</f>
        <v/>
      </c>
      <c r="B51" s="33">
        <f>Plan!C43</f>
        <v/>
      </c>
      <c r="C51" s="16">
        <f>Plan!D43</f>
        <v/>
      </c>
      <c r="D51" s="16">
        <f>Plan!I43</f>
        <v/>
      </c>
      <c r="E51" s="16">
        <f>Plan!K43</f>
        <v/>
      </c>
      <c r="F51" s="16">
        <f>Plan!L43</f>
        <v/>
      </c>
      <c r="G51" s="16">
        <f>Plan!O43</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c r="CT51" s="34">
        <f>IF(AND(CT$5&gt;$E51,CT$5&lt;=$F51),IF(CT$5=$E51+1,$C51,""),"")</f>
        <v/>
      </c>
      <c r="CU51" s="34">
        <f>IF(AND(CU$5&gt;$E51,CU$5&lt;=$F51),IF(CU$5=$E51+1,$C51,""),"")</f>
        <v/>
      </c>
      <c r="CV51" s="34">
        <f>IF(AND(CV$5&gt;$E51,CV$5&lt;=$F51),IF(CV$5=$E51+1,$C51,""),"")</f>
        <v/>
      </c>
      <c r="CW51" s="34">
        <f>IF(AND(CW$5&gt;$E51,CW$5&lt;=$F51),IF(CW$5=$E51+1,$C51,""),"")</f>
        <v/>
      </c>
      <c r="CX51" s="34">
        <f>IF(AND(CX$5&gt;$E51,CX$5&lt;=$F51),IF(CX$5=$E51+1,$C51,""),"")</f>
        <v/>
      </c>
      <c r="CY51" s="34">
        <f>IF(AND(CY$5&gt;$E51,CY$5&lt;=$F51),IF(CY$5=$E51+1,$C51,""),"")</f>
        <v/>
      </c>
      <c r="CZ51" s="34">
        <f>IF(AND(CZ$5&gt;$E51,CZ$5&lt;=$F51),IF(CZ$5=$E51+1,$C51,""),"")</f>
        <v/>
      </c>
      <c r="DA51" s="34">
        <f>IF(AND(DA$5&gt;$E51,DA$5&lt;=$F51),IF(DA$5=$E51+1,$C51,""),"")</f>
        <v/>
      </c>
      <c r="DB51" s="34">
        <f>IF(AND(DB$5&gt;$E51,DB$5&lt;=$F51),IF(DB$5=$E51+1,$C51,""),"")</f>
        <v/>
      </c>
      <c r="DC51" s="34">
        <f>IF(AND(DC$5&gt;$E51,DC$5&lt;=$F51),IF(DC$5=$E51+1,$C51,""),"")</f>
        <v/>
      </c>
    </row>
    <row r="52">
      <c r="A52" s="32">
        <f>Plan!A44</f>
        <v/>
      </c>
      <c r="B52" s="33">
        <f>Plan!C44</f>
        <v/>
      </c>
      <c r="C52" s="16">
        <f>Plan!D44</f>
        <v/>
      </c>
      <c r="D52" s="16">
        <f>Plan!I44</f>
        <v/>
      </c>
      <c r="E52" s="16">
        <f>Plan!K44</f>
        <v/>
      </c>
      <c r="F52" s="16">
        <f>Plan!L44</f>
        <v/>
      </c>
      <c r="G52" s="16">
        <f>Plan!O44</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c r="CT52" s="34">
        <f>IF(AND(CT$5&gt;$E52,CT$5&lt;=$F52),IF(CT$5=$E52+1,$C52,""),"")</f>
        <v/>
      </c>
      <c r="CU52" s="34">
        <f>IF(AND(CU$5&gt;$E52,CU$5&lt;=$F52),IF(CU$5=$E52+1,$C52,""),"")</f>
        <v/>
      </c>
      <c r="CV52" s="34">
        <f>IF(AND(CV$5&gt;$E52,CV$5&lt;=$F52),IF(CV$5=$E52+1,$C52,""),"")</f>
        <v/>
      </c>
      <c r="CW52" s="34">
        <f>IF(AND(CW$5&gt;$E52,CW$5&lt;=$F52),IF(CW$5=$E52+1,$C52,""),"")</f>
        <v/>
      </c>
      <c r="CX52" s="34">
        <f>IF(AND(CX$5&gt;$E52,CX$5&lt;=$F52),IF(CX$5=$E52+1,$C52,""),"")</f>
        <v/>
      </c>
      <c r="CY52" s="34">
        <f>IF(AND(CY$5&gt;$E52,CY$5&lt;=$F52),IF(CY$5=$E52+1,$C52,""),"")</f>
        <v/>
      </c>
      <c r="CZ52" s="34">
        <f>IF(AND(CZ$5&gt;$E52,CZ$5&lt;=$F52),IF(CZ$5=$E52+1,$C52,""),"")</f>
        <v/>
      </c>
      <c r="DA52" s="34">
        <f>IF(AND(DA$5&gt;$E52,DA$5&lt;=$F52),IF(DA$5=$E52+1,$C52,""),"")</f>
        <v/>
      </c>
      <c r="DB52" s="34">
        <f>IF(AND(DB$5&gt;$E52,DB$5&lt;=$F52),IF(DB$5=$E52+1,$C52,""),"")</f>
        <v/>
      </c>
      <c r="DC52" s="34">
        <f>IF(AND(DC$5&gt;$E52,DC$5&lt;=$F52),IF(DC$5=$E52+1,$C52,""),"")</f>
        <v/>
      </c>
    </row>
    <row r="53">
      <c r="A53" s="32">
        <f>Plan!A45</f>
        <v/>
      </c>
      <c r="B53" s="33">
        <f>Plan!C45</f>
        <v/>
      </c>
      <c r="C53" s="16">
        <f>Plan!D45</f>
        <v/>
      </c>
      <c r="D53" s="16">
        <f>Plan!I45</f>
        <v/>
      </c>
      <c r="E53" s="16">
        <f>Plan!K45</f>
        <v/>
      </c>
      <c r="F53" s="16">
        <f>Plan!L45</f>
        <v/>
      </c>
      <c r="G53" s="16">
        <f>Plan!O45</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c r="CT53" s="34">
        <f>IF(AND(CT$5&gt;$E53,CT$5&lt;=$F53),IF(CT$5=$E53+1,$C53,""),"")</f>
        <v/>
      </c>
      <c r="CU53" s="34">
        <f>IF(AND(CU$5&gt;$E53,CU$5&lt;=$F53),IF(CU$5=$E53+1,$C53,""),"")</f>
        <v/>
      </c>
      <c r="CV53" s="34">
        <f>IF(AND(CV$5&gt;$E53,CV$5&lt;=$F53),IF(CV$5=$E53+1,$C53,""),"")</f>
        <v/>
      </c>
      <c r="CW53" s="34">
        <f>IF(AND(CW$5&gt;$E53,CW$5&lt;=$F53),IF(CW$5=$E53+1,$C53,""),"")</f>
        <v/>
      </c>
      <c r="CX53" s="34">
        <f>IF(AND(CX$5&gt;$E53,CX$5&lt;=$F53),IF(CX$5=$E53+1,$C53,""),"")</f>
        <v/>
      </c>
      <c r="CY53" s="34">
        <f>IF(AND(CY$5&gt;$E53,CY$5&lt;=$F53),IF(CY$5=$E53+1,$C53,""),"")</f>
        <v/>
      </c>
      <c r="CZ53" s="34">
        <f>IF(AND(CZ$5&gt;$E53,CZ$5&lt;=$F53),IF(CZ$5=$E53+1,$C53,""),"")</f>
        <v/>
      </c>
      <c r="DA53" s="34">
        <f>IF(AND(DA$5&gt;$E53,DA$5&lt;=$F53),IF(DA$5=$E53+1,$C53,""),"")</f>
        <v/>
      </c>
      <c r="DB53" s="34">
        <f>IF(AND(DB$5&gt;$E53,DB$5&lt;=$F53),IF(DB$5=$E53+1,$C53,""),"")</f>
        <v/>
      </c>
      <c r="DC53" s="34">
        <f>IF(AND(DC$5&gt;$E53,DC$5&lt;=$F53),IF(DC$5=$E53+1,$C53,""),"")</f>
        <v/>
      </c>
    </row>
    <row r="54">
      <c r="A54" s="32">
        <f>Plan!A46</f>
        <v/>
      </c>
      <c r="B54" s="33">
        <f>Plan!C46</f>
        <v/>
      </c>
      <c r="C54" s="16">
        <f>Plan!D46</f>
        <v/>
      </c>
      <c r="D54" s="16">
        <f>Plan!I46</f>
        <v/>
      </c>
      <c r="E54" s="16">
        <f>Plan!K46</f>
        <v/>
      </c>
      <c r="F54" s="16">
        <f>Plan!L46</f>
        <v/>
      </c>
      <c r="G54" s="16">
        <f>Plan!O46</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c r="CT54" s="34">
        <f>IF(AND(CT$5&gt;$E54,CT$5&lt;=$F54),IF(CT$5=$E54+1,$C54,""),"")</f>
        <v/>
      </c>
      <c r="CU54" s="34">
        <f>IF(AND(CU$5&gt;$E54,CU$5&lt;=$F54),IF(CU$5=$E54+1,$C54,""),"")</f>
        <v/>
      </c>
      <c r="CV54" s="34">
        <f>IF(AND(CV$5&gt;$E54,CV$5&lt;=$F54),IF(CV$5=$E54+1,$C54,""),"")</f>
        <v/>
      </c>
      <c r="CW54" s="34">
        <f>IF(AND(CW$5&gt;$E54,CW$5&lt;=$F54),IF(CW$5=$E54+1,$C54,""),"")</f>
        <v/>
      </c>
      <c r="CX54" s="34">
        <f>IF(AND(CX$5&gt;$E54,CX$5&lt;=$F54),IF(CX$5=$E54+1,$C54,""),"")</f>
        <v/>
      </c>
      <c r="CY54" s="34">
        <f>IF(AND(CY$5&gt;$E54,CY$5&lt;=$F54),IF(CY$5=$E54+1,$C54,""),"")</f>
        <v/>
      </c>
      <c r="CZ54" s="34">
        <f>IF(AND(CZ$5&gt;$E54,CZ$5&lt;=$F54),IF(CZ$5=$E54+1,$C54,""),"")</f>
        <v/>
      </c>
      <c r="DA54" s="34">
        <f>IF(AND(DA$5&gt;$E54,DA$5&lt;=$F54),IF(DA$5=$E54+1,$C54,""),"")</f>
        <v/>
      </c>
      <c r="DB54" s="34">
        <f>IF(AND(DB$5&gt;$E54,DB$5&lt;=$F54),IF(DB$5=$E54+1,$C54,""),"")</f>
        <v/>
      </c>
      <c r="DC54" s="34">
        <f>IF(AND(DC$5&gt;$E54,DC$5&lt;=$F54),IF(DC$5=$E54+1,$C54,""),"")</f>
        <v/>
      </c>
    </row>
    <row r="55">
      <c r="A55" s="32">
        <f>Plan!A47</f>
        <v/>
      </c>
      <c r="B55" s="33">
        <f>Plan!C47</f>
        <v/>
      </c>
      <c r="C55" s="16">
        <f>Plan!D47</f>
        <v/>
      </c>
      <c r="D55" s="16">
        <f>Plan!I47</f>
        <v/>
      </c>
      <c r="E55" s="16">
        <f>Plan!K47</f>
        <v/>
      </c>
      <c r="F55" s="16">
        <f>Plan!L47</f>
        <v/>
      </c>
      <c r="G55" s="16">
        <f>Plan!O47</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c r="CT55" s="34">
        <f>IF(AND(CT$5&gt;$E55,CT$5&lt;=$F55),IF(CT$5=$E55+1,$C55,""),"")</f>
        <v/>
      </c>
      <c r="CU55" s="34">
        <f>IF(AND(CU$5&gt;$E55,CU$5&lt;=$F55),IF(CU$5=$E55+1,$C55,""),"")</f>
        <v/>
      </c>
      <c r="CV55" s="34">
        <f>IF(AND(CV$5&gt;$E55,CV$5&lt;=$F55),IF(CV$5=$E55+1,$C55,""),"")</f>
        <v/>
      </c>
      <c r="CW55" s="34">
        <f>IF(AND(CW$5&gt;$E55,CW$5&lt;=$F55),IF(CW$5=$E55+1,$C55,""),"")</f>
        <v/>
      </c>
      <c r="CX55" s="34">
        <f>IF(AND(CX$5&gt;$E55,CX$5&lt;=$F55),IF(CX$5=$E55+1,$C55,""),"")</f>
        <v/>
      </c>
      <c r="CY55" s="34">
        <f>IF(AND(CY$5&gt;$E55,CY$5&lt;=$F55),IF(CY$5=$E55+1,$C55,""),"")</f>
        <v/>
      </c>
      <c r="CZ55" s="34">
        <f>IF(AND(CZ$5&gt;$E55,CZ$5&lt;=$F55),IF(CZ$5=$E55+1,$C55,""),"")</f>
        <v/>
      </c>
      <c r="DA55" s="34">
        <f>IF(AND(DA$5&gt;$E55,DA$5&lt;=$F55),IF(DA$5=$E55+1,$C55,""),"")</f>
        <v/>
      </c>
      <c r="DB55" s="34">
        <f>IF(AND(DB$5&gt;$E55,DB$5&lt;=$F55),IF(DB$5=$E55+1,$C55,""),"")</f>
        <v/>
      </c>
      <c r="DC55" s="34">
        <f>IF(AND(DC$5&gt;$E55,DC$5&lt;=$F55),IF(DC$5=$E55+1,$C55,""),"")</f>
        <v/>
      </c>
    </row>
    <row r="56">
      <c r="A56" s="32">
        <f>Plan!A77</f>
        <v/>
      </c>
      <c r="B56" s="33">
        <f>Plan!C77</f>
        <v/>
      </c>
      <c r="C56" s="16">
        <f>Plan!D77</f>
        <v/>
      </c>
      <c r="D56" s="16">
        <f>Plan!I77</f>
        <v/>
      </c>
      <c r="E56" s="16">
        <f>Plan!K77</f>
        <v/>
      </c>
      <c r="F56" s="16">
        <f>Plan!L77</f>
        <v/>
      </c>
      <c r="G56" s="16">
        <f>Plan!O77</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c r="CJ56" s="34">
        <f>IF(AND(CJ$5&gt;$E56,CJ$5&lt;=$F56),IF(CJ$5=$E56+1,$C56,""),"")</f>
        <v/>
      </c>
      <c r="CK56" s="34">
        <f>IF(AND(CK$5&gt;$E56,CK$5&lt;=$F56),IF(CK$5=$E56+1,$C56,""),"")</f>
        <v/>
      </c>
      <c r="CL56" s="34">
        <f>IF(AND(CL$5&gt;$E56,CL$5&lt;=$F56),IF(CL$5=$E56+1,$C56,""),"")</f>
        <v/>
      </c>
      <c r="CM56" s="34">
        <f>IF(AND(CM$5&gt;$E56,CM$5&lt;=$F56),IF(CM$5=$E56+1,$C56,""),"")</f>
        <v/>
      </c>
      <c r="CN56" s="34">
        <f>IF(AND(CN$5&gt;$E56,CN$5&lt;=$F56),IF(CN$5=$E56+1,$C56,""),"")</f>
        <v/>
      </c>
      <c r="CO56" s="34">
        <f>IF(AND(CO$5&gt;$E56,CO$5&lt;=$F56),IF(CO$5=$E56+1,$C56,""),"")</f>
        <v/>
      </c>
      <c r="CP56" s="34">
        <f>IF(AND(CP$5&gt;$E56,CP$5&lt;=$F56),IF(CP$5=$E56+1,$C56,""),"")</f>
        <v/>
      </c>
      <c r="CQ56" s="34">
        <f>IF(AND(CQ$5&gt;$E56,CQ$5&lt;=$F56),IF(CQ$5=$E56+1,$C56,""),"")</f>
        <v/>
      </c>
      <c r="CR56" s="34">
        <f>IF(AND(CR$5&gt;$E56,CR$5&lt;=$F56),IF(CR$5=$E56+1,$C56,""),"")</f>
        <v/>
      </c>
      <c r="CS56" s="34">
        <f>IF(AND(CS$5&gt;$E56,CS$5&lt;=$F56),IF(CS$5=$E56+1,$C56,""),"")</f>
        <v/>
      </c>
      <c r="CT56" s="34">
        <f>IF(AND(CT$5&gt;$E56,CT$5&lt;=$F56),IF(CT$5=$E56+1,$C56,""),"")</f>
        <v/>
      </c>
      <c r="CU56" s="34">
        <f>IF(AND(CU$5&gt;$E56,CU$5&lt;=$F56),IF(CU$5=$E56+1,$C56,""),"")</f>
        <v/>
      </c>
      <c r="CV56" s="34">
        <f>IF(AND(CV$5&gt;$E56,CV$5&lt;=$F56),IF(CV$5=$E56+1,$C56,""),"")</f>
        <v/>
      </c>
      <c r="CW56" s="34">
        <f>IF(AND(CW$5&gt;$E56,CW$5&lt;=$F56),IF(CW$5=$E56+1,$C56,""),"")</f>
        <v/>
      </c>
      <c r="CX56" s="34">
        <f>IF(AND(CX$5&gt;$E56,CX$5&lt;=$F56),IF(CX$5=$E56+1,$C56,""),"")</f>
        <v/>
      </c>
      <c r="CY56" s="34">
        <f>IF(AND(CY$5&gt;$E56,CY$5&lt;=$F56),IF(CY$5=$E56+1,$C56,""),"")</f>
        <v/>
      </c>
      <c r="CZ56" s="34">
        <f>IF(AND(CZ$5&gt;$E56,CZ$5&lt;=$F56),IF(CZ$5=$E56+1,$C56,""),"")</f>
        <v/>
      </c>
      <c r="DA56" s="34">
        <f>IF(AND(DA$5&gt;$E56,DA$5&lt;=$F56),IF(DA$5=$E56+1,$C56,""),"")</f>
        <v/>
      </c>
      <c r="DB56" s="34">
        <f>IF(AND(DB$5&gt;$E56,DB$5&lt;=$F56),IF(DB$5=$E56+1,$C56,""),"")</f>
        <v/>
      </c>
      <c r="DC56" s="34">
        <f>IF(AND(DC$5&gt;$E56,DC$5&lt;=$F56),IF(DC$5=$E56+1,$C56,""),"")</f>
        <v/>
      </c>
    </row>
    <row r="57">
      <c r="A57" s="32">
        <f>Plan!A78</f>
        <v/>
      </c>
      <c r="B57" s="33">
        <f>Plan!C78</f>
        <v/>
      </c>
      <c r="C57" s="16">
        <f>Plan!D78</f>
        <v/>
      </c>
      <c r="D57" s="16">
        <f>Plan!I78</f>
        <v/>
      </c>
      <c r="E57" s="16">
        <f>Plan!K78</f>
        <v/>
      </c>
      <c r="F57" s="16">
        <f>Plan!L78</f>
        <v/>
      </c>
      <c r="G57" s="16">
        <f>Plan!O78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c r="CT57" s="34">
        <f>IF(AND(CT$5&gt;$E57,CT$5&lt;=$F57),IF(CT$5=$E57+1,$C57,""),"")</f>
        <v/>
      </c>
      <c r="CU57" s="34">
        <f>IF(AND(CU$5&gt;$E57,CU$5&lt;=$F57),IF(CU$5=$E57+1,$C57,""),"")</f>
        <v/>
      </c>
      <c r="CV57" s="34">
        <f>IF(AND(CV$5&gt;$E57,CV$5&lt;=$F57),IF(CV$5=$E57+1,$C57,""),"")</f>
        <v/>
      </c>
      <c r="CW57" s="34">
        <f>IF(AND(CW$5&gt;$E57,CW$5&lt;=$F57),IF(CW$5=$E57+1,$C57,""),"")</f>
        <v/>
      </c>
      <c r="CX57" s="34">
        <f>IF(AND(CX$5&gt;$E57,CX$5&lt;=$F57),IF(CX$5=$E57+1,$C57,""),"")</f>
        <v/>
      </c>
      <c r="CY57" s="34">
        <f>IF(AND(CY$5&gt;$E57,CY$5&lt;=$F57),IF(CY$5=$E57+1,$C57,""),"")</f>
        <v/>
      </c>
      <c r="CZ57" s="34">
        <f>IF(AND(CZ$5&gt;$E57,CZ$5&lt;=$F57),IF(CZ$5=$E57+1,$C57,""),"")</f>
        <v/>
      </c>
      <c r="DA57" s="34">
        <f>IF(AND(DA$5&gt;$E57,DA$5&lt;=$F57),IF(DA$5=$E57+1,$C57,""),"")</f>
        <v/>
      </c>
      <c r="DB57" s="34">
        <f>IF(AND(DB$5&gt;$E57,DB$5&lt;=$F57),IF(DB$5=$E57+1,$C57,""),"")</f>
        <v/>
      </c>
      <c r="DC57" s="34">
        <f>IF(AND(DC$5&gt;$E57,DC$5&lt;=$F57),IF(DC$5=$E57+1,$C57,""),"")</f>
        <v/>
      </c>
    </row>
    <row r="58">
      <c r="A58" s="32">
        <f>Plan!A80</f>
        <v/>
      </c>
      <c r="B58" s="33">
        <f>Plan!C80</f>
        <v/>
      </c>
      <c r="C58" s="16">
        <f>Plan!D80</f>
        <v/>
      </c>
      <c r="D58" s="16">
        <f>Plan!I80</f>
        <v/>
      </c>
      <c r="E58" s="16">
        <f>Plan!K80</f>
        <v/>
      </c>
      <c r="F58" s="16">
        <f>Plan!L80</f>
        <v/>
      </c>
      <c r="G58" s="16">
        <f>Plan!O80</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c r="CT58" s="34">
        <f>IF(AND(CT$5&gt;$E58,CT$5&lt;=$F58),IF(CT$5=$E58+1,$C58,""),"")</f>
        <v/>
      </c>
      <c r="CU58" s="34">
        <f>IF(AND(CU$5&gt;$E58,CU$5&lt;=$F58),IF(CU$5=$E58+1,$C58,""),"")</f>
        <v/>
      </c>
      <c r="CV58" s="34">
        <f>IF(AND(CV$5&gt;$E58,CV$5&lt;=$F58),IF(CV$5=$E58+1,$C58,""),"")</f>
        <v/>
      </c>
      <c r="CW58" s="34">
        <f>IF(AND(CW$5&gt;$E58,CW$5&lt;=$F58),IF(CW$5=$E58+1,$C58,""),"")</f>
        <v/>
      </c>
      <c r="CX58" s="34">
        <f>IF(AND(CX$5&gt;$E58,CX$5&lt;=$F58),IF(CX$5=$E58+1,$C58,""),"")</f>
        <v/>
      </c>
      <c r="CY58" s="34">
        <f>IF(AND(CY$5&gt;$E58,CY$5&lt;=$F58),IF(CY$5=$E58+1,$C58,""),"")</f>
        <v/>
      </c>
      <c r="CZ58" s="34">
        <f>IF(AND(CZ$5&gt;$E58,CZ$5&lt;=$F58),IF(CZ$5=$E58+1,$C58,""),"")</f>
        <v/>
      </c>
      <c r="DA58" s="34">
        <f>IF(AND(DA$5&gt;$E58,DA$5&lt;=$F58),IF(DA$5=$E58+1,$C58,""),"")</f>
        <v/>
      </c>
      <c r="DB58" s="34">
        <f>IF(AND(DB$5&gt;$E58,DB$5&lt;=$F58),IF(DB$5=$E58+1,$C58,""),"")</f>
        <v/>
      </c>
      <c r="DC58" s="34">
        <f>IF(AND(DC$5&gt;$E58,DC$5&lt;=$F58),IF(DC$5=$E58+1,$C58,""),"")</f>
        <v/>
      </c>
    </row>
    <row r="59">
      <c r="A59" s="32">
        <f>Plan!A81</f>
        <v/>
      </c>
      <c r="B59" s="33">
        <f>Plan!C81</f>
        <v/>
      </c>
      <c r="C59" s="16">
        <f>Plan!D81</f>
        <v/>
      </c>
      <c r="D59" s="16">
        <f>Plan!I81</f>
        <v/>
      </c>
      <c r="E59" s="16">
        <f>Plan!K81</f>
        <v/>
      </c>
      <c r="F59" s="16">
        <f>Plan!L81</f>
        <v/>
      </c>
      <c r="G59" s="16">
        <f>Plan!O81</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c r="CJ59" s="34">
        <f>IF(AND(CJ$5&gt;$E59,CJ$5&lt;=$F59),IF(CJ$5=$E59+1,$C59,""),"")</f>
        <v/>
      </c>
      <c r="CK59" s="34">
        <f>IF(AND(CK$5&gt;$E59,CK$5&lt;=$F59),IF(CK$5=$E59+1,$C59,""),"")</f>
        <v/>
      </c>
      <c r="CL59" s="34">
        <f>IF(AND(CL$5&gt;$E59,CL$5&lt;=$F59),IF(CL$5=$E59+1,$C59,""),"")</f>
        <v/>
      </c>
      <c r="CM59" s="34">
        <f>IF(AND(CM$5&gt;$E59,CM$5&lt;=$F59),IF(CM$5=$E59+1,$C59,""),"")</f>
        <v/>
      </c>
      <c r="CN59" s="34">
        <f>IF(AND(CN$5&gt;$E59,CN$5&lt;=$F59),IF(CN$5=$E59+1,$C59,""),"")</f>
        <v/>
      </c>
      <c r="CO59" s="34">
        <f>IF(AND(CO$5&gt;$E59,CO$5&lt;=$F59),IF(CO$5=$E59+1,$C59,""),"")</f>
        <v/>
      </c>
      <c r="CP59" s="34">
        <f>IF(AND(CP$5&gt;$E59,CP$5&lt;=$F59),IF(CP$5=$E59+1,$C59,""),"")</f>
        <v/>
      </c>
      <c r="CQ59" s="34">
        <f>IF(AND(CQ$5&gt;$E59,CQ$5&lt;=$F59),IF(CQ$5=$E59+1,$C59,""),"")</f>
        <v/>
      </c>
      <c r="CR59" s="34">
        <f>IF(AND(CR$5&gt;$E59,CR$5&lt;=$F59),IF(CR$5=$E59+1,$C59,""),"")</f>
        <v/>
      </c>
      <c r="CS59" s="34">
        <f>IF(AND(CS$5&gt;$E59,CS$5&lt;=$F59),IF(CS$5=$E59+1,$C59,""),"")</f>
        <v/>
      </c>
      <c r="CT59" s="34">
        <f>IF(AND(CT$5&gt;$E59,CT$5&lt;=$F59),IF(CT$5=$E59+1,$C59,""),"")</f>
        <v/>
      </c>
      <c r="CU59" s="34">
        <f>IF(AND(CU$5&gt;$E59,CU$5&lt;=$F59),IF(CU$5=$E59+1,$C59,""),"")</f>
        <v/>
      </c>
      <c r="CV59" s="34">
        <f>IF(AND(CV$5&gt;$E59,CV$5&lt;=$F59),IF(CV$5=$E59+1,$C59,""),"")</f>
        <v/>
      </c>
      <c r="CW59" s="34">
        <f>IF(AND(CW$5&gt;$E59,CW$5&lt;=$F59),IF(CW$5=$E59+1,$C59,""),"")</f>
        <v/>
      </c>
      <c r="CX59" s="34">
        <f>IF(AND(CX$5&gt;$E59,CX$5&lt;=$F59),IF(CX$5=$E59+1,$C59,""),"")</f>
        <v/>
      </c>
      <c r="CY59" s="34">
        <f>IF(AND(CY$5&gt;$E59,CY$5&lt;=$F59),IF(CY$5=$E59+1,$C59,""),"")</f>
        <v/>
      </c>
      <c r="CZ59" s="34">
        <f>IF(AND(CZ$5&gt;$E59,CZ$5&lt;=$F59),IF(CZ$5=$E59+1,$C59,""),"")</f>
        <v/>
      </c>
      <c r="DA59" s="34">
        <f>IF(AND(DA$5&gt;$E59,DA$5&lt;=$F59),IF(DA$5=$E59+1,$C59,""),"")</f>
        <v/>
      </c>
      <c r="DB59" s="34">
        <f>IF(AND(DB$5&gt;$E59,DB$5&lt;=$F59),IF(DB$5=$E59+1,$C59,""),"")</f>
        <v/>
      </c>
      <c r="DC59" s="34">
        <f>IF(AND(DC$5&gt;$E59,DC$5&lt;=$F59),IF(DC$5=$E59+1,$C59,""),"")</f>
        <v/>
      </c>
    </row>
    <row r="60">
      <c r="A60" s="27" t="inlineStr">
        <is>
          <t>Fase 5. Convenios y pulido</t>
        </is>
      </c>
      <c r="B60" s="28" t="n"/>
      <c r="C60" s="28" t="n"/>
      <c r="D60" s="28" t="n"/>
      <c r="E60" s="29">
        <f>SUMPRODUCT(MIN((Plan!$B$5:$B$88="5. Convenios y pulido")*Plan!$K$5:$K$88+(Plan!$B$5:$B$88&lt;&gt;"5. Convenios y pulido")*1E9))</f>
        <v/>
      </c>
      <c r="F60" s="29">
        <f>SUMPRODUCT(MAX((Plan!$B$5:$B$88="5. Convenios y pulido")*Plan!$L$5:$L$88))</f>
        <v/>
      </c>
      <c r="G60" s="30">
        <f>Resumen!E33</f>
        <v/>
      </c>
      <c r="H60" s="31" t="n"/>
      <c r="I60" s="31" t="n"/>
      <c r="J60" s="31" t="n"/>
      <c r="K60" s="31" t="n"/>
      <c r="L60" s="31" t="n"/>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row>
    <row r="61">
      <c r="A61" s="32">
        <f>Plan!A48</f>
        <v/>
      </c>
      <c r="B61" s="33">
        <f>Plan!C48</f>
        <v/>
      </c>
      <c r="C61" s="16">
        <f>Plan!D48</f>
        <v/>
      </c>
      <c r="D61" s="16">
        <f>Plan!I48</f>
        <v/>
      </c>
      <c r="E61" s="16">
        <f>Plan!K48</f>
        <v/>
      </c>
      <c r="F61" s="16">
        <f>Plan!L48</f>
        <v/>
      </c>
      <c r="G61" s="16">
        <f>Plan!O48</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c r="CT61" s="34">
        <f>IF(AND(CT$5&gt;$E61,CT$5&lt;=$F61),IF(CT$5=$E61+1,$C61,""),"")</f>
        <v/>
      </c>
      <c r="CU61" s="34">
        <f>IF(AND(CU$5&gt;$E61,CU$5&lt;=$F61),IF(CU$5=$E61+1,$C61,""),"")</f>
        <v/>
      </c>
      <c r="CV61" s="34">
        <f>IF(AND(CV$5&gt;$E61,CV$5&lt;=$F61),IF(CV$5=$E61+1,$C61,""),"")</f>
        <v/>
      </c>
      <c r="CW61" s="34">
        <f>IF(AND(CW$5&gt;$E61,CW$5&lt;=$F61),IF(CW$5=$E61+1,$C61,""),"")</f>
        <v/>
      </c>
      <c r="CX61" s="34">
        <f>IF(AND(CX$5&gt;$E61,CX$5&lt;=$F61),IF(CX$5=$E61+1,$C61,""),"")</f>
        <v/>
      </c>
      <c r="CY61" s="34">
        <f>IF(AND(CY$5&gt;$E61,CY$5&lt;=$F61),IF(CY$5=$E61+1,$C61,""),"")</f>
        <v/>
      </c>
      <c r="CZ61" s="34">
        <f>IF(AND(CZ$5&gt;$E61,CZ$5&lt;=$F61),IF(CZ$5=$E61+1,$C61,""),"")</f>
        <v/>
      </c>
      <c r="DA61" s="34">
        <f>IF(AND(DA$5&gt;$E61,DA$5&lt;=$F61),IF(DA$5=$E61+1,$C61,""),"")</f>
        <v/>
      </c>
      <c r="DB61" s="34">
        <f>IF(AND(DB$5&gt;$E61,DB$5&lt;=$F61),IF(DB$5=$E61+1,$C61,""),"")</f>
        <v/>
      </c>
      <c r="DC61" s="34">
        <f>IF(AND(DC$5&gt;$E61,DC$5&lt;=$F61),IF(DC$5=$E61+1,$C61,""),"")</f>
        <v/>
      </c>
    </row>
    <row r="62">
      <c r="A62" s="32">
        <f>Plan!A49</f>
        <v/>
      </c>
      <c r="B62" s="33">
        <f>Plan!C49</f>
        <v/>
      </c>
      <c r="C62" s="16">
        <f>Plan!D49</f>
        <v/>
      </c>
      <c r="D62" s="16">
        <f>Plan!I49</f>
        <v/>
      </c>
      <c r="E62" s="16">
        <f>Plan!K49</f>
        <v/>
      </c>
      <c r="F62" s="16">
        <f>Plan!L49</f>
        <v/>
      </c>
      <c r="G62" s="16">
        <f>Plan!O49</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c r="CT62" s="34">
        <f>IF(AND(CT$5&gt;$E62,CT$5&lt;=$F62),IF(CT$5=$E62+1,$C62,""),"")</f>
        <v/>
      </c>
      <c r="CU62" s="34">
        <f>IF(AND(CU$5&gt;$E62,CU$5&lt;=$F62),IF(CU$5=$E62+1,$C62,""),"")</f>
        <v/>
      </c>
      <c r="CV62" s="34">
        <f>IF(AND(CV$5&gt;$E62,CV$5&lt;=$F62),IF(CV$5=$E62+1,$C62,""),"")</f>
        <v/>
      </c>
      <c r="CW62" s="34">
        <f>IF(AND(CW$5&gt;$E62,CW$5&lt;=$F62),IF(CW$5=$E62+1,$C62,""),"")</f>
        <v/>
      </c>
      <c r="CX62" s="34">
        <f>IF(AND(CX$5&gt;$E62,CX$5&lt;=$F62),IF(CX$5=$E62+1,$C62,""),"")</f>
        <v/>
      </c>
      <c r="CY62" s="34">
        <f>IF(AND(CY$5&gt;$E62,CY$5&lt;=$F62),IF(CY$5=$E62+1,$C62,""),"")</f>
        <v/>
      </c>
      <c r="CZ62" s="34">
        <f>IF(AND(CZ$5&gt;$E62,CZ$5&lt;=$F62),IF(CZ$5=$E62+1,$C62,""),"")</f>
        <v/>
      </c>
      <c r="DA62" s="34">
        <f>IF(AND(DA$5&gt;$E62,DA$5&lt;=$F62),IF(DA$5=$E62+1,$C62,""),"")</f>
        <v/>
      </c>
      <c r="DB62" s="34">
        <f>IF(AND(DB$5&gt;$E62,DB$5&lt;=$F62),IF(DB$5=$E62+1,$C62,""),"")</f>
        <v/>
      </c>
      <c r="DC62" s="34">
        <f>IF(AND(DC$5&gt;$E62,DC$5&lt;=$F62),IF(DC$5=$E62+1,$C62,""),"")</f>
        <v/>
      </c>
    </row>
    <row r="63">
      <c r="A63" s="32">
        <f>Plan!A50</f>
        <v/>
      </c>
      <c r="B63" s="33">
        <f>Plan!C50</f>
        <v/>
      </c>
      <c r="C63" s="16">
        <f>Plan!D50</f>
        <v/>
      </c>
      <c r="D63" s="16">
        <f>Plan!I50</f>
        <v/>
      </c>
      <c r="E63" s="16">
        <f>Plan!K50</f>
        <v/>
      </c>
      <c r="F63" s="16">
        <f>Plan!L50</f>
        <v/>
      </c>
      <c r="G63" s="16">
        <f>Plan!O50</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c r="CT63" s="34">
        <f>IF(AND(CT$5&gt;$E63,CT$5&lt;=$F63),IF(CT$5=$E63+1,$C63,""),"")</f>
        <v/>
      </c>
      <c r="CU63" s="34">
        <f>IF(AND(CU$5&gt;$E63,CU$5&lt;=$F63),IF(CU$5=$E63+1,$C63,""),"")</f>
        <v/>
      </c>
      <c r="CV63" s="34">
        <f>IF(AND(CV$5&gt;$E63,CV$5&lt;=$F63),IF(CV$5=$E63+1,$C63,""),"")</f>
        <v/>
      </c>
      <c r="CW63" s="34">
        <f>IF(AND(CW$5&gt;$E63,CW$5&lt;=$F63),IF(CW$5=$E63+1,$C63,""),"")</f>
        <v/>
      </c>
      <c r="CX63" s="34">
        <f>IF(AND(CX$5&gt;$E63,CX$5&lt;=$F63),IF(CX$5=$E63+1,$C63,""),"")</f>
        <v/>
      </c>
      <c r="CY63" s="34">
        <f>IF(AND(CY$5&gt;$E63,CY$5&lt;=$F63),IF(CY$5=$E63+1,$C63,""),"")</f>
        <v/>
      </c>
      <c r="CZ63" s="34">
        <f>IF(AND(CZ$5&gt;$E63,CZ$5&lt;=$F63),IF(CZ$5=$E63+1,$C63,""),"")</f>
        <v/>
      </c>
      <c r="DA63" s="34">
        <f>IF(AND(DA$5&gt;$E63,DA$5&lt;=$F63),IF(DA$5=$E63+1,$C63,""),"")</f>
        <v/>
      </c>
      <c r="DB63" s="34">
        <f>IF(AND(DB$5&gt;$E63,DB$5&lt;=$F63),IF(DB$5=$E63+1,$C63,""),"")</f>
        <v/>
      </c>
      <c r="DC63" s="34">
        <f>IF(AND(DC$5&gt;$E63,DC$5&lt;=$F63),IF(DC$5=$E63+1,$C63,""),"")</f>
        <v/>
      </c>
    </row>
    <row r="64">
      <c r="A64" s="32">
        <f>Plan!A51</f>
        <v/>
      </c>
      <c r="B64" s="33">
        <f>Plan!C51</f>
        <v/>
      </c>
      <c r="C64" s="16">
        <f>Plan!D51</f>
        <v/>
      </c>
      <c r="D64" s="16">
        <f>Plan!I51</f>
        <v/>
      </c>
      <c r="E64" s="16">
        <f>Plan!K51</f>
        <v/>
      </c>
      <c r="F64" s="16">
        <f>Plan!L51</f>
        <v/>
      </c>
      <c r="G64" s="16">
        <f>Plan!O51</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c r="CT64" s="34">
        <f>IF(AND(CT$5&gt;$E64,CT$5&lt;=$F64),IF(CT$5=$E64+1,$C64,""),"")</f>
        <v/>
      </c>
      <c r="CU64" s="34">
        <f>IF(AND(CU$5&gt;$E64,CU$5&lt;=$F64),IF(CU$5=$E64+1,$C64,""),"")</f>
        <v/>
      </c>
      <c r="CV64" s="34">
        <f>IF(AND(CV$5&gt;$E64,CV$5&lt;=$F64),IF(CV$5=$E64+1,$C64,""),"")</f>
        <v/>
      </c>
      <c r="CW64" s="34">
        <f>IF(AND(CW$5&gt;$E64,CW$5&lt;=$F64),IF(CW$5=$E64+1,$C64,""),"")</f>
        <v/>
      </c>
      <c r="CX64" s="34">
        <f>IF(AND(CX$5&gt;$E64,CX$5&lt;=$F64),IF(CX$5=$E64+1,$C64,""),"")</f>
        <v/>
      </c>
      <c r="CY64" s="34">
        <f>IF(AND(CY$5&gt;$E64,CY$5&lt;=$F64),IF(CY$5=$E64+1,$C64,""),"")</f>
        <v/>
      </c>
      <c r="CZ64" s="34">
        <f>IF(AND(CZ$5&gt;$E64,CZ$5&lt;=$F64),IF(CZ$5=$E64+1,$C64,""),"")</f>
        <v/>
      </c>
      <c r="DA64" s="34">
        <f>IF(AND(DA$5&gt;$E64,DA$5&lt;=$F64),IF(DA$5=$E64+1,$C64,""),"")</f>
        <v/>
      </c>
      <c r="DB64" s="34">
        <f>IF(AND(DB$5&gt;$E64,DB$5&lt;=$F64),IF(DB$5=$E64+1,$C64,""),"")</f>
        <v/>
      </c>
      <c r="DC64" s="34">
        <f>IF(AND(DC$5&gt;$E64,DC$5&lt;=$F64),IF(DC$5=$E64+1,$C64,""),"")</f>
        <v/>
      </c>
    </row>
    <row r="65">
      <c r="A65" s="32">
        <f>Plan!A52</f>
        <v/>
      </c>
      <c r="B65" s="33">
        <f>Plan!C52</f>
        <v/>
      </c>
      <c r="C65" s="16">
        <f>Plan!D52</f>
        <v/>
      </c>
      <c r="D65" s="16">
        <f>Plan!I52</f>
        <v/>
      </c>
      <c r="E65" s="16">
        <f>Plan!K52</f>
        <v/>
      </c>
      <c r="F65" s="16">
        <f>Plan!L52</f>
        <v/>
      </c>
      <c r="G65" s="16">
        <f>Plan!O52</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c r="CT65" s="34">
        <f>IF(AND(CT$5&gt;$E65,CT$5&lt;=$F65),IF(CT$5=$E65+1,$C65,""),"")</f>
        <v/>
      </c>
      <c r="CU65" s="34">
        <f>IF(AND(CU$5&gt;$E65,CU$5&lt;=$F65),IF(CU$5=$E65+1,$C65,""),"")</f>
        <v/>
      </c>
      <c r="CV65" s="34">
        <f>IF(AND(CV$5&gt;$E65,CV$5&lt;=$F65),IF(CV$5=$E65+1,$C65,""),"")</f>
        <v/>
      </c>
      <c r="CW65" s="34">
        <f>IF(AND(CW$5&gt;$E65,CW$5&lt;=$F65),IF(CW$5=$E65+1,$C65,""),"")</f>
        <v/>
      </c>
      <c r="CX65" s="34">
        <f>IF(AND(CX$5&gt;$E65,CX$5&lt;=$F65),IF(CX$5=$E65+1,$C65,""),"")</f>
        <v/>
      </c>
      <c r="CY65" s="34">
        <f>IF(AND(CY$5&gt;$E65,CY$5&lt;=$F65),IF(CY$5=$E65+1,$C65,""),"")</f>
        <v/>
      </c>
      <c r="CZ65" s="34">
        <f>IF(AND(CZ$5&gt;$E65,CZ$5&lt;=$F65),IF(CZ$5=$E65+1,$C65,""),"")</f>
        <v/>
      </c>
      <c r="DA65" s="34">
        <f>IF(AND(DA$5&gt;$E65,DA$5&lt;=$F65),IF(DA$5=$E65+1,$C65,""),"")</f>
        <v/>
      </c>
      <c r="DB65" s="34">
        <f>IF(AND(DB$5&gt;$E65,DB$5&lt;=$F65),IF(DB$5=$E65+1,$C65,""),"")</f>
        <v/>
      </c>
      <c r="DC65" s="34">
        <f>IF(AND(DC$5&gt;$E65,DC$5&lt;=$F65),IF(DC$5=$E65+1,$C65,""),"")</f>
        <v/>
      </c>
    </row>
    <row r="66">
      <c r="A66" s="32">
        <f>Plan!A53</f>
        <v/>
      </c>
      <c r="B66" s="33">
        <f>Plan!C53</f>
        <v/>
      </c>
      <c r="C66" s="16">
        <f>Plan!D53</f>
        <v/>
      </c>
      <c r="D66" s="16">
        <f>Plan!I53</f>
        <v/>
      </c>
      <c r="E66" s="16">
        <f>Plan!K53</f>
        <v/>
      </c>
      <c r="F66" s="16">
        <f>Plan!L53</f>
        <v/>
      </c>
      <c r="G66" s="16">
        <f>Plan!O53</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c r="CT66" s="34">
        <f>IF(AND(CT$5&gt;$E66,CT$5&lt;=$F66),IF(CT$5=$E66+1,$C66,""),"")</f>
        <v/>
      </c>
      <c r="CU66" s="34">
        <f>IF(AND(CU$5&gt;$E66,CU$5&lt;=$F66),IF(CU$5=$E66+1,$C66,""),"")</f>
        <v/>
      </c>
      <c r="CV66" s="34">
        <f>IF(AND(CV$5&gt;$E66,CV$5&lt;=$F66),IF(CV$5=$E66+1,$C66,""),"")</f>
        <v/>
      </c>
      <c r="CW66" s="34">
        <f>IF(AND(CW$5&gt;$E66,CW$5&lt;=$F66),IF(CW$5=$E66+1,$C66,""),"")</f>
        <v/>
      </c>
      <c r="CX66" s="34">
        <f>IF(AND(CX$5&gt;$E66,CX$5&lt;=$F66),IF(CX$5=$E66+1,$C66,""),"")</f>
        <v/>
      </c>
      <c r="CY66" s="34">
        <f>IF(AND(CY$5&gt;$E66,CY$5&lt;=$F66),IF(CY$5=$E66+1,$C66,""),"")</f>
        <v/>
      </c>
      <c r="CZ66" s="34">
        <f>IF(AND(CZ$5&gt;$E66,CZ$5&lt;=$F66),IF(CZ$5=$E66+1,$C66,""),"")</f>
        <v/>
      </c>
      <c r="DA66" s="34">
        <f>IF(AND(DA$5&gt;$E66,DA$5&lt;=$F66),IF(DA$5=$E66+1,$C66,""),"")</f>
        <v/>
      </c>
      <c r="DB66" s="34">
        <f>IF(AND(DB$5&gt;$E66,DB$5&lt;=$F66),IF(DB$5=$E66+1,$C66,""),"")</f>
        <v/>
      </c>
      <c r="DC66" s="34">
        <f>IF(AND(DC$5&gt;$E66,DC$5&lt;=$F66),IF(DC$5=$E66+1,$C66,""),"")</f>
        <v/>
      </c>
    </row>
    <row r="67">
      <c r="A67" s="32">
        <f>Plan!A54</f>
        <v/>
      </c>
      <c r="B67" s="33">
        <f>Plan!C54</f>
        <v/>
      </c>
      <c r="C67" s="16">
        <f>Plan!D54</f>
        <v/>
      </c>
      <c r="D67" s="16">
        <f>Plan!I54</f>
        <v/>
      </c>
      <c r="E67" s="16">
        <f>Plan!K54</f>
        <v/>
      </c>
      <c r="F67" s="16">
        <f>Plan!L54</f>
        <v/>
      </c>
      <c r="G67" s="16">
        <f>Plan!O54</f>
        <v/>
      </c>
      <c r="H67" s="34">
        <f>IF(AND(H$5&gt;$E67,H$5&lt;=$F67),IF(H$5=$E67+1,$C67,""),"")</f>
        <v/>
      </c>
      <c r="I67" s="34">
        <f>IF(AND(I$5&gt;$E67,I$5&lt;=$F67),IF(I$5=$E67+1,$C67,""),"")</f>
        <v/>
      </c>
      <c r="J67" s="34">
        <f>IF(AND(J$5&gt;$E67,J$5&lt;=$F67),IF(J$5=$E67+1,$C67,""),"")</f>
        <v/>
      </c>
      <c r="K67" s="34">
        <f>IF(AND(K$5&gt;$E67,K$5&lt;=$F67),IF(K$5=$E67+1,$C67,""),"")</f>
        <v/>
      </c>
      <c r="L67" s="34">
        <f>IF(AND(L$5&gt;$E67,L$5&lt;=$F67),IF(L$5=$E67+1,$C67,""),"")</f>
        <v/>
      </c>
      <c r="M67" s="34">
        <f>IF(AND(M$5&gt;$E67,M$5&lt;=$F67),IF(M$5=$E67+1,$C67,""),"")</f>
        <v/>
      </c>
      <c r="N67" s="34">
        <f>IF(AND(N$5&gt;$E67,N$5&lt;=$F67),IF(N$5=$E67+1,$C67,""),"")</f>
        <v/>
      </c>
      <c r="O67" s="34">
        <f>IF(AND(O$5&gt;$E67,O$5&lt;=$F67),IF(O$5=$E67+1,$C67,""),"")</f>
        <v/>
      </c>
      <c r="P67" s="34">
        <f>IF(AND(P$5&gt;$E67,P$5&lt;=$F67),IF(P$5=$E67+1,$C67,""),"")</f>
        <v/>
      </c>
      <c r="Q67" s="34">
        <f>IF(AND(Q$5&gt;$E67,Q$5&lt;=$F67),IF(Q$5=$E67+1,$C67,""),"")</f>
        <v/>
      </c>
      <c r="R67" s="34">
        <f>IF(AND(R$5&gt;$E67,R$5&lt;=$F67),IF(R$5=$E67+1,$C67,""),"")</f>
        <v/>
      </c>
      <c r="S67" s="34">
        <f>IF(AND(S$5&gt;$E67,S$5&lt;=$F67),IF(S$5=$E67+1,$C67,""),"")</f>
        <v/>
      </c>
      <c r="T67" s="34">
        <f>IF(AND(T$5&gt;$E67,T$5&lt;=$F67),IF(T$5=$E67+1,$C67,""),"")</f>
        <v/>
      </c>
      <c r="U67" s="34">
        <f>IF(AND(U$5&gt;$E67,U$5&lt;=$F67),IF(U$5=$E67+1,$C67,""),"")</f>
        <v/>
      </c>
      <c r="V67" s="34">
        <f>IF(AND(V$5&gt;$E67,V$5&lt;=$F67),IF(V$5=$E67+1,$C67,""),"")</f>
        <v/>
      </c>
      <c r="W67" s="34">
        <f>IF(AND(W$5&gt;$E67,W$5&lt;=$F67),IF(W$5=$E67+1,$C67,""),"")</f>
        <v/>
      </c>
      <c r="X67" s="34">
        <f>IF(AND(X$5&gt;$E67,X$5&lt;=$F67),IF(X$5=$E67+1,$C67,""),"")</f>
        <v/>
      </c>
      <c r="Y67" s="34">
        <f>IF(AND(Y$5&gt;$E67,Y$5&lt;=$F67),IF(Y$5=$E67+1,$C67,""),"")</f>
        <v/>
      </c>
      <c r="Z67" s="34">
        <f>IF(AND(Z$5&gt;$E67,Z$5&lt;=$F67),IF(Z$5=$E67+1,$C67,""),"")</f>
        <v/>
      </c>
      <c r="AA67" s="34">
        <f>IF(AND(AA$5&gt;$E67,AA$5&lt;=$F67),IF(AA$5=$E67+1,$C67,""),"")</f>
        <v/>
      </c>
      <c r="AB67" s="34">
        <f>IF(AND(AB$5&gt;$E67,AB$5&lt;=$F67),IF(AB$5=$E67+1,$C67,""),"")</f>
        <v/>
      </c>
      <c r="AC67" s="34">
        <f>IF(AND(AC$5&gt;$E67,AC$5&lt;=$F67),IF(AC$5=$E67+1,$C67,""),"")</f>
        <v/>
      </c>
      <c r="AD67" s="34">
        <f>IF(AND(AD$5&gt;$E67,AD$5&lt;=$F67),IF(AD$5=$E67+1,$C67,""),"")</f>
        <v/>
      </c>
      <c r="AE67" s="34">
        <f>IF(AND(AE$5&gt;$E67,AE$5&lt;=$F67),IF(AE$5=$E67+1,$C67,""),"")</f>
        <v/>
      </c>
      <c r="AF67" s="34">
        <f>IF(AND(AF$5&gt;$E67,AF$5&lt;=$F67),IF(AF$5=$E67+1,$C67,""),"")</f>
        <v/>
      </c>
      <c r="AG67" s="34">
        <f>IF(AND(AG$5&gt;$E67,AG$5&lt;=$F67),IF(AG$5=$E67+1,$C67,""),"")</f>
        <v/>
      </c>
      <c r="AH67" s="34">
        <f>IF(AND(AH$5&gt;$E67,AH$5&lt;=$F67),IF(AH$5=$E67+1,$C67,""),"")</f>
        <v/>
      </c>
      <c r="AI67" s="34">
        <f>IF(AND(AI$5&gt;$E67,AI$5&lt;=$F67),IF(AI$5=$E67+1,$C67,""),"")</f>
        <v/>
      </c>
      <c r="AJ67" s="34">
        <f>IF(AND(AJ$5&gt;$E67,AJ$5&lt;=$F67),IF(AJ$5=$E67+1,$C67,""),"")</f>
        <v/>
      </c>
      <c r="AK67" s="34">
        <f>IF(AND(AK$5&gt;$E67,AK$5&lt;=$F67),IF(AK$5=$E67+1,$C67,""),"")</f>
        <v/>
      </c>
      <c r="AL67" s="34">
        <f>IF(AND(AL$5&gt;$E67,AL$5&lt;=$F67),IF(AL$5=$E67+1,$C67,""),"")</f>
        <v/>
      </c>
      <c r="AM67" s="34">
        <f>IF(AND(AM$5&gt;$E67,AM$5&lt;=$F67),IF(AM$5=$E67+1,$C67,""),"")</f>
        <v/>
      </c>
      <c r="AN67" s="34">
        <f>IF(AND(AN$5&gt;$E67,AN$5&lt;=$F67),IF(AN$5=$E67+1,$C67,""),"")</f>
        <v/>
      </c>
      <c r="AO67" s="34">
        <f>IF(AND(AO$5&gt;$E67,AO$5&lt;=$F67),IF(AO$5=$E67+1,$C67,""),"")</f>
        <v/>
      </c>
      <c r="AP67" s="34">
        <f>IF(AND(AP$5&gt;$E67,AP$5&lt;=$F67),IF(AP$5=$E67+1,$C67,""),"")</f>
        <v/>
      </c>
      <c r="AQ67" s="34">
        <f>IF(AND(AQ$5&gt;$E67,AQ$5&lt;=$F67),IF(AQ$5=$E67+1,$C67,""),"")</f>
        <v/>
      </c>
      <c r="AR67" s="34">
        <f>IF(AND(AR$5&gt;$E67,AR$5&lt;=$F67),IF(AR$5=$E67+1,$C67,""),"")</f>
        <v/>
      </c>
      <c r="AS67" s="34">
        <f>IF(AND(AS$5&gt;$E67,AS$5&lt;=$F67),IF(AS$5=$E67+1,$C67,""),"")</f>
        <v/>
      </c>
      <c r="AT67" s="34">
        <f>IF(AND(AT$5&gt;$E67,AT$5&lt;=$F67),IF(AT$5=$E67+1,$C67,""),"")</f>
        <v/>
      </c>
      <c r="AU67" s="34">
        <f>IF(AND(AU$5&gt;$E67,AU$5&lt;=$F67),IF(AU$5=$E67+1,$C67,""),"")</f>
        <v/>
      </c>
      <c r="AV67" s="34">
        <f>IF(AND(AV$5&gt;$E67,AV$5&lt;=$F67),IF(AV$5=$E67+1,$C67,""),"")</f>
        <v/>
      </c>
      <c r="AW67" s="34">
        <f>IF(AND(AW$5&gt;$E67,AW$5&lt;=$F67),IF(AW$5=$E67+1,$C67,""),"")</f>
        <v/>
      </c>
      <c r="AX67" s="34">
        <f>IF(AND(AX$5&gt;$E67,AX$5&lt;=$F67),IF(AX$5=$E67+1,$C67,""),"")</f>
        <v/>
      </c>
      <c r="AY67" s="34">
        <f>IF(AND(AY$5&gt;$E67,AY$5&lt;=$F67),IF(AY$5=$E67+1,$C67,""),"")</f>
        <v/>
      </c>
      <c r="AZ67" s="34">
        <f>IF(AND(AZ$5&gt;$E67,AZ$5&lt;=$F67),IF(AZ$5=$E67+1,$C67,""),"")</f>
        <v/>
      </c>
      <c r="BA67" s="34">
        <f>IF(AND(BA$5&gt;$E67,BA$5&lt;=$F67),IF(BA$5=$E67+1,$C67,""),"")</f>
        <v/>
      </c>
      <c r="BB67" s="34">
        <f>IF(AND(BB$5&gt;$E67,BB$5&lt;=$F67),IF(BB$5=$E67+1,$C67,""),"")</f>
        <v/>
      </c>
      <c r="BC67" s="34">
        <f>IF(AND(BC$5&gt;$E67,BC$5&lt;=$F67),IF(BC$5=$E67+1,$C67,""),"")</f>
        <v/>
      </c>
      <c r="BD67" s="34">
        <f>IF(AND(BD$5&gt;$E67,BD$5&lt;=$F67),IF(BD$5=$E67+1,$C67,""),"")</f>
        <v/>
      </c>
      <c r="BE67" s="34">
        <f>IF(AND(BE$5&gt;$E67,BE$5&lt;=$F67),IF(BE$5=$E67+1,$C67,""),"")</f>
        <v/>
      </c>
      <c r="BF67" s="34">
        <f>IF(AND(BF$5&gt;$E67,BF$5&lt;=$F67),IF(BF$5=$E67+1,$C67,""),"")</f>
        <v/>
      </c>
      <c r="BG67" s="34">
        <f>IF(AND(BG$5&gt;$E67,BG$5&lt;=$F67),IF(BG$5=$E67+1,$C67,""),"")</f>
        <v/>
      </c>
      <c r="BH67" s="34">
        <f>IF(AND(BH$5&gt;$E67,BH$5&lt;=$F67),IF(BH$5=$E67+1,$C67,""),"")</f>
        <v/>
      </c>
      <c r="BI67" s="34">
        <f>IF(AND(BI$5&gt;$E67,BI$5&lt;=$F67),IF(BI$5=$E67+1,$C67,""),"")</f>
        <v/>
      </c>
      <c r="BJ67" s="34">
        <f>IF(AND(BJ$5&gt;$E67,BJ$5&lt;=$F67),IF(BJ$5=$E67+1,$C67,""),"")</f>
        <v/>
      </c>
      <c r="BK67" s="34">
        <f>IF(AND(BK$5&gt;$E67,BK$5&lt;=$F67),IF(BK$5=$E67+1,$C67,""),"")</f>
        <v/>
      </c>
      <c r="BL67" s="34">
        <f>IF(AND(BL$5&gt;$E67,BL$5&lt;=$F67),IF(BL$5=$E67+1,$C67,""),"")</f>
        <v/>
      </c>
      <c r="BM67" s="34">
        <f>IF(AND(BM$5&gt;$E67,BM$5&lt;=$F67),IF(BM$5=$E67+1,$C67,""),"")</f>
        <v/>
      </c>
      <c r="BN67" s="34">
        <f>IF(AND(BN$5&gt;$E67,BN$5&lt;=$F67),IF(BN$5=$E67+1,$C67,""),"")</f>
        <v/>
      </c>
      <c r="BO67" s="34">
        <f>IF(AND(BO$5&gt;$E67,BO$5&lt;=$F67),IF(BO$5=$E67+1,$C67,""),"")</f>
        <v/>
      </c>
      <c r="BP67" s="34">
        <f>IF(AND(BP$5&gt;$E67,BP$5&lt;=$F67),IF(BP$5=$E67+1,$C67,""),"")</f>
        <v/>
      </c>
      <c r="BQ67" s="34">
        <f>IF(AND(BQ$5&gt;$E67,BQ$5&lt;=$F67),IF(BQ$5=$E67+1,$C67,""),"")</f>
        <v/>
      </c>
      <c r="BR67" s="34">
        <f>IF(AND(BR$5&gt;$E67,BR$5&lt;=$F67),IF(BR$5=$E67+1,$C67,""),"")</f>
        <v/>
      </c>
      <c r="BS67" s="34">
        <f>IF(AND(BS$5&gt;$E67,BS$5&lt;=$F67),IF(BS$5=$E67+1,$C67,""),"")</f>
        <v/>
      </c>
      <c r="BT67" s="34">
        <f>IF(AND(BT$5&gt;$E67,BT$5&lt;=$F67),IF(BT$5=$E67+1,$C67,""),"")</f>
        <v/>
      </c>
      <c r="BU67" s="34">
        <f>IF(AND(BU$5&gt;$E67,BU$5&lt;=$F67),IF(BU$5=$E67+1,$C67,""),"")</f>
        <v/>
      </c>
      <c r="BV67" s="34">
        <f>IF(AND(BV$5&gt;$E67,BV$5&lt;=$F67),IF(BV$5=$E67+1,$C67,""),"")</f>
        <v/>
      </c>
      <c r="BW67" s="34">
        <f>IF(AND(BW$5&gt;$E67,BW$5&lt;=$F67),IF(BW$5=$E67+1,$C67,""),"")</f>
        <v/>
      </c>
      <c r="BX67" s="34">
        <f>IF(AND(BX$5&gt;$E67,BX$5&lt;=$F67),IF(BX$5=$E67+1,$C67,""),"")</f>
        <v/>
      </c>
      <c r="BY67" s="34">
        <f>IF(AND(BY$5&gt;$E67,BY$5&lt;=$F67),IF(BY$5=$E67+1,$C67,""),"")</f>
        <v/>
      </c>
      <c r="BZ67" s="34">
        <f>IF(AND(BZ$5&gt;$E67,BZ$5&lt;=$F67),IF(BZ$5=$E67+1,$C67,""),"")</f>
        <v/>
      </c>
      <c r="CA67" s="34">
        <f>IF(AND(CA$5&gt;$E67,CA$5&lt;=$F67),IF(CA$5=$E67+1,$C67,""),"")</f>
        <v/>
      </c>
      <c r="CB67" s="34">
        <f>IF(AND(CB$5&gt;$E67,CB$5&lt;=$F67),IF(CB$5=$E67+1,$C67,""),"")</f>
        <v/>
      </c>
      <c r="CC67" s="34">
        <f>IF(AND(CC$5&gt;$E67,CC$5&lt;=$F67),IF(CC$5=$E67+1,$C67,""),"")</f>
        <v/>
      </c>
      <c r="CD67" s="34">
        <f>IF(AND(CD$5&gt;$E67,CD$5&lt;=$F67),IF(CD$5=$E67+1,$C67,""),"")</f>
        <v/>
      </c>
      <c r="CE67" s="34">
        <f>IF(AND(CE$5&gt;$E67,CE$5&lt;=$F67),IF(CE$5=$E67+1,$C67,""),"")</f>
        <v/>
      </c>
      <c r="CF67" s="34">
        <f>IF(AND(CF$5&gt;$E67,CF$5&lt;=$F67),IF(CF$5=$E67+1,$C67,""),"")</f>
        <v/>
      </c>
      <c r="CG67" s="34">
        <f>IF(AND(CG$5&gt;$E67,CG$5&lt;=$F67),IF(CG$5=$E67+1,$C67,""),"")</f>
        <v/>
      </c>
      <c r="CH67" s="34">
        <f>IF(AND(CH$5&gt;$E67,CH$5&lt;=$F67),IF(CH$5=$E67+1,$C67,""),"")</f>
        <v/>
      </c>
      <c r="CI67" s="34">
        <f>IF(AND(CI$5&gt;$E67,CI$5&lt;=$F67),IF(CI$5=$E67+1,$C67,""),"")</f>
        <v/>
      </c>
      <c r="CJ67" s="34">
        <f>IF(AND(CJ$5&gt;$E67,CJ$5&lt;=$F67),IF(CJ$5=$E67+1,$C67,""),"")</f>
        <v/>
      </c>
      <c r="CK67" s="34">
        <f>IF(AND(CK$5&gt;$E67,CK$5&lt;=$F67),IF(CK$5=$E67+1,$C67,""),"")</f>
        <v/>
      </c>
      <c r="CL67" s="34">
        <f>IF(AND(CL$5&gt;$E67,CL$5&lt;=$F67),IF(CL$5=$E67+1,$C67,""),"")</f>
        <v/>
      </c>
      <c r="CM67" s="34">
        <f>IF(AND(CM$5&gt;$E67,CM$5&lt;=$F67),IF(CM$5=$E67+1,$C67,""),"")</f>
        <v/>
      </c>
      <c r="CN67" s="34">
        <f>IF(AND(CN$5&gt;$E67,CN$5&lt;=$F67),IF(CN$5=$E67+1,$C67,""),"")</f>
        <v/>
      </c>
      <c r="CO67" s="34">
        <f>IF(AND(CO$5&gt;$E67,CO$5&lt;=$F67),IF(CO$5=$E67+1,$C67,""),"")</f>
        <v/>
      </c>
      <c r="CP67" s="34">
        <f>IF(AND(CP$5&gt;$E67,CP$5&lt;=$F67),IF(CP$5=$E67+1,$C67,""),"")</f>
        <v/>
      </c>
      <c r="CQ67" s="34">
        <f>IF(AND(CQ$5&gt;$E67,CQ$5&lt;=$F67),IF(CQ$5=$E67+1,$C67,""),"")</f>
        <v/>
      </c>
      <c r="CR67" s="34">
        <f>IF(AND(CR$5&gt;$E67,CR$5&lt;=$F67),IF(CR$5=$E67+1,$C67,""),"")</f>
        <v/>
      </c>
      <c r="CS67" s="34">
        <f>IF(AND(CS$5&gt;$E67,CS$5&lt;=$F67),IF(CS$5=$E67+1,$C67,""),"")</f>
        <v/>
      </c>
      <c r="CT67" s="34">
        <f>IF(AND(CT$5&gt;$E67,CT$5&lt;=$F67),IF(CT$5=$E67+1,$C67,""),"")</f>
        <v/>
      </c>
      <c r="CU67" s="34">
        <f>IF(AND(CU$5&gt;$E67,CU$5&lt;=$F67),IF(CU$5=$E67+1,$C67,""),"")</f>
        <v/>
      </c>
      <c r="CV67" s="34">
        <f>IF(AND(CV$5&gt;$E67,CV$5&lt;=$F67),IF(CV$5=$E67+1,$C67,""),"")</f>
        <v/>
      </c>
      <c r="CW67" s="34">
        <f>IF(AND(CW$5&gt;$E67,CW$5&lt;=$F67),IF(CW$5=$E67+1,$C67,""),"")</f>
        <v/>
      </c>
      <c r="CX67" s="34">
        <f>IF(AND(CX$5&gt;$E67,CX$5&lt;=$F67),IF(CX$5=$E67+1,$C67,""),"")</f>
        <v/>
      </c>
      <c r="CY67" s="34">
        <f>IF(AND(CY$5&gt;$E67,CY$5&lt;=$F67),IF(CY$5=$E67+1,$C67,""),"")</f>
        <v/>
      </c>
      <c r="CZ67" s="34">
        <f>IF(AND(CZ$5&gt;$E67,CZ$5&lt;=$F67),IF(CZ$5=$E67+1,$C67,""),"")</f>
        <v/>
      </c>
      <c r="DA67" s="34">
        <f>IF(AND(DA$5&gt;$E67,DA$5&lt;=$F67),IF(DA$5=$E67+1,$C67,""),"")</f>
        <v/>
      </c>
      <c r="DB67" s="34">
        <f>IF(AND(DB$5&gt;$E67,DB$5&lt;=$F67),IF(DB$5=$E67+1,$C67,""),"")</f>
        <v/>
      </c>
      <c r="DC67" s="34">
        <f>IF(AND(DC$5&gt;$E67,DC$5&lt;=$F67),IF(DC$5=$E67+1,$C67,""),"")</f>
        <v/>
      </c>
    </row>
    <row r="68">
      <c r="A68" s="32">
        <f>Plan!A55</f>
        <v/>
      </c>
      <c r="B68" s="33">
        <f>Plan!C55</f>
        <v/>
      </c>
      <c r="C68" s="16">
        <f>Plan!D55</f>
        <v/>
      </c>
      <c r="D68" s="16">
        <f>Plan!I55</f>
        <v/>
      </c>
      <c r="E68" s="16">
        <f>Plan!K55</f>
        <v/>
      </c>
      <c r="F68" s="16">
        <f>Plan!L55</f>
        <v/>
      </c>
      <c r="G68" s="16">
        <f>Plan!O55</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c r="CT68" s="34">
        <f>IF(AND(CT$5&gt;$E68,CT$5&lt;=$F68),IF(CT$5=$E68+1,$C68,""),"")</f>
        <v/>
      </c>
      <c r="CU68" s="34">
        <f>IF(AND(CU$5&gt;$E68,CU$5&lt;=$F68),IF(CU$5=$E68+1,$C68,""),"")</f>
        <v/>
      </c>
      <c r="CV68" s="34">
        <f>IF(AND(CV$5&gt;$E68,CV$5&lt;=$F68),IF(CV$5=$E68+1,$C68,""),"")</f>
        <v/>
      </c>
      <c r="CW68" s="34">
        <f>IF(AND(CW$5&gt;$E68,CW$5&lt;=$F68),IF(CW$5=$E68+1,$C68,""),"")</f>
        <v/>
      </c>
      <c r="CX68" s="34">
        <f>IF(AND(CX$5&gt;$E68,CX$5&lt;=$F68),IF(CX$5=$E68+1,$C68,""),"")</f>
        <v/>
      </c>
      <c r="CY68" s="34">
        <f>IF(AND(CY$5&gt;$E68,CY$5&lt;=$F68),IF(CY$5=$E68+1,$C68,""),"")</f>
        <v/>
      </c>
      <c r="CZ68" s="34">
        <f>IF(AND(CZ$5&gt;$E68,CZ$5&lt;=$F68),IF(CZ$5=$E68+1,$C68,""),"")</f>
        <v/>
      </c>
      <c r="DA68" s="34">
        <f>IF(AND(DA$5&gt;$E68,DA$5&lt;=$F68),IF(DA$5=$E68+1,$C68,""),"")</f>
        <v/>
      </c>
      <c r="DB68" s="34">
        <f>IF(AND(DB$5&gt;$E68,DB$5&lt;=$F68),IF(DB$5=$E68+1,$C68,""),"")</f>
        <v/>
      </c>
      <c r="DC68" s="34">
        <f>IF(AND(DC$5&gt;$E68,DC$5&lt;=$F68),IF(DC$5=$E68+1,$C68,""),"")</f>
        <v/>
      </c>
    </row>
    <row r="69">
      <c r="A69" s="32">
        <f>Plan!A56</f>
        <v/>
      </c>
      <c r="B69" s="33">
        <f>Plan!C56</f>
        <v/>
      </c>
      <c r="C69" s="16">
        <f>Plan!D56</f>
        <v/>
      </c>
      <c r="D69" s="16">
        <f>Plan!I56</f>
        <v/>
      </c>
      <c r="E69" s="16">
        <f>Plan!K56</f>
        <v/>
      </c>
      <c r="F69" s="16">
        <f>Plan!L56</f>
        <v/>
      </c>
      <c r="G69" s="16">
        <f>Plan!O56</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c r="CT69" s="34">
        <f>IF(AND(CT$5&gt;$E69,CT$5&lt;=$F69),IF(CT$5=$E69+1,$C69,""),"")</f>
        <v/>
      </c>
      <c r="CU69" s="34">
        <f>IF(AND(CU$5&gt;$E69,CU$5&lt;=$F69),IF(CU$5=$E69+1,$C69,""),"")</f>
        <v/>
      </c>
      <c r="CV69" s="34">
        <f>IF(AND(CV$5&gt;$E69,CV$5&lt;=$F69),IF(CV$5=$E69+1,$C69,""),"")</f>
        <v/>
      </c>
      <c r="CW69" s="34">
        <f>IF(AND(CW$5&gt;$E69,CW$5&lt;=$F69),IF(CW$5=$E69+1,$C69,""),"")</f>
        <v/>
      </c>
      <c r="CX69" s="34">
        <f>IF(AND(CX$5&gt;$E69,CX$5&lt;=$F69),IF(CX$5=$E69+1,$C69,""),"")</f>
        <v/>
      </c>
      <c r="CY69" s="34">
        <f>IF(AND(CY$5&gt;$E69,CY$5&lt;=$F69),IF(CY$5=$E69+1,$C69,""),"")</f>
        <v/>
      </c>
      <c r="CZ69" s="34">
        <f>IF(AND(CZ$5&gt;$E69,CZ$5&lt;=$F69),IF(CZ$5=$E69+1,$C69,""),"")</f>
        <v/>
      </c>
      <c r="DA69" s="34">
        <f>IF(AND(DA$5&gt;$E69,DA$5&lt;=$F69),IF(DA$5=$E69+1,$C69,""),"")</f>
        <v/>
      </c>
      <c r="DB69" s="34">
        <f>IF(AND(DB$5&gt;$E69,DB$5&lt;=$F69),IF(DB$5=$E69+1,$C69,""),"")</f>
        <v/>
      </c>
      <c r="DC69" s="34">
        <f>IF(AND(DC$5&gt;$E69,DC$5&lt;=$F69),IF(DC$5=$E69+1,$C69,""),"")</f>
        <v/>
      </c>
    </row>
    <row r="70">
      <c r="A70" s="32">
        <f>Plan!A57</f>
        <v/>
      </c>
      <c r="B70" s="33">
        <f>Plan!C57</f>
        <v/>
      </c>
      <c r="C70" s="16">
        <f>Plan!D57</f>
        <v/>
      </c>
      <c r="D70" s="16">
        <f>Plan!I57</f>
        <v/>
      </c>
      <c r="E70" s="16">
        <f>Plan!K57</f>
        <v/>
      </c>
      <c r="F70" s="16">
        <f>Plan!L57</f>
        <v/>
      </c>
      <c r="G70" s="16">
        <f>Plan!O57</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c r="CT70" s="34">
        <f>IF(AND(CT$5&gt;$E70,CT$5&lt;=$F70),IF(CT$5=$E70+1,$C70,""),"")</f>
        <v/>
      </c>
      <c r="CU70" s="34">
        <f>IF(AND(CU$5&gt;$E70,CU$5&lt;=$F70),IF(CU$5=$E70+1,$C70,""),"")</f>
        <v/>
      </c>
      <c r="CV70" s="34">
        <f>IF(AND(CV$5&gt;$E70,CV$5&lt;=$F70),IF(CV$5=$E70+1,$C70,""),"")</f>
        <v/>
      </c>
      <c r="CW70" s="34">
        <f>IF(AND(CW$5&gt;$E70,CW$5&lt;=$F70),IF(CW$5=$E70+1,$C70,""),"")</f>
        <v/>
      </c>
      <c r="CX70" s="34">
        <f>IF(AND(CX$5&gt;$E70,CX$5&lt;=$F70),IF(CX$5=$E70+1,$C70,""),"")</f>
        <v/>
      </c>
      <c r="CY70" s="34">
        <f>IF(AND(CY$5&gt;$E70,CY$5&lt;=$F70),IF(CY$5=$E70+1,$C70,""),"")</f>
        <v/>
      </c>
      <c r="CZ70" s="34">
        <f>IF(AND(CZ$5&gt;$E70,CZ$5&lt;=$F70),IF(CZ$5=$E70+1,$C70,""),"")</f>
        <v/>
      </c>
      <c r="DA70" s="34">
        <f>IF(AND(DA$5&gt;$E70,DA$5&lt;=$F70),IF(DA$5=$E70+1,$C70,""),"")</f>
        <v/>
      </c>
      <c r="DB70" s="34">
        <f>IF(AND(DB$5&gt;$E70,DB$5&lt;=$F70),IF(DB$5=$E70+1,$C70,""),"")</f>
        <v/>
      </c>
      <c r="DC70" s="34">
        <f>IF(AND(DC$5&gt;$E70,DC$5&lt;=$F70),IF(DC$5=$E70+1,$C70,""),"")</f>
        <v/>
      </c>
    </row>
    <row r="71">
      <c r="A71" s="32">
        <f>Plan!A84</f>
        <v/>
      </c>
      <c r="B71" s="33">
        <f>Plan!C84</f>
        <v/>
      </c>
      <c r="C71" s="16">
        <f>Plan!D84</f>
        <v/>
      </c>
      <c r="D71" s="16">
        <f>Plan!I84</f>
        <v/>
      </c>
      <c r="E71" s="16">
        <f>Plan!K84</f>
        <v/>
      </c>
      <c r="F71" s="16">
        <f>Plan!L84</f>
        <v/>
      </c>
      <c r="G71" s="16">
        <f>Plan!O84</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c r="CT71" s="34">
        <f>IF(AND(CT$5&gt;$E71,CT$5&lt;=$F71),IF(CT$5=$E71+1,$C71,""),"")</f>
        <v/>
      </c>
      <c r="CU71" s="34">
        <f>IF(AND(CU$5&gt;$E71,CU$5&lt;=$F71),IF(CU$5=$E71+1,$C71,""),"")</f>
        <v/>
      </c>
      <c r="CV71" s="34">
        <f>IF(AND(CV$5&gt;$E71,CV$5&lt;=$F71),IF(CV$5=$E71+1,$C71,""),"")</f>
        <v/>
      </c>
      <c r="CW71" s="34">
        <f>IF(AND(CW$5&gt;$E71,CW$5&lt;=$F71),IF(CW$5=$E71+1,$C71,""),"")</f>
        <v/>
      </c>
      <c r="CX71" s="34">
        <f>IF(AND(CX$5&gt;$E71,CX$5&lt;=$F71),IF(CX$5=$E71+1,$C71,""),"")</f>
        <v/>
      </c>
      <c r="CY71" s="34">
        <f>IF(AND(CY$5&gt;$E71,CY$5&lt;=$F71),IF(CY$5=$E71+1,$C71,""),"")</f>
        <v/>
      </c>
      <c r="CZ71" s="34">
        <f>IF(AND(CZ$5&gt;$E71,CZ$5&lt;=$F71),IF(CZ$5=$E71+1,$C71,""),"")</f>
        <v/>
      </c>
      <c r="DA71" s="34">
        <f>IF(AND(DA$5&gt;$E71,DA$5&lt;=$F71),IF(DA$5=$E71+1,$C71,""),"")</f>
        <v/>
      </c>
      <c r="DB71" s="34">
        <f>IF(AND(DB$5&gt;$E71,DB$5&lt;=$F71),IF(DB$5=$E71+1,$C71,""),"")</f>
        <v/>
      </c>
      <c r="DC71" s="34">
        <f>IF(AND(DC$5&gt;$E71,DC$5&lt;=$F71),IF(DC$5=$E71+1,$C71,""),"")</f>
        <v/>
      </c>
    </row>
    <row r="72">
      <c r="A72" s="32">
        <f>Plan!A85</f>
        <v/>
      </c>
      <c r="B72" s="33">
        <f>Plan!C85</f>
        <v/>
      </c>
      <c r="C72" s="16">
        <f>Plan!D85</f>
        <v/>
      </c>
      <c r="D72" s="16">
        <f>Plan!I85</f>
        <v/>
      </c>
      <c r="E72" s="16">
        <f>Plan!K85</f>
        <v/>
      </c>
      <c r="F72" s="16">
        <f>Plan!L85</f>
        <v/>
      </c>
      <c r="G72" s="16">
        <f>Plan!O85</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c r="CT72" s="34">
        <f>IF(AND(CT$5&gt;$E72,CT$5&lt;=$F72),IF(CT$5=$E72+1,$C72,""),"")</f>
        <v/>
      </c>
      <c r="CU72" s="34">
        <f>IF(AND(CU$5&gt;$E72,CU$5&lt;=$F72),IF(CU$5=$E72+1,$C72,""),"")</f>
        <v/>
      </c>
      <c r="CV72" s="34">
        <f>IF(AND(CV$5&gt;$E72,CV$5&lt;=$F72),IF(CV$5=$E72+1,$C72,""),"")</f>
        <v/>
      </c>
      <c r="CW72" s="34">
        <f>IF(AND(CW$5&gt;$E72,CW$5&lt;=$F72),IF(CW$5=$E72+1,$C72,""),"")</f>
        <v/>
      </c>
      <c r="CX72" s="34">
        <f>IF(AND(CX$5&gt;$E72,CX$5&lt;=$F72),IF(CX$5=$E72+1,$C72,""),"")</f>
        <v/>
      </c>
      <c r="CY72" s="34">
        <f>IF(AND(CY$5&gt;$E72,CY$5&lt;=$F72),IF(CY$5=$E72+1,$C72,""),"")</f>
        <v/>
      </c>
      <c r="CZ72" s="34">
        <f>IF(AND(CZ$5&gt;$E72,CZ$5&lt;=$F72),IF(CZ$5=$E72+1,$C72,""),"")</f>
        <v/>
      </c>
      <c r="DA72" s="34">
        <f>IF(AND(DA$5&gt;$E72,DA$5&lt;=$F72),IF(DA$5=$E72+1,$C72,""),"")</f>
        <v/>
      </c>
      <c r="DB72" s="34">
        <f>IF(AND(DB$5&gt;$E72,DB$5&lt;=$F72),IF(DB$5=$E72+1,$C72,""),"")</f>
        <v/>
      </c>
      <c r="DC72" s="34">
        <f>IF(AND(DC$5&gt;$E72,DC$5&lt;=$F72),IF(DC$5=$E72+1,$C72,""),"")</f>
        <v/>
      </c>
    </row>
    <row r="73">
      <c r="A73" s="32">
        <f>Plan!A86</f>
        <v/>
      </c>
      <c r="B73" s="33">
        <f>Plan!C86</f>
        <v/>
      </c>
      <c r="C73" s="16">
        <f>Plan!D86</f>
        <v/>
      </c>
      <c r="D73" s="16">
        <f>Plan!I86</f>
        <v/>
      </c>
      <c r="E73" s="16">
        <f>Plan!K86</f>
        <v/>
      </c>
      <c r="F73" s="16">
        <f>Plan!L86</f>
        <v/>
      </c>
      <c r="G73" s="16">
        <f>Plan!O86</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c r="CJ73" s="34">
        <f>IF(AND(CJ$5&gt;$E73,CJ$5&lt;=$F73),IF(CJ$5=$E73+1,$C73,""),"")</f>
        <v/>
      </c>
      <c r="CK73" s="34">
        <f>IF(AND(CK$5&gt;$E73,CK$5&lt;=$F73),IF(CK$5=$E73+1,$C73,""),"")</f>
        <v/>
      </c>
      <c r="CL73" s="34">
        <f>IF(AND(CL$5&gt;$E73,CL$5&lt;=$F73),IF(CL$5=$E73+1,$C73,""),"")</f>
        <v/>
      </c>
      <c r="CM73" s="34">
        <f>IF(AND(CM$5&gt;$E73,CM$5&lt;=$F73),IF(CM$5=$E73+1,$C73,""),"")</f>
        <v/>
      </c>
      <c r="CN73" s="34">
        <f>IF(AND(CN$5&gt;$E73,CN$5&lt;=$F73),IF(CN$5=$E73+1,$C73,""),"")</f>
        <v/>
      </c>
      <c r="CO73" s="34">
        <f>IF(AND(CO$5&gt;$E73,CO$5&lt;=$F73),IF(CO$5=$E73+1,$C73,""),"")</f>
        <v/>
      </c>
      <c r="CP73" s="34">
        <f>IF(AND(CP$5&gt;$E73,CP$5&lt;=$F73),IF(CP$5=$E73+1,$C73,""),"")</f>
        <v/>
      </c>
      <c r="CQ73" s="34">
        <f>IF(AND(CQ$5&gt;$E73,CQ$5&lt;=$F73),IF(CQ$5=$E73+1,$C73,""),"")</f>
        <v/>
      </c>
      <c r="CR73" s="34">
        <f>IF(AND(CR$5&gt;$E73,CR$5&lt;=$F73),IF(CR$5=$E73+1,$C73,""),"")</f>
        <v/>
      </c>
      <c r="CS73" s="34">
        <f>IF(AND(CS$5&gt;$E73,CS$5&lt;=$F73),IF(CS$5=$E73+1,$C73,""),"")</f>
        <v/>
      </c>
      <c r="CT73" s="34">
        <f>IF(AND(CT$5&gt;$E73,CT$5&lt;=$F73),IF(CT$5=$E73+1,$C73,""),"")</f>
        <v/>
      </c>
      <c r="CU73" s="34">
        <f>IF(AND(CU$5&gt;$E73,CU$5&lt;=$F73),IF(CU$5=$E73+1,$C73,""),"")</f>
        <v/>
      </c>
      <c r="CV73" s="34">
        <f>IF(AND(CV$5&gt;$E73,CV$5&lt;=$F73),IF(CV$5=$E73+1,$C73,""),"")</f>
        <v/>
      </c>
      <c r="CW73" s="34">
        <f>IF(AND(CW$5&gt;$E73,CW$5&lt;=$F73),IF(CW$5=$E73+1,$C73,""),"")</f>
        <v/>
      </c>
      <c r="CX73" s="34">
        <f>IF(AND(CX$5&gt;$E73,CX$5&lt;=$F73),IF(CX$5=$E73+1,$C73,""),"")</f>
        <v/>
      </c>
      <c r="CY73" s="34">
        <f>IF(AND(CY$5&gt;$E73,CY$5&lt;=$F73),IF(CY$5=$E73+1,$C73,""),"")</f>
        <v/>
      </c>
      <c r="CZ73" s="34">
        <f>IF(AND(CZ$5&gt;$E73,CZ$5&lt;=$F73),IF(CZ$5=$E73+1,$C73,""),"")</f>
        <v/>
      </c>
      <c r="DA73" s="34">
        <f>IF(AND(DA$5&gt;$E73,DA$5&lt;=$F73),IF(DA$5=$E73+1,$C73,""),"")</f>
        <v/>
      </c>
      <c r="DB73" s="34">
        <f>IF(AND(DB$5&gt;$E73,DB$5&lt;=$F73),IF(DB$5=$E73+1,$C73,""),"")</f>
        <v/>
      </c>
      <c r="DC73" s="34">
        <f>IF(AND(DC$5&gt;$E73,DC$5&lt;=$F73),IF(DC$5=$E73+1,$C73,""),"")</f>
        <v/>
      </c>
    </row>
    <row r="74">
      <c r="A74" s="27" t="inlineStr">
        <is>
          <t>Fase 6. Pruebas y lanzamiento</t>
        </is>
      </c>
      <c r="B74" s="28" t="n"/>
      <c r="C74" s="28" t="n"/>
      <c r="D74" s="28" t="n"/>
      <c r="E74" s="29">
        <f>SUMPRODUCT(MIN((Plan!$B$5:$B$88="6. Pruebas y lanzamiento")*Plan!$K$5:$K$88+(Plan!$B$5:$B$88&lt;&gt;"6. Pruebas y lanzamiento")*1E9))</f>
        <v/>
      </c>
      <c r="F74" s="29">
        <f>SUMPRODUCT(MAX((Plan!$B$5:$B$88="6. Pruebas y lanzamiento")*Plan!$L$5:$L$88))</f>
        <v/>
      </c>
      <c r="G74" s="30">
        <f>Resumen!E34</f>
        <v/>
      </c>
      <c r="H74" s="31" t="n"/>
      <c r="I74" s="31" t="n"/>
      <c r="J74" s="31" t="n"/>
      <c r="K74" s="31" t="n"/>
      <c r="L74" s="31" t="n"/>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row>
    <row r="75">
      <c r="A75" s="32">
        <f>Plan!A58</f>
        <v/>
      </c>
      <c r="B75" s="33">
        <f>Plan!C58</f>
        <v/>
      </c>
      <c r="C75" s="16">
        <f>Plan!D58</f>
        <v/>
      </c>
      <c r="D75" s="16">
        <f>Plan!I58</f>
        <v/>
      </c>
      <c r="E75" s="16">
        <f>Plan!K58</f>
        <v/>
      </c>
      <c r="F75" s="16">
        <f>Plan!L58</f>
        <v/>
      </c>
      <c r="G75" s="16">
        <f>Plan!O58</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c r="CT75" s="34">
        <f>IF(AND(CT$5&gt;$E75,CT$5&lt;=$F75),IF(CT$5=$E75+1,$C75,""),"")</f>
        <v/>
      </c>
      <c r="CU75" s="34">
        <f>IF(AND(CU$5&gt;$E75,CU$5&lt;=$F75),IF(CU$5=$E75+1,$C75,""),"")</f>
        <v/>
      </c>
      <c r="CV75" s="34">
        <f>IF(AND(CV$5&gt;$E75,CV$5&lt;=$F75),IF(CV$5=$E75+1,$C75,""),"")</f>
        <v/>
      </c>
      <c r="CW75" s="34">
        <f>IF(AND(CW$5&gt;$E75,CW$5&lt;=$F75),IF(CW$5=$E75+1,$C75,""),"")</f>
        <v/>
      </c>
      <c r="CX75" s="34">
        <f>IF(AND(CX$5&gt;$E75,CX$5&lt;=$F75),IF(CX$5=$E75+1,$C75,""),"")</f>
        <v/>
      </c>
      <c r="CY75" s="34">
        <f>IF(AND(CY$5&gt;$E75,CY$5&lt;=$F75),IF(CY$5=$E75+1,$C75,""),"")</f>
        <v/>
      </c>
      <c r="CZ75" s="34">
        <f>IF(AND(CZ$5&gt;$E75,CZ$5&lt;=$F75),IF(CZ$5=$E75+1,$C75,""),"")</f>
        <v/>
      </c>
      <c r="DA75" s="34">
        <f>IF(AND(DA$5&gt;$E75,DA$5&lt;=$F75),IF(DA$5=$E75+1,$C75,""),"")</f>
        <v/>
      </c>
      <c r="DB75" s="34">
        <f>IF(AND(DB$5&gt;$E75,DB$5&lt;=$F75),IF(DB$5=$E75+1,$C75,""),"")</f>
        <v/>
      </c>
      <c r="DC75" s="34">
        <f>IF(AND(DC$5&gt;$E75,DC$5&lt;=$F75),IF(DC$5=$E75+1,$C75,""),"")</f>
        <v/>
      </c>
    </row>
    <row r="76">
      <c r="A76" s="32">
        <f>Plan!A59</f>
        <v/>
      </c>
      <c r="B76" s="33">
        <f>Plan!C59</f>
        <v/>
      </c>
      <c r="C76" s="16">
        <f>Plan!D59</f>
        <v/>
      </c>
      <c r="D76" s="16">
        <f>Plan!I59</f>
        <v/>
      </c>
      <c r="E76" s="16">
        <f>Plan!K59</f>
        <v/>
      </c>
      <c r="F76" s="16">
        <f>Plan!L59</f>
        <v/>
      </c>
      <c r="G76" s="16">
        <f>Plan!O59</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c r="CT76" s="34">
        <f>IF(AND(CT$5&gt;$E76,CT$5&lt;=$F76),IF(CT$5=$E76+1,$C76,""),"")</f>
        <v/>
      </c>
      <c r="CU76" s="34">
        <f>IF(AND(CU$5&gt;$E76,CU$5&lt;=$F76),IF(CU$5=$E76+1,$C76,""),"")</f>
        <v/>
      </c>
      <c r="CV76" s="34">
        <f>IF(AND(CV$5&gt;$E76,CV$5&lt;=$F76),IF(CV$5=$E76+1,$C76,""),"")</f>
        <v/>
      </c>
      <c r="CW76" s="34">
        <f>IF(AND(CW$5&gt;$E76,CW$5&lt;=$F76),IF(CW$5=$E76+1,$C76,""),"")</f>
        <v/>
      </c>
      <c r="CX76" s="34">
        <f>IF(AND(CX$5&gt;$E76,CX$5&lt;=$F76),IF(CX$5=$E76+1,$C76,""),"")</f>
        <v/>
      </c>
      <c r="CY76" s="34">
        <f>IF(AND(CY$5&gt;$E76,CY$5&lt;=$F76),IF(CY$5=$E76+1,$C76,""),"")</f>
        <v/>
      </c>
      <c r="CZ76" s="34">
        <f>IF(AND(CZ$5&gt;$E76,CZ$5&lt;=$F76),IF(CZ$5=$E76+1,$C76,""),"")</f>
        <v/>
      </c>
      <c r="DA76" s="34">
        <f>IF(AND(DA$5&gt;$E76,DA$5&lt;=$F76),IF(DA$5=$E76+1,$C76,""),"")</f>
        <v/>
      </c>
      <c r="DB76" s="34">
        <f>IF(AND(DB$5&gt;$E76,DB$5&lt;=$F76),IF(DB$5=$E76+1,$C76,""),"")</f>
        <v/>
      </c>
      <c r="DC76" s="34">
        <f>IF(AND(DC$5&gt;$E76,DC$5&lt;=$F76),IF(DC$5=$E76+1,$C76,""),"")</f>
        <v/>
      </c>
    </row>
    <row r="77">
      <c r="A77" s="32">
        <f>Plan!A60</f>
        <v/>
      </c>
      <c r="B77" s="33">
        <f>Plan!C60</f>
        <v/>
      </c>
      <c r="C77" s="16">
        <f>Plan!D60</f>
        <v/>
      </c>
      <c r="D77" s="16">
        <f>Plan!I60</f>
        <v/>
      </c>
      <c r="E77" s="16">
        <f>Plan!K60</f>
        <v/>
      </c>
      <c r="F77" s="16">
        <f>Plan!L60</f>
        <v/>
      </c>
      <c r="G77" s="16">
        <f>Plan!O60</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c r="CT77" s="34">
        <f>IF(AND(CT$5&gt;$E77,CT$5&lt;=$F77),IF(CT$5=$E77+1,$C77,""),"")</f>
        <v/>
      </c>
      <c r="CU77" s="34">
        <f>IF(AND(CU$5&gt;$E77,CU$5&lt;=$F77),IF(CU$5=$E77+1,$C77,""),"")</f>
        <v/>
      </c>
      <c r="CV77" s="34">
        <f>IF(AND(CV$5&gt;$E77,CV$5&lt;=$F77),IF(CV$5=$E77+1,$C77,""),"")</f>
        <v/>
      </c>
      <c r="CW77" s="34">
        <f>IF(AND(CW$5&gt;$E77,CW$5&lt;=$F77),IF(CW$5=$E77+1,$C77,""),"")</f>
        <v/>
      </c>
      <c r="CX77" s="34">
        <f>IF(AND(CX$5&gt;$E77,CX$5&lt;=$F77),IF(CX$5=$E77+1,$C77,""),"")</f>
        <v/>
      </c>
      <c r="CY77" s="34">
        <f>IF(AND(CY$5&gt;$E77,CY$5&lt;=$F77),IF(CY$5=$E77+1,$C77,""),"")</f>
        <v/>
      </c>
      <c r="CZ77" s="34">
        <f>IF(AND(CZ$5&gt;$E77,CZ$5&lt;=$F77),IF(CZ$5=$E77+1,$C77,""),"")</f>
        <v/>
      </c>
      <c r="DA77" s="34">
        <f>IF(AND(DA$5&gt;$E77,DA$5&lt;=$F77),IF(DA$5=$E77+1,$C77,""),"")</f>
        <v/>
      </c>
      <c r="DB77" s="34">
        <f>IF(AND(DB$5&gt;$E77,DB$5&lt;=$F77),IF(DB$5=$E77+1,$C77,""),"")</f>
        <v/>
      </c>
      <c r="DC77" s="34">
        <f>IF(AND(DC$5&gt;$E77,DC$5&lt;=$F77),IF(DC$5=$E77+1,$C77,""),"")</f>
        <v/>
      </c>
    </row>
    <row r="78">
      <c r="A78" s="32">
        <f>Plan!A61</f>
        <v/>
      </c>
      <c r="B78" s="33">
        <f>Plan!C61</f>
        <v/>
      </c>
      <c r="C78" s="16">
        <f>Plan!D61</f>
        <v/>
      </c>
      <c r="D78" s="16">
        <f>Plan!I61</f>
        <v/>
      </c>
      <c r="E78" s="16">
        <f>Plan!K61</f>
        <v/>
      </c>
      <c r="F78" s="16">
        <f>Plan!L61</f>
        <v/>
      </c>
      <c r="G78" s="16">
        <f>Plan!O61</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c r="CT78" s="34">
        <f>IF(AND(CT$5&gt;$E78,CT$5&lt;=$F78),IF(CT$5=$E78+1,$C78,""),"")</f>
        <v/>
      </c>
      <c r="CU78" s="34">
        <f>IF(AND(CU$5&gt;$E78,CU$5&lt;=$F78),IF(CU$5=$E78+1,$C78,""),"")</f>
        <v/>
      </c>
      <c r="CV78" s="34">
        <f>IF(AND(CV$5&gt;$E78,CV$5&lt;=$F78),IF(CV$5=$E78+1,$C78,""),"")</f>
        <v/>
      </c>
      <c r="CW78" s="34">
        <f>IF(AND(CW$5&gt;$E78,CW$5&lt;=$F78),IF(CW$5=$E78+1,$C78,""),"")</f>
        <v/>
      </c>
      <c r="CX78" s="34">
        <f>IF(AND(CX$5&gt;$E78,CX$5&lt;=$F78),IF(CX$5=$E78+1,$C78,""),"")</f>
        <v/>
      </c>
      <c r="CY78" s="34">
        <f>IF(AND(CY$5&gt;$E78,CY$5&lt;=$F78),IF(CY$5=$E78+1,$C78,""),"")</f>
        <v/>
      </c>
      <c r="CZ78" s="34">
        <f>IF(AND(CZ$5&gt;$E78,CZ$5&lt;=$F78),IF(CZ$5=$E78+1,$C78,""),"")</f>
        <v/>
      </c>
      <c r="DA78" s="34">
        <f>IF(AND(DA$5&gt;$E78,DA$5&lt;=$F78),IF(DA$5=$E78+1,$C78,""),"")</f>
        <v/>
      </c>
      <c r="DB78" s="34">
        <f>IF(AND(DB$5&gt;$E78,DB$5&lt;=$F78),IF(DB$5=$E78+1,$C78,""),"")</f>
        <v/>
      </c>
      <c r="DC78" s="34">
        <f>IF(AND(DC$5&gt;$E78,DC$5&lt;=$F78),IF(DC$5=$E78+1,$C78,""),"")</f>
        <v/>
      </c>
    </row>
    <row r="79">
      <c r="A79" s="32">
        <f>Plan!A62</f>
        <v/>
      </c>
      <c r="B79" s="33">
        <f>Plan!C62</f>
        <v/>
      </c>
      <c r="C79" s="16">
        <f>Plan!D62</f>
        <v/>
      </c>
      <c r="D79" s="16">
        <f>Plan!I62</f>
        <v/>
      </c>
      <c r="E79" s="16">
        <f>Plan!K62</f>
        <v/>
      </c>
      <c r="F79" s="16">
        <f>Plan!L62</f>
        <v/>
      </c>
      <c r="G79" s="16">
        <f>Plan!O62</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c r="CT79" s="34">
        <f>IF(AND(CT$5&gt;$E79,CT$5&lt;=$F79),IF(CT$5=$E79+1,$C79,""),"")</f>
        <v/>
      </c>
      <c r="CU79" s="34">
        <f>IF(AND(CU$5&gt;$E79,CU$5&lt;=$F79),IF(CU$5=$E79+1,$C79,""),"")</f>
        <v/>
      </c>
      <c r="CV79" s="34">
        <f>IF(AND(CV$5&gt;$E79,CV$5&lt;=$F79),IF(CV$5=$E79+1,$C79,""),"")</f>
        <v/>
      </c>
      <c r="CW79" s="34">
        <f>IF(AND(CW$5&gt;$E79,CW$5&lt;=$F79),IF(CW$5=$E79+1,$C79,""),"")</f>
        <v/>
      </c>
      <c r="CX79" s="34">
        <f>IF(AND(CX$5&gt;$E79,CX$5&lt;=$F79),IF(CX$5=$E79+1,$C79,""),"")</f>
        <v/>
      </c>
      <c r="CY79" s="34">
        <f>IF(AND(CY$5&gt;$E79,CY$5&lt;=$F79),IF(CY$5=$E79+1,$C79,""),"")</f>
        <v/>
      </c>
      <c r="CZ79" s="34">
        <f>IF(AND(CZ$5&gt;$E79,CZ$5&lt;=$F79),IF(CZ$5=$E79+1,$C79,""),"")</f>
        <v/>
      </c>
      <c r="DA79" s="34">
        <f>IF(AND(DA$5&gt;$E79,DA$5&lt;=$F79),IF(DA$5=$E79+1,$C79,""),"")</f>
        <v/>
      </c>
      <c r="DB79" s="34">
        <f>IF(AND(DB$5&gt;$E79,DB$5&lt;=$F79),IF(DB$5=$E79+1,$C79,""),"")</f>
        <v/>
      </c>
      <c r="DC79" s="34">
        <f>IF(AND(DC$5&gt;$E79,DC$5&lt;=$F79),IF(DC$5=$E79+1,$C79,""),"")</f>
        <v/>
      </c>
    </row>
    <row r="80">
      <c r="A80" s="32">
        <f>Plan!A63</f>
        <v/>
      </c>
      <c r="B80" s="33">
        <f>Plan!C63</f>
        <v/>
      </c>
      <c r="C80" s="16">
        <f>Plan!D63</f>
        <v/>
      </c>
      <c r="D80" s="16">
        <f>Plan!I63</f>
        <v/>
      </c>
      <c r="E80" s="16">
        <f>Plan!K63</f>
        <v/>
      </c>
      <c r="F80" s="16">
        <f>Plan!L63</f>
        <v/>
      </c>
      <c r="G80" s="16">
        <f>Plan!O63</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c r="CT80" s="34">
        <f>IF(AND(CT$5&gt;$E80,CT$5&lt;=$F80),IF(CT$5=$E80+1,$C80,""),"")</f>
        <v/>
      </c>
      <c r="CU80" s="34">
        <f>IF(AND(CU$5&gt;$E80,CU$5&lt;=$F80),IF(CU$5=$E80+1,$C80,""),"")</f>
        <v/>
      </c>
      <c r="CV80" s="34">
        <f>IF(AND(CV$5&gt;$E80,CV$5&lt;=$F80),IF(CV$5=$E80+1,$C80,""),"")</f>
        <v/>
      </c>
      <c r="CW80" s="34">
        <f>IF(AND(CW$5&gt;$E80,CW$5&lt;=$F80),IF(CW$5=$E80+1,$C80,""),"")</f>
        <v/>
      </c>
      <c r="CX80" s="34">
        <f>IF(AND(CX$5&gt;$E80,CX$5&lt;=$F80),IF(CX$5=$E80+1,$C80,""),"")</f>
        <v/>
      </c>
      <c r="CY80" s="34">
        <f>IF(AND(CY$5&gt;$E80,CY$5&lt;=$F80),IF(CY$5=$E80+1,$C80,""),"")</f>
        <v/>
      </c>
      <c r="CZ80" s="34">
        <f>IF(AND(CZ$5&gt;$E80,CZ$5&lt;=$F80),IF(CZ$5=$E80+1,$C80,""),"")</f>
        <v/>
      </c>
      <c r="DA80" s="34">
        <f>IF(AND(DA$5&gt;$E80,DA$5&lt;=$F80),IF(DA$5=$E80+1,$C80,""),"")</f>
        <v/>
      </c>
      <c r="DB80" s="34">
        <f>IF(AND(DB$5&gt;$E80,DB$5&lt;=$F80),IF(DB$5=$E80+1,$C80,""),"")</f>
        <v/>
      </c>
      <c r="DC80" s="34">
        <f>IF(AND(DC$5&gt;$E80,DC$5&lt;=$F80),IF(DC$5=$E80+1,$C80,""),"")</f>
        <v/>
      </c>
    </row>
    <row r="81">
      <c r="A81" s="32">
        <f>Plan!A64</f>
        <v/>
      </c>
      <c r="B81" s="33">
        <f>Plan!C64</f>
        <v/>
      </c>
      <c r="C81" s="16">
        <f>Plan!D64</f>
        <v/>
      </c>
      <c r="D81" s="16">
        <f>Plan!I64</f>
        <v/>
      </c>
      <c r="E81" s="16">
        <f>Plan!K64</f>
        <v/>
      </c>
      <c r="F81" s="16">
        <f>Plan!L64</f>
        <v/>
      </c>
      <c r="G81" s="16">
        <f>Plan!O64</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c r="CT81" s="34">
        <f>IF(AND(CT$5&gt;$E81,CT$5&lt;=$F81),IF(CT$5=$E81+1,$C81,""),"")</f>
        <v/>
      </c>
      <c r="CU81" s="34">
        <f>IF(AND(CU$5&gt;$E81,CU$5&lt;=$F81),IF(CU$5=$E81+1,$C81,""),"")</f>
        <v/>
      </c>
      <c r="CV81" s="34">
        <f>IF(AND(CV$5&gt;$E81,CV$5&lt;=$F81),IF(CV$5=$E81+1,$C81,""),"")</f>
        <v/>
      </c>
      <c r="CW81" s="34">
        <f>IF(AND(CW$5&gt;$E81,CW$5&lt;=$F81),IF(CW$5=$E81+1,$C81,""),"")</f>
        <v/>
      </c>
      <c r="CX81" s="34">
        <f>IF(AND(CX$5&gt;$E81,CX$5&lt;=$F81),IF(CX$5=$E81+1,$C81,""),"")</f>
        <v/>
      </c>
      <c r="CY81" s="34">
        <f>IF(AND(CY$5&gt;$E81,CY$5&lt;=$F81),IF(CY$5=$E81+1,$C81,""),"")</f>
        <v/>
      </c>
      <c r="CZ81" s="34">
        <f>IF(AND(CZ$5&gt;$E81,CZ$5&lt;=$F81),IF(CZ$5=$E81+1,$C81,""),"")</f>
        <v/>
      </c>
      <c r="DA81" s="34">
        <f>IF(AND(DA$5&gt;$E81,DA$5&lt;=$F81),IF(DA$5=$E81+1,$C81,""),"")</f>
        <v/>
      </c>
      <c r="DB81" s="34">
        <f>IF(AND(DB$5&gt;$E81,DB$5&lt;=$F81),IF(DB$5=$E81+1,$C81,""),"")</f>
        <v/>
      </c>
      <c r="DC81" s="34">
        <f>IF(AND(DC$5&gt;$E81,DC$5&lt;=$F81),IF(DC$5=$E81+1,$C81,""),"")</f>
        <v/>
      </c>
    </row>
    <row r="82">
      <c r="A82" s="32">
        <f>Plan!A65</f>
        <v/>
      </c>
      <c r="B82" s="33">
        <f>Plan!C65</f>
        <v/>
      </c>
      <c r="C82" s="16">
        <f>Plan!D65</f>
        <v/>
      </c>
      <c r="D82" s="16">
        <f>Plan!I65</f>
        <v/>
      </c>
      <c r="E82" s="16">
        <f>Plan!K65</f>
        <v/>
      </c>
      <c r="F82" s="16">
        <f>Plan!L65</f>
        <v/>
      </c>
      <c r="G82" s="16">
        <f>Plan!O65</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c r="CT82" s="34">
        <f>IF(AND(CT$5&gt;$E82,CT$5&lt;=$F82),IF(CT$5=$E82+1,$C82,""),"")</f>
        <v/>
      </c>
      <c r="CU82" s="34">
        <f>IF(AND(CU$5&gt;$E82,CU$5&lt;=$F82),IF(CU$5=$E82+1,$C82,""),"")</f>
        <v/>
      </c>
      <c r="CV82" s="34">
        <f>IF(AND(CV$5&gt;$E82,CV$5&lt;=$F82),IF(CV$5=$E82+1,$C82,""),"")</f>
        <v/>
      </c>
      <c r="CW82" s="34">
        <f>IF(AND(CW$5&gt;$E82,CW$5&lt;=$F82),IF(CW$5=$E82+1,$C82,""),"")</f>
        <v/>
      </c>
      <c r="CX82" s="34">
        <f>IF(AND(CX$5&gt;$E82,CX$5&lt;=$F82),IF(CX$5=$E82+1,$C82,""),"")</f>
        <v/>
      </c>
      <c r="CY82" s="34">
        <f>IF(AND(CY$5&gt;$E82,CY$5&lt;=$F82),IF(CY$5=$E82+1,$C82,""),"")</f>
        <v/>
      </c>
      <c r="CZ82" s="34">
        <f>IF(AND(CZ$5&gt;$E82,CZ$5&lt;=$F82),IF(CZ$5=$E82+1,$C82,""),"")</f>
        <v/>
      </c>
      <c r="DA82" s="34">
        <f>IF(AND(DA$5&gt;$E82,DA$5&lt;=$F82),IF(DA$5=$E82+1,$C82,""),"")</f>
        <v/>
      </c>
      <c r="DB82" s="34">
        <f>IF(AND(DB$5&gt;$E82,DB$5&lt;=$F82),IF(DB$5=$E82+1,$C82,""),"")</f>
        <v/>
      </c>
      <c r="DC82" s="34">
        <f>IF(AND(DC$5&gt;$E82,DC$5&lt;=$F82),IF(DC$5=$E82+1,$C82,""),"")</f>
        <v/>
      </c>
    </row>
    <row r="83">
      <c r="A83" s="32">
        <f>Plan!A66</f>
        <v/>
      </c>
      <c r="B83" s="33">
        <f>Plan!C66</f>
        <v/>
      </c>
      <c r="C83" s="16">
        <f>Plan!D66</f>
        <v/>
      </c>
      <c r="D83" s="16">
        <f>Plan!I66</f>
        <v/>
      </c>
      <c r="E83" s="16">
        <f>Plan!K66</f>
        <v/>
      </c>
      <c r="F83" s="16">
        <f>Plan!L66</f>
        <v/>
      </c>
      <c r="G83" s="16">
        <f>Plan!O66</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c r="CT83" s="34">
        <f>IF(AND(CT$5&gt;$E83,CT$5&lt;=$F83),IF(CT$5=$E83+1,$C83,""),"")</f>
        <v/>
      </c>
      <c r="CU83" s="34">
        <f>IF(AND(CU$5&gt;$E83,CU$5&lt;=$F83),IF(CU$5=$E83+1,$C83,""),"")</f>
        <v/>
      </c>
      <c r="CV83" s="34">
        <f>IF(AND(CV$5&gt;$E83,CV$5&lt;=$F83),IF(CV$5=$E83+1,$C83,""),"")</f>
        <v/>
      </c>
      <c r="CW83" s="34">
        <f>IF(AND(CW$5&gt;$E83,CW$5&lt;=$F83),IF(CW$5=$E83+1,$C83,""),"")</f>
        <v/>
      </c>
      <c r="CX83" s="34">
        <f>IF(AND(CX$5&gt;$E83,CX$5&lt;=$F83),IF(CX$5=$E83+1,$C83,""),"")</f>
        <v/>
      </c>
      <c r="CY83" s="34">
        <f>IF(AND(CY$5&gt;$E83,CY$5&lt;=$F83),IF(CY$5=$E83+1,$C83,""),"")</f>
        <v/>
      </c>
      <c r="CZ83" s="34">
        <f>IF(AND(CZ$5&gt;$E83,CZ$5&lt;=$F83),IF(CZ$5=$E83+1,$C83,""),"")</f>
        <v/>
      </c>
      <c r="DA83" s="34">
        <f>IF(AND(DA$5&gt;$E83,DA$5&lt;=$F83),IF(DA$5=$E83+1,$C83,""),"")</f>
        <v/>
      </c>
      <c r="DB83" s="34">
        <f>IF(AND(DB$5&gt;$E83,DB$5&lt;=$F83),IF(DB$5=$E83+1,$C83,""),"")</f>
        <v/>
      </c>
      <c r="DC83" s="34">
        <f>IF(AND(DC$5&gt;$E83,DC$5&lt;=$F83),IF(DC$5=$E83+1,$C83,""),"")</f>
        <v/>
      </c>
    </row>
    <row r="84">
      <c r="A84" s="32">
        <f>Plan!A67</f>
        <v/>
      </c>
      <c r="B84" s="33">
        <f>Plan!C67</f>
        <v/>
      </c>
      <c r="C84" s="16">
        <f>Plan!D67</f>
        <v/>
      </c>
      <c r="D84" s="16">
        <f>Plan!I67</f>
        <v/>
      </c>
      <c r="E84" s="16">
        <f>Plan!K67</f>
        <v/>
      </c>
      <c r="F84" s="16">
        <f>Plan!L67</f>
        <v/>
      </c>
      <c r="G84" s="16">
        <f>Plan!O67</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c r="CT84" s="34">
        <f>IF(AND(CT$5&gt;$E84,CT$5&lt;=$F84),IF(CT$5=$E84+1,$C84,""),"")</f>
        <v/>
      </c>
      <c r="CU84" s="34">
        <f>IF(AND(CU$5&gt;$E84,CU$5&lt;=$F84),IF(CU$5=$E84+1,$C84,""),"")</f>
        <v/>
      </c>
      <c r="CV84" s="34">
        <f>IF(AND(CV$5&gt;$E84,CV$5&lt;=$F84),IF(CV$5=$E84+1,$C84,""),"")</f>
        <v/>
      </c>
      <c r="CW84" s="34">
        <f>IF(AND(CW$5&gt;$E84,CW$5&lt;=$F84),IF(CW$5=$E84+1,$C84,""),"")</f>
        <v/>
      </c>
      <c r="CX84" s="34">
        <f>IF(AND(CX$5&gt;$E84,CX$5&lt;=$F84),IF(CX$5=$E84+1,$C84,""),"")</f>
        <v/>
      </c>
      <c r="CY84" s="34">
        <f>IF(AND(CY$5&gt;$E84,CY$5&lt;=$F84),IF(CY$5=$E84+1,$C84,""),"")</f>
        <v/>
      </c>
      <c r="CZ84" s="34">
        <f>IF(AND(CZ$5&gt;$E84,CZ$5&lt;=$F84),IF(CZ$5=$E84+1,$C84,""),"")</f>
        <v/>
      </c>
      <c r="DA84" s="34">
        <f>IF(AND(DA$5&gt;$E84,DA$5&lt;=$F84),IF(DA$5=$E84+1,$C84,""),"")</f>
        <v/>
      </c>
      <c r="DB84" s="34">
        <f>IF(AND(DB$5&gt;$E84,DB$5&lt;=$F84),IF(DB$5=$E84+1,$C84,""),"")</f>
        <v/>
      </c>
      <c r="DC84" s="34">
        <f>IF(AND(DC$5&gt;$E84,DC$5&lt;=$F84),IF(DC$5=$E84+1,$C84,""),"")</f>
        <v/>
      </c>
    </row>
    <row r="85">
      <c r="A85" s="32">
        <f>Plan!A68</f>
        <v/>
      </c>
      <c r="B85" s="33">
        <f>Plan!C68</f>
        <v/>
      </c>
      <c r="C85" s="16">
        <f>Plan!D68</f>
        <v/>
      </c>
      <c r="D85" s="16">
        <f>Plan!I68</f>
        <v/>
      </c>
      <c r="E85" s="16">
        <f>Plan!K68</f>
        <v/>
      </c>
      <c r="F85" s="16">
        <f>Plan!L68</f>
        <v/>
      </c>
      <c r="G85" s="16">
        <f>Plan!O68</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c r="CT85" s="34">
        <f>IF(AND(CT$5&gt;$E85,CT$5&lt;=$F85),IF(CT$5=$E85+1,$C85,""),"")</f>
        <v/>
      </c>
      <c r="CU85" s="34">
        <f>IF(AND(CU$5&gt;$E85,CU$5&lt;=$F85),IF(CU$5=$E85+1,$C85,""),"")</f>
        <v/>
      </c>
      <c r="CV85" s="34">
        <f>IF(AND(CV$5&gt;$E85,CV$5&lt;=$F85),IF(CV$5=$E85+1,$C85,""),"")</f>
        <v/>
      </c>
      <c r="CW85" s="34">
        <f>IF(AND(CW$5&gt;$E85,CW$5&lt;=$F85),IF(CW$5=$E85+1,$C85,""),"")</f>
        <v/>
      </c>
      <c r="CX85" s="34">
        <f>IF(AND(CX$5&gt;$E85,CX$5&lt;=$F85),IF(CX$5=$E85+1,$C85,""),"")</f>
        <v/>
      </c>
      <c r="CY85" s="34">
        <f>IF(AND(CY$5&gt;$E85,CY$5&lt;=$F85),IF(CY$5=$E85+1,$C85,""),"")</f>
        <v/>
      </c>
      <c r="CZ85" s="34">
        <f>IF(AND(CZ$5&gt;$E85,CZ$5&lt;=$F85),IF(CZ$5=$E85+1,$C85,""),"")</f>
        <v/>
      </c>
      <c r="DA85" s="34">
        <f>IF(AND(DA$5&gt;$E85,DA$5&lt;=$F85),IF(DA$5=$E85+1,$C85,""),"")</f>
        <v/>
      </c>
      <c r="DB85" s="34">
        <f>IF(AND(DB$5&gt;$E85,DB$5&lt;=$F85),IF(DB$5=$E85+1,$C85,""),"")</f>
        <v/>
      </c>
      <c r="DC85" s="34">
        <f>IF(AND(DC$5&gt;$E85,DC$5&lt;=$F85),IF(DC$5=$E85+1,$C85,""),"")</f>
        <v/>
      </c>
    </row>
    <row r="86">
      <c r="A86" s="32">
        <f>Plan!A69</f>
        <v/>
      </c>
      <c r="B86" s="33">
        <f>Plan!C69</f>
        <v/>
      </c>
      <c r="C86" s="16">
        <f>Plan!D69</f>
        <v/>
      </c>
      <c r="D86" s="16">
        <f>Plan!I69</f>
        <v/>
      </c>
      <c r="E86" s="16">
        <f>Plan!K69</f>
        <v/>
      </c>
      <c r="F86" s="16">
        <f>Plan!L69</f>
        <v/>
      </c>
      <c r="G86" s="16">
        <f>Plan!O69</f>
        <v/>
      </c>
      <c r="H86" s="34">
        <f>IF(AND(H$5&gt;$E86,H$5&lt;=$F86),IF(H$5=$E86+1,$C86,""),"")</f>
        <v/>
      </c>
      <c r="I86" s="34">
        <f>IF(AND(I$5&gt;$E86,I$5&lt;=$F86),IF(I$5=$E86+1,$C86,""),"")</f>
        <v/>
      </c>
      <c r="J86" s="34">
        <f>IF(AND(J$5&gt;$E86,J$5&lt;=$F86),IF(J$5=$E86+1,$C86,""),"")</f>
        <v/>
      </c>
      <c r="K86" s="34">
        <f>IF(AND(K$5&gt;$E86,K$5&lt;=$F86),IF(K$5=$E86+1,$C86,""),"")</f>
        <v/>
      </c>
      <c r="L86" s="34">
        <f>IF(AND(L$5&gt;$E86,L$5&lt;=$F86),IF(L$5=$E86+1,$C86,""),"")</f>
        <v/>
      </c>
      <c r="M86" s="34">
        <f>IF(AND(M$5&gt;$E86,M$5&lt;=$F86),IF(M$5=$E86+1,$C86,""),"")</f>
        <v/>
      </c>
      <c r="N86" s="34">
        <f>IF(AND(N$5&gt;$E86,N$5&lt;=$F86),IF(N$5=$E86+1,$C86,""),"")</f>
        <v/>
      </c>
      <c r="O86" s="34">
        <f>IF(AND(O$5&gt;$E86,O$5&lt;=$F86),IF(O$5=$E86+1,$C86,""),"")</f>
        <v/>
      </c>
      <c r="P86" s="34">
        <f>IF(AND(P$5&gt;$E86,P$5&lt;=$F86),IF(P$5=$E86+1,$C86,""),"")</f>
        <v/>
      </c>
      <c r="Q86" s="34">
        <f>IF(AND(Q$5&gt;$E86,Q$5&lt;=$F86),IF(Q$5=$E86+1,$C86,""),"")</f>
        <v/>
      </c>
      <c r="R86" s="34">
        <f>IF(AND(R$5&gt;$E86,R$5&lt;=$F86),IF(R$5=$E86+1,$C86,""),"")</f>
        <v/>
      </c>
      <c r="S86" s="34">
        <f>IF(AND(S$5&gt;$E86,S$5&lt;=$F86),IF(S$5=$E86+1,$C86,""),"")</f>
        <v/>
      </c>
      <c r="T86" s="34">
        <f>IF(AND(T$5&gt;$E86,T$5&lt;=$F86),IF(T$5=$E86+1,$C86,""),"")</f>
        <v/>
      </c>
      <c r="U86" s="34">
        <f>IF(AND(U$5&gt;$E86,U$5&lt;=$F86),IF(U$5=$E86+1,$C86,""),"")</f>
        <v/>
      </c>
      <c r="V86" s="34">
        <f>IF(AND(V$5&gt;$E86,V$5&lt;=$F86),IF(V$5=$E86+1,$C86,""),"")</f>
        <v/>
      </c>
      <c r="W86" s="34">
        <f>IF(AND(W$5&gt;$E86,W$5&lt;=$F86),IF(W$5=$E86+1,$C86,""),"")</f>
        <v/>
      </c>
      <c r="X86" s="34">
        <f>IF(AND(X$5&gt;$E86,X$5&lt;=$F86),IF(X$5=$E86+1,$C86,""),"")</f>
        <v/>
      </c>
      <c r="Y86" s="34">
        <f>IF(AND(Y$5&gt;$E86,Y$5&lt;=$F86),IF(Y$5=$E86+1,$C86,""),"")</f>
        <v/>
      </c>
      <c r="Z86" s="34">
        <f>IF(AND(Z$5&gt;$E86,Z$5&lt;=$F86),IF(Z$5=$E86+1,$C86,""),"")</f>
        <v/>
      </c>
      <c r="AA86" s="34">
        <f>IF(AND(AA$5&gt;$E86,AA$5&lt;=$F86),IF(AA$5=$E86+1,$C86,""),"")</f>
        <v/>
      </c>
      <c r="AB86" s="34">
        <f>IF(AND(AB$5&gt;$E86,AB$5&lt;=$F86),IF(AB$5=$E86+1,$C86,""),"")</f>
        <v/>
      </c>
      <c r="AC86" s="34">
        <f>IF(AND(AC$5&gt;$E86,AC$5&lt;=$F86),IF(AC$5=$E86+1,$C86,""),"")</f>
        <v/>
      </c>
      <c r="AD86" s="34">
        <f>IF(AND(AD$5&gt;$E86,AD$5&lt;=$F86),IF(AD$5=$E86+1,$C86,""),"")</f>
        <v/>
      </c>
      <c r="AE86" s="34">
        <f>IF(AND(AE$5&gt;$E86,AE$5&lt;=$F86),IF(AE$5=$E86+1,$C86,""),"")</f>
        <v/>
      </c>
      <c r="AF86" s="34">
        <f>IF(AND(AF$5&gt;$E86,AF$5&lt;=$F86),IF(AF$5=$E86+1,$C86,""),"")</f>
        <v/>
      </c>
      <c r="AG86" s="34">
        <f>IF(AND(AG$5&gt;$E86,AG$5&lt;=$F86),IF(AG$5=$E86+1,$C86,""),"")</f>
        <v/>
      </c>
      <c r="AH86" s="34">
        <f>IF(AND(AH$5&gt;$E86,AH$5&lt;=$F86),IF(AH$5=$E86+1,$C86,""),"")</f>
        <v/>
      </c>
      <c r="AI86" s="34">
        <f>IF(AND(AI$5&gt;$E86,AI$5&lt;=$F86),IF(AI$5=$E86+1,$C86,""),"")</f>
        <v/>
      </c>
      <c r="AJ86" s="34">
        <f>IF(AND(AJ$5&gt;$E86,AJ$5&lt;=$F86),IF(AJ$5=$E86+1,$C86,""),"")</f>
        <v/>
      </c>
      <c r="AK86" s="34">
        <f>IF(AND(AK$5&gt;$E86,AK$5&lt;=$F86),IF(AK$5=$E86+1,$C86,""),"")</f>
        <v/>
      </c>
      <c r="AL86" s="34">
        <f>IF(AND(AL$5&gt;$E86,AL$5&lt;=$F86),IF(AL$5=$E86+1,$C86,""),"")</f>
        <v/>
      </c>
      <c r="AM86" s="34">
        <f>IF(AND(AM$5&gt;$E86,AM$5&lt;=$F86),IF(AM$5=$E86+1,$C86,""),"")</f>
        <v/>
      </c>
      <c r="AN86" s="34">
        <f>IF(AND(AN$5&gt;$E86,AN$5&lt;=$F86),IF(AN$5=$E86+1,$C86,""),"")</f>
        <v/>
      </c>
      <c r="AO86" s="34">
        <f>IF(AND(AO$5&gt;$E86,AO$5&lt;=$F86),IF(AO$5=$E86+1,$C86,""),"")</f>
        <v/>
      </c>
      <c r="AP86" s="34">
        <f>IF(AND(AP$5&gt;$E86,AP$5&lt;=$F86),IF(AP$5=$E86+1,$C86,""),"")</f>
        <v/>
      </c>
      <c r="AQ86" s="34">
        <f>IF(AND(AQ$5&gt;$E86,AQ$5&lt;=$F86),IF(AQ$5=$E86+1,$C86,""),"")</f>
        <v/>
      </c>
      <c r="AR86" s="34">
        <f>IF(AND(AR$5&gt;$E86,AR$5&lt;=$F86),IF(AR$5=$E86+1,$C86,""),"")</f>
        <v/>
      </c>
      <c r="AS86" s="34">
        <f>IF(AND(AS$5&gt;$E86,AS$5&lt;=$F86),IF(AS$5=$E86+1,$C86,""),"")</f>
        <v/>
      </c>
      <c r="AT86" s="34">
        <f>IF(AND(AT$5&gt;$E86,AT$5&lt;=$F86),IF(AT$5=$E86+1,$C86,""),"")</f>
        <v/>
      </c>
      <c r="AU86" s="34">
        <f>IF(AND(AU$5&gt;$E86,AU$5&lt;=$F86),IF(AU$5=$E86+1,$C86,""),"")</f>
        <v/>
      </c>
      <c r="AV86" s="34">
        <f>IF(AND(AV$5&gt;$E86,AV$5&lt;=$F86),IF(AV$5=$E86+1,$C86,""),"")</f>
        <v/>
      </c>
      <c r="AW86" s="34">
        <f>IF(AND(AW$5&gt;$E86,AW$5&lt;=$F86),IF(AW$5=$E86+1,$C86,""),"")</f>
        <v/>
      </c>
      <c r="AX86" s="34">
        <f>IF(AND(AX$5&gt;$E86,AX$5&lt;=$F86),IF(AX$5=$E86+1,$C86,""),"")</f>
        <v/>
      </c>
      <c r="AY86" s="34">
        <f>IF(AND(AY$5&gt;$E86,AY$5&lt;=$F86),IF(AY$5=$E86+1,$C86,""),"")</f>
        <v/>
      </c>
      <c r="AZ86" s="34">
        <f>IF(AND(AZ$5&gt;$E86,AZ$5&lt;=$F86),IF(AZ$5=$E86+1,$C86,""),"")</f>
        <v/>
      </c>
      <c r="BA86" s="34">
        <f>IF(AND(BA$5&gt;$E86,BA$5&lt;=$F86),IF(BA$5=$E86+1,$C86,""),"")</f>
        <v/>
      </c>
      <c r="BB86" s="34">
        <f>IF(AND(BB$5&gt;$E86,BB$5&lt;=$F86),IF(BB$5=$E86+1,$C86,""),"")</f>
        <v/>
      </c>
      <c r="BC86" s="34">
        <f>IF(AND(BC$5&gt;$E86,BC$5&lt;=$F86),IF(BC$5=$E86+1,$C86,""),"")</f>
        <v/>
      </c>
      <c r="BD86" s="34">
        <f>IF(AND(BD$5&gt;$E86,BD$5&lt;=$F86),IF(BD$5=$E86+1,$C86,""),"")</f>
        <v/>
      </c>
      <c r="BE86" s="34">
        <f>IF(AND(BE$5&gt;$E86,BE$5&lt;=$F86),IF(BE$5=$E86+1,$C86,""),"")</f>
        <v/>
      </c>
      <c r="BF86" s="34">
        <f>IF(AND(BF$5&gt;$E86,BF$5&lt;=$F86),IF(BF$5=$E86+1,$C86,""),"")</f>
        <v/>
      </c>
      <c r="BG86" s="34">
        <f>IF(AND(BG$5&gt;$E86,BG$5&lt;=$F86),IF(BG$5=$E86+1,$C86,""),"")</f>
        <v/>
      </c>
      <c r="BH86" s="34">
        <f>IF(AND(BH$5&gt;$E86,BH$5&lt;=$F86),IF(BH$5=$E86+1,$C86,""),"")</f>
        <v/>
      </c>
      <c r="BI86" s="34">
        <f>IF(AND(BI$5&gt;$E86,BI$5&lt;=$F86),IF(BI$5=$E86+1,$C86,""),"")</f>
        <v/>
      </c>
      <c r="BJ86" s="34">
        <f>IF(AND(BJ$5&gt;$E86,BJ$5&lt;=$F86),IF(BJ$5=$E86+1,$C86,""),"")</f>
        <v/>
      </c>
      <c r="BK86" s="34">
        <f>IF(AND(BK$5&gt;$E86,BK$5&lt;=$F86),IF(BK$5=$E86+1,$C86,""),"")</f>
        <v/>
      </c>
      <c r="BL86" s="34">
        <f>IF(AND(BL$5&gt;$E86,BL$5&lt;=$F86),IF(BL$5=$E86+1,$C86,""),"")</f>
        <v/>
      </c>
      <c r="BM86" s="34">
        <f>IF(AND(BM$5&gt;$E86,BM$5&lt;=$F86),IF(BM$5=$E86+1,$C86,""),"")</f>
        <v/>
      </c>
      <c r="BN86" s="34">
        <f>IF(AND(BN$5&gt;$E86,BN$5&lt;=$F86),IF(BN$5=$E86+1,$C86,""),"")</f>
        <v/>
      </c>
      <c r="BO86" s="34">
        <f>IF(AND(BO$5&gt;$E86,BO$5&lt;=$F86),IF(BO$5=$E86+1,$C86,""),"")</f>
        <v/>
      </c>
      <c r="BP86" s="34">
        <f>IF(AND(BP$5&gt;$E86,BP$5&lt;=$F86),IF(BP$5=$E86+1,$C86,""),"")</f>
        <v/>
      </c>
      <c r="BQ86" s="34">
        <f>IF(AND(BQ$5&gt;$E86,BQ$5&lt;=$F86),IF(BQ$5=$E86+1,$C86,""),"")</f>
        <v/>
      </c>
      <c r="BR86" s="34">
        <f>IF(AND(BR$5&gt;$E86,BR$5&lt;=$F86),IF(BR$5=$E86+1,$C86,""),"")</f>
        <v/>
      </c>
      <c r="BS86" s="34">
        <f>IF(AND(BS$5&gt;$E86,BS$5&lt;=$F86),IF(BS$5=$E86+1,$C86,""),"")</f>
        <v/>
      </c>
      <c r="BT86" s="34">
        <f>IF(AND(BT$5&gt;$E86,BT$5&lt;=$F86),IF(BT$5=$E86+1,$C86,""),"")</f>
        <v/>
      </c>
      <c r="BU86" s="34">
        <f>IF(AND(BU$5&gt;$E86,BU$5&lt;=$F86),IF(BU$5=$E86+1,$C86,""),"")</f>
        <v/>
      </c>
      <c r="BV86" s="34">
        <f>IF(AND(BV$5&gt;$E86,BV$5&lt;=$F86),IF(BV$5=$E86+1,$C86,""),"")</f>
        <v/>
      </c>
      <c r="BW86" s="34">
        <f>IF(AND(BW$5&gt;$E86,BW$5&lt;=$F86),IF(BW$5=$E86+1,$C86,""),"")</f>
        <v/>
      </c>
      <c r="BX86" s="34">
        <f>IF(AND(BX$5&gt;$E86,BX$5&lt;=$F86),IF(BX$5=$E86+1,$C86,""),"")</f>
        <v/>
      </c>
      <c r="BY86" s="34">
        <f>IF(AND(BY$5&gt;$E86,BY$5&lt;=$F86),IF(BY$5=$E86+1,$C86,""),"")</f>
        <v/>
      </c>
      <c r="BZ86" s="34">
        <f>IF(AND(BZ$5&gt;$E86,BZ$5&lt;=$F86),IF(BZ$5=$E86+1,$C86,""),"")</f>
        <v/>
      </c>
      <c r="CA86" s="34">
        <f>IF(AND(CA$5&gt;$E86,CA$5&lt;=$F86),IF(CA$5=$E86+1,$C86,""),"")</f>
        <v/>
      </c>
      <c r="CB86" s="34">
        <f>IF(AND(CB$5&gt;$E86,CB$5&lt;=$F86),IF(CB$5=$E86+1,$C86,""),"")</f>
        <v/>
      </c>
      <c r="CC86" s="34">
        <f>IF(AND(CC$5&gt;$E86,CC$5&lt;=$F86),IF(CC$5=$E86+1,$C86,""),"")</f>
        <v/>
      </c>
      <c r="CD86" s="34">
        <f>IF(AND(CD$5&gt;$E86,CD$5&lt;=$F86),IF(CD$5=$E86+1,$C86,""),"")</f>
        <v/>
      </c>
      <c r="CE86" s="34">
        <f>IF(AND(CE$5&gt;$E86,CE$5&lt;=$F86),IF(CE$5=$E86+1,$C86,""),"")</f>
        <v/>
      </c>
      <c r="CF86" s="34">
        <f>IF(AND(CF$5&gt;$E86,CF$5&lt;=$F86),IF(CF$5=$E86+1,$C86,""),"")</f>
        <v/>
      </c>
      <c r="CG86" s="34">
        <f>IF(AND(CG$5&gt;$E86,CG$5&lt;=$F86),IF(CG$5=$E86+1,$C86,""),"")</f>
        <v/>
      </c>
      <c r="CH86" s="34">
        <f>IF(AND(CH$5&gt;$E86,CH$5&lt;=$F86),IF(CH$5=$E86+1,$C86,""),"")</f>
        <v/>
      </c>
      <c r="CI86" s="34">
        <f>IF(AND(CI$5&gt;$E86,CI$5&lt;=$F86),IF(CI$5=$E86+1,$C86,""),"")</f>
        <v/>
      </c>
      <c r="CJ86" s="34">
        <f>IF(AND(CJ$5&gt;$E86,CJ$5&lt;=$F86),IF(CJ$5=$E86+1,$C86,""),"")</f>
        <v/>
      </c>
      <c r="CK86" s="34">
        <f>IF(AND(CK$5&gt;$E86,CK$5&lt;=$F86),IF(CK$5=$E86+1,$C86,""),"")</f>
        <v/>
      </c>
      <c r="CL86" s="34">
        <f>IF(AND(CL$5&gt;$E86,CL$5&lt;=$F86),IF(CL$5=$E86+1,$C86,""),"")</f>
        <v/>
      </c>
      <c r="CM86" s="34">
        <f>IF(AND(CM$5&gt;$E86,CM$5&lt;=$F86),IF(CM$5=$E86+1,$C86,""),"")</f>
        <v/>
      </c>
      <c r="CN86" s="34">
        <f>IF(AND(CN$5&gt;$E86,CN$5&lt;=$F86),IF(CN$5=$E86+1,$C86,""),"")</f>
        <v/>
      </c>
      <c r="CO86" s="34">
        <f>IF(AND(CO$5&gt;$E86,CO$5&lt;=$F86),IF(CO$5=$E86+1,$C86,""),"")</f>
        <v/>
      </c>
      <c r="CP86" s="34">
        <f>IF(AND(CP$5&gt;$E86,CP$5&lt;=$F86),IF(CP$5=$E86+1,$C86,""),"")</f>
        <v/>
      </c>
      <c r="CQ86" s="34">
        <f>IF(AND(CQ$5&gt;$E86,CQ$5&lt;=$F86),IF(CQ$5=$E86+1,$C86,""),"")</f>
        <v/>
      </c>
      <c r="CR86" s="34">
        <f>IF(AND(CR$5&gt;$E86,CR$5&lt;=$F86),IF(CR$5=$E86+1,$C86,""),"")</f>
        <v/>
      </c>
      <c r="CS86" s="34">
        <f>IF(AND(CS$5&gt;$E86,CS$5&lt;=$F86),IF(CS$5=$E86+1,$C86,""),"")</f>
        <v/>
      </c>
      <c r="CT86" s="34">
        <f>IF(AND(CT$5&gt;$E86,CT$5&lt;=$F86),IF(CT$5=$E86+1,$C86,""),"")</f>
        <v/>
      </c>
      <c r="CU86" s="34">
        <f>IF(AND(CU$5&gt;$E86,CU$5&lt;=$F86),IF(CU$5=$E86+1,$C86,""),"")</f>
        <v/>
      </c>
      <c r="CV86" s="34">
        <f>IF(AND(CV$5&gt;$E86,CV$5&lt;=$F86),IF(CV$5=$E86+1,$C86,""),"")</f>
        <v/>
      </c>
      <c r="CW86" s="34">
        <f>IF(AND(CW$5&gt;$E86,CW$5&lt;=$F86),IF(CW$5=$E86+1,$C86,""),"")</f>
        <v/>
      </c>
      <c r="CX86" s="34">
        <f>IF(AND(CX$5&gt;$E86,CX$5&lt;=$F86),IF(CX$5=$E86+1,$C86,""),"")</f>
        <v/>
      </c>
      <c r="CY86" s="34">
        <f>IF(AND(CY$5&gt;$E86,CY$5&lt;=$F86),IF(CY$5=$E86+1,$C86,""),"")</f>
        <v/>
      </c>
      <c r="CZ86" s="34">
        <f>IF(AND(CZ$5&gt;$E86,CZ$5&lt;=$F86),IF(CZ$5=$E86+1,$C86,""),"")</f>
        <v/>
      </c>
      <c r="DA86" s="34">
        <f>IF(AND(DA$5&gt;$E86,DA$5&lt;=$F86),IF(DA$5=$E86+1,$C86,""),"")</f>
        <v/>
      </c>
      <c r="DB86" s="34">
        <f>IF(AND(DB$5&gt;$E86,DB$5&lt;=$F86),IF(DB$5=$E86+1,$C86,""),"")</f>
        <v/>
      </c>
      <c r="DC86" s="34">
        <f>IF(AND(DC$5&gt;$E86,DC$5&lt;=$F86),IF(DC$5=$E86+1,$C86,""),"")</f>
        <v/>
      </c>
    </row>
    <row r="87">
      <c r="A87" s="32">
        <f>Plan!A70</f>
        <v/>
      </c>
      <c r="B87" s="33">
        <f>Plan!C70</f>
        <v/>
      </c>
      <c r="C87" s="16">
        <f>Plan!D70</f>
        <v/>
      </c>
      <c r="D87" s="16">
        <f>Plan!I70</f>
        <v/>
      </c>
      <c r="E87" s="16">
        <f>Plan!K70</f>
        <v/>
      </c>
      <c r="F87" s="16">
        <f>Plan!L70</f>
        <v/>
      </c>
      <c r="G87" s="16">
        <f>Plan!O70</f>
        <v/>
      </c>
      <c r="H87" s="34">
        <f>IF(AND(H$5&gt;$E87,H$5&lt;=$F87),IF(H$5=$E87+1,$C87,""),"")</f>
        <v/>
      </c>
      <c r="I87" s="34">
        <f>IF(AND(I$5&gt;$E87,I$5&lt;=$F87),IF(I$5=$E87+1,$C87,""),"")</f>
        <v/>
      </c>
      <c r="J87" s="34">
        <f>IF(AND(J$5&gt;$E87,J$5&lt;=$F87),IF(J$5=$E87+1,$C87,""),"")</f>
        <v/>
      </c>
      <c r="K87" s="34">
        <f>IF(AND(K$5&gt;$E87,K$5&lt;=$F87),IF(K$5=$E87+1,$C87,""),"")</f>
        <v/>
      </c>
      <c r="L87" s="34">
        <f>IF(AND(L$5&gt;$E87,L$5&lt;=$F87),IF(L$5=$E87+1,$C87,""),"")</f>
        <v/>
      </c>
      <c r="M87" s="34">
        <f>IF(AND(M$5&gt;$E87,M$5&lt;=$F87),IF(M$5=$E87+1,$C87,""),"")</f>
        <v/>
      </c>
      <c r="N87" s="34">
        <f>IF(AND(N$5&gt;$E87,N$5&lt;=$F87),IF(N$5=$E87+1,$C87,""),"")</f>
        <v/>
      </c>
      <c r="O87" s="34">
        <f>IF(AND(O$5&gt;$E87,O$5&lt;=$F87),IF(O$5=$E87+1,$C87,""),"")</f>
        <v/>
      </c>
      <c r="P87" s="34">
        <f>IF(AND(P$5&gt;$E87,P$5&lt;=$F87),IF(P$5=$E87+1,$C87,""),"")</f>
        <v/>
      </c>
      <c r="Q87" s="34">
        <f>IF(AND(Q$5&gt;$E87,Q$5&lt;=$F87),IF(Q$5=$E87+1,$C87,""),"")</f>
        <v/>
      </c>
      <c r="R87" s="34">
        <f>IF(AND(R$5&gt;$E87,R$5&lt;=$F87),IF(R$5=$E87+1,$C87,""),"")</f>
        <v/>
      </c>
      <c r="S87" s="34">
        <f>IF(AND(S$5&gt;$E87,S$5&lt;=$F87),IF(S$5=$E87+1,$C87,""),"")</f>
        <v/>
      </c>
      <c r="T87" s="34">
        <f>IF(AND(T$5&gt;$E87,T$5&lt;=$F87),IF(T$5=$E87+1,$C87,""),"")</f>
        <v/>
      </c>
      <c r="U87" s="34">
        <f>IF(AND(U$5&gt;$E87,U$5&lt;=$F87),IF(U$5=$E87+1,$C87,""),"")</f>
        <v/>
      </c>
      <c r="V87" s="34">
        <f>IF(AND(V$5&gt;$E87,V$5&lt;=$F87),IF(V$5=$E87+1,$C87,""),"")</f>
        <v/>
      </c>
      <c r="W87" s="34">
        <f>IF(AND(W$5&gt;$E87,W$5&lt;=$F87),IF(W$5=$E87+1,$C87,""),"")</f>
        <v/>
      </c>
      <c r="X87" s="34">
        <f>IF(AND(X$5&gt;$E87,X$5&lt;=$F87),IF(X$5=$E87+1,$C87,""),"")</f>
        <v/>
      </c>
      <c r="Y87" s="34">
        <f>IF(AND(Y$5&gt;$E87,Y$5&lt;=$F87),IF(Y$5=$E87+1,$C87,""),"")</f>
        <v/>
      </c>
      <c r="Z87" s="34">
        <f>IF(AND(Z$5&gt;$E87,Z$5&lt;=$F87),IF(Z$5=$E87+1,$C87,""),"")</f>
        <v/>
      </c>
      <c r="AA87" s="34">
        <f>IF(AND(AA$5&gt;$E87,AA$5&lt;=$F87),IF(AA$5=$E87+1,$C87,""),"")</f>
        <v/>
      </c>
      <c r="AB87" s="34">
        <f>IF(AND(AB$5&gt;$E87,AB$5&lt;=$F87),IF(AB$5=$E87+1,$C87,""),"")</f>
        <v/>
      </c>
      <c r="AC87" s="34">
        <f>IF(AND(AC$5&gt;$E87,AC$5&lt;=$F87),IF(AC$5=$E87+1,$C87,""),"")</f>
        <v/>
      </c>
      <c r="AD87" s="34">
        <f>IF(AND(AD$5&gt;$E87,AD$5&lt;=$F87),IF(AD$5=$E87+1,$C87,""),"")</f>
        <v/>
      </c>
      <c r="AE87" s="34">
        <f>IF(AND(AE$5&gt;$E87,AE$5&lt;=$F87),IF(AE$5=$E87+1,$C87,""),"")</f>
        <v/>
      </c>
      <c r="AF87" s="34">
        <f>IF(AND(AF$5&gt;$E87,AF$5&lt;=$F87),IF(AF$5=$E87+1,$C87,""),"")</f>
        <v/>
      </c>
      <c r="AG87" s="34">
        <f>IF(AND(AG$5&gt;$E87,AG$5&lt;=$F87),IF(AG$5=$E87+1,$C87,""),"")</f>
        <v/>
      </c>
      <c r="AH87" s="34">
        <f>IF(AND(AH$5&gt;$E87,AH$5&lt;=$F87),IF(AH$5=$E87+1,$C87,""),"")</f>
        <v/>
      </c>
      <c r="AI87" s="34">
        <f>IF(AND(AI$5&gt;$E87,AI$5&lt;=$F87),IF(AI$5=$E87+1,$C87,""),"")</f>
        <v/>
      </c>
      <c r="AJ87" s="34">
        <f>IF(AND(AJ$5&gt;$E87,AJ$5&lt;=$F87),IF(AJ$5=$E87+1,$C87,""),"")</f>
        <v/>
      </c>
      <c r="AK87" s="34">
        <f>IF(AND(AK$5&gt;$E87,AK$5&lt;=$F87),IF(AK$5=$E87+1,$C87,""),"")</f>
        <v/>
      </c>
      <c r="AL87" s="34">
        <f>IF(AND(AL$5&gt;$E87,AL$5&lt;=$F87),IF(AL$5=$E87+1,$C87,""),"")</f>
        <v/>
      </c>
      <c r="AM87" s="34">
        <f>IF(AND(AM$5&gt;$E87,AM$5&lt;=$F87),IF(AM$5=$E87+1,$C87,""),"")</f>
        <v/>
      </c>
      <c r="AN87" s="34">
        <f>IF(AND(AN$5&gt;$E87,AN$5&lt;=$F87),IF(AN$5=$E87+1,$C87,""),"")</f>
        <v/>
      </c>
      <c r="AO87" s="34">
        <f>IF(AND(AO$5&gt;$E87,AO$5&lt;=$F87),IF(AO$5=$E87+1,$C87,""),"")</f>
        <v/>
      </c>
      <c r="AP87" s="34">
        <f>IF(AND(AP$5&gt;$E87,AP$5&lt;=$F87),IF(AP$5=$E87+1,$C87,""),"")</f>
        <v/>
      </c>
      <c r="AQ87" s="34">
        <f>IF(AND(AQ$5&gt;$E87,AQ$5&lt;=$F87),IF(AQ$5=$E87+1,$C87,""),"")</f>
        <v/>
      </c>
      <c r="AR87" s="34">
        <f>IF(AND(AR$5&gt;$E87,AR$5&lt;=$F87),IF(AR$5=$E87+1,$C87,""),"")</f>
        <v/>
      </c>
      <c r="AS87" s="34">
        <f>IF(AND(AS$5&gt;$E87,AS$5&lt;=$F87),IF(AS$5=$E87+1,$C87,""),"")</f>
        <v/>
      </c>
      <c r="AT87" s="34">
        <f>IF(AND(AT$5&gt;$E87,AT$5&lt;=$F87),IF(AT$5=$E87+1,$C87,""),"")</f>
        <v/>
      </c>
      <c r="AU87" s="34">
        <f>IF(AND(AU$5&gt;$E87,AU$5&lt;=$F87),IF(AU$5=$E87+1,$C87,""),"")</f>
        <v/>
      </c>
      <c r="AV87" s="34">
        <f>IF(AND(AV$5&gt;$E87,AV$5&lt;=$F87),IF(AV$5=$E87+1,$C87,""),"")</f>
        <v/>
      </c>
      <c r="AW87" s="34">
        <f>IF(AND(AW$5&gt;$E87,AW$5&lt;=$F87),IF(AW$5=$E87+1,$C87,""),"")</f>
        <v/>
      </c>
      <c r="AX87" s="34">
        <f>IF(AND(AX$5&gt;$E87,AX$5&lt;=$F87),IF(AX$5=$E87+1,$C87,""),"")</f>
        <v/>
      </c>
      <c r="AY87" s="34">
        <f>IF(AND(AY$5&gt;$E87,AY$5&lt;=$F87),IF(AY$5=$E87+1,$C87,""),"")</f>
        <v/>
      </c>
      <c r="AZ87" s="34">
        <f>IF(AND(AZ$5&gt;$E87,AZ$5&lt;=$F87),IF(AZ$5=$E87+1,$C87,""),"")</f>
        <v/>
      </c>
      <c r="BA87" s="34">
        <f>IF(AND(BA$5&gt;$E87,BA$5&lt;=$F87),IF(BA$5=$E87+1,$C87,""),"")</f>
        <v/>
      </c>
      <c r="BB87" s="34">
        <f>IF(AND(BB$5&gt;$E87,BB$5&lt;=$F87),IF(BB$5=$E87+1,$C87,""),"")</f>
        <v/>
      </c>
      <c r="BC87" s="34">
        <f>IF(AND(BC$5&gt;$E87,BC$5&lt;=$F87),IF(BC$5=$E87+1,$C87,""),"")</f>
        <v/>
      </c>
      <c r="BD87" s="34">
        <f>IF(AND(BD$5&gt;$E87,BD$5&lt;=$F87),IF(BD$5=$E87+1,$C87,""),"")</f>
        <v/>
      </c>
      <c r="BE87" s="34">
        <f>IF(AND(BE$5&gt;$E87,BE$5&lt;=$F87),IF(BE$5=$E87+1,$C87,""),"")</f>
        <v/>
      </c>
      <c r="BF87" s="34">
        <f>IF(AND(BF$5&gt;$E87,BF$5&lt;=$F87),IF(BF$5=$E87+1,$C87,""),"")</f>
        <v/>
      </c>
      <c r="BG87" s="34">
        <f>IF(AND(BG$5&gt;$E87,BG$5&lt;=$F87),IF(BG$5=$E87+1,$C87,""),"")</f>
        <v/>
      </c>
      <c r="BH87" s="34">
        <f>IF(AND(BH$5&gt;$E87,BH$5&lt;=$F87),IF(BH$5=$E87+1,$C87,""),"")</f>
        <v/>
      </c>
      <c r="BI87" s="34">
        <f>IF(AND(BI$5&gt;$E87,BI$5&lt;=$F87),IF(BI$5=$E87+1,$C87,""),"")</f>
        <v/>
      </c>
      <c r="BJ87" s="34">
        <f>IF(AND(BJ$5&gt;$E87,BJ$5&lt;=$F87),IF(BJ$5=$E87+1,$C87,""),"")</f>
        <v/>
      </c>
      <c r="BK87" s="34">
        <f>IF(AND(BK$5&gt;$E87,BK$5&lt;=$F87),IF(BK$5=$E87+1,$C87,""),"")</f>
        <v/>
      </c>
      <c r="BL87" s="34">
        <f>IF(AND(BL$5&gt;$E87,BL$5&lt;=$F87),IF(BL$5=$E87+1,$C87,""),"")</f>
        <v/>
      </c>
      <c r="BM87" s="34">
        <f>IF(AND(BM$5&gt;$E87,BM$5&lt;=$F87),IF(BM$5=$E87+1,$C87,""),"")</f>
        <v/>
      </c>
      <c r="BN87" s="34">
        <f>IF(AND(BN$5&gt;$E87,BN$5&lt;=$F87),IF(BN$5=$E87+1,$C87,""),"")</f>
        <v/>
      </c>
      <c r="BO87" s="34">
        <f>IF(AND(BO$5&gt;$E87,BO$5&lt;=$F87),IF(BO$5=$E87+1,$C87,""),"")</f>
        <v/>
      </c>
      <c r="BP87" s="34">
        <f>IF(AND(BP$5&gt;$E87,BP$5&lt;=$F87),IF(BP$5=$E87+1,$C87,""),"")</f>
        <v/>
      </c>
      <c r="BQ87" s="34">
        <f>IF(AND(BQ$5&gt;$E87,BQ$5&lt;=$F87),IF(BQ$5=$E87+1,$C87,""),"")</f>
        <v/>
      </c>
      <c r="BR87" s="34">
        <f>IF(AND(BR$5&gt;$E87,BR$5&lt;=$F87),IF(BR$5=$E87+1,$C87,""),"")</f>
        <v/>
      </c>
      <c r="BS87" s="34">
        <f>IF(AND(BS$5&gt;$E87,BS$5&lt;=$F87),IF(BS$5=$E87+1,$C87,""),"")</f>
        <v/>
      </c>
      <c r="BT87" s="34">
        <f>IF(AND(BT$5&gt;$E87,BT$5&lt;=$F87),IF(BT$5=$E87+1,$C87,""),"")</f>
        <v/>
      </c>
      <c r="BU87" s="34">
        <f>IF(AND(BU$5&gt;$E87,BU$5&lt;=$F87),IF(BU$5=$E87+1,$C87,""),"")</f>
        <v/>
      </c>
      <c r="BV87" s="34">
        <f>IF(AND(BV$5&gt;$E87,BV$5&lt;=$F87),IF(BV$5=$E87+1,$C87,""),"")</f>
        <v/>
      </c>
      <c r="BW87" s="34">
        <f>IF(AND(BW$5&gt;$E87,BW$5&lt;=$F87),IF(BW$5=$E87+1,$C87,""),"")</f>
        <v/>
      </c>
      <c r="BX87" s="34">
        <f>IF(AND(BX$5&gt;$E87,BX$5&lt;=$F87),IF(BX$5=$E87+1,$C87,""),"")</f>
        <v/>
      </c>
      <c r="BY87" s="34">
        <f>IF(AND(BY$5&gt;$E87,BY$5&lt;=$F87),IF(BY$5=$E87+1,$C87,""),"")</f>
        <v/>
      </c>
      <c r="BZ87" s="34">
        <f>IF(AND(BZ$5&gt;$E87,BZ$5&lt;=$F87),IF(BZ$5=$E87+1,$C87,""),"")</f>
        <v/>
      </c>
      <c r="CA87" s="34">
        <f>IF(AND(CA$5&gt;$E87,CA$5&lt;=$F87),IF(CA$5=$E87+1,$C87,""),"")</f>
        <v/>
      </c>
      <c r="CB87" s="34">
        <f>IF(AND(CB$5&gt;$E87,CB$5&lt;=$F87),IF(CB$5=$E87+1,$C87,""),"")</f>
        <v/>
      </c>
      <c r="CC87" s="34">
        <f>IF(AND(CC$5&gt;$E87,CC$5&lt;=$F87),IF(CC$5=$E87+1,$C87,""),"")</f>
        <v/>
      </c>
      <c r="CD87" s="34">
        <f>IF(AND(CD$5&gt;$E87,CD$5&lt;=$F87),IF(CD$5=$E87+1,$C87,""),"")</f>
        <v/>
      </c>
      <c r="CE87" s="34">
        <f>IF(AND(CE$5&gt;$E87,CE$5&lt;=$F87),IF(CE$5=$E87+1,$C87,""),"")</f>
        <v/>
      </c>
      <c r="CF87" s="34">
        <f>IF(AND(CF$5&gt;$E87,CF$5&lt;=$F87),IF(CF$5=$E87+1,$C87,""),"")</f>
        <v/>
      </c>
      <c r="CG87" s="34">
        <f>IF(AND(CG$5&gt;$E87,CG$5&lt;=$F87),IF(CG$5=$E87+1,$C87,""),"")</f>
        <v/>
      </c>
      <c r="CH87" s="34">
        <f>IF(AND(CH$5&gt;$E87,CH$5&lt;=$F87),IF(CH$5=$E87+1,$C87,""),"")</f>
        <v/>
      </c>
      <c r="CI87" s="34">
        <f>IF(AND(CI$5&gt;$E87,CI$5&lt;=$F87),IF(CI$5=$E87+1,$C87,""),"")</f>
        <v/>
      </c>
      <c r="CJ87" s="34">
        <f>IF(AND(CJ$5&gt;$E87,CJ$5&lt;=$F87),IF(CJ$5=$E87+1,$C87,""),"")</f>
        <v/>
      </c>
      <c r="CK87" s="34">
        <f>IF(AND(CK$5&gt;$E87,CK$5&lt;=$F87),IF(CK$5=$E87+1,$C87,""),"")</f>
        <v/>
      </c>
      <c r="CL87" s="34">
        <f>IF(AND(CL$5&gt;$E87,CL$5&lt;=$F87),IF(CL$5=$E87+1,$C87,""),"")</f>
        <v/>
      </c>
      <c r="CM87" s="34">
        <f>IF(AND(CM$5&gt;$E87,CM$5&lt;=$F87),IF(CM$5=$E87+1,$C87,""),"")</f>
        <v/>
      </c>
      <c r="CN87" s="34">
        <f>IF(AND(CN$5&gt;$E87,CN$5&lt;=$F87),IF(CN$5=$E87+1,$C87,""),"")</f>
        <v/>
      </c>
      <c r="CO87" s="34">
        <f>IF(AND(CO$5&gt;$E87,CO$5&lt;=$F87),IF(CO$5=$E87+1,$C87,""),"")</f>
        <v/>
      </c>
      <c r="CP87" s="34">
        <f>IF(AND(CP$5&gt;$E87,CP$5&lt;=$F87),IF(CP$5=$E87+1,$C87,""),"")</f>
        <v/>
      </c>
      <c r="CQ87" s="34">
        <f>IF(AND(CQ$5&gt;$E87,CQ$5&lt;=$F87),IF(CQ$5=$E87+1,$C87,""),"")</f>
        <v/>
      </c>
      <c r="CR87" s="34">
        <f>IF(AND(CR$5&gt;$E87,CR$5&lt;=$F87),IF(CR$5=$E87+1,$C87,""),"")</f>
        <v/>
      </c>
      <c r="CS87" s="34">
        <f>IF(AND(CS$5&gt;$E87,CS$5&lt;=$F87),IF(CS$5=$E87+1,$C87,""),"")</f>
        <v/>
      </c>
      <c r="CT87" s="34">
        <f>IF(AND(CT$5&gt;$E87,CT$5&lt;=$F87),IF(CT$5=$E87+1,$C87,""),"")</f>
        <v/>
      </c>
      <c r="CU87" s="34">
        <f>IF(AND(CU$5&gt;$E87,CU$5&lt;=$F87),IF(CU$5=$E87+1,$C87,""),"")</f>
        <v/>
      </c>
      <c r="CV87" s="34">
        <f>IF(AND(CV$5&gt;$E87,CV$5&lt;=$F87),IF(CV$5=$E87+1,$C87,""),"")</f>
        <v/>
      </c>
      <c r="CW87" s="34">
        <f>IF(AND(CW$5&gt;$E87,CW$5&lt;=$F87),IF(CW$5=$E87+1,$C87,""),"")</f>
        <v/>
      </c>
      <c r="CX87" s="34">
        <f>IF(AND(CX$5&gt;$E87,CX$5&lt;=$F87),IF(CX$5=$E87+1,$C87,""),"")</f>
        <v/>
      </c>
      <c r="CY87" s="34">
        <f>IF(AND(CY$5&gt;$E87,CY$5&lt;=$F87),IF(CY$5=$E87+1,$C87,""),"")</f>
        <v/>
      </c>
      <c r="CZ87" s="34">
        <f>IF(AND(CZ$5&gt;$E87,CZ$5&lt;=$F87),IF(CZ$5=$E87+1,$C87,""),"")</f>
        <v/>
      </c>
      <c r="DA87" s="34">
        <f>IF(AND(DA$5&gt;$E87,DA$5&lt;=$F87),IF(DA$5=$E87+1,$C87,""),"")</f>
        <v/>
      </c>
      <c r="DB87" s="34">
        <f>IF(AND(DB$5&gt;$E87,DB$5&lt;=$F87),IF(DB$5=$E87+1,$C87,""),"")</f>
        <v/>
      </c>
      <c r="DC87" s="34">
        <f>IF(AND(DC$5&gt;$E87,DC$5&lt;=$F87),IF(DC$5=$E87+1,$C87,""),"")</f>
        <v/>
      </c>
    </row>
    <row r="88">
      <c r="A88" s="32">
        <f>Plan!A71</f>
        <v/>
      </c>
      <c r="B88" s="33">
        <f>Plan!C71</f>
        <v/>
      </c>
      <c r="C88" s="16">
        <f>Plan!D71</f>
        <v/>
      </c>
      <c r="D88" s="16">
        <f>Plan!I71</f>
        <v/>
      </c>
      <c r="E88" s="16">
        <f>Plan!K71</f>
        <v/>
      </c>
      <c r="F88" s="16">
        <f>Plan!L71</f>
        <v/>
      </c>
      <c r="G88" s="16">
        <f>Plan!O71</f>
        <v/>
      </c>
      <c r="H88" s="34">
        <f>IF(AND(H$5&gt;$E88,H$5&lt;=$F88),IF(H$5=$E88+1,$C88,""),"")</f>
        <v/>
      </c>
      <c r="I88" s="34">
        <f>IF(AND(I$5&gt;$E88,I$5&lt;=$F88),IF(I$5=$E88+1,$C88,""),"")</f>
        <v/>
      </c>
      <c r="J88" s="34">
        <f>IF(AND(J$5&gt;$E88,J$5&lt;=$F88),IF(J$5=$E88+1,$C88,""),"")</f>
        <v/>
      </c>
      <c r="K88" s="34">
        <f>IF(AND(K$5&gt;$E88,K$5&lt;=$F88),IF(K$5=$E88+1,$C88,""),"")</f>
        <v/>
      </c>
      <c r="L88" s="34">
        <f>IF(AND(L$5&gt;$E88,L$5&lt;=$F88),IF(L$5=$E88+1,$C88,""),"")</f>
        <v/>
      </c>
      <c r="M88" s="34">
        <f>IF(AND(M$5&gt;$E88,M$5&lt;=$F88),IF(M$5=$E88+1,$C88,""),"")</f>
        <v/>
      </c>
      <c r="N88" s="34">
        <f>IF(AND(N$5&gt;$E88,N$5&lt;=$F88),IF(N$5=$E88+1,$C88,""),"")</f>
        <v/>
      </c>
      <c r="O88" s="34">
        <f>IF(AND(O$5&gt;$E88,O$5&lt;=$F88),IF(O$5=$E88+1,$C88,""),"")</f>
        <v/>
      </c>
      <c r="P88" s="34">
        <f>IF(AND(P$5&gt;$E88,P$5&lt;=$F88),IF(P$5=$E88+1,$C88,""),"")</f>
        <v/>
      </c>
      <c r="Q88" s="34">
        <f>IF(AND(Q$5&gt;$E88,Q$5&lt;=$F88),IF(Q$5=$E88+1,$C88,""),"")</f>
        <v/>
      </c>
      <c r="R88" s="34">
        <f>IF(AND(R$5&gt;$E88,R$5&lt;=$F88),IF(R$5=$E88+1,$C88,""),"")</f>
        <v/>
      </c>
      <c r="S88" s="34">
        <f>IF(AND(S$5&gt;$E88,S$5&lt;=$F88),IF(S$5=$E88+1,$C88,""),"")</f>
        <v/>
      </c>
      <c r="T88" s="34">
        <f>IF(AND(T$5&gt;$E88,T$5&lt;=$F88),IF(T$5=$E88+1,$C88,""),"")</f>
        <v/>
      </c>
      <c r="U88" s="34">
        <f>IF(AND(U$5&gt;$E88,U$5&lt;=$F88),IF(U$5=$E88+1,$C88,""),"")</f>
        <v/>
      </c>
      <c r="V88" s="34">
        <f>IF(AND(V$5&gt;$E88,V$5&lt;=$F88),IF(V$5=$E88+1,$C88,""),"")</f>
        <v/>
      </c>
      <c r="W88" s="34">
        <f>IF(AND(W$5&gt;$E88,W$5&lt;=$F88),IF(W$5=$E88+1,$C88,""),"")</f>
        <v/>
      </c>
      <c r="X88" s="34">
        <f>IF(AND(X$5&gt;$E88,X$5&lt;=$F88),IF(X$5=$E88+1,$C88,""),"")</f>
        <v/>
      </c>
      <c r="Y88" s="34">
        <f>IF(AND(Y$5&gt;$E88,Y$5&lt;=$F88),IF(Y$5=$E88+1,$C88,""),"")</f>
        <v/>
      </c>
      <c r="Z88" s="34">
        <f>IF(AND(Z$5&gt;$E88,Z$5&lt;=$F88),IF(Z$5=$E88+1,$C88,""),"")</f>
        <v/>
      </c>
      <c r="AA88" s="34">
        <f>IF(AND(AA$5&gt;$E88,AA$5&lt;=$F88),IF(AA$5=$E88+1,$C88,""),"")</f>
        <v/>
      </c>
      <c r="AB88" s="34">
        <f>IF(AND(AB$5&gt;$E88,AB$5&lt;=$F88),IF(AB$5=$E88+1,$C88,""),"")</f>
        <v/>
      </c>
      <c r="AC88" s="34">
        <f>IF(AND(AC$5&gt;$E88,AC$5&lt;=$F88),IF(AC$5=$E88+1,$C88,""),"")</f>
        <v/>
      </c>
      <c r="AD88" s="34">
        <f>IF(AND(AD$5&gt;$E88,AD$5&lt;=$F88),IF(AD$5=$E88+1,$C88,""),"")</f>
        <v/>
      </c>
      <c r="AE88" s="34">
        <f>IF(AND(AE$5&gt;$E88,AE$5&lt;=$F88),IF(AE$5=$E88+1,$C88,""),"")</f>
        <v/>
      </c>
      <c r="AF88" s="34">
        <f>IF(AND(AF$5&gt;$E88,AF$5&lt;=$F88),IF(AF$5=$E88+1,$C88,""),"")</f>
        <v/>
      </c>
      <c r="AG88" s="34">
        <f>IF(AND(AG$5&gt;$E88,AG$5&lt;=$F88),IF(AG$5=$E88+1,$C88,""),"")</f>
        <v/>
      </c>
      <c r="AH88" s="34">
        <f>IF(AND(AH$5&gt;$E88,AH$5&lt;=$F88),IF(AH$5=$E88+1,$C88,""),"")</f>
        <v/>
      </c>
      <c r="AI88" s="34">
        <f>IF(AND(AI$5&gt;$E88,AI$5&lt;=$F88),IF(AI$5=$E88+1,$C88,""),"")</f>
        <v/>
      </c>
      <c r="AJ88" s="34">
        <f>IF(AND(AJ$5&gt;$E88,AJ$5&lt;=$F88),IF(AJ$5=$E88+1,$C88,""),"")</f>
        <v/>
      </c>
      <c r="AK88" s="34">
        <f>IF(AND(AK$5&gt;$E88,AK$5&lt;=$F88),IF(AK$5=$E88+1,$C88,""),"")</f>
        <v/>
      </c>
      <c r="AL88" s="34">
        <f>IF(AND(AL$5&gt;$E88,AL$5&lt;=$F88),IF(AL$5=$E88+1,$C88,""),"")</f>
        <v/>
      </c>
      <c r="AM88" s="34">
        <f>IF(AND(AM$5&gt;$E88,AM$5&lt;=$F88),IF(AM$5=$E88+1,$C88,""),"")</f>
        <v/>
      </c>
      <c r="AN88" s="34">
        <f>IF(AND(AN$5&gt;$E88,AN$5&lt;=$F88),IF(AN$5=$E88+1,$C88,""),"")</f>
        <v/>
      </c>
      <c r="AO88" s="34">
        <f>IF(AND(AO$5&gt;$E88,AO$5&lt;=$F88),IF(AO$5=$E88+1,$C88,""),"")</f>
        <v/>
      </c>
      <c r="AP88" s="34">
        <f>IF(AND(AP$5&gt;$E88,AP$5&lt;=$F88),IF(AP$5=$E88+1,$C88,""),"")</f>
        <v/>
      </c>
      <c r="AQ88" s="34">
        <f>IF(AND(AQ$5&gt;$E88,AQ$5&lt;=$F88),IF(AQ$5=$E88+1,$C88,""),"")</f>
        <v/>
      </c>
      <c r="AR88" s="34">
        <f>IF(AND(AR$5&gt;$E88,AR$5&lt;=$F88),IF(AR$5=$E88+1,$C88,""),"")</f>
        <v/>
      </c>
      <c r="AS88" s="34">
        <f>IF(AND(AS$5&gt;$E88,AS$5&lt;=$F88),IF(AS$5=$E88+1,$C88,""),"")</f>
        <v/>
      </c>
      <c r="AT88" s="34">
        <f>IF(AND(AT$5&gt;$E88,AT$5&lt;=$F88),IF(AT$5=$E88+1,$C88,""),"")</f>
        <v/>
      </c>
      <c r="AU88" s="34">
        <f>IF(AND(AU$5&gt;$E88,AU$5&lt;=$F88),IF(AU$5=$E88+1,$C88,""),"")</f>
        <v/>
      </c>
      <c r="AV88" s="34">
        <f>IF(AND(AV$5&gt;$E88,AV$5&lt;=$F88),IF(AV$5=$E88+1,$C88,""),"")</f>
        <v/>
      </c>
      <c r="AW88" s="34">
        <f>IF(AND(AW$5&gt;$E88,AW$5&lt;=$F88),IF(AW$5=$E88+1,$C88,""),"")</f>
        <v/>
      </c>
      <c r="AX88" s="34">
        <f>IF(AND(AX$5&gt;$E88,AX$5&lt;=$F88),IF(AX$5=$E88+1,$C88,""),"")</f>
        <v/>
      </c>
      <c r="AY88" s="34">
        <f>IF(AND(AY$5&gt;$E88,AY$5&lt;=$F88),IF(AY$5=$E88+1,$C88,""),"")</f>
        <v/>
      </c>
      <c r="AZ88" s="34">
        <f>IF(AND(AZ$5&gt;$E88,AZ$5&lt;=$F88),IF(AZ$5=$E88+1,$C88,""),"")</f>
        <v/>
      </c>
      <c r="BA88" s="34">
        <f>IF(AND(BA$5&gt;$E88,BA$5&lt;=$F88),IF(BA$5=$E88+1,$C88,""),"")</f>
        <v/>
      </c>
      <c r="BB88" s="34">
        <f>IF(AND(BB$5&gt;$E88,BB$5&lt;=$F88),IF(BB$5=$E88+1,$C88,""),"")</f>
        <v/>
      </c>
      <c r="BC88" s="34">
        <f>IF(AND(BC$5&gt;$E88,BC$5&lt;=$F88),IF(BC$5=$E88+1,$C88,""),"")</f>
        <v/>
      </c>
      <c r="BD88" s="34">
        <f>IF(AND(BD$5&gt;$E88,BD$5&lt;=$F88),IF(BD$5=$E88+1,$C88,""),"")</f>
        <v/>
      </c>
      <c r="BE88" s="34">
        <f>IF(AND(BE$5&gt;$E88,BE$5&lt;=$F88),IF(BE$5=$E88+1,$C88,""),"")</f>
        <v/>
      </c>
      <c r="BF88" s="34">
        <f>IF(AND(BF$5&gt;$E88,BF$5&lt;=$F88),IF(BF$5=$E88+1,$C88,""),"")</f>
        <v/>
      </c>
      <c r="BG88" s="34">
        <f>IF(AND(BG$5&gt;$E88,BG$5&lt;=$F88),IF(BG$5=$E88+1,$C88,""),"")</f>
        <v/>
      </c>
      <c r="BH88" s="34">
        <f>IF(AND(BH$5&gt;$E88,BH$5&lt;=$F88),IF(BH$5=$E88+1,$C88,""),"")</f>
        <v/>
      </c>
      <c r="BI88" s="34">
        <f>IF(AND(BI$5&gt;$E88,BI$5&lt;=$F88),IF(BI$5=$E88+1,$C88,""),"")</f>
        <v/>
      </c>
      <c r="BJ88" s="34">
        <f>IF(AND(BJ$5&gt;$E88,BJ$5&lt;=$F88),IF(BJ$5=$E88+1,$C88,""),"")</f>
        <v/>
      </c>
      <c r="BK88" s="34">
        <f>IF(AND(BK$5&gt;$E88,BK$5&lt;=$F88),IF(BK$5=$E88+1,$C88,""),"")</f>
        <v/>
      </c>
      <c r="BL88" s="34">
        <f>IF(AND(BL$5&gt;$E88,BL$5&lt;=$F88),IF(BL$5=$E88+1,$C88,""),"")</f>
        <v/>
      </c>
      <c r="BM88" s="34">
        <f>IF(AND(BM$5&gt;$E88,BM$5&lt;=$F88),IF(BM$5=$E88+1,$C88,""),"")</f>
        <v/>
      </c>
      <c r="BN88" s="34">
        <f>IF(AND(BN$5&gt;$E88,BN$5&lt;=$F88),IF(BN$5=$E88+1,$C88,""),"")</f>
        <v/>
      </c>
      <c r="BO88" s="34">
        <f>IF(AND(BO$5&gt;$E88,BO$5&lt;=$F88),IF(BO$5=$E88+1,$C88,""),"")</f>
        <v/>
      </c>
      <c r="BP88" s="34">
        <f>IF(AND(BP$5&gt;$E88,BP$5&lt;=$F88),IF(BP$5=$E88+1,$C88,""),"")</f>
        <v/>
      </c>
      <c r="BQ88" s="34">
        <f>IF(AND(BQ$5&gt;$E88,BQ$5&lt;=$F88),IF(BQ$5=$E88+1,$C88,""),"")</f>
        <v/>
      </c>
      <c r="BR88" s="34">
        <f>IF(AND(BR$5&gt;$E88,BR$5&lt;=$F88),IF(BR$5=$E88+1,$C88,""),"")</f>
        <v/>
      </c>
      <c r="BS88" s="34">
        <f>IF(AND(BS$5&gt;$E88,BS$5&lt;=$F88),IF(BS$5=$E88+1,$C88,""),"")</f>
        <v/>
      </c>
      <c r="BT88" s="34">
        <f>IF(AND(BT$5&gt;$E88,BT$5&lt;=$F88),IF(BT$5=$E88+1,$C88,""),"")</f>
        <v/>
      </c>
      <c r="BU88" s="34">
        <f>IF(AND(BU$5&gt;$E88,BU$5&lt;=$F88),IF(BU$5=$E88+1,$C88,""),"")</f>
        <v/>
      </c>
      <c r="BV88" s="34">
        <f>IF(AND(BV$5&gt;$E88,BV$5&lt;=$F88),IF(BV$5=$E88+1,$C88,""),"")</f>
        <v/>
      </c>
      <c r="BW88" s="34">
        <f>IF(AND(BW$5&gt;$E88,BW$5&lt;=$F88),IF(BW$5=$E88+1,$C88,""),"")</f>
        <v/>
      </c>
      <c r="BX88" s="34">
        <f>IF(AND(BX$5&gt;$E88,BX$5&lt;=$F88),IF(BX$5=$E88+1,$C88,""),"")</f>
        <v/>
      </c>
      <c r="BY88" s="34">
        <f>IF(AND(BY$5&gt;$E88,BY$5&lt;=$F88),IF(BY$5=$E88+1,$C88,""),"")</f>
        <v/>
      </c>
      <c r="BZ88" s="34">
        <f>IF(AND(BZ$5&gt;$E88,BZ$5&lt;=$F88),IF(BZ$5=$E88+1,$C88,""),"")</f>
        <v/>
      </c>
      <c r="CA88" s="34">
        <f>IF(AND(CA$5&gt;$E88,CA$5&lt;=$F88),IF(CA$5=$E88+1,$C88,""),"")</f>
        <v/>
      </c>
      <c r="CB88" s="34">
        <f>IF(AND(CB$5&gt;$E88,CB$5&lt;=$F88),IF(CB$5=$E88+1,$C88,""),"")</f>
        <v/>
      </c>
      <c r="CC88" s="34">
        <f>IF(AND(CC$5&gt;$E88,CC$5&lt;=$F88),IF(CC$5=$E88+1,$C88,""),"")</f>
        <v/>
      </c>
      <c r="CD88" s="34">
        <f>IF(AND(CD$5&gt;$E88,CD$5&lt;=$F88),IF(CD$5=$E88+1,$C88,""),"")</f>
        <v/>
      </c>
      <c r="CE88" s="34">
        <f>IF(AND(CE$5&gt;$E88,CE$5&lt;=$F88),IF(CE$5=$E88+1,$C88,""),"")</f>
        <v/>
      </c>
      <c r="CF88" s="34">
        <f>IF(AND(CF$5&gt;$E88,CF$5&lt;=$F88),IF(CF$5=$E88+1,$C88,""),"")</f>
        <v/>
      </c>
      <c r="CG88" s="34">
        <f>IF(AND(CG$5&gt;$E88,CG$5&lt;=$F88),IF(CG$5=$E88+1,$C88,""),"")</f>
        <v/>
      </c>
      <c r="CH88" s="34">
        <f>IF(AND(CH$5&gt;$E88,CH$5&lt;=$F88),IF(CH$5=$E88+1,$C88,""),"")</f>
        <v/>
      </c>
      <c r="CI88" s="34">
        <f>IF(AND(CI$5&gt;$E88,CI$5&lt;=$F88),IF(CI$5=$E88+1,$C88,""),"")</f>
        <v/>
      </c>
      <c r="CJ88" s="34">
        <f>IF(AND(CJ$5&gt;$E88,CJ$5&lt;=$F88),IF(CJ$5=$E88+1,$C88,""),"")</f>
        <v/>
      </c>
      <c r="CK88" s="34">
        <f>IF(AND(CK$5&gt;$E88,CK$5&lt;=$F88),IF(CK$5=$E88+1,$C88,""),"")</f>
        <v/>
      </c>
      <c r="CL88" s="34">
        <f>IF(AND(CL$5&gt;$E88,CL$5&lt;=$F88),IF(CL$5=$E88+1,$C88,""),"")</f>
        <v/>
      </c>
      <c r="CM88" s="34">
        <f>IF(AND(CM$5&gt;$E88,CM$5&lt;=$F88),IF(CM$5=$E88+1,$C88,""),"")</f>
        <v/>
      </c>
      <c r="CN88" s="34">
        <f>IF(AND(CN$5&gt;$E88,CN$5&lt;=$F88),IF(CN$5=$E88+1,$C88,""),"")</f>
        <v/>
      </c>
      <c r="CO88" s="34">
        <f>IF(AND(CO$5&gt;$E88,CO$5&lt;=$F88),IF(CO$5=$E88+1,$C88,""),"")</f>
        <v/>
      </c>
      <c r="CP88" s="34">
        <f>IF(AND(CP$5&gt;$E88,CP$5&lt;=$F88),IF(CP$5=$E88+1,$C88,""),"")</f>
        <v/>
      </c>
      <c r="CQ88" s="34">
        <f>IF(AND(CQ$5&gt;$E88,CQ$5&lt;=$F88),IF(CQ$5=$E88+1,$C88,""),"")</f>
        <v/>
      </c>
      <c r="CR88" s="34">
        <f>IF(AND(CR$5&gt;$E88,CR$5&lt;=$F88),IF(CR$5=$E88+1,$C88,""),"")</f>
        <v/>
      </c>
      <c r="CS88" s="34">
        <f>IF(AND(CS$5&gt;$E88,CS$5&lt;=$F88),IF(CS$5=$E88+1,$C88,""),"")</f>
        <v/>
      </c>
      <c r="CT88" s="34">
        <f>IF(AND(CT$5&gt;$E88,CT$5&lt;=$F88),IF(CT$5=$E88+1,$C88,""),"")</f>
        <v/>
      </c>
      <c r="CU88" s="34">
        <f>IF(AND(CU$5&gt;$E88,CU$5&lt;=$F88),IF(CU$5=$E88+1,$C88,""),"")</f>
        <v/>
      </c>
      <c r="CV88" s="34">
        <f>IF(AND(CV$5&gt;$E88,CV$5&lt;=$F88),IF(CV$5=$E88+1,$C88,""),"")</f>
        <v/>
      </c>
      <c r="CW88" s="34">
        <f>IF(AND(CW$5&gt;$E88,CW$5&lt;=$F88),IF(CW$5=$E88+1,$C88,""),"")</f>
        <v/>
      </c>
      <c r="CX88" s="34">
        <f>IF(AND(CX$5&gt;$E88,CX$5&lt;=$F88),IF(CX$5=$E88+1,$C88,""),"")</f>
        <v/>
      </c>
      <c r="CY88" s="34">
        <f>IF(AND(CY$5&gt;$E88,CY$5&lt;=$F88),IF(CY$5=$E88+1,$C88,""),"")</f>
        <v/>
      </c>
      <c r="CZ88" s="34">
        <f>IF(AND(CZ$5&gt;$E88,CZ$5&lt;=$F88),IF(CZ$5=$E88+1,$C88,""),"")</f>
        <v/>
      </c>
      <c r="DA88" s="34">
        <f>IF(AND(DA$5&gt;$E88,DA$5&lt;=$F88),IF(DA$5=$E88+1,$C88,""),"")</f>
        <v/>
      </c>
      <c r="DB88" s="34">
        <f>IF(AND(DB$5&gt;$E88,DB$5&lt;=$F88),IF(DB$5=$E88+1,$C88,""),"")</f>
        <v/>
      </c>
      <c r="DC88" s="34">
        <f>IF(AND(DC$5&gt;$E88,DC$5&lt;=$F88),IF(DC$5=$E88+1,$C88,""),"")</f>
        <v/>
      </c>
    </row>
    <row r="89">
      <c r="A89" s="32">
        <f>Plan!A72</f>
        <v/>
      </c>
      <c r="B89" s="33">
        <f>Plan!C72</f>
        <v/>
      </c>
      <c r="C89" s="16">
        <f>Plan!D72</f>
        <v/>
      </c>
      <c r="D89" s="16">
        <f>Plan!I72</f>
        <v/>
      </c>
      <c r="E89" s="16">
        <f>Plan!K72</f>
        <v/>
      </c>
      <c r="F89" s="16">
        <f>Plan!L72</f>
        <v/>
      </c>
      <c r="G89" s="16">
        <f>Plan!O72</f>
        <v/>
      </c>
      <c r="H89" s="34">
        <f>IF(AND(H$5&gt;$E89,H$5&lt;=$F89),IF(H$5=$E89+1,$C89,""),"")</f>
        <v/>
      </c>
      <c r="I89" s="34">
        <f>IF(AND(I$5&gt;$E89,I$5&lt;=$F89),IF(I$5=$E89+1,$C89,""),"")</f>
        <v/>
      </c>
      <c r="J89" s="34">
        <f>IF(AND(J$5&gt;$E89,J$5&lt;=$F89),IF(J$5=$E89+1,$C89,""),"")</f>
        <v/>
      </c>
      <c r="K89" s="34">
        <f>IF(AND(K$5&gt;$E89,K$5&lt;=$F89),IF(K$5=$E89+1,$C89,""),"")</f>
        <v/>
      </c>
      <c r="L89" s="34">
        <f>IF(AND(L$5&gt;$E89,L$5&lt;=$F89),IF(L$5=$E89+1,$C89,""),"")</f>
        <v/>
      </c>
      <c r="M89" s="34">
        <f>IF(AND(M$5&gt;$E89,M$5&lt;=$F89),IF(M$5=$E89+1,$C89,""),"")</f>
        <v/>
      </c>
      <c r="N89" s="34">
        <f>IF(AND(N$5&gt;$E89,N$5&lt;=$F89),IF(N$5=$E89+1,$C89,""),"")</f>
        <v/>
      </c>
      <c r="O89" s="34">
        <f>IF(AND(O$5&gt;$E89,O$5&lt;=$F89),IF(O$5=$E89+1,$C89,""),"")</f>
        <v/>
      </c>
      <c r="P89" s="34">
        <f>IF(AND(P$5&gt;$E89,P$5&lt;=$F89),IF(P$5=$E89+1,$C89,""),"")</f>
        <v/>
      </c>
      <c r="Q89" s="34">
        <f>IF(AND(Q$5&gt;$E89,Q$5&lt;=$F89),IF(Q$5=$E89+1,$C89,""),"")</f>
        <v/>
      </c>
      <c r="R89" s="34">
        <f>IF(AND(R$5&gt;$E89,R$5&lt;=$F89),IF(R$5=$E89+1,$C89,""),"")</f>
        <v/>
      </c>
      <c r="S89" s="34">
        <f>IF(AND(S$5&gt;$E89,S$5&lt;=$F89),IF(S$5=$E89+1,$C89,""),"")</f>
        <v/>
      </c>
      <c r="T89" s="34">
        <f>IF(AND(T$5&gt;$E89,T$5&lt;=$F89),IF(T$5=$E89+1,$C89,""),"")</f>
        <v/>
      </c>
      <c r="U89" s="34">
        <f>IF(AND(U$5&gt;$E89,U$5&lt;=$F89),IF(U$5=$E89+1,$C89,""),"")</f>
        <v/>
      </c>
      <c r="V89" s="34">
        <f>IF(AND(V$5&gt;$E89,V$5&lt;=$F89),IF(V$5=$E89+1,$C89,""),"")</f>
        <v/>
      </c>
      <c r="W89" s="34">
        <f>IF(AND(W$5&gt;$E89,W$5&lt;=$F89),IF(W$5=$E89+1,$C89,""),"")</f>
        <v/>
      </c>
      <c r="X89" s="34">
        <f>IF(AND(X$5&gt;$E89,X$5&lt;=$F89),IF(X$5=$E89+1,$C89,""),"")</f>
        <v/>
      </c>
      <c r="Y89" s="34">
        <f>IF(AND(Y$5&gt;$E89,Y$5&lt;=$F89),IF(Y$5=$E89+1,$C89,""),"")</f>
        <v/>
      </c>
      <c r="Z89" s="34">
        <f>IF(AND(Z$5&gt;$E89,Z$5&lt;=$F89),IF(Z$5=$E89+1,$C89,""),"")</f>
        <v/>
      </c>
      <c r="AA89" s="34">
        <f>IF(AND(AA$5&gt;$E89,AA$5&lt;=$F89),IF(AA$5=$E89+1,$C89,""),"")</f>
        <v/>
      </c>
      <c r="AB89" s="34">
        <f>IF(AND(AB$5&gt;$E89,AB$5&lt;=$F89),IF(AB$5=$E89+1,$C89,""),"")</f>
        <v/>
      </c>
      <c r="AC89" s="34">
        <f>IF(AND(AC$5&gt;$E89,AC$5&lt;=$F89),IF(AC$5=$E89+1,$C89,""),"")</f>
        <v/>
      </c>
      <c r="AD89" s="34">
        <f>IF(AND(AD$5&gt;$E89,AD$5&lt;=$F89),IF(AD$5=$E89+1,$C89,""),"")</f>
        <v/>
      </c>
      <c r="AE89" s="34">
        <f>IF(AND(AE$5&gt;$E89,AE$5&lt;=$F89),IF(AE$5=$E89+1,$C89,""),"")</f>
        <v/>
      </c>
      <c r="AF89" s="34">
        <f>IF(AND(AF$5&gt;$E89,AF$5&lt;=$F89),IF(AF$5=$E89+1,$C89,""),"")</f>
        <v/>
      </c>
      <c r="AG89" s="34">
        <f>IF(AND(AG$5&gt;$E89,AG$5&lt;=$F89),IF(AG$5=$E89+1,$C89,""),"")</f>
        <v/>
      </c>
      <c r="AH89" s="34">
        <f>IF(AND(AH$5&gt;$E89,AH$5&lt;=$F89),IF(AH$5=$E89+1,$C89,""),"")</f>
        <v/>
      </c>
      <c r="AI89" s="34">
        <f>IF(AND(AI$5&gt;$E89,AI$5&lt;=$F89),IF(AI$5=$E89+1,$C89,""),"")</f>
        <v/>
      </c>
      <c r="AJ89" s="34">
        <f>IF(AND(AJ$5&gt;$E89,AJ$5&lt;=$F89),IF(AJ$5=$E89+1,$C89,""),"")</f>
        <v/>
      </c>
      <c r="AK89" s="34">
        <f>IF(AND(AK$5&gt;$E89,AK$5&lt;=$F89),IF(AK$5=$E89+1,$C89,""),"")</f>
        <v/>
      </c>
      <c r="AL89" s="34">
        <f>IF(AND(AL$5&gt;$E89,AL$5&lt;=$F89),IF(AL$5=$E89+1,$C89,""),"")</f>
        <v/>
      </c>
      <c r="AM89" s="34">
        <f>IF(AND(AM$5&gt;$E89,AM$5&lt;=$F89),IF(AM$5=$E89+1,$C89,""),"")</f>
        <v/>
      </c>
      <c r="AN89" s="34">
        <f>IF(AND(AN$5&gt;$E89,AN$5&lt;=$F89),IF(AN$5=$E89+1,$C89,""),"")</f>
        <v/>
      </c>
      <c r="AO89" s="34">
        <f>IF(AND(AO$5&gt;$E89,AO$5&lt;=$F89),IF(AO$5=$E89+1,$C89,""),"")</f>
        <v/>
      </c>
      <c r="AP89" s="34">
        <f>IF(AND(AP$5&gt;$E89,AP$5&lt;=$F89),IF(AP$5=$E89+1,$C89,""),"")</f>
        <v/>
      </c>
      <c r="AQ89" s="34">
        <f>IF(AND(AQ$5&gt;$E89,AQ$5&lt;=$F89),IF(AQ$5=$E89+1,$C89,""),"")</f>
        <v/>
      </c>
      <c r="AR89" s="34">
        <f>IF(AND(AR$5&gt;$E89,AR$5&lt;=$F89),IF(AR$5=$E89+1,$C89,""),"")</f>
        <v/>
      </c>
      <c r="AS89" s="34">
        <f>IF(AND(AS$5&gt;$E89,AS$5&lt;=$F89),IF(AS$5=$E89+1,$C89,""),"")</f>
        <v/>
      </c>
      <c r="AT89" s="34">
        <f>IF(AND(AT$5&gt;$E89,AT$5&lt;=$F89),IF(AT$5=$E89+1,$C89,""),"")</f>
        <v/>
      </c>
      <c r="AU89" s="34">
        <f>IF(AND(AU$5&gt;$E89,AU$5&lt;=$F89),IF(AU$5=$E89+1,$C89,""),"")</f>
        <v/>
      </c>
      <c r="AV89" s="34">
        <f>IF(AND(AV$5&gt;$E89,AV$5&lt;=$F89),IF(AV$5=$E89+1,$C89,""),"")</f>
        <v/>
      </c>
      <c r="AW89" s="34">
        <f>IF(AND(AW$5&gt;$E89,AW$5&lt;=$F89),IF(AW$5=$E89+1,$C89,""),"")</f>
        <v/>
      </c>
      <c r="AX89" s="34">
        <f>IF(AND(AX$5&gt;$E89,AX$5&lt;=$F89),IF(AX$5=$E89+1,$C89,""),"")</f>
        <v/>
      </c>
      <c r="AY89" s="34">
        <f>IF(AND(AY$5&gt;$E89,AY$5&lt;=$F89),IF(AY$5=$E89+1,$C89,""),"")</f>
        <v/>
      </c>
      <c r="AZ89" s="34">
        <f>IF(AND(AZ$5&gt;$E89,AZ$5&lt;=$F89),IF(AZ$5=$E89+1,$C89,""),"")</f>
        <v/>
      </c>
      <c r="BA89" s="34">
        <f>IF(AND(BA$5&gt;$E89,BA$5&lt;=$F89),IF(BA$5=$E89+1,$C89,""),"")</f>
        <v/>
      </c>
      <c r="BB89" s="34">
        <f>IF(AND(BB$5&gt;$E89,BB$5&lt;=$F89),IF(BB$5=$E89+1,$C89,""),"")</f>
        <v/>
      </c>
      <c r="BC89" s="34">
        <f>IF(AND(BC$5&gt;$E89,BC$5&lt;=$F89),IF(BC$5=$E89+1,$C89,""),"")</f>
        <v/>
      </c>
      <c r="BD89" s="34">
        <f>IF(AND(BD$5&gt;$E89,BD$5&lt;=$F89),IF(BD$5=$E89+1,$C89,""),"")</f>
        <v/>
      </c>
      <c r="BE89" s="34">
        <f>IF(AND(BE$5&gt;$E89,BE$5&lt;=$F89),IF(BE$5=$E89+1,$C89,""),"")</f>
        <v/>
      </c>
      <c r="BF89" s="34">
        <f>IF(AND(BF$5&gt;$E89,BF$5&lt;=$F89),IF(BF$5=$E89+1,$C89,""),"")</f>
        <v/>
      </c>
      <c r="BG89" s="34">
        <f>IF(AND(BG$5&gt;$E89,BG$5&lt;=$F89),IF(BG$5=$E89+1,$C89,""),"")</f>
        <v/>
      </c>
      <c r="BH89" s="34">
        <f>IF(AND(BH$5&gt;$E89,BH$5&lt;=$F89),IF(BH$5=$E89+1,$C89,""),"")</f>
        <v/>
      </c>
      <c r="BI89" s="34">
        <f>IF(AND(BI$5&gt;$E89,BI$5&lt;=$F89),IF(BI$5=$E89+1,$C89,""),"")</f>
        <v/>
      </c>
      <c r="BJ89" s="34">
        <f>IF(AND(BJ$5&gt;$E89,BJ$5&lt;=$F89),IF(BJ$5=$E89+1,$C89,""),"")</f>
        <v/>
      </c>
      <c r="BK89" s="34">
        <f>IF(AND(BK$5&gt;$E89,BK$5&lt;=$F89),IF(BK$5=$E89+1,$C89,""),"")</f>
        <v/>
      </c>
      <c r="BL89" s="34">
        <f>IF(AND(BL$5&gt;$E89,BL$5&lt;=$F89),IF(BL$5=$E89+1,$C89,""),"")</f>
        <v/>
      </c>
      <c r="BM89" s="34">
        <f>IF(AND(BM$5&gt;$E89,BM$5&lt;=$F89),IF(BM$5=$E89+1,$C89,""),"")</f>
        <v/>
      </c>
      <c r="BN89" s="34">
        <f>IF(AND(BN$5&gt;$E89,BN$5&lt;=$F89),IF(BN$5=$E89+1,$C89,""),"")</f>
        <v/>
      </c>
      <c r="BO89" s="34">
        <f>IF(AND(BO$5&gt;$E89,BO$5&lt;=$F89),IF(BO$5=$E89+1,$C89,""),"")</f>
        <v/>
      </c>
      <c r="BP89" s="34">
        <f>IF(AND(BP$5&gt;$E89,BP$5&lt;=$F89),IF(BP$5=$E89+1,$C89,""),"")</f>
        <v/>
      </c>
      <c r="BQ89" s="34">
        <f>IF(AND(BQ$5&gt;$E89,BQ$5&lt;=$F89),IF(BQ$5=$E89+1,$C89,""),"")</f>
        <v/>
      </c>
      <c r="BR89" s="34">
        <f>IF(AND(BR$5&gt;$E89,BR$5&lt;=$F89),IF(BR$5=$E89+1,$C89,""),"")</f>
        <v/>
      </c>
      <c r="BS89" s="34">
        <f>IF(AND(BS$5&gt;$E89,BS$5&lt;=$F89),IF(BS$5=$E89+1,$C89,""),"")</f>
        <v/>
      </c>
      <c r="BT89" s="34">
        <f>IF(AND(BT$5&gt;$E89,BT$5&lt;=$F89),IF(BT$5=$E89+1,$C89,""),"")</f>
        <v/>
      </c>
      <c r="BU89" s="34">
        <f>IF(AND(BU$5&gt;$E89,BU$5&lt;=$F89),IF(BU$5=$E89+1,$C89,""),"")</f>
        <v/>
      </c>
      <c r="BV89" s="34">
        <f>IF(AND(BV$5&gt;$E89,BV$5&lt;=$F89),IF(BV$5=$E89+1,$C89,""),"")</f>
        <v/>
      </c>
      <c r="BW89" s="34">
        <f>IF(AND(BW$5&gt;$E89,BW$5&lt;=$F89),IF(BW$5=$E89+1,$C89,""),"")</f>
        <v/>
      </c>
      <c r="BX89" s="34">
        <f>IF(AND(BX$5&gt;$E89,BX$5&lt;=$F89),IF(BX$5=$E89+1,$C89,""),"")</f>
        <v/>
      </c>
      <c r="BY89" s="34">
        <f>IF(AND(BY$5&gt;$E89,BY$5&lt;=$F89),IF(BY$5=$E89+1,$C89,""),"")</f>
        <v/>
      </c>
      <c r="BZ89" s="34">
        <f>IF(AND(BZ$5&gt;$E89,BZ$5&lt;=$F89),IF(BZ$5=$E89+1,$C89,""),"")</f>
        <v/>
      </c>
      <c r="CA89" s="34">
        <f>IF(AND(CA$5&gt;$E89,CA$5&lt;=$F89),IF(CA$5=$E89+1,$C89,""),"")</f>
        <v/>
      </c>
      <c r="CB89" s="34">
        <f>IF(AND(CB$5&gt;$E89,CB$5&lt;=$F89),IF(CB$5=$E89+1,$C89,""),"")</f>
        <v/>
      </c>
      <c r="CC89" s="34">
        <f>IF(AND(CC$5&gt;$E89,CC$5&lt;=$F89),IF(CC$5=$E89+1,$C89,""),"")</f>
        <v/>
      </c>
      <c r="CD89" s="34">
        <f>IF(AND(CD$5&gt;$E89,CD$5&lt;=$F89),IF(CD$5=$E89+1,$C89,""),"")</f>
        <v/>
      </c>
      <c r="CE89" s="34">
        <f>IF(AND(CE$5&gt;$E89,CE$5&lt;=$F89),IF(CE$5=$E89+1,$C89,""),"")</f>
        <v/>
      </c>
      <c r="CF89" s="34">
        <f>IF(AND(CF$5&gt;$E89,CF$5&lt;=$F89),IF(CF$5=$E89+1,$C89,""),"")</f>
        <v/>
      </c>
      <c r="CG89" s="34">
        <f>IF(AND(CG$5&gt;$E89,CG$5&lt;=$F89),IF(CG$5=$E89+1,$C89,""),"")</f>
        <v/>
      </c>
      <c r="CH89" s="34">
        <f>IF(AND(CH$5&gt;$E89,CH$5&lt;=$F89),IF(CH$5=$E89+1,$C89,""),"")</f>
        <v/>
      </c>
      <c r="CI89" s="34">
        <f>IF(AND(CI$5&gt;$E89,CI$5&lt;=$F89),IF(CI$5=$E89+1,$C89,""),"")</f>
        <v/>
      </c>
      <c r="CJ89" s="34">
        <f>IF(AND(CJ$5&gt;$E89,CJ$5&lt;=$F89),IF(CJ$5=$E89+1,$C89,""),"")</f>
        <v/>
      </c>
      <c r="CK89" s="34">
        <f>IF(AND(CK$5&gt;$E89,CK$5&lt;=$F89),IF(CK$5=$E89+1,$C89,""),"")</f>
        <v/>
      </c>
      <c r="CL89" s="34">
        <f>IF(AND(CL$5&gt;$E89,CL$5&lt;=$F89),IF(CL$5=$E89+1,$C89,""),"")</f>
        <v/>
      </c>
      <c r="CM89" s="34">
        <f>IF(AND(CM$5&gt;$E89,CM$5&lt;=$F89),IF(CM$5=$E89+1,$C89,""),"")</f>
        <v/>
      </c>
      <c r="CN89" s="34">
        <f>IF(AND(CN$5&gt;$E89,CN$5&lt;=$F89),IF(CN$5=$E89+1,$C89,""),"")</f>
        <v/>
      </c>
      <c r="CO89" s="34">
        <f>IF(AND(CO$5&gt;$E89,CO$5&lt;=$F89),IF(CO$5=$E89+1,$C89,""),"")</f>
        <v/>
      </c>
      <c r="CP89" s="34">
        <f>IF(AND(CP$5&gt;$E89,CP$5&lt;=$F89),IF(CP$5=$E89+1,$C89,""),"")</f>
        <v/>
      </c>
      <c r="CQ89" s="34">
        <f>IF(AND(CQ$5&gt;$E89,CQ$5&lt;=$F89),IF(CQ$5=$E89+1,$C89,""),"")</f>
        <v/>
      </c>
      <c r="CR89" s="34">
        <f>IF(AND(CR$5&gt;$E89,CR$5&lt;=$F89),IF(CR$5=$E89+1,$C89,""),"")</f>
        <v/>
      </c>
      <c r="CS89" s="34">
        <f>IF(AND(CS$5&gt;$E89,CS$5&lt;=$F89),IF(CS$5=$E89+1,$C89,""),"")</f>
        <v/>
      </c>
      <c r="CT89" s="34">
        <f>IF(AND(CT$5&gt;$E89,CT$5&lt;=$F89),IF(CT$5=$E89+1,$C89,""),"")</f>
        <v/>
      </c>
      <c r="CU89" s="34">
        <f>IF(AND(CU$5&gt;$E89,CU$5&lt;=$F89),IF(CU$5=$E89+1,$C89,""),"")</f>
        <v/>
      </c>
      <c r="CV89" s="34">
        <f>IF(AND(CV$5&gt;$E89,CV$5&lt;=$F89),IF(CV$5=$E89+1,$C89,""),"")</f>
        <v/>
      </c>
      <c r="CW89" s="34">
        <f>IF(AND(CW$5&gt;$E89,CW$5&lt;=$F89),IF(CW$5=$E89+1,$C89,""),"")</f>
        <v/>
      </c>
      <c r="CX89" s="34">
        <f>IF(AND(CX$5&gt;$E89,CX$5&lt;=$F89),IF(CX$5=$E89+1,$C89,""),"")</f>
        <v/>
      </c>
      <c r="CY89" s="34">
        <f>IF(AND(CY$5&gt;$E89,CY$5&lt;=$F89),IF(CY$5=$E89+1,$C89,""),"")</f>
        <v/>
      </c>
      <c r="CZ89" s="34">
        <f>IF(AND(CZ$5&gt;$E89,CZ$5&lt;=$F89),IF(CZ$5=$E89+1,$C89,""),"")</f>
        <v/>
      </c>
      <c r="DA89" s="34">
        <f>IF(AND(DA$5&gt;$E89,DA$5&lt;=$F89),IF(DA$5=$E89+1,$C89,""),"")</f>
        <v/>
      </c>
      <c r="DB89" s="34">
        <f>IF(AND(DB$5&gt;$E89,DB$5&lt;=$F89),IF(DB$5=$E89+1,$C89,""),"")</f>
        <v/>
      </c>
      <c r="DC89" s="34">
        <f>IF(AND(DC$5&gt;$E89,DC$5&lt;=$F89),IF(DC$5=$E89+1,$C89,""),"")</f>
        <v/>
      </c>
    </row>
    <row r="90">
      <c r="A90" s="32">
        <f>Plan!A73</f>
        <v/>
      </c>
      <c r="B90" s="33">
        <f>Plan!C73</f>
        <v/>
      </c>
      <c r="C90" s="16">
        <f>Plan!D73</f>
        <v/>
      </c>
      <c r="D90" s="16">
        <f>Plan!I73</f>
        <v/>
      </c>
      <c r="E90" s="16">
        <f>Plan!K73</f>
        <v/>
      </c>
      <c r="F90" s="16">
        <f>Plan!L73</f>
        <v/>
      </c>
      <c r="G90" s="16">
        <f>Plan!O73</f>
        <v/>
      </c>
      <c r="H90" s="34">
        <f>IF(AND(H$5&gt;$E90,H$5&lt;=$F90),IF(H$5=$E90+1,$C90,""),"")</f>
        <v/>
      </c>
      <c r="I90" s="34">
        <f>IF(AND(I$5&gt;$E90,I$5&lt;=$F90),IF(I$5=$E90+1,$C90,""),"")</f>
        <v/>
      </c>
      <c r="J90" s="34">
        <f>IF(AND(J$5&gt;$E90,J$5&lt;=$F90),IF(J$5=$E90+1,$C90,""),"")</f>
        <v/>
      </c>
      <c r="K90" s="34">
        <f>IF(AND(K$5&gt;$E90,K$5&lt;=$F90),IF(K$5=$E90+1,$C90,""),"")</f>
        <v/>
      </c>
      <c r="L90" s="34">
        <f>IF(AND(L$5&gt;$E90,L$5&lt;=$F90),IF(L$5=$E90+1,$C90,""),"")</f>
        <v/>
      </c>
      <c r="M90" s="34">
        <f>IF(AND(M$5&gt;$E90,M$5&lt;=$F90),IF(M$5=$E90+1,$C90,""),"")</f>
        <v/>
      </c>
      <c r="N90" s="34">
        <f>IF(AND(N$5&gt;$E90,N$5&lt;=$F90),IF(N$5=$E90+1,$C90,""),"")</f>
        <v/>
      </c>
      <c r="O90" s="34">
        <f>IF(AND(O$5&gt;$E90,O$5&lt;=$F90),IF(O$5=$E90+1,$C90,""),"")</f>
        <v/>
      </c>
      <c r="P90" s="34">
        <f>IF(AND(P$5&gt;$E90,P$5&lt;=$F90),IF(P$5=$E90+1,$C90,""),"")</f>
        <v/>
      </c>
      <c r="Q90" s="34">
        <f>IF(AND(Q$5&gt;$E90,Q$5&lt;=$F90),IF(Q$5=$E90+1,$C90,""),"")</f>
        <v/>
      </c>
      <c r="R90" s="34">
        <f>IF(AND(R$5&gt;$E90,R$5&lt;=$F90),IF(R$5=$E90+1,$C90,""),"")</f>
        <v/>
      </c>
      <c r="S90" s="34">
        <f>IF(AND(S$5&gt;$E90,S$5&lt;=$F90),IF(S$5=$E90+1,$C90,""),"")</f>
        <v/>
      </c>
      <c r="T90" s="34">
        <f>IF(AND(T$5&gt;$E90,T$5&lt;=$F90),IF(T$5=$E90+1,$C90,""),"")</f>
        <v/>
      </c>
      <c r="U90" s="34">
        <f>IF(AND(U$5&gt;$E90,U$5&lt;=$F90),IF(U$5=$E90+1,$C90,""),"")</f>
        <v/>
      </c>
      <c r="V90" s="34">
        <f>IF(AND(V$5&gt;$E90,V$5&lt;=$F90),IF(V$5=$E90+1,$C90,""),"")</f>
        <v/>
      </c>
      <c r="W90" s="34">
        <f>IF(AND(W$5&gt;$E90,W$5&lt;=$F90),IF(W$5=$E90+1,$C90,""),"")</f>
        <v/>
      </c>
      <c r="X90" s="34">
        <f>IF(AND(X$5&gt;$E90,X$5&lt;=$F90),IF(X$5=$E90+1,$C90,""),"")</f>
        <v/>
      </c>
      <c r="Y90" s="34">
        <f>IF(AND(Y$5&gt;$E90,Y$5&lt;=$F90),IF(Y$5=$E90+1,$C90,""),"")</f>
        <v/>
      </c>
      <c r="Z90" s="34">
        <f>IF(AND(Z$5&gt;$E90,Z$5&lt;=$F90),IF(Z$5=$E90+1,$C90,""),"")</f>
        <v/>
      </c>
      <c r="AA90" s="34">
        <f>IF(AND(AA$5&gt;$E90,AA$5&lt;=$F90),IF(AA$5=$E90+1,$C90,""),"")</f>
        <v/>
      </c>
      <c r="AB90" s="34">
        <f>IF(AND(AB$5&gt;$E90,AB$5&lt;=$F90),IF(AB$5=$E90+1,$C90,""),"")</f>
        <v/>
      </c>
      <c r="AC90" s="34">
        <f>IF(AND(AC$5&gt;$E90,AC$5&lt;=$F90),IF(AC$5=$E90+1,$C90,""),"")</f>
        <v/>
      </c>
      <c r="AD90" s="34">
        <f>IF(AND(AD$5&gt;$E90,AD$5&lt;=$F90),IF(AD$5=$E90+1,$C90,""),"")</f>
        <v/>
      </c>
      <c r="AE90" s="34">
        <f>IF(AND(AE$5&gt;$E90,AE$5&lt;=$F90),IF(AE$5=$E90+1,$C90,""),"")</f>
        <v/>
      </c>
      <c r="AF90" s="34">
        <f>IF(AND(AF$5&gt;$E90,AF$5&lt;=$F90),IF(AF$5=$E90+1,$C90,""),"")</f>
        <v/>
      </c>
      <c r="AG90" s="34">
        <f>IF(AND(AG$5&gt;$E90,AG$5&lt;=$F90),IF(AG$5=$E90+1,$C90,""),"")</f>
        <v/>
      </c>
      <c r="AH90" s="34">
        <f>IF(AND(AH$5&gt;$E90,AH$5&lt;=$F90),IF(AH$5=$E90+1,$C90,""),"")</f>
        <v/>
      </c>
      <c r="AI90" s="34">
        <f>IF(AND(AI$5&gt;$E90,AI$5&lt;=$F90),IF(AI$5=$E90+1,$C90,""),"")</f>
        <v/>
      </c>
      <c r="AJ90" s="34">
        <f>IF(AND(AJ$5&gt;$E90,AJ$5&lt;=$F90),IF(AJ$5=$E90+1,$C90,""),"")</f>
        <v/>
      </c>
      <c r="AK90" s="34">
        <f>IF(AND(AK$5&gt;$E90,AK$5&lt;=$F90),IF(AK$5=$E90+1,$C90,""),"")</f>
        <v/>
      </c>
      <c r="AL90" s="34">
        <f>IF(AND(AL$5&gt;$E90,AL$5&lt;=$F90),IF(AL$5=$E90+1,$C90,""),"")</f>
        <v/>
      </c>
      <c r="AM90" s="34">
        <f>IF(AND(AM$5&gt;$E90,AM$5&lt;=$F90),IF(AM$5=$E90+1,$C90,""),"")</f>
        <v/>
      </c>
      <c r="AN90" s="34">
        <f>IF(AND(AN$5&gt;$E90,AN$5&lt;=$F90),IF(AN$5=$E90+1,$C90,""),"")</f>
        <v/>
      </c>
      <c r="AO90" s="34">
        <f>IF(AND(AO$5&gt;$E90,AO$5&lt;=$F90),IF(AO$5=$E90+1,$C90,""),"")</f>
        <v/>
      </c>
      <c r="AP90" s="34">
        <f>IF(AND(AP$5&gt;$E90,AP$5&lt;=$F90),IF(AP$5=$E90+1,$C90,""),"")</f>
        <v/>
      </c>
      <c r="AQ90" s="34">
        <f>IF(AND(AQ$5&gt;$E90,AQ$5&lt;=$F90),IF(AQ$5=$E90+1,$C90,""),"")</f>
        <v/>
      </c>
      <c r="AR90" s="34">
        <f>IF(AND(AR$5&gt;$E90,AR$5&lt;=$F90),IF(AR$5=$E90+1,$C90,""),"")</f>
        <v/>
      </c>
      <c r="AS90" s="34">
        <f>IF(AND(AS$5&gt;$E90,AS$5&lt;=$F90),IF(AS$5=$E90+1,$C90,""),"")</f>
        <v/>
      </c>
      <c r="AT90" s="34">
        <f>IF(AND(AT$5&gt;$E90,AT$5&lt;=$F90),IF(AT$5=$E90+1,$C90,""),"")</f>
        <v/>
      </c>
      <c r="AU90" s="34">
        <f>IF(AND(AU$5&gt;$E90,AU$5&lt;=$F90),IF(AU$5=$E90+1,$C90,""),"")</f>
        <v/>
      </c>
      <c r="AV90" s="34">
        <f>IF(AND(AV$5&gt;$E90,AV$5&lt;=$F90),IF(AV$5=$E90+1,$C90,""),"")</f>
        <v/>
      </c>
      <c r="AW90" s="34">
        <f>IF(AND(AW$5&gt;$E90,AW$5&lt;=$F90),IF(AW$5=$E90+1,$C90,""),"")</f>
        <v/>
      </c>
      <c r="AX90" s="34">
        <f>IF(AND(AX$5&gt;$E90,AX$5&lt;=$F90),IF(AX$5=$E90+1,$C90,""),"")</f>
        <v/>
      </c>
      <c r="AY90" s="34">
        <f>IF(AND(AY$5&gt;$E90,AY$5&lt;=$F90),IF(AY$5=$E90+1,$C90,""),"")</f>
        <v/>
      </c>
      <c r="AZ90" s="34">
        <f>IF(AND(AZ$5&gt;$E90,AZ$5&lt;=$F90),IF(AZ$5=$E90+1,$C90,""),"")</f>
        <v/>
      </c>
      <c r="BA90" s="34">
        <f>IF(AND(BA$5&gt;$E90,BA$5&lt;=$F90),IF(BA$5=$E90+1,$C90,""),"")</f>
        <v/>
      </c>
      <c r="BB90" s="34">
        <f>IF(AND(BB$5&gt;$E90,BB$5&lt;=$F90),IF(BB$5=$E90+1,$C90,""),"")</f>
        <v/>
      </c>
      <c r="BC90" s="34">
        <f>IF(AND(BC$5&gt;$E90,BC$5&lt;=$F90),IF(BC$5=$E90+1,$C90,""),"")</f>
        <v/>
      </c>
      <c r="BD90" s="34">
        <f>IF(AND(BD$5&gt;$E90,BD$5&lt;=$F90),IF(BD$5=$E90+1,$C90,""),"")</f>
        <v/>
      </c>
      <c r="BE90" s="34">
        <f>IF(AND(BE$5&gt;$E90,BE$5&lt;=$F90),IF(BE$5=$E90+1,$C90,""),"")</f>
        <v/>
      </c>
      <c r="BF90" s="34">
        <f>IF(AND(BF$5&gt;$E90,BF$5&lt;=$F90),IF(BF$5=$E90+1,$C90,""),"")</f>
        <v/>
      </c>
      <c r="BG90" s="34">
        <f>IF(AND(BG$5&gt;$E90,BG$5&lt;=$F90),IF(BG$5=$E90+1,$C90,""),"")</f>
        <v/>
      </c>
      <c r="BH90" s="34">
        <f>IF(AND(BH$5&gt;$E90,BH$5&lt;=$F90),IF(BH$5=$E90+1,$C90,""),"")</f>
        <v/>
      </c>
      <c r="BI90" s="34">
        <f>IF(AND(BI$5&gt;$E90,BI$5&lt;=$F90),IF(BI$5=$E90+1,$C90,""),"")</f>
        <v/>
      </c>
      <c r="BJ90" s="34">
        <f>IF(AND(BJ$5&gt;$E90,BJ$5&lt;=$F90),IF(BJ$5=$E90+1,$C90,""),"")</f>
        <v/>
      </c>
      <c r="BK90" s="34">
        <f>IF(AND(BK$5&gt;$E90,BK$5&lt;=$F90),IF(BK$5=$E90+1,$C90,""),"")</f>
        <v/>
      </c>
      <c r="BL90" s="34">
        <f>IF(AND(BL$5&gt;$E90,BL$5&lt;=$F90),IF(BL$5=$E90+1,$C90,""),"")</f>
        <v/>
      </c>
      <c r="BM90" s="34">
        <f>IF(AND(BM$5&gt;$E90,BM$5&lt;=$F90),IF(BM$5=$E90+1,$C90,""),"")</f>
        <v/>
      </c>
      <c r="BN90" s="34">
        <f>IF(AND(BN$5&gt;$E90,BN$5&lt;=$F90),IF(BN$5=$E90+1,$C90,""),"")</f>
        <v/>
      </c>
      <c r="BO90" s="34">
        <f>IF(AND(BO$5&gt;$E90,BO$5&lt;=$F90),IF(BO$5=$E90+1,$C90,""),"")</f>
        <v/>
      </c>
      <c r="BP90" s="34">
        <f>IF(AND(BP$5&gt;$E90,BP$5&lt;=$F90),IF(BP$5=$E90+1,$C90,""),"")</f>
        <v/>
      </c>
      <c r="BQ90" s="34">
        <f>IF(AND(BQ$5&gt;$E90,BQ$5&lt;=$F90),IF(BQ$5=$E90+1,$C90,""),"")</f>
        <v/>
      </c>
      <c r="BR90" s="34">
        <f>IF(AND(BR$5&gt;$E90,BR$5&lt;=$F90),IF(BR$5=$E90+1,$C90,""),"")</f>
        <v/>
      </c>
      <c r="BS90" s="34">
        <f>IF(AND(BS$5&gt;$E90,BS$5&lt;=$F90),IF(BS$5=$E90+1,$C90,""),"")</f>
        <v/>
      </c>
      <c r="BT90" s="34">
        <f>IF(AND(BT$5&gt;$E90,BT$5&lt;=$F90),IF(BT$5=$E90+1,$C90,""),"")</f>
        <v/>
      </c>
      <c r="BU90" s="34">
        <f>IF(AND(BU$5&gt;$E90,BU$5&lt;=$F90),IF(BU$5=$E90+1,$C90,""),"")</f>
        <v/>
      </c>
      <c r="BV90" s="34">
        <f>IF(AND(BV$5&gt;$E90,BV$5&lt;=$F90),IF(BV$5=$E90+1,$C90,""),"")</f>
        <v/>
      </c>
      <c r="BW90" s="34">
        <f>IF(AND(BW$5&gt;$E90,BW$5&lt;=$F90),IF(BW$5=$E90+1,$C90,""),"")</f>
        <v/>
      </c>
      <c r="BX90" s="34">
        <f>IF(AND(BX$5&gt;$E90,BX$5&lt;=$F90),IF(BX$5=$E90+1,$C90,""),"")</f>
        <v/>
      </c>
      <c r="BY90" s="34">
        <f>IF(AND(BY$5&gt;$E90,BY$5&lt;=$F90),IF(BY$5=$E90+1,$C90,""),"")</f>
        <v/>
      </c>
      <c r="BZ90" s="34">
        <f>IF(AND(BZ$5&gt;$E90,BZ$5&lt;=$F90),IF(BZ$5=$E90+1,$C90,""),"")</f>
        <v/>
      </c>
      <c r="CA90" s="34">
        <f>IF(AND(CA$5&gt;$E90,CA$5&lt;=$F90),IF(CA$5=$E90+1,$C90,""),"")</f>
        <v/>
      </c>
      <c r="CB90" s="34">
        <f>IF(AND(CB$5&gt;$E90,CB$5&lt;=$F90),IF(CB$5=$E90+1,$C90,""),"")</f>
        <v/>
      </c>
      <c r="CC90" s="34">
        <f>IF(AND(CC$5&gt;$E90,CC$5&lt;=$F90),IF(CC$5=$E90+1,$C90,""),"")</f>
        <v/>
      </c>
      <c r="CD90" s="34">
        <f>IF(AND(CD$5&gt;$E90,CD$5&lt;=$F90),IF(CD$5=$E90+1,$C90,""),"")</f>
        <v/>
      </c>
      <c r="CE90" s="34">
        <f>IF(AND(CE$5&gt;$E90,CE$5&lt;=$F90),IF(CE$5=$E90+1,$C90,""),"")</f>
        <v/>
      </c>
      <c r="CF90" s="34">
        <f>IF(AND(CF$5&gt;$E90,CF$5&lt;=$F90),IF(CF$5=$E90+1,$C90,""),"")</f>
        <v/>
      </c>
      <c r="CG90" s="34">
        <f>IF(AND(CG$5&gt;$E90,CG$5&lt;=$F90),IF(CG$5=$E90+1,$C90,""),"")</f>
        <v/>
      </c>
      <c r="CH90" s="34">
        <f>IF(AND(CH$5&gt;$E90,CH$5&lt;=$F90),IF(CH$5=$E90+1,$C90,""),"")</f>
        <v/>
      </c>
      <c r="CI90" s="34">
        <f>IF(AND(CI$5&gt;$E90,CI$5&lt;=$F90),IF(CI$5=$E90+1,$C90,""),"")</f>
        <v/>
      </c>
      <c r="CJ90" s="34">
        <f>IF(AND(CJ$5&gt;$E90,CJ$5&lt;=$F90),IF(CJ$5=$E90+1,$C90,""),"")</f>
        <v/>
      </c>
      <c r="CK90" s="34">
        <f>IF(AND(CK$5&gt;$E90,CK$5&lt;=$F90),IF(CK$5=$E90+1,$C90,""),"")</f>
        <v/>
      </c>
      <c r="CL90" s="34">
        <f>IF(AND(CL$5&gt;$E90,CL$5&lt;=$F90),IF(CL$5=$E90+1,$C90,""),"")</f>
        <v/>
      </c>
      <c r="CM90" s="34">
        <f>IF(AND(CM$5&gt;$E90,CM$5&lt;=$F90),IF(CM$5=$E90+1,$C90,""),"")</f>
        <v/>
      </c>
      <c r="CN90" s="34">
        <f>IF(AND(CN$5&gt;$E90,CN$5&lt;=$F90),IF(CN$5=$E90+1,$C90,""),"")</f>
        <v/>
      </c>
      <c r="CO90" s="34">
        <f>IF(AND(CO$5&gt;$E90,CO$5&lt;=$F90),IF(CO$5=$E90+1,$C90,""),"")</f>
        <v/>
      </c>
      <c r="CP90" s="34">
        <f>IF(AND(CP$5&gt;$E90,CP$5&lt;=$F90),IF(CP$5=$E90+1,$C90,""),"")</f>
        <v/>
      </c>
      <c r="CQ90" s="34">
        <f>IF(AND(CQ$5&gt;$E90,CQ$5&lt;=$F90),IF(CQ$5=$E90+1,$C90,""),"")</f>
        <v/>
      </c>
      <c r="CR90" s="34">
        <f>IF(AND(CR$5&gt;$E90,CR$5&lt;=$F90),IF(CR$5=$E90+1,$C90,""),"")</f>
        <v/>
      </c>
      <c r="CS90" s="34">
        <f>IF(AND(CS$5&gt;$E90,CS$5&lt;=$F90),IF(CS$5=$E90+1,$C90,""),"")</f>
        <v/>
      </c>
      <c r="CT90" s="34">
        <f>IF(AND(CT$5&gt;$E90,CT$5&lt;=$F90),IF(CT$5=$E90+1,$C90,""),"")</f>
        <v/>
      </c>
      <c r="CU90" s="34">
        <f>IF(AND(CU$5&gt;$E90,CU$5&lt;=$F90),IF(CU$5=$E90+1,$C90,""),"")</f>
        <v/>
      </c>
      <c r="CV90" s="34">
        <f>IF(AND(CV$5&gt;$E90,CV$5&lt;=$F90),IF(CV$5=$E90+1,$C90,""),"")</f>
        <v/>
      </c>
      <c r="CW90" s="34">
        <f>IF(AND(CW$5&gt;$E90,CW$5&lt;=$F90),IF(CW$5=$E90+1,$C90,""),"")</f>
        <v/>
      </c>
      <c r="CX90" s="34">
        <f>IF(AND(CX$5&gt;$E90,CX$5&lt;=$F90),IF(CX$5=$E90+1,$C90,""),"")</f>
        <v/>
      </c>
      <c r="CY90" s="34">
        <f>IF(AND(CY$5&gt;$E90,CY$5&lt;=$F90),IF(CY$5=$E90+1,$C90,""),"")</f>
        <v/>
      </c>
      <c r="CZ90" s="34">
        <f>IF(AND(CZ$5&gt;$E90,CZ$5&lt;=$F90),IF(CZ$5=$E90+1,$C90,""),"")</f>
        <v/>
      </c>
      <c r="DA90" s="34">
        <f>IF(AND(DA$5&gt;$E90,DA$5&lt;=$F90),IF(DA$5=$E90+1,$C90,""),"")</f>
        <v/>
      </c>
      <c r="DB90" s="34">
        <f>IF(AND(DB$5&gt;$E90,DB$5&lt;=$F90),IF(DB$5=$E90+1,$C90,""),"")</f>
        <v/>
      </c>
      <c r="DC90" s="34">
        <f>IF(AND(DC$5&gt;$E90,DC$5&lt;=$F90),IF(DC$5=$E90+1,$C90,""),"")</f>
        <v/>
      </c>
    </row>
    <row r="91">
      <c r="A91" s="32">
        <f>Plan!A74</f>
        <v/>
      </c>
      <c r="B91" s="33">
        <f>Plan!C74</f>
        <v/>
      </c>
      <c r="C91" s="16">
        <f>Plan!D74</f>
        <v/>
      </c>
      <c r="D91" s="16">
        <f>Plan!I74</f>
        <v/>
      </c>
      <c r="E91" s="16">
        <f>Plan!K74</f>
        <v/>
      </c>
      <c r="F91" s="16">
        <f>Plan!L74</f>
        <v/>
      </c>
      <c r="G91" s="16">
        <f>Plan!O74</f>
        <v/>
      </c>
      <c r="H91" s="34">
        <f>IF(AND(H$5&gt;$E91,H$5&lt;=$F91),IF(H$5=$E91+1,$C91,""),"")</f>
        <v/>
      </c>
      <c r="I91" s="34">
        <f>IF(AND(I$5&gt;$E91,I$5&lt;=$F91),IF(I$5=$E91+1,$C91,""),"")</f>
        <v/>
      </c>
      <c r="J91" s="34">
        <f>IF(AND(J$5&gt;$E91,J$5&lt;=$F91),IF(J$5=$E91+1,$C91,""),"")</f>
        <v/>
      </c>
      <c r="K91" s="34">
        <f>IF(AND(K$5&gt;$E91,K$5&lt;=$F91),IF(K$5=$E91+1,$C91,""),"")</f>
        <v/>
      </c>
      <c r="L91" s="34">
        <f>IF(AND(L$5&gt;$E91,L$5&lt;=$F91),IF(L$5=$E91+1,$C91,""),"")</f>
        <v/>
      </c>
      <c r="M91" s="34">
        <f>IF(AND(M$5&gt;$E91,M$5&lt;=$F91),IF(M$5=$E91+1,$C91,""),"")</f>
        <v/>
      </c>
      <c r="N91" s="34">
        <f>IF(AND(N$5&gt;$E91,N$5&lt;=$F91),IF(N$5=$E91+1,$C91,""),"")</f>
        <v/>
      </c>
      <c r="O91" s="34">
        <f>IF(AND(O$5&gt;$E91,O$5&lt;=$F91),IF(O$5=$E91+1,$C91,""),"")</f>
        <v/>
      </c>
      <c r="P91" s="34">
        <f>IF(AND(P$5&gt;$E91,P$5&lt;=$F91),IF(P$5=$E91+1,$C91,""),"")</f>
        <v/>
      </c>
      <c r="Q91" s="34">
        <f>IF(AND(Q$5&gt;$E91,Q$5&lt;=$F91),IF(Q$5=$E91+1,$C91,""),"")</f>
        <v/>
      </c>
      <c r="R91" s="34">
        <f>IF(AND(R$5&gt;$E91,R$5&lt;=$F91),IF(R$5=$E91+1,$C91,""),"")</f>
        <v/>
      </c>
      <c r="S91" s="34">
        <f>IF(AND(S$5&gt;$E91,S$5&lt;=$F91),IF(S$5=$E91+1,$C91,""),"")</f>
        <v/>
      </c>
      <c r="T91" s="34">
        <f>IF(AND(T$5&gt;$E91,T$5&lt;=$F91),IF(T$5=$E91+1,$C91,""),"")</f>
        <v/>
      </c>
      <c r="U91" s="34">
        <f>IF(AND(U$5&gt;$E91,U$5&lt;=$F91),IF(U$5=$E91+1,$C91,""),"")</f>
        <v/>
      </c>
      <c r="V91" s="34">
        <f>IF(AND(V$5&gt;$E91,V$5&lt;=$F91),IF(V$5=$E91+1,$C91,""),"")</f>
        <v/>
      </c>
      <c r="W91" s="34">
        <f>IF(AND(W$5&gt;$E91,W$5&lt;=$F91),IF(W$5=$E91+1,$C91,""),"")</f>
        <v/>
      </c>
      <c r="X91" s="34">
        <f>IF(AND(X$5&gt;$E91,X$5&lt;=$F91),IF(X$5=$E91+1,$C91,""),"")</f>
        <v/>
      </c>
      <c r="Y91" s="34">
        <f>IF(AND(Y$5&gt;$E91,Y$5&lt;=$F91),IF(Y$5=$E91+1,$C91,""),"")</f>
        <v/>
      </c>
      <c r="Z91" s="34">
        <f>IF(AND(Z$5&gt;$E91,Z$5&lt;=$F91),IF(Z$5=$E91+1,$C91,""),"")</f>
        <v/>
      </c>
      <c r="AA91" s="34">
        <f>IF(AND(AA$5&gt;$E91,AA$5&lt;=$F91),IF(AA$5=$E91+1,$C91,""),"")</f>
        <v/>
      </c>
      <c r="AB91" s="34">
        <f>IF(AND(AB$5&gt;$E91,AB$5&lt;=$F91),IF(AB$5=$E91+1,$C91,""),"")</f>
        <v/>
      </c>
      <c r="AC91" s="34">
        <f>IF(AND(AC$5&gt;$E91,AC$5&lt;=$F91),IF(AC$5=$E91+1,$C91,""),"")</f>
        <v/>
      </c>
      <c r="AD91" s="34">
        <f>IF(AND(AD$5&gt;$E91,AD$5&lt;=$F91),IF(AD$5=$E91+1,$C91,""),"")</f>
        <v/>
      </c>
      <c r="AE91" s="34">
        <f>IF(AND(AE$5&gt;$E91,AE$5&lt;=$F91),IF(AE$5=$E91+1,$C91,""),"")</f>
        <v/>
      </c>
      <c r="AF91" s="34">
        <f>IF(AND(AF$5&gt;$E91,AF$5&lt;=$F91),IF(AF$5=$E91+1,$C91,""),"")</f>
        <v/>
      </c>
      <c r="AG91" s="34">
        <f>IF(AND(AG$5&gt;$E91,AG$5&lt;=$F91),IF(AG$5=$E91+1,$C91,""),"")</f>
        <v/>
      </c>
      <c r="AH91" s="34">
        <f>IF(AND(AH$5&gt;$E91,AH$5&lt;=$F91),IF(AH$5=$E91+1,$C91,""),"")</f>
        <v/>
      </c>
      <c r="AI91" s="34">
        <f>IF(AND(AI$5&gt;$E91,AI$5&lt;=$F91),IF(AI$5=$E91+1,$C91,""),"")</f>
        <v/>
      </c>
      <c r="AJ91" s="34">
        <f>IF(AND(AJ$5&gt;$E91,AJ$5&lt;=$F91),IF(AJ$5=$E91+1,$C91,""),"")</f>
        <v/>
      </c>
      <c r="AK91" s="34">
        <f>IF(AND(AK$5&gt;$E91,AK$5&lt;=$F91),IF(AK$5=$E91+1,$C91,""),"")</f>
        <v/>
      </c>
      <c r="AL91" s="34">
        <f>IF(AND(AL$5&gt;$E91,AL$5&lt;=$F91),IF(AL$5=$E91+1,$C91,""),"")</f>
        <v/>
      </c>
      <c r="AM91" s="34">
        <f>IF(AND(AM$5&gt;$E91,AM$5&lt;=$F91),IF(AM$5=$E91+1,$C91,""),"")</f>
        <v/>
      </c>
      <c r="AN91" s="34">
        <f>IF(AND(AN$5&gt;$E91,AN$5&lt;=$F91),IF(AN$5=$E91+1,$C91,""),"")</f>
        <v/>
      </c>
      <c r="AO91" s="34">
        <f>IF(AND(AO$5&gt;$E91,AO$5&lt;=$F91),IF(AO$5=$E91+1,$C91,""),"")</f>
        <v/>
      </c>
      <c r="AP91" s="34">
        <f>IF(AND(AP$5&gt;$E91,AP$5&lt;=$F91),IF(AP$5=$E91+1,$C91,""),"")</f>
        <v/>
      </c>
      <c r="AQ91" s="34">
        <f>IF(AND(AQ$5&gt;$E91,AQ$5&lt;=$F91),IF(AQ$5=$E91+1,$C91,""),"")</f>
        <v/>
      </c>
      <c r="AR91" s="34">
        <f>IF(AND(AR$5&gt;$E91,AR$5&lt;=$F91),IF(AR$5=$E91+1,$C91,""),"")</f>
        <v/>
      </c>
      <c r="AS91" s="34">
        <f>IF(AND(AS$5&gt;$E91,AS$5&lt;=$F91),IF(AS$5=$E91+1,$C91,""),"")</f>
        <v/>
      </c>
      <c r="AT91" s="34">
        <f>IF(AND(AT$5&gt;$E91,AT$5&lt;=$F91),IF(AT$5=$E91+1,$C91,""),"")</f>
        <v/>
      </c>
      <c r="AU91" s="34">
        <f>IF(AND(AU$5&gt;$E91,AU$5&lt;=$F91),IF(AU$5=$E91+1,$C91,""),"")</f>
        <v/>
      </c>
      <c r="AV91" s="34">
        <f>IF(AND(AV$5&gt;$E91,AV$5&lt;=$F91),IF(AV$5=$E91+1,$C91,""),"")</f>
        <v/>
      </c>
      <c r="AW91" s="34">
        <f>IF(AND(AW$5&gt;$E91,AW$5&lt;=$F91),IF(AW$5=$E91+1,$C91,""),"")</f>
        <v/>
      </c>
      <c r="AX91" s="34">
        <f>IF(AND(AX$5&gt;$E91,AX$5&lt;=$F91),IF(AX$5=$E91+1,$C91,""),"")</f>
        <v/>
      </c>
      <c r="AY91" s="34">
        <f>IF(AND(AY$5&gt;$E91,AY$5&lt;=$F91),IF(AY$5=$E91+1,$C91,""),"")</f>
        <v/>
      </c>
      <c r="AZ91" s="34">
        <f>IF(AND(AZ$5&gt;$E91,AZ$5&lt;=$F91),IF(AZ$5=$E91+1,$C91,""),"")</f>
        <v/>
      </c>
      <c r="BA91" s="34">
        <f>IF(AND(BA$5&gt;$E91,BA$5&lt;=$F91),IF(BA$5=$E91+1,$C91,""),"")</f>
        <v/>
      </c>
      <c r="BB91" s="34">
        <f>IF(AND(BB$5&gt;$E91,BB$5&lt;=$F91),IF(BB$5=$E91+1,$C91,""),"")</f>
        <v/>
      </c>
      <c r="BC91" s="34">
        <f>IF(AND(BC$5&gt;$E91,BC$5&lt;=$F91),IF(BC$5=$E91+1,$C91,""),"")</f>
        <v/>
      </c>
      <c r="BD91" s="34">
        <f>IF(AND(BD$5&gt;$E91,BD$5&lt;=$F91),IF(BD$5=$E91+1,$C91,""),"")</f>
        <v/>
      </c>
      <c r="BE91" s="34">
        <f>IF(AND(BE$5&gt;$E91,BE$5&lt;=$F91),IF(BE$5=$E91+1,$C91,""),"")</f>
        <v/>
      </c>
      <c r="BF91" s="34">
        <f>IF(AND(BF$5&gt;$E91,BF$5&lt;=$F91),IF(BF$5=$E91+1,$C91,""),"")</f>
        <v/>
      </c>
      <c r="BG91" s="34">
        <f>IF(AND(BG$5&gt;$E91,BG$5&lt;=$F91),IF(BG$5=$E91+1,$C91,""),"")</f>
        <v/>
      </c>
      <c r="BH91" s="34">
        <f>IF(AND(BH$5&gt;$E91,BH$5&lt;=$F91),IF(BH$5=$E91+1,$C91,""),"")</f>
        <v/>
      </c>
      <c r="BI91" s="34">
        <f>IF(AND(BI$5&gt;$E91,BI$5&lt;=$F91),IF(BI$5=$E91+1,$C91,""),"")</f>
        <v/>
      </c>
      <c r="BJ91" s="34">
        <f>IF(AND(BJ$5&gt;$E91,BJ$5&lt;=$F91),IF(BJ$5=$E91+1,$C91,""),"")</f>
        <v/>
      </c>
      <c r="BK91" s="34">
        <f>IF(AND(BK$5&gt;$E91,BK$5&lt;=$F91),IF(BK$5=$E91+1,$C91,""),"")</f>
        <v/>
      </c>
      <c r="BL91" s="34">
        <f>IF(AND(BL$5&gt;$E91,BL$5&lt;=$F91),IF(BL$5=$E91+1,$C91,""),"")</f>
        <v/>
      </c>
      <c r="BM91" s="34">
        <f>IF(AND(BM$5&gt;$E91,BM$5&lt;=$F91),IF(BM$5=$E91+1,$C91,""),"")</f>
        <v/>
      </c>
      <c r="BN91" s="34">
        <f>IF(AND(BN$5&gt;$E91,BN$5&lt;=$F91),IF(BN$5=$E91+1,$C91,""),"")</f>
        <v/>
      </c>
      <c r="BO91" s="34">
        <f>IF(AND(BO$5&gt;$E91,BO$5&lt;=$F91),IF(BO$5=$E91+1,$C91,""),"")</f>
        <v/>
      </c>
      <c r="BP91" s="34">
        <f>IF(AND(BP$5&gt;$E91,BP$5&lt;=$F91),IF(BP$5=$E91+1,$C91,""),"")</f>
        <v/>
      </c>
      <c r="BQ91" s="34">
        <f>IF(AND(BQ$5&gt;$E91,BQ$5&lt;=$F91),IF(BQ$5=$E91+1,$C91,""),"")</f>
        <v/>
      </c>
      <c r="BR91" s="34">
        <f>IF(AND(BR$5&gt;$E91,BR$5&lt;=$F91),IF(BR$5=$E91+1,$C91,""),"")</f>
        <v/>
      </c>
      <c r="BS91" s="34">
        <f>IF(AND(BS$5&gt;$E91,BS$5&lt;=$F91),IF(BS$5=$E91+1,$C91,""),"")</f>
        <v/>
      </c>
      <c r="BT91" s="34">
        <f>IF(AND(BT$5&gt;$E91,BT$5&lt;=$F91),IF(BT$5=$E91+1,$C91,""),"")</f>
        <v/>
      </c>
      <c r="BU91" s="34">
        <f>IF(AND(BU$5&gt;$E91,BU$5&lt;=$F91),IF(BU$5=$E91+1,$C91,""),"")</f>
        <v/>
      </c>
      <c r="BV91" s="34">
        <f>IF(AND(BV$5&gt;$E91,BV$5&lt;=$F91),IF(BV$5=$E91+1,$C91,""),"")</f>
        <v/>
      </c>
      <c r="BW91" s="34">
        <f>IF(AND(BW$5&gt;$E91,BW$5&lt;=$F91),IF(BW$5=$E91+1,$C91,""),"")</f>
        <v/>
      </c>
      <c r="BX91" s="34">
        <f>IF(AND(BX$5&gt;$E91,BX$5&lt;=$F91),IF(BX$5=$E91+1,$C91,""),"")</f>
        <v/>
      </c>
      <c r="BY91" s="34">
        <f>IF(AND(BY$5&gt;$E91,BY$5&lt;=$F91),IF(BY$5=$E91+1,$C91,""),"")</f>
        <v/>
      </c>
      <c r="BZ91" s="34">
        <f>IF(AND(BZ$5&gt;$E91,BZ$5&lt;=$F91),IF(BZ$5=$E91+1,$C91,""),"")</f>
        <v/>
      </c>
      <c r="CA91" s="34">
        <f>IF(AND(CA$5&gt;$E91,CA$5&lt;=$F91),IF(CA$5=$E91+1,$C91,""),"")</f>
        <v/>
      </c>
      <c r="CB91" s="34">
        <f>IF(AND(CB$5&gt;$E91,CB$5&lt;=$F91),IF(CB$5=$E91+1,$C91,""),"")</f>
        <v/>
      </c>
      <c r="CC91" s="34">
        <f>IF(AND(CC$5&gt;$E91,CC$5&lt;=$F91),IF(CC$5=$E91+1,$C91,""),"")</f>
        <v/>
      </c>
      <c r="CD91" s="34">
        <f>IF(AND(CD$5&gt;$E91,CD$5&lt;=$F91),IF(CD$5=$E91+1,$C91,""),"")</f>
        <v/>
      </c>
      <c r="CE91" s="34">
        <f>IF(AND(CE$5&gt;$E91,CE$5&lt;=$F91),IF(CE$5=$E91+1,$C91,""),"")</f>
        <v/>
      </c>
      <c r="CF91" s="34">
        <f>IF(AND(CF$5&gt;$E91,CF$5&lt;=$F91),IF(CF$5=$E91+1,$C91,""),"")</f>
        <v/>
      </c>
      <c r="CG91" s="34">
        <f>IF(AND(CG$5&gt;$E91,CG$5&lt;=$F91),IF(CG$5=$E91+1,$C91,""),"")</f>
        <v/>
      </c>
      <c r="CH91" s="34">
        <f>IF(AND(CH$5&gt;$E91,CH$5&lt;=$F91),IF(CH$5=$E91+1,$C91,""),"")</f>
        <v/>
      </c>
      <c r="CI91" s="34">
        <f>IF(AND(CI$5&gt;$E91,CI$5&lt;=$F91),IF(CI$5=$E91+1,$C91,""),"")</f>
        <v/>
      </c>
      <c r="CJ91" s="34">
        <f>IF(AND(CJ$5&gt;$E91,CJ$5&lt;=$F91),IF(CJ$5=$E91+1,$C91,""),"")</f>
        <v/>
      </c>
      <c r="CK91" s="34">
        <f>IF(AND(CK$5&gt;$E91,CK$5&lt;=$F91),IF(CK$5=$E91+1,$C91,""),"")</f>
        <v/>
      </c>
      <c r="CL91" s="34">
        <f>IF(AND(CL$5&gt;$E91,CL$5&lt;=$F91),IF(CL$5=$E91+1,$C91,""),"")</f>
        <v/>
      </c>
      <c r="CM91" s="34">
        <f>IF(AND(CM$5&gt;$E91,CM$5&lt;=$F91),IF(CM$5=$E91+1,$C91,""),"")</f>
        <v/>
      </c>
      <c r="CN91" s="34">
        <f>IF(AND(CN$5&gt;$E91,CN$5&lt;=$F91),IF(CN$5=$E91+1,$C91,""),"")</f>
        <v/>
      </c>
      <c r="CO91" s="34">
        <f>IF(AND(CO$5&gt;$E91,CO$5&lt;=$F91),IF(CO$5=$E91+1,$C91,""),"")</f>
        <v/>
      </c>
      <c r="CP91" s="34">
        <f>IF(AND(CP$5&gt;$E91,CP$5&lt;=$F91),IF(CP$5=$E91+1,$C91,""),"")</f>
        <v/>
      </c>
      <c r="CQ91" s="34">
        <f>IF(AND(CQ$5&gt;$E91,CQ$5&lt;=$F91),IF(CQ$5=$E91+1,$C91,""),"")</f>
        <v/>
      </c>
      <c r="CR91" s="34">
        <f>IF(AND(CR$5&gt;$E91,CR$5&lt;=$F91),IF(CR$5=$E91+1,$C91,""),"")</f>
        <v/>
      </c>
      <c r="CS91" s="34">
        <f>IF(AND(CS$5&gt;$E91,CS$5&lt;=$F91),IF(CS$5=$E91+1,$C91,""),"")</f>
        <v/>
      </c>
      <c r="CT91" s="34">
        <f>IF(AND(CT$5&gt;$E91,CT$5&lt;=$F91),IF(CT$5=$E91+1,$C91,""),"")</f>
        <v/>
      </c>
      <c r="CU91" s="34">
        <f>IF(AND(CU$5&gt;$E91,CU$5&lt;=$F91),IF(CU$5=$E91+1,$C91,""),"")</f>
        <v/>
      </c>
      <c r="CV91" s="34">
        <f>IF(AND(CV$5&gt;$E91,CV$5&lt;=$F91),IF(CV$5=$E91+1,$C91,""),"")</f>
        <v/>
      </c>
      <c r="CW91" s="34">
        <f>IF(AND(CW$5&gt;$E91,CW$5&lt;=$F91),IF(CW$5=$E91+1,$C91,""),"")</f>
        <v/>
      </c>
      <c r="CX91" s="34">
        <f>IF(AND(CX$5&gt;$E91,CX$5&lt;=$F91),IF(CX$5=$E91+1,$C91,""),"")</f>
        <v/>
      </c>
      <c r="CY91" s="34">
        <f>IF(AND(CY$5&gt;$E91,CY$5&lt;=$F91),IF(CY$5=$E91+1,$C91,""),"")</f>
        <v/>
      </c>
      <c r="CZ91" s="34">
        <f>IF(AND(CZ$5&gt;$E91,CZ$5&lt;=$F91),IF(CZ$5=$E91+1,$C91,""),"")</f>
        <v/>
      </c>
      <c r="DA91" s="34">
        <f>IF(AND(DA$5&gt;$E91,DA$5&lt;=$F91),IF(DA$5=$E91+1,$C91,""),"")</f>
        <v/>
      </c>
      <c r="DB91" s="34">
        <f>IF(AND(DB$5&gt;$E91,DB$5&lt;=$F91),IF(DB$5=$E91+1,$C91,""),"")</f>
        <v/>
      </c>
      <c r="DC91" s="34">
        <f>IF(AND(DC$5&gt;$E91,DC$5&lt;=$F91),IF(DC$5=$E91+1,$C91,""),"")</f>
        <v/>
      </c>
    </row>
    <row r="92">
      <c r="A92" s="32">
        <f>Plan!A75</f>
        <v/>
      </c>
      <c r="B92" s="33">
        <f>Plan!C75</f>
        <v/>
      </c>
      <c r="C92" s="16">
        <f>Plan!D75</f>
        <v/>
      </c>
      <c r="D92" s="16">
        <f>Plan!I75</f>
        <v/>
      </c>
      <c r="E92" s="16">
        <f>Plan!K75</f>
        <v/>
      </c>
      <c r="F92" s="16">
        <f>Plan!L75</f>
        <v/>
      </c>
      <c r="G92" s="16">
        <f>Plan!O75</f>
        <v/>
      </c>
      <c r="H92" s="34">
        <f>IF(AND(H$5&gt;$E92,H$5&lt;=$F92),IF(H$5=$E92+1,$C92,""),"")</f>
        <v/>
      </c>
      <c r="I92" s="34">
        <f>IF(AND(I$5&gt;$E92,I$5&lt;=$F92),IF(I$5=$E92+1,$C92,""),"")</f>
        <v/>
      </c>
      <c r="J92" s="34">
        <f>IF(AND(J$5&gt;$E92,J$5&lt;=$F92),IF(J$5=$E92+1,$C92,""),"")</f>
        <v/>
      </c>
      <c r="K92" s="34">
        <f>IF(AND(K$5&gt;$E92,K$5&lt;=$F92),IF(K$5=$E92+1,$C92,""),"")</f>
        <v/>
      </c>
      <c r="L92" s="34">
        <f>IF(AND(L$5&gt;$E92,L$5&lt;=$F92),IF(L$5=$E92+1,$C92,""),"")</f>
        <v/>
      </c>
      <c r="M92" s="34">
        <f>IF(AND(M$5&gt;$E92,M$5&lt;=$F92),IF(M$5=$E92+1,$C92,""),"")</f>
        <v/>
      </c>
      <c r="N92" s="34">
        <f>IF(AND(N$5&gt;$E92,N$5&lt;=$F92),IF(N$5=$E92+1,$C92,""),"")</f>
        <v/>
      </c>
      <c r="O92" s="34">
        <f>IF(AND(O$5&gt;$E92,O$5&lt;=$F92),IF(O$5=$E92+1,$C92,""),"")</f>
        <v/>
      </c>
      <c r="P92" s="34">
        <f>IF(AND(P$5&gt;$E92,P$5&lt;=$F92),IF(P$5=$E92+1,$C92,""),"")</f>
        <v/>
      </c>
      <c r="Q92" s="34">
        <f>IF(AND(Q$5&gt;$E92,Q$5&lt;=$F92),IF(Q$5=$E92+1,$C92,""),"")</f>
        <v/>
      </c>
      <c r="R92" s="34">
        <f>IF(AND(R$5&gt;$E92,R$5&lt;=$F92),IF(R$5=$E92+1,$C92,""),"")</f>
        <v/>
      </c>
      <c r="S92" s="34">
        <f>IF(AND(S$5&gt;$E92,S$5&lt;=$F92),IF(S$5=$E92+1,$C92,""),"")</f>
        <v/>
      </c>
      <c r="T92" s="34">
        <f>IF(AND(T$5&gt;$E92,T$5&lt;=$F92),IF(T$5=$E92+1,$C92,""),"")</f>
        <v/>
      </c>
      <c r="U92" s="34">
        <f>IF(AND(U$5&gt;$E92,U$5&lt;=$F92),IF(U$5=$E92+1,$C92,""),"")</f>
        <v/>
      </c>
      <c r="V92" s="34">
        <f>IF(AND(V$5&gt;$E92,V$5&lt;=$F92),IF(V$5=$E92+1,$C92,""),"")</f>
        <v/>
      </c>
      <c r="W92" s="34">
        <f>IF(AND(W$5&gt;$E92,W$5&lt;=$F92),IF(W$5=$E92+1,$C92,""),"")</f>
        <v/>
      </c>
      <c r="X92" s="34">
        <f>IF(AND(X$5&gt;$E92,X$5&lt;=$F92),IF(X$5=$E92+1,$C92,""),"")</f>
        <v/>
      </c>
      <c r="Y92" s="34">
        <f>IF(AND(Y$5&gt;$E92,Y$5&lt;=$F92),IF(Y$5=$E92+1,$C92,""),"")</f>
        <v/>
      </c>
      <c r="Z92" s="34">
        <f>IF(AND(Z$5&gt;$E92,Z$5&lt;=$F92),IF(Z$5=$E92+1,$C92,""),"")</f>
        <v/>
      </c>
      <c r="AA92" s="34">
        <f>IF(AND(AA$5&gt;$E92,AA$5&lt;=$F92),IF(AA$5=$E92+1,$C92,""),"")</f>
        <v/>
      </c>
      <c r="AB92" s="34">
        <f>IF(AND(AB$5&gt;$E92,AB$5&lt;=$F92),IF(AB$5=$E92+1,$C92,""),"")</f>
        <v/>
      </c>
      <c r="AC92" s="34">
        <f>IF(AND(AC$5&gt;$E92,AC$5&lt;=$F92),IF(AC$5=$E92+1,$C92,""),"")</f>
        <v/>
      </c>
      <c r="AD92" s="34">
        <f>IF(AND(AD$5&gt;$E92,AD$5&lt;=$F92),IF(AD$5=$E92+1,$C92,""),"")</f>
        <v/>
      </c>
      <c r="AE92" s="34">
        <f>IF(AND(AE$5&gt;$E92,AE$5&lt;=$F92),IF(AE$5=$E92+1,$C92,""),"")</f>
        <v/>
      </c>
      <c r="AF92" s="34">
        <f>IF(AND(AF$5&gt;$E92,AF$5&lt;=$F92),IF(AF$5=$E92+1,$C92,""),"")</f>
        <v/>
      </c>
      <c r="AG92" s="34">
        <f>IF(AND(AG$5&gt;$E92,AG$5&lt;=$F92),IF(AG$5=$E92+1,$C92,""),"")</f>
        <v/>
      </c>
      <c r="AH92" s="34">
        <f>IF(AND(AH$5&gt;$E92,AH$5&lt;=$F92),IF(AH$5=$E92+1,$C92,""),"")</f>
        <v/>
      </c>
      <c r="AI92" s="34">
        <f>IF(AND(AI$5&gt;$E92,AI$5&lt;=$F92),IF(AI$5=$E92+1,$C92,""),"")</f>
        <v/>
      </c>
      <c r="AJ92" s="34">
        <f>IF(AND(AJ$5&gt;$E92,AJ$5&lt;=$F92),IF(AJ$5=$E92+1,$C92,""),"")</f>
        <v/>
      </c>
      <c r="AK92" s="34">
        <f>IF(AND(AK$5&gt;$E92,AK$5&lt;=$F92),IF(AK$5=$E92+1,$C92,""),"")</f>
        <v/>
      </c>
      <c r="AL92" s="34">
        <f>IF(AND(AL$5&gt;$E92,AL$5&lt;=$F92),IF(AL$5=$E92+1,$C92,""),"")</f>
        <v/>
      </c>
      <c r="AM92" s="34">
        <f>IF(AND(AM$5&gt;$E92,AM$5&lt;=$F92),IF(AM$5=$E92+1,$C92,""),"")</f>
        <v/>
      </c>
      <c r="AN92" s="34">
        <f>IF(AND(AN$5&gt;$E92,AN$5&lt;=$F92),IF(AN$5=$E92+1,$C92,""),"")</f>
        <v/>
      </c>
      <c r="AO92" s="34">
        <f>IF(AND(AO$5&gt;$E92,AO$5&lt;=$F92),IF(AO$5=$E92+1,$C92,""),"")</f>
        <v/>
      </c>
      <c r="AP92" s="34">
        <f>IF(AND(AP$5&gt;$E92,AP$5&lt;=$F92),IF(AP$5=$E92+1,$C92,""),"")</f>
        <v/>
      </c>
      <c r="AQ92" s="34">
        <f>IF(AND(AQ$5&gt;$E92,AQ$5&lt;=$F92),IF(AQ$5=$E92+1,$C92,""),"")</f>
        <v/>
      </c>
      <c r="AR92" s="34">
        <f>IF(AND(AR$5&gt;$E92,AR$5&lt;=$F92),IF(AR$5=$E92+1,$C92,""),"")</f>
        <v/>
      </c>
      <c r="AS92" s="34">
        <f>IF(AND(AS$5&gt;$E92,AS$5&lt;=$F92),IF(AS$5=$E92+1,$C92,""),"")</f>
        <v/>
      </c>
      <c r="AT92" s="34">
        <f>IF(AND(AT$5&gt;$E92,AT$5&lt;=$F92),IF(AT$5=$E92+1,$C92,""),"")</f>
        <v/>
      </c>
      <c r="AU92" s="34">
        <f>IF(AND(AU$5&gt;$E92,AU$5&lt;=$F92),IF(AU$5=$E92+1,$C92,""),"")</f>
        <v/>
      </c>
      <c r="AV92" s="34">
        <f>IF(AND(AV$5&gt;$E92,AV$5&lt;=$F92),IF(AV$5=$E92+1,$C92,""),"")</f>
        <v/>
      </c>
      <c r="AW92" s="34">
        <f>IF(AND(AW$5&gt;$E92,AW$5&lt;=$F92),IF(AW$5=$E92+1,$C92,""),"")</f>
        <v/>
      </c>
      <c r="AX92" s="34">
        <f>IF(AND(AX$5&gt;$E92,AX$5&lt;=$F92),IF(AX$5=$E92+1,$C92,""),"")</f>
        <v/>
      </c>
      <c r="AY92" s="34">
        <f>IF(AND(AY$5&gt;$E92,AY$5&lt;=$F92),IF(AY$5=$E92+1,$C92,""),"")</f>
        <v/>
      </c>
      <c r="AZ92" s="34">
        <f>IF(AND(AZ$5&gt;$E92,AZ$5&lt;=$F92),IF(AZ$5=$E92+1,$C92,""),"")</f>
        <v/>
      </c>
      <c r="BA92" s="34">
        <f>IF(AND(BA$5&gt;$E92,BA$5&lt;=$F92),IF(BA$5=$E92+1,$C92,""),"")</f>
        <v/>
      </c>
      <c r="BB92" s="34">
        <f>IF(AND(BB$5&gt;$E92,BB$5&lt;=$F92),IF(BB$5=$E92+1,$C92,""),"")</f>
        <v/>
      </c>
      <c r="BC92" s="34">
        <f>IF(AND(BC$5&gt;$E92,BC$5&lt;=$F92),IF(BC$5=$E92+1,$C92,""),"")</f>
        <v/>
      </c>
      <c r="BD92" s="34">
        <f>IF(AND(BD$5&gt;$E92,BD$5&lt;=$F92),IF(BD$5=$E92+1,$C92,""),"")</f>
        <v/>
      </c>
      <c r="BE92" s="34">
        <f>IF(AND(BE$5&gt;$E92,BE$5&lt;=$F92),IF(BE$5=$E92+1,$C92,""),"")</f>
        <v/>
      </c>
      <c r="BF92" s="34">
        <f>IF(AND(BF$5&gt;$E92,BF$5&lt;=$F92),IF(BF$5=$E92+1,$C92,""),"")</f>
        <v/>
      </c>
      <c r="BG92" s="34">
        <f>IF(AND(BG$5&gt;$E92,BG$5&lt;=$F92),IF(BG$5=$E92+1,$C92,""),"")</f>
        <v/>
      </c>
      <c r="BH92" s="34">
        <f>IF(AND(BH$5&gt;$E92,BH$5&lt;=$F92),IF(BH$5=$E92+1,$C92,""),"")</f>
        <v/>
      </c>
      <c r="BI92" s="34">
        <f>IF(AND(BI$5&gt;$E92,BI$5&lt;=$F92),IF(BI$5=$E92+1,$C92,""),"")</f>
        <v/>
      </c>
      <c r="BJ92" s="34">
        <f>IF(AND(BJ$5&gt;$E92,BJ$5&lt;=$F92),IF(BJ$5=$E92+1,$C92,""),"")</f>
        <v/>
      </c>
      <c r="BK92" s="34">
        <f>IF(AND(BK$5&gt;$E92,BK$5&lt;=$F92),IF(BK$5=$E92+1,$C92,""),"")</f>
        <v/>
      </c>
      <c r="BL92" s="34">
        <f>IF(AND(BL$5&gt;$E92,BL$5&lt;=$F92),IF(BL$5=$E92+1,$C92,""),"")</f>
        <v/>
      </c>
      <c r="BM92" s="34">
        <f>IF(AND(BM$5&gt;$E92,BM$5&lt;=$F92),IF(BM$5=$E92+1,$C92,""),"")</f>
        <v/>
      </c>
      <c r="BN92" s="34">
        <f>IF(AND(BN$5&gt;$E92,BN$5&lt;=$F92),IF(BN$5=$E92+1,$C92,""),"")</f>
        <v/>
      </c>
      <c r="BO92" s="34">
        <f>IF(AND(BO$5&gt;$E92,BO$5&lt;=$F92),IF(BO$5=$E92+1,$C92,""),"")</f>
        <v/>
      </c>
      <c r="BP92" s="34">
        <f>IF(AND(BP$5&gt;$E92,BP$5&lt;=$F92),IF(BP$5=$E92+1,$C92,""),"")</f>
        <v/>
      </c>
      <c r="BQ92" s="34">
        <f>IF(AND(BQ$5&gt;$E92,BQ$5&lt;=$F92),IF(BQ$5=$E92+1,$C92,""),"")</f>
        <v/>
      </c>
      <c r="BR92" s="34">
        <f>IF(AND(BR$5&gt;$E92,BR$5&lt;=$F92),IF(BR$5=$E92+1,$C92,""),"")</f>
        <v/>
      </c>
      <c r="BS92" s="34">
        <f>IF(AND(BS$5&gt;$E92,BS$5&lt;=$F92),IF(BS$5=$E92+1,$C92,""),"")</f>
        <v/>
      </c>
      <c r="BT92" s="34">
        <f>IF(AND(BT$5&gt;$E92,BT$5&lt;=$F92),IF(BT$5=$E92+1,$C92,""),"")</f>
        <v/>
      </c>
      <c r="BU92" s="34">
        <f>IF(AND(BU$5&gt;$E92,BU$5&lt;=$F92),IF(BU$5=$E92+1,$C92,""),"")</f>
        <v/>
      </c>
      <c r="BV92" s="34">
        <f>IF(AND(BV$5&gt;$E92,BV$5&lt;=$F92),IF(BV$5=$E92+1,$C92,""),"")</f>
        <v/>
      </c>
      <c r="BW92" s="34">
        <f>IF(AND(BW$5&gt;$E92,BW$5&lt;=$F92),IF(BW$5=$E92+1,$C92,""),"")</f>
        <v/>
      </c>
      <c r="BX92" s="34">
        <f>IF(AND(BX$5&gt;$E92,BX$5&lt;=$F92),IF(BX$5=$E92+1,$C92,""),"")</f>
        <v/>
      </c>
      <c r="BY92" s="34">
        <f>IF(AND(BY$5&gt;$E92,BY$5&lt;=$F92),IF(BY$5=$E92+1,$C92,""),"")</f>
        <v/>
      </c>
      <c r="BZ92" s="34">
        <f>IF(AND(BZ$5&gt;$E92,BZ$5&lt;=$F92),IF(BZ$5=$E92+1,$C92,""),"")</f>
        <v/>
      </c>
      <c r="CA92" s="34">
        <f>IF(AND(CA$5&gt;$E92,CA$5&lt;=$F92),IF(CA$5=$E92+1,$C92,""),"")</f>
        <v/>
      </c>
      <c r="CB92" s="34">
        <f>IF(AND(CB$5&gt;$E92,CB$5&lt;=$F92),IF(CB$5=$E92+1,$C92,""),"")</f>
        <v/>
      </c>
      <c r="CC92" s="34">
        <f>IF(AND(CC$5&gt;$E92,CC$5&lt;=$F92),IF(CC$5=$E92+1,$C92,""),"")</f>
        <v/>
      </c>
      <c r="CD92" s="34">
        <f>IF(AND(CD$5&gt;$E92,CD$5&lt;=$F92),IF(CD$5=$E92+1,$C92,""),"")</f>
        <v/>
      </c>
      <c r="CE92" s="34">
        <f>IF(AND(CE$5&gt;$E92,CE$5&lt;=$F92),IF(CE$5=$E92+1,$C92,""),"")</f>
        <v/>
      </c>
      <c r="CF92" s="34">
        <f>IF(AND(CF$5&gt;$E92,CF$5&lt;=$F92),IF(CF$5=$E92+1,$C92,""),"")</f>
        <v/>
      </c>
      <c r="CG92" s="34">
        <f>IF(AND(CG$5&gt;$E92,CG$5&lt;=$F92),IF(CG$5=$E92+1,$C92,""),"")</f>
        <v/>
      </c>
      <c r="CH92" s="34">
        <f>IF(AND(CH$5&gt;$E92,CH$5&lt;=$F92),IF(CH$5=$E92+1,$C92,""),"")</f>
        <v/>
      </c>
      <c r="CI92" s="34">
        <f>IF(AND(CI$5&gt;$E92,CI$5&lt;=$F92),IF(CI$5=$E92+1,$C92,""),"")</f>
        <v/>
      </c>
      <c r="CJ92" s="34">
        <f>IF(AND(CJ$5&gt;$E92,CJ$5&lt;=$F92),IF(CJ$5=$E92+1,$C92,""),"")</f>
        <v/>
      </c>
      <c r="CK92" s="34">
        <f>IF(AND(CK$5&gt;$E92,CK$5&lt;=$F92),IF(CK$5=$E92+1,$C92,""),"")</f>
        <v/>
      </c>
      <c r="CL92" s="34">
        <f>IF(AND(CL$5&gt;$E92,CL$5&lt;=$F92),IF(CL$5=$E92+1,$C92,""),"")</f>
        <v/>
      </c>
      <c r="CM92" s="34">
        <f>IF(AND(CM$5&gt;$E92,CM$5&lt;=$F92),IF(CM$5=$E92+1,$C92,""),"")</f>
        <v/>
      </c>
      <c r="CN92" s="34">
        <f>IF(AND(CN$5&gt;$E92,CN$5&lt;=$F92),IF(CN$5=$E92+1,$C92,""),"")</f>
        <v/>
      </c>
      <c r="CO92" s="34">
        <f>IF(AND(CO$5&gt;$E92,CO$5&lt;=$F92),IF(CO$5=$E92+1,$C92,""),"")</f>
        <v/>
      </c>
      <c r="CP92" s="34">
        <f>IF(AND(CP$5&gt;$E92,CP$5&lt;=$F92),IF(CP$5=$E92+1,$C92,""),"")</f>
        <v/>
      </c>
      <c r="CQ92" s="34">
        <f>IF(AND(CQ$5&gt;$E92,CQ$5&lt;=$F92),IF(CQ$5=$E92+1,$C92,""),"")</f>
        <v/>
      </c>
      <c r="CR92" s="34">
        <f>IF(AND(CR$5&gt;$E92,CR$5&lt;=$F92),IF(CR$5=$E92+1,$C92,""),"")</f>
        <v/>
      </c>
      <c r="CS92" s="34">
        <f>IF(AND(CS$5&gt;$E92,CS$5&lt;=$F92),IF(CS$5=$E92+1,$C92,""),"")</f>
        <v/>
      </c>
      <c r="CT92" s="34">
        <f>IF(AND(CT$5&gt;$E92,CT$5&lt;=$F92),IF(CT$5=$E92+1,$C92,""),"")</f>
        <v/>
      </c>
      <c r="CU92" s="34">
        <f>IF(AND(CU$5&gt;$E92,CU$5&lt;=$F92),IF(CU$5=$E92+1,$C92,""),"")</f>
        <v/>
      </c>
      <c r="CV92" s="34">
        <f>IF(AND(CV$5&gt;$E92,CV$5&lt;=$F92),IF(CV$5=$E92+1,$C92,""),"")</f>
        <v/>
      </c>
      <c r="CW92" s="34">
        <f>IF(AND(CW$5&gt;$E92,CW$5&lt;=$F92),IF(CW$5=$E92+1,$C92,""),"")</f>
        <v/>
      </c>
      <c r="CX92" s="34">
        <f>IF(AND(CX$5&gt;$E92,CX$5&lt;=$F92),IF(CX$5=$E92+1,$C92,""),"")</f>
        <v/>
      </c>
      <c r="CY92" s="34">
        <f>IF(AND(CY$5&gt;$E92,CY$5&lt;=$F92),IF(CY$5=$E92+1,$C92,""),"")</f>
        <v/>
      </c>
      <c r="CZ92" s="34">
        <f>IF(AND(CZ$5&gt;$E92,CZ$5&lt;=$F92),IF(CZ$5=$E92+1,$C92,""),"")</f>
        <v/>
      </c>
      <c r="DA92" s="34">
        <f>IF(AND(DA$5&gt;$E92,DA$5&lt;=$F92),IF(DA$5=$E92+1,$C92,""),"")</f>
        <v/>
      </c>
      <c r="DB92" s="34">
        <f>IF(AND(DB$5&gt;$E92,DB$5&lt;=$F92),IF(DB$5=$E92+1,$C92,""),"")</f>
        <v/>
      </c>
      <c r="DC92" s="34">
        <f>IF(AND(DC$5&gt;$E92,DC$5&lt;=$F92),IF(DC$5=$E92+1,$C92,""),"")</f>
        <v/>
      </c>
    </row>
    <row r="93">
      <c r="A93" s="32">
        <f>Plan!A76</f>
        <v/>
      </c>
      <c r="B93" s="33">
        <f>Plan!C76</f>
        <v/>
      </c>
      <c r="C93" s="16">
        <f>Plan!D76</f>
        <v/>
      </c>
      <c r="D93" s="16">
        <f>Plan!I76</f>
        <v/>
      </c>
      <c r="E93" s="16">
        <f>Plan!K76</f>
        <v/>
      </c>
      <c r="F93" s="16">
        <f>Plan!L76</f>
        <v/>
      </c>
      <c r="G93" s="16">
        <f>Plan!O76</f>
        <v/>
      </c>
      <c r="H93" s="34">
        <f>IF(AND(H$5&gt;$E93,H$5&lt;=$F93),IF(H$5=$E93+1,$C93,""),"")</f>
        <v/>
      </c>
      <c r="I93" s="34">
        <f>IF(AND(I$5&gt;$E93,I$5&lt;=$F93),IF(I$5=$E93+1,$C93,""),"")</f>
        <v/>
      </c>
      <c r="J93" s="34">
        <f>IF(AND(J$5&gt;$E93,J$5&lt;=$F93),IF(J$5=$E93+1,$C93,""),"")</f>
        <v/>
      </c>
      <c r="K93" s="34">
        <f>IF(AND(K$5&gt;$E93,K$5&lt;=$F93),IF(K$5=$E93+1,$C93,""),"")</f>
        <v/>
      </c>
      <c r="L93" s="34">
        <f>IF(AND(L$5&gt;$E93,L$5&lt;=$F93),IF(L$5=$E93+1,$C93,""),"")</f>
        <v/>
      </c>
      <c r="M93" s="34">
        <f>IF(AND(M$5&gt;$E93,M$5&lt;=$F93),IF(M$5=$E93+1,$C93,""),"")</f>
        <v/>
      </c>
      <c r="N93" s="34">
        <f>IF(AND(N$5&gt;$E93,N$5&lt;=$F93),IF(N$5=$E93+1,$C93,""),"")</f>
        <v/>
      </c>
      <c r="O93" s="34">
        <f>IF(AND(O$5&gt;$E93,O$5&lt;=$F93),IF(O$5=$E93+1,$C93,""),"")</f>
        <v/>
      </c>
      <c r="P93" s="34">
        <f>IF(AND(P$5&gt;$E93,P$5&lt;=$F93),IF(P$5=$E93+1,$C93,""),"")</f>
        <v/>
      </c>
      <c r="Q93" s="34">
        <f>IF(AND(Q$5&gt;$E93,Q$5&lt;=$F93),IF(Q$5=$E93+1,$C93,""),"")</f>
        <v/>
      </c>
      <c r="R93" s="34">
        <f>IF(AND(R$5&gt;$E93,R$5&lt;=$F93),IF(R$5=$E93+1,$C93,""),"")</f>
        <v/>
      </c>
      <c r="S93" s="34">
        <f>IF(AND(S$5&gt;$E93,S$5&lt;=$F93),IF(S$5=$E93+1,$C93,""),"")</f>
        <v/>
      </c>
      <c r="T93" s="34">
        <f>IF(AND(T$5&gt;$E93,T$5&lt;=$F93),IF(T$5=$E93+1,$C93,""),"")</f>
        <v/>
      </c>
      <c r="U93" s="34">
        <f>IF(AND(U$5&gt;$E93,U$5&lt;=$F93),IF(U$5=$E93+1,$C93,""),"")</f>
        <v/>
      </c>
      <c r="V93" s="34">
        <f>IF(AND(V$5&gt;$E93,V$5&lt;=$F93),IF(V$5=$E93+1,$C93,""),"")</f>
        <v/>
      </c>
      <c r="W93" s="34">
        <f>IF(AND(W$5&gt;$E93,W$5&lt;=$F93),IF(W$5=$E93+1,$C93,""),"")</f>
        <v/>
      </c>
      <c r="X93" s="34">
        <f>IF(AND(X$5&gt;$E93,X$5&lt;=$F93),IF(X$5=$E93+1,$C93,""),"")</f>
        <v/>
      </c>
      <c r="Y93" s="34">
        <f>IF(AND(Y$5&gt;$E93,Y$5&lt;=$F93),IF(Y$5=$E93+1,$C93,""),"")</f>
        <v/>
      </c>
      <c r="Z93" s="34">
        <f>IF(AND(Z$5&gt;$E93,Z$5&lt;=$F93),IF(Z$5=$E93+1,$C93,""),"")</f>
        <v/>
      </c>
      <c r="AA93" s="34">
        <f>IF(AND(AA$5&gt;$E93,AA$5&lt;=$F93),IF(AA$5=$E93+1,$C93,""),"")</f>
        <v/>
      </c>
      <c r="AB93" s="34">
        <f>IF(AND(AB$5&gt;$E93,AB$5&lt;=$F93),IF(AB$5=$E93+1,$C93,""),"")</f>
        <v/>
      </c>
      <c r="AC93" s="34">
        <f>IF(AND(AC$5&gt;$E93,AC$5&lt;=$F93),IF(AC$5=$E93+1,$C93,""),"")</f>
        <v/>
      </c>
      <c r="AD93" s="34">
        <f>IF(AND(AD$5&gt;$E93,AD$5&lt;=$F93),IF(AD$5=$E93+1,$C93,""),"")</f>
        <v/>
      </c>
      <c r="AE93" s="34">
        <f>IF(AND(AE$5&gt;$E93,AE$5&lt;=$F93),IF(AE$5=$E93+1,$C93,""),"")</f>
        <v/>
      </c>
      <c r="AF93" s="34">
        <f>IF(AND(AF$5&gt;$E93,AF$5&lt;=$F93),IF(AF$5=$E93+1,$C93,""),"")</f>
        <v/>
      </c>
      <c r="AG93" s="34">
        <f>IF(AND(AG$5&gt;$E93,AG$5&lt;=$F93),IF(AG$5=$E93+1,$C93,""),"")</f>
        <v/>
      </c>
      <c r="AH93" s="34">
        <f>IF(AND(AH$5&gt;$E93,AH$5&lt;=$F93),IF(AH$5=$E93+1,$C93,""),"")</f>
        <v/>
      </c>
      <c r="AI93" s="34">
        <f>IF(AND(AI$5&gt;$E93,AI$5&lt;=$F93),IF(AI$5=$E93+1,$C93,""),"")</f>
        <v/>
      </c>
      <c r="AJ93" s="34">
        <f>IF(AND(AJ$5&gt;$E93,AJ$5&lt;=$F93),IF(AJ$5=$E93+1,$C93,""),"")</f>
        <v/>
      </c>
      <c r="AK93" s="34">
        <f>IF(AND(AK$5&gt;$E93,AK$5&lt;=$F93),IF(AK$5=$E93+1,$C93,""),"")</f>
        <v/>
      </c>
      <c r="AL93" s="34">
        <f>IF(AND(AL$5&gt;$E93,AL$5&lt;=$F93),IF(AL$5=$E93+1,$C93,""),"")</f>
        <v/>
      </c>
      <c r="AM93" s="34">
        <f>IF(AND(AM$5&gt;$E93,AM$5&lt;=$F93),IF(AM$5=$E93+1,$C93,""),"")</f>
        <v/>
      </c>
      <c r="AN93" s="34">
        <f>IF(AND(AN$5&gt;$E93,AN$5&lt;=$F93),IF(AN$5=$E93+1,$C93,""),"")</f>
        <v/>
      </c>
      <c r="AO93" s="34">
        <f>IF(AND(AO$5&gt;$E93,AO$5&lt;=$F93),IF(AO$5=$E93+1,$C93,""),"")</f>
        <v/>
      </c>
      <c r="AP93" s="34">
        <f>IF(AND(AP$5&gt;$E93,AP$5&lt;=$F93),IF(AP$5=$E93+1,$C93,""),"")</f>
        <v/>
      </c>
      <c r="AQ93" s="34">
        <f>IF(AND(AQ$5&gt;$E93,AQ$5&lt;=$F93),IF(AQ$5=$E93+1,$C93,""),"")</f>
        <v/>
      </c>
      <c r="AR93" s="34">
        <f>IF(AND(AR$5&gt;$E93,AR$5&lt;=$F93),IF(AR$5=$E93+1,$C93,""),"")</f>
        <v/>
      </c>
      <c r="AS93" s="34">
        <f>IF(AND(AS$5&gt;$E93,AS$5&lt;=$F93),IF(AS$5=$E93+1,$C93,""),"")</f>
        <v/>
      </c>
      <c r="AT93" s="34">
        <f>IF(AND(AT$5&gt;$E93,AT$5&lt;=$F93),IF(AT$5=$E93+1,$C93,""),"")</f>
        <v/>
      </c>
      <c r="AU93" s="34">
        <f>IF(AND(AU$5&gt;$E93,AU$5&lt;=$F93),IF(AU$5=$E93+1,$C93,""),"")</f>
        <v/>
      </c>
      <c r="AV93" s="34">
        <f>IF(AND(AV$5&gt;$E93,AV$5&lt;=$F93),IF(AV$5=$E93+1,$C93,""),"")</f>
        <v/>
      </c>
      <c r="AW93" s="34">
        <f>IF(AND(AW$5&gt;$E93,AW$5&lt;=$F93),IF(AW$5=$E93+1,$C93,""),"")</f>
        <v/>
      </c>
      <c r="AX93" s="34">
        <f>IF(AND(AX$5&gt;$E93,AX$5&lt;=$F93),IF(AX$5=$E93+1,$C93,""),"")</f>
        <v/>
      </c>
      <c r="AY93" s="34">
        <f>IF(AND(AY$5&gt;$E93,AY$5&lt;=$F93),IF(AY$5=$E93+1,$C93,""),"")</f>
        <v/>
      </c>
      <c r="AZ93" s="34">
        <f>IF(AND(AZ$5&gt;$E93,AZ$5&lt;=$F93),IF(AZ$5=$E93+1,$C93,""),"")</f>
        <v/>
      </c>
      <c r="BA93" s="34">
        <f>IF(AND(BA$5&gt;$E93,BA$5&lt;=$F93),IF(BA$5=$E93+1,$C93,""),"")</f>
        <v/>
      </c>
      <c r="BB93" s="34">
        <f>IF(AND(BB$5&gt;$E93,BB$5&lt;=$F93),IF(BB$5=$E93+1,$C93,""),"")</f>
        <v/>
      </c>
      <c r="BC93" s="34">
        <f>IF(AND(BC$5&gt;$E93,BC$5&lt;=$F93),IF(BC$5=$E93+1,$C93,""),"")</f>
        <v/>
      </c>
      <c r="BD93" s="34">
        <f>IF(AND(BD$5&gt;$E93,BD$5&lt;=$F93),IF(BD$5=$E93+1,$C93,""),"")</f>
        <v/>
      </c>
      <c r="BE93" s="34">
        <f>IF(AND(BE$5&gt;$E93,BE$5&lt;=$F93),IF(BE$5=$E93+1,$C93,""),"")</f>
        <v/>
      </c>
      <c r="BF93" s="34">
        <f>IF(AND(BF$5&gt;$E93,BF$5&lt;=$F93),IF(BF$5=$E93+1,$C93,""),"")</f>
        <v/>
      </c>
      <c r="BG93" s="34">
        <f>IF(AND(BG$5&gt;$E93,BG$5&lt;=$F93),IF(BG$5=$E93+1,$C93,""),"")</f>
        <v/>
      </c>
      <c r="BH93" s="34">
        <f>IF(AND(BH$5&gt;$E93,BH$5&lt;=$F93),IF(BH$5=$E93+1,$C93,""),"")</f>
        <v/>
      </c>
      <c r="BI93" s="34">
        <f>IF(AND(BI$5&gt;$E93,BI$5&lt;=$F93),IF(BI$5=$E93+1,$C93,""),"")</f>
        <v/>
      </c>
      <c r="BJ93" s="34">
        <f>IF(AND(BJ$5&gt;$E93,BJ$5&lt;=$F93),IF(BJ$5=$E93+1,$C93,""),"")</f>
        <v/>
      </c>
      <c r="BK93" s="34">
        <f>IF(AND(BK$5&gt;$E93,BK$5&lt;=$F93),IF(BK$5=$E93+1,$C93,""),"")</f>
        <v/>
      </c>
      <c r="BL93" s="34">
        <f>IF(AND(BL$5&gt;$E93,BL$5&lt;=$F93),IF(BL$5=$E93+1,$C93,""),"")</f>
        <v/>
      </c>
      <c r="BM93" s="34">
        <f>IF(AND(BM$5&gt;$E93,BM$5&lt;=$F93),IF(BM$5=$E93+1,$C93,""),"")</f>
        <v/>
      </c>
      <c r="BN93" s="34">
        <f>IF(AND(BN$5&gt;$E93,BN$5&lt;=$F93),IF(BN$5=$E93+1,$C93,""),"")</f>
        <v/>
      </c>
      <c r="BO93" s="34">
        <f>IF(AND(BO$5&gt;$E93,BO$5&lt;=$F93),IF(BO$5=$E93+1,$C93,""),"")</f>
        <v/>
      </c>
      <c r="BP93" s="34">
        <f>IF(AND(BP$5&gt;$E93,BP$5&lt;=$F93),IF(BP$5=$E93+1,$C93,""),"")</f>
        <v/>
      </c>
      <c r="BQ93" s="34">
        <f>IF(AND(BQ$5&gt;$E93,BQ$5&lt;=$F93),IF(BQ$5=$E93+1,$C93,""),"")</f>
        <v/>
      </c>
      <c r="BR93" s="34">
        <f>IF(AND(BR$5&gt;$E93,BR$5&lt;=$F93),IF(BR$5=$E93+1,$C93,""),"")</f>
        <v/>
      </c>
      <c r="BS93" s="34">
        <f>IF(AND(BS$5&gt;$E93,BS$5&lt;=$F93),IF(BS$5=$E93+1,$C93,""),"")</f>
        <v/>
      </c>
      <c r="BT93" s="34">
        <f>IF(AND(BT$5&gt;$E93,BT$5&lt;=$F93),IF(BT$5=$E93+1,$C93,""),"")</f>
        <v/>
      </c>
      <c r="BU93" s="34">
        <f>IF(AND(BU$5&gt;$E93,BU$5&lt;=$F93),IF(BU$5=$E93+1,$C93,""),"")</f>
        <v/>
      </c>
      <c r="BV93" s="34">
        <f>IF(AND(BV$5&gt;$E93,BV$5&lt;=$F93),IF(BV$5=$E93+1,$C93,""),"")</f>
        <v/>
      </c>
      <c r="BW93" s="34">
        <f>IF(AND(BW$5&gt;$E93,BW$5&lt;=$F93),IF(BW$5=$E93+1,$C93,""),"")</f>
        <v/>
      </c>
      <c r="BX93" s="34">
        <f>IF(AND(BX$5&gt;$E93,BX$5&lt;=$F93),IF(BX$5=$E93+1,$C93,""),"")</f>
        <v/>
      </c>
      <c r="BY93" s="34">
        <f>IF(AND(BY$5&gt;$E93,BY$5&lt;=$F93),IF(BY$5=$E93+1,$C93,""),"")</f>
        <v/>
      </c>
      <c r="BZ93" s="34">
        <f>IF(AND(BZ$5&gt;$E93,BZ$5&lt;=$F93),IF(BZ$5=$E93+1,$C93,""),"")</f>
        <v/>
      </c>
      <c r="CA93" s="34">
        <f>IF(AND(CA$5&gt;$E93,CA$5&lt;=$F93),IF(CA$5=$E93+1,$C93,""),"")</f>
        <v/>
      </c>
      <c r="CB93" s="34">
        <f>IF(AND(CB$5&gt;$E93,CB$5&lt;=$F93),IF(CB$5=$E93+1,$C93,""),"")</f>
        <v/>
      </c>
      <c r="CC93" s="34">
        <f>IF(AND(CC$5&gt;$E93,CC$5&lt;=$F93),IF(CC$5=$E93+1,$C93,""),"")</f>
        <v/>
      </c>
      <c r="CD93" s="34">
        <f>IF(AND(CD$5&gt;$E93,CD$5&lt;=$F93),IF(CD$5=$E93+1,$C93,""),"")</f>
        <v/>
      </c>
      <c r="CE93" s="34">
        <f>IF(AND(CE$5&gt;$E93,CE$5&lt;=$F93),IF(CE$5=$E93+1,$C93,""),"")</f>
        <v/>
      </c>
      <c r="CF93" s="34">
        <f>IF(AND(CF$5&gt;$E93,CF$5&lt;=$F93),IF(CF$5=$E93+1,$C93,""),"")</f>
        <v/>
      </c>
      <c r="CG93" s="34">
        <f>IF(AND(CG$5&gt;$E93,CG$5&lt;=$F93),IF(CG$5=$E93+1,$C93,""),"")</f>
        <v/>
      </c>
      <c r="CH93" s="34">
        <f>IF(AND(CH$5&gt;$E93,CH$5&lt;=$F93),IF(CH$5=$E93+1,$C93,""),"")</f>
        <v/>
      </c>
      <c r="CI93" s="34">
        <f>IF(AND(CI$5&gt;$E93,CI$5&lt;=$F93),IF(CI$5=$E93+1,$C93,""),"")</f>
        <v/>
      </c>
      <c r="CJ93" s="34">
        <f>IF(AND(CJ$5&gt;$E93,CJ$5&lt;=$F93),IF(CJ$5=$E93+1,$C93,""),"")</f>
        <v/>
      </c>
      <c r="CK93" s="34">
        <f>IF(AND(CK$5&gt;$E93,CK$5&lt;=$F93),IF(CK$5=$E93+1,$C93,""),"")</f>
        <v/>
      </c>
      <c r="CL93" s="34">
        <f>IF(AND(CL$5&gt;$E93,CL$5&lt;=$F93),IF(CL$5=$E93+1,$C93,""),"")</f>
        <v/>
      </c>
      <c r="CM93" s="34">
        <f>IF(AND(CM$5&gt;$E93,CM$5&lt;=$F93),IF(CM$5=$E93+1,$C93,""),"")</f>
        <v/>
      </c>
      <c r="CN93" s="34">
        <f>IF(AND(CN$5&gt;$E93,CN$5&lt;=$F93),IF(CN$5=$E93+1,$C93,""),"")</f>
        <v/>
      </c>
      <c r="CO93" s="34">
        <f>IF(AND(CO$5&gt;$E93,CO$5&lt;=$F93),IF(CO$5=$E93+1,$C93,""),"")</f>
        <v/>
      </c>
      <c r="CP93" s="34">
        <f>IF(AND(CP$5&gt;$E93,CP$5&lt;=$F93),IF(CP$5=$E93+1,$C93,""),"")</f>
        <v/>
      </c>
      <c r="CQ93" s="34">
        <f>IF(AND(CQ$5&gt;$E93,CQ$5&lt;=$F93),IF(CQ$5=$E93+1,$C93,""),"")</f>
        <v/>
      </c>
      <c r="CR93" s="34">
        <f>IF(AND(CR$5&gt;$E93,CR$5&lt;=$F93),IF(CR$5=$E93+1,$C93,""),"")</f>
        <v/>
      </c>
      <c r="CS93" s="34">
        <f>IF(AND(CS$5&gt;$E93,CS$5&lt;=$F93),IF(CS$5=$E93+1,$C93,""),"")</f>
        <v/>
      </c>
      <c r="CT93" s="34">
        <f>IF(AND(CT$5&gt;$E93,CT$5&lt;=$F93),IF(CT$5=$E93+1,$C93,""),"")</f>
        <v/>
      </c>
      <c r="CU93" s="34">
        <f>IF(AND(CU$5&gt;$E93,CU$5&lt;=$F93),IF(CU$5=$E93+1,$C93,""),"")</f>
        <v/>
      </c>
      <c r="CV93" s="34">
        <f>IF(AND(CV$5&gt;$E93,CV$5&lt;=$F93),IF(CV$5=$E93+1,$C93,""),"")</f>
        <v/>
      </c>
      <c r="CW93" s="34">
        <f>IF(AND(CW$5&gt;$E93,CW$5&lt;=$F93),IF(CW$5=$E93+1,$C93,""),"")</f>
        <v/>
      </c>
      <c r="CX93" s="34">
        <f>IF(AND(CX$5&gt;$E93,CX$5&lt;=$F93),IF(CX$5=$E93+1,$C93,""),"")</f>
        <v/>
      </c>
      <c r="CY93" s="34">
        <f>IF(AND(CY$5&gt;$E93,CY$5&lt;=$F93),IF(CY$5=$E93+1,$C93,""),"")</f>
        <v/>
      </c>
      <c r="CZ93" s="34">
        <f>IF(AND(CZ$5&gt;$E93,CZ$5&lt;=$F93),IF(CZ$5=$E93+1,$C93,""),"")</f>
        <v/>
      </c>
      <c r="DA93" s="34">
        <f>IF(AND(DA$5&gt;$E93,DA$5&lt;=$F93),IF(DA$5=$E93+1,$C93,""),"")</f>
        <v/>
      </c>
      <c r="DB93" s="34">
        <f>IF(AND(DB$5&gt;$E93,DB$5&lt;=$F93),IF(DB$5=$E93+1,$C93,""),"")</f>
        <v/>
      </c>
      <c r="DC93" s="34">
        <f>IF(AND(DC$5&gt;$E93,DC$5&lt;=$F93),IF(DC$5=$E93+1,$C93,""),"")</f>
        <v/>
      </c>
    </row>
    <row r="94">
      <c r="A94" s="32">
        <f>Plan!A79</f>
        <v/>
      </c>
      <c r="B94" s="33">
        <f>Plan!C79</f>
        <v/>
      </c>
      <c r="C94" s="16">
        <f>Plan!D79</f>
        <v/>
      </c>
      <c r="D94" s="16">
        <f>Plan!I79</f>
        <v/>
      </c>
      <c r="E94" s="16">
        <f>Plan!K79</f>
        <v/>
      </c>
      <c r="F94" s="16">
        <f>Plan!L79</f>
        <v/>
      </c>
      <c r="G94" s="16">
        <f>Plan!O79</f>
        <v/>
      </c>
      <c r="H94" s="34">
        <f>IF(AND(H$5&gt;$E94,H$5&lt;=$F94),IF(H$5=$E94+1,$C94,""),"")</f>
        <v/>
      </c>
      <c r="I94" s="34">
        <f>IF(AND(I$5&gt;$E94,I$5&lt;=$F94),IF(I$5=$E94+1,$C94,""),"")</f>
        <v/>
      </c>
      <c r="J94" s="34">
        <f>IF(AND(J$5&gt;$E94,J$5&lt;=$F94),IF(J$5=$E94+1,$C94,""),"")</f>
        <v/>
      </c>
      <c r="K94" s="34">
        <f>IF(AND(K$5&gt;$E94,K$5&lt;=$F94),IF(K$5=$E94+1,$C94,""),"")</f>
        <v/>
      </c>
      <c r="L94" s="34">
        <f>IF(AND(L$5&gt;$E94,L$5&lt;=$F94),IF(L$5=$E94+1,$C94,""),"")</f>
        <v/>
      </c>
      <c r="M94" s="34">
        <f>IF(AND(M$5&gt;$E94,M$5&lt;=$F94),IF(M$5=$E94+1,$C94,""),"")</f>
        <v/>
      </c>
      <c r="N94" s="34">
        <f>IF(AND(N$5&gt;$E94,N$5&lt;=$F94),IF(N$5=$E94+1,$C94,""),"")</f>
        <v/>
      </c>
      <c r="O94" s="34">
        <f>IF(AND(O$5&gt;$E94,O$5&lt;=$F94),IF(O$5=$E94+1,$C94,""),"")</f>
        <v/>
      </c>
      <c r="P94" s="34">
        <f>IF(AND(P$5&gt;$E94,P$5&lt;=$F94),IF(P$5=$E94+1,$C94,""),"")</f>
        <v/>
      </c>
      <c r="Q94" s="34">
        <f>IF(AND(Q$5&gt;$E94,Q$5&lt;=$F94),IF(Q$5=$E94+1,$C94,""),"")</f>
        <v/>
      </c>
      <c r="R94" s="34">
        <f>IF(AND(R$5&gt;$E94,R$5&lt;=$F94),IF(R$5=$E94+1,$C94,""),"")</f>
        <v/>
      </c>
      <c r="S94" s="34">
        <f>IF(AND(S$5&gt;$E94,S$5&lt;=$F94),IF(S$5=$E94+1,$C94,""),"")</f>
        <v/>
      </c>
      <c r="T94" s="34">
        <f>IF(AND(T$5&gt;$E94,T$5&lt;=$F94),IF(T$5=$E94+1,$C94,""),"")</f>
        <v/>
      </c>
      <c r="U94" s="34">
        <f>IF(AND(U$5&gt;$E94,U$5&lt;=$F94),IF(U$5=$E94+1,$C94,""),"")</f>
        <v/>
      </c>
      <c r="V94" s="34">
        <f>IF(AND(V$5&gt;$E94,V$5&lt;=$F94),IF(V$5=$E94+1,$C94,""),"")</f>
        <v/>
      </c>
      <c r="W94" s="34">
        <f>IF(AND(W$5&gt;$E94,W$5&lt;=$F94),IF(W$5=$E94+1,$C94,""),"")</f>
        <v/>
      </c>
      <c r="X94" s="34">
        <f>IF(AND(X$5&gt;$E94,X$5&lt;=$F94),IF(X$5=$E94+1,$C94,""),"")</f>
        <v/>
      </c>
      <c r="Y94" s="34">
        <f>IF(AND(Y$5&gt;$E94,Y$5&lt;=$F94),IF(Y$5=$E94+1,$C94,""),"")</f>
        <v/>
      </c>
      <c r="Z94" s="34">
        <f>IF(AND(Z$5&gt;$E94,Z$5&lt;=$F94),IF(Z$5=$E94+1,$C94,""),"")</f>
        <v/>
      </c>
      <c r="AA94" s="34">
        <f>IF(AND(AA$5&gt;$E94,AA$5&lt;=$F94),IF(AA$5=$E94+1,$C94,""),"")</f>
        <v/>
      </c>
      <c r="AB94" s="34">
        <f>IF(AND(AB$5&gt;$E94,AB$5&lt;=$F94),IF(AB$5=$E94+1,$C94,""),"")</f>
        <v/>
      </c>
      <c r="AC94" s="34">
        <f>IF(AND(AC$5&gt;$E94,AC$5&lt;=$F94),IF(AC$5=$E94+1,$C94,""),"")</f>
        <v/>
      </c>
      <c r="AD94" s="34">
        <f>IF(AND(AD$5&gt;$E94,AD$5&lt;=$F94),IF(AD$5=$E94+1,$C94,""),"")</f>
        <v/>
      </c>
      <c r="AE94" s="34">
        <f>IF(AND(AE$5&gt;$E94,AE$5&lt;=$F94),IF(AE$5=$E94+1,$C94,""),"")</f>
        <v/>
      </c>
      <c r="AF94" s="34">
        <f>IF(AND(AF$5&gt;$E94,AF$5&lt;=$F94),IF(AF$5=$E94+1,$C94,""),"")</f>
        <v/>
      </c>
      <c r="AG94" s="34">
        <f>IF(AND(AG$5&gt;$E94,AG$5&lt;=$F94),IF(AG$5=$E94+1,$C94,""),"")</f>
        <v/>
      </c>
      <c r="AH94" s="34">
        <f>IF(AND(AH$5&gt;$E94,AH$5&lt;=$F94),IF(AH$5=$E94+1,$C94,""),"")</f>
        <v/>
      </c>
      <c r="AI94" s="34">
        <f>IF(AND(AI$5&gt;$E94,AI$5&lt;=$F94),IF(AI$5=$E94+1,$C94,""),"")</f>
        <v/>
      </c>
      <c r="AJ94" s="34">
        <f>IF(AND(AJ$5&gt;$E94,AJ$5&lt;=$F94),IF(AJ$5=$E94+1,$C94,""),"")</f>
        <v/>
      </c>
      <c r="AK94" s="34">
        <f>IF(AND(AK$5&gt;$E94,AK$5&lt;=$F94),IF(AK$5=$E94+1,$C94,""),"")</f>
        <v/>
      </c>
      <c r="AL94" s="34">
        <f>IF(AND(AL$5&gt;$E94,AL$5&lt;=$F94),IF(AL$5=$E94+1,$C94,""),"")</f>
        <v/>
      </c>
      <c r="AM94" s="34">
        <f>IF(AND(AM$5&gt;$E94,AM$5&lt;=$F94),IF(AM$5=$E94+1,$C94,""),"")</f>
        <v/>
      </c>
      <c r="AN94" s="34">
        <f>IF(AND(AN$5&gt;$E94,AN$5&lt;=$F94),IF(AN$5=$E94+1,$C94,""),"")</f>
        <v/>
      </c>
      <c r="AO94" s="34">
        <f>IF(AND(AO$5&gt;$E94,AO$5&lt;=$F94),IF(AO$5=$E94+1,$C94,""),"")</f>
        <v/>
      </c>
      <c r="AP94" s="34">
        <f>IF(AND(AP$5&gt;$E94,AP$5&lt;=$F94),IF(AP$5=$E94+1,$C94,""),"")</f>
        <v/>
      </c>
      <c r="AQ94" s="34">
        <f>IF(AND(AQ$5&gt;$E94,AQ$5&lt;=$F94),IF(AQ$5=$E94+1,$C94,""),"")</f>
        <v/>
      </c>
      <c r="AR94" s="34">
        <f>IF(AND(AR$5&gt;$E94,AR$5&lt;=$F94),IF(AR$5=$E94+1,$C94,""),"")</f>
        <v/>
      </c>
      <c r="AS94" s="34">
        <f>IF(AND(AS$5&gt;$E94,AS$5&lt;=$F94),IF(AS$5=$E94+1,$C94,""),"")</f>
        <v/>
      </c>
      <c r="AT94" s="34">
        <f>IF(AND(AT$5&gt;$E94,AT$5&lt;=$F94),IF(AT$5=$E94+1,$C94,""),"")</f>
        <v/>
      </c>
      <c r="AU94" s="34">
        <f>IF(AND(AU$5&gt;$E94,AU$5&lt;=$F94),IF(AU$5=$E94+1,$C94,""),"")</f>
        <v/>
      </c>
      <c r="AV94" s="34">
        <f>IF(AND(AV$5&gt;$E94,AV$5&lt;=$F94),IF(AV$5=$E94+1,$C94,""),"")</f>
        <v/>
      </c>
      <c r="AW94" s="34">
        <f>IF(AND(AW$5&gt;$E94,AW$5&lt;=$F94),IF(AW$5=$E94+1,$C94,""),"")</f>
        <v/>
      </c>
      <c r="AX94" s="34">
        <f>IF(AND(AX$5&gt;$E94,AX$5&lt;=$F94),IF(AX$5=$E94+1,$C94,""),"")</f>
        <v/>
      </c>
      <c r="AY94" s="34">
        <f>IF(AND(AY$5&gt;$E94,AY$5&lt;=$F94),IF(AY$5=$E94+1,$C94,""),"")</f>
        <v/>
      </c>
      <c r="AZ94" s="34">
        <f>IF(AND(AZ$5&gt;$E94,AZ$5&lt;=$F94),IF(AZ$5=$E94+1,$C94,""),"")</f>
        <v/>
      </c>
      <c r="BA94" s="34">
        <f>IF(AND(BA$5&gt;$E94,BA$5&lt;=$F94),IF(BA$5=$E94+1,$C94,""),"")</f>
        <v/>
      </c>
      <c r="BB94" s="34">
        <f>IF(AND(BB$5&gt;$E94,BB$5&lt;=$F94),IF(BB$5=$E94+1,$C94,""),"")</f>
        <v/>
      </c>
      <c r="BC94" s="34">
        <f>IF(AND(BC$5&gt;$E94,BC$5&lt;=$F94),IF(BC$5=$E94+1,$C94,""),"")</f>
        <v/>
      </c>
      <c r="BD94" s="34">
        <f>IF(AND(BD$5&gt;$E94,BD$5&lt;=$F94),IF(BD$5=$E94+1,$C94,""),"")</f>
        <v/>
      </c>
      <c r="BE94" s="34">
        <f>IF(AND(BE$5&gt;$E94,BE$5&lt;=$F94),IF(BE$5=$E94+1,$C94,""),"")</f>
        <v/>
      </c>
      <c r="BF94" s="34">
        <f>IF(AND(BF$5&gt;$E94,BF$5&lt;=$F94),IF(BF$5=$E94+1,$C94,""),"")</f>
        <v/>
      </c>
      <c r="BG94" s="34">
        <f>IF(AND(BG$5&gt;$E94,BG$5&lt;=$F94),IF(BG$5=$E94+1,$C94,""),"")</f>
        <v/>
      </c>
      <c r="BH94" s="34">
        <f>IF(AND(BH$5&gt;$E94,BH$5&lt;=$F94),IF(BH$5=$E94+1,$C94,""),"")</f>
        <v/>
      </c>
      <c r="BI94" s="34">
        <f>IF(AND(BI$5&gt;$E94,BI$5&lt;=$F94),IF(BI$5=$E94+1,$C94,""),"")</f>
        <v/>
      </c>
      <c r="BJ94" s="34">
        <f>IF(AND(BJ$5&gt;$E94,BJ$5&lt;=$F94),IF(BJ$5=$E94+1,$C94,""),"")</f>
        <v/>
      </c>
      <c r="BK94" s="34">
        <f>IF(AND(BK$5&gt;$E94,BK$5&lt;=$F94),IF(BK$5=$E94+1,$C94,""),"")</f>
        <v/>
      </c>
      <c r="BL94" s="34">
        <f>IF(AND(BL$5&gt;$E94,BL$5&lt;=$F94),IF(BL$5=$E94+1,$C94,""),"")</f>
        <v/>
      </c>
      <c r="BM94" s="34">
        <f>IF(AND(BM$5&gt;$E94,BM$5&lt;=$F94),IF(BM$5=$E94+1,$C94,""),"")</f>
        <v/>
      </c>
      <c r="BN94" s="34">
        <f>IF(AND(BN$5&gt;$E94,BN$5&lt;=$F94),IF(BN$5=$E94+1,$C94,""),"")</f>
        <v/>
      </c>
      <c r="BO94" s="34">
        <f>IF(AND(BO$5&gt;$E94,BO$5&lt;=$F94),IF(BO$5=$E94+1,$C94,""),"")</f>
        <v/>
      </c>
      <c r="BP94" s="34">
        <f>IF(AND(BP$5&gt;$E94,BP$5&lt;=$F94),IF(BP$5=$E94+1,$C94,""),"")</f>
        <v/>
      </c>
      <c r="BQ94" s="34">
        <f>IF(AND(BQ$5&gt;$E94,BQ$5&lt;=$F94),IF(BQ$5=$E94+1,$C94,""),"")</f>
        <v/>
      </c>
      <c r="BR94" s="34">
        <f>IF(AND(BR$5&gt;$E94,BR$5&lt;=$F94),IF(BR$5=$E94+1,$C94,""),"")</f>
        <v/>
      </c>
      <c r="BS94" s="34">
        <f>IF(AND(BS$5&gt;$E94,BS$5&lt;=$F94),IF(BS$5=$E94+1,$C94,""),"")</f>
        <v/>
      </c>
      <c r="BT94" s="34">
        <f>IF(AND(BT$5&gt;$E94,BT$5&lt;=$F94),IF(BT$5=$E94+1,$C94,""),"")</f>
        <v/>
      </c>
      <c r="BU94" s="34">
        <f>IF(AND(BU$5&gt;$E94,BU$5&lt;=$F94),IF(BU$5=$E94+1,$C94,""),"")</f>
        <v/>
      </c>
      <c r="BV94" s="34">
        <f>IF(AND(BV$5&gt;$E94,BV$5&lt;=$F94),IF(BV$5=$E94+1,$C94,""),"")</f>
        <v/>
      </c>
      <c r="BW94" s="34">
        <f>IF(AND(BW$5&gt;$E94,BW$5&lt;=$F94),IF(BW$5=$E94+1,$C94,""),"")</f>
        <v/>
      </c>
      <c r="BX94" s="34">
        <f>IF(AND(BX$5&gt;$E94,BX$5&lt;=$F94),IF(BX$5=$E94+1,$C94,""),"")</f>
        <v/>
      </c>
      <c r="BY94" s="34">
        <f>IF(AND(BY$5&gt;$E94,BY$5&lt;=$F94),IF(BY$5=$E94+1,$C94,""),"")</f>
        <v/>
      </c>
      <c r="BZ94" s="34">
        <f>IF(AND(BZ$5&gt;$E94,BZ$5&lt;=$F94),IF(BZ$5=$E94+1,$C94,""),"")</f>
        <v/>
      </c>
      <c r="CA94" s="34">
        <f>IF(AND(CA$5&gt;$E94,CA$5&lt;=$F94),IF(CA$5=$E94+1,$C94,""),"")</f>
        <v/>
      </c>
      <c r="CB94" s="34">
        <f>IF(AND(CB$5&gt;$E94,CB$5&lt;=$F94),IF(CB$5=$E94+1,$C94,""),"")</f>
        <v/>
      </c>
      <c r="CC94" s="34">
        <f>IF(AND(CC$5&gt;$E94,CC$5&lt;=$F94),IF(CC$5=$E94+1,$C94,""),"")</f>
        <v/>
      </c>
      <c r="CD94" s="34">
        <f>IF(AND(CD$5&gt;$E94,CD$5&lt;=$F94),IF(CD$5=$E94+1,$C94,""),"")</f>
        <v/>
      </c>
      <c r="CE94" s="34">
        <f>IF(AND(CE$5&gt;$E94,CE$5&lt;=$F94),IF(CE$5=$E94+1,$C94,""),"")</f>
        <v/>
      </c>
      <c r="CF94" s="34">
        <f>IF(AND(CF$5&gt;$E94,CF$5&lt;=$F94),IF(CF$5=$E94+1,$C94,""),"")</f>
        <v/>
      </c>
      <c r="CG94" s="34">
        <f>IF(AND(CG$5&gt;$E94,CG$5&lt;=$F94),IF(CG$5=$E94+1,$C94,""),"")</f>
        <v/>
      </c>
      <c r="CH94" s="34">
        <f>IF(AND(CH$5&gt;$E94,CH$5&lt;=$F94),IF(CH$5=$E94+1,$C94,""),"")</f>
        <v/>
      </c>
      <c r="CI94" s="34">
        <f>IF(AND(CI$5&gt;$E94,CI$5&lt;=$F94),IF(CI$5=$E94+1,$C94,""),"")</f>
        <v/>
      </c>
      <c r="CJ94" s="34">
        <f>IF(AND(CJ$5&gt;$E94,CJ$5&lt;=$F94),IF(CJ$5=$E94+1,$C94,""),"")</f>
        <v/>
      </c>
      <c r="CK94" s="34">
        <f>IF(AND(CK$5&gt;$E94,CK$5&lt;=$F94),IF(CK$5=$E94+1,$C94,""),"")</f>
        <v/>
      </c>
      <c r="CL94" s="34">
        <f>IF(AND(CL$5&gt;$E94,CL$5&lt;=$F94),IF(CL$5=$E94+1,$C94,""),"")</f>
        <v/>
      </c>
      <c r="CM94" s="34">
        <f>IF(AND(CM$5&gt;$E94,CM$5&lt;=$F94),IF(CM$5=$E94+1,$C94,""),"")</f>
        <v/>
      </c>
      <c r="CN94" s="34">
        <f>IF(AND(CN$5&gt;$E94,CN$5&lt;=$F94),IF(CN$5=$E94+1,$C94,""),"")</f>
        <v/>
      </c>
      <c r="CO94" s="34">
        <f>IF(AND(CO$5&gt;$E94,CO$5&lt;=$F94),IF(CO$5=$E94+1,$C94,""),"")</f>
        <v/>
      </c>
      <c r="CP94" s="34">
        <f>IF(AND(CP$5&gt;$E94,CP$5&lt;=$F94),IF(CP$5=$E94+1,$C94,""),"")</f>
        <v/>
      </c>
      <c r="CQ94" s="34">
        <f>IF(AND(CQ$5&gt;$E94,CQ$5&lt;=$F94),IF(CQ$5=$E94+1,$C94,""),"")</f>
        <v/>
      </c>
      <c r="CR94" s="34">
        <f>IF(AND(CR$5&gt;$E94,CR$5&lt;=$F94),IF(CR$5=$E94+1,$C94,""),"")</f>
        <v/>
      </c>
      <c r="CS94" s="34">
        <f>IF(AND(CS$5&gt;$E94,CS$5&lt;=$F94),IF(CS$5=$E94+1,$C94,""),"")</f>
        <v/>
      </c>
      <c r="CT94" s="34">
        <f>IF(AND(CT$5&gt;$E94,CT$5&lt;=$F94),IF(CT$5=$E94+1,$C94,""),"")</f>
        <v/>
      </c>
      <c r="CU94" s="34">
        <f>IF(AND(CU$5&gt;$E94,CU$5&lt;=$F94),IF(CU$5=$E94+1,$C94,""),"")</f>
        <v/>
      </c>
      <c r="CV94" s="34">
        <f>IF(AND(CV$5&gt;$E94,CV$5&lt;=$F94),IF(CV$5=$E94+1,$C94,""),"")</f>
        <v/>
      </c>
      <c r="CW94" s="34">
        <f>IF(AND(CW$5&gt;$E94,CW$5&lt;=$F94),IF(CW$5=$E94+1,$C94,""),"")</f>
        <v/>
      </c>
      <c r="CX94" s="34">
        <f>IF(AND(CX$5&gt;$E94,CX$5&lt;=$F94),IF(CX$5=$E94+1,$C94,""),"")</f>
        <v/>
      </c>
      <c r="CY94" s="34">
        <f>IF(AND(CY$5&gt;$E94,CY$5&lt;=$F94),IF(CY$5=$E94+1,$C94,""),"")</f>
        <v/>
      </c>
      <c r="CZ94" s="34">
        <f>IF(AND(CZ$5&gt;$E94,CZ$5&lt;=$F94),IF(CZ$5=$E94+1,$C94,""),"")</f>
        <v/>
      </c>
      <c r="DA94" s="34">
        <f>IF(AND(DA$5&gt;$E94,DA$5&lt;=$F94),IF(DA$5=$E94+1,$C94,""),"")</f>
        <v/>
      </c>
      <c r="DB94" s="34">
        <f>IF(AND(DB$5&gt;$E94,DB$5&lt;=$F94),IF(DB$5=$E94+1,$C94,""),"")</f>
        <v/>
      </c>
      <c r="DC94" s="34">
        <f>IF(AND(DC$5&gt;$E94,DC$5&lt;=$F94),IF(DC$5=$E94+1,$C94,""),"")</f>
        <v/>
      </c>
    </row>
    <row r="95">
      <c r="A95" s="32">
        <f>Plan!A82</f>
        <v/>
      </c>
      <c r="B95" s="33">
        <f>Plan!C82</f>
        <v/>
      </c>
      <c r="C95" s="16">
        <f>Plan!D82</f>
        <v/>
      </c>
      <c r="D95" s="16">
        <f>Plan!I82</f>
        <v/>
      </c>
      <c r="E95" s="16">
        <f>Plan!K82</f>
        <v/>
      </c>
      <c r="F95" s="16">
        <f>Plan!L82</f>
        <v/>
      </c>
      <c r="G95" s="16">
        <f>Plan!O82</f>
        <v/>
      </c>
      <c r="H95" s="34">
        <f>IF(AND(H$5&gt;$E95,H$5&lt;=$F95),IF(H$5=$E95+1,$C95,""),"")</f>
        <v/>
      </c>
      <c r="I95" s="34">
        <f>IF(AND(I$5&gt;$E95,I$5&lt;=$F95),IF(I$5=$E95+1,$C95,""),"")</f>
        <v/>
      </c>
      <c r="J95" s="34">
        <f>IF(AND(J$5&gt;$E95,J$5&lt;=$F95),IF(J$5=$E95+1,$C95,""),"")</f>
        <v/>
      </c>
      <c r="K95" s="34">
        <f>IF(AND(K$5&gt;$E95,K$5&lt;=$F95),IF(K$5=$E95+1,$C95,""),"")</f>
        <v/>
      </c>
      <c r="L95" s="34">
        <f>IF(AND(L$5&gt;$E95,L$5&lt;=$F95),IF(L$5=$E95+1,$C95,""),"")</f>
        <v/>
      </c>
      <c r="M95" s="34">
        <f>IF(AND(M$5&gt;$E95,M$5&lt;=$F95),IF(M$5=$E95+1,$C95,""),"")</f>
        <v/>
      </c>
      <c r="N95" s="34">
        <f>IF(AND(N$5&gt;$E95,N$5&lt;=$F95),IF(N$5=$E95+1,$C95,""),"")</f>
        <v/>
      </c>
      <c r="O95" s="34">
        <f>IF(AND(O$5&gt;$E95,O$5&lt;=$F95),IF(O$5=$E95+1,$C95,""),"")</f>
        <v/>
      </c>
      <c r="P95" s="34">
        <f>IF(AND(P$5&gt;$E95,P$5&lt;=$F95),IF(P$5=$E95+1,$C95,""),"")</f>
        <v/>
      </c>
      <c r="Q95" s="34">
        <f>IF(AND(Q$5&gt;$E95,Q$5&lt;=$F95),IF(Q$5=$E95+1,$C95,""),"")</f>
        <v/>
      </c>
      <c r="R95" s="34">
        <f>IF(AND(R$5&gt;$E95,R$5&lt;=$F95),IF(R$5=$E95+1,$C95,""),"")</f>
        <v/>
      </c>
      <c r="S95" s="34">
        <f>IF(AND(S$5&gt;$E95,S$5&lt;=$F95),IF(S$5=$E95+1,$C95,""),"")</f>
        <v/>
      </c>
      <c r="T95" s="34">
        <f>IF(AND(T$5&gt;$E95,T$5&lt;=$F95),IF(T$5=$E95+1,$C95,""),"")</f>
        <v/>
      </c>
      <c r="U95" s="34">
        <f>IF(AND(U$5&gt;$E95,U$5&lt;=$F95),IF(U$5=$E95+1,$C95,""),"")</f>
        <v/>
      </c>
      <c r="V95" s="34">
        <f>IF(AND(V$5&gt;$E95,V$5&lt;=$F95),IF(V$5=$E95+1,$C95,""),"")</f>
        <v/>
      </c>
      <c r="W95" s="34">
        <f>IF(AND(W$5&gt;$E95,W$5&lt;=$F95),IF(W$5=$E95+1,$C95,""),"")</f>
        <v/>
      </c>
      <c r="X95" s="34">
        <f>IF(AND(X$5&gt;$E95,X$5&lt;=$F95),IF(X$5=$E95+1,$C95,""),"")</f>
        <v/>
      </c>
      <c r="Y95" s="34">
        <f>IF(AND(Y$5&gt;$E95,Y$5&lt;=$F95),IF(Y$5=$E95+1,$C95,""),"")</f>
        <v/>
      </c>
      <c r="Z95" s="34">
        <f>IF(AND(Z$5&gt;$E95,Z$5&lt;=$F95),IF(Z$5=$E95+1,$C95,""),"")</f>
        <v/>
      </c>
      <c r="AA95" s="34">
        <f>IF(AND(AA$5&gt;$E95,AA$5&lt;=$F95),IF(AA$5=$E95+1,$C95,""),"")</f>
        <v/>
      </c>
      <c r="AB95" s="34">
        <f>IF(AND(AB$5&gt;$E95,AB$5&lt;=$F95),IF(AB$5=$E95+1,$C95,""),"")</f>
        <v/>
      </c>
      <c r="AC95" s="34">
        <f>IF(AND(AC$5&gt;$E95,AC$5&lt;=$F95),IF(AC$5=$E95+1,$C95,""),"")</f>
        <v/>
      </c>
      <c r="AD95" s="34">
        <f>IF(AND(AD$5&gt;$E95,AD$5&lt;=$F95),IF(AD$5=$E95+1,$C95,""),"")</f>
        <v/>
      </c>
      <c r="AE95" s="34">
        <f>IF(AND(AE$5&gt;$E95,AE$5&lt;=$F95),IF(AE$5=$E95+1,$C95,""),"")</f>
        <v/>
      </c>
      <c r="AF95" s="34">
        <f>IF(AND(AF$5&gt;$E95,AF$5&lt;=$F95),IF(AF$5=$E95+1,$C95,""),"")</f>
        <v/>
      </c>
      <c r="AG95" s="34">
        <f>IF(AND(AG$5&gt;$E95,AG$5&lt;=$F95),IF(AG$5=$E95+1,$C95,""),"")</f>
        <v/>
      </c>
      <c r="AH95" s="34">
        <f>IF(AND(AH$5&gt;$E95,AH$5&lt;=$F95),IF(AH$5=$E95+1,$C95,""),"")</f>
        <v/>
      </c>
      <c r="AI95" s="34">
        <f>IF(AND(AI$5&gt;$E95,AI$5&lt;=$F95),IF(AI$5=$E95+1,$C95,""),"")</f>
        <v/>
      </c>
      <c r="AJ95" s="34">
        <f>IF(AND(AJ$5&gt;$E95,AJ$5&lt;=$F95),IF(AJ$5=$E95+1,$C95,""),"")</f>
        <v/>
      </c>
      <c r="AK95" s="34">
        <f>IF(AND(AK$5&gt;$E95,AK$5&lt;=$F95),IF(AK$5=$E95+1,$C95,""),"")</f>
        <v/>
      </c>
      <c r="AL95" s="34">
        <f>IF(AND(AL$5&gt;$E95,AL$5&lt;=$F95),IF(AL$5=$E95+1,$C95,""),"")</f>
        <v/>
      </c>
      <c r="AM95" s="34">
        <f>IF(AND(AM$5&gt;$E95,AM$5&lt;=$F95),IF(AM$5=$E95+1,$C95,""),"")</f>
        <v/>
      </c>
      <c r="AN95" s="34">
        <f>IF(AND(AN$5&gt;$E95,AN$5&lt;=$F95),IF(AN$5=$E95+1,$C95,""),"")</f>
        <v/>
      </c>
      <c r="AO95" s="34">
        <f>IF(AND(AO$5&gt;$E95,AO$5&lt;=$F95),IF(AO$5=$E95+1,$C95,""),"")</f>
        <v/>
      </c>
      <c r="AP95" s="34">
        <f>IF(AND(AP$5&gt;$E95,AP$5&lt;=$F95),IF(AP$5=$E95+1,$C95,""),"")</f>
        <v/>
      </c>
      <c r="AQ95" s="34">
        <f>IF(AND(AQ$5&gt;$E95,AQ$5&lt;=$F95),IF(AQ$5=$E95+1,$C95,""),"")</f>
        <v/>
      </c>
      <c r="AR95" s="34">
        <f>IF(AND(AR$5&gt;$E95,AR$5&lt;=$F95),IF(AR$5=$E95+1,$C95,""),"")</f>
        <v/>
      </c>
      <c r="AS95" s="34">
        <f>IF(AND(AS$5&gt;$E95,AS$5&lt;=$F95),IF(AS$5=$E95+1,$C95,""),"")</f>
        <v/>
      </c>
      <c r="AT95" s="34">
        <f>IF(AND(AT$5&gt;$E95,AT$5&lt;=$F95),IF(AT$5=$E95+1,$C95,""),"")</f>
        <v/>
      </c>
      <c r="AU95" s="34">
        <f>IF(AND(AU$5&gt;$E95,AU$5&lt;=$F95),IF(AU$5=$E95+1,$C95,""),"")</f>
        <v/>
      </c>
      <c r="AV95" s="34">
        <f>IF(AND(AV$5&gt;$E95,AV$5&lt;=$F95),IF(AV$5=$E95+1,$C95,""),"")</f>
        <v/>
      </c>
      <c r="AW95" s="34">
        <f>IF(AND(AW$5&gt;$E95,AW$5&lt;=$F95),IF(AW$5=$E95+1,$C95,""),"")</f>
        <v/>
      </c>
      <c r="AX95" s="34">
        <f>IF(AND(AX$5&gt;$E95,AX$5&lt;=$F95),IF(AX$5=$E95+1,$C95,""),"")</f>
        <v/>
      </c>
      <c r="AY95" s="34">
        <f>IF(AND(AY$5&gt;$E95,AY$5&lt;=$F95),IF(AY$5=$E95+1,$C95,""),"")</f>
        <v/>
      </c>
      <c r="AZ95" s="34">
        <f>IF(AND(AZ$5&gt;$E95,AZ$5&lt;=$F95),IF(AZ$5=$E95+1,$C95,""),"")</f>
        <v/>
      </c>
      <c r="BA95" s="34">
        <f>IF(AND(BA$5&gt;$E95,BA$5&lt;=$F95),IF(BA$5=$E95+1,$C95,""),"")</f>
        <v/>
      </c>
      <c r="BB95" s="34">
        <f>IF(AND(BB$5&gt;$E95,BB$5&lt;=$F95),IF(BB$5=$E95+1,$C95,""),"")</f>
        <v/>
      </c>
      <c r="BC95" s="34">
        <f>IF(AND(BC$5&gt;$E95,BC$5&lt;=$F95),IF(BC$5=$E95+1,$C95,""),"")</f>
        <v/>
      </c>
      <c r="BD95" s="34">
        <f>IF(AND(BD$5&gt;$E95,BD$5&lt;=$F95),IF(BD$5=$E95+1,$C95,""),"")</f>
        <v/>
      </c>
      <c r="BE95" s="34">
        <f>IF(AND(BE$5&gt;$E95,BE$5&lt;=$F95),IF(BE$5=$E95+1,$C95,""),"")</f>
        <v/>
      </c>
      <c r="BF95" s="34">
        <f>IF(AND(BF$5&gt;$E95,BF$5&lt;=$F95),IF(BF$5=$E95+1,$C95,""),"")</f>
        <v/>
      </c>
      <c r="BG95" s="34">
        <f>IF(AND(BG$5&gt;$E95,BG$5&lt;=$F95),IF(BG$5=$E95+1,$C95,""),"")</f>
        <v/>
      </c>
      <c r="BH95" s="34">
        <f>IF(AND(BH$5&gt;$E95,BH$5&lt;=$F95),IF(BH$5=$E95+1,$C95,""),"")</f>
        <v/>
      </c>
      <c r="BI95" s="34">
        <f>IF(AND(BI$5&gt;$E95,BI$5&lt;=$F95),IF(BI$5=$E95+1,$C95,""),"")</f>
        <v/>
      </c>
      <c r="BJ95" s="34">
        <f>IF(AND(BJ$5&gt;$E95,BJ$5&lt;=$F95),IF(BJ$5=$E95+1,$C95,""),"")</f>
        <v/>
      </c>
      <c r="BK95" s="34">
        <f>IF(AND(BK$5&gt;$E95,BK$5&lt;=$F95),IF(BK$5=$E95+1,$C95,""),"")</f>
        <v/>
      </c>
      <c r="BL95" s="34">
        <f>IF(AND(BL$5&gt;$E95,BL$5&lt;=$F95),IF(BL$5=$E95+1,$C95,""),"")</f>
        <v/>
      </c>
      <c r="BM95" s="34">
        <f>IF(AND(BM$5&gt;$E95,BM$5&lt;=$F95),IF(BM$5=$E95+1,$C95,""),"")</f>
        <v/>
      </c>
      <c r="BN95" s="34">
        <f>IF(AND(BN$5&gt;$E95,BN$5&lt;=$F95),IF(BN$5=$E95+1,$C95,""),"")</f>
        <v/>
      </c>
      <c r="BO95" s="34">
        <f>IF(AND(BO$5&gt;$E95,BO$5&lt;=$F95),IF(BO$5=$E95+1,$C95,""),"")</f>
        <v/>
      </c>
      <c r="BP95" s="34">
        <f>IF(AND(BP$5&gt;$E95,BP$5&lt;=$F95),IF(BP$5=$E95+1,$C95,""),"")</f>
        <v/>
      </c>
      <c r="BQ95" s="34">
        <f>IF(AND(BQ$5&gt;$E95,BQ$5&lt;=$F95),IF(BQ$5=$E95+1,$C95,""),"")</f>
        <v/>
      </c>
      <c r="BR95" s="34">
        <f>IF(AND(BR$5&gt;$E95,BR$5&lt;=$F95),IF(BR$5=$E95+1,$C95,""),"")</f>
        <v/>
      </c>
      <c r="BS95" s="34">
        <f>IF(AND(BS$5&gt;$E95,BS$5&lt;=$F95),IF(BS$5=$E95+1,$C95,""),"")</f>
        <v/>
      </c>
      <c r="BT95" s="34">
        <f>IF(AND(BT$5&gt;$E95,BT$5&lt;=$F95),IF(BT$5=$E95+1,$C95,""),"")</f>
        <v/>
      </c>
      <c r="BU95" s="34">
        <f>IF(AND(BU$5&gt;$E95,BU$5&lt;=$F95),IF(BU$5=$E95+1,$C95,""),"")</f>
        <v/>
      </c>
      <c r="BV95" s="34">
        <f>IF(AND(BV$5&gt;$E95,BV$5&lt;=$F95),IF(BV$5=$E95+1,$C95,""),"")</f>
        <v/>
      </c>
      <c r="BW95" s="34">
        <f>IF(AND(BW$5&gt;$E95,BW$5&lt;=$F95),IF(BW$5=$E95+1,$C95,""),"")</f>
        <v/>
      </c>
      <c r="BX95" s="34">
        <f>IF(AND(BX$5&gt;$E95,BX$5&lt;=$F95),IF(BX$5=$E95+1,$C95,""),"")</f>
        <v/>
      </c>
      <c r="BY95" s="34">
        <f>IF(AND(BY$5&gt;$E95,BY$5&lt;=$F95),IF(BY$5=$E95+1,$C95,""),"")</f>
        <v/>
      </c>
      <c r="BZ95" s="34">
        <f>IF(AND(BZ$5&gt;$E95,BZ$5&lt;=$F95),IF(BZ$5=$E95+1,$C95,""),"")</f>
        <v/>
      </c>
      <c r="CA95" s="34">
        <f>IF(AND(CA$5&gt;$E95,CA$5&lt;=$F95),IF(CA$5=$E95+1,$C95,""),"")</f>
        <v/>
      </c>
      <c r="CB95" s="34">
        <f>IF(AND(CB$5&gt;$E95,CB$5&lt;=$F95),IF(CB$5=$E95+1,$C95,""),"")</f>
        <v/>
      </c>
      <c r="CC95" s="34">
        <f>IF(AND(CC$5&gt;$E95,CC$5&lt;=$F95),IF(CC$5=$E95+1,$C95,""),"")</f>
        <v/>
      </c>
      <c r="CD95" s="34">
        <f>IF(AND(CD$5&gt;$E95,CD$5&lt;=$F95),IF(CD$5=$E95+1,$C95,""),"")</f>
        <v/>
      </c>
      <c r="CE95" s="34">
        <f>IF(AND(CE$5&gt;$E95,CE$5&lt;=$F95),IF(CE$5=$E95+1,$C95,""),"")</f>
        <v/>
      </c>
      <c r="CF95" s="34">
        <f>IF(AND(CF$5&gt;$E95,CF$5&lt;=$F95),IF(CF$5=$E95+1,$C95,""),"")</f>
        <v/>
      </c>
      <c r="CG95" s="34">
        <f>IF(AND(CG$5&gt;$E95,CG$5&lt;=$F95),IF(CG$5=$E95+1,$C95,""),"")</f>
        <v/>
      </c>
      <c r="CH95" s="34">
        <f>IF(AND(CH$5&gt;$E95,CH$5&lt;=$F95),IF(CH$5=$E95+1,$C95,""),"")</f>
        <v/>
      </c>
      <c r="CI95" s="34">
        <f>IF(AND(CI$5&gt;$E95,CI$5&lt;=$F95),IF(CI$5=$E95+1,$C95,""),"")</f>
        <v/>
      </c>
      <c r="CJ95" s="34">
        <f>IF(AND(CJ$5&gt;$E95,CJ$5&lt;=$F95),IF(CJ$5=$E95+1,$C95,""),"")</f>
        <v/>
      </c>
      <c r="CK95" s="34">
        <f>IF(AND(CK$5&gt;$E95,CK$5&lt;=$F95),IF(CK$5=$E95+1,$C95,""),"")</f>
        <v/>
      </c>
      <c r="CL95" s="34">
        <f>IF(AND(CL$5&gt;$E95,CL$5&lt;=$F95),IF(CL$5=$E95+1,$C95,""),"")</f>
        <v/>
      </c>
      <c r="CM95" s="34">
        <f>IF(AND(CM$5&gt;$E95,CM$5&lt;=$F95),IF(CM$5=$E95+1,$C95,""),"")</f>
        <v/>
      </c>
      <c r="CN95" s="34">
        <f>IF(AND(CN$5&gt;$E95,CN$5&lt;=$F95),IF(CN$5=$E95+1,$C95,""),"")</f>
        <v/>
      </c>
      <c r="CO95" s="34">
        <f>IF(AND(CO$5&gt;$E95,CO$5&lt;=$F95),IF(CO$5=$E95+1,$C95,""),"")</f>
        <v/>
      </c>
      <c r="CP95" s="34">
        <f>IF(AND(CP$5&gt;$E95,CP$5&lt;=$F95),IF(CP$5=$E95+1,$C95,""),"")</f>
        <v/>
      </c>
      <c r="CQ95" s="34">
        <f>IF(AND(CQ$5&gt;$E95,CQ$5&lt;=$F95),IF(CQ$5=$E95+1,$C95,""),"")</f>
        <v/>
      </c>
      <c r="CR95" s="34">
        <f>IF(AND(CR$5&gt;$E95,CR$5&lt;=$F95),IF(CR$5=$E95+1,$C95,""),"")</f>
        <v/>
      </c>
      <c r="CS95" s="34">
        <f>IF(AND(CS$5&gt;$E95,CS$5&lt;=$F95),IF(CS$5=$E95+1,$C95,""),"")</f>
        <v/>
      </c>
      <c r="CT95" s="34">
        <f>IF(AND(CT$5&gt;$E95,CT$5&lt;=$F95),IF(CT$5=$E95+1,$C95,""),"")</f>
        <v/>
      </c>
      <c r="CU95" s="34">
        <f>IF(AND(CU$5&gt;$E95,CU$5&lt;=$F95),IF(CU$5=$E95+1,$C95,""),"")</f>
        <v/>
      </c>
      <c r="CV95" s="34">
        <f>IF(AND(CV$5&gt;$E95,CV$5&lt;=$F95),IF(CV$5=$E95+1,$C95,""),"")</f>
        <v/>
      </c>
      <c r="CW95" s="34">
        <f>IF(AND(CW$5&gt;$E95,CW$5&lt;=$F95),IF(CW$5=$E95+1,$C95,""),"")</f>
        <v/>
      </c>
      <c r="CX95" s="34">
        <f>IF(AND(CX$5&gt;$E95,CX$5&lt;=$F95),IF(CX$5=$E95+1,$C95,""),"")</f>
        <v/>
      </c>
      <c r="CY95" s="34">
        <f>IF(AND(CY$5&gt;$E95,CY$5&lt;=$F95),IF(CY$5=$E95+1,$C95,""),"")</f>
        <v/>
      </c>
      <c r="CZ95" s="34">
        <f>IF(AND(CZ$5&gt;$E95,CZ$5&lt;=$F95),IF(CZ$5=$E95+1,$C95,""),"")</f>
        <v/>
      </c>
      <c r="DA95" s="34">
        <f>IF(AND(DA$5&gt;$E95,DA$5&lt;=$F95),IF(DA$5=$E95+1,$C95,""),"")</f>
        <v/>
      </c>
      <c r="DB95" s="34">
        <f>IF(AND(DB$5&gt;$E95,DB$5&lt;=$F95),IF(DB$5=$E95+1,$C95,""),"")</f>
        <v/>
      </c>
      <c r="DC95" s="34">
        <f>IF(AND(DC$5&gt;$E95,DC$5&lt;=$F95),IF(DC$5=$E95+1,$C95,""),"")</f>
        <v/>
      </c>
    </row>
    <row r="96">
      <c r="A96" s="32">
        <f>Plan!A83</f>
        <v/>
      </c>
      <c r="B96" s="33">
        <f>Plan!C83</f>
        <v/>
      </c>
      <c r="C96" s="16">
        <f>Plan!D83</f>
        <v/>
      </c>
      <c r="D96" s="16">
        <f>Plan!I83</f>
        <v/>
      </c>
      <c r="E96" s="16">
        <f>Plan!K83</f>
        <v/>
      </c>
      <c r="F96" s="16">
        <f>Plan!L83</f>
        <v/>
      </c>
      <c r="G96" s="16">
        <f>Plan!O83</f>
        <v/>
      </c>
      <c r="H96" s="34">
        <f>IF(AND(H$5&gt;$E96,H$5&lt;=$F96),IF(H$5=$E96+1,$C96,""),"")</f>
        <v/>
      </c>
      <c r="I96" s="34">
        <f>IF(AND(I$5&gt;$E96,I$5&lt;=$F96),IF(I$5=$E96+1,$C96,""),"")</f>
        <v/>
      </c>
      <c r="J96" s="34">
        <f>IF(AND(J$5&gt;$E96,J$5&lt;=$F96),IF(J$5=$E96+1,$C96,""),"")</f>
        <v/>
      </c>
      <c r="K96" s="34">
        <f>IF(AND(K$5&gt;$E96,K$5&lt;=$F96),IF(K$5=$E96+1,$C96,""),"")</f>
        <v/>
      </c>
      <c r="L96" s="34">
        <f>IF(AND(L$5&gt;$E96,L$5&lt;=$F96),IF(L$5=$E96+1,$C96,""),"")</f>
        <v/>
      </c>
      <c r="M96" s="34">
        <f>IF(AND(M$5&gt;$E96,M$5&lt;=$F96),IF(M$5=$E96+1,$C96,""),"")</f>
        <v/>
      </c>
      <c r="N96" s="34">
        <f>IF(AND(N$5&gt;$E96,N$5&lt;=$F96),IF(N$5=$E96+1,$C96,""),"")</f>
        <v/>
      </c>
      <c r="O96" s="34">
        <f>IF(AND(O$5&gt;$E96,O$5&lt;=$F96),IF(O$5=$E96+1,$C96,""),"")</f>
        <v/>
      </c>
      <c r="P96" s="34">
        <f>IF(AND(P$5&gt;$E96,P$5&lt;=$F96),IF(P$5=$E96+1,$C96,""),"")</f>
        <v/>
      </c>
      <c r="Q96" s="34">
        <f>IF(AND(Q$5&gt;$E96,Q$5&lt;=$F96),IF(Q$5=$E96+1,$C96,""),"")</f>
        <v/>
      </c>
      <c r="R96" s="34">
        <f>IF(AND(R$5&gt;$E96,R$5&lt;=$F96),IF(R$5=$E96+1,$C96,""),"")</f>
        <v/>
      </c>
      <c r="S96" s="34">
        <f>IF(AND(S$5&gt;$E96,S$5&lt;=$F96),IF(S$5=$E96+1,$C96,""),"")</f>
        <v/>
      </c>
      <c r="T96" s="34">
        <f>IF(AND(T$5&gt;$E96,T$5&lt;=$F96),IF(T$5=$E96+1,$C96,""),"")</f>
        <v/>
      </c>
      <c r="U96" s="34">
        <f>IF(AND(U$5&gt;$E96,U$5&lt;=$F96),IF(U$5=$E96+1,$C96,""),"")</f>
        <v/>
      </c>
      <c r="V96" s="34">
        <f>IF(AND(V$5&gt;$E96,V$5&lt;=$F96),IF(V$5=$E96+1,$C96,""),"")</f>
        <v/>
      </c>
      <c r="W96" s="34">
        <f>IF(AND(W$5&gt;$E96,W$5&lt;=$F96),IF(W$5=$E96+1,$C96,""),"")</f>
        <v/>
      </c>
      <c r="X96" s="34">
        <f>IF(AND(X$5&gt;$E96,X$5&lt;=$F96),IF(X$5=$E96+1,$C96,""),"")</f>
        <v/>
      </c>
      <c r="Y96" s="34">
        <f>IF(AND(Y$5&gt;$E96,Y$5&lt;=$F96),IF(Y$5=$E96+1,$C96,""),"")</f>
        <v/>
      </c>
      <c r="Z96" s="34">
        <f>IF(AND(Z$5&gt;$E96,Z$5&lt;=$F96),IF(Z$5=$E96+1,$C96,""),"")</f>
        <v/>
      </c>
      <c r="AA96" s="34">
        <f>IF(AND(AA$5&gt;$E96,AA$5&lt;=$F96),IF(AA$5=$E96+1,$C96,""),"")</f>
        <v/>
      </c>
      <c r="AB96" s="34">
        <f>IF(AND(AB$5&gt;$E96,AB$5&lt;=$F96),IF(AB$5=$E96+1,$C96,""),"")</f>
        <v/>
      </c>
      <c r="AC96" s="34">
        <f>IF(AND(AC$5&gt;$E96,AC$5&lt;=$F96),IF(AC$5=$E96+1,$C96,""),"")</f>
        <v/>
      </c>
      <c r="AD96" s="34">
        <f>IF(AND(AD$5&gt;$E96,AD$5&lt;=$F96),IF(AD$5=$E96+1,$C96,""),"")</f>
        <v/>
      </c>
      <c r="AE96" s="34">
        <f>IF(AND(AE$5&gt;$E96,AE$5&lt;=$F96),IF(AE$5=$E96+1,$C96,""),"")</f>
        <v/>
      </c>
      <c r="AF96" s="34">
        <f>IF(AND(AF$5&gt;$E96,AF$5&lt;=$F96),IF(AF$5=$E96+1,$C96,""),"")</f>
        <v/>
      </c>
      <c r="AG96" s="34">
        <f>IF(AND(AG$5&gt;$E96,AG$5&lt;=$F96),IF(AG$5=$E96+1,$C96,""),"")</f>
        <v/>
      </c>
      <c r="AH96" s="34">
        <f>IF(AND(AH$5&gt;$E96,AH$5&lt;=$F96),IF(AH$5=$E96+1,$C96,""),"")</f>
        <v/>
      </c>
      <c r="AI96" s="34">
        <f>IF(AND(AI$5&gt;$E96,AI$5&lt;=$F96),IF(AI$5=$E96+1,$C96,""),"")</f>
        <v/>
      </c>
      <c r="AJ96" s="34">
        <f>IF(AND(AJ$5&gt;$E96,AJ$5&lt;=$F96),IF(AJ$5=$E96+1,$C96,""),"")</f>
        <v/>
      </c>
      <c r="AK96" s="34">
        <f>IF(AND(AK$5&gt;$E96,AK$5&lt;=$F96),IF(AK$5=$E96+1,$C96,""),"")</f>
        <v/>
      </c>
      <c r="AL96" s="34">
        <f>IF(AND(AL$5&gt;$E96,AL$5&lt;=$F96),IF(AL$5=$E96+1,$C96,""),"")</f>
        <v/>
      </c>
      <c r="AM96" s="34">
        <f>IF(AND(AM$5&gt;$E96,AM$5&lt;=$F96),IF(AM$5=$E96+1,$C96,""),"")</f>
        <v/>
      </c>
      <c r="AN96" s="34">
        <f>IF(AND(AN$5&gt;$E96,AN$5&lt;=$F96),IF(AN$5=$E96+1,$C96,""),"")</f>
        <v/>
      </c>
      <c r="AO96" s="34">
        <f>IF(AND(AO$5&gt;$E96,AO$5&lt;=$F96),IF(AO$5=$E96+1,$C96,""),"")</f>
        <v/>
      </c>
      <c r="AP96" s="34">
        <f>IF(AND(AP$5&gt;$E96,AP$5&lt;=$F96),IF(AP$5=$E96+1,$C96,""),"")</f>
        <v/>
      </c>
      <c r="AQ96" s="34">
        <f>IF(AND(AQ$5&gt;$E96,AQ$5&lt;=$F96),IF(AQ$5=$E96+1,$C96,""),"")</f>
        <v/>
      </c>
      <c r="AR96" s="34">
        <f>IF(AND(AR$5&gt;$E96,AR$5&lt;=$F96),IF(AR$5=$E96+1,$C96,""),"")</f>
        <v/>
      </c>
      <c r="AS96" s="34">
        <f>IF(AND(AS$5&gt;$E96,AS$5&lt;=$F96),IF(AS$5=$E96+1,$C96,""),"")</f>
        <v/>
      </c>
      <c r="AT96" s="34">
        <f>IF(AND(AT$5&gt;$E96,AT$5&lt;=$F96),IF(AT$5=$E96+1,$C96,""),"")</f>
        <v/>
      </c>
      <c r="AU96" s="34">
        <f>IF(AND(AU$5&gt;$E96,AU$5&lt;=$F96),IF(AU$5=$E96+1,$C96,""),"")</f>
        <v/>
      </c>
      <c r="AV96" s="34">
        <f>IF(AND(AV$5&gt;$E96,AV$5&lt;=$F96),IF(AV$5=$E96+1,$C96,""),"")</f>
        <v/>
      </c>
      <c r="AW96" s="34">
        <f>IF(AND(AW$5&gt;$E96,AW$5&lt;=$F96),IF(AW$5=$E96+1,$C96,""),"")</f>
        <v/>
      </c>
      <c r="AX96" s="34">
        <f>IF(AND(AX$5&gt;$E96,AX$5&lt;=$F96),IF(AX$5=$E96+1,$C96,""),"")</f>
        <v/>
      </c>
      <c r="AY96" s="34">
        <f>IF(AND(AY$5&gt;$E96,AY$5&lt;=$F96),IF(AY$5=$E96+1,$C96,""),"")</f>
        <v/>
      </c>
      <c r="AZ96" s="34">
        <f>IF(AND(AZ$5&gt;$E96,AZ$5&lt;=$F96),IF(AZ$5=$E96+1,$C96,""),"")</f>
        <v/>
      </c>
      <c r="BA96" s="34">
        <f>IF(AND(BA$5&gt;$E96,BA$5&lt;=$F96),IF(BA$5=$E96+1,$C96,""),"")</f>
        <v/>
      </c>
      <c r="BB96" s="34">
        <f>IF(AND(BB$5&gt;$E96,BB$5&lt;=$F96),IF(BB$5=$E96+1,$C96,""),"")</f>
        <v/>
      </c>
      <c r="BC96" s="34">
        <f>IF(AND(BC$5&gt;$E96,BC$5&lt;=$F96),IF(BC$5=$E96+1,$C96,""),"")</f>
        <v/>
      </c>
      <c r="BD96" s="34">
        <f>IF(AND(BD$5&gt;$E96,BD$5&lt;=$F96),IF(BD$5=$E96+1,$C96,""),"")</f>
        <v/>
      </c>
      <c r="BE96" s="34">
        <f>IF(AND(BE$5&gt;$E96,BE$5&lt;=$F96),IF(BE$5=$E96+1,$C96,""),"")</f>
        <v/>
      </c>
      <c r="BF96" s="34">
        <f>IF(AND(BF$5&gt;$E96,BF$5&lt;=$F96),IF(BF$5=$E96+1,$C96,""),"")</f>
        <v/>
      </c>
      <c r="BG96" s="34">
        <f>IF(AND(BG$5&gt;$E96,BG$5&lt;=$F96),IF(BG$5=$E96+1,$C96,""),"")</f>
        <v/>
      </c>
      <c r="BH96" s="34">
        <f>IF(AND(BH$5&gt;$E96,BH$5&lt;=$F96),IF(BH$5=$E96+1,$C96,""),"")</f>
        <v/>
      </c>
      <c r="BI96" s="34">
        <f>IF(AND(BI$5&gt;$E96,BI$5&lt;=$F96),IF(BI$5=$E96+1,$C96,""),"")</f>
        <v/>
      </c>
      <c r="BJ96" s="34">
        <f>IF(AND(BJ$5&gt;$E96,BJ$5&lt;=$F96),IF(BJ$5=$E96+1,$C96,""),"")</f>
        <v/>
      </c>
      <c r="BK96" s="34">
        <f>IF(AND(BK$5&gt;$E96,BK$5&lt;=$F96),IF(BK$5=$E96+1,$C96,""),"")</f>
        <v/>
      </c>
      <c r="BL96" s="34">
        <f>IF(AND(BL$5&gt;$E96,BL$5&lt;=$F96),IF(BL$5=$E96+1,$C96,""),"")</f>
        <v/>
      </c>
      <c r="BM96" s="34">
        <f>IF(AND(BM$5&gt;$E96,BM$5&lt;=$F96),IF(BM$5=$E96+1,$C96,""),"")</f>
        <v/>
      </c>
      <c r="BN96" s="34">
        <f>IF(AND(BN$5&gt;$E96,BN$5&lt;=$F96),IF(BN$5=$E96+1,$C96,""),"")</f>
        <v/>
      </c>
      <c r="BO96" s="34">
        <f>IF(AND(BO$5&gt;$E96,BO$5&lt;=$F96),IF(BO$5=$E96+1,$C96,""),"")</f>
        <v/>
      </c>
      <c r="BP96" s="34">
        <f>IF(AND(BP$5&gt;$E96,BP$5&lt;=$F96),IF(BP$5=$E96+1,$C96,""),"")</f>
        <v/>
      </c>
      <c r="BQ96" s="34">
        <f>IF(AND(BQ$5&gt;$E96,BQ$5&lt;=$F96),IF(BQ$5=$E96+1,$C96,""),"")</f>
        <v/>
      </c>
      <c r="BR96" s="34">
        <f>IF(AND(BR$5&gt;$E96,BR$5&lt;=$F96),IF(BR$5=$E96+1,$C96,""),"")</f>
        <v/>
      </c>
      <c r="BS96" s="34">
        <f>IF(AND(BS$5&gt;$E96,BS$5&lt;=$F96),IF(BS$5=$E96+1,$C96,""),"")</f>
        <v/>
      </c>
      <c r="BT96" s="34">
        <f>IF(AND(BT$5&gt;$E96,BT$5&lt;=$F96),IF(BT$5=$E96+1,$C96,""),"")</f>
        <v/>
      </c>
      <c r="BU96" s="34">
        <f>IF(AND(BU$5&gt;$E96,BU$5&lt;=$F96),IF(BU$5=$E96+1,$C96,""),"")</f>
        <v/>
      </c>
      <c r="BV96" s="34">
        <f>IF(AND(BV$5&gt;$E96,BV$5&lt;=$F96),IF(BV$5=$E96+1,$C96,""),"")</f>
        <v/>
      </c>
      <c r="BW96" s="34">
        <f>IF(AND(BW$5&gt;$E96,BW$5&lt;=$F96),IF(BW$5=$E96+1,$C96,""),"")</f>
        <v/>
      </c>
      <c r="BX96" s="34">
        <f>IF(AND(BX$5&gt;$E96,BX$5&lt;=$F96),IF(BX$5=$E96+1,$C96,""),"")</f>
        <v/>
      </c>
      <c r="BY96" s="34">
        <f>IF(AND(BY$5&gt;$E96,BY$5&lt;=$F96),IF(BY$5=$E96+1,$C96,""),"")</f>
        <v/>
      </c>
      <c r="BZ96" s="34">
        <f>IF(AND(BZ$5&gt;$E96,BZ$5&lt;=$F96),IF(BZ$5=$E96+1,$C96,""),"")</f>
        <v/>
      </c>
      <c r="CA96" s="34">
        <f>IF(AND(CA$5&gt;$E96,CA$5&lt;=$F96),IF(CA$5=$E96+1,$C96,""),"")</f>
        <v/>
      </c>
      <c r="CB96" s="34">
        <f>IF(AND(CB$5&gt;$E96,CB$5&lt;=$F96),IF(CB$5=$E96+1,$C96,""),"")</f>
        <v/>
      </c>
      <c r="CC96" s="34">
        <f>IF(AND(CC$5&gt;$E96,CC$5&lt;=$F96),IF(CC$5=$E96+1,$C96,""),"")</f>
        <v/>
      </c>
      <c r="CD96" s="34">
        <f>IF(AND(CD$5&gt;$E96,CD$5&lt;=$F96),IF(CD$5=$E96+1,$C96,""),"")</f>
        <v/>
      </c>
      <c r="CE96" s="34">
        <f>IF(AND(CE$5&gt;$E96,CE$5&lt;=$F96),IF(CE$5=$E96+1,$C96,""),"")</f>
        <v/>
      </c>
      <c r="CF96" s="34">
        <f>IF(AND(CF$5&gt;$E96,CF$5&lt;=$F96),IF(CF$5=$E96+1,$C96,""),"")</f>
        <v/>
      </c>
      <c r="CG96" s="34">
        <f>IF(AND(CG$5&gt;$E96,CG$5&lt;=$F96),IF(CG$5=$E96+1,$C96,""),"")</f>
        <v/>
      </c>
      <c r="CH96" s="34">
        <f>IF(AND(CH$5&gt;$E96,CH$5&lt;=$F96),IF(CH$5=$E96+1,$C96,""),"")</f>
        <v/>
      </c>
      <c r="CI96" s="34">
        <f>IF(AND(CI$5&gt;$E96,CI$5&lt;=$F96),IF(CI$5=$E96+1,$C96,""),"")</f>
        <v/>
      </c>
      <c r="CJ96" s="34">
        <f>IF(AND(CJ$5&gt;$E96,CJ$5&lt;=$F96),IF(CJ$5=$E96+1,$C96,""),"")</f>
        <v/>
      </c>
      <c r="CK96" s="34">
        <f>IF(AND(CK$5&gt;$E96,CK$5&lt;=$F96),IF(CK$5=$E96+1,$C96,""),"")</f>
        <v/>
      </c>
      <c r="CL96" s="34">
        <f>IF(AND(CL$5&gt;$E96,CL$5&lt;=$F96),IF(CL$5=$E96+1,$C96,""),"")</f>
        <v/>
      </c>
      <c r="CM96" s="34">
        <f>IF(AND(CM$5&gt;$E96,CM$5&lt;=$F96),IF(CM$5=$E96+1,$C96,""),"")</f>
        <v/>
      </c>
      <c r="CN96" s="34">
        <f>IF(AND(CN$5&gt;$E96,CN$5&lt;=$F96),IF(CN$5=$E96+1,$C96,""),"")</f>
        <v/>
      </c>
      <c r="CO96" s="34">
        <f>IF(AND(CO$5&gt;$E96,CO$5&lt;=$F96),IF(CO$5=$E96+1,$C96,""),"")</f>
        <v/>
      </c>
      <c r="CP96" s="34">
        <f>IF(AND(CP$5&gt;$E96,CP$5&lt;=$F96),IF(CP$5=$E96+1,$C96,""),"")</f>
        <v/>
      </c>
      <c r="CQ96" s="34">
        <f>IF(AND(CQ$5&gt;$E96,CQ$5&lt;=$F96),IF(CQ$5=$E96+1,$C96,""),"")</f>
        <v/>
      </c>
      <c r="CR96" s="34">
        <f>IF(AND(CR$5&gt;$E96,CR$5&lt;=$F96),IF(CR$5=$E96+1,$C96,""),"")</f>
        <v/>
      </c>
      <c r="CS96" s="34">
        <f>IF(AND(CS$5&gt;$E96,CS$5&lt;=$F96),IF(CS$5=$E96+1,$C96,""),"")</f>
        <v/>
      </c>
      <c r="CT96" s="34">
        <f>IF(AND(CT$5&gt;$E96,CT$5&lt;=$F96),IF(CT$5=$E96+1,$C96,""),"")</f>
        <v/>
      </c>
      <c r="CU96" s="34">
        <f>IF(AND(CU$5&gt;$E96,CU$5&lt;=$F96),IF(CU$5=$E96+1,$C96,""),"")</f>
        <v/>
      </c>
      <c r="CV96" s="34">
        <f>IF(AND(CV$5&gt;$E96,CV$5&lt;=$F96),IF(CV$5=$E96+1,$C96,""),"")</f>
        <v/>
      </c>
      <c r="CW96" s="34">
        <f>IF(AND(CW$5&gt;$E96,CW$5&lt;=$F96),IF(CW$5=$E96+1,$C96,""),"")</f>
        <v/>
      </c>
      <c r="CX96" s="34">
        <f>IF(AND(CX$5&gt;$E96,CX$5&lt;=$F96),IF(CX$5=$E96+1,$C96,""),"")</f>
        <v/>
      </c>
      <c r="CY96" s="34">
        <f>IF(AND(CY$5&gt;$E96,CY$5&lt;=$F96),IF(CY$5=$E96+1,$C96,""),"")</f>
        <v/>
      </c>
      <c r="CZ96" s="34">
        <f>IF(AND(CZ$5&gt;$E96,CZ$5&lt;=$F96),IF(CZ$5=$E96+1,$C96,""),"")</f>
        <v/>
      </c>
      <c r="DA96" s="34">
        <f>IF(AND(DA$5&gt;$E96,DA$5&lt;=$F96),IF(DA$5=$E96+1,$C96,""),"")</f>
        <v/>
      </c>
      <c r="DB96" s="34">
        <f>IF(AND(DB$5&gt;$E96,DB$5&lt;=$F96),IF(DB$5=$E96+1,$C96,""),"")</f>
        <v/>
      </c>
      <c r="DC96" s="34">
        <f>IF(AND(DC$5&gt;$E96,DC$5&lt;=$F96),IF(DC$5=$E96+1,$C96,""),"")</f>
        <v/>
      </c>
    </row>
    <row r="97">
      <c r="A97" s="32">
        <f>Plan!A87</f>
        <v/>
      </c>
      <c r="B97" s="33">
        <f>Plan!C87</f>
        <v/>
      </c>
      <c r="C97" s="16">
        <f>Plan!D87</f>
        <v/>
      </c>
      <c r="D97" s="16">
        <f>Plan!I87</f>
        <v/>
      </c>
      <c r="E97" s="16">
        <f>Plan!K87</f>
        <v/>
      </c>
      <c r="F97" s="16">
        <f>Plan!L87</f>
        <v/>
      </c>
      <c r="G97" s="16">
        <f>Plan!O87</f>
        <v/>
      </c>
      <c r="H97" s="34">
        <f>IF(AND(H$5&gt;$E97,H$5&lt;=$F97),IF(H$5=$E97+1,$C97,""),"")</f>
        <v/>
      </c>
      <c r="I97" s="34">
        <f>IF(AND(I$5&gt;$E97,I$5&lt;=$F97),IF(I$5=$E97+1,$C97,""),"")</f>
        <v/>
      </c>
      <c r="J97" s="34">
        <f>IF(AND(J$5&gt;$E97,J$5&lt;=$F97),IF(J$5=$E97+1,$C97,""),"")</f>
        <v/>
      </c>
      <c r="K97" s="34">
        <f>IF(AND(K$5&gt;$E97,K$5&lt;=$F97),IF(K$5=$E97+1,$C97,""),"")</f>
        <v/>
      </c>
      <c r="L97" s="34">
        <f>IF(AND(L$5&gt;$E97,L$5&lt;=$F97),IF(L$5=$E97+1,$C97,""),"")</f>
        <v/>
      </c>
      <c r="M97" s="34">
        <f>IF(AND(M$5&gt;$E97,M$5&lt;=$F97),IF(M$5=$E97+1,$C97,""),"")</f>
        <v/>
      </c>
      <c r="N97" s="34">
        <f>IF(AND(N$5&gt;$E97,N$5&lt;=$F97),IF(N$5=$E97+1,$C97,""),"")</f>
        <v/>
      </c>
      <c r="O97" s="34">
        <f>IF(AND(O$5&gt;$E97,O$5&lt;=$F97),IF(O$5=$E97+1,$C97,""),"")</f>
        <v/>
      </c>
      <c r="P97" s="34">
        <f>IF(AND(P$5&gt;$E97,P$5&lt;=$F97),IF(P$5=$E97+1,$C97,""),"")</f>
        <v/>
      </c>
      <c r="Q97" s="34">
        <f>IF(AND(Q$5&gt;$E97,Q$5&lt;=$F97),IF(Q$5=$E97+1,$C97,""),"")</f>
        <v/>
      </c>
      <c r="R97" s="34">
        <f>IF(AND(R$5&gt;$E97,R$5&lt;=$F97),IF(R$5=$E97+1,$C97,""),"")</f>
        <v/>
      </c>
      <c r="S97" s="34">
        <f>IF(AND(S$5&gt;$E97,S$5&lt;=$F97),IF(S$5=$E97+1,$C97,""),"")</f>
        <v/>
      </c>
      <c r="T97" s="34">
        <f>IF(AND(T$5&gt;$E97,T$5&lt;=$F97),IF(T$5=$E97+1,$C97,""),"")</f>
        <v/>
      </c>
      <c r="U97" s="34">
        <f>IF(AND(U$5&gt;$E97,U$5&lt;=$F97),IF(U$5=$E97+1,$C97,""),"")</f>
        <v/>
      </c>
      <c r="V97" s="34">
        <f>IF(AND(V$5&gt;$E97,V$5&lt;=$F97),IF(V$5=$E97+1,$C97,""),"")</f>
        <v/>
      </c>
      <c r="W97" s="34">
        <f>IF(AND(W$5&gt;$E97,W$5&lt;=$F97),IF(W$5=$E97+1,$C97,""),"")</f>
        <v/>
      </c>
      <c r="X97" s="34">
        <f>IF(AND(X$5&gt;$E97,X$5&lt;=$F97),IF(X$5=$E97+1,$C97,""),"")</f>
        <v/>
      </c>
      <c r="Y97" s="34">
        <f>IF(AND(Y$5&gt;$E97,Y$5&lt;=$F97),IF(Y$5=$E97+1,$C97,""),"")</f>
        <v/>
      </c>
      <c r="Z97" s="34">
        <f>IF(AND(Z$5&gt;$E97,Z$5&lt;=$F97),IF(Z$5=$E97+1,$C97,""),"")</f>
        <v/>
      </c>
      <c r="AA97" s="34">
        <f>IF(AND(AA$5&gt;$E97,AA$5&lt;=$F97),IF(AA$5=$E97+1,$C97,""),"")</f>
        <v/>
      </c>
      <c r="AB97" s="34">
        <f>IF(AND(AB$5&gt;$E97,AB$5&lt;=$F97),IF(AB$5=$E97+1,$C97,""),"")</f>
        <v/>
      </c>
      <c r="AC97" s="34">
        <f>IF(AND(AC$5&gt;$E97,AC$5&lt;=$F97),IF(AC$5=$E97+1,$C97,""),"")</f>
        <v/>
      </c>
      <c r="AD97" s="34">
        <f>IF(AND(AD$5&gt;$E97,AD$5&lt;=$F97),IF(AD$5=$E97+1,$C97,""),"")</f>
        <v/>
      </c>
      <c r="AE97" s="34">
        <f>IF(AND(AE$5&gt;$E97,AE$5&lt;=$F97),IF(AE$5=$E97+1,$C97,""),"")</f>
        <v/>
      </c>
      <c r="AF97" s="34">
        <f>IF(AND(AF$5&gt;$E97,AF$5&lt;=$F97),IF(AF$5=$E97+1,$C97,""),"")</f>
        <v/>
      </c>
      <c r="AG97" s="34">
        <f>IF(AND(AG$5&gt;$E97,AG$5&lt;=$F97),IF(AG$5=$E97+1,$C97,""),"")</f>
        <v/>
      </c>
      <c r="AH97" s="34">
        <f>IF(AND(AH$5&gt;$E97,AH$5&lt;=$F97),IF(AH$5=$E97+1,$C97,""),"")</f>
        <v/>
      </c>
      <c r="AI97" s="34">
        <f>IF(AND(AI$5&gt;$E97,AI$5&lt;=$F97),IF(AI$5=$E97+1,$C97,""),"")</f>
        <v/>
      </c>
      <c r="AJ97" s="34">
        <f>IF(AND(AJ$5&gt;$E97,AJ$5&lt;=$F97),IF(AJ$5=$E97+1,$C97,""),"")</f>
        <v/>
      </c>
      <c r="AK97" s="34">
        <f>IF(AND(AK$5&gt;$E97,AK$5&lt;=$F97),IF(AK$5=$E97+1,$C97,""),"")</f>
        <v/>
      </c>
      <c r="AL97" s="34">
        <f>IF(AND(AL$5&gt;$E97,AL$5&lt;=$F97),IF(AL$5=$E97+1,$C97,""),"")</f>
        <v/>
      </c>
      <c r="AM97" s="34">
        <f>IF(AND(AM$5&gt;$E97,AM$5&lt;=$F97),IF(AM$5=$E97+1,$C97,""),"")</f>
        <v/>
      </c>
      <c r="AN97" s="34">
        <f>IF(AND(AN$5&gt;$E97,AN$5&lt;=$F97),IF(AN$5=$E97+1,$C97,""),"")</f>
        <v/>
      </c>
      <c r="AO97" s="34">
        <f>IF(AND(AO$5&gt;$E97,AO$5&lt;=$F97),IF(AO$5=$E97+1,$C97,""),"")</f>
        <v/>
      </c>
      <c r="AP97" s="34">
        <f>IF(AND(AP$5&gt;$E97,AP$5&lt;=$F97),IF(AP$5=$E97+1,$C97,""),"")</f>
        <v/>
      </c>
      <c r="AQ97" s="34">
        <f>IF(AND(AQ$5&gt;$E97,AQ$5&lt;=$F97),IF(AQ$5=$E97+1,$C97,""),"")</f>
        <v/>
      </c>
      <c r="AR97" s="34">
        <f>IF(AND(AR$5&gt;$E97,AR$5&lt;=$F97),IF(AR$5=$E97+1,$C97,""),"")</f>
        <v/>
      </c>
      <c r="AS97" s="34">
        <f>IF(AND(AS$5&gt;$E97,AS$5&lt;=$F97),IF(AS$5=$E97+1,$C97,""),"")</f>
        <v/>
      </c>
      <c r="AT97" s="34">
        <f>IF(AND(AT$5&gt;$E97,AT$5&lt;=$F97),IF(AT$5=$E97+1,$C97,""),"")</f>
        <v/>
      </c>
      <c r="AU97" s="34">
        <f>IF(AND(AU$5&gt;$E97,AU$5&lt;=$F97),IF(AU$5=$E97+1,$C97,""),"")</f>
        <v/>
      </c>
      <c r="AV97" s="34">
        <f>IF(AND(AV$5&gt;$E97,AV$5&lt;=$F97),IF(AV$5=$E97+1,$C97,""),"")</f>
        <v/>
      </c>
      <c r="AW97" s="34">
        <f>IF(AND(AW$5&gt;$E97,AW$5&lt;=$F97),IF(AW$5=$E97+1,$C97,""),"")</f>
        <v/>
      </c>
      <c r="AX97" s="34">
        <f>IF(AND(AX$5&gt;$E97,AX$5&lt;=$F97),IF(AX$5=$E97+1,$C97,""),"")</f>
        <v/>
      </c>
      <c r="AY97" s="34">
        <f>IF(AND(AY$5&gt;$E97,AY$5&lt;=$F97),IF(AY$5=$E97+1,$C97,""),"")</f>
        <v/>
      </c>
      <c r="AZ97" s="34">
        <f>IF(AND(AZ$5&gt;$E97,AZ$5&lt;=$F97),IF(AZ$5=$E97+1,$C97,""),"")</f>
        <v/>
      </c>
      <c r="BA97" s="34">
        <f>IF(AND(BA$5&gt;$E97,BA$5&lt;=$F97),IF(BA$5=$E97+1,$C97,""),"")</f>
        <v/>
      </c>
      <c r="BB97" s="34">
        <f>IF(AND(BB$5&gt;$E97,BB$5&lt;=$F97),IF(BB$5=$E97+1,$C97,""),"")</f>
        <v/>
      </c>
      <c r="BC97" s="34">
        <f>IF(AND(BC$5&gt;$E97,BC$5&lt;=$F97),IF(BC$5=$E97+1,$C97,""),"")</f>
        <v/>
      </c>
      <c r="BD97" s="34">
        <f>IF(AND(BD$5&gt;$E97,BD$5&lt;=$F97),IF(BD$5=$E97+1,$C97,""),"")</f>
        <v/>
      </c>
      <c r="BE97" s="34">
        <f>IF(AND(BE$5&gt;$E97,BE$5&lt;=$F97),IF(BE$5=$E97+1,$C97,""),"")</f>
        <v/>
      </c>
      <c r="BF97" s="34">
        <f>IF(AND(BF$5&gt;$E97,BF$5&lt;=$F97),IF(BF$5=$E97+1,$C97,""),"")</f>
        <v/>
      </c>
      <c r="BG97" s="34">
        <f>IF(AND(BG$5&gt;$E97,BG$5&lt;=$F97),IF(BG$5=$E97+1,$C97,""),"")</f>
        <v/>
      </c>
      <c r="BH97" s="34">
        <f>IF(AND(BH$5&gt;$E97,BH$5&lt;=$F97),IF(BH$5=$E97+1,$C97,""),"")</f>
        <v/>
      </c>
      <c r="BI97" s="34">
        <f>IF(AND(BI$5&gt;$E97,BI$5&lt;=$F97),IF(BI$5=$E97+1,$C97,""),"")</f>
        <v/>
      </c>
      <c r="BJ97" s="34">
        <f>IF(AND(BJ$5&gt;$E97,BJ$5&lt;=$F97),IF(BJ$5=$E97+1,$C97,""),"")</f>
        <v/>
      </c>
      <c r="BK97" s="34">
        <f>IF(AND(BK$5&gt;$E97,BK$5&lt;=$F97),IF(BK$5=$E97+1,$C97,""),"")</f>
        <v/>
      </c>
      <c r="BL97" s="34">
        <f>IF(AND(BL$5&gt;$E97,BL$5&lt;=$F97),IF(BL$5=$E97+1,$C97,""),"")</f>
        <v/>
      </c>
      <c r="BM97" s="34">
        <f>IF(AND(BM$5&gt;$E97,BM$5&lt;=$F97),IF(BM$5=$E97+1,$C97,""),"")</f>
        <v/>
      </c>
      <c r="BN97" s="34">
        <f>IF(AND(BN$5&gt;$E97,BN$5&lt;=$F97),IF(BN$5=$E97+1,$C97,""),"")</f>
        <v/>
      </c>
      <c r="BO97" s="34">
        <f>IF(AND(BO$5&gt;$E97,BO$5&lt;=$F97),IF(BO$5=$E97+1,$C97,""),"")</f>
        <v/>
      </c>
      <c r="BP97" s="34">
        <f>IF(AND(BP$5&gt;$E97,BP$5&lt;=$F97),IF(BP$5=$E97+1,$C97,""),"")</f>
        <v/>
      </c>
      <c r="BQ97" s="34">
        <f>IF(AND(BQ$5&gt;$E97,BQ$5&lt;=$F97),IF(BQ$5=$E97+1,$C97,""),"")</f>
        <v/>
      </c>
      <c r="BR97" s="34">
        <f>IF(AND(BR$5&gt;$E97,BR$5&lt;=$F97),IF(BR$5=$E97+1,$C97,""),"")</f>
        <v/>
      </c>
      <c r="BS97" s="34">
        <f>IF(AND(BS$5&gt;$E97,BS$5&lt;=$F97),IF(BS$5=$E97+1,$C97,""),"")</f>
        <v/>
      </c>
      <c r="BT97" s="34">
        <f>IF(AND(BT$5&gt;$E97,BT$5&lt;=$F97),IF(BT$5=$E97+1,$C97,""),"")</f>
        <v/>
      </c>
      <c r="BU97" s="34">
        <f>IF(AND(BU$5&gt;$E97,BU$5&lt;=$F97),IF(BU$5=$E97+1,$C97,""),"")</f>
        <v/>
      </c>
      <c r="BV97" s="34">
        <f>IF(AND(BV$5&gt;$E97,BV$5&lt;=$F97),IF(BV$5=$E97+1,$C97,""),"")</f>
        <v/>
      </c>
      <c r="BW97" s="34">
        <f>IF(AND(BW$5&gt;$E97,BW$5&lt;=$F97),IF(BW$5=$E97+1,$C97,""),"")</f>
        <v/>
      </c>
      <c r="BX97" s="34">
        <f>IF(AND(BX$5&gt;$E97,BX$5&lt;=$F97),IF(BX$5=$E97+1,$C97,""),"")</f>
        <v/>
      </c>
      <c r="BY97" s="34">
        <f>IF(AND(BY$5&gt;$E97,BY$5&lt;=$F97),IF(BY$5=$E97+1,$C97,""),"")</f>
        <v/>
      </c>
      <c r="BZ97" s="34">
        <f>IF(AND(BZ$5&gt;$E97,BZ$5&lt;=$F97),IF(BZ$5=$E97+1,$C97,""),"")</f>
        <v/>
      </c>
      <c r="CA97" s="34">
        <f>IF(AND(CA$5&gt;$E97,CA$5&lt;=$F97),IF(CA$5=$E97+1,$C97,""),"")</f>
        <v/>
      </c>
      <c r="CB97" s="34">
        <f>IF(AND(CB$5&gt;$E97,CB$5&lt;=$F97),IF(CB$5=$E97+1,$C97,""),"")</f>
        <v/>
      </c>
      <c r="CC97" s="34">
        <f>IF(AND(CC$5&gt;$E97,CC$5&lt;=$F97),IF(CC$5=$E97+1,$C97,""),"")</f>
        <v/>
      </c>
      <c r="CD97" s="34">
        <f>IF(AND(CD$5&gt;$E97,CD$5&lt;=$F97),IF(CD$5=$E97+1,$C97,""),"")</f>
        <v/>
      </c>
      <c r="CE97" s="34">
        <f>IF(AND(CE$5&gt;$E97,CE$5&lt;=$F97),IF(CE$5=$E97+1,$C97,""),"")</f>
        <v/>
      </c>
      <c r="CF97" s="34">
        <f>IF(AND(CF$5&gt;$E97,CF$5&lt;=$F97),IF(CF$5=$E97+1,$C97,""),"")</f>
        <v/>
      </c>
      <c r="CG97" s="34">
        <f>IF(AND(CG$5&gt;$E97,CG$5&lt;=$F97),IF(CG$5=$E97+1,$C97,""),"")</f>
        <v/>
      </c>
      <c r="CH97" s="34">
        <f>IF(AND(CH$5&gt;$E97,CH$5&lt;=$F97),IF(CH$5=$E97+1,$C97,""),"")</f>
        <v/>
      </c>
      <c r="CI97" s="34">
        <f>IF(AND(CI$5&gt;$E97,CI$5&lt;=$F97),IF(CI$5=$E97+1,$C97,""),"")</f>
        <v/>
      </c>
      <c r="CJ97" s="34">
        <f>IF(AND(CJ$5&gt;$E97,CJ$5&lt;=$F97),IF(CJ$5=$E97+1,$C97,""),"")</f>
        <v/>
      </c>
      <c r="CK97" s="34">
        <f>IF(AND(CK$5&gt;$E97,CK$5&lt;=$F97),IF(CK$5=$E97+1,$C97,""),"")</f>
        <v/>
      </c>
      <c r="CL97" s="34">
        <f>IF(AND(CL$5&gt;$E97,CL$5&lt;=$F97),IF(CL$5=$E97+1,$C97,""),"")</f>
        <v/>
      </c>
      <c r="CM97" s="34">
        <f>IF(AND(CM$5&gt;$E97,CM$5&lt;=$F97),IF(CM$5=$E97+1,$C97,""),"")</f>
        <v/>
      </c>
      <c r="CN97" s="34">
        <f>IF(AND(CN$5&gt;$E97,CN$5&lt;=$F97),IF(CN$5=$E97+1,$C97,""),"")</f>
        <v/>
      </c>
      <c r="CO97" s="34">
        <f>IF(AND(CO$5&gt;$E97,CO$5&lt;=$F97),IF(CO$5=$E97+1,$C97,""),"")</f>
        <v/>
      </c>
      <c r="CP97" s="34">
        <f>IF(AND(CP$5&gt;$E97,CP$5&lt;=$F97),IF(CP$5=$E97+1,$C97,""),"")</f>
        <v/>
      </c>
      <c r="CQ97" s="34">
        <f>IF(AND(CQ$5&gt;$E97,CQ$5&lt;=$F97),IF(CQ$5=$E97+1,$C97,""),"")</f>
        <v/>
      </c>
      <c r="CR97" s="34">
        <f>IF(AND(CR$5&gt;$E97,CR$5&lt;=$F97),IF(CR$5=$E97+1,$C97,""),"")</f>
        <v/>
      </c>
      <c r="CS97" s="34">
        <f>IF(AND(CS$5&gt;$E97,CS$5&lt;=$F97),IF(CS$5=$E97+1,$C97,""),"")</f>
        <v/>
      </c>
      <c r="CT97" s="34">
        <f>IF(AND(CT$5&gt;$E97,CT$5&lt;=$F97),IF(CT$5=$E97+1,$C97,""),"")</f>
        <v/>
      </c>
      <c r="CU97" s="34">
        <f>IF(AND(CU$5&gt;$E97,CU$5&lt;=$F97),IF(CU$5=$E97+1,$C97,""),"")</f>
        <v/>
      </c>
      <c r="CV97" s="34">
        <f>IF(AND(CV$5&gt;$E97,CV$5&lt;=$F97),IF(CV$5=$E97+1,$C97,""),"")</f>
        <v/>
      </c>
      <c r="CW97" s="34">
        <f>IF(AND(CW$5&gt;$E97,CW$5&lt;=$F97),IF(CW$5=$E97+1,$C97,""),"")</f>
        <v/>
      </c>
      <c r="CX97" s="34">
        <f>IF(AND(CX$5&gt;$E97,CX$5&lt;=$F97),IF(CX$5=$E97+1,$C97,""),"")</f>
        <v/>
      </c>
      <c r="CY97" s="34">
        <f>IF(AND(CY$5&gt;$E97,CY$5&lt;=$F97),IF(CY$5=$E97+1,$C97,""),"")</f>
        <v/>
      </c>
      <c r="CZ97" s="34">
        <f>IF(AND(CZ$5&gt;$E97,CZ$5&lt;=$F97),IF(CZ$5=$E97+1,$C97,""),"")</f>
        <v/>
      </c>
      <c r="DA97" s="34">
        <f>IF(AND(DA$5&gt;$E97,DA$5&lt;=$F97),IF(DA$5=$E97+1,$C97,""),"")</f>
        <v/>
      </c>
      <c r="DB97" s="34">
        <f>IF(AND(DB$5&gt;$E97,DB$5&lt;=$F97),IF(DB$5=$E97+1,$C97,""),"")</f>
        <v/>
      </c>
      <c r="DC97" s="34">
        <f>IF(AND(DC$5&gt;$E97,DC$5&lt;=$F97),IF(DC$5=$E97+1,$C97,""),"")</f>
        <v/>
      </c>
    </row>
    <row r="98">
      <c r="A98" s="32">
        <f>Plan!A88</f>
        <v/>
      </c>
      <c r="B98" s="33">
        <f>Plan!C88</f>
        <v/>
      </c>
      <c r="C98" s="16">
        <f>Plan!D88</f>
        <v/>
      </c>
      <c r="D98" s="16">
        <f>Plan!I88</f>
        <v/>
      </c>
      <c r="E98" s="16">
        <f>Plan!K88</f>
        <v/>
      </c>
      <c r="F98" s="16">
        <f>Plan!L88</f>
        <v/>
      </c>
      <c r="G98" s="16">
        <f>Plan!O88</f>
        <v/>
      </c>
      <c r="H98" s="34">
        <f>IF(AND(H$5&gt;$E98,H$5&lt;=$F98),IF(H$5=$E98+1,$C98,""),"")</f>
        <v/>
      </c>
      <c r="I98" s="34">
        <f>IF(AND(I$5&gt;$E98,I$5&lt;=$F98),IF(I$5=$E98+1,$C98,""),"")</f>
        <v/>
      </c>
      <c r="J98" s="34">
        <f>IF(AND(J$5&gt;$E98,J$5&lt;=$F98),IF(J$5=$E98+1,$C98,""),"")</f>
        <v/>
      </c>
      <c r="K98" s="34">
        <f>IF(AND(K$5&gt;$E98,K$5&lt;=$F98),IF(K$5=$E98+1,$C98,""),"")</f>
        <v/>
      </c>
      <c r="L98" s="34">
        <f>IF(AND(L$5&gt;$E98,L$5&lt;=$F98),IF(L$5=$E98+1,$C98,""),"")</f>
        <v/>
      </c>
      <c r="M98" s="34">
        <f>IF(AND(M$5&gt;$E98,M$5&lt;=$F98),IF(M$5=$E98+1,$C98,""),"")</f>
        <v/>
      </c>
      <c r="N98" s="34">
        <f>IF(AND(N$5&gt;$E98,N$5&lt;=$F98),IF(N$5=$E98+1,$C98,""),"")</f>
        <v/>
      </c>
      <c r="O98" s="34">
        <f>IF(AND(O$5&gt;$E98,O$5&lt;=$F98),IF(O$5=$E98+1,$C98,""),"")</f>
        <v/>
      </c>
      <c r="P98" s="34">
        <f>IF(AND(P$5&gt;$E98,P$5&lt;=$F98),IF(P$5=$E98+1,$C98,""),"")</f>
        <v/>
      </c>
      <c r="Q98" s="34">
        <f>IF(AND(Q$5&gt;$E98,Q$5&lt;=$F98),IF(Q$5=$E98+1,$C98,""),"")</f>
        <v/>
      </c>
      <c r="R98" s="34">
        <f>IF(AND(R$5&gt;$E98,R$5&lt;=$F98),IF(R$5=$E98+1,$C98,""),"")</f>
        <v/>
      </c>
      <c r="S98" s="34">
        <f>IF(AND(S$5&gt;$E98,S$5&lt;=$F98),IF(S$5=$E98+1,$C98,""),"")</f>
        <v/>
      </c>
      <c r="T98" s="34">
        <f>IF(AND(T$5&gt;$E98,T$5&lt;=$F98),IF(T$5=$E98+1,$C98,""),"")</f>
        <v/>
      </c>
      <c r="U98" s="34">
        <f>IF(AND(U$5&gt;$E98,U$5&lt;=$F98),IF(U$5=$E98+1,$C98,""),"")</f>
        <v/>
      </c>
      <c r="V98" s="34">
        <f>IF(AND(V$5&gt;$E98,V$5&lt;=$F98),IF(V$5=$E98+1,$C98,""),"")</f>
        <v/>
      </c>
      <c r="W98" s="34">
        <f>IF(AND(W$5&gt;$E98,W$5&lt;=$F98),IF(W$5=$E98+1,$C98,""),"")</f>
        <v/>
      </c>
      <c r="X98" s="34">
        <f>IF(AND(X$5&gt;$E98,X$5&lt;=$F98),IF(X$5=$E98+1,$C98,""),"")</f>
        <v/>
      </c>
      <c r="Y98" s="34">
        <f>IF(AND(Y$5&gt;$E98,Y$5&lt;=$F98),IF(Y$5=$E98+1,$C98,""),"")</f>
        <v/>
      </c>
      <c r="Z98" s="34">
        <f>IF(AND(Z$5&gt;$E98,Z$5&lt;=$F98),IF(Z$5=$E98+1,$C98,""),"")</f>
        <v/>
      </c>
      <c r="AA98" s="34">
        <f>IF(AND(AA$5&gt;$E98,AA$5&lt;=$F98),IF(AA$5=$E98+1,$C98,""),"")</f>
        <v/>
      </c>
      <c r="AB98" s="34">
        <f>IF(AND(AB$5&gt;$E98,AB$5&lt;=$F98),IF(AB$5=$E98+1,$C98,""),"")</f>
        <v/>
      </c>
      <c r="AC98" s="34">
        <f>IF(AND(AC$5&gt;$E98,AC$5&lt;=$F98),IF(AC$5=$E98+1,$C98,""),"")</f>
        <v/>
      </c>
      <c r="AD98" s="34">
        <f>IF(AND(AD$5&gt;$E98,AD$5&lt;=$F98),IF(AD$5=$E98+1,$C98,""),"")</f>
        <v/>
      </c>
      <c r="AE98" s="34">
        <f>IF(AND(AE$5&gt;$E98,AE$5&lt;=$F98),IF(AE$5=$E98+1,$C98,""),"")</f>
        <v/>
      </c>
      <c r="AF98" s="34">
        <f>IF(AND(AF$5&gt;$E98,AF$5&lt;=$F98),IF(AF$5=$E98+1,$C98,""),"")</f>
        <v/>
      </c>
      <c r="AG98" s="34">
        <f>IF(AND(AG$5&gt;$E98,AG$5&lt;=$F98),IF(AG$5=$E98+1,$C98,""),"")</f>
        <v/>
      </c>
      <c r="AH98" s="34">
        <f>IF(AND(AH$5&gt;$E98,AH$5&lt;=$F98),IF(AH$5=$E98+1,$C98,""),"")</f>
        <v/>
      </c>
      <c r="AI98" s="34">
        <f>IF(AND(AI$5&gt;$E98,AI$5&lt;=$F98),IF(AI$5=$E98+1,$C98,""),"")</f>
        <v/>
      </c>
      <c r="AJ98" s="34">
        <f>IF(AND(AJ$5&gt;$E98,AJ$5&lt;=$F98),IF(AJ$5=$E98+1,$C98,""),"")</f>
        <v/>
      </c>
      <c r="AK98" s="34">
        <f>IF(AND(AK$5&gt;$E98,AK$5&lt;=$F98),IF(AK$5=$E98+1,$C98,""),"")</f>
        <v/>
      </c>
      <c r="AL98" s="34">
        <f>IF(AND(AL$5&gt;$E98,AL$5&lt;=$F98),IF(AL$5=$E98+1,$C98,""),"")</f>
        <v/>
      </c>
      <c r="AM98" s="34">
        <f>IF(AND(AM$5&gt;$E98,AM$5&lt;=$F98),IF(AM$5=$E98+1,$C98,""),"")</f>
        <v/>
      </c>
      <c r="AN98" s="34">
        <f>IF(AND(AN$5&gt;$E98,AN$5&lt;=$F98),IF(AN$5=$E98+1,$C98,""),"")</f>
        <v/>
      </c>
      <c r="AO98" s="34">
        <f>IF(AND(AO$5&gt;$E98,AO$5&lt;=$F98),IF(AO$5=$E98+1,$C98,""),"")</f>
        <v/>
      </c>
      <c r="AP98" s="34">
        <f>IF(AND(AP$5&gt;$E98,AP$5&lt;=$F98),IF(AP$5=$E98+1,$C98,""),"")</f>
        <v/>
      </c>
      <c r="AQ98" s="34">
        <f>IF(AND(AQ$5&gt;$E98,AQ$5&lt;=$F98),IF(AQ$5=$E98+1,$C98,""),"")</f>
        <v/>
      </c>
      <c r="AR98" s="34">
        <f>IF(AND(AR$5&gt;$E98,AR$5&lt;=$F98),IF(AR$5=$E98+1,$C98,""),"")</f>
        <v/>
      </c>
      <c r="AS98" s="34">
        <f>IF(AND(AS$5&gt;$E98,AS$5&lt;=$F98),IF(AS$5=$E98+1,$C98,""),"")</f>
        <v/>
      </c>
      <c r="AT98" s="34">
        <f>IF(AND(AT$5&gt;$E98,AT$5&lt;=$F98),IF(AT$5=$E98+1,$C98,""),"")</f>
        <v/>
      </c>
      <c r="AU98" s="34">
        <f>IF(AND(AU$5&gt;$E98,AU$5&lt;=$F98),IF(AU$5=$E98+1,$C98,""),"")</f>
        <v/>
      </c>
      <c r="AV98" s="34">
        <f>IF(AND(AV$5&gt;$E98,AV$5&lt;=$F98),IF(AV$5=$E98+1,$C98,""),"")</f>
        <v/>
      </c>
      <c r="AW98" s="34">
        <f>IF(AND(AW$5&gt;$E98,AW$5&lt;=$F98),IF(AW$5=$E98+1,$C98,""),"")</f>
        <v/>
      </c>
      <c r="AX98" s="34">
        <f>IF(AND(AX$5&gt;$E98,AX$5&lt;=$F98),IF(AX$5=$E98+1,$C98,""),"")</f>
        <v/>
      </c>
      <c r="AY98" s="34">
        <f>IF(AND(AY$5&gt;$E98,AY$5&lt;=$F98),IF(AY$5=$E98+1,$C98,""),"")</f>
        <v/>
      </c>
      <c r="AZ98" s="34">
        <f>IF(AND(AZ$5&gt;$E98,AZ$5&lt;=$F98),IF(AZ$5=$E98+1,$C98,""),"")</f>
        <v/>
      </c>
      <c r="BA98" s="34">
        <f>IF(AND(BA$5&gt;$E98,BA$5&lt;=$F98),IF(BA$5=$E98+1,$C98,""),"")</f>
        <v/>
      </c>
      <c r="BB98" s="34">
        <f>IF(AND(BB$5&gt;$E98,BB$5&lt;=$F98),IF(BB$5=$E98+1,$C98,""),"")</f>
        <v/>
      </c>
      <c r="BC98" s="34">
        <f>IF(AND(BC$5&gt;$E98,BC$5&lt;=$F98),IF(BC$5=$E98+1,$C98,""),"")</f>
        <v/>
      </c>
      <c r="BD98" s="34">
        <f>IF(AND(BD$5&gt;$E98,BD$5&lt;=$F98),IF(BD$5=$E98+1,$C98,""),"")</f>
        <v/>
      </c>
      <c r="BE98" s="34">
        <f>IF(AND(BE$5&gt;$E98,BE$5&lt;=$F98),IF(BE$5=$E98+1,$C98,""),"")</f>
        <v/>
      </c>
      <c r="BF98" s="34">
        <f>IF(AND(BF$5&gt;$E98,BF$5&lt;=$F98),IF(BF$5=$E98+1,$C98,""),"")</f>
        <v/>
      </c>
      <c r="BG98" s="34">
        <f>IF(AND(BG$5&gt;$E98,BG$5&lt;=$F98),IF(BG$5=$E98+1,$C98,""),"")</f>
        <v/>
      </c>
      <c r="BH98" s="34">
        <f>IF(AND(BH$5&gt;$E98,BH$5&lt;=$F98),IF(BH$5=$E98+1,$C98,""),"")</f>
        <v/>
      </c>
      <c r="BI98" s="34">
        <f>IF(AND(BI$5&gt;$E98,BI$5&lt;=$F98),IF(BI$5=$E98+1,$C98,""),"")</f>
        <v/>
      </c>
      <c r="BJ98" s="34">
        <f>IF(AND(BJ$5&gt;$E98,BJ$5&lt;=$F98),IF(BJ$5=$E98+1,$C98,""),"")</f>
        <v/>
      </c>
      <c r="BK98" s="34">
        <f>IF(AND(BK$5&gt;$E98,BK$5&lt;=$F98),IF(BK$5=$E98+1,$C98,""),"")</f>
        <v/>
      </c>
      <c r="BL98" s="34">
        <f>IF(AND(BL$5&gt;$E98,BL$5&lt;=$F98),IF(BL$5=$E98+1,$C98,""),"")</f>
        <v/>
      </c>
      <c r="BM98" s="34">
        <f>IF(AND(BM$5&gt;$E98,BM$5&lt;=$F98),IF(BM$5=$E98+1,$C98,""),"")</f>
        <v/>
      </c>
      <c r="BN98" s="34">
        <f>IF(AND(BN$5&gt;$E98,BN$5&lt;=$F98),IF(BN$5=$E98+1,$C98,""),"")</f>
        <v/>
      </c>
      <c r="BO98" s="34">
        <f>IF(AND(BO$5&gt;$E98,BO$5&lt;=$F98),IF(BO$5=$E98+1,$C98,""),"")</f>
        <v/>
      </c>
      <c r="BP98" s="34">
        <f>IF(AND(BP$5&gt;$E98,BP$5&lt;=$F98),IF(BP$5=$E98+1,$C98,""),"")</f>
        <v/>
      </c>
      <c r="BQ98" s="34">
        <f>IF(AND(BQ$5&gt;$E98,BQ$5&lt;=$F98),IF(BQ$5=$E98+1,$C98,""),"")</f>
        <v/>
      </c>
      <c r="BR98" s="34">
        <f>IF(AND(BR$5&gt;$E98,BR$5&lt;=$F98),IF(BR$5=$E98+1,$C98,""),"")</f>
        <v/>
      </c>
      <c r="BS98" s="34">
        <f>IF(AND(BS$5&gt;$E98,BS$5&lt;=$F98),IF(BS$5=$E98+1,$C98,""),"")</f>
        <v/>
      </c>
      <c r="BT98" s="34">
        <f>IF(AND(BT$5&gt;$E98,BT$5&lt;=$F98),IF(BT$5=$E98+1,$C98,""),"")</f>
        <v/>
      </c>
      <c r="BU98" s="34">
        <f>IF(AND(BU$5&gt;$E98,BU$5&lt;=$F98),IF(BU$5=$E98+1,$C98,""),"")</f>
        <v/>
      </c>
      <c r="BV98" s="34">
        <f>IF(AND(BV$5&gt;$E98,BV$5&lt;=$F98),IF(BV$5=$E98+1,$C98,""),"")</f>
        <v/>
      </c>
      <c r="BW98" s="34">
        <f>IF(AND(BW$5&gt;$E98,BW$5&lt;=$F98),IF(BW$5=$E98+1,$C98,""),"")</f>
        <v/>
      </c>
      <c r="BX98" s="34">
        <f>IF(AND(BX$5&gt;$E98,BX$5&lt;=$F98),IF(BX$5=$E98+1,$C98,""),"")</f>
        <v/>
      </c>
      <c r="BY98" s="34">
        <f>IF(AND(BY$5&gt;$E98,BY$5&lt;=$F98),IF(BY$5=$E98+1,$C98,""),"")</f>
        <v/>
      </c>
      <c r="BZ98" s="34">
        <f>IF(AND(BZ$5&gt;$E98,BZ$5&lt;=$F98),IF(BZ$5=$E98+1,$C98,""),"")</f>
        <v/>
      </c>
      <c r="CA98" s="34">
        <f>IF(AND(CA$5&gt;$E98,CA$5&lt;=$F98),IF(CA$5=$E98+1,$C98,""),"")</f>
        <v/>
      </c>
      <c r="CB98" s="34">
        <f>IF(AND(CB$5&gt;$E98,CB$5&lt;=$F98),IF(CB$5=$E98+1,$C98,""),"")</f>
        <v/>
      </c>
      <c r="CC98" s="34">
        <f>IF(AND(CC$5&gt;$E98,CC$5&lt;=$F98),IF(CC$5=$E98+1,$C98,""),"")</f>
        <v/>
      </c>
      <c r="CD98" s="34">
        <f>IF(AND(CD$5&gt;$E98,CD$5&lt;=$F98),IF(CD$5=$E98+1,$C98,""),"")</f>
        <v/>
      </c>
      <c r="CE98" s="34">
        <f>IF(AND(CE$5&gt;$E98,CE$5&lt;=$F98),IF(CE$5=$E98+1,$C98,""),"")</f>
        <v/>
      </c>
      <c r="CF98" s="34">
        <f>IF(AND(CF$5&gt;$E98,CF$5&lt;=$F98),IF(CF$5=$E98+1,$C98,""),"")</f>
        <v/>
      </c>
      <c r="CG98" s="34">
        <f>IF(AND(CG$5&gt;$E98,CG$5&lt;=$F98),IF(CG$5=$E98+1,$C98,""),"")</f>
        <v/>
      </c>
      <c r="CH98" s="34">
        <f>IF(AND(CH$5&gt;$E98,CH$5&lt;=$F98),IF(CH$5=$E98+1,$C98,""),"")</f>
        <v/>
      </c>
      <c r="CI98" s="34">
        <f>IF(AND(CI$5&gt;$E98,CI$5&lt;=$F98),IF(CI$5=$E98+1,$C98,""),"")</f>
        <v/>
      </c>
      <c r="CJ98" s="34">
        <f>IF(AND(CJ$5&gt;$E98,CJ$5&lt;=$F98),IF(CJ$5=$E98+1,$C98,""),"")</f>
        <v/>
      </c>
      <c r="CK98" s="34">
        <f>IF(AND(CK$5&gt;$E98,CK$5&lt;=$F98),IF(CK$5=$E98+1,$C98,""),"")</f>
        <v/>
      </c>
      <c r="CL98" s="34">
        <f>IF(AND(CL$5&gt;$E98,CL$5&lt;=$F98),IF(CL$5=$E98+1,$C98,""),"")</f>
        <v/>
      </c>
      <c r="CM98" s="34">
        <f>IF(AND(CM$5&gt;$E98,CM$5&lt;=$F98),IF(CM$5=$E98+1,$C98,""),"")</f>
        <v/>
      </c>
      <c r="CN98" s="34">
        <f>IF(AND(CN$5&gt;$E98,CN$5&lt;=$F98),IF(CN$5=$E98+1,$C98,""),"")</f>
        <v/>
      </c>
      <c r="CO98" s="34">
        <f>IF(AND(CO$5&gt;$E98,CO$5&lt;=$F98),IF(CO$5=$E98+1,$C98,""),"")</f>
        <v/>
      </c>
      <c r="CP98" s="34">
        <f>IF(AND(CP$5&gt;$E98,CP$5&lt;=$F98),IF(CP$5=$E98+1,$C98,""),"")</f>
        <v/>
      </c>
      <c r="CQ98" s="34">
        <f>IF(AND(CQ$5&gt;$E98,CQ$5&lt;=$F98),IF(CQ$5=$E98+1,$C98,""),"")</f>
        <v/>
      </c>
      <c r="CR98" s="34">
        <f>IF(AND(CR$5&gt;$E98,CR$5&lt;=$F98),IF(CR$5=$E98+1,$C98,""),"")</f>
        <v/>
      </c>
      <c r="CS98" s="34">
        <f>IF(AND(CS$5&gt;$E98,CS$5&lt;=$F98),IF(CS$5=$E98+1,$C98,""),"")</f>
        <v/>
      </c>
      <c r="CT98" s="34">
        <f>IF(AND(CT$5&gt;$E98,CT$5&lt;=$F98),IF(CT$5=$E98+1,$C98,""),"")</f>
        <v/>
      </c>
      <c r="CU98" s="34">
        <f>IF(AND(CU$5&gt;$E98,CU$5&lt;=$F98),IF(CU$5=$E98+1,$C98,""),"")</f>
        <v/>
      </c>
      <c r="CV98" s="34">
        <f>IF(AND(CV$5&gt;$E98,CV$5&lt;=$F98),IF(CV$5=$E98+1,$C98,""),"")</f>
        <v/>
      </c>
      <c r="CW98" s="34">
        <f>IF(AND(CW$5&gt;$E98,CW$5&lt;=$F98),IF(CW$5=$E98+1,$C98,""),"")</f>
        <v/>
      </c>
      <c r="CX98" s="34">
        <f>IF(AND(CX$5&gt;$E98,CX$5&lt;=$F98),IF(CX$5=$E98+1,$C98,""),"")</f>
        <v/>
      </c>
      <c r="CY98" s="34">
        <f>IF(AND(CY$5&gt;$E98,CY$5&lt;=$F98),IF(CY$5=$E98+1,$C98,""),"")</f>
        <v/>
      </c>
      <c r="CZ98" s="34">
        <f>IF(AND(CZ$5&gt;$E98,CZ$5&lt;=$F98),IF(CZ$5=$E98+1,$C98,""),"")</f>
        <v/>
      </c>
      <c r="DA98" s="34">
        <f>IF(AND(DA$5&gt;$E98,DA$5&lt;=$F98),IF(DA$5=$E98+1,$C98,""),"")</f>
        <v/>
      </c>
      <c r="DB98" s="34">
        <f>IF(AND(DB$5&gt;$E98,DB$5&lt;=$F98),IF(DB$5=$E98+1,$C98,""),"")</f>
        <v/>
      </c>
      <c r="DC98" s="34">
        <f>IF(AND(DC$5&gt;$E98,DC$5&lt;=$F98),IF(DC$5=$E98+1,$C98,""),"")</f>
        <v/>
      </c>
    </row>
  </sheetData>
  <mergeCells count="18">
    <mergeCell ref="A9:D9"/>
    <mergeCell ref="A18:D18"/>
    <mergeCell ref="R4:AA4"/>
    <mergeCell ref="H4:Q4"/>
    <mergeCell ref="A34:D34"/>
    <mergeCell ref="A6:G6"/>
    <mergeCell ref="A60:D60"/>
    <mergeCell ref="A74:D74"/>
    <mergeCell ref="AB4:AK4"/>
    <mergeCell ref="AV4:BE4"/>
    <mergeCell ref="BZ4:CI4"/>
    <mergeCell ref="CT4:DC4"/>
    <mergeCell ref="A7:G7"/>
    <mergeCell ref="BP4:BY4"/>
    <mergeCell ref="AL4:AU4"/>
    <mergeCell ref="BF4:BO4"/>
    <mergeCell ref="CJ4:CS4"/>
    <mergeCell ref="A44:D44"/>
  </mergeCells>
  <conditionalFormatting sqref="H6:DC6">
    <cfRule type="expression" priority="1" dxfId="9">
      <formula>H6&lt;&gt;""</formula>
    </cfRule>
  </conditionalFormatting>
  <conditionalFormatting sqref="H7:DC7">
    <cfRule type="expression" priority="2" dxfId="10">
      <formula>H7&lt;&gt;""</formula>
    </cfRule>
  </conditionalFormatting>
  <conditionalFormatting sqref="H9:DC9">
    <cfRule type="expression" priority="3" dxfId="11">
      <formula>AND(H$5&gt;$E9,H$5&lt;=$F9)</formula>
    </cfRule>
  </conditionalFormatting>
  <conditionalFormatting sqref="H18:DC18">
    <cfRule type="expression" priority="4" dxfId="11">
      <formula>AND(H$5&gt;$E18,H$5&lt;=$F18)</formula>
    </cfRule>
  </conditionalFormatting>
  <conditionalFormatting sqref="H34:DC34">
    <cfRule type="expression" priority="5" dxfId="11">
      <formula>AND(H$5&gt;$E34,H$5&lt;=$F34)</formula>
    </cfRule>
  </conditionalFormatting>
  <conditionalFormatting sqref="H44:DC44">
    <cfRule type="expression" priority="6" dxfId="11">
      <formula>AND(H$5&gt;$E44,H$5&lt;=$F44)</formula>
    </cfRule>
  </conditionalFormatting>
  <conditionalFormatting sqref="H60:DC60">
    <cfRule type="expression" priority="7" dxfId="11">
      <formula>AND(H$5&gt;$E60,H$5&lt;=$F60)</formula>
    </cfRule>
  </conditionalFormatting>
  <conditionalFormatting sqref="H74:DC74">
    <cfRule type="expression" priority="8" dxfId="11">
      <formula>AND(H$5&gt;$E74,H$5&lt;=$F74)</formula>
    </cfRule>
  </conditionalFormatting>
  <conditionalFormatting sqref="H9:DC98">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DC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95"/>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46</v>
      </c>
      <c r="E5" s="16">
        <f>Plan!J5</f>
        <v/>
      </c>
      <c r="F5" s="16">
        <f>Plan!K5</f>
        <v/>
      </c>
      <c r="G5" s="8">
        <f>F5-E5</f>
        <v/>
      </c>
      <c r="H5" s="16">
        <f>Plan!I5</f>
        <v/>
      </c>
      <c r="I5" s="16">
        <f>Plan!O5</f>
        <v/>
      </c>
    </row>
    <row r="6">
      <c r="A6" s="8" t="n">
        <v>2</v>
      </c>
      <c r="B6" s="18" t="inlineStr">
        <is>
          <t>1.3</t>
        </is>
      </c>
      <c r="C6" s="35">
        <f>Plan!C7</f>
        <v/>
      </c>
      <c r="D6" s="8" t="n">
        <v>43</v>
      </c>
      <c r="E6" s="16">
        <f>Plan!J7</f>
        <v/>
      </c>
      <c r="F6" s="16">
        <f>Plan!K7</f>
        <v/>
      </c>
      <c r="G6" s="8">
        <f>F6-E6</f>
        <v/>
      </c>
      <c r="H6" s="16">
        <f>Plan!I7</f>
        <v/>
      </c>
      <c r="I6" s="16">
        <f>Plan!O7</f>
        <v/>
      </c>
    </row>
    <row r="7">
      <c r="A7" s="8" t="n">
        <v>3</v>
      </c>
      <c r="B7" s="18" t="inlineStr">
        <is>
          <t>1.2</t>
        </is>
      </c>
      <c r="C7" s="35">
        <f>Plan!C6</f>
        <v/>
      </c>
      <c r="D7" s="8" t="n">
        <v>37</v>
      </c>
      <c r="E7" s="16">
        <f>Plan!J6</f>
        <v/>
      </c>
      <c r="F7" s="16">
        <f>Plan!K6</f>
        <v/>
      </c>
      <c r="G7" s="8">
        <f>F7-E7</f>
        <v/>
      </c>
      <c r="H7" s="16">
        <f>Plan!I6</f>
        <v/>
      </c>
      <c r="I7" s="16">
        <f>Plan!O6</f>
        <v/>
      </c>
    </row>
    <row r="8">
      <c r="A8" s="8" t="n">
        <v>4</v>
      </c>
      <c r="B8" s="18" t="inlineStr">
        <is>
          <t>1.4</t>
        </is>
      </c>
      <c r="C8" s="35">
        <f>Plan!C8</f>
        <v/>
      </c>
      <c r="D8" s="8" t="n">
        <v>42</v>
      </c>
      <c r="E8" s="16">
        <f>Plan!J8</f>
        <v/>
      </c>
      <c r="F8" s="16">
        <f>Plan!K8</f>
        <v/>
      </c>
      <c r="G8" s="8">
        <f>F8-E8</f>
        <v/>
      </c>
      <c r="H8" s="16">
        <f>Plan!I8</f>
        <v/>
      </c>
      <c r="I8" s="16">
        <f>Plan!O8</f>
        <v/>
      </c>
    </row>
    <row r="9">
      <c r="A9" s="8" t="n">
        <v>5</v>
      </c>
      <c r="B9" s="18" t="inlineStr">
        <is>
          <t>1.5</t>
        </is>
      </c>
      <c r="C9" s="35">
        <f>Plan!C9</f>
        <v/>
      </c>
      <c r="D9" s="8" t="n">
        <v>33</v>
      </c>
      <c r="E9" s="16">
        <f>Plan!J9</f>
        <v/>
      </c>
      <c r="F9" s="16">
        <f>Plan!K9</f>
        <v/>
      </c>
      <c r="G9" s="8">
        <f>F9-E9</f>
        <v/>
      </c>
      <c r="H9" s="16">
        <f>Plan!I9</f>
        <v/>
      </c>
      <c r="I9" s="16">
        <f>Plan!O9</f>
        <v/>
      </c>
    </row>
    <row r="10">
      <c r="A10" s="8" t="n">
        <v>6</v>
      </c>
      <c r="B10" s="18" t="inlineStr">
        <is>
          <t>2.2</t>
        </is>
      </c>
      <c r="C10" s="35">
        <f>Plan!C14</f>
        <v/>
      </c>
      <c r="D10" s="8" t="n">
        <v>40</v>
      </c>
      <c r="E10" s="16">
        <f>Plan!J14</f>
        <v/>
      </c>
      <c r="F10" s="16">
        <f>Plan!K14</f>
        <v/>
      </c>
      <c r="G10" s="8">
        <f>F10-E10</f>
        <v/>
      </c>
      <c r="H10" s="16">
        <f>Plan!I14</f>
        <v/>
      </c>
      <c r="I10" s="16">
        <f>Plan!O14</f>
        <v/>
      </c>
    </row>
    <row r="11">
      <c r="A11" s="8" t="n">
        <v>7</v>
      </c>
      <c r="B11" s="18" t="inlineStr">
        <is>
          <t>2.5</t>
        </is>
      </c>
      <c r="C11" s="35">
        <f>Plan!C17</f>
        <v/>
      </c>
      <c r="D11" s="8" t="n">
        <v>38</v>
      </c>
      <c r="E11" s="16">
        <f>Plan!J17</f>
        <v/>
      </c>
      <c r="F11" s="16">
        <f>Plan!K17</f>
        <v/>
      </c>
      <c r="G11" s="8">
        <f>F11-E11</f>
        <v/>
      </c>
      <c r="H11" s="16">
        <f>Plan!I17</f>
        <v/>
      </c>
      <c r="I11" s="16">
        <f>Plan!O17</f>
        <v/>
      </c>
    </row>
    <row r="12">
      <c r="A12" s="8" t="n">
        <v>8</v>
      </c>
      <c r="B12" s="18" t="inlineStr">
        <is>
          <t>2.1</t>
        </is>
      </c>
      <c r="C12" s="35">
        <f>Plan!C13</f>
        <v/>
      </c>
      <c r="D12" s="8" t="n">
        <v>31</v>
      </c>
      <c r="E12" s="16">
        <f>Plan!J13</f>
        <v/>
      </c>
      <c r="F12" s="16">
        <f>Plan!K13</f>
        <v/>
      </c>
      <c r="G12" s="8">
        <f>F12-E12</f>
        <v/>
      </c>
      <c r="H12" s="16">
        <f>Plan!I13</f>
        <v/>
      </c>
      <c r="I12" s="16">
        <f>Plan!O13</f>
        <v/>
      </c>
    </row>
    <row r="13">
      <c r="A13" s="8" t="n">
        <v>9</v>
      </c>
      <c r="B13" s="18" t="inlineStr">
        <is>
          <t>2.6</t>
        </is>
      </c>
      <c r="C13" s="35">
        <f>Plan!C18</f>
        <v/>
      </c>
      <c r="D13" s="8" t="n">
        <v>35</v>
      </c>
      <c r="E13" s="16">
        <f>Plan!J18</f>
        <v/>
      </c>
      <c r="F13" s="16">
        <f>Plan!K18</f>
        <v/>
      </c>
      <c r="G13" s="8">
        <f>F13-E13</f>
        <v/>
      </c>
      <c r="H13" s="16">
        <f>Plan!I18</f>
        <v/>
      </c>
      <c r="I13" s="16">
        <f>Plan!O18</f>
        <v/>
      </c>
    </row>
    <row r="14">
      <c r="A14" s="8" t="n">
        <v>10</v>
      </c>
      <c r="B14" s="18" t="inlineStr">
        <is>
          <t>3.1</t>
        </is>
      </c>
      <c r="C14" s="35">
        <f>Plan!C28</f>
        <v/>
      </c>
      <c r="D14" s="8" t="n">
        <v>34</v>
      </c>
      <c r="E14" s="16">
        <f>Plan!J28</f>
        <v/>
      </c>
      <c r="F14" s="16">
        <f>Plan!K28</f>
        <v/>
      </c>
      <c r="G14" s="8">
        <f>F14-E14</f>
        <v/>
      </c>
      <c r="H14" s="16">
        <f>Plan!I28</f>
        <v/>
      </c>
      <c r="I14" s="16">
        <f>Plan!O28</f>
        <v/>
      </c>
    </row>
    <row r="15">
      <c r="A15" s="8" t="n">
        <v>11</v>
      </c>
      <c r="B15" s="18" t="inlineStr">
        <is>
          <t>3.4</t>
        </is>
      </c>
      <c r="C15" s="35">
        <f>Plan!C31</f>
        <v/>
      </c>
      <c r="D15" s="8" t="n">
        <v>29</v>
      </c>
      <c r="E15" s="16">
        <f>Plan!J31</f>
        <v/>
      </c>
      <c r="F15" s="16">
        <f>Plan!K31</f>
        <v/>
      </c>
      <c r="G15" s="8">
        <f>F15-E15</f>
        <v/>
      </c>
      <c r="H15" s="16">
        <f>Plan!I31</f>
        <v/>
      </c>
      <c r="I15" s="16">
        <f>Plan!O31</f>
        <v/>
      </c>
    </row>
    <row r="16">
      <c r="A16" s="8" t="n">
        <v>12</v>
      </c>
      <c r="B16" s="18" t="inlineStr">
        <is>
          <t>1.7</t>
        </is>
      </c>
      <c r="C16" s="35">
        <f>Plan!C11</f>
        <v/>
      </c>
      <c r="D16" s="8" t="n">
        <v>30</v>
      </c>
      <c r="E16" s="16">
        <f>Plan!J11</f>
        <v/>
      </c>
      <c r="F16" s="16">
        <f>Plan!K11</f>
        <v/>
      </c>
      <c r="G16" s="8">
        <f>F16-E16</f>
        <v/>
      </c>
      <c r="H16" s="16">
        <f>Plan!I11</f>
        <v/>
      </c>
      <c r="I16" s="16">
        <f>Plan!O11</f>
        <v/>
      </c>
    </row>
    <row r="17">
      <c r="A17" s="8" t="n">
        <v>13</v>
      </c>
      <c r="B17" s="18" t="inlineStr">
        <is>
          <t>6.10</t>
        </is>
      </c>
      <c r="C17" s="35">
        <f>Plan!C67</f>
        <v/>
      </c>
      <c r="D17" s="8" t="n">
        <v>6</v>
      </c>
      <c r="E17" s="16">
        <f>Plan!J67</f>
        <v/>
      </c>
      <c r="F17" s="16">
        <f>Plan!K67</f>
        <v/>
      </c>
      <c r="G17" s="8">
        <f>F17-E17</f>
        <v/>
      </c>
      <c r="H17" s="16">
        <f>Plan!I67</f>
        <v/>
      </c>
      <c r="I17" s="16">
        <f>Plan!O67</f>
        <v/>
      </c>
    </row>
    <row r="18">
      <c r="A18" s="8" t="n">
        <v>14</v>
      </c>
      <c r="B18" s="18" t="inlineStr">
        <is>
          <t>2.14</t>
        </is>
      </c>
      <c r="C18" s="35">
        <f>Plan!C26</f>
        <v/>
      </c>
      <c r="D18" s="8" t="n">
        <v>28</v>
      </c>
      <c r="E18" s="16">
        <f>Plan!J26</f>
        <v/>
      </c>
      <c r="F18" s="16">
        <f>Plan!K26</f>
        <v/>
      </c>
      <c r="G18" s="8">
        <f>F18-E18</f>
        <v/>
      </c>
      <c r="H18" s="16">
        <f>Plan!I26</f>
        <v/>
      </c>
      <c r="I18" s="16">
        <f>Plan!O26</f>
        <v/>
      </c>
    </row>
    <row r="19">
      <c r="A19" s="8" t="n">
        <v>15</v>
      </c>
      <c r="B19" s="18" t="inlineStr">
        <is>
          <t>4.6</t>
        </is>
      </c>
      <c r="C19" s="35">
        <f>Plan!C42</f>
        <v/>
      </c>
      <c r="D19" s="8" t="n">
        <v>28</v>
      </c>
      <c r="E19" s="16">
        <f>Plan!J42</f>
        <v/>
      </c>
      <c r="F19" s="16">
        <f>Plan!K42</f>
        <v/>
      </c>
      <c r="G19" s="8">
        <f>F19-E19</f>
        <v/>
      </c>
      <c r="H19" s="16">
        <f>Plan!I42</f>
        <v/>
      </c>
      <c r="I19" s="16">
        <f>Plan!O42</f>
        <v/>
      </c>
    </row>
    <row r="20">
      <c r="A20" s="8" t="n">
        <v>16</v>
      </c>
      <c r="B20" s="18" t="inlineStr">
        <is>
          <t>2.7</t>
        </is>
      </c>
      <c r="C20" s="35">
        <f>Plan!C19</f>
        <v/>
      </c>
      <c r="D20" s="8" t="n">
        <v>32</v>
      </c>
      <c r="E20" s="16">
        <f>Plan!J19</f>
        <v/>
      </c>
      <c r="F20" s="16">
        <f>Plan!K19</f>
        <v/>
      </c>
      <c r="G20" s="8">
        <f>F20-E20</f>
        <v/>
      </c>
      <c r="H20" s="16">
        <f>Plan!I19</f>
        <v/>
      </c>
      <c r="I20" s="16">
        <f>Plan!O19</f>
        <v/>
      </c>
    </row>
    <row r="21">
      <c r="A21" s="8" t="n">
        <v>17</v>
      </c>
      <c r="B21" s="18" t="inlineStr">
        <is>
          <t>6.4</t>
        </is>
      </c>
      <c r="C21" s="35">
        <f>Plan!C61</f>
        <v/>
      </c>
      <c r="D21" s="8" t="n">
        <v>6</v>
      </c>
      <c r="E21" s="16">
        <f>Plan!J61</f>
        <v/>
      </c>
      <c r="F21" s="16">
        <f>Plan!K61</f>
        <v/>
      </c>
      <c r="G21" s="8">
        <f>F21-E21</f>
        <v/>
      </c>
      <c r="H21" s="16">
        <f>Plan!I61</f>
        <v/>
      </c>
      <c r="I21" s="16">
        <f>Plan!O61</f>
        <v/>
      </c>
    </row>
    <row r="22">
      <c r="A22" s="8" t="n">
        <v>18</v>
      </c>
      <c r="B22" s="18" t="inlineStr">
        <is>
          <t>4.1</t>
        </is>
      </c>
      <c r="C22" s="35">
        <f>Plan!C37</f>
        <v/>
      </c>
      <c r="D22" s="8" t="n">
        <v>30</v>
      </c>
      <c r="E22" s="16">
        <f>Plan!J37</f>
        <v/>
      </c>
      <c r="F22" s="16">
        <f>Plan!K37</f>
        <v/>
      </c>
      <c r="G22" s="8">
        <f>F22-E22</f>
        <v/>
      </c>
      <c r="H22" s="16">
        <f>Plan!I37</f>
        <v/>
      </c>
      <c r="I22" s="16">
        <f>Plan!O37</f>
        <v/>
      </c>
    </row>
    <row r="23">
      <c r="A23" s="8" t="n">
        <v>19</v>
      </c>
      <c r="B23" s="18" t="inlineStr">
        <is>
          <t>2.3</t>
        </is>
      </c>
      <c r="C23" s="35">
        <f>Plan!C15</f>
        <v/>
      </c>
      <c r="D23" s="8" t="n">
        <v>29</v>
      </c>
      <c r="E23" s="16">
        <f>Plan!J15</f>
        <v/>
      </c>
      <c r="F23" s="16">
        <f>Plan!K15</f>
        <v/>
      </c>
      <c r="G23" s="8">
        <f>F23-E23</f>
        <v/>
      </c>
      <c r="H23" s="16">
        <f>Plan!I15</f>
        <v/>
      </c>
      <c r="I23" s="16">
        <f>Plan!O15</f>
        <v/>
      </c>
    </row>
    <row r="24">
      <c r="A24" s="8" t="n">
        <v>20</v>
      </c>
      <c r="B24" s="18" t="inlineStr">
        <is>
          <t>2.15</t>
        </is>
      </c>
      <c r="C24" s="35">
        <f>Plan!C27</f>
        <v/>
      </c>
      <c r="D24" s="8" t="n">
        <v>27</v>
      </c>
      <c r="E24" s="16">
        <f>Plan!J27</f>
        <v/>
      </c>
      <c r="F24" s="16">
        <f>Plan!K27</f>
        <v/>
      </c>
      <c r="G24" s="8">
        <f>F24-E24</f>
        <v/>
      </c>
      <c r="H24" s="16">
        <f>Plan!I27</f>
        <v/>
      </c>
      <c r="I24" s="16">
        <f>Plan!O27</f>
        <v/>
      </c>
    </row>
    <row r="25">
      <c r="A25" s="8" t="n">
        <v>21</v>
      </c>
      <c r="B25" s="18" t="inlineStr">
        <is>
          <t>2.8</t>
        </is>
      </c>
      <c r="C25" s="35">
        <f>Plan!C20</f>
        <v/>
      </c>
      <c r="D25" s="8" t="n">
        <v>9</v>
      </c>
      <c r="E25" s="16">
        <f>Plan!J20</f>
        <v/>
      </c>
      <c r="F25" s="16">
        <f>Plan!K20</f>
        <v/>
      </c>
      <c r="G25" s="8">
        <f>F25-E25</f>
        <v/>
      </c>
      <c r="H25" s="16">
        <f>Plan!I20</f>
        <v/>
      </c>
      <c r="I25" s="16">
        <f>Plan!O20</f>
        <v/>
      </c>
    </row>
    <row r="26">
      <c r="A26" s="8" t="n">
        <v>22</v>
      </c>
      <c r="B26" s="18" t="inlineStr">
        <is>
          <t>4.10</t>
        </is>
      </c>
      <c r="C26" s="35">
        <f>Plan!C46</f>
        <v/>
      </c>
      <c r="D26" s="8" t="n">
        <v>25</v>
      </c>
      <c r="E26" s="16">
        <f>Plan!J46</f>
        <v/>
      </c>
      <c r="F26" s="16">
        <f>Plan!K46</f>
        <v/>
      </c>
      <c r="G26" s="8">
        <f>F26-E26</f>
        <v/>
      </c>
      <c r="H26" s="16">
        <f>Plan!I46</f>
        <v/>
      </c>
      <c r="I26" s="16">
        <f>Plan!O46</f>
        <v/>
      </c>
    </row>
    <row r="27">
      <c r="A27" s="8" t="n">
        <v>23</v>
      </c>
      <c r="B27" s="18" t="inlineStr">
        <is>
          <t>6.19</t>
        </is>
      </c>
      <c r="C27" s="35">
        <f>Plan!C74</f>
        <v/>
      </c>
      <c r="D27" s="8" t="n">
        <v>24</v>
      </c>
      <c r="E27" s="16">
        <f>Plan!J74</f>
        <v/>
      </c>
      <c r="F27" s="16">
        <f>Plan!K74</f>
        <v/>
      </c>
      <c r="G27" s="8">
        <f>F27-E27</f>
        <v/>
      </c>
      <c r="H27" s="16">
        <f>Plan!I74</f>
        <v/>
      </c>
      <c r="I27" s="16">
        <f>Plan!O74</f>
        <v/>
      </c>
    </row>
    <row r="28">
      <c r="A28" s="8" t="n">
        <v>24</v>
      </c>
      <c r="B28" s="18" t="inlineStr">
        <is>
          <t>3.10</t>
        </is>
      </c>
      <c r="C28" s="35">
        <f>Plan!C36</f>
        <v/>
      </c>
      <c r="D28" s="8" t="n">
        <v>26</v>
      </c>
      <c r="E28" s="16">
        <f>Plan!J36</f>
        <v/>
      </c>
      <c r="F28" s="16">
        <f>Plan!K36</f>
        <v/>
      </c>
      <c r="G28" s="8">
        <f>F28-E28</f>
        <v/>
      </c>
      <c r="H28" s="16">
        <f>Plan!I36</f>
        <v/>
      </c>
      <c r="I28" s="16">
        <f>Plan!O36</f>
        <v/>
      </c>
    </row>
    <row r="29">
      <c r="A29" s="8" t="n">
        <v>25</v>
      </c>
      <c r="B29" s="18" t="inlineStr">
        <is>
          <t>6.16</t>
        </is>
      </c>
      <c r="C29" s="35">
        <f>Plan!C73</f>
        <v/>
      </c>
      <c r="D29" s="8" t="n">
        <v>24</v>
      </c>
      <c r="E29" s="16">
        <f>Plan!J73</f>
        <v/>
      </c>
      <c r="F29" s="16">
        <f>Plan!K73</f>
        <v/>
      </c>
      <c r="G29" s="8">
        <f>F29-E29</f>
        <v/>
      </c>
      <c r="H29" s="16">
        <f>Plan!I73</f>
        <v/>
      </c>
      <c r="I29" s="16">
        <f>Plan!O73</f>
        <v/>
      </c>
    </row>
    <row r="30">
      <c r="A30" s="8" t="n">
        <v>26</v>
      </c>
      <c r="B30" s="18" t="inlineStr">
        <is>
          <t>4.11</t>
        </is>
      </c>
      <c r="C30" s="35">
        <f>Plan!C47</f>
        <v/>
      </c>
      <c r="D30" s="8" t="n">
        <v>26</v>
      </c>
      <c r="E30" s="16">
        <f>Plan!J47</f>
        <v/>
      </c>
      <c r="F30" s="16">
        <f>Plan!K47</f>
        <v/>
      </c>
      <c r="G30" s="8">
        <f>F30-E30</f>
        <v/>
      </c>
      <c r="H30" s="16">
        <f>Plan!I47</f>
        <v/>
      </c>
      <c r="I30" s="16">
        <f>Plan!O47</f>
        <v/>
      </c>
    </row>
    <row r="31">
      <c r="A31" s="8" t="n">
        <v>27</v>
      </c>
      <c r="B31" s="18" t="inlineStr">
        <is>
          <t>2.4</t>
        </is>
      </c>
      <c r="C31" s="35">
        <f>Plan!C16</f>
        <v/>
      </c>
      <c r="D31" s="8" t="n">
        <v>15</v>
      </c>
      <c r="E31" s="16">
        <f>Plan!J16</f>
        <v/>
      </c>
      <c r="F31" s="16">
        <f>Plan!K16</f>
        <v/>
      </c>
      <c r="G31" s="8">
        <f>F31-E31</f>
        <v/>
      </c>
      <c r="H31" s="16">
        <f>Plan!I16</f>
        <v/>
      </c>
      <c r="I31" s="16">
        <f>Plan!O16</f>
        <v/>
      </c>
    </row>
    <row r="32">
      <c r="A32" s="8" t="n">
        <v>28</v>
      </c>
      <c r="B32" s="18" t="inlineStr">
        <is>
          <t>1.6</t>
        </is>
      </c>
      <c r="C32" s="35">
        <f>Plan!C10</f>
        <v/>
      </c>
      <c r="D32" s="8" t="n">
        <v>24</v>
      </c>
      <c r="E32" s="16">
        <f>Plan!J10</f>
        <v/>
      </c>
      <c r="F32" s="16">
        <f>Plan!K10</f>
        <v/>
      </c>
      <c r="G32" s="8">
        <f>F32-E32</f>
        <v/>
      </c>
      <c r="H32" s="16">
        <f>Plan!I10</f>
        <v/>
      </c>
      <c r="I32" s="16">
        <f>Plan!O10</f>
        <v/>
      </c>
    </row>
    <row r="33">
      <c r="A33" s="8" t="n">
        <v>29</v>
      </c>
      <c r="B33" s="18" t="inlineStr">
        <is>
          <t>6.17</t>
        </is>
      </c>
      <c r="C33" s="35">
        <f>Plan!C75</f>
        <v/>
      </c>
      <c r="D33" s="8" t="n">
        <v>23</v>
      </c>
      <c r="E33" s="16">
        <f>Plan!J75</f>
        <v/>
      </c>
      <c r="F33" s="16">
        <f>Plan!K75</f>
        <v/>
      </c>
      <c r="G33" s="8">
        <f>F33-E33</f>
        <v/>
      </c>
      <c r="H33" s="16">
        <f>Plan!I75</f>
        <v/>
      </c>
      <c r="I33" s="16">
        <f>Plan!O75</f>
        <v/>
      </c>
    </row>
    <row r="34">
      <c r="A34" s="8" t="n">
        <v>30</v>
      </c>
      <c r="B34" s="18" t="inlineStr">
        <is>
          <t>1.8</t>
        </is>
      </c>
      <c r="C34" s="35">
        <f>Plan!C12</f>
        <v/>
      </c>
      <c r="D34" s="8" t="n">
        <v>21</v>
      </c>
      <c r="E34" s="16">
        <f>Plan!J12</f>
        <v/>
      </c>
      <c r="F34" s="16">
        <f>Plan!K12</f>
        <v/>
      </c>
      <c r="G34" s="8">
        <f>F34-E34</f>
        <v/>
      </c>
      <c r="H34" s="16">
        <f>Plan!I12</f>
        <v/>
      </c>
      <c r="I34" s="16">
        <f>Plan!O12</f>
        <v/>
      </c>
    </row>
    <row r="35">
      <c r="A35" s="8" t="n">
        <v>31</v>
      </c>
      <c r="B35" s="18" t="inlineStr">
        <is>
          <t>6.18</t>
        </is>
      </c>
      <c r="C35" s="35">
        <f>Plan!C76</f>
        <v/>
      </c>
      <c r="D35" s="8" t="n">
        <v>20</v>
      </c>
      <c r="E35" s="16">
        <f>Plan!J76</f>
        <v/>
      </c>
      <c r="F35" s="16">
        <f>Plan!K76</f>
        <v/>
      </c>
      <c r="G35" s="8">
        <f>F35-E35</f>
        <v/>
      </c>
      <c r="H35" s="16">
        <f>Plan!I76</f>
        <v/>
      </c>
      <c r="I35" s="16">
        <f>Plan!O76</f>
        <v/>
      </c>
    </row>
    <row r="36">
      <c r="A36" s="8" t="n">
        <v>32</v>
      </c>
      <c r="B36" s="18" t="inlineStr">
        <is>
          <t>6.13</t>
        </is>
      </c>
      <c r="C36" s="35">
        <f>Plan!C70</f>
        <v/>
      </c>
      <c r="D36" s="8" t="n">
        <v>6</v>
      </c>
      <c r="E36" s="16">
        <f>Plan!J70</f>
        <v/>
      </c>
      <c r="F36" s="16">
        <f>Plan!K70</f>
        <v/>
      </c>
      <c r="G36" s="8">
        <f>F36-E36</f>
        <v/>
      </c>
      <c r="H36" s="16">
        <f>Plan!I70</f>
        <v/>
      </c>
      <c r="I36" s="16">
        <f>Plan!O70</f>
        <v/>
      </c>
    </row>
    <row r="37">
      <c r="A37" s="8" t="n">
        <v>33</v>
      </c>
      <c r="B37" s="18" t="inlineStr">
        <is>
          <t>4.12</t>
        </is>
      </c>
      <c r="C37" s="35">
        <f>Plan!C77</f>
        <v/>
      </c>
      <c r="D37" s="8" t="n">
        <v>19</v>
      </c>
      <c r="E37" s="16">
        <f>Plan!J77</f>
        <v/>
      </c>
      <c r="F37" s="16">
        <f>Plan!K77</f>
        <v/>
      </c>
      <c r="G37" s="8">
        <f>F37-E37</f>
        <v/>
      </c>
      <c r="H37" s="16">
        <f>Plan!I77</f>
        <v/>
      </c>
      <c r="I37" s="16">
        <f>Plan!O77</f>
        <v/>
      </c>
    </row>
    <row r="38">
      <c r="A38" s="8" t="n">
        <v>34</v>
      </c>
      <c r="B38" s="18" t="inlineStr">
        <is>
          <t>3.5</t>
        </is>
      </c>
      <c r="C38" s="35">
        <f>Plan!C32</f>
        <v/>
      </c>
      <c r="D38" s="8" t="n">
        <v>16</v>
      </c>
      <c r="E38" s="16">
        <f>Plan!J32</f>
        <v/>
      </c>
      <c r="F38" s="16">
        <f>Plan!K32</f>
        <v/>
      </c>
      <c r="G38" s="8">
        <f>F38-E38</f>
        <v/>
      </c>
      <c r="H38" s="16">
        <f>Plan!I32</f>
        <v/>
      </c>
      <c r="I38" s="16">
        <f>Plan!O32</f>
        <v/>
      </c>
    </row>
    <row r="39">
      <c r="A39" s="8" t="n">
        <v>35</v>
      </c>
      <c r="B39" s="18" t="inlineStr">
        <is>
          <t>2.9</t>
        </is>
      </c>
      <c r="C39" s="35">
        <f>Plan!C21</f>
        <v/>
      </c>
      <c r="D39" s="8" t="n">
        <v>18</v>
      </c>
      <c r="E39" s="16">
        <f>Plan!J21</f>
        <v/>
      </c>
      <c r="F39" s="16">
        <f>Plan!K21</f>
        <v/>
      </c>
      <c r="G39" s="8">
        <f>F39-E39</f>
        <v/>
      </c>
      <c r="H39" s="16">
        <f>Plan!I21</f>
        <v/>
      </c>
      <c r="I39" s="16">
        <f>Plan!O21</f>
        <v/>
      </c>
    </row>
    <row r="40">
      <c r="A40" s="8" t="n">
        <v>36</v>
      </c>
      <c r="B40" s="18" t="inlineStr">
        <is>
          <t>3.6</t>
        </is>
      </c>
      <c r="C40" s="35">
        <f>Plan!C33</f>
        <v/>
      </c>
      <c r="D40" s="8" t="n">
        <v>13</v>
      </c>
      <c r="E40" s="16">
        <f>Plan!J33</f>
        <v/>
      </c>
      <c r="F40" s="16">
        <f>Plan!K33</f>
        <v/>
      </c>
      <c r="G40" s="8">
        <f>F40-E40</f>
        <v/>
      </c>
      <c r="H40" s="16">
        <f>Plan!I33</f>
        <v/>
      </c>
      <c r="I40" s="16">
        <f>Plan!O33</f>
        <v/>
      </c>
    </row>
    <row r="41">
      <c r="A41" s="8" t="n">
        <v>37</v>
      </c>
      <c r="B41" s="18" t="inlineStr">
        <is>
          <t>4.2</t>
        </is>
      </c>
      <c r="C41" s="35">
        <f>Plan!C38</f>
        <v/>
      </c>
      <c r="D41" s="8" t="n">
        <v>16</v>
      </c>
      <c r="E41" s="16">
        <f>Plan!J38</f>
        <v/>
      </c>
      <c r="F41" s="16">
        <f>Plan!K38</f>
        <v/>
      </c>
      <c r="G41" s="8">
        <f>F41-E41</f>
        <v/>
      </c>
      <c r="H41" s="16">
        <f>Plan!I38</f>
        <v/>
      </c>
      <c r="I41" s="16">
        <f>Plan!O38</f>
        <v/>
      </c>
    </row>
    <row r="42">
      <c r="A42" s="8" t="n">
        <v>38</v>
      </c>
      <c r="B42" s="18" t="inlineStr">
        <is>
          <t>4.5</t>
        </is>
      </c>
      <c r="C42" s="35">
        <f>Plan!C41</f>
        <v/>
      </c>
      <c r="D42" s="8" t="n">
        <v>14</v>
      </c>
      <c r="E42" s="16">
        <f>Plan!J41</f>
        <v/>
      </c>
      <c r="F42" s="16">
        <f>Plan!K41</f>
        <v/>
      </c>
      <c r="G42" s="8">
        <f>F42-E42</f>
        <v/>
      </c>
      <c r="H42" s="16">
        <f>Plan!I41</f>
        <v/>
      </c>
      <c r="I42" s="16">
        <f>Plan!O41</f>
        <v/>
      </c>
    </row>
    <row r="43">
      <c r="A43" s="8" t="n">
        <v>39</v>
      </c>
      <c r="B43" s="18" t="inlineStr">
        <is>
          <t>3.3</t>
        </is>
      </c>
      <c r="C43" s="35">
        <f>Plan!C30</f>
        <v/>
      </c>
      <c r="D43" s="8" t="n">
        <v>15</v>
      </c>
      <c r="E43" s="16">
        <f>Plan!J30</f>
        <v/>
      </c>
      <c r="F43" s="16">
        <f>Plan!K30</f>
        <v/>
      </c>
      <c r="G43" s="8">
        <f>F43-E43</f>
        <v/>
      </c>
      <c r="H43" s="16">
        <f>Plan!I30</f>
        <v/>
      </c>
      <c r="I43" s="16">
        <f>Plan!O30</f>
        <v/>
      </c>
    </row>
    <row r="44">
      <c r="A44" s="8" t="n">
        <v>40</v>
      </c>
      <c r="B44" s="18" t="inlineStr">
        <is>
          <t>5.2</t>
        </is>
      </c>
      <c r="C44" s="35">
        <f>Plan!C49</f>
        <v/>
      </c>
      <c r="D44" s="8" t="n">
        <v>13</v>
      </c>
      <c r="E44" s="16">
        <f>Plan!J49</f>
        <v/>
      </c>
      <c r="F44" s="16">
        <f>Plan!K49</f>
        <v/>
      </c>
      <c r="G44" s="8">
        <f>F44-E44</f>
        <v/>
      </c>
      <c r="H44" s="16">
        <f>Plan!I49</f>
        <v/>
      </c>
      <c r="I44" s="16">
        <f>Plan!O49</f>
        <v/>
      </c>
    </row>
    <row r="45">
      <c r="A45" s="8" t="n">
        <v>41</v>
      </c>
      <c r="B45" s="18" t="inlineStr">
        <is>
          <t>4.3</t>
        </is>
      </c>
      <c r="C45" s="35">
        <f>Plan!C39</f>
        <v/>
      </c>
      <c r="D45" s="8" t="n">
        <v>13</v>
      </c>
      <c r="E45" s="16">
        <f>Plan!J39</f>
        <v/>
      </c>
      <c r="F45" s="16">
        <f>Plan!K39</f>
        <v/>
      </c>
      <c r="G45" s="8">
        <f>F45-E45</f>
        <v/>
      </c>
      <c r="H45" s="16">
        <f>Plan!I39</f>
        <v/>
      </c>
      <c r="I45" s="16">
        <f>Plan!O39</f>
        <v/>
      </c>
    </row>
    <row r="46">
      <c r="A46" s="8" t="n">
        <v>42</v>
      </c>
      <c r="B46" s="18" t="inlineStr">
        <is>
          <t>3.7</t>
        </is>
      </c>
      <c r="C46" s="35">
        <f>Plan!C34</f>
        <v/>
      </c>
      <c r="D46" s="8" t="n">
        <v>12</v>
      </c>
      <c r="E46" s="16">
        <f>Plan!J34</f>
        <v/>
      </c>
      <c r="F46" s="16">
        <f>Plan!K34</f>
        <v/>
      </c>
      <c r="G46" s="8">
        <f>F46-E46</f>
        <v/>
      </c>
      <c r="H46" s="16">
        <f>Plan!I34</f>
        <v/>
      </c>
      <c r="I46" s="16">
        <f>Plan!O34</f>
        <v/>
      </c>
    </row>
    <row r="47">
      <c r="A47" s="8" t="n">
        <v>43</v>
      </c>
      <c r="B47" s="18" t="inlineStr">
        <is>
          <t>2.12</t>
        </is>
      </c>
      <c r="C47" s="35">
        <f>Plan!C24</f>
        <v/>
      </c>
      <c r="D47" s="8" t="n">
        <v>12</v>
      </c>
      <c r="E47" s="16">
        <f>Plan!J24</f>
        <v/>
      </c>
      <c r="F47" s="16">
        <f>Plan!K24</f>
        <v/>
      </c>
      <c r="G47" s="8">
        <f>F47-E47</f>
        <v/>
      </c>
      <c r="H47" s="16">
        <f>Plan!I24</f>
        <v/>
      </c>
      <c r="I47" s="16">
        <f>Plan!O24</f>
        <v/>
      </c>
    </row>
    <row r="48">
      <c r="A48" s="8" t="n">
        <v>44</v>
      </c>
      <c r="B48" s="18" t="inlineStr">
        <is>
          <t>2.10</t>
        </is>
      </c>
      <c r="C48" s="35">
        <f>Plan!C22</f>
        <v/>
      </c>
      <c r="D48" s="8" t="n">
        <v>12</v>
      </c>
      <c r="E48" s="16">
        <f>Plan!J22</f>
        <v/>
      </c>
      <c r="F48" s="16">
        <f>Plan!K22</f>
        <v/>
      </c>
      <c r="G48" s="8">
        <f>F48-E48</f>
        <v/>
      </c>
      <c r="H48" s="16">
        <f>Plan!I22</f>
        <v/>
      </c>
      <c r="I48" s="16">
        <f>Plan!O22</f>
        <v/>
      </c>
    </row>
    <row r="49">
      <c r="A49" s="8" t="n">
        <v>45</v>
      </c>
      <c r="B49" s="18" t="inlineStr">
        <is>
          <t>3.9</t>
        </is>
      </c>
      <c r="C49" s="35">
        <f>Plan!C35</f>
        <v/>
      </c>
      <c r="D49" s="8" t="n">
        <v>12</v>
      </c>
      <c r="E49" s="16">
        <f>Plan!J35</f>
        <v/>
      </c>
      <c r="F49" s="16">
        <f>Plan!K35</f>
        <v/>
      </c>
      <c r="G49" s="8">
        <f>F49-E49</f>
        <v/>
      </c>
      <c r="H49" s="16">
        <f>Plan!I35</f>
        <v/>
      </c>
      <c r="I49" s="16">
        <f>Plan!O35</f>
        <v/>
      </c>
    </row>
    <row r="50">
      <c r="A50" s="8" t="n">
        <v>46</v>
      </c>
      <c r="B50" s="18" t="inlineStr">
        <is>
          <t>4.13</t>
        </is>
      </c>
      <c r="C50" s="35">
        <f>Plan!C78</f>
        <v/>
      </c>
      <c r="D50" s="8" t="n">
        <v>14</v>
      </c>
      <c r="E50" s="16">
        <f>Plan!J78</f>
        <v/>
      </c>
      <c r="F50" s="16">
        <f>Plan!K78</f>
        <v/>
      </c>
      <c r="G50" s="8">
        <f>F50-E50</f>
        <v/>
      </c>
      <c r="H50" s="16">
        <f>Plan!I78</f>
        <v/>
      </c>
      <c r="I50" s="16">
        <f>Plan!O78</f>
        <v/>
      </c>
    </row>
    <row r="51">
      <c r="A51" s="8" t="n">
        <v>47</v>
      </c>
      <c r="B51" s="18" t="inlineStr">
        <is>
          <t>5.5</t>
        </is>
      </c>
      <c r="C51" s="35">
        <f>Plan!C52</f>
        <v/>
      </c>
      <c r="D51" s="8" t="n">
        <v>9</v>
      </c>
      <c r="E51" s="16">
        <f>Plan!J52</f>
        <v/>
      </c>
      <c r="F51" s="16">
        <f>Plan!K52</f>
        <v/>
      </c>
      <c r="G51" s="8">
        <f>F51-E51</f>
        <v/>
      </c>
      <c r="H51" s="16">
        <f>Plan!I52</f>
        <v/>
      </c>
      <c r="I51" s="16">
        <f>Plan!O52</f>
        <v/>
      </c>
    </row>
    <row r="52">
      <c r="A52" s="8" t="n">
        <v>48</v>
      </c>
      <c r="B52" s="18" t="inlineStr">
        <is>
          <t>5.6</t>
        </is>
      </c>
      <c r="C52" s="35">
        <f>Plan!C53</f>
        <v/>
      </c>
      <c r="D52" s="8" t="n">
        <v>9</v>
      </c>
      <c r="E52" s="16">
        <f>Plan!J53</f>
        <v/>
      </c>
      <c r="F52" s="16">
        <f>Plan!K53</f>
        <v/>
      </c>
      <c r="G52" s="8">
        <f>F52-E52</f>
        <v/>
      </c>
      <c r="H52" s="16">
        <f>Plan!I53</f>
        <v/>
      </c>
      <c r="I52" s="16">
        <f>Plan!O53</f>
        <v/>
      </c>
    </row>
    <row r="53">
      <c r="A53" s="8" t="n">
        <v>49</v>
      </c>
      <c r="B53" s="18" t="inlineStr">
        <is>
          <t>2.11</t>
        </is>
      </c>
      <c r="C53" s="35">
        <f>Plan!C23</f>
        <v/>
      </c>
      <c r="D53" s="8" t="n">
        <v>9</v>
      </c>
      <c r="E53" s="16">
        <f>Plan!J23</f>
        <v/>
      </c>
      <c r="F53" s="16">
        <f>Plan!K23</f>
        <v/>
      </c>
      <c r="G53" s="8">
        <f>F53-E53</f>
        <v/>
      </c>
      <c r="H53" s="16">
        <f>Plan!I23</f>
        <v/>
      </c>
      <c r="I53" s="16">
        <f>Plan!O23</f>
        <v/>
      </c>
    </row>
    <row r="54">
      <c r="A54" s="8" t="n">
        <v>50</v>
      </c>
      <c r="B54" s="18" t="inlineStr">
        <is>
          <t>6.20</t>
        </is>
      </c>
      <c r="C54" s="35">
        <f>Plan!C79</f>
        <v/>
      </c>
      <c r="D54" s="8" t="n">
        <v>9</v>
      </c>
      <c r="E54" s="16">
        <f>Plan!J79</f>
        <v/>
      </c>
      <c r="F54" s="16">
        <f>Plan!K79</f>
        <v/>
      </c>
      <c r="G54" s="8">
        <f>F54-E54</f>
        <v/>
      </c>
      <c r="H54" s="16">
        <f>Plan!I79</f>
        <v/>
      </c>
      <c r="I54" s="16">
        <f>Plan!O79</f>
        <v/>
      </c>
    </row>
    <row r="55">
      <c r="A55" s="8" t="n">
        <v>51</v>
      </c>
      <c r="B55" s="18" t="inlineStr">
        <is>
          <t>4.14</t>
        </is>
      </c>
      <c r="C55" s="35">
        <f>Plan!C80</f>
        <v/>
      </c>
      <c r="D55" s="8" t="n">
        <v>8</v>
      </c>
      <c r="E55" s="16">
        <f>Plan!J80</f>
        <v/>
      </c>
      <c r="F55" s="16">
        <f>Plan!K80</f>
        <v/>
      </c>
      <c r="G55" s="8">
        <f>F55-E55</f>
        <v/>
      </c>
      <c r="H55" s="16">
        <f>Plan!I80</f>
        <v/>
      </c>
      <c r="I55" s="16">
        <f>Plan!O80</f>
        <v/>
      </c>
    </row>
    <row r="56">
      <c r="A56" s="8" t="n">
        <v>52</v>
      </c>
      <c r="B56" s="18" t="inlineStr">
        <is>
          <t>6.8</t>
        </is>
      </c>
      <c r="C56" s="35">
        <f>Plan!C65</f>
        <v/>
      </c>
      <c r="D56" s="8" t="n">
        <v>6</v>
      </c>
      <c r="E56" s="16">
        <f>Plan!J65</f>
        <v/>
      </c>
      <c r="F56" s="16">
        <f>Plan!K65</f>
        <v/>
      </c>
      <c r="G56" s="8">
        <f>F56-E56</f>
        <v/>
      </c>
      <c r="H56" s="16">
        <f>Plan!I65</f>
        <v/>
      </c>
      <c r="I56" s="16">
        <f>Plan!O65</f>
        <v/>
      </c>
    </row>
    <row r="57">
      <c r="A57" s="8" t="n">
        <v>53</v>
      </c>
      <c r="B57" s="18" t="inlineStr">
        <is>
          <t>4.8</t>
        </is>
      </c>
      <c r="C57" s="35">
        <f>Plan!C44</f>
        <v/>
      </c>
      <c r="D57" s="8" t="n">
        <v>4</v>
      </c>
      <c r="E57" s="16">
        <f>Plan!J44</f>
        <v/>
      </c>
      <c r="F57" s="16">
        <f>Plan!K44</f>
        <v/>
      </c>
      <c r="G57" s="8">
        <f>F57-E57</f>
        <v/>
      </c>
      <c r="H57" s="16">
        <f>Plan!I44</f>
        <v/>
      </c>
      <c r="I57" s="16">
        <f>Plan!O44</f>
        <v/>
      </c>
    </row>
    <row r="58">
      <c r="A58" s="8" t="n">
        <v>54</v>
      </c>
      <c r="B58" s="18" t="inlineStr">
        <is>
          <t>6.11</t>
        </is>
      </c>
      <c r="C58" s="35">
        <f>Plan!C68</f>
        <v/>
      </c>
      <c r="D58" s="8" t="n">
        <v>7</v>
      </c>
      <c r="E58" s="16">
        <f>Plan!J68</f>
        <v/>
      </c>
      <c r="F58" s="16">
        <f>Plan!K68</f>
        <v/>
      </c>
      <c r="G58" s="8">
        <f>F58-E58</f>
        <v/>
      </c>
      <c r="H58" s="16">
        <f>Plan!I68</f>
        <v/>
      </c>
      <c r="I58" s="16">
        <f>Plan!O68</f>
        <v/>
      </c>
    </row>
    <row r="59">
      <c r="A59" s="8" t="n">
        <v>55</v>
      </c>
      <c r="B59" s="18" t="inlineStr">
        <is>
          <t>4.7</t>
        </is>
      </c>
      <c r="C59" s="35">
        <f>Plan!C43</f>
        <v/>
      </c>
      <c r="D59" s="8" t="n">
        <v>5</v>
      </c>
      <c r="E59" s="16">
        <f>Plan!J43</f>
        <v/>
      </c>
      <c r="F59" s="16">
        <f>Plan!K43</f>
        <v/>
      </c>
      <c r="G59" s="8">
        <f>F59-E59</f>
        <v/>
      </c>
      <c r="H59" s="16">
        <f>Plan!I43</f>
        <v/>
      </c>
      <c r="I59" s="16">
        <f>Plan!O43</f>
        <v/>
      </c>
    </row>
    <row r="60">
      <c r="A60" s="8" t="n">
        <v>56</v>
      </c>
      <c r="B60" s="18" t="inlineStr">
        <is>
          <t>6.9</t>
        </is>
      </c>
      <c r="C60" s="35">
        <f>Plan!C66</f>
        <v/>
      </c>
      <c r="D60" s="8" t="n">
        <v>6</v>
      </c>
      <c r="E60" s="16">
        <f>Plan!J66</f>
        <v/>
      </c>
      <c r="F60" s="16">
        <f>Plan!K66</f>
        <v/>
      </c>
      <c r="G60" s="8">
        <f>F60-E60</f>
        <v/>
      </c>
      <c r="H60" s="16">
        <f>Plan!I66</f>
        <v/>
      </c>
      <c r="I60" s="16">
        <f>Plan!O66</f>
        <v/>
      </c>
    </row>
    <row r="61">
      <c r="A61" s="8" t="n">
        <v>57</v>
      </c>
      <c r="B61" s="18" t="inlineStr">
        <is>
          <t>4.4</t>
        </is>
      </c>
      <c r="C61" s="35">
        <f>Plan!C40</f>
        <v/>
      </c>
      <c r="D61" s="8" t="n">
        <v>7</v>
      </c>
      <c r="E61" s="16">
        <f>Plan!J40</f>
        <v/>
      </c>
      <c r="F61" s="16">
        <f>Plan!K40</f>
        <v/>
      </c>
      <c r="G61" s="8">
        <f>F61-E61</f>
        <v/>
      </c>
      <c r="H61" s="16">
        <f>Plan!I40</f>
        <v/>
      </c>
      <c r="I61" s="16">
        <f>Plan!O40</f>
        <v/>
      </c>
    </row>
    <row r="62">
      <c r="A62" s="8" t="n">
        <v>58</v>
      </c>
      <c r="B62" s="18" t="inlineStr">
        <is>
          <t>5.1</t>
        </is>
      </c>
      <c r="C62" s="35">
        <f>Plan!C48</f>
        <v/>
      </c>
      <c r="D62" s="8" t="n">
        <v>5</v>
      </c>
      <c r="E62" s="16">
        <f>Plan!J48</f>
        <v/>
      </c>
      <c r="F62" s="16">
        <f>Plan!K48</f>
        <v/>
      </c>
      <c r="G62" s="8">
        <f>F62-E62</f>
        <v/>
      </c>
      <c r="H62" s="16">
        <f>Plan!I48</f>
        <v/>
      </c>
      <c r="I62" s="16">
        <f>Plan!O48</f>
        <v/>
      </c>
    </row>
    <row r="63">
      <c r="A63" s="8" t="n">
        <v>59</v>
      </c>
      <c r="B63" s="18" t="inlineStr">
        <is>
          <t>6.22</t>
        </is>
      </c>
      <c r="C63" s="35">
        <f>Plan!C83</f>
        <v/>
      </c>
      <c r="D63" s="8" t="n">
        <v>3</v>
      </c>
      <c r="E63" s="16">
        <f>Plan!J83</f>
        <v/>
      </c>
      <c r="F63" s="16">
        <f>Plan!K83</f>
        <v/>
      </c>
      <c r="G63" s="8">
        <f>F63-E63</f>
        <v/>
      </c>
      <c r="H63" s="16">
        <f>Plan!I83</f>
        <v/>
      </c>
      <c r="I63" s="16">
        <f>Plan!O83</f>
        <v/>
      </c>
    </row>
    <row r="64">
      <c r="A64" s="8" t="n">
        <v>60</v>
      </c>
      <c r="B64" s="18" t="inlineStr">
        <is>
          <t>5.7</t>
        </is>
      </c>
      <c r="C64" s="35">
        <f>Plan!C54</f>
        <v/>
      </c>
      <c r="D64" s="8" t="n">
        <v>3</v>
      </c>
      <c r="E64" s="16">
        <f>Plan!J54</f>
        <v/>
      </c>
      <c r="F64" s="16">
        <f>Plan!K54</f>
        <v/>
      </c>
      <c r="G64" s="8">
        <f>F64-E64</f>
        <v/>
      </c>
      <c r="H64" s="16">
        <f>Plan!I54</f>
        <v/>
      </c>
      <c r="I64" s="16">
        <f>Plan!O54</f>
        <v/>
      </c>
    </row>
    <row r="65">
      <c r="A65" s="8" t="n">
        <v>61</v>
      </c>
      <c r="B65" s="18" t="inlineStr">
        <is>
          <t>2.13</t>
        </is>
      </c>
      <c r="C65" s="35">
        <f>Plan!C25</f>
        <v/>
      </c>
      <c r="D65" s="8" t="n">
        <v>1</v>
      </c>
      <c r="E65" s="16">
        <f>Plan!J25</f>
        <v/>
      </c>
      <c r="F65" s="16">
        <f>Plan!K25</f>
        <v/>
      </c>
      <c r="G65" s="8">
        <f>F65-E65</f>
        <v/>
      </c>
      <c r="H65" s="16">
        <f>Plan!I25</f>
        <v/>
      </c>
      <c r="I65" s="16">
        <f>Plan!O25</f>
        <v/>
      </c>
    </row>
    <row r="66">
      <c r="A66" s="8" t="n">
        <v>62</v>
      </c>
      <c r="B66" s="18" t="inlineStr">
        <is>
          <t>5.13</t>
        </is>
      </c>
      <c r="C66" s="35">
        <f>Plan!C86</f>
        <v/>
      </c>
      <c r="D66" s="8" t="n">
        <v>1</v>
      </c>
      <c r="E66" s="16">
        <f>Plan!J86</f>
        <v/>
      </c>
      <c r="F66" s="16">
        <f>Plan!K86</f>
        <v/>
      </c>
      <c r="G66" s="8">
        <f>F66-E66</f>
        <v/>
      </c>
      <c r="H66" s="16">
        <f>Plan!I86</f>
        <v/>
      </c>
      <c r="I66" s="16">
        <f>Plan!O86</f>
        <v/>
      </c>
    </row>
    <row r="67">
      <c r="A67" s="8" t="n">
        <v>63</v>
      </c>
      <c r="B67" s="18" t="inlineStr">
        <is>
          <t>6.21</t>
        </is>
      </c>
      <c r="C67" s="35">
        <f>Plan!C82</f>
        <v/>
      </c>
      <c r="D67" s="8" t="n">
        <v>2</v>
      </c>
      <c r="E67" s="16">
        <f>Plan!J82</f>
        <v/>
      </c>
      <c r="F67" s="16">
        <f>Plan!K82</f>
        <v/>
      </c>
      <c r="G67" s="8">
        <f>F67-E67</f>
        <v/>
      </c>
      <c r="H67" s="16">
        <f>Plan!I82</f>
        <v/>
      </c>
      <c r="I67" s="16">
        <f>Plan!O82</f>
        <v/>
      </c>
    </row>
    <row r="68">
      <c r="A68" s="8" t="n">
        <v>64</v>
      </c>
      <c r="B68" s="18" t="inlineStr">
        <is>
          <t>5.8</t>
        </is>
      </c>
      <c r="C68" s="35">
        <f>Plan!C55</f>
        <v/>
      </c>
      <c r="D68" s="8" t="n">
        <v>1</v>
      </c>
      <c r="E68" s="16">
        <f>Plan!J55</f>
        <v/>
      </c>
      <c r="F68" s="16">
        <f>Plan!K55</f>
        <v/>
      </c>
      <c r="G68" s="8">
        <f>F68-E68</f>
        <v/>
      </c>
      <c r="H68" s="16">
        <f>Plan!I55</f>
        <v/>
      </c>
      <c r="I68" s="16">
        <f>Plan!O55</f>
        <v/>
      </c>
    </row>
    <row r="69">
      <c r="A69" s="8" t="n">
        <v>65</v>
      </c>
      <c r="B69" s="18" t="inlineStr">
        <is>
          <t>4.15</t>
        </is>
      </c>
      <c r="C69" s="35">
        <f>Plan!C81</f>
        <v/>
      </c>
      <c r="D69" s="8" t="n">
        <v>4</v>
      </c>
      <c r="E69" s="16">
        <f>Plan!J81</f>
        <v/>
      </c>
      <c r="F69" s="16">
        <f>Plan!K81</f>
        <v/>
      </c>
      <c r="G69" s="8">
        <f>F69-E69</f>
        <v/>
      </c>
      <c r="H69" s="16">
        <f>Plan!I81</f>
        <v/>
      </c>
      <c r="I69" s="16">
        <f>Plan!O81</f>
        <v/>
      </c>
    </row>
    <row r="70">
      <c r="A70" s="8" t="n">
        <v>66</v>
      </c>
      <c r="B70" s="18" t="inlineStr">
        <is>
          <t>3.2</t>
        </is>
      </c>
      <c r="C70" s="35">
        <f>Plan!C29</f>
        <v/>
      </c>
      <c r="D70" s="8" t="n">
        <v>3</v>
      </c>
      <c r="E70" s="16">
        <f>Plan!J29</f>
        <v/>
      </c>
      <c r="F70" s="16">
        <f>Plan!K29</f>
        <v/>
      </c>
      <c r="G70" s="8">
        <f>F70-E70</f>
        <v/>
      </c>
      <c r="H70" s="16">
        <f>Plan!I29</f>
        <v/>
      </c>
      <c r="I70" s="16">
        <f>Plan!O29</f>
        <v/>
      </c>
    </row>
    <row r="71">
      <c r="A71" s="8" t="n">
        <v>67</v>
      </c>
      <c r="B71" s="18" t="inlineStr">
        <is>
          <t>4.9</t>
        </is>
      </c>
      <c r="C71" s="35">
        <f>Plan!C45</f>
        <v/>
      </c>
      <c r="D71" s="8" t="n">
        <v>2</v>
      </c>
      <c r="E71" s="16">
        <f>Plan!J45</f>
        <v/>
      </c>
      <c r="F71" s="16">
        <f>Plan!K45</f>
        <v/>
      </c>
      <c r="G71" s="8">
        <f>F71-E71</f>
        <v/>
      </c>
      <c r="H71" s="16">
        <f>Plan!I45</f>
        <v/>
      </c>
      <c r="I71" s="16">
        <f>Plan!O45</f>
        <v/>
      </c>
    </row>
    <row r="72">
      <c r="A72" s="8" t="n">
        <v>68</v>
      </c>
      <c r="B72" s="18" t="inlineStr">
        <is>
          <t>5.10</t>
        </is>
      </c>
      <c r="C72" s="35">
        <f>Plan!C57</f>
        <v/>
      </c>
      <c r="D72" s="8" t="n">
        <v>2</v>
      </c>
      <c r="E72" s="16">
        <f>Plan!J57</f>
        <v/>
      </c>
      <c r="F72" s="16">
        <f>Plan!K57</f>
        <v/>
      </c>
      <c r="G72" s="8">
        <f>F72-E72</f>
        <v/>
      </c>
      <c r="H72" s="16">
        <f>Plan!I57</f>
        <v/>
      </c>
      <c r="I72" s="16">
        <f>Plan!O57</f>
        <v/>
      </c>
    </row>
    <row r="73">
      <c r="A73" s="8" t="n">
        <v>69</v>
      </c>
      <c r="B73" s="18" t="inlineStr">
        <is>
          <t>6.1</t>
        </is>
      </c>
      <c r="C73" s="35">
        <f>Plan!C58</f>
        <v/>
      </c>
      <c r="D73" s="8" t="n">
        <v>11</v>
      </c>
      <c r="E73" s="16">
        <f>Plan!J58</f>
        <v/>
      </c>
      <c r="F73" s="16">
        <f>Plan!K58</f>
        <v/>
      </c>
      <c r="G73" s="8">
        <f>F73-E73</f>
        <v/>
      </c>
      <c r="H73" s="16">
        <f>Plan!I58</f>
        <v/>
      </c>
      <c r="I73" s="16">
        <f>Plan!O58</f>
        <v/>
      </c>
    </row>
    <row r="74">
      <c r="A74" s="8" t="n">
        <v>70</v>
      </c>
      <c r="B74" s="18" t="inlineStr">
        <is>
          <t>5.4</t>
        </is>
      </c>
      <c r="C74" s="35">
        <f>Plan!C51</f>
        <v/>
      </c>
      <c r="D74" s="8" t="n">
        <v>9</v>
      </c>
      <c r="E74" s="16">
        <f>Plan!J51</f>
        <v/>
      </c>
      <c r="F74" s="16">
        <f>Plan!K51</f>
        <v/>
      </c>
      <c r="G74" s="8">
        <f>F74-E74</f>
        <v/>
      </c>
      <c r="H74" s="16">
        <f>Plan!I51</f>
        <v/>
      </c>
      <c r="I74" s="16">
        <f>Plan!O51</f>
        <v/>
      </c>
    </row>
    <row r="75">
      <c r="A75" s="8" t="n">
        <v>71</v>
      </c>
      <c r="B75" s="18" t="inlineStr">
        <is>
          <t>6.2</t>
        </is>
      </c>
      <c r="C75" s="35">
        <f>Plan!C59</f>
        <v/>
      </c>
      <c r="D75" s="8" t="n">
        <v>7</v>
      </c>
      <c r="E75" s="16">
        <f>Plan!J59</f>
        <v/>
      </c>
      <c r="F75" s="16">
        <f>Plan!K59</f>
        <v/>
      </c>
      <c r="G75" s="8">
        <f>F75-E75</f>
        <v/>
      </c>
      <c r="H75" s="16">
        <f>Plan!I59</f>
        <v/>
      </c>
      <c r="I75" s="16">
        <f>Plan!O59</f>
        <v/>
      </c>
    </row>
    <row r="76">
      <c r="A76" s="8" t="n">
        <v>72</v>
      </c>
      <c r="B76" s="18" t="inlineStr">
        <is>
          <t>5.3</t>
        </is>
      </c>
      <c r="C76" s="35">
        <f>Plan!C50</f>
        <v/>
      </c>
      <c r="D76" s="8" t="n">
        <v>10</v>
      </c>
      <c r="E76" s="16">
        <f>Plan!J50</f>
        <v/>
      </c>
      <c r="F76" s="16">
        <f>Plan!K50</f>
        <v/>
      </c>
      <c r="G76" s="8">
        <f>F76-E76</f>
        <v/>
      </c>
      <c r="H76" s="16">
        <f>Plan!I50</f>
        <v/>
      </c>
      <c r="I76" s="16">
        <f>Plan!O50</f>
        <v/>
      </c>
    </row>
    <row r="77">
      <c r="A77" s="8" t="n">
        <v>73</v>
      </c>
      <c r="B77" s="18" t="inlineStr">
        <is>
          <t>6.14</t>
        </is>
      </c>
      <c r="C77" s="35">
        <f>Plan!C71</f>
        <v/>
      </c>
      <c r="D77" s="8" t="n">
        <v>1</v>
      </c>
      <c r="E77" s="16">
        <f>Plan!J71</f>
        <v/>
      </c>
      <c r="F77" s="16">
        <f>Plan!K71</f>
        <v/>
      </c>
      <c r="G77" s="8">
        <f>F77-E77</f>
        <v/>
      </c>
      <c r="H77" s="16">
        <f>Plan!I71</f>
        <v/>
      </c>
      <c r="I77" s="16">
        <f>Plan!O71</f>
        <v/>
      </c>
    </row>
    <row r="78">
      <c r="A78" s="8" t="n">
        <v>74</v>
      </c>
      <c r="B78" s="18" t="inlineStr">
        <is>
          <t>6.12</t>
        </is>
      </c>
      <c r="C78" s="35">
        <f>Plan!C69</f>
        <v/>
      </c>
      <c r="D78" s="8" t="n">
        <v>1</v>
      </c>
      <c r="E78" s="16">
        <f>Plan!J69</f>
        <v/>
      </c>
      <c r="F78" s="16">
        <f>Plan!K69</f>
        <v/>
      </c>
      <c r="G78" s="8">
        <f>F78-E78</f>
        <v/>
      </c>
      <c r="H78" s="16">
        <f>Plan!I69</f>
        <v/>
      </c>
      <c r="I78" s="16">
        <f>Plan!O69</f>
        <v/>
      </c>
    </row>
    <row r="79">
      <c r="A79" s="8" t="n">
        <v>75</v>
      </c>
      <c r="B79" s="18" t="inlineStr">
        <is>
          <t>6.3</t>
        </is>
      </c>
      <c r="C79" s="35">
        <f>Plan!C60</f>
        <v/>
      </c>
      <c r="D79" s="8" t="n">
        <v>8</v>
      </c>
      <c r="E79" s="16">
        <f>Plan!J60</f>
        <v/>
      </c>
      <c r="F79" s="16">
        <f>Plan!K60</f>
        <v/>
      </c>
      <c r="G79" s="8">
        <f>F79-E79</f>
        <v/>
      </c>
      <c r="H79" s="16">
        <f>Plan!I60</f>
        <v/>
      </c>
      <c r="I79" s="16">
        <f>Plan!O60</f>
        <v/>
      </c>
    </row>
    <row r="80">
      <c r="A80" s="8" t="n">
        <v>76</v>
      </c>
      <c r="B80" s="18" t="inlineStr">
        <is>
          <t>6.15</t>
        </is>
      </c>
      <c r="C80" s="35">
        <f>Plan!C72</f>
        <v/>
      </c>
      <c r="D80" s="8" t="n">
        <v>1</v>
      </c>
      <c r="E80" s="16">
        <f>Plan!J72</f>
        <v/>
      </c>
      <c r="F80" s="16">
        <f>Plan!K72</f>
        <v/>
      </c>
      <c r="G80" s="8">
        <f>F80-E80</f>
        <v/>
      </c>
      <c r="H80" s="16">
        <f>Plan!I72</f>
        <v/>
      </c>
      <c r="I80" s="16">
        <f>Plan!O72</f>
        <v/>
      </c>
    </row>
    <row r="81">
      <c r="A81" s="8" t="n">
        <v>77</v>
      </c>
      <c r="B81" s="18" t="inlineStr">
        <is>
          <t>5.12</t>
        </is>
      </c>
      <c r="C81" s="35">
        <f>Plan!C85</f>
        <v/>
      </c>
      <c r="D81" s="8" t="n">
        <v>2</v>
      </c>
      <c r="E81" s="16">
        <f>Plan!J85</f>
        <v/>
      </c>
      <c r="F81" s="16">
        <f>Plan!K85</f>
        <v/>
      </c>
      <c r="G81" s="8">
        <f>F81-E81</f>
        <v/>
      </c>
      <c r="H81" s="16">
        <f>Plan!I85</f>
        <v/>
      </c>
      <c r="I81" s="16">
        <f>Plan!O85</f>
        <v/>
      </c>
    </row>
    <row r="82">
      <c r="A82" s="8" t="n">
        <v>78</v>
      </c>
      <c r="B82" s="18" t="inlineStr">
        <is>
          <t>6.23</t>
        </is>
      </c>
      <c r="C82" s="35">
        <f>Plan!C87</f>
        <v/>
      </c>
      <c r="D82" s="8" t="n">
        <v>1</v>
      </c>
      <c r="E82" s="16">
        <f>Plan!J87</f>
        <v/>
      </c>
      <c r="F82" s="16">
        <f>Plan!K87</f>
        <v/>
      </c>
      <c r="G82" s="8">
        <f>F82-E82</f>
        <v/>
      </c>
      <c r="H82" s="16">
        <f>Plan!I87</f>
        <v/>
      </c>
      <c r="I82" s="16">
        <f>Plan!O87</f>
        <v/>
      </c>
    </row>
    <row r="83">
      <c r="A83" s="8" t="n">
        <v>79</v>
      </c>
      <c r="B83" s="18" t="inlineStr">
        <is>
          <t>6.5</t>
        </is>
      </c>
      <c r="C83" s="35">
        <f>Plan!C62</f>
        <v/>
      </c>
      <c r="D83" s="8" t="n">
        <v>5</v>
      </c>
      <c r="E83" s="16">
        <f>Plan!J62</f>
        <v/>
      </c>
      <c r="F83" s="16">
        <f>Plan!K62</f>
        <v/>
      </c>
      <c r="G83" s="8">
        <f>F83-E83</f>
        <v/>
      </c>
      <c r="H83" s="16">
        <f>Plan!I62</f>
        <v/>
      </c>
      <c r="I83" s="16">
        <f>Plan!O62</f>
        <v/>
      </c>
    </row>
    <row r="84">
      <c r="A84" s="8" t="n">
        <v>80</v>
      </c>
      <c r="B84" s="18" t="inlineStr">
        <is>
          <t>6.6</t>
        </is>
      </c>
      <c r="C84" s="35">
        <f>Plan!C63</f>
        <v/>
      </c>
      <c r="D84" s="8" t="n">
        <v>3</v>
      </c>
      <c r="E84" s="16">
        <f>Plan!J63</f>
        <v/>
      </c>
      <c r="F84" s="16">
        <f>Plan!K63</f>
        <v/>
      </c>
      <c r="G84" s="8">
        <f>F84-E84</f>
        <v/>
      </c>
      <c r="H84" s="16">
        <f>Plan!I63</f>
        <v/>
      </c>
      <c r="I84" s="16">
        <f>Plan!O63</f>
        <v/>
      </c>
    </row>
    <row r="85">
      <c r="A85" s="8" t="n">
        <v>81</v>
      </c>
      <c r="B85" s="18" t="inlineStr">
        <is>
          <t>6.24</t>
        </is>
      </c>
      <c r="C85" s="35">
        <f>Plan!C88</f>
        <v/>
      </c>
      <c r="D85" s="8" t="n">
        <v>1</v>
      </c>
      <c r="E85" s="16">
        <f>Plan!J88</f>
        <v/>
      </c>
      <c r="F85" s="16">
        <f>Plan!K88</f>
        <v/>
      </c>
      <c r="G85" s="8">
        <f>F85-E85</f>
        <v/>
      </c>
      <c r="H85" s="16">
        <f>Plan!I88</f>
        <v/>
      </c>
      <c r="I85" s="16">
        <f>Plan!O88</f>
        <v/>
      </c>
    </row>
    <row r="86">
      <c r="A86" s="8" t="n">
        <v>82</v>
      </c>
      <c r="B86" s="18" t="inlineStr">
        <is>
          <t>6.7</t>
        </is>
      </c>
      <c r="C86" s="35">
        <f>Plan!C64</f>
        <v/>
      </c>
      <c r="D86" s="8" t="n">
        <v>1</v>
      </c>
      <c r="E86" s="16">
        <f>Plan!J64</f>
        <v/>
      </c>
      <c r="F86" s="16">
        <f>Plan!K64</f>
        <v/>
      </c>
      <c r="G86" s="8">
        <f>F86-E86</f>
        <v/>
      </c>
      <c r="H86" s="16">
        <f>Plan!I64</f>
        <v/>
      </c>
      <c r="I86" s="16">
        <f>Plan!O64</f>
        <v/>
      </c>
    </row>
    <row r="87">
      <c r="A87" s="8" t="n">
        <v>83</v>
      </c>
      <c r="B87" s="18" t="inlineStr">
        <is>
          <t>5.9</t>
        </is>
      </c>
      <c r="C87" s="35">
        <f>Plan!C56</f>
        <v/>
      </c>
      <c r="D87" s="8" t="n">
        <v>3</v>
      </c>
      <c r="E87" s="16">
        <f>Plan!J56</f>
        <v/>
      </c>
      <c r="F87" s="16">
        <f>Plan!K56</f>
        <v/>
      </c>
      <c r="G87" s="8">
        <f>F87-E87</f>
        <v/>
      </c>
      <c r="H87" s="16">
        <f>Plan!I56</f>
        <v/>
      </c>
      <c r="I87" s="16">
        <f>Plan!O56</f>
        <v/>
      </c>
    </row>
    <row r="88">
      <c r="A88" s="8" t="n">
        <v>84</v>
      </c>
      <c r="B88" s="18" t="inlineStr">
        <is>
          <t>5.11</t>
        </is>
      </c>
      <c r="C88" s="35">
        <f>Plan!C84</f>
        <v/>
      </c>
      <c r="D88" s="8" t="n">
        <v>2</v>
      </c>
      <c r="E88" s="16">
        <f>Plan!J84</f>
        <v/>
      </c>
      <c r="F88" s="16">
        <f>Plan!K84</f>
        <v/>
      </c>
      <c r="G88" s="8">
        <f>F88-E88</f>
        <v/>
      </c>
      <c r="H88" s="16">
        <f>Plan!I84</f>
        <v/>
      </c>
      <c r="I88" s="16">
        <f>Plan!O84</f>
        <v/>
      </c>
    </row>
    <row r="90">
      <c r="B90" s="3" t="inlineStr">
        <is>
          <t>Estadísticas de la cola</t>
        </is>
      </c>
    </row>
    <row r="91">
      <c r="B91" s="23" t="inlineStr">
        <is>
          <t>Fila</t>
        </is>
      </c>
      <c r="C91" s="23" t="inlineStr">
        <is>
          <t>Actividades</t>
        </is>
      </c>
      <c r="D91" s="23" t="inlineStr">
        <is>
          <t>Bloques ocupados</t>
        </is>
      </c>
      <c r="E91" s="23" t="inlineStr">
        <is>
          <t>Uso</t>
        </is>
      </c>
      <c r="F91" s="23" t="inlineStr">
        <is>
          <t>Espera promedio</t>
        </is>
      </c>
    </row>
    <row r="92">
      <c r="B92" s="18" t="inlineStr">
        <is>
          <t>A</t>
        </is>
      </c>
      <c r="C92" s="15">
        <f>COUNTIF($H$5:$H$88,B92)</f>
        <v/>
      </c>
      <c r="D92" s="15">
        <f>SUMIF(Plan!$I$5:$I$88,B92,Plan!$E$5:$E$88)</f>
        <v/>
      </c>
      <c r="E92" s="36">
        <f>IF(Resumen!$C$17=0,0,D92/Resumen!$C$17)</f>
        <v/>
      </c>
      <c r="F92" s="37">
        <f>IFERROR(AVERAGEIF($H$5:$H$88,B92,$G$5:$G$88),0)</f>
        <v/>
      </c>
    </row>
    <row r="93">
      <c r="B93" s="18" t="inlineStr">
        <is>
          <t>B</t>
        </is>
      </c>
      <c r="C93" s="15">
        <f>COUNTIF($H$5:$H$88,B93)</f>
        <v/>
      </c>
      <c r="D93" s="15">
        <f>SUMIF(Plan!$I$5:$I$88,B93,Plan!$E$5:$E$88)</f>
        <v/>
      </c>
      <c r="E93" s="36">
        <f>IF(Resumen!$C$17=0,0,D93/Resumen!$C$17)</f>
        <v/>
      </c>
      <c r="F93" s="37">
        <f>IFERROR(AVERAGEIF($H$5:$H$88,B93,$G$5:$G$88),0)</f>
        <v/>
      </c>
    </row>
    <row r="94">
      <c r="B94" s="18" t="inlineStr">
        <is>
          <t>A+B</t>
        </is>
      </c>
      <c r="C94" s="15">
        <f>COUNTIF($H$5:$H$88,B94)</f>
        <v/>
      </c>
      <c r="D94" s="15">
        <f>SUMIF(Plan!$I$5:$I$88,B94,Plan!$E$5:$E$88)</f>
        <v/>
      </c>
      <c r="E94" s="36">
        <f>IF(Resumen!$C$17=0,0,D94/Resumen!$C$17)</f>
        <v/>
      </c>
      <c r="F94" s="37">
        <f>IFERROR(AVERAGEIF($H$5:$H$88,B94,$G$5:$G$88),0)</f>
        <v/>
      </c>
    </row>
    <row r="95">
      <c r="B95" s="19" t="inlineStr">
        <is>
          <t>Total</t>
        </is>
      </c>
      <c r="C95" s="9">
        <f>SUM(C92:C94)</f>
        <v/>
      </c>
      <c r="F95" s="11">
        <f>AVERAGE($G$5:$G$88)</f>
        <v/>
      </c>
    </row>
  </sheetData>
  <conditionalFormatting sqref="I5:I88">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88">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COUNTIF(Plan!$D$5:$D$88,A5)</f>
        <v/>
      </c>
    </row>
    <row r="6">
      <c r="A6" s="18" t="n">
        <v>2</v>
      </c>
      <c r="B6" s="4" t="inlineStr">
        <is>
          <t>Baja</t>
        </is>
      </c>
      <c r="C6" s="8" t="n">
        <v>2</v>
      </c>
      <c r="D6" s="4" t="inlineStr">
        <is>
          <t>1 jornada</t>
        </is>
      </c>
      <c r="E6" s="7" t="inlineStr">
        <is>
          <t>SMTP con Resend; proteger /cuenta en proxy.ts</t>
        </is>
      </c>
      <c r="F6" s="15">
        <f>COUNTIF(Plan!$D$5:$D$88,A6)</f>
        <v/>
      </c>
    </row>
    <row r="7">
      <c r="A7" s="18" t="n">
        <v>3</v>
      </c>
      <c r="B7" s="4" t="inlineStr">
        <is>
          <t>Media</t>
        </is>
      </c>
      <c r="C7" s="8" t="n">
        <v>3</v>
      </c>
      <c r="D7" s="4" t="inlineStr">
        <is>
          <t>1,5 jornadas</t>
        </is>
      </c>
      <c r="E7" s="7" t="inlineStr">
        <is>
          <t>Verificación del código OTP; /cuenta con datos reales</t>
        </is>
      </c>
      <c r="F7" s="15">
        <f>COUNTIF(Plan!$D$5:$D$88,A7)</f>
        <v/>
      </c>
    </row>
    <row r="8">
      <c r="A8" s="18" t="n">
        <v>4</v>
      </c>
      <c r="B8" s="4" t="inlineStr">
        <is>
          <t>Alta</t>
        </is>
      </c>
      <c r="C8" s="8" t="n">
        <v>4</v>
      </c>
      <c r="D8" s="4" t="inlineStr">
        <is>
          <t>2 jornadas</t>
        </is>
      </c>
      <c r="E8" s="7" t="inlineStr">
        <is>
          <t>Panel /admin; afiliación con Resend; importar asociados</t>
        </is>
      </c>
      <c r="F8" s="15">
        <f>COUNTIF(Plan!$D$5:$D$88,A8)</f>
        <v/>
      </c>
    </row>
    <row r="9">
      <c r="A9" s="18" t="n">
        <v>5</v>
      </c>
      <c r="B9" s="4" t="inlineStr">
        <is>
          <t>Muy alta</t>
        </is>
      </c>
      <c r="C9" s="8" t="n">
        <v>5</v>
      </c>
      <c r="D9" s="4" t="inlineStr">
        <is>
          <t>2,5 jornadas o más</t>
        </is>
      </c>
      <c r="E9" s="7" t="inlineStr">
        <is>
          <t>Reservado para trabajos que conviene partir en dos</t>
        </is>
      </c>
      <c r="F9" s="15">
        <f>COUNTIF(Plan!$D$5:$D$88,A9)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91"/>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2026-10-01</t>
        </is>
      </c>
      <c r="B5" s="4" t="inlineStr">
        <is>
          <t>sesión principal</t>
        </is>
      </c>
      <c r="C5" s="8" t="inlineStr">
        <is>
          <t>6.23, 6.24</t>
        </is>
      </c>
      <c r="D5" s="7" t="inlineStr">
        <is>
          <t>QA-06 corregido y develop subido</t>
        </is>
      </c>
      <c r="E5" s="7" t="inlineStr">
        <is>
          <t>Aviso de cuenta inactiva en app/ingresar/actions.ts; y-tanda2 escritorio 14/14; commit 7526e7d en develop. Pendiente de Sebas: db push --linked de 20261001000000 y 20261001100000 y fusionar develop→main.</t>
        </is>
      </c>
    </row>
    <row r="6">
      <c r="A6" s="8" t="inlineStr">
        <is>
          <t>2026-10-01</t>
        </is>
      </c>
      <c r="B6" s="4" t="inlineStr">
        <is>
          <t>ga-verificador-qa</t>
        </is>
      </c>
      <c r="C6" s="8" t="inlineStr">
        <is>
          <t>6.21, 6.15</t>
        </is>
      </c>
      <c r="D6" s="7" t="inlineStr">
        <is>
          <t>6.21 Hecho; 6.15 desbloqueada (En curso)</t>
        </is>
      </c>
      <c r="E6" s="7" t="inlineStr">
        <is>
          <t>E2E ajustadas a v3/S-06/crédito: escritorio 171/4, celular 143/3, fallas corregidas y confirmadas. Bug QA-06 reportado.</t>
        </is>
      </c>
    </row>
    <row r="7">
      <c r="A7" s="8" t="inlineStr">
        <is>
          <t>2026-10-01</t>
        </is>
      </c>
      <c r="B7" s="4" t="inlineStr">
        <is>
          <t>ga-funcionalidad-botones</t>
        </is>
      </c>
      <c r="C7" s="8" t="inlineStr">
        <is>
          <t>P-48</t>
        </is>
      </c>
      <c r="D7" s="7" t="inlineStr">
        <is>
          <t>QA-01 a QA-05 de /afiliacion corregidos</t>
        </is>
      </c>
      <c r="E7" s="7" t="inlineStr">
        <is>
          <t>Texto restaurado, contador, formulario con key (conserva selects, cierra F-01), aviso de fotos rechazadas, tabIndex de SelectBusqueda.</t>
        </is>
      </c>
    </row>
    <row r="8">
      <c r="A8" s="8" t="inlineStr">
        <is>
          <t>2026-10-01</t>
        </is>
      </c>
      <c r="B8" s="4" t="inlineStr">
        <is>
          <t>ga-auditor-supabase</t>
        </is>
      </c>
      <c r="C8" s="8" t="inlineStr">
        <is>
          <t>6.24, P-113</t>
        </is>
      </c>
      <c r="D8" s="7" t="inlineStr">
        <is>
          <t>pgTAP 20261001* en verde</t>
        </is>
      </c>
      <c r="E8" s="7" t="inlineStr">
        <is>
          <t>Arreglado admin_habilitar_credito (array_append) y pruebas 21 y 10; 22 archivos, 497 pruebas. Falta aplicar en remoto.</t>
        </is>
      </c>
    </row>
    <row r="9">
      <c r="A9" s="8" t="inlineStr">
        <is>
          <t>2026-10-01</t>
        </is>
      </c>
      <c r="B9" s="4" t="inlineStr">
        <is>
          <t>ga-diseno-a-codigo</t>
        </is>
      </c>
      <c r="C9" s="8" t="inlineStr">
        <is>
          <t>4.7, 4.8, 4.15</t>
        </is>
      </c>
      <c r="D9" s="7" t="inlineStr">
        <is>
          <t>Verificación visual tanda §13</t>
        </is>
      </c>
      <c r="E9" s="7" t="inlineStr">
        <is>
          <t>CuentaDemo, WhatsApp en el pie, paneles por estado y desembolsos, HabilitarCredito; tsc, lint, vitest 552 y build en verde.</t>
        </is>
      </c>
    </row>
    <row r="10">
      <c r="A10" s="8" t="inlineStr">
        <is>
          <t>2026-10-01</t>
        </is>
      </c>
      <c r="B10" s="4" t="inlineStr">
        <is>
          <t>ga-diseno-a-codigo</t>
        </is>
      </c>
      <c r="C10" s="8" t="inlineStr">
        <is>
          <t>4.15, 4.7, 4.8</t>
        </is>
      </c>
      <c r="D10" s="7" t="inlineStr">
        <is>
          <t>4.7, 4.8 y 4.15 Hecho</t>
        </is>
      </c>
      <c r="E10" s="7" t="inlineStr">
        <is>
          <t>Ícono WhatsApp en el pie, botón «Habilitar nuevo crédito», selector segmentado en la demo, 8 estados y KPI Desembolsos del mes en admin, chips en asesor. e2e sin ejecutar.</t>
        </is>
      </c>
    </row>
    <row r="11">
      <c r="A11" s="8" t="inlineStr">
        <is>
          <t>2026-10-01</t>
        </is>
      </c>
      <c r="B11" s="4" t="inlineStr">
        <is>
          <t>ga-funcionalidad-botones</t>
        </is>
      </c>
      <c r="C11" s="8" t="inlineStr">
        <is>
          <t>4.15, 4.7, 4.8</t>
        </is>
      </c>
      <c r="D11" s="7" t="inlineStr">
        <is>
          <t>Pedidos §13 en servidor y front</t>
        </is>
      </c>
      <c r="E11" s="7" t="inlineStr">
        <is>
          <t>Correos con respaldo en texto plano y log correo_plantilla_faltante; acción Habilitar crédito; /cuenta con tarjeta vacía; loaders con por_estado_proceso y desembolsos_mes; demo Policía/Ejército; wa.me en el pie. 552 vitest y build en verde.</t>
        </is>
      </c>
    </row>
    <row r="12">
      <c r="A12" s="8" t="inlineStr">
        <is>
          <t>2026-10-01</t>
        </is>
      </c>
      <c r="B12" s="4" t="inlineStr">
        <is>
          <t>ga-auditor-supabase</t>
        </is>
      </c>
      <c r="C12" s="8" t="inlineStr">
        <is>
          <t>4.15, 4.7, 4.8, P-112, 6.24, P-113</t>
        </is>
      </c>
      <c r="D12" s="7" t="inlineStr">
        <is>
          <t>Migración 20261001100000 y pgTAP 21</t>
        </is>
      </c>
      <c r="E12" s="7" t="inlineStr">
        <is>
          <t>admin_habilitar_credito, mi_habilitacion_credito, por_estado_proceso y desembolsos_mes; listas blancas 00/15 (P-112 Hecho). Diagnóstico: el bloqueo tras rechazo es de pantalla, no de base. Sin db reset por Docker: nueva 6.24/P-113 (Sebas).</t>
        </is>
      </c>
    </row>
    <row r="13">
      <c r="A13" s="8" t="inlineStr">
        <is>
          <t>2026-10-01</t>
        </is>
      </c>
      <c r="B13" s="4" t="inlineStr">
        <is>
          <t>ga-verificador-qa</t>
        </is>
      </c>
      <c r="C13" s="8" t="inlineStr">
        <is>
          <t>6.15, 6.21</t>
        </is>
      </c>
      <c r="D13" s="7" t="inlineStr">
        <is>
          <t>E2E al día pero sin ejecutar: Bloqueado</t>
        </is>
      </c>
      <c r="E13" s="7" t="inlineStr">
        <is>
          <t>y-tanda2.spec.ts y ajustes de e2e (370 pruebas listadas, tsc y eslint en verde). Docker se cayó: Sebas reinicia Docker, db reset y corre Playwright.</t>
        </is>
      </c>
    </row>
    <row r="14">
      <c r="A14" s="8" t="inlineStr">
        <is>
          <t>2026-09-30</t>
        </is>
      </c>
      <c r="B14" s="4" t="inlineStr">
        <is>
          <t>ga-diseno-a-codigo</t>
        </is>
      </c>
      <c r="C14" s="8" t="inlineStr">
        <is>
          <t>4.7, 4.8, 5.6</t>
        </is>
      </c>
      <c r="D14" s="7" t="inlineStr">
        <is>
          <t>Pantallas Resumen y /cuenta/solicitar en código</t>
        </is>
      </c>
      <c r="E14" s="7" t="inlineStr">
        <is>
          <t>4.7 y 4.8 En curso: falta estado_proceso y desembolsos del mes en las RPC y decisión P-111. tsc, lint, vitest y build en verde.</t>
        </is>
      </c>
    </row>
    <row r="15">
      <c r="A15" s="8" t="inlineStr">
        <is>
          <t>2026-09-30</t>
        </is>
      </c>
      <c r="B15" s="4" t="inlineStr">
        <is>
          <t>ga-funcionalidad-botones</t>
        </is>
      </c>
      <c r="C15" s="8" t="inlineStr">
        <is>
          <t>2.11, 4.3, 4.7, 4.8</t>
        </is>
      </c>
      <c r="D15" s="7" t="inlineStr">
        <is>
          <t>F-01 corregido, revalidación de /cuenta y loaders de métricas</t>
        </is>
      </c>
      <c r="E15" s="7" t="inlineStr">
        <is>
          <t>2.11 y 4.3 Hecho. Afiliación guarda version_politica_datos; loaders cargarMetricasAdmin/Asesor con 8 pruebas (523 vitest en verde).</t>
        </is>
      </c>
    </row>
    <row r="16">
      <c r="A16" s="8" t="inlineStr">
        <is>
          <t>2026-09-30</t>
        </is>
      </c>
      <c r="B16" s="4" t="inlineStr">
        <is>
          <t>ga-auditor-supabase</t>
        </is>
      </c>
      <c r="C16" s="8" t="inlineStr">
        <is>
          <t>P-55, 4.7, 4.8, 6.23</t>
        </is>
      </c>
      <c r="D16" s="7" t="inlineStr">
        <is>
          <t>Migración 20261001000000 y pgTAP 20</t>
        </is>
      </c>
      <c r="E16" s="7" t="inlineStr">
        <is>
          <t>version_politica_datos sellada, revoke de limites_intentos_id_seq, RPC de métricas solo con conteos; 16 pruebas en verde. Sin aplicar: nueva 6.23/P-110. Listas blancas pgTAP: P-112.</t>
        </is>
      </c>
    </row>
    <row r="17">
      <c r="A17" s="8" t="inlineStr">
        <is>
          <t>2026-09-30</t>
        </is>
      </c>
      <c r="B17" s="4" t="inlineStr">
        <is>
          <t>ga-disenador-lienzo</t>
        </is>
      </c>
      <c r="C17" s="8" t="inlineStr">
        <is>
          <t>4.7, 4.8, 5.6</t>
        </is>
      </c>
      <c r="D17" s="7" t="inlineStr">
        <is>
          <t>Lienzo 3r, 3s, 3t</t>
        </is>
      </c>
      <c r="E17" s="7" t="inlineStr">
        <is>
          <t>Dashboards admin y asesor y /cuenta/solicitar maquetados en el lienzo (D-22 a D-24). 5.6 Hecho.</t>
        </is>
      </c>
    </row>
    <row r="18">
      <c r="A18" s="8" t="inlineStr">
        <is>
          <t>2026-09-30</t>
        </is>
      </c>
      <c r="B18" s="4" t="inlineStr">
        <is>
          <t>ga-funcionalidad-botones</t>
        </is>
      </c>
      <c r="C18" s="8" t="inlineStr">
        <is>
          <t>P-81 (política v1.0)</t>
        </is>
      </c>
      <c r="D18" s="7" t="inlineStr">
        <is>
          <t>Política de datos v1.0 publicada en código</t>
        </is>
      </c>
      <c r="E18" s="7" t="inlineStr">
        <is>
          <t>/politica-de-datos con 28 secciones, anexo, índice, aviso de revisión jurídica en 7.3, 8 y 18 y botón PDF. Por definir: horario, órgano y acta de aprobación.</t>
        </is>
      </c>
    </row>
    <row r="19">
      <c r="A19" s="8" t="inlineStr">
        <is>
          <t>2026-09-30</t>
        </is>
      </c>
      <c r="B19" s="4" t="inlineStr">
        <is>
          <t>sesión principal (Sebas)</t>
        </is>
      </c>
      <c r="C19" s="8" t="inlineStr">
        <is>
          <t>6.22; P-20, P-21, P-43, P-45, P-105</t>
        </is>
      </c>
      <c r="D19" s="7" t="inlineStr">
        <is>
          <t>Tanda 2 en producción y pendientes de configuración cerrados</t>
        </is>
      </c>
      <c r="E19" s="7" t="inlineStr">
        <is>
          <t>Sebas aplicó las 7 migraciones 20260930200* y fusionó develop→main. Hechos: P-20 (plantilla del código), P-43 (límite de intentos), P-45 (ajustes OTP), P-105 (CRON_SECRET y plantilla del aviso institucional). P-21 cancelado: el límite de Resend no preocupa por ahora. P-54 y P-73 siguen pendientes.</t>
        </is>
      </c>
    </row>
    <row r="20">
      <c r="A20" s="8" t="inlineStr">
        <is>
          <t>2026-09-30</t>
        </is>
      </c>
      <c r="B20" s="4" t="inlineStr">
        <is>
          <t>sesión principal (Sebas)</t>
        </is>
      </c>
      <c r="C20" s="8" t="inlineStr">
        <is>
          <t>5.4, 6.21, 6.22; P-81</t>
        </is>
      </c>
      <c r="D20" s="7" t="inlineStr">
        <is>
          <t>Política v1 en publicación; tanda 2 en develop</t>
        </is>
      </c>
      <c r="E20" s="7" t="inlineStr">
        <is>
          <t>Tanda 2 en develop e4b8350 con 7 migraciones 20260930200* por aplicar y develop a main pendiente (6.22). Política v1 del Dr. Breinner con 7.3, 8 y 18 en revisión. E2E desactualizadas (6.21). Copia de seguridad de producción del 30-sep.</t>
        </is>
      </c>
    </row>
    <row r="21">
      <c r="A21" s="8" t="inlineStr">
        <is>
          <t>2026-09-30</t>
        </is>
      </c>
      <c r="B21" s="4" t="inlineStr">
        <is>
          <t>ga-diseno-a-codigo</t>
        </is>
      </c>
      <c r="C21" s="8" t="inlineStr">
        <is>
          <t>5.13</t>
        </is>
      </c>
      <c r="D21" s="7" t="inlineStr">
        <is>
          <t>Medios en el detalle de convenios</t>
        </is>
      </c>
      <c r="E21" s="7" t="inlineStr">
        <is>
          <t>Videos y PDF de Racing Tours mapeados por NIT en lib/convenios.ts; develop 4357939 (video de Locos en politica-datos-v1).</t>
        </is>
      </c>
    </row>
    <row r="22">
      <c r="A22" s="8" t="inlineStr">
        <is>
          <t>2026-09-30</t>
        </is>
      </c>
      <c r="B22" s="4" t="inlineStr">
        <is>
          <t>ga-auditor-supabase</t>
        </is>
      </c>
      <c r="C22" s="8" t="inlineStr">
        <is>
          <t>4.14, 6.22</t>
        </is>
      </c>
      <c r="D22" s="7" t="inlineStr">
        <is>
          <t>SP remapeado a IJ (§12.14)</t>
        </is>
      </c>
      <c r="E22" s="7" t="inlineStr">
        <is>
          <t>En la migración 20260930200100 (sin aplicar); R-10/R-11 decididos; pgTAP, db reset y vitest en verde.</t>
        </is>
      </c>
    </row>
    <row r="23">
      <c r="A23" s="8" t="inlineStr">
        <is>
          <t>2026-09-30</t>
        </is>
      </c>
      <c r="B23" s="7" t="inlineStr">
        <is>
          <t>ga-disenador-lienzo + ga-auditor-supabase + ga-funcionalidad-botones + ga-diseno-a-codigo</t>
        </is>
      </c>
      <c r="C23" s="8" t="inlineStr">
        <is>
          <t>4.14, 6.21, 6.22, 5.11, 5.12</t>
        </is>
      </c>
      <c r="D23" s="7" t="inlineStr">
        <is>
          <t>Tanda 2 (§12) hecha en local</t>
        </is>
      </c>
      <c r="E23" s="7" t="inlineStr">
        <is>
          <t>Lienzo 3q, migraciones 20260930200000–200600 (pgTAP 464/464), acciones y UI (vitest 516, build en verde). Sin aplicar en producción. Backlog §12.12 agregado.</t>
        </is>
      </c>
    </row>
    <row r="24">
      <c r="A24" s="8" t="inlineStr">
        <is>
          <t>2026-09-30</t>
        </is>
      </c>
      <c r="B24" s="4" t="inlineStr">
        <is>
          <t>ga-enlace-cooperativa</t>
        </is>
      </c>
      <c r="C24" s="8" t="inlineStr">
        <is>
          <t>P-14, P-47, P-76..P-80, P-90..P-93, P-97; P-106</t>
        </is>
      </c>
      <c r="D24" s="7" t="inlineStr">
        <is>
          <t>Respuestas de la cooperativa</t>
        </is>
      </c>
      <c r="E24" s="7" t="inlineStr">
        <is>
          <t>docs/cooperativa/preguntas.md. R-10 y R-11 cerrados por Sebas (§12.14, SP a IJ); abierta R-09.</t>
        </is>
      </c>
    </row>
    <row r="25">
      <c r="A25" s="8" t="inlineStr">
        <is>
          <t>2026-09-30</t>
        </is>
      </c>
      <c r="B25" s="4" t="inlineStr">
        <is>
          <t>sesión principal (Sebas)</t>
        </is>
      </c>
      <c r="C25" s="8" t="inlineStr">
        <is>
          <t>1.8, 6.20, 5.10, 4.7, 4.8, 5.9, 6.14, 6.15; P-104, P-46, P-75, P-69, P-72, P-73</t>
        </is>
      </c>
      <c r="D25" s="7" t="inlineStr">
        <is>
          <t>C+ y tanda 1 de Ricardo en producción; Carlos sale</t>
        </is>
      </c>
      <c r="E25" s="7" t="inlineStr">
        <is>
          <t>PR develop a main de C+ fusionado; PR #5 fusionado y 19 migraciones aplicadas. Asesores Miguel Rueda, Rafael González y Nany Barón creados. Vercel Pro (cron cada hora). Carlos Pardo no sigue: se le pagan 150.000 COP; sus tareas pasan a agentes/Sebas (5.10 ya hecha).</t>
        </is>
      </c>
    </row>
    <row r="26">
      <c r="A26" s="8" t="inlineStr">
        <is>
          <t>2026-09-30</t>
        </is>
      </c>
      <c r="B26" s="4" t="inlineStr">
        <is>
          <t>ga-correos</t>
        </is>
      </c>
      <c r="C26" s="8" t="inlineStr">
        <is>
          <t>4.13; P-105</t>
        </is>
      </c>
      <c r="D26" s="7" t="inlineStr">
        <is>
          <t>Plantilla ga-aviso-institucional</t>
        </is>
      </c>
      <c r="E26" s="7" t="inlineStr">
        <is>
          <t>docs/resend/aviso-institucional.*; falta publicarla y crear la variable en Vercel.</t>
        </is>
      </c>
    </row>
    <row r="27">
      <c r="A27" s="8" t="inlineStr">
        <is>
          <t>2026-09-30</t>
        </is>
      </c>
      <c r="B27" s="4" t="inlineStr">
        <is>
          <t>ga-revisor-seguridad</t>
        </is>
      </c>
      <c r="C27" s="8" t="inlineStr">
        <is>
          <t>6.2, 4.13</t>
        </is>
      </c>
      <c r="D27" s="7" t="inlineStr">
        <is>
          <t>Dos pasadas de seguridad</t>
        </is>
      </c>
      <c r="E27" s="7" t="inlineStr">
        <is>
          <t>RS-01 a RS-22 sobre migraciones y pantallas de Ricardo. 6.2 sigue En curso (depende de 4.3).</t>
        </is>
      </c>
    </row>
    <row r="28">
      <c r="A28" s="8" t="inlineStr">
        <is>
          <t>2026-09-30</t>
        </is>
      </c>
      <c r="B28" s="4" t="inlineStr">
        <is>
          <t>ga-diseno-a-codigo</t>
        </is>
      </c>
      <c r="C28" s="8" t="inlineStr">
        <is>
          <t>4.13</t>
        </is>
      </c>
      <c r="D28" s="7" t="inlineStr">
        <is>
          <t>UI 3j–3p</t>
        </is>
      </c>
      <c r="E28" s="7" t="inlineStr">
        <is>
          <t>Pantallas y revisión de diseño A1–A3.</t>
        </is>
      </c>
    </row>
    <row r="29">
      <c r="A29" s="8" t="inlineStr">
        <is>
          <t>2026-09-30</t>
        </is>
      </c>
      <c r="B29" s="4" t="inlineStr">
        <is>
          <t>ga-funcionalidad-botones</t>
        </is>
      </c>
      <c r="C29" s="8" t="inlineStr">
        <is>
          <t>4.13</t>
        </is>
      </c>
      <c r="D29" s="7" t="inlineStr">
        <is>
          <t>Lógica y datos de 3j–3p y correcciones de seguridad</t>
        </is>
      </c>
      <c r="E29" s="7" t="inlineStr">
        <is>
          <t>RS-01..RS-22 de código, limpieza de fotos por RPC (5.10), aviso institucional siempre. vitest 503, build en verde.</t>
        </is>
      </c>
    </row>
    <row r="30">
      <c r="A30" s="8" t="inlineStr">
        <is>
          <t>2026-09-30</t>
        </is>
      </c>
      <c r="B30" s="4" t="inlineStr">
        <is>
          <t>ga-disenador-lienzo</t>
        </is>
      </c>
      <c r="C30" s="8" t="inlineStr">
        <is>
          <t>4.12</t>
        </is>
      </c>
      <c r="D30" s="7" t="inlineStr">
        <is>
          <t>Lienzo 3j–3p</t>
        </is>
      </c>
      <c r="E30" s="7" t="inlineStr">
        <is>
          <t>Piezas 3j–3n, 3o/3p (D-15, D-16) y revisión de fidelidad.</t>
        </is>
      </c>
    </row>
    <row r="31">
      <c r="A31" s="8" t="inlineStr">
        <is>
          <t>2026-09-30</t>
        </is>
      </c>
      <c r="B31" s="4" t="inlineStr">
        <is>
          <t>ga-auditor-supabase</t>
        </is>
      </c>
      <c r="C31" s="8" t="inlineStr">
        <is>
          <t>4.12; P-46</t>
        </is>
      </c>
      <c r="D31" s="7" t="inlineStr">
        <is>
          <t>Migraciones tanda 1 de Ricardo (29/30-sep)</t>
        </is>
      </c>
      <c r="E31" s="7" t="inlineStr">
        <is>
          <t>20260929100000..100700, 20260930100000..100500: grados, nómina, proceso ejecutivo, alertas, comisiones con pagos editables, tasa oculta (P-100), crédito solo en «operando», segunda pasada RS-17/18/20/21. pgTAP en verde.</t>
        </is>
      </c>
    </row>
    <row r="32">
      <c r="A32" s="8" t="inlineStr">
        <is>
          <t>2026-09-29</t>
        </is>
      </c>
      <c r="B32" s="4" t="inlineStr">
        <is>
          <t>sesión principal</t>
        </is>
      </c>
      <c r="C32" s="8" t="inlineStr">
        <is>
          <t>4.7, 4.8, 5.9, 5.10, 6.14, 6.15; P-69, P-72</t>
        </is>
      </c>
      <c r="D32" s="7" t="inlineStr">
        <is>
          <t>Primera entrega de Carlos Pardo revisada: NO fusionable</t>
        </is>
      </c>
      <c r="E32" s="7" t="inlineStr">
        <is>
          <t>Revisión del ZIP del repo privado de Carlos (base main anterior al rediseño C+, no rediseno-c-plus). Motivos: reintroduce la fuga F2-03 y pierde el revoke en resumen_clientes_asesor; el motivo de rechazo de afiliación usa una columna inexistente sin migración (rechazar dejaría de funcionar); convenios administrables usa columnas y un bucket de Storage inexistentes y acciones sin exigirAdmin ni validación; la purga Ley 1581 usa columnas/bucket equivocados y el cron queda abierto si falta CRON_SECRET; claves en .env.example, console.log y configuración de túnel; borra /asesor/demo (ya en producción) y renombra /cuenta/solicitar (ya en producción); sin pruebas. Se le envió a Carlos la lista de correcciones para rehacer el encargo sobre rediseno-c-plus, con un PR por tarea. 4.7, 4.8, 5.9, 5.10, 6.14 y 6.15 siguen Pendiente; P-69 con el mismo detalle y P-72 (acceso de colaborador en GitHub) sigue En curso, con la nota de que el ZIP en vez de un PR sugiere que ese acceso todavía no está confirmado.</t>
        </is>
      </c>
    </row>
    <row r="33">
      <c r="A33" s="8" t="inlineStr">
        <is>
          <t>2026-09-29</t>
        </is>
      </c>
      <c r="B33" s="4" t="inlineStr">
        <is>
          <t>sesión principal</t>
        </is>
      </c>
      <c r="C33" s="8" t="inlineStr">
        <is>
          <t>6.18; nuevo P-104</t>
        </is>
      </c>
      <c r="D33" s="7" t="inlineStr">
        <is>
          <t>Push y fusión de rediseno-c-plus a develop autorizados por Sebas; 6.18 pasa a Hecho</t>
        </is>
      </c>
      <c r="E33" s="7" t="inlineStr">
        <is>
          <t>Con la suite e2e en 290/290, Sebas autorizó subir a producción el rediseño C+ con el arreglo de la tasa; la sesión principal fusionó rediseno-c-plus a develop y la subió a origin. 6.18 pasa a Hecho. Nuevo pendiente P-104 (Alta, responsable Sebas): falta que apruebe/fusione el PR develop → main para que Vercel despliegue en producción.</t>
        </is>
      </c>
    </row>
    <row r="34">
      <c r="A34" s="8" t="inlineStr">
        <is>
          <t>2026-09-29</t>
        </is>
      </c>
      <c r="B34" s="4" t="inlineStr">
        <is>
          <t>ga-verificador-qa</t>
        </is>
      </c>
      <c r="C34" s="8" t="inlineStr">
        <is>
          <t>6.18 (verificación pre-commit de rediseno-c-plus)</t>
        </is>
      </c>
      <c r="D34" s="7" t="inlineStr">
        <is>
          <t>Suite e2e completa 290/290 tras independizar las pruebas del crédito de ejemplo</t>
        </is>
      </c>
      <c r="E34" s="7" t="inlineStr">
        <is>
          <t>Encontró que, además del crédito huérfano ya corregido por el afterAll de la sesión principal, el segundo test de k-roles.spec.ts también resuelve el crédito del seed (cédula 1234567890), que queda inmutable por un trigger de negocio. Agregó restaurarCreditoDeEjemplo() en tests/e2e/utils.ts (borra y recrea la fila del seed) y la usó en c-cuenta.spec.ts, e-diseno.spec.ts e i-despliegue.spec.ts (sin tocar k-roles.spec.ts). Resultado: 4 suites afectadas en 0 fallas (antes 2), suite e2e completa 290/290 (antes 285/5), tsc/vitest (347)/lint/build en verde. Detalle en docs/verificaciones/2026-09-29-pre-commit.md. Listo para que la sesión principal haga el commit y la fusión a develop.</t>
        </is>
      </c>
    </row>
    <row r="35">
      <c r="A35" s="8" t="inlineStr">
        <is>
          <t>2026-09-27</t>
        </is>
      </c>
      <c r="B35" s="4" t="inlineStr">
        <is>
          <t>sesión principal</t>
        </is>
      </c>
      <c r="C35" s="8" t="inlineStr">
        <is>
          <t>2.14; P-103</t>
        </is>
      </c>
      <c r="D35" s="7" t="inlineStr">
        <is>
          <t>Se quita la sección de testimonios de la landing (decisión de Sebas)</t>
        </is>
      </c>
      <c r="E35" s="7" t="inlineStr">
        <is>
          <t>Commit 4c63924: sección de testimonios (que estaba oculta desde P-102 por tener textos de ejemplo) eliminada de la landing por decisión de Sebas. P-103 (D-07, ¿se mantiene la sección?) cierra Hecho con esa decisión: no se mantiene.</t>
        </is>
      </c>
    </row>
    <row r="36">
      <c r="A36" s="8" t="inlineStr">
        <is>
          <t>2026-09-27</t>
        </is>
      </c>
      <c r="B36" s="4" t="inlineStr">
        <is>
          <t>sesión principal</t>
        </is>
      </c>
      <c r="C36" s="8" t="inlineStr">
        <is>
          <t>4.11; P-95, P-96</t>
        </is>
      </c>
      <c r="D36" s="7" t="inlineStr">
        <is>
          <t>Sebas aprueba P-95 y P-96; ambos pasan a Hecho</t>
        </is>
      </c>
      <c r="E36" s="7" t="inlineStr">
        <is>
          <t>P-95 (botón «Escribir por WhatsApp» en el detalle de afiliación) aprobado tal cual estaba diseñado e implementado. P-96 (asignar asesor) aprobado con alcance limitado por ahora: solo asignar, solo cuando la afiliación está aprobada y el asociado todavía no tiene asesor; sin cambiar ni quitar un asesor ya asignado. La sesión principal agregó el estado «ya asignado» persistente al recargar (commit 3b5ae14), cerrando el residuo que había dejado ga-diseno-a-codigo.</t>
        </is>
      </c>
    </row>
    <row r="37">
      <c r="A37" s="8" t="inlineStr">
        <is>
          <t>2026-09-27</t>
        </is>
      </c>
      <c r="B37" s="4" t="inlineStr">
        <is>
          <t>ga-disenador-lienzo</t>
        </is>
      </c>
      <c r="C37" s="8" t="inlineStr">
        <is>
          <t>4.11 (revisión de diseño 3e/3i)</t>
        </is>
      </c>
      <c r="D37" s="7" t="inlineStr">
        <is>
          <t>Revisión de diseño aprobada con cambios menores</t>
        </is>
      </c>
      <c r="E37" s="7" t="inlineStr">
        <is>
          <t>Comparó el lienzo (piezas 3e/3i) contra PanelAfiliacionDetalle.tsx, AsignarAsesor.tsx, Iconos.tsx y lib/admin/whatsapp.ts. Veredicto: aprobado con cambios menores, incluido el estado «ya asignado» persistente al recargar. Corrigió 4 detalles menores en el propio lienzo (layout del botón de WhatsApp, glifo de las mini-muestras, foco sin halo extra, color suelto #182530 → token #1C2F3B). No tocó código. Detalle en docs/verificaciones/2026-09-27-revision-diseno-3e-3i.md.</t>
        </is>
      </c>
    </row>
    <row r="38">
      <c r="A38" s="8" t="inlineStr">
        <is>
          <t>2026-09-27</t>
        </is>
      </c>
      <c r="B38" s="4" t="inlineStr">
        <is>
          <t>ga-diseno-a-codigo</t>
        </is>
      </c>
      <c r="C38" s="8" t="inlineStr">
        <is>
          <t>4.11, P-95, P-96</t>
        </is>
      </c>
      <c r="D38" s="7" t="inlineStr">
        <is>
          <t>WhatsApp y bloque «Asesor» maquetados y conectados en código</t>
        </is>
      </c>
      <c r="E38" s="7" t="inlineStr">
        <is>
          <t>Botón «Escribir por WhatsApp» habilitado en PanelAfiliacionDetalle.tsx (enlace wa.me en pestaña nueva con mensaje prellenado, glifo SVG IconoWhatsapp, normalización pura del celular en lib/admin/whatsapp.ts con pruebas Vitest, estado deshabilitado con motivo si el celular no es válido). Bloque «Asesor» nuevo (components/admin/AsignarAsesor.tsx) conectado a asignarAsesor con useActionState y sus 5 estados; corrigió una condición de carrera real (revalidatePath refrescaba la página y dejaba perfilAsociado en null justo tras el éxito) «congelando» la prop inicial con useState en PanelAfiliacionDetalle. Prueba nueva en tests/e2e/k-roles.spec.ts. tsc, lint, build, vitest (360) y Playwright (k-roles, escritorio) en verde. Dejó abierto para la sesión principal el estado «ya asignado» persistente al recargar (requería tocar la página de servidor, fuera de su encargo); cerrado después por la sesión principal (commit 3b5ae14, ver más abajo).</t>
        </is>
      </c>
    </row>
    <row r="39">
      <c r="A39" s="8" t="inlineStr">
        <is>
          <t>2026-09-27</t>
        </is>
      </c>
      <c r="B39" s="4" t="inlineStr">
        <is>
          <t>ga-funcionalidad-botones</t>
        </is>
      </c>
      <c r="C39" s="8" t="inlineStr">
        <is>
          <t>4.11, P-96</t>
        </is>
      </c>
      <c r="D39" s="7" t="inlineStr">
        <is>
          <t>Server Action asignarAsesor lista en el servidor</t>
        </is>
      </c>
      <c r="E39" s="7" t="inlineStr">
        <is>
          <t>asignarAsesor en app/admin/afiliaciones/actions.ts (exigirAdmin, zod esquemaAsignarAsesor, re-verificación en servidor de afiliación aprobada + perfil sin asesor + update condicional .is("asesor_id", null)); app/admin/afiliaciones/[id]/page.tsx carga perfilAsociado y asesores solo cuando aplica y los pasa como props opcionales nuevas a PanelAfiliacionDetalle (sin maquetar nada, TODO hacia D-09). 14 pruebas nuevas (9 de la Server Action, 5 del esquema zod); tsc/lint/build/vitest en verde (334 pruebas). Confirmó que no hace falta una migración nueva: la RLS perfiles_update y el trigger proteger_campos_perfil ya permiten el cambio a un admin, con validar_perfil_asesor_id validando que el elegido tenga rol asesor. Queda para ga-diseno-a-codigo maquetar y conectar la pieza 3i.</t>
        </is>
      </c>
    </row>
    <row r="40">
      <c r="A40" s="8" t="inlineStr">
        <is>
          <t>2026-09-27</t>
        </is>
      </c>
      <c r="B40" s="4" t="inlineStr">
        <is>
          <t>ga-disenador-lienzo</t>
        </is>
      </c>
      <c r="C40" s="8" t="inlineStr">
        <is>
          <t>4.11 (D-08, D-09)</t>
        </is>
      </c>
      <c r="D40" s="7" t="inlineStr">
        <is>
          <t>Diseñado el botón WhatsApp habilitado (3e) y el bloque «Asesor» (3i) en el lienzo</t>
        </is>
      </c>
      <c r="E40" s="7" t="inlineStr">
        <is>
          <t>En docs/Green Alliance C+.dc.html: botón «Escribir por WhatsApp» de la pieza 3e con glifo oficial en SVG en línea y enlace wa.me con mensaje prellenado (4 estados: normal, hover, foco, deshabilitado por falta de celular); pieza 3i nueva, bloque «Asesor» para asignar perfiles.asesor_id a un asociado aprobado (estados sin elegir, asignando, éxito, error, ya asignado, sin asesores registrados). Trabajo nuevo dejado para ga-diseno-a-codigo: habilitar el botón en PanelAfiliacionDetalle.tsx y crear la Server Action «asignar asesor» sobre perfiles.asesor_id (sin migración nueva) más el bloque visible solo si la afiliación está aprobada y el asociado no tiene asesor.</t>
        </is>
      </c>
    </row>
    <row r="41">
      <c r="A41" s="8" t="inlineStr">
        <is>
          <t>2026-09-27</t>
        </is>
      </c>
      <c r="B41" s="4" t="inlineStr">
        <is>
          <t>sesión principal</t>
        </is>
      </c>
      <c r="C41" s="8" t="inlineStr">
        <is>
          <t>6.18</t>
        </is>
      </c>
      <c r="D41" s="7" t="inlineStr">
        <is>
          <t>Se corrige la dependencia de 6.18: ya no depende de 1.8</t>
        </is>
      </c>
      <c r="E41" s="7" t="inlineStr">
        <is>
          <t>6.18 (fusionar rediseno-c-plus a develop) dependía por error de 1.8 (aplicar las 5 migraciones de backend del rediseño). El código del rediseño funciona sin esas migraciones (KPIs con su propio fallback, tope real leído de grados_credito, nota interna oculta detrás de HISTORIAL_NOTAS_INTERNAS_HABILITADO=false) y lo que sí las necesita queda oculto hasta que se apliquen. Con 6.17 y 6.19 en Hecho, el rediseño C+ queda completo y verificado de punta a punta en la rama rediseno-c-plus (9 commits locales sobre develop, sin push); 6.18 queda Pendiente solo de que Sebas autorice el push de la rama y abra el PR a develop.</t>
        </is>
      </c>
    </row>
    <row r="42">
      <c r="A42" s="8" t="inlineStr">
        <is>
          <t>2026-09-27</t>
        </is>
      </c>
      <c r="B42" s="4" t="inlineStr">
        <is>
          <t>sesión principal</t>
        </is>
      </c>
      <c r="C42" s="8" t="inlineStr">
        <is>
          <t>6.17; 3.10, 4.10</t>
        </is>
      </c>
      <c r="D42" s="7" t="inlineStr">
        <is>
          <t>Correcciones responsive del C+ (commit b0239a8): barra inferior siempre visible en vez de oculta hasta el primer scroll</t>
        </is>
      </c>
      <c r="E42" s="7" t="inlineStr">
        <is>
          <t>Se descartó la solución de ga-diseno-a-codigo de ocultar la barra inferior de /cuenta y /asesor hasta el primer scroll (con `inert`) porque ocultar la navegación principal al cargar la página perjudicaba la usabilidad y la accesibilidad. En su lugar, la barra queda siempre visible con espacio reservado al final de la página. Incluye también las correcciones de admin en celular y de la vista en tarjetas de /admin/sorteo, y el contraste de /admin/demo. e2e k-roles, c-cuenta y f-accesibilidad en verde (50 pasadas) tras `supabase db reset`.</t>
        </is>
      </c>
    </row>
    <row r="43">
      <c r="A43" s="8" t="inlineStr">
        <is>
          <t>2026-09-27</t>
        </is>
      </c>
      <c r="B43" s="4" t="inlineStr">
        <is>
          <t>sesión principal</t>
        </is>
      </c>
      <c r="C43" s="8" t="inlineStr">
        <is>
          <t>4.11; 6.17</t>
        </is>
      </c>
      <c r="D43" s="7" t="inlineStr">
        <is>
          <t>Hallazgo 0 corregido en producción del rediseño (commit 846657b): colores del admin oscuro en su propio grupo de Tailwind</t>
        </is>
      </c>
      <c r="E43" s="7" t="inlineStr">
        <is>
          <t>Los colores bg-admin-*/text-admin-* estaban anidados bajo la paleta ga en tailwind.config.ts, por lo que Tailwind nunca generaba esas clases y el panel /admin se veía blanco/sin tema oscuro en todos los anchos. Se movieron a su propio grupo admin en tailwind.config.ts; pruebas de responsive actualizadas en el mismo commit.</t>
        </is>
      </c>
    </row>
    <row r="44">
      <c r="A44" s="8" t="inlineStr">
        <is>
          <t>2026-09-27</t>
        </is>
      </c>
      <c r="B44" s="4" t="inlineStr">
        <is>
          <t>ga-diseno-a-codigo</t>
        </is>
      </c>
      <c r="C44" s="8" t="inlineStr">
        <is>
          <t>6.17</t>
        </is>
      </c>
      <c r="D44" s="7" t="inlineStr">
        <is>
          <t>Corregidos todos los hallazgos del informe de responsive; 6.17 pasa a Hecho en su parte de código</t>
        </is>
      </c>
      <c r="E44" s="7" t="inlineStr">
        <is>
          <t>Confirmado con capturas que el hallazgo 0 (colores admin-* fuera de la clave ga) ya estaba resuelto en el código. De paso, axe encontró y se corrigió un contraste nuevo: EncabezadoAdmin se volvía transparente en escritorio asumiendo que siempre estaría sobre el fondo oscuro del admin, pero en /admin/demo esa misma barra flota sobre el fondo claro de la vista de asociado. Corregidos también: flex-wrap en el filtro de /admin/creditos, controles del encabezado móvil del admin a 44×44, tabla de /admin/sorteo con versión en tarjetas, botones de /cuenta/solicitar y casillas OTP a 44px, selects de /admin/sorteo a 16px. La corrección de la barra inferior flotante de /cuenta y /asesor de este commit (ocultarla hasta el primer scroll con `inert`) fue reemplazada después por la sesión principal, ver el siguiente asiento. tsc, lint, build, vitest (316/316) y playwright k-roles+f-accesibilidad (36/36, 6 skip esperados) en verde tras `npx supabase db reset`.</t>
        </is>
      </c>
    </row>
    <row r="45">
      <c r="A45" s="8" t="inlineStr">
        <is>
          <t>2026-09-27</t>
        </is>
      </c>
      <c r="B45" s="4" t="inlineStr">
        <is>
          <t>ga-verificador-responsive</t>
        </is>
      </c>
      <c r="C45" s="8" t="inlineStr">
        <is>
          <t>6.19</t>
        </is>
      </c>
      <c r="D45" s="7" t="inlineStr">
        <is>
          <t>Verificación responsive de punta a punta del rediseño C+; 6.19 pasa a Hecho</t>
        </is>
      </c>
      <c r="E45" s="7" t="inlineStr">
        <is>
          <t>15 rutas × 10 anchos (320-1920 px) + horizontal 844×390, Playwright/Chrome contra Supabase local. 9 hallazgos responsive (5 críticos: barra inferior flotante tapaba contenido real en /cuenta y /asesor, scroll horizontal real en /admin/creditos, botones &lt;44px en el encabezado móvil del admin, tabla de /admin/sorteo sin versión en tarjetas; 4 menores) más 1 hallazgo crítico fuera del alcance responsive estricto: los colores bg-admin-*/text-admin-* no existían en el CSS compilado (tailwind.config.ts los anidaba bajo la paleta ga en vez de un grupo propio admin), así que el panel se veía sin tema oscuro. tests/responsive/responsive.spec.ts y logo-y-fotos.spec.ts actualizados. No se pudo probar /admin/* en horizontal por el límite diario de reenvío de código del correo de prueba (no es un hallazgo nuevo). Informe: docs/verificaciones/2026-09-27-rediseno-c-plus-responsive.md.</t>
        </is>
      </c>
    </row>
    <row r="46">
      <c r="A46" s="8" t="inlineStr">
        <is>
          <t>2026-09-27</t>
        </is>
      </c>
      <c r="B46" s="4" t="inlineStr">
        <is>
          <t>sesión principal</t>
        </is>
      </c>
      <c r="C46" s="8" t="inlineStr">
        <is>
          <t>4.11; P-99, P-100, P-101, P-102, P-103</t>
        </is>
      </c>
      <c r="D46" s="7" t="inlineStr">
        <is>
          <t>H1 corregido (tasa de interés fuera del payload de /cuenta) y H2/B-01 cerrados (cédula de las «hermanas» enmascarada en servidor, testimonios de ejemplo ocultos)</t>
        </is>
      </c>
      <c r="E46" s="7" t="inlineStr">
        <is>
          <t>Commit e650033: la tasa de interés ya no viaja al navegador del asociado en /cuenta ni /cuenta/solicitar (hallazgo H1 de ga-revisor-seguridad; el problema también estaba en producción desde el 25-sep, se sugiere llevarlo también a main). Queda un residuo (P-100): un asociado podría seguir leyendo la tasa consultando la API directo con su sesión (la RLS le deja leer sus solicitudes y grados_credito); ocultarlo del todo requiere una migración de permisos por columna, a decisión de Sebas. Commit fdab456: cédula de las «hermanas» del detalle de afiliación enmascarada en el servidor (cierra H2/M-01, P-101) y sección de testimonios de la landing oculta mientras tenga textos de ejemplo (cierra B-01, P-102; D-07 queda abierto como pedido de diseño en P-103: contenido real de testimonios y si la sección se mantiene). e2e de landing y k-roles vueltos a correr en verde.</t>
        </is>
      </c>
    </row>
    <row r="47">
      <c r="A47" s="8" t="inlineStr">
        <is>
          <t>2026-09-27</t>
        </is>
      </c>
      <c r="B47" s="4" t="inlineStr">
        <is>
          <t>ga-verificador-qa</t>
        </is>
      </c>
      <c r="C47" s="8" t="inlineStr">
        <is>
          <t>4.11, P-94, P-71; 6.16 pasa a Hecho; nuevos P-102, P-103</t>
        </is>
      </c>
      <c r="D47" s="7" t="inlineStr">
        <is>
          <t>QA completo del rediseño C+ en verde: 161/162 escritorio, 129/129 celular</t>
        </is>
      </c>
      <c r="E47" s="7" t="inlineStr">
        <is>
          <t>QA de punta a punta contra Supabase local (escritorio 1280×800, celular 390×844). Actualizó las pruebas desactualizadas por el rediseño: a-navegacion (nav sin «Historias»), e-diseno (reescrita casi entera, textos verificados contra el código), afiliación v2 en utils.ts/f-accesibilidad (cierra P-94), aprobar en 2 pasos + atajos de teclado + KPIs + nota interna oculta (k-roles), máscara de correo con dominio oculto en b-ingreso y j-produccion (cierra P-71; i-despliegue ya usaba el formato nuevo). Agregó pruebas de reduced-motion y de que ninguna pantalla diga «Correo institucional». De paso corrigió una prueba de seguridad de i-despliegue que fallaba por una causa ajena al rediseño (React 19 ya no serializa el DOM en un `&lt;form action={...}&gt;`), reescribiéndola con intercepción de red. Hallazgos: 1 Media (cédula de las «hermanas», ya reportada por ga-revisor-seguridad, ver P-101) y 2 Bajos (testimonios de ejemplo con corchetes en la landing, ver P-102/P-103; y los marcadores ya conocidos de /politica-de-datos). 0 violaciones de axe en 19 combinaciones. Informe en docs/verificaciones/2026-09-27-rediseno-c-plus-qa.md.</t>
        </is>
      </c>
    </row>
    <row r="48">
      <c r="A48" s="8" t="inlineStr">
        <is>
          <t>2026-09-27</t>
        </is>
      </c>
      <c r="B48" s="4" t="inlineStr">
        <is>
          <t>ga-revisor-seguridad</t>
        </is>
      </c>
      <c r="C48" s="8" t="inlineStr">
        <is>
          <t>4.11; nuevos P-99, P-100, P-101</t>
        </is>
      </c>
      <c r="D48" s="7" t="inlineStr">
        <is>
          <t>Revisión de seguridad del rediseño C+ aprobada; 2 fugas de datos confirmadas (no introducidas por el rediseño)</t>
        </is>
      </c>
      <c r="E48" s="7" t="inlineStr">
        <is>
          <t>Revisó el diff completo de rediseno-c-plus contra develop (app, components, lib, proxy.ts, supabase): sin cambios en Server Actions ni en proxy.ts, el asesor sigue sin ver datos sensibles de sus clientes, la aprobación en 2 pasos exige confirmar, el login no cambió en funcionalidad. Encontró 2 hallazgos de fuga de datos al payload del cliente, vigentes desde antes de este diff: la tasa de interés viaja en las props de CuentaCliente aunque no se renderice (H1, ver P-99/P-100) y la cédula sin enmascarar de las «hermanas» viaja completa al detalle de afiliación aunque se muestre enmascarada (H2, ver P-101). Revisó también las 5 migraciones propuestas de 1.8 (bien construidas, coherentes con el flag de nota interna). npm audit --omit=dev: 0 vulnerabilidades. Pidió a ga-funcionalidad-botones corregir ambas fugas y a Sebas decidir sobre las 5 migraciones de 1.8.</t>
        </is>
      </c>
    </row>
    <row r="49">
      <c r="A49" s="8" t="inlineStr">
        <is>
          <t>2026-09-27</t>
        </is>
      </c>
      <c r="B49" s="4" t="inlineStr">
        <is>
          <t>ga-funcionalidad-botones</t>
        </is>
      </c>
      <c r="C49" s="8" t="inlineStr">
        <is>
          <t>4.11</t>
        </is>
      </c>
      <c r="D49" s="7" t="inlineStr">
        <is>
          <t>KPIs reales, tope real de grados_credito y nota interna oculta en el admin C+</t>
        </is>
      </c>
      <c r="E49" s="7" t="inlineStr">
        <is>
          <t>Cerró los 2 frentes de backend que dejó abiertos el maquetado del admin en modo oscuro (commit e39ad72): (1) los 4 KPI de /admin/creditos ahora son siempre exactos (lib/admin/kpis.ts: 3 conteos exactos + suma de aprobadas del mes, con el cliente de sesión del admin vía RLS, sin service role; mes calendario en hora de Colombia; pruebas nuevas en tests/unit/admin-kpis.test.ts); (2) el aviso «Dentro/Supera el tope» y el bloqueo de «Aprobar» usan el tope real de grados_credito (cargarPaquetesDemo, con su fallback a la copia estática). Ocultó el textarea de «Nota interna» detrás de HISTORIAL_NOTAS_INTERNAS_HABILITADO=false (lib/admin/flags.ts) con un TODO(backend) hacia la migración sin aplicar 20260925200200_historial_y_notas_internas.sql. Confirmó sin cambios de código que la aprobación en 2 pasos, el rechazo con motivo obligatorio, los atajos J/K/A/R/Esc y el invariante monto≤tope (triggers de la base) siguen intactos. tsc, lint, build y 316 pruebas de vitest (19 archivos) en verde. Sin commits. Sin bloqueos nuevos; sigue pendiente 1.8 (migraciones sin aplicar) para conectar una Server Action a agregar_nota_solicitud() y activar la bandera.</t>
        </is>
      </c>
    </row>
    <row r="50">
      <c r="A50" s="8" t="inlineStr">
        <is>
          <t>2026-09-27</t>
        </is>
      </c>
      <c r="B50" s="4" t="inlineStr">
        <is>
          <t>ga-diseno-a-codigo</t>
        </is>
      </c>
      <c r="C50" s="8" t="inlineStr">
        <is>
          <t>4.11</t>
        </is>
      </c>
      <c r="D50" s="7" t="inlineStr">
        <is>
          <t>Panel del admin C+ en modo oscuro maquetado en código; 4.11 pasa a Hecho</t>
        </is>
      </c>
      <c r="E50"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51">
      <c r="A51" s="8" t="inlineStr">
        <is>
          <t>2026-09-27</t>
        </is>
      </c>
      <c r="B51" s="4" t="inlineStr">
        <is>
          <t>ga-diseno-a-codigo</t>
        </is>
      </c>
      <c r="C51" s="8" t="inlineStr">
        <is>
          <t>4.10; nuevo P-98</t>
        </is>
      </c>
      <c r="D51" s="7" t="inlineStr">
        <is>
          <t>Panel del asesor C+ maquetado en código; 4.10 pasa a Hecho</t>
        </is>
      </c>
      <c r="E51"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52">
      <c r="A52" s="8" t="inlineStr">
        <is>
          <t>2026-09-27</t>
        </is>
      </c>
      <c r="B52" s="4" t="inlineStr">
        <is>
          <t>ga-diseno-a-codigo</t>
        </is>
      </c>
      <c r="C52" s="8" t="inlineStr">
        <is>
          <t>3.10</t>
        </is>
      </c>
      <c r="D52" s="7" t="inlineStr">
        <is>
          <t>Panel del asociado C+ maquetado en código; 3.10 pasa a Hecho</t>
        </is>
      </c>
      <c r="E52"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53">
      <c r="A53" s="8" t="inlineStr">
        <is>
          <t>2026-09-25</t>
        </is>
      </c>
      <c r="B53" s="4" t="inlineStr">
        <is>
          <t>ga-diseno-a-codigo</t>
        </is>
      </c>
      <c r="C53" s="8" t="inlineStr">
        <is>
          <t>1.7, 2.15</t>
        </is>
      </c>
      <c r="D53" s="7" t="inlineStr">
        <is>
          <t>Componentes base y maquetación C+ de ingreso/afiliación llevados a código; 2.15 pasa a Hecho</t>
        </is>
      </c>
      <c r="E53"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54">
      <c r="A54" s="8" t="inlineStr">
        <is>
          <t>2026-09-25</t>
        </is>
      </c>
      <c r="B54" s="4" t="inlineStr">
        <is>
          <t>ga-disenador-lienzo</t>
        </is>
      </c>
      <c r="C54" s="8" t="inlineStr">
        <is>
          <t>3.10, 4.10, 4.11</t>
        </is>
      </c>
      <c r="D54" s="7" t="inlineStr">
        <is>
          <t>Lienzo C+ completo: piezas 3d (asociado) y 3e–3h (admin)</t>
        </is>
      </c>
      <c r="E54"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55">
      <c r="A55" s="8" t="inlineStr">
        <is>
          <t>2026-09-25</t>
        </is>
      </c>
      <c r="B55" s="4" t="inlineStr">
        <is>
          <t>ga-diseno-a-codigo</t>
        </is>
      </c>
      <c r="C55" s="8" t="inlineStr">
        <is>
          <t>1.7, 2.14; nuevo 6.16</t>
        </is>
      </c>
      <c r="D55" s="7" t="inlineStr">
        <is>
          <t>Tokens y landing del rediseño C+ llevados a código</t>
        </is>
      </c>
      <c r="E55"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56">
      <c r="A56" s="8" t="inlineStr">
        <is>
          <t>2026-09-25</t>
        </is>
      </c>
      <c r="B56" s="4" t="inlineStr">
        <is>
          <t>ga-disenador-lienzo</t>
        </is>
      </c>
      <c r="C56" s="8" t="inlineStr">
        <is>
          <t>1.7, 2.15, 3.10, 4.10, 4.11</t>
        </is>
      </c>
      <c r="D56" s="7" t="inlineStr">
        <is>
          <t>Lienzo C+ ampliado: design system, Ingreso y Afiliación (piezas 3a/3b/3c)</t>
        </is>
      </c>
      <c r="E56"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57">
      <c r="A57" s="8" t="inlineStr">
        <is>
          <t>2026-09-25</t>
        </is>
      </c>
      <c r="B57" s="4" t="inlineStr">
        <is>
          <t>ga-auditor-supabase</t>
        </is>
      </c>
      <c r="C57" s="8" t="inlineStr">
        <is>
          <t>1.8; P-47, P-90, P-91, P-92</t>
        </is>
      </c>
      <c r="D57" s="7" t="inlineStr">
        <is>
          <t>Auditoría de backend para el rediseño C+: 5 migraciones propuestas sin aplicar</t>
        </is>
      </c>
      <c r="E57"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58">
      <c r="A58" s="8" t="inlineStr">
        <is>
          <t>2026-09-25</t>
        </is>
      </c>
      <c r="B58" s="7" t="inlineStr">
        <is>
          <t>sesión principal (despliegue PR #2)</t>
        </is>
      </c>
      <c r="C58" s="8" t="inlineStr">
        <is>
          <t>4.9; P-83, P-84, P-85, P-89</t>
        </is>
      </c>
      <c r="D58" s="7" t="inlineStr">
        <is>
          <t>Despliegue confirmado en producción: 4.9, P-83, P-84, P-85 y P-89 pasan a Hecho</t>
        </is>
      </c>
      <c r="E58"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59">
      <c r="A59" s="8" t="inlineStr">
        <is>
          <t>2026-09-25</t>
        </is>
      </c>
      <c r="B59" s="7" t="inlineStr">
        <is>
          <t>sesión principal (coordinador)</t>
        </is>
      </c>
      <c r="C59" s="8" t="inlineStr">
        <is>
          <t>4.9; P-83, P-84, P-85, P-89; 6.15</t>
        </is>
      </c>
      <c r="D59" s="7" t="inlineStr">
        <is>
          <t>Cuenta demo para admin, máscara de correo sin dominio y cierre de P-86/P-87</t>
        </is>
      </c>
      <c r="E59"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60">
      <c r="A60" s="8" t="inlineStr">
        <is>
          <t>2026-09-25</t>
        </is>
      </c>
      <c r="B60" s="4" t="inlineStr">
        <is>
          <t>sesión principal</t>
        </is>
      </c>
      <c r="C60" s="8" t="inlineStr">
        <is>
          <t>5.3; P-13</t>
        </is>
      </c>
      <c r="D60" s="7" t="inlineStr">
        <is>
          <t>Texto de vigilancia de Supersolidaria confirmado</t>
        </is>
      </c>
      <c r="E60"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61">
      <c r="A61" s="8" t="inlineStr">
        <is>
          <t>2026-09-25</t>
        </is>
      </c>
      <c r="B61" s="4" t="inlineStr">
        <is>
          <t>ga-verificador-qa</t>
        </is>
      </c>
      <c r="C61" s="8" t="inlineStr">
        <is>
          <t>6.3; nuevos P-84, P-86, P-87</t>
        </is>
      </c>
      <c r="D61" s="7" t="inlineStr">
        <is>
          <t>QA de producción: con observaciones</t>
        </is>
      </c>
      <c r="E61"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62">
      <c r="A62" s="8" t="inlineStr">
        <is>
          <t>2026-09-25</t>
        </is>
      </c>
      <c r="B62" s="4" t="inlineStr">
        <is>
          <t>sesión principal</t>
        </is>
      </c>
      <c r="C62" s="8" t="inlineStr">
        <is>
          <t>2.12; nuevo P-85</t>
        </is>
      </c>
      <c r="D62" s="7" t="inlineStr">
        <is>
          <t>El formulario de afiliación acepta correo de cualquier dominio</t>
        </is>
      </c>
      <c r="E62"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63">
      <c r="A63" s="8" t="inlineStr">
        <is>
          <t>2026-09-25</t>
        </is>
      </c>
      <c r="B63" s="4" t="inlineStr">
        <is>
          <t>ga-revisor-seguridad</t>
        </is>
      </c>
      <c r="C63" s="8" t="inlineStr">
        <is>
          <t>6.2; nuevos P-83, P-88</t>
        </is>
      </c>
      <c r="D63" s="7" t="inlineStr">
        <is>
          <t>Revisión de seguridad final de producción: aprobado con observaciones</t>
        </is>
      </c>
      <c r="E63"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64">
      <c r="A64" s="8" t="inlineStr">
        <is>
          <t>2026-09-25</t>
        </is>
      </c>
      <c r="B64" s="7" t="inlineStr">
        <is>
          <t>sesión principal (coordinador)</t>
        </is>
      </c>
      <c r="C64" s="8" t="inlineStr">
        <is>
          <t>6.5, 6.13; P-59, P-64; nuevo P-82</t>
        </is>
      </c>
      <c r="D64" s="7" t="inlineStr">
        <is>
          <t>PR develop → main fusionado; fase 2 desplegada en producción</t>
        </is>
      </c>
      <c r="E64"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65">
      <c r="A65" s="8" t="inlineStr">
        <is>
          <t>2026-09-25</t>
        </is>
      </c>
      <c r="B65" s="7" t="inlineStr">
        <is>
          <t>sesión principal (coordinador)</t>
        </is>
      </c>
      <c r="C65" s="8" t="inlineStr">
        <is>
          <t>6.9, 6.13; P-44, P-59, P-61</t>
        </is>
      </c>
      <c r="D65" s="7" t="inlineStr">
        <is>
          <t>Migraciones de fase 2 aplicadas en producción; plantillas de Resend y variables de Vercel puestas</t>
        </is>
      </c>
      <c r="E65"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66">
      <c r="A66" s="8" t="inlineStr">
        <is>
          <t>2026-09-24</t>
        </is>
      </c>
      <c r="B66" s="7" t="inlineStr">
        <is>
          <t>sesión principal (coordinador)</t>
        </is>
      </c>
      <c r="C66" s="8" t="inlineStr">
        <is>
          <t>5.4, P-14, P-61, P-62, P-72; nuevos P-75 a P-81</t>
        </is>
      </c>
      <c r="D66" s="7" t="inlineStr">
        <is>
          <t>Borrador de la política de datos y plantillas de Resend listas; Test QA borrado y dominio conectado</t>
        </is>
      </c>
      <c r="E66"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67">
      <c r="A67" s="8" t="inlineStr">
        <is>
          <t>2026-09-24</t>
        </is>
      </c>
      <c r="B67" s="7" t="inlineStr">
        <is>
          <t>Sebas (acuerdo con Carlos Pardo)</t>
        </is>
      </c>
      <c r="C67" s="8" t="inlineStr">
        <is>
          <t>4.1, 4.7, 4.8, 5.9, 5.10, 6.14, 6.15; P-65 a P-74</t>
        </is>
      </c>
      <c r="D67" s="7" t="inlineStr">
        <is>
          <t>Corrección de 4.1 y encargo externo a Carlos Pardo (500.000 COP) por PR a develop</t>
        </is>
      </c>
      <c r="E67"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68">
      <c r="A68" s="8" t="inlineStr">
        <is>
          <t>2026-09-24</t>
        </is>
      </c>
      <c r="B68" s="4" t="inlineStr">
        <is>
          <t>ga-escritor-tests</t>
        </is>
      </c>
      <c r="C68" s="8" t="inlineStr">
        <is>
          <t>6.1, P-58</t>
        </is>
      </c>
      <c r="D68" s="7" t="inlineStr">
        <is>
          <t>tests/e2e/d-afiliacion.spec.ts reescrito para la afiliación v2; bug real encontrado en esquemaAfiliacion</t>
        </is>
      </c>
      <c r="E68"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69">
      <c r="A69" s="8" t="inlineStr">
        <is>
          <t>2026-09-24</t>
        </is>
      </c>
      <c r="B69" s="7" t="inlineStr">
        <is>
          <t>Sebas (coordinación con la cooperativa)</t>
        </is>
      </c>
      <c r="C69" s="8" t="inlineStr">
        <is>
          <t>5.3; P-10, P-11, P-12, P-17, P-18, P-38, P-44</t>
        </is>
      </c>
      <c r="D69" s="7" t="inlineStr">
        <is>
          <t>Datos reales de contacto entregados; se cancela la importación de Excel; 3 admins reales en producción</t>
        </is>
      </c>
      <c r="E69"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70">
      <c r="A70" s="8" t="inlineStr">
        <is>
          <t>2026-09-24</t>
        </is>
      </c>
      <c r="B70" s="4" t="inlineStr">
        <is>
          <t>ga-funcionalidad-botones</t>
        </is>
      </c>
      <c r="C70" s="8" t="inlineStr">
        <is>
          <t>2.12, 4.1, 4.2, 4.5, 4.6, 6.2; P-36, P-37</t>
        </is>
      </c>
      <c r="D70" s="7" t="inlineStr">
        <is>
          <t>Afiliación v2, panel /admin y correcciones de la auditoría y la revisión de seguridad (F2-01/F2-04, S-01 a S-14)</t>
        </is>
      </c>
      <c r="E70"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71">
      <c r="A71" s="8" t="inlineStr">
        <is>
          <t>2026-09-24</t>
        </is>
      </c>
      <c r="B71" s="4" t="inlineStr">
        <is>
          <t>ga-revisor-seguridad</t>
        </is>
      </c>
      <c r="C71" s="8" t="inlineStr">
        <is>
          <t>6.2</t>
        </is>
      </c>
      <c r="D71" s="7" t="inlineStr">
        <is>
          <t>Revisión de seguridad de fase 2: 3 bloqueos para el despliegue</t>
        </is>
      </c>
      <c r="E71"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72">
      <c r="A72" s="8" t="inlineStr">
        <is>
          <t>2026-09-24</t>
        </is>
      </c>
      <c r="B72" s="4" t="inlineStr">
        <is>
          <t>ga-auditor-supabase</t>
        </is>
      </c>
      <c r="C72" s="8" t="inlineStr">
        <is>
          <t>1.6</t>
        </is>
      </c>
      <c r="D72" s="7" t="inlineStr">
        <is>
          <t>Auditoría de las 6 migraciones de fase 2: 1 hallazgo alto, 3 migraciones correctivas propuestas</t>
        </is>
      </c>
      <c r="E72"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73">
      <c r="A73" s="8" t="inlineStr">
        <is>
          <t>2026-09-24</t>
        </is>
      </c>
      <c r="B73" s="4" t="inlineStr">
        <is>
          <t>ga-funcionalidad-botones</t>
        </is>
      </c>
      <c r="C73" s="8" t="inlineStr">
        <is>
          <t>3.9</t>
        </is>
      </c>
      <c r="D73" s="7" t="inlineStr">
        <is>
          <t>Sorteo mensual en /cuenta</t>
        </is>
      </c>
      <c r="E73"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74">
      <c r="A74" s="8" t="inlineStr">
        <is>
          <t>2026-09-24</t>
        </is>
      </c>
      <c r="B74" s="4" t="inlineStr">
        <is>
          <t>ga-funcionalidad-botones</t>
        </is>
      </c>
      <c r="C74" s="8" t="inlineStr">
        <is>
          <t>4.6; P-57</t>
        </is>
      </c>
      <c r="D74" s="7" t="inlineStr">
        <is>
          <t>Rol asesor: /asesor (mis clientes) y /asesor/demo</t>
        </is>
      </c>
      <c r="E74"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75">
      <c r="A75" s="8" t="inlineStr">
        <is>
          <t>2026-09-24</t>
        </is>
      </c>
      <c r="B75" s="4" t="inlineStr">
        <is>
          <t>ga-auditor-supabase</t>
        </is>
      </c>
      <c r="C75" s="8" t="inlineStr">
        <is>
          <t>1.5; P-63</t>
        </is>
      </c>
      <c r="D75" s="7" t="inlineStr">
        <is>
          <t>Modelo de datos de fase 2: rol asesor, afiliación v2, bucket de fotos y sorteo mensual</t>
        </is>
      </c>
      <c r="E75"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76">
      <c r="A76" s="8" t="inlineStr">
        <is>
          <t>2026-09-23</t>
        </is>
      </c>
      <c r="B76" s="7" t="inlineStr">
        <is>
          <t>ga-funcionalidad-botones + ga-diseno-a-codigo</t>
        </is>
      </c>
      <c r="C76" s="8" t="inlineStr">
        <is>
          <t>6.3</t>
        </is>
      </c>
      <c r="D76" s="7" t="inlineStr">
        <is>
          <t>Corregidos F-01 a F-08 de verificación 3 y los 8 hallazgos responsive</t>
        </is>
      </c>
      <c r="E76"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77">
      <c r="A77" s="8" t="inlineStr">
        <is>
          <t>2026-09-23</t>
        </is>
      </c>
      <c r="B77" s="7" t="inlineStr">
        <is>
          <t>ga-verificador-responsive + ga-verificador-qa</t>
        </is>
      </c>
      <c r="C77" s="8" t="inlineStr">
        <is>
          <t>6.3; P-39</t>
        </is>
      </c>
      <c r="D77" s="7" t="inlineStr">
        <is>
          <t>Responsive 3 (8 hallazgos menores) y QA E2E 3 (236/241, NO APROBADO)</t>
        </is>
      </c>
      <c r="E77"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78">
      <c r="A78" s="8" t="inlineStr">
        <is>
          <t>2026-09-23</t>
        </is>
      </c>
      <c r="B78" s="4" t="inlineStr">
        <is>
          <t>ga-verificador-responsive</t>
        </is>
      </c>
      <c r="C78" s="8" t="inlineStr">
        <is>
          <t>6.3, 5.2, 5.8; P-39, P-53</t>
        </is>
      </c>
      <c r="D78" s="7" t="inlineStr">
        <is>
          <t>Verificación responsive 2: 0 fallas en 13 anchos; tests/responsive 10/10</t>
        </is>
      </c>
      <c r="E78"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79">
      <c r="A79" s="8" t="inlineStr">
        <is>
          <t>2026-09-23</t>
        </is>
      </c>
      <c r="B79" s="4" t="inlineStr">
        <is>
          <t>ga-funcionalidad-botones</t>
        </is>
      </c>
      <c r="C79" s="8" t="inlineStr">
        <is>
          <t>3.7, 5.5, 5.6, 6.9, 6.11; P-35, P-40, P-44, P-56</t>
        </is>
      </c>
      <c r="D79" s="7" t="inlineStr">
        <is>
          <t>HMAC en el límite de intentos, crédito en /cuenta/solicitar y borradas /login y /dashboard</t>
        </is>
      </c>
      <c r="E79"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80">
      <c r="A80" s="8" t="inlineStr">
        <is>
          <t>2026-09-23</t>
        </is>
      </c>
      <c r="B80" s="4" t="inlineStr">
        <is>
          <t>ga-diseno-a-codigo</t>
        </is>
      </c>
      <c r="C80" s="8" t="inlineStr">
        <is>
          <t>5.2, 5.8, 6.3</t>
        </is>
      </c>
      <c r="D80" s="7" t="inlineStr">
        <is>
          <t>Corregido el scroll horizontal y marca de agua más tenue</t>
        </is>
      </c>
      <c r="E80" s="7" t="inlineStr">
        <is>
          <t>Enlace del logo encoge (min-w-0 shrink) en los 5 headers; formulario de ingreso w-full con máximo 440 px y relleno de 32 px entre 1024 y 1279 px; marca de agua del hero en la esquina contraria y más tenue. 5.8 queda Hecho (peso 1, depende de 5.2 y 5.7).</t>
        </is>
      </c>
    </row>
    <row r="81">
      <c r="A81" s="8" t="inlineStr">
        <is>
          <t>2026-09-23</t>
        </is>
      </c>
      <c r="B81" s="4" t="inlineStr">
        <is>
          <t>ga-verificador-responsive</t>
        </is>
      </c>
      <c r="C81" s="8" t="inlineStr">
        <is>
          <t>6.3, 5.2, 2.1, 5.8; P-39</t>
        </is>
      </c>
      <c r="D81" s="7" t="inlineStr">
        <is>
          <t>Verificación responsive 1: logo y fotos bien; 2 fallas críticas de scroll previas</t>
        </is>
      </c>
      <c r="E81"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82">
      <c r="A82" s="8" t="inlineStr">
        <is>
          <t>2026-09-23</t>
        </is>
      </c>
      <c r="B82" s="4" t="inlineStr">
        <is>
          <t>ga-diseno-a-codigo</t>
        </is>
      </c>
      <c r="C82" s="8" t="inlineStr">
        <is>
          <t>2.1, 5.3, 5.7; P-16, P-52</t>
        </is>
      </c>
      <c r="D82" s="7" t="inlineStr">
        <is>
          <t>Logo con letras oficiales en SVG y espacios de foto de marca en la landing</t>
        </is>
      </c>
      <c r="E82"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83">
      <c r="A83" s="8" t="inlineStr">
        <is>
          <t>2026-09-23</t>
        </is>
      </c>
      <c r="B83" s="4" t="inlineStr">
        <is>
          <t>ga-auditor-supabase</t>
        </is>
      </c>
      <c r="C83" s="8" t="inlineStr">
        <is>
          <t>6.8, 6.11, 6.12; P-43, P-54, P-55</t>
        </is>
      </c>
      <c r="D83" s="7" t="inlineStr">
        <is>
          <t>Migración limite_de_intentos auditada: se puede aplicar tal cual</t>
        </is>
      </c>
      <c r="E83"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84">
      <c r="A84" s="8" t="inlineStr">
        <is>
          <t>2026-09-23</t>
        </is>
      </c>
      <c r="B84" s="7" t="inlineStr">
        <is>
          <t>Sebas + ga-auditor-supabase</t>
        </is>
      </c>
      <c r="C84" s="8" t="inlineStr">
        <is>
          <t>2.4, 6.8, 6.10; P-09, P-19, P-20, P-43, P-45</t>
        </is>
      </c>
      <c r="D84" s="7" t="inlineStr">
        <is>
          <t>SMTP de Resend configurado, plantilla del código lista en local y blindar confirmada en producción</t>
        </is>
      </c>
      <c r="E84"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85">
      <c r="A85" s="8" t="inlineStr">
        <is>
          <t>2026-09-23</t>
        </is>
      </c>
      <c r="B85" s="4" t="inlineStr">
        <is>
          <t>Sebas</t>
        </is>
      </c>
      <c r="C85" s="8" t="inlineStr">
        <is>
          <t>—</t>
        </is>
      </c>
      <c r="D85" s="7" t="inlineStr">
        <is>
          <t>Agente ga-auditor-supabase corregido</t>
        </is>
      </c>
      <c r="E85" s="7" t="inlineStr">
        <is>
          <t>Sus disallowedTools ahora usan los nombres reales del MCP (mcp__claude_ai_Supabase__*). Sin efecto en el plan.</t>
        </is>
      </c>
    </row>
    <row r="86">
      <c r="A86" s="8" t="inlineStr">
        <is>
          <t>2026-09-23</t>
        </is>
      </c>
      <c r="B86" s="7" t="inlineStr">
        <is>
          <t>Sebas + ga-auditor-supabase</t>
        </is>
      </c>
      <c r="C86" s="8" t="inlineStr">
        <is>
          <t>3.1, 6.5, 6.10; P-09</t>
        </is>
      </c>
      <c r="D86" s="7" t="inlineStr">
        <is>
          <t>Producción atrasada: falta la migración blindar_solicitudes_y_revisiones</t>
        </is>
      </c>
      <c r="E86"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87">
      <c r="A87" s="8" t="inlineStr">
        <is>
          <t>2026-09-23</t>
        </is>
      </c>
      <c r="B87" s="4" t="inlineStr">
        <is>
          <t>ga-escritor-tests</t>
        </is>
      </c>
      <c r="C87" s="8" t="inlineStr">
        <is>
          <t>6.1</t>
        </is>
      </c>
      <c r="D87" s="7" t="inlineStr">
        <is>
          <t>132/132 unitarias, 131/131 pgTAP y tsc sin errores</t>
        </is>
      </c>
      <c r="E87"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88">
      <c r="A88" s="8" t="inlineStr">
        <is>
          <t>2026-09-23</t>
        </is>
      </c>
      <c r="B88" s="7" t="inlineStr">
        <is>
          <t>Sebas + ga-funcionalidad-botones</t>
        </is>
      </c>
      <c r="C88" s="8" t="inlineStr">
        <is>
          <t>2.9, 3.8, 4.5, 6.1, 6.2, 6.9; P-19, P-20, P-28, P-36, P-37, P-44, P-45, P-50, P-51</t>
        </is>
      </c>
      <c r="D88" s="7" t="inlineStr">
        <is>
          <t>Se quitan del código los correos de aviso de afiliación y de solicitud de crédito; docs/resend-plantillas.md reescrito</t>
        </is>
      </c>
      <c r="E88"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89">
      <c r="A89" s="8" t="inlineStr">
        <is>
          <t>2026-09-23</t>
        </is>
      </c>
      <c r="B89" s="4" t="inlineStr">
        <is>
          <t>ga-verificador-qa</t>
        </is>
      </c>
      <c r="C89" s="8" t="inlineStr">
        <is>
          <t>6.3, 2.11; P-39, P-48, P-49, P-50</t>
        </is>
      </c>
      <c r="D89" s="7" t="inlineStr">
        <is>
          <t>QA 1 de punta a punta: 186 pruebas pasan, 2 fallan</t>
        </is>
      </c>
      <c r="E89"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90">
      <c r="A90" s="8" t="inlineStr">
        <is>
          <t>2026-09-23</t>
        </is>
      </c>
      <c r="B90" s="4" t="inlineStr">
        <is>
          <t>ga-funcionalidad-botones</t>
        </is>
      </c>
      <c r="C90" s="8" t="inlineStr">
        <is>
          <t>2.4, 2.5, 2.6, 2.7, 2.8, 2.9, 2.10, 3.5, 3.6, 3.7, 3.8, 5.4, 6.1, 6.5, 6.8, 6.9; P-15, P-20, P-22 a P-35, P-43 a P-47</t>
        </is>
      </c>
      <c r="D90" s="7" t="inlineStr">
        <is>
          <t>Botones de /, /ingresar, /ingresar/codigo, /afiliacion, /afiliacion/enviada y /cuenta funcionando en local</t>
        </is>
      </c>
      <c r="E90"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91">
      <c r="A91" s="8" t="inlineStr">
        <is>
          <t>2026-09-23</t>
        </is>
      </c>
      <c r="B91" s="4" t="inlineStr">
        <is>
          <t>Claude (sesión principal)</t>
        </is>
      </c>
      <c r="C91" s="8" t="inlineStr">
        <is>
          <t>Todas</t>
        </is>
      </c>
      <c r="D91" s="7" t="inlineStr">
        <is>
          <t>Creación del Excel de avances</t>
        </is>
      </c>
      <c r="E91"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2026-10-01T18:08:12Z</dcterms:created>
  <dcterms:modified xmlns:dcterms="http://purl.org/dc/terms/" xmlns:xsi="http://www.w3.org/2001/XMLSchema-instance" xsi:type="dcterms:W3CDTF">2026-10-01T18:08:14Z</dcterms:modified>
</cp:coreProperties>
</file>