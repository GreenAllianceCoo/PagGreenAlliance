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'Pendientes'!$A$4:$J$97</definedName>
    <definedName name="_xlnm._FilterDatabase" localSheetId="2" hidden="1">'Plan'!$A$4:$R$75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2026-09-25.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56</v>
      </c>
      <c r="D6" s="6" t="inlineStr">
        <is>
          <t>Calculado por el optimizador.</t>
        </is>
      </c>
    </row>
    <row r="8">
      <c r="B8" s="3" t="inlineStr">
        <is>
          <t>Indicadores</t>
        </is>
      </c>
    </row>
    <row r="9">
      <c r="B9" s="4" t="inlineStr">
        <is>
          <t>Actividades en el plan</t>
        </is>
      </c>
      <c r="C9" s="9">
        <f>COUNTA(Plan!$A$5:$A$75)</f>
        <v/>
      </c>
    </row>
    <row r="10">
      <c r="B10" s="4" t="inlineStr">
        <is>
          <t>Hechas</t>
        </is>
      </c>
      <c r="C10" s="9">
        <f>COUNTIF(Plan!$O$5:$O$75,"Hecho")</f>
        <v/>
      </c>
    </row>
    <row r="11">
      <c r="B11" s="4" t="inlineStr">
        <is>
          <t>En curso</t>
        </is>
      </c>
      <c r="C11" s="9">
        <f>COUNTIF(Plan!$O$5:$O$75,"En curso")</f>
        <v/>
      </c>
    </row>
    <row r="12">
      <c r="B12" s="4" t="inlineStr">
        <is>
          <t>Pendientes</t>
        </is>
      </c>
      <c r="C12" s="9">
        <f>COUNTIF(Plan!$O$5:$O$75,"Pendiente")</f>
        <v/>
      </c>
    </row>
    <row r="13">
      <c r="B13" s="7" t="inlineStr">
        <is>
          <t>Bloqueadas (esperan a la cooperativa)</t>
        </is>
      </c>
      <c r="C13" s="9">
        <f>COUNTIF(Plan!$O$5:$O$75,"Bloqueado")</f>
        <v/>
      </c>
    </row>
    <row r="14">
      <c r="B14" s="4" t="inlineStr">
        <is>
          <t>Peso total (puntos)</t>
        </is>
      </c>
      <c r="C14" s="9">
        <f>SUM(Plan!$D$5:$D$75)</f>
        <v/>
      </c>
    </row>
    <row r="15">
      <c r="B15" s="4" t="inlineStr">
        <is>
          <t>Peso hecho (puntos)</t>
        </is>
      </c>
      <c r="C15" s="9">
        <f>SUMIF(Plan!$O$5:$O$75,"Hecho",Plan!$D$5:$D$75)</f>
        <v/>
      </c>
    </row>
    <row r="16">
      <c r="B16" s="4" t="inlineStr">
        <is>
          <t>Avance ponderado por peso</t>
        </is>
      </c>
      <c r="C16" s="10">
        <f>IF(C14=0,0,C15/C14)</f>
        <v/>
      </c>
    </row>
    <row r="17">
      <c r="B17" s="7" t="inlineStr">
        <is>
          <t>Duración total optimizada (bloques)</t>
        </is>
      </c>
      <c r="C17" s="9">
        <f>MAX(Plan!$L$5:$L$75)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IF(C17=0,0,(SUMIF(Plan!$I$5:$I$75,"A",Plan!$E$5:$E$75)+SUMIF(Plan!$I$5:$I$75,"A+B",Plan!$E$5:$E$75))/C17)</f>
        <v/>
      </c>
    </row>
    <row r="24">
      <c r="B24" s="4" t="inlineStr">
        <is>
          <t>Uso de la Fila B</t>
        </is>
      </c>
      <c r="C24" s="12">
        <f>IF(C17=0,0,(SUMIF(Plan!$I$5:$I$75,"B",Plan!$E$5:$E$75)+SUMIF(Plan!$I$5:$I$75,"A+B",Plan!$E$5:$E$75))/C17)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SUMIF(Plan!$B$5:$B$75,"1. Diseño y arquitectura",Plan!$D$5:$D$75)</f>
        <v/>
      </c>
      <c r="D29" s="15">
        <f>SUMIFS(Plan!$D$5:$D$75,Plan!$B$5:$B$75,"1. Diseño y arquitectura",Plan!$O$5:$O$75,"Hecho")</f>
        <v/>
      </c>
      <c r="E29" s="12">
        <f>IF(C29=0,0,D29/C29)</f>
        <v/>
      </c>
      <c r="F29" s="15">
        <f>SUMPRODUCT(MAX((Plan!$B$5:$B$75="1. Diseño y arquitectura")*Plan!$L$5:$L$75))</f>
        <v/>
      </c>
      <c r="G29" s="8">
        <f>"S"&amp;ROUNDUP(F29/$C$5,0)</f>
        <v/>
      </c>
      <c r="H29" s="16">
        <f>'Propuesta original'!E5</f>
        <v/>
      </c>
    </row>
    <row r="30">
      <c r="B30" s="7" t="inlineStr">
        <is>
          <t>2. Landing y autenticación</t>
        </is>
      </c>
      <c r="C30" s="15">
        <f>SUMIF(Plan!$B$5:$B$75,"2. Landing y autenticación",Plan!$D$5:$D$75)</f>
        <v/>
      </c>
      <c r="D30" s="15">
        <f>SUMIFS(Plan!$D$5:$D$75,Plan!$B$5:$B$75,"2. Landing y autenticación",Plan!$O$5:$O$75,"Hecho")</f>
        <v/>
      </c>
      <c r="E30" s="12">
        <f>IF(C30=0,0,D30/C30)</f>
        <v/>
      </c>
      <c r="F30" s="15">
        <f>SUMPRODUCT(MAX((Plan!$B$5:$B$75="2. Landing y autenticación")*Plan!$L$5:$L$75))</f>
        <v/>
      </c>
      <c r="G30" s="8">
        <f>"S"&amp;ROUNDUP(F30/$C$5,0)</f>
        <v/>
      </c>
      <c r="H30" s="16">
        <f>'Propuesta original'!E6</f>
        <v/>
      </c>
    </row>
    <row r="31">
      <c r="B31" s="7" t="inlineStr">
        <is>
          <t>3. Flujo de solicitud de crédito</t>
        </is>
      </c>
      <c r="C31" s="15">
        <f>SUMIF(Plan!$B$5:$B$75,"3. Flujo de solicitud de crédito",Plan!$D$5:$D$75)</f>
        <v/>
      </c>
      <c r="D31" s="15">
        <f>SUMIFS(Plan!$D$5:$D$75,Plan!$B$5:$B$75,"3. Flujo de solicitud de crédito",Plan!$O$5:$O$75,"Hecho")</f>
        <v/>
      </c>
      <c r="E31" s="12">
        <f>IF(C31=0,0,D31/C31)</f>
        <v/>
      </c>
      <c r="F31" s="15">
        <f>SUMPRODUCT(MAX((Plan!$B$5:$B$75="3. Flujo de solicitud de crédito")*Plan!$L$5:$L$75))</f>
        <v/>
      </c>
      <c r="G31" s="8">
        <f>"S"&amp;ROUNDUP(F31/$C$5,0)</f>
        <v/>
      </c>
      <c r="H31" s="16">
        <f>'Propuesta original'!E7</f>
        <v/>
      </c>
    </row>
    <row r="32">
      <c r="B32" s="7" t="inlineStr">
        <is>
          <t>4. Panel de administración</t>
        </is>
      </c>
      <c r="C32" s="15">
        <f>SUMIF(Plan!$B$5:$B$75,"4. Panel de administración",Plan!$D$5:$D$75)</f>
        <v/>
      </c>
      <c r="D32" s="15">
        <f>SUMIFS(Plan!$D$5:$D$75,Plan!$B$5:$B$75,"4. Panel de administración",Plan!$O$5:$O$75,"Hecho")</f>
        <v/>
      </c>
      <c r="E32" s="12">
        <f>IF(C32=0,0,D32/C32)</f>
        <v/>
      </c>
      <c r="F32" s="15">
        <f>SUMPRODUCT(MAX((Plan!$B$5:$B$75="4. Panel de administración")*Plan!$L$5:$L$75))</f>
        <v/>
      </c>
      <c r="G32" s="8">
        <f>"S"&amp;ROUNDUP(F32/$C$5,0)</f>
        <v/>
      </c>
      <c r="H32" s="16">
        <f>'Propuesta original'!E8</f>
        <v/>
      </c>
    </row>
    <row r="33">
      <c r="B33" s="4" t="inlineStr">
        <is>
          <t>5. Convenios y pulido</t>
        </is>
      </c>
      <c r="C33" s="15">
        <f>SUMIF(Plan!$B$5:$B$75,"5. Convenios y pulido",Plan!$D$5:$D$75)</f>
        <v/>
      </c>
      <c r="D33" s="15">
        <f>SUMIFS(Plan!$D$5:$D$75,Plan!$B$5:$B$75,"5. Convenios y pulido",Plan!$O$5:$O$75,"Hecho")</f>
        <v/>
      </c>
      <c r="E33" s="12">
        <f>IF(C33=0,0,D33/C33)</f>
        <v/>
      </c>
      <c r="F33" s="15">
        <f>SUMPRODUCT(MAX((Plan!$B$5:$B$75="5. Convenios y pulido")*Plan!$L$5:$L$75))</f>
        <v/>
      </c>
      <c r="G33" s="8">
        <f>"S"&amp;ROUNDUP(F33/$C$5,0)</f>
        <v/>
      </c>
      <c r="H33" s="16">
        <f>'Propuesta original'!E9</f>
        <v/>
      </c>
    </row>
    <row r="34">
      <c r="B34" s="4" t="inlineStr">
        <is>
          <t>6. Pruebas y lanzamiento</t>
        </is>
      </c>
      <c r="C34" s="15">
        <f>SUMIF(Plan!$B$5:$B$75,"6. Pruebas y lanzamiento",Plan!$D$5:$D$75)</f>
        <v/>
      </c>
      <c r="D34" s="15">
        <f>SUMIFS(Plan!$D$5:$D$75,Plan!$B$5:$B$75,"6. Pruebas y lanzamiento",Plan!$O$5:$O$75,"Hecho")</f>
        <v/>
      </c>
      <c r="E34" s="12">
        <f>IF(C34=0,0,D34/C34)</f>
        <v/>
      </c>
      <c r="F34" s="15">
        <f>SUMPRODUCT(MAX((Plan!$B$5:$B$75="6. Pruebas y lanzamiento")*Plan!$L$5:$L$75))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COUNTIFS(Pendientes!$B$5:$B$97,$B46,Pendientes!$G$5:$G$97,"Hecho")</f>
        <v/>
      </c>
      <c r="D46" s="15">
        <f>COUNTIFS(Pendientes!$B$5:$B$97,$B46,Pendientes!$G$5:$G$97,"En curso")</f>
        <v/>
      </c>
      <c r="E46" s="15">
        <f>COUNTIFS(Pendientes!$B$5:$B$97,$B46,Pendientes!$G$5:$G$97,"Pendiente")</f>
        <v/>
      </c>
      <c r="F46" s="15">
        <f>COUNTIFS(Pendientes!$B$5:$B$97,$B46,Pendientes!$G$5:$G$97,"Bloqueado")</f>
        <v/>
      </c>
      <c r="G46" s="9">
        <f>SUM(C46:F46)</f>
        <v/>
      </c>
    </row>
    <row r="47">
      <c r="B47" s="4" t="inlineStr">
        <is>
          <t>Dato de la cooperativa</t>
        </is>
      </c>
      <c r="C47" s="15">
        <f>COUNTIFS(Pendientes!$B$5:$B$97,$B47,Pendientes!$G$5:$G$97,"Hecho")</f>
        <v/>
      </c>
      <c r="D47" s="15">
        <f>COUNTIFS(Pendientes!$B$5:$B$97,$B47,Pendientes!$G$5:$G$97,"En curso")</f>
        <v/>
      </c>
      <c r="E47" s="15">
        <f>COUNTIFS(Pendientes!$B$5:$B$97,$B47,Pendientes!$G$5:$G$97,"Pendiente")</f>
        <v/>
      </c>
      <c r="F47" s="15">
        <f>COUNTIFS(Pendientes!$B$5:$B$97,$B47,Pendientes!$G$5:$G$97,"Bloqueado")</f>
        <v/>
      </c>
      <c r="G47" s="9">
        <f>SUM(C47:F47)</f>
        <v/>
      </c>
    </row>
    <row r="48">
      <c r="B48" s="4" t="inlineStr">
        <is>
          <t>Configuración</t>
        </is>
      </c>
      <c r="C48" s="15">
        <f>COUNTIFS(Pendientes!$B$5:$B$97,$B48,Pendientes!$G$5:$G$97,"Hecho")</f>
        <v/>
      </c>
      <c r="D48" s="15">
        <f>COUNTIFS(Pendientes!$B$5:$B$97,$B48,Pendientes!$G$5:$G$97,"En curso")</f>
        <v/>
      </c>
      <c r="E48" s="15">
        <f>COUNTIFS(Pendientes!$B$5:$B$97,$B48,Pendientes!$G$5:$G$97,"Pendiente")</f>
        <v/>
      </c>
      <c r="F48" s="15">
        <f>COUNTIFS(Pendientes!$B$5:$B$97,$B48,Pendientes!$G$5:$G$97,"Bloqueado")</f>
        <v/>
      </c>
      <c r="G48" s="9">
        <f>SUM(C48:F48)</f>
        <v/>
      </c>
    </row>
    <row r="49">
      <c r="B49" s="4" t="inlineStr">
        <is>
          <t>Funcionalidad</t>
        </is>
      </c>
      <c r="C49" s="15">
        <f>COUNTIFS(Pendientes!$B$5:$B$97,$B49,Pendientes!$G$5:$G$97,"Hecho")</f>
        <v/>
      </c>
      <c r="D49" s="15">
        <f>COUNTIFS(Pendientes!$B$5:$B$97,$B49,Pendientes!$G$5:$G$97,"En curso")</f>
        <v/>
      </c>
      <c r="E49" s="15">
        <f>COUNTIFS(Pendientes!$B$5:$B$97,$B49,Pendientes!$G$5:$G$97,"Pendiente")</f>
        <v/>
      </c>
      <c r="F49" s="15">
        <f>COUNTIFS(Pendientes!$B$5:$B$97,$B49,Pendientes!$G$5:$G$97,"Bloqueado")</f>
        <v/>
      </c>
      <c r="G49" s="9">
        <f>SUM(C49:F49)</f>
        <v/>
      </c>
    </row>
    <row r="50">
      <c r="B50" s="4" t="inlineStr">
        <is>
          <t>Verificación y cierre</t>
        </is>
      </c>
      <c r="C50" s="15">
        <f>COUNTIFS(Pendientes!$B$5:$B$97,$B50,Pendientes!$G$5:$G$97,"Hecho")</f>
        <v/>
      </c>
      <c r="D50" s="15">
        <f>COUNTIFS(Pendientes!$B$5:$B$97,$B50,Pendientes!$G$5:$G$97,"En curso")</f>
        <v/>
      </c>
      <c r="E50" s="15">
        <f>COUNTIFS(Pendientes!$B$5:$B$97,$B50,Pendientes!$G$5:$G$97,"Pendiente")</f>
        <v/>
      </c>
      <c r="F50" s="15">
        <f>COUNTIFS(Pendientes!$B$5:$B$97,$B50,Pendientes!$G$5:$G$97,"Bloqueado")</f>
        <v/>
      </c>
      <c r="G50" s="9">
        <f>SUM(C50:F50)</f>
        <v/>
      </c>
    </row>
    <row r="51">
      <c r="B51" s="4" t="inlineStr">
        <is>
          <t>Seguridad</t>
        </is>
      </c>
      <c r="C51" s="15">
        <f>COUNTIFS(Pendientes!$B$5:$B$97,$B51,Pendientes!$G$5:$G$97,"Hecho")</f>
        <v/>
      </c>
      <c r="D51" s="15">
        <f>COUNTIFS(Pendientes!$B$5:$B$97,$B51,Pendientes!$G$5:$G$97,"En curso")</f>
        <v/>
      </c>
      <c r="E51" s="15">
        <f>COUNTIFS(Pendientes!$B$5:$B$97,$B51,Pendientes!$G$5:$G$97,"Pendiente")</f>
        <v/>
      </c>
      <c r="F51" s="15">
        <f>COUNTIFS(Pendientes!$B$5:$B$97,$B51,Pendientes!$G$5:$G$97,"Bloqueado")</f>
        <v/>
      </c>
      <c r="G51" s="9">
        <f>SUM(C51:F51)</f>
        <v/>
      </c>
    </row>
    <row r="52">
      <c r="B52" s="4" t="inlineStr">
        <is>
          <t>Código</t>
        </is>
      </c>
      <c r="C52" s="15">
        <f>COUNTIFS(Pendientes!$B$5:$B$97,$B52,Pendientes!$G$5:$G$97,"Hecho")</f>
        <v/>
      </c>
      <c r="D52" s="15">
        <f>COUNTIFS(Pendientes!$B$5:$B$97,$B52,Pendientes!$G$5:$G$97,"En curso")</f>
        <v/>
      </c>
      <c r="E52" s="15">
        <f>COUNTIFS(Pendientes!$B$5:$B$97,$B52,Pendientes!$G$5:$G$97,"Pendiente")</f>
        <v/>
      </c>
      <c r="F52" s="15">
        <f>COUNTIFS(Pendientes!$B$5:$B$97,$B52,Pendientes!$G$5:$G$97,"Bloqueado")</f>
        <v/>
      </c>
      <c r="G52" s="9">
        <f>SUM(C52:F52)</f>
        <v/>
      </c>
    </row>
    <row r="53">
      <c r="B53" s="4" t="inlineStr">
        <is>
          <t>Base de datos</t>
        </is>
      </c>
      <c r="C53" s="15">
        <f>COUNTIFS(Pendientes!$B$5:$B$97,$B53,Pendientes!$G$5:$G$97,"Hecho")</f>
        <v/>
      </c>
      <c r="D53" s="15">
        <f>COUNTIFS(Pendientes!$B$5:$B$97,$B53,Pendientes!$G$5:$G$97,"En curso")</f>
        <v/>
      </c>
      <c r="E53" s="15">
        <f>COUNTIFS(Pendientes!$B$5:$B$97,$B53,Pendientes!$G$5:$G$97,"Pendiente")</f>
        <v/>
      </c>
      <c r="F53" s="15">
        <f>COUNTIFS(Pendientes!$B$5:$B$97,$B53,Pendientes!$G$5:$G$97,"Bloqueado")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IFERROR(INDEX(Plan!$B$5:$B$75,MATCH(H5,Plan!$A$5:$A$75,0)),"—")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IFERROR(INDEX(Plan!$B$5:$B$75,MATCH(H6,Plan!$A$5:$A$75,0)),"—")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IFERROR(INDEX(Plan!$B$5:$B$75,MATCH(H7,Plan!$A$5:$A$75,0)),"—")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IFERROR(INDEX(Plan!$B$5:$B$75,MATCH(H8,Plan!$A$5:$A$75,0)),"—")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IFERROR(INDEX(Plan!$B$5:$B$75,MATCH(H9,Plan!$A$5:$A$75,0)),"—")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IFERROR(INDEX(Plan!$B$5:$B$75,MATCH(H10,Plan!$A$5:$A$75,0)),"—")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IFERROR(INDEX(Plan!$B$5:$B$75,MATCH(H11,Plan!$A$5:$A$75,0)),"—")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IFERROR(INDEX(Plan!$B$5:$B$75,MATCH(H12,Plan!$A$5:$A$75,0)),"—")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IFERROR(INDEX(Plan!$B$5:$B$75,MATCH(H13,Plan!$A$5:$A$75,0)),"—")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IFERROR(INDEX(Plan!$B$5:$B$75,MATCH(H14,Plan!$A$5:$A$75,0)),"—")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IFERROR(INDEX(Plan!$B$5:$B$75,MATCH(H15,Plan!$A$5:$A$75,0)),"—")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IFERROR(INDEX(Plan!$B$5:$B$75,MATCH(H16,Plan!$A$5:$A$75,0)),"—")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IFERROR(INDEX(Plan!$B$5:$B$75,MATCH(H17,Plan!$A$5:$A$75,0)),"—")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IFERROR(INDEX(Plan!$B$5:$B$75,MATCH(H18,Plan!$A$5:$A$75,0)),"—")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IFERROR(INDEX(Plan!$B$5:$B$75,MATCH(H19,Plan!$A$5:$A$75,0)),"—")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IFERROR(INDEX(Plan!$B$5:$B$75,MATCH(H20,Plan!$A$5:$A$75,0)),"—")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IFERROR(INDEX(Plan!$B$5:$B$75,MATCH(H21,Plan!$A$5:$A$75,0)),"—")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IFERROR(INDEX(Plan!$B$5:$B$75,MATCH(H22,Plan!$A$5:$A$75,0)),"—")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IFERROR(INDEX(Plan!$B$5:$B$75,MATCH(H23,Plan!$A$5:$A$75,0)),"—")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IFERROR(INDEX(Plan!$B$5:$B$75,MATCH(H24,Plan!$A$5:$A$75,0)),"—")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IFERROR(INDEX(Plan!$B$5:$B$75,MATCH(H25,Plan!$A$5:$A$75,0)),"—")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IFERROR(INDEX(Plan!$B$5:$B$75,MATCH(H26,Plan!$A$5:$A$75,0)),"—")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IFERROR(INDEX(Plan!$B$5:$B$75,MATCH(H27,Plan!$A$5:$A$75,0)),"—")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IFERROR(INDEX(Plan!$B$5:$B$75,MATCH(H28,Plan!$A$5:$A$75,0)),"—")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IFERROR(INDEX(Plan!$B$5:$B$75,MATCH(H29,Plan!$A$5:$A$75,0)),"—")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IFERROR(INDEX(Plan!$B$5:$B$75,MATCH(H30,Plan!$A$5:$A$75,0)),"—")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IFERROR(INDEX(Plan!$B$5:$B$75,MATCH(H31,Plan!$A$5:$A$75,0)),"—")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IFERROR(INDEX(Plan!$B$5:$B$75,MATCH(H32,Plan!$A$5:$A$75,0)),"—")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IFERROR(INDEX(Plan!$B$5:$B$75,MATCH(H33,Plan!$A$5:$A$75,0)),"—")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IFERROR(INDEX(Plan!$B$5:$B$75,MATCH(H34,Plan!$A$5:$A$75,0)),"—")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IFERROR(INDEX(Plan!$B$5:$B$75,MATCH(H35,Plan!$A$5:$A$75,0)),"—")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IFERROR(INDEX(Plan!$B$5:$B$75,MATCH(H36,Plan!$A$5:$A$75,0)),"—")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IFERROR(INDEX(Plan!$B$5:$B$75,MATCH(H37,Plan!$A$5:$A$75,0)),"—")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IFERROR(INDEX(Plan!$B$5:$B$75,MATCH(H38,Plan!$A$5:$A$75,0)),"—")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IFERROR(INDEX(Plan!$B$5:$B$75,MATCH(H39,Plan!$A$5:$A$75,0)),"—")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IFERROR(INDEX(Plan!$B$5:$B$75,MATCH(H40,Plan!$A$5:$A$75,0)),"—")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IFERROR(INDEX(Plan!$B$5:$B$75,MATCH(H41,Plan!$A$5:$A$75,0)),"—")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IFERROR(INDEX(Plan!$B$5:$B$75,MATCH(H42,Plan!$A$5:$A$75,0)),"—")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IFERROR(INDEX(Plan!$B$5:$B$75,MATCH(H43,Plan!$A$5:$A$75,0)),"—")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IFERROR(INDEX(Plan!$B$5:$B$75,MATCH(H44,Plan!$A$5:$A$75,0)),"—")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IFERROR(INDEX(Plan!$B$5:$B$75,MATCH(H45,Plan!$A$5:$A$75,0)),"—")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IFERROR(INDEX(Plan!$B$5:$B$75,MATCH(H46,Plan!$A$5:$A$75,0)),"—")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IFERROR(INDEX(Plan!$B$5:$B$75,MATCH(H47,Plan!$A$5:$A$75,0)),"—")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IFERROR(INDEX(Plan!$B$5:$B$75,MATCH(H48,Plan!$A$5:$A$75,0)),"—")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IFERROR(INDEX(Plan!$B$5:$B$75,MATCH(H49,Plan!$A$5:$A$75,0)),"—")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IFERROR(INDEX(Plan!$B$5:$B$75,MATCH(H50,Plan!$A$5:$A$75,0)),"—")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IFERROR(INDEX(Plan!$B$5:$B$75,MATCH(H51,Plan!$A$5:$A$75,0)),"—")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IFERROR(INDEX(Plan!$B$5:$B$75,MATCH(H52,Plan!$A$5:$A$75,0)),"—")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IFERROR(INDEX(Plan!$B$5:$B$75,MATCH(H53,Plan!$A$5:$A$75,0)),"—")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IFERROR(INDEX(Plan!$B$5:$B$75,MATCH(H54,Plan!$A$5:$A$75,0)),"—")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IFERROR(INDEX(Plan!$B$5:$B$75,MATCH(H55,Plan!$A$5:$A$75,0)),"—")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IFERROR(INDEX(Plan!$B$5:$B$75,MATCH(H56,Plan!$A$5:$A$75,0)),"—")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IFERROR(INDEX(Plan!$B$5:$B$75,MATCH(H57,Plan!$A$5:$A$75,0)),"—")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IFERROR(INDEX(Plan!$B$5:$B$75,MATCH(H58,Plan!$A$5:$A$75,0)),"—")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IFERROR(INDEX(Plan!$B$5:$B$75,MATCH(H59,Plan!$A$5:$A$75,0)),"—")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IFERROR(INDEX(Plan!$B$5:$B$75,MATCH(H60,Plan!$A$5:$A$75,0)),"—")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IFERROR(INDEX(Plan!$B$5:$B$75,MATCH(H61,Plan!$A$5:$A$75,0)),"—")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IFERROR(INDEX(Plan!$B$5:$B$75,MATCH(H62,Plan!$A$5:$A$75,0)),"—")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IFERROR(INDEX(Plan!$B$5:$B$75,MATCH(H63,Plan!$A$5:$A$75,0)),"—")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IFERROR(INDEX(Plan!$B$5:$B$75,MATCH(H64,Plan!$A$5:$A$75,0)),"—")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IFERROR(INDEX(Plan!$B$5:$B$75,MATCH(H65,Plan!$A$5:$A$75,0)),"—")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IFERROR(INDEX(Plan!$B$5:$B$75,MATCH(H66,Plan!$A$5:$A$75,0)),"—")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IFERROR(INDEX(Plan!$B$5:$B$75,MATCH(H67,Plan!$A$5:$A$75,0)),"—")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IFERROR(INDEX(Plan!$B$5:$B$75,MATCH(H68,Plan!$A$5:$A$75,0)),"—")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P-42</t>
        </is>
      </c>
      <c r="B69" s="4" t="inlineStr">
        <is>
          <t>Verificación y cierre</t>
        </is>
      </c>
      <c r="C69" s="4" t="inlineStr">
        <is>
          <t>Despliegue</t>
        </is>
      </c>
      <c r="D69" s="7" t="inlineStr">
        <is>
          <t>Subir a GitHub y desplegar en Vercel</t>
        </is>
      </c>
      <c r="E69" s="7" t="inlineStr">
        <is>
          <t>Yo</t>
        </is>
      </c>
      <c r="F69" s="8" t="inlineStr">
        <is>
          <t>Alta</t>
        </is>
      </c>
      <c r="G69" s="8" t="inlineStr">
        <is>
          <t>Pendiente</t>
        </is>
      </c>
      <c r="H69" s="8" t="inlineStr">
        <is>
          <t>6.5</t>
        </is>
      </c>
      <c r="I69" s="21">
        <f>IFERROR(INDEX(Plan!$B$5:$B$75,MATCH(H69,Plan!$A$5:$A$75,0)),"—")</f>
        <v/>
      </c>
      <c r="J69" s="7" t="inlineStr"/>
    </row>
    <row r="70">
      <c r="A70" s="19" t="inlineStr">
        <is>
          <t>P-81</t>
        </is>
      </c>
      <c r="B70" s="4" t="inlineStr">
        <is>
          <t>Verificación y cierre</t>
        </is>
      </c>
      <c r="C70" s="4" t="inlineStr">
        <is>
          <t>Legal</t>
        </is>
      </c>
      <c r="D70" s="7" t="inlineStr">
        <is>
          <t>Revisión de la política de datos por un abogado</t>
        </is>
      </c>
      <c r="E70" s="7" t="inlineStr">
        <is>
          <t>Sebas</t>
        </is>
      </c>
      <c r="F70" s="8" t="inlineStr">
        <is>
          <t>Alta</t>
        </is>
      </c>
      <c r="G70" s="8" t="inlineStr">
        <is>
          <t>Pendiente</t>
        </is>
      </c>
      <c r="H70" s="8" t="inlineStr">
        <is>
          <t>5.4</t>
        </is>
      </c>
      <c r="I70" s="21">
        <f>IFERROR(INDEX(Plan!$B$5:$B$75,MATCH(H70,Plan!$A$5:$A$75,0)),"—")</f>
        <v/>
      </c>
      <c r="J70" s="7" t="inlineStr">
        <is>
          <t>24-sep: reportado por la sesión principal; falta antes de publicar /politica-de-datos.</t>
        </is>
      </c>
    </row>
    <row r="71">
      <c r="A71" s="19" t="inlineStr">
        <is>
          <t>P-70</t>
        </is>
      </c>
      <c r="B71" s="4" t="inlineStr">
        <is>
          <t>Verificación y cierre</t>
        </is>
      </c>
      <c r="C71" s="4" t="inlineStr">
        <is>
          <t>QA</t>
        </is>
      </c>
      <c r="D71" s="7" t="inlineStr">
        <is>
          <t>Pruebas en celulares reales (Android e iPhone): cámara, código, sorteo, crédito y correos en Gmail/Outlook, con informe y capturas</t>
        </is>
      </c>
      <c r="E71" s="7" t="inlineStr">
        <is>
          <t>Carlos Pardo</t>
        </is>
      </c>
      <c r="F71" s="8" t="inlineStr">
        <is>
          <t>Media</t>
        </is>
      </c>
      <c r="G71" s="8" t="inlineStr">
        <is>
          <t>Pendiente</t>
        </is>
      </c>
      <c r="H71" s="8" t="inlineStr">
        <is>
          <t>6.14</t>
        </is>
      </c>
      <c r="I71" s="21">
        <f>IFERROR(INDEX(Plan!$B$5:$B$75,MATCH(H71,Plan!$A$5:$A$75,0)),"—")</f>
        <v/>
      </c>
      <c r="J71" s="7" t="inlineStr">
        <is>
          <t>Encargo externo (500.000 COP) por PR a develop. Ver P-73.</t>
        </is>
      </c>
    </row>
    <row r="72">
      <c r="A72" s="19" t="inlineStr">
        <is>
          <t>P-71</t>
        </is>
      </c>
      <c r="B72" s="4" t="inlineStr">
        <is>
          <t>Verificación y cierre</t>
        </is>
      </c>
      <c r="C72" s="4" t="inlineStr">
        <is>
          <t>Pruebas</t>
        </is>
      </c>
      <c r="D72" s="7" t="inlineStr">
        <is>
          <t>Actualizar tests/e2e b-ingreso, i-despliegue y j-produccion al formato nuevo de máscara de correo</t>
        </is>
      </c>
      <c r="E72" s="7" t="inlineStr">
        <is>
          <t>Carlos Pardo</t>
        </is>
      </c>
      <c r="F72" s="8" t="inlineStr">
        <is>
          <t>Media</t>
        </is>
      </c>
      <c r="G72" s="8" t="inlineStr">
        <is>
          <t>Pendiente</t>
        </is>
      </c>
      <c r="H72" s="8" t="inlineStr">
        <is>
          <t>6.15</t>
        </is>
      </c>
      <c r="I72" s="21">
        <f>IFERROR(INDEX(Plan!$B$5:$B$75,MATCH(H72,Plan!$A$5:$A$75,0)),"—")</f>
        <v/>
      </c>
      <c r="J72" s="7" t="inlineStr">
        <is>
          <t>Encargo externo (500.000 COP) por PR a develop. Parte del alcance que P-58 dejó fuera. Ver P-73.</t>
        </is>
      </c>
    </row>
    <row r="73">
      <c r="A73" s="19" t="inlineStr">
        <is>
          <t>P-39</t>
        </is>
      </c>
      <c r="B73" s="4" t="inlineStr">
        <is>
          <t>Verificación y cierre</t>
        </is>
      </c>
      <c r="C73" s="4" t="inlineStr">
        <is>
          <t>Calidad</t>
        </is>
      </c>
      <c r="D73" s="7" t="inlineStr">
        <is>
          <t>Correr ga-verificador-qa y ga-verificador-responsive</t>
        </is>
      </c>
      <c r="E73" s="7" t="inlineStr">
        <is>
          <t>Yo</t>
        </is>
      </c>
      <c r="F73" s="8" t="inlineStr">
        <is>
          <t>Alta</t>
        </is>
      </c>
      <c r="G73" s="8" t="inlineStr">
        <is>
          <t>Hecho</t>
        </is>
      </c>
      <c r="H73" s="8" t="inlineStr">
        <is>
          <t>6.3</t>
        </is>
      </c>
      <c r="I73" s="21">
        <f>IFERROR(INDEX(Plan!$B$5:$B$75,MATCH(H73,Plan!$A$5:$A$75,0)),"—")</f>
        <v/>
      </c>
      <c r="J73"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4">
      <c r="A74" s="19" t="inlineStr">
        <is>
          <t>P-41</t>
        </is>
      </c>
      <c r="B74" s="4" t="inlineStr">
        <is>
          <t>Verificación y cierre</t>
        </is>
      </c>
      <c r="C74" s="4" t="inlineStr">
        <is>
          <t>Git</t>
        </is>
      </c>
      <c r="D74" s="7" t="inlineStr">
        <is>
          <t>Commit de las pantallas nuevas</t>
        </is>
      </c>
      <c r="E74" s="7" t="inlineStr">
        <is>
          <t>Yo</t>
        </is>
      </c>
      <c r="F74" s="8" t="inlineStr">
        <is>
          <t>Alta</t>
        </is>
      </c>
      <c r="G74" s="8" t="inlineStr">
        <is>
          <t>Hecho</t>
        </is>
      </c>
      <c r="H74" s="8" t="inlineStr">
        <is>
          <t>—</t>
        </is>
      </c>
      <c r="I74" s="21">
        <f>IFERROR(INDEX(Plan!$B$5:$B$75,MATCH(H74,Plan!$A$5:$A$75,0)),"—")</f>
        <v/>
      </c>
      <c r="J74" s="7" t="inlineStr">
        <is>
          <t>Commit d86db86 en develop.</t>
        </is>
      </c>
    </row>
    <row r="75">
      <c r="A75" s="19" t="inlineStr">
        <is>
          <t>P-64</t>
        </is>
      </c>
      <c r="B75" s="4" t="inlineStr">
        <is>
          <t>Verificación y cierre</t>
        </is>
      </c>
      <c r="C75" s="4" t="inlineStr">
        <is>
          <t>Git</t>
        </is>
      </c>
      <c r="D75" s="7" t="inlineStr">
        <is>
          <t>Abrir el PR de develop a main</t>
        </is>
      </c>
      <c r="E75" s="7" t="inlineStr">
        <is>
          <t>Sebas</t>
        </is>
      </c>
      <c r="F75" s="8" t="inlineStr">
        <is>
          <t>Alta</t>
        </is>
      </c>
      <c r="G75" s="8" t="inlineStr">
        <is>
          <t>Hecho</t>
        </is>
      </c>
      <c r="H75" s="8" t="inlineStr">
        <is>
          <t>6.5</t>
        </is>
      </c>
      <c r="I75" s="21">
        <f>IFERROR(INDEX(Plan!$B$5:$B$75,MATCH(H75,Plan!$A$5:$A$75,0)),"—")</f>
        <v/>
      </c>
      <c r="J75" s="7" t="inlineStr">
        <is>
          <t>25-sep: Sebas abrió y fusionó el PR #1 develop → main (merge 5a39d34); Vercel desplegó fase 2 en producción.</t>
        </is>
      </c>
    </row>
    <row r="76">
      <c r="A76" s="19" t="inlineStr">
        <is>
          <t>P-82</t>
        </is>
      </c>
      <c r="B76" s="4" t="inlineStr">
        <is>
          <t>Verificación y cierre</t>
        </is>
      </c>
      <c r="C76" s="4" t="inlineStr">
        <is>
          <t>Despliegue</t>
        </is>
      </c>
      <c r="D76" s="7" t="inlineStr">
        <is>
          <t>Probar en producción con sesión real de los 3 administradores (ingreso con código OTP y logo del correo)</t>
        </is>
      </c>
      <c r="E76" s="7" t="inlineStr">
        <is>
          <t>Sebas</t>
        </is>
      </c>
      <c r="F76" s="8" t="inlineStr">
        <is>
          <t>Alta</t>
        </is>
      </c>
      <c r="G76" s="8" t="inlineStr">
        <is>
          <t>Hecho</t>
        </is>
      </c>
      <c r="H76" s="8" t="inlineStr">
        <is>
          <t>6.5</t>
        </is>
      </c>
      <c r="I76" s="21">
        <f>IFERROR(INDEX(Plan!$B$5:$B$75,MATCH(H76,Plan!$A$5:$A$75,0)),"—")</f>
        <v/>
      </c>
      <c r="J76" s="7" t="inlineStr">
        <is>
          <t>25-sep: Sebas entró con su cédula y le apareció el panel de administrador (falta confirmar Ricardo y abogadosprieto). 25-sep: reportado por la sesión principal tras el despliegue de fase 2; falta esta prueba manual antes de cerrar 6.5.</t>
        </is>
      </c>
    </row>
    <row r="77">
      <c r="A77" s="19" t="inlineStr">
        <is>
          <t>P-86</t>
        </is>
      </c>
      <c r="B77" s="4" t="inlineStr">
        <is>
          <t>Verificación y cierre</t>
        </is>
      </c>
      <c r="C77" s="4" t="inlineStr">
        <is>
          <t>/afiliacion</t>
        </is>
      </c>
      <c r="D77" s="7" t="inlineStr">
        <is>
          <t>A-01: la ayuda del dominio de correo institucional no se actualiza en vivo al elegir Policía/Ejército</t>
        </is>
      </c>
      <c r="E77" s="7" t="inlineStr">
        <is>
          <t>ga-funcionalidad-botones</t>
        </is>
      </c>
      <c r="F77" s="8" t="inlineStr">
        <is>
          <t>Alta</t>
        </is>
      </c>
      <c r="G77" s="8" t="inlineStr">
        <is>
          <t>Hecho</t>
        </is>
      </c>
      <c r="H77" s="8" t="inlineStr">
        <is>
          <t>6.3</t>
        </is>
      </c>
      <c r="I77" s="21">
        <f>IFERROR(INDEX(Plan!$B$5:$B$75,MATCH(H77,Plan!$A$5:$A$75,0)),"—")</f>
        <v/>
      </c>
      <c r="J77"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8">
      <c r="A78" s="19" t="inlineStr">
        <is>
          <t>P-40</t>
        </is>
      </c>
      <c r="B78" s="4" t="inlineStr">
        <is>
          <t>Verificación y cierre</t>
        </is>
      </c>
      <c r="C78" s="4" t="inlineStr">
        <is>
          <t>Código</t>
        </is>
      </c>
      <c r="D78" s="7" t="inlineStr">
        <is>
          <t>Borrar /login y /dashboard cuando /ingresar y /cuenta funcionen</t>
        </is>
      </c>
      <c r="E78" s="7" t="inlineStr">
        <is>
          <t>Yo</t>
        </is>
      </c>
      <c r="F78" s="8" t="inlineStr">
        <is>
          <t>Media</t>
        </is>
      </c>
      <c r="G78" s="8" t="inlineStr">
        <is>
          <t>Hecho</t>
        </is>
      </c>
      <c r="H78" s="8" t="inlineStr">
        <is>
          <t>5.5</t>
        </is>
      </c>
      <c r="I78" s="21">
        <f>IFERROR(INDEX(Plan!$B$5:$B$75,MATCH(H78,Plan!$A$5:$A$75,0)),"—")</f>
        <v/>
      </c>
      <c r="J78" s="7" t="inlineStr">
        <is>
          <t>Borradas el 23-sep (incluida /dashboard/solicitar, su parte del proxy y los colores heredados de tailwind.config.ts).</t>
        </is>
      </c>
    </row>
    <row r="79">
      <c r="A79" s="19" t="inlineStr">
        <is>
          <t>P-49</t>
        </is>
      </c>
      <c r="B79" s="4" t="inlineStr">
        <is>
          <t>Verificación y cierre</t>
        </is>
      </c>
      <c r="C79" s="4" t="inlineStr">
        <is>
          <t>Seguridad</t>
        </is>
      </c>
      <c r="D79" s="7" t="inlineStr">
        <is>
          <t>Revisar si conviene confiar en x-forwarded-for para el límite de intentos por IP</t>
        </is>
      </c>
      <c r="E79" s="7" t="inlineStr">
        <is>
          <t>ga-revisor-seguridad</t>
        </is>
      </c>
      <c r="F79" s="8" t="inlineStr">
        <is>
          <t>Media</t>
        </is>
      </c>
      <c r="G79" s="8" t="inlineStr">
        <is>
          <t>Hecho</t>
        </is>
      </c>
      <c r="H79" s="8" t="inlineStr">
        <is>
          <t>6.2</t>
        </is>
      </c>
      <c r="I79" s="21">
        <f>IFERROR(INDEX(Plan!$B$5:$B$75,MATCH(H79,Plan!$A$5:$A$75,0)),"—")</f>
        <v/>
      </c>
      <c r="J79" s="7" t="inlineStr">
        <is>
          <t>Sugerido por ga-verificador-qa el 23-sep. Documentado por ga-funcionalidad-botones como O-01 en lib/servidor/limite.ts: x-forwarded-for/x-real-ip solo son confiables detrás de Vercel (nuestro caso); el límite real por cédula/IP lo hace la app, no Supabase.</t>
        </is>
      </c>
    </row>
    <row r="80">
      <c r="A80" s="19" t="inlineStr">
        <is>
          <t>P-50</t>
        </is>
      </c>
      <c r="B80" s="4" t="inlineStr">
        <is>
          <t>Verificación y cierre</t>
        </is>
      </c>
      <c r="C80" s="4" t="inlineStr">
        <is>
          <t>Correos</t>
        </is>
      </c>
      <c r="D80" s="7" t="inlineStr">
        <is>
          <t>Confirmar que salen los correos de afiliación (el log queda en la terminal de next dev)</t>
        </is>
      </c>
      <c r="E80" s="7" t="inlineStr">
        <is>
          <t>Yo</t>
        </is>
      </c>
      <c r="F80" s="8" t="inlineStr">
        <is>
          <t>Media</t>
        </is>
      </c>
      <c r="G80" s="8" t="inlineStr">
        <is>
          <t>Hecho</t>
        </is>
      </c>
      <c r="H80" s="8" t="inlineStr">
        <is>
          <t>—</t>
        </is>
      </c>
      <c r="I80" s="21">
        <f>IFERROR(INDEX(Plan!$B$5:$B$75,MATCH(H80,Plan!$A$5:$A$75,0)),"—")</f>
        <v/>
      </c>
      <c r="J80" s="7" t="inlineStr">
        <is>
          <t>Ya no aplica: el 23-sep se quitaron los correos de afiliación del código (decisión de Sebas).</t>
        </is>
      </c>
    </row>
    <row r="81">
      <c r="A81" s="19" t="inlineStr">
        <is>
          <t>P-62</t>
        </is>
      </c>
      <c r="B81" s="4" t="inlineStr">
        <is>
          <t>Verificación y cierre</t>
        </is>
      </c>
      <c r="C81" s="4" t="inlineStr">
        <is>
          <t>Base de datos</t>
        </is>
      </c>
      <c r="D81" s="7" t="inlineStr">
        <is>
          <t>Borrar la cuenta admin de prueba «Test QA» (cédula 1099887766) desde el panel de Supabase</t>
        </is>
      </c>
      <c r="E81" s="7" t="inlineStr">
        <is>
          <t>Sebas</t>
        </is>
      </c>
      <c r="F81" s="8" t="inlineStr">
        <is>
          <t>Media</t>
        </is>
      </c>
      <c r="G81" s="8" t="inlineStr">
        <is>
          <t>Hecho</t>
        </is>
      </c>
      <c r="H81" s="8" t="inlineStr">
        <is>
          <t>6.13</t>
        </is>
      </c>
      <c r="I81" s="21">
        <f>IFERROR(INDEX(Plan!$B$5:$B$75,MATCH(H81,Plan!$A$5:$A$75,0)),"—")</f>
        <v/>
      </c>
      <c r="J81" s="7" t="inlineStr">
        <is>
          <t>Ya hay 3 administradores reales en producción: Ricardo, Abogados Prieto y Sebas. 24-sep: usuario «Test QA» borrado de producción por Sebas.</t>
        </is>
      </c>
    </row>
    <row r="82">
      <c r="A82" s="19" t="inlineStr">
        <is>
          <t>P-52</t>
        </is>
      </c>
      <c r="B82" s="4" t="inlineStr">
        <is>
          <t>Verificación y cierre</t>
        </is>
      </c>
      <c r="C82" s="4" t="inlineStr">
        <is>
          <t>Documentación</t>
        </is>
      </c>
      <c r="D82" s="7" t="inlineStr">
        <is>
          <t>Mapa de botones: §4 «Nueva solicitud» → /cuenta/solicitar y sección para la ruta /cuenta/solicitar</t>
        </is>
      </c>
      <c r="E82" s="7" t="inlineStr">
        <is>
          <t>ga-funcionalidad-botones</t>
        </is>
      </c>
      <c r="F82" s="8" t="inlineStr">
        <is>
          <t>Baja</t>
        </is>
      </c>
      <c r="G82" s="8" t="inlineStr">
        <is>
          <t>Hecho</t>
        </is>
      </c>
      <c r="H82" s="8" t="inlineStr">
        <is>
          <t>3.7</t>
        </is>
      </c>
      <c r="I82" s="21">
        <f>IFERROR(INDEX(Plan!$B$5:$B$75,MATCH(H82,Plan!$A$5:$A$75,0)),"—")</f>
        <v/>
      </c>
      <c r="J82" s="7" t="inlineStr">
        <is>
          <t>Reportado por ga-diseno-a-codigo. Verificado el 23-sep: docs/mapa-de-botones.md ya tiene §4 «Nueva solicitud» → /cuenta/solicitar (Definido) y §4b /cuenta/solicitar; /dashboard se eliminó.</t>
        </is>
      </c>
    </row>
    <row r="83">
      <c r="A83" s="19" t="inlineStr">
        <is>
          <t>P-63</t>
        </is>
      </c>
      <c r="B83" s="4" t="inlineStr">
        <is>
          <t>Decisión</t>
        </is>
      </c>
      <c r="C83" s="4" t="inlineStr">
        <is>
          <t>Fase 2</t>
        </is>
      </c>
      <c r="D83" s="7" t="inlineStr">
        <is>
          <t>Preguntas abiertas de fase 2 para la cooperativa: grados del Ejército, dominios de correo institucionales (hoy solo policia.gov.co, buzonejercito.mil.co, ejercito.mil.co), tiempo que se guardan las fotos y tope de intentos del sorteo</t>
        </is>
      </c>
      <c r="E83" s="7" t="inlineStr">
        <is>
          <t>Cooperativa</t>
        </is>
      </c>
      <c r="F83" s="8" t="inlineStr">
        <is>
          <t>Alta</t>
        </is>
      </c>
      <c r="G83" s="8" t="inlineStr">
        <is>
          <t>Pendiente</t>
        </is>
      </c>
      <c r="H83" s="8" t="inlineStr">
        <is>
          <t>1.5</t>
        </is>
      </c>
      <c r="I83" s="21">
        <f>IFERROR(INDEX(Plan!$B$5:$B$75,MATCH(H83,Plan!$A$5:$A$75,0)),"—")</f>
        <v/>
      </c>
      <c r="J83" s="7" t="inlineStr">
        <is>
          <t>Ver docs/spec-fase-2.md §Preguntas abiertas.</t>
        </is>
      </c>
    </row>
    <row r="84">
      <c r="A84" s="19" t="inlineStr">
        <is>
          <t>P-02</t>
        </is>
      </c>
      <c r="B84" s="4" t="inlineStr">
        <is>
          <t>Decisión</t>
        </is>
      </c>
      <c r="C84" s="4" t="inlineStr">
        <is>
          <t>/cuenta</t>
        </is>
      </c>
      <c r="D84" s="7" t="inlineStr">
        <is>
          <t>Preguntar a la cooperativa si los convenios tendrán página propia</t>
        </is>
      </c>
      <c r="E84" s="7" t="inlineStr">
        <is>
          <t>Cooperativa</t>
        </is>
      </c>
      <c r="F84" s="8" t="inlineStr">
        <is>
          <t>Baja</t>
        </is>
      </c>
      <c r="G84" s="8" t="inlineStr">
        <is>
          <t>Pendiente</t>
        </is>
      </c>
      <c r="H84" s="8" t="inlineStr">
        <is>
          <t>5.1</t>
        </is>
      </c>
      <c r="I84" s="21">
        <f>IFERROR(INDEX(Plan!$B$5:$B$75,MATCH(H84,Plan!$A$5:$A$75,0)),"—")</f>
        <v/>
      </c>
      <c r="J84" s="7" t="inlineStr">
        <is>
          <t>Por ahora son una sección en /cuenta (#convenios).</t>
        </is>
      </c>
    </row>
    <row r="85">
      <c r="A85" s="19" t="inlineStr">
        <is>
          <t>P-53</t>
        </is>
      </c>
      <c r="B85" s="4" t="inlineStr">
        <is>
          <t>Decisión</t>
        </is>
      </c>
      <c r="C85" s="4" t="inlineStr">
        <is>
          <t>Landing</t>
        </is>
      </c>
      <c r="D85" s="7" t="inlineStr">
        <is>
          <t>A 320 px la línea «COOPERATIVA» del logo mide ~5 px de alto (opcional: ocultarla o achicar «Ingresar» bajo 360 px)</t>
        </is>
      </c>
      <c r="E85" s="7" t="inlineStr">
        <is>
          <t>Yo</t>
        </is>
      </c>
      <c r="F85" s="8" t="inlineStr">
        <is>
          <t>Baja</t>
        </is>
      </c>
      <c r="G85" s="8" t="inlineStr">
        <is>
          <t>Pendiente</t>
        </is>
      </c>
      <c r="H85" s="8" t="inlineStr">
        <is>
          <t>—</t>
        </is>
      </c>
      <c r="I85" s="21">
        <f>IFERROR(INDEX(Plan!$B$5:$B$75,MATCH(H85,Plan!$A$5:$A$75,0)),"—")</f>
        <v/>
      </c>
      <c r="J85" s="7" t="inlineStr">
        <is>
          <t>Menor y opcional, reportado por ga-verificador-responsive el 23-sep.</t>
        </is>
      </c>
    </row>
    <row r="86">
      <c r="A86" s="19" t="inlineStr">
        <is>
          <t>P-09</t>
        </is>
      </c>
      <c r="B86" s="4" t="inlineStr">
        <is>
          <t>Decisión</t>
        </is>
      </c>
      <c r="C86" s="4" t="inlineStr">
        <is>
          <t>Base de datos</t>
        </is>
      </c>
      <c r="D86" s="7" t="inlineStr">
        <is>
          <t>Revisar y aplicar en producción la migración blindar_solicitudes_y_revisiones</t>
        </is>
      </c>
      <c r="E86" s="7" t="inlineStr">
        <is>
          <t>Sebas (ga-auditor-supabase revisa antes)</t>
        </is>
      </c>
      <c r="F86" s="8" t="inlineStr">
        <is>
          <t>Alta</t>
        </is>
      </c>
      <c r="G86" s="8" t="inlineStr">
        <is>
          <t>Hecho</t>
        </is>
      </c>
      <c r="H86" s="8" t="inlineStr">
        <is>
          <t>6.10</t>
        </is>
      </c>
      <c r="I86" s="21">
        <f>IFERROR(INDEX(Plan!$B$5:$B$75,MATCH(H86,Plan!$A$5:$A$75,0)),"—")</f>
        <v/>
      </c>
      <c r="J86" s="7" t="inlineStr">
        <is>
          <t>Verificado con list_migrations el 23-sep: producción ya tiene 20260923173355_blindar_solicitudes_y_revisiones.</t>
        </is>
      </c>
    </row>
    <row r="87">
      <c r="A87" s="19" t="inlineStr">
        <is>
          <t>P-08</t>
        </is>
      </c>
      <c r="B87" s="4" t="inlineStr">
        <is>
          <t>Decisión</t>
        </is>
      </c>
      <c r="C87" s="4" t="inlineStr">
        <is>
          <t>/cuenta</t>
        </is>
      </c>
      <c r="D87" s="7" t="inlineStr">
        <is>
          <t>P-10: el asociado no cambia su nombre pero sí su teléfono</t>
        </is>
      </c>
      <c r="E87" s="7" t="inlineStr">
        <is>
          <t>Yo</t>
        </is>
      </c>
      <c r="F87" s="8" t="inlineStr">
        <is>
          <t>Media</t>
        </is>
      </c>
      <c r="G87" s="8" t="inlineStr">
        <is>
          <t>Hecho</t>
        </is>
      </c>
      <c r="H87" s="8" t="inlineStr">
        <is>
          <t>3.6</t>
        </is>
      </c>
      <c r="I87" s="21">
        <f>IFERROR(INDEX(Plan!$B$5:$B$75,MATCH(H87,Plan!$A$5:$A$75,0)),"—")</f>
        <v/>
      </c>
      <c r="J87" s="7" t="inlineStr">
        <is>
          <t>Apartado «Mis datos» ya maquetado.</t>
        </is>
      </c>
    </row>
    <row r="88">
      <c r="A88" s="19" t="inlineStr">
        <is>
          <t>P-65</t>
        </is>
      </c>
      <c r="B88" s="4" t="inlineStr">
        <is>
          <t>Decisión</t>
        </is>
      </c>
      <c r="C88" s="4" t="inlineStr">
        <is>
          <t>Sorteo</t>
        </is>
      </c>
      <c r="D88" s="7" t="inlineStr">
        <is>
          <t>Decidir si un admin o un asesor pueden participar en el sorteo mensual</t>
        </is>
      </c>
      <c r="E88" s="7" t="inlineStr">
        <is>
          <t>Cooperativa</t>
        </is>
      </c>
      <c r="F88" s="8" t="inlineStr">
        <is>
          <t>Media</t>
        </is>
      </c>
      <c r="G88" s="8" t="inlineStr">
        <is>
          <t>Hecho</t>
        </is>
      </c>
      <c r="H88" s="8" t="inlineStr">
        <is>
          <t>3.9</t>
        </is>
      </c>
      <c r="I88" s="21">
        <f>IFERROR(INDEX(Plan!$B$5:$B$75,MATCH(H88,Plan!$A$5:$A$75,0)),"—")</f>
        <v/>
      </c>
      <c r="J88" s="7" t="inlineStr">
        <is>
          <t>Sugerido por ga-revisor-seguridad el 24-sep. 24-sep: decidido que solo participan asociados (S-13, ya implementado en participarSorteo).</t>
        </is>
      </c>
    </row>
    <row r="89">
      <c r="A89" s="19" t="inlineStr">
        <is>
          <t>P-01</t>
        </is>
      </c>
      <c r="B89" s="4" t="inlineStr">
        <is>
          <t>Decisión</t>
        </is>
      </c>
      <c r="C89" s="4" t="inlineStr">
        <is>
          <t>General</t>
        </is>
      </c>
      <c r="D89" s="7" t="inlineStr">
        <is>
          <t>Color de error #B3261E</t>
        </is>
      </c>
      <c r="E89" s="7" t="inlineStr">
        <is>
          <t>Yo</t>
        </is>
      </c>
      <c r="F89" s="8" t="inlineStr">
        <is>
          <t>Baja</t>
        </is>
      </c>
      <c r="G89" s="8" t="inlineStr">
        <is>
          <t>Hecho</t>
        </is>
      </c>
      <c r="H89" s="8" t="inlineStr">
        <is>
          <t>—</t>
        </is>
      </c>
      <c r="I89" s="21">
        <f>IFERROR(INDEX(Plan!$B$5:$B$75,MATCH(H89,Plan!$A$5:$A$75,0)),"—")</f>
        <v/>
      </c>
      <c r="J89" s="7" t="inlineStr">
        <is>
          <t>Se deja.</t>
        </is>
      </c>
    </row>
    <row r="90">
      <c r="A90" s="19" t="inlineStr">
        <is>
          <t>P-03</t>
        </is>
      </c>
      <c r="B90" s="4" t="inlineStr">
        <is>
          <t>Decisión</t>
        </is>
      </c>
      <c r="C90" s="4" t="inlineStr">
        <is>
          <t>/cuenta</t>
        </is>
      </c>
      <c r="D90" s="7" t="inlineStr">
        <is>
          <t>Estado vacío de «Tu solicitud»</t>
        </is>
      </c>
      <c r="E90" s="7" t="inlineStr">
        <is>
          <t>Yo</t>
        </is>
      </c>
      <c r="F90" s="8" t="inlineStr">
        <is>
          <t>Baja</t>
        </is>
      </c>
      <c r="G90" s="8" t="inlineStr">
        <is>
          <t>Hecho</t>
        </is>
      </c>
      <c r="H90" s="8" t="inlineStr">
        <is>
          <t>3.4</t>
        </is>
      </c>
      <c r="I90" s="21">
        <f>IFERROR(INDEX(Plan!$B$5:$B$75,MATCH(H90,Plan!$A$5:$A$75,0)),"—")</f>
        <v/>
      </c>
      <c r="J90" s="7" t="inlineStr">
        <is>
          <t>Ver con /cuenta?vacio=1.</t>
        </is>
      </c>
    </row>
    <row r="91">
      <c r="A91" s="19" t="inlineStr">
        <is>
          <t>P-04</t>
        </is>
      </c>
      <c r="B91" s="4" t="inlineStr">
        <is>
          <t>Decisión</t>
        </is>
      </c>
      <c r="C91" s="4" t="inlineStr">
        <is>
          <t>General</t>
        </is>
      </c>
      <c r="D91" s="7" t="inlineStr">
        <is>
          <t>Logo en celular como enlace a la landing</t>
        </is>
      </c>
      <c r="E91" s="7" t="inlineStr">
        <is>
          <t>Yo</t>
        </is>
      </c>
      <c r="F91" s="8" t="inlineStr">
        <is>
          <t>Baja</t>
        </is>
      </c>
      <c r="G91" s="8" t="inlineStr">
        <is>
          <t>Hecho</t>
        </is>
      </c>
      <c r="H91" s="8" t="inlineStr">
        <is>
          <t>—</t>
        </is>
      </c>
      <c r="I91" s="21">
        <f>IFERROR(INDEX(Plan!$B$5:$B$75,MATCH(H91,Plan!$A$5:$A$75,0)),"—")</f>
        <v/>
      </c>
      <c r="J91" s="7" t="inlineStr"/>
    </row>
    <row r="92">
      <c r="A92" s="19" t="inlineStr">
        <is>
          <t>P-05</t>
        </is>
      </c>
      <c r="B92" s="4" t="inlineStr">
        <is>
          <t>Decisión</t>
        </is>
      </c>
      <c r="C92" s="4" t="inlineStr">
        <is>
          <t>General</t>
        </is>
      </c>
      <c r="D92" s="7" t="inlineStr">
        <is>
          <t>Escudo: public/logos/vector/green-alliance-logo.svg</t>
        </is>
      </c>
      <c r="E92" s="7" t="inlineStr">
        <is>
          <t>Yo</t>
        </is>
      </c>
      <c r="F92" s="8" t="inlineStr">
        <is>
          <t>Baja</t>
        </is>
      </c>
      <c r="G92" s="8" t="inlineStr">
        <is>
          <t>Hecho</t>
        </is>
      </c>
      <c r="H92" s="8" t="inlineStr">
        <is>
          <t>—</t>
        </is>
      </c>
      <c r="I92" s="21">
        <f>IFERROR(INDEX(Plan!$B$5:$B$75,MATCH(H92,Plan!$A$5:$A$75,0)),"—")</f>
        <v/>
      </c>
      <c r="J92" s="7" t="inlineStr"/>
    </row>
    <row r="93">
      <c r="A93" s="19" t="inlineStr">
        <is>
          <t>P-06</t>
        </is>
      </c>
      <c r="B93" s="4" t="inlineStr">
        <is>
          <t>Decisión</t>
        </is>
      </c>
      <c r="C93" s="4" t="inlineStr">
        <is>
          <t>/ingresar</t>
        </is>
      </c>
      <c r="D93" s="7" t="inlineStr">
        <is>
          <t>Formulario de ingreso entre 640 y 767 px (columna de 440 px)</t>
        </is>
      </c>
      <c r="E93" s="7" t="inlineStr">
        <is>
          <t>Yo</t>
        </is>
      </c>
      <c r="F93" s="8" t="inlineStr">
        <is>
          <t>Baja</t>
        </is>
      </c>
      <c r="G93" s="8" t="inlineStr">
        <is>
          <t>Hecho</t>
        </is>
      </c>
      <c r="H93" s="8" t="inlineStr">
        <is>
          <t>5.2</t>
        </is>
      </c>
      <c r="I93" s="21">
        <f>IFERROR(INDEX(Plan!$B$5:$B$75,MATCH(H93,Plan!$A$5:$A$75,0)),"—")</f>
        <v/>
      </c>
      <c r="J93" s="7" t="inlineStr"/>
    </row>
    <row r="94">
      <c r="A94" s="19" t="inlineStr">
        <is>
          <t>P-07</t>
        </is>
      </c>
      <c r="B94" s="4" t="inlineStr">
        <is>
          <t>Decisión</t>
        </is>
      </c>
      <c r="C94" s="4" t="inlineStr">
        <is>
          <t>/ingresar</t>
        </is>
      </c>
      <c r="D94" s="7" t="inlineStr">
        <is>
          <t>Panel verde en tableta (640–1023 px) centrado</t>
        </is>
      </c>
      <c r="E94" s="7" t="inlineStr">
        <is>
          <t>Yo</t>
        </is>
      </c>
      <c r="F94" s="8" t="inlineStr">
        <is>
          <t>Baja</t>
        </is>
      </c>
      <c r="G94" s="8" t="inlineStr">
        <is>
          <t>Hecho</t>
        </is>
      </c>
      <c r="H94" s="8" t="inlineStr">
        <is>
          <t>5.2</t>
        </is>
      </c>
      <c r="I94" s="21">
        <f>IFERROR(INDEX(Plan!$B$5:$B$75,MATCH(H94,Plan!$A$5:$A$75,0)),"—")</f>
        <v/>
      </c>
      <c r="J94" s="7" t="inlineStr"/>
    </row>
    <row r="95">
      <c r="A95" s="19" t="inlineStr">
        <is>
          <t>P-88</t>
        </is>
      </c>
      <c r="B95" s="4" t="inlineStr">
        <is>
          <t>Base de datos</t>
        </is>
      </c>
      <c r="C95" s="4" t="inlineStr">
        <is>
          <t>Seguridad</t>
        </is>
      </c>
      <c r="D95" s="7" t="inlineStr">
        <is>
          <t>F2-08: tr_componer_nombre_afiliacion no cubre el update directo de solicitudes_afiliacion.nombre por un admin</t>
        </is>
      </c>
      <c r="E95" s="7" t="inlineStr">
        <is>
          <t>ga-auditor-supabase</t>
        </is>
      </c>
      <c r="F95" s="8" t="inlineStr">
        <is>
          <t>Baja</t>
        </is>
      </c>
      <c r="G95" s="8" t="inlineStr">
        <is>
          <t>Pendiente</t>
        </is>
      </c>
      <c r="H95" s="8" t="inlineStr">
        <is>
          <t>1.6</t>
        </is>
      </c>
      <c r="I95" s="21">
        <f>IFERROR(INDEX(Plan!$B$5:$B$75,MATCH(H95,Plan!$A$5:$A$75,0)),"—")</f>
        <v/>
      </c>
      <c r="J95"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96">
      <c r="A96" s="19" t="inlineStr">
        <is>
          <t>P-83</t>
        </is>
      </c>
      <c r="B96" s="4" t="inlineStr">
        <is>
          <t>Seguridad</t>
        </is>
      </c>
      <c r="C96" s="4" t="inlineStr">
        <is>
          <t>Correos</t>
        </is>
      </c>
      <c r="D96" s="7" t="inlineStr">
        <is>
          <t>S-15: escapar/validar HTML en las variables NOMBRE/MOTIVO de los correos de Resend</t>
        </is>
      </c>
      <c r="E96" s="7" t="inlineStr">
        <is>
          <t>ga-funcionalidad-botones</t>
        </is>
      </c>
      <c r="F96" s="8" t="inlineStr">
        <is>
          <t>Media</t>
        </is>
      </c>
      <c r="G96" s="8" t="inlineStr">
        <is>
          <t>Hecho</t>
        </is>
      </c>
      <c r="H96" s="8" t="inlineStr">
        <is>
          <t>6.2</t>
        </is>
      </c>
      <c r="I96" s="21">
        <f>IFERROR(INDEX(Plan!$B$5:$B$75,MATCH(H96,Plan!$A$5:$A$75,0)),"—")</f>
        <v/>
      </c>
      <c r="J96" s="7" t="inlineStr">
        <is>
          <t>25-sep: hallazgo de ga-revisor-seguridad (un admin puede meter HTML en perfiles.nombre_completo o en el motivo de rechazo). Corregido en local con pruebas (tests/unit/correo-resend.test.ts). 25-sep: desplegado con el PR #2 (merge 2c19d02).</t>
        </is>
      </c>
    </row>
    <row r="97">
      <c r="A97" s="19" t="inlineStr">
        <is>
          <t>P-84</t>
        </is>
      </c>
      <c r="B97" s="4" t="inlineStr">
        <is>
          <t>Código</t>
        </is>
      </c>
      <c r="C97" s="4" t="inlineStr">
        <is>
          <t>Configuración</t>
        </is>
      </c>
      <c r="D97" s="7" t="inlineStr">
        <is>
          <t>M-01: el número de WhatsApp se muestra sin espacios por un typo de regex en lib/config.ts</t>
        </is>
      </c>
      <c r="E97" s="7" t="inlineStr">
        <is>
          <t>ga-funcionalidad-botones</t>
        </is>
      </c>
      <c r="F97" s="8" t="inlineStr">
        <is>
          <t>Media</t>
        </is>
      </c>
      <c r="G97" s="8" t="inlineStr">
        <is>
          <t>Hecho</t>
        </is>
      </c>
      <c r="H97" s="8" t="inlineStr">
        <is>
          <t>5.3</t>
        </is>
      </c>
      <c r="I97" s="21">
        <f>IFERROR(INDEX(Plan!$B$5:$B$75,MATCH(H97,Plan!$A$5:$A$75,0)),"—")</f>
        <v/>
      </c>
      <c r="J97" s="7" t="inlineStr">
        <is>
          <t>25-sep: hallazgo de ga-verificador-qa (patrón sin la barra invertida de \D/\d; el enlace wa.me sí funciona). Corregido en local con pruebas (tests/unit/config-whatsapp.test.ts). 25-sep: desplegado con el PR #2 (merge 2c19d02); confirmado en vivo «311 724 1942».</t>
        </is>
      </c>
    </row>
  </sheetData>
  <autoFilter ref="A4:J97"/>
  <conditionalFormatting sqref="G5:G9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97">
    <cfRule type="expression" priority="5" dxfId="5">
      <formula>$F5="Alta"</formula>
    </cfRule>
    <cfRule type="expression" priority="6" dxfId="6">
      <formula>$F5="Media"</formula>
    </cfRule>
    <cfRule type="expression" priority="7" dxfId="7">
      <formula>$F5="Baja"</formula>
    </cfRule>
  </conditionalFormatting>
  <conditionalFormatting sqref="A5:F97">
    <cfRule type="expression" priority="8" dxfId="8">
      <formula>$G5="Hecho"</formula>
    </cfRule>
  </conditionalFormatting>
  <dataValidations count="2">
    <dataValidation sqref="G5:G97" showDropDown="0" showInputMessage="0" showErrorMessage="0" allowBlank="0" type="list">
      <formula1>"Hecho,En curso,Pendiente,Bloqueado"</formula1>
    </dataValidation>
    <dataValidation sqref="F5:F9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4.5, 2.10, 4.2</t>
        </is>
      </c>
      <c r="I9" s="18" t="inlineStr">
        <is>
          <t>B</t>
        </is>
      </c>
      <c r="J9" s="8" t="n">
        <v>4</v>
      </c>
      <c r="K9" s="8" t="n">
        <v>23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4.6</t>
        </is>
      </c>
      <c r="I10" s="18" t="inlineStr">
        <is>
          <t>B</t>
        </is>
      </c>
      <c r="J10" s="8" t="n">
        <v>28</v>
      </c>
      <c r="K10" s="8" t="n">
        <v>43</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2.12, 5.5</t>
        </is>
      </c>
      <c r="I11" s="18" t="inlineStr">
        <is>
          <t>A</t>
        </is>
      </c>
      <c r="J11" s="8" t="n">
        <v>6</v>
      </c>
      <c r="K11" s="8" t="n">
        <v>37</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5.9, 4.7</t>
        </is>
      </c>
      <c r="I12" s="18" t="inlineStr">
        <is>
          <t>A</t>
        </is>
      </c>
      <c r="J12" s="8" t="n">
        <v>56</v>
      </c>
      <c r="K12" s="8" t="n">
        <v>79</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4.2, 6.11</t>
        </is>
      </c>
      <c r="I13" s="18" t="inlineStr">
        <is>
          <t>B</t>
        </is>
      </c>
      <c r="J13" s="8" t="n">
        <v>6</v>
      </c>
      <c r="K13" s="8" t="n">
        <v>28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2.3</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2.2</t>
        </is>
      </c>
      <c r="I15" s="18" t="inlineStr">
        <is>
          <t>B</t>
        </is>
      </c>
      <c r="J15" s="8" t="n">
        <v>6</v>
      </c>
      <c r="K15" s="8" t="n">
        <v>6</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3.1, 3.4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3.4, 6.10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6.9</t>
        </is>
      </c>
      <c r="I20" s="18" t="inlineStr">
        <is>
          <t>A</t>
        </is>
      </c>
      <c r="J20" s="8" t="n">
        <v>31</v>
      </c>
      <c r="K20" s="8" t="n">
        <v>47</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4.1, 3.6, 6.4</t>
        </is>
      </c>
      <c r="I21" s="18" t="inlineStr">
        <is>
          <t>B</t>
        </is>
      </c>
      <c r="J21" s="8" t="n">
        <v>8</v>
      </c>
      <c r="K21" s="8" t="n">
        <v>19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1.5</t>
        </is>
      </c>
      <c r="I22" s="18" t="inlineStr">
        <is>
          <t>A</t>
        </is>
      </c>
      <c r="J22" s="8" t="n">
        <v>23</v>
      </c>
      <c r="K22" s="8" t="n">
        <v>26</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56</v>
      </c>
      <c r="K23" s="8" t="n">
        <v>57</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3.7, 1.7</t>
        </is>
      </c>
      <c r="I24" s="18" t="inlineStr">
        <is>
          <t>B</t>
        </is>
      </c>
      <c r="J24" s="8" t="n">
        <v>28</v>
      </c>
      <c r="K24" s="8" t="n">
        <v>34</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4.4</t>
        </is>
      </c>
      <c r="I25" s="18" t="inlineStr">
        <is>
          <t>A</t>
        </is>
      </c>
      <c r="J25" s="8" t="n">
        <v>38</v>
      </c>
      <c r="K25" s="8" t="n">
        <v>52</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3.9</t>
        </is>
      </c>
      <c r="I26" s="18" t="inlineStr">
        <is>
          <t>A</t>
        </is>
      </c>
      <c r="J26" s="8" t="n">
        <v>39</v>
      </c>
      <c r="K26" s="8" t="n">
        <v>39</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6.1</t>
        </is>
      </c>
      <c r="I27" s="18" t="inlineStr">
        <is>
          <t>B</t>
        </is>
      </c>
      <c r="J27" s="8" t="n">
        <v>56</v>
      </c>
      <c r="K27" s="8" t="n">
        <v>58</v>
      </c>
      <c r="L27" s="8">
        <f>K27+E27</f>
        <v/>
      </c>
      <c r="M27" s="8">
        <f>K27-J27</f>
        <v/>
      </c>
      <c r="N27" s="8">
        <f>"S"&amp;(INT(K27/Resumen!$C$5)+1)&amp;"–S"&amp;MAX(INT(K27/Resumen!$C$5)+1,ROUNDUP(L27/Resumen!$C$5,0))</f>
        <v/>
      </c>
      <c r="O27" s="8" t="inlineStr">
        <is>
          <t>En curso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8</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4.4, 5.8</t>
        </is>
      </c>
      <c r="I29" s="18" t="inlineStr">
        <is>
          <t>A</t>
        </is>
      </c>
      <c r="J29" s="8" t="n">
        <v>12</v>
      </c>
      <c r="K29" s="8" t="n">
        <v>53</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t>
        </is>
      </c>
      <c r="I30" s="18" t="inlineStr">
        <is>
          <t>B</t>
        </is>
      </c>
      <c r="J30" s="8" t="n">
        <v>12</v>
      </c>
      <c r="K30" s="8" t="n">
        <v>31</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2.6, 2.7</t>
        </is>
      </c>
      <c r="I31" s="18" t="inlineStr">
        <is>
          <t>B</t>
        </is>
      </c>
      <c r="J31" s="8" t="n">
        <v>6</v>
      </c>
      <c r="K31" s="8" t="n">
        <v>12</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B</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2.9</t>
        </is>
      </c>
      <c r="I33" s="18" t="inlineStr">
        <is>
          <t>A</t>
        </is>
      </c>
      <c r="J33" s="8" t="n">
        <v>19</v>
      </c>
      <c r="K33" s="8" t="n">
        <v>20</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2.12</t>
        </is>
      </c>
      <c r="I34" s="18" t="inlineStr">
        <is>
          <t>A</t>
        </is>
      </c>
      <c r="J34" s="8" t="n">
        <v>34</v>
      </c>
      <c r="K34" s="8" t="n">
        <v>34</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2.14</t>
        </is>
      </c>
      <c r="I35" s="18" t="inlineStr">
        <is>
          <t>B</t>
        </is>
      </c>
      <c r="J35" s="8" t="n">
        <v>28</v>
      </c>
      <c r="K35" s="8" t="n">
        <v>39</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6.3, 4.10</t>
        </is>
      </c>
      <c r="I36" s="18" t="inlineStr">
        <is>
          <t>B</t>
        </is>
      </c>
      <c r="J36" s="8" t="n">
        <v>56</v>
      </c>
      <c r="K36" s="8" t="n">
        <v>65</v>
      </c>
      <c r="L36" s="8">
        <f>K36+E36</f>
        <v/>
      </c>
      <c r="M36" s="8">
        <f>K36-J36</f>
        <v/>
      </c>
      <c r="N36" s="8">
        <f>"S"&amp;(INT(K36/Resumen!$C$5)+1)&amp;"–S"&amp;MAX(INT(K36/Resumen!$C$5)+1,ROUNDUP(L36/Resumen!$C$5,0))</f>
        <v/>
      </c>
      <c r="O36" s="8" t="inlineStr">
        <is>
          <t>En curso</t>
        </is>
      </c>
      <c r="P36" s="8" t="inlineStr">
        <is>
          <t>Agregado</t>
        </is>
      </c>
      <c r="Q36" s="7" t="inlineStr">
        <is>
          <t>ga-disenador-lienzo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3.5, 2.9</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1.5, 2.1</t>
        </is>
      </c>
      <c r="I38" s="18" t="inlineStr">
        <is>
          <t>A</t>
        </is>
      </c>
      <c r="J38" s="8" t="n">
        <v>20</v>
      </c>
      <c r="K38" s="8" t="n">
        <v>27</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5.4, 2.11</t>
        </is>
      </c>
      <c r="I39" s="18" t="inlineStr">
        <is>
          <t>A</t>
        </is>
      </c>
      <c r="J39" s="8" t="n">
        <v>56</v>
      </c>
      <c r="K39" s="8" t="n">
        <v>56</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5.1, 2.13, 3.2</t>
        </is>
      </c>
      <c r="I40" s="18" t="inlineStr">
        <is>
          <t>B</t>
        </is>
      </c>
      <c r="J40" s="8" t="n">
        <v>4</v>
      </c>
      <c r="K40" s="8" t="n">
        <v>50</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1.5</t>
        </is>
      </c>
      <c r="I41" s="18" t="inlineStr">
        <is>
          <t>A</t>
        </is>
      </c>
      <c r="J41" s="8" t="n">
        <v>23</v>
      </c>
      <c r="K41" s="8" t="n">
        <v>23</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1.6</t>
        </is>
      </c>
      <c r="I42" s="18" t="inlineStr">
        <is>
          <t>A</t>
        </is>
      </c>
      <c r="J42" s="8" t="n">
        <v>28</v>
      </c>
      <c r="K42" s="8" t="n">
        <v>43</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1.8, 6.18, 4.8</t>
        </is>
      </c>
      <c r="I43" s="18" t="inlineStr">
        <is>
          <t>B</t>
        </is>
      </c>
      <c r="J43" s="8" t="n">
        <v>56</v>
      </c>
      <c r="K43" s="8" t="n">
        <v>80</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4.7</t>
        </is>
      </c>
      <c r="I44" s="18" t="inlineStr">
        <is>
          <t>A</t>
        </is>
      </c>
      <c r="J44" s="8" t="n">
        <v>56</v>
      </c>
      <c r="K44" s="8" t="n">
        <v>82</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5.7</t>
        </is>
      </c>
      <c r="I45" s="18" t="inlineStr">
        <is>
          <t>A</t>
        </is>
      </c>
      <c r="J45" s="8" t="n">
        <v>46</v>
      </c>
      <c r="K45" s="8" t="n">
        <v>48</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A</t>
        </is>
      </c>
      <c r="J46" s="8" t="n">
        <v>56</v>
      </c>
      <c r="K46" s="8" t="n">
        <v>66</v>
      </c>
      <c r="L46" s="8">
        <f>K46+E46</f>
        <v/>
      </c>
      <c r="M46" s="8">
        <f>K46-J46</f>
        <v/>
      </c>
      <c r="N46" s="8">
        <f>"S"&amp;(INT(K46/Resumen!$C$5)+1)&amp;"–S"&amp;MAX(INT(K46/Resumen!$C$5)+1,ROUNDUP(L46/Resumen!$C$5,0))</f>
        <v/>
      </c>
      <c r="O46" s="8" t="inlineStr">
        <is>
          <t>En curso</t>
        </is>
      </c>
      <c r="P46" s="8" t="inlineStr">
        <is>
          <t>Agregado</t>
        </is>
      </c>
      <c r="Q46" s="7" t="inlineStr">
        <is>
          <t>ga-disenador-lienzo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6.16, 6.15</t>
        </is>
      </c>
      <c r="I47" s="18" t="inlineStr">
        <is>
          <t>B</t>
        </is>
      </c>
      <c r="J47" s="8" t="n">
        <v>56</v>
      </c>
      <c r="K47" s="8" t="n">
        <v>68</v>
      </c>
      <c r="L47" s="8">
        <f>K47+E47</f>
        <v/>
      </c>
      <c r="M47" s="8">
        <f>K47-J47</f>
        <v/>
      </c>
      <c r="N47" s="8">
        <f>"S"&amp;(INT(K47/Resumen!$C$5)+1)&amp;"–S"&amp;MAX(INT(K47/Resumen!$C$5)+1,ROUNDUP(L47/Resumen!$C$5,0))</f>
        <v/>
      </c>
      <c r="O47" s="8" t="inlineStr">
        <is>
          <t>En curso</t>
        </is>
      </c>
      <c r="P47" s="8" t="inlineStr">
        <is>
          <t>Agregado</t>
        </is>
      </c>
      <c r="Q47" s="7" t="inlineStr">
        <is>
          <t>ga-disenador-lienzo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4.4</t>
        </is>
      </c>
      <c r="I48" s="18" t="inlineStr">
        <is>
          <t>A</t>
        </is>
      </c>
      <c r="J48" s="8" t="n">
        <v>15</v>
      </c>
      <c r="K48" s="8" t="n">
        <v>50</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3.3</t>
        </is>
      </c>
      <c r="I49" s="18" t="inlineStr">
        <is>
          <t>A</t>
        </is>
      </c>
      <c r="J49" s="8" t="n">
        <v>31</v>
      </c>
      <c r="K49" s="8" t="n">
        <v>31</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5.6, 6.12</t>
        </is>
      </c>
      <c r="I50" s="18" t="inlineStr">
        <is>
          <t>B</t>
        </is>
      </c>
      <c r="J50" s="8" t="n">
        <v>56</v>
      </c>
      <c r="K50" s="8" t="n">
        <v>61</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4.3</t>
        </is>
      </c>
      <c r="I51" s="18" t="inlineStr">
        <is>
          <t>B</t>
        </is>
      </c>
      <c r="J51" s="8" t="n">
        <v>56</v>
      </c>
      <c r="K51" s="8" t="n">
        <v>56</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1.7</t>
        </is>
      </c>
      <c r="I52" s="18" t="inlineStr">
        <is>
          <t>B</t>
        </is>
      </c>
      <c r="J52" s="8" t="n">
        <v>37</v>
      </c>
      <c r="K52" s="8" t="n">
        <v>38</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5.3</t>
        </is>
      </c>
      <c r="I53" s="18" t="inlineStr">
        <is>
          <t>A</t>
        </is>
      </c>
      <c r="J53" s="8" t="n">
        <v>56</v>
      </c>
      <c r="K53" s="8" t="n">
        <v>61</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4.9</t>
        </is>
      </c>
      <c r="I54" s="18" t="inlineStr">
        <is>
          <t>B</t>
        </is>
      </c>
      <c r="J54" s="8" t="n">
        <v>31</v>
      </c>
      <c r="K54" s="8" t="n">
        <v>48</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3.2</t>
        </is>
      </c>
      <c r="I55" s="18" t="inlineStr">
        <is>
          <t>B</t>
        </is>
      </c>
      <c r="J55" s="8" t="n">
        <v>50</v>
      </c>
      <c r="K55" s="8" t="n">
        <v>54</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6.6, 1.8</t>
        </is>
      </c>
      <c r="I56" s="18" t="inlineStr">
        <is>
          <t>B</t>
        </is>
      </c>
      <c r="J56" s="8" t="n">
        <v>56</v>
      </c>
      <c r="K56" s="8" t="n">
        <v>77</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6.17</t>
        </is>
      </c>
      <c r="I57" s="18" t="inlineStr">
        <is>
          <t>B</t>
        </is>
      </c>
      <c r="J57" s="8" t="n">
        <v>56</v>
      </c>
      <c r="K57" s="8" t="n">
        <v>71</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2.15</t>
        </is>
      </c>
      <c r="I58" s="18" t="inlineStr">
        <is>
          <t>A</t>
        </is>
      </c>
      <c r="J58" s="8" t="n">
        <v>58</v>
      </c>
      <c r="K58" s="8" t="n">
        <v>58</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6.3</t>
        </is>
      </c>
      <c r="I59" s="18" t="inlineStr">
        <is>
          <t>B</t>
        </is>
      </c>
      <c r="J59" s="8" t="n">
        <v>58</v>
      </c>
      <c r="K59" s="8" t="n">
        <v>63</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6.2, 3.10</t>
        </is>
      </c>
      <c r="I60" s="18" t="inlineStr">
        <is>
          <t>A</t>
        </is>
      </c>
      <c r="J60" s="8" t="n">
        <v>63</v>
      </c>
      <c r="K60" s="8" t="n">
        <v>63</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2.9</t>
        </is>
      </c>
      <c r="I61" s="18" t="inlineStr">
        <is>
          <t>A</t>
        </is>
      </c>
      <c r="J61" s="8" t="n">
        <v>0</v>
      </c>
      <c r="K61" s="8" t="n">
        <v>22</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66</v>
      </c>
      <c r="K62" s="8" t="n">
        <v>74</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6.7, 5.9</t>
        </is>
      </c>
      <c r="I63" s="18" t="inlineStr">
        <is>
          <t>A</t>
        </is>
      </c>
      <c r="J63" s="8" t="n">
        <v>76</v>
      </c>
      <c r="K63" s="8" t="n">
        <v>76</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76</v>
      </c>
      <c r="K64" s="8" t="n">
        <v>76</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6.13</t>
        </is>
      </c>
      <c r="I65" s="18" t="inlineStr">
        <is>
          <t>B</t>
        </is>
      </c>
      <c r="J65" s="8" t="n">
        <v>23</v>
      </c>
      <c r="K65" s="8" t="n">
        <v>46</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2.8</t>
        </is>
      </c>
      <c r="I66" s="18" t="inlineStr">
        <is>
          <t>B</t>
        </is>
      </c>
      <c r="J66" s="8" t="n">
        <v>31</v>
      </c>
      <c r="K66" s="8" t="n">
        <v>47</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12</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2.1</t>
        </is>
      </c>
      <c r="I68" s="18" t="inlineStr">
        <is>
          <t>A</t>
        </is>
      </c>
      <c r="J68" s="8" t="n">
        <v>23</v>
      </c>
      <c r="K68" s="8" t="n">
        <v>30</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5.3</t>
        </is>
      </c>
      <c r="I69" s="18" t="inlineStr">
        <is>
          <t>A</t>
        </is>
      </c>
      <c r="J69" s="8" t="n">
        <v>56</v>
      </c>
      <c r="K69" s="8" t="n">
        <v>62</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6.8</t>
        </is>
      </c>
      <c r="I70" s="18" t="inlineStr">
        <is>
          <t>A</t>
        </is>
      </c>
      <c r="J70" s="8" t="n">
        <v>46</v>
      </c>
      <c r="K70" s="8" t="n">
        <v>46</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6.17</t>
        </is>
      </c>
      <c r="I71" s="18" t="inlineStr">
        <is>
          <t>B</t>
        </is>
      </c>
      <c r="J71" s="8" t="n">
        <v>56</v>
      </c>
      <c r="K71" s="8" t="n">
        <v>73</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4.11</t>
        </is>
      </c>
      <c r="I72" s="18" t="inlineStr">
        <is>
          <t>A</t>
        </is>
      </c>
      <c r="J72" s="8" t="n">
        <v>61</v>
      </c>
      <c r="K72" s="8" t="n">
        <v>70</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y tests/responsive/logo-y-fotos tras el rediseño C+ de la landing e ingreso/afiliación</t>
        </is>
      </c>
      <c r="D73" s="5" t="n">
        <v>2</v>
      </c>
      <c r="E73" s="8">
        <f>D73</f>
        <v/>
      </c>
      <c r="F73" s="4" t="inlineStr">
        <is>
          <t>2.14, 2.15</t>
        </is>
      </c>
      <c r="G73" s="7" t="inlineStr">
        <is>
          <t>Sí</t>
        </is>
      </c>
      <c r="H73" s="7" t="inlineStr">
        <is>
          <t>4.11</t>
        </is>
      </c>
      <c r="I73" s="18" t="inlineStr">
        <is>
          <t>A</t>
        </is>
      </c>
      <c r="J73" s="8" t="n">
        <v>61</v>
      </c>
      <c r="K73" s="8" t="n">
        <v>68</v>
      </c>
      <c r="L73" s="8">
        <f>K73+E73</f>
        <v/>
      </c>
      <c r="M73" s="8">
        <f>K73-J73</f>
        <v/>
      </c>
      <c r="N73" s="8">
        <f>"S"&amp;(INT(K73/Resumen!$C$5)+1)&amp;"–S"&amp;MAX(INT(K73/Resumen!$C$5)+1,ROUNDUP(L73/Resumen!$C$5,0))</f>
        <v/>
      </c>
      <c r="O73" s="8" t="inlineStr">
        <is>
          <t>Pendiente</t>
        </is>
      </c>
      <c r="P73" s="8" t="inlineStr">
        <is>
          <t>Agregado</t>
        </is>
      </c>
      <c r="Q73" s="7" t="inlineStr">
        <is>
          <t>ga-escritor-tests + ga-verificador-responsive</t>
        </is>
      </c>
      <c r="R73" s="7" t="inlineStr"/>
    </row>
    <row r="74">
      <c r="A74" s="19" t="inlineStr">
        <is>
          <t>6.17</t>
        </is>
      </c>
      <c r="B74" s="4" t="inlineStr">
        <is>
          <t>6. Pruebas y lanzamiento</t>
        </is>
      </c>
      <c r="C74" s="7" t="inlineStr">
        <is>
          <t>QA, seguridad y responsive del rediseño C+ de punta a punta</t>
        </is>
      </c>
      <c r="D74" s="5" t="n">
        <v>3</v>
      </c>
      <c r="E74" s="8">
        <f>D74</f>
        <v/>
      </c>
      <c r="F74" s="7" t="inlineStr">
        <is>
          <t>6.16, 2.15, 3.10, 4.10, 4.11</t>
        </is>
      </c>
      <c r="G74" s="7" t="inlineStr">
        <is>
          <t>Sí</t>
        </is>
      </c>
      <c r="H74" s="7" t="inlineStr">
        <is>
          <t>5.10, 6.14</t>
        </is>
      </c>
      <c r="I74" s="18" t="inlineStr">
        <is>
          <t>A</t>
        </is>
      </c>
      <c r="J74" s="8" t="n">
        <v>71</v>
      </c>
      <c r="K74" s="8" t="n">
        <v>71</v>
      </c>
      <c r="L74" s="8">
        <f>K74+E74</f>
        <v/>
      </c>
      <c r="M74" s="8">
        <f>K74-J74</f>
        <v/>
      </c>
      <c r="N74" s="8">
        <f>"S"&amp;(INT(K74/Resumen!$C$5)+1)&amp;"–S"&amp;MAX(INT(K74/Resumen!$C$5)+1,ROUNDUP(L74/Resumen!$C$5,0))</f>
        <v/>
      </c>
      <c r="O74" s="8" t="inlineStr">
        <is>
          <t>Pendiente</t>
        </is>
      </c>
      <c r="P74" s="8" t="inlineStr">
        <is>
          <t>Agregado</t>
        </is>
      </c>
      <c r="Q74" s="7" t="inlineStr">
        <is>
          <t>ga-verificador-qa + ga-verificador-responsive + ga-revisor-seguridad</t>
        </is>
      </c>
      <c r="R74" s="7" t="inlineStr"/>
    </row>
    <row r="75">
      <c r="A75" s="19" t="inlineStr">
        <is>
          <t>6.18</t>
        </is>
      </c>
      <c r="B75" s="4" t="inlineStr">
        <is>
          <t>6. Pruebas y lanzamiento</t>
        </is>
      </c>
      <c r="C75" s="7" t="inlineStr">
        <is>
          <t>Fusionar la rama rediseno-c-plus a develop</t>
        </is>
      </c>
      <c r="D75" s="5" t="n">
        <v>1</v>
      </c>
      <c r="E75" s="8">
        <f>D75</f>
        <v/>
      </c>
      <c r="F75" s="4" t="inlineStr">
        <is>
          <t>6.17, 1.8</t>
        </is>
      </c>
      <c r="G75" s="7" t="inlineStr">
        <is>
          <t>Sí</t>
        </is>
      </c>
      <c r="H75" s="7" t="inlineStr">
        <is>
          <t>4.7</t>
        </is>
      </c>
      <c r="I75" s="18" t="inlineStr">
        <is>
          <t>A</t>
        </is>
      </c>
      <c r="J75" s="8" t="n">
        <v>81</v>
      </c>
      <c r="K75" s="8" t="n">
        <v>81</v>
      </c>
      <c r="L75" s="8">
        <f>K75+E75</f>
        <v/>
      </c>
      <c r="M75" s="8">
        <f>K75-J75</f>
        <v/>
      </c>
      <c r="N75" s="8">
        <f>"S"&amp;(INT(K75/Resumen!$C$5)+1)&amp;"–S"&amp;MAX(INT(K75/Resumen!$C$5)+1,ROUNDUP(L75/Resumen!$C$5,0))</f>
        <v/>
      </c>
      <c r="O75" s="8" t="inlineStr">
        <is>
          <t>Pendiente</t>
        </is>
      </c>
      <c r="P75" s="8" t="inlineStr">
        <is>
          <t>Agregado</t>
        </is>
      </c>
      <c r="Q75" s="7" t="inlineStr">
        <is>
          <t>Sebas</t>
        </is>
      </c>
      <c r="R75" s="7" t="inlineStr"/>
    </row>
    <row r="77">
      <c r="A77" s="3" t="inlineStr">
        <is>
          <t>Notas</t>
        </is>
      </c>
    </row>
    <row r="78">
      <c r="A78" s="2" t="inlineStr">
        <is>
          <t>Peso (azul, fondo amarillo) = dato de entrada; 1 punto de peso = 1 bloque de tiempo (ver hoja Pesos).</t>
        </is>
      </c>
    </row>
    <row r="79">
      <c r="A79" s="2" t="inlineStr">
        <is>
          <t>«Origen: Agregado» = actividad que no estaba en la propuesta del 31-ago (p. ej. ingreso con código, afiliación, importación).</t>
        </is>
      </c>
    </row>
    <row r="80">
      <c r="A80" s="2" t="inlineStr">
        <is>
          <t>«En paralelo con» lista las tareas que comparten tiempo con esta en el plan optimizado.</t>
        </is>
      </c>
    </row>
    <row r="81">
      <c r="A81" s="2" t="inlineStr">
        <is>
          <t>Espera en cola = bloques entre que la tarea queda lista y una fila la toma.</t>
        </is>
      </c>
    </row>
  </sheetData>
  <autoFilter ref="A4:R75"/>
  <conditionalFormatting sqref="O5:O7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IF(SUMPRODUCT(((Plan!$I$5:$I$75="A")+(Plan!$I$5:$I$75="A+B"))*(Plan!$K$5:$K$75&lt;H$5)*(Plan!$L$5:$L$75&gt;=H$5))=0,"",INDEX(Plan!$A$5:$A$75,SUMPRODUCT(((Plan!$I$5:$I$75="A")+(Plan!$I$5:$I$75="A+B"))*(Plan!$K$5:$K$75&lt;H$5)*(Plan!$L$5:$L$75&gt;=H$5)*(ROW(Plan!$A$5:$A$75)-4))))</f>
        <v/>
      </c>
      <c r="I6" s="26">
        <f>IF(SUMPRODUCT(((Plan!$I$5:$I$75="A")+(Plan!$I$5:$I$75="A+B"))*(Plan!$K$5:$K$75&lt;I$5)*(Plan!$L$5:$L$75&gt;=I$5))=0,"",INDEX(Plan!$A$5:$A$75,SUMPRODUCT(((Plan!$I$5:$I$75="A")+(Plan!$I$5:$I$75="A+B"))*(Plan!$K$5:$K$75&lt;I$5)*(Plan!$L$5:$L$75&gt;=I$5)*(ROW(Plan!$A$5:$A$75)-4))))</f>
        <v/>
      </c>
      <c r="J6" s="26">
        <f>IF(SUMPRODUCT(((Plan!$I$5:$I$75="A")+(Plan!$I$5:$I$75="A+B"))*(Plan!$K$5:$K$75&lt;J$5)*(Plan!$L$5:$L$75&gt;=J$5))=0,"",INDEX(Plan!$A$5:$A$75,SUMPRODUCT(((Plan!$I$5:$I$75="A")+(Plan!$I$5:$I$75="A+B"))*(Plan!$K$5:$K$75&lt;J$5)*(Plan!$L$5:$L$75&gt;=J$5)*(ROW(Plan!$A$5:$A$75)-4))))</f>
        <v/>
      </c>
      <c r="K6" s="26">
        <f>IF(SUMPRODUCT(((Plan!$I$5:$I$75="A")+(Plan!$I$5:$I$75="A+B"))*(Plan!$K$5:$K$75&lt;K$5)*(Plan!$L$5:$L$75&gt;=K$5))=0,"",INDEX(Plan!$A$5:$A$75,SUMPRODUCT(((Plan!$I$5:$I$75="A")+(Plan!$I$5:$I$75="A+B"))*(Plan!$K$5:$K$75&lt;K$5)*(Plan!$L$5:$L$75&gt;=K$5)*(ROW(Plan!$A$5:$A$75)-4))))</f>
        <v/>
      </c>
      <c r="L6" s="26">
        <f>IF(SUMPRODUCT(((Plan!$I$5:$I$75="A")+(Plan!$I$5:$I$75="A+B"))*(Plan!$K$5:$K$75&lt;L$5)*(Plan!$L$5:$L$75&gt;=L$5))=0,"",INDEX(Plan!$A$5:$A$75,SUMPRODUCT(((Plan!$I$5:$I$75="A")+(Plan!$I$5:$I$75="A+B"))*(Plan!$K$5:$K$75&lt;L$5)*(Plan!$L$5:$L$75&gt;=L$5)*(ROW(Plan!$A$5:$A$75)-4))))</f>
        <v/>
      </c>
      <c r="M6" s="26">
        <f>IF(SUMPRODUCT(((Plan!$I$5:$I$75="A")+(Plan!$I$5:$I$75="A+B"))*(Plan!$K$5:$K$75&lt;M$5)*(Plan!$L$5:$L$75&gt;=M$5))=0,"",INDEX(Plan!$A$5:$A$75,SUMPRODUCT(((Plan!$I$5:$I$75="A")+(Plan!$I$5:$I$75="A+B"))*(Plan!$K$5:$K$75&lt;M$5)*(Plan!$L$5:$L$75&gt;=M$5)*(ROW(Plan!$A$5:$A$75)-4))))</f>
        <v/>
      </c>
      <c r="N6" s="26">
        <f>IF(SUMPRODUCT(((Plan!$I$5:$I$75="A")+(Plan!$I$5:$I$75="A+B"))*(Plan!$K$5:$K$75&lt;N$5)*(Plan!$L$5:$L$75&gt;=N$5))=0,"",INDEX(Plan!$A$5:$A$75,SUMPRODUCT(((Plan!$I$5:$I$75="A")+(Plan!$I$5:$I$75="A+B"))*(Plan!$K$5:$K$75&lt;N$5)*(Plan!$L$5:$L$75&gt;=N$5)*(ROW(Plan!$A$5:$A$75)-4))))</f>
        <v/>
      </c>
      <c r="O6" s="26">
        <f>IF(SUMPRODUCT(((Plan!$I$5:$I$75="A")+(Plan!$I$5:$I$75="A+B"))*(Plan!$K$5:$K$75&lt;O$5)*(Plan!$L$5:$L$75&gt;=O$5))=0,"",INDEX(Plan!$A$5:$A$75,SUMPRODUCT(((Plan!$I$5:$I$75="A")+(Plan!$I$5:$I$75="A+B"))*(Plan!$K$5:$K$75&lt;O$5)*(Plan!$L$5:$L$75&gt;=O$5)*(ROW(Plan!$A$5:$A$75)-4))))</f>
        <v/>
      </c>
      <c r="P6" s="26">
        <f>IF(SUMPRODUCT(((Plan!$I$5:$I$75="A")+(Plan!$I$5:$I$75="A+B"))*(Plan!$K$5:$K$75&lt;P$5)*(Plan!$L$5:$L$75&gt;=P$5))=0,"",INDEX(Plan!$A$5:$A$75,SUMPRODUCT(((Plan!$I$5:$I$75="A")+(Plan!$I$5:$I$75="A+B"))*(Plan!$K$5:$K$75&lt;P$5)*(Plan!$L$5:$L$75&gt;=P$5)*(ROW(Plan!$A$5:$A$75)-4))))</f>
        <v/>
      </c>
      <c r="Q6" s="26">
        <f>IF(SUMPRODUCT(((Plan!$I$5:$I$75="A")+(Plan!$I$5:$I$75="A+B"))*(Plan!$K$5:$K$75&lt;Q$5)*(Plan!$L$5:$L$75&gt;=Q$5))=0,"",INDEX(Plan!$A$5:$A$75,SUMPRODUCT(((Plan!$I$5:$I$75="A")+(Plan!$I$5:$I$75="A+B"))*(Plan!$K$5:$K$75&lt;Q$5)*(Plan!$L$5:$L$75&gt;=Q$5)*(ROW(Plan!$A$5:$A$75)-4))))</f>
        <v/>
      </c>
      <c r="R6" s="26">
        <f>IF(SUMPRODUCT(((Plan!$I$5:$I$75="A")+(Plan!$I$5:$I$75="A+B"))*(Plan!$K$5:$K$75&lt;R$5)*(Plan!$L$5:$L$75&gt;=R$5))=0,"",INDEX(Plan!$A$5:$A$75,SUMPRODUCT(((Plan!$I$5:$I$75="A")+(Plan!$I$5:$I$75="A+B"))*(Plan!$K$5:$K$75&lt;R$5)*(Plan!$L$5:$L$75&gt;=R$5)*(ROW(Plan!$A$5:$A$75)-4))))</f>
        <v/>
      </c>
      <c r="S6" s="26">
        <f>IF(SUMPRODUCT(((Plan!$I$5:$I$75="A")+(Plan!$I$5:$I$75="A+B"))*(Plan!$K$5:$K$75&lt;S$5)*(Plan!$L$5:$L$75&gt;=S$5))=0,"",INDEX(Plan!$A$5:$A$75,SUMPRODUCT(((Plan!$I$5:$I$75="A")+(Plan!$I$5:$I$75="A+B"))*(Plan!$K$5:$K$75&lt;S$5)*(Plan!$L$5:$L$75&gt;=S$5)*(ROW(Plan!$A$5:$A$75)-4))))</f>
        <v/>
      </c>
      <c r="T6" s="26">
        <f>IF(SUMPRODUCT(((Plan!$I$5:$I$75="A")+(Plan!$I$5:$I$75="A+B"))*(Plan!$K$5:$K$75&lt;T$5)*(Plan!$L$5:$L$75&gt;=T$5))=0,"",INDEX(Plan!$A$5:$A$75,SUMPRODUCT(((Plan!$I$5:$I$75="A")+(Plan!$I$5:$I$75="A+B"))*(Plan!$K$5:$K$75&lt;T$5)*(Plan!$L$5:$L$75&gt;=T$5)*(ROW(Plan!$A$5:$A$75)-4))))</f>
        <v/>
      </c>
      <c r="U6" s="26">
        <f>IF(SUMPRODUCT(((Plan!$I$5:$I$75="A")+(Plan!$I$5:$I$75="A+B"))*(Plan!$K$5:$K$75&lt;U$5)*(Plan!$L$5:$L$75&gt;=U$5))=0,"",INDEX(Plan!$A$5:$A$75,SUMPRODUCT(((Plan!$I$5:$I$75="A")+(Plan!$I$5:$I$75="A+B"))*(Plan!$K$5:$K$75&lt;U$5)*(Plan!$L$5:$L$75&gt;=U$5)*(ROW(Plan!$A$5:$A$75)-4))))</f>
        <v/>
      </c>
      <c r="V6" s="26">
        <f>IF(SUMPRODUCT(((Plan!$I$5:$I$75="A")+(Plan!$I$5:$I$75="A+B"))*(Plan!$K$5:$K$75&lt;V$5)*(Plan!$L$5:$L$75&gt;=V$5))=0,"",INDEX(Plan!$A$5:$A$75,SUMPRODUCT(((Plan!$I$5:$I$75="A")+(Plan!$I$5:$I$75="A+B"))*(Plan!$K$5:$K$75&lt;V$5)*(Plan!$L$5:$L$75&gt;=V$5)*(ROW(Plan!$A$5:$A$75)-4))))</f>
        <v/>
      </c>
      <c r="W6" s="26">
        <f>IF(SUMPRODUCT(((Plan!$I$5:$I$75="A")+(Plan!$I$5:$I$75="A+B"))*(Plan!$K$5:$K$75&lt;W$5)*(Plan!$L$5:$L$75&gt;=W$5))=0,"",INDEX(Plan!$A$5:$A$75,SUMPRODUCT(((Plan!$I$5:$I$75="A")+(Plan!$I$5:$I$75="A+B"))*(Plan!$K$5:$K$75&lt;W$5)*(Plan!$L$5:$L$75&gt;=W$5)*(ROW(Plan!$A$5:$A$75)-4))))</f>
        <v/>
      </c>
      <c r="X6" s="26">
        <f>IF(SUMPRODUCT(((Plan!$I$5:$I$75="A")+(Plan!$I$5:$I$75="A+B"))*(Plan!$K$5:$K$75&lt;X$5)*(Plan!$L$5:$L$75&gt;=X$5))=0,"",INDEX(Plan!$A$5:$A$75,SUMPRODUCT(((Plan!$I$5:$I$75="A")+(Plan!$I$5:$I$75="A+B"))*(Plan!$K$5:$K$75&lt;X$5)*(Plan!$L$5:$L$75&gt;=X$5)*(ROW(Plan!$A$5:$A$75)-4))))</f>
        <v/>
      </c>
      <c r="Y6" s="26">
        <f>IF(SUMPRODUCT(((Plan!$I$5:$I$75="A")+(Plan!$I$5:$I$75="A+B"))*(Plan!$K$5:$K$75&lt;Y$5)*(Plan!$L$5:$L$75&gt;=Y$5))=0,"",INDEX(Plan!$A$5:$A$75,SUMPRODUCT(((Plan!$I$5:$I$75="A")+(Plan!$I$5:$I$75="A+B"))*(Plan!$K$5:$K$75&lt;Y$5)*(Plan!$L$5:$L$75&gt;=Y$5)*(ROW(Plan!$A$5:$A$75)-4))))</f>
        <v/>
      </c>
      <c r="Z6" s="26">
        <f>IF(SUMPRODUCT(((Plan!$I$5:$I$75="A")+(Plan!$I$5:$I$75="A+B"))*(Plan!$K$5:$K$75&lt;Z$5)*(Plan!$L$5:$L$75&gt;=Z$5))=0,"",INDEX(Plan!$A$5:$A$75,SUMPRODUCT(((Plan!$I$5:$I$75="A")+(Plan!$I$5:$I$75="A+B"))*(Plan!$K$5:$K$75&lt;Z$5)*(Plan!$L$5:$L$75&gt;=Z$5)*(ROW(Plan!$A$5:$A$75)-4))))</f>
        <v/>
      </c>
      <c r="AA6" s="26">
        <f>IF(SUMPRODUCT(((Plan!$I$5:$I$75="A")+(Plan!$I$5:$I$75="A+B"))*(Plan!$K$5:$K$75&lt;AA$5)*(Plan!$L$5:$L$75&gt;=AA$5))=0,"",INDEX(Plan!$A$5:$A$75,SUMPRODUCT(((Plan!$I$5:$I$75="A")+(Plan!$I$5:$I$75="A+B"))*(Plan!$K$5:$K$75&lt;AA$5)*(Plan!$L$5:$L$75&gt;=AA$5)*(ROW(Plan!$A$5:$A$75)-4))))</f>
        <v/>
      </c>
      <c r="AB6" s="26">
        <f>IF(SUMPRODUCT(((Plan!$I$5:$I$75="A")+(Plan!$I$5:$I$75="A+B"))*(Plan!$K$5:$K$75&lt;AB$5)*(Plan!$L$5:$L$75&gt;=AB$5))=0,"",INDEX(Plan!$A$5:$A$75,SUMPRODUCT(((Plan!$I$5:$I$75="A")+(Plan!$I$5:$I$75="A+B"))*(Plan!$K$5:$K$75&lt;AB$5)*(Plan!$L$5:$L$75&gt;=AB$5)*(ROW(Plan!$A$5:$A$75)-4))))</f>
        <v/>
      </c>
      <c r="AC6" s="26">
        <f>IF(SUMPRODUCT(((Plan!$I$5:$I$75="A")+(Plan!$I$5:$I$75="A+B"))*(Plan!$K$5:$K$75&lt;AC$5)*(Plan!$L$5:$L$75&gt;=AC$5))=0,"",INDEX(Plan!$A$5:$A$75,SUMPRODUCT(((Plan!$I$5:$I$75="A")+(Plan!$I$5:$I$75="A+B"))*(Plan!$K$5:$K$75&lt;AC$5)*(Plan!$L$5:$L$75&gt;=AC$5)*(ROW(Plan!$A$5:$A$75)-4))))</f>
        <v/>
      </c>
      <c r="AD6" s="26">
        <f>IF(SUMPRODUCT(((Plan!$I$5:$I$75="A")+(Plan!$I$5:$I$75="A+B"))*(Plan!$K$5:$K$75&lt;AD$5)*(Plan!$L$5:$L$75&gt;=AD$5))=0,"",INDEX(Plan!$A$5:$A$75,SUMPRODUCT(((Plan!$I$5:$I$75="A")+(Plan!$I$5:$I$75="A+B"))*(Plan!$K$5:$K$75&lt;AD$5)*(Plan!$L$5:$L$75&gt;=AD$5)*(ROW(Plan!$A$5:$A$75)-4))))</f>
        <v/>
      </c>
      <c r="AE6" s="26">
        <f>IF(SUMPRODUCT(((Plan!$I$5:$I$75="A")+(Plan!$I$5:$I$75="A+B"))*(Plan!$K$5:$K$75&lt;AE$5)*(Plan!$L$5:$L$75&gt;=AE$5))=0,"",INDEX(Plan!$A$5:$A$75,SUMPRODUCT(((Plan!$I$5:$I$75="A")+(Plan!$I$5:$I$75="A+B"))*(Plan!$K$5:$K$75&lt;AE$5)*(Plan!$L$5:$L$75&gt;=AE$5)*(ROW(Plan!$A$5:$A$75)-4))))</f>
        <v/>
      </c>
      <c r="AF6" s="26">
        <f>IF(SUMPRODUCT(((Plan!$I$5:$I$75="A")+(Plan!$I$5:$I$75="A+B"))*(Plan!$K$5:$K$75&lt;AF$5)*(Plan!$L$5:$L$75&gt;=AF$5))=0,"",INDEX(Plan!$A$5:$A$75,SUMPRODUCT(((Plan!$I$5:$I$75="A")+(Plan!$I$5:$I$75="A+B"))*(Plan!$K$5:$K$75&lt;AF$5)*(Plan!$L$5:$L$75&gt;=AF$5)*(ROW(Plan!$A$5:$A$75)-4))))</f>
        <v/>
      </c>
      <c r="AG6" s="26">
        <f>IF(SUMPRODUCT(((Plan!$I$5:$I$75="A")+(Plan!$I$5:$I$75="A+B"))*(Plan!$K$5:$K$75&lt;AG$5)*(Plan!$L$5:$L$75&gt;=AG$5))=0,"",INDEX(Plan!$A$5:$A$75,SUMPRODUCT(((Plan!$I$5:$I$75="A")+(Plan!$I$5:$I$75="A+B"))*(Plan!$K$5:$K$75&lt;AG$5)*(Plan!$L$5:$L$75&gt;=AG$5)*(ROW(Plan!$A$5:$A$75)-4))))</f>
        <v/>
      </c>
      <c r="AH6" s="26">
        <f>IF(SUMPRODUCT(((Plan!$I$5:$I$75="A")+(Plan!$I$5:$I$75="A+B"))*(Plan!$K$5:$K$75&lt;AH$5)*(Plan!$L$5:$L$75&gt;=AH$5))=0,"",INDEX(Plan!$A$5:$A$75,SUMPRODUCT(((Plan!$I$5:$I$75="A")+(Plan!$I$5:$I$75="A+B"))*(Plan!$K$5:$K$75&lt;AH$5)*(Plan!$L$5:$L$75&gt;=AH$5)*(ROW(Plan!$A$5:$A$75)-4))))</f>
        <v/>
      </c>
      <c r="AI6" s="26">
        <f>IF(SUMPRODUCT(((Plan!$I$5:$I$75="A")+(Plan!$I$5:$I$75="A+B"))*(Plan!$K$5:$K$75&lt;AI$5)*(Plan!$L$5:$L$75&gt;=AI$5))=0,"",INDEX(Plan!$A$5:$A$75,SUMPRODUCT(((Plan!$I$5:$I$75="A")+(Plan!$I$5:$I$75="A+B"))*(Plan!$K$5:$K$75&lt;AI$5)*(Plan!$L$5:$L$75&gt;=AI$5)*(ROW(Plan!$A$5:$A$75)-4))))</f>
        <v/>
      </c>
      <c r="AJ6" s="26">
        <f>IF(SUMPRODUCT(((Plan!$I$5:$I$75="A")+(Plan!$I$5:$I$75="A+B"))*(Plan!$K$5:$K$75&lt;AJ$5)*(Plan!$L$5:$L$75&gt;=AJ$5))=0,"",INDEX(Plan!$A$5:$A$75,SUMPRODUCT(((Plan!$I$5:$I$75="A")+(Plan!$I$5:$I$75="A+B"))*(Plan!$K$5:$K$75&lt;AJ$5)*(Plan!$L$5:$L$75&gt;=AJ$5)*(ROW(Plan!$A$5:$A$75)-4))))</f>
        <v/>
      </c>
      <c r="AK6" s="26">
        <f>IF(SUMPRODUCT(((Plan!$I$5:$I$75="A")+(Plan!$I$5:$I$75="A+B"))*(Plan!$K$5:$K$75&lt;AK$5)*(Plan!$L$5:$L$75&gt;=AK$5))=0,"",INDEX(Plan!$A$5:$A$75,SUMPRODUCT(((Plan!$I$5:$I$75="A")+(Plan!$I$5:$I$75="A+B"))*(Plan!$K$5:$K$75&lt;AK$5)*(Plan!$L$5:$L$75&gt;=AK$5)*(ROW(Plan!$A$5:$A$75)-4))))</f>
        <v/>
      </c>
      <c r="AL6" s="26">
        <f>IF(SUMPRODUCT(((Plan!$I$5:$I$75="A")+(Plan!$I$5:$I$75="A+B"))*(Plan!$K$5:$K$75&lt;AL$5)*(Plan!$L$5:$L$75&gt;=AL$5))=0,"",INDEX(Plan!$A$5:$A$75,SUMPRODUCT(((Plan!$I$5:$I$75="A")+(Plan!$I$5:$I$75="A+B"))*(Plan!$K$5:$K$75&lt;AL$5)*(Plan!$L$5:$L$75&gt;=AL$5)*(ROW(Plan!$A$5:$A$75)-4))))</f>
        <v/>
      </c>
      <c r="AM6" s="26">
        <f>IF(SUMPRODUCT(((Plan!$I$5:$I$75="A")+(Plan!$I$5:$I$75="A+B"))*(Plan!$K$5:$K$75&lt;AM$5)*(Plan!$L$5:$L$75&gt;=AM$5))=0,"",INDEX(Plan!$A$5:$A$75,SUMPRODUCT(((Plan!$I$5:$I$75="A")+(Plan!$I$5:$I$75="A+B"))*(Plan!$K$5:$K$75&lt;AM$5)*(Plan!$L$5:$L$75&gt;=AM$5)*(ROW(Plan!$A$5:$A$75)-4))))</f>
        <v/>
      </c>
      <c r="AN6" s="26">
        <f>IF(SUMPRODUCT(((Plan!$I$5:$I$75="A")+(Plan!$I$5:$I$75="A+B"))*(Plan!$K$5:$K$75&lt;AN$5)*(Plan!$L$5:$L$75&gt;=AN$5))=0,"",INDEX(Plan!$A$5:$A$75,SUMPRODUCT(((Plan!$I$5:$I$75="A")+(Plan!$I$5:$I$75="A+B"))*(Plan!$K$5:$K$75&lt;AN$5)*(Plan!$L$5:$L$75&gt;=AN$5)*(ROW(Plan!$A$5:$A$75)-4))))</f>
        <v/>
      </c>
      <c r="AO6" s="26">
        <f>IF(SUMPRODUCT(((Plan!$I$5:$I$75="A")+(Plan!$I$5:$I$75="A+B"))*(Plan!$K$5:$K$75&lt;AO$5)*(Plan!$L$5:$L$75&gt;=AO$5))=0,"",INDEX(Plan!$A$5:$A$75,SUMPRODUCT(((Plan!$I$5:$I$75="A")+(Plan!$I$5:$I$75="A+B"))*(Plan!$K$5:$K$75&lt;AO$5)*(Plan!$L$5:$L$75&gt;=AO$5)*(ROW(Plan!$A$5:$A$75)-4))))</f>
        <v/>
      </c>
      <c r="AP6" s="26">
        <f>IF(SUMPRODUCT(((Plan!$I$5:$I$75="A")+(Plan!$I$5:$I$75="A+B"))*(Plan!$K$5:$K$75&lt;AP$5)*(Plan!$L$5:$L$75&gt;=AP$5))=0,"",INDEX(Plan!$A$5:$A$75,SUMPRODUCT(((Plan!$I$5:$I$75="A")+(Plan!$I$5:$I$75="A+B"))*(Plan!$K$5:$K$75&lt;AP$5)*(Plan!$L$5:$L$75&gt;=AP$5)*(ROW(Plan!$A$5:$A$75)-4))))</f>
        <v/>
      </c>
      <c r="AQ6" s="26">
        <f>IF(SUMPRODUCT(((Plan!$I$5:$I$75="A")+(Plan!$I$5:$I$75="A+B"))*(Plan!$K$5:$K$75&lt;AQ$5)*(Plan!$L$5:$L$75&gt;=AQ$5))=0,"",INDEX(Plan!$A$5:$A$75,SUMPRODUCT(((Plan!$I$5:$I$75="A")+(Plan!$I$5:$I$75="A+B"))*(Plan!$K$5:$K$75&lt;AQ$5)*(Plan!$L$5:$L$75&gt;=AQ$5)*(ROW(Plan!$A$5:$A$75)-4))))</f>
        <v/>
      </c>
      <c r="AR6" s="26">
        <f>IF(SUMPRODUCT(((Plan!$I$5:$I$75="A")+(Plan!$I$5:$I$75="A+B"))*(Plan!$K$5:$K$75&lt;AR$5)*(Plan!$L$5:$L$75&gt;=AR$5))=0,"",INDEX(Plan!$A$5:$A$75,SUMPRODUCT(((Plan!$I$5:$I$75="A")+(Plan!$I$5:$I$75="A+B"))*(Plan!$K$5:$K$75&lt;AR$5)*(Plan!$L$5:$L$75&gt;=AR$5)*(ROW(Plan!$A$5:$A$75)-4))))</f>
        <v/>
      </c>
      <c r="AS6" s="26">
        <f>IF(SUMPRODUCT(((Plan!$I$5:$I$75="A")+(Plan!$I$5:$I$75="A+B"))*(Plan!$K$5:$K$75&lt;AS$5)*(Plan!$L$5:$L$75&gt;=AS$5))=0,"",INDEX(Plan!$A$5:$A$75,SUMPRODUCT(((Plan!$I$5:$I$75="A")+(Plan!$I$5:$I$75="A+B"))*(Plan!$K$5:$K$75&lt;AS$5)*(Plan!$L$5:$L$75&gt;=AS$5)*(ROW(Plan!$A$5:$A$75)-4))))</f>
        <v/>
      </c>
      <c r="AT6" s="26">
        <f>IF(SUMPRODUCT(((Plan!$I$5:$I$75="A")+(Plan!$I$5:$I$75="A+B"))*(Plan!$K$5:$K$75&lt;AT$5)*(Plan!$L$5:$L$75&gt;=AT$5))=0,"",INDEX(Plan!$A$5:$A$75,SUMPRODUCT(((Plan!$I$5:$I$75="A")+(Plan!$I$5:$I$75="A+B"))*(Plan!$K$5:$K$75&lt;AT$5)*(Plan!$L$5:$L$75&gt;=AT$5)*(ROW(Plan!$A$5:$A$75)-4))))</f>
        <v/>
      </c>
      <c r="AU6" s="26">
        <f>IF(SUMPRODUCT(((Plan!$I$5:$I$75="A")+(Plan!$I$5:$I$75="A+B"))*(Plan!$K$5:$K$75&lt;AU$5)*(Plan!$L$5:$L$75&gt;=AU$5))=0,"",INDEX(Plan!$A$5:$A$75,SUMPRODUCT(((Plan!$I$5:$I$75="A")+(Plan!$I$5:$I$75="A+B"))*(Plan!$K$5:$K$75&lt;AU$5)*(Plan!$L$5:$L$75&gt;=AU$5)*(ROW(Plan!$A$5:$A$75)-4))))</f>
        <v/>
      </c>
      <c r="AV6" s="26">
        <f>IF(SUMPRODUCT(((Plan!$I$5:$I$75="A")+(Plan!$I$5:$I$75="A+B"))*(Plan!$K$5:$K$75&lt;AV$5)*(Plan!$L$5:$L$75&gt;=AV$5))=0,"",INDEX(Plan!$A$5:$A$75,SUMPRODUCT(((Plan!$I$5:$I$75="A")+(Plan!$I$5:$I$75="A+B"))*(Plan!$K$5:$K$75&lt;AV$5)*(Plan!$L$5:$L$75&gt;=AV$5)*(ROW(Plan!$A$5:$A$75)-4))))</f>
        <v/>
      </c>
      <c r="AW6" s="26">
        <f>IF(SUMPRODUCT(((Plan!$I$5:$I$75="A")+(Plan!$I$5:$I$75="A+B"))*(Plan!$K$5:$K$75&lt;AW$5)*(Plan!$L$5:$L$75&gt;=AW$5))=0,"",INDEX(Plan!$A$5:$A$75,SUMPRODUCT(((Plan!$I$5:$I$75="A")+(Plan!$I$5:$I$75="A+B"))*(Plan!$K$5:$K$75&lt;AW$5)*(Plan!$L$5:$L$75&gt;=AW$5)*(ROW(Plan!$A$5:$A$75)-4))))</f>
        <v/>
      </c>
      <c r="AX6" s="26">
        <f>IF(SUMPRODUCT(((Plan!$I$5:$I$75="A")+(Plan!$I$5:$I$75="A+B"))*(Plan!$K$5:$K$75&lt;AX$5)*(Plan!$L$5:$L$75&gt;=AX$5))=0,"",INDEX(Plan!$A$5:$A$75,SUMPRODUCT(((Plan!$I$5:$I$75="A")+(Plan!$I$5:$I$75="A+B"))*(Plan!$K$5:$K$75&lt;AX$5)*(Plan!$L$5:$L$75&gt;=AX$5)*(ROW(Plan!$A$5:$A$75)-4))))</f>
        <v/>
      </c>
      <c r="AY6" s="26">
        <f>IF(SUMPRODUCT(((Plan!$I$5:$I$75="A")+(Plan!$I$5:$I$75="A+B"))*(Plan!$K$5:$K$75&lt;AY$5)*(Plan!$L$5:$L$75&gt;=AY$5))=0,"",INDEX(Plan!$A$5:$A$75,SUMPRODUCT(((Plan!$I$5:$I$75="A")+(Plan!$I$5:$I$75="A+B"))*(Plan!$K$5:$K$75&lt;AY$5)*(Plan!$L$5:$L$75&gt;=AY$5)*(ROW(Plan!$A$5:$A$75)-4))))</f>
        <v/>
      </c>
      <c r="AZ6" s="26">
        <f>IF(SUMPRODUCT(((Plan!$I$5:$I$75="A")+(Plan!$I$5:$I$75="A+B"))*(Plan!$K$5:$K$75&lt;AZ$5)*(Plan!$L$5:$L$75&gt;=AZ$5))=0,"",INDEX(Plan!$A$5:$A$75,SUMPRODUCT(((Plan!$I$5:$I$75="A")+(Plan!$I$5:$I$75="A+B"))*(Plan!$K$5:$K$75&lt;AZ$5)*(Plan!$L$5:$L$75&gt;=AZ$5)*(ROW(Plan!$A$5:$A$75)-4))))</f>
        <v/>
      </c>
      <c r="BA6" s="26">
        <f>IF(SUMPRODUCT(((Plan!$I$5:$I$75="A")+(Plan!$I$5:$I$75="A+B"))*(Plan!$K$5:$K$75&lt;BA$5)*(Plan!$L$5:$L$75&gt;=BA$5))=0,"",INDEX(Plan!$A$5:$A$75,SUMPRODUCT(((Plan!$I$5:$I$75="A")+(Plan!$I$5:$I$75="A+B"))*(Plan!$K$5:$K$75&lt;BA$5)*(Plan!$L$5:$L$75&gt;=BA$5)*(ROW(Plan!$A$5:$A$75)-4))))</f>
        <v/>
      </c>
      <c r="BB6" s="26">
        <f>IF(SUMPRODUCT(((Plan!$I$5:$I$75="A")+(Plan!$I$5:$I$75="A+B"))*(Plan!$K$5:$K$75&lt;BB$5)*(Plan!$L$5:$L$75&gt;=BB$5))=0,"",INDEX(Plan!$A$5:$A$75,SUMPRODUCT(((Plan!$I$5:$I$75="A")+(Plan!$I$5:$I$75="A+B"))*(Plan!$K$5:$K$75&lt;BB$5)*(Plan!$L$5:$L$75&gt;=BB$5)*(ROW(Plan!$A$5:$A$75)-4))))</f>
        <v/>
      </c>
      <c r="BC6" s="26">
        <f>IF(SUMPRODUCT(((Plan!$I$5:$I$75="A")+(Plan!$I$5:$I$75="A+B"))*(Plan!$K$5:$K$75&lt;BC$5)*(Plan!$L$5:$L$75&gt;=BC$5))=0,"",INDEX(Plan!$A$5:$A$75,SUMPRODUCT(((Plan!$I$5:$I$75="A")+(Plan!$I$5:$I$75="A+B"))*(Plan!$K$5:$K$75&lt;BC$5)*(Plan!$L$5:$L$75&gt;=BC$5)*(ROW(Plan!$A$5:$A$75)-4))))</f>
        <v/>
      </c>
      <c r="BD6" s="26">
        <f>IF(SUMPRODUCT(((Plan!$I$5:$I$75="A")+(Plan!$I$5:$I$75="A+B"))*(Plan!$K$5:$K$75&lt;BD$5)*(Plan!$L$5:$L$75&gt;=BD$5))=0,"",INDEX(Plan!$A$5:$A$75,SUMPRODUCT(((Plan!$I$5:$I$75="A")+(Plan!$I$5:$I$75="A+B"))*(Plan!$K$5:$K$75&lt;BD$5)*(Plan!$L$5:$L$75&gt;=BD$5)*(ROW(Plan!$A$5:$A$75)-4))))</f>
        <v/>
      </c>
      <c r="BE6" s="26">
        <f>IF(SUMPRODUCT(((Plan!$I$5:$I$75="A")+(Plan!$I$5:$I$75="A+B"))*(Plan!$K$5:$K$75&lt;BE$5)*(Plan!$L$5:$L$75&gt;=BE$5))=0,"",INDEX(Plan!$A$5:$A$75,SUMPRODUCT(((Plan!$I$5:$I$75="A")+(Plan!$I$5:$I$75="A+B"))*(Plan!$K$5:$K$75&lt;BE$5)*(Plan!$L$5:$L$75&gt;=BE$5)*(ROW(Plan!$A$5:$A$75)-4))))</f>
        <v/>
      </c>
      <c r="BF6" s="26">
        <f>IF(SUMPRODUCT(((Plan!$I$5:$I$75="A")+(Plan!$I$5:$I$75="A+B"))*(Plan!$K$5:$K$75&lt;BF$5)*(Plan!$L$5:$L$75&gt;=BF$5))=0,"",INDEX(Plan!$A$5:$A$75,SUMPRODUCT(((Plan!$I$5:$I$75="A")+(Plan!$I$5:$I$75="A+B"))*(Plan!$K$5:$K$75&lt;BF$5)*(Plan!$L$5:$L$75&gt;=BF$5)*(ROW(Plan!$A$5:$A$75)-4))))</f>
        <v/>
      </c>
      <c r="BG6" s="26">
        <f>IF(SUMPRODUCT(((Plan!$I$5:$I$75="A")+(Plan!$I$5:$I$75="A+B"))*(Plan!$K$5:$K$75&lt;BG$5)*(Plan!$L$5:$L$75&gt;=BG$5))=0,"",INDEX(Plan!$A$5:$A$75,SUMPRODUCT(((Plan!$I$5:$I$75="A")+(Plan!$I$5:$I$75="A+B"))*(Plan!$K$5:$K$75&lt;BG$5)*(Plan!$L$5:$L$75&gt;=BG$5)*(ROW(Plan!$A$5:$A$75)-4))))</f>
        <v/>
      </c>
      <c r="BH6" s="26">
        <f>IF(SUMPRODUCT(((Plan!$I$5:$I$75="A")+(Plan!$I$5:$I$75="A+B"))*(Plan!$K$5:$K$75&lt;BH$5)*(Plan!$L$5:$L$75&gt;=BH$5))=0,"",INDEX(Plan!$A$5:$A$75,SUMPRODUCT(((Plan!$I$5:$I$75="A")+(Plan!$I$5:$I$75="A+B"))*(Plan!$K$5:$K$75&lt;BH$5)*(Plan!$L$5:$L$75&gt;=BH$5)*(ROW(Plan!$A$5:$A$75)-4))))</f>
        <v/>
      </c>
      <c r="BI6" s="26">
        <f>IF(SUMPRODUCT(((Plan!$I$5:$I$75="A")+(Plan!$I$5:$I$75="A+B"))*(Plan!$K$5:$K$75&lt;BI$5)*(Plan!$L$5:$L$75&gt;=BI$5))=0,"",INDEX(Plan!$A$5:$A$75,SUMPRODUCT(((Plan!$I$5:$I$75="A")+(Plan!$I$5:$I$75="A+B"))*(Plan!$K$5:$K$75&lt;BI$5)*(Plan!$L$5:$L$75&gt;=BI$5)*(ROW(Plan!$A$5:$A$75)-4))))</f>
        <v/>
      </c>
      <c r="BJ6" s="26">
        <f>IF(SUMPRODUCT(((Plan!$I$5:$I$75="A")+(Plan!$I$5:$I$75="A+B"))*(Plan!$K$5:$K$75&lt;BJ$5)*(Plan!$L$5:$L$75&gt;=BJ$5))=0,"",INDEX(Plan!$A$5:$A$75,SUMPRODUCT(((Plan!$I$5:$I$75="A")+(Plan!$I$5:$I$75="A+B"))*(Plan!$K$5:$K$75&lt;BJ$5)*(Plan!$L$5:$L$75&gt;=BJ$5)*(ROW(Plan!$A$5:$A$75)-4))))</f>
        <v/>
      </c>
      <c r="BK6" s="26">
        <f>IF(SUMPRODUCT(((Plan!$I$5:$I$75="A")+(Plan!$I$5:$I$75="A+B"))*(Plan!$K$5:$K$75&lt;BK$5)*(Plan!$L$5:$L$75&gt;=BK$5))=0,"",INDEX(Plan!$A$5:$A$75,SUMPRODUCT(((Plan!$I$5:$I$75="A")+(Plan!$I$5:$I$75="A+B"))*(Plan!$K$5:$K$75&lt;BK$5)*(Plan!$L$5:$L$75&gt;=BK$5)*(ROW(Plan!$A$5:$A$75)-4))))</f>
        <v/>
      </c>
      <c r="BL6" s="26">
        <f>IF(SUMPRODUCT(((Plan!$I$5:$I$75="A")+(Plan!$I$5:$I$75="A+B"))*(Plan!$K$5:$K$75&lt;BL$5)*(Plan!$L$5:$L$75&gt;=BL$5))=0,"",INDEX(Plan!$A$5:$A$75,SUMPRODUCT(((Plan!$I$5:$I$75="A")+(Plan!$I$5:$I$75="A+B"))*(Plan!$K$5:$K$75&lt;BL$5)*(Plan!$L$5:$L$75&gt;=BL$5)*(ROW(Plan!$A$5:$A$75)-4))))</f>
        <v/>
      </c>
      <c r="BM6" s="26">
        <f>IF(SUMPRODUCT(((Plan!$I$5:$I$75="A")+(Plan!$I$5:$I$75="A+B"))*(Plan!$K$5:$K$75&lt;BM$5)*(Plan!$L$5:$L$75&gt;=BM$5))=0,"",INDEX(Plan!$A$5:$A$75,SUMPRODUCT(((Plan!$I$5:$I$75="A")+(Plan!$I$5:$I$75="A+B"))*(Plan!$K$5:$K$75&lt;BM$5)*(Plan!$L$5:$L$75&gt;=BM$5)*(ROW(Plan!$A$5:$A$75)-4))))</f>
        <v/>
      </c>
      <c r="BN6" s="26">
        <f>IF(SUMPRODUCT(((Plan!$I$5:$I$75="A")+(Plan!$I$5:$I$75="A+B"))*(Plan!$K$5:$K$75&lt;BN$5)*(Plan!$L$5:$L$75&gt;=BN$5))=0,"",INDEX(Plan!$A$5:$A$75,SUMPRODUCT(((Plan!$I$5:$I$75="A")+(Plan!$I$5:$I$75="A+B"))*(Plan!$K$5:$K$75&lt;BN$5)*(Plan!$L$5:$L$75&gt;=BN$5)*(ROW(Plan!$A$5:$A$75)-4))))</f>
        <v/>
      </c>
      <c r="BO6" s="26">
        <f>IF(SUMPRODUCT(((Plan!$I$5:$I$75="A")+(Plan!$I$5:$I$75="A+B"))*(Plan!$K$5:$K$75&lt;BO$5)*(Plan!$L$5:$L$75&gt;=BO$5))=0,"",INDEX(Plan!$A$5:$A$75,SUMPRODUCT(((Plan!$I$5:$I$75="A")+(Plan!$I$5:$I$75="A+B"))*(Plan!$K$5:$K$75&lt;BO$5)*(Plan!$L$5:$L$75&gt;=BO$5)*(ROW(Plan!$A$5:$A$75)-4))))</f>
        <v/>
      </c>
      <c r="BP6" s="26">
        <f>IF(SUMPRODUCT(((Plan!$I$5:$I$75="A")+(Plan!$I$5:$I$75="A+B"))*(Plan!$K$5:$K$75&lt;BP$5)*(Plan!$L$5:$L$75&gt;=BP$5))=0,"",INDEX(Plan!$A$5:$A$75,SUMPRODUCT(((Plan!$I$5:$I$75="A")+(Plan!$I$5:$I$75="A+B"))*(Plan!$K$5:$K$75&lt;BP$5)*(Plan!$L$5:$L$75&gt;=BP$5)*(ROW(Plan!$A$5:$A$75)-4))))</f>
        <v/>
      </c>
      <c r="BQ6" s="26">
        <f>IF(SUMPRODUCT(((Plan!$I$5:$I$75="A")+(Plan!$I$5:$I$75="A+B"))*(Plan!$K$5:$K$75&lt;BQ$5)*(Plan!$L$5:$L$75&gt;=BQ$5))=0,"",INDEX(Plan!$A$5:$A$75,SUMPRODUCT(((Plan!$I$5:$I$75="A")+(Plan!$I$5:$I$75="A+B"))*(Plan!$K$5:$K$75&lt;BQ$5)*(Plan!$L$5:$L$75&gt;=BQ$5)*(ROW(Plan!$A$5:$A$75)-4))))</f>
        <v/>
      </c>
      <c r="BR6" s="26">
        <f>IF(SUMPRODUCT(((Plan!$I$5:$I$75="A")+(Plan!$I$5:$I$75="A+B"))*(Plan!$K$5:$K$75&lt;BR$5)*(Plan!$L$5:$L$75&gt;=BR$5))=0,"",INDEX(Plan!$A$5:$A$75,SUMPRODUCT(((Plan!$I$5:$I$75="A")+(Plan!$I$5:$I$75="A+B"))*(Plan!$K$5:$K$75&lt;BR$5)*(Plan!$L$5:$L$75&gt;=BR$5)*(ROW(Plan!$A$5:$A$75)-4))))</f>
        <v/>
      </c>
      <c r="BS6" s="26">
        <f>IF(SUMPRODUCT(((Plan!$I$5:$I$75="A")+(Plan!$I$5:$I$75="A+B"))*(Plan!$K$5:$K$75&lt;BS$5)*(Plan!$L$5:$L$75&gt;=BS$5))=0,"",INDEX(Plan!$A$5:$A$75,SUMPRODUCT(((Plan!$I$5:$I$75="A")+(Plan!$I$5:$I$75="A+B"))*(Plan!$K$5:$K$75&lt;BS$5)*(Plan!$L$5:$L$75&gt;=BS$5)*(ROW(Plan!$A$5:$A$75)-4))))</f>
        <v/>
      </c>
      <c r="BT6" s="26">
        <f>IF(SUMPRODUCT(((Plan!$I$5:$I$75="A")+(Plan!$I$5:$I$75="A+B"))*(Plan!$K$5:$K$75&lt;BT$5)*(Plan!$L$5:$L$75&gt;=BT$5))=0,"",INDEX(Plan!$A$5:$A$75,SUMPRODUCT(((Plan!$I$5:$I$75="A")+(Plan!$I$5:$I$75="A+B"))*(Plan!$K$5:$K$75&lt;BT$5)*(Plan!$L$5:$L$75&gt;=BT$5)*(ROW(Plan!$A$5:$A$75)-4))))</f>
        <v/>
      </c>
      <c r="BU6" s="26">
        <f>IF(SUMPRODUCT(((Plan!$I$5:$I$75="A")+(Plan!$I$5:$I$75="A+B"))*(Plan!$K$5:$K$75&lt;BU$5)*(Plan!$L$5:$L$75&gt;=BU$5))=0,"",INDEX(Plan!$A$5:$A$75,SUMPRODUCT(((Plan!$I$5:$I$75="A")+(Plan!$I$5:$I$75="A+B"))*(Plan!$K$5:$K$75&lt;BU$5)*(Plan!$L$5:$L$75&gt;=BU$5)*(ROW(Plan!$A$5:$A$75)-4))))</f>
        <v/>
      </c>
      <c r="BV6" s="26">
        <f>IF(SUMPRODUCT(((Plan!$I$5:$I$75="A")+(Plan!$I$5:$I$75="A+B"))*(Plan!$K$5:$K$75&lt;BV$5)*(Plan!$L$5:$L$75&gt;=BV$5))=0,"",INDEX(Plan!$A$5:$A$75,SUMPRODUCT(((Plan!$I$5:$I$75="A")+(Plan!$I$5:$I$75="A+B"))*(Plan!$K$5:$K$75&lt;BV$5)*(Plan!$L$5:$L$75&gt;=BV$5)*(ROW(Plan!$A$5:$A$75)-4))))</f>
        <v/>
      </c>
      <c r="BW6" s="26">
        <f>IF(SUMPRODUCT(((Plan!$I$5:$I$75="A")+(Plan!$I$5:$I$75="A+B"))*(Plan!$K$5:$K$75&lt;BW$5)*(Plan!$L$5:$L$75&gt;=BW$5))=0,"",INDEX(Plan!$A$5:$A$75,SUMPRODUCT(((Plan!$I$5:$I$75="A")+(Plan!$I$5:$I$75="A+B"))*(Plan!$K$5:$K$75&lt;BW$5)*(Plan!$L$5:$L$75&gt;=BW$5)*(ROW(Plan!$A$5:$A$75)-4))))</f>
        <v/>
      </c>
      <c r="BX6" s="26">
        <f>IF(SUMPRODUCT(((Plan!$I$5:$I$75="A")+(Plan!$I$5:$I$75="A+B"))*(Plan!$K$5:$K$75&lt;BX$5)*(Plan!$L$5:$L$75&gt;=BX$5))=0,"",INDEX(Plan!$A$5:$A$75,SUMPRODUCT(((Plan!$I$5:$I$75="A")+(Plan!$I$5:$I$75="A+B"))*(Plan!$K$5:$K$75&lt;BX$5)*(Plan!$L$5:$L$75&gt;=BX$5)*(ROW(Plan!$A$5:$A$75)-4))))</f>
        <v/>
      </c>
      <c r="BY6" s="26">
        <f>IF(SUMPRODUCT(((Plan!$I$5:$I$75="A")+(Plan!$I$5:$I$75="A+B"))*(Plan!$K$5:$K$75&lt;BY$5)*(Plan!$L$5:$L$75&gt;=BY$5))=0,"",INDEX(Plan!$A$5:$A$75,SUMPRODUCT(((Plan!$I$5:$I$75="A")+(Plan!$I$5:$I$75="A+B"))*(Plan!$K$5:$K$75&lt;BY$5)*(Plan!$L$5:$L$75&gt;=BY$5)*(ROW(Plan!$A$5:$A$75)-4))))</f>
        <v/>
      </c>
      <c r="BZ6" s="26">
        <f>IF(SUMPRODUCT(((Plan!$I$5:$I$75="A")+(Plan!$I$5:$I$75="A+B"))*(Plan!$K$5:$K$75&lt;BZ$5)*(Plan!$L$5:$L$75&gt;=BZ$5))=0,"",INDEX(Plan!$A$5:$A$75,SUMPRODUCT(((Plan!$I$5:$I$75="A")+(Plan!$I$5:$I$75="A+B"))*(Plan!$K$5:$K$75&lt;BZ$5)*(Plan!$L$5:$L$75&gt;=BZ$5)*(ROW(Plan!$A$5:$A$75)-4))))</f>
        <v/>
      </c>
      <c r="CA6" s="26">
        <f>IF(SUMPRODUCT(((Plan!$I$5:$I$75="A")+(Plan!$I$5:$I$75="A+B"))*(Plan!$K$5:$K$75&lt;CA$5)*(Plan!$L$5:$L$75&gt;=CA$5))=0,"",INDEX(Plan!$A$5:$A$75,SUMPRODUCT(((Plan!$I$5:$I$75="A")+(Plan!$I$5:$I$75="A+B"))*(Plan!$K$5:$K$75&lt;CA$5)*(Plan!$L$5:$L$75&gt;=CA$5)*(ROW(Plan!$A$5:$A$75)-4))))</f>
        <v/>
      </c>
      <c r="CB6" s="26">
        <f>IF(SUMPRODUCT(((Plan!$I$5:$I$75="A")+(Plan!$I$5:$I$75="A+B"))*(Plan!$K$5:$K$75&lt;CB$5)*(Plan!$L$5:$L$75&gt;=CB$5))=0,"",INDEX(Plan!$A$5:$A$75,SUMPRODUCT(((Plan!$I$5:$I$75="A")+(Plan!$I$5:$I$75="A+B"))*(Plan!$K$5:$K$75&lt;CB$5)*(Plan!$L$5:$L$75&gt;=CB$5)*(ROW(Plan!$A$5:$A$75)-4))))</f>
        <v/>
      </c>
      <c r="CC6" s="26">
        <f>IF(SUMPRODUCT(((Plan!$I$5:$I$75="A")+(Plan!$I$5:$I$75="A+B"))*(Plan!$K$5:$K$75&lt;CC$5)*(Plan!$L$5:$L$75&gt;=CC$5))=0,"",INDEX(Plan!$A$5:$A$75,SUMPRODUCT(((Plan!$I$5:$I$75="A")+(Plan!$I$5:$I$75="A+B"))*(Plan!$K$5:$K$75&lt;CC$5)*(Plan!$L$5:$L$75&gt;=CC$5)*(ROW(Plan!$A$5:$A$75)-4))))</f>
        <v/>
      </c>
      <c r="CD6" s="26">
        <f>IF(SUMPRODUCT(((Plan!$I$5:$I$75="A")+(Plan!$I$5:$I$75="A+B"))*(Plan!$K$5:$K$75&lt;CD$5)*(Plan!$L$5:$L$75&gt;=CD$5))=0,"",INDEX(Plan!$A$5:$A$75,SUMPRODUCT(((Plan!$I$5:$I$75="A")+(Plan!$I$5:$I$75="A+B"))*(Plan!$K$5:$K$75&lt;CD$5)*(Plan!$L$5:$L$75&gt;=CD$5)*(ROW(Plan!$A$5:$A$75)-4))))</f>
        <v/>
      </c>
      <c r="CE6" s="26">
        <f>IF(SUMPRODUCT(((Plan!$I$5:$I$75="A")+(Plan!$I$5:$I$75="A+B"))*(Plan!$K$5:$K$75&lt;CE$5)*(Plan!$L$5:$L$75&gt;=CE$5))=0,"",INDEX(Plan!$A$5:$A$75,SUMPRODUCT(((Plan!$I$5:$I$75="A")+(Plan!$I$5:$I$75="A+B"))*(Plan!$K$5:$K$75&lt;CE$5)*(Plan!$L$5:$L$75&gt;=CE$5)*(ROW(Plan!$A$5:$A$75)-4))))</f>
        <v/>
      </c>
      <c r="CF6" s="26">
        <f>IF(SUMPRODUCT(((Plan!$I$5:$I$75="A")+(Plan!$I$5:$I$75="A+B"))*(Plan!$K$5:$K$75&lt;CF$5)*(Plan!$L$5:$L$75&gt;=CF$5))=0,"",INDEX(Plan!$A$5:$A$75,SUMPRODUCT(((Plan!$I$5:$I$75="A")+(Plan!$I$5:$I$75="A+B"))*(Plan!$K$5:$K$75&lt;CF$5)*(Plan!$L$5:$L$75&gt;=CF$5)*(ROW(Plan!$A$5:$A$75)-4))))</f>
        <v/>
      </c>
      <c r="CG6" s="26">
        <f>IF(SUMPRODUCT(((Plan!$I$5:$I$75="A")+(Plan!$I$5:$I$75="A+B"))*(Plan!$K$5:$K$75&lt;CG$5)*(Plan!$L$5:$L$75&gt;=CG$5))=0,"",INDEX(Plan!$A$5:$A$75,SUMPRODUCT(((Plan!$I$5:$I$75="A")+(Plan!$I$5:$I$75="A+B"))*(Plan!$K$5:$K$75&lt;CG$5)*(Plan!$L$5:$L$75&gt;=CG$5)*(ROW(Plan!$A$5:$A$75)-4))))</f>
        <v/>
      </c>
      <c r="CH6" s="26">
        <f>IF(SUMPRODUCT(((Plan!$I$5:$I$75="A")+(Plan!$I$5:$I$75="A+B"))*(Plan!$K$5:$K$75&lt;CH$5)*(Plan!$L$5:$L$75&gt;=CH$5))=0,"",INDEX(Plan!$A$5:$A$75,SUMPRODUCT(((Plan!$I$5:$I$75="A")+(Plan!$I$5:$I$75="A+B"))*(Plan!$K$5:$K$75&lt;CH$5)*(Plan!$L$5:$L$75&gt;=CH$5)*(ROW(Plan!$A$5:$A$75)-4))))</f>
        <v/>
      </c>
      <c r="CI6" s="26">
        <f>IF(SUMPRODUCT(((Plan!$I$5:$I$75="A")+(Plan!$I$5:$I$75="A+B"))*(Plan!$K$5:$K$75&lt;CI$5)*(Plan!$L$5:$L$75&gt;=CI$5))=0,"",INDEX(Plan!$A$5:$A$75,SUMPRODUCT(((Plan!$I$5:$I$75="A")+(Plan!$I$5:$I$75="A+B"))*(Plan!$K$5:$K$75&lt;CI$5)*(Plan!$L$5:$L$75&gt;=CI$5)*(ROW(Plan!$A$5:$A$75)-4))))</f>
        <v/>
      </c>
      <c r="CJ6" s="26">
        <f>IF(SUMPRODUCT(((Plan!$I$5:$I$75="A")+(Plan!$I$5:$I$75="A+B"))*(Plan!$K$5:$K$75&lt;CJ$5)*(Plan!$L$5:$L$75&gt;=CJ$5))=0,"",INDEX(Plan!$A$5:$A$75,SUMPRODUCT(((Plan!$I$5:$I$75="A")+(Plan!$I$5:$I$75="A+B"))*(Plan!$K$5:$K$75&lt;CJ$5)*(Plan!$L$5:$L$75&gt;=CJ$5)*(ROW(Plan!$A$5:$A$75)-4))))</f>
        <v/>
      </c>
      <c r="CK6" s="26">
        <f>IF(SUMPRODUCT(((Plan!$I$5:$I$75="A")+(Plan!$I$5:$I$75="A+B"))*(Plan!$K$5:$K$75&lt;CK$5)*(Plan!$L$5:$L$75&gt;=CK$5))=0,"",INDEX(Plan!$A$5:$A$75,SUMPRODUCT(((Plan!$I$5:$I$75="A")+(Plan!$I$5:$I$75="A+B"))*(Plan!$K$5:$K$75&lt;CK$5)*(Plan!$L$5:$L$75&gt;=CK$5)*(ROW(Plan!$A$5:$A$75)-4))))</f>
        <v/>
      </c>
      <c r="CL6" s="26">
        <f>IF(SUMPRODUCT(((Plan!$I$5:$I$75="A")+(Plan!$I$5:$I$75="A+B"))*(Plan!$K$5:$K$75&lt;CL$5)*(Plan!$L$5:$L$75&gt;=CL$5))=0,"",INDEX(Plan!$A$5:$A$75,SUMPRODUCT(((Plan!$I$5:$I$75="A")+(Plan!$I$5:$I$75="A+B"))*(Plan!$K$5:$K$75&lt;CL$5)*(Plan!$L$5:$L$75&gt;=CL$5)*(ROW(Plan!$A$5:$A$75)-4))))</f>
        <v/>
      </c>
      <c r="CM6" s="26">
        <f>IF(SUMPRODUCT(((Plan!$I$5:$I$75="A")+(Plan!$I$5:$I$75="A+B"))*(Plan!$K$5:$K$75&lt;CM$5)*(Plan!$L$5:$L$75&gt;=CM$5))=0,"",INDEX(Plan!$A$5:$A$75,SUMPRODUCT(((Plan!$I$5:$I$75="A")+(Plan!$I$5:$I$75="A+B"))*(Plan!$K$5:$K$75&lt;CM$5)*(Plan!$L$5:$L$75&gt;=CM$5)*(ROW(Plan!$A$5:$A$75)-4))))</f>
        <v/>
      </c>
      <c r="CN6" s="26">
        <f>IF(SUMPRODUCT(((Plan!$I$5:$I$75="A")+(Plan!$I$5:$I$75="A+B"))*(Plan!$K$5:$K$75&lt;CN$5)*(Plan!$L$5:$L$75&gt;=CN$5))=0,"",INDEX(Plan!$A$5:$A$75,SUMPRODUCT(((Plan!$I$5:$I$75="A")+(Plan!$I$5:$I$75="A+B"))*(Plan!$K$5:$K$75&lt;CN$5)*(Plan!$L$5:$L$75&gt;=CN$5)*(ROW(Plan!$A$5:$A$75)-4))))</f>
        <v/>
      </c>
      <c r="CO6" s="26">
        <f>IF(SUMPRODUCT(((Plan!$I$5:$I$75="A")+(Plan!$I$5:$I$75="A+B"))*(Plan!$K$5:$K$75&lt;CO$5)*(Plan!$L$5:$L$75&gt;=CO$5))=0,"",INDEX(Plan!$A$5:$A$75,SUMPRODUCT(((Plan!$I$5:$I$75="A")+(Plan!$I$5:$I$75="A+B"))*(Plan!$K$5:$K$75&lt;CO$5)*(Plan!$L$5:$L$75&gt;=CO$5)*(ROW(Plan!$A$5:$A$75)-4))))</f>
        <v/>
      </c>
      <c r="CP6" s="26">
        <f>IF(SUMPRODUCT(((Plan!$I$5:$I$75="A")+(Plan!$I$5:$I$75="A+B"))*(Plan!$K$5:$K$75&lt;CP$5)*(Plan!$L$5:$L$75&gt;=CP$5))=0,"",INDEX(Plan!$A$5:$A$75,SUMPRODUCT(((Plan!$I$5:$I$75="A")+(Plan!$I$5:$I$75="A+B"))*(Plan!$K$5:$K$75&lt;CP$5)*(Plan!$L$5:$L$75&gt;=CP$5)*(ROW(Plan!$A$5:$A$75)-4))))</f>
        <v/>
      </c>
      <c r="CQ6" s="26">
        <f>IF(SUMPRODUCT(((Plan!$I$5:$I$75="A")+(Plan!$I$5:$I$75="A+B"))*(Plan!$K$5:$K$75&lt;CQ$5)*(Plan!$L$5:$L$75&gt;=CQ$5))=0,"",INDEX(Plan!$A$5:$A$75,SUMPRODUCT(((Plan!$I$5:$I$75="A")+(Plan!$I$5:$I$75="A+B"))*(Plan!$K$5:$K$75&lt;CQ$5)*(Plan!$L$5:$L$75&gt;=CQ$5)*(ROW(Plan!$A$5:$A$75)-4))))</f>
        <v/>
      </c>
      <c r="CR6" s="26">
        <f>IF(SUMPRODUCT(((Plan!$I$5:$I$75="A")+(Plan!$I$5:$I$75="A+B"))*(Plan!$K$5:$K$75&lt;CR$5)*(Plan!$L$5:$L$75&gt;=CR$5))=0,"",INDEX(Plan!$A$5:$A$75,SUMPRODUCT(((Plan!$I$5:$I$75="A")+(Plan!$I$5:$I$75="A+B"))*(Plan!$K$5:$K$75&lt;CR$5)*(Plan!$L$5:$L$75&gt;=CR$5)*(ROW(Plan!$A$5:$A$75)-4))))</f>
        <v/>
      </c>
      <c r="CS6" s="26">
        <f>IF(SUMPRODUCT(((Plan!$I$5:$I$75="A")+(Plan!$I$5:$I$75="A+B"))*(Plan!$K$5:$K$75&lt;CS$5)*(Plan!$L$5:$L$75&gt;=CS$5))=0,"",INDEX(Plan!$A$5:$A$75,SUMPRODUCT(((Plan!$I$5:$I$75="A")+(Plan!$I$5:$I$75="A+B"))*(Plan!$K$5:$K$75&lt;CS$5)*(Plan!$L$5:$L$75&gt;=CS$5)*(ROW(Plan!$A$5:$A$75)-4))))</f>
        <v/>
      </c>
    </row>
    <row r="7" ht="26" customHeight="1">
      <c r="A7" s="22" t="inlineStr">
        <is>
          <t>Fila B — tarea en curso</t>
        </is>
      </c>
      <c r="H7" s="26">
        <f>IF(SUMPRODUCT(((Plan!$I$5:$I$75="B")+(Plan!$I$5:$I$75="A+B"))*(Plan!$K$5:$K$75&lt;H$5)*(Plan!$L$5:$L$75&gt;=H$5))=0,"",INDEX(Plan!$A$5:$A$75,SUMPRODUCT(((Plan!$I$5:$I$75="B")+(Plan!$I$5:$I$75="A+B"))*(Plan!$K$5:$K$75&lt;H$5)*(Plan!$L$5:$L$75&gt;=H$5)*(ROW(Plan!$A$5:$A$75)-4))))</f>
        <v/>
      </c>
      <c r="I7" s="26">
        <f>IF(SUMPRODUCT(((Plan!$I$5:$I$75="B")+(Plan!$I$5:$I$75="A+B"))*(Plan!$K$5:$K$75&lt;I$5)*(Plan!$L$5:$L$75&gt;=I$5))=0,"",INDEX(Plan!$A$5:$A$75,SUMPRODUCT(((Plan!$I$5:$I$75="B")+(Plan!$I$5:$I$75="A+B"))*(Plan!$K$5:$K$75&lt;I$5)*(Plan!$L$5:$L$75&gt;=I$5)*(ROW(Plan!$A$5:$A$75)-4))))</f>
        <v/>
      </c>
      <c r="J7" s="26">
        <f>IF(SUMPRODUCT(((Plan!$I$5:$I$75="B")+(Plan!$I$5:$I$75="A+B"))*(Plan!$K$5:$K$75&lt;J$5)*(Plan!$L$5:$L$75&gt;=J$5))=0,"",INDEX(Plan!$A$5:$A$75,SUMPRODUCT(((Plan!$I$5:$I$75="B")+(Plan!$I$5:$I$75="A+B"))*(Plan!$K$5:$K$75&lt;J$5)*(Plan!$L$5:$L$75&gt;=J$5)*(ROW(Plan!$A$5:$A$75)-4))))</f>
        <v/>
      </c>
      <c r="K7" s="26">
        <f>IF(SUMPRODUCT(((Plan!$I$5:$I$75="B")+(Plan!$I$5:$I$75="A+B"))*(Plan!$K$5:$K$75&lt;K$5)*(Plan!$L$5:$L$75&gt;=K$5))=0,"",INDEX(Plan!$A$5:$A$75,SUMPRODUCT(((Plan!$I$5:$I$75="B")+(Plan!$I$5:$I$75="A+B"))*(Plan!$K$5:$K$75&lt;K$5)*(Plan!$L$5:$L$75&gt;=K$5)*(ROW(Plan!$A$5:$A$75)-4))))</f>
        <v/>
      </c>
      <c r="L7" s="26">
        <f>IF(SUMPRODUCT(((Plan!$I$5:$I$75="B")+(Plan!$I$5:$I$75="A+B"))*(Plan!$K$5:$K$75&lt;L$5)*(Plan!$L$5:$L$75&gt;=L$5))=0,"",INDEX(Plan!$A$5:$A$75,SUMPRODUCT(((Plan!$I$5:$I$75="B")+(Plan!$I$5:$I$75="A+B"))*(Plan!$K$5:$K$75&lt;L$5)*(Plan!$L$5:$L$75&gt;=L$5)*(ROW(Plan!$A$5:$A$75)-4))))</f>
        <v/>
      </c>
      <c r="M7" s="26">
        <f>IF(SUMPRODUCT(((Plan!$I$5:$I$75="B")+(Plan!$I$5:$I$75="A+B"))*(Plan!$K$5:$K$75&lt;M$5)*(Plan!$L$5:$L$75&gt;=M$5))=0,"",INDEX(Plan!$A$5:$A$75,SUMPRODUCT(((Plan!$I$5:$I$75="B")+(Plan!$I$5:$I$75="A+B"))*(Plan!$K$5:$K$75&lt;M$5)*(Plan!$L$5:$L$75&gt;=M$5)*(ROW(Plan!$A$5:$A$75)-4))))</f>
        <v/>
      </c>
      <c r="N7" s="26">
        <f>IF(SUMPRODUCT(((Plan!$I$5:$I$75="B")+(Plan!$I$5:$I$75="A+B"))*(Plan!$K$5:$K$75&lt;N$5)*(Plan!$L$5:$L$75&gt;=N$5))=0,"",INDEX(Plan!$A$5:$A$75,SUMPRODUCT(((Plan!$I$5:$I$75="B")+(Plan!$I$5:$I$75="A+B"))*(Plan!$K$5:$K$75&lt;N$5)*(Plan!$L$5:$L$75&gt;=N$5)*(ROW(Plan!$A$5:$A$75)-4))))</f>
        <v/>
      </c>
      <c r="O7" s="26">
        <f>IF(SUMPRODUCT(((Plan!$I$5:$I$75="B")+(Plan!$I$5:$I$75="A+B"))*(Plan!$K$5:$K$75&lt;O$5)*(Plan!$L$5:$L$75&gt;=O$5))=0,"",INDEX(Plan!$A$5:$A$75,SUMPRODUCT(((Plan!$I$5:$I$75="B")+(Plan!$I$5:$I$75="A+B"))*(Plan!$K$5:$K$75&lt;O$5)*(Plan!$L$5:$L$75&gt;=O$5)*(ROW(Plan!$A$5:$A$75)-4))))</f>
        <v/>
      </c>
      <c r="P7" s="26">
        <f>IF(SUMPRODUCT(((Plan!$I$5:$I$75="B")+(Plan!$I$5:$I$75="A+B"))*(Plan!$K$5:$K$75&lt;P$5)*(Plan!$L$5:$L$75&gt;=P$5))=0,"",INDEX(Plan!$A$5:$A$75,SUMPRODUCT(((Plan!$I$5:$I$75="B")+(Plan!$I$5:$I$75="A+B"))*(Plan!$K$5:$K$75&lt;P$5)*(Plan!$L$5:$L$75&gt;=P$5)*(ROW(Plan!$A$5:$A$75)-4))))</f>
        <v/>
      </c>
      <c r="Q7" s="26">
        <f>IF(SUMPRODUCT(((Plan!$I$5:$I$75="B")+(Plan!$I$5:$I$75="A+B"))*(Plan!$K$5:$K$75&lt;Q$5)*(Plan!$L$5:$L$75&gt;=Q$5))=0,"",INDEX(Plan!$A$5:$A$75,SUMPRODUCT(((Plan!$I$5:$I$75="B")+(Plan!$I$5:$I$75="A+B"))*(Plan!$K$5:$K$75&lt;Q$5)*(Plan!$L$5:$L$75&gt;=Q$5)*(ROW(Plan!$A$5:$A$75)-4))))</f>
        <v/>
      </c>
      <c r="R7" s="26">
        <f>IF(SUMPRODUCT(((Plan!$I$5:$I$75="B")+(Plan!$I$5:$I$75="A+B"))*(Plan!$K$5:$K$75&lt;R$5)*(Plan!$L$5:$L$75&gt;=R$5))=0,"",INDEX(Plan!$A$5:$A$75,SUMPRODUCT(((Plan!$I$5:$I$75="B")+(Plan!$I$5:$I$75="A+B"))*(Plan!$K$5:$K$75&lt;R$5)*(Plan!$L$5:$L$75&gt;=R$5)*(ROW(Plan!$A$5:$A$75)-4))))</f>
        <v/>
      </c>
      <c r="S7" s="26">
        <f>IF(SUMPRODUCT(((Plan!$I$5:$I$75="B")+(Plan!$I$5:$I$75="A+B"))*(Plan!$K$5:$K$75&lt;S$5)*(Plan!$L$5:$L$75&gt;=S$5))=0,"",INDEX(Plan!$A$5:$A$75,SUMPRODUCT(((Plan!$I$5:$I$75="B")+(Plan!$I$5:$I$75="A+B"))*(Plan!$K$5:$K$75&lt;S$5)*(Plan!$L$5:$L$75&gt;=S$5)*(ROW(Plan!$A$5:$A$75)-4))))</f>
        <v/>
      </c>
      <c r="T7" s="26">
        <f>IF(SUMPRODUCT(((Plan!$I$5:$I$75="B")+(Plan!$I$5:$I$75="A+B"))*(Plan!$K$5:$K$75&lt;T$5)*(Plan!$L$5:$L$75&gt;=T$5))=0,"",INDEX(Plan!$A$5:$A$75,SUMPRODUCT(((Plan!$I$5:$I$75="B")+(Plan!$I$5:$I$75="A+B"))*(Plan!$K$5:$K$75&lt;T$5)*(Plan!$L$5:$L$75&gt;=T$5)*(ROW(Plan!$A$5:$A$75)-4))))</f>
        <v/>
      </c>
      <c r="U7" s="26">
        <f>IF(SUMPRODUCT(((Plan!$I$5:$I$75="B")+(Plan!$I$5:$I$75="A+B"))*(Plan!$K$5:$K$75&lt;U$5)*(Plan!$L$5:$L$75&gt;=U$5))=0,"",INDEX(Plan!$A$5:$A$75,SUMPRODUCT(((Plan!$I$5:$I$75="B")+(Plan!$I$5:$I$75="A+B"))*(Plan!$K$5:$K$75&lt;U$5)*(Plan!$L$5:$L$75&gt;=U$5)*(ROW(Plan!$A$5:$A$75)-4))))</f>
        <v/>
      </c>
      <c r="V7" s="26">
        <f>IF(SUMPRODUCT(((Plan!$I$5:$I$75="B")+(Plan!$I$5:$I$75="A+B"))*(Plan!$K$5:$K$75&lt;V$5)*(Plan!$L$5:$L$75&gt;=V$5))=0,"",INDEX(Plan!$A$5:$A$75,SUMPRODUCT(((Plan!$I$5:$I$75="B")+(Plan!$I$5:$I$75="A+B"))*(Plan!$K$5:$K$75&lt;V$5)*(Plan!$L$5:$L$75&gt;=V$5)*(ROW(Plan!$A$5:$A$75)-4))))</f>
        <v/>
      </c>
      <c r="W7" s="26">
        <f>IF(SUMPRODUCT(((Plan!$I$5:$I$75="B")+(Plan!$I$5:$I$75="A+B"))*(Plan!$K$5:$K$75&lt;W$5)*(Plan!$L$5:$L$75&gt;=W$5))=0,"",INDEX(Plan!$A$5:$A$75,SUMPRODUCT(((Plan!$I$5:$I$75="B")+(Plan!$I$5:$I$75="A+B"))*(Plan!$K$5:$K$75&lt;W$5)*(Plan!$L$5:$L$75&gt;=W$5)*(ROW(Plan!$A$5:$A$75)-4))))</f>
        <v/>
      </c>
      <c r="X7" s="26">
        <f>IF(SUMPRODUCT(((Plan!$I$5:$I$75="B")+(Plan!$I$5:$I$75="A+B"))*(Plan!$K$5:$K$75&lt;X$5)*(Plan!$L$5:$L$75&gt;=X$5))=0,"",INDEX(Plan!$A$5:$A$75,SUMPRODUCT(((Plan!$I$5:$I$75="B")+(Plan!$I$5:$I$75="A+B"))*(Plan!$K$5:$K$75&lt;X$5)*(Plan!$L$5:$L$75&gt;=X$5)*(ROW(Plan!$A$5:$A$75)-4))))</f>
        <v/>
      </c>
      <c r="Y7" s="26">
        <f>IF(SUMPRODUCT(((Plan!$I$5:$I$75="B")+(Plan!$I$5:$I$75="A+B"))*(Plan!$K$5:$K$75&lt;Y$5)*(Plan!$L$5:$L$75&gt;=Y$5))=0,"",INDEX(Plan!$A$5:$A$75,SUMPRODUCT(((Plan!$I$5:$I$75="B")+(Plan!$I$5:$I$75="A+B"))*(Plan!$K$5:$K$75&lt;Y$5)*(Plan!$L$5:$L$75&gt;=Y$5)*(ROW(Plan!$A$5:$A$75)-4))))</f>
        <v/>
      </c>
      <c r="Z7" s="26">
        <f>IF(SUMPRODUCT(((Plan!$I$5:$I$75="B")+(Plan!$I$5:$I$75="A+B"))*(Plan!$K$5:$K$75&lt;Z$5)*(Plan!$L$5:$L$75&gt;=Z$5))=0,"",INDEX(Plan!$A$5:$A$75,SUMPRODUCT(((Plan!$I$5:$I$75="B")+(Plan!$I$5:$I$75="A+B"))*(Plan!$K$5:$K$75&lt;Z$5)*(Plan!$L$5:$L$75&gt;=Z$5)*(ROW(Plan!$A$5:$A$75)-4))))</f>
        <v/>
      </c>
      <c r="AA7" s="26">
        <f>IF(SUMPRODUCT(((Plan!$I$5:$I$75="B")+(Plan!$I$5:$I$75="A+B"))*(Plan!$K$5:$K$75&lt;AA$5)*(Plan!$L$5:$L$75&gt;=AA$5))=0,"",INDEX(Plan!$A$5:$A$75,SUMPRODUCT(((Plan!$I$5:$I$75="B")+(Plan!$I$5:$I$75="A+B"))*(Plan!$K$5:$K$75&lt;AA$5)*(Plan!$L$5:$L$75&gt;=AA$5)*(ROW(Plan!$A$5:$A$75)-4))))</f>
        <v/>
      </c>
      <c r="AB7" s="26">
        <f>IF(SUMPRODUCT(((Plan!$I$5:$I$75="B")+(Plan!$I$5:$I$75="A+B"))*(Plan!$K$5:$K$75&lt;AB$5)*(Plan!$L$5:$L$75&gt;=AB$5))=0,"",INDEX(Plan!$A$5:$A$75,SUMPRODUCT(((Plan!$I$5:$I$75="B")+(Plan!$I$5:$I$75="A+B"))*(Plan!$K$5:$K$75&lt;AB$5)*(Plan!$L$5:$L$75&gt;=AB$5)*(ROW(Plan!$A$5:$A$75)-4))))</f>
        <v/>
      </c>
      <c r="AC7" s="26">
        <f>IF(SUMPRODUCT(((Plan!$I$5:$I$75="B")+(Plan!$I$5:$I$75="A+B"))*(Plan!$K$5:$K$75&lt;AC$5)*(Plan!$L$5:$L$75&gt;=AC$5))=0,"",INDEX(Plan!$A$5:$A$75,SUMPRODUCT(((Plan!$I$5:$I$75="B")+(Plan!$I$5:$I$75="A+B"))*(Plan!$K$5:$K$75&lt;AC$5)*(Plan!$L$5:$L$75&gt;=AC$5)*(ROW(Plan!$A$5:$A$75)-4))))</f>
        <v/>
      </c>
      <c r="AD7" s="26">
        <f>IF(SUMPRODUCT(((Plan!$I$5:$I$75="B")+(Plan!$I$5:$I$75="A+B"))*(Plan!$K$5:$K$75&lt;AD$5)*(Plan!$L$5:$L$75&gt;=AD$5))=0,"",INDEX(Plan!$A$5:$A$75,SUMPRODUCT(((Plan!$I$5:$I$75="B")+(Plan!$I$5:$I$75="A+B"))*(Plan!$K$5:$K$75&lt;AD$5)*(Plan!$L$5:$L$75&gt;=AD$5)*(ROW(Plan!$A$5:$A$75)-4))))</f>
        <v/>
      </c>
      <c r="AE7" s="26">
        <f>IF(SUMPRODUCT(((Plan!$I$5:$I$75="B")+(Plan!$I$5:$I$75="A+B"))*(Plan!$K$5:$K$75&lt;AE$5)*(Plan!$L$5:$L$75&gt;=AE$5))=0,"",INDEX(Plan!$A$5:$A$75,SUMPRODUCT(((Plan!$I$5:$I$75="B")+(Plan!$I$5:$I$75="A+B"))*(Plan!$K$5:$K$75&lt;AE$5)*(Plan!$L$5:$L$75&gt;=AE$5)*(ROW(Plan!$A$5:$A$75)-4))))</f>
        <v/>
      </c>
      <c r="AF7" s="26">
        <f>IF(SUMPRODUCT(((Plan!$I$5:$I$75="B")+(Plan!$I$5:$I$75="A+B"))*(Plan!$K$5:$K$75&lt;AF$5)*(Plan!$L$5:$L$75&gt;=AF$5))=0,"",INDEX(Plan!$A$5:$A$75,SUMPRODUCT(((Plan!$I$5:$I$75="B")+(Plan!$I$5:$I$75="A+B"))*(Plan!$K$5:$K$75&lt;AF$5)*(Plan!$L$5:$L$75&gt;=AF$5)*(ROW(Plan!$A$5:$A$75)-4))))</f>
        <v/>
      </c>
      <c r="AG7" s="26">
        <f>IF(SUMPRODUCT(((Plan!$I$5:$I$75="B")+(Plan!$I$5:$I$75="A+B"))*(Plan!$K$5:$K$75&lt;AG$5)*(Plan!$L$5:$L$75&gt;=AG$5))=0,"",INDEX(Plan!$A$5:$A$75,SUMPRODUCT(((Plan!$I$5:$I$75="B")+(Plan!$I$5:$I$75="A+B"))*(Plan!$K$5:$K$75&lt;AG$5)*(Plan!$L$5:$L$75&gt;=AG$5)*(ROW(Plan!$A$5:$A$75)-4))))</f>
        <v/>
      </c>
      <c r="AH7" s="26">
        <f>IF(SUMPRODUCT(((Plan!$I$5:$I$75="B")+(Plan!$I$5:$I$75="A+B"))*(Plan!$K$5:$K$75&lt;AH$5)*(Plan!$L$5:$L$75&gt;=AH$5))=0,"",INDEX(Plan!$A$5:$A$75,SUMPRODUCT(((Plan!$I$5:$I$75="B")+(Plan!$I$5:$I$75="A+B"))*(Plan!$K$5:$K$75&lt;AH$5)*(Plan!$L$5:$L$75&gt;=AH$5)*(ROW(Plan!$A$5:$A$75)-4))))</f>
        <v/>
      </c>
      <c r="AI7" s="26">
        <f>IF(SUMPRODUCT(((Plan!$I$5:$I$75="B")+(Plan!$I$5:$I$75="A+B"))*(Plan!$K$5:$K$75&lt;AI$5)*(Plan!$L$5:$L$75&gt;=AI$5))=0,"",INDEX(Plan!$A$5:$A$75,SUMPRODUCT(((Plan!$I$5:$I$75="B")+(Plan!$I$5:$I$75="A+B"))*(Plan!$K$5:$K$75&lt;AI$5)*(Plan!$L$5:$L$75&gt;=AI$5)*(ROW(Plan!$A$5:$A$75)-4))))</f>
        <v/>
      </c>
      <c r="AJ7" s="26">
        <f>IF(SUMPRODUCT(((Plan!$I$5:$I$75="B")+(Plan!$I$5:$I$75="A+B"))*(Plan!$K$5:$K$75&lt;AJ$5)*(Plan!$L$5:$L$75&gt;=AJ$5))=0,"",INDEX(Plan!$A$5:$A$75,SUMPRODUCT(((Plan!$I$5:$I$75="B")+(Plan!$I$5:$I$75="A+B"))*(Plan!$K$5:$K$75&lt;AJ$5)*(Plan!$L$5:$L$75&gt;=AJ$5)*(ROW(Plan!$A$5:$A$75)-4))))</f>
        <v/>
      </c>
      <c r="AK7" s="26">
        <f>IF(SUMPRODUCT(((Plan!$I$5:$I$75="B")+(Plan!$I$5:$I$75="A+B"))*(Plan!$K$5:$K$75&lt;AK$5)*(Plan!$L$5:$L$75&gt;=AK$5))=0,"",INDEX(Plan!$A$5:$A$75,SUMPRODUCT(((Plan!$I$5:$I$75="B")+(Plan!$I$5:$I$75="A+B"))*(Plan!$K$5:$K$75&lt;AK$5)*(Plan!$L$5:$L$75&gt;=AK$5)*(ROW(Plan!$A$5:$A$75)-4))))</f>
        <v/>
      </c>
      <c r="AL7" s="26">
        <f>IF(SUMPRODUCT(((Plan!$I$5:$I$75="B")+(Plan!$I$5:$I$75="A+B"))*(Plan!$K$5:$K$75&lt;AL$5)*(Plan!$L$5:$L$75&gt;=AL$5))=0,"",INDEX(Plan!$A$5:$A$75,SUMPRODUCT(((Plan!$I$5:$I$75="B")+(Plan!$I$5:$I$75="A+B"))*(Plan!$K$5:$K$75&lt;AL$5)*(Plan!$L$5:$L$75&gt;=AL$5)*(ROW(Plan!$A$5:$A$75)-4))))</f>
        <v/>
      </c>
      <c r="AM7" s="26">
        <f>IF(SUMPRODUCT(((Plan!$I$5:$I$75="B")+(Plan!$I$5:$I$75="A+B"))*(Plan!$K$5:$K$75&lt;AM$5)*(Plan!$L$5:$L$75&gt;=AM$5))=0,"",INDEX(Plan!$A$5:$A$75,SUMPRODUCT(((Plan!$I$5:$I$75="B")+(Plan!$I$5:$I$75="A+B"))*(Plan!$K$5:$K$75&lt;AM$5)*(Plan!$L$5:$L$75&gt;=AM$5)*(ROW(Plan!$A$5:$A$75)-4))))</f>
        <v/>
      </c>
      <c r="AN7" s="26">
        <f>IF(SUMPRODUCT(((Plan!$I$5:$I$75="B")+(Plan!$I$5:$I$75="A+B"))*(Plan!$K$5:$K$75&lt;AN$5)*(Plan!$L$5:$L$75&gt;=AN$5))=0,"",INDEX(Plan!$A$5:$A$75,SUMPRODUCT(((Plan!$I$5:$I$75="B")+(Plan!$I$5:$I$75="A+B"))*(Plan!$K$5:$K$75&lt;AN$5)*(Plan!$L$5:$L$75&gt;=AN$5)*(ROW(Plan!$A$5:$A$75)-4))))</f>
        <v/>
      </c>
      <c r="AO7" s="26">
        <f>IF(SUMPRODUCT(((Plan!$I$5:$I$75="B")+(Plan!$I$5:$I$75="A+B"))*(Plan!$K$5:$K$75&lt;AO$5)*(Plan!$L$5:$L$75&gt;=AO$5))=0,"",INDEX(Plan!$A$5:$A$75,SUMPRODUCT(((Plan!$I$5:$I$75="B")+(Plan!$I$5:$I$75="A+B"))*(Plan!$K$5:$K$75&lt;AO$5)*(Plan!$L$5:$L$75&gt;=AO$5)*(ROW(Plan!$A$5:$A$75)-4))))</f>
        <v/>
      </c>
      <c r="AP7" s="26">
        <f>IF(SUMPRODUCT(((Plan!$I$5:$I$75="B")+(Plan!$I$5:$I$75="A+B"))*(Plan!$K$5:$K$75&lt;AP$5)*(Plan!$L$5:$L$75&gt;=AP$5))=0,"",INDEX(Plan!$A$5:$A$75,SUMPRODUCT(((Plan!$I$5:$I$75="B")+(Plan!$I$5:$I$75="A+B"))*(Plan!$K$5:$K$75&lt;AP$5)*(Plan!$L$5:$L$75&gt;=AP$5)*(ROW(Plan!$A$5:$A$75)-4))))</f>
        <v/>
      </c>
      <c r="AQ7" s="26">
        <f>IF(SUMPRODUCT(((Plan!$I$5:$I$75="B")+(Plan!$I$5:$I$75="A+B"))*(Plan!$K$5:$K$75&lt;AQ$5)*(Plan!$L$5:$L$75&gt;=AQ$5))=0,"",INDEX(Plan!$A$5:$A$75,SUMPRODUCT(((Plan!$I$5:$I$75="B")+(Plan!$I$5:$I$75="A+B"))*(Plan!$K$5:$K$75&lt;AQ$5)*(Plan!$L$5:$L$75&gt;=AQ$5)*(ROW(Plan!$A$5:$A$75)-4))))</f>
        <v/>
      </c>
      <c r="AR7" s="26">
        <f>IF(SUMPRODUCT(((Plan!$I$5:$I$75="B")+(Plan!$I$5:$I$75="A+B"))*(Plan!$K$5:$K$75&lt;AR$5)*(Plan!$L$5:$L$75&gt;=AR$5))=0,"",INDEX(Plan!$A$5:$A$75,SUMPRODUCT(((Plan!$I$5:$I$75="B")+(Plan!$I$5:$I$75="A+B"))*(Plan!$K$5:$K$75&lt;AR$5)*(Plan!$L$5:$L$75&gt;=AR$5)*(ROW(Plan!$A$5:$A$75)-4))))</f>
        <v/>
      </c>
      <c r="AS7" s="26">
        <f>IF(SUMPRODUCT(((Plan!$I$5:$I$75="B")+(Plan!$I$5:$I$75="A+B"))*(Plan!$K$5:$K$75&lt;AS$5)*(Plan!$L$5:$L$75&gt;=AS$5))=0,"",INDEX(Plan!$A$5:$A$75,SUMPRODUCT(((Plan!$I$5:$I$75="B")+(Plan!$I$5:$I$75="A+B"))*(Plan!$K$5:$K$75&lt;AS$5)*(Plan!$L$5:$L$75&gt;=AS$5)*(ROW(Plan!$A$5:$A$75)-4))))</f>
        <v/>
      </c>
      <c r="AT7" s="26">
        <f>IF(SUMPRODUCT(((Plan!$I$5:$I$75="B")+(Plan!$I$5:$I$75="A+B"))*(Plan!$K$5:$K$75&lt;AT$5)*(Plan!$L$5:$L$75&gt;=AT$5))=0,"",INDEX(Plan!$A$5:$A$75,SUMPRODUCT(((Plan!$I$5:$I$75="B")+(Plan!$I$5:$I$75="A+B"))*(Plan!$K$5:$K$75&lt;AT$5)*(Plan!$L$5:$L$75&gt;=AT$5)*(ROW(Plan!$A$5:$A$75)-4))))</f>
        <v/>
      </c>
      <c r="AU7" s="26">
        <f>IF(SUMPRODUCT(((Plan!$I$5:$I$75="B")+(Plan!$I$5:$I$75="A+B"))*(Plan!$K$5:$K$75&lt;AU$5)*(Plan!$L$5:$L$75&gt;=AU$5))=0,"",INDEX(Plan!$A$5:$A$75,SUMPRODUCT(((Plan!$I$5:$I$75="B")+(Plan!$I$5:$I$75="A+B"))*(Plan!$K$5:$K$75&lt;AU$5)*(Plan!$L$5:$L$75&gt;=AU$5)*(ROW(Plan!$A$5:$A$75)-4))))</f>
        <v/>
      </c>
      <c r="AV7" s="26">
        <f>IF(SUMPRODUCT(((Plan!$I$5:$I$75="B")+(Plan!$I$5:$I$75="A+B"))*(Plan!$K$5:$K$75&lt;AV$5)*(Plan!$L$5:$L$75&gt;=AV$5))=0,"",INDEX(Plan!$A$5:$A$75,SUMPRODUCT(((Plan!$I$5:$I$75="B")+(Plan!$I$5:$I$75="A+B"))*(Plan!$K$5:$K$75&lt;AV$5)*(Plan!$L$5:$L$75&gt;=AV$5)*(ROW(Plan!$A$5:$A$75)-4))))</f>
        <v/>
      </c>
      <c r="AW7" s="26">
        <f>IF(SUMPRODUCT(((Plan!$I$5:$I$75="B")+(Plan!$I$5:$I$75="A+B"))*(Plan!$K$5:$K$75&lt;AW$5)*(Plan!$L$5:$L$75&gt;=AW$5))=0,"",INDEX(Plan!$A$5:$A$75,SUMPRODUCT(((Plan!$I$5:$I$75="B")+(Plan!$I$5:$I$75="A+B"))*(Plan!$K$5:$K$75&lt;AW$5)*(Plan!$L$5:$L$75&gt;=AW$5)*(ROW(Plan!$A$5:$A$75)-4))))</f>
        <v/>
      </c>
      <c r="AX7" s="26">
        <f>IF(SUMPRODUCT(((Plan!$I$5:$I$75="B")+(Plan!$I$5:$I$75="A+B"))*(Plan!$K$5:$K$75&lt;AX$5)*(Plan!$L$5:$L$75&gt;=AX$5))=0,"",INDEX(Plan!$A$5:$A$75,SUMPRODUCT(((Plan!$I$5:$I$75="B")+(Plan!$I$5:$I$75="A+B"))*(Plan!$K$5:$K$75&lt;AX$5)*(Plan!$L$5:$L$75&gt;=AX$5)*(ROW(Plan!$A$5:$A$75)-4))))</f>
        <v/>
      </c>
      <c r="AY7" s="26">
        <f>IF(SUMPRODUCT(((Plan!$I$5:$I$75="B")+(Plan!$I$5:$I$75="A+B"))*(Plan!$K$5:$K$75&lt;AY$5)*(Plan!$L$5:$L$75&gt;=AY$5))=0,"",INDEX(Plan!$A$5:$A$75,SUMPRODUCT(((Plan!$I$5:$I$75="B")+(Plan!$I$5:$I$75="A+B"))*(Plan!$K$5:$K$75&lt;AY$5)*(Plan!$L$5:$L$75&gt;=AY$5)*(ROW(Plan!$A$5:$A$75)-4))))</f>
        <v/>
      </c>
      <c r="AZ7" s="26">
        <f>IF(SUMPRODUCT(((Plan!$I$5:$I$75="B")+(Plan!$I$5:$I$75="A+B"))*(Plan!$K$5:$K$75&lt;AZ$5)*(Plan!$L$5:$L$75&gt;=AZ$5))=0,"",INDEX(Plan!$A$5:$A$75,SUMPRODUCT(((Plan!$I$5:$I$75="B")+(Plan!$I$5:$I$75="A+B"))*(Plan!$K$5:$K$75&lt;AZ$5)*(Plan!$L$5:$L$75&gt;=AZ$5)*(ROW(Plan!$A$5:$A$75)-4))))</f>
        <v/>
      </c>
      <c r="BA7" s="26">
        <f>IF(SUMPRODUCT(((Plan!$I$5:$I$75="B")+(Plan!$I$5:$I$75="A+B"))*(Plan!$K$5:$K$75&lt;BA$5)*(Plan!$L$5:$L$75&gt;=BA$5))=0,"",INDEX(Plan!$A$5:$A$75,SUMPRODUCT(((Plan!$I$5:$I$75="B")+(Plan!$I$5:$I$75="A+B"))*(Plan!$K$5:$K$75&lt;BA$5)*(Plan!$L$5:$L$75&gt;=BA$5)*(ROW(Plan!$A$5:$A$75)-4))))</f>
        <v/>
      </c>
      <c r="BB7" s="26">
        <f>IF(SUMPRODUCT(((Plan!$I$5:$I$75="B")+(Plan!$I$5:$I$75="A+B"))*(Plan!$K$5:$K$75&lt;BB$5)*(Plan!$L$5:$L$75&gt;=BB$5))=0,"",INDEX(Plan!$A$5:$A$75,SUMPRODUCT(((Plan!$I$5:$I$75="B")+(Plan!$I$5:$I$75="A+B"))*(Plan!$K$5:$K$75&lt;BB$5)*(Plan!$L$5:$L$75&gt;=BB$5)*(ROW(Plan!$A$5:$A$75)-4))))</f>
        <v/>
      </c>
      <c r="BC7" s="26">
        <f>IF(SUMPRODUCT(((Plan!$I$5:$I$75="B")+(Plan!$I$5:$I$75="A+B"))*(Plan!$K$5:$K$75&lt;BC$5)*(Plan!$L$5:$L$75&gt;=BC$5))=0,"",INDEX(Plan!$A$5:$A$75,SUMPRODUCT(((Plan!$I$5:$I$75="B")+(Plan!$I$5:$I$75="A+B"))*(Plan!$K$5:$K$75&lt;BC$5)*(Plan!$L$5:$L$75&gt;=BC$5)*(ROW(Plan!$A$5:$A$75)-4))))</f>
        <v/>
      </c>
      <c r="BD7" s="26">
        <f>IF(SUMPRODUCT(((Plan!$I$5:$I$75="B")+(Plan!$I$5:$I$75="A+B"))*(Plan!$K$5:$K$75&lt;BD$5)*(Plan!$L$5:$L$75&gt;=BD$5))=0,"",INDEX(Plan!$A$5:$A$75,SUMPRODUCT(((Plan!$I$5:$I$75="B")+(Plan!$I$5:$I$75="A+B"))*(Plan!$K$5:$K$75&lt;BD$5)*(Plan!$L$5:$L$75&gt;=BD$5)*(ROW(Plan!$A$5:$A$75)-4))))</f>
        <v/>
      </c>
      <c r="BE7" s="26">
        <f>IF(SUMPRODUCT(((Plan!$I$5:$I$75="B")+(Plan!$I$5:$I$75="A+B"))*(Plan!$K$5:$K$75&lt;BE$5)*(Plan!$L$5:$L$75&gt;=BE$5))=0,"",INDEX(Plan!$A$5:$A$75,SUMPRODUCT(((Plan!$I$5:$I$75="B")+(Plan!$I$5:$I$75="A+B"))*(Plan!$K$5:$K$75&lt;BE$5)*(Plan!$L$5:$L$75&gt;=BE$5)*(ROW(Plan!$A$5:$A$75)-4))))</f>
        <v/>
      </c>
      <c r="BF7" s="26">
        <f>IF(SUMPRODUCT(((Plan!$I$5:$I$75="B")+(Plan!$I$5:$I$75="A+B"))*(Plan!$K$5:$K$75&lt;BF$5)*(Plan!$L$5:$L$75&gt;=BF$5))=0,"",INDEX(Plan!$A$5:$A$75,SUMPRODUCT(((Plan!$I$5:$I$75="B")+(Plan!$I$5:$I$75="A+B"))*(Plan!$K$5:$K$75&lt;BF$5)*(Plan!$L$5:$L$75&gt;=BF$5)*(ROW(Plan!$A$5:$A$75)-4))))</f>
        <v/>
      </c>
      <c r="BG7" s="26">
        <f>IF(SUMPRODUCT(((Plan!$I$5:$I$75="B")+(Plan!$I$5:$I$75="A+B"))*(Plan!$K$5:$K$75&lt;BG$5)*(Plan!$L$5:$L$75&gt;=BG$5))=0,"",INDEX(Plan!$A$5:$A$75,SUMPRODUCT(((Plan!$I$5:$I$75="B")+(Plan!$I$5:$I$75="A+B"))*(Plan!$K$5:$K$75&lt;BG$5)*(Plan!$L$5:$L$75&gt;=BG$5)*(ROW(Plan!$A$5:$A$75)-4))))</f>
        <v/>
      </c>
      <c r="BH7" s="26">
        <f>IF(SUMPRODUCT(((Plan!$I$5:$I$75="B")+(Plan!$I$5:$I$75="A+B"))*(Plan!$K$5:$K$75&lt;BH$5)*(Plan!$L$5:$L$75&gt;=BH$5))=0,"",INDEX(Plan!$A$5:$A$75,SUMPRODUCT(((Plan!$I$5:$I$75="B")+(Plan!$I$5:$I$75="A+B"))*(Plan!$K$5:$K$75&lt;BH$5)*(Plan!$L$5:$L$75&gt;=BH$5)*(ROW(Plan!$A$5:$A$75)-4))))</f>
        <v/>
      </c>
      <c r="BI7" s="26">
        <f>IF(SUMPRODUCT(((Plan!$I$5:$I$75="B")+(Plan!$I$5:$I$75="A+B"))*(Plan!$K$5:$K$75&lt;BI$5)*(Plan!$L$5:$L$75&gt;=BI$5))=0,"",INDEX(Plan!$A$5:$A$75,SUMPRODUCT(((Plan!$I$5:$I$75="B")+(Plan!$I$5:$I$75="A+B"))*(Plan!$K$5:$K$75&lt;BI$5)*(Plan!$L$5:$L$75&gt;=BI$5)*(ROW(Plan!$A$5:$A$75)-4))))</f>
        <v/>
      </c>
      <c r="BJ7" s="26">
        <f>IF(SUMPRODUCT(((Plan!$I$5:$I$75="B")+(Plan!$I$5:$I$75="A+B"))*(Plan!$K$5:$K$75&lt;BJ$5)*(Plan!$L$5:$L$75&gt;=BJ$5))=0,"",INDEX(Plan!$A$5:$A$75,SUMPRODUCT(((Plan!$I$5:$I$75="B")+(Plan!$I$5:$I$75="A+B"))*(Plan!$K$5:$K$75&lt;BJ$5)*(Plan!$L$5:$L$75&gt;=BJ$5)*(ROW(Plan!$A$5:$A$75)-4))))</f>
        <v/>
      </c>
      <c r="BK7" s="26">
        <f>IF(SUMPRODUCT(((Plan!$I$5:$I$75="B")+(Plan!$I$5:$I$75="A+B"))*(Plan!$K$5:$K$75&lt;BK$5)*(Plan!$L$5:$L$75&gt;=BK$5))=0,"",INDEX(Plan!$A$5:$A$75,SUMPRODUCT(((Plan!$I$5:$I$75="B")+(Plan!$I$5:$I$75="A+B"))*(Plan!$K$5:$K$75&lt;BK$5)*(Plan!$L$5:$L$75&gt;=BK$5)*(ROW(Plan!$A$5:$A$75)-4))))</f>
        <v/>
      </c>
      <c r="BL7" s="26">
        <f>IF(SUMPRODUCT(((Plan!$I$5:$I$75="B")+(Plan!$I$5:$I$75="A+B"))*(Plan!$K$5:$K$75&lt;BL$5)*(Plan!$L$5:$L$75&gt;=BL$5))=0,"",INDEX(Plan!$A$5:$A$75,SUMPRODUCT(((Plan!$I$5:$I$75="B")+(Plan!$I$5:$I$75="A+B"))*(Plan!$K$5:$K$75&lt;BL$5)*(Plan!$L$5:$L$75&gt;=BL$5)*(ROW(Plan!$A$5:$A$75)-4))))</f>
        <v/>
      </c>
      <c r="BM7" s="26">
        <f>IF(SUMPRODUCT(((Plan!$I$5:$I$75="B")+(Plan!$I$5:$I$75="A+B"))*(Plan!$K$5:$K$75&lt;BM$5)*(Plan!$L$5:$L$75&gt;=BM$5))=0,"",INDEX(Plan!$A$5:$A$75,SUMPRODUCT(((Plan!$I$5:$I$75="B")+(Plan!$I$5:$I$75="A+B"))*(Plan!$K$5:$K$75&lt;BM$5)*(Plan!$L$5:$L$75&gt;=BM$5)*(ROW(Plan!$A$5:$A$75)-4))))</f>
        <v/>
      </c>
      <c r="BN7" s="26">
        <f>IF(SUMPRODUCT(((Plan!$I$5:$I$75="B")+(Plan!$I$5:$I$75="A+B"))*(Plan!$K$5:$K$75&lt;BN$5)*(Plan!$L$5:$L$75&gt;=BN$5))=0,"",INDEX(Plan!$A$5:$A$75,SUMPRODUCT(((Plan!$I$5:$I$75="B")+(Plan!$I$5:$I$75="A+B"))*(Plan!$K$5:$K$75&lt;BN$5)*(Plan!$L$5:$L$75&gt;=BN$5)*(ROW(Plan!$A$5:$A$75)-4))))</f>
        <v/>
      </c>
      <c r="BO7" s="26">
        <f>IF(SUMPRODUCT(((Plan!$I$5:$I$75="B")+(Plan!$I$5:$I$75="A+B"))*(Plan!$K$5:$K$75&lt;BO$5)*(Plan!$L$5:$L$75&gt;=BO$5))=0,"",INDEX(Plan!$A$5:$A$75,SUMPRODUCT(((Plan!$I$5:$I$75="B")+(Plan!$I$5:$I$75="A+B"))*(Plan!$K$5:$K$75&lt;BO$5)*(Plan!$L$5:$L$75&gt;=BO$5)*(ROW(Plan!$A$5:$A$75)-4))))</f>
        <v/>
      </c>
      <c r="BP7" s="26">
        <f>IF(SUMPRODUCT(((Plan!$I$5:$I$75="B")+(Plan!$I$5:$I$75="A+B"))*(Plan!$K$5:$K$75&lt;BP$5)*(Plan!$L$5:$L$75&gt;=BP$5))=0,"",INDEX(Plan!$A$5:$A$75,SUMPRODUCT(((Plan!$I$5:$I$75="B")+(Plan!$I$5:$I$75="A+B"))*(Plan!$K$5:$K$75&lt;BP$5)*(Plan!$L$5:$L$75&gt;=BP$5)*(ROW(Plan!$A$5:$A$75)-4))))</f>
        <v/>
      </c>
      <c r="BQ7" s="26">
        <f>IF(SUMPRODUCT(((Plan!$I$5:$I$75="B")+(Plan!$I$5:$I$75="A+B"))*(Plan!$K$5:$K$75&lt;BQ$5)*(Plan!$L$5:$L$75&gt;=BQ$5))=0,"",INDEX(Plan!$A$5:$A$75,SUMPRODUCT(((Plan!$I$5:$I$75="B")+(Plan!$I$5:$I$75="A+B"))*(Plan!$K$5:$K$75&lt;BQ$5)*(Plan!$L$5:$L$75&gt;=BQ$5)*(ROW(Plan!$A$5:$A$75)-4))))</f>
        <v/>
      </c>
      <c r="BR7" s="26">
        <f>IF(SUMPRODUCT(((Plan!$I$5:$I$75="B")+(Plan!$I$5:$I$75="A+B"))*(Plan!$K$5:$K$75&lt;BR$5)*(Plan!$L$5:$L$75&gt;=BR$5))=0,"",INDEX(Plan!$A$5:$A$75,SUMPRODUCT(((Plan!$I$5:$I$75="B")+(Plan!$I$5:$I$75="A+B"))*(Plan!$K$5:$K$75&lt;BR$5)*(Plan!$L$5:$L$75&gt;=BR$5)*(ROW(Plan!$A$5:$A$75)-4))))</f>
        <v/>
      </c>
      <c r="BS7" s="26">
        <f>IF(SUMPRODUCT(((Plan!$I$5:$I$75="B")+(Plan!$I$5:$I$75="A+B"))*(Plan!$K$5:$K$75&lt;BS$5)*(Plan!$L$5:$L$75&gt;=BS$5))=0,"",INDEX(Plan!$A$5:$A$75,SUMPRODUCT(((Plan!$I$5:$I$75="B")+(Plan!$I$5:$I$75="A+B"))*(Plan!$K$5:$K$75&lt;BS$5)*(Plan!$L$5:$L$75&gt;=BS$5)*(ROW(Plan!$A$5:$A$75)-4))))</f>
        <v/>
      </c>
      <c r="BT7" s="26">
        <f>IF(SUMPRODUCT(((Plan!$I$5:$I$75="B")+(Plan!$I$5:$I$75="A+B"))*(Plan!$K$5:$K$75&lt;BT$5)*(Plan!$L$5:$L$75&gt;=BT$5))=0,"",INDEX(Plan!$A$5:$A$75,SUMPRODUCT(((Plan!$I$5:$I$75="B")+(Plan!$I$5:$I$75="A+B"))*(Plan!$K$5:$K$75&lt;BT$5)*(Plan!$L$5:$L$75&gt;=BT$5)*(ROW(Plan!$A$5:$A$75)-4))))</f>
        <v/>
      </c>
      <c r="BU7" s="26">
        <f>IF(SUMPRODUCT(((Plan!$I$5:$I$75="B")+(Plan!$I$5:$I$75="A+B"))*(Plan!$K$5:$K$75&lt;BU$5)*(Plan!$L$5:$L$75&gt;=BU$5))=0,"",INDEX(Plan!$A$5:$A$75,SUMPRODUCT(((Plan!$I$5:$I$75="B")+(Plan!$I$5:$I$75="A+B"))*(Plan!$K$5:$K$75&lt;BU$5)*(Plan!$L$5:$L$75&gt;=BU$5)*(ROW(Plan!$A$5:$A$75)-4))))</f>
        <v/>
      </c>
      <c r="BV7" s="26">
        <f>IF(SUMPRODUCT(((Plan!$I$5:$I$75="B")+(Plan!$I$5:$I$75="A+B"))*(Plan!$K$5:$K$75&lt;BV$5)*(Plan!$L$5:$L$75&gt;=BV$5))=0,"",INDEX(Plan!$A$5:$A$75,SUMPRODUCT(((Plan!$I$5:$I$75="B")+(Plan!$I$5:$I$75="A+B"))*(Plan!$K$5:$K$75&lt;BV$5)*(Plan!$L$5:$L$75&gt;=BV$5)*(ROW(Plan!$A$5:$A$75)-4))))</f>
        <v/>
      </c>
      <c r="BW7" s="26">
        <f>IF(SUMPRODUCT(((Plan!$I$5:$I$75="B")+(Plan!$I$5:$I$75="A+B"))*(Plan!$K$5:$K$75&lt;BW$5)*(Plan!$L$5:$L$75&gt;=BW$5))=0,"",INDEX(Plan!$A$5:$A$75,SUMPRODUCT(((Plan!$I$5:$I$75="B")+(Plan!$I$5:$I$75="A+B"))*(Plan!$K$5:$K$75&lt;BW$5)*(Plan!$L$5:$L$75&gt;=BW$5)*(ROW(Plan!$A$5:$A$75)-4))))</f>
        <v/>
      </c>
      <c r="BX7" s="26">
        <f>IF(SUMPRODUCT(((Plan!$I$5:$I$75="B")+(Plan!$I$5:$I$75="A+B"))*(Plan!$K$5:$K$75&lt;BX$5)*(Plan!$L$5:$L$75&gt;=BX$5))=0,"",INDEX(Plan!$A$5:$A$75,SUMPRODUCT(((Plan!$I$5:$I$75="B")+(Plan!$I$5:$I$75="A+B"))*(Plan!$K$5:$K$75&lt;BX$5)*(Plan!$L$5:$L$75&gt;=BX$5)*(ROW(Plan!$A$5:$A$75)-4))))</f>
        <v/>
      </c>
      <c r="BY7" s="26">
        <f>IF(SUMPRODUCT(((Plan!$I$5:$I$75="B")+(Plan!$I$5:$I$75="A+B"))*(Plan!$K$5:$K$75&lt;BY$5)*(Plan!$L$5:$L$75&gt;=BY$5))=0,"",INDEX(Plan!$A$5:$A$75,SUMPRODUCT(((Plan!$I$5:$I$75="B")+(Plan!$I$5:$I$75="A+B"))*(Plan!$K$5:$K$75&lt;BY$5)*(Plan!$L$5:$L$75&gt;=BY$5)*(ROW(Plan!$A$5:$A$75)-4))))</f>
        <v/>
      </c>
      <c r="BZ7" s="26">
        <f>IF(SUMPRODUCT(((Plan!$I$5:$I$75="B")+(Plan!$I$5:$I$75="A+B"))*(Plan!$K$5:$K$75&lt;BZ$5)*(Plan!$L$5:$L$75&gt;=BZ$5))=0,"",INDEX(Plan!$A$5:$A$75,SUMPRODUCT(((Plan!$I$5:$I$75="B")+(Plan!$I$5:$I$75="A+B"))*(Plan!$K$5:$K$75&lt;BZ$5)*(Plan!$L$5:$L$75&gt;=BZ$5)*(ROW(Plan!$A$5:$A$75)-4))))</f>
        <v/>
      </c>
      <c r="CA7" s="26">
        <f>IF(SUMPRODUCT(((Plan!$I$5:$I$75="B")+(Plan!$I$5:$I$75="A+B"))*(Plan!$K$5:$K$75&lt;CA$5)*(Plan!$L$5:$L$75&gt;=CA$5))=0,"",INDEX(Plan!$A$5:$A$75,SUMPRODUCT(((Plan!$I$5:$I$75="B")+(Plan!$I$5:$I$75="A+B"))*(Plan!$K$5:$K$75&lt;CA$5)*(Plan!$L$5:$L$75&gt;=CA$5)*(ROW(Plan!$A$5:$A$75)-4))))</f>
        <v/>
      </c>
      <c r="CB7" s="26">
        <f>IF(SUMPRODUCT(((Plan!$I$5:$I$75="B")+(Plan!$I$5:$I$75="A+B"))*(Plan!$K$5:$K$75&lt;CB$5)*(Plan!$L$5:$L$75&gt;=CB$5))=0,"",INDEX(Plan!$A$5:$A$75,SUMPRODUCT(((Plan!$I$5:$I$75="B")+(Plan!$I$5:$I$75="A+B"))*(Plan!$K$5:$K$75&lt;CB$5)*(Plan!$L$5:$L$75&gt;=CB$5)*(ROW(Plan!$A$5:$A$75)-4))))</f>
        <v/>
      </c>
      <c r="CC7" s="26">
        <f>IF(SUMPRODUCT(((Plan!$I$5:$I$75="B")+(Plan!$I$5:$I$75="A+B"))*(Plan!$K$5:$K$75&lt;CC$5)*(Plan!$L$5:$L$75&gt;=CC$5))=0,"",INDEX(Plan!$A$5:$A$75,SUMPRODUCT(((Plan!$I$5:$I$75="B")+(Plan!$I$5:$I$75="A+B"))*(Plan!$K$5:$K$75&lt;CC$5)*(Plan!$L$5:$L$75&gt;=CC$5)*(ROW(Plan!$A$5:$A$75)-4))))</f>
        <v/>
      </c>
      <c r="CD7" s="26">
        <f>IF(SUMPRODUCT(((Plan!$I$5:$I$75="B")+(Plan!$I$5:$I$75="A+B"))*(Plan!$K$5:$K$75&lt;CD$5)*(Plan!$L$5:$L$75&gt;=CD$5))=0,"",INDEX(Plan!$A$5:$A$75,SUMPRODUCT(((Plan!$I$5:$I$75="B")+(Plan!$I$5:$I$75="A+B"))*(Plan!$K$5:$K$75&lt;CD$5)*(Plan!$L$5:$L$75&gt;=CD$5)*(ROW(Plan!$A$5:$A$75)-4))))</f>
        <v/>
      </c>
      <c r="CE7" s="26">
        <f>IF(SUMPRODUCT(((Plan!$I$5:$I$75="B")+(Plan!$I$5:$I$75="A+B"))*(Plan!$K$5:$K$75&lt;CE$5)*(Plan!$L$5:$L$75&gt;=CE$5))=0,"",INDEX(Plan!$A$5:$A$75,SUMPRODUCT(((Plan!$I$5:$I$75="B")+(Plan!$I$5:$I$75="A+B"))*(Plan!$K$5:$K$75&lt;CE$5)*(Plan!$L$5:$L$75&gt;=CE$5)*(ROW(Plan!$A$5:$A$75)-4))))</f>
        <v/>
      </c>
      <c r="CF7" s="26">
        <f>IF(SUMPRODUCT(((Plan!$I$5:$I$75="B")+(Plan!$I$5:$I$75="A+B"))*(Plan!$K$5:$K$75&lt;CF$5)*(Plan!$L$5:$L$75&gt;=CF$5))=0,"",INDEX(Plan!$A$5:$A$75,SUMPRODUCT(((Plan!$I$5:$I$75="B")+(Plan!$I$5:$I$75="A+B"))*(Plan!$K$5:$K$75&lt;CF$5)*(Plan!$L$5:$L$75&gt;=CF$5)*(ROW(Plan!$A$5:$A$75)-4))))</f>
        <v/>
      </c>
      <c r="CG7" s="26">
        <f>IF(SUMPRODUCT(((Plan!$I$5:$I$75="B")+(Plan!$I$5:$I$75="A+B"))*(Plan!$K$5:$K$75&lt;CG$5)*(Plan!$L$5:$L$75&gt;=CG$5))=0,"",INDEX(Plan!$A$5:$A$75,SUMPRODUCT(((Plan!$I$5:$I$75="B")+(Plan!$I$5:$I$75="A+B"))*(Plan!$K$5:$K$75&lt;CG$5)*(Plan!$L$5:$L$75&gt;=CG$5)*(ROW(Plan!$A$5:$A$75)-4))))</f>
        <v/>
      </c>
      <c r="CH7" s="26">
        <f>IF(SUMPRODUCT(((Plan!$I$5:$I$75="B")+(Plan!$I$5:$I$75="A+B"))*(Plan!$K$5:$K$75&lt;CH$5)*(Plan!$L$5:$L$75&gt;=CH$5))=0,"",INDEX(Plan!$A$5:$A$75,SUMPRODUCT(((Plan!$I$5:$I$75="B")+(Plan!$I$5:$I$75="A+B"))*(Plan!$K$5:$K$75&lt;CH$5)*(Plan!$L$5:$L$75&gt;=CH$5)*(ROW(Plan!$A$5:$A$75)-4))))</f>
        <v/>
      </c>
      <c r="CI7" s="26">
        <f>IF(SUMPRODUCT(((Plan!$I$5:$I$75="B")+(Plan!$I$5:$I$75="A+B"))*(Plan!$K$5:$K$75&lt;CI$5)*(Plan!$L$5:$L$75&gt;=CI$5))=0,"",INDEX(Plan!$A$5:$A$75,SUMPRODUCT(((Plan!$I$5:$I$75="B")+(Plan!$I$5:$I$75="A+B"))*(Plan!$K$5:$K$75&lt;CI$5)*(Plan!$L$5:$L$75&gt;=CI$5)*(ROW(Plan!$A$5:$A$75)-4))))</f>
        <v/>
      </c>
      <c r="CJ7" s="26">
        <f>IF(SUMPRODUCT(((Plan!$I$5:$I$75="B")+(Plan!$I$5:$I$75="A+B"))*(Plan!$K$5:$K$75&lt;CJ$5)*(Plan!$L$5:$L$75&gt;=CJ$5))=0,"",INDEX(Plan!$A$5:$A$75,SUMPRODUCT(((Plan!$I$5:$I$75="B")+(Plan!$I$5:$I$75="A+B"))*(Plan!$K$5:$K$75&lt;CJ$5)*(Plan!$L$5:$L$75&gt;=CJ$5)*(ROW(Plan!$A$5:$A$75)-4))))</f>
        <v/>
      </c>
      <c r="CK7" s="26">
        <f>IF(SUMPRODUCT(((Plan!$I$5:$I$75="B")+(Plan!$I$5:$I$75="A+B"))*(Plan!$K$5:$K$75&lt;CK$5)*(Plan!$L$5:$L$75&gt;=CK$5))=0,"",INDEX(Plan!$A$5:$A$75,SUMPRODUCT(((Plan!$I$5:$I$75="B")+(Plan!$I$5:$I$75="A+B"))*(Plan!$K$5:$K$75&lt;CK$5)*(Plan!$L$5:$L$75&gt;=CK$5)*(ROW(Plan!$A$5:$A$75)-4))))</f>
        <v/>
      </c>
      <c r="CL7" s="26">
        <f>IF(SUMPRODUCT(((Plan!$I$5:$I$75="B")+(Plan!$I$5:$I$75="A+B"))*(Plan!$K$5:$K$75&lt;CL$5)*(Plan!$L$5:$L$75&gt;=CL$5))=0,"",INDEX(Plan!$A$5:$A$75,SUMPRODUCT(((Plan!$I$5:$I$75="B")+(Plan!$I$5:$I$75="A+B"))*(Plan!$K$5:$K$75&lt;CL$5)*(Plan!$L$5:$L$75&gt;=CL$5)*(ROW(Plan!$A$5:$A$75)-4))))</f>
        <v/>
      </c>
      <c r="CM7" s="26">
        <f>IF(SUMPRODUCT(((Plan!$I$5:$I$75="B")+(Plan!$I$5:$I$75="A+B"))*(Plan!$K$5:$K$75&lt;CM$5)*(Plan!$L$5:$L$75&gt;=CM$5))=0,"",INDEX(Plan!$A$5:$A$75,SUMPRODUCT(((Plan!$I$5:$I$75="B")+(Plan!$I$5:$I$75="A+B"))*(Plan!$K$5:$K$75&lt;CM$5)*(Plan!$L$5:$L$75&gt;=CM$5)*(ROW(Plan!$A$5:$A$75)-4))))</f>
        <v/>
      </c>
      <c r="CN7" s="26">
        <f>IF(SUMPRODUCT(((Plan!$I$5:$I$75="B")+(Plan!$I$5:$I$75="A+B"))*(Plan!$K$5:$K$75&lt;CN$5)*(Plan!$L$5:$L$75&gt;=CN$5))=0,"",INDEX(Plan!$A$5:$A$75,SUMPRODUCT(((Plan!$I$5:$I$75="B")+(Plan!$I$5:$I$75="A+B"))*(Plan!$K$5:$K$75&lt;CN$5)*(Plan!$L$5:$L$75&gt;=CN$5)*(ROW(Plan!$A$5:$A$75)-4))))</f>
        <v/>
      </c>
      <c r="CO7" s="26">
        <f>IF(SUMPRODUCT(((Plan!$I$5:$I$75="B")+(Plan!$I$5:$I$75="A+B"))*(Plan!$K$5:$K$75&lt;CO$5)*(Plan!$L$5:$L$75&gt;=CO$5))=0,"",INDEX(Plan!$A$5:$A$75,SUMPRODUCT(((Plan!$I$5:$I$75="B")+(Plan!$I$5:$I$75="A+B"))*(Plan!$K$5:$K$75&lt;CO$5)*(Plan!$L$5:$L$75&gt;=CO$5)*(ROW(Plan!$A$5:$A$75)-4))))</f>
        <v/>
      </c>
      <c r="CP7" s="26">
        <f>IF(SUMPRODUCT(((Plan!$I$5:$I$75="B")+(Plan!$I$5:$I$75="A+B"))*(Plan!$K$5:$K$75&lt;CP$5)*(Plan!$L$5:$L$75&gt;=CP$5))=0,"",INDEX(Plan!$A$5:$A$75,SUMPRODUCT(((Plan!$I$5:$I$75="B")+(Plan!$I$5:$I$75="A+B"))*(Plan!$K$5:$K$75&lt;CP$5)*(Plan!$L$5:$L$75&gt;=CP$5)*(ROW(Plan!$A$5:$A$75)-4))))</f>
        <v/>
      </c>
      <c r="CQ7" s="26">
        <f>IF(SUMPRODUCT(((Plan!$I$5:$I$75="B")+(Plan!$I$5:$I$75="A+B"))*(Plan!$K$5:$K$75&lt;CQ$5)*(Plan!$L$5:$L$75&gt;=CQ$5))=0,"",INDEX(Plan!$A$5:$A$75,SUMPRODUCT(((Plan!$I$5:$I$75="B")+(Plan!$I$5:$I$75="A+B"))*(Plan!$K$5:$K$75&lt;CQ$5)*(Plan!$L$5:$L$75&gt;=CQ$5)*(ROW(Plan!$A$5:$A$75)-4))))</f>
        <v/>
      </c>
      <c r="CR7" s="26">
        <f>IF(SUMPRODUCT(((Plan!$I$5:$I$75="B")+(Plan!$I$5:$I$75="A+B"))*(Plan!$K$5:$K$75&lt;CR$5)*(Plan!$L$5:$L$75&gt;=CR$5))=0,"",INDEX(Plan!$A$5:$A$75,SUMPRODUCT(((Plan!$I$5:$I$75="B")+(Plan!$I$5:$I$75="A+B"))*(Plan!$K$5:$K$75&lt;CR$5)*(Plan!$L$5:$L$75&gt;=CR$5)*(ROW(Plan!$A$5:$A$75)-4))))</f>
        <v/>
      </c>
      <c r="CS7" s="26">
        <f>IF(SUMPRODUCT(((Plan!$I$5:$I$75="B")+(Plan!$I$5:$I$75="A+B"))*(Plan!$K$5:$K$75&lt;CS$5)*(Plan!$L$5:$L$75&gt;=CS$5))=0,"",INDEX(Plan!$A$5:$A$75,SUMPRODUCT(((Plan!$I$5:$I$75="B")+(Plan!$I$5:$I$75="A+B"))*(Plan!$K$5:$K$75&lt;CS$5)*(Plan!$L$5:$L$75&gt;=CS$5)*(ROW(Plan!$A$5:$A$75)-4))))</f>
        <v/>
      </c>
    </row>
    <row r="8"/>
    <row r="9">
      <c r="A9" s="27" t="inlineStr">
        <is>
          <t>Fase 1. Diseño y arquitectura</t>
        </is>
      </c>
      <c r="B9" s="28" t="n"/>
      <c r="C9" s="28" t="n"/>
      <c r="D9" s="28" t="n"/>
      <c r="E9" s="29">
        <f>SUMPRODUCT(MIN((Plan!$B$5:$B$75="1. Diseño y arquitectura")*Plan!$K$5:$K$75+(Plan!$B$5:$B$75&lt;&gt;"1. Diseño y arquitectura")*1E9))</f>
        <v/>
      </c>
      <c r="F9" s="29">
        <f>SUMPRODUCT(MAX((Plan!$B$5:$B$75="1. Diseño y arquitectura")*Plan!$L$5:$L$75))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SUMPRODUCT(MIN((Plan!$B$5:$B$75="2. Landing y autenticación")*Plan!$K$5:$K$75+(Plan!$B$5:$B$75&lt;&gt;"2. Landing y autenticación")*1E9))</f>
        <v/>
      </c>
      <c r="F18" s="29">
        <f>SUMPRODUCT(MAX((Plan!$B$5:$B$75="2. Landing y autenticación")*Plan!$L$5:$L$75))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SUMPRODUCT(MIN((Plan!$B$5:$B$75="3. Flujo de solicitud de crédito")*Plan!$K$5:$K$75+(Plan!$B$5:$B$75&lt;&gt;"3. Flujo de solicitud de crédito")*1E9))</f>
        <v/>
      </c>
      <c r="F34" s="29">
        <f>SUMPRODUCT(MAX((Plan!$B$5:$B$75="3. Flujo de solicitud de crédito")*Plan!$L$5:$L$75))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SUMPRODUCT(MIN((Plan!$B$5:$B$75="4. Panel de administración")*Plan!$K$5:$K$75+(Plan!$B$5:$B$75&lt;&gt;"4. Panel de administración")*1E9))</f>
        <v/>
      </c>
      <c r="F44" s="29">
        <f>SUMPRODUCT(MAX((Plan!$B$5:$B$75="4. Panel de administración")*Plan!$L$5:$L$75))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SUMPRODUCT(MIN((Plan!$B$5:$B$75="5. Convenios y pulido")*Plan!$K$5:$K$75+(Plan!$B$5:$B$75&lt;&gt;"5. Convenios y pulido")*1E9))</f>
        <v/>
      </c>
      <c r="F56" s="29">
        <f>SUMPRODUCT(MAX((Plan!$B$5:$B$75="5. Convenios y pulido")*Plan!$L$5:$L$75))</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SUMPRODUCT(MIN((Plan!$B$5:$B$75="6. Pruebas y lanzamiento")*Plan!$K$5:$K$75+(Plan!$B$5:$B$75&lt;&gt;"6. Pruebas y lanzamiento")*1E9))</f>
        <v/>
      </c>
      <c r="F67" s="29">
        <f>SUMPRODUCT(MAX((Plan!$B$5:$B$75="6. Pruebas y lanzamiento")*Plan!$L$5:$L$75))</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2.3</t>
        </is>
      </c>
      <c r="C11" s="35">
        <f>Plan!C15</f>
        <v/>
      </c>
      <c r="D11" s="8" t="n">
        <v>20</v>
      </c>
      <c r="E11" s="16">
        <f>Plan!J15</f>
        <v/>
      </c>
      <c r="F11" s="16">
        <f>Plan!K15</f>
        <v/>
      </c>
      <c r="G11" s="8">
        <f>F11-E11</f>
        <v/>
      </c>
      <c r="H11" s="16">
        <f>Plan!I15</f>
        <v/>
      </c>
      <c r="I11" s="16">
        <f>Plan!O15</f>
        <v/>
      </c>
    </row>
    <row r="12">
      <c r="A12" s="8" t="n">
        <v>8</v>
      </c>
      <c r="B12" s="18" t="inlineStr">
        <is>
          <t>2.5</t>
        </is>
      </c>
      <c r="C12" s="35">
        <f>Plan!C17</f>
        <v/>
      </c>
      <c r="D12" s="8" t="n">
        <v>28</v>
      </c>
      <c r="E12" s="16">
        <f>Plan!J17</f>
        <v/>
      </c>
      <c r="F12" s="16">
        <f>Plan!K17</f>
        <v/>
      </c>
      <c r="G12" s="8">
        <f>F12-E12</f>
        <v/>
      </c>
      <c r="H12" s="16">
        <f>Plan!I17</f>
        <v/>
      </c>
      <c r="I12" s="16">
        <f>Plan!O17</f>
        <v/>
      </c>
    </row>
    <row r="13">
      <c r="A13" s="8" t="n">
        <v>9</v>
      </c>
      <c r="B13" s="18" t="inlineStr">
        <is>
          <t>3.1</t>
        </is>
      </c>
      <c r="C13" s="35">
        <f>Plan!C28</f>
        <v/>
      </c>
      <c r="D13" s="8" t="n">
        <v>24</v>
      </c>
      <c r="E13" s="16">
        <f>Plan!J28</f>
        <v/>
      </c>
      <c r="F13" s="16">
        <f>Plan!K28</f>
        <v/>
      </c>
      <c r="G13" s="8">
        <f>F13-E13</f>
        <v/>
      </c>
      <c r="H13" s="16">
        <f>Plan!I28</f>
        <v/>
      </c>
      <c r="I13" s="16">
        <f>Plan!O28</f>
        <v/>
      </c>
    </row>
    <row r="14">
      <c r="A14" s="8" t="n">
        <v>10</v>
      </c>
      <c r="B14" s="18" t="inlineStr">
        <is>
          <t>2.6</t>
        </is>
      </c>
      <c r="C14" s="35">
        <f>Plan!C18</f>
        <v/>
      </c>
      <c r="D14" s="8" t="n">
        <v>25</v>
      </c>
      <c r="E14" s="16">
        <f>Plan!J18</f>
        <v/>
      </c>
      <c r="F14" s="16">
        <f>Plan!K18</f>
        <v/>
      </c>
      <c r="G14" s="8">
        <f>F14-E14</f>
        <v/>
      </c>
      <c r="H14" s="16">
        <f>Plan!I18</f>
        <v/>
      </c>
      <c r="I14" s="16">
        <f>Plan!O18</f>
        <v/>
      </c>
    </row>
    <row r="15">
      <c r="A15" s="8" t="n">
        <v>11</v>
      </c>
      <c r="B15" s="18" t="inlineStr">
        <is>
          <t>3.4</t>
        </is>
      </c>
      <c r="C15" s="35">
        <f>Plan!C31</f>
        <v/>
      </c>
      <c r="D15" s="8" t="n">
        <v>19</v>
      </c>
      <c r="E15" s="16">
        <f>Plan!J31</f>
        <v/>
      </c>
      <c r="F15" s="16">
        <f>Plan!K31</f>
        <v/>
      </c>
      <c r="G15" s="8">
        <f>F15-E15</f>
        <v/>
      </c>
      <c r="H15" s="16">
        <f>Plan!I31</f>
        <v/>
      </c>
      <c r="I15" s="16">
        <f>Plan!O31</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2.9</t>
        </is>
      </c>
      <c r="C20" s="35">
        <f>Plan!C21</f>
        <v/>
      </c>
      <c r="D20" s="8" t="n">
        <v>18</v>
      </c>
      <c r="E20" s="16">
        <f>Plan!J21</f>
        <v/>
      </c>
      <c r="F20" s="16">
        <f>Plan!K21</f>
        <v/>
      </c>
      <c r="G20" s="8">
        <f>F20-E20</f>
        <v/>
      </c>
      <c r="H20" s="16">
        <f>Plan!I21</f>
        <v/>
      </c>
      <c r="I20" s="16">
        <f>Plan!O21</f>
        <v/>
      </c>
    </row>
    <row r="21">
      <c r="A21" s="8" t="n">
        <v>17</v>
      </c>
      <c r="B21" s="18" t="inlineStr">
        <is>
          <t>3.6</t>
        </is>
      </c>
      <c r="C21" s="35">
        <f>Plan!C33</f>
        <v/>
      </c>
      <c r="D21" s="8" t="n">
        <v>13</v>
      </c>
      <c r="E21" s="16">
        <f>Plan!J33</f>
        <v/>
      </c>
      <c r="F21" s="16">
        <f>Plan!K33</f>
        <v/>
      </c>
      <c r="G21" s="8">
        <f>F21-E21</f>
        <v/>
      </c>
      <c r="H21" s="16">
        <f>Plan!I33</f>
        <v/>
      </c>
      <c r="I21" s="16">
        <f>Plan!O33</f>
        <v/>
      </c>
    </row>
    <row r="22">
      <c r="A22" s="8" t="n">
        <v>18</v>
      </c>
      <c r="B22" s="18" t="inlineStr">
        <is>
          <t>6.4</t>
        </is>
      </c>
      <c r="C22" s="35">
        <f>Plan!C61</f>
        <v/>
      </c>
      <c r="D22" s="8" t="n">
        <v>6</v>
      </c>
      <c r="E22" s="16">
        <f>Plan!J61</f>
        <v/>
      </c>
      <c r="F22" s="16">
        <f>Plan!K61</f>
        <v/>
      </c>
      <c r="G22" s="8">
        <f>F22-E22</f>
        <v/>
      </c>
      <c r="H22" s="16">
        <f>Plan!I61</f>
        <v/>
      </c>
      <c r="I22" s="16">
        <f>Plan!O61</f>
        <v/>
      </c>
    </row>
    <row r="23">
      <c r="A23" s="8" t="n">
        <v>19</v>
      </c>
      <c r="B23" s="18" t="inlineStr">
        <is>
          <t>1.5</t>
        </is>
      </c>
      <c r="C23" s="35">
        <f>Plan!C9</f>
        <v/>
      </c>
      <c r="D23" s="8" t="n">
        <v>17</v>
      </c>
      <c r="E23" s="16">
        <f>Plan!J9</f>
        <v/>
      </c>
      <c r="F23" s="16">
        <f>Plan!K9</f>
        <v/>
      </c>
      <c r="G23" s="8">
        <f>F23-E23</f>
        <v/>
      </c>
      <c r="H23" s="16">
        <f>Plan!I9</f>
        <v/>
      </c>
      <c r="I23" s="16">
        <f>Plan!O9</f>
        <v/>
      </c>
    </row>
    <row r="24">
      <c r="A24" s="8" t="n">
        <v>20</v>
      </c>
      <c r="B24" s="18" t="inlineStr">
        <is>
          <t>4.5</t>
        </is>
      </c>
      <c r="C24" s="35">
        <f>Plan!C41</f>
        <v/>
      </c>
      <c r="D24" s="8" t="n">
        <v>14</v>
      </c>
      <c r="E24" s="16">
        <f>Plan!J41</f>
        <v/>
      </c>
      <c r="F24" s="16">
        <f>Plan!K41</f>
        <v/>
      </c>
      <c r="G24" s="8">
        <f>F24-E24</f>
        <v/>
      </c>
      <c r="H24" s="16">
        <f>Plan!I41</f>
        <v/>
      </c>
      <c r="I24" s="16">
        <f>Plan!O41</f>
        <v/>
      </c>
    </row>
    <row r="25">
      <c r="A25" s="8" t="n">
        <v>21</v>
      </c>
      <c r="B25" s="18" t="inlineStr">
        <is>
          <t>2.10</t>
        </is>
      </c>
      <c r="C25" s="35">
        <f>Plan!C22</f>
        <v/>
      </c>
      <c r="D25" s="8" t="n">
        <v>12</v>
      </c>
      <c r="E25" s="16">
        <f>Plan!J22</f>
        <v/>
      </c>
      <c r="F25" s="16">
        <f>Plan!K22</f>
        <v/>
      </c>
      <c r="G25" s="8">
        <f>F25-E25</f>
        <v/>
      </c>
      <c r="H25" s="16">
        <f>Plan!I22</f>
        <v/>
      </c>
      <c r="I25" s="16">
        <f>Plan!O22</f>
        <v/>
      </c>
    </row>
    <row r="26">
      <c r="A26" s="8" t="n">
        <v>22</v>
      </c>
      <c r="B26" s="18" t="inlineStr">
        <is>
          <t>4.2</t>
        </is>
      </c>
      <c r="C26" s="35">
        <f>Plan!C38</f>
        <v/>
      </c>
      <c r="D26" s="8" t="n">
        <v>16</v>
      </c>
      <c r="E26" s="16">
        <f>Plan!J38</f>
        <v/>
      </c>
      <c r="F26" s="16">
        <f>Plan!K38</f>
        <v/>
      </c>
      <c r="G26" s="8">
        <f>F26-E26</f>
        <v/>
      </c>
      <c r="H26" s="16">
        <f>Plan!I38</f>
        <v/>
      </c>
      <c r="I26" s="16">
        <f>Plan!O38</f>
        <v/>
      </c>
    </row>
    <row r="27">
      <c r="A27" s="8" t="n">
        <v>23</v>
      </c>
      <c r="B27" s="18" t="inlineStr">
        <is>
          <t>2.1</t>
        </is>
      </c>
      <c r="C27" s="35">
        <f>Plan!C13</f>
        <v/>
      </c>
      <c r="D27" s="8" t="n">
        <v>16</v>
      </c>
      <c r="E27" s="16">
        <f>Plan!J13</f>
        <v/>
      </c>
      <c r="F27" s="16">
        <f>Plan!K13</f>
        <v/>
      </c>
      <c r="G27" s="8">
        <f>F27-E27</f>
        <v/>
      </c>
      <c r="H27" s="16">
        <f>Plan!I13</f>
        <v/>
      </c>
      <c r="I27" s="16">
        <f>Plan!O13</f>
        <v/>
      </c>
    </row>
    <row r="28">
      <c r="A28" s="8" t="n">
        <v>24</v>
      </c>
      <c r="B28" s="18" t="inlineStr">
        <is>
          <t>6.11</t>
        </is>
      </c>
      <c r="C28" s="35">
        <f>Plan!C68</f>
        <v/>
      </c>
      <c r="D28" s="8" t="n">
        <v>7</v>
      </c>
      <c r="E28" s="16">
        <f>Plan!J68</f>
        <v/>
      </c>
      <c r="F28" s="16">
        <f>Plan!K68</f>
        <v/>
      </c>
      <c r="G28" s="8">
        <f>F28-E28</f>
        <v/>
      </c>
      <c r="H28" s="16">
        <f>Plan!I68</f>
        <v/>
      </c>
      <c r="I28" s="16">
        <f>Plan!O68</f>
        <v/>
      </c>
    </row>
    <row r="29">
      <c r="A29" s="8" t="n">
        <v>25</v>
      </c>
      <c r="B29" s="18" t="inlineStr">
        <is>
          <t>3.3</t>
        </is>
      </c>
      <c r="C29" s="35">
        <f>Plan!C30</f>
        <v/>
      </c>
      <c r="D29" s="8" t="n">
        <v>15</v>
      </c>
      <c r="E29" s="16">
        <f>Plan!J30</f>
        <v/>
      </c>
      <c r="F29" s="16">
        <f>Plan!K30</f>
        <v/>
      </c>
      <c r="G29" s="8">
        <f>F29-E29</f>
        <v/>
      </c>
      <c r="H29" s="16">
        <f>Plan!I30</f>
        <v/>
      </c>
      <c r="I29" s="16">
        <f>Plan!O30</f>
        <v/>
      </c>
    </row>
    <row r="30">
      <c r="A30" s="8" t="n">
        <v>26</v>
      </c>
      <c r="B30" s="18" t="inlineStr">
        <is>
          <t>5.2</t>
        </is>
      </c>
      <c r="C30" s="35">
        <f>Plan!C49</f>
        <v/>
      </c>
      <c r="D30" s="8" t="n">
        <v>13</v>
      </c>
      <c r="E30" s="16">
        <f>Plan!J49</f>
        <v/>
      </c>
      <c r="F30" s="16">
        <f>Plan!K49</f>
        <v/>
      </c>
      <c r="G30" s="8">
        <f>F30-E30</f>
        <v/>
      </c>
      <c r="H30" s="16">
        <f>Plan!I49</f>
        <v/>
      </c>
      <c r="I30" s="16">
        <f>Plan!O49</f>
        <v/>
      </c>
    </row>
    <row r="31">
      <c r="A31" s="8" t="n">
        <v>27</v>
      </c>
      <c r="B31" s="18" t="inlineStr">
        <is>
          <t>2.12</t>
        </is>
      </c>
      <c r="C31" s="35">
        <f>Plan!C24</f>
        <v/>
      </c>
      <c r="D31" s="8" t="n">
        <v>12</v>
      </c>
      <c r="E31" s="16">
        <f>Plan!J24</f>
        <v/>
      </c>
      <c r="F31" s="16">
        <f>Plan!K24</f>
        <v/>
      </c>
      <c r="G31" s="8">
        <f>F31-E31</f>
        <v/>
      </c>
      <c r="H31" s="16">
        <f>Plan!I24</f>
        <v/>
      </c>
      <c r="I31" s="16">
        <f>Plan!O24</f>
        <v/>
      </c>
    </row>
    <row r="32">
      <c r="A32" s="8" t="n">
        <v>28</v>
      </c>
      <c r="B32" s="18" t="inlineStr">
        <is>
          <t>3.7</t>
        </is>
      </c>
      <c r="C32" s="35">
        <f>Plan!C34</f>
        <v/>
      </c>
      <c r="D32" s="8" t="n">
        <v>12</v>
      </c>
      <c r="E32" s="16">
        <f>Plan!J34</f>
        <v/>
      </c>
      <c r="F32" s="16">
        <f>Plan!K34</f>
        <v/>
      </c>
      <c r="G32" s="8">
        <f>F32-E32</f>
        <v/>
      </c>
      <c r="H32" s="16">
        <f>Plan!I34</f>
        <v/>
      </c>
      <c r="I32" s="16">
        <f>Plan!O34</f>
        <v/>
      </c>
    </row>
    <row r="33">
      <c r="A33" s="8" t="n">
        <v>29</v>
      </c>
      <c r="B33" s="18" t="inlineStr">
        <is>
          <t>1.7</t>
        </is>
      </c>
      <c r="C33" s="35">
        <f>Plan!C11</f>
        <v/>
      </c>
      <c r="D33" s="8" t="n">
        <v>12</v>
      </c>
      <c r="E33" s="16">
        <f>Plan!J11</f>
        <v/>
      </c>
      <c r="F33" s="16">
        <f>Plan!K11</f>
        <v/>
      </c>
      <c r="G33" s="8">
        <f>F33-E33</f>
        <v/>
      </c>
      <c r="H33" s="16">
        <f>Plan!I11</f>
        <v/>
      </c>
      <c r="I33" s="16">
        <f>Plan!O11</f>
        <v/>
      </c>
    </row>
    <row r="34">
      <c r="A34" s="8" t="n">
        <v>30</v>
      </c>
      <c r="B34" s="18" t="inlineStr">
        <is>
          <t>5.5</t>
        </is>
      </c>
      <c r="C34" s="35">
        <f>Plan!C52</f>
        <v/>
      </c>
      <c r="D34" s="8" t="n">
        <v>9</v>
      </c>
      <c r="E34" s="16">
        <f>Plan!J52</f>
        <v/>
      </c>
      <c r="F34" s="16">
        <f>Plan!K52</f>
        <v/>
      </c>
      <c r="G34" s="8">
        <f>F34-E34</f>
        <v/>
      </c>
      <c r="H34" s="16">
        <f>Plan!I52</f>
        <v/>
      </c>
      <c r="I34" s="16">
        <f>Plan!O52</f>
        <v/>
      </c>
    </row>
    <row r="35">
      <c r="A35" s="8" t="n">
        <v>31</v>
      </c>
      <c r="B35" s="18" t="inlineStr">
        <is>
          <t>3.9</t>
        </is>
      </c>
      <c r="C35" s="35">
        <f>Plan!C35</f>
        <v/>
      </c>
      <c r="D35" s="8" t="n">
        <v>12</v>
      </c>
      <c r="E35" s="16">
        <f>Plan!J35</f>
        <v/>
      </c>
      <c r="F35" s="16">
        <f>Plan!K35</f>
        <v/>
      </c>
      <c r="G35" s="8">
        <f>F35-E35</f>
        <v/>
      </c>
      <c r="H35" s="16">
        <f>Plan!I35</f>
        <v/>
      </c>
      <c r="I35" s="16">
        <f>Plan!O35</f>
        <v/>
      </c>
    </row>
    <row r="36">
      <c r="A36" s="8" t="n">
        <v>32</v>
      </c>
      <c r="B36" s="18" t="inlineStr">
        <is>
          <t>2.14</t>
        </is>
      </c>
      <c r="C36" s="35">
        <f>Plan!C26</f>
        <v/>
      </c>
      <c r="D36" s="8" t="n">
        <v>10</v>
      </c>
      <c r="E36" s="16">
        <f>Plan!J26</f>
        <v/>
      </c>
      <c r="F36" s="16">
        <f>Plan!K26</f>
        <v/>
      </c>
      <c r="G36" s="8">
        <f>F36-E36</f>
        <v/>
      </c>
      <c r="H36" s="16">
        <f>Plan!I26</f>
        <v/>
      </c>
      <c r="I36" s="16">
        <f>Plan!O26</f>
        <v/>
      </c>
    </row>
    <row r="37">
      <c r="A37" s="8" t="n">
        <v>33</v>
      </c>
      <c r="B37" s="18" t="inlineStr">
        <is>
          <t>1.6</t>
        </is>
      </c>
      <c r="C37" s="35">
        <f>Plan!C10</f>
        <v/>
      </c>
      <c r="D37" s="8" t="n">
        <v>11</v>
      </c>
      <c r="E37" s="16">
        <f>Plan!J10</f>
        <v/>
      </c>
      <c r="F37" s="16">
        <f>Plan!K10</f>
        <v/>
      </c>
      <c r="G37" s="8">
        <f>F37-E37</f>
        <v/>
      </c>
      <c r="H37" s="16">
        <f>Plan!I10</f>
        <v/>
      </c>
      <c r="I37" s="16">
        <f>Plan!O10</f>
        <v/>
      </c>
    </row>
    <row r="38">
      <c r="A38" s="8" t="n">
        <v>34</v>
      </c>
      <c r="B38" s="18" t="inlineStr">
        <is>
          <t>4.6</t>
        </is>
      </c>
      <c r="C38" s="35">
        <f>Plan!C42</f>
        <v/>
      </c>
      <c r="D38" s="8" t="n">
        <v>11</v>
      </c>
      <c r="E38" s="16">
        <f>Plan!J42</f>
        <v/>
      </c>
      <c r="F38" s="16">
        <f>Plan!K42</f>
        <v/>
      </c>
      <c r="G38" s="8">
        <f>F38-E38</f>
        <v/>
      </c>
      <c r="H38" s="16">
        <f>Plan!I42</f>
        <v/>
      </c>
      <c r="I38" s="16">
        <f>Plan!O42</f>
        <v/>
      </c>
    </row>
    <row r="39">
      <c r="A39" s="8" t="n">
        <v>35</v>
      </c>
      <c r="B39" s="18" t="inlineStr">
        <is>
          <t>6.13</t>
        </is>
      </c>
      <c r="C39" s="35">
        <f>Plan!C70</f>
        <v/>
      </c>
      <c r="D39" s="8" t="n">
        <v>6</v>
      </c>
      <c r="E39" s="16">
        <f>Plan!J70</f>
        <v/>
      </c>
      <c r="F39" s="16">
        <f>Plan!K70</f>
        <v/>
      </c>
      <c r="G39" s="8">
        <f>F39-E39</f>
        <v/>
      </c>
      <c r="H39" s="16">
        <f>Plan!I70</f>
        <v/>
      </c>
      <c r="I39" s="16">
        <f>Plan!O70</f>
        <v/>
      </c>
    </row>
    <row r="40">
      <c r="A40" s="8" t="n">
        <v>36</v>
      </c>
      <c r="B40" s="18" t="inlineStr">
        <is>
          <t>6.8</t>
        </is>
      </c>
      <c r="C40" s="35">
        <f>Plan!C65</f>
        <v/>
      </c>
      <c r="D40" s="8" t="n">
        <v>6</v>
      </c>
      <c r="E40" s="16">
        <f>Plan!J65</f>
        <v/>
      </c>
      <c r="F40" s="16">
        <f>Plan!K65</f>
        <v/>
      </c>
      <c r="G40" s="8">
        <f>F40-E40</f>
        <v/>
      </c>
      <c r="H40" s="16">
        <f>Plan!I65</f>
        <v/>
      </c>
      <c r="I40" s="16">
        <f>Plan!O65</f>
        <v/>
      </c>
    </row>
    <row r="41">
      <c r="A41" s="8" t="n">
        <v>37</v>
      </c>
      <c r="B41" s="18" t="inlineStr">
        <is>
          <t>2.8</t>
        </is>
      </c>
      <c r="C41" s="35">
        <f>Plan!C20</f>
        <v/>
      </c>
      <c r="D41" s="8" t="n">
        <v>9</v>
      </c>
      <c r="E41" s="16">
        <f>Plan!J20</f>
        <v/>
      </c>
      <c r="F41" s="16">
        <f>Plan!K20</f>
        <v/>
      </c>
      <c r="G41" s="8">
        <f>F41-E41</f>
        <v/>
      </c>
      <c r="H41" s="16">
        <f>Plan!I20</f>
        <v/>
      </c>
      <c r="I41" s="16">
        <f>Plan!O20</f>
        <v/>
      </c>
    </row>
    <row r="42">
      <c r="A42" s="8" t="n">
        <v>38</v>
      </c>
      <c r="B42" s="18" t="inlineStr">
        <is>
          <t>6.9</t>
        </is>
      </c>
      <c r="C42" s="35">
        <f>Plan!C66</f>
        <v/>
      </c>
      <c r="D42" s="8" t="n">
        <v>6</v>
      </c>
      <c r="E42" s="16">
        <f>Plan!J66</f>
        <v/>
      </c>
      <c r="F42" s="16">
        <f>Plan!K66</f>
        <v/>
      </c>
      <c r="G42" s="8">
        <f>F42-E42</f>
        <v/>
      </c>
      <c r="H42" s="16">
        <f>Plan!I66</f>
        <v/>
      </c>
      <c r="I42" s="16">
        <f>Plan!O66</f>
        <v/>
      </c>
    </row>
    <row r="43">
      <c r="A43" s="8" t="n">
        <v>39</v>
      </c>
      <c r="B43" s="18" t="inlineStr">
        <is>
          <t>5.7</t>
        </is>
      </c>
      <c r="C43" s="35">
        <f>Plan!C54</f>
        <v/>
      </c>
      <c r="D43" s="8" t="n">
        <v>3</v>
      </c>
      <c r="E43" s="16">
        <f>Plan!J54</f>
        <v/>
      </c>
      <c r="F43" s="16">
        <f>Plan!K54</f>
        <v/>
      </c>
      <c r="G43" s="8">
        <f>F43-E43</f>
        <v/>
      </c>
      <c r="H43" s="16">
        <f>Plan!I54</f>
        <v/>
      </c>
      <c r="I43" s="16">
        <f>Plan!O54</f>
        <v/>
      </c>
    </row>
    <row r="44">
      <c r="A44" s="8" t="n">
        <v>40</v>
      </c>
      <c r="B44" s="18" t="inlineStr">
        <is>
          <t>4.9</t>
        </is>
      </c>
      <c r="C44" s="35">
        <f>Plan!C45</f>
        <v/>
      </c>
      <c r="D44" s="8" t="n">
        <v>2</v>
      </c>
      <c r="E44" s="16">
        <f>Plan!J45</f>
        <v/>
      </c>
      <c r="F44" s="16">
        <f>Plan!K45</f>
        <v/>
      </c>
      <c r="G44" s="8">
        <f>F44-E44</f>
        <v/>
      </c>
      <c r="H44" s="16">
        <f>Plan!I45</f>
        <v/>
      </c>
      <c r="I44" s="16">
        <f>Plan!O45</f>
        <v/>
      </c>
    </row>
    <row r="45">
      <c r="A45" s="8" t="n">
        <v>41</v>
      </c>
      <c r="B45" s="18" t="inlineStr">
        <is>
          <t>4.4</t>
        </is>
      </c>
      <c r="C45" s="35">
        <f>Plan!C40</f>
        <v/>
      </c>
      <c r="D45" s="8" t="n">
        <v>7</v>
      </c>
      <c r="E45" s="16">
        <f>Plan!J40</f>
        <v/>
      </c>
      <c r="F45" s="16">
        <f>Plan!K40</f>
        <v/>
      </c>
      <c r="G45" s="8">
        <f>F45-E45</f>
        <v/>
      </c>
      <c r="H45" s="16">
        <f>Plan!I40</f>
        <v/>
      </c>
      <c r="I45" s="16">
        <f>Plan!O40</f>
        <v/>
      </c>
    </row>
    <row r="46">
      <c r="A46" s="8" t="n">
        <v>42</v>
      </c>
      <c r="B46" s="18" t="inlineStr">
        <is>
          <t>5.1</t>
        </is>
      </c>
      <c r="C46" s="35">
        <f>Plan!C48</f>
        <v/>
      </c>
      <c r="D46" s="8" t="n">
        <v>5</v>
      </c>
      <c r="E46" s="16">
        <f>Plan!J48</f>
        <v/>
      </c>
      <c r="F46" s="16">
        <f>Plan!K48</f>
        <v/>
      </c>
      <c r="G46" s="8">
        <f>F46-E46</f>
        <v/>
      </c>
      <c r="H46" s="16">
        <f>Plan!I48</f>
        <v/>
      </c>
      <c r="I46" s="16">
        <f>Plan!O48</f>
        <v/>
      </c>
    </row>
    <row r="47">
      <c r="A47" s="8" t="n">
        <v>43</v>
      </c>
      <c r="B47" s="18" t="inlineStr">
        <is>
          <t>2.13</t>
        </is>
      </c>
      <c r="C47" s="35">
        <f>Plan!C25</f>
        <v/>
      </c>
      <c r="D47" s="8" t="n">
        <v>1</v>
      </c>
      <c r="E47" s="16">
        <f>Plan!J25</f>
        <v/>
      </c>
      <c r="F47" s="16">
        <f>Plan!K25</f>
        <v/>
      </c>
      <c r="G47" s="8">
        <f>F47-E47</f>
        <v/>
      </c>
      <c r="H47" s="16">
        <f>Plan!I25</f>
        <v/>
      </c>
      <c r="I47" s="16">
        <f>Plan!O25</f>
        <v/>
      </c>
    </row>
    <row r="48">
      <c r="A48" s="8" t="n">
        <v>44</v>
      </c>
      <c r="B48" s="18" t="inlineStr">
        <is>
          <t>3.2</t>
        </is>
      </c>
      <c r="C48" s="35">
        <f>Plan!C29</f>
        <v/>
      </c>
      <c r="D48" s="8" t="n">
        <v>3</v>
      </c>
      <c r="E48" s="16">
        <f>Plan!J29</f>
        <v/>
      </c>
      <c r="F48" s="16">
        <f>Plan!K29</f>
        <v/>
      </c>
      <c r="G48" s="8">
        <f>F48-E48</f>
        <v/>
      </c>
      <c r="H48" s="16">
        <f>Plan!I29</f>
        <v/>
      </c>
      <c r="I48" s="16">
        <f>Plan!O29</f>
        <v/>
      </c>
    </row>
    <row r="49">
      <c r="A49" s="8" t="n">
        <v>45</v>
      </c>
      <c r="B49" s="18" t="inlineStr">
        <is>
          <t>5.8</t>
        </is>
      </c>
      <c r="C49" s="35">
        <f>Plan!C55</f>
        <v/>
      </c>
      <c r="D49" s="8" t="n">
        <v>1</v>
      </c>
      <c r="E49" s="16">
        <f>Plan!J55</f>
        <v/>
      </c>
      <c r="F49" s="16">
        <f>Plan!K55</f>
        <v/>
      </c>
      <c r="G49" s="8">
        <f>F49-E49</f>
        <v/>
      </c>
      <c r="H49" s="16">
        <f>Plan!I55</f>
        <v/>
      </c>
      <c r="I49" s="16">
        <f>Plan!O55</f>
        <v/>
      </c>
    </row>
    <row r="50">
      <c r="A50" s="8" t="n">
        <v>46</v>
      </c>
      <c r="B50" s="18" t="inlineStr">
        <is>
          <t>4.3</t>
        </is>
      </c>
      <c r="C50" s="35">
        <f>Plan!C39</f>
        <v/>
      </c>
      <c r="D50" s="8" t="n">
        <v>13</v>
      </c>
      <c r="E50" s="16">
        <f>Plan!J39</f>
        <v/>
      </c>
      <c r="F50" s="16">
        <f>Plan!K39</f>
        <v/>
      </c>
      <c r="G50" s="8">
        <f>F50-E50</f>
        <v/>
      </c>
      <c r="H50" s="16">
        <f>Plan!I39</f>
        <v/>
      </c>
      <c r="I50" s="16">
        <f>Plan!O39</f>
        <v/>
      </c>
    </row>
    <row r="51">
      <c r="A51" s="8" t="n">
        <v>47</v>
      </c>
      <c r="B51" s="18" t="inlineStr">
        <is>
          <t>5.4</t>
        </is>
      </c>
      <c r="C51" s="35">
        <f>Plan!C51</f>
        <v/>
      </c>
      <c r="D51" s="8" t="n">
        <v>9</v>
      </c>
      <c r="E51" s="16">
        <f>Plan!J51</f>
        <v/>
      </c>
      <c r="F51" s="16">
        <f>Plan!K51</f>
        <v/>
      </c>
      <c r="G51" s="8">
        <f>F51-E51</f>
        <v/>
      </c>
      <c r="H51" s="16">
        <f>Plan!I51</f>
        <v/>
      </c>
      <c r="I51" s="16">
        <f>Plan!O51</f>
        <v/>
      </c>
    </row>
    <row r="52">
      <c r="A52" s="8" t="n">
        <v>48</v>
      </c>
      <c r="B52" s="18" t="inlineStr">
        <is>
          <t>2.11</t>
        </is>
      </c>
      <c r="C52" s="35">
        <f>Plan!C23</f>
        <v/>
      </c>
      <c r="D52" s="8" t="n">
        <v>9</v>
      </c>
      <c r="E52" s="16">
        <f>Plan!J23</f>
        <v/>
      </c>
      <c r="F52" s="16">
        <f>Plan!K23</f>
        <v/>
      </c>
      <c r="G52" s="8">
        <f>F52-E52</f>
        <v/>
      </c>
      <c r="H52" s="16">
        <f>Plan!I23</f>
        <v/>
      </c>
      <c r="I52" s="16">
        <f>Plan!O23</f>
        <v/>
      </c>
    </row>
    <row r="53">
      <c r="A53" s="8" t="n">
        <v>49</v>
      </c>
      <c r="B53" s="18" t="inlineStr">
        <is>
          <t>6.1</t>
        </is>
      </c>
      <c r="C53" s="35">
        <f>Plan!C58</f>
        <v/>
      </c>
      <c r="D53" s="8" t="n">
        <v>11</v>
      </c>
      <c r="E53" s="16">
        <f>Plan!J58</f>
        <v/>
      </c>
      <c r="F53" s="16">
        <f>Plan!K58</f>
        <v/>
      </c>
      <c r="G53" s="8">
        <f>F53-E53</f>
        <v/>
      </c>
      <c r="H53" s="16">
        <f>Plan!I58</f>
        <v/>
      </c>
      <c r="I53" s="16">
        <f>Plan!O58</f>
        <v/>
      </c>
    </row>
    <row r="54">
      <c r="A54" s="8" t="n">
        <v>50</v>
      </c>
      <c r="B54" s="18" t="inlineStr">
        <is>
          <t>2.15</t>
        </is>
      </c>
      <c r="C54" s="35">
        <f>Plan!C27</f>
        <v/>
      </c>
      <c r="D54" s="8" t="n">
        <v>9</v>
      </c>
      <c r="E54" s="16">
        <f>Plan!J27</f>
        <v/>
      </c>
      <c r="F54" s="16">
        <f>Plan!K27</f>
        <v/>
      </c>
      <c r="G54" s="8">
        <f>F54-E54</f>
        <v/>
      </c>
      <c r="H54" s="16">
        <f>Plan!I27</f>
        <v/>
      </c>
      <c r="I54" s="16">
        <f>Plan!O27</f>
        <v/>
      </c>
    </row>
    <row r="55">
      <c r="A55" s="8" t="n">
        <v>51</v>
      </c>
      <c r="B55" s="18" t="inlineStr">
        <is>
          <t>5.3</t>
        </is>
      </c>
      <c r="C55" s="35">
        <f>Plan!C50</f>
        <v/>
      </c>
      <c r="D55" s="8" t="n">
        <v>10</v>
      </c>
      <c r="E55" s="16">
        <f>Plan!J50</f>
        <v/>
      </c>
      <c r="F55" s="16">
        <f>Plan!K50</f>
        <v/>
      </c>
      <c r="G55" s="8">
        <f>F55-E55</f>
        <v/>
      </c>
      <c r="H55" s="16">
        <f>Plan!I50</f>
        <v/>
      </c>
      <c r="I55" s="16">
        <f>Plan!O50</f>
        <v/>
      </c>
    </row>
    <row r="56">
      <c r="A56" s="8" t="n">
        <v>52</v>
      </c>
      <c r="B56" s="18" t="inlineStr">
        <is>
          <t>5.6</t>
        </is>
      </c>
      <c r="C56" s="35">
        <f>Plan!C53</f>
        <v/>
      </c>
      <c r="D56" s="8" t="n">
        <v>9</v>
      </c>
      <c r="E56" s="16">
        <f>Plan!J53</f>
        <v/>
      </c>
      <c r="F56" s="16">
        <f>Plan!K53</f>
        <v/>
      </c>
      <c r="G56" s="8">
        <f>F56-E56</f>
        <v/>
      </c>
      <c r="H56" s="16">
        <f>Plan!I53</f>
        <v/>
      </c>
      <c r="I56" s="16">
        <f>Plan!O53</f>
        <v/>
      </c>
    </row>
    <row r="57">
      <c r="A57" s="8" t="n">
        <v>53</v>
      </c>
      <c r="B57" s="18" t="inlineStr">
        <is>
          <t>6.12</t>
        </is>
      </c>
      <c r="C57" s="35">
        <f>Plan!C69</f>
        <v/>
      </c>
      <c r="D57" s="8" t="n">
        <v>1</v>
      </c>
      <c r="E57" s="16">
        <f>Plan!J69</f>
        <v/>
      </c>
      <c r="F57" s="16">
        <f>Plan!K69</f>
        <v/>
      </c>
      <c r="G57" s="8">
        <f>F57-E57</f>
        <v/>
      </c>
      <c r="H57" s="16">
        <f>Plan!I69</f>
        <v/>
      </c>
      <c r="I57" s="16">
        <f>Plan!O69</f>
        <v/>
      </c>
    </row>
    <row r="58">
      <c r="A58" s="8" t="n">
        <v>54</v>
      </c>
      <c r="B58" s="18" t="inlineStr">
        <is>
          <t>6.3</t>
        </is>
      </c>
      <c r="C58" s="35">
        <f>Plan!C60</f>
        <v/>
      </c>
      <c r="D58" s="8" t="n">
        <v>8</v>
      </c>
      <c r="E58" s="16">
        <f>Plan!J60</f>
        <v/>
      </c>
      <c r="F58" s="16">
        <f>Plan!K60</f>
        <v/>
      </c>
      <c r="G58" s="8">
        <f>F58-E58</f>
        <v/>
      </c>
      <c r="H58" s="16">
        <f>Plan!I60</f>
        <v/>
      </c>
      <c r="I58" s="16">
        <f>Plan!O60</f>
        <v/>
      </c>
    </row>
    <row r="59">
      <c r="A59" s="8" t="n">
        <v>55</v>
      </c>
      <c r="B59" s="18" t="inlineStr">
        <is>
          <t>6.2</t>
        </is>
      </c>
      <c r="C59" s="35">
        <f>Plan!C59</f>
        <v/>
      </c>
      <c r="D59" s="8" t="n">
        <v>7</v>
      </c>
      <c r="E59" s="16">
        <f>Plan!J59</f>
        <v/>
      </c>
      <c r="F59" s="16">
        <f>Plan!K59</f>
        <v/>
      </c>
      <c r="G59" s="8">
        <f>F59-E59</f>
        <v/>
      </c>
      <c r="H59" s="16">
        <f>Plan!I59</f>
        <v/>
      </c>
      <c r="I59" s="16">
        <f>Plan!O59</f>
        <v/>
      </c>
    </row>
    <row r="60">
      <c r="A60" s="8" t="n">
        <v>56</v>
      </c>
      <c r="B60" s="18" t="inlineStr">
        <is>
          <t>3.10</t>
        </is>
      </c>
      <c r="C60" s="35">
        <f>Plan!C36</f>
        <v/>
      </c>
      <c r="D60" s="8" t="n">
        <v>7</v>
      </c>
      <c r="E60" s="16">
        <f>Plan!J36</f>
        <v/>
      </c>
      <c r="F60" s="16">
        <f>Plan!K36</f>
        <v/>
      </c>
      <c r="G60" s="8">
        <f>F60-E60</f>
        <v/>
      </c>
      <c r="H60" s="16">
        <f>Plan!I36</f>
        <v/>
      </c>
      <c r="I60" s="16">
        <f>Plan!O36</f>
        <v/>
      </c>
    </row>
    <row r="61">
      <c r="A61" s="8" t="n">
        <v>57</v>
      </c>
      <c r="B61" s="18" t="inlineStr">
        <is>
          <t>4.10</t>
        </is>
      </c>
      <c r="C61" s="35">
        <f>Plan!C46</f>
        <v/>
      </c>
      <c r="D61" s="8" t="n">
        <v>6</v>
      </c>
      <c r="E61" s="16">
        <f>Plan!J46</f>
        <v/>
      </c>
      <c r="F61" s="16">
        <f>Plan!K46</f>
        <v/>
      </c>
      <c r="G61" s="8">
        <f>F61-E61</f>
        <v/>
      </c>
      <c r="H61" s="16">
        <f>Plan!I46</f>
        <v/>
      </c>
      <c r="I61" s="16">
        <f>Plan!O46</f>
        <v/>
      </c>
    </row>
    <row r="62">
      <c r="A62" s="8" t="n">
        <v>58</v>
      </c>
      <c r="B62" s="18" t="inlineStr">
        <is>
          <t>4.11</t>
        </is>
      </c>
      <c r="C62" s="35">
        <f>Plan!C47</f>
        <v/>
      </c>
      <c r="D62" s="8" t="n">
        <v>7</v>
      </c>
      <c r="E62" s="16">
        <f>Plan!J47</f>
        <v/>
      </c>
      <c r="F62" s="16">
        <f>Plan!K47</f>
        <v/>
      </c>
      <c r="G62" s="8">
        <f>F62-E62</f>
        <v/>
      </c>
      <c r="H62" s="16">
        <f>Plan!I47</f>
        <v/>
      </c>
      <c r="I62" s="16">
        <f>Plan!O47</f>
        <v/>
      </c>
    </row>
    <row r="63">
      <c r="A63" s="8" t="n">
        <v>59</v>
      </c>
      <c r="B63" s="18" t="inlineStr">
        <is>
          <t>6.16</t>
        </is>
      </c>
      <c r="C63" s="35">
        <f>Plan!C73</f>
        <v/>
      </c>
      <c r="D63" s="8" t="n">
        <v>6</v>
      </c>
      <c r="E63" s="16">
        <f>Plan!J73</f>
        <v/>
      </c>
      <c r="F63" s="16">
        <f>Plan!K73</f>
        <v/>
      </c>
      <c r="G63" s="8">
        <f>F63-E63</f>
        <v/>
      </c>
      <c r="H63" s="16">
        <f>Plan!I73</f>
        <v/>
      </c>
      <c r="I63" s="16">
        <f>Plan!O73</f>
        <v/>
      </c>
    </row>
    <row r="64">
      <c r="A64" s="8" t="n">
        <v>60</v>
      </c>
      <c r="B64" s="18" t="inlineStr">
        <is>
          <t>6.15</t>
        </is>
      </c>
      <c r="C64" s="35">
        <f>Plan!C72</f>
        <v/>
      </c>
      <c r="D64" s="8" t="n">
        <v>1</v>
      </c>
      <c r="E64" s="16">
        <f>Plan!J72</f>
        <v/>
      </c>
      <c r="F64" s="16">
        <f>Plan!K72</f>
        <v/>
      </c>
      <c r="G64" s="8">
        <f>F64-E64</f>
        <v/>
      </c>
      <c r="H64" s="16">
        <f>Plan!I72</f>
        <v/>
      </c>
      <c r="I64" s="16">
        <f>Plan!O72</f>
        <v/>
      </c>
    </row>
    <row r="65">
      <c r="A65" s="8" t="n">
        <v>61</v>
      </c>
      <c r="B65" s="18" t="inlineStr">
        <is>
          <t>6.17</t>
        </is>
      </c>
      <c r="C65" s="35">
        <f>Plan!C74</f>
        <v/>
      </c>
      <c r="D65" s="8" t="n">
        <v>4</v>
      </c>
      <c r="E65" s="16">
        <f>Plan!J74</f>
        <v/>
      </c>
      <c r="F65" s="16">
        <f>Plan!K74</f>
        <v/>
      </c>
      <c r="G65" s="8">
        <f>F65-E65</f>
        <v/>
      </c>
      <c r="H65" s="16">
        <f>Plan!I74</f>
        <v/>
      </c>
      <c r="I65" s="16">
        <f>Plan!O74</f>
        <v/>
      </c>
    </row>
    <row r="66">
      <c r="A66" s="8" t="n">
        <v>62</v>
      </c>
      <c r="B66" s="18" t="inlineStr">
        <is>
          <t>5.10</t>
        </is>
      </c>
      <c r="C66" s="35">
        <f>Plan!C57</f>
        <v/>
      </c>
      <c r="D66" s="8" t="n">
        <v>2</v>
      </c>
      <c r="E66" s="16">
        <f>Plan!J57</f>
        <v/>
      </c>
      <c r="F66" s="16">
        <f>Plan!K57</f>
        <v/>
      </c>
      <c r="G66" s="8">
        <f>F66-E66</f>
        <v/>
      </c>
      <c r="H66" s="16">
        <f>Plan!I57</f>
        <v/>
      </c>
      <c r="I66" s="16">
        <f>Plan!O57</f>
        <v/>
      </c>
    </row>
    <row r="67">
      <c r="A67" s="8" t="n">
        <v>63</v>
      </c>
      <c r="B67" s="18" t="inlineStr">
        <is>
          <t>6.14</t>
        </is>
      </c>
      <c r="C67" s="35">
        <f>Plan!C71</f>
        <v/>
      </c>
      <c r="D67" s="8" t="n">
        <v>1</v>
      </c>
      <c r="E67" s="16">
        <f>Plan!J71</f>
        <v/>
      </c>
      <c r="F67" s="16">
        <f>Plan!K71</f>
        <v/>
      </c>
      <c r="G67" s="8">
        <f>F67-E67</f>
        <v/>
      </c>
      <c r="H67" s="16">
        <f>Plan!I71</f>
        <v/>
      </c>
      <c r="I67" s="16">
        <f>Plan!O71</f>
        <v/>
      </c>
    </row>
    <row r="68">
      <c r="A68" s="8" t="n">
        <v>64</v>
      </c>
      <c r="B68" s="18" t="inlineStr">
        <is>
          <t>6.5</t>
        </is>
      </c>
      <c r="C68" s="35">
        <f>Plan!C62</f>
        <v/>
      </c>
      <c r="D68" s="8" t="n">
        <v>5</v>
      </c>
      <c r="E68" s="16">
        <f>Plan!J62</f>
        <v/>
      </c>
      <c r="F68" s="16">
        <f>Plan!K62</f>
        <v/>
      </c>
      <c r="G68" s="8">
        <f>F68-E68</f>
        <v/>
      </c>
      <c r="H68" s="16">
        <f>Plan!I62</f>
        <v/>
      </c>
      <c r="I68" s="16">
        <f>Plan!O62</f>
        <v/>
      </c>
    </row>
    <row r="69">
      <c r="A69" s="8" t="n">
        <v>65</v>
      </c>
      <c r="B69" s="18" t="inlineStr">
        <is>
          <t>6.6</t>
        </is>
      </c>
      <c r="C69" s="35">
        <f>Plan!C63</f>
        <v/>
      </c>
      <c r="D69" s="8" t="n">
        <v>3</v>
      </c>
      <c r="E69" s="16">
        <f>Plan!J63</f>
        <v/>
      </c>
      <c r="F69" s="16">
        <f>Plan!K63</f>
        <v/>
      </c>
      <c r="G69" s="8">
        <f>F69-E69</f>
        <v/>
      </c>
      <c r="H69" s="16">
        <f>Plan!I63</f>
        <v/>
      </c>
      <c r="I69" s="16">
        <f>Plan!O63</f>
        <v/>
      </c>
    </row>
    <row r="70">
      <c r="A70" s="8" t="n">
        <v>66</v>
      </c>
      <c r="B70" s="18" t="inlineStr">
        <is>
          <t>6.7</t>
        </is>
      </c>
      <c r="C70" s="35">
        <f>Plan!C64</f>
        <v/>
      </c>
      <c r="D70" s="8" t="n">
        <v>1</v>
      </c>
      <c r="E70" s="16">
        <f>Plan!J64</f>
        <v/>
      </c>
      <c r="F70" s="16">
        <f>Plan!K64</f>
        <v/>
      </c>
      <c r="G70" s="8">
        <f>F70-E70</f>
        <v/>
      </c>
      <c r="H70" s="16">
        <f>Plan!I64</f>
        <v/>
      </c>
      <c r="I70" s="16">
        <f>Plan!O64</f>
        <v/>
      </c>
    </row>
    <row r="71">
      <c r="A71" s="8" t="n">
        <v>67</v>
      </c>
      <c r="B71" s="18" t="inlineStr">
        <is>
          <t>5.9</t>
        </is>
      </c>
      <c r="C71" s="35">
        <f>Plan!C56</f>
        <v/>
      </c>
      <c r="D71" s="8" t="n">
        <v>3</v>
      </c>
      <c r="E71" s="16">
        <f>Plan!J56</f>
        <v/>
      </c>
      <c r="F71" s="16">
        <f>Plan!K56</f>
        <v/>
      </c>
      <c r="G71" s="8">
        <f>F71-E71</f>
        <v/>
      </c>
      <c r="H71" s="16">
        <f>Plan!I56</f>
        <v/>
      </c>
      <c r="I71" s="16">
        <f>Plan!O56</f>
        <v/>
      </c>
    </row>
    <row r="72">
      <c r="A72" s="8" t="n">
        <v>68</v>
      </c>
      <c r="B72" s="18" t="inlineStr">
        <is>
          <t>1.8</t>
        </is>
      </c>
      <c r="C72" s="35">
        <f>Plan!C12</f>
        <v/>
      </c>
      <c r="D72" s="8" t="n">
        <v>3</v>
      </c>
      <c r="E72" s="16">
        <f>Plan!J12</f>
        <v/>
      </c>
      <c r="F72" s="16">
        <f>Plan!K12</f>
        <v/>
      </c>
      <c r="G72" s="8">
        <f>F72-E72</f>
        <v/>
      </c>
      <c r="H72" s="16">
        <f>Plan!I12</f>
        <v/>
      </c>
      <c r="I72" s="16">
        <f>Plan!O12</f>
        <v/>
      </c>
    </row>
    <row r="73">
      <c r="A73" s="8" t="n">
        <v>69</v>
      </c>
      <c r="B73" s="18" t="inlineStr">
        <is>
          <t>4.7</t>
        </is>
      </c>
      <c r="C73" s="35">
        <f>Plan!C43</f>
        <v/>
      </c>
      <c r="D73" s="8" t="n">
        <v>4</v>
      </c>
      <c r="E73" s="16">
        <f>Plan!J43</f>
        <v/>
      </c>
      <c r="F73" s="16">
        <f>Plan!K43</f>
        <v/>
      </c>
      <c r="G73" s="8">
        <f>F73-E73</f>
        <v/>
      </c>
      <c r="H73" s="16">
        <f>Plan!I43</f>
        <v/>
      </c>
      <c r="I73" s="16">
        <f>Plan!O43</f>
        <v/>
      </c>
    </row>
    <row r="74">
      <c r="A74" s="8" t="n">
        <v>70</v>
      </c>
      <c r="B74" s="18" t="inlineStr">
        <is>
          <t>6.18</t>
        </is>
      </c>
      <c r="C74" s="35">
        <f>Plan!C75</f>
        <v/>
      </c>
      <c r="D74" s="8" t="n">
        <v>1</v>
      </c>
      <c r="E74" s="16">
        <f>Plan!J75</f>
        <v/>
      </c>
      <c r="F74" s="16">
        <f>Plan!K75</f>
        <v/>
      </c>
      <c r="G74" s="8">
        <f>F74-E74</f>
        <v/>
      </c>
      <c r="H74" s="16">
        <f>Plan!I75</f>
        <v/>
      </c>
      <c r="I74" s="16">
        <f>Plan!O75</f>
        <v/>
      </c>
    </row>
    <row r="75">
      <c r="A75" s="8" t="n">
        <v>71</v>
      </c>
      <c r="B75" s="18" t="inlineStr">
        <is>
          <t>4.8</t>
        </is>
      </c>
      <c r="C75" s="35">
        <f>Plan!C44</f>
        <v/>
      </c>
      <c r="D75" s="8" t="n">
        <v>3</v>
      </c>
      <c r="E75" s="16">
        <f>Plan!J44</f>
        <v/>
      </c>
      <c r="F75" s="16">
        <f>Plan!K44</f>
        <v/>
      </c>
      <c r="G75" s="8">
        <f>F75-E75</f>
        <v/>
      </c>
      <c r="H75" s="16">
        <f>Plan!I44</f>
        <v/>
      </c>
      <c r="I75" s="16">
        <f>Plan!O44</f>
        <v/>
      </c>
    </row>
    <row r="77">
      <c r="B77" s="3" t="inlineStr">
        <is>
          <t>Estadísticas de la cola</t>
        </is>
      </c>
    </row>
    <row r="78">
      <c r="B78" s="23" t="inlineStr">
        <is>
          <t>Fila</t>
        </is>
      </c>
      <c r="C78" s="23" t="inlineStr">
        <is>
          <t>Actividades</t>
        </is>
      </c>
      <c r="D78" s="23" t="inlineStr">
        <is>
          <t>Bloques ocupados</t>
        </is>
      </c>
      <c r="E78" s="23" t="inlineStr">
        <is>
          <t>Uso</t>
        </is>
      </c>
      <c r="F78" s="23" t="inlineStr">
        <is>
          <t>Espera promedio</t>
        </is>
      </c>
    </row>
    <row r="79">
      <c r="B79" s="18" t="inlineStr">
        <is>
          <t>A</t>
        </is>
      </c>
      <c r="C79" s="15">
        <f>COUNTIF($H$5:$H$75,B79)</f>
        <v/>
      </c>
      <c r="D79" s="15">
        <f>SUMIF(Plan!$I$5:$I$75,B79,Plan!$E$5:$E$75)</f>
        <v/>
      </c>
      <c r="E79" s="36">
        <f>IF(Resumen!$C$17=0,0,D79/Resumen!$C$17)</f>
        <v/>
      </c>
      <c r="F79" s="37">
        <f>IFERROR(AVERAGEIF($H$5:$H$75,B79,$G$5:$G$75),0)</f>
        <v/>
      </c>
    </row>
    <row r="80">
      <c r="B80" s="18" t="inlineStr">
        <is>
          <t>B</t>
        </is>
      </c>
      <c r="C80" s="15">
        <f>COUNTIF($H$5:$H$75,B80)</f>
        <v/>
      </c>
      <c r="D80" s="15">
        <f>SUMIF(Plan!$I$5:$I$75,B80,Plan!$E$5:$E$75)</f>
        <v/>
      </c>
      <c r="E80" s="36">
        <f>IF(Resumen!$C$17=0,0,D80/Resumen!$C$17)</f>
        <v/>
      </c>
      <c r="F80" s="37">
        <f>IFERROR(AVERAGEIF($H$5:$H$75,B80,$G$5:$G$75),0)</f>
        <v/>
      </c>
    </row>
    <row r="81">
      <c r="B81" s="18" t="inlineStr">
        <is>
          <t>A+B</t>
        </is>
      </c>
      <c r="C81" s="15">
        <f>COUNTIF($H$5:$H$75,B81)</f>
        <v/>
      </c>
      <c r="D81" s="15">
        <f>SUMIF(Plan!$I$5:$I$75,B81,Plan!$E$5:$E$75)</f>
        <v/>
      </c>
      <c r="E81" s="36">
        <f>IF(Resumen!$C$17=0,0,D81/Resumen!$C$17)</f>
        <v/>
      </c>
      <c r="F81" s="37">
        <f>IFERROR(AVERAGEIF($H$5:$H$75,B81,$G$5:$G$75),0)</f>
        <v/>
      </c>
    </row>
    <row r="82">
      <c r="B82" s="19" t="inlineStr">
        <is>
          <t>Total</t>
        </is>
      </c>
      <c r="C82" s="9">
        <f>SUM(C79:C81)</f>
        <v/>
      </c>
      <c r="F82" s="11">
        <f>AVERAGE($G$5:$G$75)</f>
        <v/>
      </c>
    </row>
  </sheetData>
  <conditionalFormatting sqref="I5:I7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COUNTIF(Plan!$D$5:$D$75,A5)</f>
        <v/>
      </c>
    </row>
    <row r="6">
      <c r="A6" s="18" t="n">
        <v>2</v>
      </c>
      <c r="B6" s="4" t="inlineStr">
        <is>
          <t>Baja</t>
        </is>
      </c>
      <c r="C6" s="8" t="n">
        <v>2</v>
      </c>
      <c r="D6" s="4" t="inlineStr">
        <is>
          <t>1 jornada</t>
        </is>
      </c>
      <c r="E6" s="7" t="inlineStr">
        <is>
          <t>SMTP con Resend; proteger /cuenta en proxy.ts</t>
        </is>
      </c>
      <c r="F6" s="15">
        <f>COUNTIF(Plan!$D$5:$D$75,A6)</f>
        <v/>
      </c>
    </row>
    <row r="7">
      <c r="A7" s="18" t="n">
        <v>3</v>
      </c>
      <c r="B7" s="4" t="inlineStr">
        <is>
          <t>Media</t>
        </is>
      </c>
      <c r="C7" s="8" t="n">
        <v>3</v>
      </c>
      <c r="D7" s="4" t="inlineStr">
        <is>
          <t>1,5 jornadas</t>
        </is>
      </c>
      <c r="E7" s="7" t="inlineStr">
        <is>
          <t>Verificación del código OTP; /cuenta con datos reales</t>
        </is>
      </c>
      <c r="F7" s="15">
        <f>COUNTIF(Plan!$D$5:$D$75,A7)</f>
        <v/>
      </c>
    </row>
    <row r="8">
      <c r="A8" s="18" t="n">
        <v>4</v>
      </c>
      <c r="B8" s="4" t="inlineStr">
        <is>
          <t>Alta</t>
        </is>
      </c>
      <c r="C8" s="8" t="n">
        <v>4</v>
      </c>
      <c r="D8" s="4" t="inlineStr">
        <is>
          <t>2 jornadas</t>
        </is>
      </c>
      <c r="E8" s="7" t="inlineStr">
        <is>
          <t>Panel /admin; afiliación con Resend; importar asociados</t>
        </is>
      </c>
      <c r="F8" s="15">
        <f>COUNTIF(Plan!$D$5:$D$75,A8)</f>
        <v/>
      </c>
    </row>
    <row r="9">
      <c r="A9" s="18" t="n">
        <v>5</v>
      </c>
      <c r="B9" s="4" t="inlineStr">
        <is>
          <t>Muy alta</t>
        </is>
      </c>
      <c r="C9" s="8" t="n">
        <v>5</v>
      </c>
      <c r="D9" s="4" t="inlineStr">
        <is>
          <t>2,5 jornadas o más</t>
        </is>
      </c>
      <c r="E9" s="7" t="inlineStr">
        <is>
          <t>Reservado para trabajos que conviene partir en dos</t>
        </is>
      </c>
      <c r="F9" s="15">
        <f>COUNTIF(Plan!$D$5:$D$75,A9)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2026-09-25</t>
        </is>
      </c>
      <c r="B5" s="4" t="inlineStr">
        <is>
          <t>ga-diseno-a-codigo</t>
        </is>
      </c>
      <c r="C5" s="8" t="inlineStr">
        <is>
          <t>1.7, 2.14; nuevo 6.16</t>
        </is>
      </c>
      <c r="D5" s="7" t="inlineStr">
        <is>
          <t>Tokens y landing del rediseño C+ llevados a código</t>
        </is>
      </c>
      <c r="E5"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6">
      <c r="A6" s="8" t="inlineStr">
        <is>
          <t>2026-09-25</t>
        </is>
      </c>
      <c r="B6" s="4" t="inlineStr">
        <is>
          <t>ga-disenador-lienzo</t>
        </is>
      </c>
      <c r="C6" s="8" t="inlineStr">
        <is>
          <t>1.7, 2.15, 3.10, 4.10, 4.11</t>
        </is>
      </c>
      <c r="D6" s="7" t="inlineStr">
        <is>
          <t>Lienzo C+ ampliado: design system, Ingreso y Afiliación (piezas 3a/3b/3c)</t>
        </is>
      </c>
      <c r="E6"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7">
      <c r="A7" s="8" t="inlineStr">
        <is>
          <t>2026-09-25</t>
        </is>
      </c>
      <c r="B7" s="4" t="inlineStr">
        <is>
          <t>ga-auditor-supabase</t>
        </is>
      </c>
      <c r="C7" s="8" t="inlineStr">
        <is>
          <t>1.8; P-47, P-90, P-91, P-92</t>
        </is>
      </c>
      <c r="D7" s="7" t="inlineStr">
        <is>
          <t>Auditoría de backend para el rediseño C+: 5 migraciones propuestas sin aplicar</t>
        </is>
      </c>
      <c r="E7"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8">
      <c r="A8" s="8" t="inlineStr">
        <is>
          <t>2026-09-25</t>
        </is>
      </c>
      <c r="B8" s="7" t="inlineStr">
        <is>
          <t>sesión principal (despliegue PR #2)</t>
        </is>
      </c>
      <c r="C8" s="8" t="inlineStr">
        <is>
          <t>4.9; P-83, P-84, P-85, P-89</t>
        </is>
      </c>
      <c r="D8" s="7" t="inlineStr">
        <is>
          <t>Despliegue confirmado en producción: 4.9, P-83, P-84, P-85 y P-89 pasan a Hecho</t>
        </is>
      </c>
      <c r="E8"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
      <c r="A9" s="8" t="inlineStr">
        <is>
          <t>2026-09-25</t>
        </is>
      </c>
      <c r="B9" s="7" t="inlineStr">
        <is>
          <t>sesión principal (coordinador)</t>
        </is>
      </c>
      <c r="C9" s="8" t="inlineStr">
        <is>
          <t>4.9; P-83, P-84, P-85, P-89; 6.15</t>
        </is>
      </c>
      <c r="D9" s="7" t="inlineStr">
        <is>
          <t>Cuenta demo para admin, máscara de correo sin dominio y cierre de P-86/P-87</t>
        </is>
      </c>
      <c r="E9"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0">
      <c r="A10" s="8" t="inlineStr">
        <is>
          <t>2026-09-25</t>
        </is>
      </c>
      <c r="B10" s="4" t="inlineStr">
        <is>
          <t>sesión principal</t>
        </is>
      </c>
      <c r="C10" s="8" t="inlineStr">
        <is>
          <t>5.3; P-13</t>
        </is>
      </c>
      <c r="D10" s="7" t="inlineStr">
        <is>
          <t>Texto de vigilancia de Supersolidaria confirmado</t>
        </is>
      </c>
      <c r="E10"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1">
      <c r="A11" s="8" t="inlineStr">
        <is>
          <t>2026-09-25</t>
        </is>
      </c>
      <c r="B11" s="4" t="inlineStr">
        <is>
          <t>ga-verificador-qa</t>
        </is>
      </c>
      <c r="C11" s="8" t="inlineStr">
        <is>
          <t>6.3; nuevos P-84, P-86, P-87</t>
        </is>
      </c>
      <c r="D11" s="7" t="inlineStr">
        <is>
          <t>QA de producción: con observaciones</t>
        </is>
      </c>
      <c r="E11"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2">
      <c r="A12" s="8" t="inlineStr">
        <is>
          <t>2026-09-25</t>
        </is>
      </c>
      <c r="B12" s="4" t="inlineStr">
        <is>
          <t>sesión principal</t>
        </is>
      </c>
      <c r="C12" s="8" t="inlineStr">
        <is>
          <t>2.12; nuevo P-85</t>
        </is>
      </c>
      <c r="D12" s="7" t="inlineStr">
        <is>
          <t>El formulario de afiliación acepta correo de cualquier dominio</t>
        </is>
      </c>
      <c r="E12"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3">
      <c r="A13" s="8" t="inlineStr">
        <is>
          <t>2026-09-25</t>
        </is>
      </c>
      <c r="B13" s="4" t="inlineStr">
        <is>
          <t>ga-revisor-seguridad</t>
        </is>
      </c>
      <c r="C13" s="8" t="inlineStr">
        <is>
          <t>6.2; nuevos P-83, P-88</t>
        </is>
      </c>
      <c r="D13" s="7" t="inlineStr">
        <is>
          <t>Revisión de seguridad final de producción: aprobado con observaciones</t>
        </is>
      </c>
      <c r="E13"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4">
      <c r="A14" s="8" t="inlineStr">
        <is>
          <t>2026-09-25</t>
        </is>
      </c>
      <c r="B14" s="7" t="inlineStr">
        <is>
          <t>sesión principal (coordinador)</t>
        </is>
      </c>
      <c r="C14" s="8" t="inlineStr">
        <is>
          <t>6.5, 6.13; P-59, P-64; nuevo P-82</t>
        </is>
      </c>
      <c r="D14" s="7" t="inlineStr">
        <is>
          <t>PR develop → main fusionado; fase 2 desplegada en producción</t>
        </is>
      </c>
      <c r="E14"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5">
      <c r="A15" s="8" t="inlineStr">
        <is>
          <t>2026-09-25</t>
        </is>
      </c>
      <c r="B15" s="7" t="inlineStr">
        <is>
          <t>sesión principal (coordinador)</t>
        </is>
      </c>
      <c r="C15" s="8" t="inlineStr">
        <is>
          <t>6.9, 6.13; P-44, P-59, P-61</t>
        </is>
      </c>
      <c r="D15" s="7" t="inlineStr">
        <is>
          <t>Migraciones de fase 2 aplicadas en producción; plantillas de Resend y variables de Vercel puestas</t>
        </is>
      </c>
      <c r="E15"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6">
      <c r="A16" s="8" t="inlineStr">
        <is>
          <t>2026-09-24</t>
        </is>
      </c>
      <c r="B16" s="7" t="inlineStr">
        <is>
          <t>sesión principal (coordinador)</t>
        </is>
      </c>
      <c r="C16" s="8" t="inlineStr">
        <is>
          <t>5.4, P-14, P-61, P-62, P-72; nuevos P-75 a P-81</t>
        </is>
      </c>
      <c r="D16" s="7" t="inlineStr">
        <is>
          <t>Borrador de la política de datos y plantillas de Resend listas; Test QA borrado y dominio conectado</t>
        </is>
      </c>
      <c r="E16"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7">
      <c r="A17" s="8" t="inlineStr">
        <is>
          <t>2026-09-24</t>
        </is>
      </c>
      <c r="B17" s="7" t="inlineStr">
        <is>
          <t>Sebas (acuerdo con Carlos Pardo)</t>
        </is>
      </c>
      <c r="C17" s="8" t="inlineStr">
        <is>
          <t>4.1, 4.7, 4.8, 5.9, 5.10, 6.14, 6.15; P-65 a P-74</t>
        </is>
      </c>
      <c r="D17" s="7" t="inlineStr">
        <is>
          <t>Corrección de 4.1 y encargo externo a Carlos Pardo (500.000 COP) por PR a develop</t>
        </is>
      </c>
      <c r="E17"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8">
      <c r="A18" s="8" t="inlineStr">
        <is>
          <t>2026-09-24</t>
        </is>
      </c>
      <c r="B18" s="4" t="inlineStr">
        <is>
          <t>ga-escritor-tests</t>
        </is>
      </c>
      <c r="C18" s="8" t="inlineStr">
        <is>
          <t>6.1, P-58</t>
        </is>
      </c>
      <c r="D18" s="7" t="inlineStr">
        <is>
          <t>tests/e2e/d-afiliacion.spec.ts reescrito para la afiliación v2; bug real encontrado en esquemaAfiliacion</t>
        </is>
      </c>
      <c r="E18"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9">
      <c r="A19" s="8" t="inlineStr">
        <is>
          <t>2026-09-24</t>
        </is>
      </c>
      <c r="B19" s="7" t="inlineStr">
        <is>
          <t>Sebas (coordinación con la cooperativa)</t>
        </is>
      </c>
      <c r="C19" s="8" t="inlineStr">
        <is>
          <t>5.3; P-10, P-11, P-12, P-17, P-18, P-38, P-44</t>
        </is>
      </c>
      <c r="D19" s="7" t="inlineStr">
        <is>
          <t>Datos reales de contacto entregados; se cancela la importación de Excel; 3 admins reales en producción</t>
        </is>
      </c>
      <c r="E19"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20">
      <c r="A20" s="8" t="inlineStr">
        <is>
          <t>2026-09-24</t>
        </is>
      </c>
      <c r="B20" s="4" t="inlineStr">
        <is>
          <t>ga-funcionalidad-botones</t>
        </is>
      </c>
      <c r="C20" s="8" t="inlineStr">
        <is>
          <t>2.12, 4.1, 4.2, 4.5, 4.6, 6.2; P-36, P-37</t>
        </is>
      </c>
      <c r="D20" s="7" t="inlineStr">
        <is>
          <t>Afiliación v2, panel /admin y correcciones de la auditoría y la revisión de seguridad (F2-01/F2-04, S-01 a S-14)</t>
        </is>
      </c>
      <c r="E20"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21">
      <c r="A21" s="8" t="inlineStr">
        <is>
          <t>2026-09-24</t>
        </is>
      </c>
      <c r="B21" s="4" t="inlineStr">
        <is>
          <t>ga-revisor-seguridad</t>
        </is>
      </c>
      <c r="C21" s="8" t="inlineStr">
        <is>
          <t>6.2</t>
        </is>
      </c>
      <c r="D21" s="7" t="inlineStr">
        <is>
          <t>Revisión de seguridad de fase 2: 3 bloqueos para el despliegue</t>
        </is>
      </c>
      <c r="E21"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22">
      <c r="A22" s="8" t="inlineStr">
        <is>
          <t>2026-09-24</t>
        </is>
      </c>
      <c r="B22" s="4" t="inlineStr">
        <is>
          <t>ga-auditor-supabase</t>
        </is>
      </c>
      <c r="C22" s="8" t="inlineStr">
        <is>
          <t>1.6</t>
        </is>
      </c>
      <c r="D22" s="7" t="inlineStr">
        <is>
          <t>Auditoría de las 6 migraciones de fase 2: 1 hallazgo alto, 3 migraciones correctivas propuestas</t>
        </is>
      </c>
      <c r="E22"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23">
      <c r="A23" s="8" t="inlineStr">
        <is>
          <t>2026-09-24</t>
        </is>
      </c>
      <c r="B23" s="4" t="inlineStr">
        <is>
          <t>ga-funcionalidad-botones</t>
        </is>
      </c>
      <c r="C23" s="8" t="inlineStr">
        <is>
          <t>3.9</t>
        </is>
      </c>
      <c r="D23" s="7" t="inlineStr">
        <is>
          <t>Sorteo mensual en /cuenta</t>
        </is>
      </c>
      <c r="E23"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24">
      <c r="A24" s="8" t="inlineStr">
        <is>
          <t>2026-09-24</t>
        </is>
      </c>
      <c r="B24" s="4" t="inlineStr">
        <is>
          <t>ga-funcionalidad-botones</t>
        </is>
      </c>
      <c r="C24" s="8" t="inlineStr">
        <is>
          <t>4.6; P-57</t>
        </is>
      </c>
      <c r="D24" s="7" t="inlineStr">
        <is>
          <t>Rol asesor: /asesor (mis clientes) y /asesor/demo</t>
        </is>
      </c>
      <c r="E24"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25">
      <c r="A25" s="8" t="inlineStr">
        <is>
          <t>2026-09-24</t>
        </is>
      </c>
      <c r="B25" s="4" t="inlineStr">
        <is>
          <t>ga-auditor-supabase</t>
        </is>
      </c>
      <c r="C25" s="8" t="inlineStr">
        <is>
          <t>1.5; P-63</t>
        </is>
      </c>
      <c r="D25" s="7" t="inlineStr">
        <is>
          <t>Modelo de datos de fase 2: rol asesor, afiliación v2, bucket de fotos y sorteo mensual</t>
        </is>
      </c>
      <c r="E25"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26">
      <c r="A26" s="8" t="inlineStr">
        <is>
          <t>2026-09-23</t>
        </is>
      </c>
      <c r="B26" s="7" t="inlineStr">
        <is>
          <t>ga-funcionalidad-botones + ga-diseno-a-codigo</t>
        </is>
      </c>
      <c r="C26" s="8" t="inlineStr">
        <is>
          <t>6.3</t>
        </is>
      </c>
      <c r="D26" s="7" t="inlineStr">
        <is>
          <t>Corregidos F-01 a F-08 de verificación 3 y los 8 hallazgos responsive</t>
        </is>
      </c>
      <c r="E26"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27">
      <c r="A27" s="8" t="inlineStr">
        <is>
          <t>2026-09-23</t>
        </is>
      </c>
      <c r="B27" s="7" t="inlineStr">
        <is>
          <t>ga-verificador-responsive + ga-verificador-qa</t>
        </is>
      </c>
      <c r="C27" s="8" t="inlineStr">
        <is>
          <t>6.3; P-39</t>
        </is>
      </c>
      <c r="D27" s="7" t="inlineStr">
        <is>
          <t>Responsive 3 (8 hallazgos menores) y QA E2E 3 (236/241, NO APROBADO)</t>
        </is>
      </c>
      <c r="E27"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28">
      <c r="A28" s="8" t="inlineStr">
        <is>
          <t>2026-09-23</t>
        </is>
      </c>
      <c r="B28" s="4" t="inlineStr">
        <is>
          <t>ga-verificador-responsive</t>
        </is>
      </c>
      <c r="C28" s="8" t="inlineStr">
        <is>
          <t>6.3, 5.2, 5.8; P-39, P-53</t>
        </is>
      </c>
      <c r="D28" s="7" t="inlineStr">
        <is>
          <t>Verificación responsive 2: 0 fallas en 13 anchos; tests/responsive 10/10</t>
        </is>
      </c>
      <c r="E28"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29">
      <c r="A29" s="8" t="inlineStr">
        <is>
          <t>2026-09-23</t>
        </is>
      </c>
      <c r="B29" s="4" t="inlineStr">
        <is>
          <t>ga-funcionalidad-botones</t>
        </is>
      </c>
      <c r="C29" s="8" t="inlineStr">
        <is>
          <t>3.7, 5.5, 5.6, 6.9, 6.11; P-35, P-40, P-44, P-56</t>
        </is>
      </c>
      <c r="D29" s="7" t="inlineStr">
        <is>
          <t>HMAC en el límite de intentos, crédito en /cuenta/solicitar y borradas /login y /dashboard</t>
        </is>
      </c>
      <c r="E29"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30">
      <c r="A30" s="8" t="inlineStr">
        <is>
          <t>2026-09-23</t>
        </is>
      </c>
      <c r="B30" s="4" t="inlineStr">
        <is>
          <t>ga-diseno-a-codigo</t>
        </is>
      </c>
      <c r="C30" s="8" t="inlineStr">
        <is>
          <t>5.2, 5.8, 6.3</t>
        </is>
      </c>
      <c r="D30" s="7" t="inlineStr">
        <is>
          <t>Corregido el scroll horizontal y marca de agua más tenue</t>
        </is>
      </c>
      <c r="E30" s="7" t="inlineStr">
        <is>
          <t>Enlace del logo encoge (min-w-0 shrink) en los 5 headers; formulario de ingreso w-full con máximo 440 px y relleno de 32 px entre 1024 y 1279 px; marca de agua del hero en la esquina contraria y más tenue. 5.8 queda Hecho (peso 1, depende de 5.2 y 5.7).</t>
        </is>
      </c>
    </row>
    <row r="31">
      <c r="A31" s="8" t="inlineStr">
        <is>
          <t>2026-09-23</t>
        </is>
      </c>
      <c r="B31" s="4" t="inlineStr">
        <is>
          <t>ga-verificador-responsive</t>
        </is>
      </c>
      <c r="C31" s="8" t="inlineStr">
        <is>
          <t>6.3, 5.2, 2.1, 5.8; P-39</t>
        </is>
      </c>
      <c r="D31" s="7" t="inlineStr">
        <is>
          <t>Verificación responsive 1: logo y fotos bien; 2 fallas críticas de scroll previas</t>
        </is>
      </c>
      <c r="E31"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32">
      <c r="A32" s="8" t="inlineStr">
        <is>
          <t>2026-09-23</t>
        </is>
      </c>
      <c r="B32" s="4" t="inlineStr">
        <is>
          <t>ga-diseno-a-codigo</t>
        </is>
      </c>
      <c r="C32" s="8" t="inlineStr">
        <is>
          <t>2.1, 5.3, 5.7; P-16, P-52</t>
        </is>
      </c>
      <c r="D32" s="7" t="inlineStr">
        <is>
          <t>Logo con letras oficiales en SVG y espacios de foto de marca en la landing</t>
        </is>
      </c>
      <c r="E32"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33">
      <c r="A33" s="8" t="inlineStr">
        <is>
          <t>2026-09-23</t>
        </is>
      </c>
      <c r="B33" s="4" t="inlineStr">
        <is>
          <t>ga-auditor-supabase</t>
        </is>
      </c>
      <c r="C33" s="8" t="inlineStr">
        <is>
          <t>6.8, 6.11, 6.12; P-43, P-54, P-55</t>
        </is>
      </c>
      <c r="D33" s="7" t="inlineStr">
        <is>
          <t>Migración limite_de_intentos auditada: se puede aplicar tal cual</t>
        </is>
      </c>
      <c r="E33"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34">
      <c r="A34" s="8" t="inlineStr">
        <is>
          <t>2026-09-23</t>
        </is>
      </c>
      <c r="B34" s="7" t="inlineStr">
        <is>
          <t>Sebas + ga-auditor-supabase</t>
        </is>
      </c>
      <c r="C34" s="8" t="inlineStr">
        <is>
          <t>2.4, 6.8, 6.10; P-09, P-19, P-20, P-43, P-45</t>
        </is>
      </c>
      <c r="D34" s="7" t="inlineStr">
        <is>
          <t>SMTP de Resend configurado, plantilla del código lista en local y blindar confirmada en producción</t>
        </is>
      </c>
      <c r="E34"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35">
      <c r="A35" s="8" t="inlineStr">
        <is>
          <t>2026-09-23</t>
        </is>
      </c>
      <c r="B35" s="4" t="inlineStr">
        <is>
          <t>Sebas</t>
        </is>
      </c>
      <c r="C35" s="8" t="inlineStr">
        <is>
          <t>—</t>
        </is>
      </c>
      <c r="D35" s="7" t="inlineStr">
        <is>
          <t>Agente ga-auditor-supabase corregido</t>
        </is>
      </c>
      <c r="E35" s="7" t="inlineStr">
        <is>
          <t>Sus disallowedTools ahora usan los nombres reales del MCP (mcp__claude_ai_Supabase__*). Sin efecto en el plan.</t>
        </is>
      </c>
    </row>
    <row r="36">
      <c r="A36" s="8" t="inlineStr">
        <is>
          <t>2026-09-23</t>
        </is>
      </c>
      <c r="B36" s="7" t="inlineStr">
        <is>
          <t>Sebas + ga-auditor-supabase</t>
        </is>
      </c>
      <c r="C36" s="8" t="inlineStr">
        <is>
          <t>3.1, 6.5, 6.10; P-09</t>
        </is>
      </c>
      <c r="D36" s="7" t="inlineStr">
        <is>
          <t>Producción atrasada: falta la migración blindar_solicitudes_y_revisiones</t>
        </is>
      </c>
      <c r="E36"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37">
      <c r="A37" s="8" t="inlineStr">
        <is>
          <t>2026-09-23</t>
        </is>
      </c>
      <c r="B37" s="4" t="inlineStr">
        <is>
          <t>ga-escritor-tests</t>
        </is>
      </c>
      <c r="C37" s="8" t="inlineStr">
        <is>
          <t>6.1</t>
        </is>
      </c>
      <c r="D37" s="7" t="inlineStr">
        <is>
          <t>132/132 unitarias, 131/131 pgTAP y tsc sin errores</t>
        </is>
      </c>
      <c r="E37"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38">
      <c r="A38" s="8" t="inlineStr">
        <is>
          <t>2026-09-23</t>
        </is>
      </c>
      <c r="B38" s="7" t="inlineStr">
        <is>
          <t>Sebas + ga-funcionalidad-botones</t>
        </is>
      </c>
      <c r="C38" s="8" t="inlineStr">
        <is>
          <t>2.9, 3.8, 4.5, 6.1, 6.2, 6.9; P-19, P-20, P-28, P-36, P-37, P-44, P-45, P-50, P-51</t>
        </is>
      </c>
      <c r="D38" s="7" t="inlineStr">
        <is>
          <t>Se quitan del código los correos de aviso de afiliación y de solicitud de crédito; docs/resend-plantillas.md reescrito</t>
        </is>
      </c>
      <c r="E38"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39">
      <c r="A39" s="8" t="inlineStr">
        <is>
          <t>2026-09-23</t>
        </is>
      </c>
      <c r="B39" s="4" t="inlineStr">
        <is>
          <t>ga-verificador-qa</t>
        </is>
      </c>
      <c r="C39" s="8" t="inlineStr">
        <is>
          <t>6.3, 2.11; P-39, P-48, P-49, P-50</t>
        </is>
      </c>
      <c r="D39" s="7" t="inlineStr">
        <is>
          <t>QA 1 de punta a punta: 186 pruebas pasan, 2 fallan</t>
        </is>
      </c>
      <c r="E39"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40">
      <c r="A40" s="8" t="inlineStr">
        <is>
          <t>2026-09-23</t>
        </is>
      </c>
      <c r="B40" s="4" t="inlineStr">
        <is>
          <t>ga-funcionalidad-botones</t>
        </is>
      </c>
      <c r="C40" s="8" t="inlineStr">
        <is>
          <t>2.4, 2.5, 2.6, 2.7, 2.8, 2.9, 2.10, 3.5, 3.6, 3.7, 3.8, 5.4, 6.1, 6.5, 6.8, 6.9; P-15, P-20, P-22 a P-35, P-43 a P-47</t>
        </is>
      </c>
      <c r="D40" s="7" t="inlineStr">
        <is>
          <t>Botones de /, /ingresar, /ingresar/codigo, /afiliacion, /afiliacion/enviada y /cuenta funcionando en local</t>
        </is>
      </c>
      <c r="E40"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41">
      <c r="A41" s="8" t="inlineStr">
        <is>
          <t>2026-09-23</t>
        </is>
      </c>
      <c r="B41" s="4" t="inlineStr">
        <is>
          <t>Claude (sesión principal)</t>
        </is>
      </c>
      <c r="C41" s="8" t="inlineStr">
        <is>
          <t>Todas</t>
        </is>
      </c>
      <c r="D41" s="7" t="inlineStr">
        <is>
          <t>Creación del Excel de avances</t>
        </is>
      </c>
      <c r="E41"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2026-09-25T22:49:27Z</dcterms:created>
  <dcterms:modified xmlns:dcterms="http://purl.org/dc/terms/" xmlns:xsi="http://www.w3.org/2001/XMLSchema-instance" xsi:type="dcterms:W3CDTF">2026-09-25T22:49:28Z</dcterms:modified>
</cp:coreProperties>
</file>