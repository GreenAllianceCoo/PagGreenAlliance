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Pendientes" sheetId="2" state="visible" r:id="rId2"/>
    <sheet name="Plan" sheetId="3" state="visible" r:id="rId3"/>
    <sheet name="Gantt" sheetId="4" state="visible" r:id="rId4"/>
    <sheet name="Cola" sheetId="5" state="visible" r:id="rId5"/>
    <sheet name="Propuesta original" sheetId="6" state="visible" r:id="rId6"/>
    <sheet name="Pesos" sheetId="7" state="visible" r:id="rId7"/>
    <sheet name="Bitácora" sheetId="8" state="visible" r:id="rId8"/>
  </sheets>
  <definedNames>
    <definedName name="_xlnm._FilterDatabase" localSheetId="1" hidden="1">'Pendientes'!$A$4:$J$149</definedName>
    <definedName name="_xlnm._FilterDatabase" localSheetId="2" hidden="1">'Plan'!$A$4:$R$129</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
    <numFmt numFmtId="167" formatCode="&quot;S&quot;0"/>
  </numFmts>
  <fonts count="13">
    <font>
      <name val="Calibri"/>
      <family val="2"/>
      <color theme="1"/>
      <sz val="11"/>
      <scheme val="minor"/>
    </font>
    <font>
      <name val="Arial"/>
      <b val="1"/>
      <color rgb="001A3C57"/>
      <sz val="16"/>
    </font>
    <font>
      <name val="Arial"/>
      <i val="1"/>
      <color rgb="00555555"/>
      <sz val="10"/>
    </font>
    <font>
      <name val="Arial"/>
      <b val="1"/>
      <color rgb="00FFFFFF"/>
      <sz val="10"/>
    </font>
    <font>
      <name val="Arial"/>
      <b val="1"/>
      <sz val="10"/>
    </font>
    <font>
      <name val="Arial"/>
      <sz val="10"/>
    </font>
    <font>
      <name val="Arial"/>
      <color rgb="000000FF"/>
      <sz val="10"/>
    </font>
    <font>
      <name val="Arial"/>
      <color rgb="00008000"/>
      <sz val="10"/>
    </font>
    <font>
      <name val="Arial"/>
      <color rgb="00FFFFFF"/>
      <sz val="7"/>
    </font>
    <font>
      <name val="Arial"/>
      <color rgb="00FFFFFF"/>
      <sz val="6"/>
    </font>
    <font>
      <name val="Arial"/>
      <b val="1"/>
      <color rgb="001A3C57"/>
      <sz val="10"/>
    </font>
    <font>
      <name val="Arial"/>
      <b val="1"/>
      <color rgb="00008000"/>
      <sz val="10"/>
    </font>
    <font>
      <name val="Arial"/>
      <b val="1"/>
      <color rgb="00FFFFFF"/>
      <sz val="8"/>
    </font>
  </fonts>
  <fills count="6">
    <fill>
      <patternFill/>
    </fill>
    <fill>
      <patternFill patternType="gray125"/>
    </fill>
    <fill>
      <patternFill patternType="solid">
        <fgColor rgb="001A3C57"/>
      </patternFill>
    </fill>
    <fill>
      <patternFill patternType="solid">
        <fgColor rgb="00FFF6CC"/>
      </patternFill>
    </fill>
    <fill>
      <patternFill patternType="solid">
        <fgColor rgb="001E6652"/>
      </patternFill>
    </fill>
    <fill>
      <patternFill patternType="solid">
        <fgColor rgb="00E3EFEA"/>
      </patternFill>
    </fill>
  </fills>
  <borders count="5">
    <border>
      <left/>
      <right/>
      <top/>
      <bottom/>
      <diagonal/>
    </border>
    <border>
      <left style="thin">
        <color rgb="00D0D7D3"/>
      </left>
      <right style="thin">
        <color rgb="00D0D7D3"/>
      </right>
      <top style="thin">
        <color rgb="00D0D7D3"/>
      </top>
      <bottom style="thin">
        <color rgb="00D0D7D3"/>
      </bottom>
    </border>
    <border/>
    <border>
      <bottom style="thin">
        <color rgb="00D0D7D3"/>
      </bottom>
    </border>
    <border>
      <left style="hair">
        <color rgb="00E6E6E6"/>
      </left>
      <bottom style="hair">
        <color rgb="00E6E6E6"/>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5" fillId="0" borderId="1" applyAlignment="1" pivotButton="0" quotePrefix="0" xfId="0">
      <alignment vertical="top"/>
    </xf>
    <xf numFmtId="0" fontId="6" fillId="3" borderId="1" applyAlignment="1" pivotButton="0" quotePrefix="0" xfId="0">
      <alignment horizontal="center" vertical="center"/>
    </xf>
    <xf numFmtId="0" fontId="2" fillId="0" borderId="1" applyAlignment="1" pivotButton="0" quotePrefix="0" xfId="0">
      <alignment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1" fontId="4" fillId="0" borderId="1" applyAlignment="1" pivotButton="0" quotePrefix="0" xfId="0">
      <alignment horizontal="center" vertical="center"/>
    </xf>
    <xf numFmtId="164" fontId="4" fillId="0" borderId="1" applyAlignment="1" pivotButton="0" quotePrefix="0" xfId="0">
      <alignment horizontal="center" vertical="center"/>
    </xf>
    <xf numFmtId="165" fontId="4" fillId="0" borderId="1" applyAlignment="1" pivotButton="0" quotePrefix="0" xfId="0">
      <alignment horizontal="center" vertical="center"/>
    </xf>
    <xf numFmtId="9" fontId="4" fillId="0" borderId="1" applyAlignment="1" pivotButton="0" quotePrefix="0" xfId="0">
      <alignment horizontal="center" vertical="center"/>
    </xf>
    <xf numFmtId="0" fontId="3" fillId="0" borderId="2" applyAlignment="1" pivotButton="0" quotePrefix="0" xfId="0">
      <alignment horizontal="center" vertical="center" wrapText="1"/>
    </xf>
    <xf numFmtId="0" fontId="3" fillId="2" borderId="1" applyAlignment="1" pivotButton="0" quotePrefix="0" xfId="0">
      <alignment horizontal="center" vertical="center" wrapText="1"/>
    </xf>
    <xf numFmtId="1" fontId="5" fillId="0" borderId="1" applyAlignment="1" pivotButton="0" quotePrefix="0" xfId="0">
      <alignment horizontal="center" vertical="center"/>
    </xf>
    <xf numFmtId="0" fontId="7" fillId="0" borderId="1" applyAlignment="1" pivotButton="0" quotePrefix="0" xfId="0">
      <alignment horizontal="center" vertical="center"/>
    </xf>
    <xf numFmtId="166" fontId="6"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top"/>
    </xf>
    <xf numFmtId="166" fontId="4" fillId="0" borderId="1" applyAlignment="1" pivotButton="0" quotePrefix="0" xfId="0">
      <alignment horizontal="center" vertical="center"/>
    </xf>
    <xf numFmtId="0" fontId="7" fillId="0" borderId="1" applyAlignment="1" pivotButton="0" quotePrefix="0" xfId="0">
      <alignment vertical="top" wrapText="1"/>
    </xf>
    <xf numFmtId="0" fontId="3" fillId="2" borderId="0" applyAlignment="1" pivotButton="0" quotePrefix="0" xfId="0">
      <alignment horizontal="center" vertical="center"/>
    </xf>
    <xf numFmtId="0" fontId="3" fillId="2" borderId="1" applyAlignment="1" pivotButton="0" quotePrefix="0" xfId="0">
      <alignment horizontal="center" vertical="center"/>
    </xf>
    <xf numFmtId="0" fontId="8" fillId="4" borderId="0" applyAlignment="1" pivotButton="0" quotePrefix="0" xfId="0">
      <alignment horizontal="center" vertical="center"/>
    </xf>
    <xf numFmtId="0" fontId="3" fillId="4" borderId="0" applyAlignment="1" pivotButton="0" quotePrefix="0" xfId="0">
      <alignment horizontal="center" vertical="center"/>
    </xf>
    <xf numFmtId="0" fontId="9" fillId="0" borderId="1" applyAlignment="1" pivotButton="0" quotePrefix="0" xfId="0">
      <alignment horizontal="center" vertical="center" textRotation="90"/>
    </xf>
    <xf numFmtId="0" fontId="10" fillId="5" borderId="0" pivotButton="0" quotePrefix="0" xfId="0"/>
    <xf numFmtId="0" fontId="0" fillId="5" borderId="0" pivotButton="0" quotePrefix="0" xfId="0"/>
    <xf numFmtId="0" fontId="4" fillId="5" borderId="0" pivotButton="0" quotePrefix="0" xfId="0"/>
    <xf numFmtId="9" fontId="7" fillId="5" borderId="0" pivotButton="0" quotePrefix="0" xfId="0"/>
    <xf numFmtId="0" fontId="0" fillId="0" borderId="3" pivotButton="0" quotePrefix="0" xfId="0"/>
    <xf numFmtId="0" fontId="11" fillId="0" borderId="1" applyAlignment="1" pivotButton="0" quotePrefix="0" xfId="0">
      <alignment horizontal="center" vertical="center"/>
    </xf>
    <xf numFmtId="0" fontId="7" fillId="0" borderId="1" applyAlignment="1" pivotButton="0" quotePrefix="0" xfId="0">
      <alignment horizontal="left" vertical="center"/>
    </xf>
    <xf numFmtId="0" fontId="12" fillId="0" borderId="4" applyAlignment="1" pivotButton="0" quotePrefix="0" xfId="0">
      <alignment horizontal="center" vertical="center"/>
    </xf>
    <xf numFmtId="0" fontId="7" fillId="0" borderId="1" applyAlignment="1" pivotButton="0" quotePrefix="0" xfId="0">
      <alignment vertical="top"/>
    </xf>
    <xf numFmtId="9" fontId="5" fillId="0" borderId="1" applyAlignment="1" pivotButton="0" quotePrefix="0" xfId="0">
      <alignment horizontal="center" vertical="center"/>
    </xf>
    <xf numFmtId="165" fontId="5" fillId="0" borderId="1" applyAlignment="1" pivotButton="0" quotePrefix="0" xfId="0">
      <alignment horizontal="center" vertical="center"/>
    </xf>
    <xf numFmtId="167" fontId="3" fillId="2" borderId="1" applyAlignment="1" pivotButton="0" quotePrefix="0" xfId="0">
      <alignment horizontal="center" vertical="center" wrapText="1"/>
    </xf>
    <xf numFmtId="0" fontId="6" fillId="0" borderId="1" applyAlignment="1" pivotButton="0" quotePrefix="0" xfId="0">
      <alignment horizontal="center" vertical="center"/>
    </xf>
    <xf numFmtId="0" fontId="5" fillId="0" borderId="0" pivotButton="0" quotePrefix="0" xfId="0"/>
  </cellXfs>
  <cellStyles count="1">
    <cellStyle name="Normal" xfId="0" builtinId="0" hidden="0"/>
  </cellStyles>
  <dxfs count="18">
    <dxf>
      <fill>
        <patternFill patternType="solid">
          <bgColor rgb="00D7EBDD"/>
        </patternFill>
      </fill>
    </dxf>
    <dxf>
      <font>
        <b val="1"/>
        <color rgb="001E6652"/>
      </font>
      <fill>
        <patternFill patternType="solid">
          <bgColor rgb="00D7EBDD"/>
        </patternFill>
      </fill>
    </dxf>
    <dxf>
      <font>
        <b val="1"/>
        <color rgb="001A3C57"/>
      </font>
      <fill>
        <patternFill patternType="solid">
          <bgColor rgb="00DCE8F5"/>
        </patternFill>
      </fill>
    </dxf>
    <dxf>
      <font>
        <b val="1"/>
        <color rgb="00444444"/>
      </font>
      <fill>
        <patternFill patternType="solid">
          <bgColor rgb="00F2F2F2"/>
        </patternFill>
      </fill>
    </dxf>
    <dxf>
      <font>
        <b val="1"/>
        <color rgb="008A5300"/>
      </font>
      <fill>
        <patternFill patternType="solid">
          <bgColor rgb="00FBE6C8"/>
        </patternFill>
      </fill>
    </dxf>
    <dxf>
      <font>
        <b val="1"/>
        <color rgb="00B3261E"/>
      </font>
    </dxf>
    <dxf>
      <font>
        <b val="1"/>
        <color rgb="008A5300"/>
      </font>
    </dxf>
    <dxf>
      <font>
        <b val="1"/>
        <color rgb="00666666"/>
      </font>
    </dxf>
    <dxf>
      <font>
        <strike val="1"/>
        <color rgb="008A8A8A"/>
      </font>
    </dxf>
    <dxf>
      <fill>
        <patternFill patternType="solid">
          <bgColor rgb="001E6652"/>
        </patternFill>
      </fill>
    </dxf>
    <dxf>
      <fill>
        <patternFill patternType="solid">
          <bgColor rgb="001A3C57"/>
        </patternFill>
      </fill>
    </dxf>
    <dxf>
      <fill>
        <patternFill patternType="solid">
          <bgColor rgb="00B9D3C9"/>
        </patternFill>
      </fill>
    </dxf>
    <dxf>
      <fill>
        <patternFill patternType="solid">
          <bgColor rgb="009DBFB3"/>
        </patternFill>
      </fill>
    </dxf>
    <dxf>
      <fill>
        <patternFill patternType="solid">
          <bgColor rgb="00E0A43A"/>
        </patternFill>
      </fill>
    </dxf>
    <dxf>
      <fill>
        <patternFill patternType="solid">
          <bgColor rgb="007B5EA7"/>
        </patternFill>
      </fill>
    </dxf>
    <dxf>
      <fill>
        <patternFill patternType="solid">
          <bgColor rgb="00F8D7D5"/>
        </patternFill>
      </fill>
    </dxf>
    <dxf>
      <fill>
        <patternFill patternType="solid">
          <bgColor rgb="00D32F2F"/>
        </patternFill>
      </fill>
    </dxf>
    <dxf>
      <fill>
        <patternFill patternType="solid">
          <bgColor rgb="00FBE6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showGridLines="0" zoomScale="90" workbookViewId="0">
      <selection activeCell="A1" sqref="A1"/>
    </sheetView>
  </sheetViews>
  <sheetFormatPr baseColWidth="8" defaultRowHeight="15"/>
  <cols>
    <col width="3" customWidth="1" min="1" max="1"/>
    <col width="40" customWidth="1" min="2" max="2"/>
    <col width="15" customWidth="1" min="3" max="3"/>
    <col width="15" customWidth="1" min="4" max="4"/>
    <col width="34" customWidth="1" min="5" max="5"/>
    <col width="15" customWidth="1" min="6" max="6"/>
    <col width="15" customWidth="1" min="7" max="7"/>
    <col width="15" customWidth="1" min="8" max="8"/>
  </cols>
  <sheetData>
    <row r="1">
      <c r="A1" s="1" t="inlineStr">
        <is>
          <t>Green Alliance — tablero de avances</t>
        </is>
      </c>
    </row>
    <row r="2">
      <c r="A2" s="2" t="inlineStr">
        <is>
          <t>Actualizado: 2026-10-23. Lo mantiene el agente ga-supervisor-avances a partir de docs/avances/plan.json.</t>
        </is>
      </c>
    </row>
    <row r="4">
      <c r="B4" s="3" t="inlineStr">
        <is>
          <t>Parámetros</t>
        </is>
      </c>
    </row>
    <row r="5">
      <c r="B5" s="4" t="inlineStr">
        <is>
          <t>Bloques por semana</t>
        </is>
      </c>
      <c r="C5" s="5" t="n">
        <v>10</v>
      </c>
      <c r="D5" s="6" t="inlineStr">
        <is>
          <t>1 bloque = 1 punto de peso ≈ media jornada de trabajo. Se puede cambiar en la hoja Resumen.</t>
        </is>
      </c>
    </row>
    <row r="6">
      <c r="B6" s="7" t="inlineStr">
        <is>
          <t>HOY (bloque donde termina lo hecho)</t>
        </is>
      </c>
      <c r="C6" s="8" t="n">
        <v>134</v>
      </c>
      <c r="D6" s="6" t="inlineStr">
        <is>
          <t>Calculado por el optimizador.</t>
        </is>
      </c>
    </row>
    <row r="8">
      <c r="B8" s="3" t="inlineStr">
        <is>
          <t>Indicadores</t>
        </is>
      </c>
    </row>
    <row r="9">
      <c r="B9" s="4" t="inlineStr">
        <is>
          <t>Actividades en el plan</t>
        </is>
      </c>
      <c r="C9" s="9">
        <f>COUNTA(Plan!$A$5:$A$129)</f>
        <v/>
      </c>
    </row>
    <row r="10">
      <c r="B10" s="4" t="inlineStr">
        <is>
          <t>Hechas</t>
        </is>
      </c>
      <c r="C10" s="9">
        <f>COUNTIF(Plan!$O$5:$O$129,"Hecho")</f>
        <v/>
      </c>
    </row>
    <row r="11">
      <c r="B11" s="4" t="inlineStr">
        <is>
          <t>En curso</t>
        </is>
      </c>
      <c r="C11" s="9">
        <f>COUNTIF(Plan!$O$5:$O$129,"En curso")</f>
        <v/>
      </c>
    </row>
    <row r="12">
      <c r="B12" s="4" t="inlineStr">
        <is>
          <t>Pendientes</t>
        </is>
      </c>
      <c r="C12" s="9">
        <f>COUNTIF(Plan!$O$5:$O$129,"Pendiente")</f>
        <v/>
      </c>
    </row>
    <row r="13">
      <c r="B13" s="7" t="inlineStr">
        <is>
          <t>Bloqueadas (esperan a la cooperativa)</t>
        </is>
      </c>
      <c r="C13" s="9">
        <f>COUNTIF(Plan!$O$5:$O$129,"Bloqueado")</f>
        <v/>
      </c>
    </row>
    <row r="14">
      <c r="B14" s="4" t="inlineStr">
        <is>
          <t>Peso total (puntos)</t>
        </is>
      </c>
      <c r="C14" s="9">
        <f>SUM(Plan!$D$5:$D$129)</f>
        <v/>
      </c>
    </row>
    <row r="15">
      <c r="B15" s="4" t="inlineStr">
        <is>
          <t>Peso hecho (puntos)</t>
        </is>
      </c>
      <c r="C15" s="9">
        <f>SUMIF(Plan!$O$5:$O$129,"Hecho",Plan!$D$5:$D$129)</f>
        <v/>
      </c>
    </row>
    <row r="16">
      <c r="B16" s="4" t="inlineStr">
        <is>
          <t>Avance ponderado por peso</t>
        </is>
      </c>
      <c r="C16" s="10">
        <f>IF(C14=0,0,C15/C14)</f>
        <v/>
      </c>
    </row>
    <row r="17">
      <c r="B17" s="7" t="inlineStr">
        <is>
          <t>Duración total optimizada (bloques)</t>
        </is>
      </c>
      <c r="C17" s="9">
        <f>MAX(Plan!$L$5:$L$129)</f>
        <v/>
      </c>
    </row>
    <row r="18">
      <c r="B18" s="7" t="inlineStr">
        <is>
          <t>Duración total optimizada (semanas)</t>
        </is>
      </c>
      <c r="C18" s="11">
        <f>C17/C5</f>
        <v/>
      </c>
    </row>
    <row r="19">
      <c r="B19" s="7" t="inlineStr">
        <is>
          <t>Si se hiciera en una sola fila (bloques)</t>
        </is>
      </c>
      <c r="C19" s="9">
        <f>C14</f>
        <v/>
      </c>
    </row>
    <row r="20">
      <c r="B20" s="7" t="inlineStr">
        <is>
          <t>Si se hiciera en una sola fila (semanas)</t>
        </is>
      </c>
      <c r="C20" s="11">
        <f>C19/C5</f>
        <v/>
      </c>
    </row>
    <row r="21">
      <c r="B21" s="7" t="inlineStr">
        <is>
          <t>Tiempo ahorrado con 2 filas</t>
        </is>
      </c>
      <c r="C21" s="10">
        <f>IF(C19=0,0,1-C17/C19)</f>
        <v/>
      </c>
    </row>
    <row r="22">
      <c r="B22" s="4" t="inlineStr">
        <is>
          <t>Falta desde HOY (semanas)</t>
        </is>
      </c>
      <c r="C22" s="11">
        <f>(C17-C6)/C5</f>
        <v/>
      </c>
    </row>
    <row r="23">
      <c r="B23" s="4" t="inlineStr">
        <is>
          <t>Uso de la Fila A</t>
        </is>
      </c>
      <c r="C23" s="12">
        <f>IF(C17=0,0,(SUMIF(Plan!$I$5:$I$129,"A",Plan!$E$5:$E$129)+SUMIF(Plan!$I$5:$I$129,"A+B",Plan!$E$5:$E$129))/C17)</f>
        <v/>
      </c>
    </row>
    <row r="24">
      <c r="B24" s="4" t="inlineStr">
        <is>
          <t>Uso de la Fila B</t>
        </is>
      </c>
      <c r="C24" s="12">
        <f>IF(C17=0,0,(SUMIF(Plan!$I$5:$I$129,"B",Plan!$E$5:$E$129)+SUMIF(Plan!$I$5:$I$129,"A+B",Plan!$E$5:$E$129))/C17)</f>
        <v/>
      </c>
    </row>
    <row r="25">
      <c r="B25" s="7" t="inlineStr">
        <is>
          <t>Plazo de la propuesta (semanas)</t>
        </is>
      </c>
      <c r="C25" s="9">
        <f>MAX('Propuesta original'!E5:E10)</f>
        <v/>
      </c>
    </row>
    <row r="27">
      <c r="B27" s="3" t="inlineStr">
        <is>
          <t>Avance por fase</t>
        </is>
      </c>
    </row>
    <row r="28">
      <c r="A28" s="13" t="inlineStr"/>
      <c r="B28" s="14" t="inlineStr">
        <is>
          <t>Fase</t>
        </is>
      </c>
      <c r="C28" s="14" t="inlineStr">
        <is>
          <t>Peso total</t>
        </is>
      </c>
      <c r="D28" s="14" t="inlineStr">
        <is>
          <t>Peso hecho</t>
        </is>
      </c>
      <c r="E28" s="14" t="inlineStr">
        <is>
          <t>Avance</t>
        </is>
      </c>
      <c r="F28" s="14" t="inlineStr">
        <is>
          <t>Termina (bloque)</t>
        </is>
      </c>
      <c r="G28" s="14" t="inlineStr">
        <is>
          <t>Termina (semana)</t>
        </is>
      </c>
      <c r="H28" s="14" t="inlineStr">
        <is>
          <t>Propuesta (semanas)</t>
        </is>
      </c>
    </row>
    <row r="29">
      <c r="B29" s="4" t="inlineStr">
        <is>
          <t>1. Diseño y arquitectura</t>
        </is>
      </c>
      <c r="C29" s="15">
        <f>SUMIF(Plan!$B$5:$B$129,"1. Diseño y arquitectura",Plan!$D$5:$D$129)</f>
        <v/>
      </c>
      <c r="D29" s="15">
        <f>SUMIFS(Plan!$D$5:$D$129,Plan!$B$5:$B$129,"1. Diseño y arquitectura",Plan!$O$5:$O$129,"Hecho")</f>
        <v/>
      </c>
      <c r="E29" s="12">
        <f>IF(C29=0,0,D29/C29)</f>
        <v/>
      </c>
      <c r="F29" s="15">
        <f>SUMPRODUCT(MAX((Plan!$B$5:$B$129="1. Diseño y arquitectura")*Plan!$L$5:$L$129))</f>
        <v/>
      </c>
      <c r="G29" s="8">
        <f>"S"&amp;ROUNDUP(F29/$C$5,0)</f>
        <v/>
      </c>
      <c r="H29" s="16">
        <f>'Propuesta original'!E5</f>
        <v/>
      </c>
    </row>
    <row r="30">
      <c r="B30" s="7" t="inlineStr">
        <is>
          <t>2. Landing y autenticación</t>
        </is>
      </c>
      <c r="C30" s="15">
        <f>SUMIF(Plan!$B$5:$B$129,"2. Landing y autenticación",Plan!$D$5:$D$129)</f>
        <v/>
      </c>
      <c r="D30" s="15">
        <f>SUMIFS(Plan!$D$5:$D$129,Plan!$B$5:$B$129,"2. Landing y autenticación",Plan!$O$5:$O$129,"Hecho")</f>
        <v/>
      </c>
      <c r="E30" s="12">
        <f>IF(C30=0,0,D30/C30)</f>
        <v/>
      </c>
      <c r="F30" s="15">
        <f>SUMPRODUCT(MAX((Plan!$B$5:$B$129="2. Landing y autenticación")*Plan!$L$5:$L$129))</f>
        <v/>
      </c>
      <c r="G30" s="8">
        <f>"S"&amp;ROUNDUP(F30/$C$5,0)</f>
        <v/>
      </c>
      <c r="H30" s="16">
        <f>'Propuesta original'!E6</f>
        <v/>
      </c>
    </row>
    <row r="31">
      <c r="B31" s="7" t="inlineStr">
        <is>
          <t>3. Flujo de solicitud de crédito</t>
        </is>
      </c>
      <c r="C31" s="15">
        <f>SUMIF(Plan!$B$5:$B$129,"3. Flujo de solicitud de crédito",Plan!$D$5:$D$129)</f>
        <v/>
      </c>
      <c r="D31" s="15">
        <f>SUMIFS(Plan!$D$5:$D$129,Plan!$B$5:$B$129,"3. Flujo de solicitud de crédito",Plan!$O$5:$O$129,"Hecho")</f>
        <v/>
      </c>
      <c r="E31" s="12">
        <f>IF(C31=0,0,D31/C31)</f>
        <v/>
      </c>
      <c r="F31" s="15">
        <f>SUMPRODUCT(MAX((Plan!$B$5:$B$129="3. Flujo de solicitud de crédito")*Plan!$L$5:$L$129))</f>
        <v/>
      </c>
      <c r="G31" s="8">
        <f>"S"&amp;ROUNDUP(F31/$C$5,0)</f>
        <v/>
      </c>
      <c r="H31" s="16">
        <f>'Propuesta original'!E7</f>
        <v/>
      </c>
    </row>
    <row r="32">
      <c r="B32" s="7" t="inlineStr">
        <is>
          <t>4. Panel de administración</t>
        </is>
      </c>
      <c r="C32" s="15">
        <f>SUMIF(Plan!$B$5:$B$129,"4. Panel de administración",Plan!$D$5:$D$129)</f>
        <v/>
      </c>
      <c r="D32" s="15">
        <f>SUMIFS(Plan!$D$5:$D$129,Plan!$B$5:$B$129,"4. Panel de administración",Plan!$O$5:$O$129,"Hecho")</f>
        <v/>
      </c>
      <c r="E32" s="12">
        <f>IF(C32=0,0,D32/C32)</f>
        <v/>
      </c>
      <c r="F32" s="15">
        <f>SUMPRODUCT(MAX((Plan!$B$5:$B$129="4. Panel de administración")*Plan!$L$5:$L$129))</f>
        <v/>
      </c>
      <c r="G32" s="8">
        <f>"S"&amp;ROUNDUP(F32/$C$5,0)</f>
        <v/>
      </c>
      <c r="H32" s="16">
        <f>'Propuesta original'!E8</f>
        <v/>
      </c>
    </row>
    <row r="33">
      <c r="B33" s="4" t="inlineStr">
        <is>
          <t>5. Convenios y pulido</t>
        </is>
      </c>
      <c r="C33" s="15">
        <f>SUMIF(Plan!$B$5:$B$129,"5. Convenios y pulido",Plan!$D$5:$D$129)</f>
        <v/>
      </c>
      <c r="D33" s="15">
        <f>SUMIFS(Plan!$D$5:$D$129,Plan!$B$5:$B$129,"5. Convenios y pulido",Plan!$O$5:$O$129,"Hecho")</f>
        <v/>
      </c>
      <c r="E33" s="12">
        <f>IF(C33=0,0,D33/C33)</f>
        <v/>
      </c>
      <c r="F33" s="15">
        <f>SUMPRODUCT(MAX((Plan!$B$5:$B$129="5. Convenios y pulido")*Plan!$L$5:$L$129))</f>
        <v/>
      </c>
      <c r="G33" s="8">
        <f>"S"&amp;ROUNDUP(F33/$C$5,0)</f>
        <v/>
      </c>
      <c r="H33" s="16">
        <f>'Propuesta original'!E9</f>
        <v/>
      </c>
    </row>
    <row r="34">
      <c r="B34" s="4" t="inlineStr">
        <is>
          <t>6. Pruebas y lanzamiento</t>
        </is>
      </c>
      <c r="C34" s="15">
        <f>SUMIF(Plan!$B$5:$B$129,"6. Pruebas y lanzamiento",Plan!$D$5:$D$129)</f>
        <v/>
      </c>
      <c r="D34" s="15">
        <f>SUMIFS(Plan!$D$5:$D$129,Plan!$B$5:$B$129,"6. Pruebas y lanzamiento",Plan!$O$5:$O$129,"Hecho")</f>
        <v/>
      </c>
      <c r="E34" s="12">
        <f>IF(C34=0,0,D34/C34)</f>
        <v/>
      </c>
      <c r="F34" s="15">
        <f>SUMPRODUCT(MAX((Plan!$B$5:$B$129="6. Pruebas y lanzamiento")*Plan!$L$5:$L$129))</f>
        <v/>
      </c>
      <c r="G34" s="8">
        <f>"S"&amp;ROUNDUP(F34/$C$5,0)</f>
        <v/>
      </c>
      <c r="H34" s="16">
        <f>'Propuesta original'!E10</f>
        <v/>
      </c>
    </row>
    <row r="36">
      <c r="B36" s="3" t="inlineStr">
        <is>
          <t>Hitos de pago (propuesta)</t>
        </is>
      </c>
    </row>
    <row r="37">
      <c r="A37" s="13" t="inlineStr"/>
      <c r="B37" s="14" t="inlineStr">
        <is>
          <t>Pago</t>
        </is>
      </c>
      <c r="C37" s="14" t="inlineStr">
        <is>
          <t>Valor (COP)</t>
        </is>
      </c>
      <c r="D37" s="14" t="inlineStr">
        <is>
          <t>Fase</t>
        </is>
      </c>
      <c r="E37" s="14" t="inlineStr">
        <is>
          <t>Se libera en</t>
        </is>
      </c>
      <c r="F37" s="14" t="inlineStr">
        <is>
          <t>Bloque</t>
        </is>
      </c>
      <c r="G37" s="14" t="inlineStr">
        <is>
          <t>Semana</t>
        </is>
      </c>
      <c r="H37" s="14" t="inlineStr">
        <is>
          <t>Estado del hito</t>
        </is>
      </c>
    </row>
    <row r="38">
      <c r="B38" s="4" t="inlineStr">
        <is>
          <t>Adelanto</t>
        </is>
      </c>
      <c r="C38" s="17" t="n">
        <v>500000</v>
      </c>
      <c r="D38" s="8" t="n">
        <v>1</v>
      </c>
      <c r="E38" s="7" t="inlineStr">
        <is>
          <t>Al iniciar el proyecto (Fase 1)</t>
        </is>
      </c>
      <c r="F38" s="15" t="n">
        <v>0</v>
      </c>
      <c r="G38" s="8" t="inlineStr">
        <is>
          <t>S1</t>
        </is>
      </c>
      <c r="H38" s="18">
        <f>"Cumplido (inicio)"</f>
        <v/>
      </c>
    </row>
    <row r="39">
      <c r="B39" s="4" t="inlineStr">
        <is>
          <t>Pago 2</t>
        </is>
      </c>
      <c r="C39" s="17" t="n">
        <v>800000</v>
      </c>
      <c r="D39" s="8" t="n">
        <v>3</v>
      </c>
      <c r="E39" s="7" t="inlineStr">
        <is>
          <t>Login y flujo de solicitud de crédito funcionando (fin Fase 3)</t>
        </is>
      </c>
      <c r="F39" s="15">
        <f>F31</f>
        <v/>
      </c>
      <c r="G39" s="8">
        <f>G31</f>
        <v/>
      </c>
      <c r="H39" s="18">
        <f>IF(E31=1,"Cumplido","Falta "&amp;TEXT(1-E31,"0%"))</f>
        <v/>
      </c>
    </row>
    <row r="40">
      <c r="B40" s="4" t="inlineStr">
        <is>
          <t>Pago 3</t>
        </is>
      </c>
      <c r="C40" s="17" t="n">
        <v>800000</v>
      </c>
      <c r="D40" s="8" t="n">
        <v>4</v>
      </c>
      <c r="E40" s="7" t="inlineStr">
        <is>
          <t>Panel de administración funcionando (fin Fase 4)</t>
        </is>
      </c>
      <c r="F40" s="15">
        <f>F32</f>
        <v/>
      </c>
      <c r="G40" s="8">
        <f>G32</f>
        <v/>
      </c>
      <c r="H40" s="18">
        <f>IF(E32=1,"Cumplido","Falta "&amp;TEXT(1-E32,"0%"))</f>
        <v/>
      </c>
    </row>
    <row r="41">
      <c r="B41" s="4" t="inlineStr">
        <is>
          <t>Pago final</t>
        </is>
      </c>
      <c r="C41" s="17" t="n">
        <v>900000</v>
      </c>
      <c r="D41" s="8" t="n">
        <v>6</v>
      </c>
      <c r="E41" s="7" t="inlineStr">
        <is>
          <t>Entrega en producción (fin Fase 6)</t>
        </is>
      </c>
      <c r="F41" s="15">
        <f>F34</f>
        <v/>
      </c>
      <c r="G41" s="8">
        <f>G34</f>
        <v/>
      </c>
      <c r="H41" s="18">
        <f>IF(E34=1,"Cumplido","Falta "&amp;TEXT(1-E34,"0%"))</f>
        <v/>
      </c>
    </row>
    <row r="42">
      <c r="B42" s="19" t="inlineStr">
        <is>
          <t>Total</t>
        </is>
      </c>
      <c r="C42" s="20">
        <f>SUM(C38:C41)</f>
        <v/>
      </c>
    </row>
    <row r="44">
      <c r="B44" s="3" t="inlineStr">
        <is>
          <t>Pendientes por categoría (hoja Pendientes)</t>
        </is>
      </c>
    </row>
    <row r="45">
      <c r="A45" s="13" t="inlineStr"/>
      <c r="B45" s="14" t="inlineStr">
        <is>
          <t>Categoría</t>
        </is>
      </c>
      <c r="C45" s="14" t="inlineStr">
        <is>
          <t>Hecho</t>
        </is>
      </c>
      <c r="D45" s="14" t="inlineStr">
        <is>
          <t>En curso</t>
        </is>
      </c>
      <c r="E45" s="14" t="inlineStr">
        <is>
          <t>Pendiente</t>
        </is>
      </c>
      <c r="F45" s="14" t="inlineStr">
        <is>
          <t>Bloqueado</t>
        </is>
      </c>
      <c r="G45" s="14" t="inlineStr">
        <is>
          <t>Total</t>
        </is>
      </c>
    </row>
    <row r="46">
      <c r="B46" s="4" t="inlineStr">
        <is>
          <t>Decisión</t>
        </is>
      </c>
      <c r="C46" s="15">
        <f>COUNTIFS(Pendientes!$B$5:$B$149,$B46,Pendientes!$G$5:$G$149,"Hecho")</f>
        <v/>
      </c>
      <c r="D46" s="15">
        <f>COUNTIFS(Pendientes!$B$5:$B$149,$B46,Pendientes!$G$5:$G$149,"En curso")</f>
        <v/>
      </c>
      <c r="E46" s="15">
        <f>COUNTIFS(Pendientes!$B$5:$B$149,$B46,Pendientes!$G$5:$G$149,"Pendiente")</f>
        <v/>
      </c>
      <c r="F46" s="15">
        <f>COUNTIFS(Pendientes!$B$5:$B$149,$B46,Pendientes!$G$5:$G$149,"Bloqueado")</f>
        <v/>
      </c>
      <c r="G46" s="9">
        <f>SUM(C46:F46)</f>
        <v/>
      </c>
    </row>
    <row r="47">
      <c r="B47" s="4" t="inlineStr">
        <is>
          <t>Dato de la cooperativa</t>
        </is>
      </c>
      <c r="C47" s="15">
        <f>COUNTIFS(Pendientes!$B$5:$B$149,$B47,Pendientes!$G$5:$G$149,"Hecho")</f>
        <v/>
      </c>
      <c r="D47" s="15">
        <f>COUNTIFS(Pendientes!$B$5:$B$149,$B47,Pendientes!$G$5:$G$149,"En curso")</f>
        <v/>
      </c>
      <c r="E47" s="15">
        <f>COUNTIFS(Pendientes!$B$5:$B$149,$B47,Pendientes!$G$5:$G$149,"Pendiente")</f>
        <v/>
      </c>
      <c r="F47" s="15">
        <f>COUNTIFS(Pendientes!$B$5:$B$149,$B47,Pendientes!$G$5:$G$149,"Bloqueado")</f>
        <v/>
      </c>
      <c r="G47" s="9">
        <f>SUM(C47:F47)</f>
        <v/>
      </c>
    </row>
    <row r="48">
      <c r="B48" s="4" t="inlineStr">
        <is>
          <t>Configuración</t>
        </is>
      </c>
      <c r="C48" s="15">
        <f>COUNTIFS(Pendientes!$B$5:$B$149,$B48,Pendientes!$G$5:$G$149,"Hecho")</f>
        <v/>
      </c>
      <c r="D48" s="15">
        <f>COUNTIFS(Pendientes!$B$5:$B$149,$B48,Pendientes!$G$5:$G$149,"En curso")</f>
        <v/>
      </c>
      <c r="E48" s="15">
        <f>COUNTIFS(Pendientes!$B$5:$B$149,$B48,Pendientes!$G$5:$G$149,"Pendiente")</f>
        <v/>
      </c>
      <c r="F48" s="15">
        <f>COUNTIFS(Pendientes!$B$5:$B$149,$B48,Pendientes!$G$5:$G$149,"Bloqueado")</f>
        <v/>
      </c>
      <c r="G48" s="9">
        <f>SUM(C48:F48)</f>
        <v/>
      </c>
    </row>
    <row r="49">
      <c r="B49" s="4" t="inlineStr">
        <is>
          <t>Funcionalidad</t>
        </is>
      </c>
      <c r="C49" s="15">
        <f>COUNTIFS(Pendientes!$B$5:$B$149,$B49,Pendientes!$G$5:$G$149,"Hecho")</f>
        <v/>
      </c>
      <c r="D49" s="15">
        <f>COUNTIFS(Pendientes!$B$5:$B$149,$B49,Pendientes!$G$5:$G$149,"En curso")</f>
        <v/>
      </c>
      <c r="E49" s="15">
        <f>COUNTIFS(Pendientes!$B$5:$B$149,$B49,Pendientes!$G$5:$G$149,"Pendiente")</f>
        <v/>
      </c>
      <c r="F49" s="15">
        <f>COUNTIFS(Pendientes!$B$5:$B$149,$B49,Pendientes!$G$5:$G$149,"Bloqueado")</f>
        <v/>
      </c>
      <c r="G49" s="9">
        <f>SUM(C49:F49)</f>
        <v/>
      </c>
    </row>
    <row r="50">
      <c r="B50" s="4" t="inlineStr">
        <is>
          <t>Verificación y cierre</t>
        </is>
      </c>
      <c r="C50" s="15">
        <f>COUNTIFS(Pendientes!$B$5:$B$149,$B50,Pendientes!$G$5:$G$149,"Hecho")</f>
        <v/>
      </c>
      <c r="D50" s="15">
        <f>COUNTIFS(Pendientes!$B$5:$B$149,$B50,Pendientes!$G$5:$G$149,"En curso")</f>
        <v/>
      </c>
      <c r="E50" s="15">
        <f>COUNTIFS(Pendientes!$B$5:$B$149,$B50,Pendientes!$G$5:$G$149,"Pendiente")</f>
        <v/>
      </c>
      <c r="F50" s="15">
        <f>COUNTIFS(Pendientes!$B$5:$B$149,$B50,Pendientes!$G$5:$G$149,"Bloqueado")</f>
        <v/>
      </c>
      <c r="G50" s="9">
        <f>SUM(C50:F50)</f>
        <v/>
      </c>
    </row>
    <row r="51">
      <c r="B51" s="4" t="inlineStr">
        <is>
          <t>Seguridad</t>
        </is>
      </c>
      <c r="C51" s="15">
        <f>COUNTIFS(Pendientes!$B$5:$B$149,$B51,Pendientes!$G$5:$G$149,"Hecho")</f>
        <v/>
      </c>
      <c r="D51" s="15">
        <f>COUNTIFS(Pendientes!$B$5:$B$149,$B51,Pendientes!$G$5:$G$149,"En curso")</f>
        <v/>
      </c>
      <c r="E51" s="15">
        <f>COUNTIFS(Pendientes!$B$5:$B$149,$B51,Pendientes!$G$5:$G$149,"Pendiente")</f>
        <v/>
      </c>
      <c r="F51" s="15">
        <f>COUNTIFS(Pendientes!$B$5:$B$149,$B51,Pendientes!$G$5:$G$149,"Bloqueado")</f>
        <v/>
      </c>
      <c r="G51" s="9">
        <f>SUM(C51:F51)</f>
        <v/>
      </c>
    </row>
    <row r="52">
      <c r="B52" s="4" t="inlineStr">
        <is>
          <t>Código</t>
        </is>
      </c>
      <c r="C52" s="15">
        <f>COUNTIFS(Pendientes!$B$5:$B$149,$B52,Pendientes!$G$5:$G$149,"Hecho")</f>
        <v/>
      </c>
      <c r="D52" s="15">
        <f>COUNTIFS(Pendientes!$B$5:$B$149,$B52,Pendientes!$G$5:$G$149,"En curso")</f>
        <v/>
      </c>
      <c r="E52" s="15">
        <f>COUNTIFS(Pendientes!$B$5:$B$149,$B52,Pendientes!$G$5:$G$149,"Pendiente")</f>
        <v/>
      </c>
      <c r="F52" s="15">
        <f>COUNTIFS(Pendientes!$B$5:$B$149,$B52,Pendientes!$G$5:$G$149,"Bloqueado")</f>
        <v/>
      </c>
      <c r="G52" s="9">
        <f>SUM(C52:F52)</f>
        <v/>
      </c>
    </row>
    <row r="53">
      <c r="B53" s="4" t="inlineStr">
        <is>
          <t>Base de datos</t>
        </is>
      </c>
      <c r="C53" s="15">
        <f>COUNTIFS(Pendientes!$B$5:$B$149,$B53,Pendientes!$G$5:$G$149,"Hecho")</f>
        <v/>
      </c>
      <c r="D53" s="15">
        <f>COUNTIFS(Pendientes!$B$5:$B$149,$B53,Pendientes!$G$5:$G$149,"En curso")</f>
        <v/>
      </c>
      <c r="E53" s="15">
        <f>COUNTIFS(Pendientes!$B$5:$B$149,$B53,Pendientes!$G$5:$G$149,"Pendiente")</f>
        <v/>
      </c>
      <c r="F53" s="15">
        <f>COUNTIFS(Pendientes!$B$5:$B$149,$B53,Pendientes!$G$5:$G$149,"Bloqueado")</f>
        <v/>
      </c>
      <c r="G53" s="9">
        <f>SUM(C53:F53)</f>
        <v/>
      </c>
    </row>
  </sheetData>
  <conditionalFormatting sqref="E29:E34">
    <cfRule type="expression" priority="1" dxfId="0">
      <formula>E29=1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9"/>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16" customWidth="1" min="3" max="3"/>
    <col width="56" customWidth="1" min="4" max="4"/>
    <col width="24" customWidth="1" min="5" max="5"/>
    <col width="10" customWidth="1" min="6" max="6"/>
    <col width="11" customWidth="1" min="7" max="7"/>
    <col width="10" customWidth="1" min="8" max="8"/>
    <col width="26" customWidth="1" min="9" max="9"/>
    <col width="46" customWidth="1" min="10" max="10"/>
  </cols>
  <sheetData>
    <row r="1">
      <c r="A1" s="1" t="inlineStr">
        <is>
          <t>Pendientes organizados</t>
        </is>
      </c>
    </row>
    <row r="2">
      <c r="A2" s="2" t="inlineStr">
        <is>
          <t>Ordenados por categoría, estado y prioridad. «Actividad del plan» enlaza con la hoja Plan / Gantt.</t>
        </is>
      </c>
    </row>
    <row r="4">
      <c r="A4" s="14" t="inlineStr">
        <is>
          <t>ID</t>
        </is>
      </c>
      <c r="B4" s="14" t="inlineStr">
        <is>
          <t>Categoría</t>
        </is>
      </c>
      <c r="C4" s="14" t="inlineStr">
        <is>
          <t>Área / pantalla</t>
        </is>
      </c>
      <c r="D4" s="14" t="inlineStr">
        <is>
          <t>Tarea</t>
        </is>
      </c>
      <c r="E4" s="14" t="inlineStr">
        <is>
          <t>Responsable</t>
        </is>
      </c>
      <c r="F4" s="14" t="inlineStr">
        <is>
          <t>Prioridad</t>
        </is>
      </c>
      <c r="G4" s="14" t="inlineStr">
        <is>
          <t>Estado</t>
        </is>
      </c>
      <c r="H4" s="14" t="inlineStr">
        <is>
          <t>Actividad del plan</t>
        </is>
      </c>
      <c r="I4" s="14" t="inlineStr">
        <is>
          <t>Fase de la actividad</t>
        </is>
      </c>
      <c r="J4" s="14" t="inlineStr">
        <is>
          <t>Nota</t>
        </is>
      </c>
    </row>
    <row r="5">
      <c r="A5" s="19" t="inlineStr">
        <is>
          <t>P-145</t>
        </is>
      </c>
      <c r="B5" s="4" t="inlineStr">
        <is>
          <t>Configuración</t>
        </is>
      </c>
      <c r="C5" s="4" t="inlineStr">
        <is>
          <t>Base de datos</t>
        </is>
      </c>
      <c r="D5" s="7" t="inlineStr">
        <is>
          <t>Correr pgTAP 35 y 36 cuando tenga Docker (las migraciones 20261022000000 y 20261023000000 ya están aplicadas; hoy el PC no tiene la virtualización activa)</t>
        </is>
      </c>
      <c r="E5" s="7" t="inlineStr">
        <is>
          <t>Sebas</t>
        </is>
      </c>
      <c r="F5" s="8" t="inlineStr">
        <is>
          <t>Alta</t>
        </is>
      </c>
      <c r="G5" s="8" t="inlineStr">
        <is>
          <t>Pendiente</t>
        </is>
      </c>
      <c r="H5" s="8" t="inlineStr">
        <is>
          <t>6.44</t>
        </is>
      </c>
      <c r="I5" s="21">
        <f>IFERROR(INDEX(Plan!$B$5:$B$129,MATCH(H5,Plan!$A$5:$A$129,0)),"—")</f>
        <v/>
      </c>
      <c r="J5" s="7" t="inlineStr">
        <is>
          <t>23-oct: migraciones aplicadas y verificadas con migration list --linked; queda solo pgTAP.</t>
        </is>
      </c>
    </row>
    <row r="6">
      <c r="A6" s="19" t="inlineStr">
        <is>
          <t>P-105</t>
        </is>
      </c>
      <c r="B6" s="4" t="inlineStr">
        <is>
          <t>Configuración</t>
        </is>
      </c>
      <c r="C6" s="4" t="inlineStr">
        <is>
          <t>Vercel/Resend</t>
        </is>
      </c>
      <c r="D6" s="7" t="inlineStr">
        <is>
          <t>CRON_SECRET de 32+ caracteres, publicar plantilla ga-aviso-institucional y crear RESEND_TEMPLATE_AVISO_INSTITUCIONAL</t>
        </is>
      </c>
      <c r="E6" s="7" t="inlineStr">
        <is>
          <t>Sebas</t>
        </is>
      </c>
      <c r="F6" s="8" t="inlineStr">
        <is>
          <t>Alta</t>
        </is>
      </c>
      <c r="G6" s="8" t="inlineStr">
        <is>
          <t>Hecho</t>
        </is>
      </c>
      <c r="H6" s="8" t="inlineStr">
        <is>
          <t>6.22</t>
        </is>
      </c>
      <c r="I6" s="21">
        <f>IFERROR(INDEX(Plan!$B$5:$B$129,MATCH(H6,Plan!$A$5:$A$129,0)),"—")</f>
        <v/>
      </c>
      <c r="J6" s="7" t="inlineStr">
        <is>
          <t>30-sep: Sebas lo hizo en producción.</t>
        </is>
      </c>
    </row>
    <row r="7">
      <c r="A7" s="19" t="inlineStr">
        <is>
          <t>P-110</t>
        </is>
      </c>
      <c r="B7" s="4" t="inlineStr">
        <is>
          <t>Configuración</t>
        </is>
      </c>
      <c r="C7" s="4" t="inlineStr">
        <is>
          <t>Base de datos</t>
        </is>
      </c>
      <c r="D7" s="7" t="inlineStr">
        <is>
          <t>Aplicar la migración 20261001000000 antes de desplegar (sin ella falla el insert de afiliación por la columna version_politica_datos)</t>
        </is>
      </c>
      <c r="E7" s="7" t="inlineStr">
        <is>
          <t>Sebas</t>
        </is>
      </c>
      <c r="F7" s="8" t="inlineStr">
        <is>
          <t>Alta</t>
        </is>
      </c>
      <c r="G7" s="8" t="inlineStr">
        <is>
          <t>Hecho</t>
        </is>
      </c>
      <c r="H7" s="8" t="inlineStr">
        <is>
          <t>6.23</t>
        </is>
      </c>
      <c r="I7" s="21">
        <f>IFERROR(INDEX(Plan!$B$5:$B$129,MATCH(H7,Plan!$A$5:$A$129,0)),"—")</f>
        <v/>
      </c>
      <c r="J7" s="7" t="inlineStr">
        <is>
          <t>30-sep: reportado por ga-auditor-supabase y ga-funcionalidad-botones. 01-oct: aplicada en producción.</t>
        </is>
      </c>
    </row>
    <row r="8">
      <c r="A8" s="19" t="inlineStr">
        <is>
          <t>P-113</t>
        </is>
      </c>
      <c r="B8" s="4" t="inlineStr">
        <is>
          <t>Configuración</t>
        </is>
      </c>
      <c r="C8" s="4" t="inlineStr">
        <is>
          <t>Base de datos</t>
        </is>
      </c>
      <c r="D8" s="7" t="inlineStr">
        <is>
          <t>Docker: db reset + test db local y aplicar la migración 20261001100000 en producción</t>
        </is>
      </c>
      <c r="E8" s="7" t="inlineStr">
        <is>
          <t>Sebas</t>
        </is>
      </c>
      <c r="F8" s="8" t="inlineStr">
        <is>
          <t>Alta</t>
        </is>
      </c>
      <c r="G8" s="8" t="inlineStr">
        <is>
          <t>Hecho</t>
        </is>
      </c>
      <c r="H8" s="8" t="inlineStr">
        <is>
          <t>6.24</t>
        </is>
      </c>
      <c r="I8" s="21">
        <f>IFERROR(INDEX(Plan!$B$5:$B$129,MATCH(H8,Plan!$A$5:$A$129,0)),"—")</f>
        <v/>
      </c>
      <c r="J8" s="7" t="inlineStr">
        <is>
          <t>01-oct: Docker Desktop no arranca («unable to start»). 01-oct: Docker de vuelta; db test local en verde (22 archivos, 497 pruebas). Falta solo db push --linked de 20261001000000 y 20261001100000 y fusionar develop→main. 01-oct: 20261001000000 y 20261001100000 aplicadas en producción.</t>
        </is>
      </c>
    </row>
    <row r="9">
      <c r="A9" s="19" t="inlineStr">
        <is>
          <t>P-114</t>
        </is>
      </c>
      <c r="B9" s="4" t="inlineStr">
        <is>
          <t>Configuración</t>
        </is>
      </c>
      <c r="C9" s="4" t="inlineStr">
        <is>
          <t>Base de datos</t>
        </is>
      </c>
      <c r="D9" s="7" t="inlineStr">
        <is>
          <t>Aplicar la migración 20261002000000 en producción y fusionar develop→main (commit e2523de)</t>
        </is>
      </c>
      <c r="E9" s="7" t="inlineStr">
        <is>
          <t>Sebas</t>
        </is>
      </c>
      <c r="F9" s="8" t="inlineStr">
        <is>
          <t>Alta</t>
        </is>
      </c>
      <c r="G9" s="8" t="inlineStr">
        <is>
          <t>Hecho</t>
        </is>
      </c>
      <c r="H9" s="8" t="inlineStr">
        <is>
          <t>6.25</t>
        </is>
      </c>
      <c r="I9" s="21">
        <f>IFERROR(INDEX(Plan!$B$5:$B$129,MATCH(H9,Plan!$A$5:$A$129,0)),"—")</f>
        <v/>
      </c>
      <c r="J9" s="7" t="inlineStr">
        <is>
          <t>01-oct: sin ella /admin/convenios y la lectura de convenios por visible/orden fallan en producción (el loader tiene respaldo en CONVENIOS). Probar subida de logo con un admin real. 02-oct: cerrada; la fusión develop→main sigue en P-116 (6.27).</t>
        </is>
      </c>
    </row>
    <row r="10">
      <c r="A10" s="19" t="inlineStr">
        <is>
          <t>P-116</t>
        </is>
      </c>
      <c r="B10" s="4" t="inlineStr">
        <is>
          <t>Configuración</t>
        </is>
      </c>
      <c r="C10" s="4" t="inlineStr">
        <is>
          <t>Base de datos</t>
        </is>
      </c>
      <c r="D10" s="7" t="inlineStr">
        <is>
          <t>Aplicar con respaldo previo 20261002500000, 20261002600000, 20261003000000, 20261003100000 y 20261003200000 y 20261003300000 y fusionar develop→main</t>
        </is>
      </c>
      <c r="E10" s="7" t="inlineStr">
        <is>
          <t>Sebas</t>
        </is>
      </c>
      <c r="F10" s="8" t="inlineStr">
        <is>
          <t>Alta</t>
        </is>
      </c>
      <c r="G10" s="8" t="inlineStr">
        <is>
          <t>Hecho</t>
        </is>
      </c>
      <c r="H10" s="8" t="inlineStr">
        <is>
          <t>6.27</t>
        </is>
      </c>
      <c r="I10" s="21">
        <f>IFERROR(INDEX(Plan!$B$5:$B$129,MATCH(H10,Plan!$A$5:$A$129,0)),"—")</f>
        <v/>
      </c>
      <c r="J10" s="7" t="inlineStr">
        <is>
          <t>02-oct: 20261003000000 quita la FK perfiles.id → auth.users (cascada por trigger). 09-oct: Hecho por Sebas.</t>
        </is>
      </c>
    </row>
    <row r="11">
      <c r="A11" s="19" t="inlineStr">
        <is>
          <t>P-117</t>
        </is>
      </c>
      <c r="B11" s="4" t="inlineStr">
        <is>
          <t>Configuración</t>
        </is>
      </c>
      <c r="C11" s="4" t="inlineStr">
        <is>
          <t>Correos</t>
        </is>
      </c>
      <c r="D11" s="7" t="inlineStr">
        <is>
          <t>Plantilla del sorteo en Vercel/Resend (variables NOMBRE, NUMERO_BOLETA, MES) y {{{COMPROBANTE}}} en la plantilla de desembolso</t>
        </is>
      </c>
      <c r="E11" s="7" t="inlineStr">
        <is>
          <t>Sebas</t>
        </is>
      </c>
      <c r="F11" s="8" t="inlineStr">
        <is>
          <t>Alta</t>
        </is>
      </c>
      <c r="G11" s="8" t="inlineStr">
        <is>
          <t>Hecho</t>
        </is>
      </c>
      <c r="H11" s="8" t="inlineStr">
        <is>
          <t>6.28</t>
        </is>
      </c>
      <c r="I11" s="21">
        <f>IFERROR(INDEX(Plan!$B$5:$B$129,MATCH(H11,Plan!$A$5:$A$129,0)),"—")</f>
        <v/>
      </c>
      <c r="J11" s="7" t="inlineStr">
        <is>
          <t>02-oct: sin la plantilla, el correo del sorteo cae a texto plano (docs/resend-plantillas.md). 09-oct: Hecho por Sebas.</t>
        </is>
      </c>
    </row>
    <row r="12">
      <c r="A12" s="19" t="inlineStr">
        <is>
          <t>P-135</t>
        </is>
      </c>
      <c r="B12" s="4" t="inlineStr">
        <is>
          <t>Configuración</t>
        </is>
      </c>
      <c r="C12" s="4" t="inlineStr">
        <is>
          <t>Base de datos</t>
        </is>
      </c>
      <c r="D12" s="7" t="inlineStr">
        <is>
          <t>Aplicar la migración 20261008000000 (Patrullero de Policía) con respaldo previo</t>
        </is>
      </c>
      <c r="E12" s="7" t="inlineStr">
        <is>
          <t>Sebas</t>
        </is>
      </c>
      <c r="F12" s="8" t="inlineStr">
        <is>
          <t>Alta</t>
        </is>
      </c>
      <c r="G12" s="8" t="inlineStr">
        <is>
          <t>Hecho</t>
        </is>
      </c>
      <c r="H12" s="8" t="inlineStr">
        <is>
          <t>6.36</t>
        </is>
      </c>
      <c r="I12" s="21">
        <f>IFERROR(INDEX(Plan!$B$5:$B$129,MATCH(H12,Plan!$A$5:$A$129,0)),"—")</f>
        <v/>
      </c>
      <c r="J12" s="7" t="inlineStr">
        <is>
          <t>08-oct: db push, verificando antes migration list --linked. 09-oct: Hecho por Sebas.</t>
        </is>
      </c>
    </row>
    <row r="13">
      <c r="A13" s="19" t="inlineStr">
        <is>
          <t>P-138</t>
        </is>
      </c>
      <c r="B13" s="4" t="inlineStr">
        <is>
          <t>Configuración</t>
        </is>
      </c>
      <c r="C13" s="4" t="inlineStr">
        <is>
          <t>Base de datos</t>
        </is>
      </c>
      <c r="D13" s="7" t="inlineStr">
        <is>
          <t>Aplicar con respaldo previo la migración 20261009000000 (hallazgos de seguridad del 8-oct), verificando antes migration list --linked</t>
        </is>
      </c>
      <c r="E13" s="7" t="inlineStr">
        <is>
          <t>Sebas</t>
        </is>
      </c>
      <c r="F13" s="8" t="inlineStr">
        <is>
          <t>Alta</t>
        </is>
      </c>
      <c r="G13" s="8" t="inlineStr">
        <is>
          <t>Hecho</t>
        </is>
      </c>
      <c r="H13" s="8" t="inlineStr">
        <is>
          <t>6.39</t>
        </is>
      </c>
      <c r="I13" s="21">
        <f>IFERROR(INDEX(Plan!$B$5:$B$129,MATCH(H13,Plan!$A$5:$A$129,0)),"—")</f>
        <v/>
      </c>
      <c r="J13" s="7" t="inlineStr">
        <is>
          <t>09-oct: incluye la RPC fotos_carne_huerfanas. Sin ella el código nuevo no funciona. 09-oct: Hecho por Sebas.</t>
        </is>
      </c>
    </row>
    <row r="14">
      <c r="A14" s="19" t="inlineStr">
        <is>
          <t>P-139</t>
        </is>
      </c>
      <c r="B14" s="4" t="inlineStr">
        <is>
          <t>Configuración</t>
        </is>
      </c>
      <c r="C14" s="4" t="inlineStr">
        <is>
          <t>Despliegue</t>
        </is>
      </c>
      <c r="D14" s="7" t="inlineStr">
        <is>
          <t>Desplegar el código nuevo de inmediato junto con la migración 20261009000000</t>
        </is>
      </c>
      <c r="E14" s="7" t="inlineStr">
        <is>
          <t>Sebas</t>
        </is>
      </c>
      <c r="F14" s="8" t="inlineStr">
        <is>
          <t>Alta</t>
        </is>
      </c>
      <c r="G14" s="8" t="inlineStr">
        <is>
          <t>Hecho</t>
        </is>
      </c>
      <c r="H14" s="8" t="inlineStr">
        <is>
          <t>6.40</t>
        </is>
      </c>
      <c r="I14" s="21">
        <f>IFERROR(INDEX(Plan!$B$5:$B$129,MATCH(H14,Plan!$A$5:$A$129,0)),"—")</f>
        <v/>
      </c>
      <c r="J14" s="7" t="inlineStr">
        <is>
          <t>09-oct: código y migración van juntos. Desactivar a un admin ya no se puede desde la app; si la cooperativa lo necesita, hace falta otra migración. 09-oct: Hecho por Sebas.</t>
        </is>
      </c>
    </row>
    <row r="15">
      <c r="A15" s="19" t="inlineStr">
        <is>
          <t>P-141</t>
        </is>
      </c>
      <c r="B15" s="4" t="inlineStr">
        <is>
          <t>Configuración</t>
        </is>
      </c>
      <c r="C15" s="4" t="inlineStr">
        <is>
          <t>Base de datos</t>
        </is>
      </c>
      <c r="D15" s="7" t="inlineStr">
        <is>
          <t>Aplicar la migración 20261014000000 (afiliación sin repetidos) con db push y correr pgTAP con Docker</t>
        </is>
      </c>
      <c r="E15" s="7" t="inlineStr">
        <is>
          <t>Sebas</t>
        </is>
      </c>
      <c r="F15" s="8" t="inlineStr">
        <is>
          <t>Alta</t>
        </is>
      </c>
      <c r="G15" s="8" t="inlineStr">
        <is>
          <t>Hecho</t>
        </is>
      </c>
      <c r="H15" s="8" t="inlineStr">
        <is>
          <t>6.41</t>
        </is>
      </c>
      <c r="I15" s="21">
        <f>IFERROR(INDEX(Plan!$B$5:$B$129,MATCH(H15,Plan!$A$5:$A$129,0)),"—")</f>
        <v/>
      </c>
      <c r="J15" s="7" t="inlineStr">
        <is>
          <t>18-oct: aplicada por Sebas; pgTAP en verde.</t>
        </is>
      </c>
    </row>
    <row r="16">
      <c r="A16" s="19" t="inlineStr">
        <is>
          <t>P-142</t>
        </is>
      </c>
      <c r="B16" s="4" t="inlineStr">
        <is>
          <t>Configuración</t>
        </is>
      </c>
      <c r="C16" s="4" t="inlineStr">
        <is>
          <t>Base de datos</t>
        </is>
      </c>
      <c r="D16" s="7" t="inlineStr">
        <is>
          <t>Aplicar la migración 20261018000000 (pausa de cuenta y avisos) con db push y correr pgTAP 33 con Docker</t>
        </is>
      </c>
      <c r="E16" s="7" t="inlineStr">
        <is>
          <t>Sebas</t>
        </is>
      </c>
      <c r="F16" s="8" t="inlineStr">
        <is>
          <t>Alta</t>
        </is>
      </c>
      <c r="G16" s="8" t="inlineStr">
        <is>
          <t>Hecho</t>
        </is>
      </c>
      <c r="H16" s="8" t="inlineStr">
        <is>
          <t>6.41</t>
        </is>
      </c>
      <c r="I16" s="21">
        <f>IFERROR(INDEX(Plan!$B$5:$B$129,MATCH(H16,Plan!$A$5:$A$129,0)),"—")</f>
        <v/>
      </c>
      <c r="J16" s="7" t="inlineStr">
        <is>
          <t>18-oct: aplicada por Sebas; pgTAP 33 en verde. La prueba de selfie en celular real pasó a P-143.</t>
        </is>
      </c>
    </row>
    <row r="17">
      <c r="A17" s="19" t="inlineStr">
        <is>
          <t>P-143</t>
        </is>
      </c>
      <c r="B17" s="4" t="inlineStr">
        <is>
          <t>Configuración</t>
        </is>
      </c>
      <c r="C17" s="4" t="inlineStr">
        <is>
          <t>Base de datos</t>
        </is>
      </c>
      <c r="D17" s="7" t="inlineStr">
        <is>
          <t>Probar la selfie de afiliación con la cámara de un celular real (la migración 20261018100000 ya está aplicada; respaldos y logos.rar ya están fuera del repo)</t>
        </is>
      </c>
      <c r="E17" s="7" t="inlineStr">
        <is>
          <t>Sebas</t>
        </is>
      </c>
      <c r="F17" s="8" t="inlineStr">
        <is>
          <t>Alta</t>
        </is>
      </c>
      <c r="G17" s="8" t="inlineStr">
        <is>
          <t>Hecho</t>
        </is>
      </c>
      <c r="H17" s="8" t="inlineStr">
        <is>
          <t>2.17</t>
        </is>
      </c>
      <c r="I17" s="21">
        <f>IFERROR(INDEX(Plan!$B$5:$B$129,MATCH(H17,Plan!$A$5:$A$129,0)),"—")</f>
        <v/>
      </c>
      <c r="J17" s="7" t="inlineStr">
        <is>
          <t>22-oct: migración 20261018100000 aplicada; respaldo-*.sql movidos a ../backups/2026-10-02; public/logos.rar (solo logos públicos) movido a la carpeta de la cooperativa. Solo falta la selfie en celular real (2.17). 23-oct: Hecho, Sebas probó la selfie en celular real (2.17).</t>
        </is>
      </c>
    </row>
    <row r="18">
      <c r="A18" s="19" t="inlineStr">
        <is>
          <t>P-144</t>
        </is>
      </c>
      <c r="B18" s="4" t="inlineStr">
        <is>
          <t>Configuración</t>
        </is>
      </c>
      <c r="C18" s="4" t="inlineStr">
        <is>
          <t>Despliegue</t>
        </is>
      </c>
      <c r="D18" s="7" t="inlineStr">
        <is>
          <t>Abrir y fusionar el PR develop → main en GitHub para desplegar (commit e0cbe5a)</t>
        </is>
      </c>
      <c r="E18" s="7" t="inlineStr">
        <is>
          <t>Sebas</t>
        </is>
      </c>
      <c r="F18" s="8" t="inlineStr">
        <is>
          <t>Alta</t>
        </is>
      </c>
      <c r="G18" s="8" t="inlineStr">
        <is>
          <t>Hecho</t>
        </is>
      </c>
      <c r="H18" s="8" t="inlineStr">
        <is>
          <t>6.43</t>
        </is>
      </c>
      <c r="I18" s="21">
        <f>IFERROR(INDEX(Plan!$B$5:$B$129,MATCH(H18,Plan!$A$5:$A$129,0)),"—")</f>
        <v/>
      </c>
      <c r="J18" s="7" t="inlineStr">
        <is>
          <t>22-oct: develop ya está actualizado en el remoto; gh no está instalado y la API quedó bloqueada por permisos. 23-oct: Hecho, Sebas fusionó el PR #13 develop → main y Vercel desplegó a producción (commit 10b8b8a, READY).</t>
        </is>
      </c>
    </row>
    <row r="19">
      <c r="A19" s="19" t="inlineStr">
        <is>
          <t>P-19</t>
        </is>
      </c>
      <c r="B19" s="4" t="inlineStr">
        <is>
          <t>Configuración</t>
        </is>
      </c>
      <c r="C19" s="4" t="inlineStr">
        <is>
          <t>Supabase</t>
        </is>
      </c>
      <c r="D19" s="7" t="inlineStr">
        <is>
          <t>SMTP propio con Resend (Authentication → Emails → SMTP Settings)</t>
        </is>
      </c>
      <c r="E19" s="7" t="inlineStr">
        <is>
          <t>Yo (panel Supabase/Resend)</t>
        </is>
      </c>
      <c r="F19" s="8" t="inlineStr">
        <is>
          <t>Alta</t>
        </is>
      </c>
      <c r="G19" s="8" t="inlineStr">
        <is>
          <t>Hecho</t>
        </is>
      </c>
      <c r="H19" s="8" t="inlineStr">
        <is>
          <t>2.4</t>
        </is>
      </c>
      <c r="I19" s="21">
        <f>IFERROR(INDEX(Plan!$B$5:$B$129,MATCH(H19,Plan!$A$5:$A$129,0)),"—")</f>
        <v/>
      </c>
      <c r="J19" s="7" t="inlineStr">
        <is>
          <t>Configurado por Sebas el 23-sep. El código de 6 dígitos lo envía Supabase Auth (no Resend desde la app); funciona en local. Ver docs/resend-plantillas.md.</t>
        </is>
      </c>
    </row>
    <row r="20">
      <c r="A20" s="19" t="inlineStr">
        <is>
          <t>P-20</t>
        </is>
      </c>
      <c r="B20" s="4" t="inlineStr">
        <is>
          <t>Configuración</t>
        </is>
      </c>
      <c r="C20" s="4" t="inlineStr">
        <is>
          <t>Supabase</t>
        </is>
      </c>
      <c r="D20" s="7" t="inlineStr">
        <is>
          <t>Plantilla del correo con {{ .Token }} (código, no enlace)</t>
        </is>
      </c>
      <c r="E20" s="7" t="inlineStr">
        <is>
          <t>Yo (panel Supabase/Resend)</t>
        </is>
      </c>
      <c r="F20" s="8" t="inlineStr">
        <is>
          <t>Alta</t>
        </is>
      </c>
      <c r="G20" s="8" t="inlineStr">
        <is>
          <t>Hecho</t>
        </is>
      </c>
      <c r="H20" s="8" t="inlineStr">
        <is>
          <t>2.4</t>
        </is>
      </c>
      <c r="I20" s="21">
        <f>IFERROR(INDEX(Plan!$B$5:$B$129,MATCH(H20,Plan!$A$5:$A$129,0)),"—")</f>
        <v/>
      </c>
      <c r="J20" s="7" t="inlineStr">
        <is>
          <t>23-sep: supabase/templates/codigo-ingreso.html rediseñada (HTML con la marca Green Alliance) y probada en local (llega a Mailpit con el código). Falta que Sebas la pegue en Authentication → Emails → Templates → Magic Link del panel de producción. 30-sep: Sebas lo hizo en producción.</t>
        </is>
      </c>
    </row>
    <row r="21">
      <c r="A21" s="19" t="inlineStr">
        <is>
          <t>P-43</t>
        </is>
      </c>
      <c r="B21" s="4" t="inlineStr">
        <is>
          <t>Configuración</t>
        </is>
      </c>
      <c r="C21" s="4" t="inlineStr">
        <is>
          <t>Base de datos</t>
        </is>
      </c>
      <c r="D21" s="7" t="inlineStr">
        <is>
          <t>Aplicar en producción la migración 20260923210000_limite_de_intentos.sql</t>
        </is>
      </c>
      <c r="E21" s="7" t="inlineStr">
        <is>
          <t>Sebas (ga-auditor-supabase revisa antes)</t>
        </is>
      </c>
      <c r="F21" s="8" t="inlineStr">
        <is>
          <t>Alta</t>
        </is>
      </c>
      <c r="G21" s="8" t="inlineStr">
        <is>
          <t>Hecho</t>
        </is>
      </c>
      <c r="H21" s="8" t="inlineStr">
        <is>
          <t>6.8</t>
        </is>
      </c>
      <c r="I21" s="21">
        <f>IFERROR(INDEX(Plan!$B$5:$B$129,MATCH(H21,Plan!$A$5:$A$129,0)),"—")</f>
        <v/>
      </c>
      <c r="J21" s="7" t="inlineStr">
        <is>
          <t>Crea la tabla limites_intentos y la función registrar_intento, que usan /afiliacion, /ingresar y «Reenviar código» (dentroDelLimite). Sin ella esos límites fallan en producción. Antes del despliegue (6.5). 23-sep: auditada por ga-auditor-supabase, se puede aplicar tal cual (docs/auditorias/2026-09-23-limite-de-intentos.md); falta que Sebas haga db push. 30-sep: Sebas lo hizo en producción.</t>
        </is>
      </c>
    </row>
    <row r="22">
      <c r="A22" s="19" t="inlineStr">
        <is>
          <t>P-44</t>
        </is>
      </c>
      <c r="B22" s="4" t="inlineStr">
        <is>
          <t>Configuración</t>
        </is>
      </c>
      <c r="C22" s="4" t="inlineStr">
        <is>
          <t>Vercel</t>
        </is>
      </c>
      <c r="D22" s="7" t="inlineStr">
        <is>
          <t>Variables: SUPABASE_SERVICE_ROLE_KEY, INGRESO_COOKIE_SECRET, LIMITE_HMAC_SECRET, RESEND_API_KEY, EMAIL_FROM, SITIO_URL, RESEND_TEMPLATE_INGRESO_ACEPTADO, RESEND_TEMPLATE_CREDITO_APROBADO, RESEND_TEMPLATE_CREDITO_RECHAZADO, RESEND_TEMPLATE_SORTEO_BOLETA, NEXT_PUBLIC_WHATSAPP</t>
        </is>
      </c>
      <c r="E22" s="7" t="inlineStr">
        <is>
          <t>Yo</t>
        </is>
      </c>
      <c r="F22" s="8" t="inlineStr">
        <is>
          <t>Alta</t>
        </is>
      </c>
      <c r="G22" s="8" t="inlineStr">
        <is>
          <t>Hecho</t>
        </is>
      </c>
      <c r="H22" s="8" t="inlineStr">
        <is>
          <t>6.9</t>
        </is>
      </c>
      <c r="I22" s="21">
        <f>IFERROR(INDEX(Plan!$B$5:$B$129,MATCH(H22,Plan!$A$5:$A$129,0)),"—")</f>
        <v/>
      </c>
      <c r="J22" s="7" t="inlineStr">
        <is>
          <t>NEXT_PUBLIC_WHATSAPP ya tenía dato (P-10, 311 724 1942). 25-sep: Sebas puso el resto de variables en Vercel (SITIO_URL=https://www.greenallianceco.com, RESEND_API_KEY, EMAIL_FROM, LIMITE_HMAC_SECRET y las 4 RESEND_TEMPLATE_*), tras crear y publicar las plantillas en Resend (P-61). Queda abierto por separado que SUPABASE_SERVICE_ROLE_KEY siga dando «Invalid API key» (P-60).</t>
        </is>
      </c>
    </row>
    <row r="23">
      <c r="A23" s="19" t="inlineStr">
        <is>
          <t>P-45</t>
        </is>
      </c>
      <c r="B23" s="4" t="inlineStr">
        <is>
          <t>Configuración</t>
        </is>
      </c>
      <c r="C23" s="4" t="inlineStr">
        <is>
          <t>Supabase</t>
        </is>
      </c>
      <c r="D23" s="7" t="inlineStr">
        <is>
          <t>Panel de producción: OTP de 6 dígitos, vencimiento del código en 600 s (10 min) e intervalo entre correos ≤ 45 s</t>
        </is>
      </c>
      <c r="E23" s="7" t="inlineStr">
        <is>
          <t>Yo (panel Supabase/Resend)</t>
        </is>
      </c>
      <c r="F23" s="8" t="inlineStr">
        <is>
          <t>Alta</t>
        </is>
      </c>
      <c r="G23" s="8" t="inlineStr">
        <is>
          <t>Hecho</t>
        </is>
      </c>
      <c r="H23" s="8" t="inlineStr">
        <is>
          <t>2.4</t>
        </is>
      </c>
      <c r="I23" s="21">
        <f>IFERROR(INDEX(Plan!$B$5:$B$129,MATCH(H23,Plan!$A$5:$A$129,0)),"—")</f>
        <v/>
      </c>
      <c r="J23" s="7" t="inlineStr">
        <is>
          <t>Complementa P-19 (SMTP) y P-20 (plantilla Magic Link con {{ .Token }}). 30-sep: Sebas lo hizo en producción.</t>
        </is>
      </c>
    </row>
    <row r="24">
      <c r="A24" s="19" t="inlineStr">
        <is>
          <t>P-59</t>
        </is>
      </c>
      <c r="B24" s="4" t="inlineStr">
        <is>
          <t>Configuración</t>
        </is>
      </c>
      <c r="C24" s="4" t="inlineStr">
        <is>
          <t>Base de datos</t>
        </is>
      </c>
      <c r="D24" s="7" t="inlineStr">
        <is>
          <t>Aplicar en producción las 9 migraciones de fase 2 (20260924000000…000800) y desplegar enseguida</t>
        </is>
      </c>
      <c r="E24" s="7" t="inlineStr">
        <is>
          <t>Sebas (ga-auditor-supabase revisa antes)</t>
        </is>
      </c>
      <c r="F24" s="8" t="inlineStr">
        <is>
          <t>Alta</t>
        </is>
      </c>
      <c r="G24" s="8" t="inlineStr">
        <is>
          <t>Hecho</t>
        </is>
      </c>
      <c r="H24" s="8" t="inlineStr">
        <is>
          <t>6.13</t>
        </is>
      </c>
      <c r="I24" s="21">
        <f>IFERROR(INDEX(Plan!$B$5:$B$129,MATCH(H24,Plan!$A$5:$A$129,0)),"—")</f>
        <v/>
      </c>
      <c r="J24" s="7" t="inlineStr">
        <is>
          <t>25-sep: Sebas aplicó las 9 migraciones en producción con `supabase db push` (dry-run confirmó exactamente esas 9) y fusionó el PR develop → main; Vercel desplegó fase 2 en www.greenallianceco.com, verificado por HTTP.</t>
        </is>
      </c>
    </row>
    <row r="25">
      <c r="A25" s="19" t="inlineStr">
        <is>
          <t>P-60</t>
        </is>
      </c>
      <c r="B25" s="4" t="inlineStr">
        <is>
          <t>Configuración</t>
        </is>
      </c>
      <c r="C25" s="4" t="inlineStr">
        <is>
          <t>Vercel</t>
        </is>
      </c>
      <c r="D25" s="7" t="inlineStr">
        <is>
          <t>Corregir SUPABASE_SERVICE_ROLE_KEY en Vercel (hoy da «Invalid API key»)</t>
        </is>
      </c>
      <c r="E25" s="7" t="inlineStr">
        <is>
          <t>Sebas</t>
        </is>
      </c>
      <c r="F25" s="8" t="inlineStr">
        <is>
          <t>Alta</t>
        </is>
      </c>
      <c r="G25" s="8" t="inlineStr">
        <is>
          <t>Hecho</t>
        </is>
      </c>
      <c r="H25" s="8" t="inlineStr">
        <is>
          <t>6.9</t>
        </is>
      </c>
      <c r="I25" s="21">
        <f>IFERROR(INDEX(Plan!$B$5:$B$129,MATCH(H25,Plan!$A$5:$A$129,0)),"—")</f>
        <v/>
      </c>
      <c r="J25" s="7" t="inlineStr">
        <is>
          <t>24-sep: Sebas corrigió la llave en Vercel (confirmado el 25-sep).</t>
        </is>
      </c>
    </row>
    <row r="26">
      <c r="A26" s="19" t="inlineStr">
        <is>
          <t>P-61</t>
        </is>
      </c>
      <c r="B26" s="4" t="inlineStr">
        <is>
          <t>Configuración</t>
        </is>
      </c>
      <c r="C26" s="4" t="inlineStr">
        <is>
          <t>Resend</t>
        </is>
      </c>
      <c r="D26" s="7" t="inlineStr">
        <is>
          <t>Crear en Resend las plantillas de ingreso aceptado, crédito aprobado/rechazado y boleta del sorteo (ga-sorteo-boleta); confirmar el tope de 3 reenvíos de boleta al día</t>
        </is>
      </c>
      <c r="E26" s="7" t="inlineStr">
        <is>
          <t>Sebas</t>
        </is>
      </c>
      <c r="F26" s="8" t="inlineStr">
        <is>
          <t>Alta</t>
        </is>
      </c>
      <c r="G26" s="8" t="inlineStr">
        <is>
          <t>Hecho</t>
        </is>
      </c>
      <c r="H26" s="8" t="inlineStr">
        <is>
          <t>6.9</t>
        </is>
      </c>
      <c r="I26" s="21">
        <f>IFERROR(INDEX(Plan!$B$5:$B$129,MATCH(H26,Plan!$A$5:$A$129,0)),"—")</f>
        <v/>
      </c>
      <c r="J26" s="7" t="inlineStr">
        <is>
          <t>RESEND_API_KEY, EMAIL_FROM y RESEND_TEMPLATE_SORTEO_BOLETA ya son obligatorias para el build. 24-sep: el HTML de las 4 plantillas listo en docs/resend/. 25-sep: Sebas creó y publicó las 4 plantillas en Resend.</t>
        </is>
      </c>
    </row>
    <row r="27">
      <c r="A27" s="19" t="inlineStr">
        <is>
          <t>P-72</t>
        </is>
      </c>
      <c r="B27" s="4" t="inlineStr">
        <is>
          <t>Configuración</t>
        </is>
      </c>
      <c r="C27" s="4" t="inlineStr">
        <is>
          <t>Git</t>
        </is>
      </c>
      <c r="D27" s="7" t="inlineStr">
        <is>
          <t>Dar a Carlos acceso de colaborador al repo GitHub GreenAllianceCoo/PagGreenAlliance y compartirle el encargo (sin llaves de producción)</t>
        </is>
      </c>
      <c r="E27" s="7" t="inlineStr">
        <is>
          <t>Sebas</t>
        </is>
      </c>
      <c r="F27" s="8" t="inlineStr">
        <is>
          <t>Alta</t>
        </is>
      </c>
      <c r="G27" s="8" t="inlineStr">
        <is>
          <t>Hecho</t>
        </is>
      </c>
      <c r="H27" s="8" t="inlineStr">
        <is>
          <t>—</t>
        </is>
      </c>
      <c r="I27" s="21">
        <f>IFERROR(INDEX(Plan!$B$5:$B$129,MATCH(H27,Plan!$A$5:$A$129,0)),"—")</f>
        <v/>
      </c>
      <c r="J27" s="7" t="inlineStr">
        <is>
          <t>Necesario antes de que Carlos pueda abrir PRs a develop desde su propia rama. 24-sep: Sebas ya habló con Carlos para darle el acceso; falta confirmarlo en GitHub. 29-sep: la primera entrega de Carlos llegó como ZIP de un repo privado propio (no como PR al repo de Green Alliance), señal de que este acceso sigue sin confirmarse; además trabajó sobre una base main anterior al rediseño C+ en vez de rediseno-c-plus. Se le pidió que la próxima entrega sea un PR por tarea sobre rediseno-c-plus, lo que requiere este acceso ya confirmado. 30-sep: cerrado, Carlos Pardo ya no trabaja en el proyecto.</t>
        </is>
      </c>
    </row>
    <row r="28">
      <c r="A28" s="19" t="inlineStr">
        <is>
          <t>P-136</t>
        </is>
      </c>
      <c r="B28" s="4" t="inlineStr">
        <is>
          <t>Configuración</t>
        </is>
      </c>
      <c r="C28" s="4" t="inlineStr">
        <is>
          <t>Base de datos</t>
        </is>
      </c>
      <c r="D28" s="7" t="inlineStr">
        <is>
          <t>Borrar las 2 solicitudes de crédito de prueba (cuenta eliminada) en el SQL Editor</t>
        </is>
      </c>
      <c r="E28" s="7" t="inlineStr">
        <is>
          <t>Sebas</t>
        </is>
      </c>
      <c r="F28" s="8" t="inlineStr">
        <is>
          <t>Media</t>
        </is>
      </c>
      <c r="G28" s="8" t="inlineStr">
        <is>
          <t>Hecho</t>
        </is>
      </c>
      <c r="H28" s="8" t="inlineStr">
        <is>
          <t>6.37</t>
        </is>
      </c>
      <c r="I28" s="21">
        <f>IFERROR(INDEX(Plan!$B$5:$B$129,MATCH(H28,Plan!$A$5:$A$129,0)),"—")</f>
        <v/>
      </c>
      <c r="J28" s="7" t="inlineStr">
        <is>
          <t>08-oct: el sistema de permisos bloqueó el borrado desde el agente. 09-oct: Hecho por Sebas.</t>
        </is>
      </c>
    </row>
    <row r="29">
      <c r="A29" s="19" t="inlineStr">
        <is>
          <t>P-137</t>
        </is>
      </c>
      <c r="B29" s="4" t="inlineStr">
        <is>
          <t>Configuración</t>
        </is>
      </c>
      <c r="C29" s="4" t="inlineStr">
        <is>
          <t>Equipo</t>
        </is>
      </c>
      <c r="D29" s="7" t="inlineStr">
        <is>
          <t>Activar SVM en el BIOS (Docker) para volver a correr pgTAP y e2e</t>
        </is>
      </c>
      <c r="E29" s="7" t="inlineStr">
        <is>
          <t>Sebas</t>
        </is>
      </c>
      <c r="F29" s="8" t="inlineStr">
        <is>
          <t>Media</t>
        </is>
      </c>
      <c r="G29" s="8" t="inlineStr">
        <is>
          <t>Hecho</t>
        </is>
      </c>
      <c r="H29" s="8" t="inlineStr">
        <is>
          <t>6.38</t>
        </is>
      </c>
      <c r="I29" s="21">
        <f>IFERROR(INDEX(Plan!$B$5:$B$129,MATCH(H29,Plan!$A$5:$A$129,0)),"—")</f>
        <v/>
      </c>
      <c r="J29" s="7" t="inlineStr">
        <is>
          <t>08-oct: SVM quedó apagado tras pasar a Windows 11; pgTAP y e2e no corren. 09-oct: Hecho por Sebas.</t>
        </is>
      </c>
    </row>
    <row r="30">
      <c r="A30" s="19" t="inlineStr">
        <is>
          <t>P-21</t>
        </is>
      </c>
      <c r="B30" s="4" t="inlineStr">
        <is>
          <t>Configuración</t>
        </is>
      </c>
      <c r="C30" s="4" t="inlineStr">
        <is>
          <t>Resend</t>
        </is>
      </c>
      <c r="D30" s="7" t="inlineStr">
        <is>
          <t>(Cancelado) Revisar el límite de Resend (plan gratis ≈ 100 correos/día)</t>
        </is>
      </c>
      <c r="E30" s="7" t="inlineStr">
        <is>
          <t>Yo</t>
        </is>
      </c>
      <c r="F30" s="8" t="inlineStr">
        <is>
          <t>Media</t>
        </is>
      </c>
      <c r="G30" s="8" t="inlineStr">
        <is>
          <t>Hecho</t>
        </is>
      </c>
      <c r="H30" s="8" t="inlineStr">
        <is>
          <t>2.4</t>
        </is>
      </c>
      <c r="I30" s="21">
        <f>IFERROR(INDEX(Plan!$B$5:$B$129,MATCH(H30,Plan!$A$5:$A$129,0)),"—")</f>
        <v/>
      </c>
      <c r="J30" s="7" t="inlineStr">
        <is>
          <t>30-sep: con ~500 asociados el plan gratis se queda corto; confirmar plan. 30-sep: Sebas decide que el límite de Resend no es problema por ahora; se quita.</t>
        </is>
      </c>
    </row>
    <row r="31">
      <c r="A31" s="19" t="inlineStr">
        <is>
          <t>P-54</t>
        </is>
      </c>
      <c r="B31" s="4" t="inlineStr">
        <is>
          <t>Configuración</t>
        </is>
      </c>
      <c r="C31" s="4" t="inlineStr">
        <is>
          <t>Vercel</t>
        </is>
      </c>
      <c r="D31" s="7" t="inlineStr">
        <is>
          <t>Alerta en los logs de Vercel para limite_de_intentos_fallo y limite_secreto_faltante</t>
        </is>
      </c>
      <c r="E31" s="7" t="inlineStr">
        <is>
          <t>sesión principal</t>
        </is>
      </c>
      <c r="F31" s="8" t="inlineStr">
        <is>
          <t>Media</t>
        </is>
      </c>
      <c r="G31" s="8" t="inlineStr">
        <is>
          <t>Hecho</t>
        </is>
      </c>
      <c r="H31" s="8" t="inlineStr">
        <is>
          <t>6.12</t>
        </is>
      </c>
      <c r="I31" s="21">
        <f>IFERROR(INDEX(Plan!$B$5:$B$129,MATCH(H31,Plan!$A$5:$A$129,0)),"—")</f>
        <v/>
      </c>
      <c r="J31" s="7" t="inlineStr">
        <is>
          <t>Sugerido por ga-auditor-supabase en la auditoría de P-43. 09-oct: resuelto con la revisión diaria del límite en el cron (no con alerta de Vercel).</t>
        </is>
      </c>
    </row>
    <row r="32">
      <c r="A32" s="19" t="inlineStr">
        <is>
          <t>P-73</t>
        </is>
      </c>
      <c r="B32" s="4" t="inlineStr">
        <is>
          <t>Configuración</t>
        </is>
      </c>
      <c r="C32" s="4" t="inlineStr">
        <is>
          <t>Pagos</t>
        </is>
      </c>
      <c r="D32" s="7" t="inlineStr">
        <is>
          <t>Pagar a Carlos Pardo 150.000 COP (cierre del encargo; no sigue en el proyecto)</t>
        </is>
      </c>
      <c r="E32" s="7" t="inlineStr">
        <is>
          <t>Sebas</t>
        </is>
      </c>
      <c r="F32" s="8" t="inlineStr">
        <is>
          <t>Media</t>
        </is>
      </c>
      <c r="G32" s="8" t="inlineStr">
        <is>
          <t>Hecho</t>
        </is>
      </c>
      <c r="H32" s="8" t="inlineStr">
        <is>
          <t>—</t>
        </is>
      </c>
      <c r="I32" s="21">
        <f>IFERROR(INDEX(Plan!$B$5:$B$129,MATCH(H32,Plan!$A$5:$A$129,0)),"—")</f>
        <v/>
      </c>
      <c r="J32" s="7" t="inlineStr">
        <is>
          <t>Pago único por P-66 a P-71 (4.7, 4.8, 5.9, 5.10, 6.14, 6.15). Cada PR de Carlos lo revisa un agente ga-* antes de fusionarlo a develop. 01-oct: pagado por Sebas.</t>
        </is>
      </c>
    </row>
    <row r="33">
      <c r="A33" s="19" t="inlineStr">
        <is>
          <t>P-87</t>
        </is>
      </c>
      <c r="B33" s="4" t="inlineStr">
        <is>
          <t>Configuración</t>
        </is>
      </c>
      <c r="C33" s="4" t="inlineStr">
        <is>
          <t>Vercel</t>
        </is>
      </c>
      <c r="D33" s="7" t="inlineStr">
        <is>
          <t>M-02: greenallianceco.com a veces sirve 200 en vez de redirigir 308 a www</t>
        </is>
      </c>
      <c r="E33" s="7" t="inlineStr">
        <is>
          <t>Sebas</t>
        </is>
      </c>
      <c r="F33" s="8" t="inlineStr">
        <is>
          <t>Media</t>
        </is>
      </c>
      <c r="G33" s="8" t="inlineStr">
        <is>
          <t>Hecho</t>
        </is>
      </c>
      <c r="H33" s="8" t="inlineStr">
        <is>
          <t>6.4</t>
        </is>
      </c>
      <c r="I33" s="21">
        <f>IFERROR(INDEX(Plan!$B$5:$B$129,MATCH(H33,Plan!$A$5:$A$129,0)),"—")</f>
        <v/>
      </c>
      <c r="J33" s="7" t="inlineStr">
        <is>
          <t>25-sep: Sebas mostró Vercel → Domains con greenallianceco.com en 308 → www (bien configurado); lo visto por QA era caché del borde. 25-sep: hallazgo de ga-verificador-qa (redirigió bien en la primera prueba, pero 14 min después sirvió 200 directo 5 veces seguidas). Revisar en Vercel → Domains; no es código del repo.</t>
        </is>
      </c>
    </row>
    <row r="34">
      <c r="A34" s="19" t="inlineStr">
        <is>
          <t>P-55</t>
        </is>
      </c>
      <c r="B34" s="4" t="inlineStr">
        <is>
          <t>Configuración</t>
        </is>
      </c>
      <c r="C34" s="4" t="inlineStr">
        <is>
          <t>Base de datos</t>
        </is>
      </c>
      <c r="D34" s="7" t="inlineStr">
        <is>
          <t>Opcional: revocar la secuencia limites_intentos_id_seq a anon y authenticated</t>
        </is>
      </c>
      <c r="E34" s="7" t="inlineStr">
        <is>
          <t>Yo + ga-auditor-supabase</t>
        </is>
      </c>
      <c r="F34" s="8" t="inlineStr">
        <is>
          <t>Baja</t>
        </is>
      </c>
      <c r="G34" s="8" t="inlineStr">
        <is>
          <t>Hecho</t>
        </is>
      </c>
      <c r="H34" s="8" t="inlineStr">
        <is>
          <t>6.8</t>
        </is>
      </c>
      <c r="I34" s="21">
        <f>IFERROR(INDEX(Plan!$B$5:$B$129,MATCH(H34,Plan!$A$5:$A$129,0)),"—")</f>
        <v/>
      </c>
      <c r="J34" s="7" t="inlineStr">
        <is>
          <t>Sugerido por ga-auditor-supabase en la auditoría de P-43. 30-sep: revoke incluido en la migración 20261001000000 (pgTAP 20 en verde); falta aplicarla (6.23). 01-oct: aplicada en producción con 20261001000000.</t>
        </is>
      </c>
    </row>
    <row r="35">
      <c r="A35" s="19" t="inlineStr">
        <is>
          <t>P-56</t>
        </is>
      </c>
      <c r="B35" s="4" t="inlineStr">
        <is>
          <t>Funcionalidad</t>
        </is>
      </c>
      <c r="C35" s="4" t="inlineStr">
        <is>
          <t>/cuenta/solicitar</t>
        </is>
      </c>
      <c r="D35" s="7" t="inlineStr">
        <is>
          <t>Revisar el diseño de /cuenta/solicitar (sin maqueta; selector 50/100 como radios)</t>
        </is>
      </c>
      <c r="E35" s="7" t="inlineStr">
        <is>
          <t>ga-diseno-a-codigo</t>
        </is>
      </c>
      <c r="F35" s="8" t="inlineStr">
        <is>
          <t>Media</t>
        </is>
      </c>
      <c r="G35" s="8" t="inlineStr">
        <is>
          <t>Pendiente</t>
        </is>
      </c>
      <c r="H35" s="8" t="inlineStr">
        <is>
          <t>5.6</t>
        </is>
      </c>
      <c r="I35" s="21">
        <f>IFERROR(INDEX(Plan!$B$5:$B$129,MATCH(H35,Plan!$A$5:$A$129,0)),"—")</f>
        <v/>
      </c>
      <c r="J35" s="7" t="inlineStr">
        <is>
          <t>Pedido por ga-funcionalidad-botones el 23-sep.</t>
        </is>
      </c>
    </row>
    <row r="36">
      <c r="A36" s="19" t="inlineStr">
        <is>
          <t>P-22</t>
        </is>
      </c>
      <c r="B36" s="4" t="inlineStr">
        <is>
          <t>Funcionalidad</t>
        </is>
      </c>
      <c r="C36" s="4" t="inlineStr">
        <is>
          <t>/ingresar</t>
        </is>
      </c>
      <c r="D36" s="7" t="inlineStr">
        <is>
          <t>Server Action: correo_por_cedula(), signInWithOtp, cookie firmada, ir a /ingresar/codigo</t>
        </is>
      </c>
      <c r="E36" s="7" t="inlineStr">
        <is>
          <t>ga-funcionalidad-botones</t>
        </is>
      </c>
      <c r="F36" s="8" t="inlineStr">
        <is>
          <t>Alta</t>
        </is>
      </c>
      <c r="G36" s="8" t="inlineStr">
        <is>
          <t>Hecho</t>
        </is>
      </c>
      <c r="H36" s="8" t="inlineStr">
        <is>
          <t>2.5</t>
        </is>
      </c>
      <c r="I36" s="21">
        <f>IFERROR(INDEX(Plan!$B$5:$B$129,MATCH(H36,Plan!$A$5:$A$129,0)),"—")</f>
        <v/>
      </c>
      <c r="J36" s="7" t="inlineStr"/>
    </row>
    <row r="37">
      <c r="A37" s="19" t="inlineStr">
        <is>
          <t>P-24</t>
        </is>
      </c>
      <c r="B37" s="4" t="inlineStr">
        <is>
          <t>Funcionalidad</t>
        </is>
      </c>
      <c r="C37" s="4" t="inlineStr">
        <is>
          <t>/ingresar/codigo</t>
        </is>
      </c>
      <c r="D37" s="7" t="inlineStr">
        <is>
          <t>Leer la cookie del paso 1; sin cookie, volver a /ingresar</t>
        </is>
      </c>
      <c r="E37" s="7" t="inlineStr">
        <is>
          <t>ga-funcionalidad-botones</t>
        </is>
      </c>
      <c r="F37" s="8" t="inlineStr">
        <is>
          <t>Alta</t>
        </is>
      </c>
      <c r="G37" s="8" t="inlineStr">
        <is>
          <t>Hecho</t>
        </is>
      </c>
      <c r="H37" s="8" t="inlineStr">
        <is>
          <t>2.6</t>
        </is>
      </c>
      <c r="I37" s="21">
        <f>IFERROR(INDEX(Plan!$B$5:$B$129,MATCH(H37,Plan!$A$5:$A$129,0)),"—")</f>
        <v/>
      </c>
      <c r="J37" s="7" t="inlineStr"/>
    </row>
    <row r="38">
      <c r="A38" s="19" t="inlineStr">
        <is>
          <t>P-25</t>
        </is>
      </c>
      <c r="B38" s="4" t="inlineStr">
        <is>
          <t>Funcionalidad</t>
        </is>
      </c>
      <c r="C38" s="4" t="inlineStr">
        <is>
          <t>/ingresar/codigo</t>
        </is>
      </c>
      <c r="D38" s="7" t="inlineStr">
        <is>
          <t>verifyOtp y entrar a /cuenta</t>
        </is>
      </c>
      <c r="E38" s="7" t="inlineStr">
        <is>
          <t>ga-funcionalidad-botones</t>
        </is>
      </c>
      <c r="F38" s="8" t="inlineStr">
        <is>
          <t>Alta</t>
        </is>
      </c>
      <c r="G38" s="8" t="inlineStr">
        <is>
          <t>Hecho</t>
        </is>
      </c>
      <c r="H38" s="8" t="inlineStr">
        <is>
          <t>2.6</t>
        </is>
      </c>
      <c r="I38" s="21">
        <f>IFERROR(INDEX(Plan!$B$5:$B$129,MATCH(H38,Plan!$A$5:$A$129,0)),"—")</f>
        <v/>
      </c>
      <c r="J38" s="7" t="inlineStr"/>
    </row>
    <row r="39">
      <c r="A39" s="19" t="inlineStr">
        <is>
          <t>P-28</t>
        </is>
      </c>
      <c r="B39" s="4" t="inlineStr">
        <is>
          <t>Funcionalidad</t>
        </is>
      </c>
      <c r="C39" s="4" t="inlineStr">
        <is>
          <t>/afiliacion</t>
        </is>
      </c>
      <c r="D39" s="7" t="inlineStr">
        <is>
          <t>Server Action: zod, límites por IP y cédula, guardar</t>
        </is>
      </c>
      <c r="E39" s="7" t="inlineStr">
        <is>
          <t>ga-funcionalidad-botones</t>
        </is>
      </c>
      <c r="F39" s="8" t="inlineStr">
        <is>
          <t>Alta</t>
        </is>
      </c>
      <c r="G39" s="8" t="inlineStr">
        <is>
          <t>Hecho</t>
        </is>
      </c>
      <c r="H39" s="8" t="inlineStr">
        <is>
          <t>2.9</t>
        </is>
      </c>
      <c r="I39" s="21">
        <f>IFERROR(INDEX(Plan!$B$5:$B$129,MATCH(H39,Plan!$A$5:$A$129,0)),"—")</f>
        <v/>
      </c>
      <c r="J39" s="7" t="inlineStr">
        <is>
          <t>23-sep: se quitaron los correos al equipo y al solicitante (decisión de Sebas). El equipo revisa las afiliaciones en Supabase hasta que exista el panel /admin; el correo «Ingreso aceptado» sale al aprobar (P-51).</t>
        </is>
      </c>
    </row>
    <row r="40">
      <c r="A40" s="19" t="inlineStr">
        <is>
          <t>P-31</t>
        </is>
      </c>
      <c r="B40" s="4" t="inlineStr">
        <is>
          <t>Funcionalidad</t>
        </is>
      </c>
      <c r="C40" s="4" t="inlineStr">
        <is>
          <t>/cuenta</t>
        </is>
      </c>
      <c r="D40" s="7" t="inlineStr">
        <is>
          <t>Proteger con proxy.ts y «Salir» con signOut</t>
        </is>
      </c>
      <c r="E40" s="7" t="inlineStr">
        <is>
          <t>ga-funcionalidad-botones</t>
        </is>
      </c>
      <c r="F40" s="8" t="inlineStr">
        <is>
          <t>Alta</t>
        </is>
      </c>
      <c r="G40" s="8" t="inlineStr">
        <is>
          <t>Hecho</t>
        </is>
      </c>
      <c r="H40" s="8" t="inlineStr">
        <is>
          <t>2.7</t>
        </is>
      </c>
      <c r="I40" s="21">
        <f>IFERROR(INDEX(Plan!$B$5:$B$129,MATCH(H40,Plan!$A$5:$A$129,0)),"—")</f>
        <v/>
      </c>
      <c r="J40" s="7" t="inlineStr"/>
    </row>
    <row r="41">
      <c r="A41" s="19" t="inlineStr">
        <is>
          <t>P-32</t>
        </is>
      </c>
      <c r="B41" s="4" t="inlineStr">
        <is>
          <t>Funcionalidad</t>
        </is>
      </c>
      <c r="C41" s="4" t="inlineStr">
        <is>
          <t>/cuenta</t>
        </is>
      </c>
      <c r="D41" s="7" t="inlineStr">
        <is>
          <t>Cargar perfil, última solicitud (con tasa), tope y convenios</t>
        </is>
      </c>
      <c r="E41" s="7" t="inlineStr">
        <is>
          <t>ga-funcionalidad-botones</t>
        </is>
      </c>
      <c r="F41" s="8" t="inlineStr">
        <is>
          <t>Alta</t>
        </is>
      </c>
      <c r="G41" s="8" t="inlineStr">
        <is>
          <t>Hecho</t>
        </is>
      </c>
      <c r="H41" s="8" t="inlineStr">
        <is>
          <t>3.5</t>
        </is>
      </c>
      <c r="I41" s="21">
        <f>IFERROR(INDEX(Plan!$B$5:$B$129,MATCH(H41,Plan!$A$5:$A$129,0)),"—")</f>
        <v/>
      </c>
      <c r="J41" s="7" t="inlineStr"/>
    </row>
    <row r="42">
      <c r="A42" s="19" t="inlineStr">
        <is>
          <t>P-35</t>
        </is>
      </c>
      <c r="B42" s="4" t="inlineStr">
        <is>
          <t>Funcionalidad</t>
        </is>
      </c>
      <c r="C42" s="4" t="inlineStr">
        <is>
          <t>Crédito</t>
        </is>
      </c>
      <c r="D42" s="7" t="inlineStr">
        <is>
          <t>Conectar el formulario de crédito a /cuenta</t>
        </is>
      </c>
      <c r="E42" s="7" t="inlineStr">
        <is>
          <t>ga-funcionalidad-botones</t>
        </is>
      </c>
      <c r="F42" s="8" t="inlineStr">
        <is>
          <t>Alta</t>
        </is>
      </c>
      <c r="G42" s="8" t="inlineStr">
        <is>
          <t>Hecho</t>
        </is>
      </c>
      <c r="H42" s="8" t="inlineStr">
        <is>
          <t>3.7</t>
        </is>
      </c>
      <c r="I42" s="21">
        <f>IFERROR(INDEX(Plan!$B$5:$B$129,MATCH(H42,Plan!$A$5:$A$129,0)),"—")</f>
        <v/>
      </c>
      <c r="J42" s="7" t="inlineStr">
        <is>
          <t>23-sep: el formulario vive en /cuenta/solicitar (protegida por proxy.ts, encabezado compartido EncabezadoCuenta); «Nueva solicitud» lleva ahí.</t>
        </is>
      </c>
    </row>
    <row r="43">
      <c r="A43" s="19" t="inlineStr">
        <is>
          <t>P-36</t>
        </is>
      </c>
      <c r="B43" s="4" t="inlineStr">
        <is>
          <t>Funcionalidad</t>
        </is>
      </c>
      <c r="C43" s="4" t="inlineStr">
        <is>
          <t>Admin</t>
        </is>
      </c>
      <c r="D43" s="7" t="inlineStr">
        <is>
          <t>Panel /admin: listado, aprobar y rechazar con motivo</t>
        </is>
      </c>
      <c r="E43" s="7" t="inlineStr">
        <is>
          <t>ga-funcionalidad-botones</t>
        </is>
      </c>
      <c r="F43" s="8" t="inlineStr">
        <is>
          <t>Alta</t>
        </is>
      </c>
      <c r="G43" s="8" t="inlineStr">
        <is>
          <t>Hecho</t>
        </is>
      </c>
      <c r="H43" s="8" t="inlineStr">
        <is>
          <t>4.1</t>
        </is>
      </c>
      <c r="I43" s="21">
        <f>IFERROR(INDEX(Plan!$B$5:$B$129,MATCH(H43,Plan!$A$5:$A$129,0)),"—")</f>
        <v/>
      </c>
      <c r="J43" s="7" t="inlineStr">
        <is>
          <t>24-sep: implementado y probado en local (commits 235ffbe, a13c2de). Un admin no puede resolver su propia solicitud.</t>
        </is>
      </c>
    </row>
    <row r="44">
      <c r="A44" s="19" t="inlineStr">
        <is>
          <t>P-37</t>
        </is>
      </c>
      <c r="B44" s="4" t="inlineStr">
        <is>
          <t>Funcionalidad</t>
        </is>
      </c>
      <c r="C44" s="4" t="inlineStr">
        <is>
          <t>Correos</t>
        </is>
      </c>
      <c r="D44" s="7" t="inlineStr">
        <is>
          <t>Correo «Resultado del crédito» (aprobado / no aprobado) al asociado al resolver una solicitud</t>
        </is>
      </c>
      <c r="E44" s="7" t="inlineStr">
        <is>
          <t>ga-funcionalidad-botones</t>
        </is>
      </c>
      <c r="F44" s="8" t="inlineStr">
        <is>
          <t>Alta</t>
        </is>
      </c>
      <c r="G44" s="8" t="inlineStr">
        <is>
          <t>Hecho</t>
        </is>
      </c>
      <c r="H44" s="8" t="inlineStr">
        <is>
          <t>4.3</t>
        </is>
      </c>
      <c r="I44" s="21">
        <f>IFERROR(INDEX(Plan!$B$5:$B$129,MATCH(H44,Plan!$A$5:$A$129,0)),"—")</f>
        <v/>
      </c>
      <c r="J44" s="7" t="inlineStr">
        <is>
          <t>24-sep: enviarResultadoCredito ya está conectado al aprobar/rechazar en /admin (probado en local); falta que Sebas configure el SMTP/Resend de producción (2.4) para que salga de verdad.</t>
        </is>
      </c>
    </row>
    <row r="45">
      <c r="A45" s="19" t="inlineStr">
        <is>
          <t>P-38</t>
        </is>
      </c>
      <c r="B45" s="4" t="inlineStr">
        <is>
          <t>Funcionalidad</t>
        </is>
      </c>
      <c r="C45" s="4" t="inlineStr">
        <is>
          <t>Asociados</t>
        </is>
      </c>
      <c r="D45" s="7" t="inlineStr">
        <is>
          <t>Importación de asociados desde Excel</t>
        </is>
      </c>
      <c r="E45" s="7" t="inlineStr">
        <is>
          <t>ga-funcionalidad-botones</t>
        </is>
      </c>
      <c r="F45" s="8" t="inlineStr">
        <is>
          <t>Alta</t>
        </is>
      </c>
      <c r="G45" s="8" t="inlineStr">
        <is>
          <t>Hecho</t>
        </is>
      </c>
      <c r="H45" s="8" t="inlineStr">
        <is>
          <t>4.4</t>
        </is>
      </c>
      <c r="I45" s="21">
        <f>IFERROR(INDEX(Plan!$B$5:$B$129,MATCH(H45,Plan!$A$5:$A$129,0)),"—")</f>
        <v/>
      </c>
      <c r="J45" s="7" t="inlineStr">
        <is>
          <t>Ya no aplica: decisión de la cooperativa 2026-09-24, no habrá importación de Excel.</t>
        </is>
      </c>
    </row>
    <row r="46">
      <c r="A46" s="19" t="inlineStr">
        <is>
          <t>P-51</t>
        </is>
      </c>
      <c r="B46" s="4" t="inlineStr">
        <is>
          <t>Funcionalidad</t>
        </is>
      </c>
      <c r="C46" s="4" t="inlineStr">
        <is>
          <t>Correos</t>
        </is>
      </c>
      <c r="D46" s="7" t="inlineStr">
        <is>
          <t>Correo «Ingreso aceptado» (plantilla ga-ingreso-aceptado): acción del admin que aprueba la afiliación, crea el usuario y envía el correo</t>
        </is>
      </c>
      <c r="E46" s="7" t="inlineStr">
        <is>
          <t>ga-funcionalidad-botones</t>
        </is>
      </c>
      <c r="F46" s="8" t="inlineStr">
        <is>
          <t>Alta</t>
        </is>
      </c>
      <c r="G46" s="8" t="inlineStr">
        <is>
          <t>Hecho</t>
        </is>
      </c>
      <c r="H46" s="8" t="inlineStr">
        <is>
          <t>4.5</t>
        </is>
      </c>
      <c r="I46" s="21">
        <f>IFERROR(INDEX(Plan!$B$5:$B$129,MATCH(H46,Plan!$A$5:$A$129,0)),"—")</f>
        <v/>
      </c>
      <c r="J46" s="7" t="inlineStr">
        <is>
          <t>01-oct: verificado en el código: aprobarAfiliacion (app/admin/afiliaciones/actions.ts) crea el usuario y envía enviarIngresoAceptado (lib/correo/ingreso.ts).</t>
        </is>
      </c>
    </row>
    <row r="47">
      <c r="A47" s="19" t="inlineStr">
        <is>
          <t>P-66</t>
        </is>
      </c>
      <c r="B47" s="4" t="inlineStr">
        <is>
          <t>Funcionalidad</t>
        </is>
      </c>
      <c r="C47" s="4" t="inlineStr">
        <is>
          <t>Admin</t>
        </is>
      </c>
      <c r="D47" s="7" t="inlineStr">
        <is>
          <t>Dashboard de clientes en /admin: métricas (asociados por grado/institución, afiliaciones y créditos pendientes, montos del mes, inscritos al sorteo), lista con buscador/filtros, detalle de cliente y reasignar asesor</t>
        </is>
      </c>
      <c r="E47" s="7" t="inlineStr">
        <is>
          <t>Carlos Pardo</t>
        </is>
      </c>
      <c r="F47" s="8" t="inlineStr">
        <is>
          <t>Alta</t>
        </is>
      </c>
      <c r="G47" s="8" t="inlineStr">
        <is>
          <t>Hecho</t>
        </is>
      </c>
      <c r="H47" s="8" t="inlineStr">
        <is>
          <t>4.7</t>
        </is>
      </c>
      <c r="I47" s="21">
        <f>IFERROR(INDEX(Plan!$B$5:$B$129,MATCH(H47,Plan!$A$5:$A$129,0)),"—")</f>
        <v/>
      </c>
      <c r="J47" s="7" t="inlineStr">
        <is>
          <t>Encargo externo (500.000 COP) por PR a develop. Ver P-73. 30-sep: Carlos salió; pasa a ga-funcionalidad-botones. 01-oct: verificado en el código y cerrado con 4.7 (ResumenAdmin, /admin/asociados con buscador y detalle, asignarAsesor). «Inscritos al sorteo» sigue en P-111.</t>
        </is>
      </c>
    </row>
    <row r="48">
      <c r="A48" s="19" t="inlineStr">
        <is>
          <t>P-67</t>
        </is>
      </c>
      <c r="B48" s="4" t="inlineStr">
        <is>
          <t>Funcionalidad</t>
        </is>
      </c>
      <c r="C48" s="4" t="inlineStr">
        <is>
          <t>Asesor</t>
        </is>
      </c>
      <c r="D48" s="7" t="inlineStr">
        <is>
          <t>Dashboard del asesor en /asesor: métricas de sus clientes y detalle de cliente sin celular, correo, Nequi ni fotos</t>
        </is>
      </c>
      <c r="E48" s="7" t="inlineStr">
        <is>
          <t>Carlos Pardo</t>
        </is>
      </c>
      <c r="F48" s="8" t="inlineStr">
        <is>
          <t>Alta</t>
        </is>
      </c>
      <c r="G48" s="8" t="inlineStr">
        <is>
          <t>Hecho</t>
        </is>
      </c>
      <c r="H48" s="8" t="inlineStr">
        <is>
          <t>4.8</t>
        </is>
      </c>
      <c r="I48" s="21">
        <f>IFERROR(INDEX(Plan!$B$5:$B$129,MATCH(H48,Plan!$A$5:$A$129,0)),"—")</f>
        <v/>
      </c>
      <c r="J48" s="7" t="inlineStr">
        <is>
          <t>Encargo externo (500.000 COP) por PR a develop. Ver P-73. 30-sep: Carlos salió; pasa a ga-funcionalidad-botones. 01-oct: verificado en el código y cerrado con 4.8 (/asesor con métricas; el loader no selecciona celular, correo, Nequi ni fotos).</t>
        </is>
      </c>
    </row>
    <row r="49">
      <c r="A49" s="19" t="inlineStr">
        <is>
          <t>P-69</t>
        </is>
      </c>
      <c r="B49" s="4" t="inlineStr">
        <is>
          <t>Funcionalidad</t>
        </is>
      </c>
      <c r="C49" s="4" t="inlineStr">
        <is>
          <t>Legal</t>
        </is>
      </c>
      <c r="D49" s="7" t="inlineStr">
        <is>
          <t>Ley 1581: borrado automático de fotos de afiliaciones rechazadas tras X días y motivo de rechazo en /admin</t>
        </is>
      </c>
      <c r="E49" s="7" t="inlineStr">
        <is>
          <t>Carlos Pardo</t>
        </is>
      </c>
      <c r="F49" s="8" t="inlineStr">
        <is>
          <t>Alta</t>
        </is>
      </c>
      <c r="G49" s="8" t="inlineStr">
        <is>
          <t>Hecho</t>
        </is>
      </c>
      <c r="H49" s="8" t="inlineStr">
        <is>
          <t>5.10</t>
        </is>
      </c>
      <c r="I49" s="21">
        <f>IFERROR(INDEX(Plan!$B$5:$B$129,MATCH(H49,Plan!$A$5:$A$129,0)),"—")</f>
        <v/>
      </c>
      <c r="J49" s="7" t="inlineStr">
        <is>
          <t>Encargo externo (500.000 COP) por PR a develop. Falta que la cooperativa dé el X de días (ver P-63). Ver P-73. 29-sep: primera entrega (ZIP, base main anterior al rediseño C+) NO fusionable — reintroduce F2-03, pierde el revoke en resumen_clientes_asesor, columna de motivo de rechazo inexistente sin migración, purga con columnas/bucket equivocados y cron abierto sin CRON_SECRET, claves en .env.example, console.log, config de túnel, sin pruebas. Se le envió la lista de correcciones para rehacer sobre rediseno-c-plus, un PR por tarea. 30-sep: hecho por agentes (cron cada hora + RPC fotos_huerfanas_afiliacion).</t>
        </is>
      </c>
    </row>
    <row r="50">
      <c r="A50" s="19" t="inlineStr">
        <is>
          <t>P-85</t>
        </is>
      </c>
      <c r="B50" s="4" t="inlineStr">
        <is>
          <t>Funcionalidad</t>
        </is>
      </c>
      <c r="C50" s="4" t="inlineStr">
        <is>
          <t>/afiliacion</t>
        </is>
      </c>
      <c r="D50" s="7" t="inlineStr">
        <is>
          <t>Correo de afiliación acepta cualquier dominio (ya no exige @policia.gov.co / @ejercito.mil.co)</t>
        </is>
      </c>
      <c r="E50" s="7" t="inlineStr">
        <is>
          <t>sesión principal</t>
        </is>
      </c>
      <c r="F50" s="8" t="inlineStr">
        <is>
          <t>Alta</t>
        </is>
      </c>
      <c r="G50" s="8" t="inlineStr">
        <is>
          <t>Hecho</t>
        </is>
      </c>
      <c r="H50" s="8" t="inlineStr">
        <is>
          <t>2.12</t>
        </is>
      </c>
      <c r="I50" s="21">
        <f>IFERROR(INDEX(Plan!$B$5:$B$129,MATCH(H50,Plan!$A$5:$A$129,0)),"—")</f>
        <v/>
      </c>
      <c r="J50" s="7" t="inlineStr">
        <is>
          <t>25-sep: esquema zod, campo del formulario y pruebas (unitarias, e2e, pgTAP) actualizados; migración 20260925194922_correo_afiliacion_cualquier_dominio aplicada en producción (base de datos) y el archivo local renombrado a esa versión para que el historial coincida. F-01 revisado: la máscara del correo ahora oculta también el dominio («ju•••@•••»). 25-sep: desplegado con el PR #2 (merge 2c19d02); confirmado en vivo que /afiliacion ya no exige correo institucional.</t>
        </is>
      </c>
    </row>
    <row r="51">
      <c r="A51" s="19" t="inlineStr">
        <is>
          <t>P-112</t>
        </is>
      </c>
      <c r="B51" s="4" t="inlineStr">
        <is>
          <t>Funcionalidad</t>
        </is>
      </c>
      <c r="C51" s="4" t="inlineStr">
        <is>
          <t>Pruebas</t>
        </is>
      </c>
      <c r="D51" s="7" t="inlineStr">
        <is>
          <t>Agregar admin_metricas_dashboard y asesor_metricas_dashboard a las listas blancas de security definer (pgTAP 00 #14 y 15 #24)</t>
        </is>
      </c>
      <c r="E51" s="7" t="inlineStr">
        <is>
          <t>ga-escritor-tests</t>
        </is>
      </c>
      <c r="F51" s="8" t="inlineStr">
        <is>
          <t>Media</t>
        </is>
      </c>
      <c r="G51" s="8" t="inlineStr">
        <is>
          <t>Hecho</t>
        </is>
      </c>
      <c r="H51" s="8" t="inlineStr">
        <is>
          <t>6.21</t>
        </is>
      </c>
      <c r="I51" s="21">
        <f>IFERROR(INDEX(Plan!$B$5:$B$129,MATCH(H51,Plan!$A$5:$A$129,0)),"—")</f>
        <v/>
      </c>
      <c r="J51" s="7" t="inlineStr">
        <is>
          <t>30-sep: reportado por ga-auditor-supabase. 01-oct: listas blancas de 00 y 15 actualizadas por ga-auditor-supabase (falta correrlas: Docker).</t>
        </is>
      </c>
    </row>
    <row r="52">
      <c r="A52" s="19" t="inlineStr">
        <is>
          <t>P-23</t>
        </is>
      </c>
      <c r="B52" s="4" t="inlineStr">
        <is>
          <t>Funcionalidad</t>
        </is>
      </c>
      <c r="C52" s="4" t="inlineStr">
        <is>
          <t>/ingresar</t>
        </is>
      </c>
      <c r="D52" s="7" t="inlineStr">
        <is>
          <t>Estado «Enviando…» (prop cargando) y errores (prop error)</t>
        </is>
      </c>
      <c r="E52" s="7" t="inlineStr">
        <is>
          <t>ga-funcionalidad-botones</t>
        </is>
      </c>
      <c r="F52" s="8" t="inlineStr">
        <is>
          <t>Media</t>
        </is>
      </c>
      <c r="G52" s="8" t="inlineStr">
        <is>
          <t>Hecho</t>
        </is>
      </c>
      <c r="H52" s="8" t="inlineStr">
        <is>
          <t>2.5</t>
        </is>
      </c>
      <c r="I52" s="21">
        <f>IFERROR(INDEX(Plan!$B$5:$B$129,MATCH(H52,Plan!$A$5:$A$129,0)),"—")</f>
        <v/>
      </c>
      <c r="J52" s="7" t="inlineStr"/>
    </row>
    <row r="53">
      <c r="A53" s="19" t="inlineStr">
        <is>
          <t>P-26</t>
        </is>
      </c>
      <c r="B53" s="4" t="inlineStr">
        <is>
          <t>Funcionalidad</t>
        </is>
      </c>
      <c r="C53" s="4" t="inlineStr">
        <is>
          <t>/ingresar/codigo</t>
        </is>
      </c>
      <c r="D53" s="7" t="inlineStr">
        <is>
          <t>Casillas OTP: avance automático, Backspace, pegar; «Entrar» con 6 dígitos</t>
        </is>
      </c>
      <c r="E53" s="7" t="inlineStr">
        <is>
          <t>ga-funcionalidad-botones</t>
        </is>
      </c>
      <c r="F53" s="8" t="inlineStr">
        <is>
          <t>Media</t>
        </is>
      </c>
      <c r="G53" s="8" t="inlineStr">
        <is>
          <t>Hecho</t>
        </is>
      </c>
      <c r="H53" s="8" t="inlineStr">
        <is>
          <t>2.6</t>
        </is>
      </c>
      <c r="I53" s="21">
        <f>IFERROR(INDEX(Plan!$B$5:$B$129,MATCH(H53,Plan!$A$5:$A$129,0)),"—")</f>
        <v/>
      </c>
      <c r="J53" s="7" t="inlineStr"/>
    </row>
    <row r="54">
      <c r="A54" s="19" t="inlineStr">
        <is>
          <t>P-27</t>
        </is>
      </c>
      <c r="B54" s="4" t="inlineStr">
        <is>
          <t>Funcionalidad</t>
        </is>
      </c>
      <c r="C54" s="4" t="inlineStr">
        <is>
          <t>/ingresar/codigo</t>
        </is>
      </c>
      <c r="D54" s="7" t="inlineStr">
        <is>
          <t>«Reenviar código» con contador de 45 s; «Cambiar cédula» limpia la cookie</t>
        </is>
      </c>
      <c r="E54" s="7" t="inlineStr">
        <is>
          <t>ga-funcionalidad-botones</t>
        </is>
      </c>
      <c r="F54" s="8" t="inlineStr">
        <is>
          <t>Media</t>
        </is>
      </c>
      <c r="G54" s="8" t="inlineStr">
        <is>
          <t>Hecho</t>
        </is>
      </c>
      <c r="H54" s="8" t="inlineStr">
        <is>
          <t>2.6</t>
        </is>
      </c>
      <c r="I54" s="21">
        <f>IFERROR(INDEX(Plan!$B$5:$B$129,MATCH(H54,Plan!$A$5:$A$129,0)),"—")</f>
        <v/>
      </c>
      <c r="J54" s="7" t="inlineStr"/>
    </row>
    <row r="55">
      <c r="A55" s="19" t="inlineStr">
        <is>
          <t>P-29</t>
        </is>
      </c>
      <c r="B55" s="4" t="inlineStr">
        <is>
          <t>Funcionalidad</t>
        </is>
      </c>
      <c r="C55" s="4" t="inlineStr">
        <is>
          <t>/afiliacion</t>
        </is>
      </c>
      <c r="D55" s="7" t="inlineStr">
        <is>
          <t>Grados desde grados_credito, honeypot, errores y estado de carga</t>
        </is>
      </c>
      <c r="E55" s="7" t="inlineStr">
        <is>
          <t>ga-funcionalidad-botones</t>
        </is>
      </c>
      <c r="F55" s="8" t="inlineStr">
        <is>
          <t>Media</t>
        </is>
      </c>
      <c r="G55" s="8" t="inlineStr">
        <is>
          <t>Hecho</t>
        </is>
      </c>
      <c r="H55" s="8" t="inlineStr">
        <is>
          <t>2.9</t>
        </is>
      </c>
      <c r="I55" s="21">
        <f>IFERROR(INDEX(Plan!$B$5:$B$129,MATCH(H55,Plan!$A$5:$A$129,0)),"—")</f>
        <v/>
      </c>
      <c r="J55" s="7" t="inlineStr"/>
    </row>
    <row r="56">
      <c r="A56" s="19" t="inlineStr">
        <is>
          <t>P-33</t>
        </is>
      </c>
      <c r="B56" s="4" t="inlineStr">
        <is>
          <t>Funcionalidad</t>
        </is>
      </c>
      <c r="C56" s="4" t="inlineStr">
        <is>
          <t>/cuenta</t>
        </is>
      </c>
      <c r="D56" s="7" t="inlineStr">
        <is>
          <t>«Mis datos»: actualizar solo perfiles.telefono</t>
        </is>
      </c>
      <c r="E56" s="7" t="inlineStr">
        <is>
          <t>ga-funcionalidad-botones</t>
        </is>
      </c>
      <c r="F56" s="8" t="inlineStr">
        <is>
          <t>Media</t>
        </is>
      </c>
      <c r="G56" s="8" t="inlineStr">
        <is>
          <t>Hecho</t>
        </is>
      </c>
      <c r="H56" s="8" t="inlineStr">
        <is>
          <t>3.6</t>
        </is>
      </c>
      <c r="I56" s="21">
        <f>IFERROR(INDEX(Plan!$B$5:$B$129,MATCH(H56,Plan!$A$5:$A$129,0)),"—")</f>
        <v/>
      </c>
      <c r="J56" s="7" t="inlineStr">
        <is>
          <t>Con error, alinear «Guardar» con el campo desde 640 px.</t>
        </is>
      </c>
    </row>
    <row r="57">
      <c r="A57" s="19" t="inlineStr">
        <is>
          <t>P-48</t>
        </is>
      </c>
      <c r="B57" s="4" t="inlineStr">
        <is>
          <t>Funcionalidad</t>
        </is>
      </c>
      <c r="C57" s="4" t="inlineStr">
        <is>
          <t>/afiliacion</t>
        </is>
      </c>
      <c r="D57" s="7" t="inlineStr">
        <is>
          <t>F-01: el select «Grado» se vacía tras un error de validación</t>
        </is>
      </c>
      <c r="E57" s="7" t="inlineStr">
        <is>
          <t>ga-funcionalidad-botones</t>
        </is>
      </c>
      <c r="F57" s="8" t="inlineStr">
        <is>
          <t>Media</t>
        </is>
      </c>
      <c r="G57" s="8" t="inlineStr">
        <is>
          <t>Hecho</t>
        </is>
      </c>
      <c r="H57" s="8" t="inlineStr">
        <is>
          <t>2.11</t>
        </is>
      </c>
      <c r="I57" s="21">
        <f>IFERROR(INDEX(Plan!$B$5:$B$129,MATCH(H57,Plan!$A$5:$A$129,0)),"—")</f>
        <v/>
      </c>
      <c r="J57" s="7" t="inlineStr">
        <is>
          <t>Falla media de la verificación QA 1 (docs/verificaciones/2026-09-23-verificacion-1.md). 01-oct: corregido (formulario se rehace con key; conserva Institución/Grado).</t>
        </is>
      </c>
    </row>
    <row r="58">
      <c r="A58" s="19" t="inlineStr">
        <is>
          <t>P-57</t>
        </is>
      </c>
      <c r="B58" s="4" t="inlineStr">
        <is>
          <t>Funcionalidad</t>
        </is>
      </c>
      <c r="C58" s="4" t="inlineStr">
        <is>
          <t>/asesor</t>
        </is>
      </c>
      <c r="D58" s="7" t="inlineStr">
        <is>
          <t>Agregar /asesor al matcher de proxy.ts y redirigir por rol tras el login</t>
        </is>
      </c>
      <c r="E58" s="7" t="inlineStr">
        <is>
          <t>ga-funcionalidad-botones</t>
        </is>
      </c>
      <c r="F58" s="8" t="inlineStr">
        <is>
          <t>Media</t>
        </is>
      </c>
      <c r="G58" s="8" t="inlineStr">
        <is>
          <t>Hecho</t>
        </is>
      </c>
      <c r="H58" s="8" t="inlineStr">
        <is>
          <t>4.6</t>
        </is>
      </c>
      <c r="I58" s="21">
        <f>IFERROR(INDEX(Plan!$B$5:$B$129,MATCH(H58,Plan!$A$5:$A$129,0)),"—")</f>
        <v/>
      </c>
      <c r="J58" s="7" t="inlineStr">
        <is>
          <t>01-oct: verificado en el código: /asesor en el matcher de proxy.ts y redirección por rol en app/ingresar/actions.ts.</t>
        </is>
      </c>
    </row>
    <row r="59">
      <c r="A59" s="19" t="inlineStr">
        <is>
          <t>P-68</t>
        </is>
      </c>
      <c r="B59" s="4" t="inlineStr">
        <is>
          <t>Funcionalidad</t>
        </is>
      </c>
      <c r="C59" s="4" t="inlineStr">
        <is>
          <t>Convenios</t>
        </is>
      </c>
      <c r="D59" s="7" t="inlineStr">
        <is>
          <t>Convenios administrables desde /admin (crear, editar, ocultar, ordenar, logo en Storage); landing y /cuenta leen de la tabla convenios</t>
        </is>
      </c>
      <c r="E59" s="7" t="inlineStr">
        <is>
          <t>Carlos Pardo</t>
        </is>
      </c>
      <c r="F59" s="8" t="inlineStr">
        <is>
          <t>Media</t>
        </is>
      </c>
      <c r="G59" s="8" t="inlineStr">
        <is>
          <t>Hecho</t>
        </is>
      </c>
      <c r="H59" s="8" t="inlineStr">
        <is>
          <t>5.9</t>
        </is>
      </c>
      <c r="I59" s="21">
        <f>IFERROR(INDEX(Plan!$B$5:$B$129,MATCH(H59,Plan!$A$5:$A$129,0)),"—")</f>
        <v/>
      </c>
      <c r="J59" s="7" t="inlineStr">
        <is>
          <t>Encargo externo (500.000 COP) por PR a develop. Ver P-73. 30-sep: Carlos salió; pasa a ga-funcionalidad-botones. 01-oct: hecho por agentes (5.9); falta aplicar 20261002000000 (P-114).</t>
        </is>
      </c>
    </row>
    <row r="60">
      <c r="A60" s="19" t="inlineStr">
        <is>
          <t>P-74</t>
        </is>
      </c>
      <c r="B60" s="4" t="inlineStr">
        <is>
          <t>Funcionalidad</t>
        </is>
      </c>
      <c r="C60" s="4" t="inlineStr">
        <is>
          <t>/afiliacion</t>
        </is>
      </c>
      <c r="D60" s="7" t="inlineStr">
        <is>
          <t>Bug: esquemaAfiliacion no valida el cruce institución↔correo institucional si falla cualquier otro campo del formulario</t>
        </is>
      </c>
      <c r="E60" s="7" t="inlineStr">
        <is>
          <t>ga-funcionalidad-botones</t>
        </is>
      </c>
      <c r="F60" s="8" t="inlineStr">
        <is>
          <t>Media</t>
        </is>
      </c>
      <c r="G60" s="8" t="inlineStr">
        <is>
          <t>Hecho</t>
        </is>
      </c>
      <c r="H60" s="8" t="inlineStr">
        <is>
          <t>2.13</t>
        </is>
      </c>
      <c r="I60" s="21">
        <f>IFERROR(INDEX(Plan!$B$5:$B$129,MATCH(H60,Plan!$A$5:$A$129,0)),"—")</f>
        <v/>
      </c>
      <c r="J60" s="7" t="inlineStr">
        <is>
          <t>Reportado por ga-escritor-tests el 24-sep; reproducido en tests/unit/validaciones.test.ts y en tests/e2e/d-afiliacion.spec.ts (D4, casos bug: true). Falta correr npm run test:db (pgTAP), bloqueado por el permiso de la sandbox. Corregido por la sesión principal el 2026-09-24 (commit fedf620): superRefine con `when`; 308 unitarias, 96 e2e de afiliación y 222 pgTAP en verde.</t>
        </is>
      </c>
    </row>
    <row r="61">
      <c r="A61" s="19" t="inlineStr">
        <is>
          <t>P-89</t>
        </is>
      </c>
      <c r="B61" s="4" t="inlineStr">
        <is>
          <t>Funcionalidad</t>
        </is>
      </c>
      <c r="C61" s="4" t="inlineStr">
        <is>
          <t>Admin</t>
        </is>
      </c>
      <c r="D61" s="7" t="inlineStr">
        <is>
          <t>Cuenta de demostración para administradores en /admin/demo (pestaña «Demostración»)</t>
        </is>
      </c>
      <c r="E61" s="7" t="inlineStr">
        <is>
          <t>sesión principal</t>
        </is>
      </c>
      <c r="F61" s="8" t="inlineStr">
        <is>
          <t>Media</t>
        </is>
      </c>
      <c r="G61" s="8" t="inlineStr">
        <is>
          <t>Hecho</t>
        </is>
      </c>
      <c r="H61" s="8" t="inlineStr">
        <is>
          <t>4.9</t>
        </is>
      </c>
      <c r="I61" s="21">
        <f>IFERROR(INDEX(Plan!$B$5:$B$129,MATCH(H61,Plan!$A$5:$A$129,0)),"—")</f>
        <v/>
      </c>
      <c r="J61" s="7" t="inlineStr">
        <is>
          <t>25-sep: reutiliza la cuenta fantasma de /asesor/demo; lectura de grados compartida en lib/asesor/cargarPaquetesDemo.ts; un asesor no puede entrar. 25-sep: desplegado con el PR #2 (merge 2c19d02); confirmado por HTTP que /admin/demo redirige a /ingresar sin sesión. Falta que Sebas la confirme a ojo con su propia sesión.</t>
        </is>
      </c>
    </row>
    <row r="62">
      <c r="A62" s="19" t="inlineStr">
        <is>
          <t>P-108</t>
        </is>
      </c>
      <c r="B62" s="4" t="inlineStr">
        <is>
          <t>Funcionalidad</t>
        </is>
      </c>
      <c r="C62" s="4" t="inlineStr">
        <is>
          <t>Asesor</t>
        </is>
      </c>
      <c r="D62" s="7" t="inlineStr">
        <is>
          <t>Backlog: premio al primer asesor</t>
        </is>
      </c>
      <c r="E62" s="7" t="inlineStr">
        <is>
          <t>ga-funcionalidad-botones</t>
        </is>
      </c>
      <c r="F62" s="8" t="inlineStr">
        <is>
          <t>Baja</t>
        </is>
      </c>
      <c r="G62" s="8" t="inlineStr">
        <is>
          <t>Hecho</t>
        </is>
      </c>
      <c r="H62" s="8" t="inlineStr">
        <is>
          <t>5.11</t>
        </is>
      </c>
      <c r="I62" s="21">
        <f>IFERROR(INDEX(Plan!$B$5:$B$129,MATCH(H62,Plan!$A$5:$A$129,0)),"—")</f>
        <v/>
      </c>
      <c r="J62" s="7" t="inlineStr">
        <is>
          <t>Spec §12.12</t>
        </is>
      </c>
    </row>
    <row r="63">
      <c r="A63" s="19" t="inlineStr">
        <is>
          <t>P-109</t>
        </is>
      </c>
      <c r="B63" s="4" t="inlineStr">
        <is>
          <t>Funcionalidad</t>
        </is>
      </c>
      <c r="C63" s="4" t="inlineStr">
        <is>
          <t>/cuenta</t>
        </is>
      </c>
      <c r="D63" s="7" t="inlineStr">
        <is>
          <t>Backlog: carné virtual del asociado</t>
        </is>
      </c>
      <c r="E63" s="7" t="inlineStr">
        <is>
          <t>ga-diseno-a-codigo</t>
        </is>
      </c>
      <c r="F63" s="8" t="inlineStr">
        <is>
          <t>Baja</t>
        </is>
      </c>
      <c r="G63" s="8" t="inlineStr">
        <is>
          <t>Hecho</t>
        </is>
      </c>
      <c r="H63" s="8" t="inlineStr">
        <is>
          <t>5.12</t>
        </is>
      </c>
      <c r="I63" s="21">
        <f>IFERROR(INDEX(Plan!$B$5:$B$129,MATCH(H63,Plan!$A$5:$A$129,0)),"—")</f>
        <v/>
      </c>
      <c r="J63" s="7" t="inlineStr">
        <is>
          <t>Spec §12.12 01-oct: carné virtual en /cuenta (5.12).</t>
        </is>
      </c>
    </row>
    <row r="64">
      <c r="A64" s="19" t="inlineStr">
        <is>
          <t>P-30</t>
        </is>
      </c>
      <c r="B64" s="4" t="inlineStr">
        <is>
          <t>Funcionalidad</t>
        </is>
      </c>
      <c r="C64" s="4" t="inlineStr">
        <is>
          <t>/afiliacion/enviada</t>
        </is>
      </c>
      <c r="D64" s="7" t="inlineStr">
        <is>
          <t>Mostrar el correo real; si se entra directo, redirigir</t>
        </is>
      </c>
      <c r="E64" s="7" t="inlineStr">
        <is>
          <t>ga-funcionalidad-botones</t>
        </is>
      </c>
      <c r="F64" s="8" t="inlineStr">
        <is>
          <t>Baja</t>
        </is>
      </c>
      <c r="G64" s="8" t="inlineStr">
        <is>
          <t>Hecho</t>
        </is>
      </c>
      <c r="H64" s="8" t="inlineStr">
        <is>
          <t>2.10</t>
        </is>
      </c>
      <c r="I64" s="21">
        <f>IFERROR(INDEX(Plan!$B$5:$B$129,MATCH(H64,Plan!$A$5:$A$129,0)),"—")</f>
        <v/>
      </c>
      <c r="J64" s="7" t="inlineStr"/>
    </row>
    <row r="65">
      <c r="A65" s="19" t="inlineStr">
        <is>
          <t>P-34</t>
        </is>
      </c>
      <c r="B65" s="4" t="inlineStr">
        <is>
          <t>Funcionalidad</t>
        </is>
      </c>
      <c r="C65" s="4" t="inlineStr">
        <is>
          <t>Landing</t>
        </is>
      </c>
      <c r="D65" s="7" t="inlineStr">
        <is>
          <t>«Mi cuenta», «Ingresar», «Solicitar crédito», «Ver beneficios» → /cuenta con sesión</t>
        </is>
      </c>
      <c r="E65" s="7" t="inlineStr">
        <is>
          <t>ga-funcionalidad-botones</t>
        </is>
      </c>
      <c r="F65" s="8" t="inlineStr">
        <is>
          <t>Baja</t>
        </is>
      </c>
      <c r="G65" s="8" t="inlineStr">
        <is>
          <t>Hecho</t>
        </is>
      </c>
      <c r="H65" s="8" t="inlineStr">
        <is>
          <t>2.8</t>
        </is>
      </c>
      <c r="I65" s="21">
        <f>IFERROR(INDEX(Plan!$B$5:$B$129,MATCH(H65,Plan!$A$5:$A$129,0)),"—")</f>
        <v/>
      </c>
      <c r="J65" s="7" t="inlineStr">
        <is>
          <t>Convenios fijos en la landing por ahora.</t>
        </is>
      </c>
    </row>
    <row r="66">
      <c r="A66" s="19" t="inlineStr">
        <is>
          <t>P-124</t>
        </is>
      </c>
      <c r="B66" s="4" t="inlineStr">
        <is>
          <t>Dato de la cooperativa</t>
        </is>
      </c>
      <c r="C66" s="4" t="inlineStr">
        <is>
          <t>Landing</t>
        </is>
      </c>
      <c r="D66" s="7" t="inlineStr">
        <is>
          <t>Fotos de las sedes</t>
        </is>
      </c>
      <c r="E66" s="7" t="inlineStr">
        <is>
          <t>Cooperativa</t>
        </is>
      </c>
      <c r="F66" s="8" t="inlineStr">
        <is>
          <t>Baja</t>
        </is>
      </c>
      <c r="G66" s="8" t="inlineStr">
        <is>
          <t>Pendiente</t>
        </is>
      </c>
      <c r="H66" s="8" t="inlineStr">
        <is>
          <t>5.3</t>
        </is>
      </c>
      <c r="I66" s="21">
        <f>IFERROR(INDEX(Plan!$B$5:$B$129,MATCH(H66,Plan!$A$5:$A$129,0)),"—")</f>
        <v/>
      </c>
      <c r="J66" s="7" t="inlineStr"/>
    </row>
    <row r="67">
      <c r="A67" s="19" t="inlineStr">
        <is>
          <t>P-16</t>
        </is>
      </c>
      <c r="B67" s="4" t="inlineStr">
        <is>
          <t>Dato de la cooperativa</t>
        </is>
      </c>
      <c r="C67" s="4" t="inlineStr">
        <is>
          <t>Landing</t>
        </is>
      </c>
      <c r="D67" s="7" t="inlineStr">
        <is>
          <t>Fotos reales, cifras y testimonios</t>
        </is>
      </c>
      <c r="E67" s="7" t="inlineStr">
        <is>
          <t>Cooperativa</t>
        </is>
      </c>
      <c r="F67" s="8" t="inlineStr">
        <is>
          <t>Baja</t>
        </is>
      </c>
      <c r="G67" s="8" t="inlineStr">
        <is>
          <t>Pendiente</t>
        </is>
      </c>
      <c r="H67" s="8" t="inlineStr">
        <is>
          <t>5.3</t>
        </is>
      </c>
      <c r="I67" s="21">
        <f>IFERROR(INDEX(Plan!$B$5:$B$129,MATCH(H67,Plan!$A$5:$A$129,0)),"—")</f>
        <v/>
      </c>
      <c r="J67" s="7" t="inlineStr">
        <is>
          <t>23-sep: los espacios de foto de la landing ya tienen diseño de marca (EspacioFoto). Para poner la foto real se cambia `null` por { src, alt }. Faltan las fotos de la cooperativa.</t>
        </is>
      </c>
    </row>
    <row r="68">
      <c r="A68" s="19" t="inlineStr">
        <is>
          <t>P-14</t>
        </is>
      </c>
      <c r="B68" s="4" t="inlineStr">
        <is>
          <t>Dato de la cooperativa</t>
        </is>
      </c>
      <c r="C68" s="4" t="inlineStr">
        <is>
          <t>Legal</t>
        </is>
      </c>
      <c r="D68" s="7" t="inlineStr">
        <is>
          <t>Texto de la política de datos</t>
        </is>
      </c>
      <c r="E68" s="7" t="inlineStr">
        <is>
          <t>Cooperativa</t>
        </is>
      </c>
      <c r="F68" s="8" t="inlineStr">
        <is>
          <t>Alta</t>
        </is>
      </c>
      <c r="G68" s="8" t="inlineStr">
        <is>
          <t>Hecho</t>
        </is>
      </c>
      <c r="H68" s="8" t="inlineStr">
        <is>
          <t>5.4</t>
        </is>
      </c>
      <c r="I68" s="21">
        <f>IFERROR(INDEX(Plan!$B$5:$B$129,MATCH(H68,Plan!$A$5:$A$129,0)),"—")</f>
        <v/>
      </c>
      <c r="J68" s="7" t="inlineStr">
        <is>
          <t>Ruta /politica-de-datos ya existe. 24-sep: borrador completo con 10 secciones (Ley 1581, Decreto 1377) y la autorización de datos sensibles para fotos y selfie; los datos que faltan quedan resaltados en la página con &lt;Pendiente&gt;. Faltan de la cooperativa: NIT/dirección/ciudad (P-75), fecha de vigencia (P-76), país o región de los servidores -Supabase, Vercel, Resend- (P-77), alternativa de verificación sin selfie (P-78), plazos de conservación de fotos y demás datos (P-79, ligado a P-63) y si reportan a centrales de riesgo Ley 1266 (P-80); y falta revisión de un abogado (P-81). Bloquea el despliegue.</t>
        </is>
      </c>
    </row>
    <row r="69">
      <c r="A69" s="19" t="inlineStr">
        <is>
          <t>P-18</t>
        </is>
      </c>
      <c r="B69" s="4" t="inlineStr">
        <is>
          <t>Dato de la cooperativa</t>
        </is>
      </c>
      <c r="C69" s="4" t="inlineStr">
        <is>
          <t>Asociados</t>
        </is>
      </c>
      <c r="D69" s="7" t="inlineStr">
        <is>
          <t>Correos reales de los asociados (Excel de importación)</t>
        </is>
      </c>
      <c r="E69" s="7" t="inlineStr">
        <is>
          <t>Cooperativa</t>
        </is>
      </c>
      <c r="F69" s="8" t="inlineStr">
        <is>
          <t>Alta</t>
        </is>
      </c>
      <c r="G69" s="8" t="inlineStr">
        <is>
          <t>Hecho</t>
        </is>
      </c>
      <c r="H69" s="8" t="inlineStr">
        <is>
          <t>4.4</t>
        </is>
      </c>
      <c r="I69" s="21">
        <f>IFERROR(INDEX(Plan!$B$5:$B$129,MATCH(H69,Plan!$A$5:$A$129,0)),"—")</f>
        <v/>
      </c>
      <c r="J69" s="7" t="inlineStr">
        <is>
          <t>Ya no aplica: decisión de la cooperativa 2026-09-24, no habrá importación de Excel. El ingreso ahora se resuelve con la afiliación v2 (correo institucional propio) más aprobación en /admin.</t>
        </is>
      </c>
    </row>
    <row r="70">
      <c r="A70" s="19" t="inlineStr">
        <is>
          <t>P-75</t>
        </is>
      </c>
      <c r="B70" s="4" t="inlineStr">
        <is>
          <t>Dato de la cooperativa</t>
        </is>
      </c>
      <c r="C70" s="4" t="inlineStr">
        <is>
          <t>Legal</t>
        </is>
      </c>
      <c r="D70" s="7" t="inlineStr">
        <is>
          <t>NIT, dirección y ciudad de la cooperativa para la política de datos</t>
        </is>
      </c>
      <c r="E70" s="7" t="inlineStr">
        <is>
          <t>Cooperativa</t>
        </is>
      </c>
      <c r="F70" s="8" t="inlineStr">
        <is>
          <t>Alta</t>
        </is>
      </c>
      <c r="G70" s="8" t="inlineStr">
        <is>
          <t>Hecho</t>
        </is>
      </c>
      <c r="H70" s="8" t="inlineStr">
        <is>
          <t>5.4</t>
        </is>
      </c>
      <c r="I70" s="21">
        <f>IFERROR(INDEX(Plan!$B$5:$B$129,MATCH(H70,Plan!$A$5:$A$129,0)),"—")</f>
        <v/>
      </c>
      <c r="J70" s="7" t="inlineStr">
        <is>
          <t>24-sep: reportado por la sesión principal, necesario para publicar /politica-de-datos. 30-sep: NIT 902.103.335-7, Cr 78 No. 16 D 71, Bogotá (Cámara de Comercio).</t>
        </is>
      </c>
    </row>
    <row r="71">
      <c r="A71" s="19" t="inlineStr">
        <is>
          <t>P-76</t>
        </is>
      </c>
      <c r="B71" s="4" t="inlineStr">
        <is>
          <t>Dato de la cooperativa</t>
        </is>
      </c>
      <c r="C71" s="4" t="inlineStr">
        <is>
          <t>Legal</t>
        </is>
      </c>
      <c r="D71" s="7" t="inlineStr">
        <is>
          <t>Fecha de vigencia de la política de datos</t>
        </is>
      </c>
      <c r="E71" s="7" t="inlineStr">
        <is>
          <t>Cooperativa</t>
        </is>
      </c>
      <c r="F71" s="8" t="inlineStr">
        <is>
          <t>Alta</t>
        </is>
      </c>
      <c r="G71" s="8" t="inlineStr">
        <is>
          <t>Hecho</t>
        </is>
      </c>
      <c r="H71" s="8" t="inlineStr">
        <is>
          <t>5.4</t>
        </is>
      </c>
      <c r="I71" s="21">
        <f>IFERROR(INDEX(Plan!$B$5:$B$129,MATCH(H71,Plan!$A$5:$A$129,0)),"—")</f>
        <v/>
      </c>
      <c r="J71" s="7" t="inlineStr">
        <is>
          <t>24-sep: reportado por la sesión principal.</t>
        </is>
      </c>
    </row>
    <row r="72">
      <c r="A72" s="19" t="inlineStr">
        <is>
          <t>P-77</t>
        </is>
      </c>
      <c r="B72" s="4" t="inlineStr">
        <is>
          <t>Dato de la cooperativa</t>
        </is>
      </c>
      <c r="C72" s="4" t="inlineStr">
        <is>
          <t>Legal</t>
        </is>
      </c>
      <c r="D72" s="7" t="inlineStr">
        <is>
          <t>País o región de los servidores (Supabase, Vercel, Resend)</t>
        </is>
      </c>
      <c r="E72" s="7" t="inlineStr">
        <is>
          <t>Cooperativa</t>
        </is>
      </c>
      <c r="F72" s="8" t="inlineStr">
        <is>
          <t>Alta</t>
        </is>
      </c>
      <c r="G72" s="8" t="inlineStr">
        <is>
          <t>Hecho</t>
        </is>
      </c>
      <c r="H72" s="8" t="inlineStr">
        <is>
          <t>5.4</t>
        </is>
      </c>
      <c r="I72" s="21">
        <f>IFERROR(INDEX(Plan!$B$5:$B$129,MATCH(H72,Plan!$A$5:$A$129,0)),"—")</f>
        <v/>
      </c>
      <c r="J72" s="7" t="inlineStr">
        <is>
          <t>24-sep: reportado por la sesión principal, dato exigido por la Ley 1581 para informar transferencia internacional de datos.</t>
        </is>
      </c>
    </row>
    <row r="73">
      <c r="A73" s="19" t="inlineStr">
        <is>
          <t>P-78</t>
        </is>
      </c>
      <c r="B73" s="4" t="inlineStr">
        <is>
          <t>Dato de la cooperativa</t>
        </is>
      </c>
      <c r="C73" s="4" t="inlineStr">
        <is>
          <t>Legal</t>
        </is>
      </c>
      <c r="D73" s="7" t="inlineStr">
        <is>
          <t>Alternativa de verificación para quien no quiera subir la selfie</t>
        </is>
      </c>
      <c r="E73" s="7" t="inlineStr">
        <is>
          <t>Cooperativa</t>
        </is>
      </c>
      <c r="F73" s="8" t="inlineStr">
        <is>
          <t>Alta</t>
        </is>
      </c>
      <c r="G73" s="8" t="inlineStr">
        <is>
          <t>Hecho</t>
        </is>
      </c>
      <c r="H73" s="8" t="inlineStr">
        <is>
          <t>5.4</t>
        </is>
      </c>
      <c r="I73" s="21">
        <f>IFERROR(INDEX(Plan!$B$5:$B$129,MATCH(H73,Plan!$A$5:$A$129,0)),"—")</f>
        <v/>
      </c>
      <c r="J73" s="7" t="inlineStr">
        <is>
          <t>24-sep: reportado por la sesión principal.</t>
        </is>
      </c>
    </row>
    <row r="74">
      <c r="A74" s="19" t="inlineStr">
        <is>
          <t>P-79</t>
        </is>
      </c>
      <c r="B74" s="4" t="inlineStr">
        <is>
          <t>Dato de la cooperativa</t>
        </is>
      </c>
      <c r="C74" s="4" t="inlineStr">
        <is>
          <t>Legal</t>
        </is>
      </c>
      <c r="D74" s="7" t="inlineStr">
        <is>
          <t>Plazos de conservación de los datos (fotos de rechazados y de asociados, y demás datos)</t>
        </is>
      </c>
      <c r="E74" s="7" t="inlineStr">
        <is>
          <t>Cooperativa</t>
        </is>
      </c>
      <c r="F74" s="8" t="inlineStr">
        <is>
          <t>Alta</t>
        </is>
      </c>
      <c r="G74" s="8" t="inlineStr">
        <is>
          <t>Hecho</t>
        </is>
      </c>
      <c r="H74" s="8" t="inlineStr">
        <is>
          <t>5.4</t>
        </is>
      </c>
      <c r="I74" s="21">
        <f>IFERROR(INDEX(Plan!$B$5:$B$129,MATCH(H74,Plan!$A$5:$A$129,0)),"—")</f>
        <v/>
      </c>
      <c r="J74" s="7" t="inlineStr">
        <is>
          <t>24-sep: reportado por la sesión principal; el plazo de las fotos es el mismo que decida P-63 (borrado automático de fotos rechazadas, 5.10).</t>
        </is>
      </c>
    </row>
    <row r="75">
      <c r="A75" s="19" t="inlineStr">
        <is>
          <t>P-10</t>
        </is>
      </c>
      <c r="B75" s="4" t="inlineStr">
        <is>
          <t>Dato de la cooperativa</t>
        </is>
      </c>
      <c r="C75" s="4" t="inlineStr">
        <is>
          <t>Configuración</t>
        </is>
      </c>
      <c r="D75" s="7" t="inlineStr">
        <is>
          <t>Número de WhatsApp (NEXT_PUBLIC_WHATSAPP)</t>
        </is>
      </c>
      <c r="E75" s="7" t="inlineStr">
        <is>
          <t>Cooperativa</t>
        </is>
      </c>
      <c r="F75" s="8" t="inlineStr">
        <is>
          <t>Media</t>
        </is>
      </c>
      <c r="G75" s="8" t="inlineStr">
        <is>
          <t>Hecho</t>
        </is>
      </c>
      <c r="H75" s="8" t="inlineStr">
        <is>
          <t>5.3</t>
        </is>
      </c>
      <c r="I75" s="21">
        <f>IFERROR(INDEX(Plan!$B$5:$B$129,MATCH(H75,Plan!$A$5:$A$129,0)),"—")</f>
        <v/>
      </c>
      <c r="J75" s="7" t="inlineStr">
        <is>
          <t>24-sep: 311 724 1942.</t>
        </is>
      </c>
    </row>
    <row r="76">
      <c r="A76" s="19" t="inlineStr">
        <is>
          <t>P-11</t>
        </is>
      </c>
      <c r="B76" s="4" t="inlineStr">
        <is>
          <t>Dato de la cooperativa</t>
        </is>
      </c>
      <c r="C76" s="4" t="inlineStr">
        <is>
          <t>Configuración</t>
        </is>
      </c>
      <c r="D76" s="7" t="inlineStr">
        <is>
          <t>Días hábiles de respuesta (DIAS_RESPUESTA)</t>
        </is>
      </c>
      <c r="E76" s="7" t="inlineStr">
        <is>
          <t>Cooperativa</t>
        </is>
      </c>
      <c r="F76" s="8" t="inlineStr">
        <is>
          <t>Media</t>
        </is>
      </c>
      <c r="G76" s="8" t="inlineStr">
        <is>
          <t>Hecho</t>
        </is>
      </c>
      <c r="H76" s="8" t="inlineStr">
        <is>
          <t>5.3</t>
        </is>
      </c>
      <c r="I76" s="21">
        <f>IFERROR(INDEX(Plan!$B$5:$B$129,MATCH(H76,Plan!$A$5:$A$129,0)),"—")</f>
        <v/>
      </c>
      <c r="J76" s="7" t="inlineStr">
        <is>
          <t>24-sep: la cooperativa dio el tiempo de respuesta como «4 horas o menos» (ver P-17); se usa ese dato en vez de días hábiles.</t>
        </is>
      </c>
    </row>
    <row r="77">
      <c r="A77" s="19" t="inlineStr">
        <is>
          <t>P-12</t>
        </is>
      </c>
      <c r="B77" s="4" t="inlineStr">
        <is>
          <t>Dato de la cooperativa</t>
        </is>
      </c>
      <c r="C77" s="4" t="inlineStr">
        <is>
          <t>Configuración</t>
        </is>
      </c>
      <c r="D77" s="7" t="inlineStr">
        <is>
          <t>Correo de contacto (CORREO_CONTACTO)</t>
        </is>
      </c>
      <c r="E77" s="7" t="inlineStr">
        <is>
          <t>Cooperativa</t>
        </is>
      </c>
      <c r="F77" s="8" t="inlineStr">
        <is>
          <t>Media</t>
        </is>
      </c>
      <c r="G77" s="8" t="inlineStr">
        <is>
          <t>Hecho</t>
        </is>
      </c>
      <c r="H77" s="8" t="inlineStr">
        <is>
          <t>5.3</t>
        </is>
      </c>
      <c r="I77" s="21">
        <f>IFERROR(INDEX(Plan!$B$5:$B$129,MATCH(H77,Plan!$A$5:$A$129,0)),"—")</f>
        <v/>
      </c>
      <c r="J77" s="7" t="inlineStr">
        <is>
          <t>24-sep: soporte@greenallianceco.com.</t>
        </is>
      </c>
    </row>
    <row r="78">
      <c r="A78" s="19" t="inlineStr">
        <is>
          <t>P-13</t>
        </is>
      </c>
      <c r="B78" s="4" t="inlineStr">
        <is>
          <t>Dato de la cooperativa</t>
        </is>
      </c>
      <c r="C78" s="4" t="inlineStr">
        <is>
          <t>Configuración</t>
        </is>
      </c>
      <c r="D78" s="7" t="inlineStr">
        <is>
          <t>Texto de vigilancia de Supersolidaria (TEXTO_VIGILANCIA)</t>
        </is>
      </c>
      <c r="E78" s="7" t="inlineStr">
        <is>
          <t>Cooperativa</t>
        </is>
      </c>
      <c r="F78" s="8" t="inlineStr">
        <is>
          <t>Media</t>
        </is>
      </c>
      <c r="G78" s="8" t="inlineStr">
        <is>
          <t>Hecho</t>
        </is>
      </c>
      <c r="H78" s="8" t="inlineStr">
        <is>
          <t>5.3</t>
        </is>
      </c>
      <c r="I78" s="21">
        <f>IFERROR(INDEX(Plan!$B$5:$B$129,MATCH(H78,Plan!$A$5:$A$129,0)),"—")</f>
        <v/>
      </c>
      <c r="J78" s="7" t="inlineStr">
        <is>
          <t>25-sep: Sebas confirmó que la cooperativa está vigilada por la Supersolidaria; TEXTO_VIGILANCIA pasa a «Vigilada por Supersolidaria» en local (falta desplegar).</t>
        </is>
      </c>
    </row>
    <row r="79">
      <c r="A79" s="19" t="inlineStr">
        <is>
          <t>P-15</t>
        </is>
      </c>
      <c r="B79" s="4" t="inlineStr">
        <is>
          <t>Dato de la cooperativa</t>
        </is>
      </c>
      <c r="C79" s="4" t="inlineStr">
        <is>
          <t>/cuenta</t>
        </is>
      </c>
      <c r="D79" s="7" t="inlineStr">
        <is>
          <t>Destino de «Nueva solicitud» (nav y acceso rápido)</t>
        </is>
      </c>
      <c r="E79" s="7" t="inlineStr">
        <is>
          <t>Yo</t>
        </is>
      </c>
      <c r="F79" s="8" t="inlineStr">
        <is>
          <t>Media</t>
        </is>
      </c>
      <c r="G79" s="8" t="inlineStr">
        <is>
          <t>Hecho</t>
        </is>
      </c>
      <c r="H79" s="8" t="inlineStr">
        <is>
          <t>3.7</t>
        </is>
      </c>
      <c r="I79" s="21">
        <f>IFERROR(INDEX(Plan!$B$5:$B$129,MATCH(H79,Plan!$A$5:$A$129,0)),"—")</f>
        <v/>
      </c>
      <c r="J79" s="7" t="inlineStr">
        <is>
          <t>Hoy es href="#".</t>
        </is>
      </c>
    </row>
    <row r="80">
      <c r="A80" s="19" t="inlineStr">
        <is>
          <t>P-46</t>
        </is>
      </c>
      <c r="B80" s="4" t="inlineStr">
        <is>
          <t>Dato de la cooperativa</t>
        </is>
      </c>
      <c r="C80" s="4" t="inlineStr">
        <is>
          <t>/afiliacion</t>
        </is>
      </c>
      <c r="D80" s="7" t="inlineStr">
        <is>
          <t>Nombres oficiales de los grados</t>
        </is>
      </c>
      <c r="E80" s="7" t="inlineStr">
        <is>
          <t>Cooperativa</t>
        </is>
      </c>
      <c r="F80" s="8" t="inlineStr">
        <is>
          <t>Media</t>
        </is>
      </c>
      <c r="G80" s="8" t="inlineStr">
        <is>
          <t>Hecho</t>
        </is>
      </c>
      <c r="H80" s="8" t="inlineStr">
        <is>
          <t>5.3</t>
        </is>
      </c>
      <c r="I80" s="21">
        <f>IFERROR(INDEX(Plan!$B$5:$B$129,MATCH(H80,Plan!$A$5:$A$129,0)),"—")</f>
        <v/>
      </c>
      <c r="J80" s="7" t="inlineStr">
        <is>
          <t>Se usan en el select «Grado» (grados_credito).</t>
        </is>
      </c>
    </row>
    <row r="81">
      <c r="A81" s="19" t="inlineStr">
        <is>
          <t>P-47</t>
        </is>
      </c>
      <c r="B81" s="4" t="inlineStr">
        <is>
          <t>Dato de la cooperativa</t>
        </is>
      </c>
      <c r="C81" s="4" t="inlineStr">
        <is>
          <t>/cuenta</t>
        </is>
      </c>
      <c r="D81" s="7" t="inlineStr">
        <is>
          <t>Estado de desembolso (cómo y cuándo se informa al asociado)</t>
        </is>
      </c>
      <c r="E81" s="7" t="inlineStr">
        <is>
          <t>Cooperativa</t>
        </is>
      </c>
      <c r="F81" s="8" t="inlineStr">
        <is>
          <t>Media</t>
        </is>
      </c>
      <c r="G81" s="8" t="inlineStr">
        <is>
          <t>Hecho</t>
        </is>
      </c>
      <c r="H81" s="8" t="inlineStr">
        <is>
          <t>5.3</t>
        </is>
      </c>
      <c r="I81" s="21">
        <f>IFERROR(INDEX(Plan!$B$5:$B$129,MATCH(H81,Plan!$A$5:$A$129,0)),"—")</f>
        <v/>
      </c>
      <c r="J81" s="7" t="inlineStr">
        <is>
          <t>Reportado por ga-funcionalidad-botones el 23-sep. 25-sep: también identificado por ga-auditor-supabase en la auditoría de backend del rediseño C+ (misma pregunta, no se duplica).</t>
        </is>
      </c>
    </row>
    <row r="82">
      <c r="A82" s="19" t="inlineStr">
        <is>
          <t>P-80</t>
        </is>
      </c>
      <c r="B82" s="4" t="inlineStr">
        <is>
          <t>Dato de la cooperativa</t>
        </is>
      </c>
      <c r="C82" s="4" t="inlineStr">
        <is>
          <t>Legal</t>
        </is>
      </c>
      <c r="D82" s="7" t="inlineStr">
        <is>
          <t>Si van a reportar a centrales de riesgo (Ley 1266, autorización aparte)</t>
        </is>
      </c>
      <c r="E82" s="7" t="inlineStr">
        <is>
          <t>Cooperativa</t>
        </is>
      </c>
      <c r="F82" s="8" t="inlineStr">
        <is>
          <t>Media</t>
        </is>
      </c>
      <c r="G82" s="8" t="inlineStr">
        <is>
          <t>Hecho</t>
        </is>
      </c>
      <c r="H82" s="8" t="inlineStr">
        <is>
          <t>5.4</t>
        </is>
      </c>
      <c r="I82" s="21">
        <f>IFERROR(INDEX(Plan!$B$5:$B$129,MATCH(H82,Plan!$A$5:$A$129,0)),"—")</f>
        <v/>
      </c>
      <c r="J82" s="7" t="inlineStr">
        <is>
          <t>24-sep: reportado por la sesión principal.</t>
        </is>
      </c>
    </row>
    <row r="83">
      <c r="A83" s="19" t="inlineStr">
        <is>
          <t>P-90</t>
        </is>
      </c>
      <c r="B83" s="4" t="inlineStr">
        <is>
          <t>Dato de la cooperativa</t>
        </is>
      </c>
      <c r="C83" s="4" t="inlineStr">
        <is>
          <t>Backend C+</t>
        </is>
      </c>
      <c r="D83" s="7" t="inlineStr">
        <is>
          <t>Origen de la fecha del primer descuento del embargo solidario</t>
        </is>
      </c>
      <c r="E83" s="7" t="inlineStr">
        <is>
          <t>Cooperativa</t>
        </is>
      </c>
      <c r="F83" s="8" t="inlineStr">
        <is>
          <t>Media</t>
        </is>
      </c>
      <c r="G83" s="8" t="inlineStr">
        <is>
          <t>Hecho</t>
        </is>
      </c>
      <c r="H83" s="8" t="inlineStr">
        <is>
          <t>1.8</t>
        </is>
      </c>
      <c r="I83" s="21">
        <f>IFERROR(INDEX(Plan!$B$5:$B$129,MATCH(H83,Plan!$A$5:$A$129,0)),"—")</f>
        <v/>
      </c>
      <c r="J83" s="7" t="inlineStr">
        <is>
          <t>25-sep: pregunta abierta del informe de ga-auditor-supabase (docs/auditorias/2026-09-25-backend-rediseno-c-plus.md).</t>
        </is>
      </c>
    </row>
    <row r="84">
      <c r="A84" s="19" t="inlineStr">
        <is>
          <t>P-91</t>
        </is>
      </c>
      <c r="B84" s="4" t="inlineStr">
        <is>
          <t>Dato de la cooperativa</t>
        </is>
      </c>
      <c r="C84" s="4" t="inlineStr">
        <is>
          <t>Backend C+</t>
        </is>
      </c>
      <c r="D84" s="7" t="inlineStr">
        <is>
          <t>Proceso para dar de baja a un asociado</t>
        </is>
      </c>
      <c r="E84" s="7" t="inlineStr">
        <is>
          <t>Cooperativa</t>
        </is>
      </c>
      <c r="F84" s="8" t="inlineStr">
        <is>
          <t>Media</t>
        </is>
      </c>
      <c r="G84" s="8" t="inlineStr">
        <is>
          <t>Hecho</t>
        </is>
      </c>
      <c r="H84" s="8" t="inlineStr">
        <is>
          <t>1.8</t>
        </is>
      </c>
      <c r="I84" s="21">
        <f>IFERROR(INDEX(Plan!$B$5:$B$129,MATCH(H84,Plan!$A$5:$A$129,0)),"—")</f>
        <v/>
      </c>
      <c r="J84" s="7" t="inlineStr">
        <is>
          <t>25-sep: pregunta abierta del informe de ga-auditor-supabase; relacionada con la migración de institución/activo en perfiles.</t>
        </is>
      </c>
    </row>
    <row r="85">
      <c r="A85" s="19" t="inlineStr">
        <is>
          <t>P-92</t>
        </is>
      </c>
      <c r="B85" s="4" t="inlineStr">
        <is>
          <t>Dato de la cooperativa</t>
        </is>
      </c>
      <c r="C85" s="4" t="inlineStr">
        <is>
          <t>Backend C+</t>
        </is>
      </c>
      <c r="D85" s="7" t="inlineStr">
        <is>
          <t>Quién dispara el correo del aviso del sorteo</t>
        </is>
      </c>
      <c r="E85" s="7" t="inlineStr">
        <is>
          <t>Cooperativa</t>
        </is>
      </c>
      <c r="F85" s="8" t="inlineStr">
        <is>
          <t>Media</t>
        </is>
      </c>
      <c r="G85" s="8" t="inlineStr">
        <is>
          <t>Hecho</t>
        </is>
      </c>
      <c r="H85" s="8" t="inlineStr">
        <is>
          <t>1.8</t>
        </is>
      </c>
      <c r="I85" s="21">
        <f>IFERROR(INDEX(Plan!$B$5:$B$129,MATCH(H85,Plan!$A$5:$A$129,0)),"—")</f>
        <v/>
      </c>
      <c r="J85" s="7" t="inlineStr">
        <is>
          <t>25-sep: pregunta abierta del informe de ga-auditor-supabase; relacionada con la migración perfiles_avisar_sorteo.</t>
        </is>
      </c>
    </row>
    <row r="86">
      <c r="A86" s="19" t="inlineStr">
        <is>
          <t>P-93</t>
        </is>
      </c>
      <c r="B86" s="4" t="inlineStr">
        <is>
          <t>Dato de la cooperativa</t>
        </is>
      </c>
      <c r="C86" s="4" t="inlineStr">
        <is>
          <t>Landing C+</t>
        </is>
      </c>
      <c r="D86" s="7" t="inlineStr">
        <is>
          <t>Confirmar las cifras de la landing C+ (+200 asociados, 4 horas, 3 años, 5 sedes con sus ciudades, embargo a 36 meses)</t>
        </is>
      </c>
      <c r="E86" s="7" t="inlineStr">
        <is>
          <t>Cooperativa</t>
        </is>
      </c>
      <c r="F86" s="8" t="inlineStr">
        <is>
          <t>Media</t>
        </is>
      </c>
      <c r="G86" s="8" t="inlineStr">
        <is>
          <t>Hecho</t>
        </is>
      </c>
      <c r="H86" s="8" t="inlineStr">
        <is>
          <t>2.14</t>
        </is>
      </c>
      <c r="I86" s="21">
        <f>IFERROR(INDEX(Plan!$B$5:$B$129,MATCH(H86,Plan!$A$5:$A$129,0)),"—")</f>
        <v/>
      </c>
      <c r="J86" s="7" t="inlineStr">
        <is>
          <t>25-sep: cifras usadas en el nuevo hero/servicios del rediseño C+; falta confirmarlas con la cooperativa.</t>
        </is>
      </c>
    </row>
    <row r="87">
      <c r="A87" s="19" t="inlineStr">
        <is>
          <t>P-17</t>
        </is>
      </c>
      <c r="B87" s="4" t="inlineStr">
        <is>
          <t>Dato de la cooperativa</t>
        </is>
      </c>
      <c r="C87" s="4" t="inlineStr">
        <is>
          <t>Landing</t>
        </is>
      </c>
      <c r="D87" s="7" t="inlineStr">
        <is>
          <t>Tiempo de respuesta real ([TIEMPO] y [T])</t>
        </is>
      </c>
      <c r="E87" s="7" t="inlineStr">
        <is>
          <t>Cooperativa</t>
        </is>
      </c>
      <c r="F87" s="8" t="inlineStr">
        <is>
          <t>Baja</t>
        </is>
      </c>
      <c r="G87" s="8" t="inlineStr">
        <is>
          <t>Hecho</t>
        </is>
      </c>
      <c r="H87" s="8" t="inlineStr">
        <is>
          <t>5.3</t>
        </is>
      </c>
      <c r="I87" s="21">
        <f>IFERROR(INDEX(Plan!$B$5:$B$129,MATCH(H87,Plan!$A$5:$A$129,0)),"—")</f>
        <v/>
      </c>
      <c r="J87" s="7" t="inlineStr">
        <is>
          <t>24-sep: «4 horas o menos».</t>
        </is>
      </c>
    </row>
    <row r="88">
      <c r="A88" s="19" t="inlineStr">
        <is>
          <t>P-81</t>
        </is>
      </c>
      <c r="B88" s="4" t="inlineStr">
        <is>
          <t>Verificación y cierre</t>
        </is>
      </c>
      <c r="C88" s="4" t="inlineStr">
        <is>
          <t>Legal</t>
        </is>
      </c>
      <c r="D88" s="7" t="inlineStr">
        <is>
          <t>Revisión de la política de datos por un abogado (Dr. Breinner: secciones 7.3, 8 y 18)</t>
        </is>
      </c>
      <c r="E88" s="7" t="inlineStr">
        <is>
          <t>Sebas</t>
        </is>
      </c>
      <c r="F88" s="8" t="inlineStr">
        <is>
          <t>Alta</t>
        </is>
      </c>
      <c r="G88" s="8" t="inlineStr">
        <is>
          <t>En curso</t>
        </is>
      </c>
      <c r="H88" s="8" t="inlineStr">
        <is>
          <t>5.4</t>
        </is>
      </c>
      <c r="I88" s="21">
        <f>IFERROR(INDEX(Plan!$B$5:$B$129,MATCH(H88,Plan!$A$5:$A$129,0)),"—")</f>
        <v/>
      </c>
      <c r="J88" s="7" t="inlineStr">
        <is>
          <t>24-sep: reportado por la sesión principal; falta antes de publicar /politica-de-datos.</t>
        </is>
      </c>
    </row>
    <row r="89">
      <c r="A89" s="19" t="inlineStr">
        <is>
          <t>P-70</t>
        </is>
      </c>
      <c r="B89" s="4" t="inlineStr">
        <is>
          <t>Verificación y cierre</t>
        </is>
      </c>
      <c r="C89" s="4" t="inlineStr">
        <is>
          <t>QA</t>
        </is>
      </c>
      <c r="D89" s="7" t="inlineStr">
        <is>
          <t>Pruebas en celulares reales (Android e iPhone): cámara, código, sorteo, crédito y correos en Gmail/Outlook, con informe y capturas</t>
        </is>
      </c>
      <c r="E89" s="7" t="inlineStr">
        <is>
          <t>Sebas</t>
        </is>
      </c>
      <c r="F89" s="8" t="inlineStr">
        <is>
          <t>Media</t>
        </is>
      </c>
      <c r="G89" s="8" t="inlineStr">
        <is>
          <t>En curso</t>
        </is>
      </c>
      <c r="H89" s="8" t="inlineStr">
        <is>
          <t>6.14</t>
        </is>
      </c>
      <c r="I89" s="21">
        <f>IFERROR(INDEX(Plan!$B$5:$B$129,MATCH(H89,Plan!$A$5:$A$129,0)),"—")</f>
        <v/>
      </c>
      <c r="J89" s="7" t="inlineStr">
        <is>
          <t>Encargo externo (500.000 COP) por PR a develop. Ver P-73.</t>
        </is>
      </c>
    </row>
    <row r="90">
      <c r="A90" s="19" t="inlineStr">
        <is>
          <t>P-104</t>
        </is>
      </c>
      <c r="B90" s="4" t="inlineStr">
        <is>
          <t>Verificación y cierre</t>
        </is>
      </c>
      <c r="C90" s="4" t="inlineStr">
        <is>
          <t>Despliegue</t>
        </is>
      </c>
      <c r="D90" s="7" t="inlineStr">
        <is>
          <t>Aprobar y fusionar el PR develop → main para desplegar el rediseño C+ (con el arreglo de la tasa) en producción</t>
        </is>
      </c>
      <c r="E90" s="7" t="inlineStr">
        <is>
          <t>Sebas</t>
        </is>
      </c>
      <c r="F90" s="8" t="inlineStr">
        <is>
          <t>Alta</t>
        </is>
      </c>
      <c r="G90" s="8" t="inlineStr">
        <is>
          <t>Hecho</t>
        </is>
      </c>
      <c r="H90" s="8" t="inlineStr">
        <is>
          <t>6.18</t>
        </is>
      </c>
      <c r="I90" s="21">
        <f>IFERROR(INDEX(Plan!$B$5:$B$129,MATCH(H90,Plan!$A$5:$A$129,0)),"—")</f>
        <v/>
      </c>
      <c r="J90" s="7" t="inlineStr">
        <is>
          <t>29-sep: rediseno-c-plus ya fusionada a develop y subida a origin (suite e2e 290/290, tsc/lint/build en verde). Falta que Sebas apruebe/fusione el PR develop → main para que Vercel despliegue el rediseño C+ en producción. 30-sep: fusionado; C+ en producción.</t>
        </is>
      </c>
    </row>
    <row r="91">
      <c r="A91" s="19" t="inlineStr">
        <is>
          <t>P-118</t>
        </is>
      </c>
      <c r="B91" s="4" t="inlineStr">
        <is>
          <t>Verificación y cierre</t>
        </is>
      </c>
      <c r="C91" s="4" t="inlineStr">
        <is>
          <t>Entrega</t>
        </is>
      </c>
      <c r="D91" s="7" t="inlineStr">
        <is>
          <t>Entrega final y último pago el viernes 9-oct (garantía 9-oct al 7-nov, soporte desde el 8-nov)</t>
        </is>
      </c>
      <c r="E91" s="7" t="inlineStr">
        <is>
          <t>Sebas</t>
        </is>
      </c>
      <c r="F91" s="8" t="inlineStr">
        <is>
          <t>Alta</t>
        </is>
      </c>
      <c r="G91" s="8" t="inlineStr">
        <is>
          <t>Hecho</t>
        </is>
      </c>
      <c r="H91" s="8" t="inlineStr">
        <is>
          <t>6.29</t>
        </is>
      </c>
      <c r="I91" s="21">
        <f>IFERROR(INDEX(Plan!$B$5:$B$129,MATCH(H91,Plan!$A$5:$A$129,0)),"—")</f>
        <v/>
      </c>
      <c r="J91" s="7" t="inlineStr">
        <is>
          <t>08-oct: la entrega pasó del miércoles 7-oct al viernes 9-oct.</t>
        </is>
      </c>
    </row>
    <row r="92">
      <c r="A92" s="19" t="inlineStr">
        <is>
          <t>P-39</t>
        </is>
      </c>
      <c r="B92" s="4" t="inlineStr">
        <is>
          <t>Verificación y cierre</t>
        </is>
      </c>
      <c r="C92" s="4" t="inlineStr">
        <is>
          <t>Calidad</t>
        </is>
      </c>
      <c r="D92" s="7" t="inlineStr">
        <is>
          <t>Correr ga-verificador-qa y ga-verificador-responsive</t>
        </is>
      </c>
      <c r="E92" s="7" t="inlineStr">
        <is>
          <t>Yo</t>
        </is>
      </c>
      <c r="F92" s="8" t="inlineStr">
        <is>
          <t>Alta</t>
        </is>
      </c>
      <c r="G92" s="8" t="inlineStr">
        <is>
          <t>Hecho</t>
        </is>
      </c>
      <c r="H92" s="8" t="inlineStr">
        <is>
          <t>6.3</t>
        </is>
      </c>
      <c r="I92" s="21">
        <f>IFERROR(INDEX(Plan!$B$5:$B$129,MATCH(H92,Plan!$A$5:$A$129,0)),"—")</f>
        <v/>
      </c>
      <c r="J92" s="7" t="inlineStr">
        <is>
          <t>QA 1 hecha el 23-sep (186 pasan, 2 fallan; informe docs/verificaciones/2026-09-23-verificacion-1.md). Responsive hecha el 23-sep: 2 fallas de scroll corregidas (5.8) y segunda pasada con 0 fallas en 13 anchos (320–1920 px); tests/responsive 10/10. La QA final sigue en 6.3.</t>
        </is>
      </c>
    </row>
    <row r="93">
      <c r="A93" s="19" t="inlineStr">
        <is>
          <t>P-41</t>
        </is>
      </c>
      <c r="B93" s="4" t="inlineStr">
        <is>
          <t>Verificación y cierre</t>
        </is>
      </c>
      <c r="C93" s="4" t="inlineStr">
        <is>
          <t>Git</t>
        </is>
      </c>
      <c r="D93" s="7" t="inlineStr">
        <is>
          <t>Commit de las pantallas nuevas</t>
        </is>
      </c>
      <c r="E93" s="7" t="inlineStr">
        <is>
          <t>Yo</t>
        </is>
      </c>
      <c r="F93" s="8" t="inlineStr">
        <is>
          <t>Alta</t>
        </is>
      </c>
      <c r="G93" s="8" t="inlineStr">
        <is>
          <t>Hecho</t>
        </is>
      </c>
      <c r="H93" s="8" t="inlineStr">
        <is>
          <t>—</t>
        </is>
      </c>
      <c r="I93" s="21">
        <f>IFERROR(INDEX(Plan!$B$5:$B$129,MATCH(H93,Plan!$A$5:$A$129,0)),"—")</f>
        <v/>
      </c>
      <c r="J93" s="7" t="inlineStr">
        <is>
          <t>Commit d86db86 en develop.</t>
        </is>
      </c>
    </row>
    <row r="94">
      <c r="A94" s="19" t="inlineStr">
        <is>
          <t>P-42</t>
        </is>
      </c>
      <c r="B94" s="4" t="inlineStr">
        <is>
          <t>Verificación y cierre</t>
        </is>
      </c>
      <c r="C94" s="4" t="inlineStr">
        <is>
          <t>Despliegue</t>
        </is>
      </c>
      <c r="D94" s="7" t="inlineStr">
        <is>
          <t>Subir a GitHub y desplegar en Vercel</t>
        </is>
      </c>
      <c r="E94" s="7" t="inlineStr">
        <is>
          <t>Yo</t>
        </is>
      </c>
      <c r="F94" s="8" t="inlineStr">
        <is>
          <t>Alta</t>
        </is>
      </c>
      <c r="G94" s="8" t="inlineStr">
        <is>
          <t>Hecho</t>
        </is>
      </c>
      <c r="H94" s="8" t="inlineStr">
        <is>
          <t>6.5</t>
        </is>
      </c>
      <c r="I94" s="21">
        <f>IFERROR(INDEX(Plan!$B$5:$B$129,MATCH(H94,Plan!$A$5:$A$129,0)),"—")</f>
        <v/>
      </c>
      <c r="J94" s="7" t="inlineStr"/>
    </row>
    <row r="95">
      <c r="A95" s="19" t="inlineStr">
        <is>
          <t>P-58</t>
        </is>
      </c>
      <c r="B95" s="4" t="inlineStr">
        <is>
          <t>Verificación y cierre</t>
        </is>
      </c>
      <c r="C95" s="4" t="inlineStr">
        <is>
          <t>Pruebas</t>
        </is>
      </c>
      <c r="D95" s="7" t="inlineStr">
        <is>
          <t>Actualizar tests/e2e a la afiliación v2 y a la nueva máscara de correo</t>
        </is>
      </c>
      <c r="E95" s="7" t="inlineStr">
        <is>
          <t>ga-escritor-tests</t>
        </is>
      </c>
      <c r="F95" s="8" t="inlineStr">
        <is>
          <t>Alta</t>
        </is>
      </c>
      <c r="G95" s="8" t="inlineStr">
        <is>
          <t>Hecho</t>
        </is>
      </c>
      <c r="H95" s="8" t="inlineStr">
        <is>
          <t>6.1</t>
        </is>
      </c>
      <c r="I95" s="21">
        <f>IFERROR(INDEX(Plan!$B$5:$B$129,MATCH(H95,Plan!$A$5:$A$129,0)),"—")</f>
        <v/>
      </c>
      <c r="J95" s="7" t="inlineStr">
        <is>
          <t>d-afiliacion.spec.ts usa el formulario viejo (nombres y apellidos, unidad) y hace falta reescribirlo entero para institución/Nequi/asesor/fotos (k-roles.spec.ts ya cubre un caso feliz v2 pero no reemplaza la cobertura de D). 24-sep: ga-escritor-tests lo reescribió entero (48 pruebas × 2 proyectos); 92/96 pasan, 4 fallan por un bug real de la app (ver P-74), no de la prueba. b-ingreso.spec.ts, i-despliegue.spec.ts y j-produccion.spec.ts siguen con el formato viejo de máscara de correo y dominios (formato nuevo xx•••@yy•••.co); ese trabajo pasa a Carlos Pardo (ver P-71, 6.15). Falta correr npm run test:db (pgTAP), bloqueado por el permiso de la sandbox. Actualización: el bug de P-74 ya está corregido y d-afiliacion pasa 96/96; pgTAP 222/222 corrido por la sesión principal.</t>
        </is>
      </c>
    </row>
    <row r="96">
      <c r="A96" s="19" t="inlineStr">
        <is>
          <t>P-64</t>
        </is>
      </c>
      <c r="B96" s="4" t="inlineStr">
        <is>
          <t>Verificación y cierre</t>
        </is>
      </c>
      <c r="C96" s="4" t="inlineStr">
        <is>
          <t>Git</t>
        </is>
      </c>
      <c r="D96" s="7" t="inlineStr">
        <is>
          <t>Abrir el PR de develop a main</t>
        </is>
      </c>
      <c r="E96" s="7" t="inlineStr">
        <is>
          <t>Sebas</t>
        </is>
      </c>
      <c r="F96" s="8" t="inlineStr">
        <is>
          <t>Alta</t>
        </is>
      </c>
      <c r="G96" s="8" t="inlineStr">
        <is>
          <t>Hecho</t>
        </is>
      </c>
      <c r="H96" s="8" t="inlineStr">
        <is>
          <t>6.5</t>
        </is>
      </c>
      <c r="I96" s="21">
        <f>IFERROR(INDEX(Plan!$B$5:$B$129,MATCH(H96,Plan!$A$5:$A$129,0)),"—")</f>
        <v/>
      </c>
      <c r="J96" s="7" t="inlineStr">
        <is>
          <t>25-sep: Sebas abrió y fusionó el PR #1 develop → main (merge 5a39d34); Vercel desplegó fase 2 en producción.</t>
        </is>
      </c>
    </row>
    <row r="97">
      <c r="A97" s="19" t="inlineStr">
        <is>
          <t>P-82</t>
        </is>
      </c>
      <c r="B97" s="4" t="inlineStr">
        <is>
          <t>Verificación y cierre</t>
        </is>
      </c>
      <c r="C97" s="4" t="inlineStr">
        <is>
          <t>Despliegue</t>
        </is>
      </c>
      <c r="D97" s="7" t="inlineStr">
        <is>
          <t>Probar en producción con sesión real de los 3 administradores (ingreso con código OTP y logo del correo)</t>
        </is>
      </c>
      <c r="E97" s="7" t="inlineStr">
        <is>
          <t>Sebas</t>
        </is>
      </c>
      <c r="F97" s="8" t="inlineStr">
        <is>
          <t>Alta</t>
        </is>
      </c>
      <c r="G97" s="8" t="inlineStr">
        <is>
          <t>Hecho</t>
        </is>
      </c>
      <c r="H97" s="8" t="inlineStr">
        <is>
          <t>6.5</t>
        </is>
      </c>
      <c r="I97" s="21">
        <f>IFERROR(INDEX(Plan!$B$5:$B$129,MATCH(H97,Plan!$A$5:$A$129,0)),"—")</f>
        <v/>
      </c>
      <c r="J97" s="7" t="inlineStr">
        <is>
          <t>25-sep: Sebas entró con su cédula y le apareció el panel de administrador (falta confirmar Ricardo y abogadosprieto). 25-sep: reportado por la sesión principal tras el despliegue de fase 2; falta esta prueba manual antes de cerrar 6.5.</t>
        </is>
      </c>
    </row>
    <row r="98">
      <c r="A98" s="19" t="inlineStr">
        <is>
          <t>P-86</t>
        </is>
      </c>
      <c r="B98" s="4" t="inlineStr">
        <is>
          <t>Verificación y cierre</t>
        </is>
      </c>
      <c r="C98" s="4" t="inlineStr">
        <is>
          <t>/afiliacion</t>
        </is>
      </c>
      <c r="D98" s="7" t="inlineStr">
        <is>
          <t>A-01: la ayuda del dominio de correo institucional no se actualiza en vivo al elegir Policía/Ejército</t>
        </is>
      </c>
      <c r="E98" s="7" t="inlineStr">
        <is>
          <t>ga-funcionalidad-botones</t>
        </is>
      </c>
      <c r="F98" s="8" t="inlineStr">
        <is>
          <t>Alta</t>
        </is>
      </c>
      <c r="G98" s="8" t="inlineStr">
        <is>
          <t>Hecho</t>
        </is>
      </c>
      <c r="H98" s="8" t="inlineStr">
        <is>
          <t>6.3</t>
        </is>
      </c>
      <c r="I98" s="21">
        <f>IFERROR(INDEX(Plan!$B$5:$B$129,MATCH(H98,Plan!$A$5:$A$129,0)),"—")</f>
        <v/>
      </c>
      <c r="J98" s="7" t="inlineStr">
        <is>
          <t>25-sep: Sebas confirmó el correo de cualquier dominio (P-85); la ayuda por institución ya no existe. 25-sep: hallazgo de ga-verificador-qa. Condicionado a P-85: si se despliega el cambio a «correo de cualquier dominio» queda superado (ya no habría ayuda de dominio que actualizar); si Sebas decide mantener el chequeo institucional, hay que corregir el texto en vivo. Pendiente de esa decisión.</t>
        </is>
      </c>
    </row>
    <row r="99">
      <c r="A99" s="19" t="inlineStr">
        <is>
          <t>P-40</t>
        </is>
      </c>
      <c r="B99" s="4" t="inlineStr">
        <is>
          <t>Verificación y cierre</t>
        </is>
      </c>
      <c r="C99" s="4" t="inlineStr">
        <is>
          <t>Código</t>
        </is>
      </c>
      <c r="D99" s="7" t="inlineStr">
        <is>
          <t>Borrar /login y /dashboard cuando /ingresar y /cuenta funcionen</t>
        </is>
      </c>
      <c r="E99" s="7" t="inlineStr">
        <is>
          <t>Yo</t>
        </is>
      </c>
      <c r="F99" s="8" t="inlineStr">
        <is>
          <t>Media</t>
        </is>
      </c>
      <c r="G99" s="8" t="inlineStr">
        <is>
          <t>Hecho</t>
        </is>
      </c>
      <c r="H99" s="8" t="inlineStr">
        <is>
          <t>5.5</t>
        </is>
      </c>
      <c r="I99" s="21">
        <f>IFERROR(INDEX(Plan!$B$5:$B$129,MATCH(H99,Plan!$A$5:$A$129,0)),"—")</f>
        <v/>
      </c>
      <c r="J99" s="7" t="inlineStr">
        <is>
          <t>Borradas el 23-sep (incluida /dashboard/solicitar, su parte del proxy y los colores heredados de tailwind.config.ts).</t>
        </is>
      </c>
    </row>
    <row r="100">
      <c r="A100" s="19" t="inlineStr">
        <is>
          <t>P-49</t>
        </is>
      </c>
      <c r="B100" s="4" t="inlineStr">
        <is>
          <t>Verificación y cierre</t>
        </is>
      </c>
      <c r="C100" s="4" t="inlineStr">
        <is>
          <t>Seguridad</t>
        </is>
      </c>
      <c r="D100" s="7" t="inlineStr">
        <is>
          <t>Revisar si conviene confiar en x-forwarded-for para el límite de intentos por IP</t>
        </is>
      </c>
      <c r="E100" s="7" t="inlineStr">
        <is>
          <t>ga-revisor-seguridad</t>
        </is>
      </c>
      <c r="F100" s="8" t="inlineStr">
        <is>
          <t>Media</t>
        </is>
      </c>
      <c r="G100" s="8" t="inlineStr">
        <is>
          <t>Hecho</t>
        </is>
      </c>
      <c r="H100" s="8" t="inlineStr">
        <is>
          <t>6.2</t>
        </is>
      </c>
      <c r="I100" s="21">
        <f>IFERROR(INDEX(Plan!$B$5:$B$129,MATCH(H100,Plan!$A$5:$A$129,0)),"—")</f>
        <v/>
      </c>
      <c r="J100" s="7" t="inlineStr">
        <is>
          <t>Sugerido por ga-verificador-qa el 23-sep. Documentado por ga-funcionalidad-botones como O-01 en lib/servidor/limite.ts: x-forwarded-for/x-real-ip solo son confiables detrás de Vercel (nuestro caso); el límite real por cédula/IP lo hace la app, no Supabase.</t>
        </is>
      </c>
    </row>
    <row r="101">
      <c r="A101" s="19" t="inlineStr">
        <is>
          <t>P-50</t>
        </is>
      </c>
      <c r="B101" s="4" t="inlineStr">
        <is>
          <t>Verificación y cierre</t>
        </is>
      </c>
      <c r="C101" s="4" t="inlineStr">
        <is>
          <t>Correos</t>
        </is>
      </c>
      <c r="D101" s="7" t="inlineStr">
        <is>
          <t>Confirmar que salen los correos de afiliación (el log queda en la terminal de next dev)</t>
        </is>
      </c>
      <c r="E101" s="7" t="inlineStr">
        <is>
          <t>Yo</t>
        </is>
      </c>
      <c r="F101" s="8" t="inlineStr">
        <is>
          <t>Media</t>
        </is>
      </c>
      <c r="G101" s="8" t="inlineStr">
        <is>
          <t>Hecho</t>
        </is>
      </c>
      <c r="H101" s="8" t="inlineStr">
        <is>
          <t>—</t>
        </is>
      </c>
      <c r="I101" s="21">
        <f>IFERROR(INDEX(Plan!$B$5:$B$129,MATCH(H101,Plan!$A$5:$A$129,0)),"—")</f>
        <v/>
      </c>
      <c r="J101" s="7" t="inlineStr">
        <is>
          <t>Ya no aplica: el 23-sep se quitaron los correos de afiliación del código (decisión de Sebas).</t>
        </is>
      </c>
    </row>
    <row r="102">
      <c r="A102" s="19" t="inlineStr">
        <is>
          <t>P-62</t>
        </is>
      </c>
      <c r="B102" s="4" t="inlineStr">
        <is>
          <t>Verificación y cierre</t>
        </is>
      </c>
      <c r="C102" s="4" t="inlineStr">
        <is>
          <t>Base de datos</t>
        </is>
      </c>
      <c r="D102" s="7" t="inlineStr">
        <is>
          <t>Borrar la cuenta admin de prueba «Test QA» (cédula 1099887766) desde el panel de Supabase</t>
        </is>
      </c>
      <c r="E102" s="7" t="inlineStr">
        <is>
          <t>Sebas</t>
        </is>
      </c>
      <c r="F102" s="8" t="inlineStr">
        <is>
          <t>Media</t>
        </is>
      </c>
      <c r="G102" s="8" t="inlineStr">
        <is>
          <t>Hecho</t>
        </is>
      </c>
      <c r="H102" s="8" t="inlineStr">
        <is>
          <t>6.13</t>
        </is>
      </c>
      <c r="I102" s="21">
        <f>IFERROR(INDEX(Plan!$B$5:$B$129,MATCH(H102,Plan!$A$5:$A$129,0)),"—")</f>
        <v/>
      </c>
      <c r="J102" s="7" t="inlineStr">
        <is>
          <t>Ya hay 3 administradores reales en producción: Ricardo, Abogados Prieto y Sebas. 24-sep: usuario «Test QA» borrado de producción por Sebas.</t>
        </is>
      </c>
    </row>
    <row r="103">
      <c r="A103" s="19" t="inlineStr">
        <is>
          <t>P-71</t>
        </is>
      </c>
      <c r="B103" s="4" t="inlineStr">
        <is>
          <t>Verificación y cierre</t>
        </is>
      </c>
      <c r="C103" s="4" t="inlineStr">
        <is>
          <t>Pruebas</t>
        </is>
      </c>
      <c r="D103" s="7" t="inlineStr">
        <is>
          <t>Actualizar tests/e2e b-ingreso, i-despliegue y j-produccion al formato nuevo de máscara de correo</t>
        </is>
      </c>
      <c r="E103" s="7" t="inlineStr">
        <is>
          <t>Carlos Pardo</t>
        </is>
      </c>
      <c r="F103" s="8" t="inlineStr">
        <is>
          <t>Media</t>
        </is>
      </c>
      <c r="G103" s="8" t="inlineStr">
        <is>
          <t>Hecho</t>
        </is>
      </c>
      <c r="H103" s="8" t="inlineStr">
        <is>
          <t>6.15</t>
        </is>
      </c>
      <c r="I103" s="21">
        <f>IFERROR(INDEX(Plan!$B$5:$B$129,MATCH(H103,Plan!$A$5:$A$129,0)),"—")</f>
        <v/>
      </c>
      <c r="J103" s="7" t="inlineStr">
        <is>
          <t>Encargo externo (500.000 COP) por PR a develop. Parte del alcance que P-58 dejó fuera. Ver P-73. 27-sep: ga-verificador-qa se adelantó al encargo de Carlos y actualizó b-ingreso y j-produccion al formato de máscara con dominio oculto; i-despliegue ya usaba el formato nuevo, no necesitó cambio. Los 3 archivos quedan al día. La actividad 6.15 sigue Pendiente en el plan porque depende de 6.1 (En curso), pero su alcance ya está cubierto.</t>
        </is>
      </c>
    </row>
    <row r="104">
      <c r="A104" s="19" t="inlineStr">
        <is>
          <t>P-94</t>
        </is>
      </c>
      <c r="B104" s="4" t="inlineStr">
        <is>
          <t>Verificación y cierre</t>
        </is>
      </c>
      <c r="C104" s="4" t="inlineStr">
        <is>
          <t>Pruebas</t>
        </is>
      </c>
      <c r="D104" s="7" t="inlineStr">
        <is>
          <t>Correr tests/e2e/b-ingreso.spec.ts y d-afiliacion.spec.ts contra la maquetación C+ de ingreso y afiliación, con Supabase local</t>
        </is>
      </c>
      <c r="E104" s="7" t="inlineStr">
        <is>
          <t>ga-verificador-qa o ga-escritor-tests</t>
        </is>
      </c>
      <c r="F104" s="8" t="inlineStr">
        <is>
          <t>Media</t>
        </is>
      </c>
      <c r="G104" s="8" t="inlineStr">
        <is>
          <t>Hecho</t>
        </is>
      </c>
      <c r="H104" s="8" t="inlineStr">
        <is>
          <t>2.15</t>
        </is>
      </c>
      <c r="I104" s="21">
        <f>IFERROR(INDEX(Plan!$B$5:$B$129,MATCH(H104,Plan!$A$5:$A$129,0)),"—")</f>
        <v/>
      </c>
      <c r="J104" s="7" t="inlineStr">
        <is>
          <t>25-sep: reportado por ga-diseno-a-codigo tras maquetar 2.15 en C+; no se corrieron porque requieren Supabase local. 27-sep: ga-verificador-qa corrió el QA completo contra Supabase local (161/162 escritorio, 129/129 celular) y actualizó f-accesibilidad/utils.ts a la afiliación v2; queda cerrado.</t>
        </is>
      </c>
    </row>
    <row r="105">
      <c r="A105" s="19" t="inlineStr">
        <is>
          <t>P-102</t>
        </is>
      </c>
      <c r="B105" s="4" t="inlineStr">
        <is>
          <t>Verificación y cierre</t>
        </is>
      </c>
      <c r="C105" s="4" t="inlineStr">
        <is>
          <t>Landing</t>
        </is>
      </c>
      <c r="D105" s="7" t="inlineStr">
        <is>
          <t>B-01: sección de testimonios de la landing con corchetes de ejemplo visibles ([Nombre], [Testimonio]...)</t>
        </is>
      </c>
      <c r="E105" s="7" t="inlineStr">
        <is>
          <t>sesión principal</t>
        </is>
      </c>
      <c r="F105" s="8" t="inlineStr">
        <is>
          <t>Baja</t>
        </is>
      </c>
      <c r="G105" s="8" t="inlineStr">
        <is>
          <t>Hecho</t>
        </is>
      </c>
      <c r="H105" s="8" t="inlineStr">
        <is>
          <t>2.14</t>
        </is>
      </c>
      <c r="I105" s="21">
        <f>IFERROR(INDEX(Plan!$B$5:$B$129,MATCH(H105,Plan!$A$5:$A$129,0)),"—")</f>
        <v/>
      </c>
      <c r="J105" s="7" t="inlineStr">
        <is>
          <t>27-sep: hallazgo Bajo de ga-verificador-qa. Corregido en rediseno-c-plus (commit local fdab456): la sección se oculta mientras tenga textos de ejemplo. Falta el contenido real y decidir si se mantiene la sección, ver P-103.</t>
        </is>
      </c>
    </row>
    <row r="106">
      <c r="A106" s="19" t="inlineStr">
        <is>
          <t>P-52</t>
        </is>
      </c>
      <c r="B106" s="4" t="inlineStr">
        <is>
          <t>Verificación y cierre</t>
        </is>
      </c>
      <c r="C106" s="4" t="inlineStr">
        <is>
          <t>Documentación</t>
        </is>
      </c>
      <c r="D106" s="7" t="inlineStr">
        <is>
          <t>Mapa de botones: §4 «Nueva solicitud» → /cuenta/solicitar y sección para la ruta /cuenta/solicitar</t>
        </is>
      </c>
      <c r="E106" s="7" t="inlineStr">
        <is>
          <t>ga-funcionalidad-botones</t>
        </is>
      </c>
      <c r="F106" s="8" t="inlineStr">
        <is>
          <t>Baja</t>
        </is>
      </c>
      <c r="G106" s="8" t="inlineStr">
        <is>
          <t>Hecho</t>
        </is>
      </c>
      <c r="H106" s="8" t="inlineStr">
        <is>
          <t>3.7</t>
        </is>
      </c>
      <c r="I106" s="21">
        <f>IFERROR(INDEX(Plan!$B$5:$B$129,MATCH(H106,Plan!$A$5:$A$129,0)),"—")</f>
        <v/>
      </c>
      <c r="J106" s="7" t="inlineStr">
        <is>
          <t>Reportado por ga-diseno-a-codigo. Verificado el 23-sep: docs/mapa-de-botones.md ya tiene §4 «Nueva solicitud» → /cuenta/solicitar (Definido) y §4b /cuenta/solicitar; /dashboard se eliminó.</t>
        </is>
      </c>
    </row>
    <row r="107">
      <c r="A107" s="19" t="inlineStr">
        <is>
          <t>P-63</t>
        </is>
      </c>
      <c r="B107" s="4" t="inlineStr">
        <is>
          <t>Decisión</t>
        </is>
      </c>
      <c r="C107" s="4" t="inlineStr">
        <is>
          <t>Fase 2</t>
        </is>
      </c>
      <c r="D107" s="7" t="inlineStr">
        <is>
          <t>Preguntas abiertas de fase 2 para la cooperativa: grados del Ejército, dominios de correo institucionales (hoy solo policia.gov.co, buzonejercito.mil.co, ejercito.mil.co), tiempo que se guardan las fotos y tope de intentos del sorteo</t>
        </is>
      </c>
      <c r="E107" s="7" t="inlineStr">
        <is>
          <t>Cooperativa</t>
        </is>
      </c>
      <c r="F107" s="8" t="inlineStr">
        <is>
          <t>Alta</t>
        </is>
      </c>
      <c r="G107" s="8" t="inlineStr">
        <is>
          <t>Pendiente</t>
        </is>
      </c>
      <c r="H107" s="8" t="inlineStr">
        <is>
          <t>1.5</t>
        </is>
      </c>
      <c r="I107" s="21">
        <f>IFERROR(INDEX(Plan!$B$5:$B$129,MATCH(H107,Plan!$A$5:$A$129,0)),"—")</f>
        <v/>
      </c>
      <c r="J107" s="7" t="inlineStr">
        <is>
          <t>Ver docs/spec-fase-2.md §Preguntas abiertas. 30-sep: no aparece en §12; por confirmar (dominio del Ejército).</t>
        </is>
      </c>
    </row>
    <row r="108">
      <c r="A108" s="19" t="inlineStr">
        <is>
          <t>P-123</t>
        </is>
      </c>
      <c r="B108" s="4" t="inlineStr">
        <is>
          <t>Decisión</t>
        </is>
      </c>
      <c r="C108" s="4" t="inlineStr">
        <is>
          <t>Correos</t>
        </is>
      </c>
      <c r="D108" s="7" t="inlineStr">
        <is>
          <t>Plan Pro de Resend (verificar precio)</t>
        </is>
      </c>
      <c r="E108" s="7" t="inlineStr">
        <is>
          <t>Cooperativa</t>
        </is>
      </c>
      <c r="F108" s="8" t="inlineStr">
        <is>
          <t>Media</t>
        </is>
      </c>
      <c r="G108" s="8" t="inlineStr">
        <is>
          <t>Pendiente</t>
        </is>
      </c>
      <c r="H108" s="8" t="inlineStr">
        <is>
          <t>6.28</t>
        </is>
      </c>
      <c r="I108" s="21">
        <f>IFERROR(INDEX(Plan!$B$5:$B$129,MATCH(H108,Plan!$A$5:$A$129,0)),"—")</f>
        <v/>
      </c>
      <c r="J108" s="7" t="inlineStr">
        <is>
          <t>Ver docs/entrega/plan-correos-resend.md.</t>
        </is>
      </c>
    </row>
    <row r="109">
      <c r="A109" s="19" t="inlineStr">
        <is>
          <t>P-140</t>
        </is>
      </c>
      <c r="B109" s="4" t="inlineStr">
        <is>
          <t>Decisión</t>
        </is>
      </c>
      <c r="C109" s="4" t="inlineStr">
        <is>
          <t>Admin</t>
        </is>
      </c>
      <c r="D109" s="7" t="inlineStr">
        <is>
          <t>Preguntar a la cooperativa cómo se desactiva o se baja de rol a un administrador (desde el 9-oct la app no lo permite, por H-07)</t>
        </is>
      </c>
      <c r="E109" s="7" t="inlineStr">
        <is>
          <t>Cooperativa</t>
        </is>
      </c>
      <c r="F109" s="8" t="inlineStr">
        <is>
          <t>Media</t>
        </is>
      </c>
      <c r="G109" s="8" t="inlineStr">
        <is>
          <t>Pendiente</t>
        </is>
      </c>
      <c r="H109" s="8" t="inlineStr">
        <is>
          <t>—</t>
        </is>
      </c>
      <c r="I109" s="21">
        <f>IFERROR(INDEX(Plan!$B$5:$B$129,MATCH(H109,Plan!$A$5:$A$129,0)),"—")</f>
        <v/>
      </c>
      <c r="J109" s="7" t="inlineStr">
        <is>
          <t>09-oct: si la cooperativa lo necesita, hace falta otra migración.</t>
        </is>
      </c>
    </row>
    <row r="110">
      <c r="A110" s="19" t="inlineStr">
        <is>
          <t>P-98</t>
        </is>
      </c>
      <c r="B110" s="4" t="inlineStr">
        <is>
          <t>Decisión</t>
        </is>
      </c>
      <c r="C110" s="4" t="inlineStr">
        <is>
          <t>Asesor</t>
        </is>
      </c>
      <c r="D110" s="7" t="inlineStr">
        <is>
          <t>Confirmar la regla de categorización de asociados ya afiliados como «Aprobada» en las tarjetas/chips de /asesor (pedido D-06 del lienzo)</t>
        </is>
      </c>
      <c r="E110" s="7" t="inlineStr">
        <is>
          <t>Sebas</t>
        </is>
      </c>
      <c r="F110" s="8" t="inlineStr">
        <is>
          <t>Media</t>
        </is>
      </c>
      <c r="G110" s="8" t="inlineStr">
        <is>
          <t>Pendiente</t>
        </is>
      </c>
      <c r="H110" s="8" t="inlineStr">
        <is>
          <t>4.10</t>
        </is>
      </c>
      <c r="I110" s="21">
        <f>IFERROR(INDEX(Plan!$B$5:$B$129,MATCH(H110,Plan!$A$5:$A$129,0)),"—")</f>
        <v/>
      </c>
      <c r="J110" s="7" t="inlineStr">
        <is>
          <t>27-sep: ga-diseno-a-codigo implementó en lib/asesor/resumen.ts (categoriaAfiliacion, TODO(diseno: D-06)) la regla «un asociado ya es, por definición, una afiliación Aprobada» (agrupa origen:'asociado' en la tarjeta/chip «Aprobada» sin importar su estado de crédito), documentada como decisión provisional de la sesión principal. Falta que Sebas o ga-disenador-lienzo la confirmen, o decidan si un asociado con crédito rechazado debe verse distinto, y si la columna «Último crédito» necesita su propio color en el lienzo. Ver docs/diseno/pedidos.md D-06.</t>
        </is>
      </c>
    </row>
    <row r="111">
      <c r="A111" s="19" t="inlineStr">
        <is>
          <t>P-02</t>
        </is>
      </c>
      <c r="B111" s="4" t="inlineStr">
        <is>
          <t>Decisión</t>
        </is>
      </c>
      <c r="C111" s="4" t="inlineStr">
        <is>
          <t>/cuenta</t>
        </is>
      </c>
      <c r="D111" s="7" t="inlineStr">
        <is>
          <t>Preguntar a la cooperativa si los convenios tendrán página propia</t>
        </is>
      </c>
      <c r="E111" s="7" t="inlineStr">
        <is>
          <t>Cooperativa</t>
        </is>
      </c>
      <c r="F111" s="8" t="inlineStr">
        <is>
          <t>Baja</t>
        </is>
      </c>
      <c r="G111" s="8" t="inlineStr">
        <is>
          <t>Pendiente</t>
        </is>
      </c>
      <c r="H111" s="8" t="inlineStr">
        <is>
          <t>5.1</t>
        </is>
      </c>
      <c r="I111" s="21">
        <f>IFERROR(INDEX(Plan!$B$5:$B$129,MATCH(H111,Plan!$A$5:$A$129,0)),"—")</f>
        <v/>
      </c>
      <c r="J111" s="7" t="inlineStr">
        <is>
          <t>Por ahora son una sección en /cuenta (#convenios).</t>
        </is>
      </c>
    </row>
    <row r="112">
      <c r="A112" s="19" t="inlineStr">
        <is>
          <t>P-107</t>
        </is>
      </c>
      <c r="B112" s="4" t="inlineStr">
        <is>
          <t>Decisión</t>
        </is>
      </c>
      <c r="C112" s="4" t="inlineStr">
        <is>
          <t>/afiliacion/enviada</t>
        </is>
      </c>
      <c r="D112" s="7" t="inlineStr">
        <is>
          <t>Confirmar si «4 horas» de /afiliacion/enviada también cambia</t>
        </is>
      </c>
      <c r="E112" s="7" t="inlineStr">
        <is>
          <t>Sebas</t>
        </is>
      </c>
      <c r="F112" s="8" t="inlineStr">
        <is>
          <t>Baja</t>
        </is>
      </c>
      <c r="G112" s="8" t="inlineStr">
        <is>
          <t>Pendiente</t>
        </is>
      </c>
      <c r="H112" s="8" t="inlineStr">
        <is>
          <t>6.22</t>
        </is>
      </c>
      <c r="I112" s="21">
        <f>IFERROR(INDEX(Plan!$B$5:$B$129,MATCH(H112,Plan!$A$5:$A$129,0)),"—")</f>
        <v/>
      </c>
      <c r="J112" s="7" t="inlineStr"/>
    </row>
    <row r="113">
      <c r="A113" s="19" t="inlineStr">
        <is>
          <t>P-09</t>
        </is>
      </c>
      <c r="B113" s="4" t="inlineStr">
        <is>
          <t>Decisión</t>
        </is>
      </c>
      <c r="C113" s="4" t="inlineStr">
        <is>
          <t>Base de datos</t>
        </is>
      </c>
      <c r="D113" s="7" t="inlineStr">
        <is>
          <t>Revisar y aplicar en producción la migración blindar_solicitudes_y_revisiones</t>
        </is>
      </c>
      <c r="E113" s="7" t="inlineStr">
        <is>
          <t>Sebas (ga-auditor-supabase revisa antes)</t>
        </is>
      </c>
      <c r="F113" s="8" t="inlineStr">
        <is>
          <t>Alta</t>
        </is>
      </c>
      <c r="G113" s="8" t="inlineStr">
        <is>
          <t>Hecho</t>
        </is>
      </c>
      <c r="H113" s="8" t="inlineStr">
        <is>
          <t>6.10</t>
        </is>
      </c>
      <c r="I113" s="21">
        <f>IFERROR(INDEX(Plan!$B$5:$B$129,MATCH(H113,Plan!$A$5:$A$129,0)),"—")</f>
        <v/>
      </c>
      <c r="J113" s="7" t="inlineStr">
        <is>
          <t>Verificado con list_migrations el 23-sep: producción ya tiene 20260923173355_blindar_solicitudes_y_revisiones.</t>
        </is>
      </c>
    </row>
    <row r="114">
      <c r="A114" s="19" t="inlineStr">
        <is>
          <t>P-08</t>
        </is>
      </c>
      <c r="B114" s="4" t="inlineStr">
        <is>
          <t>Decisión</t>
        </is>
      </c>
      <c r="C114" s="4" t="inlineStr">
        <is>
          <t>/cuenta</t>
        </is>
      </c>
      <c r="D114" s="7" t="inlineStr">
        <is>
          <t>P-10: el asociado no cambia su nombre pero sí su teléfono</t>
        </is>
      </c>
      <c r="E114" s="7" t="inlineStr">
        <is>
          <t>Yo</t>
        </is>
      </c>
      <c r="F114" s="8" t="inlineStr">
        <is>
          <t>Media</t>
        </is>
      </c>
      <c r="G114" s="8" t="inlineStr">
        <is>
          <t>Hecho</t>
        </is>
      </c>
      <c r="H114" s="8" t="inlineStr">
        <is>
          <t>3.6</t>
        </is>
      </c>
      <c r="I114" s="21">
        <f>IFERROR(INDEX(Plan!$B$5:$B$129,MATCH(H114,Plan!$A$5:$A$129,0)),"—")</f>
        <v/>
      </c>
      <c r="J114" s="7" t="inlineStr">
        <is>
          <t>Apartado «Mis datos» ya maquetado.</t>
        </is>
      </c>
    </row>
    <row r="115">
      <c r="A115" s="19" t="inlineStr">
        <is>
          <t>P-100</t>
        </is>
      </c>
      <c r="B115" s="4" t="inlineStr">
        <is>
          <t>Decisión</t>
        </is>
      </c>
      <c r="C115" s="4" t="inlineStr">
        <is>
          <t>Seguridad</t>
        </is>
      </c>
      <c r="D115" s="7" t="inlineStr">
        <is>
          <t>Migración de permisos por columna para que un asociado no pueda leer la tasa de interés consultando la API directo con su sesión</t>
        </is>
      </c>
      <c r="E115" s="7" t="inlineStr">
        <is>
          <t>Sebas</t>
        </is>
      </c>
      <c r="F115" s="8" t="inlineStr">
        <is>
          <t>Media</t>
        </is>
      </c>
      <c r="G115" s="8" t="inlineStr">
        <is>
          <t>Hecho</t>
        </is>
      </c>
      <c r="H115" s="8" t="inlineStr">
        <is>
          <t>3.5</t>
        </is>
      </c>
      <c r="I115" s="21">
        <f>IFERROR(INDEX(Plan!$B$5:$B$129,MATCH(H115,Plan!$A$5:$A$129,0)),"—")</f>
        <v/>
      </c>
      <c r="J115" s="7" t="inlineStr">
        <is>
          <t>27-sep: residuo tras corregir P-99. Aunque la tasa ya no llega al payload de /cuenta, la RLS actual le sigue permitiendo al asociado leer sus propias solicitudes y grados_credito por la API REST/PostgREST con su sesión, así que la tasa se puede seguir consultando ahí. Ocultarla del todo requiere una migración de permisos por columna (revoke/grant o vista); pendiente de que Sebas decida si vale la pena.</t>
        </is>
      </c>
    </row>
    <row r="116">
      <c r="A116" s="19" t="inlineStr">
        <is>
          <t>P-106</t>
        </is>
      </c>
      <c r="B116" s="4" t="inlineStr">
        <is>
          <t>Decisión</t>
        </is>
      </c>
      <c r="C116" s="4" t="inlineStr">
        <is>
          <t>Admin</t>
        </is>
      </c>
      <c r="D116" s="7" t="inlineStr">
        <is>
          <t>R-09: quién registra los pagos de comisión</t>
        </is>
      </c>
      <c r="E116" s="7" t="inlineStr">
        <is>
          <t>Sebas + Ricardo</t>
        </is>
      </c>
      <c r="F116" s="8" t="inlineStr">
        <is>
          <t>Media</t>
        </is>
      </c>
      <c r="G116" s="8" t="inlineStr">
        <is>
          <t>Hecho</t>
        </is>
      </c>
      <c r="H116" s="8" t="inlineStr">
        <is>
          <t>—</t>
        </is>
      </c>
      <c r="I116" s="21">
        <f>IFERROR(INDEX(Plan!$B$5:$B$129,MATCH(H116,Plan!$A$5:$A$129,0)),"—")</f>
        <v/>
      </c>
      <c r="J116" s="7" t="inlineStr">
        <is>
          <t>R-10 y R-11 cerrados por Sebas (§12.14).</t>
        </is>
      </c>
    </row>
    <row r="117">
      <c r="A117" s="19" t="inlineStr">
        <is>
          <t>P-111</t>
        </is>
      </c>
      <c r="B117" s="4" t="inlineStr">
        <is>
          <t>Decisión</t>
        </is>
      </c>
      <c r="C117" s="4" t="inlineStr">
        <is>
          <t>/admin</t>
        </is>
      </c>
      <c r="D117" s="7" t="inlineStr">
        <is>
          <t>¿«Inscritos al sorteo» entra al dashboard del admin?</t>
        </is>
      </c>
      <c r="E117" s="7" t="inlineStr">
        <is>
          <t>Cooperativa</t>
        </is>
      </c>
      <c r="F117" s="8" t="inlineStr">
        <is>
          <t>Media</t>
        </is>
      </c>
      <c r="G117" s="8" t="inlineStr">
        <is>
          <t>Hecho</t>
        </is>
      </c>
      <c r="H117" s="8" t="inlineStr">
        <is>
          <t>4.7</t>
        </is>
      </c>
      <c r="I117" s="21">
        <f>IFERROR(INDEX(Plan!$B$5:$B$129,MATCH(H117,Plan!$A$5:$A$129,0)),"—")</f>
        <v/>
      </c>
      <c r="J117" s="7" t="inlineStr">
        <is>
          <t>30-sep: reportado por ga-disenador-lienzo y ga-diseno-a-codigo.</t>
        </is>
      </c>
    </row>
    <row r="118">
      <c r="A118" s="19" t="inlineStr">
        <is>
          <t>P-119</t>
        </is>
      </c>
      <c r="B118" s="4" t="inlineStr">
        <is>
          <t>Decisión</t>
        </is>
      </c>
      <c r="C118" s="4" t="inlineStr">
        <is>
          <t>Admin</t>
        </is>
      </c>
      <c r="D118" s="7" t="inlineStr">
        <is>
          <t>Preguntas sobre el rol secretario (¿ve Asociados/Créditos en solo lectura?)</t>
        </is>
      </c>
      <c r="E118" s="7" t="inlineStr">
        <is>
          <t>Cooperativa</t>
        </is>
      </c>
      <c r="F118" s="8" t="inlineStr">
        <is>
          <t>Media</t>
        </is>
      </c>
      <c r="G118" s="8" t="inlineStr">
        <is>
          <t>Hecho</t>
        </is>
      </c>
      <c r="H118" s="8" t="inlineStr">
        <is>
          <t>4.20</t>
        </is>
      </c>
      <c r="I118" s="21">
        <f>IFERROR(INDEX(Plan!$B$5:$B$129,MATCH(H118,Plan!$A$5:$A$129,0)),"—")</f>
        <v/>
      </c>
      <c r="J118" s="7" t="inlineStr"/>
    </row>
    <row r="119">
      <c r="A119" s="19" t="inlineStr">
        <is>
          <t>P-120</t>
        </is>
      </c>
      <c r="B119" s="4" t="inlineStr">
        <is>
          <t>Decisión</t>
        </is>
      </c>
      <c r="C119" s="4" t="inlineStr">
        <is>
          <t>Admin</t>
        </is>
      </c>
      <c r="D119" s="7" t="inlineStr">
        <is>
          <t>¿Se borran los comprobantes de desembolso al eliminar definitivamente a un asociado?</t>
        </is>
      </c>
      <c r="E119" s="7" t="inlineStr">
        <is>
          <t>Cooperativa</t>
        </is>
      </c>
      <c r="F119" s="8" t="inlineStr">
        <is>
          <t>Media</t>
        </is>
      </c>
      <c r="G119" s="8" t="inlineStr">
        <is>
          <t>Hecho</t>
        </is>
      </c>
      <c r="H119" s="8" t="inlineStr">
        <is>
          <t>4.19</t>
        </is>
      </c>
      <c r="I119" s="21">
        <f>IFERROR(INDEX(Plan!$B$5:$B$129,MATCH(H119,Plan!$A$5:$A$129,0)),"—")</f>
        <v/>
      </c>
      <c r="J119" s="7" t="inlineStr"/>
    </row>
    <row r="120">
      <c r="A120" s="19" t="inlineStr">
        <is>
          <t>P-122</t>
        </is>
      </c>
      <c r="B120" s="4" t="inlineStr">
        <is>
          <t>Decisión</t>
        </is>
      </c>
      <c r="C120" s="4" t="inlineStr">
        <is>
          <t>/cuenta</t>
        </is>
      </c>
      <c r="D120" s="7" t="inlineStr">
        <is>
          <t>Moderación de las fotos que sube el asociado al carné</t>
        </is>
      </c>
      <c r="E120" s="7" t="inlineStr">
        <is>
          <t>Cooperativa</t>
        </is>
      </c>
      <c r="F120" s="8" t="inlineStr">
        <is>
          <t>Media</t>
        </is>
      </c>
      <c r="G120" s="8" t="inlineStr">
        <is>
          <t>Hecho</t>
        </is>
      </c>
      <c r="H120" s="8" t="inlineStr">
        <is>
          <t>5.15</t>
        </is>
      </c>
      <c r="I120" s="21">
        <f>IFERROR(INDEX(Plan!$B$5:$B$129,MATCH(H120,Plan!$A$5:$A$129,0)),"—")</f>
        <v/>
      </c>
      <c r="J120" s="7" t="inlineStr"/>
    </row>
    <row r="121">
      <c r="A121" s="19" t="inlineStr">
        <is>
          <t>P-65</t>
        </is>
      </c>
      <c r="B121" s="4" t="inlineStr">
        <is>
          <t>Decisión</t>
        </is>
      </c>
      <c r="C121" s="4" t="inlineStr">
        <is>
          <t>Sorteo</t>
        </is>
      </c>
      <c r="D121" s="7" t="inlineStr">
        <is>
          <t>Decidir si un admin o un asesor pueden participar en el sorteo mensual</t>
        </is>
      </c>
      <c r="E121" s="7" t="inlineStr">
        <is>
          <t>Cooperativa</t>
        </is>
      </c>
      <c r="F121" s="8" t="inlineStr">
        <is>
          <t>Media</t>
        </is>
      </c>
      <c r="G121" s="8" t="inlineStr">
        <is>
          <t>Hecho</t>
        </is>
      </c>
      <c r="H121" s="8" t="inlineStr">
        <is>
          <t>3.9</t>
        </is>
      </c>
      <c r="I121" s="21">
        <f>IFERROR(INDEX(Plan!$B$5:$B$129,MATCH(H121,Plan!$A$5:$A$129,0)),"—")</f>
        <v/>
      </c>
      <c r="J121" s="7" t="inlineStr">
        <is>
          <t>Sugerido por ga-revisor-seguridad el 24-sep. 24-sep: decidido que solo participan asociados (S-13, ya implementado en participarSorteo).</t>
        </is>
      </c>
    </row>
    <row r="122">
      <c r="A122" s="19" t="inlineStr">
        <is>
          <t>P-95</t>
        </is>
      </c>
      <c r="B122" s="4" t="inlineStr">
        <is>
          <t>Decisión</t>
        </is>
      </c>
      <c r="C122" s="4" t="inlineStr">
        <is>
          <t>Admin</t>
        </is>
      </c>
      <c r="D122" s="7" t="inlineStr">
        <is>
          <t>Botón «Escribir por WhatsApp» en el detalle de afiliación del admin</t>
        </is>
      </c>
      <c r="E122" s="7" t="inlineStr">
        <is>
          <t>Cooperativa</t>
        </is>
      </c>
      <c r="F122" s="8" t="inlineStr">
        <is>
          <t>Media</t>
        </is>
      </c>
      <c r="G122" s="8" t="inlineStr">
        <is>
          <t>Hecho</t>
        </is>
      </c>
      <c r="H122" s="8" t="inlineStr">
        <is>
          <t>4.11</t>
        </is>
      </c>
      <c r="I122" s="21">
        <f>IFERROR(INDEX(Plan!$B$5:$B$129,MATCH(H122,Plan!$A$5:$A$129,0)),"—")</f>
        <v/>
      </c>
      <c r="J122" s="7" t="inlineStr">
        <is>
          <t>25-sep: propuesto por el diseño (pieza 3e del lienzo, detalle de afiliación); es funcionalidad nueva, no existía antes. El resto de las piezas 3d–3h usa componentes/rutas que ya existen. 27-sep: Sebas aprobó la funcionalidad; diseñada (D-08) y maquetada en código (enlace wa.me con mensaje prellenado).</t>
        </is>
      </c>
    </row>
    <row r="123">
      <c r="A123" s="19" t="inlineStr">
        <is>
          <t>P-96</t>
        </is>
      </c>
      <c r="B123" s="4" t="inlineStr">
        <is>
          <t>Decisión</t>
        </is>
      </c>
      <c r="C123" s="4" t="inlineStr">
        <is>
          <t>Admin</t>
        </is>
      </c>
      <c r="D123" s="7" t="inlineStr">
        <is>
          <t>Asignar/desactivar el asesor de un asociado (proceso sin definir)</t>
        </is>
      </c>
      <c r="E123" s="7" t="inlineStr">
        <is>
          <t>Cooperativa</t>
        </is>
      </c>
      <c r="F123" s="8" t="inlineStr">
        <is>
          <t>Media</t>
        </is>
      </c>
      <c r="G123" s="8" t="inlineStr">
        <is>
          <t>Hecho</t>
        </is>
      </c>
      <c r="H123" s="8" t="inlineStr">
        <is>
          <t>4.11</t>
        </is>
      </c>
      <c r="I123" s="21">
        <f>IFERROR(INDEX(Plan!$B$5:$B$129,MATCH(H123,Plan!$A$5:$A$129,0)),"—")</f>
        <v/>
      </c>
      <c r="J123" s="7" t="inlineStr">
        <is>
          <t>25-sep: ga-disenador-lienzo no puede diseñar esta pantalla porque no hay backend ni proceso definido para asignar o desactivar el asesor de un asociado. 27-sep: Sebas aprobó únicamente asignar asesor, y solo cuando la afiliación está aprobada y el asociado todavía no tiene asesor; sin cambiar ni quitar un asesor ya asignado por ahora. Diseñada (D-09, bloque «Asesor» 3i), con Server Action asignarAsesor y bloque conectado en código; estado «ya asignado» persistente al recargar agregado por la sesión principal (commit 3b5ae14).</t>
        </is>
      </c>
    </row>
    <row r="124">
      <c r="A124" s="19" t="inlineStr">
        <is>
          <t>P-97</t>
        </is>
      </c>
      <c r="B124" s="4" t="inlineStr">
        <is>
          <t>Decisión</t>
        </is>
      </c>
      <c r="C124" s="4" t="inlineStr">
        <is>
          <t>Admin</t>
        </is>
      </c>
      <c r="D124" s="7" t="inlineStr">
        <is>
          <t>Motivo de rechazo visible en el detalle de afiliación (requiere migración)</t>
        </is>
      </c>
      <c r="E124" s="7" t="inlineStr">
        <is>
          <t>Cooperativa</t>
        </is>
      </c>
      <c r="F124" s="8" t="inlineStr">
        <is>
          <t>Media</t>
        </is>
      </c>
      <c r="G124" s="8" t="inlineStr">
        <is>
          <t>Hecho</t>
        </is>
      </c>
      <c r="H124" s="8" t="inlineStr">
        <is>
          <t>4.11</t>
        </is>
      </c>
      <c r="I124" s="21">
        <f>IFERROR(INDEX(Plan!$B$5:$B$129,MATCH(H124,Plan!$A$5:$A$129,0)),"—")</f>
        <v/>
      </c>
      <c r="J124" s="7" t="inlineStr">
        <is>
          <t>25-sep: identificado en el detalle de afiliación del lienzo (pieza 3e). Relacionado con P-69/5.10 (Carlos Pardo ya tiene encargada la columna motivo_rechazo y el borrado automático de fotos); se deja anotado aparte para que la cooperativa confirme el texto/proceso del motivo que verá el admin.</t>
        </is>
      </c>
    </row>
    <row r="125">
      <c r="A125" s="19" t="inlineStr">
        <is>
          <t>P-01</t>
        </is>
      </c>
      <c r="B125" s="4" t="inlineStr">
        <is>
          <t>Decisión</t>
        </is>
      </c>
      <c r="C125" s="4" t="inlineStr">
        <is>
          <t>General</t>
        </is>
      </c>
      <c r="D125" s="7" t="inlineStr">
        <is>
          <t>Color de error #B3261E</t>
        </is>
      </c>
      <c r="E125" s="7" t="inlineStr">
        <is>
          <t>Yo</t>
        </is>
      </c>
      <c r="F125" s="8" t="inlineStr">
        <is>
          <t>Baja</t>
        </is>
      </c>
      <c r="G125" s="8" t="inlineStr">
        <is>
          <t>Hecho</t>
        </is>
      </c>
      <c r="H125" s="8" t="inlineStr">
        <is>
          <t>—</t>
        </is>
      </c>
      <c r="I125" s="21">
        <f>IFERROR(INDEX(Plan!$B$5:$B$129,MATCH(H125,Plan!$A$5:$A$129,0)),"—")</f>
        <v/>
      </c>
      <c r="J125" s="7" t="inlineStr">
        <is>
          <t>Se deja.</t>
        </is>
      </c>
    </row>
    <row r="126">
      <c r="A126" s="19" t="inlineStr">
        <is>
          <t>P-03</t>
        </is>
      </c>
      <c r="B126" s="4" t="inlineStr">
        <is>
          <t>Decisión</t>
        </is>
      </c>
      <c r="C126" s="4" t="inlineStr">
        <is>
          <t>/cuenta</t>
        </is>
      </c>
      <c r="D126" s="7" t="inlineStr">
        <is>
          <t>Estado vacío de «Tu solicitud»</t>
        </is>
      </c>
      <c r="E126" s="7" t="inlineStr">
        <is>
          <t>Yo</t>
        </is>
      </c>
      <c r="F126" s="8" t="inlineStr">
        <is>
          <t>Baja</t>
        </is>
      </c>
      <c r="G126" s="8" t="inlineStr">
        <is>
          <t>Hecho</t>
        </is>
      </c>
      <c r="H126" s="8" t="inlineStr">
        <is>
          <t>3.4</t>
        </is>
      </c>
      <c r="I126" s="21">
        <f>IFERROR(INDEX(Plan!$B$5:$B$129,MATCH(H126,Plan!$A$5:$A$129,0)),"—")</f>
        <v/>
      </c>
      <c r="J126" s="7" t="inlineStr">
        <is>
          <t>Ver con /cuenta?vacio=1.</t>
        </is>
      </c>
    </row>
    <row r="127">
      <c r="A127" s="19" t="inlineStr">
        <is>
          <t>P-04</t>
        </is>
      </c>
      <c r="B127" s="4" t="inlineStr">
        <is>
          <t>Decisión</t>
        </is>
      </c>
      <c r="C127" s="4" t="inlineStr">
        <is>
          <t>General</t>
        </is>
      </c>
      <c r="D127" s="7" t="inlineStr">
        <is>
          <t>Logo en celular como enlace a la landing</t>
        </is>
      </c>
      <c r="E127" s="7" t="inlineStr">
        <is>
          <t>Yo</t>
        </is>
      </c>
      <c r="F127" s="8" t="inlineStr">
        <is>
          <t>Baja</t>
        </is>
      </c>
      <c r="G127" s="8" t="inlineStr">
        <is>
          <t>Hecho</t>
        </is>
      </c>
      <c r="H127" s="8" t="inlineStr">
        <is>
          <t>—</t>
        </is>
      </c>
      <c r="I127" s="21">
        <f>IFERROR(INDEX(Plan!$B$5:$B$129,MATCH(H127,Plan!$A$5:$A$129,0)),"—")</f>
        <v/>
      </c>
      <c r="J127" s="7" t="inlineStr"/>
    </row>
    <row r="128">
      <c r="A128" s="19" t="inlineStr">
        <is>
          <t>P-05</t>
        </is>
      </c>
      <c r="B128" s="4" t="inlineStr">
        <is>
          <t>Decisión</t>
        </is>
      </c>
      <c r="C128" s="4" t="inlineStr">
        <is>
          <t>General</t>
        </is>
      </c>
      <c r="D128" s="7" t="inlineStr">
        <is>
          <t>Escudo: public/logos/vector/green-alliance-logo.svg</t>
        </is>
      </c>
      <c r="E128" s="7" t="inlineStr">
        <is>
          <t>Yo</t>
        </is>
      </c>
      <c r="F128" s="8" t="inlineStr">
        <is>
          <t>Baja</t>
        </is>
      </c>
      <c r="G128" s="8" t="inlineStr">
        <is>
          <t>Hecho</t>
        </is>
      </c>
      <c r="H128" s="8" t="inlineStr">
        <is>
          <t>—</t>
        </is>
      </c>
      <c r="I128" s="21">
        <f>IFERROR(INDEX(Plan!$B$5:$B$129,MATCH(H128,Plan!$A$5:$A$129,0)),"—")</f>
        <v/>
      </c>
      <c r="J128" s="7" t="inlineStr"/>
    </row>
    <row r="129">
      <c r="A129" s="19" t="inlineStr">
        <is>
          <t>P-06</t>
        </is>
      </c>
      <c r="B129" s="4" t="inlineStr">
        <is>
          <t>Decisión</t>
        </is>
      </c>
      <c r="C129" s="4" t="inlineStr">
        <is>
          <t>/ingresar</t>
        </is>
      </c>
      <c r="D129" s="7" t="inlineStr">
        <is>
          <t>Formulario de ingreso entre 640 y 767 px (columna de 440 px)</t>
        </is>
      </c>
      <c r="E129" s="7" t="inlineStr">
        <is>
          <t>Yo</t>
        </is>
      </c>
      <c r="F129" s="8" t="inlineStr">
        <is>
          <t>Baja</t>
        </is>
      </c>
      <c r="G129" s="8" t="inlineStr">
        <is>
          <t>Hecho</t>
        </is>
      </c>
      <c r="H129" s="8" t="inlineStr">
        <is>
          <t>5.2</t>
        </is>
      </c>
      <c r="I129" s="21">
        <f>IFERROR(INDEX(Plan!$B$5:$B$129,MATCH(H129,Plan!$A$5:$A$129,0)),"—")</f>
        <v/>
      </c>
      <c r="J129" s="7" t="inlineStr"/>
    </row>
    <row r="130">
      <c r="A130" s="19" t="inlineStr">
        <is>
          <t>P-07</t>
        </is>
      </c>
      <c r="B130" s="4" t="inlineStr">
        <is>
          <t>Decisión</t>
        </is>
      </c>
      <c r="C130" s="4" t="inlineStr">
        <is>
          <t>/ingresar</t>
        </is>
      </c>
      <c r="D130" s="7" t="inlineStr">
        <is>
          <t>Panel verde en tableta (640–1023 px) centrado</t>
        </is>
      </c>
      <c r="E130" s="7" t="inlineStr">
        <is>
          <t>Yo</t>
        </is>
      </c>
      <c r="F130" s="8" t="inlineStr">
        <is>
          <t>Baja</t>
        </is>
      </c>
      <c r="G130" s="8" t="inlineStr">
        <is>
          <t>Hecho</t>
        </is>
      </c>
      <c r="H130" s="8" t="inlineStr">
        <is>
          <t>5.2</t>
        </is>
      </c>
      <c r="I130" s="21">
        <f>IFERROR(INDEX(Plan!$B$5:$B$129,MATCH(H130,Plan!$A$5:$A$129,0)),"—")</f>
        <v/>
      </c>
      <c r="J130" s="7" t="inlineStr"/>
    </row>
    <row r="131">
      <c r="A131" s="19" t="inlineStr">
        <is>
          <t>P-103</t>
        </is>
      </c>
      <c r="B131" s="4" t="inlineStr">
        <is>
          <t>Decisión</t>
        </is>
      </c>
      <c r="C131" s="4" t="inlineStr">
        <is>
          <t>Landing</t>
        </is>
      </c>
      <c r="D131" s="7" t="inlineStr">
        <is>
          <t>D-07: ¿se mantiene la sección de testimonios de la landing? si sí, falta su diseño en la pieza 2a y de dónde salen los testimonios reales</t>
        </is>
      </c>
      <c r="E131" s="7" t="inlineStr">
        <is>
          <t>Cooperativa</t>
        </is>
      </c>
      <c r="F131" s="8" t="inlineStr">
        <is>
          <t>Baja</t>
        </is>
      </c>
      <c r="G131" s="8" t="inlineStr">
        <is>
          <t>Hecho</t>
        </is>
      </c>
      <c r="H131" s="8" t="inlineStr">
        <is>
          <t>2.14</t>
        </is>
      </c>
      <c r="I131" s="21">
        <f>IFERROR(INDEX(Plan!$B$5:$B$129,MATCH(H131,Plan!$A$5:$A$129,0)),"—")</f>
        <v/>
      </c>
      <c r="J131" s="7" t="inlineStr">
        <is>
          <t>27-sep: pedido de diseño nuevo de ga-verificador-qa (la sección no tiene respaldo en la pieza 2a del lienzo). Relacionado con P-16 (fotos/cifras/testimonios reales, 5.3). 27-sep: Sebas decidió quitar la sección de testimonios de la landing (commit 4c63924).</t>
        </is>
      </c>
    </row>
    <row r="132">
      <c r="A132" s="19" t="inlineStr">
        <is>
          <t>P-115</t>
        </is>
      </c>
      <c r="B132" s="4" t="inlineStr">
        <is>
          <t>Decisión</t>
        </is>
      </c>
      <c r="C132" s="4" t="inlineStr">
        <is>
          <t>/cuenta</t>
        </is>
      </c>
      <c r="D132" s="7" t="inlineStr">
        <is>
          <t>¿El carné virtual lleva un código QR?</t>
        </is>
      </c>
      <c r="E132" s="7" t="inlineStr">
        <is>
          <t>Cooperativa</t>
        </is>
      </c>
      <c r="F132" s="8" t="inlineStr">
        <is>
          <t>Baja</t>
        </is>
      </c>
      <c r="G132" s="8" t="inlineStr">
        <is>
          <t>Hecho</t>
        </is>
      </c>
      <c r="H132" s="8" t="inlineStr">
        <is>
          <t>5.12</t>
        </is>
      </c>
      <c r="I132" s="21">
        <f>IFERROR(INDEX(Plan!$B$5:$B$129,MATCH(H132,Plan!$A$5:$A$129,0)),"—")</f>
        <v/>
      </c>
      <c r="J132" s="7" t="inlineStr">
        <is>
          <t>01-oct: planteado por ga-disenador-lienzo al maquetar 3u. 01-oct: el carné lleva QR con /verificar/[token] (5.14).</t>
        </is>
      </c>
    </row>
    <row r="133">
      <c r="A133" s="19" t="inlineStr">
        <is>
          <t>P-121</t>
        </is>
      </c>
      <c r="B133" s="4" t="inlineStr">
        <is>
          <t>Decisión</t>
        </is>
      </c>
      <c r="C133" s="4" t="inlineStr">
        <is>
          <t>/cuenta</t>
        </is>
      </c>
      <c r="D133" s="7" t="inlineStr">
        <is>
          <t>¿El carné sin foto lleva una silueta?</t>
        </is>
      </c>
      <c r="E133" s="7" t="inlineStr">
        <is>
          <t>Cooperativa</t>
        </is>
      </c>
      <c r="F133" s="8" t="inlineStr">
        <is>
          <t>Baja</t>
        </is>
      </c>
      <c r="G133" s="8" t="inlineStr">
        <is>
          <t>Hecho</t>
        </is>
      </c>
      <c r="H133" s="8" t="inlineStr">
        <is>
          <t>5.15</t>
        </is>
      </c>
      <c r="I133" s="21">
        <f>IFERROR(INDEX(Plan!$B$5:$B$129,MATCH(H133,Plan!$A$5:$A$129,0)),"—")</f>
        <v/>
      </c>
      <c r="J133" s="7" t="inlineStr"/>
    </row>
    <row r="134">
      <c r="A134" s="19" t="inlineStr">
        <is>
          <t>P-125</t>
        </is>
      </c>
      <c r="B134" s="4" t="inlineStr">
        <is>
          <t>Decisión</t>
        </is>
      </c>
      <c r="C134" s="4" t="inlineStr">
        <is>
          <t>/verificar</t>
        </is>
      </c>
      <c r="D134" s="7" t="inlineStr">
        <is>
          <t>¿El nombre completo del asociado puede verse públicamente en /verificar?</t>
        </is>
      </c>
      <c r="E134" s="7" t="inlineStr">
        <is>
          <t>Cooperativa</t>
        </is>
      </c>
      <c r="F134" s="8" t="inlineStr">
        <is>
          <t>Baja</t>
        </is>
      </c>
      <c r="G134" s="8" t="inlineStr">
        <is>
          <t>Hecho</t>
        </is>
      </c>
      <c r="H134" s="8" t="inlineStr">
        <is>
          <t>5.14</t>
        </is>
      </c>
      <c r="I134" s="21">
        <f>IFERROR(INDEX(Plan!$B$5:$B$129,MATCH(H134,Plan!$A$5:$A$129,0)),"—")</f>
        <v/>
      </c>
      <c r="J134" s="7" t="inlineStr">
        <is>
          <t>01-oct: planteado por ga-revisor-seguridad.</t>
        </is>
      </c>
    </row>
    <row r="135">
      <c r="A135" s="19" t="inlineStr">
        <is>
          <t>P-53</t>
        </is>
      </c>
      <c r="B135" s="4" t="inlineStr">
        <is>
          <t>Decisión</t>
        </is>
      </c>
      <c r="C135" s="4" t="inlineStr">
        <is>
          <t>Landing</t>
        </is>
      </c>
      <c r="D135" s="7" t="inlineStr">
        <is>
          <t>A 320 px la línea «COOPERATIVA» del logo mide ~5 px de alto (opcional: ocultarla o achicar «Ingresar» bajo 360 px)</t>
        </is>
      </c>
      <c r="E135" s="7" t="inlineStr">
        <is>
          <t>Yo</t>
        </is>
      </c>
      <c r="F135" s="8" t="inlineStr">
        <is>
          <t>Baja</t>
        </is>
      </c>
      <c r="G135" s="8" t="inlineStr">
        <is>
          <t>Hecho</t>
        </is>
      </c>
      <c r="H135" s="8" t="inlineStr">
        <is>
          <t>—</t>
        </is>
      </c>
      <c r="I135" s="21">
        <f>IFERROR(INDEX(Plan!$B$5:$B$129,MATCH(H135,Plan!$A$5:$A$129,0)),"—")</f>
        <v/>
      </c>
      <c r="J135" s="7" t="inlineStr">
        <is>
          <t>Menor y opcional, reportado por ga-verificador-responsive el 23-sep. 01-oct: el logo horizontal oculta «COOPERATIVA» bajo 360 px.</t>
        </is>
      </c>
    </row>
    <row r="136">
      <c r="A136" s="19" t="inlineStr">
        <is>
          <t>P-126</t>
        </is>
      </c>
      <c r="B136" s="4" t="inlineStr">
        <is>
          <t>Seguridad</t>
        </is>
      </c>
      <c r="C136" s="4" t="inlineStr">
        <is>
          <t>Landing / convenios</t>
        </is>
      </c>
      <c r="D136" s="7" t="inlineStr">
        <is>
          <t>H-01: el WhatsApp de convenios llega al navegador en la landing y anon puede leer telefono_contacto de la API</t>
        </is>
      </c>
      <c r="E136" s="7" t="inlineStr">
        <is>
          <t>ga-funcionalidad-botones</t>
        </is>
      </c>
      <c r="F136" s="8" t="inlineStr">
        <is>
          <t>Alta</t>
        </is>
      </c>
      <c r="G136" s="8" t="inlineStr">
        <is>
          <t>Hecho</t>
        </is>
      </c>
      <c r="H136" s="8" t="inlineStr">
        <is>
          <t>6.32</t>
        </is>
      </c>
      <c r="I136" s="21">
        <f>IFERROR(INDEX(Plan!$B$5:$B$129,MATCH(H136,Plan!$A$5:$A$129,0)),"—")</f>
        <v/>
      </c>
      <c r="J136" s="7" t="inlineStr">
        <is>
          <t>08-oct: ga-revisor-seguridad. 09-oct: Hecho en código; falta aplicar la migración 20261009000000 (P-138) y desplegar (P-139).</t>
        </is>
      </c>
    </row>
    <row r="137">
      <c r="A137" s="19" t="inlineStr">
        <is>
          <t>P-101</t>
        </is>
      </c>
      <c r="B137" s="4" t="inlineStr">
        <is>
          <t>Seguridad</t>
        </is>
      </c>
      <c r="C137" s="4" t="inlineStr">
        <is>
          <t>Admin</t>
        </is>
      </c>
      <c r="D137" s="7" t="inlineStr">
        <is>
          <t>H2/M-01: cédula sin enmascarar de las «hermanas» en el detalle de afiliación viajaba completa a un client component</t>
        </is>
      </c>
      <c r="E137" s="7" t="inlineStr">
        <is>
          <t>sesión principal</t>
        </is>
      </c>
      <c r="F137" s="8" t="inlineStr">
        <is>
          <t>Media</t>
        </is>
      </c>
      <c r="G137" s="8" t="inlineStr">
        <is>
          <t>Hecho</t>
        </is>
      </c>
      <c r="H137" s="8" t="inlineStr">
        <is>
          <t>4.11</t>
        </is>
      </c>
      <c r="I137" s="21">
        <f>IFERROR(INDEX(Plan!$B$5:$B$129,MATCH(H137,Plan!$A$5:$A$129,0)),"—")</f>
        <v/>
      </c>
      <c r="J137" s="7" t="inlineStr">
        <is>
          <t>27-sep: hallazgo de ga-revisor-seguridad, confirmado por ga-verificador-qa el mismo día (se mostraba enmascarada en pantalla pero viajaba completa en las props de PanelAfiliacionDetalle / app/admin/afiliaciones/_datos.ts). Corregido en rediseno-c-plus (commit local fdab456): la cédula se enmascara en el servidor antes de llegar al client component.</t>
        </is>
      </c>
    </row>
    <row r="138">
      <c r="A138" s="19" t="inlineStr">
        <is>
          <t>P-127</t>
        </is>
      </c>
      <c r="B138" s="4" t="inlineStr">
        <is>
          <t>Seguridad</t>
        </is>
      </c>
      <c r="C138" s="4" t="inlineStr">
        <is>
          <t>Cuenta</t>
        </is>
      </c>
      <c r="D138" s="7" t="inlineStr">
        <is>
          <t>H-02: la cédula enmascarada se reconstruye buscando fragmentos (buscar_asociados_general); exigir coincidencia exacta y bajar el límite</t>
        </is>
      </c>
      <c r="E138" s="7" t="inlineStr">
        <is>
          <t>ga-funcionalidad-botones</t>
        </is>
      </c>
      <c r="F138" s="8" t="inlineStr">
        <is>
          <t>Media</t>
        </is>
      </c>
      <c r="G138" s="8" t="inlineStr">
        <is>
          <t>Hecho</t>
        </is>
      </c>
      <c r="H138" s="8" t="inlineStr">
        <is>
          <t>6.33</t>
        </is>
      </c>
      <c r="I138" s="21">
        <f>IFERROR(INDEX(Plan!$B$5:$B$129,MATCH(H138,Plan!$A$5:$A$129,0)),"—")</f>
        <v/>
      </c>
      <c r="J138" s="7" t="inlineStr">
        <is>
          <t>08-oct: ga-revisor-seguridad. 09-oct: Hecho en código; falta aplicar la migración 20261009000000 (P-138) y desplegar (P-139).</t>
        </is>
      </c>
    </row>
    <row r="139">
      <c r="A139" s="19" t="inlineStr">
        <is>
          <t>P-128</t>
        </is>
      </c>
      <c r="B139" s="4" t="inlineStr">
        <is>
          <t>Seguridad</t>
        </is>
      </c>
      <c r="C139" s="4" t="inlineStr">
        <is>
          <t>Base de datos</t>
        </is>
      </c>
      <c r="D139" s="7" t="inlineStr">
        <is>
          <t>H-03: un solo admin puede poner su correo en la cuenta de un asociado vía recuperación; atar el cambio al correo_nuevo de la solicitud</t>
        </is>
      </c>
      <c r="E139" s="7" t="inlineStr">
        <is>
          <t>ga-auditor-supabase</t>
        </is>
      </c>
      <c r="F139" s="8" t="inlineStr">
        <is>
          <t>Media</t>
        </is>
      </c>
      <c r="G139" s="8" t="inlineStr">
        <is>
          <t>Hecho</t>
        </is>
      </c>
      <c r="H139" s="8" t="inlineStr">
        <is>
          <t>6.33</t>
        </is>
      </c>
      <c r="I139" s="21">
        <f>IFERROR(INDEX(Plan!$B$5:$B$129,MATCH(H139,Plan!$A$5:$A$129,0)),"—")</f>
        <v/>
      </c>
      <c r="J139" s="7" t="inlineStr">
        <is>
          <t>08-oct: ga-revisor-seguridad. 09-oct: Hecho en código; falta aplicar la migración 20261009000000 (P-138) y desplegar (P-139).</t>
        </is>
      </c>
    </row>
    <row r="140">
      <c r="A140" s="19" t="inlineStr">
        <is>
          <t>P-129</t>
        </is>
      </c>
      <c r="B140" s="4" t="inlineStr">
        <is>
          <t>Seguridad</t>
        </is>
      </c>
      <c r="C140" s="4" t="inlineStr">
        <is>
          <t>Revisión 8-oct</t>
        </is>
      </c>
      <c r="D140" s="7" t="inlineStr">
        <is>
          <t>H-04: la verificación pública del QR muestra la foto del asociado (dato sensible); decisión de Sebas</t>
        </is>
      </c>
      <c r="E140" s="7" t="inlineStr">
        <is>
          <t>ga-revisor-seguridad</t>
        </is>
      </c>
      <c r="F140" s="8" t="inlineStr">
        <is>
          <t>Media</t>
        </is>
      </c>
      <c r="G140" s="8" t="inlineStr">
        <is>
          <t>Hecho</t>
        </is>
      </c>
      <c r="H140" s="8" t="inlineStr">
        <is>
          <t>6.33</t>
        </is>
      </c>
      <c r="I140" s="21">
        <f>IFERROR(INDEX(Plan!$B$5:$B$129,MATCH(H140,Plan!$A$5:$A$129,0)),"—")</f>
        <v/>
      </c>
      <c r="J140" s="7" t="inlineStr">
        <is>
          <t>08-oct: ga-revisor-seguridad. Descripción en el informe del revisor; no venía en el buzón. 09-oct: cerrado, Sebas decidió dejarla (riesgo aceptado).</t>
        </is>
      </c>
    </row>
    <row r="141">
      <c r="A141" s="19" t="inlineStr">
        <is>
          <t>P-130</t>
        </is>
      </c>
      <c r="B141" s="4" t="inlineStr">
        <is>
          <t>Seguridad</t>
        </is>
      </c>
      <c r="C141" s="4" t="inlineStr">
        <is>
          <t>Revisión 8-oct</t>
        </is>
      </c>
      <c r="D141" s="7" t="inlineStr">
        <is>
          <t>H-05: un tercero con la cédula bloquea la recuperación del asociado (una sola solicitud pendiente por perfil)</t>
        </is>
      </c>
      <c r="E141" s="7" t="inlineStr">
        <is>
          <t>ga-revisor-seguridad</t>
        </is>
      </c>
      <c r="F141" s="8" t="inlineStr">
        <is>
          <t>Media</t>
        </is>
      </c>
      <c r="G141" s="8" t="inlineStr">
        <is>
          <t>Hecho</t>
        </is>
      </c>
      <c r="H141" s="8" t="inlineStr">
        <is>
          <t>6.33</t>
        </is>
      </c>
      <c r="I141" s="21">
        <f>IFERROR(INDEX(Plan!$B$5:$B$129,MATCH(H141,Plan!$A$5:$A$129,0)),"—")</f>
        <v/>
      </c>
      <c r="J141" s="7" t="inlineStr">
        <is>
          <t>08-oct: ga-revisor-seguridad. Descripción en el informe del revisor; no venía en el buzón. 09-oct: Hecho en código; falta aplicar la migración 20261009000000 (P-138) y desplegar (P-139).</t>
        </is>
      </c>
    </row>
    <row r="142">
      <c r="A142" s="19" t="inlineStr">
        <is>
          <t>P-131</t>
        </is>
      </c>
      <c r="B142" s="4" t="inlineStr">
        <is>
          <t>Seguridad</t>
        </is>
      </c>
      <c r="C142" s="4" t="inlineStr">
        <is>
          <t>Dependencias</t>
        </is>
      </c>
      <c r="D142" s="7" t="inlineStr">
        <is>
          <t>H-06: npm audit fix (sharp y source-map-js, 2 altas con arreglo disponible)</t>
        </is>
      </c>
      <c r="E142" s="7" t="inlineStr">
        <is>
          <t>sesión principal</t>
        </is>
      </c>
      <c r="F142" s="8" t="inlineStr">
        <is>
          <t>Media</t>
        </is>
      </c>
      <c r="G142" s="8" t="inlineStr">
        <is>
          <t>Hecho</t>
        </is>
      </c>
      <c r="H142" s="8" t="inlineStr">
        <is>
          <t>6.35</t>
        </is>
      </c>
      <c r="I142" s="21">
        <f>IFERROR(INDEX(Plan!$B$5:$B$129,MATCH(H142,Plan!$A$5:$A$129,0)),"—")</f>
        <v/>
      </c>
      <c r="J142" s="7" t="inlineStr">
        <is>
          <t>08-oct: ga-revisor-seguridad. 09-oct: npm audit fix aplicado, 0 vulnerabilidades en producción (herramientas de desarrollo requieren --force).</t>
        </is>
      </c>
    </row>
    <row r="143">
      <c r="A143" s="19" t="inlineStr">
        <is>
          <t>P-83</t>
        </is>
      </c>
      <c r="B143" s="4" t="inlineStr">
        <is>
          <t>Seguridad</t>
        </is>
      </c>
      <c r="C143" s="4" t="inlineStr">
        <is>
          <t>Correos</t>
        </is>
      </c>
      <c r="D143" s="7" t="inlineStr">
        <is>
          <t>S-15: escapar/validar HTML en las variables NOMBRE/MOTIVO de los correos de Resend</t>
        </is>
      </c>
      <c r="E143" s="7" t="inlineStr">
        <is>
          <t>ga-funcionalidad-botones</t>
        </is>
      </c>
      <c r="F143" s="8" t="inlineStr">
        <is>
          <t>Media</t>
        </is>
      </c>
      <c r="G143" s="8" t="inlineStr">
        <is>
          <t>Hecho</t>
        </is>
      </c>
      <c r="H143" s="8" t="inlineStr">
        <is>
          <t>6.2</t>
        </is>
      </c>
      <c r="I143" s="21">
        <f>IFERROR(INDEX(Plan!$B$5:$B$129,MATCH(H143,Plan!$A$5:$A$129,0)),"—")</f>
        <v/>
      </c>
      <c r="J143" s="7" t="inlineStr">
        <is>
          <t>25-sep: hallazgo de ga-revisor-seguridad (un admin puede meter HTML en perfiles.nombre_completo o en el motivo de rechazo). Corregido en local con pruebas (tests/unit/correo-resend.test.ts). 25-sep: desplegado con el PR #2 (merge 2c19d02).</t>
        </is>
      </c>
    </row>
    <row r="144">
      <c r="A144" s="19" t="inlineStr">
        <is>
          <t>P-84</t>
        </is>
      </c>
      <c r="B144" s="4" t="inlineStr">
        <is>
          <t>Código</t>
        </is>
      </c>
      <c r="C144" s="4" t="inlineStr">
        <is>
          <t>Configuración</t>
        </is>
      </c>
      <c r="D144" s="7" t="inlineStr">
        <is>
          <t>M-01: el número de WhatsApp se muestra sin espacios por un typo de regex en lib/config.ts</t>
        </is>
      </c>
      <c r="E144" s="7" t="inlineStr">
        <is>
          <t>ga-funcionalidad-botones</t>
        </is>
      </c>
      <c r="F144" s="8" t="inlineStr">
        <is>
          <t>Media</t>
        </is>
      </c>
      <c r="G144" s="8" t="inlineStr">
        <is>
          <t>Hecho</t>
        </is>
      </c>
      <c r="H144" s="8" t="inlineStr">
        <is>
          <t>5.3</t>
        </is>
      </c>
      <c r="I144" s="21">
        <f>IFERROR(INDEX(Plan!$B$5:$B$129,MATCH(H144,Plan!$A$5:$A$129,0)),"—")</f>
        <v/>
      </c>
      <c r="J144" s="7" t="inlineStr">
        <is>
          <t>25-sep: hallazgo de ga-verificador-qa (patrón sin la barra invertida de \D/\d; el enlace wa.me sí funciona). Corregido en local con pruebas (tests/unit/config-whatsapp.test.ts). 25-sep: desplegado con el PR #2 (merge 2c19d02); confirmado en vivo «311 724 1942».</t>
        </is>
      </c>
    </row>
    <row r="145">
      <c r="A145" s="19" t="inlineStr">
        <is>
          <t>P-99</t>
        </is>
      </c>
      <c r="B145" s="4" t="inlineStr">
        <is>
          <t>Seguridad</t>
        </is>
      </c>
      <c r="C145" s="4" t="inlineStr">
        <is>
          <t>/cuenta</t>
        </is>
      </c>
      <c r="D145" s="7" t="inlineStr">
        <is>
          <t>H1: la tasa de interés de la solicitud viajaba en las props de CuentaCliente aunque nunca se renderizara</t>
        </is>
      </c>
      <c r="E145" s="7" t="inlineStr">
        <is>
          <t>sesión principal</t>
        </is>
      </c>
      <c r="F145" s="8" t="inlineStr">
        <is>
          <t>Media</t>
        </is>
      </c>
      <c r="G145" s="8" t="inlineStr">
        <is>
          <t>Hecho</t>
        </is>
      </c>
      <c r="H145" s="8" t="inlineStr">
        <is>
          <t>3.5</t>
        </is>
      </c>
      <c r="I145" s="21">
        <f>IFERROR(INDEX(Plan!$B$5:$B$129,MATCH(H145,Plan!$A$5:$A$129,0)),"—")</f>
        <v/>
      </c>
      <c r="J145" s="7" t="inlineStr">
        <is>
          <t>27-sep: hallazgo de ga-revisor-seguridad al revisar el rediseño C+; confirmado vigente en producción desde el 25-sep, no introducido por el rediseño. Corregido en rediseno-c-plus (commit local e650033): app/cuenta/page.tsx y lib/cuenta.ts ya no mandan tasa/tasa_interes_mensual a CuentaCliente (client component). Como también afecta a producción (main), conviene llevar este hotfix aparte aunque el rediseño no se fusione todavía; queda a decisión de Sebas. Ver el residuo en P-100.</t>
        </is>
      </c>
    </row>
    <row r="146">
      <c r="A146" s="19" t="inlineStr">
        <is>
          <t>P-132</t>
        </is>
      </c>
      <c r="B146" s="4" t="inlineStr">
        <is>
          <t>Seguridad</t>
        </is>
      </c>
      <c r="C146" s="4" t="inlineStr">
        <is>
          <t>Revisión 8-oct</t>
        </is>
      </c>
      <c r="D146" s="7" t="inlineStr">
        <is>
          <t>H-07: un admin puede desactivar a otro admin sin control (admin_cambiar_estado_asociado)</t>
        </is>
      </c>
      <c r="E146" s="7" t="inlineStr">
        <is>
          <t>ga-revisor-seguridad</t>
        </is>
      </c>
      <c r="F146" s="8" t="inlineStr">
        <is>
          <t>Baja</t>
        </is>
      </c>
      <c r="G146" s="8" t="inlineStr">
        <is>
          <t>Hecho</t>
        </is>
      </c>
      <c r="H146" s="8" t="inlineStr">
        <is>
          <t>6.34</t>
        </is>
      </c>
      <c r="I146" s="21">
        <f>IFERROR(INDEX(Plan!$B$5:$B$129,MATCH(H146,Plan!$A$5:$A$129,0)),"—")</f>
        <v/>
      </c>
      <c r="J146" s="7" t="inlineStr">
        <is>
          <t>08-oct: ga-revisor-seguridad. Descripción en el informe del revisor; no venía en el buzón. 09-oct: Hecho en código; falta aplicar la migración 20261009000000 (P-138) y desplegar (P-139).</t>
        </is>
      </c>
    </row>
    <row r="147">
      <c r="A147" s="19" t="inlineStr">
        <is>
          <t>P-133</t>
        </is>
      </c>
      <c r="B147" s="4" t="inlineStr">
        <is>
          <t>Seguridad</t>
        </is>
      </c>
      <c r="C147" s="4" t="inlineStr">
        <is>
          <t>Revisión 8-oct</t>
        </is>
      </c>
      <c r="D147" s="7" t="inlineStr">
        <is>
          <t>H-09: fotos-carne huérfanas por URLs de subida sin confirmar; agregarlas al cron</t>
        </is>
      </c>
      <c r="E147" s="7" t="inlineStr">
        <is>
          <t>ga-revisor-seguridad</t>
        </is>
      </c>
      <c r="F147" s="8" t="inlineStr">
        <is>
          <t>Baja</t>
        </is>
      </c>
      <c r="G147" s="8" t="inlineStr">
        <is>
          <t>Hecho</t>
        </is>
      </c>
      <c r="H147" s="8" t="inlineStr">
        <is>
          <t>6.34</t>
        </is>
      </c>
      <c r="I147" s="21">
        <f>IFERROR(INDEX(Plan!$B$5:$B$129,MATCH(H147,Plan!$A$5:$A$129,0)),"—")</f>
        <v/>
      </c>
      <c r="J147" s="7" t="inlineStr">
        <is>
          <t>08-oct: ga-revisor-seguridad. Descripción en el informe del revisor; no venía en el buzón. 09-oct: Hecho en código; falta aplicar la migración 20261009000000 (P-138) y desplegar (P-139). H-09 rehecho con la RPC fotos_carne_huerfanas.</t>
        </is>
      </c>
    </row>
    <row r="148">
      <c r="A148" s="19" t="inlineStr">
        <is>
          <t>P-134</t>
        </is>
      </c>
      <c r="B148" s="4" t="inlineStr">
        <is>
          <t>Seguridad</t>
        </is>
      </c>
      <c r="C148" s="4" t="inlineStr">
        <is>
          <t>Revisión 8-oct</t>
        </is>
      </c>
      <c r="D148" s="7" t="inlineStr">
        <is>
          <t>H-10: regex de rutaEsDeSolicitud con el punto mal escapado en lib/comprobantes.ts (no explotable)</t>
        </is>
      </c>
      <c r="E148" s="7" t="inlineStr">
        <is>
          <t>ga-revisor-seguridad</t>
        </is>
      </c>
      <c r="F148" s="8" t="inlineStr">
        <is>
          <t>Baja</t>
        </is>
      </c>
      <c r="G148" s="8" t="inlineStr">
        <is>
          <t>Hecho</t>
        </is>
      </c>
      <c r="H148" s="8" t="inlineStr">
        <is>
          <t>6.34</t>
        </is>
      </c>
      <c r="I148" s="21">
        <f>IFERROR(INDEX(Plan!$B$5:$B$129,MATCH(H148,Plan!$A$5:$A$129,0)),"—")</f>
        <v/>
      </c>
      <c r="J148" s="7" t="inlineStr">
        <is>
          <t>08-oct: ga-revisor-seguridad. Descripción en el informe del revisor; no venía en el buzón. 09-oct: Hecho en código; falta aplicar la migración 20261009000000 (P-138) y desplegar (P-139).</t>
        </is>
      </c>
    </row>
    <row r="149">
      <c r="A149" s="19" t="inlineStr">
        <is>
          <t>P-88</t>
        </is>
      </c>
      <c r="B149" s="4" t="inlineStr">
        <is>
          <t>Base de datos</t>
        </is>
      </c>
      <c r="C149" s="4" t="inlineStr">
        <is>
          <t>Seguridad</t>
        </is>
      </c>
      <c r="D149" s="7" t="inlineStr">
        <is>
          <t>F2-08: tr_componer_nombre_afiliacion no cubre el update directo de solicitudes_afiliacion.nombre por un admin</t>
        </is>
      </c>
      <c r="E149" s="7" t="inlineStr">
        <is>
          <t>ga-auditor-supabase</t>
        </is>
      </c>
      <c r="F149" s="8" t="inlineStr">
        <is>
          <t>Baja</t>
        </is>
      </c>
      <c r="G149" s="8" t="inlineStr">
        <is>
          <t>Hecho</t>
        </is>
      </c>
      <c r="H149" s="8" t="inlineStr">
        <is>
          <t>1.6</t>
        </is>
      </c>
      <c r="I149" s="21">
        <f>IFERROR(INDEX(Plan!$B$5:$B$129,MATCH(H149,Plan!$A$5:$A$129,0)),"—")</f>
        <v/>
      </c>
      <c r="J149" s="7" t="inlineStr">
        <is>
          <t>Documentado en docs/auditorias/2026-09-24-fase-2.md; confirmado sin corregir por ga-revisor-seguridad el 25-sep. Un admin puede reescribir `nombre` por SQL directo, y ese texto lo usan el correo «Ingreso aceptado» y el nombre_completo del perfil. Solo afecta a admins. 01-oct: corregido en la migración 20261002000000 (pgTAP 05 ajustado); se aplica con P-114.</t>
        </is>
      </c>
    </row>
  </sheetData>
  <autoFilter ref="A4:J149"/>
  <conditionalFormatting sqref="G5:G149">
    <cfRule type="expression" priority="1" dxfId="1">
      <formula>$G5="Hecho"</formula>
    </cfRule>
    <cfRule type="expression" priority="2" dxfId="2">
      <formula>$G5="En curso"</formula>
    </cfRule>
    <cfRule type="expression" priority="3" dxfId="3">
      <formula>$G5="Pendiente"</formula>
    </cfRule>
    <cfRule type="expression" priority="4" dxfId="4">
      <formula>$G5="Bloqueado"</formula>
    </cfRule>
  </conditionalFormatting>
  <conditionalFormatting sqref="F5:F149">
    <cfRule type="expression" priority="5" dxfId="5">
      <formula>$F5="Alta"</formula>
    </cfRule>
    <cfRule type="expression" priority="6" dxfId="6">
      <formula>$F5="Media"</formula>
    </cfRule>
    <cfRule type="expression" priority="7" dxfId="7">
      <formula>$F5="Baja"</formula>
    </cfRule>
  </conditionalFormatting>
  <conditionalFormatting sqref="A5:F149">
    <cfRule type="expression" priority="8" dxfId="8">
      <formula>$G5="Hecho"</formula>
    </cfRule>
  </conditionalFormatting>
  <dataValidations count="2">
    <dataValidation sqref="G5:G149" showDropDown="0" showInputMessage="0" showErrorMessage="0" allowBlank="0" type="list">
      <formula1>"Hecho,En curso,Pendiente,Bloqueado"</formula1>
    </dataValidation>
    <dataValidation sqref="F5:F149" showDropDown="0" showInputMessage="0" showErrorMessage="0" allowBlank="0"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5"/>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2" customWidth="1" min="3" max="3"/>
    <col width="9" customWidth="1" min="4" max="4"/>
    <col width="10" customWidth="1" min="5" max="5"/>
    <col width="14" customWidth="1" min="6" max="6"/>
    <col width="12" customWidth="1" min="7" max="7"/>
    <col width="22" customWidth="1" min="8" max="8"/>
    <col width="7" customWidth="1" min="9" max="9"/>
    <col width="11" customWidth="1" min="10" max="10"/>
    <col width="9" customWidth="1" min="11" max="11"/>
    <col width="9" customWidth="1" min="12" max="12"/>
    <col width="9" customWidth="1" min="13" max="13"/>
    <col width="10" customWidth="1" min="14" max="14"/>
    <col width="11" customWidth="1" min="15" max="15"/>
    <col width="11" customWidth="1" min="16" max="16"/>
    <col width="26" customWidth="1" min="17" max="17"/>
    <col width="34" customWidth="1" min="18" max="18"/>
  </cols>
  <sheetData>
    <row r="1">
      <c r="A1" s="1" t="inlineStr">
        <is>
          <t>Plan optimizado — tabla de actividades</t>
        </is>
      </c>
    </row>
    <row r="2">
      <c r="A2" s="2" t="inlineStr">
        <is>
          <t>Inicio, Listo y Fila los calcula el optimizador (2 filas, cola infinita). Si cambias pesos o dependencias, pide a ga-supervisor-avances que regenere el libro.</t>
        </is>
      </c>
    </row>
    <row r="4" ht="42" customHeight="1">
      <c r="A4" s="14" t="inlineStr">
        <is>
          <t>ID</t>
        </is>
      </c>
      <c r="B4" s="14" t="inlineStr">
        <is>
          <t>Fase</t>
        </is>
      </c>
      <c r="C4" s="14" t="inlineStr">
        <is>
          <t>Actividad</t>
        </is>
      </c>
      <c r="D4" s="14" t="inlineStr">
        <is>
          <t>Peso (1–5)</t>
        </is>
      </c>
      <c r="E4" s="14" t="inlineStr">
        <is>
          <t>Duración (bloques)</t>
        </is>
      </c>
      <c r="F4" s="14" t="inlineStr">
        <is>
          <t>Depende de</t>
        </is>
      </c>
      <c r="G4" s="14" t="inlineStr">
        <is>
          <t>¿Simultánea con otras?</t>
        </is>
      </c>
      <c r="H4" s="14" t="inlineStr">
        <is>
          <t>En paralelo con</t>
        </is>
      </c>
      <c r="I4" s="14" t="inlineStr">
        <is>
          <t>Fila</t>
        </is>
      </c>
      <c r="J4" s="14" t="inlineStr">
        <is>
          <t>Entra a la cola (bloque)</t>
        </is>
      </c>
      <c r="K4" s="14" t="inlineStr">
        <is>
          <t>Inicio (bloque)</t>
        </is>
      </c>
      <c r="L4" s="14" t="inlineStr">
        <is>
          <t>Fin (bloque)</t>
        </is>
      </c>
      <c r="M4" s="14" t="inlineStr">
        <is>
          <t>Espera en cola</t>
        </is>
      </c>
      <c r="N4" s="14" t="inlineStr">
        <is>
          <t>Semanas</t>
        </is>
      </c>
      <c r="O4" s="14" t="inlineStr">
        <is>
          <t>Estado</t>
        </is>
      </c>
      <c r="P4" s="14" t="inlineStr">
        <is>
          <t>Origen</t>
        </is>
      </c>
      <c r="Q4" s="14" t="inlineStr">
        <is>
          <t>Agente / responsable</t>
        </is>
      </c>
      <c r="R4" s="14" t="inlineStr">
        <is>
          <t>Bloqueo externo</t>
        </is>
      </c>
    </row>
    <row r="5">
      <c r="A5" s="19" t="inlineStr">
        <is>
          <t>1.1</t>
        </is>
      </c>
      <c r="B5" s="4" t="inlineStr">
        <is>
          <t>1. Diseño y arquitectura</t>
        </is>
      </c>
      <c r="C5" s="7" t="inlineStr">
        <is>
          <t>Diseño visual de las 6 pantallas (PC 1280 px y celular 390 px)</t>
        </is>
      </c>
      <c r="D5" s="5" t="n">
        <v>4</v>
      </c>
      <c r="E5" s="8">
        <f>D5</f>
        <v/>
      </c>
      <c r="F5" s="4" t="inlineStr">
        <is>
          <t>—</t>
        </is>
      </c>
      <c r="G5" s="7" t="inlineStr">
        <is>
          <t>Sí</t>
        </is>
      </c>
      <c r="H5" s="7" t="inlineStr">
        <is>
          <t>1.3, 1.2</t>
        </is>
      </c>
      <c r="I5" s="18" t="inlineStr">
        <is>
          <t>A</t>
        </is>
      </c>
      <c r="J5" s="8" t="n">
        <v>0</v>
      </c>
      <c r="K5" s="8" t="n">
        <v>0</v>
      </c>
      <c r="L5" s="8">
        <f>K5+E5</f>
        <v/>
      </c>
      <c r="M5" s="8">
        <f>K5-J5</f>
        <v/>
      </c>
      <c r="N5" s="8">
        <f>"S"&amp;(INT(K5/Resumen!$C$5)+1)&amp;"–S"&amp;MAX(INT(K5/Resumen!$C$5)+1,ROUNDUP(L5/Resumen!$C$5,0))</f>
        <v/>
      </c>
      <c r="O5" s="8" t="inlineStr">
        <is>
          <t>Hecho</t>
        </is>
      </c>
      <c r="P5" s="8" t="inlineStr">
        <is>
          <t>Propuesta</t>
        </is>
      </c>
      <c r="Q5" s="7" t="inlineStr">
        <is>
          <t>—</t>
        </is>
      </c>
      <c r="R5" s="7" t="inlineStr"/>
    </row>
    <row r="6">
      <c r="A6" s="19" t="inlineStr">
        <is>
          <t>1.2</t>
        </is>
      </c>
      <c r="B6" s="4" t="inlineStr">
        <is>
          <t>1. Diseño y arquitectura</t>
        </is>
      </c>
      <c r="C6" s="7" t="inlineStr">
        <is>
          <t>Modelo de datos en Supabase (perfiles, grados, solicitudes, convenios)</t>
        </is>
      </c>
      <c r="D6" s="5" t="n">
        <v>3</v>
      </c>
      <c r="E6" s="8">
        <f>D6</f>
        <v/>
      </c>
      <c r="F6" s="4" t="inlineStr">
        <is>
          <t>—</t>
        </is>
      </c>
      <c r="G6" s="7" t="inlineStr">
        <is>
          <t>Sí</t>
        </is>
      </c>
      <c r="H6" s="7" t="inlineStr">
        <is>
          <t>1.1</t>
        </is>
      </c>
      <c r="I6" s="18" t="inlineStr">
        <is>
          <t>B</t>
        </is>
      </c>
      <c r="J6" s="8" t="n">
        <v>0</v>
      </c>
      <c r="K6" s="8" t="n">
        <v>1</v>
      </c>
      <c r="L6" s="8">
        <f>K6+E6</f>
        <v/>
      </c>
      <c r="M6" s="8">
        <f>K6-J6</f>
        <v/>
      </c>
      <c r="N6" s="8">
        <f>"S"&amp;(INT(K6/Resumen!$C$5)+1)&amp;"–S"&amp;MAX(INT(K6/Resumen!$C$5)+1,ROUNDUP(L6/Resumen!$C$5,0))</f>
        <v/>
      </c>
      <c r="O6" s="8" t="inlineStr">
        <is>
          <t>Hecho</t>
        </is>
      </c>
      <c r="P6" s="8" t="inlineStr">
        <is>
          <t>Propuesta</t>
        </is>
      </c>
      <c r="Q6" s="7" t="inlineStr">
        <is>
          <t>ga-auditor-supabase</t>
        </is>
      </c>
      <c r="R6" s="7" t="inlineStr"/>
    </row>
    <row r="7">
      <c r="A7" s="19" t="inlineStr">
        <is>
          <t>1.3</t>
        </is>
      </c>
      <c r="B7" s="4" t="inlineStr">
        <is>
          <t>1. Diseño y arquitectura</t>
        </is>
      </c>
      <c r="C7" s="7" t="inlineStr">
        <is>
          <t>Stack y proyecto base (Next.js 16, Supabase, Resend)</t>
        </is>
      </c>
      <c r="D7" s="5" t="n">
        <v>1</v>
      </c>
      <c r="E7" s="8">
        <f>D7</f>
        <v/>
      </c>
      <c r="F7" s="4" t="inlineStr">
        <is>
          <t>—</t>
        </is>
      </c>
      <c r="G7" s="7" t="inlineStr">
        <is>
          <t>Sí</t>
        </is>
      </c>
      <c r="H7" s="7" t="inlineStr">
        <is>
          <t>1.1</t>
        </is>
      </c>
      <c r="I7" s="18" t="inlineStr">
        <is>
          <t>B</t>
        </is>
      </c>
      <c r="J7" s="8" t="n">
        <v>0</v>
      </c>
      <c r="K7" s="8" t="n">
        <v>0</v>
      </c>
      <c r="L7" s="8">
        <f>K7+E7</f>
        <v/>
      </c>
      <c r="M7" s="8">
        <f>K7-J7</f>
        <v/>
      </c>
      <c r="N7" s="8">
        <f>"S"&amp;(INT(K7/Resumen!$C$5)+1)&amp;"–S"&amp;MAX(INT(K7/Resumen!$C$5)+1,ROUNDUP(L7/Resumen!$C$5,0))</f>
        <v/>
      </c>
      <c r="O7" s="8" t="inlineStr">
        <is>
          <t>Hecho</t>
        </is>
      </c>
      <c r="P7" s="8" t="inlineStr">
        <is>
          <t>Propuesta</t>
        </is>
      </c>
      <c r="Q7" s="7" t="inlineStr">
        <is>
          <t>—</t>
        </is>
      </c>
      <c r="R7" s="7" t="inlineStr"/>
    </row>
    <row r="8">
      <c r="A8" s="19" t="inlineStr">
        <is>
          <t>1.4</t>
        </is>
      </c>
      <c r="B8" s="4" t="inlineStr">
        <is>
          <t>1. Diseño y arquitectura</t>
        </is>
      </c>
      <c r="C8" s="7" t="inlineStr">
        <is>
          <t>Tokens de diseño y componentes UI (Tailwind, globals.css)</t>
        </is>
      </c>
      <c r="D8" s="5" t="n">
        <v>2</v>
      </c>
      <c r="E8" s="8">
        <f>D8</f>
        <v/>
      </c>
      <c r="F8" s="4" t="inlineStr">
        <is>
          <t>1.1, 1.3</t>
        </is>
      </c>
      <c r="G8" s="7" t="inlineStr">
        <is>
          <t>Sí</t>
        </is>
      </c>
      <c r="H8" s="7" t="inlineStr">
        <is>
          <t>2.4</t>
        </is>
      </c>
      <c r="I8" s="18" t="inlineStr">
        <is>
          <t>A</t>
        </is>
      </c>
      <c r="J8" s="8" t="n">
        <v>4</v>
      </c>
      <c r="K8" s="8" t="n">
        <v>4</v>
      </c>
      <c r="L8" s="8">
        <f>K8+E8</f>
        <v/>
      </c>
      <c r="M8" s="8">
        <f>K8-J8</f>
        <v/>
      </c>
      <c r="N8" s="8">
        <f>"S"&amp;(INT(K8/Resumen!$C$5)+1)&amp;"–S"&amp;MAX(INT(K8/Resumen!$C$5)+1,ROUNDUP(L8/Resumen!$C$5,0))</f>
        <v/>
      </c>
      <c r="O8" s="8" t="inlineStr">
        <is>
          <t>Hecho</t>
        </is>
      </c>
      <c r="P8" s="8" t="inlineStr">
        <is>
          <t>Propuesta</t>
        </is>
      </c>
      <c r="Q8" s="7" t="inlineStr">
        <is>
          <t>ga-diseno-a-codigo</t>
        </is>
      </c>
      <c r="R8" s="7" t="inlineStr"/>
    </row>
    <row r="9">
      <c r="A9" s="19" t="inlineStr">
        <is>
          <t>1.5</t>
        </is>
      </c>
      <c r="B9" s="4" t="inlineStr">
        <is>
          <t>1. Diseño y arquitectura</t>
        </is>
      </c>
      <c r="C9" s="7" t="inlineStr">
        <is>
          <t>Modelo de datos fase 2: rol asesor, afiliación v2 (fotos), bucket privado de documentos y sorteo mensual (6 migraciones + seed)</t>
        </is>
      </c>
      <c r="D9" s="5" t="n">
        <v>5</v>
      </c>
      <c r="E9" s="8">
        <f>D9</f>
        <v/>
      </c>
      <c r="F9" s="4" t="inlineStr">
        <is>
          <t>1.2</t>
        </is>
      </c>
      <c r="G9" s="7" t="inlineStr">
        <is>
          <t>Sí</t>
        </is>
      </c>
      <c r="H9" s="7" t="inlineStr">
        <is>
          <t>2.6, 1.7, 2.14</t>
        </is>
      </c>
      <c r="I9" s="18" t="inlineStr">
        <is>
          <t>B</t>
        </is>
      </c>
      <c r="J9" s="8" t="n">
        <v>4</v>
      </c>
      <c r="K9" s="8" t="n">
        <v>13</v>
      </c>
      <c r="L9" s="8">
        <f>K9+E9</f>
        <v/>
      </c>
      <c r="M9" s="8">
        <f>K9-J9</f>
        <v/>
      </c>
      <c r="N9" s="8">
        <f>"S"&amp;(INT(K9/Resumen!$C$5)+1)&amp;"–S"&amp;MAX(INT(K9/Resumen!$C$5)+1,ROUNDUP(L9/Resumen!$C$5,0))</f>
        <v/>
      </c>
      <c r="O9" s="8" t="inlineStr">
        <is>
          <t>Hecho</t>
        </is>
      </c>
      <c r="P9" s="8" t="inlineStr">
        <is>
          <t>Agregado</t>
        </is>
      </c>
      <c r="Q9" s="7" t="inlineStr">
        <is>
          <t>ga-auditor-supabase</t>
        </is>
      </c>
      <c r="R9" s="7" t="inlineStr"/>
    </row>
    <row r="10">
      <c r="A10" s="19" t="inlineStr">
        <is>
          <t>1.6</t>
        </is>
      </c>
      <c r="B10" s="4" t="inlineStr">
        <is>
          <t>1. Diseño y arquitectura</t>
        </is>
      </c>
      <c r="C10" s="7" t="inlineStr">
        <is>
          <t>Auditoría de las migraciones de fase 2 y 3 migraciones correctivas de seguridad (boleta del sorteo oculta, asesor degradado, trigger de sincronía app_metadata)</t>
        </is>
      </c>
      <c r="D10" s="5" t="n">
        <v>3</v>
      </c>
      <c r="E10" s="8">
        <f>D10</f>
        <v/>
      </c>
      <c r="F10" s="4" t="inlineStr">
        <is>
          <t>1.5</t>
        </is>
      </c>
      <c r="G10" s="7" t="inlineStr">
        <is>
          <t>Sí</t>
        </is>
      </c>
      <c r="H10" s="7" t="inlineStr">
        <is>
          <t>4.10, 2.17</t>
        </is>
      </c>
      <c r="I10" s="18" t="inlineStr">
        <is>
          <t>B</t>
        </is>
      </c>
      <c r="J10" s="8" t="n">
        <v>18</v>
      </c>
      <c r="K10" s="8" t="n">
        <v>33</v>
      </c>
      <c r="L10" s="8">
        <f>K10+E10</f>
        <v/>
      </c>
      <c r="M10" s="8">
        <f>K10-J10</f>
        <v/>
      </c>
      <c r="N10" s="8">
        <f>"S"&amp;(INT(K10/Resumen!$C$5)+1)&amp;"–S"&amp;MAX(INT(K10/Resumen!$C$5)+1,ROUNDUP(L10/Resumen!$C$5,0))</f>
        <v/>
      </c>
      <c r="O10" s="8" t="inlineStr">
        <is>
          <t>Hecho</t>
        </is>
      </c>
      <c r="P10" s="8" t="inlineStr">
        <is>
          <t>Agregado</t>
        </is>
      </c>
      <c r="Q10" s="7" t="inlineStr">
        <is>
          <t>ga-auditor-supabase</t>
        </is>
      </c>
      <c r="R10" s="7" t="inlineStr"/>
    </row>
    <row r="11">
      <c r="A11" s="19" t="inlineStr">
        <is>
          <t>1.7</t>
        </is>
      </c>
      <c r="B11" s="4" t="inlineStr">
        <is>
          <t>1. Diseño y arquitectura</t>
        </is>
      </c>
      <c r="C11" s="7" t="inlineStr">
        <is>
          <t>Rediseño C+: design system y tokens (colores claro/oscuro, tipografía, radios, sombras, movimiento) en el lienzo y en globals.css/tailwind.config.ts</t>
        </is>
      </c>
      <c r="D11" s="5" t="n">
        <v>2</v>
      </c>
      <c r="E11" s="8">
        <f>D11</f>
        <v/>
      </c>
      <c r="F11" s="4" t="inlineStr">
        <is>
          <t>1.4</t>
        </is>
      </c>
      <c r="G11" s="7" t="inlineStr">
        <is>
          <t>Sí</t>
        </is>
      </c>
      <c r="H11" s="7" t="inlineStr">
        <is>
          <t>1.5</t>
        </is>
      </c>
      <c r="I11" s="18" t="inlineStr">
        <is>
          <t>A</t>
        </is>
      </c>
      <c r="J11" s="8" t="n">
        <v>6</v>
      </c>
      <c r="K11" s="8" t="n">
        <v>14</v>
      </c>
      <c r="L11" s="8">
        <f>K11+E11</f>
        <v/>
      </c>
      <c r="M11" s="8">
        <f>K11-J11</f>
        <v/>
      </c>
      <c r="N11" s="8">
        <f>"S"&amp;(INT(K11/Resumen!$C$5)+1)&amp;"–S"&amp;MAX(INT(K11/Resumen!$C$5)+1,ROUNDUP(L11/Resumen!$C$5,0))</f>
        <v/>
      </c>
      <c r="O11" s="8" t="inlineStr">
        <is>
          <t>Hecho</t>
        </is>
      </c>
      <c r="P11" s="8" t="inlineStr">
        <is>
          <t>Agregado</t>
        </is>
      </c>
      <c r="Q11" s="7" t="inlineStr">
        <is>
          <t>ga-disenador-lienzo + ga-diseno-a-codigo</t>
        </is>
      </c>
      <c r="R11" s="7" t="inlineStr"/>
    </row>
    <row r="12">
      <c r="A12" s="19" t="inlineStr">
        <is>
          <t>1.8</t>
        </is>
      </c>
      <c r="B12" s="4" t="inlineStr">
        <is>
          <t>1. Diseño y arquitectura</t>
        </is>
      </c>
      <c r="C12" s="7" t="inlineStr">
        <is>
          <t>Backend del rediseño C+: revisar y aplicar 5 migraciones propuestas (aviso del sorteo, institución/activo en perfiles, historial + nota interna del admin, Realtime de solicitudes, índices de búsqueda)</t>
        </is>
      </c>
      <c r="D12" s="5" t="n">
        <v>2</v>
      </c>
      <c r="E12" s="8">
        <f>D12</f>
        <v/>
      </c>
      <c r="F12" s="4" t="inlineStr">
        <is>
          <t>1.6</t>
        </is>
      </c>
      <c r="G12" s="7" t="inlineStr">
        <is>
          <t>Sí</t>
        </is>
      </c>
      <c r="H12" s="7" t="inlineStr">
        <is>
          <t>6.17</t>
        </is>
      </c>
      <c r="I12" s="18" t="inlineStr">
        <is>
          <t>A</t>
        </is>
      </c>
      <c r="J12" s="8" t="n">
        <v>36</v>
      </c>
      <c r="K12" s="8" t="n">
        <v>36</v>
      </c>
      <c r="L12" s="8">
        <f>K12+E12</f>
        <v/>
      </c>
      <c r="M12" s="8">
        <f>K12-J12</f>
        <v/>
      </c>
      <c r="N12" s="8">
        <f>"S"&amp;(INT(K12/Resumen!$C$5)+1)&amp;"–S"&amp;MAX(INT(K12/Resumen!$C$5)+1,ROUNDUP(L12/Resumen!$C$5,0))</f>
        <v/>
      </c>
      <c r="O12" s="8" t="inlineStr">
        <is>
          <t>Hecho</t>
        </is>
      </c>
      <c r="P12" s="8" t="inlineStr">
        <is>
          <t>Agregado</t>
        </is>
      </c>
      <c r="Q12" s="7" t="inlineStr">
        <is>
          <t>Sebas (ga-auditor-supabase revisa antes)</t>
        </is>
      </c>
      <c r="R12" s="7" t="inlineStr"/>
    </row>
    <row r="13">
      <c r="A13" s="19" t="inlineStr">
        <is>
          <t>2.1</t>
        </is>
      </c>
      <c r="B13" s="7" t="inlineStr">
        <is>
          <t>2. Landing y autenticación</t>
        </is>
      </c>
      <c r="C13" s="7" t="inlineStr">
        <is>
          <t>Maquetar la landing (misión, visión, servicios)</t>
        </is>
      </c>
      <c r="D13" s="5" t="n">
        <v>3</v>
      </c>
      <c r="E13" s="8">
        <f>D13</f>
        <v/>
      </c>
      <c r="F13" s="4" t="inlineStr">
        <is>
          <t>1.4</t>
        </is>
      </c>
      <c r="G13" s="7" t="inlineStr">
        <is>
          <t>Sí</t>
        </is>
      </c>
      <c r="H13" s="7" t="inlineStr">
        <is>
          <t>2.2, 2.5</t>
        </is>
      </c>
      <c r="I13" s="18" t="inlineStr">
        <is>
          <t>B</t>
        </is>
      </c>
      <c r="J13" s="8" t="n">
        <v>6</v>
      </c>
      <c r="K13" s="8" t="n">
        <v>6</v>
      </c>
      <c r="L13" s="8">
        <f>K13+E13</f>
        <v/>
      </c>
      <c r="M13" s="8">
        <f>K13-J13</f>
        <v/>
      </c>
      <c r="N13" s="8">
        <f>"S"&amp;(INT(K13/Resumen!$C$5)+1)&amp;"–S"&amp;MAX(INT(K13/Resumen!$C$5)+1,ROUNDUP(L13/Resumen!$C$5,0))</f>
        <v/>
      </c>
      <c r="O13" s="8" t="inlineStr">
        <is>
          <t>Hecho</t>
        </is>
      </c>
      <c r="P13" s="8" t="inlineStr">
        <is>
          <t>Propuesta</t>
        </is>
      </c>
      <c r="Q13" s="7" t="inlineStr">
        <is>
          <t>ga-diseno-a-codigo</t>
        </is>
      </c>
      <c r="R13" s="7" t="inlineStr"/>
    </row>
    <row r="14">
      <c r="A14" s="19" t="inlineStr">
        <is>
          <t>2.2</t>
        </is>
      </c>
      <c r="B14" s="7" t="inlineStr">
        <is>
          <t>2. Landing y autenticación</t>
        </is>
      </c>
      <c r="C14" s="7" t="inlineStr">
        <is>
          <t>Maquetar /ingresar y /ingresar/codigo</t>
        </is>
      </c>
      <c r="D14" s="5" t="n">
        <v>2</v>
      </c>
      <c r="E14" s="8">
        <f>D14</f>
        <v/>
      </c>
      <c r="F14" s="4" t="inlineStr">
        <is>
          <t>1.4</t>
        </is>
      </c>
      <c r="G14" s="7" t="inlineStr">
        <is>
          <t>Sí</t>
        </is>
      </c>
      <c r="H14" s="7" t="inlineStr">
        <is>
          <t>2.1</t>
        </is>
      </c>
      <c r="I14" s="18" t="inlineStr">
        <is>
          <t>A</t>
        </is>
      </c>
      <c r="J14" s="8" t="n">
        <v>6</v>
      </c>
      <c r="K14" s="8" t="n">
        <v>6</v>
      </c>
      <c r="L14" s="8">
        <f>K14+E14</f>
        <v/>
      </c>
      <c r="M14" s="8">
        <f>K14-J14</f>
        <v/>
      </c>
      <c r="N14" s="8">
        <f>"S"&amp;(INT(K14/Resumen!$C$5)+1)&amp;"–S"&amp;MAX(INT(K14/Resumen!$C$5)+1,ROUNDUP(L14/Resumen!$C$5,0))</f>
        <v/>
      </c>
      <c r="O14" s="8" t="inlineStr">
        <is>
          <t>Hecho</t>
        </is>
      </c>
      <c r="P14" s="8" t="inlineStr">
        <is>
          <t>Propuesta</t>
        </is>
      </c>
      <c r="Q14" s="7" t="inlineStr">
        <is>
          <t>ga-diseno-a-codigo</t>
        </is>
      </c>
      <c r="R14" s="7" t="inlineStr"/>
    </row>
    <row r="15">
      <c r="A15" s="19" t="inlineStr">
        <is>
          <t>2.3</t>
        </is>
      </c>
      <c r="B15" s="7" t="inlineStr">
        <is>
          <t>2. Landing y autenticación</t>
        </is>
      </c>
      <c r="C15" s="7" t="inlineStr">
        <is>
          <t>Maquetar /afiliacion y /afiliacion/enviada</t>
        </is>
      </c>
      <c r="D15" s="5" t="n">
        <v>2</v>
      </c>
      <c r="E15" s="8">
        <f>D15</f>
        <v/>
      </c>
      <c r="F15" s="4" t="inlineStr">
        <is>
          <t>1.4</t>
        </is>
      </c>
      <c r="G15" s="7" t="inlineStr">
        <is>
          <t>Sí</t>
        </is>
      </c>
      <c r="H15" s="7" t="inlineStr">
        <is>
          <t>4.1</t>
        </is>
      </c>
      <c r="I15" s="18" t="inlineStr">
        <is>
          <t>A</t>
        </is>
      </c>
      <c r="J15" s="8" t="n">
        <v>6</v>
      </c>
      <c r="K15" s="8" t="n">
        <v>20</v>
      </c>
      <c r="L15" s="8">
        <f>K15+E15</f>
        <v/>
      </c>
      <c r="M15" s="8">
        <f>K15-J15</f>
        <v/>
      </c>
      <c r="N15" s="8">
        <f>"S"&amp;(INT(K15/Resumen!$C$5)+1)&amp;"–S"&amp;MAX(INT(K15/Resumen!$C$5)+1,ROUNDUP(L15/Resumen!$C$5,0))</f>
        <v/>
      </c>
      <c r="O15" s="8" t="inlineStr">
        <is>
          <t>Hecho</t>
        </is>
      </c>
      <c r="P15" s="8" t="inlineStr">
        <is>
          <t>Agregado</t>
        </is>
      </c>
      <c r="Q15" s="7" t="inlineStr">
        <is>
          <t>ga-diseno-a-codigo</t>
        </is>
      </c>
      <c r="R15" s="7" t="inlineStr"/>
    </row>
    <row r="16">
      <c r="A16" s="19" t="inlineStr">
        <is>
          <t>2.4</t>
        </is>
      </c>
      <c r="B16" s="7" t="inlineStr">
        <is>
          <t>2. Landing y autenticación</t>
        </is>
      </c>
      <c r="C16" s="7" t="inlineStr">
        <is>
          <t>SMTP propio con Resend y plantilla del código OTP en Supabase</t>
        </is>
      </c>
      <c r="D16" s="5" t="n">
        <v>2</v>
      </c>
      <c r="E16" s="8">
        <f>D16</f>
        <v/>
      </c>
      <c r="F16" s="4" t="inlineStr">
        <is>
          <t>1.3</t>
        </is>
      </c>
      <c r="G16" s="7" t="inlineStr">
        <is>
          <t>Sí</t>
        </is>
      </c>
      <c r="H16" s="7" t="inlineStr">
        <is>
          <t>1.4</t>
        </is>
      </c>
      <c r="I16" s="18" t="inlineStr">
        <is>
          <t>B</t>
        </is>
      </c>
      <c r="J16" s="8" t="n">
        <v>1</v>
      </c>
      <c r="K16" s="8" t="n">
        <v>4</v>
      </c>
      <c r="L16" s="8">
        <f>K16+E16</f>
        <v/>
      </c>
      <c r="M16" s="8">
        <f>K16-J16</f>
        <v/>
      </c>
      <c r="N16" s="8">
        <f>"S"&amp;(INT(K16/Resumen!$C$5)+1)&amp;"–S"&amp;MAX(INT(K16/Resumen!$C$5)+1,ROUNDUP(L16/Resumen!$C$5,0))</f>
        <v/>
      </c>
      <c r="O16" s="8" t="inlineStr">
        <is>
          <t>Hecho</t>
        </is>
      </c>
      <c r="P16" s="8" t="inlineStr">
        <is>
          <t>Agregado</t>
        </is>
      </c>
      <c r="Q16" s="7" t="inlineStr">
        <is>
          <t>Yo (panel Supabase)</t>
        </is>
      </c>
      <c r="R16" s="7" t="inlineStr"/>
    </row>
    <row r="17">
      <c r="A17" s="19" t="inlineStr">
        <is>
          <t>2.5</t>
        </is>
      </c>
      <c r="B17" s="7" t="inlineStr">
        <is>
          <t>2. Landing y autenticación</t>
        </is>
      </c>
      <c r="C17" s="7" t="inlineStr">
        <is>
          <t>/ingresar: Server Action (correo por cédula, envío OTP, cookie firmada)</t>
        </is>
      </c>
      <c r="D17" s="5" t="n">
        <v>3</v>
      </c>
      <c r="E17" s="8">
        <f>D17</f>
        <v/>
      </c>
      <c r="F17" s="4" t="inlineStr">
        <is>
          <t>2.2</t>
        </is>
      </c>
      <c r="G17" s="7" t="inlineStr">
        <is>
          <t>Sí</t>
        </is>
      </c>
      <c r="H17" s="7" t="inlineStr">
        <is>
          <t>2.1, 3.1</t>
        </is>
      </c>
      <c r="I17" s="18" t="inlineStr">
        <is>
          <t>A</t>
        </is>
      </c>
      <c r="J17" s="8" t="n">
        <v>8</v>
      </c>
      <c r="K17" s="8" t="n">
        <v>8</v>
      </c>
      <c r="L17" s="8">
        <f>K17+E17</f>
        <v/>
      </c>
      <c r="M17" s="8">
        <f>K17-J17</f>
        <v/>
      </c>
      <c r="N17" s="8">
        <f>"S"&amp;(INT(K17/Resumen!$C$5)+1)&amp;"–S"&amp;MAX(INT(K17/Resumen!$C$5)+1,ROUNDUP(L17/Resumen!$C$5,0))</f>
        <v/>
      </c>
      <c r="O17" s="8" t="inlineStr">
        <is>
          <t>Hecho</t>
        </is>
      </c>
      <c r="P17" s="8" t="inlineStr">
        <is>
          <t>Propuesta</t>
        </is>
      </c>
      <c r="Q17" s="7" t="inlineStr">
        <is>
          <t>ga-funcionalidad-botones</t>
        </is>
      </c>
      <c r="R17" s="7" t="inlineStr"/>
    </row>
    <row r="18">
      <c r="A18" s="19" t="inlineStr">
        <is>
          <t>2.6</t>
        </is>
      </c>
      <c r="B18" s="7" t="inlineStr">
        <is>
          <t>2. Landing y autenticación</t>
        </is>
      </c>
      <c r="C18" s="7" t="inlineStr">
        <is>
          <t>/ingresar/codigo: verificar OTP, casillas, reenviar (45 s), cambiar cédula</t>
        </is>
      </c>
      <c r="D18" s="5" t="n">
        <v>3</v>
      </c>
      <c r="E18" s="8">
        <f>D18</f>
        <v/>
      </c>
      <c r="F18" s="4" t="inlineStr">
        <is>
          <t>2.5</t>
        </is>
      </c>
      <c r="G18" s="7" t="inlineStr">
        <is>
          <t>Sí</t>
        </is>
      </c>
      <c r="H18" s="7" t="inlineStr">
        <is>
          <t>3.1, 1.5</t>
        </is>
      </c>
      <c r="I18" s="18" t="inlineStr">
        <is>
          <t>A</t>
        </is>
      </c>
      <c r="J18" s="8" t="n">
        <v>11</v>
      </c>
      <c r="K18" s="8" t="n">
        <v>11</v>
      </c>
      <c r="L18" s="8">
        <f>K18+E18</f>
        <v/>
      </c>
      <c r="M18" s="8">
        <f>K18-J18</f>
        <v/>
      </c>
      <c r="N18" s="8">
        <f>"S"&amp;(INT(K18/Resumen!$C$5)+1)&amp;"–S"&amp;MAX(INT(K18/Resumen!$C$5)+1,ROUNDUP(L18/Resumen!$C$5,0))</f>
        <v/>
      </c>
      <c r="O18" s="8" t="inlineStr">
        <is>
          <t>Hecho</t>
        </is>
      </c>
      <c r="P18" s="8" t="inlineStr">
        <is>
          <t>Propuesta</t>
        </is>
      </c>
      <c r="Q18" s="7" t="inlineStr">
        <is>
          <t>ga-funcionalidad-botones</t>
        </is>
      </c>
      <c r="R18" s="7" t="inlineStr"/>
    </row>
    <row r="19">
      <c r="A19" s="19" t="inlineStr">
        <is>
          <t>2.7</t>
        </is>
      </c>
      <c r="B19" s="7" t="inlineStr">
        <is>
          <t>2. Landing y autenticación</t>
        </is>
      </c>
      <c r="C19" s="7" t="inlineStr">
        <is>
          <t>Proteger /cuenta en proxy.ts y botón «Salir»</t>
        </is>
      </c>
      <c r="D19" s="5" t="n">
        <v>2</v>
      </c>
      <c r="E19" s="8">
        <f>D19</f>
        <v/>
      </c>
      <c r="F19" s="4" t="inlineStr">
        <is>
          <t>2.6</t>
        </is>
      </c>
      <c r="G19" s="7" t="inlineStr">
        <is>
          <t>Sí</t>
        </is>
      </c>
      <c r="H19" s="7" t="inlineStr">
        <is>
          <t>2.14</t>
        </is>
      </c>
      <c r="I19" s="18" t="inlineStr">
        <is>
          <t>B</t>
        </is>
      </c>
      <c r="J19" s="8" t="n">
        <v>14</v>
      </c>
      <c r="K19" s="8" t="n">
        <v>18</v>
      </c>
      <c r="L19" s="8">
        <f>K19+E19</f>
        <v/>
      </c>
      <c r="M19" s="8">
        <f>K19-J19</f>
        <v/>
      </c>
      <c r="N19" s="8">
        <f>"S"&amp;(INT(K19/Resumen!$C$5)+1)&amp;"–S"&amp;MAX(INT(K19/Resumen!$C$5)+1,ROUNDUP(L19/Resumen!$C$5,0))</f>
        <v/>
      </c>
      <c r="O19" s="8" t="inlineStr">
        <is>
          <t>Hecho</t>
        </is>
      </c>
      <c r="P19" s="8" t="inlineStr">
        <is>
          <t>Propuesta</t>
        </is>
      </c>
      <c r="Q19" s="7" t="inlineStr">
        <is>
          <t>ga-funcionalidad-botones</t>
        </is>
      </c>
      <c r="R19" s="7" t="inlineStr"/>
    </row>
    <row r="20">
      <c r="A20" s="19" t="inlineStr">
        <is>
          <t>2.8</t>
        </is>
      </c>
      <c r="B20" s="7" t="inlineStr">
        <is>
          <t>2. Landing y autenticación</t>
        </is>
      </c>
      <c r="C20" s="7" t="inlineStr">
        <is>
          <t>Landing: botones llevan a /cuenta si hay sesión</t>
        </is>
      </c>
      <c r="D20" s="5" t="n">
        <v>1</v>
      </c>
      <c r="E20" s="8">
        <f>D20</f>
        <v/>
      </c>
      <c r="F20" s="4" t="inlineStr">
        <is>
          <t>2.7, 2.1</t>
        </is>
      </c>
      <c r="G20" s="7" t="inlineStr">
        <is>
          <t>Sí</t>
        </is>
      </c>
      <c r="H20" s="7" t="inlineStr">
        <is>
          <t>4.1</t>
        </is>
      </c>
      <c r="I20" s="18" t="inlineStr">
        <is>
          <t>A</t>
        </is>
      </c>
      <c r="J20" s="8" t="n">
        <v>20</v>
      </c>
      <c r="K20" s="8" t="n">
        <v>22</v>
      </c>
      <c r="L20" s="8">
        <f>K20+E20</f>
        <v/>
      </c>
      <c r="M20" s="8">
        <f>K20-J20</f>
        <v/>
      </c>
      <c r="N20" s="8">
        <f>"S"&amp;(INT(K20/Resumen!$C$5)+1)&amp;"–S"&amp;MAX(INT(K20/Resumen!$C$5)+1,ROUNDUP(L20/Resumen!$C$5,0))</f>
        <v/>
      </c>
      <c r="O20" s="8" t="inlineStr">
        <is>
          <t>Hecho</t>
        </is>
      </c>
      <c r="P20" s="8" t="inlineStr">
        <is>
          <t>Propuesta</t>
        </is>
      </c>
      <c r="Q20" s="7" t="inlineStr">
        <is>
          <t>ga-funcionalidad-botones</t>
        </is>
      </c>
      <c r="R20" s="7" t="inlineStr"/>
    </row>
    <row r="21">
      <c r="A21" s="19" t="inlineStr">
        <is>
          <t>2.9</t>
        </is>
      </c>
      <c r="B21" s="7" t="inlineStr">
        <is>
          <t>2. Landing y autenticación</t>
        </is>
      </c>
      <c r="C21" s="7" t="inlineStr">
        <is>
          <t>/afiliacion: Server Action (zod, límites, honeypot, guardar)</t>
        </is>
      </c>
      <c r="D21" s="5" t="n">
        <v>4</v>
      </c>
      <c r="E21" s="8">
        <f>D21</f>
        <v/>
      </c>
      <c r="F21" s="4" t="inlineStr">
        <is>
          <t>2.3</t>
        </is>
      </c>
      <c r="G21" s="7" t="inlineStr">
        <is>
          <t>Sí</t>
        </is>
      </c>
      <c r="H21" s="7" t="inlineStr">
        <is>
          <t>6.18, 4.12</t>
        </is>
      </c>
      <c r="I21" s="18" t="inlineStr">
        <is>
          <t>B</t>
        </is>
      </c>
      <c r="J21" s="8" t="n">
        <v>22</v>
      </c>
      <c r="K21" s="8" t="n">
        <v>39</v>
      </c>
      <c r="L21" s="8">
        <f>K21+E21</f>
        <v/>
      </c>
      <c r="M21" s="8">
        <f>K21-J21</f>
        <v/>
      </c>
      <c r="N21" s="8">
        <f>"S"&amp;(INT(K21/Resumen!$C$5)+1)&amp;"–S"&amp;MAX(INT(K21/Resumen!$C$5)+1,ROUNDUP(L21/Resumen!$C$5,0))</f>
        <v/>
      </c>
      <c r="O21" s="8" t="inlineStr">
        <is>
          <t>Hecho</t>
        </is>
      </c>
      <c r="P21" s="8" t="inlineStr">
        <is>
          <t>Agregado</t>
        </is>
      </c>
      <c r="Q21" s="7" t="inlineStr">
        <is>
          <t>ga-funcionalidad-botones</t>
        </is>
      </c>
      <c r="R21" s="7" t="inlineStr"/>
    </row>
    <row r="22">
      <c r="A22" s="19" t="inlineStr">
        <is>
          <t>2.10</t>
        </is>
      </c>
      <c r="B22" s="7" t="inlineStr">
        <is>
          <t>2. Landing y autenticación</t>
        </is>
      </c>
      <c r="C22" s="7" t="inlineStr">
        <is>
          <t>/afiliacion/enviada: mostrar el correo real o redirigir</t>
        </is>
      </c>
      <c r="D22" s="5" t="n">
        <v>1</v>
      </c>
      <c r="E22" s="8">
        <f>D22</f>
        <v/>
      </c>
      <c r="F22" s="4" t="inlineStr">
        <is>
          <t>2.9</t>
        </is>
      </c>
      <c r="G22" s="7" t="inlineStr">
        <is>
          <t>Sí</t>
        </is>
      </c>
      <c r="H22" s="7" t="inlineStr">
        <is>
          <t>6.11</t>
        </is>
      </c>
      <c r="I22" s="18" t="inlineStr">
        <is>
          <t>A</t>
        </is>
      </c>
      <c r="J22" s="8" t="n">
        <v>43</v>
      </c>
      <c r="K22" s="8" t="n">
        <v>54</v>
      </c>
      <c r="L22" s="8">
        <f>K22+E22</f>
        <v/>
      </c>
      <c r="M22" s="8">
        <f>K22-J22</f>
        <v/>
      </c>
      <c r="N22" s="8">
        <f>"S"&amp;(INT(K22/Resumen!$C$5)+1)&amp;"–S"&amp;MAX(INT(K22/Resumen!$C$5)+1,ROUNDUP(L22/Resumen!$C$5,0))</f>
        <v/>
      </c>
      <c r="O22" s="8" t="inlineStr">
        <is>
          <t>Hecho</t>
        </is>
      </c>
      <c r="P22" s="8" t="inlineStr">
        <is>
          <t>Agregado</t>
        </is>
      </c>
      <c r="Q22" s="7" t="inlineStr">
        <is>
          <t>ga-funcionalidad-botones</t>
        </is>
      </c>
      <c r="R22" s="7" t="inlineStr"/>
    </row>
    <row r="23">
      <c r="A23" s="19" t="inlineStr">
        <is>
          <t>2.11</t>
        </is>
      </c>
      <c r="B23" s="7" t="inlineStr">
        <is>
          <t>2. Landing y autenticación</t>
        </is>
      </c>
      <c r="C23" s="7" t="inlineStr">
        <is>
          <t>Corregir F-01: el select «Grado» de /afiliacion se vacía tras un error de validación</t>
        </is>
      </c>
      <c r="D23" s="5" t="n">
        <v>1</v>
      </c>
      <c r="E23" s="8">
        <f>D23</f>
        <v/>
      </c>
      <c r="F23" s="4" t="inlineStr">
        <is>
          <t>2.9</t>
        </is>
      </c>
      <c r="G23" s="7" t="inlineStr">
        <is>
          <t>Sí</t>
        </is>
      </c>
      <c r="H23" s="7" t="inlineStr">
        <is>
          <t>4.17</t>
        </is>
      </c>
      <c r="I23" s="18" t="inlineStr">
        <is>
          <t>A</t>
        </is>
      </c>
      <c r="J23" s="8" t="n">
        <v>43</v>
      </c>
      <c r="K23" s="8" t="n">
        <v>84</v>
      </c>
      <c r="L23" s="8">
        <f>K23+E23</f>
        <v/>
      </c>
      <c r="M23" s="8">
        <f>K23-J23</f>
        <v/>
      </c>
      <c r="N23" s="8">
        <f>"S"&amp;(INT(K23/Resumen!$C$5)+1)&amp;"–S"&amp;MAX(INT(K23/Resumen!$C$5)+1,ROUNDUP(L23/Resumen!$C$5,0))</f>
        <v/>
      </c>
      <c r="O23" s="8" t="inlineStr">
        <is>
          <t>Hecho</t>
        </is>
      </c>
      <c r="P23" s="8" t="inlineStr">
        <is>
          <t>Agregado</t>
        </is>
      </c>
      <c r="Q23" s="7" t="inlineStr">
        <is>
          <t>ga-funcionalidad-botones</t>
        </is>
      </c>
      <c r="R23" s="7" t="inlineStr"/>
    </row>
    <row r="24">
      <c r="A24" s="19" t="inlineStr">
        <is>
          <t>2.12</t>
        </is>
      </c>
      <c r="B24" s="7" t="inlineStr">
        <is>
          <t>2. Landing y autenticación</t>
        </is>
      </c>
      <c r="C24" s="7" t="inlineStr">
        <is>
          <t>Afiliación v2: nombres/apellidos, institución con correo institucional, Nequi, asesor y 3 fotos (cédula + selfie) con subida al bucket privado</t>
        </is>
      </c>
      <c r="D24" s="5" t="n">
        <v>4</v>
      </c>
      <c r="E24" s="8">
        <f>D24</f>
        <v/>
      </c>
      <c r="F24" s="4" t="inlineStr">
        <is>
          <t>2.9, 1.5</t>
        </is>
      </c>
      <c r="G24" s="7" t="inlineStr">
        <is>
          <t>Sí</t>
        </is>
      </c>
      <c r="H24" s="7" t="inlineStr">
        <is>
          <t>4.3, 4.5</t>
        </is>
      </c>
      <c r="I24" s="18" t="inlineStr">
        <is>
          <t>A</t>
        </is>
      </c>
      <c r="J24" s="8" t="n">
        <v>43</v>
      </c>
      <c r="K24" s="8" t="n">
        <v>50</v>
      </c>
      <c r="L24" s="8">
        <f>K24+E24</f>
        <v/>
      </c>
      <c r="M24" s="8">
        <f>K24-J24</f>
        <v/>
      </c>
      <c r="N24" s="8">
        <f>"S"&amp;(INT(K24/Resumen!$C$5)+1)&amp;"–S"&amp;MAX(INT(K24/Resumen!$C$5)+1,ROUNDUP(L24/Resumen!$C$5,0))</f>
        <v/>
      </c>
      <c r="O24" s="8" t="inlineStr">
        <is>
          <t>Hecho</t>
        </is>
      </c>
      <c r="P24" s="8" t="inlineStr">
        <is>
          <t>Agregado</t>
        </is>
      </c>
      <c r="Q24" s="7" t="inlineStr">
        <is>
          <t>ga-funcionalidad-botones</t>
        </is>
      </c>
      <c r="R24" s="7" t="inlineStr"/>
    </row>
    <row r="25">
      <c r="A25" s="19" t="inlineStr">
        <is>
          <t>2.13</t>
        </is>
      </c>
      <c r="B25" s="7" t="inlineStr">
        <is>
          <t>2. Landing y autenticación</t>
        </is>
      </c>
      <c r="C25" s="7" t="inlineStr">
        <is>
          <t>Bug: esquemaAfiliacion no valida el cruce institución↔correo institucional si falla cualquier otro campo del formulario</t>
        </is>
      </c>
      <c r="D25" s="5" t="n">
        <v>1</v>
      </c>
      <c r="E25" s="8">
        <f>D25</f>
        <v/>
      </c>
      <c r="F25" s="4" t="inlineStr">
        <is>
          <t>2.12</t>
        </is>
      </c>
      <c r="G25" s="7" t="inlineStr">
        <is>
          <t>Sí</t>
        </is>
      </c>
      <c r="H25" s="7" t="inlineStr">
        <is>
          <t>6.24</t>
        </is>
      </c>
      <c r="I25" s="18" t="inlineStr">
        <is>
          <t>B</t>
        </is>
      </c>
      <c r="J25" s="8" t="n">
        <v>54</v>
      </c>
      <c r="K25" s="8" t="n">
        <v>120</v>
      </c>
      <c r="L25" s="8">
        <f>K25+E25</f>
        <v/>
      </c>
      <c r="M25" s="8">
        <f>K25-J25</f>
        <v/>
      </c>
      <c r="N25" s="8">
        <f>"S"&amp;(INT(K25/Resumen!$C$5)+1)&amp;"–S"&amp;MAX(INT(K25/Resumen!$C$5)+1,ROUNDUP(L25/Resumen!$C$5,0))</f>
        <v/>
      </c>
      <c r="O25" s="8" t="inlineStr">
        <is>
          <t>Hecho</t>
        </is>
      </c>
      <c r="P25" s="8" t="inlineStr">
        <is>
          <t>Agregado</t>
        </is>
      </c>
      <c r="Q25" s="7" t="inlineStr">
        <is>
          <t>ga-funcionalidad-botones</t>
        </is>
      </c>
      <c r="R25" s="7" t="inlineStr"/>
    </row>
    <row r="26">
      <c r="A26" s="19" t="inlineStr">
        <is>
          <t>2.14</t>
        </is>
      </c>
      <c r="B26" s="7" t="inlineStr">
        <is>
          <t>2. Landing y autenticación</t>
        </is>
      </c>
      <c r="C26" s="7" t="inlineStr">
        <is>
          <t>Rediseño C+ de la landing (hero con comprobante vivo, matriz de círculos, misión/visión, servicios, sedes)</t>
        </is>
      </c>
      <c r="D26" s="5" t="n">
        <v>4</v>
      </c>
      <c r="E26" s="8">
        <f>D26</f>
        <v/>
      </c>
      <c r="F26" s="4" t="inlineStr">
        <is>
          <t>2.1, 1.7</t>
        </is>
      </c>
      <c r="G26" s="7" t="inlineStr">
        <is>
          <t>Sí</t>
        </is>
      </c>
      <c r="H26" s="7" t="inlineStr">
        <is>
          <t>1.5, 2.7</t>
        </is>
      </c>
      <c r="I26" s="18" t="inlineStr">
        <is>
          <t>A</t>
        </is>
      </c>
      <c r="J26" s="8" t="n">
        <v>16</v>
      </c>
      <c r="K26" s="8" t="n">
        <v>16</v>
      </c>
      <c r="L26" s="8">
        <f>K26+E26</f>
        <v/>
      </c>
      <c r="M26" s="8">
        <f>K26-J26</f>
        <v/>
      </c>
      <c r="N26" s="8">
        <f>"S"&amp;(INT(K26/Resumen!$C$5)+1)&amp;"–S"&amp;MAX(INT(K26/Resumen!$C$5)+1,ROUNDUP(L26/Resumen!$C$5,0))</f>
        <v/>
      </c>
      <c r="O26" s="8" t="inlineStr">
        <is>
          <t>Hecho</t>
        </is>
      </c>
      <c r="P26" s="8" t="inlineStr">
        <is>
          <t>Agregado</t>
        </is>
      </c>
      <c r="Q26" s="7" t="inlineStr">
        <is>
          <t>ga-diseno-a-codigo</t>
        </is>
      </c>
      <c r="R26" s="7" t="inlineStr"/>
    </row>
    <row r="27">
      <c r="A27" s="19" t="inlineStr">
        <is>
          <t>2.15</t>
        </is>
      </c>
      <c r="B27" s="7" t="inlineStr">
        <is>
          <t>2. Landing y autenticación</t>
        </is>
      </c>
      <c r="C27" s="7" t="inlineStr">
        <is>
          <t>Rediseño C+ de /ingresar, /ingresar/codigo, /afiliacion y /afiliacion/enviada (maquetar según el lienzo)</t>
        </is>
      </c>
      <c r="D27" s="5" t="n">
        <v>3</v>
      </c>
      <c r="E27" s="8">
        <f>D27</f>
        <v/>
      </c>
      <c r="F27" s="4" t="inlineStr">
        <is>
          <t>2.2, 2.3, 1.7</t>
        </is>
      </c>
      <c r="G27" s="7" t="inlineStr">
        <is>
          <t>Sí</t>
        </is>
      </c>
      <c r="H27" s="7" t="inlineStr">
        <is>
          <t>4.11</t>
        </is>
      </c>
      <c r="I27" s="18" t="inlineStr">
        <is>
          <t>B</t>
        </is>
      </c>
      <c r="J27" s="8" t="n">
        <v>22</v>
      </c>
      <c r="K27" s="8" t="n">
        <v>24</v>
      </c>
      <c r="L27" s="8">
        <f>K27+E27</f>
        <v/>
      </c>
      <c r="M27" s="8">
        <f>K27-J27</f>
        <v/>
      </c>
      <c r="N27" s="8">
        <f>"S"&amp;(INT(K27/Resumen!$C$5)+1)&amp;"–S"&amp;MAX(INT(K27/Resumen!$C$5)+1,ROUNDUP(L27/Resumen!$C$5,0))</f>
        <v/>
      </c>
      <c r="O27" s="8" t="inlineStr">
        <is>
          <t>Hecho</t>
        </is>
      </c>
      <c r="P27" s="8" t="inlineStr">
        <is>
          <t>Agregado</t>
        </is>
      </c>
      <c r="Q27" s="7" t="inlineStr">
        <is>
          <t>ga-disenador-lienzo (diseño) + ga-diseno-a-codigo (código)</t>
        </is>
      </c>
      <c r="R27" s="7" t="inlineStr"/>
    </row>
    <row r="28">
      <c r="A28" s="19" t="inlineStr">
        <is>
          <t>3.1</t>
        </is>
      </c>
      <c r="B28" s="7" t="inlineStr">
        <is>
          <t>3. Flujo de solicitud de crédito</t>
        </is>
      </c>
      <c r="C28" s="7" t="inlineStr">
        <is>
          <t>Reglas del crédito en la base (tasa mensual, mínimo 100.000, orden de llegada)</t>
        </is>
      </c>
      <c r="D28" s="5" t="n">
        <v>4</v>
      </c>
      <c r="E28" s="8">
        <f>D28</f>
        <v/>
      </c>
      <c r="F28" s="4" t="inlineStr">
        <is>
          <t>1.2</t>
        </is>
      </c>
      <c r="G28" s="7" t="inlineStr">
        <is>
          <t>Sí</t>
        </is>
      </c>
      <c r="H28" s="7" t="inlineStr">
        <is>
          <t>2.5, 2.6</t>
        </is>
      </c>
      <c r="I28" s="18" t="inlineStr">
        <is>
          <t>B</t>
        </is>
      </c>
      <c r="J28" s="8" t="n">
        <v>4</v>
      </c>
      <c r="K28" s="8" t="n">
        <v>9</v>
      </c>
      <c r="L28" s="8">
        <f>K28+E28</f>
        <v/>
      </c>
      <c r="M28" s="8">
        <f>K28-J28</f>
        <v/>
      </c>
      <c r="N28" s="8">
        <f>"S"&amp;(INT(K28/Resumen!$C$5)+1)&amp;"–S"&amp;MAX(INT(K28/Resumen!$C$5)+1,ROUNDUP(L28/Resumen!$C$5,0))</f>
        <v/>
      </c>
      <c r="O28" s="8" t="inlineStr">
        <is>
          <t>Hecho</t>
        </is>
      </c>
      <c r="P28" s="8" t="inlineStr">
        <is>
          <t>Propuesta</t>
        </is>
      </c>
      <c r="Q28" s="7" t="inlineStr">
        <is>
          <t>ga-auditor-supabase</t>
        </is>
      </c>
      <c r="R28" s="7" t="inlineStr"/>
    </row>
    <row r="29">
      <c r="A29" s="19" t="inlineStr">
        <is>
          <t>3.2</t>
        </is>
      </c>
      <c r="B29" s="7" t="inlineStr">
        <is>
          <t>3. Flujo de solicitud de crédito</t>
        </is>
      </c>
      <c r="C29" s="7" t="inlineStr">
        <is>
          <t>Pruebas de la base (131 pgTAP) y unitarias (47 Vitest)</t>
        </is>
      </c>
      <c r="D29" s="5" t="n">
        <v>3</v>
      </c>
      <c r="E29" s="8">
        <f>D29</f>
        <v/>
      </c>
      <c r="F29" s="4" t="inlineStr">
        <is>
          <t>3.1</t>
        </is>
      </c>
      <c r="G29" s="7" t="inlineStr">
        <is>
          <t>Sí</t>
        </is>
      </c>
      <c r="H29" s="7" t="inlineStr">
        <is>
          <t>6.37, 4.9</t>
        </is>
      </c>
      <c r="I29" s="18" t="inlineStr">
        <is>
          <t>A</t>
        </is>
      </c>
      <c r="J29" s="8" t="n">
        <v>13</v>
      </c>
      <c r="K29" s="8" t="n">
        <v>127</v>
      </c>
      <c r="L29" s="8">
        <f>K29+E29</f>
        <v/>
      </c>
      <c r="M29" s="8">
        <f>K29-J29</f>
        <v/>
      </c>
      <c r="N29" s="8">
        <f>"S"&amp;(INT(K29/Resumen!$C$5)+1)&amp;"–S"&amp;MAX(INT(K29/Resumen!$C$5)+1,ROUNDUP(L29/Resumen!$C$5,0))</f>
        <v/>
      </c>
      <c r="O29" s="8" t="inlineStr">
        <is>
          <t>Hecho</t>
        </is>
      </c>
      <c r="P29" s="8" t="inlineStr">
        <is>
          <t>Propuesta</t>
        </is>
      </c>
      <c r="Q29" s="7" t="inlineStr">
        <is>
          <t>ga-escritor-tests</t>
        </is>
      </c>
      <c r="R29" s="7" t="inlineStr"/>
    </row>
    <row r="30">
      <c r="A30" s="19" t="inlineStr">
        <is>
          <t>3.3</t>
        </is>
      </c>
      <c r="B30" s="7" t="inlineStr">
        <is>
          <t>3. Flujo de solicitud de crédito</t>
        </is>
      </c>
      <c r="C30" s="7" t="inlineStr">
        <is>
          <t>Formulario de solicitud de crédito (50/100 %, tope, tasa)</t>
        </is>
      </c>
      <c r="D30" s="5" t="n">
        <v>3</v>
      </c>
      <c r="E30" s="8">
        <f>D30</f>
        <v/>
      </c>
      <c r="F30" s="4" t="inlineStr">
        <is>
          <t>3.1</t>
        </is>
      </c>
      <c r="G30" s="7" t="inlineStr">
        <is>
          <t>Sí</t>
        </is>
      </c>
      <c r="H30" s="7" t="inlineStr">
        <is>
          <t>4.14</t>
        </is>
      </c>
      <c r="I30" s="18" t="inlineStr">
        <is>
          <t>B</t>
        </is>
      </c>
      <c r="J30" s="8" t="n">
        <v>13</v>
      </c>
      <c r="K30" s="8" t="n">
        <v>56</v>
      </c>
      <c r="L30" s="8">
        <f>K30+E30</f>
        <v/>
      </c>
      <c r="M30" s="8">
        <f>K30-J30</f>
        <v/>
      </c>
      <c r="N30" s="8">
        <f>"S"&amp;(INT(K30/Resumen!$C$5)+1)&amp;"–S"&amp;MAX(INT(K30/Resumen!$C$5)+1,ROUNDUP(L30/Resumen!$C$5,0))</f>
        <v/>
      </c>
      <c r="O30" s="8" t="inlineStr">
        <is>
          <t>Hecho</t>
        </is>
      </c>
      <c r="P30" s="8" t="inlineStr">
        <is>
          <t>Propuesta</t>
        </is>
      </c>
      <c r="Q30" s="7" t="inlineStr">
        <is>
          <t>ga-funcionalidad-botones</t>
        </is>
      </c>
      <c r="R30" s="7" t="inlineStr"/>
    </row>
    <row r="31">
      <c r="A31" s="19" t="inlineStr">
        <is>
          <t>3.4</t>
        </is>
      </c>
      <c r="B31" s="7" t="inlineStr">
        <is>
          <t>3. Flujo de solicitud de crédito</t>
        </is>
      </c>
      <c r="C31" s="7" t="inlineStr">
        <is>
          <t>Maquetar /cuenta (tu solicitud, estado vacío, Mis datos)</t>
        </is>
      </c>
      <c r="D31" s="5" t="n">
        <v>3</v>
      </c>
      <c r="E31" s="8">
        <f>D31</f>
        <v/>
      </c>
      <c r="F31" s="4" t="inlineStr">
        <is>
          <t>1.4</t>
        </is>
      </c>
      <c r="G31" s="7" t="inlineStr">
        <is>
          <t>Sí</t>
        </is>
      </c>
      <c r="H31" s="7" t="inlineStr">
        <is>
          <t>6.19, 6.16, 6.4</t>
        </is>
      </c>
      <c r="I31" s="18" t="inlineStr">
        <is>
          <t>B</t>
        </is>
      </c>
      <c r="J31" s="8" t="n">
        <v>6</v>
      </c>
      <c r="K31" s="8" t="n">
        <v>27</v>
      </c>
      <c r="L31" s="8">
        <f>K31+E31</f>
        <v/>
      </c>
      <c r="M31" s="8">
        <f>K31-J31</f>
        <v/>
      </c>
      <c r="N31" s="8">
        <f>"S"&amp;(INT(K31/Resumen!$C$5)+1)&amp;"–S"&amp;MAX(INT(K31/Resumen!$C$5)+1,ROUNDUP(L31/Resumen!$C$5,0))</f>
        <v/>
      </c>
      <c r="O31" s="8" t="inlineStr">
        <is>
          <t>Hecho</t>
        </is>
      </c>
      <c r="P31" s="8" t="inlineStr">
        <is>
          <t>Propuesta</t>
        </is>
      </c>
      <c r="Q31" s="7" t="inlineStr">
        <is>
          <t>ga-diseno-a-codigo</t>
        </is>
      </c>
      <c r="R31" s="7" t="inlineStr"/>
    </row>
    <row r="32">
      <c r="A32" s="19" t="inlineStr">
        <is>
          <t>3.5</t>
        </is>
      </c>
      <c r="B32" s="7" t="inlineStr">
        <is>
          <t>3. Flujo de solicitud de crédito</t>
        </is>
      </c>
      <c r="C32" s="7" t="inlineStr">
        <is>
          <t>/cuenta con datos reales (perfil, solicitud, tope, convenios)</t>
        </is>
      </c>
      <c r="D32" s="5" t="n">
        <v>3</v>
      </c>
      <c r="E32" s="8">
        <f>D32</f>
        <v/>
      </c>
      <c r="F32" s="4" t="inlineStr">
        <is>
          <t>2.7, 3.4</t>
        </is>
      </c>
      <c r="G32" s="7" t="inlineStr">
        <is>
          <t>Sí</t>
        </is>
      </c>
      <c r="H32" s="7" t="inlineStr">
        <is>
          <t>4.12, 4.13</t>
        </is>
      </c>
      <c r="I32" s="18" t="inlineStr">
        <is>
          <t>B</t>
        </is>
      </c>
      <c r="J32" s="8" t="n">
        <v>30</v>
      </c>
      <c r="K32" s="8" t="n">
        <v>43</v>
      </c>
      <c r="L32" s="8">
        <f>K32+E32</f>
        <v/>
      </c>
      <c r="M32" s="8">
        <f>K32-J32</f>
        <v/>
      </c>
      <c r="N32" s="8">
        <f>"S"&amp;(INT(K32/Resumen!$C$5)+1)&amp;"–S"&amp;MAX(INT(K32/Resumen!$C$5)+1,ROUNDUP(L32/Resumen!$C$5,0))</f>
        <v/>
      </c>
      <c r="O32" s="8" t="inlineStr">
        <is>
          <t>Hecho</t>
        </is>
      </c>
      <c r="P32" s="8" t="inlineStr">
        <is>
          <t>Propuesta</t>
        </is>
      </c>
      <c r="Q32" s="7" t="inlineStr">
        <is>
          <t>ga-funcionalidad-botones</t>
        </is>
      </c>
      <c r="R32" s="7" t="inlineStr"/>
    </row>
    <row r="33">
      <c r="A33" s="19" t="inlineStr">
        <is>
          <t>3.6</t>
        </is>
      </c>
      <c r="B33" s="7" t="inlineStr">
        <is>
          <t>3. Flujo de solicitud de crédito</t>
        </is>
      </c>
      <c r="C33" s="7" t="inlineStr">
        <is>
          <t>Mis datos: guardar el celular (Server Action)</t>
        </is>
      </c>
      <c r="D33" s="5" t="n">
        <v>2</v>
      </c>
      <c r="E33" s="8">
        <f>D33</f>
        <v/>
      </c>
      <c r="F33" s="4" t="inlineStr">
        <is>
          <t>3.5</t>
        </is>
      </c>
      <c r="G33" s="7" t="inlineStr">
        <is>
          <t>Sí</t>
        </is>
      </c>
      <c r="H33" s="7" t="inlineStr">
        <is>
          <t>5.2</t>
        </is>
      </c>
      <c r="I33" s="18" t="inlineStr">
        <is>
          <t>B</t>
        </is>
      </c>
      <c r="J33" s="8" t="n">
        <v>46</v>
      </c>
      <c r="K33" s="8" t="n">
        <v>65</v>
      </c>
      <c r="L33" s="8">
        <f>K33+E33</f>
        <v/>
      </c>
      <c r="M33" s="8">
        <f>K33-J33</f>
        <v/>
      </c>
      <c r="N33" s="8">
        <f>"S"&amp;(INT(K33/Resumen!$C$5)+1)&amp;"–S"&amp;MAX(INT(K33/Resumen!$C$5)+1,ROUNDUP(L33/Resumen!$C$5,0))</f>
        <v/>
      </c>
      <c r="O33" s="8" t="inlineStr">
        <is>
          <t>Hecho</t>
        </is>
      </c>
      <c r="P33" s="8" t="inlineStr">
        <is>
          <t>Agregado</t>
        </is>
      </c>
      <c r="Q33" s="7" t="inlineStr">
        <is>
          <t>ga-funcionalidad-botones</t>
        </is>
      </c>
      <c r="R33" s="7" t="inlineStr"/>
    </row>
    <row r="34">
      <c r="A34" s="19" t="inlineStr">
        <is>
          <t>3.7</t>
        </is>
      </c>
      <c r="B34" s="7" t="inlineStr">
        <is>
          <t>3. Flujo de solicitud de crédito</t>
        </is>
      </c>
      <c r="C34" s="7" t="inlineStr">
        <is>
          <t>Conectar el formulario de crédito a /cuenta («Nueva solicitud»)</t>
        </is>
      </c>
      <c r="D34" s="5" t="n">
        <v>3</v>
      </c>
      <c r="E34" s="8">
        <f>D34</f>
        <v/>
      </c>
      <c r="F34" s="4" t="inlineStr">
        <is>
          <t>3.5, 3.3</t>
        </is>
      </c>
      <c r="G34" s="7" t="inlineStr">
        <is>
          <t>Sí</t>
        </is>
      </c>
      <c r="H34" s="7" t="inlineStr">
        <is>
          <t>4.14, 4.20</t>
        </is>
      </c>
      <c r="I34" s="18" t="inlineStr">
        <is>
          <t>B</t>
        </is>
      </c>
      <c r="J34" s="8" t="n">
        <v>59</v>
      </c>
      <c r="K34" s="8" t="n">
        <v>59</v>
      </c>
      <c r="L34" s="8">
        <f>K34+E34</f>
        <v/>
      </c>
      <c r="M34" s="8">
        <f>K34-J34</f>
        <v/>
      </c>
      <c r="N34" s="8">
        <f>"S"&amp;(INT(K34/Resumen!$C$5)+1)&amp;"–S"&amp;MAX(INT(K34/Resumen!$C$5)+1,ROUNDUP(L34/Resumen!$C$5,0))</f>
        <v/>
      </c>
      <c r="O34" s="8" t="inlineStr">
        <is>
          <t>Hecho</t>
        </is>
      </c>
      <c r="P34" s="8" t="inlineStr">
        <is>
          <t>Propuesta</t>
        </is>
      </c>
      <c r="Q34" s="7" t="inlineStr">
        <is>
          <t>ga-funcionalidad-botones</t>
        </is>
      </c>
      <c r="R34" s="7" t="inlineStr"/>
    </row>
    <row r="35">
      <c r="A35" s="19" t="inlineStr">
        <is>
          <t>3.9</t>
        </is>
      </c>
      <c r="B35" s="7" t="inlineStr">
        <is>
          <t>3. Flujo de solicitud de crédito</t>
        </is>
      </c>
      <c r="C35" s="7" t="inlineStr">
        <is>
          <t>Sorteo mensual en /cuenta (participar, confirmar boleta, correo por Resend, animación)</t>
        </is>
      </c>
      <c r="D35" s="5" t="n">
        <v>4</v>
      </c>
      <c r="E35" s="8">
        <f>D35</f>
        <v/>
      </c>
      <c r="F35" s="4" t="inlineStr">
        <is>
          <t>3.5, 1.5</t>
        </is>
      </c>
      <c r="G35" s="7" t="inlineStr">
        <is>
          <t>Sí</t>
        </is>
      </c>
      <c r="H35" s="7" t="inlineStr">
        <is>
          <t>4.24, 6.31</t>
        </is>
      </c>
      <c r="I35" s="18" t="inlineStr">
        <is>
          <t>A</t>
        </is>
      </c>
      <c r="J35" s="8" t="n">
        <v>46</v>
      </c>
      <c r="K35" s="8" t="n">
        <v>67</v>
      </c>
      <c r="L35" s="8">
        <f>K35+E35</f>
        <v/>
      </c>
      <c r="M35" s="8">
        <f>K35-J35</f>
        <v/>
      </c>
      <c r="N35" s="8">
        <f>"S"&amp;(INT(K35/Resumen!$C$5)+1)&amp;"–S"&amp;MAX(INT(K35/Resumen!$C$5)+1,ROUNDUP(L35/Resumen!$C$5,0))</f>
        <v/>
      </c>
      <c r="O35" s="8" t="inlineStr">
        <is>
          <t>Hecho</t>
        </is>
      </c>
      <c r="P35" s="8" t="inlineStr">
        <is>
          <t>Agregado</t>
        </is>
      </c>
      <c r="Q35" s="7" t="inlineStr">
        <is>
          <t>ga-funcionalidad-botones</t>
        </is>
      </c>
      <c r="R35" s="7" t="inlineStr"/>
    </row>
    <row r="36">
      <c r="A36" s="19" t="inlineStr">
        <is>
          <t>3.10</t>
        </is>
      </c>
      <c r="B36" s="7" t="inlineStr">
        <is>
          <t>3. Flujo de solicitud de crédito</t>
        </is>
      </c>
      <c r="C36" s="7" t="inlineStr">
        <is>
          <t>Rediseño C+ del asociado (nueva solicitud, Mis datos, boleta del sorteo)</t>
        </is>
      </c>
      <c r="D36" s="5" t="n">
        <v>3</v>
      </c>
      <c r="E36" s="8">
        <f>D36</f>
        <v/>
      </c>
      <c r="F36" s="4" t="inlineStr">
        <is>
          <t>3.4, 1.7</t>
        </is>
      </c>
      <c r="G36" s="7" t="inlineStr">
        <is>
          <t>Sí</t>
        </is>
      </c>
      <c r="H36" s="7" t="inlineStr">
        <is>
          <t>4.6</t>
        </is>
      </c>
      <c r="I36" s="18" t="inlineStr">
        <is>
          <t>A</t>
        </is>
      </c>
      <c r="J36" s="8" t="n">
        <v>30</v>
      </c>
      <c r="K36" s="8" t="n">
        <v>30</v>
      </c>
      <c r="L36" s="8">
        <f>K36+E36</f>
        <v/>
      </c>
      <c r="M36" s="8">
        <f>K36-J36</f>
        <v/>
      </c>
      <c r="N36" s="8">
        <f>"S"&amp;(INT(K36/Resumen!$C$5)+1)&amp;"–S"&amp;MAX(INT(K36/Resumen!$C$5)+1,ROUNDUP(L36/Resumen!$C$5,0))</f>
        <v/>
      </c>
      <c r="O36" s="8" t="inlineStr">
        <is>
          <t>Hecho</t>
        </is>
      </c>
      <c r="P36" s="8" t="inlineStr">
        <is>
          <t>Agregado</t>
        </is>
      </c>
      <c r="Q36" s="7" t="inlineStr">
        <is>
          <t>ga-disenador-lienzo + ga-diseno-a-codigo</t>
        </is>
      </c>
      <c r="R36" s="7" t="inlineStr"/>
    </row>
    <row r="37">
      <c r="A37" s="19" t="inlineStr">
        <is>
          <t>4.1</t>
        </is>
      </c>
      <c r="B37" s="7" t="inlineStr">
        <is>
          <t>4. Panel de administración</t>
        </is>
      </c>
      <c r="C37" s="7" t="inlineStr">
        <is>
          <t>Panel /admin: afiliaciones, créditos, asesores y sorteo</t>
        </is>
      </c>
      <c r="D37" s="5" t="n">
        <v>4</v>
      </c>
      <c r="E37" s="8">
        <f>D37</f>
        <v/>
      </c>
      <c r="F37" s="4" t="inlineStr">
        <is>
          <t>2.7, 3.1</t>
        </is>
      </c>
      <c r="G37" s="7" t="inlineStr">
        <is>
          <t>Sí</t>
        </is>
      </c>
      <c r="H37" s="7" t="inlineStr">
        <is>
          <t>2.3, 2.8, 3.11</t>
        </is>
      </c>
      <c r="I37" s="18" t="inlineStr">
        <is>
          <t>B</t>
        </is>
      </c>
      <c r="J37" s="8" t="n">
        <v>20</v>
      </c>
      <c r="K37" s="8" t="n">
        <v>20</v>
      </c>
      <c r="L37" s="8">
        <f>K37+E37</f>
        <v/>
      </c>
      <c r="M37" s="8">
        <f>K37-J37</f>
        <v/>
      </c>
      <c r="N37" s="8">
        <f>"S"&amp;(INT(K37/Resumen!$C$5)+1)&amp;"–S"&amp;MAX(INT(K37/Resumen!$C$5)+1,ROUNDUP(L37/Resumen!$C$5,0))</f>
        <v/>
      </c>
      <c r="O37" s="8" t="inlineStr">
        <is>
          <t>Hecho</t>
        </is>
      </c>
      <c r="P37" s="8" t="inlineStr">
        <is>
          <t>Propuesta</t>
        </is>
      </c>
      <c r="Q37" s="7" t="inlineStr">
        <is>
          <t>ga-diseno-a-codigo + ga-funcionalidad-botones</t>
        </is>
      </c>
      <c r="R37" s="7" t="inlineStr"/>
    </row>
    <row r="38">
      <c r="A38" s="19" t="inlineStr">
        <is>
          <t>4.2</t>
        </is>
      </c>
      <c r="B38" s="7" t="inlineStr">
        <is>
          <t>4. Panel de administración</t>
        </is>
      </c>
      <c r="C38" s="7" t="inlineStr">
        <is>
          <t>Aprobar y rechazar (motivo obligatorio, nadie resuelve la suya)</t>
        </is>
      </c>
      <c r="D38" s="5" t="n">
        <v>3</v>
      </c>
      <c r="E38" s="8">
        <f>D38</f>
        <v/>
      </c>
      <c r="F38" s="4" t="inlineStr">
        <is>
          <t>4.1</t>
        </is>
      </c>
      <c r="G38" s="7" t="inlineStr">
        <is>
          <t>Sí</t>
        </is>
      </c>
      <c r="H38" s="7" t="inlineStr">
        <is>
          <t>4.13</t>
        </is>
      </c>
      <c r="I38" s="18" t="inlineStr">
        <is>
          <t>B</t>
        </is>
      </c>
      <c r="J38" s="8" t="n">
        <v>24</v>
      </c>
      <c r="K38" s="8" t="n">
        <v>46</v>
      </c>
      <c r="L38" s="8">
        <f>K38+E38</f>
        <v/>
      </c>
      <c r="M38" s="8">
        <f>K38-J38</f>
        <v/>
      </c>
      <c r="N38" s="8">
        <f>"S"&amp;(INT(K38/Resumen!$C$5)+1)&amp;"–S"&amp;MAX(INT(K38/Resumen!$C$5)+1,ROUNDUP(L38/Resumen!$C$5,0))</f>
        <v/>
      </c>
      <c r="O38" s="8" t="inlineStr">
        <is>
          <t>Hecho</t>
        </is>
      </c>
      <c r="P38" s="8" t="inlineStr">
        <is>
          <t>Propuesta</t>
        </is>
      </c>
      <c r="Q38" s="7" t="inlineStr">
        <is>
          <t>ga-funcionalidad-botones</t>
        </is>
      </c>
      <c r="R38" s="7" t="inlineStr"/>
    </row>
    <row r="39">
      <c r="A39" s="19" t="inlineStr">
        <is>
          <t>4.3</t>
        </is>
      </c>
      <c r="B39" s="7" t="inlineStr">
        <is>
          <t>4. Panel de administración</t>
        </is>
      </c>
      <c r="C39" s="7" t="inlineStr">
        <is>
          <t>Correo al asociado al resolver y estado actualizado en su pantalla</t>
        </is>
      </c>
      <c r="D39" s="5" t="n">
        <v>2</v>
      </c>
      <c r="E39" s="8">
        <f>D39</f>
        <v/>
      </c>
      <c r="F39" s="4" t="inlineStr">
        <is>
          <t>4.2, 2.4</t>
        </is>
      </c>
      <c r="G39" s="7" t="inlineStr">
        <is>
          <t>Sí</t>
        </is>
      </c>
      <c r="H39" s="7" t="inlineStr">
        <is>
          <t>4.13, 2.12</t>
        </is>
      </c>
      <c r="I39" s="18" t="inlineStr">
        <is>
          <t>B</t>
        </is>
      </c>
      <c r="J39" s="8" t="n">
        <v>49</v>
      </c>
      <c r="K39" s="8" t="n">
        <v>49</v>
      </c>
      <c r="L39" s="8">
        <f>K39+E39</f>
        <v/>
      </c>
      <c r="M39" s="8">
        <f>K39-J39</f>
        <v/>
      </c>
      <c r="N39" s="8">
        <f>"S"&amp;(INT(K39/Resumen!$C$5)+1)&amp;"–S"&amp;MAX(INT(K39/Resumen!$C$5)+1,ROUNDUP(L39/Resumen!$C$5,0))</f>
        <v/>
      </c>
      <c r="O39" s="8" t="inlineStr">
        <is>
          <t>Hecho</t>
        </is>
      </c>
      <c r="P39" s="8" t="inlineStr">
        <is>
          <t>Propuesta</t>
        </is>
      </c>
      <c r="Q39" s="7" t="inlineStr">
        <is>
          <t>ga-funcionalidad-botones</t>
        </is>
      </c>
      <c r="R39" s="7" t="inlineStr"/>
    </row>
    <row r="40">
      <c r="A40" s="19" t="inlineStr">
        <is>
          <t>4.4</t>
        </is>
      </c>
      <c r="B40" s="7" t="inlineStr">
        <is>
          <t>4. Panel de administración</t>
        </is>
      </c>
      <c r="C40" s="7" t="inlineStr">
        <is>
          <t>Importar asociados desde Excel (con correos reales)</t>
        </is>
      </c>
      <c r="D40" s="5" t="n">
        <v>4</v>
      </c>
      <c r="E40" s="8">
        <f>D40</f>
        <v/>
      </c>
      <c r="F40" s="4" t="inlineStr">
        <is>
          <t>1.2</t>
        </is>
      </c>
      <c r="G40" s="7" t="inlineStr">
        <is>
          <t>Sí</t>
        </is>
      </c>
      <c r="H40" s="7" t="inlineStr">
        <is>
          <t>2.16, 6.3</t>
        </is>
      </c>
      <c r="I40" s="18" t="inlineStr">
        <is>
          <t>B</t>
        </is>
      </c>
      <c r="J40" s="8" t="n">
        <v>4</v>
      </c>
      <c r="K40" s="8" t="n">
        <v>91</v>
      </c>
      <c r="L40" s="8">
        <f>K40+E40</f>
        <v/>
      </c>
      <c r="M40" s="8">
        <f>K40-J40</f>
        <v/>
      </c>
      <c r="N40" s="8">
        <f>"S"&amp;(INT(K40/Resumen!$C$5)+1)&amp;"–S"&amp;MAX(INT(K40/Resumen!$C$5)+1,ROUNDUP(L40/Resumen!$C$5,0))</f>
        <v/>
      </c>
      <c r="O40" s="8" t="inlineStr">
        <is>
          <t>Hecho</t>
        </is>
      </c>
      <c r="P40" s="8" t="inlineStr">
        <is>
          <t>Agregado</t>
        </is>
      </c>
      <c r="Q40" s="7" t="inlineStr">
        <is>
          <t>ga-funcionalidad-botones</t>
        </is>
      </c>
      <c r="R40" s="7" t="inlineStr">
        <is>
          <t>Cancelada: decisión de la cooperativa 2026-09-24, no habrá importación de Excel de asociados.</t>
        </is>
      </c>
    </row>
    <row r="41">
      <c r="A41" s="19" t="inlineStr">
        <is>
          <t>4.5</t>
        </is>
      </c>
      <c r="B41" s="7" t="inlineStr">
        <is>
          <t>4. Panel de administración</t>
        </is>
      </c>
      <c r="C41" s="7" t="inlineStr">
        <is>
          <t>Aprobar afiliaciones en /admin: crear el usuario y enviar el correo «Ingreso aceptado» (Resend, ga-ingreso-aceptado)</t>
        </is>
      </c>
      <c r="D41" s="5" t="n">
        <v>3</v>
      </c>
      <c r="E41" s="8">
        <f>D41</f>
        <v/>
      </c>
      <c r="F41" s="4" t="inlineStr">
        <is>
          <t>4.1, 2.9</t>
        </is>
      </c>
      <c r="G41" s="7" t="inlineStr">
        <is>
          <t>Sí</t>
        </is>
      </c>
      <c r="H41" s="7" t="inlineStr">
        <is>
          <t>2.12</t>
        </is>
      </c>
      <c r="I41" s="18" t="inlineStr">
        <is>
          <t>B</t>
        </is>
      </c>
      <c r="J41" s="8" t="n">
        <v>43</v>
      </c>
      <c r="K41" s="8" t="n">
        <v>51</v>
      </c>
      <c r="L41" s="8">
        <f>K41+E41</f>
        <v/>
      </c>
      <c r="M41" s="8">
        <f>K41-J41</f>
        <v/>
      </c>
      <c r="N41" s="8">
        <f>"S"&amp;(INT(K41/Resumen!$C$5)+1)&amp;"–S"&amp;MAX(INT(K41/Resumen!$C$5)+1,ROUNDUP(L41/Resumen!$C$5,0))</f>
        <v/>
      </c>
      <c r="O41" s="8" t="inlineStr">
        <is>
          <t>Hecho</t>
        </is>
      </c>
      <c r="P41" s="8" t="inlineStr">
        <is>
          <t>Agregado</t>
        </is>
      </c>
      <c r="Q41" s="7" t="inlineStr">
        <is>
          <t>ga-funcionalidad-botones</t>
        </is>
      </c>
      <c r="R41" s="7" t="inlineStr"/>
    </row>
    <row r="42">
      <c r="A42" s="19" t="inlineStr">
        <is>
          <t>4.6</t>
        </is>
      </c>
      <c r="B42" s="7" t="inlineStr">
        <is>
          <t>4. Panel de administración</t>
        </is>
      </c>
      <c r="C42" s="7" t="inlineStr">
        <is>
          <t>Rol asesor: pantalla /asesor (mis clientes) y /asesor/demo (cuenta de demostración)</t>
        </is>
      </c>
      <c r="D42" s="5" t="n">
        <v>3</v>
      </c>
      <c r="E42" s="8">
        <f>D42</f>
        <v/>
      </c>
      <c r="F42" s="4" t="inlineStr">
        <is>
          <t>1.5</t>
        </is>
      </c>
      <c r="G42" s="7" t="inlineStr">
        <is>
          <t>Sí</t>
        </is>
      </c>
      <c r="H42" s="7" t="inlineStr">
        <is>
          <t>3.10</t>
        </is>
      </c>
      <c r="I42" s="18" t="inlineStr">
        <is>
          <t>B</t>
        </is>
      </c>
      <c r="J42" s="8" t="n">
        <v>18</v>
      </c>
      <c r="K42" s="8" t="n">
        <v>30</v>
      </c>
      <c r="L42" s="8">
        <f>K42+E42</f>
        <v/>
      </c>
      <c r="M42" s="8">
        <f>K42-J42</f>
        <v/>
      </c>
      <c r="N42" s="8">
        <f>"S"&amp;(INT(K42/Resumen!$C$5)+1)&amp;"–S"&amp;MAX(INT(K42/Resumen!$C$5)+1,ROUNDUP(L42/Resumen!$C$5,0))</f>
        <v/>
      </c>
      <c r="O42" s="8" t="inlineStr">
        <is>
          <t>Hecho</t>
        </is>
      </c>
      <c r="P42" s="8" t="inlineStr">
        <is>
          <t>Agregado</t>
        </is>
      </c>
      <c r="Q42" s="7" t="inlineStr">
        <is>
          <t>ga-funcionalidad-botones</t>
        </is>
      </c>
      <c r="R42" s="7" t="inlineStr"/>
    </row>
    <row r="43">
      <c r="A43" s="19" t="inlineStr">
        <is>
          <t>4.7</t>
        </is>
      </c>
      <c r="B43" s="7" t="inlineStr">
        <is>
          <t>4. Panel de administración</t>
        </is>
      </c>
      <c r="C43" s="7" t="inlineStr">
        <is>
          <t>Dashboard de clientes en /admin: métricas (asociados por grado/institución, afiliaciones y créditos pendientes, montos del mes, inscritos al sorteo), lista con buscador/filtros, detalle de cliente y reasignar asesor</t>
        </is>
      </c>
      <c r="D43" s="5" t="n">
        <v>4</v>
      </c>
      <c r="E43" s="8">
        <f>D43</f>
        <v/>
      </c>
      <c r="F43" s="4" t="inlineStr">
        <is>
          <t>4.1, 4.6</t>
        </is>
      </c>
      <c r="G43" s="7" t="inlineStr">
        <is>
          <t>Sí</t>
        </is>
      </c>
      <c r="H43" s="7" t="inlineStr">
        <is>
          <t>4.17, 5.19</t>
        </is>
      </c>
      <c r="I43" s="18" t="inlineStr">
        <is>
          <t>A</t>
        </is>
      </c>
      <c r="J43" s="8" t="n">
        <v>33</v>
      </c>
      <c r="K43" s="8" t="n">
        <v>85</v>
      </c>
      <c r="L43" s="8">
        <f>K43+E43</f>
        <v/>
      </c>
      <c r="M43" s="8">
        <f>K43-J43</f>
        <v/>
      </c>
      <c r="N43" s="8">
        <f>"S"&amp;(INT(K43/Resumen!$C$5)+1)&amp;"–S"&amp;MAX(INT(K43/Resumen!$C$5)+1,ROUNDUP(L43/Resumen!$C$5,0))</f>
        <v/>
      </c>
      <c r="O43" s="8" t="inlineStr">
        <is>
          <t>Hecho</t>
        </is>
      </c>
      <c r="P43" s="8" t="inlineStr">
        <is>
          <t>Agregado</t>
        </is>
      </c>
      <c r="Q43" s="7" t="inlineStr">
        <is>
          <t>ga-funcionalidad-botones (antes Carlos Pardo)</t>
        </is>
      </c>
      <c r="R43" s="7" t="inlineStr"/>
    </row>
    <row r="44">
      <c r="A44" s="19" t="inlineStr">
        <is>
          <t>4.8</t>
        </is>
      </c>
      <c r="B44" s="7" t="inlineStr">
        <is>
          <t>4. Panel de administración</t>
        </is>
      </c>
      <c r="C44" s="7" t="inlineStr">
        <is>
          <t>Dashboard del asesor en /asesor: métricas de sus clientes (por estado, créditos pendientes, afiliaciones referidas en el mes) y detalle de cliente sin celular, correo, Nequi ni fotos</t>
        </is>
      </c>
      <c r="D44" s="5" t="n">
        <v>3</v>
      </c>
      <c r="E44" s="8">
        <f>D44</f>
        <v/>
      </c>
      <c r="F44" s="4" t="inlineStr">
        <is>
          <t>4.6</t>
        </is>
      </c>
      <c r="G44" s="7" t="inlineStr">
        <is>
          <t>Sí</t>
        </is>
      </c>
      <c r="H44" s="7" t="inlineStr">
        <is>
          <t>5.18, 6.28, 6.35</t>
        </is>
      </c>
      <c r="I44" s="18" t="inlineStr">
        <is>
          <t>B</t>
        </is>
      </c>
      <c r="J44" s="8" t="n">
        <v>33</v>
      </c>
      <c r="K44" s="8" t="n">
        <v>117</v>
      </c>
      <c r="L44" s="8">
        <f>K44+E44</f>
        <v/>
      </c>
      <c r="M44" s="8">
        <f>K44-J44</f>
        <v/>
      </c>
      <c r="N44" s="8">
        <f>"S"&amp;(INT(K44/Resumen!$C$5)+1)&amp;"–S"&amp;MAX(INT(K44/Resumen!$C$5)+1,ROUNDUP(L44/Resumen!$C$5,0))</f>
        <v/>
      </c>
      <c r="O44" s="8" t="inlineStr">
        <is>
          <t>Hecho</t>
        </is>
      </c>
      <c r="P44" s="8" t="inlineStr">
        <is>
          <t>Agregado</t>
        </is>
      </c>
      <c r="Q44" s="7" t="inlineStr">
        <is>
          <t>ga-funcionalidad-botones (antes Carlos Pardo)</t>
        </is>
      </c>
      <c r="R44" s="7" t="inlineStr"/>
    </row>
    <row r="45">
      <c r="A45" s="19" t="inlineStr">
        <is>
          <t>4.9</t>
        </is>
      </c>
      <c r="B45" s="7" t="inlineStr">
        <is>
          <t>4. Panel de administración</t>
        </is>
      </c>
      <c r="C45" s="7" t="inlineStr">
        <is>
          <t>Cuenta de demostración para administradores en /admin/demo (pestaña «Demostración»): reutiliza la cuenta fantasma de /asesor/demo, un asesor no puede entrar</t>
        </is>
      </c>
      <c r="D45" s="5" t="n">
        <v>2</v>
      </c>
      <c r="E45" s="8">
        <f>D45</f>
        <v/>
      </c>
      <c r="F45" s="4" t="inlineStr">
        <is>
          <t>4.1, 4.6</t>
        </is>
      </c>
      <c r="G45" s="7" t="inlineStr">
        <is>
          <t>Sí</t>
        </is>
      </c>
      <c r="H45" s="7" t="inlineStr">
        <is>
          <t>3.2</t>
        </is>
      </c>
      <c r="I45" s="18" t="inlineStr">
        <is>
          <t>B</t>
        </is>
      </c>
      <c r="J45" s="8" t="n">
        <v>33</v>
      </c>
      <c r="K45" s="8" t="n">
        <v>128</v>
      </c>
      <c r="L45" s="8">
        <f>K45+E45</f>
        <v/>
      </c>
      <c r="M45" s="8">
        <f>K45-J45</f>
        <v/>
      </c>
      <c r="N45" s="8">
        <f>"S"&amp;(INT(K45/Resumen!$C$5)+1)&amp;"–S"&amp;MAX(INT(K45/Resumen!$C$5)+1,ROUNDUP(L45/Resumen!$C$5,0))</f>
        <v/>
      </c>
      <c r="O45" s="8" t="inlineStr">
        <is>
          <t>Hecho</t>
        </is>
      </c>
      <c r="P45" s="8" t="inlineStr">
        <is>
          <t>Agregado</t>
        </is>
      </c>
      <c r="Q45" s="7" t="inlineStr">
        <is>
          <t>sesión principal</t>
        </is>
      </c>
      <c r="R45" s="7" t="inlineStr"/>
    </row>
    <row r="46">
      <c r="A46" s="19" t="inlineStr">
        <is>
          <t>4.10</t>
        </is>
      </c>
      <c r="B46" s="7" t="inlineStr">
        <is>
          <t>4. Panel de administración</t>
        </is>
      </c>
      <c r="C46" s="7" t="inlineStr">
        <is>
          <t>Rediseño C+ del asesor (/asesor y /asesor/demo)</t>
        </is>
      </c>
      <c r="D46" s="5" t="n">
        <v>2</v>
      </c>
      <c r="E46" s="8">
        <f>D46</f>
        <v/>
      </c>
      <c r="F46" s="4" t="inlineStr">
        <is>
          <t>4.6, 1.7</t>
        </is>
      </c>
      <c r="G46" s="7" t="inlineStr">
        <is>
          <t>Sí</t>
        </is>
      </c>
      <c r="H46" s="7" t="inlineStr">
        <is>
          <t>1.6</t>
        </is>
      </c>
      <c r="I46" s="18" t="inlineStr">
        <is>
          <t>A</t>
        </is>
      </c>
      <c r="J46" s="8" t="n">
        <v>33</v>
      </c>
      <c r="K46" s="8" t="n">
        <v>33</v>
      </c>
      <c r="L46" s="8">
        <f>K46+E46</f>
        <v/>
      </c>
      <c r="M46" s="8">
        <f>K46-J46</f>
        <v/>
      </c>
      <c r="N46" s="8">
        <f>"S"&amp;(INT(K46/Resumen!$C$5)+1)&amp;"–S"&amp;MAX(INT(K46/Resumen!$C$5)+1,ROUNDUP(L46/Resumen!$C$5,0))</f>
        <v/>
      </c>
      <c r="O46" s="8" t="inlineStr">
        <is>
          <t>Hecho</t>
        </is>
      </c>
      <c r="P46" s="8" t="inlineStr">
        <is>
          <t>Agregado</t>
        </is>
      </c>
      <c r="Q46" s="7" t="inlineStr">
        <is>
          <t>ga-disenador-lienzo + ga-diseno-a-codigo</t>
        </is>
      </c>
      <c r="R46" s="7" t="inlineStr"/>
    </row>
    <row r="47">
      <c r="A47" s="19" t="inlineStr">
        <is>
          <t>4.11</t>
        </is>
      </c>
      <c r="B47" s="7" t="inlineStr">
        <is>
          <t>4. Panel de administración</t>
        </is>
      </c>
      <c r="C47" s="7" t="inlineStr">
        <is>
          <t>Rediseño C+ del admin (incluye la vista en celular)</t>
        </is>
      </c>
      <c r="D47" s="5" t="n">
        <v>3</v>
      </c>
      <c r="E47" s="8">
        <f>D47</f>
        <v/>
      </c>
      <c r="F47" s="4" t="inlineStr">
        <is>
          <t>4.1, 1.7</t>
        </is>
      </c>
      <c r="G47" s="7" t="inlineStr">
        <is>
          <t>Sí</t>
        </is>
      </c>
      <c r="H47" s="7" t="inlineStr">
        <is>
          <t>2.15</t>
        </is>
      </c>
      <c r="I47" s="18" t="inlineStr">
        <is>
          <t>A</t>
        </is>
      </c>
      <c r="J47" s="8" t="n">
        <v>24</v>
      </c>
      <c r="K47" s="8" t="n">
        <v>24</v>
      </c>
      <c r="L47" s="8">
        <f>K47+E47</f>
        <v/>
      </c>
      <c r="M47" s="8">
        <f>K47-J47</f>
        <v/>
      </c>
      <c r="N47" s="8">
        <f>"S"&amp;(INT(K47/Resumen!$C$5)+1)&amp;"–S"&amp;MAX(INT(K47/Resumen!$C$5)+1,ROUNDUP(L47/Resumen!$C$5,0))</f>
        <v/>
      </c>
      <c r="O47" s="8" t="inlineStr">
        <is>
          <t>Hecho</t>
        </is>
      </c>
      <c r="P47" s="8" t="inlineStr">
        <is>
          <t>Agregado</t>
        </is>
      </c>
      <c r="Q47" s="7" t="inlineStr">
        <is>
          <t>ga-disenador-lienzo + ga-diseno-a-codigo</t>
        </is>
      </c>
      <c r="R47" s="7" t="inlineStr"/>
    </row>
    <row r="48">
      <c r="A48" s="19" t="inlineStr">
        <is>
          <t>5.1</t>
        </is>
      </c>
      <c r="B48" s="4" t="inlineStr">
        <is>
          <t>5. Convenios y pulido</t>
        </is>
      </c>
      <c r="C48" s="7" t="inlineStr">
        <is>
          <t>Sección de convenios (en /cuenta y landing)</t>
        </is>
      </c>
      <c r="D48" s="5" t="n">
        <v>2</v>
      </c>
      <c r="E48" s="8">
        <f>D48</f>
        <v/>
      </c>
      <c r="F48" s="4" t="inlineStr">
        <is>
          <t>3.4</t>
        </is>
      </c>
      <c r="G48" s="7" t="inlineStr">
        <is>
          <t>Sí</t>
        </is>
      </c>
      <c r="H48" s="7" t="inlineStr">
        <is>
          <t>4.20, 5.2</t>
        </is>
      </c>
      <c r="I48" s="18" t="inlineStr">
        <is>
          <t>B</t>
        </is>
      </c>
      <c r="J48" s="8" t="n">
        <v>30</v>
      </c>
      <c r="K48" s="8" t="n">
        <v>63</v>
      </c>
      <c r="L48" s="8">
        <f>K48+E48</f>
        <v/>
      </c>
      <c r="M48" s="8">
        <f>K48-J48</f>
        <v/>
      </c>
      <c r="N48" s="8">
        <f>"S"&amp;(INT(K48/Resumen!$C$5)+1)&amp;"–S"&amp;MAX(INT(K48/Resumen!$C$5)+1,ROUNDUP(L48/Resumen!$C$5,0))</f>
        <v/>
      </c>
      <c r="O48" s="8" t="inlineStr">
        <is>
          <t>Hecho</t>
        </is>
      </c>
      <c r="P48" s="8" t="inlineStr">
        <is>
          <t>Propuesta</t>
        </is>
      </c>
      <c r="Q48" s="7" t="inlineStr">
        <is>
          <t>ga-diseno-a-codigo</t>
        </is>
      </c>
      <c r="R48" s="7" t="inlineStr"/>
    </row>
    <row r="49">
      <c r="A49" s="19" t="inlineStr">
        <is>
          <t>5.2</t>
        </is>
      </c>
      <c r="B49" s="4" t="inlineStr">
        <is>
          <t>5. Convenios y pulido</t>
        </is>
      </c>
      <c r="C49" s="7" t="inlineStr">
        <is>
          <t>Diseño responsive celular / tableta / PC</t>
        </is>
      </c>
      <c r="D49" s="5" t="n">
        <v>3</v>
      </c>
      <c r="E49" s="8">
        <f>D49</f>
        <v/>
      </c>
      <c r="F49" s="4" t="inlineStr">
        <is>
          <t>2.1, 2.2, 2.3, 3.4</t>
        </is>
      </c>
      <c r="G49" s="7" t="inlineStr">
        <is>
          <t>Sí</t>
        </is>
      </c>
      <c r="H49" s="7" t="inlineStr">
        <is>
          <t>5.1, 3.6</t>
        </is>
      </c>
      <c r="I49" s="18" t="inlineStr">
        <is>
          <t>A</t>
        </is>
      </c>
      <c r="J49" s="8" t="n">
        <v>30</v>
      </c>
      <c r="K49" s="8" t="n">
        <v>64</v>
      </c>
      <c r="L49" s="8">
        <f>K49+E49</f>
        <v/>
      </c>
      <c r="M49" s="8">
        <f>K49-J49</f>
        <v/>
      </c>
      <c r="N49" s="8">
        <f>"S"&amp;(INT(K49/Resumen!$C$5)+1)&amp;"–S"&amp;MAX(INT(K49/Resumen!$C$5)+1,ROUNDUP(L49/Resumen!$C$5,0))</f>
        <v/>
      </c>
      <c r="O49" s="8" t="inlineStr">
        <is>
          <t>Hecho</t>
        </is>
      </c>
      <c r="P49" s="8" t="inlineStr">
        <is>
          <t>Propuesta</t>
        </is>
      </c>
      <c r="Q49" s="7" t="inlineStr">
        <is>
          <t>ga-verificador-responsive</t>
        </is>
      </c>
      <c r="R49" s="7" t="inlineStr"/>
    </row>
    <row r="50">
      <c r="A50" s="19" t="inlineStr">
        <is>
          <t>5.3</t>
        </is>
      </c>
      <c r="B50" s="4" t="inlineStr">
        <is>
          <t>5. Convenios y pulido</t>
        </is>
      </c>
      <c r="C50" s="7" t="inlineStr">
        <is>
          <t>Cambiar datos de ejemplo por reales (config.ts, mock.ts, fotos, cifras)</t>
        </is>
      </c>
      <c r="D50" s="5" t="n">
        <v>2</v>
      </c>
      <c r="E50" s="8">
        <f>D50</f>
        <v/>
      </c>
      <c r="F50" s="4" t="inlineStr">
        <is>
          <t>5.2</t>
        </is>
      </c>
      <c r="G50" s="7" t="inlineStr">
        <is>
          <t>Sí</t>
        </is>
      </c>
      <c r="H50" s="7" t="inlineStr">
        <is>
          <t>6.42</t>
        </is>
      </c>
      <c r="I50" s="18" t="inlineStr">
        <is>
          <t>B</t>
        </is>
      </c>
      <c r="J50" s="8" t="n">
        <v>134</v>
      </c>
      <c r="K50" s="8" t="n">
        <v>139</v>
      </c>
      <c r="L50" s="8">
        <f>K50+E50</f>
        <v/>
      </c>
      <c r="M50" s="8">
        <f>K50-J50</f>
        <v/>
      </c>
      <c r="N50" s="8">
        <f>"S"&amp;(INT(K50/Resumen!$C$5)+1)&amp;"–S"&amp;MAX(INT(K50/Resumen!$C$5)+1,ROUNDUP(L50/Resumen!$C$5,0))</f>
        <v/>
      </c>
      <c r="O50" s="8" t="inlineStr">
        <is>
          <t>Bloqueado</t>
        </is>
      </c>
      <c r="P50" s="8" t="inlineStr">
        <is>
          <t>Propuesta</t>
        </is>
      </c>
      <c r="Q50" s="7" t="inlineStr">
        <is>
          <t>ga-diseno-a-codigo</t>
        </is>
      </c>
      <c r="R50" s="7" t="inlineStr">
        <is>
          <t>Falta de la cooperativa: fotos, cifras, testimonios y fotos de las sedes.</t>
        </is>
      </c>
    </row>
    <row r="51">
      <c r="A51" s="19" t="inlineStr">
        <is>
          <t>5.4</t>
        </is>
      </c>
      <c r="B51" s="4" t="inlineStr">
        <is>
          <t>5. Convenios y pulido</t>
        </is>
      </c>
      <c r="C51" s="7" t="inlineStr">
        <is>
          <t>Página de política de datos (/politica-de-datos)</t>
        </is>
      </c>
      <c r="D51" s="5" t="n">
        <v>1</v>
      </c>
      <c r="E51" s="8">
        <f>D51</f>
        <v/>
      </c>
      <c r="F51" s="4" t="inlineStr">
        <is>
          <t>5.2</t>
        </is>
      </c>
      <c r="G51" s="7" t="inlineStr">
        <is>
          <t>Sí</t>
        </is>
      </c>
      <c r="H51" s="7" t="inlineStr">
        <is>
          <t>5.5</t>
        </is>
      </c>
      <c r="I51" s="18" t="inlineStr">
        <is>
          <t>A</t>
        </is>
      </c>
      <c r="J51" s="8" t="n">
        <v>67</v>
      </c>
      <c r="K51" s="8" t="n">
        <v>79</v>
      </c>
      <c r="L51" s="8">
        <f>K51+E51</f>
        <v/>
      </c>
      <c r="M51" s="8">
        <f>K51-J51</f>
        <v/>
      </c>
      <c r="N51" s="8">
        <f>"S"&amp;(INT(K51/Resumen!$C$5)+1)&amp;"–S"&amp;MAX(INT(K51/Resumen!$C$5)+1,ROUNDUP(L51/Resumen!$C$5,0))</f>
        <v/>
      </c>
      <c r="O51" s="8" t="inlineStr">
        <is>
          <t>Hecho</t>
        </is>
      </c>
      <c r="P51" s="8" t="inlineStr">
        <is>
          <t>Agregado</t>
        </is>
      </c>
      <c r="Q51" s="7" t="inlineStr">
        <is>
          <t>ga-diseno-a-codigo</t>
        </is>
      </c>
      <c r="R51" s="7" t="inlineStr"/>
    </row>
    <row r="52">
      <c r="A52" s="19" t="inlineStr">
        <is>
          <t>5.5</t>
        </is>
      </c>
      <c r="B52" s="4" t="inlineStr">
        <is>
          <t>5. Convenios y pulido</t>
        </is>
      </c>
      <c r="C52" s="7" t="inlineStr">
        <is>
          <t>Borrar las rutas viejas /login y /dashboard</t>
        </is>
      </c>
      <c r="D52" s="5" t="n">
        <v>1</v>
      </c>
      <c r="E52" s="8">
        <f>D52</f>
        <v/>
      </c>
      <c r="F52" s="4" t="inlineStr">
        <is>
          <t>3.7, 2.7</t>
        </is>
      </c>
      <c r="G52" s="7" t="inlineStr">
        <is>
          <t>Sí</t>
        </is>
      </c>
      <c r="H52" s="7" t="inlineStr">
        <is>
          <t>5.4</t>
        </is>
      </c>
      <c r="I52" s="18" t="inlineStr">
        <is>
          <t>B</t>
        </is>
      </c>
      <c r="J52" s="8" t="n">
        <v>62</v>
      </c>
      <c r="K52" s="8" t="n">
        <v>79</v>
      </c>
      <c r="L52" s="8">
        <f>K52+E52</f>
        <v/>
      </c>
      <c r="M52" s="8">
        <f>K52-J52</f>
        <v/>
      </c>
      <c r="N52" s="8">
        <f>"S"&amp;(INT(K52/Resumen!$C$5)+1)&amp;"–S"&amp;MAX(INT(K52/Resumen!$C$5)+1,ROUNDUP(L52/Resumen!$C$5,0))</f>
        <v/>
      </c>
      <c r="O52" s="8" t="inlineStr">
        <is>
          <t>Hecho</t>
        </is>
      </c>
      <c r="P52" s="8" t="inlineStr">
        <is>
          <t>Agregado</t>
        </is>
      </c>
      <c r="Q52" s="7" t="inlineStr">
        <is>
          <t>ga-funcionalidad-botones</t>
        </is>
      </c>
      <c r="R52" s="7" t="inlineStr"/>
    </row>
    <row r="53">
      <c r="A53" s="19" t="inlineStr">
        <is>
          <t>5.6</t>
        </is>
      </c>
      <c r="B53" s="4" t="inlineStr">
        <is>
          <t>5. Convenios y pulido</t>
        </is>
      </c>
      <c r="C53" s="7" t="inlineStr">
        <is>
          <t>Revisar el diseño de /cuenta/solicitar (pantalla sin maqueta; selector 50/100 ahora son radios)</t>
        </is>
      </c>
      <c r="D53" s="5" t="n">
        <v>1</v>
      </c>
      <c r="E53" s="8">
        <f>D53</f>
        <v/>
      </c>
      <c r="F53" s="4" t="inlineStr">
        <is>
          <t>3.7</t>
        </is>
      </c>
      <c r="G53" s="7" t="inlineStr">
        <is>
          <t>Sí</t>
        </is>
      </c>
      <c r="H53" s="7" t="inlineStr">
        <is>
          <t>4.20</t>
        </is>
      </c>
      <c r="I53" s="18" t="inlineStr">
        <is>
          <t>B</t>
        </is>
      </c>
      <c r="J53" s="8" t="n">
        <v>62</v>
      </c>
      <c r="K53" s="8" t="n">
        <v>62</v>
      </c>
      <c r="L53" s="8">
        <f>K53+E53</f>
        <v/>
      </c>
      <c r="M53" s="8">
        <f>K53-J53</f>
        <v/>
      </c>
      <c r="N53" s="8">
        <f>"S"&amp;(INT(K53/Resumen!$C$5)+1)&amp;"–S"&amp;MAX(INT(K53/Resumen!$C$5)+1,ROUNDUP(L53/Resumen!$C$5,0))</f>
        <v/>
      </c>
      <c r="O53" s="8" t="inlineStr">
        <is>
          <t>Hecho</t>
        </is>
      </c>
      <c r="P53" s="8" t="inlineStr">
        <is>
          <t>Agregado</t>
        </is>
      </c>
      <c r="Q53" s="7" t="inlineStr">
        <is>
          <t>ga-diseno-a-codigo</t>
        </is>
      </c>
      <c r="R53" s="7" t="inlineStr"/>
    </row>
    <row r="54">
      <c r="A54" s="19" t="inlineStr">
        <is>
          <t>5.7</t>
        </is>
      </c>
      <c r="B54" s="4" t="inlineStr">
        <is>
          <t>5. Convenios y pulido</t>
        </is>
      </c>
      <c r="C54" s="7" t="inlineStr">
        <is>
          <t>Logo horizontal con las letras oficiales (SVG) y espacios de foto de marca en la landing (EspacioFoto)</t>
        </is>
      </c>
      <c r="D54" s="5" t="n">
        <v>2</v>
      </c>
      <c r="E54" s="8">
        <f>D54</f>
        <v/>
      </c>
      <c r="F54" s="4" t="inlineStr">
        <is>
          <t>2.1</t>
        </is>
      </c>
      <c r="G54" s="7" t="inlineStr">
        <is>
          <t>Sí</t>
        </is>
      </c>
      <c r="H54" s="7" t="inlineStr">
        <is>
          <t>6.33, 6.32</t>
        </is>
      </c>
      <c r="I54" s="18" t="inlineStr">
        <is>
          <t>B</t>
        </is>
      </c>
      <c r="J54" s="8" t="n">
        <v>9</v>
      </c>
      <c r="K54" s="8" t="n">
        <v>98</v>
      </c>
      <c r="L54" s="8">
        <f>K54+E54</f>
        <v/>
      </c>
      <c r="M54" s="8">
        <f>K54-J54</f>
        <v/>
      </c>
      <c r="N54" s="8">
        <f>"S"&amp;(INT(K54/Resumen!$C$5)+1)&amp;"–S"&amp;MAX(INT(K54/Resumen!$C$5)+1,ROUNDUP(L54/Resumen!$C$5,0))</f>
        <v/>
      </c>
      <c r="O54" s="8" t="inlineStr">
        <is>
          <t>Hecho</t>
        </is>
      </c>
      <c r="P54" s="8" t="inlineStr">
        <is>
          <t>Agregado</t>
        </is>
      </c>
      <c r="Q54" s="7" t="inlineStr">
        <is>
          <t>ga-diseno-a-codigo</t>
        </is>
      </c>
      <c r="R54" s="7" t="inlineStr"/>
    </row>
    <row r="55">
      <c r="A55" s="19" t="inlineStr">
        <is>
          <t>5.8</t>
        </is>
      </c>
      <c r="B55" s="4" t="inlineStr">
        <is>
          <t>5. Convenios y pulido</t>
        </is>
      </c>
      <c r="C55" s="7" t="inlineStr">
        <is>
          <t>Corregir scroll horizontal: headers con logo (320 px) y formulario de /ingresar y /ingresar/codigo (1024–1075 px)</t>
        </is>
      </c>
      <c r="D55" s="5" t="n">
        <v>1</v>
      </c>
      <c r="E55" s="8">
        <f>D55</f>
        <v/>
      </c>
      <c r="F55" s="4" t="inlineStr">
        <is>
          <t>5.2, 5.7</t>
        </is>
      </c>
      <c r="G55" s="7" t="inlineStr">
        <is>
          <t>Sí</t>
        </is>
      </c>
      <c r="H55" s="7" t="inlineStr">
        <is>
          <t>4.25</t>
        </is>
      </c>
      <c r="I55" s="18" t="inlineStr">
        <is>
          <t>A</t>
        </is>
      </c>
      <c r="J55" s="8" t="n">
        <v>100</v>
      </c>
      <c r="K55" s="8" t="n">
        <v>103</v>
      </c>
      <c r="L55" s="8">
        <f>K55+E55</f>
        <v/>
      </c>
      <c r="M55" s="8">
        <f>K55-J55</f>
        <v/>
      </c>
      <c r="N55" s="8">
        <f>"S"&amp;(INT(K55/Resumen!$C$5)+1)&amp;"–S"&amp;MAX(INT(K55/Resumen!$C$5)+1,ROUNDUP(L55/Resumen!$C$5,0))</f>
        <v/>
      </c>
      <c r="O55" s="8" t="inlineStr">
        <is>
          <t>Hecho</t>
        </is>
      </c>
      <c r="P55" s="8" t="inlineStr">
        <is>
          <t>Agregado</t>
        </is>
      </c>
      <c r="Q55" s="7" t="inlineStr">
        <is>
          <t>ga-diseno-a-codigo + ga-verificador-responsive</t>
        </is>
      </c>
      <c r="R55" s="7" t="inlineStr"/>
    </row>
    <row r="56">
      <c r="A56" s="19" t="inlineStr">
        <is>
          <t>5.9</t>
        </is>
      </c>
      <c r="B56" s="4" t="inlineStr">
        <is>
          <t>5. Convenios y pulido</t>
        </is>
      </c>
      <c r="C56" s="7" t="inlineStr">
        <is>
          <t>Convenios administrables desde /admin (crear, editar, ocultar y ordenar, logo en Storage); landing y /cuenta leen de la tabla convenios</t>
        </is>
      </c>
      <c r="D56" s="5" t="n">
        <v>3</v>
      </c>
      <c r="E56" s="8">
        <f>D56</f>
        <v/>
      </c>
      <c r="F56" s="4" t="inlineStr">
        <is>
          <t>4.1, 5.1</t>
        </is>
      </c>
      <c r="G56" s="7" t="inlineStr">
        <is>
          <t>Sí</t>
        </is>
      </c>
      <c r="H56" s="7" t="inlineStr">
        <is>
          <t>5.15</t>
        </is>
      </c>
      <c r="I56" s="18" t="inlineStr">
        <is>
          <t>B</t>
        </is>
      </c>
      <c r="J56" s="8" t="n">
        <v>65</v>
      </c>
      <c r="K56" s="8" t="n">
        <v>80</v>
      </c>
      <c r="L56" s="8">
        <f>K56+E56</f>
        <v/>
      </c>
      <c r="M56" s="8">
        <f>K56-J56</f>
        <v/>
      </c>
      <c r="N56" s="8">
        <f>"S"&amp;(INT(K56/Resumen!$C$5)+1)&amp;"–S"&amp;MAX(INT(K56/Resumen!$C$5)+1,ROUNDUP(L56/Resumen!$C$5,0))</f>
        <v/>
      </c>
      <c r="O56" s="8" t="inlineStr">
        <is>
          <t>Hecho</t>
        </is>
      </c>
      <c r="P56" s="8" t="inlineStr">
        <is>
          <t>Agregado</t>
        </is>
      </c>
      <c r="Q56" s="7" t="inlineStr">
        <is>
          <t>ga-funcionalidad-botones + ga-auditor-supabase</t>
        </is>
      </c>
      <c r="R56" s="7" t="inlineStr"/>
    </row>
    <row r="57">
      <c r="A57" s="19" t="inlineStr">
        <is>
          <t>5.10</t>
        </is>
      </c>
      <c r="B57" s="4" t="inlineStr">
        <is>
          <t>5. Convenios y pulido</t>
        </is>
      </c>
      <c r="C57" s="7" t="inlineStr">
        <is>
          <t>Ley 1581: borrado automático de fotos de afiliaciones rechazadas tras X días (pg_cron o cron de Vercel) y motivo de rechazo en /admin (columna y campo)</t>
        </is>
      </c>
      <c r="D57" s="5" t="n">
        <v>2</v>
      </c>
      <c r="E57" s="8">
        <f>D57</f>
        <v/>
      </c>
      <c r="F57" s="4" t="inlineStr">
        <is>
          <t>2.12, 4.1</t>
        </is>
      </c>
      <c r="G57" s="7" t="inlineStr">
        <is>
          <t>Sí</t>
        </is>
      </c>
      <c r="H57" s="7" t="inlineStr">
        <is>
          <t>4.21</t>
        </is>
      </c>
      <c r="I57" s="18" t="inlineStr">
        <is>
          <t>B</t>
        </is>
      </c>
      <c r="J57" s="8" t="n">
        <v>54</v>
      </c>
      <c r="K57" s="8" t="n">
        <v>124</v>
      </c>
      <c r="L57" s="8">
        <f>K57+E57</f>
        <v/>
      </c>
      <c r="M57" s="8">
        <f>K57-J57</f>
        <v/>
      </c>
      <c r="N57" s="8">
        <f>"S"&amp;(INT(K57/Resumen!$C$5)+1)&amp;"–S"&amp;MAX(INT(K57/Resumen!$C$5)+1,ROUNDUP(L57/Resumen!$C$5,0))</f>
        <v/>
      </c>
      <c r="O57" s="8" t="inlineStr">
        <is>
          <t>Hecho</t>
        </is>
      </c>
      <c r="P57" s="8" t="inlineStr">
        <is>
          <t>Agregado</t>
        </is>
      </c>
      <c r="Q57" s="7" t="inlineStr">
        <is>
          <t>ga-funcionalidad-botones + ga-auditor-supabase (antes Carlos Pardo)</t>
        </is>
      </c>
      <c r="R57" s="7" t="inlineStr"/>
    </row>
    <row r="58">
      <c r="A58" s="19" t="inlineStr">
        <is>
          <t>6.1</t>
        </is>
      </c>
      <c r="B58" s="4" t="inlineStr">
        <is>
          <t>6. Pruebas y lanzamiento</t>
        </is>
      </c>
      <c r="C58" s="7" t="inlineStr">
        <is>
          <t>Pruebas de las nuevas Server Actions (login, afiliación, crédito, admin)</t>
        </is>
      </c>
      <c r="D58" s="5" t="n">
        <v>3</v>
      </c>
      <c r="E58" s="8">
        <f>D58</f>
        <v/>
      </c>
      <c r="F58" s="4" t="inlineStr">
        <is>
          <t>2.10, 3.6, 4.3, 4.5</t>
        </is>
      </c>
      <c r="G58" s="7" t="inlineStr">
        <is>
          <t>Sí</t>
        </is>
      </c>
      <c r="H58" s="7" t="inlineStr">
        <is>
          <t>5.12, 4.23</t>
        </is>
      </c>
      <c r="I58" s="18" t="inlineStr">
        <is>
          <t>B</t>
        </is>
      </c>
      <c r="J58" s="8" t="n">
        <v>67</v>
      </c>
      <c r="K58" s="8" t="n">
        <v>72</v>
      </c>
      <c r="L58" s="8">
        <f>K58+E58</f>
        <v/>
      </c>
      <c r="M58" s="8">
        <f>K58-J58</f>
        <v/>
      </c>
      <c r="N58" s="8">
        <f>"S"&amp;(INT(K58/Resumen!$C$5)+1)&amp;"–S"&amp;MAX(INT(K58/Resumen!$C$5)+1,ROUNDUP(L58/Resumen!$C$5,0))</f>
        <v/>
      </c>
      <c r="O58" s="8" t="inlineStr">
        <is>
          <t>Hecho</t>
        </is>
      </c>
      <c r="P58" s="8" t="inlineStr">
        <is>
          <t>Propuesta</t>
        </is>
      </c>
      <c r="Q58" s="7" t="inlineStr">
        <is>
          <t>ga-escritor-tests</t>
        </is>
      </c>
      <c r="R58" s="7" t="inlineStr"/>
    </row>
    <row r="59">
      <c r="A59" s="19" t="inlineStr">
        <is>
          <t>6.2</t>
        </is>
      </c>
      <c r="B59" s="4" t="inlineStr">
        <is>
          <t>6. Pruebas y lanzamiento</t>
        </is>
      </c>
      <c r="C59" s="7" t="inlineStr">
        <is>
          <t>Revisión de seguridad completa</t>
        </is>
      </c>
      <c r="D59" s="5" t="n">
        <v>2</v>
      </c>
      <c r="E59" s="8">
        <f>D59</f>
        <v/>
      </c>
      <c r="F59" s="7" t="inlineStr">
        <is>
          <t>2.10, 3.6, 4.3, 4.5, 2.12, 3.9, 4.6</t>
        </is>
      </c>
      <c r="G59" s="7" t="inlineStr">
        <is>
          <t>Sí</t>
        </is>
      </c>
      <c r="H59" s="7" t="inlineStr">
        <is>
          <t>5.16, 6.15</t>
        </is>
      </c>
      <c r="I59" s="18" t="inlineStr">
        <is>
          <t>A</t>
        </is>
      </c>
      <c r="J59" s="8" t="n">
        <v>71</v>
      </c>
      <c r="K59" s="8" t="n">
        <v>101</v>
      </c>
      <c r="L59" s="8">
        <f>K59+E59</f>
        <v/>
      </c>
      <c r="M59" s="8">
        <f>K59-J59</f>
        <v/>
      </c>
      <c r="N59" s="8">
        <f>"S"&amp;(INT(K59/Resumen!$C$5)+1)&amp;"–S"&amp;MAX(INT(K59/Resumen!$C$5)+1,ROUNDUP(L59/Resumen!$C$5,0))</f>
        <v/>
      </c>
      <c r="O59" s="8" t="inlineStr">
        <is>
          <t>Hecho</t>
        </is>
      </c>
      <c r="P59" s="8" t="inlineStr">
        <is>
          <t>Propuesta</t>
        </is>
      </c>
      <c r="Q59" s="7" t="inlineStr">
        <is>
          <t>ga-revisor-seguridad</t>
        </is>
      </c>
      <c r="R59" s="7" t="inlineStr"/>
    </row>
    <row r="60">
      <c r="A60" s="19" t="inlineStr">
        <is>
          <t>6.3</t>
        </is>
      </c>
      <c r="B60" s="4" t="inlineStr">
        <is>
          <t>6. Pruebas y lanzamiento</t>
        </is>
      </c>
      <c r="C60" s="7" t="inlineStr">
        <is>
          <t>QA de punta a punta y verificación responsive</t>
        </is>
      </c>
      <c r="D60" s="5" t="n">
        <v>3</v>
      </c>
      <c r="E60" s="8">
        <f>D60</f>
        <v/>
      </c>
      <c r="F60" s="7" t="inlineStr">
        <is>
          <t>6.1, 5.5, 2.8, 5.4, 2.11, 5.6, 1.6, 2.12, 3.9, 4.6</t>
        </is>
      </c>
      <c r="G60" s="7" t="inlineStr">
        <is>
          <t>Sí</t>
        </is>
      </c>
      <c r="H60" s="7" t="inlineStr">
        <is>
          <t>4.4, 6.26</t>
        </is>
      </c>
      <c r="I60" s="18" t="inlineStr">
        <is>
          <t>A</t>
        </is>
      </c>
      <c r="J60" s="8" t="n">
        <v>85</v>
      </c>
      <c r="K60" s="8" t="n">
        <v>93</v>
      </c>
      <c r="L60" s="8">
        <f>K60+E60</f>
        <v/>
      </c>
      <c r="M60" s="8">
        <f>K60-J60</f>
        <v/>
      </c>
      <c r="N60" s="8">
        <f>"S"&amp;(INT(K60/Resumen!$C$5)+1)&amp;"–S"&amp;MAX(INT(K60/Resumen!$C$5)+1,ROUNDUP(L60/Resumen!$C$5,0))</f>
        <v/>
      </c>
      <c r="O60" s="8" t="inlineStr">
        <is>
          <t>Hecho</t>
        </is>
      </c>
      <c r="P60" s="8" t="inlineStr">
        <is>
          <t>Propuesta</t>
        </is>
      </c>
      <c r="Q60" s="7" t="inlineStr">
        <is>
          <t>ga-verificador-qa + ga-verificador-responsive</t>
        </is>
      </c>
      <c r="R60" s="7" t="inlineStr"/>
    </row>
    <row r="61">
      <c r="A61" s="19" t="inlineStr">
        <is>
          <t>6.4</t>
        </is>
      </c>
      <c r="B61" s="4" t="inlineStr">
        <is>
          <t>6. Pruebas y lanzamiento</t>
        </is>
      </c>
      <c r="C61" s="7" t="inlineStr">
        <is>
          <t>Registrar dominio (5 años) y protección de dominio</t>
        </is>
      </c>
      <c r="D61" s="5" t="n">
        <v>1</v>
      </c>
      <c r="E61" s="8">
        <f>D61</f>
        <v/>
      </c>
      <c r="F61" s="4" t="inlineStr">
        <is>
          <t>—</t>
        </is>
      </c>
      <c r="G61" s="7" t="inlineStr">
        <is>
          <t>Sí</t>
        </is>
      </c>
      <c r="H61" s="7" t="inlineStr">
        <is>
          <t>3.4</t>
        </is>
      </c>
      <c r="I61" s="18" t="inlineStr">
        <is>
          <t>A</t>
        </is>
      </c>
      <c r="J61" s="8" t="n">
        <v>0</v>
      </c>
      <c r="K61" s="8" t="n">
        <v>29</v>
      </c>
      <c r="L61" s="8">
        <f>K61+E61</f>
        <v/>
      </c>
      <c r="M61" s="8">
        <f>K61-J61</f>
        <v/>
      </c>
      <c r="N61" s="8">
        <f>"S"&amp;(INT(K61/Resumen!$C$5)+1)&amp;"–S"&amp;MAX(INT(K61/Resumen!$C$5)+1,ROUNDUP(L61/Resumen!$C$5,0))</f>
        <v/>
      </c>
      <c r="O61" s="8" t="inlineStr">
        <is>
          <t>Hecho</t>
        </is>
      </c>
      <c r="P61" s="8" t="inlineStr">
        <is>
          <t>Propuesta</t>
        </is>
      </c>
      <c r="Q61" s="7" t="inlineStr">
        <is>
          <t>Yo + cooperativa</t>
        </is>
      </c>
      <c r="R61" s="7" t="inlineStr"/>
    </row>
    <row r="62">
      <c r="A62" s="19" t="inlineStr">
        <is>
          <t>6.5</t>
        </is>
      </c>
      <c r="B62" s="4" t="inlineStr">
        <is>
          <t>6. Pruebas y lanzamiento</t>
        </is>
      </c>
      <c r="C62" s="7" t="inlineStr">
        <is>
          <t>Subir a GitHub y desplegar en Vercel (producción)</t>
        </is>
      </c>
      <c r="D62" s="5" t="n">
        <v>2</v>
      </c>
      <c r="E62" s="8">
        <f>D62</f>
        <v/>
      </c>
      <c r="F62" s="7" t="inlineStr">
        <is>
          <t>6.2, 6.3, 6.4, 2.4, 6.8, 6.9, 6.10, 6.13</t>
        </is>
      </c>
      <c r="G62" s="7" t="inlineStr">
        <is>
          <t>No (usa las 2 filas)</t>
        </is>
      </c>
      <c r="H62" s="7" t="inlineStr">
        <is>
          <t>—</t>
        </is>
      </c>
      <c r="I62" s="18" t="inlineStr">
        <is>
          <t>A+B</t>
        </is>
      </c>
      <c r="J62" s="8" t="n">
        <v>107</v>
      </c>
      <c r="K62" s="8" t="n">
        <v>111</v>
      </c>
      <c r="L62" s="8">
        <f>K62+E62</f>
        <v/>
      </c>
      <c r="M62" s="8">
        <f>K62-J62</f>
        <v/>
      </c>
      <c r="N62" s="8">
        <f>"S"&amp;(INT(K62/Resumen!$C$5)+1)&amp;"–S"&amp;MAX(INT(K62/Resumen!$C$5)+1,ROUNDUP(L62/Resumen!$C$5,0))</f>
        <v/>
      </c>
      <c r="O62" s="8" t="inlineStr">
        <is>
          <t>Hecho</t>
        </is>
      </c>
      <c r="P62" s="8" t="inlineStr">
        <is>
          <t>Propuesta</t>
        </is>
      </c>
      <c r="Q62" s="7" t="inlineStr">
        <is>
          <t>Yo</t>
        </is>
      </c>
      <c r="R62" s="7" t="inlineStr"/>
    </row>
    <row r="63">
      <c r="A63" s="19" t="inlineStr">
        <is>
          <t>6.6</t>
        </is>
      </c>
      <c r="B63" s="4" t="inlineStr">
        <is>
          <t>6. Pruebas y lanzamiento</t>
        </is>
      </c>
      <c r="C63" s="7" t="inlineStr">
        <is>
          <t>Pruebas con usuarios reales y corrección de errores</t>
        </is>
      </c>
      <c r="D63" s="5" t="n">
        <v>3</v>
      </c>
      <c r="E63" s="8">
        <f>D63</f>
        <v/>
      </c>
      <c r="F63" s="4" t="inlineStr">
        <is>
          <t>6.5, 4.4</t>
        </is>
      </c>
      <c r="G63" s="7" t="inlineStr">
        <is>
          <t>Sí</t>
        </is>
      </c>
      <c r="H63" s="7" t="inlineStr">
        <is>
          <t>6.14, 4.27</t>
        </is>
      </c>
      <c r="I63" s="18" t="inlineStr">
        <is>
          <t>A</t>
        </is>
      </c>
      <c r="J63" s="8" t="n">
        <v>134</v>
      </c>
      <c r="K63" s="8" t="n">
        <v>135</v>
      </c>
      <c r="L63" s="8">
        <f>K63+E63</f>
        <v/>
      </c>
      <c r="M63" s="8">
        <f>K63-J63</f>
        <v/>
      </c>
      <c r="N63" s="8">
        <f>"S"&amp;(INT(K63/Resumen!$C$5)+1)&amp;"–S"&amp;MAX(INT(K63/Resumen!$C$5)+1,ROUNDUP(L63/Resumen!$C$5,0))</f>
        <v/>
      </c>
      <c r="O63" s="8" t="inlineStr">
        <is>
          <t>En curso</t>
        </is>
      </c>
      <c r="P63" s="8" t="inlineStr">
        <is>
          <t>Propuesta</t>
        </is>
      </c>
      <c r="Q63" s="7" t="inlineStr">
        <is>
          <t>Yo + cooperativa</t>
        </is>
      </c>
      <c r="R63" s="7" t="inlineStr"/>
    </row>
    <row r="64">
      <c r="A64" s="19" t="inlineStr">
        <is>
          <t>6.7</t>
        </is>
      </c>
      <c r="B64" s="4" t="inlineStr">
        <is>
          <t>6. Pruebas y lanzamiento</t>
        </is>
      </c>
      <c r="C64" s="7" t="inlineStr">
        <is>
          <t>Capacitación al equipo de la cooperativa</t>
        </is>
      </c>
      <c r="D64" s="5" t="n">
        <v>1</v>
      </c>
      <c r="E64" s="8">
        <f>D64</f>
        <v/>
      </c>
      <c r="F64" s="4" t="inlineStr">
        <is>
          <t>6.5</t>
        </is>
      </c>
      <c r="G64" s="7" t="inlineStr">
        <is>
          <t>Sí</t>
        </is>
      </c>
      <c r="H64" s="7" t="inlineStr">
        <is>
          <t>4.26</t>
        </is>
      </c>
      <c r="I64" s="18" t="inlineStr">
        <is>
          <t>B</t>
        </is>
      </c>
      <c r="J64" s="8" t="n">
        <v>134</v>
      </c>
      <c r="K64" s="8" t="n">
        <v>134</v>
      </c>
      <c r="L64" s="8">
        <f>K64+E64</f>
        <v/>
      </c>
      <c r="M64" s="8">
        <f>K64-J64</f>
        <v/>
      </c>
      <c r="N64" s="8">
        <f>"S"&amp;(INT(K64/Resumen!$C$5)+1)&amp;"–S"&amp;MAX(INT(K64/Resumen!$C$5)+1,ROUNDUP(L64/Resumen!$C$5,0))</f>
        <v/>
      </c>
      <c r="O64" s="8" t="inlineStr">
        <is>
          <t>En curso</t>
        </is>
      </c>
      <c r="P64" s="8" t="inlineStr">
        <is>
          <t>Propuesta</t>
        </is>
      </c>
      <c r="Q64" s="7" t="inlineStr">
        <is>
          <t>Yo</t>
        </is>
      </c>
      <c r="R64" s="7" t="inlineStr"/>
    </row>
    <row r="65">
      <c r="A65" s="19" t="inlineStr">
        <is>
          <t>6.8</t>
        </is>
      </c>
      <c r="B65" s="4" t="inlineStr">
        <is>
          <t>6. Pruebas y lanzamiento</t>
        </is>
      </c>
      <c r="C65" s="7" t="inlineStr">
        <is>
          <t>Revisar y aplicar en producción la migración 20260923210000_limite_de_intentos.sql (ga-auditor-supabase revisa antes)</t>
        </is>
      </c>
      <c r="D65" s="5" t="n">
        <v>1</v>
      </c>
      <c r="E65" s="8">
        <f>D65</f>
        <v/>
      </c>
      <c r="F65" s="4" t="inlineStr">
        <is>
          <t>2.5, 2.9</t>
        </is>
      </c>
      <c r="G65" s="7" t="inlineStr">
        <is>
          <t>Sí</t>
        </is>
      </c>
      <c r="H65" s="7" t="inlineStr">
        <is>
          <t>4.18</t>
        </is>
      </c>
      <c r="I65" s="18" t="inlineStr">
        <is>
          <t>A</t>
        </is>
      </c>
      <c r="J65" s="8" t="n">
        <v>43</v>
      </c>
      <c r="K65" s="8" t="n">
        <v>89</v>
      </c>
      <c r="L65" s="8">
        <f>K65+E65</f>
        <v/>
      </c>
      <c r="M65" s="8">
        <f>K65-J65</f>
        <v/>
      </c>
      <c r="N65" s="8">
        <f>"S"&amp;(INT(K65/Resumen!$C$5)+1)&amp;"–S"&amp;MAX(INT(K65/Resumen!$C$5)+1,ROUNDUP(L65/Resumen!$C$5,0))</f>
        <v/>
      </c>
      <c r="O65" s="8" t="inlineStr">
        <is>
          <t>Hecho</t>
        </is>
      </c>
      <c r="P65" s="8" t="inlineStr">
        <is>
          <t>Agregado</t>
        </is>
      </c>
      <c r="Q65" s="7" t="inlineStr">
        <is>
          <t>Yo + ga-auditor-supabase</t>
        </is>
      </c>
      <c r="R65" s="7" t="inlineStr"/>
    </row>
    <row r="66">
      <c r="A66" s="19" t="inlineStr">
        <is>
          <t>6.9</t>
        </is>
      </c>
      <c r="B66" s="4" t="inlineStr">
        <is>
          <t>6. Pruebas y lanzamiento</t>
        </is>
      </c>
      <c r="C66" s="7" t="inlineStr">
        <is>
          <t>Variables en Vercel (SUPABASE_SERVICE_ROLE_KEY, INGRESO_COOKIE_SECRET, LIMITE_HMAC_SECRET, RESEND_API_KEY, EMAIL_FROM, SITIO_URL, RESEND_TEMPLATE_INGRESO_ACEPTADO, RESEND_TEMPLATE_CREDITO_APROBADO, RESEND_TEMPLATE_CREDITO_RECHAZADO, RESEND_TEMPLATE_SORTEO_BOLETA, NEXT_PUBLIC_WHATSAPP)</t>
        </is>
      </c>
      <c r="D66" s="5" t="n">
        <v>1</v>
      </c>
      <c r="E66" s="8">
        <f>D66</f>
        <v/>
      </c>
      <c r="F66" s="4" t="inlineStr">
        <is>
          <t>2.5, 2.9, 6.11</t>
        </is>
      </c>
      <c r="G66" s="7" t="inlineStr">
        <is>
          <t>Sí</t>
        </is>
      </c>
      <c r="H66" s="7" t="inlineStr">
        <is>
          <t>6.34</t>
        </is>
      </c>
      <c r="I66" s="18" t="inlineStr">
        <is>
          <t>A</t>
        </is>
      </c>
      <c r="J66" s="8" t="n">
        <v>55</v>
      </c>
      <c r="K66" s="8" t="n">
        <v>83</v>
      </c>
      <c r="L66" s="8">
        <f>K66+E66</f>
        <v/>
      </c>
      <c r="M66" s="8">
        <f>K66-J66</f>
        <v/>
      </c>
      <c r="N66" s="8">
        <f>"S"&amp;(INT(K66/Resumen!$C$5)+1)&amp;"–S"&amp;MAX(INT(K66/Resumen!$C$5)+1,ROUNDUP(L66/Resumen!$C$5,0))</f>
        <v/>
      </c>
      <c r="O66" s="8" t="inlineStr">
        <is>
          <t>Hecho</t>
        </is>
      </c>
      <c r="P66" s="8" t="inlineStr">
        <is>
          <t>Agregado</t>
        </is>
      </c>
      <c r="Q66" s="7" t="inlineStr">
        <is>
          <t>Yo (panel Vercel)</t>
        </is>
      </c>
      <c r="R66" s="7" t="inlineStr"/>
    </row>
    <row r="67">
      <c r="A67" s="19" t="inlineStr">
        <is>
          <t>6.10</t>
        </is>
      </c>
      <c r="B67" s="4" t="inlineStr">
        <is>
          <t>6. Pruebas y lanzamiento</t>
        </is>
      </c>
      <c r="C67" s="7" t="inlineStr">
        <is>
          <t>Revisar y aplicar en producción la migración blindar_solicitudes_y_revisiones (tasa_interes_mensual); ga-auditor-supabase revisa antes</t>
        </is>
      </c>
      <c r="D67" s="5" t="n">
        <v>1</v>
      </c>
      <c r="E67" s="8">
        <f>D67</f>
        <v/>
      </c>
      <c r="F67" s="4" t="inlineStr">
        <is>
          <t>3.1</t>
        </is>
      </c>
      <c r="G67" s="7" t="inlineStr">
        <is>
          <t>Sí</t>
        </is>
      </c>
      <c r="H67" s="7" t="inlineStr">
        <is>
          <t>4.15</t>
        </is>
      </c>
      <c r="I67" s="18" t="inlineStr">
        <is>
          <t>B</t>
        </is>
      </c>
      <c r="J67" s="8" t="n">
        <v>13</v>
      </c>
      <c r="K67" s="8" t="n">
        <v>106</v>
      </c>
      <c r="L67" s="8">
        <f>K67+E67</f>
        <v/>
      </c>
      <c r="M67" s="8">
        <f>K67-J67</f>
        <v/>
      </c>
      <c r="N67" s="8">
        <f>"S"&amp;(INT(K67/Resumen!$C$5)+1)&amp;"–S"&amp;MAX(INT(K67/Resumen!$C$5)+1,ROUNDUP(L67/Resumen!$C$5,0))</f>
        <v/>
      </c>
      <c r="O67" s="8" t="inlineStr">
        <is>
          <t>Hecho</t>
        </is>
      </c>
      <c r="P67" s="8" t="inlineStr">
        <is>
          <t>Agregado</t>
        </is>
      </c>
      <c r="Q67" s="7" t="inlineStr">
        <is>
          <t>Yo + ga-auditor-supabase</t>
        </is>
      </c>
      <c r="R67" s="7" t="inlineStr"/>
    </row>
    <row r="68">
      <c r="A68" s="19" t="inlineStr">
        <is>
          <t>6.11</t>
        </is>
      </c>
      <c r="B68" s="4" t="inlineStr">
        <is>
          <t>6. Pruebas y lanzamiento</t>
        </is>
      </c>
      <c r="C68" s="7" t="inlineStr">
        <is>
          <t>Clave del límite de intentos con HMAC-SHA256 y LIMITE_HMAC_SECRET (M-2 de la auditoría de P-43)</t>
        </is>
      </c>
      <c r="D68" s="5" t="n">
        <v>1</v>
      </c>
      <c r="E68" s="8">
        <f>D68</f>
        <v/>
      </c>
      <c r="F68" s="4" t="inlineStr">
        <is>
          <t>2.5, 2.9</t>
        </is>
      </c>
      <c r="G68" s="7" t="inlineStr">
        <is>
          <t>Sí</t>
        </is>
      </c>
      <c r="H68" s="7" t="inlineStr">
        <is>
          <t>2.10</t>
        </is>
      </c>
      <c r="I68" s="18" t="inlineStr">
        <is>
          <t>B</t>
        </is>
      </c>
      <c r="J68" s="8" t="n">
        <v>43</v>
      </c>
      <c r="K68" s="8" t="n">
        <v>54</v>
      </c>
      <c r="L68" s="8">
        <f>K68+E68</f>
        <v/>
      </c>
      <c r="M68" s="8">
        <f>K68-J68</f>
        <v/>
      </c>
      <c r="N68" s="8">
        <f>"S"&amp;(INT(K68/Resumen!$C$5)+1)&amp;"–S"&amp;MAX(INT(K68/Resumen!$C$5)+1,ROUNDUP(L68/Resumen!$C$5,0))</f>
        <v/>
      </c>
      <c r="O68" s="8" t="inlineStr">
        <is>
          <t>Hecho</t>
        </is>
      </c>
      <c r="P68" s="8" t="inlineStr">
        <is>
          <t>Agregado</t>
        </is>
      </c>
      <c r="Q68" s="7" t="inlineStr">
        <is>
          <t>ga-funcionalidad-botones</t>
        </is>
      </c>
      <c r="R68" s="7" t="inlineStr"/>
    </row>
    <row r="69">
      <c r="A69" s="19" t="inlineStr">
        <is>
          <t>6.12</t>
        </is>
      </c>
      <c r="B69" s="4" t="inlineStr">
        <is>
          <t>6. Pruebas y lanzamiento</t>
        </is>
      </c>
      <c r="C69" s="7" t="inlineStr">
        <is>
          <t>Alerta en los logs de Vercel para limite_de_intentos_fallo y limite_secreto_faltante</t>
        </is>
      </c>
      <c r="D69" s="5" t="n">
        <v>1</v>
      </c>
      <c r="E69" s="8">
        <f>D69</f>
        <v/>
      </c>
      <c r="F69" s="4" t="inlineStr">
        <is>
          <t>6.11</t>
        </is>
      </c>
      <c r="G69" s="7" t="inlineStr">
        <is>
          <t>Sí</t>
        </is>
      </c>
      <c r="H69" s="7" t="inlineStr">
        <is>
          <t>4.15</t>
        </is>
      </c>
      <c r="I69" s="18" t="inlineStr">
        <is>
          <t>B</t>
        </is>
      </c>
      <c r="J69" s="8" t="n">
        <v>55</v>
      </c>
      <c r="K69" s="8" t="n">
        <v>105</v>
      </c>
      <c r="L69" s="8">
        <f>K69+E69</f>
        <v/>
      </c>
      <c r="M69" s="8">
        <f>K69-J69</f>
        <v/>
      </c>
      <c r="N69" s="8">
        <f>"S"&amp;(INT(K69/Resumen!$C$5)+1)&amp;"–S"&amp;MAX(INT(K69/Resumen!$C$5)+1,ROUNDUP(L69/Resumen!$C$5,0))</f>
        <v/>
      </c>
      <c r="O69" s="8" t="inlineStr">
        <is>
          <t>Hecho</t>
        </is>
      </c>
      <c r="P69" s="8" t="inlineStr">
        <is>
          <t>Agregado</t>
        </is>
      </c>
      <c r="Q69" s="7" t="inlineStr">
        <is>
          <t>sesión principal</t>
        </is>
      </c>
      <c r="R69" s="7" t="inlineStr"/>
    </row>
    <row r="70">
      <c r="A70" s="19" t="inlineStr">
        <is>
          <t>6.13</t>
        </is>
      </c>
      <c r="B70" s="4" t="inlineStr">
        <is>
          <t>6. Pruebas y lanzamiento</t>
        </is>
      </c>
      <c r="C70" s="7" t="inlineStr">
        <is>
          <t>Aplicar en producción las 9 migraciones de fase 2 (20260924000000…000800), tras comprobar 0 afiliaciones, y desplegar enseguida</t>
        </is>
      </c>
      <c r="D70" s="5" t="n">
        <v>1</v>
      </c>
      <c r="E70" s="8">
        <f>D70</f>
        <v/>
      </c>
      <c r="F70" s="4" t="inlineStr">
        <is>
          <t>1.6</t>
        </is>
      </c>
      <c r="G70" s="7" t="inlineStr">
        <is>
          <t>Sí</t>
        </is>
      </c>
      <c r="H70" s="7" t="inlineStr">
        <is>
          <t>6.17</t>
        </is>
      </c>
      <c r="I70" s="18" t="inlineStr">
        <is>
          <t>A</t>
        </is>
      </c>
      <c r="J70" s="8" t="n">
        <v>36</v>
      </c>
      <c r="K70" s="8" t="n">
        <v>38</v>
      </c>
      <c r="L70" s="8">
        <f>K70+E70</f>
        <v/>
      </c>
      <c r="M70" s="8">
        <f>K70-J70</f>
        <v/>
      </c>
      <c r="N70" s="8">
        <f>"S"&amp;(INT(K70/Resumen!$C$5)+1)&amp;"–S"&amp;MAX(INT(K70/Resumen!$C$5)+1,ROUNDUP(L70/Resumen!$C$5,0))</f>
        <v/>
      </c>
      <c r="O70" s="8" t="inlineStr">
        <is>
          <t>Hecho</t>
        </is>
      </c>
      <c r="P70" s="8" t="inlineStr">
        <is>
          <t>Agregado</t>
        </is>
      </c>
      <c r="Q70" s="7" t="inlineStr">
        <is>
          <t>Sebas (ga-auditor-supabase revisa antes)</t>
        </is>
      </c>
      <c r="R70" s="7" t="inlineStr"/>
    </row>
    <row r="71">
      <c r="A71" s="19" t="inlineStr">
        <is>
          <t>6.14</t>
        </is>
      </c>
      <c r="B71" s="4" t="inlineStr">
        <is>
          <t>6. Pruebas y lanzamiento</t>
        </is>
      </c>
      <c r="C71" s="7" t="inlineStr">
        <is>
          <t>Pruebas en celulares reales (Android e iPhone): cámara para fotos, ingreso con código, sorteo, crédito y cómo se ven los correos en Gmail y Outlook; informe con capturas</t>
        </is>
      </c>
      <c r="D71" s="5" t="n">
        <v>1</v>
      </c>
      <c r="E71" s="8">
        <f>D71</f>
        <v/>
      </c>
      <c r="F71" s="4" t="inlineStr">
        <is>
          <t>2.12, 3.9, 3.7, 4.5</t>
        </is>
      </c>
      <c r="G71" s="7" t="inlineStr">
        <is>
          <t>Sí</t>
        </is>
      </c>
      <c r="H71" s="7" t="inlineStr">
        <is>
          <t>6.6</t>
        </is>
      </c>
      <c r="I71" s="18" t="inlineStr">
        <is>
          <t>B</t>
        </is>
      </c>
      <c r="J71" s="8" t="n">
        <v>134</v>
      </c>
      <c r="K71" s="8" t="n">
        <v>135</v>
      </c>
      <c r="L71" s="8">
        <f>K71+E71</f>
        <v/>
      </c>
      <c r="M71" s="8">
        <f>K71-J71</f>
        <v/>
      </c>
      <c r="N71" s="8">
        <f>"S"&amp;(INT(K71/Resumen!$C$5)+1)&amp;"–S"&amp;MAX(INT(K71/Resumen!$C$5)+1,ROUNDUP(L71/Resumen!$C$5,0))</f>
        <v/>
      </c>
      <c r="O71" s="8" t="inlineStr">
        <is>
          <t>En curso</t>
        </is>
      </c>
      <c r="P71" s="8" t="inlineStr">
        <is>
          <t>Agregado</t>
        </is>
      </c>
      <c r="Q71" s="7" t="inlineStr">
        <is>
          <t>Sebas (antes Carlos Pardo)</t>
        </is>
      </c>
      <c r="R71" s="7" t="inlineStr"/>
    </row>
    <row r="72">
      <c r="A72" s="19" t="inlineStr">
        <is>
          <t>6.15</t>
        </is>
      </c>
      <c r="B72" s="4" t="inlineStr">
        <is>
          <t>6. Pruebas y lanzamiento</t>
        </is>
      </c>
      <c r="C72" s="7" t="inlineStr">
        <is>
          <t>Actualizar tests/e2e b-ingreso, i-despliegue y j-produccion al formato nuevo de máscara de correo</t>
        </is>
      </c>
      <c r="D72" s="5" t="n">
        <v>1</v>
      </c>
      <c r="E72" s="8">
        <f>D72</f>
        <v/>
      </c>
      <c r="F72" s="4" t="inlineStr">
        <is>
          <t>6.1</t>
        </is>
      </c>
      <c r="G72" s="7" t="inlineStr">
        <is>
          <t>Sí</t>
        </is>
      </c>
      <c r="H72" s="7" t="inlineStr">
        <is>
          <t>6.2</t>
        </is>
      </c>
      <c r="I72" s="18" t="inlineStr">
        <is>
          <t>B</t>
        </is>
      </c>
      <c r="J72" s="8" t="n">
        <v>75</v>
      </c>
      <c r="K72" s="8" t="n">
        <v>102</v>
      </c>
      <c r="L72" s="8">
        <f>K72+E72</f>
        <v/>
      </c>
      <c r="M72" s="8">
        <f>K72-J72</f>
        <v/>
      </c>
      <c r="N72" s="8">
        <f>"S"&amp;(INT(K72/Resumen!$C$5)+1)&amp;"–S"&amp;MAX(INT(K72/Resumen!$C$5)+1,ROUNDUP(L72/Resumen!$C$5,0))</f>
        <v/>
      </c>
      <c r="O72" s="8" t="inlineStr">
        <is>
          <t>Hecho</t>
        </is>
      </c>
      <c r="P72" s="8" t="inlineStr">
        <is>
          <t>Agregado</t>
        </is>
      </c>
      <c r="Q72" s="7" t="inlineStr">
        <is>
          <t>ga-verificador-qa (antes Carlos Pardo)</t>
        </is>
      </c>
      <c r="R72" s="7" t="inlineStr"/>
    </row>
    <row r="73">
      <c r="A73" s="19" t="inlineStr">
        <is>
          <t>6.16</t>
        </is>
      </c>
      <c r="B73" s="4" t="inlineStr">
        <is>
          <t>6. Pruebas y lanzamiento</t>
        </is>
      </c>
      <c r="C73" s="7" t="inlineStr">
        <is>
          <t>Actualizar tests/e2e (e-diseno, a-navegacion) tras el rediseño C+ de la landing e ingreso/afiliación</t>
        </is>
      </c>
      <c r="D73" s="5" t="n">
        <v>1</v>
      </c>
      <c r="E73" s="8">
        <f>D73</f>
        <v/>
      </c>
      <c r="F73" s="4" t="inlineStr">
        <is>
          <t>2.14, 2.15</t>
        </is>
      </c>
      <c r="G73" s="7" t="inlineStr">
        <is>
          <t>Sí</t>
        </is>
      </c>
      <c r="H73" s="7" t="inlineStr">
        <is>
          <t>3.4</t>
        </is>
      </c>
      <c r="I73" s="18" t="inlineStr">
        <is>
          <t>A</t>
        </is>
      </c>
      <c r="J73" s="8" t="n">
        <v>27</v>
      </c>
      <c r="K73" s="8" t="n">
        <v>28</v>
      </c>
      <c r="L73" s="8">
        <f>K73+E73</f>
        <v/>
      </c>
      <c r="M73" s="8">
        <f>K73-J73</f>
        <v/>
      </c>
      <c r="N73" s="8">
        <f>"S"&amp;(INT(K73/Resumen!$C$5)+1)&amp;"–S"&amp;MAX(INT(K73/Resumen!$C$5)+1,ROUNDUP(L73/Resumen!$C$5,0))</f>
        <v/>
      </c>
      <c r="O73" s="8" t="inlineStr">
        <is>
          <t>Hecho</t>
        </is>
      </c>
      <c r="P73" s="8" t="inlineStr">
        <is>
          <t>Agregado</t>
        </is>
      </c>
      <c r="Q73" s="7" t="inlineStr">
        <is>
          <t>ga-verificador-qa</t>
        </is>
      </c>
      <c r="R73" s="7" t="inlineStr"/>
    </row>
    <row r="74">
      <c r="A74" s="19" t="inlineStr">
        <is>
          <t>6.19</t>
        </is>
      </c>
      <c r="B74" s="4" t="inlineStr">
        <is>
          <t>6. Pruebas y lanzamiento</t>
        </is>
      </c>
      <c r="C74" s="7" t="inlineStr">
        <is>
          <t>Actualizar tests/responsive/logo-y-fotos tras el rediseño C+ de la landing</t>
        </is>
      </c>
      <c r="D74" s="5" t="n">
        <v>1</v>
      </c>
      <c r="E74" s="8">
        <f>D74</f>
        <v/>
      </c>
      <c r="F74" s="4" t="inlineStr">
        <is>
          <t>2.14, 2.15</t>
        </is>
      </c>
      <c r="G74" s="7" t="inlineStr">
        <is>
          <t>Sí</t>
        </is>
      </c>
      <c r="H74" s="7" t="inlineStr">
        <is>
          <t>3.4</t>
        </is>
      </c>
      <c r="I74" s="18" t="inlineStr">
        <is>
          <t>A</t>
        </is>
      </c>
      <c r="J74" s="8" t="n">
        <v>27</v>
      </c>
      <c r="K74" s="8" t="n">
        <v>27</v>
      </c>
      <c r="L74" s="8">
        <f>K74+E74</f>
        <v/>
      </c>
      <c r="M74" s="8">
        <f>K74-J74</f>
        <v/>
      </c>
      <c r="N74" s="8">
        <f>"S"&amp;(INT(K74/Resumen!$C$5)+1)&amp;"–S"&amp;MAX(INT(K74/Resumen!$C$5)+1,ROUNDUP(L74/Resumen!$C$5,0))</f>
        <v/>
      </c>
      <c r="O74" s="8" t="inlineStr">
        <is>
          <t>Hecho</t>
        </is>
      </c>
      <c r="P74" s="8" t="inlineStr">
        <is>
          <t>Agregado</t>
        </is>
      </c>
      <c r="Q74" s="7" t="inlineStr">
        <is>
          <t>ga-verificador-responsive</t>
        </is>
      </c>
      <c r="R74" s="7" t="inlineStr"/>
    </row>
    <row r="75">
      <c r="A75" s="19" t="inlineStr">
        <is>
          <t>6.17</t>
        </is>
      </c>
      <c r="B75" s="4" t="inlineStr">
        <is>
          <t>6. Pruebas y lanzamiento</t>
        </is>
      </c>
      <c r="C75" s="7" t="inlineStr">
        <is>
          <t>QA, seguridad y responsive del rediseño C+ de punta a punta</t>
        </is>
      </c>
      <c r="D75" s="5" t="n">
        <v>3</v>
      </c>
      <c r="E75" s="8">
        <f>D75</f>
        <v/>
      </c>
      <c r="F75" s="7" t="inlineStr">
        <is>
          <t>6.16, 6.19, 2.15, 3.10, 4.10, 4.11</t>
        </is>
      </c>
      <c r="G75" s="7" t="inlineStr">
        <is>
          <t>Sí</t>
        </is>
      </c>
      <c r="H75" s="7" t="inlineStr">
        <is>
          <t>1.8, 6.13</t>
        </is>
      </c>
      <c r="I75" s="18" t="inlineStr">
        <is>
          <t>B</t>
        </is>
      </c>
      <c r="J75" s="8" t="n">
        <v>35</v>
      </c>
      <c r="K75" s="8" t="n">
        <v>36</v>
      </c>
      <c r="L75" s="8">
        <f>K75+E75</f>
        <v/>
      </c>
      <c r="M75" s="8">
        <f>K75-J75</f>
        <v/>
      </c>
      <c r="N75" s="8">
        <f>"S"&amp;(INT(K75/Resumen!$C$5)+1)&amp;"–S"&amp;MAX(INT(K75/Resumen!$C$5)+1,ROUNDUP(L75/Resumen!$C$5,0))</f>
        <v/>
      </c>
      <c r="O75" s="8" t="inlineStr">
        <is>
          <t>Hecho</t>
        </is>
      </c>
      <c r="P75" s="8" t="inlineStr">
        <is>
          <t>Agregado</t>
        </is>
      </c>
      <c r="Q75" s="7" t="inlineStr">
        <is>
          <t>ga-verificador-qa + ga-verificador-responsive + ga-revisor-seguridad</t>
        </is>
      </c>
      <c r="R75" s="7" t="inlineStr"/>
    </row>
    <row r="76">
      <c r="A76" s="19" t="inlineStr">
        <is>
          <t>6.18</t>
        </is>
      </c>
      <c r="B76" s="4" t="inlineStr">
        <is>
          <t>6. Pruebas y lanzamiento</t>
        </is>
      </c>
      <c r="C76" s="7" t="inlineStr">
        <is>
          <t>Fusionar la rama rediseno-c-plus a develop</t>
        </is>
      </c>
      <c r="D76" s="5" t="n">
        <v>1</v>
      </c>
      <c r="E76" s="8">
        <f>D76</f>
        <v/>
      </c>
      <c r="F76" s="4" t="inlineStr">
        <is>
          <t>6.17</t>
        </is>
      </c>
      <c r="G76" s="7" t="inlineStr">
        <is>
          <t>Sí</t>
        </is>
      </c>
      <c r="H76" s="7" t="inlineStr">
        <is>
          <t>2.9</t>
        </is>
      </c>
      <c r="I76" s="18" t="inlineStr">
        <is>
          <t>A</t>
        </is>
      </c>
      <c r="J76" s="8" t="n">
        <v>39</v>
      </c>
      <c r="K76" s="8" t="n">
        <v>39</v>
      </c>
      <c r="L76" s="8">
        <f>K76+E76</f>
        <v/>
      </c>
      <c r="M76" s="8">
        <f>K76-J76</f>
        <v/>
      </c>
      <c r="N76" s="8">
        <f>"S"&amp;(INT(K76/Resumen!$C$5)+1)&amp;"–S"&amp;MAX(INT(K76/Resumen!$C$5)+1,ROUNDUP(L76/Resumen!$C$5,0))</f>
        <v/>
      </c>
      <c r="O76" s="8" t="inlineStr">
        <is>
          <t>Hecho</t>
        </is>
      </c>
      <c r="P76" s="8" t="inlineStr">
        <is>
          <t>Agregado</t>
        </is>
      </c>
      <c r="Q76" s="7" t="inlineStr">
        <is>
          <t>Sebas</t>
        </is>
      </c>
      <c r="R76" s="7" t="inlineStr"/>
    </row>
    <row r="77">
      <c r="A77" s="19" t="inlineStr">
        <is>
          <t>4.12</t>
        </is>
      </c>
      <c r="B77" s="7" t="inlineStr">
        <is>
          <t>4. Panel de administración</t>
        </is>
      </c>
      <c r="C77" s="7" t="inlineStr">
        <is>
          <t>Requerimientos de Ricardo (tanda 1): 19 migraciones, lienzo 3j–3p (afiliación v3, perfil, comisiones, admin de asociados y alertas, convenios con detalle)</t>
        </is>
      </c>
      <c r="D77" s="5" t="n">
        <v>5</v>
      </c>
      <c r="E77" s="8">
        <f>D77</f>
        <v/>
      </c>
      <c r="F77" s="4" t="inlineStr">
        <is>
          <t>1.8, 6.18</t>
        </is>
      </c>
      <c r="G77" s="7" t="inlineStr">
        <is>
          <t>Sí</t>
        </is>
      </c>
      <c r="H77" s="7" t="inlineStr">
        <is>
          <t>2.9, 3.5</t>
        </is>
      </c>
      <c r="I77" s="18" t="inlineStr">
        <is>
          <t>A</t>
        </is>
      </c>
      <c r="J77" s="8" t="n">
        <v>40</v>
      </c>
      <c r="K77" s="8" t="n">
        <v>40</v>
      </c>
      <c r="L77" s="8">
        <f>K77+E77</f>
        <v/>
      </c>
      <c r="M77" s="8">
        <f>K77-J77</f>
        <v/>
      </c>
      <c r="N77" s="8">
        <f>"S"&amp;(INT(K77/Resumen!$C$5)+1)&amp;"–S"&amp;MAX(INT(K77/Resumen!$C$5)+1,ROUNDUP(L77/Resumen!$C$5,0))</f>
        <v/>
      </c>
      <c r="O77" s="8" t="inlineStr">
        <is>
          <t>Hecho</t>
        </is>
      </c>
      <c r="P77" s="8" t="inlineStr">
        <is>
          <t>Agregado</t>
        </is>
      </c>
      <c r="Q77" s="7" t="inlineStr">
        <is>
          <t>ga-auditor-supabase + ga-disenador-lienzo</t>
        </is>
      </c>
      <c r="R77" s="7" t="inlineStr"/>
    </row>
    <row r="78">
      <c r="A78" s="19" t="inlineStr">
        <is>
          <t>4.13</t>
        </is>
      </c>
      <c r="B78" s="7" t="inlineStr">
        <is>
          <t>4. Panel de administración</t>
        </is>
      </c>
      <c r="C78" s="7" t="inlineStr">
        <is>
          <t>Requerimientos de Ricardo (tanda 1): código de 3j–3p y correcciones de las dos revisiones de seguridad (RS-01 a RS-22)</t>
        </is>
      </c>
      <c r="D78" s="5" t="n">
        <v>5</v>
      </c>
      <c r="E78" s="8">
        <f>D78</f>
        <v/>
      </c>
      <c r="F78" s="4" t="inlineStr">
        <is>
          <t>4.12</t>
        </is>
      </c>
      <c r="G78" s="7" t="inlineStr">
        <is>
          <t>Sí</t>
        </is>
      </c>
      <c r="H78" s="7" t="inlineStr">
        <is>
          <t>3.5, 4.2, 4.3</t>
        </is>
      </c>
      <c r="I78" s="18" t="inlineStr">
        <is>
          <t>A</t>
        </is>
      </c>
      <c r="J78" s="8" t="n">
        <v>45</v>
      </c>
      <c r="K78" s="8" t="n">
        <v>45</v>
      </c>
      <c r="L78" s="8">
        <f>K78+E78</f>
        <v/>
      </c>
      <c r="M78" s="8">
        <f>K78-J78</f>
        <v/>
      </c>
      <c r="N78" s="8">
        <f>"S"&amp;(INT(K78/Resumen!$C$5)+1)&amp;"–S"&amp;MAX(INT(K78/Resumen!$C$5)+1,ROUNDUP(L78/Resumen!$C$5,0))</f>
        <v/>
      </c>
      <c r="O78" s="8" t="inlineStr">
        <is>
          <t>Hecho</t>
        </is>
      </c>
      <c r="P78" s="8" t="inlineStr">
        <is>
          <t>Agregado</t>
        </is>
      </c>
      <c r="Q78" s="7" t="inlineStr">
        <is>
          <t>ga-funcionalidad-botones + ga-diseno-a-codigo + ga-revisor-seguridad</t>
        </is>
      </c>
      <c r="R78" s="7" t="inlineStr"/>
    </row>
    <row r="79">
      <c r="A79" s="19" t="inlineStr">
        <is>
          <t>6.20</t>
        </is>
      </c>
      <c r="B79" s="4" t="inlineStr">
        <is>
          <t>6. Pruebas y lanzamiento</t>
        </is>
      </c>
      <c r="C79" s="7" t="inlineStr">
        <is>
          <t>Desplegar requerimientos de Ricardo (PR #5 a main y 19 migraciones en producción)</t>
        </is>
      </c>
      <c r="D79" s="5" t="n">
        <v>1</v>
      </c>
      <c r="E79" s="8">
        <f>D79</f>
        <v/>
      </c>
      <c r="F79" s="4" t="inlineStr">
        <is>
          <t>4.13</t>
        </is>
      </c>
      <c r="G79" s="7" t="inlineStr">
        <is>
          <t>No (usa las 2 filas)</t>
        </is>
      </c>
      <c r="H79" s="7" t="inlineStr">
        <is>
          <t>—</t>
        </is>
      </c>
      <c r="I79" s="18" t="inlineStr">
        <is>
          <t>A+B</t>
        </is>
      </c>
      <c r="J79" s="8" t="n">
        <v>50</v>
      </c>
      <c r="K79" s="8" t="n">
        <v>55</v>
      </c>
      <c r="L79" s="8">
        <f>K79+E79</f>
        <v/>
      </c>
      <c r="M79" s="8">
        <f>K79-J79</f>
        <v/>
      </c>
      <c r="N79" s="8">
        <f>"S"&amp;(INT(K79/Resumen!$C$5)+1)&amp;"–S"&amp;MAX(INT(K79/Resumen!$C$5)+1,ROUNDUP(L79/Resumen!$C$5,0))</f>
        <v/>
      </c>
      <c r="O79" s="8" t="inlineStr">
        <is>
          <t>Hecho</t>
        </is>
      </c>
      <c r="P79" s="8" t="inlineStr">
        <is>
          <t>Agregado</t>
        </is>
      </c>
      <c r="Q79" s="7" t="inlineStr">
        <is>
          <t>Sebas</t>
        </is>
      </c>
      <c r="R79" s="7" t="inlineStr"/>
    </row>
    <row r="80">
      <c r="A80" s="19" t="inlineStr">
        <is>
          <t>4.14</t>
        </is>
      </c>
      <c r="B80" s="7" t="inlineStr">
        <is>
          <t>4. Panel de administración</t>
        </is>
      </c>
      <c r="C80" s="7" t="inlineStr">
        <is>
          <t>Requerimientos de Ricardo (tanda 2, spec §12): lienzo 3q, 7 migraciones 20260930200*, desembolso, baja/reactivación, dominio de correo, bonos, sorteo con ganador y textos de landing</t>
        </is>
      </c>
      <c r="D80" s="5" t="n">
        <v>4</v>
      </c>
      <c r="E80" s="8">
        <f>D80</f>
        <v/>
      </c>
      <c r="F80" s="4" t="inlineStr">
        <is>
          <t>6.20</t>
        </is>
      </c>
      <c r="G80" s="7" t="inlineStr">
        <is>
          <t>Sí</t>
        </is>
      </c>
      <c r="H80" s="7" t="inlineStr">
        <is>
          <t>3.3, 3.7</t>
        </is>
      </c>
      <c r="I80" s="18" t="inlineStr">
        <is>
          <t>A</t>
        </is>
      </c>
      <c r="J80" s="8" t="n">
        <v>56</v>
      </c>
      <c r="K80" s="8" t="n">
        <v>56</v>
      </c>
      <c r="L80" s="8">
        <f>K80+E80</f>
        <v/>
      </c>
      <c r="M80" s="8">
        <f>K80-J80</f>
        <v/>
      </c>
      <c r="N80" s="8">
        <f>"S"&amp;(INT(K80/Resumen!$C$5)+1)&amp;"–S"&amp;MAX(INT(K80/Resumen!$C$5)+1,ROUNDUP(L80/Resumen!$C$5,0))</f>
        <v/>
      </c>
      <c r="O80" s="8" t="inlineStr">
        <is>
          <t>Hecho</t>
        </is>
      </c>
      <c r="P80" s="8" t="inlineStr">
        <is>
          <t>Agregado</t>
        </is>
      </c>
      <c r="Q80" s="7" t="inlineStr">
        <is>
          <t>ga-disenador-lienzo + ga-auditor-supabase + ga-funcionalidad-botones + ga-diseno-a-codigo</t>
        </is>
      </c>
      <c r="R80" s="7" t="inlineStr"/>
    </row>
    <row r="81">
      <c r="A81" s="19" t="inlineStr">
        <is>
          <t>4.15</t>
        </is>
      </c>
      <c r="B81" s="7" t="inlineStr">
        <is>
          <t>4. Panel de administración</t>
        </is>
      </c>
      <c r="C81" s="7" t="inlineStr">
        <is>
          <t>Pedidos de Sebas (spec §13): correos con respaldo en texto plano, acción admin «Habilitar nuevo crédito» y tarjeta vacía en /cuenta, demo con selector Policía/Ejército y cupo por grado, WhatsApp en el pie</t>
        </is>
      </c>
      <c r="D81" s="5" t="n">
        <v>3</v>
      </c>
      <c r="E81" s="8">
        <f>D81</f>
        <v/>
      </c>
      <c r="F81" s="4" t="inlineStr">
        <is>
          <t>4.14</t>
        </is>
      </c>
      <c r="G81" s="7" t="inlineStr">
        <is>
          <t>Sí</t>
        </is>
      </c>
      <c r="H81" s="7" t="inlineStr">
        <is>
          <t>4.25, 6.12, 6.10</t>
        </is>
      </c>
      <c r="I81" s="18" t="inlineStr">
        <is>
          <t>A</t>
        </is>
      </c>
      <c r="J81" s="8" t="n">
        <v>60</v>
      </c>
      <c r="K81" s="8" t="n">
        <v>104</v>
      </c>
      <c r="L81" s="8">
        <f>K81+E81</f>
        <v/>
      </c>
      <c r="M81" s="8">
        <f>K81-J81</f>
        <v/>
      </c>
      <c r="N81" s="8">
        <f>"S"&amp;(INT(K81/Resumen!$C$5)+1)&amp;"–S"&amp;MAX(INT(K81/Resumen!$C$5)+1,ROUNDUP(L81/Resumen!$C$5,0))</f>
        <v/>
      </c>
      <c r="O81" s="8" t="inlineStr">
        <is>
          <t>Hecho</t>
        </is>
      </c>
      <c r="P81" s="8" t="inlineStr">
        <is>
          <t>Agregado</t>
        </is>
      </c>
      <c r="Q81" s="7" t="inlineStr">
        <is>
          <t>ga-auditor-supabase + ga-funcionalidad-botones + ga-diseno-a-codigo</t>
        </is>
      </c>
      <c r="R81" s="7" t="inlineStr"/>
    </row>
    <row r="82">
      <c r="A82" s="19" t="inlineStr">
        <is>
          <t>6.21</t>
        </is>
      </c>
      <c r="B82" s="4" t="inlineStr">
        <is>
          <t>6. Pruebas y lanzamiento</t>
        </is>
      </c>
      <c r="C82" s="7" t="inlineStr">
        <is>
          <t>E2E nuevas de la tanda 2 (§12) y ajuste de las que buscan «Mis datos» en /cuenta</t>
        </is>
      </c>
      <c r="D82" s="5" t="n">
        <v>2</v>
      </c>
      <c r="E82" s="8">
        <f>D82</f>
        <v/>
      </c>
      <c r="F82" s="4" t="inlineStr">
        <is>
          <t>4.14</t>
        </is>
      </c>
      <c r="G82" s="7" t="inlineStr">
        <is>
          <t>Sí</t>
        </is>
      </c>
      <c r="H82" s="7" t="inlineStr">
        <is>
          <t>5.13, 5.17</t>
        </is>
      </c>
      <c r="I82" s="18" t="inlineStr">
        <is>
          <t>A</t>
        </is>
      </c>
      <c r="J82" s="8" t="n">
        <v>60</v>
      </c>
      <c r="K82" s="8" t="n">
        <v>109</v>
      </c>
      <c r="L82" s="8">
        <f>K82+E82</f>
        <v/>
      </c>
      <c r="M82" s="8">
        <f>K82-J82</f>
        <v/>
      </c>
      <c r="N82" s="8">
        <f>"S"&amp;(INT(K82/Resumen!$C$5)+1)&amp;"–S"&amp;MAX(INT(K82/Resumen!$C$5)+1,ROUNDUP(L82/Resumen!$C$5,0))</f>
        <v/>
      </c>
      <c r="O82" s="8" t="inlineStr">
        <is>
          <t>Hecho</t>
        </is>
      </c>
      <c r="P82" s="8" t="inlineStr">
        <is>
          <t>Agregado</t>
        </is>
      </c>
      <c r="Q82" s="7" t="inlineStr">
        <is>
          <t>ga-verificador-qa</t>
        </is>
      </c>
      <c r="R82" s="7" t="inlineStr"/>
    </row>
    <row r="83">
      <c r="A83" s="19" t="inlineStr">
        <is>
          <t>6.22</t>
        </is>
      </c>
      <c r="B83" s="4" t="inlineStr">
        <is>
          <t>6. Pruebas y lanzamiento</t>
        </is>
      </c>
      <c r="C83" s="7" t="inlineStr">
        <is>
          <t>Desplegar la tanda 2: aplicar migraciones 20260930200*, CRON_SECRET (32+), plantilla ga-aviso-institucional y su variable en Vercel</t>
        </is>
      </c>
      <c r="D83" s="5" t="n">
        <v>1</v>
      </c>
      <c r="E83" s="8">
        <f>D83</f>
        <v/>
      </c>
      <c r="F83" s="4" t="inlineStr">
        <is>
          <t>4.14</t>
        </is>
      </c>
      <c r="G83" s="7" t="inlineStr">
        <is>
          <t>No (usa las 2 filas)</t>
        </is>
      </c>
      <c r="H83" s="7" t="inlineStr">
        <is>
          <t>—</t>
        </is>
      </c>
      <c r="I83" s="18" t="inlineStr">
        <is>
          <t>A+B</t>
        </is>
      </c>
      <c r="J83" s="8" t="n">
        <v>60</v>
      </c>
      <c r="K83" s="8" t="n">
        <v>71</v>
      </c>
      <c r="L83" s="8">
        <f>K83+E83</f>
        <v/>
      </c>
      <c r="M83" s="8">
        <f>K83-J83</f>
        <v/>
      </c>
      <c r="N83" s="8">
        <f>"S"&amp;(INT(K83/Resumen!$C$5)+1)&amp;"–S"&amp;MAX(INT(K83/Resumen!$C$5)+1,ROUNDUP(L83/Resumen!$C$5,0))</f>
        <v/>
      </c>
      <c r="O83" s="8" t="inlineStr">
        <is>
          <t>Hecho</t>
        </is>
      </c>
      <c r="P83" s="8" t="inlineStr">
        <is>
          <t>Agregado</t>
        </is>
      </c>
      <c r="Q83" s="7" t="inlineStr">
        <is>
          <t>Sebas</t>
        </is>
      </c>
      <c r="R83" s="7" t="inlineStr"/>
    </row>
    <row r="84">
      <c r="A84" s="19" t="inlineStr">
        <is>
          <t>5.11</t>
        </is>
      </c>
      <c r="B84" s="4" t="inlineStr">
        <is>
          <t>5. Convenios y pulido</t>
        </is>
      </c>
      <c r="C84" s="7" t="inlineStr">
        <is>
          <t>Backlog §12.12: reconocimiento al primer asesor que llegue a los premios por asociados</t>
        </is>
      </c>
      <c r="D84" s="5" t="n">
        <v>2</v>
      </c>
      <c r="E84" s="8">
        <f>D84</f>
        <v/>
      </c>
      <c r="F84" s="4" t="inlineStr">
        <is>
          <t>6.22</t>
        </is>
      </c>
      <c r="G84" s="7" t="inlineStr">
        <is>
          <t>Sí</t>
        </is>
      </c>
      <c r="H84" s="7" t="inlineStr">
        <is>
          <t>4.16</t>
        </is>
      </c>
      <c r="I84" s="18" t="inlineStr">
        <is>
          <t>B</t>
        </is>
      </c>
      <c r="J84" s="8" t="n">
        <v>72</v>
      </c>
      <c r="K84" s="8" t="n">
        <v>114</v>
      </c>
      <c r="L84" s="8">
        <f>K84+E84</f>
        <v/>
      </c>
      <c r="M84" s="8">
        <f>K84-J84</f>
        <v/>
      </c>
      <c r="N84" s="8">
        <f>"S"&amp;(INT(K84/Resumen!$C$5)+1)&amp;"–S"&amp;MAX(INT(K84/Resumen!$C$5)+1,ROUNDUP(L84/Resumen!$C$5,0))</f>
        <v/>
      </c>
      <c r="O84" s="8" t="inlineStr">
        <is>
          <t>Hecho</t>
        </is>
      </c>
      <c r="P84" s="8" t="inlineStr">
        <is>
          <t>Agregado</t>
        </is>
      </c>
      <c r="Q84" s="7" t="inlineStr">
        <is>
          <t>ga-funcionalidad-botones + ga-diseno-a-codigo</t>
        </is>
      </c>
      <c r="R84" s="7" t="inlineStr"/>
    </row>
    <row r="85">
      <c r="A85" s="19" t="inlineStr">
        <is>
          <t>5.12</t>
        </is>
      </c>
      <c r="B85" s="4" t="inlineStr">
        <is>
          <t>5. Convenios y pulido</t>
        </is>
      </c>
      <c r="C85" s="7" t="inlineStr">
        <is>
          <t>Backlog §12.12: carné virtual del asociado («Afiliado Titular», nombre, grado, institución, cédula)</t>
        </is>
      </c>
      <c r="D85" s="5" t="n">
        <v>2</v>
      </c>
      <c r="E85" s="8">
        <f>D85</f>
        <v/>
      </c>
      <c r="F85" s="4" t="inlineStr">
        <is>
          <t>6.22</t>
        </is>
      </c>
      <c r="G85" s="7" t="inlineStr">
        <is>
          <t>Sí</t>
        </is>
      </c>
      <c r="H85" s="7" t="inlineStr">
        <is>
          <t>6.1</t>
        </is>
      </c>
      <c r="I85" s="18" t="inlineStr">
        <is>
          <t>A</t>
        </is>
      </c>
      <c r="J85" s="8" t="n">
        <v>72</v>
      </c>
      <c r="K85" s="8" t="n">
        <v>72</v>
      </c>
      <c r="L85" s="8">
        <f>K85+E85</f>
        <v/>
      </c>
      <c r="M85" s="8">
        <f>K85-J85</f>
        <v/>
      </c>
      <c r="N85" s="8">
        <f>"S"&amp;(INT(K85/Resumen!$C$5)+1)&amp;"–S"&amp;MAX(INT(K85/Resumen!$C$5)+1,ROUNDUP(L85/Resumen!$C$5,0))</f>
        <v/>
      </c>
      <c r="O85" s="8" t="inlineStr">
        <is>
          <t>Hecho</t>
        </is>
      </c>
      <c r="P85" s="8" t="inlineStr">
        <is>
          <t>Agregado</t>
        </is>
      </c>
      <c r="Q85" s="7" t="inlineStr">
        <is>
          <t>ga-disenador-lienzo + ga-diseno-a-codigo</t>
        </is>
      </c>
      <c r="R85" s="7" t="inlineStr"/>
    </row>
    <row r="86">
      <c r="A86" s="19" t="inlineStr">
        <is>
          <t>5.13</t>
        </is>
      </c>
      <c r="B86" s="4" t="inlineStr">
        <is>
          <t>5. Convenios y pulido</t>
        </is>
      </c>
      <c r="C86" s="7" t="inlineStr">
        <is>
          <t>Convenios: videos (AMB Móvil, Dr. Ribero, Dream &amp; Go, Locos por los Viajes) y PDF de Racing Tours en el detalle de cada marca</t>
        </is>
      </c>
      <c r="D86" s="5" t="n">
        <v>1</v>
      </c>
      <c r="E86" s="8">
        <f>D86</f>
        <v/>
      </c>
      <c r="F86" s="4" t="inlineStr">
        <is>
          <t>5.2</t>
        </is>
      </c>
      <c r="G86" s="7" t="inlineStr">
        <is>
          <t>Sí</t>
        </is>
      </c>
      <c r="H86" s="7" t="inlineStr">
        <is>
          <t>6.21</t>
        </is>
      </c>
      <c r="I86" s="18" t="inlineStr">
        <is>
          <t>B</t>
        </is>
      </c>
      <c r="J86" s="8" t="n">
        <v>67</v>
      </c>
      <c r="K86" s="8" t="n">
        <v>109</v>
      </c>
      <c r="L86" s="8">
        <f>K86+E86</f>
        <v/>
      </c>
      <c r="M86" s="8">
        <f>K86-J86</f>
        <v/>
      </c>
      <c r="N86" s="8">
        <f>"S"&amp;(INT(K86/Resumen!$C$5)+1)&amp;"–S"&amp;MAX(INT(K86/Resumen!$C$5)+1,ROUNDUP(L86/Resumen!$C$5,0))</f>
        <v/>
      </c>
      <c r="O86" s="8" t="inlineStr">
        <is>
          <t>Hecho</t>
        </is>
      </c>
      <c r="P86" s="8" t="inlineStr">
        <is>
          <t>Agregado</t>
        </is>
      </c>
      <c r="Q86" s="7" t="inlineStr">
        <is>
          <t>ga-diseno-a-codigo</t>
        </is>
      </c>
      <c r="R86" s="7" t="inlineStr"/>
    </row>
    <row r="87">
      <c r="A87" s="19" t="inlineStr">
        <is>
          <t>6.23</t>
        </is>
      </c>
      <c r="B87" s="4" t="inlineStr">
        <is>
          <t>6. Pruebas y lanzamiento</t>
        </is>
      </c>
      <c r="C87" s="7" t="inlineStr">
        <is>
          <t>Aplicar la migración 20261001000000 (versión de política aceptada, secuencia revocada, RPC de métricas) ANTES de desplegar</t>
        </is>
      </c>
      <c r="D87" s="5" t="n">
        <v>1</v>
      </c>
      <c r="E87" s="8">
        <f>D87</f>
        <v/>
      </c>
      <c r="F87" s="4" t="inlineStr">
        <is>
          <t>4.14</t>
        </is>
      </c>
      <c r="G87" s="7" t="inlineStr">
        <is>
          <t>No (usa las 2 filas)</t>
        </is>
      </c>
      <c r="H87" s="7" t="inlineStr">
        <is>
          <t>—</t>
        </is>
      </c>
      <c r="I87" s="18" t="inlineStr">
        <is>
          <t>A+B</t>
        </is>
      </c>
      <c r="J87" s="8" t="n">
        <v>60</v>
      </c>
      <c r="K87" s="8" t="n">
        <v>116</v>
      </c>
      <c r="L87" s="8">
        <f>K87+E87</f>
        <v/>
      </c>
      <c r="M87" s="8">
        <f>K87-J87</f>
        <v/>
      </c>
      <c r="N87" s="8">
        <f>"S"&amp;(INT(K87/Resumen!$C$5)+1)&amp;"–S"&amp;MAX(INT(K87/Resumen!$C$5)+1,ROUNDUP(L87/Resumen!$C$5,0))</f>
        <v/>
      </c>
      <c r="O87" s="8" t="inlineStr">
        <is>
          <t>Hecho</t>
        </is>
      </c>
      <c r="P87" s="8" t="inlineStr">
        <is>
          <t>Agregado</t>
        </is>
      </c>
      <c r="Q87" s="7" t="inlineStr">
        <is>
          <t>Sebas</t>
        </is>
      </c>
      <c r="R87" s="7" t="inlineStr"/>
    </row>
    <row r="88">
      <c r="A88" s="19" t="inlineStr">
        <is>
          <t>6.24</t>
        </is>
      </c>
      <c r="B88" s="4" t="inlineStr">
        <is>
          <t>6. Pruebas y lanzamiento</t>
        </is>
      </c>
      <c r="C88" s="7" t="inlineStr">
        <is>
          <t>Aplicar la migración 20261001100000 (habilitar crédito y métricas por estado/desembolsos) tras db reset y test db en local</t>
        </is>
      </c>
      <c r="D88" s="5" t="n">
        <v>1</v>
      </c>
      <c r="E88" s="8">
        <f>D88</f>
        <v/>
      </c>
      <c r="F88" s="4" t="inlineStr">
        <is>
          <t>4.15, 4.7, 4.8</t>
        </is>
      </c>
      <c r="G88" s="7" t="inlineStr">
        <is>
          <t>Sí</t>
        </is>
      </c>
      <c r="H88" s="7" t="inlineStr">
        <is>
          <t>2.13</t>
        </is>
      </c>
      <c r="I88" s="18" t="inlineStr">
        <is>
          <t>A</t>
        </is>
      </c>
      <c r="J88" s="8" t="n">
        <v>120</v>
      </c>
      <c r="K88" s="8" t="n">
        <v>120</v>
      </c>
      <c r="L88" s="8">
        <f>K88+E88</f>
        <v/>
      </c>
      <c r="M88" s="8">
        <f>K88-J88</f>
        <v/>
      </c>
      <c r="N88" s="8">
        <f>"S"&amp;(INT(K88/Resumen!$C$5)+1)&amp;"–S"&amp;MAX(INT(K88/Resumen!$C$5)+1,ROUNDUP(L88/Resumen!$C$5,0))</f>
        <v/>
      </c>
      <c r="O88" s="8" t="inlineStr">
        <is>
          <t>Hecho</t>
        </is>
      </c>
      <c r="P88" s="8" t="inlineStr">
        <is>
          <t>Agregado</t>
        </is>
      </c>
      <c r="Q88" s="7" t="inlineStr">
        <is>
          <t>Sebas</t>
        </is>
      </c>
      <c r="R88" s="7" t="inlineStr"/>
    </row>
    <row r="89">
      <c r="A89" s="19" t="inlineStr">
        <is>
          <t>6.25</t>
        </is>
      </c>
      <c r="B89" s="4" t="inlineStr">
        <is>
          <t>6. Pruebas y lanzamiento</t>
        </is>
      </c>
      <c r="C89" s="7" t="inlineStr">
        <is>
          <t>Aplicar la migración 20261002000000 (convenios administrables, bucket convenios-logos, F2-08) en producción y fusionar develop→main (e2523de)</t>
        </is>
      </c>
      <c r="D89" s="5" t="n">
        <v>1</v>
      </c>
      <c r="E89" s="8">
        <f>D89</f>
        <v/>
      </c>
      <c r="F89" s="4" t="inlineStr">
        <is>
          <t>5.9</t>
        </is>
      </c>
      <c r="G89" s="7" t="inlineStr">
        <is>
          <t>No (usa las 2 filas)</t>
        </is>
      </c>
      <c r="H89" s="7" t="inlineStr">
        <is>
          <t>—</t>
        </is>
      </c>
      <c r="I89" s="18" t="inlineStr">
        <is>
          <t>A+B</t>
        </is>
      </c>
      <c r="J89" s="8" t="n">
        <v>83</v>
      </c>
      <c r="K89" s="8" t="n">
        <v>107</v>
      </c>
      <c r="L89" s="8">
        <f>K89+E89</f>
        <v/>
      </c>
      <c r="M89" s="8">
        <f>K89-J89</f>
        <v/>
      </c>
      <c r="N89" s="8">
        <f>"S"&amp;(INT(K89/Resumen!$C$5)+1)&amp;"–S"&amp;MAX(INT(K89/Resumen!$C$5)+1,ROUNDUP(L89/Resumen!$C$5,0))</f>
        <v/>
      </c>
      <c r="O89" s="8" t="inlineStr">
        <is>
          <t>Hecho</t>
        </is>
      </c>
      <c r="P89" s="8" t="inlineStr">
        <is>
          <t>Agregado</t>
        </is>
      </c>
      <c r="Q89" s="7" t="inlineStr">
        <is>
          <t>Sebas</t>
        </is>
      </c>
      <c r="R89" s="7" t="inlineStr"/>
    </row>
    <row r="90">
      <c r="A90" s="19" t="inlineStr">
        <is>
          <t>4.16</t>
        </is>
      </c>
      <c r="B90" s="7" t="inlineStr">
        <is>
          <t>4. Panel de administración</t>
        </is>
      </c>
      <c r="C90" s="7" t="inlineStr">
        <is>
          <t>Premios de asesores (clics y tope por meta), inscritos al sorteo en /admin/sorteo y ajustes de entrega S-01/S-02 (migraciones 20261002100000–20261002400000)</t>
        </is>
      </c>
      <c r="D90" s="5" t="n">
        <v>3</v>
      </c>
      <c r="E90" s="8">
        <f>D90</f>
        <v/>
      </c>
      <c r="F90" s="4" t="inlineStr">
        <is>
          <t>4.14</t>
        </is>
      </c>
      <c r="G90" s="7" t="inlineStr">
        <is>
          <t>Sí</t>
        </is>
      </c>
      <c r="H90" s="7" t="inlineStr">
        <is>
          <t>6.30, 5.11</t>
        </is>
      </c>
      <c r="I90" s="18" t="inlineStr">
        <is>
          <t>A</t>
        </is>
      </c>
      <c r="J90" s="8" t="n">
        <v>60</v>
      </c>
      <c r="K90" s="8" t="n">
        <v>113</v>
      </c>
      <c r="L90" s="8">
        <f>K90+E90</f>
        <v/>
      </c>
      <c r="M90" s="8">
        <f>K90-J90</f>
        <v/>
      </c>
      <c r="N90" s="8">
        <f>"S"&amp;(INT(K90/Resumen!$C$5)+1)&amp;"–S"&amp;MAX(INT(K90/Resumen!$C$5)+1,ROUNDUP(L90/Resumen!$C$5,0))</f>
        <v/>
      </c>
      <c r="O90" s="8" t="inlineStr">
        <is>
          <t>Hecho</t>
        </is>
      </c>
      <c r="P90" s="8" t="inlineStr">
        <is>
          <t>Agregado</t>
        </is>
      </c>
      <c r="Q90" s="7" t="inlineStr">
        <is>
          <t>ga-funcionalidad-botones + ga-revisor-seguridad + ga-verificador-qa</t>
        </is>
      </c>
      <c r="R90" s="7" t="inlineStr"/>
    </row>
    <row r="91">
      <c r="A91" s="19" t="inlineStr">
        <is>
          <t>5.14</t>
        </is>
      </c>
      <c r="B91" s="4" t="inlineStr">
        <is>
          <t>5. Convenios y pulido</t>
        </is>
      </c>
      <c r="C91" s="7" t="inlineStr">
        <is>
          <t>Carné con QR, /verificar/[token] (solo activos, regenerar 1/min) y botón «Descargar PDF» del carné</t>
        </is>
      </c>
      <c r="D91" s="5" t="n">
        <v>2</v>
      </c>
      <c r="E91" s="8">
        <f>D91</f>
        <v/>
      </c>
      <c r="F91" s="4" t="inlineStr">
        <is>
          <t>5.12</t>
        </is>
      </c>
      <c r="G91" s="7" t="inlineStr">
        <is>
          <t>Sí</t>
        </is>
      </c>
      <c r="H91" s="7" t="inlineStr">
        <is>
          <t>4.19</t>
        </is>
      </c>
      <c r="I91" s="18" t="inlineStr">
        <is>
          <t>A</t>
        </is>
      </c>
      <c r="J91" s="8" t="n">
        <v>74</v>
      </c>
      <c r="K91" s="8" t="n">
        <v>77</v>
      </c>
      <c r="L91" s="8">
        <f>K91+E91</f>
        <v/>
      </c>
      <c r="M91" s="8">
        <f>K91-J91</f>
        <v/>
      </c>
      <c r="N91" s="8">
        <f>"S"&amp;(INT(K91/Resumen!$C$5)+1)&amp;"–S"&amp;MAX(INT(K91/Resumen!$C$5)+1,ROUNDUP(L91/Resumen!$C$5,0))</f>
        <v/>
      </c>
      <c r="O91" s="8" t="inlineStr">
        <is>
          <t>Hecho</t>
        </is>
      </c>
      <c r="P91" s="8" t="inlineStr">
        <is>
          <t>Agregado</t>
        </is>
      </c>
      <c r="Q91" s="7" t="inlineStr">
        <is>
          <t>ga-funcionalidad-botones</t>
        </is>
      </c>
      <c r="R91" s="7" t="inlineStr"/>
    </row>
    <row r="92">
      <c r="A92" s="19" t="inlineStr">
        <is>
          <t>4.17</t>
        </is>
      </c>
      <c r="B92" s="7" t="inlineStr">
        <is>
          <t>4. Panel de administración</t>
        </is>
      </c>
      <c r="C92" s="7" t="inlineStr">
        <is>
          <t>Recuperación de acceso (Anexo Técnico fase 2, O-1): /ingresar/recuperar, cambio de correo asistido en /admin y propio en /cuenta/perfil, correcciones SEC-REC-01 a 05 (migración 20261002500000)</t>
        </is>
      </c>
      <c r="D92" s="5" t="n">
        <v>4</v>
      </c>
      <c r="E92" s="8">
        <f>D92</f>
        <v/>
      </c>
      <c r="F92" s="4" t="inlineStr">
        <is>
          <t>4.14</t>
        </is>
      </c>
      <c r="G92" s="7" t="inlineStr">
        <is>
          <t>Sí</t>
        </is>
      </c>
      <c r="H92" s="7" t="inlineStr">
        <is>
          <t>2.11, 4.7</t>
        </is>
      </c>
      <c r="I92" s="18" t="inlineStr">
        <is>
          <t>B</t>
        </is>
      </c>
      <c r="J92" s="8" t="n">
        <v>60</v>
      </c>
      <c r="K92" s="8" t="n">
        <v>84</v>
      </c>
      <c r="L92" s="8">
        <f>K92+E92</f>
        <v/>
      </c>
      <c r="M92" s="8">
        <f>K92-J92</f>
        <v/>
      </c>
      <c r="N92" s="8">
        <f>"S"&amp;(INT(K92/Resumen!$C$5)+1)&amp;"–S"&amp;MAX(INT(K92/Resumen!$C$5)+1,ROUNDUP(L92/Resumen!$C$5,0))</f>
        <v/>
      </c>
      <c r="O92" s="8" t="inlineStr">
        <is>
          <t>Hecho</t>
        </is>
      </c>
      <c r="P92" s="8" t="inlineStr">
        <is>
          <t>Agregado</t>
        </is>
      </c>
      <c r="Q92" s="7" t="inlineStr">
        <is>
          <t>ga-funcionalidad-botones + ga-revisor-seguridad</t>
        </is>
      </c>
      <c r="R92" s="7" t="inlineStr"/>
    </row>
    <row r="93">
      <c r="A93" s="19" t="inlineStr">
        <is>
          <t>4.18</t>
        </is>
      </c>
      <c r="B93" s="7" t="inlineStr">
        <is>
          <t>4. Panel de administración</t>
        </is>
      </c>
      <c r="C93" s="7" t="inlineStr">
        <is>
          <t>Reglas de Sebas: admin sin restricción sobre sus clientes y PP retirado (migración 20261002600000) con pgTAP, vitest y e2e ajustados</t>
        </is>
      </c>
      <c r="D93" s="5" t="n">
        <v>2</v>
      </c>
      <c r="E93" s="8">
        <f>D93</f>
        <v/>
      </c>
      <c r="F93" s="4" t="inlineStr">
        <is>
          <t>4.14</t>
        </is>
      </c>
      <c r="G93" s="7" t="inlineStr">
        <is>
          <t>Sí</t>
        </is>
      </c>
      <c r="H93" s="7" t="inlineStr">
        <is>
          <t>6.8, 2.16</t>
        </is>
      </c>
      <c r="I93" s="18" t="inlineStr">
        <is>
          <t>B</t>
        </is>
      </c>
      <c r="J93" s="8" t="n">
        <v>60</v>
      </c>
      <c r="K93" s="8" t="n">
        <v>89</v>
      </c>
      <c r="L93" s="8">
        <f>K93+E93</f>
        <v/>
      </c>
      <c r="M93" s="8">
        <f>K93-J93</f>
        <v/>
      </c>
      <c r="N93" s="8">
        <f>"S"&amp;(INT(K93/Resumen!$C$5)+1)&amp;"–S"&amp;MAX(INT(K93/Resumen!$C$5)+1,ROUNDUP(L93/Resumen!$C$5,0))</f>
        <v/>
      </c>
      <c r="O93" s="8" t="inlineStr">
        <is>
          <t>Hecho</t>
        </is>
      </c>
      <c r="P93" s="8" t="inlineStr">
        <is>
          <t>Agregado</t>
        </is>
      </c>
      <c r="Q93" s="7" t="inlineStr">
        <is>
          <t>ga-escritor-tests + ga-funcionalidad-botones</t>
        </is>
      </c>
      <c r="R93" s="7" t="inlineStr"/>
    </row>
    <row r="94">
      <c r="A94" s="19" t="inlineStr">
        <is>
          <t>4.19</t>
        </is>
      </c>
      <c r="B94" s="7" t="inlineStr">
        <is>
          <t>4. Panel de administración</t>
        </is>
      </c>
      <c r="C94" s="7" t="inlineStr">
        <is>
          <t>Comprobante de desembolso (bucket privado, visible para el asociado) y «Eliminar definitivamente» = anonimizar con código al correo del admin (migración 20261003000000)</t>
        </is>
      </c>
      <c r="D94" s="5" t="n">
        <v>4</v>
      </c>
      <c r="E94" s="8">
        <f>D94</f>
        <v/>
      </c>
      <c r="F94" s="4" t="inlineStr">
        <is>
          <t>4.14</t>
        </is>
      </c>
      <c r="G94" s="7" t="inlineStr">
        <is>
          <t>Sí</t>
        </is>
      </c>
      <c r="H94" s="7" t="inlineStr">
        <is>
          <t>4.23, 5.14</t>
        </is>
      </c>
      <c r="I94" s="18" t="inlineStr">
        <is>
          <t>B</t>
        </is>
      </c>
      <c r="J94" s="8" t="n">
        <v>60</v>
      </c>
      <c r="K94" s="8" t="n">
        <v>75</v>
      </c>
      <c r="L94" s="8">
        <f>K94+E94</f>
        <v/>
      </c>
      <c r="M94" s="8">
        <f>K94-J94</f>
        <v/>
      </c>
      <c r="N94" s="8">
        <f>"S"&amp;(INT(K94/Resumen!$C$5)+1)&amp;"–S"&amp;MAX(INT(K94/Resumen!$C$5)+1,ROUNDUP(L94/Resumen!$C$5,0))</f>
        <v/>
      </c>
      <c r="O94" s="8" t="inlineStr">
        <is>
          <t>Hecho</t>
        </is>
      </c>
      <c r="P94" s="8" t="inlineStr">
        <is>
          <t>Agregado</t>
        </is>
      </c>
      <c r="Q94" s="7" t="inlineStr">
        <is>
          <t>ga-funcionalidad-botones</t>
        </is>
      </c>
      <c r="R94" s="7" t="inlineStr"/>
    </row>
    <row r="95">
      <c r="A95" s="19" t="inlineStr">
        <is>
          <t>4.20</t>
        </is>
      </c>
      <c r="B95" s="7" t="inlineStr">
        <is>
          <t>4. Panel de administración</t>
        </is>
      </c>
      <c r="C95" s="7" t="inlineStr">
        <is>
          <t>Rol secretario (Resumen y afiliaciones, con historial) y búsqueda general de asociados para asesores con cédula enmascarada (migración 20261003100000)</t>
        </is>
      </c>
      <c r="D95" s="5" t="n">
        <v>4</v>
      </c>
      <c r="E95" s="8">
        <f>D95</f>
        <v/>
      </c>
      <c r="F95" s="4" t="inlineStr">
        <is>
          <t>4.14</t>
        </is>
      </c>
      <c r="G95" s="7" t="inlineStr">
        <is>
          <t>Sí</t>
        </is>
      </c>
      <c r="H95" s="7" t="inlineStr">
        <is>
          <t>3.7, 5.6, 5.1</t>
        </is>
      </c>
      <c r="I95" s="18" t="inlineStr">
        <is>
          <t>A</t>
        </is>
      </c>
      <c r="J95" s="8" t="n">
        <v>60</v>
      </c>
      <c r="K95" s="8" t="n">
        <v>60</v>
      </c>
      <c r="L95" s="8">
        <f>K95+E95</f>
        <v/>
      </c>
      <c r="M95" s="8">
        <f>K95-J95</f>
        <v/>
      </c>
      <c r="N95" s="8">
        <f>"S"&amp;(INT(K95/Resumen!$C$5)+1)&amp;"–S"&amp;MAX(INT(K95/Resumen!$C$5)+1,ROUNDUP(L95/Resumen!$C$5,0))</f>
        <v/>
      </c>
      <c r="O95" s="8" t="inlineStr">
        <is>
          <t>Hecho</t>
        </is>
      </c>
      <c r="P95" s="8" t="inlineStr">
        <is>
          <t>Agregado</t>
        </is>
      </c>
      <c r="Q95" s="7" t="inlineStr">
        <is>
          <t>ga-funcionalidad-botones</t>
        </is>
      </c>
      <c r="R95" s="7" t="inlineStr"/>
    </row>
    <row r="96">
      <c r="A96" s="19" t="inlineStr">
        <is>
          <t>5.15</t>
        </is>
      </c>
      <c r="B96" s="4" t="inlineStr">
        <is>
          <t>5. Convenios y pulido</t>
        </is>
      </c>
      <c r="C96" s="7" t="inlineStr">
        <is>
          <t>Foto del asociado en el carné: selfie por defecto, cambiable por el asociado; en carné, PDF, /verificar y ficha del admin (migración 20261003200000)</t>
        </is>
      </c>
      <c r="D96" s="5" t="n">
        <v>3</v>
      </c>
      <c r="E96" s="8">
        <f>D96</f>
        <v/>
      </c>
      <c r="F96" s="4" t="inlineStr">
        <is>
          <t>5.14</t>
        </is>
      </c>
      <c r="G96" s="7" t="inlineStr">
        <is>
          <t>Sí</t>
        </is>
      </c>
      <c r="H96" s="7" t="inlineStr">
        <is>
          <t>5.9</t>
        </is>
      </c>
      <c r="I96" s="18" t="inlineStr">
        <is>
          <t>A</t>
        </is>
      </c>
      <c r="J96" s="8" t="n">
        <v>79</v>
      </c>
      <c r="K96" s="8" t="n">
        <v>80</v>
      </c>
      <c r="L96" s="8">
        <f>K96+E96</f>
        <v/>
      </c>
      <c r="M96" s="8">
        <f>K96-J96</f>
        <v/>
      </c>
      <c r="N96" s="8">
        <f>"S"&amp;(INT(K96/Resumen!$C$5)+1)&amp;"–S"&amp;MAX(INT(K96/Resumen!$C$5)+1,ROUNDUP(L96/Resumen!$C$5,0))</f>
        <v/>
      </c>
      <c r="O96" s="8" t="inlineStr">
        <is>
          <t>Hecho</t>
        </is>
      </c>
      <c r="P96" s="8" t="inlineStr">
        <is>
          <t>Agregado</t>
        </is>
      </c>
      <c r="Q96" s="7" t="inlineStr">
        <is>
          <t>ga-funcionalidad-botones</t>
        </is>
      </c>
      <c r="R96" s="7" t="inlineStr"/>
    </row>
    <row r="97">
      <c r="A97" s="19" t="inlineStr">
        <is>
          <t>5.16</t>
        </is>
      </c>
      <c r="B97" s="4" t="inlineStr">
        <is>
          <t>5. Convenios y pulido</t>
        </is>
      </c>
      <c r="C97" s="7" t="inlineStr">
        <is>
          <t>Vistas de /cuenta y demo del admin/asesor unificadas (CamposSolicitud, TarjetaTope) y comprobante conectado en /cuenta</t>
        </is>
      </c>
      <c r="D97" s="5" t="n">
        <v>2</v>
      </c>
      <c r="E97" s="8">
        <f>D97</f>
        <v/>
      </c>
      <c r="F97" s="4" t="inlineStr">
        <is>
          <t>4.19</t>
        </is>
      </c>
      <c r="G97" s="7" t="inlineStr">
        <is>
          <t>Sí</t>
        </is>
      </c>
      <c r="H97" s="7" t="inlineStr">
        <is>
          <t>6.32, 6.2</t>
        </is>
      </c>
      <c r="I97" s="18" t="inlineStr">
        <is>
          <t>B</t>
        </is>
      </c>
      <c r="J97" s="8" t="n">
        <v>79</v>
      </c>
      <c r="K97" s="8" t="n">
        <v>100</v>
      </c>
      <c r="L97" s="8">
        <f>K97+E97</f>
        <v/>
      </c>
      <c r="M97" s="8">
        <f>K97-J97</f>
        <v/>
      </c>
      <c r="N97" s="8">
        <f>"S"&amp;(INT(K97/Resumen!$C$5)+1)&amp;"–S"&amp;MAX(INT(K97/Resumen!$C$5)+1,ROUNDUP(L97/Resumen!$C$5,0))</f>
        <v/>
      </c>
      <c r="O97" s="8" t="inlineStr">
        <is>
          <t>Hecho</t>
        </is>
      </c>
      <c r="P97" s="8" t="inlineStr">
        <is>
          <t>Agregado</t>
        </is>
      </c>
      <c r="Q97" s="7" t="inlineStr">
        <is>
          <t>ga-diseno-a-codigo + sesión principal</t>
        </is>
      </c>
      <c r="R97" s="7" t="inlineStr"/>
    </row>
    <row r="98">
      <c r="A98" s="19" t="inlineStr">
        <is>
          <t>5.17</t>
        </is>
      </c>
      <c r="B98" s="4" t="inlineStr">
        <is>
          <t>5. Convenios y pulido</t>
        </is>
      </c>
      <c r="C98" s="7" t="inlineStr">
        <is>
          <t>Correos: diagnóstico del correo del sorteo, plan de correos Resend y mensajes de WhatsApp Business</t>
        </is>
      </c>
      <c r="D98" s="5" t="n">
        <v>1</v>
      </c>
      <c r="E98" s="8">
        <f>D98</f>
        <v/>
      </c>
      <c r="F98" s="4" t="inlineStr">
        <is>
          <t>3.9</t>
        </is>
      </c>
      <c r="G98" s="7" t="inlineStr">
        <is>
          <t>Sí</t>
        </is>
      </c>
      <c r="H98" s="7" t="inlineStr">
        <is>
          <t>6.21</t>
        </is>
      </c>
      <c r="I98" s="18" t="inlineStr">
        <is>
          <t>B</t>
        </is>
      </c>
      <c r="J98" s="8" t="n">
        <v>71</v>
      </c>
      <c r="K98" s="8" t="n">
        <v>110</v>
      </c>
      <c r="L98" s="8">
        <f>K98+E98</f>
        <v/>
      </c>
      <c r="M98" s="8">
        <f>K98-J98</f>
        <v/>
      </c>
      <c r="N98" s="8">
        <f>"S"&amp;(INT(K98/Resumen!$C$5)+1)&amp;"–S"&amp;MAX(INT(K98/Resumen!$C$5)+1,ROUNDUP(L98/Resumen!$C$5,0))</f>
        <v/>
      </c>
      <c r="O98" s="8" t="inlineStr">
        <is>
          <t>Hecho</t>
        </is>
      </c>
      <c r="P98" s="8" t="inlineStr">
        <is>
          <t>Agregado</t>
        </is>
      </c>
      <c r="Q98" s="7" t="inlineStr">
        <is>
          <t>ga-correos</t>
        </is>
      </c>
      <c r="R98" s="7" t="inlineStr"/>
    </row>
    <row r="99">
      <c r="A99" s="19" t="inlineStr">
        <is>
          <t>6.26</t>
        </is>
      </c>
      <c r="B99" s="4" t="inlineStr">
        <is>
          <t>6. Pruebas y lanzamiento</t>
        </is>
      </c>
      <c r="C99" s="7" t="inlineStr">
        <is>
          <t>Documentos de entrega en PDF (documentación técnica, respaldo y restauración, manual, actas, constancia), contrato 001-2026 diligenciado con anexos 2 y 3, propuesta de garantía (9-oct al 7-nov) y soporte mensual ($500.000 desde el 8-nov)</t>
        </is>
      </c>
      <c r="D99" s="5" t="n">
        <v>3</v>
      </c>
      <c r="E99" s="8">
        <f>D99</f>
        <v/>
      </c>
      <c r="F99" s="4" t="inlineStr">
        <is>
          <t>—</t>
        </is>
      </c>
      <c r="G99" s="7" t="inlineStr">
        <is>
          <t>Sí</t>
        </is>
      </c>
      <c r="H99" s="7" t="inlineStr">
        <is>
          <t>6.3, 6.33</t>
        </is>
      </c>
      <c r="I99" s="18" t="inlineStr">
        <is>
          <t>B</t>
        </is>
      </c>
      <c r="J99" s="8" t="n">
        <v>0</v>
      </c>
      <c r="K99" s="8" t="n">
        <v>95</v>
      </c>
      <c r="L99" s="8">
        <f>K99+E99</f>
        <v/>
      </c>
      <c r="M99" s="8">
        <f>K99-J99</f>
        <v/>
      </c>
      <c r="N99" s="8">
        <f>"S"&amp;(INT(K99/Resumen!$C$5)+1)&amp;"–S"&amp;MAX(INT(K99/Resumen!$C$5)+1,ROUNDUP(L99/Resumen!$C$5,0))</f>
        <v/>
      </c>
      <c r="O99" s="8" t="inlineStr">
        <is>
          <t>Hecho</t>
        </is>
      </c>
      <c r="P99" s="8" t="inlineStr">
        <is>
          <t>Agregado</t>
        </is>
      </c>
      <c r="Q99" s="7" t="inlineStr">
        <is>
          <t>agente de documentos de entrega + sesión principal</t>
        </is>
      </c>
      <c r="R99" s="7" t="inlineStr"/>
    </row>
    <row r="100">
      <c r="A100" s="19" t="inlineStr">
        <is>
          <t>6.27</t>
        </is>
      </c>
      <c r="B100" s="4" t="inlineStr">
        <is>
          <t>6. Pruebas y lanzamiento</t>
        </is>
      </c>
      <c r="C100" s="7" t="inlineStr">
        <is>
          <t>Aplicar con respaldo previo las migraciones 20261002500000, 20261002600000, 20261003000000, 20261003100000 y 20261003200000 y 20261003300000 y fusionar develop→main</t>
        </is>
      </c>
      <c r="D100" s="5" t="n">
        <v>1</v>
      </c>
      <c r="E100" s="8">
        <f>D100</f>
        <v/>
      </c>
      <c r="F100" s="7" t="inlineStr">
        <is>
          <t>4.17, 4.18, 4.19, 4.20, 5.15, 6.25</t>
        </is>
      </c>
      <c r="G100" s="7" t="inlineStr">
        <is>
          <t>No (usa las 2 filas)</t>
        </is>
      </c>
      <c r="H100" s="7" t="inlineStr">
        <is>
          <t>—</t>
        </is>
      </c>
      <c r="I100" s="18" t="inlineStr">
        <is>
          <t>A+B</t>
        </is>
      </c>
      <c r="J100" s="8" t="n">
        <v>108</v>
      </c>
      <c r="K100" s="8" t="n">
        <v>108</v>
      </c>
      <c r="L100" s="8">
        <f>K100+E100</f>
        <v/>
      </c>
      <c r="M100" s="8">
        <f>K100-J100</f>
        <v/>
      </c>
      <c r="N100" s="8">
        <f>"S"&amp;(INT(K100/Resumen!$C$5)+1)&amp;"–S"&amp;MAX(INT(K100/Resumen!$C$5)+1,ROUNDUP(L100/Resumen!$C$5,0))</f>
        <v/>
      </c>
      <c r="O100" s="8" t="inlineStr">
        <is>
          <t>Hecho</t>
        </is>
      </c>
      <c r="P100" s="8" t="inlineStr">
        <is>
          <t>Agregado</t>
        </is>
      </c>
      <c r="Q100" s="7" t="inlineStr">
        <is>
          <t>Sebas</t>
        </is>
      </c>
      <c r="R100" s="7" t="inlineStr"/>
    </row>
    <row r="101">
      <c r="A101" s="19" t="inlineStr">
        <is>
          <t>6.28</t>
        </is>
      </c>
      <c r="B101" s="4" t="inlineStr">
        <is>
          <t>6. Pruebas y lanzamiento</t>
        </is>
      </c>
      <c r="C101" s="7" t="inlineStr">
        <is>
          <t>Configurar la plantilla del sorteo en Vercel/Resend (RESEND_TEMPLATE_SORTEO_BOLETA, alias ga-sorteo-boleta publicado) y agregar {{{COMPROBANTE}}} a la plantilla de desembolso (más las 5 RESEND_TEMPLATE_* de las plantillas nuevas y redeploy)</t>
        </is>
      </c>
      <c r="D101" s="5" t="n">
        <v>1</v>
      </c>
      <c r="E101" s="8">
        <f>D101</f>
        <v/>
      </c>
      <c r="F101" s="4" t="inlineStr">
        <is>
          <t>5.17, 4.19</t>
        </is>
      </c>
      <c r="G101" s="7" t="inlineStr">
        <is>
          <t>Sí</t>
        </is>
      </c>
      <c r="H101" s="7" t="inlineStr">
        <is>
          <t>4.8</t>
        </is>
      </c>
      <c r="I101" s="18" t="inlineStr">
        <is>
          <t>A</t>
        </is>
      </c>
      <c r="J101" s="8" t="n">
        <v>111</v>
      </c>
      <c r="K101" s="8" t="n">
        <v>118</v>
      </c>
      <c r="L101" s="8">
        <f>K101+E101</f>
        <v/>
      </c>
      <c r="M101" s="8">
        <f>K101-J101</f>
        <v/>
      </c>
      <c r="N101" s="8">
        <f>"S"&amp;(INT(K101/Resumen!$C$5)+1)&amp;"–S"&amp;MAX(INT(K101/Resumen!$C$5)+1,ROUNDUP(L101/Resumen!$C$5,0))</f>
        <v/>
      </c>
      <c r="O101" s="8" t="inlineStr">
        <is>
          <t>Hecho</t>
        </is>
      </c>
      <c r="P101" s="8" t="inlineStr">
        <is>
          <t>Agregado</t>
        </is>
      </c>
      <c r="Q101" s="7" t="inlineStr">
        <is>
          <t>Sebas</t>
        </is>
      </c>
      <c r="R101" s="7" t="inlineStr"/>
    </row>
    <row r="102">
      <c r="A102" s="19" t="inlineStr">
        <is>
          <t>6.29</t>
        </is>
      </c>
      <c r="B102" s="4" t="inlineStr">
        <is>
          <t>6. Pruebas y lanzamiento</t>
        </is>
      </c>
      <c r="C102" s="7" t="inlineStr">
        <is>
          <t>Entrega final y último pago (viernes 9-oct; garantía 9-oct al 7-nov, soporte desde el 8-nov)</t>
        </is>
      </c>
      <c r="D102" s="5" t="n">
        <v>1</v>
      </c>
      <c r="E102" s="8">
        <f>D102</f>
        <v/>
      </c>
      <c r="F102" s="7" t="inlineStr">
        <is>
          <t>6.26, 6.27, 6.28, 6.32, 6.36, 6.39, 6.40</t>
        </is>
      </c>
      <c r="G102" s="7" t="inlineStr">
        <is>
          <t>No (usa las 2 filas)</t>
        </is>
      </c>
      <c r="H102" s="7" t="inlineStr">
        <is>
          <t>—</t>
        </is>
      </c>
      <c r="I102" s="18" t="inlineStr">
        <is>
          <t>A+B</t>
        </is>
      </c>
      <c r="J102" s="8" t="n">
        <v>124</v>
      </c>
      <c r="K102" s="8" t="n">
        <v>130</v>
      </c>
      <c r="L102" s="8">
        <f>K102+E102</f>
        <v/>
      </c>
      <c r="M102" s="8">
        <f>K102-J102</f>
        <v/>
      </c>
      <c r="N102" s="8">
        <f>"S"&amp;(INT(K102/Resumen!$C$5)+1)&amp;"–S"&amp;MAX(INT(K102/Resumen!$C$5)+1,ROUNDUP(L102/Resumen!$C$5,0))</f>
        <v/>
      </c>
      <c r="O102" s="8" t="inlineStr">
        <is>
          <t>Hecho</t>
        </is>
      </c>
      <c r="P102" s="8" t="inlineStr">
        <is>
          <t>Agregado</t>
        </is>
      </c>
      <c r="Q102" s="7" t="inlineStr">
        <is>
          <t>Sebas</t>
        </is>
      </c>
      <c r="R102" s="7" t="inlineStr"/>
    </row>
    <row r="103">
      <c r="A103" s="19" t="inlineStr">
        <is>
          <t>4.21</t>
        </is>
      </c>
      <c r="B103" s="7" t="inlineStr">
        <is>
          <t>4. Panel de administración</t>
        </is>
      </c>
      <c r="C103" s="7" t="inlineStr">
        <is>
          <t>Secretario con Asociados y Créditos en solo lectura, cambio de rol y desactivación de secretarios, búsqueda con nombre del admin e Historial del equipo (migración 20261003300000)</t>
        </is>
      </c>
      <c r="D103" s="5" t="n">
        <v>3</v>
      </c>
      <c r="E103" s="8">
        <f>D103</f>
        <v/>
      </c>
      <c r="F103" s="4" t="inlineStr">
        <is>
          <t>4.20</t>
        </is>
      </c>
      <c r="G103" s="7" t="inlineStr">
        <is>
          <t>Sí</t>
        </is>
      </c>
      <c r="H103" s="7" t="inlineStr">
        <is>
          <t>5.10, 4.22</t>
        </is>
      </c>
      <c r="I103" s="18" t="inlineStr">
        <is>
          <t>A</t>
        </is>
      </c>
      <c r="J103" s="8" t="n">
        <v>64</v>
      </c>
      <c r="K103" s="8" t="n">
        <v>124</v>
      </c>
      <c r="L103" s="8">
        <f>K103+E103</f>
        <v/>
      </c>
      <c r="M103" s="8">
        <f>K103-J103</f>
        <v/>
      </c>
      <c r="N103" s="8">
        <f>"S"&amp;(INT(K103/Resumen!$C$5)+1)&amp;"–S"&amp;MAX(INT(K103/Resumen!$C$5)+1,ROUNDUP(L103/Resumen!$C$5,0))</f>
        <v/>
      </c>
      <c r="O103" s="8" t="inlineStr">
        <is>
          <t>Hecho</t>
        </is>
      </c>
      <c r="P103" s="8" t="inlineStr">
        <is>
          <t>Agregado</t>
        </is>
      </c>
      <c r="Q103" s="7" t="inlineStr">
        <is>
          <t>ga-funcionalidad-botones + ga-auditor-supabase</t>
        </is>
      </c>
      <c r="R103" s="7" t="inlineStr"/>
    </row>
    <row r="104">
      <c r="A104" s="19" t="inlineStr">
        <is>
          <t>4.22</t>
        </is>
      </c>
      <c r="B104" s="7" t="inlineStr">
        <is>
          <t>4. Panel de administración</t>
        </is>
      </c>
      <c r="C104" s="7" t="inlineStr">
        <is>
          <t>Comprobantes de un asociado eliminado se conservan 30 días y se borran con la tarea programada /api/cron/limpiar-fotos (comprobante_borrar_at)</t>
        </is>
      </c>
      <c r="D104" s="5" t="n">
        <v>1</v>
      </c>
      <c r="E104" s="8">
        <f>D104</f>
        <v/>
      </c>
      <c r="F104" s="4" t="inlineStr">
        <is>
          <t>4.19</t>
        </is>
      </c>
      <c r="G104" s="7" t="inlineStr">
        <is>
          <t>Sí</t>
        </is>
      </c>
      <c r="H104" s="7" t="inlineStr">
        <is>
          <t>4.21</t>
        </is>
      </c>
      <c r="I104" s="18" t="inlineStr">
        <is>
          <t>B</t>
        </is>
      </c>
      <c r="J104" s="8" t="n">
        <v>79</v>
      </c>
      <c r="K104" s="8" t="n">
        <v>126</v>
      </c>
      <c r="L104" s="8">
        <f>K104+E104</f>
        <v/>
      </c>
      <c r="M104" s="8">
        <f>K104-J104</f>
        <v/>
      </c>
      <c r="N104" s="8">
        <f>"S"&amp;(INT(K104/Resumen!$C$5)+1)&amp;"–S"&amp;MAX(INT(K104/Resumen!$C$5)+1,ROUNDUP(L104/Resumen!$C$5,0))</f>
        <v/>
      </c>
      <c r="O104" s="8" t="inlineStr">
        <is>
          <t>Hecho</t>
        </is>
      </c>
      <c r="P104" s="8" t="inlineStr">
        <is>
          <t>Agregado</t>
        </is>
      </c>
      <c r="Q104" s="7" t="inlineStr">
        <is>
          <t>ga-funcionalidad-botones</t>
        </is>
      </c>
      <c r="R104" s="7" t="inlineStr"/>
    </row>
    <row r="105">
      <c r="A105" s="19" t="inlineStr">
        <is>
          <t>5.18</t>
        </is>
      </c>
      <c r="B105" s="4" t="inlineStr">
        <is>
          <t>5. Convenios y pulido</t>
        </is>
      </c>
      <c r="C105" s="7" t="inlineStr">
        <is>
          <t>5 plantillas HTML nuevas de Resend (desembolsado, habilitado, sorteo-ganador, correo-cambiado, codigo-eliminacion) y guía de publicación de las 10 plantillas</t>
        </is>
      </c>
      <c r="D105" s="5" t="n">
        <v>1</v>
      </c>
      <c r="E105" s="8">
        <f>D105</f>
        <v/>
      </c>
      <c r="F105" s="4" t="inlineStr">
        <is>
          <t>5.17</t>
        </is>
      </c>
      <c r="G105" s="7" t="inlineStr">
        <is>
          <t>Sí</t>
        </is>
      </c>
      <c r="H105" s="7" t="inlineStr">
        <is>
          <t>4.8</t>
        </is>
      </c>
      <c r="I105" s="18" t="inlineStr">
        <is>
          <t>A</t>
        </is>
      </c>
      <c r="J105" s="8" t="n">
        <v>111</v>
      </c>
      <c r="K105" s="8" t="n">
        <v>117</v>
      </c>
      <c r="L105" s="8">
        <f>K105+E105</f>
        <v/>
      </c>
      <c r="M105" s="8">
        <f>K105-J105</f>
        <v/>
      </c>
      <c r="N105" s="8">
        <f>"S"&amp;(INT(K105/Resumen!$C$5)+1)&amp;"–S"&amp;MAX(INT(K105/Resumen!$C$5)+1,ROUNDUP(L105/Resumen!$C$5,0))</f>
        <v/>
      </c>
      <c r="O105" s="8" t="inlineStr">
        <is>
          <t>Hecho</t>
        </is>
      </c>
      <c r="P105" s="8" t="inlineStr">
        <is>
          <t>Agregado</t>
        </is>
      </c>
      <c r="Q105" s="7" t="inlineStr">
        <is>
          <t>ga-correos</t>
        </is>
      </c>
      <c r="R105" s="7" t="inlineStr"/>
    </row>
    <row r="106">
      <c r="A106" s="19" t="inlineStr">
        <is>
          <t>5.19</t>
        </is>
      </c>
      <c r="B106" s="4" t="inlineStr">
        <is>
          <t>5. Convenios y pulido</t>
        </is>
      </c>
      <c r="C106" s="7" t="inlineStr">
        <is>
          <t>Demo de asesor y admin con los convenios reales de la tabla; Patrullero de Policía (PP) vuelve a ofrecerse con cupo 1,0/2,1 M (migración 20261008000000, sin aplicar); agentes un escalón abajo</t>
        </is>
      </c>
      <c r="D106" s="5" t="n">
        <v>1</v>
      </c>
      <c r="E106" s="8">
        <f>D106</f>
        <v/>
      </c>
      <c r="F106" s="4" t="inlineStr">
        <is>
          <t>5.9</t>
        </is>
      </c>
      <c r="G106" s="7" t="inlineStr">
        <is>
          <t>Sí</t>
        </is>
      </c>
      <c r="H106" s="7" t="inlineStr">
        <is>
          <t>4.7</t>
        </is>
      </c>
      <c r="I106" s="18" t="inlineStr">
        <is>
          <t>B</t>
        </is>
      </c>
      <c r="J106" s="8" t="n">
        <v>83</v>
      </c>
      <c r="K106" s="8" t="n">
        <v>88</v>
      </c>
      <c r="L106" s="8">
        <f>K106+E106</f>
        <v/>
      </c>
      <c r="M106" s="8">
        <f>K106-J106</f>
        <v/>
      </c>
      <c r="N106" s="8">
        <f>"S"&amp;(INT(K106/Resumen!$C$5)+1)&amp;"–S"&amp;MAX(INT(K106/Resumen!$C$5)+1,ROUNDUP(L106/Resumen!$C$5,0))</f>
        <v/>
      </c>
      <c r="O106" s="8" t="inlineStr">
        <is>
          <t>Hecho</t>
        </is>
      </c>
      <c r="P106" s="8" t="inlineStr">
        <is>
          <t>Agregado</t>
        </is>
      </c>
      <c r="Q106" s="7" t="inlineStr">
        <is>
          <t>sesión principal</t>
        </is>
      </c>
      <c r="R106" s="7" t="inlineStr"/>
    </row>
    <row r="107">
      <c r="A107" s="19" t="inlineStr">
        <is>
          <t>6.30</t>
        </is>
      </c>
      <c r="B107" s="4" t="inlineStr">
        <is>
          <t>6. Pruebas y lanzamiento</t>
        </is>
      </c>
      <c r="C107" s="7" t="inlineStr">
        <is>
          <t>Resincronizar las migraciones 20261003000000/100000/200000 con producción y mover lo posterior a 20261003300000</t>
        </is>
      </c>
      <c r="D107" s="5" t="n">
        <v>1</v>
      </c>
      <c r="E107" s="8">
        <f>D107</f>
        <v/>
      </c>
      <c r="F107" s="4" t="inlineStr">
        <is>
          <t>4.20</t>
        </is>
      </c>
      <c r="G107" s="7" t="inlineStr">
        <is>
          <t>Sí</t>
        </is>
      </c>
      <c r="H107" s="7" t="inlineStr">
        <is>
          <t>4.16</t>
        </is>
      </c>
      <c r="I107" s="18" t="inlineStr">
        <is>
          <t>B</t>
        </is>
      </c>
      <c r="J107" s="8" t="n">
        <v>64</v>
      </c>
      <c r="K107" s="8" t="n">
        <v>113</v>
      </c>
      <c r="L107" s="8">
        <f>K107+E107</f>
        <v/>
      </c>
      <c r="M107" s="8">
        <f>K107-J107</f>
        <v/>
      </c>
      <c r="N107" s="8">
        <f>"S"&amp;(INT(K107/Resumen!$C$5)+1)&amp;"–S"&amp;MAX(INT(K107/Resumen!$C$5)+1,ROUNDUP(L107/Resumen!$C$5,0))</f>
        <v/>
      </c>
      <c r="O107" s="8" t="inlineStr">
        <is>
          <t>Hecho</t>
        </is>
      </c>
      <c r="P107" s="8" t="inlineStr">
        <is>
          <t>Agregado</t>
        </is>
      </c>
      <c r="Q107" s="7" t="inlineStr">
        <is>
          <t>ga-auditor-supabase</t>
        </is>
      </c>
      <c r="R107" s="7" t="inlineStr"/>
    </row>
    <row r="108">
      <c r="A108" s="19" t="inlineStr">
        <is>
          <t>6.31</t>
        </is>
      </c>
      <c r="B108" s="4" t="inlineStr">
        <is>
          <t>6. Pruebas y lanzamiento</t>
        </is>
      </c>
      <c r="C108" s="7" t="inlineStr">
        <is>
          <t>Revisión de seguridad y privacidad del 8-oct (897adf6..develop 74642c0): carné, recuperación de acceso, comprobantes, secretario, correos, convenios y PP</t>
        </is>
      </c>
      <c r="D108" s="5" t="n">
        <v>1</v>
      </c>
      <c r="E108" s="8">
        <f>D108</f>
        <v/>
      </c>
      <c r="F108" s="4" t="inlineStr">
        <is>
          <t>4.20</t>
        </is>
      </c>
      <c r="G108" s="7" t="inlineStr">
        <is>
          <t>Sí</t>
        </is>
      </c>
      <c r="H108" s="7" t="inlineStr">
        <is>
          <t>3.9</t>
        </is>
      </c>
      <c r="I108" s="18" t="inlineStr">
        <is>
          <t>B</t>
        </is>
      </c>
      <c r="J108" s="8" t="n">
        <v>64</v>
      </c>
      <c r="K108" s="8" t="n">
        <v>70</v>
      </c>
      <c r="L108" s="8">
        <f>K108+E108</f>
        <v/>
      </c>
      <c r="M108" s="8">
        <f>K108-J108</f>
        <v/>
      </c>
      <c r="N108" s="8">
        <f>"S"&amp;(INT(K108/Resumen!$C$5)+1)&amp;"–S"&amp;MAX(INT(K108/Resumen!$C$5)+1,ROUNDUP(L108/Resumen!$C$5,0))</f>
        <v/>
      </c>
      <c r="O108" s="8" t="inlineStr">
        <is>
          <t>Hecho</t>
        </is>
      </c>
      <c r="P108" s="8" t="inlineStr">
        <is>
          <t>Agregado</t>
        </is>
      </c>
      <c r="Q108" s="7" t="inlineStr">
        <is>
          <t>ga-revisor-seguridad</t>
        </is>
      </c>
      <c r="R108" s="7" t="inlineStr"/>
    </row>
    <row r="109">
      <c r="A109" s="19" t="inlineStr">
        <is>
          <t>6.32</t>
        </is>
      </c>
      <c r="B109" s="4" t="inlineStr">
        <is>
          <t>6. Pruebas y lanzamiento</t>
        </is>
      </c>
      <c r="C109" s="7" t="inlineStr">
        <is>
          <t>H-01 (alta): quitar el WhatsApp de convenios de la landing (cargarConvenios en app/page.tsx) y revocar telefono_contacto a anon</t>
        </is>
      </c>
      <c r="D109" s="5" t="n">
        <v>2</v>
      </c>
      <c r="E109" s="8">
        <f>D109</f>
        <v/>
      </c>
      <c r="F109" s="4" t="inlineStr">
        <is>
          <t>6.31</t>
        </is>
      </c>
      <c r="G109" s="7" t="inlineStr">
        <is>
          <t>Sí</t>
        </is>
      </c>
      <c r="H109" s="7" t="inlineStr">
        <is>
          <t>5.7, 5.16</t>
        </is>
      </c>
      <c r="I109" s="18" t="inlineStr">
        <is>
          <t>A</t>
        </is>
      </c>
      <c r="J109" s="8" t="n">
        <v>71</v>
      </c>
      <c r="K109" s="8" t="n">
        <v>99</v>
      </c>
      <c r="L109" s="8">
        <f>K109+E109</f>
        <v/>
      </c>
      <c r="M109" s="8">
        <f>K109-J109</f>
        <v/>
      </c>
      <c r="N109" s="8">
        <f>"S"&amp;(INT(K109/Resumen!$C$5)+1)&amp;"–S"&amp;MAX(INT(K109/Resumen!$C$5)+1,ROUNDUP(L109/Resumen!$C$5,0))</f>
        <v/>
      </c>
      <c r="O109" s="8" t="inlineStr">
        <is>
          <t>Hecho</t>
        </is>
      </c>
      <c r="P109" s="8" t="inlineStr">
        <is>
          <t>Agregado</t>
        </is>
      </c>
      <c r="Q109" s="7" t="inlineStr">
        <is>
          <t>ga-funcionalidad-botones + ga-auditor-supabase + sesión principal</t>
        </is>
      </c>
      <c r="R109" s="7" t="inlineStr"/>
    </row>
    <row r="110">
      <c r="A110" s="19" t="inlineStr">
        <is>
          <t>6.33</t>
        </is>
      </c>
      <c r="B110" s="4" t="inlineStr">
        <is>
          <t>6. Pruebas y lanzamiento</t>
        </is>
      </c>
      <c r="C110" s="7" t="inlineStr">
        <is>
          <t>Hallazgos medios H-02 a H-05: búsqueda de cédula exacta, cambio de correo atado a la solicitud, foto en la verificación pública y recuperación bloqueable</t>
        </is>
      </c>
      <c r="D110" s="5" t="n">
        <v>3</v>
      </c>
      <c r="E110" s="8">
        <f>D110</f>
        <v/>
      </c>
      <c r="F110" s="4" t="inlineStr">
        <is>
          <t>6.31</t>
        </is>
      </c>
      <c r="G110" s="7" t="inlineStr">
        <is>
          <t>Sí</t>
        </is>
      </c>
      <c r="H110" s="7" t="inlineStr">
        <is>
          <t>6.26, 5.7</t>
        </is>
      </c>
      <c r="I110" s="18" t="inlineStr">
        <is>
          <t>A</t>
        </is>
      </c>
      <c r="J110" s="8" t="n">
        <v>71</v>
      </c>
      <c r="K110" s="8" t="n">
        <v>96</v>
      </c>
      <c r="L110" s="8">
        <f>K110+E110</f>
        <v/>
      </c>
      <c r="M110" s="8">
        <f>K110-J110</f>
        <v/>
      </c>
      <c r="N110" s="8">
        <f>"S"&amp;(INT(K110/Resumen!$C$5)+1)&amp;"–S"&amp;MAX(INT(K110/Resumen!$C$5)+1,ROUNDUP(L110/Resumen!$C$5,0))</f>
        <v/>
      </c>
      <c r="O110" s="8" t="inlineStr">
        <is>
          <t>Hecho</t>
        </is>
      </c>
      <c r="P110" s="8" t="inlineStr">
        <is>
          <t>Agregado</t>
        </is>
      </c>
      <c r="Q110" s="7" t="inlineStr">
        <is>
          <t>ga-funcionalidad-botones + ga-auditor-supabase + sesión principal</t>
        </is>
      </c>
      <c r="R110" s="7" t="inlineStr"/>
    </row>
    <row r="111">
      <c r="A111" s="19" t="inlineStr">
        <is>
          <t>6.34</t>
        </is>
      </c>
      <c r="B111" s="4" t="inlineStr">
        <is>
          <t>6. Pruebas y lanzamiento</t>
        </is>
      </c>
      <c r="C111" s="7" t="inlineStr">
        <is>
          <t>Hallazgos bajos H-07, H-09 y H-10 de la revisión del 8-oct</t>
        </is>
      </c>
      <c r="D111" s="5" t="n">
        <v>1</v>
      </c>
      <c r="E111" s="8">
        <f>D111</f>
        <v/>
      </c>
      <c r="F111" s="4" t="inlineStr">
        <is>
          <t>6.31</t>
        </is>
      </c>
      <c r="G111" s="7" t="inlineStr">
        <is>
          <t>Sí</t>
        </is>
      </c>
      <c r="H111" s="7" t="inlineStr">
        <is>
          <t>6.9</t>
        </is>
      </c>
      <c r="I111" s="18" t="inlineStr">
        <is>
          <t>B</t>
        </is>
      </c>
      <c r="J111" s="8" t="n">
        <v>71</v>
      </c>
      <c r="K111" s="8" t="n">
        <v>83</v>
      </c>
      <c r="L111" s="8">
        <f>K111+E111</f>
        <v/>
      </c>
      <c r="M111" s="8">
        <f>K111-J111</f>
        <v/>
      </c>
      <c r="N111" s="8">
        <f>"S"&amp;(INT(K111/Resumen!$C$5)+1)&amp;"–S"&amp;MAX(INT(K111/Resumen!$C$5)+1,ROUNDUP(L111/Resumen!$C$5,0))</f>
        <v/>
      </c>
      <c r="O111" s="8" t="inlineStr">
        <is>
          <t>Hecho</t>
        </is>
      </c>
      <c r="P111" s="8" t="inlineStr">
        <is>
          <t>Agregado</t>
        </is>
      </c>
      <c r="Q111" s="7" t="inlineStr">
        <is>
          <t>ga-funcionalidad-botones + ga-auditor-supabase + sesión principal</t>
        </is>
      </c>
      <c r="R111" s="7" t="inlineStr"/>
    </row>
    <row r="112">
      <c r="A112" s="19" t="inlineStr">
        <is>
          <t>6.35</t>
        </is>
      </c>
      <c r="B112" s="4" t="inlineStr">
        <is>
          <t>6. Pruebas y lanzamiento</t>
        </is>
      </c>
      <c r="C112" s="7" t="inlineStr">
        <is>
          <t>npm audit fix (H-06): sharp y source-map-js</t>
        </is>
      </c>
      <c r="D112" s="5" t="n">
        <v>1</v>
      </c>
      <c r="E112" s="8">
        <f>D112</f>
        <v/>
      </c>
      <c r="F112" s="4" t="inlineStr">
        <is>
          <t>6.31</t>
        </is>
      </c>
      <c r="G112" s="7" t="inlineStr">
        <is>
          <t>Sí</t>
        </is>
      </c>
      <c r="H112" s="7" t="inlineStr">
        <is>
          <t>4.8</t>
        </is>
      </c>
      <c r="I112" s="18" t="inlineStr">
        <is>
          <t>A</t>
        </is>
      </c>
      <c r="J112" s="8" t="n">
        <v>71</v>
      </c>
      <c r="K112" s="8" t="n">
        <v>119</v>
      </c>
      <c r="L112" s="8">
        <f>K112+E112</f>
        <v/>
      </c>
      <c r="M112" s="8">
        <f>K112-J112</f>
        <v/>
      </c>
      <c r="N112" s="8">
        <f>"S"&amp;(INT(K112/Resumen!$C$5)+1)&amp;"–S"&amp;MAX(INT(K112/Resumen!$C$5)+1,ROUNDUP(L112/Resumen!$C$5,0))</f>
        <v/>
      </c>
      <c r="O112" s="8" t="inlineStr">
        <is>
          <t>Hecho</t>
        </is>
      </c>
      <c r="P112" s="8" t="inlineStr">
        <is>
          <t>Agregado</t>
        </is>
      </c>
      <c r="Q112" s="7" t="inlineStr">
        <is>
          <t>sesión principal</t>
        </is>
      </c>
      <c r="R112" s="7" t="inlineStr"/>
    </row>
    <row r="113">
      <c r="A113" s="19" t="inlineStr">
        <is>
          <t>6.36</t>
        </is>
      </c>
      <c r="B113" s="4" t="inlineStr">
        <is>
          <t>6. Pruebas y lanzamiento</t>
        </is>
      </c>
      <c r="C113" s="7" t="inlineStr">
        <is>
          <t>Aplicar con respaldo la migración 20261008000000 (Patrullero de Policía) en producción</t>
        </is>
      </c>
      <c r="D113" s="5" t="n">
        <v>1</v>
      </c>
      <c r="E113" s="8">
        <f>D113</f>
        <v/>
      </c>
      <c r="F113" s="4" t="inlineStr">
        <is>
          <t>5.19</t>
        </is>
      </c>
      <c r="G113" s="7" t="inlineStr">
        <is>
          <t>No (usa las 2 filas)</t>
        </is>
      </c>
      <c r="H113" s="7" t="inlineStr">
        <is>
          <t>—</t>
        </is>
      </c>
      <c r="I113" s="18" t="inlineStr">
        <is>
          <t>A+B</t>
        </is>
      </c>
      <c r="J113" s="8" t="n">
        <v>89</v>
      </c>
      <c r="K113" s="8" t="n">
        <v>121</v>
      </c>
      <c r="L113" s="8">
        <f>K113+E113</f>
        <v/>
      </c>
      <c r="M113" s="8">
        <f>K113-J113</f>
        <v/>
      </c>
      <c r="N113" s="8">
        <f>"S"&amp;(INT(K113/Resumen!$C$5)+1)&amp;"–S"&amp;MAX(INT(K113/Resumen!$C$5)+1,ROUNDUP(L113/Resumen!$C$5,0))</f>
        <v/>
      </c>
      <c r="O113" s="8" t="inlineStr">
        <is>
          <t>Hecho</t>
        </is>
      </c>
      <c r="P113" s="8" t="inlineStr">
        <is>
          <t>Agregado</t>
        </is>
      </c>
      <c r="Q113" s="7" t="inlineStr">
        <is>
          <t>Sebas</t>
        </is>
      </c>
      <c r="R113" s="7" t="inlineStr"/>
    </row>
    <row r="114">
      <c r="A114" s="19" t="inlineStr">
        <is>
          <t>6.37</t>
        </is>
      </c>
      <c r="B114" s="4" t="inlineStr">
        <is>
          <t>6. Pruebas y lanzamiento</t>
        </is>
      </c>
      <c r="C114" s="7" t="inlineStr">
        <is>
          <t>Borrar en el SQL Editor las 2 solicitudes de crédito de prueba (cuenta eliminada)</t>
        </is>
      </c>
      <c r="D114" s="5" t="n">
        <v>1</v>
      </c>
      <c r="E114" s="8">
        <f>D114</f>
        <v/>
      </c>
      <c r="F114" s="4" t="inlineStr">
        <is>
          <t>—</t>
        </is>
      </c>
      <c r="G114" s="7" t="inlineStr">
        <is>
          <t>Sí</t>
        </is>
      </c>
      <c r="H114" s="7" t="inlineStr">
        <is>
          <t>3.2</t>
        </is>
      </c>
      <c r="I114" s="18" t="inlineStr">
        <is>
          <t>B</t>
        </is>
      </c>
      <c r="J114" s="8" t="n">
        <v>0</v>
      </c>
      <c r="K114" s="8" t="n">
        <v>127</v>
      </c>
      <c r="L114" s="8">
        <f>K114+E114</f>
        <v/>
      </c>
      <c r="M114" s="8">
        <f>K114-J114</f>
        <v/>
      </c>
      <c r="N114" s="8">
        <f>"S"&amp;(INT(K114/Resumen!$C$5)+1)&amp;"–S"&amp;MAX(INT(K114/Resumen!$C$5)+1,ROUNDUP(L114/Resumen!$C$5,0))</f>
        <v/>
      </c>
      <c r="O114" s="8" t="inlineStr">
        <is>
          <t>Hecho</t>
        </is>
      </c>
      <c r="P114" s="8" t="inlineStr">
        <is>
          <t>Agregado</t>
        </is>
      </c>
      <c r="Q114" s="7" t="inlineStr">
        <is>
          <t>Sebas</t>
        </is>
      </c>
      <c r="R114" s="7" t="inlineStr"/>
    </row>
    <row r="115">
      <c r="A115" s="19" t="inlineStr">
        <is>
          <t>6.38</t>
        </is>
      </c>
      <c r="B115" s="4" t="inlineStr">
        <is>
          <t>6. Pruebas y lanzamiento</t>
        </is>
      </c>
      <c r="C115" s="7" t="inlineStr">
        <is>
          <t>Activar SVM en el BIOS para Docker y volver a correr pgTAP y e2e</t>
        </is>
      </c>
      <c r="D115" s="5" t="n">
        <v>1</v>
      </c>
      <c r="E115" s="8">
        <f>D115</f>
        <v/>
      </c>
      <c r="F115" s="4" t="inlineStr">
        <is>
          <t>—</t>
        </is>
      </c>
      <c r="G115" s="7" t="inlineStr">
        <is>
          <t>Sí (sin par en el plan)</t>
        </is>
      </c>
      <c r="H115" s="7" t="inlineStr">
        <is>
          <t>—</t>
        </is>
      </c>
      <c r="I115" s="18" t="inlineStr">
        <is>
          <t>A</t>
        </is>
      </c>
      <c r="J115" s="8" t="n">
        <v>0</v>
      </c>
      <c r="K115" s="8" t="n">
        <v>132</v>
      </c>
      <c r="L115" s="8">
        <f>K115+E115</f>
        <v/>
      </c>
      <c r="M115" s="8">
        <f>K115-J115</f>
        <v/>
      </c>
      <c r="N115" s="8">
        <f>"S"&amp;(INT(K115/Resumen!$C$5)+1)&amp;"–S"&amp;MAX(INT(K115/Resumen!$C$5)+1,ROUNDUP(L115/Resumen!$C$5,0))</f>
        <v/>
      </c>
      <c r="O115" s="8" t="inlineStr">
        <is>
          <t>Hecho</t>
        </is>
      </c>
      <c r="P115" s="8" t="inlineStr">
        <is>
          <t>Agregado</t>
        </is>
      </c>
      <c r="Q115" s="7" t="inlineStr">
        <is>
          <t>Sebas</t>
        </is>
      </c>
      <c r="R115" s="7" t="inlineStr"/>
    </row>
    <row r="116">
      <c r="A116" s="19" t="inlineStr">
        <is>
          <t>6.39</t>
        </is>
      </c>
      <c r="B116" s="4" t="inlineStr">
        <is>
          <t>6. Pruebas y lanzamiento</t>
        </is>
      </c>
      <c r="C116" s="7" t="inlineStr">
        <is>
          <t>Aplicar con respaldo la migración 20261009000000 (hallazgos de seguridad del 8-oct) en producción</t>
        </is>
      </c>
      <c r="D116" s="5" t="n">
        <v>1</v>
      </c>
      <c r="E116" s="8">
        <f>D116</f>
        <v/>
      </c>
      <c r="F116" s="4" t="inlineStr">
        <is>
          <t>6.32, 6.33, 6.34, 6.36</t>
        </is>
      </c>
      <c r="G116" s="7" t="inlineStr">
        <is>
          <t>No (usa las 2 filas)</t>
        </is>
      </c>
      <c r="H116" s="7" t="inlineStr">
        <is>
          <t>—</t>
        </is>
      </c>
      <c r="I116" s="18" t="inlineStr">
        <is>
          <t>A+B</t>
        </is>
      </c>
      <c r="J116" s="8" t="n">
        <v>122</v>
      </c>
      <c r="K116" s="8" t="n">
        <v>122</v>
      </c>
      <c r="L116" s="8">
        <f>K116+E116</f>
        <v/>
      </c>
      <c r="M116" s="8">
        <f>K116-J116</f>
        <v/>
      </c>
      <c r="N116" s="8">
        <f>"S"&amp;(INT(K116/Resumen!$C$5)+1)&amp;"–S"&amp;MAX(INT(K116/Resumen!$C$5)+1,ROUNDUP(L116/Resumen!$C$5,0))</f>
        <v/>
      </c>
      <c r="O116" s="8" t="inlineStr">
        <is>
          <t>Hecho</t>
        </is>
      </c>
      <c r="P116" s="8" t="inlineStr">
        <is>
          <t>Agregado</t>
        </is>
      </c>
      <c r="Q116" s="7" t="inlineStr">
        <is>
          <t>Sebas</t>
        </is>
      </c>
      <c r="R116" s="7" t="inlineStr"/>
    </row>
    <row r="117">
      <c r="A117" s="19" t="inlineStr">
        <is>
          <t>6.40</t>
        </is>
      </c>
      <c r="B117" s="4" t="inlineStr">
        <is>
          <t>6. Pruebas y lanzamiento</t>
        </is>
      </c>
      <c r="C117" s="7" t="inlineStr">
        <is>
          <t>Desplegar el código de los hallazgos de seguridad junto con la migración 20261009000000</t>
        </is>
      </c>
      <c r="D117" s="5" t="n">
        <v>1</v>
      </c>
      <c r="E117" s="8">
        <f>D117</f>
        <v/>
      </c>
      <c r="F117" s="4" t="inlineStr">
        <is>
          <t>6.39</t>
        </is>
      </c>
      <c r="G117" s="7" t="inlineStr">
        <is>
          <t>No (usa las 2 filas)</t>
        </is>
      </c>
      <c r="H117" s="7" t="inlineStr">
        <is>
          <t>—</t>
        </is>
      </c>
      <c r="I117" s="18" t="inlineStr">
        <is>
          <t>A+B</t>
        </is>
      </c>
      <c r="J117" s="8" t="n">
        <v>123</v>
      </c>
      <c r="K117" s="8" t="n">
        <v>123</v>
      </c>
      <c r="L117" s="8">
        <f>K117+E117</f>
        <v/>
      </c>
      <c r="M117" s="8">
        <f>K117-J117</f>
        <v/>
      </c>
      <c r="N117" s="8">
        <f>"S"&amp;(INT(K117/Resumen!$C$5)+1)&amp;"–S"&amp;MAX(INT(K117/Resumen!$C$5)+1,ROUNDUP(L117/Resumen!$C$5,0))</f>
        <v/>
      </c>
      <c r="O117" s="8" t="inlineStr">
        <is>
          <t>Hecho</t>
        </is>
      </c>
      <c r="P117" s="8" t="inlineStr">
        <is>
          <t>Agregado</t>
        </is>
      </c>
      <c r="Q117" s="7" t="inlineStr">
        <is>
          <t>Sebas</t>
        </is>
      </c>
      <c r="R117" s="7" t="inlineStr"/>
    </row>
    <row r="118">
      <c r="A118" s="19" t="inlineStr">
        <is>
          <t>4.23</t>
        </is>
      </c>
      <c r="B118" s="7" t="inlineStr">
        <is>
          <t>4. Panel de administración</t>
        </is>
      </c>
      <c r="C118" s="7" t="inlineStr">
        <is>
          <t>Editar datos del asociado desde /admin (nombre, celular, correo institucional, cuenta de nómina) con límite de 30 cambios por hora</t>
        </is>
      </c>
      <c r="D118" s="5" t="n">
        <v>3</v>
      </c>
      <c r="E118" s="8">
        <f>D118</f>
        <v/>
      </c>
      <c r="F118" s="4" t="inlineStr">
        <is>
          <t>—</t>
        </is>
      </c>
      <c r="G118" s="7" t="inlineStr">
        <is>
          <t>Sí</t>
        </is>
      </c>
      <c r="H118" s="7" t="inlineStr">
        <is>
          <t>6.1, 4.19</t>
        </is>
      </c>
      <c r="I118" s="18" t="inlineStr">
        <is>
          <t>A</t>
        </is>
      </c>
      <c r="J118" s="8" t="n">
        <v>0</v>
      </c>
      <c r="K118" s="8" t="n">
        <v>74</v>
      </c>
      <c r="L118" s="8">
        <f>K118+E118</f>
        <v/>
      </c>
      <c r="M118" s="8">
        <f>K118-J118</f>
        <v/>
      </c>
      <c r="N118" s="8">
        <f>"S"&amp;(INT(K118/Resumen!$C$5)+1)&amp;"–S"&amp;MAX(INT(K118/Resumen!$C$5)+1,ROUNDUP(L118/Resumen!$C$5,0))</f>
        <v/>
      </c>
      <c r="O118" s="8" t="inlineStr">
        <is>
          <t>Hecho</t>
        </is>
      </c>
      <c r="P118" s="8" t="inlineStr">
        <is>
          <t>Agregado</t>
        </is>
      </c>
      <c r="Q118" s="7" t="inlineStr">
        <is>
          <t>sesión principal</t>
        </is>
      </c>
      <c r="R118" s="7" t="inlineStr"/>
    </row>
    <row r="119">
      <c r="A119" s="19" t="inlineStr">
        <is>
          <t>2.16</t>
        </is>
      </c>
      <c r="B119" s="7" t="inlineStr">
        <is>
          <t>2. Landing y autenticación</t>
        </is>
      </c>
      <c r="C119" s="7" t="inlineStr">
        <is>
          <t>Afiliación sin repetidos: el trigger rechaza cédula o correos ya registrados o con solicitud pendiente (migración 20261014000000, pgTAP 32)</t>
        </is>
      </c>
      <c r="D119" s="5" t="n">
        <v>3</v>
      </c>
      <c r="E119" s="8">
        <f>D119</f>
        <v/>
      </c>
      <c r="F119" s="4" t="inlineStr">
        <is>
          <t>—</t>
        </is>
      </c>
      <c r="G119" s="7" t="inlineStr">
        <is>
          <t>Sí</t>
        </is>
      </c>
      <c r="H119" s="7" t="inlineStr">
        <is>
          <t>4.18, 4.4</t>
        </is>
      </c>
      <c r="I119" s="18" t="inlineStr">
        <is>
          <t>A</t>
        </is>
      </c>
      <c r="J119" s="8" t="n">
        <v>0</v>
      </c>
      <c r="K119" s="8" t="n">
        <v>90</v>
      </c>
      <c r="L119" s="8">
        <f>K119+E119</f>
        <v/>
      </c>
      <c r="M119" s="8">
        <f>K119-J119</f>
        <v/>
      </c>
      <c r="N119" s="8">
        <f>"S"&amp;(INT(K119/Resumen!$C$5)+1)&amp;"–S"&amp;MAX(INT(K119/Resumen!$C$5)+1,ROUNDUP(L119/Resumen!$C$5,0))</f>
        <v/>
      </c>
      <c r="O119" s="8" t="inlineStr">
        <is>
          <t>Hecho</t>
        </is>
      </c>
      <c r="P119" s="8" t="inlineStr">
        <is>
          <t>Agregado</t>
        </is>
      </c>
      <c r="Q119" s="7" t="inlineStr">
        <is>
          <t>sesión principal</t>
        </is>
      </c>
      <c r="R119" s="7" t="inlineStr"/>
    </row>
    <row r="120">
      <c r="A120" s="19" t="inlineStr">
        <is>
          <t>4.24</t>
        </is>
      </c>
      <c r="B120" s="7" t="inlineStr">
        <is>
          <t>4. Panel de administración</t>
        </is>
      </c>
      <c r="C120" s="7" t="inlineStr">
        <is>
          <t>Pausa del ingreso de asociados desde /admin/plataforma (solo admin): proxy.ts manda a /cuenta-pausada, con historial (migración 20261018000000, pgTAP 33)</t>
        </is>
      </c>
      <c r="D120" s="5" t="n">
        <v>3</v>
      </c>
      <c r="E120" s="8">
        <f>D120</f>
        <v/>
      </c>
      <c r="F120" s="4" t="inlineStr">
        <is>
          <t>—</t>
        </is>
      </c>
      <c r="G120" s="7" t="inlineStr">
        <is>
          <t>Sí</t>
        </is>
      </c>
      <c r="H120" s="7" t="inlineStr">
        <is>
          <t>3.9</t>
        </is>
      </c>
      <c r="I120" s="18" t="inlineStr">
        <is>
          <t>B</t>
        </is>
      </c>
      <c r="J120" s="8" t="n">
        <v>0</v>
      </c>
      <c r="K120" s="8" t="n">
        <v>67</v>
      </c>
      <c r="L120" s="8">
        <f>K120+E120</f>
        <v/>
      </c>
      <c r="M120" s="8">
        <f>K120-J120</f>
        <v/>
      </c>
      <c r="N120" s="8">
        <f>"S"&amp;(INT(K120/Resumen!$C$5)+1)&amp;"–S"&amp;MAX(INT(K120/Resumen!$C$5)+1,ROUNDUP(L120/Resumen!$C$5,0))</f>
        <v/>
      </c>
      <c r="O120" s="8" t="inlineStr">
        <is>
          <t>Hecho</t>
        </is>
      </c>
      <c r="P120" s="8" t="inlineStr">
        <is>
          <t>Agregado</t>
        </is>
      </c>
      <c r="Q120" s="7" t="inlineStr">
        <is>
          <t>sesión principal</t>
        </is>
      </c>
      <c r="R120" s="7" t="inlineStr"/>
    </row>
    <row r="121">
      <c r="A121" s="19" t="inlineStr">
        <is>
          <t>4.25</t>
        </is>
      </c>
      <c r="B121" s="7" t="inlineStr">
        <is>
          <t>4. Panel de administración</t>
        </is>
      </c>
      <c r="C121" s="7" t="inlineStr">
        <is>
          <t>Avisos al próximo ingreso: se muestran una vez al entrar a /cuenta, con conteo de quiénes los vieron y opción de retirarlos</t>
        </is>
      </c>
      <c r="D121" s="5" t="n">
        <v>2</v>
      </c>
      <c r="E121" s="8">
        <f>D121</f>
        <v/>
      </c>
      <c r="F121" s="4" t="inlineStr">
        <is>
          <t>—</t>
        </is>
      </c>
      <c r="G121" s="7" t="inlineStr">
        <is>
          <t>Sí</t>
        </is>
      </c>
      <c r="H121" s="7" t="inlineStr">
        <is>
          <t>5.8, 4.15</t>
        </is>
      </c>
      <c r="I121" s="18" t="inlineStr">
        <is>
          <t>B</t>
        </is>
      </c>
      <c r="J121" s="8" t="n">
        <v>0</v>
      </c>
      <c r="K121" s="8" t="n">
        <v>103</v>
      </c>
      <c r="L121" s="8">
        <f>K121+E121</f>
        <v/>
      </c>
      <c r="M121" s="8">
        <f>K121-J121</f>
        <v/>
      </c>
      <c r="N121" s="8">
        <f>"S"&amp;(INT(K121/Resumen!$C$5)+1)&amp;"–S"&amp;MAX(INT(K121/Resumen!$C$5)+1,ROUNDUP(L121/Resumen!$C$5,0))</f>
        <v/>
      </c>
      <c r="O121" s="8" t="inlineStr">
        <is>
          <t>Hecho</t>
        </is>
      </c>
      <c r="P121" s="8" t="inlineStr">
        <is>
          <t>Agregado</t>
        </is>
      </c>
      <c r="Q121" s="7" t="inlineStr">
        <is>
          <t>sesión principal</t>
        </is>
      </c>
      <c r="R121" s="7" t="inlineStr"/>
    </row>
    <row r="122">
      <c r="A122" s="19" t="inlineStr">
        <is>
          <t>4.26</t>
        </is>
      </c>
      <c r="B122" s="7" t="inlineStr">
        <is>
          <t>4. Panel de administración</t>
        </is>
      </c>
      <c r="C122" s="7" t="inlineStr">
        <is>
          <t>Aviso al asociado por cambio de datos: aviso personal «Actualizamos tus datos» al cambiar correo institucional o nómina (migración 20261022000000, RS-M2)</t>
        </is>
      </c>
      <c r="D122" s="5" t="n">
        <v>1</v>
      </c>
      <c r="E122" s="8">
        <f>D122</f>
        <v/>
      </c>
      <c r="F122" s="4" t="inlineStr">
        <is>
          <t>4.23</t>
        </is>
      </c>
      <c r="G122" s="7" t="inlineStr">
        <is>
          <t>Sí</t>
        </is>
      </c>
      <c r="H122" s="7" t="inlineStr">
        <is>
          <t>6.7</t>
        </is>
      </c>
      <c r="I122" s="18" t="inlineStr">
        <is>
          <t>A</t>
        </is>
      </c>
      <c r="J122" s="8" t="n">
        <v>134</v>
      </c>
      <c r="K122" s="8" t="n">
        <v>134</v>
      </c>
      <c r="L122" s="8">
        <f>K122+E122</f>
        <v/>
      </c>
      <c r="M122" s="8">
        <f>K122-J122</f>
        <v/>
      </c>
      <c r="N122" s="8">
        <f>"S"&amp;(INT(K122/Resumen!$C$5)+1)&amp;"–S"&amp;MAX(INT(K122/Resumen!$C$5)+1,ROUNDUP(L122/Resumen!$C$5,0))</f>
        <v/>
      </c>
      <c r="O122" s="8" t="inlineStr">
        <is>
          <t>En curso</t>
        </is>
      </c>
      <c r="P122" s="8" t="inlineStr">
        <is>
          <t>Agregado</t>
        </is>
      </c>
      <c r="Q122" s="7" t="inlineStr">
        <is>
          <t>sesión principal</t>
        </is>
      </c>
      <c r="R122" s="7" t="inlineStr"/>
    </row>
    <row r="123">
      <c r="A123" s="19" t="inlineStr">
        <is>
          <t>4.27</t>
        </is>
      </c>
      <c r="B123" s="7" t="inlineStr">
        <is>
          <t>4. Panel de administración</t>
        </is>
      </c>
      <c r="C123" s="7" t="inlineStr">
        <is>
          <t>Corregir los datos de una solicitud de afiliación antes de aprobar (admin_editar_afiliacion, botón en /admin/afiliaciones/[id]; migración 20261023000000, pedido de Ricardo)</t>
        </is>
      </c>
      <c r="D123" s="5" t="n">
        <v>2</v>
      </c>
      <c r="E123" s="8">
        <f>D123</f>
        <v/>
      </c>
      <c r="F123" s="4" t="inlineStr">
        <is>
          <t>4.24</t>
        </is>
      </c>
      <c r="G123" s="7" t="inlineStr">
        <is>
          <t>Sí</t>
        </is>
      </c>
      <c r="H123" s="7" t="inlineStr">
        <is>
          <t>6.6</t>
        </is>
      </c>
      <c r="I123" s="18" t="inlineStr">
        <is>
          <t>B</t>
        </is>
      </c>
      <c r="J123" s="8" t="n">
        <v>134</v>
      </c>
      <c r="K123" s="8" t="n">
        <v>136</v>
      </c>
      <c r="L123" s="8">
        <f>K123+E123</f>
        <v/>
      </c>
      <c r="M123" s="8">
        <f>K123-J123</f>
        <v/>
      </c>
      <c r="N123" s="8">
        <f>"S"&amp;(INT(K123/Resumen!$C$5)+1)&amp;"–S"&amp;MAX(INT(K123/Resumen!$C$5)+1,ROUNDUP(L123/Resumen!$C$5,0))</f>
        <v/>
      </c>
      <c r="O123" s="8" t="inlineStr">
        <is>
          <t>En curso</t>
        </is>
      </c>
      <c r="P123" s="8" t="inlineStr">
        <is>
          <t>Agregado</t>
        </is>
      </c>
      <c r="Q123" s="7" t="inlineStr">
        <is>
          <t>sesión principal</t>
        </is>
      </c>
      <c r="R123" s="7" t="inlineStr"/>
    </row>
    <row r="124">
      <c r="A124" s="19" t="inlineStr">
        <is>
          <t>3.11</t>
        </is>
      </c>
      <c r="B124" s="7" t="inlineStr">
        <is>
          <t>3. Flujo de solicitud de crédito</t>
        </is>
      </c>
      <c r="C124" s="7" t="inlineStr">
        <is>
          <t>Botón flotante de WhatsApp: en páginas públicas con el mensaje del pie y en /cuenta con el nombre del asociado</t>
        </is>
      </c>
      <c r="D124" s="5" t="n">
        <v>1</v>
      </c>
      <c r="E124" s="8">
        <f>D124</f>
        <v/>
      </c>
      <c r="F124" s="4" t="inlineStr">
        <is>
          <t>—</t>
        </is>
      </c>
      <c r="G124" s="7" t="inlineStr">
        <is>
          <t>Sí</t>
        </is>
      </c>
      <c r="H124" s="7" t="inlineStr">
        <is>
          <t>4.1</t>
        </is>
      </c>
      <c r="I124" s="18" t="inlineStr">
        <is>
          <t>A</t>
        </is>
      </c>
      <c r="J124" s="8" t="n">
        <v>0</v>
      </c>
      <c r="K124" s="8" t="n">
        <v>23</v>
      </c>
      <c r="L124" s="8">
        <f>K124+E124</f>
        <v/>
      </c>
      <c r="M124" s="8">
        <f>K124-J124</f>
        <v/>
      </c>
      <c r="N124" s="8">
        <f>"S"&amp;(INT(K124/Resumen!$C$5)+1)&amp;"–S"&amp;MAX(INT(K124/Resumen!$C$5)+1,ROUNDUP(L124/Resumen!$C$5,0))</f>
        <v/>
      </c>
      <c r="O124" s="8" t="inlineStr">
        <is>
          <t>Hecho</t>
        </is>
      </c>
      <c r="P124" s="8" t="inlineStr">
        <is>
          <t>Agregado</t>
        </is>
      </c>
      <c r="Q124" s="7" t="inlineStr">
        <is>
          <t>sesión principal</t>
        </is>
      </c>
      <c r="R124" s="7" t="inlineStr"/>
    </row>
    <row r="125">
      <c r="A125" s="19" t="inlineStr">
        <is>
          <t>2.17</t>
        </is>
      </c>
      <c r="B125" s="7" t="inlineStr">
        <is>
          <t>2. Landing y autenticación</t>
        </is>
      </c>
      <c r="C125" s="7" t="inlineStr">
        <is>
          <t>Selfie de afiliación: perfil propio de calidad y cámara en HD para evitar falsos avisos de foto dudosa</t>
        </is>
      </c>
      <c r="D125" s="5" t="n">
        <v>1</v>
      </c>
      <c r="E125" s="8">
        <f>D125</f>
        <v/>
      </c>
      <c r="F125" s="4" t="inlineStr">
        <is>
          <t>—</t>
        </is>
      </c>
      <c r="G125" s="7" t="inlineStr">
        <is>
          <t>Sí</t>
        </is>
      </c>
      <c r="H125" s="7" t="inlineStr">
        <is>
          <t>1.6</t>
        </is>
      </c>
      <c r="I125" s="18" t="inlineStr">
        <is>
          <t>A</t>
        </is>
      </c>
      <c r="J125" s="8" t="n">
        <v>0</v>
      </c>
      <c r="K125" s="8" t="n">
        <v>35</v>
      </c>
      <c r="L125" s="8">
        <f>K125+E125</f>
        <v/>
      </c>
      <c r="M125" s="8">
        <f>K125-J125</f>
        <v/>
      </c>
      <c r="N125" s="8">
        <f>"S"&amp;(INT(K125/Resumen!$C$5)+1)&amp;"–S"&amp;MAX(INT(K125/Resumen!$C$5)+1,ROUNDUP(L125/Resumen!$C$5,0))</f>
        <v/>
      </c>
      <c r="O125" s="8" t="inlineStr">
        <is>
          <t>Hecho</t>
        </is>
      </c>
      <c r="P125" s="8" t="inlineStr">
        <is>
          <t>Agregado</t>
        </is>
      </c>
      <c r="Q125" s="7" t="inlineStr">
        <is>
          <t>sesión principal</t>
        </is>
      </c>
      <c r="R125" s="7" t="inlineStr"/>
    </row>
    <row r="126">
      <c r="A126" s="19" t="inlineStr">
        <is>
          <t>6.41</t>
        </is>
      </c>
      <c r="B126" s="4" t="inlineStr">
        <is>
          <t>6. Pruebas y lanzamiento</t>
        </is>
      </c>
      <c r="C126" s="7" t="inlineStr">
        <is>
          <t>Aplicar con respaldo las migraciones 20261014000000 (afiliación sin repetidos), 20261018000000 (pausa de cuenta y avisos) y 20261018100000 (editar datos en la base) y correr pgTAP 32, 33 y 34</t>
        </is>
      </c>
      <c r="D126" s="5" t="n">
        <v>1</v>
      </c>
      <c r="E126" s="8">
        <f>D126</f>
        <v/>
      </c>
      <c r="F126" s="4" t="inlineStr">
        <is>
          <t>2.16, 4.24, 4.25</t>
        </is>
      </c>
      <c r="G126" s="7" t="inlineStr">
        <is>
          <t>No (usa las 2 filas)</t>
        </is>
      </c>
      <c r="H126" s="7" t="inlineStr">
        <is>
          <t>—</t>
        </is>
      </c>
      <c r="I126" s="18" t="inlineStr">
        <is>
          <t>A+B</t>
        </is>
      </c>
      <c r="J126" s="8" t="n">
        <v>105</v>
      </c>
      <c r="K126" s="8" t="n">
        <v>131</v>
      </c>
      <c r="L126" s="8">
        <f>K126+E126</f>
        <v/>
      </c>
      <c r="M126" s="8">
        <f>K126-J126</f>
        <v/>
      </c>
      <c r="N126" s="8">
        <f>"S"&amp;(INT(K126/Resumen!$C$5)+1)&amp;"–S"&amp;MAX(INT(K126/Resumen!$C$5)+1,ROUNDUP(L126/Resumen!$C$5,0))</f>
        <v/>
      </c>
      <c r="O126" s="8" t="inlineStr">
        <is>
          <t>Hecho</t>
        </is>
      </c>
      <c r="P126" s="8" t="inlineStr">
        <is>
          <t>Agregado</t>
        </is>
      </c>
      <c r="Q126" s="7" t="inlineStr">
        <is>
          <t>Sebas</t>
        </is>
      </c>
      <c r="R126" s="7" t="inlineStr"/>
    </row>
    <row r="127">
      <c r="A127" s="19" t="inlineStr">
        <is>
          <t>6.43</t>
        </is>
      </c>
      <c r="B127" s="4" t="inlineStr">
        <is>
          <t>6. Pruebas y lanzamiento</t>
        </is>
      </c>
      <c r="C127" s="7" t="inlineStr">
        <is>
          <t>Abrir y fusionar el PR develop → main en GitHub para desplegar los cambios del 18-oct (commit e0cbe5a)</t>
        </is>
      </c>
      <c r="D127" s="5" t="n">
        <v>1</v>
      </c>
      <c r="E127" s="8">
        <f>D127</f>
        <v/>
      </c>
      <c r="F127" s="4" t="inlineStr">
        <is>
          <t>6.41</t>
        </is>
      </c>
      <c r="G127" s="7" t="inlineStr">
        <is>
          <t>No (usa las 2 filas)</t>
        </is>
      </c>
      <c r="H127" s="7" t="inlineStr">
        <is>
          <t>—</t>
        </is>
      </c>
      <c r="I127" s="18" t="inlineStr">
        <is>
          <t>A+B</t>
        </is>
      </c>
      <c r="J127" s="8" t="n">
        <v>132</v>
      </c>
      <c r="K127" s="8" t="n">
        <v>133</v>
      </c>
      <c r="L127" s="8">
        <f>K127+E127</f>
        <v/>
      </c>
      <c r="M127" s="8">
        <f>K127-J127</f>
        <v/>
      </c>
      <c r="N127" s="8">
        <f>"S"&amp;(INT(K127/Resumen!$C$5)+1)&amp;"–S"&amp;MAX(INT(K127/Resumen!$C$5)+1,ROUNDUP(L127/Resumen!$C$5,0))</f>
        <v/>
      </c>
      <c r="O127" s="8" t="inlineStr">
        <is>
          <t>Hecho</t>
        </is>
      </c>
      <c r="P127" s="8" t="inlineStr">
        <is>
          <t>Agregado</t>
        </is>
      </c>
      <c r="Q127" s="7" t="inlineStr">
        <is>
          <t>Sebas</t>
        </is>
      </c>
      <c r="R127" s="7" t="inlineStr"/>
    </row>
    <row r="128">
      <c r="A128" s="19" t="inlineStr">
        <is>
          <t>6.44</t>
        </is>
      </c>
      <c r="B128" s="4" t="inlineStr">
        <is>
          <t>6. Pruebas y lanzamiento</t>
        </is>
      </c>
      <c r="C128" s="7" t="inlineStr">
        <is>
          <t>Aplicar con respaldo las migraciones 20261022000000 (aviso por cambio de datos) y 20261023000000 (editar solicitud de afiliación) y correr pgTAP 35 y 36</t>
        </is>
      </c>
      <c r="D128" s="5" t="n">
        <v>1</v>
      </c>
      <c r="E128" s="8">
        <f>D128</f>
        <v/>
      </c>
      <c r="F128" s="4" t="inlineStr">
        <is>
          <t>4.26, 4.27</t>
        </is>
      </c>
      <c r="G128" s="7" t="inlineStr">
        <is>
          <t>No (usa las 2 filas)</t>
        </is>
      </c>
      <c r="H128" s="7" t="inlineStr">
        <is>
          <t>—</t>
        </is>
      </c>
      <c r="I128" s="18" t="inlineStr">
        <is>
          <t>A+B</t>
        </is>
      </c>
      <c r="J128" s="8" t="n">
        <v>138</v>
      </c>
      <c r="K128" s="8" t="n">
        <v>138</v>
      </c>
      <c r="L128" s="8">
        <f>K128+E128</f>
        <v/>
      </c>
      <c r="M128" s="8">
        <f>K128-J128</f>
        <v/>
      </c>
      <c r="N128" s="8">
        <f>"S"&amp;(INT(K128/Resumen!$C$5)+1)&amp;"–S"&amp;MAX(INT(K128/Resumen!$C$5)+1,ROUNDUP(L128/Resumen!$C$5,0))</f>
        <v/>
      </c>
      <c r="O128" s="8" t="inlineStr">
        <is>
          <t>Pendiente</t>
        </is>
      </c>
      <c r="P128" s="8" t="inlineStr">
        <is>
          <t>Agregado</t>
        </is>
      </c>
      <c r="Q128" s="7" t="inlineStr">
        <is>
          <t>Sebas</t>
        </is>
      </c>
      <c r="R128" s="7" t="inlineStr"/>
    </row>
    <row r="129">
      <c r="A129" s="19" t="inlineStr">
        <is>
          <t>6.42</t>
        </is>
      </c>
      <c r="B129" s="4" t="inlineStr">
        <is>
          <t>6. Pruebas y lanzamiento</t>
        </is>
      </c>
      <c r="C129" s="7" t="inlineStr">
        <is>
          <t>Revisión de seguridad y QA de Editar datos del asociado, Afiliación sin repetidos, Pausa de cuenta, Avisos, botón de WhatsApp y selfie</t>
        </is>
      </c>
      <c r="D129" s="5" t="n">
        <v>3</v>
      </c>
      <c r="E129" s="8">
        <f>D129</f>
        <v/>
      </c>
      <c r="F129" s="7" t="inlineStr">
        <is>
          <t>4.23, 2.16, 4.24, 4.25, 3.11, 2.17, 4.26, 4.27</t>
        </is>
      </c>
      <c r="G129" s="7" t="inlineStr">
        <is>
          <t>Sí</t>
        </is>
      </c>
      <c r="H129" s="7" t="inlineStr">
        <is>
          <t>5.3</t>
        </is>
      </c>
      <c r="I129" s="18" t="inlineStr">
        <is>
          <t>A</t>
        </is>
      </c>
      <c r="J129" s="8" t="n">
        <v>138</v>
      </c>
      <c r="K129" s="8" t="n">
        <v>139</v>
      </c>
      <c r="L129" s="8">
        <f>K129+E129</f>
        <v/>
      </c>
      <c r="M129" s="8">
        <f>K129-J129</f>
        <v/>
      </c>
      <c r="N129" s="8">
        <f>"S"&amp;(INT(K129/Resumen!$C$5)+1)&amp;"–S"&amp;MAX(INT(K129/Resumen!$C$5)+1,ROUNDUP(L129/Resumen!$C$5,0))</f>
        <v/>
      </c>
      <c r="O129" s="8" t="inlineStr">
        <is>
          <t>En curso</t>
        </is>
      </c>
      <c r="P129" s="8" t="inlineStr">
        <is>
          <t>Agregado</t>
        </is>
      </c>
      <c r="Q129" s="7" t="inlineStr">
        <is>
          <t>ga-revisor-seguridad</t>
        </is>
      </c>
      <c r="R129" s="7" t="inlineStr"/>
    </row>
    <row r="131">
      <c r="A131" s="3" t="inlineStr">
        <is>
          <t>Notas</t>
        </is>
      </c>
    </row>
    <row r="132">
      <c r="A132" s="2" t="inlineStr">
        <is>
          <t>Peso (azul, fondo amarillo) = dato de entrada; 1 punto de peso = 1 bloque de tiempo (ver hoja Pesos).</t>
        </is>
      </c>
    </row>
    <row r="133">
      <c r="A133" s="2" t="inlineStr">
        <is>
          <t>«Origen: Agregado» = actividad que no estaba en la propuesta del 31-ago (p. ej. ingreso con código, afiliación, importación).</t>
        </is>
      </c>
    </row>
    <row r="134">
      <c r="A134" s="2" t="inlineStr">
        <is>
          <t>«En paralelo con» lista las tareas que comparten tiempo con esta en el plan optimizado.</t>
        </is>
      </c>
    </row>
    <row r="135">
      <c r="A135" s="2" t="inlineStr">
        <is>
          <t>Espera en cola = bloques entre que la tarea queda lista y una fila la toma.</t>
        </is>
      </c>
    </row>
  </sheetData>
  <autoFilter ref="A4:R129"/>
  <conditionalFormatting sqref="O5:O129">
    <cfRule type="expression" priority="1" dxfId="1">
      <formula>$O5="Hecho"</formula>
    </cfRule>
    <cfRule type="expression" priority="2" dxfId="2">
      <formula>$O5="En curso"</formula>
    </cfRule>
    <cfRule type="expression" priority="3" dxfId="3">
      <formula>$O5="Pendiente"</formula>
    </cfRule>
    <cfRule type="expression" priority="4" dxfId="4">
      <formula>$O5="Bloqueado"</formula>
    </cfRule>
  </conditionalFormatting>
  <dataValidations count="1">
    <dataValidation sqref="O5:O129" showDropDown="0" showInputMessage="0" showErrorMessage="0" allowBlank="0" type="list">
      <formula1>"Hecho,En curso,Pendiente,Bloqueado"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139"/>
  <sheetViews>
    <sheetView showGridLines="0" zoomScale="80" workbookViewId="0">
      <pane xSplit="7" ySplit="7" topLeftCell="H8" activePane="bottomRight" state="frozen"/>
      <selection pane="topRight"/>
      <selection pane="bottomLeft"/>
      <selection pane="bottomRight" activeCell="A1" sqref="A1"/>
    </sheetView>
  </sheetViews>
  <sheetFormatPr baseColWidth="8" defaultRowHeight="15"/>
  <cols>
    <col width="6" customWidth="1" min="1" max="1"/>
    <col width="44" customWidth="1" min="2" max="2"/>
    <col width="6" customWidth="1" min="3" max="3"/>
    <col width="5" customWidth="1" min="4" max="4"/>
    <col width="6" customWidth="1" min="5" max="5"/>
    <col width="6" customWidth="1" min="6" max="6"/>
    <col width="10"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 width="3.2" customWidth="1" min="60" max="60"/>
    <col width="3.2" customWidth="1" min="61" max="61"/>
    <col width="3.2" customWidth="1" min="62" max="62"/>
    <col width="3.2" customWidth="1" min="63" max="63"/>
    <col width="3.2" customWidth="1" min="64" max="64"/>
    <col width="3.2" customWidth="1" min="65" max="65"/>
    <col width="3.2" customWidth="1" min="66" max="66"/>
    <col width="3.2" customWidth="1" min="67" max="67"/>
    <col width="3.2" customWidth="1" min="68" max="68"/>
    <col width="3.2" customWidth="1" min="69" max="69"/>
    <col width="3.2" customWidth="1" min="70" max="70"/>
    <col width="3.2" customWidth="1" min="71" max="71"/>
    <col width="3.2" customWidth="1" min="72" max="72"/>
    <col width="3.2" customWidth="1" min="73" max="73"/>
    <col width="3.2" customWidth="1" min="74" max="74"/>
    <col width="3.2" customWidth="1" min="75" max="75"/>
    <col width="3.2" customWidth="1" min="76" max="76"/>
    <col width="3.2" customWidth="1" min="77" max="77"/>
    <col width="3.2" customWidth="1" min="78" max="78"/>
    <col width="3.2" customWidth="1" min="79" max="79"/>
    <col width="3.2" customWidth="1" min="80" max="80"/>
    <col width="3.2" customWidth="1" min="81" max="81"/>
    <col width="3.2" customWidth="1" min="82" max="82"/>
    <col width="3.2" customWidth="1" min="83" max="83"/>
    <col width="3.2" customWidth="1" min="84" max="84"/>
    <col width="3.2" customWidth="1" min="85" max="85"/>
    <col width="3.2" customWidth="1" min="86" max="86"/>
    <col width="3.2" customWidth="1" min="87" max="87"/>
    <col width="3.2" customWidth="1" min="88" max="88"/>
    <col width="3.2" customWidth="1" min="89" max="89"/>
    <col width="3.2" customWidth="1" min="90" max="90"/>
    <col width="3.2" customWidth="1" min="91" max="91"/>
    <col width="3.2" customWidth="1" min="92" max="92"/>
    <col width="3.2" customWidth="1" min="93" max="93"/>
    <col width="3.2" customWidth="1" min="94" max="94"/>
    <col width="3.2" customWidth="1" min="95" max="95"/>
    <col width="3.2" customWidth="1" min="96" max="96"/>
    <col width="3.2" customWidth="1" min="97" max="97"/>
    <col width="3.2" customWidth="1" min="98" max="98"/>
    <col width="3.2" customWidth="1" min="99" max="99"/>
    <col width="3.2" customWidth="1" min="100" max="100"/>
    <col width="3.2" customWidth="1" min="101" max="101"/>
    <col width="3.2" customWidth="1" min="102" max="102"/>
    <col width="3.2" customWidth="1" min="103" max="103"/>
    <col width="3.2" customWidth="1" min="104" max="104"/>
    <col width="3.2" customWidth="1" min="105" max="105"/>
    <col width="3.2" customWidth="1" min="106" max="106"/>
    <col width="3.2" customWidth="1" min="107" max="107"/>
    <col width="3.2" customWidth="1" min="108" max="108"/>
    <col width="3.2" customWidth="1" min="109" max="109"/>
    <col width="3.2" customWidth="1" min="110" max="110"/>
    <col width="3.2" customWidth="1" min="111" max="111"/>
    <col width="3.2" customWidth="1" min="112" max="112"/>
    <col width="3.2" customWidth="1" min="113" max="113"/>
    <col width="3.2" customWidth="1" min="114" max="114"/>
    <col width="3.2" customWidth="1" min="115" max="115"/>
    <col width="3.2" customWidth="1" min="116" max="116"/>
    <col width="3.2" customWidth="1" min="117" max="117"/>
    <col width="3.2" customWidth="1" min="118" max="118"/>
    <col width="3.2" customWidth="1" min="119" max="119"/>
    <col width="3.2" customWidth="1" min="120" max="120"/>
    <col width="3.2" customWidth="1" min="121" max="121"/>
    <col width="3.2" customWidth="1" min="122" max="122"/>
    <col width="3.2" customWidth="1" min="123" max="123"/>
    <col width="3.2" customWidth="1" min="124" max="124"/>
    <col width="3.2" customWidth="1" min="125" max="125"/>
    <col width="3.2" customWidth="1" min="126" max="126"/>
    <col width="3.2" customWidth="1" min="127" max="127"/>
    <col width="3.2" customWidth="1" min="128" max="128"/>
    <col width="3.2" customWidth="1" min="129" max="129"/>
    <col width="3.2" customWidth="1" min="130" max="130"/>
    <col width="3.2" customWidth="1" min="131" max="131"/>
    <col width="3.2" customWidth="1" min="132" max="132"/>
    <col width="3.2" customWidth="1" min="133" max="133"/>
    <col width="3.2" customWidth="1" min="134" max="134"/>
    <col width="3.2" customWidth="1" min="135" max="135"/>
    <col width="3.2" customWidth="1" min="136" max="136"/>
    <col width="3.2" customWidth="1" min="137" max="137"/>
    <col width="3.2" customWidth="1" min="138" max="138"/>
    <col width="3.2" customWidth="1" min="139" max="139"/>
    <col width="3.2" customWidth="1" min="140" max="140"/>
    <col width="3.2" customWidth="1" min="141" max="141"/>
    <col width="3.2" customWidth="1" min="142" max="142"/>
    <col width="3.2" customWidth="1" min="143" max="143"/>
    <col width="3.2" customWidth="1" min="144" max="144"/>
    <col width="3.2" customWidth="1" min="145" max="145"/>
    <col width="3.2" customWidth="1" min="146" max="146"/>
    <col width="3.2" customWidth="1" min="147" max="147"/>
    <col width="3.2" customWidth="1" min="148" max="148"/>
    <col width="3.2" customWidth="1" min="149" max="149"/>
    <col width="3.2" customWidth="1" min="150" max="150"/>
    <col width="3.2" customWidth="1" min="151" max="151"/>
    <col width="3.2" customWidth="1" min="152" max="152"/>
    <col width="3.2" customWidth="1" min="153" max="153"/>
    <col width="3.2" customWidth="1" min="154" max="154"/>
    <col width="3.2" customWidth="1" min="155" max="155"/>
    <col width="3.2" customWidth="1" min="156" max="156"/>
    <col width="3.2" customWidth="1" min="157" max="157"/>
  </cols>
  <sheetData>
    <row r="1">
      <c r="A1" s="1" t="inlineStr">
        <is>
          <t>Diagrama de Gantt optimizado — 2 filas, cola infinita</t>
        </is>
      </c>
    </row>
    <row r="2">
      <c r="A2" s="2" t="inlineStr">
        <is>
          <t>El número al inicio de cada barra es el peso (1–5). Verde = Fila A, azul = Fila B, morado = usa las 2 filas, gris verdoso = hecho, ámbar = bloqueado por la cooperativa. Columna roja = HOY.</t>
        </is>
      </c>
    </row>
    <row r="4">
      <c r="H4" s="22" t="inlineStr">
        <is>
          <t>Semana 1</t>
        </is>
      </c>
      <c r="R4" s="22" t="inlineStr">
        <is>
          <t>Semana 2</t>
        </is>
      </c>
      <c r="AB4" s="22" t="inlineStr">
        <is>
          <t>Semana 3</t>
        </is>
      </c>
      <c r="AL4" s="22" t="inlineStr">
        <is>
          <t>Semana 4</t>
        </is>
      </c>
      <c r="AV4" s="22" t="inlineStr">
        <is>
          <t>Semana 5</t>
        </is>
      </c>
      <c r="BF4" s="22" t="inlineStr">
        <is>
          <t>Semana 6</t>
        </is>
      </c>
      <c r="BP4" s="22" t="inlineStr">
        <is>
          <t>Semana 7</t>
        </is>
      </c>
      <c r="BZ4" s="22" t="inlineStr">
        <is>
          <t>Semana 8</t>
        </is>
      </c>
      <c r="CJ4" s="22" t="inlineStr">
        <is>
          <t>Semana 9</t>
        </is>
      </c>
      <c r="CT4" s="22" t="inlineStr">
        <is>
          <t>Semana 10</t>
        </is>
      </c>
      <c r="DD4" s="22" t="inlineStr">
        <is>
          <t>Semana 11</t>
        </is>
      </c>
      <c r="DN4" s="22" t="inlineStr">
        <is>
          <t>Semana 12</t>
        </is>
      </c>
      <c r="DX4" s="22" t="inlineStr">
        <is>
          <t>Semana 13</t>
        </is>
      </c>
      <c r="EH4" s="22" t="inlineStr">
        <is>
          <t>Semana 14</t>
        </is>
      </c>
      <c r="ER4" s="22" t="inlineStr">
        <is>
          <t>Semana 15</t>
        </is>
      </c>
    </row>
    <row r="5">
      <c r="A5" s="23" t="inlineStr">
        <is>
          <t>ID</t>
        </is>
      </c>
      <c r="B5" s="23" t="inlineStr">
        <is>
          <t>Actividad</t>
        </is>
      </c>
      <c r="C5" s="23" t="inlineStr">
        <is>
          <t>Peso</t>
        </is>
      </c>
      <c r="D5" s="23" t="inlineStr">
        <is>
          <t>Fila</t>
        </is>
      </c>
      <c r="E5" s="23" t="inlineStr">
        <is>
          <t>Inicio</t>
        </is>
      </c>
      <c r="F5" s="23" t="inlineStr">
        <is>
          <t>Fin</t>
        </is>
      </c>
      <c r="G5" s="23" t="inlineStr">
        <is>
          <t>Estado</t>
        </is>
      </c>
      <c r="H5" s="24" t="n">
        <v>1</v>
      </c>
      <c r="I5" s="24" t="n">
        <v>2</v>
      </c>
      <c r="J5" s="24" t="n">
        <v>3</v>
      </c>
      <c r="K5" s="24" t="n">
        <v>4</v>
      </c>
      <c r="L5" s="24" t="n">
        <v>5</v>
      </c>
      <c r="M5" s="24" t="n">
        <v>6</v>
      </c>
      <c r="N5" s="24" t="n">
        <v>7</v>
      </c>
      <c r="O5" s="24" t="n">
        <v>8</v>
      </c>
      <c r="P5" s="24" t="n">
        <v>9</v>
      </c>
      <c r="Q5" s="24" t="n">
        <v>10</v>
      </c>
      <c r="R5" s="24" t="n">
        <v>11</v>
      </c>
      <c r="S5" s="24" t="n">
        <v>12</v>
      </c>
      <c r="T5" s="24" t="n">
        <v>13</v>
      </c>
      <c r="U5" s="24" t="n">
        <v>14</v>
      </c>
      <c r="V5" s="24" t="n">
        <v>15</v>
      </c>
      <c r="W5" s="24" t="n">
        <v>16</v>
      </c>
      <c r="X5" s="24" t="n">
        <v>17</v>
      </c>
      <c r="Y5" s="24" t="n">
        <v>18</v>
      </c>
      <c r="Z5" s="24" t="n">
        <v>19</v>
      </c>
      <c r="AA5" s="24" t="n">
        <v>20</v>
      </c>
      <c r="AB5" s="24" t="n">
        <v>21</v>
      </c>
      <c r="AC5" s="24" t="n">
        <v>22</v>
      </c>
      <c r="AD5" s="24" t="n">
        <v>23</v>
      </c>
      <c r="AE5" s="24" t="n">
        <v>24</v>
      </c>
      <c r="AF5" s="24" t="n">
        <v>25</v>
      </c>
      <c r="AG5" s="24" t="n">
        <v>26</v>
      </c>
      <c r="AH5" s="24" t="n">
        <v>27</v>
      </c>
      <c r="AI5" s="24" t="n">
        <v>28</v>
      </c>
      <c r="AJ5" s="24" t="n">
        <v>29</v>
      </c>
      <c r="AK5" s="24" t="n">
        <v>30</v>
      </c>
      <c r="AL5" s="24" t="n">
        <v>31</v>
      </c>
      <c r="AM5" s="24" t="n">
        <v>32</v>
      </c>
      <c r="AN5" s="24" t="n">
        <v>33</v>
      </c>
      <c r="AO5" s="24" t="n">
        <v>34</v>
      </c>
      <c r="AP5" s="24" t="n">
        <v>35</v>
      </c>
      <c r="AQ5" s="24" t="n">
        <v>36</v>
      </c>
      <c r="AR5" s="24" t="n">
        <v>37</v>
      </c>
      <c r="AS5" s="24" t="n">
        <v>38</v>
      </c>
      <c r="AT5" s="24" t="n">
        <v>39</v>
      </c>
      <c r="AU5" s="24" t="n">
        <v>40</v>
      </c>
      <c r="AV5" s="24" t="n">
        <v>41</v>
      </c>
      <c r="AW5" s="24" t="n">
        <v>42</v>
      </c>
      <c r="AX5" s="24" t="n">
        <v>43</v>
      </c>
      <c r="AY5" s="24" t="n">
        <v>44</v>
      </c>
      <c r="AZ5" s="24" t="n">
        <v>45</v>
      </c>
      <c r="BA5" s="24" t="n">
        <v>46</v>
      </c>
      <c r="BB5" s="24" t="n">
        <v>47</v>
      </c>
      <c r="BC5" s="24" t="n">
        <v>48</v>
      </c>
      <c r="BD5" s="24" t="n">
        <v>49</v>
      </c>
      <c r="BE5" s="24" t="n">
        <v>50</v>
      </c>
      <c r="BF5" s="24" t="n">
        <v>51</v>
      </c>
      <c r="BG5" s="24" t="n">
        <v>52</v>
      </c>
      <c r="BH5" s="24" t="n">
        <v>53</v>
      </c>
      <c r="BI5" s="24" t="n">
        <v>54</v>
      </c>
      <c r="BJ5" s="24" t="n">
        <v>55</v>
      </c>
      <c r="BK5" s="24" t="n">
        <v>56</v>
      </c>
      <c r="BL5" s="24" t="n">
        <v>57</v>
      </c>
      <c r="BM5" s="24" t="n">
        <v>58</v>
      </c>
      <c r="BN5" s="24" t="n">
        <v>59</v>
      </c>
      <c r="BO5" s="24" t="n">
        <v>60</v>
      </c>
      <c r="BP5" s="24" t="n">
        <v>61</v>
      </c>
      <c r="BQ5" s="24" t="n">
        <v>62</v>
      </c>
      <c r="BR5" s="24" t="n">
        <v>63</v>
      </c>
      <c r="BS5" s="24" t="n">
        <v>64</v>
      </c>
      <c r="BT5" s="24" t="n">
        <v>65</v>
      </c>
      <c r="BU5" s="24" t="n">
        <v>66</v>
      </c>
      <c r="BV5" s="24" t="n">
        <v>67</v>
      </c>
      <c r="BW5" s="24" t="n">
        <v>68</v>
      </c>
      <c r="BX5" s="24" t="n">
        <v>69</v>
      </c>
      <c r="BY5" s="24" t="n">
        <v>70</v>
      </c>
      <c r="BZ5" s="24" t="n">
        <v>71</v>
      </c>
      <c r="CA5" s="24" t="n">
        <v>72</v>
      </c>
      <c r="CB5" s="24" t="n">
        <v>73</v>
      </c>
      <c r="CC5" s="24" t="n">
        <v>74</v>
      </c>
      <c r="CD5" s="24" t="n">
        <v>75</v>
      </c>
      <c r="CE5" s="24" t="n">
        <v>76</v>
      </c>
      <c r="CF5" s="24" t="n">
        <v>77</v>
      </c>
      <c r="CG5" s="24" t="n">
        <v>78</v>
      </c>
      <c r="CH5" s="24" t="n">
        <v>79</v>
      </c>
      <c r="CI5" s="24" t="n">
        <v>80</v>
      </c>
      <c r="CJ5" s="24" t="n">
        <v>81</v>
      </c>
      <c r="CK5" s="24" t="n">
        <v>82</v>
      </c>
      <c r="CL5" s="24" t="n">
        <v>83</v>
      </c>
      <c r="CM5" s="24" t="n">
        <v>84</v>
      </c>
      <c r="CN5" s="24" t="n">
        <v>85</v>
      </c>
      <c r="CO5" s="24" t="n">
        <v>86</v>
      </c>
      <c r="CP5" s="24" t="n">
        <v>87</v>
      </c>
      <c r="CQ5" s="24" t="n">
        <v>88</v>
      </c>
      <c r="CR5" s="24" t="n">
        <v>89</v>
      </c>
      <c r="CS5" s="24" t="n">
        <v>90</v>
      </c>
      <c r="CT5" s="24" t="n">
        <v>91</v>
      </c>
      <c r="CU5" s="24" t="n">
        <v>92</v>
      </c>
      <c r="CV5" s="24" t="n">
        <v>93</v>
      </c>
      <c r="CW5" s="24" t="n">
        <v>94</v>
      </c>
      <c r="CX5" s="24" t="n">
        <v>95</v>
      </c>
      <c r="CY5" s="24" t="n">
        <v>96</v>
      </c>
      <c r="CZ5" s="24" t="n">
        <v>97</v>
      </c>
      <c r="DA5" s="24" t="n">
        <v>98</v>
      </c>
      <c r="DB5" s="24" t="n">
        <v>99</v>
      </c>
      <c r="DC5" s="24" t="n">
        <v>100</v>
      </c>
      <c r="DD5" s="24" t="n">
        <v>101</v>
      </c>
      <c r="DE5" s="24" t="n">
        <v>102</v>
      </c>
      <c r="DF5" s="24" t="n">
        <v>103</v>
      </c>
      <c r="DG5" s="24" t="n">
        <v>104</v>
      </c>
      <c r="DH5" s="24" t="n">
        <v>105</v>
      </c>
      <c r="DI5" s="24" t="n">
        <v>106</v>
      </c>
      <c r="DJ5" s="24" t="n">
        <v>107</v>
      </c>
      <c r="DK5" s="24" t="n">
        <v>108</v>
      </c>
      <c r="DL5" s="24" t="n">
        <v>109</v>
      </c>
      <c r="DM5" s="24" t="n">
        <v>110</v>
      </c>
      <c r="DN5" s="24" t="n">
        <v>111</v>
      </c>
      <c r="DO5" s="24" t="n">
        <v>112</v>
      </c>
      <c r="DP5" s="24" t="n">
        <v>113</v>
      </c>
      <c r="DQ5" s="24" t="n">
        <v>114</v>
      </c>
      <c r="DR5" s="24" t="n">
        <v>115</v>
      </c>
      <c r="DS5" s="24" t="n">
        <v>116</v>
      </c>
      <c r="DT5" s="24" t="n">
        <v>117</v>
      </c>
      <c r="DU5" s="24" t="n">
        <v>118</v>
      </c>
      <c r="DV5" s="24" t="n">
        <v>119</v>
      </c>
      <c r="DW5" s="24" t="n">
        <v>120</v>
      </c>
      <c r="DX5" s="24" t="n">
        <v>121</v>
      </c>
      <c r="DY5" s="24" t="n">
        <v>122</v>
      </c>
      <c r="DZ5" s="24" t="n">
        <v>123</v>
      </c>
      <c r="EA5" s="24" t="n">
        <v>124</v>
      </c>
      <c r="EB5" s="24" t="n">
        <v>125</v>
      </c>
      <c r="EC5" s="24" t="n">
        <v>126</v>
      </c>
      <c r="ED5" s="24" t="n">
        <v>127</v>
      </c>
      <c r="EE5" s="24" t="n">
        <v>128</v>
      </c>
      <c r="EF5" s="24" t="n">
        <v>129</v>
      </c>
      <c r="EG5" s="24" t="n">
        <v>130</v>
      </c>
      <c r="EH5" s="24" t="n">
        <v>131</v>
      </c>
      <c r="EI5" s="24" t="n">
        <v>132</v>
      </c>
      <c r="EJ5" s="24" t="n">
        <v>133</v>
      </c>
      <c r="EK5" s="24" t="n">
        <v>134</v>
      </c>
      <c r="EL5" s="24" t="n">
        <v>135</v>
      </c>
      <c r="EM5" s="24" t="n">
        <v>136</v>
      </c>
      <c r="EN5" s="24" t="n">
        <v>137</v>
      </c>
      <c r="EO5" s="24" t="n">
        <v>138</v>
      </c>
      <c r="EP5" s="24" t="n">
        <v>139</v>
      </c>
      <c r="EQ5" s="24" t="n">
        <v>140</v>
      </c>
      <c r="ER5" s="24" t="n">
        <v>141</v>
      </c>
      <c r="ES5" s="24" t="n">
        <v>142</v>
      </c>
      <c r="ET5" s="24" t="n">
        <v>143</v>
      </c>
      <c r="EU5" s="24" t="n">
        <v>144</v>
      </c>
      <c r="EV5" s="24" t="n">
        <v>145</v>
      </c>
      <c r="EW5" s="24" t="n">
        <v>146</v>
      </c>
      <c r="EX5" s="24" t="n">
        <v>147</v>
      </c>
      <c r="EY5" s="24" t="n">
        <v>148</v>
      </c>
      <c r="EZ5" s="24" t="n">
        <v>149</v>
      </c>
      <c r="FA5" s="24" t="n">
        <v>150</v>
      </c>
    </row>
    <row r="6" ht="26" customHeight="1">
      <c r="A6" s="25" t="inlineStr">
        <is>
          <t>Fila A — tarea en curso</t>
        </is>
      </c>
      <c r="H6" s="26">
        <f>IF(SUMPRODUCT(((Plan!$I$5:$I$129="A")+(Plan!$I$5:$I$129="A+B"))*(Plan!$K$5:$K$129&lt;H$5)*(Plan!$L$5:$L$129&gt;=H$5))=0,"",INDEX(Plan!$A$5:$A$129,SUMPRODUCT(((Plan!$I$5:$I$129="A")+(Plan!$I$5:$I$129="A+B"))*(Plan!$K$5:$K$129&lt;H$5)*(Plan!$L$5:$L$129&gt;=H$5)*(ROW(Plan!$A$5:$A$129)-4))))</f>
        <v/>
      </c>
      <c r="I6" s="26">
        <f>IF(SUMPRODUCT(((Plan!$I$5:$I$129="A")+(Plan!$I$5:$I$129="A+B"))*(Plan!$K$5:$K$129&lt;I$5)*(Plan!$L$5:$L$129&gt;=I$5))=0,"",INDEX(Plan!$A$5:$A$129,SUMPRODUCT(((Plan!$I$5:$I$129="A")+(Plan!$I$5:$I$129="A+B"))*(Plan!$K$5:$K$129&lt;I$5)*(Plan!$L$5:$L$129&gt;=I$5)*(ROW(Plan!$A$5:$A$129)-4))))</f>
        <v/>
      </c>
      <c r="J6" s="26">
        <f>IF(SUMPRODUCT(((Plan!$I$5:$I$129="A")+(Plan!$I$5:$I$129="A+B"))*(Plan!$K$5:$K$129&lt;J$5)*(Plan!$L$5:$L$129&gt;=J$5))=0,"",INDEX(Plan!$A$5:$A$129,SUMPRODUCT(((Plan!$I$5:$I$129="A")+(Plan!$I$5:$I$129="A+B"))*(Plan!$K$5:$K$129&lt;J$5)*(Plan!$L$5:$L$129&gt;=J$5)*(ROW(Plan!$A$5:$A$129)-4))))</f>
        <v/>
      </c>
      <c r="K6" s="26">
        <f>IF(SUMPRODUCT(((Plan!$I$5:$I$129="A")+(Plan!$I$5:$I$129="A+B"))*(Plan!$K$5:$K$129&lt;K$5)*(Plan!$L$5:$L$129&gt;=K$5))=0,"",INDEX(Plan!$A$5:$A$129,SUMPRODUCT(((Plan!$I$5:$I$129="A")+(Plan!$I$5:$I$129="A+B"))*(Plan!$K$5:$K$129&lt;K$5)*(Plan!$L$5:$L$129&gt;=K$5)*(ROW(Plan!$A$5:$A$129)-4))))</f>
        <v/>
      </c>
      <c r="L6" s="26">
        <f>IF(SUMPRODUCT(((Plan!$I$5:$I$129="A")+(Plan!$I$5:$I$129="A+B"))*(Plan!$K$5:$K$129&lt;L$5)*(Plan!$L$5:$L$129&gt;=L$5))=0,"",INDEX(Plan!$A$5:$A$129,SUMPRODUCT(((Plan!$I$5:$I$129="A")+(Plan!$I$5:$I$129="A+B"))*(Plan!$K$5:$K$129&lt;L$5)*(Plan!$L$5:$L$129&gt;=L$5)*(ROW(Plan!$A$5:$A$129)-4))))</f>
        <v/>
      </c>
      <c r="M6" s="26">
        <f>IF(SUMPRODUCT(((Plan!$I$5:$I$129="A")+(Plan!$I$5:$I$129="A+B"))*(Plan!$K$5:$K$129&lt;M$5)*(Plan!$L$5:$L$129&gt;=M$5))=0,"",INDEX(Plan!$A$5:$A$129,SUMPRODUCT(((Plan!$I$5:$I$129="A")+(Plan!$I$5:$I$129="A+B"))*(Plan!$K$5:$K$129&lt;M$5)*(Plan!$L$5:$L$129&gt;=M$5)*(ROW(Plan!$A$5:$A$129)-4))))</f>
        <v/>
      </c>
      <c r="N6" s="26">
        <f>IF(SUMPRODUCT(((Plan!$I$5:$I$129="A")+(Plan!$I$5:$I$129="A+B"))*(Plan!$K$5:$K$129&lt;N$5)*(Plan!$L$5:$L$129&gt;=N$5))=0,"",INDEX(Plan!$A$5:$A$129,SUMPRODUCT(((Plan!$I$5:$I$129="A")+(Plan!$I$5:$I$129="A+B"))*(Plan!$K$5:$K$129&lt;N$5)*(Plan!$L$5:$L$129&gt;=N$5)*(ROW(Plan!$A$5:$A$129)-4))))</f>
        <v/>
      </c>
      <c r="O6" s="26">
        <f>IF(SUMPRODUCT(((Plan!$I$5:$I$129="A")+(Plan!$I$5:$I$129="A+B"))*(Plan!$K$5:$K$129&lt;O$5)*(Plan!$L$5:$L$129&gt;=O$5))=0,"",INDEX(Plan!$A$5:$A$129,SUMPRODUCT(((Plan!$I$5:$I$129="A")+(Plan!$I$5:$I$129="A+B"))*(Plan!$K$5:$K$129&lt;O$5)*(Plan!$L$5:$L$129&gt;=O$5)*(ROW(Plan!$A$5:$A$129)-4))))</f>
        <v/>
      </c>
      <c r="P6" s="26">
        <f>IF(SUMPRODUCT(((Plan!$I$5:$I$129="A")+(Plan!$I$5:$I$129="A+B"))*(Plan!$K$5:$K$129&lt;P$5)*(Plan!$L$5:$L$129&gt;=P$5))=0,"",INDEX(Plan!$A$5:$A$129,SUMPRODUCT(((Plan!$I$5:$I$129="A")+(Plan!$I$5:$I$129="A+B"))*(Plan!$K$5:$K$129&lt;P$5)*(Plan!$L$5:$L$129&gt;=P$5)*(ROW(Plan!$A$5:$A$129)-4))))</f>
        <v/>
      </c>
      <c r="Q6" s="26">
        <f>IF(SUMPRODUCT(((Plan!$I$5:$I$129="A")+(Plan!$I$5:$I$129="A+B"))*(Plan!$K$5:$K$129&lt;Q$5)*(Plan!$L$5:$L$129&gt;=Q$5))=0,"",INDEX(Plan!$A$5:$A$129,SUMPRODUCT(((Plan!$I$5:$I$129="A")+(Plan!$I$5:$I$129="A+B"))*(Plan!$K$5:$K$129&lt;Q$5)*(Plan!$L$5:$L$129&gt;=Q$5)*(ROW(Plan!$A$5:$A$129)-4))))</f>
        <v/>
      </c>
      <c r="R6" s="26">
        <f>IF(SUMPRODUCT(((Plan!$I$5:$I$129="A")+(Plan!$I$5:$I$129="A+B"))*(Plan!$K$5:$K$129&lt;R$5)*(Plan!$L$5:$L$129&gt;=R$5))=0,"",INDEX(Plan!$A$5:$A$129,SUMPRODUCT(((Plan!$I$5:$I$129="A")+(Plan!$I$5:$I$129="A+B"))*(Plan!$K$5:$K$129&lt;R$5)*(Plan!$L$5:$L$129&gt;=R$5)*(ROW(Plan!$A$5:$A$129)-4))))</f>
        <v/>
      </c>
      <c r="S6" s="26">
        <f>IF(SUMPRODUCT(((Plan!$I$5:$I$129="A")+(Plan!$I$5:$I$129="A+B"))*(Plan!$K$5:$K$129&lt;S$5)*(Plan!$L$5:$L$129&gt;=S$5))=0,"",INDEX(Plan!$A$5:$A$129,SUMPRODUCT(((Plan!$I$5:$I$129="A")+(Plan!$I$5:$I$129="A+B"))*(Plan!$K$5:$K$129&lt;S$5)*(Plan!$L$5:$L$129&gt;=S$5)*(ROW(Plan!$A$5:$A$129)-4))))</f>
        <v/>
      </c>
      <c r="T6" s="26">
        <f>IF(SUMPRODUCT(((Plan!$I$5:$I$129="A")+(Plan!$I$5:$I$129="A+B"))*(Plan!$K$5:$K$129&lt;T$5)*(Plan!$L$5:$L$129&gt;=T$5))=0,"",INDEX(Plan!$A$5:$A$129,SUMPRODUCT(((Plan!$I$5:$I$129="A")+(Plan!$I$5:$I$129="A+B"))*(Plan!$K$5:$K$129&lt;T$5)*(Plan!$L$5:$L$129&gt;=T$5)*(ROW(Plan!$A$5:$A$129)-4))))</f>
        <v/>
      </c>
      <c r="U6" s="26">
        <f>IF(SUMPRODUCT(((Plan!$I$5:$I$129="A")+(Plan!$I$5:$I$129="A+B"))*(Plan!$K$5:$K$129&lt;U$5)*(Plan!$L$5:$L$129&gt;=U$5))=0,"",INDEX(Plan!$A$5:$A$129,SUMPRODUCT(((Plan!$I$5:$I$129="A")+(Plan!$I$5:$I$129="A+B"))*(Plan!$K$5:$K$129&lt;U$5)*(Plan!$L$5:$L$129&gt;=U$5)*(ROW(Plan!$A$5:$A$129)-4))))</f>
        <v/>
      </c>
      <c r="V6" s="26">
        <f>IF(SUMPRODUCT(((Plan!$I$5:$I$129="A")+(Plan!$I$5:$I$129="A+B"))*(Plan!$K$5:$K$129&lt;V$5)*(Plan!$L$5:$L$129&gt;=V$5))=0,"",INDEX(Plan!$A$5:$A$129,SUMPRODUCT(((Plan!$I$5:$I$129="A")+(Plan!$I$5:$I$129="A+B"))*(Plan!$K$5:$K$129&lt;V$5)*(Plan!$L$5:$L$129&gt;=V$5)*(ROW(Plan!$A$5:$A$129)-4))))</f>
        <v/>
      </c>
      <c r="W6" s="26">
        <f>IF(SUMPRODUCT(((Plan!$I$5:$I$129="A")+(Plan!$I$5:$I$129="A+B"))*(Plan!$K$5:$K$129&lt;W$5)*(Plan!$L$5:$L$129&gt;=W$5))=0,"",INDEX(Plan!$A$5:$A$129,SUMPRODUCT(((Plan!$I$5:$I$129="A")+(Plan!$I$5:$I$129="A+B"))*(Plan!$K$5:$K$129&lt;W$5)*(Plan!$L$5:$L$129&gt;=W$5)*(ROW(Plan!$A$5:$A$129)-4))))</f>
        <v/>
      </c>
      <c r="X6" s="26">
        <f>IF(SUMPRODUCT(((Plan!$I$5:$I$129="A")+(Plan!$I$5:$I$129="A+B"))*(Plan!$K$5:$K$129&lt;X$5)*(Plan!$L$5:$L$129&gt;=X$5))=0,"",INDEX(Plan!$A$5:$A$129,SUMPRODUCT(((Plan!$I$5:$I$129="A")+(Plan!$I$5:$I$129="A+B"))*(Plan!$K$5:$K$129&lt;X$5)*(Plan!$L$5:$L$129&gt;=X$5)*(ROW(Plan!$A$5:$A$129)-4))))</f>
        <v/>
      </c>
      <c r="Y6" s="26">
        <f>IF(SUMPRODUCT(((Plan!$I$5:$I$129="A")+(Plan!$I$5:$I$129="A+B"))*(Plan!$K$5:$K$129&lt;Y$5)*(Plan!$L$5:$L$129&gt;=Y$5))=0,"",INDEX(Plan!$A$5:$A$129,SUMPRODUCT(((Plan!$I$5:$I$129="A")+(Plan!$I$5:$I$129="A+B"))*(Plan!$K$5:$K$129&lt;Y$5)*(Plan!$L$5:$L$129&gt;=Y$5)*(ROW(Plan!$A$5:$A$129)-4))))</f>
        <v/>
      </c>
      <c r="Z6" s="26">
        <f>IF(SUMPRODUCT(((Plan!$I$5:$I$129="A")+(Plan!$I$5:$I$129="A+B"))*(Plan!$K$5:$K$129&lt;Z$5)*(Plan!$L$5:$L$129&gt;=Z$5))=0,"",INDEX(Plan!$A$5:$A$129,SUMPRODUCT(((Plan!$I$5:$I$129="A")+(Plan!$I$5:$I$129="A+B"))*(Plan!$K$5:$K$129&lt;Z$5)*(Plan!$L$5:$L$129&gt;=Z$5)*(ROW(Plan!$A$5:$A$129)-4))))</f>
        <v/>
      </c>
      <c r="AA6" s="26">
        <f>IF(SUMPRODUCT(((Plan!$I$5:$I$129="A")+(Plan!$I$5:$I$129="A+B"))*(Plan!$K$5:$K$129&lt;AA$5)*(Plan!$L$5:$L$129&gt;=AA$5))=0,"",INDEX(Plan!$A$5:$A$129,SUMPRODUCT(((Plan!$I$5:$I$129="A")+(Plan!$I$5:$I$129="A+B"))*(Plan!$K$5:$K$129&lt;AA$5)*(Plan!$L$5:$L$129&gt;=AA$5)*(ROW(Plan!$A$5:$A$129)-4))))</f>
        <v/>
      </c>
      <c r="AB6" s="26">
        <f>IF(SUMPRODUCT(((Plan!$I$5:$I$129="A")+(Plan!$I$5:$I$129="A+B"))*(Plan!$K$5:$K$129&lt;AB$5)*(Plan!$L$5:$L$129&gt;=AB$5))=0,"",INDEX(Plan!$A$5:$A$129,SUMPRODUCT(((Plan!$I$5:$I$129="A")+(Plan!$I$5:$I$129="A+B"))*(Plan!$K$5:$K$129&lt;AB$5)*(Plan!$L$5:$L$129&gt;=AB$5)*(ROW(Plan!$A$5:$A$129)-4))))</f>
        <v/>
      </c>
      <c r="AC6" s="26">
        <f>IF(SUMPRODUCT(((Plan!$I$5:$I$129="A")+(Plan!$I$5:$I$129="A+B"))*(Plan!$K$5:$K$129&lt;AC$5)*(Plan!$L$5:$L$129&gt;=AC$5))=0,"",INDEX(Plan!$A$5:$A$129,SUMPRODUCT(((Plan!$I$5:$I$129="A")+(Plan!$I$5:$I$129="A+B"))*(Plan!$K$5:$K$129&lt;AC$5)*(Plan!$L$5:$L$129&gt;=AC$5)*(ROW(Plan!$A$5:$A$129)-4))))</f>
        <v/>
      </c>
      <c r="AD6" s="26">
        <f>IF(SUMPRODUCT(((Plan!$I$5:$I$129="A")+(Plan!$I$5:$I$129="A+B"))*(Plan!$K$5:$K$129&lt;AD$5)*(Plan!$L$5:$L$129&gt;=AD$5))=0,"",INDEX(Plan!$A$5:$A$129,SUMPRODUCT(((Plan!$I$5:$I$129="A")+(Plan!$I$5:$I$129="A+B"))*(Plan!$K$5:$K$129&lt;AD$5)*(Plan!$L$5:$L$129&gt;=AD$5)*(ROW(Plan!$A$5:$A$129)-4))))</f>
        <v/>
      </c>
      <c r="AE6" s="26">
        <f>IF(SUMPRODUCT(((Plan!$I$5:$I$129="A")+(Plan!$I$5:$I$129="A+B"))*(Plan!$K$5:$K$129&lt;AE$5)*(Plan!$L$5:$L$129&gt;=AE$5))=0,"",INDEX(Plan!$A$5:$A$129,SUMPRODUCT(((Plan!$I$5:$I$129="A")+(Plan!$I$5:$I$129="A+B"))*(Plan!$K$5:$K$129&lt;AE$5)*(Plan!$L$5:$L$129&gt;=AE$5)*(ROW(Plan!$A$5:$A$129)-4))))</f>
        <v/>
      </c>
      <c r="AF6" s="26">
        <f>IF(SUMPRODUCT(((Plan!$I$5:$I$129="A")+(Plan!$I$5:$I$129="A+B"))*(Plan!$K$5:$K$129&lt;AF$5)*(Plan!$L$5:$L$129&gt;=AF$5))=0,"",INDEX(Plan!$A$5:$A$129,SUMPRODUCT(((Plan!$I$5:$I$129="A")+(Plan!$I$5:$I$129="A+B"))*(Plan!$K$5:$K$129&lt;AF$5)*(Plan!$L$5:$L$129&gt;=AF$5)*(ROW(Plan!$A$5:$A$129)-4))))</f>
        <v/>
      </c>
      <c r="AG6" s="26">
        <f>IF(SUMPRODUCT(((Plan!$I$5:$I$129="A")+(Plan!$I$5:$I$129="A+B"))*(Plan!$K$5:$K$129&lt;AG$5)*(Plan!$L$5:$L$129&gt;=AG$5))=0,"",INDEX(Plan!$A$5:$A$129,SUMPRODUCT(((Plan!$I$5:$I$129="A")+(Plan!$I$5:$I$129="A+B"))*(Plan!$K$5:$K$129&lt;AG$5)*(Plan!$L$5:$L$129&gt;=AG$5)*(ROW(Plan!$A$5:$A$129)-4))))</f>
        <v/>
      </c>
      <c r="AH6" s="26">
        <f>IF(SUMPRODUCT(((Plan!$I$5:$I$129="A")+(Plan!$I$5:$I$129="A+B"))*(Plan!$K$5:$K$129&lt;AH$5)*(Plan!$L$5:$L$129&gt;=AH$5))=0,"",INDEX(Plan!$A$5:$A$129,SUMPRODUCT(((Plan!$I$5:$I$129="A")+(Plan!$I$5:$I$129="A+B"))*(Plan!$K$5:$K$129&lt;AH$5)*(Plan!$L$5:$L$129&gt;=AH$5)*(ROW(Plan!$A$5:$A$129)-4))))</f>
        <v/>
      </c>
      <c r="AI6" s="26">
        <f>IF(SUMPRODUCT(((Plan!$I$5:$I$129="A")+(Plan!$I$5:$I$129="A+B"))*(Plan!$K$5:$K$129&lt;AI$5)*(Plan!$L$5:$L$129&gt;=AI$5))=0,"",INDEX(Plan!$A$5:$A$129,SUMPRODUCT(((Plan!$I$5:$I$129="A")+(Plan!$I$5:$I$129="A+B"))*(Plan!$K$5:$K$129&lt;AI$5)*(Plan!$L$5:$L$129&gt;=AI$5)*(ROW(Plan!$A$5:$A$129)-4))))</f>
        <v/>
      </c>
      <c r="AJ6" s="26">
        <f>IF(SUMPRODUCT(((Plan!$I$5:$I$129="A")+(Plan!$I$5:$I$129="A+B"))*(Plan!$K$5:$K$129&lt;AJ$5)*(Plan!$L$5:$L$129&gt;=AJ$5))=0,"",INDEX(Plan!$A$5:$A$129,SUMPRODUCT(((Plan!$I$5:$I$129="A")+(Plan!$I$5:$I$129="A+B"))*(Plan!$K$5:$K$129&lt;AJ$5)*(Plan!$L$5:$L$129&gt;=AJ$5)*(ROW(Plan!$A$5:$A$129)-4))))</f>
        <v/>
      </c>
      <c r="AK6" s="26">
        <f>IF(SUMPRODUCT(((Plan!$I$5:$I$129="A")+(Plan!$I$5:$I$129="A+B"))*(Plan!$K$5:$K$129&lt;AK$5)*(Plan!$L$5:$L$129&gt;=AK$5))=0,"",INDEX(Plan!$A$5:$A$129,SUMPRODUCT(((Plan!$I$5:$I$129="A")+(Plan!$I$5:$I$129="A+B"))*(Plan!$K$5:$K$129&lt;AK$5)*(Plan!$L$5:$L$129&gt;=AK$5)*(ROW(Plan!$A$5:$A$129)-4))))</f>
        <v/>
      </c>
      <c r="AL6" s="26">
        <f>IF(SUMPRODUCT(((Plan!$I$5:$I$129="A")+(Plan!$I$5:$I$129="A+B"))*(Plan!$K$5:$K$129&lt;AL$5)*(Plan!$L$5:$L$129&gt;=AL$5))=0,"",INDEX(Plan!$A$5:$A$129,SUMPRODUCT(((Plan!$I$5:$I$129="A")+(Plan!$I$5:$I$129="A+B"))*(Plan!$K$5:$K$129&lt;AL$5)*(Plan!$L$5:$L$129&gt;=AL$5)*(ROW(Plan!$A$5:$A$129)-4))))</f>
        <v/>
      </c>
      <c r="AM6" s="26">
        <f>IF(SUMPRODUCT(((Plan!$I$5:$I$129="A")+(Plan!$I$5:$I$129="A+B"))*(Plan!$K$5:$K$129&lt;AM$5)*(Plan!$L$5:$L$129&gt;=AM$5))=0,"",INDEX(Plan!$A$5:$A$129,SUMPRODUCT(((Plan!$I$5:$I$129="A")+(Plan!$I$5:$I$129="A+B"))*(Plan!$K$5:$K$129&lt;AM$5)*(Plan!$L$5:$L$129&gt;=AM$5)*(ROW(Plan!$A$5:$A$129)-4))))</f>
        <v/>
      </c>
      <c r="AN6" s="26">
        <f>IF(SUMPRODUCT(((Plan!$I$5:$I$129="A")+(Plan!$I$5:$I$129="A+B"))*(Plan!$K$5:$K$129&lt;AN$5)*(Plan!$L$5:$L$129&gt;=AN$5))=0,"",INDEX(Plan!$A$5:$A$129,SUMPRODUCT(((Plan!$I$5:$I$129="A")+(Plan!$I$5:$I$129="A+B"))*(Plan!$K$5:$K$129&lt;AN$5)*(Plan!$L$5:$L$129&gt;=AN$5)*(ROW(Plan!$A$5:$A$129)-4))))</f>
        <v/>
      </c>
      <c r="AO6" s="26">
        <f>IF(SUMPRODUCT(((Plan!$I$5:$I$129="A")+(Plan!$I$5:$I$129="A+B"))*(Plan!$K$5:$K$129&lt;AO$5)*(Plan!$L$5:$L$129&gt;=AO$5))=0,"",INDEX(Plan!$A$5:$A$129,SUMPRODUCT(((Plan!$I$5:$I$129="A")+(Plan!$I$5:$I$129="A+B"))*(Plan!$K$5:$K$129&lt;AO$5)*(Plan!$L$5:$L$129&gt;=AO$5)*(ROW(Plan!$A$5:$A$129)-4))))</f>
        <v/>
      </c>
      <c r="AP6" s="26">
        <f>IF(SUMPRODUCT(((Plan!$I$5:$I$129="A")+(Plan!$I$5:$I$129="A+B"))*(Plan!$K$5:$K$129&lt;AP$5)*(Plan!$L$5:$L$129&gt;=AP$5))=0,"",INDEX(Plan!$A$5:$A$129,SUMPRODUCT(((Plan!$I$5:$I$129="A")+(Plan!$I$5:$I$129="A+B"))*(Plan!$K$5:$K$129&lt;AP$5)*(Plan!$L$5:$L$129&gt;=AP$5)*(ROW(Plan!$A$5:$A$129)-4))))</f>
        <v/>
      </c>
      <c r="AQ6" s="26">
        <f>IF(SUMPRODUCT(((Plan!$I$5:$I$129="A")+(Plan!$I$5:$I$129="A+B"))*(Plan!$K$5:$K$129&lt;AQ$5)*(Plan!$L$5:$L$129&gt;=AQ$5))=0,"",INDEX(Plan!$A$5:$A$129,SUMPRODUCT(((Plan!$I$5:$I$129="A")+(Plan!$I$5:$I$129="A+B"))*(Plan!$K$5:$K$129&lt;AQ$5)*(Plan!$L$5:$L$129&gt;=AQ$5)*(ROW(Plan!$A$5:$A$129)-4))))</f>
        <v/>
      </c>
      <c r="AR6" s="26">
        <f>IF(SUMPRODUCT(((Plan!$I$5:$I$129="A")+(Plan!$I$5:$I$129="A+B"))*(Plan!$K$5:$K$129&lt;AR$5)*(Plan!$L$5:$L$129&gt;=AR$5))=0,"",INDEX(Plan!$A$5:$A$129,SUMPRODUCT(((Plan!$I$5:$I$129="A")+(Plan!$I$5:$I$129="A+B"))*(Plan!$K$5:$K$129&lt;AR$5)*(Plan!$L$5:$L$129&gt;=AR$5)*(ROW(Plan!$A$5:$A$129)-4))))</f>
        <v/>
      </c>
      <c r="AS6" s="26">
        <f>IF(SUMPRODUCT(((Plan!$I$5:$I$129="A")+(Plan!$I$5:$I$129="A+B"))*(Plan!$K$5:$K$129&lt;AS$5)*(Plan!$L$5:$L$129&gt;=AS$5))=0,"",INDEX(Plan!$A$5:$A$129,SUMPRODUCT(((Plan!$I$5:$I$129="A")+(Plan!$I$5:$I$129="A+B"))*(Plan!$K$5:$K$129&lt;AS$5)*(Plan!$L$5:$L$129&gt;=AS$5)*(ROW(Plan!$A$5:$A$129)-4))))</f>
        <v/>
      </c>
      <c r="AT6" s="26">
        <f>IF(SUMPRODUCT(((Plan!$I$5:$I$129="A")+(Plan!$I$5:$I$129="A+B"))*(Plan!$K$5:$K$129&lt;AT$5)*(Plan!$L$5:$L$129&gt;=AT$5))=0,"",INDEX(Plan!$A$5:$A$129,SUMPRODUCT(((Plan!$I$5:$I$129="A")+(Plan!$I$5:$I$129="A+B"))*(Plan!$K$5:$K$129&lt;AT$5)*(Plan!$L$5:$L$129&gt;=AT$5)*(ROW(Plan!$A$5:$A$129)-4))))</f>
        <v/>
      </c>
      <c r="AU6" s="26">
        <f>IF(SUMPRODUCT(((Plan!$I$5:$I$129="A")+(Plan!$I$5:$I$129="A+B"))*(Plan!$K$5:$K$129&lt;AU$5)*(Plan!$L$5:$L$129&gt;=AU$5))=0,"",INDEX(Plan!$A$5:$A$129,SUMPRODUCT(((Plan!$I$5:$I$129="A")+(Plan!$I$5:$I$129="A+B"))*(Plan!$K$5:$K$129&lt;AU$5)*(Plan!$L$5:$L$129&gt;=AU$5)*(ROW(Plan!$A$5:$A$129)-4))))</f>
        <v/>
      </c>
      <c r="AV6" s="26">
        <f>IF(SUMPRODUCT(((Plan!$I$5:$I$129="A")+(Plan!$I$5:$I$129="A+B"))*(Plan!$K$5:$K$129&lt;AV$5)*(Plan!$L$5:$L$129&gt;=AV$5))=0,"",INDEX(Plan!$A$5:$A$129,SUMPRODUCT(((Plan!$I$5:$I$129="A")+(Plan!$I$5:$I$129="A+B"))*(Plan!$K$5:$K$129&lt;AV$5)*(Plan!$L$5:$L$129&gt;=AV$5)*(ROW(Plan!$A$5:$A$129)-4))))</f>
        <v/>
      </c>
      <c r="AW6" s="26">
        <f>IF(SUMPRODUCT(((Plan!$I$5:$I$129="A")+(Plan!$I$5:$I$129="A+B"))*(Plan!$K$5:$K$129&lt;AW$5)*(Plan!$L$5:$L$129&gt;=AW$5))=0,"",INDEX(Plan!$A$5:$A$129,SUMPRODUCT(((Plan!$I$5:$I$129="A")+(Plan!$I$5:$I$129="A+B"))*(Plan!$K$5:$K$129&lt;AW$5)*(Plan!$L$5:$L$129&gt;=AW$5)*(ROW(Plan!$A$5:$A$129)-4))))</f>
        <v/>
      </c>
      <c r="AX6" s="26">
        <f>IF(SUMPRODUCT(((Plan!$I$5:$I$129="A")+(Plan!$I$5:$I$129="A+B"))*(Plan!$K$5:$K$129&lt;AX$5)*(Plan!$L$5:$L$129&gt;=AX$5))=0,"",INDEX(Plan!$A$5:$A$129,SUMPRODUCT(((Plan!$I$5:$I$129="A")+(Plan!$I$5:$I$129="A+B"))*(Plan!$K$5:$K$129&lt;AX$5)*(Plan!$L$5:$L$129&gt;=AX$5)*(ROW(Plan!$A$5:$A$129)-4))))</f>
        <v/>
      </c>
      <c r="AY6" s="26">
        <f>IF(SUMPRODUCT(((Plan!$I$5:$I$129="A")+(Plan!$I$5:$I$129="A+B"))*(Plan!$K$5:$K$129&lt;AY$5)*(Plan!$L$5:$L$129&gt;=AY$5))=0,"",INDEX(Plan!$A$5:$A$129,SUMPRODUCT(((Plan!$I$5:$I$129="A")+(Plan!$I$5:$I$129="A+B"))*(Plan!$K$5:$K$129&lt;AY$5)*(Plan!$L$5:$L$129&gt;=AY$5)*(ROW(Plan!$A$5:$A$129)-4))))</f>
        <v/>
      </c>
      <c r="AZ6" s="26">
        <f>IF(SUMPRODUCT(((Plan!$I$5:$I$129="A")+(Plan!$I$5:$I$129="A+B"))*(Plan!$K$5:$K$129&lt;AZ$5)*(Plan!$L$5:$L$129&gt;=AZ$5))=0,"",INDEX(Plan!$A$5:$A$129,SUMPRODUCT(((Plan!$I$5:$I$129="A")+(Plan!$I$5:$I$129="A+B"))*(Plan!$K$5:$K$129&lt;AZ$5)*(Plan!$L$5:$L$129&gt;=AZ$5)*(ROW(Plan!$A$5:$A$129)-4))))</f>
        <v/>
      </c>
      <c r="BA6" s="26">
        <f>IF(SUMPRODUCT(((Plan!$I$5:$I$129="A")+(Plan!$I$5:$I$129="A+B"))*(Plan!$K$5:$K$129&lt;BA$5)*(Plan!$L$5:$L$129&gt;=BA$5))=0,"",INDEX(Plan!$A$5:$A$129,SUMPRODUCT(((Plan!$I$5:$I$129="A")+(Plan!$I$5:$I$129="A+B"))*(Plan!$K$5:$K$129&lt;BA$5)*(Plan!$L$5:$L$129&gt;=BA$5)*(ROW(Plan!$A$5:$A$129)-4))))</f>
        <v/>
      </c>
      <c r="BB6" s="26">
        <f>IF(SUMPRODUCT(((Plan!$I$5:$I$129="A")+(Plan!$I$5:$I$129="A+B"))*(Plan!$K$5:$K$129&lt;BB$5)*(Plan!$L$5:$L$129&gt;=BB$5))=0,"",INDEX(Plan!$A$5:$A$129,SUMPRODUCT(((Plan!$I$5:$I$129="A")+(Plan!$I$5:$I$129="A+B"))*(Plan!$K$5:$K$129&lt;BB$5)*(Plan!$L$5:$L$129&gt;=BB$5)*(ROW(Plan!$A$5:$A$129)-4))))</f>
        <v/>
      </c>
      <c r="BC6" s="26">
        <f>IF(SUMPRODUCT(((Plan!$I$5:$I$129="A")+(Plan!$I$5:$I$129="A+B"))*(Plan!$K$5:$K$129&lt;BC$5)*(Plan!$L$5:$L$129&gt;=BC$5))=0,"",INDEX(Plan!$A$5:$A$129,SUMPRODUCT(((Plan!$I$5:$I$129="A")+(Plan!$I$5:$I$129="A+B"))*(Plan!$K$5:$K$129&lt;BC$5)*(Plan!$L$5:$L$129&gt;=BC$5)*(ROW(Plan!$A$5:$A$129)-4))))</f>
        <v/>
      </c>
      <c r="BD6" s="26">
        <f>IF(SUMPRODUCT(((Plan!$I$5:$I$129="A")+(Plan!$I$5:$I$129="A+B"))*(Plan!$K$5:$K$129&lt;BD$5)*(Plan!$L$5:$L$129&gt;=BD$5))=0,"",INDEX(Plan!$A$5:$A$129,SUMPRODUCT(((Plan!$I$5:$I$129="A")+(Plan!$I$5:$I$129="A+B"))*(Plan!$K$5:$K$129&lt;BD$5)*(Plan!$L$5:$L$129&gt;=BD$5)*(ROW(Plan!$A$5:$A$129)-4))))</f>
        <v/>
      </c>
      <c r="BE6" s="26">
        <f>IF(SUMPRODUCT(((Plan!$I$5:$I$129="A")+(Plan!$I$5:$I$129="A+B"))*(Plan!$K$5:$K$129&lt;BE$5)*(Plan!$L$5:$L$129&gt;=BE$5))=0,"",INDEX(Plan!$A$5:$A$129,SUMPRODUCT(((Plan!$I$5:$I$129="A")+(Plan!$I$5:$I$129="A+B"))*(Plan!$K$5:$K$129&lt;BE$5)*(Plan!$L$5:$L$129&gt;=BE$5)*(ROW(Plan!$A$5:$A$129)-4))))</f>
        <v/>
      </c>
      <c r="BF6" s="26">
        <f>IF(SUMPRODUCT(((Plan!$I$5:$I$129="A")+(Plan!$I$5:$I$129="A+B"))*(Plan!$K$5:$K$129&lt;BF$5)*(Plan!$L$5:$L$129&gt;=BF$5))=0,"",INDEX(Plan!$A$5:$A$129,SUMPRODUCT(((Plan!$I$5:$I$129="A")+(Plan!$I$5:$I$129="A+B"))*(Plan!$K$5:$K$129&lt;BF$5)*(Plan!$L$5:$L$129&gt;=BF$5)*(ROW(Plan!$A$5:$A$129)-4))))</f>
        <v/>
      </c>
      <c r="BG6" s="26">
        <f>IF(SUMPRODUCT(((Plan!$I$5:$I$129="A")+(Plan!$I$5:$I$129="A+B"))*(Plan!$K$5:$K$129&lt;BG$5)*(Plan!$L$5:$L$129&gt;=BG$5))=0,"",INDEX(Plan!$A$5:$A$129,SUMPRODUCT(((Plan!$I$5:$I$129="A")+(Plan!$I$5:$I$129="A+B"))*(Plan!$K$5:$K$129&lt;BG$5)*(Plan!$L$5:$L$129&gt;=BG$5)*(ROW(Plan!$A$5:$A$129)-4))))</f>
        <v/>
      </c>
      <c r="BH6" s="26">
        <f>IF(SUMPRODUCT(((Plan!$I$5:$I$129="A")+(Plan!$I$5:$I$129="A+B"))*(Plan!$K$5:$K$129&lt;BH$5)*(Plan!$L$5:$L$129&gt;=BH$5))=0,"",INDEX(Plan!$A$5:$A$129,SUMPRODUCT(((Plan!$I$5:$I$129="A")+(Plan!$I$5:$I$129="A+B"))*(Plan!$K$5:$K$129&lt;BH$5)*(Plan!$L$5:$L$129&gt;=BH$5)*(ROW(Plan!$A$5:$A$129)-4))))</f>
        <v/>
      </c>
      <c r="BI6" s="26">
        <f>IF(SUMPRODUCT(((Plan!$I$5:$I$129="A")+(Plan!$I$5:$I$129="A+B"))*(Plan!$K$5:$K$129&lt;BI$5)*(Plan!$L$5:$L$129&gt;=BI$5))=0,"",INDEX(Plan!$A$5:$A$129,SUMPRODUCT(((Plan!$I$5:$I$129="A")+(Plan!$I$5:$I$129="A+B"))*(Plan!$K$5:$K$129&lt;BI$5)*(Plan!$L$5:$L$129&gt;=BI$5)*(ROW(Plan!$A$5:$A$129)-4))))</f>
        <v/>
      </c>
      <c r="BJ6" s="26">
        <f>IF(SUMPRODUCT(((Plan!$I$5:$I$129="A")+(Plan!$I$5:$I$129="A+B"))*(Plan!$K$5:$K$129&lt;BJ$5)*(Plan!$L$5:$L$129&gt;=BJ$5))=0,"",INDEX(Plan!$A$5:$A$129,SUMPRODUCT(((Plan!$I$5:$I$129="A")+(Plan!$I$5:$I$129="A+B"))*(Plan!$K$5:$K$129&lt;BJ$5)*(Plan!$L$5:$L$129&gt;=BJ$5)*(ROW(Plan!$A$5:$A$129)-4))))</f>
        <v/>
      </c>
      <c r="BK6" s="26">
        <f>IF(SUMPRODUCT(((Plan!$I$5:$I$129="A")+(Plan!$I$5:$I$129="A+B"))*(Plan!$K$5:$K$129&lt;BK$5)*(Plan!$L$5:$L$129&gt;=BK$5))=0,"",INDEX(Plan!$A$5:$A$129,SUMPRODUCT(((Plan!$I$5:$I$129="A")+(Plan!$I$5:$I$129="A+B"))*(Plan!$K$5:$K$129&lt;BK$5)*(Plan!$L$5:$L$129&gt;=BK$5)*(ROW(Plan!$A$5:$A$129)-4))))</f>
        <v/>
      </c>
      <c r="BL6" s="26">
        <f>IF(SUMPRODUCT(((Plan!$I$5:$I$129="A")+(Plan!$I$5:$I$129="A+B"))*(Plan!$K$5:$K$129&lt;BL$5)*(Plan!$L$5:$L$129&gt;=BL$5))=0,"",INDEX(Plan!$A$5:$A$129,SUMPRODUCT(((Plan!$I$5:$I$129="A")+(Plan!$I$5:$I$129="A+B"))*(Plan!$K$5:$K$129&lt;BL$5)*(Plan!$L$5:$L$129&gt;=BL$5)*(ROW(Plan!$A$5:$A$129)-4))))</f>
        <v/>
      </c>
      <c r="BM6" s="26">
        <f>IF(SUMPRODUCT(((Plan!$I$5:$I$129="A")+(Plan!$I$5:$I$129="A+B"))*(Plan!$K$5:$K$129&lt;BM$5)*(Plan!$L$5:$L$129&gt;=BM$5))=0,"",INDEX(Plan!$A$5:$A$129,SUMPRODUCT(((Plan!$I$5:$I$129="A")+(Plan!$I$5:$I$129="A+B"))*(Plan!$K$5:$K$129&lt;BM$5)*(Plan!$L$5:$L$129&gt;=BM$5)*(ROW(Plan!$A$5:$A$129)-4))))</f>
        <v/>
      </c>
      <c r="BN6" s="26">
        <f>IF(SUMPRODUCT(((Plan!$I$5:$I$129="A")+(Plan!$I$5:$I$129="A+B"))*(Plan!$K$5:$K$129&lt;BN$5)*(Plan!$L$5:$L$129&gt;=BN$5))=0,"",INDEX(Plan!$A$5:$A$129,SUMPRODUCT(((Plan!$I$5:$I$129="A")+(Plan!$I$5:$I$129="A+B"))*(Plan!$K$5:$K$129&lt;BN$5)*(Plan!$L$5:$L$129&gt;=BN$5)*(ROW(Plan!$A$5:$A$129)-4))))</f>
        <v/>
      </c>
      <c r="BO6" s="26">
        <f>IF(SUMPRODUCT(((Plan!$I$5:$I$129="A")+(Plan!$I$5:$I$129="A+B"))*(Plan!$K$5:$K$129&lt;BO$5)*(Plan!$L$5:$L$129&gt;=BO$5))=0,"",INDEX(Plan!$A$5:$A$129,SUMPRODUCT(((Plan!$I$5:$I$129="A")+(Plan!$I$5:$I$129="A+B"))*(Plan!$K$5:$K$129&lt;BO$5)*(Plan!$L$5:$L$129&gt;=BO$5)*(ROW(Plan!$A$5:$A$129)-4))))</f>
        <v/>
      </c>
      <c r="BP6" s="26">
        <f>IF(SUMPRODUCT(((Plan!$I$5:$I$129="A")+(Plan!$I$5:$I$129="A+B"))*(Plan!$K$5:$K$129&lt;BP$5)*(Plan!$L$5:$L$129&gt;=BP$5))=0,"",INDEX(Plan!$A$5:$A$129,SUMPRODUCT(((Plan!$I$5:$I$129="A")+(Plan!$I$5:$I$129="A+B"))*(Plan!$K$5:$K$129&lt;BP$5)*(Plan!$L$5:$L$129&gt;=BP$5)*(ROW(Plan!$A$5:$A$129)-4))))</f>
        <v/>
      </c>
      <c r="BQ6" s="26">
        <f>IF(SUMPRODUCT(((Plan!$I$5:$I$129="A")+(Plan!$I$5:$I$129="A+B"))*(Plan!$K$5:$K$129&lt;BQ$5)*(Plan!$L$5:$L$129&gt;=BQ$5))=0,"",INDEX(Plan!$A$5:$A$129,SUMPRODUCT(((Plan!$I$5:$I$129="A")+(Plan!$I$5:$I$129="A+B"))*(Plan!$K$5:$K$129&lt;BQ$5)*(Plan!$L$5:$L$129&gt;=BQ$5)*(ROW(Plan!$A$5:$A$129)-4))))</f>
        <v/>
      </c>
      <c r="BR6" s="26">
        <f>IF(SUMPRODUCT(((Plan!$I$5:$I$129="A")+(Plan!$I$5:$I$129="A+B"))*(Plan!$K$5:$K$129&lt;BR$5)*(Plan!$L$5:$L$129&gt;=BR$5))=0,"",INDEX(Plan!$A$5:$A$129,SUMPRODUCT(((Plan!$I$5:$I$129="A")+(Plan!$I$5:$I$129="A+B"))*(Plan!$K$5:$K$129&lt;BR$5)*(Plan!$L$5:$L$129&gt;=BR$5)*(ROW(Plan!$A$5:$A$129)-4))))</f>
        <v/>
      </c>
      <c r="BS6" s="26">
        <f>IF(SUMPRODUCT(((Plan!$I$5:$I$129="A")+(Plan!$I$5:$I$129="A+B"))*(Plan!$K$5:$K$129&lt;BS$5)*(Plan!$L$5:$L$129&gt;=BS$5))=0,"",INDEX(Plan!$A$5:$A$129,SUMPRODUCT(((Plan!$I$5:$I$129="A")+(Plan!$I$5:$I$129="A+B"))*(Plan!$K$5:$K$129&lt;BS$5)*(Plan!$L$5:$L$129&gt;=BS$5)*(ROW(Plan!$A$5:$A$129)-4))))</f>
        <v/>
      </c>
      <c r="BT6" s="26">
        <f>IF(SUMPRODUCT(((Plan!$I$5:$I$129="A")+(Plan!$I$5:$I$129="A+B"))*(Plan!$K$5:$K$129&lt;BT$5)*(Plan!$L$5:$L$129&gt;=BT$5))=0,"",INDEX(Plan!$A$5:$A$129,SUMPRODUCT(((Plan!$I$5:$I$129="A")+(Plan!$I$5:$I$129="A+B"))*(Plan!$K$5:$K$129&lt;BT$5)*(Plan!$L$5:$L$129&gt;=BT$5)*(ROW(Plan!$A$5:$A$129)-4))))</f>
        <v/>
      </c>
      <c r="BU6" s="26">
        <f>IF(SUMPRODUCT(((Plan!$I$5:$I$129="A")+(Plan!$I$5:$I$129="A+B"))*(Plan!$K$5:$K$129&lt;BU$5)*(Plan!$L$5:$L$129&gt;=BU$5))=0,"",INDEX(Plan!$A$5:$A$129,SUMPRODUCT(((Plan!$I$5:$I$129="A")+(Plan!$I$5:$I$129="A+B"))*(Plan!$K$5:$K$129&lt;BU$5)*(Plan!$L$5:$L$129&gt;=BU$5)*(ROW(Plan!$A$5:$A$129)-4))))</f>
        <v/>
      </c>
      <c r="BV6" s="26">
        <f>IF(SUMPRODUCT(((Plan!$I$5:$I$129="A")+(Plan!$I$5:$I$129="A+B"))*(Plan!$K$5:$K$129&lt;BV$5)*(Plan!$L$5:$L$129&gt;=BV$5))=0,"",INDEX(Plan!$A$5:$A$129,SUMPRODUCT(((Plan!$I$5:$I$129="A")+(Plan!$I$5:$I$129="A+B"))*(Plan!$K$5:$K$129&lt;BV$5)*(Plan!$L$5:$L$129&gt;=BV$5)*(ROW(Plan!$A$5:$A$129)-4))))</f>
        <v/>
      </c>
      <c r="BW6" s="26">
        <f>IF(SUMPRODUCT(((Plan!$I$5:$I$129="A")+(Plan!$I$5:$I$129="A+B"))*(Plan!$K$5:$K$129&lt;BW$5)*(Plan!$L$5:$L$129&gt;=BW$5))=0,"",INDEX(Plan!$A$5:$A$129,SUMPRODUCT(((Plan!$I$5:$I$129="A")+(Plan!$I$5:$I$129="A+B"))*(Plan!$K$5:$K$129&lt;BW$5)*(Plan!$L$5:$L$129&gt;=BW$5)*(ROW(Plan!$A$5:$A$129)-4))))</f>
        <v/>
      </c>
      <c r="BX6" s="26">
        <f>IF(SUMPRODUCT(((Plan!$I$5:$I$129="A")+(Plan!$I$5:$I$129="A+B"))*(Plan!$K$5:$K$129&lt;BX$5)*(Plan!$L$5:$L$129&gt;=BX$5))=0,"",INDEX(Plan!$A$5:$A$129,SUMPRODUCT(((Plan!$I$5:$I$129="A")+(Plan!$I$5:$I$129="A+B"))*(Plan!$K$5:$K$129&lt;BX$5)*(Plan!$L$5:$L$129&gt;=BX$5)*(ROW(Plan!$A$5:$A$129)-4))))</f>
        <v/>
      </c>
      <c r="BY6" s="26">
        <f>IF(SUMPRODUCT(((Plan!$I$5:$I$129="A")+(Plan!$I$5:$I$129="A+B"))*(Plan!$K$5:$K$129&lt;BY$5)*(Plan!$L$5:$L$129&gt;=BY$5))=0,"",INDEX(Plan!$A$5:$A$129,SUMPRODUCT(((Plan!$I$5:$I$129="A")+(Plan!$I$5:$I$129="A+B"))*(Plan!$K$5:$K$129&lt;BY$5)*(Plan!$L$5:$L$129&gt;=BY$5)*(ROW(Plan!$A$5:$A$129)-4))))</f>
        <v/>
      </c>
      <c r="BZ6" s="26">
        <f>IF(SUMPRODUCT(((Plan!$I$5:$I$129="A")+(Plan!$I$5:$I$129="A+B"))*(Plan!$K$5:$K$129&lt;BZ$5)*(Plan!$L$5:$L$129&gt;=BZ$5))=0,"",INDEX(Plan!$A$5:$A$129,SUMPRODUCT(((Plan!$I$5:$I$129="A")+(Plan!$I$5:$I$129="A+B"))*(Plan!$K$5:$K$129&lt;BZ$5)*(Plan!$L$5:$L$129&gt;=BZ$5)*(ROW(Plan!$A$5:$A$129)-4))))</f>
        <v/>
      </c>
      <c r="CA6" s="26">
        <f>IF(SUMPRODUCT(((Plan!$I$5:$I$129="A")+(Plan!$I$5:$I$129="A+B"))*(Plan!$K$5:$K$129&lt;CA$5)*(Plan!$L$5:$L$129&gt;=CA$5))=0,"",INDEX(Plan!$A$5:$A$129,SUMPRODUCT(((Plan!$I$5:$I$129="A")+(Plan!$I$5:$I$129="A+B"))*(Plan!$K$5:$K$129&lt;CA$5)*(Plan!$L$5:$L$129&gt;=CA$5)*(ROW(Plan!$A$5:$A$129)-4))))</f>
        <v/>
      </c>
      <c r="CB6" s="26">
        <f>IF(SUMPRODUCT(((Plan!$I$5:$I$129="A")+(Plan!$I$5:$I$129="A+B"))*(Plan!$K$5:$K$129&lt;CB$5)*(Plan!$L$5:$L$129&gt;=CB$5))=0,"",INDEX(Plan!$A$5:$A$129,SUMPRODUCT(((Plan!$I$5:$I$129="A")+(Plan!$I$5:$I$129="A+B"))*(Plan!$K$5:$K$129&lt;CB$5)*(Plan!$L$5:$L$129&gt;=CB$5)*(ROW(Plan!$A$5:$A$129)-4))))</f>
        <v/>
      </c>
      <c r="CC6" s="26">
        <f>IF(SUMPRODUCT(((Plan!$I$5:$I$129="A")+(Plan!$I$5:$I$129="A+B"))*(Plan!$K$5:$K$129&lt;CC$5)*(Plan!$L$5:$L$129&gt;=CC$5))=0,"",INDEX(Plan!$A$5:$A$129,SUMPRODUCT(((Plan!$I$5:$I$129="A")+(Plan!$I$5:$I$129="A+B"))*(Plan!$K$5:$K$129&lt;CC$5)*(Plan!$L$5:$L$129&gt;=CC$5)*(ROW(Plan!$A$5:$A$129)-4))))</f>
        <v/>
      </c>
      <c r="CD6" s="26">
        <f>IF(SUMPRODUCT(((Plan!$I$5:$I$129="A")+(Plan!$I$5:$I$129="A+B"))*(Plan!$K$5:$K$129&lt;CD$5)*(Plan!$L$5:$L$129&gt;=CD$5))=0,"",INDEX(Plan!$A$5:$A$129,SUMPRODUCT(((Plan!$I$5:$I$129="A")+(Plan!$I$5:$I$129="A+B"))*(Plan!$K$5:$K$129&lt;CD$5)*(Plan!$L$5:$L$129&gt;=CD$5)*(ROW(Plan!$A$5:$A$129)-4))))</f>
        <v/>
      </c>
      <c r="CE6" s="26">
        <f>IF(SUMPRODUCT(((Plan!$I$5:$I$129="A")+(Plan!$I$5:$I$129="A+B"))*(Plan!$K$5:$K$129&lt;CE$5)*(Plan!$L$5:$L$129&gt;=CE$5))=0,"",INDEX(Plan!$A$5:$A$129,SUMPRODUCT(((Plan!$I$5:$I$129="A")+(Plan!$I$5:$I$129="A+B"))*(Plan!$K$5:$K$129&lt;CE$5)*(Plan!$L$5:$L$129&gt;=CE$5)*(ROW(Plan!$A$5:$A$129)-4))))</f>
        <v/>
      </c>
      <c r="CF6" s="26">
        <f>IF(SUMPRODUCT(((Plan!$I$5:$I$129="A")+(Plan!$I$5:$I$129="A+B"))*(Plan!$K$5:$K$129&lt;CF$5)*(Plan!$L$5:$L$129&gt;=CF$5))=0,"",INDEX(Plan!$A$5:$A$129,SUMPRODUCT(((Plan!$I$5:$I$129="A")+(Plan!$I$5:$I$129="A+B"))*(Plan!$K$5:$K$129&lt;CF$5)*(Plan!$L$5:$L$129&gt;=CF$5)*(ROW(Plan!$A$5:$A$129)-4))))</f>
        <v/>
      </c>
      <c r="CG6" s="26">
        <f>IF(SUMPRODUCT(((Plan!$I$5:$I$129="A")+(Plan!$I$5:$I$129="A+B"))*(Plan!$K$5:$K$129&lt;CG$5)*(Plan!$L$5:$L$129&gt;=CG$5))=0,"",INDEX(Plan!$A$5:$A$129,SUMPRODUCT(((Plan!$I$5:$I$129="A")+(Plan!$I$5:$I$129="A+B"))*(Plan!$K$5:$K$129&lt;CG$5)*(Plan!$L$5:$L$129&gt;=CG$5)*(ROW(Plan!$A$5:$A$129)-4))))</f>
        <v/>
      </c>
      <c r="CH6" s="26">
        <f>IF(SUMPRODUCT(((Plan!$I$5:$I$129="A")+(Plan!$I$5:$I$129="A+B"))*(Plan!$K$5:$K$129&lt;CH$5)*(Plan!$L$5:$L$129&gt;=CH$5))=0,"",INDEX(Plan!$A$5:$A$129,SUMPRODUCT(((Plan!$I$5:$I$129="A")+(Plan!$I$5:$I$129="A+B"))*(Plan!$K$5:$K$129&lt;CH$5)*(Plan!$L$5:$L$129&gt;=CH$5)*(ROW(Plan!$A$5:$A$129)-4))))</f>
        <v/>
      </c>
      <c r="CI6" s="26">
        <f>IF(SUMPRODUCT(((Plan!$I$5:$I$129="A")+(Plan!$I$5:$I$129="A+B"))*(Plan!$K$5:$K$129&lt;CI$5)*(Plan!$L$5:$L$129&gt;=CI$5))=0,"",INDEX(Plan!$A$5:$A$129,SUMPRODUCT(((Plan!$I$5:$I$129="A")+(Plan!$I$5:$I$129="A+B"))*(Plan!$K$5:$K$129&lt;CI$5)*(Plan!$L$5:$L$129&gt;=CI$5)*(ROW(Plan!$A$5:$A$129)-4))))</f>
        <v/>
      </c>
      <c r="CJ6" s="26">
        <f>IF(SUMPRODUCT(((Plan!$I$5:$I$129="A")+(Plan!$I$5:$I$129="A+B"))*(Plan!$K$5:$K$129&lt;CJ$5)*(Plan!$L$5:$L$129&gt;=CJ$5))=0,"",INDEX(Plan!$A$5:$A$129,SUMPRODUCT(((Plan!$I$5:$I$129="A")+(Plan!$I$5:$I$129="A+B"))*(Plan!$K$5:$K$129&lt;CJ$5)*(Plan!$L$5:$L$129&gt;=CJ$5)*(ROW(Plan!$A$5:$A$129)-4))))</f>
        <v/>
      </c>
      <c r="CK6" s="26">
        <f>IF(SUMPRODUCT(((Plan!$I$5:$I$129="A")+(Plan!$I$5:$I$129="A+B"))*(Plan!$K$5:$K$129&lt;CK$5)*(Plan!$L$5:$L$129&gt;=CK$5))=0,"",INDEX(Plan!$A$5:$A$129,SUMPRODUCT(((Plan!$I$5:$I$129="A")+(Plan!$I$5:$I$129="A+B"))*(Plan!$K$5:$K$129&lt;CK$5)*(Plan!$L$5:$L$129&gt;=CK$5)*(ROW(Plan!$A$5:$A$129)-4))))</f>
        <v/>
      </c>
      <c r="CL6" s="26">
        <f>IF(SUMPRODUCT(((Plan!$I$5:$I$129="A")+(Plan!$I$5:$I$129="A+B"))*(Plan!$K$5:$K$129&lt;CL$5)*(Plan!$L$5:$L$129&gt;=CL$5))=0,"",INDEX(Plan!$A$5:$A$129,SUMPRODUCT(((Plan!$I$5:$I$129="A")+(Plan!$I$5:$I$129="A+B"))*(Plan!$K$5:$K$129&lt;CL$5)*(Plan!$L$5:$L$129&gt;=CL$5)*(ROW(Plan!$A$5:$A$129)-4))))</f>
        <v/>
      </c>
      <c r="CM6" s="26">
        <f>IF(SUMPRODUCT(((Plan!$I$5:$I$129="A")+(Plan!$I$5:$I$129="A+B"))*(Plan!$K$5:$K$129&lt;CM$5)*(Plan!$L$5:$L$129&gt;=CM$5))=0,"",INDEX(Plan!$A$5:$A$129,SUMPRODUCT(((Plan!$I$5:$I$129="A")+(Plan!$I$5:$I$129="A+B"))*(Plan!$K$5:$K$129&lt;CM$5)*(Plan!$L$5:$L$129&gt;=CM$5)*(ROW(Plan!$A$5:$A$129)-4))))</f>
        <v/>
      </c>
      <c r="CN6" s="26">
        <f>IF(SUMPRODUCT(((Plan!$I$5:$I$129="A")+(Plan!$I$5:$I$129="A+B"))*(Plan!$K$5:$K$129&lt;CN$5)*(Plan!$L$5:$L$129&gt;=CN$5))=0,"",INDEX(Plan!$A$5:$A$129,SUMPRODUCT(((Plan!$I$5:$I$129="A")+(Plan!$I$5:$I$129="A+B"))*(Plan!$K$5:$K$129&lt;CN$5)*(Plan!$L$5:$L$129&gt;=CN$5)*(ROW(Plan!$A$5:$A$129)-4))))</f>
        <v/>
      </c>
      <c r="CO6" s="26">
        <f>IF(SUMPRODUCT(((Plan!$I$5:$I$129="A")+(Plan!$I$5:$I$129="A+B"))*(Plan!$K$5:$K$129&lt;CO$5)*(Plan!$L$5:$L$129&gt;=CO$5))=0,"",INDEX(Plan!$A$5:$A$129,SUMPRODUCT(((Plan!$I$5:$I$129="A")+(Plan!$I$5:$I$129="A+B"))*(Plan!$K$5:$K$129&lt;CO$5)*(Plan!$L$5:$L$129&gt;=CO$5)*(ROW(Plan!$A$5:$A$129)-4))))</f>
        <v/>
      </c>
      <c r="CP6" s="26">
        <f>IF(SUMPRODUCT(((Plan!$I$5:$I$129="A")+(Plan!$I$5:$I$129="A+B"))*(Plan!$K$5:$K$129&lt;CP$5)*(Plan!$L$5:$L$129&gt;=CP$5))=0,"",INDEX(Plan!$A$5:$A$129,SUMPRODUCT(((Plan!$I$5:$I$129="A")+(Plan!$I$5:$I$129="A+B"))*(Plan!$K$5:$K$129&lt;CP$5)*(Plan!$L$5:$L$129&gt;=CP$5)*(ROW(Plan!$A$5:$A$129)-4))))</f>
        <v/>
      </c>
      <c r="CQ6" s="26">
        <f>IF(SUMPRODUCT(((Plan!$I$5:$I$129="A")+(Plan!$I$5:$I$129="A+B"))*(Plan!$K$5:$K$129&lt;CQ$5)*(Plan!$L$5:$L$129&gt;=CQ$5))=0,"",INDEX(Plan!$A$5:$A$129,SUMPRODUCT(((Plan!$I$5:$I$129="A")+(Plan!$I$5:$I$129="A+B"))*(Plan!$K$5:$K$129&lt;CQ$5)*(Plan!$L$5:$L$129&gt;=CQ$5)*(ROW(Plan!$A$5:$A$129)-4))))</f>
        <v/>
      </c>
      <c r="CR6" s="26">
        <f>IF(SUMPRODUCT(((Plan!$I$5:$I$129="A")+(Plan!$I$5:$I$129="A+B"))*(Plan!$K$5:$K$129&lt;CR$5)*(Plan!$L$5:$L$129&gt;=CR$5))=0,"",INDEX(Plan!$A$5:$A$129,SUMPRODUCT(((Plan!$I$5:$I$129="A")+(Plan!$I$5:$I$129="A+B"))*(Plan!$K$5:$K$129&lt;CR$5)*(Plan!$L$5:$L$129&gt;=CR$5)*(ROW(Plan!$A$5:$A$129)-4))))</f>
        <v/>
      </c>
      <c r="CS6" s="26">
        <f>IF(SUMPRODUCT(((Plan!$I$5:$I$129="A")+(Plan!$I$5:$I$129="A+B"))*(Plan!$K$5:$K$129&lt;CS$5)*(Plan!$L$5:$L$129&gt;=CS$5))=0,"",INDEX(Plan!$A$5:$A$129,SUMPRODUCT(((Plan!$I$5:$I$129="A")+(Plan!$I$5:$I$129="A+B"))*(Plan!$K$5:$K$129&lt;CS$5)*(Plan!$L$5:$L$129&gt;=CS$5)*(ROW(Plan!$A$5:$A$129)-4))))</f>
        <v/>
      </c>
      <c r="CT6" s="26">
        <f>IF(SUMPRODUCT(((Plan!$I$5:$I$129="A")+(Plan!$I$5:$I$129="A+B"))*(Plan!$K$5:$K$129&lt;CT$5)*(Plan!$L$5:$L$129&gt;=CT$5))=0,"",INDEX(Plan!$A$5:$A$129,SUMPRODUCT(((Plan!$I$5:$I$129="A")+(Plan!$I$5:$I$129="A+B"))*(Plan!$K$5:$K$129&lt;CT$5)*(Plan!$L$5:$L$129&gt;=CT$5)*(ROW(Plan!$A$5:$A$129)-4))))</f>
        <v/>
      </c>
      <c r="CU6" s="26">
        <f>IF(SUMPRODUCT(((Plan!$I$5:$I$129="A")+(Plan!$I$5:$I$129="A+B"))*(Plan!$K$5:$K$129&lt;CU$5)*(Plan!$L$5:$L$129&gt;=CU$5))=0,"",INDEX(Plan!$A$5:$A$129,SUMPRODUCT(((Plan!$I$5:$I$129="A")+(Plan!$I$5:$I$129="A+B"))*(Plan!$K$5:$K$129&lt;CU$5)*(Plan!$L$5:$L$129&gt;=CU$5)*(ROW(Plan!$A$5:$A$129)-4))))</f>
        <v/>
      </c>
      <c r="CV6" s="26">
        <f>IF(SUMPRODUCT(((Plan!$I$5:$I$129="A")+(Plan!$I$5:$I$129="A+B"))*(Plan!$K$5:$K$129&lt;CV$5)*(Plan!$L$5:$L$129&gt;=CV$5))=0,"",INDEX(Plan!$A$5:$A$129,SUMPRODUCT(((Plan!$I$5:$I$129="A")+(Plan!$I$5:$I$129="A+B"))*(Plan!$K$5:$K$129&lt;CV$5)*(Plan!$L$5:$L$129&gt;=CV$5)*(ROW(Plan!$A$5:$A$129)-4))))</f>
        <v/>
      </c>
      <c r="CW6" s="26">
        <f>IF(SUMPRODUCT(((Plan!$I$5:$I$129="A")+(Plan!$I$5:$I$129="A+B"))*(Plan!$K$5:$K$129&lt;CW$5)*(Plan!$L$5:$L$129&gt;=CW$5))=0,"",INDEX(Plan!$A$5:$A$129,SUMPRODUCT(((Plan!$I$5:$I$129="A")+(Plan!$I$5:$I$129="A+B"))*(Plan!$K$5:$K$129&lt;CW$5)*(Plan!$L$5:$L$129&gt;=CW$5)*(ROW(Plan!$A$5:$A$129)-4))))</f>
        <v/>
      </c>
      <c r="CX6" s="26">
        <f>IF(SUMPRODUCT(((Plan!$I$5:$I$129="A")+(Plan!$I$5:$I$129="A+B"))*(Plan!$K$5:$K$129&lt;CX$5)*(Plan!$L$5:$L$129&gt;=CX$5))=0,"",INDEX(Plan!$A$5:$A$129,SUMPRODUCT(((Plan!$I$5:$I$129="A")+(Plan!$I$5:$I$129="A+B"))*(Plan!$K$5:$K$129&lt;CX$5)*(Plan!$L$5:$L$129&gt;=CX$5)*(ROW(Plan!$A$5:$A$129)-4))))</f>
        <v/>
      </c>
      <c r="CY6" s="26">
        <f>IF(SUMPRODUCT(((Plan!$I$5:$I$129="A")+(Plan!$I$5:$I$129="A+B"))*(Plan!$K$5:$K$129&lt;CY$5)*(Plan!$L$5:$L$129&gt;=CY$5))=0,"",INDEX(Plan!$A$5:$A$129,SUMPRODUCT(((Plan!$I$5:$I$129="A")+(Plan!$I$5:$I$129="A+B"))*(Plan!$K$5:$K$129&lt;CY$5)*(Plan!$L$5:$L$129&gt;=CY$5)*(ROW(Plan!$A$5:$A$129)-4))))</f>
        <v/>
      </c>
      <c r="CZ6" s="26">
        <f>IF(SUMPRODUCT(((Plan!$I$5:$I$129="A")+(Plan!$I$5:$I$129="A+B"))*(Plan!$K$5:$K$129&lt;CZ$5)*(Plan!$L$5:$L$129&gt;=CZ$5))=0,"",INDEX(Plan!$A$5:$A$129,SUMPRODUCT(((Plan!$I$5:$I$129="A")+(Plan!$I$5:$I$129="A+B"))*(Plan!$K$5:$K$129&lt;CZ$5)*(Plan!$L$5:$L$129&gt;=CZ$5)*(ROW(Plan!$A$5:$A$129)-4))))</f>
        <v/>
      </c>
      <c r="DA6" s="26">
        <f>IF(SUMPRODUCT(((Plan!$I$5:$I$129="A")+(Plan!$I$5:$I$129="A+B"))*(Plan!$K$5:$K$129&lt;DA$5)*(Plan!$L$5:$L$129&gt;=DA$5))=0,"",INDEX(Plan!$A$5:$A$129,SUMPRODUCT(((Plan!$I$5:$I$129="A")+(Plan!$I$5:$I$129="A+B"))*(Plan!$K$5:$K$129&lt;DA$5)*(Plan!$L$5:$L$129&gt;=DA$5)*(ROW(Plan!$A$5:$A$129)-4))))</f>
        <v/>
      </c>
      <c r="DB6" s="26">
        <f>IF(SUMPRODUCT(((Plan!$I$5:$I$129="A")+(Plan!$I$5:$I$129="A+B"))*(Plan!$K$5:$K$129&lt;DB$5)*(Plan!$L$5:$L$129&gt;=DB$5))=0,"",INDEX(Plan!$A$5:$A$129,SUMPRODUCT(((Plan!$I$5:$I$129="A")+(Plan!$I$5:$I$129="A+B"))*(Plan!$K$5:$K$129&lt;DB$5)*(Plan!$L$5:$L$129&gt;=DB$5)*(ROW(Plan!$A$5:$A$129)-4))))</f>
        <v/>
      </c>
      <c r="DC6" s="26">
        <f>IF(SUMPRODUCT(((Plan!$I$5:$I$129="A")+(Plan!$I$5:$I$129="A+B"))*(Plan!$K$5:$K$129&lt;DC$5)*(Plan!$L$5:$L$129&gt;=DC$5))=0,"",INDEX(Plan!$A$5:$A$129,SUMPRODUCT(((Plan!$I$5:$I$129="A")+(Plan!$I$5:$I$129="A+B"))*(Plan!$K$5:$K$129&lt;DC$5)*(Plan!$L$5:$L$129&gt;=DC$5)*(ROW(Plan!$A$5:$A$129)-4))))</f>
        <v/>
      </c>
      <c r="DD6" s="26">
        <f>IF(SUMPRODUCT(((Plan!$I$5:$I$129="A")+(Plan!$I$5:$I$129="A+B"))*(Plan!$K$5:$K$129&lt;DD$5)*(Plan!$L$5:$L$129&gt;=DD$5))=0,"",INDEX(Plan!$A$5:$A$129,SUMPRODUCT(((Plan!$I$5:$I$129="A")+(Plan!$I$5:$I$129="A+B"))*(Plan!$K$5:$K$129&lt;DD$5)*(Plan!$L$5:$L$129&gt;=DD$5)*(ROW(Plan!$A$5:$A$129)-4))))</f>
        <v/>
      </c>
      <c r="DE6" s="26">
        <f>IF(SUMPRODUCT(((Plan!$I$5:$I$129="A")+(Plan!$I$5:$I$129="A+B"))*(Plan!$K$5:$K$129&lt;DE$5)*(Plan!$L$5:$L$129&gt;=DE$5))=0,"",INDEX(Plan!$A$5:$A$129,SUMPRODUCT(((Plan!$I$5:$I$129="A")+(Plan!$I$5:$I$129="A+B"))*(Plan!$K$5:$K$129&lt;DE$5)*(Plan!$L$5:$L$129&gt;=DE$5)*(ROW(Plan!$A$5:$A$129)-4))))</f>
        <v/>
      </c>
      <c r="DF6" s="26">
        <f>IF(SUMPRODUCT(((Plan!$I$5:$I$129="A")+(Plan!$I$5:$I$129="A+B"))*(Plan!$K$5:$K$129&lt;DF$5)*(Plan!$L$5:$L$129&gt;=DF$5))=0,"",INDEX(Plan!$A$5:$A$129,SUMPRODUCT(((Plan!$I$5:$I$129="A")+(Plan!$I$5:$I$129="A+B"))*(Plan!$K$5:$K$129&lt;DF$5)*(Plan!$L$5:$L$129&gt;=DF$5)*(ROW(Plan!$A$5:$A$129)-4))))</f>
        <v/>
      </c>
      <c r="DG6" s="26">
        <f>IF(SUMPRODUCT(((Plan!$I$5:$I$129="A")+(Plan!$I$5:$I$129="A+B"))*(Plan!$K$5:$K$129&lt;DG$5)*(Plan!$L$5:$L$129&gt;=DG$5))=0,"",INDEX(Plan!$A$5:$A$129,SUMPRODUCT(((Plan!$I$5:$I$129="A")+(Plan!$I$5:$I$129="A+B"))*(Plan!$K$5:$K$129&lt;DG$5)*(Plan!$L$5:$L$129&gt;=DG$5)*(ROW(Plan!$A$5:$A$129)-4))))</f>
        <v/>
      </c>
      <c r="DH6" s="26">
        <f>IF(SUMPRODUCT(((Plan!$I$5:$I$129="A")+(Plan!$I$5:$I$129="A+B"))*(Plan!$K$5:$K$129&lt;DH$5)*(Plan!$L$5:$L$129&gt;=DH$5))=0,"",INDEX(Plan!$A$5:$A$129,SUMPRODUCT(((Plan!$I$5:$I$129="A")+(Plan!$I$5:$I$129="A+B"))*(Plan!$K$5:$K$129&lt;DH$5)*(Plan!$L$5:$L$129&gt;=DH$5)*(ROW(Plan!$A$5:$A$129)-4))))</f>
        <v/>
      </c>
      <c r="DI6" s="26">
        <f>IF(SUMPRODUCT(((Plan!$I$5:$I$129="A")+(Plan!$I$5:$I$129="A+B"))*(Plan!$K$5:$K$129&lt;DI$5)*(Plan!$L$5:$L$129&gt;=DI$5))=0,"",INDEX(Plan!$A$5:$A$129,SUMPRODUCT(((Plan!$I$5:$I$129="A")+(Plan!$I$5:$I$129="A+B"))*(Plan!$K$5:$K$129&lt;DI$5)*(Plan!$L$5:$L$129&gt;=DI$5)*(ROW(Plan!$A$5:$A$129)-4))))</f>
        <v/>
      </c>
      <c r="DJ6" s="26">
        <f>IF(SUMPRODUCT(((Plan!$I$5:$I$129="A")+(Plan!$I$5:$I$129="A+B"))*(Plan!$K$5:$K$129&lt;DJ$5)*(Plan!$L$5:$L$129&gt;=DJ$5))=0,"",INDEX(Plan!$A$5:$A$129,SUMPRODUCT(((Plan!$I$5:$I$129="A")+(Plan!$I$5:$I$129="A+B"))*(Plan!$K$5:$K$129&lt;DJ$5)*(Plan!$L$5:$L$129&gt;=DJ$5)*(ROW(Plan!$A$5:$A$129)-4))))</f>
        <v/>
      </c>
      <c r="DK6" s="26">
        <f>IF(SUMPRODUCT(((Plan!$I$5:$I$129="A")+(Plan!$I$5:$I$129="A+B"))*(Plan!$K$5:$K$129&lt;DK$5)*(Plan!$L$5:$L$129&gt;=DK$5))=0,"",INDEX(Plan!$A$5:$A$129,SUMPRODUCT(((Plan!$I$5:$I$129="A")+(Plan!$I$5:$I$129="A+B"))*(Plan!$K$5:$K$129&lt;DK$5)*(Plan!$L$5:$L$129&gt;=DK$5)*(ROW(Plan!$A$5:$A$129)-4))))</f>
        <v/>
      </c>
      <c r="DL6" s="26">
        <f>IF(SUMPRODUCT(((Plan!$I$5:$I$129="A")+(Plan!$I$5:$I$129="A+B"))*(Plan!$K$5:$K$129&lt;DL$5)*(Plan!$L$5:$L$129&gt;=DL$5))=0,"",INDEX(Plan!$A$5:$A$129,SUMPRODUCT(((Plan!$I$5:$I$129="A")+(Plan!$I$5:$I$129="A+B"))*(Plan!$K$5:$K$129&lt;DL$5)*(Plan!$L$5:$L$129&gt;=DL$5)*(ROW(Plan!$A$5:$A$129)-4))))</f>
        <v/>
      </c>
      <c r="DM6" s="26">
        <f>IF(SUMPRODUCT(((Plan!$I$5:$I$129="A")+(Plan!$I$5:$I$129="A+B"))*(Plan!$K$5:$K$129&lt;DM$5)*(Plan!$L$5:$L$129&gt;=DM$5))=0,"",INDEX(Plan!$A$5:$A$129,SUMPRODUCT(((Plan!$I$5:$I$129="A")+(Plan!$I$5:$I$129="A+B"))*(Plan!$K$5:$K$129&lt;DM$5)*(Plan!$L$5:$L$129&gt;=DM$5)*(ROW(Plan!$A$5:$A$129)-4))))</f>
        <v/>
      </c>
      <c r="DN6" s="26">
        <f>IF(SUMPRODUCT(((Plan!$I$5:$I$129="A")+(Plan!$I$5:$I$129="A+B"))*(Plan!$K$5:$K$129&lt;DN$5)*(Plan!$L$5:$L$129&gt;=DN$5))=0,"",INDEX(Plan!$A$5:$A$129,SUMPRODUCT(((Plan!$I$5:$I$129="A")+(Plan!$I$5:$I$129="A+B"))*(Plan!$K$5:$K$129&lt;DN$5)*(Plan!$L$5:$L$129&gt;=DN$5)*(ROW(Plan!$A$5:$A$129)-4))))</f>
        <v/>
      </c>
      <c r="DO6" s="26">
        <f>IF(SUMPRODUCT(((Plan!$I$5:$I$129="A")+(Plan!$I$5:$I$129="A+B"))*(Plan!$K$5:$K$129&lt;DO$5)*(Plan!$L$5:$L$129&gt;=DO$5))=0,"",INDEX(Plan!$A$5:$A$129,SUMPRODUCT(((Plan!$I$5:$I$129="A")+(Plan!$I$5:$I$129="A+B"))*(Plan!$K$5:$K$129&lt;DO$5)*(Plan!$L$5:$L$129&gt;=DO$5)*(ROW(Plan!$A$5:$A$129)-4))))</f>
        <v/>
      </c>
      <c r="DP6" s="26">
        <f>IF(SUMPRODUCT(((Plan!$I$5:$I$129="A")+(Plan!$I$5:$I$129="A+B"))*(Plan!$K$5:$K$129&lt;DP$5)*(Plan!$L$5:$L$129&gt;=DP$5))=0,"",INDEX(Plan!$A$5:$A$129,SUMPRODUCT(((Plan!$I$5:$I$129="A")+(Plan!$I$5:$I$129="A+B"))*(Plan!$K$5:$K$129&lt;DP$5)*(Plan!$L$5:$L$129&gt;=DP$5)*(ROW(Plan!$A$5:$A$129)-4))))</f>
        <v/>
      </c>
      <c r="DQ6" s="26">
        <f>IF(SUMPRODUCT(((Plan!$I$5:$I$129="A")+(Plan!$I$5:$I$129="A+B"))*(Plan!$K$5:$K$129&lt;DQ$5)*(Plan!$L$5:$L$129&gt;=DQ$5))=0,"",INDEX(Plan!$A$5:$A$129,SUMPRODUCT(((Plan!$I$5:$I$129="A")+(Plan!$I$5:$I$129="A+B"))*(Plan!$K$5:$K$129&lt;DQ$5)*(Plan!$L$5:$L$129&gt;=DQ$5)*(ROW(Plan!$A$5:$A$129)-4))))</f>
        <v/>
      </c>
      <c r="DR6" s="26">
        <f>IF(SUMPRODUCT(((Plan!$I$5:$I$129="A")+(Plan!$I$5:$I$129="A+B"))*(Plan!$K$5:$K$129&lt;DR$5)*(Plan!$L$5:$L$129&gt;=DR$5))=0,"",INDEX(Plan!$A$5:$A$129,SUMPRODUCT(((Plan!$I$5:$I$129="A")+(Plan!$I$5:$I$129="A+B"))*(Plan!$K$5:$K$129&lt;DR$5)*(Plan!$L$5:$L$129&gt;=DR$5)*(ROW(Plan!$A$5:$A$129)-4))))</f>
        <v/>
      </c>
      <c r="DS6" s="26">
        <f>IF(SUMPRODUCT(((Plan!$I$5:$I$129="A")+(Plan!$I$5:$I$129="A+B"))*(Plan!$K$5:$K$129&lt;DS$5)*(Plan!$L$5:$L$129&gt;=DS$5))=0,"",INDEX(Plan!$A$5:$A$129,SUMPRODUCT(((Plan!$I$5:$I$129="A")+(Plan!$I$5:$I$129="A+B"))*(Plan!$K$5:$K$129&lt;DS$5)*(Plan!$L$5:$L$129&gt;=DS$5)*(ROW(Plan!$A$5:$A$129)-4))))</f>
        <v/>
      </c>
      <c r="DT6" s="26">
        <f>IF(SUMPRODUCT(((Plan!$I$5:$I$129="A")+(Plan!$I$5:$I$129="A+B"))*(Plan!$K$5:$K$129&lt;DT$5)*(Plan!$L$5:$L$129&gt;=DT$5))=0,"",INDEX(Plan!$A$5:$A$129,SUMPRODUCT(((Plan!$I$5:$I$129="A")+(Plan!$I$5:$I$129="A+B"))*(Plan!$K$5:$K$129&lt;DT$5)*(Plan!$L$5:$L$129&gt;=DT$5)*(ROW(Plan!$A$5:$A$129)-4))))</f>
        <v/>
      </c>
      <c r="DU6" s="26">
        <f>IF(SUMPRODUCT(((Plan!$I$5:$I$129="A")+(Plan!$I$5:$I$129="A+B"))*(Plan!$K$5:$K$129&lt;DU$5)*(Plan!$L$5:$L$129&gt;=DU$5))=0,"",INDEX(Plan!$A$5:$A$129,SUMPRODUCT(((Plan!$I$5:$I$129="A")+(Plan!$I$5:$I$129="A+B"))*(Plan!$K$5:$K$129&lt;DU$5)*(Plan!$L$5:$L$129&gt;=DU$5)*(ROW(Plan!$A$5:$A$129)-4))))</f>
        <v/>
      </c>
      <c r="DV6" s="26">
        <f>IF(SUMPRODUCT(((Plan!$I$5:$I$129="A")+(Plan!$I$5:$I$129="A+B"))*(Plan!$K$5:$K$129&lt;DV$5)*(Plan!$L$5:$L$129&gt;=DV$5))=0,"",INDEX(Plan!$A$5:$A$129,SUMPRODUCT(((Plan!$I$5:$I$129="A")+(Plan!$I$5:$I$129="A+B"))*(Plan!$K$5:$K$129&lt;DV$5)*(Plan!$L$5:$L$129&gt;=DV$5)*(ROW(Plan!$A$5:$A$129)-4))))</f>
        <v/>
      </c>
      <c r="DW6" s="26">
        <f>IF(SUMPRODUCT(((Plan!$I$5:$I$129="A")+(Plan!$I$5:$I$129="A+B"))*(Plan!$K$5:$K$129&lt;DW$5)*(Plan!$L$5:$L$129&gt;=DW$5))=0,"",INDEX(Plan!$A$5:$A$129,SUMPRODUCT(((Plan!$I$5:$I$129="A")+(Plan!$I$5:$I$129="A+B"))*(Plan!$K$5:$K$129&lt;DW$5)*(Plan!$L$5:$L$129&gt;=DW$5)*(ROW(Plan!$A$5:$A$129)-4))))</f>
        <v/>
      </c>
      <c r="DX6" s="26">
        <f>IF(SUMPRODUCT(((Plan!$I$5:$I$129="A")+(Plan!$I$5:$I$129="A+B"))*(Plan!$K$5:$K$129&lt;DX$5)*(Plan!$L$5:$L$129&gt;=DX$5))=0,"",INDEX(Plan!$A$5:$A$129,SUMPRODUCT(((Plan!$I$5:$I$129="A")+(Plan!$I$5:$I$129="A+B"))*(Plan!$K$5:$K$129&lt;DX$5)*(Plan!$L$5:$L$129&gt;=DX$5)*(ROW(Plan!$A$5:$A$129)-4))))</f>
        <v/>
      </c>
      <c r="DY6" s="26">
        <f>IF(SUMPRODUCT(((Plan!$I$5:$I$129="A")+(Plan!$I$5:$I$129="A+B"))*(Plan!$K$5:$K$129&lt;DY$5)*(Plan!$L$5:$L$129&gt;=DY$5))=0,"",INDEX(Plan!$A$5:$A$129,SUMPRODUCT(((Plan!$I$5:$I$129="A")+(Plan!$I$5:$I$129="A+B"))*(Plan!$K$5:$K$129&lt;DY$5)*(Plan!$L$5:$L$129&gt;=DY$5)*(ROW(Plan!$A$5:$A$129)-4))))</f>
        <v/>
      </c>
      <c r="DZ6" s="26">
        <f>IF(SUMPRODUCT(((Plan!$I$5:$I$129="A")+(Plan!$I$5:$I$129="A+B"))*(Plan!$K$5:$K$129&lt;DZ$5)*(Plan!$L$5:$L$129&gt;=DZ$5))=0,"",INDEX(Plan!$A$5:$A$129,SUMPRODUCT(((Plan!$I$5:$I$129="A")+(Plan!$I$5:$I$129="A+B"))*(Plan!$K$5:$K$129&lt;DZ$5)*(Plan!$L$5:$L$129&gt;=DZ$5)*(ROW(Plan!$A$5:$A$129)-4))))</f>
        <v/>
      </c>
      <c r="EA6" s="26">
        <f>IF(SUMPRODUCT(((Plan!$I$5:$I$129="A")+(Plan!$I$5:$I$129="A+B"))*(Plan!$K$5:$K$129&lt;EA$5)*(Plan!$L$5:$L$129&gt;=EA$5))=0,"",INDEX(Plan!$A$5:$A$129,SUMPRODUCT(((Plan!$I$5:$I$129="A")+(Plan!$I$5:$I$129="A+B"))*(Plan!$K$5:$K$129&lt;EA$5)*(Plan!$L$5:$L$129&gt;=EA$5)*(ROW(Plan!$A$5:$A$129)-4))))</f>
        <v/>
      </c>
      <c r="EB6" s="26">
        <f>IF(SUMPRODUCT(((Plan!$I$5:$I$129="A")+(Plan!$I$5:$I$129="A+B"))*(Plan!$K$5:$K$129&lt;EB$5)*(Plan!$L$5:$L$129&gt;=EB$5))=0,"",INDEX(Plan!$A$5:$A$129,SUMPRODUCT(((Plan!$I$5:$I$129="A")+(Plan!$I$5:$I$129="A+B"))*(Plan!$K$5:$K$129&lt;EB$5)*(Plan!$L$5:$L$129&gt;=EB$5)*(ROW(Plan!$A$5:$A$129)-4))))</f>
        <v/>
      </c>
      <c r="EC6" s="26">
        <f>IF(SUMPRODUCT(((Plan!$I$5:$I$129="A")+(Plan!$I$5:$I$129="A+B"))*(Plan!$K$5:$K$129&lt;EC$5)*(Plan!$L$5:$L$129&gt;=EC$5))=0,"",INDEX(Plan!$A$5:$A$129,SUMPRODUCT(((Plan!$I$5:$I$129="A")+(Plan!$I$5:$I$129="A+B"))*(Plan!$K$5:$K$129&lt;EC$5)*(Plan!$L$5:$L$129&gt;=EC$5)*(ROW(Plan!$A$5:$A$129)-4))))</f>
        <v/>
      </c>
      <c r="ED6" s="26">
        <f>IF(SUMPRODUCT(((Plan!$I$5:$I$129="A")+(Plan!$I$5:$I$129="A+B"))*(Plan!$K$5:$K$129&lt;ED$5)*(Plan!$L$5:$L$129&gt;=ED$5))=0,"",INDEX(Plan!$A$5:$A$129,SUMPRODUCT(((Plan!$I$5:$I$129="A")+(Plan!$I$5:$I$129="A+B"))*(Plan!$K$5:$K$129&lt;ED$5)*(Plan!$L$5:$L$129&gt;=ED$5)*(ROW(Plan!$A$5:$A$129)-4))))</f>
        <v/>
      </c>
      <c r="EE6" s="26">
        <f>IF(SUMPRODUCT(((Plan!$I$5:$I$129="A")+(Plan!$I$5:$I$129="A+B"))*(Plan!$K$5:$K$129&lt;EE$5)*(Plan!$L$5:$L$129&gt;=EE$5))=0,"",INDEX(Plan!$A$5:$A$129,SUMPRODUCT(((Plan!$I$5:$I$129="A")+(Plan!$I$5:$I$129="A+B"))*(Plan!$K$5:$K$129&lt;EE$5)*(Plan!$L$5:$L$129&gt;=EE$5)*(ROW(Plan!$A$5:$A$129)-4))))</f>
        <v/>
      </c>
      <c r="EF6" s="26">
        <f>IF(SUMPRODUCT(((Plan!$I$5:$I$129="A")+(Plan!$I$5:$I$129="A+B"))*(Plan!$K$5:$K$129&lt;EF$5)*(Plan!$L$5:$L$129&gt;=EF$5))=0,"",INDEX(Plan!$A$5:$A$129,SUMPRODUCT(((Plan!$I$5:$I$129="A")+(Plan!$I$5:$I$129="A+B"))*(Plan!$K$5:$K$129&lt;EF$5)*(Plan!$L$5:$L$129&gt;=EF$5)*(ROW(Plan!$A$5:$A$129)-4))))</f>
        <v/>
      </c>
      <c r="EG6" s="26">
        <f>IF(SUMPRODUCT(((Plan!$I$5:$I$129="A")+(Plan!$I$5:$I$129="A+B"))*(Plan!$K$5:$K$129&lt;EG$5)*(Plan!$L$5:$L$129&gt;=EG$5))=0,"",INDEX(Plan!$A$5:$A$129,SUMPRODUCT(((Plan!$I$5:$I$129="A")+(Plan!$I$5:$I$129="A+B"))*(Plan!$K$5:$K$129&lt;EG$5)*(Plan!$L$5:$L$129&gt;=EG$5)*(ROW(Plan!$A$5:$A$129)-4))))</f>
        <v/>
      </c>
      <c r="EH6" s="26">
        <f>IF(SUMPRODUCT(((Plan!$I$5:$I$129="A")+(Plan!$I$5:$I$129="A+B"))*(Plan!$K$5:$K$129&lt;EH$5)*(Plan!$L$5:$L$129&gt;=EH$5))=0,"",INDEX(Plan!$A$5:$A$129,SUMPRODUCT(((Plan!$I$5:$I$129="A")+(Plan!$I$5:$I$129="A+B"))*(Plan!$K$5:$K$129&lt;EH$5)*(Plan!$L$5:$L$129&gt;=EH$5)*(ROW(Plan!$A$5:$A$129)-4))))</f>
        <v/>
      </c>
      <c r="EI6" s="26">
        <f>IF(SUMPRODUCT(((Plan!$I$5:$I$129="A")+(Plan!$I$5:$I$129="A+B"))*(Plan!$K$5:$K$129&lt;EI$5)*(Plan!$L$5:$L$129&gt;=EI$5))=0,"",INDEX(Plan!$A$5:$A$129,SUMPRODUCT(((Plan!$I$5:$I$129="A")+(Plan!$I$5:$I$129="A+B"))*(Plan!$K$5:$K$129&lt;EI$5)*(Plan!$L$5:$L$129&gt;=EI$5)*(ROW(Plan!$A$5:$A$129)-4))))</f>
        <v/>
      </c>
      <c r="EJ6" s="26">
        <f>IF(SUMPRODUCT(((Plan!$I$5:$I$129="A")+(Plan!$I$5:$I$129="A+B"))*(Plan!$K$5:$K$129&lt;EJ$5)*(Plan!$L$5:$L$129&gt;=EJ$5))=0,"",INDEX(Plan!$A$5:$A$129,SUMPRODUCT(((Plan!$I$5:$I$129="A")+(Plan!$I$5:$I$129="A+B"))*(Plan!$K$5:$K$129&lt;EJ$5)*(Plan!$L$5:$L$129&gt;=EJ$5)*(ROW(Plan!$A$5:$A$129)-4))))</f>
        <v/>
      </c>
      <c r="EK6" s="26">
        <f>IF(SUMPRODUCT(((Plan!$I$5:$I$129="A")+(Plan!$I$5:$I$129="A+B"))*(Plan!$K$5:$K$129&lt;EK$5)*(Plan!$L$5:$L$129&gt;=EK$5))=0,"",INDEX(Plan!$A$5:$A$129,SUMPRODUCT(((Plan!$I$5:$I$129="A")+(Plan!$I$5:$I$129="A+B"))*(Plan!$K$5:$K$129&lt;EK$5)*(Plan!$L$5:$L$129&gt;=EK$5)*(ROW(Plan!$A$5:$A$129)-4))))</f>
        <v/>
      </c>
      <c r="EL6" s="26">
        <f>IF(SUMPRODUCT(((Plan!$I$5:$I$129="A")+(Plan!$I$5:$I$129="A+B"))*(Plan!$K$5:$K$129&lt;EL$5)*(Plan!$L$5:$L$129&gt;=EL$5))=0,"",INDEX(Plan!$A$5:$A$129,SUMPRODUCT(((Plan!$I$5:$I$129="A")+(Plan!$I$5:$I$129="A+B"))*(Plan!$K$5:$K$129&lt;EL$5)*(Plan!$L$5:$L$129&gt;=EL$5)*(ROW(Plan!$A$5:$A$129)-4))))</f>
        <v/>
      </c>
      <c r="EM6" s="26">
        <f>IF(SUMPRODUCT(((Plan!$I$5:$I$129="A")+(Plan!$I$5:$I$129="A+B"))*(Plan!$K$5:$K$129&lt;EM$5)*(Plan!$L$5:$L$129&gt;=EM$5))=0,"",INDEX(Plan!$A$5:$A$129,SUMPRODUCT(((Plan!$I$5:$I$129="A")+(Plan!$I$5:$I$129="A+B"))*(Plan!$K$5:$K$129&lt;EM$5)*(Plan!$L$5:$L$129&gt;=EM$5)*(ROW(Plan!$A$5:$A$129)-4))))</f>
        <v/>
      </c>
      <c r="EN6" s="26">
        <f>IF(SUMPRODUCT(((Plan!$I$5:$I$129="A")+(Plan!$I$5:$I$129="A+B"))*(Plan!$K$5:$K$129&lt;EN$5)*(Plan!$L$5:$L$129&gt;=EN$5))=0,"",INDEX(Plan!$A$5:$A$129,SUMPRODUCT(((Plan!$I$5:$I$129="A")+(Plan!$I$5:$I$129="A+B"))*(Plan!$K$5:$K$129&lt;EN$5)*(Plan!$L$5:$L$129&gt;=EN$5)*(ROW(Plan!$A$5:$A$129)-4))))</f>
        <v/>
      </c>
      <c r="EO6" s="26">
        <f>IF(SUMPRODUCT(((Plan!$I$5:$I$129="A")+(Plan!$I$5:$I$129="A+B"))*(Plan!$K$5:$K$129&lt;EO$5)*(Plan!$L$5:$L$129&gt;=EO$5))=0,"",INDEX(Plan!$A$5:$A$129,SUMPRODUCT(((Plan!$I$5:$I$129="A")+(Plan!$I$5:$I$129="A+B"))*(Plan!$K$5:$K$129&lt;EO$5)*(Plan!$L$5:$L$129&gt;=EO$5)*(ROW(Plan!$A$5:$A$129)-4))))</f>
        <v/>
      </c>
      <c r="EP6" s="26">
        <f>IF(SUMPRODUCT(((Plan!$I$5:$I$129="A")+(Plan!$I$5:$I$129="A+B"))*(Plan!$K$5:$K$129&lt;EP$5)*(Plan!$L$5:$L$129&gt;=EP$5))=0,"",INDEX(Plan!$A$5:$A$129,SUMPRODUCT(((Plan!$I$5:$I$129="A")+(Plan!$I$5:$I$129="A+B"))*(Plan!$K$5:$K$129&lt;EP$5)*(Plan!$L$5:$L$129&gt;=EP$5)*(ROW(Plan!$A$5:$A$129)-4))))</f>
        <v/>
      </c>
      <c r="EQ6" s="26">
        <f>IF(SUMPRODUCT(((Plan!$I$5:$I$129="A")+(Plan!$I$5:$I$129="A+B"))*(Plan!$K$5:$K$129&lt;EQ$5)*(Plan!$L$5:$L$129&gt;=EQ$5))=0,"",INDEX(Plan!$A$5:$A$129,SUMPRODUCT(((Plan!$I$5:$I$129="A")+(Plan!$I$5:$I$129="A+B"))*(Plan!$K$5:$K$129&lt;EQ$5)*(Plan!$L$5:$L$129&gt;=EQ$5)*(ROW(Plan!$A$5:$A$129)-4))))</f>
        <v/>
      </c>
      <c r="ER6" s="26">
        <f>IF(SUMPRODUCT(((Plan!$I$5:$I$129="A")+(Plan!$I$5:$I$129="A+B"))*(Plan!$K$5:$K$129&lt;ER$5)*(Plan!$L$5:$L$129&gt;=ER$5))=0,"",INDEX(Plan!$A$5:$A$129,SUMPRODUCT(((Plan!$I$5:$I$129="A")+(Plan!$I$5:$I$129="A+B"))*(Plan!$K$5:$K$129&lt;ER$5)*(Plan!$L$5:$L$129&gt;=ER$5)*(ROW(Plan!$A$5:$A$129)-4))))</f>
        <v/>
      </c>
      <c r="ES6" s="26">
        <f>IF(SUMPRODUCT(((Plan!$I$5:$I$129="A")+(Plan!$I$5:$I$129="A+B"))*(Plan!$K$5:$K$129&lt;ES$5)*(Plan!$L$5:$L$129&gt;=ES$5))=0,"",INDEX(Plan!$A$5:$A$129,SUMPRODUCT(((Plan!$I$5:$I$129="A")+(Plan!$I$5:$I$129="A+B"))*(Plan!$K$5:$K$129&lt;ES$5)*(Plan!$L$5:$L$129&gt;=ES$5)*(ROW(Plan!$A$5:$A$129)-4))))</f>
        <v/>
      </c>
      <c r="ET6" s="26">
        <f>IF(SUMPRODUCT(((Plan!$I$5:$I$129="A")+(Plan!$I$5:$I$129="A+B"))*(Plan!$K$5:$K$129&lt;ET$5)*(Plan!$L$5:$L$129&gt;=ET$5))=0,"",INDEX(Plan!$A$5:$A$129,SUMPRODUCT(((Plan!$I$5:$I$129="A")+(Plan!$I$5:$I$129="A+B"))*(Plan!$K$5:$K$129&lt;ET$5)*(Plan!$L$5:$L$129&gt;=ET$5)*(ROW(Plan!$A$5:$A$129)-4))))</f>
        <v/>
      </c>
      <c r="EU6" s="26">
        <f>IF(SUMPRODUCT(((Plan!$I$5:$I$129="A")+(Plan!$I$5:$I$129="A+B"))*(Plan!$K$5:$K$129&lt;EU$5)*(Plan!$L$5:$L$129&gt;=EU$5))=0,"",INDEX(Plan!$A$5:$A$129,SUMPRODUCT(((Plan!$I$5:$I$129="A")+(Plan!$I$5:$I$129="A+B"))*(Plan!$K$5:$K$129&lt;EU$5)*(Plan!$L$5:$L$129&gt;=EU$5)*(ROW(Plan!$A$5:$A$129)-4))))</f>
        <v/>
      </c>
      <c r="EV6" s="26">
        <f>IF(SUMPRODUCT(((Plan!$I$5:$I$129="A")+(Plan!$I$5:$I$129="A+B"))*(Plan!$K$5:$K$129&lt;EV$5)*(Plan!$L$5:$L$129&gt;=EV$5))=0,"",INDEX(Plan!$A$5:$A$129,SUMPRODUCT(((Plan!$I$5:$I$129="A")+(Plan!$I$5:$I$129="A+B"))*(Plan!$K$5:$K$129&lt;EV$5)*(Plan!$L$5:$L$129&gt;=EV$5)*(ROW(Plan!$A$5:$A$129)-4))))</f>
        <v/>
      </c>
      <c r="EW6" s="26">
        <f>IF(SUMPRODUCT(((Plan!$I$5:$I$129="A")+(Plan!$I$5:$I$129="A+B"))*(Plan!$K$5:$K$129&lt;EW$5)*(Plan!$L$5:$L$129&gt;=EW$5))=0,"",INDEX(Plan!$A$5:$A$129,SUMPRODUCT(((Plan!$I$5:$I$129="A")+(Plan!$I$5:$I$129="A+B"))*(Plan!$K$5:$K$129&lt;EW$5)*(Plan!$L$5:$L$129&gt;=EW$5)*(ROW(Plan!$A$5:$A$129)-4))))</f>
        <v/>
      </c>
      <c r="EX6" s="26">
        <f>IF(SUMPRODUCT(((Plan!$I$5:$I$129="A")+(Plan!$I$5:$I$129="A+B"))*(Plan!$K$5:$K$129&lt;EX$5)*(Plan!$L$5:$L$129&gt;=EX$5))=0,"",INDEX(Plan!$A$5:$A$129,SUMPRODUCT(((Plan!$I$5:$I$129="A")+(Plan!$I$5:$I$129="A+B"))*(Plan!$K$5:$K$129&lt;EX$5)*(Plan!$L$5:$L$129&gt;=EX$5)*(ROW(Plan!$A$5:$A$129)-4))))</f>
        <v/>
      </c>
      <c r="EY6" s="26">
        <f>IF(SUMPRODUCT(((Plan!$I$5:$I$129="A")+(Plan!$I$5:$I$129="A+B"))*(Plan!$K$5:$K$129&lt;EY$5)*(Plan!$L$5:$L$129&gt;=EY$5))=0,"",INDEX(Plan!$A$5:$A$129,SUMPRODUCT(((Plan!$I$5:$I$129="A")+(Plan!$I$5:$I$129="A+B"))*(Plan!$K$5:$K$129&lt;EY$5)*(Plan!$L$5:$L$129&gt;=EY$5)*(ROW(Plan!$A$5:$A$129)-4))))</f>
        <v/>
      </c>
      <c r="EZ6" s="26">
        <f>IF(SUMPRODUCT(((Plan!$I$5:$I$129="A")+(Plan!$I$5:$I$129="A+B"))*(Plan!$K$5:$K$129&lt;EZ$5)*(Plan!$L$5:$L$129&gt;=EZ$5))=0,"",INDEX(Plan!$A$5:$A$129,SUMPRODUCT(((Plan!$I$5:$I$129="A")+(Plan!$I$5:$I$129="A+B"))*(Plan!$K$5:$K$129&lt;EZ$5)*(Plan!$L$5:$L$129&gt;=EZ$5)*(ROW(Plan!$A$5:$A$129)-4))))</f>
        <v/>
      </c>
      <c r="FA6" s="26">
        <f>IF(SUMPRODUCT(((Plan!$I$5:$I$129="A")+(Plan!$I$5:$I$129="A+B"))*(Plan!$K$5:$K$129&lt;FA$5)*(Plan!$L$5:$L$129&gt;=FA$5))=0,"",INDEX(Plan!$A$5:$A$129,SUMPRODUCT(((Plan!$I$5:$I$129="A")+(Plan!$I$5:$I$129="A+B"))*(Plan!$K$5:$K$129&lt;FA$5)*(Plan!$L$5:$L$129&gt;=FA$5)*(ROW(Plan!$A$5:$A$129)-4))))</f>
        <v/>
      </c>
    </row>
    <row r="7" ht="26" customHeight="1">
      <c r="A7" s="22" t="inlineStr">
        <is>
          <t>Fila B — tarea en curso</t>
        </is>
      </c>
      <c r="H7" s="26">
        <f>IF(SUMPRODUCT(((Plan!$I$5:$I$129="B")+(Plan!$I$5:$I$129="A+B"))*(Plan!$K$5:$K$129&lt;H$5)*(Plan!$L$5:$L$129&gt;=H$5))=0,"",INDEX(Plan!$A$5:$A$129,SUMPRODUCT(((Plan!$I$5:$I$129="B")+(Plan!$I$5:$I$129="A+B"))*(Plan!$K$5:$K$129&lt;H$5)*(Plan!$L$5:$L$129&gt;=H$5)*(ROW(Plan!$A$5:$A$129)-4))))</f>
        <v/>
      </c>
      <c r="I7" s="26">
        <f>IF(SUMPRODUCT(((Plan!$I$5:$I$129="B")+(Plan!$I$5:$I$129="A+B"))*(Plan!$K$5:$K$129&lt;I$5)*(Plan!$L$5:$L$129&gt;=I$5))=0,"",INDEX(Plan!$A$5:$A$129,SUMPRODUCT(((Plan!$I$5:$I$129="B")+(Plan!$I$5:$I$129="A+B"))*(Plan!$K$5:$K$129&lt;I$5)*(Plan!$L$5:$L$129&gt;=I$5)*(ROW(Plan!$A$5:$A$129)-4))))</f>
        <v/>
      </c>
      <c r="J7" s="26">
        <f>IF(SUMPRODUCT(((Plan!$I$5:$I$129="B")+(Plan!$I$5:$I$129="A+B"))*(Plan!$K$5:$K$129&lt;J$5)*(Plan!$L$5:$L$129&gt;=J$5))=0,"",INDEX(Plan!$A$5:$A$129,SUMPRODUCT(((Plan!$I$5:$I$129="B")+(Plan!$I$5:$I$129="A+B"))*(Plan!$K$5:$K$129&lt;J$5)*(Plan!$L$5:$L$129&gt;=J$5)*(ROW(Plan!$A$5:$A$129)-4))))</f>
        <v/>
      </c>
      <c r="K7" s="26">
        <f>IF(SUMPRODUCT(((Plan!$I$5:$I$129="B")+(Plan!$I$5:$I$129="A+B"))*(Plan!$K$5:$K$129&lt;K$5)*(Plan!$L$5:$L$129&gt;=K$5))=0,"",INDEX(Plan!$A$5:$A$129,SUMPRODUCT(((Plan!$I$5:$I$129="B")+(Plan!$I$5:$I$129="A+B"))*(Plan!$K$5:$K$129&lt;K$5)*(Plan!$L$5:$L$129&gt;=K$5)*(ROW(Plan!$A$5:$A$129)-4))))</f>
        <v/>
      </c>
      <c r="L7" s="26">
        <f>IF(SUMPRODUCT(((Plan!$I$5:$I$129="B")+(Plan!$I$5:$I$129="A+B"))*(Plan!$K$5:$K$129&lt;L$5)*(Plan!$L$5:$L$129&gt;=L$5))=0,"",INDEX(Plan!$A$5:$A$129,SUMPRODUCT(((Plan!$I$5:$I$129="B")+(Plan!$I$5:$I$129="A+B"))*(Plan!$K$5:$K$129&lt;L$5)*(Plan!$L$5:$L$129&gt;=L$5)*(ROW(Plan!$A$5:$A$129)-4))))</f>
        <v/>
      </c>
      <c r="M7" s="26">
        <f>IF(SUMPRODUCT(((Plan!$I$5:$I$129="B")+(Plan!$I$5:$I$129="A+B"))*(Plan!$K$5:$K$129&lt;M$5)*(Plan!$L$5:$L$129&gt;=M$5))=0,"",INDEX(Plan!$A$5:$A$129,SUMPRODUCT(((Plan!$I$5:$I$129="B")+(Plan!$I$5:$I$129="A+B"))*(Plan!$K$5:$K$129&lt;M$5)*(Plan!$L$5:$L$129&gt;=M$5)*(ROW(Plan!$A$5:$A$129)-4))))</f>
        <v/>
      </c>
      <c r="N7" s="26">
        <f>IF(SUMPRODUCT(((Plan!$I$5:$I$129="B")+(Plan!$I$5:$I$129="A+B"))*(Plan!$K$5:$K$129&lt;N$5)*(Plan!$L$5:$L$129&gt;=N$5))=0,"",INDEX(Plan!$A$5:$A$129,SUMPRODUCT(((Plan!$I$5:$I$129="B")+(Plan!$I$5:$I$129="A+B"))*(Plan!$K$5:$K$129&lt;N$5)*(Plan!$L$5:$L$129&gt;=N$5)*(ROW(Plan!$A$5:$A$129)-4))))</f>
        <v/>
      </c>
      <c r="O7" s="26">
        <f>IF(SUMPRODUCT(((Plan!$I$5:$I$129="B")+(Plan!$I$5:$I$129="A+B"))*(Plan!$K$5:$K$129&lt;O$5)*(Plan!$L$5:$L$129&gt;=O$5))=0,"",INDEX(Plan!$A$5:$A$129,SUMPRODUCT(((Plan!$I$5:$I$129="B")+(Plan!$I$5:$I$129="A+B"))*(Plan!$K$5:$K$129&lt;O$5)*(Plan!$L$5:$L$129&gt;=O$5)*(ROW(Plan!$A$5:$A$129)-4))))</f>
        <v/>
      </c>
      <c r="P7" s="26">
        <f>IF(SUMPRODUCT(((Plan!$I$5:$I$129="B")+(Plan!$I$5:$I$129="A+B"))*(Plan!$K$5:$K$129&lt;P$5)*(Plan!$L$5:$L$129&gt;=P$5))=0,"",INDEX(Plan!$A$5:$A$129,SUMPRODUCT(((Plan!$I$5:$I$129="B")+(Plan!$I$5:$I$129="A+B"))*(Plan!$K$5:$K$129&lt;P$5)*(Plan!$L$5:$L$129&gt;=P$5)*(ROW(Plan!$A$5:$A$129)-4))))</f>
        <v/>
      </c>
      <c r="Q7" s="26">
        <f>IF(SUMPRODUCT(((Plan!$I$5:$I$129="B")+(Plan!$I$5:$I$129="A+B"))*(Plan!$K$5:$K$129&lt;Q$5)*(Plan!$L$5:$L$129&gt;=Q$5))=0,"",INDEX(Plan!$A$5:$A$129,SUMPRODUCT(((Plan!$I$5:$I$129="B")+(Plan!$I$5:$I$129="A+B"))*(Plan!$K$5:$K$129&lt;Q$5)*(Plan!$L$5:$L$129&gt;=Q$5)*(ROW(Plan!$A$5:$A$129)-4))))</f>
        <v/>
      </c>
      <c r="R7" s="26">
        <f>IF(SUMPRODUCT(((Plan!$I$5:$I$129="B")+(Plan!$I$5:$I$129="A+B"))*(Plan!$K$5:$K$129&lt;R$5)*(Plan!$L$5:$L$129&gt;=R$5))=0,"",INDEX(Plan!$A$5:$A$129,SUMPRODUCT(((Plan!$I$5:$I$129="B")+(Plan!$I$5:$I$129="A+B"))*(Plan!$K$5:$K$129&lt;R$5)*(Plan!$L$5:$L$129&gt;=R$5)*(ROW(Plan!$A$5:$A$129)-4))))</f>
        <v/>
      </c>
      <c r="S7" s="26">
        <f>IF(SUMPRODUCT(((Plan!$I$5:$I$129="B")+(Plan!$I$5:$I$129="A+B"))*(Plan!$K$5:$K$129&lt;S$5)*(Plan!$L$5:$L$129&gt;=S$5))=0,"",INDEX(Plan!$A$5:$A$129,SUMPRODUCT(((Plan!$I$5:$I$129="B")+(Plan!$I$5:$I$129="A+B"))*(Plan!$K$5:$K$129&lt;S$5)*(Plan!$L$5:$L$129&gt;=S$5)*(ROW(Plan!$A$5:$A$129)-4))))</f>
        <v/>
      </c>
      <c r="T7" s="26">
        <f>IF(SUMPRODUCT(((Plan!$I$5:$I$129="B")+(Plan!$I$5:$I$129="A+B"))*(Plan!$K$5:$K$129&lt;T$5)*(Plan!$L$5:$L$129&gt;=T$5))=0,"",INDEX(Plan!$A$5:$A$129,SUMPRODUCT(((Plan!$I$5:$I$129="B")+(Plan!$I$5:$I$129="A+B"))*(Plan!$K$5:$K$129&lt;T$5)*(Plan!$L$5:$L$129&gt;=T$5)*(ROW(Plan!$A$5:$A$129)-4))))</f>
        <v/>
      </c>
      <c r="U7" s="26">
        <f>IF(SUMPRODUCT(((Plan!$I$5:$I$129="B")+(Plan!$I$5:$I$129="A+B"))*(Plan!$K$5:$K$129&lt;U$5)*(Plan!$L$5:$L$129&gt;=U$5))=0,"",INDEX(Plan!$A$5:$A$129,SUMPRODUCT(((Plan!$I$5:$I$129="B")+(Plan!$I$5:$I$129="A+B"))*(Plan!$K$5:$K$129&lt;U$5)*(Plan!$L$5:$L$129&gt;=U$5)*(ROW(Plan!$A$5:$A$129)-4))))</f>
        <v/>
      </c>
      <c r="V7" s="26">
        <f>IF(SUMPRODUCT(((Plan!$I$5:$I$129="B")+(Plan!$I$5:$I$129="A+B"))*(Plan!$K$5:$K$129&lt;V$5)*(Plan!$L$5:$L$129&gt;=V$5))=0,"",INDEX(Plan!$A$5:$A$129,SUMPRODUCT(((Plan!$I$5:$I$129="B")+(Plan!$I$5:$I$129="A+B"))*(Plan!$K$5:$K$129&lt;V$5)*(Plan!$L$5:$L$129&gt;=V$5)*(ROW(Plan!$A$5:$A$129)-4))))</f>
        <v/>
      </c>
      <c r="W7" s="26">
        <f>IF(SUMPRODUCT(((Plan!$I$5:$I$129="B")+(Plan!$I$5:$I$129="A+B"))*(Plan!$K$5:$K$129&lt;W$5)*(Plan!$L$5:$L$129&gt;=W$5))=0,"",INDEX(Plan!$A$5:$A$129,SUMPRODUCT(((Plan!$I$5:$I$129="B")+(Plan!$I$5:$I$129="A+B"))*(Plan!$K$5:$K$129&lt;W$5)*(Plan!$L$5:$L$129&gt;=W$5)*(ROW(Plan!$A$5:$A$129)-4))))</f>
        <v/>
      </c>
      <c r="X7" s="26">
        <f>IF(SUMPRODUCT(((Plan!$I$5:$I$129="B")+(Plan!$I$5:$I$129="A+B"))*(Plan!$K$5:$K$129&lt;X$5)*(Plan!$L$5:$L$129&gt;=X$5))=0,"",INDEX(Plan!$A$5:$A$129,SUMPRODUCT(((Plan!$I$5:$I$129="B")+(Plan!$I$5:$I$129="A+B"))*(Plan!$K$5:$K$129&lt;X$5)*(Plan!$L$5:$L$129&gt;=X$5)*(ROW(Plan!$A$5:$A$129)-4))))</f>
        <v/>
      </c>
      <c r="Y7" s="26">
        <f>IF(SUMPRODUCT(((Plan!$I$5:$I$129="B")+(Plan!$I$5:$I$129="A+B"))*(Plan!$K$5:$K$129&lt;Y$5)*(Plan!$L$5:$L$129&gt;=Y$5))=0,"",INDEX(Plan!$A$5:$A$129,SUMPRODUCT(((Plan!$I$5:$I$129="B")+(Plan!$I$5:$I$129="A+B"))*(Plan!$K$5:$K$129&lt;Y$5)*(Plan!$L$5:$L$129&gt;=Y$5)*(ROW(Plan!$A$5:$A$129)-4))))</f>
        <v/>
      </c>
      <c r="Z7" s="26">
        <f>IF(SUMPRODUCT(((Plan!$I$5:$I$129="B")+(Plan!$I$5:$I$129="A+B"))*(Plan!$K$5:$K$129&lt;Z$5)*(Plan!$L$5:$L$129&gt;=Z$5))=0,"",INDEX(Plan!$A$5:$A$129,SUMPRODUCT(((Plan!$I$5:$I$129="B")+(Plan!$I$5:$I$129="A+B"))*(Plan!$K$5:$K$129&lt;Z$5)*(Plan!$L$5:$L$129&gt;=Z$5)*(ROW(Plan!$A$5:$A$129)-4))))</f>
        <v/>
      </c>
      <c r="AA7" s="26">
        <f>IF(SUMPRODUCT(((Plan!$I$5:$I$129="B")+(Plan!$I$5:$I$129="A+B"))*(Plan!$K$5:$K$129&lt;AA$5)*(Plan!$L$5:$L$129&gt;=AA$5))=0,"",INDEX(Plan!$A$5:$A$129,SUMPRODUCT(((Plan!$I$5:$I$129="B")+(Plan!$I$5:$I$129="A+B"))*(Plan!$K$5:$K$129&lt;AA$5)*(Plan!$L$5:$L$129&gt;=AA$5)*(ROW(Plan!$A$5:$A$129)-4))))</f>
        <v/>
      </c>
      <c r="AB7" s="26">
        <f>IF(SUMPRODUCT(((Plan!$I$5:$I$129="B")+(Plan!$I$5:$I$129="A+B"))*(Plan!$K$5:$K$129&lt;AB$5)*(Plan!$L$5:$L$129&gt;=AB$5))=0,"",INDEX(Plan!$A$5:$A$129,SUMPRODUCT(((Plan!$I$5:$I$129="B")+(Plan!$I$5:$I$129="A+B"))*(Plan!$K$5:$K$129&lt;AB$5)*(Plan!$L$5:$L$129&gt;=AB$5)*(ROW(Plan!$A$5:$A$129)-4))))</f>
        <v/>
      </c>
      <c r="AC7" s="26">
        <f>IF(SUMPRODUCT(((Plan!$I$5:$I$129="B")+(Plan!$I$5:$I$129="A+B"))*(Plan!$K$5:$K$129&lt;AC$5)*(Plan!$L$5:$L$129&gt;=AC$5))=0,"",INDEX(Plan!$A$5:$A$129,SUMPRODUCT(((Plan!$I$5:$I$129="B")+(Plan!$I$5:$I$129="A+B"))*(Plan!$K$5:$K$129&lt;AC$5)*(Plan!$L$5:$L$129&gt;=AC$5)*(ROW(Plan!$A$5:$A$129)-4))))</f>
        <v/>
      </c>
      <c r="AD7" s="26">
        <f>IF(SUMPRODUCT(((Plan!$I$5:$I$129="B")+(Plan!$I$5:$I$129="A+B"))*(Plan!$K$5:$K$129&lt;AD$5)*(Plan!$L$5:$L$129&gt;=AD$5))=0,"",INDEX(Plan!$A$5:$A$129,SUMPRODUCT(((Plan!$I$5:$I$129="B")+(Plan!$I$5:$I$129="A+B"))*(Plan!$K$5:$K$129&lt;AD$5)*(Plan!$L$5:$L$129&gt;=AD$5)*(ROW(Plan!$A$5:$A$129)-4))))</f>
        <v/>
      </c>
      <c r="AE7" s="26">
        <f>IF(SUMPRODUCT(((Plan!$I$5:$I$129="B")+(Plan!$I$5:$I$129="A+B"))*(Plan!$K$5:$K$129&lt;AE$5)*(Plan!$L$5:$L$129&gt;=AE$5))=0,"",INDEX(Plan!$A$5:$A$129,SUMPRODUCT(((Plan!$I$5:$I$129="B")+(Plan!$I$5:$I$129="A+B"))*(Plan!$K$5:$K$129&lt;AE$5)*(Plan!$L$5:$L$129&gt;=AE$5)*(ROW(Plan!$A$5:$A$129)-4))))</f>
        <v/>
      </c>
      <c r="AF7" s="26">
        <f>IF(SUMPRODUCT(((Plan!$I$5:$I$129="B")+(Plan!$I$5:$I$129="A+B"))*(Plan!$K$5:$K$129&lt;AF$5)*(Plan!$L$5:$L$129&gt;=AF$5))=0,"",INDEX(Plan!$A$5:$A$129,SUMPRODUCT(((Plan!$I$5:$I$129="B")+(Plan!$I$5:$I$129="A+B"))*(Plan!$K$5:$K$129&lt;AF$5)*(Plan!$L$5:$L$129&gt;=AF$5)*(ROW(Plan!$A$5:$A$129)-4))))</f>
        <v/>
      </c>
      <c r="AG7" s="26">
        <f>IF(SUMPRODUCT(((Plan!$I$5:$I$129="B")+(Plan!$I$5:$I$129="A+B"))*(Plan!$K$5:$K$129&lt;AG$5)*(Plan!$L$5:$L$129&gt;=AG$5))=0,"",INDEX(Plan!$A$5:$A$129,SUMPRODUCT(((Plan!$I$5:$I$129="B")+(Plan!$I$5:$I$129="A+B"))*(Plan!$K$5:$K$129&lt;AG$5)*(Plan!$L$5:$L$129&gt;=AG$5)*(ROW(Plan!$A$5:$A$129)-4))))</f>
        <v/>
      </c>
      <c r="AH7" s="26">
        <f>IF(SUMPRODUCT(((Plan!$I$5:$I$129="B")+(Plan!$I$5:$I$129="A+B"))*(Plan!$K$5:$K$129&lt;AH$5)*(Plan!$L$5:$L$129&gt;=AH$5))=0,"",INDEX(Plan!$A$5:$A$129,SUMPRODUCT(((Plan!$I$5:$I$129="B")+(Plan!$I$5:$I$129="A+B"))*(Plan!$K$5:$K$129&lt;AH$5)*(Plan!$L$5:$L$129&gt;=AH$5)*(ROW(Plan!$A$5:$A$129)-4))))</f>
        <v/>
      </c>
      <c r="AI7" s="26">
        <f>IF(SUMPRODUCT(((Plan!$I$5:$I$129="B")+(Plan!$I$5:$I$129="A+B"))*(Plan!$K$5:$K$129&lt;AI$5)*(Plan!$L$5:$L$129&gt;=AI$5))=0,"",INDEX(Plan!$A$5:$A$129,SUMPRODUCT(((Plan!$I$5:$I$129="B")+(Plan!$I$5:$I$129="A+B"))*(Plan!$K$5:$K$129&lt;AI$5)*(Plan!$L$5:$L$129&gt;=AI$5)*(ROW(Plan!$A$5:$A$129)-4))))</f>
        <v/>
      </c>
      <c r="AJ7" s="26">
        <f>IF(SUMPRODUCT(((Plan!$I$5:$I$129="B")+(Plan!$I$5:$I$129="A+B"))*(Plan!$K$5:$K$129&lt;AJ$5)*(Plan!$L$5:$L$129&gt;=AJ$5))=0,"",INDEX(Plan!$A$5:$A$129,SUMPRODUCT(((Plan!$I$5:$I$129="B")+(Plan!$I$5:$I$129="A+B"))*(Plan!$K$5:$K$129&lt;AJ$5)*(Plan!$L$5:$L$129&gt;=AJ$5)*(ROW(Plan!$A$5:$A$129)-4))))</f>
        <v/>
      </c>
      <c r="AK7" s="26">
        <f>IF(SUMPRODUCT(((Plan!$I$5:$I$129="B")+(Plan!$I$5:$I$129="A+B"))*(Plan!$K$5:$K$129&lt;AK$5)*(Plan!$L$5:$L$129&gt;=AK$5))=0,"",INDEX(Plan!$A$5:$A$129,SUMPRODUCT(((Plan!$I$5:$I$129="B")+(Plan!$I$5:$I$129="A+B"))*(Plan!$K$5:$K$129&lt;AK$5)*(Plan!$L$5:$L$129&gt;=AK$5)*(ROW(Plan!$A$5:$A$129)-4))))</f>
        <v/>
      </c>
      <c r="AL7" s="26">
        <f>IF(SUMPRODUCT(((Plan!$I$5:$I$129="B")+(Plan!$I$5:$I$129="A+B"))*(Plan!$K$5:$K$129&lt;AL$5)*(Plan!$L$5:$L$129&gt;=AL$5))=0,"",INDEX(Plan!$A$5:$A$129,SUMPRODUCT(((Plan!$I$5:$I$129="B")+(Plan!$I$5:$I$129="A+B"))*(Plan!$K$5:$K$129&lt;AL$5)*(Plan!$L$5:$L$129&gt;=AL$5)*(ROW(Plan!$A$5:$A$129)-4))))</f>
        <v/>
      </c>
      <c r="AM7" s="26">
        <f>IF(SUMPRODUCT(((Plan!$I$5:$I$129="B")+(Plan!$I$5:$I$129="A+B"))*(Plan!$K$5:$K$129&lt;AM$5)*(Plan!$L$5:$L$129&gt;=AM$5))=0,"",INDEX(Plan!$A$5:$A$129,SUMPRODUCT(((Plan!$I$5:$I$129="B")+(Plan!$I$5:$I$129="A+B"))*(Plan!$K$5:$K$129&lt;AM$5)*(Plan!$L$5:$L$129&gt;=AM$5)*(ROW(Plan!$A$5:$A$129)-4))))</f>
        <v/>
      </c>
      <c r="AN7" s="26">
        <f>IF(SUMPRODUCT(((Plan!$I$5:$I$129="B")+(Plan!$I$5:$I$129="A+B"))*(Plan!$K$5:$K$129&lt;AN$5)*(Plan!$L$5:$L$129&gt;=AN$5))=0,"",INDEX(Plan!$A$5:$A$129,SUMPRODUCT(((Plan!$I$5:$I$129="B")+(Plan!$I$5:$I$129="A+B"))*(Plan!$K$5:$K$129&lt;AN$5)*(Plan!$L$5:$L$129&gt;=AN$5)*(ROW(Plan!$A$5:$A$129)-4))))</f>
        <v/>
      </c>
      <c r="AO7" s="26">
        <f>IF(SUMPRODUCT(((Plan!$I$5:$I$129="B")+(Plan!$I$5:$I$129="A+B"))*(Plan!$K$5:$K$129&lt;AO$5)*(Plan!$L$5:$L$129&gt;=AO$5))=0,"",INDEX(Plan!$A$5:$A$129,SUMPRODUCT(((Plan!$I$5:$I$129="B")+(Plan!$I$5:$I$129="A+B"))*(Plan!$K$5:$K$129&lt;AO$5)*(Plan!$L$5:$L$129&gt;=AO$5)*(ROW(Plan!$A$5:$A$129)-4))))</f>
        <v/>
      </c>
      <c r="AP7" s="26">
        <f>IF(SUMPRODUCT(((Plan!$I$5:$I$129="B")+(Plan!$I$5:$I$129="A+B"))*(Plan!$K$5:$K$129&lt;AP$5)*(Plan!$L$5:$L$129&gt;=AP$5))=0,"",INDEX(Plan!$A$5:$A$129,SUMPRODUCT(((Plan!$I$5:$I$129="B")+(Plan!$I$5:$I$129="A+B"))*(Plan!$K$5:$K$129&lt;AP$5)*(Plan!$L$5:$L$129&gt;=AP$5)*(ROW(Plan!$A$5:$A$129)-4))))</f>
        <v/>
      </c>
      <c r="AQ7" s="26">
        <f>IF(SUMPRODUCT(((Plan!$I$5:$I$129="B")+(Plan!$I$5:$I$129="A+B"))*(Plan!$K$5:$K$129&lt;AQ$5)*(Plan!$L$5:$L$129&gt;=AQ$5))=0,"",INDEX(Plan!$A$5:$A$129,SUMPRODUCT(((Plan!$I$5:$I$129="B")+(Plan!$I$5:$I$129="A+B"))*(Plan!$K$5:$K$129&lt;AQ$5)*(Plan!$L$5:$L$129&gt;=AQ$5)*(ROW(Plan!$A$5:$A$129)-4))))</f>
        <v/>
      </c>
      <c r="AR7" s="26">
        <f>IF(SUMPRODUCT(((Plan!$I$5:$I$129="B")+(Plan!$I$5:$I$129="A+B"))*(Plan!$K$5:$K$129&lt;AR$5)*(Plan!$L$5:$L$129&gt;=AR$5))=0,"",INDEX(Plan!$A$5:$A$129,SUMPRODUCT(((Plan!$I$5:$I$129="B")+(Plan!$I$5:$I$129="A+B"))*(Plan!$K$5:$K$129&lt;AR$5)*(Plan!$L$5:$L$129&gt;=AR$5)*(ROW(Plan!$A$5:$A$129)-4))))</f>
        <v/>
      </c>
      <c r="AS7" s="26">
        <f>IF(SUMPRODUCT(((Plan!$I$5:$I$129="B")+(Plan!$I$5:$I$129="A+B"))*(Plan!$K$5:$K$129&lt;AS$5)*(Plan!$L$5:$L$129&gt;=AS$5))=0,"",INDEX(Plan!$A$5:$A$129,SUMPRODUCT(((Plan!$I$5:$I$129="B")+(Plan!$I$5:$I$129="A+B"))*(Plan!$K$5:$K$129&lt;AS$5)*(Plan!$L$5:$L$129&gt;=AS$5)*(ROW(Plan!$A$5:$A$129)-4))))</f>
        <v/>
      </c>
      <c r="AT7" s="26">
        <f>IF(SUMPRODUCT(((Plan!$I$5:$I$129="B")+(Plan!$I$5:$I$129="A+B"))*(Plan!$K$5:$K$129&lt;AT$5)*(Plan!$L$5:$L$129&gt;=AT$5))=0,"",INDEX(Plan!$A$5:$A$129,SUMPRODUCT(((Plan!$I$5:$I$129="B")+(Plan!$I$5:$I$129="A+B"))*(Plan!$K$5:$K$129&lt;AT$5)*(Plan!$L$5:$L$129&gt;=AT$5)*(ROW(Plan!$A$5:$A$129)-4))))</f>
        <v/>
      </c>
      <c r="AU7" s="26">
        <f>IF(SUMPRODUCT(((Plan!$I$5:$I$129="B")+(Plan!$I$5:$I$129="A+B"))*(Plan!$K$5:$K$129&lt;AU$5)*(Plan!$L$5:$L$129&gt;=AU$5))=0,"",INDEX(Plan!$A$5:$A$129,SUMPRODUCT(((Plan!$I$5:$I$129="B")+(Plan!$I$5:$I$129="A+B"))*(Plan!$K$5:$K$129&lt;AU$5)*(Plan!$L$5:$L$129&gt;=AU$5)*(ROW(Plan!$A$5:$A$129)-4))))</f>
        <v/>
      </c>
      <c r="AV7" s="26">
        <f>IF(SUMPRODUCT(((Plan!$I$5:$I$129="B")+(Plan!$I$5:$I$129="A+B"))*(Plan!$K$5:$K$129&lt;AV$5)*(Plan!$L$5:$L$129&gt;=AV$5))=0,"",INDEX(Plan!$A$5:$A$129,SUMPRODUCT(((Plan!$I$5:$I$129="B")+(Plan!$I$5:$I$129="A+B"))*(Plan!$K$5:$K$129&lt;AV$5)*(Plan!$L$5:$L$129&gt;=AV$5)*(ROW(Plan!$A$5:$A$129)-4))))</f>
        <v/>
      </c>
      <c r="AW7" s="26">
        <f>IF(SUMPRODUCT(((Plan!$I$5:$I$129="B")+(Plan!$I$5:$I$129="A+B"))*(Plan!$K$5:$K$129&lt;AW$5)*(Plan!$L$5:$L$129&gt;=AW$5))=0,"",INDEX(Plan!$A$5:$A$129,SUMPRODUCT(((Plan!$I$5:$I$129="B")+(Plan!$I$5:$I$129="A+B"))*(Plan!$K$5:$K$129&lt;AW$5)*(Plan!$L$5:$L$129&gt;=AW$5)*(ROW(Plan!$A$5:$A$129)-4))))</f>
        <v/>
      </c>
      <c r="AX7" s="26">
        <f>IF(SUMPRODUCT(((Plan!$I$5:$I$129="B")+(Plan!$I$5:$I$129="A+B"))*(Plan!$K$5:$K$129&lt;AX$5)*(Plan!$L$5:$L$129&gt;=AX$5))=0,"",INDEX(Plan!$A$5:$A$129,SUMPRODUCT(((Plan!$I$5:$I$129="B")+(Plan!$I$5:$I$129="A+B"))*(Plan!$K$5:$K$129&lt;AX$5)*(Plan!$L$5:$L$129&gt;=AX$5)*(ROW(Plan!$A$5:$A$129)-4))))</f>
        <v/>
      </c>
      <c r="AY7" s="26">
        <f>IF(SUMPRODUCT(((Plan!$I$5:$I$129="B")+(Plan!$I$5:$I$129="A+B"))*(Plan!$K$5:$K$129&lt;AY$5)*(Plan!$L$5:$L$129&gt;=AY$5))=0,"",INDEX(Plan!$A$5:$A$129,SUMPRODUCT(((Plan!$I$5:$I$129="B")+(Plan!$I$5:$I$129="A+B"))*(Plan!$K$5:$K$129&lt;AY$5)*(Plan!$L$5:$L$129&gt;=AY$5)*(ROW(Plan!$A$5:$A$129)-4))))</f>
        <v/>
      </c>
      <c r="AZ7" s="26">
        <f>IF(SUMPRODUCT(((Plan!$I$5:$I$129="B")+(Plan!$I$5:$I$129="A+B"))*(Plan!$K$5:$K$129&lt;AZ$5)*(Plan!$L$5:$L$129&gt;=AZ$5))=0,"",INDEX(Plan!$A$5:$A$129,SUMPRODUCT(((Plan!$I$5:$I$129="B")+(Plan!$I$5:$I$129="A+B"))*(Plan!$K$5:$K$129&lt;AZ$5)*(Plan!$L$5:$L$129&gt;=AZ$5)*(ROW(Plan!$A$5:$A$129)-4))))</f>
        <v/>
      </c>
      <c r="BA7" s="26">
        <f>IF(SUMPRODUCT(((Plan!$I$5:$I$129="B")+(Plan!$I$5:$I$129="A+B"))*(Plan!$K$5:$K$129&lt;BA$5)*(Plan!$L$5:$L$129&gt;=BA$5))=0,"",INDEX(Plan!$A$5:$A$129,SUMPRODUCT(((Plan!$I$5:$I$129="B")+(Plan!$I$5:$I$129="A+B"))*(Plan!$K$5:$K$129&lt;BA$5)*(Plan!$L$5:$L$129&gt;=BA$5)*(ROW(Plan!$A$5:$A$129)-4))))</f>
        <v/>
      </c>
      <c r="BB7" s="26">
        <f>IF(SUMPRODUCT(((Plan!$I$5:$I$129="B")+(Plan!$I$5:$I$129="A+B"))*(Plan!$K$5:$K$129&lt;BB$5)*(Plan!$L$5:$L$129&gt;=BB$5))=0,"",INDEX(Plan!$A$5:$A$129,SUMPRODUCT(((Plan!$I$5:$I$129="B")+(Plan!$I$5:$I$129="A+B"))*(Plan!$K$5:$K$129&lt;BB$5)*(Plan!$L$5:$L$129&gt;=BB$5)*(ROW(Plan!$A$5:$A$129)-4))))</f>
        <v/>
      </c>
      <c r="BC7" s="26">
        <f>IF(SUMPRODUCT(((Plan!$I$5:$I$129="B")+(Plan!$I$5:$I$129="A+B"))*(Plan!$K$5:$K$129&lt;BC$5)*(Plan!$L$5:$L$129&gt;=BC$5))=0,"",INDEX(Plan!$A$5:$A$129,SUMPRODUCT(((Plan!$I$5:$I$129="B")+(Plan!$I$5:$I$129="A+B"))*(Plan!$K$5:$K$129&lt;BC$5)*(Plan!$L$5:$L$129&gt;=BC$5)*(ROW(Plan!$A$5:$A$129)-4))))</f>
        <v/>
      </c>
      <c r="BD7" s="26">
        <f>IF(SUMPRODUCT(((Plan!$I$5:$I$129="B")+(Plan!$I$5:$I$129="A+B"))*(Plan!$K$5:$K$129&lt;BD$5)*(Plan!$L$5:$L$129&gt;=BD$5))=0,"",INDEX(Plan!$A$5:$A$129,SUMPRODUCT(((Plan!$I$5:$I$129="B")+(Plan!$I$5:$I$129="A+B"))*(Plan!$K$5:$K$129&lt;BD$5)*(Plan!$L$5:$L$129&gt;=BD$5)*(ROW(Plan!$A$5:$A$129)-4))))</f>
        <v/>
      </c>
      <c r="BE7" s="26">
        <f>IF(SUMPRODUCT(((Plan!$I$5:$I$129="B")+(Plan!$I$5:$I$129="A+B"))*(Plan!$K$5:$K$129&lt;BE$5)*(Plan!$L$5:$L$129&gt;=BE$5))=0,"",INDEX(Plan!$A$5:$A$129,SUMPRODUCT(((Plan!$I$5:$I$129="B")+(Plan!$I$5:$I$129="A+B"))*(Plan!$K$5:$K$129&lt;BE$5)*(Plan!$L$5:$L$129&gt;=BE$5)*(ROW(Plan!$A$5:$A$129)-4))))</f>
        <v/>
      </c>
      <c r="BF7" s="26">
        <f>IF(SUMPRODUCT(((Plan!$I$5:$I$129="B")+(Plan!$I$5:$I$129="A+B"))*(Plan!$K$5:$K$129&lt;BF$5)*(Plan!$L$5:$L$129&gt;=BF$5))=0,"",INDEX(Plan!$A$5:$A$129,SUMPRODUCT(((Plan!$I$5:$I$129="B")+(Plan!$I$5:$I$129="A+B"))*(Plan!$K$5:$K$129&lt;BF$5)*(Plan!$L$5:$L$129&gt;=BF$5)*(ROW(Plan!$A$5:$A$129)-4))))</f>
        <v/>
      </c>
      <c r="BG7" s="26">
        <f>IF(SUMPRODUCT(((Plan!$I$5:$I$129="B")+(Plan!$I$5:$I$129="A+B"))*(Plan!$K$5:$K$129&lt;BG$5)*(Plan!$L$5:$L$129&gt;=BG$5))=0,"",INDEX(Plan!$A$5:$A$129,SUMPRODUCT(((Plan!$I$5:$I$129="B")+(Plan!$I$5:$I$129="A+B"))*(Plan!$K$5:$K$129&lt;BG$5)*(Plan!$L$5:$L$129&gt;=BG$5)*(ROW(Plan!$A$5:$A$129)-4))))</f>
        <v/>
      </c>
      <c r="BH7" s="26">
        <f>IF(SUMPRODUCT(((Plan!$I$5:$I$129="B")+(Plan!$I$5:$I$129="A+B"))*(Plan!$K$5:$K$129&lt;BH$5)*(Plan!$L$5:$L$129&gt;=BH$5))=0,"",INDEX(Plan!$A$5:$A$129,SUMPRODUCT(((Plan!$I$5:$I$129="B")+(Plan!$I$5:$I$129="A+B"))*(Plan!$K$5:$K$129&lt;BH$5)*(Plan!$L$5:$L$129&gt;=BH$5)*(ROW(Plan!$A$5:$A$129)-4))))</f>
        <v/>
      </c>
      <c r="BI7" s="26">
        <f>IF(SUMPRODUCT(((Plan!$I$5:$I$129="B")+(Plan!$I$5:$I$129="A+B"))*(Plan!$K$5:$K$129&lt;BI$5)*(Plan!$L$5:$L$129&gt;=BI$5))=0,"",INDEX(Plan!$A$5:$A$129,SUMPRODUCT(((Plan!$I$5:$I$129="B")+(Plan!$I$5:$I$129="A+B"))*(Plan!$K$5:$K$129&lt;BI$5)*(Plan!$L$5:$L$129&gt;=BI$5)*(ROW(Plan!$A$5:$A$129)-4))))</f>
        <v/>
      </c>
      <c r="BJ7" s="26">
        <f>IF(SUMPRODUCT(((Plan!$I$5:$I$129="B")+(Plan!$I$5:$I$129="A+B"))*(Plan!$K$5:$K$129&lt;BJ$5)*(Plan!$L$5:$L$129&gt;=BJ$5))=0,"",INDEX(Plan!$A$5:$A$129,SUMPRODUCT(((Plan!$I$5:$I$129="B")+(Plan!$I$5:$I$129="A+B"))*(Plan!$K$5:$K$129&lt;BJ$5)*(Plan!$L$5:$L$129&gt;=BJ$5)*(ROW(Plan!$A$5:$A$129)-4))))</f>
        <v/>
      </c>
      <c r="BK7" s="26">
        <f>IF(SUMPRODUCT(((Plan!$I$5:$I$129="B")+(Plan!$I$5:$I$129="A+B"))*(Plan!$K$5:$K$129&lt;BK$5)*(Plan!$L$5:$L$129&gt;=BK$5))=0,"",INDEX(Plan!$A$5:$A$129,SUMPRODUCT(((Plan!$I$5:$I$129="B")+(Plan!$I$5:$I$129="A+B"))*(Plan!$K$5:$K$129&lt;BK$5)*(Plan!$L$5:$L$129&gt;=BK$5)*(ROW(Plan!$A$5:$A$129)-4))))</f>
        <v/>
      </c>
      <c r="BL7" s="26">
        <f>IF(SUMPRODUCT(((Plan!$I$5:$I$129="B")+(Plan!$I$5:$I$129="A+B"))*(Plan!$K$5:$K$129&lt;BL$5)*(Plan!$L$5:$L$129&gt;=BL$5))=0,"",INDEX(Plan!$A$5:$A$129,SUMPRODUCT(((Plan!$I$5:$I$129="B")+(Plan!$I$5:$I$129="A+B"))*(Plan!$K$5:$K$129&lt;BL$5)*(Plan!$L$5:$L$129&gt;=BL$5)*(ROW(Plan!$A$5:$A$129)-4))))</f>
        <v/>
      </c>
      <c r="BM7" s="26">
        <f>IF(SUMPRODUCT(((Plan!$I$5:$I$129="B")+(Plan!$I$5:$I$129="A+B"))*(Plan!$K$5:$K$129&lt;BM$5)*(Plan!$L$5:$L$129&gt;=BM$5))=0,"",INDEX(Plan!$A$5:$A$129,SUMPRODUCT(((Plan!$I$5:$I$129="B")+(Plan!$I$5:$I$129="A+B"))*(Plan!$K$5:$K$129&lt;BM$5)*(Plan!$L$5:$L$129&gt;=BM$5)*(ROW(Plan!$A$5:$A$129)-4))))</f>
        <v/>
      </c>
      <c r="BN7" s="26">
        <f>IF(SUMPRODUCT(((Plan!$I$5:$I$129="B")+(Plan!$I$5:$I$129="A+B"))*(Plan!$K$5:$K$129&lt;BN$5)*(Plan!$L$5:$L$129&gt;=BN$5))=0,"",INDEX(Plan!$A$5:$A$129,SUMPRODUCT(((Plan!$I$5:$I$129="B")+(Plan!$I$5:$I$129="A+B"))*(Plan!$K$5:$K$129&lt;BN$5)*(Plan!$L$5:$L$129&gt;=BN$5)*(ROW(Plan!$A$5:$A$129)-4))))</f>
        <v/>
      </c>
      <c r="BO7" s="26">
        <f>IF(SUMPRODUCT(((Plan!$I$5:$I$129="B")+(Plan!$I$5:$I$129="A+B"))*(Plan!$K$5:$K$129&lt;BO$5)*(Plan!$L$5:$L$129&gt;=BO$5))=0,"",INDEX(Plan!$A$5:$A$129,SUMPRODUCT(((Plan!$I$5:$I$129="B")+(Plan!$I$5:$I$129="A+B"))*(Plan!$K$5:$K$129&lt;BO$5)*(Plan!$L$5:$L$129&gt;=BO$5)*(ROW(Plan!$A$5:$A$129)-4))))</f>
        <v/>
      </c>
      <c r="BP7" s="26">
        <f>IF(SUMPRODUCT(((Plan!$I$5:$I$129="B")+(Plan!$I$5:$I$129="A+B"))*(Plan!$K$5:$K$129&lt;BP$5)*(Plan!$L$5:$L$129&gt;=BP$5))=0,"",INDEX(Plan!$A$5:$A$129,SUMPRODUCT(((Plan!$I$5:$I$129="B")+(Plan!$I$5:$I$129="A+B"))*(Plan!$K$5:$K$129&lt;BP$5)*(Plan!$L$5:$L$129&gt;=BP$5)*(ROW(Plan!$A$5:$A$129)-4))))</f>
        <v/>
      </c>
      <c r="BQ7" s="26">
        <f>IF(SUMPRODUCT(((Plan!$I$5:$I$129="B")+(Plan!$I$5:$I$129="A+B"))*(Plan!$K$5:$K$129&lt;BQ$5)*(Plan!$L$5:$L$129&gt;=BQ$5))=0,"",INDEX(Plan!$A$5:$A$129,SUMPRODUCT(((Plan!$I$5:$I$129="B")+(Plan!$I$5:$I$129="A+B"))*(Plan!$K$5:$K$129&lt;BQ$5)*(Plan!$L$5:$L$129&gt;=BQ$5)*(ROW(Plan!$A$5:$A$129)-4))))</f>
        <v/>
      </c>
      <c r="BR7" s="26">
        <f>IF(SUMPRODUCT(((Plan!$I$5:$I$129="B")+(Plan!$I$5:$I$129="A+B"))*(Plan!$K$5:$K$129&lt;BR$5)*(Plan!$L$5:$L$129&gt;=BR$5))=0,"",INDEX(Plan!$A$5:$A$129,SUMPRODUCT(((Plan!$I$5:$I$129="B")+(Plan!$I$5:$I$129="A+B"))*(Plan!$K$5:$K$129&lt;BR$5)*(Plan!$L$5:$L$129&gt;=BR$5)*(ROW(Plan!$A$5:$A$129)-4))))</f>
        <v/>
      </c>
      <c r="BS7" s="26">
        <f>IF(SUMPRODUCT(((Plan!$I$5:$I$129="B")+(Plan!$I$5:$I$129="A+B"))*(Plan!$K$5:$K$129&lt;BS$5)*(Plan!$L$5:$L$129&gt;=BS$5))=0,"",INDEX(Plan!$A$5:$A$129,SUMPRODUCT(((Plan!$I$5:$I$129="B")+(Plan!$I$5:$I$129="A+B"))*(Plan!$K$5:$K$129&lt;BS$5)*(Plan!$L$5:$L$129&gt;=BS$5)*(ROW(Plan!$A$5:$A$129)-4))))</f>
        <v/>
      </c>
      <c r="BT7" s="26">
        <f>IF(SUMPRODUCT(((Plan!$I$5:$I$129="B")+(Plan!$I$5:$I$129="A+B"))*(Plan!$K$5:$K$129&lt;BT$5)*(Plan!$L$5:$L$129&gt;=BT$5))=0,"",INDEX(Plan!$A$5:$A$129,SUMPRODUCT(((Plan!$I$5:$I$129="B")+(Plan!$I$5:$I$129="A+B"))*(Plan!$K$5:$K$129&lt;BT$5)*(Plan!$L$5:$L$129&gt;=BT$5)*(ROW(Plan!$A$5:$A$129)-4))))</f>
        <v/>
      </c>
      <c r="BU7" s="26">
        <f>IF(SUMPRODUCT(((Plan!$I$5:$I$129="B")+(Plan!$I$5:$I$129="A+B"))*(Plan!$K$5:$K$129&lt;BU$5)*(Plan!$L$5:$L$129&gt;=BU$5))=0,"",INDEX(Plan!$A$5:$A$129,SUMPRODUCT(((Plan!$I$5:$I$129="B")+(Plan!$I$5:$I$129="A+B"))*(Plan!$K$5:$K$129&lt;BU$5)*(Plan!$L$5:$L$129&gt;=BU$5)*(ROW(Plan!$A$5:$A$129)-4))))</f>
        <v/>
      </c>
      <c r="BV7" s="26">
        <f>IF(SUMPRODUCT(((Plan!$I$5:$I$129="B")+(Plan!$I$5:$I$129="A+B"))*(Plan!$K$5:$K$129&lt;BV$5)*(Plan!$L$5:$L$129&gt;=BV$5))=0,"",INDEX(Plan!$A$5:$A$129,SUMPRODUCT(((Plan!$I$5:$I$129="B")+(Plan!$I$5:$I$129="A+B"))*(Plan!$K$5:$K$129&lt;BV$5)*(Plan!$L$5:$L$129&gt;=BV$5)*(ROW(Plan!$A$5:$A$129)-4))))</f>
        <v/>
      </c>
      <c r="BW7" s="26">
        <f>IF(SUMPRODUCT(((Plan!$I$5:$I$129="B")+(Plan!$I$5:$I$129="A+B"))*(Plan!$K$5:$K$129&lt;BW$5)*(Plan!$L$5:$L$129&gt;=BW$5))=0,"",INDEX(Plan!$A$5:$A$129,SUMPRODUCT(((Plan!$I$5:$I$129="B")+(Plan!$I$5:$I$129="A+B"))*(Plan!$K$5:$K$129&lt;BW$5)*(Plan!$L$5:$L$129&gt;=BW$5)*(ROW(Plan!$A$5:$A$129)-4))))</f>
        <v/>
      </c>
      <c r="BX7" s="26">
        <f>IF(SUMPRODUCT(((Plan!$I$5:$I$129="B")+(Plan!$I$5:$I$129="A+B"))*(Plan!$K$5:$K$129&lt;BX$5)*(Plan!$L$5:$L$129&gt;=BX$5))=0,"",INDEX(Plan!$A$5:$A$129,SUMPRODUCT(((Plan!$I$5:$I$129="B")+(Plan!$I$5:$I$129="A+B"))*(Plan!$K$5:$K$129&lt;BX$5)*(Plan!$L$5:$L$129&gt;=BX$5)*(ROW(Plan!$A$5:$A$129)-4))))</f>
        <v/>
      </c>
      <c r="BY7" s="26">
        <f>IF(SUMPRODUCT(((Plan!$I$5:$I$129="B")+(Plan!$I$5:$I$129="A+B"))*(Plan!$K$5:$K$129&lt;BY$5)*(Plan!$L$5:$L$129&gt;=BY$5))=0,"",INDEX(Plan!$A$5:$A$129,SUMPRODUCT(((Plan!$I$5:$I$129="B")+(Plan!$I$5:$I$129="A+B"))*(Plan!$K$5:$K$129&lt;BY$5)*(Plan!$L$5:$L$129&gt;=BY$5)*(ROW(Plan!$A$5:$A$129)-4))))</f>
        <v/>
      </c>
      <c r="BZ7" s="26">
        <f>IF(SUMPRODUCT(((Plan!$I$5:$I$129="B")+(Plan!$I$5:$I$129="A+B"))*(Plan!$K$5:$K$129&lt;BZ$5)*(Plan!$L$5:$L$129&gt;=BZ$5))=0,"",INDEX(Plan!$A$5:$A$129,SUMPRODUCT(((Plan!$I$5:$I$129="B")+(Plan!$I$5:$I$129="A+B"))*(Plan!$K$5:$K$129&lt;BZ$5)*(Plan!$L$5:$L$129&gt;=BZ$5)*(ROW(Plan!$A$5:$A$129)-4))))</f>
        <v/>
      </c>
      <c r="CA7" s="26">
        <f>IF(SUMPRODUCT(((Plan!$I$5:$I$129="B")+(Plan!$I$5:$I$129="A+B"))*(Plan!$K$5:$K$129&lt;CA$5)*(Plan!$L$5:$L$129&gt;=CA$5))=0,"",INDEX(Plan!$A$5:$A$129,SUMPRODUCT(((Plan!$I$5:$I$129="B")+(Plan!$I$5:$I$129="A+B"))*(Plan!$K$5:$K$129&lt;CA$5)*(Plan!$L$5:$L$129&gt;=CA$5)*(ROW(Plan!$A$5:$A$129)-4))))</f>
        <v/>
      </c>
      <c r="CB7" s="26">
        <f>IF(SUMPRODUCT(((Plan!$I$5:$I$129="B")+(Plan!$I$5:$I$129="A+B"))*(Plan!$K$5:$K$129&lt;CB$5)*(Plan!$L$5:$L$129&gt;=CB$5))=0,"",INDEX(Plan!$A$5:$A$129,SUMPRODUCT(((Plan!$I$5:$I$129="B")+(Plan!$I$5:$I$129="A+B"))*(Plan!$K$5:$K$129&lt;CB$5)*(Plan!$L$5:$L$129&gt;=CB$5)*(ROW(Plan!$A$5:$A$129)-4))))</f>
        <v/>
      </c>
      <c r="CC7" s="26">
        <f>IF(SUMPRODUCT(((Plan!$I$5:$I$129="B")+(Plan!$I$5:$I$129="A+B"))*(Plan!$K$5:$K$129&lt;CC$5)*(Plan!$L$5:$L$129&gt;=CC$5))=0,"",INDEX(Plan!$A$5:$A$129,SUMPRODUCT(((Plan!$I$5:$I$129="B")+(Plan!$I$5:$I$129="A+B"))*(Plan!$K$5:$K$129&lt;CC$5)*(Plan!$L$5:$L$129&gt;=CC$5)*(ROW(Plan!$A$5:$A$129)-4))))</f>
        <v/>
      </c>
      <c r="CD7" s="26">
        <f>IF(SUMPRODUCT(((Plan!$I$5:$I$129="B")+(Plan!$I$5:$I$129="A+B"))*(Plan!$K$5:$K$129&lt;CD$5)*(Plan!$L$5:$L$129&gt;=CD$5))=0,"",INDEX(Plan!$A$5:$A$129,SUMPRODUCT(((Plan!$I$5:$I$129="B")+(Plan!$I$5:$I$129="A+B"))*(Plan!$K$5:$K$129&lt;CD$5)*(Plan!$L$5:$L$129&gt;=CD$5)*(ROW(Plan!$A$5:$A$129)-4))))</f>
        <v/>
      </c>
      <c r="CE7" s="26">
        <f>IF(SUMPRODUCT(((Plan!$I$5:$I$129="B")+(Plan!$I$5:$I$129="A+B"))*(Plan!$K$5:$K$129&lt;CE$5)*(Plan!$L$5:$L$129&gt;=CE$5))=0,"",INDEX(Plan!$A$5:$A$129,SUMPRODUCT(((Plan!$I$5:$I$129="B")+(Plan!$I$5:$I$129="A+B"))*(Plan!$K$5:$K$129&lt;CE$5)*(Plan!$L$5:$L$129&gt;=CE$5)*(ROW(Plan!$A$5:$A$129)-4))))</f>
        <v/>
      </c>
      <c r="CF7" s="26">
        <f>IF(SUMPRODUCT(((Plan!$I$5:$I$129="B")+(Plan!$I$5:$I$129="A+B"))*(Plan!$K$5:$K$129&lt;CF$5)*(Plan!$L$5:$L$129&gt;=CF$5))=0,"",INDEX(Plan!$A$5:$A$129,SUMPRODUCT(((Plan!$I$5:$I$129="B")+(Plan!$I$5:$I$129="A+B"))*(Plan!$K$5:$K$129&lt;CF$5)*(Plan!$L$5:$L$129&gt;=CF$5)*(ROW(Plan!$A$5:$A$129)-4))))</f>
        <v/>
      </c>
      <c r="CG7" s="26">
        <f>IF(SUMPRODUCT(((Plan!$I$5:$I$129="B")+(Plan!$I$5:$I$129="A+B"))*(Plan!$K$5:$K$129&lt;CG$5)*(Plan!$L$5:$L$129&gt;=CG$5))=0,"",INDEX(Plan!$A$5:$A$129,SUMPRODUCT(((Plan!$I$5:$I$129="B")+(Plan!$I$5:$I$129="A+B"))*(Plan!$K$5:$K$129&lt;CG$5)*(Plan!$L$5:$L$129&gt;=CG$5)*(ROW(Plan!$A$5:$A$129)-4))))</f>
        <v/>
      </c>
      <c r="CH7" s="26">
        <f>IF(SUMPRODUCT(((Plan!$I$5:$I$129="B")+(Plan!$I$5:$I$129="A+B"))*(Plan!$K$5:$K$129&lt;CH$5)*(Plan!$L$5:$L$129&gt;=CH$5))=0,"",INDEX(Plan!$A$5:$A$129,SUMPRODUCT(((Plan!$I$5:$I$129="B")+(Plan!$I$5:$I$129="A+B"))*(Plan!$K$5:$K$129&lt;CH$5)*(Plan!$L$5:$L$129&gt;=CH$5)*(ROW(Plan!$A$5:$A$129)-4))))</f>
        <v/>
      </c>
      <c r="CI7" s="26">
        <f>IF(SUMPRODUCT(((Plan!$I$5:$I$129="B")+(Plan!$I$5:$I$129="A+B"))*(Plan!$K$5:$K$129&lt;CI$5)*(Plan!$L$5:$L$129&gt;=CI$5))=0,"",INDEX(Plan!$A$5:$A$129,SUMPRODUCT(((Plan!$I$5:$I$129="B")+(Plan!$I$5:$I$129="A+B"))*(Plan!$K$5:$K$129&lt;CI$5)*(Plan!$L$5:$L$129&gt;=CI$5)*(ROW(Plan!$A$5:$A$129)-4))))</f>
        <v/>
      </c>
      <c r="CJ7" s="26">
        <f>IF(SUMPRODUCT(((Plan!$I$5:$I$129="B")+(Plan!$I$5:$I$129="A+B"))*(Plan!$K$5:$K$129&lt;CJ$5)*(Plan!$L$5:$L$129&gt;=CJ$5))=0,"",INDEX(Plan!$A$5:$A$129,SUMPRODUCT(((Plan!$I$5:$I$129="B")+(Plan!$I$5:$I$129="A+B"))*(Plan!$K$5:$K$129&lt;CJ$5)*(Plan!$L$5:$L$129&gt;=CJ$5)*(ROW(Plan!$A$5:$A$129)-4))))</f>
        <v/>
      </c>
      <c r="CK7" s="26">
        <f>IF(SUMPRODUCT(((Plan!$I$5:$I$129="B")+(Plan!$I$5:$I$129="A+B"))*(Plan!$K$5:$K$129&lt;CK$5)*(Plan!$L$5:$L$129&gt;=CK$5))=0,"",INDEX(Plan!$A$5:$A$129,SUMPRODUCT(((Plan!$I$5:$I$129="B")+(Plan!$I$5:$I$129="A+B"))*(Plan!$K$5:$K$129&lt;CK$5)*(Plan!$L$5:$L$129&gt;=CK$5)*(ROW(Plan!$A$5:$A$129)-4))))</f>
        <v/>
      </c>
      <c r="CL7" s="26">
        <f>IF(SUMPRODUCT(((Plan!$I$5:$I$129="B")+(Plan!$I$5:$I$129="A+B"))*(Plan!$K$5:$K$129&lt;CL$5)*(Plan!$L$5:$L$129&gt;=CL$5))=0,"",INDEX(Plan!$A$5:$A$129,SUMPRODUCT(((Plan!$I$5:$I$129="B")+(Plan!$I$5:$I$129="A+B"))*(Plan!$K$5:$K$129&lt;CL$5)*(Plan!$L$5:$L$129&gt;=CL$5)*(ROW(Plan!$A$5:$A$129)-4))))</f>
        <v/>
      </c>
      <c r="CM7" s="26">
        <f>IF(SUMPRODUCT(((Plan!$I$5:$I$129="B")+(Plan!$I$5:$I$129="A+B"))*(Plan!$K$5:$K$129&lt;CM$5)*(Plan!$L$5:$L$129&gt;=CM$5))=0,"",INDEX(Plan!$A$5:$A$129,SUMPRODUCT(((Plan!$I$5:$I$129="B")+(Plan!$I$5:$I$129="A+B"))*(Plan!$K$5:$K$129&lt;CM$5)*(Plan!$L$5:$L$129&gt;=CM$5)*(ROW(Plan!$A$5:$A$129)-4))))</f>
        <v/>
      </c>
      <c r="CN7" s="26">
        <f>IF(SUMPRODUCT(((Plan!$I$5:$I$129="B")+(Plan!$I$5:$I$129="A+B"))*(Plan!$K$5:$K$129&lt;CN$5)*(Plan!$L$5:$L$129&gt;=CN$5))=0,"",INDEX(Plan!$A$5:$A$129,SUMPRODUCT(((Plan!$I$5:$I$129="B")+(Plan!$I$5:$I$129="A+B"))*(Plan!$K$5:$K$129&lt;CN$5)*(Plan!$L$5:$L$129&gt;=CN$5)*(ROW(Plan!$A$5:$A$129)-4))))</f>
        <v/>
      </c>
      <c r="CO7" s="26">
        <f>IF(SUMPRODUCT(((Plan!$I$5:$I$129="B")+(Plan!$I$5:$I$129="A+B"))*(Plan!$K$5:$K$129&lt;CO$5)*(Plan!$L$5:$L$129&gt;=CO$5))=0,"",INDEX(Plan!$A$5:$A$129,SUMPRODUCT(((Plan!$I$5:$I$129="B")+(Plan!$I$5:$I$129="A+B"))*(Plan!$K$5:$K$129&lt;CO$5)*(Plan!$L$5:$L$129&gt;=CO$5)*(ROW(Plan!$A$5:$A$129)-4))))</f>
        <v/>
      </c>
      <c r="CP7" s="26">
        <f>IF(SUMPRODUCT(((Plan!$I$5:$I$129="B")+(Plan!$I$5:$I$129="A+B"))*(Plan!$K$5:$K$129&lt;CP$5)*(Plan!$L$5:$L$129&gt;=CP$5))=0,"",INDEX(Plan!$A$5:$A$129,SUMPRODUCT(((Plan!$I$5:$I$129="B")+(Plan!$I$5:$I$129="A+B"))*(Plan!$K$5:$K$129&lt;CP$5)*(Plan!$L$5:$L$129&gt;=CP$5)*(ROW(Plan!$A$5:$A$129)-4))))</f>
        <v/>
      </c>
      <c r="CQ7" s="26">
        <f>IF(SUMPRODUCT(((Plan!$I$5:$I$129="B")+(Plan!$I$5:$I$129="A+B"))*(Plan!$K$5:$K$129&lt;CQ$5)*(Plan!$L$5:$L$129&gt;=CQ$5))=0,"",INDEX(Plan!$A$5:$A$129,SUMPRODUCT(((Plan!$I$5:$I$129="B")+(Plan!$I$5:$I$129="A+B"))*(Plan!$K$5:$K$129&lt;CQ$5)*(Plan!$L$5:$L$129&gt;=CQ$5)*(ROW(Plan!$A$5:$A$129)-4))))</f>
        <v/>
      </c>
      <c r="CR7" s="26">
        <f>IF(SUMPRODUCT(((Plan!$I$5:$I$129="B")+(Plan!$I$5:$I$129="A+B"))*(Plan!$K$5:$K$129&lt;CR$5)*(Plan!$L$5:$L$129&gt;=CR$5))=0,"",INDEX(Plan!$A$5:$A$129,SUMPRODUCT(((Plan!$I$5:$I$129="B")+(Plan!$I$5:$I$129="A+B"))*(Plan!$K$5:$K$129&lt;CR$5)*(Plan!$L$5:$L$129&gt;=CR$5)*(ROW(Plan!$A$5:$A$129)-4))))</f>
        <v/>
      </c>
      <c r="CS7" s="26">
        <f>IF(SUMPRODUCT(((Plan!$I$5:$I$129="B")+(Plan!$I$5:$I$129="A+B"))*(Plan!$K$5:$K$129&lt;CS$5)*(Plan!$L$5:$L$129&gt;=CS$5))=0,"",INDEX(Plan!$A$5:$A$129,SUMPRODUCT(((Plan!$I$5:$I$129="B")+(Plan!$I$5:$I$129="A+B"))*(Plan!$K$5:$K$129&lt;CS$5)*(Plan!$L$5:$L$129&gt;=CS$5)*(ROW(Plan!$A$5:$A$129)-4))))</f>
        <v/>
      </c>
      <c r="CT7" s="26">
        <f>IF(SUMPRODUCT(((Plan!$I$5:$I$129="B")+(Plan!$I$5:$I$129="A+B"))*(Plan!$K$5:$K$129&lt;CT$5)*(Plan!$L$5:$L$129&gt;=CT$5))=0,"",INDEX(Plan!$A$5:$A$129,SUMPRODUCT(((Plan!$I$5:$I$129="B")+(Plan!$I$5:$I$129="A+B"))*(Plan!$K$5:$K$129&lt;CT$5)*(Plan!$L$5:$L$129&gt;=CT$5)*(ROW(Plan!$A$5:$A$129)-4))))</f>
        <v/>
      </c>
      <c r="CU7" s="26">
        <f>IF(SUMPRODUCT(((Plan!$I$5:$I$129="B")+(Plan!$I$5:$I$129="A+B"))*(Plan!$K$5:$K$129&lt;CU$5)*(Plan!$L$5:$L$129&gt;=CU$5))=0,"",INDEX(Plan!$A$5:$A$129,SUMPRODUCT(((Plan!$I$5:$I$129="B")+(Plan!$I$5:$I$129="A+B"))*(Plan!$K$5:$K$129&lt;CU$5)*(Plan!$L$5:$L$129&gt;=CU$5)*(ROW(Plan!$A$5:$A$129)-4))))</f>
        <v/>
      </c>
      <c r="CV7" s="26">
        <f>IF(SUMPRODUCT(((Plan!$I$5:$I$129="B")+(Plan!$I$5:$I$129="A+B"))*(Plan!$K$5:$K$129&lt;CV$5)*(Plan!$L$5:$L$129&gt;=CV$5))=0,"",INDEX(Plan!$A$5:$A$129,SUMPRODUCT(((Plan!$I$5:$I$129="B")+(Plan!$I$5:$I$129="A+B"))*(Plan!$K$5:$K$129&lt;CV$5)*(Plan!$L$5:$L$129&gt;=CV$5)*(ROW(Plan!$A$5:$A$129)-4))))</f>
        <v/>
      </c>
      <c r="CW7" s="26">
        <f>IF(SUMPRODUCT(((Plan!$I$5:$I$129="B")+(Plan!$I$5:$I$129="A+B"))*(Plan!$K$5:$K$129&lt;CW$5)*(Plan!$L$5:$L$129&gt;=CW$5))=0,"",INDEX(Plan!$A$5:$A$129,SUMPRODUCT(((Plan!$I$5:$I$129="B")+(Plan!$I$5:$I$129="A+B"))*(Plan!$K$5:$K$129&lt;CW$5)*(Plan!$L$5:$L$129&gt;=CW$5)*(ROW(Plan!$A$5:$A$129)-4))))</f>
        <v/>
      </c>
      <c r="CX7" s="26">
        <f>IF(SUMPRODUCT(((Plan!$I$5:$I$129="B")+(Plan!$I$5:$I$129="A+B"))*(Plan!$K$5:$K$129&lt;CX$5)*(Plan!$L$5:$L$129&gt;=CX$5))=0,"",INDEX(Plan!$A$5:$A$129,SUMPRODUCT(((Plan!$I$5:$I$129="B")+(Plan!$I$5:$I$129="A+B"))*(Plan!$K$5:$K$129&lt;CX$5)*(Plan!$L$5:$L$129&gt;=CX$5)*(ROW(Plan!$A$5:$A$129)-4))))</f>
        <v/>
      </c>
      <c r="CY7" s="26">
        <f>IF(SUMPRODUCT(((Plan!$I$5:$I$129="B")+(Plan!$I$5:$I$129="A+B"))*(Plan!$K$5:$K$129&lt;CY$5)*(Plan!$L$5:$L$129&gt;=CY$5))=0,"",INDEX(Plan!$A$5:$A$129,SUMPRODUCT(((Plan!$I$5:$I$129="B")+(Plan!$I$5:$I$129="A+B"))*(Plan!$K$5:$K$129&lt;CY$5)*(Plan!$L$5:$L$129&gt;=CY$5)*(ROW(Plan!$A$5:$A$129)-4))))</f>
        <v/>
      </c>
      <c r="CZ7" s="26">
        <f>IF(SUMPRODUCT(((Plan!$I$5:$I$129="B")+(Plan!$I$5:$I$129="A+B"))*(Plan!$K$5:$K$129&lt;CZ$5)*(Plan!$L$5:$L$129&gt;=CZ$5))=0,"",INDEX(Plan!$A$5:$A$129,SUMPRODUCT(((Plan!$I$5:$I$129="B")+(Plan!$I$5:$I$129="A+B"))*(Plan!$K$5:$K$129&lt;CZ$5)*(Plan!$L$5:$L$129&gt;=CZ$5)*(ROW(Plan!$A$5:$A$129)-4))))</f>
        <v/>
      </c>
      <c r="DA7" s="26">
        <f>IF(SUMPRODUCT(((Plan!$I$5:$I$129="B")+(Plan!$I$5:$I$129="A+B"))*(Plan!$K$5:$K$129&lt;DA$5)*(Plan!$L$5:$L$129&gt;=DA$5))=0,"",INDEX(Plan!$A$5:$A$129,SUMPRODUCT(((Plan!$I$5:$I$129="B")+(Plan!$I$5:$I$129="A+B"))*(Plan!$K$5:$K$129&lt;DA$5)*(Plan!$L$5:$L$129&gt;=DA$5)*(ROW(Plan!$A$5:$A$129)-4))))</f>
        <v/>
      </c>
      <c r="DB7" s="26">
        <f>IF(SUMPRODUCT(((Plan!$I$5:$I$129="B")+(Plan!$I$5:$I$129="A+B"))*(Plan!$K$5:$K$129&lt;DB$5)*(Plan!$L$5:$L$129&gt;=DB$5))=0,"",INDEX(Plan!$A$5:$A$129,SUMPRODUCT(((Plan!$I$5:$I$129="B")+(Plan!$I$5:$I$129="A+B"))*(Plan!$K$5:$K$129&lt;DB$5)*(Plan!$L$5:$L$129&gt;=DB$5)*(ROW(Plan!$A$5:$A$129)-4))))</f>
        <v/>
      </c>
      <c r="DC7" s="26">
        <f>IF(SUMPRODUCT(((Plan!$I$5:$I$129="B")+(Plan!$I$5:$I$129="A+B"))*(Plan!$K$5:$K$129&lt;DC$5)*(Plan!$L$5:$L$129&gt;=DC$5))=0,"",INDEX(Plan!$A$5:$A$129,SUMPRODUCT(((Plan!$I$5:$I$129="B")+(Plan!$I$5:$I$129="A+B"))*(Plan!$K$5:$K$129&lt;DC$5)*(Plan!$L$5:$L$129&gt;=DC$5)*(ROW(Plan!$A$5:$A$129)-4))))</f>
        <v/>
      </c>
      <c r="DD7" s="26">
        <f>IF(SUMPRODUCT(((Plan!$I$5:$I$129="B")+(Plan!$I$5:$I$129="A+B"))*(Plan!$K$5:$K$129&lt;DD$5)*(Plan!$L$5:$L$129&gt;=DD$5))=0,"",INDEX(Plan!$A$5:$A$129,SUMPRODUCT(((Plan!$I$5:$I$129="B")+(Plan!$I$5:$I$129="A+B"))*(Plan!$K$5:$K$129&lt;DD$5)*(Plan!$L$5:$L$129&gt;=DD$5)*(ROW(Plan!$A$5:$A$129)-4))))</f>
        <v/>
      </c>
      <c r="DE7" s="26">
        <f>IF(SUMPRODUCT(((Plan!$I$5:$I$129="B")+(Plan!$I$5:$I$129="A+B"))*(Plan!$K$5:$K$129&lt;DE$5)*(Plan!$L$5:$L$129&gt;=DE$5))=0,"",INDEX(Plan!$A$5:$A$129,SUMPRODUCT(((Plan!$I$5:$I$129="B")+(Plan!$I$5:$I$129="A+B"))*(Plan!$K$5:$K$129&lt;DE$5)*(Plan!$L$5:$L$129&gt;=DE$5)*(ROW(Plan!$A$5:$A$129)-4))))</f>
        <v/>
      </c>
      <c r="DF7" s="26">
        <f>IF(SUMPRODUCT(((Plan!$I$5:$I$129="B")+(Plan!$I$5:$I$129="A+B"))*(Plan!$K$5:$K$129&lt;DF$5)*(Plan!$L$5:$L$129&gt;=DF$5))=0,"",INDEX(Plan!$A$5:$A$129,SUMPRODUCT(((Plan!$I$5:$I$129="B")+(Plan!$I$5:$I$129="A+B"))*(Plan!$K$5:$K$129&lt;DF$5)*(Plan!$L$5:$L$129&gt;=DF$5)*(ROW(Plan!$A$5:$A$129)-4))))</f>
        <v/>
      </c>
      <c r="DG7" s="26">
        <f>IF(SUMPRODUCT(((Plan!$I$5:$I$129="B")+(Plan!$I$5:$I$129="A+B"))*(Plan!$K$5:$K$129&lt;DG$5)*(Plan!$L$5:$L$129&gt;=DG$5))=0,"",INDEX(Plan!$A$5:$A$129,SUMPRODUCT(((Plan!$I$5:$I$129="B")+(Plan!$I$5:$I$129="A+B"))*(Plan!$K$5:$K$129&lt;DG$5)*(Plan!$L$5:$L$129&gt;=DG$5)*(ROW(Plan!$A$5:$A$129)-4))))</f>
        <v/>
      </c>
      <c r="DH7" s="26">
        <f>IF(SUMPRODUCT(((Plan!$I$5:$I$129="B")+(Plan!$I$5:$I$129="A+B"))*(Plan!$K$5:$K$129&lt;DH$5)*(Plan!$L$5:$L$129&gt;=DH$5))=0,"",INDEX(Plan!$A$5:$A$129,SUMPRODUCT(((Plan!$I$5:$I$129="B")+(Plan!$I$5:$I$129="A+B"))*(Plan!$K$5:$K$129&lt;DH$5)*(Plan!$L$5:$L$129&gt;=DH$5)*(ROW(Plan!$A$5:$A$129)-4))))</f>
        <v/>
      </c>
      <c r="DI7" s="26">
        <f>IF(SUMPRODUCT(((Plan!$I$5:$I$129="B")+(Plan!$I$5:$I$129="A+B"))*(Plan!$K$5:$K$129&lt;DI$5)*(Plan!$L$5:$L$129&gt;=DI$5))=0,"",INDEX(Plan!$A$5:$A$129,SUMPRODUCT(((Plan!$I$5:$I$129="B")+(Plan!$I$5:$I$129="A+B"))*(Plan!$K$5:$K$129&lt;DI$5)*(Plan!$L$5:$L$129&gt;=DI$5)*(ROW(Plan!$A$5:$A$129)-4))))</f>
        <v/>
      </c>
      <c r="DJ7" s="26">
        <f>IF(SUMPRODUCT(((Plan!$I$5:$I$129="B")+(Plan!$I$5:$I$129="A+B"))*(Plan!$K$5:$K$129&lt;DJ$5)*(Plan!$L$5:$L$129&gt;=DJ$5))=0,"",INDEX(Plan!$A$5:$A$129,SUMPRODUCT(((Plan!$I$5:$I$129="B")+(Plan!$I$5:$I$129="A+B"))*(Plan!$K$5:$K$129&lt;DJ$5)*(Plan!$L$5:$L$129&gt;=DJ$5)*(ROW(Plan!$A$5:$A$129)-4))))</f>
        <v/>
      </c>
      <c r="DK7" s="26">
        <f>IF(SUMPRODUCT(((Plan!$I$5:$I$129="B")+(Plan!$I$5:$I$129="A+B"))*(Plan!$K$5:$K$129&lt;DK$5)*(Plan!$L$5:$L$129&gt;=DK$5))=0,"",INDEX(Plan!$A$5:$A$129,SUMPRODUCT(((Plan!$I$5:$I$129="B")+(Plan!$I$5:$I$129="A+B"))*(Plan!$K$5:$K$129&lt;DK$5)*(Plan!$L$5:$L$129&gt;=DK$5)*(ROW(Plan!$A$5:$A$129)-4))))</f>
        <v/>
      </c>
      <c r="DL7" s="26">
        <f>IF(SUMPRODUCT(((Plan!$I$5:$I$129="B")+(Plan!$I$5:$I$129="A+B"))*(Plan!$K$5:$K$129&lt;DL$5)*(Plan!$L$5:$L$129&gt;=DL$5))=0,"",INDEX(Plan!$A$5:$A$129,SUMPRODUCT(((Plan!$I$5:$I$129="B")+(Plan!$I$5:$I$129="A+B"))*(Plan!$K$5:$K$129&lt;DL$5)*(Plan!$L$5:$L$129&gt;=DL$5)*(ROW(Plan!$A$5:$A$129)-4))))</f>
        <v/>
      </c>
      <c r="DM7" s="26">
        <f>IF(SUMPRODUCT(((Plan!$I$5:$I$129="B")+(Plan!$I$5:$I$129="A+B"))*(Plan!$K$5:$K$129&lt;DM$5)*(Plan!$L$5:$L$129&gt;=DM$5))=0,"",INDEX(Plan!$A$5:$A$129,SUMPRODUCT(((Plan!$I$5:$I$129="B")+(Plan!$I$5:$I$129="A+B"))*(Plan!$K$5:$K$129&lt;DM$5)*(Plan!$L$5:$L$129&gt;=DM$5)*(ROW(Plan!$A$5:$A$129)-4))))</f>
        <v/>
      </c>
      <c r="DN7" s="26">
        <f>IF(SUMPRODUCT(((Plan!$I$5:$I$129="B")+(Plan!$I$5:$I$129="A+B"))*(Plan!$K$5:$K$129&lt;DN$5)*(Plan!$L$5:$L$129&gt;=DN$5))=0,"",INDEX(Plan!$A$5:$A$129,SUMPRODUCT(((Plan!$I$5:$I$129="B")+(Plan!$I$5:$I$129="A+B"))*(Plan!$K$5:$K$129&lt;DN$5)*(Plan!$L$5:$L$129&gt;=DN$5)*(ROW(Plan!$A$5:$A$129)-4))))</f>
        <v/>
      </c>
      <c r="DO7" s="26">
        <f>IF(SUMPRODUCT(((Plan!$I$5:$I$129="B")+(Plan!$I$5:$I$129="A+B"))*(Plan!$K$5:$K$129&lt;DO$5)*(Plan!$L$5:$L$129&gt;=DO$5))=0,"",INDEX(Plan!$A$5:$A$129,SUMPRODUCT(((Plan!$I$5:$I$129="B")+(Plan!$I$5:$I$129="A+B"))*(Plan!$K$5:$K$129&lt;DO$5)*(Plan!$L$5:$L$129&gt;=DO$5)*(ROW(Plan!$A$5:$A$129)-4))))</f>
        <v/>
      </c>
      <c r="DP7" s="26">
        <f>IF(SUMPRODUCT(((Plan!$I$5:$I$129="B")+(Plan!$I$5:$I$129="A+B"))*(Plan!$K$5:$K$129&lt;DP$5)*(Plan!$L$5:$L$129&gt;=DP$5))=0,"",INDEX(Plan!$A$5:$A$129,SUMPRODUCT(((Plan!$I$5:$I$129="B")+(Plan!$I$5:$I$129="A+B"))*(Plan!$K$5:$K$129&lt;DP$5)*(Plan!$L$5:$L$129&gt;=DP$5)*(ROW(Plan!$A$5:$A$129)-4))))</f>
        <v/>
      </c>
      <c r="DQ7" s="26">
        <f>IF(SUMPRODUCT(((Plan!$I$5:$I$129="B")+(Plan!$I$5:$I$129="A+B"))*(Plan!$K$5:$K$129&lt;DQ$5)*(Plan!$L$5:$L$129&gt;=DQ$5))=0,"",INDEX(Plan!$A$5:$A$129,SUMPRODUCT(((Plan!$I$5:$I$129="B")+(Plan!$I$5:$I$129="A+B"))*(Plan!$K$5:$K$129&lt;DQ$5)*(Plan!$L$5:$L$129&gt;=DQ$5)*(ROW(Plan!$A$5:$A$129)-4))))</f>
        <v/>
      </c>
      <c r="DR7" s="26">
        <f>IF(SUMPRODUCT(((Plan!$I$5:$I$129="B")+(Plan!$I$5:$I$129="A+B"))*(Plan!$K$5:$K$129&lt;DR$5)*(Plan!$L$5:$L$129&gt;=DR$5))=0,"",INDEX(Plan!$A$5:$A$129,SUMPRODUCT(((Plan!$I$5:$I$129="B")+(Plan!$I$5:$I$129="A+B"))*(Plan!$K$5:$K$129&lt;DR$5)*(Plan!$L$5:$L$129&gt;=DR$5)*(ROW(Plan!$A$5:$A$129)-4))))</f>
        <v/>
      </c>
      <c r="DS7" s="26">
        <f>IF(SUMPRODUCT(((Plan!$I$5:$I$129="B")+(Plan!$I$5:$I$129="A+B"))*(Plan!$K$5:$K$129&lt;DS$5)*(Plan!$L$5:$L$129&gt;=DS$5))=0,"",INDEX(Plan!$A$5:$A$129,SUMPRODUCT(((Plan!$I$5:$I$129="B")+(Plan!$I$5:$I$129="A+B"))*(Plan!$K$5:$K$129&lt;DS$5)*(Plan!$L$5:$L$129&gt;=DS$5)*(ROW(Plan!$A$5:$A$129)-4))))</f>
        <v/>
      </c>
      <c r="DT7" s="26">
        <f>IF(SUMPRODUCT(((Plan!$I$5:$I$129="B")+(Plan!$I$5:$I$129="A+B"))*(Plan!$K$5:$K$129&lt;DT$5)*(Plan!$L$5:$L$129&gt;=DT$5))=0,"",INDEX(Plan!$A$5:$A$129,SUMPRODUCT(((Plan!$I$5:$I$129="B")+(Plan!$I$5:$I$129="A+B"))*(Plan!$K$5:$K$129&lt;DT$5)*(Plan!$L$5:$L$129&gt;=DT$5)*(ROW(Plan!$A$5:$A$129)-4))))</f>
        <v/>
      </c>
      <c r="DU7" s="26">
        <f>IF(SUMPRODUCT(((Plan!$I$5:$I$129="B")+(Plan!$I$5:$I$129="A+B"))*(Plan!$K$5:$K$129&lt;DU$5)*(Plan!$L$5:$L$129&gt;=DU$5))=0,"",INDEX(Plan!$A$5:$A$129,SUMPRODUCT(((Plan!$I$5:$I$129="B")+(Plan!$I$5:$I$129="A+B"))*(Plan!$K$5:$K$129&lt;DU$5)*(Plan!$L$5:$L$129&gt;=DU$5)*(ROW(Plan!$A$5:$A$129)-4))))</f>
        <v/>
      </c>
      <c r="DV7" s="26">
        <f>IF(SUMPRODUCT(((Plan!$I$5:$I$129="B")+(Plan!$I$5:$I$129="A+B"))*(Plan!$K$5:$K$129&lt;DV$5)*(Plan!$L$5:$L$129&gt;=DV$5))=0,"",INDEX(Plan!$A$5:$A$129,SUMPRODUCT(((Plan!$I$5:$I$129="B")+(Plan!$I$5:$I$129="A+B"))*(Plan!$K$5:$K$129&lt;DV$5)*(Plan!$L$5:$L$129&gt;=DV$5)*(ROW(Plan!$A$5:$A$129)-4))))</f>
        <v/>
      </c>
      <c r="DW7" s="26">
        <f>IF(SUMPRODUCT(((Plan!$I$5:$I$129="B")+(Plan!$I$5:$I$129="A+B"))*(Plan!$K$5:$K$129&lt;DW$5)*(Plan!$L$5:$L$129&gt;=DW$5))=0,"",INDEX(Plan!$A$5:$A$129,SUMPRODUCT(((Plan!$I$5:$I$129="B")+(Plan!$I$5:$I$129="A+B"))*(Plan!$K$5:$K$129&lt;DW$5)*(Plan!$L$5:$L$129&gt;=DW$5)*(ROW(Plan!$A$5:$A$129)-4))))</f>
        <v/>
      </c>
      <c r="DX7" s="26">
        <f>IF(SUMPRODUCT(((Plan!$I$5:$I$129="B")+(Plan!$I$5:$I$129="A+B"))*(Plan!$K$5:$K$129&lt;DX$5)*(Plan!$L$5:$L$129&gt;=DX$5))=0,"",INDEX(Plan!$A$5:$A$129,SUMPRODUCT(((Plan!$I$5:$I$129="B")+(Plan!$I$5:$I$129="A+B"))*(Plan!$K$5:$K$129&lt;DX$5)*(Plan!$L$5:$L$129&gt;=DX$5)*(ROW(Plan!$A$5:$A$129)-4))))</f>
        <v/>
      </c>
      <c r="DY7" s="26">
        <f>IF(SUMPRODUCT(((Plan!$I$5:$I$129="B")+(Plan!$I$5:$I$129="A+B"))*(Plan!$K$5:$K$129&lt;DY$5)*(Plan!$L$5:$L$129&gt;=DY$5))=0,"",INDEX(Plan!$A$5:$A$129,SUMPRODUCT(((Plan!$I$5:$I$129="B")+(Plan!$I$5:$I$129="A+B"))*(Plan!$K$5:$K$129&lt;DY$5)*(Plan!$L$5:$L$129&gt;=DY$5)*(ROW(Plan!$A$5:$A$129)-4))))</f>
        <v/>
      </c>
      <c r="DZ7" s="26">
        <f>IF(SUMPRODUCT(((Plan!$I$5:$I$129="B")+(Plan!$I$5:$I$129="A+B"))*(Plan!$K$5:$K$129&lt;DZ$5)*(Plan!$L$5:$L$129&gt;=DZ$5))=0,"",INDEX(Plan!$A$5:$A$129,SUMPRODUCT(((Plan!$I$5:$I$129="B")+(Plan!$I$5:$I$129="A+B"))*(Plan!$K$5:$K$129&lt;DZ$5)*(Plan!$L$5:$L$129&gt;=DZ$5)*(ROW(Plan!$A$5:$A$129)-4))))</f>
        <v/>
      </c>
      <c r="EA7" s="26">
        <f>IF(SUMPRODUCT(((Plan!$I$5:$I$129="B")+(Plan!$I$5:$I$129="A+B"))*(Plan!$K$5:$K$129&lt;EA$5)*(Plan!$L$5:$L$129&gt;=EA$5))=0,"",INDEX(Plan!$A$5:$A$129,SUMPRODUCT(((Plan!$I$5:$I$129="B")+(Plan!$I$5:$I$129="A+B"))*(Plan!$K$5:$K$129&lt;EA$5)*(Plan!$L$5:$L$129&gt;=EA$5)*(ROW(Plan!$A$5:$A$129)-4))))</f>
        <v/>
      </c>
      <c r="EB7" s="26">
        <f>IF(SUMPRODUCT(((Plan!$I$5:$I$129="B")+(Plan!$I$5:$I$129="A+B"))*(Plan!$K$5:$K$129&lt;EB$5)*(Plan!$L$5:$L$129&gt;=EB$5))=0,"",INDEX(Plan!$A$5:$A$129,SUMPRODUCT(((Plan!$I$5:$I$129="B")+(Plan!$I$5:$I$129="A+B"))*(Plan!$K$5:$K$129&lt;EB$5)*(Plan!$L$5:$L$129&gt;=EB$5)*(ROW(Plan!$A$5:$A$129)-4))))</f>
        <v/>
      </c>
      <c r="EC7" s="26">
        <f>IF(SUMPRODUCT(((Plan!$I$5:$I$129="B")+(Plan!$I$5:$I$129="A+B"))*(Plan!$K$5:$K$129&lt;EC$5)*(Plan!$L$5:$L$129&gt;=EC$5))=0,"",INDEX(Plan!$A$5:$A$129,SUMPRODUCT(((Plan!$I$5:$I$129="B")+(Plan!$I$5:$I$129="A+B"))*(Plan!$K$5:$K$129&lt;EC$5)*(Plan!$L$5:$L$129&gt;=EC$5)*(ROW(Plan!$A$5:$A$129)-4))))</f>
        <v/>
      </c>
      <c r="ED7" s="26">
        <f>IF(SUMPRODUCT(((Plan!$I$5:$I$129="B")+(Plan!$I$5:$I$129="A+B"))*(Plan!$K$5:$K$129&lt;ED$5)*(Plan!$L$5:$L$129&gt;=ED$5))=0,"",INDEX(Plan!$A$5:$A$129,SUMPRODUCT(((Plan!$I$5:$I$129="B")+(Plan!$I$5:$I$129="A+B"))*(Plan!$K$5:$K$129&lt;ED$5)*(Plan!$L$5:$L$129&gt;=ED$5)*(ROW(Plan!$A$5:$A$129)-4))))</f>
        <v/>
      </c>
      <c r="EE7" s="26">
        <f>IF(SUMPRODUCT(((Plan!$I$5:$I$129="B")+(Plan!$I$5:$I$129="A+B"))*(Plan!$K$5:$K$129&lt;EE$5)*(Plan!$L$5:$L$129&gt;=EE$5))=0,"",INDEX(Plan!$A$5:$A$129,SUMPRODUCT(((Plan!$I$5:$I$129="B")+(Plan!$I$5:$I$129="A+B"))*(Plan!$K$5:$K$129&lt;EE$5)*(Plan!$L$5:$L$129&gt;=EE$5)*(ROW(Plan!$A$5:$A$129)-4))))</f>
        <v/>
      </c>
      <c r="EF7" s="26">
        <f>IF(SUMPRODUCT(((Plan!$I$5:$I$129="B")+(Plan!$I$5:$I$129="A+B"))*(Plan!$K$5:$K$129&lt;EF$5)*(Plan!$L$5:$L$129&gt;=EF$5))=0,"",INDEX(Plan!$A$5:$A$129,SUMPRODUCT(((Plan!$I$5:$I$129="B")+(Plan!$I$5:$I$129="A+B"))*(Plan!$K$5:$K$129&lt;EF$5)*(Plan!$L$5:$L$129&gt;=EF$5)*(ROW(Plan!$A$5:$A$129)-4))))</f>
        <v/>
      </c>
      <c r="EG7" s="26">
        <f>IF(SUMPRODUCT(((Plan!$I$5:$I$129="B")+(Plan!$I$5:$I$129="A+B"))*(Plan!$K$5:$K$129&lt;EG$5)*(Plan!$L$5:$L$129&gt;=EG$5))=0,"",INDEX(Plan!$A$5:$A$129,SUMPRODUCT(((Plan!$I$5:$I$129="B")+(Plan!$I$5:$I$129="A+B"))*(Plan!$K$5:$K$129&lt;EG$5)*(Plan!$L$5:$L$129&gt;=EG$5)*(ROW(Plan!$A$5:$A$129)-4))))</f>
        <v/>
      </c>
      <c r="EH7" s="26">
        <f>IF(SUMPRODUCT(((Plan!$I$5:$I$129="B")+(Plan!$I$5:$I$129="A+B"))*(Plan!$K$5:$K$129&lt;EH$5)*(Plan!$L$5:$L$129&gt;=EH$5))=0,"",INDEX(Plan!$A$5:$A$129,SUMPRODUCT(((Plan!$I$5:$I$129="B")+(Plan!$I$5:$I$129="A+B"))*(Plan!$K$5:$K$129&lt;EH$5)*(Plan!$L$5:$L$129&gt;=EH$5)*(ROW(Plan!$A$5:$A$129)-4))))</f>
        <v/>
      </c>
      <c r="EI7" s="26">
        <f>IF(SUMPRODUCT(((Plan!$I$5:$I$129="B")+(Plan!$I$5:$I$129="A+B"))*(Plan!$K$5:$K$129&lt;EI$5)*(Plan!$L$5:$L$129&gt;=EI$5))=0,"",INDEX(Plan!$A$5:$A$129,SUMPRODUCT(((Plan!$I$5:$I$129="B")+(Plan!$I$5:$I$129="A+B"))*(Plan!$K$5:$K$129&lt;EI$5)*(Plan!$L$5:$L$129&gt;=EI$5)*(ROW(Plan!$A$5:$A$129)-4))))</f>
        <v/>
      </c>
      <c r="EJ7" s="26">
        <f>IF(SUMPRODUCT(((Plan!$I$5:$I$129="B")+(Plan!$I$5:$I$129="A+B"))*(Plan!$K$5:$K$129&lt;EJ$5)*(Plan!$L$5:$L$129&gt;=EJ$5))=0,"",INDEX(Plan!$A$5:$A$129,SUMPRODUCT(((Plan!$I$5:$I$129="B")+(Plan!$I$5:$I$129="A+B"))*(Plan!$K$5:$K$129&lt;EJ$5)*(Plan!$L$5:$L$129&gt;=EJ$5)*(ROW(Plan!$A$5:$A$129)-4))))</f>
        <v/>
      </c>
      <c r="EK7" s="26">
        <f>IF(SUMPRODUCT(((Plan!$I$5:$I$129="B")+(Plan!$I$5:$I$129="A+B"))*(Plan!$K$5:$K$129&lt;EK$5)*(Plan!$L$5:$L$129&gt;=EK$5))=0,"",INDEX(Plan!$A$5:$A$129,SUMPRODUCT(((Plan!$I$5:$I$129="B")+(Plan!$I$5:$I$129="A+B"))*(Plan!$K$5:$K$129&lt;EK$5)*(Plan!$L$5:$L$129&gt;=EK$5)*(ROW(Plan!$A$5:$A$129)-4))))</f>
        <v/>
      </c>
      <c r="EL7" s="26">
        <f>IF(SUMPRODUCT(((Plan!$I$5:$I$129="B")+(Plan!$I$5:$I$129="A+B"))*(Plan!$K$5:$K$129&lt;EL$5)*(Plan!$L$5:$L$129&gt;=EL$5))=0,"",INDEX(Plan!$A$5:$A$129,SUMPRODUCT(((Plan!$I$5:$I$129="B")+(Plan!$I$5:$I$129="A+B"))*(Plan!$K$5:$K$129&lt;EL$5)*(Plan!$L$5:$L$129&gt;=EL$5)*(ROW(Plan!$A$5:$A$129)-4))))</f>
        <v/>
      </c>
      <c r="EM7" s="26">
        <f>IF(SUMPRODUCT(((Plan!$I$5:$I$129="B")+(Plan!$I$5:$I$129="A+B"))*(Plan!$K$5:$K$129&lt;EM$5)*(Plan!$L$5:$L$129&gt;=EM$5))=0,"",INDEX(Plan!$A$5:$A$129,SUMPRODUCT(((Plan!$I$5:$I$129="B")+(Plan!$I$5:$I$129="A+B"))*(Plan!$K$5:$K$129&lt;EM$5)*(Plan!$L$5:$L$129&gt;=EM$5)*(ROW(Plan!$A$5:$A$129)-4))))</f>
        <v/>
      </c>
      <c r="EN7" s="26">
        <f>IF(SUMPRODUCT(((Plan!$I$5:$I$129="B")+(Plan!$I$5:$I$129="A+B"))*(Plan!$K$5:$K$129&lt;EN$5)*(Plan!$L$5:$L$129&gt;=EN$5))=0,"",INDEX(Plan!$A$5:$A$129,SUMPRODUCT(((Plan!$I$5:$I$129="B")+(Plan!$I$5:$I$129="A+B"))*(Plan!$K$5:$K$129&lt;EN$5)*(Plan!$L$5:$L$129&gt;=EN$5)*(ROW(Plan!$A$5:$A$129)-4))))</f>
        <v/>
      </c>
      <c r="EO7" s="26">
        <f>IF(SUMPRODUCT(((Plan!$I$5:$I$129="B")+(Plan!$I$5:$I$129="A+B"))*(Plan!$K$5:$K$129&lt;EO$5)*(Plan!$L$5:$L$129&gt;=EO$5))=0,"",INDEX(Plan!$A$5:$A$129,SUMPRODUCT(((Plan!$I$5:$I$129="B")+(Plan!$I$5:$I$129="A+B"))*(Plan!$K$5:$K$129&lt;EO$5)*(Plan!$L$5:$L$129&gt;=EO$5)*(ROW(Plan!$A$5:$A$129)-4))))</f>
        <v/>
      </c>
      <c r="EP7" s="26">
        <f>IF(SUMPRODUCT(((Plan!$I$5:$I$129="B")+(Plan!$I$5:$I$129="A+B"))*(Plan!$K$5:$K$129&lt;EP$5)*(Plan!$L$5:$L$129&gt;=EP$5))=0,"",INDEX(Plan!$A$5:$A$129,SUMPRODUCT(((Plan!$I$5:$I$129="B")+(Plan!$I$5:$I$129="A+B"))*(Plan!$K$5:$K$129&lt;EP$5)*(Plan!$L$5:$L$129&gt;=EP$5)*(ROW(Plan!$A$5:$A$129)-4))))</f>
        <v/>
      </c>
      <c r="EQ7" s="26">
        <f>IF(SUMPRODUCT(((Plan!$I$5:$I$129="B")+(Plan!$I$5:$I$129="A+B"))*(Plan!$K$5:$K$129&lt;EQ$5)*(Plan!$L$5:$L$129&gt;=EQ$5))=0,"",INDEX(Plan!$A$5:$A$129,SUMPRODUCT(((Plan!$I$5:$I$129="B")+(Plan!$I$5:$I$129="A+B"))*(Plan!$K$5:$K$129&lt;EQ$5)*(Plan!$L$5:$L$129&gt;=EQ$5)*(ROW(Plan!$A$5:$A$129)-4))))</f>
        <v/>
      </c>
      <c r="ER7" s="26">
        <f>IF(SUMPRODUCT(((Plan!$I$5:$I$129="B")+(Plan!$I$5:$I$129="A+B"))*(Plan!$K$5:$K$129&lt;ER$5)*(Plan!$L$5:$L$129&gt;=ER$5))=0,"",INDEX(Plan!$A$5:$A$129,SUMPRODUCT(((Plan!$I$5:$I$129="B")+(Plan!$I$5:$I$129="A+B"))*(Plan!$K$5:$K$129&lt;ER$5)*(Plan!$L$5:$L$129&gt;=ER$5)*(ROW(Plan!$A$5:$A$129)-4))))</f>
        <v/>
      </c>
      <c r="ES7" s="26">
        <f>IF(SUMPRODUCT(((Plan!$I$5:$I$129="B")+(Plan!$I$5:$I$129="A+B"))*(Plan!$K$5:$K$129&lt;ES$5)*(Plan!$L$5:$L$129&gt;=ES$5))=0,"",INDEX(Plan!$A$5:$A$129,SUMPRODUCT(((Plan!$I$5:$I$129="B")+(Plan!$I$5:$I$129="A+B"))*(Plan!$K$5:$K$129&lt;ES$5)*(Plan!$L$5:$L$129&gt;=ES$5)*(ROW(Plan!$A$5:$A$129)-4))))</f>
        <v/>
      </c>
      <c r="ET7" s="26">
        <f>IF(SUMPRODUCT(((Plan!$I$5:$I$129="B")+(Plan!$I$5:$I$129="A+B"))*(Plan!$K$5:$K$129&lt;ET$5)*(Plan!$L$5:$L$129&gt;=ET$5))=0,"",INDEX(Plan!$A$5:$A$129,SUMPRODUCT(((Plan!$I$5:$I$129="B")+(Plan!$I$5:$I$129="A+B"))*(Plan!$K$5:$K$129&lt;ET$5)*(Plan!$L$5:$L$129&gt;=ET$5)*(ROW(Plan!$A$5:$A$129)-4))))</f>
        <v/>
      </c>
      <c r="EU7" s="26">
        <f>IF(SUMPRODUCT(((Plan!$I$5:$I$129="B")+(Plan!$I$5:$I$129="A+B"))*(Plan!$K$5:$K$129&lt;EU$5)*(Plan!$L$5:$L$129&gt;=EU$5))=0,"",INDEX(Plan!$A$5:$A$129,SUMPRODUCT(((Plan!$I$5:$I$129="B")+(Plan!$I$5:$I$129="A+B"))*(Plan!$K$5:$K$129&lt;EU$5)*(Plan!$L$5:$L$129&gt;=EU$5)*(ROW(Plan!$A$5:$A$129)-4))))</f>
        <v/>
      </c>
      <c r="EV7" s="26">
        <f>IF(SUMPRODUCT(((Plan!$I$5:$I$129="B")+(Plan!$I$5:$I$129="A+B"))*(Plan!$K$5:$K$129&lt;EV$5)*(Plan!$L$5:$L$129&gt;=EV$5))=0,"",INDEX(Plan!$A$5:$A$129,SUMPRODUCT(((Plan!$I$5:$I$129="B")+(Plan!$I$5:$I$129="A+B"))*(Plan!$K$5:$K$129&lt;EV$5)*(Plan!$L$5:$L$129&gt;=EV$5)*(ROW(Plan!$A$5:$A$129)-4))))</f>
        <v/>
      </c>
      <c r="EW7" s="26">
        <f>IF(SUMPRODUCT(((Plan!$I$5:$I$129="B")+(Plan!$I$5:$I$129="A+B"))*(Plan!$K$5:$K$129&lt;EW$5)*(Plan!$L$5:$L$129&gt;=EW$5))=0,"",INDEX(Plan!$A$5:$A$129,SUMPRODUCT(((Plan!$I$5:$I$129="B")+(Plan!$I$5:$I$129="A+B"))*(Plan!$K$5:$K$129&lt;EW$5)*(Plan!$L$5:$L$129&gt;=EW$5)*(ROW(Plan!$A$5:$A$129)-4))))</f>
        <v/>
      </c>
      <c r="EX7" s="26">
        <f>IF(SUMPRODUCT(((Plan!$I$5:$I$129="B")+(Plan!$I$5:$I$129="A+B"))*(Plan!$K$5:$K$129&lt;EX$5)*(Plan!$L$5:$L$129&gt;=EX$5))=0,"",INDEX(Plan!$A$5:$A$129,SUMPRODUCT(((Plan!$I$5:$I$129="B")+(Plan!$I$5:$I$129="A+B"))*(Plan!$K$5:$K$129&lt;EX$5)*(Plan!$L$5:$L$129&gt;=EX$5)*(ROW(Plan!$A$5:$A$129)-4))))</f>
        <v/>
      </c>
      <c r="EY7" s="26">
        <f>IF(SUMPRODUCT(((Plan!$I$5:$I$129="B")+(Plan!$I$5:$I$129="A+B"))*(Plan!$K$5:$K$129&lt;EY$5)*(Plan!$L$5:$L$129&gt;=EY$5))=0,"",INDEX(Plan!$A$5:$A$129,SUMPRODUCT(((Plan!$I$5:$I$129="B")+(Plan!$I$5:$I$129="A+B"))*(Plan!$K$5:$K$129&lt;EY$5)*(Plan!$L$5:$L$129&gt;=EY$5)*(ROW(Plan!$A$5:$A$129)-4))))</f>
        <v/>
      </c>
      <c r="EZ7" s="26">
        <f>IF(SUMPRODUCT(((Plan!$I$5:$I$129="B")+(Plan!$I$5:$I$129="A+B"))*(Plan!$K$5:$K$129&lt;EZ$5)*(Plan!$L$5:$L$129&gt;=EZ$5))=0,"",INDEX(Plan!$A$5:$A$129,SUMPRODUCT(((Plan!$I$5:$I$129="B")+(Plan!$I$5:$I$129="A+B"))*(Plan!$K$5:$K$129&lt;EZ$5)*(Plan!$L$5:$L$129&gt;=EZ$5)*(ROW(Plan!$A$5:$A$129)-4))))</f>
        <v/>
      </c>
      <c r="FA7" s="26">
        <f>IF(SUMPRODUCT(((Plan!$I$5:$I$129="B")+(Plan!$I$5:$I$129="A+B"))*(Plan!$K$5:$K$129&lt;FA$5)*(Plan!$L$5:$L$129&gt;=FA$5))=0,"",INDEX(Plan!$A$5:$A$129,SUMPRODUCT(((Plan!$I$5:$I$129="B")+(Plan!$I$5:$I$129="A+B"))*(Plan!$K$5:$K$129&lt;FA$5)*(Plan!$L$5:$L$129&gt;=FA$5)*(ROW(Plan!$A$5:$A$129)-4))))</f>
        <v/>
      </c>
    </row>
    <row r="8"/>
    <row r="9">
      <c r="A9" s="27" t="inlineStr">
        <is>
          <t>Fase 1. Diseño y arquitectura</t>
        </is>
      </c>
      <c r="B9" s="28" t="n"/>
      <c r="C9" s="28" t="n"/>
      <c r="D9" s="28" t="n"/>
      <c r="E9" s="29">
        <f>SUMPRODUCT(MIN((Plan!$B$5:$B$129="1. Diseño y arquitectura")*Plan!$K$5:$K$129+(Plan!$B$5:$B$129&lt;&gt;"1. Diseño y arquitectura")*1E9))</f>
        <v/>
      </c>
      <c r="F9" s="29">
        <f>SUMPRODUCT(MAX((Plan!$B$5:$B$129="1. Diseño y arquitectura")*Plan!$L$5:$L$129))</f>
        <v/>
      </c>
      <c r="G9" s="30">
        <f>Resumen!E29</f>
        <v/>
      </c>
      <c r="H9" s="31" t="n"/>
      <c r="I9" s="31" t="n"/>
      <c r="J9" s="31" t="n"/>
      <c r="K9" s="31" t="n"/>
      <c r="L9" s="31" t="n"/>
      <c r="M9" s="31" t="n"/>
      <c r="N9" s="31" t="n"/>
      <c r="O9" s="31" t="n"/>
      <c r="P9" s="31" t="n"/>
      <c r="Q9" s="31" t="n"/>
      <c r="R9" s="31" t="n"/>
      <c r="S9" s="31" t="n"/>
      <c r="T9" s="31" t="n"/>
      <c r="U9" s="31" t="n"/>
      <c r="V9" s="31" t="n"/>
      <c r="W9" s="31" t="n"/>
      <c r="X9" s="31" t="n"/>
      <c r="Y9" s="31" t="n"/>
      <c r="Z9" s="31" t="n"/>
      <c r="AA9" s="31" t="n"/>
      <c r="AB9" s="31" t="n"/>
      <c r="AC9" s="31" t="n"/>
      <c r="AD9" s="31" t="n"/>
      <c r="AE9" s="31" t="n"/>
      <c r="AF9" s="31" t="n"/>
      <c r="AG9" s="31" t="n"/>
      <c r="AH9" s="31" t="n"/>
      <c r="AI9" s="31" t="n"/>
      <c r="AJ9" s="31" t="n"/>
      <c r="AK9" s="31" t="n"/>
      <c r="AL9" s="31" t="n"/>
      <c r="AM9" s="31" t="n"/>
      <c r="AN9" s="31" t="n"/>
      <c r="AO9" s="31" t="n"/>
      <c r="AP9" s="31" t="n"/>
      <c r="AQ9" s="31" t="n"/>
      <c r="AR9" s="31" t="n"/>
      <c r="AS9" s="31" t="n"/>
      <c r="AT9" s="31" t="n"/>
      <c r="AU9" s="31" t="n"/>
      <c r="AV9" s="31" t="n"/>
      <c r="AW9" s="31" t="n"/>
      <c r="AX9" s="31" t="n"/>
      <c r="AY9" s="31" t="n"/>
      <c r="AZ9" s="31" t="n"/>
      <c r="BA9" s="31" t="n"/>
      <c r="BB9" s="31" t="n"/>
      <c r="BC9" s="31" t="n"/>
      <c r="BD9" s="31" t="n"/>
      <c r="BE9" s="31" t="n"/>
      <c r="BF9" s="31" t="n"/>
      <c r="BG9" s="31" t="n"/>
      <c r="BH9" s="31" t="n"/>
      <c r="BI9" s="31" t="n"/>
      <c r="BJ9" s="31" t="n"/>
      <c r="BK9" s="31" t="n"/>
      <c r="BL9" s="31" t="n"/>
      <c r="BM9" s="31" t="n"/>
      <c r="BN9" s="31" t="n"/>
      <c r="BO9" s="31" t="n"/>
      <c r="BP9" s="31" t="n"/>
      <c r="BQ9" s="31" t="n"/>
      <c r="BR9" s="31" t="n"/>
      <c r="BS9" s="31" t="n"/>
      <c r="BT9" s="31" t="n"/>
      <c r="BU9" s="31" t="n"/>
      <c r="BV9" s="31" t="n"/>
      <c r="BW9" s="31" t="n"/>
      <c r="BX9" s="31" t="n"/>
      <c r="BY9" s="31" t="n"/>
      <c r="BZ9" s="31" t="n"/>
      <c r="CA9" s="31" t="n"/>
      <c r="CB9" s="31" t="n"/>
      <c r="CC9" s="31" t="n"/>
      <c r="CD9" s="31" t="n"/>
      <c r="CE9" s="31" t="n"/>
      <c r="CF9" s="31" t="n"/>
      <c r="CG9" s="31" t="n"/>
      <c r="CH9" s="31" t="n"/>
      <c r="CI9" s="31" t="n"/>
      <c r="CJ9" s="31" t="n"/>
      <c r="CK9" s="31" t="n"/>
      <c r="CL9" s="31" t="n"/>
      <c r="CM9" s="31" t="n"/>
      <c r="CN9" s="31" t="n"/>
      <c r="CO9" s="31" t="n"/>
      <c r="CP9" s="31" t="n"/>
      <c r="CQ9" s="31" t="n"/>
      <c r="CR9" s="31" t="n"/>
      <c r="CS9" s="31" t="n"/>
      <c r="CT9" s="31" t="n"/>
      <c r="CU9" s="31" t="n"/>
      <c r="CV9" s="31" t="n"/>
      <c r="CW9" s="31" t="n"/>
      <c r="CX9" s="31" t="n"/>
      <c r="CY9" s="31" t="n"/>
      <c r="CZ9" s="31" t="n"/>
      <c r="DA9" s="31" t="n"/>
      <c r="DB9" s="31" t="n"/>
      <c r="DC9" s="31" t="n"/>
      <c r="DD9" s="31" t="n"/>
      <c r="DE9" s="31" t="n"/>
      <c r="DF9" s="31" t="n"/>
      <c r="DG9" s="31" t="n"/>
      <c r="DH9" s="31" t="n"/>
      <c r="DI9" s="31" t="n"/>
      <c r="DJ9" s="31" t="n"/>
      <c r="DK9" s="31" t="n"/>
      <c r="DL9" s="31" t="n"/>
      <c r="DM9" s="31" t="n"/>
      <c r="DN9" s="31" t="n"/>
      <c r="DO9" s="31" t="n"/>
      <c r="DP9" s="31" t="n"/>
      <c r="DQ9" s="31" t="n"/>
      <c r="DR9" s="31" t="n"/>
      <c r="DS9" s="31" t="n"/>
      <c r="DT9" s="31" t="n"/>
      <c r="DU9" s="31" t="n"/>
      <c r="DV9" s="31" t="n"/>
      <c r="DW9" s="31" t="n"/>
      <c r="DX9" s="31" t="n"/>
      <c r="DY9" s="31" t="n"/>
      <c r="DZ9" s="31" t="n"/>
      <c r="EA9" s="31" t="n"/>
      <c r="EB9" s="31" t="n"/>
      <c r="EC9" s="31" t="n"/>
      <c r="ED9" s="31" t="n"/>
      <c r="EE9" s="31" t="n"/>
      <c r="EF9" s="31" t="n"/>
      <c r="EG9" s="31" t="n"/>
      <c r="EH9" s="31" t="n"/>
      <c r="EI9" s="31" t="n"/>
      <c r="EJ9" s="31" t="n"/>
      <c r="EK9" s="31" t="n"/>
      <c r="EL9" s="31" t="n"/>
      <c r="EM9" s="31" t="n"/>
      <c r="EN9" s="31" t="n"/>
      <c r="EO9" s="31" t="n"/>
      <c r="EP9" s="31" t="n"/>
      <c r="EQ9" s="31" t="n"/>
      <c r="ER9" s="31" t="n"/>
      <c r="ES9" s="31" t="n"/>
      <c r="ET9" s="31" t="n"/>
      <c r="EU9" s="31" t="n"/>
      <c r="EV9" s="31" t="n"/>
      <c r="EW9" s="31" t="n"/>
      <c r="EX9" s="31" t="n"/>
      <c r="EY9" s="31" t="n"/>
      <c r="EZ9" s="31" t="n"/>
      <c r="FA9" s="31" t="n"/>
    </row>
    <row r="10">
      <c r="A10" s="32">
        <f>Plan!A5</f>
        <v/>
      </c>
      <c r="B10" s="33">
        <f>Plan!C5</f>
        <v/>
      </c>
      <c r="C10" s="16">
        <f>Plan!D5</f>
        <v/>
      </c>
      <c r="D10" s="16">
        <f>Plan!I5</f>
        <v/>
      </c>
      <c r="E10" s="16">
        <f>Plan!K5</f>
        <v/>
      </c>
      <c r="F10" s="16">
        <f>Plan!L5</f>
        <v/>
      </c>
      <c r="G10" s="16">
        <f>Plan!O5</f>
        <v/>
      </c>
      <c r="H10" s="34">
        <f>IF(AND(H$5&gt;$E10,H$5&lt;=$F10),IF(H$5=$E10+1,$C10,""),"")</f>
        <v/>
      </c>
      <c r="I10" s="34">
        <f>IF(AND(I$5&gt;$E10,I$5&lt;=$F10),IF(I$5=$E10+1,$C10,""),"")</f>
        <v/>
      </c>
      <c r="J10" s="34">
        <f>IF(AND(J$5&gt;$E10,J$5&lt;=$F10),IF(J$5=$E10+1,$C10,""),"")</f>
        <v/>
      </c>
      <c r="K10" s="34">
        <f>IF(AND(K$5&gt;$E10,K$5&lt;=$F10),IF(K$5=$E10+1,$C10,""),"")</f>
        <v/>
      </c>
      <c r="L10" s="34">
        <f>IF(AND(L$5&gt;$E10,L$5&lt;=$F10),IF(L$5=$E10+1,$C10,""),"")</f>
        <v/>
      </c>
      <c r="M10" s="34">
        <f>IF(AND(M$5&gt;$E10,M$5&lt;=$F10),IF(M$5=$E10+1,$C10,""),"")</f>
        <v/>
      </c>
      <c r="N10" s="34">
        <f>IF(AND(N$5&gt;$E10,N$5&lt;=$F10),IF(N$5=$E10+1,$C10,""),"")</f>
        <v/>
      </c>
      <c r="O10" s="34">
        <f>IF(AND(O$5&gt;$E10,O$5&lt;=$F10),IF(O$5=$E10+1,$C10,""),"")</f>
        <v/>
      </c>
      <c r="P10" s="34">
        <f>IF(AND(P$5&gt;$E10,P$5&lt;=$F10),IF(P$5=$E10+1,$C10,""),"")</f>
        <v/>
      </c>
      <c r="Q10" s="34">
        <f>IF(AND(Q$5&gt;$E10,Q$5&lt;=$F10),IF(Q$5=$E10+1,$C10,""),"")</f>
        <v/>
      </c>
      <c r="R10" s="34">
        <f>IF(AND(R$5&gt;$E10,R$5&lt;=$F10),IF(R$5=$E10+1,$C10,""),"")</f>
        <v/>
      </c>
      <c r="S10" s="34">
        <f>IF(AND(S$5&gt;$E10,S$5&lt;=$F10),IF(S$5=$E10+1,$C10,""),"")</f>
        <v/>
      </c>
      <c r="T10" s="34">
        <f>IF(AND(T$5&gt;$E10,T$5&lt;=$F10),IF(T$5=$E10+1,$C10,""),"")</f>
        <v/>
      </c>
      <c r="U10" s="34">
        <f>IF(AND(U$5&gt;$E10,U$5&lt;=$F10),IF(U$5=$E10+1,$C10,""),"")</f>
        <v/>
      </c>
      <c r="V10" s="34">
        <f>IF(AND(V$5&gt;$E10,V$5&lt;=$F10),IF(V$5=$E10+1,$C10,""),"")</f>
        <v/>
      </c>
      <c r="W10" s="34">
        <f>IF(AND(W$5&gt;$E10,W$5&lt;=$F10),IF(W$5=$E10+1,$C10,""),"")</f>
        <v/>
      </c>
      <c r="X10" s="34">
        <f>IF(AND(X$5&gt;$E10,X$5&lt;=$F10),IF(X$5=$E10+1,$C10,""),"")</f>
        <v/>
      </c>
      <c r="Y10" s="34">
        <f>IF(AND(Y$5&gt;$E10,Y$5&lt;=$F10),IF(Y$5=$E10+1,$C10,""),"")</f>
        <v/>
      </c>
      <c r="Z10" s="34">
        <f>IF(AND(Z$5&gt;$E10,Z$5&lt;=$F10),IF(Z$5=$E10+1,$C10,""),"")</f>
        <v/>
      </c>
      <c r="AA10" s="34">
        <f>IF(AND(AA$5&gt;$E10,AA$5&lt;=$F10),IF(AA$5=$E10+1,$C10,""),"")</f>
        <v/>
      </c>
      <c r="AB10" s="34">
        <f>IF(AND(AB$5&gt;$E10,AB$5&lt;=$F10),IF(AB$5=$E10+1,$C10,""),"")</f>
        <v/>
      </c>
      <c r="AC10" s="34">
        <f>IF(AND(AC$5&gt;$E10,AC$5&lt;=$F10),IF(AC$5=$E10+1,$C10,""),"")</f>
        <v/>
      </c>
      <c r="AD10" s="34">
        <f>IF(AND(AD$5&gt;$E10,AD$5&lt;=$F10),IF(AD$5=$E10+1,$C10,""),"")</f>
        <v/>
      </c>
      <c r="AE10" s="34">
        <f>IF(AND(AE$5&gt;$E10,AE$5&lt;=$F10),IF(AE$5=$E10+1,$C10,""),"")</f>
        <v/>
      </c>
      <c r="AF10" s="34">
        <f>IF(AND(AF$5&gt;$E10,AF$5&lt;=$F10),IF(AF$5=$E10+1,$C10,""),"")</f>
        <v/>
      </c>
      <c r="AG10" s="34">
        <f>IF(AND(AG$5&gt;$E10,AG$5&lt;=$F10),IF(AG$5=$E10+1,$C10,""),"")</f>
        <v/>
      </c>
      <c r="AH10" s="34">
        <f>IF(AND(AH$5&gt;$E10,AH$5&lt;=$F10),IF(AH$5=$E10+1,$C10,""),"")</f>
        <v/>
      </c>
      <c r="AI10" s="34">
        <f>IF(AND(AI$5&gt;$E10,AI$5&lt;=$F10),IF(AI$5=$E10+1,$C10,""),"")</f>
        <v/>
      </c>
      <c r="AJ10" s="34">
        <f>IF(AND(AJ$5&gt;$E10,AJ$5&lt;=$F10),IF(AJ$5=$E10+1,$C10,""),"")</f>
        <v/>
      </c>
      <c r="AK10" s="34">
        <f>IF(AND(AK$5&gt;$E10,AK$5&lt;=$F10),IF(AK$5=$E10+1,$C10,""),"")</f>
        <v/>
      </c>
      <c r="AL10" s="34">
        <f>IF(AND(AL$5&gt;$E10,AL$5&lt;=$F10),IF(AL$5=$E10+1,$C10,""),"")</f>
        <v/>
      </c>
      <c r="AM10" s="34">
        <f>IF(AND(AM$5&gt;$E10,AM$5&lt;=$F10),IF(AM$5=$E10+1,$C10,""),"")</f>
        <v/>
      </c>
      <c r="AN10" s="34">
        <f>IF(AND(AN$5&gt;$E10,AN$5&lt;=$F10),IF(AN$5=$E10+1,$C10,""),"")</f>
        <v/>
      </c>
      <c r="AO10" s="34">
        <f>IF(AND(AO$5&gt;$E10,AO$5&lt;=$F10),IF(AO$5=$E10+1,$C10,""),"")</f>
        <v/>
      </c>
      <c r="AP10" s="34">
        <f>IF(AND(AP$5&gt;$E10,AP$5&lt;=$F10),IF(AP$5=$E10+1,$C10,""),"")</f>
        <v/>
      </c>
      <c r="AQ10" s="34">
        <f>IF(AND(AQ$5&gt;$E10,AQ$5&lt;=$F10),IF(AQ$5=$E10+1,$C10,""),"")</f>
        <v/>
      </c>
      <c r="AR10" s="34">
        <f>IF(AND(AR$5&gt;$E10,AR$5&lt;=$F10),IF(AR$5=$E10+1,$C10,""),"")</f>
        <v/>
      </c>
      <c r="AS10" s="34">
        <f>IF(AND(AS$5&gt;$E10,AS$5&lt;=$F10),IF(AS$5=$E10+1,$C10,""),"")</f>
        <v/>
      </c>
      <c r="AT10" s="34">
        <f>IF(AND(AT$5&gt;$E10,AT$5&lt;=$F10),IF(AT$5=$E10+1,$C10,""),"")</f>
        <v/>
      </c>
      <c r="AU10" s="34">
        <f>IF(AND(AU$5&gt;$E10,AU$5&lt;=$F10),IF(AU$5=$E10+1,$C10,""),"")</f>
        <v/>
      </c>
      <c r="AV10" s="34">
        <f>IF(AND(AV$5&gt;$E10,AV$5&lt;=$F10),IF(AV$5=$E10+1,$C10,""),"")</f>
        <v/>
      </c>
      <c r="AW10" s="34">
        <f>IF(AND(AW$5&gt;$E10,AW$5&lt;=$F10),IF(AW$5=$E10+1,$C10,""),"")</f>
        <v/>
      </c>
      <c r="AX10" s="34">
        <f>IF(AND(AX$5&gt;$E10,AX$5&lt;=$F10),IF(AX$5=$E10+1,$C10,""),"")</f>
        <v/>
      </c>
      <c r="AY10" s="34">
        <f>IF(AND(AY$5&gt;$E10,AY$5&lt;=$F10),IF(AY$5=$E10+1,$C10,""),"")</f>
        <v/>
      </c>
      <c r="AZ10" s="34">
        <f>IF(AND(AZ$5&gt;$E10,AZ$5&lt;=$F10),IF(AZ$5=$E10+1,$C10,""),"")</f>
        <v/>
      </c>
      <c r="BA10" s="34">
        <f>IF(AND(BA$5&gt;$E10,BA$5&lt;=$F10),IF(BA$5=$E10+1,$C10,""),"")</f>
        <v/>
      </c>
      <c r="BB10" s="34">
        <f>IF(AND(BB$5&gt;$E10,BB$5&lt;=$F10),IF(BB$5=$E10+1,$C10,""),"")</f>
        <v/>
      </c>
      <c r="BC10" s="34">
        <f>IF(AND(BC$5&gt;$E10,BC$5&lt;=$F10),IF(BC$5=$E10+1,$C10,""),"")</f>
        <v/>
      </c>
      <c r="BD10" s="34">
        <f>IF(AND(BD$5&gt;$E10,BD$5&lt;=$F10),IF(BD$5=$E10+1,$C10,""),"")</f>
        <v/>
      </c>
      <c r="BE10" s="34">
        <f>IF(AND(BE$5&gt;$E10,BE$5&lt;=$F10),IF(BE$5=$E10+1,$C10,""),"")</f>
        <v/>
      </c>
      <c r="BF10" s="34">
        <f>IF(AND(BF$5&gt;$E10,BF$5&lt;=$F10),IF(BF$5=$E10+1,$C10,""),"")</f>
        <v/>
      </c>
      <c r="BG10" s="34">
        <f>IF(AND(BG$5&gt;$E10,BG$5&lt;=$F10),IF(BG$5=$E10+1,$C10,""),"")</f>
        <v/>
      </c>
      <c r="BH10" s="34">
        <f>IF(AND(BH$5&gt;$E10,BH$5&lt;=$F10),IF(BH$5=$E10+1,$C10,""),"")</f>
        <v/>
      </c>
      <c r="BI10" s="34">
        <f>IF(AND(BI$5&gt;$E10,BI$5&lt;=$F10),IF(BI$5=$E10+1,$C10,""),"")</f>
        <v/>
      </c>
      <c r="BJ10" s="34">
        <f>IF(AND(BJ$5&gt;$E10,BJ$5&lt;=$F10),IF(BJ$5=$E10+1,$C10,""),"")</f>
        <v/>
      </c>
      <c r="BK10" s="34">
        <f>IF(AND(BK$5&gt;$E10,BK$5&lt;=$F10),IF(BK$5=$E10+1,$C10,""),"")</f>
        <v/>
      </c>
      <c r="BL10" s="34">
        <f>IF(AND(BL$5&gt;$E10,BL$5&lt;=$F10),IF(BL$5=$E10+1,$C10,""),"")</f>
        <v/>
      </c>
      <c r="BM10" s="34">
        <f>IF(AND(BM$5&gt;$E10,BM$5&lt;=$F10),IF(BM$5=$E10+1,$C10,""),"")</f>
        <v/>
      </c>
      <c r="BN10" s="34">
        <f>IF(AND(BN$5&gt;$E10,BN$5&lt;=$F10),IF(BN$5=$E10+1,$C10,""),"")</f>
        <v/>
      </c>
      <c r="BO10" s="34">
        <f>IF(AND(BO$5&gt;$E10,BO$5&lt;=$F10),IF(BO$5=$E10+1,$C10,""),"")</f>
        <v/>
      </c>
      <c r="BP10" s="34">
        <f>IF(AND(BP$5&gt;$E10,BP$5&lt;=$F10),IF(BP$5=$E10+1,$C10,""),"")</f>
        <v/>
      </c>
      <c r="BQ10" s="34">
        <f>IF(AND(BQ$5&gt;$E10,BQ$5&lt;=$F10),IF(BQ$5=$E10+1,$C10,""),"")</f>
        <v/>
      </c>
      <c r="BR10" s="34">
        <f>IF(AND(BR$5&gt;$E10,BR$5&lt;=$F10),IF(BR$5=$E10+1,$C10,""),"")</f>
        <v/>
      </c>
      <c r="BS10" s="34">
        <f>IF(AND(BS$5&gt;$E10,BS$5&lt;=$F10),IF(BS$5=$E10+1,$C10,""),"")</f>
        <v/>
      </c>
      <c r="BT10" s="34">
        <f>IF(AND(BT$5&gt;$E10,BT$5&lt;=$F10),IF(BT$5=$E10+1,$C10,""),"")</f>
        <v/>
      </c>
      <c r="BU10" s="34">
        <f>IF(AND(BU$5&gt;$E10,BU$5&lt;=$F10),IF(BU$5=$E10+1,$C10,""),"")</f>
        <v/>
      </c>
      <c r="BV10" s="34">
        <f>IF(AND(BV$5&gt;$E10,BV$5&lt;=$F10),IF(BV$5=$E10+1,$C10,""),"")</f>
        <v/>
      </c>
      <c r="BW10" s="34">
        <f>IF(AND(BW$5&gt;$E10,BW$5&lt;=$F10),IF(BW$5=$E10+1,$C10,""),"")</f>
        <v/>
      </c>
      <c r="BX10" s="34">
        <f>IF(AND(BX$5&gt;$E10,BX$5&lt;=$F10),IF(BX$5=$E10+1,$C10,""),"")</f>
        <v/>
      </c>
      <c r="BY10" s="34">
        <f>IF(AND(BY$5&gt;$E10,BY$5&lt;=$F10),IF(BY$5=$E10+1,$C10,""),"")</f>
        <v/>
      </c>
      <c r="BZ10" s="34">
        <f>IF(AND(BZ$5&gt;$E10,BZ$5&lt;=$F10),IF(BZ$5=$E10+1,$C10,""),"")</f>
        <v/>
      </c>
      <c r="CA10" s="34">
        <f>IF(AND(CA$5&gt;$E10,CA$5&lt;=$F10),IF(CA$5=$E10+1,$C10,""),"")</f>
        <v/>
      </c>
      <c r="CB10" s="34">
        <f>IF(AND(CB$5&gt;$E10,CB$5&lt;=$F10),IF(CB$5=$E10+1,$C10,""),"")</f>
        <v/>
      </c>
      <c r="CC10" s="34">
        <f>IF(AND(CC$5&gt;$E10,CC$5&lt;=$F10),IF(CC$5=$E10+1,$C10,""),"")</f>
        <v/>
      </c>
      <c r="CD10" s="34">
        <f>IF(AND(CD$5&gt;$E10,CD$5&lt;=$F10),IF(CD$5=$E10+1,$C10,""),"")</f>
        <v/>
      </c>
      <c r="CE10" s="34">
        <f>IF(AND(CE$5&gt;$E10,CE$5&lt;=$F10),IF(CE$5=$E10+1,$C10,""),"")</f>
        <v/>
      </c>
      <c r="CF10" s="34">
        <f>IF(AND(CF$5&gt;$E10,CF$5&lt;=$F10),IF(CF$5=$E10+1,$C10,""),"")</f>
        <v/>
      </c>
      <c r="CG10" s="34">
        <f>IF(AND(CG$5&gt;$E10,CG$5&lt;=$F10),IF(CG$5=$E10+1,$C10,""),"")</f>
        <v/>
      </c>
      <c r="CH10" s="34">
        <f>IF(AND(CH$5&gt;$E10,CH$5&lt;=$F10),IF(CH$5=$E10+1,$C10,""),"")</f>
        <v/>
      </c>
      <c r="CI10" s="34">
        <f>IF(AND(CI$5&gt;$E10,CI$5&lt;=$F10),IF(CI$5=$E10+1,$C10,""),"")</f>
        <v/>
      </c>
      <c r="CJ10" s="34">
        <f>IF(AND(CJ$5&gt;$E10,CJ$5&lt;=$F10),IF(CJ$5=$E10+1,$C10,""),"")</f>
        <v/>
      </c>
      <c r="CK10" s="34">
        <f>IF(AND(CK$5&gt;$E10,CK$5&lt;=$F10),IF(CK$5=$E10+1,$C10,""),"")</f>
        <v/>
      </c>
      <c r="CL10" s="34">
        <f>IF(AND(CL$5&gt;$E10,CL$5&lt;=$F10),IF(CL$5=$E10+1,$C10,""),"")</f>
        <v/>
      </c>
      <c r="CM10" s="34">
        <f>IF(AND(CM$5&gt;$E10,CM$5&lt;=$F10),IF(CM$5=$E10+1,$C10,""),"")</f>
        <v/>
      </c>
      <c r="CN10" s="34">
        <f>IF(AND(CN$5&gt;$E10,CN$5&lt;=$F10),IF(CN$5=$E10+1,$C10,""),"")</f>
        <v/>
      </c>
      <c r="CO10" s="34">
        <f>IF(AND(CO$5&gt;$E10,CO$5&lt;=$F10),IF(CO$5=$E10+1,$C10,""),"")</f>
        <v/>
      </c>
      <c r="CP10" s="34">
        <f>IF(AND(CP$5&gt;$E10,CP$5&lt;=$F10),IF(CP$5=$E10+1,$C10,""),"")</f>
        <v/>
      </c>
      <c r="CQ10" s="34">
        <f>IF(AND(CQ$5&gt;$E10,CQ$5&lt;=$F10),IF(CQ$5=$E10+1,$C10,""),"")</f>
        <v/>
      </c>
      <c r="CR10" s="34">
        <f>IF(AND(CR$5&gt;$E10,CR$5&lt;=$F10),IF(CR$5=$E10+1,$C10,""),"")</f>
        <v/>
      </c>
      <c r="CS10" s="34">
        <f>IF(AND(CS$5&gt;$E10,CS$5&lt;=$F10),IF(CS$5=$E10+1,$C10,""),"")</f>
        <v/>
      </c>
      <c r="CT10" s="34">
        <f>IF(AND(CT$5&gt;$E10,CT$5&lt;=$F10),IF(CT$5=$E10+1,$C10,""),"")</f>
        <v/>
      </c>
      <c r="CU10" s="34">
        <f>IF(AND(CU$5&gt;$E10,CU$5&lt;=$F10),IF(CU$5=$E10+1,$C10,""),"")</f>
        <v/>
      </c>
      <c r="CV10" s="34">
        <f>IF(AND(CV$5&gt;$E10,CV$5&lt;=$F10),IF(CV$5=$E10+1,$C10,""),"")</f>
        <v/>
      </c>
      <c r="CW10" s="34">
        <f>IF(AND(CW$5&gt;$E10,CW$5&lt;=$F10),IF(CW$5=$E10+1,$C10,""),"")</f>
        <v/>
      </c>
      <c r="CX10" s="34">
        <f>IF(AND(CX$5&gt;$E10,CX$5&lt;=$F10),IF(CX$5=$E10+1,$C10,""),"")</f>
        <v/>
      </c>
      <c r="CY10" s="34">
        <f>IF(AND(CY$5&gt;$E10,CY$5&lt;=$F10),IF(CY$5=$E10+1,$C10,""),"")</f>
        <v/>
      </c>
      <c r="CZ10" s="34">
        <f>IF(AND(CZ$5&gt;$E10,CZ$5&lt;=$F10),IF(CZ$5=$E10+1,$C10,""),"")</f>
        <v/>
      </c>
      <c r="DA10" s="34">
        <f>IF(AND(DA$5&gt;$E10,DA$5&lt;=$F10),IF(DA$5=$E10+1,$C10,""),"")</f>
        <v/>
      </c>
      <c r="DB10" s="34">
        <f>IF(AND(DB$5&gt;$E10,DB$5&lt;=$F10),IF(DB$5=$E10+1,$C10,""),"")</f>
        <v/>
      </c>
      <c r="DC10" s="34">
        <f>IF(AND(DC$5&gt;$E10,DC$5&lt;=$F10),IF(DC$5=$E10+1,$C10,""),"")</f>
        <v/>
      </c>
      <c r="DD10" s="34">
        <f>IF(AND(DD$5&gt;$E10,DD$5&lt;=$F10),IF(DD$5=$E10+1,$C10,""),"")</f>
        <v/>
      </c>
      <c r="DE10" s="34">
        <f>IF(AND(DE$5&gt;$E10,DE$5&lt;=$F10),IF(DE$5=$E10+1,$C10,""),"")</f>
        <v/>
      </c>
      <c r="DF10" s="34">
        <f>IF(AND(DF$5&gt;$E10,DF$5&lt;=$F10),IF(DF$5=$E10+1,$C10,""),"")</f>
        <v/>
      </c>
      <c r="DG10" s="34">
        <f>IF(AND(DG$5&gt;$E10,DG$5&lt;=$F10),IF(DG$5=$E10+1,$C10,""),"")</f>
        <v/>
      </c>
      <c r="DH10" s="34">
        <f>IF(AND(DH$5&gt;$E10,DH$5&lt;=$F10),IF(DH$5=$E10+1,$C10,""),"")</f>
        <v/>
      </c>
      <c r="DI10" s="34">
        <f>IF(AND(DI$5&gt;$E10,DI$5&lt;=$F10),IF(DI$5=$E10+1,$C10,""),"")</f>
        <v/>
      </c>
      <c r="DJ10" s="34">
        <f>IF(AND(DJ$5&gt;$E10,DJ$5&lt;=$F10),IF(DJ$5=$E10+1,$C10,""),"")</f>
        <v/>
      </c>
      <c r="DK10" s="34">
        <f>IF(AND(DK$5&gt;$E10,DK$5&lt;=$F10),IF(DK$5=$E10+1,$C10,""),"")</f>
        <v/>
      </c>
      <c r="DL10" s="34">
        <f>IF(AND(DL$5&gt;$E10,DL$5&lt;=$F10),IF(DL$5=$E10+1,$C10,""),"")</f>
        <v/>
      </c>
      <c r="DM10" s="34">
        <f>IF(AND(DM$5&gt;$E10,DM$5&lt;=$F10),IF(DM$5=$E10+1,$C10,""),"")</f>
        <v/>
      </c>
      <c r="DN10" s="34">
        <f>IF(AND(DN$5&gt;$E10,DN$5&lt;=$F10),IF(DN$5=$E10+1,$C10,""),"")</f>
        <v/>
      </c>
      <c r="DO10" s="34">
        <f>IF(AND(DO$5&gt;$E10,DO$5&lt;=$F10),IF(DO$5=$E10+1,$C10,""),"")</f>
        <v/>
      </c>
      <c r="DP10" s="34">
        <f>IF(AND(DP$5&gt;$E10,DP$5&lt;=$F10),IF(DP$5=$E10+1,$C10,""),"")</f>
        <v/>
      </c>
      <c r="DQ10" s="34">
        <f>IF(AND(DQ$5&gt;$E10,DQ$5&lt;=$F10),IF(DQ$5=$E10+1,$C10,""),"")</f>
        <v/>
      </c>
      <c r="DR10" s="34">
        <f>IF(AND(DR$5&gt;$E10,DR$5&lt;=$F10),IF(DR$5=$E10+1,$C10,""),"")</f>
        <v/>
      </c>
      <c r="DS10" s="34">
        <f>IF(AND(DS$5&gt;$E10,DS$5&lt;=$F10),IF(DS$5=$E10+1,$C10,""),"")</f>
        <v/>
      </c>
      <c r="DT10" s="34">
        <f>IF(AND(DT$5&gt;$E10,DT$5&lt;=$F10),IF(DT$5=$E10+1,$C10,""),"")</f>
        <v/>
      </c>
      <c r="DU10" s="34">
        <f>IF(AND(DU$5&gt;$E10,DU$5&lt;=$F10),IF(DU$5=$E10+1,$C10,""),"")</f>
        <v/>
      </c>
      <c r="DV10" s="34">
        <f>IF(AND(DV$5&gt;$E10,DV$5&lt;=$F10),IF(DV$5=$E10+1,$C10,""),"")</f>
        <v/>
      </c>
      <c r="DW10" s="34">
        <f>IF(AND(DW$5&gt;$E10,DW$5&lt;=$F10),IF(DW$5=$E10+1,$C10,""),"")</f>
        <v/>
      </c>
      <c r="DX10" s="34">
        <f>IF(AND(DX$5&gt;$E10,DX$5&lt;=$F10),IF(DX$5=$E10+1,$C10,""),"")</f>
        <v/>
      </c>
      <c r="DY10" s="34">
        <f>IF(AND(DY$5&gt;$E10,DY$5&lt;=$F10),IF(DY$5=$E10+1,$C10,""),"")</f>
        <v/>
      </c>
      <c r="DZ10" s="34">
        <f>IF(AND(DZ$5&gt;$E10,DZ$5&lt;=$F10),IF(DZ$5=$E10+1,$C10,""),"")</f>
        <v/>
      </c>
      <c r="EA10" s="34">
        <f>IF(AND(EA$5&gt;$E10,EA$5&lt;=$F10),IF(EA$5=$E10+1,$C10,""),"")</f>
        <v/>
      </c>
      <c r="EB10" s="34">
        <f>IF(AND(EB$5&gt;$E10,EB$5&lt;=$F10),IF(EB$5=$E10+1,$C10,""),"")</f>
        <v/>
      </c>
      <c r="EC10" s="34">
        <f>IF(AND(EC$5&gt;$E10,EC$5&lt;=$F10),IF(EC$5=$E10+1,$C10,""),"")</f>
        <v/>
      </c>
      <c r="ED10" s="34">
        <f>IF(AND(ED$5&gt;$E10,ED$5&lt;=$F10),IF(ED$5=$E10+1,$C10,""),"")</f>
        <v/>
      </c>
      <c r="EE10" s="34">
        <f>IF(AND(EE$5&gt;$E10,EE$5&lt;=$F10),IF(EE$5=$E10+1,$C10,""),"")</f>
        <v/>
      </c>
      <c r="EF10" s="34">
        <f>IF(AND(EF$5&gt;$E10,EF$5&lt;=$F10),IF(EF$5=$E10+1,$C10,""),"")</f>
        <v/>
      </c>
      <c r="EG10" s="34">
        <f>IF(AND(EG$5&gt;$E10,EG$5&lt;=$F10),IF(EG$5=$E10+1,$C10,""),"")</f>
        <v/>
      </c>
      <c r="EH10" s="34">
        <f>IF(AND(EH$5&gt;$E10,EH$5&lt;=$F10),IF(EH$5=$E10+1,$C10,""),"")</f>
        <v/>
      </c>
      <c r="EI10" s="34">
        <f>IF(AND(EI$5&gt;$E10,EI$5&lt;=$F10),IF(EI$5=$E10+1,$C10,""),"")</f>
        <v/>
      </c>
      <c r="EJ10" s="34">
        <f>IF(AND(EJ$5&gt;$E10,EJ$5&lt;=$F10),IF(EJ$5=$E10+1,$C10,""),"")</f>
        <v/>
      </c>
      <c r="EK10" s="34">
        <f>IF(AND(EK$5&gt;$E10,EK$5&lt;=$F10),IF(EK$5=$E10+1,$C10,""),"")</f>
        <v/>
      </c>
      <c r="EL10" s="34">
        <f>IF(AND(EL$5&gt;$E10,EL$5&lt;=$F10),IF(EL$5=$E10+1,$C10,""),"")</f>
        <v/>
      </c>
      <c r="EM10" s="34">
        <f>IF(AND(EM$5&gt;$E10,EM$5&lt;=$F10),IF(EM$5=$E10+1,$C10,""),"")</f>
        <v/>
      </c>
      <c r="EN10" s="34">
        <f>IF(AND(EN$5&gt;$E10,EN$5&lt;=$F10),IF(EN$5=$E10+1,$C10,""),"")</f>
        <v/>
      </c>
      <c r="EO10" s="34">
        <f>IF(AND(EO$5&gt;$E10,EO$5&lt;=$F10),IF(EO$5=$E10+1,$C10,""),"")</f>
        <v/>
      </c>
      <c r="EP10" s="34">
        <f>IF(AND(EP$5&gt;$E10,EP$5&lt;=$F10),IF(EP$5=$E10+1,$C10,""),"")</f>
        <v/>
      </c>
      <c r="EQ10" s="34">
        <f>IF(AND(EQ$5&gt;$E10,EQ$5&lt;=$F10),IF(EQ$5=$E10+1,$C10,""),"")</f>
        <v/>
      </c>
      <c r="ER10" s="34">
        <f>IF(AND(ER$5&gt;$E10,ER$5&lt;=$F10),IF(ER$5=$E10+1,$C10,""),"")</f>
        <v/>
      </c>
      <c r="ES10" s="34">
        <f>IF(AND(ES$5&gt;$E10,ES$5&lt;=$F10),IF(ES$5=$E10+1,$C10,""),"")</f>
        <v/>
      </c>
      <c r="ET10" s="34">
        <f>IF(AND(ET$5&gt;$E10,ET$5&lt;=$F10),IF(ET$5=$E10+1,$C10,""),"")</f>
        <v/>
      </c>
      <c r="EU10" s="34">
        <f>IF(AND(EU$5&gt;$E10,EU$5&lt;=$F10),IF(EU$5=$E10+1,$C10,""),"")</f>
        <v/>
      </c>
      <c r="EV10" s="34">
        <f>IF(AND(EV$5&gt;$E10,EV$5&lt;=$F10),IF(EV$5=$E10+1,$C10,""),"")</f>
        <v/>
      </c>
      <c r="EW10" s="34">
        <f>IF(AND(EW$5&gt;$E10,EW$5&lt;=$F10),IF(EW$5=$E10+1,$C10,""),"")</f>
        <v/>
      </c>
      <c r="EX10" s="34">
        <f>IF(AND(EX$5&gt;$E10,EX$5&lt;=$F10),IF(EX$5=$E10+1,$C10,""),"")</f>
        <v/>
      </c>
      <c r="EY10" s="34">
        <f>IF(AND(EY$5&gt;$E10,EY$5&lt;=$F10),IF(EY$5=$E10+1,$C10,""),"")</f>
        <v/>
      </c>
      <c r="EZ10" s="34">
        <f>IF(AND(EZ$5&gt;$E10,EZ$5&lt;=$F10),IF(EZ$5=$E10+1,$C10,""),"")</f>
        <v/>
      </c>
      <c r="FA10" s="34">
        <f>IF(AND(FA$5&gt;$E10,FA$5&lt;=$F10),IF(FA$5=$E10+1,$C10,""),"")</f>
        <v/>
      </c>
    </row>
    <row r="11">
      <c r="A11" s="32">
        <f>Plan!A6</f>
        <v/>
      </c>
      <c r="B11" s="33">
        <f>Plan!C6</f>
        <v/>
      </c>
      <c r="C11" s="16">
        <f>Plan!D6</f>
        <v/>
      </c>
      <c r="D11" s="16">
        <f>Plan!I6</f>
        <v/>
      </c>
      <c r="E11" s="16">
        <f>Plan!K6</f>
        <v/>
      </c>
      <c r="F11" s="16">
        <f>Plan!L6</f>
        <v/>
      </c>
      <c r="G11" s="16">
        <f>Plan!O6</f>
        <v/>
      </c>
      <c r="H11" s="34">
        <f>IF(AND(H$5&gt;$E11,H$5&lt;=$F11),IF(H$5=$E11+1,$C11,""),"")</f>
        <v/>
      </c>
      <c r="I11" s="34">
        <f>IF(AND(I$5&gt;$E11,I$5&lt;=$F11),IF(I$5=$E11+1,$C11,""),"")</f>
        <v/>
      </c>
      <c r="J11" s="34">
        <f>IF(AND(J$5&gt;$E11,J$5&lt;=$F11),IF(J$5=$E11+1,$C11,""),"")</f>
        <v/>
      </c>
      <c r="K11" s="34">
        <f>IF(AND(K$5&gt;$E11,K$5&lt;=$F11),IF(K$5=$E11+1,$C11,""),"")</f>
        <v/>
      </c>
      <c r="L11" s="34">
        <f>IF(AND(L$5&gt;$E11,L$5&lt;=$F11),IF(L$5=$E11+1,$C11,""),"")</f>
        <v/>
      </c>
      <c r="M11" s="34">
        <f>IF(AND(M$5&gt;$E11,M$5&lt;=$F11),IF(M$5=$E11+1,$C11,""),"")</f>
        <v/>
      </c>
      <c r="N11" s="34">
        <f>IF(AND(N$5&gt;$E11,N$5&lt;=$F11),IF(N$5=$E11+1,$C11,""),"")</f>
        <v/>
      </c>
      <c r="O11" s="34">
        <f>IF(AND(O$5&gt;$E11,O$5&lt;=$F11),IF(O$5=$E11+1,$C11,""),"")</f>
        <v/>
      </c>
      <c r="P11" s="34">
        <f>IF(AND(P$5&gt;$E11,P$5&lt;=$F11),IF(P$5=$E11+1,$C11,""),"")</f>
        <v/>
      </c>
      <c r="Q11" s="34">
        <f>IF(AND(Q$5&gt;$E11,Q$5&lt;=$F11),IF(Q$5=$E11+1,$C11,""),"")</f>
        <v/>
      </c>
      <c r="R11" s="34">
        <f>IF(AND(R$5&gt;$E11,R$5&lt;=$F11),IF(R$5=$E11+1,$C11,""),"")</f>
        <v/>
      </c>
      <c r="S11" s="34">
        <f>IF(AND(S$5&gt;$E11,S$5&lt;=$F11),IF(S$5=$E11+1,$C11,""),"")</f>
        <v/>
      </c>
      <c r="T11" s="34">
        <f>IF(AND(T$5&gt;$E11,T$5&lt;=$F11),IF(T$5=$E11+1,$C11,""),"")</f>
        <v/>
      </c>
      <c r="U11" s="34">
        <f>IF(AND(U$5&gt;$E11,U$5&lt;=$F11),IF(U$5=$E11+1,$C11,""),"")</f>
        <v/>
      </c>
      <c r="V11" s="34">
        <f>IF(AND(V$5&gt;$E11,V$5&lt;=$F11),IF(V$5=$E11+1,$C11,""),"")</f>
        <v/>
      </c>
      <c r="W11" s="34">
        <f>IF(AND(W$5&gt;$E11,W$5&lt;=$F11),IF(W$5=$E11+1,$C11,""),"")</f>
        <v/>
      </c>
      <c r="X11" s="34">
        <f>IF(AND(X$5&gt;$E11,X$5&lt;=$F11),IF(X$5=$E11+1,$C11,""),"")</f>
        <v/>
      </c>
      <c r="Y11" s="34">
        <f>IF(AND(Y$5&gt;$E11,Y$5&lt;=$F11),IF(Y$5=$E11+1,$C11,""),"")</f>
        <v/>
      </c>
      <c r="Z11" s="34">
        <f>IF(AND(Z$5&gt;$E11,Z$5&lt;=$F11),IF(Z$5=$E11+1,$C11,""),"")</f>
        <v/>
      </c>
      <c r="AA11" s="34">
        <f>IF(AND(AA$5&gt;$E11,AA$5&lt;=$F11),IF(AA$5=$E11+1,$C11,""),"")</f>
        <v/>
      </c>
      <c r="AB11" s="34">
        <f>IF(AND(AB$5&gt;$E11,AB$5&lt;=$F11),IF(AB$5=$E11+1,$C11,""),"")</f>
        <v/>
      </c>
      <c r="AC11" s="34">
        <f>IF(AND(AC$5&gt;$E11,AC$5&lt;=$F11),IF(AC$5=$E11+1,$C11,""),"")</f>
        <v/>
      </c>
      <c r="AD11" s="34">
        <f>IF(AND(AD$5&gt;$E11,AD$5&lt;=$F11),IF(AD$5=$E11+1,$C11,""),"")</f>
        <v/>
      </c>
      <c r="AE11" s="34">
        <f>IF(AND(AE$5&gt;$E11,AE$5&lt;=$F11),IF(AE$5=$E11+1,$C11,""),"")</f>
        <v/>
      </c>
      <c r="AF11" s="34">
        <f>IF(AND(AF$5&gt;$E11,AF$5&lt;=$F11),IF(AF$5=$E11+1,$C11,""),"")</f>
        <v/>
      </c>
      <c r="AG11" s="34">
        <f>IF(AND(AG$5&gt;$E11,AG$5&lt;=$F11),IF(AG$5=$E11+1,$C11,""),"")</f>
        <v/>
      </c>
      <c r="AH11" s="34">
        <f>IF(AND(AH$5&gt;$E11,AH$5&lt;=$F11),IF(AH$5=$E11+1,$C11,""),"")</f>
        <v/>
      </c>
      <c r="AI11" s="34">
        <f>IF(AND(AI$5&gt;$E11,AI$5&lt;=$F11),IF(AI$5=$E11+1,$C11,""),"")</f>
        <v/>
      </c>
      <c r="AJ11" s="34">
        <f>IF(AND(AJ$5&gt;$E11,AJ$5&lt;=$F11),IF(AJ$5=$E11+1,$C11,""),"")</f>
        <v/>
      </c>
      <c r="AK11" s="34">
        <f>IF(AND(AK$5&gt;$E11,AK$5&lt;=$F11),IF(AK$5=$E11+1,$C11,""),"")</f>
        <v/>
      </c>
      <c r="AL11" s="34">
        <f>IF(AND(AL$5&gt;$E11,AL$5&lt;=$F11),IF(AL$5=$E11+1,$C11,""),"")</f>
        <v/>
      </c>
      <c r="AM11" s="34">
        <f>IF(AND(AM$5&gt;$E11,AM$5&lt;=$F11),IF(AM$5=$E11+1,$C11,""),"")</f>
        <v/>
      </c>
      <c r="AN11" s="34">
        <f>IF(AND(AN$5&gt;$E11,AN$5&lt;=$F11),IF(AN$5=$E11+1,$C11,""),"")</f>
        <v/>
      </c>
      <c r="AO11" s="34">
        <f>IF(AND(AO$5&gt;$E11,AO$5&lt;=$F11),IF(AO$5=$E11+1,$C11,""),"")</f>
        <v/>
      </c>
      <c r="AP11" s="34">
        <f>IF(AND(AP$5&gt;$E11,AP$5&lt;=$F11),IF(AP$5=$E11+1,$C11,""),"")</f>
        <v/>
      </c>
      <c r="AQ11" s="34">
        <f>IF(AND(AQ$5&gt;$E11,AQ$5&lt;=$F11),IF(AQ$5=$E11+1,$C11,""),"")</f>
        <v/>
      </c>
      <c r="AR11" s="34">
        <f>IF(AND(AR$5&gt;$E11,AR$5&lt;=$F11),IF(AR$5=$E11+1,$C11,""),"")</f>
        <v/>
      </c>
      <c r="AS11" s="34">
        <f>IF(AND(AS$5&gt;$E11,AS$5&lt;=$F11),IF(AS$5=$E11+1,$C11,""),"")</f>
        <v/>
      </c>
      <c r="AT11" s="34">
        <f>IF(AND(AT$5&gt;$E11,AT$5&lt;=$F11),IF(AT$5=$E11+1,$C11,""),"")</f>
        <v/>
      </c>
      <c r="AU11" s="34">
        <f>IF(AND(AU$5&gt;$E11,AU$5&lt;=$F11),IF(AU$5=$E11+1,$C11,""),"")</f>
        <v/>
      </c>
      <c r="AV11" s="34">
        <f>IF(AND(AV$5&gt;$E11,AV$5&lt;=$F11),IF(AV$5=$E11+1,$C11,""),"")</f>
        <v/>
      </c>
      <c r="AW11" s="34">
        <f>IF(AND(AW$5&gt;$E11,AW$5&lt;=$F11),IF(AW$5=$E11+1,$C11,""),"")</f>
        <v/>
      </c>
      <c r="AX11" s="34">
        <f>IF(AND(AX$5&gt;$E11,AX$5&lt;=$F11),IF(AX$5=$E11+1,$C11,""),"")</f>
        <v/>
      </c>
      <c r="AY11" s="34">
        <f>IF(AND(AY$5&gt;$E11,AY$5&lt;=$F11),IF(AY$5=$E11+1,$C11,""),"")</f>
        <v/>
      </c>
      <c r="AZ11" s="34">
        <f>IF(AND(AZ$5&gt;$E11,AZ$5&lt;=$F11),IF(AZ$5=$E11+1,$C11,""),"")</f>
        <v/>
      </c>
      <c r="BA11" s="34">
        <f>IF(AND(BA$5&gt;$E11,BA$5&lt;=$F11),IF(BA$5=$E11+1,$C11,""),"")</f>
        <v/>
      </c>
      <c r="BB11" s="34">
        <f>IF(AND(BB$5&gt;$E11,BB$5&lt;=$F11),IF(BB$5=$E11+1,$C11,""),"")</f>
        <v/>
      </c>
      <c r="BC11" s="34">
        <f>IF(AND(BC$5&gt;$E11,BC$5&lt;=$F11),IF(BC$5=$E11+1,$C11,""),"")</f>
        <v/>
      </c>
      <c r="BD11" s="34">
        <f>IF(AND(BD$5&gt;$E11,BD$5&lt;=$F11),IF(BD$5=$E11+1,$C11,""),"")</f>
        <v/>
      </c>
      <c r="BE11" s="34">
        <f>IF(AND(BE$5&gt;$E11,BE$5&lt;=$F11),IF(BE$5=$E11+1,$C11,""),"")</f>
        <v/>
      </c>
      <c r="BF11" s="34">
        <f>IF(AND(BF$5&gt;$E11,BF$5&lt;=$F11),IF(BF$5=$E11+1,$C11,""),"")</f>
        <v/>
      </c>
      <c r="BG11" s="34">
        <f>IF(AND(BG$5&gt;$E11,BG$5&lt;=$F11),IF(BG$5=$E11+1,$C11,""),"")</f>
        <v/>
      </c>
      <c r="BH11" s="34">
        <f>IF(AND(BH$5&gt;$E11,BH$5&lt;=$F11),IF(BH$5=$E11+1,$C11,""),"")</f>
        <v/>
      </c>
      <c r="BI11" s="34">
        <f>IF(AND(BI$5&gt;$E11,BI$5&lt;=$F11),IF(BI$5=$E11+1,$C11,""),"")</f>
        <v/>
      </c>
      <c r="BJ11" s="34">
        <f>IF(AND(BJ$5&gt;$E11,BJ$5&lt;=$F11),IF(BJ$5=$E11+1,$C11,""),"")</f>
        <v/>
      </c>
      <c r="BK11" s="34">
        <f>IF(AND(BK$5&gt;$E11,BK$5&lt;=$F11),IF(BK$5=$E11+1,$C11,""),"")</f>
        <v/>
      </c>
      <c r="BL11" s="34">
        <f>IF(AND(BL$5&gt;$E11,BL$5&lt;=$F11),IF(BL$5=$E11+1,$C11,""),"")</f>
        <v/>
      </c>
      <c r="BM11" s="34">
        <f>IF(AND(BM$5&gt;$E11,BM$5&lt;=$F11),IF(BM$5=$E11+1,$C11,""),"")</f>
        <v/>
      </c>
      <c r="BN11" s="34">
        <f>IF(AND(BN$5&gt;$E11,BN$5&lt;=$F11),IF(BN$5=$E11+1,$C11,""),"")</f>
        <v/>
      </c>
      <c r="BO11" s="34">
        <f>IF(AND(BO$5&gt;$E11,BO$5&lt;=$F11),IF(BO$5=$E11+1,$C11,""),"")</f>
        <v/>
      </c>
      <c r="BP11" s="34">
        <f>IF(AND(BP$5&gt;$E11,BP$5&lt;=$F11),IF(BP$5=$E11+1,$C11,""),"")</f>
        <v/>
      </c>
      <c r="BQ11" s="34">
        <f>IF(AND(BQ$5&gt;$E11,BQ$5&lt;=$F11),IF(BQ$5=$E11+1,$C11,""),"")</f>
        <v/>
      </c>
      <c r="BR11" s="34">
        <f>IF(AND(BR$5&gt;$E11,BR$5&lt;=$F11),IF(BR$5=$E11+1,$C11,""),"")</f>
        <v/>
      </c>
      <c r="BS11" s="34">
        <f>IF(AND(BS$5&gt;$E11,BS$5&lt;=$F11),IF(BS$5=$E11+1,$C11,""),"")</f>
        <v/>
      </c>
      <c r="BT11" s="34">
        <f>IF(AND(BT$5&gt;$E11,BT$5&lt;=$F11),IF(BT$5=$E11+1,$C11,""),"")</f>
        <v/>
      </c>
      <c r="BU11" s="34">
        <f>IF(AND(BU$5&gt;$E11,BU$5&lt;=$F11),IF(BU$5=$E11+1,$C11,""),"")</f>
        <v/>
      </c>
      <c r="BV11" s="34">
        <f>IF(AND(BV$5&gt;$E11,BV$5&lt;=$F11),IF(BV$5=$E11+1,$C11,""),"")</f>
        <v/>
      </c>
      <c r="BW11" s="34">
        <f>IF(AND(BW$5&gt;$E11,BW$5&lt;=$F11),IF(BW$5=$E11+1,$C11,""),"")</f>
        <v/>
      </c>
      <c r="BX11" s="34">
        <f>IF(AND(BX$5&gt;$E11,BX$5&lt;=$F11),IF(BX$5=$E11+1,$C11,""),"")</f>
        <v/>
      </c>
      <c r="BY11" s="34">
        <f>IF(AND(BY$5&gt;$E11,BY$5&lt;=$F11),IF(BY$5=$E11+1,$C11,""),"")</f>
        <v/>
      </c>
      <c r="BZ11" s="34">
        <f>IF(AND(BZ$5&gt;$E11,BZ$5&lt;=$F11),IF(BZ$5=$E11+1,$C11,""),"")</f>
        <v/>
      </c>
      <c r="CA11" s="34">
        <f>IF(AND(CA$5&gt;$E11,CA$5&lt;=$F11),IF(CA$5=$E11+1,$C11,""),"")</f>
        <v/>
      </c>
      <c r="CB11" s="34">
        <f>IF(AND(CB$5&gt;$E11,CB$5&lt;=$F11),IF(CB$5=$E11+1,$C11,""),"")</f>
        <v/>
      </c>
      <c r="CC11" s="34">
        <f>IF(AND(CC$5&gt;$E11,CC$5&lt;=$F11),IF(CC$5=$E11+1,$C11,""),"")</f>
        <v/>
      </c>
      <c r="CD11" s="34">
        <f>IF(AND(CD$5&gt;$E11,CD$5&lt;=$F11),IF(CD$5=$E11+1,$C11,""),"")</f>
        <v/>
      </c>
      <c r="CE11" s="34">
        <f>IF(AND(CE$5&gt;$E11,CE$5&lt;=$F11),IF(CE$5=$E11+1,$C11,""),"")</f>
        <v/>
      </c>
      <c r="CF11" s="34">
        <f>IF(AND(CF$5&gt;$E11,CF$5&lt;=$F11),IF(CF$5=$E11+1,$C11,""),"")</f>
        <v/>
      </c>
      <c r="CG11" s="34">
        <f>IF(AND(CG$5&gt;$E11,CG$5&lt;=$F11),IF(CG$5=$E11+1,$C11,""),"")</f>
        <v/>
      </c>
      <c r="CH11" s="34">
        <f>IF(AND(CH$5&gt;$E11,CH$5&lt;=$F11),IF(CH$5=$E11+1,$C11,""),"")</f>
        <v/>
      </c>
      <c r="CI11" s="34">
        <f>IF(AND(CI$5&gt;$E11,CI$5&lt;=$F11),IF(CI$5=$E11+1,$C11,""),"")</f>
        <v/>
      </c>
      <c r="CJ11" s="34">
        <f>IF(AND(CJ$5&gt;$E11,CJ$5&lt;=$F11),IF(CJ$5=$E11+1,$C11,""),"")</f>
        <v/>
      </c>
      <c r="CK11" s="34">
        <f>IF(AND(CK$5&gt;$E11,CK$5&lt;=$F11),IF(CK$5=$E11+1,$C11,""),"")</f>
        <v/>
      </c>
      <c r="CL11" s="34">
        <f>IF(AND(CL$5&gt;$E11,CL$5&lt;=$F11),IF(CL$5=$E11+1,$C11,""),"")</f>
        <v/>
      </c>
      <c r="CM11" s="34">
        <f>IF(AND(CM$5&gt;$E11,CM$5&lt;=$F11),IF(CM$5=$E11+1,$C11,""),"")</f>
        <v/>
      </c>
      <c r="CN11" s="34">
        <f>IF(AND(CN$5&gt;$E11,CN$5&lt;=$F11),IF(CN$5=$E11+1,$C11,""),"")</f>
        <v/>
      </c>
      <c r="CO11" s="34">
        <f>IF(AND(CO$5&gt;$E11,CO$5&lt;=$F11),IF(CO$5=$E11+1,$C11,""),"")</f>
        <v/>
      </c>
      <c r="CP11" s="34">
        <f>IF(AND(CP$5&gt;$E11,CP$5&lt;=$F11),IF(CP$5=$E11+1,$C11,""),"")</f>
        <v/>
      </c>
      <c r="CQ11" s="34">
        <f>IF(AND(CQ$5&gt;$E11,CQ$5&lt;=$F11),IF(CQ$5=$E11+1,$C11,""),"")</f>
        <v/>
      </c>
      <c r="CR11" s="34">
        <f>IF(AND(CR$5&gt;$E11,CR$5&lt;=$F11),IF(CR$5=$E11+1,$C11,""),"")</f>
        <v/>
      </c>
      <c r="CS11" s="34">
        <f>IF(AND(CS$5&gt;$E11,CS$5&lt;=$F11),IF(CS$5=$E11+1,$C11,""),"")</f>
        <v/>
      </c>
      <c r="CT11" s="34">
        <f>IF(AND(CT$5&gt;$E11,CT$5&lt;=$F11),IF(CT$5=$E11+1,$C11,""),"")</f>
        <v/>
      </c>
      <c r="CU11" s="34">
        <f>IF(AND(CU$5&gt;$E11,CU$5&lt;=$F11),IF(CU$5=$E11+1,$C11,""),"")</f>
        <v/>
      </c>
      <c r="CV11" s="34">
        <f>IF(AND(CV$5&gt;$E11,CV$5&lt;=$F11),IF(CV$5=$E11+1,$C11,""),"")</f>
        <v/>
      </c>
      <c r="CW11" s="34">
        <f>IF(AND(CW$5&gt;$E11,CW$5&lt;=$F11),IF(CW$5=$E11+1,$C11,""),"")</f>
        <v/>
      </c>
      <c r="CX11" s="34">
        <f>IF(AND(CX$5&gt;$E11,CX$5&lt;=$F11),IF(CX$5=$E11+1,$C11,""),"")</f>
        <v/>
      </c>
      <c r="CY11" s="34">
        <f>IF(AND(CY$5&gt;$E11,CY$5&lt;=$F11),IF(CY$5=$E11+1,$C11,""),"")</f>
        <v/>
      </c>
      <c r="CZ11" s="34">
        <f>IF(AND(CZ$5&gt;$E11,CZ$5&lt;=$F11),IF(CZ$5=$E11+1,$C11,""),"")</f>
        <v/>
      </c>
      <c r="DA11" s="34">
        <f>IF(AND(DA$5&gt;$E11,DA$5&lt;=$F11),IF(DA$5=$E11+1,$C11,""),"")</f>
        <v/>
      </c>
      <c r="DB11" s="34">
        <f>IF(AND(DB$5&gt;$E11,DB$5&lt;=$F11),IF(DB$5=$E11+1,$C11,""),"")</f>
        <v/>
      </c>
      <c r="DC11" s="34">
        <f>IF(AND(DC$5&gt;$E11,DC$5&lt;=$F11),IF(DC$5=$E11+1,$C11,""),"")</f>
        <v/>
      </c>
      <c r="DD11" s="34">
        <f>IF(AND(DD$5&gt;$E11,DD$5&lt;=$F11),IF(DD$5=$E11+1,$C11,""),"")</f>
        <v/>
      </c>
      <c r="DE11" s="34">
        <f>IF(AND(DE$5&gt;$E11,DE$5&lt;=$F11),IF(DE$5=$E11+1,$C11,""),"")</f>
        <v/>
      </c>
      <c r="DF11" s="34">
        <f>IF(AND(DF$5&gt;$E11,DF$5&lt;=$F11),IF(DF$5=$E11+1,$C11,""),"")</f>
        <v/>
      </c>
      <c r="DG11" s="34">
        <f>IF(AND(DG$5&gt;$E11,DG$5&lt;=$F11),IF(DG$5=$E11+1,$C11,""),"")</f>
        <v/>
      </c>
      <c r="DH11" s="34">
        <f>IF(AND(DH$5&gt;$E11,DH$5&lt;=$F11),IF(DH$5=$E11+1,$C11,""),"")</f>
        <v/>
      </c>
      <c r="DI11" s="34">
        <f>IF(AND(DI$5&gt;$E11,DI$5&lt;=$F11),IF(DI$5=$E11+1,$C11,""),"")</f>
        <v/>
      </c>
      <c r="DJ11" s="34">
        <f>IF(AND(DJ$5&gt;$E11,DJ$5&lt;=$F11),IF(DJ$5=$E11+1,$C11,""),"")</f>
        <v/>
      </c>
      <c r="DK11" s="34">
        <f>IF(AND(DK$5&gt;$E11,DK$5&lt;=$F11),IF(DK$5=$E11+1,$C11,""),"")</f>
        <v/>
      </c>
      <c r="DL11" s="34">
        <f>IF(AND(DL$5&gt;$E11,DL$5&lt;=$F11),IF(DL$5=$E11+1,$C11,""),"")</f>
        <v/>
      </c>
      <c r="DM11" s="34">
        <f>IF(AND(DM$5&gt;$E11,DM$5&lt;=$F11),IF(DM$5=$E11+1,$C11,""),"")</f>
        <v/>
      </c>
      <c r="DN11" s="34">
        <f>IF(AND(DN$5&gt;$E11,DN$5&lt;=$F11),IF(DN$5=$E11+1,$C11,""),"")</f>
        <v/>
      </c>
      <c r="DO11" s="34">
        <f>IF(AND(DO$5&gt;$E11,DO$5&lt;=$F11),IF(DO$5=$E11+1,$C11,""),"")</f>
        <v/>
      </c>
      <c r="DP11" s="34">
        <f>IF(AND(DP$5&gt;$E11,DP$5&lt;=$F11),IF(DP$5=$E11+1,$C11,""),"")</f>
        <v/>
      </c>
      <c r="DQ11" s="34">
        <f>IF(AND(DQ$5&gt;$E11,DQ$5&lt;=$F11),IF(DQ$5=$E11+1,$C11,""),"")</f>
        <v/>
      </c>
      <c r="DR11" s="34">
        <f>IF(AND(DR$5&gt;$E11,DR$5&lt;=$F11),IF(DR$5=$E11+1,$C11,""),"")</f>
        <v/>
      </c>
      <c r="DS11" s="34">
        <f>IF(AND(DS$5&gt;$E11,DS$5&lt;=$F11),IF(DS$5=$E11+1,$C11,""),"")</f>
        <v/>
      </c>
      <c r="DT11" s="34">
        <f>IF(AND(DT$5&gt;$E11,DT$5&lt;=$F11),IF(DT$5=$E11+1,$C11,""),"")</f>
        <v/>
      </c>
      <c r="DU11" s="34">
        <f>IF(AND(DU$5&gt;$E11,DU$5&lt;=$F11),IF(DU$5=$E11+1,$C11,""),"")</f>
        <v/>
      </c>
      <c r="DV11" s="34">
        <f>IF(AND(DV$5&gt;$E11,DV$5&lt;=$F11),IF(DV$5=$E11+1,$C11,""),"")</f>
        <v/>
      </c>
      <c r="DW11" s="34">
        <f>IF(AND(DW$5&gt;$E11,DW$5&lt;=$F11),IF(DW$5=$E11+1,$C11,""),"")</f>
        <v/>
      </c>
      <c r="DX11" s="34">
        <f>IF(AND(DX$5&gt;$E11,DX$5&lt;=$F11),IF(DX$5=$E11+1,$C11,""),"")</f>
        <v/>
      </c>
      <c r="DY11" s="34">
        <f>IF(AND(DY$5&gt;$E11,DY$5&lt;=$F11),IF(DY$5=$E11+1,$C11,""),"")</f>
        <v/>
      </c>
      <c r="DZ11" s="34">
        <f>IF(AND(DZ$5&gt;$E11,DZ$5&lt;=$F11),IF(DZ$5=$E11+1,$C11,""),"")</f>
        <v/>
      </c>
      <c r="EA11" s="34">
        <f>IF(AND(EA$5&gt;$E11,EA$5&lt;=$F11),IF(EA$5=$E11+1,$C11,""),"")</f>
        <v/>
      </c>
      <c r="EB11" s="34">
        <f>IF(AND(EB$5&gt;$E11,EB$5&lt;=$F11),IF(EB$5=$E11+1,$C11,""),"")</f>
        <v/>
      </c>
      <c r="EC11" s="34">
        <f>IF(AND(EC$5&gt;$E11,EC$5&lt;=$F11),IF(EC$5=$E11+1,$C11,""),"")</f>
        <v/>
      </c>
      <c r="ED11" s="34">
        <f>IF(AND(ED$5&gt;$E11,ED$5&lt;=$F11),IF(ED$5=$E11+1,$C11,""),"")</f>
        <v/>
      </c>
      <c r="EE11" s="34">
        <f>IF(AND(EE$5&gt;$E11,EE$5&lt;=$F11),IF(EE$5=$E11+1,$C11,""),"")</f>
        <v/>
      </c>
      <c r="EF11" s="34">
        <f>IF(AND(EF$5&gt;$E11,EF$5&lt;=$F11),IF(EF$5=$E11+1,$C11,""),"")</f>
        <v/>
      </c>
      <c r="EG11" s="34">
        <f>IF(AND(EG$5&gt;$E11,EG$5&lt;=$F11),IF(EG$5=$E11+1,$C11,""),"")</f>
        <v/>
      </c>
      <c r="EH11" s="34">
        <f>IF(AND(EH$5&gt;$E11,EH$5&lt;=$F11),IF(EH$5=$E11+1,$C11,""),"")</f>
        <v/>
      </c>
      <c r="EI11" s="34">
        <f>IF(AND(EI$5&gt;$E11,EI$5&lt;=$F11),IF(EI$5=$E11+1,$C11,""),"")</f>
        <v/>
      </c>
      <c r="EJ11" s="34">
        <f>IF(AND(EJ$5&gt;$E11,EJ$5&lt;=$F11),IF(EJ$5=$E11+1,$C11,""),"")</f>
        <v/>
      </c>
      <c r="EK11" s="34">
        <f>IF(AND(EK$5&gt;$E11,EK$5&lt;=$F11),IF(EK$5=$E11+1,$C11,""),"")</f>
        <v/>
      </c>
      <c r="EL11" s="34">
        <f>IF(AND(EL$5&gt;$E11,EL$5&lt;=$F11),IF(EL$5=$E11+1,$C11,""),"")</f>
        <v/>
      </c>
      <c r="EM11" s="34">
        <f>IF(AND(EM$5&gt;$E11,EM$5&lt;=$F11),IF(EM$5=$E11+1,$C11,""),"")</f>
        <v/>
      </c>
      <c r="EN11" s="34">
        <f>IF(AND(EN$5&gt;$E11,EN$5&lt;=$F11),IF(EN$5=$E11+1,$C11,""),"")</f>
        <v/>
      </c>
      <c r="EO11" s="34">
        <f>IF(AND(EO$5&gt;$E11,EO$5&lt;=$F11),IF(EO$5=$E11+1,$C11,""),"")</f>
        <v/>
      </c>
      <c r="EP11" s="34">
        <f>IF(AND(EP$5&gt;$E11,EP$5&lt;=$F11),IF(EP$5=$E11+1,$C11,""),"")</f>
        <v/>
      </c>
      <c r="EQ11" s="34">
        <f>IF(AND(EQ$5&gt;$E11,EQ$5&lt;=$F11),IF(EQ$5=$E11+1,$C11,""),"")</f>
        <v/>
      </c>
      <c r="ER11" s="34">
        <f>IF(AND(ER$5&gt;$E11,ER$5&lt;=$F11),IF(ER$5=$E11+1,$C11,""),"")</f>
        <v/>
      </c>
      <c r="ES11" s="34">
        <f>IF(AND(ES$5&gt;$E11,ES$5&lt;=$F11),IF(ES$5=$E11+1,$C11,""),"")</f>
        <v/>
      </c>
      <c r="ET11" s="34">
        <f>IF(AND(ET$5&gt;$E11,ET$5&lt;=$F11),IF(ET$5=$E11+1,$C11,""),"")</f>
        <v/>
      </c>
      <c r="EU11" s="34">
        <f>IF(AND(EU$5&gt;$E11,EU$5&lt;=$F11),IF(EU$5=$E11+1,$C11,""),"")</f>
        <v/>
      </c>
      <c r="EV11" s="34">
        <f>IF(AND(EV$5&gt;$E11,EV$5&lt;=$F11),IF(EV$5=$E11+1,$C11,""),"")</f>
        <v/>
      </c>
      <c r="EW11" s="34">
        <f>IF(AND(EW$5&gt;$E11,EW$5&lt;=$F11),IF(EW$5=$E11+1,$C11,""),"")</f>
        <v/>
      </c>
      <c r="EX11" s="34">
        <f>IF(AND(EX$5&gt;$E11,EX$5&lt;=$F11),IF(EX$5=$E11+1,$C11,""),"")</f>
        <v/>
      </c>
      <c r="EY11" s="34">
        <f>IF(AND(EY$5&gt;$E11,EY$5&lt;=$F11),IF(EY$5=$E11+1,$C11,""),"")</f>
        <v/>
      </c>
      <c r="EZ11" s="34">
        <f>IF(AND(EZ$5&gt;$E11,EZ$5&lt;=$F11),IF(EZ$5=$E11+1,$C11,""),"")</f>
        <v/>
      </c>
      <c r="FA11" s="34">
        <f>IF(AND(FA$5&gt;$E11,FA$5&lt;=$F11),IF(FA$5=$E11+1,$C11,""),"")</f>
        <v/>
      </c>
    </row>
    <row r="12">
      <c r="A12" s="32">
        <f>Plan!A7</f>
        <v/>
      </c>
      <c r="B12" s="33">
        <f>Plan!C7</f>
        <v/>
      </c>
      <c r="C12" s="16">
        <f>Plan!D7</f>
        <v/>
      </c>
      <c r="D12" s="16">
        <f>Plan!I7</f>
        <v/>
      </c>
      <c r="E12" s="16">
        <f>Plan!K7</f>
        <v/>
      </c>
      <c r="F12" s="16">
        <f>Plan!L7</f>
        <v/>
      </c>
      <c r="G12" s="16">
        <f>Plan!O7</f>
        <v/>
      </c>
      <c r="H12" s="34">
        <f>IF(AND(H$5&gt;$E12,H$5&lt;=$F12),IF(H$5=$E12+1,$C12,""),"")</f>
        <v/>
      </c>
      <c r="I12" s="34">
        <f>IF(AND(I$5&gt;$E12,I$5&lt;=$F12),IF(I$5=$E12+1,$C12,""),"")</f>
        <v/>
      </c>
      <c r="J12" s="34">
        <f>IF(AND(J$5&gt;$E12,J$5&lt;=$F12),IF(J$5=$E12+1,$C12,""),"")</f>
        <v/>
      </c>
      <c r="K12" s="34">
        <f>IF(AND(K$5&gt;$E12,K$5&lt;=$F12),IF(K$5=$E12+1,$C12,""),"")</f>
        <v/>
      </c>
      <c r="L12" s="34">
        <f>IF(AND(L$5&gt;$E12,L$5&lt;=$F12),IF(L$5=$E12+1,$C12,""),"")</f>
        <v/>
      </c>
      <c r="M12" s="34">
        <f>IF(AND(M$5&gt;$E12,M$5&lt;=$F12),IF(M$5=$E12+1,$C12,""),"")</f>
        <v/>
      </c>
      <c r="N12" s="34">
        <f>IF(AND(N$5&gt;$E12,N$5&lt;=$F12),IF(N$5=$E12+1,$C12,""),"")</f>
        <v/>
      </c>
      <c r="O12" s="34">
        <f>IF(AND(O$5&gt;$E12,O$5&lt;=$F12),IF(O$5=$E12+1,$C12,""),"")</f>
        <v/>
      </c>
      <c r="P12" s="34">
        <f>IF(AND(P$5&gt;$E12,P$5&lt;=$F12),IF(P$5=$E12+1,$C12,""),"")</f>
        <v/>
      </c>
      <c r="Q12" s="34">
        <f>IF(AND(Q$5&gt;$E12,Q$5&lt;=$F12),IF(Q$5=$E12+1,$C12,""),"")</f>
        <v/>
      </c>
      <c r="R12" s="34">
        <f>IF(AND(R$5&gt;$E12,R$5&lt;=$F12),IF(R$5=$E12+1,$C12,""),"")</f>
        <v/>
      </c>
      <c r="S12" s="34">
        <f>IF(AND(S$5&gt;$E12,S$5&lt;=$F12),IF(S$5=$E12+1,$C12,""),"")</f>
        <v/>
      </c>
      <c r="T12" s="34">
        <f>IF(AND(T$5&gt;$E12,T$5&lt;=$F12),IF(T$5=$E12+1,$C12,""),"")</f>
        <v/>
      </c>
      <c r="U12" s="34">
        <f>IF(AND(U$5&gt;$E12,U$5&lt;=$F12),IF(U$5=$E12+1,$C12,""),"")</f>
        <v/>
      </c>
      <c r="V12" s="34">
        <f>IF(AND(V$5&gt;$E12,V$5&lt;=$F12),IF(V$5=$E12+1,$C12,""),"")</f>
        <v/>
      </c>
      <c r="W12" s="34">
        <f>IF(AND(W$5&gt;$E12,W$5&lt;=$F12),IF(W$5=$E12+1,$C12,""),"")</f>
        <v/>
      </c>
      <c r="X12" s="34">
        <f>IF(AND(X$5&gt;$E12,X$5&lt;=$F12),IF(X$5=$E12+1,$C12,""),"")</f>
        <v/>
      </c>
      <c r="Y12" s="34">
        <f>IF(AND(Y$5&gt;$E12,Y$5&lt;=$F12),IF(Y$5=$E12+1,$C12,""),"")</f>
        <v/>
      </c>
      <c r="Z12" s="34">
        <f>IF(AND(Z$5&gt;$E12,Z$5&lt;=$F12),IF(Z$5=$E12+1,$C12,""),"")</f>
        <v/>
      </c>
      <c r="AA12" s="34">
        <f>IF(AND(AA$5&gt;$E12,AA$5&lt;=$F12),IF(AA$5=$E12+1,$C12,""),"")</f>
        <v/>
      </c>
      <c r="AB12" s="34">
        <f>IF(AND(AB$5&gt;$E12,AB$5&lt;=$F12),IF(AB$5=$E12+1,$C12,""),"")</f>
        <v/>
      </c>
      <c r="AC12" s="34">
        <f>IF(AND(AC$5&gt;$E12,AC$5&lt;=$F12),IF(AC$5=$E12+1,$C12,""),"")</f>
        <v/>
      </c>
      <c r="AD12" s="34">
        <f>IF(AND(AD$5&gt;$E12,AD$5&lt;=$F12),IF(AD$5=$E12+1,$C12,""),"")</f>
        <v/>
      </c>
      <c r="AE12" s="34">
        <f>IF(AND(AE$5&gt;$E12,AE$5&lt;=$F12),IF(AE$5=$E12+1,$C12,""),"")</f>
        <v/>
      </c>
      <c r="AF12" s="34">
        <f>IF(AND(AF$5&gt;$E12,AF$5&lt;=$F12),IF(AF$5=$E12+1,$C12,""),"")</f>
        <v/>
      </c>
      <c r="AG12" s="34">
        <f>IF(AND(AG$5&gt;$E12,AG$5&lt;=$F12),IF(AG$5=$E12+1,$C12,""),"")</f>
        <v/>
      </c>
      <c r="AH12" s="34">
        <f>IF(AND(AH$5&gt;$E12,AH$5&lt;=$F12),IF(AH$5=$E12+1,$C12,""),"")</f>
        <v/>
      </c>
      <c r="AI12" s="34">
        <f>IF(AND(AI$5&gt;$E12,AI$5&lt;=$F12),IF(AI$5=$E12+1,$C12,""),"")</f>
        <v/>
      </c>
      <c r="AJ12" s="34">
        <f>IF(AND(AJ$5&gt;$E12,AJ$5&lt;=$F12),IF(AJ$5=$E12+1,$C12,""),"")</f>
        <v/>
      </c>
      <c r="AK12" s="34">
        <f>IF(AND(AK$5&gt;$E12,AK$5&lt;=$F12),IF(AK$5=$E12+1,$C12,""),"")</f>
        <v/>
      </c>
      <c r="AL12" s="34">
        <f>IF(AND(AL$5&gt;$E12,AL$5&lt;=$F12),IF(AL$5=$E12+1,$C12,""),"")</f>
        <v/>
      </c>
      <c r="AM12" s="34">
        <f>IF(AND(AM$5&gt;$E12,AM$5&lt;=$F12),IF(AM$5=$E12+1,$C12,""),"")</f>
        <v/>
      </c>
      <c r="AN12" s="34">
        <f>IF(AND(AN$5&gt;$E12,AN$5&lt;=$F12),IF(AN$5=$E12+1,$C12,""),"")</f>
        <v/>
      </c>
      <c r="AO12" s="34">
        <f>IF(AND(AO$5&gt;$E12,AO$5&lt;=$F12),IF(AO$5=$E12+1,$C12,""),"")</f>
        <v/>
      </c>
      <c r="AP12" s="34">
        <f>IF(AND(AP$5&gt;$E12,AP$5&lt;=$F12),IF(AP$5=$E12+1,$C12,""),"")</f>
        <v/>
      </c>
      <c r="AQ12" s="34">
        <f>IF(AND(AQ$5&gt;$E12,AQ$5&lt;=$F12),IF(AQ$5=$E12+1,$C12,""),"")</f>
        <v/>
      </c>
      <c r="AR12" s="34">
        <f>IF(AND(AR$5&gt;$E12,AR$5&lt;=$F12),IF(AR$5=$E12+1,$C12,""),"")</f>
        <v/>
      </c>
      <c r="AS12" s="34">
        <f>IF(AND(AS$5&gt;$E12,AS$5&lt;=$F12),IF(AS$5=$E12+1,$C12,""),"")</f>
        <v/>
      </c>
      <c r="AT12" s="34">
        <f>IF(AND(AT$5&gt;$E12,AT$5&lt;=$F12),IF(AT$5=$E12+1,$C12,""),"")</f>
        <v/>
      </c>
      <c r="AU12" s="34">
        <f>IF(AND(AU$5&gt;$E12,AU$5&lt;=$F12),IF(AU$5=$E12+1,$C12,""),"")</f>
        <v/>
      </c>
      <c r="AV12" s="34">
        <f>IF(AND(AV$5&gt;$E12,AV$5&lt;=$F12),IF(AV$5=$E12+1,$C12,""),"")</f>
        <v/>
      </c>
      <c r="AW12" s="34">
        <f>IF(AND(AW$5&gt;$E12,AW$5&lt;=$F12),IF(AW$5=$E12+1,$C12,""),"")</f>
        <v/>
      </c>
      <c r="AX12" s="34">
        <f>IF(AND(AX$5&gt;$E12,AX$5&lt;=$F12),IF(AX$5=$E12+1,$C12,""),"")</f>
        <v/>
      </c>
      <c r="AY12" s="34">
        <f>IF(AND(AY$5&gt;$E12,AY$5&lt;=$F12),IF(AY$5=$E12+1,$C12,""),"")</f>
        <v/>
      </c>
      <c r="AZ12" s="34">
        <f>IF(AND(AZ$5&gt;$E12,AZ$5&lt;=$F12),IF(AZ$5=$E12+1,$C12,""),"")</f>
        <v/>
      </c>
      <c r="BA12" s="34">
        <f>IF(AND(BA$5&gt;$E12,BA$5&lt;=$F12),IF(BA$5=$E12+1,$C12,""),"")</f>
        <v/>
      </c>
      <c r="BB12" s="34">
        <f>IF(AND(BB$5&gt;$E12,BB$5&lt;=$F12),IF(BB$5=$E12+1,$C12,""),"")</f>
        <v/>
      </c>
      <c r="BC12" s="34">
        <f>IF(AND(BC$5&gt;$E12,BC$5&lt;=$F12),IF(BC$5=$E12+1,$C12,""),"")</f>
        <v/>
      </c>
      <c r="BD12" s="34">
        <f>IF(AND(BD$5&gt;$E12,BD$5&lt;=$F12),IF(BD$5=$E12+1,$C12,""),"")</f>
        <v/>
      </c>
      <c r="BE12" s="34">
        <f>IF(AND(BE$5&gt;$E12,BE$5&lt;=$F12),IF(BE$5=$E12+1,$C12,""),"")</f>
        <v/>
      </c>
      <c r="BF12" s="34">
        <f>IF(AND(BF$5&gt;$E12,BF$5&lt;=$F12),IF(BF$5=$E12+1,$C12,""),"")</f>
        <v/>
      </c>
      <c r="BG12" s="34">
        <f>IF(AND(BG$5&gt;$E12,BG$5&lt;=$F12),IF(BG$5=$E12+1,$C12,""),"")</f>
        <v/>
      </c>
      <c r="BH12" s="34">
        <f>IF(AND(BH$5&gt;$E12,BH$5&lt;=$F12),IF(BH$5=$E12+1,$C12,""),"")</f>
        <v/>
      </c>
      <c r="BI12" s="34">
        <f>IF(AND(BI$5&gt;$E12,BI$5&lt;=$F12),IF(BI$5=$E12+1,$C12,""),"")</f>
        <v/>
      </c>
      <c r="BJ12" s="34">
        <f>IF(AND(BJ$5&gt;$E12,BJ$5&lt;=$F12),IF(BJ$5=$E12+1,$C12,""),"")</f>
        <v/>
      </c>
      <c r="BK12" s="34">
        <f>IF(AND(BK$5&gt;$E12,BK$5&lt;=$F12),IF(BK$5=$E12+1,$C12,""),"")</f>
        <v/>
      </c>
      <c r="BL12" s="34">
        <f>IF(AND(BL$5&gt;$E12,BL$5&lt;=$F12),IF(BL$5=$E12+1,$C12,""),"")</f>
        <v/>
      </c>
      <c r="BM12" s="34">
        <f>IF(AND(BM$5&gt;$E12,BM$5&lt;=$F12),IF(BM$5=$E12+1,$C12,""),"")</f>
        <v/>
      </c>
      <c r="BN12" s="34">
        <f>IF(AND(BN$5&gt;$E12,BN$5&lt;=$F12),IF(BN$5=$E12+1,$C12,""),"")</f>
        <v/>
      </c>
      <c r="BO12" s="34">
        <f>IF(AND(BO$5&gt;$E12,BO$5&lt;=$F12),IF(BO$5=$E12+1,$C12,""),"")</f>
        <v/>
      </c>
      <c r="BP12" s="34">
        <f>IF(AND(BP$5&gt;$E12,BP$5&lt;=$F12),IF(BP$5=$E12+1,$C12,""),"")</f>
        <v/>
      </c>
      <c r="BQ12" s="34">
        <f>IF(AND(BQ$5&gt;$E12,BQ$5&lt;=$F12),IF(BQ$5=$E12+1,$C12,""),"")</f>
        <v/>
      </c>
      <c r="BR12" s="34">
        <f>IF(AND(BR$5&gt;$E12,BR$5&lt;=$F12),IF(BR$5=$E12+1,$C12,""),"")</f>
        <v/>
      </c>
      <c r="BS12" s="34">
        <f>IF(AND(BS$5&gt;$E12,BS$5&lt;=$F12),IF(BS$5=$E12+1,$C12,""),"")</f>
        <v/>
      </c>
      <c r="BT12" s="34">
        <f>IF(AND(BT$5&gt;$E12,BT$5&lt;=$F12),IF(BT$5=$E12+1,$C12,""),"")</f>
        <v/>
      </c>
      <c r="BU12" s="34">
        <f>IF(AND(BU$5&gt;$E12,BU$5&lt;=$F12),IF(BU$5=$E12+1,$C12,""),"")</f>
        <v/>
      </c>
      <c r="BV12" s="34">
        <f>IF(AND(BV$5&gt;$E12,BV$5&lt;=$F12),IF(BV$5=$E12+1,$C12,""),"")</f>
        <v/>
      </c>
      <c r="BW12" s="34">
        <f>IF(AND(BW$5&gt;$E12,BW$5&lt;=$F12),IF(BW$5=$E12+1,$C12,""),"")</f>
        <v/>
      </c>
      <c r="BX12" s="34">
        <f>IF(AND(BX$5&gt;$E12,BX$5&lt;=$F12),IF(BX$5=$E12+1,$C12,""),"")</f>
        <v/>
      </c>
      <c r="BY12" s="34">
        <f>IF(AND(BY$5&gt;$E12,BY$5&lt;=$F12),IF(BY$5=$E12+1,$C12,""),"")</f>
        <v/>
      </c>
      <c r="BZ12" s="34">
        <f>IF(AND(BZ$5&gt;$E12,BZ$5&lt;=$F12),IF(BZ$5=$E12+1,$C12,""),"")</f>
        <v/>
      </c>
      <c r="CA12" s="34">
        <f>IF(AND(CA$5&gt;$E12,CA$5&lt;=$F12),IF(CA$5=$E12+1,$C12,""),"")</f>
        <v/>
      </c>
      <c r="CB12" s="34">
        <f>IF(AND(CB$5&gt;$E12,CB$5&lt;=$F12),IF(CB$5=$E12+1,$C12,""),"")</f>
        <v/>
      </c>
      <c r="CC12" s="34">
        <f>IF(AND(CC$5&gt;$E12,CC$5&lt;=$F12),IF(CC$5=$E12+1,$C12,""),"")</f>
        <v/>
      </c>
      <c r="CD12" s="34">
        <f>IF(AND(CD$5&gt;$E12,CD$5&lt;=$F12),IF(CD$5=$E12+1,$C12,""),"")</f>
        <v/>
      </c>
      <c r="CE12" s="34">
        <f>IF(AND(CE$5&gt;$E12,CE$5&lt;=$F12),IF(CE$5=$E12+1,$C12,""),"")</f>
        <v/>
      </c>
      <c r="CF12" s="34">
        <f>IF(AND(CF$5&gt;$E12,CF$5&lt;=$F12),IF(CF$5=$E12+1,$C12,""),"")</f>
        <v/>
      </c>
      <c r="CG12" s="34">
        <f>IF(AND(CG$5&gt;$E12,CG$5&lt;=$F12),IF(CG$5=$E12+1,$C12,""),"")</f>
        <v/>
      </c>
      <c r="CH12" s="34">
        <f>IF(AND(CH$5&gt;$E12,CH$5&lt;=$F12),IF(CH$5=$E12+1,$C12,""),"")</f>
        <v/>
      </c>
      <c r="CI12" s="34">
        <f>IF(AND(CI$5&gt;$E12,CI$5&lt;=$F12),IF(CI$5=$E12+1,$C12,""),"")</f>
        <v/>
      </c>
      <c r="CJ12" s="34">
        <f>IF(AND(CJ$5&gt;$E12,CJ$5&lt;=$F12),IF(CJ$5=$E12+1,$C12,""),"")</f>
        <v/>
      </c>
      <c r="CK12" s="34">
        <f>IF(AND(CK$5&gt;$E12,CK$5&lt;=$F12),IF(CK$5=$E12+1,$C12,""),"")</f>
        <v/>
      </c>
      <c r="CL12" s="34">
        <f>IF(AND(CL$5&gt;$E12,CL$5&lt;=$F12),IF(CL$5=$E12+1,$C12,""),"")</f>
        <v/>
      </c>
      <c r="CM12" s="34">
        <f>IF(AND(CM$5&gt;$E12,CM$5&lt;=$F12),IF(CM$5=$E12+1,$C12,""),"")</f>
        <v/>
      </c>
      <c r="CN12" s="34">
        <f>IF(AND(CN$5&gt;$E12,CN$5&lt;=$F12),IF(CN$5=$E12+1,$C12,""),"")</f>
        <v/>
      </c>
      <c r="CO12" s="34">
        <f>IF(AND(CO$5&gt;$E12,CO$5&lt;=$F12),IF(CO$5=$E12+1,$C12,""),"")</f>
        <v/>
      </c>
      <c r="CP12" s="34">
        <f>IF(AND(CP$5&gt;$E12,CP$5&lt;=$F12),IF(CP$5=$E12+1,$C12,""),"")</f>
        <v/>
      </c>
      <c r="CQ12" s="34">
        <f>IF(AND(CQ$5&gt;$E12,CQ$5&lt;=$F12),IF(CQ$5=$E12+1,$C12,""),"")</f>
        <v/>
      </c>
      <c r="CR12" s="34">
        <f>IF(AND(CR$5&gt;$E12,CR$5&lt;=$F12),IF(CR$5=$E12+1,$C12,""),"")</f>
        <v/>
      </c>
      <c r="CS12" s="34">
        <f>IF(AND(CS$5&gt;$E12,CS$5&lt;=$F12),IF(CS$5=$E12+1,$C12,""),"")</f>
        <v/>
      </c>
      <c r="CT12" s="34">
        <f>IF(AND(CT$5&gt;$E12,CT$5&lt;=$F12),IF(CT$5=$E12+1,$C12,""),"")</f>
        <v/>
      </c>
      <c r="CU12" s="34">
        <f>IF(AND(CU$5&gt;$E12,CU$5&lt;=$F12),IF(CU$5=$E12+1,$C12,""),"")</f>
        <v/>
      </c>
      <c r="CV12" s="34">
        <f>IF(AND(CV$5&gt;$E12,CV$5&lt;=$F12),IF(CV$5=$E12+1,$C12,""),"")</f>
        <v/>
      </c>
      <c r="CW12" s="34">
        <f>IF(AND(CW$5&gt;$E12,CW$5&lt;=$F12),IF(CW$5=$E12+1,$C12,""),"")</f>
        <v/>
      </c>
      <c r="CX12" s="34">
        <f>IF(AND(CX$5&gt;$E12,CX$5&lt;=$F12),IF(CX$5=$E12+1,$C12,""),"")</f>
        <v/>
      </c>
      <c r="CY12" s="34">
        <f>IF(AND(CY$5&gt;$E12,CY$5&lt;=$F12),IF(CY$5=$E12+1,$C12,""),"")</f>
        <v/>
      </c>
      <c r="CZ12" s="34">
        <f>IF(AND(CZ$5&gt;$E12,CZ$5&lt;=$F12),IF(CZ$5=$E12+1,$C12,""),"")</f>
        <v/>
      </c>
      <c r="DA12" s="34">
        <f>IF(AND(DA$5&gt;$E12,DA$5&lt;=$F12),IF(DA$5=$E12+1,$C12,""),"")</f>
        <v/>
      </c>
      <c r="DB12" s="34">
        <f>IF(AND(DB$5&gt;$E12,DB$5&lt;=$F12),IF(DB$5=$E12+1,$C12,""),"")</f>
        <v/>
      </c>
      <c r="DC12" s="34">
        <f>IF(AND(DC$5&gt;$E12,DC$5&lt;=$F12),IF(DC$5=$E12+1,$C12,""),"")</f>
        <v/>
      </c>
      <c r="DD12" s="34">
        <f>IF(AND(DD$5&gt;$E12,DD$5&lt;=$F12),IF(DD$5=$E12+1,$C12,""),"")</f>
        <v/>
      </c>
      <c r="DE12" s="34">
        <f>IF(AND(DE$5&gt;$E12,DE$5&lt;=$F12),IF(DE$5=$E12+1,$C12,""),"")</f>
        <v/>
      </c>
      <c r="DF12" s="34">
        <f>IF(AND(DF$5&gt;$E12,DF$5&lt;=$F12),IF(DF$5=$E12+1,$C12,""),"")</f>
        <v/>
      </c>
      <c r="DG12" s="34">
        <f>IF(AND(DG$5&gt;$E12,DG$5&lt;=$F12),IF(DG$5=$E12+1,$C12,""),"")</f>
        <v/>
      </c>
      <c r="DH12" s="34">
        <f>IF(AND(DH$5&gt;$E12,DH$5&lt;=$F12),IF(DH$5=$E12+1,$C12,""),"")</f>
        <v/>
      </c>
      <c r="DI12" s="34">
        <f>IF(AND(DI$5&gt;$E12,DI$5&lt;=$F12),IF(DI$5=$E12+1,$C12,""),"")</f>
        <v/>
      </c>
      <c r="DJ12" s="34">
        <f>IF(AND(DJ$5&gt;$E12,DJ$5&lt;=$F12),IF(DJ$5=$E12+1,$C12,""),"")</f>
        <v/>
      </c>
      <c r="DK12" s="34">
        <f>IF(AND(DK$5&gt;$E12,DK$5&lt;=$F12),IF(DK$5=$E12+1,$C12,""),"")</f>
        <v/>
      </c>
      <c r="DL12" s="34">
        <f>IF(AND(DL$5&gt;$E12,DL$5&lt;=$F12),IF(DL$5=$E12+1,$C12,""),"")</f>
        <v/>
      </c>
      <c r="DM12" s="34">
        <f>IF(AND(DM$5&gt;$E12,DM$5&lt;=$F12),IF(DM$5=$E12+1,$C12,""),"")</f>
        <v/>
      </c>
      <c r="DN12" s="34">
        <f>IF(AND(DN$5&gt;$E12,DN$5&lt;=$F12),IF(DN$5=$E12+1,$C12,""),"")</f>
        <v/>
      </c>
      <c r="DO12" s="34">
        <f>IF(AND(DO$5&gt;$E12,DO$5&lt;=$F12),IF(DO$5=$E12+1,$C12,""),"")</f>
        <v/>
      </c>
      <c r="DP12" s="34">
        <f>IF(AND(DP$5&gt;$E12,DP$5&lt;=$F12),IF(DP$5=$E12+1,$C12,""),"")</f>
        <v/>
      </c>
      <c r="DQ12" s="34">
        <f>IF(AND(DQ$5&gt;$E12,DQ$5&lt;=$F12),IF(DQ$5=$E12+1,$C12,""),"")</f>
        <v/>
      </c>
      <c r="DR12" s="34">
        <f>IF(AND(DR$5&gt;$E12,DR$5&lt;=$F12),IF(DR$5=$E12+1,$C12,""),"")</f>
        <v/>
      </c>
      <c r="DS12" s="34">
        <f>IF(AND(DS$5&gt;$E12,DS$5&lt;=$F12),IF(DS$5=$E12+1,$C12,""),"")</f>
        <v/>
      </c>
      <c r="DT12" s="34">
        <f>IF(AND(DT$5&gt;$E12,DT$5&lt;=$F12),IF(DT$5=$E12+1,$C12,""),"")</f>
        <v/>
      </c>
      <c r="DU12" s="34">
        <f>IF(AND(DU$5&gt;$E12,DU$5&lt;=$F12),IF(DU$5=$E12+1,$C12,""),"")</f>
        <v/>
      </c>
      <c r="DV12" s="34">
        <f>IF(AND(DV$5&gt;$E12,DV$5&lt;=$F12),IF(DV$5=$E12+1,$C12,""),"")</f>
        <v/>
      </c>
      <c r="DW12" s="34">
        <f>IF(AND(DW$5&gt;$E12,DW$5&lt;=$F12),IF(DW$5=$E12+1,$C12,""),"")</f>
        <v/>
      </c>
      <c r="DX12" s="34">
        <f>IF(AND(DX$5&gt;$E12,DX$5&lt;=$F12),IF(DX$5=$E12+1,$C12,""),"")</f>
        <v/>
      </c>
      <c r="DY12" s="34">
        <f>IF(AND(DY$5&gt;$E12,DY$5&lt;=$F12),IF(DY$5=$E12+1,$C12,""),"")</f>
        <v/>
      </c>
      <c r="DZ12" s="34">
        <f>IF(AND(DZ$5&gt;$E12,DZ$5&lt;=$F12),IF(DZ$5=$E12+1,$C12,""),"")</f>
        <v/>
      </c>
      <c r="EA12" s="34">
        <f>IF(AND(EA$5&gt;$E12,EA$5&lt;=$F12),IF(EA$5=$E12+1,$C12,""),"")</f>
        <v/>
      </c>
      <c r="EB12" s="34">
        <f>IF(AND(EB$5&gt;$E12,EB$5&lt;=$F12),IF(EB$5=$E12+1,$C12,""),"")</f>
        <v/>
      </c>
      <c r="EC12" s="34">
        <f>IF(AND(EC$5&gt;$E12,EC$5&lt;=$F12),IF(EC$5=$E12+1,$C12,""),"")</f>
        <v/>
      </c>
      <c r="ED12" s="34">
        <f>IF(AND(ED$5&gt;$E12,ED$5&lt;=$F12),IF(ED$5=$E12+1,$C12,""),"")</f>
        <v/>
      </c>
      <c r="EE12" s="34">
        <f>IF(AND(EE$5&gt;$E12,EE$5&lt;=$F12),IF(EE$5=$E12+1,$C12,""),"")</f>
        <v/>
      </c>
      <c r="EF12" s="34">
        <f>IF(AND(EF$5&gt;$E12,EF$5&lt;=$F12),IF(EF$5=$E12+1,$C12,""),"")</f>
        <v/>
      </c>
      <c r="EG12" s="34">
        <f>IF(AND(EG$5&gt;$E12,EG$5&lt;=$F12),IF(EG$5=$E12+1,$C12,""),"")</f>
        <v/>
      </c>
      <c r="EH12" s="34">
        <f>IF(AND(EH$5&gt;$E12,EH$5&lt;=$F12),IF(EH$5=$E12+1,$C12,""),"")</f>
        <v/>
      </c>
      <c r="EI12" s="34">
        <f>IF(AND(EI$5&gt;$E12,EI$5&lt;=$F12),IF(EI$5=$E12+1,$C12,""),"")</f>
        <v/>
      </c>
      <c r="EJ12" s="34">
        <f>IF(AND(EJ$5&gt;$E12,EJ$5&lt;=$F12),IF(EJ$5=$E12+1,$C12,""),"")</f>
        <v/>
      </c>
      <c r="EK12" s="34">
        <f>IF(AND(EK$5&gt;$E12,EK$5&lt;=$F12),IF(EK$5=$E12+1,$C12,""),"")</f>
        <v/>
      </c>
      <c r="EL12" s="34">
        <f>IF(AND(EL$5&gt;$E12,EL$5&lt;=$F12),IF(EL$5=$E12+1,$C12,""),"")</f>
        <v/>
      </c>
      <c r="EM12" s="34">
        <f>IF(AND(EM$5&gt;$E12,EM$5&lt;=$F12),IF(EM$5=$E12+1,$C12,""),"")</f>
        <v/>
      </c>
      <c r="EN12" s="34">
        <f>IF(AND(EN$5&gt;$E12,EN$5&lt;=$F12),IF(EN$5=$E12+1,$C12,""),"")</f>
        <v/>
      </c>
      <c r="EO12" s="34">
        <f>IF(AND(EO$5&gt;$E12,EO$5&lt;=$F12),IF(EO$5=$E12+1,$C12,""),"")</f>
        <v/>
      </c>
      <c r="EP12" s="34">
        <f>IF(AND(EP$5&gt;$E12,EP$5&lt;=$F12),IF(EP$5=$E12+1,$C12,""),"")</f>
        <v/>
      </c>
      <c r="EQ12" s="34">
        <f>IF(AND(EQ$5&gt;$E12,EQ$5&lt;=$F12),IF(EQ$5=$E12+1,$C12,""),"")</f>
        <v/>
      </c>
      <c r="ER12" s="34">
        <f>IF(AND(ER$5&gt;$E12,ER$5&lt;=$F12),IF(ER$5=$E12+1,$C12,""),"")</f>
        <v/>
      </c>
      <c r="ES12" s="34">
        <f>IF(AND(ES$5&gt;$E12,ES$5&lt;=$F12),IF(ES$5=$E12+1,$C12,""),"")</f>
        <v/>
      </c>
      <c r="ET12" s="34">
        <f>IF(AND(ET$5&gt;$E12,ET$5&lt;=$F12),IF(ET$5=$E12+1,$C12,""),"")</f>
        <v/>
      </c>
      <c r="EU12" s="34">
        <f>IF(AND(EU$5&gt;$E12,EU$5&lt;=$F12),IF(EU$5=$E12+1,$C12,""),"")</f>
        <v/>
      </c>
      <c r="EV12" s="34">
        <f>IF(AND(EV$5&gt;$E12,EV$5&lt;=$F12),IF(EV$5=$E12+1,$C12,""),"")</f>
        <v/>
      </c>
      <c r="EW12" s="34">
        <f>IF(AND(EW$5&gt;$E12,EW$5&lt;=$F12),IF(EW$5=$E12+1,$C12,""),"")</f>
        <v/>
      </c>
      <c r="EX12" s="34">
        <f>IF(AND(EX$5&gt;$E12,EX$5&lt;=$F12),IF(EX$5=$E12+1,$C12,""),"")</f>
        <v/>
      </c>
      <c r="EY12" s="34">
        <f>IF(AND(EY$5&gt;$E12,EY$5&lt;=$F12),IF(EY$5=$E12+1,$C12,""),"")</f>
        <v/>
      </c>
      <c r="EZ12" s="34">
        <f>IF(AND(EZ$5&gt;$E12,EZ$5&lt;=$F12),IF(EZ$5=$E12+1,$C12,""),"")</f>
        <v/>
      </c>
      <c r="FA12" s="34">
        <f>IF(AND(FA$5&gt;$E12,FA$5&lt;=$F12),IF(FA$5=$E12+1,$C12,""),"")</f>
        <v/>
      </c>
    </row>
    <row r="13">
      <c r="A13" s="32">
        <f>Plan!A8</f>
        <v/>
      </c>
      <c r="B13" s="33">
        <f>Plan!C8</f>
        <v/>
      </c>
      <c r="C13" s="16">
        <f>Plan!D8</f>
        <v/>
      </c>
      <c r="D13" s="16">
        <f>Plan!I8</f>
        <v/>
      </c>
      <c r="E13" s="16">
        <f>Plan!K8</f>
        <v/>
      </c>
      <c r="F13" s="16">
        <f>Plan!L8</f>
        <v/>
      </c>
      <c r="G13" s="16">
        <f>Plan!O8</f>
        <v/>
      </c>
      <c r="H13" s="34">
        <f>IF(AND(H$5&gt;$E13,H$5&lt;=$F13),IF(H$5=$E13+1,$C13,""),"")</f>
        <v/>
      </c>
      <c r="I13" s="34">
        <f>IF(AND(I$5&gt;$E13,I$5&lt;=$F13),IF(I$5=$E13+1,$C13,""),"")</f>
        <v/>
      </c>
      <c r="J13" s="34">
        <f>IF(AND(J$5&gt;$E13,J$5&lt;=$F13),IF(J$5=$E13+1,$C13,""),"")</f>
        <v/>
      </c>
      <c r="K13" s="34">
        <f>IF(AND(K$5&gt;$E13,K$5&lt;=$F13),IF(K$5=$E13+1,$C13,""),"")</f>
        <v/>
      </c>
      <c r="L13" s="34">
        <f>IF(AND(L$5&gt;$E13,L$5&lt;=$F13),IF(L$5=$E13+1,$C13,""),"")</f>
        <v/>
      </c>
      <c r="M13" s="34">
        <f>IF(AND(M$5&gt;$E13,M$5&lt;=$F13),IF(M$5=$E13+1,$C13,""),"")</f>
        <v/>
      </c>
      <c r="N13" s="34">
        <f>IF(AND(N$5&gt;$E13,N$5&lt;=$F13),IF(N$5=$E13+1,$C13,""),"")</f>
        <v/>
      </c>
      <c r="O13" s="34">
        <f>IF(AND(O$5&gt;$E13,O$5&lt;=$F13),IF(O$5=$E13+1,$C13,""),"")</f>
        <v/>
      </c>
      <c r="P13" s="34">
        <f>IF(AND(P$5&gt;$E13,P$5&lt;=$F13),IF(P$5=$E13+1,$C13,""),"")</f>
        <v/>
      </c>
      <c r="Q13" s="34">
        <f>IF(AND(Q$5&gt;$E13,Q$5&lt;=$F13),IF(Q$5=$E13+1,$C13,""),"")</f>
        <v/>
      </c>
      <c r="R13" s="34">
        <f>IF(AND(R$5&gt;$E13,R$5&lt;=$F13),IF(R$5=$E13+1,$C13,""),"")</f>
        <v/>
      </c>
      <c r="S13" s="34">
        <f>IF(AND(S$5&gt;$E13,S$5&lt;=$F13),IF(S$5=$E13+1,$C13,""),"")</f>
        <v/>
      </c>
      <c r="T13" s="34">
        <f>IF(AND(T$5&gt;$E13,T$5&lt;=$F13),IF(T$5=$E13+1,$C13,""),"")</f>
        <v/>
      </c>
      <c r="U13" s="34">
        <f>IF(AND(U$5&gt;$E13,U$5&lt;=$F13),IF(U$5=$E13+1,$C13,""),"")</f>
        <v/>
      </c>
      <c r="V13" s="34">
        <f>IF(AND(V$5&gt;$E13,V$5&lt;=$F13),IF(V$5=$E13+1,$C13,""),"")</f>
        <v/>
      </c>
      <c r="W13" s="34">
        <f>IF(AND(W$5&gt;$E13,W$5&lt;=$F13),IF(W$5=$E13+1,$C13,""),"")</f>
        <v/>
      </c>
      <c r="X13" s="34">
        <f>IF(AND(X$5&gt;$E13,X$5&lt;=$F13),IF(X$5=$E13+1,$C13,""),"")</f>
        <v/>
      </c>
      <c r="Y13" s="34">
        <f>IF(AND(Y$5&gt;$E13,Y$5&lt;=$F13),IF(Y$5=$E13+1,$C13,""),"")</f>
        <v/>
      </c>
      <c r="Z13" s="34">
        <f>IF(AND(Z$5&gt;$E13,Z$5&lt;=$F13),IF(Z$5=$E13+1,$C13,""),"")</f>
        <v/>
      </c>
      <c r="AA13" s="34">
        <f>IF(AND(AA$5&gt;$E13,AA$5&lt;=$F13),IF(AA$5=$E13+1,$C13,""),"")</f>
        <v/>
      </c>
      <c r="AB13" s="34">
        <f>IF(AND(AB$5&gt;$E13,AB$5&lt;=$F13),IF(AB$5=$E13+1,$C13,""),"")</f>
        <v/>
      </c>
      <c r="AC13" s="34">
        <f>IF(AND(AC$5&gt;$E13,AC$5&lt;=$F13),IF(AC$5=$E13+1,$C13,""),"")</f>
        <v/>
      </c>
      <c r="AD13" s="34">
        <f>IF(AND(AD$5&gt;$E13,AD$5&lt;=$F13),IF(AD$5=$E13+1,$C13,""),"")</f>
        <v/>
      </c>
      <c r="AE13" s="34">
        <f>IF(AND(AE$5&gt;$E13,AE$5&lt;=$F13),IF(AE$5=$E13+1,$C13,""),"")</f>
        <v/>
      </c>
      <c r="AF13" s="34">
        <f>IF(AND(AF$5&gt;$E13,AF$5&lt;=$F13),IF(AF$5=$E13+1,$C13,""),"")</f>
        <v/>
      </c>
      <c r="AG13" s="34">
        <f>IF(AND(AG$5&gt;$E13,AG$5&lt;=$F13),IF(AG$5=$E13+1,$C13,""),"")</f>
        <v/>
      </c>
      <c r="AH13" s="34">
        <f>IF(AND(AH$5&gt;$E13,AH$5&lt;=$F13),IF(AH$5=$E13+1,$C13,""),"")</f>
        <v/>
      </c>
      <c r="AI13" s="34">
        <f>IF(AND(AI$5&gt;$E13,AI$5&lt;=$F13),IF(AI$5=$E13+1,$C13,""),"")</f>
        <v/>
      </c>
      <c r="AJ13" s="34">
        <f>IF(AND(AJ$5&gt;$E13,AJ$5&lt;=$F13),IF(AJ$5=$E13+1,$C13,""),"")</f>
        <v/>
      </c>
      <c r="AK13" s="34">
        <f>IF(AND(AK$5&gt;$E13,AK$5&lt;=$F13),IF(AK$5=$E13+1,$C13,""),"")</f>
        <v/>
      </c>
      <c r="AL13" s="34">
        <f>IF(AND(AL$5&gt;$E13,AL$5&lt;=$F13),IF(AL$5=$E13+1,$C13,""),"")</f>
        <v/>
      </c>
      <c r="AM13" s="34">
        <f>IF(AND(AM$5&gt;$E13,AM$5&lt;=$F13),IF(AM$5=$E13+1,$C13,""),"")</f>
        <v/>
      </c>
      <c r="AN13" s="34">
        <f>IF(AND(AN$5&gt;$E13,AN$5&lt;=$F13),IF(AN$5=$E13+1,$C13,""),"")</f>
        <v/>
      </c>
      <c r="AO13" s="34">
        <f>IF(AND(AO$5&gt;$E13,AO$5&lt;=$F13),IF(AO$5=$E13+1,$C13,""),"")</f>
        <v/>
      </c>
      <c r="AP13" s="34">
        <f>IF(AND(AP$5&gt;$E13,AP$5&lt;=$F13),IF(AP$5=$E13+1,$C13,""),"")</f>
        <v/>
      </c>
      <c r="AQ13" s="34">
        <f>IF(AND(AQ$5&gt;$E13,AQ$5&lt;=$F13),IF(AQ$5=$E13+1,$C13,""),"")</f>
        <v/>
      </c>
      <c r="AR13" s="34">
        <f>IF(AND(AR$5&gt;$E13,AR$5&lt;=$F13),IF(AR$5=$E13+1,$C13,""),"")</f>
        <v/>
      </c>
      <c r="AS13" s="34">
        <f>IF(AND(AS$5&gt;$E13,AS$5&lt;=$F13),IF(AS$5=$E13+1,$C13,""),"")</f>
        <v/>
      </c>
      <c r="AT13" s="34">
        <f>IF(AND(AT$5&gt;$E13,AT$5&lt;=$F13),IF(AT$5=$E13+1,$C13,""),"")</f>
        <v/>
      </c>
      <c r="AU13" s="34">
        <f>IF(AND(AU$5&gt;$E13,AU$5&lt;=$F13),IF(AU$5=$E13+1,$C13,""),"")</f>
        <v/>
      </c>
      <c r="AV13" s="34">
        <f>IF(AND(AV$5&gt;$E13,AV$5&lt;=$F13),IF(AV$5=$E13+1,$C13,""),"")</f>
        <v/>
      </c>
      <c r="AW13" s="34">
        <f>IF(AND(AW$5&gt;$E13,AW$5&lt;=$F13),IF(AW$5=$E13+1,$C13,""),"")</f>
        <v/>
      </c>
      <c r="AX13" s="34">
        <f>IF(AND(AX$5&gt;$E13,AX$5&lt;=$F13),IF(AX$5=$E13+1,$C13,""),"")</f>
        <v/>
      </c>
      <c r="AY13" s="34">
        <f>IF(AND(AY$5&gt;$E13,AY$5&lt;=$F13),IF(AY$5=$E13+1,$C13,""),"")</f>
        <v/>
      </c>
      <c r="AZ13" s="34">
        <f>IF(AND(AZ$5&gt;$E13,AZ$5&lt;=$F13),IF(AZ$5=$E13+1,$C13,""),"")</f>
        <v/>
      </c>
      <c r="BA13" s="34">
        <f>IF(AND(BA$5&gt;$E13,BA$5&lt;=$F13),IF(BA$5=$E13+1,$C13,""),"")</f>
        <v/>
      </c>
      <c r="BB13" s="34">
        <f>IF(AND(BB$5&gt;$E13,BB$5&lt;=$F13),IF(BB$5=$E13+1,$C13,""),"")</f>
        <v/>
      </c>
      <c r="BC13" s="34">
        <f>IF(AND(BC$5&gt;$E13,BC$5&lt;=$F13),IF(BC$5=$E13+1,$C13,""),"")</f>
        <v/>
      </c>
      <c r="BD13" s="34">
        <f>IF(AND(BD$5&gt;$E13,BD$5&lt;=$F13),IF(BD$5=$E13+1,$C13,""),"")</f>
        <v/>
      </c>
      <c r="BE13" s="34">
        <f>IF(AND(BE$5&gt;$E13,BE$5&lt;=$F13),IF(BE$5=$E13+1,$C13,""),"")</f>
        <v/>
      </c>
      <c r="BF13" s="34">
        <f>IF(AND(BF$5&gt;$E13,BF$5&lt;=$F13),IF(BF$5=$E13+1,$C13,""),"")</f>
        <v/>
      </c>
      <c r="BG13" s="34">
        <f>IF(AND(BG$5&gt;$E13,BG$5&lt;=$F13),IF(BG$5=$E13+1,$C13,""),"")</f>
        <v/>
      </c>
      <c r="BH13" s="34">
        <f>IF(AND(BH$5&gt;$E13,BH$5&lt;=$F13),IF(BH$5=$E13+1,$C13,""),"")</f>
        <v/>
      </c>
      <c r="BI13" s="34">
        <f>IF(AND(BI$5&gt;$E13,BI$5&lt;=$F13),IF(BI$5=$E13+1,$C13,""),"")</f>
        <v/>
      </c>
      <c r="BJ13" s="34">
        <f>IF(AND(BJ$5&gt;$E13,BJ$5&lt;=$F13),IF(BJ$5=$E13+1,$C13,""),"")</f>
        <v/>
      </c>
      <c r="BK13" s="34">
        <f>IF(AND(BK$5&gt;$E13,BK$5&lt;=$F13),IF(BK$5=$E13+1,$C13,""),"")</f>
        <v/>
      </c>
      <c r="BL13" s="34">
        <f>IF(AND(BL$5&gt;$E13,BL$5&lt;=$F13),IF(BL$5=$E13+1,$C13,""),"")</f>
        <v/>
      </c>
      <c r="BM13" s="34">
        <f>IF(AND(BM$5&gt;$E13,BM$5&lt;=$F13),IF(BM$5=$E13+1,$C13,""),"")</f>
        <v/>
      </c>
      <c r="BN13" s="34">
        <f>IF(AND(BN$5&gt;$E13,BN$5&lt;=$F13),IF(BN$5=$E13+1,$C13,""),"")</f>
        <v/>
      </c>
      <c r="BO13" s="34">
        <f>IF(AND(BO$5&gt;$E13,BO$5&lt;=$F13),IF(BO$5=$E13+1,$C13,""),"")</f>
        <v/>
      </c>
      <c r="BP13" s="34">
        <f>IF(AND(BP$5&gt;$E13,BP$5&lt;=$F13),IF(BP$5=$E13+1,$C13,""),"")</f>
        <v/>
      </c>
      <c r="BQ13" s="34">
        <f>IF(AND(BQ$5&gt;$E13,BQ$5&lt;=$F13),IF(BQ$5=$E13+1,$C13,""),"")</f>
        <v/>
      </c>
      <c r="BR13" s="34">
        <f>IF(AND(BR$5&gt;$E13,BR$5&lt;=$F13),IF(BR$5=$E13+1,$C13,""),"")</f>
        <v/>
      </c>
      <c r="BS13" s="34">
        <f>IF(AND(BS$5&gt;$E13,BS$5&lt;=$F13),IF(BS$5=$E13+1,$C13,""),"")</f>
        <v/>
      </c>
      <c r="BT13" s="34">
        <f>IF(AND(BT$5&gt;$E13,BT$5&lt;=$F13),IF(BT$5=$E13+1,$C13,""),"")</f>
        <v/>
      </c>
      <c r="BU13" s="34">
        <f>IF(AND(BU$5&gt;$E13,BU$5&lt;=$F13),IF(BU$5=$E13+1,$C13,""),"")</f>
        <v/>
      </c>
      <c r="BV13" s="34">
        <f>IF(AND(BV$5&gt;$E13,BV$5&lt;=$F13),IF(BV$5=$E13+1,$C13,""),"")</f>
        <v/>
      </c>
      <c r="BW13" s="34">
        <f>IF(AND(BW$5&gt;$E13,BW$5&lt;=$F13),IF(BW$5=$E13+1,$C13,""),"")</f>
        <v/>
      </c>
      <c r="BX13" s="34">
        <f>IF(AND(BX$5&gt;$E13,BX$5&lt;=$F13),IF(BX$5=$E13+1,$C13,""),"")</f>
        <v/>
      </c>
      <c r="BY13" s="34">
        <f>IF(AND(BY$5&gt;$E13,BY$5&lt;=$F13),IF(BY$5=$E13+1,$C13,""),"")</f>
        <v/>
      </c>
      <c r="BZ13" s="34">
        <f>IF(AND(BZ$5&gt;$E13,BZ$5&lt;=$F13),IF(BZ$5=$E13+1,$C13,""),"")</f>
        <v/>
      </c>
      <c r="CA13" s="34">
        <f>IF(AND(CA$5&gt;$E13,CA$5&lt;=$F13),IF(CA$5=$E13+1,$C13,""),"")</f>
        <v/>
      </c>
      <c r="CB13" s="34">
        <f>IF(AND(CB$5&gt;$E13,CB$5&lt;=$F13),IF(CB$5=$E13+1,$C13,""),"")</f>
        <v/>
      </c>
      <c r="CC13" s="34">
        <f>IF(AND(CC$5&gt;$E13,CC$5&lt;=$F13),IF(CC$5=$E13+1,$C13,""),"")</f>
        <v/>
      </c>
      <c r="CD13" s="34">
        <f>IF(AND(CD$5&gt;$E13,CD$5&lt;=$F13),IF(CD$5=$E13+1,$C13,""),"")</f>
        <v/>
      </c>
      <c r="CE13" s="34">
        <f>IF(AND(CE$5&gt;$E13,CE$5&lt;=$F13),IF(CE$5=$E13+1,$C13,""),"")</f>
        <v/>
      </c>
      <c r="CF13" s="34">
        <f>IF(AND(CF$5&gt;$E13,CF$5&lt;=$F13),IF(CF$5=$E13+1,$C13,""),"")</f>
        <v/>
      </c>
      <c r="CG13" s="34">
        <f>IF(AND(CG$5&gt;$E13,CG$5&lt;=$F13),IF(CG$5=$E13+1,$C13,""),"")</f>
        <v/>
      </c>
      <c r="CH13" s="34">
        <f>IF(AND(CH$5&gt;$E13,CH$5&lt;=$F13),IF(CH$5=$E13+1,$C13,""),"")</f>
        <v/>
      </c>
      <c r="CI13" s="34">
        <f>IF(AND(CI$5&gt;$E13,CI$5&lt;=$F13),IF(CI$5=$E13+1,$C13,""),"")</f>
        <v/>
      </c>
      <c r="CJ13" s="34">
        <f>IF(AND(CJ$5&gt;$E13,CJ$5&lt;=$F13),IF(CJ$5=$E13+1,$C13,""),"")</f>
        <v/>
      </c>
      <c r="CK13" s="34">
        <f>IF(AND(CK$5&gt;$E13,CK$5&lt;=$F13),IF(CK$5=$E13+1,$C13,""),"")</f>
        <v/>
      </c>
      <c r="CL13" s="34">
        <f>IF(AND(CL$5&gt;$E13,CL$5&lt;=$F13),IF(CL$5=$E13+1,$C13,""),"")</f>
        <v/>
      </c>
      <c r="CM13" s="34">
        <f>IF(AND(CM$5&gt;$E13,CM$5&lt;=$F13),IF(CM$5=$E13+1,$C13,""),"")</f>
        <v/>
      </c>
      <c r="CN13" s="34">
        <f>IF(AND(CN$5&gt;$E13,CN$5&lt;=$F13),IF(CN$5=$E13+1,$C13,""),"")</f>
        <v/>
      </c>
      <c r="CO13" s="34">
        <f>IF(AND(CO$5&gt;$E13,CO$5&lt;=$F13),IF(CO$5=$E13+1,$C13,""),"")</f>
        <v/>
      </c>
      <c r="CP13" s="34">
        <f>IF(AND(CP$5&gt;$E13,CP$5&lt;=$F13),IF(CP$5=$E13+1,$C13,""),"")</f>
        <v/>
      </c>
      <c r="CQ13" s="34">
        <f>IF(AND(CQ$5&gt;$E13,CQ$5&lt;=$F13),IF(CQ$5=$E13+1,$C13,""),"")</f>
        <v/>
      </c>
      <c r="CR13" s="34">
        <f>IF(AND(CR$5&gt;$E13,CR$5&lt;=$F13),IF(CR$5=$E13+1,$C13,""),"")</f>
        <v/>
      </c>
      <c r="CS13" s="34">
        <f>IF(AND(CS$5&gt;$E13,CS$5&lt;=$F13),IF(CS$5=$E13+1,$C13,""),"")</f>
        <v/>
      </c>
      <c r="CT13" s="34">
        <f>IF(AND(CT$5&gt;$E13,CT$5&lt;=$F13),IF(CT$5=$E13+1,$C13,""),"")</f>
        <v/>
      </c>
      <c r="CU13" s="34">
        <f>IF(AND(CU$5&gt;$E13,CU$5&lt;=$F13),IF(CU$5=$E13+1,$C13,""),"")</f>
        <v/>
      </c>
      <c r="CV13" s="34">
        <f>IF(AND(CV$5&gt;$E13,CV$5&lt;=$F13),IF(CV$5=$E13+1,$C13,""),"")</f>
        <v/>
      </c>
      <c r="CW13" s="34">
        <f>IF(AND(CW$5&gt;$E13,CW$5&lt;=$F13),IF(CW$5=$E13+1,$C13,""),"")</f>
        <v/>
      </c>
      <c r="CX13" s="34">
        <f>IF(AND(CX$5&gt;$E13,CX$5&lt;=$F13),IF(CX$5=$E13+1,$C13,""),"")</f>
        <v/>
      </c>
      <c r="CY13" s="34">
        <f>IF(AND(CY$5&gt;$E13,CY$5&lt;=$F13),IF(CY$5=$E13+1,$C13,""),"")</f>
        <v/>
      </c>
      <c r="CZ13" s="34">
        <f>IF(AND(CZ$5&gt;$E13,CZ$5&lt;=$F13),IF(CZ$5=$E13+1,$C13,""),"")</f>
        <v/>
      </c>
      <c r="DA13" s="34">
        <f>IF(AND(DA$5&gt;$E13,DA$5&lt;=$F13),IF(DA$5=$E13+1,$C13,""),"")</f>
        <v/>
      </c>
      <c r="DB13" s="34">
        <f>IF(AND(DB$5&gt;$E13,DB$5&lt;=$F13),IF(DB$5=$E13+1,$C13,""),"")</f>
        <v/>
      </c>
      <c r="DC13" s="34">
        <f>IF(AND(DC$5&gt;$E13,DC$5&lt;=$F13),IF(DC$5=$E13+1,$C13,""),"")</f>
        <v/>
      </c>
      <c r="DD13" s="34">
        <f>IF(AND(DD$5&gt;$E13,DD$5&lt;=$F13),IF(DD$5=$E13+1,$C13,""),"")</f>
        <v/>
      </c>
      <c r="DE13" s="34">
        <f>IF(AND(DE$5&gt;$E13,DE$5&lt;=$F13),IF(DE$5=$E13+1,$C13,""),"")</f>
        <v/>
      </c>
      <c r="DF13" s="34">
        <f>IF(AND(DF$5&gt;$E13,DF$5&lt;=$F13),IF(DF$5=$E13+1,$C13,""),"")</f>
        <v/>
      </c>
      <c r="DG13" s="34">
        <f>IF(AND(DG$5&gt;$E13,DG$5&lt;=$F13),IF(DG$5=$E13+1,$C13,""),"")</f>
        <v/>
      </c>
      <c r="DH13" s="34">
        <f>IF(AND(DH$5&gt;$E13,DH$5&lt;=$F13),IF(DH$5=$E13+1,$C13,""),"")</f>
        <v/>
      </c>
      <c r="DI13" s="34">
        <f>IF(AND(DI$5&gt;$E13,DI$5&lt;=$F13),IF(DI$5=$E13+1,$C13,""),"")</f>
        <v/>
      </c>
      <c r="DJ13" s="34">
        <f>IF(AND(DJ$5&gt;$E13,DJ$5&lt;=$F13),IF(DJ$5=$E13+1,$C13,""),"")</f>
        <v/>
      </c>
      <c r="DK13" s="34">
        <f>IF(AND(DK$5&gt;$E13,DK$5&lt;=$F13),IF(DK$5=$E13+1,$C13,""),"")</f>
        <v/>
      </c>
      <c r="DL13" s="34">
        <f>IF(AND(DL$5&gt;$E13,DL$5&lt;=$F13),IF(DL$5=$E13+1,$C13,""),"")</f>
        <v/>
      </c>
      <c r="DM13" s="34">
        <f>IF(AND(DM$5&gt;$E13,DM$5&lt;=$F13),IF(DM$5=$E13+1,$C13,""),"")</f>
        <v/>
      </c>
      <c r="DN13" s="34">
        <f>IF(AND(DN$5&gt;$E13,DN$5&lt;=$F13),IF(DN$5=$E13+1,$C13,""),"")</f>
        <v/>
      </c>
      <c r="DO13" s="34">
        <f>IF(AND(DO$5&gt;$E13,DO$5&lt;=$F13),IF(DO$5=$E13+1,$C13,""),"")</f>
        <v/>
      </c>
      <c r="DP13" s="34">
        <f>IF(AND(DP$5&gt;$E13,DP$5&lt;=$F13),IF(DP$5=$E13+1,$C13,""),"")</f>
        <v/>
      </c>
      <c r="DQ13" s="34">
        <f>IF(AND(DQ$5&gt;$E13,DQ$5&lt;=$F13),IF(DQ$5=$E13+1,$C13,""),"")</f>
        <v/>
      </c>
      <c r="DR13" s="34">
        <f>IF(AND(DR$5&gt;$E13,DR$5&lt;=$F13),IF(DR$5=$E13+1,$C13,""),"")</f>
        <v/>
      </c>
      <c r="DS13" s="34">
        <f>IF(AND(DS$5&gt;$E13,DS$5&lt;=$F13),IF(DS$5=$E13+1,$C13,""),"")</f>
        <v/>
      </c>
      <c r="DT13" s="34">
        <f>IF(AND(DT$5&gt;$E13,DT$5&lt;=$F13),IF(DT$5=$E13+1,$C13,""),"")</f>
        <v/>
      </c>
      <c r="DU13" s="34">
        <f>IF(AND(DU$5&gt;$E13,DU$5&lt;=$F13),IF(DU$5=$E13+1,$C13,""),"")</f>
        <v/>
      </c>
      <c r="DV13" s="34">
        <f>IF(AND(DV$5&gt;$E13,DV$5&lt;=$F13),IF(DV$5=$E13+1,$C13,""),"")</f>
        <v/>
      </c>
      <c r="DW13" s="34">
        <f>IF(AND(DW$5&gt;$E13,DW$5&lt;=$F13),IF(DW$5=$E13+1,$C13,""),"")</f>
        <v/>
      </c>
      <c r="DX13" s="34">
        <f>IF(AND(DX$5&gt;$E13,DX$5&lt;=$F13),IF(DX$5=$E13+1,$C13,""),"")</f>
        <v/>
      </c>
      <c r="DY13" s="34">
        <f>IF(AND(DY$5&gt;$E13,DY$5&lt;=$F13),IF(DY$5=$E13+1,$C13,""),"")</f>
        <v/>
      </c>
      <c r="DZ13" s="34">
        <f>IF(AND(DZ$5&gt;$E13,DZ$5&lt;=$F13),IF(DZ$5=$E13+1,$C13,""),"")</f>
        <v/>
      </c>
      <c r="EA13" s="34">
        <f>IF(AND(EA$5&gt;$E13,EA$5&lt;=$F13),IF(EA$5=$E13+1,$C13,""),"")</f>
        <v/>
      </c>
      <c r="EB13" s="34">
        <f>IF(AND(EB$5&gt;$E13,EB$5&lt;=$F13),IF(EB$5=$E13+1,$C13,""),"")</f>
        <v/>
      </c>
      <c r="EC13" s="34">
        <f>IF(AND(EC$5&gt;$E13,EC$5&lt;=$F13),IF(EC$5=$E13+1,$C13,""),"")</f>
        <v/>
      </c>
      <c r="ED13" s="34">
        <f>IF(AND(ED$5&gt;$E13,ED$5&lt;=$F13),IF(ED$5=$E13+1,$C13,""),"")</f>
        <v/>
      </c>
      <c r="EE13" s="34">
        <f>IF(AND(EE$5&gt;$E13,EE$5&lt;=$F13),IF(EE$5=$E13+1,$C13,""),"")</f>
        <v/>
      </c>
      <c r="EF13" s="34">
        <f>IF(AND(EF$5&gt;$E13,EF$5&lt;=$F13),IF(EF$5=$E13+1,$C13,""),"")</f>
        <v/>
      </c>
      <c r="EG13" s="34">
        <f>IF(AND(EG$5&gt;$E13,EG$5&lt;=$F13),IF(EG$5=$E13+1,$C13,""),"")</f>
        <v/>
      </c>
      <c r="EH13" s="34">
        <f>IF(AND(EH$5&gt;$E13,EH$5&lt;=$F13),IF(EH$5=$E13+1,$C13,""),"")</f>
        <v/>
      </c>
      <c r="EI13" s="34">
        <f>IF(AND(EI$5&gt;$E13,EI$5&lt;=$F13),IF(EI$5=$E13+1,$C13,""),"")</f>
        <v/>
      </c>
      <c r="EJ13" s="34">
        <f>IF(AND(EJ$5&gt;$E13,EJ$5&lt;=$F13),IF(EJ$5=$E13+1,$C13,""),"")</f>
        <v/>
      </c>
      <c r="EK13" s="34">
        <f>IF(AND(EK$5&gt;$E13,EK$5&lt;=$F13),IF(EK$5=$E13+1,$C13,""),"")</f>
        <v/>
      </c>
      <c r="EL13" s="34">
        <f>IF(AND(EL$5&gt;$E13,EL$5&lt;=$F13),IF(EL$5=$E13+1,$C13,""),"")</f>
        <v/>
      </c>
      <c r="EM13" s="34">
        <f>IF(AND(EM$5&gt;$E13,EM$5&lt;=$F13),IF(EM$5=$E13+1,$C13,""),"")</f>
        <v/>
      </c>
      <c r="EN13" s="34">
        <f>IF(AND(EN$5&gt;$E13,EN$5&lt;=$F13),IF(EN$5=$E13+1,$C13,""),"")</f>
        <v/>
      </c>
      <c r="EO13" s="34">
        <f>IF(AND(EO$5&gt;$E13,EO$5&lt;=$F13),IF(EO$5=$E13+1,$C13,""),"")</f>
        <v/>
      </c>
      <c r="EP13" s="34">
        <f>IF(AND(EP$5&gt;$E13,EP$5&lt;=$F13),IF(EP$5=$E13+1,$C13,""),"")</f>
        <v/>
      </c>
      <c r="EQ13" s="34">
        <f>IF(AND(EQ$5&gt;$E13,EQ$5&lt;=$F13),IF(EQ$5=$E13+1,$C13,""),"")</f>
        <v/>
      </c>
      <c r="ER13" s="34">
        <f>IF(AND(ER$5&gt;$E13,ER$5&lt;=$F13),IF(ER$5=$E13+1,$C13,""),"")</f>
        <v/>
      </c>
      <c r="ES13" s="34">
        <f>IF(AND(ES$5&gt;$E13,ES$5&lt;=$F13),IF(ES$5=$E13+1,$C13,""),"")</f>
        <v/>
      </c>
      <c r="ET13" s="34">
        <f>IF(AND(ET$5&gt;$E13,ET$5&lt;=$F13),IF(ET$5=$E13+1,$C13,""),"")</f>
        <v/>
      </c>
      <c r="EU13" s="34">
        <f>IF(AND(EU$5&gt;$E13,EU$5&lt;=$F13),IF(EU$5=$E13+1,$C13,""),"")</f>
        <v/>
      </c>
      <c r="EV13" s="34">
        <f>IF(AND(EV$5&gt;$E13,EV$5&lt;=$F13),IF(EV$5=$E13+1,$C13,""),"")</f>
        <v/>
      </c>
      <c r="EW13" s="34">
        <f>IF(AND(EW$5&gt;$E13,EW$5&lt;=$F13),IF(EW$5=$E13+1,$C13,""),"")</f>
        <v/>
      </c>
      <c r="EX13" s="34">
        <f>IF(AND(EX$5&gt;$E13,EX$5&lt;=$F13),IF(EX$5=$E13+1,$C13,""),"")</f>
        <v/>
      </c>
      <c r="EY13" s="34">
        <f>IF(AND(EY$5&gt;$E13,EY$5&lt;=$F13),IF(EY$5=$E13+1,$C13,""),"")</f>
        <v/>
      </c>
      <c r="EZ13" s="34">
        <f>IF(AND(EZ$5&gt;$E13,EZ$5&lt;=$F13),IF(EZ$5=$E13+1,$C13,""),"")</f>
        <v/>
      </c>
      <c r="FA13" s="34">
        <f>IF(AND(FA$5&gt;$E13,FA$5&lt;=$F13),IF(FA$5=$E13+1,$C13,""),"")</f>
        <v/>
      </c>
    </row>
    <row r="14">
      <c r="A14" s="32">
        <f>Plan!A9</f>
        <v/>
      </c>
      <c r="B14" s="33">
        <f>Plan!C9</f>
        <v/>
      </c>
      <c r="C14" s="16">
        <f>Plan!D9</f>
        <v/>
      </c>
      <c r="D14" s="16">
        <f>Plan!I9</f>
        <v/>
      </c>
      <c r="E14" s="16">
        <f>Plan!K9</f>
        <v/>
      </c>
      <c r="F14" s="16">
        <f>Plan!L9</f>
        <v/>
      </c>
      <c r="G14" s="16">
        <f>Plan!O9</f>
        <v/>
      </c>
      <c r="H14" s="34">
        <f>IF(AND(H$5&gt;$E14,H$5&lt;=$F14),IF(H$5=$E14+1,$C14,""),"")</f>
        <v/>
      </c>
      <c r="I14" s="34">
        <f>IF(AND(I$5&gt;$E14,I$5&lt;=$F14),IF(I$5=$E14+1,$C14,""),"")</f>
        <v/>
      </c>
      <c r="J14" s="34">
        <f>IF(AND(J$5&gt;$E14,J$5&lt;=$F14),IF(J$5=$E14+1,$C14,""),"")</f>
        <v/>
      </c>
      <c r="K14" s="34">
        <f>IF(AND(K$5&gt;$E14,K$5&lt;=$F14),IF(K$5=$E14+1,$C14,""),"")</f>
        <v/>
      </c>
      <c r="L14" s="34">
        <f>IF(AND(L$5&gt;$E14,L$5&lt;=$F14),IF(L$5=$E14+1,$C14,""),"")</f>
        <v/>
      </c>
      <c r="M14" s="34">
        <f>IF(AND(M$5&gt;$E14,M$5&lt;=$F14),IF(M$5=$E14+1,$C14,""),"")</f>
        <v/>
      </c>
      <c r="N14" s="34">
        <f>IF(AND(N$5&gt;$E14,N$5&lt;=$F14),IF(N$5=$E14+1,$C14,""),"")</f>
        <v/>
      </c>
      <c r="O14" s="34">
        <f>IF(AND(O$5&gt;$E14,O$5&lt;=$F14),IF(O$5=$E14+1,$C14,""),"")</f>
        <v/>
      </c>
      <c r="P14" s="34">
        <f>IF(AND(P$5&gt;$E14,P$5&lt;=$F14),IF(P$5=$E14+1,$C14,""),"")</f>
        <v/>
      </c>
      <c r="Q14" s="34">
        <f>IF(AND(Q$5&gt;$E14,Q$5&lt;=$F14),IF(Q$5=$E14+1,$C14,""),"")</f>
        <v/>
      </c>
      <c r="R14" s="34">
        <f>IF(AND(R$5&gt;$E14,R$5&lt;=$F14),IF(R$5=$E14+1,$C14,""),"")</f>
        <v/>
      </c>
      <c r="S14" s="34">
        <f>IF(AND(S$5&gt;$E14,S$5&lt;=$F14),IF(S$5=$E14+1,$C14,""),"")</f>
        <v/>
      </c>
      <c r="T14" s="34">
        <f>IF(AND(T$5&gt;$E14,T$5&lt;=$F14),IF(T$5=$E14+1,$C14,""),"")</f>
        <v/>
      </c>
      <c r="U14" s="34">
        <f>IF(AND(U$5&gt;$E14,U$5&lt;=$F14),IF(U$5=$E14+1,$C14,""),"")</f>
        <v/>
      </c>
      <c r="V14" s="34">
        <f>IF(AND(V$5&gt;$E14,V$5&lt;=$F14),IF(V$5=$E14+1,$C14,""),"")</f>
        <v/>
      </c>
      <c r="W14" s="34">
        <f>IF(AND(W$5&gt;$E14,W$5&lt;=$F14),IF(W$5=$E14+1,$C14,""),"")</f>
        <v/>
      </c>
      <c r="X14" s="34">
        <f>IF(AND(X$5&gt;$E14,X$5&lt;=$F14),IF(X$5=$E14+1,$C14,""),"")</f>
        <v/>
      </c>
      <c r="Y14" s="34">
        <f>IF(AND(Y$5&gt;$E14,Y$5&lt;=$F14),IF(Y$5=$E14+1,$C14,""),"")</f>
        <v/>
      </c>
      <c r="Z14" s="34">
        <f>IF(AND(Z$5&gt;$E14,Z$5&lt;=$F14),IF(Z$5=$E14+1,$C14,""),"")</f>
        <v/>
      </c>
      <c r="AA14" s="34">
        <f>IF(AND(AA$5&gt;$E14,AA$5&lt;=$F14),IF(AA$5=$E14+1,$C14,""),"")</f>
        <v/>
      </c>
      <c r="AB14" s="34">
        <f>IF(AND(AB$5&gt;$E14,AB$5&lt;=$F14),IF(AB$5=$E14+1,$C14,""),"")</f>
        <v/>
      </c>
      <c r="AC14" s="34">
        <f>IF(AND(AC$5&gt;$E14,AC$5&lt;=$F14),IF(AC$5=$E14+1,$C14,""),"")</f>
        <v/>
      </c>
      <c r="AD14" s="34">
        <f>IF(AND(AD$5&gt;$E14,AD$5&lt;=$F14),IF(AD$5=$E14+1,$C14,""),"")</f>
        <v/>
      </c>
      <c r="AE14" s="34">
        <f>IF(AND(AE$5&gt;$E14,AE$5&lt;=$F14),IF(AE$5=$E14+1,$C14,""),"")</f>
        <v/>
      </c>
      <c r="AF14" s="34">
        <f>IF(AND(AF$5&gt;$E14,AF$5&lt;=$F14),IF(AF$5=$E14+1,$C14,""),"")</f>
        <v/>
      </c>
      <c r="AG14" s="34">
        <f>IF(AND(AG$5&gt;$E14,AG$5&lt;=$F14),IF(AG$5=$E14+1,$C14,""),"")</f>
        <v/>
      </c>
      <c r="AH14" s="34">
        <f>IF(AND(AH$5&gt;$E14,AH$5&lt;=$F14),IF(AH$5=$E14+1,$C14,""),"")</f>
        <v/>
      </c>
      <c r="AI14" s="34">
        <f>IF(AND(AI$5&gt;$E14,AI$5&lt;=$F14),IF(AI$5=$E14+1,$C14,""),"")</f>
        <v/>
      </c>
      <c r="AJ14" s="34">
        <f>IF(AND(AJ$5&gt;$E14,AJ$5&lt;=$F14),IF(AJ$5=$E14+1,$C14,""),"")</f>
        <v/>
      </c>
      <c r="AK14" s="34">
        <f>IF(AND(AK$5&gt;$E14,AK$5&lt;=$F14),IF(AK$5=$E14+1,$C14,""),"")</f>
        <v/>
      </c>
      <c r="AL14" s="34">
        <f>IF(AND(AL$5&gt;$E14,AL$5&lt;=$F14),IF(AL$5=$E14+1,$C14,""),"")</f>
        <v/>
      </c>
      <c r="AM14" s="34">
        <f>IF(AND(AM$5&gt;$E14,AM$5&lt;=$F14),IF(AM$5=$E14+1,$C14,""),"")</f>
        <v/>
      </c>
      <c r="AN14" s="34">
        <f>IF(AND(AN$5&gt;$E14,AN$5&lt;=$F14),IF(AN$5=$E14+1,$C14,""),"")</f>
        <v/>
      </c>
      <c r="AO14" s="34">
        <f>IF(AND(AO$5&gt;$E14,AO$5&lt;=$F14),IF(AO$5=$E14+1,$C14,""),"")</f>
        <v/>
      </c>
      <c r="AP14" s="34">
        <f>IF(AND(AP$5&gt;$E14,AP$5&lt;=$F14),IF(AP$5=$E14+1,$C14,""),"")</f>
        <v/>
      </c>
      <c r="AQ14" s="34">
        <f>IF(AND(AQ$5&gt;$E14,AQ$5&lt;=$F14),IF(AQ$5=$E14+1,$C14,""),"")</f>
        <v/>
      </c>
      <c r="AR14" s="34">
        <f>IF(AND(AR$5&gt;$E14,AR$5&lt;=$F14),IF(AR$5=$E14+1,$C14,""),"")</f>
        <v/>
      </c>
      <c r="AS14" s="34">
        <f>IF(AND(AS$5&gt;$E14,AS$5&lt;=$F14),IF(AS$5=$E14+1,$C14,""),"")</f>
        <v/>
      </c>
      <c r="AT14" s="34">
        <f>IF(AND(AT$5&gt;$E14,AT$5&lt;=$F14),IF(AT$5=$E14+1,$C14,""),"")</f>
        <v/>
      </c>
      <c r="AU14" s="34">
        <f>IF(AND(AU$5&gt;$E14,AU$5&lt;=$F14),IF(AU$5=$E14+1,$C14,""),"")</f>
        <v/>
      </c>
      <c r="AV14" s="34">
        <f>IF(AND(AV$5&gt;$E14,AV$5&lt;=$F14),IF(AV$5=$E14+1,$C14,""),"")</f>
        <v/>
      </c>
      <c r="AW14" s="34">
        <f>IF(AND(AW$5&gt;$E14,AW$5&lt;=$F14),IF(AW$5=$E14+1,$C14,""),"")</f>
        <v/>
      </c>
      <c r="AX14" s="34">
        <f>IF(AND(AX$5&gt;$E14,AX$5&lt;=$F14),IF(AX$5=$E14+1,$C14,""),"")</f>
        <v/>
      </c>
      <c r="AY14" s="34">
        <f>IF(AND(AY$5&gt;$E14,AY$5&lt;=$F14),IF(AY$5=$E14+1,$C14,""),"")</f>
        <v/>
      </c>
      <c r="AZ14" s="34">
        <f>IF(AND(AZ$5&gt;$E14,AZ$5&lt;=$F14),IF(AZ$5=$E14+1,$C14,""),"")</f>
        <v/>
      </c>
      <c r="BA14" s="34">
        <f>IF(AND(BA$5&gt;$E14,BA$5&lt;=$F14),IF(BA$5=$E14+1,$C14,""),"")</f>
        <v/>
      </c>
      <c r="BB14" s="34">
        <f>IF(AND(BB$5&gt;$E14,BB$5&lt;=$F14),IF(BB$5=$E14+1,$C14,""),"")</f>
        <v/>
      </c>
      <c r="BC14" s="34">
        <f>IF(AND(BC$5&gt;$E14,BC$5&lt;=$F14),IF(BC$5=$E14+1,$C14,""),"")</f>
        <v/>
      </c>
      <c r="BD14" s="34">
        <f>IF(AND(BD$5&gt;$E14,BD$5&lt;=$F14),IF(BD$5=$E14+1,$C14,""),"")</f>
        <v/>
      </c>
      <c r="BE14" s="34">
        <f>IF(AND(BE$5&gt;$E14,BE$5&lt;=$F14),IF(BE$5=$E14+1,$C14,""),"")</f>
        <v/>
      </c>
      <c r="BF14" s="34">
        <f>IF(AND(BF$5&gt;$E14,BF$5&lt;=$F14),IF(BF$5=$E14+1,$C14,""),"")</f>
        <v/>
      </c>
      <c r="BG14" s="34">
        <f>IF(AND(BG$5&gt;$E14,BG$5&lt;=$F14),IF(BG$5=$E14+1,$C14,""),"")</f>
        <v/>
      </c>
      <c r="BH14" s="34">
        <f>IF(AND(BH$5&gt;$E14,BH$5&lt;=$F14),IF(BH$5=$E14+1,$C14,""),"")</f>
        <v/>
      </c>
      <c r="BI14" s="34">
        <f>IF(AND(BI$5&gt;$E14,BI$5&lt;=$F14),IF(BI$5=$E14+1,$C14,""),"")</f>
        <v/>
      </c>
      <c r="BJ14" s="34">
        <f>IF(AND(BJ$5&gt;$E14,BJ$5&lt;=$F14),IF(BJ$5=$E14+1,$C14,""),"")</f>
        <v/>
      </c>
      <c r="BK14" s="34">
        <f>IF(AND(BK$5&gt;$E14,BK$5&lt;=$F14),IF(BK$5=$E14+1,$C14,""),"")</f>
        <v/>
      </c>
      <c r="BL14" s="34">
        <f>IF(AND(BL$5&gt;$E14,BL$5&lt;=$F14),IF(BL$5=$E14+1,$C14,""),"")</f>
        <v/>
      </c>
      <c r="BM14" s="34">
        <f>IF(AND(BM$5&gt;$E14,BM$5&lt;=$F14),IF(BM$5=$E14+1,$C14,""),"")</f>
        <v/>
      </c>
      <c r="BN14" s="34">
        <f>IF(AND(BN$5&gt;$E14,BN$5&lt;=$F14),IF(BN$5=$E14+1,$C14,""),"")</f>
        <v/>
      </c>
      <c r="BO14" s="34">
        <f>IF(AND(BO$5&gt;$E14,BO$5&lt;=$F14),IF(BO$5=$E14+1,$C14,""),"")</f>
        <v/>
      </c>
      <c r="BP14" s="34">
        <f>IF(AND(BP$5&gt;$E14,BP$5&lt;=$F14),IF(BP$5=$E14+1,$C14,""),"")</f>
        <v/>
      </c>
      <c r="BQ14" s="34">
        <f>IF(AND(BQ$5&gt;$E14,BQ$5&lt;=$F14),IF(BQ$5=$E14+1,$C14,""),"")</f>
        <v/>
      </c>
      <c r="BR14" s="34">
        <f>IF(AND(BR$5&gt;$E14,BR$5&lt;=$F14),IF(BR$5=$E14+1,$C14,""),"")</f>
        <v/>
      </c>
      <c r="BS14" s="34">
        <f>IF(AND(BS$5&gt;$E14,BS$5&lt;=$F14),IF(BS$5=$E14+1,$C14,""),"")</f>
        <v/>
      </c>
      <c r="BT14" s="34">
        <f>IF(AND(BT$5&gt;$E14,BT$5&lt;=$F14),IF(BT$5=$E14+1,$C14,""),"")</f>
        <v/>
      </c>
      <c r="BU14" s="34">
        <f>IF(AND(BU$5&gt;$E14,BU$5&lt;=$F14),IF(BU$5=$E14+1,$C14,""),"")</f>
        <v/>
      </c>
      <c r="BV14" s="34">
        <f>IF(AND(BV$5&gt;$E14,BV$5&lt;=$F14),IF(BV$5=$E14+1,$C14,""),"")</f>
        <v/>
      </c>
      <c r="BW14" s="34">
        <f>IF(AND(BW$5&gt;$E14,BW$5&lt;=$F14),IF(BW$5=$E14+1,$C14,""),"")</f>
        <v/>
      </c>
      <c r="BX14" s="34">
        <f>IF(AND(BX$5&gt;$E14,BX$5&lt;=$F14),IF(BX$5=$E14+1,$C14,""),"")</f>
        <v/>
      </c>
      <c r="BY14" s="34">
        <f>IF(AND(BY$5&gt;$E14,BY$5&lt;=$F14),IF(BY$5=$E14+1,$C14,""),"")</f>
        <v/>
      </c>
      <c r="BZ14" s="34">
        <f>IF(AND(BZ$5&gt;$E14,BZ$5&lt;=$F14),IF(BZ$5=$E14+1,$C14,""),"")</f>
        <v/>
      </c>
      <c r="CA14" s="34">
        <f>IF(AND(CA$5&gt;$E14,CA$5&lt;=$F14),IF(CA$5=$E14+1,$C14,""),"")</f>
        <v/>
      </c>
      <c r="CB14" s="34">
        <f>IF(AND(CB$5&gt;$E14,CB$5&lt;=$F14),IF(CB$5=$E14+1,$C14,""),"")</f>
        <v/>
      </c>
      <c r="CC14" s="34">
        <f>IF(AND(CC$5&gt;$E14,CC$5&lt;=$F14),IF(CC$5=$E14+1,$C14,""),"")</f>
        <v/>
      </c>
      <c r="CD14" s="34">
        <f>IF(AND(CD$5&gt;$E14,CD$5&lt;=$F14),IF(CD$5=$E14+1,$C14,""),"")</f>
        <v/>
      </c>
      <c r="CE14" s="34">
        <f>IF(AND(CE$5&gt;$E14,CE$5&lt;=$F14),IF(CE$5=$E14+1,$C14,""),"")</f>
        <v/>
      </c>
      <c r="CF14" s="34">
        <f>IF(AND(CF$5&gt;$E14,CF$5&lt;=$F14),IF(CF$5=$E14+1,$C14,""),"")</f>
        <v/>
      </c>
      <c r="CG14" s="34">
        <f>IF(AND(CG$5&gt;$E14,CG$5&lt;=$F14),IF(CG$5=$E14+1,$C14,""),"")</f>
        <v/>
      </c>
      <c r="CH14" s="34">
        <f>IF(AND(CH$5&gt;$E14,CH$5&lt;=$F14),IF(CH$5=$E14+1,$C14,""),"")</f>
        <v/>
      </c>
      <c r="CI14" s="34">
        <f>IF(AND(CI$5&gt;$E14,CI$5&lt;=$F14),IF(CI$5=$E14+1,$C14,""),"")</f>
        <v/>
      </c>
      <c r="CJ14" s="34">
        <f>IF(AND(CJ$5&gt;$E14,CJ$5&lt;=$F14),IF(CJ$5=$E14+1,$C14,""),"")</f>
        <v/>
      </c>
      <c r="CK14" s="34">
        <f>IF(AND(CK$5&gt;$E14,CK$5&lt;=$F14),IF(CK$5=$E14+1,$C14,""),"")</f>
        <v/>
      </c>
      <c r="CL14" s="34">
        <f>IF(AND(CL$5&gt;$E14,CL$5&lt;=$F14),IF(CL$5=$E14+1,$C14,""),"")</f>
        <v/>
      </c>
      <c r="CM14" s="34">
        <f>IF(AND(CM$5&gt;$E14,CM$5&lt;=$F14),IF(CM$5=$E14+1,$C14,""),"")</f>
        <v/>
      </c>
      <c r="CN14" s="34">
        <f>IF(AND(CN$5&gt;$E14,CN$5&lt;=$F14),IF(CN$5=$E14+1,$C14,""),"")</f>
        <v/>
      </c>
      <c r="CO14" s="34">
        <f>IF(AND(CO$5&gt;$E14,CO$5&lt;=$F14),IF(CO$5=$E14+1,$C14,""),"")</f>
        <v/>
      </c>
      <c r="CP14" s="34">
        <f>IF(AND(CP$5&gt;$E14,CP$5&lt;=$F14),IF(CP$5=$E14+1,$C14,""),"")</f>
        <v/>
      </c>
      <c r="CQ14" s="34">
        <f>IF(AND(CQ$5&gt;$E14,CQ$5&lt;=$F14),IF(CQ$5=$E14+1,$C14,""),"")</f>
        <v/>
      </c>
      <c r="CR14" s="34">
        <f>IF(AND(CR$5&gt;$E14,CR$5&lt;=$F14),IF(CR$5=$E14+1,$C14,""),"")</f>
        <v/>
      </c>
      <c r="CS14" s="34">
        <f>IF(AND(CS$5&gt;$E14,CS$5&lt;=$F14),IF(CS$5=$E14+1,$C14,""),"")</f>
        <v/>
      </c>
      <c r="CT14" s="34">
        <f>IF(AND(CT$5&gt;$E14,CT$5&lt;=$F14),IF(CT$5=$E14+1,$C14,""),"")</f>
        <v/>
      </c>
      <c r="CU14" s="34">
        <f>IF(AND(CU$5&gt;$E14,CU$5&lt;=$F14),IF(CU$5=$E14+1,$C14,""),"")</f>
        <v/>
      </c>
      <c r="CV14" s="34">
        <f>IF(AND(CV$5&gt;$E14,CV$5&lt;=$F14),IF(CV$5=$E14+1,$C14,""),"")</f>
        <v/>
      </c>
      <c r="CW14" s="34">
        <f>IF(AND(CW$5&gt;$E14,CW$5&lt;=$F14),IF(CW$5=$E14+1,$C14,""),"")</f>
        <v/>
      </c>
      <c r="CX14" s="34">
        <f>IF(AND(CX$5&gt;$E14,CX$5&lt;=$F14),IF(CX$5=$E14+1,$C14,""),"")</f>
        <v/>
      </c>
      <c r="CY14" s="34">
        <f>IF(AND(CY$5&gt;$E14,CY$5&lt;=$F14),IF(CY$5=$E14+1,$C14,""),"")</f>
        <v/>
      </c>
      <c r="CZ14" s="34">
        <f>IF(AND(CZ$5&gt;$E14,CZ$5&lt;=$F14),IF(CZ$5=$E14+1,$C14,""),"")</f>
        <v/>
      </c>
      <c r="DA14" s="34">
        <f>IF(AND(DA$5&gt;$E14,DA$5&lt;=$F14),IF(DA$5=$E14+1,$C14,""),"")</f>
        <v/>
      </c>
      <c r="DB14" s="34">
        <f>IF(AND(DB$5&gt;$E14,DB$5&lt;=$F14),IF(DB$5=$E14+1,$C14,""),"")</f>
        <v/>
      </c>
      <c r="DC14" s="34">
        <f>IF(AND(DC$5&gt;$E14,DC$5&lt;=$F14),IF(DC$5=$E14+1,$C14,""),"")</f>
        <v/>
      </c>
      <c r="DD14" s="34">
        <f>IF(AND(DD$5&gt;$E14,DD$5&lt;=$F14),IF(DD$5=$E14+1,$C14,""),"")</f>
        <v/>
      </c>
      <c r="DE14" s="34">
        <f>IF(AND(DE$5&gt;$E14,DE$5&lt;=$F14),IF(DE$5=$E14+1,$C14,""),"")</f>
        <v/>
      </c>
      <c r="DF14" s="34">
        <f>IF(AND(DF$5&gt;$E14,DF$5&lt;=$F14),IF(DF$5=$E14+1,$C14,""),"")</f>
        <v/>
      </c>
      <c r="DG14" s="34">
        <f>IF(AND(DG$5&gt;$E14,DG$5&lt;=$F14),IF(DG$5=$E14+1,$C14,""),"")</f>
        <v/>
      </c>
      <c r="DH14" s="34">
        <f>IF(AND(DH$5&gt;$E14,DH$5&lt;=$F14),IF(DH$5=$E14+1,$C14,""),"")</f>
        <v/>
      </c>
      <c r="DI14" s="34">
        <f>IF(AND(DI$5&gt;$E14,DI$5&lt;=$F14),IF(DI$5=$E14+1,$C14,""),"")</f>
        <v/>
      </c>
      <c r="DJ14" s="34">
        <f>IF(AND(DJ$5&gt;$E14,DJ$5&lt;=$F14),IF(DJ$5=$E14+1,$C14,""),"")</f>
        <v/>
      </c>
      <c r="DK14" s="34">
        <f>IF(AND(DK$5&gt;$E14,DK$5&lt;=$F14),IF(DK$5=$E14+1,$C14,""),"")</f>
        <v/>
      </c>
      <c r="DL14" s="34">
        <f>IF(AND(DL$5&gt;$E14,DL$5&lt;=$F14),IF(DL$5=$E14+1,$C14,""),"")</f>
        <v/>
      </c>
      <c r="DM14" s="34">
        <f>IF(AND(DM$5&gt;$E14,DM$5&lt;=$F14),IF(DM$5=$E14+1,$C14,""),"")</f>
        <v/>
      </c>
      <c r="DN14" s="34">
        <f>IF(AND(DN$5&gt;$E14,DN$5&lt;=$F14),IF(DN$5=$E14+1,$C14,""),"")</f>
        <v/>
      </c>
      <c r="DO14" s="34">
        <f>IF(AND(DO$5&gt;$E14,DO$5&lt;=$F14),IF(DO$5=$E14+1,$C14,""),"")</f>
        <v/>
      </c>
      <c r="DP14" s="34">
        <f>IF(AND(DP$5&gt;$E14,DP$5&lt;=$F14),IF(DP$5=$E14+1,$C14,""),"")</f>
        <v/>
      </c>
      <c r="DQ14" s="34">
        <f>IF(AND(DQ$5&gt;$E14,DQ$5&lt;=$F14),IF(DQ$5=$E14+1,$C14,""),"")</f>
        <v/>
      </c>
      <c r="DR14" s="34">
        <f>IF(AND(DR$5&gt;$E14,DR$5&lt;=$F14),IF(DR$5=$E14+1,$C14,""),"")</f>
        <v/>
      </c>
      <c r="DS14" s="34">
        <f>IF(AND(DS$5&gt;$E14,DS$5&lt;=$F14),IF(DS$5=$E14+1,$C14,""),"")</f>
        <v/>
      </c>
      <c r="DT14" s="34">
        <f>IF(AND(DT$5&gt;$E14,DT$5&lt;=$F14),IF(DT$5=$E14+1,$C14,""),"")</f>
        <v/>
      </c>
      <c r="DU14" s="34">
        <f>IF(AND(DU$5&gt;$E14,DU$5&lt;=$F14),IF(DU$5=$E14+1,$C14,""),"")</f>
        <v/>
      </c>
      <c r="DV14" s="34">
        <f>IF(AND(DV$5&gt;$E14,DV$5&lt;=$F14),IF(DV$5=$E14+1,$C14,""),"")</f>
        <v/>
      </c>
      <c r="DW14" s="34">
        <f>IF(AND(DW$5&gt;$E14,DW$5&lt;=$F14),IF(DW$5=$E14+1,$C14,""),"")</f>
        <v/>
      </c>
      <c r="DX14" s="34">
        <f>IF(AND(DX$5&gt;$E14,DX$5&lt;=$F14),IF(DX$5=$E14+1,$C14,""),"")</f>
        <v/>
      </c>
      <c r="DY14" s="34">
        <f>IF(AND(DY$5&gt;$E14,DY$5&lt;=$F14),IF(DY$5=$E14+1,$C14,""),"")</f>
        <v/>
      </c>
      <c r="DZ14" s="34">
        <f>IF(AND(DZ$5&gt;$E14,DZ$5&lt;=$F14),IF(DZ$5=$E14+1,$C14,""),"")</f>
        <v/>
      </c>
      <c r="EA14" s="34">
        <f>IF(AND(EA$5&gt;$E14,EA$5&lt;=$F14),IF(EA$5=$E14+1,$C14,""),"")</f>
        <v/>
      </c>
      <c r="EB14" s="34">
        <f>IF(AND(EB$5&gt;$E14,EB$5&lt;=$F14),IF(EB$5=$E14+1,$C14,""),"")</f>
        <v/>
      </c>
      <c r="EC14" s="34">
        <f>IF(AND(EC$5&gt;$E14,EC$5&lt;=$F14),IF(EC$5=$E14+1,$C14,""),"")</f>
        <v/>
      </c>
      <c r="ED14" s="34">
        <f>IF(AND(ED$5&gt;$E14,ED$5&lt;=$F14),IF(ED$5=$E14+1,$C14,""),"")</f>
        <v/>
      </c>
      <c r="EE14" s="34">
        <f>IF(AND(EE$5&gt;$E14,EE$5&lt;=$F14),IF(EE$5=$E14+1,$C14,""),"")</f>
        <v/>
      </c>
      <c r="EF14" s="34">
        <f>IF(AND(EF$5&gt;$E14,EF$5&lt;=$F14),IF(EF$5=$E14+1,$C14,""),"")</f>
        <v/>
      </c>
      <c r="EG14" s="34">
        <f>IF(AND(EG$5&gt;$E14,EG$5&lt;=$F14),IF(EG$5=$E14+1,$C14,""),"")</f>
        <v/>
      </c>
      <c r="EH14" s="34">
        <f>IF(AND(EH$5&gt;$E14,EH$5&lt;=$F14),IF(EH$5=$E14+1,$C14,""),"")</f>
        <v/>
      </c>
      <c r="EI14" s="34">
        <f>IF(AND(EI$5&gt;$E14,EI$5&lt;=$F14),IF(EI$5=$E14+1,$C14,""),"")</f>
        <v/>
      </c>
      <c r="EJ14" s="34">
        <f>IF(AND(EJ$5&gt;$E14,EJ$5&lt;=$F14),IF(EJ$5=$E14+1,$C14,""),"")</f>
        <v/>
      </c>
      <c r="EK14" s="34">
        <f>IF(AND(EK$5&gt;$E14,EK$5&lt;=$F14),IF(EK$5=$E14+1,$C14,""),"")</f>
        <v/>
      </c>
      <c r="EL14" s="34">
        <f>IF(AND(EL$5&gt;$E14,EL$5&lt;=$F14),IF(EL$5=$E14+1,$C14,""),"")</f>
        <v/>
      </c>
      <c r="EM14" s="34">
        <f>IF(AND(EM$5&gt;$E14,EM$5&lt;=$F14),IF(EM$5=$E14+1,$C14,""),"")</f>
        <v/>
      </c>
      <c r="EN14" s="34">
        <f>IF(AND(EN$5&gt;$E14,EN$5&lt;=$F14),IF(EN$5=$E14+1,$C14,""),"")</f>
        <v/>
      </c>
      <c r="EO14" s="34">
        <f>IF(AND(EO$5&gt;$E14,EO$5&lt;=$F14),IF(EO$5=$E14+1,$C14,""),"")</f>
        <v/>
      </c>
      <c r="EP14" s="34">
        <f>IF(AND(EP$5&gt;$E14,EP$5&lt;=$F14),IF(EP$5=$E14+1,$C14,""),"")</f>
        <v/>
      </c>
      <c r="EQ14" s="34">
        <f>IF(AND(EQ$5&gt;$E14,EQ$5&lt;=$F14),IF(EQ$5=$E14+1,$C14,""),"")</f>
        <v/>
      </c>
      <c r="ER14" s="34">
        <f>IF(AND(ER$5&gt;$E14,ER$5&lt;=$F14),IF(ER$5=$E14+1,$C14,""),"")</f>
        <v/>
      </c>
      <c r="ES14" s="34">
        <f>IF(AND(ES$5&gt;$E14,ES$5&lt;=$F14),IF(ES$5=$E14+1,$C14,""),"")</f>
        <v/>
      </c>
      <c r="ET14" s="34">
        <f>IF(AND(ET$5&gt;$E14,ET$5&lt;=$F14),IF(ET$5=$E14+1,$C14,""),"")</f>
        <v/>
      </c>
      <c r="EU14" s="34">
        <f>IF(AND(EU$5&gt;$E14,EU$5&lt;=$F14),IF(EU$5=$E14+1,$C14,""),"")</f>
        <v/>
      </c>
      <c r="EV14" s="34">
        <f>IF(AND(EV$5&gt;$E14,EV$5&lt;=$F14),IF(EV$5=$E14+1,$C14,""),"")</f>
        <v/>
      </c>
      <c r="EW14" s="34">
        <f>IF(AND(EW$5&gt;$E14,EW$5&lt;=$F14),IF(EW$5=$E14+1,$C14,""),"")</f>
        <v/>
      </c>
      <c r="EX14" s="34">
        <f>IF(AND(EX$5&gt;$E14,EX$5&lt;=$F14),IF(EX$5=$E14+1,$C14,""),"")</f>
        <v/>
      </c>
      <c r="EY14" s="34">
        <f>IF(AND(EY$5&gt;$E14,EY$5&lt;=$F14),IF(EY$5=$E14+1,$C14,""),"")</f>
        <v/>
      </c>
      <c r="EZ14" s="34">
        <f>IF(AND(EZ$5&gt;$E14,EZ$5&lt;=$F14),IF(EZ$5=$E14+1,$C14,""),"")</f>
        <v/>
      </c>
      <c r="FA14" s="34">
        <f>IF(AND(FA$5&gt;$E14,FA$5&lt;=$F14),IF(FA$5=$E14+1,$C14,""),"")</f>
        <v/>
      </c>
    </row>
    <row r="15">
      <c r="A15" s="32">
        <f>Plan!A10</f>
        <v/>
      </c>
      <c r="B15" s="33">
        <f>Plan!C10</f>
        <v/>
      </c>
      <c r="C15" s="16">
        <f>Plan!D10</f>
        <v/>
      </c>
      <c r="D15" s="16">
        <f>Plan!I10</f>
        <v/>
      </c>
      <c r="E15" s="16">
        <f>Plan!K10</f>
        <v/>
      </c>
      <c r="F15" s="16">
        <f>Plan!L10</f>
        <v/>
      </c>
      <c r="G15" s="16">
        <f>Plan!O10</f>
        <v/>
      </c>
      <c r="H15" s="34">
        <f>IF(AND(H$5&gt;$E15,H$5&lt;=$F15),IF(H$5=$E15+1,$C15,""),"")</f>
        <v/>
      </c>
      <c r="I15" s="34">
        <f>IF(AND(I$5&gt;$E15,I$5&lt;=$F15),IF(I$5=$E15+1,$C15,""),"")</f>
        <v/>
      </c>
      <c r="J15" s="34">
        <f>IF(AND(J$5&gt;$E15,J$5&lt;=$F15),IF(J$5=$E15+1,$C15,""),"")</f>
        <v/>
      </c>
      <c r="K15" s="34">
        <f>IF(AND(K$5&gt;$E15,K$5&lt;=$F15),IF(K$5=$E15+1,$C15,""),"")</f>
        <v/>
      </c>
      <c r="L15" s="34">
        <f>IF(AND(L$5&gt;$E15,L$5&lt;=$F15),IF(L$5=$E15+1,$C15,""),"")</f>
        <v/>
      </c>
      <c r="M15" s="34">
        <f>IF(AND(M$5&gt;$E15,M$5&lt;=$F15),IF(M$5=$E15+1,$C15,""),"")</f>
        <v/>
      </c>
      <c r="N15" s="34">
        <f>IF(AND(N$5&gt;$E15,N$5&lt;=$F15),IF(N$5=$E15+1,$C15,""),"")</f>
        <v/>
      </c>
      <c r="O15" s="34">
        <f>IF(AND(O$5&gt;$E15,O$5&lt;=$F15),IF(O$5=$E15+1,$C15,""),"")</f>
        <v/>
      </c>
      <c r="P15" s="34">
        <f>IF(AND(P$5&gt;$E15,P$5&lt;=$F15),IF(P$5=$E15+1,$C15,""),"")</f>
        <v/>
      </c>
      <c r="Q15" s="34">
        <f>IF(AND(Q$5&gt;$E15,Q$5&lt;=$F15),IF(Q$5=$E15+1,$C15,""),"")</f>
        <v/>
      </c>
      <c r="R15" s="34">
        <f>IF(AND(R$5&gt;$E15,R$5&lt;=$F15),IF(R$5=$E15+1,$C15,""),"")</f>
        <v/>
      </c>
      <c r="S15" s="34">
        <f>IF(AND(S$5&gt;$E15,S$5&lt;=$F15),IF(S$5=$E15+1,$C15,""),"")</f>
        <v/>
      </c>
      <c r="T15" s="34">
        <f>IF(AND(T$5&gt;$E15,T$5&lt;=$F15),IF(T$5=$E15+1,$C15,""),"")</f>
        <v/>
      </c>
      <c r="U15" s="34">
        <f>IF(AND(U$5&gt;$E15,U$5&lt;=$F15),IF(U$5=$E15+1,$C15,""),"")</f>
        <v/>
      </c>
      <c r="V15" s="34">
        <f>IF(AND(V$5&gt;$E15,V$5&lt;=$F15),IF(V$5=$E15+1,$C15,""),"")</f>
        <v/>
      </c>
      <c r="W15" s="34">
        <f>IF(AND(W$5&gt;$E15,W$5&lt;=$F15),IF(W$5=$E15+1,$C15,""),"")</f>
        <v/>
      </c>
      <c r="X15" s="34">
        <f>IF(AND(X$5&gt;$E15,X$5&lt;=$F15),IF(X$5=$E15+1,$C15,""),"")</f>
        <v/>
      </c>
      <c r="Y15" s="34">
        <f>IF(AND(Y$5&gt;$E15,Y$5&lt;=$F15),IF(Y$5=$E15+1,$C15,""),"")</f>
        <v/>
      </c>
      <c r="Z15" s="34">
        <f>IF(AND(Z$5&gt;$E15,Z$5&lt;=$F15),IF(Z$5=$E15+1,$C15,""),"")</f>
        <v/>
      </c>
      <c r="AA15" s="34">
        <f>IF(AND(AA$5&gt;$E15,AA$5&lt;=$F15),IF(AA$5=$E15+1,$C15,""),"")</f>
        <v/>
      </c>
      <c r="AB15" s="34">
        <f>IF(AND(AB$5&gt;$E15,AB$5&lt;=$F15),IF(AB$5=$E15+1,$C15,""),"")</f>
        <v/>
      </c>
      <c r="AC15" s="34">
        <f>IF(AND(AC$5&gt;$E15,AC$5&lt;=$F15),IF(AC$5=$E15+1,$C15,""),"")</f>
        <v/>
      </c>
      <c r="AD15" s="34">
        <f>IF(AND(AD$5&gt;$E15,AD$5&lt;=$F15),IF(AD$5=$E15+1,$C15,""),"")</f>
        <v/>
      </c>
      <c r="AE15" s="34">
        <f>IF(AND(AE$5&gt;$E15,AE$5&lt;=$F15),IF(AE$5=$E15+1,$C15,""),"")</f>
        <v/>
      </c>
      <c r="AF15" s="34">
        <f>IF(AND(AF$5&gt;$E15,AF$5&lt;=$F15),IF(AF$5=$E15+1,$C15,""),"")</f>
        <v/>
      </c>
      <c r="AG15" s="34">
        <f>IF(AND(AG$5&gt;$E15,AG$5&lt;=$F15),IF(AG$5=$E15+1,$C15,""),"")</f>
        <v/>
      </c>
      <c r="AH15" s="34">
        <f>IF(AND(AH$5&gt;$E15,AH$5&lt;=$F15),IF(AH$5=$E15+1,$C15,""),"")</f>
        <v/>
      </c>
      <c r="AI15" s="34">
        <f>IF(AND(AI$5&gt;$E15,AI$5&lt;=$F15),IF(AI$5=$E15+1,$C15,""),"")</f>
        <v/>
      </c>
      <c r="AJ15" s="34">
        <f>IF(AND(AJ$5&gt;$E15,AJ$5&lt;=$F15),IF(AJ$5=$E15+1,$C15,""),"")</f>
        <v/>
      </c>
      <c r="AK15" s="34">
        <f>IF(AND(AK$5&gt;$E15,AK$5&lt;=$F15),IF(AK$5=$E15+1,$C15,""),"")</f>
        <v/>
      </c>
      <c r="AL15" s="34">
        <f>IF(AND(AL$5&gt;$E15,AL$5&lt;=$F15),IF(AL$5=$E15+1,$C15,""),"")</f>
        <v/>
      </c>
      <c r="AM15" s="34">
        <f>IF(AND(AM$5&gt;$E15,AM$5&lt;=$F15),IF(AM$5=$E15+1,$C15,""),"")</f>
        <v/>
      </c>
      <c r="AN15" s="34">
        <f>IF(AND(AN$5&gt;$E15,AN$5&lt;=$F15),IF(AN$5=$E15+1,$C15,""),"")</f>
        <v/>
      </c>
      <c r="AO15" s="34">
        <f>IF(AND(AO$5&gt;$E15,AO$5&lt;=$F15),IF(AO$5=$E15+1,$C15,""),"")</f>
        <v/>
      </c>
      <c r="AP15" s="34">
        <f>IF(AND(AP$5&gt;$E15,AP$5&lt;=$F15),IF(AP$5=$E15+1,$C15,""),"")</f>
        <v/>
      </c>
      <c r="AQ15" s="34">
        <f>IF(AND(AQ$5&gt;$E15,AQ$5&lt;=$F15),IF(AQ$5=$E15+1,$C15,""),"")</f>
        <v/>
      </c>
      <c r="AR15" s="34">
        <f>IF(AND(AR$5&gt;$E15,AR$5&lt;=$F15),IF(AR$5=$E15+1,$C15,""),"")</f>
        <v/>
      </c>
      <c r="AS15" s="34">
        <f>IF(AND(AS$5&gt;$E15,AS$5&lt;=$F15),IF(AS$5=$E15+1,$C15,""),"")</f>
        <v/>
      </c>
      <c r="AT15" s="34">
        <f>IF(AND(AT$5&gt;$E15,AT$5&lt;=$F15),IF(AT$5=$E15+1,$C15,""),"")</f>
        <v/>
      </c>
      <c r="AU15" s="34">
        <f>IF(AND(AU$5&gt;$E15,AU$5&lt;=$F15),IF(AU$5=$E15+1,$C15,""),"")</f>
        <v/>
      </c>
      <c r="AV15" s="34">
        <f>IF(AND(AV$5&gt;$E15,AV$5&lt;=$F15),IF(AV$5=$E15+1,$C15,""),"")</f>
        <v/>
      </c>
      <c r="AW15" s="34">
        <f>IF(AND(AW$5&gt;$E15,AW$5&lt;=$F15),IF(AW$5=$E15+1,$C15,""),"")</f>
        <v/>
      </c>
      <c r="AX15" s="34">
        <f>IF(AND(AX$5&gt;$E15,AX$5&lt;=$F15),IF(AX$5=$E15+1,$C15,""),"")</f>
        <v/>
      </c>
      <c r="AY15" s="34">
        <f>IF(AND(AY$5&gt;$E15,AY$5&lt;=$F15),IF(AY$5=$E15+1,$C15,""),"")</f>
        <v/>
      </c>
      <c r="AZ15" s="34">
        <f>IF(AND(AZ$5&gt;$E15,AZ$5&lt;=$F15),IF(AZ$5=$E15+1,$C15,""),"")</f>
        <v/>
      </c>
      <c r="BA15" s="34">
        <f>IF(AND(BA$5&gt;$E15,BA$5&lt;=$F15),IF(BA$5=$E15+1,$C15,""),"")</f>
        <v/>
      </c>
      <c r="BB15" s="34">
        <f>IF(AND(BB$5&gt;$E15,BB$5&lt;=$F15),IF(BB$5=$E15+1,$C15,""),"")</f>
        <v/>
      </c>
      <c r="BC15" s="34">
        <f>IF(AND(BC$5&gt;$E15,BC$5&lt;=$F15),IF(BC$5=$E15+1,$C15,""),"")</f>
        <v/>
      </c>
      <c r="BD15" s="34">
        <f>IF(AND(BD$5&gt;$E15,BD$5&lt;=$F15),IF(BD$5=$E15+1,$C15,""),"")</f>
        <v/>
      </c>
      <c r="BE15" s="34">
        <f>IF(AND(BE$5&gt;$E15,BE$5&lt;=$F15),IF(BE$5=$E15+1,$C15,""),"")</f>
        <v/>
      </c>
      <c r="BF15" s="34">
        <f>IF(AND(BF$5&gt;$E15,BF$5&lt;=$F15),IF(BF$5=$E15+1,$C15,""),"")</f>
        <v/>
      </c>
      <c r="BG15" s="34">
        <f>IF(AND(BG$5&gt;$E15,BG$5&lt;=$F15),IF(BG$5=$E15+1,$C15,""),"")</f>
        <v/>
      </c>
      <c r="BH15" s="34">
        <f>IF(AND(BH$5&gt;$E15,BH$5&lt;=$F15),IF(BH$5=$E15+1,$C15,""),"")</f>
        <v/>
      </c>
      <c r="BI15" s="34">
        <f>IF(AND(BI$5&gt;$E15,BI$5&lt;=$F15),IF(BI$5=$E15+1,$C15,""),"")</f>
        <v/>
      </c>
      <c r="BJ15" s="34">
        <f>IF(AND(BJ$5&gt;$E15,BJ$5&lt;=$F15),IF(BJ$5=$E15+1,$C15,""),"")</f>
        <v/>
      </c>
      <c r="BK15" s="34">
        <f>IF(AND(BK$5&gt;$E15,BK$5&lt;=$F15),IF(BK$5=$E15+1,$C15,""),"")</f>
        <v/>
      </c>
      <c r="BL15" s="34">
        <f>IF(AND(BL$5&gt;$E15,BL$5&lt;=$F15),IF(BL$5=$E15+1,$C15,""),"")</f>
        <v/>
      </c>
      <c r="BM15" s="34">
        <f>IF(AND(BM$5&gt;$E15,BM$5&lt;=$F15),IF(BM$5=$E15+1,$C15,""),"")</f>
        <v/>
      </c>
      <c r="BN15" s="34">
        <f>IF(AND(BN$5&gt;$E15,BN$5&lt;=$F15),IF(BN$5=$E15+1,$C15,""),"")</f>
        <v/>
      </c>
      <c r="BO15" s="34">
        <f>IF(AND(BO$5&gt;$E15,BO$5&lt;=$F15),IF(BO$5=$E15+1,$C15,""),"")</f>
        <v/>
      </c>
      <c r="BP15" s="34">
        <f>IF(AND(BP$5&gt;$E15,BP$5&lt;=$F15),IF(BP$5=$E15+1,$C15,""),"")</f>
        <v/>
      </c>
      <c r="BQ15" s="34">
        <f>IF(AND(BQ$5&gt;$E15,BQ$5&lt;=$F15),IF(BQ$5=$E15+1,$C15,""),"")</f>
        <v/>
      </c>
      <c r="BR15" s="34">
        <f>IF(AND(BR$5&gt;$E15,BR$5&lt;=$F15),IF(BR$5=$E15+1,$C15,""),"")</f>
        <v/>
      </c>
      <c r="BS15" s="34">
        <f>IF(AND(BS$5&gt;$E15,BS$5&lt;=$F15),IF(BS$5=$E15+1,$C15,""),"")</f>
        <v/>
      </c>
      <c r="BT15" s="34">
        <f>IF(AND(BT$5&gt;$E15,BT$5&lt;=$F15),IF(BT$5=$E15+1,$C15,""),"")</f>
        <v/>
      </c>
      <c r="BU15" s="34">
        <f>IF(AND(BU$5&gt;$E15,BU$5&lt;=$F15),IF(BU$5=$E15+1,$C15,""),"")</f>
        <v/>
      </c>
      <c r="BV15" s="34">
        <f>IF(AND(BV$5&gt;$E15,BV$5&lt;=$F15),IF(BV$5=$E15+1,$C15,""),"")</f>
        <v/>
      </c>
      <c r="BW15" s="34">
        <f>IF(AND(BW$5&gt;$E15,BW$5&lt;=$F15),IF(BW$5=$E15+1,$C15,""),"")</f>
        <v/>
      </c>
      <c r="BX15" s="34">
        <f>IF(AND(BX$5&gt;$E15,BX$5&lt;=$F15),IF(BX$5=$E15+1,$C15,""),"")</f>
        <v/>
      </c>
      <c r="BY15" s="34">
        <f>IF(AND(BY$5&gt;$E15,BY$5&lt;=$F15),IF(BY$5=$E15+1,$C15,""),"")</f>
        <v/>
      </c>
      <c r="BZ15" s="34">
        <f>IF(AND(BZ$5&gt;$E15,BZ$5&lt;=$F15),IF(BZ$5=$E15+1,$C15,""),"")</f>
        <v/>
      </c>
      <c r="CA15" s="34">
        <f>IF(AND(CA$5&gt;$E15,CA$5&lt;=$F15),IF(CA$5=$E15+1,$C15,""),"")</f>
        <v/>
      </c>
      <c r="CB15" s="34">
        <f>IF(AND(CB$5&gt;$E15,CB$5&lt;=$F15),IF(CB$5=$E15+1,$C15,""),"")</f>
        <v/>
      </c>
      <c r="CC15" s="34">
        <f>IF(AND(CC$5&gt;$E15,CC$5&lt;=$F15),IF(CC$5=$E15+1,$C15,""),"")</f>
        <v/>
      </c>
      <c r="CD15" s="34">
        <f>IF(AND(CD$5&gt;$E15,CD$5&lt;=$F15),IF(CD$5=$E15+1,$C15,""),"")</f>
        <v/>
      </c>
      <c r="CE15" s="34">
        <f>IF(AND(CE$5&gt;$E15,CE$5&lt;=$F15),IF(CE$5=$E15+1,$C15,""),"")</f>
        <v/>
      </c>
      <c r="CF15" s="34">
        <f>IF(AND(CF$5&gt;$E15,CF$5&lt;=$F15),IF(CF$5=$E15+1,$C15,""),"")</f>
        <v/>
      </c>
      <c r="CG15" s="34">
        <f>IF(AND(CG$5&gt;$E15,CG$5&lt;=$F15),IF(CG$5=$E15+1,$C15,""),"")</f>
        <v/>
      </c>
      <c r="CH15" s="34">
        <f>IF(AND(CH$5&gt;$E15,CH$5&lt;=$F15),IF(CH$5=$E15+1,$C15,""),"")</f>
        <v/>
      </c>
      <c r="CI15" s="34">
        <f>IF(AND(CI$5&gt;$E15,CI$5&lt;=$F15),IF(CI$5=$E15+1,$C15,""),"")</f>
        <v/>
      </c>
      <c r="CJ15" s="34">
        <f>IF(AND(CJ$5&gt;$E15,CJ$5&lt;=$F15),IF(CJ$5=$E15+1,$C15,""),"")</f>
        <v/>
      </c>
      <c r="CK15" s="34">
        <f>IF(AND(CK$5&gt;$E15,CK$5&lt;=$F15),IF(CK$5=$E15+1,$C15,""),"")</f>
        <v/>
      </c>
      <c r="CL15" s="34">
        <f>IF(AND(CL$5&gt;$E15,CL$5&lt;=$F15),IF(CL$5=$E15+1,$C15,""),"")</f>
        <v/>
      </c>
      <c r="CM15" s="34">
        <f>IF(AND(CM$5&gt;$E15,CM$5&lt;=$F15),IF(CM$5=$E15+1,$C15,""),"")</f>
        <v/>
      </c>
      <c r="CN15" s="34">
        <f>IF(AND(CN$5&gt;$E15,CN$5&lt;=$F15),IF(CN$5=$E15+1,$C15,""),"")</f>
        <v/>
      </c>
      <c r="CO15" s="34">
        <f>IF(AND(CO$5&gt;$E15,CO$5&lt;=$F15),IF(CO$5=$E15+1,$C15,""),"")</f>
        <v/>
      </c>
      <c r="CP15" s="34">
        <f>IF(AND(CP$5&gt;$E15,CP$5&lt;=$F15),IF(CP$5=$E15+1,$C15,""),"")</f>
        <v/>
      </c>
      <c r="CQ15" s="34">
        <f>IF(AND(CQ$5&gt;$E15,CQ$5&lt;=$F15),IF(CQ$5=$E15+1,$C15,""),"")</f>
        <v/>
      </c>
      <c r="CR15" s="34">
        <f>IF(AND(CR$5&gt;$E15,CR$5&lt;=$F15),IF(CR$5=$E15+1,$C15,""),"")</f>
        <v/>
      </c>
      <c r="CS15" s="34">
        <f>IF(AND(CS$5&gt;$E15,CS$5&lt;=$F15),IF(CS$5=$E15+1,$C15,""),"")</f>
        <v/>
      </c>
      <c r="CT15" s="34">
        <f>IF(AND(CT$5&gt;$E15,CT$5&lt;=$F15),IF(CT$5=$E15+1,$C15,""),"")</f>
        <v/>
      </c>
      <c r="CU15" s="34">
        <f>IF(AND(CU$5&gt;$E15,CU$5&lt;=$F15),IF(CU$5=$E15+1,$C15,""),"")</f>
        <v/>
      </c>
      <c r="CV15" s="34">
        <f>IF(AND(CV$5&gt;$E15,CV$5&lt;=$F15),IF(CV$5=$E15+1,$C15,""),"")</f>
        <v/>
      </c>
      <c r="CW15" s="34">
        <f>IF(AND(CW$5&gt;$E15,CW$5&lt;=$F15),IF(CW$5=$E15+1,$C15,""),"")</f>
        <v/>
      </c>
      <c r="CX15" s="34">
        <f>IF(AND(CX$5&gt;$E15,CX$5&lt;=$F15),IF(CX$5=$E15+1,$C15,""),"")</f>
        <v/>
      </c>
      <c r="CY15" s="34">
        <f>IF(AND(CY$5&gt;$E15,CY$5&lt;=$F15),IF(CY$5=$E15+1,$C15,""),"")</f>
        <v/>
      </c>
      <c r="CZ15" s="34">
        <f>IF(AND(CZ$5&gt;$E15,CZ$5&lt;=$F15),IF(CZ$5=$E15+1,$C15,""),"")</f>
        <v/>
      </c>
      <c r="DA15" s="34">
        <f>IF(AND(DA$5&gt;$E15,DA$5&lt;=$F15),IF(DA$5=$E15+1,$C15,""),"")</f>
        <v/>
      </c>
      <c r="DB15" s="34">
        <f>IF(AND(DB$5&gt;$E15,DB$5&lt;=$F15),IF(DB$5=$E15+1,$C15,""),"")</f>
        <v/>
      </c>
      <c r="DC15" s="34">
        <f>IF(AND(DC$5&gt;$E15,DC$5&lt;=$F15),IF(DC$5=$E15+1,$C15,""),"")</f>
        <v/>
      </c>
      <c r="DD15" s="34">
        <f>IF(AND(DD$5&gt;$E15,DD$5&lt;=$F15),IF(DD$5=$E15+1,$C15,""),"")</f>
        <v/>
      </c>
      <c r="DE15" s="34">
        <f>IF(AND(DE$5&gt;$E15,DE$5&lt;=$F15),IF(DE$5=$E15+1,$C15,""),"")</f>
        <v/>
      </c>
      <c r="DF15" s="34">
        <f>IF(AND(DF$5&gt;$E15,DF$5&lt;=$F15),IF(DF$5=$E15+1,$C15,""),"")</f>
        <v/>
      </c>
      <c r="DG15" s="34">
        <f>IF(AND(DG$5&gt;$E15,DG$5&lt;=$F15),IF(DG$5=$E15+1,$C15,""),"")</f>
        <v/>
      </c>
      <c r="DH15" s="34">
        <f>IF(AND(DH$5&gt;$E15,DH$5&lt;=$F15),IF(DH$5=$E15+1,$C15,""),"")</f>
        <v/>
      </c>
      <c r="DI15" s="34">
        <f>IF(AND(DI$5&gt;$E15,DI$5&lt;=$F15),IF(DI$5=$E15+1,$C15,""),"")</f>
        <v/>
      </c>
      <c r="DJ15" s="34">
        <f>IF(AND(DJ$5&gt;$E15,DJ$5&lt;=$F15),IF(DJ$5=$E15+1,$C15,""),"")</f>
        <v/>
      </c>
      <c r="DK15" s="34">
        <f>IF(AND(DK$5&gt;$E15,DK$5&lt;=$F15),IF(DK$5=$E15+1,$C15,""),"")</f>
        <v/>
      </c>
      <c r="DL15" s="34">
        <f>IF(AND(DL$5&gt;$E15,DL$5&lt;=$F15),IF(DL$5=$E15+1,$C15,""),"")</f>
        <v/>
      </c>
      <c r="DM15" s="34">
        <f>IF(AND(DM$5&gt;$E15,DM$5&lt;=$F15),IF(DM$5=$E15+1,$C15,""),"")</f>
        <v/>
      </c>
      <c r="DN15" s="34">
        <f>IF(AND(DN$5&gt;$E15,DN$5&lt;=$F15),IF(DN$5=$E15+1,$C15,""),"")</f>
        <v/>
      </c>
      <c r="DO15" s="34">
        <f>IF(AND(DO$5&gt;$E15,DO$5&lt;=$F15),IF(DO$5=$E15+1,$C15,""),"")</f>
        <v/>
      </c>
      <c r="DP15" s="34">
        <f>IF(AND(DP$5&gt;$E15,DP$5&lt;=$F15),IF(DP$5=$E15+1,$C15,""),"")</f>
        <v/>
      </c>
      <c r="DQ15" s="34">
        <f>IF(AND(DQ$5&gt;$E15,DQ$5&lt;=$F15),IF(DQ$5=$E15+1,$C15,""),"")</f>
        <v/>
      </c>
      <c r="DR15" s="34">
        <f>IF(AND(DR$5&gt;$E15,DR$5&lt;=$F15),IF(DR$5=$E15+1,$C15,""),"")</f>
        <v/>
      </c>
      <c r="DS15" s="34">
        <f>IF(AND(DS$5&gt;$E15,DS$5&lt;=$F15),IF(DS$5=$E15+1,$C15,""),"")</f>
        <v/>
      </c>
      <c r="DT15" s="34">
        <f>IF(AND(DT$5&gt;$E15,DT$5&lt;=$F15),IF(DT$5=$E15+1,$C15,""),"")</f>
        <v/>
      </c>
      <c r="DU15" s="34">
        <f>IF(AND(DU$5&gt;$E15,DU$5&lt;=$F15),IF(DU$5=$E15+1,$C15,""),"")</f>
        <v/>
      </c>
      <c r="DV15" s="34">
        <f>IF(AND(DV$5&gt;$E15,DV$5&lt;=$F15),IF(DV$5=$E15+1,$C15,""),"")</f>
        <v/>
      </c>
      <c r="DW15" s="34">
        <f>IF(AND(DW$5&gt;$E15,DW$5&lt;=$F15),IF(DW$5=$E15+1,$C15,""),"")</f>
        <v/>
      </c>
      <c r="DX15" s="34">
        <f>IF(AND(DX$5&gt;$E15,DX$5&lt;=$F15),IF(DX$5=$E15+1,$C15,""),"")</f>
        <v/>
      </c>
      <c r="DY15" s="34">
        <f>IF(AND(DY$5&gt;$E15,DY$5&lt;=$F15),IF(DY$5=$E15+1,$C15,""),"")</f>
        <v/>
      </c>
      <c r="DZ15" s="34">
        <f>IF(AND(DZ$5&gt;$E15,DZ$5&lt;=$F15),IF(DZ$5=$E15+1,$C15,""),"")</f>
        <v/>
      </c>
      <c r="EA15" s="34">
        <f>IF(AND(EA$5&gt;$E15,EA$5&lt;=$F15),IF(EA$5=$E15+1,$C15,""),"")</f>
        <v/>
      </c>
      <c r="EB15" s="34">
        <f>IF(AND(EB$5&gt;$E15,EB$5&lt;=$F15),IF(EB$5=$E15+1,$C15,""),"")</f>
        <v/>
      </c>
      <c r="EC15" s="34">
        <f>IF(AND(EC$5&gt;$E15,EC$5&lt;=$F15),IF(EC$5=$E15+1,$C15,""),"")</f>
        <v/>
      </c>
      <c r="ED15" s="34">
        <f>IF(AND(ED$5&gt;$E15,ED$5&lt;=$F15),IF(ED$5=$E15+1,$C15,""),"")</f>
        <v/>
      </c>
      <c r="EE15" s="34">
        <f>IF(AND(EE$5&gt;$E15,EE$5&lt;=$F15),IF(EE$5=$E15+1,$C15,""),"")</f>
        <v/>
      </c>
      <c r="EF15" s="34">
        <f>IF(AND(EF$5&gt;$E15,EF$5&lt;=$F15),IF(EF$5=$E15+1,$C15,""),"")</f>
        <v/>
      </c>
      <c r="EG15" s="34">
        <f>IF(AND(EG$5&gt;$E15,EG$5&lt;=$F15),IF(EG$5=$E15+1,$C15,""),"")</f>
        <v/>
      </c>
      <c r="EH15" s="34">
        <f>IF(AND(EH$5&gt;$E15,EH$5&lt;=$F15),IF(EH$5=$E15+1,$C15,""),"")</f>
        <v/>
      </c>
      <c r="EI15" s="34">
        <f>IF(AND(EI$5&gt;$E15,EI$5&lt;=$F15),IF(EI$5=$E15+1,$C15,""),"")</f>
        <v/>
      </c>
      <c r="EJ15" s="34">
        <f>IF(AND(EJ$5&gt;$E15,EJ$5&lt;=$F15),IF(EJ$5=$E15+1,$C15,""),"")</f>
        <v/>
      </c>
      <c r="EK15" s="34">
        <f>IF(AND(EK$5&gt;$E15,EK$5&lt;=$F15),IF(EK$5=$E15+1,$C15,""),"")</f>
        <v/>
      </c>
      <c r="EL15" s="34">
        <f>IF(AND(EL$5&gt;$E15,EL$5&lt;=$F15),IF(EL$5=$E15+1,$C15,""),"")</f>
        <v/>
      </c>
      <c r="EM15" s="34">
        <f>IF(AND(EM$5&gt;$E15,EM$5&lt;=$F15),IF(EM$5=$E15+1,$C15,""),"")</f>
        <v/>
      </c>
      <c r="EN15" s="34">
        <f>IF(AND(EN$5&gt;$E15,EN$5&lt;=$F15),IF(EN$5=$E15+1,$C15,""),"")</f>
        <v/>
      </c>
      <c r="EO15" s="34">
        <f>IF(AND(EO$5&gt;$E15,EO$5&lt;=$F15),IF(EO$5=$E15+1,$C15,""),"")</f>
        <v/>
      </c>
      <c r="EP15" s="34">
        <f>IF(AND(EP$5&gt;$E15,EP$5&lt;=$F15),IF(EP$5=$E15+1,$C15,""),"")</f>
        <v/>
      </c>
      <c r="EQ15" s="34">
        <f>IF(AND(EQ$5&gt;$E15,EQ$5&lt;=$F15),IF(EQ$5=$E15+1,$C15,""),"")</f>
        <v/>
      </c>
      <c r="ER15" s="34">
        <f>IF(AND(ER$5&gt;$E15,ER$5&lt;=$F15),IF(ER$5=$E15+1,$C15,""),"")</f>
        <v/>
      </c>
      <c r="ES15" s="34">
        <f>IF(AND(ES$5&gt;$E15,ES$5&lt;=$F15),IF(ES$5=$E15+1,$C15,""),"")</f>
        <v/>
      </c>
      <c r="ET15" s="34">
        <f>IF(AND(ET$5&gt;$E15,ET$5&lt;=$F15),IF(ET$5=$E15+1,$C15,""),"")</f>
        <v/>
      </c>
      <c r="EU15" s="34">
        <f>IF(AND(EU$5&gt;$E15,EU$5&lt;=$F15),IF(EU$5=$E15+1,$C15,""),"")</f>
        <v/>
      </c>
      <c r="EV15" s="34">
        <f>IF(AND(EV$5&gt;$E15,EV$5&lt;=$F15),IF(EV$5=$E15+1,$C15,""),"")</f>
        <v/>
      </c>
      <c r="EW15" s="34">
        <f>IF(AND(EW$5&gt;$E15,EW$5&lt;=$F15),IF(EW$5=$E15+1,$C15,""),"")</f>
        <v/>
      </c>
      <c r="EX15" s="34">
        <f>IF(AND(EX$5&gt;$E15,EX$5&lt;=$F15),IF(EX$5=$E15+1,$C15,""),"")</f>
        <v/>
      </c>
      <c r="EY15" s="34">
        <f>IF(AND(EY$5&gt;$E15,EY$5&lt;=$F15),IF(EY$5=$E15+1,$C15,""),"")</f>
        <v/>
      </c>
      <c r="EZ15" s="34">
        <f>IF(AND(EZ$5&gt;$E15,EZ$5&lt;=$F15),IF(EZ$5=$E15+1,$C15,""),"")</f>
        <v/>
      </c>
      <c r="FA15" s="34">
        <f>IF(AND(FA$5&gt;$E15,FA$5&lt;=$F15),IF(FA$5=$E15+1,$C15,""),"")</f>
        <v/>
      </c>
    </row>
    <row r="16">
      <c r="A16" s="32">
        <f>Plan!A11</f>
        <v/>
      </c>
      <c r="B16" s="33">
        <f>Plan!C11</f>
        <v/>
      </c>
      <c r="C16" s="16">
        <f>Plan!D11</f>
        <v/>
      </c>
      <c r="D16" s="16">
        <f>Plan!I11</f>
        <v/>
      </c>
      <c r="E16" s="16">
        <f>Plan!K11</f>
        <v/>
      </c>
      <c r="F16" s="16">
        <f>Plan!L11</f>
        <v/>
      </c>
      <c r="G16" s="16">
        <f>Plan!O11</f>
        <v/>
      </c>
      <c r="H16" s="34">
        <f>IF(AND(H$5&gt;$E16,H$5&lt;=$F16),IF(H$5=$E16+1,$C16,""),"")</f>
        <v/>
      </c>
      <c r="I16" s="34">
        <f>IF(AND(I$5&gt;$E16,I$5&lt;=$F16),IF(I$5=$E16+1,$C16,""),"")</f>
        <v/>
      </c>
      <c r="J16" s="34">
        <f>IF(AND(J$5&gt;$E16,J$5&lt;=$F16),IF(J$5=$E16+1,$C16,""),"")</f>
        <v/>
      </c>
      <c r="K16" s="34">
        <f>IF(AND(K$5&gt;$E16,K$5&lt;=$F16),IF(K$5=$E16+1,$C16,""),"")</f>
        <v/>
      </c>
      <c r="L16" s="34">
        <f>IF(AND(L$5&gt;$E16,L$5&lt;=$F16),IF(L$5=$E16+1,$C16,""),"")</f>
        <v/>
      </c>
      <c r="M16" s="34">
        <f>IF(AND(M$5&gt;$E16,M$5&lt;=$F16),IF(M$5=$E16+1,$C16,""),"")</f>
        <v/>
      </c>
      <c r="N16" s="34">
        <f>IF(AND(N$5&gt;$E16,N$5&lt;=$F16),IF(N$5=$E16+1,$C16,""),"")</f>
        <v/>
      </c>
      <c r="O16" s="34">
        <f>IF(AND(O$5&gt;$E16,O$5&lt;=$F16),IF(O$5=$E16+1,$C16,""),"")</f>
        <v/>
      </c>
      <c r="P16" s="34">
        <f>IF(AND(P$5&gt;$E16,P$5&lt;=$F16),IF(P$5=$E16+1,$C16,""),"")</f>
        <v/>
      </c>
      <c r="Q16" s="34">
        <f>IF(AND(Q$5&gt;$E16,Q$5&lt;=$F16),IF(Q$5=$E16+1,$C16,""),"")</f>
        <v/>
      </c>
      <c r="R16" s="34">
        <f>IF(AND(R$5&gt;$E16,R$5&lt;=$F16),IF(R$5=$E16+1,$C16,""),"")</f>
        <v/>
      </c>
      <c r="S16" s="34">
        <f>IF(AND(S$5&gt;$E16,S$5&lt;=$F16),IF(S$5=$E16+1,$C16,""),"")</f>
        <v/>
      </c>
      <c r="T16" s="34">
        <f>IF(AND(T$5&gt;$E16,T$5&lt;=$F16),IF(T$5=$E16+1,$C16,""),"")</f>
        <v/>
      </c>
      <c r="U16" s="34">
        <f>IF(AND(U$5&gt;$E16,U$5&lt;=$F16),IF(U$5=$E16+1,$C16,""),"")</f>
        <v/>
      </c>
      <c r="V16" s="34">
        <f>IF(AND(V$5&gt;$E16,V$5&lt;=$F16),IF(V$5=$E16+1,$C16,""),"")</f>
        <v/>
      </c>
      <c r="W16" s="34">
        <f>IF(AND(W$5&gt;$E16,W$5&lt;=$F16),IF(W$5=$E16+1,$C16,""),"")</f>
        <v/>
      </c>
      <c r="X16" s="34">
        <f>IF(AND(X$5&gt;$E16,X$5&lt;=$F16),IF(X$5=$E16+1,$C16,""),"")</f>
        <v/>
      </c>
      <c r="Y16" s="34">
        <f>IF(AND(Y$5&gt;$E16,Y$5&lt;=$F16),IF(Y$5=$E16+1,$C16,""),"")</f>
        <v/>
      </c>
      <c r="Z16" s="34">
        <f>IF(AND(Z$5&gt;$E16,Z$5&lt;=$F16),IF(Z$5=$E16+1,$C16,""),"")</f>
        <v/>
      </c>
      <c r="AA16" s="34">
        <f>IF(AND(AA$5&gt;$E16,AA$5&lt;=$F16),IF(AA$5=$E16+1,$C16,""),"")</f>
        <v/>
      </c>
      <c r="AB16" s="34">
        <f>IF(AND(AB$5&gt;$E16,AB$5&lt;=$F16),IF(AB$5=$E16+1,$C16,""),"")</f>
        <v/>
      </c>
      <c r="AC16" s="34">
        <f>IF(AND(AC$5&gt;$E16,AC$5&lt;=$F16),IF(AC$5=$E16+1,$C16,""),"")</f>
        <v/>
      </c>
      <c r="AD16" s="34">
        <f>IF(AND(AD$5&gt;$E16,AD$5&lt;=$F16),IF(AD$5=$E16+1,$C16,""),"")</f>
        <v/>
      </c>
      <c r="AE16" s="34">
        <f>IF(AND(AE$5&gt;$E16,AE$5&lt;=$F16),IF(AE$5=$E16+1,$C16,""),"")</f>
        <v/>
      </c>
      <c r="AF16" s="34">
        <f>IF(AND(AF$5&gt;$E16,AF$5&lt;=$F16),IF(AF$5=$E16+1,$C16,""),"")</f>
        <v/>
      </c>
      <c r="AG16" s="34">
        <f>IF(AND(AG$5&gt;$E16,AG$5&lt;=$F16),IF(AG$5=$E16+1,$C16,""),"")</f>
        <v/>
      </c>
      <c r="AH16" s="34">
        <f>IF(AND(AH$5&gt;$E16,AH$5&lt;=$F16),IF(AH$5=$E16+1,$C16,""),"")</f>
        <v/>
      </c>
      <c r="AI16" s="34">
        <f>IF(AND(AI$5&gt;$E16,AI$5&lt;=$F16),IF(AI$5=$E16+1,$C16,""),"")</f>
        <v/>
      </c>
      <c r="AJ16" s="34">
        <f>IF(AND(AJ$5&gt;$E16,AJ$5&lt;=$F16),IF(AJ$5=$E16+1,$C16,""),"")</f>
        <v/>
      </c>
      <c r="AK16" s="34">
        <f>IF(AND(AK$5&gt;$E16,AK$5&lt;=$F16),IF(AK$5=$E16+1,$C16,""),"")</f>
        <v/>
      </c>
      <c r="AL16" s="34">
        <f>IF(AND(AL$5&gt;$E16,AL$5&lt;=$F16),IF(AL$5=$E16+1,$C16,""),"")</f>
        <v/>
      </c>
      <c r="AM16" s="34">
        <f>IF(AND(AM$5&gt;$E16,AM$5&lt;=$F16),IF(AM$5=$E16+1,$C16,""),"")</f>
        <v/>
      </c>
      <c r="AN16" s="34">
        <f>IF(AND(AN$5&gt;$E16,AN$5&lt;=$F16),IF(AN$5=$E16+1,$C16,""),"")</f>
        <v/>
      </c>
      <c r="AO16" s="34">
        <f>IF(AND(AO$5&gt;$E16,AO$5&lt;=$F16),IF(AO$5=$E16+1,$C16,""),"")</f>
        <v/>
      </c>
      <c r="AP16" s="34">
        <f>IF(AND(AP$5&gt;$E16,AP$5&lt;=$F16),IF(AP$5=$E16+1,$C16,""),"")</f>
        <v/>
      </c>
      <c r="AQ16" s="34">
        <f>IF(AND(AQ$5&gt;$E16,AQ$5&lt;=$F16),IF(AQ$5=$E16+1,$C16,""),"")</f>
        <v/>
      </c>
      <c r="AR16" s="34">
        <f>IF(AND(AR$5&gt;$E16,AR$5&lt;=$F16),IF(AR$5=$E16+1,$C16,""),"")</f>
        <v/>
      </c>
      <c r="AS16" s="34">
        <f>IF(AND(AS$5&gt;$E16,AS$5&lt;=$F16),IF(AS$5=$E16+1,$C16,""),"")</f>
        <v/>
      </c>
      <c r="AT16" s="34">
        <f>IF(AND(AT$5&gt;$E16,AT$5&lt;=$F16),IF(AT$5=$E16+1,$C16,""),"")</f>
        <v/>
      </c>
      <c r="AU16" s="34">
        <f>IF(AND(AU$5&gt;$E16,AU$5&lt;=$F16),IF(AU$5=$E16+1,$C16,""),"")</f>
        <v/>
      </c>
      <c r="AV16" s="34">
        <f>IF(AND(AV$5&gt;$E16,AV$5&lt;=$F16),IF(AV$5=$E16+1,$C16,""),"")</f>
        <v/>
      </c>
      <c r="AW16" s="34">
        <f>IF(AND(AW$5&gt;$E16,AW$5&lt;=$F16),IF(AW$5=$E16+1,$C16,""),"")</f>
        <v/>
      </c>
      <c r="AX16" s="34">
        <f>IF(AND(AX$5&gt;$E16,AX$5&lt;=$F16),IF(AX$5=$E16+1,$C16,""),"")</f>
        <v/>
      </c>
      <c r="AY16" s="34">
        <f>IF(AND(AY$5&gt;$E16,AY$5&lt;=$F16),IF(AY$5=$E16+1,$C16,""),"")</f>
        <v/>
      </c>
      <c r="AZ16" s="34">
        <f>IF(AND(AZ$5&gt;$E16,AZ$5&lt;=$F16),IF(AZ$5=$E16+1,$C16,""),"")</f>
        <v/>
      </c>
      <c r="BA16" s="34">
        <f>IF(AND(BA$5&gt;$E16,BA$5&lt;=$F16),IF(BA$5=$E16+1,$C16,""),"")</f>
        <v/>
      </c>
      <c r="BB16" s="34">
        <f>IF(AND(BB$5&gt;$E16,BB$5&lt;=$F16),IF(BB$5=$E16+1,$C16,""),"")</f>
        <v/>
      </c>
      <c r="BC16" s="34">
        <f>IF(AND(BC$5&gt;$E16,BC$5&lt;=$F16),IF(BC$5=$E16+1,$C16,""),"")</f>
        <v/>
      </c>
      <c r="BD16" s="34">
        <f>IF(AND(BD$5&gt;$E16,BD$5&lt;=$F16),IF(BD$5=$E16+1,$C16,""),"")</f>
        <v/>
      </c>
      <c r="BE16" s="34">
        <f>IF(AND(BE$5&gt;$E16,BE$5&lt;=$F16),IF(BE$5=$E16+1,$C16,""),"")</f>
        <v/>
      </c>
      <c r="BF16" s="34">
        <f>IF(AND(BF$5&gt;$E16,BF$5&lt;=$F16),IF(BF$5=$E16+1,$C16,""),"")</f>
        <v/>
      </c>
      <c r="BG16" s="34">
        <f>IF(AND(BG$5&gt;$E16,BG$5&lt;=$F16),IF(BG$5=$E16+1,$C16,""),"")</f>
        <v/>
      </c>
      <c r="BH16" s="34">
        <f>IF(AND(BH$5&gt;$E16,BH$5&lt;=$F16),IF(BH$5=$E16+1,$C16,""),"")</f>
        <v/>
      </c>
      <c r="BI16" s="34">
        <f>IF(AND(BI$5&gt;$E16,BI$5&lt;=$F16),IF(BI$5=$E16+1,$C16,""),"")</f>
        <v/>
      </c>
      <c r="BJ16" s="34">
        <f>IF(AND(BJ$5&gt;$E16,BJ$5&lt;=$F16),IF(BJ$5=$E16+1,$C16,""),"")</f>
        <v/>
      </c>
      <c r="BK16" s="34">
        <f>IF(AND(BK$5&gt;$E16,BK$5&lt;=$F16),IF(BK$5=$E16+1,$C16,""),"")</f>
        <v/>
      </c>
      <c r="BL16" s="34">
        <f>IF(AND(BL$5&gt;$E16,BL$5&lt;=$F16),IF(BL$5=$E16+1,$C16,""),"")</f>
        <v/>
      </c>
      <c r="BM16" s="34">
        <f>IF(AND(BM$5&gt;$E16,BM$5&lt;=$F16),IF(BM$5=$E16+1,$C16,""),"")</f>
        <v/>
      </c>
      <c r="BN16" s="34">
        <f>IF(AND(BN$5&gt;$E16,BN$5&lt;=$F16),IF(BN$5=$E16+1,$C16,""),"")</f>
        <v/>
      </c>
      <c r="BO16" s="34">
        <f>IF(AND(BO$5&gt;$E16,BO$5&lt;=$F16),IF(BO$5=$E16+1,$C16,""),"")</f>
        <v/>
      </c>
      <c r="BP16" s="34">
        <f>IF(AND(BP$5&gt;$E16,BP$5&lt;=$F16),IF(BP$5=$E16+1,$C16,""),"")</f>
        <v/>
      </c>
      <c r="BQ16" s="34">
        <f>IF(AND(BQ$5&gt;$E16,BQ$5&lt;=$F16),IF(BQ$5=$E16+1,$C16,""),"")</f>
        <v/>
      </c>
      <c r="BR16" s="34">
        <f>IF(AND(BR$5&gt;$E16,BR$5&lt;=$F16),IF(BR$5=$E16+1,$C16,""),"")</f>
        <v/>
      </c>
      <c r="BS16" s="34">
        <f>IF(AND(BS$5&gt;$E16,BS$5&lt;=$F16),IF(BS$5=$E16+1,$C16,""),"")</f>
        <v/>
      </c>
      <c r="BT16" s="34">
        <f>IF(AND(BT$5&gt;$E16,BT$5&lt;=$F16),IF(BT$5=$E16+1,$C16,""),"")</f>
        <v/>
      </c>
      <c r="BU16" s="34">
        <f>IF(AND(BU$5&gt;$E16,BU$5&lt;=$F16),IF(BU$5=$E16+1,$C16,""),"")</f>
        <v/>
      </c>
      <c r="BV16" s="34">
        <f>IF(AND(BV$5&gt;$E16,BV$5&lt;=$F16),IF(BV$5=$E16+1,$C16,""),"")</f>
        <v/>
      </c>
      <c r="BW16" s="34">
        <f>IF(AND(BW$5&gt;$E16,BW$5&lt;=$F16),IF(BW$5=$E16+1,$C16,""),"")</f>
        <v/>
      </c>
      <c r="BX16" s="34">
        <f>IF(AND(BX$5&gt;$E16,BX$5&lt;=$F16),IF(BX$5=$E16+1,$C16,""),"")</f>
        <v/>
      </c>
      <c r="BY16" s="34">
        <f>IF(AND(BY$5&gt;$E16,BY$5&lt;=$F16),IF(BY$5=$E16+1,$C16,""),"")</f>
        <v/>
      </c>
      <c r="BZ16" s="34">
        <f>IF(AND(BZ$5&gt;$E16,BZ$5&lt;=$F16),IF(BZ$5=$E16+1,$C16,""),"")</f>
        <v/>
      </c>
      <c r="CA16" s="34">
        <f>IF(AND(CA$5&gt;$E16,CA$5&lt;=$F16),IF(CA$5=$E16+1,$C16,""),"")</f>
        <v/>
      </c>
      <c r="CB16" s="34">
        <f>IF(AND(CB$5&gt;$E16,CB$5&lt;=$F16),IF(CB$5=$E16+1,$C16,""),"")</f>
        <v/>
      </c>
      <c r="CC16" s="34">
        <f>IF(AND(CC$5&gt;$E16,CC$5&lt;=$F16),IF(CC$5=$E16+1,$C16,""),"")</f>
        <v/>
      </c>
      <c r="CD16" s="34">
        <f>IF(AND(CD$5&gt;$E16,CD$5&lt;=$F16),IF(CD$5=$E16+1,$C16,""),"")</f>
        <v/>
      </c>
      <c r="CE16" s="34">
        <f>IF(AND(CE$5&gt;$E16,CE$5&lt;=$F16),IF(CE$5=$E16+1,$C16,""),"")</f>
        <v/>
      </c>
      <c r="CF16" s="34">
        <f>IF(AND(CF$5&gt;$E16,CF$5&lt;=$F16),IF(CF$5=$E16+1,$C16,""),"")</f>
        <v/>
      </c>
      <c r="CG16" s="34">
        <f>IF(AND(CG$5&gt;$E16,CG$5&lt;=$F16),IF(CG$5=$E16+1,$C16,""),"")</f>
        <v/>
      </c>
      <c r="CH16" s="34">
        <f>IF(AND(CH$5&gt;$E16,CH$5&lt;=$F16),IF(CH$5=$E16+1,$C16,""),"")</f>
        <v/>
      </c>
      <c r="CI16" s="34">
        <f>IF(AND(CI$5&gt;$E16,CI$5&lt;=$F16),IF(CI$5=$E16+1,$C16,""),"")</f>
        <v/>
      </c>
      <c r="CJ16" s="34">
        <f>IF(AND(CJ$5&gt;$E16,CJ$5&lt;=$F16),IF(CJ$5=$E16+1,$C16,""),"")</f>
        <v/>
      </c>
      <c r="CK16" s="34">
        <f>IF(AND(CK$5&gt;$E16,CK$5&lt;=$F16),IF(CK$5=$E16+1,$C16,""),"")</f>
        <v/>
      </c>
      <c r="CL16" s="34">
        <f>IF(AND(CL$5&gt;$E16,CL$5&lt;=$F16),IF(CL$5=$E16+1,$C16,""),"")</f>
        <v/>
      </c>
      <c r="CM16" s="34">
        <f>IF(AND(CM$5&gt;$E16,CM$5&lt;=$F16),IF(CM$5=$E16+1,$C16,""),"")</f>
        <v/>
      </c>
      <c r="CN16" s="34">
        <f>IF(AND(CN$5&gt;$E16,CN$5&lt;=$F16),IF(CN$5=$E16+1,$C16,""),"")</f>
        <v/>
      </c>
      <c r="CO16" s="34">
        <f>IF(AND(CO$5&gt;$E16,CO$5&lt;=$F16),IF(CO$5=$E16+1,$C16,""),"")</f>
        <v/>
      </c>
      <c r="CP16" s="34">
        <f>IF(AND(CP$5&gt;$E16,CP$5&lt;=$F16),IF(CP$5=$E16+1,$C16,""),"")</f>
        <v/>
      </c>
      <c r="CQ16" s="34">
        <f>IF(AND(CQ$5&gt;$E16,CQ$5&lt;=$F16),IF(CQ$5=$E16+1,$C16,""),"")</f>
        <v/>
      </c>
      <c r="CR16" s="34">
        <f>IF(AND(CR$5&gt;$E16,CR$5&lt;=$F16),IF(CR$5=$E16+1,$C16,""),"")</f>
        <v/>
      </c>
      <c r="CS16" s="34">
        <f>IF(AND(CS$5&gt;$E16,CS$5&lt;=$F16),IF(CS$5=$E16+1,$C16,""),"")</f>
        <v/>
      </c>
      <c r="CT16" s="34">
        <f>IF(AND(CT$5&gt;$E16,CT$5&lt;=$F16),IF(CT$5=$E16+1,$C16,""),"")</f>
        <v/>
      </c>
      <c r="CU16" s="34">
        <f>IF(AND(CU$5&gt;$E16,CU$5&lt;=$F16),IF(CU$5=$E16+1,$C16,""),"")</f>
        <v/>
      </c>
      <c r="CV16" s="34">
        <f>IF(AND(CV$5&gt;$E16,CV$5&lt;=$F16),IF(CV$5=$E16+1,$C16,""),"")</f>
        <v/>
      </c>
      <c r="CW16" s="34">
        <f>IF(AND(CW$5&gt;$E16,CW$5&lt;=$F16),IF(CW$5=$E16+1,$C16,""),"")</f>
        <v/>
      </c>
      <c r="CX16" s="34">
        <f>IF(AND(CX$5&gt;$E16,CX$5&lt;=$F16),IF(CX$5=$E16+1,$C16,""),"")</f>
        <v/>
      </c>
      <c r="CY16" s="34">
        <f>IF(AND(CY$5&gt;$E16,CY$5&lt;=$F16),IF(CY$5=$E16+1,$C16,""),"")</f>
        <v/>
      </c>
      <c r="CZ16" s="34">
        <f>IF(AND(CZ$5&gt;$E16,CZ$5&lt;=$F16),IF(CZ$5=$E16+1,$C16,""),"")</f>
        <v/>
      </c>
      <c r="DA16" s="34">
        <f>IF(AND(DA$5&gt;$E16,DA$5&lt;=$F16),IF(DA$5=$E16+1,$C16,""),"")</f>
        <v/>
      </c>
      <c r="DB16" s="34">
        <f>IF(AND(DB$5&gt;$E16,DB$5&lt;=$F16),IF(DB$5=$E16+1,$C16,""),"")</f>
        <v/>
      </c>
      <c r="DC16" s="34">
        <f>IF(AND(DC$5&gt;$E16,DC$5&lt;=$F16),IF(DC$5=$E16+1,$C16,""),"")</f>
        <v/>
      </c>
      <c r="DD16" s="34">
        <f>IF(AND(DD$5&gt;$E16,DD$5&lt;=$F16),IF(DD$5=$E16+1,$C16,""),"")</f>
        <v/>
      </c>
      <c r="DE16" s="34">
        <f>IF(AND(DE$5&gt;$E16,DE$5&lt;=$F16),IF(DE$5=$E16+1,$C16,""),"")</f>
        <v/>
      </c>
      <c r="DF16" s="34">
        <f>IF(AND(DF$5&gt;$E16,DF$5&lt;=$F16),IF(DF$5=$E16+1,$C16,""),"")</f>
        <v/>
      </c>
      <c r="DG16" s="34">
        <f>IF(AND(DG$5&gt;$E16,DG$5&lt;=$F16),IF(DG$5=$E16+1,$C16,""),"")</f>
        <v/>
      </c>
      <c r="DH16" s="34">
        <f>IF(AND(DH$5&gt;$E16,DH$5&lt;=$F16),IF(DH$5=$E16+1,$C16,""),"")</f>
        <v/>
      </c>
      <c r="DI16" s="34">
        <f>IF(AND(DI$5&gt;$E16,DI$5&lt;=$F16),IF(DI$5=$E16+1,$C16,""),"")</f>
        <v/>
      </c>
      <c r="DJ16" s="34">
        <f>IF(AND(DJ$5&gt;$E16,DJ$5&lt;=$F16),IF(DJ$5=$E16+1,$C16,""),"")</f>
        <v/>
      </c>
      <c r="DK16" s="34">
        <f>IF(AND(DK$5&gt;$E16,DK$5&lt;=$F16),IF(DK$5=$E16+1,$C16,""),"")</f>
        <v/>
      </c>
      <c r="DL16" s="34">
        <f>IF(AND(DL$5&gt;$E16,DL$5&lt;=$F16),IF(DL$5=$E16+1,$C16,""),"")</f>
        <v/>
      </c>
      <c r="DM16" s="34">
        <f>IF(AND(DM$5&gt;$E16,DM$5&lt;=$F16),IF(DM$5=$E16+1,$C16,""),"")</f>
        <v/>
      </c>
      <c r="DN16" s="34">
        <f>IF(AND(DN$5&gt;$E16,DN$5&lt;=$F16),IF(DN$5=$E16+1,$C16,""),"")</f>
        <v/>
      </c>
      <c r="DO16" s="34">
        <f>IF(AND(DO$5&gt;$E16,DO$5&lt;=$F16),IF(DO$5=$E16+1,$C16,""),"")</f>
        <v/>
      </c>
      <c r="DP16" s="34">
        <f>IF(AND(DP$5&gt;$E16,DP$5&lt;=$F16),IF(DP$5=$E16+1,$C16,""),"")</f>
        <v/>
      </c>
      <c r="DQ16" s="34">
        <f>IF(AND(DQ$5&gt;$E16,DQ$5&lt;=$F16),IF(DQ$5=$E16+1,$C16,""),"")</f>
        <v/>
      </c>
      <c r="DR16" s="34">
        <f>IF(AND(DR$5&gt;$E16,DR$5&lt;=$F16),IF(DR$5=$E16+1,$C16,""),"")</f>
        <v/>
      </c>
      <c r="DS16" s="34">
        <f>IF(AND(DS$5&gt;$E16,DS$5&lt;=$F16),IF(DS$5=$E16+1,$C16,""),"")</f>
        <v/>
      </c>
      <c r="DT16" s="34">
        <f>IF(AND(DT$5&gt;$E16,DT$5&lt;=$F16),IF(DT$5=$E16+1,$C16,""),"")</f>
        <v/>
      </c>
      <c r="DU16" s="34">
        <f>IF(AND(DU$5&gt;$E16,DU$5&lt;=$F16),IF(DU$5=$E16+1,$C16,""),"")</f>
        <v/>
      </c>
      <c r="DV16" s="34">
        <f>IF(AND(DV$5&gt;$E16,DV$5&lt;=$F16),IF(DV$5=$E16+1,$C16,""),"")</f>
        <v/>
      </c>
      <c r="DW16" s="34">
        <f>IF(AND(DW$5&gt;$E16,DW$5&lt;=$F16),IF(DW$5=$E16+1,$C16,""),"")</f>
        <v/>
      </c>
      <c r="DX16" s="34">
        <f>IF(AND(DX$5&gt;$E16,DX$5&lt;=$F16),IF(DX$5=$E16+1,$C16,""),"")</f>
        <v/>
      </c>
      <c r="DY16" s="34">
        <f>IF(AND(DY$5&gt;$E16,DY$5&lt;=$F16),IF(DY$5=$E16+1,$C16,""),"")</f>
        <v/>
      </c>
      <c r="DZ16" s="34">
        <f>IF(AND(DZ$5&gt;$E16,DZ$5&lt;=$F16),IF(DZ$5=$E16+1,$C16,""),"")</f>
        <v/>
      </c>
      <c r="EA16" s="34">
        <f>IF(AND(EA$5&gt;$E16,EA$5&lt;=$F16),IF(EA$5=$E16+1,$C16,""),"")</f>
        <v/>
      </c>
      <c r="EB16" s="34">
        <f>IF(AND(EB$5&gt;$E16,EB$5&lt;=$F16),IF(EB$5=$E16+1,$C16,""),"")</f>
        <v/>
      </c>
      <c r="EC16" s="34">
        <f>IF(AND(EC$5&gt;$E16,EC$5&lt;=$F16),IF(EC$5=$E16+1,$C16,""),"")</f>
        <v/>
      </c>
      <c r="ED16" s="34">
        <f>IF(AND(ED$5&gt;$E16,ED$5&lt;=$F16),IF(ED$5=$E16+1,$C16,""),"")</f>
        <v/>
      </c>
      <c r="EE16" s="34">
        <f>IF(AND(EE$5&gt;$E16,EE$5&lt;=$F16),IF(EE$5=$E16+1,$C16,""),"")</f>
        <v/>
      </c>
      <c r="EF16" s="34">
        <f>IF(AND(EF$5&gt;$E16,EF$5&lt;=$F16),IF(EF$5=$E16+1,$C16,""),"")</f>
        <v/>
      </c>
      <c r="EG16" s="34">
        <f>IF(AND(EG$5&gt;$E16,EG$5&lt;=$F16),IF(EG$5=$E16+1,$C16,""),"")</f>
        <v/>
      </c>
      <c r="EH16" s="34">
        <f>IF(AND(EH$5&gt;$E16,EH$5&lt;=$F16),IF(EH$5=$E16+1,$C16,""),"")</f>
        <v/>
      </c>
      <c r="EI16" s="34">
        <f>IF(AND(EI$5&gt;$E16,EI$5&lt;=$F16),IF(EI$5=$E16+1,$C16,""),"")</f>
        <v/>
      </c>
      <c r="EJ16" s="34">
        <f>IF(AND(EJ$5&gt;$E16,EJ$5&lt;=$F16),IF(EJ$5=$E16+1,$C16,""),"")</f>
        <v/>
      </c>
      <c r="EK16" s="34">
        <f>IF(AND(EK$5&gt;$E16,EK$5&lt;=$F16),IF(EK$5=$E16+1,$C16,""),"")</f>
        <v/>
      </c>
      <c r="EL16" s="34">
        <f>IF(AND(EL$5&gt;$E16,EL$5&lt;=$F16),IF(EL$5=$E16+1,$C16,""),"")</f>
        <v/>
      </c>
      <c r="EM16" s="34">
        <f>IF(AND(EM$5&gt;$E16,EM$5&lt;=$F16),IF(EM$5=$E16+1,$C16,""),"")</f>
        <v/>
      </c>
      <c r="EN16" s="34">
        <f>IF(AND(EN$5&gt;$E16,EN$5&lt;=$F16),IF(EN$5=$E16+1,$C16,""),"")</f>
        <v/>
      </c>
      <c r="EO16" s="34">
        <f>IF(AND(EO$5&gt;$E16,EO$5&lt;=$F16),IF(EO$5=$E16+1,$C16,""),"")</f>
        <v/>
      </c>
      <c r="EP16" s="34">
        <f>IF(AND(EP$5&gt;$E16,EP$5&lt;=$F16),IF(EP$5=$E16+1,$C16,""),"")</f>
        <v/>
      </c>
      <c r="EQ16" s="34">
        <f>IF(AND(EQ$5&gt;$E16,EQ$5&lt;=$F16),IF(EQ$5=$E16+1,$C16,""),"")</f>
        <v/>
      </c>
      <c r="ER16" s="34">
        <f>IF(AND(ER$5&gt;$E16,ER$5&lt;=$F16),IF(ER$5=$E16+1,$C16,""),"")</f>
        <v/>
      </c>
      <c r="ES16" s="34">
        <f>IF(AND(ES$5&gt;$E16,ES$5&lt;=$F16),IF(ES$5=$E16+1,$C16,""),"")</f>
        <v/>
      </c>
      <c r="ET16" s="34">
        <f>IF(AND(ET$5&gt;$E16,ET$5&lt;=$F16),IF(ET$5=$E16+1,$C16,""),"")</f>
        <v/>
      </c>
      <c r="EU16" s="34">
        <f>IF(AND(EU$5&gt;$E16,EU$5&lt;=$F16),IF(EU$5=$E16+1,$C16,""),"")</f>
        <v/>
      </c>
      <c r="EV16" s="34">
        <f>IF(AND(EV$5&gt;$E16,EV$5&lt;=$F16),IF(EV$5=$E16+1,$C16,""),"")</f>
        <v/>
      </c>
      <c r="EW16" s="34">
        <f>IF(AND(EW$5&gt;$E16,EW$5&lt;=$F16),IF(EW$5=$E16+1,$C16,""),"")</f>
        <v/>
      </c>
      <c r="EX16" s="34">
        <f>IF(AND(EX$5&gt;$E16,EX$5&lt;=$F16),IF(EX$5=$E16+1,$C16,""),"")</f>
        <v/>
      </c>
      <c r="EY16" s="34">
        <f>IF(AND(EY$5&gt;$E16,EY$5&lt;=$F16),IF(EY$5=$E16+1,$C16,""),"")</f>
        <v/>
      </c>
      <c r="EZ16" s="34">
        <f>IF(AND(EZ$5&gt;$E16,EZ$5&lt;=$F16),IF(EZ$5=$E16+1,$C16,""),"")</f>
        <v/>
      </c>
      <c r="FA16" s="34">
        <f>IF(AND(FA$5&gt;$E16,FA$5&lt;=$F16),IF(FA$5=$E16+1,$C16,""),"")</f>
        <v/>
      </c>
    </row>
    <row r="17">
      <c r="A17" s="32">
        <f>Plan!A12</f>
        <v/>
      </c>
      <c r="B17" s="33">
        <f>Plan!C12</f>
        <v/>
      </c>
      <c r="C17" s="16">
        <f>Plan!D12</f>
        <v/>
      </c>
      <c r="D17" s="16">
        <f>Plan!I12</f>
        <v/>
      </c>
      <c r="E17" s="16">
        <f>Plan!K12</f>
        <v/>
      </c>
      <c r="F17" s="16">
        <f>Plan!L12</f>
        <v/>
      </c>
      <c r="G17" s="16">
        <f>Plan!O12</f>
        <v/>
      </c>
      <c r="H17" s="34">
        <f>IF(AND(H$5&gt;$E17,H$5&lt;=$F17),IF(H$5=$E17+1,$C17,""),"")</f>
        <v/>
      </c>
      <c r="I17" s="34">
        <f>IF(AND(I$5&gt;$E17,I$5&lt;=$F17),IF(I$5=$E17+1,$C17,""),"")</f>
        <v/>
      </c>
      <c r="J17" s="34">
        <f>IF(AND(J$5&gt;$E17,J$5&lt;=$F17),IF(J$5=$E17+1,$C17,""),"")</f>
        <v/>
      </c>
      <c r="K17" s="34">
        <f>IF(AND(K$5&gt;$E17,K$5&lt;=$F17),IF(K$5=$E17+1,$C17,""),"")</f>
        <v/>
      </c>
      <c r="L17" s="34">
        <f>IF(AND(L$5&gt;$E17,L$5&lt;=$F17),IF(L$5=$E17+1,$C17,""),"")</f>
        <v/>
      </c>
      <c r="M17" s="34">
        <f>IF(AND(M$5&gt;$E17,M$5&lt;=$F17),IF(M$5=$E17+1,$C17,""),"")</f>
        <v/>
      </c>
      <c r="N17" s="34">
        <f>IF(AND(N$5&gt;$E17,N$5&lt;=$F17),IF(N$5=$E17+1,$C17,""),"")</f>
        <v/>
      </c>
      <c r="O17" s="34">
        <f>IF(AND(O$5&gt;$E17,O$5&lt;=$F17),IF(O$5=$E17+1,$C17,""),"")</f>
        <v/>
      </c>
      <c r="P17" s="34">
        <f>IF(AND(P$5&gt;$E17,P$5&lt;=$F17),IF(P$5=$E17+1,$C17,""),"")</f>
        <v/>
      </c>
      <c r="Q17" s="34">
        <f>IF(AND(Q$5&gt;$E17,Q$5&lt;=$F17),IF(Q$5=$E17+1,$C17,""),"")</f>
        <v/>
      </c>
      <c r="R17" s="34">
        <f>IF(AND(R$5&gt;$E17,R$5&lt;=$F17),IF(R$5=$E17+1,$C17,""),"")</f>
        <v/>
      </c>
      <c r="S17" s="34">
        <f>IF(AND(S$5&gt;$E17,S$5&lt;=$F17),IF(S$5=$E17+1,$C17,""),"")</f>
        <v/>
      </c>
      <c r="T17" s="34">
        <f>IF(AND(T$5&gt;$E17,T$5&lt;=$F17),IF(T$5=$E17+1,$C17,""),"")</f>
        <v/>
      </c>
      <c r="U17" s="34">
        <f>IF(AND(U$5&gt;$E17,U$5&lt;=$F17),IF(U$5=$E17+1,$C17,""),"")</f>
        <v/>
      </c>
      <c r="V17" s="34">
        <f>IF(AND(V$5&gt;$E17,V$5&lt;=$F17),IF(V$5=$E17+1,$C17,""),"")</f>
        <v/>
      </c>
      <c r="W17" s="34">
        <f>IF(AND(W$5&gt;$E17,W$5&lt;=$F17),IF(W$5=$E17+1,$C17,""),"")</f>
        <v/>
      </c>
      <c r="X17" s="34">
        <f>IF(AND(X$5&gt;$E17,X$5&lt;=$F17),IF(X$5=$E17+1,$C17,""),"")</f>
        <v/>
      </c>
      <c r="Y17" s="34">
        <f>IF(AND(Y$5&gt;$E17,Y$5&lt;=$F17),IF(Y$5=$E17+1,$C17,""),"")</f>
        <v/>
      </c>
      <c r="Z17" s="34">
        <f>IF(AND(Z$5&gt;$E17,Z$5&lt;=$F17),IF(Z$5=$E17+1,$C17,""),"")</f>
        <v/>
      </c>
      <c r="AA17" s="34">
        <f>IF(AND(AA$5&gt;$E17,AA$5&lt;=$F17),IF(AA$5=$E17+1,$C17,""),"")</f>
        <v/>
      </c>
      <c r="AB17" s="34">
        <f>IF(AND(AB$5&gt;$E17,AB$5&lt;=$F17),IF(AB$5=$E17+1,$C17,""),"")</f>
        <v/>
      </c>
      <c r="AC17" s="34">
        <f>IF(AND(AC$5&gt;$E17,AC$5&lt;=$F17),IF(AC$5=$E17+1,$C17,""),"")</f>
        <v/>
      </c>
      <c r="AD17" s="34">
        <f>IF(AND(AD$5&gt;$E17,AD$5&lt;=$F17),IF(AD$5=$E17+1,$C17,""),"")</f>
        <v/>
      </c>
      <c r="AE17" s="34">
        <f>IF(AND(AE$5&gt;$E17,AE$5&lt;=$F17),IF(AE$5=$E17+1,$C17,""),"")</f>
        <v/>
      </c>
      <c r="AF17" s="34">
        <f>IF(AND(AF$5&gt;$E17,AF$5&lt;=$F17),IF(AF$5=$E17+1,$C17,""),"")</f>
        <v/>
      </c>
      <c r="AG17" s="34">
        <f>IF(AND(AG$5&gt;$E17,AG$5&lt;=$F17),IF(AG$5=$E17+1,$C17,""),"")</f>
        <v/>
      </c>
      <c r="AH17" s="34">
        <f>IF(AND(AH$5&gt;$E17,AH$5&lt;=$F17),IF(AH$5=$E17+1,$C17,""),"")</f>
        <v/>
      </c>
      <c r="AI17" s="34">
        <f>IF(AND(AI$5&gt;$E17,AI$5&lt;=$F17),IF(AI$5=$E17+1,$C17,""),"")</f>
        <v/>
      </c>
      <c r="AJ17" s="34">
        <f>IF(AND(AJ$5&gt;$E17,AJ$5&lt;=$F17),IF(AJ$5=$E17+1,$C17,""),"")</f>
        <v/>
      </c>
      <c r="AK17" s="34">
        <f>IF(AND(AK$5&gt;$E17,AK$5&lt;=$F17),IF(AK$5=$E17+1,$C17,""),"")</f>
        <v/>
      </c>
      <c r="AL17" s="34">
        <f>IF(AND(AL$5&gt;$E17,AL$5&lt;=$F17),IF(AL$5=$E17+1,$C17,""),"")</f>
        <v/>
      </c>
      <c r="AM17" s="34">
        <f>IF(AND(AM$5&gt;$E17,AM$5&lt;=$F17),IF(AM$5=$E17+1,$C17,""),"")</f>
        <v/>
      </c>
      <c r="AN17" s="34">
        <f>IF(AND(AN$5&gt;$E17,AN$5&lt;=$F17),IF(AN$5=$E17+1,$C17,""),"")</f>
        <v/>
      </c>
      <c r="AO17" s="34">
        <f>IF(AND(AO$5&gt;$E17,AO$5&lt;=$F17),IF(AO$5=$E17+1,$C17,""),"")</f>
        <v/>
      </c>
      <c r="AP17" s="34">
        <f>IF(AND(AP$5&gt;$E17,AP$5&lt;=$F17),IF(AP$5=$E17+1,$C17,""),"")</f>
        <v/>
      </c>
      <c r="AQ17" s="34">
        <f>IF(AND(AQ$5&gt;$E17,AQ$5&lt;=$F17),IF(AQ$5=$E17+1,$C17,""),"")</f>
        <v/>
      </c>
      <c r="AR17" s="34">
        <f>IF(AND(AR$5&gt;$E17,AR$5&lt;=$F17),IF(AR$5=$E17+1,$C17,""),"")</f>
        <v/>
      </c>
      <c r="AS17" s="34">
        <f>IF(AND(AS$5&gt;$E17,AS$5&lt;=$F17),IF(AS$5=$E17+1,$C17,""),"")</f>
        <v/>
      </c>
      <c r="AT17" s="34">
        <f>IF(AND(AT$5&gt;$E17,AT$5&lt;=$F17),IF(AT$5=$E17+1,$C17,""),"")</f>
        <v/>
      </c>
      <c r="AU17" s="34">
        <f>IF(AND(AU$5&gt;$E17,AU$5&lt;=$F17),IF(AU$5=$E17+1,$C17,""),"")</f>
        <v/>
      </c>
      <c r="AV17" s="34">
        <f>IF(AND(AV$5&gt;$E17,AV$5&lt;=$F17),IF(AV$5=$E17+1,$C17,""),"")</f>
        <v/>
      </c>
      <c r="AW17" s="34">
        <f>IF(AND(AW$5&gt;$E17,AW$5&lt;=$F17),IF(AW$5=$E17+1,$C17,""),"")</f>
        <v/>
      </c>
      <c r="AX17" s="34">
        <f>IF(AND(AX$5&gt;$E17,AX$5&lt;=$F17),IF(AX$5=$E17+1,$C17,""),"")</f>
        <v/>
      </c>
      <c r="AY17" s="34">
        <f>IF(AND(AY$5&gt;$E17,AY$5&lt;=$F17),IF(AY$5=$E17+1,$C17,""),"")</f>
        <v/>
      </c>
      <c r="AZ17" s="34">
        <f>IF(AND(AZ$5&gt;$E17,AZ$5&lt;=$F17),IF(AZ$5=$E17+1,$C17,""),"")</f>
        <v/>
      </c>
      <c r="BA17" s="34">
        <f>IF(AND(BA$5&gt;$E17,BA$5&lt;=$F17),IF(BA$5=$E17+1,$C17,""),"")</f>
        <v/>
      </c>
      <c r="BB17" s="34">
        <f>IF(AND(BB$5&gt;$E17,BB$5&lt;=$F17),IF(BB$5=$E17+1,$C17,""),"")</f>
        <v/>
      </c>
      <c r="BC17" s="34">
        <f>IF(AND(BC$5&gt;$E17,BC$5&lt;=$F17),IF(BC$5=$E17+1,$C17,""),"")</f>
        <v/>
      </c>
      <c r="BD17" s="34">
        <f>IF(AND(BD$5&gt;$E17,BD$5&lt;=$F17),IF(BD$5=$E17+1,$C17,""),"")</f>
        <v/>
      </c>
      <c r="BE17" s="34">
        <f>IF(AND(BE$5&gt;$E17,BE$5&lt;=$F17),IF(BE$5=$E17+1,$C17,""),"")</f>
        <v/>
      </c>
      <c r="BF17" s="34">
        <f>IF(AND(BF$5&gt;$E17,BF$5&lt;=$F17),IF(BF$5=$E17+1,$C17,""),"")</f>
        <v/>
      </c>
      <c r="BG17" s="34">
        <f>IF(AND(BG$5&gt;$E17,BG$5&lt;=$F17),IF(BG$5=$E17+1,$C17,""),"")</f>
        <v/>
      </c>
      <c r="BH17" s="34">
        <f>IF(AND(BH$5&gt;$E17,BH$5&lt;=$F17),IF(BH$5=$E17+1,$C17,""),"")</f>
        <v/>
      </c>
      <c r="BI17" s="34">
        <f>IF(AND(BI$5&gt;$E17,BI$5&lt;=$F17),IF(BI$5=$E17+1,$C17,""),"")</f>
        <v/>
      </c>
      <c r="BJ17" s="34">
        <f>IF(AND(BJ$5&gt;$E17,BJ$5&lt;=$F17),IF(BJ$5=$E17+1,$C17,""),"")</f>
        <v/>
      </c>
      <c r="BK17" s="34">
        <f>IF(AND(BK$5&gt;$E17,BK$5&lt;=$F17),IF(BK$5=$E17+1,$C17,""),"")</f>
        <v/>
      </c>
      <c r="BL17" s="34">
        <f>IF(AND(BL$5&gt;$E17,BL$5&lt;=$F17),IF(BL$5=$E17+1,$C17,""),"")</f>
        <v/>
      </c>
      <c r="BM17" s="34">
        <f>IF(AND(BM$5&gt;$E17,BM$5&lt;=$F17),IF(BM$5=$E17+1,$C17,""),"")</f>
        <v/>
      </c>
      <c r="BN17" s="34">
        <f>IF(AND(BN$5&gt;$E17,BN$5&lt;=$F17),IF(BN$5=$E17+1,$C17,""),"")</f>
        <v/>
      </c>
      <c r="BO17" s="34">
        <f>IF(AND(BO$5&gt;$E17,BO$5&lt;=$F17),IF(BO$5=$E17+1,$C17,""),"")</f>
        <v/>
      </c>
      <c r="BP17" s="34">
        <f>IF(AND(BP$5&gt;$E17,BP$5&lt;=$F17),IF(BP$5=$E17+1,$C17,""),"")</f>
        <v/>
      </c>
      <c r="BQ17" s="34">
        <f>IF(AND(BQ$5&gt;$E17,BQ$5&lt;=$F17),IF(BQ$5=$E17+1,$C17,""),"")</f>
        <v/>
      </c>
      <c r="BR17" s="34">
        <f>IF(AND(BR$5&gt;$E17,BR$5&lt;=$F17),IF(BR$5=$E17+1,$C17,""),"")</f>
        <v/>
      </c>
      <c r="BS17" s="34">
        <f>IF(AND(BS$5&gt;$E17,BS$5&lt;=$F17),IF(BS$5=$E17+1,$C17,""),"")</f>
        <v/>
      </c>
      <c r="BT17" s="34">
        <f>IF(AND(BT$5&gt;$E17,BT$5&lt;=$F17),IF(BT$5=$E17+1,$C17,""),"")</f>
        <v/>
      </c>
      <c r="BU17" s="34">
        <f>IF(AND(BU$5&gt;$E17,BU$5&lt;=$F17),IF(BU$5=$E17+1,$C17,""),"")</f>
        <v/>
      </c>
      <c r="BV17" s="34">
        <f>IF(AND(BV$5&gt;$E17,BV$5&lt;=$F17),IF(BV$5=$E17+1,$C17,""),"")</f>
        <v/>
      </c>
      <c r="BW17" s="34">
        <f>IF(AND(BW$5&gt;$E17,BW$5&lt;=$F17),IF(BW$5=$E17+1,$C17,""),"")</f>
        <v/>
      </c>
      <c r="BX17" s="34">
        <f>IF(AND(BX$5&gt;$E17,BX$5&lt;=$F17),IF(BX$5=$E17+1,$C17,""),"")</f>
        <v/>
      </c>
      <c r="BY17" s="34">
        <f>IF(AND(BY$5&gt;$E17,BY$5&lt;=$F17),IF(BY$5=$E17+1,$C17,""),"")</f>
        <v/>
      </c>
      <c r="BZ17" s="34">
        <f>IF(AND(BZ$5&gt;$E17,BZ$5&lt;=$F17),IF(BZ$5=$E17+1,$C17,""),"")</f>
        <v/>
      </c>
      <c r="CA17" s="34">
        <f>IF(AND(CA$5&gt;$E17,CA$5&lt;=$F17),IF(CA$5=$E17+1,$C17,""),"")</f>
        <v/>
      </c>
      <c r="CB17" s="34">
        <f>IF(AND(CB$5&gt;$E17,CB$5&lt;=$F17),IF(CB$5=$E17+1,$C17,""),"")</f>
        <v/>
      </c>
      <c r="CC17" s="34">
        <f>IF(AND(CC$5&gt;$E17,CC$5&lt;=$F17),IF(CC$5=$E17+1,$C17,""),"")</f>
        <v/>
      </c>
      <c r="CD17" s="34">
        <f>IF(AND(CD$5&gt;$E17,CD$5&lt;=$F17),IF(CD$5=$E17+1,$C17,""),"")</f>
        <v/>
      </c>
      <c r="CE17" s="34">
        <f>IF(AND(CE$5&gt;$E17,CE$5&lt;=$F17),IF(CE$5=$E17+1,$C17,""),"")</f>
        <v/>
      </c>
      <c r="CF17" s="34">
        <f>IF(AND(CF$5&gt;$E17,CF$5&lt;=$F17),IF(CF$5=$E17+1,$C17,""),"")</f>
        <v/>
      </c>
      <c r="CG17" s="34">
        <f>IF(AND(CG$5&gt;$E17,CG$5&lt;=$F17),IF(CG$5=$E17+1,$C17,""),"")</f>
        <v/>
      </c>
      <c r="CH17" s="34">
        <f>IF(AND(CH$5&gt;$E17,CH$5&lt;=$F17),IF(CH$5=$E17+1,$C17,""),"")</f>
        <v/>
      </c>
      <c r="CI17" s="34">
        <f>IF(AND(CI$5&gt;$E17,CI$5&lt;=$F17),IF(CI$5=$E17+1,$C17,""),"")</f>
        <v/>
      </c>
      <c r="CJ17" s="34">
        <f>IF(AND(CJ$5&gt;$E17,CJ$5&lt;=$F17),IF(CJ$5=$E17+1,$C17,""),"")</f>
        <v/>
      </c>
      <c r="CK17" s="34">
        <f>IF(AND(CK$5&gt;$E17,CK$5&lt;=$F17),IF(CK$5=$E17+1,$C17,""),"")</f>
        <v/>
      </c>
      <c r="CL17" s="34">
        <f>IF(AND(CL$5&gt;$E17,CL$5&lt;=$F17),IF(CL$5=$E17+1,$C17,""),"")</f>
        <v/>
      </c>
      <c r="CM17" s="34">
        <f>IF(AND(CM$5&gt;$E17,CM$5&lt;=$F17),IF(CM$5=$E17+1,$C17,""),"")</f>
        <v/>
      </c>
      <c r="CN17" s="34">
        <f>IF(AND(CN$5&gt;$E17,CN$5&lt;=$F17),IF(CN$5=$E17+1,$C17,""),"")</f>
        <v/>
      </c>
      <c r="CO17" s="34">
        <f>IF(AND(CO$5&gt;$E17,CO$5&lt;=$F17),IF(CO$5=$E17+1,$C17,""),"")</f>
        <v/>
      </c>
      <c r="CP17" s="34">
        <f>IF(AND(CP$5&gt;$E17,CP$5&lt;=$F17),IF(CP$5=$E17+1,$C17,""),"")</f>
        <v/>
      </c>
      <c r="CQ17" s="34">
        <f>IF(AND(CQ$5&gt;$E17,CQ$5&lt;=$F17),IF(CQ$5=$E17+1,$C17,""),"")</f>
        <v/>
      </c>
      <c r="CR17" s="34">
        <f>IF(AND(CR$5&gt;$E17,CR$5&lt;=$F17),IF(CR$5=$E17+1,$C17,""),"")</f>
        <v/>
      </c>
      <c r="CS17" s="34">
        <f>IF(AND(CS$5&gt;$E17,CS$5&lt;=$F17),IF(CS$5=$E17+1,$C17,""),"")</f>
        <v/>
      </c>
      <c r="CT17" s="34">
        <f>IF(AND(CT$5&gt;$E17,CT$5&lt;=$F17),IF(CT$5=$E17+1,$C17,""),"")</f>
        <v/>
      </c>
      <c r="CU17" s="34">
        <f>IF(AND(CU$5&gt;$E17,CU$5&lt;=$F17),IF(CU$5=$E17+1,$C17,""),"")</f>
        <v/>
      </c>
      <c r="CV17" s="34">
        <f>IF(AND(CV$5&gt;$E17,CV$5&lt;=$F17),IF(CV$5=$E17+1,$C17,""),"")</f>
        <v/>
      </c>
      <c r="CW17" s="34">
        <f>IF(AND(CW$5&gt;$E17,CW$5&lt;=$F17),IF(CW$5=$E17+1,$C17,""),"")</f>
        <v/>
      </c>
      <c r="CX17" s="34">
        <f>IF(AND(CX$5&gt;$E17,CX$5&lt;=$F17),IF(CX$5=$E17+1,$C17,""),"")</f>
        <v/>
      </c>
      <c r="CY17" s="34">
        <f>IF(AND(CY$5&gt;$E17,CY$5&lt;=$F17),IF(CY$5=$E17+1,$C17,""),"")</f>
        <v/>
      </c>
      <c r="CZ17" s="34">
        <f>IF(AND(CZ$5&gt;$E17,CZ$5&lt;=$F17),IF(CZ$5=$E17+1,$C17,""),"")</f>
        <v/>
      </c>
      <c r="DA17" s="34">
        <f>IF(AND(DA$5&gt;$E17,DA$5&lt;=$F17),IF(DA$5=$E17+1,$C17,""),"")</f>
        <v/>
      </c>
      <c r="DB17" s="34">
        <f>IF(AND(DB$5&gt;$E17,DB$5&lt;=$F17),IF(DB$5=$E17+1,$C17,""),"")</f>
        <v/>
      </c>
      <c r="DC17" s="34">
        <f>IF(AND(DC$5&gt;$E17,DC$5&lt;=$F17),IF(DC$5=$E17+1,$C17,""),"")</f>
        <v/>
      </c>
      <c r="DD17" s="34">
        <f>IF(AND(DD$5&gt;$E17,DD$5&lt;=$F17),IF(DD$5=$E17+1,$C17,""),"")</f>
        <v/>
      </c>
      <c r="DE17" s="34">
        <f>IF(AND(DE$5&gt;$E17,DE$5&lt;=$F17),IF(DE$5=$E17+1,$C17,""),"")</f>
        <v/>
      </c>
      <c r="DF17" s="34">
        <f>IF(AND(DF$5&gt;$E17,DF$5&lt;=$F17),IF(DF$5=$E17+1,$C17,""),"")</f>
        <v/>
      </c>
      <c r="DG17" s="34">
        <f>IF(AND(DG$5&gt;$E17,DG$5&lt;=$F17),IF(DG$5=$E17+1,$C17,""),"")</f>
        <v/>
      </c>
      <c r="DH17" s="34">
        <f>IF(AND(DH$5&gt;$E17,DH$5&lt;=$F17),IF(DH$5=$E17+1,$C17,""),"")</f>
        <v/>
      </c>
      <c r="DI17" s="34">
        <f>IF(AND(DI$5&gt;$E17,DI$5&lt;=$F17),IF(DI$5=$E17+1,$C17,""),"")</f>
        <v/>
      </c>
      <c r="DJ17" s="34">
        <f>IF(AND(DJ$5&gt;$E17,DJ$5&lt;=$F17),IF(DJ$5=$E17+1,$C17,""),"")</f>
        <v/>
      </c>
      <c r="DK17" s="34">
        <f>IF(AND(DK$5&gt;$E17,DK$5&lt;=$F17),IF(DK$5=$E17+1,$C17,""),"")</f>
        <v/>
      </c>
      <c r="DL17" s="34">
        <f>IF(AND(DL$5&gt;$E17,DL$5&lt;=$F17),IF(DL$5=$E17+1,$C17,""),"")</f>
        <v/>
      </c>
      <c r="DM17" s="34">
        <f>IF(AND(DM$5&gt;$E17,DM$5&lt;=$F17),IF(DM$5=$E17+1,$C17,""),"")</f>
        <v/>
      </c>
      <c r="DN17" s="34">
        <f>IF(AND(DN$5&gt;$E17,DN$5&lt;=$F17),IF(DN$5=$E17+1,$C17,""),"")</f>
        <v/>
      </c>
      <c r="DO17" s="34">
        <f>IF(AND(DO$5&gt;$E17,DO$5&lt;=$F17),IF(DO$5=$E17+1,$C17,""),"")</f>
        <v/>
      </c>
      <c r="DP17" s="34">
        <f>IF(AND(DP$5&gt;$E17,DP$5&lt;=$F17),IF(DP$5=$E17+1,$C17,""),"")</f>
        <v/>
      </c>
      <c r="DQ17" s="34">
        <f>IF(AND(DQ$5&gt;$E17,DQ$5&lt;=$F17),IF(DQ$5=$E17+1,$C17,""),"")</f>
        <v/>
      </c>
      <c r="DR17" s="34">
        <f>IF(AND(DR$5&gt;$E17,DR$5&lt;=$F17),IF(DR$5=$E17+1,$C17,""),"")</f>
        <v/>
      </c>
      <c r="DS17" s="34">
        <f>IF(AND(DS$5&gt;$E17,DS$5&lt;=$F17),IF(DS$5=$E17+1,$C17,""),"")</f>
        <v/>
      </c>
      <c r="DT17" s="34">
        <f>IF(AND(DT$5&gt;$E17,DT$5&lt;=$F17),IF(DT$5=$E17+1,$C17,""),"")</f>
        <v/>
      </c>
      <c r="DU17" s="34">
        <f>IF(AND(DU$5&gt;$E17,DU$5&lt;=$F17),IF(DU$5=$E17+1,$C17,""),"")</f>
        <v/>
      </c>
      <c r="DV17" s="34">
        <f>IF(AND(DV$5&gt;$E17,DV$5&lt;=$F17),IF(DV$5=$E17+1,$C17,""),"")</f>
        <v/>
      </c>
      <c r="DW17" s="34">
        <f>IF(AND(DW$5&gt;$E17,DW$5&lt;=$F17),IF(DW$5=$E17+1,$C17,""),"")</f>
        <v/>
      </c>
      <c r="DX17" s="34">
        <f>IF(AND(DX$5&gt;$E17,DX$5&lt;=$F17),IF(DX$5=$E17+1,$C17,""),"")</f>
        <v/>
      </c>
      <c r="DY17" s="34">
        <f>IF(AND(DY$5&gt;$E17,DY$5&lt;=$F17),IF(DY$5=$E17+1,$C17,""),"")</f>
        <v/>
      </c>
      <c r="DZ17" s="34">
        <f>IF(AND(DZ$5&gt;$E17,DZ$5&lt;=$F17),IF(DZ$5=$E17+1,$C17,""),"")</f>
        <v/>
      </c>
      <c r="EA17" s="34">
        <f>IF(AND(EA$5&gt;$E17,EA$5&lt;=$F17),IF(EA$5=$E17+1,$C17,""),"")</f>
        <v/>
      </c>
      <c r="EB17" s="34">
        <f>IF(AND(EB$5&gt;$E17,EB$5&lt;=$F17),IF(EB$5=$E17+1,$C17,""),"")</f>
        <v/>
      </c>
      <c r="EC17" s="34">
        <f>IF(AND(EC$5&gt;$E17,EC$5&lt;=$F17),IF(EC$5=$E17+1,$C17,""),"")</f>
        <v/>
      </c>
      <c r="ED17" s="34">
        <f>IF(AND(ED$5&gt;$E17,ED$5&lt;=$F17),IF(ED$5=$E17+1,$C17,""),"")</f>
        <v/>
      </c>
      <c r="EE17" s="34">
        <f>IF(AND(EE$5&gt;$E17,EE$5&lt;=$F17),IF(EE$5=$E17+1,$C17,""),"")</f>
        <v/>
      </c>
      <c r="EF17" s="34">
        <f>IF(AND(EF$5&gt;$E17,EF$5&lt;=$F17),IF(EF$5=$E17+1,$C17,""),"")</f>
        <v/>
      </c>
      <c r="EG17" s="34">
        <f>IF(AND(EG$5&gt;$E17,EG$5&lt;=$F17),IF(EG$5=$E17+1,$C17,""),"")</f>
        <v/>
      </c>
      <c r="EH17" s="34">
        <f>IF(AND(EH$5&gt;$E17,EH$5&lt;=$F17),IF(EH$5=$E17+1,$C17,""),"")</f>
        <v/>
      </c>
      <c r="EI17" s="34">
        <f>IF(AND(EI$5&gt;$E17,EI$5&lt;=$F17),IF(EI$5=$E17+1,$C17,""),"")</f>
        <v/>
      </c>
      <c r="EJ17" s="34">
        <f>IF(AND(EJ$5&gt;$E17,EJ$5&lt;=$F17),IF(EJ$5=$E17+1,$C17,""),"")</f>
        <v/>
      </c>
      <c r="EK17" s="34">
        <f>IF(AND(EK$5&gt;$E17,EK$5&lt;=$F17),IF(EK$5=$E17+1,$C17,""),"")</f>
        <v/>
      </c>
      <c r="EL17" s="34">
        <f>IF(AND(EL$5&gt;$E17,EL$5&lt;=$F17),IF(EL$5=$E17+1,$C17,""),"")</f>
        <v/>
      </c>
      <c r="EM17" s="34">
        <f>IF(AND(EM$5&gt;$E17,EM$5&lt;=$F17),IF(EM$5=$E17+1,$C17,""),"")</f>
        <v/>
      </c>
      <c r="EN17" s="34">
        <f>IF(AND(EN$5&gt;$E17,EN$5&lt;=$F17),IF(EN$5=$E17+1,$C17,""),"")</f>
        <v/>
      </c>
      <c r="EO17" s="34">
        <f>IF(AND(EO$5&gt;$E17,EO$5&lt;=$F17),IF(EO$5=$E17+1,$C17,""),"")</f>
        <v/>
      </c>
      <c r="EP17" s="34">
        <f>IF(AND(EP$5&gt;$E17,EP$5&lt;=$F17),IF(EP$5=$E17+1,$C17,""),"")</f>
        <v/>
      </c>
      <c r="EQ17" s="34">
        <f>IF(AND(EQ$5&gt;$E17,EQ$5&lt;=$F17),IF(EQ$5=$E17+1,$C17,""),"")</f>
        <v/>
      </c>
      <c r="ER17" s="34">
        <f>IF(AND(ER$5&gt;$E17,ER$5&lt;=$F17),IF(ER$5=$E17+1,$C17,""),"")</f>
        <v/>
      </c>
      <c r="ES17" s="34">
        <f>IF(AND(ES$5&gt;$E17,ES$5&lt;=$F17),IF(ES$5=$E17+1,$C17,""),"")</f>
        <v/>
      </c>
      <c r="ET17" s="34">
        <f>IF(AND(ET$5&gt;$E17,ET$5&lt;=$F17),IF(ET$5=$E17+1,$C17,""),"")</f>
        <v/>
      </c>
      <c r="EU17" s="34">
        <f>IF(AND(EU$5&gt;$E17,EU$5&lt;=$F17),IF(EU$5=$E17+1,$C17,""),"")</f>
        <v/>
      </c>
      <c r="EV17" s="34">
        <f>IF(AND(EV$5&gt;$E17,EV$5&lt;=$F17),IF(EV$5=$E17+1,$C17,""),"")</f>
        <v/>
      </c>
      <c r="EW17" s="34">
        <f>IF(AND(EW$5&gt;$E17,EW$5&lt;=$F17),IF(EW$5=$E17+1,$C17,""),"")</f>
        <v/>
      </c>
      <c r="EX17" s="34">
        <f>IF(AND(EX$5&gt;$E17,EX$5&lt;=$F17),IF(EX$5=$E17+1,$C17,""),"")</f>
        <v/>
      </c>
      <c r="EY17" s="34">
        <f>IF(AND(EY$5&gt;$E17,EY$5&lt;=$F17),IF(EY$5=$E17+1,$C17,""),"")</f>
        <v/>
      </c>
      <c r="EZ17" s="34">
        <f>IF(AND(EZ$5&gt;$E17,EZ$5&lt;=$F17),IF(EZ$5=$E17+1,$C17,""),"")</f>
        <v/>
      </c>
      <c r="FA17" s="34">
        <f>IF(AND(FA$5&gt;$E17,FA$5&lt;=$F17),IF(FA$5=$E17+1,$C17,""),"")</f>
        <v/>
      </c>
    </row>
    <row r="18">
      <c r="A18" s="27" t="inlineStr">
        <is>
          <t>Fase 2. Landing y autenticación</t>
        </is>
      </c>
      <c r="B18" s="28" t="n"/>
      <c r="C18" s="28" t="n"/>
      <c r="D18" s="28" t="n"/>
      <c r="E18" s="29">
        <f>SUMPRODUCT(MIN((Plan!$B$5:$B$129="2. Landing y autenticación")*Plan!$K$5:$K$129+(Plan!$B$5:$B$129&lt;&gt;"2. Landing y autenticación")*1E9))</f>
        <v/>
      </c>
      <c r="F18" s="29">
        <f>SUMPRODUCT(MAX((Plan!$B$5:$B$129="2. Landing y autenticación")*Plan!$L$5:$L$129))</f>
        <v/>
      </c>
      <c r="G18" s="30">
        <f>Resumen!E30</f>
        <v/>
      </c>
      <c r="H18" s="31" t="n"/>
      <c r="I18" s="31" t="n"/>
      <c r="J18" s="31" t="n"/>
      <c r="K18" s="31" t="n"/>
      <c r="L18" s="31" t="n"/>
      <c r="M18" s="31" t="n"/>
      <c r="N18" s="31" t="n"/>
      <c r="O18" s="31" t="n"/>
      <c r="P18" s="31" t="n"/>
      <c r="Q18" s="31" t="n"/>
      <c r="R18" s="31" t="n"/>
      <c r="S18" s="31" t="n"/>
      <c r="T18" s="31" t="n"/>
      <c r="U18" s="31" t="n"/>
      <c r="V18" s="31" t="n"/>
      <c r="W18" s="31" t="n"/>
      <c r="X18" s="31" t="n"/>
      <c r="Y18" s="31" t="n"/>
      <c r="Z18" s="31" t="n"/>
      <c r="AA18" s="31" t="n"/>
      <c r="AB18" s="31" t="n"/>
      <c r="AC18" s="31" t="n"/>
      <c r="AD18" s="31" t="n"/>
      <c r="AE18" s="31" t="n"/>
      <c r="AF18" s="31" t="n"/>
      <c r="AG18" s="31" t="n"/>
      <c r="AH18" s="31" t="n"/>
      <c r="AI18" s="31" t="n"/>
      <c r="AJ18" s="31" t="n"/>
      <c r="AK18" s="31" t="n"/>
      <c r="AL18" s="31" t="n"/>
      <c r="AM18" s="31" t="n"/>
      <c r="AN18" s="31" t="n"/>
      <c r="AO18" s="31" t="n"/>
      <c r="AP18" s="31" t="n"/>
      <c r="AQ18" s="31" t="n"/>
      <c r="AR18" s="31" t="n"/>
      <c r="AS18" s="31" t="n"/>
      <c r="AT18" s="31" t="n"/>
      <c r="AU18" s="31" t="n"/>
      <c r="AV18" s="31" t="n"/>
      <c r="AW18" s="31" t="n"/>
      <c r="AX18" s="31" t="n"/>
      <c r="AY18" s="31" t="n"/>
      <c r="AZ18" s="31" t="n"/>
      <c r="BA18" s="31" t="n"/>
      <c r="BB18" s="31" t="n"/>
      <c r="BC18" s="31" t="n"/>
      <c r="BD18" s="31" t="n"/>
      <c r="BE18" s="31" t="n"/>
      <c r="BF18" s="31" t="n"/>
      <c r="BG18" s="31" t="n"/>
      <c r="BH18" s="31" t="n"/>
      <c r="BI18" s="31" t="n"/>
      <c r="BJ18" s="31" t="n"/>
      <c r="BK18" s="31" t="n"/>
      <c r="BL18" s="31" t="n"/>
      <c r="BM18" s="31" t="n"/>
      <c r="BN18" s="31" t="n"/>
      <c r="BO18" s="31" t="n"/>
      <c r="BP18" s="31" t="n"/>
      <c r="BQ18" s="31" t="n"/>
      <c r="BR18" s="31" t="n"/>
      <c r="BS18" s="31" t="n"/>
      <c r="BT18" s="31" t="n"/>
      <c r="BU18" s="31" t="n"/>
      <c r="BV18" s="31" t="n"/>
      <c r="BW18" s="31" t="n"/>
      <c r="BX18" s="31" t="n"/>
      <c r="BY18" s="31" t="n"/>
      <c r="BZ18" s="31" t="n"/>
      <c r="CA18" s="31" t="n"/>
      <c r="CB18" s="31" t="n"/>
      <c r="CC18" s="31" t="n"/>
      <c r="CD18" s="31" t="n"/>
      <c r="CE18" s="31" t="n"/>
      <c r="CF18" s="31" t="n"/>
      <c r="CG18" s="31" t="n"/>
      <c r="CH18" s="31" t="n"/>
      <c r="CI18" s="31" t="n"/>
      <c r="CJ18" s="31" t="n"/>
      <c r="CK18" s="31" t="n"/>
      <c r="CL18" s="31" t="n"/>
      <c r="CM18" s="31" t="n"/>
      <c r="CN18" s="31" t="n"/>
      <c r="CO18" s="31" t="n"/>
      <c r="CP18" s="31" t="n"/>
      <c r="CQ18" s="31" t="n"/>
      <c r="CR18" s="31" t="n"/>
      <c r="CS18" s="31" t="n"/>
      <c r="CT18" s="31" t="n"/>
      <c r="CU18" s="31" t="n"/>
      <c r="CV18" s="31" t="n"/>
      <c r="CW18" s="31" t="n"/>
      <c r="CX18" s="31" t="n"/>
      <c r="CY18" s="31" t="n"/>
      <c r="CZ18" s="31" t="n"/>
      <c r="DA18" s="31" t="n"/>
      <c r="DB18" s="31" t="n"/>
      <c r="DC18" s="31" t="n"/>
      <c r="DD18" s="31" t="n"/>
      <c r="DE18" s="31" t="n"/>
      <c r="DF18" s="31" t="n"/>
      <c r="DG18" s="31" t="n"/>
      <c r="DH18" s="31" t="n"/>
      <c r="DI18" s="31" t="n"/>
      <c r="DJ18" s="31" t="n"/>
      <c r="DK18" s="31" t="n"/>
      <c r="DL18" s="31" t="n"/>
      <c r="DM18" s="31" t="n"/>
      <c r="DN18" s="31" t="n"/>
      <c r="DO18" s="31" t="n"/>
      <c r="DP18" s="31" t="n"/>
      <c r="DQ18" s="31" t="n"/>
      <c r="DR18" s="31" t="n"/>
      <c r="DS18" s="31" t="n"/>
      <c r="DT18" s="31" t="n"/>
      <c r="DU18" s="31" t="n"/>
      <c r="DV18" s="31" t="n"/>
      <c r="DW18" s="31" t="n"/>
      <c r="DX18" s="31" t="n"/>
      <c r="DY18" s="31" t="n"/>
      <c r="DZ18" s="31" t="n"/>
      <c r="EA18" s="31" t="n"/>
      <c r="EB18" s="31" t="n"/>
      <c r="EC18" s="31" t="n"/>
      <c r="ED18" s="31" t="n"/>
      <c r="EE18" s="31" t="n"/>
      <c r="EF18" s="31" t="n"/>
      <c r="EG18" s="31" t="n"/>
      <c r="EH18" s="31" t="n"/>
      <c r="EI18" s="31" t="n"/>
      <c r="EJ18" s="31" t="n"/>
      <c r="EK18" s="31" t="n"/>
      <c r="EL18" s="31" t="n"/>
      <c r="EM18" s="31" t="n"/>
      <c r="EN18" s="31" t="n"/>
      <c r="EO18" s="31" t="n"/>
      <c r="EP18" s="31" t="n"/>
      <c r="EQ18" s="31" t="n"/>
      <c r="ER18" s="31" t="n"/>
      <c r="ES18" s="31" t="n"/>
      <c r="ET18" s="31" t="n"/>
      <c r="EU18" s="31" t="n"/>
      <c r="EV18" s="31" t="n"/>
      <c r="EW18" s="31" t="n"/>
      <c r="EX18" s="31" t="n"/>
      <c r="EY18" s="31" t="n"/>
      <c r="EZ18" s="31" t="n"/>
      <c r="FA18" s="31" t="n"/>
    </row>
    <row r="19">
      <c r="A19" s="32">
        <f>Plan!A13</f>
        <v/>
      </c>
      <c r="B19" s="33">
        <f>Plan!C13</f>
        <v/>
      </c>
      <c r="C19" s="16">
        <f>Plan!D13</f>
        <v/>
      </c>
      <c r="D19" s="16">
        <f>Plan!I13</f>
        <v/>
      </c>
      <c r="E19" s="16">
        <f>Plan!K13</f>
        <v/>
      </c>
      <c r="F19" s="16">
        <f>Plan!L13</f>
        <v/>
      </c>
      <c r="G19" s="16">
        <f>Plan!O13</f>
        <v/>
      </c>
      <c r="H19" s="34">
        <f>IF(AND(H$5&gt;$E19,H$5&lt;=$F19),IF(H$5=$E19+1,$C19,""),"")</f>
        <v/>
      </c>
      <c r="I19" s="34">
        <f>IF(AND(I$5&gt;$E19,I$5&lt;=$F19),IF(I$5=$E19+1,$C19,""),"")</f>
        <v/>
      </c>
      <c r="J19" s="34">
        <f>IF(AND(J$5&gt;$E19,J$5&lt;=$F19),IF(J$5=$E19+1,$C19,""),"")</f>
        <v/>
      </c>
      <c r="K19" s="34">
        <f>IF(AND(K$5&gt;$E19,K$5&lt;=$F19),IF(K$5=$E19+1,$C19,""),"")</f>
        <v/>
      </c>
      <c r="L19" s="34">
        <f>IF(AND(L$5&gt;$E19,L$5&lt;=$F19),IF(L$5=$E19+1,$C19,""),"")</f>
        <v/>
      </c>
      <c r="M19" s="34">
        <f>IF(AND(M$5&gt;$E19,M$5&lt;=$F19),IF(M$5=$E19+1,$C19,""),"")</f>
        <v/>
      </c>
      <c r="N19" s="34">
        <f>IF(AND(N$5&gt;$E19,N$5&lt;=$F19),IF(N$5=$E19+1,$C19,""),"")</f>
        <v/>
      </c>
      <c r="O19" s="34">
        <f>IF(AND(O$5&gt;$E19,O$5&lt;=$F19),IF(O$5=$E19+1,$C19,""),"")</f>
        <v/>
      </c>
      <c r="P19" s="34">
        <f>IF(AND(P$5&gt;$E19,P$5&lt;=$F19),IF(P$5=$E19+1,$C19,""),"")</f>
        <v/>
      </c>
      <c r="Q19" s="34">
        <f>IF(AND(Q$5&gt;$E19,Q$5&lt;=$F19),IF(Q$5=$E19+1,$C19,""),"")</f>
        <v/>
      </c>
      <c r="R19" s="34">
        <f>IF(AND(R$5&gt;$E19,R$5&lt;=$F19),IF(R$5=$E19+1,$C19,""),"")</f>
        <v/>
      </c>
      <c r="S19" s="34">
        <f>IF(AND(S$5&gt;$E19,S$5&lt;=$F19),IF(S$5=$E19+1,$C19,""),"")</f>
        <v/>
      </c>
      <c r="T19" s="34">
        <f>IF(AND(T$5&gt;$E19,T$5&lt;=$F19),IF(T$5=$E19+1,$C19,""),"")</f>
        <v/>
      </c>
      <c r="U19" s="34">
        <f>IF(AND(U$5&gt;$E19,U$5&lt;=$F19),IF(U$5=$E19+1,$C19,""),"")</f>
        <v/>
      </c>
      <c r="V19" s="34">
        <f>IF(AND(V$5&gt;$E19,V$5&lt;=$F19),IF(V$5=$E19+1,$C19,""),"")</f>
        <v/>
      </c>
      <c r="W19" s="34">
        <f>IF(AND(W$5&gt;$E19,W$5&lt;=$F19),IF(W$5=$E19+1,$C19,""),"")</f>
        <v/>
      </c>
      <c r="X19" s="34">
        <f>IF(AND(X$5&gt;$E19,X$5&lt;=$F19),IF(X$5=$E19+1,$C19,""),"")</f>
        <v/>
      </c>
      <c r="Y19" s="34">
        <f>IF(AND(Y$5&gt;$E19,Y$5&lt;=$F19),IF(Y$5=$E19+1,$C19,""),"")</f>
        <v/>
      </c>
      <c r="Z19" s="34">
        <f>IF(AND(Z$5&gt;$E19,Z$5&lt;=$F19),IF(Z$5=$E19+1,$C19,""),"")</f>
        <v/>
      </c>
      <c r="AA19" s="34">
        <f>IF(AND(AA$5&gt;$E19,AA$5&lt;=$F19),IF(AA$5=$E19+1,$C19,""),"")</f>
        <v/>
      </c>
      <c r="AB19" s="34">
        <f>IF(AND(AB$5&gt;$E19,AB$5&lt;=$F19),IF(AB$5=$E19+1,$C19,""),"")</f>
        <v/>
      </c>
      <c r="AC19" s="34">
        <f>IF(AND(AC$5&gt;$E19,AC$5&lt;=$F19),IF(AC$5=$E19+1,$C19,""),"")</f>
        <v/>
      </c>
      <c r="AD19" s="34">
        <f>IF(AND(AD$5&gt;$E19,AD$5&lt;=$F19),IF(AD$5=$E19+1,$C19,""),"")</f>
        <v/>
      </c>
      <c r="AE19" s="34">
        <f>IF(AND(AE$5&gt;$E19,AE$5&lt;=$F19),IF(AE$5=$E19+1,$C19,""),"")</f>
        <v/>
      </c>
      <c r="AF19" s="34">
        <f>IF(AND(AF$5&gt;$E19,AF$5&lt;=$F19),IF(AF$5=$E19+1,$C19,""),"")</f>
        <v/>
      </c>
      <c r="AG19" s="34">
        <f>IF(AND(AG$5&gt;$E19,AG$5&lt;=$F19),IF(AG$5=$E19+1,$C19,""),"")</f>
        <v/>
      </c>
      <c r="AH19" s="34">
        <f>IF(AND(AH$5&gt;$E19,AH$5&lt;=$F19),IF(AH$5=$E19+1,$C19,""),"")</f>
        <v/>
      </c>
      <c r="AI19" s="34">
        <f>IF(AND(AI$5&gt;$E19,AI$5&lt;=$F19),IF(AI$5=$E19+1,$C19,""),"")</f>
        <v/>
      </c>
      <c r="AJ19" s="34">
        <f>IF(AND(AJ$5&gt;$E19,AJ$5&lt;=$F19),IF(AJ$5=$E19+1,$C19,""),"")</f>
        <v/>
      </c>
      <c r="AK19" s="34">
        <f>IF(AND(AK$5&gt;$E19,AK$5&lt;=$F19),IF(AK$5=$E19+1,$C19,""),"")</f>
        <v/>
      </c>
      <c r="AL19" s="34">
        <f>IF(AND(AL$5&gt;$E19,AL$5&lt;=$F19),IF(AL$5=$E19+1,$C19,""),"")</f>
        <v/>
      </c>
      <c r="AM19" s="34">
        <f>IF(AND(AM$5&gt;$E19,AM$5&lt;=$F19),IF(AM$5=$E19+1,$C19,""),"")</f>
        <v/>
      </c>
      <c r="AN19" s="34">
        <f>IF(AND(AN$5&gt;$E19,AN$5&lt;=$F19),IF(AN$5=$E19+1,$C19,""),"")</f>
        <v/>
      </c>
      <c r="AO19" s="34">
        <f>IF(AND(AO$5&gt;$E19,AO$5&lt;=$F19),IF(AO$5=$E19+1,$C19,""),"")</f>
        <v/>
      </c>
      <c r="AP19" s="34">
        <f>IF(AND(AP$5&gt;$E19,AP$5&lt;=$F19),IF(AP$5=$E19+1,$C19,""),"")</f>
        <v/>
      </c>
      <c r="AQ19" s="34">
        <f>IF(AND(AQ$5&gt;$E19,AQ$5&lt;=$F19),IF(AQ$5=$E19+1,$C19,""),"")</f>
        <v/>
      </c>
      <c r="AR19" s="34">
        <f>IF(AND(AR$5&gt;$E19,AR$5&lt;=$F19),IF(AR$5=$E19+1,$C19,""),"")</f>
        <v/>
      </c>
      <c r="AS19" s="34">
        <f>IF(AND(AS$5&gt;$E19,AS$5&lt;=$F19),IF(AS$5=$E19+1,$C19,""),"")</f>
        <v/>
      </c>
      <c r="AT19" s="34">
        <f>IF(AND(AT$5&gt;$E19,AT$5&lt;=$F19),IF(AT$5=$E19+1,$C19,""),"")</f>
        <v/>
      </c>
      <c r="AU19" s="34">
        <f>IF(AND(AU$5&gt;$E19,AU$5&lt;=$F19),IF(AU$5=$E19+1,$C19,""),"")</f>
        <v/>
      </c>
      <c r="AV19" s="34">
        <f>IF(AND(AV$5&gt;$E19,AV$5&lt;=$F19),IF(AV$5=$E19+1,$C19,""),"")</f>
        <v/>
      </c>
      <c r="AW19" s="34">
        <f>IF(AND(AW$5&gt;$E19,AW$5&lt;=$F19),IF(AW$5=$E19+1,$C19,""),"")</f>
        <v/>
      </c>
      <c r="AX19" s="34">
        <f>IF(AND(AX$5&gt;$E19,AX$5&lt;=$F19),IF(AX$5=$E19+1,$C19,""),"")</f>
        <v/>
      </c>
      <c r="AY19" s="34">
        <f>IF(AND(AY$5&gt;$E19,AY$5&lt;=$F19),IF(AY$5=$E19+1,$C19,""),"")</f>
        <v/>
      </c>
      <c r="AZ19" s="34">
        <f>IF(AND(AZ$5&gt;$E19,AZ$5&lt;=$F19),IF(AZ$5=$E19+1,$C19,""),"")</f>
        <v/>
      </c>
      <c r="BA19" s="34">
        <f>IF(AND(BA$5&gt;$E19,BA$5&lt;=$F19),IF(BA$5=$E19+1,$C19,""),"")</f>
        <v/>
      </c>
      <c r="BB19" s="34">
        <f>IF(AND(BB$5&gt;$E19,BB$5&lt;=$F19),IF(BB$5=$E19+1,$C19,""),"")</f>
        <v/>
      </c>
      <c r="BC19" s="34">
        <f>IF(AND(BC$5&gt;$E19,BC$5&lt;=$F19),IF(BC$5=$E19+1,$C19,""),"")</f>
        <v/>
      </c>
      <c r="BD19" s="34">
        <f>IF(AND(BD$5&gt;$E19,BD$5&lt;=$F19),IF(BD$5=$E19+1,$C19,""),"")</f>
        <v/>
      </c>
      <c r="BE19" s="34">
        <f>IF(AND(BE$5&gt;$E19,BE$5&lt;=$F19),IF(BE$5=$E19+1,$C19,""),"")</f>
        <v/>
      </c>
      <c r="BF19" s="34">
        <f>IF(AND(BF$5&gt;$E19,BF$5&lt;=$F19),IF(BF$5=$E19+1,$C19,""),"")</f>
        <v/>
      </c>
      <c r="BG19" s="34">
        <f>IF(AND(BG$5&gt;$E19,BG$5&lt;=$F19),IF(BG$5=$E19+1,$C19,""),"")</f>
        <v/>
      </c>
      <c r="BH19" s="34">
        <f>IF(AND(BH$5&gt;$E19,BH$5&lt;=$F19),IF(BH$5=$E19+1,$C19,""),"")</f>
        <v/>
      </c>
      <c r="BI19" s="34">
        <f>IF(AND(BI$5&gt;$E19,BI$5&lt;=$F19),IF(BI$5=$E19+1,$C19,""),"")</f>
        <v/>
      </c>
      <c r="BJ19" s="34">
        <f>IF(AND(BJ$5&gt;$E19,BJ$5&lt;=$F19),IF(BJ$5=$E19+1,$C19,""),"")</f>
        <v/>
      </c>
      <c r="BK19" s="34">
        <f>IF(AND(BK$5&gt;$E19,BK$5&lt;=$F19),IF(BK$5=$E19+1,$C19,""),"")</f>
        <v/>
      </c>
      <c r="BL19" s="34">
        <f>IF(AND(BL$5&gt;$E19,BL$5&lt;=$F19),IF(BL$5=$E19+1,$C19,""),"")</f>
        <v/>
      </c>
      <c r="BM19" s="34">
        <f>IF(AND(BM$5&gt;$E19,BM$5&lt;=$F19),IF(BM$5=$E19+1,$C19,""),"")</f>
        <v/>
      </c>
      <c r="BN19" s="34">
        <f>IF(AND(BN$5&gt;$E19,BN$5&lt;=$F19),IF(BN$5=$E19+1,$C19,""),"")</f>
        <v/>
      </c>
      <c r="BO19" s="34">
        <f>IF(AND(BO$5&gt;$E19,BO$5&lt;=$F19),IF(BO$5=$E19+1,$C19,""),"")</f>
        <v/>
      </c>
      <c r="BP19" s="34">
        <f>IF(AND(BP$5&gt;$E19,BP$5&lt;=$F19),IF(BP$5=$E19+1,$C19,""),"")</f>
        <v/>
      </c>
      <c r="BQ19" s="34">
        <f>IF(AND(BQ$5&gt;$E19,BQ$5&lt;=$F19),IF(BQ$5=$E19+1,$C19,""),"")</f>
        <v/>
      </c>
      <c r="BR19" s="34">
        <f>IF(AND(BR$5&gt;$E19,BR$5&lt;=$F19),IF(BR$5=$E19+1,$C19,""),"")</f>
        <v/>
      </c>
      <c r="BS19" s="34">
        <f>IF(AND(BS$5&gt;$E19,BS$5&lt;=$F19),IF(BS$5=$E19+1,$C19,""),"")</f>
        <v/>
      </c>
      <c r="BT19" s="34">
        <f>IF(AND(BT$5&gt;$E19,BT$5&lt;=$F19),IF(BT$5=$E19+1,$C19,""),"")</f>
        <v/>
      </c>
      <c r="BU19" s="34">
        <f>IF(AND(BU$5&gt;$E19,BU$5&lt;=$F19),IF(BU$5=$E19+1,$C19,""),"")</f>
        <v/>
      </c>
      <c r="BV19" s="34">
        <f>IF(AND(BV$5&gt;$E19,BV$5&lt;=$F19),IF(BV$5=$E19+1,$C19,""),"")</f>
        <v/>
      </c>
      <c r="BW19" s="34">
        <f>IF(AND(BW$5&gt;$E19,BW$5&lt;=$F19),IF(BW$5=$E19+1,$C19,""),"")</f>
        <v/>
      </c>
      <c r="BX19" s="34">
        <f>IF(AND(BX$5&gt;$E19,BX$5&lt;=$F19),IF(BX$5=$E19+1,$C19,""),"")</f>
        <v/>
      </c>
      <c r="BY19" s="34">
        <f>IF(AND(BY$5&gt;$E19,BY$5&lt;=$F19),IF(BY$5=$E19+1,$C19,""),"")</f>
        <v/>
      </c>
      <c r="BZ19" s="34">
        <f>IF(AND(BZ$5&gt;$E19,BZ$5&lt;=$F19),IF(BZ$5=$E19+1,$C19,""),"")</f>
        <v/>
      </c>
      <c r="CA19" s="34">
        <f>IF(AND(CA$5&gt;$E19,CA$5&lt;=$F19),IF(CA$5=$E19+1,$C19,""),"")</f>
        <v/>
      </c>
      <c r="CB19" s="34">
        <f>IF(AND(CB$5&gt;$E19,CB$5&lt;=$F19),IF(CB$5=$E19+1,$C19,""),"")</f>
        <v/>
      </c>
      <c r="CC19" s="34">
        <f>IF(AND(CC$5&gt;$E19,CC$5&lt;=$F19),IF(CC$5=$E19+1,$C19,""),"")</f>
        <v/>
      </c>
      <c r="CD19" s="34">
        <f>IF(AND(CD$5&gt;$E19,CD$5&lt;=$F19),IF(CD$5=$E19+1,$C19,""),"")</f>
        <v/>
      </c>
      <c r="CE19" s="34">
        <f>IF(AND(CE$5&gt;$E19,CE$5&lt;=$F19),IF(CE$5=$E19+1,$C19,""),"")</f>
        <v/>
      </c>
      <c r="CF19" s="34">
        <f>IF(AND(CF$5&gt;$E19,CF$5&lt;=$F19),IF(CF$5=$E19+1,$C19,""),"")</f>
        <v/>
      </c>
      <c r="CG19" s="34">
        <f>IF(AND(CG$5&gt;$E19,CG$5&lt;=$F19),IF(CG$5=$E19+1,$C19,""),"")</f>
        <v/>
      </c>
      <c r="CH19" s="34">
        <f>IF(AND(CH$5&gt;$E19,CH$5&lt;=$F19),IF(CH$5=$E19+1,$C19,""),"")</f>
        <v/>
      </c>
      <c r="CI19" s="34">
        <f>IF(AND(CI$5&gt;$E19,CI$5&lt;=$F19),IF(CI$5=$E19+1,$C19,""),"")</f>
        <v/>
      </c>
      <c r="CJ19" s="34">
        <f>IF(AND(CJ$5&gt;$E19,CJ$5&lt;=$F19),IF(CJ$5=$E19+1,$C19,""),"")</f>
        <v/>
      </c>
      <c r="CK19" s="34">
        <f>IF(AND(CK$5&gt;$E19,CK$5&lt;=$F19),IF(CK$5=$E19+1,$C19,""),"")</f>
        <v/>
      </c>
      <c r="CL19" s="34">
        <f>IF(AND(CL$5&gt;$E19,CL$5&lt;=$F19),IF(CL$5=$E19+1,$C19,""),"")</f>
        <v/>
      </c>
      <c r="CM19" s="34">
        <f>IF(AND(CM$5&gt;$E19,CM$5&lt;=$F19),IF(CM$5=$E19+1,$C19,""),"")</f>
        <v/>
      </c>
      <c r="CN19" s="34">
        <f>IF(AND(CN$5&gt;$E19,CN$5&lt;=$F19),IF(CN$5=$E19+1,$C19,""),"")</f>
        <v/>
      </c>
      <c r="CO19" s="34">
        <f>IF(AND(CO$5&gt;$E19,CO$5&lt;=$F19),IF(CO$5=$E19+1,$C19,""),"")</f>
        <v/>
      </c>
      <c r="CP19" s="34">
        <f>IF(AND(CP$5&gt;$E19,CP$5&lt;=$F19),IF(CP$5=$E19+1,$C19,""),"")</f>
        <v/>
      </c>
      <c r="CQ19" s="34">
        <f>IF(AND(CQ$5&gt;$E19,CQ$5&lt;=$F19),IF(CQ$5=$E19+1,$C19,""),"")</f>
        <v/>
      </c>
      <c r="CR19" s="34">
        <f>IF(AND(CR$5&gt;$E19,CR$5&lt;=$F19),IF(CR$5=$E19+1,$C19,""),"")</f>
        <v/>
      </c>
      <c r="CS19" s="34">
        <f>IF(AND(CS$5&gt;$E19,CS$5&lt;=$F19),IF(CS$5=$E19+1,$C19,""),"")</f>
        <v/>
      </c>
      <c r="CT19" s="34">
        <f>IF(AND(CT$5&gt;$E19,CT$5&lt;=$F19),IF(CT$5=$E19+1,$C19,""),"")</f>
        <v/>
      </c>
      <c r="CU19" s="34">
        <f>IF(AND(CU$5&gt;$E19,CU$5&lt;=$F19),IF(CU$5=$E19+1,$C19,""),"")</f>
        <v/>
      </c>
      <c r="CV19" s="34">
        <f>IF(AND(CV$5&gt;$E19,CV$5&lt;=$F19),IF(CV$5=$E19+1,$C19,""),"")</f>
        <v/>
      </c>
      <c r="CW19" s="34">
        <f>IF(AND(CW$5&gt;$E19,CW$5&lt;=$F19),IF(CW$5=$E19+1,$C19,""),"")</f>
        <v/>
      </c>
      <c r="CX19" s="34">
        <f>IF(AND(CX$5&gt;$E19,CX$5&lt;=$F19),IF(CX$5=$E19+1,$C19,""),"")</f>
        <v/>
      </c>
      <c r="CY19" s="34">
        <f>IF(AND(CY$5&gt;$E19,CY$5&lt;=$F19),IF(CY$5=$E19+1,$C19,""),"")</f>
        <v/>
      </c>
      <c r="CZ19" s="34">
        <f>IF(AND(CZ$5&gt;$E19,CZ$5&lt;=$F19),IF(CZ$5=$E19+1,$C19,""),"")</f>
        <v/>
      </c>
      <c r="DA19" s="34">
        <f>IF(AND(DA$5&gt;$E19,DA$5&lt;=$F19),IF(DA$5=$E19+1,$C19,""),"")</f>
        <v/>
      </c>
      <c r="DB19" s="34">
        <f>IF(AND(DB$5&gt;$E19,DB$5&lt;=$F19),IF(DB$5=$E19+1,$C19,""),"")</f>
        <v/>
      </c>
      <c r="DC19" s="34">
        <f>IF(AND(DC$5&gt;$E19,DC$5&lt;=$F19),IF(DC$5=$E19+1,$C19,""),"")</f>
        <v/>
      </c>
      <c r="DD19" s="34">
        <f>IF(AND(DD$5&gt;$E19,DD$5&lt;=$F19),IF(DD$5=$E19+1,$C19,""),"")</f>
        <v/>
      </c>
      <c r="DE19" s="34">
        <f>IF(AND(DE$5&gt;$E19,DE$5&lt;=$F19),IF(DE$5=$E19+1,$C19,""),"")</f>
        <v/>
      </c>
      <c r="DF19" s="34">
        <f>IF(AND(DF$5&gt;$E19,DF$5&lt;=$F19),IF(DF$5=$E19+1,$C19,""),"")</f>
        <v/>
      </c>
      <c r="DG19" s="34">
        <f>IF(AND(DG$5&gt;$E19,DG$5&lt;=$F19),IF(DG$5=$E19+1,$C19,""),"")</f>
        <v/>
      </c>
      <c r="DH19" s="34">
        <f>IF(AND(DH$5&gt;$E19,DH$5&lt;=$F19),IF(DH$5=$E19+1,$C19,""),"")</f>
        <v/>
      </c>
      <c r="DI19" s="34">
        <f>IF(AND(DI$5&gt;$E19,DI$5&lt;=$F19),IF(DI$5=$E19+1,$C19,""),"")</f>
        <v/>
      </c>
      <c r="DJ19" s="34">
        <f>IF(AND(DJ$5&gt;$E19,DJ$5&lt;=$F19),IF(DJ$5=$E19+1,$C19,""),"")</f>
        <v/>
      </c>
      <c r="DK19" s="34">
        <f>IF(AND(DK$5&gt;$E19,DK$5&lt;=$F19),IF(DK$5=$E19+1,$C19,""),"")</f>
        <v/>
      </c>
      <c r="DL19" s="34">
        <f>IF(AND(DL$5&gt;$E19,DL$5&lt;=$F19),IF(DL$5=$E19+1,$C19,""),"")</f>
        <v/>
      </c>
      <c r="DM19" s="34">
        <f>IF(AND(DM$5&gt;$E19,DM$5&lt;=$F19),IF(DM$5=$E19+1,$C19,""),"")</f>
        <v/>
      </c>
      <c r="DN19" s="34">
        <f>IF(AND(DN$5&gt;$E19,DN$5&lt;=$F19),IF(DN$5=$E19+1,$C19,""),"")</f>
        <v/>
      </c>
      <c r="DO19" s="34">
        <f>IF(AND(DO$5&gt;$E19,DO$5&lt;=$F19),IF(DO$5=$E19+1,$C19,""),"")</f>
        <v/>
      </c>
      <c r="DP19" s="34">
        <f>IF(AND(DP$5&gt;$E19,DP$5&lt;=$F19),IF(DP$5=$E19+1,$C19,""),"")</f>
        <v/>
      </c>
      <c r="DQ19" s="34">
        <f>IF(AND(DQ$5&gt;$E19,DQ$5&lt;=$F19),IF(DQ$5=$E19+1,$C19,""),"")</f>
        <v/>
      </c>
      <c r="DR19" s="34">
        <f>IF(AND(DR$5&gt;$E19,DR$5&lt;=$F19),IF(DR$5=$E19+1,$C19,""),"")</f>
        <v/>
      </c>
      <c r="DS19" s="34">
        <f>IF(AND(DS$5&gt;$E19,DS$5&lt;=$F19),IF(DS$5=$E19+1,$C19,""),"")</f>
        <v/>
      </c>
      <c r="DT19" s="34">
        <f>IF(AND(DT$5&gt;$E19,DT$5&lt;=$F19),IF(DT$5=$E19+1,$C19,""),"")</f>
        <v/>
      </c>
      <c r="DU19" s="34">
        <f>IF(AND(DU$5&gt;$E19,DU$5&lt;=$F19),IF(DU$5=$E19+1,$C19,""),"")</f>
        <v/>
      </c>
      <c r="DV19" s="34">
        <f>IF(AND(DV$5&gt;$E19,DV$5&lt;=$F19),IF(DV$5=$E19+1,$C19,""),"")</f>
        <v/>
      </c>
      <c r="DW19" s="34">
        <f>IF(AND(DW$5&gt;$E19,DW$5&lt;=$F19),IF(DW$5=$E19+1,$C19,""),"")</f>
        <v/>
      </c>
      <c r="DX19" s="34">
        <f>IF(AND(DX$5&gt;$E19,DX$5&lt;=$F19),IF(DX$5=$E19+1,$C19,""),"")</f>
        <v/>
      </c>
      <c r="DY19" s="34">
        <f>IF(AND(DY$5&gt;$E19,DY$5&lt;=$F19),IF(DY$5=$E19+1,$C19,""),"")</f>
        <v/>
      </c>
      <c r="DZ19" s="34">
        <f>IF(AND(DZ$5&gt;$E19,DZ$5&lt;=$F19),IF(DZ$5=$E19+1,$C19,""),"")</f>
        <v/>
      </c>
      <c r="EA19" s="34">
        <f>IF(AND(EA$5&gt;$E19,EA$5&lt;=$F19),IF(EA$5=$E19+1,$C19,""),"")</f>
        <v/>
      </c>
      <c r="EB19" s="34">
        <f>IF(AND(EB$5&gt;$E19,EB$5&lt;=$F19),IF(EB$5=$E19+1,$C19,""),"")</f>
        <v/>
      </c>
      <c r="EC19" s="34">
        <f>IF(AND(EC$5&gt;$E19,EC$5&lt;=$F19),IF(EC$5=$E19+1,$C19,""),"")</f>
        <v/>
      </c>
      <c r="ED19" s="34">
        <f>IF(AND(ED$5&gt;$E19,ED$5&lt;=$F19),IF(ED$5=$E19+1,$C19,""),"")</f>
        <v/>
      </c>
      <c r="EE19" s="34">
        <f>IF(AND(EE$5&gt;$E19,EE$5&lt;=$F19),IF(EE$5=$E19+1,$C19,""),"")</f>
        <v/>
      </c>
      <c r="EF19" s="34">
        <f>IF(AND(EF$5&gt;$E19,EF$5&lt;=$F19),IF(EF$5=$E19+1,$C19,""),"")</f>
        <v/>
      </c>
      <c r="EG19" s="34">
        <f>IF(AND(EG$5&gt;$E19,EG$5&lt;=$F19),IF(EG$5=$E19+1,$C19,""),"")</f>
        <v/>
      </c>
      <c r="EH19" s="34">
        <f>IF(AND(EH$5&gt;$E19,EH$5&lt;=$F19),IF(EH$5=$E19+1,$C19,""),"")</f>
        <v/>
      </c>
      <c r="EI19" s="34">
        <f>IF(AND(EI$5&gt;$E19,EI$5&lt;=$F19),IF(EI$5=$E19+1,$C19,""),"")</f>
        <v/>
      </c>
      <c r="EJ19" s="34">
        <f>IF(AND(EJ$5&gt;$E19,EJ$5&lt;=$F19),IF(EJ$5=$E19+1,$C19,""),"")</f>
        <v/>
      </c>
      <c r="EK19" s="34">
        <f>IF(AND(EK$5&gt;$E19,EK$5&lt;=$F19),IF(EK$5=$E19+1,$C19,""),"")</f>
        <v/>
      </c>
      <c r="EL19" s="34">
        <f>IF(AND(EL$5&gt;$E19,EL$5&lt;=$F19),IF(EL$5=$E19+1,$C19,""),"")</f>
        <v/>
      </c>
      <c r="EM19" s="34">
        <f>IF(AND(EM$5&gt;$E19,EM$5&lt;=$F19),IF(EM$5=$E19+1,$C19,""),"")</f>
        <v/>
      </c>
      <c r="EN19" s="34">
        <f>IF(AND(EN$5&gt;$E19,EN$5&lt;=$F19),IF(EN$5=$E19+1,$C19,""),"")</f>
        <v/>
      </c>
      <c r="EO19" s="34">
        <f>IF(AND(EO$5&gt;$E19,EO$5&lt;=$F19),IF(EO$5=$E19+1,$C19,""),"")</f>
        <v/>
      </c>
      <c r="EP19" s="34">
        <f>IF(AND(EP$5&gt;$E19,EP$5&lt;=$F19),IF(EP$5=$E19+1,$C19,""),"")</f>
        <v/>
      </c>
      <c r="EQ19" s="34">
        <f>IF(AND(EQ$5&gt;$E19,EQ$5&lt;=$F19),IF(EQ$5=$E19+1,$C19,""),"")</f>
        <v/>
      </c>
      <c r="ER19" s="34">
        <f>IF(AND(ER$5&gt;$E19,ER$5&lt;=$F19),IF(ER$5=$E19+1,$C19,""),"")</f>
        <v/>
      </c>
      <c r="ES19" s="34">
        <f>IF(AND(ES$5&gt;$E19,ES$5&lt;=$F19),IF(ES$5=$E19+1,$C19,""),"")</f>
        <v/>
      </c>
      <c r="ET19" s="34">
        <f>IF(AND(ET$5&gt;$E19,ET$5&lt;=$F19),IF(ET$5=$E19+1,$C19,""),"")</f>
        <v/>
      </c>
      <c r="EU19" s="34">
        <f>IF(AND(EU$5&gt;$E19,EU$5&lt;=$F19),IF(EU$5=$E19+1,$C19,""),"")</f>
        <v/>
      </c>
      <c r="EV19" s="34">
        <f>IF(AND(EV$5&gt;$E19,EV$5&lt;=$F19),IF(EV$5=$E19+1,$C19,""),"")</f>
        <v/>
      </c>
      <c r="EW19" s="34">
        <f>IF(AND(EW$5&gt;$E19,EW$5&lt;=$F19),IF(EW$5=$E19+1,$C19,""),"")</f>
        <v/>
      </c>
      <c r="EX19" s="34">
        <f>IF(AND(EX$5&gt;$E19,EX$5&lt;=$F19),IF(EX$5=$E19+1,$C19,""),"")</f>
        <v/>
      </c>
      <c r="EY19" s="34">
        <f>IF(AND(EY$5&gt;$E19,EY$5&lt;=$F19),IF(EY$5=$E19+1,$C19,""),"")</f>
        <v/>
      </c>
      <c r="EZ19" s="34">
        <f>IF(AND(EZ$5&gt;$E19,EZ$5&lt;=$F19),IF(EZ$5=$E19+1,$C19,""),"")</f>
        <v/>
      </c>
      <c r="FA19" s="34">
        <f>IF(AND(FA$5&gt;$E19,FA$5&lt;=$F19),IF(FA$5=$E19+1,$C19,""),"")</f>
        <v/>
      </c>
    </row>
    <row r="20">
      <c r="A20" s="32">
        <f>Plan!A14</f>
        <v/>
      </c>
      <c r="B20" s="33">
        <f>Plan!C14</f>
        <v/>
      </c>
      <c r="C20" s="16">
        <f>Plan!D14</f>
        <v/>
      </c>
      <c r="D20" s="16">
        <f>Plan!I14</f>
        <v/>
      </c>
      <c r="E20" s="16">
        <f>Plan!K14</f>
        <v/>
      </c>
      <c r="F20" s="16">
        <f>Plan!L14</f>
        <v/>
      </c>
      <c r="G20" s="16">
        <f>Plan!O14</f>
        <v/>
      </c>
      <c r="H20" s="34">
        <f>IF(AND(H$5&gt;$E20,H$5&lt;=$F20),IF(H$5=$E20+1,$C20,""),"")</f>
        <v/>
      </c>
      <c r="I20" s="34">
        <f>IF(AND(I$5&gt;$E20,I$5&lt;=$F20),IF(I$5=$E20+1,$C20,""),"")</f>
        <v/>
      </c>
      <c r="J20" s="34">
        <f>IF(AND(J$5&gt;$E20,J$5&lt;=$F20),IF(J$5=$E20+1,$C20,""),"")</f>
        <v/>
      </c>
      <c r="K20" s="34">
        <f>IF(AND(K$5&gt;$E20,K$5&lt;=$F20),IF(K$5=$E20+1,$C20,""),"")</f>
        <v/>
      </c>
      <c r="L20" s="34">
        <f>IF(AND(L$5&gt;$E20,L$5&lt;=$F20),IF(L$5=$E20+1,$C20,""),"")</f>
        <v/>
      </c>
      <c r="M20" s="34">
        <f>IF(AND(M$5&gt;$E20,M$5&lt;=$F20),IF(M$5=$E20+1,$C20,""),"")</f>
        <v/>
      </c>
      <c r="N20" s="34">
        <f>IF(AND(N$5&gt;$E20,N$5&lt;=$F20),IF(N$5=$E20+1,$C20,""),"")</f>
        <v/>
      </c>
      <c r="O20" s="34">
        <f>IF(AND(O$5&gt;$E20,O$5&lt;=$F20),IF(O$5=$E20+1,$C20,""),"")</f>
        <v/>
      </c>
      <c r="P20" s="34">
        <f>IF(AND(P$5&gt;$E20,P$5&lt;=$F20),IF(P$5=$E20+1,$C20,""),"")</f>
        <v/>
      </c>
      <c r="Q20" s="34">
        <f>IF(AND(Q$5&gt;$E20,Q$5&lt;=$F20),IF(Q$5=$E20+1,$C20,""),"")</f>
        <v/>
      </c>
      <c r="R20" s="34">
        <f>IF(AND(R$5&gt;$E20,R$5&lt;=$F20),IF(R$5=$E20+1,$C20,""),"")</f>
        <v/>
      </c>
      <c r="S20" s="34">
        <f>IF(AND(S$5&gt;$E20,S$5&lt;=$F20),IF(S$5=$E20+1,$C20,""),"")</f>
        <v/>
      </c>
      <c r="T20" s="34">
        <f>IF(AND(T$5&gt;$E20,T$5&lt;=$F20),IF(T$5=$E20+1,$C20,""),"")</f>
        <v/>
      </c>
      <c r="U20" s="34">
        <f>IF(AND(U$5&gt;$E20,U$5&lt;=$F20),IF(U$5=$E20+1,$C20,""),"")</f>
        <v/>
      </c>
      <c r="V20" s="34">
        <f>IF(AND(V$5&gt;$E20,V$5&lt;=$F20),IF(V$5=$E20+1,$C20,""),"")</f>
        <v/>
      </c>
      <c r="W20" s="34">
        <f>IF(AND(W$5&gt;$E20,W$5&lt;=$F20),IF(W$5=$E20+1,$C20,""),"")</f>
        <v/>
      </c>
      <c r="X20" s="34">
        <f>IF(AND(X$5&gt;$E20,X$5&lt;=$F20),IF(X$5=$E20+1,$C20,""),"")</f>
        <v/>
      </c>
      <c r="Y20" s="34">
        <f>IF(AND(Y$5&gt;$E20,Y$5&lt;=$F20),IF(Y$5=$E20+1,$C20,""),"")</f>
        <v/>
      </c>
      <c r="Z20" s="34">
        <f>IF(AND(Z$5&gt;$E20,Z$5&lt;=$F20),IF(Z$5=$E20+1,$C20,""),"")</f>
        <v/>
      </c>
      <c r="AA20" s="34">
        <f>IF(AND(AA$5&gt;$E20,AA$5&lt;=$F20),IF(AA$5=$E20+1,$C20,""),"")</f>
        <v/>
      </c>
      <c r="AB20" s="34">
        <f>IF(AND(AB$5&gt;$E20,AB$5&lt;=$F20),IF(AB$5=$E20+1,$C20,""),"")</f>
        <v/>
      </c>
      <c r="AC20" s="34">
        <f>IF(AND(AC$5&gt;$E20,AC$5&lt;=$F20),IF(AC$5=$E20+1,$C20,""),"")</f>
        <v/>
      </c>
      <c r="AD20" s="34">
        <f>IF(AND(AD$5&gt;$E20,AD$5&lt;=$F20),IF(AD$5=$E20+1,$C20,""),"")</f>
        <v/>
      </c>
      <c r="AE20" s="34">
        <f>IF(AND(AE$5&gt;$E20,AE$5&lt;=$F20),IF(AE$5=$E20+1,$C20,""),"")</f>
        <v/>
      </c>
      <c r="AF20" s="34">
        <f>IF(AND(AF$5&gt;$E20,AF$5&lt;=$F20),IF(AF$5=$E20+1,$C20,""),"")</f>
        <v/>
      </c>
      <c r="AG20" s="34">
        <f>IF(AND(AG$5&gt;$E20,AG$5&lt;=$F20),IF(AG$5=$E20+1,$C20,""),"")</f>
        <v/>
      </c>
      <c r="AH20" s="34">
        <f>IF(AND(AH$5&gt;$E20,AH$5&lt;=$F20),IF(AH$5=$E20+1,$C20,""),"")</f>
        <v/>
      </c>
      <c r="AI20" s="34">
        <f>IF(AND(AI$5&gt;$E20,AI$5&lt;=$F20),IF(AI$5=$E20+1,$C20,""),"")</f>
        <v/>
      </c>
      <c r="AJ20" s="34">
        <f>IF(AND(AJ$5&gt;$E20,AJ$5&lt;=$F20),IF(AJ$5=$E20+1,$C20,""),"")</f>
        <v/>
      </c>
      <c r="AK20" s="34">
        <f>IF(AND(AK$5&gt;$E20,AK$5&lt;=$F20),IF(AK$5=$E20+1,$C20,""),"")</f>
        <v/>
      </c>
      <c r="AL20" s="34">
        <f>IF(AND(AL$5&gt;$E20,AL$5&lt;=$F20),IF(AL$5=$E20+1,$C20,""),"")</f>
        <v/>
      </c>
      <c r="AM20" s="34">
        <f>IF(AND(AM$5&gt;$E20,AM$5&lt;=$F20),IF(AM$5=$E20+1,$C20,""),"")</f>
        <v/>
      </c>
      <c r="AN20" s="34">
        <f>IF(AND(AN$5&gt;$E20,AN$5&lt;=$F20),IF(AN$5=$E20+1,$C20,""),"")</f>
        <v/>
      </c>
      <c r="AO20" s="34">
        <f>IF(AND(AO$5&gt;$E20,AO$5&lt;=$F20),IF(AO$5=$E20+1,$C20,""),"")</f>
        <v/>
      </c>
      <c r="AP20" s="34">
        <f>IF(AND(AP$5&gt;$E20,AP$5&lt;=$F20),IF(AP$5=$E20+1,$C20,""),"")</f>
        <v/>
      </c>
      <c r="AQ20" s="34">
        <f>IF(AND(AQ$5&gt;$E20,AQ$5&lt;=$F20),IF(AQ$5=$E20+1,$C20,""),"")</f>
        <v/>
      </c>
      <c r="AR20" s="34">
        <f>IF(AND(AR$5&gt;$E20,AR$5&lt;=$F20),IF(AR$5=$E20+1,$C20,""),"")</f>
        <v/>
      </c>
      <c r="AS20" s="34">
        <f>IF(AND(AS$5&gt;$E20,AS$5&lt;=$F20),IF(AS$5=$E20+1,$C20,""),"")</f>
        <v/>
      </c>
      <c r="AT20" s="34">
        <f>IF(AND(AT$5&gt;$E20,AT$5&lt;=$F20),IF(AT$5=$E20+1,$C20,""),"")</f>
        <v/>
      </c>
      <c r="AU20" s="34">
        <f>IF(AND(AU$5&gt;$E20,AU$5&lt;=$F20),IF(AU$5=$E20+1,$C20,""),"")</f>
        <v/>
      </c>
      <c r="AV20" s="34">
        <f>IF(AND(AV$5&gt;$E20,AV$5&lt;=$F20),IF(AV$5=$E20+1,$C20,""),"")</f>
        <v/>
      </c>
      <c r="AW20" s="34">
        <f>IF(AND(AW$5&gt;$E20,AW$5&lt;=$F20),IF(AW$5=$E20+1,$C20,""),"")</f>
        <v/>
      </c>
      <c r="AX20" s="34">
        <f>IF(AND(AX$5&gt;$E20,AX$5&lt;=$F20),IF(AX$5=$E20+1,$C20,""),"")</f>
        <v/>
      </c>
      <c r="AY20" s="34">
        <f>IF(AND(AY$5&gt;$E20,AY$5&lt;=$F20),IF(AY$5=$E20+1,$C20,""),"")</f>
        <v/>
      </c>
      <c r="AZ20" s="34">
        <f>IF(AND(AZ$5&gt;$E20,AZ$5&lt;=$F20),IF(AZ$5=$E20+1,$C20,""),"")</f>
        <v/>
      </c>
      <c r="BA20" s="34">
        <f>IF(AND(BA$5&gt;$E20,BA$5&lt;=$F20),IF(BA$5=$E20+1,$C20,""),"")</f>
        <v/>
      </c>
      <c r="BB20" s="34">
        <f>IF(AND(BB$5&gt;$E20,BB$5&lt;=$F20),IF(BB$5=$E20+1,$C20,""),"")</f>
        <v/>
      </c>
      <c r="BC20" s="34">
        <f>IF(AND(BC$5&gt;$E20,BC$5&lt;=$F20),IF(BC$5=$E20+1,$C20,""),"")</f>
        <v/>
      </c>
      <c r="BD20" s="34">
        <f>IF(AND(BD$5&gt;$E20,BD$5&lt;=$F20),IF(BD$5=$E20+1,$C20,""),"")</f>
        <v/>
      </c>
      <c r="BE20" s="34">
        <f>IF(AND(BE$5&gt;$E20,BE$5&lt;=$F20),IF(BE$5=$E20+1,$C20,""),"")</f>
        <v/>
      </c>
      <c r="BF20" s="34">
        <f>IF(AND(BF$5&gt;$E20,BF$5&lt;=$F20),IF(BF$5=$E20+1,$C20,""),"")</f>
        <v/>
      </c>
      <c r="BG20" s="34">
        <f>IF(AND(BG$5&gt;$E20,BG$5&lt;=$F20),IF(BG$5=$E20+1,$C20,""),"")</f>
        <v/>
      </c>
      <c r="BH20" s="34">
        <f>IF(AND(BH$5&gt;$E20,BH$5&lt;=$F20),IF(BH$5=$E20+1,$C20,""),"")</f>
        <v/>
      </c>
      <c r="BI20" s="34">
        <f>IF(AND(BI$5&gt;$E20,BI$5&lt;=$F20),IF(BI$5=$E20+1,$C20,""),"")</f>
        <v/>
      </c>
      <c r="BJ20" s="34">
        <f>IF(AND(BJ$5&gt;$E20,BJ$5&lt;=$F20),IF(BJ$5=$E20+1,$C20,""),"")</f>
        <v/>
      </c>
      <c r="BK20" s="34">
        <f>IF(AND(BK$5&gt;$E20,BK$5&lt;=$F20),IF(BK$5=$E20+1,$C20,""),"")</f>
        <v/>
      </c>
      <c r="BL20" s="34">
        <f>IF(AND(BL$5&gt;$E20,BL$5&lt;=$F20),IF(BL$5=$E20+1,$C20,""),"")</f>
        <v/>
      </c>
      <c r="BM20" s="34">
        <f>IF(AND(BM$5&gt;$E20,BM$5&lt;=$F20),IF(BM$5=$E20+1,$C20,""),"")</f>
        <v/>
      </c>
      <c r="BN20" s="34">
        <f>IF(AND(BN$5&gt;$E20,BN$5&lt;=$F20),IF(BN$5=$E20+1,$C20,""),"")</f>
        <v/>
      </c>
      <c r="BO20" s="34">
        <f>IF(AND(BO$5&gt;$E20,BO$5&lt;=$F20),IF(BO$5=$E20+1,$C20,""),"")</f>
        <v/>
      </c>
      <c r="BP20" s="34">
        <f>IF(AND(BP$5&gt;$E20,BP$5&lt;=$F20),IF(BP$5=$E20+1,$C20,""),"")</f>
        <v/>
      </c>
      <c r="BQ20" s="34">
        <f>IF(AND(BQ$5&gt;$E20,BQ$5&lt;=$F20),IF(BQ$5=$E20+1,$C20,""),"")</f>
        <v/>
      </c>
      <c r="BR20" s="34">
        <f>IF(AND(BR$5&gt;$E20,BR$5&lt;=$F20),IF(BR$5=$E20+1,$C20,""),"")</f>
        <v/>
      </c>
      <c r="BS20" s="34">
        <f>IF(AND(BS$5&gt;$E20,BS$5&lt;=$F20),IF(BS$5=$E20+1,$C20,""),"")</f>
        <v/>
      </c>
      <c r="BT20" s="34">
        <f>IF(AND(BT$5&gt;$E20,BT$5&lt;=$F20),IF(BT$5=$E20+1,$C20,""),"")</f>
        <v/>
      </c>
      <c r="BU20" s="34">
        <f>IF(AND(BU$5&gt;$E20,BU$5&lt;=$F20),IF(BU$5=$E20+1,$C20,""),"")</f>
        <v/>
      </c>
      <c r="BV20" s="34">
        <f>IF(AND(BV$5&gt;$E20,BV$5&lt;=$F20),IF(BV$5=$E20+1,$C20,""),"")</f>
        <v/>
      </c>
      <c r="BW20" s="34">
        <f>IF(AND(BW$5&gt;$E20,BW$5&lt;=$F20),IF(BW$5=$E20+1,$C20,""),"")</f>
        <v/>
      </c>
      <c r="BX20" s="34">
        <f>IF(AND(BX$5&gt;$E20,BX$5&lt;=$F20),IF(BX$5=$E20+1,$C20,""),"")</f>
        <v/>
      </c>
      <c r="BY20" s="34">
        <f>IF(AND(BY$5&gt;$E20,BY$5&lt;=$F20),IF(BY$5=$E20+1,$C20,""),"")</f>
        <v/>
      </c>
      <c r="BZ20" s="34">
        <f>IF(AND(BZ$5&gt;$E20,BZ$5&lt;=$F20),IF(BZ$5=$E20+1,$C20,""),"")</f>
        <v/>
      </c>
      <c r="CA20" s="34">
        <f>IF(AND(CA$5&gt;$E20,CA$5&lt;=$F20),IF(CA$5=$E20+1,$C20,""),"")</f>
        <v/>
      </c>
      <c r="CB20" s="34">
        <f>IF(AND(CB$5&gt;$E20,CB$5&lt;=$F20),IF(CB$5=$E20+1,$C20,""),"")</f>
        <v/>
      </c>
      <c r="CC20" s="34">
        <f>IF(AND(CC$5&gt;$E20,CC$5&lt;=$F20),IF(CC$5=$E20+1,$C20,""),"")</f>
        <v/>
      </c>
      <c r="CD20" s="34">
        <f>IF(AND(CD$5&gt;$E20,CD$5&lt;=$F20),IF(CD$5=$E20+1,$C20,""),"")</f>
        <v/>
      </c>
      <c r="CE20" s="34">
        <f>IF(AND(CE$5&gt;$E20,CE$5&lt;=$F20),IF(CE$5=$E20+1,$C20,""),"")</f>
        <v/>
      </c>
      <c r="CF20" s="34">
        <f>IF(AND(CF$5&gt;$E20,CF$5&lt;=$F20),IF(CF$5=$E20+1,$C20,""),"")</f>
        <v/>
      </c>
      <c r="CG20" s="34">
        <f>IF(AND(CG$5&gt;$E20,CG$5&lt;=$F20),IF(CG$5=$E20+1,$C20,""),"")</f>
        <v/>
      </c>
      <c r="CH20" s="34">
        <f>IF(AND(CH$5&gt;$E20,CH$5&lt;=$F20),IF(CH$5=$E20+1,$C20,""),"")</f>
        <v/>
      </c>
      <c r="CI20" s="34">
        <f>IF(AND(CI$5&gt;$E20,CI$5&lt;=$F20),IF(CI$5=$E20+1,$C20,""),"")</f>
        <v/>
      </c>
      <c r="CJ20" s="34">
        <f>IF(AND(CJ$5&gt;$E20,CJ$5&lt;=$F20),IF(CJ$5=$E20+1,$C20,""),"")</f>
        <v/>
      </c>
      <c r="CK20" s="34">
        <f>IF(AND(CK$5&gt;$E20,CK$5&lt;=$F20),IF(CK$5=$E20+1,$C20,""),"")</f>
        <v/>
      </c>
      <c r="CL20" s="34">
        <f>IF(AND(CL$5&gt;$E20,CL$5&lt;=$F20),IF(CL$5=$E20+1,$C20,""),"")</f>
        <v/>
      </c>
      <c r="CM20" s="34">
        <f>IF(AND(CM$5&gt;$E20,CM$5&lt;=$F20),IF(CM$5=$E20+1,$C20,""),"")</f>
        <v/>
      </c>
      <c r="CN20" s="34">
        <f>IF(AND(CN$5&gt;$E20,CN$5&lt;=$F20),IF(CN$5=$E20+1,$C20,""),"")</f>
        <v/>
      </c>
      <c r="CO20" s="34">
        <f>IF(AND(CO$5&gt;$E20,CO$5&lt;=$F20),IF(CO$5=$E20+1,$C20,""),"")</f>
        <v/>
      </c>
      <c r="CP20" s="34">
        <f>IF(AND(CP$5&gt;$E20,CP$5&lt;=$F20),IF(CP$5=$E20+1,$C20,""),"")</f>
        <v/>
      </c>
      <c r="CQ20" s="34">
        <f>IF(AND(CQ$5&gt;$E20,CQ$5&lt;=$F20),IF(CQ$5=$E20+1,$C20,""),"")</f>
        <v/>
      </c>
      <c r="CR20" s="34">
        <f>IF(AND(CR$5&gt;$E20,CR$5&lt;=$F20),IF(CR$5=$E20+1,$C20,""),"")</f>
        <v/>
      </c>
      <c r="CS20" s="34">
        <f>IF(AND(CS$5&gt;$E20,CS$5&lt;=$F20),IF(CS$5=$E20+1,$C20,""),"")</f>
        <v/>
      </c>
      <c r="CT20" s="34">
        <f>IF(AND(CT$5&gt;$E20,CT$5&lt;=$F20),IF(CT$5=$E20+1,$C20,""),"")</f>
        <v/>
      </c>
      <c r="CU20" s="34">
        <f>IF(AND(CU$5&gt;$E20,CU$5&lt;=$F20),IF(CU$5=$E20+1,$C20,""),"")</f>
        <v/>
      </c>
      <c r="CV20" s="34">
        <f>IF(AND(CV$5&gt;$E20,CV$5&lt;=$F20),IF(CV$5=$E20+1,$C20,""),"")</f>
        <v/>
      </c>
      <c r="CW20" s="34">
        <f>IF(AND(CW$5&gt;$E20,CW$5&lt;=$F20),IF(CW$5=$E20+1,$C20,""),"")</f>
        <v/>
      </c>
      <c r="CX20" s="34">
        <f>IF(AND(CX$5&gt;$E20,CX$5&lt;=$F20),IF(CX$5=$E20+1,$C20,""),"")</f>
        <v/>
      </c>
      <c r="CY20" s="34">
        <f>IF(AND(CY$5&gt;$E20,CY$5&lt;=$F20),IF(CY$5=$E20+1,$C20,""),"")</f>
        <v/>
      </c>
      <c r="CZ20" s="34">
        <f>IF(AND(CZ$5&gt;$E20,CZ$5&lt;=$F20),IF(CZ$5=$E20+1,$C20,""),"")</f>
        <v/>
      </c>
      <c r="DA20" s="34">
        <f>IF(AND(DA$5&gt;$E20,DA$5&lt;=$F20),IF(DA$5=$E20+1,$C20,""),"")</f>
        <v/>
      </c>
      <c r="DB20" s="34">
        <f>IF(AND(DB$5&gt;$E20,DB$5&lt;=$F20),IF(DB$5=$E20+1,$C20,""),"")</f>
        <v/>
      </c>
      <c r="DC20" s="34">
        <f>IF(AND(DC$5&gt;$E20,DC$5&lt;=$F20),IF(DC$5=$E20+1,$C20,""),"")</f>
        <v/>
      </c>
      <c r="DD20" s="34">
        <f>IF(AND(DD$5&gt;$E20,DD$5&lt;=$F20),IF(DD$5=$E20+1,$C20,""),"")</f>
        <v/>
      </c>
      <c r="DE20" s="34">
        <f>IF(AND(DE$5&gt;$E20,DE$5&lt;=$F20),IF(DE$5=$E20+1,$C20,""),"")</f>
        <v/>
      </c>
      <c r="DF20" s="34">
        <f>IF(AND(DF$5&gt;$E20,DF$5&lt;=$F20),IF(DF$5=$E20+1,$C20,""),"")</f>
        <v/>
      </c>
      <c r="DG20" s="34">
        <f>IF(AND(DG$5&gt;$E20,DG$5&lt;=$F20),IF(DG$5=$E20+1,$C20,""),"")</f>
        <v/>
      </c>
      <c r="DH20" s="34">
        <f>IF(AND(DH$5&gt;$E20,DH$5&lt;=$F20),IF(DH$5=$E20+1,$C20,""),"")</f>
        <v/>
      </c>
      <c r="DI20" s="34">
        <f>IF(AND(DI$5&gt;$E20,DI$5&lt;=$F20),IF(DI$5=$E20+1,$C20,""),"")</f>
        <v/>
      </c>
      <c r="DJ20" s="34">
        <f>IF(AND(DJ$5&gt;$E20,DJ$5&lt;=$F20),IF(DJ$5=$E20+1,$C20,""),"")</f>
        <v/>
      </c>
      <c r="DK20" s="34">
        <f>IF(AND(DK$5&gt;$E20,DK$5&lt;=$F20),IF(DK$5=$E20+1,$C20,""),"")</f>
        <v/>
      </c>
      <c r="DL20" s="34">
        <f>IF(AND(DL$5&gt;$E20,DL$5&lt;=$F20),IF(DL$5=$E20+1,$C20,""),"")</f>
        <v/>
      </c>
      <c r="DM20" s="34">
        <f>IF(AND(DM$5&gt;$E20,DM$5&lt;=$F20),IF(DM$5=$E20+1,$C20,""),"")</f>
        <v/>
      </c>
      <c r="DN20" s="34">
        <f>IF(AND(DN$5&gt;$E20,DN$5&lt;=$F20),IF(DN$5=$E20+1,$C20,""),"")</f>
        <v/>
      </c>
      <c r="DO20" s="34">
        <f>IF(AND(DO$5&gt;$E20,DO$5&lt;=$F20),IF(DO$5=$E20+1,$C20,""),"")</f>
        <v/>
      </c>
      <c r="DP20" s="34">
        <f>IF(AND(DP$5&gt;$E20,DP$5&lt;=$F20),IF(DP$5=$E20+1,$C20,""),"")</f>
        <v/>
      </c>
      <c r="DQ20" s="34">
        <f>IF(AND(DQ$5&gt;$E20,DQ$5&lt;=$F20),IF(DQ$5=$E20+1,$C20,""),"")</f>
        <v/>
      </c>
      <c r="DR20" s="34">
        <f>IF(AND(DR$5&gt;$E20,DR$5&lt;=$F20),IF(DR$5=$E20+1,$C20,""),"")</f>
        <v/>
      </c>
      <c r="DS20" s="34">
        <f>IF(AND(DS$5&gt;$E20,DS$5&lt;=$F20),IF(DS$5=$E20+1,$C20,""),"")</f>
        <v/>
      </c>
      <c r="DT20" s="34">
        <f>IF(AND(DT$5&gt;$E20,DT$5&lt;=$F20),IF(DT$5=$E20+1,$C20,""),"")</f>
        <v/>
      </c>
      <c r="DU20" s="34">
        <f>IF(AND(DU$5&gt;$E20,DU$5&lt;=$F20),IF(DU$5=$E20+1,$C20,""),"")</f>
        <v/>
      </c>
      <c r="DV20" s="34">
        <f>IF(AND(DV$5&gt;$E20,DV$5&lt;=$F20),IF(DV$5=$E20+1,$C20,""),"")</f>
        <v/>
      </c>
      <c r="DW20" s="34">
        <f>IF(AND(DW$5&gt;$E20,DW$5&lt;=$F20),IF(DW$5=$E20+1,$C20,""),"")</f>
        <v/>
      </c>
      <c r="DX20" s="34">
        <f>IF(AND(DX$5&gt;$E20,DX$5&lt;=$F20),IF(DX$5=$E20+1,$C20,""),"")</f>
        <v/>
      </c>
      <c r="DY20" s="34">
        <f>IF(AND(DY$5&gt;$E20,DY$5&lt;=$F20),IF(DY$5=$E20+1,$C20,""),"")</f>
        <v/>
      </c>
      <c r="DZ20" s="34">
        <f>IF(AND(DZ$5&gt;$E20,DZ$5&lt;=$F20),IF(DZ$5=$E20+1,$C20,""),"")</f>
        <v/>
      </c>
      <c r="EA20" s="34">
        <f>IF(AND(EA$5&gt;$E20,EA$5&lt;=$F20),IF(EA$5=$E20+1,$C20,""),"")</f>
        <v/>
      </c>
      <c r="EB20" s="34">
        <f>IF(AND(EB$5&gt;$E20,EB$5&lt;=$F20),IF(EB$5=$E20+1,$C20,""),"")</f>
        <v/>
      </c>
      <c r="EC20" s="34">
        <f>IF(AND(EC$5&gt;$E20,EC$5&lt;=$F20),IF(EC$5=$E20+1,$C20,""),"")</f>
        <v/>
      </c>
      <c r="ED20" s="34">
        <f>IF(AND(ED$5&gt;$E20,ED$5&lt;=$F20),IF(ED$5=$E20+1,$C20,""),"")</f>
        <v/>
      </c>
      <c r="EE20" s="34">
        <f>IF(AND(EE$5&gt;$E20,EE$5&lt;=$F20),IF(EE$5=$E20+1,$C20,""),"")</f>
        <v/>
      </c>
      <c r="EF20" s="34">
        <f>IF(AND(EF$5&gt;$E20,EF$5&lt;=$F20),IF(EF$5=$E20+1,$C20,""),"")</f>
        <v/>
      </c>
      <c r="EG20" s="34">
        <f>IF(AND(EG$5&gt;$E20,EG$5&lt;=$F20),IF(EG$5=$E20+1,$C20,""),"")</f>
        <v/>
      </c>
      <c r="EH20" s="34">
        <f>IF(AND(EH$5&gt;$E20,EH$5&lt;=$F20),IF(EH$5=$E20+1,$C20,""),"")</f>
        <v/>
      </c>
      <c r="EI20" s="34">
        <f>IF(AND(EI$5&gt;$E20,EI$5&lt;=$F20),IF(EI$5=$E20+1,$C20,""),"")</f>
        <v/>
      </c>
      <c r="EJ20" s="34">
        <f>IF(AND(EJ$5&gt;$E20,EJ$5&lt;=$F20),IF(EJ$5=$E20+1,$C20,""),"")</f>
        <v/>
      </c>
      <c r="EK20" s="34">
        <f>IF(AND(EK$5&gt;$E20,EK$5&lt;=$F20),IF(EK$5=$E20+1,$C20,""),"")</f>
        <v/>
      </c>
      <c r="EL20" s="34">
        <f>IF(AND(EL$5&gt;$E20,EL$5&lt;=$F20),IF(EL$5=$E20+1,$C20,""),"")</f>
        <v/>
      </c>
      <c r="EM20" s="34">
        <f>IF(AND(EM$5&gt;$E20,EM$5&lt;=$F20),IF(EM$5=$E20+1,$C20,""),"")</f>
        <v/>
      </c>
      <c r="EN20" s="34">
        <f>IF(AND(EN$5&gt;$E20,EN$5&lt;=$F20),IF(EN$5=$E20+1,$C20,""),"")</f>
        <v/>
      </c>
      <c r="EO20" s="34">
        <f>IF(AND(EO$5&gt;$E20,EO$5&lt;=$F20),IF(EO$5=$E20+1,$C20,""),"")</f>
        <v/>
      </c>
      <c r="EP20" s="34">
        <f>IF(AND(EP$5&gt;$E20,EP$5&lt;=$F20),IF(EP$5=$E20+1,$C20,""),"")</f>
        <v/>
      </c>
      <c r="EQ20" s="34">
        <f>IF(AND(EQ$5&gt;$E20,EQ$5&lt;=$F20),IF(EQ$5=$E20+1,$C20,""),"")</f>
        <v/>
      </c>
      <c r="ER20" s="34">
        <f>IF(AND(ER$5&gt;$E20,ER$5&lt;=$F20),IF(ER$5=$E20+1,$C20,""),"")</f>
        <v/>
      </c>
      <c r="ES20" s="34">
        <f>IF(AND(ES$5&gt;$E20,ES$5&lt;=$F20),IF(ES$5=$E20+1,$C20,""),"")</f>
        <v/>
      </c>
      <c r="ET20" s="34">
        <f>IF(AND(ET$5&gt;$E20,ET$5&lt;=$F20),IF(ET$5=$E20+1,$C20,""),"")</f>
        <v/>
      </c>
      <c r="EU20" s="34">
        <f>IF(AND(EU$5&gt;$E20,EU$5&lt;=$F20),IF(EU$5=$E20+1,$C20,""),"")</f>
        <v/>
      </c>
      <c r="EV20" s="34">
        <f>IF(AND(EV$5&gt;$E20,EV$5&lt;=$F20),IF(EV$5=$E20+1,$C20,""),"")</f>
        <v/>
      </c>
      <c r="EW20" s="34">
        <f>IF(AND(EW$5&gt;$E20,EW$5&lt;=$F20),IF(EW$5=$E20+1,$C20,""),"")</f>
        <v/>
      </c>
      <c r="EX20" s="34">
        <f>IF(AND(EX$5&gt;$E20,EX$5&lt;=$F20),IF(EX$5=$E20+1,$C20,""),"")</f>
        <v/>
      </c>
      <c r="EY20" s="34">
        <f>IF(AND(EY$5&gt;$E20,EY$5&lt;=$F20),IF(EY$5=$E20+1,$C20,""),"")</f>
        <v/>
      </c>
      <c r="EZ20" s="34">
        <f>IF(AND(EZ$5&gt;$E20,EZ$5&lt;=$F20),IF(EZ$5=$E20+1,$C20,""),"")</f>
        <v/>
      </c>
      <c r="FA20" s="34">
        <f>IF(AND(FA$5&gt;$E20,FA$5&lt;=$F20),IF(FA$5=$E20+1,$C20,""),"")</f>
        <v/>
      </c>
    </row>
    <row r="21">
      <c r="A21" s="32">
        <f>Plan!A15</f>
        <v/>
      </c>
      <c r="B21" s="33">
        <f>Plan!C15</f>
        <v/>
      </c>
      <c r="C21" s="16">
        <f>Plan!D15</f>
        <v/>
      </c>
      <c r="D21" s="16">
        <f>Plan!I15</f>
        <v/>
      </c>
      <c r="E21" s="16">
        <f>Plan!K15</f>
        <v/>
      </c>
      <c r="F21" s="16">
        <f>Plan!L15</f>
        <v/>
      </c>
      <c r="G21" s="16">
        <f>Plan!O15</f>
        <v/>
      </c>
      <c r="H21" s="34">
        <f>IF(AND(H$5&gt;$E21,H$5&lt;=$F21),IF(H$5=$E21+1,$C21,""),"")</f>
        <v/>
      </c>
      <c r="I21" s="34">
        <f>IF(AND(I$5&gt;$E21,I$5&lt;=$F21),IF(I$5=$E21+1,$C21,""),"")</f>
        <v/>
      </c>
      <c r="J21" s="34">
        <f>IF(AND(J$5&gt;$E21,J$5&lt;=$F21),IF(J$5=$E21+1,$C21,""),"")</f>
        <v/>
      </c>
      <c r="K21" s="34">
        <f>IF(AND(K$5&gt;$E21,K$5&lt;=$F21),IF(K$5=$E21+1,$C21,""),"")</f>
        <v/>
      </c>
      <c r="L21" s="34">
        <f>IF(AND(L$5&gt;$E21,L$5&lt;=$F21),IF(L$5=$E21+1,$C21,""),"")</f>
        <v/>
      </c>
      <c r="M21" s="34">
        <f>IF(AND(M$5&gt;$E21,M$5&lt;=$F21),IF(M$5=$E21+1,$C21,""),"")</f>
        <v/>
      </c>
      <c r="N21" s="34">
        <f>IF(AND(N$5&gt;$E21,N$5&lt;=$F21),IF(N$5=$E21+1,$C21,""),"")</f>
        <v/>
      </c>
      <c r="O21" s="34">
        <f>IF(AND(O$5&gt;$E21,O$5&lt;=$F21),IF(O$5=$E21+1,$C21,""),"")</f>
        <v/>
      </c>
      <c r="P21" s="34">
        <f>IF(AND(P$5&gt;$E21,P$5&lt;=$F21),IF(P$5=$E21+1,$C21,""),"")</f>
        <v/>
      </c>
      <c r="Q21" s="34">
        <f>IF(AND(Q$5&gt;$E21,Q$5&lt;=$F21),IF(Q$5=$E21+1,$C21,""),"")</f>
        <v/>
      </c>
      <c r="R21" s="34">
        <f>IF(AND(R$5&gt;$E21,R$5&lt;=$F21),IF(R$5=$E21+1,$C21,""),"")</f>
        <v/>
      </c>
      <c r="S21" s="34">
        <f>IF(AND(S$5&gt;$E21,S$5&lt;=$F21),IF(S$5=$E21+1,$C21,""),"")</f>
        <v/>
      </c>
      <c r="T21" s="34">
        <f>IF(AND(T$5&gt;$E21,T$5&lt;=$F21),IF(T$5=$E21+1,$C21,""),"")</f>
        <v/>
      </c>
      <c r="U21" s="34">
        <f>IF(AND(U$5&gt;$E21,U$5&lt;=$F21),IF(U$5=$E21+1,$C21,""),"")</f>
        <v/>
      </c>
      <c r="V21" s="34">
        <f>IF(AND(V$5&gt;$E21,V$5&lt;=$F21),IF(V$5=$E21+1,$C21,""),"")</f>
        <v/>
      </c>
      <c r="W21" s="34">
        <f>IF(AND(W$5&gt;$E21,W$5&lt;=$F21),IF(W$5=$E21+1,$C21,""),"")</f>
        <v/>
      </c>
      <c r="X21" s="34">
        <f>IF(AND(X$5&gt;$E21,X$5&lt;=$F21),IF(X$5=$E21+1,$C21,""),"")</f>
        <v/>
      </c>
      <c r="Y21" s="34">
        <f>IF(AND(Y$5&gt;$E21,Y$5&lt;=$F21),IF(Y$5=$E21+1,$C21,""),"")</f>
        <v/>
      </c>
      <c r="Z21" s="34">
        <f>IF(AND(Z$5&gt;$E21,Z$5&lt;=$F21),IF(Z$5=$E21+1,$C21,""),"")</f>
        <v/>
      </c>
      <c r="AA21" s="34">
        <f>IF(AND(AA$5&gt;$E21,AA$5&lt;=$F21),IF(AA$5=$E21+1,$C21,""),"")</f>
        <v/>
      </c>
      <c r="AB21" s="34">
        <f>IF(AND(AB$5&gt;$E21,AB$5&lt;=$F21),IF(AB$5=$E21+1,$C21,""),"")</f>
        <v/>
      </c>
      <c r="AC21" s="34">
        <f>IF(AND(AC$5&gt;$E21,AC$5&lt;=$F21),IF(AC$5=$E21+1,$C21,""),"")</f>
        <v/>
      </c>
      <c r="AD21" s="34">
        <f>IF(AND(AD$5&gt;$E21,AD$5&lt;=$F21),IF(AD$5=$E21+1,$C21,""),"")</f>
        <v/>
      </c>
      <c r="AE21" s="34">
        <f>IF(AND(AE$5&gt;$E21,AE$5&lt;=$F21),IF(AE$5=$E21+1,$C21,""),"")</f>
        <v/>
      </c>
      <c r="AF21" s="34">
        <f>IF(AND(AF$5&gt;$E21,AF$5&lt;=$F21),IF(AF$5=$E21+1,$C21,""),"")</f>
        <v/>
      </c>
      <c r="AG21" s="34">
        <f>IF(AND(AG$5&gt;$E21,AG$5&lt;=$F21),IF(AG$5=$E21+1,$C21,""),"")</f>
        <v/>
      </c>
      <c r="AH21" s="34">
        <f>IF(AND(AH$5&gt;$E21,AH$5&lt;=$F21),IF(AH$5=$E21+1,$C21,""),"")</f>
        <v/>
      </c>
      <c r="AI21" s="34">
        <f>IF(AND(AI$5&gt;$E21,AI$5&lt;=$F21),IF(AI$5=$E21+1,$C21,""),"")</f>
        <v/>
      </c>
      <c r="AJ21" s="34">
        <f>IF(AND(AJ$5&gt;$E21,AJ$5&lt;=$F21),IF(AJ$5=$E21+1,$C21,""),"")</f>
        <v/>
      </c>
      <c r="AK21" s="34">
        <f>IF(AND(AK$5&gt;$E21,AK$5&lt;=$F21),IF(AK$5=$E21+1,$C21,""),"")</f>
        <v/>
      </c>
      <c r="AL21" s="34">
        <f>IF(AND(AL$5&gt;$E21,AL$5&lt;=$F21),IF(AL$5=$E21+1,$C21,""),"")</f>
        <v/>
      </c>
      <c r="AM21" s="34">
        <f>IF(AND(AM$5&gt;$E21,AM$5&lt;=$F21),IF(AM$5=$E21+1,$C21,""),"")</f>
        <v/>
      </c>
      <c r="AN21" s="34">
        <f>IF(AND(AN$5&gt;$E21,AN$5&lt;=$F21),IF(AN$5=$E21+1,$C21,""),"")</f>
        <v/>
      </c>
      <c r="AO21" s="34">
        <f>IF(AND(AO$5&gt;$E21,AO$5&lt;=$F21),IF(AO$5=$E21+1,$C21,""),"")</f>
        <v/>
      </c>
      <c r="AP21" s="34">
        <f>IF(AND(AP$5&gt;$E21,AP$5&lt;=$F21),IF(AP$5=$E21+1,$C21,""),"")</f>
        <v/>
      </c>
      <c r="AQ21" s="34">
        <f>IF(AND(AQ$5&gt;$E21,AQ$5&lt;=$F21),IF(AQ$5=$E21+1,$C21,""),"")</f>
        <v/>
      </c>
      <c r="AR21" s="34">
        <f>IF(AND(AR$5&gt;$E21,AR$5&lt;=$F21),IF(AR$5=$E21+1,$C21,""),"")</f>
        <v/>
      </c>
      <c r="AS21" s="34">
        <f>IF(AND(AS$5&gt;$E21,AS$5&lt;=$F21),IF(AS$5=$E21+1,$C21,""),"")</f>
        <v/>
      </c>
      <c r="AT21" s="34">
        <f>IF(AND(AT$5&gt;$E21,AT$5&lt;=$F21),IF(AT$5=$E21+1,$C21,""),"")</f>
        <v/>
      </c>
      <c r="AU21" s="34">
        <f>IF(AND(AU$5&gt;$E21,AU$5&lt;=$F21),IF(AU$5=$E21+1,$C21,""),"")</f>
        <v/>
      </c>
      <c r="AV21" s="34">
        <f>IF(AND(AV$5&gt;$E21,AV$5&lt;=$F21),IF(AV$5=$E21+1,$C21,""),"")</f>
        <v/>
      </c>
      <c r="AW21" s="34">
        <f>IF(AND(AW$5&gt;$E21,AW$5&lt;=$F21),IF(AW$5=$E21+1,$C21,""),"")</f>
        <v/>
      </c>
      <c r="AX21" s="34">
        <f>IF(AND(AX$5&gt;$E21,AX$5&lt;=$F21),IF(AX$5=$E21+1,$C21,""),"")</f>
        <v/>
      </c>
      <c r="AY21" s="34">
        <f>IF(AND(AY$5&gt;$E21,AY$5&lt;=$F21),IF(AY$5=$E21+1,$C21,""),"")</f>
        <v/>
      </c>
      <c r="AZ21" s="34">
        <f>IF(AND(AZ$5&gt;$E21,AZ$5&lt;=$F21),IF(AZ$5=$E21+1,$C21,""),"")</f>
        <v/>
      </c>
      <c r="BA21" s="34">
        <f>IF(AND(BA$5&gt;$E21,BA$5&lt;=$F21),IF(BA$5=$E21+1,$C21,""),"")</f>
        <v/>
      </c>
      <c r="BB21" s="34">
        <f>IF(AND(BB$5&gt;$E21,BB$5&lt;=$F21),IF(BB$5=$E21+1,$C21,""),"")</f>
        <v/>
      </c>
      <c r="BC21" s="34">
        <f>IF(AND(BC$5&gt;$E21,BC$5&lt;=$F21),IF(BC$5=$E21+1,$C21,""),"")</f>
        <v/>
      </c>
      <c r="BD21" s="34">
        <f>IF(AND(BD$5&gt;$E21,BD$5&lt;=$F21),IF(BD$5=$E21+1,$C21,""),"")</f>
        <v/>
      </c>
      <c r="BE21" s="34">
        <f>IF(AND(BE$5&gt;$E21,BE$5&lt;=$F21),IF(BE$5=$E21+1,$C21,""),"")</f>
        <v/>
      </c>
      <c r="BF21" s="34">
        <f>IF(AND(BF$5&gt;$E21,BF$5&lt;=$F21),IF(BF$5=$E21+1,$C21,""),"")</f>
        <v/>
      </c>
      <c r="BG21" s="34">
        <f>IF(AND(BG$5&gt;$E21,BG$5&lt;=$F21),IF(BG$5=$E21+1,$C21,""),"")</f>
        <v/>
      </c>
      <c r="BH21" s="34">
        <f>IF(AND(BH$5&gt;$E21,BH$5&lt;=$F21),IF(BH$5=$E21+1,$C21,""),"")</f>
        <v/>
      </c>
      <c r="BI21" s="34">
        <f>IF(AND(BI$5&gt;$E21,BI$5&lt;=$F21),IF(BI$5=$E21+1,$C21,""),"")</f>
        <v/>
      </c>
      <c r="BJ21" s="34">
        <f>IF(AND(BJ$5&gt;$E21,BJ$5&lt;=$F21),IF(BJ$5=$E21+1,$C21,""),"")</f>
        <v/>
      </c>
      <c r="BK21" s="34">
        <f>IF(AND(BK$5&gt;$E21,BK$5&lt;=$F21),IF(BK$5=$E21+1,$C21,""),"")</f>
        <v/>
      </c>
      <c r="BL21" s="34">
        <f>IF(AND(BL$5&gt;$E21,BL$5&lt;=$F21),IF(BL$5=$E21+1,$C21,""),"")</f>
        <v/>
      </c>
      <c r="BM21" s="34">
        <f>IF(AND(BM$5&gt;$E21,BM$5&lt;=$F21),IF(BM$5=$E21+1,$C21,""),"")</f>
        <v/>
      </c>
      <c r="BN21" s="34">
        <f>IF(AND(BN$5&gt;$E21,BN$5&lt;=$F21),IF(BN$5=$E21+1,$C21,""),"")</f>
        <v/>
      </c>
      <c r="BO21" s="34">
        <f>IF(AND(BO$5&gt;$E21,BO$5&lt;=$F21),IF(BO$5=$E21+1,$C21,""),"")</f>
        <v/>
      </c>
      <c r="BP21" s="34">
        <f>IF(AND(BP$5&gt;$E21,BP$5&lt;=$F21),IF(BP$5=$E21+1,$C21,""),"")</f>
        <v/>
      </c>
      <c r="BQ21" s="34">
        <f>IF(AND(BQ$5&gt;$E21,BQ$5&lt;=$F21),IF(BQ$5=$E21+1,$C21,""),"")</f>
        <v/>
      </c>
      <c r="BR21" s="34">
        <f>IF(AND(BR$5&gt;$E21,BR$5&lt;=$F21),IF(BR$5=$E21+1,$C21,""),"")</f>
        <v/>
      </c>
      <c r="BS21" s="34">
        <f>IF(AND(BS$5&gt;$E21,BS$5&lt;=$F21),IF(BS$5=$E21+1,$C21,""),"")</f>
        <v/>
      </c>
      <c r="BT21" s="34">
        <f>IF(AND(BT$5&gt;$E21,BT$5&lt;=$F21),IF(BT$5=$E21+1,$C21,""),"")</f>
        <v/>
      </c>
      <c r="BU21" s="34">
        <f>IF(AND(BU$5&gt;$E21,BU$5&lt;=$F21),IF(BU$5=$E21+1,$C21,""),"")</f>
        <v/>
      </c>
      <c r="BV21" s="34">
        <f>IF(AND(BV$5&gt;$E21,BV$5&lt;=$F21),IF(BV$5=$E21+1,$C21,""),"")</f>
        <v/>
      </c>
      <c r="BW21" s="34">
        <f>IF(AND(BW$5&gt;$E21,BW$5&lt;=$F21),IF(BW$5=$E21+1,$C21,""),"")</f>
        <v/>
      </c>
      <c r="BX21" s="34">
        <f>IF(AND(BX$5&gt;$E21,BX$5&lt;=$F21),IF(BX$5=$E21+1,$C21,""),"")</f>
        <v/>
      </c>
      <c r="BY21" s="34">
        <f>IF(AND(BY$5&gt;$E21,BY$5&lt;=$F21),IF(BY$5=$E21+1,$C21,""),"")</f>
        <v/>
      </c>
      <c r="BZ21" s="34">
        <f>IF(AND(BZ$5&gt;$E21,BZ$5&lt;=$F21),IF(BZ$5=$E21+1,$C21,""),"")</f>
        <v/>
      </c>
      <c r="CA21" s="34">
        <f>IF(AND(CA$5&gt;$E21,CA$5&lt;=$F21),IF(CA$5=$E21+1,$C21,""),"")</f>
        <v/>
      </c>
      <c r="CB21" s="34">
        <f>IF(AND(CB$5&gt;$E21,CB$5&lt;=$F21),IF(CB$5=$E21+1,$C21,""),"")</f>
        <v/>
      </c>
      <c r="CC21" s="34">
        <f>IF(AND(CC$5&gt;$E21,CC$5&lt;=$F21),IF(CC$5=$E21+1,$C21,""),"")</f>
        <v/>
      </c>
      <c r="CD21" s="34">
        <f>IF(AND(CD$5&gt;$E21,CD$5&lt;=$F21),IF(CD$5=$E21+1,$C21,""),"")</f>
        <v/>
      </c>
      <c r="CE21" s="34">
        <f>IF(AND(CE$5&gt;$E21,CE$5&lt;=$F21),IF(CE$5=$E21+1,$C21,""),"")</f>
        <v/>
      </c>
      <c r="CF21" s="34">
        <f>IF(AND(CF$5&gt;$E21,CF$5&lt;=$F21),IF(CF$5=$E21+1,$C21,""),"")</f>
        <v/>
      </c>
      <c r="CG21" s="34">
        <f>IF(AND(CG$5&gt;$E21,CG$5&lt;=$F21),IF(CG$5=$E21+1,$C21,""),"")</f>
        <v/>
      </c>
      <c r="CH21" s="34">
        <f>IF(AND(CH$5&gt;$E21,CH$5&lt;=$F21),IF(CH$5=$E21+1,$C21,""),"")</f>
        <v/>
      </c>
      <c r="CI21" s="34">
        <f>IF(AND(CI$5&gt;$E21,CI$5&lt;=$F21),IF(CI$5=$E21+1,$C21,""),"")</f>
        <v/>
      </c>
      <c r="CJ21" s="34">
        <f>IF(AND(CJ$5&gt;$E21,CJ$5&lt;=$F21),IF(CJ$5=$E21+1,$C21,""),"")</f>
        <v/>
      </c>
      <c r="CK21" s="34">
        <f>IF(AND(CK$5&gt;$E21,CK$5&lt;=$F21),IF(CK$5=$E21+1,$C21,""),"")</f>
        <v/>
      </c>
      <c r="CL21" s="34">
        <f>IF(AND(CL$5&gt;$E21,CL$5&lt;=$F21),IF(CL$5=$E21+1,$C21,""),"")</f>
        <v/>
      </c>
      <c r="CM21" s="34">
        <f>IF(AND(CM$5&gt;$E21,CM$5&lt;=$F21),IF(CM$5=$E21+1,$C21,""),"")</f>
        <v/>
      </c>
      <c r="CN21" s="34">
        <f>IF(AND(CN$5&gt;$E21,CN$5&lt;=$F21),IF(CN$5=$E21+1,$C21,""),"")</f>
        <v/>
      </c>
      <c r="CO21" s="34">
        <f>IF(AND(CO$5&gt;$E21,CO$5&lt;=$F21),IF(CO$5=$E21+1,$C21,""),"")</f>
        <v/>
      </c>
      <c r="CP21" s="34">
        <f>IF(AND(CP$5&gt;$E21,CP$5&lt;=$F21),IF(CP$5=$E21+1,$C21,""),"")</f>
        <v/>
      </c>
      <c r="CQ21" s="34">
        <f>IF(AND(CQ$5&gt;$E21,CQ$5&lt;=$F21),IF(CQ$5=$E21+1,$C21,""),"")</f>
        <v/>
      </c>
      <c r="CR21" s="34">
        <f>IF(AND(CR$5&gt;$E21,CR$5&lt;=$F21),IF(CR$5=$E21+1,$C21,""),"")</f>
        <v/>
      </c>
      <c r="CS21" s="34">
        <f>IF(AND(CS$5&gt;$E21,CS$5&lt;=$F21),IF(CS$5=$E21+1,$C21,""),"")</f>
        <v/>
      </c>
      <c r="CT21" s="34">
        <f>IF(AND(CT$5&gt;$E21,CT$5&lt;=$F21),IF(CT$5=$E21+1,$C21,""),"")</f>
        <v/>
      </c>
      <c r="CU21" s="34">
        <f>IF(AND(CU$5&gt;$E21,CU$5&lt;=$F21),IF(CU$5=$E21+1,$C21,""),"")</f>
        <v/>
      </c>
      <c r="CV21" s="34">
        <f>IF(AND(CV$5&gt;$E21,CV$5&lt;=$F21),IF(CV$5=$E21+1,$C21,""),"")</f>
        <v/>
      </c>
      <c r="CW21" s="34">
        <f>IF(AND(CW$5&gt;$E21,CW$5&lt;=$F21),IF(CW$5=$E21+1,$C21,""),"")</f>
        <v/>
      </c>
      <c r="CX21" s="34">
        <f>IF(AND(CX$5&gt;$E21,CX$5&lt;=$F21),IF(CX$5=$E21+1,$C21,""),"")</f>
        <v/>
      </c>
      <c r="CY21" s="34">
        <f>IF(AND(CY$5&gt;$E21,CY$5&lt;=$F21),IF(CY$5=$E21+1,$C21,""),"")</f>
        <v/>
      </c>
      <c r="CZ21" s="34">
        <f>IF(AND(CZ$5&gt;$E21,CZ$5&lt;=$F21),IF(CZ$5=$E21+1,$C21,""),"")</f>
        <v/>
      </c>
      <c r="DA21" s="34">
        <f>IF(AND(DA$5&gt;$E21,DA$5&lt;=$F21),IF(DA$5=$E21+1,$C21,""),"")</f>
        <v/>
      </c>
      <c r="DB21" s="34">
        <f>IF(AND(DB$5&gt;$E21,DB$5&lt;=$F21),IF(DB$5=$E21+1,$C21,""),"")</f>
        <v/>
      </c>
      <c r="DC21" s="34">
        <f>IF(AND(DC$5&gt;$E21,DC$5&lt;=$F21),IF(DC$5=$E21+1,$C21,""),"")</f>
        <v/>
      </c>
      <c r="DD21" s="34">
        <f>IF(AND(DD$5&gt;$E21,DD$5&lt;=$F21),IF(DD$5=$E21+1,$C21,""),"")</f>
        <v/>
      </c>
      <c r="DE21" s="34">
        <f>IF(AND(DE$5&gt;$E21,DE$5&lt;=$F21),IF(DE$5=$E21+1,$C21,""),"")</f>
        <v/>
      </c>
      <c r="DF21" s="34">
        <f>IF(AND(DF$5&gt;$E21,DF$5&lt;=$F21),IF(DF$5=$E21+1,$C21,""),"")</f>
        <v/>
      </c>
      <c r="DG21" s="34">
        <f>IF(AND(DG$5&gt;$E21,DG$5&lt;=$F21),IF(DG$5=$E21+1,$C21,""),"")</f>
        <v/>
      </c>
      <c r="DH21" s="34">
        <f>IF(AND(DH$5&gt;$E21,DH$5&lt;=$F21),IF(DH$5=$E21+1,$C21,""),"")</f>
        <v/>
      </c>
      <c r="DI21" s="34">
        <f>IF(AND(DI$5&gt;$E21,DI$5&lt;=$F21),IF(DI$5=$E21+1,$C21,""),"")</f>
        <v/>
      </c>
      <c r="DJ21" s="34">
        <f>IF(AND(DJ$5&gt;$E21,DJ$5&lt;=$F21),IF(DJ$5=$E21+1,$C21,""),"")</f>
        <v/>
      </c>
      <c r="DK21" s="34">
        <f>IF(AND(DK$5&gt;$E21,DK$5&lt;=$F21),IF(DK$5=$E21+1,$C21,""),"")</f>
        <v/>
      </c>
      <c r="DL21" s="34">
        <f>IF(AND(DL$5&gt;$E21,DL$5&lt;=$F21),IF(DL$5=$E21+1,$C21,""),"")</f>
        <v/>
      </c>
      <c r="DM21" s="34">
        <f>IF(AND(DM$5&gt;$E21,DM$5&lt;=$F21),IF(DM$5=$E21+1,$C21,""),"")</f>
        <v/>
      </c>
      <c r="DN21" s="34">
        <f>IF(AND(DN$5&gt;$E21,DN$5&lt;=$F21),IF(DN$5=$E21+1,$C21,""),"")</f>
        <v/>
      </c>
      <c r="DO21" s="34">
        <f>IF(AND(DO$5&gt;$E21,DO$5&lt;=$F21),IF(DO$5=$E21+1,$C21,""),"")</f>
        <v/>
      </c>
      <c r="DP21" s="34">
        <f>IF(AND(DP$5&gt;$E21,DP$5&lt;=$F21),IF(DP$5=$E21+1,$C21,""),"")</f>
        <v/>
      </c>
      <c r="DQ21" s="34">
        <f>IF(AND(DQ$5&gt;$E21,DQ$5&lt;=$F21),IF(DQ$5=$E21+1,$C21,""),"")</f>
        <v/>
      </c>
      <c r="DR21" s="34">
        <f>IF(AND(DR$5&gt;$E21,DR$5&lt;=$F21),IF(DR$5=$E21+1,$C21,""),"")</f>
        <v/>
      </c>
      <c r="DS21" s="34">
        <f>IF(AND(DS$5&gt;$E21,DS$5&lt;=$F21),IF(DS$5=$E21+1,$C21,""),"")</f>
        <v/>
      </c>
      <c r="DT21" s="34">
        <f>IF(AND(DT$5&gt;$E21,DT$5&lt;=$F21),IF(DT$5=$E21+1,$C21,""),"")</f>
        <v/>
      </c>
      <c r="DU21" s="34">
        <f>IF(AND(DU$5&gt;$E21,DU$5&lt;=$F21),IF(DU$5=$E21+1,$C21,""),"")</f>
        <v/>
      </c>
      <c r="DV21" s="34">
        <f>IF(AND(DV$5&gt;$E21,DV$5&lt;=$F21),IF(DV$5=$E21+1,$C21,""),"")</f>
        <v/>
      </c>
      <c r="DW21" s="34">
        <f>IF(AND(DW$5&gt;$E21,DW$5&lt;=$F21),IF(DW$5=$E21+1,$C21,""),"")</f>
        <v/>
      </c>
      <c r="DX21" s="34">
        <f>IF(AND(DX$5&gt;$E21,DX$5&lt;=$F21),IF(DX$5=$E21+1,$C21,""),"")</f>
        <v/>
      </c>
      <c r="DY21" s="34">
        <f>IF(AND(DY$5&gt;$E21,DY$5&lt;=$F21),IF(DY$5=$E21+1,$C21,""),"")</f>
        <v/>
      </c>
      <c r="DZ21" s="34">
        <f>IF(AND(DZ$5&gt;$E21,DZ$5&lt;=$F21),IF(DZ$5=$E21+1,$C21,""),"")</f>
        <v/>
      </c>
      <c r="EA21" s="34">
        <f>IF(AND(EA$5&gt;$E21,EA$5&lt;=$F21),IF(EA$5=$E21+1,$C21,""),"")</f>
        <v/>
      </c>
      <c r="EB21" s="34">
        <f>IF(AND(EB$5&gt;$E21,EB$5&lt;=$F21),IF(EB$5=$E21+1,$C21,""),"")</f>
        <v/>
      </c>
      <c r="EC21" s="34">
        <f>IF(AND(EC$5&gt;$E21,EC$5&lt;=$F21),IF(EC$5=$E21+1,$C21,""),"")</f>
        <v/>
      </c>
      <c r="ED21" s="34">
        <f>IF(AND(ED$5&gt;$E21,ED$5&lt;=$F21),IF(ED$5=$E21+1,$C21,""),"")</f>
        <v/>
      </c>
      <c r="EE21" s="34">
        <f>IF(AND(EE$5&gt;$E21,EE$5&lt;=$F21),IF(EE$5=$E21+1,$C21,""),"")</f>
        <v/>
      </c>
      <c r="EF21" s="34">
        <f>IF(AND(EF$5&gt;$E21,EF$5&lt;=$F21),IF(EF$5=$E21+1,$C21,""),"")</f>
        <v/>
      </c>
      <c r="EG21" s="34">
        <f>IF(AND(EG$5&gt;$E21,EG$5&lt;=$F21),IF(EG$5=$E21+1,$C21,""),"")</f>
        <v/>
      </c>
      <c r="EH21" s="34">
        <f>IF(AND(EH$5&gt;$E21,EH$5&lt;=$F21),IF(EH$5=$E21+1,$C21,""),"")</f>
        <v/>
      </c>
      <c r="EI21" s="34">
        <f>IF(AND(EI$5&gt;$E21,EI$5&lt;=$F21),IF(EI$5=$E21+1,$C21,""),"")</f>
        <v/>
      </c>
      <c r="EJ21" s="34">
        <f>IF(AND(EJ$5&gt;$E21,EJ$5&lt;=$F21),IF(EJ$5=$E21+1,$C21,""),"")</f>
        <v/>
      </c>
      <c r="EK21" s="34">
        <f>IF(AND(EK$5&gt;$E21,EK$5&lt;=$F21),IF(EK$5=$E21+1,$C21,""),"")</f>
        <v/>
      </c>
      <c r="EL21" s="34">
        <f>IF(AND(EL$5&gt;$E21,EL$5&lt;=$F21),IF(EL$5=$E21+1,$C21,""),"")</f>
        <v/>
      </c>
      <c r="EM21" s="34">
        <f>IF(AND(EM$5&gt;$E21,EM$5&lt;=$F21),IF(EM$5=$E21+1,$C21,""),"")</f>
        <v/>
      </c>
      <c r="EN21" s="34">
        <f>IF(AND(EN$5&gt;$E21,EN$5&lt;=$F21),IF(EN$5=$E21+1,$C21,""),"")</f>
        <v/>
      </c>
      <c r="EO21" s="34">
        <f>IF(AND(EO$5&gt;$E21,EO$5&lt;=$F21),IF(EO$5=$E21+1,$C21,""),"")</f>
        <v/>
      </c>
      <c r="EP21" s="34">
        <f>IF(AND(EP$5&gt;$E21,EP$5&lt;=$F21),IF(EP$5=$E21+1,$C21,""),"")</f>
        <v/>
      </c>
      <c r="EQ21" s="34">
        <f>IF(AND(EQ$5&gt;$E21,EQ$5&lt;=$F21),IF(EQ$5=$E21+1,$C21,""),"")</f>
        <v/>
      </c>
      <c r="ER21" s="34">
        <f>IF(AND(ER$5&gt;$E21,ER$5&lt;=$F21),IF(ER$5=$E21+1,$C21,""),"")</f>
        <v/>
      </c>
      <c r="ES21" s="34">
        <f>IF(AND(ES$5&gt;$E21,ES$5&lt;=$F21),IF(ES$5=$E21+1,$C21,""),"")</f>
        <v/>
      </c>
      <c r="ET21" s="34">
        <f>IF(AND(ET$5&gt;$E21,ET$5&lt;=$F21),IF(ET$5=$E21+1,$C21,""),"")</f>
        <v/>
      </c>
      <c r="EU21" s="34">
        <f>IF(AND(EU$5&gt;$E21,EU$5&lt;=$F21),IF(EU$5=$E21+1,$C21,""),"")</f>
        <v/>
      </c>
      <c r="EV21" s="34">
        <f>IF(AND(EV$5&gt;$E21,EV$5&lt;=$F21),IF(EV$5=$E21+1,$C21,""),"")</f>
        <v/>
      </c>
      <c r="EW21" s="34">
        <f>IF(AND(EW$5&gt;$E21,EW$5&lt;=$F21),IF(EW$5=$E21+1,$C21,""),"")</f>
        <v/>
      </c>
      <c r="EX21" s="34">
        <f>IF(AND(EX$5&gt;$E21,EX$5&lt;=$F21),IF(EX$5=$E21+1,$C21,""),"")</f>
        <v/>
      </c>
      <c r="EY21" s="34">
        <f>IF(AND(EY$5&gt;$E21,EY$5&lt;=$F21),IF(EY$5=$E21+1,$C21,""),"")</f>
        <v/>
      </c>
      <c r="EZ21" s="34">
        <f>IF(AND(EZ$5&gt;$E21,EZ$5&lt;=$F21),IF(EZ$5=$E21+1,$C21,""),"")</f>
        <v/>
      </c>
      <c r="FA21" s="34">
        <f>IF(AND(FA$5&gt;$E21,FA$5&lt;=$F21),IF(FA$5=$E21+1,$C21,""),"")</f>
        <v/>
      </c>
    </row>
    <row r="22">
      <c r="A22" s="32">
        <f>Plan!A16</f>
        <v/>
      </c>
      <c r="B22" s="33">
        <f>Plan!C16</f>
        <v/>
      </c>
      <c r="C22" s="16">
        <f>Plan!D16</f>
        <v/>
      </c>
      <c r="D22" s="16">
        <f>Plan!I16</f>
        <v/>
      </c>
      <c r="E22" s="16">
        <f>Plan!K16</f>
        <v/>
      </c>
      <c r="F22" s="16">
        <f>Plan!L16</f>
        <v/>
      </c>
      <c r="G22" s="16">
        <f>Plan!O16</f>
        <v/>
      </c>
      <c r="H22" s="34">
        <f>IF(AND(H$5&gt;$E22,H$5&lt;=$F22),IF(H$5=$E22+1,$C22,""),"")</f>
        <v/>
      </c>
      <c r="I22" s="34">
        <f>IF(AND(I$5&gt;$E22,I$5&lt;=$F22),IF(I$5=$E22+1,$C22,""),"")</f>
        <v/>
      </c>
      <c r="J22" s="34">
        <f>IF(AND(J$5&gt;$E22,J$5&lt;=$F22),IF(J$5=$E22+1,$C22,""),"")</f>
        <v/>
      </c>
      <c r="K22" s="34">
        <f>IF(AND(K$5&gt;$E22,K$5&lt;=$F22),IF(K$5=$E22+1,$C22,""),"")</f>
        <v/>
      </c>
      <c r="L22" s="34">
        <f>IF(AND(L$5&gt;$E22,L$5&lt;=$F22),IF(L$5=$E22+1,$C22,""),"")</f>
        <v/>
      </c>
      <c r="M22" s="34">
        <f>IF(AND(M$5&gt;$E22,M$5&lt;=$F22),IF(M$5=$E22+1,$C22,""),"")</f>
        <v/>
      </c>
      <c r="N22" s="34">
        <f>IF(AND(N$5&gt;$E22,N$5&lt;=$F22),IF(N$5=$E22+1,$C22,""),"")</f>
        <v/>
      </c>
      <c r="O22" s="34">
        <f>IF(AND(O$5&gt;$E22,O$5&lt;=$F22),IF(O$5=$E22+1,$C22,""),"")</f>
        <v/>
      </c>
      <c r="P22" s="34">
        <f>IF(AND(P$5&gt;$E22,P$5&lt;=$F22),IF(P$5=$E22+1,$C22,""),"")</f>
        <v/>
      </c>
      <c r="Q22" s="34">
        <f>IF(AND(Q$5&gt;$E22,Q$5&lt;=$F22),IF(Q$5=$E22+1,$C22,""),"")</f>
        <v/>
      </c>
      <c r="R22" s="34">
        <f>IF(AND(R$5&gt;$E22,R$5&lt;=$F22),IF(R$5=$E22+1,$C22,""),"")</f>
        <v/>
      </c>
      <c r="S22" s="34">
        <f>IF(AND(S$5&gt;$E22,S$5&lt;=$F22),IF(S$5=$E22+1,$C22,""),"")</f>
        <v/>
      </c>
      <c r="T22" s="34">
        <f>IF(AND(T$5&gt;$E22,T$5&lt;=$F22),IF(T$5=$E22+1,$C22,""),"")</f>
        <v/>
      </c>
      <c r="U22" s="34">
        <f>IF(AND(U$5&gt;$E22,U$5&lt;=$F22),IF(U$5=$E22+1,$C22,""),"")</f>
        <v/>
      </c>
      <c r="V22" s="34">
        <f>IF(AND(V$5&gt;$E22,V$5&lt;=$F22),IF(V$5=$E22+1,$C22,""),"")</f>
        <v/>
      </c>
      <c r="W22" s="34">
        <f>IF(AND(W$5&gt;$E22,W$5&lt;=$F22),IF(W$5=$E22+1,$C22,""),"")</f>
        <v/>
      </c>
      <c r="X22" s="34">
        <f>IF(AND(X$5&gt;$E22,X$5&lt;=$F22),IF(X$5=$E22+1,$C22,""),"")</f>
        <v/>
      </c>
      <c r="Y22" s="34">
        <f>IF(AND(Y$5&gt;$E22,Y$5&lt;=$F22),IF(Y$5=$E22+1,$C22,""),"")</f>
        <v/>
      </c>
      <c r="Z22" s="34">
        <f>IF(AND(Z$5&gt;$E22,Z$5&lt;=$F22),IF(Z$5=$E22+1,$C22,""),"")</f>
        <v/>
      </c>
      <c r="AA22" s="34">
        <f>IF(AND(AA$5&gt;$E22,AA$5&lt;=$F22),IF(AA$5=$E22+1,$C22,""),"")</f>
        <v/>
      </c>
      <c r="AB22" s="34">
        <f>IF(AND(AB$5&gt;$E22,AB$5&lt;=$F22),IF(AB$5=$E22+1,$C22,""),"")</f>
        <v/>
      </c>
      <c r="AC22" s="34">
        <f>IF(AND(AC$5&gt;$E22,AC$5&lt;=$F22),IF(AC$5=$E22+1,$C22,""),"")</f>
        <v/>
      </c>
      <c r="AD22" s="34">
        <f>IF(AND(AD$5&gt;$E22,AD$5&lt;=$F22),IF(AD$5=$E22+1,$C22,""),"")</f>
        <v/>
      </c>
      <c r="AE22" s="34">
        <f>IF(AND(AE$5&gt;$E22,AE$5&lt;=$F22),IF(AE$5=$E22+1,$C22,""),"")</f>
        <v/>
      </c>
      <c r="AF22" s="34">
        <f>IF(AND(AF$5&gt;$E22,AF$5&lt;=$F22),IF(AF$5=$E22+1,$C22,""),"")</f>
        <v/>
      </c>
      <c r="AG22" s="34">
        <f>IF(AND(AG$5&gt;$E22,AG$5&lt;=$F22),IF(AG$5=$E22+1,$C22,""),"")</f>
        <v/>
      </c>
      <c r="AH22" s="34">
        <f>IF(AND(AH$5&gt;$E22,AH$5&lt;=$F22),IF(AH$5=$E22+1,$C22,""),"")</f>
        <v/>
      </c>
      <c r="AI22" s="34">
        <f>IF(AND(AI$5&gt;$E22,AI$5&lt;=$F22),IF(AI$5=$E22+1,$C22,""),"")</f>
        <v/>
      </c>
      <c r="AJ22" s="34">
        <f>IF(AND(AJ$5&gt;$E22,AJ$5&lt;=$F22),IF(AJ$5=$E22+1,$C22,""),"")</f>
        <v/>
      </c>
      <c r="AK22" s="34">
        <f>IF(AND(AK$5&gt;$E22,AK$5&lt;=$F22),IF(AK$5=$E22+1,$C22,""),"")</f>
        <v/>
      </c>
      <c r="AL22" s="34">
        <f>IF(AND(AL$5&gt;$E22,AL$5&lt;=$F22),IF(AL$5=$E22+1,$C22,""),"")</f>
        <v/>
      </c>
      <c r="AM22" s="34">
        <f>IF(AND(AM$5&gt;$E22,AM$5&lt;=$F22),IF(AM$5=$E22+1,$C22,""),"")</f>
        <v/>
      </c>
      <c r="AN22" s="34">
        <f>IF(AND(AN$5&gt;$E22,AN$5&lt;=$F22),IF(AN$5=$E22+1,$C22,""),"")</f>
        <v/>
      </c>
      <c r="AO22" s="34">
        <f>IF(AND(AO$5&gt;$E22,AO$5&lt;=$F22),IF(AO$5=$E22+1,$C22,""),"")</f>
        <v/>
      </c>
      <c r="AP22" s="34">
        <f>IF(AND(AP$5&gt;$E22,AP$5&lt;=$F22),IF(AP$5=$E22+1,$C22,""),"")</f>
        <v/>
      </c>
      <c r="AQ22" s="34">
        <f>IF(AND(AQ$5&gt;$E22,AQ$5&lt;=$F22),IF(AQ$5=$E22+1,$C22,""),"")</f>
        <v/>
      </c>
      <c r="AR22" s="34">
        <f>IF(AND(AR$5&gt;$E22,AR$5&lt;=$F22),IF(AR$5=$E22+1,$C22,""),"")</f>
        <v/>
      </c>
      <c r="AS22" s="34">
        <f>IF(AND(AS$5&gt;$E22,AS$5&lt;=$F22),IF(AS$5=$E22+1,$C22,""),"")</f>
        <v/>
      </c>
      <c r="AT22" s="34">
        <f>IF(AND(AT$5&gt;$E22,AT$5&lt;=$F22),IF(AT$5=$E22+1,$C22,""),"")</f>
        <v/>
      </c>
      <c r="AU22" s="34">
        <f>IF(AND(AU$5&gt;$E22,AU$5&lt;=$F22),IF(AU$5=$E22+1,$C22,""),"")</f>
        <v/>
      </c>
      <c r="AV22" s="34">
        <f>IF(AND(AV$5&gt;$E22,AV$5&lt;=$F22),IF(AV$5=$E22+1,$C22,""),"")</f>
        <v/>
      </c>
      <c r="AW22" s="34">
        <f>IF(AND(AW$5&gt;$E22,AW$5&lt;=$F22),IF(AW$5=$E22+1,$C22,""),"")</f>
        <v/>
      </c>
      <c r="AX22" s="34">
        <f>IF(AND(AX$5&gt;$E22,AX$5&lt;=$F22),IF(AX$5=$E22+1,$C22,""),"")</f>
        <v/>
      </c>
      <c r="AY22" s="34">
        <f>IF(AND(AY$5&gt;$E22,AY$5&lt;=$F22),IF(AY$5=$E22+1,$C22,""),"")</f>
        <v/>
      </c>
      <c r="AZ22" s="34">
        <f>IF(AND(AZ$5&gt;$E22,AZ$5&lt;=$F22),IF(AZ$5=$E22+1,$C22,""),"")</f>
        <v/>
      </c>
      <c r="BA22" s="34">
        <f>IF(AND(BA$5&gt;$E22,BA$5&lt;=$F22),IF(BA$5=$E22+1,$C22,""),"")</f>
        <v/>
      </c>
      <c r="BB22" s="34">
        <f>IF(AND(BB$5&gt;$E22,BB$5&lt;=$F22),IF(BB$5=$E22+1,$C22,""),"")</f>
        <v/>
      </c>
      <c r="BC22" s="34">
        <f>IF(AND(BC$5&gt;$E22,BC$5&lt;=$F22),IF(BC$5=$E22+1,$C22,""),"")</f>
        <v/>
      </c>
      <c r="BD22" s="34">
        <f>IF(AND(BD$5&gt;$E22,BD$5&lt;=$F22),IF(BD$5=$E22+1,$C22,""),"")</f>
        <v/>
      </c>
      <c r="BE22" s="34">
        <f>IF(AND(BE$5&gt;$E22,BE$5&lt;=$F22),IF(BE$5=$E22+1,$C22,""),"")</f>
        <v/>
      </c>
      <c r="BF22" s="34">
        <f>IF(AND(BF$5&gt;$E22,BF$5&lt;=$F22),IF(BF$5=$E22+1,$C22,""),"")</f>
        <v/>
      </c>
      <c r="BG22" s="34">
        <f>IF(AND(BG$5&gt;$E22,BG$5&lt;=$F22),IF(BG$5=$E22+1,$C22,""),"")</f>
        <v/>
      </c>
      <c r="BH22" s="34">
        <f>IF(AND(BH$5&gt;$E22,BH$5&lt;=$F22),IF(BH$5=$E22+1,$C22,""),"")</f>
        <v/>
      </c>
      <c r="BI22" s="34">
        <f>IF(AND(BI$5&gt;$E22,BI$5&lt;=$F22),IF(BI$5=$E22+1,$C22,""),"")</f>
        <v/>
      </c>
      <c r="BJ22" s="34">
        <f>IF(AND(BJ$5&gt;$E22,BJ$5&lt;=$F22),IF(BJ$5=$E22+1,$C22,""),"")</f>
        <v/>
      </c>
      <c r="BK22" s="34">
        <f>IF(AND(BK$5&gt;$E22,BK$5&lt;=$F22),IF(BK$5=$E22+1,$C22,""),"")</f>
        <v/>
      </c>
      <c r="BL22" s="34">
        <f>IF(AND(BL$5&gt;$E22,BL$5&lt;=$F22),IF(BL$5=$E22+1,$C22,""),"")</f>
        <v/>
      </c>
      <c r="BM22" s="34">
        <f>IF(AND(BM$5&gt;$E22,BM$5&lt;=$F22),IF(BM$5=$E22+1,$C22,""),"")</f>
        <v/>
      </c>
      <c r="BN22" s="34">
        <f>IF(AND(BN$5&gt;$E22,BN$5&lt;=$F22),IF(BN$5=$E22+1,$C22,""),"")</f>
        <v/>
      </c>
      <c r="BO22" s="34">
        <f>IF(AND(BO$5&gt;$E22,BO$5&lt;=$F22),IF(BO$5=$E22+1,$C22,""),"")</f>
        <v/>
      </c>
      <c r="BP22" s="34">
        <f>IF(AND(BP$5&gt;$E22,BP$5&lt;=$F22),IF(BP$5=$E22+1,$C22,""),"")</f>
        <v/>
      </c>
      <c r="BQ22" s="34">
        <f>IF(AND(BQ$5&gt;$E22,BQ$5&lt;=$F22),IF(BQ$5=$E22+1,$C22,""),"")</f>
        <v/>
      </c>
      <c r="BR22" s="34">
        <f>IF(AND(BR$5&gt;$E22,BR$5&lt;=$F22),IF(BR$5=$E22+1,$C22,""),"")</f>
        <v/>
      </c>
      <c r="BS22" s="34">
        <f>IF(AND(BS$5&gt;$E22,BS$5&lt;=$F22),IF(BS$5=$E22+1,$C22,""),"")</f>
        <v/>
      </c>
      <c r="BT22" s="34">
        <f>IF(AND(BT$5&gt;$E22,BT$5&lt;=$F22),IF(BT$5=$E22+1,$C22,""),"")</f>
        <v/>
      </c>
      <c r="BU22" s="34">
        <f>IF(AND(BU$5&gt;$E22,BU$5&lt;=$F22),IF(BU$5=$E22+1,$C22,""),"")</f>
        <v/>
      </c>
      <c r="BV22" s="34">
        <f>IF(AND(BV$5&gt;$E22,BV$5&lt;=$F22),IF(BV$5=$E22+1,$C22,""),"")</f>
        <v/>
      </c>
      <c r="BW22" s="34">
        <f>IF(AND(BW$5&gt;$E22,BW$5&lt;=$F22),IF(BW$5=$E22+1,$C22,""),"")</f>
        <v/>
      </c>
      <c r="BX22" s="34">
        <f>IF(AND(BX$5&gt;$E22,BX$5&lt;=$F22),IF(BX$5=$E22+1,$C22,""),"")</f>
        <v/>
      </c>
      <c r="BY22" s="34">
        <f>IF(AND(BY$5&gt;$E22,BY$5&lt;=$F22),IF(BY$5=$E22+1,$C22,""),"")</f>
        <v/>
      </c>
      <c r="BZ22" s="34">
        <f>IF(AND(BZ$5&gt;$E22,BZ$5&lt;=$F22),IF(BZ$5=$E22+1,$C22,""),"")</f>
        <v/>
      </c>
      <c r="CA22" s="34">
        <f>IF(AND(CA$5&gt;$E22,CA$5&lt;=$F22),IF(CA$5=$E22+1,$C22,""),"")</f>
        <v/>
      </c>
      <c r="CB22" s="34">
        <f>IF(AND(CB$5&gt;$E22,CB$5&lt;=$F22),IF(CB$5=$E22+1,$C22,""),"")</f>
        <v/>
      </c>
      <c r="CC22" s="34">
        <f>IF(AND(CC$5&gt;$E22,CC$5&lt;=$F22),IF(CC$5=$E22+1,$C22,""),"")</f>
        <v/>
      </c>
      <c r="CD22" s="34">
        <f>IF(AND(CD$5&gt;$E22,CD$5&lt;=$F22),IF(CD$5=$E22+1,$C22,""),"")</f>
        <v/>
      </c>
      <c r="CE22" s="34">
        <f>IF(AND(CE$5&gt;$E22,CE$5&lt;=$F22),IF(CE$5=$E22+1,$C22,""),"")</f>
        <v/>
      </c>
      <c r="CF22" s="34">
        <f>IF(AND(CF$5&gt;$E22,CF$5&lt;=$F22),IF(CF$5=$E22+1,$C22,""),"")</f>
        <v/>
      </c>
      <c r="CG22" s="34">
        <f>IF(AND(CG$5&gt;$E22,CG$5&lt;=$F22),IF(CG$5=$E22+1,$C22,""),"")</f>
        <v/>
      </c>
      <c r="CH22" s="34">
        <f>IF(AND(CH$5&gt;$E22,CH$5&lt;=$F22),IF(CH$5=$E22+1,$C22,""),"")</f>
        <v/>
      </c>
      <c r="CI22" s="34">
        <f>IF(AND(CI$5&gt;$E22,CI$5&lt;=$F22),IF(CI$5=$E22+1,$C22,""),"")</f>
        <v/>
      </c>
      <c r="CJ22" s="34">
        <f>IF(AND(CJ$5&gt;$E22,CJ$5&lt;=$F22),IF(CJ$5=$E22+1,$C22,""),"")</f>
        <v/>
      </c>
      <c r="CK22" s="34">
        <f>IF(AND(CK$5&gt;$E22,CK$5&lt;=$F22),IF(CK$5=$E22+1,$C22,""),"")</f>
        <v/>
      </c>
      <c r="CL22" s="34">
        <f>IF(AND(CL$5&gt;$E22,CL$5&lt;=$F22),IF(CL$5=$E22+1,$C22,""),"")</f>
        <v/>
      </c>
      <c r="CM22" s="34">
        <f>IF(AND(CM$5&gt;$E22,CM$5&lt;=$F22),IF(CM$5=$E22+1,$C22,""),"")</f>
        <v/>
      </c>
      <c r="CN22" s="34">
        <f>IF(AND(CN$5&gt;$E22,CN$5&lt;=$F22),IF(CN$5=$E22+1,$C22,""),"")</f>
        <v/>
      </c>
      <c r="CO22" s="34">
        <f>IF(AND(CO$5&gt;$E22,CO$5&lt;=$F22),IF(CO$5=$E22+1,$C22,""),"")</f>
        <v/>
      </c>
      <c r="CP22" s="34">
        <f>IF(AND(CP$5&gt;$E22,CP$5&lt;=$F22),IF(CP$5=$E22+1,$C22,""),"")</f>
        <v/>
      </c>
      <c r="CQ22" s="34">
        <f>IF(AND(CQ$5&gt;$E22,CQ$5&lt;=$F22),IF(CQ$5=$E22+1,$C22,""),"")</f>
        <v/>
      </c>
      <c r="CR22" s="34">
        <f>IF(AND(CR$5&gt;$E22,CR$5&lt;=$F22),IF(CR$5=$E22+1,$C22,""),"")</f>
        <v/>
      </c>
      <c r="CS22" s="34">
        <f>IF(AND(CS$5&gt;$E22,CS$5&lt;=$F22),IF(CS$5=$E22+1,$C22,""),"")</f>
        <v/>
      </c>
      <c r="CT22" s="34">
        <f>IF(AND(CT$5&gt;$E22,CT$5&lt;=$F22),IF(CT$5=$E22+1,$C22,""),"")</f>
        <v/>
      </c>
      <c r="CU22" s="34">
        <f>IF(AND(CU$5&gt;$E22,CU$5&lt;=$F22),IF(CU$5=$E22+1,$C22,""),"")</f>
        <v/>
      </c>
      <c r="CV22" s="34">
        <f>IF(AND(CV$5&gt;$E22,CV$5&lt;=$F22),IF(CV$5=$E22+1,$C22,""),"")</f>
        <v/>
      </c>
      <c r="CW22" s="34">
        <f>IF(AND(CW$5&gt;$E22,CW$5&lt;=$F22),IF(CW$5=$E22+1,$C22,""),"")</f>
        <v/>
      </c>
      <c r="CX22" s="34">
        <f>IF(AND(CX$5&gt;$E22,CX$5&lt;=$F22),IF(CX$5=$E22+1,$C22,""),"")</f>
        <v/>
      </c>
      <c r="CY22" s="34">
        <f>IF(AND(CY$5&gt;$E22,CY$5&lt;=$F22),IF(CY$5=$E22+1,$C22,""),"")</f>
        <v/>
      </c>
      <c r="CZ22" s="34">
        <f>IF(AND(CZ$5&gt;$E22,CZ$5&lt;=$F22),IF(CZ$5=$E22+1,$C22,""),"")</f>
        <v/>
      </c>
      <c r="DA22" s="34">
        <f>IF(AND(DA$5&gt;$E22,DA$5&lt;=$F22),IF(DA$5=$E22+1,$C22,""),"")</f>
        <v/>
      </c>
      <c r="DB22" s="34">
        <f>IF(AND(DB$5&gt;$E22,DB$5&lt;=$F22),IF(DB$5=$E22+1,$C22,""),"")</f>
        <v/>
      </c>
      <c r="DC22" s="34">
        <f>IF(AND(DC$5&gt;$E22,DC$5&lt;=$F22),IF(DC$5=$E22+1,$C22,""),"")</f>
        <v/>
      </c>
      <c r="DD22" s="34">
        <f>IF(AND(DD$5&gt;$E22,DD$5&lt;=$F22),IF(DD$5=$E22+1,$C22,""),"")</f>
        <v/>
      </c>
      <c r="DE22" s="34">
        <f>IF(AND(DE$5&gt;$E22,DE$5&lt;=$F22),IF(DE$5=$E22+1,$C22,""),"")</f>
        <v/>
      </c>
      <c r="DF22" s="34">
        <f>IF(AND(DF$5&gt;$E22,DF$5&lt;=$F22),IF(DF$5=$E22+1,$C22,""),"")</f>
        <v/>
      </c>
      <c r="DG22" s="34">
        <f>IF(AND(DG$5&gt;$E22,DG$5&lt;=$F22),IF(DG$5=$E22+1,$C22,""),"")</f>
        <v/>
      </c>
      <c r="DH22" s="34">
        <f>IF(AND(DH$5&gt;$E22,DH$5&lt;=$F22),IF(DH$5=$E22+1,$C22,""),"")</f>
        <v/>
      </c>
      <c r="DI22" s="34">
        <f>IF(AND(DI$5&gt;$E22,DI$5&lt;=$F22),IF(DI$5=$E22+1,$C22,""),"")</f>
        <v/>
      </c>
      <c r="DJ22" s="34">
        <f>IF(AND(DJ$5&gt;$E22,DJ$5&lt;=$F22),IF(DJ$5=$E22+1,$C22,""),"")</f>
        <v/>
      </c>
      <c r="DK22" s="34">
        <f>IF(AND(DK$5&gt;$E22,DK$5&lt;=$F22),IF(DK$5=$E22+1,$C22,""),"")</f>
        <v/>
      </c>
      <c r="DL22" s="34">
        <f>IF(AND(DL$5&gt;$E22,DL$5&lt;=$F22),IF(DL$5=$E22+1,$C22,""),"")</f>
        <v/>
      </c>
      <c r="DM22" s="34">
        <f>IF(AND(DM$5&gt;$E22,DM$5&lt;=$F22),IF(DM$5=$E22+1,$C22,""),"")</f>
        <v/>
      </c>
      <c r="DN22" s="34">
        <f>IF(AND(DN$5&gt;$E22,DN$5&lt;=$F22),IF(DN$5=$E22+1,$C22,""),"")</f>
        <v/>
      </c>
      <c r="DO22" s="34">
        <f>IF(AND(DO$5&gt;$E22,DO$5&lt;=$F22),IF(DO$5=$E22+1,$C22,""),"")</f>
        <v/>
      </c>
      <c r="DP22" s="34">
        <f>IF(AND(DP$5&gt;$E22,DP$5&lt;=$F22),IF(DP$5=$E22+1,$C22,""),"")</f>
        <v/>
      </c>
      <c r="DQ22" s="34">
        <f>IF(AND(DQ$5&gt;$E22,DQ$5&lt;=$F22),IF(DQ$5=$E22+1,$C22,""),"")</f>
        <v/>
      </c>
      <c r="DR22" s="34">
        <f>IF(AND(DR$5&gt;$E22,DR$5&lt;=$F22),IF(DR$5=$E22+1,$C22,""),"")</f>
        <v/>
      </c>
      <c r="DS22" s="34">
        <f>IF(AND(DS$5&gt;$E22,DS$5&lt;=$F22),IF(DS$5=$E22+1,$C22,""),"")</f>
        <v/>
      </c>
      <c r="DT22" s="34">
        <f>IF(AND(DT$5&gt;$E22,DT$5&lt;=$F22),IF(DT$5=$E22+1,$C22,""),"")</f>
        <v/>
      </c>
      <c r="DU22" s="34">
        <f>IF(AND(DU$5&gt;$E22,DU$5&lt;=$F22),IF(DU$5=$E22+1,$C22,""),"")</f>
        <v/>
      </c>
      <c r="DV22" s="34">
        <f>IF(AND(DV$5&gt;$E22,DV$5&lt;=$F22),IF(DV$5=$E22+1,$C22,""),"")</f>
        <v/>
      </c>
      <c r="DW22" s="34">
        <f>IF(AND(DW$5&gt;$E22,DW$5&lt;=$F22),IF(DW$5=$E22+1,$C22,""),"")</f>
        <v/>
      </c>
      <c r="DX22" s="34">
        <f>IF(AND(DX$5&gt;$E22,DX$5&lt;=$F22),IF(DX$5=$E22+1,$C22,""),"")</f>
        <v/>
      </c>
      <c r="DY22" s="34">
        <f>IF(AND(DY$5&gt;$E22,DY$5&lt;=$F22),IF(DY$5=$E22+1,$C22,""),"")</f>
        <v/>
      </c>
      <c r="DZ22" s="34">
        <f>IF(AND(DZ$5&gt;$E22,DZ$5&lt;=$F22),IF(DZ$5=$E22+1,$C22,""),"")</f>
        <v/>
      </c>
      <c r="EA22" s="34">
        <f>IF(AND(EA$5&gt;$E22,EA$5&lt;=$F22),IF(EA$5=$E22+1,$C22,""),"")</f>
        <v/>
      </c>
      <c r="EB22" s="34">
        <f>IF(AND(EB$5&gt;$E22,EB$5&lt;=$F22),IF(EB$5=$E22+1,$C22,""),"")</f>
        <v/>
      </c>
      <c r="EC22" s="34">
        <f>IF(AND(EC$5&gt;$E22,EC$5&lt;=$F22),IF(EC$5=$E22+1,$C22,""),"")</f>
        <v/>
      </c>
      <c r="ED22" s="34">
        <f>IF(AND(ED$5&gt;$E22,ED$5&lt;=$F22),IF(ED$5=$E22+1,$C22,""),"")</f>
        <v/>
      </c>
      <c r="EE22" s="34">
        <f>IF(AND(EE$5&gt;$E22,EE$5&lt;=$F22),IF(EE$5=$E22+1,$C22,""),"")</f>
        <v/>
      </c>
      <c r="EF22" s="34">
        <f>IF(AND(EF$5&gt;$E22,EF$5&lt;=$F22),IF(EF$5=$E22+1,$C22,""),"")</f>
        <v/>
      </c>
      <c r="EG22" s="34">
        <f>IF(AND(EG$5&gt;$E22,EG$5&lt;=$F22),IF(EG$5=$E22+1,$C22,""),"")</f>
        <v/>
      </c>
      <c r="EH22" s="34">
        <f>IF(AND(EH$5&gt;$E22,EH$5&lt;=$F22),IF(EH$5=$E22+1,$C22,""),"")</f>
        <v/>
      </c>
      <c r="EI22" s="34">
        <f>IF(AND(EI$5&gt;$E22,EI$5&lt;=$F22),IF(EI$5=$E22+1,$C22,""),"")</f>
        <v/>
      </c>
      <c r="EJ22" s="34">
        <f>IF(AND(EJ$5&gt;$E22,EJ$5&lt;=$F22),IF(EJ$5=$E22+1,$C22,""),"")</f>
        <v/>
      </c>
      <c r="EK22" s="34">
        <f>IF(AND(EK$5&gt;$E22,EK$5&lt;=$F22),IF(EK$5=$E22+1,$C22,""),"")</f>
        <v/>
      </c>
      <c r="EL22" s="34">
        <f>IF(AND(EL$5&gt;$E22,EL$5&lt;=$F22),IF(EL$5=$E22+1,$C22,""),"")</f>
        <v/>
      </c>
      <c r="EM22" s="34">
        <f>IF(AND(EM$5&gt;$E22,EM$5&lt;=$F22),IF(EM$5=$E22+1,$C22,""),"")</f>
        <v/>
      </c>
      <c r="EN22" s="34">
        <f>IF(AND(EN$5&gt;$E22,EN$5&lt;=$F22),IF(EN$5=$E22+1,$C22,""),"")</f>
        <v/>
      </c>
      <c r="EO22" s="34">
        <f>IF(AND(EO$5&gt;$E22,EO$5&lt;=$F22),IF(EO$5=$E22+1,$C22,""),"")</f>
        <v/>
      </c>
      <c r="EP22" s="34">
        <f>IF(AND(EP$5&gt;$E22,EP$5&lt;=$F22),IF(EP$5=$E22+1,$C22,""),"")</f>
        <v/>
      </c>
      <c r="EQ22" s="34">
        <f>IF(AND(EQ$5&gt;$E22,EQ$5&lt;=$F22),IF(EQ$5=$E22+1,$C22,""),"")</f>
        <v/>
      </c>
      <c r="ER22" s="34">
        <f>IF(AND(ER$5&gt;$E22,ER$5&lt;=$F22),IF(ER$5=$E22+1,$C22,""),"")</f>
        <v/>
      </c>
      <c r="ES22" s="34">
        <f>IF(AND(ES$5&gt;$E22,ES$5&lt;=$F22),IF(ES$5=$E22+1,$C22,""),"")</f>
        <v/>
      </c>
      <c r="ET22" s="34">
        <f>IF(AND(ET$5&gt;$E22,ET$5&lt;=$F22),IF(ET$5=$E22+1,$C22,""),"")</f>
        <v/>
      </c>
      <c r="EU22" s="34">
        <f>IF(AND(EU$5&gt;$E22,EU$5&lt;=$F22),IF(EU$5=$E22+1,$C22,""),"")</f>
        <v/>
      </c>
      <c r="EV22" s="34">
        <f>IF(AND(EV$5&gt;$E22,EV$5&lt;=$F22),IF(EV$5=$E22+1,$C22,""),"")</f>
        <v/>
      </c>
      <c r="EW22" s="34">
        <f>IF(AND(EW$5&gt;$E22,EW$5&lt;=$F22),IF(EW$5=$E22+1,$C22,""),"")</f>
        <v/>
      </c>
      <c r="EX22" s="34">
        <f>IF(AND(EX$5&gt;$E22,EX$5&lt;=$F22),IF(EX$5=$E22+1,$C22,""),"")</f>
        <v/>
      </c>
      <c r="EY22" s="34">
        <f>IF(AND(EY$5&gt;$E22,EY$5&lt;=$F22),IF(EY$5=$E22+1,$C22,""),"")</f>
        <v/>
      </c>
      <c r="EZ22" s="34">
        <f>IF(AND(EZ$5&gt;$E22,EZ$5&lt;=$F22),IF(EZ$5=$E22+1,$C22,""),"")</f>
        <v/>
      </c>
      <c r="FA22" s="34">
        <f>IF(AND(FA$5&gt;$E22,FA$5&lt;=$F22),IF(FA$5=$E22+1,$C22,""),"")</f>
        <v/>
      </c>
    </row>
    <row r="23">
      <c r="A23" s="32">
        <f>Plan!A17</f>
        <v/>
      </c>
      <c r="B23" s="33">
        <f>Plan!C17</f>
        <v/>
      </c>
      <c r="C23" s="16">
        <f>Plan!D17</f>
        <v/>
      </c>
      <c r="D23" s="16">
        <f>Plan!I17</f>
        <v/>
      </c>
      <c r="E23" s="16">
        <f>Plan!K17</f>
        <v/>
      </c>
      <c r="F23" s="16">
        <f>Plan!L17</f>
        <v/>
      </c>
      <c r="G23" s="16">
        <f>Plan!O17</f>
        <v/>
      </c>
      <c r="H23" s="34">
        <f>IF(AND(H$5&gt;$E23,H$5&lt;=$F23),IF(H$5=$E23+1,$C23,""),"")</f>
        <v/>
      </c>
      <c r="I23" s="34">
        <f>IF(AND(I$5&gt;$E23,I$5&lt;=$F23),IF(I$5=$E23+1,$C23,""),"")</f>
        <v/>
      </c>
      <c r="J23" s="34">
        <f>IF(AND(J$5&gt;$E23,J$5&lt;=$F23),IF(J$5=$E23+1,$C23,""),"")</f>
        <v/>
      </c>
      <c r="K23" s="34">
        <f>IF(AND(K$5&gt;$E23,K$5&lt;=$F23),IF(K$5=$E23+1,$C23,""),"")</f>
        <v/>
      </c>
      <c r="L23" s="34">
        <f>IF(AND(L$5&gt;$E23,L$5&lt;=$F23),IF(L$5=$E23+1,$C23,""),"")</f>
        <v/>
      </c>
      <c r="M23" s="34">
        <f>IF(AND(M$5&gt;$E23,M$5&lt;=$F23),IF(M$5=$E23+1,$C23,""),"")</f>
        <v/>
      </c>
      <c r="N23" s="34">
        <f>IF(AND(N$5&gt;$E23,N$5&lt;=$F23),IF(N$5=$E23+1,$C23,""),"")</f>
        <v/>
      </c>
      <c r="O23" s="34">
        <f>IF(AND(O$5&gt;$E23,O$5&lt;=$F23),IF(O$5=$E23+1,$C23,""),"")</f>
        <v/>
      </c>
      <c r="P23" s="34">
        <f>IF(AND(P$5&gt;$E23,P$5&lt;=$F23),IF(P$5=$E23+1,$C23,""),"")</f>
        <v/>
      </c>
      <c r="Q23" s="34">
        <f>IF(AND(Q$5&gt;$E23,Q$5&lt;=$F23),IF(Q$5=$E23+1,$C23,""),"")</f>
        <v/>
      </c>
      <c r="R23" s="34">
        <f>IF(AND(R$5&gt;$E23,R$5&lt;=$F23),IF(R$5=$E23+1,$C23,""),"")</f>
        <v/>
      </c>
      <c r="S23" s="34">
        <f>IF(AND(S$5&gt;$E23,S$5&lt;=$F23),IF(S$5=$E23+1,$C23,""),"")</f>
        <v/>
      </c>
      <c r="T23" s="34">
        <f>IF(AND(T$5&gt;$E23,T$5&lt;=$F23),IF(T$5=$E23+1,$C23,""),"")</f>
        <v/>
      </c>
      <c r="U23" s="34">
        <f>IF(AND(U$5&gt;$E23,U$5&lt;=$F23),IF(U$5=$E23+1,$C23,""),"")</f>
        <v/>
      </c>
      <c r="V23" s="34">
        <f>IF(AND(V$5&gt;$E23,V$5&lt;=$F23),IF(V$5=$E23+1,$C23,""),"")</f>
        <v/>
      </c>
      <c r="W23" s="34">
        <f>IF(AND(W$5&gt;$E23,W$5&lt;=$F23),IF(W$5=$E23+1,$C23,""),"")</f>
        <v/>
      </c>
      <c r="X23" s="34">
        <f>IF(AND(X$5&gt;$E23,X$5&lt;=$F23),IF(X$5=$E23+1,$C23,""),"")</f>
        <v/>
      </c>
      <c r="Y23" s="34">
        <f>IF(AND(Y$5&gt;$E23,Y$5&lt;=$F23),IF(Y$5=$E23+1,$C23,""),"")</f>
        <v/>
      </c>
      <c r="Z23" s="34">
        <f>IF(AND(Z$5&gt;$E23,Z$5&lt;=$F23),IF(Z$5=$E23+1,$C23,""),"")</f>
        <v/>
      </c>
      <c r="AA23" s="34">
        <f>IF(AND(AA$5&gt;$E23,AA$5&lt;=$F23),IF(AA$5=$E23+1,$C23,""),"")</f>
        <v/>
      </c>
      <c r="AB23" s="34">
        <f>IF(AND(AB$5&gt;$E23,AB$5&lt;=$F23),IF(AB$5=$E23+1,$C23,""),"")</f>
        <v/>
      </c>
      <c r="AC23" s="34">
        <f>IF(AND(AC$5&gt;$E23,AC$5&lt;=$F23),IF(AC$5=$E23+1,$C23,""),"")</f>
        <v/>
      </c>
      <c r="AD23" s="34">
        <f>IF(AND(AD$5&gt;$E23,AD$5&lt;=$F23),IF(AD$5=$E23+1,$C23,""),"")</f>
        <v/>
      </c>
      <c r="AE23" s="34">
        <f>IF(AND(AE$5&gt;$E23,AE$5&lt;=$F23),IF(AE$5=$E23+1,$C23,""),"")</f>
        <v/>
      </c>
      <c r="AF23" s="34">
        <f>IF(AND(AF$5&gt;$E23,AF$5&lt;=$F23),IF(AF$5=$E23+1,$C23,""),"")</f>
        <v/>
      </c>
      <c r="AG23" s="34">
        <f>IF(AND(AG$5&gt;$E23,AG$5&lt;=$F23),IF(AG$5=$E23+1,$C23,""),"")</f>
        <v/>
      </c>
      <c r="AH23" s="34">
        <f>IF(AND(AH$5&gt;$E23,AH$5&lt;=$F23),IF(AH$5=$E23+1,$C23,""),"")</f>
        <v/>
      </c>
      <c r="AI23" s="34">
        <f>IF(AND(AI$5&gt;$E23,AI$5&lt;=$F23),IF(AI$5=$E23+1,$C23,""),"")</f>
        <v/>
      </c>
      <c r="AJ23" s="34">
        <f>IF(AND(AJ$5&gt;$E23,AJ$5&lt;=$F23),IF(AJ$5=$E23+1,$C23,""),"")</f>
        <v/>
      </c>
      <c r="AK23" s="34">
        <f>IF(AND(AK$5&gt;$E23,AK$5&lt;=$F23),IF(AK$5=$E23+1,$C23,""),"")</f>
        <v/>
      </c>
      <c r="AL23" s="34">
        <f>IF(AND(AL$5&gt;$E23,AL$5&lt;=$F23),IF(AL$5=$E23+1,$C23,""),"")</f>
        <v/>
      </c>
      <c r="AM23" s="34">
        <f>IF(AND(AM$5&gt;$E23,AM$5&lt;=$F23),IF(AM$5=$E23+1,$C23,""),"")</f>
        <v/>
      </c>
      <c r="AN23" s="34">
        <f>IF(AND(AN$5&gt;$E23,AN$5&lt;=$F23),IF(AN$5=$E23+1,$C23,""),"")</f>
        <v/>
      </c>
      <c r="AO23" s="34">
        <f>IF(AND(AO$5&gt;$E23,AO$5&lt;=$F23),IF(AO$5=$E23+1,$C23,""),"")</f>
        <v/>
      </c>
      <c r="AP23" s="34">
        <f>IF(AND(AP$5&gt;$E23,AP$5&lt;=$F23),IF(AP$5=$E23+1,$C23,""),"")</f>
        <v/>
      </c>
      <c r="AQ23" s="34">
        <f>IF(AND(AQ$5&gt;$E23,AQ$5&lt;=$F23),IF(AQ$5=$E23+1,$C23,""),"")</f>
        <v/>
      </c>
      <c r="AR23" s="34">
        <f>IF(AND(AR$5&gt;$E23,AR$5&lt;=$F23),IF(AR$5=$E23+1,$C23,""),"")</f>
        <v/>
      </c>
      <c r="AS23" s="34">
        <f>IF(AND(AS$5&gt;$E23,AS$5&lt;=$F23),IF(AS$5=$E23+1,$C23,""),"")</f>
        <v/>
      </c>
      <c r="AT23" s="34">
        <f>IF(AND(AT$5&gt;$E23,AT$5&lt;=$F23),IF(AT$5=$E23+1,$C23,""),"")</f>
        <v/>
      </c>
      <c r="AU23" s="34">
        <f>IF(AND(AU$5&gt;$E23,AU$5&lt;=$F23),IF(AU$5=$E23+1,$C23,""),"")</f>
        <v/>
      </c>
      <c r="AV23" s="34">
        <f>IF(AND(AV$5&gt;$E23,AV$5&lt;=$F23),IF(AV$5=$E23+1,$C23,""),"")</f>
        <v/>
      </c>
      <c r="AW23" s="34">
        <f>IF(AND(AW$5&gt;$E23,AW$5&lt;=$F23),IF(AW$5=$E23+1,$C23,""),"")</f>
        <v/>
      </c>
      <c r="AX23" s="34">
        <f>IF(AND(AX$5&gt;$E23,AX$5&lt;=$F23),IF(AX$5=$E23+1,$C23,""),"")</f>
        <v/>
      </c>
      <c r="AY23" s="34">
        <f>IF(AND(AY$5&gt;$E23,AY$5&lt;=$F23),IF(AY$5=$E23+1,$C23,""),"")</f>
        <v/>
      </c>
      <c r="AZ23" s="34">
        <f>IF(AND(AZ$5&gt;$E23,AZ$5&lt;=$F23),IF(AZ$5=$E23+1,$C23,""),"")</f>
        <v/>
      </c>
      <c r="BA23" s="34">
        <f>IF(AND(BA$5&gt;$E23,BA$5&lt;=$F23),IF(BA$5=$E23+1,$C23,""),"")</f>
        <v/>
      </c>
      <c r="BB23" s="34">
        <f>IF(AND(BB$5&gt;$E23,BB$5&lt;=$F23),IF(BB$5=$E23+1,$C23,""),"")</f>
        <v/>
      </c>
      <c r="BC23" s="34">
        <f>IF(AND(BC$5&gt;$E23,BC$5&lt;=$F23),IF(BC$5=$E23+1,$C23,""),"")</f>
        <v/>
      </c>
      <c r="BD23" s="34">
        <f>IF(AND(BD$5&gt;$E23,BD$5&lt;=$F23),IF(BD$5=$E23+1,$C23,""),"")</f>
        <v/>
      </c>
      <c r="BE23" s="34">
        <f>IF(AND(BE$5&gt;$E23,BE$5&lt;=$F23),IF(BE$5=$E23+1,$C23,""),"")</f>
        <v/>
      </c>
      <c r="BF23" s="34">
        <f>IF(AND(BF$5&gt;$E23,BF$5&lt;=$F23),IF(BF$5=$E23+1,$C23,""),"")</f>
        <v/>
      </c>
      <c r="BG23" s="34">
        <f>IF(AND(BG$5&gt;$E23,BG$5&lt;=$F23),IF(BG$5=$E23+1,$C23,""),"")</f>
        <v/>
      </c>
      <c r="BH23" s="34">
        <f>IF(AND(BH$5&gt;$E23,BH$5&lt;=$F23),IF(BH$5=$E23+1,$C23,""),"")</f>
        <v/>
      </c>
      <c r="BI23" s="34">
        <f>IF(AND(BI$5&gt;$E23,BI$5&lt;=$F23),IF(BI$5=$E23+1,$C23,""),"")</f>
        <v/>
      </c>
      <c r="BJ23" s="34">
        <f>IF(AND(BJ$5&gt;$E23,BJ$5&lt;=$F23),IF(BJ$5=$E23+1,$C23,""),"")</f>
        <v/>
      </c>
      <c r="BK23" s="34">
        <f>IF(AND(BK$5&gt;$E23,BK$5&lt;=$F23),IF(BK$5=$E23+1,$C23,""),"")</f>
        <v/>
      </c>
      <c r="BL23" s="34">
        <f>IF(AND(BL$5&gt;$E23,BL$5&lt;=$F23),IF(BL$5=$E23+1,$C23,""),"")</f>
        <v/>
      </c>
      <c r="BM23" s="34">
        <f>IF(AND(BM$5&gt;$E23,BM$5&lt;=$F23),IF(BM$5=$E23+1,$C23,""),"")</f>
        <v/>
      </c>
      <c r="BN23" s="34">
        <f>IF(AND(BN$5&gt;$E23,BN$5&lt;=$F23),IF(BN$5=$E23+1,$C23,""),"")</f>
        <v/>
      </c>
      <c r="BO23" s="34">
        <f>IF(AND(BO$5&gt;$E23,BO$5&lt;=$F23),IF(BO$5=$E23+1,$C23,""),"")</f>
        <v/>
      </c>
      <c r="BP23" s="34">
        <f>IF(AND(BP$5&gt;$E23,BP$5&lt;=$F23),IF(BP$5=$E23+1,$C23,""),"")</f>
        <v/>
      </c>
      <c r="BQ23" s="34">
        <f>IF(AND(BQ$5&gt;$E23,BQ$5&lt;=$F23),IF(BQ$5=$E23+1,$C23,""),"")</f>
        <v/>
      </c>
      <c r="BR23" s="34">
        <f>IF(AND(BR$5&gt;$E23,BR$5&lt;=$F23),IF(BR$5=$E23+1,$C23,""),"")</f>
        <v/>
      </c>
      <c r="BS23" s="34">
        <f>IF(AND(BS$5&gt;$E23,BS$5&lt;=$F23),IF(BS$5=$E23+1,$C23,""),"")</f>
        <v/>
      </c>
      <c r="BT23" s="34">
        <f>IF(AND(BT$5&gt;$E23,BT$5&lt;=$F23),IF(BT$5=$E23+1,$C23,""),"")</f>
        <v/>
      </c>
      <c r="BU23" s="34">
        <f>IF(AND(BU$5&gt;$E23,BU$5&lt;=$F23),IF(BU$5=$E23+1,$C23,""),"")</f>
        <v/>
      </c>
      <c r="BV23" s="34">
        <f>IF(AND(BV$5&gt;$E23,BV$5&lt;=$F23),IF(BV$5=$E23+1,$C23,""),"")</f>
        <v/>
      </c>
      <c r="BW23" s="34">
        <f>IF(AND(BW$5&gt;$E23,BW$5&lt;=$F23),IF(BW$5=$E23+1,$C23,""),"")</f>
        <v/>
      </c>
      <c r="BX23" s="34">
        <f>IF(AND(BX$5&gt;$E23,BX$5&lt;=$F23),IF(BX$5=$E23+1,$C23,""),"")</f>
        <v/>
      </c>
      <c r="BY23" s="34">
        <f>IF(AND(BY$5&gt;$E23,BY$5&lt;=$F23),IF(BY$5=$E23+1,$C23,""),"")</f>
        <v/>
      </c>
      <c r="BZ23" s="34">
        <f>IF(AND(BZ$5&gt;$E23,BZ$5&lt;=$F23),IF(BZ$5=$E23+1,$C23,""),"")</f>
        <v/>
      </c>
      <c r="CA23" s="34">
        <f>IF(AND(CA$5&gt;$E23,CA$5&lt;=$F23),IF(CA$5=$E23+1,$C23,""),"")</f>
        <v/>
      </c>
      <c r="CB23" s="34">
        <f>IF(AND(CB$5&gt;$E23,CB$5&lt;=$F23),IF(CB$5=$E23+1,$C23,""),"")</f>
        <v/>
      </c>
      <c r="CC23" s="34">
        <f>IF(AND(CC$5&gt;$E23,CC$5&lt;=$F23),IF(CC$5=$E23+1,$C23,""),"")</f>
        <v/>
      </c>
      <c r="CD23" s="34">
        <f>IF(AND(CD$5&gt;$E23,CD$5&lt;=$F23),IF(CD$5=$E23+1,$C23,""),"")</f>
        <v/>
      </c>
      <c r="CE23" s="34">
        <f>IF(AND(CE$5&gt;$E23,CE$5&lt;=$F23),IF(CE$5=$E23+1,$C23,""),"")</f>
        <v/>
      </c>
      <c r="CF23" s="34">
        <f>IF(AND(CF$5&gt;$E23,CF$5&lt;=$F23),IF(CF$5=$E23+1,$C23,""),"")</f>
        <v/>
      </c>
      <c r="CG23" s="34">
        <f>IF(AND(CG$5&gt;$E23,CG$5&lt;=$F23),IF(CG$5=$E23+1,$C23,""),"")</f>
        <v/>
      </c>
      <c r="CH23" s="34">
        <f>IF(AND(CH$5&gt;$E23,CH$5&lt;=$F23),IF(CH$5=$E23+1,$C23,""),"")</f>
        <v/>
      </c>
      <c r="CI23" s="34">
        <f>IF(AND(CI$5&gt;$E23,CI$5&lt;=$F23),IF(CI$5=$E23+1,$C23,""),"")</f>
        <v/>
      </c>
      <c r="CJ23" s="34">
        <f>IF(AND(CJ$5&gt;$E23,CJ$5&lt;=$F23),IF(CJ$5=$E23+1,$C23,""),"")</f>
        <v/>
      </c>
      <c r="CK23" s="34">
        <f>IF(AND(CK$5&gt;$E23,CK$5&lt;=$F23),IF(CK$5=$E23+1,$C23,""),"")</f>
        <v/>
      </c>
      <c r="CL23" s="34">
        <f>IF(AND(CL$5&gt;$E23,CL$5&lt;=$F23),IF(CL$5=$E23+1,$C23,""),"")</f>
        <v/>
      </c>
      <c r="CM23" s="34">
        <f>IF(AND(CM$5&gt;$E23,CM$5&lt;=$F23),IF(CM$5=$E23+1,$C23,""),"")</f>
        <v/>
      </c>
      <c r="CN23" s="34">
        <f>IF(AND(CN$5&gt;$E23,CN$5&lt;=$F23),IF(CN$5=$E23+1,$C23,""),"")</f>
        <v/>
      </c>
      <c r="CO23" s="34">
        <f>IF(AND(CO$5&gt;$E23,CO$5&lt;=$F23),IF(CO$5=$E23+1,$C23,""),"")</f>
        <v/>
      </c>
      <c r="CP23" s="34">
        <f>IF(AND(CP$5&gt;$E23,CP$5&lt;=$F23),IF(CP$5=$E23+1,$C23,""),"")</f>
        <v/>
      </c>
      <c r="CQ23" s="34">
        <f>IF(AND(CQ$5&gt;$E23,CQ$5&lt;=$F23),IF(CQ$5=$E23+1,$C23,""),"")</f>
        <v/>
      </c>
      <c r="CR23" s="34">
        <f>IF(AND(CR$5&gt;$E23,CR$5&lt;=$F23),IF(CR$5=$E23+1,$C23,""),"")</f>
        <v/>
      </c>
      <c r="CS23" s="34">
        <f>IF(AND(CS$5&gt;$E23,CS$5&lt;=$F23),IF(CS$5=$E23+1,$C23,""),"")</f>
        <v/>
      </c>
      <c r="CT23" s="34">
        <f>IF(AND(CT$5&gt;$E23,CT$5&lt;=$F23),IF(CT$5=$E23+1,$C23,""),"")</f>
        <v/>
      </c>
      <c r="CU23" s="34">
        <f>IF(AND(CU$5&gt;$E23,CU$5&lt;=$F23),IF(CU$5=$E23+1,$C23,""),"")</f>
        <v/>
      </c>
      <c r="CV23" s="34">
        <f>IF(AND(CV$5&gt;$E23,CV$5&lt;=$F23),IF(CV$5=$E23+1,$C23,""),"")</f>
        <v/>
      </c>
      <c r="CW23" s="34">
        <f>IF(AND(CW$5&gt;$E23,CW$5&lt;=$F23),IF(CW$5=$E23+1,$C23,""),"")</f>
        <v/>
      </c>
      <c r="CX23" s="34">
        <f>IF(AND(CX$5&gt;$E23,CX$5&lt;=$F23),IF(CX$5=$E23+1,$C23,""),"")</f>
        <v/>
      </c>
      <c r="CY23" s="34">
        <f>IF(AND(CY$5&gt;$E23,CY$5&lt;=$F23),IF(CY$5=$E23+1,$C23,""),"")</f>
        <v/>
      </c>
      <c r="CZ23" s="34">
        <f>IF(AND(CZ$5&gt;$E23,CZ$5&lt;=$F23),IF(CZ$5=$E23+1,$C23,""),"")</f>
        <v/>
      </c>
      <c r="DA23" s="34">
        <f>IF(AND(DA$5&gt;$E23,DA$5&lt;=$F23),IF(DA$5=$E23+1,$C23,""),"")</f>
        <v/>
      </c>
      <c r="DB23" s="34">
        <f>IF(AND(DB$5&gt;$E23,DB$5&lt;=$F23),IF(DB$5=$E23+1,$C23,""),"")</f>
        <v/>
      </c>
      <c r="DC23" s="34">
        <f>IF(AND(DC$5&gt;$E23,DC$5&lt;=$F23),IF(DC$5=$E23+1,$C23,""),"")</f>
        <v/>
      </c>
      <c r="DD23" s="34">
        <f>IF(AND(DD$5&gt;$E23,DD$5&lt;=$F23),IF(DD$5=$E23+1,$C23,""),"")</f>
        <v/>
      </c>
      <c r="DE23" s="34">
        <f>IF(AND(DE$5&gt;$E23,DE$5&lt;=$F23),IF(DE$5=$E23+1,$C23,""),"")</f>
        <v/>
      </c>
      <c r="DF23" s="34">
        <f>IF(AND(DF$5&gt;$E23,DF$5&lt;=$F23),IF(DF$5=$E23+1,$C23,""),"")</f>
        <v/>
      </c>
      <c r="DG23" s="34">
        <f>IF(AND(DG$5&gt;$E23,DG$5&lt;=$F23),IF(DG$5=$E23+1,$C23,""),"")</f>
        <v/>
      </c>
      <c r="DH23" s="34">
        <f>IF(AND(DH$5&gt;$E23,DH$5&lt;=$F23),IF(DH$5=$E23+1,$C23,""),"")</f>
        <v/>
      </c>
      <c r="DI23" s="34">
        <f>IF(AND(DI$5&gt;$E23,DI$5&lt;=$F23),IF(DI$5=$E23+1,$C23,""),"")</f>
        <v/>
      </c>
      <c r="DJ23" s="34">
        <f>IF(AND(DJ$5&gt;$E23,DJ$5&lt;=$F23),IF(DJ$5=$E23+1,$C23,""),"")</f>
        <v/>
      </c>
      <c r="DK23" s="34">
        <f>IF(AND(DK$5&gt;$E23,DK$5&lt;=$F23),IF(DK$5=$E23+1,$C23,""),"")</f>
        <v/>
      </c>
      <c r="DL23" s="34">
        <f>IF(AND(DL$5&gt;$E23,DL$5&lt;=$F23),IF(DL$5=$E23+1,$C23,""),"")</f>
        <v/>
      </c>
      <c r="DM23" s="34">
        <f>IF(AND(DM$5&gt;$E23,DM$5&lt;=$F23),IF(DM$5=$E23+1,$C23,""),"")</f>
        <v/>
      </c>
      <c r="DN23" s="34">
        <f>IF(AND(DN$5&gt;$E23,DN$5&lt;=$F23),IF(DN$5=$E23+1,$C23,""),"")</f>
        <v/>
      </c>
      <c r="DO23" s="34">
        <f>IF(AND(DO$5&gt;$E23,DO$5&lt;=$F23),IF(DO$5=$E23+1,$C23,""),"")</f>
        <v/>
      </c>
      <c r="DP23" s="34">
        <f>IF(AND(DP$5&gt;$E23,DP$5&lt;=$F23),IF(DP$5=$E23+1,$C23,""),"")</f>
        <v/>
      </c>
      <c r="DQ23" s="34">
        <f>IF(AND(DQ$5&gt;$E23,DQ$5&lt;=$F23),IF(DQ$5=$E23+1,$C23,""),"")</f>
        <v/>
      </c>
      <c r="DR23" s="34">
        <f>IF(AND(DR$5&gt;$E23,DR$5&lt;=$F23),IF(DR$5=$E23+1,$C23,""),"")</f>
        <v/>
      </c>
      <c r="DS23" s="34">
        <f>IF(AND(DS$5&gt;$E23,DS$5&lt;=$F23),IF(DS$5=$E23+1,$C23,""),"")</f>
        <v/>
      </c>
      <c r="DT23" s="34">
        <f>IF(AND(DT$5&gt;$E23,DT$5&lt;=$F23),IF(DT$5=$E23+1,$C23,""),"")</f>
        <v/>
      </c>
      <c r="DU23" s="34">
        <f>IF(AND(DU$5&gt;$E23,DU$5&lt;=$F23),IF(DU$5=$E23+1,$C23,""),"")</f>
        <v/>
      </c>
      <c r="DV23" s="34">
        <f>IF(AND(DV$5&gt;$E23,DV$5&lt;=$F23),IF(DV$5=$E23+1,$C23,""),"")</f>
        <v/>
      </c>
      <c r="DW23" s="34">
        <f>IF(AND(DW$5&gt;$E23,DW$5&lt;=$F23),IF(DW$5=$E23+1,$C23,""),"")</f>
        <v/>
      </c>
      <c r="DX23" s="34">
        <f>IF(AND(DX$5&gt;$E23,DX$5&lt;=$F23),IF(DX$5=$E23+1,$C23,""),"")</f>
        <v/>
      </c>
      <c r="DY23" s="34">
        <f>IF(AND(DY$5&gt;$E23,DY$5&lt;=$F23),IF(DY$5=$E23+1,$C23,""),"")</f>
        <v/>
      </c>
      <c r="DZ23" s="34">
        <f>IF(AND(DZ$5&gt;$E23,DZ$5&lt;=$F23),IF(DZ$5=$E23+1,$C23,""),"")</f>
        <v/>
      </c>
      <c r="EA23" s="34">
        <f>IF(AND(EA$5&gt;$E23,EA$5&lt;=$F23),IF(EA$5=$E23+1,$C23,""),"")</f>
        <v/>
      </c>
      <c r="EB23" s="34">
        <f>IF(AND(EB$5&gt;$E23,EB$5&lt;=$F23),IF(EB$5=$E23+1,$C23,""),"")</f>
        <v/>
      </c>
      <c r="EC23" s="34">
        <f>IF(AND(EC$5&gt;$E23,EC$5&lt;=$F23),IF(EC$5=$E23+1,$C23,""),"")</f>
        <v/>
      </c>
      <c r="ED23" s="34">
        <f>IF(AND(ED$5&gt;$E23,ED$5&lt;=$F23),IF(ED$5=$E23+1,$C23,""),"")</f>
        <v/>
      </c>
      <c r="EE23" s="34">
        <f>IF(AND(EE$5&gt;$E23,EE$5&lt;=$F23),IF(EE$5=$E23+1,$C23,""),"")</f>
        <v/>
      </c>
      <c r="EF23" s="34">
        <f>IF(AND(EF$5&gt;$E23,EF$5&lt;=$F23),IF(EF$5=$E23+1,$C23,""),"")</f>
        <v/>
      </c>
      <c r="EG23" s="34">
        <f>IF(AND(EG$5&gt;$E23,EG$5&lt;=$F23),IF(EG$5=$E23+1,$C23,""),"")</f>
        <v/>
      </c>
      <c r="EH23" s="34">
        <f>IF(AND(EH$5&gt;$E23,EH$5&lt;=$F23),IF(EH$5=$E23+1,$C23,""),"")</f>
        <v/>
      </c>
      <c r="EI23" s="34">
        <f>IF(AND(EI$5&gt;$E23,EI$5&lt;=$F23),IF(EI$5=$E23+1,$C23,""),"")</f>
        <v/>
      </c>
      <c r="EJ23" s="34">
        <f>IF(AND(EJ$5&gt;$E23,EJ$5&lt;=$F23),IF(EJ$5=$E23+1,$C23,""),"")</f>
        <v/>
      </c>
      <c r="EK23" s="34">
        <f>IF(AND(EK$5&gt;$E23,EK$5&lt;=$F23),IF(EK$5=$E23+1,$C23,""),"")</f>
        <v/>
      </c>
      <c r="EL23" s="34">
        <f>IF(AND(EL$5&gt;$E23,EL$5&lt;=$F23),IF(EL$5=$E23+1,$C23,""),"")</f>
        <v/>
      </c>
      <c r="EM23" s="34">
        <f>IF(AND(EM$5&gt;$E23,EM$5&lt;=$F23),IF(EM$5=$E23+1,$C23,""),"")</f>
        <v/>
      </c>
      <c r="EN23" s="34">
        <f>IF(AND(EN$5&gt;$E23,EN$5&lt;=$F23),IF(EN$5=$E23+1,$C23,""),"")</f>
        <v/>
      </c>
      <c r="EO23" s="34">
        <f>IF(AND(EO$5&gt;$E23,EO$5&lt;=$F23),IF(EO$5=$E23+1,$C23,""),"")</f>
        <v/>
      </c>
      <c r="EP23" s="34">
        <f>IF(AND(EP$5&gt;$E23,EP$5&lt;=$F23),IF(EP$5=$E23+1,$C23,""),"")</f>
        <v/>
      </c>
      <c r="EQ23" s="34">
        <f>IF(AND(EQ$5&gt;$E23,EQ$5&lt;=$F23),IF(EQ$5=$E23+1,$C23,""),"")</f>
        <v/>
      </c>
      <c r="ER23" s="34">
        <f>IF(AND(ER$5&gt;$E23,ER$5&lt;=$F23),IF(ER$5=$E23+1,$C23,""),"")</f>
        <v/>
      </c>
      <c r="ES23" s="34">
        <f>IF(AND(ES$5&gt;$E23,ES$5&lt;=$F23),IF(ES$5=$E23+1,$C23,""),"")</f>
        <v/>
      </c>
      <c r="ET23" s="34">
        <f>IF(AND(ET$5&gt;$E23,ET$5&lt;=$F23),IF(ET$5=$E23+1,$C23,""),"")</f>
        <v/>
      </c>
      <c r="EU23" s="34">
        <f>IF(AND(EU$5&gt;$E23,EU$5&lt;=$F23),IF(EU$5=$E23+1,$C23,""),"")</f>
        <v/>
      </c>
      <c r="EV23" s="34">
        <f>IF(AND(EV$5&gt;$E23,EV$5&lt;=$F23),IF(EV$5=$E23+1,$C23,""),"")</f>
        <v/>
      </c>
      <c r="EW23" s="34">
        <f>IF(AND(EW$5&gt;$E23,EW$5&lt;=$F23),IF(EW$5=$E23+1,$C23,""),"")</f>
        <v/>
      </c>
      <c r="EX23" s="34">
        <f>IF(AND(EX$5&gt;$E23,EX$5&lt;=$F23),IF(EX$5=$E23+1,$C23,""),"")</f>
        <v/>
      </c>
      <c r="EY23" s="34">
        <f>IF(AND(EY$5&gt;$E23,EY$5&lt;=$F23),IF(EY$5=$E23+1,$C23,""),"")</f>
        <v/>
      </c>
      <c r="EZ23" s="34">
        <f>IF(AND(EZ$5&gt;$E23,EZ$5&lt;=$F23),IF(EZ$5=$E23+1,$C23,""),"")</f>
        <v/>
      </c>
      <c r="FA23" s="34">
        <f>IF(AND(FA$5&gt;$E23,FA$5&lt;=$F23),IF(FA$5=$E23+1,$C23,""),"")</f>
        <v/>
      </c>
    </row>
    <row r="24">
      <c r="A24" s="32">
        <f>Plan!A18</f>
        <v/>
      </c>
      <c r="B24" s="33">
        <f>Plan!C18</f>
        <v/>
      </c>
      <c r="C24" s="16">
        <f>Plan!D18</f>
        <v/>
      </c>
      <c r="D24" s="16">
        <f>Plan!I18</f>
        <v/>
      </c>
      <c r="E24" s="16">
        <f>Plan!K18</f>
        <v/>
      </c>
      <c r="F24" s="16">
        <f>Plan!L18</f>
        <v/>
      </c>
      <c r="G24" s="16">
        <f>Plan!O18</f>
        <v/>
      </c>
      <c r="H24" s="34">
        <f>IF(AND(H$5&gt;$E24,H$5&lt;=$F24),IF(H$5=$E24+1,$C24,""),"")</f>
        <v/>
      </c>
      <c r="I24" s="34">
        <f>IF(AND(I$5&gt;$E24,I$5&lt;=$F24),IF(I$5=$E24+1,$C24,""),"")</f>
        <v/>
      </c>
      <c r="J24" s="34">
        <f>IF(AND(J$5&gt;$E24,J$5&lt;=$F24),IF(J$5=$E24+1,$C24,""),"")</f>
        <v/>
      </c>
      <c r="K24" s="34">
        <f>IF(AND(K$5&gt;$E24,K$5&lt;=$F24),IF(K$5=$E24+1,$C24,""),"")</f>
        <v/>
      </c>
      <c r="L24" s="34">
        <f>IF(AND(L$5&gt;$E24,L$5&lt;=$F24),IF(L$5=$E24+1,$C24,""),"")</f>
        <v/>
      </c>
      <c r="M24" s="34">
        <f>IF(AND(M$5&gt;$E24,M$5&lt;=$F24),IF(M$5=$E24+1,$C24,""),"")</f>
        <v/>
      </c>
      <c r="N24" s="34">
        <f>IF(AND(N$5&gt;$E24,N$5&lt;=$F24),IF(N$5=$E24+1,$C24,""),"")</f>
        <v/>
      </c>
      <c r="O24" s="34">
        <f>IF(AND(O$5&gt;$E24,O$5&lt;=$F24),IF(O$5=$E24+1,$C24,""),"")</f>
        <v/>
      </c>
      <c r="P24" s="34">
        <f>IF(AND(P$5&gt;$E24,P$5&lt;=$F24),IF(P$5=$E24+1,$C24,""),"")</f>
        <v/>
      </c>
      <c r="Q24" s="34">
        <f>IF(AND(Q$5&gt;$E24,Q$5&lt;=$F24),IF(Q$5=$E24+1,$C24,""),"")</f>
        <v/>
      </c>
      <c r="R24" s="34">
        <f>IF(AND(R$5&gt;$E24,R$5&lt;=$F24),IF(R$5=$E24+1,$C24,""),"")</f>
        <v/>
      </c>
      <c r="S24" s="34">
        <f>IF(AND(S$5&gt;$E24,S$5&lt;=$F24),IF(S$5=$E24+1,$C24,""),"")</f>
        <v/>
      </c>
      <c r="T24" s="34">
        <f>IF(AND(T$5&gt;$E24,T$5&lt;=$F24),IF(T$5=$E24+1,$C24,""),"")</f>
        <v/>
      </c>
      <c r="U24" s="34">
        <f>IF(AND(U$5&gt;$E24,U$5&lt;=$F24),IF(U$5=$E24+1,$C24,""),"")</f>
        <v/>
      </c>
      <c r="V24" s="34">
        <f>IF(AND(V$5&gt;$E24,V$5&lt;=$F24),IF(V$5=$E24+1,$C24,""),"")</f>
        <v/>
      </c>
      <c r="W24" s="34">
        <f>IF(AND(W$5&gt;$E24,W$5&lt;=$F24),IF(W$5=$E24+1,$C24,""),"")</f>
        <v/>
      </c>
      <c r="X24" s="34">
        <f>IF(AND(X$5&gt;$E24,X$5&lt;=$F24),IF(X$5=$E24+1,$C24,""),"")</f>
        <v/>
      </c>
      <c r="Y24" s="34">
        <f>IF(AND(Y$5&gt;$E24,Y$5&lt;=$F24),IF(Y$5=$E24+1,$C24,""),"")</f>
        <v/>
      </c>
      <c r="Z24" s="34">
        <f>IF(AND(Z$5&gt;$E24,Z$5&lt;=$F24),IF(Z$5=$E24+1,$C24,""),"")</f>
        <v/>
      </c>
      <c r="AA24" s="34">
        <f>IF(AND(AA$5&gt;$E24,AA$5&lt;=$F24),IF(AA$5=$E24+1,$C24,""),"")</f>
        <v/>
      </c>
      <c r="AB24" s="34">
        <f>IF(AND(AB$5&gt;$E24,AB$5&lt;=$F24),IF(AB$5=$E24+1,$C24,""),"")</f>
        <v/>
      </c>
      <c r="AC24" s="34">
        <f>IF(AND(AC$5&gt;$E24,AC$5&lt;=$F24),IF(AC$5=$E24+1,$C24,""),"")</f>
        <v/>
      </c>
      <c r="AD24" s="34">
        <f>IF(AND(AD$5&gt;$E24,AD$5&lt;=$F24),IF(AD$5=$E24+1,$C24,""),"")</f>
        <v/>
      </c>
      <c r="AE24" s="34">
        <f>IF(AND(AE$5&gt;$E24,AE$5&lt;=$F24),IF(AE$5=$E24+1,$C24,""),"")</f>
        <v/>
      </c>
      <c r="AF24" s="34">
        <f>IF(AND(AF$5&gt;$E24,AF$5&lt;=$F24),IF(AF$5=$E24+1,$C24,""),"")</f>
        <v/>
      </c>
      <c r="AG24" s="34">
        <f>IF(AND(AG$5&gt;$E24,AG$5&lt;=$F24),IF(AG$5=$E24+1,$C24,""),"")</f>
        <v/>
      </c>
      <c r="AH24" s="34">
        <f>IF(AND(AH$5&gt;$E24,AH$5&lt;=$F24),IF(AH$5=$E24+1,$C24,""),"")</f>
        <v/>
      </c>
      <c r="AI24" s="34">
        <f>IF(AND(AI$5&gt;$E24,AI$5&lt;=$F24),IF(AI$5=$E24+1,$C24,""),"")</f>
        <v/>
      </c>
      <c r="AJ24" s="34">
        <f>IF(AND(AJ$5&gt;$E24,AJ$5&lt;=$F24),IF(AJ$5=$E24+1,$C24,""),"")</f>
        <v/>
      </c>
      <c r="AK24" s="34">
        <f>IF(AND(AK$5&gt;$E24,AK$5&lt;=$F24),IF(AK$5=$E24+1,$C24,""),"")</f>
        <v/>
      </c>
      <c r="AL24" s="34">
        <f>IF(AND(AL$5&gt;$E24,AL$5&lt;=$F24),IF(AL$5=$E24+1,$C24,""),"")</f>
        <v/>
      </c>
      <c r="AM24" s="34">
        <f>IF(AND(AM$5&gt;$E24,AM$5&lt;=$F24),IF(AM$5=$E24+1,$C24,""),"")</f>
        <v/>
      </c>
      <c r="AN24" s="34">
        <f>IF(AND(AN$5&gt;$E24,AN$5&lt;=$F24),IF(AN$5=$E24+1,$C24,""),"")</f>
        <v/>
      </c>
      <c r="AO24" s="34">
        <f>IF(AND(AO$5&gt;$E24,AO$5&lt;=$F24),IF(AO$5=$E24+1,$C24,""),"")</f>
        <v/>
      </c>
      <c r="AP24" s="34">
        <f>IF(AND(AP$5&gt;$E24,AP$5&lt;=$F24),IF(AP$5=$E24+1,$C24,""),"")</f>
        <v/>
      </c>
      <c r="AQ24" s="34">
        <f>IF(AND(AQ$5&gt;$E24,AQ$5&lt;=$F24),IF(AQ$5=$E24+1,$C24,""),"")</f>
        <v/>
      </c>
      <c r="AR24" s="34">
        <f>IF(AND(AR$5&gt;$E24,AR$5&lt;=$F24),IF(AR$5=$E24+1,$C24,""),"")</f>
        <v/>
      </c>
      <c r="AS24" s="34">
        <f>IF(AND(AS$5&gt;$E24,AS$5&lt;=$F24),IF(AS$5=$E24+1,$C24,""),"")</f>
        <v/>
      </c>
      <c r="AT24" s="34">
        <f>IF(AND(AT$5&gt;$E24,AT$5&lt;=$F24),IF(AT$5=$E24+1,$C24,""),"")</f>
        <v/>
      </c>
      <c r="AU24" s="34">
        <f>IF(AND(AU$5&gt;$E24,AU$5&lt;=$F24),IF(AU$5=$E24+1,$C24,""),"")</f>
        <v/>
      </c>
      <c r="AV24" s="34">
        <f>IF(AND(AV$5&gt;$E24,AV$5&lt;=$F24),IF(AV$5=$E24+1,$C24,""),"")</f>
        <v/>
      </c>
      <c r="AW24" s="34">
        <f>IF(AND(AW$5&gt;$E24,AW$5&lt;=$F24),IF(AW$5=$E24+1,$C24,""),"")</f>
        <v/>
      </c>
      <c r="AX24" s="34">
        <f>IF(AND(AX$5&gt;$E24,AX$5&lt;=$F24),IF(AX$5=$E24+1,$C24,""),"")</f>
        <v/>
      </c>
      <c r="AY24" s="34">
        <f>IF(AND(AY$5&gt;$E24,AY$5&lt;=$F24),IF(AY$5=$E24+1,$C24,""),"")</f>
        <v/>
      </c>
      <c r="AZ24" s="34">
        <f>IF(AND(AZ$5&gt;$E24,AZ$5&lt;=$F24),IF(AZ$5=$E24+1,$C24,""),"")</f>
        <v/>
      </c>
      <c r="BA24" s="34">
        <f>IF(AND(BA$5&gt;$E24,BA$5&lt;=$F24),IF(BA$5=$E24+1,$C24,""),"")</f>
        <v/>
      </c>
      <c r="BB24" s="34">
        <f>IF(AND(BB$5&gt;$E24,BB$5&lt;=$F24),IF(BB$5=$E24+1,$C24,""),"")</f>
        <v/>
      </c>
      <c r="BC24" s="34">
        <f>IF(AND(BC$5&gt;$E24,BC$5&lt;=$F24),IF(BC$5=$E24+1,$C24,""),"")</f>
        <v/>
      </c>
      <c r="BD24" s="34">
        <f>IF(AND(BD$5&gt;$E24,BD$5&lt;=$F24),IF(BD$5=$E24+1,$C24,""),"")</f>
        <v/>
      </c>
      <c r="BE24" s="34">
        <f>IF(AND(BE$5&gt;$E24,BE$5&lt;=$F24),IF(BE$5=$E24+1,$C24,""),"")</f>
        <v/>
      </c>
      <c r="BF24" s="34">
        <f>IF(AND(BF$5&gt;$E24,BF$5&lt;=$F24),IF(BF$5=$E24+1,$C24,""),"")</f>
        <v/>
      </c>
      <c r="BG24" s="34">
        <f>IF(AND(BG$5&gt;$E24,BG$5&lt;=$F24),IF(BG$5=$E24+1,$C24,""),"")</f>
        <v/>
      </c>
      <c r="BH24" s="34">
        <f>IF(AND(BH$5&gt;$E24,BH$5&lt;=$F24),IF(BH$5=$E24+1,$C24,""),"")</f>
        <v/>
      </c>
      <c r="BI24" s="34">
        <f>IF(AND(BI$5&gt;$E24,BI$5&lt;=$F24),IF(BI$5=$E24+1,$C24,""),"")</f>
        <v/>
      </c>
      <c r="BJ24" s="34">
        <f>IF(AND(BJ$5&gt;$E24,BJ$5&lt;=$F24),IF(BJ$5=$E24+1,$C24,""),"")</f>
        <v/>
      </c>
      <c r="BK24" s="34">
        <f>IF(AND(BK$5&gt;$E24,BK$5&lt;=$F24),IF(BK$5=$E24+1,$C24,""),"")</f>
        <v/>
      </c>
      <c r="BL24" s="34">
        <f>IF(AND(BL$5&gt;$E24,BL$5&lt;=$F24),IF(BL$5=$E24+1,$C24,""),"")</f>
        <v/>
      </c>
      <c r="BM24" s="34">
        <f>IF(AND(BM$5&gt;$E24,BM$5&lt;=$F24),IF(BM$5=$E24+1,$C24,""),"")</f>
        <v/>
      </c>
      <c r="BN24" s="34">
        <f>IF(AND(BN$5&gt;$E24,BN$5&lt;=$F24),IF(BN$5=$E24+1,$C24,""),"")</f>
        <v/>
      </c>
      <c r="BO24" s="34">
        <f>IF(AND(BO$5&gt;$E24,BO$5&lt;=$F24),IF(BO$5=$E24+1,$C24,""),"")</f>
        <v/>
      </c>
      <c r="BP24" s="34">
        <f>IF(AND(BP$5&gt;$E24,BP$5&lt;=$F24),IF(BP$5=$E24+1,$C24,""),"")</f>
        <v/>
      </c>
      <c r="BQ24" s="34">
        <f>IF(AND(BQ$5&gt;$E24,BQ$5&lt;=$F24),IF(BQ$5=$E24+1,$C24,""),"")</f>
        <v/>
      </c>
      <c r="BR24" s="34">
        <f>IF(AND(BR$5&gt;$E24,BR$5&lt;=$F24),IF(BR$5=$E24+1,$C24,""),"")</f>
        <v/>
      </c>
      <c r="BS24" s="34">
        <f>IF(AND(BS$5&gt;$E24,BS$5&lt;=$F24),IF(BS$5=$E24+1,$C24,""),"")</f>
        <v/>
      </c>
      <c r="BT24" s="34">
        <f>IF(AND(BT$5&gt;$E24,BT$5&lt;=$F24),IF(BT$5=$E24+1,$C24,""),"")</f>
        <v/>
      </c>
      <c r="BU24" s="34">
        <f>IF(AND(BU$5&gt;$E24,BU$5&lt;=$F24),IF(BU$5=$E24+1,$C24,""),"")</f>
        <v/>
      </c>
      <c r="BV24" s="34">
        <f>IF(AND(BV$5&gt;$E24,BV$5&lt;=$F24),IF(BV$5=$E24+1,$C24,""),"")</f>
        <v/>
      </c>
      <c r="BW24" s="34">
        <f>IF(AND(BW$5&gt;$E24,BW$5&lt;=$F24),IF(BW$5=$E24+1,$C24,""),"")</f>
        <v/>
      </c>
      <c r="BX24" s="34">
        <f>IF(AND(BX$5&gt;$E24,BX$5&lt;=$F24),IF(BX$5=$E24+1,$C24,""),"")</f>
        <v/>
      </c>
      <c r="BY24" s="34">
        <f>IF(AND(BY$5&gt;$E24,BY$5&lt;=$F24),IF(BY$5=$E24+1,$C24,""),"")</f>
        <v/>
      </c>
      <c r="BZ24" s="34">
        <f>IF(AND(BZ$5&gt;$E24,BZ$5&lt;=$F24),IF(BZ$5=$E24+1,$C24,""),"")</f>
        <v/>
      </c>
      <c r="CA24" s="34">
        <f>IF(AND(CA$5&gt;$E24,CA$5&lt;=$F24),IF(CA$5=$E24+1,$C24,""),"")</f>
        <v/>
      </c>
      <c r="CB24" s="34">
        <f>IF(AND(CB$5&gt;$E24,CB$5&lt;=$F24),IF(CB$5=$E24+1,$C24,""),"")</f>
        <v/>
      </c>
      <c r="CC24" s="34">
        <f>IF(AND(CC$5&gt;$E24,CC$5&lt;=$F24),IF(CC$5=$E24+1,$C24,""),"")</f>
        <v/>
      </c>
      <c r="CD24" s="34">
        <f>IF(AND(CD$5&gt;$E24,CD$5&lt;=$F24),IF(CD$5=$E24+1,$C24,""),"")</f>
        <v/>
      </c>
      <c r="CE24" s="34">
        <f>IF(AND(CE$5&gt;$E24,CE$5&lt;=$F24),IF(CE$5=$E24+1,$C24,""),"")</f>
        <v/>
      </c>
      <c r="CF24" s="34">
        <f>IF(AND(CF$5&gt;$E24,CF$5&lt;=$F24),IF(CF$5=$E24+1,$C24,""),"")</f>
        <v/>
      </c>
      <c r="CG24" s="34">
        <f>IF(AND(CG$5&gt;$E24,CG$5&lt;=$F24),IF(CG$5=$E24+1,$C24,""),"")</f>
        <v/>
      </c>
      <c r="CH24" s="34">
        <f>IF(AND(CH$5&gt;$E24,CH$5&lt;=$F24),IF(CH$5=$E24+1,$C24,""),"")</f>
        <v/>
      </c>
      <c r="CI24" s="34">
        <f>IF(AND(CI$5&gt;$E24,CI$5&lt;=$F24),IF(CI$5=$E24+1,$C24,""),"")</f>
        <v/>
      </c>
      <c r="CJ24" s="34">
        <f>IF(AND(CJ$5&gt;$E24,CJ$5&lt;=$F24),IF(CJ$5=$E24+1,$C24,""),"")</f>
        <v/>
      </c>
      <c r="CK24" s="34">
        <f>IF(AND(CK$5&gt;$E24,CK$5&lt;=$F24),IF(CK$5=$E24+1,$C24,""),"")</f>
        <v/>
      </c>
      <c r="CL24" s="34">
        <f>IF(AND(CL$5&gt;$E24,CL$5&lt;=$F24),IF(CL$5=$E24+1,$C24,""),"")</f>
        <v/>
      </c>
      <c r="CM24" s="34">
        <f>IF(AND(CM$5&gt;$E24,CM$5&lt;=$F24),IF(CM$5=$E24+1,$C24,""),"")</f>
        <v/>
      </c>
      <c r="CN24" s="34">
        <f>IF(AND(CN$5&gt;$E24,CN$5&lt;=$F24),IF(CN$5=$E24+1,$C24,""),"")</f>
        <v/>
      </c>
      <c r="CO24" s="34">
        <f>IF(AND(CO$5&gt;$E24,CO$5&lt;=$F24),IF(CO$5=$E24+1,$C24,""),"")</f>
        <v/>
      </c>
      <c r="CP24" s="34">
        <f>IF(AND(CP$5&gt;$E24,CP$5&lt;=$F24),IF(CP$5=$E24+1,$C24,""),"")</f>
        <v/>
      </c>
      <c r="CQ24" s="34">
        <f>IF(AND(CQ$5&gt;$E24,CQ$5&lt;=$F24),IF(CQ$5=$E24+1,$C24,""),"")</f>
        <v/>
      </c>
      <c r="CR24" s="34">
        <f>IF(AND(CR$5&gt;$E24,CR$5&lt;=$F24),IF(CR$5=$E24+1,$C24,""),"")</f>
        <v/>
      </c>
      <c r="CS24" s="34">
        <f>IF(AND(CS$5&gt;$E24,CS$5&lt;=$F24),IF(CS$5=$E24+1,$C24,""),"")</f>
        <v/>
      </c>
      <c r="CT24" s="34">
        <f>IF(AND(CT$5&gt;$E24,CT$5&lt;=$F24),IF(CT$5=$E24+1,$C24,""),"")</f>
        <v/>
      </c>
      <c r="CU24" s="34">
        <f>IF(AND(CU$5&gt;$E24,CU$5&lt;=$F24),IF(CU$5=$E24+1,$C24,""),"")</f>
        <v/>
      </c>
      <c r="CV24" s="34">
        <f>IF(AND(CV$5&gt;$E24,CV$5&lt;=$F24),IF(CV$5=$E24+1,$C24,""),"")</f>
        <v/>
      </c>
      <c r="CW24" s="34">
        <f>IF(AND(CW$5&gt;$E24,CW$5&lt;=$F24),IF(CW$5=$E24+1,$C24,""),"")</f>
        <v/>
      </c>
      <c r="CX24" s="34">
        <f>IF(AND(CX$5&gt;$E24,CX$5&lt;=$F24),IF(CX$5=$E24+1,$C24,""),"")</f>
        <v/>
      </c>
      <c r="CY24" s="34">
        <f>IF(AND(CY$5&gt;$E24,CY$5&lt;=$F24),IF(CY$5=$E24+1,$C24,""),"")</f>
        <v/>
      </c>
      <c r="CZ24" s="34">
        <f>IF(AND(CZ$5&gt;$E24,CZ$5&lt;=$F24),IF(CZ$5=$E24+1,$C24,""),"")</f>
        <v/>
      </c>
      <c r="DA24" s="34">
        <f>IF(AND(DA$5&gt;$E24,DA$5&lt;=$F24),IF(DA$5=$E24+1,$C24,""),"")</f>
        <v/>
      </c>
      <c r="DB24" s="34">
        <f>IF(AND(DB$5&gt;$E24,DB$5&lt;=$F24),IF(DB$5=$E24+1,$C24,""),"")</f>
        <v/>
      </c>
      <c r="DC24" s="34">
        <f>IF(AND(DC$5&gt;$E24,DC$5&lt;=$F24),IF(DC$5=$E24+1,$C24,""),"")</f>
        <v/>
      </c>
      <c r="DD24" s="34">
        <f>IF(AND(DD$5&gt;$E24,DD$5&lt;=$F24),IF(DD$5=$E24+1,$C24,""),"")</f>
        <v/>
      </c>
      <c r="DE24" s="34">
        <f>IF(AND(DE$5&gt;$E24,DE$5&lt;=$F24),IF(DE$5=$E24+1,$C24,""),"")</f>
        <v/>
      </c>
      <c r="DF24" s="34">
        <f>IF(AND(DF$5&gt;$E24,DF$5&lt;=$F24),IF(DF$5=$E24+1,$C24,""),"")</f>
        <v/>
      </c>
      <c r="DG24" s="34">
        <f>IF(AND(DG$5&gt;$E24,DG$5&lt;=$F24),IF(DG$5=$E24+1,$C24,""),"")</f>
        <v/>
      </c>
      <c r="DH24" s="34">
        <f>IF(AND(DH$5&gt;$E24,DH$5&lt;=$F24),IF(DH$5=$E24+1,$C24,""),"")</f>
        <v/>
      </c>
      <c r="DI24" s="34">
        <f>IF(AND(DI$5&gt;$E24,DI$5&lt;=$F24),IF(DI$5=$E24+1,$C24,""),"")</f>
        <v/>
      </c>
      <c r="DJ24" s="34">
        <f>IF(AND(DJ$5&gt;$E24,DJ$5&lt;=$F24),IF(DJ$5=$E24+1,$C24,""),"")</f>
        <v/>
      </c>
      <c r="DK24" s="34">
        <f>IF(AND(DK$5&gt;$E24,DK$5&lt;=$F24),IF(DK$5=$E24+1,$C24,""),"")</f>
        <v/>
      </c>
      <c r="DL24" s="34">
        <f>IF(AND(DL$5&gt;$E24,DL$5&lt;=$F24),IF(DL$5=$E24+1,$C24,""),"")</f>
        <v/>
      </c>
      <c r="DM24" s="34">
        <f>IF(AND(DM$5&gt;$E24,DM$5&lt;=$F24),IF(DM$5=$E24+1,$C24,""),"")</f>
        <v/>
      </c>
      <c r="DN24" s="34">
        <f>IF(AND(DN$5&gt;$E24,DN$5&lt;=$F24),IF(DN$5=$E24+1,$C24,""),"")</f>
        <v/>
      </c>
      <c r="DO24" s="34">
        <f>IF(AND(DO$5&gt;$E24,DO$5&lt;=$F24),IF(DO$5=$E24+1,$C24,""),"")</f>
        <v/>
      </c>
      <c r="DP24" s="34">
        <f>IF(AND(DP$5&gt;$E24,DP$5&lt;=$F24),IF(DP$5=$E24+1,$C24,""),"")</f>
        <v/>
      </c>
      <c r="DQ24" s="34">
        <f>IF(AND(DQ$5&gt;$E24,DQ$5&lt;=$F24),IF(DQ$5=$E24+1,$C24,""),"")</f>
        <v/>
      </c>
      <c r="DR24" s="34">
        <f>IF(AND(DR$5&gt;$E24,DR$5&lt;=$F24),IF(DR$5=$E24+1,$C24,""),"")</f>
        <v/>
      </c>
      <c r="DS24" s="34">
        <f>IF(AND(DS$5&gt;$E24,DS$5&lt;=$F24),IF(DS$5=$E24+1,$C24,""),"")</f>
        <v/>
      </c>
      <c r="DT24" s="34">
        <f>IF(AND(DT$5&gt;$E24,DT$5&lt;=$F24),IF(DT$5=$E24+1,$C24,""),"")</f>
        <v/>
      </c>
      <c r="DU24" s="34">
        <f>IF(AND(DU$5&gt;$E24,DU$5&lt;=$F24),IF(DU$5=$E24+1,$C24,""),"")</f>
        <v/>
      </c>
      <c r="DV24" s="34">
        <f>IF(AND(DV$5&gt;$E24,DV$5&lt;=$F24),IF(DV$5=$E24+1,$C24,""),"")</f>
        <v/>
      </c>
      <c r="DW24" s="34">
        <f>IF(AND(DW$5&gt;$E24,DW$5&lt;=$F24),IF(DW$5=$E24+1,$C24,""),"")</f>
        <v/>
      </c>
      <c r="DX24" s="34">
        <f>IF(AND(DX$5&gt;$E24,DX$5&lt;=$F24),IF(DX$5=$E24+1,$C24,""),"")</f>
        <v/>
      </c>
      <c r="DY24" s="34">
        <f>IF(AND(DY$5&gt;$E24,DY$5&lt;=$F24),IF(DY$5=$E24+1,$C24,""),"")</f>
        <v/>
      </c>
      <c r="DZ24" s="34">
        <f>IF(AND(DZ$5&gt;$E24,DZ$5&lt;=$F24),IF(DZ$5=$E24+1,$C24,""),"")</f>
        <v/>
      </c>
      <c r="EA24" s="34">
        <f>IF(AND(EA$5&gt;$E24,EA$5&lt;=$F24),IF(EA$5=$E24+1,$C24,""),"")</f>
        <v/>
      </c>
      <c r="EB24" s="34">
        <f>IF(AND(EB$5&gt;$E24,EB$5&lt;=$F24),IF(EB$5=$E24+1,$C24,""),"")</f>
        <v/>
      </c>
      <c r="EC24" s="34">
        <f>IF(AND(EC$5&gt;$E24,EC$5&lt;=$F24),IF(EC$5=$E24+1,$C24,""),"")</f>
        <v/>
      </c>
      <c r="ED24" s="34">
        <f>IF(AND(ED$5&gt;$E24,ED$5&lt;=$F24),IF(ED$5=$E24+1,$C24,""),"")</f>
        <v/>
      </c>
      <c r="EE24" s="34">
        <f>IF(AND(EE$5&gt;$E24,EE$5&lt;=$F24),IF(EE$5=$E24+1,$C24,""),"")</f>
        <v/>
      </c>
      <c r="EF24" s="34">
        <f>IF(AND(EF$5&gt;$E24,EF$5&lt;=$F24),IF(EF$5=$E24+1,$C24,""),"")</f>
        <v/>
      </c>
      <c r="EG24" s="34">
        <f>IF(AND(EG$5&gt;$E24,EG$5&lt;=$F24),IF(EG$5=$E24+1,$C24,""),"")</f>
        <v/>
      </c>
      <c r="EH24" s="34">
        <f>IF(AND(EH$5&gt;$E24,EH$5&lt;=$F24),IF(EH$5=$E24+1,$C24,""),"")</f>
        <v/>
      </c>
      <c r="EI24" s="34">
        <f>IF(AND(EI$5&gt;$E24,EI$5&lt;=$F24),IF(EI$5=$E24+1,$C24,""),"")</f>
        <v/>
      </c>
      <c r="EJ24" s="34">
        <f>IF(AND(EJ$5&gt;$E24,EJ$5&lt;=$F24),IF(EJ$5=$E24+1,$C24,""),"")</f>
        <v/>
      </c>
      <c r="EK24" s="34">
        <f>IF(AND(EK$5&gt;$E24,EK$5&lt;=$F24),IF(EK$5=$E24+1,$C24,""),"")</f>
        <v/>
      </c>
      <c r="EL24" s="34">
        <f>IF(AND(EL$5&gt;$E24,EL$5&lt;=$F24),IF(EL$5=$E24+1,$C24,""),"")</f>
        <v/>
      </c>
      <c r="EM24" s="34">
        <f>IF(AND(EM$5&gt;$E24,EM$5&lt;=$F24),IF(EM$5=$E24+1,$C24,""),"")</f>
        <v/>
      </c>
      <c r="EN24" s="34">
        <f>IF(AND(EN$5&gt;$E24,EN$5&lt;=$F24),IF(EN$5=$E24+1,$C24,""),"")</f>
        <v/>
      </c>
      <c r="EO24" s="34">
        <f>IF(AND(EO$5&gt;$E24,EO$5&lt;=$F24),IF(EO$5=$E24+1,$C24,""),"")</f>
        <v/>
      </c>
      <c r="EP24" s="34">
        <f>IF(AND(EP$5&gt;$E24,EP$5&lt;=$F24),IF(EP$5=$E24+1,$C24,""),"")</f>
        <v/>
      </c>
      <c r="EQ24" s="34">
        <f>IF(AND(EQ$5&gt;$E24,EQ$5&lt;=$F24),IF(EQ$5=$E24+1,$C24,""),"")</f>
        <v/>
      </c>
      <c r="ER24" s="34">
        <f>IF(AND(ER$5&gt;$E24,ER$5&lt;=$F24),IF(ER$5=$E24+1,$C24,""),"")</f>
        <v/>
      </c>
      <c r="ES24" s="34">
        <f>IF(AND(ES$5&gt;$E24,ES$5&lt;=$F24),IF(ES$5=$E24+1,$C24,""),"")</f>
        <v/>
      </c>
      <c r="ET24" s="34">
        <f>IF(AND(ET$5&gt;$E24,ET$5&lt;=$F24),IF(ET$5=$E24+1,$C24,""),"")</f>
        <v/>
      </c>
      <c r="EU24" s="34">
        <f>IF(AND(EU$5&gt;$E24,EU$5&lt;=$F24),IF(EU$5=$E24+1,$C24,""),"")</f>
        <v/>
      </c>
      <c r="EV24" s="34">
        <f>IF(AND(EV$5&gt;$E24,EV$5&lt;=$F24),IF(EV$5=$E24+1,$C24,""),"")</f>
        <v/>
      </c>
      <c r="EW24" s="34">
        <f>IF(AND(EW$5&gt;$E24,EW$5&lt;=$F24),IF(EW$5=$E24+1,$C24,""),"")</f>
        <v/>
      </c>
      <c r="EX24" s="34">
        <f>IF(AND(EX$5&gt;$E24,EX$5&lt;=$F24),IF(EX$5=$E24+1,$C24,""),"")</f>
        <v/>
      </c>
      <c r="EY24" s="34">
        <f>IF(AND(EY$5&gt;$E24,EY$5&lt;=$F24),IF(EY$5=$E24+1,$C24,""),"")</f>
        <v/>
      </c>
      <c r="EZ24" s="34">
        <f>IF(AND(EZ$5&gt;$E24,EZ$5&lt;=$F24),IF(EZ$5=$E24+1,$C24,""),"")</f>
        <v/>
      </c>
      <c r="FA24" s="34">
        <f>IF(AND(FA$5&gt;$E24,FA$5&lt;=$F24),IF(FA$5=$E24+1,$C24,""),"")</f>
        <v/>
      </c>
    </row>
    <row r="25">
      <c r="A25" s="32">
        <f>Plan!A19</f>
        <v/>
      </c>
      <c r="B25" s="33">
        <f>Plan!C19</f>
        <v/>
      </c>
      <c r="C25" s="16">
        <f>Plan!D19</f>
        <v/>
      </c>
      <c r="D25" s="16">
        <f>Plan!I19</f>
        <v/>
      </c>
      <c r="E25" s="16">
        <f>Plan!K19</f>
        <v/>
      </c>
      <c r="F25" s="16">
        <f>Plan!L19</f>
        <v/>
      </c>
      <c r="G25" s="16">
        <f>Plan!O19</f>
        <v/>
      </c>
      <c r="H25" s="34">
        <f>IF(AND(H$5&gt;$E25,H$5&lt;=$F25),IF(H$5=$E25+1,$C25,""),"")</f>
        <v/>
      </c>
      <c r="I25" s="34">
        <f>IF(AND(I$5&gt;$E25,I$5&lt;=$F25),IF(I$5=$E25+1,$C25,""),"")</f>
        <v/>
      </c>
      <c r="J25" s="34">
        <f>IF(AND(J$5&gt;$E25,J$5&lt;=$F25),IF(J$5=$E25+1,$C25,""),"")</f>
        <v/>
      </c>
      <c r="K25" s="34">
        <f>IF(AND(K$5&gt;$E25,K$5&lt;=$F25),IF(K$5=$E25+1,$C25,""),"")</f>
        <v/>
      </c>
      <c r="L25" s="34">
        <f>IF(AND(L$5&gt;$E25,L$5&lt;=$F25),IF(L$5=$E25+1,$C25,""),"")</f>
        <v/>
      </c>
      <c r="M25" s="34">
        <f>IF(AND(M$5&gt;$E25,M$5&lt;=$F25),IF(M$5=$E25+1,$C25,""),"")</f>
        <v/>
      </c>
      <c r="N25" s="34">
        <f>IF(AND(N$5&gt;$E25,N$5&lt;=$F25),IF(N$5=$E25+1,$C25,""),"")</f>
        <v/>
      </c>
      <c r="O25" s="34">
        <f>IF(AND(O$5&gt;$E25,O$5&lt;=$F25),IF(O$5=$E25+1,$C25,""),"")</f>
        <v/>
      </c>
      <c r="P25" s="34">
        <f>IF(AND(P$5&gt;$E25,P$5&lt;=$F25),IF(P$5=$E25+1,$C25,""),"")</f>
        <v/>
      </c>
      <c r="Q25" s="34">
        <f>IF(AND(Q$5&gt;$E25,Q$5&lt;=$F25),IF(Q$5=$E25+1,$C25,""),"")</f>
        <v/>
      </c>
      <c r="R25" s="34">
        <f>IF(AND(R$5&gt;$E25,R$5&lt;=$F25),IF(R$5=$E25+1,$C25,""),"")</f>
        <v/>
      </c>
      <c r="S25" s="34">
        <f>IF(AND(S$5&gt;$E25,S$5&lt;=$F25),IF(S$5=$E25+1,$C25,""),"")</f>
        <v/>
      </c>
      <c r="T25" s="34">
        <f>IF(AND(T$5&gt;$E25,T$5&lt;=$F25),IF(T$5=$E25+1,$C25,""),"")</f>
        <v/>
      </c>
      <c r="U25" s="34">
        <f>IF(AND(U$5&gt;$E25,U$5&lt;=$F25),IF(U$5=$E25+1,$C25,""),"")</f>
        <v/>
      </c>
      <c r="V25" s="34">
        <f>IF(AND(V$5&gt;$E25,V$5&lt;=$F25),IF(V$5=$E25+1,$C25,""),"")</f>
        <v/>
      </c>
      <c r="W25" s="34">
        <f>IF(AND(W$5&gt;$E25,W$5&lt;=$F25),IF(W$5=$E25+1,$C25,""),"")</f>
        <v/>
      </c>
      <c r="X25" s="34">
        <f>IF(AND(X$5&gt;$E25,X$5&lt;=$F25),IF(X$5=$E25+1,$C25,""),"")</f>
        <v/>
      </c>
      <c r="Y25" s="34">
        <f>IF(AND(Y$5&gt;$E25,Y$5&lt;=$F25),IF(Y$5=$E25+1,$C25,""),"")</f>
        <v/>
      </c>
      <c r="Z25" s="34">
        <f>IF(AND(Z$5&gt;$E25,Z$5&lt;=$F25),IF(Z$5=$E25+1,$C25,""),"")</f>
        <v/>
      </c>
      <c r="AA25" s="34">
        <f>IF(AND(AA$5&gt;$E25,AA$5&lt;=$F25),IF(AA$5=$E25+1,$C25,""),"")</f>
        <v/>
      </c>
      <c r="AB25" s="34">
        <f>IF(AND(AB$5&gt;$E25,AB$5&lt;=$F25),IF(AB$5=$E25+1,$C25,""),"")</f>
        <v/>
      </c>
      <c r="AC25" s="34">
        <f>IF(AND(AC$5&gt;$E25,AC$5&lt;=$F25),IF(AC$5=$E25+1,$C25,""),"")</f>
        <v/>
      </c>
      <c r="AD25" s="34">
        <f>IF(AND(AD$5&gt;$E25,AD$5&lt;=$F25),IF(AD$5=$E25+1,$C25,""),"")</f>
        <v/>
      </c>
      <c r="AE25" s="34">
        <f>IF(AND(AE$5&gt;$E25,AE$5&lt;=$F25),IF(AE$5=$E25+1,$C25,""),"")</f>
        <v/>
      </c>
      <c r="AF25" s="34">
        <f>IF(AND(AF$5&gt;$E25,AF$5&lt;=$F25),IF(AF$5=$E25+1,$C25,""),"")</f>
        <v/>
      </c>
      <c r="AG25" s="34">
        <f>IF(AND(AG$5&gt;$E25,AG$5&lt;=$F25),IF(AG$5=$E25+1,$C25,""),"")</f>
        <v/>
      </c>
      <c r="AH25" s="34">
        <f>IF(AND(AH$5&gt;$E25,AH$5&lt;=$F25),IF(AH$5=$E25+1,$C25,""),"")</f>
        <v/>
      </c>
      <c r="AI25" s="34">
        <f>IF(AND(AI$5&gt;$E25,AI$5&lt;=$F25),IF(AI$5=$E25+1,$C25,""),"")</f>
        <v/>
      </c>
      <c r="AJ25" s="34">
        <f>IF(AND(AJ$5&gt;$E25,AJ$5&lt;=$F25),IF(AJ$5=$E25+1,$C25,""),"")</f>
        <v/>
      </c>
      <c r="AK25" s="34">
        <f>IF(AND(AK$5&gt;$E25,AK$5&lt;=$F25),IF(AK$5=$E25+1,$C25,""),"")</f>
        <v/>
      </c>
      <c r="AL25" s="34">
        <f>IF(AND(AL$5&gt;$E25,AL$5&lt;=$F25),IF(AL$5=$E25+1,$C25,""),"")</f>
        <v/>
      </c>
      <c r="AM25" s="34">
        <f>IF(AND(AM$5&gt;$E25,AM$5&lt;=$F25),IF(AM$5=$E25+1,$C25,""),"")</f>
        <v/>
      </c>
      <c r="AN25" s="34">
        <f>IF(AND(AN$5&gt;$E25,AN$5&lt;=$F25),IF(AN$5=$E25+1,$C25,""),"")</f>
        <v/>
      </c>
      <c r="AO25" s="34">
        <f>IF(AND(AO$5&gt;$E25,AO$5&lt;=$F25),IF(AO$5=$E25+1,$C25,""),"")</f>
        <v/>
      </c>
      <c r="AP25" s="34">
        <f>IF(AND(AP$5&gt;$E25,AP$5&lt;=$F25),IF(AP$5=$E25+1,$C25,""),"")</f>
        <v/>
      </c>
      <c r="AQ25" s="34">
        <f>IF(AND(AQ$5&gt;$E25,AQ$5&lt;=$F25),IF(AQ$5=$E25+1,$C25,""),"")</f>
        <v/>
      </c>
      <c r="AR25" s="34">
        <f>IF(AND(AR$5&gt;$E25,AR$5&lt;=$F25),IF(AR$5=$E25+1,$C25,""),"")</f>
        <v/>
      </c>
      <c r="AS25" s="34">
        <f>IF(AND(AS$5&gt;$E25,AS$5&lt;=$F25),IF(AS$5=$E25+1,$C25,""),"")</f>
        <v/>
      </c>
      <c r="AT25" s="34">
        <f>IF(AND(AT$5&gt;$E25,AT$5&lt;=$F25),IF(AT$5=$E25+1,$C25,""),"")</f>
        <v/>
      </c>
      <c r="AU25" s="34">
        <f>IF(AND(AU$5&gt;$E25,AU$5&lt;=$F25),IF(AU$5=$E25+1,$C25,""),"")</f>
        <v/>
      </c>
      <c r="AV25" s="34">
        <f>IF(AND(AV$5&gt;$E25,AV$5&lt;=$F25),IF(AV$5=$E25+1,$C25,""),"")</f>
        <v/>
      </c>
      <c r="AW25" s="34">
        <f>IF(AND(AW$5&gt;$E25,AW$5&lt;=$F25),IF(AW$5=$E25+1,$C25,""),"")</f>
        <v/>
      </c>
      <c r="AX25" s="34">
        <f>IF(AND(AX$5&gt;$E25,AX$5&lt;=$F25),IF(AX$5=$E25+1,$C25,""),"")</f>
        <v/>
      </c>
      <c r="AY25" s="34">
        <f>IF(AND(AY$5&gt;$E25,AY$5&lt;=$F25),IF(AY$5=$E25+1,$C25,""),"")</f>
        <v/>
      </c>
      <c r="AZ25" s="34">
        <f>IF(AND(AZ$5&gt;$E25,AZ$5&lt;=$F25),IF(AZ$5=$E25+1,$C25,""),"")</f>
        <v/>
      </c>
      <c r="BA25" s="34">
        <f>IF(AND(BA$5&gt;$E25,BA$5&lt;=$F25),IF(BA$5=$E25+1,$C25,""),"")</f>
        <v/>
      </c>
      <c r="BB25" s="34">
        <f>IF(AND(BB$5&gt;$E25,BB$5&lt;=$F25),IF(BB$5=$E25+1,$C25,""),"")</f>
        <v/>
      </c>
      <c r="BC25" s="34">
        <f>IF(AND(BC$5&gt;$E25,BC$5&lt;=$F25),IF(BC$5=$E25+1,$C25,""),"")</f>
        <v/>
      </c>
      <c r="BD25" s="34">
        <f>IF(AND(BD$5&gt;$E25,BD$5&lt;=$F25),IF(BD$5=$E25+1,$C25,""),"")</f>
        <v/>
      </c>
      <c r="BE25" s="34">
        <f>IF(AND(BE$5&gt;$E25,BE$5&lt;=$F25),IF(BE$5=$E25+1,$C25,""),"")</f>
        <v/>
      </c>
      <c r="BF25" s="34">
        <f>IF(AND(BF$5&gt;$E25,BF$5&lt;=$F25),IF(BF$5=$E25+1,$C25,""),"")</f>
        <v/>
      </c>
      <c r="BG25" s="34">
        <f>IF(AND(BG$5&gt;$E25,BG$5&lt;=$F25),IF(BG$5=$E25+1,$C25,""),"")</f>
        <v/>
      </c>
      <c r="BH25" s="34">
        <f>IF(AND(BH$5&gt;$E25,BH$5&lt;=$F25),IF(BH$5=$E25+1,$C25,""),"")</f>
        <v/>
      </c>
      <c r="BI25" s="34">
        <f>IF(AND(BI$5&gt;$E25,BI$5&lt;=$F25),IF(BI$5=$E25+1,$C25,""),"")</f>
        <v/>
      </c>
      <c r="BJ25" s="34">
        <f>IF(AND(BJ$5&gt;$E25,BJ$5&lt;=$F25),IF(BJ$5=$E25+1,$C25,""),"")</f>
        <v/>
      </c>
      <c r="BK25" s="34">
        <f>IF(AND(BK$5&gt;$E25,BK$5&lt;=$F25),IF(BK$5=$E25+1,$C25,""),"")</f>
        <v/>
      </c>
      <c r="BL25" s="34">
        <f>IF(AND(BL$5&gt;$E25,BL$5&lt;=$F25),IF(BL$5=$E25+1,$C25,""),"")</f>
        <v/>
      </c>
      <c r="BM25" s="34">
        <f>IF(AND(BM$5&gt;$E25,BM$5&lt;=$F25),IF(BM$5=$E25+1,$C25,""),"")</f>
        <v/>
      </c>
      <c r="BN25" s="34">
        <f>IF(AND(BN$5&gt;$E25,BN$5&lt;=$F25),IF(BN$5=$E25+1,$C25,""),"")</f>
        <v/>
      </c>
      <c r="BO25" s="34">
        <f>IF(AND(BO$5&gt;$E25,BO$5&lt;=$F25),IF(BO$5=$E25+1,$C25,""),"")</f>
        <v/>
      </c>
      <c r="BP25" s="34">
        <f>IF(AND(BP$5&gt;$E25,BP$5&lt;=$F25),IF(BP$5=$E25+1,$C25,""),"")</f>
        <v/>
      </c>
      <c r="BQ25" s="34">
        <f>IF(AND(BQ$5&gt;$E25,BQ$5&lt;=$F25),IF(BQ$5=$E25+1,$C25,""),"")</f>
        <v/>
      </c>
      <c r="BR25" s="34">
        <f>IF(AND(BR$5&gt;$E25,BR$5&lt;=$F25),IF(BR$5=$E25+1,$C25,""),"")</f>
        <v/>
      </c>
      <c r="BS25" s="34">
        <f>IF(AND(BS$5&gt;$E25,BS$5&lt;=$F25),IF(BS$5=$E25+1,$C25,""),"")</f>
        <v/>
      </c>
      <c r="BT25" s="34">
        <f>IF(AND(BT$5&gt;$E25,BT$5&lt;=$F25),IF(BT$5=$E25+1,$C25,""),"")</f>
        <v/>
      </c>
      <c r="BU25" s="34">
        <f>IF(AND(BU$5&gt;$E25,BU$5&lt;=$F25),IF(BU$5=$E25+1,$C25,""),"")</f>
        <v/>
      </c>
      <c r="BV25" s="34">
        <f>IF(AND(BV$5&gt;$E25,BV$5&lt;=$F25),IF(BV$5=$E25+1,$C25,""),"")</f>
        <v/>
      </c>
      <c r="BW25" s="34">
        <f>IF(AND(BW$5&gt;$E25,BW$5&lt;=$F25),IF(BW$5=$E25+1,$C25,""),"")</f>
        <v/>
      </c>
      <c r="BX25" s="34">
        <f>IF(AND(BX$5&gt;$E25,BX$5&lt;=$F25),IF(BX$5=$E25+1,$C25,""),"")</f>
        <v/>
      </c>
      <c r="BY25" s="34">
        <f>IF(AND(BY$5&gt;$E25,BY$5&lt;=$F25),IF(BY$5=$E25+1,$C25,""),"")</f>
        <v/>
      </c>
      <c r="BZ25" s="34">
        <f>IF(AND(BZ$5&gt;$E25,BZ$5&lt;=$F25),IF(BZ$5=$E25+1,$C25,""),"")</f>
        <v/>
      </c>
      <c r="CA25" s="34">
        <f>IF(AND(CA$5&gt;$E25,CA$5&lt;=$F25),IF(CA$5=$E25+1,$C25,""),"")</f>
        <v/>
      </c>
      <c r="CB25" s="34">
        <f>IF(AND(CB$5&gt;$E25,CB$5&lt;=$F25),IF(CB$5=$E25+1,$C25,""),"")</f>
        <v/>
      </c>
      <c r="CC25" s="34">
        <f>IF(AND(CC$5&gt;$E25,CC$5&lt;=$F25),IF(CC$5=$E25+1,$C25,""),"")</f>
        <v/>
      </c>
      <c r="CD25" s="34">
        <f>IF(AND(CD$5&gt;$E25,CD$5&lt;=$F25),IF(CD$5=$E25+1,$C25,""),"")</f>
        <v/>
      </c>
      <c r="CE25" s="34">
        <f>IF(AND(CE$5&gt;$E25,CE$5&lt;=$F25),IF(CE$5=$E25+1,$C25,""),"")</f>
        <v/>
      </c>
      <c r="CF25" s="34">
        <f>IF(AND(CF$5&gt;$E25,CF$5&lt;=$F25),IF(CF$5=$E25+1,$C25,""),"")</f>
        <v/>
      </c>
      <c r="CG25" s="34">
        <f>IF(AND(CG$5&gt;$E25,CG$5&lt;=$F25),IF(CG$5=$E25+1,$C25,""),"")</f>
        <v/>
      </c>
      <c r="CH25" s="34">
        <f>IF(AND(CH$5&gt;$E25,CH$5&lt;=$F25),IF(CH$5=$E25+1,$C25,""),"")</f>
        <v/>
      </c>
      <c r="CI25" s="34">
        <f>IF(AND(CI$5&gt;$E25,CI$5&lt;=$F25),IF(CI$5=$E25+1,$C25,""),"")</f>
        <v/>
      </c>
      <c r="CJ25" s="34">
        <f>IF(AND(CJ$5&gt;$E25,CJ$5&lt;=$F25),IF(CJ$5=$E25+1,$C25,""),"")</f>
        <v/>
      </c>
      <c r="CK25" s="34">
        <f>IF(AND(CK$5&gt;$E25,CK$5&lt;=$F25),IF(CK$5=$E25+1,$C25,""),"")</f>
        <v/>
      </c>
      <c r="CL25" s="34">
        <f>IF(AND(CL$5&gt;$E25,CL$5&lt;=$F25),IF(CL$5=$E25+1,$C25,""),"")</f>
        <v/>
      </c>
      <c r="CM25" s="34">
        <f>IF(AND(CM$5&gt;$E25,CM$5&lt;=$F25),IF(CM$5=$E25+1,$C25,""),"")</f>
        <v/>
      </c>
      <c r="CN25" s="34">
        <f>IF(AND(CN$5&gt;$E25,CN$5&lt;=$F25),IF(CN$5=$E25+1,$C25,""),"")</f>
        <v/>
      </c>
      <c r="CO25" s="34">
        <f>IF(AND(CO$5&gt;$E25,CO$5&lt;=$F25),IF(CO$5=$E25+1,$C25,""),"")</f>
        <v/>
      </c>
      <c r="CP25" s="34">
        <f>IF(AND(CP$5&gt;$E25,CP$5&lt;=$F25),IF(CP$5=$E25+1,$C25,""),"")</f>
        <v/>
      </c>
      <c r="CQ25" s="34">
        <f>IF(AND(CQ$5&gt;$E25,CQ$5&lt;=$F25),IF(CQ$5=$E25+1,$C25,""),"")</f>
        <v/>
      </c>
      <c r="CR25" s="34">
        <f>IF(AND(CR$5&gt;$E25,CR$5&lt;=$F25),IF(CR$5=$E25+1,$C25,""),"")</f>
        <v/>
      </c>
      <c r="CS25" s="34">
        <f>IF(AND(CS$5&gt;$E25,CS$5&lt;=$F25),IF(CS$5=$E25+1,$C25,""),"")</f>
        <v/>
      </c>
      <c r="CT25" s="34">
        <f>IF(AND(CT$5&gt;$E25,CT$5&lt;=$F25),IF(CT$5=$E25+1,$C25,""),"")</f>
        <v/>
      </c>
      <c r="CU25" s="34">
        <f>IF(AND(CU$5&gt;$E25,CU$5&lt;=$F25),IF(CU$5=$E25+1,$C25,""),"")</f>
        <v/>
      </c>
      <c r="CV25" s="34">
        <f>IF(AND(CV$5&gt;$E25,CV$5&lt;=$F25),IF(CV$5=$E25+1,$C25,""),"")</f>
        <v/>
      </c>
      <c r="CW25" s="34">
        <f>IF(AND(CW$5&gt;$E25,CW$5&lt;=$F25),IF(CW$5=$E25+1,$C25,""),"")</f>
        <v/>
      </c>
      <c r="CX25" s="34">
        <f>IF(AND(CX$5&gt;$E25,CX$5&lt;=$F25),IF(CX$5=$E25+1,$C25,""),"")</f>
        <v/>
      </c>
      <c r="CY25" s="34">
        <f>IF(AND(CY$5&gt;$E25,CY$5&lt;=$F25),IF(CY$5=$E25+1,$C25,""),"")</f>
        <v/>
      </c>
      <c r="CZ25" s="34">
        <f>IF(AND(CZ$5&gt;$E25,CZ$5&lt;=$F25),IF(CZ$5=$E25+1,$C25,""),"")</f>
        <v/>
      </c>
      <c r="DA25" s="34">
        <f>IF(AND(DA$5&gt;$E25,DA$5&lt;=$F25),IF(DA$5=$E25+1,$C25,""),"")</f>
        <v/>
      </c>
      <c r="DB25" s="34">
        <f>IF(AND(DB$5&gt;$E25,DB$5&lt;=$F25),IF(DB$5=$E25+1,$C25,""),"")</f>
        <v/>
      </c>
      <c r="DC25" s="34">
        <f>IF(AND(DC$5&gt;$E25,DC$5&lt;=$F25),IF(DC$5=$E25+1,$C25,""),"")</f>
        <v/>
      </c>
      <c r="DD25" s="34">
        <f>IF(AND(DD$5&gt;$E25,DD$5&lt;=$F25),IF(DD$5=$E25+1,$C25,""),"")</f>
        <v/>
      </c>
      <c r="DE25" s="34">
        <f>IF(AND(DE$5&gt;$E25,DE$5&lt;=$F25),IF(DE$5=$E25+1,$C25,""),"")</f>
        <v/>
      </c>
      <c r="DF25" s="34">
        <f>IF(AND(DF$5&gt;$E25,DF$5&lt;=$F25),IF(DF$5=$E25+1,$C25,""),"")</f>
        <v/>
      </c>
      <c r="DG25" s="34">
        <f>IF(AND(DG$5&gt;$E25,DG$5&lt;=$F25),IF(DG$5=$E25+1,$C25,""),"")</f>
        <v/>
      </c>
      <c r="DH25" s="34">
        <f>IF(AND(DH$5&gt;$E25,DH$5&lt;=$F25),IF(DH$5=$E25+1,$C25,""),"")</f>
        <v/>
      </c>
      <c r="DI25" s="34">
        <f>IF(AND(DI$5&gt;$E25,DI$5&lt;=$F25),IF(DI$5=$E25+1,$C25,""),"")</f>
        <v/>
      </c>
      <c r="DJ25" s="34">
        <f>IF(AND(DJ$5&gt;$E25,DJ$5&lt;=$F25),IF(DJ$5=$E25+1,$C25,""),"")</f>
        <v/>
      </c>
      <c r="DK25" s="34">
        <f>IF(AND(DK$5&gt;$E25,DK$5&lt;=$F25),IF(DK$5=$E25+1,$C25,""),"")</f>
        <v/>
      </c>
      <c r="DL25" s="34">
        <f>IF(AND(DL$5&gt;$E25,DL$5&lt;=$F25),IF(DL$5=$E25+1,$C25,""),"")</f>
        <v/>
      </c>
      <c r="DM25" s="34">
        <f>IF(AND(DM$5&gt;$E25,DM$5&lt;=$F25),IF(DM$5=$E25+1,$C25,""),"")</f>
        <v/>
      </c>
      <c r="DN25" s="34">
        <f>IF(AND(DN$5&gt;$E25,DN$5&lt;=$F25),IF(DN$5=$E25+1,$C25,""),"")</f>
        <v/>
      </c>
      <c r="DO25" s="34">
        <f>IF(AND(DO$5&gt;$E25,DO$5&lt;=$F25),IF(DO$5=$E25+1,$C25,""),"")</f>
        <v/>
      </c>
      <c r="DP25" s="34">
        <f>IF(AND(DP$5&gt;$E25,DP$5&lt;=$F25),IF(DP$5=$E25+1,$C25,""),"")</f>
        <v/>
      </c>
      <c r="DQ25" s="34">
        <f>IF(AND(DQ$5&gt;$E25,DQ$5&lt;=$F25),IF(DQ$5=$E25+1,$C25,""),"")</f>
        <v/>
      </c>
      <c r="DR25" s="34">
        <f>IF(AND(DR$5&gt;$E25,DR$5&lt;=$F25),IF(DR$5=$E25+1,$C25,""),"")</f>
        <v/>
      </c>
      <c r="DS25" s="34">
        <f>IF(AND(DS$5&gt;$E25,DS$5&lt;=$F25),IF(DS$5=$E25+1,$C25,""),"")</f>
        <v/>
      </c>
      <c r="DT25" s="34">
        <f>IF(AND(DT$5&gt;$E25,DT$5&lt;=$F25),IF(DT$5=$E25+1,$C25,""),"")</f>
        <v/>
      </c>
      <c r="DU25" s="34">
        <f>IF(AND(DU$5&gt;$E25,DU$5&lt;=$F25),IF(DU$5=$E25+1,$C25,""),"")</f>
        <v/>
      </c>
      <c r="DV25" s="34">
        <f>IF(AND(DV$5&gt;$E25,DV$5&lt;=$F25),IF(DV$5=$E25+1,$C25,""),"")</f>
        <v/>
      </c>
      <c r="DW25" s="34">
        <f>IF(AND(DW$5&gt;$E25,DW$5&lt;=$F25),IF(DW$5=$E25+1,$C25,""),"")</f>
        <v/>
      </c>
      <c r="DX25" s="34">
        <f>IF(AND(DX$5&gt;$E25,DX$5&lt;=$F25),IF(DX$5=$E25+1,$C25,""),"")</f>
        <v/>
      </c>
      <c r="DY25" s="34">
        <f>IF(AND(DY$5&gt;$E25,DY$5&lt;=$F25),IF(DY$5=$E25+1,$C25,""),"")</f>
        <v/>
      </c>
      <c r="DZ25" s="34">
        <f>IF(AND(DZ$5&gt;$E25,DZ$5&lt;=$F25),IF(DZ$5=$E25+1,$C25,""),"")</f>
        <v/>
      </c>
      <c r="EA25" s="34">
        <f>IF(AND(EA$5&gt;$E25,EA$5&lt;=$F25),IF(EA$5=$E25+1,$C25,""),"")</f>
        <v/>
      </c>
      <c r="EB25" s="34">
        <f>IF(AND(EB$5&gt;$E25,EB$5&lt;=$F25),IF(EB$5=$E25+1,$C25,""),"")</f>
        <v/>
      </c>
      <c r="EC25" s="34">
        <f>IF(AND(EC$5&gt;$E25,EC$5&lt;=$F25),IF(EC$5=$E25+1,$C25,""),"")</f>
        <v/>
      </c>
      <c r="ED25" s="34">
        <f>IF(AND(ED$5&gt;$E25,ED$5&lt;=$F25),IF(ED$5=$E25+1,$C25,""),"")</f>
        <v/>
      </c>
      <c r="EE25" s="34">
        <f>IF(AND(EE$5&gt;$E25,EE$5&lt;=$F25),IF(EE$5=$E25+1,$C25,""),"")</f>
        <v/>
      </c>
      <c r="EF25" s="34">
        <f>IF(AND(EF$5&gt;$E25,EF$5&lt;=$F25),IF(EF$5=$E25+1,$C25,""),"")</f>
        <v/>
      </c>
      <c r="EG25" s="34">
        <f>IF(AND(EG$5&gt;$E25,EG$5&lt;=$F25),IF(EG$5=$E25+1,$C25,""),"")</f>
        <v/>
      </c>
      <c r="EH25" s="34">
        <f>IF(AND(EH$5&gt;$E25,EH$5&lt;=$F25),IF(EH$5=$E25+1,$C25,""),"")</f>
        <v/>
      </c>
      <c r="EI25" s="34">
        <f>IF(AND(EI$5&gt;$E25,EI$5&lt;=$F25),IF(EI$5=$E25+1,$C25,""),"")</f>
        <v/>
      </c>
      <c r="EJ25" s="34">
        <f>IF(AND(EJ$5&gt;$E25,EJ$5&lt;=$F25),IF(EJ$5=$E25+1,$C25,""),"")</f>
        <v/>
      </c>
      <c r="EK25" s="34">
        <f>IF(AND(EK$5&gt;$E25,EK$5&lt;=$F25),IF(EK$5=$E25+1,$C25,""),"")</f>
        <v/>
      </c>
      <c r="EL25" s="34">
        <f>IF(AND(EL$5&gt;$E25,EL$5&lt;=$F25),IF(EL$5=$E25+1,$C25,""),"")</f>
        <v/>
      </c>
      <c r="EM25" s="34">
        <f>IF(AND(EM$5&gt;$E25,EM$5&lt;=$F25),IF(EM$5=$E25+1,$C25,""),"")</f>
        <v/>
      </c>
      <c r="EN25" s="34">
        <f>IF(AND(EN$5&gt;$E25,EN$5&lt;=$F25),IF(EN$5=$E25+1,$C25,""),"")</f>
        <v/>
      </c>
      <c r="EO25" s="34">
        <f>IF(AND(EO$5&gt;$E25,EO$5&lt;=$F25),IF(EO$5=$E25+1,$C25,""),"")</f>
        <v/>
      </c>
      <c r="EP25" s="34">
        <f>IF(AND(EP$5&gt;$E25,EP$5&lt;=$F25),IF(EP$5=$E25+1,$C25,""),"")</f>
        <v/>
      </c>
      <c r="EQ25" s="34">
        <f>IF(AND(EQ$5&gt;$E25,EQ$5&lt;=$F25),IF(EQ$5=$E25+1,$C25,""),"")</f>
        <v/>
      </c>
      <c r="ER25" s="34">
        <f>IF(AND(ER$5&gt;$E25,ER$5&lt;=$F25),IF(ER$5=$E25+1,$C25,""),"")</f>
        <v/>
      </c>
      <c r="ES25" s="34">
        <f>IF(AND(ES$5&gt;$E25,ES$5&lt;=$F25),IF(ES$5=$E25+1,$C25,""),"")</f>
        <v/>
      </c>
      <c r="ET25" s="34">
        <f>IF(AND(ET$5&gt;$E25,ET$5&lt;=$F25),IF(ET$5=$E25+1,$C25,""),"")</f>
        <v/>
      </c>
      <c r="EU25" s="34">
        <f>IF(AND(EU$5&gt;$E25,EU$5&lt;=$F25),IF(EU$5=$E25+1,$C25,""),"")</f>
        <v/>
      </c>
      <c r="EV25" s="34">
        <f>IF(AND(EV$5&gt;$E25,EV$5&lt;=$F25),IF(EV$5=$E25+1,$C25,""),"")</f>
        <v/>
      </c>
      <c r="EW25" s="34">
        <f>IF(AND(EW$5&gt;$E25,EW$5&lt;=$F25),IF(EW$5=$E25+1,$C25,""),"")</f>
        <v/>
      </c>
      <c r="EX25" s="34">
        <f>IF(AND(EX$5&gt;$E25,EX$5&lt;=$F25),IF(EX$5=$E25+1,$C25,""),"")</f>
        <v/>
      </c>
      <c r="EY25" s="34">
        <f>IF(AND(EY$5&gt;$E25,EY$5&lt;=$F25),IF(EY$5=$E25+1,$C25,""),"")</f>
        <v/>
      </c>
      <c r="EZ25" s="34">
        <f>IF(AND(EZ$5&gt;$E25,EZ$5&lt;=$F25),IF(EZ$5=$E25+1,$C25,""),"")</f>
        <v/>
      </c>
      <c r="FA25" s="34">
        <f>IF(AND(FA$5&gt;$E25,FA$5&lt;=$F25),IF(FA$5=$E25+1,$C25,""),"")</f>
        <v/>
      </c>
    </row>
    <row r="26">
      <c r="A26" s="32">
        <f>Plan!A20</f>
        <v/>
      </c>
      <c r="B26" s="33">
        <f>Plan!C20</f>
        <v/>
      </c>
      <c r="C26" s="16">
        <f>Plan!D20</f>
        <v/>
      </c>
      <c r="D26" s="16">
        <f>Plan!I20</f>
        <v/>
      </c>
      <c r="E26" s="16">
        <f>Plan!K20</f>
        <v/>
      </c>
      <c r="F26" s="16">
        <f>Plan!L20</f>
        <v/>
      </c>
      <c r="G26" s="16">
        <f>Plan!O20</f>
        <v/>
      </c>
      <c r="H26" s="34">
        <f>IF(AND(H$5&gt;$E26,H$5&lt;=$F26),IF(H$5=$E26+1,$C26,""),"")</f>
        <v/>
      </c>
      <c r="I26" s="34">
        <f>IF(AND(I$5&gt;$E26,I$5&lt;=$F26),IF(I$5=$E26+1,$C26,""),"")</f>
        <v/>
      </c>
      <c r="J26" s="34">
        <f>IF(AND(J$5&gt;$E26,J$5&lt;=$F26),IF(J$5=$E26+1,$C26,""),"")</f>
        <v/>
      </c>
      <c r="K26" s="34">
        <f>IF(AND(K$5&gt;$E26,K$5&lt;=$F26),IF(K$5=$E26+1,$C26,""),"")</f>
        <v/>
      </c>
      <c r="L26" s="34">
        <f>IF(AND(L$5&gt;$E26,L$5&lt;=$F26),IF(L$5=$E26+1,$C26,""),"")</f>
        <v/>
      </c>
      <c r="M26" s="34">
        <f>IF(AND(M$5&gt;$E26,M$5&lt;=$F26),IF(M$5=$E26+1,$C26,""),"")</f>
        <v/>
      </c>
      <c r="N26" s="34">
        <f>IF(AND(N$5&gt;$E26,N$5&lt;=$F26),IF(N$5=$E26+1,$C26,""),"")</f>
        <v/>
      </c>
      <c r="O26" s="34">
        <f>IF(AND(O$5&gt;$E26,O$5&lt;=$F26),IF(O$5=$E26+1,$C26,""),"")</f>
        <v/>
      </c>
      <c r="P26" s="34">
        <f>IF(AND(P$5&gt;$E26,P$5&lt;=$F26),IF(P$5=$E26+1,$C26,""),"")</f>
        <v/>
      </c>
      <c r="Q26" s="34">
        <f>IF(AND(Q$5&gt;$E26,Q$5&lt;=$F26),IF(Q$5=$E26+1,$C26,""),"")</f>
        <v/>
      </c>
      <c r="R26" s="34">
        <f>IF(AND(R$5&gt;$E26,R$5&lt;=$F26),IF(R$5=$E26+1,$C26,""),"")</f>
        <v/>
      </c>
      <c r="S26" s="34">
        <f>IF(AND(S$5&gt;$E26,S$5&lt;=$F26),IF(S$5=$E26+1,$C26,""),"")</f>
        <v/>
      </c>
      <c r="T26" s="34">
        <f>IF(AND(T$5&gt;$E26,T$5&lt;=$F26),IF(T$5=$E26+1,$C26,""),"")</f>
        <v/>
      </c>
      <c r="U26" s="34">
        <f>IF(AND(U$5&gt;$E26,U$5&lt;=$F26),IF(U$5=$E26+1,$C26,""),"")</f>
        <v/>
      </c>
      <c r="V26" s="34">
        <f>IF(AND(V$5&gt;$E26,V$5&lt;=$F26),IF(V$5=$E26+1,$C26,""),"")</f>
        <v/>
      </c>
      <c r="W26" s="34">
        <f>IF(AND(W$5&gt;$E26,W$5&lt;=$F26),IF(W$5=$E26+1,$C26,""),"")</f>
        <v/>
      </c>
      <c r="X26" s="34">
        <f>IF(AND(X$5&gt;$E26,X$5&lt;=$F26),IF(X$5=$E26+1,$C26,""),"")</f>
        <v/>
      </c>
      <c r="Y26" s="34">
        <f>IF(AND(Y$5&gt;$E26,Y$5&lt;=$F26),IF(Y$5=$E26+1,$C26,""),"")</f>
        <v/>
      </c>
      <c r="Z26" s="34">
        <f>IF(AND(Z$5&gt;$E26,Z$5&lt;=$F26),IF(Z$5=$E26+1,$C26,""),"")</f>
        <v/>
      </c>
      <c r="AA26" s="34">
        <f>IF(AND(AA$5&gt;$E26,AA$5&lt;=$F26),IF(AA$5=$E26+1,$C26,""),"")</f>
        <v/>
      </c>
      <c r="AB26" s="34">
        <f>IF(AND(AB$5&gt;$E26,AB$5&lt;=$F26),IF(AB$5=$E26+1,$C26,""),"")</f>
        <v/>
      </c>
      <c r="AC26" s="34">
        <f>IF(AND(AC$5&gt;$E26,AC$5&lt;=$F26),IF(AC$5=$E26+1,$C26,""),"")</f>
        <v/>
      </c>
      <c r="AD26" s="34">
        <f>IF(AND(AD$5&gt;$E26,AD$5&lt;=$F26),IF(AD$5=$E26+1,$C26,""),"")</f>
        <v/>
      </c>
      <c r="AE26" s="34">
        <f>IF(AND(AE$5&gt;$E26,AE$5&lt;=$F26),IF(AE$5=$E26+1,$C26,""),"")</f>
        <v/>
      </c>
      <c r="AF26" s="34">
        <f>IF(AND(AF$5&gt;$E26,AF$5&lt;=$F26),IF(AF$5=$E26+1,$C26,""),"")</f>
        <v/>
      </c>
      <c r="AG26" s="34">
        <f>IF(AND(AG$5&gt;$E26,AG$5&lt;=$F26),IF(AG$5=$E26+1,$C26,""),"")</f>
        <v/>
      </c>
      <c r="AH26" s="34">
        <f>IF(AND(AH$5&gt;$E26,AH$5&lt;=$F26),IF(AH$5=$E26+1,$C26,""),"")</f>
        <v/>
      </c>
      <c r="AI26" s="34">
        <f>IF(AND(AI$5&gt;$E26,AI$5&lt;=$F26),IF(AI$5=$E26+1,$C26,""),"")</f>
        <v/>
      </c>
      <c r="AJ26" s="34">
        <f>IF(AND(AJ$5&gt;$E26,AJ$5&lt;=$F26),IF(AJ$5=$E26+1,$C26,""),"")</f>
        <v/>
      </c>
      <c r="AK26" s="34">
        <f>IF(AND(AK$5&gt;$E26,AK$5&lt;=$F26),IF(AK$5=$E26+1,$C26,""),"")</f>
        <v/>
      </c>
      <c r="AL26" s="34">
        <f>IF(AND(AL$5&gt;$E26,AL$5&lt;=$F26),IF(AL$5=$E26+1,$C26,""),"")</f>
        <v/>
      </c>
      <c r="AM26" s="34">
        <f>IF(AND(AM$5&gt;$E26,AM$5&lt;=$F26),IF(AM$5=$E26+1,$C26,""),"")</f>
        <v/>
      </c>
      <c r="AN26" s="34">
        <f>IF(AND(AN$5&gt;$E26,AN$5&lt;=$F26),IF(AN$5=$E26+1,$C26,""),"")</f>
        <v/>
      </c>
      <c r="AO26" s="34">
        <f>IF(AND(AO$5&gt;$E26,AO$5&lt;=$F26),IF(AO$5=$E26+1,$C26,""),"")</f>
        <v/>
      </c>
      <c r="AP26" s="34">
        <f>IF(AND(AP$5&gt;$E26,AP$5&lt;=$F26),IF(AP$5=$E26+1,$C26,""),"")</f>
        <v/>
      </c>
      <c r="AQ26" s="34">
        <f>IF(AND(AQ$5&gt;$E26,AQ$5&lt;=$F26),IF(AQ$5=$E26+1,$C26,""),"")</f>
        <v/>
      </c>
      <c r="AR26" s="34">
        <f>IF(AND(AR$5&gt;$E26,AR$5&lt;=$F26),IF(AR$5=$E26+1,$C26,""),"")</f>
        <v/>
      </c>
      <c r="AS26" s="34">
        <f>IF(AND(AS$5&gt;$E26,AS$5&lt;=$F26),IF(AS$5=$E26+1,$C26,""),"")</f>
        <v/>
      </c>
      <c r="AT26" s="34">
        <f>IF(AND(AT$5&gt;$E26,AT$5&lt;=$F26),IF(AT$5=$E26+1,$C26,""),"")</f>
        <v/>
      </c>
      <c r="AU26" s="34">
        <f>IF(AND(AU$5&gt;$E26,AU$5&lt;=$F26),IF(AU$5=$E26+1,$C26,""),"")</f>
        <v/>
      </c>
      <c r="AV26" s="34">
        <f>IF(AND(AV$5&gt;$E26,AV$5&lt;=$F26),IF(AV$5=$E26+1,$C26,""),"")</f>
        <v/>
      </c>
      <c r="AW26" s="34">
        <f>IF(AND(AW$5&gt;$E26,AW$5&lt;=$F26),IF(AW$5=$E26+1,$C26,""),"")</f>
        <v/>
      </c>
      <c r="AX26" s="34">
        <f>IF(AND(AX$5&gt;$E26,AX$5&lt;=$F26),IF(AX$5=$E26+1,$C26,""),"")</f>
        <v/>
      </c>
      <c r="AY26" s="34">
        <f>IF(AND(AY$5&gt;$E26,AY$5&lt;=$F26),IF(AY$5=$E26+1,$C26,""),"")</f>
        <v/>
      </c>
      <c r="AZ26" s="34">
        <f>IF(AND(AZ$5&gt;$E26,AZ$5&lt;=$F26),IF(AZ$5=$E26+1,$C26,""),"")</f>
        <v/>
      </c>
      <c r="BA26" s="34">
        <f>IF(AND(BA$5&gt;$E26,BA$5&lt;=$F26),IF(BA$5=$E26+1,$C26,""),"")</f>
        <v/>
      </c>
      <c r="BB26" s="34">
        <f>IF(AND(BB$5&gt;$E26,BB$5&lt;=$F26),IF(BB$5=$E26+1,$C26,""),"")</f>
        <v/>
      </c>
      <c r="BC26" s="34">
        <f>IF(AND(BC$5&gt;$E26,BC$5&lt;=$F26),IF(BC$5=$E26+1,$C26,""),"")</f>
        <v/>
      </c>
      <c r="BD26" s="34">
        <f>IF(AND(BD$5&gt;$E26,BD$5&lt;=$F26),IF(BD$5=$E26+1,$C26,""),"")</f>
        <v/>
      </c>
      <c r="BE26" s="34">
        <f>IF(AND(BE$5&gt;$E26,BE$5&lt;=$F26),IF(BE$5=$E26+1,$C26,""),"")</f>
        <v/>
      </c>
      <c r="BF26" s="34">
        <f>IF(AND(BF$5&gt;$E26,BF$5&lt;=$F26),IF(BF$5=$E26+1,$C26,""),"")</f>
        <v/>
      </c>
      <c r="BG26" s="34">
        <f>IF(AND(BG$5&gt;$E26,BG$5&lt;=$F26),IF(BG$5=$E26+1,$C26,""),"")</f>
        <v/>
      </c>
      <c r="BH26" s="34">
        <f>IF(AND(BH$5&gt;$E26,BH$5&lt;=$F26),IF(BH$5=$E26+1,$C26,""),"")</f>
        <v/>
      </c>
      <c r="BI26" s="34">
        <f>IF(AND(BI$5&gt;$E26,BI$5&lt;=$F26),IF(BI$5=$E26+1,$C26,""),"")</f>
        <v/>
      </c>
      <c r="BJ26" s="34">
        <f>IF(AND(BJ$5&gt;$E26,BJ$5&lt;=$F26),IF(BJ$5=$E26+1,$C26,""),"")</f>
        <v/>
      </c>
      <c r="BK26" s="34">
        <f>IF(AND(BK$5&gt;$E26,BK$5&lt;=$F26),IF(BK$5=$E26+1,$C26,""),"")</f>
        <v/>
      </c>
      <c r="BL26" s="34">
        <f>IF(AND(BL$5&gt;$E26,BL$5&lt;=$F26),IF(BL$5=$E26+1,$C26,""),"")</f>
        <v/>
      </c>
      <c r="BM26" s="34">
        <f>IF(AND(BM$5&gt;$E26,BM$5&lt;=$F26),IF(BM$5=$E26+1,$C26,""),"")</f>
        <v/>
      </c>
      <c r="BN26" s="34">
        <f>IF(AND(BN$5&gt;$E26,BN$5&lt;=$F26),IF(BN$5=$E26+1,$C26,""),"")</f>
        <v/>
      </c>
      <c r="BO26" s="34">
        <f>IF(AND(BO$5&gt;$E26,BO$5&lt;=$F26),IF(BO$5=$E26+1,$C26,""),"")</f>
        <v/>
      </c>
      <c r="BP26" s="34">
        <f>IF(AND(BP$5&gt;$E26,BP$5&lt;=$F26),IF(BP$5=$E26+1,$C26,""),"")</f>
        <v/>
      </c>
      <c r="BQ26" s="34">
        <f>IF(AND(BQ$5&gt;$E26,BQ$5&lt;=$F26),IF(BQ$5=$E26+1,$C26,""),"")</f>
        <v/>
      </c>
      <c r="BR26" s="34">
        <f>IF(AND(BR$5&gt;$E26,BR$5&lt;=$F26),IF(BR$5=$E26+1,$C26,""),"")</f>
        <v/>
      </c>
      <c r="BS26" s="34">
        <f>IF(AND(BS$5&gt;$E26,BS$5&lt;=$F26),IF(BS$5=$E26+1,$C26,""),"")</f>
        <v/>
      </c>
      <c r="BT26" s="34">
        <f>IF(AND(BT$5&gt;$E26,BT$5&lt;=$F26),IF(BT$5=$E26+1,$C26,""),"")</f>
        <v/>
      </c>
      <c r="BU26" s="34">
        <f>IF(AND(BU$5&gt;$E26,BU$5&lt;=$F26),IF(BU$5=$E26+1,$C26,""),"")</f>
        <v/>
      </c>
      <c r="BV26" s="34">
        <f>IF(AND(BV$5&gt;$E26,BV$5&lt;=$F26),IF(BV$5=$E26+1,$C26,""),"")</f>
        <v/>
      </c>
      <c r="BW26" s="34">
        <f>IF(AND(BW$5&gt;$E26,BW$5&lt;=$F26),IF(BW$5=$E26+1,$C26,""),"")</f>
        <v/>
      </c>
      <c r="BX26" s="34">
        <f>IF(AND(BX$5&gt;$E26,BX$5&lt;=$F26),IF(BX$5=$E26+1,$C26,""),"")</f>
        <v/>
      </c>
      <c r="BY26" s="34">
        <f>IF(AND(BY$5&gt;$E26,BY$5&lt;=$F26),IF(BY$5=$E26+1,$C26,""),"")</f>
        <v/>
      </c>
      <c r="BZ26" s="34">
        <f>IF(AND(BZ$5&gt;$E26,BZ$5&lt;=$F26),IF(BZ$5=$E26+1,$C26,""),"")</f>
        <v/>
      </c>
      <c r="CA26" s="34">
        <f>IF(AND(CA$5&gt;$E26,CA$5&lt;=$F26),IF(CA$5=$E26+1,$C26,""),"")</f>
        <v/>
      </c>
      <c r="CB26" s="34">
        <f>IF(AND(CB$5&gt;$E26,CB$5&lt;=$F26),IF(CB$5=$E26+1,$C26,""),"")</f>
        <v/>
      </c>
      <c r="CC26" s="34">
        <f>IF(AND(CC$5&gt;$E26,CC$5&lt;=$F26),IF(CC$5=$E26+1,$C26,""),"")</f>
        <v/>
      </c>
      <c r="CD26" s="34">
        <f>IF(AND(CD$5&gt;$E26,CD$5&lt;=$F26),IF(CD$5=$E26+1,$C26,""),"")</f>
        <v/>
      </c>
      <c r="CE26" s="34">
        <f>IF(AND(CE$5&gt;$E26,CE$5&lt;=$F26),IF(CE$5=$E26+1,$C26,""),"")</f>
        <v/>
      </c>
      <c r="CF26" s="34">
        <f>IF(AND(CF$5&gt;$E26,CF$5&lt;=$F26),IF(CF$5=$E26+1,$C26,""),"")</f>
        <v/>
      </c>
      <c r="CG26" s="34">
        <f>IF(AND(CG$5&gt;$E26,CG$5&lt;=$F26),IF(CG$5=$E26+1,$C26,""),"")</f>
        <v/>
      </c>
      <c r="CH26" s="34">
        <f>IF(AND(CH$5&gt;$E26,CH$5&lt;=$F26),IF(CH$5=$E26+1,$C26,""),"")</f>
        <v/>
      </c>
      <c r="CI26" s="34">
        <f>IF(AND(CI$5&gt;$E26,CI$5&lt;=$F26),IF(CI$5=$E26+1,$C26,""),"")</f>
        <v/>
      </c>
      <c r="CJ26" s="34">
        <f>IF(AND(CJ$5&gt;$E26,CJ$5&lt;=$F26),IF(CJ$5=$E26+1,$C26,""),"")</f>
        <v/>
      </c>
      <c r="CK26" s="34">
        <f>IF(AND(CK$5&gt;$E26,CK$5&lt;=$F26),IF(CK$5=$E26+1,$C26,""),"")</f>
        <v/>
      </c>
      <c r="CL26" s="34">
        <f>IF(AND(CL$5&gt;$E26,CL$5&lt;=$F26),IF(CL$5=$E26+1,$C26,""),"")</f>
        <v/>
      </c>
      <c r="CM26" s="34">
        <f>IF(AND(CM$5&gt;$E26,CM$5&lt;=$F26),IF(CM$5=$E26+1,$C26,""),"")</f>
        <v/>
      </c>
      <c r="CN26" s="34">
        <f>IF(AND(CN$5&gt;$E26,CN$5&lt;=$F26),IF(CN$5=$E26+1,$C26,""),"")</f>
        <v/>
      </c>
      <c r="CO26" s="34">
        <f>IF(AND(CO$5&gt;$E26,CO$5&lt;=$F26),IF(CO$5=$E26+1,$C26,""),"")</f>
        <v/>
      </c>
      <c r="CP26" s="34">
        <f>IF(AND(CP$5&gt;$E26,CP$5&lt;=$F26),IF(CP$5=$E26+1,$C26,""),"")</f>
        <v/>
      </c>
      <c r="CQ26" s="34">
        <f>IF(AND(CQ$5&gt;$E26,CQ$5&lt;=$F26),IF(CQ$5=$E26+1,$C26,""),"")</f>
        <v/>
      </c>
      <c r="CR26" s="34">
        <f>IF(AND(CR$5&gt;$E26,CR$5&lt;=$F26),IF(CR$5=$E26+1,$C26,""),"")</f>
        <v/>
      </c>
      <c r="CS26" s="34">
        <f>IF(AND(CS$5&gt;$E26,CS$5&lt;=$F26),IF(CS$5=$E26+1,$C26,""),"")</f>
        <v/>
      </c>
      <c r="CT26" s="34">
        <f>IF(AND(CT$5&gt;$E26,CT$5&lt;=$F26),IF(CT$5=$E26+1,$C26,""),"")</f>
        <v/>
      </c>
      <c r="CU26" s="34">
        <f>IF(AND(CU$5&gt;$E26,CU$5&lt;=$F26),IF(CU$5=$E26+1,$C26,""),"")</f>
        <v/>
      </c>
      <c r="CV26" s="34">
        <f>IF(AND(CV$5&gt;$E26,CV$5&lt;=$F26),IF(CV$5=$E26+1,$C26,""),"")</f>
        <v/>
      </c>
      <c r="CW26" s="34">
        <f>IF(AND(CW$5&gt;$E26,CW$5&lt;=$F26),IF(CW$5=$E26+1,$C26,""),"")</f>
        <v/>
      </c>
      <c r="CX26" s="34">
        <f>IF(AND(CX$5&gt;$E26,CX$5&lt;=$F26),IF(CX$5=$E26+1,$C26,""),"")</f>
        <v/>
      </c>
      <c r="CY26" s="34">
        <f>IF(AND(CY$5&gt;$E26,CY$5&lt;=$F26),IF(CY$5=$E26+1,$C26,""),"")</f>
        <v/>
      </c>
      <c r="CZ26" s="34">
        <f>IF(AND(CZ$5&gt;$E26,CZ$5&lt;=$F26),IF(CZ$5=$E26+1,$C26,""),"")</f>
        <v/>
      </c>
      <c r="DA26" s="34">
        <f>IF(AND(DA$5&gt;$E26,DA$5&lt;=$F26),IF(DA$5=$E26+1,$C26,""),"")</f>
        <v/>
      </c>
      <c r="DB26" s="34">
        <f>IF(AND(DB$5&gt;$E26,DB$5&lt;=$F26),IF(DB$5=$E26+1,$C26,""),"")</f>
        <v/>
      </c>
      <c r="DC26" s="34">
        <f>IF(AND(DC$5&gt;$E26,DC$5&lt;=$F26),IF(DC$5=$E26+1,$C26,""),"")</f>
        <v/>
      </c>
      <c r="DD26" s="34">
        <f>IF(AND(DD$5&gt;$E26,DD$5&lt;=$F26),IF(DD$5=$E26+1,$C26,""),"")</f>
        <v/>
      </c>
      <c r="DE26" s="34">
        <f>IF(AND(DE$5&gt;$E26,DE$5&lt;=$F26),IF(DE$5=$E26+1,$C26,""),"")</f>
        <v/>
      </c>
      <c r="DF26" s="34">
        <f>IF(AND(DF$5&gt;$E26,DF$5&lt;=$F26),IF(DF$5=$E26+1,$C26,""),"")</f>
        <v/>
      </c>
      <c r="DG26" s="34">
        <f>IF(AND(DG$5&gt;$E26,DG$5&lt;=$F26),IF(DG$5=$E26+1,$C26,""),"")</f>
        <v/>
      </c>
      <c r="DH26" s="34">
        <f>IF(AND(DH$5&gt;$E26,DH$5&lt;=$F26),IF(DH$5=$E26+1,$C26,""),"")</f>
        <v/>
      </c>
      <c r="DI26" s="34">
        <f>IF(AND(DI$5&gt;$E26,DI$5&lt;=$F26),IF(DI$5=$E26+1,$C26,""),"")</f>
        <v/>
      </c>
      <c r="DJ26" s="34">
        <f>IF(AND(DJ$5&gt;$E26,DJ$5&lt;=$F26),IF(DJ$5=$E26+1,$C26,""),"")</f>
        <v/>
      </c>
      <c r="DK26" s="34">
        <f>IF(AND(DK$5&gt;$E26,DK$5&lt;=$F26),IF(DK$5=$E26+1,$C26,""),"")</f>
        <v/>
      </c>
      <c r="DL26" s="34">
        <f>IF(AND(DL$5&gt;$E26,DL$5&lt;=$F26),IF(DL$5=$E26+1,$C26,""),"")</f>
        <v/>
      </c>
      <c r="DM26" s="34">
        <f>IF(AND(DM$5&gt;$E26,DM$5&lt;=$F26),IF(DM$5=$E26+1,$C26,""),"")</f>
        <v/>
      </c>
      <c r="DN26" s="34">
        <f>IF(AND(DN$5&gt;$E26,DN$5&lt;=$F26),IF(DN$5=$E26+1,$C26,""),"")</f>
        <v/>
      </c>
      <c r="DO26" s="34">
        <f>IF(AND(DO$5&gt;$E26,DO$5&lt;=$F26),IF(DO$5=$E26+1,$C26,""),"")</f>
        <v/>
      </c>
      <c r="DP26" s="34">
        <f>IF(AND(DP$5&gt;$E26,DP$5&lt;=$F26),IF(DP$5=$E26+1,$C26,""),"")</f>
        <v/>
      </c>
      <c r="DQ26" s="34">
        <f>IF(AND(DQ$5&gt;$E26,DQ$5&lt;=$F26),IF(DQ$5=$E26+1,$C26,""),"")</f>
        <v/>
      </c>
      <c r="DR26" s="34">
        <f>IF(AND(DR$5&gt;$E26,DR$5&lt;=$F26),IF(DR$5=$E26+1,$C26,""),"")</f>
        <v/>
      </c>
      <c r="DS26" s="34">
        <f>IF(AND(DS$5&gt;$E26,DS$5&lt;=$F26),IF(DS$5=$E26+1,$C26,""),"")</f>
        <v/>
      </c>
      <c r="DT26" s="34">
        <f>IF(AND(DT$5&gt;$E26,DT$5&lt;=$F26),IF(DT$5=$E26+1,$C26,""),"")</f>
        <v/>
      </c>
      <c r="DU26" s="34">
        <f>IF(AND(DU$5&gt;$E26,DU$5&lt;=$F26),IF(DU$5=$E26+1,$C26,""),"")</f>
        <v/>
      </c>
      <c r="DV26" s="34">
        <f>IF(AND(DV$5&gt;$E26,DV$5&lt;=$F26),IF(DV$5=$E26+1,$C26,""),"")</f>
        <v/>
      </c>
      <c r="DW26" s="34">
        <f>IF(AND(DW$5&gt;$E26,DW$5&lt;=$F26),IF(DW$5=$E26+1,$C26,""),"")</f>
        <v/>
      </c>
      <c r="DX26" s="34">
        <f>IF(AND(DX$5&gt;$E26,DX$5&lt;=$F26),IF(DX$5=$E26+1,$C26,""),"")</f>
        <v/>
      </c>
      <c r="DY26" s="34">
        <f>IF(AND(DY$5&gt;$E26,DY$5&lt;=$F26),IF(DY$5=$E26+1,$C26,""),"")</f>
        <v/>
      </c>
      <c r="DZ26" s="34">
        <f>IF(AND(DZ$5&gt;$E26,DZ$5&lt;=$F26),IF(DZ$5=$E26+1,$C26,""),"")</f>
        <v/>
      </c>
      <c r="EA26" s="34">
        <f>IF(AND(EA$5&gt;$E26,EA$5&lt;=$F26),IF(EA$5=$E26+1,$C26,""),"")</f>
        <v/>
      </c>
      <c r="EB26" s="34">
        <f>IF(AND(EB$5&gt;$E26,EB$5&lt;=$F26),IF(EB$5=$E26+1,$C26,""),"")</f>
        <v/>
      </c>
      <c r="EC26" s="34">
        <f>IF(AND(EC$5&gt;$E26,EC$5&lt;=$F26),IF(EC$5=$E26+1,$C26,""),"")</f>
        <v/>
      </c>
      <c r="ED26" s="34">
        <f>IF(AND(ED$5&gt;$E26,ED$5&lt;=$F26),IF(ED$5=$E26+1,$C26,""),"")</f>
        <v/>
      </c>
      <c r="EE26" s="34">
        <f>IF(AND(EE$5&gt;$E26,EE$5&lt;=$F26),IF(EE$5=$E26+1,$C26,""),"")</f>
        <v/>
      </c>
      <c r="EF26" s="34">
        <f>IF(AND(EF$5&gt;$E26,EF$5&lt;=$F26),IF(EF$5=$E26+1,$C26,""),"")</f>
        <v/>
      </c>
      <c r="EG26" s="34">
        <f>IF(AND(EG$5&gt;$E26,EG$5&lt;=$F26),IF(EG$5=$E26+1,$C26,""),"")</f>
        <v/>
      </c>
      <c r="EH26" s="34">
        <f>IF(AND(EH$5&gt;$E26,EH$5&lt;=$F26),IF(EH$5=$E26+1,$C26,""),"")</f>
        <v/>
      </c>
      <c r="EI26" s="34">
        <f>IF(AND(EI$5&gt;$E26,EI$5&lt;=$F26),IF(EI$5=$E26+1,$C26,""),"")</f>
        <v/>
      </c>
      <c r="EJ26" s="34">
        <f>IF(AND(EJ$5&gt;$E26,EJ$5&lt;=$F26),IF(EJ$5=$E26+1,$C26,""),"")</f>
        <v/>
      </c>
      <c r="EK26" s="34">
        <f>IF(AND(EK$5&gt;$E26,EK$5&lt;=$F26),IF(EK$5=$E26+1,$C26,""),"")</f>
        <v/>
      </c>
      <c r="EL26" s="34">
        <f>IF(AND(EL$5&gt;$E26,EL$5&lt;=$F26),IF(EL$5=$E26+1,$C26,""),"")</f>
        <v/>
      </c>
      <c r="EM26" s="34">
        <f>IF(AND(EM$5&gt;$E26,EM$5&lt;=$F26),IF(EM$5=$E26+1,$C26,""),"")</f>
        <v/>
      </c>
      <c r="EN26" s="34">
        <f>IF(AND(EN$5&gt;$E26,EN$5&lt;=$F26),IF(EN$5=$E26+1,$C26,""),"")</f>
        <v/>
      </c>
      <c r="EO26" s="34">
        <f>IF(AND(EO$5&gt;$E26,EO$5&lt;=$F26),IF(EO$5=$E26+1,$C26,""),"")</f>
        <v/>
      </c>
      <c r="EP26" s="34">
        <f>IF(AND(EP$5&gt;$E26,EP$5&lt;=$F26),IF(EP$5=$E26+1,$C26,""),"")</f>
        <v/>
      </c>
      <c r="EQ26" s="34">
        <f>IF(AND(EQ$5&gt;$E26,EQ$5&lt;=$F26),IF(EQ$5=$E26+1,$C26,""),"")</f>
        <v/>
      </c>
      <c r="ER26" s="34">
        <f>IF(AND(ER$5&gt;$E26,ER$5&lt;=$F26),IF(ER$5=$E26+1,$C26,""),"")</f>
        <v/>
      </c>
      <c r="ES26" s="34">
        <f>IF(AND(ES$5&gt;$E26,ES$5&lt;=$F26),IF(ES$5=$E26+1,$C26,""),"")</f>
        <v/>
      </c>
      <c r="ET26" s="34">
        <f>IF(AND(ET$5&gt;$E26,ET$5&lt;=$F26),IF(ET$5=$E26+1,$C26,""),"")</f>
        <v/>
      </c>
      <c r="EU26" s="34">
        <f>IF(AND(EU$5&gt;$E26,EU$5&lt;=$F26),IF(EU$5=$E26+1,$C26,""),"")</f>
        <v/>
      </c>
      <c r="EV26" s="34">
        <f>IF(AND(EV$5&gt;$E26,EV$5&lt;=$F26),IF(EV$5=$E26+1,$C26,""),"")</f>
        <v/>
      </c>
      <c r="EW26" s="34">
        <f>IF(AND(EW$5&gt;$E26,EW$5&lt;=$F26),IF(EW$5=$E26+1,$C26,""),"")</f>
        <v/>
      </c>
      <c r="EX26" s="34">
        <f>IF(AND(EX$5&gt;$E26,EX$5&lt;=$F26),IF(EX$5=$E26+1,$C26,""),"")</f>
        <v/>
      </c>
      <c r="EY26" s="34">
        <f>IF(AND(EY$5&gt;$E26,EY$5&lt;=$F26),IF(EY$5=$E26+1,$C26,""),"")</f>
        <v/>
      </c>
      <c r="EZ26" s="34">
        <f>IF(AND(EZ$5&gt;$E26,EZ$5&lt;=$F26),IF(EZ$5=$E26+1,$C26,""),"")</f>
        <v/>
      </c>
      <c r="FA26" s="34">
        <f>IF(AND(FA$5&gt;$E26,FA$5&lt;=$F26),IF(FA$5=$E26+1,$C26,""),"")</f>
        <v/>
      </c>
    </row>
    <row r="27">
      <c r="A27" s="32">
        <f>Plan!A21</f>
        <v/>
      </c>
      <c r="B27" s="33">
        <f>Plan!C21</f>
        <v/>
      </c>
      <c r="C27" s="16">
        <f>Plan!D21</f>
        <v/>
      </c>
      <c r="D27" s="16">
        <f>Plan!I21</f>
        <v/>
      </c>
      <c r="E27" s="16">
        <f>Plan!K21</f>
        <v/>
      </c>
      <c r="F27" s="16">
        <f>Plan!L21</f>
        <v/>
      </c>
      <c r="G27" s="16">
        <f>Plan!O21</f>
        <v/>
      </c>
      <c r="H27" s="34">
        <f>IF(AND(H$5&gt;$E27,H$5&lt;=$F27),IF(H$5=$E27+1,$C27,""),"")</f>
        <v/>
      </c>
      <c r="I27" s="34">
        <f>IF(AND(I$5&gt;$E27,I$5&lt;=$F27),IF(I$5=$E27+1,$C27,""),"")</f>
        <v/>
      </c>
      <c r="J27" s="34">
        <f>IF(AND(J$5&gt;$E27,J$5&lt;=$F27),IF(J$5=$E27+1,$C27,""),"")</f>
        <v/>
      </c>
      <c r="K27" s="34">
        <f>IF(AND(K$5&gt;$E27,K$5&lt;=$F27),IF(K$5=$E27+1,$C27,""),"")</f>
        <v/>
      </c>
      <c r="L27" s="34">
        <f>IF(AND(L$5&gt;$E27,L$5&lt;=$F27),IF(L$5=$E27+1,$C27,""),"")</f>
        <v/>
      </c>
      <c r="M27" s="34">
        <f>IF(AND(M$5&gt;$E27,M$5&lt;=$F27),IF(M$5=$E27+1,$C27,""),"")</f>
        <v/>
      </c>
      <c r="N27" s="34">
        <f>IF(AND(N$5&gt;$E27,N$5&lt;=$F27),IF(N$5=$E27+1,$C27,""),"")</f>
        <v/>
      </c>
      <c r="O27" s="34">
        <f>IF(AND(O$5&gt;$E27,O$5&lt;=$F27),IF(O$5=$E27+1,$C27,""),"")</f>
        <v/>
      </c>
      <c r="P27" s="34">
        <f>IF(AND(P$5&gt;$E27,P$5&lt;=$F27),IF(P$5=$E27+1,$C27,""),"")</f>
        <v/>
      </c>
      <c r="Q27" s="34">
        <f>IF(AND(Q$5&gt;$E27,Q$5&lt;=$F27),IF(Q$5=$E27+1,$C27,""),"")</f>
        <v/>
      </c>
      <c r="R27" s="34">
        <f>IF(AND(R$5&gt;$E27,R$5&lt;=$F27),IF(R$5=$E27+1,$C27,""),"")</f>
        <v/>
      </c>
      <c r="S27" s="34">
        <f>IF(AND(S$5&gt;$E27,S$5&lt;=$F27),IF(S$5=$E27+1,$C27,""),"")</f>
        <v/>
      </c>
      <c r="T27" s="34">
        <f>IF(AND(T$5&gt;$E27,T$5&lt;=$F27),IF(T$5=$E27+1,$C27,""),"")</f>
        <v/>
      </c>
      <c r="U27" s="34">
        <f>IF(AND(U$5&gt;$E27,U$5&lt;=$F27),IF(U$5=$E27+1,$C27,""),"")</f>
        <v/>
      </c>
      <c r="V27" s="34">
        <f>IF(AND(V$5&gt;$E27,V$5&lt;=$F27),IF(V$5=$E27+1,$C27,""),"")</f>
        <v/>
      </c>
      <c r="W27" s="34">
        <f>IF(AND(W$5&gt;$E27,W$5&lt;=$F27),IF(W$5=$E27+1,$C27,""),"")</f>
        <v/>
      </c>
      <c r="X27" s="34">
        <f>IF(AND(X$5&gt;$E27,X$5&lt;=$F27),IF(X$5=$E27+1,$C27,""),"")</f>
        <v/>
      </c>
      <c r="Y27" s="34">
        <f>IF(AND(Y$5&gt;$E27,Y$5&lt;=$F27),IF(Y$5=$E27+1,$C27,""),"")</f>
        <v/>
      </c>
      <c r="Z27" s="34">
        <f>IF(AND(Z$5&gt;$E27,Z$5&lt;=$F27),IF(Z$5=$E27+1,$C27,""),"")</f>
        <v/>
      </c>
      <c r="AA27" s="34">
        <f>IF(AND(AA$5&gt;$E27,AA$5&lt;=$F27),IF(AA$5=$E27+1,$C27,""),"")</f>
        <v/>
      </c>
      <c r="AB27" s="34">
        <f>IF(AND(AB$5&gt;$E27,AB$5&lt;=$F27),IF(AB$5=$E27+1,$C27,""),"")</f>
        <v/>
      </c>
      <c r="AC27" s="34">
        <f>IF(AND(AC$5&gt;$E27,AC$5&lt;=$F27),IF(AC$5=$E27+1,$C27,""),"")</f>
        <v/>
      </c>
      <c r="AD27" s="34">
        <f>IF(AND(AD$5&gt;$E27,AD$5&lt;=$F27),IF(AD$5=$E27+1,$C27,""),"")</f>
        <v/>
      </c>
      <c r="AE27" s="34">
        <f>IF(AND(AE$5&gt;$E27,AE$5&lt;=$F27),IF(AE$5=$E27+1,$C27,""),"")</f>
        <v/>
      </c>
      <c r="AF27" s="34">
        <f>IF(AND(AF$5&gt;$E27,AF$5&lt;=$F27),IF(AF$5=$E27+1,$C27,""),"")</f>
        <v/>
      </c>
      <c r="AG27" s="34">
        <f>IF(AND(AG$5&gt;$E27,AG$5&lt;=$F27),IF(AG$5=$E27+1,$C27,""),"")</f>
        <v/>
      </c>
      <c r="AH27" s="34">
        <f>IF(AND(AH$5&gt;$E27,AH$5&lt;=$F27),IF(AH$5=$E27+1,$C27,""),"")</f>
        <v/>
      </c>
      <c r="AI27" s="34">
        <f>IF(AND(AI$5&gt;$E27,AI$5&lt;=$F27),IF(AI$5=$E27+1,$C27,""),"")</f>
        <v/>
      </c>
      <c r="AJ27" s="34">
        <f>IF(AND(AJ$5&gt;$E27,AJ$5&lt;=$F27),IF(AJ$5=$E27+1,$C27,""),"")</f>
        <v/>
      </c>
      <c r="AK27" s="34">
        <f>IF(AND(AK$5&gt;$E27,AK$5&lt;=$F27),IF(AK$5=$E27+1,$C27,""),"")</f>
        <v/>
      </c>
      <c r="AL27" s="34">
        <f>IF(AND(AL$5&gt;$E27,AL$5&lt;=$F27),IF(AL$5=$E27+1,$C27,""),"")</f>
        <v/>
      </c>
      <c r="AM27" s="34">
        <f>IF(AND(AM$5&gt;$E27,AM$5&lt;=$F27),IF(AM$5=$E27+1,$C27,""),"")</f>
        <v/>
      </c>
      <c r="AN27" s="34">
        <f>IF(AND(AN$5&gt;$E27,AN$5&lt;=$F27),IF(AN$5=$E27+1,$C27,""),"")</f>
        <v/>
      </c>
      <c r="AO27" s="34">
        <f>IF(AND(AO$5&gt;$E27,AO$5&lt;=$F27),IF(AO$5=$E27+1,$C27,""),"")</f>
        <v/>
      </c>
      <c r="AP27" s="34">
        <f>IF(AND(AP$5&gt;$E27,AP$5&lt;=$F27),IF(AP$5=$E27+1,$C27,""),"")</f>
        <v/>
      </c>
      <c r="AQ27" s="34">
        <f>IF(AND(AQ$5&gt;$E27,AQ$5&lt;=$F27),IF(AQ$5=$E27+1,$C27,""),"")</f>
        <v/>
      </c>
      <c r="AR27" s="34">
        <f>IF(AND(AR$5&gt;$E27,AR$5&lt;=$F27),IF(AR$5=$E27+1,$C27,""),"")</f>
        <v/>
      </c>
      <c r="AS27" s="34">
        <f>IF(AND(AS$5&gt;$E27,AS$5&lt;=$F27),IF(AS$5=$E27+1,$C27,""),"")</f>
        <v/>
      </c>
      <c r="AT27" s="34">
        <f>IF(AND(AT$5&gt;$E27,AT$5&lt;=$F27),IF(AT$5=$E27+1,$C27,""),"")</f>
        <v/>
      </c>
      <c r="AU27" s="34">
        <f>IF(AND(AU$5&gt;$E27,AU$5&lt;=$F27),IF(AU$5=$E27+1,$C27,""),"")</f>
        <v/>
      </c>
      <c r="AV27" s="34">
        <f>IF(AND(AV$5&gt;$E27,AV$5&lt;=$F27),IF(AV$5=$E27+1,$C27,""),"")</f>
        <v/>
      </c>
      <c r="AW27" s="34">
        <f>IF(AND(AW$5&gt;$E27,AW$5&lt;=$F27),IF(AW$5=$E27+1,$C27,""),"")</f>
        <v/>
      </c>
      <c r="AX27" s="34">
        <f>IF(AND(AX$5&gt;$E27,AX$5&lt;=$F27),IF(AX$5=$E27+1,$C27,""),"")</f>
        <v/>
      </c>
      <c r="AY27" s="34">
        <f>IF(AND(AY$5&gt;$E27,AY$5&lt;=$F27),IF(AY$5=$E27+1,$C27,""),"")</f>
        <v/>
      </c>
      <c r="AZ27" s="34">
        <f>IF(AND(AZ$5&gt;$E27,AZ$5&lt;=$F27),IF(AZ$5=$E27+1,$C27,""),"")</f>
        <v/>
      </c>
      <c r="BA27" s="34">
        <f>IF(AND(BA$5&gt;$E27,BA$5&lt;=$F27),IF(BA$5=$E27+1,$C27,""),"")</f>
        <v/>
      </c>
      <c r="BB27" s="34">
        <f>IF(AND(BB$5&gt;$E27,BB$5&lt;=$F27),IF(BB$5=$E27+1,$C27,""),"")</f>
        <v/>
      </c>
      <c r="BC27" s="34">
        <f>IF(AND(BC$5&gt;$E27,BC$5&lt;=$F27),IF(BC$5=$E27+1,$C27,""),"")</f>
        <v/>
      </c>
      <c r="BD27" s="34">
        <f>IF(AND(BD$5&gt;$E27,BD$5&lt;=$F27),IF(BD$5=$E27+1,$C27,""),"")</f>
        <v/>
      </c>
      <c r="BE27" s="34">
        <f>IF(AND(BE$5&gt;$E27,BE$5&lt;=$F27),IF(BE$5=$E27+1,$C27,""),"")</f>
        <v/>
      </c>
      <c r="BF27" s="34">
        <f>IF(AND(BF$5&gt;$E27,BF$5&lt;=$F27),IF(BF$5=$E27+1,$C27,""),"")</f>
        <v/>
      </c>
      <c r="BG27" s="34">
        <f>IF(AND(BG$5&gt;$E27,BG$5&lt;=$F27),IF(BG$5=$E27+1,$C27,""),"")</f>
        <v/>
      </c>
      <c r="BH27" s="34">
        <f>IF(AND(BH$5&gt;$E27,BH$5&lt;=$F27),IF(BH$5=$E27+1,$C27,""),"")</f>
        <v/>
      </c>
      <c r="BI27" s="34">
        <f>IF(AND(BI$5&gt;$E27,BI$5&lt;=$F27),IF(BI$5=$E27+1,$C27,""),"")</f>
        <v/>
      </c>
      <c r="BJ27" s="34">
        <f>IF(AND(BJ$5&gt;$E27,BJ$5&lt;=$F27),IF(BJ$5=$E27+1,$C27,""),"")</f>
        <v/>
      </c>
      <c r="BK27" s="34">
        <f>IF(AND(BK$5&gt;$E27,BK$5&lt;=$F27),IF(BK$5=$E27+1,$C27,""),"")</f>
        <v/>
      </c>
      <c r="BL27" s="34">
        <f>IF(AND(BL$5&gt;$E27,BL$5&lt;=$F27),IF(BL$5=$E27+1,$C27,""),"")</f>
        <v/>
      </c>
      <c r="BM27" s="34">
        <f>IF(AND(BM$5&gt;$E27,BM$5&lt;=$F27),IF(BM$5=$E27+1,$C27,""),"")</f>
        <v/>
      </c>
      <c r="BN27" s="34">
        <f>IF(AND(BN$5&gt;$E27,BN$5&lt;=$F27),IF(BN$5=$E27+1,$C27,""),"")</f>
        <v/>
      </c>
      <c r="BO27" s="34">
        <f>IF(AND(BO$5&gt;$E27,BO$5&lt;=$F27),IF(BO$5=$E27+1,$C27,""),"")</f>
        <v/>
      </c>
      <c r="BP27" s="34">
        <f>IF(AND(BP$5&gt;$E27,BP$5&lt;=$F27),IF(BP$5=$E27+1,$C27,""),"")</f>
        <v/>
      </c>
      <c r="BQ27" s="34">
        <f>IF(AND(BQ$5&gt;$E27,BQ$5&lt;=$F27),IF(BQ$5=$E27+1,$C27,""),"")</f>
        <v/>
      </c>
      <c r="BR27" s="34">
        <f>IF(AND(BR$5&gt;$E27,BR$5&lt;=$F27),IF(BR$5=$E27+1,$C27,""),"")</f>
        <v/>
      </c>
      <c r="BS27" s="34">
        <f>IF(AND(BS$5&gt;$E27,BS$5&lt;=$F27),IF(BS$5=$E27+1,$C27,""),"")</f>
        <v/>
      </c>
      <c r="BT27" s="34">
        <f>IF(AND(BT$5&gt;$E27,BT$5&lt;=$F27),IF(BT$5=$E27+1,$C27,""),"")</f>
        <v/>
      </c>
      <c r="BU27" s="34">
        <f>IF(AND(BU$5&gt;$E27,BU$5&lt;=$F27),IF(BU$5=$E27+1,$C27,""),"")</f>
        <v/>
      </c>
      <c r="BV27" s="34">
        <f>IF(AND(BV$5&gt;$E27,BV$5&lt;=$F27),IF(BV$5=$E27+1,$C27,""),"")</f>
        <v/>
      </c>
      <c r="BW27" s="34">
        <f>IF(AND(BW$5&gt;$E27,BW$5&lt;=$F27),IF(BW$5=$E27+1,$C27,""),"")</f>
        <v/>
      </c>
      <c r="BX27" s="34">
        <f>IF(AND(BX$5&gt;$E27,BX$5&lt;=$F27),IF(BX$5=$E27+1,$C27,""),"")</f>
        <v/>
      </c>
      <c r="BY27" s="34">
        <f>IF(AND(BY$5&gt;$E27,BY$5&lt;=$F27),IF(BY$5=$E27+1,$C27,""),"")</f>
        <v/>
      </c>
      <c r="BZ27" s="34">
        <f>IF(AND(BZ$5&gt;$E27,BZ$5&lt;=$F27),IF(BZ$5=$E27+1,$C27,""),"")</f>
        <v/>
      </c>
      <c r="CA27" s="34">
        <f>IF(AND(CA$5&gt;$E27,CA$5&lt;=$F27),IF(CA$5=$E27+1,$C27,""),"")</f>
        <v/>
      </c>
      <c r="CB27" s="34">
        <f>IF(AND(CB$5&gt;$E27,CB$5&lt;=$F27),IF(CB$5=$E27+1,$C27,""),"")</f>
        <v/>
      </c>
      <c r="CC27" s="34">
        <f>IF(AND(CC$5&gt;$E27,CC$5&lt;=$F27),IF(CC$5=$E27+1,$C27,""),"")</f>
        <v/>
      </c>
      <c r="CD27" s="34">
        <f>IF(AND(CD$5&gt;$E27,CD$5&lt;=$F27),IF(CD$5=$E27+1,$C27,""),"")</f>
        <v/>
      </c>
      <c r="CE27" s="34">
        <f>IF(AND(CE$5&gt;$E27,CE$5&lt;=$F27),IF(CE$5=$E27+1,$C27,""),"")</f>
        <v/>
      </c>
      <c r="CF27" s="34">
        <f>IF(AND(CF$5&gt;$E27,CF$5&lt;=$F27),IF(CF$5=$E27+1,$C27,""),"")</f>
        <v/>
      </c>
      <c r="CG27" s="34">
        <f>IF(AND(CG$5&gt;$E27,CG$5&lt;=$F27),IF(CG$5=$E27+1,$C27,""),"")</f>
        <v/>
      </c>
      <c r="CH27" s="34">
        <f>IF(AND(CH$5&gt;$E27,CH$5&lt;=$F27),IF(CH$5=$E27+1,$C27,""),"")</f>
        <v/>
      </c>
      <c r="CI27" s="34">
        <f>IF(AND(CI$5&gt;$E27,CI$5&lt;=$F27),IF(CI$5=$E27+1,$C27,""),"")</f>
        <v/>
      </c>
      <c r="CJ27" s="34">
        <f>IF(AND(CJ$5&gt;$E27,CJ$5&lt;=$F27),IF(CJ$5=$E27+1,$C27,""),"")</f>
        <v/>
      </c>
      <c r="CK27" s="34">
        <f>IF(AND(CK$5&gt;$E27,CK$5&lt;=$F27),IF(CK$5=$E27+1,$C27,""),"")</f>
        <v/>
      </c>
      <c r="CL27" s="34">
        <f>IF(AND(CL$5&gt;$E27,CL$5&lt;=$F27),IF(CL$5=$E27+1,$C27,""),"")</f>
        <v/>
      </c>
      <c r="CM27" s="34">
        <f>IF(AND(CM$5&gt;$E27,CM$5&lt;=$F27),IF(CM$5=$E27+1,$C27,""),"")</f>
        <v/>
      </c>
      <c r="CN27" s="34">
        <f>IF(AND(CN$5&gt;$E27,CN$5&lt;=$F27),IF(CN$5=$E27+1,$C27,""),"")</f>
        <v/>
      </c>
      <c r="CO27" s="34">
        <f>IF(AND(CO$5&gt;$E27,CO$5&lt;=$F27),IF(CO$5=$E27+1,$C27,""),"")</f>
        <v/>
      </c>
      <c r="CP27" s="34">
        <f>IF(AND(CP$5&gt;$E27,CP$5&lt;=$F27),IF(CP$5=$E27+1,$C27,""),"")</f>
        <v/>
      </c>
      <c r="CQ27" s="34">
        <f>IF(AND(CQ$5&gt;$E27,CQ$5&lt;=$F27),IF(CQ$5=$E27+1,$C27,""),"")</f>
        <v/>
      </c>
      <c r="CR27" s="34">
        <f>IF(AND(CR$5&gt;$E27,CR$5&lt;=$F27),IF(CR$5=$E27+1,$C27,""),"")</f>
        <v/>
      </c>
      <c r="CS27" s="34">
        <f>IF(AND(CS$5&gt;$E27,CS$5&lt;=$F27),IF(CS$5=$E27+1,$C27,""),"")</f>
        <v/>
      </c>
      <c r="CT27" s="34">
        <f>IF(AND(CT$5&gt;$E27,CT$5&lt;=$F27),IF(CT$5=$E27+1,$C27,""),"")</f>
        <v/>
      </c>
      <c r="CU27" s="34">
        <f>IF(AND(CU$5&gt;$E27,CU$5&lt;=$F27),IF(CU$5=$E27+1,$C27,""),"")</f>
        <v/>
      </c>
      <c r="CV27" s="34">
        <f>IF(AND(CV$5&gt;$E27,CV$5&lt;=$F27),IF(CV$5=$E27+1,$C27,""),"")</f>
        <v/>
      </c>
      <c r="CW27" s="34">
        <f>IF(AND(CW$5&gt;$E27,CW$5&lt;=$F27),IF(CW$5=$E27+1,$C27,""),"")</f>
        <v/>
      </c>
      <c r="CX27" s="34">
        <f>IF(AND(CX$5&gt;$E27,CX$5&lt;=$F27),IF(CX$5=$E27+1,$C27,""),"")</f>
        <v/>
      </c>
      <c r="CY27" s="34">
        <f>IF(AND(CY$5&gt;$E27,CY$5&lt;=$F27),IF(CY$5=$E27+1,$C27,""),"")</f>
        <v/>
      </c>
      <c r="CZ27" s="34">
        <f>IF(AND(CZ$5&gt;$E27,CZ$5&lt;=$F27),IF(CZ$5=$E27+1,$C27,""),"")</f>
        <v/>
      </c>
      <c r="DA27" s="34">
        <f>IF(AND(DA$5&gt;$E27,DA$5&lt;=$F27),IF(DA$5=$E27+1,$C27,""),"")</f>
        <v/>
      </c>
      <c r="DB27" s="34">
        <f>IF(AND(DB$5&gt;$E27,DB$5&lt;=$F27),IF(DB$5=$E27+1,$C27,""),"")</f>
        <v/>
      </c>
      <c r="DC27" s="34">
        <f>IF(AND(DC$5&gt;$E27,DC$5&lt;=$F27),IF(DC$5=$E27+1,$C27,""),"")</f>
        <v/>
      </c>
      <c r="DD27" s="34">
        <f>IF(AND(DD$5&gt;$E27,DD$5&lt;=$F27),IF(DD$5=$E27+1,$C27,""),"")</f>
        <v/>
      </c>
      <c r="DE27" s="34">
        <f>IF(AND(DE$5&gt;$E27,DE$5&lt;=$F27),IF(DE$5=$E27+1,$C27,""),"")</f>
        <v/>
      </c>
      <c r="DF27" s="34">
        <f>IF(AND(DF$5&gt;$E27,DF$5&lt;=$F27),IF(DF$5=$E27+1,$C27,""),"")</f>
        <v/>
      </c>
      <c r="DG27" s="34">
        <f>IF(AND(DG$5&gt;$E27,DG$5&lt;=$F27),IF(DG$5=$E27+1,$C27,""),"")</f>
        <v/>
      </c>
      <c r="DH27" s="34">
        <f>IF(AND(DH$5&gt;$E27,DH$5&lt;=$F27),IF(DH$5=$E27+1,$C27,""),"")</f>
        <v/>
      </c>
      <c r="DI27" s="34">
        <f>IF(AND(DI$5&gt;$E27,DI$5&lt;=$F27),IF(DI$5=$E27+1,$C27,""),"")</f>
        <v/>
      </c>
      <c r="DJ27" s="34">
        <f>IF(AND(DJ$5&gt;$E27,DJ$5&lt;=$F27),IF(DJ$5=$E27+1,$C27,""),"")</f>
        <v/>
      </c>
      <c r="DK27" s="34">
        <f>IF(AND(DK$5&gt;$E27,DK$5&lt;=$F27),IF(DK$5=$E27+1,$C27,""),"")</f>
        <v/>
      </c>
      <c r="DL27" s="34">
        <f>IF(AND(DL$5&gt;$E27,DL$5&lt;=$F27),IF(DL$5=$E27+1,$C27,""),"")</f>
        <v/>
      </c>
      <c r="DM27" s="34">
        <f>IF(AND(DM$5&gt;$E27,DM$5&lt;=$F27),IF(DM$5=$E27+1,$C27,""),"")</f>
        <v/>
      </c>
      <c r="DN27" s="34">
        <f>IF(AND(DN$5&gt;$E27,DN$5&lt;=$F27),IF(DN$5=$E27+1,$C27,""),"")</f>
        <v/>
      </c>
      <c r="DO27" s="34">
        <f>IF(AND(DO$5&gt;$E27,DO$5&lt;=$F27),IF(DO$5=$E27+1,$C27,""),"")</f>
        <v/>
      </c>
      <c r="DP27" s="34">
        <f>IF(AND(DP$5&gt;$E27,DP$5&lt;=$F27),IF(DP$5=$E27+1,$C27,""),"")</f>
        <v/>
      </c>
      <c r="DQ27" s="34">
        <f>IF(AND(DQ$5&gt;$E27,DQ$5&lt;=$F27),IF(DQ$5=$E27+1,$C27,""),"")</f>
        <v/>
      </c>
      <c r="DR27" s="34">
        <f>IF(AND(DR$5&gt;$E27,DR$5&lt;=$F27),IF(DR$5=$E27+1,$C27,""),"")</f>
        <v/>
      </c>
      <c r="DS27" s="34">
        <f>IF(AND(DS$5&gt;$E27,DS$5&lt;=$F27),IF(DS$5=$E27+1,$C27,""),"")</f>
        <v/>
      </c>
      <c r="DT27" s="34">
        <f>IF(AND(DT$5&gt;$E27,DT$5&lt;=$F27),IF(DT$5=$E27+1,$C27,""),"")</f>
        <v/>
      </c>
      <c r="DU27" s="34">
        <f>IF(AND(DU$5&gt;$E27,DU$5&lt;=$F27),IF(DU$5=$E27+1,$C27,""),"")</f>
        <v/>
      </c>
      <c r="DV27" s="34">
        <f>IF(AND(DV$5&gt;$E27,DV$5&lt;=$F27),IF(DV$5=$E27+1,$C27,""),"")</f>
        <v/>
      </c>
      <c r="DW27" s="34">
        <f>IF(AND(DW$5&gt;$E27,DW$5&lt;=$F27),IF(DW$5=$E27+1,$C27,""),"")</f>
        <v/>
      </c>
      <c r="DX27" s="34">
        <f>IF(AND(DX$5&gt;$E27,DX$5&lt;=$F27),IF(DX$5=$E27+1,$C27,""),"")</f>
        <v/>
      </c>
      <c r="DY27" s="34">
        <f>IF(AND(DY$5&gt;$E27,DY$5&lt;=$F27),IF(DY$5=$E27+1,$C27,""),"")</f>
        <v/>
      </c>
      <c r="DZ27" s="34">
        <f>IF(AND(DZ$5&gt;$E27,DZ$5&lt;=$F27),IF(DZ$5=$E27+1,$C27,""),"")</f>
        <v/>
      </c>
      <c r="EA27" s="34">
        <f>IF(AND(EA$5&gt;$E27,EA$5&lt;=$F27),IF(EA$5=$E27+1,$C27,""),"")</f>
        <v/>
      </c>
      <c r="EB27" s="34">
        <f>IF(AND(EB$5&gt;$E27,EB$5&lt;=$F27),IF(EB$5=$E27+1,$C27,""),"")</f>
        <v/>
      </c>
      <c r="EC27" s="34">
        <f>IF(AND(EC$5&gt;$E27,EC$5&lt;=$F27),IF(EC$5=$E27+1,$C27,""),"")</f>
        <v/>
      </c>
      <c r="ED27" s="34">
        <f>IF(AND(ED$5&gt;$E27,ED$5&lt;=$F27),IF(ED$5=$E27+1,$C27,""),"")</f>
        <v/>
      </c>
      <c r="EE27" s="34">
        <f>IF(AND(EE$5&gt;$E27,EE$5&lt;=$F27),IF(EE$5=$E27+1,$C27,""),"")</f>
        <v/>
      </c>
      <c r="EF27" s="34">
        <f>IF(AND(EF$5&gt;$E27,EF$5&lt;=$F27),IF(EF$5=$E27+1,$C27,""),"")</f>
        <v/>
      </c>
      <c r="EG27" s="34">
        <f>IF(AND(EG$5&gt;$E27,EG$5&lt;=$F27),IF(EG$5=$E27+1,$C27,""),"")</f>
        <v/>
      </c>
      <c r="EH27" s="34">
        <f>IF(AND(EH$5&gt;$E27,EH$5&lt;=$F27),IF(EH$5=$E27+1,$C27,""),"")</f>
        <v/>
      </c>
      <c r="EI27" s="34">
        <f>IF(AND(EI$5&gt;$E27,EI$5&lt;=$F27),IF(EI$5=$E27+1,$C27,""),"")</f>
        <v/>
      </c>
      <c r="EJ27" s="34">
        <f>IF(AND(EJ$5&gt;$E27,EJ$5&lt;=$F27),IF(EJ$5=$E27+1,$C27,""),"")</f>
        <v/>
      </c>
      <c r="EK27" s="34">
        <f>IF(AND(EK$5&gt;$E27,EK$5&lt;=$F27),IF(EK$5=$E27+1,$C27,""),"")</f>
        <v/>
      </c>
      <c r="EL27" s="34">
        <f>IF(AND(EL$5&gt;$E27,EL$5&lt;=$F27),IF(EL$5=$E27+1,$C27,""),"")</f>
        <v/>
      </c>
      <c r="EM27" s="34">
        <f>IF(AND(EM$5&gt;$E27,EM$5&lt;=$F27),IF(EM$5=$E27+1,$C27,""),"")</f>
        <v/>
      </c>
      <c r="EN27" s="34">
        <f>IF(AND(EN$5&gt;$E27,EN$5&lt;=$F27),IF(EN$5=$E27+1,$C27,""),"")</f>
        <v/>
      </c>
      <c r="EO27" s="34">
        <f>IF(AND(EO$5&gt;$E27,EO$5&lt;=$F27),IF(EO$5=$E27+1,$C27,""),"")</f>
        <v/>
      </c>
      <c r="EP27" s="34">
        <f>IF(AND(EP$5&gt;$E27,EP$5&lt;=$F27),IF(EP$5=$E27+1,$C27,""),"")</f>
        <v/>
      </c>
      <c r="EQ27" s="34">
        <f>IF(AND(EQ$5&gt;$E27,EQ$5&lt;=$F27),IF(EQ$5=$E27+1,$C27,""),"")</f>
        <v/>
      </c>
      <c r="ER27" s="34">
        <f>IF(AND(ER$5&gt;$E27,ER$5&lt;=$F27),IF(ER$5=$E27+1,$C27,""),"")</f>
        <v/>
      </c>
      <c r="ES27" s="34">
        <f>IF(AND(ES$5&gt;$E27,ES$5&lt;=$F27),IF(ES$5=$E27+1,$C27,""),"")</f>
        <v/>
      </c>
      <c r="ET27" s="34">
        <f>IF(AND(ET$5&gt;$E27,ET$5&lt;=$F27),IF(ET$5=$E27+1,$C27,""),"")</f>
        <v/>
      </c>
      <c r="EU27" s="34">
        <f>IF(AND(EU$5&gt;$E27,EU$5&lt;=$F27),IF(EU$5=$E27+1,$C27,""),"")</f>
        <v/>
      </c>
      <c r="EV27" s="34">
        <f>IF(AND(EV$5&gt;$E27,EV$5&lt;=$F27),IF(EV$5=$E27+1,$C27,""),"")</f>
        <v/>
      </c>
      <c r="EW27" s="34">
        <f>IF(AND(EW$5&gt;$E27,EW$5&lt;=$F27),IF(EW$5=$E27+1,$C27,""),"")</f>
        <v/>
      </c>
      <c r="EX27" s="34">
        <f>IF(AND(EX$5&gt;$E27,EX$5&lt;=$F27),IF(EX$5=$E27+1,$C27,""),"")</f>
        <v/>
      </c>
      <c r="EY27" s="34">
        <f>IF(AND(EY$5&gt;$E27,EY$5&lt;=$F27),IF(EY$5=$E27+1,$C27,""),"")</f>
        <v/>
      </c>
      <c r="EZ27" s="34">
        <f>IF(AND(EZ$5&gt;$E27,EZ$5&lt;=$F27),IF(EZ$5=$E27+1,$C27,""),"")</f>
        <v/>
      </c>
      <c r="FA27" s="34">
        <f>IF(AND(FA$5&gt;$E27,FA$5&lt;=$F27),IF(FA$5=$E27+1,$C27,""),"")</f>
        <v/>
      </c>
    </row>
    <row r="28">
      <c r="A28" s="32">
        <f>Plan!A22</f>
        <v/>
      </c>
      <c r="B28" s="33">
        <f>Plan!C22</f>
        <v/>
      </c>
      <c r="C28" s="16">
        <f>Plan!D22</f>
        <v/>
      </c>
      <c r="D28" s="16">
        <f>Plan!I22</f>
        <v/>
      </c>
      <c r="E28" s="16">
        <f>Plan!K22</f>
        <v/>
      </c>
      <c r="F28" s="16">
        <f>Plan!L22</f>
        <v/>
      </c>
      <c r="G28" s="16">
        <f>Plan!O22</f>
        <v/>
      </c>
      <c r="H28" s="34">
        <f>IF(AND(H$5&gt;$E28,H$5&lt;=$F28),IF(H$5=$E28+1,$C28,""),"")</f>
        <v/>
      </c>
      <c r="I28" s="34">
        <f>IF(AND(I$5&gt;$E28,I$5&lt;=$F28),IF(I$5=$E28+1,$C28,""),"")</f>
        <v/>
      </c>
      <c r="J28" s="34">
        <f>IF(AND(J$5&gt;$E28,J$5&lt;=$F28),IF(J$5=$E28+1,$C28,""),"")</f>
        <v/>
      </c>
      <c r="K28" s="34">
        <f>IF(AND(K$5&gt;$E28,K$5&lt;=$F28),IF(K$5=$E28+1,$C28,""),"")</f>
        <v/>
      </c>
      <c r="L28" s="34">
        <f>IF(AND(L$5&gt;$E28,L$5&lt;=$F28),IF(L$5=$E28+1,$C28,""),"")</f>
        <v/>
      </c>
      <c r="M28" s="34">
        <f>IF(AND(M$5&gt;$E28,M$5&lt;=$F28),IF(M$5=$E28+1,$C28,""),"")</f>
        <v/>
      </c>
      <c r="N28" s="34">
        <f>IF(AND(N$5&gt;$E28,N$5&lt;=$F28),IF(N$5=$E28+1,$C28,""),"")</f>
        <v/>
      </c>
      <c r="O28" s="34">
        <f>IF(AND(O$5&gt;$E28,O$5&lt;=$F28),IF(O$5=$E28+1,$C28,""),"")</f>
        <v/>
      </c>
      <c r="P28" s="34">
        <f>IF(AND(P$5&gt;$E28,P$5&lt;=$F28),IF(P$5=$E28+1,$C28,""),"")</f>
        <v/>
      </c>
      <c r="Q28" s="34">
        <f>IF(AND(Q$5&gt;$E28,Q$5&lt;=$F28),IF(Q$5=$E28+1,$C28,""),"")</f>
        <v/>
      </c>
      <c r="R28" s="34">
        <f>IF(AND(R$5&gt;$E28,R$5&lt;=$F28),IF(R$5=$E28+1,$C28,""),"")</f>
        <v/>
      </c>
      <c r="S28" s="34">
        <f>IF(AND(S$5&gt;$E28,S$5&lt;=$F28),IF(S$5=$E28+1,$C28,""),"")</f>
        <v/>
      </c>
      <c r="T28" s="34">
        <f>IF(AND(T$5&gt;$E28,T$5&lt;=$F28),IF(T$5=$E28+1,$C28,""),"")</f>
        <v/>
      </c>
      <c r="U28" s="34">
        <f>IF(AND(U$5&gt;$E28,U$5&lt;=$F28),IF(U$5=$E28+1,$C28,""),"")</f>
        <v/>
      </c>
      <c r="V28" s="34">
        <f>IF(AND(V$5&gt;$E28,V$5&lt;=$F28),IF(V$5=$E28+1,$C28,""),"")</f>
        <v/>
      </c>
      <c r="W28" s="34">
        <f>IF(AND(W$5&gt;$E28,W$5&lt;=$F28),IF(W$5=$E28+1,$C28,""),"")</f>
        <v/>
      </c>
      <c r="X28" s="34">
        <f>IF(AND(X$5&gt;$E28,X$5&lt;=$F28),IF(X$5=$E28+1,$C28,""),"")</f>
        <v/>
      </c>
      <c r="Y28" s="34">
        <f>IF(AND(Y$5&gt;$E28,Y$5&lt;=$F28),IF(Y$5=$E28+1,$C28,""),"")</f>
        <v/>
      </c>
      <c r="Z28" s="34">
        <f>IF(AND(Z$5&gt;$E28,Z$5&lt;=$F28),IF(Z$5=$E28+1,$C28,""),"")</f>
        <v/>
      </c>
      <c r="AA28" s="34">
        <f>IF(AND(AA$5&gt;$E28,AA$5&lt;=$F28),IF(AA$5=$E28+1,$C28,""),"")</f>
        <v/>
      </c>
      <c r="AB28" s="34">
        <f>IF(AND(AB$5&gt;$E28,AB$5&lt;=$F28),IF(AB$5=$E28+1,$C28,""),"")</f>
        <v/>
      </c>
      <c r="AC28" s="34">
        <f>IF(AND(AC$5&gt;$E28,AC$5&lt;=$F28),IF(AC$5=$E28+1,$C28,""),"")</f>
        <v/>
      </c>
      <c r="AD28" s="34">
        <f>IF(AND(AD$5&gt;$E28,AD$5&lt;=$F28),IF(AD$5=$E28+1,$C28,""),"")</f>
        <v/>
      </c>
      <c r="AE28" s="34">
        <f>IF(AND(AE$5&gt;$E28,AE$5&lt;=$F28),IF(AE$5=$E28+1,$C28,""),"")</f>
        <v/>
      </c>
      <c r="AF28" s="34">
        <f>IF(AND(AF$5&gt;$E28,AF$5&lt;=$F28),IF(AF$5=$E28+1,$C28,""),"")</f>
        <v/>
      </c>
      <c r="AG28" s="34">
        <f>IF(AND(AG$5&gt;$E28,AG$5&lt;=$F28),IF(AG$5=$E28+1,$C28,""),"")</f>
        <v/>
      </c>
      <c r="AH28" s="34">
        <f>IF(AND(AH$5&gt;$E28,AH$5&lt;=$F28),IF(AH$5=$E28+1,$C28,""),"")</f>
        <v/>
      </c>
      <c r="AI28" s="34">
        <f>IF(AND(AI$5&gt;$E28,AI$5&lt;=$F28),IF(AI$5=$E28+1,$C28,""),"")</f>
        <v/>
      </c>
      <c r="AJ28" s="34">
        <f>IF(AND(AJ$5&gt;$E28,AJ$5&lt;=$F28),IF(AJ$5=$E28+1,$C28,""),"")</f>
        <v/>
      </c>
      <c r="AK28" s="34">
        <f>IF(AND(AK$5&gt;$E28,AK$5&lt;=$F28),IF(AK$5=$E28+1,$C28,""),"")</f>
        <v/>
      </c>
      <c r="AL28" s="34">
        <f>IF(AND(AL$5&gt;$E28,AL$5&lt;=$F28),IF(AL$5=$E28+1,$C28,""),"")</f>
        <v/>
      </c>
      <c r="AM28" s="34">
        <f>IF(AND(AM$5&gt;$E28,AM$5&lt;=$F28),IF(AM$5=$E28+1,$C28,""),"")</f>
        <v/>
      </c>
      <c r="AN28" s="34">
        <f>IF(AND(AN$5&gt;$E28,AN$5&lt;=$F28),IF(AN$5=$E28+1,$C28,""),"")</f>
        <v/>
      </c>
      <c r="AO28" s="34">
        <f>IF(AND(AO$5&gt;$E28,AO$5&lt;=$F28),IF(AO$5=$E28+1,$C28,""),"")</f>
        <v/>
      </c>
      <c r="AP28" s="34">
        <f>IF(AND(AP$5&gt;$E28,AP$5&lt;=$F28),IF(AP$5=$E28+1,$C28,""),"")</f>
        <v/>
      </c>
      <c r="AQ28" s="34">
        <f>IF(AND(AQ$5&gt;$E28,AQ$5&lt;=$F28),IF(AQ$5=$E28+1,$C28,""),"")</f>
        <v/>
      </c>
      <c r="AR28" s="34">
        <f>IF(AND(AR$5&gt;$E28,AR$5&lt;=$F28),IF(AR$5=$E28+1,$C28,""),"")</f>
        <v/>
      </c>
      <c r="AS28" s="34">
        <f>IF(AND(AS$5&gt;$E28,AS$5&lt;=$F28),IF(AS$5=$E28+1,$C28,""),"")</f>
        <v/>
      </c>
      <c r="AT28" s="34">
        <f>IF(AND(AT$5&gt;$E28,AT$5&lt;=$F28),IF(AT$5=$E28+1,$C28,""),"")</f>
        <v/>
      </c>
      <c r="AU28" s="34">
        <f>IF(AND(AU$5&gt;$E28,AU$5&lt;=$F28),IF(AU$5=$E28+1,$C28,""),"")</f>
        <v/>
      </c>
      <c r="AV28" s="34">
        <f>IF(AND(AV$5&gt;$E28,AV$5&lt;=$F28),IF(AV$5=$E28+1,$C28,""),"")</f>
        <v/>
      </c>
      <c r="AW28" s="34">
        <f>IF(AND(AW$5&gt;$E28,AW$5&lt;=$F28),IF(AW$5=$E28+1,$C28,""),"")</f>
        <v/>
      </c>
      <c r="AX28" s="34">
        <f>IF(AND(AX$5&gt;$E28,AX$5&lt;=$F28),IF(AX$5=$E28+1,$C28,""),"")</f>
        <v/>
      </c>
      <c r="AY28" s="34">
        <f>IF(AND(AY$5&gt;$E28,AY$5&lt;=$F28),IF(AY$5=$E28+1,$C28,""),"")</f>
        <v/>
      </c>
      <c r="AZ28" s="34">
        <f>IF(AND(AZ$5&gt;$E28,AZ$5&lt;=$F28),IF(AZ$5=$E28+1,$C28,""),"")</f>
        <v/>
      </c>
      <c r="BA28" s="34">
        <f>IF(AND(BA$5&gt;$E28,BA$5&lt;=$F28),IF(BA$5=$E28+1,$C28,""),"")</f>
        <v/>
      </c>
      <c r="BB28" s="34">
        <f>IF(AND(BB$5&gt;$E28,BB$5&lt;=$F28),IF(BB$5=$E28+1,$C28,""),"")</f>
        <v/>
      </c>
      <c r="BC28" s="34">
        <f>IF(AND(BC$5&gt;$E28,BC$5&lt;=$F28),IF(BC$5=$E28+1,$C28,""),"")</f>
        <v/>
      </c>
      <c r="BD28" s="34">
        <f>IF(AND(BD$5&gt;$E28,BD$5&lt;=$F28),IF(BD$5=$E28+1,$C28,""),"")</f>
        <v/>
      </c>
      <c r="BE28" s="34">
        <f>IF(AND(BE$5&gt;$E28,BE$5&lt;=$F28),IF(BE$5=$E28+1,$C28,""),"")</f>
        <v/>
      </c>
      <c r="BF28" s="34">
        <f>IF(AND(BF$5&gt;$E28,BF$5&lt;=$F28),IF(BF$5=$E28+1,$C28,""),"")</f>
        <v/>
      </c>
      <c r="BG28" s="34">
        <f>IF(AND(BG$5&gt;$E28,BG$5&lt;=$F28),IF(BG$5=$E28+1,$C28,""),"")</f>
        <v/>
      </c>
      <c r="BH28" s="34">
        <f>IF(AND(BH$5&gt;$E28,BH$5&lt;=$F28),IF(BH$5=$E28+1,$C28,""),"")</f>
        <v/>
      </c>
      <c r="BI28" s="34">
        <f>IF(AND(BI$5&gt;$E28,BI$5&lt;=$F28),IF(BI$5=$E28+1,$C28,""),"")</f>
        <v/>
      </c>
      <c r="BJ28" s="34">
        <f>IF(AND(BJ$5&gt;$E28,BJ$5&lt;=$F28),IF(BJ$5=$E28+1,$C28,""),"")</f>
        <v/>
      </c>
      <c r="BK28" s="34">
        <f>IF(AND(BK$5&gt;$E28,BK$5&lt;=$F28),IF(BK$5=$E28+1,$C28,""),"")</f>
        <v/>
      </c>
      <c r="BL28" s="34">
        <f>IF(AND(BL$5&gt;$E28,BL$5&lt;=$F28),IF(BL$5=$E28+1,$C28,""),"")</f>
        <v/>
      </c>
      <c r="BM28" s="34">
        <f>IF(AND(BM$5&gt;$E28,BM$5&lt;=$F28),IF(BM$5=$E28+1,$C28,""),"")</f>
        <v/>
      </c>
      <c r="BN28" s="34">
        <f>IF(AND(BN$5&gt;$E28,BN$5&lt;=$F28),IF(BN$5=$E28+1,$C28,""),"")</f>
        <v/>
      </c>
      <c r="BO28" s="34">
        <f>IF(AND(BO$5&gt;$E28,BO$5&lt;=$F28),IF(BO$5=$E28+1,$C28,""),"")</f>
        <v/>
      </c>
      <c r="BP28" s="34">
        <f>IF(AND(BP$5&gt;$E28,BP$5&lt;=$F28),IF(BP$5=$E28+1,$C28,""),"")</f>
        <v/>
      </c>
      <c r="BQ28" s="34">
        <f>IF(AND(BQ$5&gt;$E28,BQ$5&lt;=$F28),IF(BQ$5=$E28+1,$C28,""),"")</f>
        <v/>
      </c>
      <c r="BR28" s="34">
        <f>IF(AND(BR$5&gt;$E28,BR$5&lt;=$F28),IF(BR$5=$E28+1,$C28,""),"")</f>
        <v/>
      </c>
      <c r="BS28" s="34">
        <f>IF(AND(BS$5&gt;$E28,BS$5&lt;=$F28),IF(BS$5=$E28+1,$C28,""),"")</f>
        <v/>
      </c>
      <c r="BT28" s="34">
        <f>IF(AND(BT$5&gt;$E28,BT$5&lt;=$F28),IF(BT$5=$E28+1,$C28,""),"")</f>
        <v/>
      </c>
      <c r="BU28" s="34">
        <f>IF(AND(BU$5&gt;$E28,BU$5&lt;=$F28),IF(BU$5=$E28+1,$C28,""),"")</f>
        <v/>
      </c>
      <c r="BV28" s="34">
        <f>IF(AND(BV$5&gt;$E28,BV$5&lt;=$F28),IF(BV$5=$E28+1,$C28,""),"")</f>
        <v/>
      </c>
      <c r="BW28" s="34">
        <f>IF(AND(BW$5&gt;$E28,BW$5&lt;=$F28),IF(BW$5=$E28+1,$C28,""),"")</f>
        <v/>
      </c>
      <c r="BX28" s="34">
        <f>IF(AND(BX$5&gt;$E28,BX$5&lt;=$F28),IF(BX$5=$E28+1,$C28,""),"")</f>
        <v/>
      </c>
      <c r="BY28" s="34">
        <f>IF(AND(BY$5&gt;$E28,BY$5&lt;=$F28),IF(BY$5=$E28+1,$C28,""),"")</f>
        <v/>
      </c>
      <c r="BZ28" s="34">
        <f>IF(AND(BZ$5&gt;$E28,BZ$5&lt;=$F28),IF(BZ$5=$E28+1,$C28,""),"")</f>
        <v/>
      </c>
      <c r="CA28" s="34">
        <f>IF(AND(CA$5&gt;$E28,CA$5&lt;=$F28),IF(CA$5=$E28+1,$C28,""),"")</f>
        <v/>
      </c>
      <c r="CB28" s="34">
        <f>IF(AND(CB$5&gt;$E28,CB$5&lt;=$F28),IF(CB$5=$E28+1,$C28,""),"")</f>
        <v/>
      </c>
      <c r="CC28" s="34">
        <f>IF(AND(CC$5&gt;$E28,CC$5&lt;=$F28),IF(CC$5=$E28+1,$C28,""),"")</f>
        <v/>
      </c>
      <c r="CD28" s="34">
        <f>IF(AND(CD$5&gt;$E28,CD$5&lt;=$F28),IF(CD$5=$E28+1,$C28,""),"")</f>
        <v/>
      </c>
      <c r="CE28" s="34">
        <f>IF(AND(CE$5&gt;$E28,CE$5&lt;=$F28),IF(CE$5=$E28+1,$C28,""),"")</f>
        <v/>
      </c>
      <c r="CF28" s="34">
        <f>IF(AND(CF$5&gt;$E28,CF$5&lt;=$F28),IF(CF$5=$E28+1,$C28,""),"")</f>
        <v/>
      </c>
      <c r="CG28" s="34">
        <f>IF(AND(CG$5&gt;$E28,CG$5&lt;=$F28),IF(CG$5=$E28+1,$C28,""),"")</f>
        <v/>
      </c>
      <c r="CH28" s="34">
        <f>IF(AND(CH$5&gt;$E28,CH$5&lt;=$F28),IF(CH$5=$E28+1,$C28,""),"")</f>
        <v/>
      </c>
      <c r="CI28" s="34">
        <f>IF(AND(CI$5&gt;$E28,CI$5&lt;=$F28),IF(CI$5=$E28+1,$C28,""),"")</f>
        <v/>
      </c>
      <c r="CJ28" s="34">
        <f>IF(AND(CJ$5&gt;$E28,CJ$5&lt;=$F28),IF(CJ$5=$E28+1,$C28,""),"")</f>
        <v/>
      </c>
      <c r="CK28" s="34">
        <f>IF(AND(CK$5&gt;$E28,CK$5&lt;=$F28),IF(CK$5=$E28+1,$C28,""),"")</f>
        <v/>
      </c>
      <c r="CL28" s="34">
        <f>IF(AND(CL$5&gt;$E28,CL$5&lt;=$F28),IF(CL$5=$E28+1,$C28,""),"")</f>
        <v/>
      </c>
      <c r="CM28" s="34">
        <f>IF(AND(CM$5&gt;$E28,CM$5&lt;=$F28),IF(CM$5=$E28+1,$C28,""),"")</f>
        <v/>
      </c>
      <c r="CN28" s="34">
        <f>IF(AND(CN$5&gt;$E28,CN$5&lt;=$F28),IF(CN$5=$E28+1,$C28,""),"")</f>
        <v/>
      </c>
      <c r="CO28" s="34">
        <f>IF(AND(CO$5&gt;$E28,CO$5&lt;=$F28),IF(CO$5=$E28+1,$C28,""),"")</f>
        <v/>
      </c>
      <c r="CP28" s="34">
        <f>IF(AND(CP$5&gt;$E28,CP$5&lt;=$F28),IF(CP$5=$E28+1,$C28,""),"")</f>
        <v/>
      </c>
      <c r="CQ28" s="34">
        <f>IF(AND(CQ$5&gt;$E28,CQ$5&lt;=$F28),IF(CQ$5=$E28+1,$C28,""),"")</f>
        <v/>
      </c>
      <c r="CR28" s="34">
        <f>IF(AND(CR$5&gt;$E28,CR$5&lt;=$F28),IF(CR$5=$E28+1,$C28,""),"")</f>
        <v/>
      </c>
      <c r="CS28" s="34">
        <f>IF(AND(CS$5&gt;$E28,CS$5&lt;=$F28),IF(CS$5=$E28+1,$C28,""),"")</f>
        <v/>
      </c>
      <c r="CT28" s="34">
        <f>IF(AND(CT$5&gt;$E28,CT$5&lt;=$F28),IF(CT$5=$E28+1,$C28,""),"")</f>
        <v/>
      </c>
      <c r="CU28" s="34">
        <f>IF(AND(CU$5&gt;$E28,CU$5&lt;=$F28),IF(CU$5=$E28+1,$C28,""),"")</f>
        <v/>
      </c>
      <c r="CV28" s="34">
        <f>IF(AND(CV$5&gt;$E28,CV$5&lt;=$F28),IF(CV$5=$E28+1,$C28,""),"")</f>
        <v/>
      </c>
      <c r="CW28" s="34">
        <f>IF(AND(CW$5&gt;$E28,CW$5&lt;=$F28),IF(CW$5=$E28+1,$C28,""),"")</f>
        <v/>
      </c>
      <c r="CX28" s="34">
        <f>IF(AND(CX$5&gt;$E28,CX$5&lt;=$F28),IF(CX$5=$E28+1,$C28,""),"")</f>
        <v/>
      </c>
      <c r="CY28" s="34">
        <f>IF(AND(CY$5&gt;$E28,CY$5&lt;=$F28),IF(CY$5=$E28+1,$C28,""),"")</f>
        <v/>
      </c>
      <c r="CZ28" s="34">
        <f>IF(AND(CZ$5&gt;$E28,CZ$5&lt;=$F28),IF(CZ$5=$E28+1,$C28,""),"")</f>
        <v/>
      </c>
      <c r="DA28" s="34">
        <f>IF(AND(DA$5&gt;$E28,DA$5&lt;=$F28),IF(DA$5=$E28+1,$C28,""),"")</f>
        <v/>
      </c>
      <c r="DB28" s="34">
        <f>IF(AND(DB$5&gt;$E28,DB$5&lt;=$F28),IF(DB$5=$E28+1,$C28,""),"")</f>
        <v/>
      </c>
      <c r="DC28" s="34">
        <f>IF(AND(DC$5&gt;$E28,DC$5&lt;=$F28),IF(DC$5=$E28+1,$C28,""),"")</f>
        <v/>
      </c>
      <c r="DD28" s="34">
        <f>IF(AND(DD$5&gt;$E28,DD$5&lt;=$F28),IF(DD$5=$E28+1,$C28,""),"")</f>
        <v/>
      </c>
      <c r="DE28" s="34">
        <f>IF(AND(DE$5&gt;$E28,DE$5&lt;=$F28),IF(DE$5=$E28+1,$C28,""),"")</f>
        <v/>
      </c>
      <c r="DF28" s="34">
        <f>IF(AND(DF$5&gt;$E28,DF$5&lt;=$F28),IF(DF$5=$E28+1,$C28,""),"")</f>
        <v/>
      </c>
      <c r="DG28" s="34">
        <f>IF(AND(DG$5&gt;$E28,DG$5&lt;=$F28),IF(DG$5=$E28+1,$C28,""),"")</f>
        <v/>
      </c>
      <c r="DH28" s="34">
        <f>IF(AND(DH$5&gt;$E28,DH$5&lt;=$F28),IF(DH$5=$E28+1,$C28,""),"")</f>
        <v/>
      </c>
      <c r="DI28" s="34">
        <f>IF(AND(DI$5&gt;$E28,DI$5&lt;=$F28),IF(DI$5=$E28+1,$C28,""),"")</f>
        <v/>
      </c>
      <c r="DJ28" s="34">
        <f>IF(AND(DJ$5&gt;$E28,DJ$5&lt;=$F28),IF(DJ$5=$E28+1,$C28,""),"")</f>
        <v/>
      </c>
      <c r="DK28" s="34">
        <f>IF(AND(DK$5&gt;$E28,DK$5&lt;=$F28),IF(DK$5=$E28+1,$C28,""),"")</f>
        <v/>
      </c>
      <c r="DL28" s="34">
        <f>IF(AND(DL$5&gt;$E28,DL$5&lt;=$F28),IF(DL$5=$E28+1,$C28,""),"")</f>
        <v/>
      </c>
      <c r="DM28" s="34">
        <f>IF(AND(DM$5&gt;$E28,DM$5&lt;=$F28),IF(DM$5=$E28+1,$C28,""),"")</f>
        <v/>
      </c>
      <c r="DN28" s="34">
        <f>IF(AND(DN$5&gt;$E28,DN$5&lt;=$F28),IF(DN$5=$E28+1,$C28,""),"")</f>
        <v/>
      </c>
      <c r="DO28" s="34">
        <f>IF(AND(DO$5&gt;$E28,DO$5&lt;=$F28),IF(DO$5=$E28+1,$C28,""),"")</f>
        <v/>
      </c>
      <c r="DP28" s="34">
        <f>IF(AND(DP$5&gt;$E28,DP$5&lt;=$F28),IF(DP$5=$E28+1,$C28,""),"")</f>
        <v/>
      </c>
      <c r="DQ28" s="34">
        <f>IF(AND(DQ$5&gt;$E28,DQ$5&lt;=$F28),IF(DQ$5=$E28+1,$C28,""),"")</f>
        <v/>
      </c>
      <c r="DR28" s="34">
        <f>IF(AND(DR$5&gt;$E28,DR$5&lt;=$F28),IF(DR$5=$E28+1,$C28,""),"")</f>
        <v/>
      </c>
      <c r="DS28" s="34">
        <f>IF(AND(DS$5&gt;$E28,DS$5&lt;=$F28),IF(DS$5=$E28+1,$C28,""),"")</f>
        <v/>
      </c>
      <c r="DT28" s="34">
        <f>IF(AND(DT$5&gt;$E28,DT$5&lt;=$F28),IF(DT$5=$E28+1,$C28,""),"")</f>
        <v/>
      </c>
      <c r="DU28" s="34">
        <f>IF(AND(DU$5&gt;$E28,DU$5&lt;=$F28),IF(DU$5=$E28+1,$C28,""),"")</f>
        <v/>
      </c>
      <c r="DV28" s="34">
        <f>IF(AND(DV$5&gt;$E28,DV$5&lt;=$F28),IF(DV$5=$E28+1,$C28,""),"")</f>
        <v/>
      </c>
      <c r="DW28" s="34">
        <f>IF(AND(DW$5&gt;$E28,DW$5&lt;=$F28),IF(DW$5=$E28+1,$C28,""),"")</f>
        <v/>
      </c>
      <c r="DX28" s="34">
        <f>IF(AND(DX$5&gt;$E28,DX$5&lt;=$F28),IF(DX$5=$E28+1,$C28,""),"")</f>
        <v/>
      </c>
      <c r="DY28" s="34">
        <f>IF(AND(DY$5&gt;$E28,DY$5&lt;=$F28),IF(DY$5=$E28+1,$C28,""),"")</f>
        <v/>
      </c>
      <c r="DZ28" s="34">
        <f>IF(AND(DZ$5&gt;$E28,DZ$5&lt;=$F28),IF(DZ$5=$E28+1,$C28,""),"")</f>
        <v/>
      </c>
      <c r="EA28" s="34">
        <f>IF(AND(EA$5&gt;$E28,EA$5&lt;=$F28),IF(EA$5=$E28+1,$C28,""),"")</f>
        <v/>
      </c>
      <c r="EB28" s="34">
        <f>IF(AND(EB$5&gt;$E28,EB$5&lt;=$F28),IF(EB$5=$E28+1,$C28,""),"")</f>
        <v/>
      </c>
      <c r="EC28" s="34">
        <f>IF(AND(EC$5&gt;$E28,EC$5&lt;=$F28),IF(EC$5=$E28+1,$C28,""),"")</f>
        <v/>
      </c>
      <c r="ED28" s="34">
        <f>IF(AND(ED$5&gt;$E28,ED$5&lt;=$F28),IF(ED$5=$E28+1,$C28,""),"")</f>
        <v/>
      </c>
      <c r="EE28" s="34">
        <f>IF(AND(EE$5&gt;$E28,EE$5&lt;=$F28),IF(EE$5=$E28+1,$C28,""),"")</f>
        <v/>
      </c>
      <c r="EF28" s="34">
        <f>IF(AND(EF$5&gt;$E28,EF$5&lt;=$F28),IF(EF$5=$E28+1,$C28,""),"")</f>
        <v/>
      </c>
      <c r="EG28" s="34">
        <f>IF(AND(EG$5&gt;$E28,EG$5&lt;=$F28),IF(EG$5=$E28+1,$C28,""),"")</f>
        <v/>
      </c>
      <c r="EH28" s="34">
        <f>IF(AND(EH$5&gt;$E28,EH$5&lt;=$F28),IF(EH$5=$E28+1,$C28,""),"")</f>
        <v/>
      </c>
      <c r="EI28" s="34">
        <f>IF(AND(EI$5&gt;$E28,EI$5&lt;=$F28),IF(EI$5=$E28+1,$C28,""),"")</f>
        <v/>
      </c>
      <c r="EJ28" s="34">
        <f>IF(AND(EJ$5&gt;$E28,EJ$5&lt;=$F28),IF(EJ$5=$E28+1,$C28,""),"")</f>
        <v/>
      </c>
      <c r="EK28" s="34">
        <f>IF(AND(EK$5&gt;$E28,EK$5&lt;=$F28),IF(EK$5=$E28+1,$C28,""),"")</f>
        <v/>
      </c>
      <c r="EL28" s="34">
        <f>IF(AND(EL$5&gt;$E28,EL$5&lt;=$F28),IF(EL$5=$E28+1,$C28,""),"")</f>
        <v/>
      </c>
      <c r="EM28" s="34">
        <f>IF(AND(EM$5&gt;$E28,EM$5&lt;=$F28),IF(EM$5=$E28+1,$C28,""),"")</f>
        <v/>
      </c>
      <c r="EN28" s="34">
        <f>IF(AND(EN$5&gt;$E28,EN$5&lt;=$F28),IF(EN$5=$E28+1,$C28,""),"")</f>
        <v/>
      </c>
      <c r="EO28" s="34">
        <f>IF(AND(EO$5&gt;$E28,EO$5&lt;=$F28),IF(EO$5=$E28+1,$C28,""),"")</f>
        <v/>
      </c>
      <c r="EP28" s="34">
        <f>IF(AND(EP$5&gt;$E28,EP$5&lt;=$F28),IF(EP$5=$E28+1,$C28,""),"")</f>
        <v/>
      </c>
      <c r="EQ28" s="34">
        <f>IF(AND(EQ$5&gt;$E28,EQ$5&lt;=$F28),IF(EQ$5=$E28+1,$C28,""),"")</f>
        <v/>
      </c>
      <c r="ER28" s="34">
        <f>IF(AND(ER$5&gt;$E28,ER$5&lt;=$F28),IF(ER$5=$E28+1,$C28,""),"")</f>
        <v/>
      </c>
      <c r="ES28" s="34">
        <f>IF(AND(ES$5&gt;$E28,ES$5&lt;=$F28),IF(ES$5=$E28+1,$C28,""),"")</f>
        <v/>
      </c>
      <c r="ET28" s="34">
        <f>IF(AND(ET$5&gt;$E28,ET$5&lt;=$F28),IF(ET$5=$E28+1,$C28,""),"")</f>
        <v/>
      </c>
      <c r="EU28" s="34">
        <f>IF(AND(EU$5&gt;$E28,EU$5&lt;=$F28),IF(EU$5=$E28+1,$C28,""),"")</f>
        <v/>
      </c>
      <c r="EV28" s="34">
        <f>IF(AND(EV$5&gt;$E28,EV$5&lt;=$F28),IF(EV$5=$E28+1,$C28,""),"")</f>
        <v/>
      </c>
      <c r="EW28" s="34">
        <f>IF(AND(EW$5&gt;$E28,EW$5&lt;=$F28),IF(EW$5=$E28+1,$C28,""),"")</f>
        <v/>
      </c>
      <c r="EX28" s="34">
        <f>IF(AND(EX$5&gt;$E28,EX$5&lt;=$F28),IF(EX$5=$E28+1,$C28,""),"")</f>
        <v/>
      </c>
      <c r="EY28" s="34">
        <f>IF(AND(EY$5&gt;$E28,EY$5&lt;=$F28),IF(EY$5=$E28+1,$C28,""),"")</f>
        <v/>
      </c>
      <c r="EZ28" s="34">
        <f>IF(AND(EZ$5&gt;$E28,EZ$5&lt;=$F28),IF(EZ$5=$E28+1,$C28,""),"")</f>
        <v/>
      </c>
      <c r="FA28" s="34">
        <f>IF(AND(FA$5&gt;$E28,FA$5&lt;=$F28),IF(FA$5=$E28+1,$C28,""),"")</f>
        <v/>
      </c>
    </row>
    <row r="29">
      <c r="A29" s="32">
        <f>Plan!A23</f>
        <v/>
      </c>
      <c r="B29" s="33">
        <f>Plan!C23</f>
        <v/>
      </c>
      <c r="C29" s="16">
        <f>Plan!D23</f>
        <v/>
      </c>
      <c r="D29" s="16">
        <f>Plan!I23</f>
        <v/>
      </c>
      <c r="E29" s="16">
        <f>Plan!K23</f>
        <v/>
      </c>
      <c r="F29" s="16">
        <f>Plan!L23</f>
        <v/>
      </c>
      <c r="G29" s="16">
        <f>Plan!O23</f>
        <v/>
      </c>
      <c r="H29" s="34">
        <f>IF(AND(H$5&gt;$E29,H$5&lt;=$F29),IF(H$5=$E29+1,$C29,""),"")</f>
        <v/>
      </c>
      <c r="I29" s="34">
        <f>IF(AND(I$5&gt;$E29,I$5&lt;=$F29),IF(I$5=$E29+1,$C29,""),"")</f>
        <v/>
      </c>
      <c r="J29" s="34">
        <f>IF(AND(J$5&gt;$E29,J$5&lt;=$F29),IF(J$5=$E29+1,$C29,""),"")</f>
        <v/>
      </c>
      <c r="K29" s="34">
        <f>IF(AND(K$5&gt;$E29,K$5&lt;=$F29),IF(K$5=$E29+1,$C29,""),"")</f>
        <v/>
      </c>
      <c r="L29" s="34">
        <f>IF(AND(L$5&gt;$E29,L$5&lt;=$F29),IF(L$5=$E29+1,$C29,""),"")</f>
        <v/>
      </c>
      <c r="M29" s="34">
        <f>IF(AND(M$5&gt;$E29,M$5&lt;=$F29),IF(M$5=$E29+1,$C29,""),"")</f>
        <v/>
      </c>
      <c r="N29" s="34">
        <f>IF(AND(N$5&gt;$E29,N$5&lt;=$F29),IF(N$5=$E29+1,$C29,""),"")</f>
        <v/>
      </c>
      <c r="O29" s="34">
        <f>IF(AND(O$5&gt;$E29,O$5&lt;=$F29),IF(O$5=$E29+1,$C29,""),"")</f>
        <v/>
      </c>
      <c r="P29" s="34">
        <f>IF(AND(P$5&gt;$E29,P$5&lt;=$F29),IF(P$5=$E29+1,$C29,""),"")</f>
        <v/>
      </c>
      <c r="Q29" s="34">
        <f>IF(AND(Q$5&gt;$E29,Q$5&lt;=$F29),IF(Q$5=$E29+1,$C29,""),"")</f>
        <v/>
      </c>
      <c r="R29" s="34">
        <f>IF(AND(R$5&gt;$E29,R$5&lt;=$F29),IF(R$5=$E29+1,$C29,""),"")</f>
        <v/>
      </c>
      <c r="S29" s="34">
        <f>IF(AND(S$5&gt;$E29,S$5&lt;=$F29),IF(S$5=$E29+1,$C29,""),"")</f>
        <v/>
      </c>
      <c r="T29" s="34">
        <f>IF(AND(T$5&gt;$E29,T$5&lt;=$F29),IF(T$5=$E29+1,$C29,""),"")</f>
        <v/>
      </c>
      <c r="U29" s="34">
        <f>IF(AND(U$5&gt;$E29,U$5&lt;=$F29),IF(U$5=$E29+1,$C29,""),"")</f>
        <v/>
      </c>
      <c r="V29" s="34">
        <f>IF(AND(V$5&gt;$E29,V$5&lt;=$F29),IF(V$5=$E29+1,$C29,""),"")</f>
        <v/>
      </c>
      <c r="W29" s="34">
        <f>IF(AND(W$5&gt;$E29,W$5&lt;=$F29),IF(W$5=$E29+1,$C29,""),"")</f>
        <v/>
      </c>
      <c r="X29" s="34">
        <f>IF(AND(X$5&gt;$E29,X$5&lt;=$F29),IF(X$5=$E29+1,$C29,""),"")</f>
        <v/>
      </c>
      <c r="Y29" s="34">
        <f>IF(AND(Y$5&gt;$E29,Y$5&lt;=$F29),IF(Y$5=$E29+1,$C29,""),"")</f>
        <v/>
      </c>
      <c r="Z29" s="34">
        <f>IF(AND(Z$5&gt;$E29,Z$5&lt;=$F29),IF(Z$5=$E29+1,$C29,""),"")</f>
        <v/>
      </c>
      <c r="AA29" s="34">
        <f>IF(AND(AA$5&gt;$E29,AA$5&lt;=$F29),IF(AA$5=$E29+1,$C29,""),"")</f>
        <v/>
      </c>
      <c r="AB29" s="34">
        <f>IF(AND(AB$5&gt;$E29,AB$5&lt;=$F29),IF(AB$5=$E29+1,$C29,""),"")</f>
        <v/>
      </c>
      <c r="AC29" s="34">
        <f>IF(AND(AC$5&gt;$E29,AC$5&lt;=$F29),IF(AC$5=$E29+1,$C29,""),"")</f>
        <v/>
      </c>
      <c r="AD29" s="34">
        <f>IF(AND(AD$5&gt;$E29,AD$5&lt;=$F29),IF(AD$5=$E29+1,$C29,""),"")</f>
        <v/>
      </c>
      <c r="AE29" s="34">
        <f>IF(AND(AE$5&gt;$E29,AE$5&lt;=$F29),IF(AE$5=$E29+1,$C29,""),"")</f>
        <v/>
      </c>
      <c r="AF29" s="34">
        <f>IF(AND(AF$5&gt;$E29,AF$5&lt;=$F29),IF(AF$5=$E29+1,$C29,""),"")</f>
        <v/>
      </c>
      <c r="AG29" s="34">
        <f>IF(AND(AG$5&gt;$E29,AG$5&lt;=$F29),IF(AG$5=$E29+1,$C29,""),"")</f>
        <v/>
      </c>
      <c r="AH29" s="34">
        <f>IF(AND(AH$5&gt;$E29,AH$5&lt;=$F29),IF(AH$5=$E29+1,$C29,""),"")</f>
        <v/>
      </c>
      <c r="AI29" s="34">
        <f>IF(AND(AI$5&gt;$E29,AI$5&lt;=$F29),IF(AI$5=$E29+1,$C29,""),"")</f>
        <v/>
      </c>
      <c r="AJ29" s="34">
        <f>IF(AND(AJ$5&gt;$E29,AJ$5&lt;=$F29),IF(AJ$5=$E29+1,$C29,""),"")</f>
        <v/>
      </c>
      <c r="AK29" s="34">
        <f>IF(AND(AK$5&gt;$E29,AK$5&lt;=$F29),IF(AK$5=$E29+1,$C29,""),"")</f>
        <v/>
      </c>
      <c r="AL29" s="34">
        <f>IF(AND(AL$5&gt;$E29,AL$5&lt;=$F29),IF(AL$5=$E29+1,$C29,""),"")</f>
        <v/>
      </c>
      <c r="AM29" s="34">
        <f>IF(AND(AM$5&gt;$E29,AM$5&lt;=$F29),IF(AM$5=$E29+1,$C29,""),"")</f>
        <v/>
      </c>
      <c r="AN29" s="34">
        <f>IF(AND(AN$5&gt;$E29,AN$5&lt;=$F29),IF(AN$5=$E29+1,$C29,""),"")</f>
        <v/>
      </c>
      <c r="AO29" s="34">
        <f>IF(AND(AO$5&gt;$E29,AO$5&lt;=$F29),IF(AO$5=$E29+1,$C29,""),"")</f>
        <v/>
      </c>
      <c r="AP29" s="34">
        <f>IF(AND(AP$5&gt;$E29,AP$5&lt;=$F29),IF(AP$5=$E29+1,$C29,""),"")</f>
        <v/>
      </c>
      <c r="AQ29" s="34">
        <f>IF(AND(AQ$5&gt;$E29,AQ$5&lt;=$F29),IF(AQ$5=$E29+1,$C29,""),"")</f>
        <v/>
      </c>
      <c r="AR29" s="34">
        <f>IF(AND(AR$5&gt;$E29,AR$5&lt;=$F29),IF(AR$5=$E29+1,$C29,""),"")</f>
        <v/>
      </c>
      <c r="AS29" s="34">
        <f>IF(AND(AS$5&gt;$E29,AS$5&lt;=$F29),IF(AS$5=$E29+1,$C29,""),"")</f>
        <v/>
      </c>
      <c r="AT29" s="34">
        <f>IF(AND(AT$5&gt;$E29,AT$5&lt;=$F29),IF(AT$5=$E29+1,$C29,""),"")</f>
        <v/>
      </c>
      <c r="AU29" s="34">
        <f>IF(AND(AU$5&gt;$E29,AU$5&lt;=$F29),IF(AU$5=$E29+1,$C29,""),"")</f>
        <v/>
      </c>
      <c r="AV29" s="34">
        <f>IF(AND(AV$5&gt;$E29,AV$5&lt;=$F29),IF(AV$5=$E29+1,$C29,""),"")</f>
        <v/>
      </c>
      <c r="AW29" s="34">
        <f>IF(AND(AW$5&gt;$E29,AW$5&lt;=$F29),IF(AW$5=$E29+1,$C29,""),"")</f>
        <v/>
      </c>
      <c r="AX29" s="34">
        <f>IF(AND(AX$5&gt;$E29,AX$5&lt;=$F29),IF(AX$5=$E29+1,$C29,""),"")</f>
        <v/>
      </c>
      <c r="AY29" s="34">
        <f>IF(AND(AY$5&gt;$E29,AY$5&lt;=$F29),IF(AY$5=$E29+1,$C29,""),"")</f>
        <v/>
      </c>
      <c r="AZ29" s="34">
        <f>IF(AND(AZ$5&gt;$E29,AZ$5&lt;=$F29),IF(AZ$5=$E29+1,$C29,""),"")</f>
        <v/>
      </c>
      <c r="BA29" s="34">
        <f>IF(AND(BA$5&gt;$E29,BA$5&lt;=$F29),IF(BA$5=$E29+1,$C29,""),"")</f>
        <v/>
      </c>
      <c r="BB29" s="34">
        <f>IF(AND(BB$5&gt;$E29,BB$5&lt;=$F29),IF(BB$5=$E29+1,$C29,""),"")</f>
        <v/>
      </c>
      <c r="BC29" s="34">
        <f>IF(AND(BC$5&gt;$E29,BC$5&lt;=$F29),IF(BC$5=$E29+1,$C29,""),"")</f>
        <v/>
      </c>
      <c r="BD29" s="34">
        <f>IF(AND(BD$5&gt;$E29,BD$5&lt;=$F29),IF(BD$5=$E29+1,$C29,""),"")</f>
        <v/>
      </c>
      <c r="BE29" s="34">
        <f>IF(AND(BE$5&gt;$E29,BE$5&lt;=$F29),IF(BE$5=$E29+1,$C29,""),"")</f>
        <v/>
      </c>
      <c r="BF29" s="34">
        <f>IF(AND(BF$5&gt;$E29,BF$5&lt;=$F29),IF(BF$5=$E29+1,$C29,""),"")</f>
        <v/>
      </c>
      <c r="BG29" s="34">
        <f>IF(AND(BG$5&gt;$E29,BG$5&lt;=$F29),IF(BG$5=$E29+1,$C29,""),"")</f>
        <v/>
      </c>
      <c r="BH29" s="34">
        <f>IF(AND(BH$5&gt;$E29,BH$5&lt;=$F29),IF(BH$5=$E29+1,$C29,""),"")</f>
        <v/>
      </c>
      <c r="BI29" s="34">
        <f>IF(AND(BI$5&gt;$E29,BI$5&lt;=$F29),IF(BI$5=$E29+1,$C29,""),"")</f>
        <v/>
      </c>
      <c r="BJ29" s="34">
        <f>IF(AND(BJ$5&gt;$E29,BJ$5&lt;=$F29),IF(BJ$5=$E29+1,$C29,""),"")</f>
        <v/>
      </c>
      <c r="BK29" s="34">
        <f>IF(AND(BK$5&gt;$E29,BK$5&lt;=$F29),IF(BK$5=$E29+1,$C29,""),"")</f>
        <v/>
      </c>
      <c r="BL29" s="34">
        <f>IF(AND(BL$5&gt;$E29,BL$5&lt;=$F29),IF(BL$5=$E29+1,$C29,""),"")</f>
        <v/>
      </c>
      <c r="BM29" s="34">
        <f>IF(AND(BM$5&gt;$E29,BM$5&lt;=$F29),IF(BM$5=$E29+1,$C29,""),"")</f>
        <v/>
      </c>
      <c r="BN29" s="34">
        <f>IF(AND(BN$5&gt;$E29,BN$5&lt;=$F29),IF(BN$5=$E29+1,$C29,""),"")</f>
        <v/>
      </c>
      <c r="BO29" s="34">
        <f>IF(AND(BO$5&gt;$E29,BO$5&lt;=$F29),IF(BO$5=$E29+1,$C29,""),"")</f>
        <v/>
      </c>
      <c r="BP29" s="34">
        <f>IF(AND(BP$5&gt;$E29,BP$5&lt;=$F29),IF(BP$5=$E29+1,$C29,""),"")</f>
        <v/>
      </c>
      <c r="BQ29" s="34">
        <f>IF(AND(BQ$5&gt;$E29,BQ$5&lt;=$F29),IF(BQ$5=$E29+1,$C29,""),"")</f>
        <v/>
      </c>
      <c r="BR29" s="34">
        <f>IF(AND(BR$5&gt;$E29,BR$5&lt;=$F29),IF(BR$5=$E29+1,$C29,""),"")</f>
        <v/>
      </c>
      <c r="BS29" s="34">
        <f>IF(AND(BS$5&gt;$E29,BS$5&lt;=$F29),IF(BS$5=$E29+1,$C29,""),"")</f>
        <v/>
      </c>
      <c r="BT29" s="34">
        <f>IF(AND(BT$5&gt;$E29,BT$5&lt;=$F29),IF(BT$5=$E29+1,$C29,""),"")</f>
        <v/>
      </c>
      <c r="BU29" s="34">
        <f>IF(AND(BU$5&gt;$E29,BU$5&lt;=$F29),IF(BU$5=$E29+1,$C29,""),"")</f>
        <v/>
      </c>
      <c r="BV29" s="34">
        <f>IF(AND(BV$5&gt;$E29,BV$5&lt;=$F29),IF(BV$5=$E29+1,$C29,""),"")</f>
        <v/>
      </c>
      <c r="BW29" s="34">
        <f>IF(AND(BW$5&gt;$E29,BW$5&lt;=$F29),IF(BW$5=$E29+1,$C29,""),"")</f>
        <v/>
      </c>
      <c r="BX29" s="34">
        <f>IF(AND(BX$5&gt;$E29,BX$5&lt;=$F29),IF(BX$5=$E29+1,$C29,""),"")</f>
        <v/>
      </c>
      <c r="BY29" s="34">
        <f>IF(AND(BY$5&gt;$E29,BY$5&lt;=$F29),IF(BY$5=$E29+1,$C29,""),"")</f>
        <v/>
      </c>
      <c r="BZ29" s="34">
        <f>IF(AND(BZ$5&gt;$E29,BZ$5&lt;=$F29),IF(BZ$5=$E29+1,$C29,""),"")</f>
        <v/>
      </c>
      <c r="CA29" s="34">
        <f>IF(AND(CA$5&gt;$E29,CA$5&lt;=$F29),IF(CA$5=$E29+1,$C29,""),"")</f>
        <v/>
      </c>
      <c r="CB29" s="34">
        <f>IF(AND(CB$5&gt;$E29,CB$5&lt;=$F29),IF(CB$5=$E29+1,$C29,""),"")</f>
        <v/>
      </c>
      <c r="CC29" s="34">
        <f>IF(AND(CC$5&gt;$E29,CC$5&lt;=$F29),IF(CC$5=$E29+1,$C29,""),"")</f>
        <v/>
      </c>
      <c r="CD29" s="34">
        <f>IF(AND(CD$5&gt;$E29,CD$5&lt;=$F29),IF(CD$5=$E29+1,$C29,""),"")</f>
        <v/>
      </c>
      <c r="CE29" s="34">
        <f>IF(AND(CE$5&gt;$E29,CE$5&lt;=$F29),IF(CE$5=$E29+1,$C29,""),"")</f>
        <v/>
      </c>
      <c r="CF29" s="34">
        <f>IF(AND(CF$5&gt;$E29,CF$5&lt;=$F29),IF(CF$5=$E29+1,$C29,""),"")</f>
        <v/>
      </c>
      <c r="CG29" s="34">
        <f>IF(AND(CG$5&gt;$E29,CG$5&lt;=$F29),IF(CG$5=$E29+1,$C29,""),"")</f>
        <v/>
      </c>
      <c r="CH29" s="34">
        <f>IF(AND(CH$5&gt;$E29,CH$5&lt;=$F29),IF(CH$5=$E29+1,$C29,""),"")</f>
        <v/>
      </c>
      <c r="CI29" s="34">
        <f>IF(AND(CI$5&gt;$E29,CI$5&lt;=$F29),IF(CI$5=$E29+1,$C29,""),"")</f>
        <v/>
      </c>
      <c r="CJ29" s="34">
        <f>IF(AND(CJ$5&gt;$E29,CJ$5&lt;=$F29),IF(CJ$5=$E29+1,$C29,""),"")</f>
        <v/>
      </c>
      <c r="CK29" s="34">
        <f>IF(AND(CK$5&gt;$E29,CK$5&lt;=$F29),IF(CK$5=$E29+1,$C29,""),"")</f>
        <v/>
      </c>
      <c r="CL29" s="34">
        <f>IF(AND(CL$5&gt;$E29,CL$5&lt;=$F29),IF(CL$5=$E29+1,$C29,""),"")</f>
        <v/>
      </c>
      <c r="CM29" s="34">
        <f>IF(AND(CM$5&gt;$E29,CM$5&lt;=$F29),IF(CM$5=$E29+1,$C29,""),"")</f>
        <v/>
      </c>
      <c r="CN29" s="34">
        <f>IF(AND(CN$5&gt;$E29,CN$5&lt;=$F29),IF(CN$5=$E29+1,$C29,""),"")</f>
        <v/>
      </c>
      <c r="CO29" s="34">
        <f>IF(AND(CO$5&gt;$E29,CO$5&lt;=$F29),IF(CO$5=$E29+1,$C29,""),"")</f>
        <v/>
      </c>
      <c r="CP29" s="34">
        <f>IF(AND(CP$5&gt;$E29,CP$5&lt;=$F29),IF(CP$5=$E29+1,$C29,""),"")</f>
        <v/>
      </c>
      <c r="CQ29" s="34">
        <f>IF(AND(CQ$5&gt;$E29,CQ$5&lt;=$F29),IF(CQ$5=$E29+1,$C29,""),"")</f>
        <v/>
      </c>
      <c r="CR29" s="34">
        <f>IF(AND(CR$5&gt;$E29,CR$5&lt;=$F29),IF(CR$5=$E29+1,$C29,""),"")</f>
        <v/>
      </c>
      <c r="CS29" s="34">
        <f>IF(AND(CS$5&gt;$E29,CS$5&lt;=$F29),IF(CS$5=$E29+1,$C29,""),"")</f>
        <v/>
      </c>
      <c r="CT29" s="34">
        <f>IF(AND(CT$5&gt;$E29,CT$5&lt;=$F29),IF(CT$5=$E29+1,$C29,""),"")</f>
        <v/>
      </c>
      <c r="CU29" s="34">
        <f>IF(AND(CU$5&gt;$E29,CU$5&lt;=$F29),IF(CU$5=$E29+1,$C29,""),"")</f>
        <v/>
      </c>
      <c r="CV29" s="34">
        <f>IF(AND(CV$5&gt;$E29,CV$5&lt;=$F29),IF(CV$5=$E29+1,$C29,""),"")</f>
        <v/>
      </c>
      <c r="CW29" s="34">
        <f>IF(AND(CW$5&gt;$E29,CW$5&lt;=$F29),IF(CW$5=$E29+1,$C29,""),"")</f>
        <v/>
      </c>
      <c r="CX29" s="34">
        <f>IF(AND(CX$5&gt;$E29,CX$5&lt;=$F29),IF(CX$5=$E29+1,$C29,""),"")</f>
        <v/>
      </c>
      <c r="CY29" s="34">
        <f>IF(AND(CY$5&gt;$E29,CY$5&lt;=$F29),IF(CY$5=$E29+1,$C29,""),"")</f>
        <v/>
      </c>
      <c r="CZ29" s="34">
        <f>IF(AND(CZ$5&gt;$E29,CZ$5&lt;=$F29),IF(CZ$5=$E29+1,$C29,""),"")</f>
        <v/>
      </c>
      <c r="DA29" s="34">
        <f>IF(AND(DA$5&gt;$E29,DA$5&lt;=$F29),IF(DA$5=$E29+1,$C29,""),"")</f>
        <v/>
      </c>
      <c r="DB29" s="34">
        <f>IF(AND(DB$5&gt;$E29,DB$5&lt;=$F29),IF(DB$5=$E29+1,$C29,""),"")</f>
        <v/>
      </c>
      <c r="DC29" s="34">
        <f>IF(AND(DC$5&gt;$E29,DC$5&lt;=$F29),IF(DC$5=$E29+1,$C29,""),"")</f>
        <v/>
      </c>
      <c r="DD29" s="34">
        <f>IF(AND(DD$5&gt;$E29,DD$5&lt;=$F29),IF(DD$5=$E29+1,$C29,""),"")</f>
        <v/>
      </c>
      <c r="DE29" s="34">
        <f>IF(AND(DE$5&gt;$E29,DE$5&lt;=$F29),IF(DE$5=$E29+1,$C29,""),"")</f>
        <v/>
      </c>
      <c r="DF29" s="34">
        <f>IF(AND(DF$5&gt;$E29,DF$5&lt;=$F29),IF(DF$5=$E29+1,$C29,""),"")</f>
        <v/>
      </c>
      <c r="DG29" s="34">
        <f>IF(AND(DG$5&gt;$E29,DG$5&lt;=$F29),IF(DG$5=$E29+1,$C29,""),"")</f>
        <v/>
      </c>
      <c r="DH29" s="34">
        <f>IF(AND(DH$5&gt;$E29,DH$5&lt;=$F29),IF(DH$5=$E29+1,$C29,""),"")</f>
        <v/>
      </c>
      <c r="DI29" s="34">
        <f>IF(AND(DI$5&gt;$E29,DI$5&lt;=$F29),IF(DI$5=$E29+1,$C29,""),"")</f>
        <v/>
      </c>
      <c r="DJ29" s="34">
        <f>IF(AND(DJ$5&gt;$E29,DJ$5&lt;=$F29),IF(DJ$5=$E29+1,$C29,""),"")</f>
        <v/>
      </c>
      <c r="DK29" s="34">
        <f>IF(AND(DK$5&gt;$E29,DK$5&lt;=$F29),IF(DK$5=$E29+1,$C29,""),"")</f>
        <v/>
      </c>
      <c r="DL29" s="34">
        <f>IF(AND(DL$5&gt;$E29,DL$5&lt;=$F29),IF(DL$5=$E29+1,$C29,""),"")</f>
        <v/>
      </c>
      <c r="DM29" s="34">
        <f>IF(AND(DM$5&gt;$E29,DM$5&lt;=$F29),IF(DM$5=$E29+1,$C29,""),"")</f>
        <v/>
      </c>
      <c r="DN29" s="34">
        <f>IF(AND(DN$5&gt;$E29,DN$5&lt;=$F29),IF(DN$5=$E29+1,$C29,""),"")</f>
        <v/>
      </c>
      <c r="DO29" s="34">
        <f>IF(AND(DO$5&gt;$E29,DO$5&lt;=$F29),IF(DO$5=$E29+1,$C29,""),"")</f>
        <v/>
      </c>
      <c r="DP29" s="34">
        <f>IF(AND(DP$5&gt;$E29,DP$5&lt;=$F29),IF(DP$5=$E29+1,$C29,""),"")</f>
        <v/>
      </c>
      <c r="DQ29" s="34">
        <f>IF(AND(DQ$5&gt;$E29,DQ$5&lt;=$F29),IF(DQ$5=$E29+1,$C29,""),"")</f>
        <v/>
      </c>
      <c r="DR29" s="34">
        <f>IF(AND(DR$5&gt;$E29,DR$5&lt;=$F29),IF(DR$5=$E29+1,$C29,""),"")</f>
        <v/>
      </c>
      <c r="DS29" s="34">
        <f>IF(AND(DS$5&gt;$E29,DS$5&lt;=$F29),IF(DS$5=$E29+1,$C29,""),"")</f>
        <v/>
      </c>
      <c r="DT29" s="34">
        <f>IF(AND(DT$5&gt;$E29,DT$5&lt;=$F29),IF(DT$5=$E29+1,$C29,""),"")</f>
        <v/>
      </c>
      <c r="DU29" s="34">
        <f>IF(AND(DU$5&gt;$E29,DU$5&lt;=$F29),IF(DU$5=$E29+1,$C29,""),"")</f>
        <v/>
      </c>
      <c r="DV29" s="34">
        <f>IF(AND(DV$5&gt;$E29,DV$5&lt;=$F29),IF(DV$5=$E29+1,$C29,""),"")</f>
        <v/>
      </c>
      <c r="DW29" s="34">
        <f>IF(AND(DW$5&gt;$E29,DW$5&lt;=$F29),IF(DW$5=$E29+1,$C29,""),"")</f>
        <v/>
      </c>
      <c r="DX29" s="34">
        <f>IF(AND(DX$5&gt;$E29,DX$5&lt;=$F29),IF(DX$5=$E29+1,$C29,""),"")</f>
        <v/>
      </c>
      <c r="DY29" s="34">
        <f>IF(AND(DY$5&gt;$E29,DY$5&lt;=$F29),IF(DY$5=$E29+1,$C29,""),"")</f>
        <v/>
      </c>
      <c r="DZ29" s="34">
        <f>IF(AND(DZ$5&gt;$E29,DZ$5&lt;=$F29),IF(DZ$5=$E29+1,$C29,""),"")</f>
        <v/>
      </c>
      <c r="EA29" s="34">
        <f>IF(AND(EA$5&gt;$E29,EA$5&lt;=$F29),IF(EA$5=$E29+1,$C29,""),"")</f>
        <v/>
      </c>
      <c r="EB29" s="34">
        <f>IF(AND(EB$5&gt;$E29,EB$5&lt;=$F29),IF(EB$5=$E29+1,$C29,""),"")</f>
        <v/>
      </c>
      <c r="EC29" s="34">
        <f>IF(AND(EC$5&gt;$E29,EC$5&lt;=$F29),IF(EC$5=$E29+1,$C29,""),"")</f>
        <v/>
      </c>
      <c r="ED29" s="34">
        <f>IF(AND(ED$5&gt;$E29,ED$5&lt;=$F29),IF(ED$5=$E29+1,$C29,""),"")</f>
        <v/>
      </c>
      <c r="EE29" s="34">
        <f>IF(AND(EE$5&gt;$E29,EE$5&lt;=$F29),IF(EE$5=$E29+1,$C29,""),"")</f>
        <v/>
      </c>
      <c r="EF29" s="34">
        <f>IF(AND(EF$5&gt;$E29,EF$5&lt;=$F29),IF(EF$5=$E29+1,$C29,""),"")</f>
        <v/>
      </c>
      <c r="EG29" s="34">
        <f>IF(AND(EG$5&gt;$E29,EG$5&lt;=$F29),IF(EG$5=$E29+1,$C29,""),"")</f>
        <v/>
      </c>
      <c r="EH29" s="34">
        <f>IF(AND(EH$5&gt;$E29,EH$5&lt;=$F29),IF(EH$5=$E29+1,$C29,""),"")</f>
        <v/>
      </c>
      <c r="EI29" s="34">
        <f>IF(AND(EI$5&gt;$E29,EI$5&lt;=$F29),IF(EI$5=$E29+1,$C29,""),"")</f>
        <v/>
      </c>
      <c r="EJ29" s="34">
        <f>IF(AND(EJ$5&gt;$E29,EJ$5&lt;=$F29),IF(EJ$5=$E29+1,$C29,""),"")</f>
        <v/>
      </c>
      <c r="EK29" s="34">
        <f>IF(AND(EK$5&gt;$E29,EK$5&lt;=$F29),IF(EK$5=$E29+1,$C29,""),"")</f>
        <v/>
      </c>
      <c r="EL29" s="34">
        <f>IF(AND(EL$5&gt;$E29,EL$5&lt;=$F29),IF(EL$5=$E29+1,$C29,""),"")</f>
        <v/>
      </c>
      <c r="EM29" s="34">
        <f>IF(AND(EM$5&gt;$E29,EM$5&lt;=$F29),IF(EM$5=$E29+1,$C29,""),"")</f>
        <v/>
      </c>
      <c r="EN29" s="34">
        <f>IF(AND(EN$5&gt;$E29,EN$5&lt;=$F29),IF(EN$5=$E29+1,$C29,""),"")</f>
        <v/>
      </c>
      <c r="EO29" s="34">
        <f>IF(AND(EO$5&gt;$E29,EO$5&lt;=$F29),IF(EO$5=$E29+1,$C29,""),"")</f>
        <v/>
      </c>
      <c r="EP29" s="34">
        <f>IF(AND(EP$5&gt;$E29,EP$5&lt;=$F29),IF(EP$5=$E29+1,$C29,""),"")</f>
        <v/>
      </c>
      <c r="EQ29" s="34">
        <f>IF(AND(EQ$5&gt;$E29,EQ$5&lt;=$F29),IF(EQ$5=$E29+1,$C29,""),"")</f>
        <v/>
      </c>
      <c r="ER29" s="34">
        <f>IF(AND(ER$5&gt;$E29,ER$5&lt;=$F29),IF(ER$5=$E29+1,$C29,""),"")</f>
        <v/>
      </c>
      <c r="ES29" s="34">
        <f>IF(AND(ES$5&gt;$E29,ES$5&lt;=$F29),IF(ES$5=$E29+1,$C29,""),"")</f>
        <v/>
      </c>
      <c r="ET29" s="34">
        <f>IF(AND(ET$5&gt;$E29,ET$5&lt;=$F29),IF(ET$5=$E29+1,$C29,""),"")</f>
        <v/>
      </c>
      <c r="EU29" s="34">
        <f>IF(AND(EU$5&gt;$E29,EU$5&lt;=$F29),IF(EU$5=$E29+1,$C29,""),"")</f>
        <v/>
      </c>
      <c r="EV29" s="34">
        <f>IF(AND(EV$5&gt;$E29,EV$5&lt;=$F29),IF(EV$5=$E29+1,$C29,""),"")</f>
        <v/>
      </c>
      <c r="EW29" s="34">
        <f>IF(AND(EW$5&gt;$E29,EW$5&lt;=$F29),IF(EW$5=$E29+1,$C29,""),"")</f>
        <v/>
      </c>
      <c r="EX29" s="34">
        <f>IF(AND(EX$5&gt;$E29,EX$5&lt;=$F29),IF(EX$5=$E29+1,$C29,""),"")</f>
        <v/>
      </c>
      <c r="EY29" s="34">
        <f>IF(AND(EY$5&gt;$E29,EY$5&lt;=$F29),IF(EY$5=$E29+1,$C29,""),"")</f>
        <v/>
      </c>
      <c r="EZ29" s="34">
        <f>IF(AND(EZ$5&gt;$E29,EZ$5&lt;=$F29),IF(EZ$5=$E29+1,$C29,""),"")</f>
        <v/>
      </c>
      <c r="FA29" s="34">
        <f>IF(AND(FA$5&gt;$E29,FA$5&lt;=$F29),IF(FA$5=$E29+1,$C29,""),"")</f>
        <v/>
      </c>
    </row>
    <row r="30">
      <c r="A30" s="32">
        <f>Plan!A24</f>
        <v/>
      </c>
      <c r="B30" s="33">
        <f>Plan!C24</f>
        <v/>
      </c>
      <c r="C30" s="16">
        <f>Plan!D24</f>
        <v/>
      </c>
      <c r="D30" s="16">
        <f>Plan!I24</f>
        <v/>
      </c>
      <c r="E30" s="16">
        <f>Plan!K24</f>
        <v/>
      </c>
      <c r="F30" s="16">
        <f>Plan!L24</f>
        <v/>
      </c>
      <c r="G30" s="16">
        <f>Plan!O24</f>
        <v/>
      </c>
      <c r="H30" s="34">
        <f>IF(AND(H$5&gt;$E30,H$5&lt;=$F30),IF(H$5=$E30+1,$C30,""),"")</f>
        <v/>
      </c>
      <c r="I30" s="34">
        <f>IF(AND(I$5&gt;$E30,I$5&lt;=$F30),IF(I$5=$E30+1,$C30,""),"")</f>
        <v/>
      </c>
      <c r="J30" s="34">
        <f>IF(AND(J$5&gt;$E30,J$5&lt;=$F30),IF(J$5=$E30+1,$C30,""),"")</f>
        <v/>
      </c>
      <c r="K30" s="34">
        <f>IF(AND(K$5&gt;$E30,K$5&lt;=$F30),IF(K$5=$E30+1,$C30,""),"")</f>
        <v/>
      </c>
      <c r="L30" s="34">
        <f>IF(AND(L$5&gt;$E30,L$5&lt;=$F30),IF(L$5=$E30+1,$C30,""),"")</f>
        <v/>
      </c>
      <c r="M30" s="34">
        <f>IF(AND(M$5&gt;$E30,M$5&lt;=$F30),IF(M$5=$E30+1,$C30,""),"")</f>
        <v/>
      </c>
      <c r="N30" s="34">
        <f>IF(AND(N$5&gt;$E30,N$5&lt;=$F30),IF(N$5=$E30+1,$C30,""),"")</f>
        <v/>
      </c>
      <c r="O30" s="34">
        <f>IF(AND(O$5&gt;$E30,O$5&lt;=$F30),IF(O$5=$E30+1,$C30,""),"")</f>
        <v/>
      </c>
      <c r="P30" s="34">
        <f>IF(AND(P$5&gt;$E30,P$5&lt;=$F30),IF(P$5=$E30+1,$C30,""),"")</f>
        <v/>
      </c>
      <c r="Q30" s="34">
        <f>IF(AND(Q$5&gt;$E30,Q$5&lt;=$F30),IF(Q$5=$E30+1,$C30,""),"")</f>
        <v/>
      </c>
      <c r="R30" s="34">
        <f>IF(AND(R$5&gt;$E30,R$5&lt;=$F30),IF(R$5=$E30+1,$C30,""),"")</f>
        <v/>
      </c>
      <c r="S30" s="34">
        <f>IF(AND(S$5&gt;$E30,S$5&lt;=$F30),IF(S$5=$E30+1,$C30,""),"")</f>
        <v/>
      </c>
      <c r="T30" s="34">
        <f>IF(AND(T$5&gt;$E30,T$5&lt;=$F30),IF(T$5=$E30+1,$C30,""),"")</f>
        <v/>
      </c>
      <c r="U30" s="34">
        <f>IF(AND(U$5&gt;$E30,U$5&lt;=$F30),IF(U$5=$E30+1,$C30,""),"")</f>
        <v/>
      </c>
      <c r="V30" s="34">
        <f>IF(AND(V$5&gt;$E30,V$5&lt;=$F30),IF(V$5=$E30+1,$C30,""),"")</f>
        <v/>
      </c>
      <c r="W30" s="34">
        <f>IF(AND(W$5&gt;$E30,W$5&lt;=$F30),IF(W$5=$E30+1,$C30,""),"")</f>
        <v/>
      </c>
      <c r="X30" s="34">
        <f>IF(AND(X$5&gt;$E30,X$5&lt;=$F30),IF(X$5=$E30+1,$C30,""),"")</f>
        <v/>
      </c>
      <c r="Y30" s="34">
        <f>IF(AND(Y$5&gt;$E30,Y$5&lt;=$F30),IF(Y$5=$E30+1,$C30,""),"")</f>
        <v/>
      </c>
      <c r="Z30" s="34">
        <f>IF(AND(Z$5&gt;$E30,Z$5&lt;=$F30),IF(Z$5=$E30+1,$C30,""),"")</f>
        <v/>
      </c>
      <c r="AA30" s="34">
        <f>IF(AND(AA$5&gt;$E30,AA$5&lt;=$F30),IF(AA$5=$E30+1,$C30,""),"")</f>
        <v/>
      </c>
      <c r="AB30" s="34">
        <f>IF(AND(AB$5&gt;$E30,AB$5&lt;=$F30),IF(AB$5=$E30+1,$C30,""),"")</f>
        <v/>
      </c>
      <c r="AC30" s="34">
        <f>IF(AND(AC$5&gt;$E30,AC$5&lt;=$F30),IF(AC$5=$E30+1,$C30,""),"")</f>
        <v/>
      </c>
      <c r="AD30" s="34">
        <f>IF(AND(AD$5&gt;$E30,AD$5&lt;=$F30),IF(AD$5=$E30+1,$C30,""),"")</f>
        <v/>
      </c>
      <c r="AE30" s="34">
        <f>IF(AND(AE$5&gt;$E30,AE$5&lt;=$F30),IF(AE$5=$E30+1,$C30,""),"")</f>
        <v/>
      </c>
      <c r="AF30" s="34">
        <f>IF(AND(AF$5&gt;$E30,AF$5&lt;=$F30),IF(AF$5=$E30+1,$C30,""),"")</f>
        <v/>
      </c>
      <c r="AG30" s="34">
        <f>IF(AND(AG$5&gt;$E30,AG$5&lt;=$F30),IF(AG$5=$E30+1,$C30,""),"")</f>
        <v/>
      </c>
      <c r="AH30" s="34">
        <f>IF(AND(AH$5&gt;$E30,AH$5&lt;=$F30),IF(AH$5=$E30+1,$C30,""),"")</f>
        <v/>
      </c>
      <c r="AI30" s="34">
        <f>IF(AND(AI$5&gt;$E30,AI$5&lt;=$F30),IF(AI$5=$E30+1,$C30,""),"")</f>
        <v/>
      </c>
      <c r="AJ30" s="34">
        <f>IF(AND(AJ$5&gt;$E30,AJ$5&lt;=$F30),IF(AJ$5=$E30+1,$C30,""),"")</f>
        <v/>
      </c>
      <c r="AK30" s="34">
        <f>IF(AND(AK$5&gt;$E30,AK$5&lt;=$F30),IF(AK$5=$E30+1,$C30,""),"")</f>
        <v/>
      </c>
      <c r="AL30" s="34">
        <f>IF(AND(AL$5&gt;$E30,AL$5&lt;=$F30),IF(AL$5=$E30+1,$C30,""),"")</f>
        <v/>
      </c>
      <c r="AM30" s="34">
        <f>IF(AND(AM$5&gt;$E30,AM$5&lt;=$F30),IF(AM$5=$E30+1,$C30,""),"")</f>
        <v/>
      </c>
      <c r="AN30" s="34">
        <f>IF(AND(AN$5&gt;$E30,AN$5&lt;=$F30),IF(AN$5=$E30+1,$C30,""),"")</f>
        <v/>
      </c>
      <c r="AO30" s="34">
        <f>IF(AND(AO$5&gt;$E30,AO$5&lt;=$F30),IF(AO$5=$E30+1,$C30,""),"")</f>
        <v/>
      </c>
      <c r="AP30" s="34">
        <f>IF(AND(AP$5&gt;$E30,AP$5&lt;=$F30),IF(AP$5=$E30+1,$C30,""),"")</f>
        <v/>
      </c>
      <c r="AQ30" s="34">
        <f>IF(AND(AQ$5&gt;$E30,AQ$5&lt;=$F30),IF(AQ$5=$E30+1,$C30,""),"")</f>
        <v/>
      </c>
      <c r="AR30" s="34">
        <f>IF(AND(AR$5&gt;$E30,AR$5&lt;=$F30),IF(AR$5=$E30+1,$C30,""),"")</f>
        <v/>
      </c>
      <c r="AS30" s="34">
        <f>IF(AND(AS$5&gt;$E30,AS$5&lt;=$F30),IF(AS$5=$E30+1,$C30,""),"")</f>
        <v/>
      </c>
      <c r="AT30" s="34">
        <f>IF(AND(AT$5&gt;$E30,AT$5&lt;=$F30),IF(AT$5=$E30+1,$C30,""),"")</f>
        <v/>
      </c>
      <c r="AU30" s="34">
        <f>IF(AND(AU$5&gt;$E30,AU$5&lt;=$F30),IF(AU$5=$E30+1,$C30,""),"")</f>
        <v/>
      </c>
      <c r="AV30" s="34">
        <f>IF(AND(AV$5&gt;$E30,AV$5&lt;=$F30),IF(AV$5=$E30+1,$C30,""),"")</f>
        <v/>
      </c>
      <c r="AW30" s="34">
        <f>IF(AND(AW$5&gt;$E30,AW$5&lt;=$F30),IF(AW$5=$E30+1,$C30,""),"")</f>
        <v/>
      </c>
      <c r="AX30" s="34">
        <f>IF(AND(AX$5&gt;$E30,AX$5&lt;=$F30),IF(AX$5=$E30+1,$C30,""),"")</f>
        <v/>
      </c>
      <c r="AY30" s="34">
        <f>IF(AND(AY$5&gt;$E30,AY$5&lt;=$F30),IF(AY$5=$E30+1,$C30,""),"")</f>
        <v/>
      </c>
      <c r="AZ30" s="34">
        <f>IF(AND(AZ$5&gt;$E30,AZ$5&lt;=$F30),IF(AZ$5=$E30+1,$C30,""),"")</f>
        <v/>
      </c>
      <c r="BA30" s="34">
        <f>IF(AND(BA$5&gt;$E30,BA$5&lt;=$F30),IF(BA$5=$E30+1,$C30,""),"")</f>
        <v/>
      </c>
      <c r="BB30" s="34">
        <f>IF(AND(BB$5&gt;$E30,BB$5&lt;=$F30),IF(BB$5=$E30+1,$C30,""),"")</f>
        <v/>
      </c>
      <c r="BC30" s="34">
        <f>IF(AND(BC$5&gt;$E30,BC$5&lt;=$F30),IF(BC$5=$E30+1,$C30,""),"")</f>
        <v/>
      </c>
      <c r="BD30" s="34">
        <f>IF(AND(BD$5&gt;$E30,BD$5&lt;=$F30),IF(BD$5=$E30+1,$C30,""),"")</f>
        <v/>
      </c>
      <c r="BE30" s="34">
        <f>IF(AND(BE$5&gt;$E30,BE$5&lt;=$F30),IF(BE$5=$E30+1,$C30,""),"")</f>
        <v/>
      </c>
      <c r="BF30" s="34">
        <f>IF(AND(BF$5&gt;$E30,BF$5&lt;=$F30),IF(BF$5=$E30+1,$C30,""),"")</f>
        <v/>
      </c>
      <c r="BG30" s="34">
        <f>IF(AND(BG$5&gt;$E30,BG$5&lt;=$F30),IF(BG$5=$E30+1,$C30,""),"")</f>
        <v/>
      </c>
      <c r="BH30" s="34">
        <f>IF(AND(BH$5&gt;$E30,BH$5&lt;=$F30),IF(BH$5=$E30+1,$C30,""),"")</f>
        <v/>
      </c>
      <c r="BI30" s="34">
        <f>IF(AND(BI$5&gt;$E30,BI$5&lt;=$F30),IF(BI$5=$E30+1,$C30,""),"")</f>
        <v/>
      </c>
      <c r="BJ30" s="34">
        <f>IF(AND(BJ$5&gt;$E30,BJ$5&lt;=$F30),IF(BJ$5=$E30+1,$C30,""),"")</f>
        <v/>
      </c>
      <c r="BK30" s="34">
        <f>IF(AND(BK$5&gt;$E30,BK$5&lt;=$F30),IF(BK$5=$E30+1,$C30,""),"")</f>
        <v/>
      </c>
      <c r="BL30" s="34">
        <f>IF(AND(BL$5&gt;$E30,BL$5&lt;=$F30),IF(BL$5=$E30+1,$C30,""),"")</f>
        <v/>
      </c>
      <c r="BM30" s="34">
        <f>IF(AND(BM$5&gt;$E30,BM$5&lt;=$F30),IF(BM$5=$E30+1,$C30,""),"")</f>
        <v/>
      </c>
      <c r="BN30" s="34">
        <f>IF(AND(BN$5&gt;$E30,BN$5&lt;=$F30),IF(BN$5=$E30+1,$C30,""),"")</f>
        <v/>
      </c>
      <c r="BO30" s="34">
        <f>IF(AND(BO$5&gt;$E30,BO$5&lt;=$F30),IF(BO$5=$E30+1,$C30,""),"")</f>
        <v/>
      </c>
      <c r="BP30" s="34">
        <f>IF(AND(BP$5&gt;$E30,BP$5&lt;=$F30),IF(BP$5=$E30+1,$C30,""),"")</f>
        <v/>
      </c>
      <c r="BQ30" s="34">
        <f>IF(AND(BQ$5&gt;$E30,BQ$5&lt;=$F30),IF(BQ$5=$E30+1,$C30,""),"")</f>
        <v/>
      </c>
      <c r="BR30" s="34">
        <f>IF(AND(BR$5&gt;$E30,BR$5&lt;=$F30),IF(BR$5=$E30+1,$C30,""),"")</f>
        <v/>
      </c>
      <c r="BS30" s="34">
        <f>IF(AND(BS$5&gt;$E30,BS$5&lt;=$F30),IF(BS$5=$E30+1,$C30,""),"")</f>
        <v/>
      </c>
      <c r="BT30" s="34">
        <f>IF(AND(BT$5&gt;$E30,BT$5&lt;=$F30),IF(BT$5=$E30+1,$C30,""),"")</f>
        <v/>
      </c>
      <c r="BU30" s="34">
        <f>IF(AND(BU$5&gt;$E30,BU$5&lt;=$F30),IF(BU$5=$E30+1,$C30,""),"")</f>
        <v/>
      </c>
      <c r="BV30" s="34">
        <f>IF(AND(BV$5&gt;$E30,BV$5&lt;=$F30),IF(BV$5=$E30+1,$C30,""),"")</f>
        <v/>
      </c>
      <c r="BW30" s="34">
        <f>IF(AND(BW$5&gt;$E30,BW$5&lt;=$F30),IF(BW$5=$E30+1,$C30,""),"")</f>
        <v/>
      </c>
      <c r="BX30" s="34">
        <f>IF(AND(BX$5&gt;$E30,BX$5&lt;=$F30),IF(BX$5=$E30+1,$C30,""),"")</f>
        <v/>
      </c>
      <c r="BY30" s="34">
        <f>IF(AND(BY$5&gt;$E30,BY$5&lt;=$F30),IF(BY$5=$E30+1,$C30,""),"")</f>
        <v/>
      </c>
      <c r="BZ30" s="34">
        <f>IF(AND(BZ$5&gt;$E30,BZ$5&lt;=$F30),IF(BZ$5=$E30+1,$C30,""),"")</f>
        <v/>
      </c>
      <c r="CA30" s="34">
        <f>IF(AND(CA$5&gt;$E30,CA$5&lt;=$F30),IF(CA$5=$E30+1,$C30,""),"")</f>
        <v/>
      </c>
      <c r="CB30" s="34">
        <f>IF(AND(CB$5&gt;$E30,CB$5&lt;=$F30),IF(CB$5=$E30+1,$C30,""),"")</f>
        <v/>
      </c>
      <c r="CC30" s="34">
        <f>IF(AND(CC$5&gt;$E30,CC$5&lt;=$F30),IF(CC$5=$E30+1,$C30,""),"")</f>
        <v/>
      </c>
      <c r="CD30" s="34">
        <f>IF(AND(CD$5&gt;$E30,CD$5&lt;=$F30),IF(CD$5=$E30+1,$C30,""),"")</f>
        <v/>
      </c>
      <c r="CE30" s="34">
        <f>IF(AND(CE$5&gt;$E30,CE$5&lt;=$F30),IF(CE$5=$E30+1,$C30,""),"")</f>
        <v/>
      </c>
      <c r="CF30" s="34">
        <f>IF(AND(CF$5&gt;$E30,CF$5&lt;=$F30),IF(CF$5=$E30+1,$C30,""),"")</f>
        <v/>
      </c>
      <c r="CG30" s="34">
        <f>IF(AND(CG$5&gt;$E30,CG$5&lt;=$F30),IF(CG$5=$E30+1,$C30,""),"")</f>
        <v/>
      </c>
      <c r="CH30" s="34">
        <f>IF(AND(CH$5&gt;$E30,CH$5&lt;=$F30),IF(CH$5=$E30+1,$C30,""),"")</f>
        <v/>
      </c>
      <c r="CI30" s="34">
        <f>IF(AND(CI$5&gt;$E30,CI$5&lt;=$F30),IF(CI$5=$E30+1,$C30,""),"")</f>
        <v/>
      </c>
      <c r="CJ30" s="34">
        <f>IF(AND(CJ$5&gt;$E30,CJ$5&lt;=$F30),IF(CJ$5=$E30+1,$C30,""),"")</f>
        <v/>
      </c>
      <c r="CK30" s="34">
        <f>IF(AND(CK$5&gt;$E30,CK$5&lt;=$F30),IF(CK$5=$E30+1,$C30,""),"")</f>
        <v/>
      </c>
      <c r="CL30" s="34">
        <f>IF(AND(CL$5&gt;$E30,CL$5&lt;=$F30),IF(CL$5=$E30+1,$C30,""),"")</f>
        <v/>
      </c>
      <c r="CM30" s="34">
        <f>IF(AND(CM$5&gt;$E30,CM$5&lt;=$F30),IF(CM$5=$E30+1,$C30,""),"")</f>
        <v/>
      </c>
      <c r="CN30" s="34">
        <f>IF(AND(CN$5&gt;$E30,CN$5&lt;=$F30),IF(CN$5=$E30+1,$C30,""),"")</f>
        <v/>
      </c>
      <c r="CO30" s="34">
        <f>IF(AND(CO$5&gt;$E30,CO$5&lt;=$F30),IF(CO$5=$E30+1,$C30,""),"")</f>
        <v/>
      </c>
      <c r="CP30" s="34">
        <f>IF(AND(CP$5&gt;$E30,CP$5&lt;=$F30),IF(CP$5=$E30+1,$C30,""),"")</f>
        <v/>
      </c>
      <c r="CQ30" s="34">
        <f>IF(AND(CQ$5&gt;$E30,CQ$5&lt;=$F30),IF(CQ$5=$E30+1,$C30,""),"")</f>
        <v/>
      </c>
      <c r="CR30" s="34">
        <f>IF(AND(CR$5&gt;$E30,CR$5&lt;=$F30),IF(CR$5=$E30+1,$C30,""),"")</f>
        <v/>
      </c>
      <c r="CS30" s="34">
        <f>IF(AND(CS$5&gt;$E30,CS$5&lt;=$F30),IF(CS$5=$E30+1,$C30,""),"")</f>
        <v/>
      </c>
      <c r="CT30" s="34">
        <f>IF(AND(CT$5&gt;$E30,CT$5&lt;=$F30),IF(CT$5=$E30+1,$C30,""),"")</f>
        <v/>
      </c>
      <c r="CU30" s="34">
        <f>IF(AND(CU$5&gt;$E30,CU$5&lt;=$F30),IF(CU$5=$E30+1,$C30,""),"")</f>
        <v/>
      </c>
      <c r="CV30" s="34">
        <f>IF(AND(CV$5&gt;$E30,CV$5&lt;=$F30),IF(CV$5=$E30+1,$C30,""),"")</f>
        <v/>
      </c>
      <c r="CW30" s="34">
        <f>IF(AND(CW$5&gt;$E30,CW$5&lt;=$F30),IF(CW$5=$E30+1,$C30,""),"")</f>
        <v/>
      </c>
      <c r="CX30" s="34">
        <f>IF(AND(CX$5&gt;$E30,CX$5&lt;=$F30),IF(CX$5=$E30+1,$C30,""),"")</f>
        <v/>
      </c>
      <c r="CY30" s="34">
        <f>IF(AND(CY$5&gt;$E30,CY$5&lt;=$F30),IF(CY$5=$E30+1,$C30,""),"")</f>
        <v/>
      </c>
      <c r="CZ30" s="34">
        <f>IF(AND(CZ$5&gt;$E30,CZ$5&lt;=$F30),IF(CZ$5=$E30+1,$C30,""),"")</f>
        <v/>
      </c>
      <c r="DA30" s="34">
        <f>IF(AND(DA$5&gt;$E30,DA$5&lt;=$F30),IF(DA$5=$E30+1,$C30,""),"")</f>
        <v/>
      </c>
      <c r="DB30" s="34">
        <f>IF(AND(DB$5&gt;$E30,DB$5&lt;=$F30),IF(DB$5=$E30+1,$C30,""),"")</f>
        <v/>
      </c>
      <c r="DC30" s="34">
        <f>IF(AND(DC$5&gt;$E30,DC$5&lt;=$F30),IF(DC$5=$E30+1,$C30,""),"")</f>
        <v/>
      </c>
      <c r="DD30" s="34">
        <f>IF(AND(DD$5&gt;$E30,DD$5&lt;=$F30),IF(DD$5=$E30+1,$C30,""),"")</f>
        <v/>
      </c>
      <c r="DE30" s="34">
        <f>IF(AND(DE$5&gt;$E30,DE$5&lt;=$F30),IF(DE$5=$E30+1,$C30,""),"")</f>
        <v/>
      </c>
      <c r="DF30" s="34">
        <f>IF(AND(DF$5&gt;$E30,DF$5&lt;=$F30),IF(DF$5=$E30+1,$C30,""),"")</f>
        <v/>
      </c>
      <c r="DG30" s="34">
        <f>IF(AND(DG$5&gt;$E30,DG$5&lt;=$F30),IF(DG$5=$E30+1,$C30,""),"")</f>
        <v/>
      </c>
      <c r="DH30" s="34">
        <f>IF(AND(DH$5&gt;$E30,DH$5&lt;=$F30),IF(DH$5=$E30+1,$C30,""),"")</f>
        <v/>
      </c>
      <c r="DI30" s="34">
        <f>IF(AND(DI$5&gt;$E30,DI$5&lt;=$F30),IF(DI$5=$E30+1,$C30,""),"")</f>
        <v/>
      </c>
      <c r="DJ30" s="34">
        <f>IF(AND(DJ$5&gt;$E30,DJ$5&lt;=$F30),IF(DJ$5=$E30+1,$C30,""),"")</f>
        <v/>
      </c>
      <c r="DK30" s="34">
        <f>IF(AND(DK$5&gt;$E30,DK$5&lt;=$F30),IF(DK$5=$E30+1,$C30,""),"")</f>
        <v/>
      </c>
      <c r="DL30" s="34">
        <f>IF(AND(DL$5&gt;$E30,DL$5&lt;=$F30),IF(DL$5=$E30+1,$C30,""),"")</f>
        <v/>
      </c>
      <c r="DM30" s="34">
        <f>IF(AND(DM$5&gt;$E30,DM$5&lt;=$F30),IF(DM$5=$E30+1,$C30,""),"")</f>
        <v/>
      </c>
      <c r="DN30" s="34">
        <f>IF(AND(DN$5&gt;$E30,DN$5&lt;=$F30),IF(DN$5=$E30+1,$C30,""),"")</f>
        <v/>
      </c>
      <c r="DO30" s="34">
        <f>IF(AND(DO$5&gt;$E30,DO$5&lt;=$F30),IF(DO$5=$E30+1,$C30,""),"")</f>
        <v/>
      </c>
      <c r="DP30" s="34">
        <f>IF(AND(DP$5&gt;$E30,DP$5&lt;=$F30),IF(DP$5=$E30+1,$C30,""),"")</f>
        <v/>
      </c>
      <c r="DQ30" s="34">
        <f>IF(AND(DQ$5&gt;$E30,DQ$5&lt;=$F30),IF(DQ$5=$E30+1,$C30,""),"")</f>
        <v/>
      </c>
      <c r="DR30" s="34">
        <f>IF(AND(DR$5&gt;$E30,DR$5&lt;=$F30),IF(DR$5=$E30+1,$C30,""),"")</f>
        <v/>
      </c>
      <c r="DS30" s="34">
        <f>IF(AND(DS$5&gt;$E30,DS$5&lt;=$F30),IF(DS$5=$E30+1,$C30,""),"")</f>
        <v/>
      </c>
      <c r="DT30" s="34">
        <f>IF(AND(DT$5&gt;$E30,DT$5&lt;=$F30),IF(DT$5=$E30+1,$C30,""),"")</f>
        <v/>
      </c>
      <c r="DU30" s="34">
        <f>IF(AND(DU$5&gt;$E30,DU$5&lt;=$F30),IF(DU$5=$E30+1,$C30,""),"")</f>
        <v/>
      </c>
      <c r="DV30" s="34">
        <f>IF(AND(DV$5&gt;$E30,DV$5&lt;=$F30),IF(DV$5=$E30+1,$C30,""),"")</f>
        <v/>
      </c>
      <c r="DW30" s="34">
        <f>IF(AND(DW$5&gt;$E30,DW$5&lt;=$F30),IF(DW$5=$E30+1,$C30,""),"")</f>
        <v/>
      </c>
      <c r="DX30" s="34">
        <f>IF(AND(DX$5&gt;$E30,DX$5&lt;=$F30),IF(DX$5=$E30+1,$C30,""),"")</f>
        <v/>
      </c>
      <c r="DY30" s="34">
        <f>IF(AND(DY$5&gt;$E30,DY$5&lt;=$F30),IF(DY$5=$E30+1,$C30,""),"")</f>
        <v/>
      </c>
      <c r="DZ30" s="34">
        <f>IF(AND(DZ$5&gt;$E30,DZ$5&lt;=$F30),IF(DZ$5=$E30+1,$C30,""),"")</f>
        <v/>
      </c>
      <c r="EA30" s="34">
        <f>IF(AND(EA$5&gt;$E30,EA$5&lt;=$F30),IF(EA$5=$E30+1,$C30,""),"")</f>
        <v/>
      </c>
      <c r="EB30" s="34">
        <f>IF(AND(EB$5&gt;$E30,EB$5&lt;=$F30),IF(EB$5=$E30+1,$C30,""),"")</f>
        <v/>
      </c>
      <c r="EC30" s="34">
        <f>IF(AND(EC$5&gt;$E30,EC$5&lt;=$F30),IF(EC$5=$E30+1,$C30,""),"")</f>
        <v/>
      </c>
      <c r="ED30" s="34">
        <f>IF(AND(ED$5&gt;$E30,ED$5&lt;=$F30),IF(ED$5=$E30+1,$C30,""),"")</f>
        <v/>
      </c>
      <c r="EE30" s="34">
        <f>IF(AND(EE$5&gt;$E30,EE$5&lt;=$F30),IF(EE$5=$E30+1,$C30,""),"")</f>
        <v/>
      </c>
      <c r="EF30" s="34">
        <f>IF(AND(EF$5&gt;$E30,EF$5&lt;=$F30),IF(EF$5=$E30+1,$C30,""),"")</f>
        <v/>
      </c>
      <c r="EG30" s="34">
        <f>IF(AND(EG$5&gt;$E30,EG$5&lt;=$F30),IF(EG$5=$E30+1,$C30,""),"")</f>
        <v/>
      </c>
      <c r="EH30" s="34">
        <f>IF(AND(EH$5&gt;$E30,EH$5&lt;=$F30),IF(EH$5=$E30+1,$C30,""),"")</f>
        <v/>
      </c>
      <c r="EI30" s="34">
        <f>IF(AND(EI$5&gt;$E30,EI$5&lt;=$F30),IF(EI$5=$E30+1,$C30,""),"")</f>
        <v/>
      </c>
      <c r="EJ30" s="34">
        <f>IF(AND(EJ$5&gt;$E30,EJ$5&lt;=$F30),IF(EJ$5=$E30+1,$C30,""),"")</f>
        <v/>
      </c>
      <c r="EK30" s="34">
        <f>IF(AND(EK$5&gt;$E30,EK$5&lt;=$F30),IF(EK$5=$E30+1,$C30,""),"")</f>
        <v/>
      </c>
      <c r="EL30" s="34">
        <f>IF(AND(EL$5&gt;$E30,EL$5&lt;=$F30),IF(EL$5=$E30+1,$C30,""),"")</f>
        <v/>
      </c>
      <c r="EM30" s="34">
        <f>IF(AND(EM$5&gt;$E30,EM$5&lt;=$F30),IF(EM$5=$E30+1,$C30,""),"")</f>
        <v/>
      </c>
      <c r="EN30" s="34">
        <f>IF(AND(EN$5&gt;$E30,EN$5&lt;=$F30),IF(EN$5=$E30+1,$C30,""),"")</f>
        <v/>
      </c>
      <c r="EO30" s="34">
        <f>IF(AND(EO$5&gt;$E30,EO$5&lt;=$F30),IF(EO$5=$E30+1,$C30,""),"")</f>
        <v/>
      </c>
      <c r="EP30" s="34">
        <f>IF(AND(EP$5&gt;$E30,EP$5&lt;=$F30),IF(EP$5=$E30+1,$C30,""),"")</f>
        <v/>
      </c>
      <c r="EQ30" s="34">
        <f>IF(AND(EQ$5&gt;$E30,EQ$5&lt;=$F30),IF(EQ$5=$E30+1,$C30,""),"")</f>
        <v/>
      </c>
      <c r="ER30" s="34">
        <f>IF(AND(ER$5&gt;$E30,ER$5&lt;=$F30),IF(ER$5=$E30+1,$C30,""),"")</f>
        <v/>
      </c>
      <c r="ES30" s="34">
        <f>IF(AND(ES$5&gt;$E30,ES$5&lt;=$F30),IF(ES$5=$E30+1,$C30,""),"")</f>
        <v/>
      </c>
      <c r="ET30" s="34">
        <f>IF(AND(ET$5&gt;$E30,ET$5&lt;=$F30),IF(ET$5=$E30+1,$C30,""),"")</f>
        <v/>
      </c>
      <c r="EU30" s="34">
        <f>IF(AND(EU$5&gt;$E30,EU$5&lt;=$F30),IF(EU$5=$E30+1,$C30,""),"")</f>
        <v/>
      </c>
      <c r="EV30" s="34">
        <f>IF(AND(EV$5&gt;$E30,EV$5&lt;=$F30),IF(EV$5=$E30+1,$C30,""),"")</f>
        <v/>
      </c>
      <c r="EW30" s="34">
        <f>IF(AND(EW$5&gt;$E30,EW$5&lt;=$F30),IF(EW$5=$E30+1,$C30,""),"")</f>
        <v/>
      </c>
      <c r="EX30" s="34">
        <f>IF(AND(EX$5&gt;$E30,EX$5&lt;=$F30),IF(EX$5=$E30+1,$C30,""),"")</f>
        <v/>
      </c>
      <c r="EY30" s="34">
        <f>IF(AND(EY$5&gt;$E30,EY$5&lt;=$F30),IF(EY$5=$E30+1,$C30,""),"")</f>
        <v/>
      </c>
      <c r="EZ30" s="34">
        <f>IF(AND(EZ$5&gt;$E30,EZ$5&lt;=$F30),IF(EZ$5=$E30+1,$C30,""),"")</f>
        <v/>
      </c>
      <c r="FA30" s="34">
        <f>IF(AND(FA$5&gt;$E30,FA$5&lt;=$F30),IF(FA$5=$E30+1,$C30,""),"")</f>
        <v/>
      </c>
    </row>
    <row r="31">
      <c r="A31" s="32">
        <f>Plan!A25</f>
        <v/>
      </c>
      <c r="B31" s="33">
        <f>Plan!C25</f>
        <v/>
      </c>
      <c r="C31" s="16">
        <f>Plan!D25</f>
        <v/>
      </c>
      <c r="D31" s="16">
        <f>Plan!I25</f>
        <v/>
      </c>
      <c r="E31" s="16">
        <f>Plan!K25</f>
        <v/>
      </c>
      <c r="F31" s="16">
        <f>Plan!L25</f>
        <v/>
      </c>
      <c r="G31" s="16">
        <f>Plan!O25</f>
        <v/>
      </c>
      <c r="H31" s="34">
        <f>IF(AND(H$5&gt;$E31,H$5&lt;=$F31),IF(H$5=$E31+1,$C31,""),"")</f>
        <v/>
      </c>
      <c r="I31" s="34">
        <f>IF(AND(I$5&gt;$E31,I$5&lt;=$F31),IF(I$5=$E31+1,$C31,""),"")</f>
        <v/>
      </c>
      <c r="J31" s="34">
        <f>IF(AND(J$5&gt;$E31,J$5&lt;=$F31),IF(J$5=$E31+1,$C31,""),"")</f>
        <v/>
      </c>
      <c r="K31" s="34">
        <f>IF(AND(K$5&gt;$E31,K$5&lt;=$F31),IF(K$5=$E31+1,$C31,""),"")</f>
        <v/>
      </c>
      <c r="L31" s="34">
        <f>IF(AND(L$5&gt;$E31,L$5&lt;=$F31),IF(L$5=$E31+1,$C31,""),"")</f>
        <v/>
      </c>
      <c r="M31" s="34">
        <f>IF(AND(M$5&gt;$E31,M$5&lt;=$F31),IF(M$5=$E31+1,$C31,""),"")</f>
        <v/>
      </c>
      <c r="N31" s="34">
        <f>IF(AND(N$5&gt;$E31,N$5&lt;=$F31),IF(N$5=$E31+1,$C31,""),"")</f>
        <v/>
      </c>
      <c r="O31" s="34">
        <f>IF(AND(O$5&gt;$E31,O$5&lt;=$F31),IF(O$5=$E31+1,$C31,""),"")</f>
        <v/>
      </c>
      <c r="P31" s="34">
        <f>IF(AND(P$5&gt;$E31,P$5&lt;=$F31),IF(P$5=$E31+1,$C31,""),"")</f>
        <v/>
      </c>
      <c r="Q31" s="34">
        <f>IF(AND(Q$5&gt;$E31,Q$5&lt;=$F31),IF(Q$5=$E31+1,$C31,""),"")</f>
        <v/>
      </c>
      <c r="R31" s="34">
        <f>IF(AND(R$5&gt;$E31,R$5&lt;=$F31),IF(R$5=$E31+1,$C31,""),"")</f>
        <v/>
      </c>
      <c r="S31" s="34">
        <f>IF(AND(S$5&gt;$E31,S$5&lt;=$F31),IF(S$5=$E31+1,$C31,""),"")</f>
        <v/>
      </c>
      <c r="T31" s="34">
        <f>IF(AND(T$5&gt;$E31,T$5&lt;=$F31),IF(T$5=$E31+1,$C31,""),"")</f>
        <v/>
      </c>
      <c r="U31" s="34">
        <f>IF(AND(U$5&gt;$E31,U$5&lt;=$F31),IF(U$5=$E31+1,$C31,""),"")</f>
        <v/>
      </c>
      <c r="V31" s="34">
        <f>IF(AND(V$5&gt;$E31,V$5&lt;=$F31),IF(V$5=$E31+1,$C31,""),"")</f>
        <v/>
      </c>
      <c r="W31" s="34">
        <f>IF(AND(W$5&gt;$E31,W$5&lt;=$F31),IF(W$5=$E31+1,$C31,""),"")</f>
        <v/>
      </c>
      <c r="X31" s="34">
        <f>IF(AND(X$5&gt;$E31,X$5&lt;=$F31),IF(X$5=$E31+1,$C31,""),"")</f>
        <v/>
      </c>
      <c r="Y31" s="34">
        <f>IF(AND(Y$5&gt;$E31,Y$5&lt;=$F31),IF(Y$5=$E31+1,$C31,""),"")</f>
        <v/>
      </c>
      <c r="Z31" s="34">
        <f>IF(AND(Z$5&gt;$E31,Z$5&lt;=$F31),IF(Z$5=$E31+1,$C31,""),"")</f>
        <v/>
      </c>
      <c r="AA31" s="34">
        <f>IF(AND(AA$5&gt;$E31,AA$5&lt;=$F31),IF(AA$5=$E31+1,$C31,""),"")</f>
        <v/>
      </c>
      <c r="AB31" s="34">
        <f>IF(AND(AB$5&gt;$E31,AB$5&lt;=$F31),IF(AB$5=$E31+1,$C31,""),"")</f>
        <v/>
      </c>
      <c r="AC31" s="34">
        <f>IF(AND(AC$5&gt;$E31,AC$5&lt;=$F31),IF(AC$5=$E31+1,$C31,""),"")</f>
        <v/>
      </c>
      <c r="AD31" s="34">
        <f>IF(AND(AD$5&gt;$E31,AD$5&lt;=$F31),IF(AD$5=$E31+1,$C31,""),"")</f>
        <v/>
      </c>
      <c r="AE31" s="34">
        <f>IF(AND(AE$5&gt;$E31,AE$5&lt;=$F31),IF(AE$5=$E31+1,$C31,""),"")</f>
        <v/>
      </c>
      <c r="AF31" s="34">
        <f>IF(AND(AF$5&gt;$E31,AF$5&lt;=$F31),IF(AF$5=$E31+1,$C31,""),"")</f>
        <v/>
      </c>
      <c r="AG31" s="34">
        <f>IF(AND(AG$5&gt;$E31,AG$5&lt;=$F31),IF(AG$5=$E31+1,$C31,""),"")</f>
        <v/>
      </c>
      <c r="AH31" s="34">
        <f>IF(AND(AH$5&gt;$E31,AH$5&lt;=$F31),IF(AH$5=$E31+1,$C31,""),"")</f>
        <v/>
      </c>
      <c r="AI31" s="34">
        <f>IF(AND(AI$5&gt;$E31,AI$5&lt;=$F31),IF(AI$5=$E31+1,$C31,""),"")</f>
        <v/>
      </c>
      <c r="AJ31" s="34">
        <f>IF(AND(AJ$5&gt;$E31,AJ$5&lt;=$F31),IF(AJ$5=$E31+1,$C31,""),"")</f>
        <v/>
      </c>
      <c r="AK31" s="34">
        <f>IF(AND(AK$5&gt;$E31,AK$5&lt;=$F31),IF(AK$5=$E31+1,$C31,""),"")</f>
        <v/>
      </c>
      <c r="AL31" s="34">
        <f>IF(AND(AL$5&gt;$E31,AL$5&lt;=$F31),IF(AL$5=$E31+1,$C31,""),"")</f>
        <v/>
      </c>
      <c r="AM31" s="34">
        <f>IF(AND(AM$5&gt;$E31,AM$5&lt;=$F31),IF(AM$5=$E31+1,$C31,""),"")</f>
        <v/>
      </c>
      <c r="AN31" s="34">
        <f>IF(AND(AN$5&gt;$E31,AN$5&lt;=$F31),IF(AN$5=$E31+1,$C31,""),"")</f>
        <v/>
      </c>
      <c r="AO31" s="34">
        <f>IF(AND(AO$5&gt;$E31,AO$5&lt;=$F31),IF(AO$5=$E31+1,$C31,""),"")</f>
        <v/>
      </c>
      <c r="AP31" s="34">
        <f>IF(AND(AP$5&gt;$E31,AP$5&lt;=$F31),IF(AP$5=$E31+1,$C31,""),"")</f>
        <v/>
      </c>
      <c r="AQ31" s="34">
        <f>IF(AND(AQ$5&gt;$E31,AQ$5&lt;=$F31),IF(AQ$5=$E31+1,$C31,""),"")</f>
        <v/>
      </c>
      <c r="AR31" s="34">
        <f>IF(AND(AR$5&gt;$E31,AR$5&lt;=$F31),IF(AR$5=$E31+1,$C31,""),"")</f>
        <v/>
      </c>
      <c r="AS31" s="34">
        <f>IF(AND(AS$5&gt;$E31,AS$5&lt;=$F31),IF(AS$5=$E31+1,$C31,""),"")</f>
        <v/>
      </c>
      <c r="AT31" s="34">
        <f>IF(AND(AT$5&gt;$E31,AT$5&lt;=$F31),IF(AT$5=$E31+1,$C31,""),"")</f>
        <v/>
      </c>
      <c r="AU31" s="34">
        <f>IF(AND(AU$5&gt;$E31,AU$5&lt;=$F31),IF(AU$5=$E31+1,$C31,""),"")</f>
        <v/>
      </c>
      <c r="AV31" s="34">
        <f>IF(AND(AV$5&gt;$E31,AV$5&lt;=$F31),IF(AV$5=$E31+1,$C31,""),"")</f>
        <v/>
      </c>
      <c r="AW31" s="34">
        <f>IF(AND(AW$5&gt;$E31,AW$5&lt;=$F31),IF(AW$5=$E31+1,$C31,""),"")</f>
        <v/>
      </c>
      <c r="AX31" s="34">
        <f>IF(AND(AX$5&gt;$E31,AX$5&lt;=$F31),IF(AX$5=$E31+1,$C31,""),"")</f>
        <v/>
      </c>
      <c r="AY31" s="34">
        <f>IF(AND(AY$5&gt;$E31,AY$5&lt;=$F31),IF(AY$5=$E31+1,$C31,""),"")</f>
        <v/>
      </c>
      <c r="AZ31" s="34">
        <f>IF(AND(AZ$5&gt;$E31,AZ$5&lt;=$F31),IF(AZ$5=$E31+1,$C31,""),"")</f>
        <v/>
      </c>
      <c r="BA31" s="34">
        <f>IF(AND(BA$5&gt;$E31,BA$5&lt;=$F31),IF(BA$5=$E31+1,$C31,""),"")</f>
        <v/>
      </c>
      <c r="BB31" s="34">
        <f>IF(AND(BB$5&gt;$E31,BB$5&lt;=$F31),IF(BB$5=$E31+1,$C31,""),"")</f>
        <v/>
      </c>
      <c r="BC31" s="34">
        <f>IF(AND(BC$5&gt;$E31,BC$5&lt;=$F31),IF(BC$5=$E31+1,$C31,""),"")</f>
        <v/>
      </c>
      <c r="BD31" s="34">
        <f>IF(AND(BD$5&gt;$E31,BD$5&lt;=$F31),IF(BD$5=$E31+1,$C31,""),"")</f>
        <v/>
      </c>
      <c r="BE31" s="34">
        <f>IF(AND(BE$5&gt;$E31,BE$5&lt;=$F31),IF(BE$5=$E31+1,$C31,""),"")</f>
        <v/>
      </c>
      <c r="BF31" s="34">
        <f>IF(AND(BF$5&gt;$E31,BF$5&lt;=$F31),IF(BF$5=$E31+1,$C31,""),"")</f>
        <v/>
      </c>
      <c r="BG31" s="34">
        <f>IF(AND(BG$5&gt;$E31,BG$5&lt;=$F31),IF(BG$5=$E31+1,$C31,""),"")</f>
        <v/>
      </c>
      <c r="BH31" s="34">
        <f>IF(AND(BH$5&gt;$E31,BH$5&lt;=$F31),IF(BH$5=$E31+1,$C31,""),"")</f>
        <v/>
      </c>
      <c r="BI31" s="34">
        <f>IF(AND(BI$5&gt;$E31,BI$5&lt;=$F31),IF(BI$5=$E31+1,$C31,""),"")</f>
        <v/>
      </c>
      <c r="BJ31" s="34">
        <f>IF(AND(BJ$5&gt;$E31,BJ$5&lt;=$F31),IF(BJ$5=$E31+1,$C31,""),"")</f>
        <v/>
      </c>
      <c r="BK31" s="34">
        <f>IF(AND(BK$5&gt;$E31,BK$5&lt;=$F31),IF(BK$5=$E31+1,$C31,""),"")</f>
        <v/>
      </c>
      <c r="BL31" s="34">
        <f>IF(AND(BL$5&gt;$E31,BL$5&lt;=$F31),IF(BL$5=$E31+1,$C31,""),"")</f>
        <v/>
      </c>
      <c r="BM31" s="34">
        <f>IF(AND(BM$5&gt;$E31,BM$5&lt;=$F31),IF(BM$5=$E31+1,$C31,""),"")</f>
        <v/>
      </c>
      <c r="BN31" s="34">
        <f>IF(AND(BN$5&gt;$E31,BN$5&lt;=$F31),IF(BN$5=$E31+1,$C31,""),"")</f>
        <v/>
      </c>
      <c r="BO31" s="34">
        <f>IF(AND(BO$5&gt;$E31,BO$5&lt;=$F31),IF(BO$5=$E31+1,$C31,""),"")</f>
        <v/>
      </c>
      <c r="BP31" s="34">
        <f>IF(AND(BP$5&gt;$E31,BP$5&lt;=$F31),IF(BP$5=$E31+1,$C31,""),"")</f>
        <v/>
      </c>
      <c r="BQ31" s="34">
        <f>IF(AND(BQ$5&gt;$E31,BQ$5&lt;=$F31),IF(BQ$5=$E31+1,$C31,""),"")</f>
        <v/>
      </c>
      <c r="BR31" s="34">
        <f>IF(AND(BR$5&gt;$E31,BR$5&lt;=$F31),IF(BR$5=$E31+1,$C31,""),"")</f>
        <v/>
      </c>
      <c r="BS31" s="34">
        <f>IF(AND(BS$5&gt;$E31,BS$5&lt;=$F31),IF(BS$5=$E31+1,$C31,""),"")</f>
        <v/>
      </c>
      <c r="BT31" s="34">
        <f>IF(AND(BT$5&gt;$E31,BT$5&lt;=$F31),IF(BT$5=$E31+1,$C31,""),"")</f>
        <v/>
      </c>
      <c r="BU31" s="34">
        <f>IF(AND(BU$5&gt;$E31,BU$5&lt;=$F31),IF(BU$5=$E31+1,$C31,""),"")</f>
        <v/>
      </c>
      <c r="BV31" s="34">
        <f>IF(AND(BV$5&gt;$E31,BV$5&lt;=$F31),IF(BV$5=$E31+1,$C31,""),"")</f>
        <v/>
      </c>
      <c r="BW31" s="34">
        <f>IF(AND(BW$5&gt;$E31,BW$5&lt;=$F31),IF(BW$5=$E31+1,$C31,""),"")</f>
        <v/>
      </c>
      <c r="BX31" s="34">
        <f>IF(AND(BX$5&gt;$E31,BX$5&lt;=$F31),IF(BX$5=$E31+1,$C31,""),"")</f>
        <v/>
      </c>
      <c r="BY31" s="34">
        <f>IF(AND(BY$5&gt;$E31,BY$5&lt;=$F31),IF(BY$5=$E31+1,$C31,""),"")</f>
        <v/>
      </c>
      <c r="BZ31" s="34">
        <f>IF(AND(BZ$5&gt;$E31,BZ$5&lt;=$F31),IF(BZ$5=$E31+1,$C31,""),"")</f>
        <v/>
      </c>
      <c r="CA31" s="34">
        <f>IF(AND(CA$5&gt;$E31,CA$5&lt;=$F31),IF(CA$5=$E31+1,$C31,""),"")</f>
        <v/>
      </c>
      <c r="CB31" s="34">
        <f>IF(AND(CB$5&gt;$E31,CB$5&lt;=$F31),IF(CB$5=$E31+1,$C31,""),"")</f>
        <v/>
      </c>
      <c r="CC31" s="34">
        <f>IF(AND(CC$5&gt;$E31,CC$5&lt;=$F31),IF(CC$5=$E31+1,$C31,""),"")</f>
        <v/>
      </c>
      <c r="CD31" s="34">
        <f>IF(AND(CD$5&gt;$E31,CD$5&lt;=$F31),IF(CD$5=$E31+1,$C31,""),"")</f>
        <v/>
      </c>
      <c r="CE31" s="34">
        <f>IF(AND(CE$5&gt;$E31,CE$5&lt;=$F31),IF(CE$5=$E31+1,$C31,""),"")</f>
        <v/>
      </c>
      <c r="CF31" s="34">
        <f>IF(AND(CF$5&gt;$E31,CF$5&lt;=$F31),IF(CF$5=$E31+1,$C31,""),"")</f>
        <v/>
      </c>
      <c r="CG31" s="34">
        <f>IF(AND(CG$5&gt;$E31,CG$5&lt;=$F31),IF(CG$5=$E31+1,$C31,""),"")</f>
        <v/>
      </c>
      <c r="CH31" s="34">
        <f>IF(AND(CH$5&gt;$E31,CH$5&lt;=$F31),IF(CH$5=$E31+1,$C31,""),"")</f>
        <v/>
      </c>
      <c r="CI31" s="34">
        <f>IF(AND(CI$5&gt;$E31,CI$5&lt;=$F31),IF(CI$5=$E31+1,$C31,""),"")</f>
        <v/>
      </c>
      <c r="CJ31" s="34">
        <f>IF(AND(CJ$5&gt;$E31,CJ$5&lt;=$F31),IF(CJ$5=$E31+1,$C31,""),"")</f>
        <v/>
      </c>
      <c r="CK31" s="34">
        <f>IF(AND(CK$5&gt;$E31,CK$5&lt;=$F31),IF(CK$5=$E31+1,$C31,""),"")</f>
        <v/>
      </c>
      <c r="CL31" s="34">
        <f>IF(AND(CL$5&gt;$E31,CL$5&lt;=$F31),IF(CL$5=$E31+1,$C31,""),"")</f>
        <v/>
      </c>
      <c r="CM31" s="34">
        <f>IF(AND(CM$5&gt;$E31,CM$5&lt;=$F31),IF(CM$5=$E31+1,$C31,""),"")</f>
        <v/>
      </c>
      <c r="CN31" s="34">
        <f>IF(AND(CN$5&gt;$E31,CN$5&lt;=$F31),IF(CN$5=$E31+1,$C31,""),"")</f>
        <v/>
      </c>
      <c r="CO31" s="34">
        <f>IF(AND(CO$5&gt;$E31,CO$5&lt;=$F31),IF(CO$5=$E31+1,$C31,""),"")</f>
        <v/>
      </c>
      <c r="CP31" s="34">
        <f>IF(AND(CP$5&gt;$E31,CP$5&lt;=$F31),IF(CP$5=$E31+1,$C31,""),"")</f>
        <v/>
      </c>
      <c r="CQ31" s="34">
        <f>IF(AND(CQ$5&gt;$E31,CQ$5&lt;=$F31),IF(CQ$5=$E31+1,$C31,""),"")</f>
        <v/>
      </c>
      <c r="CR31" s="34">
        <f>IF(AND(CR$5&gt;$E31,CR$5&lt;=$F31),IF(CR$5=$E31+1,$C31,""),"")</f>
        <v/>
      </c>
      <c r="CS31" s="34">
        <f>IF(AND(CS$5&gt;$E31,CS$5&lt;=$F31),IF(CS$5=$E31+1,$C31,""),"")</f>
        <v/>
      </c>
      <c r="CT31" s="34">
        <f>IF(AND(CT$5&gt;$E31,CT$5&lt;=$F31),IF(CT$5=$E31+1,$C31,""),"")</f>
        <v/>
      </c>
      <c r="CU31" s="34">
        <f>IF(AND(CU$5&gt;$E31,CU$5&lt;=$F31),IF(CU$5=$E31+1,$C31,""),"")</f>
        <v/>
      </c>
      <c r="CV31" s="34">
        <f>IF(AND(CV$5&gt;$E31,CV$5&lt;=$F31),IF(CV$5=$E31+1,$C31,""),"")</f>
        <v/>
      </c>
      <c r="CW31" s="34">
        <f>IF(AND(CW$5&gt;$E31,CW$5&lt;=$F31),IF(CW$5=$E31+1,$C31,""),"")</f>
        <v/>
      </c>
      <c r="CX31" s="34">
        <f>IF(AND(CX$5&gt;$E31,CX$5&lt;=$F31),IF(CX$5=$E31+1,$C31,""),"")</f>
        <v/>
      </c>
      <c r="CY31" s="34">
        <f>IF(AND(CY$5&gt;$E31,CY$5&lt;=$F31),IF(CY$5=$E31+1,$C31,""),"")</f>
        <v/>
      </c>
      <c r="CZ31" s="34">
        <f>IF(AND(CZ$5&gt;$E31,CZ$5&lt;=$F31),IF(CZ$5=$E31+1,$C31,""),"")</f>
        <v/>
      </c>
      <c r="DA31" s="34">
        <f>IF(AND(DA$5&gt;$E31,DA$5&lt;=$F31),IF(DA$5=$E31+1,$C31,""),"")</f>
        <v/>
      </c>
      <c r="DB31" s="34">
        <f>IF(AND(DB$5&gt;$E31,DB$5&lt;=$F31),IF(DB$5=$E31+1,$C31,""),"")</f>
        <v/>
      </c>
      <c r="DC31" s="34">
        <f>IF(AND(DC$5&gt;$E31,DC$5&lt;=$F31),IF(DC$5=$E31+1,$C31,""),"")</f>
        <v/>
      </c>
      <c r="DD31" s="34">
        <f>IF(AND(DD$5&gt;$E31,DD$5&lt;=$F31),IF(DD$5=$E31+1,$C31,""),"")</f>
        <v/>
      </c>
      <c r="DE31" s="34">
        <f>IF(AND(DE$5&gt;$E31,DE$5&lt;=$F31),IF(DE$5=$E31+1,$C31,""),"")</f>
        <v/>
      </c>
      <c r="DF31" s="34">
        <f>IF(AND(DF$5&gt;$E31,DF$5&lt;=$F31),IF(DF$5=$E31+1,$C31,""),"")</f>
        <v/>
      </c>
      <c r="DG31" s="34">
        <f>IF(AND(DG$5&gt;$E31,DG$5&lt;=$F31),IF(DG$5=$E31+1,$C31,""),"")</f>
        <v/>
      </c>
      <c r="DH31" s="34">
        <f>IF(AND(DH$5&gt;$E31,DH$5&lt;=$F31),IF(DH$5=$E31+1,$C31,""),"")</f>
        <v/>
      </c>
      <c r="DI31" s="34">
        <f>IF(AND(DI$5&gt;$E31,DI$5&lt;=$F31),IF(DI$5=$E31+1,$C31,""),"")</f>
        <v/>
      </c>
      <c r="DJ31" s="34">
        <f>IF(AND(DJ$5&gt;$E31,DJ$5&lt;=$F31),IF(DJ$5=$E31+1,$C31,""),"")</f>
        <v/>
      </c>
      <c r="DK31" s="34">
        <f>IF(AND(DK$5&gt;$E31,DK$5&lt;=$F31),IF(DK$5=$E31+1,$C31,""),"")</f>
        <v/>
      </c>
      <c r="DL31" s="34">
        <f>IF(AND(DL$5&gt;$E31,DL$5&lt;=$F31),IF(DL$5=$E31+1,$C31,""),"")</f>
        <v/>
      </c>
      <c r="DM31" s="34">
        <f>IF(AND(DM$5&gt;$E31,DM$5&lt;=$F31),IF(DM$5=$E31+1,$C31,""),"")</f>
        <v/>
      </c>
      <c r="DN31" s="34">
        <f>IF(AND(DN$5&gt;$E31,DN$5&lt;=$F31),IF(DN$5=$E31+1,$C31,""),"")</f>
        <v/>
      </c>
      <c r="DO31" s="34">
        <f>IF(AND(DO$5&gt;$E31,DO$5&lt;=$F31),IF(DO$5=$E31+1,$C31,""),"")</f>
        <v/>
      </c>
      <c r="DP31" s="34">
        <f>IF(AND(DP$5&gt;$E31,DP$5&lt;=$F31),IF(DP$5=$E31+1,$C31,""),"")</f>
        <v/>
      </c>
      <c r="DQ31" s="34">
        <f>IF(AND(DQ$5&gt;$E31,DQ$5&lt;=$F31),IF(DQ$5=$E31+1,$C31,""),"")</f>
        <v/>
      </c>
      <c r="DR31" s="34">
        <f>IF(AND(DR$5&gt;$E31,DR$5&lt;=$F31),IF(DR$5=$E31+1,$C31,""),"")</f>
        <v/>
      </c>
      <c r="DS31" s="34">
        <f>IF(AND(DS$5&gt;$E31,DS$5&lt;=$F31),IF(DS$5=$E31+1,$C31,""),"")</f>
        <v/>
      </c>
      <c r="DT31" s="34">
        <f>IF(AND(DT$5&gt;$E31,DT$5&lt;=$F31),IF(DT$5=$E31+1,$C31,""),"")</f>
        <v/>
      </c>
      <c r="DU31" s="34">
        <f>IF(AND(DU$5&gt;$E31,DU$5&lt;=$F31),IF(DU$5=$E31+1,$C31,""),"")</f>
        <v/>
      </c>
      <c r="DV31" s="34">
        <f>IF(AND(DV$5&gt;$E31,DV$5&lt;=$F31),IF(DV$5=$E31+1,$C31,""),"")</f>
        <v/>
      </c>
      <c r="DW31" s="34">
        <f>IF(AND(DW$5&gt;$E31,DW$5&lt;=$F31),IF(DW$5=$E31+1,$C31,""),"")</f>
        <v/>
      </c>
      <c r="DX31" s="34">
        <f>IF(AND(DX$5&gt;$E31,DX$5&lt;=$F31),IF(DX$5=$E31+1,$C31,""),"")</f>
        <v/>
      </c>
      <c r="DY31" s="34">
        <f>IF(AND(DY$5&gt;$E31,DY$5&lt;=$F31),IF(DY$5=$E31+1,$C31,""),"")</f>
        <v/>
      </c>
      <c r="DZ31" s="34">
        <f>IF(AND(DZ$5&gt;$E31,DZ$5&lt;=$F31),IF(DZ$5=$E31+1,$C31,""),"")</f>
        <v/>
      </c>
      <c r="EA31" s="34">
        <f>IF(AND(EA$5&gt;$E31,EA$5&lt;=$F31),IF(EA$5=$E31+1,$C31,""),"")</f>
        <v/>
      </c>
      <c r="EB31" s="34">
        <f>IF(AND(EB$5&gt;$E31,EB$5&lt;=$F31),IF(EB$5=$E31+1,$C31,""),"")</f>
        <v/>
      </c>
      <c r="EC31" s="34">
        <f>IF(AND(EC$5&gt;$E31,EC$5&lt;=$F31),IF(EC$5=$E31+1,$C31,""),"")</f>
        <v/>
      </c>
      <c r="ED31" s="34">
        <f>IF(AND(ED$5&gt;$E31,ED$5&lt;=$F31),IF(ED$5=$E31+1,$C31,""),"")</f>
        <v/>
      </c>
      <c r="EE31" s="34">
        <f>IF(AND(EE$5&gt;$E31,EE$5&lt;=$F31),IF(EE$5=$E31+1,$C31,""),"")</f>
        <v/>
      </c>
      <c r="EF31" s="34">
        <f>IF(AND(EF$5&gt;$E31,EF$5&lt;=$F31),IF(EF$5=$E31+1,$C31,""),"")</f>
        <v/>
      </c>
      <c r="EG31" s="34">
        <f>IF(AND(EG$5&gt;$E31,EG$5&lt;=$F31),IF(EG$5=$E31+1,$C31,""),"")</f>
        <v/>
      </c>
      <c r="EH31" s="34">
        <f>IF(AND(EH$5&gt;$E31,EH$5&lt;=$F31),IF(EH$5=$E31+1,$C31,""),"")</f>
        <v/>
      </c>
      <c r="EI31" s="34">
        <f>IF(AND(EI$5&gt;$E31,EI$5&lt;=$F31),IF(EI$5=$E31+1,$C31,""),"")</f>
        <v/>
      </c>
      <c r="EJ31" s="34">
        <f>IF(AND(EJ$5&gt;$E31,EJ$5&lt;=$F31),IF(EJ$5=$E31+1,$C31,""),"")</f>
        <v/>
      </c>
      <c r="EK31" s="34">
        <f>IF(AND(EK$5&gt;$E31,EK$5&lt;=$F31),IF(EK$5=$E31+1,$C31,""),"")</f>
        <v/>
      </c>
      <c r="EL31" s="34">
        <f>IF(AND(EL$5&gt;$E31,EL$5&lt;=$F31),IF(EL$5=$E31+1,$C31,""),"")</f>
        <v/>
      </c>
      <c r="EM31" s="34">
        <f>IF(AND(EM$5&gt;$E31,EM$5&lt;=$F31),IF(EM$5=$E31+1,$C31,""),"")</f>
        <v/>
      </c>
      <c r="EN31" s="34">
        <f>IF(AND(EN$5&gt;$E31,EN$5&lt;=$F31),IF(EN$5=$E31+1,$C31,""),"")</f>
        <v/>
      </c>
      <c r="EO31" s="34">
        <f>IF(AND(EO$5&gt;$E31,EO$5&lt;=$F31),IF(EO$5=$E31+1,$C31,""),"")</f>
        <v/>
      </c>
      <c r="EP31" s="34">
        <f>IF(AND(EP$5&gt;$E31,EP$5&lt;=$F31),IF(EP$5=$E31+1,$C31,""),"")</f>
        <v/>
      </c>
      <c r="EQ31" s="34">
        <f>IF(AND(EQ$5&gt;$E31,EQ$5&lt;=$F31),IF(EQ$5=$E31+1,$C31,""),"")</f>
        <v/>
      </c>
      <c r="ER31" s="34">
        <f>IF(AND(ER$5&gt;$E31,ER$5&lt;=$F31),IF(ER$5=$E31+1,$C31,""),"")</f>
        <v/>
      </c>
      <c r="ES31" s="34">
        <f>IF(AND(ES$5&gt;$E31,ES$5&lt;=$F31),IF(ES$5=$E31+1,$C31,""),"")</f>
        <v/>
      </c>
      <c r="ET31" s="34">
        <f>IF(AND(ET$5&gt;$E31,ET$5&lt;=$F31),IF(ET$5=$E31+1,$C31,""),"")</f>
        <v/>
      </c>
      <c r="EU31" s="34">
        <f>IF(AND(EU$5&gt;$E31,EU$5&lt;=$F31),IF(EU$5=$E31+1,$C31,""),"")</f>
        <v/>
      </c>
      <c r="EV31" s="34">
        <f>IF(AND(EV$5&gt;$E31,EV$5&lt;=$F31),IF(EV$5=$E31+1,$C31,""),"")</f>
        <v/>
      </c>
      <c r="EW31" s="34">
        <f>IF(AND(EW$5&gt;$E31,EW$5&lt;=$F31),IF(EW$5=$E31+1,$C31,""),"")</f>
        <v/>
      </c>
      <c r="EX31" s="34">
        <f>IF(AND(EX$5&gt;$E31,EX$5&lt;=$F31),IF(EX$5=$E31+1,$C31,""),"")</f>
        <v/>
      </c>
      <c r="EY31" s="34">
        <f>IF(AND(EY$5&gt;$E31,EY$5&lt;=$F31),IF(EY$5=$E31+1,$C31,""),"")</f>
        <v/>
      </c>
      <c r="EZ31" s="34">
        <f>IF(AND(EZ$5&gt;$E31,EZ$5&lt;=$F31),IF(EZ$5=$E31+1,$C31,""),"")</f>
        <v/>
      </c>
      <c r="FA31" s="34">
        <f>IF(AND(FA$5&gt;$E31,FA$5&lt;=$F31),IF(FA$5=$E31+1,$C31,""),"")</f>
        <v/>
      </c>
    </row>
    <row r="32">
      <c r="A32" s="32">
        <f>Plan!A26</f>
        <v/>
      </c>
      <c r="B32" s="33">
        <f>Plan!C26</f>
        <v/>
      </c>
      <c r="C32" s="16">
        <f>Plan!D26</f>
        <v/>
      </c>
      <c r="D32" s="16">
        <f>Plan!I26</f>
        <v/>
      </c>
      <c r="E32" s="16">
        <f>Plan!K26</f>
        <v/>
      </c>
      <c r="F32" s="16">
        <f>Plan!L26</f>
        <v/>
      </c>
      <c r="G32" s="16">
        <f>Plan!O26</f>
        <v/>
      </c>
      <c r="H32" s="34">
        <f>IF(AND(H$5&gt;$E32,H$5&lt;=$F32),IF(H$5=$E32+1,$C32,""),"")</f>
        <v/>
      </c>
      <c r="I32" s="34">
        <f>IF(AND(I$5&gt;$E32,I$5&lt;=$F32),IF(I$5=$E32+1,$C32,""),"")</f>
        <v/>
      </c>
      <c r="J32" s="34">
        <f>IF(AND(J$5&gt;$E32,J$5&lt;=$F32),IF(J$5=$E32+1,$C32,""),"")</f>
        <v/>
      </c>
      <c r="K32" s="34">
        <f>IF(AND(K$5&gt;$E32,K$5&lt;=$F32),IF(K$5=$E32+1,$C32,""),"")</f>
        <v/>
      </c>
      <c r="L32" s="34">
        <f>IF(AND(L$5&gt;$E32,L$5&lt;=$F32),IF(L$5=$E32+1,$C32,""),"")</f>
        <v/>
      </c>
      <c r="M32" s="34">
        <f>IF(AND(M$5&gt;$E32,M$5&lt;=$F32),IF(M$5=$E32+1,$C32,""),"")</f>
        <v/>
      </c>
      <c r="N32" s="34">
        <f>IF(AND(N$5&gt;$E32,N$5&lt;=$F32),IF(N$5=$E32+1,$C32,""),"")</f>
        <v/>
      </c>
      <c r="O32" s="34">
        <f>IF(AND(O$5&gt;$E32,O$5&lt;=$F32),IF(O$5=$E32+1,$C32,""),"")</f>
        <v/>
      </c>
      <c r="P32" s="34">
        <f>IF(AND(P$5&gt;$E32,P$5&lt;=$F32),IF(P$5=$E32+1,$C32,""),"")</f>
        <v/>
      </c>
      <c r="Q32" s="34">
        <f>IF(AND(Q$5&gt;$E32,Q$5&lt;=$F32),IF(Q$5=$E32+1,$C32,""),"")</f>
        <v/>
      </c>
      <c r="R32" s="34">
        <f>IF(AND(R$5&gt;$E32,R$5&lt;=$F32),IF(R$5=$E32+1,$C32,""),"")</f>
        <v/>
      </c>
      <c r="S32" s="34">
        <f>IF(AND(S$5&gt;$E32,S$5&lt;=$F32),IF(S$5=$E32+1,$C32,""),"")</f>
        <v/>
      </c>
      <c r="T32" s="34">
        <f>IF(AND(T$5&gt;$E32,T$5&lt;=$F32),IF(T$5=$E32+1,$C32,""),"")</f>
        <v/>
      </c>
      <c r="U32" s="34">
        <f>IF(AND(U$5&gt;$E32,U$5&lt;=$F32),IF(U$5=$E32+1,$C32,""),"")</f>
        <v/>
      </c>
      <c r="V32" s="34">
        <f>IF(AND(V$5&gt;$E32,V$5&lt;=$F32),IF(V$5=$E32+1,$C32,""),"")</f>
        <v/>
      </c>
      <c r="W32" s="34">
        <f>IF(AND(W$5&gt;$E32,W$5&lt;=$F32),IF(W$5=$E32+1,$C32,""),"")</f>
        <v/>
      </c>
      <c r="X32" s="34">
        <f>IF(AND(X$5&gt;$E32,X$5&lt;=$F32),IF(X$5=$E32+1,$C32,""),"")</f>
        <v/>
      </c>
      <c r="Y32" s="34">
        <f>IF(AND(Y$5&gt;$E32,Y$5&lt;=$F32),IF(Y$5=$E32+1,$C32,""),"")</f>
        <v/>
      </c>
      <c r="Z32" s="34">
        <f>IF(AND(Z$5&gt;$E32,Z$5&lt;=$F32),IF(Z$5=$E32+1,$C32,""),"")</f>
        <v/>
      </c>
      <c r="AA32" s="34">
        <f>IF(AND(AA$5&gt;$E32,AA$5&lt;=$F32),IF(AA$5=$E32+1,$C32,""),"")</f>
        <v/>
      </c>
      <c r="AB32" s="34">
        <f>IF(AND(AB$5&gt;$E32,AB$5&lt;=$F32),IF(AB$5=$E32+1,$C32,""),"")</f>
        <v/>
      </c>
      <c r="AC32" s="34">
        <f>IF(AND(AC$5&gt;$E32,AC$5&lt;=$F32),IF(AC$5=$E32+1,$C32,""),"")</f>
        <v/>
      </c>
      <c r="AD32" s="34">
        <f>IF(AND(AD$5&gt;$E32,AD$5&lt;=$F32),IF(AD$5=$E32+1,$C32,""),"")</f>
        <v/>
      </c>
      <c r="AE32" s="34">
        <f>IF(AND(AE$5&gt;$E32,AE$5&lt;=$F32),IF(AE$5=$E32+1,$C32,""),"")</f>
        <v/>
      </c>
      <c r="AF32" s="34">
        <f>IF(AND(AF$5&gt;$E32,AF$5&lt;=$F32),IF(AF$5=$E32+1,$C32,""),"")</f>
        <v/>
      </c>
      <c r="AG32" s="34">
        <f>IF(AND(AG$5&gt;$E32,AG$5&lt;=$F32),IF(AG$5=$E32+1,$C32,""),"")</f>
        <v/>
      </c>
      <c r="AH32" s="34">
        <f>IF(AND(AH$5&gt;$E32,AH$5&lt;=$F32),IF(AH$5=$E32+1,$C32,""),"")</f>
        <v/>
      </c>
      <c r="AI32" s="34">
        <f>IF(AND(AI$5&gt;$E32,AI$5&lt;=$F32),IF(AI$5=$E32+1,$C32,""),"")</f>
        <v/>
      </c>
      <c r="AJ32" s="34">
        <f>IF(AND(AJ$5&gt;$E32,AJ$5&lt;=$F32),IF(AJ$5=$E32+1,$C32,""),"")</f>
        <v/>
      </c>
      <c r="AK32" s="34">
        <f>IF(AND(AK$5&gt;$E32,AK$5&lt;=$F32),IF(AK$5=$E32+1,$C32,""),"")</f>
        <v/>
      </c>
      <c r="AL32" s="34">
        <f>IF(AND(AL$5&gt;$E32,AL$5&lt;=$F32),IF(AL$5=$E32+1,$C32,""),"")</f>
        <v/>
      </c>
      <c r="AM32" s="34">
        <f>IF(AND(AM$5&gt;$E32,AM$5&lt;=$F32),IF(AM$5=$E32+1,$C32,""),"")</f>
        <v/>
      </c>
      <c r="AN32" s="34">
        <f>IF(AND(AN$5&gt;$E32,AN$5&lt;=$F32),IF(AN$5=$E32+1,$C32,""),"")</f>
        <v/>
      </c>
      <c r="AO32" s="34">
        <f>IF(AND(AO$5&gt;$E32,AO$5&lt;=$F32),IF(AO$5=$E32+1,$C32,""),"")</f>
        <v/>
      </c>
      <c r="AP32" s="34">
        <f>IF(AND(AP$5&gt;$E32,AP$5&lt;=$F32),IF(AP$5=$E32+1,$C32,""),"")</f>
        <v/>
      </c>
      <c r="AQ32" s="34">
        <f>IF(AND(AQ$5&gt;$E32,AQ$5&lt;=$F32),IF(AQ$5=$E32+1,$C32,""),"")</f>
        <v/>
      </c>
      <c r="AR32" s="34">
        <f>IF(AND(AR$5&gt;$E32,AR$5&lt;=$F32),IF(AR$5=$E32+1,$C32,""),"")</f>
        <v/>
      </c>
      <c r="AS32" s="34">
        <f>IF(AND(AS$5&gt;$E32,AS$5&lt;=$F32),IF(AS$5=$E32+1,$C32,""),"")</f>
        <v/>
      </c>
      <c r="AT32" s="34">
        <f>IF(AND(AT$5&gt;$E32,AT$5&lt;=$F32),IF(AT$5=$E32+1,$C32,""),"")</f>
        <v/>
      </c>
      <c r="AU32" s="34">
        <f>IF(AND(AU$5&gt;$E32,AU$5&lt;=$F32),IF(AU$5=$E32+1,$C32,""),"")</f>
        <v/>
      </c>
      <c r="AV32" s="34">
        <f>IF(AND(AV$5&gt;$E32,AV$5&lt;=$F32),IF(AV$5=$E32+1,$C32,""),"")</f>
        <v/>
      </c>
      <c r="AW32" s="34">
        <f>IF(AND(AW$5&gt;$E32,AW$5&lt;=$F32),IF(AW$5=$E32+1,$C32,""),"")</f>
        <v/>
      </c>
      <c r="AX32" s="34">
        <f>IF(AND(AX$5&gt;$E32,AX$5&lt;=$F32),IF(AX$5=$E32+1,$C32,""),"")</f>
        <v/>
      </c>
      <c r="AY32" s="34">
        <f>IF(AND(AY$5&gt;$E32,AY$5&lt;=$F32),IF(AY$5=$E32+1,$C32,""),"")</f>
        <v/>
      </c>
      <c r="AZ32" s="34">
        <f>IF(AND(AZ$5&gt;$E32,AZ$5&lt;=$F32),IF(AZ$5=$E32+1,$C32,""),"")</f>
        <v/>
      </c>
      <c r="BA32" s="34">
        <f>IF(AND(BA$5&gt;$E32,BA$5&lt;=$F32),IF(BA$5=$E32+1,$C32,""),"")</f>
        <v/>
      </c>
      <c r="BB32" s="34">
        <f>IF(AND(BB$5&gt;$E32,BB$5&lt;=$F32),IF(BB$5=$E32+1,$C32,""),"")</f>
        <v/>
      </c>
      <c r="BC32" s="34">
        <f>IF(AND(BC$5&gt;$E32,BC$5&lt;=$F32),IF(BC$5=$E32+1,$C32,""),"")</f>
        <v/>
      </c>
      <c r="BD32" s="34">
        <f>IF(AND(BD$5&gt;$E32,BD$5&lt;=$F32),IF(BD$5=$E32+1,$C32,""),"")</f>
        <v/>
      </c>
      <c r="BE32" s="34">
        <f>IF(AND(BE$5&gt;$E32,BE$5&lt;=$F32),IF(BE$5=$E32+1,$C32,""),"")</f>
        <v/>
      </c>
      <c r="BF32" s="34">
        <f>IF(AND(BF$5&gt;$E32,BF$5&lt;=$F32),IF(BF$5=$E32+1,$C32,""),"")</f>
        <v/>
      </c>
      <c r="BG32" s="34">
        <f>IF(AND(BG$5&gt;$E32,BG$5&lt;=$F32),IF(BG$5=$E32+1,$C32,""),"")</f>
        <v/>
      </c>
      <c r="BH32" s="34">
        <f>IF(AND(BH$5&gt;$E32,BH$5&lt;=$F32),IF(BH$5=$E32+1,$C32,""),"")</f>
        <v/>
      </c>
      <c r="BI32" s="34">
        <f>IF(AND(BI$5&gt;$E32,BI$5&lt;=$F32),IF(BI$5=$E32+1,$C32,""),"")</f>
        <v/>
      </c>
      <c r="BJ32" s="34">
        <f>IF(AND(BJ$5&gt;$E32,BJ$5&lt;=$F32),IF(BJ$5=$E32+1,$C32,""),"")</f>
        <v/>
      </c>
      <c r="BK32" s="34">
        <f>IF(AND(BK$5&gt;$E32,BK$5&lt;=$F32),IF(BK$5=$E32+1,$C32,""),"")</f>
        <v/>
      </c>
      <c r="BL32" s="34">
        <f>IF(AND(BL$5&gt;$E32,BL$5&lt;=$F32),IF(BL$5=$E32+1,$C32,""),"")</f>
        <v/>
      </c>
      <c r="BM32" s="34">
        <f>IF(AND(BM$5&gt;$E32,BM$5&lt;=$F32),IF(BM$5=$E32+1,$C32,""),"")</f>
        <v/>
      </c>
      <c r="BN32" s="34">
        <f>IF(AND(BN$5&gt;$E32,BN$5&lt;=$F32),IF(BN$5=$E32+1,$C32,""),"")</f>
        <v/>
      </c>
      <c r="BO32" s="34">
        <f>IF(AND(BO$5&gt;$E32,BO$5&lt;=$F32),IF(BO$5=$E32+1,$C32,""),"")</f>
        <v/>
      </c>
      <c r="BP32" s="34">
        <f>IF(AND(BP$5&gt;$E32,BP$5&lt;=$F32),IF(BP$5=$E32+1,$C32,""),"")</f>
        <v/>
      </c>
      <c r="BQ32" s="34">
        <f>IF(AND(BQ$5&gt;$E32,BQ$5&lt;=$F32),IF(BQ$5=$E32+1,$C32,""),"")</f>
        <v/>
      </c>
      <c r="BR32" s="34">
        <f>IF(AND(BR$5&gt;$E32,BR$5&lt;=$F32),IF(BR$5=$E32+1,$C32,""),"")</f>
        <v/>
      </c>
      <c r="BS32" s="34">
        <f>IF(AND(BS$5&gt;$E32,BS$5&lt;=$F32),IF(BS$5=$E32+1,$C32,""),"")</f>
        <v/>
      </c>
      <c r="BT32" s="34">
        <f>IF(AND(BT$5&gt;$E32,BT$5&lt;=$F32),IF(BT$5=$E32+1,$C32,""),"")</f>
        <v/>
      </c>
      <c r="BU32" s="34">
        <f>IF(AND(BU$5&gt;$E32,BU$5&lt;=$F32),IF(BU$5=$E32+1,$C32,""),"")</f>
        <v/>
      </c>
      <c r="BV32" s="34">
        <f>IF(AND(BV$5&gt;$E32,BV$5&lt;=$F32),IF(BV$5=$E32+1,$C32,""),"")</f>
        <v/>
      </c>
      <c r="BW32" s="34">
        <f>IF(AND(BW$5&gt;$E32,BW$5&lt;=$F32),IF(BW$5=$E32+1,$C32,""),"")</f>
        <v/>
      </c>
      <c r="BX32" s="34">
        <f>IF(AND(BX$5&gt;$E32,BX$5&lt;=$F32),IF(BX$5=$E32+1,$C32,""),"")</f>
        <v/>
      </c>
      <c r="BY32" s="34">
        <f>IF(AND(BY$5&gt;$E32,BY$5&lt;=$F32),IF(BY$5=$E32+1,$C32,""),"")</f>
        <v/>
      </c>
      <c r="BZ32" s="34">
        <f>IF(AND(BZ$5&gt;$E32,BZ$5&lt;=$F32),IF(BZ$5=$E32+1,$C32,""),"")</f>
        <v/>
      </c>
      <c r="CA32" s="34">
        <f>IF(AND(CA$5&gt;$E32,CA$5&lt;=$F32),IF(CA$5=$E32+1,$C32,""),"")</f>
        <v/>
      </c>
      <c r="CB32" s="34">
        <f>IF(AND(CB$5&gt;$E32,CB$5&lt;=$F32),IF(CB$5=$E32+1,$C32,""),"")</f>
        <v/>
      </c>
      <c r="CC32" s="34">
        <f>IF(AND(CC$5&gt;$E32,CC$5&lt;=$F32),IF(CC$5=$E32+1,$C32,""),"")</f>
        <v/>
      </c>
      <c r="CD32" s="34">
        <f>IF(AND(CD$5&gt;$E32,CD$5&lt;=$F32),IF(CD$5=$E32+1,$C32,""),"")</f>
        <v/>
      </c>
      <c r="CE32" s="34">
        <f>IF(AND(CE$5&gt;$E32,CE$5&lt;=$F32),IF(CE$5=$E32+1,$C32,""),"")</f>
        <v/>
      </c>
      <c r="CF32" s="34">
        <f>IF(AND(CF$5&gt;$E32,CF$5&lt;=$F32),IF(CF$5=$E32+1,$C32,""),"")</f>
        <v/>
      </c>
      <c r="CG32" s="34">
        <f>IF(AND(CG$5&gt;$E32,CG$5&lt;=$F32),IF(CG$5=$E32+1,$C32,""),"")</f>
        <v/>
      </c>
      <c r="CH32" s="34">
        <f>IF(AND(CH$5&gt;$E32,CH$5&lt;=$F32),IF(CH$5=$E32+1,$C32,""),"")</f>
        <v/>
      </c>
      <c r="CI32" s="34">
        <f>IF(AND(CI$5&gt;$E32,CI$5&lt;=$F32),IF(CI$5=$E32+1,$C32,""),"")</f>
        <v/>
      </c>
      <c r="CJ32" s="34">
        <f>IF(AND(CJ$5&gt;$E32,CJ$5&lt;=$F32),IF(CJ$5=$E32+1,$C32,""),"")</f>
        <v/>
      </c>
      <c r="CK32" s="34">
        <f>IF(AND(CK$5&gt;$E32,CK$5&lt;=$F32),IF(CK$5=$E32+1,$C32,""),"")</f>
        <v/>
      </c>
      <c r="CL32" s="34">
        <f>IF(AND(CL$5&gt;$E32,CL$5&lt;=$F32),IF(CL$5=$E32+1,$C32,""),"")</f>
        <v/>
      </c>
      <c r="CM32" s="34">
        <f>IF(AND(CM$5&gt;$E32,CM$5&lt;=$F32),IF(CM$5=$E32+1,$C32,""),"")</f>
        <v/>
      </c>
      <c r="CN32" s="34">
        <f>IF(AND(CN$5&gt;$E32,CN$5&lt;=$F32),IF(CN$5=$E32+1,$C32,""),"")</f>
        <v/>
      </c>
      <c r="CO32" s="34">
        <f>IF(AND(CO$5&gt;$E32,CO$5&lt;=$F32),IF(CO$5=$E32+1,$C32,""),"")</f>
        <v/>
      </c>
      <c r="CP32" s="34">
        <f>IF(AND(CP$5&gt;$E32,CP$5&lt;=$F32),IF(CP$5=$E32+1,$C32,""),"")</f>
        <v/>
      </c>
      <c r="CQ32" s="34">
        <f>IF(AND(CQ$5&gt;$E32,CQ$5&lt;=$F32),IF(CQ$5=$E32+1,$C32,""),"")</f>
        <v/>
      </c>
      <c r="CR32" s="34">
        <f>IF(AND(CR$5&gt;$E32,CR$5&lt;=$F32),IF(CR$5=$E32+1,$C32,""),"")</f>
        <v/>
      </c>
      <c r="CS32" s="34">
        <f>IF(AND(CS$5&gt;$E32,CS$5&lt;=$F32),IF(CS$5=$E32+1,$C32,""),"")</f>
        <v/>
      </c>
      <c r="CT32" s="34">
        <f>IF(AND(CT$5&gt;$E32,CT$5&lt;=$F32),IF(CT$5=$E32+1,$C32,""),"")</f>
        <v/>
      </c>
      <c r="CU32" s="34">
        <f>IF(AND(CU$5&gt;$E32,CU$5&lt;=$F32),IF(CU$5=$E32+1,$C32,""),"")</f>
        <v/>
      </c>
      <c r="CV32" s="34">
        <f>IF(AND(CV$5&gt;$E32,CV$5&lt;=$F32),IF(CV$5=$E32+1,$C32,""),"")</f>
        <v/>
      </c>
      <c r="CW32" s="34">
        <f>IF(AND(CW$5&gt;$E32,CW$5&lt;=$F32),IF(CW$5=$E32+1,$C32,""),"")</f>
        <v/>
      </c>
      <c r="CX32" s="34">
        <f>IF(AND(CX$5&gt;$E32,CX$5&lt;=$F32),IF(CX$5=$E32+1,$C32,""),"")</f>
        <v/>
      </c>
      <c r="CY32" s="34">
        <f>IF(AND(CY$5&gt;$E32,CY$5&lt;=$F32),IF(CY$5=$E32+1,$C32,""),"")</f>
        <v/>
      </c>
      <c r="CZ32" s="34">
        <f>IF(AND(CZ$5&gt;$E32,CZ$5&lt;=$F32),IF(CZ$5=$E32+1,$C32,""),"")</f>
        <v/>
      </c>
      <c r="DA32" s="34">
        <f>IF(AND(DA$5&gt;$E32,DA$5&lt;=$F32),IF(DA$5=$E32+1,$C32,""),"")</f>
        <v/>
      </c>
      <c r="DB32" s="34">
        <f>IF(AND(DB$5&gt;$E32,DB$5&lt;=$F32),IF(DB$5=$E32+1,$C32,""),"")</f>
        <v/>
      </c>
      <c r="DC32" s="34">
        <f>IF(AND(DC$5&gt;$E32,DC$5&lt;=$F32),IF(DC$5=$E32+1,$C32,""),"")</f>
        <v/>
      </c>
      <c r="DD32" s="34">
        <f>IF(AND(DD$5&gt;$E32,DD$5&lt;=$F32),IF(DD$5=$E32+1,$C32,""),"")</f>
        <v/>
      </c>
      <c r="DE32" s="34">
        <f>IF(AND(DE$5&gt;$E32,DE$5&lt;=$F32),IF(DE$5=$E32+1,$C32,""),"")</f>
        <v/>
      </c>
      <c r="DF32" s="34">
        <f>IF(AND(DF$5&gt;$E32,DF$5&lt;=$F32),IF(DF$5=$E32+1,$C32,""),"")</f>
        <v/>
      </c>
      <c r="DG32" s="34">
        <f>IF(AND(DG$5&gt;$E32,DG$5&lt;=$F32),IF(DG$5=$E32+1,$C32,""),"")</f>
        <v/>
      </c>
      <c r="DH32" s="34">
        <f>IF(AND(DH$5&gt;$E32,DH$5&lt;=$F32),IF(DH$5=$E32+1,$C32,""),"")</f>
        <v/>
      </c>
      <c r="DI32" s="34">
        <f>IF(AND(DI$5&gt;$E32,DI$5&lt;=$F32),IF(DI$5=$E32+1,$C32,""),"")</f>
        <v/>
      </c>
      <c r="DJ32" s="34">
        <f>IF(AND(DJ$5&gt;$E32,DJ$5&lt;=$F32),IF(DJ$5=$E32+1,$C32,""),"")</f>
        <v/>
      </c>
      <c r="DK32" s="34">
        <f>IF(AND(DK$5&gt;$E32,DK$5&lt;=$F32),IF(DK$5=$E32+1,$C32,""),"")</f>
        <v/>
      </c>
      <c r="DL32" s="34">
        <f>IF(AND(DL$5&gt;$E32,DL$5&lt;=$F32),IF(DL$5=$E32+1,$C32,""),"")</f>
        <v/>
      </c>
      <c r="DM32" s="34">
        <f>IF(AND(DM$5&gt;$E32,DM$5&lt;=$F32),IF(DM$5=$E32+1,$C32,""),"")</f>
        <v/>
      </c>
      <c r="DN32" s="34">
        <f>IF(AND(DN$5&gt;$E32,DN$5&lt;=$F32),IF(DN$5=$E32+1,$C32,""),"")</f>
        <v/>
      </c>
      <c r="DO32" s="34">
        <f>IF(AND(DO$5&gt;$E32,DO$5&lt;=$F32),IF(DO$5=$E32+1,$C32,""),"")</f>
        <v/>
      </c>
      <c r="DP32" s="34">
        <f>IF(AND(DP$5&gt;$E32,DP$5&lt;=$F32),IF(DP$5=$E32+1,$C32,""),"")</f>
        <v/>
      </c>
      <c r="DQ32" s="34">
        <f>IF(AND(DQ$5&gt;$E32,DQ$5&lt;=$F32),IF(DQ$5=$E32+1,$C32,""),"")</f>
        <v/>
      </c>
      <c r="DR32" s="34">
        <f>IF(AND(DR$5&gt;$E32,DR$5&lt;=$F32),IF(DR$5=$E32+1,$C32,""),"")</f>
        <v/>
      </c>
      <c r="DS32" s="34">
        <f>IF(AND(DS$5&gt;$E32,DS$5&lt;=$F32),IF(DS$5=$E32+1,$C32,""),"")</f>
        <v/>
      </c>
      <c r="DT32" s="34">
        <f>IF(AND(DT$5&gt;$E32,DT$5&lt;=$F32),IF(DT$5=$E32+1,$C32,""),"")</f>
        <v/>
      </c>
      <c r="DU32" s="34">
        <f>IF(AND(DU$5&gt;$E32,DU$5&lt;=$F32),IF(DU$5=$E32+1,$C32,""),"")</f>
        <v/>
      </c>
      <c r="DV32" s="34">
        <f>IF(AND(DV$5&gt;$E32,DV$5&lt;=$F32),IF(DV$5=$E32+1,$C32,""),"")</f>
        <v/>
      </c>
      <c r="DW32" s="34">
        <f>IF(AND(DW$5&gt;$E32,DW$5&lt;=$F32),IF(DW$5=$E32+1,$C32,""),"")</f>
        <v/>
      </c>
      <c r="DX32" s="34">
        <f>IF(AND(DX$5&gt;$E32,DX$5&lt;=$F32),IF(DX$5=$E32+1,$C32,""),"")</f>
        <v/>
      </c>
      <c r="DY32" s="34">
        <f>IF(AND(DY$5&gt;$E32,DY$5&lt;=$F32),IF(DY$5=$E32+1,$C32,""),"")</f>
        <v/>
      </c>
      <c r="DZ32" s="34">
        <f>IF(AND(DZ$5&gt;$E32,DZ$5&lt;=$F32),IF(DZ$5=$E32+1,$C32,""),"")</f>
        <v/>
      </c>
      <c r="EA32" s="34">
        <f>IF(AND(EA$5&gt;$E32,EA$5&lt;=$F32),IF(EA$5=$E32+1,$C32,""),"")</f>
        <v/>
      </c>
      <c r="EB32" s="34">
        <f>IF(AND(EB$5&gt;$E32,EB$5&lt;=$F32),IF(EB$5=$E32+1,$C32,""),"")</f>
        <v/>
      </c>
      <c r="EC32" s="34">
        <f>IF(AND(EC$5&gt;$E32,EC$5&lt;=$F32),IF(EC$5=$E32+1,$C32,""),"")</f>
        <v/>
      </c>
      <c r="ED32" s="34">
        <f>IF(AND(ED$5&gt;$E32,ED$5&lt;=$F32),IF(ED$5=$E32+1,$C32,""),"")</f>
        <v/>
      </c>
      <c r="EE32" s="34">
        <f>IF(AND(EE$5&gt;$E32,EE$5&lt;=$F32),IF(EE$5=$E32+1,$C32,""),"")</f>
        <v/>
      </c>
      <c r="EF32" s="34">
        <f>IF(AND(EF$5&gt;$E32,EF$5&lt;=$F32),IF(EF$5=$E32+1,$C32,""),"")</f>
        <v/>
      </c>
      <c r="EG32" s="34">
        <f>IF(AND(EG$5&gt;$E32,EG$5&lt;=$F32),IF(EG$5=$E32+1,$C32,""),"")</f>
        <v/>
      </c>
      <c r="EH32" s="34">
        <f>IF(AND(EH$5&gt;$E32,EH$5&lt;=$F32),IF(EH$5=$E32+1,$C32,""),"")</f>
        <v/>
      </c>
      <c r="EI32" s="34">
        <f>IF(AND(EI$5&gt;$E32,EI$5&lt;=$F32),IF(EI$5=$E32+1,$C32,""),"")</f>
        <v/>
      </c>
      <c r="EJ32" s="34">
        <f>IF(AND(EJ$5&gt;$E32,EJ$5&lt;=$F32),IF(EJ$5=$E32+1,$C32,""),"")</f>
        <v/>
      </c>
      <c r="EK32" s="34">
        <f>IF(AND(EK$5&gt;$E32,EK$5&lt;=$F32),IF(EK$5=$E32+1,$C32,""),"")</f>
        <v/>
      </c>
      <c r="EL32" s="34">
        <f>IF(AND(EL$5&gt;$E32,EL$5&lt;=$F32),IF(EL$5=$E32+1,$C32,""),"")</f>
        <v/>
      </c>
      <c r="EM32" s="34">
        <f>IF(AND(EM$5&gt;$E32,EM$5&lt;=$F32),IF(EM$5=$E32+1,$C32,""),"")</f>
        <v/>
      </c>
      <c r="EN32" s="34">
        <f>IF(AND(EN$5&gt;$E32,EN$5&lt;=$F32),IF(EN$5=$E32+1,$C32,""),"")</f>
        <v/>
      </c>
      <c r="EO32" s="34">
        <f>IF(AND(EO$5&gt;$E32,EO$5&lt;=$F32),IF(EO$5=$E32+1,$C32,""),"")</f>
        <v/>
      </c>
      <c r="EP32" s="34">
        <f>IF(AND(EP$5&gt;$E32,EP$5&lt;=$F32),IF(EP$5=$E32+1,$C32,""),"")</f>
        <v/>
      </c>
      <c r="EQ32" s="34">
        <f>IF(AND(EQ$5&gt;$E32,EQ$5&lt;=$F32),IF(EQ$5=$E32+1,$C32,""),"")</f>
        <v/>
      </c>
      <c r="ER32" s="34">
        <f>IF(AND(ER$5&gt;$E32,ER$5&lt;=$F32),IF(ER$5=$E32+1,$C32,""),"")</f>
        <v/>
      </c>
      <c r="ES32" s="34">
        <f>IF(AND(ES$5&gt;$E32,ES$5&lt;=$F32),IF(ES$5=$E32+1,$C32,""),"")</f>
        <v/>
      </c>
      <c r="ET32" s="34">
        <f>IF(AND(ET$5&gt;$E32,ET$5&lt;=$F32),IF(ET$5=$E32+1,$C32,""),"")</f>
        <v/>
      </c>
      <c r="EU32" s="34">
        <f>IF(AND(EU$5&gt;$E32,EU$5&lt;=$F32),IF(EU$5=$E32+1,$C32,""),"")</f>
        <v/>
      </c>
      <c r="EV32" s="34">
        <f>IF(AND(EV$5&gt;$E32,EV$5&lt;=$F32),IF(EV$5=$E32+1,$C32,""),"")</f>
        <v/>
      </c>
      <c r="EW32" s="34">
        <f>IF(AND(EW$5&gt;$E32,EW$5&lt;=$F32),IF(EW$5=$E32+1,$C32,""),"")</f>
        <v/>
      </c>
      <c r="EX32" s="34">
        <f>IF(AND(EX$5&gt;$E32,EX$5&lt;=$F32),IF(EX$5=$E32+1,$C32,""),"")</f>
        <v/>
      </c>
      <c r="EY32" s="34">
        <f>IF(AND(EY$5&gt;$E32,EY$5&lt;=$F32),IF(EY$5=$E32+1,$C32,""),"")</f>
        <v/>
      </c>
      <c r="EZ32" s="34">
        <f>IF(AND(EZ$5&gt;$E32,EZ$5&lt;=$F32),IF(EZ$5=$E32+1,$C32,""),"")</f>
        <v/>
      </c>
      <c r="FA32" s="34">
        <f>IF(AND(FA$5&gt;$E32,FA$5&lt;=$F32),IF(FA$5=$E32+1,$C32,""),"")</f>
        <v/>
      </c>
    </row>
    <row r="33">
      <c r="A33" s="32">
        <f>Plan!A27</f>
        <v/>
      </c>
      <c r="B33" s="33">
        <f>Plan!C27</f>
        <v/>
      </c>
      <c r="C33" s="16">
        <f>Plan!D27</f>
        <v/>
      </c>
      <c r="D33" s="16">
        <f>Plan!I27</f>
        <v/>
      </c>
      <c r="E33" s="16">
        <f>Plan!K27</f>
        <v/>
      </c>
      <c r="F33" s="16">
        <f>Plan!L27</f>
        <v/>
      </c>
      <c r="G33" s="16">
        <f>Plan!O27</f>
        <v/>
      </c>
      <c r="H33" s="34">
        <f>IF(AND(H$5&gt;$E33,H$5&lt;=$F33),IF(H$5=$E33+1,$C33,""),"")</f>
        <v/>
      </c>
      <c r="I33" s="34">
        <f>IF(AND(I$5&gt;$E33,I$5&lt;=$F33),IF(I$5=$E33+1,$C33,""),"")</f>
        <v/>
      </c>
      <c r="J33" s="34">
        <f>IF(AND(J$5&gt;$E33,J$5&lt;=$F33),IF(J$5=$E33+1,$C33,""),"")</f>
        <v/>
      </c>
      <c r="K33" s="34">
        <f>IF(AND(K$5&gt;$E33,K$5&lt;=$F33),IF(K$5=$E33+1,$C33,""),"")</f>
        <v/>
      </c>
      <c r="L33" s="34">
        <f>IF(AND(L$5&gt;$E33,L$5&lt;=$F33),IF(L$5=$E33+1,$C33,""),"")</f>
        <v/>
      </c>
      <c r="M33" s="34">
        <f>IF(AND(M$5&gt;$E33,M$5&lt;=$F33),IF(M$5=$E33+1,$C33,""),"")</f>
        <v/>
      </c>
      <c r="N33" s="34">
        <f>IF(AND(N$5&gt;$E33,N$5&lt;=$F33),IF(N$5=$E33+1,$C33,""),"")</f>
        <v/>
      </c>
      <c r="O33" s="34">
        <f>IF(AND(O$5&gt;$E33,O$5&lt;=$F33),IF(O$5=$E33+1,$C33,""),"")</f>
        <v/>
      </c>
      <c r="P33" s="34">
        <f>IF(AND(P$5&gt;$E33,P$5&lt;=$F33),IF(P$5=$E33+1,$C33,""),"")</f>
        <v/>
      </c>
      <c r="Q33" s="34">
        <f>IF(AND(Q$5&gt;$E33,Q$5&lt;=$F33),IF(Q$5=$E33+1,$C33,""),"")</f>
        <v/>
      </c>
      <c r="R33" s="34">
        <f>IF(AND(R$5&gt;$E33,R$5&lt;=$F33),IF(R$5=$E33+1,$C33,""),"")</f>
        <v/>
      </c>
      <c r="S33" s="34">
        <f>IF(AND(S$5&gt;$E33,S$5&lt;=$F33),IF(S$5=$E33+1,$C33,""),"")</f>
        <v/>
      </c>
      <c r="T33" s="34">
        <f>IF(AND(T$5&gt;$E33,T$5&lt;=$F33),IF(T$5=$E33+1,$C33,""),"")</f>
        <v/>
      </c>
      <c r="U33" s="34">
        <f>IF(AND(U$5&gt;$E33,U$5&lt;=$F33),IF(U$5=$E33+1,$C33,""),"")</f>
        <v/>
      </c>
      <c r="V33" s="34">
        <f>IF(AND(V$5&gt;$E33,V$5&lt;=$F33),IF(V$5=$E33+1,$C33,""),"")</f>
        <v/>
      </c>
      <c r="W33" s="34">
        <f>IF(AND(W$5&gt;$E33,W$5&lt;=$F33),IF(W$5=$E33+1,$C33,""),"")</f>
        <v/>
      </c>
      <c r="X33" s="34">
        <f>IF(AND(X$5&gt;$E33,X$5&lt;=$F33),IF(X$5=$E33+1,$C33,""),"")</f>
        <v/>
      </c>
      <c r="Y33" s="34">
        <f>IF(AND(Y$5&gt;$E33,Y$5&lt;=$F33),IF(Y$5=$E33+1,$C33,""),"")</f>
        <v/>
      </c>
      <c r="Z33" s="34">
        <f>IF(AND(Z$5&gt;$E33,Z$5&lt;=$F33),IF(Z$5=$E33+1,$C33,""),"")</f>
        <v/>
      </c>
      <c r="AA33" s="34">
        <f>IF(AND(AA$5&gt;$E33,AA$5&lt;=$F33),IF(AA$5=$E33+1,$C33,""),"")</f>
        <v/>
      </c>
      <c r="AB33" s="34">
        <f>IF(AND(AB$5&gt;$E33,AB$5&lt;=$F33),IF(AB$5=$E33+1,$C33,""),"")</f>
        <v/>
      </c>
      <c r="AC33" s="34">
        <f>IF(AND(AC$5&gt;$E33,AC$5&lt;=$F33),IF(AC$5=$E33+1,$C33,""),"")</f>
        <v/>
      </c>
      <c r="AD33" s="34">
        <f>IF(AND(AD$5&gt;$E33,AD$5&lt;=$F33),IF(AD$5=$E33+1,$C33,""),"")</f>
        <v/>
      </c>
      <c r="AE33" s="34">
        <f>IF(AND(AE$5&gt;$E33,AE$5&lt;=$F33),IF(AE$5=$E33+1,$C33,""),"")</f>
        <v/>
      </c>
      <c r="AF33" s="34">
        <f>IF(AND(AF$5&gt;$E33,AF$5&lt;=$F33),IF(AF$5=$E33+1,$C33,""),"")</f>
        <v/>
      </c>
      <c r="AG33" s="34">
        <f>IF(AND(AG$5&gt;$E33,AG$5&lt;=$F33),IF(AG$5=$E33+1,$C33,""),"")</f>
        <v/>
      </c>
      <c r="AH33" s="34">
        <f>IF(AND(AH$5&gt;$E33,AH$5&lt;=$F33),IF(AH$5=$E33+1,$C33,""),"")</f>
        <v/>
      </c>
      <c r="AI33" s="34">
        <f>IF(AND(AI$5&gt;$E33,AI$5&lt;=$F33),IF(AI$5=$E33+1,$C33,""),"")</f>
        <v/>
      </c>
      <c r="AJ33" s="34">
        <f>IF(AND(AJ$5&gt;$E33,AJ$5&lt;=$F33),IF(AJ$5=$E33+1,$C33,""),"")</f>
        <v/>
      </c>
      <c r="AK33" s="34">
        <f>IF(AND(AK$5&gt;$E33,AK$5&lt;=$F33),IF(AK$5=$E33+1,$C33,""),"")</f>
        <v/>
      </c>
      <c r="AL33" s="34">
        <f>IF(AND(AL$5&gt;$E33,AL$5&lt;=$F33),IF(AL$5=$E33+1,$C33,""),"")</f>
        <v/>
      </c>
      <c r="AM33" s="34">
        <f>IF(AND(AM$5&gt;$E33,AM$5&lt;=$F33),IF(AM$5=$E33+1,$C33,""),"")</f>
        <v/>
      </c>
      <c r="AN33" s="34">
        <f>IF(AND(AN$5&gt;$E33,AN$5&lt;=$F33),IF(AN$5=$E33+1,$C33,""),"")</f>
        <v/>
      </c>
      <c r="AO33" s="34">
        <f>IF(AND(AO$5&gt;$E33,AO$5&lt;=$F33),IF(AO$5=$E33+1,$C33,""),"")</f>
        <v/>
      </c>
      <c r="AP33" s="34">
        <f>IF(AND(AP$5&gt;$E33,AP$5&lt;=$F33),IF(AP$5=$E33+1,$C33,""),"")</f>
        <v/>
      </c>
      <c r="AQ33" s="34">
        <f>IF(AND(AQ$5&gt;$E33,AQ$5&lt;=$F33),IF(AQ$5=$E33+1,$C33,""),"")</f>
        <v/>
      </c>
      <c r="AR33" s="34">
        <f>IF(AND(AR$5&gt;$E33,AR$5&lt;=$F33),IF(AR$5=$E33+1,$C33,""),"")</f>
        <v/>
      </c>
      <c r="AS33" s="34">
        <f>IF(AND(AS$5&gt;$E33,AS$5&lt;=$F33),IF(AS$5=$E33+1,$C33,""),"")</f>
        <v/>
      </c>
      <c r="AT33" s="34">
        <f>IF(AND(AT$5&gt;$E33,AT$5&lt;=$F33),IF(AT$5=$E33+1,$C33,""),"")</f>
        <v/>
      </c>
      <c r="AU33" s="34">
        <f>IF(AND(AU$5&gt;$E33,AU$5&lt;=$F33),IF(AU$5=$E33+1,$C33,""),"")</f>
        <v/>
      </c>
      <c r="AV33" s="34">
        <f>IF(AND(AV$5&gt;$E33,AV$5&lt;=$F33),IF(AV$5=$E33+1,$C33,""),"")</f>
        <v/>
      </c>
      <c r="AW33" s="34">
        <f>IF(AND(AW$5&gt;$E33,AW$5&lt;=$F33),IF(AW$5=$E33+1,$C33,""),"")</f>
        <v/>
      </c>
      <c r="AX33" s="34">
        <f>IF(AND(AX$5&gt;$E33,AX$5&lt;=$F33),IF(AX$5=$E33+1,$C33,""),"")</f>
        <v/>
      </c>
      <c r="AY33" s="34">
        <f>IF(AND(AY$5&gt;$E33,AY$5&lt;=$F33),IF(AY$5=$E33+1,$C33,""),"")</f>
        <v/>
      </c>
      <c r="AZ33" s="34">
        <f>IF(AND(AZ$5&gt;$E33,AZ$5&lt;=$F33),IF(AZ$5=$E33+1,$C33,""),"")</f>
        <v/>
      </c>
      <c r="BA33" s="34">
        <f>IF(AND(BA$5&gt;$E33,BA$5&lt;=$F33),IF(BA$5=$E33+1,$C33,""),"")</f>
        <v/>
      </c>
      <c r="BB33" s="34">
        <f>IF(AND(BB$5&gt;$E33,BB$5&lt;=$F33),IF(BB$5=$E33+1,$C33,""),"")</f>
        <v/>
      </c>
      <c r="BC33" s="34">
        <f>IF(AND(BC$5&gt;$E33,BC$5&lt;=$F33),IF(BC$5=$E33+1,$C33,""),"")</f>
        <v/>
      </c>
      <c r="BD33" s="34">
        <f>IF(AND(BD$5&gt;$E33,BD$5&lt;=$F33),IF(BD$5=$E33+1,$C33,""),"")</f>
        <v/>
      </c>
      <c r="BE33" s="34">
        <f>IF(AND(BE$5&gt;$E33,BE$5&lt;=$F33),IF(BE$5=$E33+1,$C33,""),"")</f>
        <v/>
      </c>
      <c r="BF33" s="34">
        <f>IF(AND(BF$5&gt;$E33,BF$5&lt;=$F33),IF(BF$5=$E33+1,$C33,""),"")</f>
        <v/>
      </c>
      <c r="BG33" s="34">
        <f>IF(AND(BG$5&gt;$E33,BG$5&lt;=$F33),IF(BG$5=$E33+1,$C33,""),"")</f>
        <v/>
      </c>
      <c r="BH33" s="34">
        <f>IF(AND(BH$5&gt;$E33,BH$5&lt;=$F33),IF(BH$5=$E33+1,$C33,""),"")</f>
        <v/>
      </c>
      <c r="BI33" s="34">
        <f>IF(AND(BI$5&gt;$E33,BI$5&lt;=$F33),IF(BI$5=$E33+1,$C33,""),"")</f>
        <v/>
      </c>
      <c r="BJ33" s="34">
        <f>IF(AND(BJ$5&gt;$E33,BJ$5&lt;=$F33),IF(BJ$5=$E33+1,$C33,""),"")</f>
        <v/>
      </c>
      <c r="BK33" s="34">
        <f>IF(AND(BK$5&gt;$E33,BK$5&lt;=$F33),IF(BK$5=$E33+1,$C33,""),"")</f>
        <v/>
      </c>
      <c r="BL33" s="34">
        <f>IF(AND(BL$5&gt;$E33,BL$5&lt;=$F33),IF(BL$5=$E33+1,$C33,""),"")</f>
        <v/>
      </c>
      <c r="BM33" s="34">
        <f>IF(AND(BM$5&gt;$E33,BM$5&lt;=$F33),IF(BM$5=$E33+1,$C33,""),"")</f>
        <v/>
      </c>
      <c r="BN33" s="34">
        <f>IF(AND(BN$5&gt;$E33,BN$5&lt;=$F33),IF(BN$5=$E33+1,$C33,""),"")</f>
        <v/>
      </c>
      <c r="BO33" s="34">
        <f>IF(AND(BO$5&gt;$E33,BO$5&lt;=$F33),IF(BO$5=$E33+1,$C33,""),"")</f>
        <v/>
      </c>
      <c r="BP33" s="34">
        <f>IF(AND(BP$5&gt;$E33,BP$5&lt;=$F33),IF(BP$5=$E33+1,$C33,""),"")</f>
        <v/>
      </c>
      <c r="BQ33" s="34">
        <f>IF(AND(BQ$5&gt;$E33,BQ$5&lt;=$F33),IF(BQ$5=$E33+1,$C33,""),"")</f>
        <v/>
      </c>
      <c r="BR33" s="34">
        <f>IF(AND(BR$5&gt;$E33,BR$5&lt;=$F33),IF(BR$5=$E33+1,$C33,""),"")</f>
        <v/>
      </c>
      <c r="BS33" s="34">
        <f>IF(AND(BS$5&gt;$E33,BS$5&lt;=$F33),IF(BS$5=$E33+1,$C33,""),"")</f>
        <v/>
      </c>
      <c r="BT33" s="34">
        <f>IF(AND(BT$5&gt;$E33,BT$5&lt;=$F33),IF(BT$5=$E33+1,$C33,""),"")</f>
        <v/>
      </c>
      <c r="BU33" s="34">
        <f>IF(AND(BU$5&gt;$E33,BU$5&lt;=$F33),IF(BU$5=$E33+1,$C33,""),"")</f>
        <v/>
      </c>
      <c r="BV33" s="34">
        <f>IF(AND(BV$5&gt;$E33,BV$5&lt;=$F33),IF(BV$5=$E33+1,$C33,""),"")</f>
        <v/>
      </c>
      <c r="BW33" s="34">
        <f>IF(AND(BW$5&gt;$E33,BW$5&lt;=$F33),IF(BW$5=$E33+1,$C33,""),"")</f>
        <v/>
      </c>
      <c r="BX33" s="34">
        <f>IF(AND(BX$5&gt;$E33,BX$5&lt;=$F33),IF(BX$5=$E33+1,$C33,""),"")</f>
        <v/>
      </c>
      <c r="BY33" s="34">
        <f>IF(AND(BY$5&gt;$E33,BY$5&lt;=$F33),IF(BY$5=$E33+1,$C33,""),"")</f>
        <v/>
      </c>
      <c r="BZ33" s="34">
        <f>IF(AND(BZ$5&gt;$E33,BZ$5&lt;=$F33),IF(BZ$5=$E33+1,$C33,""),"")</f>
        <v/>
      </c>
      <c r="CA33" s="34">
        <f>IF(AND(CA$5&gt;$E33,CA$5&lt;=$F33),IF(CA$5=$E33+1,$C33,""),"")</f>
        <v/>
      </c>
      <c r="CB33" s="34">
        <f>IF(AND(CB$5&gt;$E33,CB$5&lt;=$F33),IF(CB$5=$E33+1,$C33,""),"")</f>
        <v/>
      </c>
      <c r="CC33" s="34">
        <f>IF(AND(CC$5&gt;$E33,CC$5&lt;=$F33),IF(CC$5=$E33+1,$C33,""),"")</f>
        <v/>
      </c>
      <c r="CD33" s="34">
        <f>IF(AND(CD$5&gt;$E33,CD$5&lt;=$F33),IF(CD$5=$E33+1,$C33,""),"")</f>
        <v/>
      </c>
      <c r="CE33" s="34">
        <f>IF(AND(CE$5&gt;$E33,CE$5&lt;=$F33),IF(CE$5=$E33+1,$C33,""),"")</f>
        <v/>
      </c>
      <c r="CF33" s="34">
        <f>IF(AND(CF$5&gt;$E33,CF$5&lt;=$F33),IF(CF$5=$E33+1,$C33,""),"")</f>
        <v/>
      </c>
      <c r="CG33" s="34">
        <f>IF(AND(CG$5&gt;$E33,CG$5&lt;=$F33),IF(CG$5=$E33+1,$C33,""),"")</f>
        <v/>
      </c>
      <c r="CH33" s="34">
        <f>IF(AND(CH$5&gt;$E33,CH$5&lt;=$F33),IF(CH$5=$E33+1,$C33,""),"")</f>
        <v/>
      </c>
      <c r="CI33" s="34">
        <f>IF(AND(CI$5&gt;$E33,CI$5&lt;=$F33),IF(CI$5=$E33+1,$C33,""),"")</f>
        <v/>
      </c>
      <c r="CJ33" s="34">
        <f>IF(AND(CJ$5&gt;$E33,CJ$5&lt;=$F33),IF(CJ$5=$E33+1,$C33,""),"")</f>
        <v/>
      </c>
      <c r="CK33" s="34">
        <f>IF(AND(CK$5&gt;$E33,CK$5&lt;=$F33),IF(CK$5=$E33+1,$C33,""),"")</f>
        <v/>
      </c>
      <c r="CL33" s="34">
        <f>IF(AND(CL$5&gt;$E33,CL$5&lt;=$F33),IF(CL$5=$E33+1,$C33,""),"")</f>
        <v/>
      </c>
      <c r="CM33" s="34">
        <f>IF(AND(CM$5&gt;$E33,CM$5&lt;=$F33),IF(CM$5=$E33+1,$C33,""),"")</f>
        <v/>
      </c>
      <c r="CN33" s="34">
        <f>IF(AND(CN$5&gt;$E33,CN$5&lt;=$F33),IF(CN$5=$E33+1,$C33,""),"")</f>
        <v/>
      </c>
      <c r="CO33" s="34">
        <f>IF(AND(CO$5&gt;$E33,CO$5&lt;=$F33),IF(CO$5=$E33+1,$C33,""),"")</f>
        <v/>
      </c>
      <c r="CP33" s="34">
        <f>IF(AND(CP$5&gt;$E33,CP$5&lt;=$F33),IF(CP$5=$E33+1,$C33,""),"")</f>
        <v/>
      </c>
      <c r="CQ33" s="34">
        <f>IF(AND(CQ$5&gt;$E33,CQ$5&lt;=$F33),IF(CQ$5=$E33+1,$C33,""),"")</f>
        <v/>
      </c>
      <c r="CR33" s="34">
        <f>IF(AND(CR$5&gt;$E33,CR$5&lt;=$F33),IF(CR$5=$E33+1,$C33,""),"")</f>
        <v/>
      </c>
      <c r="CS33" s="34">
        <f>IF(AND(CS$5&gt;$E33,CS$5&lt;=$F33),IF(CS$5=$E33+1,$C33,""),"")</f>
        <v/>
      </c>
      <c r="CT33" s="34">
        <f>IF(AND(CT$5&gt;$E33,CT$5&lt;=$F33),IF(CT$5=$E33+1,$C33,""),"")</f>
        <v/>
      </c>
      <c r="CU33" s="34">
        <f>IF(AND(CU$5&gt;$E33,CU$5&lt;=$F33),IF(CU$5=$E33+1,$C33,""),"")</f>
        <v/>
      </c>
      <c r="CV33" s="34">
        <f>IF(AND(CV$5&gt;$E33,CV$5&lt;=$F33),IF(CV$5=$E33+1,$C33,""),"")</f>
        <v/>
      </c>
      <c r="CW33" s="34">
        <f>IF(AND(CW$5&gt;$E33,CW$5&lt;=$F33),IF(CW$5=$E33+1,$C33,""),"")</f>
        <v/>
      </c>
      <c r="CX33" s="34">
        <f>IF(AND(CX$5&gt;$E33,CX$5&lt;=$F33),IF(CX$5=$E33+1,$C33,""),"")</f>
        <v/>
      </c>
      <c r="CY33" s="34">
        <f>IF(AND(CY$5&gt;$E33,CY$5&lt;=$F33),IF(CY$5=$E33+1,$C33,""),"")</f>
        <v/>
      </c>
      <c r="CZ33" s="34">
        <f>IF(AND(CZ$5&gt;$E33,CZ$5&lt;=$F33),IF(CZ$5=$E33+1,$C33,""),"")</f>
        <v/>
      </c>
      <c r="DA33" s="34">
        <f>IF(AND(DA$5&gt;$E33,DA$5&lt;=$F33),IF(DA$5=$E33+1,$C33,""),"")</f>
        <v/>
      </c>
      <c r="DB33" s="34">
        <f>IF(AND(DB$5&gt;$E33,DB$5&lt;=$F33),IF(DB$5=$E33+1,$C33,""),"")</f>
        <v/>
      </c>
      <c r="DC33" s="34">
        <f>IF(AND(DC$5&gt;$E33,DC$5&lt;=$F33),IF(DC$5=$E33+1,$C33,""),"")</f>
        <v/>
      </c>
      <c r="DD33" s="34">
        <f>IF(AND(DD$5&gt;$E33,DD$5&lt;=$F33),IF(DD$5=$E33+1,$C33,""),"")</f>
        <v/>
      </c>
      <c r="DE33" s="34">
        <f>IF(AND(DE$5&gt;$E33,DE$5&lt;=$F33),IF(DE$5=$E33+1,$C33,""),"")</f>
        <v/>
      </c>
      <c r="DF33" s="34">
        <f>IF(AND(DF$5&gt;$E33,DF$5&lt;=$F33),IF(DF$5=$E33+1,$C33,""),"")</f>
        <v/>
      </c>
      <c r="DG33" s="34">
        <f>IF(AND(DG$5&gt;$E33,DG$5&lt;=$F33),IF(DG$5=$E33+1,$C33,""),"")</f>
        <v/>
      </c>
      <c r="DH33" s="34">
        <f>IF(AND(DH$5&gt;$E33,DH$5&lt;=$F33),IF(DH$5=$E33+1,$C33,""),"")</f>
        <v/>
      </c>
      <c r="DI33" s="34">
        <f>IF(AND(DI$5&gt;$E33,DI$5&lt;=$F33),IF(DI$5=$E33+1,$C33,""),"")</f>
        <v/>
      </c>
      <c r="DJ33" s="34">
        <f>IF(AND(DJ$5&gt;$E33,DJ$5&lt;=$F33),IF(DJ$5=$E33+1,$C33,""),"")</f>
        <v/>
      </c>
      <c r="DK33" s="34">
        <f>IF(AND(DK$5&gt;$E33,DK$5&lt;=$F33),IF(DK$5=$E33+1,$C33,""),"")</f>
        <v/>
      </c>
      <c r="DL33" s="34">
        <f>IF(AND(DL$5&gt;$E33,DL$5&lt;=$F33),IF(DL$5=$E33+1,$C33,""),"")</f>
        <v/>
      </c>
      <c r="DM33" s="34">
        <f>IF(AND(DM$5&gt;$E33,DM$5&lt;=$F33),IF(DM$5=$E33+1,$C33,""),"")</f>
        <v/>
      </c>
      <c r="DN33" s="34">
        <f>IF(AND(DN$5&gt;$E33,DN$5&lt;=$F33),IF(DN$5=$E33+1,$C33,""),"")</f>
        <v/>
      </c>
      <c r="DO33" s="34">
        <f>IF(AND(DO$5&gt;$E33,DO$5&lt;=$F33),IF(DO$5=$E33+1,$C33,""),"")</f>
        <v/>
      </c>
      <c r="DP33" s="34">
        <f>IF(AND(DP$5&gt;$E33,DP$5&lt;=$F33),IF(DP$5=$E33+1,$C33,""),"")</f>
        <v/>
      </c>
      <c r="DQ33" s="34">
        <f>IF(AND(DQ$5&gt;$E33,DQ$5&lt;=$F33),IF(DQ$5=$E33+1,$C33,""),"")</f>
        <v/>
      </c>
      <c r="DR33" s="34">
        <f>IF(AND(DR$5&gt;$E33,DR$5&lt;=$F33),IF(DR$5=$E33+1,$C33,""),"")</f>
        <v/>
      </c>
      <c r="DS33" s="34">
        <f>IF(AND(DS$5&gt;$E33,DS$5&lt;=$F33),IF(DS$5=$E33+1,$C33,""),"")</f>
        <v/>
      </c>
      <c r="DT33" s="34">
        <f>IF(AND(DT$5&gt;$E33,DT$5&lt;=$F33),IF(DT$5=$E33+1,$C33,""),"")</f>
        <v/>
      </c>
      <c r="DU33" s="34">
        <f>IF(AND(DU$5&gt;$E33,DU$5&lt;=$F33),IF(DU$5=$E33+1,$C33,""),"")</f>
        <v/>
      </c>
      <c r="DV33" s="34">
        <f>IF(AND(DV$5&gt;$E33,DV$5&lt;=$F33),IF(DV$5=$E33+1,$C33,""),"")</f>
        <v/>
      </c>
      <c r="DW33" s="34">
        <f>IF(AND(DW$5&gt;$E33,DW$5&lt;=$F33),IF(DW$5=$E33+1,$C33,""),"")</f>
        <v/>
      </c>
      <c r="DX33" s="34">
        <f>IF(AND(DX$5&gt;$E33,DX$5&lt;=$F33),IF(DX$5=$E33+1,$C33,""),"")</f>
        <v/>
      </c>
      <c r="DY33" s="34">
        <f>IF(AND(DY$5&gt;$E33,DY$5&lt;=$F33),IF(DY$5=$E33+1,$C33,""),"")</f>
        <v/>
      </c>
      <c r="DZ33" s="34">
        <f>IF(AND(DZ$5&gt;$E33,DZ$5&lt;=$F33),IF(DZ$5=$E33+1,$C33,""),"")</f>
        <v/>
      </c>
      <c r="EA33" s="34">
        <f>IF(AND(EA$5&gt;$E33,EA$5&lt;=$F33),IF(EA$5=$E33+1,$C33,""),"")</f>
        <v/>
      </c>
      <c r="EB33" s="34">
        <f>IF(AND(EB$5&gt;$E33,EB$5&lt;=$F33),IF(EB$5=$E33+1,$C33,""),"")</f>
        <v/>
      </c>
      <c r="EC33" s="34">
        <f>IF(AND(EC$5&gt;$E33,EC$5&lt;=$F33),IF(EC$5=$E33+1,$C33,""),"")</f>
        <v/>
      </c>
      <c r="ED33" s="34">
        <f>IF(AND(ED$5&gt;$E33,ED$5&lt;=$F33),IF(ED$5=$E33+1,$C33,""),"")</f>
        <v/>
      </c>
      <c r="EE33" s="34">
        <f>IF(AND(EE$5&gt;$E33,EE$5&lt;=$F33),IF(EE$5=$E33+1,$C33,""),"")</f>
        <v/>
      </c>
      <c r="EF33" s="34">
        <f>IF(AND(EF$5&gt;$E33,EF$5&lt;=$F33),IF(EF$5=$E33+1,$C33,""),"")</f>
        <v/>
      </c>
      <c r="EG33" s="34">
        <f>IF(AND(EG$5&gt;$E33,EG$5&lt;=$F33),IF(EG$5=$E33+1,$C33,""),"")</f>
        <v/>
      </c>
      <c r="EH33" s="34">
        <f>IF(AND(EH$5&gt;$E33,EH$5&lt;=$F33),IF(EH$5=$E33+1,$C33,""),"")</f>
        <v/>
      </c>
      <c r="EI33" s="34">
        <f>IF(AND(EI$5&gt;$E33,EI$5&lt;=$F33),IF(EI$5=$E33+1,$C33,""),"")</f>
        <v/>
      </c>
      <c r="EJ33" s="34">
        <f>IF(AND(EJ$5&gt;$E33,EJ$5&lt;=$F33),IF(EJ$5=$E33+1,$C33,""),"")</f>
        <v/>
      </c>
      <c r="EK33" s="34">
        <f>IF(AND(EK$5&gt;$E33,EK$5&lt;=$F33),IF(EK$5=$E33+1,$C33,""),"")</f>
        <v/>
      </c>
      <c r="EL33" s="34">
        <f>IF(AND(EL$5&gt;$E33,EL$5&lt;=$F33),IF(EL$5=$E33+1,$C33,""),"")</f>
        <v/>
      </c>
      <c r="EM33" s="34">
        <f>IF(AND(EM$5&gt;$E33,EM$5&lt;=$F33),IF(EM$5=$E33+1,$C33,""),"")</f>
        <v/>
      </c>
      <c r="EN33" s="34">
        <f>IF(AND(EN$5&gt;$E33,EN$5&lt;=$F33),IF(EN$5=$E33+1,$C33,""),"")</f>
        <v/>
      </c>
      <c r="EO33" s="34">
        <f>IF(AND(EO$5&gt;$E33,EO$5&lt;=$F33),IF(EO$5=$E33+1,$C33,""),"")</f>
        <v/>
      </c>
      <c r="EP33" s="34">
        <f>IF(AND(EP$5&gt;$E33,EP$5&lt;=$F33),IF(EP$5=$E33+1,$C33,""),"")</f>
        <v/>
      </c>
      <c r="EQ33" s="34">
        <f>IF(AND(EQ$5&gt;$E33,EQ$5&lt;=$F33),IF(EQ$5=$E33+1,$C33,""),"")</f>
        <v/>
      </c>
      <c r="ER33" s="34">
        <f>IF(AND(ER$5&gt;$E33,ER$5&lt;=$F33),IF(ER$5=$E33+1,$C33,""),"")</f>
        <v/>
      </c>
      <c r="ES33" s="34">
        <f>IF(AND(ES$5&gt;$E33,ES$5&lt;=$F33),IF(ES$5=$E33+1,$C33,""),"")</f>
        <v/>
      </c>
      <c r="ET33" s="34">
        <f>IF(AND(ET$5&gt;$E33,ET$5&lt;=$F33),IF(ET$5=$E33+1,$C33,""),"")</f>
        <v/>
      </c>
      <c r="EU33" s="34">
        <f>IF(AND(EU$5&gt;$E33,EU$5&lt;=$F33),IF(EU$5=$E33+1,$C33,""),"")</f>
        <v/>
      </c>
      <c r="EV33" s="34">
        <f>IF(AND(EV$5&gt;$E33,EV$5&lt;=$F33),IF(EV$5=$E33+1,$C33,""),"")</f>
        <v/>
      </c>
      <c r="EW33" s="34">
        <f>IF(AND(EW$5&gt;$E33,EW$5&lt;=$F33),IF(EW$5=$E33+1,$C33,""),"")</f>
        <v/>
      </c>
      <c r="EX33" s="34">
        <f>IF(AND(EX$5&gt;$E33,EX$5&lt;=$F33),IF(EX$5=$E33+1,$C33,""),"")</f>
        <v/>
      </c>
      <c r="EY33" s="34">
        <f>IF(AND(EY$5&gt;$E33,EY$5&lt;=$F33),IF(EY$5=$E33+1,$C33,""),"")</f>
        <v/>
      </c>
      <c r="EZ33" s="34">
        <f>IF(AND(EZ$5&gt;$E33,EZ$5&lt;=$F33),IF(EZ$5=$E33+1,$C33,""),"")</f>
        <v/>
      </c>
      <c r="FA33" s="34">
        <f>IF(AND(FA$5&gt;$E33,FA$5&lt;=$F33),IF(FA$5=$E33+1,$C33,""),"")</f>
        <v/>
      </c>
    </row>
    <row r="34">
      <c r="A34" s="32">
        <f>Plan!A119</f>
        <v/>
      </c>
      <c r="B34" s="33">
        <f>Plan!C119</f>
        <v/>
      </c>
      <c r="C34" s="16">
        <f>Plan!D119</f>
        <v/>
      </c>
      <c r="D34" s="16">
        <f>Plan!I119</f>
        <v/>
      </c>
      <c r="E34" s="16">
        <f>Plan!K119</f>
        <v/>
      </c>
      <c r="F34" s="16">
        <f>Plan!L119</f>
        <v/>
      </c>
      <c r="G34" s="16">
        <f>Plan!O119</f>
        <v/>
      </c>
      <c r="H34" s="34">
        <f>IF(AND(H$5&gt;$E34,H$5&lt;=$F34),IF(H$5=$E34+1,$C34,""),"")</f>
        <v/>
      </c>
      <c r="I34" s="34">
        <f>IF(AND(I$5&gt;$E34,I$5&lt;=$F34),IF(I$5=$E34+1,$C34,""),"")</f>
        <v/>
      </c>
      <c r="J34" s="34">
        <f>IF(AND(J$5&gt;$E34,J$5&lt;=$F34),IF(J$5=$E34+1,$C34,""),"")</f>
        <v/>
      </c>
      <c r="K34" s="34">
        <f>IF(AND(K$5&gt;$E34,K$5&lt;=$F34),IF(K$5=$E34+1,$C34,""),"")</f>
        <v/>
      </c>
      <c r="L34" s="34">
        <f>IF(AND(L$5&gt;$E34,L$5&lt;=$F34),IF(L$5=$E34+1,$C34,""),"")</f>
        <v/>
      </c>
      <c r="M34" s="34">
        <f>IF(AND(M$5&gt;$E34,M$5&lt;=$F34),IF(M$5=$E34+1,$C34,""),"")</f>
        <v/>
      </c>
      <c r="N34" s="34">
        <f>IF(AND(N$5&gt;$E34,N$5&lt;=$F34),IF(N$5=$E34+1,$C34,""),"")</f>
        <v/>
      </c>
      <c r="O34" s="34">
        <f>IF(AND(O$5&gt;$E34,O$5&lt;=$F34),IF(O$5=$E34+1,$C34,""),"")</f>
        <v/>
      </c>
      <c r="P34" s="34">
        <f>IF(AND(P$5&gt;$E34,P$5&lt;=$F34),IF(P$5=$E34+1,$C34,""),"")</f>
        <v/>
      </c>
      <c r="Q34" s="34">
        <f>IF(AND(Q$5&gt;$E34,Q$5&lt;=$F34),IF(Q$5=$E34+1,$C34,""),"")</f>
        <v/>
      </c>
      <c r="R34" s="34">
        <f>IF(AND(R$5&gt;$E34,R$5&lt;=$F34),IF(R$5=$E34+1,$C34,""),"")</f>
        <v/>
      </c>
      <c r="S34" s="34">
        <f>IF(AND(S$5&gt;$E34,S$5&lt;=$F34),IF(S$5=$E34+1,$C34,""),"")</f>
        <v/>
      </c>
      <c r="T34" s="34">
        <f>IF(AND(T$5&gt;$E34,T$5&lt;=$F34),IF(T$5=$E34+1,$C34,""),"")</f>
        <v/>
      </c>
      <c r="U34" s="34">
        <f>IF(AND(U$5&gt;$E34,U$5&lt;=$F34),IF(U$5=$E34+1,$C34,""),"")</f>
        <v/>
      </c>
      <c r="V34" s="34">
        <f>IF(AND(V$5&gt;$E34,V$5&lt;=$F34),IF(V$5=$E34+1,$C34,""),"")</f>
        <v/>
      </c>
      <c r="W34" s="34">
        <f>IF(AND(W$5&gt;$E34,W$5&lt;=$F34),IF(W$5=$E34+1,$C34,""),"")</f>
        <v/>
      </c>
      <c r="X34" s="34">
        <f>IF(AND(X$5&gt;$E34,X$5&lt;=$F34),IF(X$5=$E34+1,$C34,""),"")</f>
        <v/>
      </c>
      <c r="Y34" s="34">
        <f>IF(AND(Y$5&gt;$E34,Y$5&lt;=$F34),IF(Y$5=$E34+1,$C34,""),"")</f>
        <v/>
      </c>
      <c r="Z34" s="34">
        <f>IF(AND(Z$5&gt;$E34,Z$5&lt;=$F34),IF(Z$5=$E34+1,$C34,""),"")</f>
        <v/>
      </c>
      <c r="AA34" s="34">
        <f>IF(AND(AA$5&gt;$E34,AA$5&lt;=$F34),IF(AA$5=$E34+1,$C34,""),"")</f>
        <v/>
      </c>
      <c r="AB34" s="34">
        <f>IF(AND(AB$5&gt;$E34,AB$5&lt;=$F34),IF(AB$5=$E34+1,$C34,""),"")</f>
        <v/>
      </c>
      <c r="AC34" s="34">
        <f>IF(AND(AC$5&gt;$E34,AC$5&lt;=$F34),IF(AC$5=$E34+1,$C34,""),"")</f>
        <v/>
      </c>
      <c r="AD34" s="34">
        <f>IF(AND(AD$5&gt;$E34,AD$5&lt;=$F34),IF(AD$5=$E34+1,$C34,""),"")</f>
        <v/>
      </c>
      <c r="AE34" s="34">
        <f>IF(AND(AE$5&gt;$E34,AE$5&lt;=$F34),IF(AE$5=$E34+1,$C34,""),"")</f>
        <v/>
      </c>
      <c r="AF34" s="34">
        <f>IF(AND(AF$5&gt;$E34,AF$5&lt;=$F34),IF(AF$5=$E34+1,$C34,""),"")</f>
        <v/>
      </c>
      <c r="AG34" s="34">
        <f>IF(AND(AG$5&gt;$E34,AG$5&lt;=$F34),IF(AG$5=$E34+1,$C34,""),"")</f>
        <v/>
      </c>
      <c r="AH34" s="34">
        <f>IF(AND(AH$5&gt;$E34,AH$5&lt;=$F34),IF(AH$5=$E34+1,$C34,""),"")</f>
        <v/>
      </c>
      <c r="AI34" s="34">
        <f>IF(AND(AI$5&gt;$E34,AI$5&lt;=$F34),IF(AI$5=$E34+1,$C34,""),"")</f>
        <v/>
      </c>
      <c r="AJ34" s="34">
        <f>IF(AND(AJ$5&gt;$E34,AJ$5&lt;=$F34),IF(AJ$5=$E34+1,$C34,""),"")</f>
        <v/>
      </c>
      <c r="AK34" s="34">
        <f>IF(AND(AK$5&gt;$E34,AK$5&lt;=$F34),IF(AK$5=$E34+1,$C34,""),"")</f>
        <v/>
      </c>
      <c r="AL34" s="34">
        <f>IF(AND(AL$5&gt;$E34,AL$5&lt;=$F34),IF(AL$5=$E34+1,$C34,""),"")</f>
        <v/>
      </c>
      <c r="AM34" s="34">
        <f>IF(AND(AM$5&gt;$E34,AM$5&lt;=$F34),IF(AM$5=$E34+1,$C34,""),"")</f>
        <v/>
      </c>
      <c r="AN34" s="34">
        <f>IF(AND(AN$5&gt;$E34,AN$5&lt;=$F34),IF(AN$5=$E34+1,$C34,""),"")</f>
        <v/>
      </c>
      <c r="AO34" s="34">
        <f>IF(AND(AO$5&gt;$E34,AO$5&lt;=$F34),IF(AO$5=$E34+1,$C34,""),"")</f>
        <v/>
      </c>
      <c r="AP34" s="34">
        <f>IF(AND(AP$5&gt;$E34,AP$5&lt;=$F34),IF(AP$5=$E34+1,$C34,""),"")</f>
        <v/>
      </c>
      <c r="AQ34" s="34">
        <f>IF(AND(AQ$5&gt;$E34,AQ$5&lt;=$F34),IF(AQ$5=$E34+1,$C34,""),"")</f>
        <v/>
      </c>
      <c r="AR34" s="34">
        <f>IF(AND(AR$5&gt;$E34,AR$5&lt;=$F34),IF(AR$5=$E34+1,$C34,""),"")</f>
        <v/>
      </c>
      <c r="AS34" s="34">
        <f>IF(AND(AS$5&gt;$E34,AS$5&lt;=$F34),IF(AS$5=$E34+1,$C34,""),"")</f>
        <v/>
      </c>
      <c r="AT34" s="34">
        <f>IF(AND(AT$5&gt;$E34,AT$5&lt;=$F34),IF(AT$5=$E34+1,$C34,""),"")</f>
        <v/>
      </c>
      <c r="AU34" s="34">
        <f>IF(AND(AU$5&gt;$E34,AU$5&lt;=$F34),IF(AU$5=$E34+1,$C34,""),"")</f>
        <v/>
      </c>
      <c r="AV34" s="34">
        <f>IF(AND(AV$5&gt;$E34,AV$5&lt;=$F34),IF(AV$5=$E34+1,$C34,""),"")</f>
        <v/>
      </c>
      <c r="AW34" s="34">
        <f>IF(AND(AW$5&gt;$E34,AW$5&lt;=$F34),IF(AW$5=$E34+1,$C34,""),"")</f>
        <v/>
      </c>
      <c r="AX34" s="34">
        <f>IF(AND(AX$5&gt;$E34,AX$5&lt;=$F34),IF(AX$5=$E34+1,$C34,""),"")</f>
        <v/>
      </c>
      <c r="AY34" s="34">
        <f>IF(AND(AY$5&gt;$E34,AY$5&lt;=$F34),IF(AY$5=$E34+1,$C34,""),"")</f>
        <v/>
      </c>
      <c r="AZ34" s="34">
        <f>IF(AND(AZ$5&gt;$E34,AZ$5&lt;=$F34),IF(AZ$5=$E34+1,$C34,""),"")</f>
        <v/>
      </c>
      <c r="BA34" s="34">
        <f>IF(AND(BA$5&gt;$E34,BA$5&lt;=$F34),IF(BA$5=$E34+1,$C34,""),"")</f>
        <v/>
      </c>
      <c r="BB34" s="34">
        <f>IF(AND(BB$5&gt;$E34,BB$5&lt;=$F34),IF(BB$5=$E34+1,$C34,""),"")</f>
        <v/>
      </c>
      <c r="BC34" s="34">
        <f>IF(AND(BC$5&gt;$E34,BC$5&lt;=$F34),IF(BC$5=$E34+1,$C34,""),"")</f>
        <v/>
      </c>
      <c r="BD34" s="34">
        <f>IF(AND(BD$5&gt;$E34,BD$5&lt;=$F34),IF(BD$5=$E34+1,$C34,""),"")</f>
        <v/>
      </c>
      <c r="BE34" s="34">
        <f>IF(AND(BE$5&gt;$E34,BE$5&lt;=$F34),IF(BE$5=$E34+1,$C34,""),"")</f>
        <v/>
      </c>
      <c r="BF34" s="34">
        <f>IF(AND(BF$5&gt;$E34,BF$5&lt;=$F34),IF(BF$5=$E34+1,$C34,""),"")</f>
        <v/>
      </c>
      <c r="BG34" s="34">
        <f>IF(AND(BG$5&gt;$E34,BG$5&lt;=$F34),IF(BG$5=$E34+1,$C34,""),"")</f>
        <v/>
      </c>
      <c r="BH34" s="34">
        <f>IF(AND(BH$5&gt;$E34,BH$5&lt;=$F34),IF(BH$5=$E34+1,$C34,""),"")</f>
        <v/>
      </c>
      <c r="BI34" s="34">
        <f>IF(AND(BI$5&gt;$E34,BI$5&lt;=$F34),IF(BI$5=$E34+1,$C34,""),"")</f>
        <v/>
      </c>
      <c r="BJ34" s="34">
        <f>IF(AND(BJ$5&gt;$E34,BJ$5&lt;=$F34),IF(BJ$5=$E34+1,$C34,""),"")</f>
        <v/>
      </c>
      <c r="BK34" s="34">
        <f>IF(AND(BK$5&gt;$E34,BK$5&lt;=$F34),IF(BK$5=$E34+1,$C34,""),"")</f>
        <v/>
      </c>
      <c r="BL34" s="34">
        <f>IF(AND(BL$5&gt;$E34,BL$5&lt;=$F34),IF(BL$5=$E34+1,$C34,""),"")</f>
        <v/>
      </c>
      <c r="BM34" s="34">
        <f>IF(AND(BM$5&gt;$E34,BM$5&lt;=$F34),IF(BM$5=$E34+1,$C34,""),"")</f>
        <v/>
      </c>
      <c r="BN34" s="34">
        <f>IF(AND(BN$5&gt;$E34,BN$5&lt;=$F34),IF(BN$5=$E34+1,$C34,""),"")</f>
        <v/>
      </c>
      <c r="BO34" s="34">
        <f>IF(AND(BO$5&gt;$E34,BO$5&lt;=$F34),IF(BO$5=$E34+1,$C34,""),"")</f>
        <v/>
      </c>
      <c r="BP34" s="34">
        <f>IF(AND(BP$5&gt;$E34,BP$5&lt;=$F34),IF(BP$5=$E34+1,$C34,""),"")</f>
        <v/>
      </c>
      <c r="BQ34" s="34">
        <f>IF(AND(BQ$5&gt;$E34,BQ$5&lt;=$F34),IF(BQ$5=$E34+1,$C34,""),"")</f>
        <v/>
      </c>
      <c r="BR34" s="34">
        <f>IF(AND(BR$5&gt;$E34,BR$5&lt;=$F34),IF(BR$5=$E34+1,$C34,""),"")</f>
        <v/>
      </c>
      <c r="BS34" s="34">
        <f>IF(AND(BS$5&gt;$E34,BS$5&lt;=$F34),IF(BS$5=$E34+1,$C34,""),"")</f>
        <v/>
      </c>
      <c r="BT34" s="34">
        <f>IF(AND(BT$5&gt;$E34,BT$5&lt;=$F34),IF(BT$5=$E34+1,$C34,""),"")</f>
        <v/>
      </c>
      <c r="BU34" s="34">
        <f>IF(AND(BU$5&gt;$E34,BU$5&lt;=$F34),IF(BU$5=$E34+1,$C34,""),"")</f>
        <v/>
      </c>
      <c r="BV34" s="34">
        <f>IF(AND(BV$5&gt;$E34,BV$5&lt;=$F34),IF(BV$5=$E34+1,$C34,""),"")</f>
        <v/>
      </c>
      <c r="BW34" s="34">
        <f>IF(AND(BW$5&gt;$E34,BW$5&lt;=$F34),IF(BW$5=$E34+1,$C34,""),"")</f>
        <v/>
      </c>
      <c r="BX34" s="34">
        <f>IF(AND(BX$5&gt;$E34,BX$5&lt;=$F34),IF(BX$5=$E34+1,$C34,""),"")</f>
        <v/>
      </c>
      <c r="BY34" s="34">
        <f>IF(AND(BY$5&gt;$E34,BY$5&lt;=$F34),IF(BY$5=$E34+1,$C34,""),"")</f>
        <v/>
      </c>
      <c r="BZ34" s="34">
        <f>IF(AND(BZ$5&gt;$E34,BZ$5&lt;=$F34),IF(BZ$5=$E34+1,$C34,""),"")</f>
        <v/>
      </c>
      <c r="CA34" s="34">
        <f>IF(AND(CA$5&gt;$E34,CA$5&lt;=$F34),IF(CA$5=$E34+1,$C34,""),"")</f>
        <v/>
      </c>
      <c r="CB34" s="34">
        <f>IF(AND(CB$5&gt;$E34,CB$5&lt;=$F34),IF(CB$5=$E34+1,$C34,""),"")</f>
        <v/>
      </c>
      <c r="CC34" s="34">
        <f>IF(AND(CC$5&gt;$E34,CC$5&lt;=$F34),IF(CC$5=$E34+1,$C34,""),"")</f>
        <v/>
      </c>
      <c r="CD34" s="34">
        <f>IF(AND(CD$5&gt;$E34,CD$5&lt;=$F34),IF(CD$5=$E34+1,$C34,""),"")</f>
        <v/>
      </c>
      <c r="CE34" s="34">
        <f>IF(AND(CE$5&gt;$E34,CE$5&lt;=$F34),IF(CE$5=$E34+1,$C34,""),"")</f>
        <v/>
      </c>
      <c r="CF34" s="34">
        <f>IF(AND(CF$5&gt;$E34,CF$5&lt;=$F34),IF(CF$5=$E34+1,$C34,""),"")</f>
        <v/>
      </c>
      <c r="CG34" s="34">
        <f>IF(AND(CG$5&gt;$E34,CG$5&lt;=$F34),IF(CG$5=$E34+1,$C34,""),"")</f>
        <v/>
      </c>
      <c r="CH34" s="34">
        <f>IF(AND(CH$5&gt;$E34,CH$5&lt;=$F34),IF(CH$5=$E34+1,$C34,""),"")</f>
        <v/>
      </c>
      <c r="CI34" s="34">
        <f>IF(AND(CI$5&gt;$E34,CI$5&lt;=$F34),IF(CI$5=$E34+1,$C34,""),"")</f>
        <v/>
      </c>
      <c r="CJ34" s="34">
        <f>IF(AND(CJ$5&gt;$E34,CJ$5&lt;=$F34),IF(CJ$5=$E34+1,$C34,""),"")</f>
        <v/>
      </c>
      <c r="CK34" s="34">
        <f>IF(AND(CK$5&gt;$E34,CK$5&lt;=$F34),IF(CK$5=$E34+1,$C34,""),"")</f>
        <v/>
      </c>
      <c r="CL34" s="34">
        <f>IF(AND(CL$5&gt;$E34,CL$5&lt;=$F34),IF(CL$5=$E34+1,$C34,""),"")</f>
        <v/>
      </c>
      <c r="CM34" s="34">
        <f>IF(AND(CM$5&gt;$E34,CM$5&lt;=$F34),IF(CM$5=$E34+1,$C34,""),"")</f>
        <v/>
      </c>
      <c r="CN34" s="34">
        <f>IF(AND(CN$5&gt;$E34,CN$5&lt;=$F34),IF(CN$5=$E34+1,$C34,""),"")</f>
        <v/>
      </c>
      <c r="CO34" s="34">
        <f>IF(AND(CO$5&gt;$E34,CO$5&lt;=$F34),IF(CO$5=$E34+1,$C34,""),"")</f>
        <v/>
      </c>
      <c r="CP34" s="34">
        <f>IF(AND(CP$5&gt;$E34,CP$5&lt;=$F34),IF(CP$5=$E34+1,$C34,""),"")</f>
        <v/>
      </c>
      <c r="CQ34" s="34">
        <f>IF(AND(CQ$5&gt;$E34,CQ$5&lt;=$F34),IF(CQ$5=$E34+1,$C34,""),"")</f>
        <v/>
      </c>
      <c r="CR34" s="34">
        <f>IF(AND(CR$5&gt;$E34,CR$5&lt;=$F34),IF(CR$5=$E34+1,$C34,""),"")</f>
        <v/>
      </c>
      <c r="CS34" s="34">
        <f>IF(AND(CS$5&gt;$E34,CS$5&lt;=$F34),IF(CS$5=$E34+1,$C34,""),"")</f>
        <v/>
      </c>
      <c r="CT34" s="34">
        <f>IF(AND(CT$5&gt;$E34,CT$5&lt;=$F34),IF(CT$5=$E34+1,$C34,""),"")</f>
        <v/>
      </c>
      <c r="CU34" s="34">
        <f>IF(AND(CU$5&gt;$E34,CU$5&lt;=$F34),IF(CU$5=$E34+1,$C34,""),"")</f>
        <v/>
      </c>
      <c r="CV34" s="34">
        <f>IF(AND(CV$5&gt;$E34,CV$5&lt;=$F34),IF(CV$5=$E34+1,$C34,""),"")</f>
        <v/>
      </c>
      <c r="CW34" s="34">
        <f>IF(AND(CW$5&gt;$E34,CW$5&lt;=$F34),IF(CW$5=$E34+1,$C34,""),"")</f>
        <v/>
      </c>
      <c r="CX34" s="34">
        <f>IF(AND(CX$5&gt;$E34,CX$5&lt;=$F34),IF(CX$5=$E34+1,$C34,""),"")</f>
        <v/>
      </c>
      <c r="CY34" s="34">
        <f>IF(AND(CY$5&gt;$E34,CY$5&lt;=$F34),IF(CY$5=$E34+1,$C34,""),"")</f>
        <v/>
      </c>
      <c r="CZ34" s="34">
        <f>IF(AND(CZ$5&gt;$E34,CZ$5&lt;=$F34),IF(CZ$5=$E34+1,$C34,""),"")</f>
        <v/>
      </c>
      <c r="DA34" s="34">
        <f>IF(AND(DA$5&gt;$E34,DA$5&lt;=$F34),IF(DA$5=$E34+1,$C34,""),"")</f>
        <v/>
      </c>
      <c r="DB34" s="34">
        <f>IF(AND(DB$5&gt;$E34,DB$5&lt;=$F34),IF(DB$5=$E34+1,$C34,""),"")</f>
        <v/>
      </c>
      <c r="DC34" s="34">
        <f>IF(AND(DC$5&gt;$E34,DC$5&lt;=$F34),IF(DC$5=$E34+1,$C34,""),"")</f>
        <v/>
      </c>
      <c r="DD34" s="34">
        <f>IF(AND(DD$5&gt;$E34,DD$5&lt;=$F34),IF(DD$5=$E34+1,$C34,""),"")</f>
        <v/>
      </c>
      <c r="DE34" s="34">
        <f>IF(AND(DE$5&gt;$E34,DE$5&lt;=$F34),IF(DE$5=$E34+1,$C34,""),"")</f>
        <v/>
      </c>
      <c r="DF34" s="34">
        <f>IF(AND(DF$5&gt;$E34,DF$5&lt;=$F34),IF(DF$5=$E34+1,$C34,""),"")</f>
        <v/>
      </c>
      <c r="DG34" s="34">
        <f>IF(AND(DG$5&gt;$E34,DG$5&lt;=$F34),IF(DG$5=$E34+1,$C34,""),"")</f>
        <v/>
      </c>
      <c r="DH34" s="34">
        <f>IF(AND(DH$5&gt;$E34,DH$5&lt;=$F34),IF(DH$5=$E34+1,$C34,""),"")</f>
        <v/>
      </c>
      <c r="DI34" s="34">
        <f>IF(AND(DI$5&gt;$E34,DI$5&lt;=$F34),IF(DI$5=$E34+1,$C34,""),"")</f>
        <v/>
      </c>
      <c r="DJ34" s="34">
        <f>IF(AND(DJ$5&gt;$E34,DJ$5&lt;=$F34),IF(DJ$5=$E34+1,$C34,""),"")</f>
        <v/>
      </c>
      <c r="DK34" s="34">
        <f>IF(AND(DK$5&gt;$E34,DK$5&lt;=$F34),IF(DK$5=$E34+1,$C34,""),"")</f>
        <v/>
      </c>
      <c r="DL34" s="34">
        <f>IF(AND(DL$5&gt;$E34,DL$5&lt;=$F34),IF(DL$5=$E34+1,$C34,""),"")</f>
        <v/>
      </c>
      <c r="DM34" s="34">
        <f>IF(AND(DM$5&gt;$E34,DM$5&lt;=$F34),IF(DM$5=$E34+1,$C34,""),"")</f>
        <v/>
      </c>
      <c r="DN34" s="34">
        <f>IF(AND(DN$5&gt;$E34,DN$5&lt;=$F34),IF(DN$5=$E34+1,$C34,""),"")</f>
        <v/>
      </c>
      <c r="DO34" s="34">
        <f>IF(AND(DO$5&gt;$E34,DO$5&lt;=$F34),IF(DO$5=$E34+1,$C34,""),"")</f>
        <v/>
      </c>
      <c r="DP34" s="34">
        <f>IF(AND(DP$5&gt;$E34,DP$5&lt;=$F34),IF(DP$5=$E34+1,$C34,""),"")</f>
        <v/>
      </c>
      <c r="DQ34" s="34">
        <f>IF(AND(DQ$5&gt;$E34,DQ$5&lt;=$F34),IF(DQ$5=$E34+1,$C34,""),"")</f>
        <v/>
      </c>
      <c r="DR34" s="34">
        <f>IF(AND(DR$5&gt;$E34,DR$5&lt;=$F34),IF(DR$5=$E34+1,$C34,""),"")</f>
        <v/>
      </c>
      <c r="DS34" s="34">
        <f>IF(AND(DS$5&gt;$E34,DS$5&lt;=$F34),IF(DS$5=$E34+1,$C34,""),"")</f>
        <v/>
      </c>
      <c r="DT34" s="34">
        <f>IF(AND(DT$5&gt;$E34,DT$5&lt;=$F34),IF(DT$5=$E34+1,$C34,""),"")</f>
        <v/>
      </c>
      <c r="DU34" s="34">
        <f>IF(AND(DU$5&gt;$E34,DU$5&lt;=$F34),IF(DU$5=$E34+1,$C34,""),"")</f>
        <v/>
      </c>
      <c r="DV34" s="34">
        <f>IF(AND(DV$5&gt;$E34,DV$5&lt;=$F34),IF(DV$5=$E34+1,$C34,""),"")</f>
        <v/>
      </c>
      <c r="DW34" s="34">
        <f>IF(AND(DW$5&gt;$E34,DW$5&lt;=$F34),IF(DW$5=$E34+1,$C34,""),"")</f>
        <v/>
      </c>
      <c r="DX34" s="34">
        <f>IF(AND(DX$5&gt;$E34,DX$5&lt;=$F34),IF(DX$5=$E34+1,$C34,""),"")</f>
        <v/>
      </c>
      <c r="DY34" s="34">
        <f>IF(AND(DY$5&gt;$E34,DY$5&lt;=$F34),IF(DY$5=$E34+1,$C34,""),"")</f>
        <v/>
      </c>
      <c r="DZ34" s="34">
        <f>IF(AND(DZ$5&gt;$E34,DZ$5&lt;=$F34),IF(DZ$5=$E34+1,$C34,""),"")</f>
        <v/>
      </c>
      <c r="EA34" s="34">
        <f>IF(AND(EA$5&gt;$E34,EA$5&lt;=$F34),IF(EA$5=$E34+1,$C34,""),"")</f>
        <v/>
      </c>
      <c r="EB34" s="34">
        <f>IF(AND(EB$5&gt;$E34,EB$5&lt;=$F34),IF(EB$5=$E34+1,$C34,""),"")</f>
        <v/>
      </c>
      <c r="EC34" s="34">
        <f>IF(AND(EC$5&gt;$E34,EC$5&lt;=$F34),IF(EC$5=$E34+1,$C34,""),"")</f>
        <v/>
      </c>
      <c r="ED34" s="34">
        <f>IF(AND(ED$5&gt;$E34,ED$5&lt;=$F34),IF(ED$5=$E34+1,$C34,""),"")</f>
        <v/>
      </c>
      <c r="EE34" s="34">
        <f>IF(AND(EE$5&gt;$E34,EE$5&lt;=$F34),IF(EE$5=$E34+1,$C34,""),"")</f>
        <v/>
      </c>
      <c r="EF34" s="34">
        <f>IF(AND(EF$5&gt;$E34,EF$5&lt;=$F34),IF(EF$5=$E34+1,$C34,""),"")</f>
        <v/>
      </c>
      <c r="EG34" s="34">
        <f>IF(AND(EG$5&gt;$E34,EG$5&lt;=$F34),IF(EG$5=$E34+1,$C34,""),"")</f>
        <v/>
      </c>
      <c r="EH34" s="34">
        <f>IF(AND(EH$5&gt;$E34,EH$5&lt;=$F34),IF(EH$5=$E34+1,$C34,""),"")</f>
        <v/>
      </c>
      <c r="EI34" s="34">
        <f>IF(AND(EI$5&gt;$E34,EI$5&lt;=$F34),IF(EI$5=$E34+1,$C34,""),"")</f>
        <v/>
      </c>
      <c r="EJ34" s="34">
        <f>IF(AND(EJ$5&gt;$E34,EJ$5&lt;=$F34),IF(EJ$5=$E34+1,$C34,""),"")</f>
        <v/>
      </c>
      <c r="EK34" s="34">
        <f>IF(AND(EK$5&gt;$E34,EK$5&lt;=$F34),IF(EK$5=$E34+1,$C34,""),"")</f>
        <v/>
      </c>
      <c r="EL34" s="34">
        <f>IF(AND(EL$5&gt;$E34,EL$5&lt;=$F34),IF(EL$5=$E34+1,$C34,""),"")</f>
        <v/>
      </c>
      <c r="EM34" s="34">
        <f>IF(AND(EM$5&gt;$E34,EM$5&lt;=$F34),IF(EM$5=$E34+1,$C34,""),"")</f>
        <v/>
      </c>
      <c r="EN34" s="34">
        <f>IF(AND(EN$5&gt;$E34,EN$5&lt;=$F34),IF(EN$5=$E34+1,$C34,""),"")</f>
        <v/>
      </c>
      <c r="EO34" s="34">
        <f>IF(AND(EO$5&gt;$E34,EO$5&lt;=$F34),IF(EO$5=$E34+1,$C34,""),"")</f>
        <v/>
      </c>
      <c r="EP34" s="34">
        <f>IF(AND(EP$5&gt;$E34,EP$5&lt;=$F34),IF(EP$5=$E34+1,$C34,""),"")</f>
        <v/>
      </c>
      <c r="EQ34" s="34">
        <f>IF(AND(EQ$5&gt;$E34,EQ$5&lt;=$F34),IF(EQ$5=$E34+1,$C34,""),"")</f>
        <v/>
      </c>
      <c r="ER34" s="34">
        <f>IF(AND(ER$5&gt;$E34,ER$5&lt;=$F34),IF(ER$5=$E34+1,$C34,""),"")</f>
        <v/>
      </c>
      <c r="ES34" s="34">
        <f>IF(AND(ES$5&gt;$E34,ES$5&lt;=$F34),IF(ES$5=$E34+1,$C34,""),"")</f>
        <v/>
      </c>
      <c r="ET34" s="34">
        <f>IF(AND(ET$5&gt;$E34,ET$5&lt;=$F34),IF(ET$5=$E34+1,$C34,""),"")</f>
        <v/>
      </c>
      <c r="EU34" s="34">
        <f>IF(AND(EU$5&gt;$E34,EU$5&lt;=$F34),IF(EU$5=$E34+1,$C34,""),"")</f>
        <v/>
      </c>
      <c r="EV34" s="34">
        <f>IF(AND(EV$5&gt;$E34,EV$5&lt;=$F34),IF(EV$5=$E34+1,$C34,""),"")</f>
        <v/>
      </c>
      <c r="EW34" s="34">
        <f>IF(AND(EW$5&gt;$E34,EW$5&lt;=$F34),IF(EW$5=$E34+1,$C34,""),"")</f>
        <v/>
      </c>
      <c r="EX34" s="34">
        <f>IF(AND(EX$5&gt;$E34,EX$5&lt;=$F34),IF(EX$5=$E34+1,$C34,""),"")</f>
        <v/>
      </c>
      <c r="EY34" s="34">
        <f>IF(AND(EY$5&gt;$E34,EY$5&lt;=$F34),IF(EY$5=$E34+1,$C34,""),"")</f>
        <v/>
      </c>
      <c r="EZ34" s="34">
        <f>IF(AND(EZ$5&gt;$E34,EZ$5&lt;=$F34),IF(EZ$5=$E34+1,$C34,""),"")</f>
        <v/>
      </c>
      <c r="FA34" s="34">
        <f>IF(AND(FA$5&gt;$E34,FA$5&lt;=$F34),IF(FA$5=$E34+1,$C34,""),"")</f>
        <v/>
      </c>
    </row>
    <row r="35">
      <c r="A35" s="32">
        <f>Plan!A125</f>
        <v/>
      </c>
      <c r="B35" s="33">
        <f>Plan!C125</f>
        <v/>
      </c>
      <c r="C35" s="16">
        <f>Plan!D125</f>
        <v/>
      </c>
      <c r="D35" s="16">
        <f>Plan!I125</f>
        <v/>
      </c>
      <c r="E35" s="16">
        <f>Plan!K125</f>
        <v/>
      </c>
      <c r="F35" s="16">
        <f>Plan!L125</f>
        <v/>
      </c>
      <c r="G35" s="16">
        <f>Plan!O125</f>
        <v/>
      </c>
      <c r="H35" s="34">
        <f>IF(AND(H$5&gt;$E35,H$5&lt;=$F35),IF(H$5=$E35+1,$C35,""),"")</f>
        <v/>
      </c>
      <c r="I35" s="34">
        <f>IF(AND(I$5&gt;$E35,I$5&lt;=$F35),IF(I$5=$E35+1,$C35,""),"")</f>
        <v/>
      </c>
      <c r="J35" s="34">
        <f>IF(AND(J$5&gt;$E35,J$5&lt;=$F35),IF(J$5=$E35+1,$C35,""),"")</f>
        <v/>
      </c>
      <c r="K35" s="34">
        <f>IF(AND(K$5&gt;$E35,K$5&lt;=$F35),IF(K$5=$E35+1,$C35,""),"")</f>
        <v/>
      </c>
      <c r="L35" s="34">
        <f>IF(AND(L$5&gt;$E35,L$5&lt;=$F35),IF(L$5=$E35+1,$C35,""),"")</f>
        <v/>
      </c>
      <c r="M35" s="34">
        <f>IF(AND(M$5&gt;$E35,M$5&lt;=$F35),IF(M$5=$E35+1,$C35,""),"")</f>
        <v/>
      </c>
      <c r="N35" s="34">
        <f>IF(AND(N$5&gt;$E35,N$5&lt;=$F35),IF(N$5=$E35+1,$C35,""),"")</f>
        <v/>
      </c>
      <c r="O35" s="34">
        <f>IF(AND(O$5&gt;$E35,O$5&lt;=$F35),IF(O$5=$E35+1,$C35,""),"")</f>
        <v/>
      </c>
      <c r="P35" s="34">
        <f>IF(AND(P$5&gt;$E35,P$5&lt;=$F35),IF(P$5=$E35+1,$C35,""),"")</f>
        <v/>
      </c>
      <c r="Q35" s="34">
        <f>IF(AND(Q$5&gt;$E35,Q$5&lt;=$F35),IF(Q$5=$E35+1,$C35,""),"")</f>
        <v/>
      </c>
      <c r="R35" s="34">
        <f>IF(AND(R$5&gt;$E35,R$5&lt;=$F35),IF(R$5=$E35+1,$C35,""),"")</f>
        <v/>
      </c>
      <c r="S35" s="34">
        <f>IF(AND(S$5&gt;$E35,S$5&lt;=$F35),IF(S$5=$E35+1,$C35,""),"")</f>
        <v/>
      </c>
      <c r="T35" s="34">
        <f>IF(AND(T$5&gt;$E35,T$5&lt;=$F35),IF(T$5=$E35+1,$C35,""),"")</f>
        <v/>
      </c>
      <c r="U35" s="34">
        <f>IF(AND(U$5&gt;$E35,U$5&lt;=$F35),IF(U$5=$E35+1,$C35,""),"")</f>
        <v/>
      </c>
      <c r="V35" s="34">
        <f>IF(AND(V$5&gt;$E35,V$5&lt;=$F35),IF(V$5=$E35+1,$C35,""),"")</f>
        <v/>
      </c>
      <c r="W35" s="34">
        <f>IF(AND(W$5&gt;$E35,W$5&lt;=$F35),IF(W$5=$E35+1,$C35,""),"")</f>
        <v/>
      </c>
      <c r="X35" s="34">
        <f>IF(AND(X$5&gt;$E35,X$5&lt;=$F35),IF(X$5=$E35+1,$C35,""),"")</f>
        <v/>
      </c>
      <c r="Y35" s="34">
        <f>IF(AND(Y$5&gt;$E35,Y$5&lt;=$F35),IF(Y$5=$E35+1,$C35,""),"")</f>
        <v/>
      </c>
      <c r="Z35" s="34">
        <f>IF(AND(Z$5&gt;$E35,Z$5&lt;=$F35),IF(Z$5=$E35+1,$C35,""),"")</f>
        <v/>
      </c>
      <c r="AA35" s="34">
        <f>IF(AND(AA$5&gt;$E35,AA$5&lt;=$F35),IF(AA$5=$E35+1,$C35,""),"")</f>
        <v/>
      </c>
      <c r="AB35" s="34">
        <f>IF(AND(AB$5&gt;$E35,AB$5&lt;=$F35),IF(AB$5=$E35+1,$C35,""),"")</f>
        <v/>
      </c>
      <c r="AC35" s="34">
        <f>IF(AND(AC$5&gt;$E35,AC$5&lt;=$F35),IF(AC$5=$E35+1,$C35,""),"")</f>
        <v/>
      </c>
      <c r="AD35" s="34">
        <f>IF(AND(AD$5&gt;$E35,AD$5&lt;=$F35),IF(AD$5=$E35+1,$C35,""),"")</f>
        <v/>
      </c>
      <c r="AE35" s="34">
        <f>IF(AND(AE$5&gt;$E35,AE$5&lt;=$F35),IF(AE$5=$E35+1,$C35,""),"")</f>
        <v/>
      </c>
      <c r="AF35" s="34">
        <f>IF(AND(AF$5&gt;$E35,AF$5&lt;=$F35),IF(AF$5=$E35+1,$C35,""),"")</f>
        <v/>
      </c>
      <c r="AG35" s="34">
        <f>IF(AND(AG$5&gt;$E35,AG$5&lt;=$F35),IF(AG$5=$E35+1,$C35,""),"")</f>
        <v/>
      </c>
      <c r="AH35" s="34">
        <f>IF(AND(AH$5&gt;$E35,AH$5&lt;=$F35),IF(AH$5=$E35+1,$C35,""),"")</f>
        <v/>
      </c>
      <c r="AI35" s="34">
        <f>IF(AND(AI$5&gt;$E35,AI$5&lt;=$F35),IF(AI$5=$E35+1,$C35,""),"")</f>
        <v/>
      </c>
      <c r="AJ35" s="34">
        <f>IF(AND(AJ$5&gt;$E35,AJ$5&lt;=$F35),IF(AJ$5=$E35+1,$C35,""),"")</f>
        <v/>
      </c>
      <c r="AK35" s="34">
        <f>IF(AND(AK$5&gt;$E35,AK$5&lt;=$F35),IF(AK$5=$E35+1,$C35,""),"")</f>
        <v/>
      </c>
      <c r="AL35" s="34">
        <f>IF(AND(AL$5&gt;$E35,AL$5&lt;=$F35),IF(AL$5=$E35+1,$C35,""),"")</f>
        <v/>
      </c>
      <c r="AM35" s="34">
        <f>IF(AND(AM$5&gt;$E35,AM$5&lt;=$F35),IF(AM$5=$E35+1,$C35,""),"")</f>
        <v/>
      </c>
      <c r="AN35" s="34">
        <f>IF(AND(AN$5&gt;$E35,AN$5&lt;=$F35),IF(AN$5=$E35+1,$C35,""),"")</f>
        <v/>
      </c>
      <c r="AO35" s="34">
        <f>IF(AND(AO$5&gt;$E35,AO$5&lt;=$F35),IF(AO$5=$E35+1,$C35,""),"")</f>
        <v/>
      </c>
      <c r="AP35" s="34">
        <f>IF(AND(AP$5&gt;$E35,AP$5&lt;=$F35),IF(AP$5=$E35+1,$C35,""),"")</f>
        <v/>
      </c>
      <c r="AQ35" s="34">
        <f>IF(AND(AQ$5&gt;$E35,AQ$5&lt;=$F35),IF(AQ$5=$E35+1,$C35,""),"")</f>
        <v/>
      </c>
      <c r="AR35" s="34">
        <f>IF(AND(AR$5&gt;$E35,AR$5&lt;=$F35),IF(AR$5=$E35+1,$C35,""),"")</f>
        <v/>
      </c>
      <c r="AS35" s="34">
        <f>IF(AND(AS$5&gt;$E35,AS$5&lt;=$F35),IF(AS$5=$E35+1,$C35,""),"")</f>
        <v/>
      </c>
      <c r="AT35" s="34">
        <f>IF(AND(AT$5&gt;$E35,AT$5&lt;=$F35),IF(AT$5=$E35+1,$C35,""),"")</f>
        <v/>
      </c>
      <c r="AU35" s="34">
        <f>IF(AND(AU$5&gt;$E35,AU$5&lt;=$F35),IF(AU$5=$E35+1,$C35,""),"")</f>
        <v/>
      </c>
      <c r="AV35" s="34">
        <f>IF(AND(AV$5&gt;$E35,AV$5&lt;=$F35),IF(AV$5=$E35+1,$C35,""),"")</f>
        <v/>
      </c>
      <c r="AW35" s="34">
        <f>IF(AND(AW$5&gt;$E35,AW$5&lt;=$F35),IF(AW$5=$E35+1,$C35,""),"")</f>
        <v/>
      </c>
      <c r="AX35" s="34">
        <f>IF(AND(AX$5&gt;$E35,AX$5&lt;=$F35),IF(AX$5=$E35+1,$C35,""),"")</f>
        <v/>
      </c>
      <c r="AY35" s="34">
        <f>IF(AND(AY$5&gt;$E35,AY$5&lt;=$F35),IF(AY$5=$E35+1,$C35,""),"")</f>
        <v/>
      </c>
      <c r="AZ35" s="34">
        <f>IF(AND(AZ$5&gt;$E35,AZ$5&lt;=$F35),IF(AZ$5=$E35+1,$C35,""),"")</f>
        <v/>
      </c>
      <c r="BA35" s="34">
        <f>IF(AND(BA$5&gt;$E35,BA$5&lt;=$F35),IF(BA$5=$E35+1,$C35,""),"")</f>
        <v/>
      </c>
      <c r="BB35" s="34">
        <f>IF(AND(BB$5&gt;$E35,BB$5&lt;=$F35),IF(BB$5=$E35+1,$C35,""),"")</f>
        <v/>
      </c>
      <c r="BC35" s="34">
        <f>IF(AND(BC$5&gt;$E35,BC$5&lt;=$F35),IF(BC$5=$E35+1,$C35,""),"")</f>
        <v/>
      </c>
      <c r="BD35" s="34">
        <f>IF(AND(BD$5&gt;$E35,BD$5&lt;=$F35),IF(BD$5=$E35+1,$C35,""),"")</f>
        <v/>
      </c>
      <c r="BE35" s="34">
        <f>IF(AND(BE$5&gt;$E35,BE$5&lt;=$F35),IF(BE$5=$E35+1,$C35,""),"")</f>
        <v/>
      </c>
      <c r="BF35" s="34">
        <f>IF(AND(BF$5&gt;$E35,BF$5&lt;=$F35),IF(BF$5=$E35+1,$C35,""),"")</f>
        <v/>
      </c>
      <c r="BG35" s="34">
        <f>IF(AND(BG$5&gt;$E35,BG$5&lt;=$F35),IF(BG$5=$E35+1,$C35,""),"")</f>
        <v/>
      </c>
      <c r="BH35" s="34">
        <f>IF(AND(BH$5&gt;$E35,BH$5&lt;=$F35),IF(BH$5=$E35+1,$C35,""),"")</f>
        <v/>
      </c>
      <c r="BI35" s="34">
        <f>IF(AND(BI$5&gt;$E35,BI$5&lt;=$F35),IF(BI$5=$E35+1,$C35,""),"")</f>
        <v/>
      </c>
      <c r="BJ35" s="34">
        <f>IF(AND(BJ$5&gt;$E35,BJ$5&lt;=$F35),IF(BJ$5=$E35+1,$C35,""),"")</f>
        <v/>
      </c>
      <c r="BK35" s="34">
        <f>IF(AND(BK$5&gt;$E35,BK$5&lt;=$F35),IF(BK$5=$E35+1,$C35,""),"")</f>
        <v/>
      </c>
      <c r="BL35" s="34">
        <f>IF(AND(BL$5&gt;$E35,BL$5&lt;=$F35),IF(BL$5=$E35+1,$C35,""),"")</f>
        <v/>
      </c>
      <c r="BM35" s="34">
        <f>IF(AND(BM$5&gt;$E35,BM$5&lt;=$F35),IF(BM$5=$E35+1,$C35,""),"")</f>
        <v/>
      </c>
      <c r="BN35" s="34">
        <f>IF(AND(BN$5&gt;$E35,BN$5&lt;=$F35),IF(BN$5=$E35+1,$C35,""),"")</f>
        <v/>
      </c>
      <c r="BO35" s="34">
        <f>IF(AND(BO$5&gt;$E35,BO$5&lt;=$F35),IF(BO$5=$E35+1,$C35,""),"")</f>
        <v/>
      </c>
      <c r="BP35" s="34">
        <f>IF(AND(BP$5&gt;$E35,BP$5&lt;=$F35),IF(BP$5=$E35+1,$C35,""),"")</f>
        <v/>
      </c>
      <c r="BQ35" s="34">
        <f>IF(AND(BQ$5&gt;$E35,BQ$5&lt;=$F35),IF(BQ$5=$E35+1,$C35,""),"")</f>
        <v/>
      </c>
      <c r="BR35" s="34">
        <f>IF(AND(BR$5&gt;$E35,BR$5&lt;=$F35),IF(BR$5=$E35+1,$C35,""),"")</f>
        <v/>
      </c>
      <c r="BS35" s="34">
        <f>IF(AND(BS$5&gt;$E35,BS$5&lt;=$F35),IF(BS$5=$E35+1,$C35,""),"")</f>
        <v/>
      </c>
      <c r="BT35" s="34">
        <f>IF(AND(BT$5&gt;$E35,BT$5&lt;=$F35),IF(BT$5=$E35+1,$C35,""),"")</f>
        <v/>
      </c>
      <c r="BU35" s="34">
        <f>IF(AND(BU$5&gt;$E35,BU$5&lt;=$F35),IF(BU$5=$E35+1,$C35,""),"")</f>
        <v/>
      </c>
      <c r="BV35" s="34">
        <f>IF(AND(BV$5&gt;$E35,BV$5&lt;=$F35),IF(BV$5=$E35+1,$C35,""),"")</f>
        <v/>
      </c>
      <c r="BW35" s="34">
        <f>IF(AND(BW$5&gt;$E35,BW$5&lt;=$F35),IF(BW$5=$E35+1,$C35,""),"")</f>
        <v/>
      </c>
      <c r="BX35" s="34">
        <f>IF(AND(BX$5&gt;$E35,BX$5&lt;=$F35),IF(BX$5=$E35+1,$C35,""),"")</f>
        <v/>
      </c>
      <c r="BY35" s="34">
        <f>IF(AND(BY$5&gt;$E35,BY$5&lt;=$F35),IF(BY$5=$E35+1,$C35,""),"")</f>
        <v/>
      </c>
      <c r="BZ35" s="34">
        <f>IF(AND(BZ$5&gt;$E35,BZ$5&lt;=$F35),IF(BZ$5=$E35+1,$C35,""),"")</f>
        <v/>
      </c>
      <c r="CA35" s="34">
        <f>IF(AND(CA$5&gt;$E35,CA$5&lt;=$F35),IF(CA$5=$E35+1,$C35,""),"")</f>
        <v/>
      </c>
      <c r="CB35" s="34">
        <f>IF(AND(CB$5&gt;$E35,CB$5&lt;=$F35),IF(CB$5=$E35+1,$C35,""),"")</f>
        <v/>
      </c>
      <c r="CC35" s="34">
        <f>IF(AND(CC$5&gt;$E35,CC$5&lt;=$F35),IF(CC$5=$E35+1,$C35,""),"")</f>
        <v/>
      </c>
      <c r="CD35" s="34">
        <f>IF(AND(CD$5&gt;$E35,CD$5&lt;=$F35),IF(CD$5=$E35+1,$C35,""),"")</f>
        <v/>
      </c>
      <c r="CE35" s="34">
        <f>IF(AND(CE$5&gt;$E35,CE$5&lt;=$F35),IF(CE$5=$E35+1,$C35,""),"")</f>
        <v/>
      </c>
      <c r="CF35" s="34">
        <f>IF(AND(CF$5&gt;$E35,CF$5&lt;=$F35),IF(CF$5=$E35+1,$C35,""),"")</f>
        <v/>
      </c>
      <c r="CG35" s="34">
        <f>IF(AND(CG$5&gt;$E35,CG$5&lt;=$F35),IF(CG$5=$E35+1,$C35,""),"")</f>
        <v/>
      </c>
      <c r="CH35" s="34">
        <f>IF(AND(CH$5&gt;$E35,CH$5&lt;=$F35),IF(CH$5=$E35+1,$C35,""),"")</f>
        <v/>
      </c>
      <c r="CI35" s="34">
        <f>IF(AND(CI$5&gt;$E35,CI$5&lt;=$F35),IF(CI$5=$E35+1,$C35,""),"")</f>
        <v/>
      </c>
      <c r="CJ35" s="34">
        <f>IF(AND(CJ$5&gt;$E35,CJ$5&lt;=$F35),IF(CJ$5=$E35+1,$C35,""),"")</f>
        <v/>
      </c>
      <c r="CK35" s="34">
        <f>IF(AND(CK$5&gt;$E35,CK$5&lt;=$F35),IF(CK$5=$E35+1,$C35,""),"")</f>
        <v/>
      </c>
      <c r="CL35" s="34">
        <f>IF(AND(CL$5&gt;$E35,CL$5&lt;=$F35),IF(CL$5=$E35+1,$C35,""),"")</f>
        <v/>
      </c>
      <c r="CM35" s="34">
        <f>IF(AND(CM$5&gt;$E35,CM$5&lt;=$F35),IF(CM$5=$E35+1,$C35,""),"")</f>
        <v/>
      </c>
      <c r="CN35" s="34">
        <f>IF(AND(CN$5&gt;$E35,CN$5&lt;=$F35),IF(CN$5=$E35+1,$C35,""),"")</f>
        <v/>
      </c>
      <c r="CO35" s="34">
        <f>IF(AND(CO$5&gt;$E35,CO$5&lt;=$F35),IF(CO$5=$E35+1,$C35,""),"")</f>
        <v/>
      </c>
      <c r="CP35" s="34">
        <f>IF(AND(CP$5&gt;$E35,CP$5&lt;=$F35),IF(CP$5=$E35+1,$C35,""),"")</f>
        <v/>
      </c>
      <c r="CQ35" s="34">
        <f>IF(AND(CQ$5&gt;$E35,CQ$5&lt;=$F35),IF(CQ$5=$E35+1,$C35,""),"")</f>
        <v/>
      </c>
      <c r="CR35" s="34">
        <f>IF(AND(CR$5&gt;$E35,CR$5&lt;=$F35),IF(CR$5=$E35+1,$C35,""),"")</f>
        <v/>
      </c>
      <c r="CS35" s="34">
        <f>IF(AND(CS$5&gt;$E35,CS$5&lt;=$F35),IF(CS$5=$E35+1,$C35,""),"")</f>
        <v/>
      </c>
      <c r="CT35" s="34">
        <f>IF(AND(CT$5&gt;$E35,CT$5&lt;=$F35),IF(CT$5=$E35+1,$C35,""),"")</f>
        <v/>
      </c>
      <c r="CU35" s="34">
        <f>IF(AND(CU$5&gt;$E35,CU$5&lt;=$F35),IF(CU$5=$E35+1,$C35,""),"")</f>
        <v/>
      </c>
      <c r="CV35" s="34">
        <f>IF(AND(CV$5&gt;$E35,CV$5&lt;=$F35),IF(CV$5=$E35+1,$C35,""),"")</f>
        <v/>
      </c>
      <c r="CW35" s="34">
        <f>IF(AND(CW$5&gt;$E35,CW$5&lt;=$F35),IF(CW$5=$E35+1,$C35,""),"")</f>
        <v/>
      </c>
      <c r="CX35" s="34">
        <f>IF(AND(CX$5&gt;$E35,CX$5&lt;=$F35),IF(CX$5=$E35+1,$C35,""),"")</f>
        <v/>
      </c>
      <c r="CY35" s="34">
        <f>IF(AND(CY$5&gt;$E35,CY$5&lt;=$F35),IF(CY$5=$E35+1,$C35,""),"")</f>
        <v/>
      </c>
      <c r="CZ35" s="34">
        <f>IF(AND(CZ$5&gt;$E35,CZ$5&lt;=$F35),IF(CZ$5=$E35+1,$C35,""),"")</f>
        <v/>
      </c>
      <c r="DA35" s="34">
        <f>IF(AND(DA$5&gt;$E35,DA$5&lt;=$F35),IF(DA$5=$E35+1,$C35,""),"")</f>
        <v/>
      </c>
      <c r="DB35" s="34">
        <f>IF(AND(DB$5&gt;$E35,DB$5&lt;=$F35),IF(DB$5=$E35+1,$C35,""),"")</f>
        <v/>
      </c>
      <c r="DC35" s="34">
        <f>IF(AND(DC$5&gt;$E35,DC$5&lt;=$F35),IF(DC$5=$E35+1,$C35,""),"")</f>
        <v/>
      </c>
      <c r="DD35" s="34">
        <f>IF(AND(DD$5&gt;$E35,DD$5&lt;=$F35),IF(DD$5=$E35+1,$C35,""),"")</f>
        <v/>
      </c>
      <c r="DE35" s="34">
        <f>IF(AND(DE$5&gt;$E35,DE$5&lt;=$F35),IF(DE$5=$E35+1,$C35,""),"")</f>
        <v/>
      </c>
      <c r="DF35" s="34">
        <f>IF(AND(DF$5&gt;$E35,DF$5&lt;=$F35),IF(DF$5=$E35+1,$C35,""),"")</f>
        <v/>
      </c>
      <c r="DG35" s="34">
        <f>IF(AND(DG$5&gt;$E35,DG$5&lt;=$F35),IF(DG$5=$E35+1,$C35,""),"")</f>
        <v/>
      </c>
      <c r="DH35" s="34">
        <f>IF(AND(DH$5&gt;$E35,DH$5&lt;=$F35),IF(DH$5=$E35+1,$C35,""),"")</f>
        <v/>
      </c>
      <c r="DI35" s="34">
        <f>IF(AND(DI$5&gt;$E35,DI$5&lt;=$F35),IF(DI$5=$E35+1,$C35,""),"")</f>
        <v/>
      </c>
      <c r="DJ35" s="34">
        <f>IF(AND(DJ$5&gt;$E35,DJ$5&lt;=$F35),IF(DJ$5=$E35+1,$C35,""),"")</f>
        <v/>
      </c>
      <c r="DK35" s="34">
        <f>IF(AND(DK$5&gt;$E35,DK$5&lt;=$F35),IF(DK$5=$E35+1,$C35,""),"")</f>
        <v/>
      </c>
      <c r="DL35" s="34">
        <f>IF(AND(DL$5&gt;$E35,DL$5&lt;=$F35),IF(DL$5=$E35+1,$C35,""),"")</f>
        <v/>
      </c>
      <c r="DM35" s="34">
        <f>IF(AND(DM$5&gt;$E35,DM$5&lt;=$F35),IF(DM$5=$E35+1,$C35,""),"")</f>
        <v/>
      </c>
      <c r="DN35" s="34">
        <f>IF(AND(DN$5&gt;$E35,DN$5&lt;=$F35),IF(DN$5=$E35+1,$C35,""),"")</f>
        <v/>
      </c>
      <c r="DO35" s="34">
        <f>IF(AND(DO$5&gt;$E35,DO$5&lt;=$F35),IF(DO$5=$E35+1,$C35,""),"")</f>
        <v/>
      </c>
      <c r="DP35" s="34">
        <f>IF(AND(DP$5&gt;$E35,DP$5&lt;=$F35),IF(DP$5=$E35+1,$C35,""),"")</f>
        <v/>
      </c>
      <c r="DQ35" s="34">
        <f>IF(AND(DQ$5&gt;$E35,DQ$5&lt;=$F35),IF(DQ$5=$E35+1,$C35,""),"")</f>
        <v/>
      </c>
      <c r="DR35" s="34">
        <f>IF(AND(DR$5&gt;$E35,DR$5&lt;=$F35),IF(DR$5=$E35+1,$C35,""),"")</f>
        <v/>
      </c>
      <c r="DS35" s="34">
        <f>IF(AND(DS$5&gt;$E35,DS$5&lt;=$F35),IF(DS$5=$E35+1,$C35,""),"")</f>
        <v/>
      </c>
      <c r="DT35" s="34">
        <f>IF(AND(DT$5&gt;$E35,DT$5&lt;=$F35),IF(DT$5=$E35+1,$C35,""),"")</f>
        <v/>
      </c>
      <c r="DU35" s="34">
        <f>IF(AND(DU$5&gt;$E35,DU$5&lt;=$F35),IF(DU$5=$E35+1,$C35,""),"")</f>
        <v/>
      </c>
      <c r="DV35" s="34">
        <f>IF(AND(DV$5&gt;$E35,DV$5&lt;=$F35),IF(DV$5=$E35+1,$C35,""),"")</f>
        <v/>
      </c>
      <c r="DW35" s="34">
        <f>IF(AND(DW$5&gt;$E35,DW$5&lt;=$F35),IF(DW$5=$E35+1,$C35,""),"")</f>
        <v/>
      </c>
      <c r="DX35" s="34">
        <f>IF(AND(DX$5&gt;$E35,DX$5&lt;=$F35),IF(DX$5=$E35+1,$C35,""),"")</f>
        <v/>
      </c>
      <c r="DY35" s="34">
        <f>IF(AND(DY$5&gt;$E35,DY$5&lt;=$F35),IF(DY$5=$E35+1,$C35,""),"")</f>
        <v/>
      </c>
      <c r="DZ35" s="34">
        <f>IF(AND(DZ$5&gt;$E35,DZ$5&lt;=$F35),IF(DZ$5=$E35+1,$C35,""),"")</f>
        <v/>
      </c>
      <c r="EA35" s="34">
        <f>IF(AND(EA$5&gt;$E35,EA$5&lt;=$F35),IF(EA$5=$E35+1,$C35,""),"")</f>
        <v/>
      </c>
      <c r="EB35" s="34">
        <f>IF(AND(EB$5&gt;$E35,EB$5&lt;=$F35),IF(EB$5=$E35+1,$C35,""),"")</f>
        <v/>
      </c>
      <c r="EC35" s="34">
        <f>IF(AND(EC$5&gt;$E35,EC$5&lt;=$F35),IF(EC$5=$E35+1,$C35,""),"")</f>
        <v/>
      </c>
      <c r="ED35" s="34">
        <f>IF(AND(ED$5&gt;$E35,ED$5&lt;=$F35),IF(ED$5=$E35+1,$C35,""),"")</f>
        <v/>
      </c>
      <c r="EE35" s="34">
        <f>IF(AND(EE$5&gt;$E35,EE$5&lt;=$F35),IF(EE$5=$E35+1,$C35,""),"")</f>
        <v/>
      </c>
      <c r="EF35" s="34">
        <f>IF(AND(EF$5&gt;$E35,EF$5&lt;=$F35),IF(EF$5=$E35+1,$C35,""),"")</f>
        <v/>
      </c>
      <c r="EG35" s="34">
        <f>IF(AND(EG$5&gt;$E35,EG$5&lt;=$F35),IF(EG$5=$E35+1,$C35,""),"")</f>
        <v/>
      </c>
      <c r="EH35" s="34">
        <f>IF(AND(EH$5&gt;$E35,EH$5&lt;=$F35),IF(EH$5=$E35+1,$C35,""),"")</f>
        <v/>
      </c>
      <c r="EI35" s="34">
        <f>IF(AND(EI$5&gt;$E35,EI$5&lt;=$F35),IF(EI$5=$E35+1,$C35,""),"")</f>
        <v/>
      </c>
      <c r="EJ35" s="34">
        <f>IF(AND(EJ$5&gt;$E35,EJ$5&lt;=$F35),IF(EJ$5=$E35+1,$C35,""),"")</f>
        <v/>
      </c>
      <c r="EK35" s="34">
        <f>IF(AND(EK$5&gt;$E35,EK$5&lt;=$F35),IF(EK$5=$E35+1,$C35,""),"")</f>
        <v/>
      </c>
      <c r="EL35" s="34">
        <f>IF(AND(EL$5&gt;$E35,EL$5&lt;=$F35),IF(EL$5=$E35+1,$C35,""),"")</f>
        <v/>
      </c>
      <c r="EM35" s="34">
        <f>IF(AND(EM$5&gt;$E35,EM$5&lt;=$F35),IF(EM$5=$E35+1,$C35,""),"")</f>
        <v/>
      </c>
      <c r="EN35" s="34">
        <f>IF(AND(EN$5&gt;$E35,EN$5&lt;=$F35),IF(EN$5=$E35+1,$C35,""),"")</f>
        <v/>
      </c>
      <c r="EO35" s="34">
        <f>IF(AND(EO$5&gt;$E35,EO$5&lt;=$F35),IF(EO$5=$E35+1,$C35,""),"")</f>
        <v/>
      </c>
      <c r="EP35" s="34">
        <f>IF(AND(EP$5&gt;$E35,EP$5&lt;=$F35),IF(EP$5=$E35+1,$C35,""),"")</f>
        <v/>
      </c>
      <c r="EQ35" s="34">
        <f>IF(AND(EQ$5&gt;$E35,EQ$5&lt;=$F35),IF(EQ$5=$E35+1,$C35,""),"")</f>
        <v/>
      </c>
      <c r="ER35" s="34">
        <f>IF(AND(ER$5&gt;$E35,ER$5&lt;=$F35),IF(ER$5=$E35+1,$C35,""),"")</f>
        <v/>
      </c>
      <c r="ES35" s="34">
        <f>IF(AND(ES$5&gt;$E35,ES$5&lt;=$F35),IF(ES$5=$E35+1,$C35,""),"")</f>
        <v/>
      </c>
      <c r="ET35" s="34">
        <f>IF(AND(ET$5&gt;$E35,ET$5&lt;=$F35),IF(ET$5=$E35+1,$C35,""),"")</f>
        <v/>
      </c>
      <c r="EU35" s="34">
        <f>IF(AND(EU$5&gt;$E35,EU$5&lt;=$F35),IF(EU$5=$E35+1,$C35,""),"")</f>
        <v/>
      </c>
      <c r="EV35" s="34">
        <f>IF(AND(EV$5&gt;$E35,EV$5&lt;=$F35),IF(EV$5=$E35+1,$C35,""),"")</f>
        <v/>
      </c>
      <c r="EW35" s="34">
        <f>IF(AND(EW$5&gt;$E35,EW$5&lt;=$F35),IF(EW$5=$E35+1,$C35,""),"")</f>
        <v/>
      </c>
      <c r="EX35" s="34">
        <f>IF(AND(EX$5&gt;$E35,EX$5&lt;=$F35),IF(EX$5=$E35+1,$C35,""),"")</f>
        <v/>
      </c>
      <c r="EY35" s="34">
        <f>IF(AND(EY$5&gt;$E35,EY$5&lt;=$F35),IF(EY$5=$E35+1,$C35,""),"")</f>
        <v/>
      </c>
      <c r="EZ35" s="34">
        <f>IF(AND(EZ$5&gt;$E35,EZ$5&lt;=$F35),IF(EZ$5=$E35+1,$C35,""),"")</f>
        <v/>
      </c>
      <c r="FA35" s="34">
        <f>IF(AND(FA$5&gt;$E35,FA$5&lt;=$F35),IF(FA$5=$E35+1,$C35,""),"")</f>
        <v/>
      </c>
    </row>
    <row r="36">
      <c r="A36" s="27" t="inlineStr">
        <is>
          <t>Fase 3. Flujo de solicitud de crédito</t>
        </is>
      </c>
      <c r="B36" s="28" t="n"/>
      <c r="C36" s="28" t="n"/>
      <c r="D36" s="28" t="n"/>
      <c r="E36" s="29">
        <f>SUMPRODUCT(MIN((Plan!$B$5:$B$129="3. Flujo de solicitud de crédito")*Plan!$K$5:$K$129+(Plan!$B$5:$B$129&lt;&gt;"3. Flujo de solicitud de crédito")*1E9))</f>
        <v/>
      </c>
      <c r="F36" s="29">
        <f>SUMPRODUCT(MAX((Plan!$B$5:$B$129="3. Flujo de solicitud de crédito")*Plan!$L$5:$L$129))</f>
        <v/>
      </c>
      <c r="G36" s="30">
        <f>Resumen!E31</f>
        <v/>
      </c>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c r="AH36" s="31" t="n"/>
      <c r="AI36" s="31" t="n"/>
      <c r="AJ36" s="31" t="n"/>
      <c r="AK36" s="31" t="n"/>
      <c r="AL36" s="31" t="n"/>
      <c r="AM36" s="31" t="n"/>
      <c r="AN36" s="31" t="n"/>
      <c r="AO36" s="31" t="n"/>
      <c r="AP36" s="31" t="n"/>
      <c r="AQ36" s="31" t="n"/>
      <c r="AR36" s="31" t="n"/>
      <c r="AS36" s="31" t="n"/>
      <c r="AT36" s="31" t="n"/>
      <c r="AU36" s="31" t="n"/>
      <c r="AV36" s="31" t="n"/>
      <c r="AW36" s="31" t="n"/>
      <c r="AX36" s="31" t="n"/>
      <c r="AY36" s="31" t="n"/>
      <c r="AZ36" s="31" t="n"/>
      <c r="BA36" s="31" t="n"/>
      <c r="BB36" s="31" t="n"/>
      <c r="BC36" s="31" t="n"/>
      <c r="BD36" s="31" t="n"/>
      <c r="BE36" s="31" t="n"/>
      <c r="BF36" s="31" t="n"/>
      <c r="BG36" s="31" t="n"/>
      <c r="BH36" s="31" t="n"/>
      <c r="BI36" s="31" t="n"/>
      <c r="BJ36" s="31" t="n"/>
      <c r="BK36" s="31" t="n"/>
      <c r="BL36" s="31" t="n"/>
      <c r="BM36" s="31" t="n"/>
      <c r="BN36" s="31" t="n"/>
      <c r="BO36" s="31" t="n"/>
      <c r="BP36" s="31" t="n"/>
      <c r="BQ36" s="31" t="n"/>
      <c r="BR36" s="31" t="n"/>
      <c r="BS36" s="31" t="n"/>
      <c r="BT36" s="31" t="n"/>
      <c r="BU36" s="31" t="n"/>
      <c r="BV36" s="31" t="n"/>
      <c r="BW36" s="31" t="n"/>
      <c r="BX36" s="31" t="n"/>
      <c r="BY36" s="31" t="n"/>
      <c r="BZ36" s="31" t="n"/>
      <c r="CA36" s="31" t="n"/>
      <c r="CB36" s="31" t="n"/>
      <c r="CC36" s="31" t="n"/>
      <c r="CD36" s="31" t="n"/>
      <c r="CE36" s="31" t="n"/>
      <c r="CF36" s="31" t="n"/>
      <c r="CG36" s="31" t="n"/>
      <c r="CH36" s="31" t="n"/>
      <c r="CI36" s="31" t="n"/>
      <c r="CJ36" s="31" t="n"/>
      <c r="CK36" s="31" t="n"/>
      <c r="CL36" s="31" t="n"/>
      <c r="CM36" s="31" t="n"/>
      <c r="CN36" s="31" t="n"/>
      <c r="CO36" s="31" t="n"/>
      <c r="CP36" s="31" t="n"/>
      <c r="CQ36" s="31" t="n"/>
      <c r="CR36" s="31" t="n"/>
      <c r="CS36" s="31" t="n"/>
      <c r="CT36" s="31" t="n"/>
      <c r="CU36" s="31" t="n"/>
      <c r="CV36" s="31" t="n"/>
      <c r="CW36" s="31" t="n"/>
      <c r="CX36" s="31" t="n"/>
      <c r="CY36" s="31" t="n"/>
      <c r="CZ36" s="31" t="n"/>
      <c r="DA36" s="31" t="n"/>
      <c r="DB36" s="31" t="n"/>
      <c r="DC36" s="31" t="n"/>
      <c r="DD36" s="31" t="n"/>
      <c r="DE36" s="31" t="n"/>
      <c r="DF36" s="31" t="n"/>
      <c r="DG36" s="31" t="n"/>
      <c r="DH36" s="31" t="n"/>
      <c r="DI36" s="31" t="n"/>
      <c r="DJ36" s="31" t="n"/>
      <c r="DK36" s="31" t="n"/>
      <c r="DL36" s="31" t="n"/>
      <c r="DM36" s="31" t="n"/>
      <c r="DN36" s="31" t="n"/>
      <c r="DO36" s="31" t="n"/>
      <c r="DP36" s="31" t="n"/>
      <c r="DQ36" s="31" t="n"/>
      <c r="DR36" s="31" t="n"/>
      <c r="DS36" s="31" t="n"/>
      <c r="DT36" s="31" t="n"/>
      <c r="DU36" s="31" t="n"/>
      <c r="DV36" s="31" t="n"/>
      <c r="DW36" s="31" t="n"/>
      <c r="DX36" s="31" t="n"/>
      <c r="DY36" s="31" t="n"/>
      <c r="DZ36" s="31" t="n"/>
      <c r="EA36" s="31" t="n"/>
      <c r="EB36" s="31" t="n"/>
      <c r="EC36" s="31" t="n"/>
      <c r="ED36" s="31" t="n"/>
      <c r="EE36" s="31" t="n"/>
      <c r="EF36" s="31" t="n"/>
      <c r="EG36" s="31" t="n"/>
      <c r="EH36" s="31" t="n"/>
      <c r="EI36" s="31" t="n"/>
      <c r="EJ36" s="31" t="n"/>
      <c r="EK36" s="31" t="n"/>
      <c r="EL36" s="31" t="n"/>
      <c r="EM36" s="31" t="n"/>
      <c r="EN36" s="31" t="n"/>
      <c r="EO36" s="31" t="n"/>
      <c r="EP36" s="31" t="n"/>
      <c r="EQ36" s="31" t="n"/>
      <c r="ER36" s="31" t="n"/>
      <c r="ES36" s="31" t="n"/>
      <c r="ET36" s="31" t="n"/>
      <c r="EU36" s="31" t="n"/>
      <c r="EV36" s="31" t="n"/>
      <c r="EW36" s="31" t="n"/>
      <c r="EX36" s="31" t="n"/>
      <c r="EY36" s="31" t="n"/>
      <c r="EZ36" s="31" t="n"/>
      <c r="FA36" s="31" t="n"/>
    </row>
    <row r="37">
      <c r="A37" s="32">
        <f>Plan!A28</f>
        <v/>
      </c>
      <c r="B37" s="33">
        <f>Plan!C28</f>
        <v/>
      </c>
      <c r="C37" s="16">
        <f>Plan!D28</f>
        <v/>
      </c>
      <c r="D37" s="16">
        <f>Plan!I28</f>
        <v/>
      </c>
      <c r="E37" s="16">
        <f>Plan!K28</f>
        <v/>
      </c>
      <c r="F37" s="16">
        <f>Plan!L28</f>
        <v/>
      </c>
      <c r="G37" s="16">
        <f>Plan!O28</f>
        <v/>
      </c>
      <c r="H37" s="34">
        <f>IF(AND(H$5&gt;$E37,H$5&lt;=$F37),IF(H$5=$E37+1,$C37,""),"")</f>
        <v/>
      </c>
      <c r="I37" s="34">
        <f>IF(AND(I$5&gt;$E37,I$5&lt;=$F37),IF(I$5=$E37+1,$C37,""),"")</f>
        <v/>
      </c>
      <c r="J37" s="34">
        <f>IF(AND(J$5&gt;$E37,J$5&lt;=$F37),IF(J$5=$E37+1,$C37,""),"")</f>
        <v/>
      </c>
      <c r="K37" s="34">
        <f>IF(AND(K$5&gt;$E37,K$5&lt;=$F37),IF(K$5=$E37+1,$C37,""),"")</f>
        <v/>
      </c>
      <c r="L37" s="34">
        <f>IF(AND(L$5&gt;$E37,L$5&lt;=$F37),IF(L$5=$E37+1,$C37,""),"")</f>
        <v/>
      </c>
      <c r="M37" s="34">
        <f>IF(AND(M$5&gt;$E37,M$5&lt;=$F37),IF(M$5=$E37+1,$C37,""),"")</f>
        <v/>
      </c>
      <c r="N37" s="34">
        <f>IF(AND(N$5&gt;$E37,N$5&lt;=$F37),IF(N$5=$E37+1,$C37,""),"")</f>
        <v/>
      </c>
      <c r="O37" s="34">
        <f>IF(AND(O$5&gt;$E37,O$5&lt;=$F37),IF(O$5=$E37+1,$C37,""),"")</f>
        <v/>
      </c>
      <c r="P37" s="34">
        <f>IF(AND(P$5&gt;$E37,P$5&lt;=$F37),IF(P$5=$E37+1,$C37,""),"")</f>
        <v/>
      </c>
      <c r="Q37" s="34">
        <f>IF(AND(Q$5&gt;$E37,Q$5&lt;=$F37),IF(Q$5=$E37+1,$C37,""),"")</f>
        <v/>
      </c>
      <c r="R37" s="34">
        <f>IF(AND(R$5&gt;$E37,R$5&lt;=$F37),IF(R$5=$E37+1,$C37,""),"")</f>
        <v/>
      </c>
      <c r="S37" s="34">
        <f>IF(AND(S$5&gt;$E37,S$5&lt;=$F37),IF(S$5=$E37+1,$C37,""),"")</f>
        <v/>
      </c>
      <c r="T37" s="34">
        <f>IF(AND(T$5&gt;$E37,T$5&lt;=$F37),IF(T$5=$E37+1,$C37,""),"")</f>
        <v/>
      </c>
      <c r="U37" s="34">
        <f>IF(AND(U$5&gt;$E37,U$5&lt;=$F37),IF(U$5=$E37+1,$C37,""),"")</f>
        <v/>
      </c>
      <c r="V37" s="34">
        <f>IF(AND(V$5&gt;$E37,V$5&lt;=$F37),IF(V$5=$E37+1,$C37,""),"")</f>
        <v/>
      </c>
      <c r="W37" s="34">
        <f>IF(AND(W$5&gt;$E37,W$5&lt;=$F37),IF(W$5=$E37+1,$C37,""),"")</f>
        <v/>
      </c>
      <c r="X37" s="34">
        <f>IF(AND(X$5&gt;$E37,X$5&lt;=$F37),IF(X$5=$E37+1,$C37,""),"")</f>
        <v/>
      </c>
      <c r="Y37" s="34">
        <f>IF(AND(Y$5&gt;$E37,Y$5&lt;=$F37),IF(Y$5=$E37+1,$C37,""),"")</f>
        <v/>
      </c>
      <c r="Z37" s="34">
        <f>IF(AND(Z$5&gt;$E37,Z$5&lt;=$F37),IF(Z$5=$E37+1,$C37,""),"")</f>
        <v/>
      </c>
      <c r="AA37" s="34">
        <f>IF(AND(AA$5&gt;$E37,AA$5&lt;=$F37),IF(AA$5=$E37+1,$C37,""),"")</f>
        <v/>
      </c>
      <c r="AB37" s="34">
        <f>IF(AND(AB$5&gt;$E37,AB$5&lt;=$F37),IF(AB$5=$E37+1,$C37,""),"")</f>
        <v/>
      </c>
      <c r="AC37" s="34">
        <f>IF(AND(AC$5&gt;$E37,AC$5&lt;=$F37),IF(AC$5=$E37+1,$C37,""),"")</f>
        <v/>
      </c>
      <c r="AD37" s="34">
        <f>IF(AND(AD$5&gt;$E37,AD$5&lt;=$F37),IF(AD$5=$E37+1,$C37,""),"")</f>
        <v/>
      </c>
      <c r="AE37" s="34">
        <f>IF(AND(AE$5&gt;$E37,AE$5&lt;=$F37),IF(AE$5=$E37+1,$C37,""),"")</f>
        <v/>
      </c>
      <c r="AF37" s="34">
        <f>IF(AND(AF$5&gt;$E37,AF$5&lt;=$F37),IF(AF$5=$E37+1,$C37,""),"")</f>
        <v/>
      </c>
      <c r="AG37" s="34">
        <f>IF(AND(AG$5&gt;$E37,AG$5&lt;=$F37),IF(AG$5=$E37+1,$C37,""),"")</f>
        <v/>
      </c>
      <c r="AH37" s="34">
        <f>IF(AND(AH$5&gt;$E37,AH$5&lt;=$F37),IF(AH$5=$E37+1,$C37,""),"")</f>
        <v/>
      </c>
      <c r="AI37" s="34">
        <f>IF(AND(AI$5&gt;$E37,AI$5&lt;=$F37),IF(AI$5=$E37+1,$C37,""),"")</f>
        <v/>
      </c>
      <c r="AJ37" s="34">
        <f>IF(AND(AJ$5&gt;$E37,AJ$5&lt;=$F37),IF(AJ$5=$E37+1,$C37,""),"")</f>
        <v/>
      </c>
      <c r="AK37" s="34">
        <f>IF(AND(AK$5&gt;$E37,AK$5&lt;=$F37),IF(AK$5=$E37+1,$C37,""),"")</f>
        <v/>
      </c>
      <c r="AL37" s="34">
        <f>IF(AND(AL$5&gt;$E37,AL$5&lt;=$F37),IF(AL$5=$E37+1,$C37,""),"")</f>
        <v/>
      </c>
      <c r="AM37" s="34">
        <f>IF(AND(AM$5&gt;$E37,AM$5&lt;=$F37),IF(AM$5=$E37+1,$C37,""),"")</f>
        <v/>
      </c>
      <c r="AN37" s="34">
        <f>IF(AND(AN$5&gt;$E37,AN$5&lt;=$F37),IF(AN$5=$E37+1,$C37,""),"")</f>
        <v/>
      </c>
      <c r="AO37" s="34">
        <f>IF(AND(AO$5&gt;$E37,AO$5&lt;=$F37),IF(AO$5=$E37+1,$C37,""),"")</f>
        <v/>
      </c>
      <c r="AP37" s="34">
        <f>IF(AND(AP$5&gt;$E37,AP$5&lt;=$F37),IF(AP$5=$E37+1,$C37,""),"")</f>
        <v/>
      </c>
      <c r="AQ37" s="34">
        <f>IF(AND(AQ$5&gt;$E37,AQ$5&lt;=$F37),IF(AQ$5=$E37+1,$C37,""),"")</f>
        <v/>
      </c>
      <c r="AR37" s="34">
        <f>IF(AND(AR$5&gt;$E37,AR$5&lt;=$F37),IF(AR$5=$E37+1,$C37,""),"")</f>
        <v/>
      </c>
      <c r="AS37" s="34">
        <f>IF(AND(AS$5&gt;$E37,AS$5&lt;=$F37),IF(AS$5=$E37+1,$C37,""),"")</f>
        <v/>
      </c>
      <c r="AT37" s="34">
        <f>IF(AND(AT$5&gt;$E37,AT$5&lt;=$F37),IF(AT$5=$E37+1,$C37,""),"")</f>
        <v/>
      </c>
      <c r="AU37" s="34">
        <f>IF(AND(AU$5&gt;$E37,AU$5&lt;=$F37),IF(AU$5=$E37+1,$C37,""),"")</f>
        <v/>
      </c>
      <c r="AV37" s="34">
        <f>IF(AND(AV$5&gt;$E37,AV$5&lt;=$F37),IF(AV$5=$E37+1,$C37,""),"")</f>
        <v/>
      </c>
      <c r="AW37" s="34">
        <f>IF(AND(AW$5&gt;$E37,AW$5&lt;=$F37),IF(AW$5=$E37+1,$C37,""),"")</f>
        <v/>
      </c>
      <c r="AX37" s="34">
        <f>IF(AND(AX$5&gt;$E37,AX$5&lt;=$F37),IF(AX$5=$E37+1,$C37,""),"")</f>
        <v/>
      </c>
      <c r="AY37" s="34">
        <f>IF(AND(AY$5&gt;$E37,AY$5&lt;=$F37),IF(AY$5=$E37+1,$C37,""),"")</f>
        <v/>
      </c>
      <c r="AZ37" s="34">
        <f>IF(AND(AZ$5&gt;$E37,AZ$5&lt;=$F37),IF(AZ$5=$E37+1,$C37,""),"")</f>
        <v/>
      </c>
      <c r="BA37" s="34">
        <f>IF(AND(BA$5&gt;$E37,BA$5&lt;=$F37),IF(BA$5=$E37+1,$C37,""),"")</f>
        <v/>
      </c>
      <c r="BB37" s="34">
        <f>IF(AND(BB$5&gt;$E37,BB$5&lt;=$F37),IF(BB$5=$E37+1,$C37,""),"")</f>
        <v/>
      </c>
      <c r="BC37" s="34">
        <f>IF(AND(BC$5&gt;$E37,BC$5&lt;=$F37),IF(BC$5=$E37+1,$C37,""),"")</f>
        <v/>
      </c>
      <c r="BD37" s="34">
        <f>IF(AND(BD$5&gt;$E37,BD$5&lt;=$F37),IF(BD$5=$E37+1,$C37,""),"")</f>
        <v/>
      </c>
      <c r="BE37" s="34">
        <f>IF(AND(BE$5&gt;$E37,BE$5&lt;=$F37),IF(BE$5=$E37+1,$C37,""),"")</f>
        <v/>
      </c>
      <c r="BF37" s="34">
        <f>IF(AND(BF$5&gt;$E37,BF$5&lt;=$F37),IF(BF$5=$E37+1,$C37,""),"")</f>
        <v/>
      </c>
      <c r="BG37" s="34">
        <f>IF(AND(BG$5&gt;$E37,BG$5&lt;=$F37),IF(BG$5=$E37+1,$C37,""),"")</f>
        <v/>
      </c>
      <c r="BH37" s="34">
        <f>IF(AND(BH$5&gt;$E37,BH$5&lt;=$F37),IF(BH$5=$E37+1,$C37,""),"")</f>
        <v/>
      </c>
      <c r="BI37" s="34">
        <f>IF(AND(BI$5&gt;$E37,BI$5&lt;=$F37),IF(BI$5=$E37+1,$C37,""),"")</f>
        <v/>
      </c>
      <c r="BJ37" s="34">
        <f>IF(AND(BJ$5&gt;$E37,BJ$5&lt;=$F37),IF(BJ$5=$E37+1,$C37,""),"")</f>
        <v/>
      </c>
      <c r="BK37" s="34">
        <f>IF(AND(BK$5&gt;$E37,BK$5&lt;=$F37),IF(BK$5=$E37+1,$C37,""),"")</f>
        <v/>
      </c>
      <c r="BL37" s="34">
        <f>IF(AND(BL$5&gt;$E37,BL$5&lt;=$F37),IF(BL$5=$E37+1,$C37,""),"")</f>
        <v/>
      </c>
      <c r="BM37" s="34">
        <f>IF(AND(BM$5&gt;$E37,BM$5&lt;=$F37),IF(BM$5=$E37+1,$C37,""),"")</f>
        <v/>
      </c>
      <c r="BN37" s="34">
        <f>IF(AND(BN$5&gt;$E37,BN$5&lt;=$F37),IF(BN$5=$E37+1,$C37,""),"")</f>
        <v/>
      </c>
      <c r="BO37" s="34">
        <f>IF(AND(BO$5&gt;$E37,BO$5&lt;=$F37),IF(BO$5=$E37+1,$C37,""),"")</f>
        <v/>
      </c>
      <c r="BP37" s="34">
        <f>IF(AND(BP$5&gt;$E37,BP$5&lt;=$F37),IF(BP$5=$E37+1,$C37,""),"")</f>
        <v/>
      </c>
      <c r="BQ37" s="34">
        <f>IF(AND(BQ$5&gt;$E37,BQ$5&lt;=$F37),IF(BQ$5=$E37+1,$C37,""),"")</f>
        <v/>
      </c>
      <c r="BR37" s="34">
        <f>IF(AND(BR$5&gt;$E37,BR$5&lt;=$F37),IF(BR$5=$E37+1,$C37,""),"")</f>
        <v/>
      </c>
      <c r="BS37" s="34">
        <f>IF(AND(BS$5&gt;$E37,BS$5&lt;=$F37),IF(BS$5=$E37+1,$C37,""),"")</f>
        <v/>
      </c>
      <c r="BT37" s="34">
        <f>IF(AND(BT$5&gt;$E37,BT$5&lt;=$F37),IF(BT$5=$E37+1,$C37,""),"")</f>
        <v/>
      </c>
      <c r="BU37" s="34">
        <f>IF(AND(BU$5&gt;$E37,BU$5&lt;=$F37),IF(BU$5=$E37+1,$C37,""),"")</f>
        <v/>
      </c>
      <c r="BV37" s="34">
        <f>IF(AND(BV$5&gt;$E37,BV$5&lt;=$F37),IF(BV$5=$E37+1,$C37,""),"")</f>
        <v/>
      </c>
      <c r="BW37" s="34">
        <f>IF(AND(BW$5&gt;$E37,BW$5&lt;=$F37),IF(BW$5=$E37+1,$C37,""),"")</f>
        <v/>
      </c>
      <c r="BX37" s="34">
        <f>IF(AND(BX$5&gt;$E37,BX$5&lt;=$F37),IF(BX$5=$E37+1,$C37,""),"")</f>
        <v/>
      </c>
      <c r="BY37" s="34">
        <f>IF(AND(BY$5&gt;$E37,BY$5&lt;=$F37),IF(BY$5=$E37+1,$C37,""),"")</f>
        <v/>
      </c>
      <c r="BZ37" s="34">
        <f>IF(AND(BZ$5&gt;$E37,BZ$5&lt;=$F37),IF(BZ$5=$E37+1,$C37,""),"")</f>
        <v/>
      </c>
      <c r="CA37" s="34">
        <f>IF(AND(CA$5&gt;$E37,CA$5&lt;=$F37),IF(CA$5=$E37+1,$C37,""),"")</f>
        <v/>
      </c>
      <c r="CB37" s="34">
        <f>IF(AND(CB$5&gt;$E37,CB$5&lt;=$F37),IF(CB$5=$E37+1,$C37,""),"")</f>
        <v/>
      </c>
      <c r="CC37" s="34">
        <f>IF(AND(CC$5&gt;$E37,CC$5&lt;=$F37),IF(CC$5=$E37+1,$C37,""),"")</f>
        <v/>
      </c>
      <c r="CD37" s="34">
        <f>IF(AND(CD$5&gt;$E37,CD$5&lt;=$F37),IF(CD$5=$E37+1,$C37,""),"")</f>
        <v/>
      </c>
      <c r="CE37" s="34">
        <f>IF(AND(CE$5&gt;$E37,CE$5&lt;=$F37),IF(CE$5=$E37+1,$C37,""),"")</f>
        <v/>
      </c>
      <c r="CF37" s="34">
        <f>IF(AND(CF$5&gt;$E37,CF$5&lt;=$F37),IF(CF$5=$E37+1,$C37,""),"")</f>
        <v/>
      </c>
      <c r="CG37" s="34">
        <f>IF(AND(CG$5&gt;$E37,CG$5&lt;=$F37),IF(CG$5=$E37+1,$C37,""),"")</f>
        <v/>
      </c>
      <c r="CH37" s="34">
        <f>IF(AND(CH$5&gt;$E37,CH$5&lt;=$F37),IF(CH$5=$E37+1,$C37,""),"")</f>
        <v/>
      </c>
      <c r="CI37" s="34">
        <f>IF(AND(CI$5&gt;$E37,CI$5&lt;=$F37),IF(CI$5=$E37+1,$C37,""),"")</f>
        <v/>
      </c>
      <c r="CJ37" s="34">
        <f>IF(AND(CJ$5&gt;$E37,CJ$5&lt;=$F37),IF(CJ$5=$E37+1,$C37,""),"")</f>
        <v/>
      </c>
      <c r="CK37" s="34">
        <f>IF(AND(CK$5&gt;$E37,CK$5&lt;=$F37),IF(CK$5=$E37+1,$C37,""),"")</f>
        <v/>
      </c>
      <c r="CL37" s="34">
        <f>IF(AND(CL$5&gt;$E37,CL$5&lt;=$F37),IF(CL$5=$E37+1,$C37,""),"")</f>
        <v/>
      </c>
      <c r="CM37" s="34">
        <f>IF(AND(CM$5&gt;$E37,CM$5&lt;=$F37),IF(CM$5=$E37+1,$C37,""),"")</f>
        <v/>
      </c>
      <c r="CN37" s="34">
        <f>IF(AND(CN$5&gt;$E37,CN$5&lt;=$F37),IF(CN$5=$E37+1,$C37,""),"")</f>
        <v/>
      </c>
      <c r="CO37" s="34">
        <f>IF(AND(CO$5&gt;$E37,CO$5&lt;=$F37),IF(CO$5=$E37+1,$C37,""),"")</f>
        <v/>
      </c>
      <c r="CP37" s="34">
        <f>IF(AND(CP$5&gt;$E37,CP$5&lt;=$F37),IF(CP$5=$E37+1,$C37,""),"")</f>
        <v/>
      </c>
      <c r="CQ37" s="34">
        <f>IF(AND(CQ$5&gt;$E37,CQ$5&lt;=$F37),IF(CQ$5=$E37+1,$C37,""),"")</f>
        <v/>
      </c>
      <c r="CR37" s="34">
        <f>IF(AND(CR$5&gt;$E37,CR$5&lt;=$F37),IF(CR$5=$E37+1,$C37,""),"")</f>
        <v/>
      </c>
      <c r="CS37" s="34">
        <f>IF(AND(CS$5&gt;$E37,CS$5&lt;=$F37),IF(CS$5=$E37+1,$C37,""),"")</f>
        <v/>
      </c>
      <c r="CT37" s="34">
        <f>IF(AND(CT$5&gt;$E37,CT$5&lt;=$F37),IF(CT$5=$E37+1,$C37,""),"")</f>
        <v/>
      </c>
      <c r="CU37" s="34">
        <f>IF(AND(CU$5&gt;$E37,CU$5&lt;=$F37),IF(CU$5=$E37+1,$C37,""),"")</f>
        <v/>
      </c>
      <c r="CV37" s="34">
        <f>IF(AND(CV$5&gt;$E37,CV$5&lt;=$F37),IF(CV$5=$E37+1,$C37,""),"")</f>
        <v/>
      </c>
      <c r="CW37" s="34">
        <f>IF(AND(CW$5&gt;$E37,CW$5&lt;=$F37),IF(CW$5=$E37+1,$C37,""),"")</f>
        <v/>
      </c>
      <c r="CX37" s="34">
        <f>IF(AND(CX$5&gt;$E37,CX$5&lt;=$F37),IF(CX$5=$E37+1,$C37,""),"")</f>
        <v/>
      </c>
      <c r="CY37" s="34">
        <f>IF(AND(CY$5&gt;$E37,CY$5&lt;=$F37),IF(CY$5=$E37+1,$C37,""),"")</f>
        <v/>
      </c>
      <c r="CZ37" s="34">
        <f>IF(AND(CZ$5&gt;$E37,CZ$5&lt;=$F37),IF(CZ$5=$E37+1,$C37,""),"")</f>
        <v/>
      </c>
      <c r="DA37" s="34">
        <f>IF(AND(DA$5&gt;$E37,DA$5&lt;=$F37),IF(DA$5=$E37+1,$C37,""),"")</f>
        <v/>
      </c>
      <c r="DB37" s="34">
        <f>IF(AND(DB$5&gt;$E37,DB$5&lt;=$F37),IF(DB$5=$E37+1,$C37,""),"")</f>
        <v/>
      </c>
      <c r="DC37" s="34">
        <f>IF(AND(DC$5&gt;$E37,DC$5&lt;=$F37),IF(DC$5=$E37+1,$C37,""),"")</f>
        <v/>
      </c>
      <c r="DD37" s="34">
        <f>IF(AND(DD$5&gt;$E37,DD$5&lt;=$F37),IF(DD$5=$E37+1,$C37,""),"")</f>
        <v/>
      </c>
      <c r="DE37" s="34">
        <f>IF(AND(DE$5&gt;$E37,DE$5&lt;=$F37),IF(DE$5=$E37+1,$C37,""),"")</f>
        <v/>
      </c>
      <c r="DF37" s="34">
        <f>IF(AND(DF$5&gt;$E37,DF$5&lt;=$F37),IF(DF$5=$E37+1,$C37,""),"")</f>
        <v/>
      </c>
      <c r="DG37" s="34">
        <f>IF(AND(DG$5&gt;$E37,DG$5&lt;=$F37),IF(DG$5=$E37+1,$C37,""),"")</f>
        <v/>
      </c>
      <c r="DH37" s="34">
        <f>IF(AND(DH$5&gt;$E37,DH$5&lt;=$F37),IF(DH$5=$E37+1,$C37,""),"")</f>
        <v/>
      </c>
      <c r="DI37" s="34">
        <f>IF(AND(DI$5&gt;$E37,DI$5&lt;=$F37),IF(DI$5=$E37+1,$C37,""),"")</f>
        <v/>
      </c>
      <c r="DJ37" s="34">
        <f>IF(AND(DJ$5&gt;$E37,DJ$5&lt;=$F37),IF(DJ$5=$E37+1,$C37,""),"")</f>
        <v/>
      </c>
      <c r="DK37" s="34">
        <f>IF(AND(DK$5&gt;$E37,DK$5&lt;=$F37),IF(DK$5=$E37+1,$C37,""),"")</f>
        <v/>
      </c>
      <c r="DL37" s="34">
        <f>IF(AND(DL$5&gt;$E37,DL$5&lt;=$F37),IF(DL$5=$E37+1,$C37,""),"")</f>
        <v/>
      </c>
      <c r="DM37" s="34">
        <f>IF(AND(DM$5&gt;$E37,DM$5&lt;=$F37),IF(DM$5=$E37+1,$C37,""),"")</f>
        <v/>
      </c>
      <c r="DN37" s="34">
        <f>IF(AND(DN$5&gt;$E37,DN$5&lt;=$F37),IF(DN$5=$E37+1,$C37,""),"")</f>
        <v/>
      </c>
      <c r="DO37" s="34">
        <f>IF(AND(DO$5&gt;$E37,DO$5&lt;=$F37),IF(DO$5=$E37+1,$C37,""),"")</f>
        <v/>
      </c>
      <c r="DP37" s="34">
        <f>IF(AND(DP$5&gt;$E37,DP$5&lt;=$F37),IF(DP$5=$E37+1,$C37,""),"")</f>
        <v/>
      </c>
      <c r="DQ37" s="34">
        <f>IF(AND(DQ$5&gt;$E37,DQ$5&lt;=$F37),IF(DQ$5=$E37+1,$C37,""),"")</f>
        <v/>
      </c>
      <c r="DR37" s="34">
        <f>IF(AND(DR$5&gt;$E37,DR$5&lt;=$F37),IF(DR$5=$E37+1,$C37,""),"")</f>
        <v/>
      </c>
      <c r="DS37" s="34">
        <f>IF(AND(DS$5&gt;$E37,DS$5&lt;=$F37),IF(DS$5=$E37+1,$C37,""),"")</f>
        <v/>
      </c>
      <c r="DT37" s="34">
        <f>IF(AND(DT$5&gt;$E37,DT$5&lt;=$F37),IF(DT$5=$E37+1,$C37,""),"")</f>
        <v/>
      </c>
      <c r="DU37" s="34">
        <f>IF(AND(DU$5&gt;$E37,DU$5&lt;=$F37),IF(DU$5=$E37+1,$C37,""),"")</f>
        <v/>
      </c>
      <c r="DV37" s="34">
        <f>IF(AND(DV$5&gt;$E37,DV$5&lt;=$F37),IF(DV$5=$E37+1,$C37,""),"")</f>
        <v/>
      </c>
      <c r="DW37" s="34">
        <f>IF(AND(DW$5&gt;$E37,DW$5&lt;=$F37),IF(DW$5=$E37+1,$C37,""),"")</f>
        <v/>
      </c>
      <c r="DX37" s="34">
        <f>IF(AND(DX$5&gt;$E37,DX$5&lt;=$F37),IF(DX$5=$E37+1,$C37,""),"")</f>
        <v/>
      </c>
      <c r="DY37" s="34">
        <f>IF(AND(DY$5&gt;$E37,DY$5&lt;=$F37),IF(DY$5=$E37+1,$C37,""),"")</f>
        <v/>
      </c>
      <c r="DZ37" s="34">
        <f>IF(AND(DZ$5&gt;$E37,DZ$5&lt;=$F37),IF(DZ$5=$E37+1,$C37,""),"")</f>
        <v/>
      </c>
      <c r="EA37" s="34">
        <f>IF(AND(EA$5&gt;$E37,EA$5&lt;=$F37),IF(EA$5=$E37+1,$C37,""),"")</f>
        <v/>
      </c>
      <c r="EB37" s="34">
        <f>IF(AND(EB$5&gt;$E37,EB$5&lt;=$F37),IF(EB$5=$E37+1,$C37,""),"")</f>
        <v/>
      </c>
      <c r="EC37" s="34">
        <f>IF(AND(EC$5&gt;$E37,EC$5&lt;=$F37),IF(EC$5=$E37+1,$C37,""),"")</f>
        <v/>
      </c>
      <c r="ED37" s="34">
        <f>IF(AND(ED$5&gt;$E37,ED$5&lt;=$F37),IF(ED$5=$E37+1,$C37,""),"")</f>
        <v/>
      </c>
      <c r="EE37" s="34">
        <f>IF(AND(EE$5&gt;$E37,EE$5&lt;=$F37),IF(EE$5=$E37+1,$C37,""),"")</f>
        <v/>
      </c>
      <c r="EF37" s="34">
        <f>IF(AND(EF$5&gt;$E37,EF$5&lt;=$F37),IF(EF$5=$E37+1,$C37,""),"")</f>
        <v/>
      </c>
      <c r="EG37" s="34">
        <f>IF(AND(EG$5&gt;$E37,EG$5&lt;=$F37),IF(EG$5=$E37+1,$C37,""),"")</f>
        <v/>
      </c>
      <c r="EH37" s="34">
        <f>IF(AND(EH$5&gt;$E37,EH$5&lt;=$F37),IF(EH$5=$E37+1,$C37,""),"")</f>
        <v/>
      </c>
      <c r="EI37" s="34">
        <f>IF(AND(EI$5&gt;$E37,EI$5&lt;=$F37),IF(EI$5=$E37+1,$C37,""),"")</f>
        <v/>
      </c>
      <c r="EJ37" s="34">
        <f>IF(AND(EJ$5&gt;$E37,EJ$5&lt;=$F37),IF(EJ$5=$E37+1,$C37,""),"")</f>
        <v/>
      </c>
      <c r="EK37" s="34">
        <f>IF(AND(EK$5&gt;$E37,EK$5&lt;=$F37),IF(EK$5=$E37+1,$C37,""),"")</f>
        <v/>
      </c>
      <c r="EL37" s="34">
        <f>IF(AND(EL$5&gt;$E37,EL$5&lt;=$F37),IF(EL$5=$E37+1,$C37,""),"")</f>
        <v/>
      </c>
      <c r="EM37" s="34">
        <f>IF(AND(EM$5&gt;$E37,EM$5&lt;=$F37),IF(EM$5=$E37+1,$C37,""),"")</f>
        <v/>
      </c>
      <c r="EN37" s="34">
        <f>IF(AND(EN$5&gt;$E37,EN$5&lt;=$F37),IF(EN$5=$E37+1,$C37,""),"")</f>
        <v/>
      </c>
      <c r="EO37" s="34">
        <f>IF(AND(EO$5&gt;$E37,EO$5&lt;=$F37),IF(EO$5=$E37+1,$C37,""),"")</f>
        <v/>
      </c>
      <c r="EP37" s="34">
        <f>IF(AND(EP$5&gt;$E37,EP$5&lt;=$F37),IF(EP$5=$E37+1,$C37,""),"")</f>
        <v/>
      </c>
      <c r="EQ37" s="34">
        <f>IF(AND(EQ$5&gt;$E37,EQ$5&lt;=$F37),IF(EQ$5=$E37+1,$C37,""),"")</f>
        <v/>
      </c>
      <c r="ER37" s="34">
        <f>IF(AND(ER$5&gt;$E37,ER$5&lt;=$F37),IF(ER$5=$E37+1,$C37,""),"")</f>
        <v/>
      </c>
      <c r="ES37" s="34">
        <f>IF(AND(ES$5&gt;$E37,ES$5&lt;=$F37),IF(ES$5=$E37+1,$C37,""),"")</f>
        <v/>
      </c>
      <c r="ET37" s="34">
        <f>IF(AND(ET$5&gt;$E37,ET$5&lt;=$F37),IF(ET$5=$E37+1,$C37,""),"")</f>
        <v/>
      </c>
      <c r="EU37" s="34">
        <f>IF(AND(EU$5&gt;$E37,EU$5&lt;=$F37),IF(EU$5=$E37+1,$C37,""),"")</f>
        <v/>
      </c>
      <c r="EV37" s="34">
        <f>IF(AND(EV$5&gt;$E37,EV$5&lt;=$F37),IF(EV$5=$E37+1,$C37,""),"")</f>
        <v/>
      </c>
      <c r="EW37" s="34">
        <f>IF(AND(EW$5&gt;$E37,EW$5&lt;=$F37),IF(EW$5=$E37+1,$C37,""),"")</f>
        <v/>
      </c>
      <c r="EX37" s="34">
        <f>IF(AND(EX$5&gt;$E37,EX$5&lt;=$F37),IF(EX$5=$E37+1,$C37,""),"")</f>
        <v/>
      </c>
      <c r="EY37" s="34">
        <f>IF(AND(EY$5&gt;$E37,EY$5&lt;=$F37),IF(EY$5=$E37+1,$C37,""),"")</f>
        <v/>
      </c>
      <c r="EZ37" s="34">
        <f>IF(AND(EZ$5&gt;$E37,EZ$5&lt;=$F37),IF(EZ$5=$E37+1,$C37,""),"")</f>
        <v/>
      </c>
      <c r="FA37" s="34">
        <f>IF(AND(FA$5&gt;$E37,FA$5&lt;=$F37),IF(FA$5=$E37+1,$C37,""),"")</f>
        <v/>
      </c>
    </row>
    <row r="38">
      <c r="A38" s="32">
        <f>Plan!A29</f>
        <v/>
      </c>
      <c r="B38" s="33">
        <f>Plan!C29</f>
        <v/>
      </c>
      <c r="C38" s="16">
        <f>Plan!D29</f>
        <v/>
      </c>
      <c r="D38" s="16">
        <f>Plan!I29</f>
        <v/>
      </c>
      <c r="E38" s="16">
        <f>Plan!K29</f>
        <v/>
      </c>
      <c r="F38" s="16">
        <f>Plan!L29</f>
        <v/>
      </c>
      <c r="G38" s="16">
        <f>Plan!O29</f>
        <v/>
      </c>
      <c r="H38" s="34">
        <f>IF(AND(H$5&gt;$E38,H$5&lt;=$F38),IF(H$5=$E38+1,$C38,""),"")</f>
        <v/>
      </c>
      <c r="I38" s="34">
        <f>IF(AND(I$5&gt;$E38,I$5&lt;=$F38),IF(I$5=$E38+1,$C38,""),"")</f>
        <v/>
      </c>
      <c r="J38" s="34">
        <f>IF(AND(J$5&gt;$E38,J$5&lt;=$F38),IF(J$5=$E38+1,$C38,""),"")</f>
        <v/>
      </c>
      <c r="K38" s="34">
        <f>IF(AND(K$5&gt;$E38,K$5&lt;=$F38),IF(K$5=$E38+1,$C38,""),"")</f>
        <v/>
      </c>
      <c r="L38" s="34">
        <f>IF(AND(L$5&gt;$E38,L$5&lt;=$F38),IF(L$5=$E38+1,$C38,""),"")</f>
        <v/>
      </c>
      <c r="M38" s="34">
        <f>IF(AND(M$5&gt;$E38,M$5&lt;=$F38),IF(M$5=$E38+1,$C38,""),"")</f>
        <v/>
      </c>
      <c r="N38" s="34">
        <f>IF(AND(N$5&gt;$E38,N$5&lt;=$F38),IF(N$5=$E38+1,$C38,""),"")</f>
        <v/>
      </c>
      <c r="O38" s="34">
        <f>IF(AND(O$5&gt;$E38,O$5&lt;=$F38),IF(O$5=$E38+1,$C38,""),"")</f>
        <v/>
      </c>
      <c r="P38" s="34">
        <f>IF(AND(P$5&gt;$E38,P$5&lt;=$F38),IF(P$5=$E38+1,$C38,""),"")</f>
        <v/>
      </c>
      <c r="Q38" s="34">
        <f>IF(AND(Q$5&gt;$E38,Q$5&lt;=$F38),IF(Q$5=$E38+1,$C38,""),"")</f>
        <v/>
      </c>
      <c r="R38" s="34">
        <f>IF(AND(R$5&gt;$E38,R$5&lt;=$F38),IF(R$5=$E38+1,$C38,""),"")</f>
        <v/>
      </c>
      <c r="S38" s="34">
        <f>IF(AND(S$5&gt;$E38,S$5&lt;=$F38),IF(S$5=$E38+1,$C38,""),"")</f>
        <v/>
      </c>
      <c r="T38" s="34">
        <f>IF(AND(T$5&gt;$E38,T$5&lt;=$F38),IF(T$5=$E38+1,$C38,""),"")</f>
        <v/>
      </c>
      <c r="U38" s="34">
        <f>IF(AND(U$5&gt;$E38,U$5&lt;=$F38),IF(U$5=$E38+1,$C38,""),"")</f>
        <v/>
      </c>
      <c r="V38" s="34">
        <f>IF(AND(V$5&gt;$E38,V$5&lt;=$F38),IF(V$5=$E38+1,$C38,""),"")</f>
        <v/>
      </c>
      <c r="W38" s="34">
        <f>IF(AND(W$5&gt;$E38,W$5&lt;=$F38),IF(W$5=$E38+1,$C38,""),"")</f>
        <v/>
      </c>
      <c r="X38" s="34">
        <f>IF(AND(X$5&gt;$E38,X$5&lt;=$F38),IF(X$5=$E38+1,$C38,""),"")</f>
        <v/>
      </c>
      <c r="Y38" s="34">
        <f>IF(AND(Y$5&gt;$E38,Y$5&lt;=$F38),IF(Y$5=$E38+1,$C38,""),"")</f>
        <v/>
      </c>
      <c r="Z38" s="34">
        <f>IF(AND(Z$5&gt;$E38,Z$5&lt;=$F38),IF(Z$5=$E38+1,$C38,""),"")</f>
        <v/>
      </c>
      <c r="AA38" s="34">
        <f>IF(AND(AA$5&gt;$E38,AA$5&lt;=$F38),IF(AA$5=$E38+1,$C38,""),"")</f>
        <v/>
      </c>
      <c r="AB38" s="34">
        <f>IF(AND(AB$5&gt;$E38,AB$5&lt;=$F38),IF(AB$5=$E38+1,$C38,""),"")</f>
        <v/>
      </c>
      <c r="AC38" s="34">
        <f>IF(AND(AC$5&gt;$E38,AC$5&lt;=$F38),IF(AC$5=$E38+1,$C38,""),"")</f>
        <v/>
      </c>
      <c r="AD38" s="34">
        <f>IF(AND(AD$5&gt;$E38,AD$5&lt;=$F38),IF(AD$5=$E38+1,$C38,""),"")</f>
        <v/>
      </c>
      <c r="AE38" s="34">
        <f>IF(AND(AE$5&gt;$E38,AE$5&lt;=$F38),IF(AE$5=$E38+1,$C38,""),"")</f>
        <v/>
      </c>
      <c r="AF38" s="34">
        <f>IF(AND(AF$5&gt;$E38,AF$5&lt;=$F38),IF(AF$5=$E38+1,$C38,""),"")</f>
        <v/>
      </c>
      <c r="AG38" s="34">
        <f>IF(AND(AG$5&gt;$E38,AG$5&lt;=$F38),IF(AG$5=$E38+1,$C38,""),"")</f>
        <v/>
      </c>
      <c r="AH38" s="34">
        <f>IF(AND(AH$5&gt;$E38,AH$5&lt;=$F38),IF(AH$5=$E38+1,$C38,""),"")</f>
        <v/>
      </c>
      <c r="AI38" s="34">
        <f>IF(AND(AI$5&gt;$E38,AI$5&lt;=$F38),IF(AI$5=$E38+1,$C38,""),"")</f>
        <v/>
      </c>
      <c r="AJ38" s="34">
        <f>IF(AND(AJ$5&gt;$E38,AJ$5&lt;=$F38),IF(AJ$5=$E38+1,$C38,""),"")</f>
        <v/>
      </c>
      <c r="AK38" s="34">
        <f>IF(AND(AK$5&gt;$E38,AK$5&lt;=$F38),IF(AK$5=$E38+1,$C38,""),"")</f>
        <v/>
      </c>
      <c r="AL38" s="34">
        <f>IF(AND(AL$5&gt;$E38,AL$5&lt;=$F38),IF(AL$5=$E38+1,$C38,""),"")</f>
        <v/>
      </c>
      <c r="AM38" s="34">
        <f>IF(AND(AM$5&gt;$E38,AM$5&lt;=$F38),IF(AM$5=$E38+1,$C38,""),"")</f>
        <v/>
      </c>
      <c r="AN38" s="34">
        <f>IF(AND(AN$5&gt;$E38,AN$5&lt;=$F38),IF(AN$5=$E38+1,$C38,""),"")</f>
        <v/>
      </c>
      <c r="AO38" s="34">
        <f>IF(AND(AO$5&gt;$E38,AO$5&lt;=$F38),IF(AO$5=$E38+1,$C38,""),"")</f>
        <v/>
      </c>
      <c r="AP38" s="34">
        <f>IF(AND(AP$5&gt;$E38,AP$5&lt;=$F38),IF(AP$5=$E38+1,$C38,""),"")</f>
        <v/>
      </c>
      <c r="AQ38" s="34">
        <f>IF(AND(AQ$5&gt;$E38,AQ$5&lt;=$F38),IF(AQ$5=$E38+1,$C38,""),"")</f>
        <v/>
      </c>
      <c r="AR38" s="34">
        <f>IF(AND(AR$5&gt;$E38,AR$5&lt;=$F38),IF(AR$5=$E38+1,$C38,""),"")</f>
        <v/>
      </c>
      <c r="AS38" s="34">
        <f>IF(AND(AS$5&gt;$E38,AS$5&lt;=$F38),IF(AS$5=$E38+1,$C38,""),"")</f>
        <v/>
      </c>
      <c r="AT38" s="34">
        <f>IF(AND(AT$5&gt;$E38,AT$5&lt;=$F38),IF(AT$5=$E38+1,$C38,""),"")</f>
        <v/>
      </c>
      <c r="AU38" s="34">
        <f>IF(AND(AU$5&gt;$E38,AU$5&lt;=$F38),IF(AU$5=$E38+1,$C38,""),"")</f>
        <v/>
      </c>
      <c r="AV38" s="34">
        <f>IF(AND(AV$5&gt;$E38,AV$5&lt;=$F38),IF(AV$5=$E38+1,$C38,""),"")</f>
        <v/>
      </c>
      <c r="AW38" s="34">
        <f>IF(AND(AW$5&gt;$E38,AW$5&lt;=$F38),IF(AW$5=$E38+1,$C38,""),"")</f>
        <v/>
      </c>
      <c r="AX38" s="34">
        <f>IF(AND(AX$5&gt;$E38,AX$5&lt;=$F38),IF(AX$5=$E38+1,$C38,""),"")</f>
        <v/>
      </c>
      <c r="AY38" s="34">
        <f>IF(AND(AY$5&gt;$E38,AY$5&lt;=$F38),IF(AY$5=$E38+1,$C38,""),"")</f>
        <v/>
      </c>
      <c r="AZ38" s="34">
        <f>IF(AND(AZ$5&gt;$E38,AZ$5&lt;=$F38),IF(AZ$5=$E38+1,$C38,""),"")</f>
        <v/>
      </c>
      <c r="BA38" s="34">
        <f>IF(AND(BA$5&gt;$E38,BA$5&lt;=$F38),IF(BA$5=$E38+1,$C38,""),"")</f>
        <v/>
      </c>
      <c r="BB38" s="34">
        <f>IF(AND(BB$5&gt;$E38,BB$5&lt;=$F38),IF(BB$5=$E38+1,$C38,""),"")</f>
        <v/>
      </c>
      <c r="BC38" s="34">
        <f>IF(AND(BC$5&gt;$E38,BC$5&lt;=$F38),IF(BC$5=$E38+1,$C38,""),"")</f>
        <v/>
      </c>
      <c r="BD38" s="34">
        <f>IF(AND(BD$5&gt;$E38,BD$5&lt;=$F38),IF(BD$5=$E38+1,$C38,""),"")</f>
        <v/>
      </c>
      <c r="BE38" s="34">
        <f>IF(AND(BE$5&gt;$E38,BE$5&lt;=$F38),IF(BE$5=$E38+1,$C38,""),"")</f>
        <v/>
      </c>
      <c r="BF38" s="34">
        <f>IF(AND(BF$5&gt;$E38,BF$5&lt;=$F38),IF(BF$5=$E38+1,$C38,""),"")</f>
        <v/>
      </c>
      <c r="BG38" s="34">
        <f>IF(AND(BG$5&gt;$E38,BG$5&lt;=$F38),IF(BG$5=$E38+1,$C38,""),"")</f>
        <v/>
      </c>
      <c r="BH38" s="34">
        <f>IF(AND(BH$5&gt;$E38,BH$5&lt;=$F38),IF(BH$5=$E38+1,$C38,""),"")</f>
        <v/>
      </c>
      <c r="BI38" s="34">
        <f>IF(AND(BI$5&gt;$E38,BI$5&lt;=$F38),IF(BI$5=$E38+1,$C38,""),"")</f>
        <v/>
      </c>
      <c r="BJ38" s="34">
        <f>IF(AND(BJ$5&gt;$E38,BJ$5&lt;=$F38),IF(BJ$5=$E38+1,$C38,""),"")</f>
        <v/>
      </c>
      <c r="BK38" s="34">
        <f>IF(AND(BK$5&gt;$E38,BK$5&lt;=$F38),IF(BK$5=$E38+1,$C38,""),"")</f>
        <v/>
      </c>
      <c r="BL38" s="34">
        <f>IF(AND(BL$5&gt;$E38,BL$5&lt;=$F38),IF(BL$5=$E38+1,$C38,""),"")</f>
        <v/>
      </c>
      <c r="BM38" s="34">
        <f>IF(AND(BM$5&gt;$E38,BM$5&lt;=$F38),IF(BM$5=$E38+1,$C38,""),"")</f>
        <v/>
      </c>
      <c r="BN38" s="34">
        <f>IF(AND(BN$5&gt;$E38,BN$5&lt;=$F38),IF(BN$5=$E38+1,$C38,""),"")</f>
        <v/>
      </c>
      <c r="BO38" s="34">
        <f>IF(AND(BO$5&gt;$E38,BO$5&lt;=$F38),IF(BO$5=$E38+1,$C38,""),"")</f>
        <v/>
      </c>
      <c r="BP38" s="34">
        <f>IF(AND(BP$5&gt;$E38,BP$5&lt;=$F38),IF(BP$5=$E38+1,$C38,""),"")</f>
        <v/>
      </c>
      <c r="BQ38" s="34">
        <f>IF(AND(BQ$5&gt;$E38,BQ$5&lt;=$F38),IF(BQ$5=$E38+1,$C38,""),"")</f>
        <v/>
      </c>
      <c r="BR38" s="34">
        <f>IF(AND(BR$5&gt;$E38,BR$5&lt;=$F38),IF(BR$5=$E38+1,$C38,""),"")</f>
        <v/>
      </c>
      <c r="BS38" s="34">
        <f>IF(AND(BS$5&gt;$E38,BS$5&lt;=$F38),IF(BS$5=$E38+1,$C38,""),"")</f>
        <v/>
      </c>
      <c r="BT38" s="34">
        <f>IF(AND(BT$5&gt;$E38,BT$5&lt;=$F38),IF(BT$5=$E38+1,$C38,""),"")</f>
        <v/>
      </c>
      <c r="BU38" s="34">
        <f>IF(AND(BU$5&gt;$E38,BU$5&lt;=$F38),IF(BU$5=$E38+1,$C38,""),"")</f>
        <v/>
      </c>
      <c r="BV38" s="34">
        <f>IF(AND(BV$5&gt;$E38,BV$5&lt;=$F38),IF(BV$5=$E38+1,$C38,""),"")</f>
        <v/>
      </c>
      <c r="BW38" s="34">
        <f>IF(AND(BW$5&gt;$E38,BW$5&lt;=$F38),IF(BW$5=$E38+1,$C38,""),"")</f>
        <v/>
      </c>
      <c r="BX38" s="34">
        <f>IF(AND(BX$5&gt;$E38,BX$5&lt;=$F38),IF(BX$5=$E38+1,$C38,""),"")</f>
        <v/>
      </c>
      <c r="BY38" s="34">
        <f>IF(AND(BY$5&gt;$E38,BY$5&lt;=$F38),IF(BY$5=$E38+1,$C38,""),"")</f>
        <v/>
      </c>
      <c r="BZ38" s="34">
        <f>IF(AND(BZ$5&gt;$E38,BZ$5&lt;=$F38),IF(BZ$5=$E38+1,$C38,""),"")</f>
        <v/>
      </c>
      <c r="CA38" s="34">
        <f>IF(AND(CA$5&gt;$E38,CA$5&lt;=$F38),IF(CA$5=$E38+1,$C38,""),"")</f>
        <v/>
      </c>
      <c r="CB38" s="34">
        <f>IF(AND(CB$5&gt;$E38,CB$5&lt;=$F38),IF(CB$5=$E38+1,$C38,""),"")</f>
        <v/>
      </c>
      <c r="CC38" s="34">
        <f>IF(AND(CC$5&gt;$E38,CC$5&lt;=$F38),IF(CC$5=$E38+1,$C38,""),"")</f>
        <v/>
      </c>
      <c r="CD38" s="34">
        <f>IF(AND(CD$5&gt;$E38,CD$5&lt;=$F38),IF(CD$5=$E38+1,$C38,""),"")</f>
        <v/>
      </c>
      <c r="CE38" s="34">
        <f>IF(AND(CE$5&gt;$E38,CE$5&lt;=$F38),IF(CE$5=$E38+1,$C38,""),"")</f>
        <v/>
      </c>
      <c r="CF38" s="34">
        <f>IF(AND(CF$5&gt;$E38,CF$5&lt;=$F38),IF(CF$5=$E38+1,$C38,""),"")</f>
        <v/>
      </c>
      <c r="CG38" s="34">
        <f>IF(AND(CG$5&gt;$E38,CG$5&lt;=$F38),IF(CG$5=$E38+1,$C38,""),"")</f>
        <v/>
      </c>
      <c r="CH38" s="34">
        <f>IF(AND(CH$5&gt;$E38,CH$5&lt;=$F38),IF(CH$5=$E38+1,$C38,""),"")</f>
        <v/>
      </c>
      <c r="CI38" s="34">
        <f>IF(AND(CI$5&gt;$E38,CI$5&lt;=$F38),IF(CI$5=$E38+1,$C38,""),"")</f>
        <v/>
      </c>
      <c r="CJ38" s="34">
        <f>IF(AND(CJ$5&gt;$E38,CJ$5&lt;=$F38),IF(CJ$5=$E38+1,$C38,""),"")</f>
        <v/>
      </c>
      <c r="CK38" s="34">
        <f>IF(AND(CK$5&gt;$E38,CK$5&lt;=$F38),IF(CK$5=$E38+1,$C38,""),"")</f>
        <v/>
      </c>
      <c r="CL38" s="34">
        <f>IF(AND(CL$5&gt;$E38,CL$5&lt;=$F38),IF(CL$5=$E38+1,$C38,""),"")</f>
        <v/>
      </c>
      <c r="CM38" s="34">
        <f>IF(AND(CM$5&gt;$E38,CM$5&lt;=$F38),IF(CM$5=$E38+1,$C38,""),"")</f>
        <v/>
      </c>
      <c r="CN38" s="34">
        <f>IF(AND(CN$5&gt;$E38,CN$5&lt;=$F38),IF(CN$5=$E38+1,$C38,""),"")</f>
        <v/>
      </c>
      <c r="CO38" s="34">
        <f>IF(AND(CO$5&gt;$E38,CO$5&lt;=$F38),IF(CO$5=$E38+1,$C38,""),"")</f>
        <v/>
      </c>
      <c r="CP38" s="34">
        <f>IF(AND(CP$5&gt;$E38,CP$5&lt;=$F38),IF(CP$5=$E38+1,$C38,""),"")</f>
        <v/>
      </c>
      <c r="CQ38" s="34">
        <f>IF(AND(CQ$5&gt;$E38,CQ$5&lt;=$F38),IF(CQ$5=$E38+1,$C38,""),"")</f>
        <v/>
      </c>
      <c r="CR38" s="34">
        <f>IF(AND(CR$5&gt;$E38,CR$5&lt;=$F38),IF(CR$5=$E38+1,$C38,""),"")</f>
        <v/>
      </c>
      <c r="CS38" s="34">
        <f>IF(AND(CS$5&gt;$E38,CS$5&lt;=$F38),IF(CS$5=$E38+1,$C38,""),"")</f>
        <v/>
      </c>
      <c r="CT38" s="34">
        <f>IF(AND(CT$5&gt;$E38,CT$5&lt;=$F38),IF(CT$5=$E38+1,$C38,""),"")</f>
        <v/>
      </c>
      <c r="CU38" s="34">
        <f>IF(AND(CU$5&gt;$E38,CU$5&lt;=$F38),IF(CU$5=$E38+1,$C38,""),"")</f>
        <v/>
      </c>
      <c r="CV38" s="34">
        <f>IF(AND(CV$5&gt;$E38,CV$5&lt;=$F38),IF(CV$5=$E38+1,$C38,""),"")</f>
        <v/>
      </c>
      <c r="CW38" s="34">
        <f>IF(AND(CW$5&gt;$E38,CW$5&lt;=$F38),IF(CW$5=$E38+1,$C38,""),"")</f>
        <v/>
      </c>
      <c r="CX38" s="34">
        <f>IF(AND(CX$5&gt;$E38,CX$5&lt;=$F38),IF(CX$5=$E38+1,$C38,""),"")</f>
        <v/>
      </c>
      <c r="CY38" s="34">
        <f>IF(AND(CY$5&gt;$E38,CY$5&lt;=$F38),IF(CY$5=$E38+1,$C38,""),"")</f>
        <v/>
      </c>
      <c r="CZ38" s="34">
        <f>IF(AND(CZ$5&gt;$E38,CZ$5&lt;=$F38),IF(CZ$5=$E38+1,$C38,""),"")</f>
        <v/>
      </c>
      <c r="DA38" s="34">
        <f>IF(AND(DA$5&gt;$E38,DA$5&lt;=$F38),IF(DA$5=$E38+1,$C38,""),"")</f>
        <v/>
      </c>
      <c r="DB38" s="34">
        <f>IF(AND(DB$5&gt;$E38,DB$5&lt;=$F38),IF(DB$5=$E38+1,$C38,""),"")</f>
        <v/>
      </c>
      <c r="DC38" s="34">
        <f>IF(AND(DC$5&gt;$E38,DC$5&lt;=$F38),IF(DC$5=$E38+1,$C38,""),"")</f>
        <v/>
      </c>
      <c r="DD38" s="34">
        <f>IF(AND(DD$5&gt;$E38,DD$5&lt;=$F38),IF(DD$5=$E38+1,$C38,""),"")</f>
        <v/>
      </c>
      <c r="DE38" s="34">
        <f>IF(AND(DE$5&gt;$E38,DE$5&lt;=$F38),IF(DE$5=$E38+1,$C38,""),"")</f>
        <v/>
      </c>
      <c r="DF38" s="34">
        <f>IF(AND(DF$5&gt;$E38,DF$5&lt;=$F38),IF(DF$5=$E38+1,$C38,""),"")</f>
        <v/>
      </c>
      <c r="DG38" s="34">
        <f>IF(AND(DG$5&gt;$E38,DG$5&lt;=$F38),IF(DG$5=$E38+1,$C38,""),"")</f>
        <v/>
      </c>
      <c r="DH38" s="34">
        <f>IF(AND(DH$5&gt;$E38,DH$5&lt;=$F38),IF(DH$5=$E38+1,$C38,""),"")</f>
        <v/>
      </c>
      <c r="DI38" s="34">
        <f>IF(AND(DI$5&gt;$E38,DI$5&lt;=$F38),IF(DI$5=$E38+1,$C38,""),"")</f>
        <v/>
      </c>
      <c r="DJ38" s="34">
        <f>IF(AND(DJ$5&gt;$E38,DJ$5&lt;=$F38),IF(DJ$5=$E38+1,$C38,""),"")</f>
        <v/>
      </c>
      <c r="DK38" s="34">
        <f>IF(AND(DK$5&gt;$E38,DK$5&lt;=$F38),IF(DK$5=$E38+1,$C38,""),"")</f>
        <v/>
      </c>
      <c r="DL38" s="34">
        <f>IF(AND(DL$5&gt;$E38,DL$5&lt;=$F38),IF(DL$5=$E38+1,$C38,""),"")</f>
        <v/>
      </c>
      <c r="DM38" s="34">
        <f>IF(AND(DM$5&gt;$E38,DM$5&lt;=$F38),IF(DM$5=$E38+1,$C38,""),"")</f>
        <v/>
      </c>
      <c r="DN38" s="34">
        <f>IF(AND(DN$5&gt;$E38,DN$5&lt;=$F38),IF(DN$5=$E38+1,$C38,""),"")</f>
        <v/>
      </c>
      <c r="DO38" s="34">
        <f>IF(AND(DO$5&gt;$E38,DO$5&lt;=$F38),IF(DO$5=$E38+1,$C38,""),"")</f>
        <v/>
      </c>
      <c r="DP38" s="34">
        <f>IF(AND(DP$5&gt;$E38,DP$5&lt;=$F38),IF(DP$5=$E38+1,$C38,""),"")</f>
        <v/>
      </c>
      <c r="DQ38" s="34">
        <f>IF(AND(DQ$5&gt;$E38,DQ$5&lt;=$F38),IF(DQ$5=$E38+1,$C38,""),"")</f>
        <v/>
      </c>
      <c r="DR38" s="34">
        <f>IF(AND(DR$5&gt;$E38,DR$5&lt;=$F38),IF(DR$5=$E38+1,$C38,""),"")</f>
        <v/>
      </c>
      <c r="DS38" s="34">
        <f>IF(AND(DS$5&gt;$E38,DS$5&lt;=$F38),IF(DS$5=$E38+1,$C38,""),"")</f>
        <v/>
      </c>
      <c r="DT38" s="34">
        <f>IF(AND(DT$5&gt;$E38,DT$5&lt;=$F38),IF(DT$5=$E38+1,$C38,""),"")</f>
        <v/>
      </c>
      <c r="DU38" s="34">
        <f>IF(AND(DU$5&gt;$E38,DU$5&lt;=$F38),IF(DU$5=$E38+1,$C38,""),"")</f>
        <v/>
      </c>
      <c r="DV38" s="34">
        <f>IF(AND(DV$5&gt;$E38,DV$5&lt;=$F38),IF(DV$5=$E38+1,$C38,""),"")</f>
        <v/>
      </c>
      <c r="DW38" s="34">
        <f>IF(AND(DW$5&gt;$E38,DW$5&lt;=$F38),IF(DW$5=$E38+1,$C38,""),"")</f>
        <v/>
      </c>
      <c r="DX38" s="34">
        <f>IF(AND(DX$5&gt;$E38,DX$5&lt;=$F38),IF(DX$5=$E38+1,$C38,""),"")</f>
        <v/>
      </c>
      <c r="DY38" s="34">
        <f>IF(AND(DY$5&gt;$E38,DY$5&lt;=$F38),IF(DY$5=$E38+1,$C38,""),"")</f>
        <v/>
      </c>
      <c r="DZ38" s="34">
        <f>IF(AND(DZ$5&gt;$E38,DZ$5&lt;=$F38),IF(DZ$5=$E38+1,$C38,""),"")</f>
        <v/>
      </c>
      <c r="EA38" s="34">
        <f>IF(AND(EA$5&gt;$E38,EA$5&lt;=$F38),IF(EA$5=$E38+1,$C38,""),"")</f>
        <v/>
      </c>
      <c r="EB38" s="34">
        <f>IF(AND(EB$5&gt;$E38,EB$5&lt;=$F38),IF(EB$5=$E38+1,$C38,""),"")</f>
        <v/>
      </c>
      <c r="EC38" s="34">
        <f>IF(AND(EC$5&gt;$E38,EC$5&lt;=$F38),IF(EC$5=$E38+1,$C38,""),"")</f>
        <v/>
      </c>
      <c r="ED38" s="34">
        <f>IF(AND(ED$5&gt;$E38,ED$5&lt;=$F38),IF(ED$5=$E38+1,$C38,""),"")</f>
        <v/>
      </c>
      <c r="EE38" s="34">
        <f>IF(AND(EE$5&gt;$E38,EE$5&lt;=$F38),IF(EE$5=$E38+1,$C38,""),"")</f>
        <v/>
      </c>
      <c r="EF38" s="34">
        <f>IF(AND(EF$5&gt;$E38,EF$5&lt;=$F38),IF(EF$5=$E38+1,$C38,""),"")</f>
        <v/>
      </c>
      <c r="EG38" s="34">
        <f>IF(AND(EG$5&gt;$E38,EG$5&lt;=$F38),IF(EG$5=$E38+1,$C38,""),"")</f>
        <v/>
      </c>
      <c r="EH38" s="34">
        <f>IF(AND(EH$5&gt;$E38,EH$5&lt;=$F38),IF(EH$5=$E38+1,$C38,""),"")</f>
        <v/>
      </c>
      <c r="EI38" s="34">
        <f>IF(AND(EI$5&gt;$E38,EI$5&lt;=$F38),IF(EI$5=$E38+1,$C38,""),"")</f>
        <v/>
      </c>
      <c r="EJ38" s="34">
        <f>IF(AND(EJ$5&gt;$E38,EJ$5&lt;=$F38),IF(EJ$5=$E38+1,$C38,""),"")</f>
        <v/>
      </c>
      <c r="EK38" s="34">
        <f>IF(AND(EK$5&gt;$E38,EK$5&lt;=$F38),IF(EK$5=$E38+1,$C38,""),"")</f>
        <v/>
      </c>
      <c r="EL38" s="34">
        <f>IF(AND(EL$5&gt;$E38,EL$5&lt;=$F38),IF(EL$5=$E38+1,$C38,""),"")</f>
        <v/>
      </c>
      <c r="EM38" s="34">
        <f>IF(AND(EM$5&gt;$E38,EM$5&lt;=$F38),IF(EM$5=$E38+1,$C38,""),"")</f>
        <v/>
      </c>
      <c r="EN38" s="34">
        <f>IF(AND(EN$5&gt;$E38,EN$5&lt;=$F38),IF(EN$5=$E38+1,$C38,""),"")</f>
        <v/>
      </c>
      <c r="EO38" s="34">
        <f>IF(AND(EO$5&gt;$E38,EO$5&lt;=$F38),IF(EO$5=$E38+1,$C38,""),"")</f>
        <v/>
      </c>
      <c r="EP38" s="34">
        <f>IF(AND(EP$5&gt;$E38,EP$5&lt;=$F38),IF(EP$5=$E38+1,$C38,""),"")</f>
        <v/>
      </c>
      <c r="EQ38" s="34">
        <f>IF(AND(EQ$5&gt;$E38,EQ$5&lt;=$F38),IF(EQ$5=$E38+1,$C38,""),"")</f>
        <v/>
      </c>
      <c r="ER38" s="34">
        <f>IF(AND(ER$5&gt;$E38,ER$5&lt;=$F38),IF(ER$5=$E38+1,$C38,""),"")</f>
        <v/>
      </c>
      <c r="ES38" s="34">
        <f>IF(AND(ES$5&gt;$E38,ES$5&lt;=$F38),IF(ES$5=$E38+1,$C38,""),"")</f>
        <v/>
      </c>
      <c r="ET38" s="34">
        <f>IF(AND(ET$5&gt;$E38,ET$5&lt;=$F38),IF(ET$5=$E38+1,$C38,""),"")</f>
        <v/>
      </c>
      <c r="EU38" s="34">
        <f>IF(AND(EU$5&gt;$E38,EU$5&lt;=$F38),IF(EU$5=$E38+1,$C38,""),"")</f>
        <v/>
      </c>
      <c r="EV38" s="34">
        <f>IF(AND(EV$5&gt;$E38,EV$5&lt;=$F38),IF(EV$5=$E38+1,$C38,""),"")</f>
        <v/>
      </c>
      <c r="EW38" s="34">
        <f>IF(AND(EW$5&gt;$E38,EW$5&lt;=$F38),IF(EW$5=$E38+1,$C38,""),"")</f>
        <v/>
      </c>
      <c r="EX38" s="34">
        <f>IF(AND(EX$5&gt;$E38,EX$5&lt;=$F38),IF(EX$5=$E38+1,$C38,""),"")</f>
        <v/>
      </c>
      <c r="EY38" s="34">
        <f>IF(AND(EY$5&gt;$E38,EY$5&lt;=$F38),IF(EY$5=$E38+1,$C38,""),"")</f>
        <v/>
      </c>
      <c r="EZ38" s="34">
        <f>IF(AND(EZ$5&gt;$E38,EZ$5&lt;=$F38),IF(EZ$5=$E38+1,$C38,""),"")</f>
        <v/>
      </c>
      <c r="FA38" s="34">
        <f>IF(AND(FA$5&gt;$E38,FA$5&lt;=$F38),IF(FA$5=$E38+1,$C38,""),"")</f>
        <v/>
      </c>
    </row>
    <row r="39">
      <c r="A39" s="32">
        <f>Plan!A30</f>
        <v/>
      </c>
      <c r="B39" s="33">
        <f>Plan!C30</f>
        <v/>
      </c>
      <c r="C39" s="16">
        <f>Plan!D30</f>
        <v/>
      </c>
      <c r="D39" s="16">
        <f>Plan!I30</f>
        <v/>
      </c>
      <c r="E39" s="16">
        <f>Plan!K30</f>
        <v/>
      </c>
      <c r="F39" s="16">
        <f>Plan!L30</f>
        <v/>
      </c>
      <c r="G39" s="16">
        <f>Plan!O30</f>
        <v/>
      </c>
      <c r="H39" s="34">
        <f>IF(AND(H$5&gt;$E39,H$5&lt;=$F39),IF(H$5=$E39+1,$C39,""),"")</f>
        <v/>
      </c>
      <c r="I39" s="34">
        <f>IF(AND(I$5&gt;$E39,I$5&lt;=$F39),IF(I$5=$E39+1,$C39,""),"")</f>
        <v/>
      </c>
      <c r="J39" s="34">
        <f>IF(AND(J$5&gt;$E39,J$5&lt;=$F39),IF(J$5=$E39+1,$C39,""),"")</f>
        <v/>
      </c>
      <c r="K39" s="34">
        <f>IF(AND(K$5&gt;$E39,K$5&lt;=$F39),IF(K$5=$E39+1,$C39,""),"")</f>
        <v/>
      </c>
      <c r="L39" s="34">
        <f>IF(AND(L$5&gt;$E39,L$5&lt;=$F39),IF(L$5=$E39+1,$C39,""),"")</f>
        <v/>
      </c>
      <c r="M39" s="34">
        <f>IF(AND(M$5&gt;$E39,M$5&lt;=$F39),IF(M$5=$E39+1,$C39,""),"")</f>
        <v/>
      </c>
      <c r="N39" s="34">
        <f>IF(AND(N$5&gt;$E39,N$5&lt;=$F39),IF(N$5=$E39+1,$C39,""),"")</f>
        <v/>
      </c>
      <c r="O39" s="34">
        <f>IF(AND(O$5&gt;$E39,O$5&lt;=$F39),IF(O$5=$E39+1,$C39,""),"")</f>
        <v/>
      </c>
      <c r="P39" s="34">
        <f>IF(AND(P$5&gt;$E39,P$5&lt;=$F39),IF(P$5=$E39+1,$C39,""),"")</f>
        <v/>
      </c>
      <c r="Q39" s="34">
        <f>IF(AND(Q$5&gt;$E39,Q$5&lt;=$F39),IF(Q$5=$E39+1,$C39,""),"")</f>
        <v/>
      </c>
      <c r="R39" s="34">
        <f>IF(AND(R$5&gt;$E39,R$5&lt;=$F39),IF(R$5=$E39+1,$C39,""),"")</f>
        <v/>
      </c>
      <c r="S39" s="34">
        <f>IF(AND(S$5&gt;$E39,S$5&lt;=$F39),IF(S$5=$E39+1,$C39,""),"")</f>
        <v/>
      </c>
      <c r="T39" s="34">
        <f>IF(AND(T$5&gt;$E39,T$5&lt;=$F39),IF(T$5=$E39+1,$C39,""),"")</f>
        <v/>
      </c>
      <c r="U39" s="34">
        <f>IF(AND(U$5&gt;$E39,U$5&lt;=$F39),IF(U$5=$E39+1,$C39,""),"")</f>
        <v/>
      </c>
      <c r="V39" s="34">
        <f>IF(AND(V$5&gt;$E39,V$5&lt;=$F39),IF(V$5=$E39+1,$C39,""),"")</f>
        <v/>
      </c>
      <c r="W39" s="34">
        <f>IF(AND(W$5&gt;$E39,W$5&lt;=$F39),IF(W$5=$E39+1,$C39,""),"")</f>
        <v/>
      </c>
      <c r="X39" s="34">
        <f>IF(AND(X$5&gt;$E39,X$5&lt;=$F39),IF(X$5=$E39+1,$C39,""),"")</f>
        <v/>
      </c>
      <c r="Y39" s="34">
        <f>IF(AND(Y$5&gt;$E39,Y$5&lt;=$F39),IF(Y$5=$E39+1,$C39,""),"")</f>
        <v/>
      </c>
      <c r="Z39" s="34">
        <f>IF(AND(Z$5&gt;$E39,Z$5&lt;=$F39),IF(Z$5=$E39+1,$C39,""),"")</f>
        <v/>
      </c>
      <c r="AA39" s="34">
        <f>IF(AND(AA$5&gt;$E39,AA$5&lt;=$F39),IF(AA$5=$E39+1,$C39,""),"")</f>
        <v/>
      </c>
      <c r="AB39" s="34">
        <f>IF(AND(AB$5&gt;$E39,AB$5&lt;=$F39),IF(AB$5=$E39+1,$C39,""),"")</f>
        <v/>
      </c>
      <c r="AC39" s="34">
        <f>IF(AND(AC$5&gt;$E39,AC$5&lt;=$F39),IF(AC$5=$E39+1,$C39,""),"")</f>
        <v/>
      </c>
      <c r="AD39" s="34">
        <f>IF(AND(AD$5&gt;$E39,AD$5&lt;=$F39),IF(AD$5=$E39+1,$C39,""),"")</f>
        <v/>
      </c>
      <c r="AE39" s="34">
        <f>IF(AND(AE$5&gt;$E39,AE$5&lt;=$F39),IF(AE$5=$E39+1,$C39,""),"")</f>
        <v/>
      </c>
      <c r="AF39" s="34">
        <f>IF(AND(AF$5&gt;$E39,AF$5&lt;=$F39),IF(AF$5=$E39+1,$C39,""),"")</f>
        <v/>
      </c>
      <c r="AG39" s="34">
        <f>IF(AND(AG$5&gt;$E39,AG$5&lt;=$F39),IF(AG$5=$E39+1,$C39,""),"")</f>
        <v/>
      </c>
      <c r="AH39" s="34">
        <f>IF(AND(AH$5&gt;$E39,AH$5&lt;=$F39),IF(AH$5=$E39+1,$C39,""),"")</f>
        <v/>
      </c>
      <c r="AI39" s="34">
        <f>IF(AND(AI$5&gt;$E39,AI$5&lt;=$F39),IF(AI$5=$E39+1,$C39,""),"")</f>
        <v/>
      </c>
      <c r="AJ39" s="34">
        <f>IF(AND(AJ$5&gt;$E39,AJ$5&lt;=$F39),IF(AJ$5=$E39+1,$C39,""),"")</f>
        <v/>
      </c>
      <c r="AK39" s="34">
        <f>IF(AND(AK$5&gt;$E39,AK$5&lt;=$F39),IF(AK$5=$E39+1,$C39,""),"")</f>
        <v/>
      </c>
      <c r="AL39" s="34">
        <f>IF(AND(AL$5&gt;$E39,AL$5&lt;=$F39),IF(AL$5=$E39+1,$C39,""),"")</f>
        <v/>
      </c>
      <c r="AM39" s="34">
        <f>IF(AND(AM$5&gt;$E39,AM$5&lt;=$F39),IF(AM$5=$E39+1,$C39,""),"")</f>
        <v/>
      </c>
      <c r="AN39" s="34">
        <f>IF(AND(AN$5&gt;$E39,AN$5&lt;=$F39),IF(AN$5=$E39+1,$C39,""),"")</f>
        <v/>
      </c>
      <c r="AO39" s="34">
        <f>IF(AND(AO$5&gt;$E39,AO$5&lt;=$F39),IF(AO$5=$E39+1,$C39,""),"")</f>
        <v/>
      </c>
      <c r="AP39" s="34">
        <f>IF(AND(AP$5&gt;$E39,AP$5&lt;=$F39),IF(AP$5=$E39+1,$C39,""),"")</f>
        <v/>
      </c>
      <c r="AQ39" s="34">
        <f>IF(AND(AQ$5&gt;$E39,AQ$5&lt;=$F39),IF(AQ$5=$E39+1,$C39,""),"")</f>
        <v/>
      </c>
      <c r="AR39" s="34">
        <f>IF(AND(AR$5&gt;$E39,AR$5&lt;=$F39),IF(AR$5=$E39+1,$C39,""),"")</f>
        <v/>
      </c>
      <c r="AS39" s="34">
        <f>IF(AND(AS$5&gt;$E39,AS$5&lt;=$F39),IF(AS$5=$E39+1,$C39,""),"")</f>
        <v/>
      </c>
      <c r="AT39" s="34">
        <f>IF(AND(AT$5&gt;$E39,AT$5&lt;=$F39),IF(AT$5=$E39+1,$C39,""),"")</f>
        <v/>
      </c>
      <c r="AU39" s="34">
        <f>IF(AND(AU$5&gt;$E39,AU$5&lt;=$F39),IF(AU$5=$E39+1,$C39,""),"")</f>
        <v/>
      </c>
      <c r="AV39" s="34">
        <f>IF(AND(AV$5&gt;$E39,AV$5&lt;=$F39),IF(AV$5=$E39+1,$C39,""),"")</f>
        <v/>
      </c>
      <c r="AW39" s="34">
        <f>IF(AND(AW$5&gt;$E39,AW$5&lt;=$F39),IF(AW$5=$E39+1,$C39,""),"")</f>
        <v/>
      </c>
      <c r="AX39" s="34">
        <f>IF(AND(AX$5&gt;$E39,AX$5&lt;=$F39),IF(AX$5=$E39+1,$C39,""),"")</f>
        <v/>
      </c>
      <c r="AY39" s="34">
        <f>IF(AND(AY$5&gt;$E39,AY$5&lt;=$F39),IF(AY$5=$E39+1,$C39,""),"")</f>
        <v/>
      </c>
      <c r="AZ39" s="34">
        <f>IF(AND(AZ$5&gt;$E39,AZ$5&lt;=$F39),IF(AZ$5=$E39+1,$C39,""),"")</f>
        <v/>
      </c>
      <c r="BA39" s="34">
        <f>IF(AND(BA$5&gt;$E39,BA$5&lt;=$F39),IF(BA$5=$E39+1,$C39,""),"")</f>
        <v/>
      </c>
      <c r="BB39" s="34">
        <f>IF(AND(BB$5&gt;$E39,BB$5&lt;=$F39),IF(BB$5=$E39+1,$C39,""),"")</f>
        <v/>
      </c>
      <c r="BC39" s="34">
        <f>IF(AND(BC$5&gt;$E39,BC$5&lt;=$F39),IF(BC$5=$E39+1,$C39,""),"")</f>
        <v/>
      </c>
      <c r="BD39" s="34">
        <f>IF(AND(BD$5&gt;$E39,BD$5&lt;=$F39),IF(BD$5=$E39+1,$C39,""),"")</f>
        <v/>
      </c>
      <c r="BE39" s="34">
        <f>IF(AND(BE$5&gt;$E39,BE$5&lt;=$F39),IF(BE$5=$E39+1,$C39,""),"")</f>
        <v/>
      </c>
      <c r="BF39" s="34">
        <f>IF(AND(BF$5&gt;$E39,BF$5&lt;=$F39),IF(BF$5=$E39+1,$C39,""),"")</f>
        <v/>
      </c>
      <c r="BG39" s="34">
        <f>IF(AND(BG$5&gt;$E39,BG$5&lt;=$F39),IF(BG$5=$E39+1,$C39,""),"")</f>
        <v/>
      </c>
      <c r="BH39" s="34">
        <f>IF(AND(BH$5&gt;$E39,BH$5&lt;=$F39),IF(BH$5=$E39+1,$C39,""),"")</f>
        <v/>
      </c>
      <c r="BI39" s="34">
        <f>IF(AND(BI$5&gt;$E39,BI$5&lt;=$F39),IF(BI$5=$E39+1,$C39,""),"")</f>
        <v/>
      </c>
      <c r="BJ39" s="34">
        <f>IF(AND(BJ$5&gt;$E39,BJ$5&lt;=$F39),IF(BJ$5=$E39+1,$C39,""),"")</f>
        <v/>
      </c>
      <c r="BK39" s="34">
        <f>IF(AND(BK$5&gt;$E39,BK$5&lt;=$F39),IF(BK$5=$E39+1,$C39,""),"")</f>
        <v/>
      </c>
      <c r="BL39" s="34">
        <f>IF(AND(BL$5&gt;$E39,BL$5&lt;=$F39),IF(BL$5=$E39+1,$C39,""),"")</f>
        <v/>
      </c>
      <c r="BM39" s="34">
        <f>IF(AND(BM$5&gt;$E39,BM$5&lt;=$F39),IF(BM$5=$E39+1,$C39,""),"")</f>
        <v/>
      </c>
      <c r="BN39" s="34">
        <f>IF(AND(BN$5&gt;$E39,BN$5&lt;=$F39),IF(BN$5=$E39+1,$C39,""),"")</f>
        <v/>
      </c>
      <c r="BO39" s="34">
        <f>IF(AND(BO$5&gt;$E39,BO$5&lt;=$F39),IF(BO$5=$E39+1,$C39,""),"")</f>
        <v/>
      </c>
      <c r="BP39" s="34">
        <f>IF(AND(BP$5&gt;$E39,BP$5&lt;=$F39),IF(BP$5=$E39+1,$C39,""),"")</f>
        <v/>
      </c>
      <c r="BQ39" s="34">
        <f>IF(AND(BQ$5&gt;$E39,BQ$5&lt;=$F39),IF(BQ$5=$E39+1,$C39,""),"")</f>
        <v/>
      </c>
      <c r="BR39" s="34">
        <f>IF(AND(BR$5&gt;$E39,BR$5&lt;=$F39),IF(BR$5=$E39+1,$C39,""),"")</f>
        <v/>
      </c>
      <c r="BS39" s="34">
        <f>IF(AND(BS$5&gt;$E39,BS$5&lt;=$F39),IF(BS$5=$E39+1,$C39,""),"")</f>
        <v/>
      </c>
      <c r="BT39" s="34">
        <f>IF(AND(BT$5&gt;$E39,BT$5&lt;=$F39),IF(BT$5=$E39+1,$C39,""),"")</f>
        <v/>
      </c>
      <c r="BU39" s="34">
        <f>IF(AND(BU$5&gt;$E39,BU$5&lt;=$F39),IF(BU$5=$E39+1,$C39,""),"")</f>
        <v/>
      </c>
      <c r="BV39" s="34">
        <f>IF(AND(BV$5&gt;$E39,BV$5&lt;=$F39),IF(BV$5=$E39+1,$C39,""),"")</f>
        <v/>
      </c>
      <c r="BW39" s="34">
        <f>IF(AND(BW$5&gt;$E39,BW$5&lt;=$F39),IF(BW$5=$E39+1,$C39,""),"")</f>
        <v/>
      </c>
      <c r="BX39" s="34">
        <f>IF(AND(BX$5&gt;$E39,BX$5&lt;=$F39),IF(BX$5=$E39+1,$C39,""),"")</f>
        <v/>
      </c>
      <c r="BY39" s="34">
        <f>IF(AND(BY$5&gt;$E39,BY$5&lt;=$F39),IF(BY$5=$E39+1,$C39,""),"")</f>
        <v/>
      </c>
      <c r="BZ39" s="34">
        <f>IF(AND(BZ$5&gt;$E39,BZ$5&lt;=$F39),IF(BZ$5=$E39+1,$C39,""),"")</f>
        <v/>
      </c>
      <c r="CA39" s="34">
        <f>IF(AND(CA$5&gt;$E39,CA$5&lt;=$F39),IF(CA$5=$E39+1,$C39,""),"")</f>
        <v/>
      </c>
      <c r="CB39" s="34">
        <f>IF(AND(CB$5&gt;$E39,CB$5&lt;=$F39),IF(CB$5=$E39+1,$C39,""),"")</f>
        <v/>
      </c>
      <c r="CC39" s="34">
        <f>IF(AND(CC$5&gt;$E39,CC$5&lt;=$F39),IF(CC$5=$E39+1,$C39,""),"")</f>
        <v/>
      </c>
      <c r="CD39" s="34">
        <f>IF(AND(CD$5&gt;$E39,CD$5&lt;=$F39),IF(CD$5=$E39+1,$C39,""),"")</f>
        <v/>
      </c>
      <c r="CE39" s="34">
        <f>IF(AND(CE$5&gt;$E39,CE$5&lt;=$F39),IF(CE$5=$E39+1,$C39,""),"")</f>
        <v/>
      </c>
      <c r="CF39" s="34">
        <f>IF(AND(CF$5&gt;$E39,CF$5&lt;=$F39),IF(CF$5=$E39+1,$C39,""),"")</f>
        <v/>
      </c>
      <c r="CG39" s="34">
        <f>IF(AND(CG$5&gt;$E39,CG$5&lt;=$F39),IF(CG$5=$E39+1,$C39,""),"")</f>
        <v/>
      </c>
      <c r="CH39" s="34">
        <f>IF(AND(CH$5&gt;$E39,CH$5&lt;=$F39),IF(CH$5=$E39+1,$C39,""),"")</f>
        <v/>
      </c>
      <c r="CI39" s="34">
        <f>IF(AND(CI$5&gt;$E39,CI$5&lt;=$F39),IF(CI$5=$E39+1,$C39,""),"")</f>
        <v/>
      </c>
      <c r="CJ39" s="34">
        <f>IF(AND(CJ$5&gt;$E39,CJ$5&lt;=$F39),IF(CJ$5=$E39+1,$C39,""),"")</f>
        <v/>
      </c>
      <c r="CK39" s="34">
        <f>IF(AND(CK$5&gt;$E39,CK$5&lt;=$F39),IF(CK$5=$E39+1,$C39,""),"")</f>
        <v/>
      </c>
      <c r="CL39" s="34">
        <f>IF(AND(CL$5&gt;$E39,CL$5&lt;=$F39),IF(CL$5=$E39+1,$C39,""),"")</f>
        <v/>
      </c>
      <c r="CM39" s="34">
        <f>IF(AND(CM$5&gt;$E39,CM$5&lt;=$F39),IF(CM$5=$E39+1,$C39,""),"")</f>
        <v/>
      </c>
      <c r="CN39" s="34">
        <f>IF(AND(CN$5&gt;$E39,CN$5&lt;=$F39),IF(CN$5=$E39+1,$C39,""),"")</f>
        <v/>
      </c>
      <c r="CO39" s="34">
        <f>IF(AND(CO$5&gt;$E39,CO$5&lt;=$F39),IF(CO$5=$E39+1,$C39,""),"")</f>
        <v/>
      </c>
      <c r="CP39" s="34">
        <f>IF(AND(CP$5&gt;$E39,CP$5&lt;=$F39),IF(CP$5=$E39+1,$C39,""),"")</f>
        <v/>
      </c>
      <c r="CQ39" s="34">
        <f>IF(AND(CQ$5&gt;$E39,CQ$5&lt;=$F39),IF(CQ$5=$E39+1,$C39,""),"")</f>
        <v/>
      </c>
      <c r="CR39" s="34">
        <f>IF(AND(CR$5&gt;$E39,CR$5&lt;=$F39),IF(CR$5=$E39+1,$C39,""),"")</f>
        <v/>
      </c>
      <c r="CS39" s="34">
        <f>IF(AND(CS$5&gt;$E39,CS$5&lt;=$F39),IF(CS$5=$E39+1,$C39,""),"")</f>
        <v/>
      </c>
      <c r="CT39" s="34">
        <f>IF(AND(CT$5&gt;$E39,CT$5&lt;=$F39),IF(CT$5=$E39+1,$C39,""),"")</f>
        <v/>
      </c>
      <c r="CU39" s="34">
        <f>IF(AND(CU$5&gt;$E39,CU$5&lt;=$F39),IF(CU$5=$E39+1,$C39,""),"")</f>
        <v/>
      </c>
      <c r="CV39" s="34">
        <f>IF(AND(CV$5&gt;$E39,CV$5&lt;=$F39),IF(CV$5=$E39+1,$C39,""),"")</f>
        <v/>
      </c>
      <c r="CW39" s="34">
        <f>IF(AND(CW$5&gt;$E39,CW$5&lt;=$F39),IF(CW$5=$E39+1,$C39,""),"")</f>
        <v/>
      </c>
      <c r="CX39" s="34">
        <f>IF(AND(CX$5&gt;$E39,CX$5&lt;=$F39),IF(CX$5=$E39+1,$C39,""),"")</f>
        <v/>
      </c>
      <c r="CY39" s="34">
        <f>IF(AND(CY$5&gt;$E39,CY$5&lt;=$F39),IF(CY$5=$E39+1,$C39,""),"")</f>
        <v/>
      </c>
      <c r="CZ39" s="34">
        <f>IF(AND(CZ$5&gt;$E39,CZ$5&lt;=$F39),IF(CZ$5=$E39+1,$C39,""),"")</f>
        <v/>
      </c>
      <c r="DA39" s="34">
        <f>IF(AND(DA$5&gt;$E39,DA$5&lt;=$F39),IF(DA$5=$E39+1,$C39,""),"")</f>
        <v/>
      </c>
      <c r="DB39" s="34">
        <f>IF(AND(DB$5&gt;$E39,DB$5&lt;=$F39),IF(DB$5=$E39+1,$C39,""),"")</f>
        <v/>
      </c>
      <c r="DC39" s="34">
        <f>IF(AND(DC$5&gt;$E39,DC$5&lt;=$F39),IF(DC$5=$E39+1,$C39,""),"")</f>
        <v/>
      </c>
      <c r="DD39" s="34">
        <f>IF(AND(DD$5&gt;$E39,DD$5&lt;=$F39),IF(DD$5=$E39+1,$C39,""),"")</f>
        <v/>
      </c>
      <c r="DE39" s="34">
        <f>IF(AND(DE$5&gt;$E39,DE$5&lt;=$F39),IF(DE$5=$E39+1,$C39,""),"")</f>
        <v/>
      </c>
      <c r="DF39" s="34">
        <f>IF(AND(DF$5&gt;$E39,DF$5&lt;=$F39),IF(DF$5=$E39+1,$C39,""),"")</f>
        <v/>
      </c>
      <c r="DG39" s="34">
        <f>IF(AND(DG$5&gt;$E39,DG$5&lt;=$F39),IF(DG$5=$E39+1,$C39,""),"")</f>
        <v/>
      </c>
      <c r="DH39" s="34">
        <f>IF(AND(DH$5&gt;$E39,DH$5&lt;=$F39),IF(DH$5=$E39+1,$C39,""),"")</f>
        <v/>
      </c>
      <c r="DI39" s="34">
        <f>IF(AND(DI$5&gt;$E39,DI$5&lt;=$F39),IF(DI$5=$E39+1,$C39,""),"")</f>
        <v/>
      </c>
      <c r="DJ39" s="34">
        <f>IF(AND(DJ$5&gt;$E39,DJ$5&lt;=$F39),IF(DJ$5=$E39+1,$C39,""),"")</f>
        <v/>
      </c>
      <c r="DK39" s="34">
        <f>IF(AND(DK$5&gt;$E39,DK$5&lt;=$F39),IF(DK$5=$E39+1,$C39,""),"")</f>
        <v/>
      </c>
      <c r="DL39" s="34">
        <f>IF(AND(DL$5&gt;$E39,DL$5&lt;=$F39),IF(DL$5=$E39+1,$C39,""),"")</f>
        <v/>
      </c>
      <c r="DM39" s="34">
        <f>IF(AND(DM$5&gt;$E39,DM$5&lt;=$F39),IF(DM$5=$E39+1,$C39,""),"")</f>
        <v/>
      </c>
      <c r="DN39" s="34">
        <f>IF(AND(DN$5&gt;$E39,DN$5&lt;=$F39),IF(DN$5=$E39+1,$C39,""),"")</f>
        <v/>
      </c>
      <c r="DO39" s="34">
        <f>IF(AND(DO$5&gt;$E39,DO$5&lt;=$F39),IF(DO$5=$E39+1,$C39,""),"")</f>
        <v/>
      </c>
      <c r="DP39" s="34">
        <f>IF(AND(DP$5&gt;$E39,DP$5&lt;=$F39),IF(DP$5=$E39+1,$C39,""),"")</f>
        <v/>
      </c>
      <c r="DQ39" s="34">
        <f>IF(AND(DQ$5&gt;$E39,DQ$5&lt;=$F39),IF(DQ$5=$E39+1,$C39,""),"")</f>
        <v/>
      </c>
      <c r="DR39" s="34">
        <f>IF(AND(DR$5&gt;$E39,DR$5&lt;=$F39),IF(DR$5=$E39+1,$C39,""),"")</f>
        <v/>
      </c>
      <c r="DS39" s="34">
        <f>IF(AND(DS$5&gt;$E39,DS$5&lt;=$F39),IF(DS$5=$E39+1,$C39,""),"")</f>
        <v/>
      </c>
      <c r="DT39" s="34">
        <f>IF(AND(DT$5&gt;$E39,DT$5&lt;=$F39),IF(DT$5=$E39+1,$C39,""),"")</f>
        <v/>
      </c>
      <c r="DU39" s="34">
        <f>IF(AND(DU$5&gt;$E39,DU$5&lt;=$F39),IF(DU$5=$E39+1,$C39,""),"")</f>
        <v/>
      </c>
      <c r="DV39" s="34">
        <f>IF(AND(DV$5&gt;$E39,DV$5&lt;=$F39),IF(DV$5=$E39+1,$C39,""),"")</f>
        <v/>
      </c>
      <c r="DW39" s="34">
        <f>IF(AND(DW$5&gt;$E39,DW$5&lt;=$F39),IF(DW$5=$E39+1,$C39,""),"")</f>
        <v/>
      </c>
      <c r="DX39" s="34">
        <f>IF(AND(DX$5&gt;$E39,DX$5&lt;=$F39),IF(DX$5=$E39+1,$C39,""),"")</f>
        <v/>
      </c>
      <c r="DY39" s="34">
        <f>IF(AND(DY$5&gt;$E39,DY$5&lt;=$F39),IF(DY$5=$E39+1,$C39,""),"")</f>
        <v/>
      </c>
      <c r="DZ39" s="34">
        <f>IF(AND(DZ$5&gt;$E39,DZ$5&lt;=$F39),IF(DZ$5=$E39+1,$C39,""),"")</f>
        <v/>
      </c>
      <c r="EA39" s="34">
        <f>IF(AND(EA$5&gt;$E39,EA$5&lt;=$F39),IF(EA$5=$E39+1,$C39,""),"")</f>
        <v/>
      </c>
      <c r="EB39" s="34">
        <f>IF(AND(EB$5&gt;$E39,EB$5&lt;=$F39),IF(EB$5=$E39+1,$C39,""),"")</f>
        <v/>
      </c>
      <c r="EC39" s="34">
        <f>IF(AND(EC$5&gt;$E39,EC$5&lt;=$F39),IF(EC$5=$E39+1,$C39,""),"")</f>
        <v/>
      </c>
      <c r="ED39" s="34">
        <f>IF(AND(ED$5&gt;$E39,ED$5&lt;=$F39),IF(ED$5=$E39+1,$C39,""),"")</f>
        <v/>
      </c>
      <c r="EE39" s="34">
        <f>IF(AND(EE$5&gt;$E39,EE$5&lt;=$F39),IF(EE$5=$E39+1,$C39,""),"")</f>
        <v/>
      </c>
      <c r="EF39" s="34">
        <f>IF(AND(EF$5&gt;$E39,EF$5&lt;=$F39),IF(EF$5=$E39+1,$C39,""),"")</f>
        <v/>
      </c>
      <c r="EG39" s="34">
        <f>IF(AND(EG$5&gt;$E39,EG$5&lt;=$F39),IF(EG$5=$E39+1,$C39,""),"")</f>
        <v/>
      </c>
      <c r="EH39" s="34">
        <f>IF(AND(EH$5&gt;$E39,EH$5&lt;=$F39),IF(EH$5=$E39+1,$C39,""),"")</f>
        <v/>
      </c>
      <c r="EI39" s="34">
        <f>IF(AND(EI$5&gt;$E39,EI$5&lt;=$F39),IF(EI$5=$E39+1,$C39,""),"")</f>
        <v/>
      </c>
      <c r="EJ39" s="34">
        <f>IF(AND(EJ$5&gt;$E39,EJ$5&lt;=$F39),IF(EJ$5=$E39+1,$C39,""),"")</f>
        <v/>
      </c>
      <c r="EK39" s="34">
        <f>IF(AND(EK$5&gt;$E39,EK$5&lt;=$F39),IF(EK$5=$E39+1,$C39,""),"")</f>
        <v/>
      </c>
      <c r="EL39" s="34">
        <f>IF(AND(EL$5&gt;$E39,EL$5&lt;=$F39),IF(EL$5=$E39+1,$C39,""),"")</f>
        <v/>
      </c>
      <c r="EM39" s="34">
        <f>IF(AND(EM$5&gt;$E39,EM$5&lt;=$F39),IF(EM$5=$E39+1,$C39,""),"")</f>
        <v/>
      </c>
      <c r="EN39" s="34">
        <f>IF(AND(EN$5&gt;$E39,EN$5&lt;=$F39),IF(EN$5=$E39+1,$C39,""),"")</f>
        <v/>
      </c>
      <c r="EO39" s="34">
        <f>IF(AND(EO$5&gt;$E39,EO$5&lt;=$F39),IF(EO$5=$E39+1,$C39,""),"")</f>
        <v/>
      </c>
      <c r="EP39" s="34">
        <f>IF(AND(EP$5&gt;$E39,EP$5&lt;=$F39),IF(EP$5=$E39+1,$C39,""),"")</f>
        <v/>
      </c>
      <c r="EQ39" s="34">
        <f>IF(AND(EQ$5&gt;$E39,EQ$5&lt;=$F39),IF(EQ$5=$E39+1,$C39,""),"")</f>
        <v/>
      </c>
      <c r="ER39" s="34">
        <f>IF(AND(ER$5&gt;$E39,ER$5&lt;=$F39),IF(ER$5=$E39+1,$C39,""),"")</f>
        <v/>
      </c>
      <c r="ES39" s="34">
        <f>IF(AND(ES$5&gt;$E39,ES$5&lt;=$F39),IF(ES$5=$E39+1,$C39,""),"")</f>
        <v/>
      </c>
      <c r="ET39" s="34">
        <f>IF(AND(ET$5&gt;$E39,ET$5&lt;=$F39),IF(ET$5=$E39+1,$C39,""),"")</f>
        <v/>
      </c>
      <c r="EU39" s="34">
        <f>IF(AND(EU$5&gt;$E39,EU$5&lt;=$F39),IF(EU$5=$E39+1,$C39,""),"")</f>
        <v/>
      </c>
      <c r="EV39" s="34">
        <f>IF(AND(EV$5&gt;$E39,EV$5&lt;=$F39),IF(EV$5=$E39+1,$C39,""),"")</f>
        <v/>
      </c>
      <c r="EW39" s="34">
        <f>IF(AND(EW$5&gt;$E39,EW$5&lt;=$F39),IF(EW$5=$E39+1,$C39,""),"")</f>
        <v/>
      </c>
      <c r="EX39" s="34">
        <f>IF(AND(EX$5&gt;$E39,EX$5&lt;=$F39),IF(EX$5=$E39+1,$C39,""),"")</f>
        <v/>
      </c>
      <c r="EY39" s="34">
        <f>IF(AND(EY$5&gt;$E39,EY$5&lt;=$F39),IF(EY$5=$E39+1,$C39,""),"")</f>
        <v/>
      </c>
      <c r="EZ39" s="34">
        <f>IF(AND(EZ$5&gt;$E39,EZ$5&lt;=$F39),IF(EZ$5=$E39+1,$C39,""),"")</f>
        <v/>
      </c>
      <c r="FA39" s="34">
        <f>IF(AND(FA$5&gt;$E39,FA$5&lt;=$F39),IF(FA$5=$E39+1,$C39,""),"")</f>
        <v/>
      </c>
    </row>
    <row r="40">
      <c r="A40" s="32">
        <f>Plan!A31</f>
        <v/>
      </c>
      <c r="B40" s="33">
        <f>Plan!C31</f>
        <v/>
      </c>
      <c r="C40" s="16">
        <f>Plan!D31</f>
        <v/>
      </c>
      <c r="D40" s="16">
        <f>Plan!I31</f>
        <v/>
      </c>
      <c r="E40" s="16">
        <f>Plan!K31</f>
        <v/>
      </c>
      <c r="F40" s="16">
        <f>Plan!L31</f>
        <v/>
      </c>
      <c r="G40" s="16">
        <f>Plan!O31</f>
        <v/>
      </c>
      <c r="H40" s="34">
        <f>IF(AND(H$5&gt;$E40,H$5&lt;=$F40),IF(H$5=$E40+1,$C40,""),"")</f>
        <v/>
      </c>
      <c r="I40" s="34">
        <f>IF(AND(I$5&gt;$E40,I$5&lt;=$F40),IF(I$5=$E40+1,$C40,""),"")</f>
        <v/>
      </c>
      <c r="J40" s="34">
        <f>IF(AND(J$5&gt;$E40,J$5&lt;=$F40),IF(J$5=$E40+1,$C40,""),"")</f>
        <v/>
      </c>
      <c r="K40" s="34">
        <f>IF(AND(K$5&gt;$E40,K$5&lt;=$F40),IF(K$5=$E40+1,$C40,""),"")</f>
        <v/>
      </c>
      <c r="L40" s="34">
        <f>IF(AND(L$5&gt;$E40,L$5&lt;=$F40),IF(L$5=$E40+1,$C40,""),"")</f>
        <v/>
      </c>
      <c r="M40" s="34">
        <f>IF(AND(M$5&gt;$E40,M$5&lt;=$F40),IF(M$5=$E40+1,$C40,""),"")</f>
        <v/>
      </c>
      <c r="N40" s="34">
        <f>IF(AND(N$5&gt;$E40,N$5&lt;=$F40),IF(N$5=$E40+1,$C40,""),"")</f>
        <v/>
      </c>
      <c r="O40" s="34">
        <f>IF(AND(O$5&gt;$E40,O$5&lt;=$F40),IF(O$5=$E40+1,$C40,""),"")</f>
        <v/>
      </c>
      <c r="P40" s="34">
        <f>IF(AND(P$5&gt;$E40,P$5&lt;=$F40),IF(P$5=$E40+1,$C40,""),"")</f>
        <v/>
      </c>
      <c r="Q40" s="34">
        <f>IF(AND(Q$5&gt;$E40,Q$5&lt;=$F40),IF(Q$5=$E40+1,$C40,""),"")</f>
        <v/>
      </c>
      <c r="R40" s="34">
        <f>IF(AND(R$5&gt;$E40,R$5&lt;=$F40),IF(R$5=$E40+1,$C40,""),"")</f>
        <v/>
      </c>
      <c r="S40" s="34">
        <f>IF(AND(S$5&gt;$E40,S$5&lt;=$F40),IF(S$5=$E40+1,$C40,""),"")</f>
        <v/>
      </c>
      <c r="T40" s="34">
        <f>IF(AND(T$5&gt;$E40,T$5&lt;=$F40),IF(T$5=$E40+1,$C40,""),"")</f>
        <v/>
      </c>
      <c r="U40" s="34">
        <f>IF(AND(U$5&gt;$E40,U$5&lt;=$F40),IF(U$5=$E40+1,$C40,""),"")</f>
        <v/>
      </c>
      <c r="V40" s="34">
        <f>IF(AND(V$5&gt;$E40,V$5&lt;=$F40),IF(V$5=$E40+1,$C40,""),"")</f>
        <v/>
      </c>
      <c r="W40" s="34">
        <f>IF(AND(W$5&gt;$E40,W$5&lt;=$F40),IF(W$5=$E40+1,$C40,""),"")</f>
        <v/>
      </c>
      <c r="X40" s="34">
        <f>IF(AND(X$5&gt;$E40,X$5&lt;=$F40),IF(X$5=$E40+1,$C40,""),"")</f>
        <v/>
      </c>
      <c r="Y40" s="34">
        <f>IF(AND(Y$5&gt;$E40,Y$5&lt;=$F40),IF(Y$5=$E40+1,$C40,""),"")</f>
        <v/>
      </c>
      <c r="Z40" s="34">
        <f>IF(AND(Z$5&gt;$E40,Z$5&lt;=$F40),IF(Z$5=$E40+1,$C40,""),"")</f>
        <v/>
      </c>
      <c r="AA40" s="34">
        <f>IF(AND(AA$5&gt;$E40,AA$5&lt;=$F40),IF(AA$5=$E40+1,$C40,""),"")</f>
        <v/>
      </c>
      <c r="AB40" s="34">
        <f>IF(AND(AB$5&gt;$E40,AB$5&lt;=$F40),IF(AB$5=$E40+1,$C40,""),"")</f>
        <v/>
      </c>
      <c r="AC40" s="34">
        <f>IF(AND(AC$5&gt;$E40,AC$5&lt;=$F40),IF(AC$5=$E40+1,$C40,""),"")</f>
        <v/>
      </c>
      <c r="AD40" s="34">
        <f>IF(AND(AD$5&gt;$E40,AD$5&lt;=$F40),IF(AD$5=$E40+1,$C40,""),"")</f>
        <v/>
      </c>
      <c r="AE40" s="34">
        <f>IF(AND(AE$5&gt;$E40,AE$5&lt;=$F40),IF(AE$5=$E40+1,$C40,""),"")</f>
        <v/>
      </c>
      <c r="AF40" s="34">
        <f>IF(AND(AF$5&gt;$E40,AF$5&lt;=$F40),IF(AF$5=$E40+1,$C40,""),"")</f>
        <v/>
      </c>
      <c r="AG40" s="34">
        <f>IF(AND(AG$5&gt;$E40,AG$5&lt;=$F40),IF(AG$5=$E40+1,$C40,""),"")</f>
        <v/>
      </c>
      <c r="AH40" s="34">
        <f>IF(AND(AH$5&gt;$E40,AH$5&lt;=$F40),IF(AH$5=$E40+1,$C40,""),"")</f>
        <v/>
      </c>
      <c r="AI40" s="34">
        <f>IF(AND(AI$5&gt;$E40,AI$5&lt;=$F40),IF(AI$5=$E40+1,$C40,""),"")</f>
        <v/>
      </c>
      <c r="AJ40" s="34">
        <f>IF(AND(AJ$5&gt;$E40,AJ$5&lt;=$F40),IF(AJ$5=$E40+1,$C40,""),"")</f>
        <v/>
      </c>
      <c r="AK40" s="34">
        <f>IF(AND(AK$5&gt;$E40,AK$5&lt;=$F40),IF(AK$5=$E40+1,$C40,""),"")</f>
        <v/>
      </c>
      <c r="AL40" s="34">
        <f>IF(AND(AL$5&gt;$E40,AL$5&lt;=$F40),IF(AL$5=$E40+1,$C40,""),"")</f>
        <v/>
      </c>
      <c r="AM40" s="34">
        <f>IF(AND(AM$5&gt;$E40,AM$5&lt;=$F40),IF(AM$5=$E40+1,$C40,""),"")</f>
        <v/>
      </c>
      <c r="AN40" s="34">
        <f>IF(AND(AN$5&gt;$E40,AN$5&lt;=$F40),IF(AN$5=$E40+1,$C40,""),"")</f>
        <v/>
      </c>
      <c r="AO40" s="34">
        <f>IF(AND(AO$5&gt;$E40,AO$5&lt;=$F40),IF(AO$5=$E40+1,$C40,""),"")</f>
        <v/>
      </c>
      <c r="AP40" s="34">
        <f>IF(AND(AP$5&gt;$E40,AP$5&lt;=$F40),IF(AP$5=$E40+1,$C40,""),"")</f>
        <v/>
      </c>
      <c r="AQ40" s="34">
        <f>IF(AND(AQ$5&gt;$E40,AQ$5&lt;=$F40),IF(AQ$5=$E40+1,$C40,""),"")</f>
        <v/>
      </c>
      <c r="AR40" s="34">
        <f>IF(AND(AR$5&gt;$E40,AR$5&lt;=$F40),IF(AR$5=$E40+1,$C40,""),"")</f>
        <v/>
      </c>
      <c r="AS40" s="34">
        <f>IF(AND(AS$5&gt;$E40,AS$5&lt;=$F40),IF(AS$5=$E40+1,$C40,""),"")</f>
        <v/>
      </c>
      <c r="AT40" s="34">
        <f>IF(AND(AT$5&gt;$E40,AT$5&lt;=$F40),IF(AT$5=$E40+1,$C40,""),"")</f>
        <v/>
      </c>
      <c r="AU40" s="34">
        <f>IF(AND(AU$5&gt;$E40,AU$5&lt;=$F40),IF(AU$5=$E40+1,$C40,""),"")</f>
        <v/>
      </c>
      <c r="AV40" s="34">
        <f>IF(AND(AV$5&gt;$E40,AV$5&lt;=$F40),IF(AV$5=$E40+1,$C40,""),"")</f>
        <v/>
      </c>
      <c r="AW40" s="34">
        <f>IF(AND(AW$5&gt;$E40,AW$5&lt;=$F40),IF(AW$5=$E40+1,$C40,""),"")</f>
        <v/>
      </c>
      <c r="AX40" s="34">
        <f>IF(AND(AX$5&gt;$E40,AX$5&lt;=$F40),IF(AX$5=$E40+1,$C40,""),"")</f>
        <v/>
      </c>
      <c r="AY40" s="34">
        <f>IF(AND(AY$5&gt;$E40,AY$5&lt;=$F40),IF(AY$5=$E40+1,$C40,""),"")</f>
        <v/>
      </c>
      <c r="AZ40" s="34">
        <f>IF(AND(AZ$5&gt;$E40,AZ$5&lt;=$F40),IF(AZ$5=$E40+1,$C40,""),"")</f>
        <v/>
      </c>
      <c r="BA40" s="34">
        <f>IF(AND(BA$5&gt;$E40,BA$5&lt;=$F40),IF(BA$5=$E40+1,$C40,""),"")</f>
        <v/>
      </c>
      <c r="BB40" s="34">
        <f>IF(AND(BB$5&gt;$E40,BB$5&lt;=$F40),IF(BB$5=$E40+1,$C40,""),"")</f>
        <v/>
      </c>
      <c r="BC40" s="34">
        <f>IF(AND(BC$5&gt;$E40,BC$5&lt;=$F40),IF(BC$5=$E40+1,$C40,""),"")</f>
        <v/>
      </c>
      <c r="BD40" s="34">
        <f>IF(AND(BD$5&gt;$E40,BD$5&lt;=$F40),IF(BD$5=$E40+1,$C40,""),"")</f>
        <v/>
      </c>
      <c r="BE40" s="34">
        <f>IF(AND(BE$5&gt;$E40,BE$5&lt;=$F40),IF(BE$5=$E40+1,$C40,""),"")</f>
        <v/>
      </c>
      <c r="BF40" s="34">
        <f>IF(AND(BF$5&gt;$E40,BF$5&lt;=$F40),IF(BF$5=$E40+1,$C40,""),"")</f>
        <v/>
      </c>
      <c r="BG40" s="34">
        <f>IF(AND(BG$5&gt;$E40,BG$5&lt;=$F40),IF(BG$5=$E40+1,$C40,""),"")</f>
        <v/>
      </c>
      <c r="BH40" s="34">
        <f>IF(AND(BH$5&gt;$E40,BH$5&lt;=$F40),IF(BH$5=$E40+1,$C40,""),"")</f>
        <v/>
      </c>
      <c r="BI40" s="34">
        <f>IF(AND(BI$5&gt;$E40,BI$5&lt;=$F40),IF(BI$5=$E40+1,$C40,""),"")</f>
        <v/>
      </c>
      <c r="BJ40" s="34">
        <f>IF(AND(BJ$5&gt;$E40,BJ$5&lt;=$F40),IF(BJ$5=$E40+1,$C40,""),"")</f>
        <v/>
      </c>
      <c r="BK40" s="34">
        <f>IF(AND(BK$5&gt;$E40,BK$5&lt;=$F40),IF(BK$5=$E40+1,$C40,""),"")</f>
        <v/>
      </c>
      <c r="BL40" s="34">
        <f>IF(AND(BL$5&gt;$E40,BL$5&lt;=$F40),IF(BL$5=$E40+1,$C40,""),"")</f>
        <v/>
      </c>
      <c r="BM40" s="34">
        <f>IF(AND(BM$5&gt;$E40,BM$5&lt;=$F40),IF(BM$5=$E40+1,$C40,""),"")</f>
        <v/>
      </c>
      <c r="BN40" s="34">
        <f>IF(AND(BN$5&gt;$E40,BN$5&lt;=$F40),IF(BN$5=$E40+1,$C40,""),"")</f>
        <v/>
      </c>
      <c r="BO40" s="34">
        <f>IF(AND(BO$5&gt;$E40,BO$5&lt;=$F40),IF(BO$5=$E40+1,$C40,""),"")</f>
        <v/>
      </c>
      <c r="BP40" s="34">
        <f>IF(AND(BP$5&gt;$E40,BP$5&lt;=$F40),IF(BP$5=$E40+1,$C40,""),"")</f>
        <v/>
      </c>
      <c r="BQ40" s="34">
        <f>IF(AND(BQ$5&gt;$E40,BQ$5&lt;=$F40),IF(BQ$5=$E40+1,$C40,""),"")</f>
        <v/>
      </c>
      <c r="BR40" s="34">
        <f>IF(AND(BR$5&gt;$E40,BR$5&lt;=$F40),IF(BR$5=$E40+1,$C40,""),"")</f>
        <v/>
      </c>
      <c r="BS40" s="34">
        <f>IF(AND(BS$5&gt;$E40,BS$5&lt;=$F40),IF(BS$5=$E40+1,$C40,""),"")</f>
        <v/>
      </c>
      <c r="BT40" s="34">
        <f>IF(AND(BT$5&gt;$E40,BT$5&lt;=$F40),IF(BT$5=$E40+1,$C40,""),"")</f>
        <v/>
      </c>
      <c r="BU40" s="34">
        <f>IF(AND(BU$5&gt;$E40,BU$5&lt;=$F40),IF(BU$5=$E40+1,$C40,""),"")</f>
        <v/>
      </c>
      <c r="BV40" s="34">
        <f>IF(AND(BV$5&gt;$E40,BV$5&lt;=$F40),IF(BV$5=$E40+1,$C40,""),"")</f>
        <v/>
      </c>
      <c r="BW40" s="34">
        <f>IF(AND(BW$5&gt;$E40,BW$5&lt;=$F40),IF(BW$5=$E40+1,$C40,""),"")</f>
        <v/>
      </c>
      <c r="BX40" s="34">
        <f>IF(AND(BX$5&gt;$E40,BX$5&lt;=$F40),IF(BX$5=$E40+1,$C40,""),"")</f>
        <v/>
      </c>
      <c r="BY40" s="34">
        <f>IF(AND(BY$5&gt;$E40,BY$5&lt;=$F40),IF(BY$5=$E40+1,$C40,""),"")</f>
        <v/>
      </c>
      <c r="BZ40" s="34">
        <f>IF(AND(BZ$5&gt;$E40,BZ$5&lt;=$F40),IF(BZ$5=$E40+1,$C40,""),"")</f>
        <v/>
      </c>
      <c r="CA40" s="34">
        <f>IF(AND(CA$5&gt;$E40,CA$5&lt;=$F40),IF(CA$5=$E40+1,$C40,""),"")</f>
        <v/>
      </c>
      <c r="CB40" s="34">
        <f>IF(AND(CB$5&gt;$E40,CB$5&lt;=$F40),IF(CB$5=$E40+1,$C40,""),"")</f>
        <v/>
      </c>
      <c r="CC40" s="34">
        <f>IF(AND(CC$5&gt;$E40,CC$5&lt;=$F40),IF(CC$5=$E40+1,$C40,""),"")</f>
        <v/>
      </c>
      <c r="CD40" s="34">
        <f>IF(AND(CD$5&gt;$E40,CD$5&lt;=$F40),IF(CD$5=$E40+1,$C40,""),"")</f>
        <v/>
      </c>
      <c r="CE40" s="34">
        <f>IF(AND(CE$5&gt;$E40,CE$5&lt;=$F40),IF(CE$5=$E40+1,$C40,""),"")</f>
        <v/>
      </c>
      <c r="CF40" s="34">
        <f>IF(AND(CF$5&gt;$E40,CF$5&lt;=$F40),IF(CF$5=$E40+1,$C40,""),"")</f>
        <v/>
      </c>
      <c r="CG40" s="34">
        <f>IF(AND(CG$5&gt;$E40,CG$5&lt;=$F40),IF(CG$5=$E40+1,$C40,""),"")</f>
        <v/>
      </c>
      <c r="CH40" s="34">
        <f>IF(AND(CH$5&gt;$E40,CH$5&lt;=$F40),IF(CH$5=$E40+1,$C40,""),"")</f>
        <v/>
      </c>
      <c r="CI40" s="34">
        <f>IF(AND(CI$5&gt;$E40,CI$5&lt;=$F40),IF(CI$5=$E40+1,$C40,""),"")</f>
        <v/>
      </c>
      <c r="CJ40" s="34">
        <f>IF(AND(CJ$5&gt;$E40,CJ$5&lt;=$F40),IF(CJ$5=$E40+1,$C40,""),"")</f>
        <v/>
      </c>
      <c r="CK40" s="34">
        <f>IF(AND(CK$5&gt;$E40,CK$5&lt;=$F40),IF(CK$5=$E40+1,$C40,""),"")</f>
        <v/>
      </c>
      <c r="CL40" s="34">
        <f>IF(AND(CL$5&gt;$E40,CL$5&lt;=$F40),IF(CL$5=$E40+1,$C40,""),"")</f>
        <v/>
      </c>
      <c r="CM40" s="34">
        <f>IF(AND(CM$5&gt;$E40,CM$5&lt;=$F40),IF(CM$5=$E40+1,$C40,""),"")</f>
        <v/>
      </c>
      <c r="CN40" s="34">
        <f>IF(AND(CN$5&gt;$E40,CN$5&lt;=$F40),IF(CN$5=$E40+1,$C40,""),"")</f>
        <v/>
      </c>
      <c r="CO40" s="34">
        <f>IF(AND(CO$5&gt;$E40,CO$5&lt;=$F40),IF(CO$5=$E40+1,$C40,""),"")</f>
        <v/>
      </c>
      <c r="CP40" s="34">
        <f>IF(AND(CP$5&gt;$E40,CP$5&lt;=$F40),IF(CP$5=$E40+1,$C40,""),"")</f>
        <v/>
      </c>
      <c r="CQ40" s="34">
        <f>IF(AND(CQ$5&gt;$E40,CQ$5&lt;=$F40),IF(CQ$5=$E40+1,$C40,""),"")</f>
        <v/>
      </c>
      <c r="CR40" s="34">
        <f>IF(AND(CR$5&gt;$E40,CR$5&lt;=$F40),IF(CR$5=$E40+1,$C40,""),"")</f>
        <v/>
      </c>
      <c r="CS40" s="34">
        <f>IF(AND(CS$5&gt;$E40,CS$5&lt;=$F40),IF(CS$5=$E40+1,$C40,""),"")</f>
        <v/>
      </c>
      <c r="CT40" s="34">
        <f>IF(AND(CT$5&gt;$E40,CT$5&lt;=$F40),IF(CT$5=$E40+1,$C40,""),"")</f>
        <v/>
      </c>
      <c r="CU40" s="34">
        <f>IF(AND(CU$5&gt;$E40,CU$5&lt;=$F40),IF(CU$5=$E40+1,$C40,""),"")</f>
        <v/>
      </c>
      <c r="CV40" s="34">
        <f>IF(AND(CV$5&gt;$E40,CV$5&lt;=$F40),IF(CV$5=$E40+1,$C40,""),"")</f>
        <v/>
      </c>
      <c r="CW40" s="34">
        <f>IF(AND(CW$5&gt;$E40,CW$5&lt;=$F40),IF(CW$5=$E40+1,$C40,""),"")</f>
        <v/>
      </c>
      <c r="CX40" s="34">
        <f>IF(AND(CX$5&gt;$E40,CX$5&lt;=$F40),IF(CX$5=$E40+1,$C40,""),"")</f>
        <v/>
      </c>
      <c r="CY40" s="34">
        <f>IF(AND(CY$5&gt;$E40,CY$5&lt;=$F40),IF(CY$5=$E40+1,$C40,""),"")</f>
        <v/>
      </c>
      <c r="CZ40" s="34">
        <f>IF(AND(CZ$5&gt;$E40,CZ$5&lt;=$F40),IF(CZ$5=$E40+1,$C40,""),"")</f>
        <v/>
      </c>
      <c r="DA40" s="34">
        <f>IF(AND(DA$5&gt;$E40,DA$5&lt;=$F40),IF(DA$5=$E40+1,$C40,""),"")</f>
        <v/>
      </c>
      <c r="DB40" s="34">
        <f>IF(AND(DB$5&gt;$E40,DB$5&lt;=$F40),IF(DB$5=$E40+1,$C40,""),"")</f>
        <v/>
      </c>
      <c r="DC40" s="34">
        <f>IF(AND(DC$5&gt;$E40,DC$5&lt;=$F40),IF(DC$5=$E40+1,$C40,""),"")</f>
        <v/>
      </c>
      <c r="DD40" s="34">
        <f>IF(AND(DD$5&gt;$E40,DD$5&lt;=$F40),IF(DD$5=$E40+1,$C40,""),"")</f>
        <v/>
      </c>
      <c r="DE40" s="34">
        <f>IF(AND(DE$5&gt;$E40,DE$5&lt;=$F40),IF(DE$5=$E40+1,$C40,""),"")</f>
        <v/>
      </c>
      <c r="DF40" s="34">
        <f>IF(AND(DF$5&gt;$E40,DF$5&lt;=$F40),IF(DF$5=$E40+1,$C40,""),"")</f>
        <v/>
      </c>
      <c r="DG40" s="34">
        <f>IF(AND(DG$5&gt;$E40,DG$5&lt;=$F40),IF(DG$5=$E40+1,$C40,""),"")</f>
        <v/>
      </c>
      <c r="DH40" s="34">
        <f>IF(AND(DH$5&gt;$E40,DH$5&lt;=$F40),IF(DH$5=$E40+1,$C40,""),"")</f>
        <v/>
      </c>
      <c r="DI40" s="34">
        <f>IF(AND(DI$5&gt;$E40,DI$5&lt;=$F40),IF(DI$5=$E40+1,$C40,""),"")</f>
        <v/>
      </c>
      <c r="DJ40" s="34">
        <f>IF(AND(DJ$5&gt;$E40,DJ$5&lt;=$F40),IF(DJ$5=$E40+1,$C40,""),"")</f>
        <v/>
      </c>
      <c r="DK40" s="34">
        <f>IF(AND(DK$5&gt;$E40,DK$5&lt;=$F40),IF(DK$5=$E40+1,$C40,""),"")</f>
        <v/>
      </c>
      <c r="DL40" s="34">
        <f>IF(AND(DL$5&gt;$E40,DL$5&lt;=$F40),IF(DL$5=$E40+1,$C40,""),"")</f>
        <v/>
      </c>
      <c r="DM40" s="34">
        <f>IF(AND(DM$5&gt;$E40,DM$5&lt;=$F40),IF(DM$5=$E40+1,$C40,""),"")</f>
        <v/>
      </c>
      <c r="DN40" s="34">
        <f>IF(AND(DN$5&gt;$E40,DN$5&lt;=$F40),IF(DN$5=$E40+1,$C40,""),"")</f>
        <v/>
      </c>
      <c r="DO40" s="34">
        <f>IF(AND(DO$5&gt;$E40,DO$5&lt;=$F40),IF(DO$5=$E40+1,$C40,""),"")</f>
        <v/>
      </c>
      <c r="DP40" s="34">
        <f>IF(AND(DP$5&gt;$E40,DP$5&lt;=$F40),IF(DP$5=$E40+1,$C40,""),"")</f>
        <v/>
      </c>
      <c r="DQ40" s="34">
        <f>IF(AND(DQ$5&gt;$E40,DQ$5&lt;=$F40),IF(DQ$5=$E40+1,$C40,""),"")</f>
        <v/>
      </c>
      <c r="DR40" s="34">
        <f>IF(AND(DR$5&gt;$E40,DR$5&lt;=$F40),IF(DR$5=$E40+1,$C40,""),"")</f>
        <v/>
      </c>
      <c r="DS40" s="34">
        <f>IF(AND(DS$5&gt;$E40,DS$5&lt;=$F40),IF(DS$5=$E40+1,$C40,""),"")</f>
        <v/>
      </c>
      <c r="DT40" s="34">
        <f>IF(AND(DT$5&gt;$E40,DT$5&lt;=$F40),IF(DT$5=$E40+1,$C40,""),"")</f>
        <v/>
      </c>
      <c r="DU40" s="34">
        <f>IF(AND(DU$5&gt;$E40,DU$5&lt;=$F40),IF(DU$5=$E40+1,$C40,""),"")</f>
        <v/>
      </c>
      <c r="DV40" s="34">
        <f>IF(AND(DV$5&gt;$E40,DV$5&lt;=$F40),IF(DV$5=$E40+1,$C40,""),"")</f>
        <v/>
      </c>
      <c r="DW40" s="34">
        <f>IF(AND(DW$5&gt;$E40,DW$5&lt;=$F40),IF(DW$5=$E40+1,$C40,""),"")</f>
        <v/>
      </c>
      <c r="DX40" s="34">
        <f>IF(AND(DX$5&gt;$E40,DX$5&lt;=$F40),IF(DX$5=$E40+1,$C40,""),"")</f>
        <v/>
      </c>
      <c r="DY40" s="34">
        <f>IF(AND(DY$5&gt;$E40,DY$5&lt;=$F40),IF(DY$5=$E40+1,$C40,""),"")</f>
        <v/>
      </c>
      <c r="DZ40" s="34">
        <f>IF(AND(DZ$5&gt;$E40,DZ$5&lt;=$F40),IF(DZ$5=$E40+1,$C40,""),"")</f>
        <v/>
      </c>
      <c r="EA40" s="34">
        <f>IF(AND(EA$5&gt;$E40,EA$5&lt;=$F40),IF(EA$5=$E40+1,$C40,""),"")</f>
        <v/>
      </c>
      <c r="EB40" s="34">
        <f>IF(AND(EB$5&gt;$E40,EB$5&lt;=$F40),IF(EB$5=$E40+1,$C40,""),"")</f>
        <v/>
      </c>
      <c r="EC40" s="34">
        <f>IF(AND(EC$5&gt;$E40,EC$5&lt;=$F40),IF(EC$5=$E40+1,$C40,""),"")</f>
        <v/>
      </c>
      <c r="ED40" s="34">
        <f>IF(AND(ED$5&gt;$E40,ED$5&lt;=$F40),IF(ED$5=$E40+1,$C40,""),"")</f>
        <v/>
      </c>
      <c r="EE40" s="34">
        <f>IF(AND(EE$5&gt;$E40,EE$5&lt;=$F40),IF(EE$5=$E40+1,$C40,""),"")</f>
        <v/>
      </c>
      <c r="EF40" s="34">
        <f>IF(AND(EF$5&gt;$E40,EF$5&lt;=$F40),IF(EF$5=$E40+1,$C40,""),"")</f>
        <v/>
      </c>
      <c r="EG40" s="34">
        <f>IF(AND(EG$5&gt;$E40,EG$5&lt;=$F40),IF(EG$5=$E40+1,$C40,""),"")</f>
        <v/>
      </c>
      <c r="EH40" s="34">
        <f>IF(AND(EH$5&gt;$E40,EH$5&lt;=$F40),IF(EH$5=$E40+1,$C40,""),"")</f>
        <v/>
      </c>
      <c r="EI40" s="34">
        <f>IF(AND(EI$5&gt;$E40,EI$5&lt;=$F40),IF(EI$5=$E40+1,$C40,""),"")</f>
        <v/>
      </c>
      <c r="EJ40" s="34">
        <f>IF(AND(EJ$5&gt;$E40,EJ$5&lt;=$F40),IF(EJ$5=$E40+1,$C40,""),"")</f>
        <v/>
      </c>
      <c r="EK40" s="34">
        <f>IF(AND(EK$5&gt;$E40,EK$5&lt;=$F40),IF(EK$5=$E40+1,$C40,""),"")</f>
        <v/>
      </c>
      <c r="EL40" s="34">
        <f>IF(AND(EL$5&gt;$E40,EL$5&lt;=$F40),IF(EL$5=$E40+1,$C40,""),"")</f>
        <v/>
      </c>
      <c r="EM40" s="34">
        <f>IF(AND(EM$5&gt;$E40,EM$5&lt;=$F40),IF(EM$5=$E40+1,$C40,""),"")</f>
        <v/>
      </c>
      <c r="EN40" s="34">
        <f>IF(AND(EN$5&gt;$E40,EN$5&lt;=$F40),IF(EN$5=$E40+1,$C40,""),"")</f>
        <v/>
      </c>
      <c r="EO40" s="34">
        <f>IF(AND(EO$5&gt;$E40,EO$5&lt;=$F40),IF(EO$5=$E40+1,$C40,""),"")</f>
        <v/>
      </c>
      <c r="EP40" s="34">
        <f>IF(AND(EP$5&gt;$E40,EP$5&lt;=$F40),IF(EP$5=$E40+1,$C40,""),"")</f>
        <v/>
      </c>
      <c r="EQ40" s="34">
        <f>IF(AND(EQ$5&gt;$E40,EQ$5&lt;=$F40),IF(EQ$5=$E40+1,$C40,""),"")</f>
        <v/>
      </c>
      <c r="ER40" s="34">
        <f>IF(AND(ER$5&gt;$E40,ER$5&lt;=$F40),IF(ER$5=$E40+1,$C40,""),"")</f>
        <v/>
      </c>
      <c r="ES40" s="34">
        <f>IF(AND(ES$5&gt;$E40,ES$5&lt;=$F40),IF(ES$5=$E40+1,$C40,""),"")</f>
        <v/>
      </c>
      <c r="ET40" s="34">
        <f>IF(AND(ET$5&gt;$E40,ET$5&lt;=$F40),IF(ET$5=$E40+1,$C40,""),"")</f>
        <v/>
      </c>
      <c r="EU40" s="34">
        <f>IF(AND(EU$5&gt;$E40,EU$5&lt;=$F40),IF(EU$5=$E40+1,$C40,""),"")</f>
        <v/>
      </c>
      <c r="EV40" s="34">
        <f>IF(AND(EV$5&gt;$E40,EV$5&lt;=$F40),IF(EV$5=$E40+1,$C40,""),"")</f>
        <v/>
      </c>
      <c r="EW40" s="34">
        <f>IF(AND(EW$5&gt;$E40,EW$5&lt;=$F40),IF(EW$5=$E40+1,$C40,""),"")</f>
        <v/>
      </c>
      <c r="EX40" s="34">
        <f>IF(AND(EX$5&gt;$E40,EX$5&lt;=$F40),IF(EX$5=$E40+1,$C40,""),"")</f>
        <v/>
      </c>
      <c r="EY40" s="34">
        <f>IF(AND(EY$5&gt;$E40,EY$5&lt;=$F40),IF(EY$5=$E40+1,$C40,""),"")</f>
        <v/>
      </c>
      <c r="EZ40" s="34">
        <f>IF(AND(EZ$5&gt;$E40,EZ$5&lt;=$F40),IF(EZ$5=$E40+1,$C40,""),"")</f>
        <v/>
      </c>
      <c r="FA40" s="34">
        <f>IF(AND(FA$5&gt;$E40,FA$5&lt;=$F40),IF(FA$5=$E40+1,$C40,""),"")</f>
        <v/>
      </c>
    </row>
    <row r="41">
      <c r="A41" s="32">
        <f>Plan!A32</f>
        <v/>
      </c>
      <c r="B41" s="33">
        <f>Plan!C32</f>
        <v/>
      </c>
      <c r="C41" s="16">
        <f>Plan!D32</f>
        <v/>
      </c>
      <c r="D41" s="16">
        <f>Plan!I32</f>
        <v/>
      </c>
      <c r="E41" s="16">
        <f>Plan!K32</f>
        <v/>
      </c>
      <c r="F41" s="16">
        <f>Plan!L32</f>
        <v/>
      </c>
      <c r="G41" s="16">
        <f>Plan!O32</f>
        <v/>
      </c>
      <c r="H41" s="34">
        <f>IF(AND(H$5&gt;$E41,H$5&lt;=$F41),IF(H$5=$E41+1,$C41,""),"")</f>
        <v/>
      </c>
      <c r="I41" s="34">
        <f>IF(AND(I$5&gt;$E41,I$5&lt;=$F41),IF(I$5=$E41+1,$C41,""),"")</f>
        <v/>
      </c>
      <c r="J41" s="34">
        <f>IF(AND(J$5&gt;$E41,J$5&lt;=$F41),IF(J$5=$E41+1,$C41,""),"")</f>
        <v/>
      </c>
      <c r="K41" s="34">
        <f>IF(AND(K$5&gt;$E41,K$5&lt;=$F41),IF(K$5=$E41+1,$C41,""),"")</f>
        <v/>
      </c>
      <c r="L41" s="34">
        <f>IF(AND(L$5&gt;$E41,L$5&lt;=$F41),IF(L$5=$E41+1,$C41,""),"")</f>
        <v/>
      </c>
      <c r="M41" s="34">
        <f>IF(AND(M$5&gt;$E41,M$5&lt;=$F41),IF(M$5=$E41+1,$C41,""),"")</f>
        <v/>
      </c>
      <c r="N41" s="34">
        <f>IF(AND(N$5&gt;$E41,N$5&lt;=$F41),IF(N$5=$E41+1,$C41,""),"")</f>
        <v/>
      </c>
      <c r="O41" s="34">
        <f>IF(AND(O$5&gt;$E41,O$5&lt;=$F41),IF(O$5=$E41+1,$C41,""),"")</f>
        <v/>
      </c>
      <c r="P41" s="34">
        <f>IF(AND(P$5&gt;$E41,P$5&lt;=$F41),IF(P$5=$E41+1,$C41,""),"")</f>
        <v/>
      </c>
      <c r="Q41" s="34">
        <f>IF(AND(Q$5&gt;$E41,Q$5&lt;=$F41),IF(Q$5=$E41+1,$C41,""),"")</f>
        <v/>
      </c>
      <c r="R41" s="34">
        <f>IF(AND(R$5&gt;$E41,R$5&lt;=$F41),IF(R$5=$E41+1,$C41,""),"")</f>
        <v/>
      </c>
      <c r="S41" s="34">
        <f>IF(AND(S$5&gt;$E41,S$5&lt;=$F41),IF(S$5=$E41+1,$C41,""),"")</f>
        <v/>
      </c>
      <c r="T41" s="34">
        <f>IF(AND(T$5&gt;$E41,T$5&lt;=$F41),IF(T$5=$E41+1,$C41,""),"")</f>
        <v/>
      </c>
      <c r="U41" s="34">
        <f>IF(AND(U$5&gt;$E41,U$5&lt;=$F41),IF(U$5=$E41+1,$C41,""),"")</f>
        <v/>
      </c>
      <c r="V41" s="34">
        <f>IF(AND(V$5&gt;$E41,V$5&lt;=$F41),IF(V$5=$E41+1,$C41,""),"")</f>
        <v/>
      </c>
      <c r="W41" s="34">
        <f>IF(AND(W$5&gt;$E41,W$5&lt;=$F41),IF(W$5=$E41+1,$C41,""),"")</f>
        <v/>
      </c>
      <c r="X41" s="34">
        <f>IF(AND(X$5&gt;$E41,X$5&lt;=$F41),IF(X$5=$E41+1,$C41,""),"")</f>
        <v/>
      </c>
      <c r="Y41" s="34">
        <f>IF(AND(Y$5&gt;$E41,Y$5&lt;=$F41),IF(Y$5=$E41+1,$C41,""),"")</f>
        <v/>
      </c>
      <c r="Z41" s="34">
        <f>IF(AND(Z$5&gt;$E41,Z$5&lt;=$F41),IF(Z$5=$E41+1,$C41,""),"")</f>
        <v/>
      </c>
      <c r="AA41" s="34">
        <f>IF(AND(AA$5&gt;$E41,AA$5&lt;=$F41),IF(AA$5=$E41+1,$C41,""),"")</f>
        <v/>
      </c>
      <c r="AB41" s="34">
        <f>IF(AND(AB$5&gt;$E41,AB$5&lt;=$F41),IF(AB$5=$E41+1,$C41,""),"")</f>
        <v/>
      </c>
      <c r="AC41" s="34">
        <f>IF(AND(AC$5&gt;$E41,AC$5&lt;=$F41),IF(AC$5=$E41+1,$C41,""),"")</f>
        <v/>
      </c>
      <c r="AD41" s="34">
        <f>IF(AND(AD$5&gt;$E41,AD$5&lt;=$F41),IF(AD$5=$E41+1,$C41,""),"")</f>
        <v/>
      </c>
      <c r="AE41" s="34">
        <f>IF(AND(AE$5&gt;$E41,AE$5&lt;=$F41),IF(AE$5=$E41+1,$C41,""),"")</f>
        <v/>
      </c>
      <c r="AF41" s="34">
        <f>IF(AND(AF$5&gt;$E41,AF$5&lt;=$F41),IF(AF$5=$E41+1,$C41,""),"")</f>
        <v/>
      </c>
      <c r="AG41" s="34">
        <f>IF(AND(AG$5&gt;$E41,AG$5&lt;=$F41),IF(AG$5=$E41+1,$C41,""),"")</f>
        <v/>
      </c>
      <c r="AH41" s="34">
        <f>IF(AND(AH$5&gt;$E41,AH$5&lt;=$F41),IF(AH$5=$E41+1,$C41,""),"")</f>
        <v/>
      </c>
      <c r="AI41" s="34">
        <f>IF(AND(AI$5&gt;$E41,AI$5&lt;=$F41),IF(AI$5=$E41+1,$C41,""),"")</f>
        <v/>
      </c>
      <c r="AJ41" s="34">
        <f>IF(AND(AJ$5&gt;$E41,AJ$5&lt;=$F41),IF(AJ$5=$E41+1,$C41,""),"")</f>
        <v/>
      </c>
      <c r="AK41" s="34">
        <f>IF(AND(AK$5&gt;$E41,AK$5&lt;=$F41),IF(AK$5=$E41+1,$C41,""),"")</f>
        <v/>
      </c>
      <c r="AL41" s="34">
        <f>IF(AND(AL$5&gt;$E41,AL$5&lt;=$F41),IF(AL$5=$E41+1,$C41,""),"")</f>
        <v/>
      </c>
      <c r="AM41" s="34">
        <f>IF(AND(AM$5&gt;$E41,AM$5&lt;=$F41),IF(AM$5=$E41+1,$C41,""),"")</f>
        <v/>
      </c>
      <c r="AN41" s="34">
        <f>IF(AND(AN$5&gt;$E41,AN$5&lt;=$F41),IF(AN$5=$E41+1,$C41,""),"")</f>
        <v/>
      </c>
      <c r="AO41" s="34">
        <f>IF(AND(AO$5&gt;$E41,AO$5&lt;=$F41),IF(AO$5=$E41+1,$C41,""),"")</f>
        <v/>
      </c>
      <c r="AP41" s="34">
        <f>IF(AND(AP$5&gt;$E41,AP$5&lt;=$F41),IF(AP$5=$E41+1,$C41,""),"")</f>
        <v/>
      </c>
      <c r="AQ41" s="34">
        <f>IF(AND(AQ$5&gt;$E41,AQ$5&lt;=$F41),IF(AQ$5=$E41+1,$C41,""),"")</f>
        <v/>
      </c>
      <c r="AR41" s="34">
        <f>IF(AND(AR$5&gt;$E41,AR$5&lt;=$F41),IF(AR$5=$E41+1,$C41,""),"")</f>
        <v/>
      </c>
      <c r="AS41" s="34">
        <f>IF(AND(AS$5&gt;$E41,AS$5&lt;=$F41),IF(AS$5=$E41+1,$C41,""),"")</f>
        <v/>
      </c>
      <c r="AT41" s="34">
        <f>IF(AND(AT$5&gt;$E41,AT$5&lt;=$F41),IF(AT$5=$E41+1,$C41,""),"")</f>
        <v/>
      </c>
      <c r="AU41" s="34">
        <f>IF(AND(AU$5&gt;$E41,AU$5&lt;=$F41),IF(AU$5=$E41+1,$C41,""),"")</f>
        <v/>
      </c>
      <c r="AV41" s="34">
        <f>IF(AND(AV$5&gt;$E41,AV$5&lt;=$F41),IF(AV$5=$E41+1,$C41,""),"")</f>
        <v/>
      </c>
      <c r="AW41" s="34">
        <f>IF(AND(AW$5&gt;$E41,AW$5&lt;=$F41),IF(AW$5=$E41+1,$C41,""),"")</f>
        <v/>
      </c>
      <c r="AX41" s="34">
        <f>IF(AND(AX$5&gt;$E41,AX$5&lt;=$F41),IF(AX$5=$E41+1,$C41,""),"")</f>
        <v/>
      </c>
      <c r="AY41" s="34">
        <f>IF(AND(AY$5&gt;$E41,AY$5&lt;=$F41),IF(AY$5=$E41+1,$C41,""),"")</f>
        <v/>
      </c>
      <c r="AZ41" s="34">
        <f>IF(AND(AZ$5&gt;$E41,AZ$5&lt;=$F41),IF(AZ$5=$E41+1,$C41,""),"")</f>
        <v/>
      </c>
      <c r="BA41" s="34">
        <f>IF(AND(BA$5&gt;$E41,BA$5&lt;=$F41),IF(BA$5=$E41+1,$C41,""),"")</f>
        <v/>
      </c>
      <c r="BB41" s="34">
        <f>IF(AND(BB$5&gt;$E41,BB$5&lt;=$F41),IF(BB$5=$E41+1,$C41,""),"")</f>
        <v/>
      </c>
      <c r="BC41" s="34">
        <f>IF(AND(BC$5&gt;$E41,BC$5&lt;=$F41),IF(BC$5=$E41+1,$C41,""),"")</f>
        <v/>
      </c>
      <c r="BD41" s="34">
        <f>IF(AND(BD$5&gt;$E41,BD$5&lt;=$F41),IF(BD$5=$E41+1,$C41,""),"")</f>
        <v/>
      </c>
      <c r="BE41" s="34">
        <f>IF(AND(BE$5&gt;$E41,BE$5&lt;=$F41),IF(BE$5=$E41+1,$C41,""),"")</f>
        <v/>
      </c>
      <c r="BF41" s="34">
        <f>IF(AND(BF$5&gt;$E41,BF$5&lt;=$F41),IF(BF$5=$E41+1,$C41,""),"")</f>
        <v/>
      </c>
      <c r="BG41" s="34">
        <f>IF(AND(BG$5&gt;$E41,BG$5&lt;=$F41),IF(BG$5=$E41+1,$C41,""),"")</f>
        <v/>
      </c>
      <c r="BH41" s="34">
        <f>IF(AND(BH$5&gt;$E41,BH$5&lt;=$F41),IF(BH$5=$E41+1,$C41,""),"")</f>
        <v/>
      </c>
      <c r="BI41" s="34">
        <f>IF(AND(BI$5&gt;$E41,BI$5&lt;=$F41),IF(BI$5=$E41+1,$C41,""),"")</f>
        <v/>
      </c>
      <c r="BJ41" s="34">
        <f>IF(AND(BJ$5&gt;$E41,BJ$5&lt;=$F41),IF(BJ$5=$E41+1,$C41,""),"")</f>
        <v/>
      </c>
      <c r="BK41" s="34">
        <f>IF(AND(BK$5&gt;$E41,BK$5&lt;=$F41),IF(BK$5=$E41+1,$C41,""),"")</f>
        <v/>
      </c>
      <c r="BL41" s="34">
        <f>IF(AND(BL$5&gt;$E41,BL$5&lt;=$F41),IF(BL$5=$E41+1,$C41,""),"")</f>
        <v/>
      </c>
      <c r="BM41" s="34">
        <f>IF(AND(BM$5&gt;$E41,BM$5&lt;=$F41),IF(BM$5=$E41+1,$C41,""),"")</f>
        <v/>
      </c>
      <c r="BN41" s="34">
        <f>IF(AND(BN$5&gt;$E41,BN$5&lt;=$F41),IF(BN$5=$E41+1,$C41,""),"")</f>
        <v/>
      </c>
      <c r="BO41" s="34">
        <f>IF(AND(BO$5&gt;$E41,BO$5&lt;=$F41),IF(BO$5=$E41+1,$C41,""),"")</f>
        <v/>
      </c>
      <c r="BP41" s="34">
        <f>IF(AND(BP$5&gt;$E41,BP$5&lt;=$F41),IF(BP$5=$E41+1,$C41,""),"")</f>
        <v/>
      </c>
      <c r="BQ41" s="34">
        <f>IF(AND(BQ$5&gt;$E41,BQ$5&lt;=$F41),IF(BQ$5=$E41+1,$C41,""),"")</f>
        <v/>
      </c>
      <c r="BR41" s="34">
        <f>IF(AND(BR$5&gt;$E41,BR$5&lt;=$F41),IF(BR$5=$E41+1,$C41,""),"")</f>
        <v/>
      </c>
      <c r="BS41" s="34">
        <f>IF(AND(BS$5&gt;$E41,BS$5&lt;=$F41),IF(BS$5=$E41+1,$C41,""),"")</f>
        <v/>
      </c>
      <c r="BT41" s="34">
        <f>IF(AND(BT$5&gt;$E41,BT$5&lt;=$F41),IF(BT$5=$E41+1,$C41,""),"")</f>
        <v/>
      </c>
      <c r="BU41" s="34">
        <f>IF(AND(BU$5&gt;$E41,BU$5&lt;=$F41),IF(BU$5=$E41+1,$C41,""),"")</f>
        <v/>
      </c>
      <c r="BV41" s="34">
        <f>IF(AND(BV$5&gt;$E41,BV$5&lt;=$F41),IF(BV$5=$E41+1,$C41,""),"")</f>
        <v/>
      </c>
      <c r="BW41" s="34">
        <f>IF(AND(BW$5&gt;$E41,BW$5&lt;=$F41),IF(BW$5=$E41+1,$C41,""),"")</f>
        <v/>
      </c>
      <c r="BX41" s="34">
        <f>IF(AND(BX$5&gt;$E41,BX$5&lt;=$F41),IF(BX$5=$E41+1,$C41,""),"")</f>
        <v/>
      </c>
      <c r="BY41" s="34">
        <f>IF(AND(BY$5&gt;$E41,BY$5&lt;=$F41),IF(BY$5=$E41+1,$C41,""),"")</f>
        <v/>
      </c>
      <c r="BZ41" s="34">
        <f>IF(AND(BZ$5&gt;$E41,BZ$5&lt;=$F41),IF(BZ$5=$E41+1,$C41,""),"")</f>
        <v/>
      </c>
      <c r="CA41" s="34">
        <f>IF(AND(CA$5&gt;$E41,CA$5&lt;=$F41),IF(CA$5=$E41+1,$C41,""),"")</f>
        <v/>
      </c>
      <c r="CB41" s="34">
        <f>IF(AND(CB$5&gt;$E41,CB$5&lt;=$F41),IF(CB$5=$E41+1,$C41,""),"")</f>
        <v/>
      </c>
      <c r="CC41" s="34">
        <f>IF(AND(CC$5&gt;$E41,CC$5&lt;=$F41),IF(CC$5=$E41+1,$C41,""),"")</f>
        <v/>
      </c>
      <c r="CD41" s="34">
        <f>IF(AND(CD$5&gt;$E41,CD$5&lt;=$F41),IF(CD$5=$E41+1,$C41,""),"")</f>
        <v/>
      </c>
      <c r="CE41" s="34">
        <f>IF(AND(CE$5&gt;$E41,CE$5&lt;=$F41),IF(CE$5=$E41+1,$C41,""),"")</f>
        <v/>
      </c>
      <c r="CF41" s="34">
        <f>IF(AND(CF$5&gt;$E41,CF$5&lt;=$F41),IF(CF$5=$E41+1,$C41,""),"")</f>
        <v/>
      </c>
      <c r="CG41" s="34">
        <f>IF(AND(CG$5&gt;$E41,CG$5&lt;=$F41),IF(CG$5=$E41+1,$C41,""),"")</f>
        <v/>
      </c>
      <c r="CH41" s="34">
        <f>IF(AND(CH$5&gt;$E41,CH$5&lt;=$F41),IF(CH$5=$E41+1,$C41,""),"")</f>
        <v/>
      </c>
      <c r="CI41" s="34">
        <f>IF(AND(CI$5&gt;$E41,CI$5&lt;=$F41),IF(CI$5=$E41+1,$C41,""),"")</f>
        <v/>
      </c>
      <c r="CJ41" s="34">
        <f>IF(AND(CJ$5&gt;$E41,CJ$5&lt;=$F41),IF(CJ$5=$E41+1,$C41,""),"")</f>
        <v/>
      </c>
      <c r="CK41" s="34">
        <f>IF(AND(CK$5&gt;$E41,CK$5&lt;=$F41),IF(CK$5=$E41+1,$C41,""),"")</f>
        <v/>
      </c>
      <c r="CL41" s="34">
        <f>IF(AND(CL$5&gt;$E41,CL$5&lt;=$F41),IF(CL$5=$E41+1,$C41,""),"")</f>
        <v/>
      </c>
      <c r="CM41" s="34">
        <f>IF(AND(CM$5&gt;$E41,CM$5&lt;=$F41),IF(CM$5=$E41+1,$C41,""),"")</f>
        <v/>
      </c>
      <c r="CN41" s="34">
        <f>IF(AND(CN$5&gt;$E41,CN$5&lt;=$F41),IF(CN$5=$E41+1,$C41,""),"")</f>
        <v/>
      </c>
      <c r="CO41" s="34">
        <f>IF(AND(CO$5&gt;$E41,CO$5&lt;=$F41),IF(CO$5=$E41+1,$C41,""),"")</f>
        <v/>
      </c>
      <c r="CP41" s="34">
        <f>IF(AND(CP$5&gt;$E41,CP$5&lt;=$F41),IF(CP$5=$E41+1,$C41,""),"")</f>
        <v/>
      </c>
      <c r="CQ41" s="34">
        <f>IF(AND(CQ$5&gt;$E41,CQ$5&lt;=$F41),IF(CQ$5=$E41+1,$C41,""),"")</f>
        <v/>
      </c>
      <c r="CR41" s="34">
        <f>IF(AND(CR$5&gt;$E41,CR$5&lt;=$F41),IF(CR$5=$E41+1,$C41,""),"")</f>
        <v/>
      </c>
      <c r="CS41" s="34">
        <f>IF(AND(CS$5&gt;$E41,CS$5&lt;=$F41),IF(CS$5=$E41+1,$C41,""),"")</f>
        <v/>
      </c>
      <c r="CT41" s="34">
        <f>IF(AND(CT$5&gt;$E41,CT$5&lt;=$F41),IF(CT$5=$E41+1,$C41,""),"")</f>
        <v/>
      </c>
      <c r="CU41" s="34">
        <f>IF(AND(CU$5&gt;$E41,CU$5&lt;=$F41),IF(CU$5=$E41+1,$C41,""),"")</f>
        <v/>
      </c>
      <c r="CV41" s="34">
        <f>IF(AND(CV$5&gt;$E41,CV$5&lt;=$F41),IF(CV$5=$E41+1,$C41,""),"")</f>
        <v/>
      </c>
      <c r="CW41" s="34">
        <f>IF(AND(CW$5&gt;$E41,CW$5&lt;=$F41),IF(CW$5=$E41+1,$C41,""),"")</f>
        <v/>
      </c>
      <c r="CX41" s="34">
        <f>IF(AND(CX$5&gt;$E41,CX$5&lt;=$F41),IF(CX$5=$E41+1,$C41,""),"")</f>
        <v/>
      </c>
      <c r="CY41" s="34">
        <f>IF(AND(CY$5&gt;$E41,CY$5&lt;=$F41),IF(CY$5=$E41+1,$C41,""),"")</f>
        <v/>
      </c>
      <c r="CZ41" s="34">
        <f>IF(AND(CZ$5&gt;$E41,CZ$5&lt;=$F41),IF(CZ$5=$E41+1,$C41,""),"")</f>
        <v/>
      </c>
      <c r="DA41" s="34">
        <f>IF(AND(DA$5&gt;$E41,DA$5&lt;=$F41),IF(DA$5=$E41+1,$C41,""),"")</f>
        <v/>
      </c>
      <c r="DB41" s="34">
        <f>IF(AND(DB$5&gt;$E41,DB$5&lt;=$F41),IF(DB$5=$E41+1,$C41,""),"")</f>
        <v/>
      </c>
      <c r="DC41" s="34">
        <f>IF(AND(DC$5&gt;$E41,DC$5&lt;=$F41),IF(DC$5=$E41+1,$C41,""),"")</f>
        <v/>
      </c>
      <c r="DD41" s="34">
        <f>IF(AND(DD$5&gt;$E41,DD$5&lt;=$F41),IF(DD$5=$E41+1,$C41,""),"")</f>
        <v/>
      </c>
      <c r="DE41" s="34">
        <f>IF(AND(DE$5&gt;$E41,DE$5&lt;=$F41),IF(DE$5=$E41+1,$C41,""),"")</f>
        <v/>
      </c>
      <c r="DF41" s="34">
        <f>IF(AND(DF$5&gt;$E41,DF$5&lt;=$F41),IF(DF$5=$E41+1,$C41,""),"")</f>
        <v/>
      </c>
      <c r="DG41" s="34">
        <f>IF(AND(DG$5&gt;$E41,DG$5&lt;=$F41),IF(DG$5=$E41+1,$C41,""),"")</f>
        <v/>
      </c>
      <c r="DH41" s="34">
        <f>IF(AND(DH$5&gt;$E41,DH$5&lt;=$F41),IF(DH$5=$E41+1,$C41,""),"")</f>
        <v/>
      </c>
      <c r="DI41" s="34">
        <f>IF(AND(DI$5&gt;$E41,DI$5&lt;=$F41),IF(DI$5=$E41+1,$C41,""),"")</f>
        <v/>
      </c>
      <c r="DJ41" s="34">
        <f>IF(AND(DJ$5&gt;$E41,DJ$5&lt;=$F41),IF(DJ$5=$E41+1,$C41,""),"")</f>
        <v/>
      </c>
      <c r="DK41" s="34">
        <f>IF(AND(DK$5&gt;$E41,DK$5&lt;=$F41),IF(DK$5=$E41+1,$C41,""),"")</f>
        <v/>
      </c>
      <c r="DL41" s="34">
        <f>IF(AND(DL$5&gt;$E41,DL$5&lt;=$F41),IF(DL$5=$E41+1,$C41,""),"")</f>
        <v/>
      </c>
      <c r="DM41" s="34">
        <f>IF(AND(DM$5&gt;$E41,DM$5&lt;=$F41),IF(DM$5=$E41+1,$C41,""),"")</f>
        <v/>
      </c>
      <c r="DN41" s="34">
        <f>IF(AND(DN$5&gt;$E41,DN$5&lt;=$F41),IF(DN$5=$E41+1,$C41,""),"")</f>
        <v/>
      </c>
      <c r="DO41" s="34">
        <f>IF(AND(DO$5&gt;$E41,DO$5&lt;=$F41),IF(DO$5=$E41+1,$C41,""),"")</f>
        <v/>
      </c>
      <c r="DP41" s="34">
        <f>IF(AND(DP$5&gt;$E41,DP$5&lt;=$F41),IF(DP$5=$E41+1,$C41,""),"")</f>
        <v/>
      </c>
      <c r="DQ41" s="34">
        <f>IF(AND(DQ$5&gt;$E41,DQ$5&lt;=$F41),IF(DQ$5=$E41+1,$C41,""),"")</f>
        <v/>
      </c>
      <c r="DR41" s="34">
        <f>IF(AND(DR$5&gt;$E41,DR$5&lt;=$F41),IF(DR$5=$E41+1,$C41,""),"")</f>
        <v/>
      </c>
      <c r="DS41" s="34">
        <f>IF(AND(DS$5&gt;$E41,DS$5&lt;=$F41),IF(DS$5=$E41+1,$C41,""),"")</f>
        <v/>
      </c>
      <c r="DT41" s="34">
        <f>IF(AND(DT$5&gt;$E41,DT$5&lt;=$F41),IF(DT$5=$E41+1,$C41,""),"")</f>
        <v/>
      </c>
      <c r="DU41" s="34">
        <f>IF(AND(DU$5&gt;$E41,DU$5&lt;=$F41),IF(DU$5=$E41+1,$C41,""),"")</f>
        <v/>
      </c>
      <c r="DV41" s="34">
        <f>IF(AND(DV$5&gt;$E41,DV$5&lt;=$F41),IF(DV$5=$E41+1,$C41,""),"")</f>
        <v/>
      </c>
      <c r="DW41" s="34">
        <f>IF(AND(DW$5&gt;$E41,DW$5&lt;=$F41),IF(DW$5=$E41+1,$C41,""),"")</f>
        <v/>
      </c>
      <c r="DX41" s="34">
        <f>IF(AND(DX$5&gt;$E41,DX$5&lt;=$F41),IF(DX$5=$E41+1,$C41,""),"")</f>
        <v/>
      </c>
      <c r="DY41" s="34">
        <f>IF(AND(DY$5&gt;$E41,DY$5&lt;=$F41),IF(DY$5=$E41+1,$C41,""),"")</f>
        <v/>
      </c>
      <c r="DZ41" s="34">
        <f>IF(AND(DZ$5&gt;$E41,DZ$5&lt;=$F41),IF(DZ$5=$E41+1,$C41,""),"")</f>
        <v/>
      </c>
      <c r="EA41" s="34">
        <f>IF(AND(EA$5&gt;$E41,EA$5&lt;=$F41),IF(EA$5=$E41+1,$C41,""),"")</f>
        <v/>
      </c>
      <c r="EB41" s="34">
        <f>IF(AND(EB$5&gt;$E41,EB$5&lt;=$F41),IF(EB$5=$E41+1,$C41,""),"")</f>
        <v/>
      </c>
      <c r="EC41" s="34">
        <f>IF(AND(EC$5&gt;$E41,EC$5&lt;=$F41),IF(EC$5=$E41+1,$C41,""),"")</f>
        <v/>
      </c>
      <c r="ED41" s="34">
        <f>IF(AND(ED$5&gt;$E41,ED$5&lt;=$F41),IF(ED$5=$E41+1,$C41,""),"")</f>
        <v/>
      </c>
      <c r="EE41" s="34">
        <f>IF(AND(EE$5&gt;$E41,EE$5&lt;=$F41),IF(EE$5=$E41+1,$C41,""),"")</f>
        <v/>
      </c>
      <c r="EF41" s="34">
        <f>IF(AND(EF$5&gt;$E41,EF$5&lt;=$F41),IF(EF$5=$E41+1,$C41,""),"")</f>
        <v/>
      </c>
      <c r="EG41" s="34">
        <f>IF(AND(EG$5&gt;$E41,EG$5&lt;=$F41),IF(EG$5=$E41+1,$C41,""),"")</f>
        <v/>
      </c>
      <c r="EH41" s="34">
        <f>IF(AND(EH$5&gt;$E41,EH$5&lt;=$F41),IF(EH$5=$E41+1,$C41,""),"")</f>
        <v/>
      </c>
      <c r="EI41" s="34">
        <f>IF(AND(EI$5&gt;$E41,EI$5&lt;=$F41),IF(EI$5=$E41+1,$C41,""),"")</f>
        <v/>
      </c>
      <c r="EJ41" s="34">
        <f>IF(AND(EJ$5&gt;$E41,EJ$5&lt;=$F41),IF(EJ$5=$E41+1,$C41,""),"")</f>
        <v/>
      </c>
      <c r="EK41" s="34">
        <f>IF(AND(EK$5&gt;$E41,EK$5&lt;=$F41),IF(EK$5=$E41+1,$C41,""),"")</f>
        <v/>
      </c>
      <c r="EL41" s="34">
        <f>IF(AND(EL$5&gt;$E41,EL$5&lt;=$F41),IF(EL$5=$E41+1,$C41,""),"")</f>
        <v/>
      </c>
      <c r="EM41" s="34">
        <f>IF(AND(EM$5&gt;$E41,EM$5&lt;=$F41),IF(EM$5=$E41+1,$C41,""),"")</f>
        <v/>
      </c>
      <c r="EN41" s="34">
        <f>IF(AND(EN$5&gt;$E41,EN$5&lt;=$F41),IF(EN$5=$E41+1,$C41,""),"")</f>
        <v/>
      </c>
      <c r="EO41" s="34">
        <f>IF(AND(EO$5&gt;$E41,EO$5&lt;=$F41),IF(EO$5=$E41+1,$C41,""),"")</f>
        <v/>
      </c>
      <c r="EP41" s="34">
        <f>IF(AND(EP$5&gt;$E41,EP$5&lt;=$F41),IF(EP$5=$E41+1,$C41,""),"")</f>
        <v/>
      </c>
      <c r="EQ41" s="34">
        <f>IF(AND(EQ$5&gt;$E41,EQ$5&lt;=$F41),IF(EQ$5=$E41+1,$C41,""),"")</f>
        <v/>
      </c>
      <c r="ER41" s="34">
        <f>IF(AND(ER$5&gt;$E41,ER$5&lt;=$F41),IF(ER$5=$E41+1,$C41,""),"")</f>
        <v/>
      </c>
      <c r="ES41" s="34">
        <f>IF(AND(ES$5&gt;$E41,ES$5&lt;=$F41),IF(ES$5=$E41+1,$C41,""),"")</f>
        <v/>
      </c>
      <c r="ET41" s="34">
        <f>IF(AND(ET$5&gt;$E41,ET$5&lt;=$F41),IF(ET$5=$E41+1,$C41,""),"")</f>
        <v/>
      </c>
      <c r="EU41" s="34">
        <f>IF(AND(EU$5&gt;$E41,EU$5&lt;=$F41),IF(EU$5=$E41+1,$C41,""),"")</f>
        <v/>
      </c>
      <c r="EV41" s="34">
        <f>IF(AND(EV$5&gt;$E41,EV$5&lt;=$F41),IF(EV$5=$E41+1,$C41,""),"")</f>
        <v/>
      </c>
      <c r="EW41" s="34">
        <f>IF(AND(EW$5&gt;$E41,EW$5&lt;=$F41),IF(EW$5=$E41+1,$C41,""),"")</f>
        <v/>
      </c>
      <c r="EX41" s="34">
        <f>IF(AND(EX$5&gt;$E41,EX$5&lt;=$F41),IF(EX$5=$E41+1,$C41,""),"")</f>
        <v/>
      </c>
      <c r="EY41" s="34">
        <f>IF(AND(EY$5&gt;$E41,EY$5&lt;=$F41),IF(EY$5=$E41+1,$C41,""),"")</f>
        <v/>
      </c>
      <c r="EZ41" s="34">
        <f>IF(AND(EZ$5&gt;$E41,EZ$5&lt;=$F41),IF(EZ$5=$E41+1,$C41,""),"")</f>
        <v/>
      </c>
      <c r="FA41" s="34">
        <f>IF(AND(FA$5&gt;$E41,FA$5&lt;=$F41),IF(FA$5=$E41+1,$C41,""),"")</f>
        <v/>
      </c>
    </row>
    <row r="42">
      <c r="A42" s="32">
        <f>Plan!A33</f>
        <v/>
      </c>
      <c r="B42" s="33">
        <f>Plan!C33</f>
        <v/>
      </c>
      <c r="C42" s="16">
        <f>Plan!D33</f>
        <v/>
      </c>
      <c r="D42" s="16">
        <f>Plan!I33</f>
        <v/>
      </c>
      <c r="E42" s="16">
        <f>Plan!K33</f>
        <v/>
      </c>
      <c r="F42" s="16">
        <f>Plan!L33</f>
        <v/>
      </c>
      <c r="G42" s="16">
        <f>Plan!O33</f>
        <v/>
      </c>
      <c r="H42" s="34">
        <f>IF(AND(H$5&gt;$E42,H$5&lt;=$F42),IF(H$5=$E42+1,$C42,""),"")</f>
        <v/>
      </c>
      <c r="I42" s="34">
        <f>IF(AND(I$5&gt;$E42,I$5&lt;=$F42),IF(I$5=$E42+1,$C42,""),"")</f>
        <v/>
      </c>
      <c r="J42" s="34">
        <f>IF(AND(J$5&gt;$E42,J$5&lt;=$F42),IF(J$5=$E42+1,$C42,""),"")</f>
        <v/>
      </c>
      <c r="K42" s="34">
        <f>IF(AND(K$5&gt;$E42,K$5&lt;=$F42),IF(K$5=$E42+1,$C42,""),"")</f>
        <v/>
      </c>
      <c r="L42" s="34">
        <f>IF(AND(L$5&gt;$E42,L$5&lt;=$F42),IF(L$5=$E42+1,$C42,""),"")</f>
        <v/>
      </c>
      <c r="M42" s="34">
        <f>IF(AND(M$5&gt;$E42,M$5&lt;=$F42),IF(M$5=$E42+1,$C42,""),"")</f>
        <v/>
      </c>
      <c r="N42" s="34">
        <f>IF(AND(N$5&gt;$E42,N$5&lt;=$F42),IF(N$5=$E42+1,$C42,""),"")</f>
        <v/>
      </c>
      <c r="O42" s="34">
        <f>IF(AND(O$5&gt;$E42,O$5&lt;=$F42),IF(O$5=$E42+1,$C42,""),"")</f>
        <v/>
      </c>
      <c r="P42" s="34">
        <f>IF(AND(P$5&gt;$E42,P$5&lt;=$F42),IF(P$5=$E42+1,$C42,""),"")</f>
        <v/>
      </c>
      <c r="Q42" s="34">
        <f>IF(AND(Q$5&gt;$E42,Q$5&lt;=$F42),IF(Q$5=$E42+1,$C42,""),"")</f>
        <v/>
      </c>
      <c r="R42" s="34">
        <f>IF(AND(R$5&gt;$E42,R$5&lt;=$F42),IF(R$5=$E42+1,$C42,""),"")</f>
        <v/>
      </c>
      <c r="S42" s="34">
        <f>IF(AND(S$5&gt;$E42,S$5&lt;=$F42),IF(S$5=$E42+1,$C42,""),"")</f>
        <v/>
      </c>
      <c r="T42" s="34">
        <f>IF(AND(T$5&gt;$E42,T$5&lt;=$F42),IF(T$5=$E42+1,$C42,""),"")</f>
        <v/>
      </c>
      <c r="U42" s="34">
        <f>IF(AND(U$5&gt;$E42,U$5&lt;=$F42),IF(U$5=$E42+1,$C42,""),"")</f>
        <v/>
      </c>
      <c r="V42" s="34">
        <f>IF(AND(V$5&gt;$E42,V$5&lt;=$F42),IF(V$5=$E42+1,$C42,""),"")</f>
        <v/>
      </c>
      <c r="W42" s="34">
        <f>IF(AND(W$5&gt;$E42,W$5&lt;=$F42),IF(W$5=$E42+1,$C42,""),"")</f>
        <v/>
      </c>
      <c r="X42" s="34">
        <f>IF(AND(X$5&gt;$E42,X$5&lt;=$F42),IF(X$5=$E42+1,$C42,""),"")</f>
        <v/>
      </c>
      <c r="Y42" s="34">
        <f>IF(AND(Y$5&gt;$E42,Y$5&lt;=$F42),IF(Y$5=$E42+1,$C42,""),"")</f>
        <v/>
      </c>
      <c r="Z42" s="34">
        <f>IF(AND(Z$5&gt;$E42,Z$5&lt;=$F42),IF(Z$5=$E42+1,$C42,""),"")</f>
        <v/>
      </c>
      <c r="AA42" s="34">
        <f>IF(AND(AA$5&gt;$E42,AA$5&lt;=$F42),IF(AA$5=$E42+1,$C42,""),"")</f>
        <v/>
      </c>
      <c r="AB42" s="34">
        <f>IF(AND(AB$5&gt;$E42,AB$5&lt;=$F42),IF(AB$5=$E42+1,$C42,""),"")</f>
        <v/>
      </c>
      <c r="AC42" s="34">
        <f>IF(AND(AC$5&gt;$E42,AC$5&lt;=$F42),IF(AC$5=$E42+1,$C42,""),"")</f>
        <v/>
      </c>
      <c r="AD42" s="34">
        <f>IF(AND(AD$5&gt;$E42,AD$5&lt;=$F42),IF(AD$5=$E42+1,$C42,""),"")</f>
        <v/>
      </c>
      <c r="AE42" s="34">
        <f>IF(AND(AE$5&gt;$E42,AE$5&lt;=$F42),IF(AE$5=$E42+1,$C42,""),"")</f>
        <v/>
      </c>
      <c r="AF42" s="34">
        <f>IF(AND(AF$5&gt;$E42,AF$5&lt;=$F42),IF(AF$5=$E42+1,$C42,""),"")</f>
        <v/>
      </c>
      <c r="AG42" s="34">
        <f>IF(AND(AG$5&gt;$E42,AG$5&lt;=$F42),IF(AG$5=$E42+1,$C42,""),"")</f>
        <v/>
      </c>
      <c r="AH42" s="34">
        <f>IF(AND(AH$5&gt;$E42,AH$5&lt;=$F42),IF(AH$5=$E42+1,$C42,""),"")</f>
        <v/>
      </c>
      <c r="AI42" s="34">
        <f>IF(AND(AI$5&gt;$E42,AI$5&lt;=$F42),IF(AI$5=$E42+1,$C42,""),"")</f>
        <v/>
      </c>
      <c r="AJ42" s="34">
        <f>IF(AND(AJ$5&gt;$E42,AJ$5&lt;=$F42),IF(AJ$5=$E42+1,$C42,""),"")</f>
        <v/>
      </c>
      <c r="AK42" s="34">
        <f>IF(AND(AK$5&gt;$E42,AK$5&lt;=$F42),IF(AK$5=$E42+1,$C42,""),"")</f>
        <v/>
      </c>
      <c r="AL42" s="34">
        <f>IF(AND(AL$5&gt;$E42,AL$5&lt;=$F42),IF(AL$5=$E42+1,$C42,""),"")</f>
        <v/>
      </c>
      <c r="AM42" s="34">
        <f>IF(AND(AM$5&gt;$E42,AM$5&lt;=$F42),IF(AM$5=$E42+1,$C42,""),"")</f>
        <v/>
      </c>
      <c r="AN42" s="34">
        <f>IF(AND(AN$5&gt;$E42,AN$5&lt;=$F42),IF(AN$5=$E42+1,$C42,""),"")</f>
        <v/>
      </c>
      <c r="AO42" s="34">
        <f>IF(AND(AO$5&gt;$E42,AO$5&lt;=$F42),IF(AO$5=$E42+1,$C42,""),"")</f>
        <v/>
      </c>
      <c r="AP42" s="34">
        <f>IF(AND(AP$5&gt;$E42,AP$5&lt;=$F42),IF(AP$5=$E42+1,$C42,""),"")</f>
        <v/>
      </c>
      <c r="AQ42" s="34">
        <f>IF(AND(AQ$5&gt;$E42,AQ$5&lt;=$F42),IF(AQ$5=$E42+1,$C42,""),"")</f>
        <v/>
      </c>
      <c r="AR42" s="34">
        <f>IF(AND(AR$5&gt;$E42,AR$5&lt;=$F42),IF(AR$5=$E42+1,$C42,""),"")</f>
        <v/>
      </c>
      <c r="AS42" s="34">
        <f>IF(AND(AS$5&gt;$E42,AS$5&lt;=$F42),IF(AS$5=$E42+1,$C42,""),"")</f>
        <v/>
      </c>
      <c r="AT42" s="34">
        <f>IF(AND(AT$5&gt;$E42,AT$5&lt;=$F42),IF(AT$5=$E42+1,$C42,""),"")</f>
        <v/>
      </c>
      <c r="AU42" s="34">
        <f>IF(AND(AU$5&gt;$E42,AU$5&lt;=$F42),IF(AU$5=$E42+1,$C42,""),"")</f>
        <v/>
      </c>
      <c r="AV42" s="34">
        <f>IF(AND(AV$5&gt;$E42,AV$5&lt;=$F42),IF(AV$5=$E42+1,$C42,""),"")</f>
        <v/>
      </c>
      <c r="AW42" s="34">
        <f>IF(AND(AW$5&gt;$E42,AW$5&lt;=$F42),IF(AW$5=$E42+1,$C42,""),"")</f>
        <v/>
      </c>
      <c r="AX42" s="34">
        <f>IF(AND(AX$5&gt;$E42,AX$5&lt;=$F42),IF(AX$5=$E42+1,$C42,""),"")</f>
        <v/>
      </c>
      <c r="AY42" s="34">
        <f>IF(AND(AY$5&gt;$E42,AY$5&lt;=$F42),IF(AY$5=$E42+1,$C42,""),"")</f>
        <v/>
      </c>
      <c r="AZ42" s="34">
        <f>IF(AND(AZ$5&gt;$E42,AZ$5&lt;=$F42),IF(AZ$5=$E42+1,$C42,""),"")</f>
        <v/>
      </c>
      <c r="BA42" s="34">
        <f>IF(AND(BA$5&gt;$E42,BA$5&lt;=$F42),IF(BA$5=$E42+1,$C42,""),"")</f>
        <v/>
      </c>
      <c r="BB42" s="34">
        <f>IF(AND(BB$5&gt;$E42,BB$5&lt;=$F42),IF(BB$5=$E42+1,$C42,""),"")</f>
        <v/>
      </c>
      <c r="BC42" s="34">
        <f>IF(AND(BC$5&gt;$E42,BC$5&lt;=$F42),IF(BC$5=$E42+1,$C42,""),"")</f>
        <v/>
      </c>
      <c r="BD42" s="34">
        <f>IF(AND(BD$5&gt;$E42,BD$5&lt;=$F42),IF(BD$5=$E42+1,$C42,""),"")</f>
        <v/>
      </c>
      <c r="BE42" s="34">
        <f>IF(AND(BE$5&gt;$E42,BE$5&lt;=$F42),IF(BE$5=$E42+1,$C42,""),"")</f>
        <v/>
      </c>
      <c r="BF42" s="34">
        <f>IF(AND(BF$5&gt;$E42,BF$5&lt;=$F42),IF(BF$5=$E42+1,$C42,""),"")</f>
        <v/>
      </c>
      <c r="BG42" s="34">
        <f>IF(AND(BG$5&gt;$E42,BG$5&lt;=$F42),IF(BG$5=$E42+1,$C42,""),"")</f>
        <v/>
      </c>
      <c r="BH42" s="34">
        <f>IF(AND(BH$5&gt;$E42,BH$5&lt;=$F42),IF(BH$5=$E42+1,$C42,""),"")</f>
        <v/>
      </c>
      <c r="BI42" s="34">
        <f>IF(AND(BI$5&gt;$E42,BI$5&lt;=$F42),IF(BI$5=$E42+1,$C42,""),"")</f>
        <v/>
      </c>
      <c r="BJ42" s="34">
        <f>IF(AND(BJ$5&gt;$E42,BJ$5&lt;=$F42),IF(BJ$5=$E42+1,$C42,""),"")</f>
        <v/>
      </c>
      <c r="BK42" s="34">
        <f>IF(AND(BK$5&gt;$E42,BK$5&lt;=$F42),IF(BK$5=$E42+1,$C42,""),"")</f>
        <v/>
      </c>
      <c r="BL42" s="34">
        <f>IF(AND(BL$5&gt;$E42,BL$5&lt;=$F42),IF(BL$5=$E42+1,$C42,""),"")</f>
        <v/>
      </c>
      <c r="BM42" s="34">
        <f>IF(AND(BM$5&gt;$E42,BM$5&lt;=$F42),IF(BM$5=$E42+1,$C42,""),"")</f>
        <v/>
      </c>
      <c r="BN42" s="34">
        <f>IF(AND(BN$5&gt;$E42,BN$5&lt;=$F42),IF(BN$5=$E42+1,$C42,""),"")</f>
        <v/>
      </c>
      <c r="BO42" s="34">
        <f>IF(AND(BO$5&gt;$E42,BO$5&lt;=$F42),IF(BO$5=$E42+1,$C42,""),"")</f>
        <v/>
      </c>
      <c r="BP42" s="34">
        <f>IF(AND(BP$5&gt;$E42,BP$5&lt;=$F42),IF(BP$5=$E42+1,$C42,""),"")</f>
        <v/>
      </c>
      <c r="BQ42" s="34">
        <f>IF(AND(BQ$5&gt;$E42,BQ$5&lt;=$F42),IF(BQ$5=$E42+1,$C42,""),"")</f>
        <v/>
      </c>
      <c r="BR42" s="34">
        <f>IF(AND(BR$5&gt;$E42,BR$5&lt;=$F42),IF(BR$5=$E42+1,$C42,""),"")</f>
        <v/>
      </c>
      <c r="BS42" s="34">
        <f>IF(AND(BS$5&gt;$E42,BS$5&lt;=$F42),IF(BS$5=$E42+1,$C42,""),"")</f>
        <v/>
      </c>
      <c r="BT42" s="34">
        <f>IF(AND(BT$5&gt;$E42,BT$5&lt;=$F42),IF(BT$5=$E42+1,$C42,""),"")</f>
        <v/>
      </c>
      <c r="BU42" s="34">
        <f>IF(AND(BU$5&gt;$E42,BU$5&lt;=$F42),IF(BU$5=$E42+1,$C42,""),"")</f>
        <v/>
      </c>
      <c r="BV42" s="34">
        <f>IF(AND(BV$5&gt;$E42,BV$5&lt;=$F42),IF(BV$5=$E42+1,$C42,""),"")</f>
        <v/>
      </c>
      <c r="BW42" s="34">
        <f>IF(AND(BW$5&gt;$E42,BW$5&lt;=$F42),IF(BW$5=$E42+1,$C42,""),"")</f>
        <v/>
      </c>
      <c r="BX42" s="34">
        <f>IF(AND(BX$5&gt;$E42,BX$5&lt;=$F42),IF(BX$5=$E42+1,$C42,""),"")</f>
        <v/>
      </c>
      <c r="BY42" s="34">
        <f>IF(AND(BY$5&gt;$E42,BY$5&lt;=$F42),IF(BY$5=$E42+1,$C42,""),"")</f>
        <v/>
      </c>
      <c r="BZ42" s="34">
        <f>IF(AND(BZ$5&gt;$E42,BZ$5&lt;=$F42),IF(BZ$5=$E42+1,$C42,""),"")</f>
        <v/>
      </c>
      <c r="CA42" s="34">
        <f>IF(AND(CA$5&gt;$E42,CA$5&lt;=$F42),IF(CA$5=$E42+1,$C42,""),"")</f>
        <v/>
      </c>
      <c r="CB42" s="34">
        <f>IF(AND(CB$5&gt;$E42,CB$5&lt;=$F42),IF(CB$5=$E42+1,$C42,""),"")</f>
        <v/>
      </c>
      <c r="CC42" s="34">
        <f>IF(AND(CC$5&gt;$E42,CC$5&lt;=$F42),IF(CC$5=$E42+1,$C42,""),"")</f>
        <v/>
      </c>
      <c r="CD42" s="34">
        <f>IF(AND(CD$5&gt;$E42,CD$5&lt;=$F42),IF(CD$5=$E42+1,$C42,""),"")</f>
        <v/>
      </c>
      <c r="CE42" s="34">
        <f>IF(AND(CE$5&gt;$E42,CE$5&lt;=$F42),IF(CE$5=$E42+1,$C42,""),"")</f>
        <v/>
      </c>
      <c r="CF42" s="34">
        <f>IF(AND(CF$5&gt;$E42,CF$5&lt;=$F42),IF(CF$5=$E42+1,$C42,""),"")</f>
        <v/>
      </c>
      <c r="CG42" s="34">
        <f>IF(AND(CG$5&gt;$E42,CG$5&lt;=$F42),IF(CG$5=$E42+1,$C42,""),"")</f>
        <v/>
      </c>
      <c r="CH42" s="34">
        <f>IF(AND(CH$5&gt;$E42,CH$5&lt;=$F42),IF(CH$5=$E42+1,$C42,""),"")</f>
        <v/>
      </c>
      <c r="CI42" s="34">
        <f>IF(AND(CI$5&gt;$E42,CI$5&lt;=$F42),IF(CI$5=$E42+1,$C42,""),"")</f>
        <v/>
      </c>
      <c r="CJ42" s="34">
        <f>IF(AND(CJ$5&gt;$E42,CJ$5&lt;=$F42),IF(CJ$5=$E42+1,$C42,""),"")</f>
        <v/>
      </c>
      <c r="CK42" s="34">
        <f>IF(AND(CK$5&gt;$E42,CK$5&lt;=$F42),IF(CK$5=$E42+1,$C42,""),"")</f>
        <v/>
      </c>
      <c r="CL42" s="34">
        <f>IF(AND(CL$5&gt;$E42,CL$5&lt;=$F42),IF(CL$5=$E42+1,$C42,""),"")</f>
        <v/>
      </c>
      <c r="CM42" s="34">
        <f>IF(AND(CM$5&gt;$E42,CM$5&lt;=$F42),IF(CM$5=$E42+1,$C42,""),"")</f>
        <v/>
      </c>
      <c r="CN42" s="34">
        <f>IF(AND(CN$5&gt;$E42,CN$5&lt;=$F42),IF(CN$5=$E42+1,$C42,""),"")</f>
        <v/>
      </c>
      <c r="CO42" s="34">
        <f>IF(AND(CO$5&gt;$E42,CO$5&lt;=$F42),IF(CO$5=$E42+1,$C42,""),"")</f>
        <v/>
      </c>
      <c r="CP42" s="34">
        <f>IF(AND(CP$5&gt;$E42,CP$5&lt;=$F42),IF(CP$5=$E42+1,$C42,""),"")</f>
        <v/>
      </c>
      <c r="CQ42" s="34">
        <f>IF(AND(CQ$5&gt;$E42,CQ$5&lt;=$F42),IF(CQ$5=$E42+1,$C42,""),"")</f>
        <v/>
      </c>
      <c r="CR42" s="34">
        <f>IF(AND(CR$5&gt;$E42,CR$5&lt;=$F42),IF(CR$5=$E42+1,$C42,""),"")</f>
        <v/>
      </c>
      <c r="CS42" s="34">
        <f>IF(AND(CS$5&gt;$E42,CS$5&lt;=$F42),IF(CS$5=$E42+1,$C42,""),"")</f>
        <v/>
      </c>
      <c r="CT42" s="34">
        <f>IF(AND(CT$5&gt;$E42,CT$5&lt;=$F42),IF(CT$5=$E42+1,$C42,""),"")</f>
        <v/>
      </c>
      <c r="CU42" s="34">
        <f>IF(AND(CU$5&gt;$E42,CU$5&lt;=$F42),IF(CU$5=$E42+1,$C42,""),"")</f>
        <v/>
      </c>
      <c r="CV42" s="34">
        <f>IF(AND(CV$5&gt;$E42,CV$5&lt;=$F42),IF(CV$5=$E42+1,$C42,""),"")</f>
        <v/>
      </c>
      <c r="CW42" s="34">
        <f>IF(AND(CW$5&gt;$E42,CW$5&lt;=$F42),IF(CW$5=$E42+1,$C42,""),"")</f>
        <v/>
      </c>
      <c r="CX42" s="34">
        <f>IF(AND(CX$5&gt;$E42,CX$5&lt;=$F42),IF(CX$5=$E42+1,$C42,""),"")</f>
        <v/>
      </c>
      <c r="CY42" s="34">
        <f>IF(AND(CY$5&gt;$E42,CY$5&lt;=$F42),IF(CY$5=$E42+1,$C42,""),"")</f>
        <v/>
      </c>
      <c r="CZ42" s="34">
        <f>IF(AND(CZ$5&gt;$E42,CZ$5&lt;=$F42),IF(CZ$5=$E42+1,$C42,""),"")</f>
        <v/>
      </c>
      <c r="DA42" s="34">
        <f>IF(AND(DA$5&gt;$E42,DA$5&lt;=$F42),IF(DA$5=$E42+1,$C42,""),"")</f>
        <v/>
      </c>
      <c r="DB42" s="34">
        <f>IF(AND(DB$5&gt;$E42,DB$5&lt;=$F42),IF(DB$5=$E42+1,$C42,""),"")</f>
        <v/>
      </c>
      <c r="DC42" s="34">
        <f>IF(AND(DC$5&gt;$E42,DC$5&lt;=$F42),IF(DC$5=$E42+1,$C42,""),"")</f>
        <v/>
      </c>
      <c r="DD42" s="34">
        <f>IF(AND(DD$5&gt;$E42,DD$5&lt;=$F42),IF(DD$5=$E42+1,$C42,""),"")</f>
        <v/>
      </c>
      <c r="DE42" s="34">
        <f>IF(AND(DE$5&gt;$E42,DE$5&lt;=$F42),IF(DE$5=$E42+1,$C42,""),"")</f>
        <v/>
      </c>
      <c r="DF42" s="34">
        <f>IF(AND(DF$5&gt;$E42,DF$5&lt;=$F42),IF(DF$5=$E42+1,$C42,""),"")</f>
        <v/>
      </c>
      <c r="DG42" s="34">
        <f>IF(AND(DG$5&gt;$E42,DG$5&lt;=$F42),IF(DG$5=$E42+1,$C42,""),"")</f>
        <v/>
      </c>
      <c r="DH42" s="34">
        <f>IF(AND(DH$5&gt;$E42,DH$5&lt;=$F42),IF(DH$5=$E42+1,$C42,""),"")</f>
        <v/>
      </c>
      <c r="DI42" s="34">
        <f>IF(AND(DI$5&gt;$E42,DI$5&lt;=$F42),IF(DI$5=$E42+1,$C42,""),"")</f>
        <v/>
      </c>
      <c r="DJ42" s="34">
        <f>IF(AND(DJ$5&gt;$E42,DJ$5&lt;=$F42),IF(DJ$5=$E42+1,$C42,""),"")</f>
        <v/>
      </c>
      <c r="DK42" s="34">
        <f>IF(AND(DK$5&gt;$E42,DK$5&lt;=$F42),IF(DK$5=$E42+1,$C42,""),"")</f>
        <v/>
      </c>
      <c r="DL42" s="34">
        <f>IF(AND(DL$5&gt;$E42,DL$5&lt;=$F42),IF(DL$5=$E42+1,$C42,""),"")</f>
        <v/>
      </c>
      <c r="DM42" s="34">
        <f>IF(AND(DM$5&gt;$E42,DM$5&lt;=$F42),IF(DM$5=$E42+1,$C42,""),"")</f>
        <v/>
      </c>
      <c r="DN42" s="34">
        <f>IF(AND(DN$5&gt;$E42,DN$5&lt;=$F42),IF(DN$5=$E42+1,$C42,""),"")</f>
        <v/>
      </c>
      <c r="DO42" s="34">
        <f>IF(AND(DO$5&gt;$E42,DO$5&lt;=$F42),IF(DO$5=$E42+1,$C42,""),"")</f>
        <v/>
      </c>
      <c r="DP42" s="34">
        <f>IF(AND(DP$5&gt;$E42,DP$5&lt;=$F42),IF(DP$5=$E42+1,$C42,""),"")</f>
        <v/>
      </c>
      <c r="DQ42" s="34">
        <f>IF(AND(DQ$5&gt;$E42,DQ$5&lt;=$F42),IF(DQ$5=$E42+1,$C42,""),"")</f>
        <v/>
      </c>
      <c r="DR42" s="34">
        <f>IF(AND(DR$5&gt;$E42,DR$5&lt;=$F42),IF(DR$5=$E42+1,$C42,""),"")</f>
        <v/>
      </c>
      <c r="DS42" s="34">
        <f>IF(AND(DS$5&gt;$E42,DS$5&lt;=$F42),IF(DS$5=$E42+1,$C42,""),"")</f>
        <v/>
      </c>
      <c r="DT42" s="34">
        <f>IF(AND(DT$5&gt;$E42,DT$5&lt;=$F42),IF(DT$5=$E42+1,$C42,""),"")</f>
        <v/>
      </c>
      <c r="DU42" s="34">
        <f>IF(AND(DU$5&gt;$E42,DU$5&lt;=$F42),IF(DU$5=$E42+1,$C42,""),"")</f>
        <v/>
      </c>
      <c r="DV42" s="34">
        <f>IF(AND(DV$5&gt;$E42,DV$5&lt;=$F42),IF(DV$5=$E42+1,$C42,""),"")</f>
        <v/>
      </c>
      <c r="DW42" s="34">
        <f>IF(AND(DW$5&gt;$E42,DW$5&lt;=$F42),IF(DW$5=$E42+1,$C42,""),"")</f>
        <v/>
      </c>
      <c r="DX42" s="34">
        <f>IF(AND(DX$5&gt;$E42,DX$5&lt;=$F42),IF(DX$5=$E42+1,$C42,""),"")</f>
        <v/>
      </c>
      <c r="DY42" s="34">
        <f>IF(AND(DY$5&gt;$E42,DY$5&lt;=$F42),IF(DY$5=$E42+1,$C42,""),"")</f>
        <v/>
      </c>
      <c r="DZ42" s="34">
        <f>IF(AND(DZ$5&gt;$E42,DZ$5&lt;=$F42),IF(DZ$5=$E42+1,$C42,""),"")</f>
        <v/>
      </c>
      <c r="EA42" s="34">
        <f>IF(AND(EA$5&gt;$E42,EA$5&lt;=$F42),IF(EA$5=$E42+1,$C42,""),"")</f>
        <v/>
      </c>
      <c r="EB42" s="34">
        <f>IF(AND(EB$5&gt;$E42,EB$5&lt;=$F42),IF(EB$5=$E42+1,$C42,""),"")</f>
        <v/>
      </c>
      <c r="EC42" s="34">
        <f>IF(AND(EC$5&gt;$E42,EC$5&lt;=$F42),IF(EC$5=$E42+1,$C42,""),"")</f>
        <v/>
      </c>
      <c r="ED42" s="34">
        <f>IF(AND(ED$5&gt;$E42,ED$5&lt;=$F42),IF(ED$5=$E42+1,$C42,""),"")</f>
        <v/>
      </c>
      <c r="EE42" s="34">
        <f>IF(AND(EE$5&gt;$E42,EE$5&lt;=$F42),IF(EE$5=$E42+1,$C42,""),"")</f>
        <v/>
      </c>
      <c r="EF42" s="34">
        <f>IF(AND(EF$5&gt;$E42,EF$5&lt;=$F42),IF(EF$5=$E42+1,$C42,""),"")</f>
        <v/>
      </c>
      <c r="EG42" s="34">
        <f>IF(AND(EG$5&gt;$E42,EG$5&lt;=$F42),IF(EG$5=$E42+1,$C42,""),"")</f>
        <v/>
      </c>
      <c r="EH42" s="34">
        <f>IF(AND(EH$5&gt;$E42,EH$5&lt;=$F42),IF(EH$5=$E42+1,$C42,""),"")</f>
        <v/>
      </c>
      <c r="EI42" s="34">
        <f>IF(AND(EI$5&gt;$E42,EI$5&lt;=$F42),IF(EI$5=$E42+1,$C42,""),"")</f>
        <v/>
      </c>
      <c r="EJ42" s="34">
        <f>IF(AND(EJ$5&gt;$E42,EJ$5&lt;=$F42),IF(EJ$5=$E42+1,$C42,""),"")</f>
        <v/>
      </c>
      <c r="EK42" s="34">
        <f>IF(AND(EK$5&gt;$E42,EK$5&lt;=$F42),IF(EK$5=$E42+1,$C42,""),"")</f>
        <v/>
      </c>
      <c r="EL42" s="34">
        <f>IF(AND(EL$5&gt;$E42,EL$5&lt;=$F42),IF(EL$5=$E42+1,$C42,""),"")</f>
        <v/>
      </c>
      <c r="EM42" s="34">
        <f>IF(AND(EM$5&gt;$E42,EM$5&lt;=$F42),IF(EM$5=$E42+1,$C42,""),"")</f>
        <v/>
      </c>
      <c r="EN42" s="34">
        <f>IF(AND(EN$5&gt;$E42,EN$5&lt;=$F42),IF(EN$5=$E42+1,$C42,""),"")</f>
        <v/>
      </c>
      <c r="EO42" s="34">
        <f>IF(AND(EO$5&gt;$E42,EO$5&lt;=$F42),IF(EO$5=$E42+1,$C42,""),"")</f>
        <v/>
      </c>
      <c r="EP42" s="34">
        <f>IF(AND(EP$5&gt;$E42,EP$5&lt;=$F42),IF(EP$5=$E42+1,$C42,""),"")</f>
        <v/>
      </c>
      <c r="EQ42" s="34">
        <f>IF(AND(EQ$5&gt;$E42,EQ$5&lt;=$F42),IF(EQ$5=$E42+1,$C42,""),"")</f>
        <v/>
      </c>
      <c r="ER42" s="34">
        <f>IF(AND(ER$5&gt;$E42,ER$5&lt;=$F42),IF(ER$5=$E42+1,$C42,""),"")</f>
        <v/>
      </c>
      <c r="ES42" s="34">
        <f>IF(AND(ES$5&gt;$E42,ES$5&lt;=$F42),IF(ES$5=$E42+1,$C42,""),"")</f>
        <v/>
      </c>
      <c r="ET42" s="34">
        <f>IF(AND(ET$5&gt;$E42,ET$5&lt;=$F42),IF(ET$5=$E42+1,$C42,""),"")</f>
        <v/>
      </c>
      <c r="EU42" s="34">
        <f>IF(AND(EU$5&gt;$E42,EU$5&lt;=$F42),IF(EU$5=$E42+1,$C42,""),"")</f>
        <v/>
      </c>
      <c r="EV42" s="34">
        <f>IF(AND(EV$5&gt;$E42,EV$5&lt;=$F42),IF(EV$5=$E42+1,$C42,""),"")</f>
        <v/>
      </c>
      <c r="EW42" s="34">
        <f>IF(AND(EW$5&gt;$E42,EW$5&lt;=$F42),IF(EW$5=$E42+1,$C42,""),"")</f>
        <v/>
      </c>
      <c r="EX42" s="34">
        <f>IF(AND(EX$5&gt;$E42,EX$5&lt;=$F42),IF(EX$5=$E42+1,$C42,""),"")</f>
        <v/>
      </c>
      <c r="EY42" s="34">
        <f>IF(AND(EY$5&gt;$E42,EY$5&lt;=$F42),IF(EY$5=$E42+1,$C42,""),"")</f>
        <v/>
      </c>
      <c r="EZ42" s="34">
        <f>IF(AND(EZ$5&gt;$E42,EZ$5&lt;=$F42),IF(EZ$5=$E42+1,$C42,""),"")</f>
        <v/>
      </c>
      <c r="FA42" s="34">
        <f>IF(AND(FA$5&gt;$E42,FA$5&lt;=$F42),IF(FA$5=$E42+1,$C42,""),"")</f>
        <v/>
      </c>
    </row>
    <row r="43">
      <c r="A43" s="32">
        <f>Plan!A34</f>
        <v/>
      </c>
      <c r="B43" s="33">
        <f>Plan!C34</f>
        <v/>
      </c>
      <c r="C43" s="16">
        <f>Plan!D34</f>
        <v/>
      </c>
      <c r="D43" s="16">
        <f>Plan!I34</f>
        <v/>
      </c>
      <c r="E43" s="16">
        <f>Plan!K34</f>
        <v/>
      </c>
      <c r="F43" s="16">
        <f>Plan!L34</f>
        <v/>
      </c>
      <c r="G43" s="16">
        <f>Plan!O34</f>
        <v/>
      </c>
      <c r="H43" s="34">
        <f>IF(AND(H$5&gt;$E43,H$5&lt;=$F43),IF(H$5=$E43+1,$C43,""),"")</f>
        <v/>
      </c>
      <c r="I43" s="34">
        <f>IF(AND(I$5&gt;$E43,I$5&lt;=$F43),IF(I$5=$E43+1,$C43,""),"")</f>
        <v/>
      </c>
      <c r="J43" s="34">
        <f>IF(AND(J$5&gt;$E43,J$5&lt;=$F43),IF(J$5=$E43+1,$C43,""),"")</f>
        <v/>
      </c>
      <c r="K43" s="34">
        <f>IF(AND(K$5&gt;$E43,K$5&lt;=$F43),IF(K$5=$E43+1,$C43,""),"")</f>
        <v/>
      </c>
      <c r="L43" s="34">
        <f>IF(AND(L$5&gt;$E43,L$5&lt;=$F43),IF(L$5=$E43+1,$C43,""),"")</f>
        <v/>
      </c>
      <c r="M43" s="34">
        <f>IF(AND(M$5&gt;$E43,M$5&lt;=$F43),IF(M$5=$E43+1,$C43,""),"")</f>
        <v/>
      </c>
      <c r="N43" s="34">
        <f>IF(AND(N$5&gt;$E43,N$5&lt;=$F43),IF(N$5=$E43+1,$C43,""),"")</f>
        <v/>
      </c>
      <c r="O43" s="34">
        <f>IF(AND(O$5&gt;$E43,O$5&lt;=$F43),IF(O$5=$E43+1,$C43,""),"")</f>
        <v/>
      </c>
      <c r="P43" s="34">
        <f>IF(AND(P$5&gt;$E43,P$5&lt;=$F43),IF(P$5=$E43+1,$C43,""),"")</f>
        <v/>
      </c>
      <c r="Q43" s="34">
        <f>IF(AND(Q$5&gt;$E43,Q$5&lt;=$F43),IF(Q$5=$E43+1,$C43,""),"")</f>
        <v/>
      </c>
      <c r="R43" s="34">
        <f>IF(AND(R$5&gt;$E43,R$5&lt;=$F43),IF(R$5=$E43+1,$C43,""),"")</f>
        <v/>
      </c>
      <c r="S43" s="34">
        <f>IF(AND(S$5&gt;$E43,S$5&lt;=$F43),IF(S$5=$E43+1,$C43,""),"")</f>
        <v/>
      </c>
      <c r="T43" s="34">
        <f>IF(AND(T$5&gt;$E43,T$5&lt;=$F43),IF(T$5=$E43+1,$C43,""),"")</f>
        <v/>
      </c>
      <c r="U43" s="34">
        <f>IF(AND(U$5&gt;$E43,U$5&lt;=$F43),IF(U$5=$E43+1,$C43,""),"")</f>
        <v/>
      </c>
      <c r="V43" s="34">
        <f>IF(AND(V$5&gt;$E43,V$5&lt;=$F43),IF(V$5=$E43+1,$C43,""),"")</f>
        <v/>
      </c>
      <c r="W43" s="34">
        <f>IF(AND(W$5&gt;$E43,W$5&lt;=$F43),IF(W$5=$E43+1,$C43,""),"")</f>
        <v/>
      </c>
      <c r="X43" s="34">
        <f>IF(AND(X$5&gt;$E43,X$5&lt;=$F43),IF(X$5=$E43+1,$C43,""),"")</f>
        <v/>
      </c>
      <c r="Y43" s="34">
        <f>IF(AND(Y$5&gt;$E43,Y$5&lt;=$F43),IF(Y$5=$E43+1,$C43,""),"")</f>
        <v/>
      </c>
      <c r="Z43" s="34">
        <f>IF(AND(Z$5&gt;$E43,Z$5&lt;=$F43),IF(Z$5=$E43+1,$C43,""),"")</f>
        <v/>
      </c>
      <c r="AA43" s="34">
        <f>IF(AND(AA$5&gt;$E43,AA$5&lt;=$F43),IF(AA$5=$E43+1,$C43,""),"")</f>
        <v/>
      </c>
      <c r="AB43" s="34">
        <f>IF(AND(AB$5&gt;$E43,AB$5&lt;=$F43),IF(AB$5=$E43+1,$C43,""),"")</f>
        <v/>
      </c>
      <c r="AC43" s="34">
        <f>IF(AND(AC$5&gt;$E43,AC$5&lt;=$F43),IF(AC$5=$E43+1,$C43,""),"")</f>
        <v/>
      </c>
      <c r="AD43" s="34">
        <f>IF(AND(AD$5&gt;$E43,AD$5&lt;=$F43),IF(AD$5=$E43+1,$C43,""),"")</f>
        <v/>
      </c>
      <c r="AE43" s="34">
        <f>IF(AND(AE$5&gt;$E43,AE$5&lt;=$F43),IF(AE$5=$E43+1,$C43,""),"")</f>
        <v/>
      </c>
      <c r="AF43" s="34">
        <f>IF(AND(AF$5&gt;$E43,AF$5&lt;=$F43),IF(AF$5=$E43+1,$C43,""),"")</f>
        <v/>
      </c>
      <c r="AG43" s="34">
        <f>IF(AND(AG$5&gt;$E43,AG$5&lt;=$F43),IF(AG$5=$E43+1,$C43,""),"")</f>
        <v/>
      </c>
      <c r="AH43" s="34">
        <f>IF(AND(AH$5&gt;$E43,AH$5&lt;=$F43),IF(AH$5=$E43+1,$C43,""),"")</f>
        <v/>
      </c>
      <c r="AI43" s="34">
        <f>IF(AND(AI$5&gt;$E43,AI$5&lt;=$F43),IF(AI$5=$E43+1,$C43,""),"")</f>
        <v/>
      </c>
      <c r="AJ43" s="34">
        <f>IF(AND(AJ$5&gt;$E43,AJ$5&lt;=$F43),IF(AJ$5=$E43+1,$C43,""),"")</f>
        <v/>
      </c>
      <c r="AK43" s="34">
        <f>IF(AND(AK$5&gt;$E43,AK$5&lt;=$F43),IF(AK$5=$E43+1,$C43,""),"")</f>
        <v/>
      </c>
      <c r="AL43" s="34">
        <f>IF(AND(AL$5&gt;$E43,AL$5&lt;=$F43),IF(AL$5=$E43+1,$C43,""),"")</f>
        <v/>
      </c>
      <c r="AM43" s="34">
        <f>IF(AND(AM$5&gt;$E43,AM$5&lt;=$F43),IF(AM$5=$E43+1,$C43,""),"")</f>
        <v/>
      </c>
      <c r="AN43" s="34">
        <f>IF(AND(AN$5&gt;$E43,AN$5&lt;=$F43),IF(AN$5=$E43+1,$C43,""),"")</f>
        <v/>
      </c>
      <c r="AO43" s="34">
        <f>IF(AND(AO$5&gt;$E43,AO$5&lt;=$F43),IF(AO$5=$E43+1,$C43,""),"")</f>
        <v/>
      </c>
      <c r="AP43" s="34">
        <f>IF(AND(AP$5&gt;$E43,AP$5&lt;=$F43),IF(AP$5=$E43+1,$C43,""),"")</f>
        <v/>
      </c>
      <c r="AQ43" s="34">
        <f>IF(AND(AQ$5&gt;$E43,AQ$5&lt;=$F43),IF(AQ$5=$E43+1,$C43,""),"")</f>
        <v/>
      </c>
      <c r="AR43" s="34">
        <f>IF(AND(AR$5&gt;$E43,AR$5&lt;=$F43),IF(AR$5=$E43+1,$C43,""),"")</f>
        <v/>
      </c>
      <c r="AS43" s="34">
        <f>IF(AND(AS$5&gt;$E43,AS$5&lt;=$F43),IF(AS$5=$E43+1,$C43,""),"")</f>
        <v/>
      </c>
      <c r="AT43" s="34">
        <f>IF(AND(AT$5&gt;$E43,AT$5&lt;=$F43),IF(AT$5=$E43+1,$C43,""),"")</f>
        <v/>
      </c>
      <c r="AU43" s="34">
        <f>IF(AND(AU$5&gt;$E43,AU$5&lt;=$F43),IF(AU$5=$E43+1,$C43,""),"")</f>
        <v/>
      </c>
      <c r="AV43" s="34">
        <f>IF(AND(AV$5&gt;$E43,AV$5&lt;=$F43),IF(AV$5=$E43+1,$C43,""),"")</f>
        <v/>
      </c>
      <c r="AW43" s="34">
        <f>IF(AND(AW$5&gt;$E43,AW$5&lt;=$F43),IF(AW$5=$E43+1,$C43,""),"")</f>
        <v/>
      </c>
      <c r="AX43" s="34">
        <f>IF(AND(AX$5&gt;$E43,AX$5&lt;=$F43),IF(AX$5=$E43+1,$C43,""),"")</f>
        <v/>
      </c>
      <c r="AY43" s="34">
        <f>IF(AND(AY$5&gt;$E43,AY$5&lt;=$F43),IF(AY$5=$E43+1,$C43,""),"")</f>
        <v/>
      </c>
      <c r="AZ43" s="34">
        <f>IF(AND(AZ$5&gt;$E43,AZ$5&lt;=$F43),IF(AZ$5=$E43+1,$C43,""),"")</f>
        <v/>
      </c>
      <c r="BA43" s="34">
        <f>IF(AND(BA$5&gt;$E43,BA$5&lt;=$F43),IF(BA$5=$E43+1,$C43,""),"")</f>
        <v/>
      </c>
      <c r="BB43" s="34">
        <f>IF(AND(BB$5&gt;$E43,BB$5&lt;=$F43),IF(BB$5=$E43+1,$C43,""),"")</f>
        <v/>
      </c>
      <c r="BC43" s="34">
        <f>IF(AND(BC$5&gt;$E43,BC$5&lt;=$F43),IF(BC$5=$E43+1,$C43,""),"")</f>
        <v/>
      </c>
      <c r="BD43" s="34">
        <f>IF(AND(BD$5&gt;$E43,BD$5&lt;=$F43),IF(BD$5=$E43+1,$C43,""),"")</f>
        <v/>
      </c>
      <c r="BE43" s="34">
        <f>IF(AND(BE$5&gt;$E43,BE$5&lt;=$F43),IF(BE$5=$E43+1,$C43,""),"")</f>
        <v/>
      </c>
      <c r="BF43" s="34">
        <f>IF(AND(BF$5&gt;$E43,BF$5&lt;=$F43),IF(BF$5=$E43+1,$C43,""),"")</f>
        <v/>
      </c>
      <c r="BG43" s="34">
        <f>IF(AND(BG$5&gt;$E43,BG$5&lt;=$F43),IF(BG$5=$E43+1,$C43,""),"")</f>
        <v/>
      </c>
      <c r="BH43" s="34">
        <f>IF(AND(BH$5&gt;$E43,BH$5&lt;=$F43),IF(BH$5=$E43+1,$C43,""),"")</f>
        <v/>
      </c>
      <c r="BI43" s="34">
        <f>IF(AND(BI$5&gt;$E43,BI$5&lt;=$F43),IF(BI$5=$E43+1,$C43,""),"")</f>
        <v/>
      </c>
      <c r="BJ43" s="34">
        <f>IF(AND(BJ$5&gt;$E43,BJ$5&lt;=$F43),IF(BJ$5=$E43+1,$C43,""),"")</f>
        <v/>
      </c>
      <c r="BK43" s="34">
        <f>IF(AND(BK$5&gt;$E43,BK$5&lt;=$F43),IF(BK$5=$E43+1,$C43,""),"")</f>
        <v/>
      </c>
      <c r="BL43" s="34">
        <f>IF(AND(BL$5&gt;$E43,BL$5&lt;=$F43),IF(BL$5=$E43+1,$C43,""),"")</f>
        <v/>
      </c>
      <c r="BM43" s="34">
        <f>IF(AND(BM$5&gt;$E43,BM$5&lt;=$F43),IF(BM$5=$E43+1,$C43,""),"")</f>
        <v/>
      </c>
      <c r="BN43" s="34">
        <f>IF(AND(BN$5&gt;$E43,BN$5&lt;=$F43),IF(BN$5=$E43+1,$C43,""),"")</f>
        <v/>
      </c>
      <c r="BO43" s="34">
        <f>IF(AND(BO$5&gt;$E43,BO$5&lt;=$F43),IF(BO$5=$E43+1,$C43,""),"")</f>
        <v/>
      </c>
      <c r="BP43" s="34">
        <f>IF(AND(BP$5&gt;$E43,BP$5&lt;=$F43),IF(BP$5=$E43+1,$C43,""),"")</f>
        <v/>
      </c>
      <c r="BQ43" s="34">
        <f>IF(AND(BQ$5&gt;$E43,BQ$5&lt;=$F43),IF(BQ$5=$E43+1,$C43,""),"")</f>
        <v/>
      </c>
      <c r="BR43" s="34">
        <f>IF(AND(BR$5&gt;$E43,BR$5&lt;=$F43),IF(BR$5=$E43+1,$C43,""),"")</f>
        <v/>
      </c>
      <c r="BS43" s="34">
        <f>IF(AND(BS$5&gt;$E43,BS$5&lt;=$F43),IF(BS$5=$E43+1,$C43,""),"")</f>
        <v/>
      </c>
      <c r="BT43" s="34">
        <f>IF(AND(BT$5&gt;$E43,BT$5&lt;=$F43),IF(BT$5=$E43+1,$C43,""),"")</f>
        <v/>
      </c>
      <c r="BU43" s="34">
        <f>IF(AND(BU$5&gt;$E43,BU$5&lt;=$F43),IF(BU$5=$E43+1,$C43,""),"")</f>
        <v/>
      </c>
      <c r="BV43" s="34">
        <f>IF(AND(BV$5&gt;$E43,BV$5&lt;=$F43),IF(BV$5=$E43+1,$C43,""),"")</f>
        <v/>
      </c>
      <c r="BW43" s="34">
        <f>IF(AND(BW$5&gt;$E43,BW$5&lt;=$F43),IF(BW$5=$E43+1,$C43,""),"")</f>
        <v/>
      </c>
      <c r="BX43" s="34">
        <f>IF(AND(BX$5&gt;$E43,BX$5&lt;=$F43),IF(BX$5=$E43+1,$C43,""),"")</f>
        <v/>
      </c>
      <c r="BY43" s="34">
        <f>IF(AND(BY$5&gt;$E43,BY$5&lt;=$F43),IF(BY$5=$E43+1,$C43,""),"")</f>
        <v/>
      </c>
      <c r="BZ43" s="34">
        <f>IF(AND(BZ$5&gt;$E43,BZ$5&lt;=$F43),IF(BZ$5=$E43+1,$C43,""),"")</f>
        <v/>
      </c>
      <c r="CA43" s="34">
        <f>IF(AND(CA$5&gt;$E43,CA$5&lt;=$F43),IF(CA$5=$E43+1,$C43,""),"")</f>
        <v/>
      </c>
      <c r="CB43" s="34">
        <f>IF(AND(CB$5&gt;$E43,CB$5&lt;=$F43),IF(CB$5=$E43+1,$C43,""),"")</f>
        <v/>
      </c>
      <c r="CC43" s="34">
        <f>IF(AND(CC$5&gt;$E43,CC$5&lt;=$F43),IF(CC$5=$E43+1,$C43,""),"")</f>
        <v/>
      </c>
      <c r="CD43" s="34">
        <f>IF(AND(CD$5&gt;$E43,CD$5&lt;=$F43),IF(CD$5=$E43+1,$C43,""),"")</f>
        <v/>
      </c>
      <c r="CE43" s="34">
        <f>IF(AND(CE$5&gt;$E43,CE$5&lt;=$F43),IF(CE$5=$E43+1,$C43,""),"")</f>
        <v/>
      </c>
      <c r="CF43" s="34">
        <f>IF(AND(CF$5&gt;$E43,CF$5&lt;=$F43),IF(CF$5=$E43+1,$C43,""),"")</f>
        <v/>
      </c>
      <c r="CG43" s="34">
        <f>IF(AND(CG$5&gt;$E43,CG$5&lt;=$F43),IF(CG$5=$E43+1,$C43,""),"")</f>
        <v/>
      </c>
      <c r="CH43" s="34">
        <f>IF(AND(CH$5&gt;$E43,CH$5&lt;=$F43),IF(CH$5=$E43+1,$C43,""),"")</f>
        <v/>
      </c>
      <c r="CI43" s="34">
        <f>IF(AND(CI$5&gt;$E43,CI$5&lt;=$F43),IF(CI$5=$E43+1,$C43,""),"")</f>
        <v/>
      </c>
      <c r="CJ43" s="34">
        <f>IF(AND(CJ$5&gt;$E43,CJ$5&lt;=$F43),IF(CJ$5=$E43+1,$C43,""),"")</f>
        <v/>
      </c>
      <c r="CK43" s="34">
        <f>IF(AND(CK$5&gt;$E43,CK$5&lt;=$F43),IF(CK$5=$E43+1,$C43,""),"")</f>
        <v/>
      </c>
      <c r="CL43" s="34">
        <f>IF(AND(CL$5&gt;$E43,CL$5&lt;=$F43),IF(CL$5=$E43+1,$C43,""),"")</f>
        <v/>
      </c>
      <c r="CM43" s="34">
        <f>IF(AND(CM$5&gt;$E43,CM$5&lt;=$F43),IF(CM$5=$E43+1,$C43,""),"")</f>
        <v/>
      </c>
      <c r="CN43" s="34">
        <f>IF(AND(CN$5&gt;$E43,CN$5&lt;=$F43),IF(CN$5=$E43+1,$C43,""),"")</f>
        <v/>
      </c>
      <c r="CO43" s="34">
        <f>IF(AND(CO$5&gt;$E43,CO$5&lt;=$F43),IF(CO$5=$E43+1,$C43,""),"")</f>
        <v/>
      </c>
      <c r="CP43" s="34">
        <f>IF(AND(CP$5&gt;$E43,CP$5&lt;=$F43),IF(CP$5=$E43+1,$C43,""),"")</f>
        <v/>
      </c>
      <c r="CQ43" s="34">
        <f>IF(AND(CQ$5&gt;$E43,CQ$5&lt;=$F43),IF(CQ$5=$E43+1,$C43,""),"")</f>
        <v/>
      </c>
      <c r="CR43" s="34">
        <f>IF(AND(CR$5&gt;$E43,CR$5&lt;=$F43),IF(CR$5=$E43+1,$C43,""),"")</f>
        <v/>
      </c>
      <c r="CS43" s="34">
        <f>IF(AND(CS$5&gt;$E43,CS$5&lt;=$F43),IF(CS$5=$E43+1,$C43,""),"")</f>
        <v/>
      </c>
      <c r="CT43" s="34">
        <f>IF(AND(CT$5&gt;$E43,CT$5&lt;=$F43),IF(CT$5=$E43+1,$C43,""),"")</f>
        <v/>
      </c>
      <c r="CU43" s="34">
        <f>IF(AND(CU$5&gt;$E43,CU$5&lt;=$F43),IF(CU$5=$E43+1,$C43,""),"")</f>
        <v/>
      </c>
      <c r="CV43" s="34">
        <f>IF(AND(CV$5&gt;$E43,CV$5&lt;=$F43),IF(CV$5=$E43+1,$C43,""),"")</f>
        <v/>
      </c>
      <c r="CW43" s="34">
        <f>IF(AND(CW$5&gt;$E43,CW$5&lt;=$F43),IF(CW$5=$E43+1,$C43,""),"")</f>
        <v/>
      </c>
      <c r="CX43" s="34">
        <f>IF(AND(CX$5&gt;$E43,CX$5&lt;=$F43),IF(CX$5=$E43+1,$C43,""),"")</f>
        <v/>
      </c>
      <c r="CY43" s="34">
        <f>IF(AND(CY$5&gt;$E43,CY$5&lt;=$F43),IF(CY$5=$E43+1,$C43,""),"")</f>
        <v/>
      </c>
      <c r="CZ43" s="34">
        <f>IF(AND(CZ$5&gt;$E43,CZ$5&lt;=$F43),IF(CZ$5=$E43+1,$C43,""),"")</f>
        <v/>
      </c>
      <c r="DA43" s="34">
        <f>IF(AND(DA$5&gt;$E43,DA$5&lt;=$F43),IF(DA$5=$E43+1,$C43,""),"")</f>
        <v/>
      </c>
      <c r="DB43" s="34">
        <f>IF(AND(DB$5&gt;$E43,DB$5&lt;=$F43),IF(DB$5=$E43+1,$C43,""),"")</f>
        <v/>
      </c>
      <c r="DC43" s="34">
        <f>IF(AND(DC$5&gt;$E43,DC$5&lt;=$F43),IF(DC$5=$E43+1,$C43,""),"")</f>
        <v/>
      </c>
      <c r="DD43" s="34">
        <f>IF(AND(DD$5&gt;$E43,DD$5&lt;=$F43),IF(DD$5=$E43+1,$C43,""),"")</f>
        <v/>
      </c>
      <c r="DE43" s="34">
        <f>IF(AND(DE$5&gt;$E43,DE$5&lt;=$F43),IF(DE$5=$E43+1,$C43,""),"")</f>
        <v/>
      </c>
      <c r="DF43" s="34">
        <f>IF(AND(DF$5&gt;$E43,DF$5&lt;=$F43),IF(DF$5=$E43+1,$C43,""),"")</f>
        <v/>
      </c>
      <c r="DG43" s="34">
        <f>IF(AND(DG$5&gt;$E43,DG$5&lt;=$F43),IF(DG$5=$E43+1,$C43,""),"")</f>
        <v/>
      </c>
      <c r="DH43" s="34">
        <f>IF(AND(DH$5&gt;$E43,DH$5&lt;=$F43),IF(DH$5=$E43+1,$C43,""),"")</f>
        <v/>
      </c>
      <c r="DI43" s="34">
        <f>IF(AND(DI$5&gt;$E43,DI$5&lt;=$F43),IF(DI$5=$E43+1,$C43,""),"")</f>
        <v/>
      </c>
      <c r="DJ43" s="34">
        <f>IF(AND(DJ$5&gt;$E43,DJ$5&lt;=$F43),IF(DJ$5=$E43+1,$C43,""),"")</f>
        <v/>
      </c>
      <c r="DK43" s="34">
        <f>IF(AND(DK$5&gt;$E43,DK$5&lt;=$F43),IF(DK$5=$E43+1,$C43,""),"")</f>
        <v/>
      </c>
      <c r="DL43" s="34">
        <f>IF(AND(DL$5&gt;$E43,DL$5&lt;=$F43),IF(DL$5=$E43+1,$C43,""),"")</f>
        <v/>
      </c>
      <c r="DM43" s="34">
        <f>IF(AND(DM$5&gt;$E43,DM$5&lt;=$F43),IF(DM$5=$E43+1,$C43,""),"")</f>
        <v/>
      </c>
      <c r="DN43" s="34">
        <f>IF(AND(DN$5&gt;$E43,DN$5&lt;=$F43),IF(DN$5=$E43+1,$C43,""),"")</f>
        <v/>
      </c>
      <c r="DO43" s="34">
        <f>IF(AND(DO$5&gt;$E43,DO$5&lt;=$F43),IF(DO$5=$E43+1,$C43,""),"")</f>
        <v/>
      </c>
      <c r="DP43" s="34">
        <f>IF(AND(DP$5&gt;$E43,DP$5&lt;=$F43),IF(DP$5=$E43+1,$C43,""),"")</f>
        <v/>
      </c>
      <c r="DQ43" s="34">
        <f>IF(AND(DQ$5&gt;$E43,DQ$5&lt;=$F43),IF(DQ$5=$E43+1,$C43,""),"")</f>
        <v/>
      </c>
      <c r="DR43" s="34">
        <f>IF(AND(DR$5&gt;$E43,DR$5&lt;=$F43),IF(DR$5=$E43+1,$C43,""),"")</f>
        <v/>
      </c>
      <c r="DS43" s="34">
        <f>IF(AND(DS$5&gt;$E43,DS$5&lt;=$F43),IF(DS$5=$E43+1,$C43,""),"")</f>
        <v/>
      </c>
      <c r="DT43" s="34">
        <f>IF(AND(DT$5&gt;$E43,DT$5&lt;=$F43),IF(DT$5=$E43+1,$C43,""),"")</f>
        <v/>
      </c>
      <c r="DU43" s="34">
        <f>IF(AND(DU$5&gt;$E43,DU$5&lt;=$F43),IF(DU$5=$E43+1,$C43,""),"")</f>
        <v/>
      </c>
      <c r="DV43" s="34">
        <f>IF(AND(DV$5&gt;$E43,DV$5&lt;=$F43),IF(DV$5=$E43+1,$C43,""),"")</f>
        <v/>
      </c>
      <c r="DW43" s="34">
        <f>IF(AND(DW$5&gt;$E43,DW$5&lt;=$F43),IF(DW$5=$E43+1,$C43,""),"")</f>
        <v/>
      </c>
      <c r="DX43" s="34">
        <f>IF(AND(DX$5&gt;$E43,DX$5&lt;=$F43),IF(DX$5=$E43+1,$C43,""),"")</f>
        <v/>
      </c>
      <c r="DY43" s="34">
        <f>IF(AND(DY$5&gt;$E43,DY$5&lt;=$F43),IF(DY$5=$E43+1,$C43,""),"")</f>
        <v/>
      </c>
      <c r="DZ43" s="34">
        <f>IF(AND(DZ$5&gt;$E43,DZ$5&lt;=$F43),IF(DZ$5=$E43+1,$C43,""),"")</f>
        <v/>
      </c>
      <c r="EA43" s="34">
        <f>IF(AND(EA$5&gt;$E43,EA$5&lt;=$F43),IF(EA$5=$E43+1,$C43,""),"")</f>
        <v/>
      </c>
      <c r="EB43" s="34">
        <f>IF(AND(EB$5&gt;$E43,EB$5&lt;=$F43),IF(EB$5=$E43+1,$C43,""),"")</f>
        <v/>
      </c>
      <c r="EC43" s="34">
        <f>IF(AND(EC$5&gt;$E43,EC$5&lt;=$F43),IF(EC$5=$E43+1,$C43,""),"")</f>
        <v/>
      </c>
      <c r="ED43" s="34">
        <f>IF(AND(ED$5&gt;$E43,ED$5&lt;=$F43),IF(ED$5=$E43+1,$C43,""),"")</f>
        <v/>
      </c>
      <c r="EE43" s="34">
        <f>IF(AND(EE$5&gt;$E43,EE$5&lt;=$F43),IF(EE$5=$E43+1,$C43,""),"")</f>
        <v/>
      </c>
      <c r="EF43" s="34">
        <f>IF(AND(EF$5&gt;$E43,EF$5&lt;=$F43),IF(EF$5=$E43+1,$C43,""),"")</f>
        <v/>
      </c>
      <c r="EG43" s="34">
        <f>IF(AND(EG$5&gt;$E43,EG$5&lt;=$F43),IF(EG$5=$E43+1,$C43,""),"")</f>
        <v/>
      </c>
      <c r="EH43" s="34">
        <f>IF(AND(EH$5&gt;$E43,EH$5&lt;=$F43),IF(EH$5=$E43+1,$C43,""),"")</f>
        <v/>
      </c>
      <c r="EI43" s="34">
        <f>IF(AND(EI$5&gt;$E43,EI$5&lt;=$F43),IF(EI$5=$E43+1,$C43,""),"")</f>
        <v/>
      </c>
      <c r="EJ43" s="34">
        <f>IF(AND(EJ$5&gt;$E43,EJ$5&lt;=$F43),IF(EJ$5=$E43+1,$C43,""),"")</f>
        <v/>
      </c>
      <c r="EK43" s="34">
        <f>IF(AND(EK$5&gt;$E43,EK$5&lt;=$F43),IF(EK$5=$E43+1,$C43,""),"")</f>
        <v/>
      </c>
      <c r="EL43" s="34">
        <f>IF(AND(EL$5&gt;$E43,EL$5&lt;=$F43),IF(EL$5=$E43+1,$C43,""),"")</f>
        <v/>
      </c>
      <c r="EM43" s="34">
        <f>IF(AND(EM$5&gt;$E43,EM$5&lt;=$F43),IF(EM$5=$E43+1,$C43,""),"")</f>
        <v/>
      </c>
      <c r="EN43" s="34">
        <f>IF(AND(EN$5&gt;$E43,EN$5&lt;=$F43),IF(EN$5=$E43+1,$C43,""),"")</f>
        <v/>
      </c>
      <c r="EO43" s="34">
        <f>IF(AND(EO$5&gt;$E43,EO$5&lt;=$F43),IF(EO$5=$E43+1,$C43,""),"")</f>
        <v/>
      </c>
      <c r="EP43" s="34">
        <f>IF(AND(EP$5&gt;$E43,EP$5&lt;=$F43),IF(EP$5=$E43+1,$C43,""),"")</f>
        <v/>
      </c>
      <c r="EQ43" s="34">
        <f>IF(AND(EQ$5&gt;$E43,EQ$5&lt;=$F43),IF(EQ$5=$E43+1,$C43,""),"")</f>
        <v/>
      </c>
      <c r="ER43" s="34">
        <f>IF(AND(ER$5&gt;$E43,ER$5&lt;=$F43),IF(ER$5=$E43+1,$C43,""),"")</f>
        <v/>
      </c>
      <c r="ES43" s="34">
        <f>IF(AND(ES$5&gt;$E43,ES$5&lt;=$F43),IF(ES$5=$E43+1,$C43,""),"")</f>
        <v/>
      </c>
      <c r="ET43" s="34">
        <f>IF(AND(ET$5&gt;$E43,ET$5&lt;=$F43),IF(ET$5=$E43+1,$C43,""),"")</f>
        <v/>
      </c>
      <c r="EU43" s="34">
        <f>IF(AND(EU$5&gt;$E43,EU$5&lt;=$F43),IF(EU$5=$E43+1,$C43,""),"")</f>
        <v/>
      </c>
      <c r="EV43" s="34">
        <f>IF(AND(EV$5&gt;$E43,EV$5&lt;=$F43),IF(EV$5=$E43+1,$C43,""),"")</f>
        <v/>
      </c>
      <c r="EW43" s="34">
        <f>IF(AND(EW$5&gt;$E43,EW$5&lt;=$F43),IF(EW$5=$E43+1,$C43,""),"")</f>
        <v/>
      </c>
      <c r="EX43" s="34">
        <f>IF(AND(EX$5&gt;$E43,EX$5&lt;=$F43),IF(EX$5=$E43+1,$C43,""),"")</f>
        <v/>
      </c>
      <c r="EY43" s="34">
        <f>IF(AND(EY$5&gt;$E43,EY$5&lt;=$F43),IF(EY$5=$E43+1,$C43,""),"")</f>
        <v/>
      </c>
      <c r="EZ43" s="34">
        <f>IF(AND(EZ$5&gt;$E43,EZ$5&lt;=$F43),IF(EZ$5=$E43+1,$C43,""),"")</f>
        <v/>
      </c>
      <c r="FA43" s="34">
        <f>IF(AND(FA$5&gt;$E43,FA$5&lt;=$F43),IF(FA$5=$E43+1,$C43,""),"")</f>
        <v/>
      </c>
    </row>
    <row r="44">
      <c r="A44" s="32">
        <f>Plan!A35</f>
        <v/>
      </c>
      <c r="B44" s="33">
        <f>Plan!C35</f>
        <v/>
      </c>
      <c r="C44" s="16">
        <f>Plan!D35</f>
        <v/>
      </c>
      <c r="D44" s="16">
        <f>Plan!I35</f>
        <v/>
      </c>
      <c r="E44" s="16">
        <f>Plan!K35</f>
        <v/>
      </c>
      <c r="F44" s="16">
        <f>Plan!L35</f>
        <v/>
      </c>
      <c r="G44" s="16">
        <f>Plan!O35</f>
        <v/>
      </c>
      <c r="H44" s="34">
        <f>IF(AND(H$5&gt;$E44,H$5&lt;=$F44),IF(H$5=$E44+1,$C44,""),"")</f>
        <v/>
      </c>
      <c r="I44" s="34">
        <f>IF(AND(I$5&gt;$E44,I$5&lt;=$F44),IF(I$5=$E44+1,$C44,""),"")</f>
        <v/>
      </c>
      <c r="J44" s="34">
        <f>IF(AND(J$5&gt;$E44,J$5&lt;=$F44),IF(J$5=$E44+1,$C44,""),"")</f>
        <v/>
      </c>
      <c r="K44" s="34">
        <f>IF(AND(K$5&gt;$E44,K$5&lt;=$F44),IF(K$5=$E44+1,$C44,""),"")</f>
        <v/>
      </c>
      <c r="L44" s="34">
        <f>IF(AND(L$5&gt;$E44,L$5&lt;=$F44),IF(L$5=$E44+1,$C44,""),"")</f>
        <v/>
      </c>
      <c r="M44" s="34">
        <f>IF(AND(M$5&gt;$E44,M$5&lt;=$F44),IF(M$5=$E44+1,$C44,""),"")</f>
        <v/>
      </c>
      <c r="N44" s="34">
        <f>IF(AND(N$5&gt;$E44,N$5&lt;=$F44),IF(N$5=$E44+1,$C44,""),"")</f>
        <v/>
      </c>
      <c r="O44" s="34">
        <f>IF(AND(O$5&gt;$E44,O$5&lt;=$F44),IF(O$5=$E44+1,$C44,""),"")</f>
        <v/>
      </c>
      <c r="P44" s="34">
        <f>IF(AND(P$5&gt;$E44,P$5&lt;=$F44),IF(P$5=$E44+1,$C44,""),"")</f>
        <v/>
      </c>
      <c r="Q44" s="34">
        <f>IF(AND(Q$5&gt;$E44,Q$5&lt;=$F44),IF(Q$5=$E44+1,$C44,""),"")</f>
        <v/>
      </c>
      <c r="R44" s="34">
        <f>IF(AND(R$5&gt;$E44,R$5&lt;=$F44),IF(R$5=$E44+1,$C44,""),"")</f>
        <v/>
      </c>
      <c r="S44" s="34">
        <f>IF(AND(S$5&gt;$E44,S$5&lt;=$F44),IF(S$5=$E44+1,$C44,""),"")</f>
        <v/>
      </c>
      <c r="T44" s="34">
        <f>IF(AND(T$5&gt;$E44,T$5&lt;=$F44),IF(T$5=$E44+1,$C44,""),"")</f>
        <v/>
      </c>
      <c r="U44" s="34">
        <f>IF(AND(U$5&gt;$E44,U$5&lt;=$F44),IF(U$5=$E44+1,$C44,""),"")</f>
        <v/>
      </c>
      <c r="V44" s="34">
        <f>IF(AND(V$5&gt;$E44,V$5&lt;=$F44),IF(V$5=$E44+1,$C44,""),"")</f>
        <v/>
      </c>
      <c r="W44" s="34">
        <f>IF(AND(W$5&gt;$E44,W$5&lt;=$F44),IF(W$5=$E44+1,$C44,""),"")</f>
        <v/>
      </c>
      <c r="X44" s="34">
        <f>IF(AND(X$5&gt;$E44,X$5&lt;=$F44),IF(X$5=$E44+1,$C44,""),"")</f>
        <v/>
      </c>
      <c r="Y44" s="34">
        <f>IF(AND(Y$5&gt;$E44,Y$5&lt;=$F44),IF(Y$5=$E44+1,$C44,""),"")</f>
        <v/>
      </c>
      <c r="Z44" s="34">
        <f>IF(AND(Z$5&gt;$E44,Z$5&lt;=$F44),IF(Z$5=$E44+1,$C44,""),"")</f>
        <v/>
      </c>
      <c r="AA44" s="34">
        <f>IF(AND(AA$5&gt;$E44,AA$5&lt;=$F44),IF(AA$5=$E44+1,$C44,""),"")</f>
        <v/>
      </c>
      <c r="AB44" s="34">
        <f>IF(AND(AB$5&gt;$E44,AB$5&lt;=$F44),IF(AB$5=$E44+1,$C44,""),"")</f>
        <v/>
      </c>
      <c r="AC44" s="34">
        <f>IF(AND(AC$5&gt;$E44,AC$5&lt;=$F44),IF(AC$5=$E44+1,$C44,""),"")</f>
        <v/>
      </c>
      <c r="AD44" s="34">
        <f>IF(AND(AD$5&gt;$E44,AD$5&lt;=$F44),IF(AD$5=$E44+1,$C44,""),"")</f>
        <v/>
      </c>
      <c r="AE44" s="34">
        <f>IF(AND(AE$5&gt;$E44,AE$5&lt;=$F44),IF(AE$5=$E44+1,$C44,""),"")</f>
        <v/>
      </c>
      <c r="AF44" s="34">
        <f>IF(AND(AF$5&gt;$E44,AF$5&lt;=$F44),IF(AF$5=$E44+1,$C44,""),"")</f>
        <v/>
      </c>
      <c r="AG44" s="34">
        <f>IF(AND(AG$5&gt;$E44,AG$5&lt;=$F44),IF(AG$5=$E44+1,$C44,""),"")</f>
        <v/>
      </c>
      <c r="AH44" s="34">
        <f>IF(AND(AH$5&gt;$E44,AH$5&lt;=$F44),IF(AH$5=$E44+1,$C44,""),"")</f>
        <v/>
      </c>
      <c r="AI44" s="34">
        <f>IF(AND(AI$5&gt;$E44,AI$5&lt;=$F44),IF(AI$5=$E44+1,$C44,""),"")</f>
        <v/>
      </c>
      <c r="AJ44" s="34">
        <f>IF(AND(AJ$5&gt;$E44,AJ$5&lt;=$F44),IF(AJ$5=$E44+1,$C44,""),"")</f>
        <v/>
      </c>
      <c r="AK44" s="34">
        <f>IF(AND(AK$5&gt;$E44,AK$5&lt;=$F44),IF(AK$5=$E44+1,$C44,""),"")</f>
        <v/>
      </c>
      <c r="AL44" s="34">
        <f>IF(AND(AL$5&gt;$E44,AL$5&lt;=$F44),IF(AL$5=$E44+1,$C44,""),"")</f>
        <v/>
      </c>
      <c r="AM44" s="34">
        <f>IF(AND(AM$5&gt;$E44,AM$5&lt;=$F44),IF(AM$5=$E44+1,$C44,""),"")</f>
        <v/>
      </c>
      <c r="AN44" s="34">
        <f>IF(AND(AN$5&gt;$E44,AN$5&lt;=$F44),IF(AN$5=$E44+1,$C44,""),"")</f>
        <v/>
      </c>
      <c r="AO44" s="34">
        <f>IF(AND(AO$5&gt;$E44,AO$5&lt;=$F44),IF(AO$5=$E44+1,$C44,""),"")</f>
        <v/>
      </c>
      <c r="AP44" s="34">
        <f>IF(AND(AP$5&gt;$E44,AP$5&lt;=$F44),IF(AP$5=$E44+1,$C44,""),"")</f>
        <v/>
      </c>
      <c r="AQ44" s="34">
        <f>IF(AND(AQ$5&gt;$E44,AQ$5&lt;=$F44),IF(AQ$5=$E44+1,$C44,""),"")</f>
        <v/>
      </c>
      <c r="AR44" s="34">
        <f>IF(AND(AR$5&gt;$E44,AR$5&lt;=$F44),IF(AR$5=$E44+1,$C44,""),"")</f>
        <v/>
      </c>
      <c r="AS44" s="34">
        <f>IF(AND(AS$5&gt;$E44,AS$5&lt;=$F44),IF(AS$5=$E44+1,$C44,""),"")</f>
        <v/>
      </c>
      <c r="AT44" s="34">
        <f>IF(AND(AT$5&gt;$E44,AT$5&lt;=$F44),IF(AT$5=$E44+1,$C44,""),"")</f>
        <v/>
      </c>
      <c r="AU44" s="34">
        <f>IF(AND(AU$5&gt;$E44,AU$5&lt;=$F44),IF(AU$5=$E44+1,$C44,""),"")</f>
        <v/>
      </c>
      <c r="AV44" s="34">
        <f>IF(AND(AV$5&gt;$E44,AV$5&lt;=$F44),IF(AV$5=$E44+1,$C44,""),"")</f>
        <v/>
      </c>
      <c r="AW44" s="34">
        <f>IF(AND(AW$5&gt;$E44,AW$5&lt;=$F44),IF(AW$5=$E44+1,$C44,""),"")</f>
        <v/>
      </c>
      <c r="AX44" s="34">
        <f>IF(AND(AX$5&gt;$E44,AX$5&lt;=$F44),IF(AX$5=$E44+1,$C44,""),"")</f>
        <v/>
      </c>
      <c r="AY44" s="34">
        <f>IF(AND(AY$5&gt;$E44,AY$5&lt;=$F44),IF(AY$5=$E44+1,$C44,""),"")</f>
        <v/>
      </c>
      <c r="AZ44" s="34">
        <f>IF(AND(AZ$5&gt;$E44,AZ$5&lt;=$F44),IF(AZ$5=$E44+1,$C44,""),"")</f>
        <v/>
      </c>
      <c r="BA44" s="34">
        <f>IF(AND(BA$5&gt;$E44,BA$5&lt;=$F44),IF(BA$5=$E44+1,$C44,""),"")</f>
        <v/>
      </c>
      <c r="BB44" s="34">
        <f>IF(AND(BB$5&gt;$E44,BB$5&lt;=$F44),IF(BB$5=$E44+1,$C44,""),"")</f>
        <v/>
      </c>
      <c r="BC44" s="34">
        <f>IF(AND(BC$5&gt;$E44,BC$5&lt;=$F44),IF(BC$5=$E44+1,$C44,""),"")</f>
        <v/>
      </c>
      <c r="BD44" s="34">
        <f>IF(AND(BD$5&gt;$E44,BD$5&lt;=$F44),IF(BD$5=$E44+1,$C44,""),"")</f>
        <v/>
      </c>
      <c r="BE44" s="34">
        <f>IF(AND(BE$5&gt;$E44,BE$5&lt;=$F44),IF(BE$5=$E44+1,$C44,""),"")</f>
        <v/>
      </c>
      <c r="BF44" s="34">
        <f>IF(AND(BF$5&gt;$E44,BF$5&lt;=$F44),IF(BF$5=$E44+1,$C44,""),"")</f>
        <v/>
      </c>
      <c r="BG44" s="34">
        <f>IF(AND(BG$5&gt;$E44,BG$5&lt;=$F44),IF(BG$5=$E44+1,$C44,""),"")</f>
        <v/>
      </c>
      <c r="BH44" s="34">
        <f>IF(AND(BH$5&gt;$E44,BH$5&lt;=$F44),IF(BH$5=$E44+1,$C44,""),"")</f>
        <v/>
      </c>
      <c r="BI44" s="34">
        <f>IF(AND(BI$5&gt;$E44,BI$5&lt;=$F44),IF(BI$5=$E44+1,$C44,""),"")</f>
        <v/>
      </c>
      <c r="BJ44" s="34">
        <f>IF(AND(BJ$5&gt;$E44,BJ$5&lt;=$F44),IF(BJ$5=$E44+1,$C44,""),"")</f>
        <v/>
      </c>
      <c r="BK44" s="34">
        <f>IF(AND(BK$5&gt;$E44,BK$5&lt;=$F44),IF(BK$5=$E44+1,$C44,""),"")</f>
        <v/>
      </c>
      <c r="BL44" s="34">
        <f>IF(AND(BL$5&gt;$E44,BL$5&lt;=$F44),IF(BL$5=$E44+1,$C44,""),"")</f>
        <v/>
      </c>
      <c r="BM44" s="34">
        <f>IF(AND(BM$5&gt;$E44,BM$5&lt;=$F44),IF(BM$5=$E44+1,$C44,""),"")</f>
        <v/>
      </c>
      <c r="BN44" s="34">
        <f>IF(AND(BN$5&gt;$E44,BN$5&lt;=$F44),IF(BN$5=$E44+1,$C44,""),"")</f>
        <v/>
      </c>
      <c r="BO44" s="34">
        <f>IF(AND(BO$5&gt;$E44,BO$5&lt;=$F44),IF(BO$5=$E44+1,$C44,""),"")</f>
        <v/>
      </c>
      <c r="BP44" s="34">
        <f>IF(AND(BP$5&gt;$E44,BP$5&lt;=$F44),IF(BP$5=$E44+1,$C44,""),"")</f>
        <v/>
      </c>
      <c r="BQ44" s="34">
        <f>IF(AND(BQ$5&gt;$E44,BQ$5&lt;=$F44),IF(BQ$5=$E44+1,$C44,""),"")</f>
        <v/>
      </c>
      <c r="BR44" s="34">
        <f>IF(AND(BR$5&gt;$E44,BR$5&lt;=$F44),IF(BR$5=$E44+1,$C44,""),"")</f>
        <v/>
      </c>
      <c r="BS44" s="34">
        <f>IF(AND(BS$5&gt;$E44,BS$5&lt;=$F44),IF(BS$5=$E44+1,$C44,""),"")</f>
        <v/>
      </c>
      <c r="BT44" s="34">
        <f>IF(AND(BT$5&gt;$E44,BT$5&lt;=$F44),IF(BT$5=$E44+1,$C44,""),"")</f>
        <v/>
      </c>
      <c r="BU44" s="34">
        <f>IF(AND(BU$5&gt;$E44,BU$5&lt;=$F44),IF(BU$5=$E44+1,$C44,""),"")</f>
        <v/>
      </c>
      <c r="BV44" s="34">
        <f>IF(AND(BV$5&gt;$E44,BV$5&lt;=$F44),IF(BV$5=$E44+1,$C44,""),"")</f>
        <v/>
      </c>
      <c r="BW44" s="34">
        <f>IF(AND(BW$5&gt;$E44,BW$5&lt;=$F44),IF(BW$5=$E44+1,$C44,""),"")</f>
        <v/>
      </c>
      <c r="BX44" s="34">
        <f>IF(AND(BX$5&gt;$E44,BX$5&lt;=$F44),IF(BX$5=$E44+1,$C44,""),"")</f>
        <v/>
      </c>
      <c r="BY44" s="34">
        <f>IF(AND(BY$5&gt;$E44,BY$5&lt;=$F44),IF(BY$5=$E44+1,$C44,""),"")</f>
        <v/>
      </c>
      <c r="BZ44" s="34">
        <f>IF(AND(BZ$5&gt;$E44,BZ$5&lt;=$F44),IF(BZ$5=$E44+1,$C44,""),"")</f>
        <v/>
      </c>
      <c r="CA44" s="34">
        <f>IF(AND(CA$5&gt;$E44,CA$5&lt;=$F44),IF(CA$5=$E44+1,$C44,""),"")</f>
        <v/>
      </c>
      <c r="CB44" s="34">
        <f>IF(AND(CB$5&gt;$E44,CB$5&lt;=$F44),IF(CB$5=$E44+1,$C44,""),"")</f>
        <v/>
      </c>
      <c r="CC44" s="34">
        <f>IF(AND(CC$5&gt;$E44,CC$5&lt;=$F44),IF(CC$5=$E44+1,$C44,""),"")</f>
        <v/>
      </c>
      <c r="CD44" s="34">
        <f>IF(AND(CD$5&gt;$E44,CD$5&lt;=$F44),IF(CD$5=$E44+1,$C44,""),"")</f>
        <v/>
      </c>
      <c r="CE44" s="34">
        <f>IF(AND(CE$5&gt;$E44,CE$5&lt;=$F44),IF(CE$5=$E44+1,$C44,""),"")</f>
        <v/>
      </c>
      <c r="CF44" s="34">
        <f>IF(AND(CF$5&gt;$E44,CF$5&lt;=$F44),IF(CF$5=$E44+1,$C44,""),"")</f>
        <v/>
      </c>
      <c r="CG44" s="34">
        <f>IF(AND(CG$5&gt;$E44,CG$5&lt;=$F44),IF(CG$5=$E44+1,$C44,""),"")</f>
        <v/>
      </c>
      <c r="CH44" s="34">
        <f>IF(AND(CH$5&gt;$E44,CH$5&lt;=$F44),IF(CH$5=$E44+1,$C44,""),"")</f>
        <v/>
      </c>
      <c r="CI44" s="34">
        <f>IF(AND(CI$5&gt;$E44,CI$5&lt;=$F44),IF(CI$5=$E44+1,$C44,""),"")</f>
        <v/>
      </c>
      <c r="CJ44" s="34">
        <f>IF(AND(CJ$5&gt;$E44,CJ$5&lt;=$F44),IF(CJ$5=$E44+1,$C44,""),"")</f>
        <v/>
      </c>
      <c r="CK44" s="34">
        <f>IF(AND(CK$5&gt;$E44,CK$5&lt;=$F44),IF(CK$5=$E44+1,$C44,""),"")</f>
        <v/>
      </c>
      <c r="CL44" s="34">
        <f>IF(AND(CL$5&gt;$E44,CL$5&lt;=$F44),IF(CL$5=$E44+1,$C44,""),"")</f>
        <v/>
      </c>
      <c r="CM44" s="34">
        <f>IF(AND(CM$5&gt;$E44,CM$5&lt;=$F44),IF(CM$5=$E44+1,$C44,""),"")</f>
        <v/>
      </c>
      <c r="CN44" s="34">
        <f>IF(AND(CN$5&gt;$E44,CN$5&lt;=$F44),IF(CN$5=$E44+1,$C44,""),"")</f>
        <v/>
      </c>
      <c r="CO44" s="34">
        <f>IF(AND(CO$5&gt;$E44,CO$5&lt;=$F44),IF(CO$5=$E44+1,$C44,""),"")</f>
        <v/>
      </c>
      <c r="CP44" s="34">
        <f>IF(AND(CP$5&gt;$E44,CP$5&lt;=$F44),IF(CP$5=$E44+1,$C44,""),"")</f>
        <v/>
      </c>
      <c r="CQ44" s="34">
        <f>IF(AND(CQ$5&gt;$E44,CQ$5&lt;=$F44),IF(CQ$5=$E44+1,$C44,""),"")</f>
        <v/>
      </c>
      <c r="CR44" s="34">
        <f>IF(AND(CR$5&gt;$E44,CR$5&lt;=$F44),IF(CR$5=$E44+1,$C44,""),"")</f>
        <v/>
      </c>
      <c r="CS44" s="34">
        <f>IF(AND(CS$5&gt;$E44,CS$5&lt;=$F44),IF(CS$5=$E44+1,$C44,""),"")</f>
        <v/>
      </c>
      <c r="CT44" s="34">
        <f>IF(AND(CT$5&gt;$E44,CT$5&lt;=$F44),IF(CT$5=$E44+1,$C44,""),"")</f>
        <v/>
      </c>
      <c r="CU44" s="34">
        <f>IF(AND(CU$5&gt;$E44,CU$5&lt;=$F44),IF(CU$5=$E44+1,$C44,""),"")</f>
        <v/>
      </c>
      <c r="CV44" s="34">
        <f>IF(AND(CV$5&gt;$E44,CV$5&lt;=$F44),IF(CV$5=$E44+1,$C44,""),"")</f>
        <v/>
      </c>
      <c r="CW44" s="34">
        <f>IF(AND(CW$5&gt;$E44,CW$5&lt;=$F44),IF(CW$5=$E44+1,$C44,""),"")</f>
        <v/>
      </c>
      <c r="CX44" s="34">
        <f>IF(AND(CX$5&gt;$E44,CX$5&lt;=$F44),IF(CX$5=$E44+1,$C44,""),"")</f>
        <v/>
      </c>
      <c r="CY44" s="34">
        <f>IF(AND(CY$5&gt;$E44,CY$5&lt;=$F44),IF(CY$5=$E44+1,$C44,""),"")</f>
        <v/>
      </c>
      <c r="CZ44" s="34">
        <f>IF(AND(CZ$5&gt;$E44,CZ$5&lt;=$F44),IF(CZ$5=$E44+1,$C44,""),"")</f>
        <v/>
      </c>
      <c r="DA44" s="34">
        <f>IF(AND(DA$5&gt;$E44,DA$5&lt;=$F44),IF(DA$5=$E44+1,$C44,""),"")</f>
        <v/>
      </c>
      <c r="DB44" s="34">
        <f>IF(AND(DB$5&gt;$E44,DB$5&lt;=$F44),IF(DB$5=$E44+1,$C44,""),"")</f>
        <v/>
      </c>
      <c r="DC44" s="34">
        <f>IF(AND(DC$5&gt;$E44,DC$5&lt;=$F44),IF(DC$5=$E44+1,$C44,""),"")</f>
        <v/>
      </c>
      <c r="DD44" s="34">
        <f>IF(AND(DD$5&gt;$E44,DD$5&lt;=$F44),IF(DD$5=$E44+1,$C44,""),"")</f>
        <v/>
      </c>
      <c r="DE44" s="34">
        <f>IF(AND(DE$5&gt;$E44,DE$5&lt;=$F44),IF(DE$5=$E44+1,$C44,""),"")</f>
        <v/>
      </c>
      <c r="DF44" s="34">
        <f>IF(AND(DF$5&gt;$E44,DF$5&lt;=$F44),IF(DF$5=$E44+1,$C44,""),"")</f>
        <v/>
      </c>
      <c r="DG44" s="34">
        <f>IF(AND(DG$5&gt;$E44,DG$5&lt;=$F44),IF(DG$5=$E44+1,$C44,""),"")</f>
        <v/>
      </c>
      <c r="DH44" s="34">
        <f>IF(AND(DH$5&gt;$E44,DH$5&lt;=$F44),IF(DH$5=$E44+1,$C44,""),"")</f>
        <v/>
      </c>
      <c r="DI44" s="34">
        <f>IF(AND(DI$5&gt;$E44,DI$5&lt;=$F44),IF(DI$5=$E44+1,$C44,""),"")</f>
        <v/>
      </c>
      <c r="DJ44" s="34">
        <f>IF(AND(DJ$5&gt;$E44,DJ$5&lt;=$F44),IF(DJ$5=$E44+1,$C44,""),"")</f>
        <v/>
      </c>
      <c r="DK44" s="34">
        <f>IF(AND(DK$5&gt;$E44,DK$5&lt;=$F44),IF(DK$5=$E44+1,$C44,""),"")</f>
        <v/>
      </c>
      <c r="DL44" s="34">
        <f>IF(AND(DL$5&gt;$E44,DL$5&lt;=$F44),IF(DL$5=$E44+1,$C44,""),"")</f>
        <v/>
      </c>
      <c r="DM44" s="34">
        <f>IF(AND(DM$5&gt;$E44,DM$5&lt;=$F44),IF(DM$5=$E44+1,$C44,""),"")</f>
        <v/>
      </c>
      <c r="DN44" s="34">
        <f>IF(AND(DN$5&gt;$E44,DN$5&lt;=$F44),IF(DN$5=$E44+1,$C44,""),"")</f>
        <v/>
      </c>
      <c r="DO44" s="34">
        <f>IF(AND(DO$5&gt;$E44,DO$5&lt;=$F44),IF(DO$5=$E44+1,$C44,""),"")</f>
        <v/>
      </c>
      <c r="DP44" s="34">
        <f>IF(AND(DP$5&gt;$E44,DP$5&lt;=$F44),IF(DP$5=$E44+1,$C44,""),"")</f>
        <v/>
      </c>
      <c r="DQ44" s="34">
        <f>IF(AND(DQ$5&gt;$E44,DQ$5&lt;=$F44),IF(DQ$5=$E44+1,$C44,""),"")</f>
        <v/>
      </c>
      <c r="DR44" s="34">
        <f>IF(AND(DR$5&gt;$E44,DR$5&lt;=$F44),IF(DR$5=$E44+1,$C44,""),"")</f>
        <v/>
      </c>
      <c r="DS44" s="34">
        <f>IF(AND(DS$5&gt;$E44,DS$5&lt;=$F44),IF(DS$5=$E44+1,$C44,""),"")</f>
        <v/>
      </c>
      <c r="DT44" s="34">
        <f>IF(AND(DT$5&gt;$E44,DT$5&lt;=$F44),IF(DT$5=$E44+1,$C44,""),"")</f>
        <v/>
      </c>
      <c r="DU44" s="34">
        <f>IF(AND(DU$5&gt;$E44,DU$5&lt;=$F44),IF(DU$5=$E44+1,$C44,""),"")</f>
        <v/>
      </c>
      <c r="DV44" s="34">
        <f>IF(AND(DV$5&gt;$E44,DV$5&lt;=$F44),IF(DV$5=$E44+1,$C44,""),"")</f>
        <v/>
      </c>
      <c r="DW44" s="34">
        <f>IF(AND(DW$5&gt;$E44,DW$5&lt;=$F44),IF(DW$5=$E44+1,$C44,""),"")</f>
        <v/>
      </c>
      <c r="DX44" s="34">
        <f>IF(AND(DX$5&gt;$E44,DX$5&lt;=$F44),IF(DX$5=$E44+1,$C44,""),"")</f>
        <v/>
      </c>
      <c r="DY44" s="34">
        <f>IF(AND(DY$5&gt;$E44,DY$5&lt;=$F44),IF(DY$5=$E44+1,$C44,""),"")</f>
        <v/>
      </c>
      <c r="DZ44" s="34">
        <f>IF(AND(DZ$5&gt;$E44,DZ$5&lt;=$F44),IF(DZ$5=$E44+1,$C44,""),"")</f>
        <v/>
      </c>
      <c r="EA44" s="34">
        <f>IF(AND(EA$5&gt;$E44,EA$5&lt;=$F44),IF(EA$5=$E44+1,$C44,""),"")</f>
        <v/>
      </c>
      <c r="EB44" s="34">
        <f>IF(AND(EB$5&gt;$E44,EB$5&lt;=$F44),IF(EB$5=$E44+1,$C44,""),"")</f>
        <v/>
      </c>
      <c r="EC44" s="34">
        <f>IF(AND(EC$5&gt;$E44,EC$5&lt;=$F44),IF(EC$5=$E44+1,$C44,""),"")</f>
        <v/>
      </c>
      <c r="ED44" s="34">
        <f>IF(AND(ED$5&gt;$E44,ED$5&lt;=$F44),IF(ED$5=$E44+1,$C44,""),"")</f>
        <v/>
      </c>
      <c r="EE44" s="34">
        <f>IF(AND(EE$5&gt;$E44,EE$5&lt;=$F44),IF(EE$5=$E44+1,$C44,""),"")</f>
        <v/>
      </c>
      <c r="EF44" s="34">
        <f>IF(AND(EF$5&gt;$E44,EF$5&lt;=$F44),IF(EF$5=$E44+1,$C44,""),"")</f>
        <v/>
      </c>
      <c r="EG44" s="34">
        <f>IF(AND(EG$5&gt;$E44,EG$5&lt;=$F44),IF(EG$5=$E44+1,$C44,""),"")</f>
        <v/>
      </c>
      <c r="EH44" s="34">
        <f>IF(AND(EH$5&gt;$E44,EH$5&lt;=$F44),IF(EH$5=$E44+1,$C44,""),"")</f>
        <v/>
      </c>
      <c r="EI44" s="34">
        <f>IF(AND(EI$5&gt;$E44,EI$5&lt;=$F44),IF(EI$5=$E44+1,$C44,""),"")</f>
        <v/>
      </c>
      <c r="EJ44" s="34">
        <f>IF(AND(EJ$5&gt;$E44,EJ$5&lt;=$F44),IF(EJ$5=$E44+1,$C44,""),"")</f>
        <v/>
      </c>
      <c r="EK44" s="34">
        <f>IF(AND(EK$5&gt;$E44,EK$5&lt;=$F44),IF(EK$5=$E44+1,$C44,""),"")</f>
        <v/>
      </c>
      <c r="EL44" s="34">
        <f>IF(AND(EL$5&gt;$E44,EL$5&lt;=$F44),IF(EL$5=$E44+1,$C44,""),"")</f>
        <v/>
      </c>
      <c r="EM44" s="34">
        <f>IF(AND(EM$5&gt;$E44,EM$5&lt;=$F44),IF(EM$5=$E44+1,$C44,""),"")</f>
        <v/>
      </c>
      <c r="EN44" s="34">
        <f>IF(AND(EN$5&gt;$E44,EN$5&lt;=$F44),IF(EN$5=$E44+1,$C44,""),"")</f>
        <v/>
      </c>
      <c r="EO44" s="34">
        <f>IF(AND(EO$5&gt;$E44,EO$5&lt;=$F44),IF(EO$5=$E44+1,$C44,""),"")</f>
        <v/>
      </c>
      <c r="EP44" s="34">
        <f>IF(AND(EP$5&gt;$E44,EP$5&lt;=$F44),IF(EP$5=$E44+1,$C44,""),"")</f>
        <v/>
      </c>
      <c r="EQ44" s="34">
        <f>IF(AND(EQ$5&gt;$E44,EQ$5&lt;=$F44),IF(EQ$5=$E44+1,$C44,""),"")</f>
        <v/>
      </c>
      <c r="ER44" s="34">
        <f>IF(AND(ER$5&gt;$E44,ER$5&lt;=$F44),IF(ER$5=$E44+1,$C44,""),"")</f>
        <v/>
      </c>
      <c r="ES44" s="34">
        <f>IF(AND(ES$5&gt;$E44,ES$5&lt;=$F44),IF(ES$5=$E44+1,$C44,""),"")</f>
        <v/>
      </c>
      <c r="ET44" s="34">
        <f>IF(AND(ET$5&gt;$E44,ET$5&lt;=$F44),IF(ET$5=$E44+1,$C44,""),"")</f>
        <v/>
      </c>
      <c r="EU44" s="34">
        <f>IF(AND(EU$5&gt;$E44,EU$5&lt;=$F44),IF(EU$5=$E44+1,$C44,""),"")</f>
        <v/>
      </c>
      <c r="EV44" s="34">
        <f>IF(AND(EV$5&gt;$E44,EV$5&lt;=$F44),IF(EV$5=$E44+1,$C44,""),"")</f>
        <v/>
      </c>
      <c r="EW44" s="34">
        <f>IF(AND(EW$5&gt;$E44,EW$5&lt;=$F44),IF(EW$5=$E44+1,$C44,""),"")</f>
        <v/>
      </c>
      <c r="EX44" s="34">
        <f>IF(AND(EX$5&gt;$E44,EX$5&lt;=$F44),IF(EX$5=$E44+1,$C44,""),"")</f>
        <v/>
      </c>
      <c r="EY44" s="34">
        <f>IF(AND(EY$5&gt;$E44,EY$5&lt;=$F44),IF(EY$5=$E44+1,$C44,""),"")</f>
        <v/>
      </c>
      <c r="EZ44" s="34">
        <f>IF(AND(EZ$5&gt;$E44,EZ$5&lt;=$F44),IF(EZ$5=$E44+1,$C44,""),"")</f>
        <v/>
      </c>
      <c r="FA44" s="34">
        <f>IF(AND(FA$5&gt;$E44,FA$5&lt;=$F44),IF(FA$5=$E44+1,$C44,""),"")</f>
        <v/>
      </c>
    </row>
    <row r="45">
      <c r="A45" s="32">
        <f>Plan!A36</f>
        <v/>
      </c>
      <c r="B45" s="33">
        <f>Plan!C36</f>
        <v/>
      </c>
      <c r="C45" s="16">
        <f>Plan!D36</f>
        <v/>
      </c>
      <c r="D45" s="16">
        <f>Plan!I36</f>
        <v/>
      </c>
      <c r="E45" s="16">
        <f>Plan!K36</f>
        <v/>
      </c>
      <c r="F45" s="16">
        <f>Plan!L36</f>
        <v/>
      </c>
      <c r="G45" s="16">
        <f>Plan!O36</f>
        <v/>
      </c>
      <c r="H45" s="34">
        <f>IF(AND(H$5&gt;$E45,H$5&lt;=$F45),IF(H$5=$E45+1,$C45,""),"")</f>
        <v/>
      </c>
      <c r="I45" s="34">
        <f>IF(AND(I$5&gt;$E45,I$5&lt;=$F45),IF(I$5=$E45+1,$C45,""),"")</f>
        <v/>
      </c>
      <c r="J45" s="34">
        <f>IF(AND(J$5&gt;$E45,J$5&lt;=$F45),IF(J$5=$E45+1,$C45,""),"")</f>
        <v/>
      </c>
      <c r="K45" s="34">
        <f>IF(AND(K$5&gt;$E45,K$5&lt;=$F45),IF(K$5=$E45+1,$C45,""),"")</f>
        <v/>
      </c>
      <c r="L45" s="34">
        <f>IF(AND(L$5&gt;$E45,L$5&lt;=$F45),IF(L$5=$E45+1,$C45,""),"")</f>
        <v/>
      </c>
      <c r="M45" s="34">
        <f>IF(AND(M$5&gt;$E45,M$5&lt;=$F45),IF(M$5=$E45+1,$C45,""),"")</f>
        <v/>
      </c>
      <c r="N45" s="34">
        <f>IF(AND(N$5&gt;$E45,N$5&lt;=$F45),IF(N$5=$E45+1,$C45,""),"")</f>
        <v/>
      </c>
      <c r="O45" s="34">
        <f>IF(AND(O$5&gt;$E45,O$5&lt;=$F45),IF(O$5=$E45+1,$C45,""),"")</f>
        <v/>
      </c>
      <c r="P45" s="34">
        <f>IF(AND(P$5&gt;$E45,P$5&lt;=$F45),IF(P$5=$E45+1,$C45,""),"")</f>
        <v/>
      </c>
      <c r="Q45" s="34">
        <f>IF(AND(Q$5&gt;$E45,Q$5&lt;=$F45),IF(Q$5=$E45+1,$C45,""),"")</f>
        <v/>
      </c>
      <c r="R45" s="34">
        <f>IF(AND(R$5&gt;$E45,R$5&lt;=$F45),IF(R$5=$E45+1,$C45,""),"")</f>
        <v/>
      </c>
      <c r="S45" s="34">
        <f>IF(AND(S$5&gt;$E45,S$5&lt;=$F45),IF(S$5=$E45+1,$C45,""),"")</f>
        <v/>
      </c>
      <c r="T45" s="34">
        <f>IF(AND(T$5&gt;$E45,T$5&lt;=$F45),IF(T$5=$E45+1,$C45,""),"")</f>
        <v/>
      </c>
      <c r="U45" s="34">
        <f>IF(AND(U$5&gt;$E45,U$5&lt;=$F45),IF(U$5=$E45+1,$C45,""),"")</f>
        <v/>
      </c>
      <c r="V45" s="34">
        <f>IF(AND(V$5&gt;$E45,V$5&lt;=$F45),IF(V$5=$E45+1,$C45,""),"")</f>
        <v/>
      </c>
      <c r="W45" s="34">
        <f>IF(AND(W$5&gt;$E45,W$5&lt;=$F45),IF(W$5=$E45+1,$C45,""),"")</f>
        <v/>
      </c>
      <c r="X45" s="34">
        <f>IF(AND(X$5&gt;$E45,X$5&lt;=$F45),IF(X$5=$E45+1,$C45,""),"")</f>
        <v/>
      </c>
      <c r="Y45" s="34">
        <f>IF(AND(Y$5&gt;$E45,Y$5&lt;=$F45),IF(Y$5=$E45+1,$C45,""),"")</f>
        <v/>
      </c>
      <c r="Z45" s="34">
        <f>IF(AND(Z$5&gt;$E45,Z$5&lt;=$F45),IF(Z$5=$E45+1,$C45,""),"")</f>
        <v/>
      </c>
      <c r="AA45" s="34">
        <f>IF(AND(AA$5&gt;$E45,AA$5&lt;=$F45),IF(AA$5=$E45+1,$C45,""),"")</f>
        <v/>
      </c>
      <c r="AB45" s="34">
        <f>IF(AND(AB$5&gt;$E45,AB$5&lt;=$F45),IF(AB$5=$E45+1,$C45,""),"")</f>
        <v/>
      </c>
      <c r="AC45" s="34">
        <f>IF(AND(AC$5&gt;$E45,AC$5&lt;=$F45),IF(AC$5=$E45+1,$C45,""),"")</f>
        <v/>
      </c>
      <c r="AD45" s="34">
        <f>IF(AND(AD$5&gt;$E45,AD$5&lt;=$F45),IF(AD$5=$E45+1,$C45,""),"")</f>
        <v/>
      </c>
      <c r="AE45" s="34">
        <f>IF(AND(AE$5&gt;$E45,AE$5&lt;=$F45),IF(AE$5=$E45+1,$C45,""),"")</f>
        <v/>
      </c>
      <c r="AF45" s="34">
        <f>IF(AND(AF$5&gt;$E45,AF$5&lt;=$F45),IF(AF$5=$E45+1,$C45,""),"")</f>
        <v/>
      </c>
      <c r="AG45" s="34">
        <f>IF(AND(AG$5&gt;$E45,AG$5&lt;=$F45),IF(AG$5=$E45+1,$C45,""),"")</f>
        <v/>
      </c>
      <c r="AH45" s="34">
        <f>IF(AND(AH$5&gt;$E45,AH$5&lt;=$F45),IF(AH$5=$E45+1,$C45,""),"")</f>
        <v/>
      </c>
      <c r="AI45" s="34">
        <f>IF(AND(AI$5&gt;$E45,AI$5&lt;=$F45),IF(AI$5=$E45+1,$C45,""),"")</f>
        <v/>
      </c>
      <c r="AJ45" s="34">
        <f>IF(AND(AJ$5&gt;$E45,AJ$5&lt;=$F45),IF(AJ$5=$E45+1,$C45,""),"")</f>
        <v/>
      </c>
      <c r="AK45" s="34">
        <f>IF(AND(AK$5&gt;$E45,AK$5&lt;=$F45),IF(AK$5=$E45+1,$C45,""),"")</f>
        <v/>
      </c>
      <c r="AL45" s="34">
        <f>IF(AND(AL$5&gt;$E45,AL$5&lt;=$F45),IF(AL$5=$E45+1,$C45,""),"")</f>
        <v/>
      </c>
      <c r="AM45" s="34">
        <f>IF(AND(AM$5&gt;$E45,AM$5&lt;=$F45),IF(AM$5=$E45+1,$C45,""),"")</f>
        <v/>
      </c>
      <c r="AN45" s="34">
        <f>IF(AND(AN$5&gt;$E45,AN$5&lt;=$F45),IF(AN$5=$E45+1,$C45,""),"")</f>
        <v/>
      </c>
      <c r="AO45" s="34">
        <f>IF(AND(AO$5&gt;$E45,AO$5&lt;=$F45),IF(AO$5=$E45+1,$C45,""),"")</f>
        <v/>
      </c>
      <c r="AP45" s="34">
        <f>IF(AND(AP$5&gt;$E45,AP$5&lt;=$F45),IF(AP$5=$E45+1,$C45,""),"")</f>
        <v/>
      </c>
      <c r="AQ45" s="34">
        <f>IF(AND(AQ$5&gt;$E45,AQ$5&lt;=$F45),IF(AQ$5=$E45+1,$C45,""),"")</f>
        <v/>
      </c>
      <c r="AR45" s="34">
        <f>IF(AND(AR$5&gt;$E45,AR$5&lt;=$F45),IF(AR$5=$E45+1,$C45,""),"")</f>
        <v/>
      </c>
      <c r="AS45" s="34">
        <f>IF(AND(AS$5&gt;$E45,AS$5&lt;=$F45),IF(AS$5=$E45+1,$C45,""),"")</f>
        <v/>
      </c>
      <c r="AT45" s="34">
        <f>IF(AND(AT$5&gt;$E45,AT$5&lt;=$F45),IF(AT$5=$E45+1,$C45,""),"")</f>
        <v/>
      </c>
      <c r="AU45" s="34">
        <f>IF(AND(AU$5&gt;$E45,AU$5&lt;=$F45),IF(AU$5=$E45+1,$C45,""),"")</f>
        <v/>
      </c>
      <c r="AV45" s="34">
        <f>IF(AND(AV$5&gt;$E45,AV$5&lt;=$F45),IF(AV$5=$E45+1,$C45,""),"")</f>
        <v/>
      </c>
      <c r="AW45" s="34">
        <f>IF(AND(AW$5&gt;$E45,AW$5&lt;=$F45),IF(AW$5=$E45+1,$C45,""),"")</f>
        <v/>
      </c>
      <c r="AX45" s="34">
        <f>IF(AND(AX$5&gt;$E45,AX$5&lt;=$F45),IF(AX$5=$E45+1,$C45,""),"")</f>
        <v/>
      </c>
      <c r="AY45" s="34">
        <f>IF(AND(AY$5&gt;$E45,AY$5&lt;=$F45),IF(AY$5=$E45+1,$C45,""),"")</f>
        <v/>
      </c>
      <c r="AZ45" s="34">
        <f>IF(AND(AZ$5&gt;$E45,AZ$5&lt;=$F45),IF(AZ$5=$E45+1,$C45,""),"")</f>
        <v/>
      </c>
      <c r="BA45" s="34">
        <f>IF(AND(BA$5&gt;$E45,BA$5&lt;=$F45),IF(BA$5=$E45+1,$C45,""),"")</f>
        <v/>
      </c>
      <c r="BB45" s="34">
        <f>IF(AND(BB$5&gt;$E45,BB$5&lt;=$F45),IF(BB$5=$E45+1,$C45,""),"")</f>
        <v/>
      </c>
      <c r="BC45" s="34">
        <f>IF(AND(BC$5&gt;$E45,BC$5&lt;=$F45),IF(BC$5=$E45+1,$C45,""),"")</f>
        <v/>
      </c>
      <c r="BD45" s="34">
        <f>IF(AND(BD$5&gt;$E45,BD$5&lt;=$F45),IF(BD$5=$E45+1,$C45,""),"")</f>
        <v/>
      </c>
      <c r="BE45" s="34">
        <f>IF(AND(BE$5&gt;$E45,BE$5&lt;=$F45),IF(BE$5=$E45+1,$C45,""),"")</f>
        <v/>
      </c>
      <c r="BF45" s="34">
        <f>IF(AND(BF$5&gt;$E45,BF$5&lt;=$F45),IF(BF$5=$E45+1,$C45,""),"")</f>
        <v/>
      </c>
      <c r="BG45" s="34">
        <f>IF(AND(BG$5&gt;$E45,BG$5&lt;=$F45),IF(BG$5=$E45+1,$C45,""),"")</f>
        <v/>
      </c>
      <c r="BH45" s="34">
        <f>IF(AND(BH$5&gt;$E45,BH$5&lt;=$F45),IF(BH$5=$E45+1,$C45,""),"")</f>
        <v/>
      </c>
      <c r="BI45" s="34">
        <f>IF(AND(BI$5&gt;$E45,BI$5&lt;=$F45),IF(BI$5=$E45+1,$C45,""),"")</f>
        <v/>
      </c>
      <c r="BJ45" s="34">
        <f>IF(AND(BJ$5&gt;$E45,BJ$5&lt;=$F45),IF(BJ$5=$E45+1,$C45,""),"")</f>
        <v/>
      </c>
      <c r="BK45" s="34">
        <f>IF(AND(BK$5&gt;$E45,BK$5&lt;=$F45),IF(BK$5=$E45+1,$C45,""),"")</f>
        <v/>
      </c>
      <c r="BL45" s="34">
        <f>IF(AND(BL$5&gt;$E45,BL$5&lt;=$F45),IF(BL$5=$E45+1,$C45,""),"")</f>
        <v/>
      </c>
      <c r="BM45" s="34">
        <f>IF(AND(BM$5&gt;$E45,BM$5&lt;=$F45),IF(BM$5=$E45+1,$C45,""),"")</f>
        <v/>
      </c>
      <c r="BN45" s="34">
        <f>IF(AND(BN$5&gt;$E45,BN$5&lt;=$F45),IF(BN$5=$E45+1,$C45,""),"")</f>
        <v/>
      </c>
      <c r="BO45" s="34">
        <f>IF(AND(BO$5&gt;$E45,BO$5&lt;=$F45),IF(BO$5=$E45+1,$C45,""),"")</f>
        <v/>
      </c>
      <c r="BP45" s="34">
        <f>IF(AND(BP$5&gt;$E45,BP$5&lt;=$F45),IF(BP$5=$E45+1,$C45,""),"")</f>
        <v/>
      </c>
      <c r="BQ45" s="34">
        <f>IF(AND(BQ$5&gt;$E45,BQ$5&lt;=$F45),IF(BQ$5=$E45+1,$C45,""),"")</f>
        <v/>
      </c>
      <c r="BR45" s="34">
        <f>IF(AND(BR$5&gt;$E45,BR$5&lt;=$F45),IF(BR$5=$E45+1,$C45,""),"")</f>
        <v/>
      </c>
      <c r="BS45" s="34">
        <f>IF(AND(BS$5&gt;$E45,BS$5&lt;=$F45),IF(BS$5=$E45+1,$C45,""),"")</f>
        <v/>
      </c>
      <c r="BT45" s="34">
        <f>IF(AND(BT$5&gt;$E45,BT$5&lt;=$F45),IF(BT$5=$E45+1,$C45,""),"")</f>
        <v/>
      </c>
      <c r="BU45" s="34">
        <f>IF(AND(BU$5&gt;$E45,BU$5&lt;=$F45),IF(BU$5=$E45+1,$C45,""),"")</f>
        <v/>
      </c>
      <c r="BV45" s="34">
        <f>IF(AND(BV$5&gt;$E45,BV$5&lt;=$F45),IF(BV$5=$E45+1,$C45,""),"")</f>
        <v/>
      </c>
      <c r="BW45" s="34">
        <f>IF(AND(BW$5&gt;$E45,BW$5&lt;=$F45),IF(BW$5=$E45+1,$C45,""),"")</f>
        <v/>
      </c>
      <c r="BX45" s="34">
        <f>IF(AND(BX$5&gt;$E45,BX$5&lt;=$F45),IF(BX$5=$E45+1,$C45,""),"")</f>
        <v/>
      </c>
      <c r="BY45" s="34">
        <f>IF(AND(BY$5&gt;$E45,BY$5&lt;=$F45),IF(BY$5=$E45+1,$C45,""),"")</f>
        <v/>
      </c>
      <c r="BZ45" s="34">
        <f>IF(AND(BZ$5&gt;$E45,BZ$5&lt;=$F45),IF(BZ$5=$E45+1,$C45,""),"")</f>
        <v/>
      </c>
      <c r="CA45" s="34">
        <f>IF(AND(CA$5&gt;$E45,CA$5&lt;=$F45),IF(CA$5=$E45+1,$C45,""),"")</f>
        <v/>
      </c>
      <c r="CB45" s="34">
        <f>IF(AND(CB$5&gt;$E45,CB$5&lt;=$F45),IF(CB$5=$E45+1,$C45,""),"")</f>
        <v/>
      </c>
      <c r="CC45" s="34">
        <f>IF(AND(CC$5&gt;$E45,CC$5&lt;=$F45),IF(CC$5=$E45+1,$C45,""),"")</f>
        <v/>
      </c>
      <c r="CD45" s="34">
        <f>IF(AND(CD$5&gt;$E45,CD$5&lt;=$F45),IF(CD$5=$E45+1,$C45,""),"")</f>
        <v/>
      </c>
      <c r="CE45" s="34">
        <f>IF(AND(CE$5&gt;$E45,CE$5&lt;=$F45),IF(CE$5=$E45+1,$C45,""),"")</f>
        <v/>
      </c>
      <c r="CF45" s="34">
        <f>IF(AND(CF$5&gt;$E45,CF$5&lt;=$F45),IF(CF$5=$E45+1,$C45,""),"")</f>
        <v/>
      </c>
      <c r="CG45" s="34">
        <f>IF(AND(CG$5&gt;$E45,CG$5&lt;=$F45),IF(CG$5=$E45+1,$C45,""),"")</f>
        <v/>
      </c>
      <c r="CH45" s="34">
        <f>IF(AND(CH$5&gt;$E45,CH$5&lt;=$F45),IF(CH$5=$E45+1,$C45,""),"")</f>
        <v/>
      </c>
      <c r="CI45" s="34">
        <f>IF(AND(CI$5&gt;$E45,CI$5&lt;=$F45),IF(CI$5=$E45+1,$C45,""),"")</f>
        <v/>
      </c>
      <c r="CJ45" s="34">
        <f>IF(AND(CJ$5&gt;$E45,CJ$5&lt;=$F45),IF(CJ$5=$E45+1,$C45,""),"")</f>
        <v/>
      </c>
      <c r="CK45" s="34">
        <f>IF(AND(CK$5&gt;$E45,CK$5&lt;=$F45),IF(CK$5=$E45+1,$C45,""),"")</f>
        <v/>
      </c>
      <c r="CL45" s="34">
        <f>IF(AND(CL$5&gt;$E45,CL$5&lt;=$F45),IF(CL$5=$E45+1,$C45,""),"")</f>
        <v/>
      </c>
      <c r="CM45" s="34">
        <f>IF(AND(CM$5&gt;$E45,CM$5&lt;=$F45),IF(CM$5=$E45+1,$C45,""),"")</f>
        <v/>
      </c>
      <c r="CN45" s="34">
        <f>IF(AND(CN$5&gt;$E45,CN$5&lt;=$F45),IF(CN$5=$E45+1,$C45,""),"")</f>
        <v/>
      </c>
      <c r="CO45" s="34">
        <f>IF(AND(CO$5&gt;$E45,CO$5&lt;=$F45),IF(CO$5=$E45+1,$C45,""),"")</f>
        <v/>
      </c>
      <c r="CP45" s="34">
        <f>IF(AND(CP$5&gt;$E45,CP$5&lt;=$F45),IF(CP$5=$E45+1,$C45,""),"")</f>
        <v/>
      </c>
      <c r="CQ45" s="34">
        <f>IF(AND(CQ$5&gt;$E45,CQ$5&lt;=$F45),IF(CQ$5=$E45+1,$C45,""),"")</f>
        <v/>
      </c>
      <c r="CR45" s="34">
        <f>IF(AND(CR$5&gt;$E45,CR$5&lt;=$F45),IF(CR$5=$E45+1,$C45,""),"")</f>
        <v/>
      </c>
      <c r="CS45" s="34">
        <f>IF(AND(CS$5&gt;$E45,CS$5&lt;=$F45),IF(CS$5=$E45+1,$C45,""),"")</f>
        <v/>
      </c>
      <c r="CT45" s="34">
        <f>IF(AND(CT$5&gt;$E45,CT$5&lt;=$F45),IF(CT$5=$E45+1,$C45,""),"")</f>
        <v/>
      </c>
      <c r="CU45" s="34">
        <f>IF(AND(CU$5&gt;$E45,CU$5&lt;=$F45),IF(CU$5=$E45+1,$C45,""),"")</f>
        <v/>
      </c>
      <c r="CV45" s="34">
        <f>IF(AND(CV$5&gt;$E45,CV$5&lt;=$F45),IF(CV$5=$E45+1,$C45,""),"")</f>
        <v/>
      </c>
      <c r="CW45" s="34">
        <f>IF(AND(CW$5&gt;$E45,CW$5&lt;=$F45),IF(CW$5=$E45+1,$C45,""),"")</f>
        <v/>
      </c>
      <c r="CX45" s="34">
        <f>IF(AND(CX$5&gt;$E45,CX$5&lt;=$F45),IF(CX$5=$E45+1,$C45,""),"")</f>
        <v/>
      </c>
      <c r="CY45" s="34">
        <f>IF(AND(CY$5&gt;$E45,CY$5&lt;=$F45),IF(CY$5=$E45+1,$C45,""),"")</f>
        <v/>
      </c>
      <c r="CZ45" s="34">
        <f>IF(AND(CZ$5&gt;$E45,CZ$5&lt;=$F45),IF(CZ$5=$E45+1,$C45,""),"")</f>
        <v/>
      </c>
      <c r="DA45" s="34">
        <f>IF(AND(DA$5&gt;$E45,DA$5&lt;=$F45),IF(DA$5=$E45+1,$C45,""),"")</f>
        <v/>
      </c>
      <c r="DB45" s="34">
        <f>IF(AND(DB$5&gt;$E45,DB$5&lt;=$F45),IF(DB$5=$E45+1,$C45,""),"")</f>
        <v/>
      </c>
      <c r="DC45" s="34">
        <f>IF(AND(DC$5&gt;$E45,DC$5&lt;=$F45),IF(DC$5=$E45+1,$C45,""),"")</f>
        <v/>
      </c>
      <c r="DD45" s="34">
        <f>IF(AND(DD$5&gt;$E45,DD$5&lt;=$F45),IF(DD$5=$E45+1,$C45,""),"")</f>
        <v/>
      </c>
      <c r="DE45" s="34">
        <f>IF(AND(DE$5&gt;$E45,DE$5&lt;=$F45),IF(DE$5=$E45+1,$C45,""),"")</f>
        <v/>
      </c>
      <c r="DF45" s="34">
        <f>IF(AND(DF$5&gt;$E45,DF$5&lt;=$F45),IF(DF$5=$E45+1,$C45,""),"")</f>
        <v/>
      </c>
      <c r="DG45" s="34">
        <f>IF(AND(DG$5&gt;$E45,DG$5&lt;=$F45),IF(DG$5=$E45+1,$C45,""),"")</f>
        <v/>
      </c>
      <c r="DH45" s="34">
        <f>IF(AND(DH$5&gt;$E45,DH$5&lt;=$F45),IF(DH$5=$E45+1,$C45,""),"")</f>
        <v/>
      </c>
      <c r="DI45" s="34">
        <f>IF(AND(DI$5&gt;$E45,DI$5&lt;=$F45),IF(DI$5=$E45+1,$C45,""),"")</f>
        <v/>
      </c>
      <c r="DJ45" s="34">
        <f>IF(AND(DJ$5&gt;$E45,DJ$5&lt;=$F45),IF(DJ$5=$E45+1,$C45,""),"")</f>
        <v/>
      </c>
      <c r="DK45" s="34">
        <f>IF(AND(DK$5&gt;$E45,DK$5&lt;=$F45),IF(DK$5=$E45+1,$C45,""),"")</f>
        <v/>
      </c>
      <c r="DL45" s="34">
        <f>IF(AND(DL$5&gt;$E45,DL$5&lt;=$F45),IF(DL$5=$E45+1,$C45,""),"")</f>
        <v/>
      </c>
      <c r="DM45" s="34">
        <f>IF(AND(DM$5&gt;$E45,DM$5&lt;=$F45),IF(DM$5=$E45+1,$C45,""),"")</f>
        <v/>
      </c>
      <c r="DN45" s="34">
        <f>IF(AND(DN$5&gt;$E45,DN$5&lt;=$F45),IF(DN$5=$E45+1,$C45,""),"")</f>
        <v/>
      </c>
      <c r="DO45" s="34">
        <f>IF(AND(DO$5&gt;$E45,DO$5&lt;=$F45),IF(DO$5=$E45+1,$C45,""),"")</f>
        <v/>
      </c>
      <c r="DP45" s="34">
        <f>IF(AND(DP$5&gt;$E45,DP$5&lt;=$F45),IF(DP$5=$E45+1,$C45,""),"")</f>
        <v/>
      </c>
      <c r="DQ45" s="34">
        <f>IF(AND(DQ$5&gt;$E45,DQ$5&lt;=$F45),IF(DQ$5=$E45+1,$C45,""),"")</f>
        <v/>
      </c>
      <c r="DR45" s="34">
        <f>IF(AND(DR$5&gt;$E45,DR$5&lt;=$F45),IF(DR$5=$E45+1,$C45,""),"")</f>
        <v/>
      </c>
      <c r="DS45" s="34">
        <f>IF(AND(DS$5&gt;$E45,DS$5&lt;=$F45),IF(DS$5=$E45+1,$C45,""),"")</f>
        <v/>
      </c>
      <c r="DT45" s="34">
        <f>IF(AND(DT$5&gt;$E45,DT$5&lt;=$F45),IF(DT$5=$E45+1,$C45,""),"")</f>
        <v/>
      </c>
      <c r="DU45" s="34">
        <f>IF(AND(DU$5&gt;$E45,DU$5&lt;=$F45),IF(DU$5=$E45+1,$C45,""),"")</f>
        <v/>
      </c>
      <c r="DV45" s="34">
        <f>IF(AND(DV$5&gt;$E45,DV$5&lt;=$F45),IF(DV$5=$E45+1,$C45,""),"")</f>
        <v/>
      </c>
      <c r="DW45" s="34">
        <f>IF(AND(DW$5&gt;$E45,DW$5&lt;=$F45),IF(DW$5=$E45+1,$C45,""),"")</f>
        <v/>
      </c>
      <c r="DX45" s="34">
        <f>IF(AND(DX$5&gt;$E45,DX$5&lt;=$F45),IF(DX$5=$E45+1,$C45,""),"")</f>
        <v/>
      </c>
      <c r="DY45" s="34">
        <f>IF(AND(DY$5&gt;$E45,DY$5&lt;=$F45),IF(DY$5=$E45+1,$C45,""),"")</f>
        <v/>
      </c>
      <c r="DZ45" s="34">
        <f>IF(AND(DZ$5&gt;$E45,DZ$5&lt;=$F45),IF(DZ$5=$E45+1,$C45,""),"")</f>
        <v/>
      </c>
      <c r="EA45" s="34">
        <f>IF(AND(EA$5&gt;$E45,EA$5&lt;=$F45),IF(EA$5=$E45+1,$C45,""),"")</f>
        <v/>
      </c>
      <c r="EB45" s="34">
        <f>IF(AND(EB$5&gt;$E45,EB$5&lt;=$F45),IF(EB$5=$E45+1,$C45,""),"")</f>
        <v/>
      </c>
      <c r="EC45" s="34">
        <f>IF(AND(EC$5&gt;$E45,EC$5&lt;=$F45),IF(EC$5=$E45+1,$C45,""),"")</f>
        <v/>
      </c>
      <c r="ED45" s="34">
        <f>IF(AND(ED$5&gt;$E45,ED$5&lt;=$F45),IF(ED$5=$E45+1,$C45,""),"")</f>
        <v/>
      </c>
      <c r="EE45" s="34">
        <f>IF(AND(EE$5&gt;$E45,EE$5&lt;=$F45),IF(EE$5=$E45+1,$C45,""),"")</f>
        <v/>
      </c>
      <c r="EF45" s="34">
        <f>IF(AND(EF$5&gt;$E45,EF$5&lt;=$F45),IF(EF$5=$E45+1,$C45,""),"")</f>
        <v/>
      </c>
      <c r="EG45" s="34">
        <f>IF(AND(EG$5&gt;$E45,EG$5&lt;=$F45),IF(EG$5=$E45+1,$C45,""),"")</f>
        <v/>
      </c>
      <c r="EH45" s="34">
        <f>IF(AND(EH$5&gt;$E45,EH$5&lt;=$F45),IF(EH$5=$E45+1,$C45,""),"")</f>
        <v/>
      </c>
      <c r="EI45" s="34">
        <f>IF(AND(EI$5&gt;$E45,EI$5&lt;=$F45),IF(EI$5=$E45+1,$C45,""),"")</f>
        <v/>
      </c>
      <c r="EJ45" s="34">
        <f>IF(AND(EJ$5&gt;$E45,EJ$5&lt;=$F45),IF(EJ$5=$E45+1,$C45,""),"")</f>
        <v/>
      </c>
      <c r="EK45" s="34">
        <f>IF(AND(EK$5&gt;$E45,EK$5&lt;=$F45),IF(EK$5=$E45+1,$C45,""),"")</f>
        <v/>
      </c>
      <c r="EL45" s="34">
        <f>IF(AND(EL$5&gt;$E45,EL$5&lt;=$F45),IF(EL$5=$E45+1,$C45,""),"")</f>
        <v/>
      </c>
      <c r="EM45" s="34">
        <f>IF(AND(EM$5&gt;$E45,EM$5&lt;=$F45),IF(EM$5=$E45+1,$C45,""),"")</f>
        <v/>
      </c>
      <c r="EN45" s="34">
        <f>IF(AND(EN$5&gt;$E45,EN$5&lt;=$F45),IF(EN$5=$E45+1,$C45,""),"")</f>
        <v/>
      </c>
      <c r="EO45" s="34">
        <f>IF(AND(EO$5&gt;$E45,EO$5&lt;=$F45),IF(EO$5=$E45+1,$C45,""),"")</f>
        <v/>
      </c>
      <c r="EP45" s="34">
        <f>IF(AND(EP$5&gt;$E45,EP$5&lt;=$F45),IF(EP$5=$E45+1,$C45,""),"")</f>
        <v/>
      </c>
      <c r="EQ45" s="34">
        <f>IF(AND(EQ$5&gt;$E45,EQ$5&lt;=$F45),IF(EQ$5=$E45+1,$C45,""),"")</f>
        <v/>
      </c>
      <c r="ER45" s="34">
        <f>IF(AND(ER$5&gt;$E45,ER$5&lt;=$F45),IF(ER$5=$E45+1,$C45,""),"")</f>
        <v/>
      </c>
      <c r="ES45" s="34">
        <f>IF(AND(ES$5&gt;$E45,ES$5&lt;=$F45),IF(ES$5=$E45+1,$C45,""),"")</f>
        <v/>
      </c>
      <c r="ET45" s="34">
        <f>IF(AND(ET$5&gt;$E45,ET$5&lt;=$F45),IF(ET$5=$E45+1,$C45,""),"")</f>
        <v/>
      </c>
      <c r="EU45" s="34">
        <f>IF(AND(EU$5&gt;$E45,EU$5&lt;=$F45),IF(EU$5=$E45+1,$C45,""),"")</f>
        <v/>
      </c>
      <c r="EV45" s="34">
        <f>IF(AND(EV$5&gt;$E45,EV$5&lt;=$F45),IF(EV$5=$E45+1,$C45,""),"")</f>
        <v/>
      </c>
      <c r="EW45" s="34">
        <f>IF(AND(EW$5&gt;$E45,EW$5&lt;=$F45),IF(EW$5=$E45+1,$C45,""),"")</f>
        <v/>
      </c>
      <c r="EX45" s="34">
        <f>IF(AND(EX$5&gt;$E45,EX$5&lt;=$F45),IF(EX$5=$E45+1,$C45,""),"")</f>
        <v/>
      </c>
      <c r="EY45" s="34">
        <f>IF(AND(EY$5&gt;$E45,EY$5&lt;=$F45),IF(EY$5=$E45+1,$C45,""),"")</f>
        <v/>
      </c>
      <c r="EZ45" s="34">
        <f>IF(AND(EZ$5&gt;$E45,EZ$5&lt;=$F45),IF(EZ$5=$E45+1,$C45,""),"")</f>
        <v/>
      </c>
      <c r="FA45" s="34">
        <f>IF(AND(FA$5&gt;$E45,FA$5&lt;=$F45),IF(FA$5=$E45+1,$C45,""),"")</f>
        <v/>
      </c>
    </row>
    <row r="46">
      <c r="A46" s="32">
        <f>Plan!A124</f>
        <v/>
      </c>
      <c r="B46" s="33">
        <f>Plan!C124</f>
        <v/>
      </c>
      <c r="C46" s="16">
        <f>Plan!D124</f>
        <v/>
      </c>
      <c r="D46" s="16">
        <f>Plan!I124</f>
        <v/>
      </c>
      <c r="E46" s="16">
        <f>Plan!K124</f>
        <v/>
      </c>
      <c r="F46" s="16">
        <f>Plan!L124</f>
        <v/>
      </c>
      <c r="G46" s="16">
        <f>Plan!O124</f>
        <v/>
      </c>
      <c r="H46" s="34">
        <f>IF(AND(H$5&gt;$E46,H$5&lt;=$F46),IF(H$5=$E46+1,$C46,""),"")</f>
        <v/>
      </c>
      <c r="I46" s="34">
        <f>IF(AND(I$5&gt;$E46,I$5&lt;=$F46),IF(I$5=$E46+1,$C46,""),"")</f>
        <v/>
      </c>
      <c r="J46" s="34">
        <f>IF(AND(J$5&gt;$E46,J$5&lt;=$F46),IF(J$5=$E46+1,$C46,""),"")</f>
        <v/>
      </c>
      <c r="K46" s="34">
        <f>IF(AND(K$5&gt;$E46,K$5&lt;=$F46),IF(K$5=$E46+1,$C46,""),"")</f>
        <v/>
      </c>
      <c r="L46" s="34">
        <f>IF(AND(L$5&gt;$E46,L$5&lt;=$F46),IF(L$5=$E46+1,$C46,""),"")</f>
        <v/>
      </c>
      <c r="M46" s="34">
        <f>IF(AND(M$5&gt;$E46,M$5&lt;=$F46),IF(M$5=$E46+1,$C46,""),"")</f>
        <v/>
      </c>
      <c r="N46" s="34">
        <f>IF(AND(N$5&gt;$E46,N$5&lt;=$F46),IF(N$5=$E46+1,$C46,""),"")</f>
        <v/>
      </c>
      <c r="O46" s="34">
        <f>IF(AND(O$5&gt;$E46,O$5&lt;=$F46),IF(O$5=$E46+1,$C46,""),"")</f>
        <v/>
      </c>
      <c r="P46" s="34">
        <f>IF(AND(P$5&gt;$E46,P$5&lt;=$F46),IF(P$5=$E46+1,$C46,""),"")</f>
        <v/>
      </c>
      <c r="Q46" s="34">
        <f>IF(AND(Q$5&gt;$E46,Q$5&lt;=$F46),IF(Q$5=$E46+1,$C46,""),"")</f>
        <v/>
      </c>
      <c r="R46" s="34">
        <f>IF(AND(R$5&gt;$E46,R$5&lt;=$F46),IF(R$5=$E46+1,$C46,""),"")</f>
        <v/>
      </c>
      <c r="S46" s="34">
        <f>IF(AND(S$5&gt;$E46,S$5&lt;=$F46),IF(S$5=$E46+1,$C46,""),"")</f>
        <v/>
      </c>
      <c r="T46" s="34">
        <f>IF(AND(T$5&gt;$E46,T$5&lt;=$F46),IF(T$5=$E46+1,$C46,""),"")</f>
        <v/>
      </c>
      <c r="U46" s="34">
        <f>IF(AND(U$5&gt;$E46,U$5&lt;=$F46),IF(U$5=$E46+1,$C46,""),"")</f>
        <v/>
      </c>
      <c r="V46" s="34">
        <f>IF(AND(V$5&gt;$E46,V$5&lt;=$F46),IF(V$5=$E46+1,$C46,""),"")</f>
        <v/>
      </c>
      <c r="W46" s="34">
        <f>IF(AND(W$5&gt;$E46,W$5&lt;=$F46),IF(W$5=$E46+1,$C46,""),"")</f>
        <v/>
      </c>
      <c r="X46" s="34">
        <f>IF(AND(X$5&gt;$E46,X$5&lt;=$F46),IF(X$5=$E46+1,$C46,""),"")</f>
        <v/>
      </c>
      <c r="Y46" s="34">
        <f>IF(AND(Y$5&gt;$E46,Y$5&lt;=$F46),IF(Y$5=$E46+1,$C46,""),"")</f>
        <v/>
      </c>
      <c r="Z46" s="34">
        <f>IF(AND(Z$5&gt;$E46,Z$5&lt;=$F46),IF(Z$5=$E46+1,$C46,""),"")</f>
        <v/>
      </c>
      <c r="AA46" s="34">
        <f>IF(AND(AA$5&gt;$E46,AA$5&lt;=$F46),IF(AA$5=$E46+1,$C46,""),"")</f>
        <v/>
      </c>
      <c r="AB46" s="34">
        <f>IF(AND(AB$5&gt;$E46,AB$5&lt;=$F46),IF(AB$5=$E46+1,$C46,""),"")</f>
        <v/>
      </c>
      <c r="AC46" s="34">
        <f>IF(AND(AC$5&gt;$E46,AC$5&lt;=$F46),IF(AC$5=$E46+1,$C46,""),"")</f>
        <v/>
      </c>
      <c r="AD46" s="34">
        <f>IF(AND(AD$5&gt;$E46,AD$5&lt;=$F46),IF(AD$5=$E46+1,$C46,""),"")</f>
        <v/>
      </c>
      <c r="AE46" s="34">
        <f>IF(AND(AE$5&gt;$E46,AE$5&lt;=$F46),IF(AE$5=$E46+1,$C46,""),"")</f>
        <v/>
      </c>
      <c r="AF46" s="34">
        <f>IF(AND(AF$5&gt;$E46,AF$5&lt;=$F46),IF(AF$5=$E46+1,$C46,""),"")</f>
        <v/>
      </c>
      <c r="AG46" s="34">
        <f>IF(AND(AG$5&gt;$E46,AG$5&lt;=$F46),IF(AG$5=$E46+1,$C46,""),"")</f>
        <v/>
      </c>
      <c r="AH46" s="34">
        <f>IF(AND(AH$5&gt;$E46,AH$5&lt;=$F46),IF(AH$5=$E46+1,$C46,""),"")</f>
        <v/>
      </c>
      <c r="AI46" s="34">
        <f>IF(AND(AI$5&gt;$E46,AI$5&lt;=$F46),IF(AI$5=$E46+1,$C46,""),"")</f>
        <v/>
      </c>
      <c r="AJ46" s="34">
        <f>IF(AND(AJ$5&gt;$E46,AJ$5&lt;=$F46),IF(AJ$5=$E46+1,$C46,""),"")</f>
        <v/>
      </c>
      <c r="AK46" s="34">
        <f>IF(AND(AK$5&gt;$E46,AK$5&lt;=$F46),IF(AK$5=$E46+1,$C46,""),"")</f>
        <v/>
      </c>
      <c r="AL46" s="34">
        <f>IF(AND(AL$5&gt;$E46,AL$5&lt;=$F46),IF(AL$5=$E46+1,$C46,""),"")</f>
        <v/>
      </c>
      <c r="AM46" s="34">
        <f>IF(AND(AM$5&gt;$E46,AM$5&lt;=$F46),IF(AM$5=$E46+1,$C46,""),"")</f>
        <v/>
      </c>
      <c r="AN46" s="34">
        <f>IF(AND(AN$5&gt;$E46,AN$5&lt;=$F46),IF(AN$5=$E46+1,$C46,""),"")</f>
        <v/>
      </c>
      <c r="AO46" s="34">
        <f>IF(AND(AO$5&gt;$E46,AO$5&lt;=$F46),IF(AO$5=$E46+1,$C46,""),"")</f>
        <v/>
      </c>
      <c r="AP46" s="34">
        <f>IF(AND(AP$5&gt;$E46,AP$5&lt;=$F46),IF(AP$5=$E46+1,$C46,""),"")</f>
        <v/>
      </c>
      <c r="AQ46" s="34">
        <f>IF(AND(AQ$5&gt;$E46,AQ$5&lt;=$F46),IF(AQ$5=$E46+1,$C46,""),"")</f>
        <v/>
      </c>
      <c r="AR46" s="34">
        <f>IF(AND(AR$5&gt;$E46,AR$5&lt;=$F46),IF(AR$5=$E46+1,$C46,""),"")</f>
        <v/>
      </c>
      <c r="AS46" s="34">
        <f>IF(AND(AS$5&gt;$E46,AS$5&lt;=$F46),IF(AS$5=$E46+1,$C46,""),"")</f>
        <v/>
      </c>
      <c r="AT46" s="34">
        <f>IF(AND(AT$5&gt;$E46,AT$5&lt;=$F46),IF(AT$5=$E46+1,$C46,""),"")</f>
        <v/>
      </c>
      <c r="AU46" s="34">
        <f>IF(AND(AU$5&gt;$E46,AU$5&lt;=$F46),IF(AU$5=$E46+1,$C46,""),"")</f>
        <v/>
      </c>
      <c r="AV46" s="34">
        <f>IF(AND(AV$5&gt;$E46,AV$5&lt;=$F46),IF(AV$5=$E46+1,$C46,""),"")</f>
        <v/>
      </c>
      <c r="AW46" s="34">
        <f>IF(AND(AW$5&gt;$E46,AW$5&lt;=$F46),IF(AW$5=$E46+1,$C46,""),"")</f>
        <v/>
      </c>
      <c r="AX46" s="34">
        <f>IF(AND(AX$5&gt;$E46,AX$5&lt;=$F46),IF(AX$5=$E46+1,$C46,""),"")</f>
        <v/>
      </c>
      <c r="AY46" s="34">
        <f>IF(AND(AY$5&gt;$E46,AY$5&lt;=$F46),IF(AY$5=$E46+1,$C46,""),"")</f>
        <v/>
      </c>
      <c r="AZ46" s="34">
        <f>IF(AND(AZ$5&gt;$E46,AZ$5&lt;=$F46),IF(AZ$5=$E46+1,$C46,""),"")</f>
        <v/>
      </c>
      <c r="BA46" s="34">
        <f>IF(AND(BA$5&gt;$E46,BA$5&lt;=$F46),IF(BA$5=$E46+1,$C46,""),"")</f>
        <v/>
      </c>
      <c r="BB46" s="34">
        <f>IF(AND(BB$5&gt;$E46,BB$5&lt;=$F46),IF(BB$5=$E46+1,$C46,""),"")</f>
        <v/>
      </c>
      <c r="BC46" s="34">
        <f>IF(AND(BC$5&gt;$E46,BC$5&lt;=$F46),IF(BC$5=$E46+1,$C46,""),"")</f>
        <v/>
      </c>
      <c r="BD46" s="34">
        <f>IF(AND(BD$5&gt;$E46,BD$5&lt;=$F46),IF(BD$5=$E46+1,$C46,""),"")</f>
        <v/>
      </c>
      <c r="BE46" s="34">
        <f>IF(AND(BE$5&gt;$E46,BE$5&lt;=$F46),IF(BE$5=$E46+1,$C46,""),"")</f>
        <v/>
      </c>
      <c r="BF46" s="34">
        <f>IF(AND(BF$5&gt;$E46,BF$5&lt;=$F46),IF(BF$5=$E46+1,$C46,""),"")</f>
        <v/>
      </c>
      <c r="BG46" s="34">
        <f>IF(AND(BG$5&gt;$E46,BG$5&lt;=$F46),IF(BG$5=$E46+1,$C46,""),"")</f>
        <v/>
      </c>
      <c r="BH46" s="34">
        <f>IF(AND(BH$5&gt;$E46,BH$5&lt;=$F46),IF(BH$5=$E46+1,$C46,""),"")</f>
        <v/>
      </c>
      <c r="BI46" s="34">
        <f>IF(AND(BI$5&gt;$E46,BI$5&lt;=$F46),IF(BI$5=$E46+1,$C46,""),"")</f>
        <v/>
      </c>
      <c r="BJ46" s="34">
        <f>IF(AND(BJ$5&gt;$E46,BJ$5&lt;=$F46),IF(BJ$5=$E46+1,$C46,""),"")</f>
        <v/>
      </c>
      <c r="BK46" s="34">
        <f>IF(AND(BK$5&gt;$E46,BK$5&lt;=$F46),IF(BK$5=$E46+1,$C46,""),"")</f>
        <v/>
      </c>
      <c r="BL46" s="34">
        <f>IF(AND(BL$5&gt;$E46,BL$5&lt;=$F46),IF(BL$5=$E46+1,$C46,""),"")</f>
        <v/>
      </c>
      <c r="BM46" s="34">
        <f>IF(AND(BM$5&gt;$E46,BM$5&lt;=$F46),IF(BM$5=$E46+1,$C46,""),"")</f>
        <v/>
      </c>
      <c r="BN46" s="34">
        <f>IF(AND(BN$5&gt;$E46,BN$5&lt;=$F46),IF(BN$5=$E46+1,$C46,""),"")</f>
        <v/>
      </c>
      <c r="BO46" s="34">
        <f>IF(AND(BO$5&gt;$E46,BO$5&lt;=$F46),IF(BO$5=$E46+1,$C46,""),"")</f>
        <v/>
      </c>
      <c r="BP46" s="34">
        <f>IF(AND(BP$5&gt;$E46,BP$5&lt;=$F46),IF(BP$5=$E46+1,$C46,""),"")</f>
        <v/>
      </c>
      <c r="BQ46" s="34">
        <f>IF(AND(BQ$5&gt;$E46,BQ$5&lt;=$F46),IF(BQ$5=$E46+1,$C46,""),"")</f>
        <v/>
      </c>
      <c r="BR46" s="34">
        <f>IF(AND(BR$5&gt;$E46,BR$5&lt;=$F46),IF(BR$5=$E46+1,$C46,""),"")</f>
        <v/>
      </c>
      <c r="BS46" s="34">
        <f>IF(AND(BS$5&gt;$E46,BS$5&lt;=$F46),IF(BS$5=$E46+1,$C46,""),"")</f>
        <v/>
      </c>
      <c r="BT46" s="34">
        <f>IF(AND(BT$5&gt;$E46,BT$5&lt;=$F46),IF(BT$5=$E46+1,$C46,""),"")</f>
        <v/>
      </c>
      <c r="BU46" s="34">
        <f>IF(AND(BU$5&gt;$E46,BU$5&lt;=$F46),IF(BU$5=$E46+1,$C46,""),"")</f>
        <v/>
      </c>
      <c r="BV46" s="34">
        <f>IF(AND(BV$5&gt;$E46,BV$5&lt;=$F46),IF(BV$5=$E46+1,$C46,""),"")</f>
        <v/>
      </c>
      <c r="BW46" s="34">
        <f>IF(AND(BW$5&gt;$E46,BW$5&lt;=$F46),IF(BW$5=$E46+1,$C46,""),"")</f>
        <v/>
      </c>
      <c r="BX46" s="34">
        <f>IF(AND(BX$5&gt;$E46,BX$5&lt;=$F46),IF(BX$5=$E46+1,$C46,""),"")</f>
        <v/>
      </c>
      <c r="BY46" s="34">
        <f>IF(AND(BY$5&gt;$E46,BY$5&lt;=$F46),IF(BY$5=$E46+1,$C46,""),"")</f>
        <v/>
      </c>
      <c r="BZ46" s="34">
        <f>IF(AND(BZ$5&gt;$E46,BZ$5&lt;=$F46),IF(BZ$5=$E46+1,$C46,""),"")</f>
        <v/>
      </c>
      <c r="CA46" s="34">
        <f>IF(AND(CA$5&gt;$E46,CA$5&lt;=$F46),IF(CA$5=$E46+1,$C46,""),"")</f>
        <v/>
      </c>
      <c r="CB46" s="34">
        <f>IF(AND(CB$5&gt;$E46,CB$5&lt;=$F46),IF(CB$5=$E46+1,$C46,""),"")</f>
        <v/>
      </c>
      <c r="CC46" s="34">
        <f>IF(AND(CC$5&gt;$E46,CC$5&lt;=$F46),IF(CC$5=$E46+1,$C46,""),"")</f>
        <v/>
      </c>
      <c r="CD46" s="34">
        <f>IF(AND(CD$5&gt;$E46,CD$5&lt;=$F46),IF(CD$5=$E46+1,$C46,""),"")</f>
        <v/>
      </c>
      <c r="CE46" s="34">
        <f>IF(AND(CE$5&gt;$E46,CE$5&lt;=$F46),IF(CE$5=$E46+1,$C46,""),"")</f>
        <v/>
      </c>
      <c r="CF46" s="34">
        <f>IF(AND(CF$5&gt;$E46,CF$5&lt;=$F46),IF(CF$5=$E46+1,$C46,""),"")</f>
        <v/>
      </c>
      <c r="CG46" s="34">
        <f>IF(AND(CG$5&gt;$E46,CG$5&lt;=$F46),IF(CG$5=$E46+1,$C46,""),"")</f>
        <v/>
      </c>
      <c r="CH46" s="34">
        <f>IF(AND(CH$5&gt;$E46,CH$5&lt;=$F46),IF(CH$5=$E46+1,$C46,""),"")</f>
        <v/>
      </c>
      <c r="CI46" s="34">
        <f>IF(AND(CI$5&gt;$E46,CI$5&lt;=$F46),IF(CI$5=$E46+1,$C46,""),"")</f>
        <v/>
      </c>
      <c r="CJ46" s="34">
        <f>IF(AND(CJ$5&gt;$E46,CJ$5&lt;=$F46),IF(CJ$5=$E46+1,$C46,""),"")</f>
        <v/>
      </c>
      <c r="CK46" s="34">
        <f>IF(AND(CK$5&gt;$E46,CK$5&lt;=$F46),IF(CK$5=$E46+1,$C46,""),"")</f>
        <v/>
      </c>
      <c r="CL46" s="34">
        <f>IF(AND(CL$5&gt;$E46,CL$5&lt;=$F46),IF(CL$5=$E46+1,$C46,""),"")</f>
        <v/>
      </c>
      <c r="CM46" s="34">
        <f>IF(AND(CM$5&gt;$E46,CM$5&lt;=$F46),IF(CM$5=$E46+1,$C46,""),"")</f>
        <v/>
      </c>
      <c r="CN46" s="34">
        <f>IF(AND(CN$5&gt;$E46,CN$5&lt;=$F46),IF(CN$5=$E46+1,$C46,""),"")</f>
        <v/>
      </c>
      <c r="CO46" s="34">
        <f>IF(AND(CO$5&gt;$E46,CO$5&lt;=$F46),IF(CO$5=$E46+1,$C46,""),"")</f>
        <v/>
      </c>
      <c r="CP46" s="34">
        <f>IF(AND(CP$5&gt;$E46,CP$5&lt;=$F46),IF(CP$5=$E46+1,$C46,""),"")</f>
        <v/>
      </c>
      <c r="CQ46" s="34">
        <f>IF(AND(CQ$5&gt;$E46,CQ$5&lt;=$F46),IF(CQ$5=$E46+1,$C46,""),"")</f>
        <v/>
      </c>
      <c r="CR46" s="34">
        <f>IF(AND(CR$5&gt;$E46,CR$5&lt;=$F46),IF(CR$5=$E46+1,$C46,""),"")</f>
        <v/>
      </c>
      <c r="CS46" s="34">
        <f>IF(AND(CS$5&gt;$E46,CS$5&lt;=$F46),IF(CS$5=$E46+1,$C46,""),"")</f>
        <v/>
      </c>
      <c r="CT46" s="34">
        <f>IF(AND(CT$5&gt;$E46,CT$5&lt;=$F46),IF(CT$5=$E46+1,$C46,""),"")</f>
        <v/>
      </c>
      <c r="CU46" s="34">
        <f>IF(AND(CU$5&gt;$E46,CU$5&lt;=$F46),IF(CU$5=$E46+1,$C46,""),"")</f>
        <v/>
      </c>
      <c r="CV46" s="34">
        <f>IF(AND(CV$5&gt;$E46,CV$5&lt;=$F46),IF(CV$5=$E46+1,$C46,""),"")</f>
        <v/>
      </c>
      <c r="CW46" s="34">
        <f>IF(AND(CW$5&gt;$E46,CW$5&lt;=$F46),IF(CW$5=$E46+1,$C46,""),"")</f>
        <v/>
      </c>
      <c r="CX46" s="34">
        <f>IF(AND(CX$5&gt;$E46,CX$5&lt;=$F46),IF(CX$5=$E46+1,$C46,""),"")</f>
        <v/>
      </c>
      <c r="CY46" s="34">
        <f>IF(AND(CY$5&gt;$E46,CY$5&lt;=$F46),IF(CY$5=$E46+1,$C46,""),"")</f>
        <v/>
      </c>
      <c r="CZ46" s="34">
        <f>IF(AND(CZ$5&gt;$E46,CZ$5&lt;=$F46),IF(CZ$5=$E46+1,$C46,""),"")</f>
        <v/>
      </c>
      <c r="DA46" s="34">
        <f>IF(AND(DA$5&gt;$E46,DA$5&lt;=$F46),IF(DA$5=$E46+1,$C46,""),"")</f>
        <v/>
      </c>
      <c r="DB46" s="34">
        <f>IF(AND(DB$5&gt;$E46,DB$5&lt;=$F46),IF(DB$5=$E46+1,$C46,""),"")</f>
        <v/>
      </c>
      <c r="DC46" s="34">
        <f>IF(AND(DC$5&gt;$E46,DC$5&lt;=$F46),IF(DC$5=$E46+1,$C46,""),"")</f>
        <v/>
      </c>
      <c r="DD46" s="34">
        <f>IF(AND(DD$5&gt;$E46,DD$5&lt;=$F46),IF(DD$5=$E46+1,$C46,""),"")</f>
        <v/>
      </c>
      <c r="DE46" s="34">
        <f>IF(AND(DE$5&gt;$E46,DE$5&lt;=$F46),IF(DE$5=$E46+1,$C46,""),"")</f>
        <v/>
      </c>
      <c r="DF46" s="34">
        <f>IF(AND(DF$5&gt;$E46,DF$5&lt;=$F46),IF(DF$5=$E46+1,$C46,""),"")</f>
        <v/>
      </c>
      <c r="DG46" s="34">
        <f>IF(AND(DG$5&gt;$E46,DG$5&lt;=$F46),IF(DG$5=$E46+1,$C46,""),"")</f>
        <v/>
      </c>
      <c r="DH46" s="34">
        <f>IF(AND(DH$5&gt;$E46,DH$5&lt;=$F46),IF(DH$5=$E46+1,$C46,""),"")</f>
        <v/>
      </c>
      <c r="DI46" s="34">
        <f>IF(AND(DI$5&gt;$E46,DI$5&lt;=$F46),IF(DI$5=$E46+1,$C46,""),"")</f>
        <v/>
      </c>
      <c r="DJ46" s="34">
        <f>IF(AND(DJ$5&gt;$E46,DJ$5&lt;=$F46),IF(DJ$5=$E46+1,$C46,""),"")</f>
        <v/>
      </c>
      <c r="DK46" s="34">
        <f>IF(AND(DK$5&gt;$E46,DK$5&lt;=$F46),IF(DK$5=$E46+1,$C46,""),"")</f>
        <v/>
      </c>
      <c r="DL46" s="34">
        <f>IF(AND(DL$5&gt;$E46,DL$5&lt;=$F46),IF(DL$5=$E46+1,$C46,""),"")</f>
        <v/>
      </c>
      <c r="DM46" s="34">
        <f>IF(AND(DM$5&gt;$E46,DM$5&lt;=$F46),IF(DM$5=$E46+1,$C46,""),"")</f>
        <v/>
      </c>
      <c r="DN46" s="34">
        <f>IF(AND(DN$5&gt;$E46,DN$5&lt;=$F46),IF(DN$5=$E46+1,$C46,""),"")</f>
        <v/>
      </c>
      <c r="DO46" s="34">
        <f>IF(AND(DO$5&gt;$E46,DO$5&lt;=$F46),IF(DO$5=$E46+1,$C46,""),"")</f>
        <v/>
      </c>
      <c r="DP46" s="34">
        <f>IF(AND(DP$5&gt;$E46,DP$5&lt;=$F46),IF(DP$5=$E46+1,$C46,""),"")</f>
        <v/>
      </c>
      <c r="DQ46" s="34">
        <f>IF(AND(DQ$5&gt;$E46,DQ$5&lt;=$F46),IF(DQ$5=$E46+1,$C46,""),"")</f>
        <v/>
      </c>
      <c r="DR46" s="34">
        <f>IF(AND(DR$5&gt;$E46,DR$5&lt;=$F46),IF(DR$5=$E46+1,$C46,""),"")</f>
        <v/>
      </c>
      <c r="DS46" s="34">
        <f>IF(AND(DS$5&gt;$E46,DS$5&lt;=$F46),IF(DS$5=$E46+1,$C46,""),"")</f>
        <v/>
      </c>
      <c r="DT46" s="34">
        <f>IF(AND(DT$5&gt;$E46,DT$5&lt;=$F46),IF(DT$5=$E46+1,$C46,""),"")</f>
        <v/>
      </c>
      <c r="DU46" s="34">
        <f>IF(AND(DU$5&gt;$E46,DU$5&lt;=$F46),IF(DU$5=$E46+1,$C46,""),"")</f>
        <v/>
      </c>
      <c r="DV46" s="34">
        <f>IF(AND(DV$5&gt;$E46,DV$5&lt;=$F46),IF(DV$5=$E46+1,$C46,""),"")</f>
        <v/>
      </c>
      <c r="DW46" s="34">
        <f>IF(AND(DW$5&gt;$E46,DW$5&lt;=$F46),IF(DW$5=$E46+1,$C46,""),"")</f>
        <v/>
      </c>
      <c r="DX46" s="34">
        <f>IF(AND(DX$5&gt;$E46,DX$5&lt;=$F46),IF(DX$5=$E46+1,$C46,""),"")</f>
        <v/>
      </c>
      <c r="DY46" s="34">
        <f>IF(AND(DY$5&gt;$E46,DY$5&lt;=$F46),IF(DY$5=$E46+1,$C46,""),"")</f>
        <v/>
      </c>
      <c r="DZ46" s="34">
        <f>IF(AND(DZ$5&gt;$E46,DZ$5&lt;=$F46),IF(DZ$5=$E46+1,$C46,""),"")</f>
        <v/>
      </c>
      <c r="EA46" s="34">
        <f>IF(AND(EA$5&gt;$E46,EA$5&lt;=$F46),IF(EA$5=$E46+1,$C46,""),"")</f>
        <v/>
      </c>
      <c r="EB46" s="34">
        <f>IF(AND(EB$5&gt;$E46,EB$5&lt;=$F46),IF(EB$5=$E46+1,$C46,""),"")</f>
        <v/>
      </c>
      <c r="EC46" s="34">
        <f>IF(AND(EC$5&gt;$E46,EC$5&lt;=$F46),IF(EC$5=$E46+1,$C46,""),"")</f>
        <v/>
      </c>
      <c r="ED46" s="34">
        <f>IF(AND(ED$5&gt;$E46,ED$5&lt;=$F46),IF(ED$5=$E46+1,$C46,""),"")</f>
        <v/>
      </c>
      <c r="EE46" s="34">
        <f>IF(AND(EE$5&gt;$E46,EE$5&lt;=$F46),IF(EE$5=$E46+1,$C46,""),"")</f>
        <v/>
      </c>
      <c r="EF46" s="34">
        <f>IF(AND(EF$5&gt;$E46,EF$5&lt;=$F46),IF(EF$5=$E46+1,$C46,""),"")</f>
        <v/>
      </c>
      <c r="EG46" s="34">
        <f>IF(AND(EG$5&gt;$E46,EG$5&lt;=$F46),IF(EG$5=$E46+1,$C46,""),"")</f>
        <v/>
      </c>
      <c r="EH46" s="34">
        <f>IF(AND(EH$5&gt;$E46,EH$5&lt;=$F46),IF(EH$5=$E46+1,$C46,""),"")</f>
        <v/>
      </c>
      <c r="EI46" s="34">
        <f>IF(AND(EI$5&gt;$E46,EI$5&lt;=$F46),IF(EI$5=$E46+1,$C46,""),"")</f>
        <v/>
      </c>
      <c r="EJ46" s="34">
        <f>IF(AND(EJ$5&gt;$E46,EJ$5&lt;=$F46),IF(EJ$5=$E46+1,$C46,""),"")</f>
        <v/>
      </c>
      <c r="EK46" s="34">
        <f>IF(AND(EK$5&gt;$E46,EK$5&lt;=$F46),IF(EK$5=$E46+1,$C46,""),"")</f>
        <v/>
      </c>
      <c r="EL46" s="34">
        <f>IF(AND(EL$5&gt;$E46,EL$5&lt;=$F46),IF(EL$5=$E46+1,$C46,""),"")</f>
        <v/>
      </c>
      <c r="EM46" s="34">
        <f>IF(AND(EM$5&gt;$E46,EM$5&lt;=$F46),IF(EM$5=$E46+1,$C46,""),"")</f>
        <v/>
      </c>
      <c r="EN46" s="34">
        <f>IF(AND(EN$5&gt;$E46,EN$5&lt;=$F46),IF(EN$5=$E46+1,$C46,""),"")</f>
        <v/>
      </c>
      <c r="EO46" s="34">
        <f>IF(AND(EO$5&gt;$E46,EO$5&lt;=$F46),IF(EO$5=$E46+1,$C46,""),"")</f>
        <v/>
      </c>
      <c r="EP46" s="34">
        <f>IF(AND(EP$5&gt;$E46,EP$5&lt;=$F46),IF(EP$5=$E46+1,$C46,""),"")</f>
        <v/>
      </c>
      <c r="EQ46" s="34">
        <f>IF(AND(EQ$5&gt;$E46,EQ$5&lt;=$F46),IF(EQ$5=$E46+1,$C46,""),"")</f>
        <v/>
      </c>
      <c r="ER46" s="34">
        <f>IF(AND(ER$5&gt;$E46,ER$5&lt;=$F46),IF(ER$5=$E46+1,$C46,""),"")</f>
        <v/>
      </c>
      <c r="ES46" s="34">
        <f>IF(AND(ES$5&gt;$E46,ES$5&lt;=$F46),IF(ES$5=$E46+1,$C46,""),"")</f>
        <v/>
      </c>
      <c r="ET46" s="34">
        <f>IF(AND(ET$5&gt;$E46,ET$5&lt;=$F46),IF(ET$5=$E46+1,$C46,""),"")</f>
        <v/>
      </c>
      <c r="EU46" s="34">
        <f>IF(AND(EU$5&gt;$E46,EU$5&lt;=$F46),IF(EU$5=$E46+1,$C46,""),"")</f>
        <v/>
      </c>
      <c r="EV46" s="34">
        <f>IF(AND(EV$5&gt;$E46,EV$5&lt;=$F46),IF(EV$5=$E46+1,$C46,""),"")</f>
        <v/>
      </c>
      <c r="EW46" s="34">
        <f>IF(AND(EW$5&gt;$E46,EW$5&lt;=$F46),IF(EW$5=$E46+1,$C46,""),"")</f>
        <v/>
      </c>
      <c r="EX46" s="34">
        <f>IF(AND(EX$5&gt;$E46,EX$5&lt;=$F46),IF(EX$5=$E46+1,$C46,""),"")</f>
        <v/>
      </c>
      <c r="EY46" s="34">
        <f>IF(AND(EY$5&gt;$E46,EY$5&lt;=$F46),IF(EY$5=$E46+1,$C46,""),"")</f>
        <v/>
      </c>
      <c r="EZ46" s="34">
        <f>IF(AND(EZ$5&gt;$E46,EZ$5&lt;=$F46),IF(EZ$5=$E46+1,$C46,""),"")</f>
        <v/>
      </c>
      <c r="FA46" s="34">
        <f>IF(AND(FA$5&gt;$E46,FA$5&lt;=$F46),IF(FA$5=$E46+1,$C46,""),"")</f>
        <v/>
      </c>
    </row>
    <row r="47">
      <c r="A47" s="27" t="inlineStr">
        <is>
          <t>Fase 4. Panel de administración</t>
        </is>
      </c>
      <c r="B47" s="28" t="n"/>
      <c r="C47" s="28" t="n"/>
      <c r="D47" s="28" t="n"/>
      <c r="E47" s="29">
        <f>SUMPRODUCT(MIN((Plan!$B$5:$B$129="4. Panel de administración")*Plan!$K$5:$K$129+(Plan!$B$5:$B$129&lt;&gt;"4. Panel de administración")*1E9))</f>
        <v/>
      </c>
      <c r="F47" s="29">
        <f>SUMPRODUCT(MAX((Plan!$B$5:$B$129="4. Panel de administración")*Plan!$L$5:$L$129))</f>
        <v/>
      </c>
      <c r="G47" s="30">
        <f>Resumen!E32</f>
        <v/>
      </c>
      <c r="H47" s="31" t="n"/>
      <c r="I47" s="31" t="n"/>
      <c r="J47" s="31" t="n"/>
      <c r="K47" s="31" t="n"/>
      <c r="L47" s="31" t="n"/>
      <c r="M47" s="31" t="n"/>
      <c r="N47" s="31" t="n"/>
      <c r="O47" s="31" t="n"/>
      <c r="P47" s="31" t="n"/>
      <c r="Q47" s="31" t="n"/>
      <c r="R47" s="31" t="n"/>
      <c r="S47" s="31" t="n"/>
      <c r="T47" s="31" t="n"/>
      <c r="U47" s="31" t="n"/>
      <c r="V47" s="31" t="n"/>
      <c r="W47" s="31" t="n"/>
      <c r="X47" s="31" t="n"/>
      <c r="Y47" s="31" t="n"/>
      <c r="Z47" s="31" t="n"/>
      <c r="AA47" s="31" t="n"/>
      <c r="AB47" s="31" t="n"/>
      <c r="AC47" s="31" t="n"/>
      <c r="AD47" s="31" t="n"/>
      <c r="AE47" s="31" t="n"/>
      <c r="AF47" s="31" t="n"/>
      <c r="AG47" s="31" t="n"/>
      <c r="AH47" s="31" t="n"/>
      <c r="AI47" s="31" t="n"/>
      <c r="AJ47" s="31" t="n"/>
      <c r="AK47" s="31" t="n"/>
      <c r="AL47" s="31" t="n"/>
      <c r="AM47" s="31" t="n"/>
      <c r="AN47" s="31" t="n"/>
      <c r="AO47" s="31" t="n"/>
      <c r="AP47" s="31" t="n"/>
      <c r="AQ47" s="31" t="n"/>
      <c r="AR47" s="31" t="n"/>
      <c r="AS47" s="31" t="n"/>
      <c r="AT47" s="31" t="n"/>
      <c r="AU47" s="31" t="n"/>
      <c r="AV47" s="31" t="n"/>
      <c r="AW47" s="31" t="n"/>
      <c r="AX47" s="31" t="n"/>
      <c r="AY47" s="31" t="n"/>
      <c r="AZ47" s="31" t="n"/>
      <c r="BA47" s="31" t="n"/>
      <c r="BB47" s="31" t="n"/>
      <c r="BC47" s="31" t="n"/>
      <c r="BD47" s="31" t="n"/>
      <c r="BE47" s="31" t="n"/>
      <c r="BF47" s="31" t="n"/>
      <c r="BG47" s="31" t="n"/>
      <c r="BH47" s="31" t="n"/>
      <c r="BI47" s="31" t="n"/>
      <c r="BJ47" s="31" t="n"/>
      <c r="BK47" s="31" t="n"/>
      <c r="BL47" s="31" t="n"/>
      <c r="BM47" s="31" t="n"/>
      <c r="BN47" s="31" t="n"/>
      <c r="BO47" s="31" t="n"/>
      <c r="BP47" s="31" t="n"/>
      <c r="BQ47" s="31" t="n"/>
      <c r="BR47" s="31" t="n"/>
      <c r="BS47" s="31" t="n"/>
      <c r="BT47" s="31" t="n"/>
      <c r="BU47" s="31" t="n"/>
      <c r="BV47" s="31" t="n"/>
      <c r="BW47" s="31" t="n"/>
      <c r="BX47" s="31" t="n"/>
      <c r="BY47" s="31" t="n"/>
      <c r="BZ47" s="31" t="n"/>
      <c r="CA47" s="31" t="n"/>
      <c r="CB47" s="31" t="n"/>
      <c r="CC47" s="31" t="n"/>
      <c r="CD47" s="31" t="n"/>
      <c r="CE47" s="31" t="n"/>
      <c r="CF47" s="31" t="n"/>
      <c r="CG47" s="31" t="n"/>
      <c r="CH47" s="31" t="n"/>
      <c r="CI47" s="31" t="n"/>
      <c r="CJ47" s="31" t="n"/>
      <c r="CK47" s="31" t="n"/>
      <c r="CL47" s="31" t="n"/>
      <c r="CM47" s="31" t="n"/>
      <c r="CN47" s="31" t="n"/>
      <c r="CO47" s="31" t="n"/>
      <c r="CP47" s="31" t="n"/>
      <c r="CQ47" s="31" t="n"/>
      <c r="CR47" s="31" t="n"/>
      <c r="CS47" s="31" t="n"/>
      <c r="CT47" s="31" t="n"/>
      <c r="CU47" s="31" t="n"/>
      <c r="CV47" s="31" t="n"/>
      <c r="CW47" s="31" t="n"/>
      <c r="CX47" s="31" t="n"/>
      <c r="CY47" s="31" t="n"/>
      <c r="CZ47" s="31" t="n"/>
      <c r="DA47" s="31" t="n"/>
      <c r="DB47" s="31" t="n"/>
      <c r="DC47" s="31" t="n"/>
      <c r="DD47" s="31" t="n"/>
      <c r="DE47" s="31" t="n"/>
      <c r="DF47" s="31" t="n"/>
      <c r="DG47" s="31" t="n"/>
      <c r="DH47" s="31" t="n"/>
      <c r="DI47" s="31" t="n"/>
      <c r="DJ47" s="31" t="n"/>
      <c r="DK47" s="31" t="n"/>
      <c r="DL47" s="31" t="n"/>
      <c r="DM47" s="31" t="n"/>
      <c r="DN47" s="31" t="n"/>
      <c r="DO47" s="31" t="n"/>
      <c r="DP47" s="31" t="n"/>
      <c r="DQ47" s="31" t="n"/>
      <c r="DR47" s="31" t="n"/>
      <c r="DS47" s="31" t="n"/>
      <c r="DT47" s="31" t="n"/>
      <c r="DU47" s="31" t="n"/>
      <c r="DV47" s="31" t="n"/>
      <c r="DW47" s="31" t="n"/>
      <c r="DX47" s="31" t="n"/>
      <c r="DY47" s="31" t="n"/>
      <c r="DZ47" s="31" t="n"/>
      <c r="EA47" s="31" t="n"/>
      <c r="EB47" s="31" t="n"/>
      <c r="EC47" s="31" t="n"/>
      <c r="ED47" s="31" t="n"/>
      <c r="EE47" s="31" t="n"/>
      <c r="EF47" s="31" t="n"/>
      <c r="EG47" s="31" t="n"/>
      <c r="EH47" s="31" t="n"/>
      <c r="EI47" s="31" t="n"/>
      <c r="EJ47" s="31" t="n"/>
      <c r="EK47" s="31" t="n"/>
      <c r="EL47" s="31" t="n"/>
      <c r="EM47" s="31" t="n"/>
      <c r="EN47" s="31" t="n"/>
      <c r="EO47" s="31" t="n"/>
      <c r="EP47" s="31" t="n"/>
      <c r="EQ47" s="31" t="n"/>
      <c r="ER47" s="31" t="n"/>
      <c r="ES47" s="31" t="n"/>
      <c r="ET47" s="31" t="n"/>
      <c r="EU47" s="31" t="n"/>
      <c r="EV47" s="31" t="n"/>
      <c r="EW47" s="31" t="n"/>
      <c r="EX47" s="31" t="n"/>
      <c r="EY47" s="31" t="n"/>
      <c r="EZ47" s="31" t="n"/>
      <c r="FA47" s="31" t="n"/>
    </row>
    <row r="48">
      <c r="A48" s="32">
        <f>Plan!A37</f>
        <v/>
      </c>
      <c r="B48" s="33">
        <f>Plan!C37</f>
        <v/>
      </c>
      <c r="C48" s="16">
        <f>Plan!D37</f>
        <v/>
      </c>
      <c r="D48" s="16">
        <f>Plan!I37</f>
        <v/>
      </c>
      <c r="E48" s="16">
        <f>Plan!K37</f>
        <v/>
      </c>
      <c r="F48" s="16">
        <f>Plan!L37</f>
        <v/>
      </c>
      <c r="G48" s="16">
        <f>Plan!O37</f>
        <v/>
      </c>
      <c r="H48" s="34">
        <f>IF(AND(H$5&gt;$E48,H$5&lt;=$F48),IF(H$5=$E48+1,$C48,""),"")</f>
        <v/>
      </c>
      <c r="I48" s="34">
        <f>IF(AND(I$5&gt;$E48,I$5&lt;=$F48),IF(I$5=$E48+1,$C48,""),"")</f>
        <v/>
      </c>
      <c r="J48" s="34">
        <f>IF(AND(J$5&gt;$E48,J$5&lt;=$F48),IF(J$5=$E48+1,$C48,""),"")</f>
        <v/>
      </c>
      <c r="K48" s="34">
        <f>IF(AND(K$5&gt;$E48,K$5&lt;=$F48),IF(K$5=$E48+1,$C48,""),"")</f>
        <v/>
      </c>
      <c r="L48" s="34">
        <f>IF(AND(L$5&gt;$E48,L$5&lt;=$F48),IF(L$5=$E48+1,$C48,""),"")</f>
        <v/>
      </c>
      <c r="M48" s="34">
        <f>IF(AND(M$5&gt;$E48,M$5&lt;=$F48),IF(M$5=$E48+1,$C48,""),"")</f>
        <v/>
      </c>
      <c r="N48" s="34">
        <f>IF(AND(N$5&gt;$E48,N$5&lt;=$F48),IF(N$5=$E48+1,$C48,""),"")</f>
        <v/>
      </c>
      <c r="O48" s="34">
        <f>IF(AND(O$5&gt;$E48,O$5&lt;=$F48),IF(O$5=$E48+1,$C48,""),"")</f>
        <v/>
      </c>
      <c r="P48" s="34">
        <f>IF(AND(P$5&gt;$E48,P$5&lt;=$F48),IF(P$5=$E48+1,$C48,""),"")</f>
        <v/>
      </c>
      <c r="Q48" s="34">
        <f>IF(AND(Q$5&gt;$E48,Q$5&lt;=$F48),IF(Q$5=$E48+1,$C48,""),"")</f>
        <v/>
      </c>
      <c r="R48" s="34">
        <f>IF(AND(R$5&gt;$E48,R$5&lt;=$F48),IF(R$5=$E48+1,$C48,""),"")</f>
        <v/>
      </c>
      <c r="S48" s="34">
        <f>IF(AND(S$5&gt;$E48,S$5&lt;=$F48),IF(S$5=$E48+1,$C48,""),"")</f>
        <v/>
      </c>
      <c r="T48" s="34">
        <f>IF(AND(T$5&gt;$E48,T$5&lt;=$F48),IF(T$5=$E48+1,$C48,""),"")</f>
        <v/>
      </c>
      <c r="U48" s="34">
        <f>IF(AND(U$5&gt;$E48,U$5&lt;=$F48),IF(U$5=$E48+1,$C48,""),"")</f>
        <v/>
      </c>
      <c r="V48" s="34">
        <f>IF(AND(V$5&gt;$E48,V$5&lt;=$F48),IF(V$5=$E48+1,$C48,""),"")</f>
        <v/>
      </c>
      <c r="W48" s="34">
        <f>IF(AND(W$5&gt;$E48,W$5&lt;=$F48),IF(W$5=$E48+1,$C48,""),"")</f>
        <v/>
      </c>
      <c r="X48" s="34">
        <f>IF(AND(X$5&gt;$E48,X$5&lt;=$F48),IF(X$5=$E48+1,$C48,""),"")</f>
        <v/>
      </c>
      <c r="Y48" s="34">
        <f>IF(AND(Y$5&gt;$E48,Y$5&lt;=$F48),IF(Y$5=$E48+1,$C48,""),"")</f>
        <v/>
      </c>
      <c r="Z48" s="34">
        <f>IF(AND(Z$5&gt;$E48,Z$5&lt;=$F48),IF(Z$5=$E48+1,$C48,""),"")</f>
        <v/>
      </c>
      <c r="AA48" s="34">
        <f>IF(AND(AA$5&gt;$E48,AA$5&lt;=$F48),IF(AA$5=$E48+1,$C48,""),"")</f>
        <v/>
      </c>
      <c r="AB48" s="34">
        <f>IF(AND(AB$5&gt;$E48,AB$5&lt;=$F48),IF(AB$5=$E48+1,$C48,""),"")</f>
        <v/>
      </c>
      <c r="AC48" s="34">
        <f>IF(AND(AC$5&gt;$E48,AC$5&lt;=$F48),IF(AC$5=$E48+1,$C48,""),"")</f>
        <v/>
      </c>
      <c r="AD48" s="34">
        <f>IF(AND(AD$5&gt;$E48,AD$5&lt;=$F48),IF(AD$5=$E48+1,$C48,""),"")</f>
        <v/>
      </c>
      <c r="AE48" s="34">
        <f>IF(AND(AE$5&gt;$E48,AE$5&lt;=$F48),IF(AE$5=$E48+1,$C48,""),"")</f>
        <v/>
      </c>
      <c r="AF48" s="34">
        <f>IF(AND(AF$5&gt;$E48,AF$5&lt;=$F48),IF(AF$5=$E48+1,$C48,""),"")</f>
        <v/>
      </c>
      <c r="AG48" s="34">
        <f>IF(AND(AG$5&gt;$E48,AG$5&lt;=$F48),IF(AG$5=$E48+1,$C48,""),"")</f>
        <v/>
      </c>
      <c r="AH48" s="34">
        <f>IF(AND(AH$5&gt;$E48,AH$5&lt;=$F48),IF(AH$5=$E48+1,$C48,""),"")</f>
        <v/>
      </c>
      <c r="AI48" s="34">
        <f>IF(AND(AI$5&gt;$E48,AI$5&lt;=$F48),IF(AI$5=$E48+1,$C48,""),"")</f>
        <v/>
      </c>
      <c r="AJ48" s="34">
        <f>IF(AND(AJ$5&gt;$E48,AJ$5&lt;=$F48),IF(AJ$5=$E48+1,$C48,""),"")</f>
        <v/>
      </c>
      <c r="AK48" s="34">
        <f>IF(AND(AK$5&gt;$E48,AK$5&lt;=$F48),IF(AK$5=$E48+1,$C48,""),"")</f>
        <v/>
      </c>
      <c r="AL48" s="34">
        <f>IF(AND(AL$5&gt;$E48,AL$5&lt;=$F48),IF(AL$5=$E48+1,$C48,""),"")</f>
        <v/>
      </c>
      <c r="AM48" s="34">
        <f>IF(AND(AM$5&gt;$E48,AM$5&lt;=$F48),IF(AM$5=$E48+1,$C48,""),"")</f>
        <v/>
      </c>
      <c r="AN48" s="34">
        <f>IF(AND(AN$5&gt;$E48,AN$5&lt;=$F48),IF(AN$5=$E48+1,$C48,""),"")</f>
        <v/>
      </c>
      <c r="AO48" s="34">
        <f>IF(AND(AO$5&gt;$E48,AO$5&lt;=$F48),IF(AO$5=$E48+1,$C48,""),"")</f>
        <v/>
      </c>
      <c r="AP48" s="34">
        <f>IF(AND(AP$5&gt;$E48,AP$5&lt;=$F48),IF(AP$5=$E48+1,$C48,""),"")</f>
        <v/>
      </c>
      <c r="AQ48" s="34">
        <f>IF(AND(AQ$5&gt;$E48,AQ$5&lt;=$F48),IF(AQ$5=$E48+1,$C48,""),"")</f>
        <v/>
      </c>
      <c r="AR48" s="34">
        <f>IF(AND(AR$5&gt;$E48,AR$5&lt;=$F48),IF(AR$5=$E48+1,$C48,""),"")</f>
        <v/>
      </c>
      <c r="AS48" s="34">
        <f>IF(AND(AS$5&gt;$E48,AS$5&lt;=$F48),IF(AS$5=$E48+1,$C48,""),"")</f>
        <v/>
      </c>
      <c r="AT48" s="34">
        <f>IF(AND(AT$5&gt;$E48,AT$5&lt;=$F48),IF(AT$5=$E48+1,$C48,""),"")</f>
        <v/>
      </c>
      <c r="AU48" s="34">
        <f>IF(AND(AU$5&gt;$E48,AU$5&lt;=$F48),IF(AU$5=$E48+1,$C48,""),"")</f>
        <v/>
      </c>
      <c r="AV48" s="34">
        <f>IF(AND(AV$5&gt;$E48,AV$5&lt;=$F48),IF(AV$5=$E48+1,$C48,""),"")</f>
        <v/>
      </c>
      <c r="AW48" s="34">
        <f>IF(AND(AW$5&gt;$E48,AW$5&lt;=$F48),IF(AW$5=$E48+1,$C48,""),"")</f>
        <v/>
      </c>
      <c r="AX48" s="34">
        <f>IF(AND(AX$5&gt;$E48,AX$5&lt;=$F48),IF(AX$5=$E48+1,$C48,""),"")</f>
        <v/>
      </c>
      <c r="AY48" s="34">
        <f>IF(AND(AY$5&gt;$E48,AY$5&lt;=$F48),IF(AY$5=$E48+1,$C48,""),"")</f>
        <v/>
      </c>
      <c r="AZ48" s="34">
        <f>IF(AND(AZ$5&gt;$E48,AZ$5&lt;=$F48),IF(AZ$5=$E48+1,$C48,""),"")</f>
        <v/>
      </c>
      <c r="BA48" s="34">
        <f>IF(AND(BA$5&gt;$E48,BA$5&lt;=$F48),IF(BA$5=$E48+1,$C48,""),"")</f>
        <v/>
      </c>
      <c r="BB48" s="34">
        <f>IF(AND(BB$5&gt;$E48,BB$5&lt;=$F48),IF(BB$5=$E48+1,$C48,""),"")</f>
        <v/>
      </c>
      <c r="BC48" s="34">
        <f>IF(AND(BC$5&gt;$E48,BC$5&lt;=$F48),IF(BC$5=$E48+1,$C48,""),"")</f>
        <v/>
      </c>
      <c r="BD48" s="34">
        <f>IF(AND(BD$5&gt;$E48,BD$5&lt;=$F48),IF(BD$5=$E48+1,$C48,""),"")</f>
        <v/>
      </c>
      <c r="BE48" s="34">
        <f>IF(AND(BE$5&gt;$E48,BE$5&lt;=$F48),IF(BE$5=$E48+1,$C48,""),"")</f>
        <v/>
      </c>
      <c r="BF48" s="34">
        <f>IF(AND(BF$5&gt;$E48,BF$5&lt;=$F48),IF(BF$5=$E48+1,$C48,""),"")</f>
        <v/>
      </c>
      <c r="BG48" s="34">
        <f>IF(AND(BG$5&gt;$E48,BG$5&lt;=$F48),IF(BG$5=$E48+1,$C48,""),"")</f>
        <v/>
      </c>
      <c r="BH48" s="34">
        <f>IF(AND(BH$5&gt;$E48,BH$5&lt;=$F48),IF(BH$5=$E48+1,$C48,""),"")</f>
        <v/>
      </c>
      <c r="BI48" s="34">
        <f>IF(AND(BI$5&gt;$E48,BI$5&lt;=$F48),IF(BI$5=$E48+1,$C48,""),"")</f>
        <v/>
      </c>
      <c r="BJ48" s="34">
        <f>IF(AND(BJ$5&gt;$E48,BJ$5&lt;=$F48),IF(BJ$5=$E48+1,$C48,""),"")</f>
        <v/>
      </c>
      <c r="BK48" s="34">
        <f>IF(AND(BK$5&gt;$E48,BK$5&lt;=$F48),IF(BK$5=$E48+1,$C48,""),"")</f>
        <v/>
      </c>
      <c r="BL48" s="34">
        <f>IF(AND(BL$5&gt;$E48,BL$5&lt;=$F48),IF(BL$5=$E48+1,$C48,""),"")</f>
        <v/>
      </c>
      <c r="BM48" s="34">
        <f>IF(AND(BM$5&gt;$E48,BM$5&lt;=$F48),IF(BM$5=$E48+1,$C48,""),"")</f>
        <v/>
      </c>
      <c r="BN48" s="34">
        <f>IF(AND(BN$5&gt;$E48,BN$5&lt;=$F48),IF(BN$5=$E48+1,$C48,""),"")</f>
        <v/>
      </c>
      <c r="BO48" s="34">
        <f>IF(AND(BO$5&gt;$E48,BO$5&lt;=$F48),IF(BO$5=$E48+1,$C48,""),"")</f>
        <v/>
      </c>
      <c r="BP48" s="34">
        <f>IF(AND(BP$5&gt;$E48,BP$5&lt;=$F48),IF(BP$5=$E48+1,$C48,""),"")</f>
        <v/>
      </c>
      <c r="BQ48" s="34">
        <f>IF(AND(BQ$5&gt;$E48,BQ$5&lt;=$F48),IF(BQ$5=$E48+1,$C48,""),"")</f>
        <v/>
      </c>
      <c r="BR48" s="34">
        <f>IF(AND(BR$5&gt;$E48,BR$5&lt;=$F48),IF(BR$5=$E48+1,$C48,""),"")</f>
        <v/>
      </c>
      <c r="BS48" s="34">
        <f>IF(AND(BS$5&gt;$E48,BS$5&lt;=$F48),IF(BS$5=$E48+1,$C48,""),"")</f>
        <v/>
      </c>
      <c r="BT48" s="34">
        <f>IF(AND(BT$5&gt;$E48,BT$5&lt;=$F48),IF(BT$5=$E48+1,$C48,""),"")</f>
        <v/>
      </c>
      <c r="BU48" s="34">
        <f>IF(AND(BU$5&gt;$E48,BU$5&lt;=$F48),IF(BU$5=$E48+1,$C48,""),"")</f>
        <v/>
      </c>
      <c r="BV48" s="34">
        <f>IF(AND(BV$5&gt;$E48,BV$5&lt;=$F48),IF(BV$5=$E48+1,$C48,""),"")</f>
        <v/>
      </c>
      <c r="BW48" s="34">
        <f>IF(AND(BW$5&gt;$E48,BW$5&lt;=$F48),IF(BW$5=$E48+1,$C48,""),"")</f>
        <v/>
      </c>
      <c r="BX48" s="34">
        <f>IF(AND(BX$5&gt;$E48,BX$5&lt;=$F48),IF(BX$5=$E48+1,$C48,""),"")</f>
        <v/>
      </c>
      <c r="BY48" s="34">
        <f>IF(AND(BY$5&gt;$E48,BY$5&lt;=$F48),IF(BY$5=$E48+1,$C48,""),"")</f>
        <v/>
      </c>
      <c r="BZ48" s="34">
        <f>IF(AND(BZ$5&gt;$E48,BZ$5&lt;=$F48),IF(BZ$5=$E48+1,$C48,""),"")</f>
        <v/>
      </c>
      <c r="CA48" s="34">
        <f>IF(AND(CA$5&gt;$E48,CA$5&lt;=$F48),IF(CA$5=$E48+1,$C48,""),"")</f>
        <v/>
      </c>
      <c r="CB48" s="34">
        <f>IF(AND(CB$5&gt;$E48,CB$5&lt;=$F48),IF(CB$5=$E48+1,$C48,""),"")</f>
        <v/>
      </c>
      <c r="CC48" s="34">
        <f>IF(AND(CC$5&gt;$E48,CC$5&lt;=$F48),IF(CC$5=$E48+1,$C48,""),"")</f>
        <v/>
      </c>
      <c r="CD48" s="34">
        <f>IF(AND(CD$5&gt;$E48,CD$5&lt;=$F48),IF(CD$5=$E48+1,$C48,""),"")</f>
        <v/>
      </c>
      <c r="CE48" s="34">
        <f>IF(AND(CE$5&gt;$E48,CE$5&lt;=$F48),IF(CE$5=$E48+1,$C48,""),"")</f>
        <v/>
      </c>
      <c r="CF48" s="34">
        <f>IF(AND(CF$5&gt;$E48,CF$5&lt;=$F48),IF(CF$5=$E48+1,$C48,""),"")</f>
        <v/>
      </c>
      <c r="CG48" s="34">
        <f>IF(AND(CG$5&gt;$E48,CG$5&lt;=$F48),IF(CG$5=$E48+1,$C48,""),"")</f>
        <v/>
      </c>
      <c r="CH48" s="34">
        <f>IF(AND(CH$5&gt;$E48,CH$5&lt;=$F48),IF(CH$5=$E48+1,$C48,""),"")</f>
        <v/>
      </c>
      <c r="CI48" s="34">
        <f>IF(AND(CI$5&gt;$E48,CI$5&lt;=$F48),IF(CI$5=$E48+1,$C48,""),"")</f>
        <v/>
      </c>
      <c r="CJ48" s="34">
        <f>IF(AND(CJ$5&gt;$E48,CJ$5&lt;=$F48),IF(CJ$5=$E48+1,$C48,""),"")</f>
        <v/>
      </c>
      <c r="CK48" s="34">
        <f>IF(AND(CK$5&gt;$E48,CK$5&lt;=$F48),IF(CK$5=$E48+1,$C48,""),"")</f>
        <v/>
      </c>
      <c r="CL48" s="34">
        <f>IF(AND(CL$5&gt;$E48,CL$5&lt;=$F48),IF(CL$5=$E48+1,$C48,""),"")</f>
        <v/>
      </c>
      <c r="CM48" s="34">
        <f>IF(AND(CM$5&gt;$E48,CM$5&lt;=$F48),IF(CM$5=$E48+1,$C48,""),"")</f>
        <v/>
      </c>
      <c r="CN48" s="34">
        <f>IF(AND(CN$5&gt;$E48,CN$5&lt;=$F48),IF(CN$5=$E48+1,$C48,""),"")</f>
        <v/>
      </c>
      <c r="CO48" s="34">
        <f>IF(AND(CO$5&gt;$E48,CO$5&lt;=$F48),IF(CO$5=$E48+1,$C48,""),"")</f>
        <v/>
      </c>
      <c r="CP48" s="34">
        <f>IF(AND(CP$5&gt;$E48,CP$5&lt;=$F48),IF(CP$5=$E48+1,$C48,""),"")</f>
        <v/>
      </c>
      <c r="CQ48" s="34">
        <f>IF(AND(CQ$5&gt;$E48,CQ$5&lt;=$F48),IF(CQ$5=$E48+1,$C48,""),"")</f>
        <v/>
      </c>
      <c r="CR48" s="34">
        <f>IF(AND(CR$5&gt;$E48,CR$5&lt;=$F48),IF(CR$5=$E48+1,$C48,""),"")</f>
        <v/>
      </c>
      <c r="CS48" s="34">
        <f>IF(AND(CS$5&gt;$E48,CS$5&lt;=$F48),IF(CS$5=$E48+1,$C48,""),"")</f>
        <v/>
      </c>
      <c r="CT48" s="34">
        <f>IF(AND(CT$5&gt;$E48,CT$5&lt;=$F48),IF(CT$5=$E48+1,$C48,""),"")</f>
        <v/>
      </c>
      <c r="CU48" s="34">
        <f>IF(AND(CU$5&gt;$E48,CU$5&lt;=$F48),IF(CU$5=$E48+1,$C48,""),"")</f>
        <v/>
      </c>
      <c r="CV48" s="34">
        <f>IF(AND(CV$5&gt;$E48,CV$5&lt;=$F48),IF(CV$5=$E48+1,$C48,""),"")</f>
        <v/>
      </c>
      <c r="CW48" s="34">
        <f>IF(AND(CW$5&gt;$E48,CW$5&lt;=$F48),IF(CW$5=$E48+1,$C48,""),"")</f>
        <v/>
      </c>
      <c r="CX48" s="34">
        <f>IF(AND(CX$5&gt;$E48,CX$5&lt;=$F48),IF(CX$5=$E48+1,$C48,""),"")</f>
        <v/>
      </c>
      <c r="CY48" s="34">
        <f>IF(AND(CY$5&gt;$E48,CY$5&lt;=$F48),IF(CY$5=$E48+1,$C48,""),"")</f>
        <v/>
      </c>
      <c r="CZ48" s="34">
        <f>IF(AND(CZ$5&gt;$E48,CZ$5&lt;=$F48),IF(CZ$5=$E48+1,$C48,""),"")</f>
        <v/>
      </c>
      <c r="DA48" s="34">
        <f>IF(AND(DA$5&gt;$E48,DA$5&lt;=$F48),IF(DA$5=$E48+1,$C48,""),"")</f>
        <v/>
      </c>
      <c r="DB48" s="34">
        <f>IF(AND(DB$5&gt;$E48,DB$5&lt;=$F48),IF(DB$5=$E48+1,$C48,""),"")</f>
        <v/>
      </c>
      <c r="DC48" s="34">
        <f>IF(AND(DC$5&gt;$E48,DC$5&lt;=$F48),IF(DC$5=$E48+1,$C48,""),"")</f>
        <v/>
      </c>
      <c r="DD48" s="34">
        <f>IF(AND(DD$5&gt;$E48,DD$5&lt;=$F48),IF(DD$5=$E48+1,$C48,""),"")</f>
        <v/>
      </c>
      <c r="DE48" s="34">
        <f>IF(AND(DE$5&gt;$E48,DE$5&lt;=$F48),IF(DE$5=$E48+1,$C48,""),"")</f>
        <v/>
      </c>
      <c r="DF48" s="34">
        <f>IF(AND(DF$5&gt;$E48,DF$5&lt;=$F48),IF(DF$5=$E48+1,$C48,""),"")</f>
        <v/>
      </c>
      <c r="DG48" s="34">
        <f>IF(AND(DG$5&gt;$E48,DG$5&lt;=$F48),IF(DG$5=$E48+1,$C48,""),"")</f>
        <v/>
      </c>
      <c r="DH48" s="34">
        <f>IF(AND(DH$5&gt;$E48,DH$5&lt;=$F48),IF(DH$5=$E48+1,$C48,""),"")</f>
        <v/>
      </c>
      <c r="DI48" s="34">
        <f>IF(AND(DI$5&gt;$E48,DI$5&lt;=$F48),IF(DI$5=$E48+1,$C48,""),"")</f>
        <v/>
      </c>
      <c r="DJ48" s="34">
        <f>IF(AND(DJ$5&gt;$E48,DJ$5&lt;=$F48),IF(DJ$5=$E48+1,$C48,""),"")</f>
        <v/>
      </c>
      <c r="DK48" s="34">
        <f>IF(AND(DK$5&gt;$E48,DK$5&lt;=$F48),IF(DK$5=$E48+1,$C48,""),"")</f>
        <v/>
      </c>
      <c r="DL48" s="34">
        <f>IF(AND(DL$5&gt;$E48,DL$5&lt;=$F48),IF(DL$5=$E48+1,$C48,""),"")</f>
        <v/>
      </c>
      <c r="DM48" s="34">
        <f>IF(AND(DM$5&gt;$E48,DM$5&lt;=$F48),IF(DM$5=$E48+1,$C48,""),"")</f>
        <v/>
      </c>
      <c r="DN48" s="34">
        <f>IF(AND(DN$5&gt;$E48,DN$5&lt;=$F48),IF(DN$5=$E48+1,$C48,""),"")</f>
        <v/>
      </c>
      <c r="DO48" s="34">
        <f>IF(AND(DO$5&gt;$E48,DO$5&lt;=$F48),IF(DO$5=$E48+1,$C48,""),"")</f>
        <v/>
      </c>
      <c r="DP48" s="34">
        <f>IF(AND(DP$5&gt;$E48,DP$5&lt;=$F48),IF(DP$5=$E48+1,$C48,""),"")</f>
        <v/>
      </c>
      <c r="DQ48" s="34">
        <f>IF(AND(DQ$5&gt;$E48,DQ$5&lt;=$F48),IF(DQ$5=$E48+1,$C48,""),"")</f>
        <v/>
      </c>
      <c r="DR48" s="34">
        <f>IF(AND(DR$5&gt;$E48,DR$5&lt;=$F48),IF(DR$5=$E48+1,$C48,""),"")</f>
        <v/>
      </c>
      <c r="DS48" s="34">
        <f>IF(AND(DS$5&gt;$E48,DS$5&lt;=$F48),IF(DS$5=$E48+1,$C48,""),"")</f>
        <v/>
      </c>
      <c r="DT48" s="34">
        <f>IF(AND(DT$5&gt;$E48,DT$5&lt;=$F48),IF(DT$5=$E48+1,$C48,""),"")</f>
        <v/>
      </c>
      <c r="DU48" s="34">
        <f>IF(AND(DU$5&gt;$E48,DU$5&lt;=$F48),IF(DU$5=$E48+1,$C48,""),"")</f>
        <v/>
      </c>
      <c r="DV48" s="34">
        <f>IF(AND(DV$5&gt;$E48,DV$5&lt;=$F48),IF(DV$5=$E48+1,$C48,""),"")</f>
        <v/>
      </c>
      <c r="DW48" s="34">
        <f>IF(AND(DW$5&gt;$E48,DW$5&lt;=$F48),IF(DW$5=$E48+1,$C48,""),"")</f>
        <v/>
      </c>
      <c r="DX48" s="34">
        <f>IF(AND(DX$5&gt;$E48,DX$5&lt;=$F48),IF(DX$5=$E48+1,$C48,""),"")</f>
        <v/>
      </c>
      <c r="DY48" s="34">
        <f>IF(AND(DY$5&gt;$E48,DY$5&lt;=$F48),IF(DY$5=$E48+1,$C48,""),"")</f>
        <v/>
      </c>
      <c r="DZ48" s="34">
        <f>IF(AND(DZ$5&gt;$E48,DZ$5&lt;=$F48),IF(DZ$5=$E48+1,$C48,""),"")</f>
        <v/>
      </c>
      <c r="EA48" s="34">
        <f>IF(AND(EA$5&gt;$E48,EA$5&lt;=$F48),IF(EA$5=$E48+1,$C48,""),"")</f>
        <v/>
      </c>
      <c r="EB48" s="34">
        <f>IF(AND(EB$5&gt;$E48,EB$5&lt;=$F48),IF(EB$5=$E48+1,$C48,""),"")</f>
        <v/>
      </c>
      <c r="EC48" s="34">
        <f>IF(AND(EC$5&gt;$E48,EC$5&lt;=$F48),IF(EC$5=$E48+1,$C48,""),"")</f>
        <v/>
      </c>
      <c r="ED48" s="34">
        <f>IF(AND(ED$5&gt;$E48,ED$5&lt;=$F48),IF(ED$5=$E48+1,$C48,""),"")</f>
        <v/>
      </c>
      <c r="EE48" s="34">
        <f>IF(AND(EE$5&gt;$E48,EE$5&lt;=$F48),IF(EE$5=$E48+1,$C48,""),"")</f>
        <v/>
      </c>
      <c r="EF48" s="34">
        <f>IF(AND(EF$5&gt;$E48,EF$5&lt;=$F48),IF(EF$5=$E48+1,$C48,""),"")</f>
        <v/>
      </c>
      <c r="EG48" s="34">
        <f>IF(AND(EG$5&gt;$E48,EG$5&lt;=$F48),IF(EG$5=$E48+1,$C48,""),"")</f>
        <v/>
      </c>
      <c r="EH48" s="34">
        <f>IF(AND(EH$5&gt;$E48,EH$5&lt;=$F48),IF(EH$5=$E48+1,$C48,""),"")</f>
        <v/>
      </c>
      <c r="EI48" s="34">
        <f>IF(AND(EI$5&gt;$E48,EI$5&lt;=$F48),IF(EI$5=$E48+1,$C48,""),"")</f>
        <v/>
      </c>
      <c r="EJ48" s="34">
        <f>IF(AND(EJ$5&gt;$E48,EJ$5&lt;=$F48),IF(EJ$5=$E48+1,$C48,""),"")</f>
        <v/>
      </c>
      <c r="EK48" s="34">
        <f>IF(AND(EK$5&gt;$E48,EK$5&lt;=$F48),IF(EK$5=$E48+1,$C48,""),"")</f>
        <v/>
      </c>
      <c r="EL48" s="34">
        <f>IF(AND(EL$5&gt;$E48,EL$5&lt;=$F48),IF(EL$5=$E48+1,$C48,""),"")</f>
        <v/>
      </c>
      <c r="EM48" s="34">
        <f>IF(AND(EM$5&gt;$E48,EM$5&lt;=$F48),IF(EM$5=$E48+1,$C48,""),"")</f>
        <v/>
      </c>
      <c r="EN48" s="34">
        <f>IF(AND(EN$5&gt;$E48,EN$5&lt;=$F48),IF(EN$5=$E48+1,$C48,""),"")</f>
        <v/>
      </c>
      <c r="EO48" s="34">
        <f>IF(AND(EO$5&gt;$E48,EO$5&lt;=$F48),IF(EO$5=$E48+1,$C48,""),"")</f>
        <v/>
      </c>
      <c r="EP48" s="34">
        <f>IF(AND(EP$5&gt;$E48,EP$5&lt;=$F48),IF(EP$5=$E48+1,$C48,""),"")</f>
        <v/>
      </c>
      <c r="EQ48" s="34">
        <f>IF(AND(EQ$5&gt;$E48,EQ$5&lt;=$F48),IF(EQ$5=$E48+1,$C48,""),"")</f>
        <v/>
      </c>
      <c r="ER48" s="34">
        <f>IF(AND(ER$5&gt;$E48,ER$5&lt;=$F48),IF(ER$5=$E48+1,$C48,""),"")</f>
        <v/>
      </c>
      <c r="ES48" s="34">
        <f>IF(AND(ES$5&gt;$E48,ES$5&lt;=$F48),IF(ES$5=$E48+1,$C48,""),"")</f>
        <v/>
      </c>
      <c r="ET48" s="34">
        <f>IF(AND(ET$5&gt;$E48,ET$5&lt;=$F48),IF(ET$5=$E48+1,$C48,""),"")</f>
        <v/>
      </c>
      <c r="EU48" s="34">
        <f>IF(AND(EU$5&gt;$E48,EU$5&lt;=$F48),IF(EU$5=$E48+1,$C48,""),"")</f>
        <v/>
      </c>
      <c r="EV48" s="34">
        <f>IF(AND(EV$5&gt;$E48,EV$5&lt;=$F48),IF(EV$5=$E48+1,$C48,""),"")</f>
        <v/>
      </c>
      <c r="EW48" s="34">
        <f>IF(AND(EW$5&gt;$E48,EW$5&lt;=$F48),IF(EW$5=$E48+1,$C48,""),"")</f>
        <v/>
      </c>
      <c r="EX48" s="34">
        <f>IF(AND(EX$5&gt;$E48,EX$5&lt;=$F48),IF(EX$5=$E48+1,$C48,""),"")</f>
        <v/>
      </c>
      <c r="EY48" s="34">
        <f>IF(AND(EY$5&gt;$E48,EY$5&lt;=$F48),IF(EY$5=$E48+1,$C48,""),"")</f>
        <v/>
      </c>
      <c r="EZ48" s="34">
        <f>IF(AND(EZ$5&gt;$E48,EZ$5&lt;=$F48),IF(EZ$5=$E48+1,$C48,""),"")</f>
        <v/>
      </c>
      <c r="FA48" s="34">
        <f>IF(AND(FA$5&gt;$E48,FA$5&lt;=$F48),IF(FA$5=$E48+1,$C48,""),"")</f>
        <v/>
      </c>
    </row>
    <row r="49">
      <c r="A49" s="32">
        <f>Plan!A38</f>
        <v/>
      </c>
      <c r="B49" s="33">
        <f>Plan!C38</f>
        <v/>
      </c>
      <c r="C49" s="16">
        <f>Plan!D38</f>
        <v/>
      </c>
      <c r="D49" s="16">
        <f>Plan!I38</f>
        <v/>
      </c>
      <c r="E49" s="16">
        <f>Plan!K38</f>
        <v/>
      </c>
      <c r="F49" s="16">
        <f>Plan!L38</f>
        <v/>
      </c>
      <c r="G49" s="16">
        <f>Plan!O38</f>
        <v/>
      </c>
      <c r="H49" s="34">
        <f>IF(AND(H$5&gt;$E49,H$5&lt;=$F49),IF(H$5=$E49+1,$C49,""),"")</f>
        <v/>
      </c>
      <c r="I49" s="34">
        <f>IF(AND(I$5&gt;$E49,I$5&lt;=$F49),IF(I$5=$E49+1,$C49,""),"")</f>
        <v/>
      </c>
      <c r="J49" s="34">
        <f>IF(AND(J$5&gt;$E49,J$5&lt;=$F49),IF(J$5=$E49+1,$C49,""),"")</f>
        <v/>
      </c>
      <c r="K49" s="34">
        <f>IF(AND(K$5&gt;$E49,K$5&lt;=$F49),IF(K$5=$E49+1,$C49,""),"")</f>
        <v/>
      </c>
      <c r="L49" s="34">
        <f>IF(AND(L$5&gt;$E49,L$5&lt;=$F49),IF(L$5=$E49+1,$C49,""),"")</f>
        <v/>
      </c>
      <c r="M49" s="34">
        <f>IF(AND(M$5&gt;$E49,M$5&lt;=$F49),IF(M$5=$E49+1,$C49,""),"")</f>
        <v/>
      </c>
      <c r="N49" s="34">
        <f>IF(AND(N$5&gt;$E49,N$5&lt;=$F49),IF(N$5=$E49+1,$C49,""),"")</f>
        <v/>
      </c>
      <c r="O49" s="34">
        <f>IF(AND(O$5&gt;$E49,O$5&lt;=$F49),IF(O$5=$E49+1,$C49,""),"")</f>
        <v/>
      </c>
      <c r="P49" s="34">
        <f>IF(AND(P$5&gt;$E49,P$5&lt;=$F49),IF(P$5=$E49+1,$C49,""),"")</f>
        <v/>
      </c>
      <c r="Q49" s="34">
        <f>IF(AND(Q$5&gt;$E49,Q$5&lt;=$F49),IF(Q$5=$E49+1,$C49,""),"")</f>
        <v/>
      </c>
      <c r="R49" s="34">
        <f>IF(AND(R$5&gt;$E49,R$5&lt;=$F49),IF(R$5=$E49+1,$C49,""),"")</f>
        <v/>
      </c>
      <c r="S49" s="34">
        <f>IF(AND(S$5&gt;$E49,S$5&lt;=$F49),IF(S$5=$E49+1,$C49,""),"")</f>
        <v/>
      </c>
      <c r="T49" s="34">
        <f>IF(AND(T$5&gt;$E49,T$5&lt;=$F49),IF(T$5=$E49+1,$C49,""),"")</f>
        <v/>
      </c>
      <c r="U49" s="34">
        <f>IF(AND(U$5&gt;$E49,U$5&lt;=$F49),IF(U$5=$E49+1,$C49,""),"")</f>
        <v/>
      </c>
      <c r="V49" s="34">
        <f>IF(AND(V$5&gt;$E49,V$5&lt;=$F49),IF(V$5=$E49+1,$C49,""),"")</f>
        <v/>
      </c>
      <c r="W49" s="34">
        <f>IF(AND(W$5&gt;$E49,W$5&lt;=$F49),IF(W$5=$E49+1,$C49,""),"")</f>
        <v/>
      </c>
      <c r="X49" s="34">
        <f>IF(AND(X$5&gt;$E49,X$5&lt;=$F49),IF(X$5=$E49+1,$C49,""),"")</f>
        <v/>
      </c>
      <c r="Y49" s="34">
        <f>IF(AND(Y$5&gt;$E49,Y$5&lt;=$F49),IF(Y$5=$E49+1,$C49,""),"")</f>
        <v/>
      </c>
      <c r="Z49" s="34">
        <f>IF(AND(Z$5&gt;$E49,Z$5&lt;=$F49),IF(Z$5=$E49+1,$C49,""),"")</f>
        <v/>
      </c>
      <c r="AA49" s="34">
        <f>IF(AND(AA$5&gt;$E49,AA$5&lt;=$F49),IF(AA$5=$E49+1,$C49,""),"")</f>
        <v/>
      </c>
      <c r="AB49" s="34">
        <f>IF(AND(AB$5&gt;$E49,AB$5&lt;=$F49),IF(AB$5=$E49+1,$C49,""),"")</f>
        <v/>
      </c>
      <c r="AC49" s="34">
        <f>IF(AND(AC$5&gt;$E49,AC$5&lt;=$F49),IF(AC$5=$E49+1,$C49,""),"")</f>
        <v/>
      </c>
      <c r="AD49" s="34">
        <f>IF(AND(AD$5&gt;$E49,AD$5&lt;=$F49),IF(AD$5=$E49+1,$C49,""),"")</f>
        <v/>
      </c>
      <c r="AE49" s="34">
        <f>IF(AND(AE$5&gt;$E49,AE$5&lt;=$F49),IF(AE$5=$E49+1,$C49,""),"")</f>
        <v/>
      </c>
      <c r="AF49" s="34">
        <f>IF(AND(AF$5&gt;$E49,AF$5&lt;=$F49),IF(AF$5=$E49+1,$C49,""),"")</f>
        <v/>
      </c>
      <c r="AG49" s="34">
        <f>IF(AND(AG$5&gt;$E49,AG$5&lt;=$F49),IF(AG$5=$E49+1,$C49,""),"")</f>
        <v/>
      </c>
      <c r="AH49" s="34">
        <f>IF(AND(AH$5&gt;$E49,AH$5&lt;=$F49),IF(AH$5=$E49+1,$C49,""),"")</f>
        <v/>
      </c>
      <c r="AI49" s="34">
        <f>IF(AND(AI$5&gt;$E49,AI$5&lt;=$F49),IF(AI$5=$E49+1,$C49,""),"")</f>
        <v/>
      </c>
      <c r="AJ49" s="34">
        <f>IF(AND(AJ$5&gt;$E49,AJ$5&lt;=$F49),IF(AJ$5=$E49+1,$C49,""),"")</f>
        <v/>
      </c>
      <c r="AK49" s="34">
        <f>IF(AND(AK$5&gt;$E49,AK$5&lt;=$F49),IF(AK$5=$E49+1,$C49,""),"")</f>
        <v/>
      </c>
      <c r="AL49" s="34">
        <f>IF(AND(AL$5&gt;$E49,AL$5&lt;=$F49),IF(AL$5=$E49+1,$C49,""),"")</f>
        <v/>
      </c>
      <c r="AM49" s="34">
        <f>IF(AND(AM$5&gt;$E49,AM$5&lt;=$F49),IF(AM$5=$E49+1,$C49,""),"")</f>
        <v/>
      </c>
      <c r="AN49" s="34">
        <f>IF(AND(AN$5&gt;$E49,AN$5&lt;=$F49),IF(AN$5=$E49+1,$C49,""),"")</f>
        <v/>
      </c>
      <c r="AO49" s="34">
        <f>IF(AND(AO$5&gt;$E49,AO$5&lt;=$F49),IF(AO$5=$E49+1,$C49,""),"")</f>
        <v/>
      </c>
      <c r="AP49" s="34">
        <f>IF(AND(AP$5&gt;$E49,AP$5&lt;=$F49),IF(AP$5=$E49+1,$C49,""),"")</f>
        <v/>
      </c>
      <c r="AQ49" s="34">
        <f>IF(AND(AQ$5&gt;$E49,AQ$5&lt;=$F49),IF(AQ$5=$E49+1,$C49,""),"")</f>
        <v/>
      </c>
      <c r="AR49" s="34">
        <f>IF(AND(AR$5&gt;$E49,AR$5&lt;=$F49),IF(AR$5=$E49+1,$C49,""),"")</f>
        <v/>
      </c>
      <c r="AS49" s="34">
        <f>IF(AND(AS$5&gt;$E49,AS$5&lt;=$F49),IF(AS$5=$E49+1,$C49,""),"")</f>
        <v/>
      </c>
      <c r="AT49" s="34">
        <f>IF(AND(AT$5&gt;$E49,AT$5&lt;=$F49),IF(AT$5=$E49+1,$C49,""),"")</f>
        <v/>
      </c>
      <c r="AU49" s="34">
        <f>IF(AND(AU$5&gt;$E49,AU$5&lt;=$F49),IF(AU$5=$E49+1,$C49,""),"")</f>
        <v/>
      </c>
      <c r="AV49" s="34">
        <f>IF(AND(AV$5&gt;$E49,AV$5&lt;=$F49),IF(AV$5=$E49+1,$C49,""),"")</f>
        <v/>
      </c>
      <c r="AW49" s="34">
        <f>IF(AND(AW$5&gt;$E49,AW$5&lt;=$F49),IF(AW$5=$E49+1,$C49,""),"")</f>
        <v/>
      </c>
      <c r="AX49" s="34">
        <f>IF(AND(AX$5&gt;$E49,AX$5&lt;=$F49),IF(AX$5=$E49+1,$C49,""),"")</f>
        <v/>
      </c>
      <c r="AY49" s="34">
        <f>IF(AND(AY$5&gt;$E49,AY$5&lt;=$F49),IF(AY$5=$E49+1,$C49,""),"")</f>
        <v/>
      </c>
      <c r="AZ49" s="34">
        <f>IF(AND(AZ$5&gt;$E49,AZ$5&lt;=$F49),IF(AZ$5=$E49+1,$C49,""),"")</f>
        <v/>
      </c>
      <c r="BA49" s="34">
        <f>IF(AND(BA$5&gt;$E49,BA$5&lt;=$F49),IF(BA$5=$E49+1,$C49,""),"")</f>
        <v/>
      </c>
      <c r="BB49" s="34">
        <f>IF(AND(BB$5&gt;$E49,BB$5&lt;=$F49),IF(BB$5=$E49+1,$C49,""),"")</f>
        <v/>
      </c>
      <c r="BC49" s="34">
        <f>IF(AND(BC$5&gt;$E49,BC$5&lt;=$F49),IF(BC$5=$E49+1,$C49,""),"")</f>
        <v/>
      </c>
      <c r="BD49" s="34">
        <f>IF(AND(BD$5&gt;$E49,BD$5&lt;=$F49),IF(BD$5=$E49+1,$C49,""),"")</f>
        <v/>
      </c>
      <c r="BE49" s="34">
        <f>IF(AND(BE$5&gt;$E49,BE$5&lt;=$F49),IF(BE$5=$E49+1,$C49,""),"")</f>
        <v/>
      </c>
      <c r="BF49" s="34">
        <f>IF(AND(BF$5&gt;$E49,BF$5&lt;=$F49),IF(BF$5=$E49+1,$C49,""),"")</f>
        <v/>
      </c>
      <c r="BG49" s="34">
        <f>IF(AND(BG$5&gt;$E49,BG$5&lt;=$F49),IF(BG$5=$E49+1,$C49,""),"")</f>
        <v/>
      </c>
      <c r="BH49" s="34">
        <f>IF(AND(BH$5&gt;$E49,BH$5&lt;=$F49),IF(BH$5=$E49+1,$C49,""),"")</f>
        <v/>
      </c>
      <c r="BI49" s="34">
        <f>IF(AND(BI$5&gt;$E49,BI$5&lt;=$F49),IF(BI$5=$E49+1,$C49,""),"")</f>
        <v/>
      </c>
      <c r="BJ49" s="34">
        <f>IF(AND(BJ$5&gt;$E49,BJ$5&lt;=$F49),IF(BJ$5=$E49+1,$C49,""),"")</f>
        <v/>
      </c>
      <c r="BK49" s="34">
        <f>IF(AND(BK$5&gt;$E49,BK$5&lt;=$F49),IF(BK$5=$E49+1,$C49,""),"")</f>
        <v/>
      </c>
      <c r="BL49" s="34">
        <f>IF(AND(BL$5&gt;$E49,BL$5&lt;=$F49),IF(BL$5=$E49+1,$C49,""),"")</f>
        <v/>
      </c>
      <c r="BM49" s="34">
        <f>IF(AND(BM$5&gt;$E49,BM$5&lt;=$F49),IF(BM$5=$E49+1,$C49,""),"")</f>
        <v/>
      </c>
      <c r="BN49" s="34">
        <f>IF(AND(BN$5&gt;$E49,BN$5&lt;=$F49),IF(BN$5=$E49+1,$C49,""),"")</f>
        <v/>
      </c>
      <c r="BO49" s="34">
        <f>IF(AND(BO$5&gt;$E49,BO$5&lt;=$F49),IF(BO$5=$E49+1,$C49,""),"")</f>
        <v/>
      </c>
      <c r="BP49" s="34">
        <f>IF(AND(BP$5&gt;$E49,BP$5&lt;=$F49),IF(BP$5=$E49+1,$C49,""),"")</f>
        <v/>
      </c>
      <c r="BQ49" s="34">
        <f>IF(AND(BQ$5&gt;$E49,BQ$5&lt;=$F49),IF(BQ$5=$E49+1,$C49,""),"")</f>
        <v/>
      </c>
      <c r="BR49" s="34">
        <f>IF(AND(BR$5&gt;$E49,BR$5&lt;=$F49),IF(BR$5=$E49+1,$C49,""),"")</f>
        <v/>
      </c>
      <c r="BS49" s="34">
        <f>IF(AND(BS$5&gt;$E49,BS$5&lt;=$F49),IF(BS$5=$E49+1,$C49,""),"")</f>
        <v/>
      </c>
      <c r="BT49" s="34">
        <f>IF(AND(BT$5&gt;$E49,BT$5&lt;=$F49),IF(BT$5=$E49+1,$C49,""),"")</f>
        <v/>
      </c>
      <c r="BU49" s="34">
        <f>IF(AND(BU$5&gt;$E49,BU$5&lt;=$F49),IF(BU$5=$E49+1,$C49,""),"")</f>
        <v/>
      </c>
      <c r="BV49" s="34">
        <f>IF(AND(BV$5&gt;$E49,BV$5&lt;=$F49),IF(BV$5=$E49+1,$C49,""),"")</f>
        <v/>
      </c>
      <c r="BW49" s="34">
        <f>IF(AND(BW$5&gt;$E49,BW$5&lt;=$F49),IF(BW$5=$E49+1,$C49,""),"")</f>
        <v/>
      </c>
      <c r="BX49" s="34">
        <f>IF(AND(BX$5&gt;$E49,BX$5&lt;=$F49),IF(BX$5=$E49+1,$C49,""),"")</f>
        <v/>
      </c>
      <c r="BY49" s="34">
        <f>IF(AND(BY$5&gt;$E49,BY$5&lt;=$F49),IF(BY$5=$E49+1,$C49,""),"")</f>
        <v/>
      </c>
      <c r="BZ49" s="34">
        <f>IF(AND(BZ$5&gt;$E49,BZ$5&lt;=$F49),IF(BZ$5=$E49+1,$C49,""),"")</f>
        <v/>
      </c>
      <c r="CA49" s="34">
        <f>IF(AND(CA$5&gt;$E49,CA$5&lt;=$F49),IF(CA$5=$E49+1,$C49,""),"")</f>
        <v/>
      </c>
      <c r="CB49" s="34">
        <f>IF(AND(CB$5&gt;$E49,CB$5&lt;=$F49),IF(CB$5=$E49+1,$C49,""),"")</f>
        <v/>
      </c>
      <c r="CC49" s="34">
        <f>IF(AND(CC$5&gt;$E49,CC$5&lt;=$F49),IF(CC$5=$E49+1,$C49,""),"")</f>
        <v/>
      </c>
      <c r="CD49" s="34">
        <f>IF(AND(CD$5&gt;$E49,CD$5&lt;=$F49),IF(CD$5=$E49+1,$C49,""),"")</f>
        <v/>
      </c>
      <c r="CE49" s="34">
        <f>IF(AND(CE$5&gt;$E49,CE$5&lt;=$F49),IF(CE$5=$E49+1,$C49,""),"")</f>
        <v/>
      </c>
      <c r="CF49" s="34">
        <f>IF(AND(CF$5&gt;$E49,CF$5&lt;=$F49),IF(CF$5=$E49+1,$C49,""),"")</f>
        <v/>
      </c>
      <c r="CG49" s="34">
        <f>IF(AND(CG$5&gt;$E49,CG$5&lt;=$F49),IF(CG$5=$E49+1,$C49,""),"")</f>
        <v/>
      </c>
      <c r="CH49" s="34">
        <f>IF(AND(CH$5&gt;$E49,CH$5&lt;=$F49),IF(CH$5=$E49+1,$C49,""),"")</f>
        <v/>
      </c>
      <c r="CI49" s="34">
        <f>IF(AND(CI$5&gt;$E49,CI$5&lt;=$F49),IF(CI$5=$E49+1,$C49,""),"")</f>
        <v/>
      </c>
      <c r="CJ49" s="34">
        <f>IF(AND(CJ$5&gt;$E49,CJ$5&lt;=$F49),IF(CJ$5=$E49+1,$C49,""),"")</f>
        <v/>
      </c>
      <c r="CK49" s="34">
        <f>IF(AND(CK$5&gt;$E49,CK$5&lt;=$F49),IF(CK$5=$E49+1,$C49,""),"")</f>
        <v/>
      </c>
      <c r="CL49" s="34">
        <f>IF(AND(CL$5&gt;$E49,CL$5&lt;=$F49),IF(CL$5=$E49+1,$C49,""),"")</f>
        <v/>
      </c>
      <c r="CM49" s="34">
        <f>IF(AND(CM$5&gt;$E49,CM$5&lt;=$F49),IF(CM$5=$E49+1,$C49,""),"")</f>
        <v/>
      </c>
      <c r="CN49" s="34">
        <f>IF(AND(CN$5&gt;$E49,CN$5&lt;=$F49),IF(CN$5=$E49+1,$C49,""),"")</f>
        <v/>
      </c>
      <c r="CO49" s="34">
        <f>IF(AND(CO$5&gt;$E49,CO$5&lt;=$F49),IF(CO$5=$E49+1,$C49,""),"")</f>
        <v/>
      </c>
      <c r="CP49" s="34">
        <f>IF(AND(CP$5&gt;$E49,CP$5&lt;=$F49),IF(CP$5=$E49+1,$C49,""),"")</f>
        <v/>
      </c>
      <c r="CQ49" s="34">
        <f>IF(AND(CQ$5&gt;$E49,CQ$5&lt;=$F49),IF(CQ$5=$E49+1,$C49,""),"")</f>
        <v/>
      </c>
      <c r="CR49" s="34">
        <f>IF(AND(CR$5&gt;$E49,CR$5&lt;=$F49),IF(CR$5=$E49+1,$C49,""),"")</f>
        <v/>
      </c>
      <c r="CS49" s="34">
        <f>IF(AND(CS$5&gt;$E49,CS$5&lt;=$F49),IF(CS$5=$E49+1,$C49,""),"")</f>
        <v/>
      </c>
      <c r="CT49" s="34">
        <f>IF(AND(CT$5&gt;$E49,CT$5&lt;=$F49),IF(CT$5=$E49+1,$C49,""),"")</f>
        <v/>
      </c>
      <c r="CU49" s="34">
        <f>IF(AND(CU$5&gt;$E49,CU$5&lt;=$F49),IF(CU$5=$E49+1,$C49,""),"")</f>
        <v/>
      </c>
      <c r="CV49" s="34">
        <f>IF(AND(CV$5&gt;$E49,CV$5&lt;=$F49),IF(CV$5=$E49+1,$C49,""),"")</f>
        <v/>
      </c>
      <c r="CW49" s="34">
        <f>IF(AND(CW$5&gt;$E49,CW$5&lt;=$F49),IF(CW$5=$E49+1,$C49,""),"")</f>
        <v/>
      </c>
      <c r="CX49" s="34">
        <f>IF(AND(CX$5&gt;$E49,CX$5&lt;=$F49),IF(CX$5=$E49+1,$C49,""),"")</f>
        <v/>
      </c>
      <c r="CY49" s="34">
        <f>IF(AND(CY$5&gt;$E49,CY$5&lt;=$F49),IF(CY$5=$E49+1,$C49,""),"")</f>
        <v/>
      </c>
      <c r="CZ49" s="34">
        <f>IF(AND(CZ$5&gt;$E49,CZ$5&lt;=$F49),IF(CZ$5=$E49+1,$C49,""),"")</f>
        <v/>
      </c>
      <c r="DA49" s="34">
        <f>IF(AND(DA$5&gt;$E49,DA$5&lt;=$F49),IF(DA$5=$E49+1,$C49,""),"")</f>
        <v/>
      </c>
      <c r="DB49" s="34">
        <f>IF(AND(DB$5&gt;$E49,DB$5&lt;=$F49),IF(DB$5=$E49+1,$C49,""),"")</f>
        <v/>
      </c>
      <c r="DC49" s="34">
        <f>IF(AND(DC$5&gt;$E49,DC$5&lt;=$F49),IF(DC$5=$E49+1,$C49,""),"")</f>
        <v/>
      </c>
      <c r="DD49" s="34">
        <f>IF(AND(DD$5&gt;$E49,DD$5&lt;=$F49),IF(DD$5=$E49+1,$C49,""),"")</f>
        <v/>
      </c>
      <c r="DE49" s="34">
        <f>IF(AND(DE$5&gt;$E49,DE$5&lt;=$F49),IF(DE$5=$E49+1,$C49,""),"")</f>
        <v/>
      </c>
      <c r="DF49" s="34">
        <f>IF(AND(DF$5&gt;$E49,DF$5&lt;=$F49),IF(DF$5=$E49+1,$C49,""),"")</f>
        <v/>
      </c>
      <c r="DG49" s="34">
        <f>IF(AND(DG$5&gt;$E49,DG$5&lt;=$F49),IF(DG$5=$E49+1,$C49,""),"")</f>
        <v/>
      </c>
      <c r="DH49" s="34">
        <f>IF(AND(DH$5&gt;$E49,DH$5&lt;=$F49),IF(DH$5=$E49+1,$C49,""),"")</f>
        <v/>
      </c>
      <c r="DI49" s="34">
        <f>IF(AND(DI$5&gt;$E49,DI$5&lt;=$F49),IF(DI$5=$E49+1,$C49,""),"")</f>
        <v/>
      </c>
      <c r="DJ49" s="34">
        <f>IF(AND(DJ$5&gt;$E49,DJ$5&lt;=$F49),IF(DJ$5=$E49+1,$C49,""),"")</f>
        <v/>
      </c>
      <c r="DK49" s="34">
        <f>IF(AND(DK$5&gt;$E49,DK$5&lt;=$F49),IF(DK$5=$E49+1,$C49,""),"")</f>
        <v/>
      </c>
      <c r="DL49" s="34">
        <f>IF(AND(DL$5&gt;$E49,DL$5&lt;=$F49),IF(DL$5=$E49+1,$C49,""),"")</f>
        <v/>
      </c>
      <c r="DM49" s="34">
        <f>IF(AND(DM$5&gt;$E49,DM$5&lt;=$F49),IF(DM$5=$E49+1,$C49,""),"")</f>
        <v/>
      </c>
      <c r="DN49" s="34">
        <f>IF(AND(DN$5&gt;$E49,DN$5&lt;=$F49),IF(DN$5=$E49+1,$C49,""),"")</f>
        <v/>
      </c>
      <c r="DO49" s="34">
        <f>IF(AND(DO$5&gt;$E49,DO$5&lt;=$F49),IF(DO$5=$E49+1,$C49,""),"")</f>
        <v/>
      </c>
      <c r="DP49" s="34">
        <f>IF(AND(DP$5&gt;$E49,DP$5&lt;=$F49),IF(DP$5=$E49+1,$C49,""),"")</f>
        <v/>
      </c>
      <c r="DQ49" s="34">
        <f>IF(AND(DQ$5&gt;$E49,DQ$5&lt;=$F49),IF(DQ$5=$E49+1,$C49,""),"")</f>
        <v/>
      </c>
      <c r="DR49" s="34">
        <f>IF(AND(DR$5&gt;$E49,DR$5&lt;=$F49),IF(DR$5=$E49+1,$C49,""),"")</f>
        <v/>
      </c>
      <c r="DS49" s="34">
        <f>IF(AND(DS$5&gt;$E49,DS$5&lt;=$F49),IF(DS$5=$E49+1,$C49,""),"")</f>
        <v/>
      </c>
      <c r="DT49" s="34">
        <f>IF(AND(DT$5&gt;$E49,DT$5&lt;=$F49),IF(DT$5=$E49+1,$C49,""),"")</f>
        <v/>
      </c>
      <c r="DU49" s="34">
        <f>IF(AND(DU$5&gt;$E49,DU$5&lt;=$F49),IF(DU$5=$E49+1,$C49,""),"")</f>
        <v/>
      </c>
      <c r="DV49" s="34">
        <f>IF(AND(DV$5&gt;$E49,DV$5&lt;=$F49),IF(DV$5=$E49+1,$C49,""),"")</f>
        <v/>
      </c>
      <c r="DW49" s="34">
        <f>IF(AND(DW$5&gt;$E49,DW$5&lt;=$F49),IF(DW$5=$E49+1,$C49,""),"")</f>
        <v/>
      </c>
      <c r="DX49" s="34">
        <f>IF(AND(DX$5&gt;$E49,DX$5&lt;=$F49),IF(DX$5=$E49+1,$C49,""),"")</f>
        <v/>
      </c>
      <c r="DY49" s="34">
        <f>IF(AND(DY$5&gt;$E49,DY$5&lt;=$F49),IF(DY$5=$E49+1,$C49,""),"")</f>
        <v/>
      </c>
      <c r="DZ49" s="34">
        <f>IF(AND(DZ$5&gt;$E49,DZ$5&lt;=$F49),IF(DZ$5=$E49+1,$C49,""),"")</f>
        <v/>
      </c>
      <c r="EA49" s="34">
        <f>IF(AND(EA$5&gt;$E49,EA$5&lt;=$F49),IF(EA$5=$E49+1,$C49,""),"")</f>
        <v/>
      </c>
      <c r="EB49" s="34">
        <f>IF(AND(EB$5&gt;$E49,EB$5&lt;=$F49),IF(EB$5=$E49+1,$C49,""),"")</f>
        <v/>
      </c>
      <c r="EC49" s="34">
        <f>IF(AND(EC$5&gt;$E49,EC$5&lt;=$F49),IF(EC$5=$E49+1,$C49,""),"")</f>
        <v/>
      </c>
      <c r="ED49" s="34">
        <f>IF(AND(ED$5&gt;$E49,ED$5&lt;=$F49),IF(ED$5=$E49+1,$C49,""),"")</f>
        <v/>
      </c>
      <c r="EE49" s="34">
        <f>IF(AND(EE$5&gt;$E49,EE$5&lt;=$F49),IF(EE$5=$E49+1,$C49,""),"")</f>
        <v/>
      </c>
      <c r="EF49" s="34">
        <f>IF(AND(EF$5&gt;$E49,EF$5&lt;=$F49),IF(EF$5=$E49+1,$C49,""),"")</f>
        <v/>
      </c>
      <c r="EG49" s="34">
        <f>IF(AND(EG$5&gt;$E49,EG$5&lt;=$F49),IF(EG$5=$E49+1,$C49,""),"")</f>
        <v/>
      </c>
      <c r="EH49" s="34">
        <f>IF(AND(EH$5&gt;$E49,EH$5&lt;=$F49),IF(EH$5=$E49+1,$C49,""),"")</f>
        <v/>
      </c>
      <c r="EI49" s="34">
        <f>IF(AND(EI$5&gt;$E49,EI$5&lt;=$F49),IF(EI$5=$E49+1,$C49,""),"")</f>
        <v/>
      </c>
      <c r="EJ49" s="34">
        <f>IF(AND(EJ$5&gt;$E49,EJ$5&lt;=$F49),IF(EJ$5=$E49+1,$C49,""),"")</f>
        <v/>
      </c>
      <c r="EK49" s="34">
        <f>IF(AND(EK$5&gt;$E49,EK$5&lt;=$F49),IF(EK$5=$E49+1,$C49,""),"")</f>
        <v/>
      </c>
      <c r="EL49" s="34">
        <f>IF(AND(EL$5&gt;$E49,EL$5&lt;=$F49),IF(EL$5=$E49+1,$C49,""),"")</f>
        <v/>
      </c>
      <c r="EM49" s="34">
        <f>IF(AND(EM$5&gt;$E49,EM$5&lt;=$F49),IF(EM$5=$E49+1,$C49,""),"")</f>
        <v/>
      </c>
      <c r="EN49" s="34">
        <f>IF(AND(EN$5&gt;$E49,EN$5&lt;=$F49),IF(EN$5=$E49+1,$C49,""),"")</f>
        <v/>
      </c>
      <c r="EO49" s="34">
        <f>IF(AND(EO$5&gt;$E49,EO$5&lt;=$F49),IF(EO$5=$E49+1,$C49,""),"")</f>
        <v/>
      </c>
      <c r="EP49" s="34">
        <f>IF(AND(EP$5&gt;$E49,EP$5&lt;=$F49),IF(EP$5=$E49+1,$C49,""),"")</f>
        <v/>
      </c>
      <c r="EQ49" s="34">
        <f>IF(AND(EQ$5&gt;$E49,EQ$5&lt;=$F49),IF(EQ$5=$E49+1,$C49,""),"")</f>
        <v/>
      </c>
      <c r="ER49" s="34">
        <f>IF(AND(ER$5&gt;$E49,ER$5&lt;=$F49),IF(ER$5=$E49+1,$C49,""),"")</f>
        <v/>
      </c>
      <c r="ES49" s="34">
        <f>IF(AND(ES$5&gt;$E49,ES$5&lt;=$F49),IF(ES$5=$E49+1,$C49,""),"")</f>
        <v/>
      </c>
      <c r="ET49" s="34">
        <f>IF(AND(ET$5&gt;$E49,ET$5&lt;=$F49),IF(ET$5=$E49+1,$C49,""),"")</f>
        <v/>
      </c>
      <c r="EU49" s="34">
        <f>IF(AND(EU$5&gt;$E49,EU$5&lt;=$F49),IF(EU$5=$E49+1,$C49,""),"")</f>
        <v/>
      </c>
      <c r="EV49" s="34">
        <f>IF(AND(EV$5&gt;$E49,EV$5&lt;=$F49),IF(EV$5=$E49+1,$C49,""),"")</f>
        <v/>
      </c>
      <c r="EW49" s="34">
        <f>IF(AND(EW$5&gt;$E49,EW$5&lt;=$F49),IF(EW$5=$E49+1,$C49,""),"")</f>
        <v/>
      </c>
      <c r="EX49" s="34">
        <f>IF(AND(EX$5&gt;$E49,EX$5&lt;=$F49),IF(EX$5=$E49+1,$C49,""),"")</f>
        <v/>
      </c>
      <c r="EY49" s="34">
        <f>IF(AND(EY$5&gt;$E49,EY$5&lt;=$F49),IF(EY$5=$E49+1,$C49,""),"")</f>
        <v/>
      </c>
      <c r="EZ49" s="34">
        <f>IF(AND(EZ$5&gt;$E49,EZ$5&lt;=$F49),IF(EZ$5=$E49+1,$C49,""),"")</f>
        <v/>
      </c>
      <c r="FA49" s="34">
        <f>IF(AND(FA$5&gt;$E49,FA$5&lt;=$F49),IF(FA$5=$E49+1,$C49,""),"")</f>
        <v/>
      </c>
    </row>
    <row r="50">
      <c r="A50" s="32">
        <f>Plan!A39</f>
        <v/>
      </c>
      <c r="B50" s="33">
        <f>Plan!C39</f>
        <v/>
      </c>
      <c r="C50" s="16">
        <f>Plan!D39</f>
        <v/>
      </c>
      <c r="D50" s="16">
        <f>Plan!I39</f>
        <v/>
      </c>
      <c r="E50" s="16">
        <f>Plan!K39</f>
        <v/>
      </c>
      <c r="F50" s="16">
        <f>Plan!L39</f>
        <v/>
      </c>
      <c r="G50" s="16">
        <f>Plan!O39</f>
        <v/>
      </c>
      <c r="H50" s="34">
        <f>IF(AND(H$5&gt;$E50,H$5&lt;=$F50),IF(H$5=$E50+1,$C50,""),"")</f>
        <v/>
      </c>
      <c r="I50" s="34">
        <f>IF(AND(I$5&gt;$E50,I$5&lt;=$F50),IF(I$5=$E50+1,$C50,""),"")</f>
        <v/>
      </c>
      <c r="J50" s="34">
        <f>IF(AND(J$5&gt;$E50,J$5&lt;=$F50),IF(J$5=$E50+1,$C50,""),"")</f>
        <v/>
      </c>
      <c r="K50" s="34">
        <f>IF(AND(K$5&gt;$E50,K$5&lt;=$F50),IF(K$5=$E50+1,$C50,""),"")</f>
        <v/>
      </c>
      <c r="L50" s="34">
        <f>IF(AND(L$5&gt;$E50,L$5&lt;=$F50),IF(L$5=$E50+1,$C50,""),"")</f>
        <v/>
      </c>
      <c r="M50" s="34">
        <f>IF(AND(M$5&gt;$E50,M$5&lt;=$F50),IF(M$5=$E50+1,$C50,""),"")</f>
        <v/>
      </c>
      <c r="N50" s="34">
        <f>IF(AND(N$5&gt;$E50,N$5&lt;=$F50),IF(N$5=$E50+1,$C50,""),"")</f>
        <v/>
      </c>
      <c r="O50" s="34">
        <f>IF(AND(O$5&gt;$E50,O$5&lt;=$F50),IF(O$5=$E50+1,$C50,""),"")</f>
        <v/>
      </c>
      <c r="P50" s="34">
        <f>IF(AND(P$5&gt;$E50,P$5&lt;=$F50),IF(P$5=$E50+1,$C50,""),"")</f>
        <v/>
      </c>
      <c r="Q50" s="34">
        <f>IF(AND(Q$5&gt;$E50,Q$5&lt;=$F50),IF(Q$5=$E50+1,$C50,""),"")</f>
        <v/>
      </c>
      <c r="R50" s="34">
        <f>IF(AND(R$5&gt;$E50,R$5&lt;=$F50),IF(R$5=$E50+1,$C50,""),"")</f>
        <v/>
      </c>
      <c r="S50" s="34">
        <f>IF(AND(S$5&gt;$E50,S$5&lt;=$F50),IF(S$5=$E50+1,$C50,""),"")</f>
        <v/>
      </c>
      <c r="T50" s="34">
        <f>IF(AND(T$5&gt;$E50,T$5&lt;=$F50),IF(T$5=$E50+1,$C50,""),"")</f>
        <v/>
      </c>
      <c r="U50" s="34">
        <f>IF(AND(U$5&gt;$E50,U$5&lt;=$F50),IF(U$5=$E50+1,$C50,""),"")</f>
        <v/>
      </c>
      <c r="V50" s="34">
        <f>IF(AND(V$5&gt;$E50,V$5&lt;=$F50),IF(V$5=$E50+1,$C50,""),"")</f>
        <v/>
      </c>
      <c r="W50" s="34">
        <f>IF(AND(W$5&gt;$E50,W$5&lt;=$F50),IF(W$5=$E50+1,$C50,""),"")</f>
        <v/>
      </c>
      <c r="X50" s="34">
        <f>IF(AND(X$5&gt;$E50,X$5&lt;=$F50),IF(X$5=$E50+1,$C50,""),"")</f>
        <v/>
      </c>
      <c r="Y50" s="34">
        <f>IF(AND(Y$5&gt;$E50,Y$5&lt;=$F50),IF(Y$5=$E50+1,$C50,""),"")</f>
        <v/>
      </c>
      <c r="Z50" s="34">
        <f>IF(AND(Z$5&gt;$E50,Z$5&lt;=$F50),IF(Z$5=$E50+1,$C50,""),"")</f>
        <v/>
      </c>
      <c r="AA50" s="34">
        <f>IF(AND(AA$5&gt;$E50,AA$5&lt;=$F50),IF(AA$5=$E50+1,$C50,""),"")</f>
        <v/>
      </c>
      <c r="AB50" s="34">
        <f>IF(AND(AB$5&gt;$E50,AB$5&lt;=$F50),IF(AB$5=$E50+1,$C50,""),"")</f>
        <v/>
      </c>
      <c r="AC50" s="34">
        <f>IF(AND(AC$5&gt;$E50,AC$5&lt;=$F50),IF(AC$5=$E50+1,$C50,""),"")</f>
        <v/>
      </c>
      <c r="AD50" s="34">
        <f>IF(AND(AD$5&gt;$E50,AD$5&lt;=$F50),IF(AD$5=$E50+1,$C50,""),"")</f>
        <v/>
      </c>
      <c r="AE50" s="34">
        <f>IF(AND(AE$5&gt;$E50,AE$5&lt;=$F50),IF(AE$5=$E50+1,$C50,""),"")</f>
        <v/>
      </c>
      <c r="AF50" s="34">
        <f>IF(AND(AF$5&gt;$E50,AF$5&lt;=$F50),IF(AF$5=$E50+1,$C50,""),"")</f>
        <v/>
      </c>
      <c r="AG50" s="34">
        <f>IF(AND(AG$5&gt;$E50,AG$5&lt;=$F50),IF(AG$5=$E50+1,$C50,""),"")</f>
        <v/>
      </c>
      <c r="AH50" s="34">
        <f>IF(AND(AH$5&gt;$E50,AH$5&lt;=$F50),IF(AH$5=$E50+1,$C50,""),"")</f>
        <v/>
      </c>
      <c r="AI50" s="34">
        <f>IF(AND(AI$5&gt;$E50,AI$5&lt;=$F50),IF(AI$5=$E50+1,$C50,""),"")</f>
        <v/>
      </c>
      <c r="AJ50" s="34">
        <f>IF(AND(AJ$5&gt;$E50,AJ$5&lt;=$F50),IF(AJ$5=$E50+1,$C50,""),"")</f>
        <v/>
      </c>
      <c r="AK50" s="34">
        <f>IF(AND(AK$5&gt;$E50,AK$5&lt;=$F50),IF(AK$5=$E50+1,$C50,""),"")</f>
        <v/>
      </c>
      <c r="AL50" s="34">
        <f>IF(AND(AL$5&gt;$E50,AL$5&lt;=$F50),IF(AL$5=$E50+1,$C50,""),"")</f>
        <v/>
      </c>
      <c r="AM50" s="34">
        <f>IF(AND(AM$5&gt;$E50,AM$5&lt;=$F50),IF(AM$5=$E50+1,$C50,""),"")</f>
        <v/>
      </c>
      <c r="AN50" s="34">
        <f>IF(AND(AN$5&gt;$E50,AN$5&lt;=$F50),IF(AN$5=$E50+1,$C50,""),"")</f>
        <v/>
      </c>
      <c r="AO50" s="34">
        <f>IF(AND(AO$5&gt;$E50,AO$5&lt;=$F50),IF(AO$5=$E50+1,$C50,""),"")</f>
        <v/>
      </c>
      <c r="AP50" s="34">
        <f>IF(AND(AP$5&gt;$E50,AP$5&lt;=$F50),IF(AP$5=$E50+1,$C50,""),"")</f>
        <v/>
      </c>
      <c r="AQ50" s="34">
        <f>IF(AND(AQ$5&gt;$E50,AQ$5&lt;=$F50),IF(AQ$5=$E50+1,$C50,""),"")</f>
        <v/>
      </c>
      <c r="AR50" s="34">
        <f>IF(AND(AR$5&gt;$E50,AR$5&lt;=$F50),IF(AR$5=$E50+1,$C50,""),"")</f>
        <v/>
      </c>
      <c r="AS50" s="34">
        <f>IF(AND(AS$5&gt;$E50,AS$5&lt;=$F50),IF(AS$5=$E50+1,$C50,""),"")</f>
        <v/>
      </c>
      <c r="AT50" s="34">
        <f>IF(AND(AT$5&gt;$E50,AT$5&lt;=$F50),IF(AT$5=$E50+1,$C50,""),"")</f>
        <v/>
      </c>
      <c r="AU50" s="34">
        <f>IF(AND(AU$5&gt;$E50,AU$5&lt;=$F50),IF(AU$5=$E50+1,$C50,""),"")</f>
        <v/>
      </c>
      <c r="AV50" s="34">
        <f>IF(AND(AV$5&gt;$E50,AV$5&lt;=$F50),IF(AV$5=$E50+1,$C50,""),"")</f>
        <v/>
      </c>
      <c r="AW50" s="34">
        <f>IF(AND(AW$5&gt;$E50,AW$5&lt;=$F50),IF(AW$5=$E50+1,$C50,""),"")</f>
        <v/>
      </c>
      <c r="AX50" s="34">
        <f>IF(AND(AX$5&gt;$E50,AX$5&lt;=$F50),IF(AX$5=$E50+1,$C50,""),"")</f>
        <v/>
      </c>
      <c r="AY50" s="34">
        <f>IF(AND(AY$5&gt;$E50,AY$5&lt;=$F50),IF(AY$5=$E50+1,$C50,""),"")</f>
        <v/>
      </c>
      <c r="AZ50" s="34">
        <f>IF(AND(AZ$5&gt;$E50,AZ$5&lt;=$F50),IF(AZ$5=$E50+1,$C50,""),"")</f>
        <v/>
      </c>
      <c r="BA50" s="34">
        <f>IF(AND(BA$5&gt;$E50,BA$5&lt;=$F50),IF(BA$5=$E50+1,$C50,""),"")</f>
        <v/>
      </c>
      <c r="BB50" s="34">
        <f>IF(AND(BB$5&gt;$E50,BB$5&lt;=$F50),IF(BB$5=$E50+1,$C50,""),"")</f>
        <v/>
      </c>
      <c r="BC50" s="34">
        <f>IF(AND(BC$5&gt;$E50,BC$5&lt;=$F50),IF(BC$5=$E50+1,$C50,""),"")</f>
        <v/>
      </c>
      <c r="BD50" s="34">
        <f>IF(AND(BD$5&gt;$E50,BD$5&lt;=$F50),IF(BD$5=$E50+1,$C50,""),"")</f>
        <v/>
      </c>
      <c r="BE50" s="34">
        <f>IF(AND(BE$5&gt;$E50,BE$5&lt;=$F50),IF(BE$5=$E50+1,$C50,""),"")</f>
        <v/>
      </c>
      <c r="BF50" s="34">
        <f>IF(AND(BF$5&gt;$E50,BF$5&lt;=$F50),IF(BF$5=$E50+1,$C50,""),"")</f>
        <v/>
      </c>
      <c r="BG50" s="34">
        <f>IF(AND(BG$5&gt;$E50,BG$5&lt;=$F50),IF(BG$5=$E50+1,$C50,""),"")</f>
        <v/>
      </c>
      <c r="BH50" s="34">
        <f>IF(AND(BH$5&gt;$E50,BH$5&lt;=$F50),IF(BH$5=$E50+1,$C50,""),"")</f>
        <v/>
      </c>
      <c r="BI50" s="34">
        <f>IF(AND(BI$5&gt;$E50,BI$5&lt;=$F50),IF(BI$5=$E50+1,$C50,""),"")</f>
        <v/>
      </c>
      <c r="BJ50" s="34">
        <f>IF(AND(BJ$5&gt;$E50,BJ$5&lt;=$F50),IF(BJ$5=$E50+1,$C50,""),"")</f>
        <v/>
      </c>
      <c r="BK50" s="34">
        <f>IF(AND(BK$5&gt;$E50,BK$5&lt;=$F50),IF(BK$5=$E50+1,$C50,""),"")</f>
        <v/>
      </c>
      <c r="BL50" s="34">
        <f>IF(AND(BL$5&gt;$E50,BL$5&lt;=$F50),IF(BL$5=$E50+1,$C50,""),"")</f>
        <v/>
      </c>
      <c r="BM50" s="34">
        <f>IF(AND(BM$5&gt;$E50,BM$5&lt;=$F50),IF(BM$5=$E50+1,$C50,""),"")</f>
        <v/>
      </c>
      <c r="BN50" s="34">
        <f>IF(AND(BN$5&gt;$E50,BN$5&lt;=$F50),IF(BN$5=$E50+1,$C50,""),"")</f>
        <v/>
      </c>
      <c r="BO50" s="34">
        <f>IF(AND(BO$5&gt;$E50,BO$5&lt;=$F50),IF(BO$5=$E50+1,$C50,""),"")</f>
        <v/>
      </c>
      <c r="BP50" s="34">
        <f>IF(AND(BP$5&gt;$E50,BP$5&lt;=$F50),IF(BP$5=$E50+1,$C50,""),"")</f>
        <v/>
      </c>
      <c r="BQ50" s="34">
        <f>IF(AND(BQ$5&gt;$E50,BQ$5&lt;=$F50),IF(BQ$5=$E50+1,$C50,""),"")</f>
        <v/>
      </c>
      <c r="BR50" s="34">
        <f>IF(AND(BR$5&gt;$E50,BR$5&lt;=$F50),IF(BR$5=$E50+1,$C50,""),"")</f>
        <v/>
      </c>
      <c r="BS50" s="34">
        <f>IF(AND(BS$5&gt;$E50,BS$5&lt;=$F50),IF(BS$5=$E50+1,$C50,""),"")</f>
        <v/>
      </c>
      <c r="BT50" s="34">
        <f>IF(AND(BT$5&gt;$E50,BT$5&lt;=$F50),IF(BT$5=$E50+1,$C50,""),"")</f>
        <v/>
      </c>
      <c r="BU50" s="34">
        <f>IF(AND(BU$5&gt;$E50,BU$5&lt;=$F50),IF(BU$5=$E50+1,$C50,""),"")</f>
        <v/>
      </c>
      <c r="BV50" s="34">
        <f>IF(AND(BV$5&gt;$E50,BV$5&lt;=$F50),IF(BV$5=$E50+1,$C50,""),"")</f>
        <v/>
      </c>
      <c r="BW50" s="34">
        <f>IF(AND(BW$5&gt;$E50,BW$5&lt;=$F50),IF(BW$5=$E50+1,$C50,""),"")</f>
        <v/>
      </c>
      <c r="BX50" s="34">
        <f>IF(AND(BX$5&gt;$E50,BX$5&lt;=$F50),IF(BX$5=$E50+1,$C50,""),"")</f>
        <v/>
      </c>
      <c r="BY50" s="34">
        <f>IF(AND(BY$5&gt;$E50,BY$5&lt;=$F50),IF(BY$5=$E50+1,$C50,""),"")</f>
        <v/>
      </c>
      <c r="BZ50" s="34">
        <f>IF(AND(BZ$5&gt;$E50,BZ$5&lt;=$F50),IF(BZ$5=$E50+1,$C50,""),"")</f>
        <v/>
      </c>
      <c r="CA50" s="34">
        <f>IF(AND(CA$5&gt;$E50,CA$5&lt;=$F50),IF(CA$5=$E50+1,$C50,""),"")</f>
        <v/>
      </c>
      <c r="CB50" s="34">
        <f>IF(AND(CB$5&gt;$E50,CB$5&lt;=$F50),IF(CB$5=$E50+1,$C50,""),"")</f>
        <v/>
      </c>
      <c r="CC50" s="34">
        <f>IF(AND(CC$5&gt;$E50,CC$5&lt;=$F50),IF(CC$5=$E50+1,$C50,""),"")</f>
        <v/>
      </c>
      <c r="CD50" s="34">
        <f>IF(AND(CD$5&gt;$E50,CD$5&lt;=$F50),IF(CD$5=$E50+1,$C50,""),"")</f>
        <v/>
      </c>
      <c r="CE50" s="34">
        <f>IF(AND(CE$5&gt;$E50,CE$5&lt;=$F50),IF(CE$5=$E50+1,$C50,""),"")</f>
        <v/>
      </c>
      <c r="CF50" s="34">
        <f>IF(AND(CF$5&gt;$E50,CF$5&lt;=$F50),IF(CF$5=$E50+1,$C50,""),"")</f>
        <v/>
      </c>
      <c r="CG50" s="34">
        <f>IF(AND(CG$5&gt;$E50,CG$5&lt;=$F50),IF(CG$5=$E50+1,$C50,""),"")</f>
        <v/>
      </c>
      <c r="CH50" s="34">
        <f>IF(AND(CH$5&gt;$E50,CH$5&lt;=$F50),IF(CH$5=$E50+1,$C50,""),"")</f>
        <v/>
      </c>
      <c r="CI50" s="34">
        <f>IF(AND(CI$5&gt;$E50,CI$5&lt;=$F50),IF(CI$5=$E50+1,$C50,""),"")</f>
        <v/>
      </c>
      <c r="CJ50" s="34">
        <f>IF(AND(CJ$5&gt;$E50,CJ$5&lt;=$F50),IF(CJ$5=$E50+1,$C50,""),"")</f>
        <v/>
      </c>
      <c r="CK50" s="34">
        <f>IF(AND(CK$5&gt;$E50,CK$5&lt;=$F50),IF(CK$5=$E50+1,$C50,""),"")</f>
        <v/>
      </c>
      <c r="CL50" s="34">
        <f>IF(AND(CL$5&gt;$E50,CL$5&lt;=$F50),IF(CL$5=$E50+1,$C50,""),"")</f>
        <v/>
      </c>
      <c r="CM50" s="34">
        <f>IF(AND(CM$5&gt;$E50,CM$5&lt;=$F50),IF(CM$5=$E50+1,$C50,""),"")</f>
        <v/>
      </c>
      <c r="CN50" s="34">
        <f>IF(AND(CN$5&gt;$E50,CN$5&lt;=$F50),IF(CN$5=$E50+1,$C50,""),"")</f>
        <v/>
      </c>
      <c r="CO50" s="34">
        <f>IF(AND(CO$5&gt;$E50,CO$5&lt;=$F50),IF(CO$5=$E50+1,$C50,""),"")</f>
        <v/>
      </c>
      <c r="CP50" s="34">
        <f>IF(AND(CP$5&gt;$E50,CP$5&lt;=$F50),IF(CP$5=$E50+1,$C50,""),"")</f>
        <v/>
      </c>
      <c r="CQ50" s="34">
        <f>IF(AND(CQ$5&gt;$E50,CQ$5&lt;=$F50),IF(CQ$5=$E50+1,$C50,""),"")</f>
        <v/>
      </c>
      <c r="CR50" s="34">
        <f>IF(AND(CR$5&gt;$E50,CR$5&lt;=$F50),IF(CR$5=$E50+1,$C50,""),"")</f>
        <v/>
      </c>
      <c r="CS50" s="34">
        <f>IF(AND(CS$5&gt;$E50,CS$5&lt;=$F50),IF(CS$5=$E50+1,$C50,""),"")</f>
        <v/>
      </c>
      <c r="CT50" s="34">
        <f>IF(AND(CT$5&gt;$E50,CT$5&lt;=$F50),IF(CT$5=$E50+1,$C50,""),"")</f>
        <v/>
      </c>
      <c r="CU50" s="34">
        <f>IF(AND(CU$5&gt;$E50,CU$5&lt;=$F50),IF(CU$5=$E50+1,$C50,""),"")</f>
        <v/>
      </c>
      <c r="CV50" s="34">
        <f>IF(AND(CV$5&gt;$E50,CV$5&lt;=$F50),IF(CV$5=$E50+1,$C50,""),"")</f>
        <v/>
      </c>
      <c r="CW50" s="34">
        <f>IF(AND(CW$5&gt;$E50,CW$5&lt;=$F50),IF(CW$5=$E50+1,$C50,""),"")</f>
        <v/>
      </c>
      <c r="CX50" s="34">
        <f>IF(AND(CX$5&gt;$E50,CX$5&lt;=$F50),IF(CX$5=$E50+1,$C50,""),"")</f>
        <v/>
      </c>
      <c r="CY50" s="34">
        <f>IF(AND(CY$5&gt;$E50,CY$5&lt;=$F50),IF(CY$5=$E50+1,$C50,""),"")</f>
        <v/>
      </c>
      <c r="CZ50" s="34">
        <f>IF(AND(CZ$5&gt;$E50,CZ$5&lt;=$F50),IF(CZ$5=$E50+1,$C50,""),"")</f>
        <v/>
      </c>
      <c r="DA50" s="34">
        <f>IF(AND(DA$5&gt;$E50,DA$5&lt;=$F50),IF(DA$5=$E50+1,$C50,""),"")</f>
        <v/>
      </c>
      <c r="DB50" s="34">
        <f>IF(AND(DB$5&gt;$E50,DB$5&lt;=$F50),IF(DB$5=$E50+1,$C50,""),"")</f>
        <v/>
      </c>
      <c r="DC50" s="34">
        <f>IF(AND(DC$5&gt;$E50,DC$5&lt;=$F50),IF(DC$5=$E50+1,$C50,""),"")</f>
        <v/>
      </c>
      <c r="DD50" s="34">
        <f>IF(AND(DD$5&gt;$E50,DD$5&lt;=$F50),IF(DD$5=$E50+1,$C50,""),"")</f>
        <v/>
      </c>
      <c r="DE50" s="34">
        <f>IF(AND(DE$5&gt;$E50,DE$5&lt;=$F50),IF(DE$5=$E50+1,$C50,""),"")</f>
        <v/>
      </c>
      <c r="DF50" s="34">
        <f>IF(AND(DF$5&gt;$E50,DF$5&lt;=$F50),IF(DF$5=$E50+1,$C50,""),"")</f>
        <v/>
      </c>
      <c r="DG50" s="34">
        <f>IF(AND(DG$5&gt;$E50,DG$5&lt;=$F50),IF(DG$5=$E50+1,$C50,""),"")</f>
        <v/>
      </c>
      <c r="DH50" s="34">
        <f>IF(AND(DH$5&gt;$E50,DH$5&lt;=$F50),IF(DH$5=$E50+1,$C50,""),"")</f>
        <v/>
      </c>
      <c r="DI50" s="34">
        <f>IF(AND(DI$5&gt;$E50,DI$5&lt;=$F50),IF(DI$5=$E50+1,$C50,""),"")</f>
        <v/>
      </c>
      <c r="DJ50" s="34">
        <f>IF(AND(DJ$5&gt;$E50,DJ$5&lt;=$F50),IF(DJ$5=$E50+1,$C50,""),"")</f>
        <v/>
      </c>
      <c r="DK50" s="34">
        <f>IF(AND(DK$5&gt;$E50,DK$5&lt;=$F50),IF(DK$5=$E50+1,$C50,""),"")</f>
        <v/>
      </c>
      <c r="DL50" s="34">
        <f>IF(AND(DL$5&gt;$E50,DL$5&lt;=$F50),IF(DL$5=$E50+1,$C50,""),"")</f>
        <v/>
      </c>
      <c r="DM50" s="34">
        <f>IF(AND(DM$5&gt;$E50,DM$5&lt;=$F50),IF(DM$5=$E50+1,$C50,""),"")</f>
        <v/>
      </c>
      <c r="DN50" s="34">
        <f>IF(AND(DN$5&gt;$E50,DN$5&lt;=$F50),IF(DN$5=$E50+1,$C50,""),"")</f>
        <v/>
      </c>
      <c r="DO50" s="34">
        <f>IF(AND(DO$5&gt;$E50,DO$5&lt;=$F50),IF(DO$5=$E50+1,$C50,""),"")</f>
        <v/>
      </c>
      <c r="DP50" s="34">
        <f>IF(AND(DP$5&gt;$E50,DP$5&lt;=$F50),IF(DP$5=$E50+1,$C50,""),"")</f>
        <v/>
      </c>
      <c r="DQ50" s="34">
        <f>IF(AND(DQ$5&gt;$E50,DQ$5&lt;=$F50),IF(DQ$5=$E50+1,$C50,""),"")</f>
        <v/>
      </c>
      <c r="DR50" s="34">
        <f>IF(AND(DR$5&gt;$E50,DR$5&lt;=$F50),IF(DR$5=$E50+1,$C50,""),"")</f>
        <v/>
      </c>
      <c r="DS50" s="34">
        <f>IF(AND(DS$5&gt;$E50,DS$5&lt;=$F50),IF(DS$5=$E50+1,$C50,""),"")</f>
        <v/>
      </c>
      <c r="DT50" s="34">
        <f>IF(AND(DT$5&gt;$E50,DT$5&lt;=$F50),IF(DT$5=$E50+1,$C50,""),"")</f>
        <v/>
      </c>
      <c r="DU50" s="34">
        <f>IF(AND(DU$5&gt;$E50,DU$5&lt;=$F50),IF(DU$5=$E50+1,$C50,""),"")</f>
        <v/>
      </c>
      <c r="DV50" s="34">
        <f>IF(AND(DV$5&gt;$E50,DV$5&lt;=$F50),IF(DV$5=$E50+1,$C50,""),"")</f>
        <v/>
      </c>
      <c r="DW50" s="34">
        <f>IF(AND(DW$5&gt;$E50,DW$5&lt;=$F50),IF(DW$5=$E50+1,$C50,""),"")</f>
        <v/>
      </c>
      <c r="DX50" s="34">
        <f>IF(AND(DX$5&gt;$E50,DX$5&lt;=$F50),IF(DX$5=$E50+1,$C50,""),"")</f>
        <v/>
      </c>
      <c r="DY50" s="34">
        <f>IF(AND(DY$5&gt;$E50,DY$5&lt;=$F50),IF(DY$5=$E50+1,$C50,""),"")</f>
        <v/>
      </c>
      <c r="DZ50" s="34">
        <f>IF(AND(DZ$5&gt;$E50,DZ$5&lt;=$F50),IF(DZ$5=$E50+1,$C50,""),"")</f>
        <v/>
      </c>
      <c r="EA50" s="34">
        <f>IF(AND(EA$5&gt;$E50,EA$5&lt;=$F50),IF(EA$5=$E50+1,$C50,""),"")</f>
        <v/>
      </c>
      <c r="EB50" s="34">
        <f>IF(AND(EB$5&gt;$E50,EB$5&lt;=$F50),IF(EB$5=$E50+1,$C50,""),"")</f>
        <v/>
      </c>
      <c r="EC50" s="34">
        <f>IF(AND(EC$5&gt;$E50,EC$5&lt;=$F50),IF(EC$5=$E50+1,$C50,""),"")</f>
        <v/>
      </c>
      <c r="ED50" s="34">
        <f>IF(AND(ED$5&gt;$E50,ED$5&lt;=$F50),IF(ED$5=$E50+1,$C50,""),"")</f>
        <v/>
      </c>
      <c r="EE50" s="34">
        <f>IF(AND(EE$5&gt;$E50,EE$5&lt;=$F50),IF(EE$5=$E50+1,$C50,""),"")</f>
        <v/>
      </c>
      <c r="EF50" s="34">
        <f>IF(AND(EF$5&gt;$E50,EF$5&lt;=$F50),IF(EF$5=$E50+1,$C50,""),"")</f>
        <v/>
      </c>
      <c r="EG50" s="34">
        <f>IF(AND(EG$5&gt;$E50,EG$5&lt;=$F50),IF(EG$5=$E50+1,$C50,""),"")</f>
        <v/>
      </c>
      <c r="EH50" s="34">
        <f>IF(AND(EH$5&gt;$E50,EH$5&lt;=$F50),IF(EH$5=$E50+1,$C50,""),"")</f>
        <v/>
      </c>
      <c r="EI50" s="34">
        <f>IF(AND(EI$5&gt;$E50,EI$5&lt;=$F50),IF(EI$5=$E50+1,$C50,""),"")</f>
        <v/>
      </c>
      <c r="EJ50" s="34">
        <f>IF(AND(EJ$5&gt;$E50,EJ$5&lt;=$F50),IF(EJ$5=$E50+1,$C50,""),"")</f>
        <v/>
      </c>
      <c r="EK50" s="34">
        <f>IF(AND(EK$5&gt;$E50,EK$5&lt;=$F50),IF(EK$5=$E50+1,$C50,""),"")</f>
        <v/>
      </c>
      <c r="EL50" s="34">
        <f>IF(AND(EL$5&gt;$E50,EL$5&lt;=$F50),IF(EL$5=$E50+1,$C50,""),"")</f>
        <v/>
      </c>
      <c r="EM50" s="34">
        <f>IF(AND(EM$5&gt;$E50,EM$5&lt;=$F50),IF(EM$5=$E50+1,$C50,""),"")</f>
        <v/>
      </c>
      <c r="EN50" s="34">
        <f>IF(AND(EN$5&gt;$E50,EN$5&lt;=$F50),IF(EN$5=$E50+1,$C50,""),"")</f>
        <v/>
      </c>
      <c r="EO50" s="34">
        <f>IF(AND(EO$5&gt;$E50,EO$5&lt;=$F50),IF(EO$5=$E50+1,$C50,""),"")</f>
        <v/>
      </c>
      <c r="EP50" s="34">
        <f>IF(AND(EP$5&gt;$E50,EP$5&lt;=$F50),IF(EP$5=$E50+1,$C50,""),"")</f>
        <v/>
      </c>
      <c r="EQ50" s="34">
        <f>IF(AND(EQ$5&gt;$E50,EQ$5&lt;=$F50),IF(EQ$5=$E50+1,$C50,""),"")</f>
        <v/>
      </c>
      <c r="ER50" s="34">
        <f>IF(AND(ER$5&gt;$E50,ER$5&lt;=$F50),IF(ER$5=$E50+1,$C50,""),"")</f>
        <v/>
      </c>
      <c r="ES50" s="34">
        <f>IF(AND(ES$5&gt;$E50,ES$5&lt;=$F50),IF(ES$5=$E50+1,$C50,""),"")</f>
        <v/>
      </c>
      <c r="ET50" s="34">
        <f>IF(AND(ET$5&gt;$E50,ET$5&lt;=$F50),IF(ET$5=$E50+1,$C50,""),"")</f>
        <v/>
      </c>
      <c r="EU50" s="34">
        <f>IF(AND(EU$5&gt;$E50,EU$5&lt;=$F50),IF(EU$5=$E50+1,$C50,""),"")</f>
        <v/>
      </c>
      <c r="EV50" s="34">
        <f>IF(AND(EV$5&gt;$E50,EV$5&lt;=$F50),IF(EV$5=$E50+1,$C50,""),"")</f>
        <v/>
      </c>
      <c r="EW50" s="34">
        <f>IF(AND(EW$5&gt;$E50,EW$5&lt;=$F50),IF(EW$5=$E50+1,$C50,""),"")</f>
        <v/>
      </c>
      <c r="EX50" s="34">
        <f>IF(AND(EX$5&gt;$E50,EX$5&lt;=$F50),IF(EX$5=$E50+1,$C50,""),"")</f>
        <v/>
      </c>
      <c r="EY50" s="34">
        <f>IF(AND(EY$5&gt;$E50,EY$5&lt;=$F50),IF(EY$5=$E50+1,$C50,""),"")</f>
        <v/>
      </c>
      <c r="EZ50" s="34">
        <f>IF(AND(EZ$5&gt;$E50,EZ$5&lt;=$F50),IF(EZ$5=$E50+1,$C50,""),"")</f>
        <v/>
      </c>
      <c r="FA50" s="34">
        <f>IF(AND(FA$5&gt;$E50,FA$5&lt;=$F50),IF(FA$5=$E50+1,$C50,""),"")</f>
        <v/>
      </c>
    </row>
    <row r="51">
      <c r="A51" s="32">
        <f>Plan!A40</f>
        <v/>
      </c>
      <c r="B51" s="33">
        <f>Plan!C40</f>
        <v/>
      </c>
      <c r="C51" s="16">
        <f>Plan!D40</f>
        <v/>
      </c>
      <c r="D51" s="16">
        <f>Plan!I40</f>
        <v/>
      </c>
      <c r="E51" s="16">
        <f>Plan!K40</f>
        <v/>
      </c>
      <c r="F51" s="16">
        <f>Plan!L40</f>
        <v/>
      </c>
      <c r="G51" s="16">
        <f>Plan!O40</f>
        <v/>
      </c>
      <c r="H51" s="34">
        <f>IF(AND(H$5&gt;$E51,H$5&lt;=$F51),IF(H$5=$E51+1,$C51,""),"")</f>
        <v/>
      </c>
      <c r="I51" s="34">
        <f>IF(AND(I$5&gt;$E51,I$5&lt;=$F51),IF(I$5=$E51+1,$C51,""),"")</f>
        <v/>
      </c>
      <c r="J51" s="34">
        <f>IF(AND(J$5&gt;$E51,J$5&lt;=$F51),IF(J$5=$E51+1,$C51,""),"")</f>
        <v/>
      </c>
      <c r="K51" s="34">
        <f>IF(AND(K$5&gt;$E51,K$5&lt;=$F51),IF(K$5=$E51+1,$C51,""),"")</f>
        <v/>
      </c>
      <c r="L51" s="34">
        <f>IF(AND(L$5&gt;$E51,L$5&lt;=$F51),IF(L$5=$E51+1,$C51,""),"")</f>
        <v/>
      </c>
      <c r="M51" s="34">
        <f>IF(AND(M$5&gt;$E51,M$5&lt;=$F51),IF(M$5=$E51+1,$C51,""),"")</f>
        <v/>
      </c>
      <c r="N51" s="34">
        <f>IF(AND(N$5&gt;$E51,N$5&lt;=$F51),IF(N$5=$E51+1,$C51,""),"")</f>
        <v/>
      </c>
      <c r="O51" s="34">
        <f>IF(AND(O$5&gt;$E51,O$5&lt;=$F51),IF(O$5=$E51+1,$C51,""),"")</f>
        <v/>
      </c>
      <c r="P51" s="34">
        <f>IF(AND(P$5&gt;$E51,P$5&lt;=$F51),IF(P$5=$E51+1,$C51,""),"")</f>
        <v/>
      </c>
      <c r="Q51" s="34">
        <f>IF(AND(Q$5&gt;$E51,Q$5&lt;=$F51),IF(Q$5=$E51+1,$C51,""),"")</f>
        <v/>
      </c>
      <c r="R51" s="34">
        <f>IF(AND(R$5&gt;$E51,R$5&lt;=$F51),IF(R$5=$E51+1,$C51,""),"")</f>
        <v/>
      </c>
      <c r="S51" s="34">
        <f>IF(AND(S$5&gt;$E51,S$5&lt;=$F51),IF(S$5=$E51+1,$C51,""),"")</f>
        <v/>
      </c>
      <c r="T51" s="34">
        <f>IF(AND(T$5&gt;$E51,T$5&lt;=$F51),IF(T$5=$E51+1,$C51,""),"")</f>
        <v/>
      </c>
      <c r="U51" s="34">
        <f>IF(AND(U$5&gt;$E51,U$5&lt;=$F51),IF(U$5=$E51+1,$C51,""),"")</f>
        <v/>
      </c>
      <c r="V51" s="34">
        <f>IF(AND(V$5&gt;$E51,V$5&lt;=$F51),IF(V$5=$E51+1,$C51,""),"")</f>
        <v/>
      </c>
      <c r="W51" s="34">
        <f>IF(AND(W$5&gt;$E51,W$5&lt;=$F51),IF(W$5=$E51+1,$C51,""),"")</f>
        <v/>
      </c>
      <c r="X51" s="34">
        <f>IF(AND(X$5&gt;$E51,X$5&lt;=$F51),IF(X$5=$E51+1,$C51,""),"")</f>
        <v/>
      </c>
      <c r="Y51" s="34">
        <f>IF(AND(Y$5&gt;$E51,Y$5&lt;=$F51),IF(Y$5=$E51+1,$C51,""),"")</f>
        <v/>
      </c>
      <c r="Z51" s="34">
        <f>IF(AND(Z$5&gt;$E51,Z$5&lt;=$F51),IF(Z$5=$E51+1,$C51,""),"")</f>
        <v/>
      </c>
      <c r="AA51" s="34">
        <f>IF(AND(AA$5&gt;$E51,AA$5&lt;=$F51),IF(AA$5=$E51+1,$C51,""),"")</f>
        <v/>
      </c>
      <c r="AB51" s="34">
        <f>IF(AND(AB$5&gt;$E51,AB$5&lt;=$F51),IF(AB$5=$E51+1,$C51,""),"")</f>
        <v/>
      </c>
      <c r="AC51" s="34">
        <f>IF(AND(AC$5&gt;$E51,AC$5&lt;=$F51),IF(AC$5=$E51+1,$C51,""),"")</f>
        <v/>
      </c>
      <c r="AD51" s="34">
        <f>IF(AND(AD$5&gt;$E51,AD$5&lt;=$F51),IF(AD$5=$E51+1,$C51,""),"")</f>
        <v/>
      </c>
      <c r="AE51" s="34">
        <f>IF(AND(AE$5&gt;$E51,AE$5&lt;=$F51),IF(AE$5=$E51+1,$C51,""),"")</f>
        <v/>
      </c>
      <c r="AF51" s="34">
        <f>IF(AND(AF$5&gt;$E51,AF$5&lt;=$F51),IF(AF$5=$E51+1,$C51,""),"")</f>
        <v/>
      </c>
      <c r="AG51" s="34">
        <f>IF(AND(AG$5&gt;$E51,AG$5&lt;=$F51),IF(AG$5=$E51+1,$C51,""),"")</f>
        <v/>
      </c>
      <c r="AH51" s="34">
        <f>IF(AND(AH$5&gt;$E51,AH$5&lt;=$F51),IF(AH$5=$E51+1,$C51,""),"")</f>
        <v/>
      </c>
      <c r="AI51" s="34">
        <f>IF(AND(AI$5&gt;$E51,AI$5&lt;=$F51),IF(AI$5=$E51+1,$C51,""),"")</f>
        <v/>
      </c>
      <c r="AJ51" s="34">
        <f>IF(AND(AJ$5&gt;$E51,AJ$5&lt;=$F51),IF(AJ$5=$E51+1,$C51,""),"")</f>
        <v/>
      </c>
      <c r="AK51" s="34">
        <f>IF(AND(AK$5&gt;$E51,AK$5&lt;=$F51),IF(AK$5=$E51+1,$C51,""),"")</f>
        <v/>
      </c>
      <c r="AL51" s="34">
        <f>IF(AND(AL$5&gt;$E51,AL$5&lt;=$F51),IF(AL$5=$E51+1,$C51,""),"")</f>
        <v/>
      </c>
      <c r="AM51" s="34">
        <f>IF(AND(AM$5&gt;$E51,AM$5&lt;=$F51),IF(AM$5=$E51+1,$C51,""),"")</f>
        <v/>
      </c>
      <c r="AN51" s="34">
        <f>IF(AND(AN$5&gt;$E51,AN$5&lt;=$F51),IF(AN$5=$E51+1,$C51,""),"")</f>
        <v/>
      </c>
      <c r="AO51" s="34">
        <f>IF(AND(AO$5&gt;$E51,AO$5&lt;=$F51),IF(AO$5=$E51+1,$C51,""),"")</f>
        <v/>
      </c>
      <c r="AP51" s="34">
        <f>IF(AND(AP$5&gt;$E51,AP$5&lt;=$F51),IF(AP$5=$E51+1,$C51,""),"")</f>
        <v/>
      </c>
      <c r="AQ51" s="34">
        <f>IF(AND(AQ$5&gt;$E51,AQ$5&lt;=$F51),IF(AQ$5=$E51+1,$C51,""),"")</f>
        <v/>
      </c>
      <c r="AR51" s="34">
        <f>IF(AND(AR$5&gt;$E51,AR$5&lt;=$F51),IF(AR$5=$E51+1,$C51,""),"")</f>
        <v/>
      </c>
      <c r="AS51" s="34">
        <f>IF(AND(AS$5&gt;$E51,AS$5&lt;=$F51),IF(AS$5=$E51+1,$C51,""),"")</f>
        <v/>
      </c>
      <c r="AT51" s="34">
        <f>IF(AND(AT$5&gt;$E51,AT$5&lt;=$F51),IF(AT$5=$E51+1,$C51,""),"")</f>
        <v/>
      </c>
      <c r="AU51" s="34">
        <f>IF(AND(AU$5&gt;$E51,AU$5&lt;=$F51),IF(AU$5=$E51+1,$C51,""),"")</f>
        <v/>
      </c>
      <c r="AV51" s="34">
        <f>IF(AND(AV$5&gt;$E51,AV$5&lt;=$F51),IF(AV$5=$E51+1,$C51,""),"")</f>
        <v/>
      </c>
      <c r="AW51" s="34">
        <f>IF(AND(AW$5&gt;$E51,AW$5&lt;=$F51),IF(AW$5=$E51+1,$C51,""),"")</f>
        <v/>
      </c>
      <c r="AX51" s="34">
        <f>IF(AND(AX$5&gt;$E51,AX$5&lt;=$F51),IF(AX$5=$E51+1,$C51,""),"")</f>
        <v/>
      </c>
      <c r="AY51" s="34">
        <f>IF(AND(AY$5&gt;$E51,AY$5&lt;=$F51),IF(AY$5=$E51+1,$C51,""),"")</f>
        <v/>
      </c>
      <c r="AZ51" s="34">
        <f>IF(AND(AZ$5&gt;$E51,AZ$5&lt;=$F51),IF(AZ$5=$E51+1,$C51,""),"")</f>
        <v/>
      </c>
      <c r="BA51" s="34">
        <f>IF(AND(BA$5&gt;$E51,BA$5&lt;=$F51),IF(BA$5=$E51+1,$C51,""),"")</f>
        <v/>
      </c>
      <c r="BB51" s="34">
        <f>IF(AND(BB$5&gt;$E51,BB$5&lt;=$F51),IF(BB$5=$E51+1,$C51,""),"")</f>
        <v/>
      </c>
      <c r="BC51" s="34">
        <f>IF(AND(BC$5&gt;$E51,BC$5&lt;=$F51),IF(BC$5=$E51+1,$C51,""),"")</f>
        <v/>
      </c>
      <c r="BD51" s="34">
        <f>IF(AND(BD$5&gt;$E51,BD$5&lt;=$F51),IF(BD$5=$E51+1,$C51,""),"")</f>
        <v/>
      </c>
      <c r="BE51" s="34">
        <f>IF(AND(BE$5&gt;$E51,BE$5&lt;=$F51),IF(BE$5=$E51+1,$C51,""),"")</f>
        <v/>
      </c>
      <c r="BF51" s="34">
        <f>IF(AND(BF$5&gt;$E51,BF$5&lt;=$F51),IF(BF$5=$E51+1,$C51,""),"")</f>
        <v/>
      </c>
      <c r="BG51" s="34">
        <f>IF(AND(BG$5&gt;$E51,BG$5&lt;=$F51),IF(BG$5=$E51+1,$C51,""),"")</f>
        <v/>
      </c>
      <c r="BH51" s="34">
        <f>IF(AND(BH$5&gt;$E51,BH$5&lt;=$F51),IF(BH$5=$E51+1,$C51,""),"")</f>
        <v/>
      </c>
      <c r="BI51" s="34">
        <f>IF(AND(BI$5&gt;$E51,BI$5&lt;=$F51),IF(BI$5=$E51+1,$C51,""),"")</f>
        <v/>
      </c>
      <c r="BJ51" s="34">
        <f>IF(AND(BJ$5&gt;$E51,BJ$5&lt;=$F51),IF(BJ$5=$E51+1,$C51,""),"")</f>
        <v/>
      </c>
      <c r="BK51" s="34">
        <f>IF(AND(BK$5&gt;$E51,BK$5&lt;=$F51),IF(BK$5=$E51+1,$C51,""),"")</f>
        <v/>
      </c>
      <c r="BL51" s="34">
        <f>IF(AND(BL$5&gt;$E51,BL$5&lt;=$F51),IF(BL$5=$E51+1,$C51,""),"")</f>
        <v/>
      </c>
      <c r="BM51" s="34">
        <f>IF(AND(BM$5&gt;$E51,BM$5&lt;=$F51),IF(BM$5=$E51+1,$C51,""),"")</f>
        <v/>
      </c>
      <c r="BN51" s="34">
        <f>IF(AND(BN$5&gt;$E51,BN$5&lt;=$F51),IF(BN$5=$E51+1,$C51,""),"")</f>
        <v/>
      </c>
      <c r="BO51" s="34">
        <f>IF(AND(BO$5&gt;$E51,BO$5&lt;=$F51),IF(BO$5=$E51+1,$C51,""),"")</f>
        <v/>
      </c>
      <c r="BP51" s="34">
        <f>IF(AND(BP$5&gt;$E51,BP$5&lt;=$F51),IF(BP$5=$E51+1,$C51,""),"")</f>
        <v/>
      </c>
      <c r="BQ51" s="34">
        <f>IF(AND(BQ$5&gt;$E51,BQ$5&lt;=$F51),IF(BQ$5=$E51+1,$C51,""),"")</f>
        <v/>
      </c>
      <c r="BR51" s="34">
        <f>IF(AND(BR$5&gt;$E51,BR$5&lt;=$F51),IF(BR$5=$E51+1,$C51,""),"")</f>
        <v/>
      </c>
      <c r="BS51" s="34">
        <f>IF(AND(BS$5&gt;$E51,BS$5&lt;=$F51),IF(BS$5=$E51+1,$C51,""),"")</f>
        <v/>
      </c>
      <c r="BT51" s="34">
        <f>IF(AND(BT$5&gt;$E51,BT$5&lt;=$F51),IF(BT$5=$E51+1,$C51,""),"")</f>
        <v/>
      </c>
      <c r="BU51" s="34">
        <f>IF(AND(BU$5&gt;$E51,BU$5&lt;=$F51),IF(BU$5=$E51+1,$C51,""),"")</f>
        <v/>
      </c>
      <c r="BV51" s="34">
        <f>IF(AND(BV$5&gt;$E51,BV$5&lt;=$F51),IF(BV$5=$E51+1,$C51,""),"")</f>
        <v/>
      </c>
      <c r="BW51" s="34">
        <f>IF(AND(BW$5&gt;$E51,BW$5&lt;=$F51),IF(BW$5=$E51+1,$C51,""),"")</f>
        <v/>
      </c>
      <c r="BX51" s="34">
        <f>IF(AND(BX$5&gt;$E51,BX$5&lt;=$F51),IF(BX$5=$E51+1,$C51,""),"")</f>
        <v/>
      </c>
      <c r="BY51" s="34">
        <f>IF(AND(BY$5&gt;$E51,BY$5&lt;=$F51),IF(BY$5=$E51+1,$C51,""),"")</f>
        <v/>
      </c>
      <c r="BZ51" s="34">
        <f>IF(AND(BZ$5&gt;$E51,BZ$5&lt;=$F51),IF(BZ$5=$E51+1,$C51,""),"")</f>
        <v/>
      </c>
      <c r="CA51" s="34">
        <f>IF(AND(CA$5&gt;$E51,CA$5&lt;=$F51),IF(CA$5=$E51+1,$C51,""),"")</f>
        <v/>
      </c>
      <c r="CB51" s="34">
        <f>IF(AND(CB$5&gt;$E51,CB$5&lt;=$F51),IF(CB$5=$E51+1,$C51,""),"")</f>
        <v/>
      </c>
      <c r="CC51" s="34">
        <f>IF(AND(CC$5&gt;$E51,CC$5&lt;=$F51),IF(CC$5=$E51+1,$C51,""),"")</f>
        <v/>
      </c>
      <c r="CD51" s="34">
        <f>IF(AND(CD$5&gt;$E51,CD$5&lt;=$F51),IF(CD$5=$E51+1,$C51,""),"")</f>
        <v/>
      </c>
      <c r="CE51" s="34">
        <f>IF(AND(CE$5&gt;$E51,CE$5&lt;=$F51),IF(CE$5=$E51+1,$C51,""),"")</f>
        <v/>
      </c>
      <c r="CF51" s="34">
        <f>IF(AND(CF$5&gt;$E51,CF$5&lt;=$F51),IF(CF$5=$E51+1,$C51,""),"")</f>
        <v/>
      </c>
      <c r="CG51" s="34">
        <f>IF(AND(CG$5&gt;$E51,CG$5&lt;=$F51),IF(CG$5=$E51+1,$C51,""),"")</f>
        <v/>
      </c>
      <c r="CH51" s="34">
        <f>IF(AND(CH$5&gt;$E51,CH$5&lt;=$F51),IF(CH$5=$E51+1,$C51,""),"")</f>
        <v/>
      </c>
      <c r="CI51" s="34">
        <f>IF(AND(CI$5&gt;$E51,CI$5&lt;=$F51),IF(CI$5=$E51+1,$C51,""),"")</f>
        <v/>
      </c>
      <c r="CJ51" s="34">
        <f>IF(AND(CJ$5&gt;$E51,CJ$5&lt;=$F51),IF(CJ$5=$E51+1,$C51,""),"")</f>
        <v/>
      </c>
      <c r="CK51" s="34">
        <f>IF(AND(CK$5&gt;$E51,CK$5&lt;=$F51),IF(CK$5=$E51+1,$C51,""),"")</f>
        <v/>
      </c>
      <c r="CL51" s="34">
        <f>IF(AND(CL$5&gt;$E51,CL$5&lt;=$F51),IF(CL$5=$E51+1,$C51,""),"")</f>
        <v/>
      </c>
      <c r="CM51" s="34">
        <f>IF(AND(CM$5&gt;$E51,CM$5&lt;=$F51),IF(CM$5=$E51+1,$C51,""),"")</f>
        <v/>
      </c>
      <c r="CN51" s="34">
        <f>IF(AND(CN$5&gt;$E51,CN$5&lt;=$F51),IF(CN$5=$E51+1,$C51,""),"")</f>
        <v/>
      </c>
      <c r="CO51" s="34">
        <f>IF(AND(CO$5&gt;$E51,CO$5&lt;=$F51),IF(CO$5=$E51+1,$C51,""),"")</f>
        <v/>
      </c>
      <c r="CP51" s="34">
        <f>IF(AND(CP$5&gt;$E51,CP$5&lt;=$F51),IF(CP$5=$E51+1,$C51,""),"")</f>
        <v/>
      </c>
      <c r="CQ51" s="34">
        <f>IF(AND(CQ$5&gt;$E51,CQ$5&lt;=$F51),IF(CQ$5=$E51+1,$C51,""),"")</f>
        <v/>
      </c>
      <c r="CR51" s="34">
        <f>IF(AND(CR$5&gt;$E51,CR$5&lt;=$F51),IF(CR$5=$E51+1,$C51,""),"")</f>
        <v/>
      </c>
      <c r="CS51" s="34">
        <f>IF(AND(CS$5&gt;$E51,CS$5&lt;=$F51),IF(CS$5=$E51+1,$C51,""),"")</f>
        <v/>
      </c>
      <c r="CT51" s="34">
        <f>IF(AND(CT$5&gt;$E51,CT$5&lt;=$F51),IF(CT$5=$E51+1,$C51,""),"")</f>
        <v/>
      </c>
      <c r="CU51" s="34">
        <f>IF(AND(CU$5&gt;$E51,CU$5&lt;=$F51),IF(CU$5=$E51+1,$C51,""),"")</f>
        <v/>
      </c>
      <c r="CV51" s="34">
        <f>IF(AND(CV$5&gt;$E51,CV$5&lt;=$F51),IF(CV$5=$E51+1,$C51,""),"")</f>
        <v/>
      </c>
      <c r="CW51" s="34">
        <f>IF(AND(CW$5&gt;$E51,CW$5&lt;=$F51),IF(CW$5=$E51+1,$C51,""),"")</f>
        <v/>
      </c>
      <c r="CX51" s="34">
        <f>IF(AND(CX$5&gt;$E51,CX$5&lt;=$F51),IF(CX$5=$E51+1,$C51,""),"")</f>
        <v/>
      </c>
      <c r="CY51" s="34">
        <f>IF(AND(CY$5&gt;$E51,CY$5&lt;=$F51),IF(CY$5=$E51+1,$C51,""),"")</f>
        <v/>
      </c>
      <c r="CZ51" s="34">
        <f>IF(AND(CZ$5&gt;$E51,CZ$5&lt;=$F51),IF(CZ$5=$E51+1,$C51,""),"")</f>
        <v/>
      </c>
      <c r="DA51" s="34">
        <f>IF(AND(DA$5&gt;$E51,DA$5&lt;=$F51),IF(DA$5=$E51+1,$C51,""),"")</f>
        <v/>
      </c>
      <c r="DB51" s="34">
        <f>IF(AND(DB$5&gt;$E51,DB$5&lt;=$F51),IF(DB$5=$E51+1,$C51,""),"")</f>
        <v/>
      </c>
      <c r="DC51" s="34">
        <f>IF(AND(DC$5&gt;$E51,DC$5&lt;=$F51),IF(DC$5=$E51+1,$C51,""),"")</f>
        <v/>
      </c>
      <c r="DD51" s="34">
        <f>IF(AND(DD$5&gt;$E51,DD$5&lt;=$F51),IF(DD$5=$E51+1,$C51,""),"")</f>
        <v/>
      </c>
      <c r="DE51" s="34">
        <f>IF(AND(DE$5&gt;$E51,DE$5&lt;=$F51),IF(DE$5=$E51+1,$C51,""),"")</f>
        <v/>
      </c>
      <c r="DF51" s="34">
        <f>IF(AND(DF$5&gt;$E51,DF$5&lt;=$F51),IF(DF$5=$E51+1,$C51,""),"")</f>
        <v/>
      </c>
      <c r="DG51" s="34">
        <f>IF(AND(DG$5&gt;$E51,DG$5&lt;=$F51),IF(DG$5=$E51+1,$C51,""),"")</f>
        <v/>
      </c>
      <c r="DH51" s="34">
        <f>IF(AND(DH$5&gt;$E51,DH$5&lt;=$F51),IF(DH$5=$E51+1,$C51,""),"")</f>
        <v/>
      </c>
      <c r="DI51" s="34">
        <f>IF(AND(DI$5&gt;$E51,DI$5&lt;=$F51),IF(DI$5=$E51+1,$C51,""),"")</f>
        <v/>
      </c>
      <c r="DJ51" s="34">
        <f>IF(AND(DJ$5&gt;$E51,DJ$5&lt;=$F51),IF(DJ$5=$E51+1,$C51,""),"")</f>
        <v/>
      </c>
      <c r="DK51" s="34">
        <f>IF(AND(DK$5&gt;$E51,DK$5&lt;=$F51),IF(DK$5=$E51+1,$C51,""),"")</f>
        <v/>
      </c>
      <c r="DL51" s="34">
        <f>IF(AND(DL$5&gt;$E51,DL$5&lt;=$F51),IF(DL$5=$E51+1,$C51,""),"")</f>
        <v/>
      </c>
      <c r="DM51" s="34">
        <f>IF(AND(DM$5&gt;$E51,DM$5&lt;=$F51),IF(DM$5=$E51+1,$C51,""),"")</f>
        <v/>
      </c>
      <c r="DN51" s="34">
        <f>IF(AND(DN$5&gt;$E51,DN$5&lt;=$F51),IF(DN$5=$E51+1,$C51,""),"")</f>
        <v/>
      </c>
      <c r="DO51" s="34">
        <f>IF(AND(DO$5&gt;$E51,DO$5&lt;=$F51),IF(DO$5=$E51+1,$C51,""),"")</f>
        <v/>
      </c>
      <c r="DP51" s="34">
        <f>IF(AND(DP$5&gt;$E51,DP$5&lt;=$F51),IF(DP$5=$E51+1,$C51,""),"")</f>
        <v/>
      </c>
      <c r="DQ51" s="34">
        <f>IF(AND(DQ$5&gt;$E51,DQ$5&lt;=$F51),IF(DQ$5=$E51+1,$C51,""),"")</f>
        <v/>
      </c>
      <c r="DR51" s="34">
        <f>IF(AND(DR$5&gt;$E51,DR$5&lt;=$F51),IF(DR$5=$E51+1,$C51,""),"")</f>
        <v/>
      </c>
      <c r="DS51" s="34">
        <f>IF(AND(DS$5&gt;$E51,DS$5&lt;=$F51),IF(DS$5=$E51+1,$C51,""),"")</f>
        <v/>
      </c>
      <c r="DT51" s="34">
        <f>IF(AND(DT$5&gt;$E51,DT$5&lt;=$F51),IF(DT$5=$E51+1,$C51,""),"")</f>
        <v/>
      </c>
      <c r="DU51" s="34">
        <f>IF(AND(DU$5&gt;$E51,DU$5&lt;=$F51),IF(DU$5=$E51+1,$C51,""),"")</f>
        <v/>
      </c>
      <c r="DV51" s="34">
        <f>IF(AND(DV$5&gt;$E51,DV$5&lt;=$F51),IF(DV$5=$E51+1,$C51,""),"")</f>
        <v/>
      </c>
      <c r="DW51" s="34">
        <f>IF(AND(DW$5&gt;$E51,DW$5&lt;=$F51),IF(DW$5=$E51+1,$C51,""),"")</f>
        <v/>
      </c>
      <c r="DX51" s="34">
        <f>IF(AND(DX$5&gt;$E51,DX$5&lt;=$F51),IF(DX$5=$E51+1,$C51,""),"")</f>
        <v/>
      </c>
      <c r="DY51" s="34">
        <f>IF(AND(DY$5&gt;$E51,DY$5&lt;=$F51),IF(DY$5=$E51+1,$C51,""),"")</f>
        <v/>
      </c>
      <c r="DZ51" s="34">
        <f>IF(AND(DZ$5&gt;$E51,DZ$5&lt;=$F51),IF(DZ$5=$E51+1,$C51,""),"")</f>
        <v/>
      </c>
      <c r="EA51" s="34">
        <f>IF(AND(EA$5&gt;$E51,EA$5&lt;=$F51),IF(EA$5=$E51+1,$C51,""),"")</f>
        <v/>
      </c>
      <c r="EB51" s="34">
        <f>IF(AND(EB$5&gt;$E51,EB$5&lt;=$F51),IF(EB$5=$E51+1,$C51,""),"")</f>
        <v/>
      </c>
      <c r="EC51" s="34">
        <f>IF(AND(EC$5&gt;$E51,EC$5&lt;=$F51),IF(EC$5=$E51+1,$C51,""),"")</f>
        <v/>
      </c>
      <c r="ED51" s="34">
        <f>IF(AND(ED$5&gt;$E51,ED$5&lt;=$F51),IF(ED$5=$E51+1,$C51,""),"")</f>
        <v/>
      </c>
      <c r="EE51" s="34">
        <f>IF(AND(EE$5&gt;$E51,EE$5&lt;=$F51),IF(EE$5=$E51+1,$C51,""),"")</f>
        <v/>
      </c>
      <c r="EF51" s="34">
        <f>IF(AND(EF$5&gt;$E51,EF$5&lt;=$F51),IF(EF$5=$E51+1,$C51,""),"")</f>
        <v/>
      </c>
      <c r="EG51" s="34">
        <f>IF(AND(EG$5&gt;$E51,EG$5&lt;=$F51),IF(EG$5=$E51+1,$C51,""),"")</f>
        <v/>
      </c>
      <c r="EH51" s="34">
        <f>IF(AND(EH$5&gt;$E51,EH$5&lt;=$F51),IF(EH$5=$E51+1,$C51,""),"")</f>
        <v/>
      </c>
      <c r="EI51" s="34">
        <f>IF(AND(EI$5&gt;$E51,EI$5&lt;=$F51),IF(EI$5=$E51+1,$C51,""),"")</f>
        <v/>
      </c>
      <c r="EJ51" s="34">
        <f>IF(AND(EJ$5&gt;$E51,EJ$5&lt;=$F51),IF(EJ$5=$E51+1,$C51,""),"")</f>
        <v/>
      </c>
      <c r="EK51" s="34">
        <f>IF(AND(EK$5&gt;$E51,EK$5&lt;=$F51),IF(EK$5=$E51+1,$C51,""),"")</f>
        <v/>
      </c>
      <c r="EL51" s="34">
        <f>IF(AND(EL$5&gt;$E51,EL$5&lt;=$F51),IF(EL$5=$E51+1,$C51,""),"")</f>
        <v/>
      </c>
      <c r="EM51" s="34">
        <f>IF(AND(EM$5&gt;$E51,EM$5&lt;=$F51),IF(EM$5=$E51+1,$C51,""),"")</f>
        <v/>
      </c>
      <c r="EN51" s="34">
        <f>IF(AND(EN$5&gt;$E51,EN$5&lt;=$F51),IF(EN$5=$E51+1,$C51,""),"")</f>
        <v/>
      </c>
      <c r="EO51" s="34">
        <f>IF(AND(EO$5&gt;$E51,EO$5&lt;=$F51),IF(EO$5=$E51+1,$C51,""),"")</f>
        <v/>
      </c>
      <c r="EP51" s="34">
        <f>IF(AND(EP$5&gt;$E51,EP$5&lt;=$F51),IF(EP$5=$E51+1,$C51,""),"")</f>
        <v/>
      </c>
      <c r="EQ51" s="34">
        <f>IF(AND(EQ$5&gt;$E51,EQ$5&lt;=$F51),IF(EQ$5=$E51+1,$C51,""),"")</f>
        <v/>
      </c>
      <c r="ER51" s="34">
        <f>IF(AND(ER$5&gt;$E51,ER$5&lt;=$F51),IF(ER$5=$E51+1,$C51,""),"")</f>
        <v/>
      </c>
      <c r="ES51" s="34">
        <f>IF(AND(ES$5&gt;$E51,ES$5&lt;=$F51),IF(ES$5=$E51+1,$C51,""),"")</f>
        <v/>
      </c>
      <c r="ET51" s="34">
        <f>IF(AND(ET$5&gt;$E51,ET$5&lt;=$F51),IF(ET$5=$E51+1,$C51,""),"")</f>
        <v/>
      </c>
      <c r="EU51" s="34">
        <f>IF(AND(EU$5&gt;$E51,EU$5&lt;=$F51),IF(EU$5=$E51+1,$C51,""),"")</f>
        <v/>
      </c>
      <c r="EV51" s="34">
        <f>IF(AND(EV$5&gt;$E51,EV$5&lt;=$F51),IF(EV$5=$E51+1,$C51,""),"")</f>
        <v/>
      </c>
      <c r="EW51" s="34">
        <f>IF(AND(EW$5&gt;$E51,EW$5&lt;=$F51),IF(EW$5=$E51+1,$C51,""),"")</f>
        <v/>
      </c>
      <c r="EX51" s="34">
        <f>IF(AND(EX$5&gt;$E51,EX$5&lt;=$F51),IF(EX$5=$E51+1,$C51,""),"")</f>
        <v/>
      </c>
      <c r="EY51" s="34">
        <f>IF(AND(EY$5&gt;$E51,EY$5&lt;=$F51),IF(EY$5=$E51+1,$C51,""),"")</f>
        <v/>
      </c>
      <c r="EZ51" s="34">
        <f>IF(AND(EZ$5&gt;$E51,EZ$5&lt;=$F51),IF(EZ$5=$E51+1,$C51,""),"")</f>
        <v/>
      </c>
      <c r="FA51" s="34">
        <f>IF(AND(FA$5&gt;$E51,FA$5&lt;=$F51),IF(FA$5=$E51+1,$C51,""),"")</f>
        <v/>
      </c>
    </row>
    <row r="52">
      <c r="A52" s="32">
        <f>Plan!A41</f>
        <v/>
      </c>
      <c r="B52" s="33">
        <f>Plan!C41</f>
        <v/>
      </c>
      <c r="C52" s="16">
        <f>Plan!D41</f>
        <v/>
      </c>
      <c r="D52" s="16">
        <f>Plan!I41</f>
        <v/>
      </c>
      <c r="E52" s="16">
        <f>Plan!K41</f>
        <v/>
      </c>
      <c r="F52" s="16">
        <f>Plan!L41</f>
        <v/>
      </c>
      <c r="G52" s="16">
        <f>Plan!O41</f>
        <v/>
      </c>
      <c r="H52" s="34">
        <f>IF(AND(H$5&gt;$E52,H$5&lt;=$F52),IF(H$5=$E52+1,$C52,""),"")</f>
        <v/>
      </c>
      <c r="I52" s="34">
        <f>IF(AND(I$5&gt;$E52,I$5&lt;=$F52),IF(I$5=$E52+1,$C52,""),"")</f>
        <v/>
      </c>
      <c r="J52" s="34">
        <f>IF(AND(J$5&gt;$E52,J$5&lt;=$F52),IF(J$5=$E52+1,$C52,""),"")</f>
        <v/>
      </c>
      <c r="K52" s="34">
        <f>IF(AND(K$5&gt;$E52,K$5&lt;=$F52),IF(K$5=$E52+1,$C52,""),"")</f>
        <v/>
      </c>
      <c r="L52" s="34">
        <f>IF(AND(L$5&gt;$E52,L$5&lt;=$F52),IF(L$5=$E52+1,$C52,""),"")</f>
        <v/>
      </c>
      <c r="M52" s="34">
        <f>IF(AND(M$5&gt;$E52,M$5&lt;=$F52),IF(M$5=$E52+1,$C52,""),"")</f>
        <v/>
      </c>
      <c r="N52" s="34">
        <f>IF(AND(N$5&gt;$E52,N$5&lt;=$F52),IF(N$5=$E52+1,$C52,""),"")</f>
        <v/>
      </c>
      <c r="O52" s="34">
        <f>IF(AND(O$5&gt;$E52,O$5&lt;=$F52),IF(O$5=$E52+1,$C52,""),"")</f>
        <v/>
      </c>
      <c r="P52" s="34">
        <f>IF(AND(P$5&gt;$E52,P$5&lt;=$F52),IF(P$5=$E52+1,$C52,""),"")</f>
        <v/>
      </c>
      <c r="Q52" s="34">
        <f>IF(AND(Q$5&gt;$E52,Q$5&lt;=$F52),IF(Q$5=$E52+1,$C52,""),"")</f>
        <v/>
      </c>
      <c r="R52" s="34">
        <f>IF(AND(R$5&gt;$E52,R$5&lt;=$F52),IF(R$5=$E52+1,$C52,""),"")</f>
        <v/>
      </c>
      <c r="S52" s="34">
        <f>IF(AND(S$5&gt;$E52,S$5&lt;=$F52),IF(S$5=$E52+1,$C52,""),"")</f>
        <v/>
      </c>
      <c r="T52" s="34">
        <f>IF(AND(T$5&gt;$E52,T$5&lt;=$F52),IF(T$5=$E52+1,$C52,""),"")</f>
        <v/>
      </c>
      <c r="U52" s="34">
        <f>IF(AND(U$5&gt;$E52,U$5&lt;=$F52),IF(U$5=$E52+1,$C52,""),"")</f>
        <v/>
      </c>
      <c r="V52" s="34">
        <f>IF(AND(V$5&gt;$E52,V$5&lt;=$F52),IF(V$5=$E52+1,$C52,""),"")</f>
        <v/>
      </c>
      <c r="W52" s="34">
        <f>IF(AND(W$5&gt;$E52,W$5&lt;=$F52),IF(W$5=$E52+1,$C52,""),"")</f>
        <v/>
      </c>
      <c r="X52" s="34">
        <f>IF(AND(X$5&gt;$E52,X$5&lt;=$F52),IF(X$5=$E52+1,$C52,""),"")</f>
        <v/>
      </c>
      <c r="Y52" s="34">
        <f>IF(AND(Y$5&gt;$E52,Y$5&lt;=$F52),IF(Y$5=$E52+1,$C52,""),"")</f>
        <v/>
      </c>
      <c r="Z52" s="34">
        <f>IF(AND(Z$5&gt;$E52,Z$5&lt;=$F52),IF(Z$5=$E52+1,$C52,""),"")</f>
        <v/>
      </c>
      <c r="AA52" s="34">
        <f>IF(AND(AA$5&gt;$E52,AA$5&lt;=$F52),IF(AA$5=$E52+1,$C52,""),"")</f>
        <v/>
      </c>
      <c r="AB52" s="34">
        <f>IF(AND(AB$5&gt;$E52,AB$5&lt;=$F52),IF(AB$5=$E52+1,$C52,""),"")</f>
        <v/>
      </c>
      <c r="AC52" s="34">
        <f>IF(AND(AC$5&gt;$E52,AC$5&lt;=$F52),IF(AC$5=$E52+1,$C52,""),"")</f>
        <v/>
      </c>
      <c r="AD52" s="34">
        <f>IF(AND(AD$5&gt;$E52,AD$5&lt;=$F52),IF(AD$5=$E52+1,$C52,""),"")</f>
        <v/>
      </c>
      <c r="AE52" s="34">
        <f>IF(AND(AE$5&gt;$E52,AE$5&lt;=$F52),IF(AE$5=$E52+1,$C52,""),"")</f>
        <v/>
      </c>
      <c r="AF52" s="34">
        <f>IF(AND(AF$5&gt;$E52,AF$5&lt;=$F52),IF(AF$5=$E52+1,$C52,""),"")</f>
        <v/>
      </c>
      <c r="AG52" s="34">
        <f>IF(AND(AG$5&gt;$E52,AG$5&lt;=$F52),IF(AG$5=$E52+1,$C52,""),"")</f>
        <v/>
      </c>
      <c r="AH52" s="34">
        <f>IF(AND(AH$5&gt;$E52,AH$5&lt;=$F52),IF(AH$5=$E52+1,$C52,""),"")</f>
        <v/>
      </c>
      <c r="AI52" s="34">
        <f>IF(AND(AI$5&gt;$E52,AI$5&lt;=$F52),IF(AI$5=$E52+1,$C52,""),"")</f>
        <v/>
      </c>
      <c r="AJ52" s="34">
        <f>IF(AND(AJ$5&gt;$E52,AJ$5&lt;=$F52),IF(AJ$5=$E52+1,$C52,""),"")</f>
        <v/>
      </c>
      <c r="AK52" s="34">
        <f>IF(AND(AK$5&gt;$E52,AK$5&lt;=$F52),IF(AK$5=$E52+1,$C52,""),"")</f>
        <v/>
      </c>
      <c r="AL52" s="34">
        <f>IF(AND(AL$5&gt;$E52,AL$5&lt;=$F52),IF(AL$5=$E52+1,$C52,""),"")</f>
        <v/>
      </c>
      <c r="AM52" s="34">
        <f>IF(AND(AM$5&gt;$E52,AM$5&lt;=$F52),IF(AM$5=$E52+1,$C52,""),"")</f>
        <v/>
      </c>
      <c r="AN52" s="34">
        <f>IF(AND(AN$5&gt;$E52,AN$5&lt;=$F52),IF(AN$5=$E52+1,$C52,""),"")</f>
        <v/>
      </c>
      <c r="AO52" s="34">
        <f>IF(AND(AO$5&gt;$E52,AO$5&lt;=$F52),IF(AO$5=$E52+1,$C52,""),"")</f>
        <v/>
      </c>
      <c r="AP52" s="34">
        <f>IF(AND(AP$5&gt;$E52,AP$5&lt;=$F52),IF(AP$5=$E52+1,$C52,""),"")</f>
        <v/>
      </c>
      <c r="AQ52" s="34">
        <f>IF(AND(AQ$5&gt;$E52,AQ$5&lt;=$F52),IF(AQ$5=$E52+1,$C52,""),"")</f>
        <v/>
      </c>
      <c r="AR52" s="34">
        <f>IF(AND(AR$5&gt;$E52,AR$5&lt;=$F52),IF(AR$5=$E52+1,$C52,""),"")</f>
        <v/>
      </c>
      <c r="AS52" s="34">
        <f>IF(AND(AS$5&gt;$E52,AS$5&lt;=$F52),IF(AS$5=$E52+1,$C52,""),"")</f>
        <v/>
      </c>
      <c r="AT52" s="34">
        <f>IF(AND(AT$5&gt;$E52,AT$5&lt;=$F52),IF(AT$5=$E52+1,$C52,""),"")</f>
        <v/>
      </c>
      <c r="AU52" s="34">
        <f>IF(AND(AU$5&gt;$E52,AU$5&lt;=$F52),IF(AU$5=$E52+1,$C52,""),"")</f>
        <v/>
      </c>
      <c r="AV52" s="34">
        <f>IF(AND(AV$5&gt;$E52,AV$5&lt;=$F52),IF(AV$5=$E52+1,$C52,""),"")</f>
        <v/>
      </c>
      <c r="AW52" s="34">
        <f>IF(AND(AW$5&gt;$E52,AW$5&lt;=$F52),IF(AW$5=$E52+1,$C52,""),"")</f>
        <v/>
      </c>
      <c r="AX52" s="34">
        <f>IF(AND(AX$5&gt;$E52,AX$5&lt;=$F52),IF(AX$5=$E52+1,$C52,""),"")</f>
        <v/>
      </c>
      <c r="AY52" s="34">
        <f>IF(AND(AY$5&gt;$E52,AY$5&lt;=$F52),IF(AY$5=$E52+1,$C52,""),"")</f>
        <v/>
      </c>
      <c r="AZ52" s="34">
        <f>IF(AND(AZ$5&gt;$E52,AZ$5&lt;=$F52),IF(AZ$5=$E52+1,$C52,""),"")</f>
        <v/>
      </c>
      <c r="BA52" s="34">
        <f>IF(AND(BA$5&gt;$E52,BA$5&lt;=$F52),IF(BA$5=$E52+1,$C52,""),"")</f>
        <v/>
      </c>
      <c r="BB52" s="34">
        <f>IF(AND(BB$5&gt;$E52,BB$5&lt;=$F52),IF(BB$5=$E52+1,$C52,""),"")</f>
        <v/>
      </c>
      <c r="BC52" s="34">
        <f>IF(AND(BC$5&gt;$E52,BC$5&lt;=$F52),IF(BC$5=$E52+1,$C52,""),"")</f>
        <v/>
      </c>
      <c r="BD52" s="34">
        <f>IF(AND(BD$5&gt;$E52,BD$5&lt;=$F52),IF(BD$5=$E52+1,$C52,""),"")</f>
        <v/>
      </c>
      <c r="BE52" s="34">
        <f>IF(AND(BE$5&gt;$E52,BE$5&lt;=$F52),IF(BE$5=$E52+1,$C52,""),"")</f>
        <v/>
      </c>
      <c r="BF52" s="34">
        <f>IF(AND(BF$5&gt;$E52,BF$5&lt;=$F52),IF(BF$5=$E52+1,$C52,""),"")</f>
        <v/>
      </c>
      <c r="BG52" s="34">
        <f>IF(AND(BG$5&gt;$E52,BG$5&lt;=$F52),IF(BG$5=$E52+1,$C52,""),"")</f>
        <v/>
      </c>
      <c r="BH52" s="34">
        <f>IF(AND(BH$5&gt;$E52,BH$5&lt;=$F52),IF(BH$5=$E52+1,$C52,""),"")</f>
        <v/>
      </c>
      <c r="BI52" s="34">
        <f>IF(AND(BI$5&gt;$E52,BI$5&lt;=$F52),IF(BI$5=$E52+1,$C52,""),"")</f>
        <v/>
      </c>
      <c r="BJ52" s="34">
        <f>IF(AND(BJ$5&gt;$E52,BJ$5&lt;=$F52),IF(BJ$5=$E52+1,$C52,""),"")</f>
        <v/>
      </c>
      <c r="BK52" s="34">
        <f>IF(AND(BK$5&gt;$E52,BK$5&lt;=$F52),IF(BK$5=$E52+1,$C52,""),"")</f>
        <v/>
      </c>
      <c r="BL52" s="34">
        <f>IF(AND(BL$5&gt;$E52,BL$5&lt;=$F52),IF(BL$5=$E52+1,$C52,""),"")</f>
        <v/>
      </c>
      <c r="BM52" s="34">
        <f>IF(AND(BM$5&gt;$E52,BM$5&lt;=$F52),IF(BM$5=$E52+1,$C52,""),"")</f>
        <v/>
      </c>
      <c r="BN52" s="34">
        <f>IF(AND(BN$5&gt;$E52,BN$5&lt;=$F52),IF(BN$5=$E52+1,$C52,""),"")</f>
        <v/>
      </c>
      <c r="BO52" s="34">
        <f>IF(AND(BO$5&gt;$E52,BO$5&lt;=$F52),IF(BO$5=$E52+1,$C52,""),"")</f>
        <v/>
      </c>
      <c r="BP52" s="34">
        <f>IF(AND(BP$5&gt;$E52,BP$5&lt;=$F52),IF(BP$5=$E52+1,$C52,""),"")</f>
        <v/>
      </c>
      <c r="BQ52" s="34">
        <f>IF(AND(BQ$5&gt;$E52,BQ$5&lt;=$F52),IF(BQ$5=$E52+1,$C52,""),"")</f>
        <v/>
      </c>
      <c r="BR52" s="34">
        <f>IF(AND(BR$5&gt;$E52,BR$5&lt;=$F52),IF(BR$5=$E52+1,$C52,""),"")</f>
        <v/>
      </c>
      <c r="BS52" s="34">
        <f>IF(AND(BS$5&gt;$E52,BS$5&lt;=$F52),IF(BS$5=$E52+1,$C52,""),"")</f>
        <v/>
      </c>
      <c r="BT52" s="34">
        <f>IF(AND(BT$5&gt;$E52,BT$5&lt;=$F52),IF(BT$5=$E52+1,$C52,""),"")</f>
        <v/>
      </c>
      <c r="BU52" s="34">
        <f>IF(AND(BU$5&gt;$E52,BU$5&lt;=$F52),IF(BU$5=$E52+1,$C52,""),"")</f>
        <v/>
      </c>
      <c r="BV52" s="34">
        <f>IF(AND(BV$5&gt;$E52,BV$5&lt;=$F52),IF(BV$5=$E52+1,$C52,""),"")</f>
        <v/>
      </c>
      <c r="BW52" s="34">
        <f>IF(AND(BW$5&gt;$E52,BW$5&lt;=$F52),IF(BW$5=$E52+1,$C52,""),"")</f>
        <v/>
      </c>
      <c r="BX52" s="34">
        <f>IF(AND(BX$5&gt;$E52,BX$5&lt;=$F52),IF(BX$5=$E52+1,$C52,""),"")</f>
        <v/>
      </c>
      <c r="BY52" s="34">
        <f>IF(AND(BY$5&gt;$E52,BY$5&lt;=$F52),IF(BY$5=$E52+1,$C52,""),"")</f>
        <v/>
      </c>
      <c r="BZ52" s="34">
        <f>IF(AND(BZ$5&gt;$E52,BZ$5&lt;=$F52),IF(BZ$5=$E52+1,$C52,""),"")</f>
        <v/>
      </c>
      <c r="CA52" s="34">
        <f>IF(AND(CA$5&gt;$E52,CA$5&lt;=$F52),IF(CA$5=$E52+1,$C52,""),"")</f>
        <v/>
      </c>
      <c r="CB52" s="34">
        <f>IF(AND(CB$5&gt;$E52,CB$5&lt;=$F52),IF(CB$5=$E52+1,$C52,""),"")</f>
        <v/>
      </c>
      <c r="CC52" s="34">
        <f>IF(AND(CC$5&gt;$E52,CC$5&lt;=$F52),IF(CC$5=$E52+1,$C52,""),"")</f>
        <v/>
      </c>
      <c r="CD52" s="34">
        <f>IF(AND(CD$5&gt;$E52,CD$5&lt;=$F52),IF(CD$5=$E52+1,$C52,""),"")</f>
        <v/>
      </c>
      <c r="CE52" s="34">
        <f>IF(AND(CE$5&gt;$E52,CE$5&lt;=$F52),IF(CE$5=$E52+1,$C52,""),"")</f>
        <v/>
      </c>
      <c r="CF52" s="34">
        <f>IF(AND(CF$5&gt;$E52,CF$5&lt;=$F52),IF(CF$5=$E52+1,$C52,""),"")</f>
        <v/>
      </c>
      <c r="CG52" s="34">
        <f>IF(AND(CG$5&gt;$E52,CG$5&lt;=$F52),IF(CG$5=$E52+1,$C52,""),"")</f>
        <v/>
      </c>
      <c r="CH52" s="34">
        <f>IF(AND(CH$5&gt;$E52,CH$5&lt;=$F52),IF(CH$5=$E52+1,$C52,""),"")</f>
        <v/>
      </c>
      <c r="CI52" s="34">
        <f>IF(AND(CI$5&gt;$E52,CI$5&lt;=$F52),IF(CI$5=$E52+1,$C52,""),"")</f>
        <v/>
      </c>
      <c r="CJ52" s="34">
        <f>IF(AND(CJ$5&gt;$E52,CJ$5&lt;=$F52),IF(CJ$5=$E52+1,$C52,""),"")</f>
        <v/>
      </c>
      <c r="CK52" s="34">
        <f>IF(AND(CK$5&gt;$E52,CK$5&lt;=$F52),IF(CK$5=$E52+1,$C52,""),"")</f>
        <v/>
      </c>
      <c r="CL52" s="34">
        <f>IF(AND(CL$5&gt;$E52,CL$5&lt;=$F52),IF(CL$5=$E52+1,$C52,""),"")</f>
        <v/>
      </c>
      <c r="CM52" s="34">
        <f>IF(AND(CM$5&gt;$E52,CM$5&lt;=$F52),IF(CM$5=$E52+1,$C52,""),"")</f>
        <v/>
      </c>
      <c r="CN52" s="34">
        <f>IF(AND(CN$5&gt;$E52,CN$5&lt;=$F52),IF(CN$5=$E52+1,$C52,""),"")</f>
        <v/>
      </c>
      <c r="CO52" s="34">
        <f>IF(AND(CO$5&gt;$E52,CO$5&lt;=$F52),IF(CO$5=$E52+1,$C52,""),"")</f>
        <v/>
      </c>
      <c r="CP52" s="34">
        <f>IF(AND(CP$5&gt;$E52,CP$5&lt;=$F52),IF(CP$5=$E52+1,$C52,""),"")</f>
        <v/>
      </c>
      <c r="CQ52" s="34">
        <f>IF(AND(CQ$5&gt;$E52,CQ$5&lt;=$F52),IF(CQ$5=$E52+1,$C52,""),"")</f>
        <v/>
      </c>
      <c r="CR52" s="34">
        <f>IF(AND(CR$5&gt;$E52,CR$5&lt;=$F52),IF(CR$5=$E52+1,$C52,""),"")</f>
        <v/>
      </c>
      <c r="CS52" s="34">
        <f>IF(AND(CS$5&gt;$E52,CS$5&lt;=$F52),IF(CS$5=$E52+1,$C52,""),"")</f>
        <v/>
      </c>
      <c r="CT52" s="34">
        <f>IF(AND(CT$5&gt;$E52,CT$5&lt;=$F52),IF(CT$5=$E52+1,$C52,""),"")</f>
        <v/>
      </c>
      <c r="CU52" s="34">
        <f>IF(AND(CU$5&gt;$E52,CU$5&lt;=$F52),IF(CU$5=$E52+1,$C52,""),"")</f>
        <v/>
      </c>
      <c r="CV52" s="34">
        <f>IF(AND(CV$5&gt;$E52,CV$5&lt;=$F52),IF(CV$5=$E52+1,$C52,""),"")</f>
        <v/>
      </c>
      <c r="CW52" s="34">
        <f>IF(AND(CW$5&gt;$E52,CW$5&lt;=$F52),IF(CW$5=$E52+1,$C52,""),"")</f>
        <v/>
      </c>
      <c r="CX52" s="34">
        <f>IF(AND(CX$5&gt;$E52,CX$5&lt;=$F52),IF(CX$5=$E52+1,$C52,""),"")</f>
        <v/>
      </c>
      <c r="CY52" s="34">
        <f>IF(AND(CY$5&gt;$E52,CY$5&lt;=$F52),IF(CY$5=$E52+1,$C52,""),"")</f>
        <v/>
      </c>
      <c r="CZ52" s="34">
        <f>IF(AND(CZ$5&gt;$E52,CZ$5&lt;=$F52),IF(CZ$5=$E52+1,$C52,""),"")</f>
        <v/>
      </c>
      <c r="DA52" s="34">
        <f>IF(AND(DA$5&gt;$E52,DA$5&lt;=$F52),IF(DA$5=$E52+1,$C52,""),"")</f>
        <v/>
      </c>
      <c r="DB52" s="34">
        <f>IF(AND(DB$5&gt;$E52,DB$5&lt;=$F52),IF(DB$5=$E52+1,$C52,""),"")</f>
        <v/>
      </c>
      <c r="DC52" s="34">
        <f>IF(AND(DC$5&gt;$E52,DC$5&lt;=$F52),IF(DC$5=$E52+1,$C52,""),"")</f>
        <v/>
      </c>
      <c r="DD52" s="34">
        <f>IF(AND(DD$5&gt;$E52,DD$5&lt;=$F52),IF(DD$5=$E52+1,$C52,""),"")</f>
        <v/>
      </c>
      <c r="DE52" s="34">
        <f>IF(AND(DE$5&gt;$E52,DE$5&lt;=$F52),IF(DE$5=$E52+1,$C52,""),"")</f>
        <v/>
      </c>
      <c r="DF52" s="34">
        <f>IF(AND(DF$5&gt;$E52,DF$5&lt;=$F52),IF(DF$5=$E52+1,$C52,""),"")</f>
        <v/>
      </c>
      <c r="DG52" s="34">
        <f>IF(AND(DG$5&gt;$E52,DG$5&lt;=$F52),IF(DG$5=$E52+1,$C52,""),"")</f>
        <v/>
      </c>
      <c r="DH52" s="34">
        <f>IF(AND(DH$5&gt;$E52,DH$5&lt;=$F52),IF(DH$5=$E52+1,$C52,""),"")</f>
        <v/>
      </c>
      <c r="DI52" s="34">
        <f>IF(AND(DI$5&gt;$E52,DI$5&lt;=$F52),IF(DI$5=$E52+1,$C52,""),"")</f>
        <v/>
      </c>
      <c r="DJ52" s="34">
        <f>IF(AND(DJ$5&gt;$E52,DJ$5&lt;=$F52),IF(DJ$5=$E52+1,$C52,""),"")</f>
        <v/>
      </c>
      <c r="DK52" s="34">
        <f>IF(AND(DK$5&gt;$E52,DK$5&lt;=$F52),IF(DK$5=$E52+1,$C52,""),"")</f>
        <v/>
      </c>
      <c r="DL52" s="34">
        <f>IF(AND(DL$5&gt;$E52,DL$5&lt;=$F52),IF(DL$5=$E52+1,$C52,""),"")</f>
        <v/>
      </c>
      <c r="DM52" s="34">
        <f>IF(AND(DM$5&gt;$E52,DM$5&lt;=$F52),IF(DM$5=$E52+1,$C52,""),"")</f>
        <v/>
      </c>
      <c r="DN52" s="34">
        <f>IF(AND(DN$5&gt;$E52,DN$5&lt;=$F52),IF(DN$5=$E52+1,$C52,""),"")</f>
        <v/>
      </c>
      <c r="DO52" s="34">
        <f>IF(AND(DO$5&gt;$E52,DO$5&lt;=$F52),IF(DO$5=$E52+1,$C52,""),"")</f>
        <v/>
      </c>
      <c r="DP52" s="34">
        <f>IF(AND(DP$5&gt;$E52,DP$5&lt;=$F52),IF(DP$5=$E52+1,$C52,""),"")</f>
        <v/>
      </c>
      <c r="DQ52" s="34">
        <f>IF(AND(DQ$5&gt;$E52,DQ$5&lt;=$F52),IF(DQ$5=$E52+1,$C52,""),"")</f>
        <v/>
      </c>
      <c r="DR52" s="34">
        <f>IF(AND(DR$5&gt;$E52,DR$5&lt;=$F52),IF(DR$5=$E52+1,$C52,""),"")</f>
        <v/>
      </c>
      <c r="DS52" s="34">
        <f>IF(AND(DS$5&gt;$E52,DS$5&lt;=$F52),IF(DS$5=$E52+1,$C52,""),"")</f>
        <v/>
      </c>
      <c r="DT52" s="34">
        <f>IF(AND(DT$5&gt;$E52,DT$5&lt;=$F52),IF(DT$5=$E52+1,$C52,""),"")</f>
        <v/>
      </c>
      <c r="DU52" s="34">
        <f>IF(AND(DU$5&gt;$E52,DU$5&lt;=$F52),IF(DU$5=$E52+1,$C52,""),"")</f>
        <v/>
      </c>
      <c r="DV52" s="34">
        <f>IF(AND(DV$5&gt;$E52,DV$5&lt;=$F52),IF(DV$5=$E52+1,$C52,""),"")</f>
        <v/>
      </c>
      <c r="DW52" s="34">
        <f>IF(AND(DW$5&gt;$E52,DW$5&lt;=$F52),IF(DW$5=$E52+1,$C52,""),"")</f>
        <v/>
      </c>
      <c r="DX52" s="34">
        <f>IF(AND(DX$5&gt;$E52,DX$5&lt;=$F52),IF(DX$5=$E52+1,$C52,""),"")</f>
        <v/>
      </c>
      <c r="DY52" s="34">
        <f>IF(AND(DY$5&gt;$E52,DY$5&lt;=$F52),IF(DY$5=$E52+1,$C52,""),"")</f>
        <v/>
      </c>
      <c r="DZ52" s="34">
        <f>IF(AND(DZ$5&gt;$E52,DZ$5&lt;=$F52),IF(DZ$5=$E52+1,$C52,""),"")</f>
        <v/>
      </c>
      <c r="EA52" s="34">
        <f>IF(AND(EA$5&gt;$E52,EA$5&lt;=$F52),IF(EA$5=$E52+1,$C52,""),"")</f>
        <v/>
      </c>
      <c r="EB52" s="34">
        <f>IF(AND(EB$5&gt;$E52,EB$5&lt;=$F52),IF(EB$5=$E52+1,$C52,""),"")</f>
        <v/>
      </c>
      <c r="EC52" s="34">
        <f>IF(AND(EC$5&gt;$E52,EC$5&lt;=$F52),IF(EC$5=$E52+1,$C52,""),"")</f>
        <v/>
      </c>
      <c r="ED52" s="34">
        <f>IF(AND(ED$5&gt;$E52,ED$5&lt;=$F52),IF(ED$5=$E52+1,$C52,""),"")</f>
        <v/>
      </c>
      <c r="EE52" s="34">
        <f>IF(AND(EE$5&gt;$E52,EE$5&lt;=$F52),IF(EE$5=$E52+1,$C52,""),"")</f>
        <v/>
      </c>
      <c r="EF52" s="34">
        <f>IF(AND(EF$5&gt;$E52,EF$5&lt;=$F52),IF(EF$5=$E52+1,$C52,""),"")</f>
        <v/>
      </c>
      <c r="EG52" s="34">
        <f>IF(AND(EG$5&gt;$E52,EG$5&lt;=$F52),IF(EG$5=$E52+1,$C52,""),"")</f>
        <v/>
      </c>
      <c r="EH52" s="34">
        <f>IF(AND(EH$5&gt;$E52,EH$5&lt;=$F52),IF(EH$5=$E52+1,$C52,""),"")</f>
        <v/>
      </c>
      <c r="EI52" s="34">
        <f>IF(AND(EI$5&gt;$E52,EI$5&lt;=$F52),IF(EI$5=$E52+1,$C52,""),"")</f>
        <v/>
      </c>
      <c r="EJ52" s="34">
        <f>IF(AND(EJ$5&gt;$E52,EJ$5&lt;=$F52),IF(EJ$5=$E52+1,$C52,""),"")</f>
        <v/>
      </c>
      <c r="EK52" s="34">
        <f>IF(AND(EK$5&gt;$E52,EK$5&lt;=$F52),IF(EK$5=$E52+1,$C52,""),"")</f>
        <v/>
      </c>
      <c r="EL52" s="34">
        <f>IF(AND(EL$5&gt;$E52,EL$5&lt;=$F52),IF(EL$5=$E52+1,$C52,""),"")</f>
        <v/>
      </c>
      <c r="EM52" s="34">
        <f>IF(AND(EM$5&gt;$E52,EM$5&lt;=$F52),IF(EM$5=$E52+1,$C52,""),"")</f>
        <v/>
      </c>
      <c r="EN52" s="34">
        <f>IF(AND(EN$5&gt;$E52,EN$5&lt;=$F52),IF(EN$5=$E52+1,$C52,""),"")</f>
        <v/>
      </c>
      <c r="EO52" s="34">
        <f>IF(AND(EO$5&gt;$E52,EO$5&lt;=$F52),IF(EO$5=$E52+1,$C52,""),"")</f>
        <v/>
      </c>
      <c r="EP52" s="34">
        <f>IF(AND(EP$5&gt;$E52,EP$5&lt;=$F52),IF(EP$5=$E52+1,$C52,""),"")</f>
        <v/>
      </c>
      <c r="EQ52" s="34">
        <f>IF(AND(EQ$5&gt;$E52,EQ$5&lt;=$F52),IF(EQ$5=$E52+1,$C52,""),"")</f>
        <v/>
      </c>
      <c r="ER52" s="34">
        <f>IF(AND(ER$5&gt;$E52,ER$5&lt;=$F52),IF(ER$5=$E52+1,$C52,""),"")</f>
        <v/>
      </c>
      <c r="ES52" s="34">
        <f>IF(AND(ES$5&gt;$E52,ES$5&lt;=$F52),IF(ES$5=$E52+1,$C52,""),"")</f>
        <v/>
      </c>
      <c r="ET52" s="34">
        <f>IF(AND(ET$5&gt;$E52,ET$5&lt;=$F52),IF(ET$5=$E52+1,$C52,""),"")</f>
        <v/>
      </c>
      <c r="EU52" s="34">
        <f>IF(AND(EU$5&gt;$E52,EU$5&lt;=$F52),IF(EU$5=$E52+1,$C52,""),"")</f>
        <v/>
      </c>
      <c r="EV52" s="34">
        <f>IF(AND(EV$5&gt;$E52,EV$5&lt;=$F52),IF(EV$5=$E52+1,$C52,""),"")</f>
        <v/>
      </c>
      <c r="EW52" s="34">
        <f>IF(AND(EW$5&gt;$E52,EW$5&lt;=$F52),IF(EW$5=$E52+1,$C52,""),"")</f>
        <v/>
      </c>
      <c r="EX52" s="34">
        <f>IF(AND(EX$5&gt;$E52,EX$5&lt;=$F52),IF(EX$5=$E52+1,$C52,""),"")</f>
        <v/>
      </c>
      <c r="EY52" s="34">
        <f>IF(AND(EY$5&gt;$E52,EY$5&lt;=$F52),IF(EY$5=$E52+1,$C52,""),"")</f>
        <v/>
      </c>
      <c r="EZ52" s="34">
        <f>IF(AND(EZ$5&gt;$E52,EZ$5&lt;=$F52),IF(EZ$5=$E52+1,$C52,""),"")</f>
        <v/>
      </c>
      <c r="FA52" s="34">
        <f>IF(AND(FA$5&gt;$E52,FA$5&lt;=$F52),IF(FA$5=$E52+1,$C52,""),"")</f>
        <v/>
      </c>
    </row>
    <row r="53">
      <c r="A53" s="32">
        <f>Plan!A42</f>
        <v/>
      </c>
      <c r="B53" s="33">
        <f>Plan!C42</f>
        <v/>
      </c>
      <c r="C53" s="16">
        <f>Plan!D42</f>
        <v/>
      </c>
      <c r="D53" s="16">
        <f>Plan!I42</f>
        <v/>
      </c>
      <c r="E53" s="16">
        <f>Plan!K42</f>
        <v/>
      </c>
      <c r="F53" s="16">
        <f>Plan!L42</f>
        <v/>
      </c>
      <c r="G53" s="16">
        <f>Plan!O42</f>
        <v/>
      </c>
      <c r="H53" s="34">
        <f>IF(AND(H$5&gt;$E53,H$5&lt;=$F53),IF(H$5=$E53+1,$C53,""),"")</f>
        <v/>
      </c>
      <c r="I53" s="34">
        <f>IF(AND(I$5&gt;$E53,I$5&lt;=$F53),IF(I$5=$E53+1,$C53,""),"")</f>
        <v/>
      </c>
      <c r="J53" s="34">
        <f>IF(AND(J$5&gt;$E53,J$5&lt;=$F53),IF(J$5=$E53+1,$C53,""),"")</f>
        <v/>
      </c>
      <c r="K53" s="34">
        <f>IF(AND(K$5&gt;$E53,K$5&lt;=$F53),IF(K$5=$E53+1,$C53,""),"")</f>
        <v/>
      </c>
      <c r="L53" s="34">
        <f>IF(AND(L$5&gt;$E53,L$5&lt;=$F53),IF(L$5=$E53+1,$C53,""),"")</f>
        <v/>
      </c>
      <c r="M53" s="34">
        <f>IF(AND(M$5&gt;$E53,M$5&lt;=$F53),IF(M$5=$E53+1,$C53,""),"")</f>
        <v/>
      </c>
      <c r="N53" s="34">
        <f>IF(AND(N$5&gt;$E53,N$5&lt;=$F53),IF(N$5=$E53+1,$C53,""),"")</f>
        <v/>
      </c>
      <c r="O53" s="34">
        <f>IF(AND(O$5&gt;$E53,O$5&lt;=$F53),IF(O$5=$E53+1,$C53,""),"")</f>
        <v/>
      </c>
      <c r="P53" s="34">
        <f>IF(AND(P$5&gt;$E53,P$5&lt;=$F53),IF(P$5=$E53+1,$C53,""),"")</f>
        <v/>
      </c>
      <c r="Q53" s="34">
        <f>IF(AND(Q$5&gt;$E53,Q$5&lt;=$F53),IF(Q$5=$E53+1,$C53,""),"")</f>
        <v/>
      </c>
      <c r="R53" s="34">
        <f>IF(AND(R$5&gt;$E53,R$5&lt;=$F53),IF(R$5=$E53+1,$C53,""),"")</f>
        <v/>
      </c>
      <c r="S53" s="34">
        <f>IF(AND(S$5&gt;$E53,S$5&lt;=$F53),IF(S$5=$E53+1,$C53,""),"")</f>
        <v/>
      </c>
      <c r="T53" s="34">
        <f>IF(AND(T$5&gt;$E53,T$5&lt;=$F53),IF(T$5=$E53+1,$C53,""),"")</f>
        <v/>
      </c>
      <c r="U53" s="34">
        <f>IF(AND(U$5&gt;$E53,U$5&lt;=$F53),IF(U$5=$E53+1,$C53,""),"")</f>
        <v/>
      </c>
      <c r="V53" s="34">
        <f>IF(AND(V$5&gt;$E53,V$5&lt;=$F53),IF(V$5=$E53+1,$C53,""),"")</f>
        <v/>
      </c>
      <c r="W53" s="34">
        <f>IF(AND(W$5&gt;$E53,W$5&lt;=$F53),IF(W$5=$E53+1,$C53,""),"")</f>
        <v/>
      </c>
      <c r="X53" s="34">
        <f>IF(AND(X$5&gt;$E53,X$5&lt;=$F53),IF(X$5=$E53+1,$C53,""),"")</f>
        <v/>
      </c>
      <c r="Y53" s="34">
        <f>IF(AND(Y$5&gt;$E53,Y$5&lt;=$F53),IF(Y$5=$E53+1,$C53,""),"")</f>
        <v/>
      </c>
      <c r="Z53" s="34">
        <f>IF(AND(Z$5&gt;$E53,Z$5&lt;=$F53),IF(Z$5=$E53+1,$C53,""),"")</f>
        <v/>
      </c>
      <c r="AA53" s="34">
        <f>IF(AND(AA$5&gt;$E53,AA$5&lt;=$F53),IF(AA$5=$E53+1,$C53,""),"")</f>
        <v/>
      </c>
      <c r="AB53" s="34">
        <f>IF(AND(AB$5&gt;$E53,AB$5&lt;=$F53),IF(AB$5=$E53+1,$C53,""),"")</f>
        <v/>
      </c>
      <c r="AC53" s="34">
        <f>IF(AND(AC$5&gt;$E53,AC$5&lt;=$F53),IF(AC$5=$E53+1,$C53,""),"")</f>
        <v/>
      </c>
      <c r="AD53" s="34">
        <f>IF(AND(AD$5&gt;$E53,AD$5&lt;=$F53),IF(AD$5=$E53+1,$C53,""),"")</f>
        <v/>
      </c>
      <c r="AE53" s="34">
        <f>IF(AND(AE$5&gt;$E53,AE$5&lt;=$F53),IF(AE$5=$E53+1,$C53,""),"")</f>
        <v/>
      </c>
      <c r="AF53" s="34">
        <f>IF(AND(AF$5&gt;$E53,AF$5&lt;=$F53),IF(AF$5=$E53+1,$C53,""),"")</f>
        <v/>
      </c>
      <c r="AG53" s="34">
        <f>IF(AND(AG$5&gt;$E53,AG$5&lt;=$F53),IF(AG$5=$E53+1,$C53,""),"")</f>
        <v/>
      </c>
      <c r="AH53" s="34">
        <f>IF(AND(AH$5&gt;$E53,AH$5&lt;=$F53),IF(AH$5=$E53+1,$C53,""),"")</f>
        <v/>
      </c>
      <c r="AI53" s="34">
        <f>IF(AND(AI$5&gt;$E53,AI$5&lt;=$F53),IF(AI$5=$E53+1,$C53,""),"")</f>
        <v/>
      </c>
      <c r="AJ53" s="34">
        <f>IF(AND(AJ$5&gt;$E53,AJ$5&lt;=$F53),IF(AJ$5=$E53+1,$C53,""),"")</f>
        <v/>
      </c>
      <c r="AK53" s="34">
        <f>IF(AND(AK$5&gt;$E53,AK$5&lt;=$F53),IF(AK$5=$E53+1,$C53,""),"")</f>
        <v/>
      </c>
      <c r="AL53" s="34">
        <f>IF(AND(AL$5&gt;$E53,AL$5&lt;=$F53),IF(AL$5=$E53+1,$C53,""),"")</f>
        <v/>
      </c>
      <c r="AM53" s="34">
        <f>IF(AND(AM$5&gt;$E53,AM$5&lt;=$F53),IF(AM$5=$E53+1,$C53,""),"")</f>
        <v/>
      </c>
      <c r="AN53" s="34">
        <f>IF(AND(AN$5&gt;$E53,AN$5&lt;=$F53),IF(AN$5=$E53+1,$C53,""),"")</f>
        <v/>
      </c>
      <c r="AO53" s="34">
        <f>IF(AND(AO$5&gt;$E53,AO$5&lt;=$F53),IF(AO$5=$E53+1,$C53,""),"")</f>
        <v/>
      </c>
      <c r="AP53" s="34">
        <f>IF(AND(AP$5&gt;$E53,AP$5&lt;=$F53),IF(AP$5=$E53+1,$C53,""),"")</f>
        <v/>
      </c>
      <c r="AQ53" s="34">
        <f>IF(AND(AQ$5&gt;$E53,AQ$5&lt;=$F53),IF(AQ$5=$E53+1,$C53,""),"")</f>
        <v/>
      </c>
      <c r="AR53" s="34">
        <f>IF(AND(AR$5&gt;$E53,AR$5&lt;=$F53),IF(AR$5=$E53+1,$C53,""),"")</f>
        <v/>
      </c>
      <c r="AS53" s="34">
        <f>IF(AND(AS$5&gt;$E53,AS$5&lt;=$F53),IF(AS$5=$E53+1,$C53,""),"")</f>
        <v/>
      </c>
      <c r="AT53" s="34">
        <f>IF(AND(AT$5&gt;$E53,AT$5&lt;=$F53),IF(AT$5=$E53+1,$C53,""),"")</f>
        <v/>
      </c>
      <c r="AU53" s="34">
        <f>IF(AND(AU$5&gt;$E53,AU$5&lt;=$F53),IF(AU$5=$E53+1,$C53,""),"")</f>
        <v/>
      </c>
      <c r="AV53" s="34">
        <f>IF(AND(AV$5&gt;$E53,AV$5&lt;=$F53),IF(AV$5=$E53+1,$C53,""),"")</f>
        <v/>
      </c>
      <c r="AW53" s="34">
        <f>IF(AND(AW$5&gt;$E53,AW$5&lt;=$F53),IF(AW$5=$E53+1,$C53,""),"")</f>
        <v/>
      </c>
      <c r="AX53" s="34">
        <f>IF(AND(AX$5&gt;$E53,AX$5&lt;=$F53),IF(AX$5=$E53+1,$C53,""),"")</f>
        <v/>
      </c>
      <c r="AY53" s="34">
        <f>IF(AND(AY$5&gt;$E53,AY$5&lt;=$F53),IF(AY$5=$E53+1,$C53,""),"")</f>
        <v/>
      </c>
      <c r="AZ53" s="34">
        <f>IF(AND(AZ$5&gt;$E53,AZ$5&lt;=$F53),IF(AZ$5=$E53+1,$C53,""),"")</f>
        <v/>
      </c>
      <c r="BA53" s="34">
        <f>IF(AND(BA$5&gt;$E53,BA$5&lt;=$F53),IF(BA$5=$E53+1,$C53,""),"")</f>
        <v/>
      </c>
      <c r="BB53" s="34">
        <f>IF(AND(BB$5&gt;$E53,BB$5&lt;=$F53),IF(BB$5=$E53+1,$C53,""),"")</f>
        <v/>
      </c>
      <c r="BC53" s="34">
        <f>IF(AND(BC$5&gt;$E53,BC$5&lt;=$F53),IF(BC$5=$E53+1,$C53,""),"")</f>
        <v/>
      </c>
      <c r="BD53" s="34">
        <f>IF(AND(BD$5&gt;$E53,BD$5&lt;=$F53),IF(BD$5=$E53+1,$C53,""),"")</f>
        <v/>
      </c>
      <c r="BE53" s="34">
        <f>IF(AND(BE$5&gt;$E53,BE$5&lt;=$F53),IF(BE$5=$E53+1,$C53,""),"")</f>
        <v/>
      </c>
      <c r="BF53" s="34">
        <f>IF(AND(BF$5&gt;$E53,BF$5&lt;=$F53),IF(BF$5=$E53+1,$C53,""),"")</f>
        <v/>
      </c>
      <c r="BG53" s="34">
        <f>IF(AND(BG$5&gt;$E53,BG$5&lt;=$F53),IF(BG$5=$E53+1,$C53,""),"")</f>
        <v/>
      </c>
      <c r="BH53" s="34">
        <f>IF(AND(BH$5&gt;$E53,BH$5&lt;=$F53),IF(BH$5=$E53+1,$C53,""),"")</f>
        <v/>
      </c>
      <c r="BI53" s="34">
        <f>IF(AND(BI$5&gt;$E53,BI$5&lt;=$F53),IF(BI$5=$E53+1,$C53,""),"")</f>
        <v/>
      </c>
      <c r="BJ53" s="34">
        <f>IF(AND(BJ$5&gt;$E53,BJ$5&lt;=$F53),IF(BJ$5=$E53+1,$C53,""),"")</f>
        <v/>
      </c>
      <c r="BK53" s="34">
        <f>IF(AND(BK$5&gt;$E53,BK$5&lt;=$F53),IF(BK$5=$E53+1,$C53,""),"")</f>
        <v/>
      </c>
      <c r="BL53" s="34">
        <f>IF(AND(BL$5&gt;$E53,BL$5&lt;=$F53),IF(BL$5=$E53+1,$C53,""),"")</f>
        <v/>
      </c>
      <c r="BM53" s="34">
        <f>IF(AND(BM$5&gt;$E53,BM$5&lt;=$F53),IF(BM$5=$E53+1,$C53,""),"")</f>
        <v/>
      </c>
      <c r="BN53" s="34">
        <f>IF(AND(BN$5&gt;$E53,BN$5&lt;=$F53),IF(BN$5=$E53+1,$C53,""),"")</f>
        <v/>
      </c>
      <c r="BO53" s="34">
        <f>IF(AND(BO$5&gt;$E53,BO$5&lt;=$F53),IF(BO$5=$E53+1,$C53,""),"")</f>
        <v/>
      </c>
      <c r="BP53" s="34">
        <f>IF(AND(BP$5&gt;$E53,BP$5&lt;=$F53),IF(BP$5=$E53+1,$C53,""),"")</f>
        <v/>
      </c>
      <c r="BQ53" s="34">
        <f>IF(AND(BQ$5&gt;$E53,BQ$5&lt;=$F53),IF(BQ$5=$E53+1,$C53,""),"")</f>
        <v/>
      </c>
      <c r="BR53" s="34">
        <f>IF(AND(BR$5&gt;$E53,BR$5&lt;=$F53),IF(BR$5=$E53+1,$C53,""),"")</f>
        <v/>
      </c>
      <c r="BS53" s="34">
        <f>IF(AND(BS$5&gt;$E53,BS$5&lt;=$F53),IF(BS$5=$E53+1,$C53,""),"")</f>
        <v/>
      </c>
      <c r="BT53" s="34">
        <f>IF(AND(BT$5&gt;$E53,BT$5&lt;=$F53),IF(BT$5=$E53+1,$C53,""),"")</f>
        <v/>
      </c>
      <c r="BU53" s="34">
        <f>IF(AND(BU$5&gt;$E53,BU$5&lt;=$F53),IF(BU$5=$E53+1,$C53,""),"")</f>
        <v/>
      </c>
      <c r="BV53" s="34">
        <f>IF(AND(BV$5&gt;$E53,BV$5&lt;=$F53),IF(BV$5=$E53+1,$C53,""),"")</f>
        <v/>
      </c>
      <c r="BW53" s="34">
        <f>IF(AND(BW$5&gt;$E53,BW$5&lt;=$F53),IF(BW$5=$E53+1,$C53,""),"")</f>
        <v/>
      </c>
      <c r="BX53" s="34">
        <f>IF(AND(BX$5&gt;$E53,BX$5&lt;=$F53),IF(BX$5=$E53+1,$C53,""),"")</f>
        <v/>
      </c>
      <c r="BY53" s="34">
        <f>IF(AND(BY$5&gt;$E53,BY$5&lt;=$F53),IF(BY$5=$E53+1,$C53,""),"")</f>
        <v/>
      </c>
      <c r="BZ53" s="34">
        <f>IF(AND(BZ$5&gt;$E53,BZ$5&lt;=$F53),IF(BZ$5=$E53+1,$C53,""),"")</f>
        <v/>
      </c>
      <c r="CA53" s="34">
        <f>IF(AND(CA$5&gt;$E53,CA$5&lt;=$F53),IF(CA$5=$E53+1,$C53,""),"")</f>
        <v/>
      </c>
      <c r="CB53" s="34">
        <f>IF(AND(CB$5&gt;$E53,CB$5&lt;=$F53),IF(CB$5=$E53+1,$C53,""),"")</f>
        <v/>
      </c>
      <c r="CC53" s="34">
        <f>IF(AND(CC$5&gt;$E53,CC$5&lt;=$F53),IF(CC$5=$E53+1,$C53,""),"")</f>
        <v/>
      </c>
      <c r="CD53" s="34">
        <f>IF(AND(CD$5&gt;$E53,CD$5&lt;=$F53),IF(CD$5=$E53+1,$C53,""),"")</f>
        <v/>
      </c>
      <c r="CE53" s="34">
        <f>IF(AND(CE$5&gt;$E53,CE$5&lt;=$F53),IF(CE$5=$E53+1,$C53,""),"")</f>
        <v/>
      </c>
      <c r="CF53" s="34">
        <f>IF(AND(CF$5&gt;$E53,CF$5&lt;=$F53),IF(CF$5=$E53+1,$C53,""),"")</f>
        <v/>
      </c>
      <c r="CG53" s="34">
        <f>IF(AND(CG$5&gt;$E53,CG$5&lt;=$F53),IF(CG$5=$E53+1,$C53,""),"")</f>
        <v/>
      </c>
      <c r="CH53" s="34">
        <f>IF(AND(CH$5&gt;$E53,CH$5&lt;=$F53),IF(CH$5=$E53+1,$C53,""),"")</f>
        <v/>
      </c>
      <c r="CI53" s="34">
        <f>IF(AND(CI$5&gt;$E53,CI$5&lt;=$F53),IF(CI$5=$E53+1,$C53,""),"")</f>
        <v/>
      </c>
      <c r="CJ53" s="34">
        <f>IF(AND(CJ$5&gt;$E53,CJ$5&lt;=$F53),IF(CJ$5=$E53+1,$C53,""),"")</f>
        <v/>
      </c>
      <c r="CK53" s="34">
        <f>IF(AND(CK$5&gt;$E53,CK$5&lt;=$F53),IF(CK$5=$E53+1,$C53,""),"")</f>
        <v/>
      </c>
      <c r="CL53" s="34">
        <f>IF(AND(CL$5&gt;$E53,CL$5&lt;=$F53),IF(CL$5=$E53+1,$C53,""),"")</f>
        <v/>
      </c>
      <c r="CM53" s="34">
        <f>IF(AND(CM$5&gt;$E53,CM$5&lt;=$F53),IF(CM$5=$E53+1,$C53,""),"")</f>
        <v/>
      </c>
      <c r="CN53" s="34">
        <f>IF(AND(CN$5&gt;$E53,CN$5&lt;=$F53),IF(CN$5=$E53+1,$C53,""),"")</f>
        <v/>
      </c>
      <c r="CO53" s="34">
        <f>IF(AND(CO$5&gt;$E53,CO$5&lt;=$F53),IF(CO$5=$E53+1,$C53,""),"")</f>
        <v/>
      </c>
      <c r="CP53" s="34">
        <f>IF(AND(CP$5&gt;$E53,CP$5&lt;=$F53),IF(CP$5=$E53+1,$C53,""),"")</f>
        <v/>
      </c>
      <c r="CQ53" s="34">
        <f>IF(AND(CQ$5&gt;$E53,CQ$5&lt;=$F53),IF(CQ$5=$E53+1,$C53,""),"")</f>
        <v/>
      </c>
      <c r="CR53" s="34">
        <f>IF(AND(CR$5&gt;$E53,CR$5&lt;=$F53),IF(CR$5=$E53+1,$C53,""),"")</f>
        <v/>
      </c>
      <c r="CS53" s="34">
        <f>IF(AND(CS$5&gt;$E53,CS$5&lt;=$F53),IF(CS$5=$E53+1,$C53,""),"")</f>
        <v/>
      </c>
      <c r="CT53" s="34">
        <f>IF(AND(CT$5&gt;$E53,CT$5&lt;=$F53),IF(CT$5=$E53+1,$C53,""),"")</f>
        <v/>
      </c>
      <c r="CU53" s="34">
        <f>IF(AND(CU$5&gt;$E53,CU$5&lt;=$F53),IF(CU$5=$E53+1,$C53,""),"")</f>
        <v/>
      </c>
      <c r="CV53" s="34">
        <f>IF(AND(CV$5&gt;$E53,CV$5&lt;=$F53),IF(CV$5=$E53+1,$C53,""),"")</f>
        <v/>
      </c>
      <c r="CW53" s="34">
        <f>IF(AND(CW$5&gt;$E53,CW$5&lt;=$F53),IF(CW$5=$E53+1,$C53,""),"")</f>
        <v/>
      </c>
      <c r="CX53" s="34">
        <f>IF(AND(CX$5&gt;$E53,CX$5&lt;=$F53),IF(CX$5=$E53+1,$C53,""),"")</f>
        <v/>
      </c>
      <c r="CY53" s="34">
        <f>IF(AND(CY$5&gt;$E53,CY$5&lt;=$F53),IF(CY$5=$E53+1,$C53,""),"")</f>
        <v/>
      </c>
      <c r="CZ53" s="34">
        <f>IF(AND(CZ$5&gt;$E53,CZ$5&lt;=$F53),IF(CZ$5=$E53+1,$C53,""),"")</f>
        <v/>
      </c>
      <c r="DA53" s="34">
        <f>IF(AND(DA$5&gt;$E53,DA$5&lt;=$F53),IF(DA$5=$E53+1,$C53,""),"")</f>
        <v/>
      </c>
      <c r="DB53" s="34">
        <f>IF(AND(DB$5&gt;$E53,DB$5&lt;=$F53),IF(DB$5=$E53+1,$C53,""),"")</f>
        <v/>
      </c>
      <c r="DC53" s="34">
        <f>IF(AND(DC$5&gt;$E53,DC$5&lt;=$F53),IF(DC$5=$E53+1,$C53,""),"")</f>
        <v/>
      </c>
      <c r="DD53" s="34">
        <f>IF(AND(DD$5&gt;$E53,DD$5&lt;=$F53),IF(DD$5=$E53+1,$C53,""),"")</f>
        <v/>
      </c>
      <c r="DE53" s="34">
        <f>IF(AND(DE$5&gt;$E53,DE$5&lt;=$F53),IF(DE$5=$E53+1,$C53,""),"")</f>
        <v/>
      </c>
      <c r="DF53" s="34">
        <f>IF(AND(DF$5&gt;$E53,DF$5&lt;=$F53),IF(DF$5=$E53+1,$C53,""),"")</f>
        <v/>
      </c>
      <c r="DG53" s="34">
        <f>IF(AND(DG$5&gt;$E53,DG$5&lt;=$F53),IF(DG$5=$E53+1,$C53,""),"")</f>
        <v/>
      </c>
      <c r="DH53" s="34">
        <f>IF(AND(DH$5&gt;$E53,DH$5&lt;=$F53),IF(DH$5=$E53+1,$C53,""),"")</f>
        <v/>
      </c>
      <c r="DI53" s="34">
        <f>IF(AND(DI$5&gt;$E53,DI$5&lt;=$F53),IF(DI$5=$E53+1,$C53,""),"")</f>
        <v/>
      </c>
      <c r="DJ53" s="34">
        <f>IF(AND(DJ$5&gt;$E53,DJ$5&lt;=$F53),IF(DJ$5=$E53+1,$C53,""),"")</f>
        <v/>
      </c>
      <c r="DK53" s="34">
        <f>IF(AND(DK$5&gt;$E53,DK$5&lt;=$F53),IF(DK$5=$E53+1,$C53,""),"")</f>
        <v/>
      </c>
      <c r="DL53" s="34">
        <f>IF(AND(DL$5&gt;$E53,DL$5&lt;=$F53),IF(DL$5=$E53+1,$C53,""),"")</f>
        <v/>
      </c>
      <c r="DM53" s="34">
        <f>IF(AND(DM$5&gt;$E53,DM$5&lt;=$F53),IF(DM$5=$E53+1,$C53,""),"")</f>
        <v/>
      </c>
      <c r="DN53" s="34">
        <f>IF(AND(DN$5&gt;$E53,DN$5&lt;=$F53),IF(DN$5=$E53+1,$C53,""),"")</f>
        <v/>
      </c>
      <c r="DO53" s="34">
        <f>IF(AND(DO$5&gt;$E53,DO$5&lt;=$F53),IF(DO$5=$E53+1,$C53,""),"")</f>
        <v/>
      </c>
      <c r="DP53" s="34">
        <f>IF(AND(DP$5&gt;$E53,DP$5&lt;=$F53),IF(DP$5=$E53+1,$C53,""),"")</f>
        <v/>
      </c>
      <c r="DQ53" s="34">
        <f>IF(AND(DQ$5&gt;$E53,DQ$5&lt;=$F53),IF(DQ$5=$E53+1,$C53,""),"")</f>
        <v/>
      </c>
      <c r="DR53" s="34">
        <f>IF(AND(DR$5&gt;$E53,DR$5&lt;=$F53),IF(DR$5=$E53+1,$C53,""),"")</f>
        <v/>
      </c>
      <c r="DS53" s="34">
        <f>IF(AND(DS$5&gt;$E53,DS$5&lt;=$F53),IF(DS$5=$E53+1,$C53,""),"")</f>
        <v/>
      </c>
      <c r="DT53" s="34">
        <f>IF(AND(DT$5&gt;$E53,DT$5&lt;=$F53),IF(DT$5=$E53+1,$C53,""),"")</f>
        <v/>
      </c>
      <c r="DU53" s="34">
        <f>IF(AND(DU$5&gt;$E53,DU$5&lt;=$F53),IF(DU$5=$E53+1,$C53,""),"")</f>
        <v/>
      </c>
      <c r="DV53" s="34">
        <f>IF(AND(DV$5&gt;$E53,DV$5&lt;=$F53),IF(DV$5=$E53+1,$C53,""),"")</f>
        <v/>
      </c>
      <c r="DW53" s="34">
        <f>IF(AND(DW$5&gt;$E53,DW$5&lt;=$F53),IF(DW$5=$E53+1,$C53,""),"")</f>
        <v/>
      </c>
      <c r="DX53" s="34">
        <f>IF(AND(DX$5&gt;$E53,DX$5&lt;=$F53),IF(DX$5=$E53+1,$C53,""),"")</f>
        <v/>
      </c>
      <c r="DY53" s="34">
        <f>IF(AND(DY$5&gt;$E53,DY$5&lt;=$F53),IF(DY$5=$E53+1,$C53,""),"")</f>
        <v/>
      </c>
      <c r="DZ53" s="34">
        <f>IF(AND(DZ$5&gt;$E53,DZ$5&lt;=$F53),IF(DZ$5=$E53+1,$C53,""),"")</f>
        <v/>
      </c>
      <c r="EA53" s="34">
        <f>IF(AND(EA$5&gt;$E53,EA$5&lt;=$F53),IF(EA$5=$E53+1,$C53,""),"")</f>
        <v/>
      </c>
      <c r="EB53" s="34">
        <f>IF(AND(EB$5&gt;$E53,EB$5&lt;=$F53),IF(EB$5=$E53+1,$C53,""),"")</f>
        <v/>
      </c>
      <c r="EC53" s="34">
        <f>IF(AND(EC$5&gt;$E53,EC$5&lt;=$F53),IF(EC$5=$E53+1,$C53,""),"")</f>
        <v/>
      </c>
      <c r="ED53" s="34">
        <f>IF(AND(ED$5&gt;$E53,ED$5&lt;=$F53),IF(ED$5=$E53+1,$C53,""),"")</f>
        <v/>
      </c>
      <c r="EE53" s="34">
        <f>IF(AND(EE$5&gt;$E53,EE$5&lt;=$F53),IF(EE$5=$E53+1,$C53,""),"")</f>
        <v/>
      </c>
      <c r="EF53" s="34">
        <f>IF(AND(EF$5&gt;$E53,EF$5&lt;=$F53),IF(EF$5=$E53+1,$C53,""),"")</f>
        <v/>
      </c>
      <c r="EG53" s="34">
        <f>IF(AND(EG$5&gt;$E53,EG$5&lt;=$F53),IF(EG$5=$E53+1,$C53,""),"")</f>
        <v/>
      </c>
      <c r="EH53" s="34">
        <f>IF(AND(EH$5&gt;$E53,EH$5&lt;=$F53),IF(EH$5=$E53+1,$C53,""),"")</f>
        <v/>
      </c>
      <c r="EI53" s="34">
        <f>IF(AND(EI$5&gt;$E53,EI$5&lt;=$F53),IF(EI$5=$E53+1,$C53,""),"")</f>
        <v/>
      </c>
      <c r="EJ53" s="34">
        <f>IF(AND(EJ$5&gt;$E53,EJ$5&lt;=$F53),IF(EJ$5=$E53+1,$C53,""),"")</f>
        <v/>
      </c>
      <c r="EK53" s="34">
        <f>IF(AND(EK$5&gt;$E53,EK$5&lt;=$F53),IF(EK$5=$E53+1,$C53,""),"")</f>
        <v/>
      </c>
      <c r="EL53" s="34">
        <f>IF(AND(EL$5&gt;$E53,EL$5&lt;=$F53),IF(EL$5=$E53+1,$C53,""),"")</f>
        <v/>
      </c>
      <c r="EM53" s="34">
        <f>IF(AND(EM$5&gt;$E53,EM$5&lt;=$F53),IF(EM$5=$E53+1,$C53,""),"")</f>
        <v/>
      </c>
      <c r="EN53" s="34">
        <f>IF(AND(EN$5&gt;$E53,EN$5&lt;=$F53),IF(EN$5=$E53+1,$C53,""),"")</f>
        <v/>
      </c>
      <c r="EO53" s="34">
        <f>IF(AND(EO$5&gt;$E53,EO$5&lt;=$F53),IF(EO$5=$E53+1,$C53,""),"")</f>
        <v/>
      </c>
      <c r="EP53" s="34">
        <f>IF(AND(EP$5&gt;$E53,EP$5&lt;=$F53),IF(EP$5=$E53+1,$C53,""),"")</f>
        <v/>
      </c>
      <c r="EQ53" s="34">
        <f>IF(AND(EQ$5&gt;$E53,EQ$5&lt;=$F53),IF(EQ$5=$E53+1,$C53,""),"")</f>
        <v/>
      </c>
      <c r="ER53" s="34">
        <f>IF(AND(ER$5&gt;$E53,ER$5&lt;=$F53),IF(ER$5=$E53+1,$C53,""),"")</f>
        <v/>
      </c>
      <c r="ES53" s="34">
        <f>IF(AND(ES$5&gt;$E53,ES$5&lt;=$F53),IF(ES$5=$E53+1,$C53,""),"")</f>
        <v/>
      </c>
      <c r="ET53" s="34">
        <f>IF(AND(ET$5&gt;$E53,ET$5&lt;=$F53),IF(ET$5=$E53+1,$C53,""),"")</f>
        <v/>
      </c>
      <c r="EU53" s="34">
        <f>IF(AND(EU$5&gt;$E53,EU$5&lt;=$F53),IF(EU$5=$E53+1,$C53,""),"")</f>
        <v/>
      </c>
      <c r="EV53" s="34">
        <f>IF(AND(EV$5&gt;$E53,EV$5&lt;=$F53),IF(EV$5=$E53+1,$C53,""),"")</f>
        <v/>
      </c>
      <c r="EW53" s="34">
        <f>IF(AND(EW$5&gt;$E53,EW$5&lt;=$F53),IF(EW$5=$E53+1,$C53,""),"")</f>
        <v/>
      </c>
      <c r="EX53" s="34">
        <f>IF(AND(EX$5&gt;$E53,EX$5&lt;=$F53),IF(EX$5=$E53+1,$C53,""),"")</f>
        <v/>
      </c>
      <c r="EY53" s="34">
        <f>IF(AND(EY$5&gt;$E53,EY$5&lt;=$F53),IF(EY$5=$E53+1,$C53,""),"")</f>
        <v/>
      </c>
      <c r="EZ53" s="34">
        <f>IF(AND(EZ$5&gt;$E53,EZ$5&lt;=$F53),IF(EZ$5=$E53+1,$C53,""),"")</f>
        <v/>
      </c>
      <c r="FA53" s="34">
        <f>IF(AND(FA$5&gt;$E53,FA$5&lt;=$F53),IF(FA$5=$E53+1,$C53,""),"")</f>
        <v/>
      </c>
    </row>
    <row r="54">
      <c r="A54" s="32">
        <f>Plan!A43</f>
        <v/>
      </c>
      <c r="B54" s="33">
        <f>Plan!C43</f>
        <v/>
      </c>
      <c r="C54" s="16">
        <f>Plan!D43</f>
        <v/>
      </c>
      <c r="D54" s="16">
        <f>Plan!I43</f>
        <v/>
      </c>
      <c r="E54" s="16">
        <f>Plan!K43</f>
        <v/>
      </c>
      <c r="F54" s="16">
        <f>Plan!L43</f>
        <v/>
      </c>
      <c r="G54" s="16">
        <f>Plan!O43</f>
        <v/>
      </c>
      <c r="H54" s="34">
        <f>IF(AND(H$5&gt;$E54,H$5&lt;=$F54),IF(H$5=$E54+1,$C54,""),"")</f>
        <v/>
      </c>
      <c r="I54" s="34">
        <f>IF(AND(I$5&gt;$E54,I$5&lt;=$F54),IF(I$5=$E54+1,$C54,""),"")</f>
        <v/>
      </c>
      <c r="J54" s="34">
        <f>IF(AND(J$5&gt;$E54,J$5&lt;=$F54),IF(J$5=$E54+1,$C54,""),"")</f>
        <v/>
      </c>
      <c r="K54" s="34">
        <f>IF(AND(K$5&gt;$E54,K$5&lt;=$F54),IF(K$5=$E54+1,$C54,""),"")</f>
        <v/>
      </c>
      <c r="L54" s="34">
        <f>IF(AND(L$5&gt;$E54,L$5&lt;=$F54),IF(L$5=$E54+1,$C54,""),"")</f>
        <v/>
      </c>
      <c r="M54" s="34">
        <f>IF(AND(M$5&gt;$E54,M$5&lt;=$F54),IF(M$5=$E54+1,$C54,""),"")</f>
        <v/>
      </c>
      <c r="N54" s="34">
        <f>IF(AND(N$5&gt;$E54,N$5&lt;=$F54),IF(N$5=$E54+1,$C54,""),"")</f>
        <v/>
      </c>
      <c r="O54" s="34">
        <f>IF(AND(O$5&gt;$E54,O$5&lt;=$F54),IF(O$5=$E54+1,$C54,""),"")</f>
        <v/>
      </c>
      <c r="P54" s="34">
        <f>IF(AND(P$5&gt;$E54,P$5&lt;=$F54),IF(P$5=$E54+1,$C54,""),"")</f>
        <v/>
      </c>
      <c r="Q54" s="34">
        <f>IF(AND(Q$5&gt;$E54,Q$5&lt;=$F54),IF(Q$5=$E54+1,$C54,""),"")</f>
        <v/>
      </c>
      <c r="R54" s="34">
        <f>IF(AND(R$5&gt;$E54,R$5&lt;=$F54),IF(R$5=$E54+1,$C54,""),"")</f>
        <v/>
      </c>
      <c r="S54" s="34">
        <f>IF(AND(S$5&gt;$E54,S$5&lt;=$F54),IF(S$5=$E54+1,$C54,""),"")</f>
        <v/>
      </c>
      <c r="T54" s="34">
        <f>IF(AND(T$5&gt;$E54,T$5&lt;=$F54),IF(T$5=$E54+1,$C54,""),"")</f>
        <v/>
      </c>
      <c r="U54" s="34">
        <f>IF(AND(U$5&gt;$E54,U$5&lt;=$F54),IF(U$5=$E54+1,$C54,""),"")</f>
        <v/>
      </c>
      <c r="V54" s="34">
        <f>IF(AND(V$5&gt;$E54,V$5&lt;=$F54),IF(V$5=$E54+1,$C54,""),"")</f>
        <v/>
      </c>
      <c r="W54" s="34">
        <f>IF(AND(W$5&gt;$E54,W$5&lt;=$F54),IF(W$5=$E54+1,$C54,""),"")</f>
        <v/>
      </c>
      <c r="X54" s="34">
        <f>IF(AND(X$5&gt;$E54,X$5&lt;=$F54),IF(X$5=$E54+1,$C54,""),"")</f>
        <v/>
      </c>
      <c r="Y54" s="34">
        <f>IF(AND(Y$5&gt;$E54,Y$5&lt;=$F54),IF(Y$5=$E54+1,$C54,""),"")</f>
        <v/>
      </c>
      <c r="Z54" s="34">
        <f>IF(AND(Z$5&gt;$E54,Z$5&lt;=$F54),IF(Z$5=$E54+1,$C54,""),"")</f>
        <v/>
      </c>
      <c r="AA54" s="34">
        <f>IF(AND(AA$5&gt;$E54,AA$5&lt;=$F54),IF(AA$5=$E54+1,$C54,""),"")</f>
        <v/>
      </c>
      <c r="AB54" s="34">
        <f>IF(AND(AB$5&gt;$E54,AB$5&lt;=$F54),IF(AB$5=$E54+1,$C54,""),"")</f>
        <v/>
      </c>
      <c r="AC54" s="34">
        <f>IF(AND(AC$5&gt;$E54,AC$5&lt;=$F54),IF(AC$5=$E54+1,$C54,""),"")</f>
        <v/>
      </c>
      <c r="AD54" s="34">
        <f>IF(AND(AD$5&gt;$E54,AD$5&lt;=$F54),IF(AD$5=$E54+1,$C54,""),"")</f>
        <v/>
      </c>
      <c r="AE54" s="34">
        <f>IF(AND(AE$5&gt;$E54,AE$5&lt;=$F54),IF(AE$5=$E54+1,$C54,""),"")</f>
        <v/>
      </c>
      <c r="AF54" s="34">
        <f>IF(AND(AF$5&gt;$E54,AF$5&lt;=$F54),IF(AF$5=$E54+1,$C54,""),"")</f>
        <v/>
      </c>
      <c r="AG54" s="34">
        <f>IF(AND(AG$5&gt;$E54,AG$5&lt;=$F54),IF(AG$5=$E54+1,$C54,""),"")</f>
        <v/>
      </c>
      <c r="AH54" s="34">
        <f>IF(AND(AH$5&gt;$E54,AH$5&lt;=$F54),IF(AH$5=$E54+1,$C54,""),"")</f>
        <v/>
      </c>
      <c r="AI54" s="34">
        <f>IF(AND(AI$5&gt;$E54,AI$5&lt;=$F54),IF(AI$5=$E54+1,$C54,""),"")</f>
        <v/>
      </c>
      <c r="AJ54" s="34">
        <f>IF(AND(AJ$5&gt;$E54,AJ$5&lt;=$F54),IF(AJ$5=$E54+1,$C54,""),"")</f>
        <v/>
      </c>
      <c r="AK54" s="34">
        <f>IF(AND(AK$5&gt;$E54,AK$5&lt;=$F54),IF(AK$5=$E54+1,$C54,""),"")</f>
        <v/>
      </c>
      <c r="AL54" s="34">
        <f>IF(AND(AL$5&gt;$E54,AL$5&lt;=$F54),IF(AL$5=$E54+1,$C54,""),"")</f>
        <v/>
      </c>
      <c r="AM54" s="34">
        <f>IF(AND(AM$5&gt;$E54,AM$5&lt;=$F54),IF(AM$5=$E54+1,$C54,""),"")</f>
        <v/>
      </c>
      <c r="AN54" s="34">
        <f>IF(AND(AN$5&gt;$E54,AN$5&lt;=$F54),IF(AN$5=$E54+1,$C54,""),"")</f>
        <v/>
      </c>
      <c r="AO54" s="34">
        <f>IF(AND(AO$5&gt;$E54,AO$5&lt;=$F54),IF(AO$5=$E54+1,$C54,""),"")</f>
        <v/>
      </c>
      <c r="AP54" s="34">
        <f>IF(AND(AP$5&gt;$E54,AP$5&lt;=$F54),IF(AP$5=$E54+1,$C54,""),"")</f>
        <v/>
      </c>
      <c r="AQ54" s="34">
        <f>IF(AND(AQ$5&gt;$E54,AQ$5&lt;=$F54),IF(AQ$5=$E54+1,$C54,""),"")</f>
        <v/>
      </c>
      <c r="AR54" s="34">
        <f>IF(AND(AR$5&gt;$E54,AR$5&lt;=$F54),IF(AR$5=$E54+1,$C54,""),"")</f>
        <v/>
      </c>
      <c r="AS54" s="34">
        <f>IF(AND(AS$5&gt;$E54,AS$5&lt;=$F54),IF(AS$5=$E54+1,$C54,""),"")</f>
        <v/>
      </c>
      <c r="AT54" s="34">
        <f>IF(AND(AT$5&gt;$E54,AT$5&lt;=$F54),IF(AT$5=$E54+1,$C54,""),"")</f>
        <v/>
      </c>
      <c r="AU54" s="34">
        <f>IF(AND(AU$5&gt;$E54,AU$5&lt;=$F54),IF(AU$5=$E54+1,$C54,""),"")</f>
        <v/>
      </c>
      <c r="AV54" s="34">
        <f>IF(AND(AV$5&gt;$E54,AV$5&lt;=$F54),IF(AV$5=$E54+1,$C54,""),"")</f>
        <v/>
      </c>
      <c r="AW54" s="34">
        <f>IF(AND(AW$5&gt;$E54,AW$5&lt;=$F54),IF(AW$5=$E54+1,$C54,""),"")</f>
        <v/>
      </c>
      <c r="AX54" s="34">
        <f>IF(AND(AX$5&gt;$E54,AX$5&lt;=$F54),IF(AX$5=$E54+1,$C54,""),"")</f>
        <v/>
      </c>
      <c r="AY54" s="34">
        <f>IF(AND(AY$5&gt;$E54,AY$5&lt;=$F54),IF(AY$5=$E54+1,$C54,""),"")</f>
        <v/>
      </c>
      <c r="AZ54" s="34">
        <f>IF(AND(AZ$5&gt;$E54,AZ$5&lt;=$F54),IF(AZ$5=$E54+1,$C54,""),"")</f>
        <v/>
      </c>
      <c r="BA54" s="34">
        <f>IF(AND(BA$5&gt;$E54,BA$5&lt;=$F54),IF(BA$5=$E54+1,$C54,""),"")</f>
        <v/>
      </c>
      <c r="BB54" s="34">
        <f>IF(AND(BB$5&gt;$E54,BB$5&lt;=$F54),IF(BB$5=$E54+1,$C54,""),"")</f>
        <v/>
      </c>
      <c r="BC54" s="34">
        <f>IF(AND(BC$5&gt;$E54,BC$5&lt;=$F54),IF(BC$5=$E54+1,$C54,""),"")</f>
        <v/>
      </c>
      <c r="BD54" s="34">
        <f>IF(AND(BD$5&gt;$E54,BD$5&lt;=$F54),IF(BD$5=$E54+1,$C54,""),"")</f>
        <v/>
      </c>
      <c r="BE54" s="34">
        <f>IF(AND(BE$5&gt;$E54,BE$5&lt;=$F54),IF(BE$5=$E54+1,$C54,""),"")</f>
        <v/>
      </c>
      <c r="BF54" s="34">
        <f>IF(AND(BF$5&gt;$E54,BF$5&lt;=$F54),IF(BF$5=$E54+1,$C54,""),"")</f>
        <v/>
      </c>
      <c r="BG54" s="34">
        <f>IF(AND(BG$5&gt;$E54,BG$5&lt;=$F54),IF(BG$5=$E54+1,$C54,""),"")</f>
        <v/>
      </c>
      <c r="BH54" s="34">
        <f>IF(AND(BH$5&gt;$E54,BH$5&lt;=$F54),IF(BH$5=$E54+1,$C54,""),"")</f>
        <v/>
      </c>
      <c r="BI54" s="34">
        <f>IF(AND(BI$5&gt;$E54,BI$5&lt;=$F54),IF(BI$5=$E54+1,$C54,""),"")</f>
        <v/>
      </c>
      <c r="BJ54" s="34">
        <f>IF(AND(BJ$5&gt;$E54,BJ$5&lt;=$F54),IF(BJ$5=$E54+1,$C54,""),"")</f>
        <v/>
      </c>
      <c r="BK54" s="34">
        <f>IF(AND(BK$5&gt;$E54,BK$5&lt;=$F54),IF(BK$5=$E54+1,$C54,""),"")</f>
        <v/>
      </c>
      <c r="BL54" s="34">
        <f>IF(AND(BL$5&gt;$E54,BL$5&lt;=$F54),IF(BL$5=$E54+1,$C54,""),"")</f>
        <v/>
      </c>
      <c r="BM54" s="34">
        <f>IF(AND(BM$5&gt;$E54,BM$5&lt;=$F54),IF(BM$5=$E54+1,$C54,""),"")</f>
        <v/>
      </c>
      <c r="BN54" s="34">
        <f>IF(AND(BN$5&gt;$E54,BN$5&lt;=$F54),IF(BN$5=$E54+1,$C54,""),"")</f>
        <v/>
      </c>
      <c r="BO54" s="34">
        <f>IF(AND(BO$5&gt;$E54,BO$5&lt;=$F54),IF(BO$5=$E54+1,$C54,""),"")</f>
        <v/>
      </c>
      <c r="BP54" s="34">
        <f>IF(AND(BP$5&gt;$E54,BP$5&lt;=$F54),IF(BP$5=$E54+1,$C54,""),"")</f>
        <v/>
      </c>
      <c r="BQ54" s="34">
        <f>IF(AND(BQ$5&gt;$E54,BQ$5&lt;=$F54),IF(BQ$5=$E54+1,$C54,""),"")</f>
        <v/>
      </c>
      <c r="BR54" s="34">
        <f>IF(AND(BR$5&gt;$E54,BR$5&lt;=$F54),IF(BR$5=$E54+1,$C54,""),"")</f>
        <v/>
      </c>
      <c r="BS54" s="34">
        <f>IF(AND(BS$5&gt;$E54,BS$5&lt;=$F54),IF(BS$5=$E54+1,$C54,""),"")</f>
        <v/>
      </c>
      <c r="BT54" s="34">
        <f>IF(AND(BT$5&gt;$E54,BT$5&lt;=$F54),IF(BT$5=$E54+1,$C54,""),"")</f>
        <v/>
      </c>
      <c r="BU54" s="34">
        <f>IF(AND(BU$5&gt;$E54,BU$5&lt;=$F54),IF(BU$5=$E54+1,$C54,""),"")</f>
        <v/>
      </c>
      <c r="BV54" s="34">
        <f>IF(AND(BV$5&gt;$E54,BV$5&lt;=$F54),IF(BV$5=$E54+1,$C54,""),"")</f>
        <v/>
      </c>
      <c r="BW54" s="34">
        <f>IF(AND(BW$5&gt;$E54,BW$5&lt;=$F54),IF(BW$5=$E54+1,$C54,""),"")</f>
        <v/>
      </c>
      <c r="BX54" s="34">
        <f>IF(AND(BX$5&gt;$E54,BX$5&lt;=$F54),IF(BX$5=$E54+1,$C54,""),"")</f>
        <v/>
      </c>
      <c r="BY54" s="34">
        <f>IF(AND(BY$5&gt;$E54,BY$5&lt;=$F54),IF(BY$5=$E54+1,$C54,""),"")</f>
        <v/>
      </c>
      <c r="BZ54" s="34">
        <f>IF(AND(BZ$5&gt;$E54,BZ$5&lt;=$F54),IF(BZ$5=$E54+1,$C54,""),"")</f>
        <v/>
      </c>
      <c r="CA54" s="34">
        <f>IF(AND(CA$5&gt;$E54,CA$5&lt;=$F54),IF(CA$5=$E54+1,$C54,""),"")</f>
        <v/>
      </c>
      <c r="CB54" s="34">
        <f>IF(AND(CB$5&gt;$E54,CB$5&lt;=$F54),IF(CB$5=$E54+1,$C54,""),"")</f>
        <v/>
      </c>
      <c r="CC54" s="34">
        <f>IF(AND(CC$5&gt;$E54,CC$5&lt;=$F54),IF(CC$5=$E54+1,$C54,""),"")</f>
        <v/>
      </c>
      <c r="CD54" s="34">
        <f>IF(AND(CD$5&gt;$E54,CD$5&lt;=$F54),IF(CD$5=$E54+1,$C54,""),"")</f>
        <v/>
      </c>
      <c r="CE54" s="34">
        <f>IF(AND(CE$5&gt;$E54,CE$5&lt;=$F54),IF(CE$5=$E54+1,$C54,""),"")</f>
        <v/>
      </c>
      <c r="CF54" s="34">
        <f>IF(AND(CF$5&gt;$E54,CF$5&lt;=$F54),IF(CF$5=$E54+1,$C54,""),"")</f>
        <v/>
      </c>
      <c r="CG54" s="34">
        <f>IF(AND(CG$5&gt;$E54,CG$5&lt;=$F54),IF(CG$5=$E54+1,$C54,""),"")</f>
        <v/>
      </c>
      <c r="CH54" s="34">
        <f>IF(AND(CH$5&gt;$E54,CH$5&lt;=$F54),IF(CH$5=$E54+1,$C54,""),"")</f>
        <v/>
      </c>
      <c r="CI54" s="34">
        <f>IF(AND(CI$5&gt;$E54,CI$5&lt;=$F54),IF(CI$5=$E54+1,$C54,""),"")</f>
        <v/>
      </c>
      <c r="CJ54" s="34">
        <f>IF(AND(CJ$5&gt;$E54,CJ$5&lt;=$F54),IF(CJ$5=$E54+1,$C54,""),"")</f>
        <v/>
      </c>
      <c r="CK54" s="34">
        <f>IF(AND(CK$5&gt;$E54,CK$5&lt;=$F54),IF(CK$5=$E54+1,$C54,""),"")</f>
        <v/>
      </c>
      <c r="CL54" s="34">
        <f>IF(AND(CL$5&gt;$E54,CL$5&lt;=$F54),IF(CL$5=$E54+1,$C54,""),"")</f>
        <v/>
      </c>
      <c r="CM54" s="34">
        <f>IF(AND(CM$5&gt;$E54,CM$5&lt;=$F54),IF(CM$5=$E54+1,$C54,""),"")</f>
        <v/>
      </c>
      <c r="CN54" s="34">
        <f>IF(AND(CN$5&gt;$E54,CN$5&lt;=$F54),IF(CN$5=$E54+1,$C54,""),"")</f>
        <v/>
      </c>
      <c r="CO54" s="34">
        <f>IF(AND(CO$5&gt;$E54,CO$5&lt;=$F54),IF(CO$5=$E54+1,$C54,""),"")</f>
        <v/>
      </c>
      <c r="CP54" s="34">
        <f>IF(AND(CP$5&gt;$E54,CP$5&lt;=$F54),IF(CP$5=$E54+1,$C54,""),"")</f>
        <v/>
      </c>
      <c r="CQ54" s="34">
        <f>IF(AND(CQ$5&gt;$E54,CQ$5&lt;=$F54),IF(CQ$5=$E54+1,$C54,""),"")</f>
        <v/>
      </c>
      <c r="CR54" s="34">
        <f>IF(AND(CR$5&gt;$E54,CR$5&lt;=$F54),IF(CR$5=$E54+1,$C54,""),"")</f>
        <v/>
      </c>
      <c r="CS54" s="34">
        <f>IF(AND(CS$5&gt;$E54,CS$5&lt;=$F54),IF(CS$5=$E54+1,$C54,""),"")</f>
        <v/>
      </c>
      <c r="CT54" s="34">
        <f>IF(AND(CT$5&gt;$E54,CT$5&lt;=$F54),IF(CT$5=$E54+1,$C54,""),"")</f>
        <v/>
      </c>
      <c r="CU54" s="34">
        <f>IF(AND(CU$5&gt;$E54,CU$5&lt;=$F54),IF(CU$5=$E54+1,$C54,""),"")</f>
        <v/>
      </c>
      <c r="CV54" s="34">
        <f>IF(AND(CV$5&gt;$E54,CV$5&lt;=$F54),IF(CV$5=$E54+1,$C54,""),"")</f>
        <v/>
      </c>
      <c r="CW54" s="34">
        <f>IF(AND(CW$5&gt;$E54,CW$5&lt;=$F54),IF(CW$5=$E54+1,$C54,""),"")</f>
        <v/>
      </c>
      <c r="CX54" s="34">
        <f>IF(AND(CX$5&gt;$E54,CX$5&lt;=$F54),IF(CX$5=$E54+1,$C54,""),"")</f>
        <v/>
      </c>
      <c r="CY54" s="34">
        <f>IF(AND(CY$5&gt;$E54,CY$5&lt;=$F54),IF(CY$5=$E54+1,$C54,""),"")</f>
        <v/>
      </c>
      <c r="CZ54" s="34">
        <f>IF(AND(CZ$5&gt;$E54,CZ$5&lt;=$F54),IF(CZ$5=$E54+1,$C54,""),"")</f>
        <v/>
      </c>
      <c r="DA54" s="34">
        <f>IF(AND(DA$5&gt;$E54,DA$5&lt;=$F54),IF(DA$5=$E54+1,$C54,""),"")</f>
        <v/>
      </c>
      <c r="DB54" s="34">
        <f>IF(AND(DB$5&gt;$E54,DB$5&lt;=$F54),IF(DB$5=$E54+1,$C54,""),"")</f>
        <v/>
      </c>
      <c r="DC54" s="34">
        <f>IF(AND(DC$5&gt;$E54,DC$5&lt;=$F54),IF(DC$5=$E54+1,$C54,""),"")</f>
        <v/>
      </c>
      <c r="DD54" s="34">
        <f>IF(AND(DD$5&gt;$E54,DD$5&lt;=$F54),IF(DD$5=$E54+1,$C54,""),"")</f>
        <v/>
      </c>
      <c r="DE54" s="34">
        <f>IF(AND(DE$5&gt;$E54,DE$5&lt;=$F54),IF(DE$5=$E54+1,$C54,""),"")</f>
        <v/>
      </c>
      <c r="DF54" s="34">
        <f>IF(AND(DF$5&gt;$E54,DF$5&lt;=$F54),IF(DF$5=$E54+1,$C54,""),"")</f>
        <v/>
      </c>
      <c r="DG54" s="34">
        <f>IF(AND(DG$5&gt;$E54,DG$5&lt;=$F54),IF(DG$5=$E54+1,$C54,""),"")</f>
        <v/>
      </c>
      <c r="DH54" s="34">
        <f>IF(AND(DH$5&gt;$E54,DH$5&lt;=$F54),IF(DH$5=$E54+1,$C54,""),"")</f>
        <v/>
      </c>
      <c r="DI54" s="34">
        <f>IF(AND(DI$5&gt;$E54,DI$5&lt;=$F54),IF(DI$5=$E54+1,$C54,""),"")</f>
        <v/>
      </c>
      <c r="DJ54" s="34">
        <f>IF(AND(DJ$5&gt;$E54,DJ$5&lt;=$F54),IF(DJ$5=$E54+1,$C54,""),"")</f>
        <v/>
      </c>
      <c r="DK54" s="34">
        <f>IF(AND(DK$5&gt;$E54,DK$5&lt;=$F54),IF(DK$5=$E54+1,$C54,""),"")</f>
        <v/>
      </c>
      <c r="DL54" s="34">
        <f>IF(AND(DL$5&gt;$E54,DL$5&lt;=$F54),IF(DL$5=$E54+1,$C54,""),"")</f>
        <v/>
      </c>
      <c r="DM54" s="34">
        <f>IF(AND(DM$5&gt;$E54,DM$5&lt;=$F54),IF(DM$5=$E54+1,$C54,""),"")</f>
        <v/>
      </c>
      <c r="DN54" s="34">
        <f>IF(AND(DN$5&gt;$E54,DN$5&lt;=$F54),IF(DN$5=$E54+1,$C54,""),"")</f>
        <v/>
      </c>
      <c r="DO54" s="34">
        <f>IF(AND(DO$5&gt;$E54,DO$5&lt;=$F54),IF(DO$5=$E54+1,$C54,""),"")</f>
        <v/>
      </c>
      <c r="DP54" s="34">
        <f>IF(AND(DP$5&gt;$E54,DP$5&lt;=$F54),IF(DP$5=$E54+1,$C54,""),"")</f>
        <v/>
      </c>
      <c r="DQ54" s="34">
        <f>IF(AND(DQ$5&gt;$E54,DQ$5&lt;=$F54),IF(DQ$5=$E54+1,$C54,""),"")</f>
        <v/>
      </c>
      <c r="DR54" s="34">
        <f>IF(AND(DR$5&gt;$E54,DR$5&lt;=$F54),IF(DR$5=$E54+1,$C54,""),"")</f>
        <v/>
      </c>
      <c r="DS54" s="34">
        <f>IF(AND(DS$5&gt;$E54,DS$5&lt;=$F54),IF(DS$5=$E54+1,$C54,""),"")</f>
        <v/>
      </c>
      <c r="DT54" s="34">
        <f>IF(AND(DT$5&gt;$E54,DT$5&lt;=$F54),IF(DT$5=$E54+1,$C54,""),"")</f>
        <v/>
      </c>
      <c r="DU54" s="34">
        <f>IF(AND(DU$5&gt;$E54,DU$5&lt;=$F54),IF(DU$5=$E54+1,$C54,""),"")</f>
        <v/>
      </c>
      <c r="DV54" s="34">
        <f>IF(AND(DV$5&gt;$E54,DV$5&lt;=$F54),IF(DV$5=$E54+1,$C54,""),"")</f>
        <v/>
      </c>
      <c r="DW54" s="34">
        <f>IF(AND(DW$5&gt;$E54,DW$5&lt;=$F54),IF(DW$5=$E54+1,$C54,""),"")</f>
        <v/>
      </c>
      <c r="DX54" s="34">
        <f>IF(AND(DX$5&gt;$E54,DX$5&lt;=$F54),IF(DX$5=$E54+1,$C54,""),"")</f>
        <v/>
      </c>
      <c r="DY54" s="34">
        <f>IF(AND(DY$5&gt;$E54,DY$5&lt;=$F54),IF(DY$5=$E54+1,$C54,""),"")</f>
        <v/>
      </c>
      <c r="DZ54" s="34">
        <f>IF(AND(DZ$5&gt;$E54,DZ$5&lt;=$F54),IF(DZ$5=$E54+1,$C54,""),"")</f>
        <v/>
      </c>
      <c r="EA54" s="34">
        <f>IF(AND(EA$5&gt;$E54,EA$5&lt;=$F54),IF(EA$5=$E54+1,$C54,""),"")</f>
        <v/>
      </c>
      <c r="EB54" s="34">
        <f>IF(AND(EB$5&gt;$E54,EB$5&lt;=$F54),IF(EB$5=$E54+1,$C54,""),"")</f>
        <v/>
      </c>
      <c r="EC54" s="34">
        <f>IF(AND(EC$5&gt;$E54,EC$5&lt;=$F54),IF(EC$5=$E54+1,$C54,""),"")</f>
        <v/>
      </c>
      <c r="ED54" s="34">
        <f>IF(AND(ED$5&gt;$E54,ED$5&lt;=$F54),IF(ED$5=$E54+1,$C54,""),"")</f>
        <v/>
      </c>
      <c r="EE54" s="34">
        <f>IF(AND(EE$5&gt;$E54,EE$5&lt;=$F54),IF(EE$5=$E54+1,$C54,""),"")</f>
        <v/>
      </c>
      <c r="EF54" s="34">
        <f>IF(AND(EF$5&gt;$E54,EF$5&lt;=$F54),IF(EF$5=$E54+1,$C54,""),"")</f>
        <v/>
      </c>
      <c r="EG54" s="34">
        <f>IF(AND(EG$5&gt;$E54,EG$5&lt;=$F54),IF(EG$5=$E54+1,$C54,""),"")</f>
        <v/>
      </c>
      <c r="EH54" s="34">
        <f>IF(AND(EH$5&gt;$E54,EH$5&lt;=$F54),IF(EH$5=$E54+1,$C54,""),"")</f>
        <v/>
      </c>
      <c r="EI54" s="34">
        <f>IF(AND(EI$5&gt;$E54,EI$5&lt;=$F54),IF(EI$5=$E54+1,$C54,""),"")</f>
        <v/>
      </c>
      <c r="EJ54" s="34">
        <f>IF(AND(EJ$5&gt;$E54,EJ$5&lt;=$F54),IF(EJ$5=$E54+1,$C54,""),"")</f>
        <v/>
      </c>
      <c r="EK54" s="34">
        <f>IF(AND(EK$5&gt;$E54,EK$5&lt;=$F54),IF(EK$5=$E54+1,$C54,""),"")</f>
        <v/>
      </c>
      <c r="EL54" s="34">
        <f>IF(AND(EL$5&gt;$E54,EL$5&lt;=$F54),IF(EL$5=$E54+1,$C54,""),"")</f>
        <v/>
      </c>
      <c r="EM54" s="34">
        <f>IF(AND(EM$5&gt;$E54,EM$5&lt;=$F54),IF(EM$5=$E54+1,$C54,""),"")</f>
        <v/>
      </c>
      <c r="EN54" s="34">
        <f>IF(AND(EN$5&gt;$E54,EN$5&lt;=$F54),IF(EN$5=$E54+1,$C54,""),"")</f>
        <v/>
      </c>
      <c r="EO54" s="34">
        <f>IF(AND(EO$5&gt;$E54,EO$5&lt;=$F54),IF(EO$5=$E54+1,$C54,""),"")</f>
        <v/>
      </c>
      <c r="EP54" s="34">
        <f>IF(AND(EP$5&gt;$E54,EP$5&lt;=$F54),IF(EP$5=$E54+1,$C54,""),"")</f>
        <v/>
      </c>
      <c r="EQ54" s="34">
        <f>IF(AND(EQ$5&gt;$E54,EQ$5&lt;=$F54),IF(EQ$5=$E54+1,$C54,""),"")</f>
        <v/>
      </c>
      <c r="ER54" s="34">
        <f>IF(AND(ER$5&gt;$E54,ER$5&lt;=$F54),IF(ER$5=$E54+1,$C54,""),"")</f>
        <v/>
      </c>
      <c r="ES54" s="34">
        <f>IF(AND(ES$5&gt;$E54,ES$5&lt;=$F54),IF(ES$5=$E54+1,$C54,""),"")</f>
        <v/>
      </c>
      <c r="ET54" s="34">
        <f>IF(AND(ET$5&gt;$E54,ET$5&lt;=$F54),IF(ET$5=$E54+1,$C54,""),"")</f>
        <v/>
      </c>
      <c r="EU54" s="34">
        <f>IF(AND(EU$5&gt;$E54,EU$5&lt;=$F54),IF(EU$5=$E54+1,$C54,""),"")</f>
        <v/>
      </c>
      <c r="EV54" s="34">
        <f>IF(AND(EV$5&gt;$E54,EV$5&lt;=$F54),IF(EV$5=$E54+1,$C54,""),"")</f>
        <v/>
      </c>
      <c r="EW54" s="34">
        <f>IF(AND(EW$5&gt;$E54,EW$5&lt;=$F54),IF(EW$5=$E54+1,$C54,""),"")</f>
        <v/>
      </c>
      <c r="EX54" s="34">
        <f>IF(AND(EX$5&gt;$E54,EX$5&lt;=$F54),IF(EX$5=$E54+1,$C54,""),"")</f>
        <v/>
      </c>
      <c r="EY54" s="34">
        <f>IF(AND(EY$5&gt;$E54,EY$5&lt;=$F54),IF(EY$5=$E54+1,$C54,""),"")</f>
        <v/>
      </c>
      <c r="EZ54" s="34">
        <f>IF(AND(EZ$5&gt;$E54,EZ$5&lt;=$F54),IF(EZ$5=$E54+1,$C54,""),"")</f>
        <v/>
      </c>
      <c r="FA54" s="34">
        <f>IF(AND(FA$5&gt;$E54,FA$5&lt;=$F54),IF(FA$5=$E54+1,$C54,""),"")</f>
        <v/>
      </c>
    </row>
    <row r="55">
      <c r="A55" s="32">
        <f>Plan!A44</f>
        <v/>
      </c>
      <c r="B55" s="33">
        <f>Plan!C44</f>
        <v/>
      </c>
      <c r="C55" s="16">
        <f>Plan!D44</f>
        <v/>
      </c>
      <c r="D55" s="16">
        <f>Plan!I44</f>
        <v/>
      </c>
      <c r="E55" s="16">
        <f>Plan!K44</f>
        <v/>
      </c>
      <c r="F55" s="16">
        <f>Plan!L44</f>
        <v/>
      </c>
      <c r="G55" s="16">
        <f>Plan!O44</f>
        <v/>
      </c>
      <c r="H55" s="34">
        <f>IF(AND(H$5&gt;$E55,H$5&lt;=$F55),IF(H$5=$E55+1,$C55,""),"")</f>
        <v/>
      </c>
      <c r="I55" s="34">
        <f>IF(AND(I$5&gt;$E55,I$5&lt;=$F55),IF(I$5=$E55+1,$C55,""),"")</f>
        <v/>
      </c>
      <c r="J55" s="34">
        <f>IF(AND(J$5&gt;$E55,J$5&lt;=$F55),IF(J$5=$E55+1,$C55,""),"")</f>
        <v/>
      </c>
      <c r="K55" s="34">
        <f>IF(AND(K$5&gt;$E55,K$5&lt;=$F55),IF(K$5=$E55+1,$C55,""),"")</f>
        <v/>
      </c>
      <c r="L55" s="34">
        <f>IF(AND(L$5&gt;$E55,L$5&lt;=$F55),IF(L$5=$E55+1,$C55,""),"")</f>
        <v/>
      </c>
      <c r="M55" s="34">
        <f>IF(AND(M$5&gt;$E55,M$5&lt;=$F55),IF(M$5=$E55+1,$C55,""),"")</f>
        <v/>
      </c>
      <c r="N55" s="34">
        <f>IF(AND(N$5&gt;$E55,N$5&lt;=$F55),IF(N$5=$E55+1,$C55,""),"")</f>
        <v/>
      </c>
      <c r="O55" s="34">
        <f>IF(AND(O$5&gt;$E55,O$5&lt;=$F55),IF(O$5=$E55+1,$C55,""),"")</f>
        <v/>
      </c>
      <c r="P55" s="34">
        <f>IF(AND(P$5&gt;$E55,P$5&lt;=$F55),IF(P$5=$E55+1,$C55,""),"")</f>
        <v/>
      </c>
      <c r="Q55" s="34">
        <f>IF(AND(Q$5&gt;$E55,Q$5&lt;=$F55),IF(Q$5=$E55+1,$C55,""),"")</f>
        <v/>
      </c>
      <c r="R55" s="34">
        <f>IF(AND(R$5&gt;$E55,R$5&lt;=$F55),IF(R$5=$E55+1,$C55,""),"")</f>
        <v/>
      </c>
      <c r="S55" s="34">
        <f>IF(AND(S$5&gt;$E55,S$5&lt;=$F55),IF(S$5=$E55+1,$C55,""),"")</f>
        <v/>
      </c>
      <c r="T55" s="34">
        <f>IF(AND(T$5&gt;$E55,T$5&lt;=$F55),IF(T$5=$E55+1,$C55,""),"")</f>
        <v/>
      </c>
      <c r="U55" s="34">
        <f>IF(AND(U$5&gt;$E55,U$5&lt;=$F55),IF(U$5=$E55+1,$C55,""),"")</f>
        <v/>
      </c>
      <c r="V55" s="34">
        <f>IF(AND(V$5&gt;$E55,V$5&lt;=$F55),IF(V$5=$E55+1,$C55,""),"")</f>
        <v/>
      </c>
      <c r="W55" s="34">
        <f>IF(AND(W$5&gt;$E55,W$5&lt;=$F55),IF(W$5=$E55+1,$C55,""),"")</f>
        <v/>
      </c>
      <c r="X55" s="34">
        <f>IF(AND(X$5&gt;$E55,X$5&lt;=$F55),IF(X$5=$E55+1,$C55,""),"")</f>
        <v/>
      </c>
      <c r="Y55" s="34">
        <f>IF(AND(Y$5&gt;$E55,Y$5&lt;=$F55),IF(Y$5=$E55+1,$C55,""),"")</f>
        <v/>
      </c>
      <c r="Z55" s="34">
        <f>IF(AND(Z$5&gt;$E55,Z$5&lt;=$F55),IF(Z$5=$E55+1,$C55,""),"")</f>
        <v/>
      </c>
      <c r="AA55" s="34">
        <f>IF(AND(AA$5&gt;$E55,AA$5&lt;=$F55),IF(AA$5=$E55+1,$C55,""),"")</f>
        <v/>
      </c>
      <c r="AB55" s="34">
        <f>IF(AND(AB$5&gt;$E55,AB$5&lt;=$F55),IF(AB$5=$E55+1,$C55,""),"")</f>
        <v/>
      </c>
      <c r="AC55" s="34">
        <f>IF(AND(AC$5&gt;$E55,AC$5&lt;=$F55),IF(AC$5=$E55+1,$C55,""),"")</f>
        <v/>
      </c>
      <c r="AD55" s="34">
        <f>IF(AND(AD$5&gt;$E55,AD$5&lt;=$F55),IF(AD$5=$E55+1,$C55,""),"")</f>
        <v/>
      </c>
      <c r="AE55" s="34">
        <f>IF(AND(AE$5&gt;$E55,AE$5&lt;=$F55),IF(AE$5=$E55+1,$C55,""),"")</f>
        <v/>
      </c>
      <c r="AF55" s="34">
        <f>IF(AND(AF$5&gt;$E55,AF$5&lt;=$F55),IF(AF$5=$E55+1,$C55,""),"")</f>
        <v/>
      </c>
      <c r="AG55" s="34">
        <f>IF(AND(AG$5&gt;$E55,AG$5&lt;=$F55),IF(AG$5=$E55+1,$C55,""),"")</f>
        <v/>
      </c>
      <c r="AH55" s="34">
        <f>IF(AND(AH$5&gt;$E55,AH$5&lt;=$F55),IF(AH$5=$E55+1,$C55,""),"")</f>
        <v/>
      </c>
      <c r="AI55" s="34">
        <f>IF(AND(AI$5&gt;$E55,AI$5&lt;=$F55),IF(AI$5=$E55+1,$C55,""),"")</f>
        <v/>
      </c>
      <c r="AJ55" s="34">
        <f>IF(AND(AJ$5&gt;$E55,AJ$5&lt;=$F55),IF(AJ$5=$E55+1,$C55,""),"")</f>
        <v/>
      </c>
      <c r="AK55" s="34">
        <f>IF(AND(AK$5&gt;$E55,AK$5&lt;=$F55),IF(AK$5=$E55+1,$C55,""),"")</f>
        <v/>
      </c>
      <c r="AL55" s="34">
        <f>IF(AND(AL$5&gt;$E55,AL$5&lt;=$F55),IF(AL$5=$E55+1,$C55,""),"")</f>
        <v/>
      </c>
      <c r="AM55" s="34">
        <f>IF(AND(AM$5&gt;$E55,AM$5&lt;=$F55),IF(AM$5=$E55+1,$C55,""),"")</f>
        <v/>
      </c>
      <c r="AN55" s="34">
        <f>IF(AND(AN$5&gt;$E55,AN$5&lt;=$F55),IF(AN$5=$E55+1,$C55,""),"")</f>
        <v/>
      </c>
      <c r="AO55" s="34">
        <f>IF(AND(AO$5&gt;$E55,AO$5&lt;=$F55),IF(AO$5=$E55+1,$C55,""),"")</f>
        <v/>
      </c>
      <c r="AP55" s="34">
        <f>IF(AND(AP$5&gt;$E55,AP$5&lt;=$F55),IF(AP$5=$E55+1,$C55,""),"")</f>
        <v/>
      </c>
      <c r="AQ55" s="34">
        <f>IF(AND(AQ$5&gt;$E55,AQ$5&lt;=$F55),IF(AQ$5=$E55+1,$C55,""),"")</f>
        <v/>
      </c>
      <c r="AR55" s="34">
        <f>IF(AND(AR$5&gt;$E55,AR$5&lt;=$F55),IF(AR$5=$E55+1,$C55,""),"")</f>
        <v/>
      </c>
      <c r="AS55" s="34">
        <f>IF(AND(AS$5&gt;$E55,AS$5&lt;=$F55),IF(AS$5=$E55+1,$C55,""),"")</f>
        <v/>
      </c>
      <c r="AT55" s="34">
        <f>IF(AND(AT$5&gt;$E55,AT$5&lt;=$F55),IF(AT$5=$E55+1,$C55,""),"")</f>
        <v/>
      </c>
      <c r="AU55" s="34">
        <f>IF(AND(AU$5&gt;$E55,AU$5&lt;=$F55),IF(AU$5=$E55+1,$C55,""),"")</f>
        <v/>
      </c>
      <c r="AV55" s="34">
        <f>IF(AND(AV$5&gt;$E55,AV$5&lt;=$F55),IF(AV$5=$E55+1,$C55,""),"")</f>
        <v/>
      </c>
      <c r="AW55" s="34">
        <f>IF(AND(AW$5&gt;$E55,AW$5&lt;=$F55),IF(AW$5=$E55+1,$C55,""),"")</f>
        <v/>
      </c>
      <c r="AX55" s="34">
        <f>IF(AND(AX$5&gt;$E55,AX$5&lt;=$F55),IF(AX$5=$E55+1,$C55,""),"")</f>
        <v/>
      </c>
      <c r="AY55" s="34">
        <f>IF(AND(AY$5&gt;$E55,AY$5&lt;=$F55),IF(AY$5=$E55+1,$C55,""),"")</f>
        <v/>
      </c>
      <c r="AZ55" s="34">
        <f>IF(AND(AZ$5&gt;$E55,AZ$5&lt;=$F55),IF(AZ$5=$E55+1,$C55,""),"")</f>
        <v/>
      </c>
      <c r="BA55" s="34">
        <f>IF(AND(BA$5&gt;$E55,BA$5&lt;=$F55),IF(BA$5=$E55+1,$C55,""),"")</f>
        <v/>
      </c>
      <c r="BB55" s="34">
        <f>IF(AND(BB$5&gt;$E55,BB$5&lt;=$F55),IF(BB$5=$E55+1,$C55,""),"")</f>
        <v/>
      </c>
      <c r="BC55" s="34">
        <f>IF(AND(BC$5&gt;$E55,BC$5&lt;=$F55),IF(BC$5=$E55+1,$C55,""),"")</f>
        <v/>
      </c>
      <c r="BD55" s="34">
        <f>IF(AND(BD$5&gt;$E55,BD$5&lt;=$F55),IF(BD$5=$E55+1,$C55,""),"")</f>
        <v/>
      </c>
      <c r="BE55" s="34">
        <f>IF(AND(BE$5&gt;$E55,BE$5&lt;=$F55),IF(BE$5=$E55+1,$C55,""),"")</f>
        <v/>
      </c>
      <c r="BF55" s="34">
        <f>IF(AND(BF$5&gt;$E55,BF$5&lt;=$F55),IF(BF$5=$E55+1,$C55,""),"")</f>
        <v/>
      </c>
      <c r="BG55" s="34">
        <f>IF(AND(BG$5&gt;$E55,BG$5&lt;=$F55),IF(BG$5=$E55+1,$C55,""),"")</f>
        <v/>
      </c>
      <c r="BH55" s="34">
        <f>IF(AND(BH$5&gt;$E55,BH$5&lt;=$F55),IF(BH$5=$E55+1,$C55,""),"")</f>
        <v/>
      </c>
      <c r="BI55" s="34">
        <f>IF(AND(BI$5&gt;$E55,BI$5&lt;=$F55),IF(BI$5=$E55+1,$C55,""),"")</f>
        <v/>
      </c>
      <c r="BJ55" s="34">
        <f>IF(AND(BJ$5&gt;$E55,BJ$5&lt;=$F55),IF(BJ$5=$E55+1,$C55,""),"")</f>
        <v/>
      </c>
      <c r="BK55" s="34">
        <f>IF(AND(BK$5&gt;$E55,BK$5&lt;=$F55),IF(BK$5=$E55+1,$C55,""),"")</f>
        <v/>
      </c>
      <c r="BL55" s="34">
        <f>IF(AND(BL$5&gt;$E55,BL$5&lt;=$F55),IF(BL$5=$E55+1,$C55,""),"")</f>
        <v/>
      </c>
      <c r="BM55" s="34">
        <f>IF(AND(BM$5&gt;$E55,BM$5&lt;=$F55),IF(BM$5=$E55+1,$C55,""),"")</f>
        <v/>
      </c>
      <c r="BN55" s="34">
        <f>IF(AND(BN$5&gt;$E55,BN$5&lt;=$F55),IF(BN$5=$E55+1,$C55,""),"")</f>
        <v/>
      </c>
      <c r="BO55" s="34">
        <f>IF(AND(BO$5&gt;$E55,BO$5&lt;=$F55),IF(BO$5=$E55+1,$C55,""),"")</f>
        <v/>
      </c>
      <c r="BP55" s="34">
        <f>IF(AND(BP$5&gt;$E55,BP$5&lt;=$F55),IF(BP$5=$E55+1,$C55,""),"")</f>
        <v/>
      </c>
      <c r="BQ55" s="34">
        <f>IF(AND(BQ$5&gt;$E55,BQ$5&lt;=$F55),IF(BQ$5=$E55+1,$C55,""),"")</f>
        <v/>
      </c>
      <c r="BR55" s="34">
        <f>IF(AND(BR$5&gt;$E55,BR$5&lt;=$F55),IF(BR$5=$E55+1,$C55,""),"")</f>
        <v/>
      </c>
      <c r="BS55" s="34">
        <f>IF(AND(BS$5&gt;$E55,BS$5&lt;=$F55),IF(BS$5=$E55+1,$C55,""),"")</f>
        <v/>
      </c>
      <c r="BT55" s="34">
        <f>IF(AND(BT$5&gt;$E55,BT$5&lt;=$F55),IF(BT$5=$E55+1,$C55,""),"")</f>
        <v/>
      </c>
      <c r="BU55" s="34">
        <f>IF(AND(BU$5&gt;$E55,BU$5&lt;=$F55),IF(BU$5=$E55+1,$C55,""),"")</f>
        <v/>
      </c>
      <c r="BV55" s="34">
        <f>IF(AND(BV$5&gt;$E55,BV$5&lt;=$F55),IF(BV$5=$E55+1,$C55,""),"")</f>
        <v/>
      </c>
      <c r="BW55" s="34">
        <f>IF(AND(BW$5&gt;$E55,BW$5&lt;=$F55),IF(BW$5=$E55+1,$C55,""),"")</f>
        <v/>
      </c>
      <c r="BX55" s="34">
        <f>IF(AND(BX$5&gt;$E55,BX$5&lt;=$F55),IF(BX$5=$E55+1,$C55,""),"")</f>
        <v/>
      </c>
      <c r="BY55" s="34">
        <f>IF(AND(BY$5&gt;$E55,BY$5&lt;=$F55),IF(BY$5=$E55+1,$C55,""),"")</f>
        <v/>
      </c>
      <c r="BZ55" s="34">
        <f>IF(AND(BZ$5&gt;$E55,BZ$5&lt;=$F55),IF(BZ$5=$E55+1,$C55,""),"")</f>
        <v/>
      </c>
      <c r="CA55" s="34">
        <f>IF(AND(CA$5&gt;$E55,CA$5&lt;=$F55),IF(CA$5=$E55+1,$C55,""),"")</f>
        <v/>
      </c>
      <c r="CB55" s="34">
        <f>IF(AND(CB$5&gt;$E55,CB$5&lt;=$F55),IF(CB$5=$E55+1,$C55,""),"")</f>
        <v/>
      </c>
      <c r="CC55" s="34">
        <f>IF(AND(CC$5&gt;$E55,CC$5&lt;=$F55),IF(CC$5=$E55+1,$C55,""),"")</f>
        <v/>
      </c>
      <c r="CD55" s="34">
        <f>IF(AND(CD$5&gt;$E55,CD$5&lt;=$F55),IF(CD$5=$E55+1,$C55,""),"")</f>
        <v/>
      </c>
      <c r="CE55" s="34">
        <f>IF(AND(CE$5&gt;$E55,CE$5&lt;=$F55),IF(CE$5=$E55+1,$C55,""),"")</f>
        <v/>
      </c>
      <c r="CF55" s="34">
        <f>IF(AND(CF$5&gt;$E55,CF$5&lt;=$F55),IF(CF$5=$E55+1,$C55,""),"")</f>
        <v/>
      </c>
      <c r="CG55" s="34">
        <f>IF(AND(CG$5&gt;$E55,CG$5&lt;=$F55),IF(CG$5=$E55+1,$C55,""),"")</f>
        <v/>
      </c>
      <c r="CH55" s="34">
        <f>IF(AND(CH$5&gt;$E55,CH$5&lt;=$F55),IF(CH$5=$E55+1,$C55,""),"")</f>
        <v/>
      </c>
      <c r="CI55" s="34">
        <f>IF(AND(CI$5&gt;$E55,CI$5&lt;=$F55),IF(CI$5=$E55+1,$C55,""),"")</f>
        <v/>
      </c>
      <c r="CJ55" s="34">
        <f>IF(AND(CJ$5&gt;$E55,CJ$5&lt;=$F55),IF(CJ$5=$E55+1,$C55,""),"")</f>
        <v/>
      </c>
      <c r="CK55" s="34">
        <f>IF(AND(CK$5&gt;$E55,CK$5&lt;=$F55),IF(CK$5=$E55+1,$C55,""),"")</f>
        <v/>
      </c>
      <c r="CL55" s="34">
        <f>IF(AND(CL$5&gt;$E55,CL$5&lt;=$F55),IF(CL$5=$E55+1,$C55,""),"")</f>
        <v/>
      </c>
      <c r="CM55" s="34">
        <f>IF(AND(CM$5&gt;$E55,CM$5&lt;=$F55),IF(CM$5=$E55+1,$C55,""),"")</f>
        <v/>
      </c>
      <c r="CN55" s="34">
        <f>IF(AND(CN$5&gt;$E55,CN$5&lt;=$F55),IF(CN$5=$E55+1,$C55,""),"")</f>
        <v/>
      </c>
      <c r="CO55" s="34">
        <f>IF(AND(CO$5&gt;$E55,CO$5&lt;=$F55),IF(CO$5=$E55+1,$C55,""),"")</f>
        <v/>
      </c>
      <c r="CP55" s="34">
        <f>IF(AND(CP$5&gt;$E55,CP$5&lt;=$F55),IF(CP$5=$E55+1,$C55,""),"")</f>
        <v/>
      </c>
      <c r="CQ55" s="34">
        <f>IF(AND(CQ$5&gt;$E55,CQ$5&lt;=$F55),IF(CQ$5=$E55+1,$C55,""),"")</f>
        <v/>
      </c>
      <c r="CR55" s="34">
        <f>IF(AND(CR$5&gt;$E55,CR$5&lt;=$F55),IF(CR$5=$E55+1,$C55,""),"")</f>
        <v/>
      </c>
      <c r="CS55" s="34">
        <f>IF(AND(CS$5&gt;$E55,CS$5&lt;=$F55),IF(CS$5=$E55+1,$C55,""),"")</f>
        <v/>
      </c>
      <c r="CT55" s="34">
        <f>IF(AND(CT$5&gt;$E55,CT$5&lt;=$F55),IF(CT$5=$E55+1,$C55,""),"")</f>
        <v/>
      </c>
      <c r="CU55" s="34">
        <f>IF(AND(CU$5&gt;$E55,CU$5&lt;=$F55),IF(CU$5=$E55+1,$C55,""),"")</f>
        <v/>
      </c>
      <c r="CV55" s="34">
        <f>IF(AND(CV$5&gt;$E55,CV$5&lt;=$F55),IF(CV$5=$E55+1,$C55,""),"")</f>
        <v/>
      </c>
      <c r="CW55" s="34">
        <f>IF(AND(CW$5&gt;$E55,CW$5&lt;=$F55),IF(CW$5=$E55+1,$C55,""),"")</f>
        <v/>
      </c>
      <c r="CX55" s="34">
        <f>IF(AND(CX$5&gt;$E55,CX$5&lt;=$F55),IF(CX$5=$E55+1,$C55,""),"")</f>
        <v/>
      </c>
      <c r="CY55" s="34">
        <f>IF(AND(CY$5&gt;$E55,CY$5&lt;=$F55),IF(CY$5=$E55+1,$C55,""),"")</f>
        <v/>
      </c>
      <c r="CZ55" s="34">
        <f>IF(AND(CZ$5&gt;$E55,CZ$5&lt;=$F55),IF(CZ$5=$E55+1,$C55,""),"")</f>
        <v/>
      </c>
      <c r="DA55" s="34">
        <f>IF(AND(DA$5&gt;$E55,DA$5&lt;=$F55),IF(DA$5=$E55+1,$C55,""),"")</f>
        <v/>
      </c>
      <c r="DB55" s="34">
        <f>IF(AND(DB$5&gt;$E55,DB$5&lt;=$F55),IF(DB$5=$E55+1,$C55,""),"")</f>
        <v/>
      </c>
      <c r="DC55" s="34">
        <f>IF(AND(DC$5&gt;$E55,DC$5&lt;=$F55),IF(DC$5=$E55+1,$C55,""),"")</f>
        <v/>
      </c>
      <c r="DD55" s="34">
        <f>IF(AND(DD$5&gt;$E55,DD$5&lt;=$F55),IF(DD$5=$E55+1,$C55,""),"")</f>
        <v/>
      </c>
      <c r="DE55" s="34">
        <f>IF(AND(DE$5&gt;$E55,DE$5&lt;=$F55),IF(DE$5=$E55+1,$C55,""),"")</f>
        <v/>
      </c>
      <c r="DF55" s="34">
        <f>IF(AND(DF$5&gt;$E55,DF$5&lt;=$F55),IF(DF$5=$E55+1,$C55,""),"")</f>
        <v/>
      </c>
      <c r="DG55" s="34">
        <f>IF(AND(DG$5&gt;$E55,DG$5&lt;=$F55),IF(DG$5=$E55+1,$C55,""),"")</f>
        <v/>
      </c>
      <c r="DH55" s="34">
        <f>IF(AND(DH$5&gt;$E55,DH$5&lt;=$F55),IF(DH$5=$E55+1,$C55,""),"")</f>
        <v/>
      </c>
      <c r="DI55" s="34">
        <f>IF(AND(DI$5&gt;$E55,DI$5&lt;=$F55),IF(DI$5=$E55+1,$C55,""),"")</f>
        <v/>
      </c>
      <c r="DJ55" s="34">
        <f>IF(AND(DJ$5&gt;$E55,DJ$5&lt;=$F55),IF(DJ$5=$E55+1,$C55,""),"")</f>
        <v/>
      </c>
      <c r="DK55" s="34">
        <f>IF(AND(DK$5&gt;$E55,DK$5&lt;=$F55),IF(DK$5=$E55+1,$C55,""),"")</f>
        <v/>
      </c>
      <c r="DL55" s="34">
        <f>IF(AND(DL$5&gt;$E55,DL$5&lt;=$F55),IF(DL$5=$E55+1,$C55,""),"")</f>
        <v/>
      </c>
      <c r="DM55" s="34">
        <f>IF(AND(DM$5&gt;$E55,DM$5&lt;=$F55),IF(DM$5=$E55+1,$C55,""),"")</f>
        <v/>
      </c>
      <c r="DN55" s="34">
        <f>IF(AND(DN$5&gt;$E55,DN$5&lt;=$F55),IF(DN$5=$E55+1,$C55,""),"")</f>
        <v/>
      </c>
      <c r="DO55" s="34">
        <f>IF(AND(DO$5&gt;$E55,DO$5&lt;=$F55),IF(DO$5=$E55+1,$C55,""),"")</f>
        <v/>
      </c>
      <c r="DP55" s="34">
        <f>IF(AND(DP$5&gt;$E55,DP$5&lt;=$F55),IF(DP$5=$E55+1,$C55,""),"")</f>
        <v/>
      </c>
      <c r="DQ55" s="34">
        <f>IF(AND(DQ$5&gt;$E55,DQ$5&lt;=$F55),IF(DQ$5=$E55+1,$C55,""),"")</f>
        <v/>
      </c>
      <c r="DR55" s="34">
        <f>IF(AND(DR$5&gt;$E55,DR$5&lt;=$F55),IF(DR$5=$E55+1,$C55,""),"")</f>
        <v/>
      </c>
      <c r="DS55" s="34">
        <f>IF(AND(DS$5&gt;$E55,DS$5&lt;=$F55),IF(DS$5=$E55+1,$C55,""),"")</f>
        <v/>
      </c>
      <c r="DT55" s="34">
        <f>IF(AND(DT$5&gt;$E55,DT$5&lt;=$F55),IF(DT$5=$E55+1,$C55,""),"")</f>
        <v/>
      </c>
      <c r="DU55" s="34">
        <f>IF(AND(DU$5&gt;$E55,DU$5&lt;=$F55),IF(DU$5=$E55+1,$C55,""),"")</f>
        <v/>
      </c>
      <c r="DV55" s="34">
        <f>IF(AND(DV$5&gt;$E55,DV$5&lt;=$F55),IF(DV$5=$E55+1,$C55,""),"")</f>
        <v/>
      </c>
      <c r="DW55" s="34">
        <f>IF(AND(DW$5&gt;$E55,DW$5&lt;=$F55),IF(DW$5=$E55+1,$C55,""),"")</f>
        <v/>
      </c>
      <c r="DX55" s="34">
        <f>IF(AND(DX$5&gt;$E55,DX$5&lt;=$F55),IF(DX$5=$E55+1,$C55,""),"")</f>
        <v/>
      </c>
      <c r="DY55" s="34">
        <f>IF(AND(DY$5&gt;$E55,DY$5&lt;=$F55),IF(DY$5=$E55+1,$C55,""),"")</f>
        <v/>
      </c>
      <c r="DZ55" s="34">
        <f>IF(AND(DZ$5&gt;$E55,DZ$5&lt;=$F55),IF(DZ$5=$E55+1,$C55,""),"")</f>
        <v/>
      </c>
      <c r="EA55" s="34">
        <f>IF(AND(EA$5&gt;$E55,EA$5&lt;=$F55),IF(EA$5=$E55+1,$C55,""),"")</f>
        <v/>
      </c>
      <c r="EB55" s="34">
        <f>IF(AND(EB$5&gt;$E55,EB$5&lt;=$F55),IF(EB$5=$E55+1,$C55,""),"")</f>
        <v/>
      </c>
      <c r="EC55" s="34">
        <f>IF(AND(EC$5&gt;$E55,EC$5&lt;=$F55),IF(EC$5=$E55+1,$C55,""),"")</f>
        <v/>
      </c>
      <c r="ED55" s="34">
        <f>IF(AND(ED$5&gt;$E55,ED$5&lt;=$F55),IF(ED$5=$E55+1,$C55,""),"")</f>
        <v/>
      </c>
      <c r="EE55" s="34">
        <f>IF(AND(EE$5&gt;$E55,EE$5&lt;=$F55),IF(EE$5=$E55+1,$C55,""),"")</f>
        <v/>
      </c>
      <c r="EF55" s="34">
        <f>IF(AND(EF$5&gt;$E55,EF$5&lt;=$F55),IF(EF$5=$E55+1,$C55,""),"")</f>
        <v/>
      </c>
      <c r="EG55" s="34">
        <f>IF(AND(EG$5&gt;$E55,EG$5&lt;=$F55),IF(EG$5=$E55+1,$C55,""),"")</f>
        <v/>
      </c>
      <c r="EH55" s="34">
        <f>IF(AND(EH$5&gt;$E55,EH$5&lt;=$F55),IF(EH$5=$E55+1,$C55,""),"")</f>
        <v/>
      </c>
      <c r="EI55" s="34">
        <f>IF(AND(EI$5&gt;$E55,EI$5&lt;=$F55),IF(EI$5=$E55+1,$C55,""),"")</f>
        <v/>
      </c>
      <c r="EJ55" s="34">
        <f>IF(AND(EJ$5&gt;$E55,EJ$5&lt;=$F55),IF(EJ$5=$E55+1,$C55,""),"")</f>
        <v/>
      </c>
      <c r="EK55" s="34">
        <f>IF(AND(EK$5&gt;$E55,EK$5&lt;=$F55),IF(EK$5=$E55+1,$C55,""),"")</f>
        <v/>
      </c>
      <c r="EL55" s="34">
        <f>IF(AND(EL$5&gt;$E55,EL$5&lt;=$F55),IF(EL$5=$E55+1,$C55,""),"")</f>
        <v/>
      </c>
      <c r="EM55" s="34">
        <f>IF(AND(EM$5&gt;$E55,EM$5&lt;=$F55),IF(EM$5=$E55+1,$C55,""),"")</f>
        <v/>
      </c>
      <c r="EN55" s="34">
        <f>IF(AND(EN$5&gt;$E55,EN$5&lt;=$F55),IF(EN$5=$E55+1,$C55,""),"")</f>
        <v/>
      </c>
      <c r="EO55" s="34">
        <f>IF(AND(EO$5&gt;$E55,EO$5&lt;=$F55),IF(EO$5=$E55+1,$C55,""),"")</f>
        <v/>
      </c>
      <c r="EP55" s="34">
        <f>IF(AND(EP$5&gt;$E55,EP$5&lt;=$F55),IF(EP$5=$E55+1,$C55,""),"")</f>
        <v/>
      </c>
      <c r="EQ55" s="34">
        <f>IF(AND(EQ$5&gt;$E55,EQ$5&lt;=$F55),IF(EQ$5=$E55+1,$C55,""),"")</f>
        <v/>
      </c>
      <c r="ER55" s="34">
        <f>IF(AND(ER$5&gt;$E55,ER$5&lt;=$F55),IF(ER$5=$E55+1,$C55,""),"")</f>
        <v/>
      </c>
      <c r="ES55" s="34">
        <f>IF(AND(ES$5&gt;$E55,ES$5&lt;=$F55),IF(ES$5=$E55+1,$C55,""),"")</f>
        <v/>
      </c>
      <c r="ET55" s="34">
        <f>IF(AND(ET$5&gt;$E55,ET$5&lt;=$F55),IF(ET$5=$E55+1,$C55,""),"")</f>
        <v/>
      </c>
      <c r="EU55" s="34">
        <f>IF(AND(EU$5&gt;$E55,EU$5&lt;=$F55),IF(EU$5=$E55+1,$C55,""),"")</f>
        <v/>
      </c>
      <c r="EV55" s="34">
        <f>IF(AND(EV$5&gt;$E55,EV$5&lt;=$F55),IF(EV$5=$E55+1,$C55,""),"")</f>
        <v/>
      </c>
      <c r="EW55" s="34">
        <f>IF(AND(EW$5&gt;$E55,EW$5&lt;=$F55),IF(EW$5=$E55+1,$C55,""),"")</f>
        <v/>
      </c>
      <c r="EX55" s="34">
        <f>IF(AND(EX$5&gt;$E55,EX$5&lt;=$F55),IF(EX$5=$E55+1,$C55,""),"")</f>
        <v/>
      </c>
      <c r="EY55" s="34">
        <f>IF(AND(EY$5&gt;$E55,EY$5&lt;=$F55),IF(EY$5=$E55+1,$C55,""),"")</f>
        <v/>
      </c>
      <c r="EZ55" s="34">
        <f>IF(AND(EZ$5&gt;$E55,EZ$5&lt;=$F55),IF(EZ$5=$E55+1,$C55,""),"")</f>
        <v/>
      </c>
      <c r="FA55" s="34">
        <f>IF(AND(FA$5&gt;$E55,FA$5&lt;=$F55),IF(FA$5=$E55+1,$C55,""),"")</f>
        <v/>
      </c>
    </row>
    <row r="56">
      <c r="A56" s="32">
        <f>Plan!A45</f>
        <v/>
      </c>
      <c r="B56" s="33">
        <f>Plan!C45</f>
        <v/>
      </c>
      <c r="C56" s="16">
        <f>Plan!D45</f>
        <v/>
      </c>
      <c r="D56" s="16">
        <f>Plan!I45</f>
        <v/>
      </c>
      <c r="E56" s="16">
        <f>Plan!K45</f>
        <v/>
      </c>
      <c r="F56" s="16">
        <f>Plan!L45</f>
        <v/>
      </c>
      <c r="G56" s="16">
        <f>Plan!O45</f>
        <v/>
      </c>
      <c r="H56" s="34">
        <f>IF(AND(H$5&gt;$E56,H$5&lt;=$F56),IF(H$5=$E56+1,$C56,""),"")</f>
        <v/>
      </c>
      <c r="I56" s="34">
        <f>IF(AND(I$5&gt;$E56,I$5&lt;=$F56),IF(I$5=$E56+1,$C56,""),"")</f>
        <v/>
      </c>
      <c r="J56" s="34">
        <f>IF(AND(J$5&gt;$E56,J$5&lt;=$F56),IF(J$5=$E56+1,$C56,""),"")</f>
        <v/>
      </c>
      <c r="K56" s="34">
        <f>IF(AND(K$5&gt;$E56,K$5&lt;=$F56),IF(K$5=$E56+1,$C56,""),"")</f>
        <v/>
      </c>
      <c r="L56" s="34">
        <f>IF(AND(L$5&gt;$E56,L$5&lt;=$F56),IF(L$5=$E56+1,$C56,""),"")</f>
        <v/>
      </c>
      <c r="M56" s="34">
        <f>IF(AND(M$5&gt;$E56,M$5&lt;=$F56),IF(M$5=$E56+1,$C56,""),"")</f>
        <v/>
      </c>
      <c r="N56" s="34">
        <f>IF(AND(N$5&gt;$E56,N$5&lt;=$F56),IF(N$5=$E56+1,$C56,""),"")</f>
        <v/>
      </c>
      <c r="O56" s="34">
        <f>IF(AND(O$5&gt;$E56,O$5&lt;=$F56),IF(O$5=$E56+1,$C56,""),"")</f>
        <v/>
      </c>
      <c r="P56" s="34">
        <f>IF(AND(P$5&gt;$E56,P$5&lt;=$F56),IF(P$5=$E56+1,$C56,""),"")</f>
        <v/>
      </c>
      <c r="Q56" s="34">
        <f>IF(AND(Q$5&gt;$E56,Q$5&lt;=$F56),IF(Q$5=$E56+1,$C56,""),"")</f>
        <v/>
      </c>
      <c r="R56" s="34">
        <f>IF(AND(R$5&gt;$E56,R$5&lt;=$F56),IF(R$5=$E56+1,$C56,""),"")</f>
        <v/>
      </c>
      <c r="S56" s="34">
        <f>IF(AND(S$5&gt;$E56,S$5&lt;=$F56),IF(S$5=$E56+1,$C56,""),"")</f>
        <v/>
      </c>
      <c r="T56" s="34">
        <f>IF(AND(T$5&gt;$E56,T$5&lt;=$F56),IF(T$5=$E56+1,$C56,""),"")</f>
        <v/>
      </c>
      <c r="U56" s="34">
        <f>IF(AND(U$5&gt;$E56,U$5&lt;=$F56),IF(U$5=$E56+1,$C56,""),"")</f>
        <v/>
      </c>
      <c r="V56" s="34">
        <f>IF(AND(V$5&gt;$E56,V$5&lt;=$F56),IF(V$5=$E56+1,$C56,""),"")</f>
        <v/>
      </c>
      <c r="W56" s="34">
        <f>IF(AND(W$5&gt;$E56,W$5&lt;=$F56),IF(W$5=$E56+1,$C56,""),"")</f>
        <v/>
      </c>
      <c r="X56" s="34">
        <f>IF(AND(X$5&gt;$E56,X$5&lt;=$F56),IF(X$5=$E56+1,$C56,""),"")</f>
        <v/>
      </c>
      <c r="Y56" s="34">
        <f>IF(AND(Y$5&gt;$E56,Y$5&lt;=$F56),IF(Y$5=$E56+1,$C56,""),"")</f>
        <v/>
      </c>
      <c r="Z56" s="34">
        <f>IF(AND(Z$5&gt;$E56,Z$5&lt;=$F56),IF(Z$5=$E56+1,$C56,""),"")</f>
        <v/>
      </c>
      <c r="AA56" s="34">
        <f>IF(AND(AA$5&gt;$E56,AA$5&lt;=$F56),IF(AA$5=$E56+1,$C56,""),"")</f>
        <v/>
      </c>
      <c r="AB56" s="34">
        <f>IF(AND(AB$5&gt;$E56,AB$5&lt;=$F56),IF(AB$5=$E56+1,$C56,""),"")</f>
        <v/>
      </c>
      <c r="AC56" s="34">
        <f>IF(AND(AC$5&gt;$E56,AC$5&lt;=$F56),IF(AC$5=$E56+1,$C56,""),"")</f>
        <v/>
      </c>
      <c r="AD56" s="34">
        <f>IF(AND(AD$5&gt;$E56,AD$5&lt;=$F56),IF(AD$5=$E56+1,$C56,""),"")</f>
        <v/>
      </c>
      <c r="AE56" s="34">
        <f>IF(AND(AE$5&gt;$E56,AE$5&lt;=$F56),IF(AE$5=$E56+1,$C56,""),"")</f>
        <v/>
      </c>
      <c r="AF56" s="34">
        <f>IF(AND(AF$5&gt;$E56,AF$5&lt;=$F56),IF(AF$5=$E56+1,$C56,""),"")</f>
        <v/>
      </c>
      <c r="AG56" s="34">
        <f>IF(AND(AG$5&gt;$E56,AG$5&lt;=$F56),IF(AG$5=$E56+1,$C56,""),"")</f>
        <v/>
      </c>
      <c r="AH56" s="34">
        <f>IF(AND(AH$5&gt;$E56,AH$5&lt;=$F56),IF(AH$5=$E56+1,$C56,""),"")</f>
        <v/>
      </c>
      <c r="AI56" s="34">
        <f>IF(AND(AI$5&gt;$E56,AI$5&lt;=$F56),IF(AI$5=$E56+1,$C56,""),"")</f>
        <v/>
      </c>
      <c r="AJ56" s="34">
        <f>IF(AND(AJ$5&gt;$E56,AJ$5&lt;=$F56),IF(AJ$5=$E56+1,$C56,""),"")</f>
        <v/>
      </c>
      <c r="AK56" s="34">
        <f>IF(AND(AK$5&gt;$E56,AK$5&lt;=$F56),IF(AK$5=$E56+1,$C56,""),"")</f>
        <v/>
      </c>
      <c r="AL56" s="34">
        <f>IF(AND(AL$5&gt;$E56,AL$5&lt;=$F56),IF(AL$5=$E56+1,$C56,""),"")</f>
        <v/>
      </c>
      <c r="AM56" s="34">
        <f>IF(AND(AM$5&gt;$E56,AM$5&lt;=$F56),IF(AM$5=$E56+1,$C56,""),"")</f>
        <v/>
      </c>
      <c r="AN56" s="34">
        <f>IF(AND(AN$5&gt;$E56,AN$5&lt;=$F56),IF(AN$5=$E56+1,$C56,""),"")</f>
        <v/>
      </c>
      <c r="AO56" s="34">
        <f>IF(AND(AO$5&gt;$E56,AO$5&lt;=$F56),IF(AO$5=$E56+1,$C56,""),"")</f>
        <v/>
      </c>
      <c r="AP56" s="34">
        <f>IF(AND(AP$5&gt;$E56,AP$5&lt;=$F56),IF(AP$5=$E56+1,$C56,""),"")</f>
        <v/>
      </c>
      <c r="AQ56" s="34">
        <f>IF(AND(AQ$5&gt;$E56,AQ$5&lt;=$F56),IF(AQ$5=$E56+1,$C56,""),"")</f>
        <v/>
      </c>
      <c r="AR56" s="34">
        <f>IF(AND(AR$5&gt;$E56,AR$5&lt;=$F56),IF(AR$5=$E56+1,$C56,""),"")</f>
        <v/>
      </c>
      <c r="AS56" s="34">
        <f>IF(AND(AS$5&gt;$E56,AS$5&lt;=$F56),IF(AS$5=$E56+1,$C56,""),"")</f>
        <v/>
      </c>
      <c r="AT56" s="34">
        <f>IF(AND(AT$5&gt;$E56,AT$5&lt;=$F56),IF(AT$5=$E56+1,$C56,""),"")</f>
        <v/>
      </c>
      <c r="AU56" s="34">
        <f>IF(AND(AU$5&gt;$E56,AU$5&lt;=$F56),IF(AU$5=$E56+1,$C56,""),"")</f>
        <v/>
      </c>
      <c r="AV56" s="34">
        <f>IF(AND(AV$5&gt;$E56,AV$5&lt;=$F56),IF(AV$5=$E56+1,$C56,""),"")</f>
        <v/>
      </c>
      <c r="AW56" s="34">
        <f>IF(AND(AW$5&gt;$E56,AW$5&lt;=$F56),IF(AW$5=$E56+1,$C56,""),"")</f>
        <v/>
      </c>
      <c r="AX56" s="34">
        <f>IF(AND(AX$5&gt;$E56,AX$5&lt;=$F56),IF(AX$5=$E56+1,$C56,""),"")</f>
        <v/>
      </c>
      <c r="AY56" s="34">
        <f>IF(AND(AY$5&gt;$E56,AY$5&lt;=$F56),IF(AY$5=$E56+1,$C56,""),"")</f>
        <v/>
      </c>
      <c r="AZ56" s="34">
        <f>IF(AND(AZ$5&gt;$E56,AZ$5&lt;=$F56),IF(AZ$5=$E56+1,$C56,""),"")</f>
        <v/>
      </c>
      <c r="BA56" s="34">
        <f>IF(AND(BA$5&gt;$E56,BA$5&lt;=$F56),IF(BA$5=$E56+1,$C56,""),"")</f>
        <v/>
      </c>
      <c r="BB56" s="34">
        <f>IF(AND(BB$5&gt;$E56,BB$5&lt;=$F56),IF(BB$5=$E56+1,$C56,""),"")</f>
        <v/>
      </c>
      <c r="BC56" s="34">
        <f>IF(AND(BC$5&gt;$E56,BC$5&lt;=$F56),IF(BC$5=$E56+1,$C56,""),"")</f>
        <v/>
      </c>
      <c r="BD56" s="34">
        <f>IF(AND(BD$5&gt;$E56,BD$5&lt;=$F56),IF(BD$5=$E56+1,$C56,""),"")</f>
        <v/>
      </c>
      <c r="BE56" s="34">
        <f>IF(AND(BE$5&gt;$E56,BE$5&lt;=$F56),IF(BE$5=$E56+1,$C56,""),"")</f>
        <v/>
      </c>
      <c r="BF56" s="34">
        <f>IF(AND(BF$5&gt;$E56,BF$5&lt;=$F56),IF(BF$5=$E56+1,$C56,""),"")</f>
        <v/>
      </c>
      <c r="BG56" s="34">
        <f>IF(AND(BG$5&gt;$E56,BG$5&lt;=$F56),IF(BG$5=$E56+1,$C56,""),"")</f>
        <v/>
      </c>
      <c r="BH56" s="34">
        <f>IF(AND(BH$5&gt;$E56,BH$5&lt;=$F56),IF(BH$5=$E56+1,$C56,""),"")</f>
        <v/>
      </c>
      <c r="BI56" s="34">
        <f>IF(AND(BI$5&gt;$E56,BI$5&lt;=$F56),IF(BI$5=$E56+1,$C56,""),"")</f>
        <v/>
      </c>
      <c r="BJ56" s="34">
        <f>IF(AND(BJ$5&gt;$E56,BJ$5&lt;=$F56),IF(BJ$5=$E56+1,$C56,""),"")</f>
        <v/>
      </c>
      <c r="BK56" s="34">
        <f>IF(AND(BK$5&gt;$E56,BK$5&lt;=$F56),IF(BK$5=$E56+1,$C56,""),"")</f>
        <v/>
      </c>
      <c r="BL56" s="34">
        <f>IF(AND(BL$5&gt;$E56,BL$5&lt;=$F56),IF(BL$5=$E56+1,$C56,""),"")</f>
        <v/>
      </c>
      <c r="BM56" s="34">
        <f>IF(AND(BM$5&gt;$E56,BM$5&lt;=$F56),IF(BM$5=$E56+1,$C56,""),"")</f>
        <v/>
      </c>
      <c r="BN56" s="34">
        <f>IF(AND(BN$5&gt;$E56,BN$5&lt;=$F56),IF(BN$5=$E56+1,$C56,""),"")</f>
        <v/>
      </c>
      <c r="BO56" s="34">
        <f>IF(AND(BO$5&gt;$E56,BO$5&lt;=$F56),IF(BO$5=$E56+1,$C56,""),"")</f>
        <v/>
      </c>
      <c r="BP56" s="34">
        <f>IF(AND(BP$5&gt;$E56,BP$5&lt;=$F56),IF(BP$5=$E56+1,$C56,""),"")</f>
        <v/>
      </c>
      <c r="BQ56" s="34">
        <f>IF(AND(BQ$5&gt;$E56,BQ$5&lt;=$F56),IF(BQ$5=$E56+1,$C56,""),"")</f>
        <v/>
      </c>
      <c r="BR56" s="34">
        <f>IF(AND(BR$5&gt;$E56,BR$5&lt;=$F56),IF(BR$5=$E56+1,$C56,""),"")</f>
        <v/>
      </c>
      <c r="BS56" s="34">
        <f>IF(AND(BS$5&gt;$E56,BS$5&lt;=$F56),IF(BS$5=$E56+1,$C56,""),"")</f>
        <v/>
      </c>
      <c r="BT56" s="34">
        <f>IF(AND(BT$5&gt;$E56,BT$5&lt;=$F56),IF(BT$5=$E56+1,$C56,""),"")</f>
        <v/>
      </c>
      <c r="BU56" s="34">
        <f>IF(AND(BU$5&gt;$E56,BU$5&lt;=$F56),IF(BU$5=$E56+1,$C56,""),"")</f>
        <v/>
      </c>
      <c r="BV56" s="34">
        <f>IF(AND(BV$5&gt;$E56,BV$5&lt;=$F56),IF(BV$5=$E56+1,$C56,""),"")</f>
        <v/>
      </c>
      <c r="BW56" s="34">
        <f>IF(AND(BW$5&gt;$E56,BW$5&lt;=$F56),IF(BW$5=$E56+1,$C56,""),"")</f>
        <v/>
      </c>
      <c r="BX56" s="34">
        <f>IF(AND(BX$5&gt;$E56,BX$5&lt;=$F56),IF(BX$5=$E56+1,$C56,""),"")</f>
        <v/>
      </c>
      <c r="BY56" s="34">
        <f>IF(AND(BY$5&gt;$E56,BY$5&lt;=$F56),IF(BY$5=$E56+1,$C56,""),"")</f>
        <v/>
      </c>
      <c r="BZ56" s="34">
        <f>IF(AND(BZ$5&gt;$E56,BZ$5&lt;=$F56),IF(BZ$5=$E56+1,$C56,""),"")</f>
        <v/>
      </c>
      <c r="CA56" s="34">
        <f>IF(AND(CA$5&gt;$E56,CA$5&lt;=$F56),IF(CA$5=$E56+1,$C56,""),"")</f>
        <v/>
      </c>
      <c r="CB56" s="34">
        <f>IF(AND(CB$5&gt;$E56,CB$5&lt;=$F56),IF(CB$5=$E56+1,$C56,""),"")</f>
        <v/>
      </c>
      <c r="CC56" s="34">
        <f>IF(AND(CC$5&gt;$E56,CC$5&lt;=$F56),IF(CC$5=$E56+1,$C56,""),"")</f>
        <v/>
      </c>
      <c r="CD56" s="34">
        <f>IF(AND(CD$5&gt;$E56,CD$5&lt;=$F56),IF(CD$5=$E56+1,$C56,""),"")</f>
        <v/>
      </c>
      <c r="CE56" s="34">
        <f>IF(AND(CE$5&gt;$E56,CE$5&lt;=$F56),IF(CE$5=$E56+1,$C56,""),"")</f>
        <v/>
      </c>
      <c r="CF56" s="34">
        <f>IF(AND(CF$5&gt;$E56,CF$5&lt;=$F56),IF(CF$5=$E56+1,$C56,""),"")</f>
        <v/>
      </c>
      <c r="CG56" s="34">
        <f>IF(AND(CG$5&gt;$E56,CG$5&lt;=$F56),IF(CG$5=$E56+1,$C56,""),"")</f>
        <v/>
      </c>
      <c r="CH56" s="34">
        <f>IF(AND(CH$5&gt;$E56,CH$5&lt;=$F56),IF(CH$5=$E56+1,$C56,""),"")</f>
        <v/>
      </c>
      <c r="CI56" s="34">
        <f>IF(AND(CI$5&gt;$E56,CI$5&lt;=$F56),IF(CI$5=$E56+1,$C56,""),"")</f>
        <v/>
      </c>
      <c r="CJ56" s="34">
        <f>IF(AND(CJ$5&gt;$E56,CJ$5&lt;=$F56),IF(CJ$5=$E56+1,$C56,""),"")</f>
        <v/>
      </c>
      <c r="CK56" s="34">
        <f>IF(AND(CK$5&gt;$E56,CK$5&lt;=$F56),IF(CK$5=$E56+1,$C56,""),"")</f>
        <v/>
      </c>
      <c r="CL56" s="34">
        <f>IF(AND(CL$5&gt;$E56,CL$5&lt;=$F56),IF(CL$5=$E56+1,$C56,""),"")</f>
        <v/>
      </c>
      <c r="CM56" s="34">
        <f>IF(AND(CM$5&gt;$E56,CM$5&lt;=$F56),IF(CM$5=$E56+1,$C56,""),"")</f>
        <v/>
      </c>
      <c r="CN56" s="34">
        <f>IF(AND(CN$5&gt;$E56,CN$5&lt;=$F56),IF(CN$5=$E56+1,$C56,""),"")</f>
        <v/>
      </c>
      <c r="CO56" s="34">
        <f>IF(AND(CO$5&gt;$E56,CO$5&lt;=$F56),IF(CO$5=$E56+1,$C56,""),"")</f>
        <v/>
      </c>
      <c r="CP56" s="34">
        <f>IF(AND(CP$5&gt;$E56,CP$5&lt;=$F56),IF(CP$5=$E56+1,$C56,""),"")</f>
        <v/>
      </c>
      <c r="CQ56" s="34">
        <f>IF(AND(CQ$5&gt;$E56,CQ$5&lt;=$F56),IF(CQ$5=$E56+1,$C56,""),"")</f>
        <v/>
      </c>
      <c r="CR56" s="34">
        <f>IF(AND(CR$5&gt;$E56,CR$5&lt;=$F56),IF(CR$5=$E56+1,$C56,""),"")</f>
        <v/>
      </c>
      <c r="CS56" s="34">
        <f>IF(AND(CS$5&gt;$E56,CS$5&lt;=$F56),IF(CS$5=$E56+1,$C56,""),"")</f>
        <v/>
      </c>
      <c r="CT56" s="34">
        <f>IF(AND(CT$5&gt;$E56,CT$5&lt;=$F56),IF(CT$5=$E56+1,$C56,""),"")</f>
        <v/>
      </c>
      <c r="CU56" s="34">
        <f>IF(AND(CU$5&gt;$E56,CU$5&lt;=$F56),IF(CU$5=$E56+1,$C56,""),"")</f>
        <v/>
      </c>
      <c r="CV56" s="34">
        <f>IF(AND(CV$5&gt;$E56,CV$5&lt;=$F56),IF(CV$5=$E56+1,$C56,""),"")</f>
        <v/>
      </c>
      <c r="CW56" s="34">
        <f>IF(AND(CW$5&gt;$E56,CW$5&lt;=$F56),IF(CW$5=$E56+1,$C56,""),"")</f>
        <v/>
      </c>
      <c r="CX56" s="34">
        <f>IF(AND(CX$5&gt;$E56,CX$5&lt;=$F56),IF(CX$5=$E56+1,$C56,""),"")</f>
        <v/>
      </c>
      <c r="CY56" s="34">
        <f>IF(AND(CY$5&gt;$E56,CY$5&lt;=$F56),IF(CY$5=$E56+1,$C56,""),"")</f>
        <v/>
      </c>
      <c r="CZ56" s="34">
        <f>IF(AND(CZ$5&gt;$E56,CZ$5&lt;=$F56),IF(CZ$5=$E56+1,$C56,""),"")</f>
        <v/>
      </c>
      <c r="DA56" s="34">
        <f>IF(AND(DA$5&gt;$E56,DA$5&lt;=$F56),IF(DA$5=$E56+1,$C56,""),"")</f>
        <v/>
      </c>
      <c r="DB56" s="34">
        <f>IF(AND(DB$5&gt;$E56,DB$5&lt;=$F56),IF(DB$5=$E56+1,$C56,""),"")</f>
        <v/>
      </c>
      <c r="DC56" s="34">
        <f>IF(AND(DC$5&gt;$E56,DC$5&lt;=$F56),IF(DC$5=$E56+1,$C56,""),"")</f>
        <v/>
      </c>
      <c r="DD56" s="34">
        <f>IF(AND(DD$5&gt;$E56,DD$5&lt;=$F56),IF(DD$5=$E56+1,$C56,""),"")</f>
        <v/>
      </c>
      <c r="DE56" s="34">
        <f>IF(AND(DE$5&gt;$E56,DE$5&lt;=$F56),IF(DE$5=$E56+1,$C56,""),"")</f>
        <v/>
      </c>
      <c r="DF56" s="34">
        <f>IF(AND(DF$5&gt;$E56,DF$5&lt;=$F56),IF(DF$5=$E56+1,$C56,""),"")</f>
        <v/>
      </c>
      <c r="DG56" s="34">
        <f>IF(AND(DG$5&gt;$E56,DG$5&lt;=$F56),IF(DG$5=$E56+1,$C56,""),"")</f>
        <v/>
      </c>
      <c r="DH56" s="34">
        <f>IF(AND(DH$5&gt;$E56,DH$5&lt;=$F56),IF(DH$5=$E56+1,$C56,""),"")</f>
        <v/>
      </c>
      <c r="DI56" s="34">
        <f>IF(AND(DI$5&gt;$E56,DI$5&lt;=$F56),IF(DI$5=$E56+1,$C56,""),"")</f>
        <v/>
      </c>
      <c r="DJ56" s="34">
        <f>IF(AND(DJ$5&gt;$E56,DJ$5&lt;=$F56),IF(DJ$5=$E56+1,$C56,""),"")</f>
        <v/>
      </c>
      <c r="DK56" s="34">
        <f>IF(AND(DK$5&gt;$E56,DK$5&lt;=$F56),IF(DK$5=$E56+1,$C56,""),"")</f>
        <v/>
      </c>
      <c r="DL56" s="34">
        <f>IF(AND(DL$5&gt;$E56,DL$5&lt;=$F56),IF(DL$5=$E56+1,$C56,""),"")</f>
        <v/>
      </c>
      <c r="DM56" s="34">
        <f>IF(AND(DM$5&gt;$E56,DM$5&lt;=$F56),IF(DM$5=$E56+1,$C56,""),"")</f>
        <v/>
      </c>
      <c r="DN56" s="34">
        <f>IF(AND(DN$5&gt;$E56,DN$5&lt;=$F56),IF(DN$5=$E56+1,$C56,""),"")</f>
        <v/>
      </c>
      <c r="DO56" s="34">
        <f>IF(AND(DO$5&gt;$E56,DO$5&lt;=$F56),IF(DO$5=$E56+1,$C56,""),"")</f>
        <v/>
      </c>
      <c r="DP56" s="34">
        <f>IF(AND(DP$5&gt;$E56,DP$5&lt;=$F56),IF(DP$5=$E56+1,$C56,""),"")</f>
        <v/>
      </c>
      <c r="DQ56" s="34">
        <f>IF(AND(DQ$5&gt;$E56,DQ$5&lt;=$F56),IF(DQ$5=$E56+1,$C56,""),"")</f>
        <v/>
      </c>
      <c r="DR56" s="34">
        <f>IF(AND(DR$5&gt;$E56,DR$5&lt;=$F56),IF(DR$5=$E56+1,$C56,""),"")</f>
        <v/>
      </c>
      <c r="DS56" s="34">
        <f>IF(AND(DS$5&gt;$E56,DS$5&lt;=$F56),IF(DS$5=$E56+1,$C56,""),"")</f>
        <v/>
      </c>
      <c r="DT56" s="34">
        <f>IF(AND(DT$5&gt;$E56,DT$5&lt;=$F56),IF(DT$5=$E56+1,$C56,""),"")</f>
        <v/>
      </c>
      <c r="DU56" s="34">
        <f>IF(AND(DU$5&gt;$E56,DU$5&lt;=$F56),IF(DU$5=$E56+1,$C56,""),"")</f>
        <v/>
      </c>
      <c r="DV56" s="34">
        <f>IF(AND(DV$5&gt;$E56,DV$5&lt;=$F56),IF(DV$5=$E56+1,$C56,""),"")</f>
        <v/>
      </c>
      <c r="DW56" s="34">
        <f>IF(AND(DW$5&gt;$E56,DW$5&lt;=$F56),IF(DW$5=$E56+1,$C56,""),"")</f>
        <v/>
      </c>
      <c r="DX56" s="34">
        <f>IF(AND(DX$5&gt;$E56,DX$5&lt;=$F56),IF(DX$5=$E56+1,$C56,""),"")</f>
        <v/>
      </c>
      <c r="DY56" s="34">
        <f>IF(AND(DY$5&gt;$E56,DY$5&lt;=$F56),IF(DY$5=$E56+1,$C56,""),"")</f>
        <v/>
      </c>
      <c r="DZ56" s="34">
        <f>IF(AND(DZ$5&gt;$E56,DZ$5&lt;=$F56),IF(DZ$5=$E56+1,$C56,""),"")</f>
        <v/>
      </c>
      <c r="EA56" s="34">
        <f>IF(AND(EA$5&gt;$E56,EA$5&lt;=$F56),IF(EA$5=$E56+1,$C56,""),"")</f>
        <v/>
      </c>
      <c r="EB56" s="34">
        <f>IF(AND(EB$5&gt;$E56,EB$5&lt;=$F56),IF(EB$5=$E56+1,$C56,""),"")</f>
        <v/>
      </c>
      <c r="EC56" s="34">
        <f>IF(AND(EC$5&gt;$E56,EC$5&lt;=$F56),IF(EC$5=$E56+1,$C56,""),"")</f>
        <v/>
      </c>
      <c r="ED56" s="34">
        <f>IF(AND(ED$5&gt;$E56,ED$5&lt;=$F56),IF(ED$5=$E56+1,$C56,""),"")</f>
        <v/>
      </c>
      <c r="EE56" s="34">
        <f>IF(AND(EE$5&gt;$E56,EE$5&lt;=$F56),IF(EE$5=$E56+1,$C56,""),"")</f>
        <v/>
      </c>
      <c r="EF56" s="34">
        <f>IF(AND(EF$5&gt;$E56,EF$5&lt;=$F56),IF(EF$5=$E56+1,$C56,""),"")</f>
        <v/>
      </c>
      <c r="EG56" s="34">
        <f>IF(AND(EG$5&gt;$E56,EG$5&lt;=$F56),IF(EG$5=$E56+1,$C56,""),"")</f>
        <v/>
      </c>
      <c r="EH56" s="34">
        <f>IF(AND(EH$5&gt;$E56,EH$5&lt;=$F56),IF(EH$5=$E56+1,$C56,""),"")</f>
        <v/>
      </c>
      <c r="EI56" s="34">
        <f>IF(AND(EI$5&gt;$E56,EI$5&lt;=$F56),IF(EI$5=$E56+1,$C56,""),"")</f>
        <v/>
      </c>
      <c r="EJ56" s="34">
        <f>IF(AND(EJ$5&gt;$E56,EJ$5&lt;=$F56),IF(EJ$5=$E56+1,$C56,""),"")</f>
        <v/>
      </c>
      <c r="EK56" s="34">
        <f>IF(AND(EK$5&gt;$E56,EK$5&lt;=$F56),IF(EK$5=$E56+1,$C56,""),"")</f>
        <v/>
      </c>
      <c r="EL56" s="34">
        <f>IF(AND(EL$5&gt;$E56,EL$5&lt;=$F56),IF(EL$5=$E56+1,$C56,""),"")</f>
        <v/>
      </c>
      <c r="EM56" s="34">
        <f>IF(AND(EM$5&gt;$E56,EM$5&lt;=$F56),IF(EM$5=$E56+1,$C56,""),"")</f>
        <v/>
      </c>
      <c r="EN56" s="34">
        <f>IF(AND(EN$5&gt;$E56,EN$5&lt;=$F56),IF(EN$5=$E56+1,$C56,""),"")</f>
        <v/>
      </c>
      <c r="EO56" s="34">
        <f>IF(AND(EO$5&gt;$E56,EO$5&lt;=$F56),IF(EO$5=$E56+1,$C56,""),"")</f>
        <v/>
      </c>
      <c r="EP56" s="34">
        <f>IF(AND(EP$5&gt;$E56,EP$5&lt;=$F56),IF(EP$5=$E56+1,$C56,""),"")</f>
        <v/>
      </c>
      <c r="EQ56" s="34">
        <f>IF(AND(EQ$5&gt;$E56,EQ$5&lt;=$F56),IF(EQ$5=$E56+1,$C56,""),"")</f>
        <v/>
      </c>
      <c r="ER56" s="34">
        <f>IF(AND(ER$5&gt;$E56,ER$5&lt;=$F56),IF(ER$5=$E56+1,$C56,""),"")</f>
        <v/>
      </c>
      <c r="ES56" s="34">
        <f>IF(AND(ES$5&gt;$E56,ES$5&lt;=$F56),IF(ES$5=$E56+1,$C56,""),"")</f>
        <v/>
      </c>
      <c r="ET56" s="34">
        <f>IF(AND(ET$5&gt;$E56,ET$5&lt;=$F56),IF(ET$5=$E56+1,$C56,""),"")</f>
        <v/>
      </c>
      <c r="EU56" s="34">
        <f>IF(AND(EU$5&gt;$E56,EU$5&lt;=$F56),IF(EU$5=$E56+1,$C56,""),"")</f>
        <v/>
      </c>
      <c r="EV56" s="34">
        <f>IF(AND(EV$5&gt;$E56,EV$5&lt;=$F56),IF(EV$5=$E56+1,$C56,""),"")</f>
        <v/>
      </c>
      <c r="EW56" s="34">
        <f>IF(AND(EW$5&gt;$E56,EW$5&lt;=$F56),IF(EW$5=$E56+1,$C56,""),"")</f>
        <v/>
      </c>
      <c r="EX56" s="34">
        <f>IF(AND(EX$5&gt;$E56,EX$5&lt;=$F56),IF(EX$5=$E56+1,$C56,""),"")</f>
        <v/>
      </c>
      <c r="EY56" s="34">
        <f>IF(AND(EY$5&gt;$E56,EY$5&lt;=$F56),IF(EY$5=$E56+1,$C56,""),"")</f>
        <v/>
      </c>
      <c r="EZ56" s="34">
        <f>IF(AND(EZ$5&gt;$E56,EZ$5&lt;=$F56),IF(EZ$5=$E56+1,$C56,""),"")</f>
        <v/>
      </c>
      <c r="FA56" s="34">
        <f>IF(AND(FA$5&gt;$E56,FA$5&lt;=$F56),IF(FA$5=$E56+1,$C56,""),"")</f>
        <v/>
      </c>
    </row>
    <row r="57">
      <c r="A57" s="32">
        <f>Plan!A46</f>
        <v/>
      </c>
      <c r="B57" s="33">
        <f>Plan!C46</f>
        <v/>
      </c>
      <c r="C57" s="16">
        <f>Plan!D46</f>
        <v/>
      </c>
      <c r="D57" s="16">
        <f>Plan!I46</f>
        <v/>
      </c>
      <c r="E57" s="16">
        <f>Plan!K46</f>
        <v/>
      </c>
      <c r="F57" s="16">
        <f>Plan!L46</f>
        <v/>
      </c>
      <c r="G57" s="16">
        <f>Plan!O46</f>
        <v/>
      </c>
      <c r="H57" s="34">
        <f>IF(AND(H$5&gt;$E57,H$5&lt;=$F57),IF(H$5=$E57+1,$C57,""),"")</f>
        <v/>
      </c>
      <c r="I57" s="34">
        <f>IF(AND(I$5&gt;$E57,I$5&lt;=$F57),IF(I$5=$E57+1,$C57,""),"")</f>
        <v/>
      </c>
      <c r="J57" s="34">
        <f>IF(AND(J$5&gt;$E57,J$5&lt;=$F57),IF(J$5=$E57+1,$C57,""),"")</f>
        <v/>
      </c>
      <c r="K57" s="34">
        <f>IF(AND(K$5&gt;$E57,K$5&lt;=$F57),IF(K$5=$E57+1,$C57,""),"")</f>
        <v/>
      </c>
      <c r="L57" s="34">
        <f>IF(AND(L$5&gt;$E57,L$5&lt;=$F57),IF(L$5=$E57+1,$C57,""),"")</f>
        <v/>
      </c>
      <c r="M57" s="34">
        <f>IF(AND(M$5&gt;$E57,M$5&lt;=$F57),IF(M$5=$E57+1,$C57,""),"")</f>
        <v/>
      </c>
      <c r="N57" s="34">
        <f>IF(AND(N$5&gt;$E57,N$5&lt;=$F57),IF(N$5=$E57+1,$C57,""),"")</f>
        <v/>
      </c>
      <c r="O57" s="34">
        <f>IF(AND(O$5&gt;$E57,O$5&lt;=$F57),IF(O$5=$E57+1,$C57,""),"")</f>
        <v/>
      </c>
      <c r="P57" s="34">
        <f>IF(AND(P$5&gt;$E57,P$5&lt;=$F57),IF(P$5=$E57+1,$C57,""),"")</f>
        <v/>
      </c>
      <c r="Q57" s="34">
        <f>IF(AND(Q$5&gt;$E57,Q$5&lt;=$F57),IF(Q$5=$E57+1,$C57,""),"")</f>
        <v/>
      </c>
      <c r="R57" s="34">
        <f>IF(AND(R$5&gt;$E57,R$5&lt;=$F57),IF(R$5=$E57+1,$C57,""),"")</f>
        <v/>
      </c>
      <c r="S57" s="34">
        <f>IF(AND(S$5&gt;$E57,S$5&lt;=$F57),IF(S$5=$E57+1,$C57,""),"")</f>
        <v/>
      </c>
      <c r="T57" s="34">
        <f>IF(AND(T$5&gt;$E57,T$5&lt;=$F57),IF(T$5=$E57+1,$C57,""),"")</f>
        <v/>
      </c>
      <c r="U57" s="34">
        <f>IF(AND(U$5&gt;$E57,U$5&lt;=$F57),IF(U$5=$E57+1,$C57,""),"")</f>
        <v/>
      </c>
      <c r="V57" s="34">
        <f>IF(AND(V$5&gt;$E57,V$5&lt;=$F57),IF(V$5=$E57+1,$C57,""),"")</f>
        <v/>
      </c>
      <c r="W57" s="34">
        <f>IF(AND(W$5&gt;$E57,W$5&lt;=$F57),IF(W$5=$E57+1,$C57,""),"")</f>
        <v/>
      </c>
      <c r="X57" s="34">
        <f>IF(AND(X$5&gt;$E57,X$5&lt;=$F57),IF(X$5=$E57+1,$C57,""),"")</f>
        <v/>
      </c>
      <c r="Y57" s="34">
        <f>IF(AND(Y$5&gt;$E57,Y$5&lt;=$F57),IF(Y$5=$E57+1,$C57,""),"")</f>
        <v/>
      </c>
      <c r="Z57" s="34">
        <f>IF(AND(Z$5&gt;$E57,Z$5&lt;=$F57),IF(Z$5=$E57+1,$C57,""),"")</f>
        <v/>
      </c>
      <c r="AA57" s="34">
        <f>IF(AND(AA$5&gt;$E57,AA$5&lt;=$F57),IF(AA$5=$E57+1,$C57,""),"")</f>
        <v/>
      </c>
      <c r="AB57" s="34">
        <f>IF(AND(AB$5&gt;$E57,AB$5&lt;=$F57),IF(AB$5=$E57+1,$C57,""),"")</f>
        <v/>
      </c>
      <c r="AC57" s="34">
        <f>IF(AND(AC$5&gt;$E57,AC$5&lt;=$F57),IF(AC$5=$E57+1,$C57,""),"")</f>
        <v/>
      </c>
      <c r="AD57" s="34">
        <f>IF(AND(AD$5&gt;$E57,AD$5&lt;=$F57),IF(AD$5=$E57+1,$C57,""),"")</f>
        <v/>
      </c>
      <c r="AE57" s="34">
        <f>IF(AND(AE$5&gt;$E57,AE$5&lt;=$F57),IF(AE$5=$E57+1,$C57,""),"")</f>
        <v/>
      </c>
      <c r="AF57" s="34">
        <f>IF(AND(AF$5&gt;$E57,AF$5&lt;=$F57),IF(AF$5=$E57+1,$C57,""),"")</f>
        <v/>
      </c>
      <c r="AG57" s="34">
        <f>IF(AND(AG$5&gt;$E57,AG$5&lt;=$F57),IF(AG$5=$E57+1,$C57,""),"")</f>
        <v/>
      </c>
      <c r="AH57" s="34">
        <f>IF(AND(AH$5&gt;$E57,AH$5&lt;=$F57),IF(AH$5=$E57+1,$C57,""),"")</f>
        <v/>
      </c>
      <c r="AI57" s="34">
        <f>IF(AND(AI$5&gt;$E57,AI$5&lt;=$F57),IF(AI$5=$E57+1,$C57,""),"")</f>
        <v/>
      </c>
      <c r="AJ57" s="34">
        <f>IF(AND(AJ$5&gt;$E57,AJ$5&lt;=$F57),IF(AJ$5=$E57+1,$C57,""),"")</f>
        <v/>
      </c>
      <c r="AK57" s="34">
        <f>IF(AND(AK$5&gt;$E57,AK$5&lt;=$F57),IF(AK$5=$E57+1,$C57,""),"")</f>
        <v/>
      </c>
      <c r="AL57" s="34">
        <f>IF(AND(AL$5&gt;$E57,AL$5&lt;=$F57),IF(AL$5=$E57+1,$C57,""),"")</f>
        <v/>
      </c>
      <c r="AM57" s="34">
        <f>IF(AND(AM$5&gt;$E57,AM$5&lt;=$F57),IF(AM$5=$E57+1,$C57,""),"")</f>
        <v/>
      </c>
      <c r="AN57" s="34">
        <f>IF(AND(AN$5&gt;$E57,AN$5&lt;=$F57),IF(AN$5=$E57+1,$C57,""),"")</f>
        <v/>
      </c>
      <c r="AO57" s="34">
        <f>IF(AND(AO$5&gt;$E57,AO$5&lt;=$F57),IF(AO$5=$E57+1,$C57,""),"")</f>
        <v/>
      </c>
      <c r="AP57" s="34">
        <f>IF(AND(AP$5&gt;$E57,AP$5&lt;=$F57),IF(AP$5=$E57+1,$C57,""),"")</f>
        <v/>
      </c>
      <c r="AQ57" s="34">
        <f>IF(AND(AQ$5&gt;$E57,AQ$5&lt;=$F57),IF(AQ$5=$E57+1,$C57,""),"")</f>
        <v/>
      </c>
      <c r="AR57" s="34">
        <f>IF(AND(AR$5&gt;$E57,AR$5&lt;=$F57),IF(AR$5=$E57+1,$C57,""),"")</f>
        <v/>
      </c>
      <c r="AS57" s="34">
        <f>IF(AND(AS$5&gt;$E57,AS$5&lt;=$F57),IF(AS$5=$E57+1,$C57,""),"")</f>
        <v/>
      </c>
      <c r="AT57" s="34">
        <f>IF(AND(AT$5&gt;$E57,AT$5&lt;=$F57),IF(AT$5=$E57+1,$C57,""),"")</f>
        <v/>
      </c>
      <c r="AU57" s="34">
        <f>IF(AND(AU$5&gt;$E57,AU$5&lt;=$F57),IF(AU$5=$E57+1,$C57,""),"")</f>
        <v/>
      </c>
      <c r="AV57" s="34">
        <f>IF(AND(AV$5&gt;$E57,AV$5&lt;=$F57),IF(AV$5=$E57+1,$C57,""),"")</f>
        <v/>
      </c>
      <c r="AW57" s="34">
        <f>IF(AND(AW$5&gt;$E57,AW$5&lt;=$F57),IF(AW$5=$E57+1,$C57,""),"")</f>
        <v/>
      </c>
      <c r="AX57" s="34">
        <f>IF(AND(AX$5&gt;$E57,AX$5&lt;=$F57),IF(AX$5=$E57+1,$C57,""),"")</f>
        <v/>
      </c>
      <c r="AY57" s="34">
        <f>IF(AND(AY$5&gt;$E57,AY$5&lt;=$F57),IF(AY$5=$E57+1,$C57,""),"")</f>
        <v/>
      </c>
      <c r="AZ57" s="34">
        <f>IF(AND(AZ$5&gt;$E57,AZ$5&lt;=$F57),IF(AZ$5=$E57+1,$C57,""),"")</f>
        <v/>
      </c>
      <c r="BA57" s="34">
        <f>IF(AND(BA$5&gt;$E57,BA$5&lt;=$F57),IF(BA$5=$E57+1,$C57,""),"")</f>
        <v/>
      </c>
      <c r="BB57" s="34">
        <f>IF(AND(BB$5&gt;$E57,BB$5&lt;=$F57),IF(BB$5=$E57+1,$C57,""),"")</f>
        <v/>
      </c>
      <c r="BC57" s="34">
        <f>IF(AND(BC$5&gt;$E57,BC$5&lt;=$F57),IF(BC$5=$E57+1,$C57,""),"")</f>
        <v/>
      </c>
      <c r="BD57" s="34">
        <f>IF(AND(BD$5&gt;$E57,BD$5&lt;=$F57),IF(BD$5=$E57+1,$C57,""),"")</f>
        <v/>
      </c>
      <c r="BE57" s="34">
        <f>IF(AND(BE$5&gt;$E57,BE$5&lt;=$F57),IF(BE$5=$E57+1,$C57,""),"")</f>
        <v/>
      </c>
      <c r="BF57" s="34">
        <f>IF(AND(BF$5&gt;$E57,BF$5&lt;=$F57),IF(BF$5=$E57+1,$C57,""),"")</f>
        <v/>
      </c>
      <c r="BG57" s="34">
        <f>IF(AND(BG$5&gt;$E57,BG$5&lt;=$F57),IF(BG$5=$E57+1,$C57,""),"")</f>
        <v/>
      </c>
      <c r="BH57" s="34">
        <f>IF(AND(BH$5&gt;$E57,BH$5&lt;=$F57),IF(BH$5=$E57+1,$C57,""),"")</f>
        <v/>
      </c>
      <c r="BI57" s="34">
        <f>IF(AND(BI$5&gt;$E57,BI$5&lt;=$F57),IF(BI$5=$E57+1,$C57,""),"")</f>
        <v/>
      </c>
      <c r="BJ57" s="34">
        <f>IF(AND(BJ$5&gt;$E57,BJ$5&lt;=$F57),IF(BJ$5=$E57+1,$C57,""),"")</f>
        <v/>
      </c>
      <c r="BK57" s="34">
        <f>IF(AND(BK$5&gt;$E57,BK$5&lt;=$F57),IF(BK$5=$E57+1,$C57,""),"")</f>
        <v/>
      </c>
      <c r="BL57" s="34">
        <f>IF(AND(BL$5&gt;$E57,BL$5&lt;=$F57),IF(BL$5=$E57+1,$C57,""),"")</f>
        <v/>
      </c>
      <c r="BM57" s="34">
        <f>IF(AND(BM$5&gt;$E57,BM$5&lt;=$F57),IF(BM$5=$E57+1,$C57,""),"")</f>
        <v/>
      </c>
      <c r="BN57" s="34">
        <f>IF(AND(BN$5&gt;$E57,BN$5&lt;=$F57),IF(BN$5=$E57+1,$C57,""),"")</f>
        <v/>
      </c>
      <c r="BO57" s="34">
        <f>IF(AND(BO$5&gt;$E57,BO$5&lt;=$F57),IF(BO$5=$E57+1,$C57,""),"")</f>
        <v/>
      </c>
      <c r="BP57" s="34">
        <f>IF(AND(BP$5&gt;$E57,BP$5&lt;=$F57),IF(BP$5=$E57+1,$C57,""),"")</f>
        <v/>
      </c>
      <c r="BQ57" s="34">
        <f>IF(AND(BQ$5&gt;$E57,BQ$5&lt;=$F57),IF(BQ$5=$E57+1,$C57,""),"")</f>
        <v/>
      </c>
      <c r="BR57" s="34">
        <f>IF(AND(BR$5&gt;$E57,BR$5&lt;=$F57),IF(BR$5=$E57+1,$C57,""),"")</f>
        <v/>
      </c>
      <c r="BS57" s="34">
        <f>IF(AND(BS$5&gt;$E57,BS$5&lt;=$F57),IF(BS$5=$E57+1,$C57,""),"")</f>
        <v/>
      </c>
      <c r="BT57" s="34">
        <f>IF(AND(BT$5&gt;$E57,BT$5&lt;=$F57),IF(BT$5=$E57+1,$C57,""),"")</f>
        <v/>
      </c>
      <c r="BU57" s="34">
        <f>IF(AND(BU$5&gt;$E57,BU$5&lt;=$F57),IF(BU$5=$E57+1,$C57,""),"")</f>
        <v/>
      </c>
      <c r="BV57" s="34">
        <f>IF(AND(BV$5&gt;$E57,BV$5&lt;=$F57),IF(BV$5=$E57+1,$C57,""),"")</f>
        <v/>
      </c>
      <c r="BW57" s="34">
        <f>IF(AND(BW$5&gt;$E57,BW$5&lt;=$F57),IF(BW$5=$E57+1,$C57,""),"")</f>
        <v/>
      </c>
      <c r="BX57" s="34">
        <f>IF(AND(BX$5&gt;$E57,BX$5&lt;=$F57),IF(BX$5=$E57+1,$C57,""),"")</f>
        <v/>
      </c>
      <c r="BY57" s="34">
        <f>IF(AND(BY$5&gt;$E57,BY$5&lt;=$F57),IF(BY$5=$E57+1,$C57,""),"")</f>
        <v/>
      </c>
      <c r="BZ57" s="34">
        <f>IF(AND(BZ$5&gt;$E57,BZ$5&lt;=$F57),IF(BZ$5=$E57+1,$C57,""),"")</f>
        <v/>
      </c>
      <c r="CA57" s="34">
        <f>IF(AND(CA$5&gt;$E57,CA$5&lt;=$F57),IF(CA$5=$E57+1,$C57,""),"")</f>
        <v/>
      </c>
      <c r="CB57" s="34">
        <f>IF(AND(CB$5&gt;$E57,CB$5&lt;=$F57),IF(CB$5=$E57+1,$C57,""),"")</f>
        <v/>
      </c>
      <c r="CC57" s="34">
        <f>IF(AND(CC$5&gt;$E57,CC$5&lt;=$F57),IF(CC$5=$E57+1,$C57,""),"")</f>
        <v/>
      </c>
      <c r="CD57" s="34">
        <f>IF(AND(CD$5&gt;$E57,CD$5&lt;=$F57),IF(CD$5=$E57+1,$C57,""),"")</f>
        <v/>
      </c>
      <c r="CE57" s="34">
        <f>IF(AND(CE$5&gt;$E57,CE$5&lt;=$F57),IF(CE$5=$E57+1,$C57,""),"")</f>
        <v/>
      </c>
      <c r="CF57" s="34">
        <f>IF(AND(CF$5&gt;$E57,CF$5&lt;=$F57),IF(CF$5=$E57+1,$C57,""),"")</f>
        <v/>
      </c>
      <c r="CG57" s="34">
        <f>IF(AND(CG$5&gt;$E57,CG$5&lt;=$F57),IF(CG$5=$E57+1,$C57,""),"")</f>
        <v/>
      </c>
      <c r="CH57" s="34">
        <f>IF(AND(CH$5&gt;$E57,CH$5&lt;=$F57),IF(CH$5=$E57+1,$C57,""),"")</f>
        <v/>
      </c>
      <c r="CI57" s="34">
        <f>IF(AND(CI$5&gt;$E57,CI$5&lt;=$F57),IF(CI$5=$E57+1,$C57,""),"")</f>
        <v/>
      </c>
      <c r="CJ57" s="34">
        <f>IF(AND(CJ$5&gt;$E57,CJ$5&lt;=$F57),IF(CJ$5=$E57+1,$C57,""),"")</f>
        <v/>
      </c>
      <c r="CK57" s="34">
        <f>IF(AND(CK$5&gt;$E57,CK$5&lt;=$F57),IF(CK$5=$E57+1,$C57,""),"")</f>
        <v/>
      </c>
      <c r="CL57" s="34">
        <f>IF(AND(CL$5&gt;$E57,CL$5&lt;=$F57),IF(CL$5=$E57+1,$C57,""),"")</f>
        <v/>
      </c>
      <c r="CM57" s="34">
        <f>IF(AND(CM$5&gt;$E57,CM$5&lt;=$F57),IF(CM$5=$E57+1,$C57,""),"")</f>
        <v/>
      </c>
      <c r="CN57" s="34">
        <f>IF(AND(CN$5&gt;$E57,CN$5&lt;=$F57),IF(CN$5=$E57+1,$C57,""),"")</f>
        <v/>
      </c>
      <c r="CO57" s="34">
        <f>IF(AND(CO$5&gt;$E57,CO$5&lt;=$F57),IF(CO$5=$E57+1,$C57,""),"")</f>
        <v/>
      </c>
      <c r="CP57" s="34">
        <f>IF(AND(CP$5&gt;$E57,CP$5&lt;=$F57),IF(CP$5=$E57+1,$C57,""),"")</f>
        <v/>
      </c>
      <c r="CQ57" s="34">
        <f>IF(AND(CQ$5&gt;$E57,CQ$5&lt;=$F57),IF(CQ$5=$E57+1,$C57,""),"")</f>
        <v/>
      </c>
      <c r="CR57" s="34">
        <f>IF(AND(CR$5&gt;$E57,CR$5&lt;=$F57),IF(CR$5=$E57+1,$C57,""),"")</f>
        <v/>
      </c>
      <c r="CS57" s="34">
        <f>IF(AND(CS$5&gt;$E57,CS$5&lt;=$F57),IF(CS$5=$E57+1,$C57,""),"")</f>
        <v/>
      </c>
      <c r="CT57" s="34">
        <f>IF(AND(CT$5&gt;$E57,CT$5&lt;=$F57),IF(CT$5=$E57+1,$C57,""),"")</f>
        <v/>
      </c>
      <c r="CU57" s="34">
        <f>IF(AND(CU$5&gt;$E57,CU$5&lt;=$F57),IF(CU$5=$E57+1,$C57,""),"")</f>
        <v/>
      </c>
      <c r="CV57" s="34">
        <f>IF(AND(CV$5&gt;$E57,CV$5&lt;=$F57),IF(CV$5=$E57+1,$C57,""),"")</f>
        <v/>
      </c>
      <c r="CW57" s="34">
        <f>IF(AND(CW$5&gt;$E57,CW$5&lt;=$F57),IF(CW$5=$E57+1,$C57,""),"")</f>
        <v/>
      </c>
      <c r="CX57" s="34">
        <f>IF(AND(CX$5&gt;$E57,CX$5&lt;=$F57),IF(CX$5=$E57+1,$C57,""),"")</f>
        <v/>
      </c>
      <c r="CY57" s="34">
        <f>IF(AND(CY$5&gt;$E57,CY$5&lt;=$F57),IF(CY$5=$E57+1,$C57,""),"")</f>
        <v/>
      </c>
      <c r="CZ57" s="34">
        <f>IF(AND(CZ$5&gt;$E57,CZ$5&lt;=$F57),IF(CZ$5=$E57+1,$C57,""),"")</f>
        <v/>
      </c>
      <c r="DA57" s="34">
        <f>IF(AND(DA$5&gt;$E57,DA$5&lt;=$F57),IF(DA$5=$E57+1,$C57,""),"")</f>
        <v/>
      </c>
      <c r="DB57" s="34">
        <f>IF(AND(DB$5&gt;$E57,DB$5&lt;=$F57),IF(DB$5=$E57+1,$C57,""),"")</f>
        <v/>
      </c>
      <c r="DC57" s="34">
        <f>IF(AND(DC$5&gt;$E57,DC$5&lt;=$F57),IF(DC$5=$E57+1,$C57,""),"")</f>
        <v/>
      </c>
      <c r="DD57" s="34">
        <f>IF(AND(DD$5&gt;$E57,DD$5&lt;=$F57),IF(DD$5=$E57+1,$C57,""),"")</f>
        <v/>
      </c>
      <c r="DE57" s="34">
        <f>IF(AND(DE$5&gt;$E57,DE$5&lt;=$F57),IF(DE$5=$E57+1,$C57,""),"")</f>
        <v/>
      </c>
      <c r="DF57" s="34">
        <f>IF(AND(DF$5&gt;$E57,DF$5&lt;=$F57),IF(DF$5=$E57+1,$C57,""),"")</f>
        <v/>
      </c>
      <c r="DG57" s="34">
        <f>IF(AND(DG$5&gt;$E57,DG$5&lt;=$F57),IF(DG$5=$E57+1,$C57,""),"")</f>
        <v/>
      </c>
      <c r="DH57" s="34">
        <f>IF(AND(DH$5&gt;$E57,DH$5&lt;=$F57),IF(DH$5=$E57+1,$C57,""),"")</f>
        <v/>
      </c>
      <c r="DI57" s="34">
        <f>IF(AND(DI$5&gt;$E57,DI$5&lt;=$F57),IF(DI$5=$E57+1,$C57,""),"")</f>
        <v/>
      </c>
      <c r="DJ57" s="34">
        <f>IF(AND(DJ$5&gt;$E57,DJ$5&lt;=$F57),IF(DJ$5=$E57+1,$C57,""),"")</f>
        <v/>
      </c>
      <c r="DK57" s="34">
        <f>IF(AND(DK$5&gt;$E57,DK$5&lt;=$F57),IF(DK$5=$E57+1,$C57,""),"")</f>
        <v/>
      </c>
      <c r="DL57" s="34">
        <f>IF(AND(DL$5&gt;$E57,DL$5&lt;=$F57),IF(DL$5=$E57+1,$C57,""),"")</f>
        <v/>
      </c>
      <c r="DM57" s="34">
        <f>IF(AND(DM$5&gt;$E57,DM$5&lt;=$F57),IF(DM$5=$E57+1,$C57,""),"")</f>
        <v/>
      </c>
      <c r="DN57" s="34">
        <f>IF(AND(DN$5&gt;$E57,DN$5&lt;=$F57),IF(DN$5=$E57+1,$C57,""),"")</f>
        <v/>
      </c>
      <c r="DO57" s="34">
        <f>IF(AND(DO$5&gt;$E57,DO$5&lt;=$F57),IF(DO$5=$E57+1,$C57,""),"")</f>
        <v/>
      </c>
      <c r="DP57" s="34">
        <f>IF(AND(DP$5&gt;$E57,DP$5&lt;=$F57),IF(DP$5=$E57+1,$C57,""),"")</f>
        <v/>
      </c>
      <c r="DQ57" s="34">
        <f>IF(AND(DQ$5&gt;$E57,DQ$5&lt;=$F57),IF(DQ$5=$E57+1,$C57,""),"")</f>
        <v/>
      </c>
      <c r="DR57" s="34">
        <f>IF(AND(DR$5&gt;$E57,DR$5&lt;=$F57),IF(DR$5=$E57+1,$C57,""),"")</f>
        <v/>
      </c>
      <c r="DS57" s="34">
        <f>IF(AND(DS$5&gt;$E57,DS$5&lt;=$F57),IF(DS$5=$E57+1,$C57,""),"")</f>
        <v/>
      </c>
      <c r="DT57" s="34">
        <f>IF(AND(DT$5&gt;$E57,DT$5&lt;=$F57),IF(DT$5=$E57+1,$C57,""),"")</f>
        <v/>
      </c>
      <c r="DU57" s="34">
        <f>IF(AND(DU$5&gt;$E57,DU$5&lt;=$F57),IF(DU$5=$E57+1,$C57,""),"")</f>
        <v/>
      </c>
      <c r="DV57" s="34">
        <f>IF(AND(DV$5&gt;$E57,DV$5&lt;=$F57),IF(DV$5=$E57+1,$C57,""),"")</f>
        <v/>
      </c>
      <c r="DW57" s="34">
        <f>IF(AND(DW$5&gt;$E57,DW$5&lt;=$F57),IF(DW$5=$E57+1,$C57,""),"")</f>
        <v/>
      </c>
      <c r="DX57" s="34">
        <f>IF(AND(DX$5&gt;$E57,DX$5&lt;=$F57),IF(DX$5=$E57+1,$C57,""),"")</f>
        <v/>
      </c>
      <c r="DY57" s="34">
        <f>IF(AND(DY$5&gt;$E57,DY$5&lt;=$F57),IF(DY$5=$E57+1,$C57,""),"")</f>
        <v/>
      </c>
      <c r="DZ57" s="34">
        <f>IF(AND(DZ$5&gt;$E57,DZ$5&lt;=$F57),IF(DZ$5=$E57+1,$C57,""),"")</f>
        <v/>
      </c>
      <c r="EA57" s="34">
        <f>IF(AND(EA$5&gt;$E57,EA$5&lt;=$F57),IF(EA$5=$E57+1,$C57,""),"")</f>
        <v/>
      </c>
      <c r="EB57" s="34">
        <f>IF(AND(EB$5&gt;$E57,EB$5&lt;=$F57),IF(EB$5=$E57+1,$C57,""),"")</f>
        <v/>
      </c>
      <c r="EC57" s="34">
        <f>IF(AND(EC$5&gt;$E57,EC$5&lt;=$F57),IF(EC$5=$E57+1,$C57,""),"")</f>
        <v/>
      </c>
      <c r="ED57" s="34">
        <f>IF(AND(ED$5&gt;$E57,ED$5&lt;=$F57),IF(ED$5=$E57+1,$C57,""),"")</f>
        <v/>
      </c>
      <c r="EE57" s="34">
        <f>IF(AND(EE$5&gt;$E57,EE$5&lt;=$F57),IF(EE$5=$E57+1,$C57,""),"")</f>
        <v/>
      </c>
      <c r="EF57" s="34">
        <f>IF(AND(EF$5&gt;$E57,EF$5&lt;=$F57),IF(EF$5=$E57+1,$C57,""),"")</f>
        <v/>
      </c>
      <c r="EG57" s="34">
        <f>IF(AND(EG$5&gt;$E57,EG$5&lt;=$F57),IF(EG$5=$E57+1,$C57,""),"")</f>
        <v/>
      </c>
      <c r="EH57" s="34">
        <f>IF(AND(EH$5&gt;$E57,EH$5&lt;=$F57),IF(EH$5=$E57+1,$C57,""),"")</f>
        <v/>
      </c>
      <c r="EI57" s="34">
        <f>IF(AND(EI$5&gt;$E57,EI$5&lt;=$F57),IF(EI$5=$E57+1,$C57,""),"")</f>
        <v/>
      </c>
      <c r="EJ57" s="34">
        <f>IF(AND(EJ$5&gt;$E57,EJ$5&lt;=$F57),IF(EJ$5=$E57+1,$C57,""),"")</f>
        <v/>
      </c>
      <c r="EK57" s="34">
        <f>IF(AND(EK$5&gt;$E57,EK$5&lt;=$F57),IF(EK$5=$E57+1,$C57,""),"")</f>
        <v/>
      </c>
      <c r="EL57" s="34">
        <f>IF(AND(EL$5&gt;$E57,EL$5&lt;=$F57),IF(EL$5=$E57+1,$C57,""),"")</f>
        <v/>
      </c>
      <c r="EM57" s="34">
        <f>IF(AND(EM$5&gt;$E57,EM$5&lt;=$F57),IF(EM$5=$E57+1,$C57,""),"")</f>
        <v/>
      </c>
      <c r="EN57" s="34">
        <f>IF(AND(EN$5&gt;$E57,EN$5&lt;=$F57),IF(EN$5=$E57+1,$C57,""),"")</f>
        <v/>
      </c>
      <c r="EO57" s="34">
        <f>IF(AND(EO$5&gt;$E57,EO$5&lt;=$F57),IF(EO$5=$E57+1,$C57,""),"")</f>
        <v/>
      </c>
      <c r="EP57" s="34">
        <f>IF(AND(EP$5&gt;$E57,EP$5&lt;=$F57),IF(EP$5=$E57+1,$C57,""),"")</f>
        <v/>
      </c>
      <c r="EQ57" s="34">
        <f>IF(AND(EQ$5&gt;$E57,EQ$5&lt;=$F57),IF(EQ$5=$E57+1,$C57,""),"")</f>
        <v/>
      </c>
      <c r="ER57" s="34">
        <f>IF(AND(ER$5&gt;$E57,ER$5&lt;=$F57),IF(ER$5=$E57+1,$C57,""),"")</f>
        <v/>
      </c>
      <c r="ES57" s="34">
        <f>IF(AND(ES$5&gt;$E57,ES$5&lt;=$F57),IF(ES$5=$E57+1,$C57,""),"")</f>
        <v/>
      </c>
      <c r="ET57" s="34">
        <f>IF(AND(ET$5&gt;$E57,ET$5&lt;=$F57),IF(ET$5=$E57+1,$C57,""),"")</f>
        <v/>
      </c>
      <c r="EU57" s="34">
        <f>IF(AND(EU$5&gt;$E57,EU$5&lt;=$F57),IF(EU$5=$E57+1,$C57,""),"")</f>
        <v/>
      </c>
      <c r="EV57" s="34">
        <f>IF(AND(EV$5&gt;$E57,EV$5&lt;=$F57),IF(EV$5=$E57+1,$C57,""),"")</f>
        <v/>
      </c>
      <c r="EW57" s="34">
        <f>IF(AND(EW$5&gt;$E57,EW$5&lt;=$F57),IF(EW$5=$E57+1,$C57,""),"")</f>
        <v/>
      </c>
      <c r="EX57" s="34">
        <f>IF(AND(EX$5&gt;$E57,EX$5&lt;=$F57),IF(EX$5=$E57+1,$C57,""),"")</f>
        <v/>
      </c>
      <c r="EY57" s="34">
        <f>IF(AND(EY$5&gt;$E57,EY$5&lt;=$F57),IF(EY$5=$E57+1,$C57,""),"")</f>
        <v/>
      </c>
      <c r="EZ57" s="34">
        <f>IF(AND(EZ$5&gt;$E57,EZ$5&lt;=$F57),IF(EZ$5=$E57+1,$C57,""),"")</f>
        <v/>
      </c>
      <c r="FA57" s="34">
        <f>IF(AND(FA$5&gt;$E57,FA$5&lt;=$F57),IF(FA$5=$E57+1,$C57,""),"")</f>
        <v/>
      </c>
    </row>
    <row r="58">
      <c r="A58" s="32">
        <f>Plan!A47</f>
        <v/>
      </c>
      <c r="B58" s="33">
        <f>Plan!C47</f>
        <v/>
      </c>
      <c r="C58" s="16">
        <f>Plan!D47</f>
        <v/>
      </c>
      <c r="D58" s="16">
        <f>Plan!I47</f>
        <v/>
      </c>
      <c r="E58" s="16">
        <f>Plan!K47</f>
        <v/>
      </c>
      <c r="F58" s="16">
        <f>Plan!L47</f>
        <v/>
      </c>
      <c r="G58" s="16">
        <f>Plan!O47</f>
        <v/>
      </c>
      <c r="H58" s="34">
        <f>IF(AND(H$5&gt;$E58,H$5&lt;=$F58),IF(H$5=$E58+1,$C58,""),"")</f>
        <v/>
      </c>
      <c r="I58" s="34">
        <f>IF(AND(I$5&gt;$E58,I$5&lt;=$F58),IF(I$5=$E58+1,$C58,""),"")</f>
        <v/>
      </c>
      <c r="J58" s="34">
        <f>IF(AND(J$5&gt;$E58,J$5&lt;=$F58),IF(J$5=$E58+1,$C58,""),"")</f>
        <v/>
      </c>
      <c r="K58" s="34">
        <f>IF(AND(K$5&gt;$E58,K$5&lt;=$F58),IF(K$5=$E58+1,$C58,""),"")</f>
        <v/>
      </c>
      <c r="L58" s="34">
        <f>IF(AND(L$5&gt;$E58,L$5&lt;=$F58),IF(L$5=$E58+1,$C58,""),"")</f>
        <v/>
      </c>
      <c r="M58" s="34">
        <f>IF(AND(M$5&gt;$E58,M$5&lt;=$F58),IF(M$5=$E58+1,$C58,""),"")</f>
        <v/>
      </c>
      <c r="N58" s="34">
        <f>IF(AND(N$5&gt;$E58,N$5&lt;=$F58),IF(N$5=$E58+1,$C58,""),"")</f>
        <v/>
      </c>
      <c r="O58" s="34">
        <f>IF(AND(O$5&gt;$E58,O$5&lt;=$F58),IF(O$5=$E58+1,$C58,""),"")</f>
        <v/>
      </c>
      <c r="P58" s="34">
        <f>IF(AND(P$5&gt;$E58,P$5&lt;=$F58),IF(P$5=$E58+1,$C58,""),"")</f>
        <v/>
      </c>
      <c r="Q58" s="34">
        <f>IF(AND(Q$5&gt;$E58,Q$5&lt;=$F58),IF(Q$5=$E58+1,$C58,""),"")</f>
        <v/>
      </c>
      <c r="R58" s="34">
        <f>IF(AND(R$5&gt;$E58,R$5&lt;=$F58),IF(R$5=$E58+1,$C58,""),"")</f>
        <v/>
      </c>
      <c r="S58" s="34">
        <f>IF(AND(S$5&gt;$E58,S$5&lt;=$F58),IF(S$5=$E58+1,$C58,""),"")</f>
        <v/>
      </c>
      <c r="T58" s="34">
        <f>IF(AND(T$5&gt;$E58,T$5&lt;=$F58),IF(T$5=$E58+1,$C58,""),"")</f>
        <v/>
      </c>
      <c r="U58" s="34">
        <f>IF(AND(U$5&gt;$E58,U$5&lt;=$F58),IF(U$5=$E58+1,$C58,""),"")</f>
        <v/>
      </c>
      <c r="V58" s="34">
        <f>IF(AND(V$5&gt;$E58,V$5&lt;=$F58),IF(V$5=$E58+1,$C58,""),"")</f>
        <v/>
      </c>
      <c r="W58" s="34">
        <f>IF(AND(W$5&gt;$E58,W$5&lt;=$F58),IF(W$5=$E58+1,$C58,""),"")</f>
        <v/>
      </c>
      <c r="X58" s="34">
        <f>IF(AND(X$5&gt;$E58,X$5&lt;=$F58),IF(X$5=$E58+1,$C58,""),"")</f>
        <v/>
      </c>
      <c r="Y58" s="34">
        <f>IF(AND(Y$5&gt;$E58,Y$5&lt;=$F58),IF(Y$5=$E58+1,$C58,""),"")</f>
        <v/>
      </c>
      <c r="Z58" s="34">
        <f>IF(AND(Z$5&gt;$E58,Z$5&lt;=$F58),IF(Z$5=$E58+1,$C58,""),"")</f>
        <v/>
      </c>
      <c r="AA58" s="34">
        <f>IF(AND(AA$5&gt;$E58,AA$5&lt;=$F58),IF(AA$5=$E58+1,$C58,""),"")</f>
        <v/>
      </c>
      <c r="AB58" s="34">
        <f>IF(AND(AB$5&gt;$E58,AB$5&lt;=$F58),IF(AB$5=$E58+1,$C58,""),"")</f>
        <v/>
      </c>
      <c r="AC58" s="34">
        <f>IF(AND(AC$5&gt;$E58,AC$5&lt;=$F58),IF(AC$5=$E58+1,$C58,""),"")</f>
        <v/>
      </c>
      <c r="AD58" s="34">
        <f>IF(AND(AD$5&gt;$E58,AD$5&lt;=$F58),IF(AD$5=$E58+1,$C58,""),"")</f>
        <v/>
      </c>
      <c r="AE58" s="34">
        <f>IF(AND(AE$5&gt;$E58,AE$5&lt;=$F58),IF(AE$5=$E58+1,$C58,""),"")</f>
        <v/>
      </c>
      <c r="AF58" s="34">
        <f>IF(AND(AF$5&gt;$E58,AF$5&lt;=$F58),IF(AF$5=$E58+1,$C58,""),"")</f>
        <v/>
      </c>
      <c r="AG58" s="34">
        <f>IF(AND(AG$5&gt;$E58,AG$5&lt;=$F58),IF(AG$5=$E58+1,$C58,""),"")</f>
        <v/>
      </c>
      <c r="AH58" s="34">
        <f>IF(AND(AH$5&gt;$E58,AH$5&lt;=$F58),IF(AH$5=$E58+1,$C58,""),"")</f>
        <v/>
      </c>
      <c r="AI58" s="34">
        <f>IF(AND(AI$5&gt;$E58,AI$5&lt;=$F58),IF(AI$5=$E58+1,$C58,""),"")</f>
        <v/>
      </c>
      <c r="AJ58" s="34">
        <f>IF(AND(AJ$5&gt;$E58,AJ$5&lt;=$F58),IF(AJ$5=$E58+1,$C58,""),"")</f>
        <v/>
      </c>
      <c r="AK58" s="34">
        <f>IF(AND(AK$5&gt;$E58,AK$5&lt;=$F58),IF(AK$5=$E58+1,$C58,""),"")</f>
        <v/>
      </c>
      <c r="AL58" s="34">
        <f>IF(AND(AL$5&gt;$E58,AL$5&lt;=$F58),IF(AL$5=$E58+1,$C58,""),"")</f>
        <v/>
      </c>
      <c r="AM58" s="34">
        <f>IF(AND(AM$5&gt;$E58,AM$5&lt;=$F58),IF(AM$5=$E58+1,$C58,""),"")</f>
        <v/>
      </c>
      <c r="AN58" s="34">
        <f>IF(AND(AN$5&gt;$E58,AN$5&lt;=$F58),IF(AN$5=$E58+1,$C58,""),"")</f>
        <v/>
      </c>
      <c r="AO58" s="34">
        <f>IF(AND(AO$5&gt;$E58,AO$5&lt;=$F58),IF(AO$5=$E58+1,$C58,""),"")</f>
        <v/>
      </c>
      <c r="AP58" s="34">
        <f>IF(AND(AP$5&gt;$E58,AP$5&lt;=$F58),IF(AP$5=$E58+1,$C58,""),"")</f>
        <v/>
      </c>
      <c r="AQ58" s="34">
        <f>IF(AND(AQ$5&gt;$E58,AQ$5&lt;=$F58),IF(AQ$5=$E58+1,$C58,""),"")</f>
        <v/>
      </c>
      <c r="AR58" s="34">
        <f>IF(AND(AR$5&gt;$E58,AR$5&lt;=$F58),IF(AR$5=$E58+1,$C58,""),"")</f>
        <v/>
      </c>
      <c r="AS58" s="34">
        <f>IF(AND(AS$5&gt;$E58,AS$5&lt;=$F58),IF(AS$5=$E58+1,$C58,""),"")</f>
        <v/>
      </c>
      <c r="AT58" s="34">
        <f>IF(AND(AT$5&gt;$E58,AT$5&lt;=$F58),IF(AT$5=$E58+1,$C58,""),"")</f>
        <v/>
      </c>
      <c r="AU58" s="34">
        <f>IF(AND(AU$5&gt;$E58,AU$5&lt;=$F58),IF(AU$5=$E58+1,$C58,""),"")</f>
        <v/>
      </c>
      <c r="AV58" s="34">
        <f>IF(AND(AV$5&gt;$E58,AV$5&lt;=$F58),IF(AV$5=$E58+1,$C58,""),"")</f>
        <v/>
      </c>
      <c r="AW58" s="34">
        <f>IF(AND(AW$5&gt;$E58,AW$5&lt;=$F58),IF(AW$5=$E58+1,$C58,""),"")</f>
        <v/>
      </c>
      <c r="AX58" s="34">
        <f>IF(AND(AX$5&gt;$E58,AX$5&lt;=$F58),IF(AX$5=$E58+1,$C58,""),"")</f>
        <v/>
      </c>
      <c r="AY58" s="34">
        <f>IF(AND(AY$5&gt;$E58,AY$5&lt;=$F58),IF(AY$5=$E58+1,$C58,""),"")</f>
        <v/>
      </c>
      <c r="AZ58" s="34">
        <f>IF(AND(AZ$5&gt;$E58,AZ$5&lt;=$F58),IF(AZ$5=$E58+1,$C58,""),"")</f>
        <v/>
      </c>
      <c r="BA58" s="34">
        <f>IF(AND(BA$5&gt;$E58,BA$5&lt;=$F58),IF(BA$5=$E58+1,$C58,""),"")</f>
        <v/>
      </c>
      <c r="BB58" s="34">
        <f>IF(AND(BB$5&gt;$E58,BB$5&lt;=$F58),IF(BB$5=$E58+1,$C58,""),"")</f>
        <v/>
      </c>
      <c r="BC58" s="34">
        <f>IF(AND(BC$5&gt;$E58,BC$5&lt;=$F58),IF(BC$5=$E58+1,$C58,""),"")</f>
        <v/>
      </c>
      <c r="BD58" s="34">
        <f>IF(AND(BD$5&gt;$E58,BD$5&lt;=$F58),IF(BD$5=$E58+1,$C58,""),"")</f>
        <v/>
      </c>
      <c r="BE58" s="34">
        <f>IF(AND(BE$5&gt;$E58,BE$5&lt;=$F58),IF(BE$5=$E58+1,$C58,""),"")</f>
        <v/>
      </c>
      <c r="BF58" s="34">
        <f>IF(AND(BF$5&gt;$E58,BF$5&lt;=$F58),IF(BF$5=$E58+1,$C58,""),"")</f>
        <v/>
      </c>
      <c r="BG58" s="34">
        <f>IF(AND(BG$5&gt;$E58,BG$5&lt;=$F58),IF(BG$5=$E58+1,$C58,""),"")</f>
        <v/>
      </c>
      <c r="BH58" s="34">
        <f>IF(AND(BH$5&gt;$E58,BH$5&lt;=$F58),IF(BH$5=$E58+1,$C58,""),"")</f>
        <v/>
      </c>
      <c r="BI58" s="34">
        <f>IF(AND(BI$5&gt;$E58,BI$5&lt;=$F58),IF(BI$5=$E58+1,$C58,""),"")</f>
        <v/>
      </c>
      <c r="BJ58" s="34">
        <f>IF(AND(BJ$5&gt;$E58,BJ$5&lt;=$F58),IF(BJ$5=$E58+1,$C58,""),"")</f>
        <v/>
      </c>
      <c r="BK58" s="34">
        <f>IF(AND(BK$5&gt;$E58,BK$5&lt;=$F58),IF(BK$5=$E58+1,$C58,""),"")</f>
        <v/>
      </c>
      <c r="BL58" s="34">
        <f>IF(AND(BL$5&gt;$E58,BL$5&lt;=$F58),IF(BL$5=$E58+1,$C58,""),"")</f>
        <v/>
      </c>
      <c r="BM58" s="34">
        <f>IF(AND(BM$5&gt;$E58,BM$5&lt;=$F58),IF(BM$5=$E58+1,$C58,""),"")</f>
        <v/>
      </c>
      <c r="BN58" s="34">
        <f>IF(AND(BN$5&gt;$E58,BN$5&lt;=$F58),IF(BN$5=$E58+1,$C58,""),"")</f>
        <v/>
      </c>
      <c r="BO58" s="34">
        <f>IF(AND(BO$5&gt;$E58,BO$5&lt;=$F58),IF(BO$5=$E58+1,$C58,""),"")</f>
        <v/>
      </c>
      <c r="BP58" s="34">
        <f>IF(AND(BP$5&gt;$E58,BP$5&lt;=$F58),IF(BP$5=$E58+1,$C58,""),"")</f>
        <v/>
      </c>
      <c r="BQ58" s="34">
        <f>IF(AND(BQ$5&gt;$E58,BQ$5&lt;=$F58),IF(BQ$5=$E58+1,$C58,""),"")</f>
        <v/>
      </c>
      <c r="BR58" s="34">
        <f>IF(AND(BR$5&gt;$E58,BR$5&lt;=$F58),IF(BR$5=$E58+1,$C58,""),"")</f>
        <v/>
      </c>
      <c r="BS58" s="34">
        <f>IF(AND(BS$5&gt;$E58,BS$5&lt;=$F58),IF(BS$5=$E58+1,$C58,""),"")</f>
        <v/>
      </c>
      <c r="BT58" s="34">
        <f>IF(AND(BT$5&gt;$E58,BT$5&lt;=$F58),IF(BT$5=$E58+1,$C58,""),"")</f>
        <v/>
      </c>
      <c r="BU58" s="34">
        <f>IF(AND(BU$5&gt;$E58,BU$5&lt;=$F58),IF(BU$5=$E58+1,$C58,""),"")</f>
        <v/>
      </c>
      <c r="BV58" s="34">
        <f>IF(AND(BV$5&gt;$E58,BV$5&lt;=$F58),IF(BV$5=$E58+1,$C58,""),"")</f>
        <v/>
      </c>
      <c r="BW58" s="34">
        <f>IF(AND(BW$5&gt;$E58,BW$5&lt;=$F58),IF(BW$5=$E58+1,$C58,""),"")</f>
        <v/>
      </c>
      <c r="BX58" s="34">
        <f>IF(AND(BX$5&gt;$E58,BX$5&lt;=$F58),IF(BX$5=$E58+1,$C58,""),"")</f>
        <v/>
      </c>
      <c r="BY58" s="34">
        <f>IF(AND(BY$5&gt;$E58,BY$5&lt;=$F58),IF(BY$5=$E58+1,$C58,""),"")</f>
        <v/>
      </c>
      <c r="BZ58" s="34">
        <f>IF(AND(BZ$5&gt;$E58,BZ$5&lt;=$F58),IF(BZ$5=$E58+1,$C58,""),"")</f>
        <v/>
      </c>
      <c r="CA58" s="34">
        <f>IF(AND(CA$5&gt;$E58,CA$5&lt;=$F58),IF(CA$5=$E58+1,$C58,""),"")</f>
        <v/>
      </c>
      <c r="CB58" s="34">
        <f>IF(AND(CB$5&gt;$E58,CB$5&lt;=$F58),IF(CB$5=$E58+1,$C58,""),"")</f>
        <v/>
      </c>
      <c r="CC58" s="34">
        <f>IF(AND(CC$5&gt;$E58,CC$5&lt;=$F58),IF(CC$5=$E58+1,$C58,""),"")</f>
        <v/>
      </c>
      <c r="CD58" s="34">
        <f>IF(AND(CD$5&gt;$E58,CD$5&lt;=$F58),IF(CD$5=$E58+1,$C58,""),"")</f>
        <v/>
      </c>
      <c r="CE58" s="34">
        <f>IF(AND(CE$5&gt;$E58,CE$5&lt;=$F58),IF(CE$5=$E58+1,$C58,""),"")</f>
        <v/>
      </c>
      <c r="CF58" s="34">
        <f>IF(AND(CF$5&gt;$E58,CF$5&lt;=$F58),IF(CF$5=$E58+1,$C58,""),"")</f>
        <v/>
      </c>
      <c r="CG58" s="34">
        <f>IF(AND(CG$5&gt;$E58,CG$5&lt;=$F58),IF(CG$5=$E58+1,$C58,""),"")</f>
        <v/>
      </c>
      <c r="CH58" s="34">
        <f>IF(AND(CH$5&gt;$E58,CH$5&lt;=$F58),IF(CH$5=$E58+1,$C58,""),"")</f>
        <v/>
      </c>
      <c r="CI58" s="34">
        <f>IF(AND(CI$5&gt;$E58,CI$5&lt;=$F58),IF(CI$5=$E58+1,$C58,""),"")</f>
        <v/>
      </c>
      <c r="CJ58" s="34">
        <f>IF(AND(CJ$5&gt;$E58,CJ$5&lt;=$F58),IF(CJ$5=$E58+1,$C58,""),"")</f>
        <v/>
      </c>
      <c r="CK58" s="34">
        <f>IF(AND(CK$5&gt;$E58,CK$5&lt;=$F58),IF(CK$5=$E58+1,$C58,""),"")</f>
        <v/>
      </c>
      <c r="CL58" s="34">
        <f>IF(AND(CL$5&gt;$E58,CL$5&lt;=$F58),IF(CL$5=$E58+1,$C58,""),"")</f>
        <v/>
      </c>
      <c r="CM58" s="34">
        <f>IF(AND(CM$5&gt;$E58,CM$5&lt;=$F58),IF(CM$5=$E58+1,$C58,""),"")</f>
        <v/>
      </c>
      <c r="CN58" s="34">
        <f>IF(AND(CN$5&gt;$E58,CN$5&lt;=$F58),IF(CN$5=$E58+1,$C58,""),"")</f>
        <v/>
      </c>
      <c r="CO58" s="34">
        <f>IF(AND(CO$5&gt;$E58,CO$5&lt;=$F58),IF(CO$5=$E58+1,$C58,""),"")</f>
        <v/>
      </c>
      <c r="CP58" s="34">
        <f>IF(AND(CP$5&gt;$E58,CP$5&lt;=$F58),IF(CP$5=$E58+1,$C58,""),"")</f>
        <v/>
      </c>
      <c r="CQ58" s="34">
        <f>IF(AND(CQ$5&gt;$E58,CQ$5&lt;=$F58),IF(CQ$5=$E58+1,$C58,""),"")</f>
        <v/>
      </c>
      <c r="CR58" s="34">
        <f>IF(AND(CR$5&gt;$E58,CR$5&lt;=$F58),IF(CR$5=$E58+1,$C58,""),"")</f>
        <v/>
      </c>
      <c r="CS58" s="34">
        <f>IF(AND(CS$5&gt;$E58,CS$5&lt;=$F58),IF(CS$5=$E58+1,$C58,""),"")</f>
        <v/>
      </c>
      <c r="CT58" s="34">
        <f>IF(AND(CT$5&gt;$E58,CT$5&lt;=$F58),IF(CT$5=$E58+1,$C58,""),"")</f>
        <v/>
      </c>
      <c r="CU58" s="34">
        <f>IF(AND(CU$5&gt;$E58,CU$5&lt;=$F58),IF(CU$5=$E58+1,$C58,""),"")</f>
        <v/>
      </c>
      <c r="CV58" s="34">
        <f>IF(AND(CV$5&gt;$E58,CV$5&lt;=$F58),IF(CV$5=$E58+1,$C58,""),"")</f>
        <v/>
      </c>
      <c r="CW58" s="34">
        <f>IF(AND(CW$5&gt;$E58,CW$5&lt;=$F58),IF(CW$5=$E58+1,$C58,""),"")</f>
        <v/>
      </c>
      <c r="CX58" s="34">
        <f>IF(AND(CX$5&gt;$E58,CX$5&lt;=$F58),IF(CX$5=$E58+1,$C58,""),"")</f>
        <v/>
      </c>
      <c r="CY58" s="34">
        <f>IF(AND(CY$5&gt;$E58,CY$5&lt;=$F58),IF(CY$5=$E58+1,$C58,""),"")</f>
        <v/>
      </c>
      <c r="CZ58" s="34">
        <f>IF(AND(CZ$5&gt;$E58,CZ$5&lt;=$F58),IF(CZ$5=$E58+1,$C58,""),"")</f>
        <v/>
      </c>
      <c r="DA58" s="34">
        <f>IF(AND(DA$5&gt;$E58,DA$5&lt;=$F58),IF(DA$5=$E58+1,$C58,""),"")</f>
        <v/>
      </c>
      <c r="DB58" s="34">
        <f>IF(AND(DB$5&gt;$E58,DB$5&lt;=$F58),IF(DB$5=$E58+1,$C58,""),"")</f>
        <v/>
      </c>
      <c r="DC58" s="34">
        <f>IF(AND(DC$5&gt;$E58,DC$5&lt;=$F58),IF(DC$5=$E58+1,$C58,""),"")</f>
        <v/>
      </c>
      <c r="DD58" s="34">
        <f>IF(AND(DD$5&gt;$E58,DD$5&lt;=$F58),IF(DD$5=$E58+1,$C58,""),"")</f>
        <v/>
      </c>
      <c r="DE58" s="34">
        <f>IF(AND(DE$5&gt;$E58,DE$5&lt;=$F58),IF(DE$5=$E58+1,$C58,""),"")</f>
        <v/>
      </c>
      <c r="DF58" s="34">
        <f>IF(AND(DF$5&gt;$E58,DF$5&lt;=$F58),IF(DF$5=$E58+1,$C58,""),"")</f>
        <v/>
      </c>
      <c r="DG58" s="34">
        <f>IF(AND(DG$5&gt;$E58,DG$5&lt;=$F58),IF(DG$5=$E58+1,$C58,""),"")</f>
        <v/>
      </c>
      <c r="DH58" s="34">
        <f>IF(AND(DH$5&gt;$E58,DH$5&lt;=$F58),IF(DH$5=$E58+1,$C58,""),"")</f>
        <v/>
      </c>
      <c r="DI58" s="34">
        <f>IF(AND(DI$5&gt;$E58,DI$5&lt;=$F58),IF(DI$5=$E58+1,$C58,""),"")</f>
        <v/>
      </c>
      <c r="DJ58" s="34">
        <f>IF(AND(DJ$5&gt;$E58,DJ$5&lt;=$F58),IF(DJ$5=$E58+1,$C58,""),"")</f>
        <v/>
      </c>
      <c r="DK58" s="34">
        <f>IF(AND(DK$5&gt;$E58,DK$5&lt;=$F58),IF(DK$5=$E58+1,$C58,""),"")</f>
        <v/>
      </c>
      <c r="DL58" s="34">
        <f>IF(AND(DL$5&gt;$E58,DL$5&lt;=$F58),IF(DL$5=$E58+1,$C58,""),"")</f>
        <v/>
      </c>
      <c r="DM58" s="34">
        <f>IF(AND(DM$5&gt;$E58,DM$5&lt;=$F58),IF(DM$5=$E58+1,$C58,""),"")</f>
        <v/>
      </c>
      <c r="DN58" s="34">
        <f>IF(AND(DN$5&gt;$E58,DN$5&lt;=$F58),IF(DN$5=$E58+1,$C58,""),"")</f>
        <v/>
      </c>
      <c r="DO58" s="34">
        <f>IF(AND(DO$5&gt;$E58,DO$5&lt;=$F58),IF(DO$5=$E58+1,$C58,""),"")</f>
        <v/>
      </c>
      <c r="DP58" s="34">
        <f>IF(AND(DP$5&gt;$E58,DP$5&lt;=$F58),IF(DP$5=$E58+1,$C58,""),"")</f>
        <v/>
      </c>
      <c r="DQ58" s="34">
        <f>IF(AND(DQ$5&gt;$E58,DQ$5&lt;=$F58),IF(DQ$5=$E58+1,$C58,""),"")</f>
        <v/>
      </c>
      <c r="DR58" s="34">
        <f>IF(AND(DR$5&gt;$E58,DR$5&lt;=$F58),IF(DR$5=$E58+1,$C58,""),"")</f>
        <v/>
      </c>
      <c r="DS58" s="34">
        <f>IF(AND(DS$5&gt;$E58,DS$5&lt;=$F58),IF(DS$5=$E58+1,$C58,""),"")</f>
        <v/>
      </c>
      <c r="DT58" s="34">
        <f>IF(AND(DT$5&gt;$E58,DT$5&lt;=$F58),IF(DT$5=$E58+1,$C58,""),"")</f>
        <v/>
      </c>
      <c r="DU58" s="34">
        <f>IF(AND(DU$5&gt;$E58,DU$5&lt;=$F58),IF(DU$5=$E58+1,$C58,""),"")</f>
        <v/>
      </c>
      <c r="DV58" s="34">
        <f>IF(AND(DV$5&gt;$E58,DV$5&lt;=$F58),IF(DV$5=$E58+1,$C58,""),"")</f>
        <v/>
      </c>
      <c r="DW58" s="34">
        <f>IF(AND(DW$5&gt;$E58,DW$5&lt;=$F58),IF(DW$5=$E58+1,$C58,""),"")</f>
        <v/>
      </c>
      <c r="DX58" s="34">
        <f>IF(AND(DX$5&gt;$E58,DX$5&lt;=$F58),IF(DX$5=$E58+1,$C58,""),"")</f>
        <v/>
      </c>
      <c r="DY58" s="34">
        <f>IF(AND(DY$5&gt;$E58,DY$5&lt;=$F58),IF(DY$5=$E58+1,$C58,""),"")</f>
        <v/>
      </c>
      <c r="DZ58" s="34">
        <f>IF(AND(DZ$5&gt;$E58,DZ$5&lt;=$F58),IF(DZ$5=$E58+1,$C58,""),"")</f>
        <v/>
      </c>
      <c r="EA58" s="34">
        <f>IF(AND(EA$5&gt;$E58,EA$5&lt;=$F58),IF(EA$5=$E58+1,$C58,""),"")</f>
        <v/>
      </c>
      <c r="EB58" s="34">
        <f>IF(AND(EB$5&gt;$E58,EB$5&lt;=$F58),IF(EB$5=$E58+1,$C58,""),"")</f>
        <v/>
      </c>
      <c r="EC58" s="34">
        <f>IF(AND(EC$5&gt;$E58,EC$5&lt;=$F58),IF(EC$5=$E58+1,$C58,""),"")</f>
        <v/>
      </c>
      <c r="ED58" s="34">
        <f>IF(AND(ED$5&gt;$E58,ED$5&lt;=$F58),IF(ED$5=$E58+1,$C58,""),"")</f>
        <v/>
      </c>
      <c r="EE58" s="34">
        <f>IF(AND(EE$5&gt;$E58,EE$5&lt;=$F58),IF(EE$5=$E58+1,$C58,""),"")</f>
        <v/>
      </c>
      <c r="EF58" s="34">
        <f>IF(AND(EF$5&gt;$E58,EF$5&lt;=$F58),IF(EF$5=$E58+1,$C58,""),"")</f>
        <v/>
      </c>
      <c r="EG58" s="34">
        <f>IF(AND(EG$5&gt;$E58,EG$5&lt;=$F58),IF(EG$5=$E58+1,$C58,""),"")</f>
        <v/>
      </c>
      <c r="EH58" s="34">
        <f>IF(AND(EH$5&gt;$E58,EH$5&lt;=$F58),IF(EH$5=$E58+1,$C58,""),"")</f>
        <v/>
      </c>
      <c r="EI58" s="34">
        <f>IF(AND(EI$5&gt;$E58,EI$5&lt;=$F58),IF(EI$5=$E58+1,$C58,""),"")</f>
        <v/>
      </c>
      <c r="EJ58" s="34">
        <f>IF(AND(EJ$5&gt;$E58,EJ$5&lt;=$F58),IF(EJ$5=$E58+1,$C58,""),"")</f>
        <v/>
      </c>
      <c r="EK58" s="34">
        <f>IF(AND(EK$5&gt;$E58,EK$5&lt;=$F58),IF(EK$5=$E58+1,$C58,""),"")</f>
        <v/>
      </c>
      <c r="EL58" s="34">
        <f>IF(AND(EL$5&gt;$E58,EL$5&lt;=$F58),IF(EL$5=$E58+1,$C58,""),"")</f>
        <v/>
      </c>
      <c r="EM58" s="34">
        <f>IF(AND(EM$5&gt;$E58,EM$5&lt;=$F58),IF(EM$5=$E58+1,$C58,""),"")</f>
        <v/>
      </c>
      <c r="EN58" s="34">
        <f>IF(AND(EN$5&gt;$E58,EN$5&lt;=$F58),IF(EN$5=$E58+1,$C58,""),"")</f>
        <v/>
      </c>
      <c r="EO58" s="34">
        <f>IF(AND(EO$5&gt;$E58,EO$5&lt;=$F58),IF(EO$5=$E58+1,$C58,""),"")</f>
        <v/>
      </c>
      <c r="EP58" s="34">
        <f>IF(AND(EP$5&gt;$E58,EP$5&lt;=$F58),IF(EP$5=$E58+1,$C58,""),"")</f>
        <v/>
      </c>
      <c r="EQ58" s="34">
        <f>IF(AND(EQ$5&gt;$E58,EQ$5&lt;=$F58),IF(EQ$5=$E58+1,$C58,""),"")</f>
        <v/>
      </c>
      <c r="ER58" s="34">
        <f>IF(AND(ER$5&gt;$E58,ER$5&lt;=$F58),IF(ER$5=$E58+1,$C58,""),"")</f>
        <v/>
      </c>
      <c r="ES58" s="34">
        <f>IF(AND(ES$5&gt;$E58,ES$5&lt;=$F58),IF(ES$5=$E58+1,$C58,""),"")</f>
        <v/>
      </c>
      <c r="ET58" s="34">
        <f>IF(AND(ET$5&gt;$E58,ET$5&lt;=$F58),IF(ET$5=$E58+1,$C58,""),"")</f>
        <v/>
      </c>
      <c r="EU58" s="34">
        <f>IF(AND(EU$5&gt;$E58,EU$5&lt;=$F58),IF(EU$5=$E58+1,$C58,""),"")</f>
        <v/>
      </c>
      <c r="EV58" s="34">
        <f>IF(AND(EV$5&gt;$E58,EV$5&lt;=$F58),IF(EV$5=$E58+1,$C58,""),"")</f>
        <v/>
      </c>
      <c r="EW58" s="34">
        <f>IF(AND(EW$5&gt;$E58,EW$5&lt;=$F58),IF(EW$5=$E58+1,$C58,""),"")</f>
        <v/>
      </c>
      <c r="EX58" s="34">
        <f>IF(AND(EX$5&gt;$E58,EX$5&lt;=$F58),IF(EX$5=$E58+1,$C58,""),"")</f>
        <v/>
      </c>
      <c r="EY58" s="34">
        <f>IF(AND(EY$5&gt;$E58,EY$5&lt;=$F58),IF(EY$5=$E58+1,$C58,""),"")</f>
        <v/>
      </c>
      <c r="EZ58" s="34">
        <f>IF(AND(EZ$5&gt;$E58,EZ$5&lt;=$F58),IF(EZ$5=$E58+1,$C58,""),"")</f>
        <v/>
      </c>
      <c r="FA58" s="34">
        <f>IF(AND(FA$5&gt;$E58,FA$5&lt;=$F58),IF(FA$5=$E58+1,$C58,""),"")</f>
        <v/>
      </c>
    </row>
    <row r="59">
      <c r="A59" s="32">
        <f>Plan!A77</f>
        <v/>
      </c>
      <c r="B59" s="33">
        <f>Plan!C77</f>
        <v/>
      </c>
      <c r="C59" s="16">
        <f>Plan!D77</f>
        <v/>
      </c>
      <c r="D59" s="16">
        <f>Plan!I77</f>
        <v/>
      </c>
      <c r="E59" s="16">
        <f>Plan!K77</f>
        <v/>
      </c>
      <c r="F59" s="16">
        <f>Plan!L77</f>
        <v/>
      </c>
      <c r="G59" s="16">
        <f>Plan!O77</f>
        <v/>
      </c>
      <c r="H59" s="34">
        <f>IF(AND(H$5&gt;$E59,H$5&lt;=$F59),IF(H$5=$E59+1,$C59,""),"")</f>
        <v/>
      </c>
      <c r="I59" s="34">
        <f>IF(AND(I$5&gt;$E59,I$5&lt;=$F59),IF(I$5=$E59+1,$C59,""),"")</f>
        <v/>
      </c>
      <c r="J59" s="34">
        <f>IF(AND(J$5&gt;$E59,J$5&lt;=$F59),IF(J$5=$E59+1,$C59,""),"")</f>
        <v/>
      </c>
      <c r="K59" s="34">
        <f>IF(AND(K$5&gt;$E59,K$5&lt;=$F59),IF(K$5=$E59+1,$C59,""),"")</f>
        <v/>
      </c>
      <c r="L59" s="34">
        <f>IF(AND(L$5&gt;$E59,L$5&lt;=$F59),IF(L$5=$E59+1,$C59,""),"")</f>
        <v/>
      </c>
      <c r="M59" s="34">
        <f>IF(AND(M$5&gt;$E59,M$5&lt;=$F59),IF(M$5=$E59+1,$C59,""),"")</f>
        <v/>
      </c>
      <c r="N59" s="34">
        <f>IF(AND(N$5&gt;$E59,N$5&lt;=$F59),IF(N$5=$E59+1,$C59,""),"")</f>
        <v/>
      </c>
      <c r="O59" s="34">
        <f>IF(AND(O$5&gt;$E59,O$5&lt;=$F59),IF(O$5=$E59+1,$C59,""),"")</f>
        <v/>
      </c>
      <c r="P59" s="34">
        <f>IF(AND(P$5&gt;$E59,P$5&lt;=$F59),IF(P$5=$E59+1,$C59,""),"")</f>
        <v/>
      </c>
      <c r="Q59" s="34">
        <f>IF(AND(Q$5&gt;$E59,Q$5&lt;=$F59),IF(Q$5=$E59+1,$C59,""),"")</f>
        <v/>
      </c>
      <c r="R59" s="34">
        <f>IF(AND(R$5&gt;$E59,R$5&lt;=$F59),IF(R$5=$E59+1,$C59,""),"")</f>
        <v/>
      </c>
      <c r="S59" s="34">
        <f>IF(AND(S$5&gt;$E59,S$5&lt;=$F59),IF(S$5=$E59+1,$C59,""),"")</f>
        <v/>
      </c>
      <c r="T59" s="34">
        <f>IF(AND(T$5&gt;$E59,T$5&lt;=$F59),IF(T$5=$E59+1,$C59,""),"")</f>
        <v/>
      </c>
      <c r="U59" s="34">
        <f>IF(AND(U$5&gt;$E59,U$5&lt;=$F59),IF(U$5=$E59+1,$C59,""),"")</f>
        <v/>
      </c>
      <c r="V59" s="34">
        <f>IF(AND(V$5&gt;$E59,V$5&lt;=$F59),IF(V$5=$E59+1,$C59,""),"")</f>
        <v/>
      </c>
      <c r="W59" s="34">
        <f>IF(AND(W$5&gt;$E59,W$5&lt;=$F59),IF(W$5=$E59+1,$C59,""),"")</f>
        <v/>
      </c>
      <c r="X59" s="34">
        <f>IF(AND(X$5&gt;$E59,X$5&lt;=$F59),IF(X$5=$E59+1,$C59,""),"")</f>
        <v/>
      </c>
      <c r="Y59" s="34">
        <f>IF(AND(Y$5&gt;$E59,Y$5&lt;=$F59),IF(Y$5=$E59+1,$C59,""),"")</f>
        <v/>
      </c>
      <c r="Z59" s="34">
        <f>IF(AND(Z$5&gt;$E59,Z$5&lt;=$F59),IF(Z$5=$E59+1,$C59,""),"")</f>
        <v/>
      </c>
      <c r="AA59" s="34">
        <f>IF(AND(AA$5&gt;$E59,AA$5&lt;=$F59),IF(AA$5=$E59+1,$C59,""),"")</f>
        <v/>
      </c>
      <c r="AB59" s="34">
        <f>IF(AND(AB$5&gt;$E59,AB$5&lt;=$F59),IF(AB$5=$E59+1,$C59,""),"")</f>
        <v/>
      </c>
      <c r="AC59" s="34">
        <f>IF(AND(AC$5&gt;$E59,AC$5&lt;=$F59),IF(AC$5=$E59+1,$C59,""),"")</f>
        <v/>
      </c>
      <c r="AD59" s="34">
        <f>IF(AND(AD$5&gt;$E59,AD$5&lt;=$F59),IF(AD$5=$E59+1,$C59,""),"")</f>
        <v/>
      </c>
      <c r="AE59" s="34">
        <f>IF(AND(AE$5&gt;$E59,AE$5&lt;=$F59),IF(AE$5=$E59+1,$C59,""),"")</f>
        <v/>
      </c>
      <c r="AF59" s="34">
        <f>IF(AND(AF$5&gt;$E59,AF$5&lt;=$F59),IF(AF$5=$E59+1,$C59,""),"")</f>
        <v/>
      </c>
      <c r="AG59" s="34">
        <f>IF(AND(AG$5&gt;$E59,AG$5&lt;=$F59),IF(AG$5=$E59+1,$C59,""),"")</f>
        <v/>
      </c>
      <c r="AH59" s="34">
        <f>IF(AND(AH$5&gt;$E59,AH$5&lt;=$F59),IF(AH$5=$E59+1,$C59,""),"")</f>
        <v/>
      </c>
      <c r="AI59" s="34">
        <f>IF(AND(AI$5&gt;$E59,AI$5&lt;=$F59),IF(AI$5=$E59+1,$C59,""),"")</f>
        <v/>
      </c>
      <c r="AJ59" s="34">
        <f>IF(AND(AJ$5&gt;$E59,AJ$5&lt;=$F59),IF(AJ$5=$E59+1,$C59,""),"")</f>
        <v/>
      </c>
      <c r="AK59" s="34">
        <f>IF(AND(AK$5&gt;$E59,AK$5&lt;=$F59),IF(AK$5=$E59+1,$C59,""),"")</f>
        <v/>
      </c>
      <c r="AL59" s="34">
        <f>IF(AND(AL$5&gt;$E59,AL$5&lt;=$F59),IF(AL$5=$E59+1,$C59,""),"")</f>
        <v/>
      </c>
      <c r="AM59" s="34">
        <f>IF(AND(AM$5&gt;$E59,AM$5&lt;=$F59),IF(AM$5=$E59+1,$C59,""),"")</f>
        <v/>
      </c>
      <c r="AN59" s="34">
        <f>IF(AND(AN$5&gt;$E59,AN$5&lt;=$F59),IF(AN$5=$E59+1,$C59,""),"")</f>
        <v/>
      </c>
      <c r="AO59" s="34">
        <f>IF(AND(AO$5&gt;$E59,AO$5&lt;=$F59),IF(AO$5=$E59+1,$C59,""),"")</f>
        <v/>
      </c>
      <c r="AP59" s="34">
        <f>IF(AND(AP$5&gt;$E59,AP$5&lt;=$F59),IF(AP$5=$E59+1,$C59,""),"")</f>
        <v/>
      </c>
      <c r="AQ59" s="34">
        <f>IF(AND(AQ$5&gt;$E59,AQ$5&lt;=$F59),IF(AQ$5=$E59+1,$C59,""),"")</f>
        <v/>
      </c>
      <c r="AR59" s="34">
        <f>IF(AND(AR$5&gt;$E59,AR$5&lt;=$F59),IF(AR$5=$E59+1,$C59,""),"")</f>
        <v/>
      </c>
      <c r="AS59" s="34">
        <f>IF(AND(AS$5&gt;$E59,AS$5&lt;=$F59),IF(AS$5=$E59+1,$C59,""),"")</f>
        <v/>
      </c>
      <c r="AT59" s="34">
        <f>IF(AND(AT$5&gt;$E59,AT$5&lt;=$F59),IF(AT$5=$E59+1,$C59,""),"")</f>
        <v/>
      </c>
      <c r="AU59" s="34">
        <f>IF(AND(AU$5&gt;$E59,AU$5&lt;=$F59),IF(AU$5=$E59+1,$C59,""),"")</f>
        <v/>
      </c>
      <c r="AV59" s="34">
        <f>IF(AND(AV$5&gt;$E59,AV$5&lt;=$F59),IF(AV$5=$E59+1,$C59,""),"")</f>
        <v/>
      </c>
      <c r="AW59" s="34">
        <f>IF(AND(AW$5&gt;$E59,AW$5&lt;=$F59),IF(AW$5=$E59+1,$C59,""),"")</f>
        <v/>
      </c>
      <c r="AX59" s="34">
        <f>IF(AND(AX$5&gt;$E59,AX$5&lt;=$F59),IF(AX$5=$E59+1,$C59,""),"")</f>
        <v/>
      </c>
      <c r="AY59" s="34">
        <f>IF(AND(AY$5&gt;$E59,AY$5&lt;=$F59),IF(AY$5=$E59+1,$C59,""),"")</f>
        <v/>
      </c>
      <c r="AZ59" s="34">
        <f>IF(AND(AZ$5&gt;$E59,AZ$5&lt;=$F59),IF(AZ$5=$E59+1,$C59,""),"")</f>
        <v/>
      </c>
      <c r="BA59" s="34">
        <f>IF(AND(BA$5&gt;$E59,BA$5&lt;=$F59),IF(BA$5=$E59+1,$C59,""),"")</f>
        <v/>
      </c>
      <c r="BB59" s="34">
        <f>IF(AND(BB$5&gt;$E59,BB$5&lt;=$F59),IF(BB$5=$E59+1,$C59,""),"")</f>
        <v/>
      </c>
      <c r="BC59" s="34">
        <f>IF(AND(BC$5&gt;$E59,BC$5&lt;=$F59),IF(BC$5=$E59+1,$C59,""),"")</f>
        <v/>
      </c>
      <c r="BD59" s="34">
        <f>IF(AND(BD$5&gt;$E59,BD$5&lt;=$F59),IF(BD$5=$E59+1,$C59,""),"")</f>
        <v/>
      </c>
      <c r="BE59" s="34">
        <f>IF(AND(BE$5&gt;$E59,BE$5&lt;=$F59),IF(BE$5=$E59+1,$C59,""),"")</f>
        <v/>
      </c>
      <c r="BF59" s="34">
        <f>IF(AND(BF$5&gt;$E59,BF$5&lt;=$F59),IF(BF$5=$E59+1,$C59,""),"")</f>
        <v/>
      </c>
      <c r="BG59" s="34">
        <f>IF(AND(BG$5&gt;$E59,BG$5&lt;=$F59),IF(BG$5=$E59+1,$C59,""),"")</f>
        <v/>
      </c>
      <c r="BH59" s="34">
        <f>IF(AND(BH$5&gt;$E59,BH$5&lt;=$F59),IF(BH$5=$E59+1,$C59,""),"")</f>
        <v/>
      </c>
      <c r="BI59" s="34">
        <f>IF(AND(BI$5&gt;$E59,BI$5&lt;=$F59),IF(BI$5=$E59+1,$C59,""),"")</f>
        <v/>
      </c>
      <c r="BJ59" s="34">
        <f>IF(AND(BJ$5&gt;$E59,BJ$5&lt;=$F59),IF(BJ$5=$E59+1,$C59,""),"")</f>
        <v/>
      </c>
      <c r="BK59" s="34">
        <f>IF(AND(BK$5&gt;$E59,BK$5&lt;=$F59),IF(BK$5=$E59+1,$C59,""),"")</f>
        <v/>
      </c>
      <c r="BL59" s="34">
        <f>IF(AND(BL$5&gt;$E59,BL$5&lt;=$F59),IF(BL$5=$E59+1,$C59,""),"")</f>
        <v/>
      </c>
      <c r="BM59" s="34">
        <f>IF(AND(BM$5&gt;$E59,BM$5&lt;=$F59),IF(BM$5=$E59+1,$C59,""),"")</f>
        <v/>
      </c>
      <c r="BN59" s="34">
        <f>IF(AND(BN$5&gt;$E59,BN$5&lt;=$F59),IF(BN$5=$E59+1,$C59,""),"")</f>
        <v/>
      </c>
      <c r="BO59" s="34">
        <f>IF(AND(BO$5&gt;$E59,BO$5&lt;=$F59),IF(BO$5=$E59+1,$C59,""),"")</f>
        <v/>
      </c>
      <c r="BP59" s="34">
        <f>IF(AND(BP$5&gt;$E59,BP$5&lt;=$F59),IF(BP$5=$E59+1,$C59,""),"")</f>
        <v/>
      </c>
      <c r="BQ59" s="34">
        <f>IF(AND(BQ$5&gt;$E59,BQ$5&lt;=$F59),IF(BQ$5=$E59+1,$C59,""),"")</f>
        <v/>
      </c>
      <c r="BR59" s="34">
        <f>IF(AND(BR$5&gt;$E59,BR$5&lt;=$F59),IF(BR$5=$E59+1,$C59,""),"")</f>
        <v/>
      </c>
      <c r="BS59" s="34">
        <f>IF(AND(BS$5&gt;$E59,BS$5&lt;=$F59),IF(BS$5=$E59+1,$C59,""),"")</f>
        <v/>
      </c>
      <c r="BT59" s="34">
        <f>IF(AND(BT$5&gt;$E59,BT$5&lt;=$F59),IF(BT$5=$E59+1,$C59,""),"")</f>
        <v/>
      </c>
      <c r="BU59" s="34">
        <f>IF(AND(BU$5&gt;$E59,BU$5&lt;=$F59),IF(BU$5=$E59+1,$C59,""),"")</f>
        <v/>
      </c>
      <c r="BV59" s="34">
        <f>IF(AND(BV$5&gt;$E59,BV$5&lt;=$F59),IF(BV$5=$E59+1,$C59,""),"")</f>
        <v/>
      </c>
      <c r="BW59" s="34">
        <f>IF(AND(BW$5&gt;$E59,BW$5&lt;=$F59),IF(BW$5=$E59+1,$C59,""),"")</f>
        <v/>
      </c>
      <c r="BX59" s="34">
        <f>IF(AND(BX$5&gt;$E59,BX$5&lt;=$F59),IF(BX$5=$E59+1,$C59,""),"")</f>
        <v/>
      </c>
      <c r="BY59" s="34">
        <f>IF(AND(BY$5&gt;$E59,BY$5&lt;=$F59),IF(BY$5=$E59+1,$C59,""),"")</f>
        <v/>
      </c>
      <c r="BZ59" s="34">
        <f>IF(AND(BZ$5&gt;$E59,BZ$5&lt;=$F59),IF(BZ$5=$E59+1,$C59,""),"")</f>
        <v/>
      </c>
      <c r="CA59" s="34">
        <f>IF(AND(CA$5&gt;$E59,CA$5&lt;=$F59),IF(CA$5=$E59+1,$C59,""),"")</f>
        <v/>
      </c>
      <c r="CB59" s="34">
        <f>IF(AND(CB$5&gt;$E59,CB$5&lt;=$F59),IF(CB$5=$E59+1,$C59,""),"")</f>
        <v/>
      </c>
      <c r="CC59" s="34">
        <f>IF(AND(CC$5&gt;$E59,CC$5&lt;=$F59),IF(CC$5=$E59+1,$C59,""),"")</f>
        <v/>
      </c>
      <c r="CD59" s="34">
        <f>IF(AND(CD$5&gt;$E59,CD$5&lt;=$F59),IF(CD$5=$E59+1,$C59,""),"")</f>
        <v/>
      </c>
      <c r="CE59" s="34">
        <f>IF(AND(CE$5&gt;$E59,CE$5&lt;=$F59),IF(CE$5=$E59+1,$C59,""),"")</f>
        <v/>
      </c>
      <c r="CF59" s="34">
        <f>IF(AND(CF$5&gt;$E59,CF$5&lt;=$F59),IF(CF$5=$E59+1,$C59,""),"")</f>
        <v/>
      </c>
      <c r="CG59" s="34">
        <f>IF(AND(CG$5&gt;$E59,CG$5&lt;=$F59),IF(CG$5=$E59+1,$C59,""),"")</f>
        <v/>
      </c>
      <c r="CH59" s="34">
        <f>IF(AND(CH$5&gt;$E59,CH$5&lt;=$F59),IF(CH$5=$E59+1,$C59,""),"")</f>
        <v/>
      </c>
      <c r="CI59" s="34">
        <f>IF(AND(CI$5&gt;$E59,CI$5&lt;=$F59),IF(CI$5=$E59+1,$C59,""),"")</f>
        <v/>
      </c>
      <c r="CJ59" s="34">
        <f>IF(AND(CJ$5&gt;$E59,CJ$5&lt;=$F59),IF(CJ$5=$E59+1,$C59,""),"")</f>
        <v/>
      </c>
      <c r="CK59" s="34">
        <f>IF(AND(CK$5&gt;$E59,CK$5&lt;=$F59),IF(CK$5=$E59+1,$C59,""),"")</f>
        <v/>
      </c>
      <c r="CL59" s="34">
        <f>IF(AND(CL$5&gt;$E59,CL$5&lt;=$F59),IF(CL$5=$E59+1,$C59,""),"")</f>
        <v/>
      </c>
      <c r="CM59" s="34">
        <f>IF(AND(CM$5&gt;$E59,CM$5&lt;=$F59),IF(CM$5=$E59+1,$C59,""),"")</f>
        <v/>
      </c>
      <c r="CN59" s="34">
        <f>IF(AND(CN$5&gt;$E59,CN$5&lt;=$F59),IF(CN$5=$E59+1,$C59,""),"")</f>
        <v/>
      </c>
      <c r="CO59" s="34">
        <f>IF(AND(CO$5&gt;$E59,CO$5&lt;=$F59),IF(CO$5=$E59+1,$C59,""),"")</f>
        <v/>
      </c>
      <c r="CP59" s="34">
        <f>IF(AND(CP$5&gt;$E59,CP$5&lt;=$F59),IF(CP$5=$E59+1,$C59,""),"")</f>
        <v/>
      </c>
      <c r="CQ59" s="34">
        <f>IF(AND(CQ$5&gt;$E59,CQ$5&lt;=$F59),IF(CQ$5=$E59+1,$C59,""),"")</f>
        <v/>
      </c>
      <c r="CR59" s="34">
        <f>IF(AND(CR$5&gt;$E59,CR$5&lt;=$F59),IF(CR$5=$E59+1,$C59,""),"")</f>
        <v/>
      </c>
      <c r="CS59" s="34">
        <f>IF(AND(CS$5&gt;$E59,CS$5&lt;=$F59),IF(CS$5=$E59+1,$C59,""),"")</f>
        <v/>
      </c>
      <c r="CT59" s="34">
        <f>IF(AND(CT$5&gt;$E59,CT$5&lt;=$F59),IF(CT$5=$E59+1,$C59,""),"")</f>
        <v/>
      </c>
      <c r="CU59" s="34">
        <f>IF(AND(CU$5&gt;$E59,CU$5&lt;=$F59),IF(CU$5=$E59+1,$C59,""),"")</f>
        <v/>
      </c>
      <c r="CV59" s="34">
        <f>IF(AND(CV$5&gt;$E59,CV$5&lt;=$F59),IF(CV$5=$E59+1,$C59,""),"")</f>
        <v/>
      </c>
      <c r="CW59" s="34">
        <f>IF(AND(CW$5&gt;$E59,CW$5&lt;=$F59),IF(CW$5=$E59+1,$C59,""),"")</f>
        <v/>
      </c>
      <c r="CX59" s="34">
        <f>IF(AND(CX$5&gt;$E59,CX$5&lt;=$F59),IF(CX$5=$E59+1,$C59,""),"")</f>
        <v/>
      </c>
      <c r="CY59" s="34">
        <f>IF(AND(CY$5&gt;$E59,CY$5&lt;=$F59),IF(CY$5=$E59+1,$C59,""),"")</f>
        <v/>
      </c>
      <c r="CZ59" s="34">
        <f>IF(AND(CZ$5&gt;$E59,CZ$5&lt;=$F59),IF(CZ$5=$E59+1,$C59,""),"")</f>
        <v/>
      </c>
      <c r="DA59" s="34">
        <f>IF(AND(DA$5&gt;$E59,DA$5&lt;=$F59),IF(DA$5=$E59+1,$C59,""),"")</f>
        <v/>
      </c>
      <c r="DB59" s="34">
        <f>IF(AND(DB$5&gt;$E59,DB$5&lt;=$F59),IF(DB$5=$E59+1,$C59,""),"")</f>
        <v/>
      </c>
      <c r="DC59" s="34">
        <f>IF(AND(DC$5&gt;$E59,DC$5&lt;=$F59),IF(DC$5=$E59+1,$C59,""),"")</f>
        <v/>
      </c>
      <c r="DD59" s="34">
        <f>IF(AND(DD$5&gt;$E59,DD$5&lt;=$F59),IF(DD$5=$E59+1,$C59,""),"")</f>
        <v/>
      </c>
      <c r="DE59" s="34">
        <f>IF(AND(DE$5&gt;$E59,DE$5&lt;=$F59),IF(DE$5=$E59+1,$C59,""),"")</f>
        <v/>
      </c>
      <c r="DF59" s="34">
        <f>IF(AND(DF$5&gt;$E59,DF$5&lt;=$F59),IF(DF$5=$E59+1,$C59,""),"")</f>
        <v/>
      </c>
      <c r="DG59" s="34">
        <f>IF(AND(DG$5&gt;$E59,DG$5&lt;=$F59),IF(DG$5=$E59+1,$C59,""),"")</f>
        <v/>
      </c>
      <c r="DH59" s="34">
        <f>IF(AND(DH$5&gt;$E59,DH$5&lt;=$F59),IF(DH$5=$E59+1,$C59,""),"")</f>
        <v/>
      </c>
      <c r="DI59" s="34">
        <f>IF(AND(DI$5&gt;$E59,DI$5&lt;=$F59),IF(DI$5=$E59+1,$C59,""),"")</f>
        <v/>
      </c>
      <c r="DJ59" s="34">
        <f>IF(AND(DJ$5&gt;$E59,DJ$5&lt;=$F59),IF(DJ$5=$E59+1,$C59,""),"")</f>
        <v/>
      </c>
      <c r="DK59" s="34">
        <f>IF(AND(DK$5&gt;$E59,DK$5&lt;=$F59),IF(DK$5=$E59+1,$C59,""),"")</f>
        <v/>
      </c>
      <c r="DL59" s="34">
        <f>IF(AND(DL$5&gt;$E59,DL$5&lt;=$F59),IF(DL$5=$E59+1,$C59,""),"")</f>
        <v/>
      </c>
      <c r="DM59" s="34">
        <f>IF(AND(DM$5&gt;$E59,DM$5&lt;=$F59),IF(DM$5=$E59+1,$C59,""),"")</f>
        <v/>
      </c>
      <c r="DN59" s="34">
        <f>IF(AND(DN$5&gt;$E59,DN$5&lt;=$F59),IF(DN$5=$E59+1,$C59,""),"")</f>
        <v/>
      </c>
      <c r="DO59" s="34">
        <f>IF(AND(DO$5&gt;$E59,DO$5&lt;=$F59),IF(DO$5=$E59+1,$C59,""),"")</f>
        <v/>
      </c>
      <c r="DP59" s="34">
        <f>IF(AND(DP$5&gt;$E59,DP$5&lt;=$F59),IF(DP$5=$E59+1,$C59,""),"")</f>
        <v/>
      </c>
      <c r="DQ59" s="34">
        <f>IF(AND(DQ$5&gt;$E59,DQ$5&lt;=$F59),IF(DQ$5=$E59+1,$C59,""),"")</f>
        <v/>
      </c>
      <c r="DR59" s="34">
        <f>IF(AND(DR$5&gt;$E59,DR$5&lt;=$F59),IF(DR$5=$E59+1,$C59,""),"")</f>
        <v/>
      </c>
      <c r="DS59" s="34">
        <f>IF(AND(DS$5&gt;$E59,DS$5&lt;=$F59),IF(DS$5=$E59+1,$C59,""),"")</f>
        <v/>
      </c>
      <c r="DT59" s="34">
        <f>IF(AND(DT$5&gt;$E59,DT$5&lt;=$F59),IF(DT$5=$E59+1,$C59,""),"")</f>
        <v/>
      </c>
      <c r="DU59" s="34">
        <f>IF(AND(DU$5&gt;$E59,DU$5&lt;=$F59),IF(DU$5=$E59+1,$C59,""),"")</f>
        <v/>
      </c>
      <c r="DV59" s="34">
        <f>IF(AND(DV$5&gt;$E59,DV$5&lt;=$F59),IF(DV$5=$E59+1,$C59,""),"")</f>
        <v/>
      </c>
      <c r="DW59" s="34">
        <f>IF(AND(DW$5&gt;$E59,DW$5&lt;=$F59),IF(DW$5=$E59+1,$C59,""),"")</f>
        <v/>
      </c>
      <c r="DX59" s="34">
        <f>IF(AND(DX$5&gt;$E59,DX$5&lt;=$F59),IF(DX$5=$E59+1,$C59,""),"")</f>
        <v/>
      </c>
      <c r="DY59" s="34">
        <f>IF(AND(DY$5&gt;$E59,DY$5&lt;=$F59),IF(DY$5=$E59+1,$C59,""),"")</f>
        <v/>
      </c>
      <c r="DZ59" s="34">
        <f>IF(AND(DZ$5&gt;$E59,DZ$5&lt;=$F59),IF(DZ$5=$E59+1,$C59,""),"")</f>
        <v/>
      </c>
      <c r="EA59" s="34">
        <f>IF(AND(EA$5&gt;$E59,EA$5&lt;=$F59),IF(EA$5=$E59+1,$C59,""),"")</f>
        <v/>
      </c>
      <c r="EB59" s="34">
        <f>IF(AND(EB$5&gt;$E59,EB$5&lt;=$F59),IF(EB$5=$E59+1,$C59,""),"")</f>
        <v/>
      </c>
      <c r="EC59" s="34">
        <f>IF(AND(EC$5&gt;$E59,EC$5&lt;=$F59),IF(EC$5=$E59+1,$C59,""),"")</f>
        <v/>
      </c>
      <c r="ED59" s="34">
        <f>IF(AND(ED$5&gt;$E59,ED$5&lt;=$F59),IF(ED$5=$E59+1,$C59,""),"")</f>
        <v/>
      </c>
      <c r="EE59" s="34">
        <f>IF(AND(EE$5&gt;$E59,EE$5&lt;=$F59),IF(EE$5=$E59+1,$C59,""),"")</f>
        <v/>
      </c>
      <c r="EF59" s="34">
        <f>IF(AND(EF$5&gt;$E59,EF$5&lt;=$F59),IF(EF$5=$E59+1,$C59,""),"")</f>
        <v/>
      </c>
      <c r="EG59" s="34">
        <f>IF(AND(EG$5&gt;$E59,EG$5&lt;=$F59),IF(EG$5=$E59+1,$C59,""),"")</f>
        <v/>
      </c>
      <c r="EH59" s="34">
        <f>IF(AND(EH$5&gt;$E59,EH$5&lt;=$F59),IF(EH$5=$E59+1,$C59,""),"")</f>
        <v/>
      </c>
      <c r="EI59" s="34">
        <f>IF(AND(EI$5&gt;$E59,EI$5&lt;=$F59),IF(EI$5=$E59+1,$C59,""),"")</f>
        <v/>
      </c>
      <c r="EJ59" s="34">
        <f>IF(AND(EJ$5&gt;$E59,EJ$5&lt;=$F59),IF(EJ$5=$E59+1,$C59,""),"")</f>
        <v/>
      </c>
      <c r="EK59" s="34">
        <f>IF(AND(EK$5&gt;$E59,EK$5&lt;=$F59),IF(EK$5=$E59+1,$C59,""),"")</f>
        <v/>
      </c>
      <c r="EL59" s="34">
        <f>IF(AND(EL$5&gt;$E59,EL$5&lt;=$F59),IF(EL$5=$E59+1,$C59,""),"")</f>
        <v/>
      </c>
      <c r="EM59" s="34">
        <f>IF(AND(EM$5&gt;$E59,EM$5&lt;=$F59),IF(EM$5=$E59+1,$C59,""),"")</f>
        <v/>
      </c>
      <c r="EN59" s="34">
        <f>IF(AND(EN$5&gt;$E59,EN$5&lt;=$F59),IF(EN$5=$E59+1,$C59,""),"")</f>
        <v/>
      </c>
      <c r="EO59" s="34">
        <f>IF(AND(EO$5&gt;$E59,EO$5&lt;=$F59),IF(EO$5=$E59+1,$C59,""),"")</f>
        <v/>
      </c>
      <c r="EP59" s="34">
        <f>IF(AND(EP$5&gt;$E59,EP$5&lt;=$F59),IF(EP$5=$E59+1,$C59,""),"")</f>
        <v/>
      </c>
      <c r="EQ59" s="34">
        <f>IF(AND(EQ$5&gt;$E59,EQ$5&lt;=$F59),IF(EQ$5=$E59+1,$C59,""),"")</f>
        <v/>
      </c>
      <c r="ER59" s="34">
        <f>IF(AND(ER$5&gt;$E59,ER$5&lt;=$F59),IF(ER$5=$E59+1,$C59,""),"")</f>
        <v/>
      </c>
      <c r="ES59" s="34">
        <f>IF(AND(ES$5&gt;$E59,ES$5&lt;=$F59),IF(ES$5=$E59+1,$C59,""),"")</f>
        <v/>
      </c>
      <c r="ET59" s="34">
        <f>IF(AND(ET$5&gt;$E59,ET$5&lt;=$F59),IF(ET$5=$E59+1,$C59,""),"")</f>
        <v/>
      </c>
      <c r="EU59" s="34">
        <f>IF(AND(EU$5&gt;$E59,EU$5&lt;=$F59),IF(EU$5=$E59+1,$C59,""),"")</f>
        <v/>
      </c>
      <c r="EV59" s="34">
        <f>IF(AND(EV$5&gt;$E59,EV$5&lt;=$F59),IF(EV$5=$E59+1,$C59,""),"")</f>
        <v/>
      </c>
      <c r="EW59" s="34">
        <f>IF(AND(EW$5&gt;$E59,EW$5&lt;=$F59),IF(EW$5=$E59+1,$C59,""),"")</f>
        <v/>
      </c>
      <c r="EX59" s="34">
        <f>IF(AND(EX$5&gt;$E59,EX$5&lt;=$F59),IF(EX$5=$E59+1,$C59,""),"")</f>
        <v/>
      </c>
      <c r="EY59" s="34">
        <f>IF(AND(EY$5&gt;$E59,EY$5&lt;=$F59),IF(EY$5=$E59+1,$C59,""),"")</f>
        <v/>
      </c>
      <c r="EZ59" s="34">
        <f>IF(AND(EZ$5&gt;$E59,EZ$5&lt;=$F59),IF(EZ$5=$E59+1,$C59,""),"")</f>
        <v/>
      </c>
      <c r="FA59" s="34">
        <f>IF(AND(FA$5&gt;$E59,FA$5&lt;=$F59),IF(FA$5=$E59+1,$C59,""),"")</f>
        <v/>
      </c>
    </row>
    <row r="60">
      <c r="A60" s="32">
        <f>Plan!A78</f>
        <v/>
      </c>
      <c r="B60" s="33">
        <f>Plan!C78</f>
        <v/>
      </c>
      <c r="C60" s="16">
        <f>Plan!D78</f>
        <v/>
      </c>
      <c r="D60" s="16">
        <f>Plan!I78</f>
        <v/>
      </c>
      <c r="E60" s="16">
        <f>Plan!K78</f>
        <v/>
      </c>
      <c r="F60" s="16">
        <f>Plan!L78</f>
        <v/>
      </c>
      <c r="G60" s="16">
        <f>Plan!O78</f>
        <v/>
      </c>
      <c r="H60" s="34">
        <f>IF(AND(H$5&gt;$E60,H$5&lt;=$F60),IF(H$5=$E60+1,$C60,""),"")</f>
        <v/>
      </c>
      <c r="I60" s="34">
        <f>IF(AND(I$5&gt;$E60,I$5&lt;=$F60),IF(I$5=$E60+1,$C60,""),"")</f>
        <v/>
      </c>
      <c r="J60" s="34">
        <f>IF(AND(J$5&gt;$E60,J$5&lt;=$F60),IF(J$5=$E60+1,$C60,""),"")</f>
        <v/>
      </c>
      <c r="K60" s="34">
        <f>IF(AND(K$5&gt;$E60,K$5&lt;=$F60),IF(K$5=$E60+1,$C60,""),"")</f>
        <v/>
      </c>
      <c r="L60" s="34">
        <f>IF(AND(L$5&gt;$E60,L$5&lt;=$F60),IF(L$5=$E60+1,$C60,""),"")</f>
        <v/>
      </c>
      <c r="M60" s="34">
        <f>IF(AND(M$5&gt;$E60,M$5&lt;=$F60),IF(M$5=$E60+1,$C60,""),"")</f>
        <v/>
      </c>
      <c r="N60" s="34">
        <f>IF(AND(N$5&gt;$E60,N$5&lt;=$F60),IF(N$5=$E60+1,$C60,""),"")</f>
        <v/>
      </c>
      <c r="O60" s="34">
        <f>IF(AND(O$5&gt;$E60,O$5&lt;=$F60),IF(O$5=$E60+1,$C60,""),"")</f>
        <v/>
      </c>
      <c r="P60" s="34">
        <f>IF(AND(P$5&gt;$E60,P$5&lt;=$F60),IF(P$5=$E60+1,$C60,""),"")</f>
        <v/>
      </c>
      <c r="Q60" s="34">
        <f>IF(AND(Q$5&gt;$E60,Q$5&lt;=$F60),IF(Q$5=$E60+1,$C60,""),"")</f>
        <v/>
      </c>
      <c r="R60" s="34">
        <f>IF(AND(R$5&gt;$E60,R$5&lt;=$F60),IF(R$5=$E60+1,$C60,""),"")</f>
        <v/>
      </c>
      <c r="S60" s="34">
        <f>IF(AND(S$5&gt;$E60,S$5&lt;=$F60),IF(S$5=$E60+1,$C60,""),"")</f>
        <v/>
      </c>
      <c r="T60" s="34">
        <f>IF(AND(T$5&gt;$E60,T$5&lt;=$F60),IF(T$5=$E60+1,$C60,""),"")</f>
        <v/>
      </c>
      <c r="U60" s="34">
        <f>IF(AND(U$5&gt;$E60,U$5&lt;=$F60),IF(U$5=$E60+1,$C60,""),"")</f>
        <v/>
      </c>
      <c r="V60" s="34">
        <f>IF(AND(V$5&gt;$E60,V$5&lt;=$F60),IF(V$5=$E60+1,$C60,""),"")</f>
        <v/>
      </c>
      <c r="W60" s="34">
        <f>IF(AND(W$5&gt;$E60,W$5&lt;=$F60),IF(W$5=$E60+1,$C60,""),"")</f>
        <v/>
      </c>
      <c r="X60" s="34">
        <f>IF(AND(X$5&gt;$E60,X$5&lt;=$F60),IF(X$5=$E60+1,$C60,""),"")</f>
        <v/>
      </c>
      <c r="Y60" s="34">
        <f>IF(AND(Y$5&gt;$E60,Y$5&lt;=$F60),IF(Y$5=$E60+1,$C60,""),"")</f>
        <v/>
      </c>
      <c r="Z60" s="34">
        <f>IF(AND(Z$5&gt;$E60,Z$5&lt;=$F60),IF(Z$5=$E60+1,$C60,""),"")</f>
        <v/>
      </c>
      <c r="AA60" s="34">
        <f>IF(AND(AA$5&gt;$E60,AA$5&lt;=$F60),IF(AA$5=$E60+1,$C60,""),"")</f>
        <v/>
      </c>
      <c r="AB60" s="34">
        <f>IF(AND(AB$5&gt;$E60,AB$5&lt;=$F60),IF(AB$5=$E60+1,$C60,""),"")</f>
        <v/>
      </c>
      <c r="AC60" s="34">
        <f>IF(AND(AC$5&gt;$E60,AC$5&lt;=$F60),IF(AC$5=$E60+1,$C60,""),"")</f>
        <v/>
      </c>
      <c r="AD60" s="34">
        <f>IF(AND(AD$5&gt;$E60,AD$5&lt;=$F60),IF(AD$5=$E60+1,$C60,""),"")</f>
        <v/>
      </c>
      <c r="AE60" s="34">
        <f>IF(AND(AE$5&gt;$E60,AE$5&lt;=$F60),IF(AE$5=$E60+1,$C60,""),"")</f>
        <v/>
      </c>
      <c r="AF60" s="34">
        <f>IF(AND(AF$5&gt;$E60,AF$5&lt;=$F60),IF(AF$5=$E60+1,$C60,""),"")</f>
        <v/>
      </c>
      <c r="AG60" s="34">
        <f>IF(AND(AG$5&gt;$E60,AG$5&lt;=$F60),IF(AG$5=$E60+1,$C60,""),"")</f>
        <v/>
      </c>
      <c r="AH60" s="34">
        <f>IF(AND(AH$5&gt;$E60,AH$5&lt;=$F60),IF(AH$5=$E60+1,$C60,""),"")</f>
        <v/>
      </c>
      <c r="AI60" s="34">
        <f>IF(AND(AI$5&gt;$E60,AI$5&lt;=$F60),IF(AI$5=$E60+1,$C60,""),"")</f>
        <v/>
      </c>
      <c r="AJ60" s="34">
        <f>IF(AND(AJ$5&gt;$E60,AJ$5&lt;=$F60),IF(AJ$5=$E60+1,$C60,""),"")</f>
        <v/>
      </c>
      <c r="AK60" s="34">
        <f>IF(AND(AK$5&gt;$E60,AK$5&lt;=$F60),IF(AK$5=$E60+1,$C60,""),"")</f>
        <v/>
      </c>
      <c r="AL60" s="34">
        <f>IF(AND(AL$5&gt;$E60,AL$5&lt;=$F60),IF(AL$5=$E60+1,$C60,""),"")</f>
        <v/>
      </c>
      <c r="AM60" s="34">
        <f>IF(AND(AM$5&gt;$E60,AM$5&lt;=$F60),IF(AM$5=$E60+1,$C60,""),"")</f>
        <v/>
      </c>
      <c r="AN60" s="34">
        <f>IF(AND(AN$5&gt;$E60,AN$5&lt;=$F60),IF(AN$5=$E60+1,$C60,""),"")</f>
        <v/>
      </c>
      <c r="AO60" s="34">
        <f>IF(AND(AO$5&gt;$E60,AO$5&lt;=$F60),IF(AO$5=$E60+1,$C60,""),"")</f>
        <v/>
      </c>
      <c r="AP60" s="34">
        <f>IF(AND(AP$5&gt;$E60,AP$5&lt;=$F60),IF(AP$5=$E60+1,$C60,""),"")</f>
        <v/>
      </c>
      <c r="AQ60" s="34">
        <f>IF(AND(AQ$5&gt;$E60,AQ$5&lt;=$F60),IF(AQ$5=$E60+1,$C60,""),"")</f>
        <v/>
      </c>
      <c r="AR60" s="34">
        <f>IF(AND(AR$5&gt;$E60,AR$5&lt;=$F60),IF(AR$5=$E60+1,$C60,""),"")</f>
        <v/>
      </c>
      <c r="AS60" s="34">
        <f>IF(AND(AS$5&gt;$E60,AS$5&lt;=$F60),IF(AS$5=$E60+1,$C60,""),"")</f>
        <v/>
      </c>
      <c r="AT60" s="34">
        <f>IF(AND(AT$5&gt;$E60,AT$5&lt;=$F60),IF(AT$5=$E60+1,$C60,""),"")</f>
        <v/>
      </c>
      <c r="AU60" s="34">
        <f>IF(AND(AU$5&gt;$E60,AU$5&lt;=$F60),IF(AU$5=$E60+1,$C60,""),"")</f>
        <v/>
      </c>
      <c r="AV60" s="34">
        <f>IF(AND(AV$5&gt;$E60,AV$5&lt;=$F60),IF(AV$5=$E60+1,$C60,""),"")</f>
        <v/>
      </c>
      <c r="AW60" s="34">
        <f>IF(AND(AW$5&gt;$E60,AW$5&lt;=$F60),IF(AW$5=$E60+1,$C60,""),"")</f>
        <v/>
      </c>
      <c r="AX60" s="34">
        <f>IF(AND(AX$5&gt;$E60,AX$5&lt;=$F60),IF(AX$5=$E60+1,$C60,""),"")</f>
        <v/>
      </c>
      <c r="AY60" s="34">
        <f>IF(AND(AY$5&gt;$E60,AY$5&lt;=$F60),IF(AY$5=$E60+1,$C60,""),"")</f>
        <v/>
      </c>
      <c r="AZ60" s="34">
        <f>IF(AND(AZ$5&gt;$E60,AZ$5&lt;=$F60),IF(AZ$5=$E60+1,$C60,""),"")</f>
        <v/>
      </c>
      <c r="BA60" s="34">
        <f>IF(AND(BA$5&gt;$E60,BA$5&lt;=$F60),IF(BA$5=$E60+1,$C60,""),"")</f>
        <v/>
      </c>
      <c r="BB60" s="34">
        <f>IF(AND(BB$5&gt;$E60,BB$5&lt;=$F60),IF(BB$5=$E60+1,$C60,""),"")</f>
        <v/>
      </c>
      <c r="BC60" s="34">
        <f>IF(AND(BC$5&gt;$E60,BC$5&lt;=$F60),IF(BC$5=$E60+1,$C60,""),"")</f>
        <v/>
      </c>
      <c r="BD60" s="34">
        <f>IF(AND(BD$5&gt;$E60,BD$5&lt;=$F60),IF(BD$5=$E60+1,$C60,""),"")</f>
        <v/>
      </c>
      <c r="BE60" s="34">
        <f>IF(AND(BE$5&gt;$E60,BE$5&lt;=$F60),IF(BE$5=$E60+1,$C60,""),"")</f>
        <v/>
      </c>
      <c r="BF60" s="34">
        <f>IF(AND(BF$5&gt;$E60,BF$5&lt;=$F60),IF(BF$5=$E60+1,$C60,""),"")</f>
        <v/>
      </c>
      <c r="BG60" s="34">
        <f>IF(AND(BG$5&gt;$E60,BG$5&lt;=$F60),IF(BG$5=$E60+1,$C60,""),"")</f>
        <v/>
      </c>
      <c r="BH60" s="34">
        <f>IF(AND(BH$5&gt;$E60,BH$5&lt;=$F60),IF(BH$5=$E60+1,$C60,""),"")</f>
        <v/>
      </c>
      <c r="BI60" s="34">
        <f>IF(AND(BI$5&gt;$E60,BI$5&lt;=$F60),IF(BI$5=$E60+1,$C60,""),"")</f>
        <v/>
      </c>
      <c r="BJ60" s="34">
        <f>IF(AND(BJ$5&gt;$E60,BJ$5&lt;=$F60),IF(BJ$5=$E60+1,$C60,""),"")</f>
        <v/>
      </c>
      <c r="BK60" s="34">
        <f>IF(AND(BK$5&gt;$E60,BK$5&lt;=$F60),IF(BK$5=$E60+1,$C60,""),"")</f>
        <v/>
      </c>
      <c r="BL60" s="34">
        <f>IF(AND(BL$5&gt;$E60,BL$5&lt;=$F60),IF(BL$5=$E60+1,$C60,""),"")</f>
        <v/>
      </c>
      <c r="BM60" s="34">
        <f>IF(AND(BM$5&gt;$E60,BM$5&lt;=$F60),IF(BM$5=$E60+1,$C60,""),"")</f>
        <v/>
      </c>
      <c r="BN60" s="34">
        <f>IF(AND(BN$5&gt;$E60,BN$5&lt;=$F60),IF(BN$5=$E60+1,$C60,""),"")</f>
        <v/>
      </c>
      <c r="BO60" s="34">
        <f>IF(AND(BO$5&gt;$E60,BO$5&lt;=$F60),IF(BO$5=$E60+1,$C60,""),"")</f>
        <v/>
      </c>
      <c r="BP60" s="34">
        <f>IF(AND(BP$5&gt;$E60,BP$5&lt;=$F60),IF(BP$5=$E60+1,$C60,""),"")</f>
        <v/>
      </c>
      <c r="BQ60" s="34">
        <f>IF(AND(BQ$5&gt;$E60,BQ$5&lt;=$F60),IF(BQ$5=$E60+1,$C60,""),"")</f>
        <v/>
      </c>
      <c r="BR60" s="34">
        <f>IF(AND(BR$5&gt;$E60,BR$5&lt;=$F60),IF(BR$5=$E60+1,$C60,""),"")</f>
        <v/>
      </c>
      <c r="BS60" s="34">
        <f>IF(AND(BS$5&gt;$E60,BS$5&lt;=$F60),IF(BS$5=$E60+1,$C60,""),"")</f>
        <v/>
      </c>
      <c r="BT60" s="34">
        <f>IF(AND(BT$5&gt;$E60,BT$5&lt;=$F60),IF(BT$5=$E60+1,$C60,""),"")</f>
        <v/>
      </c>
      <c r="BU60" s="34">
        <f>IF(AND(BU$5&gt;$E60,BU$5&lt;=$F60),IF(BU$5=$E60+1,$C60,""),"")</f>
        <v/>
      </c>
      <c r="BV60" s="34">
        <f>IF(AND(BV$5&gt;$E60,BV$5&lt;=$F60),IF(BV$5=$E60+1,$C60,""),"")</f>
        <v/>
      </c>
      <c r="BW60" s="34">
        <f>IF(AND(BW$5&gt;$E60,BW$5&lt;=$F60),IF(BW$5=$E60+1,$C60,""),"")</f>
        <v/>
      </c>
      <c r="BX60" s="34">
        <f>IF(AND(BX$5&gt;$E60,BX$5&lt;=$F60),IF(BX$5=$E60+1,$C60,""),"")</f>
        <v/>
      </c>
      <c r="BY60" s="34">
        <f>IF(AND(BY$5&gt;$E60,BY$5&lt;=$F60),IF(BY$5=$E60+1,$C60,""),"")</f>
        <v/>
      </c>
      <c r="BZ60" s="34">
        <f>IF(AND(BZ$5&gt;$E60,BZ$5&lt;=$F60),IF(BZ$5=$E60+1,$C60,""),"")</f>
        <v/>
      </c>
      <c r="CA60" s="34">
        <f>IF(AND(CA$5&gt;$E60,CA$5&lt;=$F60),IF(CA$5=$E60+1,$C60,""),"")</f>
        <v/>
      </c>
      <c r="CB60" s="34">
        <f>IF(AND(CB$5&gt;$E60,CB$5&lt;=$F60),IF(CB$5=$E60+1,$C60,""),"")</f>
        <v/>
      </c>
      <c r="CC60" s="34">
        <f>IF(AND(CC$5&gt;$E60,CC$5&lt;=$F60),IF(CC$5=$E60+1,$C60,""),"")</f>
        <v/>
      </c>
      <c r="CD60" s="34">
        <f>IF(AND(CD$5&gt;$E60,CD$5&lt;=$F60),IF(CD$5=$E60+1,$C60,""),"")</f>
        <v/>
      </c>
      <c r="CE60" s="34">
        <f>IF(AND(CE$5&gt;$E60,CE$5&lt;=$F60),IF(CE$5=$E60+1,$C60,""),"")</f>
        <v/>
      </c>
      <c r="CF60" s="34">
        <f>IF(AND(CF$5&gt;$E60,CF$5&lt;=$F60),IF(CF$5=$E60+1,$C60,""),"")</f>
        <v/>
      </c>
      <c r="CG60" s="34">
        <f>IF(AND(CG$5&gt;$E60,CG$5&lt;=$F60),IF(CG$5=$E60+1,$C60,""),"")</f>
        <v/>
      </c>
      <c r="CH60" s="34">
        <f>IF(AND(CH$5&gt;$E60,CH$5&lt;=$F60),IF(CH$5=$E60+1,$C60,""),"")</f>
        <v/>
      </c>
      <c r="CI60" s="34">
        <f>IF(AND(CI$5&gt;$E60,CI$5&lt;=$F60),IF(CI$5=$E60+1,$C60,""),"")</f>
        <v/>
      </c>
      <c r="CJ60" s="34">
        <f>IF(AND(CJ$5&gt;$E60,CJ$5&lt;=$F60),IF(CJ$5=$E60+1,$C60,""),"")</f>
        <v/>
      </c>
      <c r="CK60" s="34">
        <f>IF(AND(CK$5&gt;$E60,CK$5&lt;=$F60),IF(CK$5=$E60+1,$C60,""),"")</f>
        <v/>
      </c>
      <c r="CL60" s="34">
        <f>IF(AND(CL$5&gt;$E60,CL$5&lt;=$F60),IF(CL$5=$E60+1,$C60,""),"")</f>
        <v/>
      </c>
      <c r="CM60" s="34">
        <f>IF(AND(CM$5&gt;$E60,CM$5&lt;=$F60),IF(CM$5=$E60+1,$C60,""),"")</f>
        <v/>
      </c>
      <c r="CN60" s="34">
        <f>IF(AND(CN$5&gt;$E60,CN$5&lt;=$F60),IF(CN$5=$E60+1,$C60,""),"")</f>
        <v/>
      </c>
      <c r="CO60" s="34">
        <f>IF(AND(CO$5&gt;$E60,CO$5&lt;=$F60),IF(CO$5=$E60+1,$C60,""),"")</f>
        <v/>
      </c>
      <c r="CP60" s="34">
        <f>IF(AND(CP$5&gt;$E60,CP$5&lt;=$F60),IF(CP$5=$E60+1,$C60,""),"")</f>
        <v/>
      </c>
      <c r="CQ60" s="34">
        <f>IF(AND(CQ$5&gt;$E60,CQ$5&lt;=$F60),IF(CQ$5=$E60+1,$C60,""),"")</f>
        <v/>
      </c>
      <c r="CR60" s="34">
        <f>IF(AND(CR$5&gt;$E60,CR$5&lt;=$F60),IF(CR$5=$E60+1,$C60,""),"")</f>
        <v/>
      </c>
      <c r="CS60" s="34">
        <f>IF(AND(CS$5&gt;$E60,CS$5&lt;=$F60),IF(CS$5=$E60+1,$C60,""),"")</f>
        <v/>
      </c>
      <c r="CT60" s="34">
        <f>IF(AND(CT$5&gt;$E60,CT$5&lt;=$F60),IF(CT$5=$E60+1,$C60,""),"")</f>
        <v/>
      </c>
      <c r="CU60" s="34">
        <f>IF(AND(CU$5&gt;$E60,CU$5&lt;=$F60),IF(CU$5=$E60+1,$C60,""),"")</f>
        <v/>
      </c>
      <c r="CV60" s="34">
        <f>IF(AND(CV$5&gt;$E60,CV$5&lt;=$F60),IF(CV$5=$E60+1,$C60,""),"")</f>
        <v/>
      </c>
      <c r="CW60" s="34">
        <f>IF(AND(CW$5&gt;$E60,CW$5&lt;=$F60),IF(CW$5=$E60+1,$C60,""),"")</f>
        <v/>
      </c>
      <c r="CX60" s="34">
        <f>IF(AND(CX$5&gt;$E60,CX$5&lt;=$F60),IF(CX$5=$E60+1,$C60,""),"")</f>
        <v/>
      </c>
      <c r="CY60" s="34">
        <f>IF(AND(CY$5&gt;$E60,CY$5&lt;=$F60),IF(CY$5=$E60+1,$C60,""),"")</f>
        <v/>
      </c>
      <c r="CZ60" s="34">
        <f>IF(AND(CZ$5&gt;$E60,CZ$5&lt;=$F60),IF(CZ$5=$E60+1,$C60,""),"")</f>
        <v/>
      </c>
      <c r="DA60" s="34">
        <f>IF(AND(DA$5&gt;$E60,DA$5&lt;=$F60),IF(DA$5=$E60+1,$C60,""),"")</f>
        <v/>
      </c>
      <c r="DB60" s="34">
        <f>IF(AND(DB$5&gt;$E60,DB$5&lt;=$F60),IF(DB$5=$E60+1,$C60,""),"")</f>
        <v/>
      </c>
      <c r="DC60" s="34">
        <f>IF(AND(DC$5&gt;$E60,DC$5&lt;=$F60),IF(DC$5=$E60+1,$C60,""),"")</f>
        <v/>
      </c>
      <c r="DD60" s="34">
        <f>IF(AND(DD$5&gt;$E60,DD$5&lt;=$F60),IF(DD$5=$E60+1,$C60,""),"")</f>
        <v/>
      </c>
      <c r="DE60" s="34">
        <f>IF(AND(DE$5&gt;$E60,DE$5&lt;=$F60),IF(DE$5=$E60+1,$C60,""),"")</f>
        <v/>
      </c>
      <c r="DF60" s="34">
        <f>IF(AND(DF$5&gt;$E60,DF$5&lt;=$F60),IF(DF$5=$E60+1,$C60,""),"")</f>
        <v/>
      </c>
      <c r="DG60" s="34">
        <f>IF(AND(DG$5&gt;$E60,DG$5&lt;=$F60),IF(DG$5=$E60+1,$C60,""),"")</f>
        <v/>
      </c>
      <c r="DH60" s="34">
        <f>IF(AND(DH$5&gt;$E60,DH$5&lt;=$F60),IF(DH$5=$E60+1,$C60,""),"")</f>
        <v/>
      </c>
      <c r="DI60" s="34">
        <f>IF(AND(DI$5&gt;$E60,DI$5&lt;=$F60),IF(DI$5=$E60+1,$C60,""),"")</f>
        <v/>
      </c>
      <c r="DJ60" s="34">
        <f>IF(AND(DJ$5&gt;$E60,DJ$5&lt;=$F60),IF(DJ$5=$E60+1,$C60,""),"")</f>
        <v/>
      </c>
      <c r="DK60" s="34">
        <f>IF(AND(DK$5&gt;$E60,DK$5&lt;=$F60),IF(DK$5=$E60+1,$C60,""),"")</f>
        <v/>
      </c>
      <c r="DL60" s="34">
        <f>IF(AND(DL$5&gt;$E60,DL$5&lt;=$F60),IF(DL$5=$E60+1,$C60,""),"")</f>
        <v/>
      </c>
      <c r="DM60" s="34">
        <f>IF(AND(DM$5&gt;$E60,DM$5&lt;=$F60),IF(DM$5=$E60+1,$C60,""),"")</f>
        <v/>
      </c>
      <c r="DN60" s="34">
        <f>IF(AND(DN$5&gt;$E60,DN$5&lt;=$F60),IF(DN$5=$E60+1,$C60,""),"")</f>
        <v/>
      </c>
      <c r="DO60" s="34">
        <f>IF(AND(DO$5&gt;$E60,DO$5&lt;=$F60),IF(DO$5=$E60+1,$C60,""),"")</f>
        <v/>
      </c>
      <c r="DP60" s="34">
        <f>IF(AND(DP$5&gt;$E60,DP$5&lt;=$F60),IF(DP$5=$E60+1,$C60,""),"")</f>
        <v/>
      </c>
      <c r="DQ60" s="34">
        <f>IF(AND(DQ$5&gt;$E60,DQ$5&lt;=$F60),IF(DQ$5=$E60+1,$C60,""),"")</f>
        <v/>
      </c>
      <c r="DR60" s="34">
        <f>IF(AND(DR$5&gt;$E60,DR$5&lt;=$F60),IF(DR$5=$E60+1,$C60,""),"")</f>
        <v/>
      </c>
      <c r="DS60" s="34">
        <f>IF(AND(DS$5&gt;$E60,DS$5&lt;=$F60),IF(DS$5=$E60+1,$C60,""),"")</f>
        <v/>
      </c>
      <c r="DT60" s="34">
        <f>IF(AND(DT$5&gt;$E60,DT$5&lt;=$F60),IF(DT$5=$E60+1,$C60,""),"")</f>
        <v/>
      </c>
      <c r="DU60" s="34">
        <f>IF(AND(DU$5&gt;$E60,DU$5&lt;=$F60),IF(DU$5=$E60+1,$C60,""),"")</f>
        <v/>
      </c>
      <c r="DV60" s="34">
        <f>IF(AND(DV$5&gt;$E60,DV$5&lt;=$F60),IF(DV$5=$E60+1,$C60,""),"")</f>
        <v/>
      </c>
      <c r="DW60" s="34">
        <f>IF(AND(DW$5&gt;$E60,DW$5&lt;=$F60),IF(DW$5=$E60+1,$C60,""),"")</f>
        <v/>
      </c>
      <c r="DX60" s="34">
        <f>IF(AND(DX$5&gt;$E60,DX$5&lt;=$F60),IF(DX$5=$E60+1,$C60,""),"")</f>
        <v/>
      </c>
      <c r="DY60" s="34">
        <f>IF(AND(DY$5&gt;$E60,DY$5&lt;=$F60),IF(DY$5=$E60+1,$C60,""),"")</f>
        <v/>
      </c>
      <c r="DZ60" s="34">
        <f>IF(AND(DZ$5&gt;$E60,DZ$5&lt;=$F60),IF(DZ$5=$E60+1,$C60,""),"")</f>
        <v/>
      </c>
      <c r="EA60" s="34">
        <f>IF(AND(EA$5&gt;$E60,EA$5&lt;=$F60),IF(EA$5=$E60+1,$C60,""),"")</f>
        <v/>
      </c>
      <c r="EB60" s="34">
        <f>IF(AND(EB$5&gt;$E60,EB$5&lt;=$F60),IF(EB$5=$E60+1,$C60,""),"")</f>
        <v/>
      </c>
      <c r="EC60" s="34">
        <f>IF(AND(EC$5&gt;$E60,EC$5&lt;=$F60),IF(EC$5=$E60+1,$C60,""),"")</f>
        <v/>
      </c>
      <c r="ED60" s="34">
        <f>IF(AND(ED$5&gt;$E60,ED$5&lt;=$F60),IF(ED$5=$E60+1,$C60,""),"")</f>
        <v/>
      </c>
      <c r="EE60" s="34">
        <f>IF(AND(EE$5&gt;$E60,EE$5&lt;=$F60),IF(EE$5=$E60+1,$C60,""),"")</f>
        <v/>
      </c>
      <c r="EF60" s="34">
        <f>IF(AND(EF$5&gt;$E60,EF$5&lt;=$F60),IF(EF$5=$E60+1,$C60,""),"")</f>
        <v/>
      </c>
      <c r="EG60" s="34">
        <f>IF(AND(EG$5&gt;$E60,EG$5&lt;=$F60),IF(EG$5=$E60+1,$C60,""),"")</f>
        <v/>
      </c>
      <c r="EH60" s="34">
        <f>IF(AND(EH$5&gt;$E60,EH$5&lt;=$F60),IF(EH$5=$E60+1,$C60,""),"")</f>
        <v/>
      </c>
      <c r="EI60" s="34">
        <f>IF(AND(EI$5&gt;$E60,EI$5&lt;=$F60),IF(EI$5=$E60+1,$C60,""),"")</f>
        <v/>
      </c>
      <c r="EJ60" s="34">
        <f>IF(AND(EJ$5&gt;$E60,EJ$5&lt;=$F60),IF(EJ$5=$E60+1,$C60,""),"")</f>
        <v/>
      </c>
      <c r="EK60" s="34">
        <f>IF(AND(EK$5&gt;$E60,EK$5&lt;=$F60),IF(EK$5=$E60+1,$C60,""),"")</f>
        <v/>
      </c>
      <c r="EL60" s="34">
        <f>IF(AND(EL$5&gt;$E60,EL$5&lt;=$F60),IF(EL$5=$E60+1,$C60,""),"")</f>
        <v/>
      </c>
      <c r="EM60" s="34">
        <f>IF(AND(EM$5&gt;$E60,EM$5&lt;=$F60),IF(EM$5=$E60+1,$C60,""),"")</f>
        <v/>
      </c>
      <c r="EN60" s="34">
        <f>IF(AND(EN$5&gt;$E60,EN$5&lt;=$F60),IF(EN$5=$E60+1,$C60,""),"")</f>
        <v/>
      </c>
      <c r="EO60" s="34">
        <f>IF(AND(EO$5&gt;$E60,EO$5&lt;=$F60),IF(EO$5=$E60+1,$C60,""),"")</f>
        <v/>
      </c>
      <c r="EP60" s="34">
        <f>IF(AND(EP$5&gt;$E60,EP$5&lt;=$F60),IF(EP$5=$E60+1,$C60,""),"")</f>
        <v/>
      </c>
      <c r="EQ60" s="34">
        <f>IF(AND(EQ$5&gt;$E60,EQ$5&lt;=$F60),IF(EQ$5=$E60+1,$C60,""),"")</f>
        <v/>
      </c>
      <c r="ER60" s="34">
        <f>IF(AND(ER$5&gt;$E60,ER$5&lt;=$F60),IF(ER$5=$E60+1,$C60,""),"")</f>
        <v/>
      </c>
      <c r="ES60" s="34">
        <f>IF(AND(ES$5&gt;$E60,ES$5&lt;=$F60),IF(ES$5=$E60+1,$C60,""),"")</f>
        <v/>
      </c>
      <c r="ET60" s="34">
        <f>IF(AND(ET$5&gt;$E60,ET$5&lt;=$F60),IF(ET$5=$E60+1,$C60,""),"")</f>
        <v/>
      </c>
      <c r="EU60" s="34">
        <f>IF(AND(EU$5&gt;$E60,EU$5&lt;=$F60),IF(EU$5=$E60+1,$C60,""),"")</f>
        <v/>
      </c>
      <c r="EV60" s="34">
        <f>IF(AND(EV$5&gt;$E60,EV$5&lt;=$F60),IF(EV$5=$E60+1,$C60,""),"")</f>
        <v/>
      </c>
      <c r="EW60" s="34">
        <f>IF(AND(EW$5&gt;$E60,EW$5&lt;=$F60),IF(EW$5=$E60+1,$C60,""),"")</f>
        <v/>
      </c>
      <c r="EX60" s="34">
        <f>IF(AND(EX$5&gt;$E60,EX$5&lt;=$F60),IF(EX$5=$E60+1,$C60,""),"")</f>
        <v/>
      </c>
      <c r="EY60" s="34">
        <f>IF(AND(EY$5&gt;$E60,EY$5&lt;=$F60),IF(EY$5=$E60+1,$C60,""),"")</f>
        <v/>
      </c>
      <c r="EZ60" s="34">
        <f>IF(AND(EZ$5&gt;$E60,EZ$5&lt;=$F60),IF(EZ$5=$E60+1,$C60,""),"")</f>
        <v/>
      </c>
      <c r="FA60" s="34">
        <f>IF(AND(FA$5&gt;$E60,FA$5&lt;=$F60),IF(FA$5=$E60+1,$C60,""),"")</f>
        <v/>
      </c>
    </row>
    <row r="61">
      <c r="A61" s="32">
        <f>Plan!A80</f>
        <v/>
      </c>
      <c r="B61" s="33">
        <f>Plan!C80</f>
        <v/>
      </c>
      <c r="C61" s="16">
        <f>Plan!D80</f>
        <v/>
      </c>
      <c r="D61" s="16">
        <f>Plan!I80</f>
        <v/>
      </c>
      <c r="E61" s="16">
        <f>Plan!K80</f>
        <v/>
      </c>
      <c r="F61" s="16">
        <f>Plan!L80</f>
        <v/>
      </c>
      <c r="G61" s="16">
        <f>Plan!O80</f>
        <v/>
      </c>
      <c r="H61" s="34">
        <f>IF(AND(H$5&gt;$E61,H$5&lt;=$F61),IF(H$5=$E61+1,$C61,""),"")</f>
        <v/>
      </c>
      <c r="I61" s="34">
        <f>IF(AND(I$5&gt;$E61,I$5&lt;=$F61),IF(I$5=$E61+1,$C61,""),"")</f>
        <v/>
      </c>
      <c r="J61" s="34">
        <f>IF(AND(J$5&gt;$E61,J$5&lt;=$F61),IF(J$5=$E61+1,$C61,""),"")</f>
        <v/>
      </c>
      <c r="K61" s="34">
        <f>IF(AND(K$5&gt;$E61,K$5&lt;=$F61),IF(K$5=$E61+1,$C61,""),"")</f>
        <v/>
      </c>
      <c r="L61" s="34">
        <f>IF(AND(L$5&gt;$E61,L$5&lt;=$F61),IF(L$5=$E61+1,$C61,""),"")</f>
        <v/>
      </c>
      <c r="M61" s="34">
        <f>IF(AND(M$5&gt;$E61,M$5&lt;=$F61),IF(M$5=$E61+1,$C61,""),"")</f>
        <v/>
      </c>
      <c r="N61" s="34">
        <f>IF(AND(N$5&gt;$E61,N$5&lt;=$F61),IF(N$5=$E61+1,$C61,""),"")</f>
        <v/>
      </c>
      <c r="O61" s="34">
        <f>IF(AND(O$5&gt;$E61,O$5&lt;=$F61),IF(O$5=$E61+1,$C61,""),"")</f>
        <v/>
      </c>
      <c r="P61" s="34">
        <f>IF(AND(P$5&gt;$E61,P$5&lt;=$F61),IF(P$5=$E61+1,$C61,""),"")</f>
        <v/>
      </c>
      <c r="Q61" s="34">
        <f>IF(AND(Q$5&gt;$E61,Q$5&lt;=$F61),IF(Q$5=$E61+1,$C61,""),"")</f>
        <v/>
      </c>
      <c r="R61" s="34">
        <f>IF(AND(R$5&gt;$E61,R$5&lt;=$F61),IF(R$5=$E61+1,$C61,""),"")</f>
        <v/>
      </c>
      <c r="S61" s="34">
        <f>IF(AND(S$5&gt;$E61,S$5&lt;=$F61),IF(S$5=$E61+1,$C61,""),"")</f>
        <v/>
      </c>
      <c r="T61" s="34">
        <f>IF(AND(T$5&gt;$E61,T$5&lt;=$F61),IF(T$5=$E61+1,$C61,""),"")</f>
        <v/>
      </c>
      <c r="U61" s="34">
        <f>IF(AND(U$5&gt;$E61,U$5&lt;=$F61),IF(U$5=$E61+1,$C61,""),"")</f>
        <v/>
      </c>
      <c r="V61" s="34">
        <f>IF(AND(V$5&gt;$E61,V$5&lt;=$F61),IF(V$5=$E61+1,$C61,""),"")</f>
        <v/>
      </c>
      <c r="W61" s="34">
        <f>IF(AND(W$5&gt;$E61,W$5&lt;=$F61),IF(W$5=$E61+1,$C61,""),"")</f>
        <v/>
      </c>
      <c r="X61" s="34">
        <f>IF(AND(X$5&gt;$E61,X$5&lt;=$F61),IF(X$5=$E61+1,$C61,""),"")</f>
        <v/>
      </c>
      <c r="Y61" s="34">
        <f>IF(AND(Y$5&gt;$E61,Y$5&lt;=$F61),IF(Y$5=$E61+1,$C61,""),"")</f>
        <v/>
      </c>
      <c r="Z61" s="34">
        <f>IF(AND(Z$5&gt;$E61,Z$5&lt;=$F61),IF(Z$5=$E61+1,$C61,""),"")</f>
        <v/>
      </c>
      <c r="AA61" s="34">
        <f>IF(AND(AA$5&gt;$E61,AA$5&lt;=$F61),IF(AA$5=$E61+1,$C61,""),"")</f>
        <v/>
      </c>
      <c r="AB61" s="34">
        <f>IF(AND(AB$5&gt;$E61,AB$5&lt;=$F61),IF(AB$5=$E61+1,$C61,""),"")</f>
        <v/>
      </c>
      <c r="AC61" s="34">
        <f>IF(AND(AC$5&gt;$E61,AC$5&lt;=$F61),IF(AC$5=$E61+1,$C61,""),"")</f>
        <v/>
      </c>
      <c r="AD61" s="34">
        <f>IF(AND(AD$5&gt;$E61,AD$5&lt;=$F61),IF(AD$5=$E61+1,$C61,""),"")</f>
        <v/>
      </c>
      <c r="AE61" s="34">
        <f>IF(AND(AE$5&gt;$E61,AE$5&lt;=$F61),IF(AE$5=$E61+1,$C61,""),"")</f>
        <v/>
      </c>
      <c r="AF61" s="34">
        <f>IF(AND(AF$5&gt;$E61,AF$5&lt;=$F61),IF(AF$5=$E61+1,$C61,""),"")</f>
        <v/>
      </c>
      <c r="AG61" s="34">
        <f>IF(AND(AG$5&gt;$E61,AG$5&lt;=$F61),IF(AG$5=$E61+1,$C61,""),"")</f>
        <v/>
      </c>
      <c r="AH61" s="34">
        <f>IF(AND(AH$5&gt;$E61,AH$5&lt;=$F61),IF(AH$5=$E61+1,$C61,""),"")</f>
        <v/>
      </c>
      <c r="AI61" s="34">
        <f>IF(AND(AI$5&gt;$E61,AI$5&lt;=$F61),IF(AI$5=$E61+1,$C61,""),"")</f>
        <v/>
      </c>
      <c r="AJ61" s="34">
        <f>IF(AND(AJ$5&gt;$E61,AJ$5&lt;=$F61),IF(AJ$5=$E61+1,$C61,""),"")</f>
        <v/>
      </c>
      <c r="AK61" s="34">
        <f>IF(AND(AK$5&gt;$E61,AK$5&lt;=$F61),IF(AK$5=$E61+1,$C61,""),"")</f>
        <v/>
      </c>
      <c r="AL61" s="34">
        <f>IF(AND(AL$5&gt;$E61,AL$5&lt;=$F61),IF(AL$5=$E61+1,$C61,""),"")</f>
        <v/>
      </c>
      <c r="AM61" s="34">
        <f>IF(AND(AM$5&gt;$E61,AM$5&lt;=$F61),IF(AM$5=$E61+1,$C61,""),"")</f>
        <v/>
      </c>
      <c r="AN61" s="34">
        <f>IF(AND(AN$5&gt;$E61,AN$5&lt;=$F61),IF(AN$5=$E61+1,$C61,""),"")</f>
        <v/>
      </c>
      <c r="AO61" s="34">
        <f>IF(AND(AO$5&gt;$E61,AO$5&lt;=$F61),IF(AO$5=$E61+1,$C61,""),"")</f>
        <v/>
      </c>
      <c r="AP61" s="34">
        <f>IF(AND(AP$5&gt;$E61,AP$5&lt;=$F61),IF(AP$5=$E61+1,$C61,""),"")</f>
        <v/>
      </c>
      <c r="AQ61" s="34">
        <f>IF(AND(AQ$5&gt;$E61,AQ$5&lt;=$F61),IF(AQ$5=$E61+1,$C61,""),"")</f>
        <v/>
      </c>
      <c r="AR61" s="34">
        <f>IF(AND(AR$5&gt;$E61,AR$5&lt;=$F61),IF(AR$5=$E61+1,$C61,""),"")</f>
        <v/>
      </c>
      <c r="AS61" s="34">
        <f>IF(AND(AS$5&gt;$E61,AS$5&lt;=$F61),IF(AS$5=$E61+1,$C61,""),"")</f>
        <v/>
      </c>
      <c r="AT61" s="34">
        <f>IF(AND(AT$5&gt;$E61,AT$5&lt;=$F61),IF(AT$5=$E61+1,$C61,""),"")</f>
        <v/>
      </c>
      <c r="AU61" s="34">
        <f>IF(AND(AU$5&gt;$E61,AU$5&lt;=$F61),IF(AU$5=$E61+1,$C61,""),"")</f>
        <v/>
      </c>
      <c r="AV61" s="34">
        <f>IF(AND(AV$5&gt;$E61,AV$5&lt;=$F61),IF(AV$5=$E61+1,$C61,""),"")</f>
        <v/>
      </c>
      <c r="AW61" s="34">
        <f>IF(AND(AW$5&gt;$E61,AW$5&lt;=$F61),IF(AW$5=$E61+1,$C61,""),"")</f>
        <v/>
      </c>
      <c r="AX61" s="34">
        <f>IF(AND(AX$5&gt;$E61,AX$5&lt;=$F61),IF(AX$5=$E61+1,$C61,""),"")</f>
        <v/>
      </c>
      <c r="AY61" s="34">
        <f>IF(AND(AY$5&gt;$E61,AY$5&lt;=$F61),IF(AY$5=$E61+1,$C61,""),"")</f>
        <v/>
      </c>
      <c r="AZ61" s="34">
        <f>IF(AND(AZ$5&gt;$E61,AZ$5&lt;=$F61),IF(AZ$5=$E61+1,$C61,""),"")</f>
        <v/>
      </c>
      <c r="BA61" s="34">
        <f>IF(AND(BA$5&gt;$E61,BA$5&lt;=$F61),IF(BA$5=$E61+1,$C61,""),"")</f>
        <v/>
      </c>
      <c r="BB61" s="34">
        <f>IF(AND(BB$5&gt;$E61,BB$5&lt;=$F61),IF(BB$5=$E61+1,$C61,""),"")</f>
        <v/>
      </c>
      <c r="BC61" s="34">
        <f>IF(AND(BC$5&gt;$E61,BC$5&lt;=$F61),IF(BC$5=$E61+1,$C61,""),"")</f>
        <v/>
      </c>
      <c r="BD61" s="34">
        <f>IF(AND(BD$5&gt;$E61,BD$5&lt;=$F61),IF(BD$5=$E61+1,$C61,""),"")</f>
        <v/>
      </c>
      <c r="BE61" s="34">
        <f>IF(AND(BE$5&gt;$E61,BE$5&lt;=$F61),IF(BE$5=$E61+1,$C61,""),"")</f>
        <v/>
      </c>
      <c r="BF61" s="34">
        <f>IF(AND(BF$5&gt;$E61,BF$5&lt;=$F61),IF(BF$5=$E61+1,$C61,""),"")</f>
        <v/>
      </c>
      <c r="BG61" s="34">
        <f>IF(AND(BG$5&gt;$E61,BG$5&lt;=$F61),IF(BG$5=$E61+1,$C61,""),"")</f>
        <v/>
      </c>
      <c r="BH61" s="34">
        <f>IF(AND(BH$5&gt;$E61,BH$5&lt;=$F61),IF(BH$5=$E61+1,$C61,""),"")</f>
        <v/>
      </c>
      <c r="BI61" s="34">
        <f>IF(AND(BI$5&gt;$E61,BI$5&lt;=$F61),IF(BI$5=$E61+1,$C61,""),"")</f>
        <v/>
      </c>
      <c r="BJ61" s="34">
        <f>IF(AND(BJ$5&gt;$E61,BJ$5&lt;=$F61),IF(BJ$5=$E61+1,$C61,""),"")</f>
        <v/>
      </c>
      <c r="BK61" s="34">
        <f>IF(AND(BK$5&gt;$E61,BK$5&lt;=$F61),IF(BK$5=$E61+1,$C61,""),"")</f>
        <v/>
      </c>
      <c r="BL61" s="34">
        <f>IF(AND(BL$5&gt;$E61,BL$5&lt;=$F61),IF(BL$5=$E61+1,$C61,""),"")</f>
        <v/>
      </c>
      <c r="BM61" s="34">
        <f>IF(AND(BM$5&gt;$E61,BM$5&lt;=$F61),IF(BM$5=$E61+1,$C61,""),"")</f>
        <v/>
      </c>
      <c r="BN61" s="34">
        <f>IF(AND(BN$5&gt;$E61,BN$5&lt;=$F61),IF(BN$5=$E61+1,$C61,""),"")</f>
        <v/>
      </c>
      <c r="BO61" s="34">
        <f>IF(AND(BO$5&gt;$E61,BO$5&lt;=$F61),IF(BO$5=$E61+1,$C61,""),"")</f>
        <v/>
      </c>
      <c r="BP61" s="34">
        <f>IF(AND(BP$5&gt;$E61,BP$5&lt;=$F61),IF(BP$5=$E61+1,$C61,""),"")</f>
        <v/>
      </c>
      <c r="BQ61" s="34">
        <f>IF(AND(BQ$5&gt;$E61,BQ$5&lt;=$F61),IF(BQ$5=$E61+1,$C61,""),"")</f>
        <v/>
      </c>
      <c r="BR61" s="34">
        <f>IF(AND(BR$5&gt;$E61,BR$5&lt;=$F61),IF(BR$5=$E61+1,$C61,""),"")</f>
        <v/>
      </c>
      <c r="BS61" s="34">
        <f>IF(AND(BS$5&gt;$E61,BS$5&lt;=$F61),IF(BS$5=$E61+1,$C61,""),"")</f>
        <v/>
      </c>
      <c r="BT61" s="34">
        <f>IF(AND(BT$5&gt;$E61,BT$5&lt;=$F61),IF(BT$5=$E61+1,$C61,""),"")</f>
        <v/>
      </c>
      <c r="BU61" s="34">
        <f>IF(AND(BU$5&gt;$E61,BU$5&lt;=$F61),IF(BU$5=$E61+1,$C61,""),"")</f>
        <v/>
      </c>
      <c r="BV61" s="34">
        <f>IF(AND(BV$5&gt;$E61,BV$5&lt;=$F61),IF(BV$5=$E61+1,$C61,""),"")</f>
        <v/>
      </c>
      <c r="BW61" s="34">
        <f>IF(AND(BW$5&gt;$E61,BW$5&lt;=$F61),IF(BW$5=$E61+1,$C61,""),"")</f>
        <v/>
      </c>
      <c r="BX61" s="34">
        <f>IF(AND(BX$5&gt;$E61,BX$5&lt;=$F61),IF(BX$5=$E61+1,$C61,""),"")</f>
        <v/>
      </c>
      <c r="BY61" s="34">
        <f>IF(AND(BY$5&gt;$E61,BY$5&lt;=$F61),IF(BY$5=$E61+1,$C61,""),"")</f>
        <v/>
      </c>
      <c r="BZ61" s="34">
        <f>IF(AND(BZ$5&gt;$E61,BZ$5&lt;=$F61),IF(BZ$5=$E61+1,$C61,""),"")</f>
        <v/>
      </c>
      <c r="CA61" s="34">
        <f>IF(AND(CA$5&gt;$E61,CA$5&lt;=$F61),IF(CA$5=$E61+1,$C61,""),"")</f>
        <v/>
      </c>
      <c r="CB61" s="34">
        <f>IF(AND(CB$5&gt;$E61,CB$5&lt;=$F61),IF(CB$5=$E61+1,$C61,""),"")</f>
        <v/>
      </c>
      <c r="CC61" s="34">
        <f>IF(AND(CC$5&gt;$E61,CC$5&lt;=$F61),IF(CC$5=$E61+1,$C61,""),"")</f>
        <v/>
      </c>
      <c r="CD61" s="34">
        <f>IF(AND(CD$5&gt;$E61,CD$5&lt;=$F61),IF(CD$5=$E61+1,$C61,""),"")</f>
        <v/>
      </c>
      <c r="CE61" s="34">
        <f>IF(AND(CE$5&gt;$E61,CE$5&lt;=$F61),IF(CE$5=$E61+1,$C61,""),"")</f>
        <v/>
      </c>
      <c r="CF61" s="34">
        <f>IF(AND(CF$5&gt;$E61,CF$5&lt;=$F61),IF(CF$5=$E61+1,$C61,""),"")</f>
        <v/>
      </c>
      <c r="CG61" s="34">
        <f>IF(AND(CG$5&gt;$E61,CG$5&lt;=$F61),IF(CG$5=$E61+1,$C61,""),"")</f>
        <v/>
      </c>
      <c r="CH61" s="34">
        <f>IF(AND(CH$5&gt;$E61,CH$5&lt;=$F61),IF(CH$5=$E61+1,$C61,""),"")</f>
        <v/>
      </c>
      <c r="CI61" s="34">
        <f>IF(AND(CI$5&gt;$E61,CI$5&lt;=$F61),IF(CI$5=$E61+1,$C61,""),"")</f>
        <v/>
      </c>
      <c r="CJ61" s="34">
        <f>IF(AND(CJ$5&gt;$E61,CJ$5&lt;=$F61),IF(CJ$5=$E61+1,$C61,""),"")</f>
        <v/>
      </c>
      <c r="CK61" s="34">
        <f>IF(AND(CK$5&gt;$E61,CK$5&lt;=$F61),IF(CK$5=$E61+1,$C61,""),"")</f>
        <v/>
      </c>
      <c r="CL61" s="34">
        <f>IF(AND(CL$5&gt;$E61,CL$5&lt;=$F61),IF(CL$5=$E61+1,$C61,""),"")</f>
        <v/>
      </c>
      <c r="CM61" s="34">
        <f>IF(AND(CM$5&gt;$E61,CM$5&lt;=$F61),IF(CM$5=$E61+1,$C61,""),"")</f>
        <v/>
      </c>
      <c r="CN61" s="34">
        <f>IF(AND(CN$5&gt;$E61,CN$5&lt;=$F61),IF(CN$5=$E61+1,$C61,""),"")</f>
        <v/>
      </c>
      <c r="CO61" s="34">
        <f>IF(AND(CO$5&gt;$E61,CO$5&lt;=$F61),IF(CO$5=$E61+1,$C61,""),"")</f>
        <v/>
      </c>
      <c r="CP61" s="34">
        <f>IF(AND(CP$5&gt;$E61,CP$5&lt;=$F61),IF(CP$5=$E61+1,$C61,""),"")</f>
        <v/>
      </c>
      <c r="CQ61" s="34">
        <f>IF(AND(CQ$5&gt;$E61,CQ$5&lt;=$F61),IF(CQ$5=$E61+1,$C61,""),"")</f>
        <v/>
      </c>
      <c r="CR61" s="34">
        <f>IF(AND(CR$5&gt;$E61,CR$5&lt;=$F61),IF(CR$5=$E61+1,$C61,""),"")</f>
        <v/>
      </c>
      <c r="CS61" s="34">
        <f>IF(AND(CS$5&gt;$E61,CS$5&lt;=$F61),IF(CS$5=$E61+1,$C61,""),"")</f>
        <v/>
      </c>
      <c r="CT61" s="34">
        <f>IF(AND(CT$5&gt;$E61,CT$5&lt;=$F61),IF(CT$5=$E61+1,$C61,""),"")</f>
        <v/>
      </c>
      <c r="CU61" s="34">
        <f>IF(AND(CU$5&gt;$E61,CU$5&lt;=$F61),IF(CU$5=$E61+1,$C61,""),"")</f>
        <v/>
      </c>
      <c r="CV61" s="34">
        <f>IF(AND(CV$5&gt;$E61,CV$5&lt;=$F61),IF(CV$5=$E61+1,$C61,""),"")</f>
        <v/>
      </c>
      <c r="CW61" s="34">
        <f>IF(AND(CW$5&gt;$E61,CW$5&lt;=$F61),IF(CW$5=$E61+1,$C61,""),"")</f>
        <v/>
      </c>
      <c r="CX61" s="34">
        <f>IF(AND(CX$5&gt;$E61,CX$5&lt;=$F61),IF(CX$5=$E61+1,$C61,""),"")</f>
        <v/>
      </c>
      <c r="CY61" s="34">
        <f>IF(AND(CY$5&gt;$E61,CY$5&lt;=$F61),IF(CY$5=$E61+1,$C61,""),"")</f>
        <v/>
      </c>
      <c r="CZ61" s="34">
        <f>IF(AND(CZ$5&gt;$E61,CZ$5&lt;=$F61),IF(CZ$5=$E61+1,$C61,""),"")</f>
        <v/>
      </c>
      <c r="DA61" s="34">
        <f>IF(AND(DA$5&gt;$E61,DA$5&lt;=$F61),IF(DA$5=$E61+1,$C61,""),"")</f>
        <v/>
      </c>
      <c r="DB61" s="34">
        <f>IF(AND(DB$5&gt;$E61,DB$5&lt;=$F61),IF(DB$5=$E61+1,$C61,""),"")</f>
        <v/>
      </c>
      <c r="DC61" s="34">
        <f>IF(AND(DC$5&gt;$E61,DC$5&lt;=$F61),IF(DC$5=$E61+1,$C61,""),"")</f>
        <v/>
      </c>
      <c r="DD61" s="34">
        <f>IF(AND(DD$5&gt;$E61,DD$5&lt;=$F61),IF(DD$5=$E61+1,$C61,""),"")</f>
        <v/>
      </c>
      <c r="DE61" s="34">
        <f>IF(AND(DE$5&gt;$E61,DE$5&lt;=$F61),IF(DE$5=$E61+1,$C61,""),"")</f>
        <v/>
      </c>
      <c r="DF61" s="34">
        <f>IF(AND(DF$5&gt;$E61,DF$5&lt;=$F61),IF(DF$5=$E61+1,$C61,""),"")</f>
        <v/>
      </c>
      <c r="DG61" s="34">
        <f>IF(AND(DG$5&gt;$E61,DG$5&lt;=$F61),IF(DG$5=$E61+1,$C61,""),"")</f>
        <v/>
      </c>
      <c r="DH61" s="34">
        <f>IF(AND(DH$5&gt;$E61,DH$5&lt;=$F61),IF(DH$5=$E61+1,$C61,""),"")</f>
        <v/>
      </c>
      <c r="DI61" s="34">
        <f>IF(AND(DI$5&gt;$E61,DI$5&lt;=$F61),IF(DI$5=$E61+1,$C61,""),"")</f>
        <v/>
      </c>
      <c r="DJ61" s="34">
        <f>IF(AND(DJ$5&gt;$E61,DJ$5&lt;=$F61),IF(DJ$5=$E61+1,$C61,""),"")</f>
        <v/>
      </c>
      <c r="DK61" s="34">
        <f>IF(AND(DK$5&gt;$E61,DK$5&lt;=$F61),IF(DK$5=$E61+1,$C61,""),"")</f>
        <v/>
      </c>
      <c r="DL61" s="34">
        <f>IF(AND(DL$5&gt;$E61,DL$5&lt;=$F61),IF(DL$5=$E61+1,$C61,""),"")</f>
        <v/>
      </c>
      <c r="DM61" s="34">
        <f>IF(AND(DM$5&gt;$E61,DM$5&lt;=$F61),IF(DM$5=$E61+1,$C61,""),"")</f>
        <v/>
      </c>
      <c r="DN61" s="34">
        <f>IF(AND(DN$5&gt;$E61,DN$5&lt;=$F61),IF(DN$5=$E61+1,$C61,""),"")</f>
        <v/>
      </c>
      <c r="DO61" s="34">
        <f>IF(AND(DO$5&gt;$E61,DO$5&lt;=$F61),IF(DO$5=$E61+1,$C61,""),"")</f>
        <v/>
      </c>
      <c r="DP61" s="34">
        <f>IF(AND(DP$5&gt;$E61,DP$5&lt;=$F61),IF(DP$5=$E61+1,$C61,""),"")</f>
        <v/>
      </c>
      <c r="DQ61" s="34">
        <f>IF(AND(DQ$5&gt;$E61,DQ$5&lt;=$F61),IF(DQ$5=$E61+1,$C61,""),"")</f>
        <v/>
      </c>
      <c r="DR61" s="34">
        <f>IF(AND(DR$5&gt;$E61,DR$5&lt;=$F61),IF(DR$5=$E61+1,$C61,""),"")</f>
        <v/>
      </c>
      <c r="DS61" s="34">
        <f>IF(AND(DS$5&gt;$E61,DS$5&lt;=$F61),IF(DS$5=$E61+1,$C61,""),"")</f>
        <v/>
      </c>
      <c r="DT61" s="34">
        <f>IF(AND(DT$5&gt;$E61,DT$5&lt;=$F61),IF(DT$5=$E61+1,$C61,""),"")</f>
        <v/>
      </c>
      <c r="DU61" s="34">
        <f>IF(AND(DU$5&gt;$E61,DU$5&lt;=$F61),IF(DU$5=$E61+1,$C61,""),"")</f>
        <v/>
      </c>
      <c r="DV61" s="34">
        <f>IF(AND(DV$5&gt;$E61,DV$5&lt;=$F61),IF(DV$5=$E61+1,$C61,""),"")</f>
        <v/>
      </c>
      <c r="DW61" s="34">
        <f>IF(AND(DW$5&gt;$E61,DW$5&lt;=$F61),IF(DW$5=$E61+1,$C61,""),"")</f>
        <v/>
      </c>
      <c r="DX61" s="34">
        <f>IF(AND(DX$5&gt;$E61,DX$5&lt;=$F61),IF(DX$5=$E61+1,$C61,""),"")</f>
        <v/>
      </c>
      <c r="DY61" s="34">
        <f>IF(AND(DY$5&gt;$E61,DY$5&lt;=$F61),IF(DY$5=$E61+1,$C61,""),"")</f>
        <v/>
      </c>
      <c r="DZ61" s="34">
        <f>IF(AND(DZ$5&gt;$E61,DZ$5&lt;=$F61),IF(DZ$5=$E61+1,$C61,""),"")</f>
        <v/>
      </c>
      <c r="EA61" s="34">
        <f>IF(AND(EA$5&gt;$E61,EA$5&lt;=$F61),IF(EA$5=$E61+1,$C61,""),"")</f>
        <v/>
      </c>
      <c r="EB61" s="34">
        <f>IF(AND(EB$5&gt;$E61,EB$5&lt;=$F61),IF(EB$5=$E61+1,$C61,""),"")</f>
        <v/>
      </c>
      <c r="EC61" s="34">
        <f>IF(AND(EC$5&gt;$E61,EC$5&lt;=$F61),IF(EC$5=$E61+1,$C61,""),"")</f>
        <v/>
      </c>
      <c r="ED61" s="34">
        <f>IF(AND(ED$5&gt;$E61,ED$5&lt;=$F61),IF(ED$5=$E61+1,$C61,""),"")</f>
        <v/>
      </c>
      <c r="EE61" s="34">
        <f>IF(AND(EE$5&gt;$E61,EE$5&lt;=$F61),IF(EE$5=$E61+1,$C61,""),"")</f>
        <v/>
      </c>
      <c r="EF61" s="34">
        <f>IF(AND(EF$5&gt;$E61,EF$5&lt;=$F61),IF(EF$5=$E61+1,$C61,""),"")</f>
        <v/>
      </c>
      <c r="EG61" s="34">
        <f>IF(AND(EG$5&gt;$E61,EG$5&lt;=$F61),IF(EG$5=$E61+1,$C61,""),"")</f>
        <v/>
      </c>
      <c r="EH61" s="34">
        <f>IF(AND(EH$5&gt;$E61,EH$5&lt;=$F61),IF(EH$5=$E61+1,$C61,""),"")</f>
        <v/>
      </c>
      <c r="EI61" s="34">
        <f>IF(AND(EI$5&gt;$E61,EI$5&lt;=$F61),IF(EI$5=$E61+1,$C61,""),"")</f>
        <v/>
      </c>
      <c r="EJ61" s="34">
        <f>IF(AND(EJ$5&gt;$E61,EJ$5&lt;=$F61),IF(EJ$5=$E61+1,$C61,""),"")</f>
        <v/>
      </c>
      <c r="EK61" s="34">
        <f>IF(AND(EK$5&gt;$E61,EK$5&lt;=$F61),IF(EK$5=$E61+1,$C61,""),"")</f>
        <v/>
      </c>
      <c r="EL61" s="34">
        <f>IF(AND(EL$5&gt;$E61,EL$5&lt;=$F61),IF(EL$5=$E61+1,$C61,""),"")</f>
        <v/>
      </c>
      <c r="EM61" s="34">
        <f>IF(AND(EM$5&gt;$E61,EM$5&lt;=$F61),IF(EM$5=$E61+1,$C61,""),"")</f>
        <v/>
      </c>
      <c r="EN61" s="34">
        <f>IF(AND(EN$5&gt;$E61,EN$5&lt;=$F61),IF(EN$5=$E61+1,$C61,""),"")</f>
        <v/>
      </c>
      <c r="EO61" s="34">
        <f>IF(AND(EO$5&gt;$E61,EO$5&lt;=$F61),IF(EO$5=$E61+1,$C61,""),"")</f>
        <v/>
      </c>
      <c r="EP61" s="34">
        <f>IF(AND(EP$5&gt;$E61,EP$5&lt;=$F61),IF(EP$5=$E61+1,$C61,""),"")</f>
        <v/>
      </c>
      <c r="EQ61" s="34">
        <f>IF(AND(EQ$5&gt;$E61,EQ$5&lt;=$F61),IF(EQ$5=$E61+1,$C61,""),"")</f>
        <v/>
      </c>
      <c r="ER61" s="34">
        <f>IF(AND(ER$5&gt;$E61,ER$5&lt;=$F61),IF(ER$5=$E61+1,$C61,""),"")</f>
        <v/>
      </c>
      <c r="ES61" s="34">
        <f>IF(AND(ES$5&gt;$E61,ES$5&lt;=$F61),IF(ES$5=$E61+1,$C61,""),"")</f>
        <v/>
      </c>
      <c r="ET61" s="34">
        <f>IF(AND(ET$5&gt;$E61,ET$5&lt;=$F61),IF(ET$5=$E61+1,$C61,""),"")</f>
        <v/>
      </c>
      <c r="EU61" s="34">
        <f>IF(AND(EU$5&gt;$E61,EU$5&lt;=$F61),IF(EU$5=$E61+1,$C61,""),"")</f>
        <v/>
      </c>
      <c r="EV61" s="34">
        <f>IF(AND(EV$5&gt;$E61,EV$5&lt;=$F61),IF(EV$5=$E61+1,$C61,""),"")</f>
        <v/>
      </c>
      <c r="EW61" s="34">
        <f>IF(AND(EW$5&gt;$E61,EW$5&lt;=$F61),IF(EW$5=$E61+1,$C61,""),"")</f>
        <v/>
      </c>
      <c r="EX61" s="34">
        <f>IF(AND(EX$5&gt;$E61,EX$5&lt;=$F61),IF(EX$5=$E61+1,$C61,""),"")</f>
        <v/>
      </c>
      <c r="EY61" s="34">
        <f>IF(AND(EY$5&gt;$E61,EY$5&lt;=$F61),IF(EY$5=$E61+1,$C61,""),"")</f>
        <v/>
      </c>
      <c r="EZ61" s="34">
        <f>IF(AND(EZ$5&gt;$E61,EZ$5&lt;=$F61),IF(EZ$5=$E61+1,$C61,""),"")</f>
        <v/>
      </c>
      <c r="FA61" s="34">
        <f>IF(AND(FA$5&gt;$E61,FA$5&lt;=$F61),IF(FA$5=$E61+1,$C61,""),"")</f>
        <v/>
      </c>
    </row>
    <row r="62">
      <c r="A62" s="32">
        <f>Plan!A81</f>
        <v/>
      </c>
      <c r="B62" s="33">
        <f>Plan!C81</f>
        <v/>
      </c>
      <c r="C62" s="16">
        <f>Plan!D81</f>
        <v/>
      </c>
      <c r="D62" s="16">
        <f>Plan!I81</f>
        <v/>
      </c>
      <c r="E62" s="16">
        <f>Plan!K81</f>
        <v/>
      </c>
      <c r="F62" s="16">
        <f>Plan!L81</f>
        <v/>
      </c>
      <c r="G62" s="16">
        <f>Plan!O81</f>
        <v/>
      </c>
      <c r="H62" s="34">
        <f>IF(AND(H$5&gt;$E62,H$5&lt;=$F62),IF(H$5=$E62+1,$C62,""),"")</f>
        <v/>
      </c>
      <c r="I62" s="34">
        <f>IF(AND(I$5&gt;$E62,I$5&lt;=$F62),IF(I$5=$E62+1,$C62,""),"")</f>
        <v/>
      </c>
      <c r="J62" s="34">
        <f>IF(AND(J$5&gt;$E62,J$5&lt;=$F62),IF(J$5=$E62+1,$C62,""),"")</f>
        <v/>
      </c>
      <c r="K62" s="34">
        <f>IF(AND(K$5&gt;$E62,K$5&lt;=$F62),IF(K$5=$E62+1,$C62,""),"")</f>
        <v/>
      </c>
      <c r="L62" s="34">
        <f>IF(AND(L$5&gt;$E62,L$5&lt;=$F62),IF(L$5=$E62+1,$C62,""),"")</f>
        <v/>
      </c>
      <c r="M62" s="34">
        <f>IF(AND(M$5&gt;$E62,M$5&lt;=$F62),IF(M$5=$E62+1,$C62,""),"")</f>
        <v/>
      </c>
      <c r="N62" s="34">
        <f>IF(AND(N$5&gt;$E62,N$5&lt;=$F62),IF(N$5=$E62+1,$C62,""),"")</f>
        <v/>
      </c>
      <c r="O62" s="34">
        <f>IF(AND(O$5&gt;$E62,O$5&lt;=$F62),IF(O$5=$E62+1,$C62,""),"")</f>
        <v/>
      </c>
      <c r="P62" s="34">
        <f>IF(AND(P$5&gt;$E62,P$5&lt;=$F62),IF(P$5=$E62+1,$C62,""),"")</f>
        <v/>
      </c>
      <c r="Q62" s="34">
        <f>IF(AND(Q$5&gt;$E62,Q$5&lt;=$F62),IF(Q$5=$E62+1,$C62,""),"")</f>
        <v/>
      </c>
      <c r="R62" s="34">
        <f>IF(AND(R$5&gt;$E62,R$5&lt;=$F62),IF(R$5=$E62+1,$C62,""),"")</f>
        <v/>
      </c>
      <c r="S62" s="34">
        <f>IF(AND(S$5&gt;$E62,S$5&lt;=$F62),IF(S$5=$E62+1,$C62,""),"")</f>
        <v/>
      </c>
      <c r="T62" s="34">
        <f>IF(AND(T$5&gt;$E62,T$5&lt;=$F62),IF(T$5=$E62+1,$C62,""),"")</f>
        <v/>
      </c>
      <c r="U62" s="34">
        <f>IF(AND(U$5&gt;$E62,U$5&lt;=$F62),IF(U$5=$E62+1,$C62,""),"")</f>
        <v/>
      </c>
      <c r="V62" s="34">
        <f>IF(AND(V$5&gt;$E62,V$5&lt;=$F62),IF(V$5=$E62+1,$C62,""),"")</f>
        <v/>
      </c>
      <c r="W62" s="34">
        <f>IF(AND(W$5&gt;$E62,W$5&lt;=$F62),IF(W$5=$E62+1,$C62,""),"")</f>
        <v/>
      </c>
      <c r="X62" s="34">
        <f>IF(AND(X$5&gt;$E62,X$5&lt;=$F62),IF(X$5=$E62+1,$C62,""),"")</f>
        <v/>
      </c>
      <c r="Y62" s="34">
        <f>IF(AND(Y$5&gt;$E62,Y$5&lt;=$F62),IF(Y$5=$E62+1,$C62,""),"")</f>
        <v/>
      </c>
      <c r="Z62" s="34">
        <f>IF(AND(Z$5&gt;$E62,Z$5&lt;=$F62),IF(Z$5=$E62+1,$C62,""),"")</f>
        <v/>
      </c>
      <c r="AA62" s="34">
        <f>IF(AND(AA$5&gt;$E62,AA$5&lt;=$F62),IF(AA$5=$E62+1,$C62,""),"")</f>
        <v/>
      </c>
      <c r="AB62" s="34">
        <f>IF(AND(AB$5&gt;$E62,AB$5&lt;=$F62),IF(AB$5=$E62+1,$C62,""),"")</f>
        <v/>
      </c>
      <c r="AC62" s="34">
        <f>IF(AND(AC$5&gt;$E62,AC$5&lt;=$F62),IF(AC$5=$E62+1,$C62,""),"")</f>
        <v/>
      </c>
      <c r="AD62" s="34">
        <f>IF(AND(AD$5&gt;$E62,AD$5&lt;=$F62),IF(AD$5=$E62+1,$C62,""),"")</f>
        <v/>
      </c>
      <c r="AE62" s="34">
        <f>IF(AND(AE$5&gt;$E62,AE$5&lt;=$F62),IF(AE$5=$E62+1,$C62,""),"")</f>
        <v/>
      </c>
      <c r="AF62" s="34">
        <f>IF(AND(AF$5&gt;$E62,AF$5&lt;=$F62),IF(AF$5=$E62+1,$C62,""),"")</f>
        <v/>
      </c>
      <c r="AG62" s="34">
        <f>IF(AND(AG$5&gt;$E62,AG$5&lt;=$F62),IF(AG$5=$E62+1,$C62,""),"")</f>
        <v/>
      </c>
      <c r="AH62" s="34">
        <f>IF(AND(AH$5&gt;$E62,AH$5&lt;=$F62),IF(AH$5=$E62+1,$C62,""),"")</f>
        <v/>
      </c>
      <c r="AI62" s="34">
        <f>IF(AND(AI$5&gt;$E62,AI$5&lt;=$F62),IF(AI$5=$E62+1,$C62,""),"")</f>
        <v/>
      </c>
      <c r="AJ62" s="34">
        <f>IF(AND(AJ$5&gt;$E62,AJ$5&lt;=$F62),IF(AJ$5=$E62+1,$C62,""),"")</f>
        <v/>
      </c>
      <c r="AK62" s="34">
        <f>IF(AND(AK$5&gt;$E62,AK$5&lt;=$F62),IF(AK$5=$E62+1,$C62,""),"")</f>
        <v/>
      </c>
      <c r="AL62" s="34">
        <f>IF(AND(AL$5&gt;$E62,AL$5&lt;=$F62),IF(AL$5=$E62+1,$C62,""),"")</f>
        <v/>
      </c>
      <c r="AM62" s="34">
        <f>IF(AND(AM$5&gt;$E62,AM$5&lt;=$F62),IF(AM$5=$E62+1,$C62,""),"")</f>
        <v/>
      </c>
      <c r="AN62" s="34">
        <f>IF(AND(AN$5&gt;$E62,AN$5&lt;=$F62),IF(AN$5=$E62+1,$C62,""),"")</f>
        <v/>
      </c>
      <c r="AO62" s="34">
        <f>IF(AND(AO$5&gt;$E62,AO$5&lt;=$F62),IF(AO$5=$E62+1,$C62,""),"")</f>
        <v/>
      </c>
      <c r="AP62" s="34">
        <f>IF(AND(AP$5&gt;$E62,AP$5&lt;=$F62),IF(AP$5=$E62+1,$C62,""),"")</f>
        <v/>
      </c>
      <c r="AQ62" s="34">
        <f>IF(AND(AQ$5&gt;$E62,AQ$5&lt;=$F62),IF(AQ$5=$E62+1,$C62,""),"")</f>
        <v/>
      </c>
      <c r="AR62" s="34">
        <f>IF(AND(AR$5&gt;$E62,AR$5&lt;=$F62),IF(AR$5=$E62+1,$C62,""),"")</f>
        <v/>
      </c>
      <c r="AS62" s="34">
        <f>IF(AND(AS$5&gt;$E62,AS$5&lt;=$F62),IF(AS$5=$E62+1,$C62,""),"")</f>
        <v/>
      </c>
      <c r="AT62" s="34">
        <f>IF(AND(AT$5&gt;$E62,AT$5&lt;=$F62),IF(AT$5=$E62+1,$C62,""),"")</f>
        <v/>
      </c>
      <c r="AU62" s="34">
        <f>IF(AND(AU$5&gt;$E62,AU$5&lt;=$F62),IF(AU$5=$E62+1,$C62,""),"")</f>
        <v/>
      </c>
      <c r="AV62" s="34">
        <f>IF(AND(AV$5&gt;$E62,AV$5&lt;=$F62),IF(AV$5=$E62+1,$C62,""),"")</f>
        <v/>
      </c>
      <c r="AW62" s="34">
        <f>IF(AND(AW$5&gt;$E62,AW$5&lt;=$F62),IF(AW$5=$E62+1,$C62,""),"")</f>
        <v/>
      </c>
      <c r="AX62" s="34">
        <f>IF(AND(AX$5&gt;$E62,AX$5&lt;=$F62),IF(AX$5=$E62+1,$C62,""),"")</f>
        <v/>
      </c>
      <c r="AY62" s="34">
        <f>IF(AND(AY$5&gt;$E62,AY$5&lt;=$F62),IF(AY$5=$E62+1,$C62,""),"")</f>
        <v/>
      </c>
      <c r="AZ62" s="34">
        <f>IF(AND(AZ$5&gt;$E62,AZ$5&lt;=$F62),IF(AZ$5=$E62+1,$C62,""),"")</f>
        <v/>
      </c>
      <c r="BA62" s="34">
        <f>IF(AND(BA$5&gt;$E62,BA$5&lt;=$F62),IF(BA$5=$E62+1,$C62,""),"")</f>
        <v/>
      </c>
      <c r="BB62" s="34">
        <f>IF(AND(BB$5&gt;$E62,BB$5&lt;=$F62),IF(BB$5=$E62+1,$C62,""),"")</f>
        <v/>
      </c>
      <c r="BC62" s="34">
        <f>IF(AND(BC$5&gt;$E62,BC$5&lt;=$F62),IF(BC$5=$E62+1,$C62,""),"")</f>
        <v/>
      </c>
      <c r="BD62" s="34">
        <f>IF(AND(BD$5&gt;$E62,BD$5&lt;=$F62),IF(BD$5=$E62+1,$C62,""),"")</f>
        <v/>
      </c>
      <c r="BE62" s="34">
        <f>IF(AND(BE$5&gt;$E62,BE$5&lt;=$F62),IF(BE$5=$E62+1,$C62,""),"")</f>
        <v/>
      </c>
      <c r="BF62" s="34">
        <f>IF(AND(BF$5&gt;$E62,BF$5&lt;=$F62),IF(BF$5=$E62+1,$C62,""),"")</f>
        <v/>
      </c>
      <c r="BG62" s="34">
        <f>IF(AND(BG$5&gt;$E62,BG$5&lt;=$F62),IF(BG$5=$E62+1,$C62,""),"")</f>
        <v/>
      </c>
      <c r="BH62" s="34">
        <f>IF(AND(BH$5&gt;$E62,BH$5&lt;=$F62),IF(BH$5=$E62+1,$C62,""),"")</f>
        <v/>
      </c>
      <c r="BI62" s="34">
        <f>IF(AND(BI$5&gt;$E62,BI$5&lt;=$F62),IF(BI$5=$E62+1,$C62,""),"")</f>
        <v/>
      </c>
      <c r="BJ62" s="34">
        <f>IF(AND(BJ$5&gt;$E62,BJ$5&lt;=$F62),IF(BJ$5=$E62+1,$C62,""),"")</f>
        <v/>
      </c>
      <c r="BK62" s="34">
        <f>IF(AND(BK$5&gt;$E62,BK$5&lt;=$F62),IF(BK$5=$E62+1,$C62,""),"")</f>
        <v/>
      </c>
      <c r="BL62" s="34">
        <f>IF(AND(BL$5&gt;$E62,BL$5&lt;=$F62),IF(BL$5=$E62+1,$C62,""),"")</f>
        <v/>
      </c>
      <c r="BM62" s="34">
        <f>IF(AND(BM$5&gt;$E62,BM$5&lt;=$F62),IF(BM$5=$E62+1,$C62,""),"")</f>
        <v/>
      </c>
      <c r="BN62" s="34">
        <f>IF(AND(BN$5&gt;$E62,BN$5&lt;=$F62),IF(BN$5=$E62+1,$C62,""),"")</f>
        <v/>
      </c>
      <c r="BO62" s="34">
        <f>IF(AND(BO$5&gt;$E62,BO$5&lt;=$F62),IF(BO$5=$E62+1,$C62,""),"")</f>
        <v/>
      </c>
      <c r="BP62" s="34">
        <f>IF(AND(BP$5&gt;$E62,BP$5&lt;=$F62),IF(BP$5=$E62+1,$C62,""),"")</f>
        <v/>
      </c>
      <c r="BQ62" s="34">
        <f>IF(AND(BQ$5&gt;$E62,BQ$5&lt;=$F62),IF(BQ$5=$E62+1,$C62,""),"")</f>
        <v/>
      </c>
      <c r="BR62" s="34">
        <f>IF(AND(BR$5&gt;$E62,BR$5&lt;=$F62),IF(BR$5=$E62+1,$C62,""),"")</f>
        <v/>
      </c>
      <c r="BS62" s="34">
        <f>IF(AND(BS$5&gt;$E62,BS$5&lt;=$F62),IF(BS$5=$E62+1,$C62,""),"")</f>
        <v/>
      </c>
      <c r="BT62" s="34">
        <f>IF(AND(BT$5&gt;$E62,BT$5&lt;=$F62),IF(BT$5=$E62+1,$C62,""),"")</f>
        <v/>
      </c>
      <c r="BU62" s="34">
        <f>IF(AND(BU$5&gt;$E62,BU$5&lt;=$F62),IF(BU$5=$E62+1,$C62,""),"")</f>
        <v/>
      </c>
      <c r="BV62" s="34">
        <f>IF(AND(BV$5&gt;$E62,BV$5&lt;=$F62),IF(BV$5=$E62+1,$C62,""),"")</f>
        <v/>
      </c>
      <c r="BW62" s="34">
        <f>IF(AND(BW$5&gt;$E62,BW$5&lt;=$F62),IF(BW$5=$E62+1,$C62,""),"")</f>
        <v/>
      </c>
      <c r="BX62" s="34">
        <f>IF(AND(BX$5&gt;$E62,BX$5&lt;=$F62),IF(BX$5=$E62+1,$C62,""),"")</f>
        <v/>
      </c>
      <c r="BY62" s="34">
        <f>IF(AND(BY$5&gt;$E62,BY$5&lt;=$F62),IF(BY$5=$E62+1,$C62,""),"")</f>
        <v/>
      </c>
      <c r="BZ62" s="34">
        <f>IF(AND(BZ$5&gt;$E62,BZ$5&lt;=$F62),IF(BZ$5=$E62+1,$C62,""),"")</f>
        <v/>
      </c>
      <c r="CA62" s="34">
        <f>IF(AND(CA$5&gt;$E62,CA$5&lt;=$F62),IF(CA$5=$E62+1,$C62,""),"")</f>
        <v/>
      </c>
      <c r="CB62" s="34">
        <f>IF(AND(CB$5&gt;$E62,CB$5&lt;=$F62),IF(CB$5=$E62+1,$C62,""),"")</f>
        <v/>
      </c>
      <c r="CC62" s="34">
        <f>IF(AND(CC$5&gt;$E62,CC$5&lt;=$F62),IF(CC$5=$E62+1,$C62,""),"")</f>
        <v/>
      </c>
      <c r="CD62" s="34">
        <f>IF(AND(CD$5&gt;$E62,CD$5&lt;=$F62),IF(CD$5=$E62+1,$C62,""),"")</f>
        <v/>
      </c>
      <c r="CE62" s="34">
        <f>IF(AND(CE$5&gt;$E62,CE$5&lt;=$F62),IF(CE$5=$E62+1,$C62,""),"")</f>
        <v/>
      </c>
      <c r="CF62" s="34">
        <f>IF(AND(CF$5&gt;$E62,CF$5&lt;=$F62),IF(CF$5=$E62+1,$C62,""),"")</f>
        <v/>
      </c>
      <c r="CG62" s="34">
        <f>IF(AND(CG$5&gt;$E62,CG$5&lt;=$F62),IF(CG$5=$E62+1,$C62,""),"")</f>
        <v/>
      </c>
      <c r="CH62" s="34">
        <f>IF(AND(CH$5&gt;$E62,CH$5&lt;=$F62),IF(CH$5=$E62+1,$C62,""),"")</f>
        <v/>
      </c>
      <c r="CI62" s="34">
        <f>IF(AND(CI$5&gt;$E62,CI$5&lt;=$F62),IF(CI$5=$E62+1,$C62,""),"")</f>
        <v/>
      </c>
      <c r="CJ62" s="34">
        <f>IF(AND(CJ$5&gt;$E62,CJ$5&lt;=$F62),IF(CJ$5=$E62+1,$C62,""),"")</f>
        <v/>
      </c>
      <c r="CK62" s="34">
        <f>IF(AND(CK$5&gt;$E62,CK$5&lt;=$F62),IF(CK$5=$E62+1,$C62,""),"")</f>
        <v/>
      </c>
      <c r="CL62" s="34">
        <f>IF(AND(CL$5&gt;$E62,CL$5&lt;=$F62),IF(CL$5=$E62+1,$C62,""),"")</f>
        <v/>
      </c>
      <c r="CM62" s="34">
        <f>IF(AND(CM$5&gt;$E62,CM$5&lt;=$F62),IF(CM$5=$E62+1,$C62,""),"")</f>
        <v/>
      </c>
      <c r="CN62" s="34">
        <f>IF(AND(CN$5&gt;$E62,CN$5&lt;=$F62),IF(CN$5=$E62+1,$C62,""),"")</f>
        <v/>
      </c>
      <c r="CO62" s="34">
        <f>IF(AND(CO$5&gt;$E62,CO$5&lt;=$F62),IF(CO$5=$E62+1,$C62,""),"")</f>
        <v/>
      </c>
      <c r="CP62" s="34">
        <f>IF(AND(CP$5&gt;$E62,CP$5&lt;=$F62),IF(CP$5=$E62+1,$C62,""),"")</f>
        <v/>
      </c>
      <c r="CQ62" s="34">
        <f>IF(AND(CQ$5&gt;$E62,CQ$5&lt;=$F62),IF(CQ$5=$E62+1,$C62,""),"")</f>
        <v/>
      </c>
      <c r="CR62" s="34">
        <f>IF(AND(CR$5&gt;$E62,CR$5&lt;=$F62),IF(CR$5=$E62+1,$C62,""),"")</f>
        <v/>
      </c>
      <c r="CS62" s="34">
        <f>IF(AND(CS$5&gt;$E62,CS$5&lt;=$F62),IF(CS$5=$E62+1,$C62,""),"")</f>
        <v/>
      </c>
      <c r="CT62" s="34">
        <f>IF(AND(CT$5&gt;$E62,CT$5&lt;=$F62),IF(CT$5=$E62+1,$C62,""),"")</f>
        <v/>
      </c>
      <c r="CU62" s="34">
        <f>IF(AND(CU$5&gt;$E62,CU$5&lt;=$F62),IF(CU$5=$E62+1,$C62,""),"")</f>
        <v/>
      </c>
      <c r="CV62" s="34">
        <f>IF(AND(CV$5&gt;$E62,CV$5&lt;=$F62),IF(CV$5=$E62+1,$C62,""),"")</f>
        <v/>
      </c>
      <c r="CW62" s="34">
        <f>IF(AND(CW$5&gt;$E62,CW$5&lt;=$F62),IF(CW$5=$E62+1,$C62,""),"")</f>
        <v/>
      </c>
      <c r="CX62" s="34">
        <f>IF(AND(CX$5&gt;$E62,CX$5&lt;=$F62),IF(CX$5=$E62+1,$C62,""),"")</f>
        <v/>
      </c>
      <c r="CY62" s="34">
        <f>IF(AND(CY$5&gt;$E62,CY$5&lt;=$F62),IF(CY$5=$E62+1,$C62,""),"")</f>
        <v/>
      </c>
      <c r="CZ62" s="34">
        <f>IF(AND(CZ$5&gt;$E62,CZ$5&lt;=$F62),IF(CZ$5=$E62+1,$C62,""),"")</f>
        <v/>
      </c>
      <c r="DA62" s="34">
        <f>IF(AND(DA$5&gt;$E62,DA$5&lt;=$F62),IF(DA$5=$E62+1,$C62,""),"")</f>
        <v/>
      </c>
      <c r="DB62" s="34">
        <f>IF(AND(DB$5&gt;$E62,DB$5&lt;=$F62),IF(DB$5=$E62+1,$C62,""),"")</f>
        <v/>
      </c>
      <c r="DC62" s="34">
        <f>IF(AND(DC$5&gt;$E62,DC$5&lt;=$F62),IF(DC$5=$E62+1,$C62,""),"")</f>
        <v/>
      </c>
      <c r="DD62" s="34">
        <f>IF(AND(DD$5&gt;$E62,DD$5&lt;=$F62),IF(DD$5=$E62+1,$C62,""),"")</f>
        <v/>
      </c>
      <c r="DE62" s="34">
        <f>IF(AND(DE$5&gt;$E62,DE$5&lt;=$F62),IF(DE$5=$E62+1,$C62,""),"")</f>
        <v/>
      </c>
      <c r="DF62" s="34">
        <f>IF(AND(DF$5&gt;$E62,DF$5&lt;=$F62),IF(DF$5=$E62+1,$C62,""),"")</f>
        <v/>
      </c>
      <c r="DG62" s="34">
        <f>IF(AND(DG$5&gt;$E62,DG$5&lt;=$F62),IF(DG$5=$E62+1,$C62,""),"")</f>
        <v/>
      </c>
      <c r="DH62" s="34">
        <f>IF(AND(DH$5&gt;$E62,DH$5&lt;=$F62),IF(DH$5=$E62+1,$C62,""),"")</f>
        <v/>
      </c>
      <c r="DI62" s="34">
        <f>IF(AND(DI$5&gt;$E62,DI$5&lt;=$F62),IF(DI$5=$E62+1,$C62,""),"")</f>
        <v/>
      </c>
      <c r="DJ62" s="34">
        <f>IF(AND(DJ$5&gt;$E62,DJ$5&lt;=$F62),IF(DJ$5=$E62+1,$C62,""),"")</f>
        <v/>
      </c>
      <c r="DK62" s="34">
        <f>IF(AND(DK$5&gt;$E62,DK$5&lt;=$F62),IF(DK$5=$E62+1,$C62,""),"")</f>
        <v/>
      </c>
      <c r="DL62" s="34">
        <f>IF(AND(DL$5&gt;$E62,DL$5&lt;=$F62),IF(DL$5=$E62+1,$C62,""),"")</f>
        <v/>
      </c>
      <c r="DM62" s="34">
        <f>IF(AND(DM$5&gt;$E62,DM$5&lt;=$F62),IF(DM$5=$E62+1,$C62,""),"")</f>
        <v/>
      </c>
      <c r="DN62" s="34">
        <f>IF(AND(DN$5&gt;$E62,DN$5&lt;=$F62),IF(DN$5=$E62+1,$C62,""),"")</f>
        <v/>
      </c>
      <c r="DO62" s="34">
        <f>IF(AND(DO$5&gt;$E62,DO$5&lt;=$F62),IF(DO$5=$E62+1,$C62,""),"")</f>
        <v/>
      </c>
      <c r="DP62" s="34">
        <f>IF(AND(DP$5&gt;$E62,DP$5&lt;=$F62),IF(DP$5=$E62+1,$C62,""),"")</f>
        <v/>
      </c>
      <c r="DQ62" s="34">
        <f>IF(AND(DQ$5&gt;$E62,DQ$5&lt;=$F62),IF(DQ$5=$E62+1,$C62,""),"")</f>
        <v/>
      </c>
      <c r="DR62" s="34">
        <f>IF(AND(DR$5&gt;$E62,DR$5&lt;=$F62),IF(DR$5=$E62+1,$C62,""),"")</f>
        <v/>
      </c>
      <c r="DS62" s="34">
        <f>IF(AND(DS$5&gt;$E62,DS$5&lt;=$F62),IF(DS$5=$E62+1,$C62,""),"")</f>
        <v/>
      </c>
      <c r="DT62" s="34">
        <f>IF(AND(DT$5&gt;$E62,DT$5&lt;=$F62),IF(DT$5=$E62+1,$C62,""),"")</f>
        <v/>
      </c>
      <c r="DU62" s="34">
        <f>IF(AND(DU$5&gt;$E62,DU$5&lt;=$F62),IF(DU$5=$E62+1,$C62,""),"")</f>
        <v/>
      </c>
      <c r="DV62" s="34">
        <f>IF(AND(DV$5&gt;$E62,DV$5&lt;=$F62),IF(DV$5=$E62+1,$C62,""),"")</f>
        <v/>
      </c>
      <c r="DW62" s="34">
        <f>IF(AND(DW$5&gt;$E62,DW$5&lt;=$F62),IF(DW$5=$E62+1,$C62,""),"")</f>
        <v/>
      </c>
      <c r="DX62" s="34">
        <f>IF(AND(DX$5&gt;$E62,DX$5&lt;=$F62),IF(DX$5=$E62+1,$C62,""),"")</f>
        <v/>
      </c>
      <c r="DY62" s="34">
        <f>IF(AND(DY$5&gt;$E62,DY$5&lt;=$F62),IF(DY$5=$E62+1,$C62,""),"")</f>
        <v/>
      </c>
      <c r="DZ62" s="34">
        <f>IF(AND(DZ$5&gt;$E62,DZ$5&lt;=$F62),IF(DZ$5=$E62+1,$C62,""),"")</f>
        <v/>
      </c>
      <c r="EA62" s="34">
        <f>IF(AND(EA$5&gt;$E62,EA$5&lt;=$F62),IF(EA$5=$E62+1,$C62,""),"")</f>
        <v/>
      </c>
      <c r="EB62" s="34">
        <f>IF(AND(EB$5&gt;$E62,EB$5&lt;=$F62),IF(EB$5=$E62+1,$C62,""),"")</f>
        <v/>
      </c>
      <c r="EC62" s="34">
        <f>IF(AND(EC$5&gt;$E62,EC$5&lt;=$F62),IF(EC$5=$E62+1,$C62,""),"")</f>
        <v/>
      </c>
      <c r="ED62" s="34">
        <f>IF(AND(ED$5&gt;$E62,ED$5&lt;=$F62),IF(ED$5=$E62+1,$C62,""),"")</f>
        <v/>
      </c>
      <c r="EE62" s="34">
        <f>IF(AND(EE$5&gt;$E62,EE$5&lt;=$F62),IF(EE$5=$E62+1,$C62,""),"")</f>
        <v/>
      </c>
      <c r="EF62" s="34">
        <f>IF(AND(EF$5&gt;$E62,EF$5&lt;=$F62),IF(EF$5=$E62+1,$C62,""),"")</f>
        <v/>
      </c>
      <c r="EG62" s="34">
        <f>IF(AND(EG$5&gt;$E62,EG$5&lt;=$F62),IF(EG$5=$E62+1,$C62,""),"")</f>
        <v/>
      </c>
      <c r="EH62" s="34">
        <f>IF(AND(EH$5&gt;$E62,EH$5&lt;=$F62),IF(EH$5=$E62+1,$C62,""),"")</f>
        <v/>
      </c>
      <c r="EI62" s="34">
        <f>IF(AND(EI$5&gt;$E62,EI$5&lt;=$F62),IF(EI$5=$E62+1,$C62,""),"")</f>
        <v/>
      </c>
      <c r="EJ62" s="34">
        <f>IF(AND(EJ$5&gt;$E62,EJ$5&lt;=$F62),IF(EJ$5=$E62+1,$C62,""),"")</f>
        <v/>
      </c>
      <c r="EK62" s="34">
        <f>IF(AND(EK$5&gt;$E62,EK$5&lt;=$F62),IF(EK$5=$E62+1,$C62,""),"")</f>
        <v/>
      </c>
      <c r="EL62" s="34">
        <f>IF(AND(EL$5&gt;$E62,EL$5&lt;=$F62),IF(EL$5=$E62+1,$C62,""),"")</f>
        <v/>
      </c>
      <c r="EM62" s="34">
        <f>IF(AND(EM$5&gt;$E62,EM$5&lt;=$F62),IF(EM$5=$E62+1,$C62,""),"")</f>
        <v/>
      </c>
      <c r="EN62" s="34">
        <f>IF(AND(EN$5&gt;$E62,EN$5&lt;=$F62),IF(EN$5=$E62+1,$C62,""),"")</f>
        <v/>
      </c>
      <c r="EO62" s="34">
        <f>IF(AND(EO$5&gt;$E62,EO$5&lt;=$F62),IF(EO$5=$E62+1,$C62,""),"")</f>
        <v/>
      </c>
      <c r="EP62" s="34">
        <f>IF(AND(EP$5&gt;$E62,EP$5&lt;=$F62),IF(EP$5=$E62+1,$C62,""),"")</f>
        <v/>
      </c>
      <c r="EQ62" s="34">
        <f>IF(AND(EQ$5&gt;$E62,EQ$5&lt;=$F62),IF(EQ$5=$E62+1,$C62,""),"")</f>
        <v/>
      </c>
      <c r="ER62" s="34">
        <f>IF(AND(ER$5&gt;$E62,ER$5&lt;=$F62),IF(ER$5=$E62+1,$C62,""),"")</f>
        <v/>
      </c>
      <c r="ES62" s="34">
        <f>IF(AND(ES$5&gt;$E62,ES$5&lt;=$F62),IF(ES$5=$E62+1,$C62,""),"")</f>
        <v/>
      </c>
      <c r="ET62" s="34">
        <f>IF(AND(ET$5&gt;$E62,ET$5&lt;=$F62),IF(ET$5=$E62+1,$C62,""),"")</f>
        <v/>
      </c>
      <c r="EU62" s="34">
        <f>IF(AND(EU$5&gt;$E62,EU$5&lt;=$F62),IF(EU$5=$E62+1,$C62,""),"")</f>
        <v/>
      </c>
      <c r="EV62" s="34">
        <f>IF(AND(EV$5&gt;$E62,EV$5&lt;=$F62),IF(EV$5=$E62+1,$C62,""),"")</f>
        <v/>
      </c>
      <c r="EW62" s="34">
        <f>IF(AND(EW$5&gt;$E62,EW$5&lt;=$F62),IF(EW$5=$E62+1,$C62,""),"")</f>
        <v/>
      </c>
      <c r="EX62" s="34">
        <f>IF(AND(EX$5&gt;$E62,EX$5&lt;=$F62),IF(EX$5=$E62+1,$C62,""),"")</f>
        <v/>
      </c>
      <c r="EY62" s="34">
        <f>IF(AND(EY$5&gt;$E62,EY$5&lt;=$F62),IF(EY$5=$E62+1,$C62,""),"")</f>
        <v/>
      </c>
      <c r="EZ62" s="34">
        <f>IF(AND(EZ$5&gt;$E62,EZ$5&lt;=$F62),IF(EZ$5=$E62+1,$C62,""),"")</f>
        <v/>
      </c>
      <c r="FA62" s="34">
        <f>IF(AND(FA$5&gt;$E62,FA$5&lt;=$F62),IF(FA$5=$E62+1,$C62,""),"")</f>
        <v/>
      </c>
    </row>
    <row r="63">
      <c r="A63" s="32">
        <f>Plan!A90</f>
        <v/>
      </c>
      <c r="B63" s="33">
        <f>Plan!C90</f>
        <v/>
      </c>
      <c r="C63" s="16">
        <f>Plan!D90</f>
        <v/>
      </c>
      <c r="D63" s="16">
        <f>Plan!I90</f>
        <v/>
      </c>
      <c r="E63" s="16">
        <f>Plan!K90</f>
        <v/>
      </c>
      <c r="F63" s="16">
        <f>Plan!L90</f>
        <v/>
      </c>
      <c r="G63" s="16">
        <f>Plan!O90</f>
        <v/>
      </c>
      <c r="H63" s="34">
        <f>IF(AND(H$5&gt;$E63,H$5&lt;=$F63),IF(H$5=$E63+1,$C63,""),"")</f>
        <v/>
      </c>
      <c r="I63" s="34">
        <f>IF(AND(I$5&gt;$E63,I$5&lt;=$F63),IF(I$5=$E63+1,$C63,""),"")</f>
        <v/>
      </c>
      <c r="J63" s="34">
        <f>IF(AND(J$5&gt;$E63,J$5&lt;=$F63),IF(J$5=$E63+1,$C63,""),"")</f>
        <v/>
      </c>
      <c r="K63" s="34">
        <f>IF(AND(K$5&gt;$E63,K$5&lt;=$F63),IF(K$5=$E63+1,$C63,""),"")</f>
        <v/>
      </c>
      <c r="L63" s="34">
        <f>IF(AND(L$5&gt;$E63,L$5&lt;=$F63),IF(L$5=$E63+1,$C63,""),"")</f>
        <v/>
      </c>
      <c r="M63" s="34">
        <f>IF(AND(M$5&gt;$E63,M$5&lt;=$F63),IF(M$5=$E63+1,$C63,""),"")</f>
        <v/>
      </c>
      <c r="N63" s="34">
        <f>IF(AND(N$5&gt;$E63,N$5&lt;=$F63),IF(N$5=$E63+1,$C63,""),"")</f>
        <v/>
      </c>
      <c r="O63" s="34">
        <f>IF(AND(O$5&gt;$E63,O$5&lt;=$F63),IF(O$5=$E63+1,$C63,""),"")</f>
        <v/>
      </c>
      <c r="P63" s="34">
        <f>IF(AND(P$5&gt;$E63,P$5&lt;=$F63),IF(P$5=$E63+1,$C63,""),"")</f>
        <v/>
      </c>
      <c r="Q63" s="34">
        <f>IF(AND(Q$5&gt;$E63,Q$5&lt;=$F63),IF(Q$5=$E63+1,$C63,""),"")</f>
        <v/>
      </c>
      <c r="R63" s="34">
        <f>IF(AND(R$5&gt;$E63,R$5&lt;=$F63),IF(R$5=$E63+1,$C63,""),"")</f>
        <v/>
      </c>
      <c r="S63" s="34">
        <f>IF(AND(S$5&gt;$E63,S$5&lt;=$F63),IF(S$5=$E63+1,$C63,""),"")</f>
        <v/>
      </c>
      <c r="T63" s="34">
        <f>IF(AND(T$5&gt;$E63,T$5&lt;=$F63),IF(T$5=$E63+1,$C63,""),"")</f>
        <v/>
      </c>
      <c r="U63" s="34">
        <f>IF(AND(U$5&gt;$E63,U$5&lt;=$F63),IF(U$5=$E63+1,$C63,""),"")</f>
        <v/>
      </c>
      <c r="V63" s="34">
        <f>IF(AND(V$5&gt;$E63,V$5&lt;=$F63),IF(V$5=$E63+1,$C63,""),"")</f>
        <v/>
      </c>
      <c r="W63" s="34">
        <f>IF(AND(W$5&gt;$E63,W$5&lt;=$F63),IF(W$5=$E63+1,$C63,""),"")</f>
        <v/>
      </c>
      <c r="X63" s="34">
        <f>IF(AND(X$5&gt;$E63,X$5&lt;=$F63),IF(X$5=$E63+1,$C63,""),"")</f>
        <v/>
      </c>
      <c r="Y63" s="34">
        <f>IF(AND(Y$5&gt;$E63,Y$5&lt;=$F63),IF(Y$5=$E63+1,$C63,""),"")</f>
        <v/>
      </c>
      <c r="Z63" s="34">
        <f>IF(AND(Z$5&gt;$E63,Z$5&lt;=$F63),IF(Z$5=$E63+1,$C63,""),"")</f>
        <v/>
      </c>
      <c r="AA63" s="34">
        <f>IF(AND(AA$5&gt;$E63,AA$5&lt;=$F63),IF(AA$5=$E63+1,$C63,""),"")</f>
        <v/>
      </c>
      <c r="AB63" s="34">
        <f>IF(AND(AB$5&gt;$E63,AB$5&lt;=$F63),IF(AB$5=$E63+1,$C63,""),"")</f>
        <v/>
      </c>
      <c r="AC63" s="34">
        <f>IF(AND(AC$5&gt;$E63,AC$5&lt;=$F63),IF(AC$5=$E63+1,$C63,""),"")</f>
        <v/>
      </c>
      <c r="AD63" s="34">
        <f>IF(AND(AD$5&gt;$E63,AD$5&lt;=$F63),IF(AD$5=$E63+1,$C63,""),"")</f>
        <v/>
      </c>
      <c r="AE63" s="34">
        <f>IF(AND(AE$5&gt;$E63,AE$5&lt;=$F63),IF(AE$5=$E63+1,$C63,""),"")</f>
        <v/>
      </c>
      <c r="AF63" s="34">
        <f>IF(AND(AF$5&gt;$E63,AF$5&lt;=$F63),IF(AF$5=$E63+1,$C63,""),"")</f>
        <v/>
      </c>
      <c r="AG63" s="34">
        <f>IF(AND(AG$5&gt;$E63,AG$5&lt;=$F63),IF(AG$5=$E63+1,$C63,""),"")</f>
        <v/>
      </c>
      <c r="AH63" s="34">
        <f>IF(AND(AH$5&gt;$E63,AH$5&lt;=$F63),IF(AH$5=$E63+1,$C63,""),"")</f>
        <v/>
      </c>
      <c r="AI63" s="34">
        <f>IF(AND(AI$5&gt;$E63,AI$5&lt;=$F63),IF(AI$5=$E63+1,$C63,""),"")</f>
        <v/>
      </c>
      <c r="AJ63" s="34">
        <f>IF(AND(AJ$5&gt;$E63,AJ$5&lt;=$F63),IF(AJ$5=$E63+1,$C63,""),"")</f>
        <v/>
      </c>
      <c r="AK63" s="34">
        <f>IF(AND(AK$5&gt;$E63,AK$5&lt;=$F63),IF(AK$5=$E63+1,$C63,""),"")</f>
        <v/>
      </c>
      <c r="AL63" s="34">
        <f>IF(AND(AL$5&gt;$E63,AL$5&lt;=$F63),IF(AL$5=$E63+1,$C63,""),"")</f>
        <v/>
      </c>
      <c r="AM63" s="34">
        <f>IF(AND(AM$5&gt;$E63,AM$5&lt;=$F63),IF(AM$5=$E63+1,$C63,""),"")</f>
        <v/>
      </c>
      <c r="AN63" s="34">
        <f>IF(AND(AN$5&gt;$E63,AN$5&lt;=$F63),IF(AN$5=$E63+1,$C63,""),"")</f>
        <v/>
      </c>
      <c r="AO63" s="34">
        <f>IF(AND(AO$5&gt;$E63,AO$5&lt;=$F63),IF(AO$5=$E63+1,$C63,""),"")</f>
        <v/>
      </c>
      <c r="AP63" s="34">
        <f>IF(AND(AP$5&gt;$E63,AP$5&lt;=$F63),IF(AP$5=$E63+1,$C63,""),"")</f>
        <v/>
      </c>
      <c r="AQ63" s="34">
        <f>IF(AND(AQ$5&gt;$E63,AQ$5&lt;=$F63),IF(AQ$5=$E63+1,$C63,""),"")</f>
        <v/>
      </c>
      <c r="AR63" s="34">
        <f>IF(AND(AR$5&gt;$E63,AR$5&lt;=$F63),IF(AR$5=$E63+1,$C63,""),"")</f>
        <v/>
      </c>
      <c r="AS63" s="34">
        <f>IF(AND(AS$5&gt;$E63,AS$5&lt;=$F63),IF(AS$5=$E63+1,$C63,""),"")</f>
        <v/>
      </c>
      <c r="AT63" s="34">
        <f>IF(AND(AT$5&gt;$E63,AT$5&lt;=$F63),IF(AT$5=$E63+1,$C63,""),"")</f>
        <v/>
      </c>
      <c r="AU63" s="34">
        <f>IF(AND(AU$5&gt;$E63,AU$5&lt;=$F63),IF(AU$5=$E63+1,$C63,""),"")</f>
        <v/>
      </c>
      <c r="AV63" s="34">
        <f>IF(AND(AV$5&gt;$E63,AV$5&lt;=$F63),IF(AV$5=$E63+1,$C63,""),"")</f>
        <v/>
      </c>
      <c r="AW63" s="34">
        <f>IF(AND(AW$5&gt;$E63,AW$5&lt;=$F63),IF(AW$5=$E63+1,$C63,""),"")</f>
        <v/>
      </c>
      <c r="AX63" s="34">
        <f>IF(AND(AX$5&gt;$E63,AX$5&lt;=$F63),IF(AX$5=$E63+1,$C63,""),"")</f>
        <v/>
      </c>
      <c r="AY63" s="34">
        <f>IF(AND(AY$5&gt;$E63,AY$5&lt;=$F63),IF(AY$5=$E63+1,$C63,""),"")</f>
        <v/>
      </c>
      <c r="AZ63" s="34">
        <f>IF(AND(AZ$5&gt;$E63,AZ$5&lt;=$F63),IF(AZ$5=$E63+1,$C63,""),"")</f>
        <v/>
      </c>
      <c r="BA63" s="34">
        <f>IF(AND(BA$5&gt;$E63,BA$5&lt;=$F63),IF(BA$5=$E63+1,$C63,""),"")</f>
        <v/>
      </c>
      <c r="BB63" s="34">
        <f>IF(AND(BB$5&gt;$E63,BB$5&lt;=$F63),IF(BB$5=$E63+1,$C63,""),"")</f>
        <v/>
      </c>
      <c r="BC63" s="34">
        <f>IF(AND(BC$5&gt;$E63,BC$5&lt;=$F63),IF(BC$5=$E63+1,$C63,""),"")</f>
        <v/>
      </c>
      <c r="BD63" s="34">
        <f>IF(AND(BD$5&gt;$E63,BD$5&lt;=$F63),IF(BD$5=$E63+1,$C63,""),"")</f>
        <v/>
      </c>
      <c r="BE63" s="34">
        <f>IF(AND(BE$5&gt;$E63,BE$5&lt;=$F63),IF(BE$5=$E63+1,$C63,""),"")</f>
        <v/>
      </c>
      <c r="BF63" s="34">
        <f>IF(AND(BF$5&gt;$E63,BF$5&lt;=$F63),IF(BF$5=$E63+1,$C63,""),"")</f>
        <v/>
      </c>
      <c r="BG63" s="34">
        <f>IF(AND(BG$5&gt;$E63,BG$5&lt;=$F63),IF(BG$5=$E63+1,$C63,""),"")</f>
        <v/>
      </c>
      <c r="BH63" s="34">
        <f>IF(AND(BH$5&gt;$E63,BH$5&lt;=$F63),IF(BH$5=$E63+1,$C63,""),"")</f>
        <v/>
      </c>
      <c r="BI63" s="34">
        <f>IF(AND(BI$5&gt;$E63,BI$5&lt;=$F63),IF(BI$5=$E63+1,$C63,""),"")</f>
        <v/>
      </c>
      <c r="BJ63" s="34">
        <f>IF(AND(BJ$5&gt;$E63,BJ$5&lt;=$F63),IF(BJ$5=$E63+1,$C63,""),"")</f>
        <v/>
      </c>
      <c r="BK63" s="34">
        <f>IF(AND(BK$5&gt;$E63,BK$5&lt;=$F63),IF(BK$5=$E63+1,$C63,""),"")</f>
        <v/>
      </c>
      <c r="BL63" s="34">
        <f>IF(AND(BL$5&gt;$E63,BL$5&lt;=$F63),IF(BL$5=$E63+1,$C63,""),"")</f>
        <v/>
      </c>
      <c r="BM63" s="34">
        <f>IF(AND(BM$5&gt;$E63,BM$5&lt;=$F63),IF(BM$5=$E63+1,$C63,""),"")</f>
        <v/>
      </c>
      <c r="BN63" s="34">
        <f>IF(AND(BN$5&gt;$E63,BN$5&lt;=$F63),IF(BN$5=$E63+1,$C63,""),"")</f>
        <v/>
      </c>
      <c r="BO63" s="34">
        <f>IF(AND(BO$5&gt;$E63,BO$5&lt;=$F63),IF(BO$5=$E63+1,$C63,""),"")</f>
        <v/>
      </c>
      <c r="BP63" s="34">
        <f>IF(AND(BP$5&gt;$E63,BP$5&lt;=$F63),IF(BP$5=$E63+1,$C63,""),"")</f>
        <v/>
      </c>
      <c r="BQ63" s="34">
        <f>IF(AND(BQ$5&gt;$E63,BQ$5&lt;=$F63),IF(BQ$5=$E63+1,$C63,""),"")</f>
        <v/>
      </c>
      <c r="BR63" s="34">
        <f>IF(AND(BR$5&gt;$E63,BR$5&lt;=$F63),IF(BR$5=$E63+1,$C63,""),"")</f>
        <v/>
      </c>
      <c r="BS63" s="34">
        <f>IF(AND(BS$5&gt;$E63,BS$5&lt;=$F63),IF(BS$5=$E63+1,$C63,""),"")</f>
        <v/>
      </c>
      <c r="BT63" s="34">
        <f>IF(AND(BT$5&gt;$E63,BT$5&lt;=$F63),IF(BT$5=$E63+1,$C63,""),"")</f>
        <v/>
      </c>
      <c r="BU63" s="34">
        <f>IF(AND(BU$5&gt;$E63,BU$5&lt;=$F63),IF(BU$5=$E63+1,$C63,""),"")</f>
        <v/>
      </c>
      <c r="BV63" s="34">
        <f>IF(AND(BV$5&gt;$E63,BV$5&lt;=$F63),IF(BV$5=$E63+1,$C63,""),"")</f>
        <v/>
      </c>
      <c r="BW63" s="34">
        <f>IF(AND(BW$5&gt;$E63,BW$5&lt;=$F63),IF(BW$5=$E63+1,$C63,""),"")</f>
        <v/>
      </c>
      <c r="BX63" s="34">
        <f>IF(AND(BX$5&gt;$E63,BX$5&lt;=$F63),IF(BX$5=$E63+1,$C63,""),"")</f>
        <v/>
      </c>
      <c r="BY63" s="34">
        <f>IF(AND(BY$5&gt;$E63,BY$5&lt;=$F63),IF(BY$5=$E63+1,$C63,""),"")</f>
        <v/>
      </c>
      <c r="BZ63" s="34">
        <f>IF(AND(BZ$5&gt;$E63,BZ$5&lt;=$F63),IF(BZ$5=$E63+1,$C63,""),"")</f>
        <v/>
      </c>
      <c r="CA63" s="34">
        <f>IF(AND(CA$5&gt;$E63,CA$5&lt;=$F63),IF(CA$5=$E63+1,$C63,""),"")</f>
        <v/>
      </c>
      <c r="CB63" s="34">
        <f>IF(AND(CB$5&gt;$E63,CB$5&lt;=$F63),IF(CB$5=$E63+1,$C63,""),"")</f>
        <v/>
      </c>
      <c r="CC63" s="34">
        <f>IF(AND(CC$5&gt;$E63,CC$5&lt;=$F63),IF(CC$5=$E63+1,$C63,""),"")</f>
        <v/>
      </c>
      <c r="CD63" s="34">
        <f>IF(AND(CD$5&gt;$E63,CD$5&lt;=$F63),IF(CD$5=$E63+1,$C63,""),"")</f>
        <v/>
      </c>
      <c r="CE63" s="34">
        <f>IF(AND(CE$5&gt;$E63,CE$5&lt;=$F63),IF(CE$5=$E63+1,$C63,""),"")</f>
        <v/>
      </c>
      <c r="CF63" s="34">
        <f>IF(AND(CF$5&gt;$E63,CF$5&lt;=$F63),IF(CF$5=$E63+1,$C63,""),"")</f>
        <v/>
      </c>
      <c r="CG63" s="34">
        <f>IF(AND(CG$5&gt;$E63,CG$5&lt;=$F63),IF(CG$5=$E63+1,$C63,""),"")</f>
        <v/>
      </c>
      <c r="CH63" s="34">
        <f>IF(AND(CH$5&gt;$E63,CH$5&lt;=$F63),IF(CH$5=$E63+1,$C63,""),"")</f>
        <v/>
      </c>
      <c r="CI63" s="34">
        <f>IF(AND(CI$5&gt;$E63,CI$5&lt;=$F63),IF(CI$5=$E63+1,$C63,""),"")</f>
        <v/>
      </c>
      <c r="CJ63" s="34">
        <f>IF(AND(CJ$5&gt;$E63,CJ$5&lt;=$F63),IF(CJ$5=$E63+1,$C63,""),"")</f>
        <v/>
      </c>
      <c r="CK63" s="34">
        <f>IF(AND(CK$5&gt;$E63,CK$5&lt;=$F63),IF(CK$5=$E63+1,$C63,""),"")</f>
        <v/>
      </c>
      <c r="CL63" s="34">
        <f>IF(AND(CL$5&gt;$E63,CL$5&lt;=$F63),IF(CL$5=$E63+1,$C63,""),"")</f>
        <v/>
      </c>
      <c r="CM63" s="34">
        <f>IF(AND(CM$5&gt;$E63,CM$5&lt;=$F63),IF(CM$5=$E63+1,$C63,""),"")</f>
        <v/>
      </c>
      <c r="CN63" s="34">
        <f>IF(AND(CN$5&gt;$E63,CN$5&lt;=$F63),IF(CN$5=$E63+1,$C63,""),"")</f>
        <v/>
      </c>
      <c r="CO63" s="34">
        <f>IF(AND(CO$5&gt;$E63,CO$5&lt;=$F63),IF(CO$5=$E63+1,$C63,""),"")</f>
        <v/>
      </c>
      <c r="CP63" s="34">
        <f>IF(AND(CP$5&gt;$E63,CP$5&lt;=$F63),IF(CP$5=$E63+1,$C63,""),"")</f>
        <v/>
      </c>
      <c r="CQ63" s="34">
        <f>IF(AND(CQ$5&gt;$E63,CQ$5&lt;=$F63),IF(CQ$5=$E63+1,$C63,""),"")</f>
        <v/>
      </c>
      <c r="CR63" s="34">
        <f>IF(AND(CR$5&gt;$E63,CR$5&lt;=$F63),IF(CR$5=$E63+1,$C63,""),"")</f>
        <v/>
      </c>
      <c r="CS63" s="34">
        <f>IF(AND(CS$5&gt;$E63,CS$5&lt;=$F63),IF(CS$5=$E63+1,$C63,""),"")</f>
        <v/>
      </c>
      <c r="CT63" s="34">
        <f>IF(AND(CT$5&gt;$E63,CT$5&lt;=$F63),IF(CT$5=$E63+1,$C63,""),"")</f>
        <v/>
      </c>
      <c r="CU63" s="34">
        <f>IF(AND(CU$5&gt;$E63,CU$5&lt;=$F63),IF(CU$5=$E63+1,$C63,""),"")</f>
        <v/>
      </c>
      <c r="CV63" s="34">
        <f>IF(AND(CV$5&gt;$E63,CV$5&lt;=$F63),IF(CV$5=$E63+1,$C63,""),"")</f>
        <v/>
      </c>
      <c r="CW63" s="34">
        <f>IF(AND(CW$5&gt;$E63,CW$5&lt;=$F63),IF(CW$5=$E63+1,$C63,""),"")</f>
        <v/>
      </c>
      <c r="CX63" s="34">
        <f>IF(AND(CX$5&gt;$E63,CX$5&lt;=$F63),IF(CX$5=$E63+1,$C63,""),"")</f>
        <v/>
      </c>
      <c r="CY63" s="34">
        <f>IF(AND(CY$5&gt;$E63,CY$5&lt;=$F63),IF(CY$5=$E63+1,$C63,""),"")</f>
        <v/>
      </c>
      <c r="CZ63" s="34">
        <f>IF(AND(CZ$5&gt;$E63,CZ$5&lt;=$F63),IF(CZ$5=$E63+1,$C63,""),"")</f>
        <v/>
      </c>
      <c r="DA63" s="34">
        <f>IF(AND(DA$5&gt;$E63,DA$5&lt;=$F63),IF(DA$5=$E63+1,$C63,""),"")</f>
        <v/>
      </c>
      <c r="DB63" s="34">
        <f>IF(AND(DB$5&gt;$E63,DB$5&lt;=$F63),IF(DB$5=$E63+1,$C63,""),"")</f>
        <v/>
      </c>
      <c r="DC63" s="34">
        <f>IF(AND(DC$5&gt;$E63,DC$5&lt;=$F63),IF(DC$5=$E63+1,$C63,""),"")</f>
        <v/>
      </c>
      <c r="DD63" s="34">
        <f>IF(AND(DD$5&gt;$E63,DD$5&lt;=$F63),IF(DD$5=$E63+1,$C63,""),"")</f>
        <v/>
      </c>
      <c r="DE63" s="34">
        <f>IF(AND(DE$5&gt;$E63,DE$5&lt;=$F63),IF(DE$5=$E63+1,$C63,""),"")</f>
        <v/>
      </c>
      <c r="DF63" s="34">
        <f>IF(AND(DF$5&gt;$E63,DF$5&lt;=$F63),IF(DF$5=$E63+1,$C63,""),"")</f>
        <v/>
      </c>
      <c r="DG63" s="34">
        <f>IF(AND(DG$5&gt;$E63,DG$5&lt;=$F63),IF(DG$5=$E63+1,$C63,""),"")</f>
        <v/>
      </c>
      <c r="DH63" s="34">
        <f>IF(AND(DH$5&gt;$E63,DH$5&lt;=$F63),IF(DH$5=$E63+1,$C63,""),"")</f>
        <v/>
      </c>
      <c r="DI63" s="34">
        <f>IF(AND(DI$5&gt;$E63,DI$5&lt;=$F63),IF(DI$5=$E63+1,$C63,""),"")</f>
        <v/>
      </c>
      <c r="DJ63" s="34">
        <f>IF(AND(DJ$5&gt;$E63,DJ$5&lt;=$F63),IF(DJ$5=$E63+1,$C63,""),"")</f>
        <v/>
      </c>
      <c r="DK63" s="34">
        <f>IF(AND(DK$5&gt;$E63,DK$5&lt;=$F63),IF(DK$5=$E63+1,$C63,""),"")</f>
        <v/>
      </c>
      <c r="DL63" s="34">
        <f>IF(AND(DL$5&gt;$E63,DL$5&lt;=$F63),IF(DL$5=$E63+1,$C63,""),"")</f>
        <v/>
      </c>
      <c r="DM63" s="34">
        <f>IF(AND(DM$5&gt;$E63,DM$5&lt;=$F63),IF(DM$5=$E63+1,$C63,""),"")</f>
        <v/>
      </c>
      <c r="DN63" s="34">
        <f>IF(AND(DN$5&gt;$E63,DN$5&lt;=$F63),IF(DN$5=$E63+1,$C63,""),"")</f>
        <v/>
      </c>
      <c r="DO63" s="34">
        <f>IF(AND(DO$5&gt;$E63,DO$5&lt;=$F63),IF(DO$5=$E63+1,$C63,""),"")</f>
        <v/>
      </c>
      <c r="DP63" s="34">
        <f>IF(AND(DP$5&gt;$E63,DP$5&lt;=$F63),IF(DP$5=$E63+1,$C63,""),"")</f>
        <v/>
      </c>
      <c r="DQ63" s="34">
        <f>IF(AND(DQ$5&gt;$E63,DQ$5&lt;=$F63),IF(DQ$5=$E63+1,$C63,""),"")</f>
        <v/>
      </c>
      <c r="DR63" s="34">
        <f>IF(AND(DR$5&gt;$E63,DR$5&lt;=$F63),IF(DR$5=$E63+1,$C63,""),"")</f>
        <v/>
      </c>
      <c r="DS63" s="34">
        <f>IF(AND(DS$5&gt;$E63,DS$5&lt;=$F63),IF(DS$5=$E63+1,$C63,""),"")</f>
        <v/>
      </c>
      <c r="DT63" s="34">
        <f>IF(AND(DT$5&gt;$E63,DT$5&lt;=$F63),IF(DT$5=$E63+1,$C63,""),"")</f>
        <v/>
      </c>
      <c r="DU63" s="34">
        <f>IF(AND(DU$5&gt;$E63,DU$5&lt;=$F63),IF(DU$5=$E63+1,$C63,""),"")</f>
        <v/>
      </c>
      <c r="DV63" s="34">
        <f>IF(AND(DV$5&gt;$E63,DV$5&lt;=$F63),IF(DV$5=$E63+1,$C63,""),"")</f>
        <v/>
      </c>
      <c r="DW63" s="34">
        <f>IF(AND(DW$5&gt;$E63,DW$5&lt;=$F63),IF(DW$5=$E63+1,$C63,""),"")</f>
        <v/>
      </c>
      <c r="DX63" s="34">
        <f>IF(AND(DX$5&gt;$E63,DX$5&lt;=$F63),IF(DX$5=$E63+1,$C63,""),"")</f>
        <v/>
      </c>
      <c r="DY63" s="34">
        <f>IF(AND(DY$5&gt;$E63,DY$5&lt;=$F63),IF(DY$5=$E63+1,$C63,""),"")</f>
        <v/>
      </c>
      <c r="DZ63" s="34">
        <f>IF(AND(DZ$5&gt;$E63,DZ$5&lt;=$F63),IF(DZ$5=$E63+1,$C63,""),"")</f>
        <v/>
      </c>
      <c r="EA63" s="34">
        <f>IF(AND(EA$5&gt;$E63,EA$5&lt;=$F63),IF(EA$5=$E63+1,$C63,""),"")</f>
        <v/>
      </c>
      <c r="EB63" s="34">
        <f>IF(AND(EB$5&gt;$E63,EB$5&lt;=$F63),IF(EB$5=$E63+1,$C63,""),"")</f>
        <v/>
      </c>
      <c r="EC63" s="34">
        <f>IF(AND(EC$5&gt;$E63,EC$5&lt;=$F63),IF(EC$5=$E63+1,$C63,""),"")</f>
        <v/>
      </c>
      <c r="ED63" s="34">
        <f>IF(AND(ED$5&gt;$E63,ED$5&lt;=$F63),IF(ED$5=$E63+1,$C63,""),"")</f>
        <v/>
      </c>
      <c r="EE63" s="34">
        <f>IF(AND(EE$5&gt;$E63,EE$5&lt;=$F63),IF(EE$5=$E63+1,$C63,""),"")</f>
        <v/>
      </c>
      <c r="EF63" s="34">
        <f>IF(AND(EF$5&gt;$E63,EF$5&lt;=$F63),IF(EF$5=$E63+1,$C63,""),"")</f>
        <v/>
      </c>
      <c r="EG63" s="34">
        <f>IF(AND(EG$5&gt;$E63,EG$5&lt;=$F63),IF(EG$5=$E63+1,$C63,""),"")</f>
        <v/>
      </c>
      <c r="EH63" s="34">
        <f>IF(AND(EH$5&gt;$E63,EH$5&lt;=$F63),IF(EH$5=$E63+1,$C63,""),"")</f>
        <v/>
      </c>
      <c r="EI63" s="34">
        <f>IF(AND(EI$5&gt;$E63,EI$5&lt;=$F63),IF(EI$5=$E63+1,$C63,""),"")</f>
        <v/>
      </c>
      <c r="EJ63" s="34">
        <f>IF(AND(EJ$5&gt;$E63,EJ$5&lt;=$F63),IF(EJ$5=$E63+1,$C63,""),"")</f>
        <v/>
      </c>
      <c r="EK63" s="34">
        <f>IF(AND(EK$5&gt;$E63,EK$5&lt;=$F63),IF(EK$5=$E63+1,$C63,""),"")</f>
        <v/>
      </c>
      <c r="EL63" s="34">
        <f>IF(AND(EL$5&gt;$E63,EL$5&lt;=$F63),IF(EL$5=$E63+1,$C63,""),"")</f>
        <v/>
      </c>
      <c r="EM63" s="34">
        <f>IF(AND(EM$5&gt;$E63,EM$5&lt;=$F63),IF(EM$5=$E63+1,$C63,""),"")</f>
        <v/>
      </c>
      <c r="EN63" s="34">
        <f>IF(AND(EN$5&gt;$E63,EN$5&lt;=$F63),IF(EN$5=$E63+1,$C63,""),"")</f>
        <v/>
      </c>
      <c r="EO63" s="34">
        <f>IF(AND(EO$5&gt;$E63,EO$5&lt;=$F63),IF(EO$5=$E63+1,$C63,""),"")</f>
        <v/>
      </c>
      <c r="EP63" s="34">
        <f>IF(AND(EP$5&gt;$E63,EP$5&lt;=$F63),IF(EP$5=$E63+1,$C63,""),"")</f>
        <v/>
      </c>
      <c r="EQ63" s="34">
        <f>IF(AND(EQ$5&gt;$E63,EQ$5&lt;=$F63),IF(EQ$5=$E63+1,$C63,""),"")</f>
        <v/>
      </c>
      <c r="ER63" s="34">
        <f>IF(AND(ER$5&gt;$E63,ER$5&lt;=$F63),IF(ER$5=$E63+1,$C63,""),"")</f>
        <v/>
      </c>
      <c r="ES63" s="34">
        <f>IF(AND(ES$5&gt;$E63,ES$5&lt;=$F63),IF(ES$5=$E63+1,$C63,""),"")</f>
        <v/>
      </c>
      <c r="ET63" s="34">
        <f>IF(AND(ET$5&gt;$E63,ET$5&lt;=$F63),IF(ET$5=$E63+1,$C63,""),"")</f>
        <v/>
      </c>
      <c r="EU63" s="34">
        <f>IF(AND(EU$5&gt;$E63,EU$5&lt;=$F63),IF(EU$5=$E63+1,$C63,""),"")</f>
        <v/>
      </c>
      <c r="EV63" s="34">
        <f>IF(AND(EV$5&gt;$E63,EV$5&lt;=$F63),IF(EV$5=$E63+1,$C63,""),"")</f>
        <v/>
      </c>
      <c r="EW63" s="34">
        <f>IF(AND(EW$5&gt;$E63,EW$5&lt;=$F63),IF(EW$5=$E63+1,$C63,""),"")</f>
        <v/>
      </c>
      <c r="EX63" s="34">
        <f>IF(AND(EX$5&gt;$E63,EX$5&lt;=$F63),IF(EX$5=$E63+1,$C63,""),"")</f>
        <v/>
      </c>
      <c r="EY63" s="34">
        <f>IF(AND(EY$5&gt;$E63,EY$5&lt;=$F63),IF(EY$5=$E63+1,$C63,""),"")</f>
        <v/>
      </c>
      <c r="EZ63" s="34">
        <f>IF(AND(EZ$5&gt;$E63,EZ$5&lt;=$F63),IF(EZ$5=$E63+1,$C63,""),"")</f>
        <v/>
      </c>
      <c r="FA63" s="34">
        <f>IF(AND(FA$5&gt;$E63,FA$5&lt;=$F63),IF(FA$5=$E63+1,$C63,""),"")</f>
        <v/>
      </c>
    </row>
    <row r="64">
      <c r="A64" s="32">
        <f>Plan!A92</f>
        <v/>
      </c>
      <c r="B64" s="33">
        <f>Plan!C92</f>
        <v/>
      </c>
      <c r="C64" s="16">
        <f>Plan!D92</f>
        <v/>
      </c>
      <c r="D64" s="16">
        <f>Plan!I92</f>
        <v/>
      </c>
      <c r="E64" s="16">
        <f>Plan!K92</f>
        <v/>
      </c>
      <c r="F64" s="16">
        <f>Plan!L92</f>
        <v/>
      </c>
      <c r="G64" s="16">
        <f>Plan!O92</f>
        <v/>
      </c>
      <c r="H64" s="34">
        <f>IF(AND(H$5&gt;$E64,H$5&lt;=$F64),IF(H$5=$E64+1,$C64,""),"")</f>
        <v/>
      </c>
      <c r="I64" s="34">
        <f>IF(AND(I$5&gt;$E64,I$5&lt;=$F64),IF(I$5=$E64+1,$C64,""),"")</f>
        <v/>
      </c>
      <c r="J64" s="34">
        <f>IF(AND(J$5&gt;$E64,J$5&lt;=$F64),IF(J$5=$E64+1,$C64,""),"")</f>
        <v/>
      </c>
      <c r="K64" s="34">
        <f>IF(AND(K$5&gt;$E64,K$5&lt;=$F64),IF(K$5=$E64+1,$C64,""),"")</f>
        <v/>
      </c>
      <c r="L64" s="34">
        <f>IF(AND(L$5&gt;$E64,L$5&lt;=$F64),IF(L$5=$E64+1,$C64,""),"")</f>
        <v/>
      </c>
      <c r="M64" s="34">
        <f>IF(AND(M$5&gt;$E64,M$5&lt;=$F64),IF(M$5=$E64+1,$C64,""),"")</f>
        <v/>
      </c>
      <c r="N64" s="34">
        <f>IF(AND(N$5&gt;$E64,N$5&lt;=$F64),IF(N$5=$E64+1,$C64,""),"")</f>
        <v/>
      </c>
      <c r="O64" s="34">
        <f>IF(AND(O$5&gt;$E64,O$5&lt;=$F64),IF(O$5=$E64+1,$C64,""),"")</f>
        <v/>
      </c>
      <c r="P64" s="34">
        <f>IF(AND(P$5&gt;$E64,P$5&lt;=$F64),IF(P$5=$E64+1,$C64,""),"")</f>
        <v/>
      </c>
      <c r="Q64" s="34">
        <f>IF(AND(Q$5&gt;$E64,Q$5&lt;=$F64),IF(Q$5=$E64+1,$C64,""),"")</f>
        <v/>
      </c>
      <c r="R64" s="34">
        <f>IF(AND(R$5&gt;$E64,R$5&lt;=$F64),IF(R$5=$E64+1,$C64,""),"")</f>
        <v/>
      </c>
      <c r="S64" s="34">
        <f>IF(AND(S$5&gt;$E64,S$5&lt;=$F64),IF(S$5=$E64+1,$C64,""),"")</f>
        <v/>
      </c>
      <c r="T64" s="34">
        <f>IF(AND(T$5&gt;$E64,T$5&lt;=$F64),IF(T$5=$E64+1,$C64,""),"")</f>
        <v/>
      </c>
      <c r="U64" s="34">
        <f>IF(AND(U$5&gt;$E64,U$5&lt;=$F64),IF(U$5=$E64+1,$C64,""),"")</f>
        <v/>
      </c>
      <c r="V64" s="34">
        <f>IF(AND(V$5&gt;$E64,V$5&lt;=$F64),IF(V$5=$E64+1,$C64,""),"")</f>
        <v/>
      </c>
      <c r="W64" s="34">
        <f>IF(AND(W$5&gt;$E64,W$5&lt;=$F64),IF(W$5=$E64+1,$C64,""),"")</f>
        <v/>
      </c>
      <c r="X64" s="34">
        <f>IF(AND(X$5&gt;$E64,X$5&lt;=$F64),IF(X$5=$E64+1,$C64,""),"")</f>
        <v/>
      </c>
      <c r="Y64" s="34">
        <f>IF(AND(Y$5&gt;$E64,Y$5&lt;=$F64),IF(Y$5=$E64+1,$C64,""),"")</f>
        <v/>
      </c>
      <c r="Z64" s="34">
        <f>IF(AND(Z$5&gt;$E64,Z$5&lt;=$F64),IF(Z$5=$E64+1,$C64,""),"")</f>
        <v/>
      </c>
      <c r="AA64" s="34">
        <f>IF(AND(AA$5&gt;$E64,AA$5&lt;=$F64),IF(AA$5=$E64+1,$C64,""),"")</f>
        <v/>
      </c>
      <c r="AB64" s="34">
        <f>IF(AND(AB$5&gt;$E64,AB$5&lt;=$F64),IF(AB$5=$E64+1,$C64,""),"")</f>
        <v/>
      </c>
      <c r="AC64" s="34">
        <f>IF(AND(AC$5&gt;$E64,AC$5&lt;=$F64),IF(AC$5=$E64+1,$C64,""),"")</f>
        <v/>
      </c>
      <c r="AD64" s="34">
        <f>IF(AND(AD$5&gt;$E64,AD$5&lt;=$F64),IF(AD$5=$E64+1,$C64,""),"")</f>
        <v/>
      </c>
      <c r="AE64" s="34">
        <f>IF(AND(AE$5&gt;$E64,AE$5&lt;=$F64),IF(AE$5=$E64+1,$C64,""),"")</f>
        <v/>
      </c>
      <c r="AF64" s="34">
        <f>IF(AND(AF$5&gt;$E64,AF$5&lt;=$F64),IF(AF$5=$E64+1,$C64,""),"")</f>
        <v/>
      </c>
      <c r="AG64" s="34">
        <f>IF(AND(AG$5&gt;$E64,AG$5&lt;=$F64),IF(AG$5=$E64+1,$C64,""),"")</f>
        <v/>
      </c>
      <c r="AH64" s="34">
        <f>IF(AND(AH$5&gt;$E64,AH$5&lt;=$F64),IF(AH$5=$E64+1,$C64,""),"")</f>
        <v/>
      </c>
      <c r="AI64" s="34">
        <f>IF(AND(AI$5&gt;$E64,AI$5&lt;=$F64),IF(AI$5=$E64+1,$C64,""),"")</f>
        <v/>
      </c>
      <c r="AJ64" s="34">
        <f>IF(AND(AJ$5&gt;$E64,AJ$5&lt;=$F64),IF(AJ$5=$E64+1,$C64,""),"")</f>
        <v/>
      </c>
      <c r="AK64" s="34">
        <f>IF(AND(AK$5&gt;$E64,AK$5&lt;=$F64),IF(AK$5=$E64+1,$C64,""),"")</f>
        <v/>
      </c>
      <c r="AL64" s="34">
        <f>IF(AND(AL$5&gt;$E64,AL$5&lt;=$F64),IF(AL$5=$E64+1,$C64,""),"")</f>
        <v/>
      </c>
      <c r="AM64" s="34">
        <f>IF(AND(AM$5&gt;$E64,AM$5&lt;=$F64),IF(AM$5=$E64+1,$C64,""),"")</f>
        <v/>
      </c>
      <c r="AN64" s="34">
        <f>IF(AND(AN$5&gt;$E64,AN$5&lt;=$F64),IF(AN$5=$E64+1,$C64,""),"")</f>
        <v/>
      </c>
      <c r="AO64" s="34">
        <f>IF(AND(AO$5&gt;$E64,AO$5&lt;=$F64),IF(AO$5=$E64+1,$C64,""),"")</f>
        <v/>
      </c>
      <c r="AP64" s="34">
        <f>IF(AND(AP$5&gt;$E64,AP$5&lt;=$F64),IF(AP$5=$E64+1,$C64,""),"")</f>
        <v/>
      </c>
      <c r="AQ64" s="34">
        <f>IF(AND(AQ$5&gt;$E64,AQ$5&lt;=$F64),IF(AQ$5=$E64+1,$C64,""),"")</f>
        <v/>
      </c>
      <c r="AR64" s="34">
        <f>IF(AND(AR$5&gt;$E64,AR$5&lt;=$F64),IF(AR$5=$E64+1,$C64,""),"")</f>
        <v/>
      </c>
      <c r="AS64" s="34">
        <f>IF(AND(AS$5&gt;$E64,AS$5&lt;=$F64),IF(AS$5=$E64+1,$C64,""),"")</f>
        <v/>
      </c>
      <c r="AT64" s="34">
        <f>IF(AND(AT$5&gt;$E64,AT$5&lt;=$F64),IF(AT$5=$E64+1,$C64,""),"")</f>
        <v/>
      </c>
      <c r="AU64" s="34">
        <f>IF(AND(AU$5&gt;$E64,AU$5&lt;=$F64),IF(AU$5=$E64+1,$C64,""),"")</f>
        <v/>
      </c>
      <c r="AV64" s="34">
        <f>IF(AND(AV$5&gt;$E64,AV$5&lt;=$F64),IF(AV$5=$E64+1,$C64,""),"")</f>
        <v/>
      </c>
      <c r="AW64" s="34">
        <f>IF(AND(AW$5&gt;$E64,AW$5&lt;=$F64),IF(AW$5=$E64+1,$C64,""),"")</f>
        <v/>
      </c>
      <c r="AX64" s="34">
        <f>IF(AND(AX$5&gt;$E64,AX$5&lt;=$F64),IF(AX$5=$E64+1,$C64,""),"")</f>
        <v/>
      </c>
      <c r="AY64" s="34">
        <f>IF(AND(AY$5&gt;$E64,AY$5&lt;=$F64),IF(AY$5=$E64+1,$C64,""),"")</f>
        <v/>
      </c>
      <c r="AZ64" s="34">
        <f>IF(AND(AZ$5&gt;$E64,AZ$5&lt;=$F64),IF(AZ$5=$E64+1,$C64,""),"")</f>
        <v/>
      </c>
      <c r="BA64" s="34">
        <f>IF(AND(BA$5&gt;$E64,BA$5&lt;=$F64),IF(BA$5=$E64+1,$C64,""),"")</f>
        <v/>
      </c>
      <c r="BB64" s="34">
        <f>IF(AND(BB$5&gt;$E64,BB$5&lt;=$F64),IF(BB$5=$E64+1,$C64,""),"")</f>
        <v/>
      </c>
      <c r="BC64" s="34">
        <f>IF(AND(BC$5&gt;$E64,BC$5&lt;=$F64),IF(BC$5=$E64+1,$C64,""),"")</f>
        <v/>
      </c>
      <c r="BD64" s="34">
        <f>IF(AND(BD$5&gt;$E64,BD$5&lt;=$F64),IF(BD$5=$E64+1,$C64,""),"")</f>
        <v/>
      </c>
      <c r="BE64" s="34">
        <f>IF(AND(BE$5&gt;$E64,BE$5&lt;=$F64),IF(BE$5=$E64+1,$C64,""),"")</f>
        <v/>
      </c>
      <c r="BF64" s="34">
        <f>IF(AND(BF$5&gt;$E64,BF$5&lt;=$F64),IF(BF$5=$E64+1,$C64,""),"")</f>
        <v/>
      </c>
      <c r="BG64" s="34">
        <f>IF(AND(BG$5&gt;$E64,BG$5&lt;=$F64),IF(BG$5=$E64+1,$C64,""),"")</f>
        <v/>
      </c>
      <c r="BH64" s="34">
        <f>IF(AND(BH$5&gt;$E64,BH$5&lt;=$F64),IF(BH$5=$E64+1,$C64,""),"")</f>
        <v/>
      </c>
      <c r="BI64" s="34">
        <f>IF(AND(BI$5&gt;$E64,BI$5&lt;=$F64),IF(BI$5=$E64+1,$C64,""),"")</f>
        <v/>
      </c>
      <c r="BJ64" s="34">
        <f>IF(AND(BJ$5&gt;$E64,BJ$5&lt;=$F64),IF(BJ$5=$E64+1,$C64,""),"")</f>
        <v/>
      </c>
      <c r="BK64" s="34">
        <f>IF(AND(BK$5&gt;$E64,BK$5&lt;=$F64),IF(BK$5=$E64+1,$C64,""),"")</f>
        <v/>
      </c>
      <c r="BL64" s="34">
        <f>IF(AND(BL$5&gt;$E64,BL$5&lt;=$F64),IF(BL$5=$E64+1,$C64,""),"")</f>
        <v/>
      </c>
      <c r="BM64" s="34">
        <f>IF(AND(BM$5&gt;$E64,BM$5&lt;=$F64),IF(BM$5=$E64+1,$C64,""),"")</f>
        <v/>
      </c>
      <c r="BN64" s="34">
        <f>IF(AND(BN$5&gt;$E64,BN$5&lt;=$F64),IF(BN$5=$E64+1,$C64,""),"")</f>
        <v/>
      </c>
      <c r="BO64" s="34">
        <f>IF(AND(BO$5&gt;$E64,BO$5&lt;=$F64),IF(BO$5=$E64+1,$C64,""),"")</f>
        <v/>
      </c>
      <c r="BP64" s="34">
        <f>IF(AND(BP$5&gt;$E64,BP$5&lt;=$F64),IF(BP$5=$E64+1,$C64,""),"")</f>
        <v/>
      </c>
      <c r="BQ64" s="34">
        <f>IF(AND(BQ$5&gt;$E64,BQ$5&lt;=$F64),IF(BQ$5=$E64+1,$C64,""),"")</f>
        <v/>
      </c>
      <c r="BR64" s="34">
        <f>IF(AND(BR$5&gt;$E64,BR$5&lt;=$F64),IF(BR$5=$E64+1,$C64,""),"")</f>
        <v/>
      </c>
      <c r="BS64" s="34">
        <f>IF(AND(BS$5&gt;$E64,BS$5&lt;=$F64),IF(BS$5=$E64+1,$C64,""),"")</f>
        <v/>
      </c>
      <c r="BT64" s="34">
        <f>IF(AND(BT$5&gt;$E64,BT$5&lt;=$F64),IF(BT$5=$E64+1,$C64,""),"")</f>
        <v/>
      </c>
      <c r="BU64" s="34">
        <f>IF(AND(BU$5&gt;$E64,BU$5&lt;=$F64),IF(BU$5=$E64+1,$C64,""),"")</f>
        <v/>
      </c>
      <c r="BV64" s="34">
        <f>IF(AND(BV$5&gt;$E64,BV$5&lt;=$F64),IF(BV$5=$E64+1,$C64,""),"")</f>
        <v/>
      </c>
      <c r="BW64" s="34">
        <f>IF(AND(BW$5&gt;$E64,BW$5&lt;=$F64),IF(BW$5=$E64+1,$C64,""),"")</f>
        <v/>
      </c>
      <c r="BX64" s="34">
        <f>IF(AND(BX$5&gt;$E64,BX$5&lt;=$F64),IF(BX$5=$E64+1,$C64,""),"")</f>
        <v/>
      </c>
      <c r="BY64" s="34">
        <f>IF(AND(BY$5&gt;$E64,BY$5&lt;=$F64),IF(BY$5=$E64+1,$C64,""),"")</f>
        <v/>
      </c>
      <c r="BZ64" s="34">
        <f>IF(AND(BZ$5&gt;$E64,BZ$5&lt;=$F64),IF(BZ$5=$E64+1,$C64,""),"")</f>
        <v/>
      </c>
      <c r="CA64" s="34">
        <f>IF(AND(CA$5&gt;$E64,CA$5&lt;=$F64),IF(CA$5=$E64+1,$C64,""),"")</f>
        <v/>
      </c>
      <c r="CB64" s="34">
        <f>IF(AND(CB$5&gt;$E64,CB$5&lt;=$F64),IF(CB$5=$E64+1,$C64,""),"")</f>
        <v/>
      </c>
      <c r="CC64" s="34">
        <f>IF(AND(CC$5&gt;$E64,CC$5&lt;=$F64),IF(CC$5=$E64+1,$C64,""),"")</f>
        <v/>
      </c>
      <c r="CD64" s="34">
        <f>IF(AND(CD$5&gt;$E64,CD$5&lt;=$F64),IF(CD$5=$E64+1,$C64,""),"")</f>
        <v/>
      </c>
      <c r="CE64" s="34">
        <f>IF(AND(CE$5&gt;$E64,CE$5&lt;=$F64),IF(CE$5=$E64+1,$C64,""),"")</f>
        <v/>
      </c>
      <c r="CF64" s="34">
        <f>IF(AND(CF$5&gt;$E64,CF$5&lt;=$F64),IF(CF$5=$E64+1,$C64,""),"")</f>
        <v/>
      </c>
      <c r="CG64" s="34">
        <f>IF(AND(CG$5&gt;$E64,CG$5&lt;=$F64),IF(CG$5=$E64+1,$C64,""),"")</f>
        <v/>
      </c>
      <c r="CH64" s="34">
        <f>IF(AND(CH$5&gt;$E64,CH$5&lt;=$F64),IF(CH$5=$E64+1,$C64,""),"")</f>
        <v/>
      </c>
      <c r="CI64" s="34">
        <f>IF(AND(CI$5&gt;$E64,CI$5&lt;=$F64),IF(CI$5=$E64+1,$C64,""),"")</f>
        <v/>
      </c>
      <c r="CJ64" s="34">
        <f>IF(AND(CJ$5&gt;$E64,CJ$5&lt;=$F64),IF(CJ$5=$E64+1,$C64,""),"")</f>
        <v/>
      </c>
      <c r="CK64" s="34">
        <f>IF(AND(CK$5&gt;$E64,CK$5&lt;=$F64),IF(CK$5=$E64+1,$C64,""),"")</f>
        <v/>
      </c>
      <c r="CL64" s="34">
        <f>IF(AND(CL$5&gt;$E64,CL$5&lt;=$F64),IF(CL$5=$E64+1,$C64,""),"")</f>
        <v/>
      </c>
      <c r="CM64" s="34">
        <f>IF(AND(CM$5&gt;$E64,CM$5&lt;=$F64),IF(CM$5=$E64+1,$C64,""),"")</f>
        <v/>
      </c>
      <c r="CN64" s="34">
        <f>IF(AND(CN$5&gt;$E64,CN$5&lt;=$F64),IF(CN$5=$E64+1,$C64,""),"")</f>
        <v/>
      </c>
      <c r="CO64" s="34">
        <f>IF(AND(CO$5&gt;$E64,CO$5&lt;=$F64),IF(CO$5=$E64+1,$C64,""),"")</f>
        <v/>
      </c>
      <c r="CP64" s="34">
        <f>IF(AND(CP$5&gt;$E64,CP$5&lt;=$F64),IF(CP$5=$E64+1,$C64,""),"")</f>
        <v/>
      </c>
      <c r="CQ64" s="34">
        <f>IF(AND(CQ$5&gt;$E64,CQ$5&lt;=$F64),IF(CQ$5=$E64+1,$C64,""),"")</f>
        <v/>
      </c>
      <c r="CR64" s="34">
        <f>IF(AND(CR$5&gt;$E64,CR$5&lt;=$F64),IF(CR$5=$E64+1,$C64,""),"")</f>
        <v/>
      </c>
      <c r="CS64" s="34">
        <f>IF(AND(CS$5&gt;$E64,CS$5&lt;=$F64),IF(CS$5=$E64+1,$C64,""),"")</f>
        <v/>
      </c>
      <c r="CT64" s="34">
        <f>IF(AND(CT$5&gt;$E64,CT$5&lt;=$F64),IF(CT$5=$E64+1,$C64,""),"")</f>
        <v/>
      </c>
      <c r="CU64" s="34">
        <f>IF(AND(CU$5&gt;$E64,CU$5&lt;=$F64),IF(CU$5=$E64+1,$C64,""),"")</f>
        <v/>
      </c>
      <c r="CV64" s="34">
        <f>IF(AND(CV$5&gt;$E64,CV$5&lt;=$F64),IF(CV$5=$E64+1,$C64,""),"")</f>
        <v/>
      </c>
      <c r="CW64" s="34">
        <f>IF(AND(CW$5&gt;$E64,CW$5&lt;=$F64),IF(CW$5=$E64+1,$C64,""),"")</f>
        <v/>
      </c>
      <c r="CX64" s="34">
        <f>IF(AND(CX$5&gt;$E64,CX$5&lt;=$F64),IF(CX$5=$E64+1,$C64,""),"")</f>
        <v/>
      </c>
      <c r="CY64" s="34">
        <f>IF(AND(CY$5&gt;$E64,CY$5&lt;=$F64),IF(CY$5=$E64+1,$C64,""),"")</f>
        <v/>
      </c>
      <c r="CZ64" s="34">
        <f>IF(AND(CZ$5&gt;$E64,CZ$5&lt;=$F64),IF(CZ$5=$E64+1,$C64,""),"")</f>
        <v/>
      </c>
      <c r="DA64" s="34">
        <f>IF(AND(DA$5&gt;$E64,DA$5&lt;=$F64),IF(DA$5=$E64+1,$C64,""),"")</f>
        <v/>
      </c>
      <c r="DB64" s="34">
        <f>IF(AND(DB$5&gt;$E64,DB$5&lt;=$F64),IF(DB$5=$E64+1,$C64,""),"")</f>
        <v/>
      </c>
      <c r="DC64" s="34">
        <f>IF(AND(DC$5&gt;$E64,DC$5&lt;=$F64),IF(DC$5=$E64+1,$C64,""),"")</f>
        <v/>
      </c>
      <c r="DD64" s="34">
        <f>IF(AND(DD$5&gt;$E64,DD$5&lt;=$F64),IF(DD$5=$E64+1,$C64,""),"")</f>
        <v/>
      </c>
      <c r="DE64" s="34">
        <f>IF(AND(DE$5&gt;$E64,DE$5&lt;=$F64),IF(DE$5=$E64+1,$C64,""),"")</f>
        <v/>
      </c>
      <c r="DF64" s="34">
        <f>IF(AND(DF$5&gt;$E64,DF$5&lt;=$F64),IF(DF$5=$E64+1,$C64,""),"")</f>
        <v/>
      </c>
      <c r="DG64" s="34">
        <f>IF(AND(DG$5&gt;$E64,DG$5&lt;=$F64),IF(DG$5=$E64+1,$C64,""),"")</f>
        <v/>
      </c>
      <c r="DH64" s="34">
        <f>IF(AND(DH$5&gt;$E64,DH$5&lt;=$F64),IF(DH$5=$E64+1,$C64,""),"")</f>
        <v/>
      </c>
      <c r="DI64" s="34">
        <f>IF(AND(DI$5&gt;$E64,DI$5&lt;=$F64),IF(DI$5=$E64+1,$C64,""),"")</f>
        <v/>
      </c>
      <c r="DJ64" s="34">
        <f>IF(AND(DJ$5&gt;$E64,DJ$5&lt;=$F64),IF(DJ$5=$E64+1,$C64,""),"")</f>
        <v/>
      </c>
      <c r="DK64" s="34">
        <f>IF(AND(DK$5&gt;$E64,DK$5&lt;=$F64),IF(DK$5=$E64+1,$C64,""),"")</f>
        <v/>
      </c>
      <c r="DL64" s="34">
        <f>IF(AND(DL$5&gt;$E64,DL$5&lt;=$F64),IF(DL$5=$E64+1,$C64,""),"")</f>
        <v/>
      </c>
      <c r="DM64" s="34">
        <f>IF(AND(DM$5&gt;$E64,DM$5&lt;=$F64),IF(DM$5=$E64+1,$C64,""),"")</f>
        <v/>
      </c>
      <c r="DN64" s="34">
        <f>IF(AND(DN$5&gt;$E64,DN$5&lt;=$F64),IF(DN$5=$E64+1,$C64,""),"")</f>
        <v/>
      </c>
      <c r="DO64" s="34">
        <f>IF(AND(DO$5&gt;$E64,DO$5&lt;=$F64),IF(DO$5=$E64+1,$C64,""),"")</f>
        <v/>
      </c>
      <c r="DP64" s="34">
        <f>IF(AND(DP$5&gt;$E64,DP$5&lt;=$F64),IF(DP$5=$E64+1,$C64,""),"")</f>
        <v/>
      </c>
      <c r="DQ64" s="34">
        <f>IF(AND(DQ$5&gt;$E64,DQ$5&lt;=$F64),IF(DQ$5=$E64+1,$C64,""),"")</f>
        <v/>
      </c>
      <c r="DR64" s="34">
        <f>IF(AND(DR$5&gt;$E64,DR$5&lt;=$F64),IF(DR$5=$E64+1,$C64,""),"")</f>
        <v/>
      </c>
      <c r="DS64" s="34">
        <f>IF(AND(DS$5&gt;$E64,DS$5&lt;=$F64),IF(DS$5=$E64+1,$C64,""),"")</f>
        <v/>
      </c>
      <c r="DT64" s="34">
        <f>IF(AND(DT$5&gt;$E64,DT$5&lt;=$F64),IF(DT$5=$E64+1,$C64,""),"")</f>
        <v/>
      </c>
      <c r="DU64" s="34">
        <f>IF(AND(DU$5&gt;$E64,DU$5&lt;=$F64),IF(DU$5=$E64+1,$C64,""),"")</f>
        <v/>
      </c>
      <c r="DV64" s="34">
        <f>IF(AND(DV$5&gt;$E64,DV$5&lt;=$F64),IF(DV$5=$E64+1,$C64,""),"")</f>
        <v/>
      </c>
      <c r="DW64" s="34">
        <f>IF(AND(DW$5&gt;$E64,DW$5&lt;=$F64),IF(DW$5=$E64+1,$C64,""),"")</f>
        <v/>
      </c>
      <c r="DX64" s="34">
        <f>IF(AND(DX$5&gt;$E64,DX$5&lt;=$F64),IF(DX$5=$E64+1,$C64,""),"")</f>
        <v/>
      </c>
      <c r="DY64" s="34">
        <f>IF(AND(DY$5&gt;$E64,DY$5&lt;=$F64),IF(DY$5=$E64+1,$C64,""),"")</f>
        <v/>
      </c>
      <c r="DZ64" s="34">
        <f>IF(AND(DZ$5&gt;$E64,DZ$5&lt;=$F64),IF(DZ$5=$E64+1,$C64,""),"")</f>
        <v/>
      </c>
      <c r="EA64" s="34">
        <f>IF(AND(EA$5&gt;$E64,EA$5&lt;=$F64),IF(EA$5=$E64+1,$C64,""),"")</f>
        <v/>
      </c>
      <c r="EB64" s="34">
        <f>IF(AND(EB$5&gt;$E64,EB$5&lt;=$F64),IF(EB$5=$E64+1,$C64,""),"")</f>
        <v/>
      </c>
      <c r="EC64" s="34">
        <f>IF(AND(EC$5&gt;$E64,EC$5&lt;=$F64),IF(EC$5=$E64+1,$C64,""),"")</f>
        <v/>
      </c>
      <c r="ED64" s="34">
        <f>IF(AND(ED$5&gt;$E64,ED$5&lt;=$F64),IF(ED$5=$E64+1,$C64,""),"")</f>
        <v/>
      </c>
      <c r="EE64" s="34">
        <f>IF(AND(EE$5&gt;$E64,EE$5&lt;=$F64),IF(EE$5=$E64+1,$C64,""),"")</f>
        <v/>
      </c>
      <c r="EF64" s="34">
        <f>IF(AND(EF$5&gt;$E64,EF$5&lt;=$F64),IF(EF$5=$E64+1,$C64,""),"")</f>
        <v/>
      </c>
      <c r="EG64" s="34">
        <f>IF(AND(EG$5&gt;$E64,EG$5&lt;=$F64),IF(EG$5=$E64+1,$C64,""),"")</f>
        <v/>
      </c>
      <c r="EH64" s="34">
        <f>IF(AND(EH$5&gt;$E64,EH$5&lt;=$F64),IF(EH$5=$E64+1,$C64,""),"")</f>
        <v/>
      </c>
      <c r="EI64" s="34">
        <f>IF(AND(EI$5&gt;$E64,EI$5&lt;=$F64),IF(EI$5=$E64+1,$C64,""),"")</f>
        <v/>
      </c>
      <c r="EJ64" s="34">
        <f>IF(AND(EJ$5&gt;$E64,EJ$5&lt;=$F64),IF(EJ$5=$E64+1,$C64,""),"")</f>
        <v/>
      </c>
      <c r="EK64" s="34">
        <f>IF(AND(EK$5&gt;$E64,EK$5&lt;=$F64),IF(EK$5=$E64+1,$C64,""),"")</f>
        <v/>
      </c>
      <c r="EL64" s="34">
        <f>IF(AND(EL$5&gt;$E64,EL$5&lt;=$F64),IF(EL$5=$E64+1,$C64,""),"")</f>
        <v/>
      </c>
      <c r="EM64" s="34">
        <f>IF(AND(EM$5&gt;$E64,EM$5&lt;=$F64),IF(EM$5=$E64+1,$C64,""),"")</f>
        <v/>
      </c>
      <c r="EN64" s="34">
        <f>IF(AND(EN$5&gt;$E64,EN$5&lt;=$F64),IF(EN$5=$E64+1,$C64,""),"")</f>
        <v/>
      </c>
      <c r="EO64" s="34">
        <f>IF(AND(EO$5&gt;$E64,EO$5&lt;=$F64),IF(EO$5=$E64+1,$C64,""),"")</f>
        <v/>
      </c>
      <c r="EP64" s="34">
        <f>IF(AND(EP$5&gt;$E64,EP$5&lt;=$F64),IF(EP$5=$E64+1,$C64,""),"")</f>
        <v/>
      </c>
      <c r="EQ64" s="34">
        <f>IF(AND(EQ$5&gt;$E64,EQ$5&lt;=$F64),IF(EQ$5=$E64+1,$C64,""),"")</f>
        <v/>
      </c>
      <c r="ER64" s="34">
        <f>IF(AND(ER$5&gt;$E64,ER$5&lt;=$F64),IF(ER$5=$E64+1,$C64,""),"")</f>
        <v/>
      </c>
      <c r="ES64" s="34">
        <f>IF(AND(ES$5&gt;$E64,ES$5&lt;=$F64),IF(ES$5=$E64+1,$C64,""),"")</f>
        <v/>
      </c>
      <c r="ET64" s="34">
        <f>IF(AND(ET$5&gt;$E64,ET$5&lt;=$F64),IF(ET$5=$E64+1,$C64,""),"")</f>
        <v/>
      </c>
      <c r="EU64" s="34">
        <f>IF(AND(EU$5&gt;$E64,EU$5&lt;=$F64),IF(EU$5=$E64+1,$C64,""),"")</f>
        <v/>
      </c>
      <c r="EV64" s="34">
        <f>IF(AND(EV$5&gt;$E64,EV$5&lt;=$F64),IF(EV$5=$E64+1,$C64,""),"")</f>
        <v/>
      </c>
      <c r="EW64" s="34">
        <f>IF(AND(EW$5&gt;$E64,EW$5&lt;=$F64),IF(EW$5=$E64+1,$C64,""),"")</f>
        <v/>
      </c>
      <c r="EX64" s="34">
        <f>IF(AND(EX$5&gt;$E64,EX$5&lt;=$F64),IF(EX$5=$E64+1,$C64,""),"")</f>
        <v/>
      </c>
      <c r="EY64" s="34">
        <f>IF(AND(EY$5&gt;$E64,EY$5&lt;=$F64),IF(EY$5=$E64+1,$C64,""),"")</f>
        <v/>
      </c>
      <c r="EZ64" s="34">
        <f>IF(AND(EZ$5&gt;$E64,EZ$5&lt;=$F64),IF(EZ$5=$E64+1,$C64,""),"")</f>
        <v/>
      </c>
      <c r="FA64" s="34">
        <f>IF(AND(FA$5&gt;$E64,FA$5&lt;=$F64),IF(FA$5=$E64+1,$C64,""),"")</f>
        <v/>
      </c>
    </row>
    <row r="65">
      <c r="A65" s="32">
        <f>Plan!A93</f>
        <v/>
      </c>
      <c r="B65" s="33">
        <f>Plan!C93</f>
        <v/>
      </c>
      <c r="C65" s="16">
        <f>Plan!D93</f>
        <v/>
      </c>
      <c r="D65" s="16">
        <f>Plan!I93</f>
        <v/>
      </c>
      <c r="E65" s="16">
        <f>Plan!K93</f>
        <v/>
      </c>
      <c r="F65" s="16">
        <f>Plan!L93</f>
        <v/>
      </c>
      <c r="G65" s="16">
        <f>Plan!O93</f>
        <v/>
      </c>
      <c r="H65" s="34">
        <f>IF(AND(H$5&gt;$E65,H$5&lt;=$F65),IF(H$5=$E65+1,$C65,""),"")</f>
        <v/>
      </c>
      <c r="I65" s="34">
        <f>IF(AND(I$5&gt;$E65,I$5&lt;=$F65),IF(I$5=$E65+1,$C65,""),"")</f>
        <v/>
      </c>
      <c r="J65" s="34">
        <f>IF(AND(J$5&gt;$E65,J$5&lt;=$F65),IF(J$5=$E65+1,$C65,""),"")</f>
        <v/>
      </c>
      <c r="K65" s="34">
        <f>IF(AND(K$5&gt;$E65,K$5&lt;=$F65),IF(K$5=$E65+1,$C65,""),"")</f>
        <v/>
      </c>
      <c r="L65" s="34">
        <f>IF(AND(L$5&gt;$E65,L$5&lt;=$F65),IF(L$5=$E65+1,$C65,""),"")</f>
        <v/>
      </c>
      <c r="M65" s="34">
        <f>IF(AND(M$5&gt;$E65,M$5&lt;=$F65),IF(M$5=$E65+1,$C65,""),"")</f>
        <v/>
      </c>
      <c r="N65" s="34">
        <f>IF(AND(N$5&gt;$E65,N$5&lt;=$F65),IF(N$5=$E65+1,$C65,""),"")</f>
        <v/>
      </c>
      <c r="O65" s="34">
        <f>IF(AND(O$5&gt;$E65,O$5&lt;=$F65),IF(O$5=$E65+1,$C65,""),"")</f>
        <v/>
      </c>
      <c r="P65" s="34">
        <f>IF(AND(P$5&gt;$E65,P$5&lt;=$F65),IF(P$5=$E65+1,$C65,""),"")</f>
        <v/>
      </c>
      <c r="Q65" s="34">
        <f>IF(AND(Q$5&gt;$E65,Q$5&lt;=$F65),IF(Q$5=$E65+1,$C65,""),"")</f>
        <v/>
      </c>
      <c r="R65" s="34">
        <f>IF(AND(R$5&gt;$E65,R$5&lt;=$F65),IF(R$5=$E65+1,$C65,""),"")</f>
        <v/>
      </c>
      <c r="S65" s="34">
        <f>IF(AND(S$5&gt;$E65,S$5&lt;=$F65),IF(S$5=$E65+1,$C65,""),"")</f>
        <v/>
      </c>
      <c r="T65" s="34">
        <f>IF(AND(T$5&gt;$E65,T$5&lt;=$F65),IF(T$5=$E65+1,$C65,""),"")</f>
        <v/>
      </c>
      <c r="U65" s="34">
        <f>IF(AND(U$5&gt;$E65,U$5&lt;=$F65),IF(U$5=$E65+1,$C65,""),"")</f>
        <v/>
      </c>
      <c r="V65" s="34">
        <f>IF(AND(V$5&gt;$E65,V$5&lt;=$F65),IF(V$5=$E65+1,$C65,""),"")</f>
        <v/>
      </c>
      <c r="W65" s="34">
        <f>IF(AND(W$5&gt;$E65,W$5&lt;=$F65),IF(W$5=$E65+1,$C65,""),"")</f>
        <v/>
      </c>
      <c r="X65" s="34">
        <f>IF(AND(X$5&gt;$E65,X$5&lt;=$F65),IF(X$5=$E65+1,$C65,""),"")</f>
        <v/>
      </c>
      <c r="Y65" s="34">
        <f>IF(AND(Y$5&gt;$E65,Y$5&lt;=$F65),IF(Y$5=$E65+1,$C65,""),"")</f>
        <v/>
      </c>
      <c r="Z65" s="34">
        <f>IF(AND(Z$5&gt;$E65,Z$5&lt;=$F65),IF(Z$5=$E65+1,$C65,""),"")</f>
        <v/>
      </c>
      <c r="AA65" s="34">
        <f>IF(AND(AA$5&gt;$E65,AA$5&lt;=$F65),IF(AA$5=$E65+1,$C65,""),"")</f>
        <v/>
      </c>
      <c r="AB65" s="34">
        <f>IF(AND(AB$5&gt;$E65,AB$5&lt;=$F65),IF(AB$5=$E65+1,$C65,""),"")</f>
        <v/>
      </c>
      <c r="AC65" s="34">
        <f>IF(AND(AC$5&gt;$E65,AC$5&lt;=$F65),IF(AC$5=$E65+1,$C65,""),"")</f>
        <v/>
      </c>
      <c r="AD65" s="34">
        <f>IF(AND(AD$5&gt;$E65,AD$5&lt;=$F65),IF(AD$5=$E65+1,$C65,""),"")</f>
        <v/>
      </c>
      <c r="AE65" s="34">
        <f>IF(AND(AE$5&gt;$E65,AE$5&lt;=$F65),IF(AE$5=$E65+1,$C65,""),"")</f>
        <v/>
      </c>
      <c r="AF65" s="34">
        <f>IF(AND(AF$5&gt;$E65,AF$5&lt;=$F65),IF(AF$5=$E65+1,$C65,""),"")</f>
        <v/>
      </c>
      <c r="AG65" s="34">
        <f>IF(AND(AG$5&gt;$E65,AG$5&lt;=$F65),IF(AG$5=$E65+1,$C65,""),"")</f>
        <v/>
      </c>
      <c r="AH65" s="34">
        <f>IF(AND(AH$5&gt;$E65,AH$5&lt;=$F65),IF(AH$5=$E65+1,$C65,""),"")</f>
        <v/>
      </c>
      <c r="AI65" s="34">
        <f>IF(AND(AI$5&gt;$E65,AI$5&lt;=$F65),IF(AI$5=$E65+1,$C65,""),"")</f>
        <v/>
      </c>
      <c r="AJ65" s="34">
        <f>IF(AND(AJ$5&gt;$E65,AJ$5&lt;=$F65),IF(AJ$5=$E65+1,$C65,""),"")</f>
        <v/>
      </c>
      <c r="AK65" s="34">
        <f>IF(AND(AK$5&gt;$E65,AK$5&lt;=$F65),IF(AK$5=$E65+1,$C65,""),"")</f>
        <v/>
      </c>
      <c r="AL65" s="34">
        <f>IF(AND(AL$5&gt;$E65,AL$5&lt;=$F65),IF(AL$5=$E65+1,$C65,""),"")</f>
        <v/>
      </c>
      <c r="AM65" s="34">
        <f>IF(AND(AM$5&gt;$E65,AM$5&lt;=$F65),IF(AM$5=$E65+1,$C65,""),"")</f>
        <v/>
      </c>
      <c r="AN65" s="34">
        <f>IF(AND(AN$5&gt;$E65,AN$5&lt;=$F65),IF(AN$5=$E65+1,$C65,""),"")</f>
        <v/>
      </c>
      <c r="AO65" s="34">
        <f>IF(AND(AO$5&gt;$E65,AO$5&lt;=$F65),IF(AO$5=$E65+1,$C65,""),"")</f>
        <v/>
      </c>
      <c r="AP65" s="34">
        <f>IF(AND(AP$5&gt;$E65,AP$5&lt;=$F65),IF(AP$5=$E65+1,$C65,""),"")</f>
        <v/>
      </c>
      <c r="AQ65" s="34">
        <f>IF(AND(AQ$5&gt;$E65,AQ$5&lt;=$F65),IF(AQ$5=$E65+1,$C65,""),"")</f>
        <v/>
      </c>
      <c r="AR65" s="34">
        <f>IF(AND(AR$5&gt;$E65,AR$5&lt;=$F65),IF(AR$5=$E65+1,$C65,""),"")</f>
        <v/>
      </c>
      <c r="AS65" s="34">
        <f>IF(AND(AS$5&gt;$E65,AS$5&lt;=$F65),IF(AS$5=$E65+1,$C65,""),"")</f>
        <v/>
      </c>
      <c r="AT65" s="34">
        <f>IF(AND(AT$5&gt;$E65,AT$5&lt;=$F65),IF(AT$5=$E65+1,$C65,""),"")</f>
        <v/>
      </c>
      <c r="AU65" s="34">
        <f>IF(AND(AU$5&gt;$E65,AU$5&lt;=$F65),IF(AU$5=$E65+1,$C65,""),"")</f>
        <v/>
      </c>
      <c r="AV65" s="34">
        <f>IF(AND(AV$5&gt;$E65,AV$5&lt;=$F65),IF(AV$5=$E65+1,$C65,""),"")</f>
        <v/>
      </c>
      <c r="AW65" s="34">
        <f>IF(AND(AW$5&gt;$E65,AW$5&lt;=$F65),IF(AW$5=$E65+1,$C65,""),"")</f>
        <v/>
      </c>
      <c r="AX65" s="34">
        <f>IF(AND(AX$5&gt;$E65,AX$5&lt;=$F65),IF(AX$5=$E65+1,$C65,""),"")</f>
        <v/>
      </c>
      <c r="AY65" s="34">
        <f>IF(AND(AY$5&gt;$E65,AY$5&lt;=$F65),IF(AY$5=$E65+1,$C65,""),"")</f>
        <v/>
      </c>
      <c r="AZ65" s="34">
        <f>IF(AND(AZ$5&gt;$E65,AZ$5&lt;=$F65),IF(AZ$5=$E65+1,$C65,""),"")</f>
        <v/>
      </c>
      <c r="BA65" s="34">
        <f>IF(AND(BA$5&gt;$E65,BA$5&lt;=$F65),IF(BA$5=$E65+1,$C65,""),"")</f>
        <v/>
      </c>
      <c r="BB65" s="34">
        <f>IF(AND(BB$5&gt;$E65,BB$5&lt;=$F65),IF(BB$5=$E65+1,$C65,""),"")</f>
        <v/>
      </c>
      <c r="BC65" s="34">
        <f>IF(AND(BC$5&gt;$E65,BC$5&lt;=$F65),IF(BC$5=$E65+1,$C65,""),"")</f>
        <v/>
      </c>
      <c r="BD65" s="34">
        <f>IF(AND(BD$5&gt;$E65,BD$5&lt;=$F65),IF(BD$5=$E65+1,$C65,""),"")</f>
        <v/>
      </c>
      <c r="BE65" s="34">
        <f>IF(AND(BE$5&gt;$E65,BE$5&lt;=$F65),IF(BE$5=$E65+1,$C65,""),"")</f>
        <v/>
      </c>
      <c r="BF65" s="34">
        <f>IF(AND(BF$5&gt;$E65,BF$5&lt;=$F65),IF(BF$5=$E65+1,$C65,""),"")</f>
        <v/>
      </c>
      <c r="BG65" s="34">
        <f>IF(AND(BG$5&gt;$E65,BG$5&lt;=$F65),IF(BG$5=$E65+1,$C65,""),"")</f>
        <v/>
      </c>
      <c r="BH65" s="34">
        <f>IF(AND(BH$5&gt;$E65,BH$5&lt;=$F65),IF(BH$5=$E65+1,$C65,""),"")</f>
        <v/>
      </c>
      <c r="BI65" s="34">
        <f>IF(AND(BI$5&gt;$E65,BI$5&lt;=$F65),IF(BI$5=$E65+1,$C65,""),"")</f>
        <v/>
      </c>
      <c r="BJ65" s="34">
        <f>IF(AND(BJ$5&gt;$E65,BJ$5&lt;=$F65),IF(BJ$5=$E65+1,$C65,""),"")</f>
        <v/>
      </c>
      <c r="BK65" s="34">
        <f>IF(AND(BK$5&gt;$E65,BK$5&lt;=$F65),IF(BK$5=$E65+1,$C65,""),"")</f>
        <v/>
      </c>
      <c r="BL65" s="34">
        <f>IF(AND(BL$5&gt;$E65,BL$5&lt;=$F65),IF(BL$5=$E65+1,$C65,""),"")</f>
        <v/>
      </c>
      <c r="BM65" s="34">
        <f>IF(AND(BM$5&gt;$E65,BM$5&lt;=$F65),IF(BM$5=$E65+1,$C65,""),"")</f>
        <v/>
      </c>
      <c r="BN65" s="34">
        <f>IF(AND(BN$5&gt;$E65,BN$5&lt;=$F65),IF(BN$5=$E65+1,$C65,""),"")</f>
        <v/>
      </c>
      <c r="BO65" s="34">
        <f>IF(AND(BO$5&gt;$E65,BO$5&lt;=$F65),IF(BO$5=$E65+1,$C65,""),"")</f>
        <v/>
      </c>
      <c r="BP65" s="34">
        <f>IF(AND(BP$5&gt;$E65,BP$5&lt;=$F65),IF(BP$5=$E65+1,$C65,""),"")</f>
        <v/>
      </c>
      <c r="BQ65" s="34">
        <f>IF(AND(BQ$5&gt;$E65,BQ$5&lt;=$F65),IF(BQ$5=$E65+1,$C65,""),"")</f>
        <v/>
      </c>
      <c r="BR65" s="34">
        <f>IF(AND(BR$5&gt;$E65,BR$5&lt;=$F65),IF(BR$5=$E65+1,$C65,""),"")</f>
        <v/>
      </c>
      <c r="BS65" s="34">
        <f>IF(AND(BS$5&gt;$E65,BS$5&lt;=$F65),IF(BS$5=$E65+1,$C65,""),"")</f>
        <v/>
      </c>
      <c r="BT65" s="34">
        <f>IF(AND(BT$5&gt;$E65,BT$5&lt;=$F65),IF(BT$5=$E65+1,$C65,""),"")</f>
        <v/>
      </c>
      <c r="BU65" s="34">
        <f>IF(AND(BU$5&gt;$E65,BU$5&lt;=$F65),IF(BU$5=$E65+1,$C65,""),"")</f>
        <v/>
      </c>
      <c r="BV65" s="34">
        <f>IF(AND(BV$5&gt;$E65,BV$5&lt;=$F65),IF(BV$5=$E65+1,$C65,""),"")</f>
        <v/>
      </c>
      <c r="BW65" s="34">
        <f>IF(AND(BW$5&gt;$E65,BW$5&lt;=$F65),IF(BW$5=$E65+1,$C65,""),"")</f>
        <v/>
      </c>
      <c r="BX65" s="34">
        <f>IF(AND(BX$5&gt;$E65,BX$5&lt;=$F65),IF(BX$5=$E65+1,$C65,""),"")</f>
        <v/>
      </c>
      <c r="BY65" s="34">
        <f>IF(AND(BY$5&gt;$E65,BY$5&lt;=$F65),IF(BY$5=$E65+1,$C65,""),"")</f>
        <v/>
      </c>
      <c r="BZ65" s="34">
        <f>IF(AND(BZ$5&gt;$E65,BZ$5&lt;=$F65),IF(BZ$5=$E65+1,$C65,""),"")</f>
        <v/>
      </c>
      <c r="CA65" s="34">
        <f>IF(AND(CA$5&gt;$E65,CA$5&lt;=$F65),IF(CA$5=$E65+1,$C65,""),"")</f>
        <v/>
      </c>
      <c r="CB65" s="34">
        <f>IF(AND(CB$5&gt;$E65,CB$5&lt;=$F65),IF(CB$5=$E65+1,$C65,""),"")</f>
        <v/>
      </c>
      <c r="CC65" s="34">
        <f>IF(AND(CC$5&gt;$E65,CC$5&lt;=$F65),IF(CC$5=$E65+1,$C65,""),"")</f>
        <v/>
      </c>
      <c r="CD65" s="34">
        <f>IF(AND(CD$5&gt;$E65,CD$5&lt;=$F65),IF(CD$5=$E65+1,$C65,""),"")</f>
        <v/>
      </c>
      <c r="CE65" s="34">
        <f>IF(AND(CE$5&gt;$E65,CE$5&lt;=$F65),IF(CE$5=$E65+1,$C65,""),"")</f>
        <v/>
      </c>
      <c r="CF65" s="34">
        <f>IF(AND(CF$5&gt;$E65,CF$5&lt;=$F65),IF(CF$5=$E65+1,$C65,""),"")</f>
        <v/>
      </c>
      <c r="CG65" s="34">
        <f>IF(AND(CG$5&gt;$E65,CG$5&lt;=$F65),IF(CG$5=$E65+1,$C65,""),"")</f>
        <v/>
      </c>
      <c r="CH65" s="34">
        <f>IF(AND(CH$5&gt;$E65,CH$5&lt;=$F65),IF(CH$5=$E65+1,$C65,""),"")</f>
        <v/>
      </c>
      <c r="CI65" s="34">
        <f>IF(AND(CI$5&gt;$E65,CI$5&lt;=$F65),IF(CI$5=$E65+1,$C65,""),"")</f>
        <v/>
      </c>
      <c r="CJ65" s="34">
        <f>IF(AND(CJ$5&gt;$E65,CJ$5&lt;=$F65),IF(CJ$5=$E65+1,$C65,""),"")</f>
        <v/>
      </c>
      <c r="CK65" s="34">
        <f>IF(AND(CK$5&gt;$E65,CK$5&lt;=$F65),IF(CK$5=$E65+1,$C65,""),"")</f>
        <v/>
      </c>
      <c r="CL65" s="34">
        <f>IF(AND(CL$5&gt;$E65,CL$5&lt;=$F65),IF(CL$5=$E65+1,$C65,""),"")</f>
        <v/>
      </c>
      <c r="CM65" s="34">
        <f>IF(AND(CM$5&gt;$E65,CM$5&lt;=$F65),IF(CM$5=$E65+1,$C65,""),"")</f>
        <v/>
      </c>
      <c r="CN65" s="34">
        <f>IF(AND(CN$5&gt;$E65,CN$5&lt;=$F65),IF(CN$5=$E65+1,$C65,""),"")</f>
        <v/>
      </c>
      <c r="CO65" s="34">
        <f>IF(AND(CO$5&gt;$E65,CO$5&lt;=$F65),IF(CO$5=$E65+1,$C65,""),"")</f>
        <v/>
      </c>
      <c r="CP65" s="34">
        <f>IF(AND(CP$5&gt;$E65,CP$5&lt;=$F65),IF(CP$5=$E65+1,$C65,""),"")</f>
        <v/>
      </c>
      <c r="CQ65" s="34">
        <f>IF(AND(CQ$5&gt;$E65,CQ$5&lt;=$F65),IF(CQ$5=$E65+1,$C65,""),"")</f>
        <v/>
      </c>
      <c r="CR65" s="34">
        <f>IF(AND(CR$5&gt;$E65,CR$5&lt;=$F65),IF(CR$5=$E65+1,$C65,""),"")</f>
        <v/>
      </c>
      <c r="CS65" s="34">
        <f>IF(AND(CS$5&gt;$E65,CS$5&lt;=$F65),IF(CS$5=$E65+1,$C65,""),"")</f>
        <v/>
      </c>
      <c r="CT65" s="34">
        <f>IF(AND(CT$5&gt;$E65,CT$5&lt;=$F65),IF(CT$5=$E65+1,$C65,""),"")</f>
        <v/>
      </c>
      <c r="CU65" s="34">
        <f>IF(AND(CU$5&gt;$E65,CU$5&lt;=$F65),IF(CU$5=$E65+1,$C65,""),"")</f>
        <v/>
      </c>
      <c r="CV65" s="34">
        <f>IF(AND(CV$5&gt;$E65,CV$5&lt;=$F65),IF(CV$5=$E65+1,$C65,""),"")</f>
        <v/>
      </c>
      <c r="CW65" s="34">
        <f>IF(AND(CW$5&gt;$E65,CW$5&lt;=$F65),IF(CW$5=$E65+1,$C65,""),"")</f>
        <v/>
      </c>
      <c r="CX65" s="34">
        <f>IF(AND(CX$5&gt;$E65,CX$5&lt;=$F65),IF(CX$5=$E65+1,$C65,""),"")</f>
        <v/>
      </c>
      <c r="CY65" s="34">
        <f>IF(AND(CY$5&gt;$E65,CY$5&lt;=$F65),IF(CY$5=$E65+1,$C65,""),"")</f>
        <v/>
      </c>
      <c r="CZ65" s="34">
        <f>IF(AND(CZ$5&gt;$E65,CZ$5&lt;=$F65),IF(CZ$5=$E65+1,$C65,""),"")</f>
        <v/>
      </c>
      <c r="DA65" s="34">
        <f>IF(AND(DA$5&gt;$E65,DA$5&lt;=$F65),IF(DA$5=$E65+1,$C65,""),"")</f>
        <v/>
      </c>
      <c r="DB65" s="34">
        <f>IF(AND(DB$5&gt;$E65,DB$5&lt;=$F65),IF(DB$5=$E65+1,$C65,""),"")</f>
        <v/>
      </c>
      <c r="DC65" s="34">
        <f>IF(AND(DC$5&gt;$E65,DC$5&lt;=$F65),IF(DC$5=$E65+1,$C65,""),"")</f>
        <v/>
      </c>
      <c r="DD65" s="34">
        <f>IF(AND(DD$5&gt;$E65,DD$5&lt;=$F65),IF(DD$5=$E65+1,$C65,""),"")</f>
        <v/>
      </c>
      <c r="DE65" s="34">
        <f>IF(AND(DE$5&gt;$E65,DE$5&lt;=$F65),IF(DE$5=$E65+1,$C65,""),"")</f>
        <v/>
      </c>
      <c r="DF65" s="34">
        <f>IF(AND(DF$5&gt;$E65,DF$5&lt;=$F65),IF(DF$5=$E65+1,$C65,""),"")</f>
        <v/>
      </c>
      <c r="DG65" s="34">
        <f>IF(AND(DG$5&gt;$E65,DG$5&lt;=$F65),IF(DG$5=$E65+1,$C65,""),"")</f>
        <v/>
      </c>
      <c r="DH65" s="34">
        <f>IF(AND(DH$5&gt;$E65,DH$5&lt;=$F65),IF(DH$5=$E65+1,$C65,""),"")</f>
        <v/>
      </c>
      <c r="DI65" s="34">
        <f>IF(AND(DI$5&gt;$E65,DI$5&lt;=$F65),IF(DI$5=$E65+1,$C65,""),"")</f>
        <v/>
      </c>
      <c r="DJ65" s="34">
        <f>IF(AND(DJ$5&gt;$E65,DJ$5&lt;=$F65),IF(DJ$5=$E65+1,$C65,""),"")</f>
        <v/>
      </c>
      <c r="DK65" s="34">
        <f>IF(AND(DK$5&gt;$E65,DK$5&lt;=$F65),IF(DK$5=$E65+1,$C65,""),"")</f>
        <v/>
      </c>
      <c r="DL65" s="34">
        <f>IF(AND(DL$5&gt;$E65,DL$5&lt;=$F65),IF(DL$5=$E65+1,$C65,""),"")</f>
        <v/>
      </c>
      <c r="DM65" s="34">
        <f>IF(AND(DM$5&gt;$E65,DM$5&lt;=$F65),IF(DM$5=$E65+1,$C65,""),"")</f>
        <v/>
      </c>
      <c r="DN65" s="34">
        <f>IF(AND(DN$5&gt;$E65,DN$5&lt;=$F65),IF(DN$5=$E65+1,$C65,""),"")</f>
        <v/>
      </c>
      <c r="DO65" s="34">
        <f>IF(AND(DO$5&gt;$E65,DO$5&lt;=$F65),IF(DO$5=$E65+1,$C65,""),"")</f>
        <v/>
      </c>
      <c r="DP65" s="34">
        <f>IF(AND(DP$5&gt;$E65,DP$5&lt;=$F65),IF(DP$5=$E65+1,$C65,""),"")</f>
        <v/>
      </c>
      <c r="DQ65" s="34">
        <f>IF(AND(DQ$5&gt;$E65,DQ$5&lt;=$F65),IF(DQ$5=$E65+1,$C65,""),"")</f>
        <v/>
      </c>
      <c r="DR65" s="34">
        <f>IF(AND(DR$5&gt;$E65,DR$5&lt;=$F65),IF(DR$5=$E65+1,$C65,""),"")</f>
        <v/>
      </c>
      <c r="DS65" s="34">
        <f>IF(AND(DS$5&gt;$E65,DS$5&lt;=$F65),IF(DS$5=$E65+1,$C65,""),"")</f>
        <v/>
      </c>
      <c r="DT65" s="34">
        <f>IF(AND(DT$5&gt;$E65,DT$5&lt;=$F65),IF(DT$5=$E65+1,$C65,""),"")</f>
        <v/>
      </c>
      <c r="DU65" s="34">
        <f>IF(AND(DU$5&gt;$E65,DU$5&lt;=$F65),IF(DU$5=$E65+1,$C65,""),"")</f>
        <v/>
      </c>
      <c r="DV65" s="34">
        <f>IF(AND(DV$5&gt;$E65,DV$5&lt;=$F65),IF(DV$5=$E65+1,$C65,""),"")</f>
        <v/>
      </c>
      <c r="DW65" s="34">
        <f>IF(AND(DW$5&gt;$E65,DW$5&lt;=$F65),IF(DW$5=$E65+1,$C65,""),"")</f>
        <v/>
      </c>
      <c r="DX65" s="34">
        <f>IF(AND(DX$5&gt;$E65,DX$5&lt;=$F65),IF(DX$5=$E65+1,$C65,""),"")</f>
        <v/>
      </c>
      <c r="DY65" s="34">
        <f>IF(AND(DY$5&gt;$E65,DY$5&lt;=$F65),IF(DY$5=$E65+1,$C65,""),"")</f>
        <v/>
      </c>
      <c r="DZ65" s="34">
        <f>IF(AND(DZ$5&gt;$E65,DZ$5&lt;=$F65),IF(DZ$5=$E65+1,$C65,""),"")</f>
        <v/>
      </c>
      <c r="EA65" s="34">
        <f>IF(AND(EA$5&gt;$E65,EA$5&lt;=$F65),IF(EA$5=$E65+1,$C65,""),"")</f>
        <v/>
      </c>
      <c r="EB65" s="34">
        <f>IF(AND(EB$5&gt;$E65,EB$5&lt;=$F65),IF(EB$5=$E65+1,$C65,""),"")</f>
        <v/>
      </c>
      <c r="EC65" s="34">
        <f>IF(AND(EC$5&gt;$E65,EC$5&lt;=$F65),IF(EC$5=$E65+1,$C65,""),"")</f>
        <v/>
      </c>
      <c r="ED65" s="34">
        <f>IF(AND(ED$5&gt;$E65,ED$5&lt;=$F65),IF(ED$5=$E65+1,$C65,""),"")</f>
        <v/>
      </c>
      <c r="EE65" s="34">
        <f>IF(AND(EE$5&gt;$E65,EE$5&lt;=$F65),IF(EE$5=$E65+1,$C65,""),"")</f>
        <v/>
      </c>
      <c r="EF65" s="34">
        <f>IF(AND(EF$5&gt;$E65,EF$5&lt;=$F65),IF(EF$5=$E65+1,$C65,""),"")</f>
        <v/>
      </c>
      <c r="EG65" s="34">
        <f>IF(AND(EG$5&gt;$E65,EG$5&lt;=$F65),IF(EG$5=$E65+1,$C65,""),"")</f>
        <v/>
      </c>
      <c r="EH65" s="34">
        <f>IF(AND(EH$5&gt;$E65,EH$5&lt;=$F65),IF(EH$5=$E65+1,$C65,""),"")</f>
        <v/>
      </c>
      <c r="EI65" s="34">
        <f>IF(AND(EI$5&gt;$E65,EI$5&lt;=$F65),IF(EI$5=$E65+1,$C65,""),"")</f>
        <v/>
      </c>
      <c r="EJ65" s="34">
        <f>IF(AND(EJ$5&gt;$E65,EJ$5&lt;=$F65),IF(EJ$5=$E65+1,$C65,""),"")</f>
        <v/>
      </c>
      <c r="EK65" s="34">
        <f>IF(AND(EK$5&gt;$E65,EK$5&lt;=$F65),IF(EK$5=$E65+1,$C65,""),"")</f>
        <v/>
      </c>
      <c r="EL65" s="34">
        <f>IF(AND(EL$5&gt;$E65,EL$5&lt;=$F65),IF(EL$5=$E65+1,$C65,""),"")</f>
        <v/>
      </c>
      <c r="EM65" s="34">
        <f>IF(AND(EM$5&gt;$E65,EM$5&lt;=$F65),IF(EM$5=$E65+1,$C65,""),"")</f>
        <v/>
      </c>
      <c r="EN65" s="34">
        <f>IF(AND(EN$5&gt;$E65,EN$5&lt;=$F65),IF(EN$5=$E65+1,$C65,""),"")</f>
        <v/>
      </c>
      <c r="EO65" s="34">
        <f>IF(AND(EO$5&gt;$E65,EO$5&lt;=$F65),IF(EO$5=$E65+1,$C65,""),"")</f>
        <v/>
      </c>
      <c r="EP65" s="34">
        <f>IF(AND(EP$5&gt;$E65,EP$5&lt;=$F65),IF(EP$5=$E65+1,$C65,""),"")</f>
        <v/>
      </c>
      <c r="EQ65" s="34">
        <f>IF(AND(EQ$5&gt;$E65,EQ$5&lt;=$F65),IF(EQ$5=$E65+1,$C65,""),"")</f>
        <v/>
      </c>
      <c r="ER65" s="34">
        <f>IF(AND(ER$5&gt;$E65,ER$5&lt;=$F65),IF(ER$5=$E65+1,$C65,""),"")</f>
        <v/>
      </c>
      <c r="ES65" s="34">
        <f>IF(AND(ES$5&gt;$E65,ES$5&lt;=$F65),IF(ES$5=$E65+1,$C65,""),"")</f>
        <v/>
      </c>
      <c r="ET65" s="34">
        <f>IF(AND(ET$5&gt;$E65,ET$5&lt;=$F65),IF(ET$5=$E65+1,$C65,""),"")</f>
        <v/>
      </c>
      <c r="EU65" s="34">
        <f>IF(AND(EU$5&gt;$E65,EU$5&lt;=$F65),IF(EU$5=$E65+1,$C65,""),"")</f>
        <v/>
      </c>
      <c r="EV65" s="34">
        <f>IF(AND(EV$5&gt;$E65,EV$5&lt;=$F65),IF(EV$5=$E65+1,$C65,""),"")</f>
        <v/>
      </c>
      <c r="EW65" s="34">
        <f>IF(AND(EW$5&gt;$E65,EW$5&lt;=$F65),IF(EW$5=$E65+1,$C65,""),"")</f>
        <v/>
      </c>
      <c r="EX65" s="34">
        <f>IF(AND(EX$5&gt;$E65,EX$5&lt;=$F65),IF(EX$5=$E65+1,$C65,""),"")</f>
        <v/>
      </c>
      <c r="EY65" s="34">
        <f>IF(AND(EY$5&gt;$E65,EY$5&lt;=$F65),IF(EY$5=$E65+1,$C65,""),"")</f>
        <v/>
      </c>
      <c r="EZ65" s="34">
        <f>IF(AND(EZ$5&gt;$E65,EZ$5&lt;=$F65),IF(EZ$5=$E65+1,$C65,""),"")</f>
        <v/>
      </c>
      <c r="FA65" s="34">
        <f>IF(AND(FA$5&gt;$E65,FA$5&lt;=$F65),IF(FA$5=$E65+1,$C65,""),"")</f>
        <v/>
      </c>
    </row>
    <row r="66">
      <c r="A66" s="32">
        <f>Plan!A94</f>
        <v/>
      </c>
      <c r="B66" s="33">
        <f>Plan!C94</f>
        <v/>
      </c>
      <c r="C66" s="16">
        <f>Plan!D94</f>
        <v/>
      </c>
      <c r="D66" s="16">
        <f>Plan!I94</f>
        <v/>
      </c>
      <c r="E66" s="16">
        <f>Plan!K94</f>
        <v/>
      </c>
      <c r="F66" s="16">
        <f>Plan!L94</f>
        <v/>
      </c>
      <c r="G66" s="16">
        <f>Plan!O94</f>
        <v/>
      </c>
      <c r="H66" s="34">
        <f>IF(AND(H$5&gt;$E66,H$5&lt;=$F66),IF(H$5=$E66+1,$C66,""),"")</f>
        <v/>
      </c>
      <c r="I66" s="34">
        <f>IF(AND(I$5&gt;$E66,I$5&lt;=$F66),IF(I$5=$E66+1,$C66,""),"")</f>
        <v/>
      </c>
      <c r="J66" s="34">
        <f>IF(AND(J$5&gt;$E66,J$5&lt;=$F66),IF(J$5=$E66+1,$C66,""),"")</f>
        <v/>
      </c>
      <c r="K66" s="34">
        <f>IF(AND(K$5&gt;$E66,K$5&lt;=$F66),IF(K$5=$E66+1,$C66,""),"")</f>
        <v/>
      </c>
      <c r="L66" s="34">
        <f>IF(AND(L$5&gt;$E66,L$5&lt;=$F66),IF(L$5=$E66+1,$C66,""),"")</f>
        <v/>
      </c>
      <c r="M66" s="34">
        <f>IF(AND(M$5&gt;$E66,M$5&lt;=$F66),IF(M$5=$E66+1,$C66,""),"")</f>
        <v/>
      </c>
      <c r="N66" s="34">
        <f>IF(AND(N$5&gt;$E66,N$5&lt;=$F66),IF(N$5=$E66+1,$C66,""),"")</f>
        <v/>
      </c>
      <c r="O66" s="34">
        <f>IF(AND(O$5&gt;$E66,O$5&lt;=$F66),IF(O$5=$E66+1,$C66,""),"")</f>
        <v/>
      </c>
      <c r="P66" s="34">
        <f>IF(AND(P$5&gt;$E66,P$5&lt;=$F66),IF(P$5=$E66+1,$C66,""),"")</f>
        <v/>
      </c>
      <c r="Q66" s="34">
        <f>IF(AND(Q$5&gt;$E66,Q$5&lt;=$F66),IF(Q$5=$E66+1,$C66,""),"")</f>
        <v/>
      </c>
      <c r="R66" s="34">
        <f>IF(AND(R$5&gt;$E66,R$5&lt;=$F66),IF(R$5=$E66+1,$C66,""),"")</f>
        <v/>
      </c>
      <c r="S66" s="34">
        <f>IF(AND(S$5&gt;$E66,S$5&lt;=$F66),IF(S$5=$E66+1,$C66,""),"")</f>
        <v/>
      </c>
      <c r="T66" s="34">
        <f>IF(AND(T$5&gt;$E66,T$5&lt;=$F66),IF(T$5=$E66+1,$C66,""),"")</f>
        <v/>
      </c>
      <c r="U66" s="34">
        <f>IF(AND(U$5&gt;$E66,U$5&lt;=$F66),IF(U$5=$E66+1,$C66,""),"")</f>
        <v/>
      </c>
      <c r="V66" s="34">
        <f>IF(AND(V$5&gt;$E66,V$5&lt;=$F66),IF(V$5=$E66+1,$C66,""),"")</f>
        <v/>
      </c>
      <c r="W66" s="34">
        <f>IF(AND(W$5&gt;$E66,W$5&lt;=$F66),IF(W$5=$E66+1,$C66,""),"")</f>
        <v/>
      </c>
      <c r="X66" s="34">
        <f>IF(AND(X$5&gt;$E66,X$5&lt;=$F66),IF(X$5=$E66+1,$C66,""),"")</f>
        <v/>
      </c>
      <c r="Y66" s="34">
        <f>IF(AND(Y$5&gt;$E66,Y$5&lt;=$F66),IF(Y$5=$E66+1,$C66,""),"")</f>
        <v/>
      </c>
      <c r="Z66" s="34">
        <f>IF(AND(Z$5&gt;$E66,Z$5&lt;=$F66),IF(Z$5=$E66+1,$C66,""),"")</f>
        <v/>
      </c>
      <c r="AA66" s="34">
        <f>IF(AND(AA$5&gt;$E66,AA$5&lt;=$F66),IF(AA$5=$E66+1,$C66,""),"")</f>
        <v/>
      </c>
      <c r="AB66" s="34">
        <f>IF(AND(AB$5&gt;$E66,AB$5&lt;=$F66),IF(AB$5=$E66+1,$C66,""),"")</f>
        <v/>
      </c>
      <c r="AC66" s="34">
        <f>IF(AND(AC$5&gt;$E66,AC$5&lt;=$F66),IF(AC$5=$E66+1,$C66,""),"")</f>
        <v/>
      </c>
      <c r="AD66" s="34">
        <f>IF(AND(AD$5&gt;$E66,AD$5&lt;=$F66),IF(AD$5=$E66+1,$C66,""),"")</f>
        <v/>
      </c>
      <c r="AE66" s="34">
        <f>IF(AND(AE$5&gt;$E66,AE$5&lt;=$F66),IF(AE$5=$E66+1,$C66,""),"")</f>
        <v/>
      </c>
      <c r="AF66" s="34">
        <f>IF(AND(AF$5&gt;$E66,AF$5&lt;=$F66),IF(AF$5=$E66+1,$C66,""),"")</f>
        <v/>
      </c>
      <c r="AG66" s="34">
        <f>IF(AND(AG$5&gt;$E66,AG$5&lt;=$F66),IF(AG$5=$E66+1,$C66,""),"")</f>
        <v/>
      </c>
      <c r="AH66" s="34">
        <f>IF(AND(AH$5&gt;$E66,AH$5&lt;=$F66),IF(AH$5=$E66+1,$C66,""),"")</f>
        <v/>
      </c>
      <c r="AI66" s="34">
        <f>IF(AND(AI$5&gt;$E66,AI$5&lt;=$F66),IF(AI$5=$E66+1,$C66,""),"")</f>
        <v/>
      </c>
      <c r="AJ66" s="34">
        <f>IF(AND(AJ$5&gt;$E66,AJ$5&lt;=$F66),IF(AJ$5=$E66+1,$C66,""),"")</f>
        <v/>
      </c>
      <c r="AK66" s="34">
        <f>IF(AND(AK$5&gt;$E66,AK$5&lt;=$F66),IF(AK$5=$E66+1,$C66,""),"")</f>
        <v/>
      </c>
      <c r="AL66" s="34">
        <f>IF(AND(AL$5&gt;$E66,AL$5&lt;=$F66),IF(AL$5=$E66+1,$C66,""),"")</f>
        <v/>
      </c>
      <c r="AM66" s="34">
        <f>IF(AND(AM$5&gt;$E66,AM$5&lt;=$F66),IF(AM$5=$E66+1,$C66,""),"")</f>
        <v/>
      </c>
      <c r="AN66" s="34">
        <f>IF(AND(AN$5&gt;$E66,AN$5&lt;=$F66),IF(AN$5=$E66+1,$C66,""),"")</f>
        <v/>
      </c>
      <c r="AO66" s="34">
        <f>IF(AND(AO$5&gt;$E66,AO$5&lt;=$F66),IF(AO$5=$E66+1,$C66,""),"")</f>
        <v/>
      </c>
      <c r="AP66" s="34">
        <f>IF(AND(AP$5&gt;$E66,AP$5&lt;=$F66),IF(AP$5=$E66+1,$C66,""),"")</f>
        <v/>
      </c>
      <c r="AQ66" s="34">
        <f>IF(AND(AQ$5&gt;$E66,AQ$5&lt;=$F66),IF(AQ$5=$E66+1,$C66,""),"")</f>
        <v/>
      </c>
      <c r="AR66" s="34">
        <f>IF(AND(AR$5&gt;$E66,AR$5&lt;=$F66),IF(AR$5=$E66+1,$C66,""),"")</f>
        <v/>
      </c>
      <c r="AS66" s="34">
        <f>IF(AND(AS$5&gt;$E66,AS$5&lt;=$F66),IF(AS$5=$E66+1,$C66,""),"")</f>
        <v/>
      </c>
      <c r="AT66" s="34">
        <f>IF(AND(AT$5&gt;$E66,AT$5&lt;=$F66),IF(AT$5=$E66+1,$C66,""),"")</f>
        <v/>
      </c>
      <c r="AU66" s="34">
        <f>IF(AND(AU$5&gt;$E66,AU$5&lt;=$F66),IF(AU$5=$E66+1,$C66,""),"")</f>
        <v/>
      </c>
      <c r="AV66" s="34">
        <f>IF(AND(AV$5&gt;$E66,AV$5&lt;=$F66),IF(AV$5=$E66+1,$C66,""),"")</f>
        <v/>
      </c>
      <c r="AW66" s="34">
        <f>IF(AND(AW$5&gt;$E66,AW$5&lt;=$F66),IF(AW$5=$E66+1,$C66,""),"")</f>
        <v/>
      </c>
      <c r="AX66" s="34">
        <f>IF(AND(AX$5&gt;$E66,AX$5&lt;=$F66),IF(AX$5=$E66+1,$C66,""),"")</f>
        <v/>
      </c>
      <c r="AY66" s="34">
        <f>IF(AND(AY$5&gt;$E66,AY$5&lt;=$F66),IF(AY$5=$E66+1,$C66,""),"")</f>
        <v/>
      </c>
      <c r="AZ66" s="34">
        <f>IF(AND(AZ$5&gt;$E66,AZ$5&lt;=$F66),IF(AZ$5=$E66+1,$C66,""),"")</f>
        <v/>
      </c>
      <c r="BA66" s="34">
        <f>IF(AND(BA$5&gt;$E66,BA$5&lt;=$F66),IF(BA$5=$E66+1,$C66,""),"")</f>
        <v/>
      </c>
      <c r="BB66" s="34">
        <f>IF(AND(BB$5&gt;$E66,BB$5&lt;=$F66),IF(BB$5=$E66+1,$C66,""),"")</f>
        <v/>
      </c>
      <c r="BC66" s="34">
        <f>IF(AND(BC$5&gt;$E66,BC$5&lt;=$F66),IF(BC$5=$E66+1,$C66,""),"")</f>
        <v/>
      </c>
      <c r="BD66" s="34">
        <f>IF(AND(BD$5&gt;$E66,BD$5&lt;=$F66),IF(BD$5=$E66+1,$C66,""),"")</f>
        <v/>
      </c>
      <c r="BE66" s="34">
        <f>IF(AND(BE$5&gt;$E66,BE$5&lt;=$F66),IF(BE$5=$E66+1,$C66,""),"")</f>
        <v/>
      </c>
      <c r="BF66" s="34">
        <f>IF(AND(BF$5&gt;$E66,BF$5&lt;=$F66),IF(BF$5=$E66+1,$C66,""),"")</f>
        <v/>
      </c>
      <c r="BG66" s="34">
        <f>IF(AND(BG$5&gt;$E66,BG$5&lt;=$F66),IF(BG$5=$E66+1,$C66,""),"")</f>
        <v/>
      </c>
      <c r="BH66" s="34">
        <f>IF(AND(BH$5&gt;$E66,BH$5&lt;=$F66),IF(BH$5=$E66+1,$C66,""),"")</f>
        <v/>
      </c>
      <c r="BI66" s="34">
        <f>IF(AND(BI$5&gt;$E66,BI$5&lt;=$F66),IF(BI$5=$E66+1,$C66,""),"")</f>
        <v/>
      </c>
      <c r="BJ66" s="34">
        <f>IF(AND(BJ$5&gt;$E66,BJ$5&lt;=$F66),IF(BJ$5=$E66+1,$C66,""),"")</f>
        <v/>
      </c>
      <c r="BK66" s="34">
        <f>IF(AND(BK$5&gt;$E66,BK$5&lt;=$F66),IF(BK$5=$E66+1,$C66,""),"")</f>
        <v/>
      </c>
      <c r="BL66" s="34">
        <f>IF(AND(BL$5&gt;$E66,BL$5&lt;=$F66),IF(BL$5=$E66+1,$C66,""),"")</f>
        <v/>
      </c>
      <c r="BM66" s="34">
        <f>IF(AND(BM$5&gt;$E66,BM$5&lt;=$F66),IF(BM$5=$E66+1,$C66,""),"")</f>
        <v/>
      </c>
      <c r="BN66" s="34">
        <f>IF(AND(BN$5&gt;$E66,BN$5&lt;=$F66),IF(BN$5=$E66+1,$C66,""),"")</f>
        <v/>
      </c>
      <c r="BO66" s="34">
        <f>IF(AND(BO$5&gt;$E66,BO$5&lt;=$F66),IF(BO$5=$E66+1,$C66,""),"")</f>
        <v/>
      </c>
      <c r="BP66" s="34">
        <f>IF(AND(BP$5&gt;$E66,BP$5&lt;=$F66),IF(BP$5=$E66+1,$C66,""),"")</f>
        <v/>
      </c>
      <c r="BQ66" s="34">
        <f>IF(AND(BQ$5&gt;$E66,BQ$5&lt;=$F66),IF(BQ$5=$E66+1,$C66,""),"")</f>
        <v/>
      </c>
      <c r="BR66" s="34">
        <f>IF(AND(BR$5&gt;$E66,BR$5&lt;=$F66),IF(BR$5=$E66+1,$C66,""),"")</f>
        <v/>
      </c>
      <c r="BS66" s="34">
        <f>IF(AND(BS$5&gt;$E66,BS$5&lt;=$F66),IF(BS$5=$E66+1,$C66,""),"")</f>
        <v/>
      </c>
      <c r="BT66" s="34">
        <f>IF(AND(BT$5&gt;$E66,BT$5&lt;=$F66),IF(BT$5=$E66+1,$C66,""),"")</f>
        <v/>
      </c>
      <c r="BU66" s="34">
        <f>IF(AND(BU$5&gt;$E66,BU$5&lt;=$F66),IF(BU$5=$E66+1,$C66,""),"")</f>
        <v/>
      </c>
      <c r="BV66" s="34">
        <f>IF(AND(BV$5&gt;$E66,BV$5&lt;=$F66),IF(BV$5=$E66+1,$C66,""),"")</f>
        <v/>
      </c>
      <c r="BW66" s="34">
        <f>IF(AND(BW$5&gt;$E66,BW$5&lt;=$F66),IF(BW$5=$E66+1,$C66,""),"")</f>
        <v/>
      </c>
      <c r="BX66" s="34">
        <f>IF(AND(BX$5&gt;$E66,BX$5&lt;=$F66),IF(BX$5=$E66+1,$C66,""),"")</f>
        <v/>
      </c>
      <c r="BY66" s="34">
        <f>IF(AND(BY$5&gt;$E66,BY$5&lt;=$F66),IF(BY$5=$E66+1,$C66,""),"")</f>
        <v/>
      </c>
      <c r="BZ66" s="34">
        <f>IF(AND(BZ$5&gt;$E66,BZ$5&lt;=$F66),IF(BZ$5=$E66+1,$C66,""),"")</f>
        <v/>
      </c>
      <c r="CA66" s="34">
        <f>IF(AND(CA$5&gt;$E66,CA$5&lt;=$F66),IF(CA$5=$E66+1,$C66,""),"")</f>
        <v/>
      </c>
      <c r="CB66" s="34">
        <f>IF(AND(CB$5&gt;$E66,CB$5&lt;=$F66),IF(CB$5=$E66+1,$C66,""),"")</f>
        <v/>
      </c>
      <c r="CC66" s="34">
        <f>IF(AND(CC$5&gt;$E66,CC$5&lt;=$F66),IF(CC$5=$E66+1,$C66,""),"")</f>
        <v/>
      </c>
      <c r="CD66" s="34">
        <f>IF(AND(CD$5&gt;$E66,CD$5&lt;=$F66),IF(CD$5=$E66+1,$C66,""),"")</f>
        <v/>
      </c>
      <c r="CE66" s="34">
        <f>IF(AND(CE$5&gt;$E66,CE$5&lt;=$F66),IF(CE$5=$E66+1,$C66,""),"")</f>
        <v/>
      </c>
      <c r="CF66" s="34">
        <f>IF(AND(CF$5&gt;$E66,CF$5&lt;=$F66),IF(CF$5=$E66+1,$C66,""),"")</f>
        <v/>
      </c>
      <c r="CG66" s="34">
        <f>IF(AND(CG$5&gt;$E66,CG$5&lt;=$F66),IF(CG$5=$E66+1,$C66,""),"")</f>
        <v/>
      </c>
      <c r="CH66" s="34">
        <f>IF(AND(CH$5&gt;$E66,CH$5&lt;=$F66),IF(CH$5=$E66+1,$C66,""),"")</f>
        <v/>
      </c>
      <c r="CI66" s="34">
        <f>IF(AND(CI$5&gt;$E66,CI$5&lt;=$F66),IF(CI$5=$E66+1,$C66,""),"")</f>
        <v/>
      </c>
      <c r="CJ66" s="34">
        <f>IF(AND(CJ$5&gt;$E66,CJ$5&lt;=$F66),IF(CJ$5=$E66+1,$C66,""),"")</f>
        <v/>
      </c>
      <c r="CK66" s="34">
        <f>IF(AND(CK$5&gt;$E66,CK$5&lt;=$F66),IF(CK$5=$E66+1,$C66,""),"")</f>
        <v/>
      </c>
      <c r="CL66" s="34">
        <f>IF(AND(CL$5&gt;$E66,CL$5&lt;=$F66),IF(CL$5=$E66+1,$C66,""),"")</f>
        <v/>
      </c>
      <c r="CM66" s="34">
        <f>IF(AND(CM$5&gt;$E66,CM$5&lt;=$F66),IF(CM$5=$E66+1,$C66,""),"")</f>
        <v/>
      </c>
      <c r="CN66" s="34">
        <f>IF(AND(CN$5&gt;$E66,CN$5&lt;=$F66),IF(CN$5=$E66+1,$C66,""),"")</f>
        <v/>
      </c>
      <c r="CO66" s="34">
        <f>IF(AND(CO$5&gt;$E66,CO$5&lt;=$F66),IF(CO$5=$E66+1,$C66,""),"")</f>
        <v/>
      </c>
      <c r="CP66" s="34">
        <f>IF(AND(CP$5&gt;$E66,CP$5&lt;=$F66),IF(CP$5=$E66+1,$C66,""),"")</f>
        <v/>
      </c>
      <c r="CQ66" s="34">
        <f>IF(AND(CQ$5&gt;$E66,CQ$5&lt;=$F66),IF(CQ$5=$E66+1,$C66,""),"")</f>
        <v/>
      </c>
      <c r="CR66" s="34">
        <f>IF(AND(CR$5&gt;$E66,CR$5&lt;=$F66),IF(CR$5=$E66+1,$C66,""),"")</f>
        <v/>
      </c>
      <c r="CS66" s="34">
        <f>IF(AND(CS$5&gt;$E66,CS$5&lt;=$F66),IF(CS$5=$E66+1,$C66,""),"")</f>
        <v/>
      </c>
      <c r="CT66" s="34">
        <f>IF(AND(CT$5&gt;$E66,CT$5&lt;=$F66),IF(CT$5=$E66+1,$C66,""),"")</f>
        <v/>
      </c>
      <c r="CU66" s="34">
        <f>IF(AND(CU$5&gt;$E66,CU$5&lt;=$F66),IF(CU$5=$E66+1,$C66,""),"")</f>
        <v/>
      </c>
      <c r="CV66" s="34">
        <f>IF(AND(CV$5&gt;$E66,CV$5&lt;=$F66),IF(CV$5=$E66+1,$C66,""),"")</f>
        <v/>
      </c>
      <c r="CW66" s="34">
        <f>IF(AND(CW$5&gt;$E66,CW$5&lt;=$F66),IF(CW$5=$E66+1,$C66,""),"")</f>
        <v/>
      </c>
      <c r="CX66" s="34">
        <f>IF(AND(CX$5&gt;$E66,CX$5&lt;=$F66),IF(CX$5=$E66+1,$C66,""),"")</f>
        <v/>
      </c>
      <c r="CY66" s="34">
        <f>IF(AND(CY$5&gt;$E66,CY$5&lt;=$F66),IF(CY$5=$E66+1,$C66,""),"")</f>
        <v/>
      </c>
      <c r="CZ66" s="34">
        <f>IF(AND(CZ$5&gt;$E66,CZ$5&lt;=$F66),IF(CZ$5=$E66+1,$C66,""),"")</f>
        <v/>
      </c>
      <c r="DA66" s="34">
        <f>IF(AND(DA$5&gt;$E66,DA$5&lt;=$F66),IF(DA$5=$E66+1,$C66,""),"")</f>
        <v/>
      </c>
      <c r="DB66" s="34">
        <f>IF(AND(DB$5&gt;$E66,DB$5&lt;=$F66),IF(DB$5=$E66+1,$C66,""),"")</f>
        <v/>
      </c>
      <c r="DC66" s="34">
        <f>IF(AND(DC$5&gt;$E66,DC$5&lt;=$F66),IF(DC$5=$E66+1,$C66,""),"")</f>
        <v/>
      </c>
      <c r="DD66" s="34">
        <f>IF(AND(DD$5&gt;$E66,DD$5&lt;=$F66),IF(DD$5=$E66+1,$C66,""),"")</f>
        <v/>
      </c>
      <c r="DE66" s="34">
        <f>IF(AND(DE$5&gt;$E66,DE$5&lt;=$F66),IF(DE$5=$E66+1,$C66,""),"")</f>
        <v/>
      </c>
      <c r="DF66" s="34">
        <f>IF(AND(DF$5&gt;$E66,DF$5&lt;=$F66),IF(DF$5=$E66+1,$C66,""),"")</f>
        <v/>
      </c>
      <c r="DG66" s="34">
        <f>IF(AND(DG$5&gt;$E66,DG$5&lt;=$F66),IF(DG$5=$E66+1,$C66,""),"")</f>
        <v/>
      </c>
      <c r="DH66" s="34">
        <f>IF(AND(DH$5&gt;$E66,DH$5&lt;=$F66),IF(DH$5=$E66+1,$C66,""),"")</f>
        <v/>
      </c>
      <c r="DI66" s="34">
        <f>IF(AND(DI$5&gt;$E66,DI$5&lt;=$F66),IF(DI$5=$E66+1,$C66,""),"")</f>
        <v/>
      </c>
      <c r="DJ66" s="34">
        <f>IF(AND(DJ$5&gt;$E66,DJ$5&lt;=$F66),IF(DJ$5=$E66+1,$C66,""),"")</f>
        <v/>
      </c>
      <c r="DK66" s="34">
        <f>IF(AND(DK$5&gt;$E66,DK$5&lt;=$F66),IF(DK$5=$E66+1,$C66,""),"")</f>
        <v/>
      </c>
      <c r="DL66" s="34">
        <f>IF(AND(DL$5&gt;$E66,DL$5&lt;=$F66),IF(DL$5=$E66+1,$C66,""),"")</f>
        <v/>
      </c>
      <c r="DM66" s="34">
        <f>IF(AND(DM$5&gt;$E66,DM$5&lt;=$F66),IF(DM$5=$E66+1,$C66,""),"")</f>
        <v/>
      </c>
      <c r="DN66" s="34">
        <f>IF(AND(DN$5&gt;$E66,DN$5&lt;=$F66),IF(DN$5=$E66+1,$C66,""),"")</f>
        <v/>
      </c>
      <c r="DO66" s="34">
        <f>IF(AND(DO$5&gt;$E66,DO$5&lt;=$F66),IF(DO$5=$E66+1,$C66,""),"")</f>
        <v/>
      </c>
      <c r="DP66" s="34">
        <f>IF(AND(DP$5&gt;$E66,DP$5&lt;=$F66),IF(DP$5=$E66+1,$C66,""),"")</f>
        <v/>
      </c>
      <c r="DQ66" s="34">
        <f>IF(AND(DQ$5&gt;$E66,DQ$5&lt;=$F66),IF(DQ$5=$E66+1,$C66,""),"")</f>
        <v/>
      </c>
      <c r="DR66" s="34">
        <f>IF(AND(DR$5&gt;$E66,DR$5&lt;=$F66),IF(DR$5=$E66+1,$C66,""),"")</f>
        <v/>
      </c>
      <c r="DS66" s="34">
        <f>IF(AND(DS$5&gt;$E66,DS$5&lt;=$F66),IF(DS$5=$E66+1,$C66,""),"")</f>
        <v/>
      </c>
      <c r="DT66" s="34">
        <f>IF(AND(DT$5&gt;$E66,DT$5&lt;=$F66),IF(DT$5=$E66+1,$C66,""),"")</f>
        <v/>
      </c>
      <c r="DU66" s="34">
        <f>IF(AND(DU$5&gt;$E66,DU$5&lt;=$F66),IF(DU$5=$E66+1,$C66,""),"")</f>
        <v/>
      </c>
      <c r="DV66" s="34">
        <f>IF(AND(DV$5&gt;$E66,DV$5&lt;=$F66),IF(DV$5=$E66+1,$C66,""),"")</f>
        <v/>
      </c>
      <c r="DW66" s="34">
        <f>IF(AND(DW$5&gt;$E66,DW$5&lt;=$F66),IF(DW$5=$E66+1,$C66,""),"")</f>
        <v/>
      </c>
      <c r="DX66" s="34">
        <f>IF(AND(DX$5&gt;$E66,DX$5&lt;=$F66),IF(DX$5=$E66+1,$C66,""),"")</f>
        <v/>
      </c>
      <c r="DY66" s="34">
        <f>IF(AND(DY$5&gt;$E66,DY$5&lt;=$F66),IF(DY$5=$E66+1,$C66,""),"")</f>
        <v/>
      </c>
      <c r="DZ66" s="34">
        <f>IF(AND(DZ$5&gt;$E66,DZ$5&lt;=$F66),IF(DZ$5=$E66+1,$C66,""),"")</f>
        <v/>
      </c>
      <c r="EA66" s="34">
        <f>IF(AND(EA$5&gt;$E66,EA$5&lt;=$F66),IF(EA$5=$E66+1,$C66,""),"")</f>
        <v/>
      </c>
      <c r="EB66" s="34">
        <f>IF(AND(EB$5&gt;$E66,EB$5&lt;=$F66),IF(EB$5=$E66+1,$C66,""),"")</f>
        <v/>
      </c>
      <c r="EC66" s="34">
        <f>IF(AND(EC$5&gt;$E66,EC$5&lt;=$F66),IF(EC$5=$E66+1,$C66,""),"")</f>
        <v/>
      </c>
      <c r="ED66" s="34">
        <f>IF(AND(ED$5&gt;$E66,ED$5&lt;=$F66),IF(ED$5=$E66+1,$C66,""),"")</f>
        <v/>
      </c>
      <c r="EE66" s="34">
        <f>IF(AND(EE$5&gt;$E66,EE$5&lt;=$F66),IF(EE$5=$E66+1,$C66,""),"")</f>
        <v/>
      </c>
      <c r="EF66" s="34">
        <f>IF(AND(EF$5&gt;$E66,EF$5&lt;=$F66),IF(EF$5=$E66+1,$C66,""),"")</f>
        <v/>
      </c>
      <c r="EG66" s="34">
        <f>IF(AND(EG$5&gt;$E66,EG$5&lt;=$F66),IF(EG$5=$E66+1,$C66,""),"")</f>
        <v/>
      </c>
      <c r="EH66" s="34">
        <f>IF(AND(EH$5&gt;$E66,EH$5&lt;=$F66),IF(EH$5=$E66+1,$C66,""),"")</f>
        <v/>
      </c>
      <c r="EI66" s="34">
        <f>IF(AND(EI$5&gt;$E66,EI$5&lt;=$F66),IF(EI$5=$E66+1,$C66,""),"")</f>
        <v/>
      </c>
      <c r="EJ66" s="34">
        <f>IF(AND(EJ$5&gt;$E66,EJ$5&lt;=$F66),IF(EJ$5=$E66+1,$C66,""),"")</f>
        <v/>
      </c>
      <c r="EK66" s="34">
        <f>IF(AND(EK$5&gt;$E66,EK$5&lt;=$F66),IF(EK$5=$E66+1,$C66,""),"")</f>
        <v/>
      </c>
      <c r="EL66" s="34">
        <f>IF(AND(EL$5&gt;$E66,EL$5&lt;=$F66),IF(EL$5=$E66+1,$C66,""),"")</f>
        <v/>
      </c>
      <c r="EM66" s="34">
        <f>IF(AND(EM$5&gt;$E66,EM$5&lt;=$F66),IF(EM$5=$E66+1,$C66,""),"")</f>
        <v/>
      </c>
      <c r="EN66" s="34">
        <f>IF(AND(EN$5&gt;$E66,EN$5&lt;=$F66),IF(EN$5=$E66+1,$C66,""),"")</f>
        <v/>
      </c>
      <c r="EO66" s="34">
        <f>IF(AND(EO$5&gt;$E66,EO$5&lt;=$F66),IF(EO$5=$E66+1,$C66,""),"")</f>
        <v/>
      </c>
      <c r="EP66" s="34">
        <f>IF(AND(EP$5&gt;$E66,EP$5&lt;=$F66),IF(EP$5=$E66+1,$C66,""),"")</f>
        <v/>
      </c>
      <c r="EQ66" s="34">
        <f>IF(AND(EQ$5&gt;$E66,EQ$5&lt;=$F66),IF(EQ$5=$E66+1,$C66,""),"")</f>
        <v/>
      </c>
      <c r="ER66" s="34">
        <f>IF(AND(ER$5&gt;$E66,ER$5&lt;=$F66),IF(ER$5=$E66+1,$C66,""),"")</f>
        <v/>
      </c>
      <c r="ES66" s="34">
        <f>IF(AND(ES$5&gt;$E66,ES$5&lt;=$F66),IF(ES$5=$E66+1,$C66,""),"")</f>
        <v/>
      </c>
      <c r="ET66" s="34">
        <f>IF(AND(ET$5&gt;$E66,ET$5&lt;=$F66),IF(ET$5=$E66+1,$C66,""),"")</f>
        <v/>
      </c>
      <c r="EU66" s="34">
        <f>IF(AND(EU$5&gt;$E66,EU$5&lt;=$F66),IF(EU$5=$E66+1,$C66,""),"")</f>
        <v/>
      </c>
      <c r="EV66" s="34">
        <f>IF(AND(EV$5&gt;$E66,EV$5&lt;=$F66),IF(EV$5=$E66+1,$C66,""),"")</f>
        <v/>
      </c>
      <c r="EW66" s="34">
        <f>IF(AND(EW$5&gt;$E66,EW$5&lt;=$F66),IF(EW$5=$E66+1,$C66,""),"")</f>
        <v/>
      </c>
      <c r="EX66" s="34">
        <f>IF(AND(EX$5&gt;$E66,EX$5&lt;=$F66),IF(EX$5=$E66+1,$C66,""),"")</f>
        <v/>
      </c>
      <c r="EY66" s="34">
        <f>IF(AND(EY$5&gt;$E66,EY$5&lt;=$F66),IF(EY$5=$E66+1,$C66,""),"")</f>
        <v/>
      </c>
      <c r="EZ66" s="34">
        <f>IF(AND(EZ$5&gt;$E66,EZ$5&lt;=$F66),IF(EZ$5=$E66+1,$C66,""),"")</f>
        <v/>
      </c>
      <c r="FA66" s="34">
        <f>IF(AND(FA$5&gt;$E66,FA$5&lt;=$F66),IF(FA$5=$E66+1,$C66,""),"")</f>
        <v/>
      </c>
    </row>
    <row r="67">
      <c r="A67" s="32">
        <f>Plan!A95</f>
        <v/>
      </c>
      <c r="B67" s="33">
        <f>Plan!C95</f>
        <v/>
      </c>
      <c r="C67" s="16">
        <f>Plan!D95</f>
        <v/>
      </c>
      <c r="D67" s="16">
        <f>Plan!I95</f>
        <v/>
      </c>
      <c r="E67" s="16">
        <f>Plan!K95</f>
        <v/>
      </c>
      <c r="F67" s="16">
        <f>Plan!L95</f>
        <v/>
      </c>
      <c r="G67" s="16">
        <f>Plan!O95</f>
        <v/>
      </c>
      <c r="H67" s="34">
        <f>IF(AND(H$5&gt;$E67,H$5&lt;=$F67),IF(H$5=$E67+1,$C67,""),"")</f>
        <v/>
      </c>
      <c r="I67" s="34">
        <f>IF(AND(I$5&gt;$E67,I$5&lt;=$F67),IF(I$5=$E67+1,$C67,""),"")</f>
        <v/>
      </c>
      <c r="J67" s="34">
        <f>IF(AND(J$5&gt;$E67,J$5&lt;=$F67),IF(J$5=$E67+1,$C67,""),"")</f>
        <v/>
      </c>
      <c r="K67" s="34">
        <f>IF(AND(K$5&gt;$E67,K$5&lt;=$F67),IF(K$5=$E67+1,$C67,""),"")</f>
        <v/>
      </c>
      <c r="L67" s="34">
        <f>IF(AND(L$5&gt;$E67,L$5&lt;=$F67),IF(L$5=$E67+1,$C67,""),"")</f>
        <v/>
      </c>
      <c r="M67" s="34">
        <f>IF(AND(M$5&gt;$E67,M$5&lt;=$F67),IF(M$5=$E67+1,$C67,""),"")</f>
        <v/>
      </c>
      <c r="N67" s="34">
        <f>IF(AND(N$5&gt;$E67,N$5&lt;=$F67),IF(N$5=$E67+1,$C67,""),"")</f>
        <v/>
      </c>
      <c r="O67" s="34">
        <f>IF(AND(O$5&gt;$E67,O$5&lt;=$F67),IF(O$5=$E67+1,$C67,""),"")</f>
        <v/>
      </c>
      <c r="P67" s="34">
        <f>IF(AND(P$5&gt;$E67,P$5&lt;=$F67),IF(P$5=$E67+1,$C67,""),"")</f>
        <v/>
      </c>
      <c r="Q67" s="34">
        <f>IF(AND(Q$5&gt;$E67,Q$5&lt;=$F67),IF(Q$5=$E67+1,$C67,""),"")</f>
        <v/>
      </c>
      <c r="R67" s="34">
        <f>IF(AND(R$5&gt;$E67,R$5&lt;=$F67),IF(R$5=$E67+1,$C67,""),"")</f>
        <v/>
      </c>
      <c r="S67" s="34">
        <f>IF(AND(S$5&gt;$E67,S$5&lt;=$F67),IF(S$5=$E67+1,$C67,""),"")</f>
        <v/>
      </c>
      <c r="T67" s="34">
        <f>IF(AND(T$5&gt;$E67,T$5&lt;=$F67),IF(T$5=$E67+1,$C67,""),"")</f>
        <v/>
      </c>
      <c r="U67" s="34">
        <f>IF(AND(U$5&gt;$E67,U$5&lt;=$F67),IF(U$5=$E67+1,$C67,""),"")</f>
        <v/>
      </c>
      <c r="V67" s="34">
        <f>IF(AND(V$5&gt;$E67,V$5&lt;=$F67),IF(V$5=$E67+1,$C67,""),"")</f>
        <v/>
      </c>
      <c r="W67" s="34">
        <f>IF(AND(W$5&gt;$E67,W$5&lt;=$F67),IF(W$5=$E67+1,$C67,""),"")</f>
        <v/>
      </c>
      <c r="X67" s="34">
        <f>IF(AND(X$5&gt;$E67,X$5&lt;=$F67),IF(X$5=$E67+1,$C67,""),"")</f>
        <v/>
      </c>
      <c r="Y67" s="34">
        <f>IF(AND(Y$5&gt;$E67,Y$5&lt;=$F67),IF(Y$5=$E67+1,$C67,""),"")</f>
        <v/>
      </c>
      <c r="Z67" s="34">
        <f>IF(AND(Z$5&gt;$E67,Z$5&lt;=$F67),IF(Z$5=$E67+1,$C67,""),"")</f>
        <v/>
      </c>
      <c r="AA67" s="34">
        <f>IF(AND(AA$5&gt;$E67,AA$5&lt;=$F67),IF(AA$5=$E67+1,$C67,""),"")</f>
        <v/>
      </c>
      <c r="AB67" s="34">
        <f>IF(AND(AB$5&gt;$E67,AB$5&lt;=$F67),IF(AB$5=$E67+1,$C67,""),"")</f>
        <v/>
      </c>
      <c r="AC67" s="34">
        <f>IF(AND(AC$5&gt;$E67,AC$5&lt;=$F67),IF(AC$5=$E67+1,$C67,""),"")</f>
        <v/>
      </c>
      <c r="AD67" s="34">
        <f>IF(AND(AD$5&gt;$E67,AD$5&lt;=$F67),IF(AD$5=$E67+1,$C67,""),"")</f>
        <v/>
      </c>
      <c r="AE67" s="34">
        <f>IF(AND(AE$5&gt;$E67,AE$5&lt;=$F67),IF(AE$5=$E67+1,$C67,""),"")</f>
        <v/>
      </c>
      <c r="AF67" s="34">
        <f>IF(AND(AF$5&gt;$E67,AF$5&lt;=$F67),IF(AF$5=$E67+1,$C67,""),"")</f>
        <v/>
      </c>
      <c r="AG67" s="34">
        <f>IF(AND(AG$5&gt;$E67,AG$5&lt;=$F67),IF(AG$5=$E67+1,$C67,""),"")</f>
        <v/>
      </c>
      <c r="AH67" s="34">
        <f>IF(AND(AH$5&gt;$E67,AH$5&lt;=$F67),IF(AH$5=$E67+1,$C67,""),"")</f>
        <v/>
      </c>
      <c r="AI67" s="34">
        <f>IF(AND(AI$5&gt;$E67,AI$5&lt;=$F67),IF(AI$5=$E67+1,$C67,""),"")</f>
        <v/>
      </c>
      <c r="AJ67" s="34">
        <f>IF(AND(AJ$5&gt;$E67,AJ$5&lt;=$F67),IF(AJ$5=$E67+1,$C67,""),"")</f>
        <v/>
      </c>
      <c r="AK67" s="34">
        <f>IF(AND(AK$5&gt;$E67,AK$5&lt;=$F67),IF(AK$5=$E67+1,$C67,""),"")</f>
        <v/>
      </c>
      <c r="AL67" s="34">
        <f>IF(AND(AL$5&gt;$E67,AL$5&lt;=$F67),IF(AL$5=$E67+1,$C67,""),"")</f>
        <v/>
      </c>
      <c r="AM67" s="34">
        <f>IF(AND(AM$5&gt;$E67,AM$5&lt;=$F67),IF(AM$5=$E67+1,$C67,""),"")</f>
        <v/>
      </c>
      <c r="AN67" s="34">
        <f>IF(AND(AN$5&gt;$E67,AN$5&lt;=$F67),IF(AN$5=$E67+1,$C67,""),"")</f>
        <v/>
      </c>
      <c r="AO67" s="34">
        <f>IF(AND(AO$5&gt;$E67,AO$5&lt;=$F67),IF(AO$5=$E67+1,$C67,""),"")</f>
        <v/>
      </c>
      <c r="AP67" s="34">
        <f>IF(AND(AP$5&gt;$E67,AP$5&lt;=$F67),IF(AP$5=$E67+1,$C67,""),"")</f>
        <v/>
      </c>
      <c r="AQ67" s="34">
        <f>IF(AND(AQ$5&gt;$E67,AQ$5&lt;=$F67),IF(AQ$5=$E67+1,$C67,""),"")</f>
        <v/>
      </c>
      <c r="AR67" s="34">
        <f>IF(AND(AR$5&gt;$E67,AR$5&lt;=$F67),IF(AR$5=$E67+1,$C67,""),"")</f>
        <v/>
      </c>
      <c r="AS67" s="34">
        <f>IF(AND(AS$5&gt;$E67,AS$5&lt;=$F67),IF(AS$5=$E67+1,$C67,""),"")</f>
        <v/>
      </c>
      <c r="AT67" s="34">
        <f>IF(AND(AT$5&gt;$E67,AT$5&lt;=$F67),IF(AT$5=$E67+1,$C67,""),"")</f>
        <v/>
      </c>
      <c r="AU67" s="34">
        <f>IF(AND(AU$5&gt;$E67,AU$5&lt;=$F67),IF(AU$5=$E67+1,$C67,""),"")</f>
        <v/>
      </c>
      <c r="AV67" s="34">
        <f>IF(AND(AV$5&gt;$E67,AV$5&lt;=$F67),IF(AV$5=$E67+1,$C67,""),"")</f>
        <v/>
      </c>
      <c r="AW67" s="34">
        <f>IF(AND(AW$5&gt;$E67,AW$5&lt;=$F67),IF(AW$5=$E67+1,$C67,""),"")</f>
        <v/>
      </c>
      <c r="AX67" s="34">
        <f>IF(AND(AX$5&gt;$E67,AX$5&lt;=$F67),IF(AX$5=$E67+1,$C67,""),"")</f>
        <v/>
      </c>
      <c r="AY67" s="34">
        <f>IF(AND(AY$5&gt;$E67,AY$5&lt;=$F67),IF(AY$5=$E67+1,$C67,""),"")</f>
        <v/>
      </c>
      <c r="AZ67" s="34">
        <f>IF(AND(AZ$5&gt;$E67,AZ$5&lt;=$F67),IF(AZ$5=$E67+1,$C67,""),"")</f>
        <v/>
      </c>
      <c r="BA67" s="34">
        <f>IF(AND(BA$5&gt;$E67,BA$5&lt;=$F67),IF(BA$5=$E67+1,$C67,""),"")</f>
        <v/>
      </c>
      <c r="BB67" s="34">
        <f>IF(AND(BB$5&gt;$E67,BB$5&lt;=$F67),IF(BB$5=$E67+1,$C67,""),"")</f>
        <v/>
      </c>
      <c r="BC67" s="34">
        <f>IF(AND(BC$5&gt;$E67,BC$5&lt;=$F67),IF(BC$5=$E67+1,$C67,""),"")</f>
        <v/>
      </c>
      <c r="BD67" s="34">
        <f>IF(AND(BD$5&gt;$E67,BD$5&lt;=$F67),IF(BD$5=$E67+1,$C67,""),"")</f>
        <v/>
      </c>
      <c r="BE67" s="34">
        <f>IF(AND(BE$5&gt;$E67,BE$5&lt;=$F67),IF(BE$5=$E67+1,$C67,""),"")</f>
        <v/>
      </c>
      <c r="BF67" s="34">
        <f>IF(AND(BF$5&gt;$E67,BF$5&lt;=$F67),IF(BF$5=$E67+1,$C67,""),"")</f>
        <v/>
      </c>
      <c r="BG67" s="34">
        <f>IF(AND(BG$5&gt;$E67,BG$5&lt;=$F67),IF(BG$5=$E67+1,$C67,""),"")</f>
        <v/>
      </c>
      <c r="BH67" s="34">
        <f>IF(AND(BH$5&gt;$E67,BH$5&lt;=$F67),IF(BH$5=$E67+1,$C67,""),"")</f>
        <v/>
      </c>
      <c r="BI67" s="34">
        <f>IF(AND(BI$5&gt;$E67,BI$5&lt;=$F67),IF(BI$5=$E67+1,$C67,""),"")</f>
        <v/>
      </c>
      <c r="BJ67" s="34">
        <f>IF(AND(BJ$5&gt;$E67,BJ$5&lt;=$F67),IF(BJ$5=$E67+1,$C67,""),"")</f>
        <v/>
      </c>
      <c r="BK67" s="34">
        <f>IF(AND(BK$5&gt;$E67,BK$5&lt;=$F67),IF(BK$5=$E67+1,$C67,""),"")</f>
        <v/>
      </c>
      <c r="BL67" s="34">
        <f>IF(AND(BL$5&gt;$E67,BL$5&lt;=$F67),IF(BL$5=$E67+1,$C67,""),"")</f>
        <v/>
      </c>
      <c r="BM67" s="34">
        <f>IF(AND(BM$5&gt;$E67,BM$5&lt;=$F67),IF(BM$5=$E67+1,$C67,""),"")</f>
        <v/>
      </c>
      <c r="BN67" s="34">
        <f>IF(AND(BN$5&gt;$E67,BN$5&lt;=$F67),IF(BN$5=$E67+1,$C67,""),"")</f>
        <v/>
      </c>
      <c r="BO67" s="34">
        <f>IF(AND(BO$5&gt;$E67,BO$5&lt;=$F67),IF(BO$5=$E67+1,$C67,""),"")</f>
        <v/>
      </c>
      <c r="BP67" s="34">
        <f>IF(AND(BP$5&gt;$E67,BP$5&lt;=$F67),IF(BP$5=$E67+1,$C67,""),"")</f>
        <v/>
      </c>
      <c r="BQ67" s="34">
        <f>IF(AND(BQ$5&gt;$E67,BQ$5&lt;=$F67),IF(BQ$5=$E67+1,$C67,""),"")</f>
        <v/>
      </c>
      <c r="BR67" s="34">
        <f>IF(AND(BR$5&gt;$E67,BR$5&lt;=$F67),IF(BR$5=$E67+1,$C67,""),"")</f>
        <v/>
      </c>
      <c r="BS67" s="34">
        <f>IF(AND(BS$5&gt;$E67,BS$5&lt;=$F67),IF(BS$5=$E67+1,$C67,""),"")</f>
        <v/>
      </c>
      <c r="BT67" s="34">
        <f>IF(AND(BT$5&gt;$E67,BT$5&lt;=$F67),IF(BT$5=$E67+1,$C67,""),"")</f>
        <v/>
      </c>
      <c r="BU67" s="34">
        <f>IF(AND(BU$5&gt;$E67,BU$5&lt;=$F67),IF(BU$5=$E67+1,$C67,""),"")</f>
        <v/>
      </c>
      <c r="BV67" s="34">
        <f>IF(AND(BV$5&gt;$E67,BV$5&lt;=$F67),IF(BV$5=$E67+1,$C67,""),"")</f>
        <v/>
      </c>
      <c r="BW67" s="34">
        <f>IF(AND(BW$5&gt;$E67,BW$5&lt;=$F67),IF(BW$5=$E67+1,$C67,""),"")</f>
        <v/>
      </c>
      <c r="BX67" s="34">
        <f>IF(AND(BX$5&gt;$E67,BX$5&lt;=$F67),IF(BX$5=$E67+1,$C67,""),"")</f>
        <v/>
      </c>
      <c r="BY67" s="34">
        <f>IF(AND(BY$5&gt;$E67,BY$5&lt;=$F67),IF(BY$5=$E67+1,$C67,""),"")</f>
        <v/>
      </c>
      <c r="BZ67" s="34">
        <f>IF(AND(BZ$5&gt;$E67,BZ$5&lt;=$F67),IF(BZ$5=$E67+1,$C67,""),"")</f>
        <v/>
      </c>
      <c r="CA67" s="34">
        <f>IF(AND(CA$5&gt;$E67,CA$5&lt;=$F67),IF(CA$5=$E67+1,$C67,""),"")</f>
        <v/>
      </c>
      <c r="CB67" s="34">
        <f>IF(AND(CB$5&gt;$E67,CB$5&lt;=$F67),IF(CB$5=$E67+1,$C67,""),"")</f>
        <v/>
      </c>
      <c r="CC67" s="34">
        <f>IF(AND(CC$5&gt;$E67,CC$5&lt;=$F67),IF(CC$5=$E67+1,$C67,""),"")</f>
        <v/>
      </c>
      <c r="CD67" s="34">
        <f>IF(AND(CD$5&gt;$E67,CD$5&lt;=$F67),IF(CD$5=$E67+1,$C67,""),"")</f>
        <v/>
      </c>
      <c r="CE67" s="34">
        <f>IF(AND(CE$5&gt;$E67,CE$5&lt;=$F67),IF(CE$5=$E67+1,$C67,""),"")</f>
        <v/>
      </c>
      <c r="CF67" s="34">
        <f>IF(AND(CF$5&gt;$E67,CF$5&lt;=$F67),IF(CF$5=$E67+1,$C67,""),"")</f>
        <v/>
      </c>
      <c r="CG67" s="34">
        <f>IF(AND(CG$5&gt;$E67,CG$5&lt;=$F67),IF(CG$5=$E67+1,$C67,""),"")</f>
        <v/>
      </c>
      <c r="CH67" s="34">
        <f>IF(AND(CH$5&gt;$E67,CH$5&lt;=$F67),IF(CH$5=$E67+1,$C67,""),"")</f>
        <v/>
      </c>
      <c r="CI67" s="34">
        <f>IF(AND(CI$5&gt;$E67,CI$5&lt;=$F67),IF(CI$5=$E67+1,$C67,""),"")</f>
        <v/>
      </c>
      <c r="CJ67" s="34">
        <f>IF(AND(CJ$5&gt;$E67,CJ$5&lt;=$F67),IF(CJ$5=$E67+1,$C67,""),"")</f>
        <v/>
      </c>
      <c r="CK67" s="34">
        <f>IF(AND(CK$5&gt;$E67,CK$5&lt;=$F67),IF(CK$5=$E67+1,$C67,""),"")</f>
        <v/>
      </c>
      <c r="CL67" s="34">
        <f>IF(AND(CL$5&gt;$E67,CL$5&lt;=$F67),IF(CL$5=$E67+1,$C67,""),"")</f>
        <v/>
      </c>
      <c r="CM67" s="34">
        <f>IF(AND(CM$5&gt;$E67,CM$5&lt;=$F67),IF(CM$5=$E67+1,$C67,""),"")</f>
        <v/>
      </c>
      <c r="CN67" s="34">
        <f>IF(AND(CN$5&gt;$E67,CN$5&lt;=$F67),IF(CN$5=$E67+1,$C67,""),"")</f>
        <v/>
      </c>
      <c r="CO67" s="34">
        <f>IF(AND(CO$5&gt;$E67,CO$5&lt;=$F67),IF(CO$5=$E67+1,$C67,""),"")</f>
        <v/>
      </c>
      <c r="CP67" s="34">
        <f>IF(AND(CP$5&gt;$E67,CP$5&lt;=$F67),IF(CP$5=$E67+1,$C67,""),"")</f>
        <v/>
      </c>
      <c r="CQ67" s="34">
        <f>IF(AND(CQ$5&gt;$E67,CQ$5&lt;=$F67),IF(CQ$5=$E67+1,$C67,""),"")</f>
        <v/>
      </c>
      <c r="CR67" s="34">
        <f>IF(AND(CR$5&gt;$E67,CR$5&lt;=$F67),IF(CR$5=$E67+1,$C67,""),"")</f>
        <v/>
      </c>
      <c r="CS67" s="34">
        <f>IF(AND(CS$5&gt;$E67,CS$5&lt;=$F67),IF(CS$5=$E67+1,$C67,""),"")</f>
        <v/>
      </c>
      <c r="CT67" s="34">
        <f>IF(AND(CT$5&gt;$E67,CT$5&lt;=$F67),IF(CT$5=$E67+1,$C67,""),"")</f>
        <v/>
      </c>
      <c r="CU67" s="34">
        <f>IF(AND(CU$5&gt;$E67,CU$5&lt;=$F67),IF(CU$5=$E67+1,$C67,""),"")</f>
        <v/>
      </c>
      <c r="CV67" s="34">
        <f>IF(AND(CV$5&gt;$E67,CV$5&lt;=$F67),IF(CV$5=$E67+1,$C67,""),"")</f>
        <v/>
      </c>
      <c r="CW67" s="34">
        <f>IF(AND(CW$5&gt;$E67,CW$5&lt;=$F67),IF(CW$5=$E67+1,$C67,""),"")</f>
        <v/>
      </c>
      <c r="CX67" s="34">
        <f>IF(AND(CX$5&gt;$E67,CX$5&lt;=$F67),IF(CX$5=$E67+1,$C67,""),"")</f>
        <v/>
      </c>
      <c r="CY67" s="34">
        <f>IF(AND(CY$5&gt;$E67,CY$5&lt;=$F67),IF(CY$5=$E67+1,$C67,""),"")</f>
        <v/>
      </c>
      <c r="CZ67" s="34">
        <f>IF(AND(CZ$5&gt;$E67,CZ$5&lt;=$F67),IF(CZ$5=$E67+1,$C67,""),"")</f>
        <v/>
      </c>
      <c r="DA67" s="34">
        <f>IF(AND(DA$5&gt;$E67,DA$5&lt;=$F67),IF(DA$5=$E67+1,$C67,""),"")</f>
        <v/>
      </c>
      <c r="DB67" s="34">
        <f>IF(AND(DB$5&gt;$E67,DB$5&lt;=$F67),IF(DB$5=$E67+1,$C67,""),"")</f>
        <v/>
      </c>
      <c r="DC67" s="34">
        <f>IF(AND(DC$5&gt;$E67,DC$5&lt;=$F67),IF(DC$5=$E67+1,$C67,""),"")</f>
        <v/>
      </c>
      <c r="DD67" s="34">
        <f>IF(AND(DD$5&gt;$E67,DD$5&lt;=$F67),IF(DD$5=$E67+1,$C67,""),"")</f>
        <v/>
      </c>
      <c r="DE67" s="34">
        <f>IF(AND(DE$5&gt;$E67,DE$5&lt;=$F67),IF(DE$5=$E67+1,$C67,""),"")</f>
        <v/>
      </c>
      <c r="DF67" s="34">
        <f>IF(AND(DF$5&gt;$E67,DF$5&lt;=$F67),IF(DF$5=$E67+1,$C67,""),"")</f>
        <v/>
      </c>
      <c r="DG67" s="34">
        <f>IF(AND(DG$5&gt;$E67,DG$5&lt;=$F67),IF(DG$5=$E67+1,$C67,""),"")</f>
        <v/>
      </c>
      <c r="DH67" s="34">
        <f>IF(AND(DH$5&gt;$E67,DH$5&lt;=$F67),IF(DH$5=$E67+1,$C67,""),"")</f>
        <v/>
      </c>
      <c r="DI67" s="34">
        <f>IF(AND(DI$5&gt;$E67,DI$5&lt;=$F67),IF(DI$5=$E67+1,$C67,""),"")</f>
        <v/>
      </c>
      <c r="DJ67" s="34">
        <f>IF(AND(DJ$5&gt;$E67,DJ$5&lt;=$F67),IF(DJ$5=$E67+1,$C67,""),"")</f>
        <v/>
      </c>
      <c r="DK67" s="34">
        <f>IF(AND(DK$5&gt;$E67,DK$5&lt;=$F67),IF(DK$5=$E67+1,$C67,""),"")</f>
        <v/>
      </c>
      <c r="DL67" s="34">
        <f>IF(AND(DL$5&gt;$E67,DL$5&lt;=$F67),IF(DL$5=$E67+1,$C67,""),"")</f>
        <v/>
      </c>
      <c r="DM67" s="34">
        <f>IF(AND(DM$5&gt;$E67,DM$5&lt;=$F67),IF(DM$5=$E67+1,$C67,""),"")</f>
        <v/>
      </c>
      <c r="DN67" s="34">
        <f>IF(AND(DN$5&gt;$E67,DN$5&lt;=$F67),IF(DN$5=$E67+1,$C67,""),"")</f>
        <v/>
      </c>
      <c r="DO67" s="34">
        <f>IF(AND(DO$5&gt;$E67,DO$5&lt;=$F67),IF(DO$5=$E67+1,$C67,""),"")</f>
        <v/>
      </c>
      <c r="DP67" s="34">
        <f>IF(AND(DP$5&gt;$E67,DP$5&lt;=$F67),IF(DP$5=$E67+1,$C67,""),"")</f>
        <v/>
      </c>
      <c r="DQ67" s="34">
        <f>IF(AND(DQ$5&gt;$E67,DQ$5&lt;=$F67),IF(DQ$5=$E67+1,$C67,""),"")</f>
        <v/>
      </c>
      <c r="DR67" s="34">
        <f>IF(AND(DR$5&gt;$E67,DR$5&lt;=$F67),IF(DR$5=$E67+1,$C67,""),"")</f>
        <v/>
      </c>
      <c r="DS67" s="34">
        <f>IF(AND(DS$5&gt;$E67,DS$5&lt;=$F67),IF(DS$5=$E67+1,$C67,""),"")</f>
        <v/>
      </c>
      <c r="DT67" s="34">
        <f>IF(AND(DT$5&gt;$E67,DT$5&lt;=$F67),IF(DT$5=$E67+1,$C67,""),"")</f>
        <v/>
      </c>
      <c r="DU67" s="34">
        <f>IF(AND(DU$5&gt;$E67,DU$5&lt;=$F67),IF(DU$5=$E67+1,$C67,""),"")</f>
        <v/>
      </c>
      <c r="DV67" s="34">
        <f>IF(AND(DV$5&gt;$E67,DV$5&lt;=$F67),IF(DV$5=$E67+1,$C67,""),"")</f>
        <v/>
      </c>
      <c r="DW67" s="34">
        <f>IF(AND(DW$5&gt;$E67,DW$5&lt;=$F67),IF(DW$5=$E67+1,$C67,""),"")</f>
        <v/>
      </c>
      <c r="DX67" s="34">
        <f>IF(AND(DX$5&gt;$E67,DX$5&lt;=$F67),IF(DX$5=$E67+1,$C67,""),"")</f>
        <v/>
      </c>
      <c r="DY67" s="34">
        <f>IF(AND(DY$5&gt;$E67,DY$5&lt;=$F67),IF(DY$5=$E67+1,$C67,""),"")</f>
        <v/>
      </c>
      <c r="DZ67" s="34">
        <f>IF(AND(DZ$5&gt;$E67,DZ$5&lt;=$F67),IF(DZ$5=$E67+1,$C67,""),"")</f>
        <v/>
      </c>
      <c r="EA67" s="34">
        <f>IF(AND(EA$5&gt;$E67,EA$5&lt;=$F67),IF(EA$5=$E67+1,$C67,""),"")</f>
        <v/>
      </c>
      <c r="EB67" s="34">
        <f>IF(AND(EB$5&gt;$E67,EB$5&lt;=$F67),IF(EB$5=$E67+1,$C67,""),"")</f>
        <v/>
      </c>
      <c r="EC67" s="34">
        <f>IF(AND(EC$5&gt;$E67,EC$5&lt;=$F67),IF(EC$5=$E67+1,$C67,""),"")</f>
        <v/>
      </c>
      <c r="ED67" s="34">
        <f>IF(AND(ED$5&gt;$E67,ED$5&lt;=$F67),IF(ED$5=$E67+1,$C67,""),"")</f>
        <v/>
      </c>
      <c r="EE67" s="34">
        <f>IF(AND(EE$5&gt;$E67,EE$5&lt;=$F67),IF(EE$5=$E67+1,$C67,""),"")</f>
        <v/>
      </c>
      <c r="EF67" s="34">
        <f>IF(AND(EF$5&gt;$E67,EF$5&lt;=$F67),IF(EF$5=$E67+1,$C67,""),"")</f>
        <v/>
      </c>
      <c r="EG67" s="34">
        <f>IF(AND(EG$5&gt;$E67,EG$5&lt;=$F67),IF(EG$5=$E67+1,$C67,""),"")</f>
        <v/>
      </c>
      <c r="EH67" s="34">
        <f>IF(AND(EH$5&gt;$E67,EH$5&lt;=$F67),IF(EH$5=$E67+1,$C67,""),"")</f>
        <v/>
      </c>
      <c r="EI67" s="34">
        <f>IF(AND(EI$5&gt;$E67,EI$5&lt;=$F67),IF(EI$5=$E67+1,$C67,""),"")</f>
        <v/>
      </c>
      <c r="EJ67" s="34">
        <f>IF(AND(EJ$5&gt;$E67,EJ$5&lt;=$F67),IF(EJ$5=$E67+1,$C67,""),"")</f>
        <v/>
      </c>
      <c r="EK67" s="34">
        <f>IF(AND(EK$5&gt;$E67,EK$5&lt;=$F67),IF(EK$5=$E67+1,$C67,""),"")</f>
        <v/>
      </c>
      <c r="EL67" s="34">
        <f>IF(AND(EL$5&gt;$E67,EL$5&lt;=$F67),IF(EL$5=$E67+1,$C67,""),"")</f>
        <v/>
      </c>
      <c r="EM67" s="34">
        <f>IF(AND(EM$5&gt;$E67,EM$5&lt;=$F67),IF(EM$5=$E67+1,$C67,""),"")</f>
        <v/>
      </c>
      <c r="EN67" s="34">
        <f>IF(AND(EN$5&gt;$E67,EN$5&lt;=$F67),IF(EN$5=$E67+1,$C67,""),"")</f>
        <v/>
      </c>
      <c r="EO67" s="34">
        <f>IF(AND(EO$5&gt;$E67,EO$5&lt;=$F67),IF(EO$5=$E67+1,$C67,""),"")</f>
        <v/>
      </c>
      <c r="EP67" s="34">
        <f>IF(AND(EP$5&gt;$E67,EP$5&lt;=$F67),IF(EP$5=$E67+1,$C67,""),"")</f>
        <v/>
      </c>
      <c r="EQ67" s="34">
        <f>IF(AND(EQ$5&gt;$E67,EQ$5&lt;=$F67),IF(EQ$5=$E67+1,$C67,""),"")</f>
        <v/>
      </c>
      <c r="ER67" s="34">
        <f>IF(AND(ER$5&gt;$E67,ER$5&lt;=$F67),IF(ER$5=$E67+1,$C67,""),"")</f>
        <v/>
      </c>
      <c r="ES67" s="34">
        <f>IF(AND(ES$5&gt;$E67,ES$5&lt;=$F67),IF(ES$5=$E67+1,$C67,""),"")</f>
        <v/>
      </c>
      <c r="ET67" s="34">
        <f>IF(AND(ET$5&gt;$E67,ET$5&lt;=$F67),IF(ET$5=$E67+1,$C67,""),"")</f>
        <v/>
      </c>
      <c r="EU67" s="34">
        <f>IF(AND(EU$5&gt;$E67,EU$5&lt;=$F67),IF(EU$5=$E67+1,$C67,""),"")</f>
        <v/>
      </c>
      <c r="EV67" s="34">
        <f>IF(AND(EV$5&gt;$E67,EV$5&lt;=$F67),IF(EV$5=$E67+1,$C67,""),"")</f>
        <v/>
      </c>
      <c r="EW67" s="34">
        <f>IF(AND(EW$5&gt;$E67,EW$5&lt;=$F67),IF(EW$5=$E67+1,$C67,""),"")</f>
        <v/>
      </c>
      <c r="EX67" s="34">
        <f>IF(AND(EX$5&gt;$E67,EX$5&lt;=$F67),IF(EX$5=$E67+1,$C67,""),"")</f>
        <v/>
      </c>
      <c r="EY67" s="34">
        <f>IF(AND(EY$5&gt;$E67,EY$5&lt;=$F67),IF(EY$5=$E67+1,$C67,""),"")</f>
        <v/>
      </c>
      <c r="EZ67" s="34">
        <f>IF(AND(EZ$5&gt;$E67,EZ$5&lt;=$F67),IF(EZ$5=$E67+1,$C67,""),"")</f>
        <v/>
      </c>
      <c r="FA67" s="34">
        <f>IF(AND(FA$5&gt;$E67,FA$5&lt;=$F67),IF(FA$5=$E67+1,$C67,""),"")</f>
        <v/>
      </c>
    </row>
    <row r="68">
      <c r="A68" s="32">
        <f>Plan!A103</f>
        <v/>
      </c>
      <c r="B68" s="33">
        <f>Plan!C103</f>
        <v/>
      </c>
      <c r="C68" s="16">
        <f>Plan!D103</f>
        <v/>
      </c>
      <c r="D68" s="16">
        <f>Plan!I103</f>
        <v/>
      </c>
      <c r="E68" s="16">
        <f>Plan!K103</f>
        <v/>
      </c>
      <c r="F68" s="16">
        <f>Plan!L103</f>
        <v/>
      </c>
      <c r="G68" s="16">
        <f>Plan!O103</f>
        <v/>
      </c>
      <c r="H68" s="34">
        <f>IF(AND(H$5&gt;$E68,H$5&lt;=$F68),IF(H$5=$E68+1,$C68,""),"")</f>
        <v/>
      </c>
      <c r="I68" s="34">
        <f>IF(AND(I$5&gt;$E68,I$5&lt;=$F68),IF(I$5=$E68+1,$C68,""),"")</f>
        <v/>
      </c>
      <c r="J68" s="34">
        <f>IF(AND(J$5&gt;$E68,J$5&lt;=$F68),IF(J$5=$E68+1,$C68,""),"")</f>
        <v/>
      </c>
      <c r="K68" s="34">
        <f>IF(AND(K$5&gt;$E68,K$5&lt;=$F68),IF(K$5=$E68+1,$C68,""),"")</f>
        <v/>
      </c>
      <c r="L68" s="34">
        <f>IF(AND(L$5&gt;$E68,L$5&lt;=$F68),IF(L$5=$E68+1,$C68,""),"")</f>
        <v/>
      </c>
      <c r="M68" s="34">
        <f>IF(AND(M$5&gt;$E68,M$5&lt;=$F68),IF(M$5=$E68+1,$C68,""),"")</f>
        <v/>
      </c>
      <c r="N68" s="34">
        <f>IF(AND(N$5&gt;$E68,N$5&lt;=$F68),IF(N$5=$E68+1,$C68,""),"")</f>
        <v/>
      </c>
      <c r="O68" s="34">
        <f>IF(AND(O$5&gt;$E68,O$5&lt;=$F68),IF(O$5=$E68+1,$C68,""),"")</f>
        <v/>
      </c>
      <c r="P68" s="34">
        <f>IF(AND(P$5&gt;$E68,P$5&lt;=$F68),IF(P$5=$E68+1,$C68,""),"")</f>
        <v/>
      </c>
      <c r="Q68" s="34">
        <f>IF(AND(Q$5&gt;$E68,Q$5&lt;=$F68),IF(Q$5=$E68+1,$C68,""),"")</f>
        <v/>
      </c>
      <c r="R68" s="34">
        <f>IF(AND(R$5&gt;$E68,R$5&lt;=$F68),IF(R$5=$E68+1,$C68,""),"")</f>
        <v/>
      </c>
      <c r="S68" s="34">
        <f>IF(AND(S$5&gt;$E68,S$5&lt;=$F68),IF(S$5=$E68+1,$C68,""),"")</f>
        <v/>
      </c>
      <c r="T68" s="34">
        <f>IF(AND(T$5&gt;$E68,T$5&lt;=$F68),IF(T$5=$E68+1,$C68,""),"")</f>
        <v/>
      </c>
      <c r="U68" s="34">
        <f>IF(AND(U$5&gt;$E68,U$5&lt;=$F68),IF(U$5=$E68+1,$C68,""),"")</f>
        <v/>
      </c>
      <c r="V68" s="34">
        <f>IF(AND(V$5&gt;$E68,V$5&lt;=$F68),IF(V$5=$E68+1,$C68,""),"")</f>
        <v/>
      </c>
      <c r="W68" s="34">
        <f>IF(AND(W$5&gt;$E68,W$5&lt;=$F68),IF(W$5=$E68+1,$C68,""),"")</f>
        <v/>
      </c>
      <c r="X68" s="34">
        <f>IF(AND(X$5&gt;$E68,X$5&lt;=$F68),IF(X$5=$E68+1,$C68,""),"")</f>
        <v/>
      </c>
      <c r="Y68" s="34">
        <f>IF(AND(Y$5&gt;$E68,Y$5&lt;=$F68),IF(Y$5=$E68+1,$C68,""),"")</f>
        <v/>
      </c>
      <c r="Z68" s="34">
        <f>IF(AND(Z$5&gt;$E68,Z$5&lt;=$F68),IF(Z$5=$E68+1,$C68,""),"")</f>
        <v/>
      </c>
      <c r="AA68" s="34">
        <f>IF(AND(AA$5&gt;$E68,AA$5&lt;=$F68),IF(AA$5=$E68+1,$C68,""),"")</f>
        <v/>
      </c>
      <c r="AB68" s="34">
        <f>IF(AND(AB$5&gt;$E68,AB$5&lt;=$F68),IF(AB$5=$E68+1,$C68,""),"")</f>
        <v/>
      </c>
      <c r="AC68" s="34">
        <f>IF(AND(AC$5&gt;$E68,AC$5&lt;=$F68),IF(AC$5=$E68+1,$C68,""),"")</f>
        <v/>
      </c>
      <c r="AD68" s="34">
        <f>IF(AND(AD$5&gt;$E68,AD$5&lt;=$F68),IF(AD$5=$E68+1,$C68,""),"")</f>
        <v/>
      </c>
      <c r="AE68" s="34">
        <f>IF(AND(AE$5&gt;$E68,AE$5&lt;=$F68),IF(AE$5=$E68+1,$C68,""),"")</f>
        <v/>
      </c>
      <c r="AF68" s="34">
        <f>IF(AND(AF$5&gt;$E68,AF$5&lt;=$F68),IF(AF$5=$E68+1,$C68,""),"")</f>
        <v/>
      </c>
      <c r="AG68" s="34">
        <f>IF(AND(AG$5&gt;$E68,AG$5&lt;=$F68),IF(AG$5=$E68+1,$C68,""),"")</f>
        <v/>
      </c>
      <c r="AH68" s="34">
        <f>IF(AND(AH$5&gt;$E68,AH$5&lt;=$F68),IF(AH$5=$E68+1,$C68,""),"")</f>
        <v/>
      </c>
      <c r="AI68" s="34">
        <f>IF(AND(AI$5&gt;$E68,AI$5&lt;=$F68),IF(AI$5=$E68+1,$C68,""),"")</f>
        <v/>
      </c>
      <c r="AJ68" s="34">
        <f>IF(AND(AJ$5&gt;$E68,AJ$5&lt;=$F68),IF(AJ$5=$E68+1,$C68,""),"")</f>
        <v/>
      </c>
      <c r="AK68" s="34">
        <f>IF(AND(AK$5&gt;$E68,AK$5&lt;=$F68),IF(AK$5=$E68+1,$C68,""),"")</f>
        <v/>
      </c>
      <c r="AL68" s="34">
        <f>IF(AND(AL$5&gt;$E68,AL$5&lt;=$F68),IF(AL$5=$E68+1,$C68,""),"")</f>
        <v/>
      </c>
      <c r="AM68" s="34">
        <f>IF(AND(AM$5&gt;$E68,AM$5&lt;=$F68),IF(AM$5=$E68+1,$C68,""),"")</f>
        <v/>
      </c>
      <c r="AN68" s="34">
        <f>IF(AND(AN$5&gt;$E68,AN$5&lt;=$F68),IF(AN$5=$E68+1,$C68,""),"")</f>
        <v/>
      </c>
      <c r="AO68" s="34">
        <f>IF(AND(AO$5&gt;$E68,AO$5&lt;=$F68),IF(AO$5=$E68+1,$C68,""),"")</f>
        <v/>
      </c>
      <c r="AP68" s="34">
        <f>IF(AND(AP$5&gt;$E68,AP$5&lt;=$F68),IF(AP$5=$E68+1,$C68,""),"")</f>
        <v/>
      </c>
      <c r="AQ68" s="34">
        <f>IF(AND(AQ$5&gt;$E68,AQ$5&lt;=$F68),IF(AQ$5=$E68+1,$C68,""),"")</f>
        <v/>
      </c>
      <c r="AR68" s="34">
        <f>IF(AND(AR$5&gt;$E68,AR$5&lt;=$F68),IF(AR$5=$E68+1,$C68,""),"")</f>
        <v/>
      </c>
      <c r="AS68" s="34">
        <f>IF(AND(AS$5&gt;$E68,AS$5&lt;=$F68),IF(AS$5=$E68+1,$C68,""),"")</f>
        <v/>
      </c>
      <c r="AT68" s="34">
        <f>IF(AND(AT$5&gt;$E68,AT$5&lt;=$F68),IF(AT$5=$E68+1,$C68,""),"")</f>
        <v/>
      </c>
      <c r="AU68" s="34">
        <f>IF(AND(AU$5&gt;$E68,AU$5&lt;=$F68),IF(AU$5=$E68+1,$C68,""),"")</f>
        <v/>
      </c>
      <c r="AV68" s="34">
        <f>IF(AND(AV$5&gt;$E68,AV$5&lt;=$F68),IF(AV$5=$E68+1,$C68,""),"")</f>
        <v/>
      </c>
      <c r="AW68" s="34">
        <f>IF(AND(AW$5&gt;$E68,AW$5&lt;=$F68),IF(AW$5=$E68+1,$C68,""),"")</f>
        <v/>
      </c>
      <c r="AX68" s="34">
        <f>IF(AND(AX$5&gt;$E68,AX$5&lt;=$F68),IF(AX$5=$E68+1,$C68,""),"")</f>
        <v/>
      </c>
      <c r="AY68" s="34">
        <f>IF(AND(AY$5&gt;$E68,AY$5&lt;=$F68),IF(AY$5=$E68+1,$C68,""),"")</f>
        <v/>
      </c>
      <c r="AZ68" s="34">
        <f>IF(AND(AZ$5&gt;$E68,AZ$5&lt;=$F68),IF(AZ$5=$E68+1,$C68,""),"")</f>
        <v/>
      </c>
      <c r="BA68" s="34">
        <f>IF(AND(BA$5&gt;$E68,BA$5&lt;=$F68),IF(BA$5=$E68+1,$C68,""),"")</f>
        <v/>
      </c>
      <c r="BB68" s="34">
        <f>IF(AND(BB$5&gt;$E68,BB$5&lt;=$F68),IF(BB$5=$E68+1,$C68,""),"")</f>
        <v/>
      </c>
      <c r="BC68" s="34">
        <f>IF(AND(BC$5&gt;$E68,BC$5&lt;=$F68),IF(BC$5=$E68+1,$C68,""),"")</f>
        <v/>
      </c>
      <c r="BD68" s="34">
        <f>IF(AND(BD$5&gt;$E68,BD$5&lt;=$F68),IF(BD$5=$E68+1,$C68,""),"")</f>
        <v/>
      </c>
      <c r="BE68" s="34">
        <f>IF(AND(BE$5&gt;$E68,BE$5&lt;=$F68),IF(BE$5=$E68+1,$C68,""),"")</f>
        <v/>
      </c>
      <c r="BF68" s="34">
        <f>IF(AND(BF$5&gt;$E68,BF$5&lt;=$F68),IF(BF$5=$E68+1,$C68,""),"")</f>
        <v/>
      </c>
      <c r="BG68" s="34">
        <f>IF(AND(BG$5&gt;$E68,BG$5&lt;=$F68),IF(BG$5=$E68+1,$C68,""),"")</f>
        <v/>
      </c>
      <c r="BH68" s="34">
        <f>IF(AND(BH$5&gt;$E68,BH$5&lt;=$F68),IF(BH$5=$E68+1,$C68,""),"")</f>
        <v/>
      </c>
      <c r="BI68" s="34">
        <f>IF(AND(BI$5&gt;$E68,BI$5&lt;=$F68),IF(BI$5=$E68+1,$C68,""),"")</f>
        <v/>
      </c>
      <c r="BJ68" s="34">
        <f>IF(AND(BJ$5&gt;$E68,BJ$5&lt;=$F68),IF(BJ$5=$E68+1,$C68,""),"")</f>
        <v/>
      </c>
      <c r="BK68" s="34">
        <f>IF(AND(BK$5&gt;$E68,BK$5&lt;=$F68),IF(BK$5=$E68+1,$C68,""),"")</f>
        <v/>
      </c>
      <c r="BL68" s="34">
        <f>IF(AND(BL$5&gt;$E68,BL$5&lt;=$F68),IF(BL$5=$E68+1,$C68,""),"")</f>
        <v/>
      </c>
      <c r="BM68" s="34">
        <f>IF(AND(BM$5&gt;$E68,BM$5&lt;=$F68),IF(BM$5=$E68+1,$C68,""),"")</f>
        <v/>
      </c>
      <c r="BN68" s="34">
        <f>IF(AND(BN$5&gt;$E68,BN$5&lt;=$F68),IF(BN$5=$E68+1,$C68,""),"")</f>
        <v/>
      </c>
      <c r="BO68" s="34">
        <f>IF(AND(BO$5&gt;$E68,BO$5&lt;=$F68),IF(BO$5=$E68+1,$C68,""),"")</f>
        <v/>
      </c>
      <c r="BP68" s="34">
        <f>IF(AND(BP$5&gt;$E68,BP$5&lt;=$F68),IF(BP$5=$E68+1,$C68,""),"")</f>
        <v/>
      </c>
      <c r="BQ68" s="34">
        <f>IF(AND(BQ$5&gt;$E68,BQ$5&lt;=$F68),IF(BQ$5=$E68+1,$C68,""),"")</f>
        <v/>
      </c>
      <c r="BR68" s="34">
        <f>IF(AND(BR$5&gt;$E68,BR$5&lt;=$F68),IF(BR$5=$E68+1,$C68,""),"")</f>
        <v/>
      </c>
      <c r="BS68" s="34">
        <f>IF(AND(BS$5&gt;$E68,BS$5&lt;=$F68),IF(BS$5=$E68+1,$C68,""),"")</f>
        <v/>
      </c>
      <c r="BT68" s="34">
        <f>IF(AND(BT$5&gt;$E68,BT$5&lt;=$F68),IF(BT$5=$E68+1,$C68,""),"")</f>
        <v/>
      </c>
      <c r="BU68" s="34">
        <f>IF(AND(BU$5&gt;$E68,BU$5&lt;=$F68),IF(BU$5=$E68+1,$C68,""),"")</f>
        <v/>
      </c>
      <c r="BV68" s="34">
        <f>IF(AND(BV$5&gt;$E68,BV$5&lt;=$F68),IF(BV$5=$E68+1,$C68,""),"")</f>
        <v/>
      </c>
      <c r="BW68" s="34">
        <f>IF(AND(BW$5&gt;$E68,BW$5&lt;=$F68),IF(BW$5=$E68+1,$C68,""),"")</f>
        <v/>
      </c>
      <c r="BX68" s="34">
        <f>IF(AND(BX$5&gt;$E68,BX$5&lt;=$F68),IF(BX$5=$E68+1,$C68,""),"")</f>
        <v/>
      </c>
      <c r="BY68" s="34">
        <f>IF(AND(BY$5&gt;$E68,BY$5&lt;=$F68),IF(BY$5=$E68+1,$C68,""),"")</f>
        <v/>
      </c>
      <c r="BZ68" s="34">
        <f>IF(AND(BZ$5&gt;$E68,BZ$5&lt;=$F68),IF(BZ$5=$E68+1,$C68,""),"")</f>
        <v/>
      </c>
      <c r="CA68" s="34">
        <f>IF(AND(CA$5&gt;$E68,CA$5&lt;=$F68),IF(CA$5=$E68+1,$C68,""),"")</f>
        <v/>
      </c>
      <c r="CB68" s="34">
        <f>IF(AND(CB$5&gt;$E68,CB$5&lt;=$F68),IF(CB$5=$E68+1,$C68,""),"")</f>
        <v/>
      </c>
      <c r="CC68" s="34">
        <f>IF(AND(CC$5&gt;$E68,CC$5&lt;=$F68),IF(CC$5=$E68+1,$C68,""),"")</f>
        <v/>
      </c>
      <c r="CD68" s="34">
        <f>IF(AND(CD$5&gt;$E68,CD$5&lt;=$F68),IF(CD$5=$E68+1,$C68,""),"")</f>
        <v/>
      </c>
      <c r="CE68" s="34">
        <f>IF(AND(CE$5&gt;$E68,CE$5&lt;=$F68),IF(CE$5=$E68+1,$C68,""),"")</f>
        <v/>
      </c>
      <c r="CF68" s="34">
        <f>IF(AND(CF$5&gt;$E68,CF$5&lt;=$F68),IF(CF$5=$E68+1,$C68,""),"")</f>
        <v/>
      </c>
      <c r="CG68" s="34">
        <f>IF(AND(CG$5&gt;$E68,CG$5&lt;=$F68),IF(CG$5=$E68+1,$C68,""),"")</f>
        <v/>
      </c>
      <c r="CH68" s="34">
        <f>IF(AND(CH$5&gt;$E68,CH$5&lt;=$F68),IF(CH$5=$E68+1,$C68,""),"")</f>
        <v/>
      </c>
      <c r="CI68" s="34">
        <f>IF(AND(CI$5&gt;$E68,CI$5&lt;=$F68),IF(CI$5=$E68+1,$C68,""),"")</f>
        <v/>
      </c>
      <c r="CJ68" s="34">
        <f>IF(AND(CJ$5&gt;$E68,CJ$5&lt;=$F68),IF(CJ$5=$E68+1,$C68,""),"")</f>
        <v/>
      </c>
      <c r="CK68" s="34">
        <f>IF(AND(CK$5&gt;$E68,CK$5&lt;=$F68),IF(CK$5=$E68+1,$C68,""),"")</f>
        <v/>
      </c>
      <c r="CL68" s="34">
        <f>IF(AND(CL$5&gt;$E68,CL$5&lt;=$F68),IF(CL$5=$E68+1,$C68,""),"")</f>
        <v/>
      </c>
      <c r="CM68" s="34">
        <f>IF(AND(CM$5&gt;$E68,CM$5&lt;=$F68),IF(CM$5=$E68+1,$C68,""),"")</f>
        <v/>
      </c>
      <c r="CN68" s="34">
        <f>IF(AND(CN$5&gt;$E68,CN$5&lt;=$F68),IF(CN$5=$E68+1,$C68,""),"")</f>
        <v/>
      </c>
      <c r="CO68" s="34">
        <f>IF(AND(CO$5&gt;$E68,CO$5&lt;=$F68),IF(CO$5=$E68+1,$C68,""),"")</f>
        <v/>
      </c>
      <c r="CP68" s="34">
        <f>IF(AND(CP$5&gt;$E68,CP$5&lt;=$F68),IF(CP$5=$E68+1,$C68,""),"")</f>
        <v/>
      </c>
      <c r="CQ68" s="34">
        <f>IF(AND(CQ$5&gt;$E68,CQ$5&lt;=$F68),IF(CQ$5=$E68+1,$C68,""),"")</f>
        <v/>
      </c>
      <c r="CR68" s="34">
        <f>IF(AND(CR$5&gt;$E68,CR$5&lt;=$F68),IF(CR$5=$E68+1,$C68,""),"")</f>
        <v/>
      </c>
      <c r="CS68" s="34">
        <f>IF(AND(CS$5&gt;$E68,CS$5&lt;=$F68),IF(CS$5=$E68+1,$C68,""),"")</f>
        <v/>
      </c>
      <c r="CT68" s="34">
        <f>IF(AND(CT$5&gt;$E68,CT$5&lt;=$F68),IF(CT$5=$E68+1,$C68,""),"")</f>
        <v/>
      </c>
      <c r="CU68" s="34">
        <f>IF(AND(CU$5&gt;$E68,CU$5&lt;=$F68),IF(CU$5=$E68+1,$C68,""),"")</f>
        <v/>
      </c>
      <c r="CV68" s="34">
        <f>IF(AND(CV$5&gt;$E68,CV$5&lt;=$F68),IF(CV$5=$E68+1,$C68,""),"")</f>
        <v/>
      </c>
      <c r="CW68" s="34">
        <f>IF(AND(CW$5&gt;$E68,CW$5&lt;=$F68),IF(CW$5=$E68+1,$C68,""),"")</f>
        <v/>
      </c>
      <c r="CX68" s="34">
        <f>IF(AND(CX$5&gt;$E68,CX$5&lt;=$F68),IF(CX$5=$E68+1,$C68,""),"")</f>
        <v/>
      </c>
      <c r="CY68" s="34">
        <f>IF(AND(CY$5&gt;$E68,CY$5&lt;=$F68),IF(CY$5=$E68+1,$C68,""),"")</f>
        <v/>
      </c>
      <c r="CZ68" s="34">
        <f>IF(AND(CZ$5&gt;$E68,CZ$5&lt;=$F68),IF(CZ$5=$E68+1,$C68,""),"")</f>
        <v/>
      </c>
      <c r="DA68" s="34">
        <f>IF(AND(DA$5&gt;$E68,DA$5&lt;=$F68),IF(DA$5=$E68+1,$C68,""),"")</f>
        <v/>
      </c>
      <c r="DB68" s="34">
        <f>IF(AND(DB$5&gt;$E68,DB$5&lt;=$F68),IF(DB$5=$E68+1,$C68,""),"")</f>
        <v/>
      </c>
      <c r="DC68" s="34">
        <f>IF(AND(DC$5&gt;$E68,DC$5&lt;=$F68),IF(DC$5=$E68+1,$C68,""),"")</f>
        <v/>
      </c>
      <c r="DD68" s="34">
        <f>IF(AND(DD$5&gt;$E68,DD$5&lt;=$F68),IF(DD$5=$E68+1,$C68,""),"")</f>
        <v/>
      </c>
      <c r="DE68" s="34">
        <f>IF(AND(DE$5&gt;$E68,DE$5&lt;=$F68),IF(DE$5=$E68+1,$C68,""),"")</f>
        <v/>
      </c>
      <c r="DF68" s="34">
        <f>IF(AND(DF$5&gt;$E68,DF$5&lt;=$F68),IF(DF$5=$E68+1,$C68,""),"")</f>
        <v/>
      </c>
      <c r="DG68" s="34">
        <f>IF(AND(DG$5&gt;$E68,DG$5&lt;=$F68),IF(DG$5=$E68+1,$C68,""),"")</f>
        <v/>
      </c>
      <c r="DH68" s="34">
        <f>IF(AND(DH$5&gt;$E68,DH$5&lt;=$F68),IF(DH$5=$E68+1,$C68,""),"")</f>
        <v/>
      </c>
      <c r="DI68" s="34">
        <f>IF(AND(DI$5&gt;$E68,DI$5&lt;=$F68),IF(DI$5=$E68+1,$C68,""),"")</f>
        <v/>
      </c>
      <c r="DJ68" s="34">
        <f>IF(AND(DJ$5&gt;$E68,DJ$5&lt;=$F68),IF(DJ$5=$E68+1,$C68,""),"")</f>
        <v/>
      </c>
      <c r="DK68" s="34">
        <f>IF(AND(DK$5&gt;$E68,DK$5&lt;=$F68),IF(DK$5=$E68+1,$C68,""),"")</f>
        <v/>
      </c>
      <c r="DL68" s="34">
        <f>IF(AND(DL$5&gt;$E68,DL$5&lt;=$F68),IF(DL$5=$E68+1,$C68,""),"")</f>
        <v/>
      </c>
      <c r="DM68" s="34">
        <f>IF(AND(DM$5&gt;$E68,DM$5&lt;=$F68),IF(DM$5=$E68+1,$C68,""),"")</f>
        <v/>
      </c>
      <c r="DN68" s="34">
        <f>IF(AND(DN$5&gt;$E68,DN$5&lt;=$F68),IF(DN$5=$E68+1,$C68,""),"")</f>
        <v/>
      </c>
      <c r="DO68" s="34">
        <f>IF(AND(DO$5&gt;$E68,DO$5&lt;=$F68),IF(DO$5=$E68+1,$C68,""),"")</f>
        <v/>
      </c>
      <c r="DP68" s="34">
        <f>IF(AND(DP$5&gt;$E68,DP$5&lt;=$F68),IF(DP$5=$E68+1,$C68,""),"")</f>
        <v/>
      </c>
      <c r="DQ68" s="34">
        <f>IF(AND(DQ$5&gt;$E68,DQ$5&lt;=$F68),IF(DQ$5=$E68+1,$C68,""),"")</f>
        <v/>
      </c>
      <c r="DR68" s="34">
        <f>IF(AND(DR$5&gt;$E68,DR$5&lt;=$F68),IF(DR$5=$E68+1,$C68,""),"")</f>
        <v/>
      </c>
      <c r="DS68" s="34">
        <f>IF(AND(DS$5&gt;$E68,DS$5&lt;=$F68),IF(DS$5=$E68+1,$C68,""),"")</f>
        <v/>
      </c>
      <c r="DT68" s="34">
        <f>IF(AND(DT$5&gt;$E68,DT$5&lt;=$F68),IF(DT$5=$E68+1,$C68,""),"")</f>
        <v/>
      </c>
      <c r="DU68" s="34">
        <f>IF(AND(DU$5&gt;$E68,DU$5&lt;=$F68),IF(DU$5=$E68+1,$C68,""),"")</f>
        <v/>
      </c>
      <c r="DV68" s="34">
        <f>IF(AND(DV$5&gt;$E68,DV$5&lt;=$F68),IF(DV$5=$E68+1,$C68,""),"")</f>
        <v/>
      </c>
      <c r="DW68" s="34">
        <f>IF(AND(DW$5&gt;$E68,DW$5&lt;=$F68),IF(DW$5=$E68+1,$C68,""),"")</f>
        <v/>
      </c>
      <c r="DX68" s="34">
        <f>IF(AND(DX$5&gt;$E68,DX$5&lt;=$F68),IF(DX$5=$E68+1,$C68,""),"")</f>
        <v/>
      </c>
      <c r="DY68" s="34">
        <f>IF(AND(DY$5&gt;$E68,DY$5&lt;=$F68),IF(DY$5=$E68+1,$C68,""),"")</f>
        <v/>
      </c>
      <c r="DZ68" s="34">
        <f>IF(AND(DZ$5&gt;$E68,DZ$5&lt;=$F68),IF(DZ$5=$E68+1,$C68,""),"")</f>
        <v/>
      </c>
      <c r="EA68" s="34">
        <f>IF(AND(EA$5&gt;$E68,EA$5&lt;=$F68),IF(EA$5=$E68+1,$C68,""),"")</f>
        <v/>
      </c>
      <c r="EB68" s="34">
        <f>IF(AND(EB$5&gt;$E68,EB$5&lt;=$F68),IF(EB$5=$E68+1,$C68,""),"")</f>
        <v/>
      </c>
      <c r="EC68" s="34">
        <f>IF(AND(EC$5&gt;$E68,EC$5&lt;=$F68),IF(EC$5=$E68+1,$C68,""),"")</f>
        <v/>
      </c>
      <c r="ED68" s="34">
        <f>IF(AND(ED$5&gt;$E68,ED$5&lt;=$F68),IF(ED$5=$E68+1,$C68,""),"")</f>
        <v/>
      </c>
      <c r="EE68" s="34">
        <f>IF(AND(EE$5&gt;$E68,EE$5&lt;=$F68),IF(EE$5=$E68+1,$C68,""),"")</f>
        <v/>
      </c>
      <c r="EF68" s="34">
        <f>IF(AND(EF$5&gt;$E68,EF$5&lt;=$F68),IF(EF$5=$E68+1,$C68,""),"")</f>
        <v/>
      </c>
      <c r="EG68" s="34">
        <f>IF(AND(EG$5&gt;$E68,EG$5&lt;=$F68),IF(EG$5=$E68+1,$C68,""),"")</f>
        <v/>
      </c>
      <c r="EH68" s="34">
        <f>IF(AND(EH$5&gt;$E68,EH$5&lt;=$F68),IF(EH$5=$E68+1,$C68,""),"")</f>
        <v/>
      </c>
      <c r="EI68" s="34">
        <f>IF(AND(EI$5&gt;$E68,EI$5&lt;=$F68),IF(EI$5=$E68+1,$C68,""),"")</f>
        <v/>
      </c>
      <c r="EJ68" s="34">
        <f>IF(AND(EJ$5&gt;$E68,EJ$5&lt;=$F68),IF(EJ$5=$E68+1,$C68,""),"")</f>
        <v/>
      </c>
      <c r="EK68" s="34">
        <f>IF(AND(EK$5&gt;$E68,EK$5&lt;=$F68),IF(EK$5=$E68+1,$C68,""),"")</f>
        <v/>
      </c>
      <c r="EL68" s="34">
        <f>IF(AND(EL$5&gt;$E68,EL$5&lt;=$F68),IF(EL$5=$E68+1,$C68,""),"")</f>
        <v/>
      </c>
      <c r="EM68" s="34">
        <f>IF(AND(EM$5&gt;$E68,EM$5&lt;=$F68),IF(EM$5=$E68+1,$C68,""),"")</f>
        <v/>
      </c>
      <c r="EN68" s="34">
        <f>IF(AND(EN$5&gt;$E68,EN$5&lt;=$F68),IF(EN$5=$E68+1,$C68,""),"")</f>
        <v/>
      </c>
      <c r="EO68" s="34">
        <f>IF(AND(EO$5&gt;$E68,EO$5&lt;=$F68),IF(EO$5=$E68+1,$C68,""),"")</f>
        <v/>
      </c>
      <c r="EP68" s="34">
        <f>IF(AND(EP$5&gt;$E68,EP$5&lt;=$F68),IF(EP$5=$E68+1,$C68,""),"")</f>
        <v/>
      </c>
      <c r="EQ68" s="34">
        <f>IF(AND(EQ$5&gt;$E68,EQ$5&lt;=$F68),IF(EQ$5=$E68+1,$C68,""),"")</f>
        <v/>
      </c>
      <c r="ER68" s="34">
        <f>IF(AND(ER$5&gt;$E68,ER$5&lt;=$F68),IF(ER$5=$E68+1,$C68,""),"")</f>
        <v/>
      </c>
      <c r="ES68" s="34">
        <f>IF(AND(ES$5&gt;$E68,ES$5&lt;=$F68),IF(ES$5=$E68+1,$C68,""),"")</f>
        <v/>
      </c>
      <c r="ET68" s="34">
        <f>IF(AND(ET$5&gt;$E68,ET$5&lt;=$F68),IF(ET$5=$E68+1,$C68,""),"")</f>
        <v/>
      </c>
      <c r="EU68" s="34">
        <f>IF(AND(EU$5&gt;$E68,EU$5&lt;=$F68),IF(EU$5=$E68+1,$C68,""),"")</f>
        <v/>
      </c>
      <c r="EV68" s="34">
        <f>IF(AND(EV$5&gt;$E68,EV$5&lt;=$F68),IF(EV$5=$E68+1,$C68,""),"")</f>
        <v/>
      </c>
      <c r="EW68" s="34">
        <f>IF(AND(EW$5&gt;$E68,EW$5&lt;=$F68),IF(EW$5=$E68+1,$C68,""),"")</f>
        <v/>
      </c>
      <c r="EX68" s="34">
        <f>IF(AND(EX$5&gt;$E68,EX$5&lt;=$F68),IF(EX$5=$E68+1,$C68,""),"")</f>
        <v/>
      </c>
      <c r="EY68" s="34">
        <f>IF(AND(EY$5&gt;$E68,EY$5&lt;=$F68),IF(EY$5=$E68+1,$C68,""),"")</f>
        <v/>
      </c>
      <c r="EZ68" s="34">
        <f>IF(AND(EZ$5&gt;$E68,EZ$5&lt;=$F68),IF(EZ$5=$E68+1,$C68,""),"")</f>
        <v/>
      </c>
      <c r="FA68" s="34">
        <f>IF(AND(FA$5&gt;$E68,FA$5&lt;=$F68),IF(FA$5=$E68+1,$C68,""),"")</f>
        <v/>
      </c>
    </row>
    <row r="69">
      <c r="A69" s="32">
        <f>Plan!A104</f>
        <v/>
      </c>
      <c r="B69" s="33">
        <f>Plan!C104</f>
        <v/>
      </c>
      <c r="C69" s="16">
        <f>Plan!D104</f>
        <v/>
      </c>
      <c r="D69" s="16">
        <f>Plan!I104</f>
        <v/>
      </c>
      <c r="E69" s="16">
        <f>Plan!K104</f>
        <v/>
      </c>
      <c r="F69" s="16">
        <f>Plan!L104</f>
        <v/>
      </c>
      <c r="G69" s="16">
        <f>Plan!O104</f>
        <v/>
      </c>
      <c r="H69" s="34">
        <f>IF(AND(H$5&gt;$E69,H$5&lt;=$F69),IF(H$5=$E69+1,$C69,""),"")</f>
        <v/>
      </c>
      <c r="I69" s="34">
        <f>IF(AND(I$5&gt;$E69,I$5&lt;=$F69),IF(I$5=$E69+1,$C69,""),"")</f>
        <v/>
      </c>
      <c r="J69" s="34">
        <f>IF(AND(J$5&gt;$E69,J$5&lt;=$F69),IF(J$5=$E69+1,$C69,""),"")</f>
        <v/>
      </c>
      <c r="K69" s="34">
        <f>IF(AND(K$5&gt;$E69,K$5&lt;=$F69),IF(K$5=$E69+1,$C69,""),"")</f>
        <v/>
      </c>
      <c r="L69" s="34">
        <f>IF(AND(L$5&gt;$E69,L$5&lt;=$F69),IF(L$5=$E69+1,$C69,""),"")</f>
        <v/>
      </c>
      <c r="M69" s="34">
        <f>IF(AND(M$5&gt;$E69,M$5&lt;=$F69),IF(M$5=$E69+1,$C69,""),"")</f>
        <v/>
      </c>
      <c r="N69" s="34">
        <f>IF(AND(N$5&gt;$E69,N$5&lt;=$F69),IF(N$5=$E69+1,$C69,""),"")</f>
        <v/>
      </c>
      <c r="O69" s="34">
        <f>IF(AND(O$5&gt;$E69,O$5&lt;=$F69),IF(O$5=$E69+1,$C69,""),"")</f>
        <v/>
      </c>
      <c r="P69" s="34">
        <f>IF(AND(P$5&gt;$E69,P$5&lt;=$F69),IF(P$5=$E69+1,$C69,""),"")</f>
        <v/>
      </c>
      <c r="Q69" s="34">
        <f>IF(AND(Q$5&gt;$E69,Q$5&lt;=$F69),IF(Q$5=$E69+1,$C69,""),"")</f>
        <v/>
      </c>
      <c r="R69" s="34">
        <f>IF(AND(R$5&gt;$E69,R$5&lt;=$F69),IF(R$5=$E69+1,$C69,""),"")</f>
        <v/>
      </c>
      <c r="S69" s="34">
        <f>IF(AND(S$5&gt;$E69,S$5&lt;=$F69),IF(S$5=$E69+1,$C69,""),"")</f>
        <v/>
      </c>
      <c r="T69" s="34">
        <f>IF(AND(T$5&gt;$E69,T$5&lt;=$F69),IF(T$5=$E69+1,$C69,""),"")</f>
        <v/>
      </c>
      <c r="U69" s="34">
        <f>IF(AND(U$5&gt;$E69,U$5&lt;=$F69),IF(U$5=$E69+1,$C69,""),"")</f>
        <v/>
      </c>
      <c r="V69" s="34">
        <f>IF(AND(V$5&gt;$E69,V$5&lt;=$F69),IF(V$5=$E69+1,$C69,""),"")</f>
        <v/>
      </c>
      <c r="W69" s="34">
        <f>IF(AND(W$5&gt;$E69,W$5&lt;=$F69),IF(W$5=$E69+1,$C69,""),"")</f>
        <v/>
      </c>
      <c r="X69" s="34">
        <f>IF(AND(X$5&gt;$E69,X$5&lt;=$F69),IF(X$5=$E69+1,$C69,""),"")</f>
        <v/>
      </c>
      <c r="Y69" s="34">
        <f>IF(AND(Y$5&gt;$E69,Y$5&lt;=$F69),IF(Y$5=$E69+1,$C69,""),"")</f>
        <v/>
      </c>
      <c r="Z69" s="34">
        <f>IF(AND(Z$5&gt;$E69,Z$5&lt;=$F69),IF(Z$5=$E69+1,$C69,""),"")</f>
        <v/>
      </c>
      <c r="AA69" s="34">
        <f>IF(AND(AA$5&gt;$E69,AA$5&lt;=$F69),IF(AA$5=$E69+1,$C69,""),"")</f>
        <v/>
      </c>
      <c r="AB69" s="34">
        <f>IF(AND(AB$5&gt;$E69,AB$5&lt;=$F69),IF(AB$5=$E69+1,$C69,""),"")</f>
        <v/>
      </c>
      <c r="AC69" s="34">
        <f>IF(AND(AC$5&gt;$E69,AC$5&lt;=$F69),IF(AC$5=$E69+1,$C69,""),"")</f>
        <v/>
      </c>
      <c r="AD69" s="34">
        <f>IF(AND(AD$5&gt;$E69,AD$5&lt;=$F69),IF(AD$5=$E69+1,$C69,""),"")</f>
        <v/>
      </c>
      <c r="AE69" s="34">
        <f>IF(AND(AE$5&gt;$E69,AE$5&lt;=$F69),IF(AE$5=$E69+1,$C69,""),"")</f>
        <v/>
      </c>
      <c r="AF69" s="34">
        <f>IF(AND(AF$5&gt;$E69,AF$5&lt;=$F69),IF(AF$5=$E69+1,$C69,""),"")</f>
        <v/>
      </c>
      <c r="AG69" s="34">
        <f>IF(AND(AG$5&gt;$E69,AG$5&lt;=$F69),IF(AG$5=$E69+1,$C69,""),"")</f>
        <v/>
      </c>
      <c r="AH69" s="34">
        <f>IF(AND(AH$5&gt;$E69,AH$5&lt;=$F69),IF(AH$5=$E69+1,$C69,""),"")</f>
        <v/>
      </c>
      <c r="AI69" s="34">
        <f>IF(AND(AI$5&gt;$E69,AI$5&lt;=$F69),IF(AI$5=$E69+1,$C69,""),"")</f>
        <v/>
      </c>
      <c r="AJ69" s="34">
        <f>IF(AND(AJ$5&gt;$E69,AJ$5&lt;=$F69),IF(AJ$5=$E69+1,$C69,""),"")</f>
        <v/>
      </c>
      <c r="AK69" s="34">
        <f>IF(AND(AK$5&gt;$E69,AK$5&lt;=$F69),IF(AK$5=$E69+1,$C69,""),"")</f>
        <v/>
      </c>
      <c r="AL69" s="34">
        <f>IF(AND(AL$5&gt;$E69,AL$5&lt;=$F69),IF(AL$5=$E69+1,$C69,""),"")</f>
        <v/>
      </c>
      <c r="AM69" s="34">
        <f>IF(AND(AM$5&gt;$E69,AM$5&lt;=$F69),IF(AM$5=$E69+1,$C69,""),"")</f>
        <v/>
      </c>
      <c r="AN69" s="34">
        <f>IF(AND(AN$5&gt;$E69,AN$5&lt;=$F69),IF(AN$5=$E69+1,$C69,""),"")</f>
        <v/>
      </c>
      <c r="AO69" s="34">
        <f>IF(AND(AO$5&gt;$E69,AO$5&lt;=$F69),IF(AO$5=$E69+1,$C69,""),"")</f>
        <v/>
      </c>
      <c r="AP69" s="34">
        <f>IF(AND(AP$5&gt;$E69,AP$5&lt;=$F69),IF(AP$5=$E69+1,$C69,""),"")</f>
        <v/>
      </c>
      <c r="AQ69" s="34">
        <f>IF(AND(AQ$5&gt;$E69,AQ$5&lt;=$F69),IF(AQ$5=$E69+1,$C69,""),"")</f>
        <v/>
      </c>
      <c r="AR69" s="34">
        <f>IF(AND(AR$5&gt;$E69,AR$5&lt;=$F69),IF(AR$5=$E69+1,$C69,""),"")</f>
        <v/>
      </c>
      <c r="AS69" s="34">
        <f>IF(AND(AS$5&gt;$E69,AS$5&lt;=$F69),IF(AS$5=$E69+1,$C69,""),"")</f>
        <v/>
      </c>
      <c r="AT69" s="34">
        <f>IF(AND(AT$5&gt;$E69,AT$5&lt;=$F69),IF(AT$5=$E69+1,$C69,""),"")</f>
        <v/>
      </c>
      <c r="AU69" s="34">
        <f>IF(AND(AU$5&gt;$E69,AU$5&lt;=$F69),IF(AU$5=$E69+1,$C69,""),"")</f>
        <v/>
      </c>
      <c r="AV69" s="34">
        <f>IF(AND(AV$5&gt;$E69,AV$5&lt;=$F69),IF(AV$5=$E69+1,$C69,""),"")</f>
        <v/>
      </c>
      <c r="AW69" s="34">
        <f>IF(AND(AW$5&gt;$E69,AW$5&lt;=$F69),IF(AW$5=$E69+1,$C69,""),"")</f>
        <v/>
      </c>
      <c r="AX69" s="34">
        <f>IF(AND(AX$5&gt;$E69,AX$5&lt;=$F69),IF(AX$5=$E69+1,$C69,""),"")</f>
        <v/>
      </c>
      <c r="AY69" s="34">
        <f>IF(AND(AY$5&gt;$E69,AY$5&lt;=$F69),IF(AY$5=$E69+1,$C69,""),"")</f>
        <v/>
      </c>
      <c r="AZ69" s="34">
        <f>IF(AND(AZ$5&gt;$E69,AZ$5&lt;=$F69),IF(AZ$5=$E69+1,$C69,""),"")</f>
        <v/>
      </c>
      <c r="BA69" s="34">
        <f>IF(AND(BA$5&gt;$E69,BA$5&lt;=$F69),IF(BA$5=$E69+1,$C69,""),"")</f>
        <v/>
      </c>
      <c r="BB69" s="34">
        <f>IF(AND(BB$5&gt;$E69,BB$5&lt;=$F69),IF(BB$5=$E69+1,$C69,""),"")</f>
        <v/>
      </c>
      <c r="BC69" s="34">
        <f>IF(AND(BC$5&gt;$E69,BC$5&lt;=$F69),IF(BC$5=$E69+1,$C69,""),"")</f>
        <v/>
      </c>
      <c r="BD69" s="34">
        <f>IF(AND(BD$5&gt;$E69,BD$5&lt;=$F69),IF(BD$5=$E69+1,$C69,""),"")</f>
        <v/>
      </c>
      <c r="BE69" s="34">
        <f>IF(AND(BE$5&gt;$E69,BE$5&lt;=$F69),IF(BE$5=$E69+1,$C69,""),"")</f>
        <v/>
      </c>
      <c r="BF69" s="34">
        <f>IF(AND(BF$5&gt;$E69,BF$5&lt;=$F69),IF(BF$5=$E69+1,$C69,""),"")</f>
        <v/>
      </c>
      <c r="BG69" s="34">
        <f>IF(AND(BG$5&gt;$E69,BG$5&lt;=$F69),IF(BG$5=$E69+1,$C69,""),"")</f>
        <v/>
      </c>
      <c r="BH69" s="34">
        <f>IF(AND(BH$5&gt;$E69,BH$5&lt;=$F69),IF(BH$5=$E69+1,$C69,""),"")</f>
        <v/>
      </c>
      <c r="BI69" s="34">
        <f>IF(AND(BI$5&gt;$E69,BI$5&lt;=$F69),IF(BI$5=$E69+1,$C69,""),"")</f>
        <v/>
      </c>
      <c r="BJ69" s="34">
        <f>IF(AND(BJ$5&gt;$E69,BJ$5&lt;=$F69),IF(BJ$5=$E69+1,$C69,""),"")</f>
        <v/>
      </c>
      <c r="BK69" s="34">
        <f>IF(AND(BK$5&gt;$E69,BK$5&lt;=$F69),IF(BK$5=$E69+1,$C69,""),"")</f>
        <v/>
      </c>
      <c r="BL69" s="34">
        <f>IF(AND(BL$5&gt;$E69,BL$5&lt;=$F69),IF(BL$5=$E69+1,$C69,""),"")</f>
        <v/>
      </c>
      <c r="BM69" s="34">
        <f>IF(AND(BM$5&gt;$E69,BM$5&lt;=$F69),IF(BM$5=$E69+1,$C69,""),"")</f>
        <v/>
      </c>
      <c r="BN69" s="34">
        <f>IF(AND(BN$5&gt;$E69,BN$5&lt;=$F69),IF(BN$5=$E69+1,$C69,""),"")</f>
        <v/>
      </c>
      <c r="BO69" s="34">
        <f>IF(AND(BO$5&gt;$E69,BO$5&lt;=$F69),IF(BO$5=$E69+1,$C69,""),"")</f>
        <v/>
      </c>
      <c r="BP69" s="34">
        <f>IF(AND(BP$5&gt;$E69,BP$5&lt;=$F69),IF(BP$5=$E69+1,$C69,""),"")</f>
        <v/>
      </c>
      <c r="BQ69" s="34">
        <f>IF(AND(BQ$5&gt;$E69,BQ$5&lt;=$F69),IF(BQ$5=$E69+1,$C69,""),"")</f>
        <v/>
      </c>
      <c r="BR69" s="34">
        <f>IF(AND(BR$5&gt;$E69,BR$5&lt;=$F69),IF(BR$5=$E69+1,$C69,""),"")</f>
        <v/>
      </c>
      <c r="BS69" s="34">
        <f>IF(AND(BS$5&gt;$E69,BS$5&lt;=$F69),IF(BS$5=$E69+1,$C69,""),"")</f>
        <v/>
      </c>
      <c r="BT69" s="34">
        <f>IF(AND(BT$5&gt;$E69,BT$5&lt;=$F69),IF(BT$5=$E69+1,$C69,""),"")</f>
        <v/>
      </c>
      <c r="BU69" s="34">
        <f>IF(AND(BU$5&gt;$E69,BU$5&lt;=$F69),IF(BU$5=$E69+1,$C69,""),"")</f>
        <v/>
      </c>
      <c r="BV69" s="34">
        <f>IF(AND(BV$5&gt;$E69,BV$5&lt;=$F69),IF(BV$5=$E69+1,$C69,""),"")</f>
        <v/>
      </c>
      <c r="BW69" s="34">
        <f>IF(AND(BW$5&gt;$E69,BW$5&lt;=$F69),IF(BW$5=$E69+1,$C69,""),"")</f>
        <v/>
      </c>
      <c r="BX69" s="34">
        <f>IF(AND(BX$5&gt;$E69,BX$5&lt;=$F69),IF(BX$5=$E69+1,$C69,""),"")</f>
        <v/>
      </c>
      <c r="BY69" s="34">
        <f>IF(AND(BY$5&gt;$E69,BY$5&lt;=$F69),IF(BY$5=$E69+1,$C69,""),"")</f>
        <v/>
      </c>
      <c r="BZ69" s="34">
        <f>IF(AND(BZ$5&gt;$E69,BZ$5&lt;=$F69),IF(BZ$5=$E69+1,$C69,""),"")</f>
        <v/>
      </c>
      <c r="CA69" s="34">
        <f>IF(AND(CA$5&gt;$E69,CA$5&lt;=$F69),IF(CA$5=$E69+1,$C69,""),"")</f>
        <v/>
      </c>
      <c r="CB69" s="34">
        <f>IF(AND(CB$5&gt;$E69,CB$5&lt;=$F69),IF(CB$5=$E69+1,$C69,""),"")</f>
        <v/>
      </c>
      <c r="CC69" s="34">
        <f>IF(AND(CC$5&gt;$E69,CC$5&lt;=$F69),IF(CC$5=$E69+1,$C69,""),"")</f>
        <v/>
      </c>
      <c r="CD69" s="34">
        <f>IF(AND(CD$5&gt;$E69,CD$5&lt;=$F69),IF(CD$5=$E69+1,$C69,""),"")</f>
        <v/>
      </c>
      <c r="CE69" s="34">
        <f>IF(AND(CE$5&gt;$E69,CE$5&lt;=$F69),IF(CE$5=$E69+1,$C69,""),"")</f>
        <v/>
      </c>
      <c r="CF69" s="34">
        <f>IF(AND(CF$5&gt;$E69,CF$5&lt;=$F69),IF(CF$5=$E69+1,$C69,""),"")</f>
        <v/>
      </c>
      <c r="CG69" s="34">
        <f>IF(AND(CG$5&gt;$E69,CG$5&lt;=$F69),IF(CG$5=$E69+1,$C69,""),"")</f>
        <v/>
      </c>
      <c r="CH69" s="34">
        <f>IF(AND(CH$5&gt;$E69,CH$5&lt;=$F69),IF(CH$5=$E69+1,$C69,""),"")</f>
        <v/>
      </c>
      <c r="CI69" s="34">
        <f>IF(AND(CI$5&gt;$E69,CI$5&lt;=$F69),IF(CI$5=$E69+1,$C69,""),"")</f>
        <v/>
      </c>
      <c r="CJ69" s="34">
        <f>IF(AND(CJ$5&gt;$E69,CJ$5&lt;=$F69),IF(CJ$5=$E69+1,$C69,""),"")</f>
        <v/>
      </c>
      <c r="CK69" s="34">
        <f>IF(AND(CK$5&gt;$E69,CK$5&lt;=$F69),IF(CK$5=$E69+1,$C69,""),"")</f>
        <v/>
      </c>
      <c r="CL69" s="34">
        <f>IF(AND(CL$5&gt;$E69,CL$5&lt;=$F69),IF(CL$5=$E69+1,$C69,""),"")</f>
        <v/>
      </c>
      <c r="CM69" s="34">
        <f>IF(AND(CM$5&gt;$E69,CM$5&lt;=$F69),IF(CM$5=$E69+1,$C69,""),"")</f>
        <v/>
      </c>
      <c r="CN69" s="34">
        <f>IF(AND(CN$5&gt;$E69,CN$5&lt;=$F69),IF(CN$5=$E69+1,$C69,""),"")</f>
        <v/>
      </c>
      <c r="CO69" s="34">
        <f>IF(AND(CO$5&gt;$E69,CO$5&lt;=$F69),IF(CO$5=$E69+1,$C69,""),"")</f>
        <v/>
      </c>
      <c r="CP69" s="34">
        <f>IF(AND(CP$5&gt;$E69,CP$5&lt;=$F69),IF(CP$5=$E69+1,$C69,""),"")</f>
        <v/>
      </c>
      <c r="CQ69" s="34">
        <f>IF(AND(CQ$5&gt;$E69,CQ$5&lt;=$F69),IF(CQ$5=$E69+1,$C69,""),"")</f>
        <v/>
      </c>
      <c r="CR69" s="34">
        <f>IF(AND(CR$5&gt;$E69,CR$5&lt;=$F69),IF(CR$5=$E69+1,$C69,""),"")</f>
        <v/>
      </c>
      <c r="CS69" s="34">
        <f>IF(AND(CS$5&gt;$E69,CS$5&lt;=$F69),IF(CS$5=$E69+1,$C69,""),"")</f>
        <v/>
      </c>
      <c r="CT69" s="34">
        <f>IF(AND(CT$5&gt;$E69,CT$5&lt;=$F69),IF(CT$5=$E69+1,$C69,""),"")</f>
        <v/>
      </c>
      <c r="CU69" s="34">
        <f>IF(AND(CU$5&gt;$E69,CU$5&lt;=$F69),IF(CU$5=$E69+1,$C69,""),"")</f>
        <v/>
      </c>
      <c r="CV69" s="34">
        <f>IF(AND(CV$5&gt;$E69,CV$5&lt;=$F69),IF(CV$5=$E69+1,$C69,""),"")</f>
        <v/>
      </c>
      <c r="CW69" s="34">
        <f>IF(AND(CW$5&gt;$E69,CW$5&lt;=$F69),IF(CW$5=$E69+1,$C69,""),"")</f>
        <v/>
      </c>
      <c r="CX69" s="34">
        <f>IF(AND(CX$5&gt;$E69,CX$5&lt;=$F69),IF(CX$5=$E69+1,$C69,""),"")</f>
        <v/>
      </c>
      <c r="CY69" s="34">
        <f>IF(AND(CY$5&gt;$E69,CY$5&lt;=$F69),IF(CY$5=$E69+1,$C69,""),"")</f>
        <v/>
      </c>
      <c r="CZ69" s="34">
        <f>IF(AND(CZ$5&gt;$E69,CZ$5&lt;=$F69),IF(CZ$5=$E69+1,$C69,""),"")</f>
        <v/>
      </c>
      <c r="DA69" s="34">
        <f>IF(AND(DA$5&gt;$E69,DA$5&lt;=$F69),IF(DA$5=$E69+1,$C69,""),"")</f>
        <v/>
      </c>
      <c r="DB69" s="34">
        <f>IF(AND(DB$5&gt;$E69,DB$5&lt;=$F69),IF(DB$5=$E69+1,$C69,""),"")</f>
        <v/>
      </c>
      <c r="DC69" s="34">
        <f>IF(AND(DC$5&gt;$E69,DC$5&lt;=$F69),IF(DC$5=$E69+1,$C69,""),"")</f>
        <v/>
      </c>
      <c r="DD69" s="34">
        <f>IF(AND(DD$5&gt;$E69,DD$5&lt;=$F69),IF(DD$5=$E69+1,$C69,""),"")</f>
        <v/>
      </c>
      <c r="DE69" s="34">
        <f>IF(AND(DE$5&gt;$E69,DE$5&lt;=$F69),IF(DE$5=$E69+1,$C69,""),"")</f>
        <v/>
      </c>
      <c r="DF69" s="34">
        <f>IF(AND(DF$5&gt;$E69,DF$5&lt;=$F69),IF(DF$5=$E69+1,$C69,""),"")</f>
        <v/>
      </c>
      <c r="DG69" s="34">
        <f>IF(AND(DG$5&gt;$E69,DG$5&lt;=$F69),IF(DG$5=$E69+1,$C69,""),"")</f>
        <v/>
      </c>
      <c r="DH69" s="34">
        <f>IF(AND(DH$5&gt;$E69,DH$5&lt;=$F69),IF(DH$5=$E69+1,$C69,""),"")</f>
        <v/>
      </c>
      <c r="DI69" s="34">
        <f>IF(AND(DI$5&gt;$E69,DI$5&lt;=$F69),IF(DI$5=$E69+1,$C69,""),"")</f>
        <v/>
      </c>
      <c r="DJ69" s="34">
        <f>IF(AND(DJ$5&gt;$E69,DJ$5&lt;=$F69),IF(DJ$5=$E69+1,$C69,""),"")</f>
        <v/>
      </c>
      <c r="DK69" s="34">
        <f>IF(AND(DK$5&gt;$E69,DK$5&lt;=$F69),IF(DK$5=$E69+1,$C69,""),"")</f>
        <v/>
      </c>
      <c r="DL69" s="34">
        <f>IF(AND(DL$5&gt;$E69,DL$5&lt;=$F69),IF(DL$5=$E69+1,$C69,""),"")</f>
        <v/>
      </c>
      <c r="DM69" s="34">
        <f>IF(AND(DM$5&gt;$E69,DM$5&lt;=$F69),IF(DM$5=$E69+1,$C69,""),"")</f>
        <v/>
      </c>
      <c r="DN69" s="34">
        <f>IF(AND(DN$5&gt;$E69,DN$5&lt;=$F69),IF(DN$5=$E69+1,$C69,""),"")</f>
        <v/>
      </c>
      <c r="DO69" s="34">
        <f>IF(AND(DO$5&gt;$E69,DO$5&lt;=$F69),IF(DO$5=$E69+1,$C69,""),"")</f>
        <v/>
      </c>
      <c r="DP69" s="34">
        <f>IF(AND(DP$5&gt;$E69,DP$5&lt;=$F69),IF(DP$5=$E69+1,$C69,""),"")</f>
        <v/>
      </c>
      <c r="DQ69" s="34">
        <f>IF(AND(DQ$5&gt;$E69,DQ$5&lt;=$F69),IF(DQ$5=$E69+1,$C69,""),"")</f>
        <v/>
      </c>
      <c r="DR69" s="34">
        <f>IF(AND(DR$5&gt;$E69,DR$5&lt;=$F69),IF(DR$5=$E69+1,$C69,""),"")</f>
        <v/>
      </c>
      <c r="DS69" s="34">
        <f>IF(AND(DS$5&gt;$E69,DS$5&lt;=$F69),IF(DS$5=$E69+1,$C69,""),"")</f>
        <v/>
      </c>
      <c r="DT69" s="34">
        <f>IF(AND(DT$5&gt;$E69,DT$5&lt;=$F69),IF(DT$5=$E69+1,$C69,""),"")</f>
        <v/>
      </c>
      <c r="DU69" s="34">
        <f>IF(AND(DU$5&gt;$E69,DU$5&lt;=$F69),IF(DU$5=$E69+1,$C69,""),"")</f>
        <v/>
      </c>
      <c r="DV69" s="34">
        <f>IF(AND(DV$5&gt;$E69,DV$5&lt;=$F69),IF(DV$5=$E69+1,$C69,""),"")</f>
        <v/>
      </c>
      <c r="DW69" s="34">
        <f>IF(AND(DW$5&gt;$E69,DW$5&lt;=$F69),IF(DW$5=$E69+1,$C69,""),"")</f>
        <v/>
      </c>
      <c r="DX69" s="34">
        <f>IF(AND(DX$5&gt;$E69,DX$5&lt;=$F69),IF(DX$5=$E69+1,$C69,""),"")</f>
        <v/>
      </c>
      <c r="DY69" s="34">
        <f>IF(AND(DY$5&gt;$E69,DY$5&lt;=$F69),IF(DY$5=$E69+1,$C69,""),"")</f>
        <v/>
      </c>
      <c r="DZ69" s="34">
        <f>IF(AND(DZ$5&gt;$E69,DZ$5&lt;=$F69),IF(DZ$5=$E69+1,$C69,""),"")</f>
        <v/>
      </c>
      <c r="EA69" s="34">
        <f>IF(AND(EA$5&gt;$E69,EA$5&lt;=$F69),IF(EA$5=$E69+1,$C69,""),"")</f>
        <v/>
      </c>
      <c r="EB69" s="34">
        <f>IF(AND(EB$5&gt;$E69,EB$5&lt;=$F69),IF(EB$5=$E69+1,$C69,""),"")</f>
        <v/>
      </c>
      <c r="EC69" s="34">
        <f>IF(AND(EC$5&gt;$E69,EC$5&lt;=$F69),IF(EC$5=$E69+1,$C69,""),"")</f>
        <v/>
      </c>
      <c r="ED69" s="34">
        <f>IF(AND(ED$5&gt;$E69,ED$5&lt;=$F69),IF(ED$5=$E69+1,$C69,""),"")</f>
        <v/>
      </c>
      <c r="EE69" s="34">
        <f>IF(AND(EE$5&gt;$E69,EE$5&lt;=$F69),IF(EE$5=$E69+1,$C69,""),"")</f>
        <v/>
      </c>
      <c r="EF69" s="34">
        <f>IF(AND(EF$5&gt;$E69,EF$5&lt;=$F69),IF(EF$5=$E69+1,$C69,""),"")</f>
        <v/>
      </c>
      <c r="EG69" s="34">
        <f>IF(AND(EG$5&gt;$E69,EG$5&lt;=$F69),IF(EG$5=$E69+1,$C69,""),"")</f>
        <v/>
      </c>
      <c r="EH69" s="34">
        <f>IF(AND(EH$5&gt;$E69,EH$5&lt;=$F69),IF(EH$5=$E69+1,$C69,""),"")</f>
        <v/>
      </c>
      <c r="EI69" s="34">
        <f>IF(AND(EI$5&gt;$E69,EI$5&lt;=$F69),IF(EI$5=$E69+1,$C69,""),"")</f>
        <v/>
      </c>
      <c r="EJ69" s="34">
        <f>IF(AND(EJ$5&gt;$E69,EJ$5&lt;=$F69),IF(EJ$5=$E69+1,$C69,""),"")</f>
        <v/>
      </c>
      <c r="EK69" s="34">
        <f>IF(AND(EK$5&gt;$E69,EK$5&lt;=$F69),IF(EK$5=$E69+1,$C69,""),"")</f>
        <v/>
      </c>
      <c r="EL69" s="34">
        <f>IF(AND(EL$5&gt;$E69,EL$5&lt;=$F69),IF(EL$5=$E69+1,$C69,""),"")</f>
        <v/>
      </c>
      <c r="EM69" s="34">
        <f>IF(AND(EM$5&gt;$E69,EM$5&lt;=$F69),IF(EM$5=$E69+1,$C69,""),"")</f>
        <v/>
      </c>
      <c r="EN69" s="34">
        <f>IF(AND(EN$5&gt;$E69,EN$5&lt;=$F69),IF(EN$5=$E69+1,$C69,""),"")</f>
        <v/>
      </c>
      <c r="EO69" s="34">
        <f>IF(AND(EO$5&gt;$E69,EO$5&lt;=$F69),IF(EO$5=$E69+1,$C69,""),"")</f>
        <v/>
      </c>
      <c r="EP69" s="34">
        <f>IF(AND(EP$5&gt;$E69,EP$5&lt;=$F69),IF(EP$5=$E69+1,$C69,""),"")</f>
        <v/>
      </c>
      <c r="EQ69" s="34">
        <f>IF(AND(EQ$5&gt;$E69,EQ$5&lt;=$F69),IF(EQ$5=$E69+1,$C69,""),"")</f>
        <v/>
      </c>
      <c r="ER69" s="34">
        <f>IF(AND(ER$5&gt;$E69,ER$5&lt;=$F69),IF(ER$5=$E69+1,$C69,""),"")</f>
        <v/>
      </c>
      <c r="ES69" s="34">
        <f>IF(AND(ES$5&gt;$E69,ES$5&lt;=$F69),IF(ES$5=$E69+1,$C69,""),"")</f>
        <v/>
      </c>
      <c r="ET69" s="34">
        <f>IF(AND(ET$5&gt;$E69,ET$5&lt;=$F69),IF(ET$5=$E69+1,$C69,""),"")</f>
        <v/>
      </c>
      <c r="EU69" s="34">
        <f>IF(AND(EU$5&gt;$E69,EU$5&lt;=$F69),IF(EU$5=$E69+1,$C69,""),"")</f>
        <v/>
      </c>
      <c r="EV69" s="34">
        <f>IF(AND(EV$5&gt;$E69,EV$5&lt;=$F69),IF(EV$5=$E69+1,$C69,""),"")</f>
        <v/>
      </c>
      <c r="EW69" s="34">
        <f>IF(AND(EW$5&gt;$E69,EW$5&lt;=$F69),IF(EW$5=$E69+1,$C69,""),"")</f>
        <v/>
      </c>
      <c r="EX69" s="34">
        <f>IF(AND(EX$5&gt;$E69,EX$5&lt;=$F69),IF(EX$5=$E69+1,$C69,""),"")</f>
        <v/>
      </c>
      <c r="EY69" s="34">
        <f>IF(AND(EY$5&gt;$E69,EY$5&lt;=$F69),IF(EY$5=$E69+1,$C69,""),"")</f>
        <v/>
      </c>
      <c r="EZ69" s="34">
        <f>IF(AND(EZ$5&gt;$E69,EZ$5&lt;=$F69),IF(EZ$5=$E69+1,$C69,""),"")</f>
        <v/>
      </c>
      <c r="FA69" s="34">
        <f>IF(AND(FA$5&gt;$E69,FA$5&lt;=$F69),IF(FA$5=$E69+1,$C69,""),"")</f>
        <v/>
      </c>
    </row>
    <row r="70">
      <c r="A70" s="32">
        <f>Plan!A118</f>
        <v/>
      </c>
      <c r="B70" s="33">
        <f>Plan!C118</f>
        <v/>
      </c>
      <c r="C70" s="16">
        <f>Plan!D118</f>
        <v/>
      </c>
      <c r="D70" s="16">
        <f>Plan!I118</f>
        <v/>
      </c>
      <c r="E70" s="16">
        <f>Plan!K118</f>
        <v/>
      </c>
      <c r="F70" s="16">
        <f>Plan!L118</f>
        <v/>
      </c>
      <c r="G70" s="16">
        <f>Plan!O118</f>
        <v/>
      </c>
      <c r="H70" s="34">
        <f>IF(AND(H$5&gt;$E70,H$5&lt;=$F70),IF(H$5=$E70+1,$C70,""),"")</f>
        <v/>
      </c>
      <c r="I70" s="34">
        <f>IF(AND(I$5&gt;$E70,I$5&lt;=$F70),IF(I$5=$E70+1,$C70,""),"")</f>
        <v/>
      </c>
      <c r="J70" s="34">
        <f>IF(AND(J$5&gt;$E70,J$5&lt;=$F70),IF(J$5=$E70+1,$C70,""),"")</f>
        <v/>
      </c>
      <c r="K70" s="34">
        <f>IF(AND(K$5&gt;$E70,K$5&lt;=$F70),IF(K$5=$E70+1,$C70,""),"")</f>
        <v/>
      </c>
      <c r="L70" s="34">
        <f>IF(AND(L$5&gt;$E70,L$5&lt;=$F70),IF(L$5=$E70+1,$C70,""),"")</f>
        <v/>
      </c>
      <c r="M70" s="34">
        <f>IF(AND(M$5&gt;$E70,M$5&lt;=$F70),IF(M$5=$E70+1,$C70,""),"")</f>
        <v/>
      </c>
      <c r="N70" s="34">
        <f>IF(AND(N$5&gt;$E70,N$5&lt;=$F70),IF(N$5=$E70+1,$C70,""),"")</f>
        <v/>
      </c>
      <c r="O70" s="34">
        <f>IF(AND(O$5&gt;$E70,O$5&lt;=$F70),IF(O$5=$E70+1,$C70,""),"")</f>
        <v/>
      </c>
      <c r="P70" s="34">
        <f>IF(AND(P$5&gt;$E70,P$5&lt;=$F70),IF(P$5=$E70+1,$C70,""),"")</f>
        <v/>
      </c>
      <c r="Q70" s="34">
        <f>IF(AND(Q$5&gt;$E70,Q$5&lt;=$F70),IF(Q$5=$E70+1,$C70,""),"")</f>
        <v/>
      </c>
      <c r="R70" s="34">
        <f>IF(AND(R$5&gt;$E70,R$5&lt;=$F70),IF(R$5=$E70+1,$C70,""),"")</f>
        <v/>
      </c>
      <c r="S70" s="34">
        <f>IF(AND(S$5&gt;$E70,S$5&lt;=$F70),IF(S$5=$E70+1,$C70,""),"")</f>
        <v/>
      </c>
      <c r="T70" s="34">
        <f>IF(AND(T$5&gt;$E70,T$5&lt;=$F70),IF(T$5=$E70+1,$C70,""),"")</f>
        <v/>
      </c>
      <c r="U70" s="34">
        <f>IF(AND(U$5&gt;$E70,U$5&lt;=$F70),IF(U$5=$E70+1,$C70,""),"")</f>
        <v/>
      </c>
      <c r="V70" s="34">
        <f>IF(AND(V$5&gt;$E70,V$5&lt;=$F70),IF(V$5=$E70+1,$C70,""),"")</f>
        <v/>
      </c>
      <c r="W70" s="34">
        <f>IF(AND(W$5&gt;$E70,W$5&lt;=$F70),IF(W$5=$E70+1,$C70,""),"")</f>
        <v/>
      </c>
      <c r="X70" s="34">
        <f>IF(AND(X$5&gt;$E70,X$5&lt;=$F70),IF(X$5=$E70+1,$C70,""),"")</f>
        <v/>
      </c>
      <c r="Y70" s="34">
        <f>IF(AND(Y$5&gt;$E70,Y$5&lt;=$F70),IF(Y$5=$E70+1,$C70,""),"")</f>
        <v/>
      </c>
      <c r="Z70" s="34">
        <f>IF(AND(Z$5&gt;$E70,Z$5&lt;=$F70),IF(Z$5=$E70+1,$C70,""),"")</f>
        <v/>
      </c>
      <c r="AA70" s="34">
        <f>IF(AND(AA$5&gt;$E70,AA$5&lt;=$F70),IF(AA$5=$E70+1,$C70,""),"")</f>
        <v/>
      </c>
      <c r="AB70" s="34">
        <f>IF(AND(AB$5&gt;$E70,AB$5&lt;=$F70),IF(AB$5=$E70+1,$C70,""),"")</f>
        <v/>
      </c>
      <c r="AC70" s="34">
        <f>IF(AND(AC$5&gt;$E70,AC$5&lt;=$F70),IF(AC$5=$E70+1,$C70,""),"")</f>
        <v/>
      </c>
      <c r="AD70" s="34">
        <f>IF(AND(AD$5&gt;$E70,AD$5&lt;=$F70),IF(AD$5=$E70+1,$C70,""),"")</f>
        <v/>
      </c>
      <c r="AE70" s="34">
        <f>IF(AND(AE$5&gt;$E70,AE$5&lt;=$F70),IF(AE$5=$E70+1,$C70,""),"")</f>
        <v/>
      </c>
      <c r="AF70" s="34">
        <f>IF(AND(AF$5&gt;$E70,AF$5&lt;=$F70),IF(AF$5=$E70+1,$C70,""),"")</f>
        <v/>
      </c>
      <c r="AG70" s="34">
        <f>IF(AND(AG$5&gt;$E70,AG$5&lt;=$F70),IF(AG$5=$E70+1,$C70,""),"")</f>
        <v/>
      </c>
      <c r="AH70" s="34">
        <f>IF(AND(AH$5&gt;$E70,AH$5&lt;=$F70),IF(AH$5=$E70+1,$C70,""),"")</f>
        <v/>
      </c>
      <c r="AI70" s="34">
        <f>IF(AND(AI$5&gt;$E70,AI$5&lt;=$F70),IF(AI$5=$E70+1,$C70,""),"")</f>
        <v/>
      </c>
      <c r="AJ70" s="34">
        <f>IF(AND(AJ$5&gt;$E70,AJ$5&lt;=$F70),IF(AJ$5=$E70+1,$C70,""),"")</f>
        <v/>
      </c>
      <c r="AK70" s="34">
        <f>IF(AND(AK$5&gt;$E70,AK$5&lt;=$F70),IF(AK$5=$E70+1,$C70,""),"")</f>
        <v/>
      </c>
      <c r="AL70" s="34">
        <f>IF(AND(AL$5&gt;$E70,AL$5&lt;=$F70),IF(AL$5=$E70+1,$C70,""),"")</f>
        <v/>
      </c>
      <c r="AM70" s="34">
        <f>IF(AND(AM$5&gt;$E70,AM$5&lt;=$F70),IF(AM$5=$E70+1,$C70,""),"")</f>
        <v/>
      </c>
      <c r="AN70" s="34">
        <f>IF(AND(AN$5&gt;$E70,AN$5&lt;=$F70),IF(AN$5=$E70+1,$C70,""),"")</f>
        <v/>
      </c>
      <c r="AO70" s="34">
        <f>IF(AND(AO$5&gt;$E70,AO$5&lt;=$F70),IF(AO$5=$E70+1,$C70,""),"")</f>
        <v/>
      </c>
      <c r="AP70" s="34">
        <f>IF(AND(AP$5&gt;$E70,AP$5&lt;=$F70),IF(AP$5=$E70+1,$C70,""),"")</f>
        <v/>
      </c>
      <c r="AQ70" s="34">
        <f>IF(AND(AQ$5&gt;$E70,AQ$5&lt;=$F70),IF(AQ$5=$E70+1,$C70,""),"")</f>
        <v/>
      </c>
      <c r="AR70" s="34">
        <f>IF(AND(AR$5&gt;$E70,AR$5&lt;=$F70),IF(AR$5=$E70+1,$C70,""),"")</f>
        <v/>
      </c>
      <c r="AS70" s="34">
        <f>IF(AND(AS$5&gt;$E70,AS$5&lt;=$F70),IF(AS$5=$E70+1,$C70,""),"")</f>
        <v/>
      </c>
      <c r="AT70" s="34">
        <f>IF(AND(AT$5&gt;$E70,AT$5&lt;=$F70),IF(AT$5=$E70+1,$C70,""),"")</f>
        <v/>
      </c>
      <c r="AU70" s="34">
        <f>IF(AND(AU$5&gt;$E70,AU$5&lt;=$F70),IF(AU$5=$E70+1,$C70,""),"")</f>
        <v/>
      </c>
      <c r="AV70" s="34">
        <f>IF(AND(AV$5&gt;$E70,AV$5&lt;=$F70),IF(AV$5=$E70+1,$C70,""),"")</f>
        <v/>
      </c>
      <c r="AW70" s="34">
        <f>IF(AND(AW$5&gt;$E70,AW$5&lt;=$F70),IF(AW$5=$E70+1,$C70,""),"")</f>
        <v/>
      </c>
      <c r="AX70" s="34">
        <f>IF(AND(AX$5&gt;$E70,AX$5&lt;=$F70),IF(AX$5=$E70+1,$C70,""),"")</f>
        <v/>
      </c>
      <c r="AY70" s="34">
        <f>IF(AND(AY$5&gt;$E70,AY$5&lt;=$F70),IF(AY$5=$E70+1,$C70,""),"")</f>
        <v/>
      </c>
      <c r="AZ70" s="34">
        <f>IF(AND(AZ$5&gt;$E70,AZ$5&lt;=$F70),IF(AZ$5=$E70+1,$C70,""),"")</f>
        <v/>
      </c>
      <c r="BA70" s="34">
        <f>IF(AND(BA$5&gt;$E70,BA$5&lt;=$F70),IF(BA$5=$E70+1,$C70,""),"")</f>
        <v/>
      </c>
      <c r="BB70" s="34">
        <f>IF(AND(BB$5&gt;$E70,BB$5&lt;=$F70),IF(BB$5=$E70+1,$C70,""),"")</f>
        <v/>
      </c>
      <c r="BC70" s="34">
        <f>IF(AND(BC$5&gt;$E70,BC$5&lt;=$F70),IF(BC$5=$E70+1,$C70,""),"")</f>
        <v/>
      </c>
      <c r="BD70" s="34">
        <f>IF(AND(BD$5&gt;$E70,BD$5&lt;=$F70),IF(BD$5=$E70+1,$C70,""),"")</f>
        <v/>
      </c>
      <c r="BE70" s="34">
        <f>IF(AND(BE$5&gt;$E70,BE$5&lt;=$F70),IF(BE$5=$E70+1,$C70,""),"")</f>
        <v/>
      </c>
      <c r="BF70" s="34">
        <f>IF(AND(BF$5&gt;$E70,BF$5&lt;=$F70),IF(BF$5=$E70+1,$C70,""),"")</f>
        <v/>
      </c>
      <c r="BG70" s="34">
        <f>IF(AND(BG$5&gt;$E70,BG$5&lt;=$F70),IF(BG$5=$E70+1,$C70,""),"")</f>
        <v/>
      </c>
      <c r="BH70" s="34">
        <f>IF(AND(BH$5&gt;$E70,BH$5&lt;=$F70),IF(BH$5=$E70+1,$C70,""),"")</f>
        <v/>
      </c>
      <c r="BI70" s="34">
        <f>IF(AND(BI$5&gt;$E70,BI$5&lt;=$F70),IF(BI$5=$E70+1,$C70,""),"")</f>
        <v/>
      </c>
      <c r="BJ70" s="34">
        <f>IF(AND(BJ$5&gt;$E70,BJ$5&lt;=$F70),IF(BJ$5=$E70+1,$C70,""),"")</f>
        <v/>
      </c>
      <c r="BK70" s="34">
        <f>IF(AND(BK$5&gt;$E70,BK$5&lt;=$F70),IF(BK$5=$E70+1,$C70,""),"")</f>
        <v/>
      </c>
      <c r="BL70" s="34">
        <f>IF(AND(BL$5&gt;$E70,BL$5&lt;=$F70),IF(BL$5=$E70+1,$C70,""),"")</f>
        <v/>
      </c>
      <c r="BM70" s="34">
        <f>IF(AND(BM$5&gt;$E70,BM$5&lt;=$F70),IF(BM$5=$E70+1,$C70,""),"")</f>
        <v/>
      </c>
      <c r="BN70" s="34">
        <f>IF(AND(BN$5&gt;$E70,BN$5&lt;=$F70),IF(BN$5=$E70+1,$C70,""),"")</f>
        <v/>
      </c>
      <c r="BO70" s="34">
        <f>IF(AND(BO$5&gt;$E70,BO$5&lt;=$F70),IF(BO$5=$E70+1,$C70,""),"")</f>
        <v/>
      </c>
      <c r="BP70" s="34">
        <f>IF(AND(BP$5&gt;$E70,BP$5&lt;=$F70),IF(BP$5=$E70+1,$C70,""),"")</f>
        <v/>
      </c>
      <c r="BQ70" s="34">
        <f>IF(AND(BQ$5&gt;$E70,BQ$5&lt;=$F70),IF(BQ$5=$E70+1,$C70,""),"")</f>
        <v/>
      </c>
      <c r="BR70" s="34">
        <f>IF(AND(BR$5&gt;$E70,BR$5&lt;=$F70),IF(BR$5=$E70+1,$C70,""),"")</f>
        <v/>
      </c>
      <c r="BS70" s="34">
        <f>IF(AND(BS$5&gt;$E70,BS$5&lt;=$F70),IF(BS$5=$E70+1,$C70,""),"")</f>
        <v/>
      </c>
      <c r="BT70" s="34">
        <f>IF(AND(BT$5&gt;$E70,BT$5&lt;=$F70),IF(BT$5=$E70+1,$C70,""),"")</f>
        <v/>
      </c>
      <c r="BU70" s="34">
        <f>IF(AND(BU$5&gt;$E70,BU$5&lt;=$F70),IF(BU$5=$E70+1,$C70,""),"")</f>
        <v/>
      </c>
      <c r="BV70" s="34">
        <f>IF(AND(BV$5&gt;$E70,BV$5&lt;=$F70),IF(BV$5=$E70+1,$C70,""),"")</f>
        <v/>
      </c>
      <c r="BW70" s="34">
        <f>IF(AND(BW$5&gt;$E70,BW$5&lt;=$F70),IF(BW$5=$E70+1,$C70,""),"")</f>
        <v/>
      </c>
      <c r="BX70" s="34">
        <f>IF(AND(BX$5&gt;$E70,BX$5&lt;=$F70),IF(BX$5=$E70+1,$C70,""),"")</f>
        <v/>
      </c>
      <c r="BY70" s="34">
        <f>IF(AND(BY$5&gt;$E70,BY$5&lt;=$F70),IF(BY$5=$E70+1,$C70,""),"")</f>
        <v/>
      </c>
      <c r="BZ70" s="34">
        <f>IF(AND(BZ$5&gt;$E70,BZ$5&lt;=$F70),IF(BZ$5=$E70+1,$C70,""),"")</f>
        <v/>
      </c>
      <c r="CA70" s="34">
        <f>IF(AND(CA$5&gt;$E70,CA$5&lt;=$F70),IF(CA$5=$E70+1,$C70,""),"")</f>
        <v/>
      </c>
      <c r="CB70" s="34">
        <f>IF(AND(CB$5&gt;$E70,CB$5&lt;=$F70),IF(CB$5=$E70+1,$C70,""),"")</f>
        <v/>
      </c>
      <c r="CC70" s="34">
        <f>IF(AND(CC$5&gt;$E70,CC$5&lt;=$F70),IF(CC$5=$E70+1,$C70,""),"")</f>
        <v/>
      </c>
      <c r="CD70" s="34">
        <f>IF(AND(CD$5&gt;$E70,CD$5&lt;=$F70),IF(CD$5=$E70+1,$C70,""),"")</f>
        <v/>
      </c>
      <c r="CE70" s="34">
        <f>IF(AND(CE$5&gt;$E70,CE$5&lt;=$F70),IF(CE$5=$E70+1,$C70,""),"")</f>
        <v/>
      </c>
      <c r="CF70" s="34">
        <f>IF(AND(CF$5&gt;$E70,CF$5&lt;=$F70),IF(CF$5=$E70+1,$C70,""),"")</f>
        <v/>
      </c>
      <c r="CG70" s="34">
        <f>IF(AND(CG$5&gt;$E70,CG$5&lt;=$F70),IF(CG$5=$E70+1,$C70,""),"")</f>
        <v/>
      </c>
      <c r="CH70" s="34">
        <f>IF(AND(CH$5&gt;$E70,CH$5&lt;=$F70),IF(CH$5=$E70+1,$C70,""),"")</f>
        <v/>
      </c>
      <c r="CI70" s="34">
        <f>IF(AND(CI$5&gt;$E70,CI$5&lt;=$F70),IF(CI$5=$E70+1,$C70,""),"")</f>
        <v/>
      </c>
      <c r="CJ70" s="34">
        <f>IF(AND(CJ$5&gt;$E70,CJ$5&lt;=$F70),IF(CJ$5=$E70+1,$C70,""),"")</f>
        <v/>
      </c>
      <c r="CK70" s="34">
        <f>IF(AND(CK$5&gt;$E70,CK$5&lt;=$F70),IF(CK$5=$E70+1,$C70,""),"")</f>
        <v/>
      </c>
      <c r="CL70" s="34">
        <f>IF(AND(CL$5&gt;$E70,CL$5&lt;=$F70),IF(CL$5=$E70+1,$C70,""),"")</f>
        <v/>
      </c>
      <c r="CM70" s="34">
        <f>IF(AND(CM$5&gt;$E70,CM$5&lt;=$F70),IF(CM$5=$E70+1,$C70,""),"")</f>
        <v/>
      </c>
      <c r="CN70" s="34">
        <f>IF(AND(CN$5&gt;$E70,CN$5&lt;=$F70),IF(CN$5=$E70+1,$C70,""),"")</f>
        <v/>
      </c>
      <c r="CO70" s="34">
        <f>IF(AND(CO$5&gt;$E70,CO$5&lt;=$F70),IF(CO$5=$E70+1,$C70,""),"")</f>
        <v/>
      </c>
      <c r="CP70" s="34">
        <f>IF(AND(CP$5&gt;$E70,CP$5&lt;=$F70),IF(CP$5=$E70+1,$C70,""),"")</f>
        <v/>
      </c>
      <c r="CQ70" s="34">
        <f>IF(AND(CQ$5&gt;$E70,CQ$5&lt;=$F70),IF(CQ$5=$E70+1,$C70,""),"")</f>
        <v/>
      </c>
      <c r="CR70" s="34">
        <f>IF(AND(CR$5&gt;$E70,CR$5&lt;=$F70),IF(CR$5=$E70+1,$C70,""),"")</f>
        <v/>
      </c>
      <c r="CS70" s="34">
        <f>IF(AND(CS$5&gt;$E70,CS$5&lt;=$F70),IF(CS$5=$E70+1,$C70,""),"")</f>
        <v/>
      </c>
      <c r="CT70" s="34">
        <f>IF(AND(CT$5&gt;$E70,CT$5&lt;=$F70),IF(CT$5=$E70+1,$C70,""),"")</f>
        <v/>
      </c>
      <c r="CU70" s="34">
        <f>IF(AND(CU$5&gt;$E70,CU$5&lt;=$F70),IF(CU$5=$E70+1,$C70,""),"")</f>
        <v/>
      </c>
      <c r="CV70" s="34">
        <f>IF(AND(CV$5&gt;$E70,CV$5&lt;=$F70),IF(CV$5=$E70+1,$C70,""),"")</f>
        <v/>
      </c>
      <c r="CW70" s="34">
        <f>IF(AND(CW$5&gt;$E70,CW$5&lt;=$F70),IF(CW$5=$E70+1,$C70,""),"")</f>
        <v/>
      </c>
      <c r="CX70" s="34">
        <f>IF(AND(CX$5&gt;$E70,CX$5&lt;=$F70),IF(CX$5=$E70+1,$C70,""),"")</f>
        <v/>
      </c>
      <c r="CY70" s="34">
        <f>IF(AND(CY$5&gt;$E70,CY$5&lt;=$F70),IF(CY$5=$E70+1,$C70,""),"")</f>
        <v/>
      </c>
      <c r="CZ70" s="34">
        <f>IF(AND(CZ$5&gt;$E70,CZ$5&lt;=$F70),IF(CZ$5=$E70+1,$C70,""),"")</f>
        <v/>
      </c>
      <c r="DA70" s="34">
        <f>IF(AND(DA$5&gt;$E70,DA$5&lt;=$F70),IF(DA$5=$E70+1,$C70,""),"")</f>
        <v/>
      </c>
      <c r="DB70" s="34">
        <f>IF(AND(DB$5&gt;$E70,DB$5&lt;=$F70),IF(DB$5=$E70+1,$C70,""),"")</f>
        <v/>
      </c>
      <c r="DC70" s="34">
        <f>IF(AND(DC$5&gt;$E70,DC$5&lt;=$F70),IF(DC$5=$E70+1,$C70,""),"")</f>
        <v/>
      </c>
      <c r="DD70" s="34">
        <f>IF(AND(DD$5&gt;$E70,DD$5&lt;=$F70),IF(DD$5=$E70+1,$C70,""),"")</f>
        <v/>
      </c>
      <c r="DE70" s="34">
        <f>IF(AND(DE$5&gt;$E70,DE$5&lt;=$F70),IF(DE$5=$E70+1,$C70,""),"")</f>
        <v/>
      </c>
      <c r="DF70" s="34">
        <f>IF(AND(DF$5&gt;$E70,DF$5&lt;=$F70),IF(DF$5=$E70+1,$C70,""),"")</f>
        <v/>
      </c>
      <c r="DG70" s="34">
        <f>IF(AND(DG$5&gt;$E70,DG$5&lt;=$F70),IF(DG$5=$E70+1,$C70,""),"")</f>
        <v/>
      </c>
      <c r="DH70" s="34">
        <f>IF(AND(DH$5&gt;$E70,DH$5&lt;=$F70),IF(DH$5=$E70+1,$C70,""),"")</f>
        <v/>
      </c>
      <c r="DI70" s="34">
        <f>IF(AND(DI$5&gt;$E70,DI$5&lt;=$F70),IF(DI$5=$E70+1,$C70,""),"")</f>
        <v/>
      </c>
      <c r="DJ70" s="34">
        <f>IF(AND(DJ$5&gt;$E70,DJ$5&lt;=$F70),IF(DJ$5=$E70+1,$C70,""),"")</f>
        <v/>
      </c>
      <c r="DK70" s="34">
        <f>IF(AND(DK$5&gt;$E70,DK$5&lt;=$F70),IF(DK$5=$E70+1,$C70,""),"")</f>
        <v/>
      </c>
      <c r="DL70" s="34">
        <f>IF(AND(DL$5&gt;$E70,DL$5&lt;=$F70),IF(DL$5=$E70+1,$C70,""),"")</f>
        <v/>
      </c>
      <c r="DM70" s="34">
        <f>IF(AND(DM$5&gt;$E70,DM$5&lt;=$F70),IF(DM$5=$E70+1,$C70,""),"")</f>
        <v/>
      </c>
      <c r="DN70" s="34">
        <f>IF(AND(DN$5&gt;$E70,DN$5&lt;=$F70),IF(DN$5=$E70+1,$C70,""),"")</f>
        <v/>
      </c>
      <c r="DO70" s="34">
        <f>IF(AND(DO$5&gt;$E70,DO$5&lt;=$F70),IF(DO$5=$E70+1,$C70,""),"")</f>
        <v/>
      </c>
      <c r="DP70" s="34">
        <f>IF(AND(DP$5&gt;$E70,DP$5&lt;=$F70),IF(DP$5=$E70+1,$C70,""),"")</f>
        <v/>
      </c>
      <c r="DQ70" s="34">
        <f>IF(AND(DQ$5&gt;$E70,DQ$5&lt;=$F70),IF(DQ$5=$E70+1,$C70,""),"")</f>
        <v/>
      </c>
      <c r="DR70" s="34">
        <f>IF(AND(DR$5&gt;$E70,DR$5&lt;=$F70),IF(DR$5=$E70+1,$C70,""),"")</f>
        <v/>
      </c>
      <c r="DS70" s="34">
        <f>IF(AND(DS$5&gt;$E70,DS$5&lt;=$F70),IF(DS$5=$E70+1,$C70,""),"")</f>
        <v/>
      </c>
      <c r="DT70" s="34">
        <f>IF(AND(DT$5&gt;$E70,DT$5&lt;=$F70),IF(DT$5=$E70+1,$C70,""),"")</f>
        <v/>
      </c>
      <c r="DU70" s="34">
        <f>IF(AND(DU$5&gt;$E70,DU$5&lt;=$F70),IF(DU$5=$E70+1,$C70,""),"")</f>
        <v/>
      </c>
      <c r="DV70" s="34">
        <f>IF(AND(DV$5&gt;$E70,DV$5&lt;=$F70),IF(DV$5=$E70+1,$C70,""),"")</f>
        <v/>
      </c>
      <c r="DW70" s="34">
        <f>IF(AND(DW$5&gt;$E70,DW$5&lt;=$F70),IF(DW$5=$E70+1,$C70,""),"")</f>
        <v/>
      </c>
      <c r="DX70" s="34">
        <f>IF(AND(DX$5&gt;$E70,DX$5&lt;=$F70),IF(DX$5=$E70+1,$C70,""),"")</f>
        <v/>
      </c>
      <c r="DY70" s="34">
        <f>IF(AND(DY$5&gt;$E70,DY$5&lt;=$F70),IF(DY$5=$E70+1,$C70,""),"")</f>
        <v/>
      </c>
      <c r="DZ70" s="34">
        <f>IF(AND(DZ$5&gt;$E70,DZ$5&lt;=$F70),IF(DZ$5=$E70+1,$C70,""),"")</f>
        <v/>
      </c>
      <c r="EA70" s="34">
        <f>IF(AND(EA$5&gt;$E70,EA$5&lt;=$F70),IF(EA$5=$E70+1,$C70,""),"")</f>
        <v/>
      </c>
      <c r="EB70" s="34">
        <f>IF(AND(EB$5&gt;$E70,EB$5&lt;=$F70),IF(EB$5=$E70+1,$C70,""),"")</f>
        <v/>
      </c>
      <c r="EC70" s="34">
        <f>IF(AND(EC$5&gt;$E70,EC$5&lt;=$F70),IF(EC$5=$E70+1,$C70,""),"")</f>
        <v/>
      </c>
      <c r="ED70" s="34">
        <f>IF(AND(ED$5&gt;$E70,ED$5&lt;=$F70),IF(ED$5=$E70+1,$C70,""),"")</f>
        <v/>
      </c>
      <c r="EE70" s="34">
        <f>IF(AND(EE$5&gt;$E70,EE$5&lt;=$F70),IF(EE$5=$E70+1,$C70,""),"")</f>
        <v/>
      </c>
      <c r="EF70" s="34">
        <f>IF(AND(EF$5&gt;$E70,EF$5&lt;=$F70),IF(EF$5=$E70+1,$C70,""),"")</f>
        <v/>
      </c>
      <c r="EG70" s="34">
        <f>IF(AND(EG$5&gt;$E70,EG$5&lt;=$F70),IF(EG$5=$E70+1,$C70,""),"")</f>
        <v/>
      </c>
      <c r="EH70" s="34">
        <f>IF(AND(EH$5&gt;$E70,EH$5&lt;=$F70),IF(EH$5=$E70+1,$C70,""),"")</f>
        <v/>
      </c>
      <c r="EI70" s="34">
        <f>IF(AND(EI$5&gt;$E70,EI$5&lt;=$F70),IF(EI$5=$E70+1,$C70,""),"")</f>
        <v/>
      </c>
      <c r="EJ70" s="34">
        <f>IF(AND(EJ$5&gt;$E70,EJ$5&lt;=$F70),IF(EJ$5=$E70+1,$C70,""),"")</f>
        <v/>
      </c>
      <c r="EK70" s="34">
        <f>IF(AND(EK$5&gt;$E70,EK$5&lt;=$F70),IF(EK$5=$E70+1,$C70,""),"")</f>
        <v/>
      </c>
      <c r="EL70" s="34">
        <f>IF(AND(EL$5&gt;$E70,EL$5&lt;=$F70),IF(EL$5=$E70+1,$C70,""),"")</f>
        <v/>
      </c>
      <c r="EM70" s="34">
        <f>IF(AND(EM$5&gt;$E70,EM$5&lt;=$F70),IF(EM$5=$E70+1,$C70,""),"")</f>
        <v/>
      </c>
      <c r="EN70" s="34">
        <f>IF(AND(EN$5&gt;$E70,EN$5&lt;=$F70),IF(EN$5=$E70+1,$C70,""),"")</f>
        <v/>
      </c>
      <c r="EO70" s="34">
        <f>IF(AND(EO$5&gt;$E70,EO$5&lt;=$F70),IF(EO$5=$E70+1,$C70,""),"")</f>
        <v/>
      </c>
      <c r="EP70" s="34">
        <f>IF(AND(EP$5&gt;$E70,EP$5&lt;=$F70),IF(EP$5=$E70+1,$C70,""),"")</f>
        <v/>
      </c>
      <c r="EQ70" s="34">
        <f>IF(AND(EQ$5&gt;$E70,EQ$5&lt;=$F70),IF(EQ$5=$E70+1,$C70,""),"")</f>
        <v/>
      </c>
      <c r="ER70" s="34">
        <f>IF(AND(ER$5&gt;$E70,ER$5&lt;=$F70),IF(ER$5=$E70+1,$C70,""),"")</f>
        <v/>
      </c>
      <c r="ES70" s="34">
        <f>IF(AND(ES$5&gt;$E70,ES$5&lt;=$F70),IF(ES$5=$E70+1,$C70,""),"")</f>
        <v/>
      </c>
      <c r="ET70" s="34">
        <f>IF(AND(ET$5&gt;$E70,ET$5&lt;=$F70),IF(ET$5=$E70+1,$C70,""),"")</f>
        <v/>
      </c>
      <c r="EU70" s="34">
        <f>IF(AND(EU$5&gt;$E70,EU$5&lt;=$F70),IF(EU$5=$E70+1,$C70,""),"")</f>
        <v/>
      </c>
      <c r="EV70" s="34">
        <f>IF(AND(EV$5&gt;$E70,EV$5&lt;=$F70),IF(EV$5=$E70+1,$C70,""),"")</f>
        <v/>
      </c>
      <c r="EW70" s="34">
        <f>IF(AND(EW$5&gt;$E70,EW$5&lt;=$F70),IF(EW$5=$E70+1,$C70,""),"")</f>
        <v/>
      </c>
      <c r="EX70" s="34">
        <f>IF(AND(EX$5&gt;$E70,EX$5&lt;=$F70),IF(EX$5=$E70+1,$C70,""),"")</f>
        <v/>
      </c>
      <c r="EY70" s="34">
        <f>IF(AND(EY$5&gt;$E70,EY$5&lt;=$F70),IF(EY$5=$E70+1,$C70,""),"")</f>
        <v/>
      </c>
      <c r="EZ70" s="34">
        <f>IF(AND(EZ$5&gt;$E70,EZ$5&lt;=$F70),IF(EZ$5=$E70+1,$C70,""),"")</f>
        <v/>
      </c>
      <c r="FA70" s="34">
        <f>IF(AND(FA$5&gt;$E70,FA$5&lt;=$F70),IF(FA$5=$E70+1,$C70,""),"")</f>
        <v/>
      </c>
    </row>
    <row r="71">
      <c r="A71" s="32">
        <f>Plan!A120</f>
        <v/>
      </c>
      <c r="B71" s="33">
        <f>Plan!C120</f>
        <v/>
      </c>
      <c r="C71" s="16">
        <f>Plan!D120</f>
        <v/>
      </c>
      <c r="D71" s="16">
        <f>Plan!I120</f>
        <v/>
      </c>
      <c r="E71" s="16">
        <f>Plan!K120</f>
        <v/>
      </c>
      <c r="F71" s="16">
        <f>Plan!L120</f>
        <v/>
      </c>
      <c r="G71" s="16">
        <f>Plan!O120</f>
        <v/>
      </c>
      <c r="H71" s="34">
        <f>IF(AND(H$5&gt;$E71,H$5&lt;=$F71),IF(H$5=$E71+1,$C71,""),"")</f>
        <v/>
      </c>
      <c r="I71" s="34">
        <f>IF(AND(I$5&gt;$E71,I$5&lt;=$F71),IF(I$5=$E71+1,$C71,""),"")</f>
        <v/>
      </c>
      <c r="J71" s="34">
        <f>IF(AND(J$5&gt;$E71,J$5&lt;=$F71),IF(J$5=$E71+1,$C71,""),"")</f>
        <v/>
      </c>
      <c r="K71" s="34">
        <f>IF(AND(K$5&gt;$E71,K$5&lt;=$F71),IF(K$5=$E71+1,$C71,""),"")</f>
        <v/>
      </c>
      <c r="L71" s="34">
        <f>IF(AND(L$5&gt;$E71,L$5&lt;=$F71),IF(L$5=$E71+1,$C71,""),"")</f>
        <v/>
      </c>
      <c r="M71" s="34">
        <f>IF(AND(M$5&gt;$E71,M$5&lt;=$F71),IF(M$5=$E71+1,$C71,""),"")</f>
        <v/>
      </c>
      <c r="N71" s="34">
        <f>IF(AND(N$5&gt;$E71,N$5&lt;=$F71),IF(N$5=$E71+1,$C71,""),"")</f>
        <v/>
      </c>
      <c r="O71" s="34">
        <f>IF(AND(O$5&gt;$E71,O$5&lt;=$F71),IF(O$5=$E71+1,$C71,""),"")</f>
        <v/>
      </c>
      <c r="P71" s="34">
        <f>IF(AND(P$5&gt;$E71,P$5&lt;=$F71),IF(P$5=$E71+1,$C71,""),"")</f>
        <v/>
      </c>
      <c r="Q71" s="34">
        <f>IF(AND(Q$5&gt;$E71,Q$5&lt;=$F71),IF(Q$5=$E71+1,$C71,""),"")</f>
        <v/>
      </c>
      <c r="R71" s="34">
        <f>IF(AND(R$5&gt;$E71,R$5&lt;=$F71),IF(R$5=$E71+1,$C71,""),"")</f>
        <v/>
      </c>
      <c r="S71" s="34">
        <f>IF(AND(S$5&gt;$E71,S$5&lt;=$F71),IF(S$5=$E71+1,$C71,""),"")</f>
        <v/>
      </c>
      <c r="T71" s="34">
        <f>IF(AND(T$5&gt;$E71,T$5&lt;=$F71),IF(T$5=$E71+1,$C71,""),"")</f>
        <v/>
      </c>
      <c r="U71" s="34">
        <f>IF(AND(U$5&gt;$E71,U$5&lt;=$F71),IF(U$5=$E71+1,$C71,""),"")</f>
        <v/>
      </c>
      <c r="V71" s="34">
        <f>IF(AND(V$5&gt;$E71,V$5&lt;=$F71),IF(V$5=$E71+1,$C71,""),"")</f>
        <v/>
      </c>
      <c r="W71" s="34">
        <f>IF(AND(W$5&gt;$E71,W$5&lt;=$F71),IF(W$5=$E71+1,$C71,""),"")</f>
        <v/>
      </c>
      <c r="X71" s="34">
        <f>IF(AND(X$5&gt;$E71,X$5&lt;=$F71),IF(X$5=$E71+1,$C71,""),"")</f>
        <v/>
      </c>
      <c r="Y71" s="34">
        <f>IF(AND(Y$5&gt;$E71,Y$5&lt;=$F71),IF(Y$5=$E71+1,$C71,""),"")</f>
        <v/>
      </c>
      <c r="Z71" s="34">
        <f>IF(AND(Z$5&gt;$E71,Z$5&lt;=$F71),IF(Z$5=$E71+1,$C71,""),"")</f>
        <v/>
      </c>
      <c r="AA71" s="34">
        <f>IF(AND(AA$5&gt;$E71,AA$5&lt;=$F71),IF(AA$5=$E71+1,$C71,""),"")</f>
        <v/>
      </c>
      <c r="AB71" s="34">
        <f>IF(AND(AB$5&gt;$E71,AB$5&lt;=$F71),IF(AB$5=$E71+1,$C71,""),"")</f>
        <v/>
      </c>
      <c r="AC71" s="34">
        <f>IF(AND(AC$5&gt;$E71,AC$5&lt;=$F71),IF(AC$5=$E71+1,$C71,""),"")</f>
        <v/>
      </c>
      <c r="AD71" s="34">
        <f>IF(AND(AD$5&gt;$E71,AD$5&lt;=$F71),IF(AD$5=$E71+1,$C71,""),"")</f>
        <v/>
      </c>
      <c r="AE71" s="34">
        <f>IF(AND(AE$5&gt;$E71,AE$5&lt;=$F71),IF(AE$5=$E71+1,$C71,""),"")</f>
        <v/>
      </c>
      <c r="AF71" s="34">
        <f>IF(AND(AF$5&gt;$E71,AF$5&lt;=$F71),IF(AF$5=$E71+1,$C71,""),"")</f>
        <v/>
      </c>
      <c r="AG71" s="34">
        <f>IF(AND(AG$5&gt;$E71,AG$5&lt;=$F71),IF(AG$5=$E71+1,$C71,""),"")</f>
        <v/>
      </c>
      <c r="AH71" s="34">
        <f>IF(AND(AH$5&gt;$E71,AH$5&lt;=$F71),IF(AH$5=$E71+1,$C71,""),"")</f>
        <v/>
      </c>
      <c r="AI71" s="34">
        <f>IF(AND(AI$5&gt;$E71,AI$5&lt;=$F71),IF(AI$5=$E71+1,$C71,""),"")</f>
        <v/>
      </c>
      <c r="AJ71" s="34">
        <f>IF(AND(AJ$5&gt;$E71,AJ$5&lt;=$F71),IF(AJ$5=$E71+1,$C71,""),"")</f>
        <v/>
      </c>
      <c r="AK71" s="34">
        <f>IF(AND(AK$5&gt;$E71,AK$5&lt;=$F71),IF(AK$5=$E71+1,$C71,""),"")</f>
        <v/>
      </c>
      <c r="AL71" s="34">
        <f>IF(AND(AL$5&gt;$E71,AL$5&lt;=$F71),IF(AL$5=$E71+1,$C71,""),"")</f>
        <v/>
      </c>
      <c r="AM71" s="34">
        <f>IF(AND(AM$5&gt;$E71,AM$5&lt;=$F71),IF(AM$5=$E71+1,$C71,""),"")</f>
        <v/>
      </c>
      <c r="AN71" s="34">
        <f>IF(AND(AN$5&gt;$E71,AN$5&lt;=$F71),IF(AN$5=$E71+1,$C71,""),"")</f>
        <v/>
      </c>
      <c r="AO71" s="34">
        <f>IF(AND(AO$5&gt;$E71,AO$5&lt;=$F71),IF(AO$5=$E71+1,$C71,""),"")</f>
        <v/>
      </c>
      <c r="AP71" s="34">
        <f>IF(AND(AP$5&gt;$E71,AP$5&lt;=$F71),IF(AP$5=$E71+1,$C71,""),"")</f>
        <v/>
      </c>
      <c r="AQ71" s="34">
        <f>IF(AND(AQ$5&gt;$E71,AQ$5&lt;=$F71),IF(AQ$5=$E71+1,$C71,""),"")</f>
        <v/>
      </c>
      <c r="AR71" s="34">
        <f>IF(AND(AR$5&gt;$E71,AR$5&lt;=$F71),IF(AR$5=$E71+1,$C71,""),"")</f>
        <v/>
      </c>
      <c r="AS71" s="34">
        <f>IF(AND(AS$5&gt;$E71,AS$5&lt;=$F71),IF(AS$5=$E71+1,$C71,""),"")</f>
        <v/>
      </c>
      <c r="AT71" s="34">
        <f>IF(AND(AT$5&gt;$E71,AT$5&lt;=$F71),IF(AT$5=$E71+1,$C71,""),"")</f>
        <v/>
      </c>
      <c r="AU71" s="34">
        <f>IF(AND(AU$5&gt;$E71,AU$5&lt;=$F71),IF(AU$5=$E71+1,$C71,""),"")</f>
        <v/>
      </c>
      <c r="AV71" s="34">
        <f>IF(AND(AV$5&gt;$E71,AV$5&lt;=$F71),IF(AV$5=$E71+1,$C71,""),"")</f>
        <v/>
      </c>
      <c r="AW71" s="34">
        <f>IF(AND(AW$5&gt;$E71,AW$5&lt;=$F71),IF(AW$5=$E71+1,$C71,""),"")</f>
        <v/>
      </c>
      <c r="AX71" s="34">
        <f>IF(AND(AX$5&gt;$E71,AX$5&lt;=$F71),IF(AX$5=$E71+1,$C71,""),"")</f>
        <v/>
      </c>
      <c r="AY71" s="34">
        <f>IF(AND(AY$5&gt;$E71,AY$5&lt;=$F71),IF(AY$5=$E71+1,$C71,""),"")</f>
        <v/>
      </c>
      <c r="AZ71" s="34">
        <f>IF(AND(AZ$5&gt;$E71,AZ$5&lt;=$F71),IF(AZ$5=$E71+1,$C71,""),"")</f>
        <v/>
      </c>
      <c r="BA71" s="34">
        <f>IF(AND(BA$5&gt;$E71,BA$5&lt;=$F71),IF(BA$5=$E71+1,$C71,""),"")</f>
        <v/>
      </c>
      <c r="BB71" s="34">
        <f>IF(AND(BB$5&gt;$E71,BB$5&lt;=$F71),IF(BB$5=$E71+1,$C71,""),"")</f>
        <v/>
      </c>
      <c r="BC71" s="34">
        <f>IF(AND(BC$5&gt;$E71,BC$5&lt;=$F71),IF(BC$5=$E71+1,$C71,""),"")</f>
        <v/>
      </c>
      <c r="BD71" s="34">
        <f>IF(AND(BD$5&gt;$E71,BD$5&lt;=$F71),IF(BD$5=$E71+1,$C71,""),"")</f>
        <v/>
      </c>
      <c r="BE71" s="34">
        <f>IF(AND(BE$5&gt;$E71,BE$5&lt;=$F71),IF(BE$5=$E71+1,$C71,""),"")</f>
        <v/>
      </c>
      <c r="BF71" s="34">
        <f>IF(AND(BF$5&gt;$E71,BF$5&lt;=$F71),IF(BF$5=$E71+1,$C71,""),"")</f>
        <v/>
      </c>
      <c r="BG71" s="34">
        <f>IF(AND(BG$5&gt;$E71,BG$5&lt;=$F71),IF(BG$5=$E71+1,$C71,""),"")</f>
        <v/>
      </c>
      <c r="BH71" s="34">
        <f>IF(AND(BH$5&gt;$E71,BH$5&lt;=$F71),IF(BH$5=$E71+1,$C71,""),"")</f>
        <v/>
      </c>
      <c r="BI71" s="34">
        <f>IF(AND(BI$5&gt;$E71,BI$5&lt;=$F71),IF(BI$5=$E71+1,$C71,""),"")</f>
        <v/>
      </c>
      <c r="BJ71" s="34">
        <f>IF(AND(BJ$5&gt;$E71,BJ$5&lt;=$F71),IF(BJ$5=$E71+1,$C71,""),"")</f>
        <v/>
      </c>
      <c r="BK71" s="34">
        <f>IF(AND(BK$5&gt;$E71,BK$5&lt;=$F71),IF(BK$5=$E71+1,$C71,""),"")</f>
        <v/>
      </c>
      <c r="BL71" s="34">
        <f>IF(AND(BL$5&gt;$E71,BL$5&lt;=$F71),IF(BL$5=$E71+1,$C71,""),"")</f>
        <v/>
      </c>
      <c r="BM71" s="34">
        <f>IF(AND(BM$5&gt;$E71,BM$5&lt;=$F71),IF(BM$5=$E71+1,$C71,""),"")</f>
        <v/>
      </c>
      <c r="BN71" s="34">
        <f>IF(AND(BN$5&gt;$E71,BN$5&lt;=$F71),IF(BN$5=$E71+1,$C71,""),"")</f>
        <v/>
      </c>
      <c r="BO71" s="34">
        <f>IF(AND(BO$5&gt;$E71,BO$5&lt;=$F71),IF(BO$5=$E71+1,$C71,""),"")</f>
        <v/>
      </c>
      <c r="BP71" s="34">
        <f>IF(AND(BP$5&gt;$E71,BP$5&lt;=$F71),IF(BP$5=$E71+1,$C71,""),"")</f>
        <v/>
      </c>
      <c r="BQ71" s="34">
        <f>IF(AND(BQ$5&gt;$E71,BQ$5&lt;=$F71),IF(BQ$5=$E71+1,$C71,""),"")</f>
        <v/>
      </c>
      <c r="BR71" s="34">
        <f>IF(AND(BR$5&gt;$E71,BR$5&lt;=$F71),IF(BR$5=$E71+1,$C71,""),"")</f>
        <v/>
      </c>
      <c r="BS71" s="34">
        <f>IF(AND(BS$5&gt;$E71,BS$5&lt;=$F71),IF(BS$5=$E71+1,$C71,""),"")</f>
        <v/>
      </c>
      <c r="BT71" s="34">
        <f>IF(AND(BT$5&gt;$E71,BT$5&lt;=$F71),IF(BT$5=$E71+1,$C71,""),"")</f>
        <v/>
      </c>
      <c r="BU71" s="34">
        <f>IF(AND(BU$5&gt;$E71,BU$5&lt;=$F71),IF(BU$5=$E71+1,$C71,""),"")</f>
        <v/>
      </c>
      <c r="BV71" s="34">
        <f>IF(AND(BV$5&gt;$E71,BV$5&lt;=$F71),IF(BV$5=$E71+1,$C71,""),"")</f>
        <v/>
      </c>
      <c r="BW71" s="34">
        <f>IF(AND(BW$5&gt;$E71,BW$5&lt;=$F71),IF(BW$5=$E71+1,$C71,""),"")</f>
        <v/>
      </c>
      <c r="BX71" s="34">
        <f>IF(AND(BX$5&gt;$E71,BX$5&lt;=$F71),IF(BX$5=$E71+1,$C71,""),"")</f>
        <v/>
      </c>
      <c r="BY71" s="34">
        <f>IF(AND(BY$5&gt;$E71,BY$5&lt;=$F71),IF(BY$5=$E71+1,$C71,""),"")</f>
        <v/>
      </c>
      <c r="BZ71" s="34">
        <f>IF(AND(BZ$5&gt;$E71,BZ$5&lt;=$F71),IF(BZ$5=$E71+1,$C71,""),"")</f>
        <v/>
      </c>
      <c r="CA71" s="34">
        <f>IF(AND(CA$5&gt;$E71,CA$5&lt;=$F71),IF(CA$5=$E71+1,$C71,""),"")</f>
        <v/>
      </c>
      <c r="CB71" s="34">
        <f>IF(AND(CB$5&gt;$E71,CB$5&lt;=$F71),IF(CB$5=$E71+1,$C71,""),"")</f>
        <v/>
      </c>
      <c r="CC71" s="34">
        <f>IF(AND(CC$5&gt;$E71,CC$5&lt;=$F71),IF(CC$5=$E71+1,$C71,""),"")</f>
        <v/>
      </c>
      <c r="CD71" s="34">
        <f>IF(AND(CD$5&gt;$E71,CD$5&lt;=$F71),IF(CD$5=$E71+1,$C71,""),"")</f>
        <v/>
      </c>
      <c r="CE71" s="34">
        <f>IF(AND(CE$5&gt;$E71,CE$5&lt;=$F71),IF(CE$5=$E71+1,$C71,""),"")</f>
        <v/>
      </c>
      <c r="CF71" s="34">
        <f>IF(AND(CF$5&gt;$E71,CF$5&lt;=$F71),IF(CF$5=$E71+1,$C71,""),"")</f>
        <v/>
      </c>
      <c r="CG71" s="34">
        <f>IF(AND(CG$5&gt;$E71,CG$5&lt;=$F71),IF(CG$5=$E71+1,$C71,""),"")</f>
        <v/>
      </c>
      <c r="CH71" s="34">
        <f>IF(AND(CH$5&gt;$E71,CH$5&lt;=$F71),IF(CH$5=$E71+1,$C71,""),"")</f>
        <v/>
      </c>
      <c r="CI71" s="34">
        <f>IF(AND(CI$5&gt;$E71,CI$5&lt;=$F71),IF(CI$5=$E71+1,$C71,""),"")</f>
        <v/>
      </c>
      <c r="CJ71" s="34">
        <f>IF(AND(CJ$5&gt;$E71,CJ$5&lt;=$F71),IF(CJ$5=$E71+1,$C71,""),"")</f>
        <v/>
      </c>
      <c r="CK71" s="34">
        <f>IF(AND(CK$5&gt;$E71,CK$5&lt;=$F71),IF(CK$5=$E71+1,$C71,""),"")</f>
        <v/>
      </c>
      <c r="CL71" s="34">
        <f>IF(AND(CL$5&gt;$E71,CL$5&lt;=$F71),IF(CL$5=$E71+1,$C71,""),"")</f>
        <v/>
      </c>
      <c r="CM71" s="34">
        <f>IF(AND(CM$5&gt;$E71,CM$5&lt;=$F71),IF(CM$5=$E71+1,$C71,""),"")</f>
        <v/>
      </c>
      <c r="CN71" s="34">
        <f>IF(AND(CN$5&gt;$E71,CN$5&lt;=$F71),IF(CN$5=$E71+1,$C71,""),"")</f>
        <v/>
      </c>
      <c r="CO71" s="34">
        <f>IF(AND(CO$5&gt;$E71,CO$5&lt;=$F71),IF(CO$5=$E71+1,$C71,""),"")</f>
        <v/>
      </c>
      <c r="CP71" s="34">
        <f>IF(AND(CP$5&gt;$E71,CP$5&lt;=$F71),IF(CP$5=$E71+1,$C71,""),"")</f>
        <v/>
      </c>
      <c r="CQ71" s="34">
        <f>IF(AND(CQ$5&gt;$E71,CQ$5&lt;=$F71),IF(CQ$5=$E71+1,$C71,""),"")</f>
        <v/>
      </c>
      <c r="CR71" s="34">
        <f>IF(AND(CR$5&gt;$E71,CR$5&lt;=$F71),IF(CR$5=$E71+1,$C71,""),"")</f>
        <v/>
      </c>
      <c r="CS71" s="34">
        <f>IF(AND(CS$5&gt;$E71,CS$5&lt;=$F71),IF(CS$5=$E71+1,$C71,""),"")</f>
        <v/>
      </c>
      <c r="CT71" s="34">
        <f>IF(AND(CT$5&gt;$E71,CT$5&lt;=$F71),IF(CT$5=$E71+1,$C71,""),"")</f>
        <v/>
      </c>
      <c r="CU71" s="34">
        <f>IF(AND(CU$5&gt;$E71,CU$5&lt;=$F71),IF(CU$5=$E71+1,$C71,""),"")</f>
        <v/>
      </c>
      <c r="CV71" s="34">
        <f>IF(AND(CV$5&gt;$E71,CV$5&lt;=$F71),IF(CV$5=$E71+1,$C71,""),"")</f>
        <v/>
      </c>
      <c r="CW71" s="34">
        <f>IF(AND(CW$5&gt;$E71,CW$5&lt;=$F71),IF(CW$5=$E71+1,$C71,""),"")</f>
        <v/>
      </c>
      <c r="CX71" s="34">
        <f>IF(AND(CX$5&gt;$E71,CX$5&lt;=$F71),IF(CX$5=$E71+1,$C71,""),"")</f>
        <v/>
      </c>
      <c r="CY71" s="34">
        <f>IF(AND(CY$5&gt;$E71,CY$5&lt;=$F71),IF(CY$5=$E71+1,$C71,""),"")</f>
        <v/>
      </c>
      <c r="CZ71" s="34">
        <f>IF(AND(CZ$5&gt;$E71,CZ$5&lt;=$F71),IF(CZ$5=$E71+1,$C71,""),"")</f>
        <v/>
      </c>
      <c r="DA71" s="34">
        <f>IF(AND(DA$5&gt;$E71,DA$5&lt;=$F71),IF(DA$5=$E71+1,$C71,""),"")</f>
        <v/>
      </c>
      <c r="DB71" s="34">
        <f>IF(AND(DB$5&gt;$E71,DB$5&lt;=$F71),IF(DB$5=$E71+1,$C71,""),"")</f>
        <v/>
      </c>
      <c r="DC71" s="34">
        <f>IF(AND(DC$5&gt;$E71,DC$5&lt;=$F71),IF(DC$5=$E71+1,$C71,""),"")</f>
        <v/>
      </c>
      <c r="DD71" s="34">
        <f>IF(AND(DD$5&gt;$E71,DD$5&lt;=$F71),IF(DD$5=$E71+1,$C71,""),"")</f>
        <v/>
      </c>
      <c r="DE71" s="34">
        <f>IF(AND(DE$5&gt;$E71,DE$5&lt;=$F71),IF(DE$5=$E71+1,$C71,""),"")</f>
        <v/>
      </c>
      <c r="DF71" s="34">
        <f>IF(AND(DF$5&gt;$E71,DF$5&lt;=$F71),IF(DF$5=$E71+1,$C71,""),"")</f>
        <v/>
      </c>
      <c r="DG71" s="34">
        <f>IF(AND(DG$5&gt;$E71,DG$5&lt;=$F71),IF(DG$5=$E71+1,$C71,""),"")</f>
        <v/>
      </c>
      <c r="DH71" s="34">
        <f>IF(AND(DH$5&gt;$E71,DH$5&lt;=$F71),IF(DH$5=$E71+1,$C71,""),"")</f>
        <v/>
      </c>
      <c r="DI71" s="34">
        <f>IF(AND(DI$5&gt;$E71,DI$5&lt;=$F71),IF(DI$5=$E71+1,$C71,""),"")</f>
        <v/>
      </c>
      <c r="DJ71" s="34">
        <f>IF(AND(DJ$5&gt;$E71,DJ$5&lt;=$F71),IF(DJ$5=$E71+1,$C71,""),"")</f>
        <v/>
      </c>
      <c r="DK71" s="34">
        <f>IF(AND(DK$5&gt;$E71,DK$5&lt;=$F71),IF(DK$5=$E71+1,$C71,""),"")</f>
        <v/>
      </c>
      <c r="DL71" s="34">
        <f>IF(AND(DL$5&gt;$E71,DL$5&lt;=$F71),IF(DL$5=$E71+1,$C71,""),"")</f>
        <v/>
      </c>
      <c r="DM71" s="34">
        <f>IF(AND(DM$5&gt;$E71,DM$5&lt;=$F71),IF(DM$5=$E71+1,$C71,""),"")</f>
        <v/>
      </c>
      <c r="DN71" s="34">
        <f>IF(AND(DN$5&gt;$E71,DN$5&lt;=$F71),IF(DN$5=$E71+1,$C71,""),"")</f>
        <v/>
      </c>
      <c r="DO71" s="34">
        <f>IF(AND(DO$5&gt;$E71,DO$5&lt;=$F71),IF(DO$5=$E71+1,$C71,""),"")</f>
        <v/>
      </c>
      <c r="DP71" s="34">
        <f>IF(AND(DP$5&gt;$E71,DP$5&lt;=$F71),IF(DP$5=$E71+1,$C71,""),"")</f>
        <v/>
      </c>
      <c r="DQ71" s="34">
        <f>IF(AND(DQ$5&gt;$E71,DQ$5&lt;=$F71),IF(DQ$5=$E71+1,$C71,""),"")</f>
        <v/>
      </c>
      <c r="DR71" s="34">
        <f>IF(AND(DR$5&gt;$E71,DR$5&lt;=$F71),IF(DR$5=$E71+1,$C71,""),"")</f>
        <v/>
      </c>
      <c r="DS71" s="34">
        <f>IF(AND(DS$5&gt;$E71,DS$5&lt;=$F71),IF(DS$5=$E71+1,$C71,""),"")</f>
        <v/>
      </c>
      <c r="DT71" s="34">
        <f>IF(AND(DT$5&gt;$E71,DT$5&lt;=$F71),IF(DT$5=$E71+1,$C71,""),"")</f>
        <v/>
      </c>
      <c r="DU71" s="34">
        <f>IF(AND(DU$5&gt;$E71,DU$5&lt;=$F71),IF(DU$5=$E71+1,$C71,""),"")</f>
        <v/>
      </c>
      <c r="DV71" s="34">
        <f>IF(AND(DV$5&gt;$E71,DV$5&lt;=$F71),IF(DV$5=$E71+1,$C71,""),"")</f>
        <v/>
      </c>
      <c r="DW71" s="34">
        <f>IF(AND(DW$5&gt;$E71,DW$5&lt;=$F71),IF(DW$5=$E71+1,$C71,""),"")</f>
        <v/>
      </c>
      <c r="DX71" s="34">
        <f>IF(AND(DX$5&gt;$E71,DX$5&lt;=$F71),IF(DX$5=$E71+1,$C71,""),"")</f>
        <v/>
      </c>
      <c r="DY71" s="34">
        <f>IF(AND(DY$5&gt;$E71,DY$5&lt;=$F71),IF(DY$5=$E71+1,$C71,""),"")</f>
        <v/>
      </c>
      <c r="DZ71" s="34">
        <f>IF(AND(DZ$5&gt;$E71,DZ$5&lt;=$F71),IF(DZ$5=$E71+1,$C71,""),"")</f>
        <v/>
      </c>
      <c r="EA71" s="34">
        <f>IF(AND(EA$5&gt;$E71,EA$5&lt;=$F71),IF(EA$5=$E71+1,$C71,""),"")</f>
        <v/>
      </c>
      <c r="EB71" s="34">
        <f>IF(AND(EB$5&gt;$E71,EB$5&lt;=$F71),IF(EB$5=$E71+1,$C71,""),"")</f>
        <v/>
      </c>
      <c r="EC71" s="34">
        <f>IF(AND(EC$5&gt;$E71,EC$5&lt;=$F71),IF(EC$5=$E71+1,$C71,""),"")</f>
        <v/>
      </c>
      <c r="ED71" s="34">
        <f>IF(AND(ED$5&gt;$E71,ED$5&lt;=$F71),IF(ED$5=$E71+1,$C71,""),"")</f>
        <v/>
      </c>
      <c r="EE71" s="34">
        <f>IF(AND(EE$5&gt;$E71,EE$5&lt;=$F71),IF(EE$5=$E71+1,$C71,""),"")</f>
        <v/>
      </c>
      <c r="EF71" s="34">
        <f>IF(AND(EF$5&gt;$E71,EF$5&lt;=$F71),IF(EF$5=$E71+1,$C71,""),"")</f>
        <v/>
      </c>
      <c r="EG71" s="34">
        <f>IF(AND(EG$5&gt;$E71,EG$5&lt;=$F71),IF(EG$5=$E71+1,$C71,""),"")</f>
        <v/>
      </c>
      <c r="EH71" s="34">
        <f>IF(AND(EH$5&gt;$E71,EH$5&lt;=$F71),IF(EH$5=$E71+1,$C71,""),"")</f>
        <v/>
      </c>
      <c r="EI71" s="34">
        <f>IF(AND(EI$5&gt;$E71,EI$5&lt;=$F71),IF(EI$5=$E71+1,$C71,""),"")</f>
        <v/>
      </c>
      <c r="EJ71" s="34">
        <f>IF(AND(EJ$5&gt;$E71,EJ$5&lt;=$F71),IF(EJ$5=$E71+1,$C71,""),"")</f>
        <v/>
      </c>
      <c r="EK71" s="34">
        <f>IF(AND(EK$5&gt;$E71,EK$5&lt;=$F71),IF(EK$5=$E71+1,$C71,""),"")</f>
        <v/>
      </c>
      <c r="EL71" s="34">
        <f>IF(AND(EL$5&gt;$E71,EL$5&lt;=$F71),IF(EL$5=$E71+1,$C71,""),"")</f>
        <v/>
      </c>
      <c r="EM71" s="34">
        <f>IF(AND(EM$5&gt;$E71,EM$5&lt;=$F71),IF(EM$5=$E71+1,$C71,""),"")</f>
        <v/>
      </c>
      <c r="EN71" s="34">
        <f>IF(AND(EN$5&gt;$E71,EN$5&lt;=$F71),IF(EN$5=$E71+1,$C71,""),"")</f>
        <v/>
      </c>
      <c r="EO71" s="34">
        <f>IF(AND(EO$5&gt;$E71,EO$5&lt;=$F71),IF(EO$5=$E71+1,$C71,""),"")</f>
        <v/>
      </c>
      <c r="EP71" s="34">
        <f>IF(AND(EP$5&gt;$E71,EP$5&lt;=$F71),IF(EP$5=$E71+1,$C71,""),"")</f>
        <v/>
      </c>
      <c r="EQ71" s="34">
        <f>IF(AND(EQ$5&gt;$E71,EQ$5&lt;=$F71),IF(EQ$5=$E71+1,$C71,""),"")</f>
        <v/>
      </c>
      <c r="ER71" s="34">
        <f>IF(AND(ER$5&gt;$E71,ER$5&lt;=$F71),IF(ER$5=$E71+1,$C71,""),"")</f>
        <v/>
      </c>
      <c r="ES71" s="34">
        <f>IF(AND(ES$5&gt;$E71,ES$5&lt;=$F71),IF(ES$5=$E71+1,$C71,""),"")</f>
        <v/>
      </c>
      <c r="ET71" s="34">
        <f>IF(AND(ET$5&gt;$E71,ET$5&lt;=$F71),IF(ET$5=$E71+1,$C71,""),"")</f>
        <v/>
      </c>
      <c r="EU71" s="34">
        <f>IF(AND(EU$5&gt;$E71,EU$5&lt;=$F71),IF(EU$5=$E71+1,$C71,""),"")</f>
        <v/>
      </c>
      <c r="EV71" s="34">
        <f>IF(AND(EV$5&gt;$E71,EV$5&lt;=$F71),IF(EV$5=$E71+1,$C71,""),"")</f>
        <v/>
      </c>
      <c r="EW71" s="34">
        <f>IF(AND(EW$5&gt;$E71,EW$5&lt;=$F71),IF(EW$5=$E71+1,$C71,""),"")</f>
        <v/>
      </c>
      <c r="EX71" s="34">
        <f>IF(AND(EX$5&gt;$E71,EX$5&lt;=$F71),IF(EX$5=$E71+1,$C71,""),"")</f>
        <v/>
      </c>
      <c r="EY71" s="34">
        <f>IF(AND(EY$5&gt;$E71,EY$5&lt;=$F71),IF(EY$5=$E71+1,$C71,""),"")</f>
        <v/>
      </c>
      <c r="EZ71" s="34">
        <f>IF(AND(EZ$5&gt;$E71,EZ$5&lt;=$F71),IF(EZ$5=$E71+1,$C71,""),"")</f>
        <v/>
      </c>
      <c r="FA71" s="34">
        <f>IF(AND(FA$5&gt;$E71,FA$5&lt;=$F71),IF(FA$5=$E71+1,$C71,""),"")</f>
        <v/>
      </c>
    </row>
    <row r="72">
      <c r="A72" s="32">
        <f>Plan!A121</f>
        <v/>
      </c>
      <c r="B72" s="33">
        <f>Plan!C121</f>
        <v/>
      </c>
      <c r="C72" s="16">
        <f>Plan!D121</f>
        <v/>
      </c>
      <c r="D72" s="16">
        <f>Plan!I121</f>
        <v/>
      </c>
      <c r="E72" s="16">
        <f>Plan!K121</f>
        <v/>
      </c>
      <c r="F72" s="16">
        <f>Plan!L121</f>
        <v/>
      </c>
      <c r="G72" s="16">
        <f>Plan!O121</f>
        <v/>
      </c>
      <c r="H72" s="34">
        <f>IF(AND(H$5&gt;$E72,H$5&lt;=$F72),IF(H$5=$E72+1,$C72,""),"")</f>
        <v/>
      </c>
      <c r="I72" s="34">
        <f>IF(AND(I$5&gt;$E72,I$5&lt;=$F72),IF(I$5=$E72+1,$C72,""),"")</f>
        <v/>
      </c>
      <c r="J72" s="34">
        <f>IF(AND(J$5&gt;$E72,J$5&lt;=$F72),IF(J$5=$E72+1,$C72,""),"")</f>
        <v/>
      </c>
      <c r="K72" s="34">
        <f>IF(AND(K$5&gt;$E72,K$5&lt;=$F72),IF(K$5=$E72+1,$C72,""),"")</f>
        <v/>
      </c>
      <c r="L72" s="34">
        <f>IF(AND(L$5&gt;$E72,L$5&lt;=$F72),IF(L$5=$E72+1,$C72,""),"")</f>
        <v/>
      </c>
      <c r="M72" s="34">
        <f>IF(AND(M$5&gt;$E72,M$5&lt;=$F72),IF(M$5=$E72+1,$C72,""),"")</f>
        <v/>
      </c>
      <c r="N72" s="34">
        <f>IF(AND(N$5&gt;$E72,N$5&lt;=$F72),IF(N$5=$E72+1,$C72,""),"")</f>
        <v/>
      </c>
      <c r="O72" s="34">
        <f>IF(AND(O$5&gt;$E72,O$5&lt;=$F72),IF(O$5=$E72+1,$C72,""),"")</f>
        <v/>
      </c>
      <c r="P72" s="34">
        <f>IF(AND(P$5&gt;$E72,P$5&lt;=$F72),IF(P$5=$E72+1,$C72,""),"")</f>
        <v/>
      </c>
      <c r="Q72" s="34">
        <f>IF(AND(Q$5&gt;$E72,Q$5&lt;=$F72),IF(Q$5=$E72+1,$C72,""),"")</f>
        <v/>
      </c>
      <c r="R72" s="34">
        <f>IF(AND(R$5&gt;$E72,R$5&lt;=$F72),IF(R$5=$E72+1,$C72,""),"")</f>
        <v/>
      </c>
      <c r="S72" s="34">
        <f>IF(AND(S$5&gt;$E72,S$5&lt;=$F72),IF(S$5=$E72+1,$C72,""),"")</f>
        <v/>
      </c>
      <c r="T72" s="34">
        <f>IF(AND(T$5&gt;$E72,T$5&lt;=$F72),IF(T$5=$E72+1,$C72,""),"")</f>
        <v/>
      </c>
      <c r="U72" s="34">
        <f>IF(AND(U$5&gt;$E72,U$5&lt;=$F72),IF(U$5=$E72+1,$C72,""),"")</f>
        <v/>
      </c>
      <c r="V72" s="34">
        <f>IF(AND(V$5&gt;$E72,V$5&lt;=$F72),IF(V$5=$E72+1,$C72,""),"")</f>
        <v/>
      </c>
      <c r="W72" s="34">
        <f>IF(AND(W$5&gt;$E72,W$5&lt;=$F72),IF(W$5=$E72+1,$C72,""),"")</f>
        <v/>
      </c>
      <c r="X72" s="34">
        <f>IF(AND(X$5&gt;$E72,X$5&lt;=$F72),IF(X$5=$E72+1,$C72,""),"")</f>
        <v/>
      </c>
      <c r="Y72" s="34">
        <f>IF(AND(Y$5&gt;$E72,Y$5&lt;=$F72),IF(Y$5=$E72+1,$C72,""),"")</f>
        <v/>
      </c>
      <c r="Z72" s="34">
        <f>IF(AND(Z$5&gt;$E72,Z$5&lt;=$F72),IF(Z$5=$E72+1,$C72,""),"")</f>
        <v/>
      </c>
      <c r="AA72" s="34">
        <f>IF(AND(AA$5&gt;$E72,AA$5&lt;=$F72),IF(AA$5=$E72+1,$C72,""),"")</f>
        <v/>
      </c>
      <c r="AB72" s="34">
        <f>IF(AND(AB$5&gt;$E72,AB$5&lt;=$F72),IF(AB$5=$E72+1,$C72,""),"")</f>
        <v/>
      </c>
      <c r="AC72" s="34">
        <f>IF(AND(AC$5&gt;$E72,AC$5&lt;=$F72),IF(AC$5=$E72+1,$C72,""),"")</f>
        <v/>
      </c>
      <c r="AD72" s="34">
        <f>IF(AND(AD$5&gt;$E72,AD$5&lt;=$F72),IF(AD$5=$E72+1,$C72,""),"")</f>
        <v/>
      </c>
      <c r="AE72" s="34">
        <f>IF(AND(AE$5&gt;$E72,AE$5&lt;=$F72),IF(AE$5=$E72+1,$C72,""),"")</f>
        <v/>
      </c>
      <c r="AF72" s="34">
        <f>IF(AND(AF$5&gt;$E72,AF$5&lt;=$F72),IF(AF$5=$E72+1,$C72,""),"")</f>
        <v/>
      </c>
      <c r="AG72" s="34">
        <f>IF(AND(AG$5&gt;$E72,AG$5&lt;=$F72),IF(AG$5=$E72+1,$C72,""),"")</f>
        <v/>
      </c>
      <c r="AH72" s="34">
        <f>IF(AND(AH$5&gt;$E72,AH$5&lt;=$F72),IF(AH$5=$E72+1,$C72,""),"")</f>
        <v/>
      </c>
      <c r="AI72" s="34">
        <f>IF(AND(AI$5&gt;$E72,AI$5&lt;=$F72),IF(AI$5=$E72+1,$C72,""),"")</f>
        <v/>
      </c>
      <c r="AJ72" s="34">
        <f>IF(AND(AJ$5&gt;$E72,AJ$5&lt;=$F72),IF(AJ$5=$E72+1,$C72,""),"")</f>
        <v/>
      </c>
      <c r="AK72" s="34">
        <f>IF(AND(AK$5&gt;$E72,AK$5&lt;=$F72),IF(AK$5=$E72+1,$C72,""),"")</f>
        <v/>
      </c>
      <c r="AL72" s="34">
        <f>IF(AND(AL$5&gt;$E72,AL$5&lt;=$F72),IF(AL$5=$E72+1,$C72,""),"")</f>
        <v/>
      </c>
      <c r="AM72" s="34">
        <f>IF(AND(AM$5&gt;$E72,AM$5&lt;=$F72),IF(AM$5=$E72+1,$C72,""),"")</f>
        <v/>
      </c>
      <c r="AN72" s="34">
        <f>IF(AND(AN$5&gt;$E72,AN$5&lt;=$F72),IF(AN$5=$E72+1,$C72,""),"")</f>
        <v/>
      </c>
      <c r="AO72" s="34">
        <f>IF(AND(AO$5&gt;$E72,AO$5&lt;=$F72),IF(AO$5=$E72+1,$C72,""),"")</f>
        <v/>
      </c>
      <c r="AP72" s="34">
        <f>IF(AND(AP$5&gt;$E72,AP$5&lt;=$F72),IF(AP$5=$E72+1,$C72,""),"")</f>
        <v/>
      </c>
      <c r="AQ72" s="34">
        <f>IF(AND(AQ$5&gt;$E72,AQ$5&lt;=$F72),IF(AQ$5=$E72+1,$C72,""),"")</f>
        <v/>
      </c>
      <c r="AR72" s="34">
        <f>IF(AND(AR$5&gt;$E72,AR$5&lt;=$F72),IF(AR$5=$E72+1,$C72,""),"")</f>
        <v/>
      </c>
      <c r="AS72" s="34">
        <f>IF(AND(AS$5&gt;$E72,AS$5&lt;=$F72),IF(AS$5=$E72+1,$C72,""),"")</f>
        <v/>
      </c>
      <c r="AT72" s="34">
        <f>IF(AND(AT$5&gt;$E72,AT$5&lt;=$F72),IF(AT$5=$E72+1,$C72,""),"")</f>
        <v/>
      </c>
      <c r="AU72" s="34">
        <f>IF(AND(AU$5&gt;$E72,AU$5&lt;=$F72),IF(AU$5=$E72+1,$C72,""),"")</f>
        <v/>
      </c>
      <c r="AV72" s="34">
        <f>IF(AND(AV$5&gt;$E72,AV$5&lt;=$F72),IF(AV$5=$E72+1,$C72,""),"")</f>
        <v/>
      </c>
      <c r="AW72" s="34">
        <f>IF(AND(AW$5&gt;$E72,AW$5&lt;=$F72),IF(AW$5=$E72+1,$C72,""),"")</f>
        <v/>
      </c>
      <c r="AX72" s="34">
        <f>IF(AND(AX$5&gt;$E72,AX$5&lt;=$F72),IF(AX$5=$E72+1,$C72,""),"")</f>
        <v/>
      </c>
      <c r="AY72" s="34">
        <f>IF(AND(AY$5&gt;$E72,AY$5&lt;=$F72),IF(AY$5=$E72+1,$C72,""),"")</f>
        <v/>
      </c>
      <c r="AZ72" s="34">
        <f>IF(AND(AZ$5&gt;$E72,AZ$5&lt;=$F72),IF(AZ$5=$E72+1,$C72,""),"")</f>
        <v/>
      </c>
      <c r="BA72" s="34">
        <f>IF(AND(BA$5&gt;$E72,BA$5&lt;=$F72),IF(BA$5=$E72+1,$C72,""),"")</f>
        <v/>
      </c>
      <c r="BB72" s="34">
        <f>IF(AND(BB$5&gt;$E72,BB$5&lt;=$F72),IF(BB$5=$E72+1,$C72,""),"")</f>
        <v/>
      </c>
      <c r="BC72" s="34">
        <f>IF(AND(BC$5&gt;$E72,BC$5&lt;=$F72),IF(BC$5=$E72+1,$C72,""),"")</f>
        <v/>
      </c>
      <c r="BD72" s="34">
        <f>IF(AND(BD$5&gt;$E72,BD$5&lt;=$F72),IF(BD$5=$E72+1,$C72,""),"")</f>
        <v/>
      </c>
      <c r="BE72" s="34">
        <f>IF(AND(BE$5&gt;$E72,BE$5&lt;=$F72),IF(BE$5=$E72+1,$C72,""),"")</f>
        <v/>
      </c>
      <c r="BF72" s="34">
        <f>IF(AND(BF$5&gt;$E72,BF$5&lt;=$F72),IF(BF$5=$E72+1,$C72,""),"")</f>
        <v/>
      </c>
      <c r="BG72" s="34">
        <f>IF(AND(BG$5&gt;$E72,BG$5&lt;=$F72),IF(BG$5=$E72+1,$C72,""),"")</f>
        <v/>
      </c>
      <c r="BH72" s="34">
        <f>IF(AND(BH$5&gt;$E72,BH$5&lt;=$F72),IF(BH$5=$E72+1,$C72,""),"")</f>
        <v/>
      </c>
      <c r="BI72" s="34">
        <f>IF(AND(BI$5&gt;$E72,BI$5&lt;=$F72),IF(BI$5=$E72+1,$C72,""),"")</f>
        <v/>
      </c>
      <c r="BJ72" s="34">
        <f>IF(AND(BJ$5&gt;$E72,BJ$5&lt;=$F72),IF(BJ$5=$E72+1,$C72,""),"")</f>
        <v/>
      </c>
      <c r="BK72" s="34">
        <f>IF(AND(BK$5&gt;$E72,BK$5&lt;=$F72),IF(BK$5=$E72+1,$C72,""),"")</f>
        <v/>
      </c>
      <c r="BL72" s="34">
        <f>IF(AND(BL$5&gt;$E72,BL$5&lt;=$F72),IF(BL$5=$E72+1,$C72,""),"")</f>
        <v/>
      </c>
      <c r="BM72" s="34">
        <f>IF(AND(BM$5&gt;$E72,BM$5&lt;=$F72),IF(BM$5=$E72+1,$C72,""),"")</f>
        <v/>
      </c>
      <c r="BN72" s="34">
        <f>IF(AND(BN$5&gt;$E72,BN$5&lt;=$F72),IF(BN$5=$E72+1,$C72,""),"")</f>
        <v/>
      </c>
      <c r="BO72" s="34">
        <f>IF(AND(BO$5&gt;$E72,BO$5&lt;=$F72),IF(BO$5=$E72+1,$C72,""),"")</f>
        <v/>
      </c>
      <c r="BP72" s="34">
        <f>IF(AND(BP$5&gt;$E72,BP$5&lt;=$F72),IF(BP$5=$E72+1,$C72,""),"")</f>
        <v/>
      </c>
      <c r="BQ72" s="34">
        <f>IF(AND(BQ$5&gt;$E72,BQ$5&lt;=$F72),IF(BQ$5=$E72+1,$C72,""),"")</f>
        <v/>
      </c>
      <c r="BR72" s="34">
        <f>IF(AND(BR$5&gt;$E72,BR$5&lt;=$F72),IF(BR$5=$E72+1,$C72,""),"")</f>
        <v/>
      </c>
      <c r="BS72" s="34">
        <f>IF(AND(BS$5&gt;$E72,BS$5&lt;=$F72),IF(BS$5=$E72+1,$C72,""),"")</f>
        <v/>
      </c>
      <c r="BT72" s="34">
        <f>IF(AND(BT$5&gt;$E72,BT$5&lt;=$F72),IF(BT$5=$E72+1,$C72,""),"")</f>
        <v/>
      </c>
      <c r="BU72" s="34">
        <f>IF(AND(BU$5&gt;$E72,BU$5&lt;=$F72),IF(BU$5=$E72+1,$C72,""),"")</f>
        <v/>
      </c>
      <c r="BV72" s="34">
        <f>IF(AND(BV$5&gt;$E72,BV$5&lt;=$F72),IF(BV$5=$E72+1,$C72,""),"")</f>
        <v/>
      </c>
      <c r="BW72" s="34">
        <f>IF(AND(BW$5&gt;$E72,BW$5&lt;=$F72),IF(BW$5=$E72+1,$C72,""),"")</f>
        <v/>
      </c>
      <c r="BX72" s="34">
        <f>IF(AND(BX$5&gt;$E72,BX$5&lt;=$F72),IF(BX$5=$E72+1,$C72,""),"")</f>
        <v/>
      </c>
      <c r="BY72" s="34">
        <f>IF(AND(BY$5&gt;$E72,BY$5&lt;=$F72),IF(BY$5=$E72+1,$C72,""),"")</f>
        <v/>
      </c>
      <c r="BZ72" s="34">
        <f>IF(AND(BZ$5&gt;$E72,BZ$5&lt;=$F72),IF(BZ$5=$E72+1,$C72,""),"")</f>
        <v/>
      </c>
      <c r="CA72" s="34">
        <f>IF(AND(CA$5&gt;$E72,CA$5&lt;=$F72),IF(CA$5=$E72+1,$C72,""),"")</f>
        <v/>
      </c>
      <c r="CB72" s="34">
        <f>IF(AND(CB$5&gt;$E72,CB$5&lt;=$F72),IF(CB$5=$E72+1,$C72,""),"")</f>
        <v/>
      </c>
      <c r="CC72" s="34">
        <f>IF(AND(CC$5&gt;$E72,CC$5&lt;=$F72),IF(CC$5=$E72+1,$C72,""),"")</f>
        <v/>
      </c>
      <c r="CD72" s="34">
        <f>IF(AND(CD$5&gt;$E72,CD$5&lt;=$F72),IF(CD$5=$E72+1,$C72,""),"")</f>
        <v/>
      </c>
      <c r="CE72" s="34">
        <f>IF(AND(CE$5&gt;$E72,CE$5&lt;=$F72),IF(CE$5=$E72+1,$C72,""),"")</f>
        <v/>
      </c>
      <c r="CF72" s="34">
        <f>IF(AND(CF$5&gt;$E72,CF$5&lt;=$F72),IF(CF$5=$E72+1,$C72,""),"")</f>
        <v/>
      </c>
      <c r="CG72" s="34">
        <f>IF(AND(CG$5&gt;$E72,CG$5&lt;=$F72),IF(CG$5=$E72+1,$C72,""),"")</f>
        <v/>
      </c>
      <c r="CH72" s="34">
        <f>IF(AND(CH$5&gt;$E72,CH$5&lt;=$F72),IF(CH$5=$E72+1,$C72,""),"")</f>
        <v/>
      </c>
      <c r="CI72" s="34">
        <f>IF(AND(CI$5&gt;$E72,CI$5&lt;=$F72),IF(CI$5=$E72+1,$C72,""),"")</f>
        <v/>
      </c>
      <c r="CJ72" s="34">
        <f>IF(AND(CJ$5&gt;$E72,CJ$5&lt;=$F72),IF(CJ$5=$E72+1,$C72,""),"")</f>
        <v/>
      </c>
      <c r="CK72" s="34">
        <f>IF(AND(CK$5&gt;$E72,CK$5&lt;=$F72),IF(CK$5=$E72+1,$C72,""),"")</f>
        <v/>
      </c>
      <c r="CL72" s="34">
        <f>IF(AND(CL$5&gt;$E72,CL$5&lt;=$F72),IF(CL$5=$E72+1,$C72,""),"")</f>
        <v/>
      </c>
      <c r="CM72" s="34">
        <f>IF(AND(CM$5&gt;$E72,CM$5&lt;=$F72),IF(CM$5=$E72+1,$C72,""),"")</f>
        <v/>
      </c>
      <c r="CN72" s="34">
        <f>IF(AND(CN$5&gt;$E72,CN$5&lt;=$F72),IF(CN$5=$E72+1,$C72,""),"")</f>
        <v/>
      </c>
      <c r="CO72" s="34">
        <f>IF(AND(CO$5&gt;$E72,CO$5&lt;=$F72),IF(CO$5=$E72+1,$C72,""),"")</f>
        <v/>
      </c>
      <c r="CP72" s="34">
        <f>IF(AND(CP$5&gt;$E72,CP$5&lt;=$F72),IF(CP$5=$E72+1,$C72,""),"")</f>
        <v/>
      </c>
      <c r="CQ72" s="34">
        <f>IF(AND(CQ$5&gt;$E72,CQ$5&lt;=$F72),IF(CQ$5=$E72+1,$C72,""),"")</f>
        <v/>
      </c>
      <c r="CR72" s="34">
        <f>IF(AND(CR$5&gt;$E72,CR$5&lt;=$F72),IF(CR$5=$E72+1,$C72,""),"")</f>
        <v/>
      </c>
      <c r="CS72" s="34">
        <f>IF(AND(CS$5&gt;$E72,CS$5&lt;=$F72),IF(CS$5=$E72+1,$C72,""),"")</f>
        <v/>
      </c>
      <c r="CT72" s="34">
        <f>IF(AND(CT$5&gt;$E72,CT$5&lt;=$F72),IF(CT$5=$E72+1,$C72,""),"")</f>
        <v/>
      </c>
      <c r="CU72" s="34">
        <f>IF(AND(CU$5&gt;$E72,CU$5&lt;=$F72),IF(CU$5=$E72+1,$C72,""),"")</f>
        <v/>
      </c>
      <c r="CV72" s="34">
        <f>IF(AND(CV$5&gt;$E72,CV$5&lt;=$F72),IF(CV$5=$E72+1,$C72,""),"")</f>
        <v/>
      </c>
      <c r="CW72" s="34">
        <f>IF(AND(CW$5&gt;$E72,CW$5&lt;=$F72),IF(CW$5=$E72+1,$C72,""),"")</f>
        <v/>
      </c>
      <c r="CX72" s="34">
        <f>IF(AND(CX$5&gt;$E72,CX$5&lt;=$F72),IF(CX$5=$E72+1,$C72,""),"")</f>
        <v/>
      </c>
      <c r="CY72" s="34">
        <f>IF(AND(CY$5&gt;$E72,CY$5&lt;=$F72),IF(CY$5=$E72+1,$C72,""),"")</f>
        <v/>
      </c>
      <c r="CZ72" s="34">
        <f>IF(AND(CZ$5&gt;$E72,CZ$5&lt;=$F72),IF(CZ$5=$E72+1,$C72,""),"")</f>
        <v/>
      </c>
      <c r="DA72" s="34">
        <f>IF(AND(DA$5&gt;$E72,DA$5&lt;=$F72),IF(DA$5=$E72+1,$C72,""),"")</f>
        <v/>
      </c>
      <c r="DB72" s="34">
        <f>IF(AND(DB$5&gt;$E72,DB$5&lt;=$F72),IF(DB$5=$E72+1,$C72,""),"")</f>
        <v/>
      </c>
      <c r="DC72" s="34">
        <f>IF(AND(DC$5&gt;$E72,DC$5&lt;=$F72),IF(DC$5=$E72+1,$C72,""),"")</f>
        <v/>
      </c>
      <c r="DD72" s="34">
        <f>IF(AND(DD$5&gt;$E72,DD$5&lt;=$F72),IF(DD$5=$E72+1,$C72,""),"")</f>
        <v/>
      </c>
      <c r="DE72" s="34">
        <f>IF(AND(DE$5&gt;$E72,DE$5&lt;=$F72),IF(DE$5=$E72+1,$C72,""),"")</f>
        <v/>
      </c>
      <c r="DF72" s="34">
        <f>IF(AND(DF$5&gt;$E72,DF$5&lt;=$F72),IF(DF$5=$E72+1,$C72,""),"")</f>
        <v/>
      </c>
      <c r="DG72" s="34">
        <f>IF(AND(DG$5&gt;$E72,DG$5&lt;=$F72),IF(DG$5=$E72+1,$C72,""),"")</f>
        <v/>
      </c>
      <c r="DH72" s="34">
        <f>IF(AND(DH$5&gt;$E72,DH$5&lt;=$F72),IF(DH$5=$E72+1,$C72,""),"")</f>
        <v/>
      </c>
      <c r="DI72" s="34">
        <f>IF(AND(DI$5&gt;$E72,DI$5&lt;=$F72),IF(DI$5=$E72+1,$C72,""),"")</f>
        <v/>
      </c>
      <c r="DJ72" s="34">
        <f>IF(AND(DJ$5&gt;$E72,DJ$5&lt;=$F72),IF(DJ$5=$E72+1,$C72,""),"")</f>
        <v/>
      </c>
      <c r="DK72" s="34">
        <f>IF(AND(DK$5&gt;$E72,DK$5&lt;=$F72),IF(DK$5=$E72+1,$C72,""),"")</f>
        <v/>
      </c>
      <c r="DL72" s="34">
        <f>IF(AND(DL$5&gt;$E72,DL$5&lt;=$F72),IF(DL$5=$E72+1,$C72,""),"")</f>
        <v/>
      </c>
      <c r="DM72" s="34">
        <f>IF(AND(DM$5&gt;$E72,DM$5&lt;=$F72),IF(DM$5=$E72+1,$C72,""),"")</f>
        <v/>
      </c>
      <c r="DN72" s="34">
        <f>IF(AND(DN$5&gt;$E72,DN$5&lt;=$F72),IF(DN$5=$E72+1,$C72,""),"")</f>
        <v/>
      </c>
      <c r="DO72" s="34">
        <f>IF(AND(DO$5&gt;$E72,DO$5&lt;=$F72),IF(DO$5=$E72+1,$C72,""),"")</f>
        <v/>
      </c>
      <c r="DP72" s="34">
        <f>IF(AND(DP$5&gt;$E72,DP$5&lt;=$F72),IF(DP$5=$E72+1,$C72,""),"")</f>
        <v/>
      </c>
      <c r="DQ72" s="34">
        <f>IF(AND(DQ$5&gt;$E72,DQ$5&lt;=$F72),IF(DQ$5=$E72+1,$C72,""),"")</f>
        <v/>
      </c>
      <c r="DR72" s="34">
        <f>IF(AND(DR$5&gt;$E72,DR$5&lt;=$F72),IF(DR$5=$E72+1,$C72,""),"")</f>
        <v/>
      </c>
      <c r="DS72" s="34">
        <f>IF(AND(DS$5&gt;$E72,DS$5&lt;=$F72),IF(DS$5=$E72+1,$C72,""),"")</f>
        <v/>
      </c>
      <c r="DT72" s="34">
        <f>IF(AND(DT$5&gt;$E72,DT$5&lt;=$F72),IF(DT$5=$E72+1,$C72,""),"")</f>
        <v/>
      </c>
      <c r="DU72" s="34">
        <f>IF(AND(DU$5&gt;$E72,DU$5&lt;=$F72),IF(DU$5=$E72+1,$C72,""),"")</f>
        <v/>
      </c>
      <c r="DV72" s="34">
        <f>IF(AND(DV$5&gt;$E72,DV$5&lt;=$F72),IF(DV$5=$E72+1,$C72,""),"")</f>
        <v/>
      </c>
      <c r="DW72" s="34">
        <f>IF(AND(DW$5&gt;$E72,DW$5&lt;=$F72),IF(DW$5=$E72+1,$C72,""),"")</f>
        <v/>
      </c>
      <c r="DX72" s="34">
        <f>IF(AND(DX$5&gt;$E72,DX$5&lt;=$F72),IF(DX$5=$E72+1,$C72,""),"")</f>
        <v/>
      </c>
      <c r="DY72" s="34">
        <f>IF(AND(DY$5&gt;$E72,DY$5&lt;=$F72),IF(DY$5=$E72+1,$C72,""),"")</f>
        <v/>
      </c>
      <c r="DZ72" s="34">
        <f>IF(AND(DZ$5&gt;$E72,DZ$5&lt;=$F72),IF(DZ$5=$E72+1,$C72,""),"")</f>
        <v/>
      </c>
      <c r="EA72" s="34">
        <f>IF(AND(EA$5&gt;$E72,EA$5&lt;=$F72),IF(EA$5=$E72+1,$C72,""),"")</f>
        <v/>
      </c>
      <c r="EB72" s="34">
        <f>IF(AND(EB$5&gt;$E72,EB$5&lt;=$F72),IF(EB$5=$E72+1,$C72,""),"")</f>
        <v/>
      </c>
      <c r="EC72" s="34">
        <f>IF(AND(EC$5&gt;$E72,EC$5&lt;=$F72),IF(EC$5=$E72+1,$C72,""),"")</f>
        <v/>
      </c>
      <c r="ED72" s="34">
        <f>IF(AND(ED$5&gt;$E72,ED$5&lt;=$F72),IF(ED$5=$E72+1,$C72,""),"")</f>
        <v/>
      </c>
      <c r="EE72" s="34">
        <f>IF(AND(EE$5&gt;$E72,EE$5&lt;=$F72),IF(EE$5=$E72+1,$C72,""),"")</f>
        <v/>
      </c>
      <c r="EF72" s="34">
        <f>IF(AND(EF$5&gt;$E72,EF$5&lt;=$F72),IF(EF$5=$E72+1,$C72,""),"")</f>
        <v/>
      </c>
      <c r="EG72" s="34">
        <f>IF(AND(EG$5&gt;$E72,EG$5&lt;=$F72),IF(EG$5=$E72+1,$C72,""),"")</f>
        <v/>
      </c>
      <c r="EH72" s="34">
        <f>IF(AND(EH$5&gt;$E72,EH$5&lt;=$F72),IF(EH$5=$E72+1,$C72,""),"")</f>
        <v/>
      </c>
      <c r="EI72" s="34">
        <f>IF(AND(EI$5&gt;$E72,EI$5&lt;=$F72),IF(EI$5=$E72+1,$C72,""),"")</f>
        <v/>
      </c>
      <c r="EJ72" s="34">
        <f>IF(AND(EJ$5&gt;$E72,EJ$5&lt;=$F72),IF(EJ$5=$E72+1,$C72,""),"")</f>
        <v/>
      </c>
      <c r="EK72" s="34">
        <f>IF(AND(EK$5&gt;$E72,EK$5&lt;=$F72),IF(EK$5=$E72+1,$C72,""),"")</f>
        <v/>
      </c>
      <c r="EL72" s="34">
        <f>IF(AND(EL$5&gt;$E72,EL$5&lt;=$F72),IF(EL$5=$E72+1,$C72,""),"")</f>
        <v/>
      </c>
      <c r="EM72" s="34">
        <f>IF(AND(EM$5&gt;$E72,EM$5&lt;=$F72),IF(EM$5=$E72+1,$C72,""),"")</f>
        <v/>
      </c>
      <c r="EN72" s="34">
        <f>IF(AND(EN$5&gt;$E72,EN$5&lt;=$F72),IF(EN$5=$E72+1,$C72,""),"")</f>
        <v/>
      </c>
      <c r="EO72" s="34">
        <f>IF(AND(EO$5&gt;$E72,EO$5&lt;=$F72),IF(EO$5=$E72+1,$C72,""),"")</f>
        <v/>
      </c>
      <c r="EP72" s="34">
        <f>IF(AND(EP$5&gt;$E72,EP$5&lt;=$F72),IF(EP$5=$E72+1,$C72,""),"")</f>
        <v/>
      </c>
      <c r="EQ72" s="34">
        <f>IF(AND(EQ$5&gt;$E72,EQ$5&lt;=$F72),IF(EQ$5=$E72+1,$C72,""),"")</f>
        <v/>
      </c>
      <c r="ER72" s="34">
        <f>IF(AND(ER$5&gt;$E72,ER$5&lt;=$F72),IF(ER$5=$E72+1,$C72,""),"")</f>
        <v/>
      </c>
      <c r="ES72" s="34">
        <f>IF(AND(ES$5&gt;$E72,ES$5&lt;=$F72),IF(ES$5=$E72+1,$C72,""),"")</f>
        <v/>
      </c>
      <c r="ET72" s="34">
        <f>IF(AND(ET$5&gt;$E72,ET$5&lt;=$F72),IF(ET$5=$E72+1,$C72,""),"")</f>
        <v/>
      </c>
      <c r="EU72" s="34">
        <f>IF(AND(EU$5&gt;$E72,EU$5&lt;=$F72),IF(EU$5=$E72+1,$C72,""),"")</f>
        <v/>
      </c>
      <c r="EV72" s="34">
        <f>IF(AND(EV$5&gt;$E72,EV$5&lt;=$F72),IF(EV$5=$E72+1,$C72,""),"")</f>
        <v/>
      </c>
      <c r="EW72" s="34">
        <f>IF(AND(EW$5&gt;$E72,EW$5&lt;=$F72),IF(EW$5=$E72+1,$C72,""),"")</f>
        <v/>
      </c>
      <c r="EX72" s="34">
        <f>IF(AND(EX$5&gt;$E72,EX$5&lt;=$F72),IF(EX$5=$E72+1,$C72,""),"")</f>
        <v/>
      </c>
      <c r="EY72" s="34">
        <f>IF(AND(EY$5&gt;$E72,EY$5&lt;=$F72),IF(EY$5=$E72+1,$C72,""),"")</f>
        <v/>
      </c>
      <c r="EZ72" s="34">
        <f>IF(AND(EZ$5&gt;$E72,EZ$5&lt;=$F72),IF(EZ$5=$E72+1,$C72,""),"")</f>
        <v/>
      </c>
      <c r="FA72" s="34">
        <f>IF(AND(FA$5&gt;$E72,FA$5&lt;=$F72),IF(FA$5=$E72+1,$C72,""),"")</f>
        <v/>
      </c>
    </row>
    <row r="73">
      <c r="A73" s="32">
        <f>Plan!A122</f>
        <v/>
      </c>
      <c r="B73" s="33">
        <f>Plan!C122</f>
        <v/>
      </c>
      <c r="C73" s="16">
        <f>Plan!D122</f>
        <v/>
      </c>
      <c r="D73" s="16">
        <f>Plan!I122</f>
        <v/>
      </c>
      <c r="E73" s="16">
        <f>Plan!K122</f>
        <v/>
      </c>
      <c r="F73" s="16">
        <f>Plan!L122</f>
        <v/>
      </c>
      <c r="G73" s="16">
        <f>Plan!O122</f>
        <v/>
      </c>
      <c r="H73" s="34">
        <f>IF(AND(H$5&gt;$E73,H$5&lt;=$F73),IF(H$5=$E73+1,$C73,""),"")</f>
        <v/>
      </c>
      <c r="I73" s="34">
        <f>IF(AND(I$5&gt;$E73,I$5&lt;=$F73),IF(I$5=$E73+1,$C73,""),"")</f>
        <v/>
      </c>
      <c r="J73" s="34">
        <f>IF(AND(J$5&gt;$E73,J$5&lt;=$F73),IF(J$5=$E73+1,$C73,""),"")</f>
        <v/>
      </c>
      <c r="K73" s="34">
        <f>IF(AND(K$5&gt;$E73,K$5&lt;=$F73),IF(K$5=$E73+1,$C73,""),"")</f>
        <v/>
      </c>
      <c r="L73" s="34">
        <f>IF(AND(L$5&gt;$E73,L$5&lt;=$F73),IF(L$5=$E73+1,$C73,""),"")</f>
        <v/>
      </c>
      <c r="M73" s="34">
        <f>IF(AND(M$5&gt;$E73,M$5&lt;=$F73),IF(M$5=$E73+1,$C73,""),"")</f>
        <v/>
      </c>
      <c r="N73" s="34">
        <f>IF(AND(N$5&gt;$E73,N$5&lt;=$F73),IF(N$5=$E73+1,$C73,""),"")</f>
        <v/>
      </c>
      <c r="O73" s="34">
        <f>IF(AND(O$5&gt;$E73,O$5&lt;=$F73),IF(O$5=$E73+1,$C73,""),"")</f>
        <v/>
      </c>
      <c r="P73" s="34">
        <f>IF(AND(P$5&gt;$E73,P$5&lt;=$F73),IF(P$5=$E73+1,$C73,""),"")</f>
        <v/>
      </c>
      <c r="Q73" s="34">
        <f>IF(AND(Q$5&gt;$E73,Q$5&lt;=$F73),IF(Q$5=$E73+1,$C73,""),"")</f>
        <v/>
      </c>
      <c r="R73" s="34">
        <f>IF(AND(R$5&gt;$E73,R$5&lt;=$F73),IF(R$5=$E73+1,$C73,""),"")</f>
        <v/>
      </c>
      <c r="S73" s="34">
        <f>IF(AND(S$5&gt;$E73,S$5&lt;=$F73),IF(S$5=$E73+1,$C73,""),"")</f>
        <v/>
      </c>
      <c r="T73" s="34">
        <f>IF(AND(T$5&gt;$E73,T$5&lt;=$F73),IF(T$5=$E73+1,$C73,""),"")</f>
        <v/>
      </c>
      <c r="U73" s="34">
        <f>IF(AND(U$5&gt;$E73,U$5&lt;=$F73),IF(U$5=$E73+1,$C73,""),"")</f>
        <v/>
      </c>
      <c r="V73" s="34">
        <f>IF(AND(V$5&gt;$E73,V$5&lt;=$F73),IF(V$5=$E73+1,$C73,""),"")</f>
        <v/>
      </c>
      <c r="W73" s="34">
        <f>IF(AND(W$5&gt;$E73,W$5&lt;=$F73),IF(W$5=$E73+1,$C73,""),"")</f>
        <v/>
      </c>
      <c r="X73" s="34">
        <f>IF(AND(X$5&gt;$E73,X$5&lt;=$F73),IF(X$5=$E73+1,$C73,""),"")</f>
        <v/>
      </c>
      <c r="Y73" s="34">
        <f>IF(AND(Y$5&gt;$E73,Y$5&lt;=$F73),IF(Y$5=$E73+1,$C73,""),"")</f>
        <v/>
      </c>
      <c r="Z73" s="34">
        <f>IF(AND(Z$5&gt;$E73,Z$5&lt;=$F73),IF(Z$5=$E73+1,$C73,""),"")</f>
        <v/>
      </c>
      <c r="AA73" s="34">
        <f>IF(AND(AA$5&gt;$E73,AA$5&lt;=$F73),IF(AA$5=$E73+1,$C73,""),"")</f>
        <v/>
      </c>
      <c r="AB73" s="34">
        <f>IF(AND(AB$5&gt;$E73,AB$5&lt;=$F73),IF(AB$5=$E73+1,$C73,""),"")</f>
        <v/>
      </c>
      <c r="AC73" s="34">
        <f>IF(AND(AC$5&gt;$E73,AC$5&lt;=$F73),IF(AC$5=$E73+1,$C73,""),"")</f>
        <v/>
      </c>
      <c r="AD73" s="34">
        <f>IF(AND(AD$5&gt;$E73,AD$5&lt;=$F73),IF(AD$5=$E73+1,$C73,""),"")</f>
        <v/>
      </c>
      <c r="AE73" s="34">
        <f>IF(AND(AE$5&gt;$E73,AE$5&lt;=$F73),IF(AE$5=$E73+1,$C73,""),"")</f>
        <v/>
      </c>
      <c r="AF73" s="34">
        <f>IF(AND(AF$5&gt;$E73,AF$5&lt;=$F73),IF(AF$5=$E73+1,$C73,""),"")</f>
        <v/>
      </c>
      <c r="AG73" s="34">
        <f>IF(AND(AG$5&gt;$E73,AG$5&lt;=$F73),IF(AG$5=$E73+1,$C73,""),"")</f>
        <v/>
      </c>
      <c r="AH73" s="34">
        <f>IF(AND(AH$5&gt;$E73,AH$5&lt;=$F73),IF(AH$5=$E73+1,$C73,""),"")</f>
        <v/>
      </c>
      <c r="AI73" s="34">
        <f>IF(AND(AI$5&gt;$E73,AI$5&lt;=$F73),IF(AI$5=$E73+1,$C73,""),"")</f>
        <v/>
      </c>
      <c r="AJ73" s="34">
        <f>IF(AND(AJ$5&gt;$E73,AJ$5&lt;=$F73),IF(AJ$5=$E73+1,$C73,""),"")</f>
        <v/>
      </c>
      <c r="AK73" s="34">
        <f>IF(AND(AK$5&gt;$E73,AK$5&lt;=$F73),IF(AK$5=$E73+1,$C73,""),"")</f>
        <v/>
      </c>
      <c r="AL73" s="34">
        <f>IF(AND(AL$5&gt;$E73,AL$5&lt;=$F73),IF(AL$5=$E73+1,$C73,""),"")</f>
        <v/>
      </c>
      <c r="AM73" s="34">
        <f>IF(AND(AM$5&gt;$E73,AM$5&lt;=$F73),IF(AM$5=$E73+1,$C73,""),"")</f>
        <v/>
      </c>
      <c r="AN73" s="34">
        <f>IF(AND(AN$5&gt;$E73,AN$5&lt;=$F73),IF(AN$5=$E73+1,$C73,""),"")</f>
        <v/>
      </c>
      <c r="AO73" s="34">
        <f>IF(AND(AO$5&gt;$E73,AO$5&lt;=$F73),IF(AO$5=$E73+1,$C73,""),"")</f>
        <v/>
      </c>
      <c r="AP73" s="34">
        <f>IF(AND(AP$5&gt;$E73,AP$5&lt;=$F73),IF(AP$5=$E73+1,$C73,""),"")</f>
        <v/>
      </c>
      <c r="AQ73" s="34">
        <f>IF(AND(AQ$5&gt;$E73,AQ$5&lt;=$F73),IF(AQ$5=$E73+1,$C73,""),"")</f>
        <v/>
      </c>
      <c r="AR73" s="34">
        <f>IF(AND(AR$5&gt;$E73,AR$5&lt;=$F73),IF(AR$5=$E73+1,$C73,""),"")</f>
        <v/>
      </c>
      <c r="AS73" s="34">
        <f>IF(AND(AS$5&gt;$E73,AS$5&lt;=$F73),IF(AS$5=$E73+1,$C73,""),"")</f>
        <v/>
      </c>
      <c r="AT73" s="34">
        <f>IF(AND(AT$5&gt;$E73,AT$5&lt;=$F73),IF(AT$5=$E73+1,$C73,""),"")</f>
        <v/>
      </c>
      <c r="AU73" s="34">
        <f>IF(AND(AU$5&gt;$E73,AU$5&lt;=$F73),IF(AU$5=$E73+1,$C73,""),"")</f>
        <v/>
      </c>
      <c r="AV73" s="34">
        <f>IF(AND(AV$5&gt;$E73,AV$5&lt;=$F73),IF(AV$5=$E73+1,$C73,""),"")</f>
        <v/>
      </c>
      <c r="AW73" s="34">
        <f>IF(AND(AW$5&gt;$E73,AW$5&lt;=$F73),IF(AW$5=$E73+1,$C73,""),"")</f>
        <v/>
      </c>
      <c r="AX73" s="34">
        <f>IF(AND(AX$5&gt;$E73,AX$5&lt;=$F73),IF(AX$5=$E73+1,$C73,""),"")</f>
        <v/>
      </c>
      <c r="AY73" s="34">
        <f>IF(AND(AY$5&gt;$E73,AY$5&lt;=$F73),IF(AY$5=$E73+1,$C73,""),"")</f>
        <v/>
      </c>
      <c r="AZ73" s="34">
        <f>IF(AND(AZ$5&gt;$E73,AZ$5&lt;=$F73),IF(AZ$5=$E73+1,$C73,""),"")</f>
        <v/>
      </c>
      <c r="BA73" s="34">
        <f>IF(AND(BA$5&gt;$E73,BA$5&lt;=$F73),IF(BA$5=$E73+1,$C73,""),"")</f>
        <v/>
      </c>
      <c r="BB73" s="34">
        <f>IF(AND(BB$5&gt;$E73,BB$5&lt;=$F73),IF(BB$5=$E73+1,$C73,""),"")</f>
        <v/>
      </c>
      <c r="BC73" s="34">
        <f>IF(AND(BC$5&gt;$E73,BC$5&lt;=$F73),IF(BC$5=$E73+1,$C73,""),"")</f>
        <v/>
      </c>
      <c r="BD73" s="34">
        <f>IF(AND(BD$5&gt;$E73,BD$5&lt;=$F73),IF(BD$5=$E73+1,$C73,""),"")</f>
        <v/>
      </c>
      <c r="BE73" s="34">
        <f>IF(AND(BE$5&gt;$E73,BE$5&lt;=$F73),IF(BE$5=$E73+1,$C73,""),"")</f>
        <v/>
      </c>
      <c r="BF73" s="34">
        <f>IF(AND(BF$5&gt;$E73,BF$5&lt;=$F73),IF(BF$5=$E73+1,$C73,""),"")</f>
        <v/>
      </c>
      <c r="BG73" s="34">
        <f>IF(AND(BG$5&gt;$E73,BG$5&lt;=$F73),IF(BG$5=$E73+1,$C73,""),"")</f>
        <v/>
      </c>
      <c r="BH73" s="34">
        <f>IF(AND(BH$5&gt;$E73,BH$5&lt;=$F73),IF(BH$5=$E73+1,$C73,""),"")</f>
        <v/>
      </c>
      <c r="BI73" s="34">
        <f>IF(AND(BI$5&gt;$E73,BI$5&lt;=$F73),IF(BI$5=$E73+1,$C73,""),"")</f>
        <v/>
      </c>
      <c r="BJ73" s="34">
        <f>IF(AND(BJ$5&gt;$E73,BJ$5&lt;=$F73),IF(BJ$5=$E73+1,$C73,""),"")</f>
        <v/>
      </c>
      <c r="BK73" s="34">
        <f>IF(AND(BK$5&gt;$E73,BK$5&lt;=$F73),IF(BK$5=$E73+1,$C73,""),"")</f>
        <v/>
      </c>
      <c r="BL73" s="34">
        <f>IF(AND(BL$5&gt;$E73,BL$5&lt;=$F73),IF(BL$5=$E73+1,$C73,""),"")</f>
        <v/>
      </c>
      <c r="BM73" s="34">
        <f>IF(AND(BM$5&gt;$E73,BM$5&lt;=$F73),IF(BM$5=$E73+1,$C73,""),"")</f>
        <v/>
      </c>
      <c r="BN73" s="34">
        <f>IF(AND(BN$5&gt;$E73,BN$5&lt;=$F73),IF(BN$5=$E73+1,$C73,""),"")</f>
        <v/>
      </c>
      <c r="BO73" s="34">
        <f>IF(AND(BO$5&gt;$E73,BO$5&lt;=$F73),IF(BO$5=$E73+1,$C73,""),"")</f>
        <v/>
      </c>
      <c r="BP73" s="34">
        <f>IF(AND(BP$5&gt;$E73,BP$5&lt;=$F73),IF(BP$5=$E73+1,$C73,""),"")</f>
        <v/>
      </c>
      <c r="BQ73" s="34">
        <f>IF(AND(BQ$5&gt;$E73,BQ$5&lt;=$F73),IF(BQ$5=$E73+1,$C73,""),"")</f>
        <v/>
      </c>
      <c r="BR73" s="34">
        <f>IF(AND(BR$5&gt;$E73,BR$5&lt;=$F73),IF(BR$5=$E73+1,$C73,""),"")</f>
        <v/>
      </c>
      <c r="BS73" s="34">
        <f>IF(AND(BS$5&gt;$E73,BS$5&lt;=$F73),IF(BS$5=$E73+1,$C73,""),"")</f>
        <v/>
      </c>
      <c r="BT73" s="34">
        <f>IF(AND(BT$5&gt;$E73,BT$5&lt;=$F73),IF(BT$5=$E73+1,$C73,""),"")</f>
        <v/>
      </c>
      <c r="BU73" s="34">
        <f>IF(AND(BU$5&gt;$E73,BU$5&lt;=$F73),IF(BU$5=$E73+1,$C73,""),"")</f>
        <v/>
      </c>
      <c r="BV73" s="34">
        <f>IF(AND(BV$5&gt;$E73,BV$5&lt;=$F73),IF(BV$5=$E73+1,$C73,""),"")</f>
        <v/>
      </c>
      <c r="BW73" s="34">
        <f>IF(AND(BW$5&gt;$E73,BW$5&lt;=$F73),IF(BW$5=$E73+1,$C73,""),"")</f>
        <v/>
      </c>
      <c r="BX73" s="34">
        <f>IF(AND(BX$5&gt;$E73,BX$5&lt;=$F73),IF(BX$5=$E73+1,$C73,""),"")</f>
        <v/>
      </c>
      <c r="BY73" s="34">
        <f>IF(AND(BY$5&gt;$E73,BY$5&lt;=$F73),IF(BY$5=$E73+1,$C73,""),"")</f>
        <v/>
      </c>
      <c r="BZ73" s="34">
        <f>IF(AND(BZ$5&gt;$E73,BZ$5&lt;=$F73),IF(BZ$5=$E73+1,$C73,""),"")</f>
        <v/>
      </c>
      <c r="CA73" s="34">
        <f>IF(AND(CA$5&gt;$E73,CA$5&lt;=$F73),IF(CA$5=$E73+1,$C73,""),"")</f>
        <v/>
      </c>
      <c r="CB73" s="34">
        <f>IF(AND(CB$5&gt;$E73,CB$5&lt;=$F73),IF(CB$5=$E73+1,$C73,""),"")</f>
        <v/>
      </c>
      <c r="CC73" s="34">
        <f>IF(AND(CC$5&gt;$E73,CC$5&lt;=$F73),IF(CC$5=$E73+1,$C73,""),"")</f>
        <v/>
      </c>
      <c r="CD73" s="34">
        <f>IF(AND(CD$5&gt;$E73,CD$5&lt;=$F73),IF(CD$5=$E73+1,$C73,""),"")</f>
        <v/>
      </c>
      <c r="CE73" s="34">
        <f>IF(AND(CE$5&gt;$E73,CE$5&lt;=$F73),IF(CE$5=$E73+1,$C73,""),"")</f>
        <v/>
      </c>
      <c r="CF73" s="34">
        <f>IF(AND(CF$5&gt;$E73,CF$5&lt;=$F73),IF(CF$5=$E73+1,$C73,""),"")</f>
        <v/>
      </c>
      <c r="CG73" s="34">
        <f>IF(AND(CG$5&gt;$E73,CG$5&lt;=$F73),IF(CG$5=$E73+1,$C73,""),"")</f>
        <v/>
      </c>
      <c r="CH73" s="34">
        <f>IF(AND(CH$5&gt;$E73,CH$5&lt;=$F73),IF(CH$5=$E73+1,$C73,""),"")</f>
        <v/>
      </c>
      <c r="CI73" s="34">
        <f>IF(AND(CI$5&gt;$E73,CI$5&lt;=$F73),IF(CI$5=$E73+1,$C73,""),"")</f>
        <v/>
      </c>
      <c r="CJ73" s="34">
        <f>IF(AND(CJ$5&gt;$E73,CJ$5&lt;=$F73),IF(CJ$5=$E73+1,$C73,""),"")</f>
        <v/>
      </c>
      <c r="CK73" s="34">
        <f>IF(AND(CK$5&gt;$E73,CK$5&lt;=$F73),IF(CK$5=$E73+1,$C73,""),"")</f>
        <v/>
      </c>
      <c r="CL73" s="34">
        <f>IF(AND(CL$5&gt;$E73,CL$5&lt;=$F73),IF(CL$5=$E73+1,$C73,""),"")</f>
        <v/>
      </c>
      <c r="CM73" s="34">
        <f>IF(AND(CM$5&gt;$E73,CM$5&lt;=$F73),IF(CM$5=$E73+1,$C73,""),"")</f>
        <v/>
      </c>
      <c r="CN73" s="34">
        <f>IF(AND(CN$5&gt;$E73,CN$5&lt;=$F73),IF(CN$5=$E73+1,$C73,""),"")</f>
        <v/>
      </c>
      <c r="CO73" s="34">
        <f>IF(AND(CO$5&gt;$E73,CO$5&lt;=$F73),IF(CO$5=$E73+1,$C73,""),"")</f>
        <v/>
      </c>
      <c r="CP73" s="34">
        <f>IF(AND(CP$5&gt;$E73,CP$5&lt;=$F73),IF(CP$5=$E73+1,$C73,""),"")</f>
        <v/>
      </c>
      <c r="CQ73" s="34">
        <f>IF(AND(CQ$5&gt;$E73,CQ$5&lt;=$F73),IF(CQ$5=$E73+1,$C73,""),"")</f>
        <v/>
      </c>
      <c r="CR73" s="34">
        <f>IF(AND(CR$5&gt;$E73,CR$5&lt;=$F73),IF(CR$5=$E73+1,$C73,""),"")</f>
        <v/>
      </c>
      <c r="CS73" s="34">
        <f>IF(AND(CS$5&gt;$E73,CS$5&lt;=$F73),IF(CS$5=$E73+1,$C73,""),"")</f>
        <v/>
      </c>
      <c r="CT73" s="34">
        <f>IF(AND(CT$5&gt;$E73,CT$5&lt;=$F73),IF(CT$5=$E73+1,$C73,""),"")</f>
        <v/>
      </c>
      <c r="CU73" s="34">
        <f>IF(AND(CU$5&gt;$E73,CU$5&lt;=$F73),IF(CU$5=$E73+1,$C73,""),"")</f>
        <v/>
      </c>
      <c r="CV73" s="34">
        <f>IF(AND(CV$5&gt;$E73,CV$5&lt;=$F73),IF(CV$5=$E73+1,$C73,""),"")</f>
        <v/>
      </c>
      <c r="CW73" s="34">
        <f>IF(AND(CW$5&gt;$E73,CW$5&lt;=$F73),IF(CW$5=$E73+1,$C73,""),"")</f>
        <v/>
      </c>
      <c r="CX73" s="34">
        <f>IF(AND(CX$5&gt;$E73,CX$5&lt;=$F73),IF(CX$5=$E73+1,$C73,""),"")</f>
        <v/>
      </c>
      <c r="CY73" s="34">
        <f>IF(AND(CY$5&gt;$E73,CY$5&lt;=$F73),IF(CY$5=$E73+1,$C73,""),"")</f>
        <v/>
      </c>
      <c r="CZ73" s="34">
        <f>IF(AND(CZ$5&gt;$E73,CZ$5&lt;=$F73),IF(CZ$5=$E73+1,$C73,""),"")</f>
        <v/>
      </c>
      <c r="DA73" s="34">
        <f>IF(AND(DA$5&gt;$E73,DA$5&lt;=$F73),IF(DA$5=$E73+1,$C73,""),"")</f>
        <v/>
      </c>
      <c r="DB73" s="34">
        <f>IF(AND(DB$5&gt;$E73,DB$5&lt;=$F73),IF(DB$5=$E73+1,$C73,""),"")</f>
        <v/>
      </c>
      <c r="DC73" s="34">
        <f>IF(AND(DC$5&gt;$E73,DC$5&lt;=$F73),IF(DC$5=$E73+1,$C73,""),"")</f>
        <v/>
      </c>
      <c r="DD73" s="34">
        <f>IF(AND(DD$5&gt;$E73,DD$5&lt;=$F73),IF(DD$5=$E73+1,$C73,""),"")</f>
        <v/>
      </c>
      <c r="DE73" s="34">
        <f>IF(AND(DE$5&gt;$E73,DE$5&lt;=$F73),IF(DE$5=$E73+1,$C73,""),"")</f>
        <v/>
      </c>
      <c r="DF73" s="34">
        <f>IF(AND(DF$5&gt;$E73,DF$5&lt;=$F73),IF(DF$5=$E73+1,$C73,""),"")</f>
        <v/>
      </c>
      <c r="DG73" s="34">
        <f>IF(AND(DG$5&gt;$E73,DG$5&lt;=$F73),IF(DG$5=$E73+1,$C73,""),"")</f>
        <v/>
      </c>
      <c r="DH73" s="34">
        <f>IF(AND(DH$5&gt;$E73,DH$5&lt;=$F73),IF(DH$5=$E73+1,$C73,""),"")</f>
        <v/>
      </c>
      <c r="DI73" s="34">
        <f>IF(AND(DI$5&gt;$E73,DI$5&lt;=$F73),IF(DI$5=$E73+1,$C73,""),"")</f>
        <v/>
      </c>
      <c r="DJ73" s="34">
        <f>IF(AND(DJ$5&gt;$E73,DJ$5&lt;=$F73),IF(DJ$5=$E73+1,$C73,""),"")</f>
        <v/>
      </c>
      <c r="DK73" s="34">
        <f>IF(AND(DK$5&gt;$E73,DK$5&lt;=$F73),IF(DK$5=$E73+1,$C73,""),"")</f>
        <v/>
      </c>
      <c r="DL73" s="34">
        <f>IF(AND(DL$5&gt;$E73,DL$5&lt;=$F73),IF(DL$5=$E73+1,$C73,""),"")</f>
        <v/>
      </c>
      <c r="DM73" s="34">
        <f>IF(AND(DM$5&gt;$E73,DM$5&lt;=$F73),IF(DM$5=$E73+1,$C73,""),"")</f>
        <v/>
      </c>
      <c r="DN73" s="34">
        <f>IF(AND(DN$5&gt;$E73,DN$5&lt;=$F73),IF(DN$5=$E73+1,$C73,""),"")</f>
        <v/>
      </c>
      <c r="DO73" s="34">
        <f>IF(AND(DO$5&gt;$E73,DO$5&lt;=$F73),IF(DO$5=$E73+1,$C73,""),"")</f>
        <v/>
      </c>
      <c r="DP73" s="34">
        <f>IF(AND(DP$5&gt;$E73,DP$5&lt;=$F73),IF(DP$5=$E73+1,$C73,""),"")</f>
        <v/>
      </c>
      <c r="DQ73" s="34">
        <f>IF(AND(DQ$5&gt;$E73,DQ$5&lt;=$F73),IF(DQ$5=$E73+1,$C73,""),"")</f>
        <v/>
      </c>
      <c r="DR73" s="34">
        <f>IF(AND(DR$5&gt;$E73,DR$5&lt;=$F73),IF(DR$5=$E73+1,$C73,""),"")</f>
        <v/>
      </c>
      <c r="DS73" s="34">
        <f>IF(AND(DS$5&gt;$E73,DS$5&lt;=$F73),IF(DS$5=$E73+1,$C73,""),"")</f>
        <v/>
      </c>
      <c r="DT73" s="34">
        <f>IF(AND(DT$5&gt;$E73,DT$5&lt;=$F73),IF(DT$5=$E73+1,$C73,""),"")</f>
        <v/>
      </c>
      <c r="DU73" s="34">
        <f>IF(AND(DU$5&gt;$E73,DU$5&lt;=$F73),IF(DU$5=$E73+1,$C73,""),"")</f>
        <v/>
      </c>
      <c r="DV73" s="34">
        <f>IF(AND(DV$5&gt;$E73,DV$5&lt;=$F73),IF(DV$5=$E73+1,$C73,""),"")</f>
        <v/>
      </c>
      <c r="DW73" s="34">
        <f>IF(AND(DW$5&gt;$E73,DW$5&lt;=$F73),IF(DW$5=$E73+1,$C73,""),"")</f>
        <v/>
      </c>
      <c r="DX73" s="34">
        <f>IF(AND(DX$5&gt;$E73,DX$5&lt;=$F73),IF(DX$5=$E73+1,$C73,""),"")</f>
        <v/>
      </c>
      <c r="DY73" s="34">
        <f>IF(AND(DY$5&gt;$E73,DY$5&lt;=$F73),IF(DY$5=$E73+1,$C73,""),"")</f>
        <v/>
      </c>
      <c r="DZ73" s="34">
        <f>IF(AND(DZ$5&gt;$E73,DZ$5&lt;=$F73),IF(DZ$5=$E73+1,$C73,""),"")</f>
        <v/>
      </c>
      <c r="EA73" s="34">
        <f>IF(AND(EA$5&gt;$E73,EA$5&lt;=$F73),IF(EA$5=$E73+1,$C73,""),"")</f>
        <v/>
      </c>
      <c r="EB73" s="34">
        <f>IF(AND(EB$5&gt;$E73,EB$5&lt;=$F73),IF(EB$5=$E73+1,$C73,""),"")</f>
        <v/>
      </c>
      <c r="EC73" s="34">
        <f>IF(AND(EC$5&gt;$E73,EC$5&lt;=$F73),IF(EC$5=$E73+1,$C73,""),"")</f>
        <v/>
      </c>
      <c r="ED73" s="34">
        <f>IF(AND(ED$5&gt;$E73,ED$5&lt;=$F73),IF(ED$5=$E73+1,$C73,""),"")</f>
        <v/>
      </c>
      <c r="EE73" s="34">
        <f>IF(AND(EE$5&gt;$E73,EE$5&lt;=$F73),IF(EE$5=$E73+1,$C73,""),"")</f>
        <v/>
      </c>
      <c r="EF73" s="34">
        <f>IF(AND(EF$5&gt;$E73,EF$5&lt;=$F73),IF(EF$5=$E73+1,$C73,""),"")</f>
        <v/>
      </c>
      <c r="EG73" s="34">
        <f>IF(AND(EG$5&gt;$E73,EG$5&lt;=$F73),IF(EG$5=$E73+1,$C73,""),"")</f>
        <v/>
      </c>
      <c r="EH73" s="34">
        <f>IF(AND(EH$5&gt;$E73,EH$5&lt;=$F73),IF(EH$5=$E73+1,$C73,""),"")</f>
        <v/>
      </c>
      <c r="EI73" s="34">
        <f>IF(AND(EI$5&gt;$E73,EI$5&lt;=$F73),IF(EI$5=$E73+1,$C73,""),"")</f>
        <v/>
      </c>
      <c r="EJ73" s="34">
        <f>IF(AND(EJ$5&gt;$E73,EJ$5&lt;=$F73),IF(EJ$5=$E73+1,$C73,""),"")</f>
        <v/>
      </c>
      <c r="EK73" s="34">
        <f>IF(AND(EK$5&gt;$E73,EK$5&lt;=$F73),IF(EK$5=$E73+1,$C73,""),"")</f>
        <v/>
      </c>
      <c r="EL73" s="34">
        <f>IF(AND(EL$5&gt;$E73,EL$5&lt;=$F73),IF(EL$5=$E73+1,$C73,""),"")</f>
        <v/>
      </c>
      <c r="EM73" s="34">
        <f>IF(AND(EM$5&gt;$E73,EM$5&lt;=$F73),IF(EM$5=$E73+1,$C73,""),"")</f>
        <v/>
      </c>
      <c r="EN73" s="34">
        <f>IF(AND(EN$5&gt;$E73,EN$5&lt;=$F73),IF(EN$5=$E73+1,$C73,""),"")</f>
        <v/>
      </c>
      <c r="EO73" s="34">
        <f>IF(AND(EO$5&gt;$E73,EO$5&lt;=$F73),IF(EO$5=$E73+1,$C73,""),"")</f>
        <v/>
      </c>
      <c r="EP73" s="34">
        <f>IF(AND(EP$5&gt;$E73,EP$5&lt;=$F73),IF(EP$5=$E73+1,$C73,""),"")</f>
        <v/>
      </c>
      <c r="EQ73" s="34">
        <f>IF(AND(EQ$5&gt;$E73,EQ$5&lt;=$F73),IF(EQ$5=$E73+1,$C73,""),"")</f>
        <v/>
      </c>
      <c r="ER73" s="34">
        <f>IF(AND(ER$5&gt;$E73,ER$5&lt;=$F73),IF(ER$5=$E73+1,$C73,""),"")</f>
        <v/>
      </c>
      <c r="ES73" s="34">
        <f>IF(AND(ES$5&gt;$E73,ES$5&lt;=$F73),IF(ES$5=$E73+1,$C73,""),"")</f>
        <v/>
      </c>
      <c r="ET73" s="34">
        <f>IF(AND(ET$5&gt;$E73,ET$5&lt;=$F73),IF(ET$5=$E73+1,$C73,""),"")</f>
        <v/>
      </c>
      <c r="EU73" s="34">
        <f>IF(AND(EU$5&gt;$E73,EU$5&lt;=$F73),IF(EU$5=$E73+1,$C73,""),"")</f>
        <v/>
      </c>
      <c r="EV73" s="34">
        <f>IF(AND(EV$5&gt;$E73,EV$5&lt;=$F73),IF(EV$5=$E73+1,$C73,""),"")</f>
        <v/>
      </c>
      <c r="EW73" s="34">
        <f>IF(AND(EW$5&gt;$E73,EW$5&lt;=$F73),IF(EW$5=$E73+1,$C73,""),"")</f>
        <v/>
      </c>
      <c r="EX73" s="34">
        <f>IF(AND(EX$5&gt;$E73,EX$5&lt;=$F73),IF(EX$5=$E73+1,$C73,""),"")</f>
        <v/>
      </c>
      <c r="EY73" s="34">
        <f>IF(AND(EY$5&gt;$E73,EY$5&lt;=$F73),IF(EY$5=$E73+1,$C73,""),"")</f>
        <v/>
      </c>
      <c r="EZ73" s="34">
        <f>IF(AND(EZ$5&gt;$E73,EZ$5&lt;=$F73),IF(EZ$5=$E73+1,$C73,""),"")</f>
        <v/>
      </c>
      <c r="FA73" s="34">
        <f>IF(AND(FA$5&gt;$E73,FA$5&lt;=$F73),IF(FA$5=$E73+1,$C73,""),"")</f>
        <v/>
      </c>
    </row>
    <row r="74">
      <c r="A74" s="32">
        <f>Plan!A123</f>
        <v/>
      </c>
      <c r="B74" s="33">
        <f>Plan!C123</f>
        <v/>
      </c>
      <c r="C74" s="16">
        <f>Plan!D123</f>
        <v/>
      </c>
      <c r="D74" s="16">
        <f>Plan!I123</f>
        <v/>
      </c>
      <c r="E74" s="16">
        <f>Plan!K123</f>
        <v/>
      </c>
      <c r="F74" s="16">
        <f>Plan!L123</f>
        <v/>
      </c>
      <c r="G74" s="16">
        <f>Plan!O123</f>
        <v/>
      </c>
      <c r="H74" s="34">
        <f>IF(AND(H$5&gt;$E74,H$5&lt;=$F74),IF(H$5=$E74+1,$C74,""),"")</f>
        <v/>
      </c>
      <c r="I74" s="34">
        <f>IF(AND(I$5&gt;$E74,I$5&lt;=$F74),IF(I$5=$E74+1,$C74,""),"")</f>
        <v/>
      </c>
      <c r="J74" s="34">
        <f>IF(AND(J$5&gt;$E74,J$5&lt;=$F74),IF(J$5=$E74+1,$C74,""),"")</f>
        <v/>
      </c>
      <c r="K74" s="34">
        <f>IF(AND(K$5&gt;$E74,K$5&lt;=$F74),IF(K$5=$E74+1,$C74,""),"")</f>
        <v/>
      </c>
      <c r="L74" s="34">
        <f>IF(AND(L$5&gt;$E74,L$5&lt;=$F74),IF(L$5=$E74+1,$C74,""),"")</f>
        <v/>
      </c>
      <c r="M74" s="34">
        <f>IF(AND(M$5&gt;$E74,M$5&lt;=$F74),IF(M$5=$E74+1,$C74,""),"")</f>
        <v/>
      </c>
      <c r="N74" s="34">
        <f>IF(AND(N$5&gt;$E74,N$5&lt;=$F74),IF(N$5=$E74+1,$C74,""),"")</f>
        <v/>
      </c>
      <c r="O74" s="34">
        <f>IF(AND(O$5&gt;$E74,O$5&lt;=$F74),IF(O$5=$E74+1,$C74,""),"")</f>
        <v/>
      </c>
      <c r="P74" s="34">
        <f>IF(AND(P$5&gt;$E74,P$5&lt;=$F74),IF(P$5=$E74+1,$C74,""),"")</f>
        <v/>
      </c>
      <c r="Q74" s="34">
        <f>IF(AND(Q$5&gt;$E74,Q$5&lt;=$F74),IF(Q$5=$E74+1,$C74,""),"")</f>
        <v/>
      </c>
      <c r="R74" s="34">
        <f>IF(AND(R$5&gt;$E74,R$5&lt;=$F74),IF(R$5=$E74+1,$C74,""),"")</f>
        <v/>
      </c>
      <c r="S74" s="34">
        <f>IF(AND(S$5&gt;$E74,S$5&lt;=$F74),IF(S$5=$E74+1,$C74,""),"")</f>
        <v/>
      </c>
      <c r="T74" s="34">
        <f>IF(AND(T$5&gt;$E74,T$5&lt;=$F74),IF(T$5=$E74+1,$C74,""),"")</f>
        <v/>
      </c>
      <c r="U74" s="34">
        <f>IF(AND(U$5&gt;$E74,U$5&lt;=$F74),IF(U$5=$E74+1,$C74,""),"")</f>
        <v/>
      </c>
      <c r="V74" s="34">
        <f>IF(AND(V$5&gt;$E74,V$5&lt;=$F74),IF(V$5=$E74+1,$C74,""),"")</f>
        <v/>
      </c>
      <c r="W74" s="34">
        <f>IF(AND(W$5&gt;$E74,W$5&lt;=$F74),IF(W$5=$E74+1,$C74,""),"")</f>
        <v/>
      </c>
      <c r="X74" s="34">
        <f>IF(AND(X$5&gt;$E74,X$5&lt;=$F74),IF(X$5=$E74+1,$C74,""),"")</f>
        <v/>
      </c>
      <c r="Y74" s="34">
        <f>IF(AND(Y$5&gt;$E74,Y$5&lt;=$F74),IF(Y$5=$E74+1,$C74,""),"")</f>
        <v/>
      </c>
      <c r="Z74" s="34">
        <f>IF(AND(Z$5&gt;$E74,Z$5&lt;=$F74),IF(Z$5=$E74+1,$C74,""),"")</f>
        <v/>
      </c>
      <c r="AA74" s="34">
        <f>IF(AND(AA$5&gt;$E74,AA$5&lt;=$F74),IF(AA$5=$E74+1,$C74,""),"")</f>
        <v/>
      </c>
      <c r="AB74" s="34">
        <f>IF(AND(AB$5&gt;$E74,AB$5&lt;=$F74),IF(AB$5=$E74+1,$C74,""),"")</f>
        <v/>
      </c>
      <c r="AC74" s="34">
        <f>IF(AND(AC$5&gt;$E74,AC$5&lt;=$F74),IF(AC$5=$E74+1,$C74,""),"")</f>
        <v/>
      </c>
      <c r="AD74" s="34">
        <f>IF(AND(AD$5&gt;$E74,AD$5&lt;=$F74),IF(AD$5=$E74+1,$C74,""),"")</f>
        <v/>
      </c>
      <c r="AE74" s="34">
        <f>IF(AND(AE$5&gt;$E74,AE$5&lt;=$F74),IF(AE$5=$E74+1,$C74,""),"")</f>
        <v/>
      </c>
      <c r="AF74" s="34">
        <f>IF(AND(AF$5&gt;$E74,AF$5&lt;=$F74),IF(AF$5=$E74+1,$C74,""),"")</f>
        <v/>
      </c>
      <c r="AG74" s="34">
        <f>IF(AND(AG$5&gt;$E74,AG$5&lt;=$F74),IF(AG$5=$E74+1,$C74,""),"")</f>
        <v/>
      </c>
      <c r="AH74" s="34">
        <f>IF(AND(AH$5&gt;$E74,AH$5&lt;=$F74),IF(AH$5=$E74+1,$C74,""),"")</f>
        <v/>
      </c>
      <c r="AI74" s="34">
        <f>IF(AND(AI$5&gt;$E74,AI$5&lt;=$F74),IF(AI$5=$E74+1,$C74,""),"")</f>
        <v/>
      </c>
      <c r="AJ74" s="34">
        <f>IF(AND(AJ$5&gt;$E74,AJ$5&lt;=$F74),IF(AJ$5=$E74+1,$C74,""),"")</f>
        <v/>
      </c>
      <c r="AK74" s="34">
        <f>IF(AND(AK$5&gt;$E74,AK$5&lt;=$F74),IF(AK$5=$E74+1,$C74,""),"")</f>
        <v/>
      </c>
      <c r="AL74" s="34">
        <f>IF(AND(AL$5&gt;$E74,AL$5&lt;=$F74),IF(AL$5=$E74+1,$C74,""),"")</f>
        <v/>
      </c>
      <c r="AM74" s="34">
        <f>IF(AND(AM$5&gt;$E74,AM$5&lt;=$F74),IF(AM$5=$E74+1,$C74,""),"")</f>
        <v/>
      </c>
      <c r="AN74" s="34">
        <f>IF(AND(AN$5&gt;$E74,AN$5&lt;=$F74),IF(AN$5=$E74+1,$C74,""),"")</f>
        <v/>
      </c>
      <c r="AO74" s="34">
        <f>IF(AND(AO$5&gt;$E74,AO$5&lt;=$F74),IF(AO$5=$E74+1,$C74,""),"")</f>
        <v/>
      </c>
      <c r="AP74" s="34">
        <f>IF(AND(AP$5&gt;$E74,AP$5&lt;=$F74),IF(AP$5=$E74+1,$C74,""),"")</f>
        <v/>
      </c>
      <c r="AQ74" s="34">
        <f>IF(AND(AQ$5&gt;$E74,AQ$5&lt;=$F74),IF(AQ$5=$E74+1,$C74,""),"")</f>
        <v/>
      </c>
      <c r="AR74" s="34">
        <f>IF(AND(AR$5&gt;$E74,AR$5&lt;=$F74),IF(AR$5=$E74+1,$C74,""),"")</f>
        <v/>
      </c>
      <c r="AS74" s="34">
        <f>IF(AND(AS$5&gt;$E74,AS$5&lt;=$F74),IF(AS$5=$E74+1,$C74,""),"")</f>
        <v/>
      </c>
      <c r="AT74" s="34">
        <f>IF(AND(AT$5&gt;$E74,AT$5&lt;=$F74),IF(AT$5=$E74+1,$C74,""),"")</f>
        <v/>
      </c>
      <c r="AU74" s="34">
        <f>IF(AND(AU$5&gt;$E74,AU$5&lt;=$F74),IF(AU$5=$E74+1,$C74,""),"")</f>
        <v/>
      </c>
      <c r="AV74" s="34">
        <f>IF(AND(AV$5&gt;$E74,AV$5&lt;=$F74),IF(AV$5=$E74+1,$C74,""),"")</f>
        <v/>
      </c>
      <c r="AW74" s="34">
        <f>IF(AND(AW$5&gt;$E74,AW$5&lt;=$F74),IF(AW$5=$E74+1,$C74,""),"")</f>
        <v/>
      </c>
      <c r="AX74" s="34">
        <f>IF(AND(AX$5&gt;$E74,AX$5&lt;=$F74),IF(AX$5=$E74+1,$C74,""),"")</f>
        <v/>
      </c>
      <c r="AY74" s="34">
        <f>IF(AND(AY$5&gt;$E74,AY$5&lt;=$F74),IF(AY$5=$E74+1,$C74,""),"")</f>
        <v/>
      </c>
      <c r="AZ74" s="34">
        <f>IF(AND(AZ$5&gt;$E74,AZ$5&lt;=$F74),IF(AZ$5=$E74+1,$C74,""),"")</f>
        <v/>
      </c>
      <c r="BA74" s="34">
        <f>IF(AND(BA$5&gt;$E74,BA$5&lt;=$F74),IF(BA$5=$E74+1,$C74,""),"")</f>
        <v/>
      </c>
      <c r="BB74" s="34">
        <f>IF(AND(BB$5&gt;$E74,BB$5&lt;=$F74),IF(BB$5=$E74+1,$C74,""),"")</f>
        <v/>
      </c>
      <c r="BC74" s="34">
        <f>IF(AND(BC$5&gt;$E74,BC$5&lt;=$F74),IF(BC$5=$E74+1,$C74,""),"")</f>
        <v/>
      </c>
      <c r="BD74" s="34">
        <f>IF(AND(BD$5&gt;$E74,BD$5&lt;=$F74),IF(BD$5=$E74+1,$C74,""),"")</f>
        <v/>
      </c>
      <c r="BE74" s="34">
        <f>IF(AND(BE$5&gt;$E74,BE$5&lt;=$F74),IF(BE$5=$E74+1,$C74,""),"")</f>
        <v/>
      </c>
      <c r="BF74" s="34">
        <f>IF(AND(BF$5&gt;$E74,BF$5&lt;=$F74),IF(BF$5=$E74+1,$C74,""),"")</f>
        <v/>
      </c>
      <c r="BG74" s="34">
        <f>IF(AND(BG$5&gt;$E74,BG$5&lt;=$F74),IF(BG$5=$E74+1,$C74,""),"")</f>
        <v/>
      </c>
      <c r="BH74" s="34">
        <f>IF(AND(BH$5&gt;$E74,BH$5&lt;=$F74),IF(BH$5=$E74+1,$C74,""),"")</f>
        <v/>
      </c>
      <c r="BI74" s="34">
        <f>IF(AND(BI$5&gt;$E74,BI$5&lt;=$F74),IF(BI$5=$E74+1,$C74,""),"")</f>
        <v/>
      </c>
      <c r="BJ74" s="34">
        <f>IF(AND(BJ$5&gt;$E74,BJ$5&lt;=$F74),IF(BJ$5=$E74+1,$C74,""),"")</f>
        <v/>
      </c>
      <c r="BK74" s="34">
        <f>IF(AND(BK$5&gt;$E74,BK$5&lt;=$F74),IF(BK$5=$E74+1,$C74,""),"")</f>
        <v/>
      </c>
      <c r="BL74" s="34">
        <f>IF(AND(BL$5&gt;$E74,BL$5&lt;=$F74),IF(BL$5=$E74+1,$C74,""),"")</f>
        <v/>
      </c>
      <c r="BM74" s="34">
        <f>IF(AND(BM$5&gt;$E74,BM$5&lt;=$F74),IF(BM$5=$E74+1,$C74,""),"")</f>
        <v/>
      </c>
      <c r="BN74" s="34">
        <f>IF(AND(BN$5&gt;$E74,BN$5&lt;=$F74),IF(BN$5=$E74+1,$C74,""),"")</f>
        <v/>
      </c>
      <c r="BO74" s="34">
        <f>IF(AND(BO$5&gt;$E74,BO$5&lt;=$F74),IF(BO$5=$E74+1,$C74,""),"")</f>
        <v/>
      </c>
      <c r="BP74" s="34">
        <f>IF(AND(BP$5&gt;$E74,BP$5&lt;=$F74),IF(BP$5=$E74+1,$C74,""),"")</f>
        <v/>
      </c>
      <c r="BQ74" s="34">
        <f>IF(AND(BQ$5&gt;$E74,BQ$5&lt;=$F74),IF(BQ$5=$E74+1,$C74,""),"")</f>
        <v/>
      </c>
      <c r="BR74" s="34">
        <f>IF(AND(BR$5&gt;$E74,BR$5&lt;=$F74),IF(BR$5=$E74+1,$C74,""),"")</f>
        <v/>
      </c>
      <c r="BS74" s="34">
        <f>IF(AND(BS$5&gt;$E74,BS$5&lt;=$F74),IF(BS$5=$E74+1,$C74,""),"")</f>
        <v/>
      </c>
      <c r="BT74" s="34">
        <f>IF(AND(BT$5&gt;$E74,BT$5&lt;=$F74),IF(BT$5=$E74+1,$C74,""),"")</f>
        <v/>
      </c>
      <c r="BU74" s="34">
        <f>IF(AND(BU$5&gt;$E74,BU$5&lt;=$F74),IF(BU$5=$E74+1,$C74,""),"")</f>
        <v/>
      </c>
      <c r="BV74" s="34">
        <f>IF(AND(BV$5&gt;$E74,BV$5&lt;=$F74),IF(BV$5=$E74+1,$C74,""),"")</f>
        <v/>
      </c>
      <c r="BW74" s="34">
        <f>IF(AND(BW$5&gt;$E74,BW$5&lt;=$F74),IF(BW$5=$E74+1,$C74,""),"")</f>
        <v/>
      </c>
      <c r="BX74" s="34">
        <f>IF(AND(BX$5&gt;$E74,BX$5&lt;=$F74),IF(BX$5=$E74+1,$C74,""),"")</f>
        <v/>
      </c>
      <c r="BY74" s="34">
        <f>IF(AND(BY$5&gt;$E74,BY$5&lt;=$F74),IF(BY$5=$E74+1,$C74,""),"")</f>
        <v/>
      </c>
      <c r="BZ74" s="34">
        <f>IF(AND(BZ$5&gt;$E74,BZ$5&lt;=$F74),IF(BZ$5=$E74+1,$C74,""),"")</f>
        <v/>
      </c>
      <c r="CA74" s="34">
        <f>IF(AND(CA$5&gt;$E74,CA$5&lt;=$F74),IF(CA$5=$E74+1,$C74,""),"")</f>
        <v/>
      </c>
      <c r="CB74" s="34">
        <f>IF(AND(CB$5&gt;$E74,CB$5&lt;=$F74),IF(CB$5=$E74+1,$C74,""),"")</f>
        <v/>
      </c>
      <c r="CC74" s="34">
        <f>IF(AND(CC$5&gt;$E74,CC$5&lt;=$F74),IF(CC$5=$E74+1,$C74,""),"")</f>
        <v/>
      </c>
      <c r="CD74" s="34">
        <f>IF(AND(CD$5&gt;$E74,CD$5&lt;=$F74),IF(CD$5=$E74+1,$C74,""),"")</f>
        <v/>
      </c>
      <c r="CE74" s="34">
        <f>IF(AND(CE$5&gt;$E74,CE$5&lt;=$F74),IF(CE$5=$E74+1,$C74,""),"")</f>
        <v/>
      </c>
      <c r="CF74" s="34">
        <f>IF(AND(CF$5&gt;$E74,CF$5&lt;=$F74),IF(CF$5=$E74+1,$C74,""),"")</f>
        <v/>
      </c>
      <c r="CG74" s="34">
        <f>IF(AND(CG$5&gt;$E74,CG$5&lt;=$F74),IF(CG$5=$E74+1,$C74,""),"")</f>
        <v/>
      </c>
      <c r="CH74" s="34">
        <f>IF(AND(CH$5&gt;$E74,CH$5&lt;=$F74),IF(CH$5=$E74+1,$C74,""),"")</f>
        <v/>
      </c>
      <c r="CI74" s="34">
        <f>IF(AND(CI$5&gt;$E74,CI$5&lt;=$F74),IF(CI$5=$E74+1,$C74,""),"")</f>
        <v/>
      </c>
      <c r="CJ74" s="34">
        <f>IF(AND(CJ$5&gt;$E74,CJ$5&lt;=$F74),IF(CJ$5=$E74+1,$C74,""),"")</f>
        <v/>
      </c>
      <c r="CK74" s="34">
        <f>IF(AND(CK$5&gt;$E74,CK$5&lt;=$F74),IF(CK$5=$E74+1,$C74,""),"")</f>
        <v/>
      </c>
      <c r="CL74" s="34">
        <f>IF(AND(CL$5&gt;$E74,CL$5&lt;=$F74),IF(CL$5=$E74+1,$C74,""),"")</f>
        <v/>
      </c>
      <c r="CM74" s="34">
        <f>IF(AND(CM$5&gt;$E74,CM$5&lt;=$F74),IF(CM$5=$E74+1,$C74,""),"")</f>
        <v/>
      </c>
      <c r="CN74" s="34">
        <f>IF(AND(CN$5&gt;$E74,CN$5&lt;=$F74),IF(CN$5=$E74+1,$C74,""),"")</f>
        <v/>
      </c>
      <c r="CO74" s="34">
        <f>IF(AND(CO$5&gt;$E74,CO$5&lt;=$F74),IF(CO$5=$E74+1,$C74,""),"")</f>
        <v/>
      </c>
      <c r="CP74" s="34">
        <f>IF(AND(CP$5&gt;$E74,CP$5&lt;=$F74),IF(CP$5=$E74+1,$C74,""),"")</f>
        <v/>
      </c>
      <c r="CQ74" s="34">
        <f>IF(AND(CQ$5&gt;$E74,CQ$5&lt;=$F74),IF(CQ$5=$E74+1,$C74,""),"")</f>
        <v/>
      </c>
      <c r="CR74" s="34">
        <f>IF(AND(CR$5&gt;$E74,CR$5&lt;=$F74),IF(CR$5=$E74+1,$C74,""),"")</f>
        <v/>
      </c>
      <c r="CS74" s="34">
        <f>IF(AND(CS$5&gt;$E74,CS$5&lt;=$F74),IF(CS$5=$E74+1,$C74,""),"")</f>
        <v/>
      </c>
      <c r="CT74" s="34">
        <f>IF(AND(CT$5&gt;$E74,CT$5&lt;=$F74),IF(CT$5=$E74+1,$C74,""),"")</f>
        <v/>
      </c>
      <c r="CU74" s="34">
        <f>IF(AND(CU$5&gt;$E74,CU$5&lt;=$F74),IF(CU$5=$E74+1,$C74,""),"")</f>
        <v/>
      </c>
      <c r="CV74" s="34">
        <f>IF(AND(CV$5&gt;$E74,CV$5&lt;=$F74),IF(CV$5=$E74+1,$C74,""),"")</f>
        <v/>
      </c>
      <c r="CW74" s="34">
        <f>IF(AND(CW$5&gt;$E74,CW$5&lt;=$F74),IF(CW$5=$E74+1,$C74,""),"")</f>
        <v/>
      </c>
      <c r="CX74" s="34">
        <f>IF(AND(CX$5&gt;$E74,CX$5&lt;=$F74),IF(CX$5=$E74+1,$C74,""),"")</f>
        <v/>
      </c>
      <c r="CY74" s="34">
        <f>IF(AND(CY$5&gt;$E74,CY$5&lt;=$F74),IF(CY$5=$E74+1,$C74,""),"")</f>
        <v/>
      </c>
      <c r="CZ74" s="34">
        <f>IF(AND(CZ$5&gt;$E74,CZ$5&lt;=$F74),IF(CZ$5=$E74+1,$C74,""),"")</f>
        <v/>
      </c>
      <c r="DA74" s="34">
        <f>IF(AND(DA$5&gt;$E74,DA$5&lt;=$F74),IF(DA$5=$E74+1,$C74,""),"")</f>
        <v/>
      </c>
      <c r="DB74" s="34">
        <f>IF(AND(DB$5&gt;$E74,DB$5&lt;=$F74),IF(DB$5=$E74+1,$C74,""),"")</f>
        <v/>
      </c>
      <c r="DC74" s="34">
        <f>IF(AND(DC$5&gt;$E74,DC$5&lt;=$F74),IF(DC$5=$E74+1,$C74,""),"")</f>
        <v/>
      </c>
      <c r="DD74" s="34">
        <f>IF(AND(DD$5&gt;$E74,DD$5&lt;=$F74),IF(DD$5=$E74+1,$C74,""),"")</f>
        <v/>
      </c>
      <c r="DE74" s="34">
        <f>IF(AND(DE$5&gt;$E74,DE$5&lt;=$F74),IF(DE$5=$E74+1,$C74,""),"")</f>
        <v/>
      </c>
      <c r="DF74" s="34">
        <f>IF(AND(DF$5&gt;$E74,DF$5&lt;=$F74),IF(DF$5=$E74+1,$C74,""),"")</f>
        <v/>
      </c>
      <c r="DG74" s="34">
        <f>IF(AND(DG$5&gt;$E74,DG$5&lt;=$F74),IF(DG$5=$E74+1,$C74,""),"")</f>
        <v/>
      </c>
      <c r="DH74" s="34">
        <f>IF(AND(DH$5&gt;$E74,DH$5&lt;=$F74),IF(DH$5=$E74+1,$C74,""),"")</f>
        <v/>
      </c>
      <c r="DI74" s="34">
        <f>IF(AND(DI$5&gt;$E74,DI$5&lt;=$F74),IF(DI$5=$E74+1,$C74,""),"")</f>
        <v/>
      </c>
      <c r="DJ74" s="34">
        <f>IF(AND(DJ$5&gt;$E74,DJ$5&lt;=$F74),IF(DJ$5=$E74+1,$C74,""),"")</f>
        <v/>
      </c>
      <c r="DK74" s="34">
        <f>IF(AND(DK$5&gt;$E74,DK$5&lt;=$F74),IF(DK$5=$E74+1,$C74,""),"")</f>
        <v/>
      </c>
      <c r="DL74" s="34">
        <f>IF(AND(DL$5&gt;$E74,DL$5&lt;=$F74),IF(DL$5=$E74+1,$C74,""),"")</f>
        <v/>
      </c>
      <c r="DM74" s="34">
        <f>IF(AND(DM$5&gt;$E74,DM$5&lt;=$F74),IF(DM$5=$E74+1,$C74,""),"")</f>
        <v/>
      </c>
      <c r="DN74" s="34">
        <f>IF(AND(DN$5&gt;$E74,DN$5&lt;=$F74),IF(DN$5=$E74+1,$C74,""),"")</f>
        <v/>
      </c>
      <c r="DO74" s="34">
        <f>IF(AND(DO$5&gt;$E74,DO$5&lt;=$F74),IF(DO$5=$E74+1,$C74,""),"")</f>
        <v/>
      </c>
      <c r="DP74" s="34">
        <f>IF(AND(DP$5&gt;$E74,DP$5&lt;=$F74),IF(DP$5=$E74+1,$C74,""),"")</f>
        <v/>
      </c>
      <c r="DQ74" s="34">
        <f>IF(AND(DQ$5&gt;$E74,DQ$5&lt;=$F74),IF(DQ$5=$E74+1,$C74,""),"")</f>
        <v/>
      </c>
      <c r="DR74" s="34">
        <f>IF(AND(DR$5&gt;$E74,DR$5&lt;=$F74),IF(DR$5=$E74+1,$C74,""),"")</f>
        <v/>
      </c>
      <c r="DS74" s="34">
        <f>IF(AND(DS$5&gt;$E74,DS$5&lt;=$F74),IF(DS$5=$E74+1,$C74,""),"")</f>
        <v/>
      </c>
      <c r="DT74" s="34">
        <f>IF(AND(DT$5&gt;$E74,DT$5&lt;=$F74),IF(DT$5=$E74+1,$C74,""),"")</f>
        <v/>
      </c>
      <c r="DU74" s="34">
        <f>IF(AND(DU$5&gt;$E74,DU$5&lt;=$F74),IF(DU$5=$E74+1,$C74,""),"")</f>
        <v/>
      </c>
      <c r="DV74" s="34">
        <f>IF(AND(DV$5&gt;$E74,DV$5&lt;=$F74),IF(DV$5=$E74+1,$C74,""),"")</f>
        <v/>
      </c>
      <c r="DW74" s="34">
        <f>IF(AND(DW$5&gt;$E74,DW$5&lt;=$F74),IF(DW$5=$E74+1,$C74,""),"")</f>
        <v/>
      </c>
      <c r="DX74" s="34">
        <f>IF(AND(DX$5&gt;$E74,DX$5&lt;=$F74),IF(DX$5=$E74+1,$C74,""),"")</f>
        <v/>
      </c>
      <c r="DY74" s="34">
        <f>IF(AND(DY$5&gt;$E74,DY$5&lt;=$F74),IF(DY$5=$E74+1,$C74,""),"")</f>
        <v/>
      </c>
      <c r="DZ74" s="34">
        <f>IF(AND(DZ$5&gt;$E74,DZ$5&lt;=$F74),IF(DZ$5=$E74+1,$C74,""),"")</f>
        <v/>
      </c>
      <c r="EA74" s="34">
        <f>IF(AND(EA$5&gt;$E74,EA$5&lt;=$F74),IF(EA$5=$E74+1,$C74,""),"")</f>
        <v/>
      </c>
      <c r="EB74" s="34">
        <f>IF(AND(EB$5&gt;$E74,EB$5&lt;=$F74),IF(EB$5=$E74+1,$C74,""),"")</f>
        <v/>
      </c>
      <c r="EC74" s="34">
        <f>IF(AND(EC$5&gt;$E74,EC$5&lt;=$F74),IF(EC$5=$E74+1,$C74,""),"")</f>
        <v/>
      </c>
      <c r="ED74" s="34">
        <f>IF(AND(ED$5&gt;$E74,ED$5&lt;=$F74),IF(ED$5=$E74+1,$C74,""),"")</f>
        <v/>
      </c>
      <c r="EE74" s="34">
        <f>IF(AND(EE$5&gt;$E74,EE$5&lt;=$F74),IF(EE$5=$E74+1,$C74,""),"")</f>
        <v/>
      </c>
      <c r="EF74" s="34">
        <f>IF(AND(EF$5&gt;$E74,EF$5&lt;=$F74),IF(EF$5=$E74+1,$C74,""),"")</f>
        <v/>
      </c>
      <c r="EG74" s="34">
        <f>IF(AND(EG$5&gt;$E74,EG$5&lt;=$F74),IF(EG$5=$E74+1,$C74,""),"")</f>
        <v/>
      </c>
      <c r="EH74" s="34">
        <f>IF(AND(EH$5&gt;$E74,EH$5&lt;=$F74),IF(EH$5=$E74+1,$C74,""),"")</f>
        <v/>
      </c>
      <c r="EI74" s="34">
        <f>IF(AND(EI$5&gt;$E74,EI$5&lt;=$F74),IF(EI$5=$E74+1,$C74,""),"")</f>
        <v/>
      </c>
      <c r="EJ74" s="34">
        <f>IF(AND(EJ$5&gt;$E74,EJ$5&lt;=$F74),IF(EJ$5=$E74+1,$C74,""),"")</f>
        <v/>
      </c>
      <c r="EK74" s="34">
        <f>IF(AND(EK$5&gt;$E74,EK$5&lt;=$F74),IF(EK$5=$E74+1,$C74,""),"")</f>
        <v/>
      </c>
      <c r="EL74" s="34">
        <f>IF(AND(EL$5&gt;$E74,EL$5&lt;=$F74),IF(EL$5=$E74+1,$C74,""),"")</f>
        <v/>
      </c>
      <c r="EM74" s="34">
        <f>IF(AND(EM$5&gt;$E74,EM$5&lt;=$F74),IF(EM$5=$E74+1,$C74,""),"")</f>
        <v/>
      </c>
      <c r="EN74" s="34">
        <f>IF(AND(EN$5&gt;$E74,EN$5&lt;=$F74),IF(EN$5=$E74+1,$C74,""),"")</f>
        <v/>
      </c>
      <c r="EO74" s="34">
        <f>IF(AND(EO$5&gt;$E74,EO$5&lt;=$F74),IF(EO$5=$E74+1,$C74,""),"")</f>
        <v/>
      </c>
      <c r="EP74" s="34">
        <f>IF(AND(EP$5&gt;$E74,EP$5&lt;=$F74),IF(EP$5=$E74+1,$C74,""),"")</f>
        <v/>
      </c>
      <c r="EQ74" s="34">
        <f>IF(AND(EQ$5&gt;$E74,EQ$5&lt;=$F74),IF(EQ$5=$E74+1,$C74,""),"")</f>
        <v/>
      </c>
      <c r="ER74" s="34">
        <f>IF(AND(ER$5&gt;$E74,ER$5&lt;=$F74),IF(ER$5=$E74+1,$C74,""),"")</f>
        <v/>
      </c>
      <c r="ES74" s="34">
        <f>IF(AND(ES$5&gt;$E74,ES$5&lt;=$F74),IF(ES$5=$E74+1,$C74,""),"")</f>
        <v/>
      </c>
      <c r="ET74" s="34">
        <f>IF(AND(ET$5&gt;$E74,ET$5&lt;=$F74),IF(ET$5=$E74+1,$C74,""),"")</f>
        <v/>
      </c>
      <c r="EU74" s="34">
        <f>IF(AND(EU$5&gt;$E74,EU$5&lt;=$F74),IF(EU$5=$E74+1,$C74,""),"")</f>
        <v/>
      </c>
      <c r="EV74" s="34">
        <f>IF(AND(EV$5&gt;$E74,EV$5&lt;=$F74),IF(EV$5=$E74+1,$C74,""),"")</f>
        <v/>
      </c>
      <c r="EW74" s="34">
        <f>IF(AND(EW$5&gt;$E74,EW$5&lt;=$F74),IF(EW$5=$E74+1,$C74,""),"")</f>
        <v/>
      </c>
      <c r="EX74" s="34">
        <f>IF(AND(EX$5&gt;$E74,EX$5&lt;=$F74),IF(EX$5=$E74+1,$C74,""),"")</f>
        <v/>
      </c>
      <c r="EY74" s="34">
        <f>IF(AND(EY$5&gt;$E74,EY$5&lt;=$F74),IF(EY$5=$E74+1,$C74,""),"")</f>
        <v/>
      </c>
      <c r="EZ74" s="34">
        <f>IF(AND(EZ$5&gt;$E74,EZ$5&lt;=$F74),IF(EZ$5=$E74+1,$C74,""),"")</f>
        <v/>
      </c>
      <c r="FA74" s="34">
        <f>IF(AND(FA$5&gt;$E74,FA$5&lt;=$F74),IF(FA$5=$E74+1,$C74,""),"")</f>
        <v/>
      </c>
    </row>
    <row r="75">
      <c r="A75" s="27" t="inlineStr">
        <is>
          <t>Fase 5. Convenios y pulido</t>
        </is>
      </c>
      <c r="B75" s="28" t="n"/>
      <c r="C75" s="28" t="n"/>
      <c r="D75" s="28" t="n"/>
      <c r="E75" s="29">
        <f>SUMPRODUCT(MIN((Plan!$B$5:$B$129="5. Convenios y pulido")*Plan!$K$5:$K$129+(Plan!$B$5:$B$129&lt;&gt;"5. Convenios y pulido")*1E9))</f>
        <v/>
      </c>
      <c r="F75" s="29">
        <f>SUMPRODUCT(MAX((Plan!$B$5:$B$129="5. Convenios y pulido")*Plan!$L$5:$L$129))</f>
        <v/>
      </c>
      <c r="G75" s="30">
        <f>Resumen!E33</f>
        <v/>
      </c>
      <c r="H75" s="31" t="n"/>
      <c r="I75" s="31" t="n"/>
      <c r="J75" s="31" t="n"/>
      <c r="K75" s="31" t="n"/>
      <c r="L75" s="31" t="n"/>
      <c r="M75" s="31" t="n"/>
      <c r="N75" s="31" t="n"/>
      <c r="O75" s="31" t="n"/>
      <c r="P75" s="31" t="n"/>
      <c r="Q75" s="31" t="n"/>
      <c r="R75" s="31" t="n"/>
      <c r="S75" s="31" t="n"/>
      <c r="T75" s="31" t="n"/>
      <c r="U75" s="31" t="n"/>
      <c r="V75" s="31" t="n"/>
      <c r="W75" s="31" t="n"/>
      <c r="X75" s="31" t="n"/>
      <c r="Y75" s="31" t="n"/>
      <c r="Z75" s="31" t="n"/>
      <c r="AA75" s="31" t="n"/>
      <c r="AB75" s="31" t="n"/>
      <c r="AC75" s="31" t="n"/>
      <c r="AD75" s="31" t="n"/>
      <c r="AE75" s="31" t="n"/>
      <c r="AF75" s="31" t="n"/>
      <c r="AG75" s="31" t="n"/>
      <c r="AH75" s="31" t="n"/>
      <c r="AI75" s="31" t="n"/>
      <c r="AJ75" s="31" t="n"/>
      <c r="AK75" s="31" t="n"/>
      <c r="AL75" s="31" t="n"/>
      <c r="AM75" s="31" t="n"/>
      <c r="AN75" s="31" t="n"/>
      <c r="AO75" s="31" t="n"/>
      <c r="AP75" s="31" t="n"/>
      <c r="AQ75" s="31" t="n"/>
      <c r="AR75" s="31" t="n"/>
      <c r="AS75" s="31" t="n"/>
      <c r="AT75" s="31" t="n"/>
      <c r="AU75" s="31" t="n"/>
      <c r="AV75" s="31" t="n"/>
      <c r="AW75" s="31" t="n"/>
      <c r="AX75" s="31" t="n"/>
      <c r="AY75" s="31" t="n"/>
      <c r="AZ75" s="31" t="n"/>
      <c r="BA75" s="31" t="n"/>
      <c r="BB75" s="31" t="n"/>
      <c r="BC75" s="31" t="n"/>
      <c r="BD75" s="31" t="n"/>
      <c r="BE75" s="31" t="n"/>
      <c r="BF75" s="31" t="n"/>
      <c r="BG75" s="31" t="n"/>
      <c r="BH75" s="31" t="n"/>
      <c r="BI75" s="31" t="n"/>
      <c r="BJ75" s="31" t="n"/>
      <c r="BK75" s="31" t="n"/>
      <c r="BL75" s="31" t="n"/>
      <c r="BM75" s="31" t="n"/>
      <c r="BN75" s="31" t="n"/>
      <c r="BO75" s="31" t="n"/>
      <c r="BP75" s="31" t="n"/>
      <c r="BQ75" s="31" t="n"/>
      <c r="BR75" s="31" t="n"/>
      <c r="BS75" s="31" t="n"/>
      <c r="BT75" s="31" t="n"/>
      <c r="BU75" s="31" t="n"/>
      <c r="BV75" s="31" t="n"/>
      <c r="BW75" s="31" t="n"/>
      <c r="BX75" s="31" t="n"/>
      <c r="BY75" s="31" t="n"/>
      <c r="BZ75" s="31" t="n"/>
      <c r="CA75" s="31" t="n"/>
      <c r="CB75" s="31" t="n"/>
      <c r="CC75" s="31" t="n"/>
      <c r="CD75" s="31" t="n"/>
      <c r="CE75" s="31" t="n"/>
      <c r="CF75" s="31" t="n"/>
      <c r="CG75" s="31" t="n"/>
      <c r="CH75" s="31" t="n"/>
      <c r="CI75" s="31" t="n"/>
      <c r="CJ75" s="31" t="n"/>
      <c r="CK75" s="31" t="n"/>
      <c r="CL75" s="31" t="n"/>
      <c r="CM75" s="31" t="n"/>
      <c r="CN75" s="31" t="n"/>
      <c r="CO75" s="31" t="n"/>
      <c r="CP75" s="31" t="n"/>
      <c r="CQ75" s="31" t="n"/>
      <c r="CR75" s="31" t="n"/>
      <c r="CS75" s="31" t="n"/>
      <c r="CT75" s="31" t="n"/>
      <c r="CU75" s="31" t="n"/>
      <c r="CV75" s="31" t="n"/>
      <c r="CW75" s="31" t="n"/>
      <c r="CX75" s="31" t="n"/>
      <c r="CY75" s="31" t="n"/>
      <c r="CZ75" s="31" t="n"/>
      <c r="DA75" s="31" t="n"/>
      <c r="DB75" s="31" t="n"/>
      <c r="DC75" s="31" t="n"/>
      <c r="DD75" s="31" t="n"/>
      <c r="DE75" s="31" t="n"/>
      <c r="DF75" s="31" t="n"/>
      <c r="DG75" s="31" t="n"/>
      <c r="DH75" s="31" t="n"/>
      <c r="DI75" s="31" t="n"/>
      <c r="DJ75" s="31" t="n"/>
      <c r="DK75" s="31" t="n"/>
      <c r="DL75" s="31" t="n"/>
      <c r="DM75" s="31" t="n"/>
      <c r="DN75" s="31" t="n"/>
      <c r="DO75" s="31" t="n"/>
      <c r="DP75" s="31" t="n"/>
      <c r="DQ75" s="31" t="n"/>
      <c r="DR75" s="31" t="n"/>
      <c r="DS75" s="31" t="n"/>
      <c r="DT75" s="31" t="n"/>
      <c r="DU75" s="31" t="n"/>
      <c r="DV75" s="31" t="n"/>
      <c r="DW75" s="31" t="n"/>
      <c r="DX75" s="31" t="n"/>
      <c r="DY75" s="31" t="n"/>
      <c r="DZ75" s="31" t="n"/>
      <c r="EA75" s="31" t="n"/>
      <c r="EB75" s="31" t="n"/>
      <c r="EC75" s="31" t="n"/>
      <c r="ED75" s="31" t="n"/>
      <c r="EE75" s="31" t="n"/>
      <c r="EF75" s="31" t="n"/>
      <c r="EG75" s="31" t="n"/>
      <c r="EH75" s="31" t="n"/>
      <c r="EI75" s="31" t="n"/>
      <c r="EJ75" s="31" t="n"/>
      <c r="EK75" s="31" t="n"/>
      <c r="EL75" s="31" t="n"/>
      <c r="EM75" s="31" t="n"/>
      <c r="EN75" s="31" t="n"/>
      <c r="EO75" s="31" t="n"/>
      <c r="EP75" s="31" t="n"/>
      <c r="EQ75" s="31" t="n"/>
      <c r="ER75" s="31" t="n"/>
      <c r="ES75" s="31" t="n"/>
      <c r="ET75" s="31" t="n"/>
      <c r="EU75" s="31" t="n"/>
      <c r="EV75" s="31" t="n"/>
      <c r="EW75" s="31" t="n"/>
      <c r="EX75" s="31" t="n"/>
      <c r="EY75" s="31" t="n"/>
      <c r="EZ75" s="31" t="n"/>
      <c r="FA75" s="31" t="n"/>
    </row>
    <row r="76">
      <c r="A76" s="32">
        <f>Plan!A48</f>
        <v/>
      </c>
      <c r="B76" s="33">
        <f>Plan!C48</f>
        <v/>
      </c>
      <c r="C76" s="16">
        <f>Plan!D48</f>
        <v/>
      </c>
      <c r="D76" s="16">
        <f>Plan!I48</f>
        <v/>
      </c>
      <c r="E76" s="16">
        <f>Plan!K48</f>
        <v/>
      </c>
      <c r="F76" s="16">
        <f>Plan!L48</f>
        <v/>
      </c>
      <c r="G76" s="16">
        <f>Plan!O48</f>
        <v/>
      </c>
      <c r="H76" s="34">
        <f>IF(AND(H$5&gt;$E76,H$5&lt;=$F76),IF(H$5=$E76+1,$C76,""),"")</f>
        <v/>
      </c>
      <c r="I76" s="34">
        <f>IF(AND(I$5&gt;$E76,I$5&lt;=$F76),IF(I$5=$E76+1,$C76,""),"")</f>
        <v/>
      </c>
      <c r="J76" s="34">
        <f>IF(AND(J$5&gt;$E76,J$5&lt;=$F76),IF(J$5=$E76+1,$C76,""),"")</f>
        <v/>
      </c>
      <c r="K76" s="34">
        <f>IF(AND(K$5&gt;$E76,K$5&lt;=$F76),IF(K$5=$E76+1,$C76,""),"")</f>
        <v/>
      </c>
      <c r="L76" s="34">
        <f>IF(AND(L$5&gt;$E76,L$5&lt;=$F76),IF(L$5=$E76+1,$C76,""),"")</f>
        <v/>
      </c>
      <c r="M76" s="34">
        <f>IF(AND(M$5&gt;$E76,M$5&lt;=$F76),IF(M$5=$E76+1,$C76,""),"")</f>
        <v/>
      </c>
      <c r="N76" s="34">
        <f>IF(AND(N$5&gt;$E76,N$5&lt;=$F76),IF(N$5=$E76+1,$C76,""),"")</f>
        <v/>
      </c>
      <c r="O76" s="34">
        <f>IF(AND(O$5&gt;$E76,O$5&lt;=$F76),IF(O$5=$E76+1,$C76,""),"")</f>
        <v/>
      </c>
      <c r="P76" s="34">
        <f>IF(AND(P$5&gt;$E76,P$5&lt;=$F76),IF(P$5=$E76+1,$C76,""),"")</f>
        <v/>
      </c>
      <c r="Q76" s="34">
        <f>IF(AND(Q$5&gt;$E76,Q$5&lt;=$F76),IF(Q$5=$E76+1,$C76,""),"")</f>
        <v/>
      </c>
      <c r="R76" s="34">
        <f>IF(AND(R$5&gt;$E76,R$5&lt;=$F76),IF(R$5=$E76+1,$C76,""),"")</f>
        <v/>
      </c>
      <c r="S76" s="34">
        <f>IF(AND(S$5&gt;$E76,S$5&lt;=$F76),IF(S$5=$E76+1,$C76,""),"")</f>
        <v/>
      </c>
      <c r="T76" s="34">
        <f>IF(AND(T$5&gt;$E76,T$5&lt;=$F76),IF(T$5=$E76+1,$C76,""),"")</f>
        <v/>
      </c>
      <c r="U76" s="34">
        <f>IF(AND(U$5&gt;$E76,U$5&lt;=$F76),IF(U$5=$E76+1,$C76,""),"")</f>
        <v/>
      </c>
      <c r="V76" s="34">
        <f>IF(AND(V$5&gt;$E76,V$5&lt;=$F76),IF(V$5=$E76+1,$C76,""),"")</f>
        <v/>
      </c>
      <c r="W76" s="34">
        <f>IF(AND(W$5&gt;$E76,W$5&lt;=$F76),IF(W$5=$E76+1,$C76,""),"")</f>
        <v/>
      </c>
      <c r="X76" s="34">
        <f>IF(AND(X$5&gt;$E76,X$5&lt;=$F76),IF(X$5=$E76+1,$C76,""),"")</f>
        <v/>
      </c>
      <c r="Y76" s="34">
        <f>IF(AND(Y$5&gt;$E76,Y$5&lt;=$F76),IF(Y$5=$E76+1,$C76,""),"")</f>
        <v/>
      </c>
      <c r="Z76" s="34">
        <f>IF(AND(Z$5&gt;$E76,Z$5&lt;=$F76),IF(Z$5=$E76+1,$C76,""),"")</f>
        <v/>
      </c>
      <c r="AA76" s="34">
        <f>IF(AND(AA$5&gt;$E76,AA$5&lt;=$F76),IF(AA$5=$E76+1,$C76,""),"")</f>
        <v/>
      </c>
      <c r="AB76" s="34">
        <f>IF(AND(AB$5&gt;$E76,AB$5&lt;=$F76),IF(AB$5=$E76+1,$C76,""),"")</f>
        <v/>
      </c>
      <c r="AC76" s="34">
        <f>IF(AND(AC$5&gt;$E76,AC$5&lt;=$F76),IF(AC$5=$E76+1,$C76,""),"")</f>
        <v/>
      </c>
      <c r="AD76" s="34">
        <f>IF(AND(AD$5&gt;$E76,AD$5&lt;=$F76),IF(AD$5=$E76+1,$C76,""),"")</f>
        <v/>
      </c>
      <c r="AE76" s="34">
        <f>IF(AND(AE$5&gt;$E76,AE$5&lt;=$F76),IF(AE$5=$E76+1,$C76,""),"")</f>
        <v/>
      </c>
      <c r="AF76" s="34">
        <f>IF(AND(AF$5&gt;$E76,AF$5&lt;=$F76),IF(AF$5=$E76+1,$C76,""),"")</f>
        <v/>
      </c>
      <c r="AG76" s="34">
        <f>IF(AND(AG$5&gt;$E76,AG$5&lt;=$F76),IF(AG$5=$E76+1,$C76,""),"")</f>
        <v/>
      </c>
      <c r="AH76" s="34">
        <f>IF(AND(AH$5&gt;$E76,AH$5&lt;=$F76),IF(AH$5=$E76+1,$C76,""),"")</f>
        <v/>
      </c>
      <c r="AI76" s="34">
        <f>IF(AND(AI$5&gt;$E76,AI$5&lt;=$F76),IF(AI$5=$E76+1,$C76,""),"")</f>
        <v/>
      </c>
      <c r="AJ76" s="34">
        <f>IF(AND(AJ$5&gt;$E76,AJ$5&lt;=$F76),IF(AJ$5=$E76+1,$C76,""),"")</f>
        <v/>
      </c>
      <c r="AK76" s="34">
        <f>IF(AND(AK$5&gt;$E76,AK$5&lt;=$F76),IF(AK$5=$E76+1,$C76,""),"")</f>
        <v/>
      </c>
      <c r="AL76" s="34">
        <f>IF(AND(AL$5&gt;$E76,AL$5&lt;=$F76),IF(AL$5=$E76+1,$C76,""),"")</f>
        <v/>
      </c>
      <c r="AM76" s="34">
        <f>IF(AND(AM$5&gt;$E76,AM$5&lt;=$F76),IF(AM$5=$E76+1,$C76,""),"")</f>
        <v/>
      </c>
      <c r="AN76" s="34">
        <f>IF(AND(AN$5&gt;$E76,AN$5&lt;=$F76),IF(AN$5=$E76+1,$C76,""),"")</f>
        <v/>
      </c>
      <c r="AO76" s="34">
        <f>IF(AND(AO$5&gt;$E76,AO$5&lt;=$F76),IF(AO$5=$E76+1,$C76,""),"")</f>
        <v/>
      </c>
      <c r="AP76" s="34">
        <f>IF(AND(AP$5&gt;$E76,AP$5&lt;=$F76),IF(AP$5=$E76+1,$C76,""),"")</f>
        <v/>
      </c>
      <c r="AQ76" s="34">
        <f>IF(AND(AQ$5&gt;$E76,AQ$5&lt;=$F76),IF(AQ$5=$E76+1,$C76,""),"")</f>
        <v/>
      </c>
      <c r="AR76" s="34">
        <f>IF(AND(AR$5&gt;$E76,AR$5&lt;=$F76),IF(AR$5=$E76+1,$C76,""),"")</f>
        <v/>
      </c>
      <c r="AS76" s="34">
        <f>IF(AND(AS$5&gt;$E76,AS$5&lt;=$F76),IF(AS$5=$E76+1,$C76,""),"")</f>
        <v/>
      </c>
      <c r="AT76" s="34">
        <f>IF(AND(AT$5&gt;$E76,AT$5&lt;=$F76),IF(AT$5=$E76+1,$C76,""),"")</f>
        <v/>
      </c>
      <c r="AU76" s="34">
        <f>IF(AND(AU$5&gt;$E76,AU$5&lt;=$F76),IF(AU$5=$E76+1,$C76,""),"")</f>
        <v/>
      </c>
      <c r="AV76" s="34">
        <f>IF(AND(AV$5&gt;$E76,AV$5&lt;=$F76),IF(AV$5=$E76+1,$C76,""),"")</f>
        <v/>
      </c>
      <c r="AW76" s="34">
        <f>IF(AND(AW$5&gt;$E76,AW$5&lt;=$F76),IF(AW$5=$E76+1,$C76,""),"")</f>
        <v/>
      </c>
      <c r="AX76" s="34">
        <f>IF(AND(AX$5&gt;$E76,AX$5&lt;=$F76),IF(AX$5=$E76+1,$C76,""),"")</f>
        <v/>
      </c>
      <c r="AY76" s="34">
        <f>IF(AND(AY$5&gt;$E76,AY$5&lt;=$F76),IF(AY$5=$E76+1,$C76,""),"")</f>
        <v/>
      </c>
      <c r="AZ76" s="34">
        <f>IF(AND(AZ$5&gt;$E76,AZ$5&lt;=$F76),IF(AZ$5=$E76+1,$C76,""),"")</f>
        <v/>
      </c>
      <c r="BA76" s="34">
        <f>IF(AND(BA$5&gt;$E76,BA$5&lt;=$F76),IF(BA$5=$E76+1,$C76,""),"")</f>
        <v/>
      </c>
      <c r="BB76" s="34">
        <f>IF(AND(BB$5&gt;$E76,BB$5&lt;=$F76),IF(BB$5=$E76+1,$C76,""),"")</f>
        <v/>
      </c>
      <c r="BC76" s="34">
        <f>IF(AND(BC$5&gt;$E76,BC$5&lt;=$F76),IF(BC$5=$E76+1,$C76,""),"")</f>
        <v/>
      </c>
      <c r="BD76" s="34">
        <f>IF(AND(BD$5&gt;$E76,BD$5&lt;=$F76),IF(BD$5=$E76+1,$C76,""),"")</f>
        <v/>
      </c>
      <c r="BE76" s="34">
        <f>IF(AND(BE$5&gt;$E76,BE$5&lt;=$F76),IF(BE$5=$E76+1,$C76,""),"")</f>
        <v/>
      </c>
      <c r="BF76" s="34">
        <f>IF(AND(BF$5&gt;$E76,BF$5&lt;=$F76),IF(BF$5=$E76+1,$C76,""),"")</f>
        <v/>
      </c>
      <c r="BG76" s="34">
        <f>IF(AND(BG$5&gt;$E76,BG$5&lt;=$F76),IF(BG$5=$E76+1,$C76,""),"")</f>
        <v/>
      </c>
      <c r="BH76" s="34">
        <f>IF(AND(BH$5&gt;$E76,BH$5&lt;=$F76),IF(BH$5=$E76+1,$C76,""),"")</f>
        <v/>
      </c>
      <c r="BI76" s="34">
        <f>IF(AND(BI$5&gt;$E76,BI$5&lt;=$F76),IF(BI$5=$E76+1,$C76,""),"")</f>
        <v/>
      </c>
      <c r="BJ76" s="34">
        <f>IF(AND(BJ$5&gt;$E76,BJ$5&lt;=$F76),IF(BJ$5=$E76+1,$C76,""),"")</f>
        <v/>
      </c>
      <c r="BK76" s="34">
        <f>IF(AND(BK$5&gt;$E76,BK$5&lt;=$F76),IF(BK$5=$E76+1,$C76,""),"")</f>
        <v/>
      </c>
      <c r="BL76" s="34">
        <f>IF(AND(BL$5&gt;$E76,BL$5&lt;=$F76),IF(BL$5=$E76+1,$C76,""),"")</f>
        <v/>
      </c>
      <c r="BM76" s="34">
        <f>IF(AND(BM$5&gt;$E76,BM$5&lt;=$F76),IF(BM$5=$E76+1,$C76,""),"")</f>
        <v/>
      </c>
      <c r="BN76" s="34">
        <f>IF(AND(BN$5&gt;$E76,BN$5&lt;=$F76),IF(BN$5=$E76+1,$C76,""),"")</f>
        <v/>
      </c>
      <c r="BO76" s="34">
        <f>IF(AND(BO$5&gt;$E76,BO$5&lt;=$F76),IF(BO$5=$E76+1,$C76,""),"")</f>
        <v/>
      </c>
      <c r="BP76" s="34">
        <f>IF(AND(BP$5&gt;$E76,BP$5&lt;=$F76),IF(BP$5=$E76+1,$C76,""),"")</f>
        <v/>
      </c>
      <c r="BQ76" s="34">
        <f>IF(AND(BQ$5&gt;$E76,BQ$5&lt;=$F76),IF(BQ$5=$E76+1,$C76,""),"")</f>
        <v/>
      </c>
      <c r="BR76" s="34">
        <f>IF(AND(BR$5&gt;$E76,BR$5&lt;=$F76),IF(BR$5=$E76+1,$C76,""),"")</f>
        <v/>
      </c>
      <c r="BS76" s="34">
        <f>IF(AND(BS$5&gt;$E76,BS$5&lt;=$F76),IF(BS$5=$E76+1,$C76,""),"")</f>
        <v/>
      </c>
      <c r="BT76" s="34">
        <f>IF(AND(BT$5&gt;$E76,BT$5&lt;=$F76),IF(BT$5=$E76+1,$C76,""),"")</f>
        <v/>
      </c>
      <c r="BU76" s="34">
        <f>IF(AND(BU$5&gt;$E76,BU$5&lt;=$F76),IF(BU$5=$E76+1,$C76,""),"")</f>
        <v/>
      </c>
      <c r="BV76" s="34">
        <f>IF(AND(BV$5&gt;$E76,BV$5&lt;=$F76),IF(BV$5=$E76+1,$C76,""),"")</f>
        <v/>
      </c>
      <c r="BW76" s="34">
        <f>IF(AND(BW$5&gt;$E76,BW$5&lt;=$F76),IF(BW$5=$E76+1,$C76,""),"")</f>
        <v/>
      </c>
      <c r="BX76" s="34">
        <f>IF(AND(BX$5&gt;$E76,BX$5&lt;=$F76),IF(BX$5=$E76+1,$C76,""),"")</f>
        <v/>
      </c>
      <c r="BY76" s="34">
        <f>IF(AND(BY$5&gt;$E76,BY$5&lt;=$F76),IF(BY$5=$E76+1,$C76,""),"")</f>
        <v/>
      </c>
      <c r="BZ76" s="34">
        <f>IF(AND(BZ$5&gt;$E76,BZ$5&lt;=$F76),IF(BZ$5=$E76+1,$C76,""),"")</f>
        <v/>
      </c>
      <c r="CA76" s="34">
        <f>IF(AND(CA$5&gt;$E76,CA$5&lt;=$F76),IF(CA$5=$E76+1,$C76,""),"")</f>
        <v/>
      </c>
      <c r="CB76" s="34">
        <f>IF(AND(CB$5&gt;$E76,CB$5&lt;=$F76),IF(CB$5=$E76+1,$C76,""),"")</f>
        <v/>
      </c>
      <c r="CC76" s="34">
        <f>IF(AND(CC$5&gt;$E76,CC$5&lt;=$F76),IF(CC$5=$E76+1,$C76,""),"")</f>
        <v/>
      </c>
      <c r="CD76" s="34">
        <f>IF(AND(CD$5&gt;$E76,CD$5&lt;=$F76),IF(CD$5=$E76+1,$C76,""),"")</f>
        <v/>
      </c>
      <c r="CE76" s="34">
        <f>IF(AND(CE$5&gt;$E76,CE$5&lt;=$F76),IF(CE$5=$E76+1,$C76,""),"")</f>
        <v/>
      </c>
      <c r="CF76" s="34">
        <f>IF(AND(CF$5&gt;$E76,CF$5&lt;=$F76),IF(CF$5=$E76+1,$C76,""),"")</f>
        <v/>
      </c>
      <c r="CG76" s="34">
        <f>IF(AND(CG$5&gt;$E76,CG$5&lt;=$F76),IF(CG$5=$E76+1,$C76,""),"")</f>
        <v/>
      </c>
      <c r="CH76" s="34">
        <f>IF(AND(CH$5&gt;$E76,CH$5&lt;=$F76),IF(CH$5=$E76+1,$C76,""),"")</f>
        <v/>
      </c>
      <c r="CI76" s="34">
        <f>IF(AND(CI$5&gt;$E76,CI$5&lt;=$F76),IF(CI$5=$E76+1,$C76,""),"")</f>
        <v/>
      </c>
      <c r="CJ76" s="34">
        <f>IF(AND(CJ$5&gt;$E76,CJ$5&lt;=$F76),IF(CJ$5=$E76+1,$C76,""),"")</f>
        <v/>
      </c>
      <c r="CK76" s="34">
        <f>IF(AND(CK$5&gt;$E76,CK$5&lt;=$F76),IF(CK$5=$E76+1,$C76,""),"")</f>
        <v/>
      </c>
      <c r="CL76" s="34">
        <f>IF(AND(CL$5&gt;$E76,CL$5&lt;=$F76),IF(CL$5=$E76+1,$C76,""),"")</f>
        <v/>
      </c>
      <c r="CM76" s="34">
        <f>IF(AND(CM$5&gt;$E76,CM$5&lt;=$F76),IF(CM$5=$E76+1,$C76,""),"")</f>
        <v/>
      </c>
      <c r="CN76" s="34">
        <f>IF(AND(CN$5&gt;$E76,CN$5&lt;=$F76),IF(CN$5=$E76+1,$C76,""),"")</f>
        <v/>
      </c>
      <c r="CO76" s="34">
        <f>IF(AND(CO$5&gt;$E76,CO$5&lt;=$F76),IF(CO$5=$E76+1,$C76,""),"")</f>
        <v/>
      </c>
      <c r="CP76" s="34">
        <f>IF(AND(CP$5&gt;$E76,CP$5&lt;=$F76),IF(CP$5=$E76+1,$C76,""),"")</f>
        <v/>
      </c>
      <c r="CQ76" s="34">
        <f>IF(AND(CQ$5&gt;$E76,CQ$5&lt;=$F76),IF(CQ$5=$E76+1,$C76,""),"")</f>
        <v/>
      </c>
      <c r="CR76" s="34">
        <f>IF(AND(CR$5&gt;$E76,CR$5&lt;=$F76),IF(CR$5=$E76+1,$C76,""),"")</f>
        <v/>
      </c>
      <c r="CS76" s="34">
        <f>IF(AND(CS$5&gt;$E76,CS$5&lt;=$F76),IF(CS$5=$E76+1,$C76,""),"")</f>
        <v/>
      </c>
      <c r="CT76" s="34">
        <f>IF(AND(CT$5&gt;$E76,CT$5&lt;=$F76),IF(CT$5=$E76+1,$C76,""),"")</f>
        <v/>
      </c>
      <c r="CU76" s="34">
        <f>IF(AND(CU$5&gt;$E76,CU$5&lt;=$F76),IF(CU$5=$E76+1,$C76,""),"")</f>
        <v/>
      </c>
      <c r="CV76" s="34">
        <f>IF(AND(CV$5&gt;$E76,CV$5&lt;=$F76),IF(CV$5=$E76+1,$C76,""),"")</f>
        <v/>
      </c>
      <c r="CW76" s="34">
        <f>IF(AND(CW$5&gt;$E76,CW$5&lt;=$F76),IF(CW$5=$E76+1,$C76,""),"")</f>
        <v/>
      </c>
      <c r="CX76" s="34">
        <f>IF(AND(CX$5&gt;$E76,CX$5&lt;=$F76),IF(CX$5=$E76+1,$C76,""),"")</f>
        <v/>
      </c>
      <c r="CY76" s="34">
        <f>IF(AND(CY$5&gt;$E76,CY$5&lt;=$F76),IF(CY$5=$E76+1,$C76,""),"")</f>
        <v/>
      </c>
      <c r="CZ76" s="34">
        <f>IF(AND(CZ$5&gt;$E76,CZ$5&lt;=$F76),IF(CZ$5=$E76+1,$C76,""),"")</f>
        <v/>
      </c>
      <c r="DA76" s="34">
        <f>IF(AND(DA$5&gt;$E76,DA$5&lt;=$F76),IF(DA$5=$E76+1,$C76,""),"")</f>
        <v/>
      </c>
      <c r="DB76" s="34">
        <f>IF(AND(DB$5&gt;$E76,DB$5&lt;=$F76),IF(DB$5=$E76+1,$C76,""),"")</f>
        <v/>
      </c>
      <c r="DC76" s="34">
        <f>IF(AND(DC$5&gt;$E76,DC$5&lt;=$F76),IF(DC$5=$E76+1,$C76,""),"")</f>
        <v/>
      </c>
      <c r="DD76" s="34">
        <f>IF(AND(DD$5&gt;$E76,DD$5&lt;=$F76),IF(DD$5=$E76+1,$C76,""),"")</f>
        <v/>
      </c>
      <c r="DE76" s="34">
        <f>IF(AND(DE$5&gt;$E76,DE$5&lt;=$F76),IF(DE$5=$E76+1,$C76,""),"")</f>
        <v/>
      </c>
      <c r="DF76" s="34">
        <f>IF(AND(DF$5&gt;$E76,DF$5&lt;=$F76),IF(DF$5=$E76+1,$C76,""),"")</f>
        <v/>
      </c>
      <c r="DG76" s="34">
        <f>IF(AND(DG$5&gt;$E76,DG$5&lt;=$F76),IF(DG$5=$E76+1,$C76,""),"")</f>
        <v/>
      </c>
      <c r="DH76" s="34">
        <f>IF(AND(DH$5&gt;$E76,DH$5&lt;=$F76),IF(DH$5=$E76+1,$C76,""),"")</f>
        <v/>
      </c>
      <c r="DI76" s="34">
        <f>IF(AND(DI$5&gt;$E76,DI$5&lt;=$F76),IF(DI$5=$E76+1,$C76,""),"")</f>
        <v/>
      </c>
      <c r="DJ76" s="34">
        <f>IF(AND(DJ$5&gt;$E76,DJ$5&lt;=$F76),IF(DJ$5=$E76+1,$C76,""),"")</f>
        <v/>
      </c>
      <c r="DK76" s="34">
        <f>IF(AND(DK$5&gt;$E76,DK$5&lt;=$F76),IF(DK$5=$E76+1,$C76,""),"")</f>
        <v/>
      </c>
      <c r="DL76" s="34">
        <f>IF(AND(DL$5&gt;$E76,DL$5&lt;=$F76),IF(DL$5=$E76+1,$C76,""),"")</f>
        <v/>
      </c>
      <c r="DM76" s="34">
        <f>IF(AND(DM$5&gt;$E76,DM$5&lt;=$F76),IF(DM$5=$E76+1,$C76,""),"")</f>
        <v/>
      </c>
      <c r="DN76" s="34">
        <f>IF(AND(DN$5&gt;$E76,DN$5&lt;=$F76),IF(DN$5=$E76+1,$C76,""),"")</f>
        <v/>
      </c>
      <c r="DO76" s="34">
        <f>IF(AND(DO$5&gt;$E76,DO$5&lt;=$F76),IF(DO$5=$E76+1,$C76,""),"")</f>
        <v/>
      </c>
      <c r="DP76" s="34">
        <f>IF(AND(DP$5&gt;$E76,DP$5&lt;=$F76),IF(DP$5=$E76+1,$C76,""),"")</f>
        <v/>
      </c>
      <c r="DQ76" s="34">
        <f>IF(AND(DQ$5&gt;$E76,DQ$5&lt;=$F76),IF(DQ$5=$E76+1,$C76,""),"")</f>
        <v/>
      </c>
      <c r="DR76" s="34">
        <f>IF(AND(DR$5&gt;$E76,DR$5&lt;=$F76),IF(DR$5=$E76+1,$C76,""),"")</f>
        <v/>
      </c>
      <c r="DS76" s="34">
        <f>IF(AND(DS$5&gt;$E76,DS$5&lt;=$F76),IF(DS$5=$E76+1,$C76,""),"")</f>
        <v/>
      </c>
      <c r="DT76" s="34">
        <f>IF(AND(DT$5&gt;$E76,DT$5&lt;=$F76),IF(DT$5=$E76+1,$C76,""),"")</f>
        <v/>
      </c>
      <c r="DU76" s="34">
        <f>IF(AND(DU$5&gt;$E76,DU$5&lt;=$F76),IF(DU$5=$E76+1,$C76,""),"")</f>
        <v/>
      </c>
      <c r="DV76" s="34">
        <f>IF(AND(DV$5&gt;$E76,DV$5&lt;=$F76),IF(DV$5=$E76+1,$C76,""),"")</f>
        <v/>
      </c>
      <c r="DW76" s="34">
        <f>IF(AND(DW$5&gt;$E76,DW$5&lt;=$F76),IF(DW$5=$E76+1,$C76,""),"")</f>
        <v/>
      </c>
      <c r="DX76" s="34">
        <f>IF(AND(DX$5&gt;$E76,DX$5&lt;=$F76),IF(DX$5=$E76+1,$C76,""),"")</f>
        <v/>
      </c>
      <c r="DY76" s="34">
        <f>IF(AND(DY$5&gt;$E76,DY$5&lt;=$F76),IF(DY$5=$E76+1,$C76,""),"")</f>
        <v/>
      </c>
      <c r="DZ76" s="34">
        <f>IF(AND(DZ$5&gt;$E76,DZ$5&lt;=$F76),IF(DZ$5=$E76+1,$C76,""),"")</f>
        <v/>
      </c>
      <c r="EA76" s="34">
        <f>IF(AND(EA$5&gt;$E76,EA$5&lt;=$F76),IF(EA$5=$E76+1,$C76,""),"")</f>
        <v/>
      </c>
      <c r="EB76" s="34">
        <f>IF(AND(EB$5&gt;$E76,EB$5&lt;=$F76),IF(EB$5=$E76+1,$C76,""),"")</f>
        <v/>
      </c>
      <c r="EC76" s="34">
        <f>IF(AND(EC$5&gt;$E76,EC$5&lt;=$F76),IF(EC$5=$E76+1,$C76,""),"")</f>
        <v/>
      </c>
      <c r="ED76" s="34">
        <f>IF(AND(ED$5&gt;$E76,ED$5&lt;=$F76),IF(ED$5=$E76+1,$C76,""),"")</f>
        <v/>
      </c>
      <c r="EE76" s="34">
        <f>IF(AND(EE$5&gt;$E76,EE$5&lt;=$F76),IF(EE$5=$E76+1,$C76,""),"")</f>
        <v/>
      </c>
      <c r="EF76" s="34">
        <f>IF(AND(EF$5&gt;$E76,EF$5&lt;=$F76),IF(EF$5=$E76+1,$C76,""),"")</f>
        <v/>
      </c>
      <c r="EG76" s="34">
        <f>IF(AND(EG$5&gt;$E76,EG$5&lt;=$F76),IF(EG$5=$E76+1,$C76,""),"")</f>
        <v/>
      </c>
      <c r="EH76" s="34">
        <f>IF(AND(EH$5&gt;$E76,EH$5&lt;=$F76),IF(EH$5=$E76+1,$C76,""),"")</f>
        <v/>
      </c>
      <c r="EI76" s="34">
        <f>IF(AND(EI$5&gt;$E76,EI$5&lt;=$F76),IF(EI$5=$E76+1,$C76,""),"")</f>
        <v/>
      </c>
      <c r="EJ76" s="34">
        <f>IF(AND(EJ$5&gt;$E76,EJ$5&lt;=$F76),IF(EJ$5=$E76+1,$C76,""),"")</f>
        <v/>
      </c>
      <c r="EK76" s="34">
        <f>IF(AND(EK$5&gt;$E76,EK$5&lt;=$F76),IF(EK$5=$E76+1,$C76,""),"")</f>
        <v/>
      </c>
      <c r="EL76" s="34">
        <f>IF(AND(EL$5&gt;$E76,EL$5&lt;=$F76),IF(EL$5=$E76+1,$C76,""),"")</f>
        <v/>
      </c>
      <c r="EM76" s="34">
        <f>IF(AND(EM$5&gt;$E76,EM$5&lt;=$F76),IF(EM$5=$E76+1,$C76,""),"")</f>
        <v/>
      </c>
      <c r="EN76" s="34">
        <f>IF(AND(EN$5&gt;$E76,EN$5&lt;=$F76),IF(EN$5=$E76+1,$C76,""),"")</f>
        <v/>
      </c>
      <c r="EO76" s="34">
        <f>IF(AND(EO$5&gt;$E76,EO$5&lt;=$F76),IF(EO$5=$E76+1,$C76,""),"")</f>
        <v/>
      </c>
      <c r="EP76" s="34">
        <f>IF(AND(EP$5&gt;$E76,EP$5&lt;=$F76),IF(EP$5=$E76+1,$C76,""),"")</f>
        <v/>
      </c>
      <c r="EQ76" s="34">
        <f>IF(AND(EQ$5&gt;$E76,EQ$5&lt;=$F76),IF(EQ$5=$E76+1,$C76,""),"")</f>
        <v/>
      </c>
      <c r="ER76" s="34">
        <f>IF(AND(ER$5&gt;$E76,ER$5&lt;=$F76),IF(ER$5=$E76+1,$C76,""),"")</f>
        <v/>
      </c>
      <c r="ES76" s="34">
        <f>IF(AND(ES$5&gt;$E76,ES$5&lt;=$F76),IF(ES$5=$E76+1,$C76,""),"")</f>
        <v/>
      </c>
      <c r="ET76" s="34">
        <f>IF(AND(ET$5&gt;$E76,ET$5&lt;=$F76),IF(ET$5=$E76+1,$C76,""),"")</f>
        <v/>
      </c>
      <c r="EU76" s="34">
        <f>IF(AND(EU$5&gt;$E76,EU$5&lt;=$F76),IF(EU$5=$E76+1,$C76,""),"")</f>
        <v/>
      </c>
      <c r="EV76" s="34">
        <f>IF(AND(EV$5&gt;$E76,EV$5&lt;=$F76),IF(EV$5=$E76+1,$C76,""),"")</f>
        <v/>
      </c>
      <c r="EW76" s="34">
        <f>IF(AND(EW$5&gt;$E76,EW$5&lt;=$F76),IF(EW$5=$E76+1,$C76,""),"")</f>
        <v/>
      </c>
      <c r="EX76" s="34">
        <f>IF(AND(EX$5&gt;$E76,EX$5&lt;=$F76),IF(EX$5=$E76+1,$C76,""),"")</f>
        <v/>
      </c>
      <c r="EY76" s="34">
        <f>IF(AND(EY$5&gt;$E76,EY$5&lt;=$F76),IF(EY$5=$E76+1,$C76,""),"")</f>
        <v/>
      </c>
      <c r="EZ76" s="34">
        <f>IF(AND(EZ$5&gt;$E76,EZ$5&lt;=$F76),IF(EZ$5=$E76+1,$C76,""),"")</f>
        <v/>
      </c>
      <c r="FA76" s="34">
        <f>IF(AND(FA$5&gt;$E76,FA$5&lt;=$F76),IF(FA$5=$E76+1,$C76,""),"")</f>
        <v/>
      </c>
    </row>
    <row r="77">
      <c r="A77" s="32">
        <f>Plan!A49</f>
        <v/>
      </c>
      <c r="B77" s="33">
        <f>Plan!C49</f>
        <v/>
      </c>
      <c r="C77" s="16">
        <f>Plan!D49</f>
        <v/>
      </c>
      <c r="D77" s="16">
        <f>Plan!I49</f>
        <v/>
      </c>
      <c r="E77" s="16">
        <f>Plan!K49</f>
        <v/>
      </c>
      <c r="F77" s="16">
        <f>Plan!L49</f>
        <v/>
      </c>
      <c r="G77" s="16">
        <f>Plan!O49</f>
        <v/>
      </c>
      <c r="H77" s="34">
        <f>IF(AND(H$5&gt;$E77,H$5&lt;=$F77),IF(H$5=$E77+1,$C77,""),"")</f>
        <v/>
      </c>
      <c r="I77" s="34">
        <f>IF(AND(I$5&gt;$E77,I$5&lt;=$F77),IF(I$5=$E77+1,$C77,""),"")</f>
        <v/>
      </c>
      <c r="J77" s="34">
        <f>IF(AND(J$5&gt;$E77,J$5&lt;=$F77),IF(J$5=$E77+1,$C77,""),"")</f>
        <v/>
      </c>
      <c r="K77" s="34">
        <f>IF(AND(K$5&gt;$E77,K$5&lt;=$F77),IF(K$5=$E77+1,$C77,""),"")</f>
        <v/>
      </c>
      <c r="L77" s="34">
        <f>IF(AND(L$5&gt;$E77,L$5&lt;=$F77),IF(L$5=$E77+1,$C77,""),"")</f>
        <v/>
      </c>
      <c r="M77" s="34">
        <f>IF(AND(M$5&gt;$E77,M$5&lt;=$F77),IF(M$5=$E77+1,$C77,""),"")</f>
        <v/>
      </c>
      <c r="N77" s="34">
        <f>IF(AND(N$5&gt;$E77,N$5&lt;=$F77),IF(N$5=$E77+1,$C77,""),"")</f>
        <v/>
      </c>
      <c r="O77" s="34">
        <f>IF(AND(O$5&gt;$E77,O$5&lt;=$F77),IF(O$5=$E77+1,$C77,""),"")</f>
        <v/>
      </c>
      <c r="P77" s="34">
        <f>IF(AND(P$5&gt;$E77,P$5&lt;=$F77),IF(P$5=$E77+1,$C77,""),"")</f>
        <v/>
      </c>
      <c r="Q77" s="34">
        <f>IF(AND(Q$5&gt;$E77,Q$5&lt;=$F77),IF(Q$5=$E77+1,$C77,""),"")</f>
        <v/>
      </c>
      <c r="R77" s="34">
        <f>IF(AND(R$5&gt;$E77,R$5&lt;=$F77),IF(R$5=$E77+1,$C77,""),"")</f>
        <v/>
      </c>
      <c r="S77" s="34">
        <f>IF(AND(S$5&gt;$E77,S$5&lt;=$F77),IF(S$5=$E77+1,$C77,""),"")</f>
        <v/>
      </c>
      <c r="T77" s="34">
        <f>IF(AND(T$5&gt;$E77,T$5&lt;=$F77),IF(T$5=$E77+1,$C77,""),"")</f>
        <v/>
      </c>
      <c r="U77" s="34">
        <f>IF(AND(U$5&gt;$E77,U$5&lt;=$F77),IF(U$5=$E77+1,$C77,""),"")</f>
        <v/>
      </c>
      <c r="V77" s="34">
        <f>IF(AND(V$5&gt;$E77,V$5&lt;=$F77),IF(V$5=$E77+1,$C77,""),"")</f>
        <v/>
      </c>
      <c r="W77" s="34">
        <f>IF(AND(W$5&gt;$E77,W$5&lt;=$F77),IF(W$5=$E77+1,$C77,""),"")</f>
        <v/>
      </c>
      <c r="X77" s="34">
        <f>IF(AND(X$5&gt;$E77,X$5&lt;=$F77),IF(X$5=$E77+1,$C77,""),"")</f>
        <v/>
      </c>
      <c r="Y77" s="34">
        <f>IF(AND(Y$5&gt;$E77,Y$5&lt;=$F77),IF(Y$5=$E77+1,$C77,""),"")</f>
        <v/>
      </c>
      <c r="Z77" s="34">
        <f>IF(AND(Z$5&gt;$E77,Z$5&lt;=$F77),IF(Z$5=$E77+1,$C77,""),"")</f>
        <v/>
      </c>
      <c r="AA77" s="34">
        <f>IF(AND(AA$5&gt;$E77,AA$5&lt;=$F77),IF(AA$5=$E77+1,$C77,""),"")</f>
        <v/>
      </c>
      <c r="AB77" s="34">
        <f>IF(AND(AB$5&gt;$E77,AB$5&lt;=$F77),IF(AB$5=$E77+1,$C77,""),"")</f>
        <v/>
      </c>
      <c r="AC77" s="34">
        <f>IF(AND(AC$5&gt;$E77,AC$5&lt;=$F77),IF(AC$5=$E77+1,$C77,""),"")</f>
        <v/>
      </c>
      <c r="AD77" s="34">
        <f>IF(AND(AD$5&gt;$E77,AD$5&lt;=$F77),IF(AD$5=$E77+1,$C77,""),"")</f>
        <v/>
      </c>
      <c r="AE77" s="34">
        <f>IF(AND(AE$5&gt;$E77,AE$5&lt;=$F77),IF(AE$5=$E77+1,$C77,""),"")</f>
        <v/>
      </c>
      <c r="AF77" s="34">
        <f>IF(AND(AF$5&gt;$E77,AF$5&lt;=$F77),IF(AF$5=$E77+1,$C77,""),"")</f>
        <v/>
      </c>
      <c r="AG77" s="34">
        <f>IF(AND(AG$5&gt;$E77,AG$5&lt;=$F77),IF(AG$5=$E77+1,$C77,""),"")</f>
        <v/>
      </c>
      <c r="AH77" s="34">
        <f>IF(AND(AH$5&gt;$E77,AH$5&lt;=$F77),IF(AH$5=$E77+1,$C77,""),"")</f>
        <v/>
      </c>
      <c r="AI77" s="34">
        <f>IF(AND(AI$5&gt;$E77,AI$5&lt;=$F77),IF(AI$5=$E77+1,$C77,""),"")</f>
        <v/>
      </c>
      <c r="AJ77" s="34">
        <f>IF(AND(AJ$5&gt;$E77,AJ$5&lt;=$F77),IF(AJ$5=$E77+1,$C77,""),"")</f>
        <v/>
      </c>
      <c r="AK77" s="34">
        <f>IF(AND(AK$5&gt;$E77,AK$5&lt;=$F77),IF(AK$5=$E77+1,$C77,""),"")</f>
        <v/>
      </c>
      <c r="AL77" s="34">
        <f>IF(AND(AL$5&gt;$E77,AL$5&lt;=$F77),IF(AL$5=$E77+1,$C77,""),"")</f>
        <v/>
      </c>
      <c r="AM77" s="34">
        <f>IF(AND(AM$5&gt;$E77,AM$5&lt;=$F77),IF(AM$5=$E77+1,$C77,""),"")</f>
        <v/>
      </c>
      <c r="AN77" s="34">
        <f>IF(AND(AN$5&gt;$E77,AN$5&lt;=$F77),IF(AN$5=$E77+1,$C77,""),"")</f>
        <v/>
      </c>
      <c r="AO77" s="34">
        <f>IF(AND(AO$5&gt;$E77,AO$5&lt;=$F77),IF(AO$5=$E77+1,$C77,""),"")</f>
        <v/>
      </c>
      <c r="AP77" s="34">
        <f>IF(AND(AP$5&gt;$E77,AP$5&lt;=$F77),IF(AP$5=$E77+1,$C77,""),"")</f>
        <v/>
      </c>
      <c r="AQ77" s="34">
        <f>IF(AND(AQ$5&gt;$E77,AQ$5&lt;=$F77),IF(AQ$5=$E77+1,$C77,""),"")</f>
        <v/>
      </c>
      <c r="AR77" s="34">
        <f>IF(AND(AR$5&gt;$E77,AR$5&lt;=$F77),IF(AR$5=$E77+1,$C77,""),"")</f>
        <v/>
      </c>
      <c r="AS77" s="34">
        <f>IF(AND(AS$5&gt;$E77,AS$5&lt;=$F77),IF(AS$5=$E77+1,$C77,""),"")</f>
        <v/>
      </c>
      <c r="AT77" s="34">
        <f>IF(AND(AT$5&gt;$E77,AT$5&lt;=$F77),IF(AT$5=$E77+1,$C77,""),"")</f>
        <v/>
      </c>
      <c r="AU77" s="34">
        <f>IF(AND(AU$5&gt;$E77,AU$5&lt;=$F77),IF(AU$5=$E77+1,$C77,""),"")</f>
        <v/>
      </c>
      <c r="AV77" s="34">
        <f>IF(AND(AV$5&gt;$E77,AV$5&lt;=$F77),IF(AV$5=$E77+1,$C77,""),"")</f>
        <v/>
      </c>
      <c r="AW77" s="34">
        <f>IF(AND(AW$5&gt;$E77,AW$5&lt;=$F77),IF(AW$5=$E77+1,$C77,""),"")</f>
        <v/>
      </c>
      <c r="AX77" s="34">
        <f>IF(AND(AX$5&gt;$E77,AX$5&lt;=$F77),IF(AX$5=$E77+1,$C77,""),"")</f>
        <v/>
      </c>
      <c r="AY77" s="34">
        <f>IF(AND(AY$5&gt;$E77,AY$5&lt;=$F77),IF(AY$5=$E77+1,$C77,""),"")</f>
        <v/>
      </c>
      <c r="AZ77" s="34">
        <f>IF(AND(AZ$5&gt;$E77,AZ$5&lt;=$F77),IF(AZ$5=$E77+1,$C77,""),"")</f>
        <v/>
      </c>
      <c r="BA77" s="34">
        <f>IF(AND(BA$5&gt;$E77,BA$5&lt;=$F77),IF(BA$5=$E77+1,$C77,""),"")</f>
        <v/>
      </c>
      <c r="BB77" s="34">
        <f>IF(AND(BB$5&gt;$E77,BB$5&lt;=$F77),IF(BB$5=$E77+1,$C77,""),"")</f>
        <v/>
      </c>
      <c r="BC77" s="34">
        <f>IF(AND(BC$5&gt;$E77,BC$5&lt;=$F77),IF(BC$5=$E77+1,$C77,""),"")</f>
        <v/>
      </c>
      <c r="BD77" s="34">
        <f>IF(AND(BD$5&gt;$E77,BD$5&lt;=$F77),IF(BD$5=$E77+1,$C77,""),"")</f>
        <v/>
      </c>
      <c r="BE77" s="34">
        <f>IF(AND(BE$5&gt;$E77,BE$5&lt;=$F77),IF(BE$5=$E77+1,$C77,""),"")</f>
        <v/>
      </c>
      <c r="BF77" s="34">
        <f>IF(AND(BF$5&gt;$E77,BF$5&lt;=$F77),IF(BF$5=$E77+1,$C77,""),"")</f>
        <v/>
      </c>
      <c r="BG77" s="34">
        <f>IF(AND(BG$5&gt;$E77,BG$5&lt;=$F77),IF(BG$5=$E77+1,$C77,""),"")</f>
        <v/>
      </c>
      <c r="BH77" s="34">
        <f>IF(AND(BH$5&gt;$E77,BH$5&lt;=$F77),IF(BH$5=$E77+1,$C77,""),"")</f>
        <v/>
      </c>
      <c r="BI77" s="34">
        <f>IF(AND(BI$5&gt;$E77,BI$5&lt;=$F77),IF(BI$5=$E77+1,$C77,""),"")</f>
        <v/>
      </c>
      <c r="BJ77" s="34">
        <f>IF(AND(BJ$5&gt;$E77,BJ$5&lt;=$F77),IF(BJ$5=$E77+1,$C77,""),"")</f>
        <v/>
      </c>
      <c r="BK77" s="34">
        <f>IF(AND(BK$5&gt;$E77,BK$5&lt;=$F77),IF(BK$5=$E77+1,$C77,""),"")</f>
        <v/>
      </c>
      <c r="BL77" s="34">
        <f>IF(AND(BL$5&gt;$E77,BL$5&lt;=$F77),IF(BL$5=$E77+1,$C77,""),"")</f>
        <v/>
      </c>
      <c r="BM77" s="34">
        <f>IF(AND(BM$5&gt;$E77,BM$5&lt;=$F77),IF(BM$5=$E77+1,$C77,""),"")</f>
        <v/>
      </c>
      <c r="BN77" s="34">
        <f>IF(AND(BN$5&gt;$E77,BN$5&lt;=$F77),IF(BN$5=$E77+1,$C77,""),"")</f>
        <v/>
      </c>
      <c r="BO77" s="34">
        <f>IF(AND(BO$5&gt;$E77,BO$5&lt;=$F77),IF(BO$5=$E77+1,$C77,""),"")</f>
        <v/>
      </c>
      <c r="BP77" s="34">
        <f>IF(AND(BP$5&gt;$E77,BP$5&lt;=$F77),IF(BP$5=$E77+1,$C77,""),"")</f>
        <v/>
      </c>
      <c r="BQ77" s="34">
        <f>IF(AND(BQ$5&gt;$E77,BQ$5&lt;=$F77),IF(BQ$5=$E77+1,$C77,""),"")</f>
        <v/>
      </c>
      <c r="BR77" s="34">
        <f>IF(AND(BR$5&gt;$E77,BR$5&lt;=$F77),IF(BR$5=$E77+1,$C77,""),"")</f>
        <v/>
      </c>
      <c r="BS77" s="34">
        <f>IF(AND(BS$5&gt;$E77,BS$5&lt;=$F77),IF(BS$5=$E77+1,$C77,""),"")</f>
        <v/>
      </c>
      <c r="BT77" s="34">
        <f>IF(AND(BT$5&gt;$E77,BT$5&lt;=$F77),IF(BT$5=$E77+1,$C77,""),"")</f>
        <v/>
      </c>
      <c r="BU77" s="34">
        <f>IF(AND(BU$5&gt;$E77,BU$5&lt;=$F77),IF(BU$5=$E77+1,$C77,""),"")</f>
        <v/>
      </c>
      <c r="BV77" s="34">
        <f>IF(AND(BV$5&gt;$E77,BV$5&lt;=$F77),IF(BV$5=$E77+1,$C77,""),"")</f>
        <v/>
      </c>
      <c r="BW77" s="34">
        <f>IF(AND(BW$5&gt;$E77,BW$5&lt;=$F77),IF(BW$5=$E77+1,$C77,""),"")</f>
        <v/>
      </c>
      <c r="BX77" s="34">
        <f>IF(AND(BX$5&gt;$E77,BX$5&lt;=$F77),IF(BX$5=$E77+1,$C77,""),"")</f>
        <v/>
      </c>
      <c r="BY77" s="34">
        <f>IF(AND(BY$5&gt;$E77,BY$5&lt;=$F77),IF(BY$5=$E77+1,$C77,""),"")</f>
        <v/>
      </c>
      <c r="BZ77" s="34">
        <f>IF(AND(BZ$5&gt;$E77,BZ$5&lt;=$F77),IF(BZ$5=$E77+1,$C77,""),"")</f>
        <v/>
      </c>
      <c r="CA77" s="34">
        <f>IF(AND(CA$5&gt;$E77,CA$5&lt;=$F77),IF(CA$5=$E77+1,$C77,""),"")</f>
        <v/>
      </c>
      <c r="CB77" s="34">
        <f>IF(AND(CB$5&gt;$E77,CB$5&lt;=$F77),IF(CB$5=$E77+1,$C77,""),"")</f>
        <v/>
      </c>
      <c r="CC77" s="34">
        <f>IF(AND(CC$5&gt;$E77,CC$5&lt;=$F77),IF(CC$5=$E77+1,$C77,""),"")</f>
        <v/>
      </c>
      <c r="CD77" s="34">
        <f>IF(AND(CD$5&gt;$E77,CD$5&lt;=$F77),IF(CD$5=$E77+1,$C77,""),"")</f>
        <v/>
      </c>
      <c r="CE77" s="34">
        <f>IF(AND(CE$5&gt;$E77,CE$5&lt;=$F77),IF(CE$5=$E77+1,$C77,""),"")</f>
        <v/>
      </c>
      <c r="CF77" s="34">
        <f>IF(AND(CF$5&gt;$E77,CF$5&lt;=$F77),IF(CF$5=$E77+1,$C77,""),"")</f>
        <v/>
      </c>
      <c r="CG77" s="34">
        <f>IF(AND(CG$5&gt;$E77,CG$5&lt;=$F77),IF(CG$5=$E77+1,$C77,""),"")</f>
        <v/>
      </c>
      <c r="CH77" s="34">
        <f>IF(AND(CH$5&gt;$E77,CH$5&lt;=$F77),IF(CH$5=$E77+1,$C77,""),"")</f>
        <v/>
      </c>
      <c r="CI77" s="34">
        <f>IF(AND(CI$5&gt;$E77,CI$5&lt;=$F77),IF(CI$5=$E77+1,$C77,""),"")</f>
        <v/>
      </c>
      <c r="CJ77" s="34">
        <f>IF(AND(CJ$5&gt;$E77,CJ$5&lt;=$F77),IF(CJ$5=$E77+1,$C77,""),"")</f>
        <v/>
      </c>
      <c r="CK77" s="34">
        <f>IF(AND(CK$5&gt;$E77,CK$5&lt;=$F77),IF(CK$5=$E77+1,$C77,""),"")</f>
        <v/>
      </c>
      <c r="CL77" s="34">
        <f>IF(AND(CL$5&gt;$E77,CL$5&lt;=$F77),IF(CL$5=$E77+1,$C77,""),"")</f>
        <v/>
      </c>
      <c r="CM77" s="34">
        <f>IF(AND(CM$5&gt;$E77,CM$5&lt;=$F77),IF(CM$5=$E77+1,$C77,""),"")</f>
        <v/>
      </c>
      <c r="CN77" s="34">
        <f>IF(AND(CN$5&gt;$E77,CN$5&lt;=$F77),IF(CN$5=$E77+1,$C77,""),"")</f>
        <v/>
      </c>
      <c r="CO77" s="34">
        <f>IF(AND(CO$5&gt;$E77,CO$5&lt;=$F77),IF(CO$5=$E77+1,$C77,""),"")</f>
        <v/>
      </c>
      <c r="CP77" s="34">
        <f>IF(AND(CP$5&gt;$E77,CP$5&lt;=$F77),IF(CP$5=$E77+1,$C77,""),"")</f>
        <v/>
      </c>
      <c r="CQ77" s="34">
        <f>IF(AND(CQ$5&gt;$E77,CQ$5&lt;=$F77),IF(CQ$5=$E77+1,$C77,""),"")</f>
        <v/>
      </c>
      <c r="CR77" s="34">
        <f>IF(AND(CR$5&gt;$E77,CR$5&lt;=$F77),IF(CR$5=$E77+1,$C77,""),"")</f>
        <v/>
      </c>
      <c r="CS77" s="34">
        <f>IF(AND(CS$5&gt;$E77,CS$5&lt;=$F77),IF(CS$5=$E77+1,$C77,""),"")</f>
        <v/>
      </c>
      <c r="CT77" s="34">
        <f>IF(AND(CT$5&gt;$E77,CT$5&lt;=$F77),IF(CT$5=$E77+1,$C77,""),"")</f>
        <v/>
      </c>
      <c r="CU77" s="34">
        <f>IF(AND(CU$5&gt;$E77,CU$5&lt;=$F77),IF(CU$5=$E77+1,$C77,""),"")</f>
        <v/>
      </c>
      <c r="CV77" s="34">
        <f>IF(AND(CV$5&gt;$E77,CV$5&lt;=$F77),IF(CV$5=$E77+1,$C77,""),"")</f>
        <v/>
      </c>
      <c r="CW77" s="34">
        <f>IF(AND(CW$5&gt;$E77,CW$5&lt;=$F77),IF(CW$5=$E77+1,$C77,""),"")</f>
        <v/>
      </c>
      <c r="CX77" s="34">
        <f>IF(AND(CX$5&gt;$E77,CX$5&lt;=$F77),IF(CX$5=$E77+1,$C77,""),"")</f>
        <v/>
      </c>
      <c r="CY77" s="34">
        <f>IF(AND(CY$5&gt;$E77,CY$5&lt;=$F77),IF(CY$5=$E77+1,$C77,""),"")</f>
        <v/>
      </c>
      <c r="CZ77" s="34">
        <f>IF(AND(CZ$5&gt;$E77,CZ$5&lt;=$F77),IF(CZ$5=$E77+1,$C77,""),"")</f>
        <v/>
      </c>
      <c r="DA77" s="34">
        <f>IF(AND(DA$5&gt;$E77,DA$5&lt;=$F77),IF(DA$5=$E77+1,$C77,""),"")</f>
        <v/>
      </c>
      <c r="DB77" s="34">
        <f>IF(AND(DB$5&gt;$E77,DB$5&lt;=$F77),IF(DB$5=$E77+1,$C77,""),"")</f>
        <v/>
      </c>
      <c r="DC77" s="34">
        <f>IF(AND(DC$5&gt;$E77,DC$5&lt;=$F77),IF(DC$5=$E77+1,$C77,""),"")</f>
        <v/>
      </c>
      <c r="DD77" s="34">
        <f>IF(AND(DD$5&gt;$E77,DD$5&lt;=$F77),IF(DD$5=$E77+1,$C77,""),"")</f>
        <v/>
      </c>
      <c r="DE77" s="34">
        <f>IF(AND(DE$5&gt;$E77,DE$5&lt;=$F77),IF(DE$5=$E77+1,$C77,""),"")</f>
        <v/>
      </c>
      <c r="DF77" s="34">
        <f>IF(AND(DF$5&gt;$E77,DF$5&lt;=$F77),IF(DF$5=$E77+1,$C77,""),"")</f>
        <v/>
      </c>
      <c r="DG77" s="34">
        <f>IF(AND(DG$5&gt;$E77,DG$5&lt;=$F77),IF(DG$5=$E77+1,$C77,""),"")</f>
        <v/>
      </c>
      <c r="DH77" s="34">
        <f>IF(AND(DH$5&gt;$E77,DH$5&lt;=$F77),IF(DH$5=$E77+1,$C77,""),"")</f>
        <v/>
      </c>
      <c r="DI77" s="34">
        <f>IF(AND(DI$5&gt;$E77,DI$5&lt;=$F77),IF(DI$5=$E77+1,$C77,""),"")</f>
        <v/>
      </c>
      <c r="DJ77" s="34">
        <f>IF(AND(DJ$5&gt;$E77,DJ$5&lt;=$F77),IF(DJ$5=$E77+1,$C77,""),"")</f>
        <v/>
      </c>
      <c r="DK77" s="34">
        <f>IF(AND(DK$5&gt;$E77,DK$5&lt;=$F77),IF(DK$5=$E77+1,$C77,""),"")</f>
        <v/>
      </c>
      <c r="DL77" s="34">
        <f>IF(AND(DL$5&gt;$E77,DL$5&lt;=$F77),IF(DL$5=$E77+1,$C77,""),"")</f>
        <v/>
      </c>
      <c r="DM77" s="34">
        <f>IF(AND(DM$5&gt;$E77,DM$5&lt;=$F77),IF(DM$5=$E77+1,$C77,""),"")</f>
        <v/>
      </c>
      <c r="DN77" s="34">
        <f>IF(AND(DN$5&gt;$E77,DN$5&lt;=$F77),IF(DN$5=$E77+1,$C77,""),"")</f>
        <v/>
      </c>
      <c r="DO77" s="34">
        <f>IF(AND(DO$5&gt;$E77,DO$5&lt;=$F77),IF(DO$5=$E77+1,$C77,""),"")</f>
        <v/>
      </c>
      <c r="DP77" s="34">
        <f>IF(AND(DP$5&gt;$E77,DP$5&lt;=$F77),IF(DP$5=$E77+1,$C77,""),"")</f>
        <v/>
      </c>
      <c r="DQ77" s="34">
        <f>IF(AND(DQ$5&gt;$E77,DQ$5&lt;=$F77),IF(DQ$5=$E77+1,$C77,""),"")</f>
        <v/>
      </c>
      <c r="DR77" s="34">
        <f>IF(AND(DR$5&gt;$E77,DR$5&lt;=$F77),IF(DR$5=$E77+1,$C77,""),"")</f>
        <v/>
      </c>
      <c r="DS77" s="34">
        <f>IF(AND(DS$5&gt;$E77,DS$5&lt;=$F77),IF(DS$5=$E77+1,$C77,""),"")</f>
        <v/>
      </c>
      <c r="DT77" s="34">
        <f>IF(AND(DT$5&gt;$E77,DT$5&lt;=$F77),IF(DT$5=$E77+1,$C77,""),"")</f>
        <v/>
      </c>
      <c r="DU77" s="34">
        <f>IF(AND(DU$5&gt;$E77,DU$5&lt;=$F77),IF(DU$5=$E77+1,$C77,""),"")</f>
        <v/>
      </c>
      <c r="DV77" s="34">
        <f>IF(AND(DV$5&gt;$E77,DV$5&lt;=$F77),IF(DV$5=$E77+1,$C77,""),"")</f>
        <v/>
      </c>
      <c r="DW77" s="34">
        <f>IF(AND(DW$5&gt;$E77,DW$5&lt;=$F77),IF(DW$5=$E77+1,$C77,""),"")</f>
        <v/>
      </c>
      <c r="DX77" s="34">
        <f>IF(AND(DX$5&gt;$E77,DX$5&lt;=$F77),IF(DX$5=$E77+1,$C77,""),"")</f>
        <v/>
      </c>
      <c r="DY77" s="34">
        <f>IF(AND(DY$5&gt;$E77,DY$5&lt;=$F77),IF(DY$5=$E77+1,$C77,""),"")</f>
        <v/>
      </c>
      <c r="DZ77" s="34">
        <f>IF(AND(DZ$5&gt;$E77,DZ$5&lt;=$F77),IF(DZ$5=$E77+1,$C77,""),"")</f>
        <v/>
      </c>
      <c r="EA77" s="34">
        <f>IF(AND(EA$5&gt;$E77,EA$5&lt;=$F77),IF(EA$5=$E77+1,$C77,""),"")</f>
        <v/>
      </c>
      <c r="EB77" s="34">
        <f>IF(AND(EB$5&gt;$E77,EB$5&lt;=$F77),IF(EB$5=$E77+1,$C77,""),"")</f>
        <v/>
      </c>
      <c r="EC77" s="34">
        <f>IF(AND(EC$5&gt;$E77,EC$5&lt;=$F77),IF(EC$5=$E77+1,$C77,""),"")</f>
        <v/>
      </c>
      <c r="ED77" s="34">
        <f>IF(AND(ED$5&gt;$E77,ED$5&lt;=$F77),IF(ED$5=$E77+1,$C77,""),"")</f>
        <v/>
      </c>
      <c r="EE77" s="34">
        <f>IF(AND(EE$5&gt;$E77,EE$5&lt;=$F77),IF(EE$5=$E77+1,$C77,""),"")</f>
        <v/>
      </c>
      <c r="EF77" s="34">
        <f>IF(AND(EF$5&gt;$E77,EF$5&lt;=$F77),IF(EF$5=$E77+1,$C77,""),"")</f>
        <v/>
      </c>
      <c r="EG77" s="34">
        <f>IF(AND(EG$5&gt;$E77,EG$5&lt;=$F77),IF(EG$5=$E77+1,$C77,""),"")</f>
        <v/>
      </c>
      <c r="EH77" s="34">
        <f>IF(AND(EH$5&gt;$E77,EH$5&lt;=$F77),IF(EH$5=$E77+1,$C77,""),"")</f>
        <v/>
      </c>
      <c r="EI77" s="34">
        <f>IF(AND(EI$5&gt;$E77,EI$5&lt;=$F77),IF(EI$5=$E77+1,$C77,""),"")</f>
        <v/>
      </c>
      <c r="EJ77" s="34">
        <f>IF(AND(EJ$5&gt;$E77,EJ$5&lt;=$F77),IF(EJ$5=$E77+1,$C77,""),"")</f>
        <v/>
      </c>
      <c r="EK77" s="34">
        <f>IF(AND(EK$5&gt;$E77,EK$5&lt;=$F77),IF(EK$5=$E77+1,$C77,""),"")</f>
        <v/>
      </c>
      <c r="EL77" s="34">
        <f>IF(AND(EL$5&gt;$E77,EL$5&lt;=$F77),IF(EL$5=$E77+1,$C77,""),"")</f>
        <v/>
      </c>
      <c r="EM77" s="34">
        <f>IF(AND(EM$5&gt;$E77,EM$5&lt;=$F77),IF(EM$5=$E77+1,$C77,""),"")</f>
        <v/>
      </c>
      <c r="EN77" s="34">
        <f>IF(AND(EN$5&gt;$E77,EN$5&lt;=$F77),IF(EN$5=$E77+1,$C77,""),"")</f>
        <v/>
      </c>
      <c r="EO77" s="34">
        <f>IF(AND(EO$5&gt;$E77,EO$5&lt;=$F77),IF(EO$5=$E77+1,$C77,""),"")</f>
        <v/>
      </c>
      <c r="EP77" s="34">
        <f>IF(AND(EP$5&gt;$E77,EP$5&lt;=$F77),IF(EP$5=$E77+1,$C77,""),"")</f>
        <v/>
      </c>
      <c r="EQ77" s="34">
        <f>IF(AND(EQ$5&gt;$E77,EQ$5&lt;=$F77),IF(EQ$5=$E77+1,$C77,""),"")</f>
        <v/>
      </c>
      <c r="ER77" s="34">
        <f>IF(AND(ER$5&gt;$E77,ER$5&lt;=$F77),IF(ER$5=$E77+1,$C77,""),"")</f>
        <v/>
      </c>
      <c r="ES77" s="34">
        <f>IF(AND(ES$5&gt;$E77,ES$5&lt;=$F77),IF(ES$5=$E77+1,$C77,""),"")</f>
        <v/>
      </c>
      <c r="ET77" s="34">
        <f>IF(AND(ET$5&gt;$E77,ET$5&lt;=$F77),IF(ET$5=$E77+1,$C77,""),"")</f>
        <v/>
      </c>
      <c r="EU77" s="34">
        <f>IF(AND(EU$5&gt;$E77,EU$5&lt;=$F77),IF(EU$5=$E77+1,$C77,""),"")</f>
        <v/>
      </c>
      <c r="EV77" s="34">
        <f>IF(AND(EV$5&gt;$E77,EV$5&lt;=$F77),IF(EV$5=$E77+1,$C77,""),"")</f>
        <v/>
      </c>
      <c r="EW77" s="34">
        <f>IF(AND(EW$5&gt;$E77,EW$5&lt;=$F77),IF(EW$5=$E77+1,$C77,""),"")</f>
        <v/>
      </c>
      <c r="EX77" s="34">
        <f>IF(AND(EX$5&gt;$E77,EX$5&lt;=$F77),IF(EX$5=$E77+1,$C77,""),"")</f>
        <v/>
      </c>
      <c r="EY77" s="34">
        <f>IF(AND(EY$5&gt;$E77,EY$5&lt;=$F77),IF(EY$5=$E77+1,$C77,""),"")</f>
        <v/>
      </c>
      <c r="EZ77" s="34">
        <f>IF(AND(EZ$5&gt;$E77,EZ$5&lt;=$F77),IF(EZ$5=$E77+1,$C77,""),"")</f>
        <v/>
      </c>
      <c r="FA77" s="34">
        <f>IF(AND(FA$5&gt;$E77,FA$5&lt;=$F77),IF(FA$5=$E77+1,$C77,""),"")</f>
        <v/>
      </c>
    </row>
    <row r="78">
      <c r="A78" s="32">
        <f>Plan!A50</f>
        <v/>
      </c>
      <c r="B78" s="33">
        <f>Plan!C50</f>
        <v/>
      </c>
      <c r="C78" s="16">
        <f>Plan!D50</f>
        <v/>
      </c>
      <c r="D78" s="16">
        <f>Plan!I50</f>
        <v/>
      </c>
      <c r="E78" s="16">
        <f>Plan!K50</f>
        <v/>
      </c>
      <c r="F78" s="16">
        <f>Plan!L50</f>
        <v/>
      </c>
      <c r="G78" s="16">
        <f>Plan!O50</f>
        <v/>
      </c>
      <c r="H78" s="34">
        <f>IF(AND(H$5&gt;$E78,H$5&lt;=$F78),IF(H$5=$E78+1,$C78,""),"")</f>
        <v/>
      </c>
      <c r="I78" s="34">
        <f>IF(AND(I$5&gt;$E78,I$5&lt;=$F78),IF(I$5=$E78+1,$C78,""),"")</f>
        <v/>
      </c>
      <c r="J78" s="34">
        <f>IF(AND(J$5&gt;$E78,J$5&lt;=$F78),IF(J$5=$E78+1,$C78,""),"")</f>
        <v/>
      </c>
      <c r="K78" s="34">
        <f>IF(AND(K$5&gt;$E78,K$5&lt;=$F78),IF(K$5=$E78+1,$C78,""),"")</f>
        <v/>
      </c>
      <c r="L78" s="34">
        <f>IF(AND(L$5&gt;$E78,L$5&lt;=$F78),IF(L$5=$E78+1,$C78,""),"")</f>
        <v/>
      </c>
      <c r="M78" s="34">
        <f>IF(AND(M$5&gt;$E78,M$5&lt;=$F78),IF(M$5=$E78+1,$C78,""),"")</f>
        <v/>
      </c>
      <c r="N78" s="34">
        <f>IF(AND(N$5&gt;$E78,N$5&lt;=$F78),IF(N$5=$E78+1,$C78,""),"")</f>
        <v/>
      </c>
      <c r="O78" s="34">
        <f>IF(AND(O$5&gt;$E78,O$5&lt;=$F78),IF(O$5=$E78+1,$C78,""),"")</f>
        <v/>
      </c>
      <c r="P78" s="34">
        <f>IF(AND(P$5&gt;$E78,P$5&lt;=$F78),IF(P$5=$E78+1,$C78,""),"")</f>
        <v/>
      </c>
      <c r="Q78" s="34">
        <f>IF(AND(Q$5&gt;$E78,Q$5&lt;=$F78),IF(Q$5=$E78+1,$C78,""),"")</f>
        <v/>
      </c>
      <c r="R78" s="34">
        <f>IF(AND(R$5&gt;$E78,R$5&lt;=$F78),IF(R$5=$E78+1,$C78,""),"")</f>
        <v/>
      </c>
      <c r="S78" s="34">
        <f>IF(AND(S$5&gt;$E78,S$5&lt;=$F78),IF(S$5=$E78+1,$C78,""),"")</f>
        <v/>
      </c>
      <c r="T78" s="34">
        <f>IF(AND(T$5&gt;$E78,T$5&lt;=$F78),IF(T$5=$E78+1,$C78,""),"")</f>
        <v/>
      </c>
      <c r="U78" s="34">
        <f>IF(AND(U$5&gt;$E78,U$5&lt;=$F78),IF(U$5=$E78+1,$C78,""),"")</f>
        <v/>
      </c>
      <c r="V78" s="34">
        <f>IF(AND(V$5&gt;$E78,V$5&lt;=$F78),IF(V$5=$E78+1,$C78,""),"")</f>
        <v/>
      </c>
      <c r="W78" s="34">
        <f>IF(AND(W$5&gt;$E78,W$5&lt;=$F78),IF(W$5=$E78+1,$C78,""),"")</f>
        <v/>
      </c>
      <c r="X78" s="34">
        <f>IF(AND(X$5&gt;$E78,X$5&lt;=$F78),IF(X$5=$E78+1,$C78,""),"")</f>
        <v/>
      </c>
      <c r="Y78" s="34">
        <f>IF(AND(Y$5&gt;$E78,Y$5&lt;=$F78),IF(Y$5=$E78+1,$C78,""),"")</f>
        <v/>
      </c>
      <c r="Z78" s="34">
        <f>IF(AND(Z$5&gt;$E78,Z$5&lt;=$F78),IF(Z$5=$E78+1,$C78,""),"")</f>
        <v/>
      </c>
      <c r="AA78" s="34">
        <f>IF(AND(AA$5&gt;$E78,AA$5&lt;=$F78),IF(AA$5=$E78+1,$C78,""),"")</f>
        <v/>
      </c>
      <c r="AB78" s="34">
        <f>IF(AND(AB$5&gt;$E78,AB$5&lt;=$F78),IF(AB$5=$E78+1,$C78,""),"")</f>
        <v/>
      </c>
      <c r="AC78" s="34">
        <f>IF(AND(AC$5&gt;$E78,AC$5&lt;=$F78),IF(AC$5=$E78+1,$C78,""),"")</f>
        <v/>
      </c>
      <c r="AD78" s="34">
        <f>IF(AND(AD$5&gt;$E78,AD$5&lt;=$F78),IF(AD$5=$E78+1,$C78,""),"")</f>
        <v/>
      </c>
      <c r="AE78" s="34">
        <f>IF(AND(AE$5&gt;$E78,AE$5&lt;=$F78),IF(AE$5=$E78+1,$C78,""),"")</f>
        <v/>
      </c>
      <c r="AF78" s="34">
        <f>IF(AND(AF$5&gt;$E78,AF$5&lt;=$F78),IF(AF$5=$E78+1,$C78,""),"")</f>
        <v/>
      </c>
      <c r="AG78" s="34">
        <f>IF(AND(AG$5&gt;$E78,AG$5&lt;=$F78),IF(AG$5=$E78+1,$C78,""),"")</f>
        <v/>
      </c>
      <c r="AH78" s="34">
        <f>IF(AND(AH$5&gt;$E78,AH$5&lt;=$F78),IF(AH$5=$E78+1,$C78,""),"")</f>
        <v/>
      </c>
      <c r="AI78" s="34">
        <f>IF(AND(AI$5&gt;$E78,AI$5&lt;=$F78),IF(AI$5=$E78+1,$C78,""),"")</f>
        <v/>
      </c>
      <c r="AJ78" s="34">
        <f>IF(AND(AJ$5&gt;$E78,AJ$5&lt;=$F78),IF(AJ$5=$E78+1,$C78,""),"")</f>
        <v/>
      </c>
      <c r="AK78" s="34">
        <f>IF(AND(AK$5&gt;$E78,AK$5&lt;=$F78),IF(AK$5=$E78+1,$C78,""),"")</f>
        <v/>
      </c>
      <c r="AL78" s="34">
        <f>IF(AND(AL$5&gt;$E78,AL$5&lt;=$F78),IF(AL$5=$E78+1,$C78,""),"")</f>
        <v/>
      </c>
      <c r="AM78" s="34">
        <f>IF(AND(AM$5&gt;$E78,AM$5&lt;=$F78),IF(AM$5=$E78+1,$C78,""),"")</f>
        <v/>
      </c>
      <c r="AN78" s="34">
        <f>IF(AND(AN$5&gt;$E78,AN$5&lt;=$F78),IF(AN$5=$E78+1,$C78,""),"")</f>
        <v/>
      </c>
      <c r="AO78" s="34">
        <f>IF(AND(AO$5&gt;$E78,AO$5&lt;=$F78),IF(AO$5=$E78+1,$C78,""),"")</f>
        <v/>
      </c>
      <c r="AP78" s="34">
        <f>IF(AND(AP$5&gt;$E78,AP$5&lt;=$F78),IF(AP$5=$E78+1,$C78,""),"")</f>
        <v/>
      </c>
      <c r="AQ78" s="34">
        <f>IF(AND(AQ$5&gt;$E78,AQ$5&lt;=$F78),IF(AQ$5=$E78+1,$C78,""),"")</f>
        <v/>
      </c>
      <c r="AR78" s="34">
        <f>IF(AND(AR$5&gt;$E78,AR$5&lt;=$F78),IF(AR$5=$E78+1,$C78,""),"")</f>
        <v/>
      </c>
      <c r="AS78" s="34">
        <f>IF(AND(AS$5&gt;$E78,AS$5&lt;=$F78),IF(AS$5=$E78+1,$C78,""),"")</f>
        <v/>
      </c>
      <c r="AT78" s="34">
        <f>IF(AND(AT$5&gt;$E78,AT$5&lt;=$F78),IF(AT$5=$E78+1,$C78,""),"")</f>
        <v/>
      </c>
      <c r="AU78" s="34">
        <f>IF(AND(AU$5&gt;$E78,AU$5&lt;=$F78),IF(AU$5=$E78+1,$C78,""),"")</f>
        <v/>
      </c>
      <c r="AV78" s="34">
        <f>IF(AND(AV$5&gt;$E78,AV$5&lt;=$F78),IF(AV$5=$E78+1,$C78,""),"")</f>
        <v/>
      </c>
      <c r="AW78" s="34">
        <f>IF(AND(AW$5&gt;$E78,AW$5&lt;=$F78),IF(AW$5=$E78+1,$C78,""),"")</f>
        <v/>
      </c>
      <c r="AX78" s="34">
        <f>IF(AND(AX$5&gt;$E78,AX$5&lt;=$F78),IF(AX$5=$E78+1,$C78,""),"")</f>
        <v/>
      </c>
      <c r="AY78" s="34">
        <f>IF(AND(AY$5&gt;$E78,AY$5&lt;=$F78),IF(AY$5=$E78+1,$C78,""),"")</f>
        <v/>
      </c>
      <c r="AZ78" s="34">
        <f>IF(AND(AZ$5&gt;$E78,AZ$5&lt;=$F78),IF(AZ$5=$E78+1,$C78,""),"")</f>
        <v/>
      </c>
      <c r="BA78" s="34">
        <f>IF(AND(BA$5&gt;$E78,BA$5&lt;=$F78),IF(BA$5=$E78+1,$C78,""),"")</f>
        <v/>
      </c>
      <c r="BB78" s="34">
        <f>IF(AND(BB$5&gt;$E78,BB$5&lt;=$F78),IF(BB$5=$E78+1,$C78,""),"")</f>
        <v/>
      </c>
      <c r="BC78" s="34">
        <f>IF(AND(BC$5&gt;$E78,BC$5&lt;=$F78),IF(BC$5=$E78+1,$C78,""),"")</f>
        <v/>
      </c>
      <c r="BD78" s="34">
        <f>IF(AND(BD$5&gt;$E78,BD$5&lt;=$F78),IF(BD$5=$E78+1,$C78,""),"")</f>
        <v/>
      </c>
      <c r="BE78" s="34">
        <f>IF(AND(BE$5&gt;$E78,BE$5&lt;=$F78),IF(BE$5=$E78+1,$C78,""),"")</f>
        <v/>
      </c>
      <c r="BF78" s="34">
        <f>IF(AND(BF$5&gt;$E78,BF$5&lt;=$F78),IF(BF$5=$E78+1,$C78,""),"")</f>
        <v/>
      </c>
      <c r="BG78" s="34">
        <f>IF(AND(BG$5&gt;$E78,BG$5&lt;=$F78),IF(BG$5=$E78+1,$C78,""),"")</f>
        <v/>
      </c>
      <c r="BH78" s="34">
        <f>IF(AND(BH$5&gt;$E78,BH$5&lt;=$F78),IF(BH$5=$E78+1,$C78,""),"")</f>
        <v/>
      </c>
      <c r="BI78" s="34">
        <f>IF(AND(BI$5&gt;$E78,BI$5&lt;=$F78),IF(BI$5=$E78+1,$C78,""),"")</f>
        <v/>
      </c>
      <c r="BJ78" s="34">
        <f>IF(AND(BJ$5&gt;$E78,BJ$5&lt;=$F78),IF(BJ$5=$E78+1,$C78,""),"")</f>
        <v/>
      </c>
      <c r="BK78" s="34">
        <f>IF(AND(BK$5&gt;$E78,BK$5&lt;=$F78),IF(BK$5=$E78+1,$C78,""),"")</f>
        <v/>
      </c>
      <c r="BL78" s="34">
        <f>IF(AND(BL$5&gt;$E78,BL$5&lt;=$F78),IF(BL$5=$E78+1,$C78,""),"")</f>
        <v/>
      </c>
      <c r="BM78" s="34">
        <f>IF(AND(BM$5&gt;$E78,BM$5&lt;=$F78),IF(BM$5=$E78+1,$C78,""),"")</f>
        <v/>
      </c>
      <c r="BN78" s="34">
        <f>IF(AND(BN$5&gt;$E78,BN$5&lt;=$F78),IF(BN$5=$E78+1,$C78,""),"")</f>
        <v/>
      </c>
      <c r="BO78" s="34">
        <f>IF(AND(BO$5&gt;$E78,BO$5&lt;=$F78),IF(BO$5=$E78+1,$C78,""),"")</f>
        <v/>
      </c>
      <c r="BP78" s="34">
        <f>IF(AND(BP$5&gt;$E78,BP$5&lt;=$F78),IF(BP$5=$E78+1,$C78,""),"")</f>
        <v/>
      </c>
      <c r="BQ78" s="34">
        <f>IF(AND(BQ$5&gt;$E78,BQ$5&lt;=$F78),IF(BQ$5=$E78+1,$C78,""),"")</f>
        <v/>
      </c>
      <c r="BR78" s="34">
        <f>IF(AND(BR$5&gt;$E78,BR$5&lt;=$F78),IF(BR$5=$E78+1,$C78,""),"")</f>
        <v/>
      </c>
      <c r="BS78" s="34">
        <f>IF(AND(BS$5&gt;$E78,BS$5&lt;=$F78),IF(BS$5=$E78+1,$C78,""),"")</f>
        <v/>
      </c>
      <c r="BT78" s="34">
        <f>IF(AND(BT$5&gt;$E78,BT$5&lt;=$F78),IF(BT$5=$E78+1,$C78,""),"")</f>
        <v/>
      </c>
      <c r="BU78" s="34">
        <f>IF(AND(BU$5&gt;$E78,BU$5&lt;=$F78),IF(BU$5=$E78+1,$C78,""),"")</f>
        <v/>
      </c>
      <c r="BV78" s="34">
        <f>IF(AND(BV$5&gt;$E78,BV$5&lt;=$F78),IF(BV$5=$E78+1,$C78,""),"")</f>
        <v/>
      </c>
      <c r="BW78" s="34">
        <f>IF(AND(BW$5&gt;$E78,BW$5&lt;=$F78),IF(BW$5=$E78+1,$C78,""),"")</f>
        <v/>
      </c>
      <c r="BX78" s="34">
        <f>IF(AND(BX$5&gt;$E78,BX$5&lt;=$F78),IF(BX$5=$E78+1,$C78,""),"")</f>
        <v/>
      </c>
      <c r="BY78" s="34">
        <f>IF(AND(BY$5&gt;$E78,BY$5&lt;=$F78),IF(BY$5=$E78+1,$C78,""),"")</f>
        <v/>
      </c>
      <c r="BZ78" s="34">
        <f>IF(AND(BZ$5&gt;$E78,BZ$5&lt;=$F78),IF(BZ$5=$E78+1,$C78,""),"")</f>
        <v/>
      </c>
      <c r="CA78" s="34">
        <f>IF(AND(CA$5&gt;$E78,CA$5&lt;=$F78),IF(CA$5=$E78+1,$C78,""),"")</f>
        <v/>
      </c>
      <c r="CB78" s="34">
        <f>IF(AND(CB$5&gt;$E78,CB$5&lt;=$F78),IF(CB$5=$E78+1,$C78,""),"")</f>
        <v/>
      </c>
      <c r="CC78" s="34">
        <f>IF(AND(CC$5&gt;$E78,CC$5&lt;=$F78),IF(CC$5=$E78+1,$C78,""),"")</f>
        <v/>
      </c>
      <c r="CD78" s="34">
        <f>IF(AND(CD$5&gt;$E78,CD$5&lt;=$F78),IF(CD$5=$E78+1,$C78,""),"")</f>
        <v/>
      </c>
      <c r="CE78" s="34">
        <f>IF(AND(CE$5&gt;$E78,CE$5&lt;=$F78),IF(CE$5=$E78+1,$C78,""),"")</f>
        <v/>
      </c>
      <c r="CF78" s="34">
        <f>IF(AND(CF$5&gt;$E78,CF$5&lt;=$F78),IF(CF$5=$E78+1,$C78,""),"")</f>
        <v/>
      </c>
      <c r="CG78" s="34">
        <f>IF(AND(CG$5&gt;$E78,CG$5&lt;=$F78),IF(CG$5=$E78+1,$C78,""),"")</f>
        <v/>
      </c>
      <c r="CH78" s="34">
        <f>IF(AND(CH$5&gt;$E78,CH$5&lt;=$F78),IF(CH$5=$E78+1,$C78,""),"")</f>
        <v/>
      </c>
      <c r="CI78" s="34">
        <f>IF(AND(CI$5&gt;$E78,CI$5&lt;=$F78),IF(CI$5=$E78+1,$C78,""),"")</f>
        <v/>
      </c>
      <c r="CJ78" s="34">
        <f>IF(AND(CJ$5&gt;$E78,CJ$5&lt;=$F78),IF(CJ$5=$E78+1,$C78,""),"")</f>
        <v/>
      </c>
      <c r="CK78" s="34">
        <f>IF(AND(CK$5&gt;$E78,CK$5&lt;=$F78),IF(CK$5=$E78+1,$C78,""),"")</f>
        <v/>
      </c>
      <c r="CL78" s="34">
        <f>IF(AND(CL$5&gt;$E78,CL$5&lt;=$F78),IF(CL$5=$E78+1,$C78,""),"")</f>
        <v/>
      </c>
      <c r="CM78" s="34">
        <f>IF(AND(CM$5&gt;$E78,CM$5&lt;=$F78),IF(CM$5=$E78+1,$C78,""),"")</f>
        <v/>
      </c>
      <c r="CN78" s="34">
        <f>IF(AND(CN$5&gt;$E78,CN$5&lt;=$F78),IF(CN$5=$E78+1,$C78,""),"")</f>
        <v/>
      </c>
      <c r="CO78" s="34">
        <f>IF(AND(CO$5&gt;$E78,CO$5&lt;=$F78),IF(CO$5=$E78+1,$C78,""),"")</f>
        <v/>
      </c>
      <c r="CP78" s="34">
        <f>IF(AND(CP$5&gt;$E78,CP$5&lt;=$F78),IF(CP$5=$E78+1,$C78,""),"")</f>
        <v/>
      </c>
      <c r="CQ78" s="34">
        <f>IF(AND(CQ$5&gt;$E78,CQ$5&lt;=$F78),IF(CQ$5=$E78+1,$C78,""),"")</f>
        <v/>
      </c>
      <c r="CR78" s="34">
        <f>IF(AND(CR$5&gt;$E78,CR$5&lt;=$F78),IF(CR$5=$E78+1,$C78,""),"")</f>
        <v/>
      </c>
      <c r="CS78" s="34">
        <f>IF(AND(CS$5&gt;$E78,CS$5&lt;=$F78),IF(CS$5=$E78+1,$C78,""),"")</f>
        <v/>
      </c>
      <c r="CT78" s="34">
        <f>IF(AND(CT$5&gt;$E78,CT$5&lt;=$F78),IF(CT$5=$E78+1,$C78,""),"")</f>
        <v/>
      </c>
      <c r="CU78" s="34">
        <f>IF(AND(CU$5&gt;$E78,CU$5&lt;=$F78),IF(CU$5=$E78+1,$C78,""),"")</f>
        <v/>
      </c>
      <c r="CV78" s="34">
        <f>IF(AND(CV$5&gt;$E78,CV$5&lt;=$F78),IF(CV$5=$E78+1,$C78,""),"")</f>
        <v/>
      </c>
      <c r="CW78" s="34">
        <f>IF(AND(CW$5&gt;$E78,CW$5&lt;=$F78),IF(CW$5=$E78+1,$C78,""),"")</f>
        <v/>
      </c>
      <c r="CX78" s="34">
        <f>IF(AND(CX$5&gt;$E78,CX$5&lt;=$F78),IF(CX$5=$E78+1,$C78,""),"")</f>
        <v/>
      </c>
      <c r="CY78" s="34">
        <f>IF(AND(CY$5&gt;$E78,CY$5&lt;=$F78),IF(CY$5=$E78+1,$C78,""),"")</f>
        <v/>
      </c>
      <c r="CZ78" s="34">
        <f>IF(AND(CZ$5&gt;$E78,CZ$5&lt;=$F78),IF(CZ$5=$E78+1,$C78,""),"")</f>
        <v/>
      </c>
      <c r="DA78" s="34">
        <f>IF(AND(DA$5&gt;$E78,DA$5&lt;=$F78),IF(DA$5=$E78+1,$C78,""),"")</f>
        <v/>
      </c>
      <c r="DB78" s="34">
        <f>IF(AND(DB$5&gt;$E78,DB$5&lt;=$F78),IF(DB$5=$E78+1,$C78,""),"")</f>
        <v/>
      </c>
      <c r="DC78" s="34">
        <f>IF(AND(DC$5&gt;$E78,DC$5&lt;=$F78),IF(DC$5=$E78+1,$C78,""),"")</f>
        <v/>
      </c>
      <c r="DD78" s="34">
        <f>IF(AND(DD$5&gt;$E78,DD$5&lt;=$F78),IF(DD$5=$E78+1,$C78,""),"")</f>
        <v/>
      </c>
      <c r="DE78" s="34">
        <f>IF(AND(DE$5&gt;$E78,DE$5&lt;=$F78),IF(DE$5=$E78+1,$C78,""),"")</f>
        <v/>
      </c>
      <c r="DF78" s="34">
        <f>IF(AND(DF$5&gt;$E78,DF$5&lt;=$F78),IF(DF$5=$E78+1,$C78,""),"")</f>
        <v/>
      </c>
      <c r="DG78" s="34">
        <f>IF(AND(DG$5&gt;$E78,DG$5&lt;=$F78),IF(DG$5=$E78+1,$C78,""),"")</f>
        <v/>
      </c>
      <c r="DH78" s="34">
        <f>IF(AND(DH$5&gt;$E78,DH$5&lt;=$F78),IF(DH$5=$E78+1,$C78,""),"")</f>
        <v/>
      </c>
      <c r="DI78" s="34">
        <f>IF(AND(DI$5&gt;$E78,DI$5&lt;=$F78),IF(DI$5=$E78+1,$C78,""),"")</f>
        <v/>
      </c>
      <c r="DJ78" s="34">
        <f>IF(AND(DJ$5&gt;$E78,DJ$5&lt;=$F78),IF(DJ$5=$E78+1,$C78,""),"")</f>
        <v/>
      </c>
      <c r="DK78" s="34">
        <f>IF(AND(DK$5&gt;$E78,DK$5&lt;=$F78),IF(DK$5=$E78+1,$C78,""),"")</f>
        <v/>
      </c>
      <c r="DL78" s="34">
        <f>IF(AND(DL$5&gt;$E78,DL$5&lt;=$F78),IF(DL$5=$E78+1,$C78,""),"")</f>
        <v/>
      </c>
      <c r="DM78" s="34">
        <f>IF(AND(DM$5&gt;$E78,DM$5&lt;=$F78),IF(DM$5=$E78+1,$C78,""),"")</f>
        <v/>
      </c>
      <c r="DN78" s="34">
        <f>IF(AND(DN$5&gt;$E78,DN$5&lt;=$F78),IF(DN$5=$E78+1,$C78,""),"")</f>
        <v/>
      </c>
      <c r="DO78" s="34">
        <f>IF(AND(DO$5&gt;$E78,DO$5&lt;=$F78),IF(DO$5=$E78+1,$C78,""),"")</f>
        <v/>
      </c>
      <c r="DP78" s="34">
        <f>IF(AND(DP$5&gt;$E78,DP$5&lt;=$F78),IF(DP$5=$E78+1,$C78,""),"")</f>
        <v/>
      </c>
      <c r="DQ78" s="34">
        <f>IF(AND(DQ$5&gt;$E78,DQ$5&lt;=$F78),IF(DQ$5=$E78+1,$C78,""),"")</f>
        <v/>
      </c>
      <c r="DR78" s="34">
        <f>IF(AND(DR$5&gt;$E78,DR$5&lt;=$F78),IF(DR$5=$E78+1,$C78,""),"")</f>
        <v/>
      </c>
      <c r="DS78" s="34">
        <f>IF(AND(DS$5&gt;$E78,DS$5&lt;=$F78),IF(DS$5=$E78+1,$C78,""),"")</f>
        <v/>
      </c>
      <c r="DT78" s="34">
        <f>IF(AND(DT$5&gt;$E78,DT$5&lt;=$F78),IF(DT$5=$E78+1,$C78,""),"")</f>
        <v/>
      </c>
      <c r="DU78" s="34">
        <f>IF(AND(DU$5&gt;$E78,DU$5&lt;=$F78),IF(DU$5=$E78+1,$C78,""),"")</f>
        <v/>
      </c>
      <c r="DV78" s="34">
        <f>IF(AND(DV$5&gt;$E78,DV$5&lt;=$F78),IF(DV$5=$E78+1,$C78,""),"")</f>
        <v/>
      </c>
      <c r="DW78" s="34">
        <f>IF(AND(DW$5&gt;$E78,DW$5&lt;=$F78),IF(DW$5=$E78+1,$C78,""),"")</f>
        <v/>
      </c>
      <c r="DX78" s="34">
        <f>IF(AND(DX$5&gt;$E78,DX$5&lt;=$F78),IF(DX$5=$E78+1,$C78,""),"")</f>
        <v/>
      </c>
      <c r="DY78" s="34">
        <f>IF(AND(DY$5&gt;$E78,DY$5&lt;=$F78),IF(DY$5=$E78+1,$C78,""),"")</f>
        <v/>
      </c>
      <c r="DZ78" s="34">
        <f>IF(AND(DZ$5&gt;$E78,DZ$5&lt;=$F78),IF(DZ$5=$E78+1,$C78,""),"")</f>
        <v/>
      </c>
      <c r="EA78" s="34">
        <f>IF(AND(EA$5&gt;$E78,EA$5&lt;=$F78),IF(EA$5=$E78+1,$C78,""),"")</f>
        <v/>
      </c>
      <c r="EB78" s="34">
        <f>IF(AND(EB$5&gt;$E78,EB$5&lt;=$F78),IF(EB$5=$E78+1,$C78,""),"")</f>
        <v/>
      </c>
      <c r="EC78" s="34">
        <f>IF(AND(EC$5&gt;$E78,EC$5&lt;=$F78),IF(EC$5=$E78+1,$C78,""),"")</f>
        <v/>
      </c>
      <c r="ED78" s="34">
        <f>IF(AND(ED$5&gt;$E78,ED$5&lt;=$F78),IF(ED$5=$E78+1,$C78,""),"")</f>
        <v/>
      </c>
      <c r="EE78" s="34">
        <f>IF(AND(EE$5&gt;$E78,EE$5&lt;=$F78),IF(EE$5=$E78+1,$C78,""),"")</f>
        <v/>
      </c>
      <c r="EF78" s="34">
        <f>IF(AND(EF$5&gt;$E78,EF$5&lt;=$F78),IF(EF$5=$E78+1,$C78,""),"")</f>
        <v/>
      </c>
      <c r="EG78" s="34">
        <f>IF(AND(EG$5&gt;$E78,EG$5&lt;=$F78),IF(EG$5=$E78+1,$C78,""),"")</f>
        <v/>
      </c>
      <c r="EH78" s="34">
        <f>IF(AND(EH$5&gt;$E78,EH$5&lt;=$F78),IF(EH$5=$E78+1,$C78,""),"")</f>
        <v/>
      </c>
      <c r="EI78" s="34">
        <f>IF(AND(EI$5&gt;$E78,EI$5&lt;=$F78),IF(EI$5=$E78+1,$C78,""),"")</f>
        <v/>
      </c>
      <c r="EJ78" s="34">
        <f>IF(AND(EJ$5&gt;$E78,EJ$5&lt;=$F78),IF(EJ$5=$E78+1,$C78,""),"")</f>
        <v/>
      </c>
      <c r="EK78" s="34">
        <f>IF(AND(EK$5&gt;$E78,EK$5&lt;=$F78),IF(EK$5=$E78+1,$C78,""),"")</f>
        <v/>
      </c>
      <c r="EL78" s="34">
        <f>IF(AND(EL$5&gt;$E78,EL$5&lt;=$F78),IF(EL$5=$E78+1,$C78,""),"")</f>
        <v/>
      </c>
      <c r="EM78" s="34">
        <f>IF(AND(EM$5&gt;$E78,EM$5&lt;=$F78),IF(EM$5=$E78+1,$C78,""),"")</f>
        <v/>
      </c>
      <c r="EN78" s="34">
        <f>IF(AND(EN$5&gt;$E78,EN$5&lt;=$F78),IF(EN$5=$E78+1,$C78,""),"")</f>
        <v/>
      </c>
      <c r="EO78" s="34">
        <f>IF(AND(EO$5&gt;$E78,EO$5&lt;=$F78),IF(EO$5=$E78+1,$C78,""),"")</f>
        <v/>
      </c>
      <c r="EP78" s="34">
        <f>IF(AND(EP$5&gt;$E78,EP$5&lt;=$F78),IF(EP$5=$E78+1,$C78,""),"")</f>
        <v/>
      </c>
      <c r="EQ78" s="34">
        <f>IF(AND(EQ$5&gt;$E78,EQ$5&lt;=$F78),IF(EQ$5=$E78+1,$C78,""),"")</f>
        <v/>
      </c>
      <c r="ER78" s="34">
        <f>IF(AND(ER$5&gt;$E78,ER$5&lt;=$F78),IF(ER$5=$E78+1,$C78,""),"")</f>
        <v/>
      </c>
      <c r="ES78" s="34">
        <f>IF(AND(ES$5&gt;$E78,ES$5&lt;=$F78),IF(ES$5=$E78+1,$C78,""),"")</f>
        <v/>
      </c>
      <c r="ET78" s="34">
        <f>IF(AND(ET$5&gt;$E78,ET$5&lt;=$F78),IF(ET$5=$E78+1,$C78,""),"")</f>
        <v/>
      </c>
      <c r="EU78" s="34">
        <f>IF(AND(EU$5&gt;$E78,EU$5&lt;=$F78),IF(EU$5=$E78+1,$C78,""),"")</f>
        <v/>
      </c>
      <c r="EV78" s="34">
        <f>IF(AND(EV$5&gt;$E78,EV$5&lt;=$F78),IF(EV$5=$E78+1,$C78,""),"")</f>
        <v/>
      </c>
      <c r="EW78" s="34">
        <f>IF(AND(EW$5&gt;$E78,EW$5&lt;=$F78),IF(EW$5=$E78+1,$C78,""),"")</f>
        <v/>
      </c>
      <c r="EX78" s="34">
        <f>IF(AND(EX$5&gt;$E78,EX$5&lt;=$F78),IF(EX$5=$E78+1,$C78,""),"")</f>
        <v/>
      </c>
      <c r="EY78" s="34">
        <f>IF(AND(EY$5&gt;$E78,EY$5&lt;=$F78),IF(EY$5=$E78+1,$C78,""),"")</f>
        <v/>
      </c>
      <c r="EZ78" s="34">
        <f>IF(AND(EZ$5&gt;$E78,EZ$5&lt;=$F78),IF(EZ$5=$E78+1,$C78,""),"")</f>
        <v/>
      </c>
      <c r="FA78" s="34">
        <f>IF(AND(FA$5&gt;$E78,FA$5&lt;=$F78),IF(FA$5=$E78+1,$C78,""),"")</f>
        <v/>
      </c>
    </row>
    <row r="79">
      <c r="A79" s="32">
        <f>Plan!A51</f>
        <v/>
      </c>
      <c r="B79" s="33">
        <f>Plan!C51</f>
        <v/>
      </c>
      <c r="C79" s="16">
        <f>Plan!D51</f>
        <v/>
      </c>
      <c r="D79" s="16">
        <f>Plan!I51</f>
        <v/>
      </c>
      <c r="E79" s="16">
        <f>Plan!K51</f>
        <v/>
      </c>
      <c r="F79" s="16">
        <f>Plan!L51</f>
        <v/>
      </c>
      <c r="G79" s="16">
        <f>Plan!O51</f>
        <v/>
      </c>
      <c r="H79" s="34">
        <f>IF(AND(H$5&gt;$E79,H$5&lt;=$F79),IF(H$5=$E79+1,$C79,""),"")</f>
        <v/>
      </c>
      <c r="I79" s="34">
        <f>IF(AND(I$5&gt;$E79,I$5&lt;=$F79),IF(I$5=$E79+1,$C79,""),"")</f>
        <v/>
      </c>
      <c r="J79" s="34">
        <f>IF(AND(J$5&gt;$E79,J$5&lt;=$F79),IF(J$5=$E79+1,$C79,""),"")</f>
        <v/>
      </c>
      <c r="K79" s="34">
        <f>IF(AND(K$5&gt;$E79,K$5&lt;=$F79),IF(K$5=$E79+1,$C79,""),"")</f>
        <v/>
      </c>
      <c r="L79" s="34">
        <f>IF(AND(L$5&gt;$E79,L$5&lt;=$F79),IF(L$5=$E79+1,$C79,""),"")</f>
        <v/>
      </c>
      <c r="M79" s="34">
        <f>IF(AND(M$5&gt;$E79,M$5&lt;=$F79),IF(M$5=$E79+1,$C79,""),"")</f>
        <v/>
      </c>
      <c r="N79" s="34">
        <f>IF(AND(N$5&gt;$E79,N$5&lt;=$F79),IF(N$5=$E79+1,$C79,""),"")</f>
        <v/>
      </c>
      <c r="O79" s="34">
        <f>IF(AND(O$5&gt;$E79,O$5&lt;=$F79),IF(O$5=$E79+1,$C79,""),"")</f>
        <v/>
      </c>
      <c r="P79" s="34">
        <f>IF(AND(P$5&gt;$E79,P$5&lt;=$F79),IF(P$5=$E79+1,$C79,""),"")</f>
        <v/>
      </c>
      <c r="Q79" s="34">
        <f>IF(AND(Q$5&gt;$E79,Q$5&lt;=$F79),IF(Q$5=$E79+1,$C79,""),"")</f>
        <v/>
      </c>
      <c r="R79" s="34">
        <f>IF(AND(R$5&gt;$E79,R$5&lt;=$F79),IF(R$5=$E79+1,$C79,""),"")</f>
        <v/>
      </c>
      <c r="S79" s="34">
        <f>IF(AND(S$5&gt;$E79,S$5&lt;=$F79),IF(S$5=$E79+1,$C79,""),"")</f>
        <v/>
      </c>
      <c r="T79" s="34">
        <f>IF(AND(T$5&gt;$E79,T$5&lt;=$F79),IF(T$5=$E79+1,$C79,""),"")</f>
        <v/>
      </c>
      <c r="U79" s="34">
        <f>IF(AND(U$5&gt;$E79,U$5&lt;=$F79),IF(U$5=$E79+1,$C79,""),"")</f>
        <v/>
      </c>
      <c r="V79" s="34">
        <f>IF(AND(V$5&gt;$E79,V$5&lt;=$F79),IF(V$5=$E79+1,$C79,""),"")</f>
        <v/>
      </c>
      <c r="W79" s="34">
        <f>IF(AND(W$5&gt;$E79,W$5&lt;=$F79),IF(W$5=$E79+1,$C79,""),"")</f>
        <v/>
      </c>
      <c r="X79" s="34">
        <f>IF(AND(X$5&gt;$E79,X$5&lt;=$F79),IF(X$5=$E79+1,$C79,""),"")</f>
        <v/>
      </c>
      <c r="Y79" s="34">
        <f>IF(AND(Y$5&gt;$E79,Y$5&lt;=$F79),IF(Y$5=$E79+1,$C79,""),"")</f>
        <v/>
      </c>
      <c r="Z79" s="34">
        <f>IF(AND(Z$5&gt;$E79,Z$5&lt;=$F79),IF(Z$5=$E79+1,$C79,""),"")</f>
        <v/>
      </c>
      <c r="AA79" s="34">
        <f>IF(AND(AA$5&gt;$E79,AA$5&lt;=$F79),IF(AA$5=$E79+1,$C79,""),"")</f>
        <v/>
      </c>
      <c r="AB79" s="34">
        <f>IF(AND(AB$5&gt;$E79,AB$5&lt;=$F79),IF(AB$5=$E79+1,$C79,""),"")</f>
        <v/>
      </c>
      <c r="AC79" s="34">
        <f>IF(AND(AC$5&gt;$E79,AC$5&lt;=$F79),IF(AC$5=$E79+1,$C79,""),"")</f>
        <v/>
      </c>
      <c r="AD79" s="34">
        <f>IF(AND(AD$5&gt;$E79,AD$5&lt;=$F79),IF(AD$5=$E79+1,$C79,""),"")</f>
        <v/>
      </c>
      <c r="AE79" s="34">
        <f>IF(AND(AE$5&gt;$E79,AE$5&lt;=$F79),IF(AE$5=$E79+1,$C79,""),"")</f>
        <v/>
      </c>
      <c r="AF79" s="34">
        <f>IF(AND(AF$5&gt;$E79,AF$5&lt;=$F79),IF(AF$5=$E79+1,$C79,""),"")</f>
        <v/>
      </c>
      <c r="AG79" s="34">
        <f>IF(AND(AG$5&gt;$E79,AG$5&lt;=$F79),IF(AG$5=$E79+1,$C79,""),"")</f>
        <v/>
      </c>
      <c r="AH79" s="34">
        <f>IF(AND(AH$5&gt;$E79,AH$5&lt;=$F79),IF(AH$5=$E79+1,$C79,""),"")</f>
        <v/>
      </c>
      <c r="AI79" s="34">
        <f>IF(AND(AI$5&gt;$E79,AI$5&lt;=$F79),IF(AI$5=$E79+1,$C79,""),"")</f>
        <v/>
      </c>
      <c r="AJ79" s="34">
        <f>IF(AND(AJ$5&gt;$E79,AJ$5&lt;=$F79),IF(AJ$5=$E79+1,$C79,""),"")</f>
        <v/>
      </c>
      <c r="AK79" s="34">
        <f>IF(AND(AK$5&gt;$E79,AK$5&lt;=$F79),IF(AK$5=$E79+1,$C79,""),"")</f>
        <v/>
      </c>
      <c r="AL79" s="34">
        <f>IF(AND(AL$5&gt;$E79,AL$5&lt;=$F79),IF(AL$5=$E79+1,$C79,""),"")</f>
        <v/>
      </c>
      <c r="AM79" s="34">
        <f>IF(AND(AM$5&gt;$E79,AM$5&lt;=$F79),IF(AM$5=$E79+1,$C79,""),"")</f>
        <v/>
      </c>
      <c r="AN79" s="34">
        <f>IF(AND(AN$5&gt;$E79,AN$5&lt;=$F79),IF(AN$5=$E79+1,$C79,""),"")</f>
        <v/>
      </c>
      <c r="AO79" s="34">
        <f>IF(AND(AO$5&gt;$E79,AO$5&lt;=$F79),IF(AO$5=$E79+1,$C79,""),"")</f>
        <v/>
      </c>
      <c r="AP79" s="34">
        <f>IF(AND(AP$5&gt;$E79,AP$5&lt;=$F79),IF(AP$5=$E79+1,$C79,""),"")</f>
        <v/>
      </c>
      <c r="AQ79" s="34">
        <f>IF(AND(AQ$5&gt;$E79,AQ$5&lt;=$F79),IF(AQ$5=$E79+1,$C79,""),"")</f>
        <v/>
      </c>
      <c r="AR79" s="34">
        <f>IF(AND(AR$5&gt;$E79,AR$5&lt;=$F79),IF(AR$5=$E79+1,$C79,""),"")</f>
        <v/>
      </c>
      <c r="AS79" s="34">
        <f>IF(AND(AS$5&gt;$E79,AS$5&lt;=$F79),IF(AS$5=$E79+1,$C79,""),"")</f>
        <v/>
      </c>
      <c r="AT79" s="34">
        <f>IF(AND(AT$5&gt;$E79,AT$5&lt;=$F79),IF(AT$5=$E79+1,$C79,""),"")</f>
        <v/>
      </c>
      <c r="AU79" s="34">
        <f>IF(AND(AU$5&gt;$E79,AU$5&lt;=$F79),IF(AU$5=$E79+1,$C79,""),"")</f>
        <v/>
      </c>
      <c r="AV79" s="34">
        <f>IF(AND(AV$5&gt;$E79,AV$5&lt;=$F79),IF(AV$5=$E79+1,$C79,""),"")</f>
        <v/>
      </c>
      <c r="AW79" s="34">
        <f>IF(AND(AW$5&gt;$E79,AW$5&lt;=$F79),IF(AW$5=$E79+1,$C79,""),"")</f>
        <v/>
      </c>
      <c r="AX79" s="34">
        <f>IF(AND(AX$5&gt;$E79,AX$5&lt;=$F79),IF(AX$5=$E79+1,$C79,""),"")</f>
        <v/>
      </c>
      <c r="AY79" s="34">
        <f>IF(AND(AY$5&gt;$E79,AY$5&lt;=$F79),IF(AY$5=$E79+1,$C79,""),"")</f>
        <v/>
      </c>
      <c r="AZ79" s="34">
        <f>IF(AND(AZ$5&gt;$E79,AZ$5&lt;=$F79),IF(AZ$5=$E79+1,$C79,""),"")</f>
        <v/>
      </c>
      <c r="BA79" s="34">
        <f>IF(AND(BA$5&gt;$E79,BA$5&lt;=$F79),IF(BA$5=$E79+1,$C79,""),"")</f>
        <v/>
      </c>
      <c r="BB79" s="34">
        <f>IF(AND(BB$5&gt;$E79,BB$5&lt;=$F79),IF(BB$5=$E79+1,$C79,""),"")</f>
        <v/>
      </c>
      <c r="BC79" s="34">
        <f>IF(AND(BC$5&gt;$E79,BC$5&lt;=$F79),IF(BC$5=$E79+1,$C79,""),"")</f>
        <v/>
      </c>
      <c r="BD79" s="34">
        <f>IF(AND(BD$5&gt;$E79,BD$5&lt;=$F79),IF(BD$5=$E79+1,$C79,""),"")</f>
        <v/>
      </c>
      <c r="BE79" s="34">
        <f>IF(AND(BE$5&gt;$E79,BE$5&lt;=$F79),IF(BE$5=$E79+1,$C79,""),"")</f>
        <v/>
      </c>
      <c r="BF79" s="34">
        <f>IF(AND(BF$5&gt;$E79,BF$5&lt;=$F79),IF(BF$5=$E79+1,$C79,""),"")</f>
        <v/>
      </c>
      <c r="BG79" s="34">
        <f>IF(AND(BG$5&gt;$E79,BG$5&lt;=$F79),IF(BG$5=$E79+1,$C79,""),"")</f>
        <v/>
      </c>
      <c r="BH79" s="34">
        <f>IF(AND(BH$5&gt;$E79,BH$5&lt;=$F79),IF(BH$5=$E79+1,$C79,""),"")</f>
        <v/>
      </c>
      <c r="BI79" s="34">
        <f>IF(AND(BI$5&gt;$E79,BI$5&lt;=$F79),IF(BI$5=$E79+1,$C79,""),"")</f>
        <v/>
      </c>
      <c r="BJ79" s="34">
        <f>IF(AND(BJ$5&gt;$E79,BJ$5&lt;=$F79),IF(BJ$5=$E79+1,$C79,""),"")</f>
        <v/>
      </c>
      <c r="BK79" s="34">
        <f>IF(AND(BK$5&gt;$E79,BK$5&lt;=$F79),IF(BK$5=$E79+1,$C79,""),"")</f>
        <v/>
      </c>
      <c r="BL79" s="34">
        <f>IF(AND(BL$5&gt;$E79,BL$5&lt;=$F79),IF(BL$5=$E79+1,$C79,""),"")</f>
        <v/>
      </c>
      <c r="BM79" s="34">
        <f>IF(AND(BM$5&gt;$E79,BM$5&lt;=$F79),IF(BM$5=$E79+1,$C79,""),"")</f>
        <v/>
      </c>
      <c r="BN79" s="34">
        <f>IF(AND(BN$5&gt;$E79,BN$5&lt;=$F79),IF(BN$5=$E79+1,$C79,""),"")</f>
        <v/>
      </c>
      <c r="BO79" s="34">
        <f>IF(AND(BO$5&gt;$E79,BO$5&lt;=$F79),IF(BO$5=$E79+1,$C79,""),"")</f>
        <v/>
      </c>
      <c r="BP79" s="34">
        <f>IF(AND(BP$5&gt;$E79,BP$5&lt;=$F79),IF(BP$5=$E79+1,$C79,""),"")</f>
        <v/>
      </c>
      <c r="BQ79" s="34">
        <f>IF(AND(BQ$5&gt;$E79,BQ$5&lt;=$F79),IF(BQ$5=$E79+1,$C79,""),"")</f>
        <v/>
      </c>
      <c r="BR79" s="34">
        <f>IF(AND(BR$5&gt;$E79,BR$5&lt;=$F79),IF(BR$5=$E79+1,$C79,""),"")</f>
        <v/>
      </c>
      <c r="BS79" s="34">
        <f>IF(AND(BS$5&gt;$E79,BS$5&lt;=$F79),IF(BS$5=$E79+1,$C79,""),"")</f>
        <v/>
      </c>
      <c r="BT79" s="34">
        <f>IF(AND(BT$5&gt;$E79,BT$5&lt;=$F79),IF(BT$5=$E79+1,$C79,""),"")</f>
        <v/>
      </c>
      <c r="BU79" s="34">
        <f>IF(AND(BU$5&gt;$E79,BU$5&lt;=$F79),IF(BU$5=$E79+1,$C79,""),"")</f>
        <v/>
      </c>
      <c r="BV79" s="34">
        <f>IF(AND(BV$5&gt;$E79,BV$5&lt;=$F79),IF(BV$5=$E79+1,$C79,""),"")</f>
        <v/>
      </c>
      <c r="BW79" s="34">
        <f>IF(AND(BW$5&gt;$E79,BW$5&lt;=$F79),IF(BW$5=$E79+1,$C79,""),"")</f>
        <v/>
      </c>
      <c r="BX79" s="34">
        <f>IF(AND(BX$5&gt;$E79,BX$5&lt;=$F79),IF(BX$5=$E79+1,$C79,""),"")</f>
        <v/>
      </c>
      <c r="BY79" s="34">
        <f>IF(AND(BY$5&gt;$E79,BY$5&lt;=$F79),IF(BY$5=$E79+1,$C79,""),"")</f>
        <v/>
      </c>
      <c r="BZ79" s="34">
        <f>IF(AND(BZ$5&gt;$E79,BZ$5&lt;=$F79),IF(BZ$5=$E79+1,$C79,""),"")</f>
        <v/>
      </c>
      <c r="CA79" s="34">
        <f>IF(AND(CA$5&gt;$E79,CA$5&lt;=$F79),IF(CA$5=$E79+1,$C79,""),"")</f>
        <v/>
      </c>
      <c r="CB79" s="34">
        <f>IF(AND(CB$5&gt;$E79,CB$5&lt;=$F79),IF(CB$5=$E79+1,$C79,""),"")</f>
        <v/>
      </c>
      <c r="CC79" s="34">
        <f>IF(AND(CC$5&gt;$E79,CC$5&lt;=$F79),IF(CC$5=$E79+1,$C79,""),"")</f>
        <v/>
      </c>
      <c r="CD79" s="34">
        <f>IF(AND(CD$5&gt;$E79,CD$5&lt;=$F79),IF(CD$5=$E79+1,$C79,""),"")</f>
        <v/>
      </c>
      <c r="CE79" s="34">
        <f>IF(AND(CE$5&gt;$E79,CE$5&lt;=$F79),IF(CE$5=$E79+1,$C79,""),"")</f>
        <v/>
      </c>
      <c r="CF79" s="34">
        <f>IF(AND(CF$5&gt;$E79,CF$5&lt;=$F79),IF(CF$5=$E79+1,$C79,""),"")</f>
        <v/>
      </c>
      <c r="CG79" s="34">
        <f>IF(AND(CG$5&gt;$E79,CG$5&lt;=$F79),IF(CG$5=$E79+1,$C79,""),"")</f>
        <v/>
      </c>
      <c r="CH79" s="34">
        <f>IF(AND(CH$5&gt;$E79,CH$5&lt;=$F79),IF(CH$5=$E79+1,$C79,""),"")</f>
        <v/>
      </c>
      <c r="CI79" s="34">
        <f>IF(AND(CI$5&gt;$E79,CI$5&lt;=$F79),IF(CI$5=$E79+1,$C79,""),"")</f>
        <v/>
      </c>
      <c r="CJ79" s="34">
        <f>IF(AND(CJ$5&gt;$E79,CJ$5&lt;=$F79),IF(CJ$5=$E79+1,$C79,""),"")</f>
        <v/>
      </c>
      <c r="CK79" s="34">
        <f>IF(AND(CK$5&gt;$E79,CK$5&lt;=$F79),IF(CK$5=$E79+1,$C79,""),"")</f>
        <v/>
      </c>
      <c r="CL79" s="34">
        <f>IF(AND(CL$5&gt;$E79,CL$5&lt;=$F79),IF(CL$5=$E79+1,$C79,""),"")</f>
        <v/>
      </c>
      <c r="CM79" s="34">
        <f>IF(AND(CM$5&gt;$E79,CM$5&lt;=$F79),IF(CM$5=$E79+1,$C79,""),"")</f>
        <v/>
      </c>
      <c r="CN79" s="34">
        <f>IF(AND(CN$5&gt;$E79,CN$5&lt;=$F79),IF(CN$5=$E79+1,$C79,""),"")</f>
        <v/>
      </c>
      <c r="CO79" s="34">
        <f>IF(AND(CO$5&gt;$E79,CO$5&lt;=$F79),IF(CO$5=$E79+1,$C79,""),"")</f>
        <v/>
      </c>
      <c r="CP79" s="34">
        <f>IF(AND(CP$5&gt;$E79,CP$5&lt;=$F79),IF(CP$5=$E79+1,$C79,""),"")</f>
        <v/>
      </c>
      <c r="CQ79" s="34">
        <f>IF(AND(CQ$5&gt;$E79,CQ$5&lt;=$F79),IF(CQ$5=$E79+1,$C79,""),"")</f>
        <v/>
      </c>
      <c r="CR79" s="34">
        <f>IF(AND(CR$5&gt;$E79,CR$5&lt;=$F79),IF(CR$5=$E79+1,$C79,""),"")</f>
        <v/>
      </c>
      <c r="CS79" s="34">
        <f>IF(AND(CS$5&gt;$E79,CS$5&lt;=$F79),IF(CS$5=$E79+1,$C79,""),"")</f>
        <v/>
      </c>
      <c r="CT79" s="34">
        <f>IF(AND(CT$5&gt;$E79,CT$5&lt;=$F79),IF(CT$5=$E79+1,$C79,""),"")</f>
        <v/>
      </c>
      <c r="CU79" s="34">
        <f>IF(AND(CU$5&gt;$E79,CU$5&lt;=$F79),IF(CU$5=$E79+1,$C79,""),"")</f>
        <v/>
      </c>
      <c r="CV79" s="34">
        <f>IF(AND(CV$5&gt;$E79,CV$5&lt;=$F79),IF(CV$5=$E79+1,$C79,""),"")</f>
        <v/>
      </c>
      <c r="CW79" s="34">
        <f>IF(AND(CW$5&gt;$E79,CW$5&lt;=$F79),IF(CW$5=$E79+1,$C79,""),"")</f>
        <v/>
      </c>
      <c r="CX79" s="34">
        <f>IF(AND(CX$5&gt;$E79,CX$5&lt;=$F79),IF(CX$5=$E79+1,$C79,""),"")</f>
        <v/>
      </c>
      <c r="CY79" s="34">
        <f>IF(AND(CY$5&gt;$E79,CY$5&lt;=$F79),IF(CY$5=$E79+1,$C79,""),"")</f>
        <v/>
      </c>
      <c r="CZ79" s="34">
        <f>IF(AND(CZ$5&gt;$E79,CZ$5&lt;=$F79),IF(CZ$5=$E79+1,$C79,""),"")</f>
        <v/>
      </c>
      <c r="DA79" s="34">
        <f>IF(AND(DA$5&gt;$E79,DA$5&lt;=$F79),IF(DA$5=$E79+1,$C79,""),"")</f>
        <v/>
      </c>
      <c r="DB79" s="34">
        <f>IF(AND(DB$5&gt;$E79,DB$5&lt;=$F79),IF(DB$5=$E79+1,$C79,""),"")</f>
        <v/>
      </c>
      <c r="DC79" s="34">
        <f>IF(AND(DC$5&gt;$E79,DC$5&lt;=$F79),IF(DC$5=$E79+1,$C79,""),"")</f>
        <v/>
      </c>
      <c r="DD79" s="34">
        <f>IF(AND(DD$5&gt;$E79,DD$5&lt;=$F79),IF(DD$5=$E79+1,$C79,""),"")</f>
        <v/>
      </c>
      <c r="DE79" s="34">
        <f>IF(AND(DE$5&gt;$E79,DE$5&lt;=$F79),IF(DE$5=$E79+1,$C79,""),"")</f>
        <v/>
      </c>
      <c r="DF79" s="34">
        <f>IF(AND(DF$5&gt;$E79,DF$5&lt;=$F79),IF(DF$5=$E79+1,$C79,""),"")</f>
        <v/>
      </c>
      <c r="DG79" s="34">
        <f>IF(AND(DG$5&gt;$E79,DG$5&lt;=$F79),IF(DG$5=$E79+1,$C79,""),"")</f>
        <v/>
      </c>
      <c r="DH79" s="34">
        <f>IF(AND(DH$5&gt;$E79,DH$5&lt;=$F79),IF(DH$5=$E79+1,$C79,""),"")</f>
        <v/>
      </c>
      <c r="DI79" s="34">
        <f>IF(AND(DI$5&gt;$E79,DI$5&lt;=$F79),IF(DI$5=$E79+1,$C79,""),"")</f>
        <v/>
      </c>
      <c r="DJ79" s="34">
        <f>IF(AND(DJ$5&gt;$E79,DJ$5&lt;=$F79),IF(DJ$5=$E79+1,$C79,""),"")</f>
        <v/>
      </c>
      <c r="DK79" s="34">
        <f>IF(AND(DK$5&gt;$E79,DK$5&lt;=$F79),IF(DK$5=$E79+1,$C79,""),"")</f>
        <v/>
      </c>
      <c r="DL79" s="34">
        <f>IF(AND(DL$5&gt;$E79,DL$5&lt;=$F79),IF(DL$5=$E79+1,$C79,""),"")</f>
        <v/>
      </c>
      <c r="DM79" s="34">
        <f>IF(AND(DM$5&gt;$E79,DM$5&lt;=$F79),IF(DM$5=$E79+1,$C79,""),"")</f>
        <v/>
      </c>
      <c r="DN79" s="34">
        <f>IF(AND(DN$5&gt;$E79,DN$5&lt;=$F79),IF(DN$5=$E79+1,$C79,""),"")</f>
        <v/>
      </c>
      <c r="DO79" s="34">
        <f>IF(AND(DO$5&gt;$E79,DO$5&lt;=$F79),IF(DO$5=$E79+1,$C79,""),"")</f>
        <v/>
      </c>
      <c r="DP79" s="34">
        <f>IF(AND(DP$5&gt;$E79,DP$5&lt;=$F79),IF(DP$5=$E79+1,$C79,""),"")</f>
        <v/>
      </c>
      <c r="DQ79" s="34">
        <f>IF(AND(DQ$5&gt;$E79,DQ$5&lt;=$F79),IF(DQ$5=$E79+1,$C79,""),"")</f>
        <v/>
      </c>
      <c r="DR79" s="34">
        <f>IF(AND(DR$5&gt;$E79,DR$5&lt;=$F79),IF(DR$5=$E79+1,$C79,""),"")</f>
        <v/>
      </c>
      <c r="DS79" s="34">
        <f>IF(AND(DS$5&gt;$E79,DS$5&lt;=$F79),IF(DS$5=$E79+1,$C79,""),"")</f>
        <v/>
      </c>
      <c r="DT79" s="34">
        <f>IF(AND(DT$5&gt;$E79,DT$5&lt;=$F79),IF(DT$5=$E79+1,$C79,""),"")</f>
        <v/>
      </c>
      <c r="DU79" s="34">
        <f>IF(AND(DU$5&gt;$E79,DU$5&lt;=$F79),IF(DU$5=$E79+1,$C79,""),"")</f>
        <v/>
      </c>
      <c r="DV79" s="34">
        <f>IF(AND(DV$5&gt;$E79,DV$5&lt;=$F79),IF(DV$5=$E79+1,$C79,""),"")</f>
        <v/>
      </c>
      <c r="DW79" s="34">
        <f>IF(AND(DW$5&gt;$E79,DW$5&lt;=$F79),IF(DW$5=$E79+1,$C79,""),"")</f>
        <v/>
      </c>
      <c r="DX79" s="34">
        <f>IF(AND(DX$5&gt;$E79,DX$5&lt;=$F79),IF(DX$5=$E79+1,$C79,""),"")</f>
        <v/>
      </c>
      <c r="DY79" s="34">
        <f>IF(AND(DY$5&gt;$E79,DY$5&lt;=$F79),IF(DY$5=$E79+1,$C79,""),"")</f>
        <v/>
      </c>
      <c r="DZ79" s="34">
        <f>IF(AND(DZ$5&gt;$E79,DZ$5&lt;=$F79),IF(DZ$5=$E79+1,$C79,""),"")</f>
        <v/>
      </c>
      <c r="EA79" s="34">
        <f>IF(AND(EA$5&gt;$E79,EA$5&lt;=$F79),IF(EA$5=$E79+1,$C79,""),"")</f>
        <v/>
      </c>
      <c r="EB79" s="34">
        <f>IF(AND(EB$5&gt;$E79,EB$5&lt;=$F79),IF(EB$5=$E79+1,$C79,""),"")</f>
        <v/>
      </c>
      <c r="EC79" s="34">
        <f>IF(AND(EC$5&gt;$E79,EC$5&lt;=$F79),IF(EC$5=$E79+1,$C79,""),"")</f>
        <v/>
      </c>
      <c r="ED79" s="34">
        <f>IF(AND(ED$5&gt;$E79,ED$5&lt;=$F79),IF(ED$5=$E79+1,$C79,""),"")</f>
        <v/>
      </c>
      <c r="EE79" s="34">
        <f>IF(AND(EE$5&gt;$E79,EE$5&lt;=$F79),IF(EE$5=$E79+1,$C79,""),"")</f>
        <v/>
      </c>
      <c r="EF79" s="34">
        <f>IF(AND(EF$5&gt;$E79,EF$5&lt;=$F79),IF(EF$5=$E79+1,$C79,""),"")</f>
        <v/>
      </c>
      <c r="EG79" s="34">
        <f>IF(AND(EG$5&gt;$E79,EG$5&lt;=$F79),IF(EG$5=$E79+1,$C79,""),"")</f>
        <v/>
      </c>
      <c r="EH79" s="34">
        <f>IF(AND(EH$5&gt;$E79,EH$5&lt;=$F79),IF(EH$5=$E79+1,$C79,""),"")</f>
        <v/>
      </c>
      <c r="EI79" s="34">
        <f>IF(AND(EI$5&gt;$E79,EI$5&lt;=$F79),IF(EI$5=$E79+1,$C79,""),"")</f>
        <v/>
      </c>
      <c r="EJ79" s="34">
        <f>IF(AND(EJ$5&gt;$E79,EJ$5&lt;=$F79),IF(EJ$5=$E79+1,$C79,""),"")</f>
        <v/>
      </c>
      <c r="EK79" s="34">
        <f>IF(AND(EK$5&gt;$E79,EK$5&lt;=$F79),IF(EK$5=$E79+1,$C79,""),"")</f>
        <v/>
      </c>
      <c r="EL79" s="34">
        <f>IF(AND(EL$5&gt;$E79,EL$5&lt;=$F79),IF(EL$5=$E79+1,$C79,""),"")</f>
        <v/>
      </c>
      <c r="EM79" s="34">
        <f>IF(AND(EM$5&gt;$E79,EM$5&lt;=$F79),IF(EM$5=$E79+1,$C79,""),"")</f>
        <v/>
      </c>
      <c r="EN79" s="34">
        <f>IF(AND(EN$5&gt;$E79,EN$5&lt;=$F79),IF(EN$5=$E79+1,$C79,""),"")</f>
        <v/>
      </c>
      <c r="EO79" s="34">
        <f>IF(AND(EO$5&gt;$E79,EO$5&lt;=$F79),IF(EO$5=$E79+1,$C79,""),"")</f>
        <v/>
      </c>
      <c r="EP79" s="34">
        <f>IF(AND(EP$5&gt;$E79,EP$5&lt;=$F79),IF(EP$5=$E79+1,$C79,""),"")</f>
        <v/>
      </c>
      <c r="EQ79" s="34">
        <f>IF(AND(EQ$5&gt;$E79,EQ$5&lt;=$F79),IF(EQ$5=$E79+1,$C79,""),"")</f>
        <v/>
      </c>
      <c r="ER79" s="34">
        <f>IF(AND(ER$5&gt;$E79,ER$5&lt;=$F79),IF(ER$5=$E79+1,$C79,""),"")</f>
        <v/>
      </c>
      <c r="ES79" s="34">
        <f>IF(AND(ES$5&gt;$E79,ES$5&lt;=$F79),IF(ES$5=$E79+1,$C79,""),"")</f>
        <v/>
      </c>
      <c r="ET79" s="34">
        <f>IF(AND(ET$5&gt;$E79,ET$5&lt;=$F79),IF(ET$5=$E79+1,$C79,""),"")</f>
        <v/>
      </c>
      <c r="EU79" s="34">
        <f>IF(AND(EU$5&gt;$E79,EU$5&lt;=$F79),IF(EU$5=$E79+1,$C79,""),"")</f>
        <v/>
      </c>
      <c r="EV79" s="34">
        <f>IF(AND(EV$5&gt;$E79,EV$5&lt;=$F79),IF(EV$5=$E79+1,$C79,""),"")</f>
        <v/>
      </c>
      <c r="EW79" s="34">
        <f>IF(AND(EW$5&gt;$E79,EW$5&lt;=$F79),IF(EW$5=$E79+1,$C79,""),"")</f>
        <v/>
      </c>
      <c r="EX79" s="34">
        <f>IF(AND(EX$5&gt;$E79,EX$5&lt;=$F79),IF(EX$5=$E79+1,$C79,""),"")</f>
        <v/>
      </c>
      <c r="EY79" s="34">
        <f>IF(AND(EY$5&gt;$E79,EY$5&lt;=$F79),IF(EY$5=$E79+1,$C79,""),"")</f>
        <v/>
      </c>
      <c r="EZ79" s="34">
        <f>IF(AND(EZ$5&gt;$E79,EZ$5&lt;=$F79),IF(EZ$5=$E79+1,$C79,""),"")</f>
        <v/>
      </c>
      <c r="FA79" s="34">
        <f>IF(AND(FA$5&gt;$E79,FA$5&lt;=$F79),IF(FA$5=$E79+1,$C79,""),"")</f>
        <v/>
      </c>
    </row>
    <row r="80">
      <c r="A80" s="32">
        <f>Plan!A52</f>
        <v/>
      </c>
      <c r="B80" s="33">
        <f>Plan!C52</f>
        <v/>
      </c>
      <c r="C80" s="16">
        <f>Plan!D52</f>
        <v/>
      </c>
      <c r="D80" s="16">
        <f>Plan!I52</f>
        <v/>
      </c>
      <c r="E80" s="16">
        <f>Plan!K52</f>
        <v/>
      </c>
      <c r="F80" s="16">
        <f>Plan!L52</f>
        <v/>
      </c>
      <c r="G80" s="16">
        <f>Plan!O52</f>
        <v/>
      </c>
      <c r="H80" s="34">
        <f>IF(AND(H$5&gt;$E80,H$5&lt;=$F80),IF(H$5=$E80+1,$C80,""),"")</f>
        <v/>
      </c>
      <c r="I80" s="34">
        <f>IF(AND(I$5&gt;$E80,I$5&lt;=$F80),IF(I$5=$E80+1,$C80,""),"")</f>
        <v/>
      </c>
      <c r="J80" s="34">
        <f>IF(AND(J$5&gt;$E80,J$5&lt;=$F80),IF(J$5=$E80+1,$C80,""),"")</f>
        <v/>
      </c>
      <c r="K80" s="34">
        <f>IF(AND(K$5&gt;$E80,K$5&lt;=$F80),IF(K$5=$E80+1,$C80,""),"")</f>
        <v/>
      </c>
      <c r="L80" s="34">
        <f>IF(AND(L$5&gt;$E80,L$5&lt;=$F80),IF(L$5=$E80+1,$C80,""),"")</f>
        <v/>
      </c>
      <c r="M80" s="34">
        <f>IF(AND(M$5&gt;$E80,M$5&lt;=$F80),IF(M$5=$E80+1,$C80,""),"")</f>
        <v/>
      </c>
      <c r="N80" s="34">
        <f>IF(AND(N$5&gt;$E80,N$5&lt;=$F80),IF(N$5=$E80+1,$C80,""),"")</f>
        <v/>
      </c>
      <c r="O80" s="34">
        <f>IF(AND(O$5&gt;$E80,O$5&lt;=$F80),IF(O$5=$E80+1,$C80,""),"")</f>
        <v/>
      </c>
      <c r="P80" s="34">
        <f>IF(AND(P$5&gt;$E80,P$5&lt;=$F80),IF(P$5=$E80+1,$C80,""),"")</f>
        <v/>
      </c>
      <c r="Q80" s="34">
        <f>IF(AND(Q$5&gt;$E80,Q$5&lt;=$F80),IF(Q$5=$E80+1,$C80,""),"")</f>
        <v/>
      </c>
      <c r="R80" s="34">
        <f>IF(AND(R$5&gt;$E80,R$5&lt;=$F80),IF(R$5=$E80+1,$C80,""),"")</f>
        <v/>
      </c>
      <c r="S80" s="34">
        <f>IF(AND(S$5&gt;$E80,S$5&lt;=$F80),IF(S$5=$E80+1,$C80,""),"")</f>
        <v/>
      </c>
      <c r="T80" s="34">
        <f>IF(AND(T$5&gt;$E80,T$5&lt;=$F80),IF(T$5=$E80+1,$C80,""),"")</f>
        <v/>
      </c>
      <c r="U80" s="34">
        <f>IF(AND(U$5&gt;$E80,U$5&lt;=$F80),IF(U$5=$E80+1,$C80,""),"")</f>
        <v/>
      </c>
      <c r="V80" s="34">
        <f>IF(AND(V$5&gt;$E80,V$5&lt;=$F80),IF(V$5=$E80+1,$C80,""),"")</f>
        <v/>
      </c>
      <c r="W80" s="34">
        <f>IF(AND(W$5&gt;$E80,W$5&lt;=$F80),IF(W$5=$E80+1,$C80,""),"")</f>
        <v/>
      </c>
      <c r="X80" s="34">
        <f>IF(AND(X$5&gt;$E80,X$5&lt;=$F80),IF(X$5=$E80+1,$C80,""),"")</f>
        <v/>
      </c>
      <c r="Y80" s="34">
        <f>IF(AND(Y$5&gt;$E80,Y$5&lt;=$F80),IF(Y$5=$E80+1,$C80,""),"")</f>
        <v/>
      </c>
      <c r="Z80" s="34">
        <f>IF(AND(Z$5&gt;$E80,Z$5&lt;=$F80),IF(Z$5=$E80+1,$C80,""),"")</f>
        <v/>
      </c>
      <c r="AA80" s="34">
        <f>IF(AND(AA$5&gt;$E80,AA$5&lt;=$F80),IF(AA$5=$E80+1,$C80,""),"")</f>
        <v/>
      </c>
      <c r="AB80" s="34">
        <f>IF(AND(AB$5&gt;$E80,AB$5&lt;=$F80),IF(AB$5=$E80+1,$C80,""),"")</f>
        <v/>
      </c>
      <c r="AC80" s="34">
        <f>IF(AND(AC$5&gt;$E80,AC$5&lt;=$F80),IF(AC$5=$E80+1,$C80,""),"")</f>
        <v/>
      </c>
      <c r="AD80" s="34">
        <f>IF(AND(AD$5&gt;$E80,AD$5&lt;=$F80),IF(AD$5=$E80+1,$C80,""),"")</f>
        <v/>
      </c>
      <c r="AE80" s="34">
        <f>IF(AND(AE$5&gt;$E80,AE$5&lt;=$F80),IF(AE$5=$E80+1,$C80,""),"")</f>
        <v/>
      </c>
      <c r="AF80" s="34">
        <f>IF(AND(AF$5&gt;$E80,AF$5&lt;=$F80),IF(AF$5=$E80+1,$C80,""),"")</f>
        <v/>
      </c>
      <c r="AG80" s="34">
        <f>IF(AND(AG$5&gt;$E80,AG$5&lt;=$F80),IF(AG$5=$E80+1,$C80,""),"")</f>
        <v/>
      </c>
      <c r="AH80" s="34">
        <f>IF(AND(AH$5&gt;$E80,AH$5&lt;=$F80),IF(AH$5=$E80+1,$C80,""),"")</f>
        <v/>
      </c>
      <c r="AI80" s="34">
        <f>IF(AND(AI$5&gt;$E80,AI$5&lt;=$F80),IF(AI$5=$E80+1,$C80,""),"")</f>
        <v/>
      </c>
      <c r="AJ80" s="34">
        <f>IF(AND(AJ$5&gt;$E80,AJ$5&lt;=$F80),IF(AJ$5=$E80+1,$C80,""),"")</f>
        <v/>
      </c>
      <c r="AK80" s="34">
        <f>IF(AND(AK$5&gt;$E80,AK$5&lt;=$F80),IF(AK$5=$E80+1,$C80,""),"")</f>
        <v/>
      </c>
      <c r="AL80" s="34">
        <f>IF(AND(AL$5&gt;$E80,AL$5&lt;=$F80),IF(AL$5=$E80+1,$C80,""),"")</f>
        <v/>
      </c>
      <c r="AM80" s="34">
        <f>IF(AND(AM$5&gt;$E80,AM$5&lt;=$F80),IF(AM$5=$E80+1,$C80,""),"")</f>
        <v/>
      </c>
      <c r="AN80" s="34">
        <f>IF(AND(AN$5&gt;$E80,AN$5&lt;=$F80),IF(AN$5=$E80+1,$C80,""),"")</f>
        <v/>
      </c>
      <c r="AO80" s="34">
        <f>IF(AND(AO$5&gt;$E80,AO$5&lt;=$F80),IF(AO$5=$E80+1,$C80,""),"")</f>
        <v/>
      </c>
      <c r="AP80" s="34">
        <f>IF(AND(AP$5&gt;$E80,AP$5&lt;=$F80),IF(AP$5=$E80+1,$C80,""),"")</f>
        <v/>
      </c>
      <c r="AQ80" s="34">
        <f>IF(AND(AQ$5&gt;$E80,AQ$5&lt;=$F80),IF(AQ$5=$E80+1,$C80,""),"")</f>
        <v/>
      </c>
      <c r="AR80" s="34">
        <f>IF(AND(AR$5&gt;$E80,AR$5&lt;=$F80),IF(AR$5=$E80+1,$C80,""),"")</f>
        <v/>
      </c>
      <c r="AS80" s="34">
        <f>IF(AND(AS$5&gt;$E80,AS$5&lt;=$F80),IF(AS$5=$E80+1,$C80,""),"")</f>
        <v/>
      </c>
      <c r="AT80" s="34">
        <f>IF(AND(AT$5&gt;$E80,AT$5&lt;=$F80),IF(AT$5=$E80+1,$C80,""),"")</f>
        <v/>
      </c>
      <c r="AU80" s="34">
        <f>IF(AND(AU$5&gt;$E80,AU$5&lt;=$F80),IF(AU$5=$E80+1,$C80,""),"")</f>
        <v/>
      </c>
      <c r="AV80" s="34">
        <f>IF(AND(AV$5&gt;$E80,AV$5&lt;=$F80),IF(AV$5=$E80+1,$C80,""),"")</f>
        <v/>
      </c>
      <c r="AW80" s="34">
        <f>IF(AND(AW$5&gt;$E80,AW$5&lt;=$F80),IF(AW$5=$E80+1,$C80,""),"")</f>
        <v/>
      </c>
      <c r="AX80" s="34">
        <f>IF(AND(AX$5&gt;$E80,AX$5&lt;=$F80),IF(AX$5=$E80+1,$C80,""),"")</f>
        <v/>
      </c>
      <c r="AY80" s="34">
        <f>IF(AND(AY$5&gt;$E80,AY$5&lt;=$F80),IF(AY$5=$E80+1,$C80,""),"")</f>
        <v/>
      </c>
      <c r="AZ80" s="34">
        <f>IF(AND(AZ$5&gt;$E80,AZ$5&lt;=$F80),IF(AZ$5=$E80+1,$C80,""),"")</f>
        <v/>
      </c>
      <c r="BA80" s="34">
        <f>IF(AND(BA$5&gt;$E80,BA$5&lt;=$F80),IF(BA$5=$E80+1,$C80,""),"")</f>
        <v/>
      </c>
      <c r="BB80" s="34">
        <f>IF(AND(BB$5&gt;$E80,BB$5&lt;=$F80),IF(BB$5=$E80+1,$C80,""),"")</f>
        <v/>
      </c>
      <c r="BC80" s="34">
        <f>IF(AND(BC$5&gt;$E80,BC$5&lt;=$F80),IF(BC$5=$E80+1,$C80,""),"")</f>
        <v/>
      </c>
      <c r="BD80" s="34">
        <f>IF(AND(BD$5&gt;$E80,BD$5&lt;=$F80),IF(BD$5=$E80+1,$C80,""),"")</f>
        <v/>
      </c>
      <c r="BE80" s="34">
        <f>IF(AND(BE$5&gt;$E80,BE$5&lt;=$F80),IF(BE$5=$E80+1,$C80,""),"")</f>
        <v/>
      </c>
      <c r="BF80" s="34">
        <f>IF(AND(BF$5&gt;$E80,BF$5&lt;=$F80),IF(BF$5=$E80+1,$C80,""),"")</f>
        <v/>
      </c>
      <c r="BG80" s="34">
        <f>IF(AND(BG$5&gt;$E80,BG$5&lt;=$F80),IF(BG$5=$E80+1,$C80,""),"")</f>
        <v/>
      </c>
      <c r="BH80" s="34">
        <f>IF(AND(BH$5&gt;$E80,BH$5&lt;=$F80),IF(BH$5=$E80+1,$C80,""),"")</f>
        <v/>
      </c>
      <c r="BI80" s="34">
        <f>IF(AND(BI$5&gt;$E80,BI$5&lt;=$F80),IF(BI$5=$E80+1,$C80,""),"")</f>
        <v/>
      </c>
      <c r="BJ80" s="34">
        <f>IF(AND(BJ$5&gt;$E80,BJ$5&lt;=$F80),IF(BJ$5=$E80+1,$C80,""),"")</f>
        <v/>
      </c>
      <c r="BK80" s="34">
        <f>IF(AND(BK$5&gt;$E80,BK$5&lt;=$F80),IF(BK$5=$E80+1,$C80,""),"")</f>
        <v/>
      </c>
      <c r="BL80" s="34">
        <f>IF(AND(BL$5&gt;$E80,BL$5&lt;=$F80),IF(BL$5=$E80+1,$C80,""),"")</f>
        <v/>
      </c>
      <c r="BM80" s="34">
        <f>IF(AND(BM$5&gt;$E80,BM$5&lt;=$F80),IF(BM$5=$E80+1,$C80,""),"")</f>
        <v/>
      </c>
      <c r="BN80" s="34">
        <f>IF(AND(BN$5&gt;$E80,BN$5&lt;=$F80),IF(BN$5=$E80+1,$C80,""),"")</f>
        <v/>
      </c>
      <c r="BO80" s="34">
        <f>IF(AND(BO$5&gt;$E80,BO$5&lt;=$F80),IF(BO$5=$E80+1,$C80,""),"")</f>
        <v/>
      </c>
      <c r="BP80" s="34">
        <f>IF(AND(BP$5&gt;$E80,BP$5&lt;=$F80),IF(BP$5=$E80+1,$C80,""),"")</f>
        <v/>
      </c>
      <c r="BQ80" s="34">
        <f>IF(AND(BQ$5&gt;$E80,BQ$5&lt;=$F80),IF(BQ$5=$E80+1,$C80,""),"")</f>
        <v/>
      </c>
      <c r="BR80" s="34">
        <f>IF(AND(BR$5&gt;$E80,BR$5&lt;=$F80),IF(BR$5=$E80+1,$C80,""),"")</f>
        <v/>
      </c>
      <c r="BS80" s="34">
        <f>IF(AND(BS$5&gt;$E80,BS$5&lt;=$F80),IF(BS$5=$E80+1,$C80,""),"")</f>
        <v/>
      </c>
      <c r="BT80" s="34">
        <f>IF(AND(BT$5&gt;$E80,BT$5&lt;=$F80),IF(BT$5=$E80+1,$C80,""),"")</f>
        <v/>
      </c>
      <c r="BU80" s="34">
        <f>IF(AND(BU$5&gt;$E80,BU$5&lt;=$F80),IF(BU$5=$E80+1,$C80,""),"")</f>
        <v/>
      </c>
      <c r="BV80" s="34">
        <f>IF(AND(BV$5&gt;$E80,BV$5&lt;=$F80),IF(BV$5=$E80+1,$C80,""),"")</f>
        <v/>
      </c>
      <c r="BW80" s="34">
        <f>IF(AND(BW$5&gt;$E80,BW$5&lt;=$F80),IF(BW$5=$E80+1,$C80,""),"")</f>
        <v/>
      </c>
      <c r="BX80" s="34">
        <f>IF(AND(BX$5&gt;$E80,BX$5&lt;=$F80),IF(BX$5=$E80+1,$C80,""),"")</f>
        <v/>
      </c>
      <c r="BY80" s="34">
        <f>IF(AND(BY$5&gt;$E80,BY$5&lt;=$F80),IF(BY$5=$E80+1,$C80,""),"")</f>
        <v/>
      </c>
      <c r="BZ80" s="34">
        <f>IF(AND(BZ$5&gt;$E80,BZ$5&lt;=$F80),IF(BZ$5=$E80+1,$C80,""),"")</f>
        <v/>
      </c>
      <c r="CA80" s="34">
        <f>IF(AND(CA$5&gt;$E80,CA$5&lt;=$F80),IF(CA$5=$E80+1,$C80,""),"")</f>
        <v/>
      </c>
      <c r="CB80" s="34">
        <f>IF(AND(CB$5&gt;$E80,CB$5&lt;=$F80),IF(CB$5=$E80+1,$C80,""),"")</f>
        <v/>
      </c>
      <c r="CC80" s="34">
        <f>IF(AND(CC$5&gt;$E80,CC$5&lt;=$F80),IF(CC$5=$E80+1,$C80,""),"")</f>
        <v/>
      </c>
      <c r="CD80" s="34">
        <f>IF(AND(CD$5&gt;$E80,CD$5&lt;=$F80),IF(CD$5=$E80+1,$C80,""),"")</f>
        <v/>
      </c>
      <c r="CE80" s="34">
        <f>IF(AND(CE$5&gt;$E80,CE$5&lt;=$F80),IF(CE$5=$E80+1,$C80,""),"")</f>
        <v/>
      </c>
      <c r="CF80" s="34">
        <f>IF(AND(CF$5&gt;$E80,CF$5&lt;=$F80),IF(CF$5=$E80+1,$C80,""),"")</f>
        <v/>
      </c>
      <c r="CG80" s="34">
        <f>IF(AND(CG$5&gt;$E80,CG$5&lt;=$F80),IF(CG$5=$E80+1,$C80,""),"")</f>
        <v/>
      </c>
      <c r="CH80" s="34">
        <f>IF(AND(CH$5&gt;$E80,CH$5&lt;=$F80),IF(CH$5=$E80+1,$C80,""),"")</f>
        <v/>
      </c>
      <c r="CI80" s="34">
        <f>IF(AND(CI$5&gt;$E80,CI$5&lt;=$F80),IF(CI$5=$E80+1,$C80,""),"")</f>
        <v/>
      </c>
      <c r="CJ80" s="34">
        <f>IF(AND(CJ$5&gt;$E80,CJ$5&lt;=$F80),IF(CJ$5=$E80+1,$C80,""),"")</f>
        <v/>
      </c>
      <c r="CK80" s="34">
        <f>IF(AND(CK$5&gt;$E80,CK$5&lt;=$F80),IF(CK$5=$E80+1,$C80,""),"")</f>
        <v/>
      </c>
      <c r="CL80" s="34">
        <f>IF(AND(CL$5&gt;$E80,CL$5&lt;=$F80),IF(CL$5=$E80+1,$C80,""),"")</f>
        <v/>
      </c>
      <c r="CM80" s="34">
        <f>IF(AND(CM$5&gt;$E80,CM$5&lt;=$F80),IF(CM$5=$E80+1,$C80,""),"")</f>
        <v/>
      </c>
      <c r="CN80" s="34">
        <f>IF(AND(CN$5&gt;$E80,CN$5&lt;=$F80),IF(CN$5=$E80+1,$C80,""),"")</f>
        <v/>
      </c>
      <c r="CO80" s="34">
        <f>IF(AND(CO$5&gt;$E80,CO$5&lt;=$F80),IF(CO$5=$E80+1,$C80,""),"")</f>
        <v/>
      </c>
      <c r="CP80" s="34">
        <f>IF(AND(CP$5&gt;$E80,CP$5&lt;=$F80),IF(CP$5=$E80+1,$C80,""),"")</f>
        <v/>
      </c>
      <c r="CQ80" s="34">
        <f>IF(AND(CQ$5&gt;$E80,CQ$5&lt;=$F80),IF(CQ$5=$E80+1,$C80,""),"")</f>
        <v/>
      </c>
      <c r="CR80" s="34">
        <f>IF(AND(CR$5&gt;$E80,CR$5&lt;=$F80),IF(CR$5=$E80+1,$C80,""),"")</f>
        <v/>
      </c>
      <c r="CS80" s="34">
        <f>IF(AND(CS$5&gt;$E80,CS$5&lt;=$F80),IF(CS$5=$E80+1,$C80,""),"")</f>
        <v/>
      </c>
      <c r="CT80" s="34">
        <f>IF(AND(CT$5&gt;$E80,CT$5&lt;=$F80),IF(CT$5=$E80+1,$C80,""),"")</f>
        <v/>
      </c>
      <c r="CU80" s="34">
        <f>IF(AND(CU$5&gt;$E80,CU$5&lt;=$F80),IF(CU$5=$E80+1,$C80,""),"")</f>
        <v/>
      </c>
      <c r="CV80" s="34">
        <f>IF(AND(CV$5&gt;$E80,CV$5&lt;=$F80),IF(CV$5=$E80+1,$C80,""),"")</f>
        <v/>
      </c>
      <c r="CW80" s="34">
        <f>IF(AND(CW$5&gt;$E80,CW$5&lt;=$F80),IF(CW$5=$E80+1,$C80,""),"")</f>
        <v/>
      </c>
      <c r="CX80" s="34">
        <f>IF(AND(CX$5&gt;$E80,CX$5&lt;=$F80),IF(CX$5=$E80+1,$C80,""),"")</f>
        <v/>
      </c>
      <c r="CY80" s="34">
        <f>IF(AND(CY$5&gt;$E80,CY$5&lt;=$F80),IF(CY$5=$E80+1,$C80,""),"")</f>
        <v/>
      </c>
      <c r="CZ80" s="34">
        <f>IF(AND(CZ$5&gt;$E80,CZ$5&lt;=$F80),IF(CZ$5=$E80+1,$C80,""),"")</f>
        <v/>
      </c>
      <c r="DA80" s="34">
        <f>IF(AND(DA$5&gt;$E80,DA$5&lt;=$F80),IF(DA$5=$E80+1,$C80,""),"")</f>
        <v/>
      </c>
      <c r="DB80" s="34">
        <f>IF(AND(DB$5&gt;$E80,DB$5&lt;=$F80),IF(DB$5=$E80+1,$C80,""),"")</f>
        <v/>
      </c>
      <c r="DC80" s="34">
        <f>IF(AND(DC$5&gt;$E80,DC$5&lt;=$F80),IF(DC$5=$E80+1,$C80,""),"")</f>
        <v/>
      </c>
      <c r="DD80" s="34">
        <f>IF(AND(DD$5&gt;$E80,DD$5&lt;=$F80),IF(DD$5=$E80+1,$C80,""),"")</f>
        <v/>
      </c>
      <c r="DE80" s="34">
        <f>IF(AND(DE$5&gt;$E80,DE$5&lt;=$F80),IF(DE$5=$E80+1,$C80,""),"")</f>
        <v/>
      </c>
      <c r="DF80" s="34">
        <f>IF(AND(DF$5&gt;$E80,DF$5&lt;=$F80),IF(DF$5=$E80+1,$C80,""),"")</f>
        <v/>
      </c>
      <c r="DG80" s="34">
        <f>IF(AND(DG$5&gt;$E80,DG$5&lt;=$F80),IF(DG$5=$E80+1,$C80,""),"")</f>
        <v/>
      </c>
      <c r="DH80" s="34">
        <f>IF(AND(DH$5&gt;$E80,DH$5&lt;=$F80),IF(DH$5=$E80+1,$C80,""),"")</f>
        <v/>
      </c>
      <c r="DI80" s="34">
        <f>IF(AND(DI$5&gt;$E80,DI$5&lt;=$F80),IF(DI$5=$E80+1,$C80,""),"")</f>
        <v/>
      </c>
      <c r="DJ80" s="34">
        <f>IF(AND(DJ$5&gt;$E80,DJ$5&lt;=$F80),IF(DJ$5=$E80+1,$C80,""),"")</f>
        <v/>
      </c>
      <c r="DK80" s="34">
        <f>IF(AND(DK$5&gt;$E80,DK$5&lt;=$F80),IF(DK$5=$E80+1,$C80,""),"")</f>
        <v/>
      </c>
      <c r="DL80" s="34">
        <f>IF(AND(DL$5&gt;$E80,DL$5&lt;=$F80),IF(DL$5=$E80+1,$C80,""),"")</f>
        <v/>
      </c>
      <c r="DM80" s="34">
        <f>IF(AND(DM$5&gt;$E80,DM$5&lt;=$F80),IF(DM$5=$E80+1,$C80,""),"")</f>
        <v/>
      </c>
      <c r="DN80" s="34">
        <f>IF(AND(DN$5&gt;$E80,DN$5&lt;=$F80),IF(DN$5=$E80+1,$C80,""),"")</f>
        <v/>
      </c>
      <c r="DO80" s="34">
        <f>IF(AND(DO$5&gt;$E80,DO$5&lt;=$F80),IF(DO$5=$E80+1,$C80,""),"")</f>
        <v/>
      </c>
      <c r="DP80" s="34">
        <f>IF(AND(DP$5&gt;$E80,DP$5&lt;=$F80),IF(DP$5=$E80+1,$C80,""),"")</f>
        <v/>
      </c>
      <c r="DQ80" s="34">
        <f>IF(AND(DQ$5&gt;$E80,DQ$5&lt;=$F80),IF(DQ$5=$E80+1,$C80,""),"")</f>
        <v/>
      </c>
      <c r="DR80" s="34">
        <f>IF(AND(DR$5&gt;$E80,DR$5&lt;=$F80),IF(DR$5=$E80+1,$C80,""),"")</f>
        <v/>
      </c>
      <c r="DS80" s="34">
        <f>IF(AND(DS$5&gt;$E80,DS$5&lt;=$F80),IF(DS$5=$E80+1,$C80,""),"")</f>
        <v/>
      </c>
      <c r="DT80" s="34">
        <f>IF(AND(DT$5&gt;$E80,DT$5&lt;=$F80),IF(DT$5=$E80+1,$C80,""),"")</f>
        <v/>
      </c>
      <c r="DU80" s="34">
        <f>IF(AND(DU$5&gt;$E80,DU$5&lt;=$F80),IF(DU$5=$E80+1,$C80,""),"")</f>
        <v/>
      </c>
      <c r="DV80" s="34">
        <f>IF(AND(DV$5&gt;$E80,DV$5&lt;=$F80),IF(DV$5=$E80+1,$C80,""),"")</f>
        <v/>
      </c>
      <c r="DW80" s="34">
        <f>IF(AND(DW$5&gt;$E80,DW$5&lt;=$F80),IF(DW$5=$E80+1,$C80,""),"")</f>
        <v/>
      </c>
      <c r="DX80" s="34">
        <f>IF(AND(DX$5&gt;$E80,DX$5&lt;=$F80),IF(DX$5=$E80+1,$C80,""),"")</f>
        <v/>
      </c>
      <c r="DY80" s="34">
        <f>IF(AND(DY$5&gt;$E80,DY$5&lt;=$F80),IF(DY$5=$E80+1,$C80,""),"")</f>
        <v/>
      </c>
      <c r="DZ80" s="34">
        <f>IF(AND(DZ$5&gt;$E80,DZ$5&lt;=$F80),IF(DZ$5=$E80+1,$C80,""),"")</f>
        <v/>
      </c>
      <c r="EA80" s="34">
        <f>IF(AND(EA$5&gt;$E80,EA$5&lt;=$F80),IF(EA$5=$E80+1,$C80,""),"")</f>
        <v/>
      </c>
      <c r="EB80" s="34">
        <f>IF(AND(EB$5&gt;$E80,EB$5&lt;=$F80),IF(EB$5=$E80+1,$C80,""),"")</f>
        <v/>
      </c>
      <c r="EC80" s="34">
        <f>IF(AND(EC$5&gt;$E80,EC$5&lt;=$F80),IF(EC$5=$E80+1,$C80,""),"")</f>
        <v/>
      </c>
      <c r="ED80" s="34">
        <f>IF(AND(ED$5&gt;$E80,ED$5&lt;=$F80),IF(ED$5=$E80+1,$C80,""),"")</f>
        <v/>
      </c>
      <c r="EE80" s="34">
        <f>IF(AND(EE$5&gt;$E80,EE$5&lt;=$F80),IF(EE$5=$E80+1,$C80,""),"")</f>
        <v/>
      </c>
      <c r="EF80" s="34">
        <f>IF(AND(EF$5&gt;$E80,EF$5&lt;=$F80),IF(EF$5=$E80+1,$C80,""),"")</f>
        <v/>
      </c>
      <c r="EG80" s="34">
        <f>IF(AND(EG$5&gt;$E80,EG$5&lt;=$F80),IF(EG$5=$E80+1,$C80,""),"")</f>
        <v/>
      </c>
      <c r="EH80" s="34">
        <f>IF(AND(EH$5&gt;$E80,EH$5&lt;=$F80),IF(EH$5=$E80+1,$C80,""),"")</f>
        <v/>
      </c>
      <c r="EI80" s="34">
        <f>IF(AND(EI$5&gt;$E80,EI$5&lt;=$F80),IF(EI$5=$E80+1,$C80,""),"")</f>
        <v/>
      </c>
      <c r="EJ80" s="34">
        <f>IF(AND(EJ$5&gt;$E80,EJ$5&lt;=$F80),IF(EJ$5=$E80+1,$C80,""),"")</f>
        <v/>
      </c>
      <c r="EK80" s="34">
        <f>IF(AND(EK$5&gt;$E80,EK$5&lt;=$F80),IF(EK$5=$E80+1,$C80,""),"")</f>
        <v/>
      </c>
      <c r="EL80" s="34">
        <f>IF(AND(EL$5&gt;$E80,EL$5&lt;=$F80),IF(EL$5=$E80+1,$C80,""),"")</f>
        <v/>
      </c>
      <c r="EM80" s="34">
        <f>IF(AND(EM$5&gt;$E80,EM$5&lt;=$F80),IF(EM$5=$E80+1,$C80,""),"")</f>
        <v/>
      </c>
      <c r="EN80" s="34">
        <f>IF(AND(EN$5&gt;$E80,EN$5&lt;=$F80),IF(EN$5=$E80+1,$C80,""),"")</f>
        <v/>
      </c>
      <c r="EO80" s="34">
        <f>IF(AND(EO$5&gt;$E80,EO$5&lt;=$F80),IF(EO$5=$E80+1,$C80,""),"")</f>
        <v/>
      </c>
      <c r="EP80" s="34">
        <f>IF(AND(EP$5&gt;$E80,EP$5&lt;=$F80),IF(EP$5=$E80+1,$C80,""),"")</f>
        <v/>
      </c>
      <c r="EQ80" s="34">
        <f>IF(AND(EQ$5&gt;$E80,EQ$5&lt;=$F80),IF(EQ$5=$E80+1,$C80,""),"")</f>
        <v/>
      </c>
      <c r="ER80" s="34">
        <f>IF(AND(ER$5&gt;$E80,ER$5&lt;=$F80),IF(ER$5=$E80+1,$C80,""),"")</f>
        <v/>
      </c>
      <c r="ES80" s="34">
        <f>IF(AND(ES$5&gt;$E80,ES$5&lt;=$F80),IF(ES$5=$E80+1,$C80,""),"")</f>
        <v/>
      </c>
      <c r="ET80" s="34">
        <f>IF(AND(ET$5&gt;$E80,ET$5&lt;=$F80),IF(ET$5=$E80+1,$C80,""),"")</f>
        <v/>
      </c>
      <c r="EU80" s="34">
        <f>IF(AND(EU$5&gt;$E80,EU$5&lt;=$F80),IF(EU$5=$E80+1,$C80,""),"")</f>
        <v/>
      </c>
      <c r="EV80" s="34">
        <f>IF(AND(EV$5&gt;$E80,EV$5&lt;=$F80),IF(EV$5=$E80+1,$C80,""),"")</f>
        <v/>
      </c>
      <c r="EW80" s="34">
        <f>IF(AND(EW$5&gt;$E80,EW$5&lt;=$F80),IF(EW$5=$E80+1,$C80,""),"")</f>
        <v/>
      </c>
      <c r="EX80" s="34">
        <f>IF(AND(EX$5&gt;$E80,EX$5&lt;=$F80),IF(EX$5=$E80+1,$C80,""),"")</f>
        <v/>
      </c>
      <c r="EY80" s="34">
        <f>IF(AND(EY$5&gt;$E80,EY$5&lt;=$F80),IF(EY$5=$E80+1,$C80,""),"")</f>
        <v/>
      </c>
      <c r="EZ80" s="34">
        <f>IF(AND(EZ$5&gt;$E80,EZ$5&lt;=$F80),IF(EZ$5=$E80+1,$C80,""),"")</f>
        <v/>
      </c>
      <c r="FA80" s="34">
        <f>IF(AND(FA$5&gt;$E80,FA$5&lt;=$F80),IF(FA$5=$E80+1,$C80,""),"")</f>
        <v/>
      </c>
    </row>
    <row r="81">
      <c r="A81" s="32">
        <f>Plan!A53</f>
        <v/>
      </c>
      <c r="B81" s="33">
        <f>Plan!C53</f>
        <v/>
      </c>
      <c r="C81" s="16">
        <f>Plan!D53</f>
        <v/>
      </c>
      <c r="D81" s="16">
        <f>Plan!I53</f>
        <v/>
      </c>
      <c r="E81" s="16">
        <f>Plan!K53</f>
        <v/>
      </c>
      <c r="F81" s="16">
        <f>Plan!L53</f>
        <v/>
      </c>
      <c r="G81" s="16">
        <f>Plan!O53</f>
        <v/>
      </c>
      <c r="H81" s="34">
        <f>IF(AND(H$5&gt;$E81,H$5&lt;=$F81),IF(H$5=$E81+1,$C81,""),"")</f>
        <v/>
      </c>
      <c r="I81" s="34">
        <f>IF(AND(I$5&gt;$E81,I$5&lt;=$F81),IF(I$5=$E81+1,$C81,""),"")</f>
        <v/>
      </c>
      <c r="J81" s="34">
        <f>IF(AND(J$5&gt;$E81,J$5&lt;=$F81),IF(J$5=$E81+1,$C81,""),"")</f>
        <v/>
      </c>
      <c r="K81" s="34">
        <f>IF(AND(K$5&gt;$E81,K$5&lt;=$F81),IF(K$5=$E81+1,$C81,""),"")</f>
        <v/>
      </c>
      <c r="L81" s="34">
        <f>IF(AND(L$5&gt;$E81,L$5&lt;=$F81),IF(L$5=$E81+1,$C81,""),"")</f>
        <v/>
      </c>
      <c r="M81" s="34">
        <f>IF(AND(M$5&gt;$E81,M$5&lt;=$F81),IF(M$5=$E81+1,$C81,""),"")</f>
        <v/>
      </c>
      <c r="N81" s="34">
        <f>IF(AND(N$5&gt;$E81,N$5&lt;=$F81),IF(N$5=$E81+1,$C81,""),"")</f>
        <v/>
      </c>
      <c r="O81" s="34">
        <f>IF(AND(O$5&gt;$E81,O$5&lt;=$F81),IF(O$5=$E81+1,$C81,""),"")</f>
        <v/>
      </c>
      <c r="P81" s="34">
        <f>IF(AND(P$5&gt;$E81,P$5&lt;=$F81),IF(P$5=$E81+1,$C81,""),"")</f>
        <v/>
      </c>
      <c r="Q81" s="34">
        <f>IF(AND(Q$5&gt;$E81,Q$5&lt;=$F81),IF(Q$5=$E81+1,$C81,""),"")</f>
        <v/>
      </c>
      <c r="R81" s="34">
        <f>IF(AND(R$5&gt;$E81,R$5&lt;=$F81),IF(R$5=$E81+1,$C81,""),"")</f>
        <v/>
      </c>
      <c r="S81" s="34">
        <f>IF(AND(S$5&gt;$E81,S$5&lt;=$F81),IF(S$5=$E81+1,$C81,""),"")</f>
        <v/>
      </c>
      <c r="T81" s="34">
        <f>IF(AND(T$5&gt;$E81,T$5&lt;=$F81),IF(T$5=$E81+1,$C81,""),"")</f>
        <v/>
      </c>
      <c r="U81" s="34">
        <f>IF(AND(U$5&gt;$E81,U$5&lt;=$F81),IF(U$5=$E81+1,$C81,""),"")</f>
        <v/>
      </c>
      <c r="V81" s="34">
        <f>IF(AND(V$5&gt;$E81,V$5&lt;=$F81),IF(V$5=$E81+1,$C81,""),"")</f>
        <v/>
      </c>
      <c r="W81" s="34">
        <f>IF(AND(W$5&gt;$E81,W$5&lt;=$F81),IF(W$5=$E81+1,$C81,""),"")</f>
        <v/>
      </c>
      <c r="X81" s="34">
        <f>IF(AND(X$5&gt;$E81,X$5&lt;=$F81),IF(X$5=$E81+1,$C81,""),"")</f>
        <v/>
      </c>
      <c r="Y81" s="34">
        <f>IF(AND(Y$5&gt;$E81,Y$5&lt;=$F81),IF(Y$5=$E81+1,$C81,""),"")</f>
        <v/>
      </c>
      <c r="Z81" s="34">
        <f>IF(AND(Z$5&gt;$E81,Z$5&lt;=$F81),IF(Z$5=$E81+1,$C81,""),"")</f>
        <v/>
      </c>
      <c r="AA81" s="34">
        <f>IF(AND(AA$5&gt;$E81,AA$5&lt;=$F81),IF(AA$5=$E81+1,$C81,""),"")</f>
        <v/>
      </c>
      <c r="AB81" s="34">
        <f>IF(AND(AB$5&gt;$E81,AB$5&lt;=$F81),IF(AB$5=$E81+1,$C81,""),"")</f>
        <v/>
      </c>
      <c r="AC81" s="34">
        <f>IF(AND(AC$5&gt;$E81,AC$5&lt;=$F81),IF(AC$5=$E81+1,$C81,""),"")</f>
        <v/>
      </c>
      <c r="AD81" s="34">
        <f>IF(AND(AD$5&gt;$E81,AD$5&lt;=$F81),IF(AD$5=$E81+1,$C81,""),"")</f>
        <v/>
      </c>
      <c r="AE81" s="34">
        <f>IF(AND(AE$5&gt;$E81,AE$5&lt;=$F81),IF(AE$5=$E81+1,$C81,""),"")</f>
        <v/>
      </c>
      <c r="AF81" s="34">
        <f>IF(AND(AF$5&gt;$E81,AF$5&lt;=$F81),IF(AF$5=$E81+1,$C81,""),"")</f>
        <v/>
      </c>
      <c r="AG81" s="34">
        <f>IF(AND(AG$5&gt;$E81,AG$5&lt;=$F81),IF(AG$5=$E81+1,$C81,""),"")</f>
        <v/>
      </c>
      <c r="AH81" s="34">
        <f>IF(AND(AH$5&gt;$E81,AH$5&lt;=$F81),IF(AH$5=$E81+1,$C81,""),"")</f>
        <v/>
      </c>
      <c r="AI81" s="34">
        <f>IF(AND(AI$5&gt;$E81,AI$5&lt;=$F81),IF(AI$5=$E81+1,$C81,""),"")</f>
        <v/>
      </c>
      <c r="AJ81" s="34">
        <f>IF(AND(AJ$5&gt;$E81,AJ$5&lt;=$F81),IF(AJ$5=$E81+1,$C81,""),"")</f>
        <v/>
      </c>
      <c r="AK81" s="34">
        <f>IF(AND(AK$5&gt;$E81,AK$5&lt;=$F81),IF(AK$5=$E81+1,$C81,""),"")</f>
        <v/>
      </c>
      <c r="AL81" s="34">
        <f>IF(AND(AL$5&gt;$E81,AL$5&lt;=$F81),IF(AL$5=$E81+1,$C81,""),"")</f>
        <v/>
      </c>
      <c r="AM81" s="34">
        <f>IF(AND(AM$5&gt;$E81,AM$5&lt;=$F81),IF(AM$5=$E81+1,$C81,""),"")</f>
        <v/>
      </c>
      <c r="AN81" s="34">
        <f>IF(AND(AN$5&gt;$E81,AN$5&lt;=$F81),IF(AN$5=$E81+1,$C81,""),"")</f>
        <v/>
      </c>
      <c r="AO81" s="34">
        <f>IF(AND(AO$5&gt;$E81,AO$5&lt;=$F81),IF(AO$5=$E81+1,$C81,""),"")</f>
        <v/>
      </c>
      <c r="AP81" s="34">
        <f>IF(AND(AP$5&gt;$E81,AP$5&lt;=$F81),IF(AP$5=$E81+1,$C81,""),"")</f>
        <v/>
      </c>
      <c r="AQ81" s="34">
        <f>IF(AND(AQ$5&gt;$E81,AQ$5&lt;=$F81),IF(AQ$5=$E81+1,$C81,""),"")</f>
        <v/>
      </c>
      <c r="AR81" s="34">
        <f>IF(AND(AR$5&gt;$E81,AR$5&lt;=$F81),IF(AR$5=$E81+1,$C81,""),"")</f>
        <v/>
      </c>
      <c r="AS81" s="34">
        <f>IF(AND(AS$5&gt;$E81,AS$5&lt;=$F81),IF(AS$5=$E81+1,$C81,""),"")</f>
        <v/>
      </c>
      <c r="AT81" s="34">
        <f>IF(AND(AT$5&gt;$E81,AT$5&lt;=$F81),IF(AT$5=$E81+1,$C81,""),"")</f>
        <v/>
      </c>
      <c r="AU81" s="34">
        <f>IF(AND(AU$5&gt;$E81,AU$5&lt;=$F81),IF(AU$5=$E81+1,$C81,""),"")</f>
        <v/>
      </c>
      <c r="AV81" s="34">
        <f>IF(AND(AV$5&gt;$E81,AV$5&lt;=$F81),IF(AV$5=$E81+1,$C81,""),"")</f>
        <v/>
      </c>
      <c r="AW81" s="34">
        <f>IF(AND(AW$5&gt;$E81,AW$5&lt;=$F81),IF(AW$5=$E81+1,$C81,""),"")</f>
        <v/>
      </c>
      <c r="AX81" s="34">
        <f>IF(AND(AX$5&gt;$E81,AX$5&lt;=$F81),IF(AX$5=$E81+1,$C81,""),"")</f>
        <v/>
      </c>
      <c r="AY81" s="34">
        <f>IF(AND(AY$5&gt;$E81,AY$5&lt;=$F81),IF(AY$5=$E81+1,$C81,""),"")</f>
        <v/>
      </c>
      <c r="AZ81" s="34">
        <f>IF(AND(AZ$5&gt;$E81,AZ$5&lt;=$F81),IF(AZ$5=$E81+1,$C81,""),"")</f>
        <v/>
      </c>
      <c r="BA81" s="34">
        <f>IF(AND(BA$5&gt;$E81,BA$5&lt;=$F81),IF(BA$5=$E81+1,$C81,""),"")</f>
        <v/>
      </c>
      <c r="BB81" s="34">
        <f>IF(AND(BB$5&gt;$E81,BB$5&lt;=$F81),IF(BB$5=$E81+1,$C81,""),"")</f>
        <v/>
      </c>
      <c r="BC81" s="34">
        <f>IF(AND(BC$5&gt;$E81,BC$5&lt;=$F81),IF(BC$5=$E81+1,$C81,""),"")</f>
        <v/>
      </c>
      <c r="BD81" s="34">
        <f>IF(AND(BD$5&gt;$E81,BD$5&lt;=$F81),IF(BD$5=$E81+1,$C81,""),"")</f>
        <v/>
      </c>
      <c r="BE81" s="34">
        <f>IF(AND(BE$5&gt;$E81,BE$5&lt;=$F81),IF(BE$5=$E81+1,$C81,""),"")</f>
        <v/>
      </c>
      <c r="BF81" s="34">
        <f>IF(AND(BF$5&gt;$E81,BF$5&lt;=$F81),IF(BF$5=$E81+1,$C81,""),"")</f>
        <v/>
      </c>
      <c r="BG81" s="34">
        <f>IF(AND(BG$5&gt;$E81,BG$5&lt;=$F81),IF(BG$5=$E81+1,$C81,""),"")</f>
        <v/>
      </c>
      <c r="BH81" s="34">
        <f>IF(AND(BH$5&gt;$E81,BH$5&lt;=$F81),IF(BH$5=$E81+1,$C81,""),"")</f>
        <v/>
      </c>
      <c r="BI81" s="34">
        <f>IF(AND(BI$5&gt;$E81,BI$5&lt;=$F81),IF(BI$5=$E81+1,$C81,""),"")</f>
        <v/>
      </c>
      <c r="BJ81" s="34">
        <f>IF(AND(BJ$5&gt;$E81,BJ$5&lt;=$F81),IF(BJ$5=$E81+1,$C81,""),"")</f>
        <v/>
      </c>
      <c r="BK81" s="34">
        <f>IF(AND(BK$5&gt;$E81,BK$5&lt;=$F81),IF(BK$5=$E81+1,$C81,""),"")</f>
        <v/>
      </c>
      <c r="BL81" s="34">
        <f>IF(AND(BL$5&gt;$E81,BL$5&lt;=$F81),IF(BL$5=$E81+1,$C81,""),"")</f>
        <v/>
      </c>
      <c r="BM81" s="34">
        <f>IF(AND(BM$5&gt;$E81,BM$5&lt;=$F81),IF(BM$5=$E81+1,$C81,""),"")</f>
        <v/>
      </c>
      <c r="BN81" s="34">
        <f>IF(AND(BN$5&gt;$E81,BN$5&lt;=$F81),IF(BN$5=$E81+1,$C81,""),"")</f>
        <v/>
      </c>
      <c r="BO81" s="34">
        <f>IF(AND(BO$5&gt;$E81,BO$5&lt;=$F81),IF(BO$5=$E81+1,$C81,""),"")</f>
        <v/>
      </c>
      <c r="BP81" s="34">
        <f>IF(AND(BP$5&gt;$E81,BP$5&lt;=$F81),IF(BP$5=$E81+1,$C81,""),"")</f>
        <v/>
      </c>
      <c r="BQ81" s="34">
        <f>IF(AND(BQ$5&gt;$E81,BQ$5&lt;=$F81),IF(BQ$5=$E81+1,$C81,""),"")</f>
        <v/>
      </c>
      <c r="BR81" s="34">
        <f>IF(AND(BR$5&gt;$E81,BR$5&lt;=$F81),IF(BR$5=$E81+1,$C81,""),"")</f>
        <v/>
      </c>
      <c r="BS81" s="34">
        <f>IF(AND(BS$5&gt;$E81,BS$5&lt;=$F81),IF(BS$5=$E81+1,$C81,""),"")</f>
        <v/>
      </c>
      <c r="BT81" s="34">
        <f>IF(AND(BT$5&gt;$E81,BT$5&lt;=$F81),IF(BT$5=$E81+1,$C81,""),"")</f>
        <v/>
      </c>
      <c r="BU81" s="34">
        <f>IF(AND(BU$5&gt;$E81,BU$5&lt;=$F81),IF(BU$5=$E81+1,$C81,""),"")</f>
        <v/>
      </c>
      <c r="BV81" s="34">
        <f>IF(AND(BV$5&gt;$E81,BV$5&lt;=$F81),IF(BV$5=$E81+1,$C81,""),"")</f>
        <v/>
      </c>
      <c r="BW81" s="34">
        <f>IF(AND(BW$5&gt;$E81,BW$5&lt;=$F81),IF(BW$5=$E81+1,$C81,""),"")</f>
        <v/>
      </c>
      <c r="BX81" s="34">
        <f>IF(AND(BX$5&gt;$E81,BX$5&lt;=$F81),IF(BX$5=$E81+1,$C81,""),"")</f>
        <v/>
      </c>
      <c r="BY81" s="34">
        <f>IF(AND(BY$5&gt;$E81,BY$5&lt;=$F81),IF(BY$5=$E81+1,$C81,""),"")</f>
        <v/>
      </c>
      <c r="BZ81" s="34">
        <f>IF(AND(BZ$5&gt;$E81,BZ$5&lt;=$F81),IF(BZ$5=$E81+1,$C81,""),"")</f>
        <v/>
      </c>
      <c r="CA81" s="34">
        <f>IF(AND(CA$5&gt;$E81,CA$5&lt;=$F81),IF(CA$5=$E81+1,$C81,""),"")</f>
        <v/>
      </c>
      <c r="CB81" s="34">
        <f>IF(AND(CB$5&gt;$E81,CB$5&lt;=$F81),IF(CB$5=$E81+1,$C81,""),"")</f>
        <v/>
      </c>
      <c r="CC81" s="34">
        <f>IF(AND(CC$5&gt;$E81,CC$5&lt;=$F81),IF(CC$5=$E81+1,$C81,""),"")</f>
        <v/>
      </c>
      <c r="CD81" s="34">
        <f>IF(AND(CD$5&gt;$E81,CD$5&lt;=$F81),IF(CD$5=$E81+1,$C81,""),"")</f>
        <v/>
      </c>
      <c r="CE81" s="34">
        <f>IF(AND(CE$5&gt;$E81,CE$5&lt;=$F81),IF(CE$5=$E81+1,$C81,""),"")</f>
        <v/>
      </c>
      <c r="CF81" s="34">
        <f>IF(AND(CF$5&gt;$E81,CF$5&lt;=$F81),IF(CF$5=$E81+1,$C81,""),"")</f>
        <v/>
      </c>
      <c r="CG81" s="34">
        <f>IF(AND(CG$5&gt;$E81,CG$5&lt;=$F81),IF(CG$5=$E81+1,$C81,""),"")</f>
        <v/>
      </c>
      <c r="CH81" s="34">
        <f>IF(AND(CH$5&gt;$E81,CH$5&lt;=$F81),IF(CH$5=$E81+1,$C81,""),"")</f>
        <v/>
      </c>
      <c r="CI81" s="34">
        <f>IF(AND(CI$5&gt;$E81,CI$5&lt;=$F81),IF(CI$5=$E81+1,$C81,""),"")</f>
        <v/>
      </c>
      <c r="CJ81" s="34">
        <f>IF(AND(CJ$5&gt;$E81,CJ$5&lt;=$F81),IF(CJ$5=$E81+1,$C81,""),"")</f>
        <v/>
      </c>
      <c r="CK81" s="34">
        <f>IF(AND(CK$5&gt;$E81,CK$5&lt;=$F81),IF(CK$5=$E81+1,$C81,""),"")</f>
        <v/>
      </c>
      <c r="CL81" s="34">
        <f>IF(AND(CL$5&gt;$E81,CL$5&lt;=$F81),IF(CL$5=$E81+1,$C81,""),"")</f>
        <v/>
      </c>
      <c r="CM81" s="34">
        <f>IF(AND(CM$5&gt;$E81,CM$5&lt;=$F81),IF(CM$5=$E81+1,$C81,""),"")</f>
        <v/>
      </c>
      <c r="CN81" s="34">
        <f>IF(AND(CN$5&gt;$E81,CN$5&lt;=$F81),IF(CN$5=$E81+1,$C81,""),"")</f>
        <v/>
      </c>
      <c r="CO81" s="34">
        <f>IF(AND(CO$5&gt;$E81,CO$5&lt;=$F81),IF(CO$5=$E81+1,$C81,""),"")</f>
        <v/>
      </c>
      <c r="CP81" s="34">
        <f>IF(AND(CP$5&gt;$E81,CP$5&lt;=$F81),IF(CP$5=$E81+1,$C81,""),"")</f>
        <v/>
      </c>
      <c r="CQ81" s="34">
        <f>IF(AND(CQ$5&gt;$E81,CQ$5&lt;=$F81),IF(CQ$5=$E81+1,$C81,""),"")</f>
        <v/>
      </c>
      <c r="CR81" s="34">
        <f>IF(AND(CR$5&gt;$E81,CR$5&lt;=$F81),IF(CR$5=$E81+1,$C81,""),"")</f>
        <v/>
      </c>
      <c r="CS81" s="34">
        <f>IF(AND(CS$5&gt;$E81,CS$5&lt;=$F81),IF(CS$5=$E81+1,$C81,""),"")</f>
        <v/>
      </c>
      <c r="CT81" s="34">
        <f>IF(AND(CT$5&gt;$E81,CT$5&lt;=$F81),IF(CT$5=$E81+1,$C81,""),"")</f>
        <v/>
      </c>
      <c r="CU81" s="34">
        <f>IF(AND(CU$5&gt;$E81,CU$5&lt;=$F81),IF(CU$5=$E81+1,$C81,""),"")</f>
        <v/>
      </c>
      <c r="CV81" s="34">
        <f>IF(AND(CV$5&gt;$E81,CV$5&lt;=$F81),IF(CV$5=$E81+1,$C81,""),"")</f>
        <v/>
      </c>
      <c r="CW81" s="34">
        <f>IF(AND(CW$5&gt;$E81,CW$5&lt;=$F81),IF(CW$5=$E81+1,$C81,""),"")</f>
        <v/>
      </c>
      <c r="CX81" s="34">
        <f>IF(AND(CX$5&gt;$E81,CX$5&lt;=$F81),IF(CX$5=$E81+1,$C81,""),"")</f>
        <v/>
      </c>
      <c r="CY81" s="34">
        <f>IF(AND(CY$5&gt;$E81,CY$5&lt;=$F81),IF(CY$5=$E81+1,$C81,""),"")</f>
        <v/>
      </c>
      <c r="CZ81" s="34">
        <f>IF(AND(CZ$5&gt;$E81,CZ$5&lt;=$F81),IF(CZ$5=$E81+1,$C81,""),"")</f>
        <v/>
      </c>
      <c r="DA81" s="34">
        <f>IF(AND(DA$5&gt;$E81,DA$5&lt;=$F81),IF(DA$5=$E81+1,$C81,""),"")</f>
        <v/>
      </c>
      <c r="DB81" s="34">
        <f>IF(AND(DB$5&gt;$E81,DB$5&lt;=$F81),IF(DB$5=$E81+1,$C81,""),"")</f>
        <v/>
      </c>
      <c r="DC81" s="34">
        <f>IF(AND(DC$5&gt;$E81,DC$5&lt;=$F81),IF(DC$5=$E81+1,$C81,""),"")</f>
        <v/>
      </c>
      <c r="DD81" s="34">
        <f>IF(AND(DD$5&gt;$E81,DD$5&lt;=$F81),IF(DD$5=$E81+1,$C81,""),"")</f>
        <v/>
      </c>
      <c r="DE81" s="34">
        <f>IF(AND(DE$5&gt;$E81,DE$5&lt;=$F81),IF(DE$5=$E81+1,$C81,""),"")</f>
        <v/>
      </c>
      <c r="DF81" s="34">
        <f>IF(AND(DF$5&gt;$E81,DF$5&lt;=$F81),IF(DF$5=$E81+1,$C81,""),"")</f>
        <v/>
      </c>
      <c r="DG81" s="34">
        <f>IF(AND(DG$5&gt;$E81,DG$5&lt;=$F81),IF(DG$5=$E81+1,$C81,""),"")</f>
        <v/>
      </c>
      <c r="DH81" s="34">
        <f>IF(AND(DH$5&gt;$E81,DH$5&lt;=$F81),IF(DH$5=$E81+1,$C81,""),"")</f>
        <v/>
      </c>
      <c r="DI81" s="34">
        <f>IF(AND(DI$5&gt;$E81,DI$5&lt;=$F81),IF(DI$5=$E81+1,$C81,""),"")</f>
        <v/>
      </c>
      <c r="DJ81" s="34">
        <f>IF(AND(DJ$5&gt;$E81,DJ$5&lt;=$F81),IF(DJ$5=$E81+1,$C81,""),"")</f>
        <v/>
      </c>
      <c r="DK81" s="34">
        <f>IF(AND(DK$5&gt;$E81,DK$5&lt;=$F81),IF(DK$5=$E81+1,$C81,""),"")</f>
        <v/>
      </c>
      <c r="DL81" s="34">
        <f>IF(AND(DL$5&gt;$E81,DL$5&lt;=$F81),IF(DL$5=$E81+1,$C81,""),"")</f>
        <v/>
      </c>
      <c r="DM81" s="34">
        <f>IF(AND(DM$5&gt;$E81,DM$5&lt;=$F81),IF(DM$5=$E81+1,$C81,""),"")</f>
        <v/>
      </c>
      <c r="DN81" s="34">
        <f>IF(AND(DN$5&gt;$E81,DN$5&lt;=$F81),IF(DN$5=$E81+1,$C81,""),"")</f>
        <v/>
      </c>
      <c r="DO81" s="34">
        <f>IF(AND(DO$5&gt;$E81,DO$5&lt;=$F81),IF(DO$5=$E81+1,$C81,""),"")</f>
        <v/>
      </c>
      <c r="DP81" s="34">
        <f>IF(AND(DP$5&gt;$E81,DP$5&lt;=$F81),IF(DP$5=$E81+1,$C81,""),"")</f>
        <v/>
      </c>
      <c r="DQ81" s="34">
        <f>IF(AND(DQ$5&gt;$E81,DQ$5&lt;=$F81),IF(DQ$5=$E81+1,$C81,""),"")</f>
        <v/>
      </c>
      <c r="DR81" s="34">
        <f>IF(AND(DR$5&gt;$E81,DR$5&lt;=$F81),IF(DR$5=$E81+1,$C81,""),"")</f>
        <v/>
      </c>
      <c r="DS81" s="34">
        <f>IF(AND(DS$5&gt;$E81,DS$5&lt;=$F81),IF(DS$5=$E81+1,$C81,""),"")</f>
        <v/>
      </c>
      <c r="DT81" s="34">
        <f>IF(AND(DT$5&gt;$E81,DT$5&lt;=$F81),IF(DT$5=$E81+1,$C81,""),"")</f>
        <v/>
      </c>
      <c r="DU81" s="34">
        <f>IF(AND(DU$5&gt;$E81,DU$5&lt;=$F81),IF(DU$5=$E81+1,$C81,""),"")</f>
        <v/>
      </c>
      <c r="DV81" s="34">
        <f>IF(AND(DV$5&gt;$E81,DV$5&lt;=$F81),IF(DV$5=$E81+1,$C81,""),"")</f>
        <v/>
      </c>
      <c r="DW81" s="34">
        <f>IF(AND(DW$5&gt;$E81,DW$5&lt;=$F81),IF(DW$5=$E81+1,$C81,""),"")</f>
        <v/>
      </c>
      <c r="DX81" s="34">
        <f>IF(AND(DX$5&gt;$E81,DX$5&lt;=$F81),IF(DX$5=$E81+1,$C81,""),"")</f>
        <v/>
      </c>
      <c r="DY81" s="34">
        <f>IF(AND(DY$5&gt;$E81,DY$5&lt;=$F81),IF(DY$5=$E81+1,$C81,""),"")</f>
        <v/>
      </c>
      <c r="DZ81" s="34">
        <f>IF(AND(DZ$5&gt;$E81,DZ$5&lt;=$F81),IF(DZ$5=$E81+1,$C81,""),"")</f>
        <v/>
      </c>
      <c r="EA81" s="34">
        <f>IF(AND(EA$5&gt;$E81,EA$5&lt;=$F81),IF(EA$5=$E81+1,$C81,""),"")</f>
        <v/>
      </c>
      <c r="EB81" s="34">
        <f>IF(AND(EB$5&gt;$E81,EB$5&lt;=$F81),IF(EB$5=$E81+1,$C81,""),"")</f>
        <v/>
      </c>
      <c r="EC81" s="34">
        <f>IF(AND(EC$5&gt;$E81,EC$5&lt;=$F81),IF(EC$5=$E81+1,$C81,""),"")</f>
        <v/>
      </c>
      <c r="ED81" s="34">
        <f>IF(AND(ED$5&gt;$E81,ED$5&lt;=$F81),IF(ED$5=$E81+1,$C81,""),"")</f>
        <v/>
      </c>
      <c r="EE81" s="34">
        <f>IF(AND(EE$5&gt;$E81,EE$5&lt;=$F81),IF(EE$5=$E81+1,$C81,""),"")</f>
        <v/>
      </c>
      <c r="EF81" s="34">
        <f>IF(AND(EF$5&gt;$E81,EF$5&lt;=$F81),IF(EF$5=$E81+1,$C81,""),"")</f>
        <v/>
      </c>
      <c r="EG81" s="34">
        <f>IF(AND(EG$5&gt;$E81,EG$5&lt;=$F81),IF(EG$5=$E81+1,$C81,""),"")</f>
        <v/>
      </c>
      <c r="EH81" s="34">
        <f>IF(AND(EH$5&gt;$E81,EH$5&lt;=$F81),IF(EH$5=$E81+1,$C81,""),"")</f>
        <v/>
      </c>
      <c r="EI81" s="34">
        <f>IF(AND(EI$5&gt;$E81,EI$5&lt;=$F81),IF(EI$5=$E81+1,$C81,""),"")</f>
        <v/>
      </c>
      <c r="EJ81" s="34">
        <f>IF(AND(EJ$5&gt;$E81,EJ$5&lt;=$F81),IF(EJ$5=$E81+1,$C81,""),"")</f>
        <v/>
      </c>
      <c r="EK81" s="34">
        <f>IF(AND(EK$5&gt;$E81,EK$5&lt;=$F81),IF(EK$5=$E81+1,$C81,""),"")</f>
        <v/>
      </c>
      <c r="EL81" s="34">
        <f>IF(AND(EL$5&gt;$E81,EL$5&lt;=$F81),IF(EL$5=$E81+1,$C81,""),"")</f>
        <v/>
      </c>
      <c r="EM81" s="34">
        <f>IF(AND(EM$5&gt;$E81,EM$5&lt;=$F81),IF(EM$5=$E81+1,$C81,""),"")</f>
        <v/>
      </c>
      <c r="EN81" s="34">
        <f>IF(AND(EN$5&gt;$E81,EN$5&lt;=$F81),IF(EN$5=$E81+1,$C81,""),"")</f>
        <v/>
      </c>
      <c r="EO81" s="34">
        <f>IF(AND(EO$5&gt;$E81,EO$5&lt;=$F81),IF(EO$5=$E81+1,$C81,""),"")</f>
        <v/>
      </c>
      <c r="EP81" s="34">
        <f>IF(AND(EP$5&gt;$E81,EP$5&lt;=$F81),IF(EP$5=$E81+1,$C81,""),"")</f>
        <v/>
      </c>
      <c r="EQ81" s="34">
        <f>IF(AND(EQ$5&gt;$E81,EQ$5&lt;=$F81),IF(EQ$5=$E81+1,$C81,""),"")</f>
        <v/>
      </c>
      <c r="ER81" s="34">
        <f>IF(AND(ER$5&gt;$E81,ER$5&lt;=$F81),IF(ER$5=$E81+1,$C81,""),"")</f>
        <v/>
      </c>
      <c r="ES81" s="34">
        <f>IF(AND(ES$5&gt;$E81,ES$5&lt;=$F81),IF(ES$5=$E81+1,$C81,""),"")</f>
        <v/>
      </c>
      <c r="ET81" s="34">
        <f>IF(AND(ET$5&gt;$E81,ET$5&lt;=$F81),IF(ET$5=$E81+1,$C81,""),"")</f>
        <v/>
      </c>
      <c r="EU81" s="34">
        <f>IF(AND(EU$5&gt;$E81,EU$5&lt;=$F81),IF(EU$5=$E81+1,$C81,""),"")</f>
        <v/>
      </c>
      <c r="EV81" s="34">
        <f>IF(AND(EV$5&gt;$E81,EV$5&lt;=$F81),IF(EV$5=$E81+1,$C81,""),"")</f>
        <v/>
      </c>
      <c r="EW81" s="34">
        <f>IF(AND(EW$5&gt;$E81,EW$5&lt;=$F81),IF(EW$5=$E81+1,$C81,""),"")</f>
        <v/>
      </c>
      <c r="EX81" s="34">
        <f>IF(AND(EX$5&gt;$E81,EX$5&lt;=$F81),IF(EX$5=$E81+1,$C81,""),"")</f>
        <v/>
      </c>
      <c r="EY81" s="34">
        <f>IF(AND(EY$5&gt;$E81,EY$5&lt;=$F81),IF(EY$5=$E81+1,$C81,""),"")</f>
        <v/>
      </c>
      <c r="EZ81" s="34">
        <f>IF(AND(EZ$5&gt;$E81,EZ$5&lt;=$F81),IF(EZ$5=$E81+1,$C81,""),"")</f>
        <v/>
      </c>
      <c r="FA81" s="34">
        <f>IF(AND(FA$5&gt;$E81,FA$5&lt;=$F81),IF(FA$5=$E81+1,$C81,""),"")</f>
        <v/>
      </c>
    </row>
    <row r="82">
      <c r="A82" s="32">
        <f>Plan!A54</f>
        <v/>
      </c>
      <c r="B82" s="33">
        <f>Plan!C54</f>
        <v/>
      </c>
      <c r="C82" s="16">
        <f>Plan!D54</f>
        <v/>
      </c>
      <c r="D82" s="16">
        <f>Plan!I54</f>
        <v/>
      </c>
      <c r="E82" s="16">
        <f>Plan!K54</f>
        <v/>
      </c>
      <c r="F82" s="16">
        <f>Plan!L54</f>
        <v/>
      </c>
      <c r="G82" s="16">
        <f>Plan!O54</f>
        <v/>
      </c>
      <c r="H82" s="34">
        <f>IF(AND(H$5&gt;$E82,H$5&lt;=$F82),IF(H$5=$E82+1,$C82,""),"")</f>
        <v/>
      </c>
      <c r="I82" s="34">
        <f>IF(AND(I$5&gt;$E82,I$5&lt;=$F82),IF(I$5=$E82+1,$C82,""),"")</f>
        <v/>
      </c>
      <c r="J82" s="34">
        <f>IF(AND(J$5&gt;$E82,J$5&lt;=$F82),IF(J$5=$E82+1,$C82,""),"")</f>
        <v/>
      </c>
      <c r="K82" s="34">
        <f>IF(AND(K$5&gt;$E82,K$5&lt;=$F82),IF(K$5=$E82+1,$C82,""),"")</f>
        <v/>
      </c>
      <c r="L82" s="34">
        <f>IF(AND(L$5&gt;$E82,L$5&lt;=$F82),IF(L$5=$E82+1,$C82,""),"")</f>
        <v/>
      </c>
      <c r="M82" s="34">
        <f>IF(AND(M$5&gt;$E82,M$5&lt;=$F82),IF(M$5=$E82+1,$C82,""),"")</f>
        <v/>
      </c>
      <c r="N82" s="34">
        <f>IF(AND(N$5&gt;$E82,N$5&lt;=$F82),IF(N$5=$E82+1,$C82,""),"")</f>
        <v/>
      </c>
      <c r="O82" s="34">
        <f>IF(AND(O$5&gt;$E82,O$5&lt;=$F82),IF(O$5=$E82+1,$C82,""),"")</f>
        <v/>
      </c>
      <c r="P82" s="34">
        <f>IF(AND(P$5&gt;$E82,P$5&lt;=$F82),IF(P$5=$E82+1,$C82,""),"")</f>
        <v/>
      </c>
      <c r="Q82" s="34">
        <f>IF(AND(Q$5&gt;$E82,Q$5&lt;=$F82),IF(Q$5=$E82+1,$C82,""),"")</f>
        <v/>
      </c>
      <c r="R82" s="34">
        <f>IF(AND(R$5&gt;$E82,R$5&lt;=$F82),IF(R$5=$E82+1,$C82,""),"")</f>
        <v/>
      </c>
      <c r="S82" s="34">
        <f>IF(AND(S$5&gt;$E82,S$5&lt;=$F82),IF(S$5=$E82+1,$C82,""),"")</f>
        <v/>
      </c>
      <c r="T82" s="34">
        <f>IF(AND(T$5&gt;$E82,T$5&lt;=$F82),IF(T$5=$E82+1,$C82,""),"")</f>
        <v/>
      </c>
      <c r="U82" s="34">
        <f>IF(AND(U$5&gt;$E82,U$5&lt;=$F82),IF(U$5=$E82+1,$C82,""),"")</f>
        <v/>
      </c>
      <c r="V82" s="34">
        <f>IF(AND(V$5&gt;$E82,V$5&lt;=$F82),IF(V$5=$E82+1,$C82,""),"")</f>
        <v/>
      </c>
      <c r="W82" s="34">
        <f>IF(AND(W$5&gt;$E82,W$5&lt;=$F82),IF(W$5=$E82+1,$C82,""),"")</f>
        <v/>
      </c>
      <c r="X82" s="34">
        <f>IF(AND(X$5&gt;$E82,X$5&lt;=$F82),IF(X$5=$E82+1,$C82,""),"")</f>
        <v/>
      </c>
      <c r="Y82" s="34">
        <f>IF(AND(Y$5&gt;$E82,Y$5&lt;=$F82),IF(Y$5=$E82+1,$C82,""),"")</f>
        <v/>
      </c>
      <c r="Z82" s="34">
        <f>IF(AND(Z$5&gt;$E82,Z$5&lt;=$F82),IF(Z$5=$E82+1,$C82,""),"")</f>
        <v/>
      </c>
      <c r="AA82" s="34">
        <f>IF(AND(AA$5&gt;$E82,AA$5&lt;=$F82),IF(AA$5=$E82+1,$C82,""),"")</f>
        <v/>
      </c>
      <c r="AB82" s="34">
        <f>IF(AND(AB$5&gt;$E82,AB$5&lt;=$F82),IF(AB$5=$E82+1,$C82,""),"")</f>
        <v/>
      </c>
      <c r="AC82" s="34">
        <f>IF(AND(AC$5&gt;$E82,AC$5&lt;=$F82),IF(AC$5=$E82+1,$C82,""),"")</f>
        <v/>
      </c>
      <c r="AD82" s="34">
        <f>IF(AND(AD$5&gt;$E82,AD$5&lt;=$F82),IF(AD$5=$E82+1,$C82,""),"")</f>
        <v/>
      </c>
      <c r="AE82" s="34">
        <f>IF(AND(AE$5&gt;$E82,AE$5&lt;=$F82),IF(AE$5=$E82+1,$C82,""),"")</f>
        <v/>
      </c>
      <c r="AF82" s="34">
        <f>IF(AND(AF$5&gt;$E82,AF$5&lt;=$F82),IF(AF$5=$E82+1,$C82,""),"")</f>
        <v/>
      </c>
      <c r="AG82" s="34">
        <f>IF(AND(AG$5&gt;$E82,AG$5&lt;=$F82),IF(AG$5=$E82+1,$C82,""),"")</f>
        <v/>
      </c>
      <c r="AH82" s="34">
        <f>IF(AND(AH$5&gt;$E82,AH$5&lt;=$F82),IF(AH$5=$E82+1,$C82,""),"")</f>
        <v/>
      </c>
      <c r="AI82" s="34">
        <f>IF(AND(AI$5&gt;$E82,AI$5&lt;=$F82),IF(AI$5=$E82+1,$C82,""),"")</f>
        <v/>
      </c>
      <c r="AJ82" s="34">
        <f>IF(AND(AJ$5&gt;$E82,AJ$5&lt;=$F82),IF(AJ$5=$E82+1,$C82,""),"")</f>
        <v/>
      </c>
      <c r="AK82" s="34">
        <f>IF(AND(AK$5&gt;$E82,AK$5&lt;=$F82),IF(AK$5=$E82+1,$C82,""),"")</f>
        <v/>
      </c>
      <c r="AL82" s="34">
        <f>IF(AND(AL$5&gt;$E82,AL$5&lt;=$F82),IF(AL$5=$E82+1,$C82,""),"")</f>
        <v/>
      </c>
      <c r="AM82" s="34">
        <f>IF(AND(AM$5&gt;$E82,AM$5&lt;=$F82),IF(AM$5=$E82+1,$C82,""),"")</f>
        <v/>
      </c>
      <c r="AN82" s="34">
        <f>IF(AND(AN$5&gt;$E82,AN$5&lt;=$F82),IF(AN$5=$E82+1,$C82,""),"")</f>
        <v/>
      </c>
      <c r="AO82" s="34">
        <f>IF(AND(AO$5&gt;$E82,AO$5&lt;=$F82),IF(AO$5=$E82+1,$C82,""),"")</f>
        <v/>
      </c>
      <c r="AP82" s="34">
        <f>IF(AND(AP$5&gt;$E82,AP$5&lt;=$F82),IF(AP$5=$E82+1,$C82,""),"")</f>
        <v/>
      </c>
      <c r="AQ82" s="34">
        <f>IF(AND(AQ$5&gt;$E82,AQ$5&lt;=$F82),IF(AQ$5=$E82+1,$C82,""),"")</f>
        <v/>
      </c>
      <c r="AR82" s="34">
        <f>IF(AND(AR$5&gt;$E82,AR$5&lt;=$F82),IF(AR$5=$E82+1,$C82,""),"")</f>
        <v/>
      </c>
      <c r="AS82" s="34">
        <f>IF(AND(AS$5&gt;$E82,AS$5&lt;=$F82),IF(AS$5=$E82+1,$C82,""),"")</f>
        <v/>
      </c>
      <c r="AT82" s="34">
        <f>IF(AND(AT$5&gt;$E82,AT$5&lt;=$F82),IF(AT$5=$E82+1,$C82,""),"")</f>
        <v/>
      </c>
      <c r="AU82" s="34">
        <f>IF(AND(AU$5&gt;$E82,AU$5&lt;=$F82),IF(AU$5=$E82+1,$C82,""),"")</f>
        <v/>
      </c>
      <c r="AV82" s="34">
        <f>IF(AND(AV$5&gt;$E82,AV$5&lt;=$F82),IF(AV$5=$E82+1,$C82,""),"")</f>
        <v/>
      </c>
      <c r="AW82" s="34">
        <f>IF(AND(AW$5&gt;$E82,AW$5&lt;=$F82),IF(AW$5=$E82+1,$C82,""),"")</f>
        <v/>
      </c>
      <c r="AX82" s="34">
        <f>IF(AND(AX$5&gt;$E82,AX$5&lt;=$F82),IF(AX$5=$E82+1,$C82,""),"")</f>
        <v/>
      </c>
      <c r="AY82" s="34">
        <f>IF(AND(AY$5&gt;$E82,AY$5&lt;=$F82),IF(AY$5=$E82+1,$C82,""),"")</f>
        <v/>
      </c>
      <c r="AZ82" s="34">
        <f>IF(AND(AZ$5&gt;$E82,AZ$5&lt;=$F82),IF(AZ$5=$E82+1,$C82,""),"")</f>
        <v/>
      </c>
      <c r="BA82" s="34">
        <f>IF(AND(BA$5&gt;$E82,BA$5&lt;=$F82),IF(BA$5=$E82+1,$C82,""),"")</f>
        <v/>
      </c>
      <c r="BB82" s="34">
        <f>IF(AND(BB$5&gt;$E82,BB$5&lt;=$F82),IF(BB$5=$E82+1,$C82,""),"")</f>
        <v/>
      </c>
      <c r="BC82" s="34">
        <f>IF(AND(BC$5&gt;$E82,BC$5&lt;=$F82),IF(BC$5=$E82+1,$C82,""),"")</f>
        <v/>
      </c>
      <c r="BD82" s="34">
        <f>IF(AND(BD$5&gt;$E82,BD$5&lt;=$F82),IF(BD$5=$E82+1,$C82,""),"")</f>
        <v/>
      </c>
      <c r="BE82" s="34">
        <f>IF(AND(BE$5&gt;$E82,BE$5&lt;=$F82),IF(BE$5=$E82+1,$C82,""),"")</f>
        <v/>
      </c>
      <c r="BF82" s="34">
        <f>IF(AND(BF$5&gt;$E82,BF$5&lt;=$F82),IF(BF$5=$E82+1,$C82,""),"")</f>
        <v/>
      </c>
      <c r="BG82" s="34">
        <f>IF(AND(BG$5&gt;$E82,BG$5&lt;=$F82),IF(BG$5=$E82+1,$C82,""),"")</f>
        <v/>
      </c>
      <c r="BH82" s="34">
        <f>IF(AND(BH$5&gt;$E82,BH$5&lt;=$F82),IF(BH$5=$E82+1,$C82,""),"")</f>
        <v/>
      </c>
      <c r="BI82" s="34">
        <f>IF(AND(BI$5&gt;$E82,BI$5&lt;=$F82),IF(BI$5=$E82+1,$C82,""),"")</f>
        <v/>
      </c>
      <c r="BJ82" s="34">
        <f>IF(AND(BJ$5&gt;$E82,BJ$5&lt;=$F82),IF(BJ$5=$E82+1,$C82,""),"")</f>
        <v/>
      </c>
      <c r="BK82" s="34">
        <f>IF(AND(BK$5&gt;$E82,BK$5&lt;=$F82),IF(BK$5=$E82+1,$C82,""),"")</f>
        <v/>
      </c>
      <c r="BL82" s="34">
        <f>IF(AND(BL$5&gt;$E82,BL$5&lt;=$F82),IF(BL$5=$E82+1,$C82,""),"")</f>
        <v/>
      </c>
      <c r="BM82" s="34">
        <f>IF(AND(BM$5&gt;$E82,BM$5&lt;=$F82),IF(BM$5=$E82+1,$C82,""),"")</f>
        <v/>
      </c>
      <c r="BN82" s="34">
        <f>IF(AND(BN$5&gt;$E82,BN$5&lt;=$F82),IF(BN$5=$E82+1,$C82,""),"")</f>
        <v/>
      </c>
      <c r="BO82" s="34">
        <f>IF(AND(BO$5&gt;$E82,BO$5&lt;=$F82),IF(BO$5=$E82+1,$C82,""),"")</f>
        <v/>
      </c>
      <c r="BP82" s="34">
        <f>IF(AND(BP$5&gt;$E82,BP$5&lt;=$F82),IF(BP$5=$E82+1,$C82,""),"")</f>
        <v/>
      </c>
      <c r="BQ82" s="34">
        <f>IF(AND(BQ$5&gt;$E82,BQ$5&lt;=$F82),IF(BQ$5=$E82+1,$C82,""),"")</f>
        <v/>
      </c>
      <c r="BR82" s="34">
        <f>IF(AND(BR$5&gt;$E82,BR$5&lt;=$F82),IF(BR$5=$E82+1,$C82,""),"")</f>
        <v/>
      </c>
      <c r="BS82" s="34">
        <f>IF(AND(BS$5&gt;$E82,BS$5&lt;=$F82),IF(BS$5=$E82+1,$C82,""),"")</f>
        <v/>
      </c>
      <c r="BT82" s="34">
        <f>IF(AND(BT$5&gt;$E82,BT$5&lt;=$F82),IF(BT$5=$E82+1,$C82,""),"")</f>
        <v/>
      </c>
      <c r="BU82" s="34">
        <f>IF(AND(BU$5&gt;$E82,BU$5&lt;=$F82),IF(BU$5=$E82+1,$C82,""),"")</f>
        <v/>
      </c>
      <c r="BV82" s="34">
        <f>IF(AND(BV$5&gt;$E82,BV$5&lt;=$F82),IF(BV$5=$E82+1,$C82,""),"")</f>
        <v/>
      </c>
      <c r="BW82" s="34">
        <f>IF(AND(BW$5&gt;$E82,BW$5&lt;=$F82),IF(BW$5=$E82+1,$C82,""),"")</f>
        <v/>
      </c>
      <c r="BX82" s="34">
        <f>IF(AND(BX$5&gt;$E82,BX$5&lt;=$F82),IF(BX$5=$E82+1,$C82,""),"")</f>
        <v/>
      </c>
      <c r="BY82" s="34">
        <f>IF(AND(BY$5&gt;$E82,BY$5&lt;=$F82),IF(BY$5=$E82+1,$C82,""),"")</f>
        <v/>
      </c>
      <c r="BZ82" s="34">
        <f>IF(AND(BZ$5&gt;$E82,BZ$5&lt;=$F82),IF(BZ$5=$E82+1,$C82,""),"")</f>
        <v/>
      </c>
      <c r="CA82" s="34">
        <f>IF(AND(CA$5&gt;$E82,CA$5&lt;=$F82),IF(CA$5=$E82+1,$C82,""),"")</f>
        <v/>
      </c>
      <c r="CB82" s="34">
        <f>IF(AND(CB$5&gt;$E82,CB$5&lt;=$F82),IF(CB$5=$E82+1,$C82,""),"")</f>
        <v/>
      </c>
      <c r="CC82" s="34">
        <f>IF(AND(CC$5&gt;$E82,CC$5&lt;=$F82),IF(CC$5=$E82+1,$C82,""),"")</f>
        <v/>
      </c>
      <c r="CD82" s="34">
        <f>IF(AND(CD$5&gt;$E82,CD$5&lt;=$F82),IF(CD$5=$E82+1,$C82,""),"")</f>
        <v/>
      </c>
      <c r="CE82" s="34">
        <f>IF(AND(CE$5&gt;$E82,CE$5&lt;=$F82),IF(CE$5=$E82+1,$C82,""),"")</f>
        <v/>
      </c>
      <c r="CF82" s="34">
        <f>IF(AND(CF$5&gt;$E82,CF$5&lt;=$F82),IF(CF$5=$E82+1,$C82,""),"")</f>
        <v/>
      </c>
      <c r="CG82" s="34">
        <f>IF(AND(CG$5&gt;$E82,CG$5&lt;=$F82),IF(CG$5=$E82+1,$C82,""),"")</f>
        <v/>
      </c>
      <c r="CH82" s="34">
        <f>IF(AND(CH$5&gt;$E82,CH$5&lt;=$F82),IF(CH$5=$E82+1,$C82,""),"")</f>
        <v/>
      </c>
      <c r="CI82" s="34">
        <f>IF(AND(CI$5&gt;$E82,CI$5&lt;=$F82),IF(CI$5=$E82+1,$C82,""),"")</f>
        <v/>
      </c>
      <c r="CJ82" s="34">
        <f>IF(AND(CJ$5&gt;$E82,CJ$5&lt;=$F82),IF(CJ$5=$E82+1,$C82,""),"")</f>
        <v/>
      </c>
      <c r="CK82" s="34">
        <f>IF(AND(CK$5&gt;$E82,CK$5&lt;=$F82),IF(CK$5=$E82+1,$C82,""),"")</f>
        <v/>
      </c>
      <c r="CL82" s="34">
        <f>IF(AND(CL$5&gt;$E82,CL$5&lt;=$F82),IF(CL$5=$E82+1,$C82,""),"")</f>
        <v/>
      </c>
      <c r="CM82" s="34">
        <f>IF(AND(CM$5&gt;$E82,CM$5&lt;=$F82),IF(CM$5=$E82+1,$C82,""),"")</f>
        <v/>
      </c>
      <c r="CN82" s="34">
        <f>IF(AND(CN$5&gt;$E82,CN$5&lt;=$F82),IF(CN$5=$E82+1,$C82,""),"")</f>
        <v/>
      </c>
      <c r="CO82" s="34">
        <f>IF(AND(CO$5&gt;$E82,CO$5&lt;=$F82),IF(CO$5=$E82+1,$C82,""),"")</f>
        <v/>
      </c>
      <c r="CP82" s="34">
        <f>IF(AND(CP$5&gt;$E82,CP$5&lt;=$F82),IF(CP$5=$E82+1,$C82,""),"")</f>
        <v/>
      </c>
      <c r="CQ82" s="34">
        <f>IF(AND(CQ$5&gt;$E82,CQ$5&lt;=$F82),IF(CQ$5=$E82+1,$C82,""),"")</f>
        <v/>
      </c>
      <c r="CR82" s="34">
        <f>IF(AND(CR$5&gt;$E82,CR$5&lt;=$F82),IF(CR$5=$E82+1,$C82,""),"")</f>
        <v/>
      </c>
      <c r="CS82" s="34">
        <f>IF(AND(CS$5&gt;$E82,CS$5&lt;=$F82),IF(CS$5=$E82+1,$C82,""),"")</f>
        <v/>
      </c>
      <c r="CT82" s="34">
        <f>IF(AND(CT$5&gt;$E82,CT$5&lt;=$F82),IF(CT$5=$E82+1,$C82,""),"")</f>
        <v/>
      </c>
      <c r="CU82" s="34">
        <f>IF(AND(CU$5&gt;$E82,CU$5&lt;=$F82),IF(CU$5=$E82+1,$C82,""),"")</f>
        <v/>
      </c>
      <c r="CV82" s="34">
        <f>IF(AND(CV$5&gt;$E82,CV$5&lt;=$F82),IF(CV$5=$E82+1,$C82,""),"")</f>
        <v/>
      </c>
      <c r="CW82" s="34">
        <f>IF(AND(CW$5&gt;$E82,CW$5&lt;=$F82),IF(CW$5=$E82+1,$C82,""),"")</f>
        <v/>
      </c>
      <c r="CX82" s="34">
        <f>IF(AND(CX$5&gt;$E82,CX$5&lt;=$F82),IF(CX$5=$E82+1,$C82,""),"")</f>
        <v/>
      </c>
      <c r="CY82" s="34">
        <f>IF(AND(CY$5&gt;$E82,CY$5&lt;=$F82),IF(CY$5=$E82+1,$C82,""),"")</f>
        <v/>
      </c>
      <c r="CZ82" s="34">
        <f>IF(AND(CZ$5&gt;$E82,CZ$5&lt;=$F82),IF(CZ$5=$E82+1,$C82,""),"")</f>
        <v/>
      </c>
      <c r="DA82" s="34">
        <f>IF(AND(DA$5&gt;$E82,DA$5&lt;=$F82),IF(DA$5=$E82+1,$C82,""),"")</f>
        <v/>
      </c>
      <c r="DB82" s="34">
        <f>IF(AND(DB$5&gt;$E82,DB$5&lt;=$F82),IF(DB$5=$E82+1,$C82,""),"")</f>
        <v/>
      </c>
      <c r="DC82" s="34">
        <f>IF(AND(DC$5&gt;$E82,DC$5&lt;=$F82),IF(DC$5=$E82+1,$C82,""),"")</f>
        <v/>
      </c>
      <c r="DD82" s="34">
        <f>IF(AND(DD$5&gt;$E82,DD$5&lt;=$F82),IF(DD$5=$E82+1,$C82,""),"")</f>
        <v/>
      </c>
      <c r="DE82" s="34">
        <f>IF(AND(DE$5&gt;$E82,DE$5&lt;=$F82),IF(DE$5=$E82+1,$C82,""),"")</f>
        <v/>
      </c>
      <c r="DF82" s="34">
        <f>IF(AND(DF$5&gt;$E82,DF$5&lt;=$F82),IF(DF$5=$E82+1,$C82,""),"")</f>
        <v/>
      </c>
      <c r="DG82" s="34">
        <f>IF(AND(DG$5&gt;$E82,DG$5&lt;=$F82),IF(DG$5=$E82+1,$C82,""),"")</f>
        <v/>
      </c>
      <c r="DH82" s="34">
        <f>IF(AND(DH$5&gt;$E82,DH$5&lt;=$F82),IF(DH$5=$E82+1,$C82,""),"")</f>
        <v/>
      </c>
      <c r="DI82" s="34">
        <f>IF(AND(DI$5&gt;$E82,DI$5&lt;=$F82),IF(DI$5=$E82+1,$C82,""),"")</f>
        <v/>
      </c>
      <c r="DJ82" s="34">
        <f>IF(AND(DJ$5&gt;$E82,DJ$5&lt;=$F82),IF(DJ$5=$E82+1,$C82,""),"")</f>
        <v/>
      </c>
      <c r="DK82" s="34">
        <f>IF(AND(DK$5&gt;$E82,DK$5&lt;=$F82),IF(DK$5=$E82+1,$C82,""),"")</f>
        <v/>
      </c>
      <c r="DL82" s="34">
        <f>IF(AND(DL$5&gt;$E82,DL$5&lt;=$F82),IF(DL$5=$E82+1,$C82,""),"")</f>
        <v/>
      </c>
      <c r="DM82" s="34">
        <f>IF(AND(DM$5&gt;$E82,DM$5&lt;=$F82),IF(DM$5=$E82+1,$C82,""),"")</f>
        <v/>
      </c>
      <c r="DN82" s="34">
        <f>IF(AND(DN$5&gt;$E82,DN$5&lt;=$F82),IF(DN$5=$E82+1,$C82,""),"")</f>
        <v/>
      </c>
      <c r="DO82" s="34">
        <f>IF(AND(DO$5&gt;$E82,DO$5&lt;=$F82),IF(DO$5=$E82+1,$C82,""),"")</f>
        <v/>
      </c>
      <c r="DP82" s="34">
        <f>IF(AND(DP$5&gt;$E82,DP$5&lt;=$F82),IF(DP$5=$E82+1,$C82,""),"")</f>
        <v/>
      </c>
      <c r="DQ82" s="34">
        <f>IF(AND(DQ$5&gt;$E82,DQ$5&lt;=$F82),IF(DQ$5=$E82+1,$C82,""),"")</f>
        <v/>
      </c>
      <c r="DR82" s="34">
        <f>IF(AND(DR$5&gt;$E82,DR$5&lt;=$F82),IF(DR$5=$E82+1,$C82,""),"")</f>
        <v/>
      </c>
      <c r="DS82" s="34">
        <f>IF(AND(DS$5&gt;$E82,DS$5&lt;=$F82),IF(DS$5=$E82+1,$C82,""),"")</f>
        <v/>
      </c>
      <c r="DT82" s="34">
        <f>IF(AND(DT$5&gt;$E82,DT$5&lt;=$F82),IF(DT$5=$E82+1,$C82,""),"")</f>
        <v/>
      </c>
      <c r="DU82" s="34">
        <f>IF(AND(DU$5&gt;$E82,DU$5&lt;=$F82),IF(DU$5=$E82+1,$C82,""),"")</f>
        <v/>
      </c>
      <c r="DV82" s="34">
        <f>IF(AND(DV$5&gt;$E82,DV$5&lt;=$F82),IF(DV$5=$E82+1,$C82,""),"")</f>
        <v/>
      </c>
      <c r="DW82" s="34">
        <f>IF(AND(DW$5&gt;$E82,DW$5&lt;=$F82),IF(DW$5=$E82+1,$C82,""),"")</f>
        <v/>
      </c>
      <c r="DX82" s="34">
        <f>IF(AND(DX$5&gt;$E82,DX$5&lt;=$F82),IF(DX$5=$E82+1,$C82,""),"")</f>
        <v/>
      </c>
      <c r="DY82" s="34">
        <f>IF(AND(DY$5&gt;$E82,DY$5&lt;=$F82),IF(DY$5=$E82+1,$C82,""),"")</f>
        <v/>
      </c>
      <c r="DZ82" s="34">
        <f>IF(AND(DZ$5&gt;$E82,DZ$5&lt;=$F82),IF(DZ$5=$E82+1,$C82,""),"")</f>
        <v/>
      </c>
      <c r="EA82" s="34">
        <f>IF(AND(EA$5&gt;$E82,EA$5&lt;=$F82),IF(EA$5=$E82+1,$C82,""),"")</f>
        <v/>
      </c>
      <c r="EB82" s="34">
        <f>IF(AND(EB$5&gt;$E82,EB$5&lt;=$F82),IF(EB$5=$E82+1,$C82,""),"")</f>
        <v/>
      </c>
      <c r="EC82" s="34">
        <f>IF(AND(EC$5&gt;$E82,EC$5&lt;=$F82),IF(EC$5=$E82+1,$C82,""),"")</f>
        <v/>
      </c>
      <c r="ED82" s="34">
        <f>IF(AND(ED$5&gt;$E82,ED$5&lt;=$F82),IF(ED$5=$E82+1,$C82,""),"")</f>
        <v/>
      </c>
      <c r="EE82" s="34">
        <f>IF(AND(EE$5&gt;$E82,EE$5&lt;=$F82),IF(EE$5=$E82+1,$C82,""),"")</f>
        <v/>
      </c>
      <c r="EF82" s="34">
        <f>IF(AND(EF$5&gt;$E82,EF$5&lt;=$F82),IF(EF$5=$E82+1,$C82,""),"")</f>
        <v/>
      </c>
      <c r="EG82" s="34">
        <f>IF(AND(EG$5&gt;$E82,EG$5&lt;=$F82),IF(EG$5=$E82+1,$C82,""),"")</f>
        <v/>
      </c>
      <c r="EH82" s="34">
        <f>IF(AND(EH$5&gt;$E82,EH$5&lt;=$F82),IF(EH$5=$E82+1,$C82,""),"")</f>
        <v/>
      </c>
      <c r="EI82" s="34">
        <f>IF(AND(EI$5&gt;$E82,EI$5&lt;=$F82),IF(EI$5=$E82+1,$C82,""),"")</f>
        <v/>
      </c>
      <c r="EJ82" s="34">
        <f>IF(AND(EJ$5&gt;$E82,EJ$5&lt;=$F82),IF(EJ$5=$E82+1,$C82,""),"")</f>
        <v/>
      </c>
      <c r="EK82" s="34">
        <f>IF(AND(EK$5&gt;$E82,EK$5&lt;=$F82),IF(EK$5=$E82+1,$C82,""),"")</f>
        <v/>
      </c>
      <c r="EL82" s="34">
        <f>IF(AND(EL$5&gt;$E82,EL$5&lt;=$F82),IF(EL$5=$E82+1,$C82,""),"")</f>
        <v/>
      </c>
      <c r="EM82" s="34">
        <f>IF(AND(EM$5&gt;$E82,EM$5&lt;=$F82),IF(EM$5=$E82+1,$C82,""),"")</f>
        <v/>
      </c>
      <c r="EN82" s="34">
        <f>IF(AND(EN$5&gt;$E82,EN$5&lt;=$F82),IF(EN$5=$E82+1,$C82,""),"")</f>
        <v/>
      </c>
      <c r="EO82" s="34">
        <f>IF(AND(EO$5&gt;$E82,EO$5&lt;=$F82),IF(EO$5=$E82+1,$C82,""),"")</f>
        <v/>
      </c>
      <c r="EP82" s="34">
        <f>IF(AND(EP$5&gt;$E82,EP$5&lt;=$F82),IF(EP$5=$E82+1,$C82,""),"")</f>
        <v/>
      </c>
      <c r="EQ82" s="34">
        <f>IF(AND(EQ$5&gt;$E82,EQ$5&lt;=$F82),IF(EQ$5=$E82+1,$C82,""),"")</f>
        <v/>
      </c>
      <c r="ER82" s="34">
        <f>IF(AND(ER$5&gt;$E82,ER$5&lt;=$F82),IF(ER$5=$E82+1,$C82,""),"")</f>
        <v/>
      </c>
      <c r="ES82" s="34">
        <f>IF(AND(ES$5&gt;$E82,ES$5&lt;=$F82),IF(ES$5=$E82+1,$C82,""),"")</f>
        <v/>
      </c>
      <c r="ET82" s="34">
        <f>IF(AND(ET$5&gt;$E82,ET$5&lt;=$F82),IF(ET$5=$E82+1,$C82,""),"")</f>
        <v/>
      </c>
      <c r="EU82" s="34">
        <f>IF(AND(EU$5&gt;$E82,EU$5&lt;=$F82),IF(EU$5=$E82+1,$C82,""),"")</f>
        <v/>
      </c>
      <c r="EV82" s="34">
        <f>IF(AND(EV$5&gt;$E82,EV$5&lt;=$F82),IF(EV$5=$E82+1,$C82,""),"")</f>
        <v/>
      </c>
      <c r="EW82" s="34">
        <f>IF(AND(EW$5&gt;$E82,EW$5&lt;=$F82),IF(EW$5=$E82+1,$C82,""),"")</f>
        <v/>
      </c>
      <c r="EX82" s="34">
        <f>IF(AND(EX$5&gt;$E82,EX$5&lt;=$F82),IF(EX$5=$E82+1,$C82,""),"")</f>
        <v/>
      </c>
      <c r="EY82" s="34">
        <f>IF(AND(EY$5&gt;$E82,EY$5&lt;=$F82),IF(EY$5=$E82+1,$C82,""),"")</f>
        <v/>
      </c>
      <c r="EZ82" s="34">
        <f>IF(AND(EZ$5&gt;$E82,EZ$5&lt;=$F82),IF(EZ$5=$E82+1,$C82,""),"")</f>
        <v/>
      </c>
      <c r="FA82" s="34">
        <f>IF(AND(FA$5&gt;$E82,FA$5&lt;=$F82),IF(FA$5=$E82+1,$C82,""),"")</f>
        <v/>
      </c>
    </row>
    <row r="83">
      <c r="A83" s="32">
        <f>Plan!A55</f>
        <v/>
      </c>
      <c r="B83" s="33">
        <f>Plan!C55</f>
        <v/>
      </c>
      <c r="C83" s="16">
        <f>Plan!D55</f>
        <v/>
      </c>
      <c r="D83" s="16">
        <f>Plan!I55</f>
        <v/>
      </c>
      <c r="E83" s="16">
        <f>Plan!K55</f>
        <v/>
      </c>
      <c r="F83" s="16">
        <f>Plan!L55</f>
        <v/>
      </c>
      <c r="G83" s="16">
        <f>Plan!O55</f>
        <v/>
      </c>
      <c r="H83" s="34">
        <f>IF(AND(H$5&gt;$E83,H$5&lt;=$F83),IF(H$5=$E83+1,$C83,""),"")</f>
        <v/>
      </c>
      <c r="I83" s="34">
        <f>IF(AND(I$5&gt;$E83,I$5&lt;=$F83),IF(I$5=$E83+1,$C83,""),"")</f>
        <v/>
      </c>
      <c r="J83" s="34">
        <f>IF(AND(J$5&gt;$E83,J$5&lt;=$F83),IF(J$5=$E83+1,$C83,""),"")</f>
        <v/>
      </c>
      <c r="K83" s="34">
        <f>IF(AND(K$5&gt;$E83,K$5&lt;=$F83),IF(K$5=$E83+1,$C83,""),"")</f>
        <v/>
      </c>
      <c r="L83" s="34">
        <f>IF(AND(L$5&gt;$E83,L$5&lt;=$F83),IF(L$5=$E83+1,$C83,""),"")</f>
        <v/>
      </c>
      <c r="M83" s="34">
        <f>IF(AND(M$5&gt;$E83,M$5&lt;=$F83),IF(M$5=$E83+1,$C83,""),"")</f>
        <v/>
      </c>
      <c r="N83" s="34">
        <f>IF(AND(N$5&gt;$E83,N$5&lt;=$F83),IF(N$5=$E83+1,$C83,""),"")</f>
        <v/>
      </c>
      <c r="O83" s="34">
        <f>IF(AND(O$5&gt;$E83,O$5&lt;=$F83),IF(O$5=$E83+1,$C83,""),"")</f>
        <v/>
      </c>
      <c r="P83" s="34">
        <f>IF(AND(P$5&gt;$E83,P$5&lt;=$F83),IF(P$5=$E83+1,$C83,""),"")</f>
        <v/>
      </c>
      <c r="Q83" s="34">
        <f>IF(AND(Q$5&gt;$E83,Q$5&lt;=$F83),IF(Q$5=$E83+1,$C83,""),"")</f>
        <v/>
      </c>
      <c r="R83" s="34">
        <f>IF(AND(R$5&gt;$E83,R$5&lt;=$F83),IF(R$5=$E83+1,$C83,""),"")</f>
        <v/>
      </c>
      <c r="S83" s="34">
        <f>IF(AND(S$5&gt;$E83,S$5&lt;=$F83),IF(S$5=$E83+1,$C83,""),"")</f>
        <v/>
      </c>
      <c r="T83" s="34">
        <f>IF(AND(T$5&gt;$E83,T$5&lt;=$F83),IF(T$5=$E83+1,$C83,""),"")</f>
        <v/>
      </c>
      <c r="U83" s="34">
        <f>IF(AND(U$5&gt;$E83,U$5&lt;=$F83),IF(U$5=$E83+1,$C83,""),"")</f>
        <v/>
      </c>
      <c r="V83" s="34">
        <f>IF(AND(V$5&gt;$E83,V$5&lt;=$F83),IF(V$5=$E83+1,$C83,""),"")</f>
        <v/>
      </c>
      <c r="W83" s="34">
        <f>IF(AND(W$5&gt;$E83,W$5&lt;=$F83),IF(W$5=$E83+1,$C83,""),"")</f>
        <v/>
      </c>
      <c r="X83" s="34">
        <f>IF(AND(X$5&gt;$E83,X$5&lt;=$F83),IF(X$5=$E83+1,$C83,""),"")</f>
        <v/>
      </c>
      <c r="Y83" s="34">
        <f>IF(AND(Y$5&gt;$E83,Y$5&lt;=$F83),IF(Y$5=$E83+1,$C83,""),"")</f>
        <v/>
      </c>
      <c r="Z83" s="34">
        <f>IF(AND(Z$5&gt;$E83,Z$5&lt;=$F83),IF(Z$5=$E83+1,$C83,""),"")</f>
        <v/>
      </c>
      <c r="AA83" s="34">
        <f>IF(AND(AA$5&gt;$E83,AA$5&lt;=$F83),IF(AA$5=$E83+1,$C83,""),"")</f>
        <v/>
      </c>
      <c r="AB83" s="34">
        <f>IF(AND(AB$5&gt;$E83,AB$5&lt;=$F83),IF(AB$5=$E83+1,$C83,""),"")</f>
        <v/>
      </c>
      <c r="AC83" s="34">
        <f>IF(AND(AC$5&gt;$E83,AC$5&lt;=$F83),IF(AC$5=$E83+1,$C83,""),"")</f>
        <v/>
      </c>
      <c r="AD83" s="34">
        <f>IF(AND(AD$5&gt;$E83,AD$5&lt;=$F83),IF(AD$5=$E83+1,$C83,""),"")</f>
        <v/>
      </c>
      <c r="AE83" s="34">
        <f>IF(AND(AE$5&gt;$E83,AE$5&lt;=$F83),IF(AE$5=$E83+1,$C83,""),"")</f>
        <v/>
      </c>
      <c r="AF83" s="34">
        <f>IF(AND(AF$5&gt;$E83,AF$5&lt;=$F83),IF(AF$5=$E83+1,$C83,""),"")</f>
        <v/>
      </c>
      <c r="AG83" s="34">
        <f>IF(AND(AG$5&gt;$E83,AG$5&lt;=$F83),IF(AG$5=$E83+1,$C83,""),"")</f>
        <v/>
      </c>
      <c r="AH83" s="34">
        <f>IF(AND(AH$5&gt;$E83,AH$5&lt;=$F83),IF(AH$5=$E83+1,$C83,""),"")</f>
        <v/>
      </c>
      <c r="AI83" s="34">
        <f>IF(AND(AI$5&gt;$E83,AI$5&lt;=$F83),IF(AI$5=$E83+1,$C83,""),"")</f>
        <v/>
      </c>
      <c r="AJ83" s="34">
        <f>IF(AND(AJ$5&gt;$E83,AJ$5&lt;=$F83),IF(AJ$5=$E83+1,$C83,""),"")</f>
        <v/>
      </c>
      <c r="AK83" s="34">
        <f>IF(AND(AK$5&gt;$E83,AK$5&lt;=$F83),IF(AK$5=$E83+1,$C83,""),"")</f>
        <v/>
      </c>
      <c r="AL83" s="34">
        <f>IF(AND(AL$5&gt;$E83,AL$5&lt;=$F83),IF(AL$5=$E83+1,$C83,""),"")</f>
        <v/>
      </c>
      <c r="AM83" s="34">
        <f>IF(AND(AM$5&gt;$E83,AM$5&lt;=$F83),IF(AM$5=$E83+1,$C83,""),"")</f>
        <v/>
      </c>
      <c r="AN83" s="34">
        <f>IF(AND(AN$5&gt;$E83,AN$5&lt;=$F83),IF(AN$5=$E83+1,$C83,""),"")</f>
        <v/>
      </c>
      <c r="AO83" s="34">
        <f>IF(AND(AO$5&gt;$E83,AO$5&lt;=$F83),IF(AO$5=$E83+1,$C83,""),"")</f>
        <v/>
      </c>
      <c r="AP83" s="34">
        <f>IF(AND(AP$5&gt;$E83,AP$5&lt;=$F83),IF(AP$5=$E83+1,$C83,""),"")</f>
        <v/>
      </c>
      <c r="AQ83" s="34">
        <f>IF(AND(AQ$5&gt;$E83,AQ$5&lt;=$F83),IF(AQ$5=$E83+1,$C83,""),"")</f>
        <v/>
      </c>
      <c r="AR83" s="34">
        <f>IF(AND(AR$5&gt;$E83,AR$5&lt;=$F83),IF(AR$5=$E83+1,$C83,""),"")</f>
        <v/>
      </c>
      <c r="AS83" s="34">
        <f>IF(AND(AS$5&gt;$E83,AS$5&lt;=$F83),IF(AS$5=$E83+1,$C83,""),"")</f>
        <v/>
      </c>
      <c r="AT83" s="34">
        <f>IF(AND(AT$5&gt;$E83,AT$5&lt;=$F83),IF(AT$5=$E83+1,$C83,""),"")</f>
        <v/>
      </c>
      <c r="AU83" s="34">
        <f>IF(AND(AU$5&gt;$E83,AU$5&lt;=$F83),IF(AU$5=$E83+1,$C83,""),"")</f>
        <v/>
      </c>
      <c r="AV83" s="34">
        <f>IF(AND(AV$5&gt;$E83,AV$5&lt;=$F83),IF(AV$5=$E83+1,$C83,""),"")</f>
        <v/>
      </c>
      <c r="AW83" s="34">
        <f>IF(AND(AW$5&gt;$E83,AW$5&lt;=$F83),IF(AW$5=$E83+1,$C83,""),"")</f>
        <v/>
      </c>
      <c r="AX83" s="34">
        <f>IF(AND(AX$5&gt;$E83,AX$5&lt;=$F83),IF(AX$5=$E83+1,$C83,""),"")</f>
        <v/>
      </c>
      <c r="AY83" s="34">
        <f>IF(AND(AY$5&gt;$E83,AY$5&lt;=$F83),IF(AY$5=$E83+1,$C83,""),"")</f>
        <v/>
      </c>
      <c r="AZ83" s="34">
        <f>IF(AND(AZ$5&gt;$E83,AZ$5&lt;=$F83),IF(AZ$5=$E83+1,$C83,""),"")</f>
        <v/>
      </c>
      <c r="BA83" s="34">
        <f>IF(AND(BA$5&gt;$E83,BA$5&lt;=$F83),IF(BA$5=$E83+1,$C83,""),"")</f>
        <v/>
      </c>
      <c r="BB83" s="34">
        <f>IF(AND(BB$5&gt;$E83,BB$5&lt;=$F83),IF(BB$5=$E83+1,$C83,""),"")</f>
        <v/>
      </c>
      <c r="BC83" s="34">
        <f>IF(AND(BC$5&gt;$E83,BC$5&lt;=$F83),IF(BC$5=$E83+1,$C83,""),"")</f>
        <v/>
      </c>
      <c r="BD83" s="34">
        <f>IF(AND(BD$5&gt;$E83,BD$5&lt;=$F83),IF(BD$5=$E83+1,$C83,""),"")</f>
        <v/>
      </c>
      <c r="BE83" s="34">
        <f>IF(AND(BE$5&gt;$E83,BE$5&lt;=$F83),IF(BE$5=$E83+1,$C83,""),"")</f>
        <v/>
      </c>
      <c r="BF83" s="34">
        <f>IF(AND(BF$5&gt;$E83,BF$5&lt;=$F83),IF(BF$5=$E83+1,$C83,""),"")</f>
        <v/>
      </c>
      <c r="BG83" s="34">
        <f>IF(AND(BG$5&gt;$E83,BG$5&lt;=$F83),IF(BG$5=$E83+1,$C83,""),"")</f>
        <v/>
      </c>
      <c r="BH83" s="34">
        <f>IF(AND(BH$5&gt;$E83,BH$5&lt;=$F83),IF(BH$5=$E83+1,$C83,""),"")</f>
        <v/>
      </c>
      <c r="BI83" s="34">
        <f>IF(AND(BI$5&gt;$E83,BI$5&lt;=$F83),IF(BI$5=$E83+1,$C83,""),"")</f>
        <v/>
      </c>
      <c r="BJ83" s="34">
        <f>IF(AND(BJ$5&gt;$E83,BJ$5&lt;=$F83),IF(BJ$5=$E83+1,$C83,""),"")</f>
        <v/>
      </c>
      <c r="BK83" s="34">
        <f>IF(AND(BK$5&gt;$E83,BK$5&lt;=$F83),IF(BK$5=$E83+1,$C83,""),"")</f>
        <v/>
      </c>
      <c r="BL83" s="34">
        <f>IF(AND(BL$5&gt;$E83,BL$5&lt;=$F83),IF(BL$5=$E83+1,$C83,""),"")</f>
        <v/>
      </c>
      <c r="BM83" s="34">
        <f>IF(AND(BM$5&gt;$E83,BM$5&lt;=$F83),IF(BM$5=$E83+1,$C83,""),"")</f>
        <v/>
      </c>
      <c r="BN83" s="34">
        <f>IF(AND(BN$5&gt;$E83,BN$5&lt;=$F83),IF(BN$5=$E83+1,$C83,""),"")</f>
        <v/>
      </c>
      <c r="BO83" s="34">
        <f>IF(AND(BO$5&gt;$E83,BO$5&lt;=$F83),IF(BO$5=$E83+1,$C83,""),"")</f>
        <v/>
      </c>
      <c r="BP83" s="34">
        <f>IF(AND(BP$5&gt;$E83,BP$5&lt;=$F83),IF(BP$5=$E83+1,$C83,""),"")</f>
        <v/>
      </c>
      <c r="BQ83" s="34">
        <f>IF(AND(BQ$5&gt;$E83,BQ$5&lt;=$F83),IF(BQ$5=$E83+1,$C83,""),"")</f>
        <v/>
      </c>
      <c r="BR83" s="34">
        <f>IF(AND(BR$5&gt;$E83,BR$5&lt;=$F83),IF(BR$5=$E83+1,$C83,""),"")</f>
        <v/>
      </c>
      <c r="BS83" s="34">
        <f>IF(AND(BS$5&gt;$E83,BS$5&lt;=$F83),IF(BS$5=$E83+1,$C83,""),"")</f>
        <v/>
      </c>
      <c r="BT83" s="34">
        <f>IF(AND(BT$5&gt;$E83,BT$5&lt;=$F83),IF(BT$5=$E83+1,$C83,""),"")</f>
        <v/>
      </c>
      <c r="BU83" s="34">
        <f>IF(AND(BU$5&gt;$E83,BU$5&lt;=$F83),IF(BU$5=$E83+1,$C83,""),"")</f>
        <v/>
      </c>
      <c r="BV83" s="34">
        <f>IF(AND(BV$5&gt;$E83,BV$5&lt;=$F83),IF(BV$5=$E83+1,$C83,""),"")</f>
        <v/>
      </c>
      <c r="BW83" s="34">
        <f>IF(AND(BW$5&gt;$E83,BW$5&lt;=$F83),IF(BW$5=$E83+1,$C83,""),"")</f>
        <v/>
      </c>
      <c r="BX83" s="34">
        <f>IF(AND(BX$5&gt;$E83,BX$5&lt;=$F83),IF(BX$5=$E83+1,$C83,""),"")</f>
        <v/>
      </c>
      <c r="BY83" s="34">
        <f>IF(AND(BY$5&gt;$E83,BY$5&lt;=$F83),IF(BY$5=$E83+1,$C83,""),"")</f>
        <v/>
      </c>
      <c r="BZ83" s="34">
        <f>IF(AND(BZ$5&gt;$E83,BZ$5&lt;=$F83),IF(BZ$5=$E83+1,$C83,""),"")</f>
        <v/>
      </c>
      <c r="CA83" s="34">
        <f>IF(AND(CA$5&gt;$E83,CA$5&lt;=$F83),IF(CA$5=$E83+1,$C83,""),"")</f>
        <v/>
      </c>
      <c r="CB83" s="34">
        <f>IF(AND(CB$5&gt;$E83,CB$5&lt;=$F83),IF(CB$5=$E83+1,$C83,""),"")</f>
        <v/>
      </c>
      <c r="CC83" s="34">
        <f>IF(AND(CC$5&gt;$E83,CC$5&lt;=$F83),IF(CC$5=$E83+1,$C83,""),"")</f>
        <v/>
      </c>
      <c r="CD83" s="34">
        <f>IF(AND(CD$5&gt;$E83,CD$5&lt;=$F83),IF(CD$5=$E83+1,$C83,""),"")</f>
        <v/>
      </c>
      <c r="CE83" s="34">
        <f>IF(AND(CE$5&gt;$E83,CE$5&lt;=$F83),IF(CE$5=$E83+1,$C83,""),"")</f>
        <v/>
      </c>
      <c r="CF83" s="34">
        <f>IF(AND(CF$5&gt;$E83,CF$5&lt;=$F83),IF(CF$5=$E83+1,$C83,""),"")</f>
        <v/>
      </c>
      <c r="CG83" s="34">
        <f>IF(AND(CG$5&gt;$E83,CG$5&lt;=$F83),IF(CG$5=$E83+1,$C83,""),"")</f>
        <v/>
      </c>
      <c r="CH83" s="34">
        <f>IF(AND(CH$5&gt;$E83,CH$5&lt;=$F83),IF(CH$5=$E83+1,$C83,""),"")</f>
        <v/>
      </c>
      <c r="CI83" s="34">
        <f>IF(AND(CI$5&gt;$E83,CI$5&lt;=$F83),IF(CI$5=$E83+1,$C83,""),"")</f>
        <v/>
      </c>
      <c r="CJ83" s="34">
        <f>IF(AND(CJ$5&gt;$E83,CJ$5&lt;=$F83),IF(CJ$5=$E83+1,$C83,""),"")</f>
        <v/>
      </c>
      <c r="CK83" s="34">
        <f>IF(AND(CK$5&gt;$E83,CK$5&lt;=$F83),IF(CK$5=$E83+1,$C83,""),"")</f>
        <v/>
      </c>
      <c r="CL83" s="34">
        <f>IF(AND(CL$5&gt;$E83,CL$5&lt;=$F83),IF(CL$5=$E83+1,$C83,""),"")</f>
        <v/>
      </c>
      <c r="CM83" s="34">
        <f>IF(AND(CM$5&gt;$E83,CM$5&lt;=$F83),IF(CM$5=$E83+1,$C83,""),"")</f>
        <v/>
      </c>
      <c r="CN83" s="34">
        <f>IF(AND(CN$5&gt;$E83,CN$5&lt;=$F83),IF(CN$5=$E83+1,$C83,""),"")</f>
        <v/>
      </c>
      <c r="CO83" s="34">
        <f>IF(AND(CO$5&gt;$E83,CO$5&lt;=$F83),IF(CO$5=$E83+1,$C83,""),"")</f>
        <v/>
      </c>
      <c r="CP83" s="34">
        <f>IF(AND(CP$5&gt;$E83,CP$5&lt;=$F83),IF(CP$5=$E83+1,$C83,""),"")</f>
        <v/>
      </c>
      <c r="CQ83" s="34">
        <f>IF(AND(CQ$5&gt;$E83,CQ$5&lt;=$F83),IF(CQ$5=$E83+1,$C83,""),"")</f>
        <v/>
      </c>
      <c r="CR83" s="34">
        <f>IF(AND(CR$5&gt;$E83,CR$5&lt;=$F83),IF(CR$5=$E83+1,$C83,""),"")</f>
        <v/>
      </c>
      <c r="CS83" s="34">
        <f>IF(AND(CS$5&gt;$E83,CS$5&lt;=$F83),IF(CS$5=$E83+1,$C83,""),"")</f>
        <v/>
      </c>
      <c r="CT83" s="34">
        <f>IF(AND(CT$5&gt;$E83,CT$5&lt;=$F83),IF(CT$5=$E83+1,$C83,""),"")</f>
        <v/>
      </c>
      <c r="CU83" s="34">
        <f>IF(AND(CU$5&gt;$E83,CU$5&lt;=$F83),IF(CU$5=$E83+1,$C83,""),"")</f>
        <v/>
      </c>
      <c r="CV83" s="34">
        <f>IF(AND(CV$5&gt;$E83,CV$5&lt;=$F83),IF(CV$5=$E83+1,$C83,""),"")</f>
        <v/>
      </c>
      <c r="CW83" s="34">
        <f>IF(AND(CW$5&gt;$E83,CW$5&lt;=$F83),IF(CW$5=$E83+1,$C83,""),"")</f>
        <v/>
      </c>
      <c r="CX83" s="34">
        <f>IF(AND(CX$5&gt;$E83,CX$5&lt;=$F83),IF(CX$5=$E83+1,$C83,""),"")</f>
        <v/>
      </c>
      <c r="CY83" s="34">
        <f>IF(AND(CY$5&gt;$E83,CY$5&lt;=$F83),IF(CY$5=$E83+1,$C83,""),"")</f>
        <v/>
      </c>
      <c r="CZ83" s="34">
        <f>IF(AND(CZ$5&gt;$E83,CZ$5&lt;=$F83),IF(CZ$5=$E83+1,$C83,""),"")</f>
        <v/>
      </c>
      <c r="DA83" s="34">
        <f>IF(AND(DA$5&gt;$E83,DA$5&lt;=$F83),IF(DA$5=$E83+1,$C83,""),"")</f>
        <v/>
      </c>
      <c r="DB83" s="34">
        <f>IF(AND(DB$5&gt;$E83,DB$5&lt;=$F83),IF(DB$5=$E83+1,$C83,""),"")</f>
        <v/>
      </c>
      <c r="DC83" s="34">
        <f>IF(AND(DC$5&gt;$E83,DC$5&lt;=$F83),IF(DC$5=$E83+1,$C83,""),"")</f>
        <v/>
      </c>
      <c r="DD83" s="34">
        <f>IF(AND(DD$5&gt;$E83,DD$5&lt;=$F83),IF(DD$5=$E83+1,$C83,""),"")</f>
        <v/>
      </c>
      <c r="DE83" s="34">
        <f>IF(AND(DE$5&gt;$E83,DE$5&lt;=$F83),IF(DE$5=$E83+1,$C83,""),"")</f>
        <v/>
      </c>
      <c r="DF83" s="34">
        <f>IF(AND(DF$5&gt;$E83,DF$5&lt;=$F83),IF(DF$5=$E83+1,$C83,""),"")</f>
        <v/>
      </c>
      <c r="DG83" s="34">
        <f>IF(AND(DG$5&gt;$E83,DG$5&lt;=$F83),IF(DG$5=$E83+1,$C83,""),"")</f>
        <v/>
      </c>
      <c r="DH83" s="34">
        <f>IF(AND(DH$5&gt;$E83,DH$5&lt;=$F83),IF(DH$5=$E83+1,$C83,""),"")</f>
        <v/>
      </c>
      <c r="DI83" s="34">
        <f>IF(AND(DI$5&gt;$E83,DI$5&lt;=$F83),IF(DI$5=$E83+1,$C83,""),"")</f>
        <v/>
      </c>
      <c r="DJ83" s="34">
        <f>IF(AND(DJ$5&gt;$E83,DJ$5&lt;=$F83),IF(DJ$5=$E83+1,$C83,""),"")</f>
        <v/>
      </c>
      <c r="DK83" s="34">
        <f>IF(AND(DK$5&gt;$E83,DK$5&lt;=$F83),IF(DK$5=$E83+1,$C83,""),"")</f>
        <v/>
      </c>
      <c r="DL83" s="34">
        <f>IF(AND(DL$5&gt;$E83,DL$5&lt;=$F83),IF(DL$5=$E83+1,$C83,""),"")</f>
        <v/>
      </c>
      <c r="DM83" s="34">
        <f>IF(AND(DM$5&gt;$E83,DM$5&lt;=$F83),IF(DM$5=$E83+1,$C83,""),"")</f>
        <v/>
      </c>
      <c r="DN83" s="34">
        <f>IF(AND(DN$5&gt;$E83,DN$5&lt;=$F83),IF(DN$5=$E83+1,$C83,""),"")</f>
        <v/>
      </c>
      <c r="DO83" s="34">
        <f>IF(AND(DO$5&gt;$E83,DO$5&lt;=$F83),IF(DO$5=$E83+1,$C83,""),"")</f>
        <v/>
      </c>
      <c r="DP83" s="34">
        <f>IF(AND(DP$5&gt;$E83,DP$5&lt;=$F83),IF(DP$5=$E83+1,$C83,""),"")</f>
        <v/>
      </c>
      <c r="DQ83" s="34">
        <f>IF(AND(DQ$5&gt;$E83,DQ$5&lt;=$F83),IF(DQ$5=$E83+1,$C83,""),"")</f>
        <v/>
      </c>
      <c r="DR83" s="34">
        <f>IF(AND(DR$5&gt;$E83,DR$5&lt;=$F83),IF(DR$5=$E83+1,$C83,""),"")</f>
        <v/>
      </c>
      <c r="DS83" s="34">
        <f>IF(AND(DS$5&gt;$E83,DS$5&lt;=$F83),IF(DS$5=$E83+1,$C83,""),"")</f>
        <v/>
      </c>
      <c r="DT83" s="34">
        <f>IF(AND(DT$5&gt;$E83,DT$5&lt;=$F83),IF(DT$5=$E83+1,$C83,""),"")</f>
        <v/>
      </c>
      <c r="DU83" s="34">
        <f>IF(AND(DU$5&gt;$E83,DU$5&lt;=$F83),IF(DU$5=$E83+1,$C83,""),"")</f>
        <v/>
      </c>
      <c r="DV83" s="34">
        <f>IF(AND(DV$5&gt;$E83,DV$5&lt;=$F83),IF(DV$5=$E83+1,$C83,""),"")</f>
        <v/>
      </c>
      <c r="DW83" s="34">
        <f>IF(AND(DW$5&gt;$E83,DW$5&lt;=$F83),IF(DW$5=$E83+1,$C83,""),"")</f>
        <v/>
      </c>
      <c r="DX83" s="34">
        <f>IF(AND(DX$5&gt;$E83,DX$5&lt;=$F83),IF(DX$5=$E83+1,$C83,""),"")</f>
        <v/>
      </c>
      <c r="DY83" s="34">
        <f>IF(AND(DY$5&gt;$E83,DY$5&lt;=$F83),IF(DY$5=$E83+1,$C83,""),"")</f>
        <v/>
      </c>
      <c r="DZ83" s="34">
        <f>IF(AND(DZ$5&gt;$E83,DZ$5&lt;=$F83),IF(DZ$5=$E83+1,$C83,""),"")</f>
        <v/>
      </c>
      <c r="EA83" s="34">
        <f>IF(AND(EA$5&gt;$E83,EA$5&lt;=$F83),IF(EA$5=$E83+1,$C83,""),"")</f>
        <v/>
      </c>
      <c r="EB83" s="34">
        <f>IF(AND(EB$5&gt;$E83,EB$5&lt;=$F83),IF(EB$5=$E83+1,$C83,""),"")</f>
        <v/>
      </c>
      <c r="EC83" s="34">
        <f>IF(AND(EC$5&gt;$E83,EC$5&lt;=$F83),IF(EC$5=$E83+1,$C83,""),"")</f>
        <v/>
      </c>
      <c r="ED83" s="34">
        <f>IF(AND(ED$5&gt;$E83,ED$5&lt;=$F83),IF(ED$5=$E83+1,$C83,""),"")</f>
        <v/>
      </c>
      <c r="EE83" s="34">
        <f>IF(AND(EE$5&gt;$E83,EE$5&lt;=$F83),IF(EE$5=$E83+1,$C83,""),"")</f>
        <v/>
      </c>
      <c r="EF83" s="34">
        <f>IF(AND(EF$5&gt;$E83,EF$5&lt;=$F83),IF(EF$5=$E83+1,$C83,""),"")</f>
        <v/>
      </c>
      <c r="EG83" s="34">
        <f>IF(AND(EG$5&gt;$E83,EG$5&lt;=$F83),IF(EG$5=$E83+1,$C83,""),"")</f>
        <v/>
      </c>
      <c r="EH83" s="34">
        <f>IF(AND(EH$5&gt;$E83,EH$5&lt;=$F83),IF(EH$5=$E83+1,$C83,""),"")</f>
        <v/>
      </c>
      <c r="EI83" s="34">
        <f>IF(AND(EI$5&gt;$E83,EI$5&lt;=$F83),IF(EI$5=$E83+1,$C83,""),"")</f>
        <v/>
      </c>
      <c r="EJ83" s="34">
        <f>IF(AND(EJ$5&gt;$E83,EJ$5&lt;=$F83),IF(EJ$5=$E83+1,$C83,""),"")</f>
        <v/>
      </c>
      <c r="EK83" s="34">
        <f>IF(AND(EK$5&gt;$E83,EK$5&lt;=$F83),IF(EK$5=$E83+1,$C83,""),"")</f>
        <v/>
      </c>
      <c r="EL83" s="34">
        <f>IF(AND(EL$5&gt;$E83,EL$5&lt;=$F83),IF(EL$5=$E83+1,$C83,""),"")</f>
        <v/>
      </c>
      <c r="EM83" s="34">
        <f>IF(AND(EM$5&gt;$E83,EM$5&lt;=$F83),IF(EM$5=$E83+1,$C83,""),"")</f>
        <v/>
      </c>
      <c r="EN83" s="34">
        <f>IF(AND(EN$5&gt;$E83,EN$5&lt;=$F83),IF(EN$5=$E83+1,$C83,""),"")</f>
        <v/>
      </c>
      <c r="EO83" s="34">
        <f>IF(AND(EO$5&gt;$E83,EO$5&lt;=$F83),IF(EO$5=$E83+1,$C83,""),"")</f>
        <v/>
      </c>
      <c r="EP83" s="34">
        <f>IF(AND(EP$5&gt;$E83,EP$5&lt;=$F83),IF(EP$5=$E83+1,$C83,""),"")</f>
        <v/>
      </c>
      <c r="EQ83" s="34">
        <f>IF(AND(EQ$5&gt;$E83,EQ$5&lt;=$F83),IF(EQ$5=$E83+1,$C83,""),"")</f>
        <v/>
      </c>
      <c r="ER83" s="34">
        <f>IF(AND(ER$5&gt;$E83,ER$5&lt;=$F83),IF(ER$5=$E83+1,$C83,""),"")</f>
        <v/>
      </c>
      <c r="ES83" s="34">
        <f>IF(AND(ES$5&gt;$E83,ES$5&lt;=$F83),IF(ES$5=$E83+1,$C83,""),"")</f>
        <v/>
      </c>
      <c r="ET83" s="34">
        <f>IF(AND(ET$5&gt;$E83,ET$5&lt;=$F83),IF(ET$5=$E83+1,$C83,""),"")</f>
        <v/>
      </c>
      <c r="EU83" s="34">
        <f>IF(AND(EU$5&gt;$E83,EU$5&lt;=$F83),IF(EU$5=$E83+1,$C83,""),"")</f>
        <v/>
      </c>
      <c r="EV83" s="34">
        <f>IF(AND(EV$5&gt;$E83,EV$5&lt;=$F83),IF(EV$5=$E83+1,$C83,""),"")</f>
        <v/>
      </c>
      <c r="EW83" s="34">
        <f>IF(AND(EW$5&gt;$E83,EW$5&lt;=$F83),IF(EW$5=$E83+1,$C83,""),"")</f>
        <v/>
      </c>
      <c r="EX83" s="34">
        <f>IF(AND(EX$5&gt;$E83,EX$5&lt;=$F83),IF(EX$5=$E83+1,$C83,""),"")</f>
        <v/>
      </c>
      <c r="EY83" s="34">
        <f>IF(AND(EY$5&gt;$E83,EY$5&lt;=$F83),IF(EY$5=$E83+1,$C83,""),"")</f>
        <v/>
      </c>
      <c r="EZ83" s="34">
        <f>IF(AND(EZ$5&gt;$E83,EZ$5&lt;=$F83),IF(EZ$5=$E83+1,$C83,""),"")</f>
        <v/>
      </c>
      <c r="FA83" s="34">
        <f>IF(AND(FA$5&gt;$E83,FA$5&lt;=$F83),IF(FA$5=$E83+1,$C83,""),"")</f>
        <v/>
      </c>
    </row>
    <row r="84">
      <c r="A84" s="32">
        <f>Plan!A56</f>
        <v/>
      </c>
      <c r="B84" s="33">
        <f>Plan!C56</f>
        <v/>
      </c>
      <c r="C84" s="16">
        <f>Plan!D56</f>
        <v/>
      </c>
      <c r="D84" s="16">
        <f>Plan!I56</f>
        <v/>
      </c>
      <c r="E84" s="16">
        <f>Plan!K56</f>
        <v/>
      </c>
      <c r="F84" s="16">
        <f>Plan!L56</f>
        <v/>
      </c>
      <c r="G84" s="16">
        <f>Plan!O56</f>
        <v/>
      </c>
      <c r="H84" s="34">
        <f>IF(AND(H$5&gt;$E84,H$5&lt;=$F84),IF(H$5=$E84+1,$C84,""),"")</f>
        <v/>
      </c>
      <c r="I84" s="34">
        <f>IF(AND(I$5&gt;$E84,I$5&lt;=$F84),IF(I$5=$E84+1,$C84,""),"")</f>
        <v/>
      </c>
      <c r="J84" s="34">
        <f>IF(AND(J$5&gt;$E84,J$5&lt;=$F84),IF(J$5=$E84+1,$C84,""),"")</f>
        <v/>
      </c>
      <c r="K84" s="34">
        <f>IF(AND(K$5&gt;$E84,K$5&lt;=$F84),IF(K$5=$E84+1,$C84,""),"")</f>
        <v/>
      </c>
      <c r="L84" s="34">
        <f>IF(AND(L$5&gt;$E84,L$5&lt;=$F84),IF(L$5=$E84+1,$C84,""),"")</f>
        <v/>
      </c>
      <c r="M84" s="34">
        <f>IF(AND(M$5&gt;$E84,M$5&lt;=$F84),IF(M$5=$E84+1,$C84,""),"")</f>
        <v/>
      </c>
      <c r="N84" s="34">
        <f>IF(AND(N$5&gt;$E84,N$5&lt;=$F84),IF(N$5=$E84+1,$C84,""),"")</f>
        <v/>
      </c>
      <c r="O84" s="34">
        <f>IF(AND(O$5&gt;$E84,O$5&lt;=$F84),IF(O$5=$E84+1,$C84,""),"")</f>
        <v/>
      </c>
      <c r="P84" s="34">
        <f>IF(AND(P$5&gt;$E84,P$5&lt;=$F84),IF(P$5=$E84+1,$C84,""),"")</f>
        <v/>
      </c>
      <c r="Q84" s="34">
        <f>IF(AND(Q$5&gt;$E84,Q$5&lt;=$F84),IF(Q$5=$E84+1,$C84,""),"")</f>
        <v/>
      </c>
      <c r="R84" s="34">
        <f>IF(AND(R$5&gt;$E84,R$5&lt;=$F84),IF(R$5=$E84+1,$C84,""),"")</f>
        <v/>
      </c>
      <c r="S84" s="34">
        <f>IF(AND(S$5&gt;$E84,S$5&lt;=$F84),IF(S$5=$E84+1,$C84,""),"")</f>
        <v/>
      </c>
      <c r="T84" s="34">
        <f>IF(AND(T$5&gt;$E84,T$5&lt;=$F84),IF(T$5=$E84+1,$C84,""),"")</f>
        <v/>
      </c>
      <c r="U84" s="34">
        <f>IF(AND(U$5&gt;$E84,U$5&lt;=$F84),IF(U$5=$E84+1,$C84,""),"")</f>
        <v/>
      </c>
      <c r="V84" s="34">
        <f>IF(AND(V$5&gt;$E84,V$5&lt;=$F84),IF(V$5=$E84+1,$C84,""),"")</f>
        <v/>
      </c>
      <c r="W84" s="34">
        <f>IF(AND(W$5&gt;$E84,W$5&lt;=$F84),IF(W$5=$E84+1,$C84,""),"")</f>
        <v/>
      </c>
      <c r="X84" s="34">
        <f>IF(AND(X$5&gt;$E84,X$5&lt;=$F84),IF(X$5=$E84+1,$C84,""),"")</f>
        <v/>
      </c>
      <c r="Y84" s="34">
        <f>IF(AND(Y$5&gt;$E84,Y$5&lt;=$F84),IF(Y$5=$E84+1,$C84,""),"")</f>
        <v/>
      </c>
      <c r="Z84" s="34">
        <f>IF(AND(Z$5&gt;$E84,Z$5&lt;=$F84),IF(Z$5=$E84+1,$C84,""),"")</f>
        <v/>
      </c>
      <c r="AA84" s="34">
        <f>IF(AND(AA$5&gt;$E84,AA$5&lt;=$F84),IF(AA$5=$E84+1,$C84,""),"")</f>
        <v/>
      </c>
      <c r="AB84" s="34">
        <f>IF(AND(AB$5&gt;$E84,AB$5&lt;=$F84),IF(AB$5=$E84+1,$C84,""),"")</f>
        <v/>
      </c>
      <c r="AC84" s="34">
        <f>IF(AND(AC$5&gt;$E84,AC$5&lt;=$F84),IF(AC$5=$E84+1,$C84,""),"")</f>
        <v/>
      </c>
      <c r="AD84" s="34">
        <f>IF(AND(AD$5&gt;$E84,AD$5&lt;=$F84),IF(AD$5=$E84+1,$C84,""),"")</f>
        <v/>
      </c>
      <c r="AE84" s="34">
        <f>IF(AND(AE$5&gt;$E84,AE$5&lt;=$F84),IF(AE$5=$E84+1,$C84,""),"")</f>
        <v/>
      </c>
      <c r="AF84" s="34">
        <f>IF(AND(AF$5&gt;$E84,AF$5&lt;=$F84),IF(AF$5=$E84+1,$C84,""),"")</f>
        <v/>
      </c>
      <c r="AG84" s="34">
        <f>IF(AND(AG$5&gt;$E84,AG$5&lt;=$F84),IF(AG$5=$E84+1,$C84,""),"")</f>
        <v/>
      </c>
      <c r="AH84" s="34">
        <f>IF(AND(AH$5&gt;$E84,AH$5&lt;=$F84),IF(AH$5=$E84+1,$C84,""),"")</f>
        <v/>
      </c>
      <c r="AI84" s="34">
        <f>IF(AND(AI$5&gt;$E84,AI$5&lt;=$F84),IF(AI$5=$E84+1,$C84,""),"")</f>
        <v/>
      </c>
      <c r="AJ84" s="34">
        <f>IF(AND(AJ$5&gt;$E84,AJ$5&lt;=$F84),IF(AJ$5=$E84+1,$C84,""),"")</f>
        <v/>
      </c>
      <c r="AK84" s="34">
        <f>IF(AND(AK$5&gt;$E84,AK$5&lt;=$F84),IF(AK$5=$E84+1,$C84,""),"")</f>
        <v/>
      </c>
      <c r="AL84" s="34">
        <f>IF(AND(AL$5&gt;$E84,AL$5&lt;=$F84),IF(AL$5=$E84+1,$C84,""),"")</f>
        <v/>
      </c>
      <c r="AM84" s="34">
        <f>IF(AND(AM$5&gt;$E84,AM$5&lt;=$F84),IF(AM$5=$E84+1,$C84,""),"")</f>
        <v/>
      </c>
      <c r="AN84" s="34">
        <f>IF(AND(AN$5&gt;$E84,AN$5&lt;=$F84),IF(AN$5=$E84+1,$C84,""),"")</f>
        <v/>
      </c>
      <c r="AO84" s="34">
        <f>IF(AND(AO$5&gt;$E84,AO$5&lt;=$F84),IF(AO$5=$E84+1,$C84,""),"")</f>
        <v/>
      </c>
      <c r="AP84" s="34">
        <f>IF(AND(AP$5&gt;$E84,AP$5&lt;=$F84),IF(AP$5=$E84+1,$C84,""),"")</f>
        <v/>
      </c>
      <c r="AQ84" s="34">
        <f>IF(AND(AQ$5&gt;$E84,AQ$5&lt;=$F84),IF(AQ$5=$E84+1,$C84,""),"")</f>
        <v/>
      </c>
      <c r="AR84" s="34">
        <f>IF(AND(AR$5&gt;$E84,AR$5&lt;=$F84),IF(AR$5=$E84+1,$C84,""),"")</f>
        <v/>
      </c>
      <c r="AS84" s="34">
        <f>IF(AND(AS$5&gt;$E84,AS$5&lt;=$F84),IF(AS$5=$E84+1,$C84,""),"")</f>
        <v/>
      </c>
      <c r="AT84" s="34">
        <f>IF(AND(AT$5&gt;$E84,AT$5&lt;=$F84),IF(AT$5=$E84+1,$C84,""),"")</f>
        <v/>
      </c>
      <c r="AU84" s="34">
        <f>IF(AND(AU$5&gt;$E84,AU$5&lt;=$F84),IF(AU$5=$E84+1,$C84,""),"")</f>
        <v/>
      </c>
      <c r="AV84" s="34">
        <f>IF(AND(AV$5&gt;$E84,AV$5&lt;=$F84),IF(AV$5=$E84+1,$C84,""),"")</f>
        <v/>
      </c>
      <c r="AW84" s="34">
        <f>IF(AND(AW$5&gt;$E84,AW$5&lt;=$F84),IF(AW$5=$E84+1,$C84,""),"")</f>
        <v/>
      </c>
      <c r="AX84" s="34">
        <f>IF(AND(AX$5&gt;$E84,AX$5&lt;=$F84),IF(AX$5=$E84+1,$C84,""),"")</f>
        <v/>
      </c>
      <c r="AY84" s="34">
        <f>IF(AND(AY$5&gt;$E84,AY$5&lt;=$F84),IF(AY$5=$E84+1,$C84,""),"")</f>
        <v/>
      </c>
      <c r="AZ84" s="34">
        <f>IF(AND(AZ$5&gt;$E84,AZ$5&lt;=$F84),IF(AZ$5=$E84+1,$C84,""),"")</f>
        <v/>
      </c>
      <c r="BA84" s="34">
        <f>IF(AND(BA$5&gt;$E84,BA$5&lt;=$F84),IF(BA$5=$E84+1,$C84,""),"")</f>
        <v/>
      </c>
      <c r="BB84" s="34">
        <f>IF(AND(BB$5&gt;$E84,BB$5&lt;=$F84),IF(BB$5=$E84+1,$C84,""),"")</f>
        <v/>
      </c>
      <c r="BC84" s="34">
        <f>IF(AND(BC$5&gt;$E84,BC$5&lt;=$F84),IF(BC$5=$E84+1,$C84,""),"")</f>
        <v/>
      </c>
      <c r="BD84" s="34">
        <f>IF(AND(BD$5&gt;$E84,BD$5&lt;=$F84),IF(BD$5=$E84+1,$C84,""),"")</f>
        <v/>
      </c>
      <c r="BE84" s="34">
        <f>IF(AND(BE$5&gt;$E84,BE$5&lt;=$F84),IF(BE$5=$E84+1,$C84,""),"")</f>
        <v/>
      </c>
      <c r="BF84" s="34">
        <f>IF(AND(BF$5&gt;$E84,BF$5&lt;=$F84),IF(BF$5=$E84+1,$C84,""),"")</f>
        <v/>
      </c>
      <c r="BG84" s="34">
        <f>IF(AND(BG$5&gt;$E84,BG$5&lt;=$F84),IF(BG$5=$E84+1,$C84,""),"")</f>
        <v/>
      </c>
      <c r="BH84" s="34">
        <f>IF(AND(BH$5&gt;$E84,BH$5&lt;=$F84),IF(BH$5=$E84+1,$C84,""),"")</f>
        <v/>
      </c>
      <c r="BI84" s="34">
        <f>IF(AND(BI$5&gt;$E84,BI$5&lt;=$F84),IF(BI$5=$E84+1,$C84,""),"")</f>
        <v/>
      </c>
      <c r="BJ84" s="34">
        <f>IF(AND(BJ$5&gt;$E84,BJ$5&lt;=$F84),IF(BJ$5=$E84+1,$C84,""),"")</f>
        <v/>
      </c>
      <c r="BK84" s="34">
        <f>IF(AND(BK$5&gt;$E84,BK$5&lt;=$F84),IF(BK$5=$E84+1,$C84,""),"")</f>
        <v/>
      </c>
      <c r="BL84" s="34">
        <f>IF(AND(BL$5&gt;$E84,BL$5&lt;=$F84),IF(BL$5=$E84+1,$C84,""),"")</f>
        <v/>
      </c>
      <c r="BM84" s="34">
        <f>IF(AND(BM$5&gt;$E84,BM$5&lt;=$F84),IF(BM$5=$E84+1,$C84,""),"")</f>
        <v/>
      </c>
      <c r="BN84" s="34">
        <f>IF(AND(BN$5&gt;$E84,BN$5&lt;=$F84),IF(BN$5=$E84+1,$C84,""),"")</f>
        <v/>
      </c>
      <c r="BO84" s="34">
        <f>IF(AND(BO$5&gt;$E84,BO$5&lt;=$F84),IF(BO$5=$E84+1,$C84,""),"")</f>
        <v/>
      </c>
      <c r="BP84" s="34">
        <f>IF(AND(BP$5&gt;$E84,BP$5&lt;=$F84),IF(BP$5=$E84+1,$C84,""),"")</f>
        <v/>
      </c>
      <c r="BQ84" s="34">
        <f>IF(AND(BQ$5&gt;$E84,BQ$5&lt;=$F84),IF(BQ$5=$E84+1,$C84,""),"")</f>
        <v/>
      </c>
      <c r="BR84" s="34">
        <f>IF(AND(BR$5&gt;$E84,BR$5&lt;=$F84),IF(BR$5=$E84+1,$C84,""),"")</f>
        <v/>
      </c>
      <c r="BS84" s="34">
        <f>IF(AND(BS$5&gt;$E84,BS$5&lt;=$F84),IF(BS$5=$E84+1,$C84,""),"")</f>
        <v/>
      </c>
      <c r="BT84" s="34">
        <f>IF(AND(BT$5&gt;$E84,BT$5&lt;=$F84),IF(BT$5=$E84+1,$C84,""),"")</f>
        <v/>
      </c>
      <c r="BU84" s="34">
        <f>IF(AND(BU$5&gt;$E84,BU$5&lt;=$F84),IF(BU$5=$E84+1,$C84,""),"")</f>
        <v/>
      </c>
      <c r="BV84" s="34">
        <f>IF(AND(BV$5&gt;$E84,BV$5&lt;=$F84),IF(BV$5=$E84+1,$C84,""),"")</f>
        <v/>
      </c>
      <c r="BW84" s="34">
        <f>IF(AND(BW$5&gt;$E84,BW$5&lt;=$F84),IF(BW$5=$E84+1,$C84,""),"")</f>
        <v/>
      </c>
      <c r="BX84" s="34">
        <f>IF(AND(BX$5&gt;$E84,BX$5&lt;=$F84),IF(BX$5=$E84+1,$C84,""),"")</f>
        <v/>
      </c>
      <c r="BY84" s="34">
        <f>IF(AND(BY$5&gt;$E84,BY$5&lt;=$F84),IF(BY$5=$E84+1,$C84,""),"")</f>
        <v/>
      </c>
      <c r="BZ84" s="34">
        <f>IF(AND(BZ$5&gt;$E84,BZ$5&lt;=$F84),IF(BZ$5=$E84+1,$C84,""),"")</f>
        <v/>
      </c>
      <c r="CA84" s="34">
        <f>IF(AND(CA$5&gt;$E84,CA$5&lt;=$F84),IF(CA$5=$E84+1,$C84,""),"")</f>
        <v/>
      </c>
      <c r="CB84" s="34">
        <f>IF(AND(CB$5&gt;$E84,CB$5&lt;=$F84),IF(CB$5=$E84+1,$C84,""),"")</f>
        <v/>
      </c>
      <c r="CC84" s="34">
        <f>IF(AND(CC$5&gt;$E84,CC$5&lt;=$F84),IF(CC$5=$E84+1,$C84,""),"")</f>
        <v/>
      </c>
      <c r="CD84" s="34">
        <f>IF(AND(CD$5&gt;$E84,CD$5&lt;=$F84),IF(CD$5=$E84+1,$C84,""),"")</f>
        <v/>
      </c>
      <c r="CE84" s="34">
        <f>IF(AND(CE$5&gt;$E84,CE$5&lt;=$F84),IF(CE$5=$E84+1,$C84,""),"")</f>
        <v/>
      </c>
      <c r="CF84" s="34">
        <f>IF(AND(CF$5&gt;$E84,CF$5&lt;=$F84),IF(CF$5=$E84+1,$C84,""),"")</f>
        <v/>
      </c>
      <c r="CG84" s="34">
        <f>IF(AND(CG$5&gt;$E84,CG$5&lt;=$F84),IF(CG$5=$E84+1,$C84,""),"")</f>
        <v/>
      </c>
      <c r="CH84" s="34">
        <f>IF(AND(CH$5&gt;$E84,CH$5&lt;=$F84),IF(CH$5=$E84+1,$C84,""),"")</f>
        <v/>
      </c>
      <c r="CI84" s="34">
        <f>IF(AND(CI$5&gt;$E84,CI$5&lt;=$F84),IF(CI$5=$E84+1,$C84,""),"")</f>
        <v/>
      </c>
      <c r="CJ84" s="34">
        <f>IF(AND(CJ$5&gt;$E84,CJ$5&lt;=$F84),IF(CJ$5=$E84+1,$C84,""),"")</f>
        <v/>
      </c>
      <c r="CK84" s="34">
        <f>IF(AND(CK$5&gt;$E84,CK$5&lt;=$F84),IF(CK$5=$E84+1,$C84,""),"")</f>
        <v/>
      </c>
      <c r="CL84" s="34">
        <f>IF(AND(CL$5&gt;$E84,CL$5&lt;=$F84),IF(CL$5=$E84+1,$C84,""),"")</f>
        <v/>
      </c>
      <c r="CM84" s="34">
        <f>IF(AND(CM$5&gt;$E84,CM$5&lt;=$F84),IF(CM$5=$E84+1,$C84,""),"")</f>
        <v/>
      </c>
      <c r="CN84" s="34">
        <f>IF(AND(CN$5&gt;$E84,CN$5&lt;=$F84),IF(CN$5=$E84+1,$C84,""),"")</f>
        <v/>
      </c>
      <c r="CO84" s="34">
        <f>IF(AND(CO$5&gt;$E84,CO$5&lt;=$F84),IF(CO$5=$E84+1,$C84,""),"")</f>
        <v/>
      </c>
      <c r="CP84" s="34">
        <f>IF(AND(CP$5&gt;$E84,CP$5&lt;=$F84),IF(CP$5=$E84+1,$C84,""),"")</f>
        <v/>
      </c>
      <c r="CQ84" s="34">
        <f>IF(AND(CQ$5&gt;$E84,CQ$5&lt;=$F84),IF(CQ$5=$E84+1,$C84,""),"")</f>
        <v/>
      </c>
      <c r="CR84" s="34">
        <f>IF(AND(CR$5&gt;$E84,CR$5&lt;=$F84),IF(CR$5=$E84+1,$C84,""),"")</f>
        <v/>
      </c>
      <c r="CS84" s="34">
        <f>IF(AND(CS$5&gt;$E84,CS$5&lt;=$F84),IF(CS$5=$E84+1,$C84,""),"")</f>
        <v/>
      </c>
      <c r="CT84" s="34">
        <f>IF(AND(CT$5&gt;$E84,CT$5&lt;=$F84),IF(CT$5=$E84+1,$C84,""),"")</f>
        <v/>
      </c>
      <c r="CU84" s="34">
        <f>IF(AND(CU$5&gt;$E84,CU$5&lt;=$F84),IF(CU$5=$E84+1,$C84,""),"")</f>
        <v/>
      </c>
      <c r="CV84" s="34">
        <f>IF(AND(CV$5&gt;$E84,CV$5&lt;=$F84),IF(CV$5=$E84+1,$C84,""),"")</f>
        <v/>
      </c>
      <c r="CW84" s="34">
        <f>IF(AND(CW$5&gt;$E84,CW$5&lt;=$F84),IF(CW$5=$E84+1,$C84,""),"")</f>
        <v/>
      </c>
      <c r="CX84" s="34">
        <f>IF(AND(CX$5&gt;$E84,CX$5&lt;=$F84),IF(CX$5=$E84+1,$C84,""),"")</f>
        <v/>
      </c>
      <c r="CY84" s="34">
        <f>IF(AND(CY$5&gt;$E84,CY$5&lt;=$F84),IF(CY$5=$E84+1,$C84,""),"")</f>
        <v/>
      </c>
      <c r="CZ84" s="34">
        <f>IF(AND(CZ$5&gt;$E84,CZ$5&lt;=$F84),IF(CZ$5=$E84+1,$C84,""),"")</f>
        <v/>
      </c>
      <c r="DA84" s="34">
        <f>IF(AND(DA$5&gt;$E84,DA$5&lt;=$F84),IF(DA$5=$E84+1,$C84,""),"")</f>
        <v/>
      </c>
      <c r="DB84" s="34">
        <f>IF(AND(DB$5&gt;$E84,DB$5&lt;=$F84),IF(DB$5=$E84+1,$C84,""),"")</f>
        <v/>
      </c>
      <c r="DC84" s="34">
        <f>IF(AND(DC$5&gt;$E84,DC$5&lt;=$F84),IF(DC$5=$E84+1,$C84,""),"")</f>
        <v/>
      </c>
      <c r="DD84" s="34">
        <f>IF(AND(DD$5&gt;$E84,DD$5&lt;=$F84),IF(DD$5=$E84+1,$C84,""),"")</f>
        <v/>
      </c>
      <c r="DE84" s="34">
        <f>IF(AND(DE$5&gt;$E84,DE$5&lt;=$F84),IF(DE$5=$E84+1,$C84,""),"")</f>
        <v/>
      </c>
      <c r="DF84" s="34">
        <f>IF(AND(DF$5&gt;$E84,DF$5&lt;=$F84),IF(DF$5=$E84+1,$C84,""),"")</f>
        <v/>
      </c>
      <c r="DG84" s="34">
        <f>IF(AND(DG$5&gt;$E84,DG$5&lt;=$F84),IF(DG$5=$E84+1,$C84,""),"")</f>
        <v/>
      </c>
      <c r="DH84" s="34">
        <f>IF(AND(DH$5&gt;$E84,DH$5&lt;=$F84),IF(DH$5=$E84+1,$C84,""),"")</f>
        <v/>
      </c>
      <c r="DI84" s="34">
        <f>IF(AND(DI$5&gt;$E84,DI$5&lt;=$F84),IF(DI$5=$E84+1,$C84,""),"")</f>
        <v/>
      </c>
      <c r="DJ84" s="34">
        <f>IF(AND(DJ$5&gt;$E84,DJ$5&lt;=$F84),IF(DJ$5=$E84+1,$C84,""),"")</f>
        <v/>
      </c>
      <c r="DK84" s="34">
        <f>IF(AND(DK$5&gt;$E84,DK$5&lt;=$F84),IF(DK$5=$E84+1,$C84,""),"")</f>
        <v/>
      </c>
      <c r="DL84" s="34">
        <f>IF(AND(DL$5&gt;$E84,DL$5&lt;=$F84),IF(DL$5=$E84+1,$C84,""),"")</f>
        <v/>
      </c>
      <c r="DM84" s="34">
        <f>IF(AND(DM$5&gt;$E84,DM$5&lt;=$F84),IF(DM$5=$E84+1,$C84,""),"")</f>
        <v/>
      </c>
      <c r="DN84" s="34">
        <f>IF(AND(DN$5&gt;$E84,DN$5&lt;=$F84),IF(DN$5=$E84+1,$C84,""),"")</f>
        <v/>
      </c>
      <c r="DO84" s="34">
        <f>IF(AND(DO$5&gt;$E84,DO$5&lt;=$F84),IF(DO$5=$E84+1,$C84,""),"")</f>
        <v/>
      </c>
      <c r="DP84" s="34">
        <f>IF(AND(DP$5&gt;$E84,DP$5&lt;=$F84),IF(DP$5=$E84+1,$C84,""),"")</f>
        <v/>
      </c>
      <c r="DQ84" s="34">
        <f>IF(AND(DQ$5&gt;$E84,DQ$5&lt;=$F84),IF(DQ$5=$E84+1,$C84,""),"")</f>
        <v/>
      </c>
      <c r="DR84" s="34">
        <f>IF(AND(DR$5&gt;$E84,DR$5&lt;=$F84),IF(DR$5=$E84+1,$C84,""),"")</f>
        <v/>
      </c>
      <c r="DS84" s="34">
        <f>IF(AND(DS$5&gt;$E84,DS$5&lt;=$F84),IF(DS$5=$E84+1,$C84,""),"")</f>
        <v/>
      </c>
      <c r="DT84" s="34">
        <f>IF(AND(DT$5&gt;$E84,DT$5&lt;=$F84),IF(DT$5=$E84+1,$C84,""),"")</f>
        <v/>
      </c>
      <c r="DU84" s="34">
        <f>IF(AND(DU$5&gt;$E84,DU$5&lt;=$F84),IF(DU$5=$E84+1,$C84,""),"")</f>
        <v/>
      </c>
      <c r="DV84" s="34">
        <f>IF(AND(DV$5&gt;$E84,DV$5&lt;=$F84),IF(DV$5=$E84+1,$C84,""),"")</f>
        <v/>
      </c>
      <c r="DW84" s="34">
        <f>IF(AND(DW$5&gt;$E84,DW$5&lt;=$F84),IF(DW$5=$E84+1,$C84,""),"")</f>
        <v/>
      </c>
      <c r="DX84" s="34">
        <f>IF(AND(DX$5&gt;$E84,DX$5&lt;=$F84),IF(DX$5=$E84+1,$C84,""),"")</f>
        <v/>
      </c>
      <c r="DY84" s="34">
        <f>IF(AND(DY$5&gt;$E84,DY$5&lt;=$F84),IF(DY$5=$E84+1,$C84,""),"")</f>
        <v/>
      </c>
      <c r="DZ84" s="34">
        <f>IF(AND(DZ$5&gt;$E84,DZ$5&lt;=$F84),IF(DZ$5=$E84+1,$C84,""),"")</f>
        <v/>
      </c>
      <c r="EA84" s="34">
        <f>IF(AND(EA$5&gt;$E84,EA$5&lt;=$F84),IF(EA$5=$E84+1,$C84,""),"")</f>
        <v/>
      </c>
      <c r="EB84" s="34">
        <f>IF(AND(EB$5&gt;$E84,EB$5&lt;=$F84),IF(EB$5=$E84+1,$C84,""),"")</f>
        <v/>
      </c>
      <c r="EC84" s="34">
        <f>IF(AND(EC$5&gt;$E84,EC$5&lt;=$F84),IF(EC$5=$E84+1,$C84,""),"")</f>
        <v/>
      </c>
      <c r="ED84" s="34">
        <f>IF(AND(ED$5&gt;$E84,ED$5&lt;=$F84),IF(ED$5=$E84+1,$C84,""),"")</f>
        <v/>
      </c>
      <c r="EE84" s="34">
        <f>IF(AND(EE$5&gt;$E84,EE$5&lt;=$F84),IF(EE$5=$E84+1,$C84,""),"")</f>
        <v/>
      </c>
      <c r="EF84" s="34">
        <f>IF(AND(EF$5&gt;$E84,EF$5&lt;=$F84),IF(EF$5=$E84+1,$C84,""),"")</f>
        <v/>
      </c>
      <c r="EG84" s="34">
        <f>IF(AND(EG$5&gt;$E84,EG$5&lt;=$F84),IF(EG$5=$E84+1,$C84,""),"")</f>
        <v/>
      </c>
      <c r="EH84" s="34">
        <f>IF(AND(EH$5&gt;$E84,EH$5&lt;=$F84),IF(EH$5=$E84+1,$C84,""),"")</f>
        <v/>
      </c>
      <c r="EI84" s="34">
        <f>IF(AND(EI$5&gt;$E84,EI$5&lt;=$F84),IF(EI$5=$E84+1,$C84,""),"")</f>
        <v/>
      </c>
      <c r="EJ84" s="34">
        <f>IF(AND(EJ$5&gt;$E84,EJ$5&lt;=$F84),IF(EJ$5=$E84+1,$C84,""),"")</f>
        <v/>
      </c>
      <c r="EK84" s="34">
        <f>IF(AND(EK$5&gt;$E84,EK$5&lt;=$F84),IF(EK$5=$E84+1,$C84,""),"")</f>
        <v/>
      </c>
      <c r="EL84" s="34">
        <f>IF(AND(EL$5&gt;$E84,EL$5&lt;=$F84),IF(EL$5=$E84+1,$C84,""),"")</f>
        <v/>
      </c>
      <c r="EM84" s="34">
        <f>IF(AND(EM$5&gt;$E84,EM$5&lt;=$F84),IF(EM$5=$E84+1,$C84,""),"")</f>
        <v/>
      </c>
      <c r="EN84" s="34">
        <f>IF(AND(EN$5&gt;$E84,EN$5&lt;=$F84),IF(EN$5=$E84+1,$C84,""),"")</f>
        <v/>
      </c>
      <c r="EO84" s="34">
        <f>IF(AND(EO$5&gt;$E84,EO$5&lt;=$F84),IF(EO$5=$E84+1,$C84,""),"")</f>
        <v/>
      </c>
      <c r="EP84" s="34">
        <f>IF(AND(EP$5&gt;$E84,EP$5&lt;=$F84),IF(EP$5=$E84+1,$C84,""),"")</f>
        <v/>
      </c>
      <c r="EQ84" s="34">
        <f>IF(AND(EQ$5&gt;$E84,EQ$5&lt;=$F84),IF(EQ$5=$E84+1,$C84,""),"")</f>
        <v/>
      </c>
      <c r="ER84" s="34">
        <f>IF(AND(ER$5&gt;$E84,ER$5&lt;=$F84),IF(ER$5=$E84+1,$C84,""),"")</f>
        <v/>
      </c>
      <c r="ES84" s="34">
        <f>IF(AND(ES$5&gt;$E84,ES$5&lt;=$F84),IF(ES$5=$E84+1,$C84,""),"")</f>
        <v/>
      </c>
      <c r="ET84" s="34">
        <f>IF(AND(ET$5&gt;$E84,ET$5&lt;=$F84),IF(ET$5=$E84+1,$C84,""),"")</f>
        <v/>
      </c>
      <c r="EU84" s="34">
        <f>IF(AND(EU$5&gt;$E84,EU$5&lt;=$F84),IF(EU$5=$E84+1,$C84,""),"")</f>
        <v/>
      </c>
      <c r="EV84" s="34">
        <f>IF(AND(EV$5&gt;$E84,EV$5&lt;=$F84),IF(EV$5=$E84+1,$C84,""),"")</f>
        <v/>
      </c>
      <c r="EW84" s="34">
        <f>IF(AND(EW$5&gt;$E84,EW$5&lt;=$F84),IF(EW$5=$E84+1,$C84,""),"")</f>
        <v/>
      </c>
      <c r="EX84" s="34">
        <f>IF(AND(EX$5&gt;$E84,EX$5&lt;=$F84),IF(EX$5=$E84+1,$C84,""),"")</f>
        <v/>
      </c>
      <c r="EY84" s="34">
        <f>IF(AND(EY$5&gt;$E84,EY$5&lt;=$F84),IF(EY$5=$E84+1,$C84,""),"")</f>
        <v/>
      </c>
      <c r="EZ84" s="34">
        <f>IF(AND(EZ$5&gt;$E84,EZ$5&lt;=$F84),IF(EZ$5=$E84+1,$C84,""),"")</f>
        <v/>
      </c>
      <c r="FA84" s="34">
        <f>IF(AND(FA$5&gt;$E84,FA$5&lt;=$F84),IF(FA$5=$E84+1,$C84,""),"")</f>
        <v/>
      </c>
    </row>
    <row r="85">
      <c r="A85" s="32">
        <f>Plan!A57</f>
        <v/>
      </c>
      <c r="B85" s="33">
        <f>Plan!C57</f>
        <v/>
      </c>
      <c r="C85" s="16">
        <f>Plan!D57</f>
        <v/>
      </c>
      <c r="D85" s="16">
        <f>Plan!I57</f>
        <v/>
      </c>
      <c r="E85" s="16">
        <f>Plan!K57</f>
        <v/>
      </c>
      <c r="F85" s="16">
        <f>Plan!L57</f>
        <v/>
      </c>
      <c r="G85" s="16">
        <f>Plan!O57</f>
        <v/>
      </c>
      <c r="H85" s="34">
        <f>IF(AND(H$5&gt;$E85,H$5&lt;=$F85),IF(H$5=$E85+1,$C85,""),"")</f>
        <v/>
      </c>
      <c r="I85" s="34">
        <f>IF(AND(I$5&gt;$E85,I$5&lt;=$F85),IF(I$5=$E85+1,$C85,""),"")</f>
        <v/>
      </c>
      <c r="J85" s="34">
        <f>IF(AND(J$5&gt;$E85,J$5&lt;=$F85),IF(J$5=$E85+1,$C85,""),"")</f>
        <v/>
      </c>
      <c r="K85" s="34">
        <f>IF(AND(K$5&gt;$E85,K$5&lt;=$F85),IF(K$5=$E85+1,$C85,""),"")</f>
        <v/>
      </c>
      <c r="L85" s="34">
        <f>IF(AND(L$5&gt;$E85,L$5&lt;=$F85),IF(L$5=$E85+1,$C85,""),"")</f>
        <v/>
      </c>
      <c r="M85" s="34">
        <f>IF(AND(M$5&gt;$E85,M$5&lt;=$F85),IF(M$5=$E85+1,$C85,""),"")</f>
        <v/>
      </c>
      <c r="N85" s="34">
        <f>IF(AND(N$5&gt;$E85,N$5&lt;=$F85),IF(N$5=$E85+1,$C85,""),"")</f>
        <v/>
      </c>
      <c r="O85" s="34">
        <f>IF(AND(O$5&gt;$E85,O$5&lt;=$F85),IF(O$5=$E85+1,$C85,""),"")</f>
        <v/>
      </c>
      <c r="P85" s="34">
        <f>IF(AND(P$5&gt;$E85,P$5&lt;=$F85),IF(P$5=$E85+1,$C85,""),"")</f>
        <v/>
      </c>
      <c r="Q85" s="34">
        <f>IF(AND(Q$5&gt;$E85,Q$5&lt;=$F85),IF(Q$5=$E85+1,$C85,""),"")</f>
        <v/>
      </c>
      <c r="R85" s="34">
        <f>IF(AND(R$5&gt;$E85,R$5&lt;=$F85),IF(R$5=$E85+1,$C85,""),"")</f>
        <v/>
      </c>
      <c r="S85" s="34">
        <f>IF(AND(S$5&gt;$E85,S$5&lt;=$F85),IF(S$5=$E85+1,$C85,""),"")</f>
        <v/>
      </c>
      <c r="T85" s="34">
        <f>IF(AND(T$5&gt;$E85,T$5&lt;=$F85),IF(T$5=$E85+1,$C85,""),"")</f>
        <v/>
      </c>
      <c r="U85" s="34">
        <f>IF(AND(U$5&gt;$E85,U$5&lt;=$F85),IF(U$5=$E85+1,$C85,""),"")</f>
        <v/>
      </c>
      <c r="V85" s="34">
        <f>IF(AND(V$5&gt;$E85,V$5&lt;=$F85),IF(V$5=$E85+1,$C85,""),"")</f>
        <v/>
      </c>
      <c r="W85" s="34">
        <f>IF(AND(W$5&gt;$E85,W$5&lt;=$F85),IF(W$5=$E85+1,$C85,""),"")</f>
        <v/>
      </c>
      <c r="X85" s="34">
        <f>IF(AND(X$5&gt;$E85,X$5&lt;=$F85),IF(X$5=$E85+1,$C85,""),"")</f>
        <v/>
      </c>
      <c r="Y85" s="34">
        <f>IF(AND(Y$5&gt;$E85,Y$5&lt;=$F85),IF(Y$5=$E85+1,$C85,""),"")</f>
        <v/>
      </c>
      <c r="Z85" s="34">
        <f>IF(AND(Z$5&gt;$E85,Z$5&lt;=$F85),IF(Z$5=$E85+1,$C85,""),"")</f>
        <v/>
      </c>
      <c r="AA85" s="34">
        <f>IF(AND(AA$5&gt;$E85,AA$5&lt;=$F85),IF(AA$5=$E85+1,$C85,""),"")</f>
        <v/>
      </c>
      <c r="AB85" s="34">
        <f>IF(AND(AB$5&gt;$E85,AB$5&lt;=$F85),IF(AB$5=$E85+1,$C85,""),"")</f>
        <v/>
      </c>
      <c r="AC85" s="34">
        <f>IF(AND(AC$5&gt;$E85,AC$5&lt;=$F85),IF(AC$5=$E85+1,$C85,""),"")</f>
        <v/>
      </c>
      <c r="AD85" s="34">
        <f>IF(AND(AD$5&gt;$E85,AD$5&lt;=$F85),IF(AD$5=$E85+1,$C85,""),"")</f>
        <v/>
      </c>
      <c r="AE85" s="34">
        <f>IF(AND(AE$5&gt;$E85,AE$5&lt;=$F85),IF(AE$5=$E85+1,$C85,""),"")</f>
        <v/>
      </c>
      <c r="AF85" s="34">
        <f>IF(AND(AF$5&gt;$E85,AF$5&lt;=$F85),IF(AF$5=$E85+1,$C85,""),"")</f>
        <v/>
      </c>
      <c r="AG85" s="34">
        <f>IF(AND(AG$5&gt;$E85,AG$5&lt;=$F85),IF(AG$5=$E85+1,$C85,""),"")</f>
        <v/>
      </c>
      <c r="AH85" s="34">
        <f>IF(AND(AH$5&gt;$E85,AH$5&lt;=$F85),IF(AH$5=$E85+1,$C85,""),"")</f>
        <v/>
      </c>
      <c r="AI85" s="34">
        <f>IF(AND(AI$5&gt;$E85,AI$5&lt;=$F85),IF(AI$5=$E85+1,$C85,""),"")</f>
        <v/>
      </c>
      <c r="AJ85" s="34">
        <f>IF(AND(AJ$5&gt;$E85,AJ$5&lt;=$F85),IF(AJ$5=$E85+1,$C85,""),"")</f>
        <v/>
      </c>
      <c r="AK85" s="34">
        <f>IF(AND(AK$5&gt;$E85,AK$5&lt;=$F85),IF(AK$5=$E85+1,$C85,""),"")</f>
        <v/>
      </c>
      <c r="AL85" s="34">
        <f>IF(AND(AL$5&gt;$E85,AL$5&lt;=$F85),IF(AL$5=$E85+1,$C85,""),"")</f>
        <v/>
      </c>
      <c r="AM85" s="34">
        <f>IF(AND(AM$5&gt;$E85,AM$5&lt;=$F85),IF(AM$5=$E85+1,$C85,""),"")</f>
        <v/>
      </c>
      <c r="AN85" s="34">
        <f>IF(AND(AN$5&gt;$E85,AN$5&lt;=$F85),IF(AN$5=$E85+1,$C85,""),"")</f>
        <v/>
      </c>
      <c r="AO85" s="34">
        <f>IF(AND(AO$5&gt;$E85,AO$5&lt;=$F85),IF(AO$5=$E85+1,$C85,""),"")</f>
        <v/>
      </c>
      <c r="AP85" s="34">
        <f>IF(AND(AP$5&gt;$E85,AP$5&lt;=$F85),IF(AP$5=$E85+1,$C85,""),"")</f>
        <v/>
      </c>
      <c r="AQ85" s="34">
        <f>IF(AND(AQ$5&gt;$E85,AQ$5&lt;=$F85),IF(AQ$5=$E85+1,$C85,""),"")</f>
        <v/>
      </c>
      <c r="AR85" s="34">
        <f>IF(AND(AR$5&gt;$E85,AR$5&lt;=$F85),IF(AR$5=$E85+1,$C85,""),"")</f>
        <v/>
      </c>
      <c r="AS85" s="34">
        <f>IF(AND(AS$5&gt;$E85,AS$5&lt;=$F85),IF(AS$5=$E85+1,$C85,""),"")</f>
        <v/>
      </c>
      <c r="AT85" s="34">
        <f>IF(AND(AT$5&gt;$E85,AT$5&lt;=$F85),IF(AT$5=$E85+1,$C85,""),"")</f>
        <v/>
      </c>
      <c r="AU85" s="34">
        <f>IF(AND(AU$5&gt;$E85,AU$5&lt;=$F85),IF(AU$5=$E85+1,$C85,""),"")</f>
        <v/>
      </c>
      <c r="AV85" s="34">
        <f>IF(AND(AV$5&gt;$E85,AV$5&lt;=$F85),IF(AV$5=$E85+1,$C85,""),"")</f>
        <v/>
      </c>
      <c r="AW85" s="34">
        <f>IF(AND(AW$5&gt;$E85,AW$5&lt;=$F85),IF(AW$5=$E85+1,$C85,""),"")</f>
        <v/>
      </c>
      <c r="AX85" s="34">
        <f>IF(AND(AX$5&gt;$E85,AX$5&lt;=$F85),IF(AX$5=$E85+1,$C85,""),"")</f>
        <v/>
      </c>
      <c r="AY85" s="34">
        <f>IF(AND(AY$5&gt;$E85,AY$5&lt;=$F85),IF(AY$5=$E85+1,$C85,""),"")</f>
        <v/>
      </c>
      <c r="AZ85" s="34">
        <f>IF(AND(AZ$5&gt;$E85,AZ$5&lt;=$F85),IF(AZ$5=$E85+1,$C85,""),"")</f>
        <v/>
      </c>
      <c r="BA85" s="34">
        <f>IF(AND(BA$5&gt;$E85,BA$5&lt;=$F85),IF(BA$5=$E85+1,$C85,""),"")</f>
        <v/>
      </c>
      <c r="BB85" s="34">
        <f>IF(AND(BB$5&gt;$E85,BB$5&lt;=$F85),IF(BB$5=$E85+1,$C85,""),"")</f>
        <v/>
      </c>
      <c r="BC85" s="34">
        <f>IF(AND(BC$5&gt;$E85,BC$5&lt;=$F85),IF(BC$5=$E85+1,$C85,""),"")</f>
        <v/>
      </c>
      <c r="BD85" s="34">
        <f>IF(AND(BD$5&gt;$E85,BD$5&lt;=$F85),IF(BD$5=$E85+1,$C85,""),"")</f>
        <v/>
      </c>
      <c r="BE85" s="34">
        <f>IF(AND(BE$5&gt;$E85,BE$5&lt;=$F85),IF(BE$5=$E85+1,$C85,""),"")</f>
        <v/>
      </c>
      <c r="BF85" s="34">
        <f>IF(AND(BF$5&gt;$E85,BF$5&lt;=$F85),IF(BF$5=$E85+1,$C85,""),"")</f>
        <v/>
      </c>
      <c r="BG85" s="34">
        <f>IF(AND(BG$5&gt;$E85,BG$5&lt;=$F85),IF(BG$5=$E85+1,$C85,""),"")</f>
        <v/>
      </c>
      <c r="BH85" s="34">
        <f>IF(AND(BH$5&gt;$E85,BH$5&lt;=$F85),IF(BH$5=$E85+1,$C85,""),"")</f>
        <v/>
      </c>
      <c r="BI85" s="34">
        <f>IF(AND(BI$5&gt;$E85,BI$5&lt;=$F85),IF(BI$5=$E85+1,$C85,""),"")</f>
        <v/>
      </c>
      <c r="BJ85" s="34">
        <f>IF(AND(BJ$5&gt;$E85,BJ$5&lt;=$F85),IF(BJ$5=$E85+1,$C85,""),"")</f>
        <v/>
      </c>
      <c r="BK85" s="34">
        <f>IF(AND(BK$5&gt;$E85,BK$5&lt;=$F85),IF(BK$5=$E85+1,$C85,""),"")</f>
        <v/>
      </c>
      <c r="BL85" s="34">
        <f>IF(AND(BL$5&gt;$E85,BL$5&lt;=$F85),IF(BL$5=$E85+1,$C85,""),"")</f>
        <v/>
      </c>
      <c r="BM85" s="34">
        <f>IF(AND(BM$5&gt;$E85,BM$5&lt;=$F85),IF(BM$5=$E85+1,$C85,""),"")</f>
        <v/>
      </c>
      <c r="BN85" s="34">
        <f>IF(AND(BN$5&gt;$E85,BN$5&lt;=$F85),IF(BN$5=$E85+1,$C85,""),"")</f>
        <v/>
      </c>
      <c r="BO85" s="34">
        <f>IF(AND(BO$5&gt;$E85,BO$5&lt;=$F85),IF(BO$5=$E85+1,$C85,""),"")</f>
        <v/>
      </c>
      <c r="BP85" s="34">
        <f>IF(AND(BP$5&gt;$E85,BP$5&lt;=$F85),IF(BP$5=$E85+1,$C85,""),"")</f>
        <v/>
      </c>
      <c r="BQ85" s="34">
        <f>IF(AND(BQ$5&gt;$E85,BQ$5&lt;=$F85),IF(BQ$5=$E85+1,$C85,""),"")</f>
        <v/>
      </c>
      <c r="BR85" s="34">
        <f>IF(AND(BR$5&gt;$E85,BR$5&lt;=$F85),IF(BR$5=$E85+1,$C85,""),"")</f>
        <v/>
      </c>
      <c r="BS85" s="34">
        <f>IF(AND(BS$5&gt;$E85,BS$5&lt;=$F85),IF(BS$5=$E85+1,$C85,""),"")</f>
        <v/>
      </c>
      <c r="BT85" s="34">
        <f>IF(AND(BT$5&gt;$E85,BT$5&lt;=$F85),IF(BT$5=$E85+1,$C85,""),"")</f>
        <v/>
      </c>
      <c r="BU85" s="34">
        <f>IF(AND(BU$5&gt;$E85,BU$5&lt;=$F85),IF(BU$5=$E85+1,$C85,""),"")</f>
        <v/>
      </c>
      <c r="BV85" s="34">
        <f>IF(AND(BV$5&gt;$E85,BV$5&lt;=$F85),IF(BV$5=$E85+1,$C85,""),"")</f>
        <v/>
      </c>
      <c r="BW85" s="34">
        <f>IF(AND(BW$5&gt;$E85,BW$5&lt;=$F85),IF(BW$5=$E85+1,$C85,""),"")</f>
        <v/>
      </c>
      <c r="BX85" s="34">
        <f>IF(AND(BX$5&gt;$E85,BX$5&lt;=$F85),IF(BX$5=$E85+1,$C85,""),"")</f>
        <v/>
      </c>
      <c r="BY85" s="34">
        <f>IF(AND(BY$5&gt;$E85,BY$5&lt;=$F85),IF(BY$5=$E85+1,$C85,""),"")</f>
        <v/>
      </c>
      <c r="BZ85" s="34">
        <f>IF(AND(BZ$5&gt;$E85,BZ$5&lt;=$F85),IF(BZ$5=$E85+1,$C85,""),"")</f>
        <v/>
      </c>
      <c r="CA85" s="34">
        <f>IF(AND(CA$5&gt;$E85,CA$5&lt;=$F85),IF(CA$5=$E85+1,$C85,""),"")</f>
        <v/>
      </c>
      <c r="CB85" s="34">
        <f>IF(AND(CB$5&gt;$E85,CB$5&lt;=$F85),IF(CB$5=$E85+1,$C85,""),"")</f>
        <v/>
      </c>
      <c r="CC85" s="34">
        <f>IF(AND(CC$5&gt;$E85,CC$5&lt;=$F85),IF(CC$5=$E85+1,$C85,""),"")</f>
        <v/>
      </c>
      <c r="CD85" s="34">
        <f>IF(AND(CD$5&gt;$E85,CD$5&lt;=$F85),IF(CD$5=$E85+1,$C85,""),"")</f>
        <v/>
      </c>
      <c r="CE85" s="34">
        <f>IF(AND(CE$5&gt;$E85,CE$5&lt;=$F85),IF(CE$5=$E85+1,$C85,""),"")</f>
        <v/>
      </c>
      <c r="CF85" s="34">
        <f>IF(AND(CF$5&gt;$E85,CF$5&lt;=$F85),IF(CF$5=$E85+1,$C85,""),"")</f>
        <v/>
      </c>
      <c r="CG85" s="34">
        <f>IF(AND(CG$5&gt;$E85,CG$5&lt;=$F85),IF(CG$5=$E85+1,$C85,""),"")</f>
        <v/>
      </c>
      <c r="CH85" s="34">
        <f>IF(AND(CH$5&gt;$E85,CH$5&lt;=$F85),IF(CH$5=$E85+1,$C85,""),"")</f>
        <v/>
      </c>
      <c r="CI85" s="34">
        <f>IF(AND(CI$5&gt;$E85,CI$5&lt;=$F85),IF(CI$5=$E85+1,$C85,""),"")</f>
        <v/>
      </c>
      <c r="CJ85" s="34">
        <f>IF(AND(CJ$5&gt;$E85,CJ$5&lt;=$F85),IF(CJ$5=$E85+1,$C85,""),"")</f>
        <v/>
      </c>
      <c r="CK85" s="34">
        <f>IF(AND(CK$5&gt;$E85,CK$5&lt;=$F85),IF(CK$5=$E85+1,$C85,""),"")</f>
        <v/>
      </c>
      <c r="CL85" s="34">
        <f>IF(AND(CL$5&gt;$E85,CL$5&lt;=$F85),IF(CL$5=$E85+1,$C85,""),"")</f>
        <v/>
      </c>
      <c r="CM85" s="34">
        <f>IF(AND(CM$5&gt;$E85,CM$5&lt;=$F85),IF(CM$5=$E85+1,$C85,""),"")</f>
        <v/>
      </c>
      <c r="CN85" s="34">
        <f>IF(AND(CN$5&gt;$E85,CN$5&lt;=$F85),IF(CN$5=$E85+1,$C85,""),"")</f>
        <v/>
      </c>
      <c r="CO85" s="34">
        <f>IF(AND(CO$5&gt;$E85,CO$5&lt;=$F85),IF(CO$5=$E85+1,$C85,""),"")</f>
        <v/>
      </c>
      <c r="CP85" s="34">
        <f>IF(AND(CP$5&gt;$E85,CP$5&lt;=$F85),IF(CP$5=$E85+1,$C85,""),"")</f>
        <v/>
      </c>
      <c r="CQ85" s="34">
        <f>IF(AND(CQ$5&gt;$E85,CQ$5&lt;=$F85),IF(CQ$5=$E85+1,$C85,""),"")</f>
        <v/>
      </c>
      <c r="CR85" s="34">
        <f>IF(AND(CR$5&gt;$E85,CR$5&lt;=$F85),IF(CR$5=$E85+1,$C85,""),"")</f>
        <v/>
      </c>
      <c r="CS85" s="34">
        <f>IF(AND(CS$5&gt;$E85,CS$5&lt;=$F85),IF(CS$5=$E85+1,$C85,""),"")</f>
        <v/>
      </c>
      <c r="CT85" s="34">
        <f>IF(AND(CT$5&gt;$E85,CT$5&lt;=$F85),IF(CT$5=$E85+1,$C85,""),"")</f>
        <v/>
      </c>
      <c r="CU85" s="34">
        <f>IF(AND(CU$5&gt;$E85,CU$5&lt;=$F85),IF(CU$5=$E85+1,$C85,""),"")</f>
        <v/>
      </c>
      <c r="CV85" s="34">
        <f>IF(AND(CV$5&gt;$E85,CV$5&lt;=$F85),IF(CV$5=$E85+1,$C85,""),"")</f>
        <v/>
      </c>
      <c r="CW85" s="34">
        <f>IF(AND(CW$5&gt;$E85,CW$5&lt;=$F85),IF(CW$5=$E85+1,$C85,""),"")</f>
        <v/>
      </c>
      <c r="CX85" s="34">
        <f>IF(AND(CX$5&gt;$E85,CX$5&lt;=$F85),IF(CX$5=$E85+1,$C85,""),"")</f>
        <v/>
      </c>
      <c r="CY85" s="34">
        <f>IF(AND(CY$5&gt;$E85,CY$5&lt;=$F85),IF(CY$5=$E85+1,$C85,""),"")</f>
        <v/>
      </c>
      <c r="CZ85" s="34">
        <f>IF(AND(CZ$5&gt;$E85,CZ$5&lt;=$F85),IF(CZ$5=$E85+1,$C85,""),"")</f>
        <v/>
      </c>
      <c r="DA85" s="34">
        <f>IF(AND(DA$5&gt;$E85,DA$5&lt;=$F85),IF(DA$5=$E85+1,$C85,""),"")</f>
        <v/>
      </c>
      <c r="DB85" s="34">
        <f>IF(AND(DB$5&gt;$E85,DB$5&lt;=$F85),IF(DB$5=$E85+1,$C85,""),"")</f>
        <v/>
      </c>
      <c r="DC85" s="34">
        <f>IF(AND(DC$5&gt;$E85,DC$5&lt;=$F85),IF(DC$5=$E85+1,$C85,""),"")</f>
        <v/>
      </c>
      <c r="DD85" s="34">
        <f>IF(AND(DD$5&gt;$E85,DD$5&lt;=$F85),IF(DD$5=$E85+1,$C85,""),"")</f>
        <v/>
      </c>
      <c r="DE85" s="34">
        <f>IF(AND(DE$5&gt;$E85,DE$5&lt;=$F85),IF(DE$5=$E85+1,$C85,""),"")</f>
        <v/>
      </c>
      <c r="DF85" s="34">
        <f>IF(AND(DF$5&gt;$E85,DF$5&lt;=$F85),IF(DF$5=$E85+1,$C85,""),"")</f>
        <v/>
      </c>
      <c r="DG85" s="34">
        <f>IF(AND(DG$5&gt;$E85,DG$5&lt;=$F85),IF(DG$5=$E85+1,$C85,""),"")</f>
        <v/>
      </c>
      <c r="DH85" s="34">
        <f>IF(AND(DH$5&gt;$E85,DH$5&lt;=$F85),IF(DH$5=$E85+1,$C85,""),"")</f>
        <v/>
      </c>
      <c r="DI85" s="34">
        <f>IF(AND(DI$5&gt;$E85,DI$5&lt;=$F85),IF(DI$5=$E85+1,$C85,""),"")</f>
        <v/>
      </c>
      <c r="DJ85" s="34">
        <f>IF(AND(DJ$5&gt;$E85,DJ$5&lt;=$F85),IF(DJ$5=$E85+1,$C85,""),"")</f>
        <v/>
      </c>
      <c r="DK85" s="34">
        <f>IF(AND(DK$5&gt;$E85,DK$5&lt;=$F85),IF(DK$5=$E85+1,$C85,""),"")</f>
        <v/>
      </c>
      <c r="DL85" s="34">
        <f>IF(AND(DL$5&gt;$E85,DL$5&lt;=$F85),IF(DL$5=$E85+1,$C85,""),"")</f>
        <v/>
      </c>
      <c r="DM85" s="34">
        <f>IF(AND(DM$5&gt;$E85,DM$5&lt;=$F85),IF(DM$5=$E85+1,$C85,""),"")</f>
        <v/>
      </c>
      <c r="DN85" s="34">
        <f>IF(AND(DN$5&gt;$E85,DN$5&lt;=$F85),IF(DN$5=$E85+1,$C85,""),"")</f>
        <v/>
      </c>
      <c r="DO85" s="34">
        <f>IF(AND(DO$5&gt;$E85,DO$5&lt;=$F85),IF(DO$5=$E85+1,$C85,""),"")</f>
        <v/>
      </c>
      <c r="DP85" s="34">
        <f>IF(AND(DP$5&gt;$E85,DP$5&lt;=$F85),IF(DP$5=$E85+1,$C85,""),"")</f>
        <v/>
      </c>
      <c r="DQ85" s="34">
        <f>IF(AND(DQ$5&gt;$E85,DQ$5&lt;=$F85),IF(DQ$5=$E85+1,$C85,""),"")</f>
        <v/>
      </c>
      <c r="DR85" s="34">
        <f>IF(AND(DR$5&gt;$E85,DR$5&lt;=$F85),IF(DR$5=$E85+1,$C85,""),"")</f>
        <v/>
      </c>
      <c r="DS85" s="34">
        <f>IF(AND(DS$5&gt;$E85,DS$5&lt;=$F85),IF(DS$5=$E85+1,$C85,""),"")</f>
        <v/>
      </c>
      <c r="DT85" s="34">
        <f>IF(AND(DT$5&gt;$E85,DT$5&lt;=$F85),IF(DT$5=$E85+1,$C85,""),"")</f>
        <v/>
      </c>
      <c r="DU85" s="34">
        <f>IF(AND(DU$5&gt;$E85,DU$5&lt;=$F85),IF(DU$5=$E85+1,$C85,""),"")</f>
        <v/>
      </c>
      <c r="DV85" s="34">
        <f>IF(AND(DV$5&gt;$E85,DV$5&lt;=$F85),IF(DV$5=$E85+1,$C85,""),"")</f>
        <v/>
      </c>
      <c r="DW85" s="34">
        <f>IF(AND(DW$5&gt;$E85,DW$5&lt;=$F85),IF(DW$5=$E85+1,$C85,""),"")</f>
        <v/>
      </c>
      <c r="DX85" s="34">
        <f>IF(AND(DX$5&gt;$E85,DX$5&lt;=$F85),IF(DX$5=$E85+1,$C85,""),"")</f>
        <v/>
      </c>
      <c r="DY85" s="34">
        <f>IF(AND(DY$5&gt;$E85,DY$5&lt;=$F85),IF(DY$5=$E85+1,$C85,""),"")</f>
        <v/>
      </c>
      <c r="DZ85" s="34">
        <f>IF(AND(DZ$5&gt;$E85,DZ$5&lt;=$F85),IF(DZ$5=$E85+1,$C85,""),"")</f>
        <v/>
      </c>
      <c r="EA85" s="34">
        <f>IF(AND(EA$5&gt;$E85,EA$5&lt;=$F85),IF(EA$5=$E85+1,$C85,""),"")</f>
        <v/>
      </c>
      <c r="EB85" s="34">
        <f>IF(AND(EB$5&gt;$E85,EB$5&lt;=$F85),IF(EB$5=$E85+1,$C85,""),"")</f>
        <v/>
      </c>
      <c r="EC85" s="34">
        <f>IF(AND(EC$5&gt;$E85,EC$5&lt;=$F85),IF(EC$5=$E85+1,$C85,""),"")</f>
        <v/>
      </c>
      <c r="ED85" s="34">
        <f>IF(AND(ED$5&gt;$E85,ED$5&lt;=$F85),IF(ED$5=$E85+1,$C85,""),"")</f>
        <v/>
      </c>
      <c r="EE85" s="34">
        <f>IF(AND(EE$5&gt;$E85,EE$5&lt;=$F85),IF(EE$5=$E85+1,$C85,""),"")</f>
        <v/>
      </c>
      <c r="EF85" s="34">
        <f>IF(AND(EF$5&gt;$E85,EF$5&lt;=$F85),IF(EF$5=$E85+1,$C85,""),"")</f>
        <v/>
      </c>
      <c r="EG85" s="34">
        <f>IF(AND(EG$5&gt;$E85,EG$5&lt;=$F85),IF(EG$5=$E85+1,$C85,""),"")</f>
        <v/>
      </c>
      <c r="EH85" s="34">
        <f>IF(AND(EH$5&gt;$E85,EH$5&lt;=$F85),IF(EH$5=$E85+1,$C85,""),"")</f>
        <v/>
      </c>
      <c r="EI85" s="34">
        <f>IF(AND(EI$5&gt;$E85,EI$5&lt;=$F85),IF(EI$5=$E85+1,$C85,""),"")</f>
        <v/>
      </c>
      <c r="EJ85" s="34">
        <f>IF(AND(EJ$5&gt;$E85,EJ$5&lt;=$F85),IF(EJ$5=$E85+1,$C85,""),"")</f>
        <v/>
      </c>
      <c r="EK85" s="34">
        <f>IF(AND(EK$5&gt;$E85,EK$5&lt;=$F85),IF(EK$5=$E85+1,$C85,""),"")</f>
        <v/>
      </c>
      <c r="EL85" s="34">
        <f>IF(AND(EL$5&gt;$E85,EL$5&lt;=$F85),IF(EL$5=$E85+1,$C85,""),"")</f>
        <v/>
      </c>
      <c r="EM85" s="34">
        <f>IF(AND(EM$5&gt;$E85,EM$5&lt;=$F85),IF(EM$5=$E85+1,$C85,""),"")</f>
        <v/>
      </c>
      <c r="EN85" s="34">
        <f>IF(AND(EN$5&gt;$E85,EN$5&lt;=$F85),IF(EN$5=$E85+1,$C85,""),"")</f>
        <v/>
      </c>
      <c r="EO85" s="34">
        <f>IF(AND(EO$5&gt;$E85,EO$5&lt;=$F85),IF(EO$5=$E85+1,$C85,""),"")</f>
        <v/>
      </c>
      <c r="EP85" s="34">
        <f>IF(AND(EP$5&gt;$E85,EP$5&lt;=$F85),IF(EP$5=$E85+1,$C85,""),"")</f>
        <v/>
      </c>
      <c r="EQ85" s="34">
        <f>IF(AND(EQ$5&gt;$E85,EQ$5&lt;=$F85),IF(EQ$5=$E85+1,$C85,""),"")</f>
        <v/>
      </c>
      <c r="ER85" s="34">
        <f>IF(AND(ER$5&gt;$E85,ER$5&lt;=$F85),IF(ER$5=$E85+1,$C85,""),"")</f>
        <v/>
      </c>
      <c r="ES85" s="34">
        <f>IF(AND(ES$5&gt;$E85,ES$5&lt;=$F85),IF(ES$5=$E85+1,$C85,""),"")</f>
        <v/>
      </c>
      <c r="ET85" s="34">
        <f>IF(AND(ET$5&gt;$E85,ET$5&lt;=$F85),IF(ET$5=$E85+1,$C85,""),"")</f>
        <v/>
      </c>
      <c r="EU85" s="34">
        <f>IF(AND(EU$5&gt;$E85,EU$5&lt;=$F85),IF(EU$5=$E85+1,$C85,""),"")</f>
        <v/>
      </c>
      <c r="EV85" s="34">
        <f>IF(AND(EV$5&gt;$E85,EV$5&lt;=$F85),IF(EV$5=$E85+1,$C85,""),"")</f>
        <v/>
      </c>
      <c r="EW85" s="34">
        <f>IF(AND(EW$5&gt;$E85,EW$5&lt;=$F85),IF(EW$5=$E85+1,$C85,""),"")</f>
        <v/>
      </c>
      <c r="EX85" s="34">
        <f>IF(AND(EX$5&gt;$E85,EX$5&lt;=$F85),IF(EX$5=$E85+1,$C85,""),"")</f>
        <v/>
      </c>
      <c r="EY85" s="34">
        <f>IF(AND(EY$5&gt;$E85,EY$5&lt;=$F85),IF(EY$5=$E85+1,$C85,""),"")</f>
        <v/>
      </c>
      <c r="EZ85" s="34">
        <f>IF(AND(EZ$5&gt;$E85,EZ$5&lt;=$F85),IF(EZ$5=$E85+1,$C85,""),"")</f>
        <v/>
      </c>
      <c r="FA85" s="34">
        <f>IF(AND(FA$5&gt;$E85,FA$5&lt;=$F85),IF(FA$5=$E85+1,$C85,""),"")</f>
        <v/>
      </c>
    </row>
    <row r="86">
      <c r="A86" s="32">
        <f>Plan!A84</f>
        <v/>
      </c>
      <c r="B86" s="33">
        <f>Plan!C84</f>
        <v/>
      </c>
      <c r="C86" s="16">
        <f>Plan!D84</f>
        <v/>
      </c>
      <c r="D86" s="16">
        <f>Plan!I84</f>
        <v/>
      </c>
      <c r="E86" s="16">
        <f>Plan!K84</f>
        <v/>
      </c>
      <c r="F86" s="16">
        <f>Plan!L84</f>
        <v/>
      </c>
      <c r="G86" s="16">
        <f>Plan!O84</f>
        <v/>
      </c>
      <c r="H86" s="34">
        <f>IF(AND(H$5&gt;$E86,H$5&lt;=$F86),IF(H$5=$E86+1,$C86,""),"")</f>
        <v/>
      </c>
      <c r="I86" s="34">
        <f>IF(AND(I$5&gt;$E86,I$5&lt;=$F86),IF(I$5=$E86+1,$C86,""),"")</f>
        <v/>
      </c>
      <c r="J86" s="34">
        <f>IF(AND(J$5&gt;$E86,J$5&lt;=$F86),IF(J$5=$E86+1,$C86,""),"")</f>
        <v/>
      </c>
      <c r="K86" s="34">
        <f>IF(AND(K$5&gt;$E86,K$5&lt;=$F86),IF(K$5=$E86+1,$C86,""),"")</f>
        <v/>
      </c>
      <c r="L86" s="34">
        <f>IF(AND(L$5&gt;$E86,L$5&lt;=$F86),IF(L$5=$E86+1,$C86,""),"")</f>
        <v/>
      </c>
      <c r="M86" s="34">
        <f>IF(AND(M$5&gt;$E86,M$5&lt;=$F86),IF(M$5=$E86+1,$C86,""),"")</f>
        <v/>
      </c>
      <c r="N86" s="34">
        <f>IF(AND(N$5&gt;$E86,N$5&lt;=$F86),IF(N$5=$E86+1,$C86,""),"")</f>
        <v/>
      </c>
      <c r="O86" s="34">
        <f>IF(AND(O$5&gt;$E86,O$5&lt;=$F86),IF(O$5=$E86+1,$C86,""),"")</f>
        <v/>
      </c>
      <c r="P86" s="34">
        <f>IF(AND(P$5&gt;$E86,P$5&lt;=$F86),IF(P$5=$E86+1,$C86,""),"")</f>
        <v/>
      </c>
      <c r="Q86" s="34">
        <f>IF(AND(Q$5&gt;$E86,Q$5&lt;=$F86),IF(Q$5=$E86+1,$C86,""),"")</f>
        <v/>
      </c>
      <c r="R86" s="34">
        <f>IF(AND(R$5&gt;$E86,R$5&lt;=$F86),IF(R$5=$E86+1,$C86,""),"")</f>
        <v/>
      </c>
      <c r="S86" s="34">
        <f>IF(AND(S$5&gt;$E86,S$5&lt;=$F86),IF(S$5=$E86+1,$C86,""),"")</f>
        <v/>
      </c>
      <c r="T86" s="34">
        <f>IF(AND(T$5&gt;$E86,T$5&lt;=$F86),IF(T$5=$E86+1,$C86,""),"")</f>
        <v/>
      </c>
      <c r="U86" s="34">
        <f>IF(AND(U$5&gt;$E86,U$5&lt;=$F86),IF(U$5=$E86+1,$C86,""),"")</f>
        <v/>
      </c>
      <c r="V86" s="34">
        <f>IF(AND(V$5&gt;$E86,V$5&lt;=$F86),IF(V$5=$E86+1,$C86,""),"")</f>
        <v/>
      </c>
      <c r="W86" s="34">
        <f>IF(AND(W$5&gt;$E86,W$5&lt;=$F86),IF(W$5=$E86+1,$C86,""),"")</f>
        <v/>
      </c>
      <c r="X86" s="34">
        <f>IF(AND(X$5&gt;$E86,X$5&lt;=$F86),IF(X$5=$E86+1,$C86,""),"")</f>
        <v/>
      </c>
      <c r="Y86" s="34">
        <f>IF(AND(Y$5&gt;$E86,Y$5&lt;=$F86),IF(Y$5=$E86+1,$C86,""),"")</f>
        <v/>
      </c>
      <c r="Z86" s="34">
        <f>IF(AND(Z$5&gt;$E86,Z$5&lt;=$F86),IF(Z$5=$E86+1,$C86,""),"")</f>
        <v/>
      </c>
      <c r="AA86" s="34">
        <f>IF(AND(AA$5&gt;$E86,AA$5&lt;=$F86),IF(AA$5=$E86+1,$C86,""),"")</f>
        <v/>
      </c>
      <c r="AB86" s="34">
        <f>IF(AND(AB$5&gt;$E86,AB$5&lt;=$F86),IF(AB$5=$E86+1,$C86,""),"")</f>
        <v/>
      </c>
      <c r="AC86" s="34">
        <f>IF(AND(AC$5&gt;$E86,AC$5&lt;=$F86),IF(AC$5=$E86+1,$C86,""),"")</f>
        <v/>
      </c>
      <c r="AD86" s="34">
        <f>IF(AND(AD$5&gt;$E86,AD$5&lt;=$F86),IF(AD$5=$E86+1,$C86,""),"")</f>
        <v/>
      </c>
      <c r="AE86" s="34">
        <f>IF(AND(AE$5&gt;$E86,AE$5&lt;=$F86),IF(AE$5=$E86+1,$C86,""),"")</f>
        <v/>
      </c>
      <c r="AF86" s="34">
        <f>IF(AND(AF$5&gt;$E86,AF$5&lt;=$F86),IF(AF$5=$E86+1,$C86,""),"")</f>
        <v/>
      </c>
      <c r="AG86" s="34">
        <f>IF(AND(AG$5&gt;$E86,AG$5&lt;=$F86),IF(AG$5=$E86+1,$C86,""),"")</f>
        <v/>
      </c>
      <c r="AH86" s="34">
        <f>IF(AND(AH$5&gt;$E86,AH$5&lt;=$F86),IF(AH$5=$E86+1,$C86,""),"")</f>
        <v/>
      </c>
      <c r="AI86" s="34">
        <f>IF(AND(AI$5&gt;$E86,AI$5&lt;=$F86),IF(AI$5=$E86+1,$C86,""),"")</f>
        <v/>
      </c>
      <c r="AJ86" s="34">
        <f>IF(AND(AJ$5&gt;$E86,AJ$5&lt;=$F86),IF(AJ$5=$E86+1,$C86,""),"")</f>
        <v/>
      </c>
      <c r="AK86" s="34">
        <f>IF(AND(AK$5&gt;$E86,AK$5&lt;=$F86),IF(AK$5=$E86+1,$C86,""),"")</f>
        <v/>
      </c>
      <c r="AL86" s="34">
        <f>IF(AND(AL$5&gt;$E86,AL$5&lt;=$F86),IF(AL$5=$E86+1,$C86,""),"")</f>
        <v/>
      </c>
      <c r="AM86" s="34">
        <f>IF(AND(AM$5&gt;$E86,AM$5&lt;=$F86),IF(AM$5=$E86+1,$C86,""),"")</f>
        <v/>
      </c>
      <c r="AN86" s="34">
        <f>IF(AND(AN$5&gt;$E86,AN$5&lt;=$F86),IF(AN$5=$E86+1,$C86,""),"")</f>
        <v/>
      </c>
      <c r="AO86" s="34">
        <f>IF(AND(AO$5&gt;$E86,AO$5&lt;=$F86),IF(AO$5=$E86+1,$C86,""),"")</f>
        <v/>
      </c>
      <c r="AP86" s="34">
        <f>IF(AND(AP$5&gt;$E86,AP$5&lt;=$F86),IF(AP$5=$E86+1,$C86,""),"")</f>
        <v/>
      </c>
      <c r="AQ86" s="34">
        <f>IF(AND(AQ$5&gt;$E86,AQ$5&lt;=$F86),IF(AQ$5=$E86+1,$C86,""),"")</f>
        <v/>
      </c>
      <c r="AR86" s="34">
        <f>IF(AND(AR$5&gt;$E86,AR$5&lt;=$F86),IF(AR$5=$E86+1,$C86,""),"")</f>
        <v/>
      </c>
      <c r="AS86" s="34">
        <f>IF(AND(AS$5&gt;$E86,AS$5&lt;=$F86),IF(AS$5=$E86+1,$C86,""),"")</f>
        <v/>
      </c>
      <c r="AT86" s="34">
        <f>IF(AND(AT$5&gt;$E86,AT$5&lt;=$F86),IF(AT$5=$E86+1,$C86,""),"")</f>
        <v/>
      </c>
      <c r="AU86" s="34">
        <f>IF(AND(AU$5&gt;$E86,AU$5&lt;=$F86),IF(AU$5=$E86+1,$C86,""),"")</f>
        <v/>
      </c>
      <c r="AV86" s="34">
        <f>IF(AND(AV$5&gt;$E86,AV$5&lt;=$F86),IF(AV$5=$E86+1,$C86,""),"")</f>
        <v/>
      </c>
      <c r="AW86" s="34">
        <f>IF(AND(AW$5&gt;$E86,AW$5&lt;=$F86),IF(AW$5=$E86+1,$C86,""),"")</f>
        <v/>
      </c>
      <c r="AX86" s="34">
        <f>IF(AND(AX$5&gt;$E86,AX$5&lt;=$F86),IF(AX$5=$E86+1,$C86,""),"")</f>
        <v/>
      </c>
      <c r="AY86" s="34">
        <f>IF(AND(AY$5&gt;$E86,AY$5&lt;=$F86),IF(AY$5=$E86+1,$C86,""),"")</f>
        <v/>
      </c>
      <c r="AZ86" s="34">
        <f>IF(AND(AZ$5&gt;$E86,AZ$5&lt;=$F86),IF(AZ$5=$E86+1,$C86,""),"")</f>
        <v/>
      </c>
      <c r="BA86" s="34">
        <f>IF(AND(BA$5&gt;$E86,BA$5&lt;=$F86),IF(BA$5=$E86+1,$C86,""),"")</f>
        <v/>
      </c>
      <c r="BB86" s="34">
        <f>IF(AND(BB$5&gt;$E86,BB$5&lt;=$F86),IF(BB$5=$E86+1,$C86,""),"")</f>
        <v/>
      </c>
      <c r="BC86" s="34">
        <f>IF(AND(BC$5&gt;$E86,BC$5&lt;=$F86),IF(BC$5=$E86+1,$C86,""),"")</f>
        <v/>
      </c>
      <c r="BD86" s="34">
        <f>IF(AND(BD$5&gt;$E86,BD$5&lt;=$F86),IF(BD$5=$E86+1,$C86,""),"")</f>
        <v/>
      </c>
      <c r="BE86" s="34">
        <f>IF(AND(BE$5&gt;$E86,BE$5&lt;=$F86),IF(BE$5=$E86+1,$C86,""),"")</f>
        <v/>
      </c>
      <c r="BF86" s="34">
        <f>IF(AND(BF$5&gt;$E86,BF$5&lt;=$F86),IF(BF$5=$E86+1,$C86,""),"")</f>
        <v/>
      </c>
      <c r="BG86" s="34">
        <f>IF(AND(BG$5&gt;$E86,BG$5&lt;=$F86),IF(BG$5=$E86+1,$C86,""),"")</f>
        <v/>
      </c>
      <c r="BH86" s="34">
        <f>IF(AND(BH$5&gt;$E86,BH$5&lt;=$F86),IF(BH$5=$E86+1,$C86,""),"")</f>
        <v/>
      </c>
      <c r="BI86" s="34">
        <f>IF(AND(BI$5&gt;$E86,BI$5&lt;=$F86),IF(BI$5=$E86+1,$C86,""),"")</f>
        <v/>
      </c>
      <c r="BJ86" s="34">
        <f>IF(AND(BJ$5&gt;$E86,BJ$5&lt;=$F86),IF(BJ$5=$E86+1,$C86,""),"")</f>
        <v/>
      </c>
      <c r="BK86" s="34">
        <f>IF(AND(BK$5&gt;$E86,BK$5&lt;=$F86),IF(BK$5=$E86+1,$C86,""),"")</f>
        <v/>
      </c>
      <c r="BL86" s="34">
        <f>IF(AND(BL$5&gt;$E86,BL$5&lt;=$F86),IF(BL$5=$E86+1,$C86,""),"")</f>
        <v/>
      </c>
      <c r="BM86" s="34">
        <f>IF(AND(BM$5&gt;$E86,BM$5&lt;=$F86),IF(BM$5=$E86+1,$C86,""),"")</f>
        <v/>
      </c>
      <c r="BN86" s="34">
        <f>IF(AND(BN$5&gt;$E86,BN$5&lt;=$F86),IF(BN$5=$E86+1,$C86,""),"")</f>
        <v/>
      </c>
      <c r="BO86" s="34">
        <f>IF(AND(BO$5&gt;$E86,BO$5&lt;=$F86),IF(BO$5=$E86+1,$C86,""),"")</f>
        <v/>
      </c>
      <c r="BP86" s="34">
        <f>IF(AND(BP$5&gt;$E86,BP$5&lt;=$F86),IF(BP$5=$E86+1,$C86,""),"")</f>
        <v/>
      </c>
      <c r="BQ86" s="34">
        <f>IF(AND(BQ$5&gt;$E86,BQ$5&lt;=$F86),IF(BQ$5=$E86+1,$C86,""),"")</f>
        <v/>
      </c>
      <c r="BR86" s="34">
        <f>IF(AND(BR$5&gt;$E86,BR$5&lt;=$F86),IF(BR$5=$E86+1,$C86,""),"")</f>
        <v/>
      </c>
      <c r="BS86" s="34">
        <f>IF(AND(BS$5&gt;$E86,BS$5&lt;=$F86),IF(BS$5=$E86+1,$C86,""),"")</f>
        <v/>
      </c>
      <c r="BT86" s="34">
        <f>IF(AND(BT$5&gt;$E86,BT$5&lt;=$F86),IF(BT$5=$E86+1,$C86,""),"")</f>
        <v/>
      </c>
      <c r="BU86" s="34">
        <f>IF(AND(BU$5&gt;$E86,BU$5&lt;=$F86),IF(BU$5=$E86+1,$C86,""),"")</f>
        <v/>
      </c>
      <c r="BV86" s="34">
        <f>IF(AND(BV$5&gt;$E86,BV$5&lt;=$F86),IF(BV$5=$E86+1,$C86,""),"")</f>
        <v/>
      </c>
      <c r="BW86" s="34">
        <f>IF(AND(BW$5&gt;$E86,BW$5&lt;=$F86),IF(BW$5=$E86+1,$C86,""),"")</f>
        <v/>
      </c>
      <c r="BX86" s="34">
        <f>IF(AND(BX$5&gt;$E86,BX$5&lt;=$F86),IF(BX$5=$E86+1,$C86,""),"")</f>
        <v/>
      </c>
      <c r="BY86" s="34">
        <f>IF(AND(BY$5&gt;$E86,BY$5&lt;=$F86),IF(BY$5=$E86+1,$C86,""),"")</f>
        <v/>
      </c>
      <c r="BZ86" s="34">
        <f>IF(AND(BZ$5&gt;$E86,BZ$5&lt;=$F86),IF(BZ$5=$E86+1,$C86,""),"")</f>
        <v/>
      </c>
      <c r="CA86" s="34">
        <f>IF(AND(CA$5&gt;$E86,CA$5&lt;=$F86),IF(CA$5=$E86+1,$C86,""),"")</f>
        <v/>
      </c>
      <c r="CB86" s="34">
        <f>IF(AND(CB$5&gt;$E86,CB$5&lt;=$F86),IF(CB$5=$E86+1,$C86,""),"")</f>
        <v/>
      </c>
      <c r="CC86" s="34">
        <f>IF(AND(CC$5&gt;$E86,CC$5&lt;=$F86),IF(CC$5=$E86+1,$C86,""),"")</f>
        <v/>
      </c>
      <c r="CD86" s="34">
        <f>IF(AND(CD$5&gt;$E86,CD$5&lt;=$F86),IF(CD$5=$E86+1,$C86,""),"")</f>
        <v/>
      </c>
      <c r="CE86" s="34">
        <f>IF(AND(CE$5&gt;$E86,CE$5&lt;=$F86),IF(CE$5=$E86+1,$C86,""),"")</f>
        <v/>
      </c>
      <c r="CF86" s="34">
        <f>IF(AND(CF$5&gt;$E86,CF$5&lt;=$F86),IF(CF$5=$E86+1,$C86,""),"")</f>
        <v/>
      </c>
      <c r="CG86" s="34">
        <f>IF(AND(CG$5&gt;$E86,CG$5&lt;=$F86),IF(CG$5=$E86+1,$C86,""),"")</f>
        <v/>
      </c>
      <c r="CH86" s="34">
        <f>IF(AND(CH$5&gt;$E86,CH$5&lt;=$F86),IF(CH$5=$E86+1,$C86,""),"")</f>
        <v/>
      </c>
      <c r="CI86" s="34">
        <f>IF(AND(CI$5&gt;$E86,CI$5&lt;=$F86),IF(CI$5=$E86+1,$C86,""),"")</f>
        <v/>
      </c>
      <c r="CJ86" s="34">
        <f>IF(AND(CJ$5&gt;$E86,CJ$5&lt;=$F86),IF(CJ$5=$E86+1,$C86,""),"")</f>
        <v/>
      </c>
      <c r="CK86" s="34">
        <f>IF(AND(CK$5&gt;$E86,CK$5&lt;=$F86),IF(CK$5=$E86+1,$C86,""),"")</f>
        <v/>
      </c>
      <c r="CL86" s="34">
        <f>IF(AND(CL$5&gt;$E86,CL$5&lt;=$F86),IF(CL$5=$E86+1,$C86,""),"")</f>
        <v/>
      </c>
      <c r="CM86" s="34">
        <f>IF(AND(CM$5&gt;$E86,CM$5&lt;=$F86),IF(CM$5=$E86+1,$C86,""),"")</f>
        <v/>
      </c>
      <c r="CN86" s="34">
        <f>IF(AND(CN$5&gt;$E86,CN$5&lt;=$F86),IF(CN$5=$E86+1,$C86,""),"")</f>
        <v/>
      </c>
      <c r="CO86" s="34">
        <f>IF(AND(CO$5&gt;$E86,CO$5&lt;=$F86),IF(CO$5=$E86+1,$C86,""),"")</f>
        <v/>
      </c>
      <c r="CP86" s="34">
        <f>IF(AND(CP$5&gt;$E86,CP$5&lt;=$F86),IF(CP$5=$E86+1,$C86,""),"")</f>
        <v/>
      </c>
      <c r="CQ86" s="34">
        <f>IF(AND(CQ$5&gt;$E86,CQ$5&lt;=$F86),IF(CQ$5=$E86+1,$C86,""),"")</f>
        <v/>
      </c>
      <c r="CR86" s="34">
        <f>IF(AND(CR$5&gt;$E86,CR$5&lt;=$F86),IF(CR$5=$E86+1,$C86,""),"")</f>
        <v/>
      </c>
      <c r="CS86" s="34">
        <f>IF(AND(CS$5&gt;$E86,CS$5&lt;=$F86),IF(CS$5=$E86+1,$C86,""),"")</f>
        <v/>
      </c>
      <c r="CT86" s="34">
        <f>IF(AND(CT$5&gt;$E86,CT$5&lt;=$F86),IF(CT$5=$E86+1,$C86,""),"")</f>
        <v/>
      </c>
      <c r="CU86" s="34">
        <f>IF(AND(CU$5&gt;$E86,CU$5&lt;=$F86),IF(CU$5=$E86+1,$C86,""),"")</f>
        <v/>
      </c>
      <c r="CV86" s="34">
        <f>IF(AND(CV$5&gt;$E86,CV$5&lt;=$F86),IF(CV$5=$E86+1,$C86,""),"")</f>
        <v/>
      </c>
      <c r="CW86" s="34">
        <f>IF(AND(CW$5&gt;$E86,CW$5&lt;=$F86),IF(CW$5=$E86+1,$C86,""),"")</f>
        <v/>
      </c>
      <c r="CX86" s="34">
        <f>IF(AND(CX$5&gt;$E86,CX$5&lt;=$F86),IF(CX$5=$E86+1,$C86,""),"")</f>
        <v/>
      </c>
      <c r="CY86" s="34">
        <f>IF(AND(CY$5&gt;$E86,CY$5&lt;=$F86),IF(CY$5=$E86+1,$C86,""),"")</f>
        <v/>
      </c>
      <c r="CZ86" s="34">
        <f>IF(AND(CZ$5&gt;$E86,CZ$5&lt;=$F86),IF(CZ$5=$E86+1,$C86,""),"")</f>
        <v/>
      </c>
      <c r="DA86" s="34">
        <f>IF(AND(DA$5&gt;$E86,DA$5&lt;=$F86),IF(DA$5=$E86+1,$C86,""),"")</f>
        <v/>
      </c>
      <c r="DB86" s="34">
        <f>IF(AND(DB$5&gt;$E86,DB$5&lt;=$F86),IF(DB$5=$E86+1,$C86,""),"")</f>
        <v/>
      </c>
      <c r="DC86" s="34">
        <f>IF(AND(DC$5&gt;$E86,DC$5&lt;=$F86),IF(DC$5=$E86+1,$C86,""),"")</f>
        <v/>
      </c>
      <c r="DD86" s="34">
        <f>IF(AND(DD$5&gt;$E86,DD$5&lt;=$F86),IF(DD$5=$E86+1,$C86,""),"")</f>
        <v/>
      </c>
      <c r="DE86" s="34">
        <f>IF(AND(DE$5&gt;$E86,DE$5&lt;=$F86),IF(DE$5=$E86+1,$C86,""),"")</f>
        <v/>
      </c>
      <c r="DF86" s="34">
        <f>IF(AND(DF$5&gt;$E86,DF$5&lt;=$F86),IF(DF$5=$E86+1,$C86,""),"")</f>
        <v/>
      </c>
      <c r="DG86" s="34">
        <f>IF(AND(DG$5&gt;$E86,DG$5&lt;=$F86),IF(DG$5=$E86+1,$C86,""),"")</f>
        <v/>
      </c>
      <c r="DH86" s="34">
        <f>IF(AND(DH$5&gt;$E86,DH$5&lt;=$F86),IF(DH$5=$E86+1,$C86,""),"")</f>
        <v/>
      </c>
      <c r="DI86" s="34">
        <f>IF(AND(DI$5&gt;$E86,DI$5&lt;=$F86),IF(DI$5=$E86+1,$C86,""),"")</f>
        <v/>
      </c>
      <c r="DJ86" s="34">
        <f>IF(AND(DJ$5&gt;$E86,DJ$5&lt;=$F86),IF(DJ$5=$E86+1,$C86,""),"")</f>
        <v/>
      </c>
      <c r="DK86" s="34">
        <f>IF(AND(DK$5&gt;$E86,DK$5&lt;=$F86),IF(DK$5=$E86+1,$C86,""),"")</f>
        <v/>
      </c>
      <c r="DL86" s="34">
        <f>IF(AND(DL$5&gt;$E86,DL$5&lt;=$F86),IF(DL$5=$E86+1,$C86,""),"")</f>
        <v/>
      </c>
      <c r="DM86" s="34">
        <f>IF(AND(DM$5&gt;$E86,DM$5&lt;=$F86),IF(DM$5=$E86+1,$C86,""),"")</f>
        <v/>
      </c>
      <c r="DN86" s="34">
        <f>IF(AND(DN$5&gt;$E86,DN$5&lt;=$F86),IF(DN$5=$E86+1,$C86,""),"")</f>
        <v/>
      </c>
      <c r="DO86" s="34">
        <f>IF(AND(DO$5&gt;$E86,DO$5&lt;=$F86),IF(DO$5=$E86+1,$C86,""),"")</f>
        <v/>
      </c>
      <c r="DP86" s="34">
        <f>IF(AND(DP$5&gt;$E86,DP$5&lt;=$F86),IF(DP$5=$E86+1,$C86,""),"")</f>
        <v/>
      </c>
      <c r="DQ86" s="34">
        <f>IF(AND(DQ$5&gt;$E86,DQ$5&lt;=$F86),IF(DQ$5=$E86+1,$C86,""),"")</f>
        <v/>
      </c>
      <c r="DR86" s="34">
        <f>IF(AND(DR$5&gt;$E86,DR$5&lt;=$F86),IF(DR$5=$E86+1,$C86,""),"")</f>
        <v/>
      </c>
      <c r="DS86" s="34">
        <f>IF(AND(DS$5&gt;$E86,DS$5&lt;=$F86),IF(DS$5=$E86+1,$C86,""),"")</f>
        <v/>
      </c>
      <c r="DT86" s="34">
        <f>IF(AND(DT$5&gt;$E86,DT$5&lt;=$F86),IF(DT$5=$E86+1,$C86,""),"")</f>
        <v/>
      </c>
      <c r="DU86" s="34">
        <f>IF(AND(DU$5&gt;$E86,DU$5&lt;=$F86),IF(DU$5=$E86+1,$C86,""),"")</f>
        <v/>
      </c>
      <c r="DV86" s="34">
        <f>IF(AND(DV$5&gt;$E86,DV$5&lt;=$F86),IF(DV$5=$E86+1,$C86,""),"")</f>
        <v/>
      </c>
      <c r="DW86" s="34">
        <f>IF(AND(DW$5&gt;$E86,DW$5&lt;=$F86),IF(DW$5=$E86+1,$C86,""),"")</f>
        <v/>
      </c>
      <c r="DX86" s="34">
        <f>IF(AND(DX$5&gt;$E86,DX$5&lt;=$F86),IF(DX$5=$E86+1,$C86,""),"")</f>
        <v/>
      </c>
      <c r="DY86" s="34">
        <f>IF(AND(DY$5&gt;$E86,DY$5&lt;=$F86),IF(DY$5=$E86+1,$C86,""),"")</f>
        <v/>
      </c>
      <c r="DZ86" s="34">
        <f>IF(AND(DZ$5&gt;$E86,DZ$5&lt;=$F86),IF(DZ$5=$E86+1,$C86,""),"")</f>
        <v/>
      </c>
      <c r="EA86" s="34">
        <f>IF(AND(EA$5&gt;$E86,EA$5&lt;=$F86),IF(EA$5=$E86+1,$C86,""),"")</f>
        <v/>
      </c>
      <c r="EB86" s="34">
        <f>IF(AND(EB$5&gt;$E86,EB$5&lt;=$F86),IF(EB$5=$E86+1,$C86,""),"")</f>
        <v/>
      </c>
      <c r="EC86" s="34">
        <f>IF(AND(EC$5&gt;$E86,EC$5&lt;=$F86),IF(EC$5=$E86+1,$C86,""),"")</f>
        <v/>
      </c>
      <c r="ED86" s="34">
        <f>IF(AND(ED$5&gt;$E86,ED$5&lt;=$F86),IF(ED$5=$E86+1,$C86,""),"")</f>
        <v/>
      </c>
      <c r="EE86" s="34">
        <f>IF(AND(EE$5&gt;$E86,EE$5&lt;=$F86),IF(EE$5=$E86+1,$C86,""),"")</f>
        <v/>
      </c>
      <c r="EF86" s="34">
        <f>IF(AND(EF$5&gt;$E86,EF$5&lt;=$F86),IF(EF$5=$E86+1,$C86,""),"")</f>
        <v/>
      </c>
      <c r="EG86" s="34">
        <f>IF(AND(EG$5&gt;$E86,EG$5&lt;=$F86),IF(EG$5=$E86+1,$C86,""),"")</f>
        <v/>
      </c>
      <c r="EH86" s="34">
        <f>IF(AND(EH$5&gt;$E86,EH$5&lt;=$F86),IF(EH$5=$E86+1,$C86,""),"")</f>
        <v/>
      </c>
      <c r="EI86" s="34">
        <f>IF(AND(EI$5&gt;$E86,EI$5&lt;=$F86),IF(EI$5=$E86+1,$C86,""),"")</f>
        <v/>
      </c>
      <c r="EJ86" s="34">
        <f>IF(AND(EJ$5&gt;$E86,EJ$5&lt;=$F86),IF(EJ$5=$E86+1,$C86,""),"")</f>
        <v/>
      </c>
      <c r="EK86" s="34">
        <f>IF(AND(EK$5&gt;$E86,EK$5&lt;=$F86),IF(EK$5=$E86+1,$C86,""),"")</f>
        <v/>
      </c>
      <c r="EL86" s="34">
        <f>IF(AND(EL$5&gt;$E86,EL$5&lt;=$F86),IF(EL$5=$E86+1,$C86,""),"")</f>
        <v/>
      </c>
      <c r="EM86" s="34">
        <f>IF(AND(EM$5&gt;$E86,EM$5&lt;=$F86),IF(EM$5=$E86+1,$C86,""),"")</f>
        <v/>
      </c>
      <c r="EN86" s="34">
        <f>IF(AND(EN$5&gt;$E86,EN$5&lt;=$F86),IF(EN$5=$E86+1,$C86,""),"")</f>
        <v/>
      </c>
      <c r="EO86" s="34">
        <f>IF(AND(EO$5&gt;$E86,EO$5&lt;=$F86),IF(EO$5=$E86+1,$C86,""),"")</f>
        <v/>
      </c>
      <c r="EP86" s="34">
        <f>IF(AND(EP$5&gt;$E86,EP$5&lt;=$F86),IF(EP$5=$E86+1,$C86,""),"")</f>
        <v/>
      </c>
      <c r="EQ86" s="34">
        <f>IF(AND(EQ$5&gt;$E86,EQ$5&lt;=$F86),IF(EQ$5=$E86+1,$C86,""),"")</f>
        <v/>
      </c>
      <c r="ER86" s="34">
        <f>IF(AND(ER$5&gt;$E86,ER$5&lt;=$F86),IF(ER$5=$E86+1,$C86,""),"")</f>
        <v/>
      </c>
      <c r="ES86" s="34">
        <f>IF(AND(ES$5&gt;$E86,ES$5&lt;=$F86),IF(ES$5=$E86+1,$C86,""),"")</f>
        <v/>
      </c>
      <c r="ET86" s="34">
        <f>IF(AND(ET$5&gt;$E86,ET$5&lt;=$F86),IF(ET$5=$E86+1,$C86,""),"")</f>
        <v/>
      </c>
      <c r="EU86" s="34">
        <f>IF(AND(EU$5&gt;$E86,EU$5&lt;=$F86),IF(EU$5=$E86+1,$C86,""),"")</f>
        <v/>
      </c>
      <c r="EV86" s="34">
        <f>IF(AND(EV$5&gt;$E86,EV$5&lt;=$F86),IF(EV$5=$E86+1,$C86,""),"")</f>
        <v/>
      </c>
      <c r="EW86" s="34">
        <f>IF(AND(EW$5&gt;$E86,EW$5&lt;=$F86),IF(EW$5=$E86+1,$C86,""),"")</f>
        <v/>
      </c>
      <c r="EX86" s="34">
        <f>IF(AND(EX$5&gt;$E86,EX$5&lt;=$F86),IF(EX$5=$E86+1,$C86,""),"")</f>
        <v/>
      </c>
      <c r="EY86" s="34">
        <f>IF(AND(EY$5&gt;$E86,EY$5&lt;=$F86),IF(EY$5=$E86+1,$C86,""),"")</f>
        <v/>
      </c>
      <c r="EZ86" s="34">
        <f>IF(AND(EZ$5&gt;$E86,EZ$5&lt;=$F86),IF(EZ$5=$E86+1,$C86,""),"")</f>
        <v/>
      </c>
      <c r="FA86" s="34">
        <f>IF(AND(FA$5&gt;$E86,FA$5&lt;=$F86),IF(FA$5=$E86+1,$C86,""),"")</f>
        <v/>
      </c>
    </row>
    <row r="87">
      <c r="A87" s="32">
        <f>Plan!A85</f>
        <v/>
      </c>
      <c r="B87" s="33">
        <f>Plan!C85</f>
        <v/>
      </c>
      <c r="C87" s="16">
        <f>Plan!D85</f>
        <v/>
      </c>
      <c r="D87" s="16">
        <f>Plan!I85</f>
        <v/>
      </c>
      <c r="E87" s="16">
        <f>Plan!K85</f>
        <v/>
      </c>
      <c r="F87" s="16">
        <f>Plan!L85</f>
        <v/>
      </c>
      <c r="G87" s="16">
        <f>Plan!O85</f>
        <v/>
      </c>
      <c r="H87" s="34">
        <f>IF(AND(H$5&gt;$E87,H$5&lt;=$F87),IF(H$5=$E87+1,$C87,""),"")</f>
        <v/>
      </c>
      <c r="I87" s="34">
        <f>IF(AND(I$5&gt;$E87,I$5&lt;=$F87),IF(I$5=$E87+1,$C87,""),"")</f>
        <v/>
      </c>
      <c r="J87" s="34">
        <f>IF(AND(J$5&gt;$E87,J$5&lt;=$F87),IF(J$5=$E87+1,$C87,""),"")</f>
        <v/>
      </c>
      <c r="K87" s="34">
        <f>IF(AND(K$5&gt;$E87,K$5&lt;=$F87),IF(K$5=$E87+1,$C87,""),"")</f>
        <v/>
      </c>
      <c r="L87" s="34">
        <f>IF(AND(L$5&gt;$E87,L$5&lt;=$F87),IF(L$5=$E87+1,$C87,""),"")</f>
        <v/>
      </c>
      <c r="M87" s="34">
        <f>IF(AND(M$5&gt;$E87,M$5&lt;=$F87),IF(M$5=$E87+1,$C87,""),"")</f>
        <v/>
      </c>
      <c r="N87" s="34">
        <f>IF(AND(N$5&gt;$E87,N$5&lt;=$F87),IF(N$5=$E87+1,$C87,""),"")</f>
        <v/>
      </c>
      <c r="O87" s="34">
        <f>IF(AND(O$5&gt;$E87,O$5&lt;=$F87),IF(O$5=$E87+1,$C87,""),"")</f>
        <v/>
      </c>
      <c r="P87" s="34">
        <f>IF(AND(P$5&gt;$E87,P$5&lt;=$F87),IF(P$5=$E87+1,$C87,""),"")</f>
        <v/>
      </c>
      <c r="Q87" s="34">
        <f>IF(AND(Q$5&gt;$E87,Q$5&lt;=$F87),IF(Q$5=$E87+1,$C87,""),"")</f>
        <v/>
      </c>
      <c r="R87" s="34">
        <f>IF(AND(R$5&gt;$E87,R$5&lt;=$F87),IF(R$5=$E87+1,$C87,""),"")</f>
        <v/>
      </c>
      <c r="S87" s="34">
        <f>IF(AND(S$5&gt;$E87,S$5&lt;=$F87),IF(S$5=$E87+1,$C87,""),"")</f>
        <v/>
      </c>
      <c r="T87" s="34">
        <f>IF(AND(T$5&gt;$E87,T$5&lt;=$F87),IF(T$5=$E87+1,$C87,""),"")</f>
        <v/>
      </c>
      <c r="U87" s="34">
        <f>IF(AND(U$5&gt;$E87,U$5&lt;=$F87),IF(U$5=$E87+1,$C87,""),"")</f>
        <v/>
      </c>
      <c r="V87" s="34">
        <f>IF(AND(V$5&gt;$E87,V$5&lt;=$F87),IF(V$5=$E87+1,$C87,""),"")</f>
        <v/>
      </c>
      <c r="W87" s="34">
        <f>IF(AND(W$5&gt;$E87,W$5&lt;=$F87),IF(W$5=$E87+1,$C87,""),"")</f>
        <v/>
      </c>
      <c r="X87" s="34">
        <f>IF(AND(X$5&gt;$E87,X$5&lt;=$F87),IF(X$5=$E87+1,$C87,""),"")</f>
        <v/>
      </c>
      <c r="Y87" s="34">
        <f>IF(AND(Y$5&gt;$E87,Y$5&lt;=$F87),IF(Y$5=$E87+1,$C87,""),"")</f>
        <v/>
      </c>
      <c r="Z87" s="34">
        <f>IF(AND(Z$5&gt;$E87,Z$5&lt;=$F87),IF(Z$5=$E87+1,$C87,""),"")</f>
        <v/>
      </c>
      <c r="AA87" s="34">
        <f>IF(AND(AA$5&gt;$E87,AA$5&lt;=$F87),IF(AA$5=$E87+1,$C87,""),"")</f>
        <v/>
      </c>
      <c r="AB87" s="34">
        <f>IF(AND(AB$5&gt;$E87,AB$5&lt;=$F87),IF(AB$5=$E87+1,$C87,""),"")</f>
        <v/>
      </c>
      <c r="AC87" s="34">
        <f>IF(AND(AC$5&gt;$E87,AC$5&lt;=$F87),IF(AC$5=$E87+1,$C87,""),"")</f>
        <v/>
      </c>
      <c r="AD87" s="34">
        <f>IF(AND(AD$5&gt;$E87,AD$5&lt;=$F87),IF(AD$5=$E87+1,$C87,""),"")</f>
        <v/>
      </c>
      <c r="AE87" s="34">
        <f>IF(AND(AE$5&gt;$E87,AE$5&lt;=$F87),IF(AE$5=$E87+1,$C87,""),"")</f>
        <v/>
      </c>
      <c r="AF87" s="34">
        <f>IF(AND(AF$5&gt;$E87,AF$5&lt;=$F87),IF(AF$5=$E87+1,$C87,""),"")</f>
        <v/>
      </c>
      <c r="AG87" s="34">
        <f>IF(AND(AG$5&gt;$E87,AG$5&lt;=$F87),IF(AG$5=$E87+1,$C87,""),"")</f>
        <v/>
      </c>
      <c r="AH87" s="34">
        <f>IF(AND(AH$5&gt;$E87,AH$5&lt;=$F87),IF(AH$5=$E87+1,$C87,""),"")</f>
        <v/>
      </c>
      <c r="AI87" s="34">
        <f>IF(AND(AI$5&gt;$E87,AI$5&lt;=$F87),IF(AI$5=$E87+1,$C87,""),"")</f>
        <v/>
      </c>
      <c r="AJ87" s="34">
        <f>IF(AND(AJ$5&gt;$E87,AJ$5&lt;=$F87),IF(AJ$5=$E87+1,$C87,""),"")</f>
        <v/>
      </c>
      <c r="AK87" s="34">
        <f>IF(AND(AK$5&gt;$E87,AK$5&lt;=$F87),IF(AK$5=$E87+1,$C87,""),"")</f>
        <v/>
      </c>
      <c r="AL87" s="34">
        <f>IF(AND(AL$5&gt;$E87,AL$5&lt;=$F87),IF(AL$5=$E87+1,$C87,""),"")</f>
        <v/>
      </c>
      <c r="AM87" s="34">
        <f>IF(AND(AM$5&gt;$E87,AM$5&lt;=$F87),IF(AM$5=$E87+1,$C87,""),"")</f>
        <v/>
      </c>
      <c r="AN87" s="34">
        <f>IF(AND(AN$5&gt;$E87,AN$5&lt;=$F87),IF(AN$5=$E87+1,$C87,""),"")</f>
        <v/>
      </c>
      <c r="AO87" s="34">
        <f>IF(AND(AO$5&gt;$E87,AO$5&lt;=$F87),IF(AO$5=$E87+1,$C87,""),"")</f>
        <v/>
      </c>
      <c r="AP87" s="34">
        <f>IF(AND(AP$5&gt;$E87,AP$5&lt;=$F87),IF(AP$5=$E87+1,$C87,""),"")</f>
        <v/>
      </c>
      <c r="AQ87" s="34">
        <f>IF(AND(AQ$5&gt;$E87,AQ$5&lt;=$F87),IF(AQ$5=$E87+1,$C87,""),"")</f>
        <v/>
      </c>
      <c r="AR87" s="34">
        <f>IF(AND(AR$5&gt;$E87,AR$5&lt;=$F87),IF(AR$5=$E87+1,$C87,""),"")</f>
        <v/>
      </c>
      <c r="AS87" s="34">
        <f>IF(AND(AS$5&gt;$E87,AS$5&lt;=$F87),IF(AS$5=$E87+1,$C87,""),"")</f>
        <v/>
      </c>
      <c r="AT87" s="34">
        <f>IF(AND(AT$5&gt;$E87,AT$5&lt;=$F87),IF(AT$5=$E87+1,$C87,""),"")</f>
        <v/>
      </c>
      <c r="AU87" s="34">
        <f>IF(AND(AU$5&gt;$E87,AU$5&lt;=$F87),IF(AU$5=$E87+1,$C87,""),"")</f>
        <v/>
      </c>
      <c r="AV87" s="34">
        <f>IF(AND(AV$5&gt;$E87,AV$5&lt;=$F87),IF(AV$5=$E87+1,$C87,""),"")</f>
        <v/>
      </c>
      <c r="AW87" s="34">
        <f>IF(AND(AW$5&gt;$E87,AW$5&lt;=$F87),IF(AW$5=$E87+1,$C87,""),"")</f>
        <v/>
      </c>
      <c r="AX87" s="34">
        <f>IF(AND(AX$5&gt;$E87,AX$5&lt;=$F87),IF(AX$5=$E87+1,$C87,""),"")</f>
        <v/>
      </c>
      <c r="AY87" s="34">
        <f>IF(AND(AY$5&gt;$E87,AY$5&lt;=$F87),IF(AY$5=$E87+1,$C87,""),"")</f>
        <v/>
      </c>
      <c r="AZ87" s="34">
        <f>IF(AND(AZ$5&gt;$E87,AZ$5&lt;=$F87),IF(AZ$5=$E87+1,$C87,""),"")</f>
        <v/>
      </c>
      <c r="BA87" s="34">
        <f>IF(AND(BA$5&gt;$E87,BA$5&lt;=$F87),IF(BA$5=$E87+1,$C87,""),"")</f>
        <v/>
      </c>
      <c r="BB87" s="34">
        <f>IF(AND(BB$5&gt;$E87,BB$5&lt;=$F87),IF(BB$5=$E87+1,$C87,""),"")</f>
        <v/>
      </c>
      <c r="BC87" s="34">
        <f>IF(AND(BC$5&gt;$E87,BC$5&lt;=$F87),IF(BC$5=$E87+1,$C87,""),"")</f>
        <v/>
      </c>
      <c r="BD87" s="34">
        <f>IF(AND(BD$5&gt;$E87,BD$5&lt;=$F87),IF(BD$5=$E87+1,$C87,""),"")</f>
        <v/>
      </c>
      <c r="BE87" s="34">
        <f>IF(AND(BE$5&gt;$E87,BE$5&lt;=$F87),IF(BE$5=$E87+1,$C87,""),"")</f>
        <v/>
      </c>
      <c r="BF87" s="34">
        <f>IF(AND(BF$5&gt;$E87,BF$5&lt;=$F87),IF(BF$5=$E87+1,$C87,""),"")</f>
        <v/>
      </c>
      <c r="BG87" s="34">
        <f>IF(AND(BG$5&gt;$E87,BG$5&lt;=$F87),IF(BG$5=$E87+1,$C87,""),"")</f>
        <v/>
      </c>
      <c r="BH87" s="34">
        <f>IF(AND(BH$5&gt;$E87,BH$5&lt;=$F87),IF(BH$5=$E87+1,$C87,""),"")</f>
        <v/>
      </c>
      <c r="BI87" s="34">
        <f>IF(AND(BI$5&gt;$E87,BI$5&lt;=$F87),IF(BI$5=$E87+1,$C87,""),"")</f>
        <v/>
      </c>
      <c r="BJ87" s="34">
        <f>IF(AND(BJ$5&gt;$E87,BJ$5&lt;=$F87),IF(BJ$5=$E87+1,$C87,""),"")</f>
        <v/>
      </c>
      <c r="BK87" s="34">
        <f>IF(AND(BK$5&gt;$E87,BK$5&lt;=$F87),IF(BK$5=$E87+1,$C87,""),"")</f>
        <v/>
      </c>
      <c r="BL87" s="34">
        <f>IF(AND(BL$5&gt;$E87,BL$5&lt;=$F87),IF(BL$5=$E87+1,$C87,""),"")</f>
        <v/>
      </c>
      <c r="BM87" s="34">
        <f>IF(AND(BM$5&gt;$E87,BM$5&lt;=$F87),IF(BM$5=$E87+1,$C87,""),"")</f>
        <v/>
      </c>
      <c r="BN87" s="34">
        <f>IF(AND(BN$5&gt;$E87,BN$5&lt;=$F87),IF(BN$5=$E87+1,$C87,""),"")</f>
        <v/>
      </c>
      <c r="BO87" s="34">
        <f>IF(AND(BO$5&gt;$E87,BO$5&lt;=$F87),IF(BO$5=$E87+1,$C87,""),"")</f>
        <v/>
      </c>
      <c r="BP87" s="34">
        <f>IF(AND(BP$5&gt;$E87,BP$5&lt;=$F87),IF(BP$5=$E87+1,$C87,""),"")</f>
        <v/>
      </c>
      <c r="BQ87" s="34">
        <f>IF(AND(BQ$5&gt;$E87,BQ$5&lt;=$F87),IF(BQ$5=$E87+1,$C87,""),"")</f>
        <v/>
      </c>
      <c r="BR87" s="34">
        <f>IF(AND(BR$5&gt;$E87,BR$5&lt;=$F87),IF(BR$5=$E87+1,$C87,""),"")</f>
        <v/>
      </c>
      <c r="BS87" s="34">
        <f>IF(AND(BS$5&gt;$E87,BS$5&lt;=$F87),IF(BS$5=$E87+1,$C87,""),"")</f>
        <v/>
      </c>
      <c r="BT87" s="34">
        <f>IF(AND(BT$5&gt;$E87,BT$5&lt;=$F87),IF(BT$5=$E87+1,$C87,""),"")</f>
        <v/>
      </c>
      <c r="BU87" s="34">
        <f>IF(AND(BU$5&gt;$E87,BU$5&lt;=$F87),IF(BU$5=$E87+1,$C87,""),"")</f>
        <v/>
      </c>
      <c r="BV87" s="34">
        <f>IF(AND(BV$5&gt;$E87,BV$5&lt;=$F87),IF(BV$5=$E87+1,$C87,""),"")</f>
        <v/>
      </c>
      <c r="BW87" s="34">
        <f>IF(AND(BW$5&gt;$E87,BW$5&lt;=$F87),IF(BW$5=$E87+1,$C87,""),"")</f>
        <v/>
      </c>
      <c r="BX87" s="34">
        <f>IF(AND(BX$5&gt;$E87,BX$5&lt;=$F87),IF(BX$5=$E87+1,$C87,""),"")</f>
        <v/>
      </c>
      <c r="BY87" s="34">
        <f>IF(AND(BY$5&gt;$E87,BY$5&lt;=$F87),IF(BY$5=$E87+1,$C87,""),"")</f>
        <v/>
      </c>
      <c r="BZ87" s="34">
        <f>IF(AND(BZ$5&gt;$E87,BZ$5&lt;=$F87),IF(BZ$5=$E87+1,$C87,""),"")</f>
        <v/>
      </c>
      <c r="CA87" s="34">
        <f>IF(AND(CA$5&gt;$E87,CA$5&lt;=$F87),IF(CA$5=$E87+1,$C87,""),"")</f>
        <v/>
      </c>
      <c r="CB87" s="34">
        <f>IF(AND(CB$5&gt;$E87,CB$5&lt;=$F87),IF(CB$5=$E87+1,$C87,""),"")</f>
        <v/>
      </c>
      <c r="CC87" s="34">
        <f>IF(AND(CC$5&gt;$E87,CC$5&lt;=$F87),IF(CC$5=$E87+1,$C87,""),"")</f>
        <v/>
      </c>
      <c r="CD87" s="34">
        <f>IF(AND(CD$5&gt;$E87,CD$5&lt;=$F87),IF(CD$5=$E87+1,$C87,""),"")</f>
        <v/>
      </c>
      <c r="CE87" s="34">
        <f>IF(AND(CE$5&gt;$E87,CE$5&lt;=$F87),IF(CE$5=$E87+1,$C87,""),"")</f>
        <v/>
      </c>
      <c r="CF87" s="34">
        <f>IF(AND(CF$5&gt;$E87,CF$5&lt;=$F87),IF(CF$5=$E87+1,$C87,""),"")</f>
        <v/>
      </c>
      <c r="CG87" s="34">
        <f>IF(AND(CG$5&gt;$E87,CG$5&lt;=$F87),IF(CG$5=$E87+1,$C87,""),"")</f>
        <v/>
      </c>
      <c r="CH87" s="34">
        <f>IF(AND(CH$5&gt;$E87,CH$5&lt;=$F87),IF(CH$5=$E87+1,$C87,""),"")</f>
        <v/>
      </c>
      <c r="CI87" s="34">
        <f>IF(AND(CI$5&gt;$E87,CI$5&lt;=$F87),IF(CI$5=$E87+1,$C87,""),"")</f>
        <v/>
      </c>
      <c r="CJ87" s="34">
        <f>IF(AND(CJ$5&gt;$E87,CJ$5&lt;=$F87),IF(CJ$5=$E87+1,$C87,""),"")</f>
        <v/>
      </c>
      <c r="CK87" s="34">
        <f>IF(AND(CK$5&gt;$E87,CK$5&lt;=$F87),IF(CK$5=$E87+1,$C87,""),"")</f>
        <v/>
      </c>
      <c r="CL87" s="34">
        <f>IF(AND(CL$5&gt;$E87,CL$5&lt;=$F87),IF(CL$5=$E87+1,$C87,""),"")</f>
        <v/>
      </c>
      <c r="CM87" s="34">
        <f>IF(AND(CM$5&gt;$E87,CM$5&lt;=$F87),IF(CM$5=$E87+1,$C87,""),"")</f>
        <v/>
      </c>
      <c r="CN87" s="34">
        <f>IF(AND(CN$5&gt;$E87,CN$5&lt;=$F87),IF(CN$5=$E87+1,$C87,""),"")</f>
        <v/>
      </c>
      <c r="CO87" s="34">
        <f>IF(AND(CO$5&gt;$E87,CO$5&lt;=$F87),IF(CO$5=$E87+1,$C87,""),"")</f>
        <v/>
      </c>
      <c r="CP87" s="34">
        <f>IF(AND(CP$5&gt;$E87,CP$5&lt;=$F87),IF(CP$5=$E87+1,$C87,""),"")</f>
        <v/>
      </c>
      <c r="CQ87" s="34">
        <f>IF(AND(CQ$5&gt;$E87,CQ$5&lt;=$F87),IF(CQ$5=$E87+1,$C87,""),"")</f>
        <v/>
      </c>
      <c r="CR87" s="34">
        <f>IF(AND(CR$5&gt;$E87,CR$5&lt;=$F87),IF(CR$5=$E87+1,$C87,""),"")</f>
        <v/>
      </c>
      <c r="CS87" s="34">
        <f>IF(AND(CS$5&gt;$E87,CS$5&lt;=$F87),IF(CS$5=$E87+1,$C87,""),"")</f>
        <v/>
      </c>
      <c r="CT87" s="34">
        <f>IF(AND(CT$5&gt;$E87,CT$5&lt;=$F87),IF(CT$5=$E87+1,$C87,""),"")</f>
        <v/>
      </c>
      <c r="CU87" s="34">
        <f>IF(AND(CU$5&gt;$E87,CU$5&lt;=$F87),IF(CU$5=$E87+1,$C87,""),"")</f>
        <v/>
      </c>
      <c r="CV87" s="34">
        <f>IF(AND(CV$5&gt;$E87,CV$5&lt;=$F87),IF(CV$5=$E87+1,$C87,""),"")</f>
        <v/>
      </c>
      <c r="CW87" s="34">
        <f>IF(AND(CW$5&gt;$E87,CW$5&lt;=$F87),IF(CW$5=$E87+1,$C87,""),"")</f>
        <v/>
      </c>
      <c r="CX87" s="34">
        <f>IF(AND(CX$5&gt;$E87,CX$5&lt;=$F87),IF(CX$5=$E87+1,$C87,""),"")</f>
        <v/>
      </c>
      <c r="CY87" s="34">
        <f>IF(AND(CY$5&gt;$E87,CY$5&lt;=$F87),IF(CY$5=$E87+1,$C87,""),"")</f>
        <v/>
      </c>
      <c r="CZ87" s="34">
        <f>IF(AND(CZ$5&gt;$E87,CZ$5&lt;=$F87),IF(CZ$5=$E87+1,$C87,""),"")</f>
        <v/>
      </c>
      <c r="DA87" s="34">
        <f>IF(AND(DA$5&gt;$E87,DA$5&lt;=$F87),IF(DA$5=$E87+1,$C87,""),"")</f>
        <v/>
      </c>
      <c r="DB87" s="34">
        <f>IF(AND(DB$5&gt;$E87,DB$5&lt;=$F87),IF(DB$5=$E87+1,$C87,""),"")</f>
        <v/>
      </c>
      <c r="DC87" s="34">
        <f>IF(AND(DC$5&gt;$E87,DC$5&lt;=$F87),IF(DC$5=$E87+1,$C87,""),"")</f>
        <v/>
      </c>
      <c r="DD87" s="34">
        <f>IF(AND(DD$5&gt;$E87,DD$5&lt;=$F87),IF(DD$5=$E87+1,$C87,""),"")</f>
        <v/>
      </c>
      <c r="DE87" s="34">
        <f>IF(AND(DE$5&gt;$E87,DE$5&lt;=$F87),IF(DE$5=$E87+1,$C87,""),"")</f>
        <v/>
      </c>
      <c r="DF87" s="34">
        <f>IF(AND(DF$5&gt;$E87,DF$5&lt;=$F87),IF(DF$5=$E87+1,$C87,""),"")</f>
        <v/>
      </c>
      <c r="DG87" s="34">
        <f>IF(AND(DG$5&gt;$E87,DG$5&lt;=$F87),IF(DG$5=$E87+1,$C87,""),"")</f>
        <v/>
      </c>
      <c r="DH87" s="34">
        <f>IF(AND(DH$5&gt;$E87,DH$5&lt;=$F87),IF(DH$5=$E87+1,$C87,""),"")</f>
        <v/>
      </c>
      <c r="DI87" s="34">
        <f>IF(AND(DI$5&gt;$E87,DI$5&lt;=$F87),IF(DI$5=$E87+1,$C87,""),"")</f>
        <v/>
      </c>
      <c r="DJ87" s="34">
        <f>IF(AND(DJ$5&gt;$E87,DJ$5&lt;=$F87),IF(DJ$5=$E87+1,$C87,""),"")</f>
        <v/>
      </c>
      <c r="DK87" s="34">
        <f>IF(AND(DK$5&gt;$E87,DK$5&lt;=$F87),IF(DK$5=$E87+1,$C87,""),"")</f>
        <v/>
      </c>
      <c r="DL87" s="34">
        <f>IF(AND(DL$5&gt;$E87,DL$5&lt;=$F87),IF(DL$5=$E87+1,$C87,""),"")</f>
        <v/>
      </c>
      <c r="DM87" s="34">
        <f>IF(AND(DM$5&gt;$E87,DM$5&lt;=$F87),IF(DM$5=$E87+1,$C87,""),"")</f>
        <v/>
      </c>
      <c r="DN87" s="34">
        <f>IF(AND(DN$5&gt;$E87,DN$5&lt;=$F87),IF(DN$5=$E87+1,$C87,""),"")</f>
        <v/>
      </c>
      <c r="DO87" s="34">
        <f>IF(AND(DO$5&gt;$E87,DO$5&lt;=$F87),IF(DO$5=$E87+1,$C87,""),"")</f>
        <v/>
      </c>
      <c r="DP87" s="34">
        <f>IF(AND(DP$5&gt;$E87,DP$5&lt;=$F87),IF(DP$5=$E87+1,$C87,""),"")</f>
        <v/>
      </c>
      <c r="DQ87" s="34">
        <f>IF(AND(DQ$5&gt;$E87,DQ$5&lt;=$F87),IF(DQ$5=$E87+1,$C87,""),"")</f>
        <v/>
      </c>
      <c r="DR87" s="34">
        <f>IF(AND(DR$5&gt;$E87,DR$5&lt;=$F87),IF(DR$5=$E87+1,$C87,""),"")</f>
        <v/>
      </c>
      <c r="DS87" s="34">
        <f>IF(AND(DS$5&gt;$E87,DS$5&lt;=$F87),IF(DS$5=$E87+1,$C87,""),"")</f>
        <v/>
      </c>
      <c r="DT87" s="34">
        <f>IF(AND(DT$5&gt;$E87,DT$5&lt;=$F87),IF(DT$5=$E87+1,$C87,""),"")</f>
        <v/>
      </c>
      <c r="DU87" s="34">
        <f>IF(AND(DU$5&gt;$E87,DU$5&lt;=$F87),IF(DU$5=$E87+1,$C87,""),"")</f>
        <v/>
      </c>
      <c r="DV87" s="34">
        <f>IF(AND(DV$5&gt;$E87,DV$5&lt;=$F87),IF(DV$5=$E87+1,$C87,""),"")</f>
        <v/>
      </c>
      <c r="DW87" s="34">
        <f>IF(AND(DW$5&gt;$E87,DW$5&lt;=$F87),IF(DW$5=$E87+1,$C87,""),"")</f>
        <v/>
      </c>
      <c r="DX87" s="34">
        <f>IF(AND(DX$5&gt;$E87,DX$5&lt;=$F87),IF(DX$5=$E87+1,$C87,""),"")</f>
        <v/>
      </c>
      <c r="DY87" s="34">
        <f>IF(AND(DY$5&gt;$E87,DY$5&lt;=$F87),IF(DY$5=$E87+1,$C87,""),"")</f>
        <v/>
      </c>
      <c r="DZ87" s="34">
        <f>IF(AND(DZ$5&gt;$E87,DZ$5&lt;=$F87),IF(DZ$5=$E87+1,$C87,""),"")</f>
        <v/>
      </c>
      <c r="EA87" s="34">
        <f>IF(AND(EA$5&gt;$E87,EA$5&lt;=$F87),IF(EA$5=$E87+1,$C87,""),"")</f>
        <v/>
      </c>
      <c r="EB87" s="34">
        <f>IF(AND(EB$5&gt;$E87,EB$5&lt;=$F87),IF(EB$5=$E87+1,$C87,""),"")</f>
        <v/>
      </c>
      <c r="EC87" s="34">
        <f>IF(AND(EC$5&gt;$E87,EC$5&lt;=$F87),IF(EC$5=$E87+1,$C87,""),"")</f>
        <v/>
      </c>
      <c r="ED87" s="34">
        <f>IF(AND(ED$5&gt;$E87,ED$5&lt;=$F87),IF(ED$5=$E87+1,$C87,""),"")</f>
        <v/>
      </c>
      <c r="EE87" s="34">
        <f>IF(AND(EE$5&gt;$E87,EE$5&lt;=$F87),IF(EE$5=$E87+1,$C87,""),"")</f>
        <v/>
      </c>
      <c r="EF87" s="34">
        <f>IF(AND(EF$5&gt;$E87,EF$5&lt;=$F87),IF(EF$5=$E87+1,$C87,""),"")</f>
        <v/>
      </c>
      <c r="EG87" s="34">
        <f>IF(AND(EG$5&gt;$E87,EG$5&lt;=$F87),IF(EG$5=$E87+1,$C87,""),"")</f>
        <v/>
      </c>
      <c r="EH87" s="34">
        <f>IF(AND(EH$5&gt;$E87,EH$5&lt;=$F87),IF(EH$5=$E87+1,$C87,""),"")</f>
        <v/>
      </c>
      <c r="EI87" s="34">
        <f>IF(AND(EI$5&gt;$E87,EI$5&lt;=$F87),IF(EI$5=$E87+1,$C87,""),"")</f>
        <v/>
      </c>
      <c r="EJ87" s="34">
        <f>IF(AND(EJ$5&gt;$E87,EJ$5&lt;=$F87),IF(EJ$5=$E87+1,$C87,""),"")</f>
        <v/>
      </c>
      <c r="EK87" s="34">
        <f>IF(AND(EK$5&gt;$E87,EK$5&lt;=$F87),IF(EK$5=$E87+1,$C87,""),"")</f>
        <v/>
      </c>
      <c r="EL87" s="34">
        <f>IF(AND(EL$5&gt;$E87,EL$5&lt;=$F87),IF(EL$5=$E87+1,$C87,""),"")</f>
        <v/>
      </c>
      <c r="EM87" s="34">
        <f>IF(AND(EM$5&gt;$E87,EM$5&lt;=$F87),IF(EM$5=$E87+1,$C87,""),"")</f>
        <v/>
      </c>
      <c r="EN87" s="34">
        <f>IF(AND(EN$5&gt;$E87,EN$5&lt;=$F87),IF(EN$5=$E87+1,$C87,""),"")</f>
        <v/>
      </c>
      <c r="EO87" s="34">
        <f>IF(AND(EO$5&gt;$E87,EO$5&lt;=$F87),IF(EO$5=$E87+1,$C87,""),"")</f>
        <v/>
      </c>
      <c r="EP87" s="34">
        <f>IF(AND(EP$5&gt;$E87,EP$5&lt;=$F87),IF(EP$5=$E87+1,$C87,""),"")</f>
        <v/>
      </c>
      <c r="EQ87" s="34">
        <f>IF(AND(EQ$5&gt;$E87,EQ$5&lt;=$F87),IF(EQ$5=$E87+1,$C87,""),"")</f>
        <v/>
      </c>
      <c r="ER87" s="34">
        <f>IF(AND(ER$5&gt;$E87,ER$5&lt;=$F87),IF(ER$5=$E87+1,$C87,""),"")</f>
        <v/>
      </c>
      <c r="ES87" s="34">
        <f>IF(AND(ES$5&gt;$E87,ES$5&lt;=$F87),IF(ES$5=$E87+1,$C87,""),"")</f>
        <v/>
      </c>
      <c r="ET87" s="34">
        <f>IF(AND(ET$5&gt;$E87,ET$5&lt;=$F87),IF(ET$5=$E87+1,$C87,""),"")</f>
        <v/>
      </c>
      <c r="EU87" s="34">
        <f>IF(AND(EU$5&gt;$E87,EU$5&lt;=$F87),IF(EU$5=$E87+1,$C87,""),"")</f>
        <v/>
      </c>
      <c r="EV87" s="34">
        <f>IF(AND(EV$5&gt;$E87,EV$5&lt;=$F87),IF(EV$5=$E87+1,$C87,""),"")</f>
        <v/>
      </c>
      <c r="EW87" s="34">
        <f>IF(AND(EW$5&gt;$E87,EW$5&lt;=$F87),IF(EW$5=$E87+1,$C87,""),"")</f>
        <v/>
      </c>
      <c r="EX87" s="34">
        <f>IF(AND(EX$5&gt;$E87,EX$5&lt;=$F87),IF(EX$5=$E87+1,$C87,""),"")</f>
        <v/>
      </c>
      <c r="EY87" s="34">
        <f>IF(AND(EY$5&gt;$E87,EY$5&lt;=$F87),IF(EY$5=$E87+1,$C87,""),"")</f>
        <v/>
      </c>
      <c r="EZ87" s="34">
        <f>IF(AND(EZ$5&gt;$E87,EZ$5&lt;=$F87),IF(EZ$5=$E87+1,$C87,""),"")</f>
        <v/>
      </c>
      <c r="FA87" s="34">
        <f>IF(AND(FA$5&gt;$E87,FA$5&lt;=$F87),IF(FA$5=$E87+1,$C87,""),"")</f>
        <v/>
      </c>
    </row>
    <row r="88">
      <c r="A88" s="32">
        <f>Plan!A86</f>
        <v/>
      </c>
      <c r="B88" s="33">
        <f>Plan!C86</f>
        <v/>
      </c>
      <c r="C88" s="16">
        <f>Plan!D86</f>
        <v/>
      </c>
      <c r="D88" s="16">
        <f>Plan!I86</f>
        <v/>
      </c>
      <c r="E88" s="16">
        <f>Plan!K86</f>
        <v/>
      </c>
      <c r="F88" s="16">
        <f>Plan!L86</f>
        <v/>
      </c>
      <c r="G88" s="16">
        <f>Plan!O86</f>
        <v/>
      </c>
      <c r="H88" s="34">
        <f>IF(AND(H$5&gt;$E88,H$5&lt;=$F88),IF(H$5=$E88+1,$C88,""),"")</f>
        <v/>
      </c>
      <c r="I88" s="34">
        <f>IF(AND(I$5&gt;$E88,I$5&lt;=$F88),IF(I$5=$E88+1,$C88,""),"")</f>
        <v/>
      </c>
      <c r="J88" s="34">
        <f>IF(AND(J$5&gt;$E88,J$5&lt;=$F88),IF(J$5=$E88+1,$C88,""),"")</f>
        <v/>
      </c>
      <c r="K88" s="34">
        <f>IF(AND(K$5&gt;$E88,K$5&lt;=$F88),IF(K$5=$E88+1,$C88,""),"")</f>
        <v/>
      </c>
      <c r="L88" s="34">
        <f>IF(AND(L$5&gt;$E88,L$5&lt;=$F88),IF(L$5=$E88+1,$C88,""),"")</f>
        <v/>
      </c>
      <c r="M88" s="34">
        <f>IF(AND(M$5&gt;$E88,M$5&lt;=$F88),IF(M$5=$E88+1,$C88,""),"")</f>
        <v/>
      </c>
      <c r="N88" s="34">
        <f>IF(AND(N$5&gt;$E88,N$5&lt;=$F88),IF(N$5=$E88+1,$C88,""),"")</f>
        <v/>
      </c>
      <c r="O88" s="34">
        <f>IF(AND(O$5&gt;$E88,O$5&lt;=$F88),IF(O$5=$E88+1,$C88,""),"")</f>
        <v/>
      </c>
      <c r="P88" s="34">
        <f>IF(AND(P$5&gt;$E88,P$5&lt;=$F88),IF(P$5=$E88+1,$C88,""),"")</f>
        <v/>
      </c>
      <c r="Q88" s="34">
        <f>IF(AND(Q$5&gt;$E88,Q$5&lt;=$F88),IF(Q$5=$E88+1,$C88,""),"")</f>
        <v/>
      </c>
      <c r="R88" s="34">
        <f>IF(AND(R$5&gt;$E88,R$5&lt;=$F88),IF(R$5=$E88+1,$C88,""),"")</f>
        <v/>
      </c>
      <c r="S88" s="34">
        <f>IF(AND(S$5&gt;$E88,S$5&lt;=$F88),IF(S$5=$E88+1,$C88,""),"")</f>
        <v/>
      </c>
      <c r="T88" s="34">
        <f>IF(AND(T$5&gt;$E88,T$5&lt;=$F88),IF(T$5=$E88+1,$C88,""),"")</f>
        <v/>
      </c>
      <c r="U88" s="34">
        <f>IF(AND(U$5&gt;$E88,U$5&lt;=$F88),IF(U$5=$E88+1,$C88,""),"")</f>
        <v/>
      </c>
      <c r="V88" s="34">
        <f>IF(AND(V$5&gt;$E88,V$5&lt;=$F88),IF(V$5=$E88+1,$C88,""),"")</f>
        <v/>
      </c>
      <c r="W88" s="34">
        <f>IF(AND(W$5&gt;$E88,W$5&lt;=$F88),IF(W$5=$E88+1,$C88,""),"")</f>
        <v/>
      </c>
      <c r="X88" s="34">
        <f>IF(AND(X$5&gt;$E88,X$5&lt;=$F88),IF(X$5=$E88+1,$C88,""),"")</f>
        <v/>
      </c>
      <c r="Y88" s="34">
        <f>IF(AND(Y$5&gt;$E88,Y$5&lt;=$F88),IF(Y$5=$E88+1,$C88,""),"")</f>
        <v/>
      </c>
      <c r="Z88" s="34">
        <f>IF(AND(Z$5&gt;$E88,Z$5&lt;=$F88),IF(Z$5=$E88+1,$C88,""),"")</f>
        <v/>
      </c>
      <c r="AA88" s="34">
        <f>IF(AND(AA$5&gt;$E88,AA$5&lt;=$F88),IF(AA$5=$E88+1,$C88,""),"")</f>
        <v/>
      </c>
      <c r="AB88" s="34">
        <f>IF(AND(AB$5&gt;$E88,AB$5&lt;=$F88),IF(AB$5=$E88+1,$C88,""),"")</f>
        <v/>
      </c>
      <c r="AC88" s="34">
        <f>IF(AND(AC$5&gt;$E88,AC$5&lt;=$F88),IF(AC$5=$E88+1,$C88,""),"")</f>
        <v/>
      </c>
      <c r="AD88" s="34">
        <f>IF(AND(AD$5&gt;$E88,AD$5&lt;=$F88),IF(AD$5=$E88+1,$C88,""),"")</f>
        <v/>
      </c>
      <c r="AE88" s="34">
        <f>IF(AND(AE$5&gt;$E88,AE$5&lt;=$F88),IF(AE$5=$E88+1,$C88,""),"")</f>
        <v/>
      </c>
      <c r="AF88" s="34">
        <f>IF(AND(AF$5&gt;$E88,AF$5&lt;=$F88),IF(AF$5=$E88+1,$C88,""),"")</f>
        <v/>
      </c>
      <c r="AG88" s="34">
        <f>IF(AND(AG$5&gt;$E88,AG$5&lt;=$F88),IF(AG$5=$E88+1,$C88,""),"")</f>
        <v/>
      </c>
      <c r="AH88" s="34">
        <f>IF(AND(AH$5&gt;$E88,AH$5&lt;=$F88),IF(AH$5=$E88+1,$C88,""),"")</f>
        <v/>
      </c>
      <c r="AI88" s="34">
        <f>IF(AND(AI$5&gt;$E88,AI$5&lt;=$F88),IF(AI$5=$E88+1,$C88,""),"")</f>
        <v/>
      </c>
      <c r="AJ88" s="34">
        <f>IF(AND(AJ$5&gt;$E88,AJ$5&lt;=$F88),IF(AJ$5=$E88+1,$C88,""),"")</f>
        <v/>
      </c>
      <c r="AK88" s="34">
        <f>IF(AND(AK$5&gt;$E88,AK$5&lt;=$F88),IF(AK$5=$E88+1,$C88,""),"")</f>
        <v/>
      </c>
      <c r="AL88" s="34">
        <f>IF(AND(AL$5&gt;$E88,AL$5&lt;=$F88),IF(AL$5=$E88+1,$C88,""),"")</f>
        <v/>
      </c>
      <c r="AM88" s="34">
        <f>IF(AND(AM$5&gt;$E88,AM$5&lt;=$F88),IF(AM$5=$E88+1,$C88,""),"")</f>
        <v/>
      </c>
      <c r="AN88" s="34">
        <f>IF(AND(AN$5&gt;$E88,AN$5&lt;=$F88),IF(AN$5=$E88+1,$C88,""),"")</f>
        <v/>
      </c>
      <c r="AO88" s="34">
        <f>IF(AND(AO$5&gt;$E88,AO$5&lt;=$F88),IF(AO$5=$E88+1,$C88,""),"")</f>
        <v/>
      </c>
      <c r="AP88" s="34">
        <f>IF(AND(AP$5&gt;$E88,AP$5&lt;=$F88),IF(AP$5=$E88+1,$C88,""),"")</f>
        <v/>
      </c>
      <c r="AQ88" s="34">
        <f>IF(AND(AQ$5&gt;$E88,AQ$5&lt;=$F88),IF(AQ$5=$E88+1,$C88,""),"")</f>
        <v/>
      </c>
      <c r="AR88" s="34">
        <f>IF(AND(AR$5&gt;$E88,AR$5&lt;=$F88),IF(AR$5=$E88+1,$C88,""),"")</f>
        <v/>
      </c>
      <c r="AS88" s="34">
        <f>IF(AND(AS$5&gt;$E88,AS$5&lt;=$F88),IF(AS$5=$E88+1,$C88,""),"")</f>
        <v/>
      </c>
      <c r="AT88" s="34">
        <f>IF(AND(AT$5&gt;$E88,AT$5&lt;=$F88),IF(AT$5=$E88+1,$C88,""),"")</f>
        <v/>
      </c>
      <c r="AU88" s="34">
        <f>IF(AND(AU$5&gt;$E88,AU$5&lt;=$F88),IF(AU$5=$E88+1,$C88,""),"")</f>
        <v/>
      </c>
      <c r="AV88" s="34">
        <f>IF(AND(AV$5&gt;$E88,AV$5&lt;=$F88),IF(AV$5=$E88+1,$C88,""),"")</f>
        <v/>
      </c>
      <c r="AW88" s="34">
        <f>IF(AND(AW$5&gt;$E88,AW$5&lt;=$F88),IF(AW$5=$E88+1,$C88,""),"")</f>
        <v/>
      </c>
      <c r="AX88" s="34">
        <f>IF(AND(AX$5&gt;$E88,AX$5&lt;=$F88),IF(AX$5=$E88+1,$C88,""),"")</f>
        <v/>
      </c>
      <c r="AY88" s="34">
        <f>IF(AND(AY$5&gt;$E88,AY$5&lt;=$F88),IF(AY$5=$E88+1,$C88,""),"")</f>
        <v/>
      </c>
      <c r="AZ88" s="34">
        <f>IF(AND(AZ$5&gt;$E88,AZ$5&lt;=$F88),IF(AZ$5=$E88+1,$C88,""),"")</f>
        <v/>
      </c>
      <c r="BA88" s="34">
        <f>IF(AND(BA$5&gt;$E88,BA$5&lt;=$F88),IF(BA$5=$E88+1,$C88,""),"")</f>
        <v/>
      </c>
      <c r="BB88" s="34">
        <f>IF(AND(BB$5&gt;$E88,BB$5&lt;=$F88),IF(BB$5=$E88+1,$C88,""),"")</f>
        <v/>
      </c>
      <c r="BC88" s="34">
        <f>IF(AND(BC$5&gt;$E88,BC$5&lt;=$F88),IF(BC$5=$E88+1,$C88,""),"")</f>
        <v/>
      </c>
      <c r="BD88" s="34">
        <f>IF(AND(BD$5&gt;$E88,BD$5&lt;=$F88),IF(BD$5=$E88+1,$C88,""),"")</f>
        <v/>
      </c>
      <c r="BE88" s="34">
        <f>IF(AND(BE$5&gt;$E88,BE$5&lt;=$F88),IF(BE$5=$E88+1,$C88,""),"")</f>
        <v/>
      </c>
      <c r="BF88" s="34">
        <f>IF(AND(BF$5&gt;$E88,BF$5&lt;=$F88),IF(BF$5=$E88+1,$C88,""),"")</f>
        <v/>
      </c>
      <c r="BG88" s="34">
        <f>IF(AND(BG$5&gt;$E88,BG$5&lt;=$F88),IF(BG$5=$E88+1,$C88,""),"")</f>
        <v/>
      </c>
      <c r="BH88" s="34">
        <f>IF(AND(BH$5&gt;$E88,BH$5&lt;=$F88),IF(BH$5=$E88+1,$C88,""),"")</f>
        <v/>
      </c>
      <c r="BI88" s="34">
        <f>IF(AND(BI$5&gt;$E88,BI$5&lt;=$F88),IF(BI$5=$E88+1,$C88,""),"")</f>
        <v/>
      </c>
      <c r="BJ88" s="34">
        <f>IF(AND(BJ$5&gt;$E88,BJ$5&lt;=$F88),IF(BJ$5=$E88+1,$C88,""),"")</f>
        <v/>
      </c>
      <c r="BK88" s="34">
        <f>IF(AND(BK$5&gt;$E88,BK$5&lt;=$F88),IF(BK$5=$E88+1,$C88,""),"")</f>
        <v/>
      </c>
      <c r="BL88" s="34">
        <f>IF(AND(BL$5&gt;$E88,BL$5&lt;=$F88),IF(BL$5=$E88+1,$C88,""),"")</f>
        <v/>
      </c>
      <c r="BM88" s="34">
        <f>IF(AND(BM$5&gt;$E88,BM$5&lt;=$F88),IF(BM$5=$E88+1,$C88,""),"")</f>
        <v/>
      </c>
      <c r="BN88" s="34">
        <f>IF(AND(BN$5&gt;$E88,BN$5&lt;=$F88),IF(BN$5=$E88+1,$C88,""),"")</f>
        <v/>
      </c>
      <c r="BO88" s="34">
        <f>IF(AND(BO$5&gt;$E88,BO$5&lt;=$F88),IF(BO$5=$E88+1,$C88,""),"")</f>
        <v/>
      </c>
      <c r="BP88" s="34">
        <f>IF(AND(BP$5&gt;$E88,BP$5&lt;=$F88),IF(BP$5=$E88+1,$C88,""),"")</f>
        <v/>
      </c>
      <c r="BQ88" s="34">
        <f>IF(AND(BQ$5&gt;$E88,BQ$5&lt;=$F88),IF(BQ$5=$E88+1,$C88,""),"")</f>
        <v/>
      </c>
      <c r="BR88" s="34">
        <f>IF(AND(BR$5&gt;$E88,BR$5&lt;=$F88),IF(BR$5=$E88+1,$C88,""),"")</f>
        <v/>
      </c>
      <c r="BS88" s="34">
        <f>IF(AND(BS$5&gt;$E88,BS$5&lt;=$F88),IF(BS$5=$E88+1,$C88,""),"")</f>
        <v/>
      </c>
      <c r="BT88" s="34">
        <f>IF(AND(BT$5&gt;$E88,BT$5&lt;=$F88),IF(BT$5=$E88+1,$C88,""),"")</f>
        <v/>
      </c>
      <c r="BU88" s="34">
        <f>IF(AND(BU$5&gt;$E88,BU$5&lt;=$F88),IF(BU$5=$E88+1,$C88,""),"")</f>
        <v/>
      </c>
      <c r="BV88" s="34">
        <f>IF(AND(BV$5&gt;$E88,BV$5&lt;=$F88),IF(BV$5=$E88+1,$C88,""),"")</f>
        <v/>
      </c>
      <c r="BW88" s="34">
        <f>IF(AND(BW$5&gt;$E88,BW$5&lt;=$F88),IF(BW$5=$E88+1,$C88,""),"")</f>
        <v/>
      </c>
      <c r="BX88" s="34">
        <f>IF(AND(BX$5&gt;$E88,BX$5&lt;=$F88),IF(BX$5=$E88+1,$C88,""),"")</f>
        <v/>
      </c>
      <c r="BY88" s="34">
        <f>IF(AND(BY$5&gt;$E88,BY$5&lt;=$F88),IF(BY$5=$E88+1,$C88,""),"")</f>
        <v/>
      </c>
      <c r="BZ88" s="34">
        <f>IF(AND(BZ$5&gt;$E88,BZ$5&lt;=$F88),IF(BZ$5=$E88+1,$C88,""),"")</f>
        <v/>
      </c>
      <c r="CA88" s="34">
        <f>IF(AND(CA$5&gt;$E88,CA$5&lt;=$F88),IF(CA$5=$E88+1,$C88,""),"")</f>
        <v/>
      </c>
      <c r="CB88" s="34">
        <f>IF(AND(CB$5&gt;$E88,CB$5&lt;=$F88),IF(CB$5=$E88+1,$C88,""),"")</f>
        <v/>
      </c>
      <c r="CC88" s="34">
        <f>IF(AND(CC$5&gt;$E88,CC$5&lt;=$F88),IF(CC$5=$E88+1,$C88,""),"")</f>
        <v/>
      </c>
      <c r="CD88" s="34">
        <f>IF(AND(CD$5&gt;$E88,CD$5&lt;=$F88),IF(CD$5=$E88+1,$C88,""),"")</f>
        <v/>
      </c>
      <c r="CE88" s="34">
        <f>IF(AND(CE$5&gt;$E88,CE$5&lt;=$F88),IF(CE$5=$E88+1,$C88,""),"")</f>
        <v/>
      </c>
      <c r="CF88" s="34">
        <f>IF(AND(CF$5&gt;$E88,CF$5&lt;=$F88),IF(CF$5=$E88+1,$C88,""),"")</f>
        <v/>
      </c>
      <c r="CG88" s="34">
        <f>IF(AND(CG$5&gt;$E88,CG$5&lt;=$F88),IF(CG$5=$E88+1,$C88,""),"")</f>
        <v/>
      </c>
      <c r="CH88" s="34">
        <f>IF(AND(CH$5&gt;$E88,CH$5&lt;=$F88),IF(CH$5=$E88+1,$C88,""),"")</f>
        <v/>
      </c>
      <c r="CI88" s="34">
        <f>IF(AND(CI$5&gt;$E88,CI$5&lt;=$F88),IF(CI$5=$E88+1,$C88,""),"")</f>
        <v/>
      </c>
      <c r="CJ88" s="34">
        <f>IF(AND(CJ$5&gt;$E88,CJ$5&lt;=$F88),IF(CJ$5=$E88+1,$C88,""),"")</f>
        <v/>
      </c>
      <c r="CK88" s="34">
        <f>IF(AND(CK$5&gt;$E88,CK$5&lt;=$F88),IF(CK$5=$E88+1,$C88,""),"")</f>
        <v/>
      </c>
      <c r="CL88" s="34">
        <f>IF(AND(CL$5&gt;$E88,CL$5&lt;=$F88),IF(CL$5=$E88+1,$C88,""),"")</f>
        <v/>
      </c>
      <c r="CM88" s="34">
        <f>IF(AND(CM$5&gt;$E88,CM$5&lt;=$F88),IF(CM$5=$E88+1,$C88,""),"")</f>
        <v/>
      </c>
      <c r="CN88" s="34">
        <f>IF(AND(CN$5&gt;$E88,CN$5&lt;=$F88),IF(CN$5=$E88+1,$C88,""),"")</f>
        <v/>
      </c>
      <c r="CO88" s="34">
        <f>IF(AND(CO$5&gt;$E88,CO$5&lt;=$F88),IF(CO$5=$E88+1,$C88,""),"")</f>
        <v/>
      </c>
      <c r="CP88" s="34">
        <f>IF(AND(CP$5&gt;$E88,CP$5&lt;=$F88),IF(CP$5=$E88+1,$C88,""),"")</f>
        <v/>
      </c>
      <c r="CQ88" s="34">
        <f>IF(AND(CQ$5&gt;$E88,CQ$5&lt;=$F88),IF(CQ$5=$E88+1,$C88,""),"")</f>
        <v/>
      </c>
      <c r="CR88" s="34">
        <f>IF(AND(CR$5&gt;$E88,CR$5&lt;=$F88),IF(CR$5=$E88+1,$C88,""),"")</f>
        <v/>
      </c>
      <c r="CS88" s="34">
        <f>IF(AND(CS$5&gt;$E88,CS$5&lt;=$F88),IF(CS$5=$E88+1,$C88,""),"")</f>
        <v/>
      </c>
      <c r="CT88" s="34">
        <f>IF(AND(CT$5&gt;$E88,CT$5&lt;=$F88),IF(CT$5=$E88+1,$C88,""),"")</f>
        <v/>
      </c>
      <c r="CU88" s="34">
        <f>IF(AND(CU$5&gt;$E88,CU$5&lt;=$F88),IF(CU$5=$E88+1,$C88,""),"")</f>
        <v/>
      </c>
      <c r="CV88" s="34">
        <f>IF(AND(CV$5&gt;$E88,CV$5&lt;=$F88),IF(CV$5=$E88+1,$C88,""),"")</f>
        <v/>
      </c>
      <c r="CW88" s="34">
        <f>IF(AND(CW$5&gt;$E88,CW$5&lt;=$F88),IF(CW$5=$E88+1,$C88,""),"")</f>
        <v/>
      </c>
      <c r="CX88" s="34">
        <f>IF(AND(CX$5&gt;$E88,CX$5&lt;=$F88),IF(CX$5=$E88+1,$C88,""),"")</f>
        <v/>
      </c>
      <c r="CY88" s="34">
        <f>IF(AND(CY$5&gt;$E88,CY$5&lt;=$F88),IF(CY$5=$E88+1,$C88,""),"")</f>
        <v/>
      </c>
      <c r="CZ88" s="34">
        <f>IF(AND(CZ$5&gt;$E88,CZ$5&lt;=$F88),IF(CZ$5=$E88+1,$C88,""),"")</f>
        <v/>
      </c>
      <c r="DA88" s="34">
        <f>IF(AND(DA$5&gt;$E88,DA$5&lt;=$F88),IF(DA$5=$E88+1,$C88,""),"")</f>
        <v/>
      </c>
      <c r="DB88" s="34">
        <f>IF(AND(DB$5&gt;$E88,DB$5&lt;=$F88),IF(DB$5=$E88+1,$C88,""),"")</f>
        <v/>
      </c>
      <c r="DC88" s="34">
        <f>IF(AND(DC$5&gt;$E88,DC$5&lt;=$F88),IF(DC$5=$E88+1,$C88,""),"")</f>
        <v/>
      </c>
      <c r="DD88" s="34">
        <f>IF(AND(DD$5&gt;$E88,DD$5&lt;=$F88),IF(DD$5=$E88+1,$C88,""),"")</f>
        <v/>
      </c>
      <c r="DE88" s="34">
        <f>IF(AND(DE$5&gt;$E88,DE$5&lt;=$F88),IF(DE$5=$E88+1,$C88,""),"")</f>
        <v/>
      </c>
      <c r="DF88" s="34">
        <f>IF(AND(DF$5&gt;$E88,DF$5&lt;=$F88),IF(DF$5=$E88+1,$C88,""),"")</f>
        <v/>
      </c>
      <c r="DG88" s="34">
        <f>IF(AND(DG$5&gt;$E88,DG$5&lt;=$F88),IF(DG$5=$E88+1,$C88,""),"")</f>
        <v/>
      </c>
      <c r="DH88" s="34">
        <f>IF(AND(DH$5&gt;$E88,DH$5&lt;=$F88),IF(DH$5=$E88+1,$C88,""),"")</f>
        <v/>
      </c>
      <c r="DI88" s="34">
        <f>IF(AND(DI$5&gt;$E88,DI$5&lt;=$F88),IF(DI$5=$E88+1,$C88,""),"")</f>
        <v/>
      </c>
      <c r="DJ88" s="34">
        <f>IF(AND(DJ$5&gt;$E88,DJ$5&lt;=$F88),IF(DJ$5=$E88+1,$C88,""),"")</f>
        <v/>
      </c>
      <c r="DK88" s="34">
        <f>IF(AND(DK$5&gt;$E88,DK$5&lt;=$F88),IF(DK$5=$E88+1,$C88,""),"")</f>
        <v/>
      </c>
      <c r="DL88" s="34">
        <f>IF(AND(DL$5&gt;$E88,DL$5&lt;=$F88),IF(DL$5=$E88+1,$C88,""),"")</f>
        <v/>
      </c>
      <c r="DM88" s="34">
        <f>IF(AND(DM$5&gt;$E88,DM$5&lt;=$F88),IF(DM$5=$E88+1,$C88,""),"")</f>
        <v/>
      </c>
      <c r="DN88" s="34">
        <f>IF(AND(DN$5&gt;$E88,DN$5&lt;=$F88),IF(DN$5=$E88+1,$C88,""),"")</f>
        <v/>
      </c>
      <c r="DO88" s="34">
        <f>IF(AND(DO$5&gt;$E88,DO$5&lt;=$F88),IF(DO$5=$E88+1,$C88,""),"")</f>
        <v/>
      </c>
      <c r="DP88" s="34">
        <f>IF(AND(DP$5&gt;$E88,DP$5&lt;=$F88),IF(DP$5=$E88+1,$C88,""),"")</f>
        <v/>
      </c>
      <c r="DQ88" s="34">
        <f>IF(AND(DQ$5&gt;$E88,DQ$5&lt;=$F88),IF(DQ$5=$E88+1,$C88,""),"")</f>
        <v/>
      </c>
      <c r="DR88" s="34">
        <f>IF(AND(DR$5&gt;$E88,DR$5&lt;=$F88),IF(DR$5=$E88+1,$C88,""),"")</f>
        <v/>
      </c>
      <c r="DS88" s="34">
        <f>IF(AND(DS$5&gt;$E88,DS$5&lt;=$F88),IF(DS$5=$E88+1,$C88,""),"")</f>
        <v/>
      </c>
      <c r="DT88" s="34">
        <f>IF(AND(DT$5&gt;$E88,DT$5&lt;=$F88),IF(DT$5=$E88+1,$C88,""),"")</f>
        <v/>
      </c>
      <c r="DU88" s="34">
        <f>IF(AND(DU$5&gt;$E88,DU$5&lt;=$F88),IF(DU$5=$E88+1,$C88,""),"")</f>
        <v/>
      </c>
      <c r="DV88" s="34">
        <f>IF(AND(DV$5&gt;$E88,DV$5&lt;=$F88),IF(DV$5=$E88+1,$C88,""),"")</f>
        <v/>
      </c>
      <c r="DW88" s="34">
        <f>IF(AND(DW$5&gt;$E88,DW$5&lt;=$F88),IF(DW$5=$E88+1,$C88,""),"")</f>
        <v/>
      </c>
      <c r="DX88" s="34">
        <f>IF(AND(DX$5&gt;$E88,DX$5&lt;=$F88),IF(DX$5=$E88+1,$C88,""),"")</f>
        <v/>
      </c>
      <c r="DY88" s="34">
        <f>IF(AND(DY$5&gt;$E88,DY$5&lt;=$F88),IF(DY$5=$E88+1,$C88,""),"")</f>
        <v/>
      </c>
      <c r="DZ88" s="34">
        <f>IF(AND(DZ$5&gt;$E88,DZ$5&lt;=$F88),IF(DZ$5=$E88+1,$C88,""),"")</f>
        <v/>
      </c>
      <c r="EA88" s="34">
        <f>IF(AND(EA$5&gt;$E88,EA$5&lt;=$F88),IF(EA$5=$E88+1,$C88,""),"")</f>
        <v/>
      </c>
      <c r="EB88" s="34">
        <f>IF(AND(EB$5&gt;$E88,EB$5&lt;=$F88),IF(EB$5=$E88+1,$C88,""),"")</f>
        <v/>
      </c>
      <c r="EC88" s="34">
        <f>IF(AND(EC$5&gt;$E88,EC$5&lt;=$F88),IF(EC$5=$E88+1,$C88,""),"")</f>
        <v/>
      </c>
      <c r="ED88" s="34">
        <f>IF(AND(ED$5&gt;$E88,ED$5&lt;=$F88),IF(ED$5=$E88+1,$C88,""),"")</f>
        <v/>
      </c>
      <c r="EE88" s="34">
        <f>IF(AND(EE$5&gt;$E88,EE$5&lt;=$F88),IF(EE$5=$E88+1,$C88,""),"")</f>
        <v/>
      </c>
      <c r="EF88" s="34">
        <f>IF(AND(EF$5&gt;$E88,EF$5&lt;=$F88),IF(EF$5=$E88+1,$C88,""),"")</f>
        <v/>
      </c>
      <c r="EG88" s="34">
        <f>IF(AND(EG$5&gt;$E88,EG$5&lt;=$F88),IF(EG$5=$E88+1,$C88,""),"")</f>
        <v/>
      </c>
      <c r="EH88" s="34">
        <f>IF(AND(EH$5&gt;$E88,EH$5&lt;=$F88),IF(EH$5=$E88+1,$C88,""),"")</f>
        <v/>
      </c>
      <c r="EI88" s="34">
        <f>IF(AND(EI$5&gt;$E88,EI$5&lt;=$F88),IF(EI$5=$E88+1,$C88,""),"")</f>
        <v/>
      </c>
      <c r="EJ88" s="34">
        <f>IF(AND(EJ$5&gt;$E88,EJ$5&lt;=$F88),IF(EJ$5=$E88+1,$C88,""),"")</f>
        <v/>
      </c>
      <c r="EK88" s="34">
        <f>IF(AND(EK$5&gt;$E88,EK$5&lt;=$F88),IF(EK$5=$E88+1,$C88,""),"")</f>
        <v/>
      </c>
      <c r="EL88" s="34">
        <f>IF(AND(EL$5&gt;$E88,EL$5&lt;=$F88),IF(EL$5=$E88+1,$C88,""),"")</f>
        <v/>
      </c>
      <c r="EM88" s="34">
        <f>IF(AND(EM$5&gt;$E88,EM$5&lt;=$F88),IF(EM$5=$E88+1,$C88,""),"")</f>
        <v/>
      </c>
      <c r="EN88" s="34">
        <f>IF(AND(EN$5&gt;$E88,EN$5&lt;=$F88),IF(EN$5=$E88+1,$C88,""),"")</f>
        <v/>
      </c>
      <c r="EO88" s="34">
        <f>IF(AND(EO$5&gt;$E88,EO$5&lt;=$F88),IF(EO$5=$E88+1,$C88,""),"")</f>
        <v/>
      </c>
      <c r="EP88" s="34">
        <f>IF(AND(EP$5&gt;$E88,EP$5&lt;=$F88),IF(EP$5=$E88+1,$C88,""),"")</f>
        <v/>
      </c>
      <c r="EQ88" s="34">
        <f>IF(AND(EQ$5&gt;$E88,EQ$5&lt;=$F88),IF(EQ$5=$E88+1,$C88,""),"")</f>
        <v/>
      </c>
      <c r="ER88" s="34">
        <f>IF(AND(ER$5&gt;$E88,ER$5&lt;=$F88),IF(ER$5=$E88+1,$C88,""),"")</f>
        <v/>
      </c>
      <c r="ES88" s="34">
        <f>IF(AND(ES$5&gt;$E88,ES$5&lt;=$F88),IF(ES$5=$E88+1,$C88,""),"")</f>
        <v/>
      </c>
      <c r="ET88" s="34">
        <f>IF(AND(ET$5&gt;$E88,ET$5&lt;=$F88),IF(ET$5=$E88+1,$C88,""),"")</f>
        <v/>
      </c>
      <c r="EU88" s="34">
        <f>IF(AND(EU$5&gt;$E88,EU$5&lt;=$F88),IF(EU$5=$E88+1,$C88,""),"")</f>
        <v/>
      </c>
      <c r="EV88" s="34">
        <f>IF(AND(EV$5&gt;$E88,EV$5&lt;=$F88),IF(EV$5=$E88+1,$C88,""),"")</f>
        <v/>
      </c>
      <c r="EW88" s="34">
        <f>IF(AND(EW$5&gt;$E88,EW$5&lt;=$F88),IF(EW$5=$E88+1,$C88,""),"")</f>
        <v/>
      </c>
      <c r="EX88" s="34">
        <f>IF(AND(EX$5&gt;$E88,EX$5&lt;=$F88),IF(EX$5=$E88+1,$C88,""),"")</f>
        <v/>
      </c>
      <c r="EY88" s="34">
        <f>IF(AND(EY$5&gt;$E88,EY$5&lt;=$F88),IF(EY$5=$E88+1,$C88,""),"")</f>
        <v/>
      </c>
      <c r="EZ88" s="34">
        <f>IF(AND(EZ$5&gt;$E88,EZ$5&lt;=$F88),IF(EZ$5=$E88+1,$C88,""),"")</f>
        <v/>
      </c>
      <c r="FA88" s="34">
        <f>IF(AND(FA$5&gt;$E88,FA$5&lt;=$F88),IF(FA$5=$E88+1,$C88,""),"")</f>
        <v/>
      </c>
    </row>
    <row r="89">
      <c r="A89" s="32">
        <f>Plan!A91</f>
        <v/>
      </c>
      <c r="B89" s="33">
        <f>Plan!C91</f>
        <v/>
      </c>
      <c r="C89" s="16">
        <f>Plan!D91</f>
        <v/>
      </c>
      <c r="D89" s="16">
        <f>Plan!I91</f>
        <v/>
      </c>
      <c r="E89" s="16">
        <f>Plan!K91</f>
        <v/>
      </c>
      <c r="F89" s="16">
        <f>Plan!L91</f>
        <v/>
      </c>
      <c r="G89" s="16">
        <f>Plan!O91</f>
        <v/>
      </c>
      <c r="H89" s="34">
        <f>IF(AND(H$5&gt;$E89,H$5&lt;=$F89),IF(H$5=$E89+1,$C89,""),"")</f>
        <v/>
      </c>
      <c r="I89" s="34">
        <f>IF(AND(I$5&gt;$E89,I$5&lt;=$F89),IF(I$5=$E89+1,$C89,""),"")</f>
        <v/>
      </c>
      <c r="J89" s="34">
        <f>IF(AND(J$5&gt;$E89,J$5&lt;=$F89),IF(J$5=$E89+1,$C89,""),"")</f>
        <v/>
      </c>
      <c r="K89" s="34">
        <f>IF(AND(K$5&gt;$E89,K$5&lt;=$F89),IF(K$5=$E89+1,$C89,""),"")</f>
        <v/>
      </c>
      <c r="L89" s="34">
        <f>IF(AND(L$5&gt;$E89,L$5&lt;=$F89),IF(L$5=$E89+1,$C89,""),"")</f>
        <v/>
      </c>
      <c r="M89" s="34">
        <f>IF(AND(M$5&gt;$E89,M$5&lt;=$F89),IF(M$5=$E89+1,$C89,""),"")</f>
        <v/>
      </c>
      <c r="N89" s="34">
        <f>IF(AND(N$5&gt;$E89,N$5&lt;=$F89),IF(N$5=$E89+1,$C89,""),"")</f>
        <v/>
      </c>
      <c r="O89" s="34">
        <f>IF(AND(O$5&gt;$E89,O$5&lt;=$F89),IF(O$5=$E89+1,$C89,""),"")</f>
        <v/>
      </c>
      <c r="P89" s="34">
        <f>IF(AND(P$5&gt;$E89,P$5&lt;=$F89),IF(P$5=$E89+1,$C89,""),"")</f>
        <v/>
      </c>
      <c r="Q89" s="34">
        <f>IF(AND(Q$5&gt;$E89,Q$5&lt;=$F89),IF(Q$5=$E89+1,$C89,""),"")</f>
        <v/>
      </c>
      <c r="R89" s="34">
        <f>IF(AND(R$5&gt;$E89,R$5&lt;=$F89),IF(R$5=$E89+1,$C89,""),"")</f>
        <v/>
      </c>
      <c r="S89" s="34">
        <f>IF(AND(S$5&gt;$E89,S$5&lt;=$F89),IF(S$5=$E89+1,$C89,""),"")</f>
        <v/>
      </c>
      <c r="T89" s="34">
        <f>IF(AND(T$5&gt;$E89,T$5&lt;=$F89),IF(T$5=$E89+1,$C89,""),"")</f>
        <v/>
      </c>
      <c r="U89" s="34">
        <f>IF(AND(U$5&gt;$E89,U$5&lt;=$F89),IF(U$5=$E89+1,$C89,""),"")</f>
        <v/>
      </c>
      <c r="V89" s="34">
        <f>IF(AND(V$5&gt;$E89,V$5&lt;=$F89),IF(V$5=$E89+1,$C89,""),"")</f>
        <v/>
      </c>
      <c r="W89" s="34">
        <f>IF(AND(W$5&gt;$E89,W$5&lt;=$F89),IF(W$5=$E89+1,$C89,""),"")</f>
        <v/>
      </c>
      <c r="X89" s="34">
        <f>IF(AND(X$5&gt;$E89,X$5&lt;=$F89),IF(X$5=$E89+1,$C89,""),"")</f>
        <v/>
      </c>
      <c r="Y89" s="34">
        <f>IF(AND(Y$5&gt;$E89,Y$5&lt;=$F89),IF(Y$5=$E89+1,$C89,""),"")</f>
        <v/>
      </c>
      <c r="Z89" s="34">
        <f>IF(AND(Z$5&gt;$E89,Z$5&lt;=$F89),IF(Z$5=$E89+1,$C89,""),"")</f>
        <v/>
      </c>
      <c r="AA89" s="34">
        <f>IF(AND(AA$5&gt;$E89,AA$5&lt;=$F89),IF(AA$5=$E89+1,$C89,""),"")</f>
        <v/>
      </c>
      <c r="AB89" s="34">
        <f>IF(AND(AB$5&gt;$E89,AB$5&lt;=$F89),IF(AB$5=$E89+1,$C89,""),"")</f>
        <v/>
      </c>
      <c r="AC89" s="34">
        <f>IF(AND(AC$5&gt;$E89,AC$5&lt;=$F89),IF(AC$5=$E89+1,$C89,""),"")</f>
        <v/>
      </c>
      <c r="AD89" s="34">
        <f>IF(AND(AD$5&gt;$E89,AD$5&lt;=$F89),IF(AD$5=$E89+1,$C89,""),"")</f>
        <v/>
      </c>
      <c r="AE89" s="34">
        <f>IF(AND(AE$5&gt;$E89,AE$5&lt;=$F89),IF(AE$5=$E89+1,$C89,""),"")</f>
        <v/>
      </c>
      <c r="AF89" s="34">
        <f>IF(AND(AF$5&gt;$E89,AF$5&lt;=$F89),IF(AF$5=$E89+1,$C89,""),"")</f>
        <v/>
      </c>
      <c r="AG89" s="34">
        <f>IF(AND(AG$5&gt;$E89,AG$5&lt;=$F89),IF(AG$5=$E89+1,$C89,""),"")</f>
        <v/>
      </c>
      <c r="AH89" s="34">
        <f>IF(AND(AH$5&gt;$E89,AH$5&lt;=$F89),IF(AH$5=$E89+1,$C89,""),"")</f>
        <v/>
      </c>
      <c r="AI89" s="34">
        <f>IF(AND(AI$5&gt;$E89,AI$5&lt;=$F89),IF(AI$5=$E89+1,$C89,""),"")</f>
        <v/>
      </c>
      <c r="AJ89" s="34">
        <f>IF(AND(AJ$5&gt;$E89,AJ$5&lt;=$F89),IF(AJ$5=$E89+1,$C89,""),"")</f>
        <v/>
      </c>
      <c r="AK89" s="34">
        <f>IF(AND(AK$5&gt;$E89,AK$5&lt;=$F89),IF(AK$5=$E89+1,$C89,""),"")</f>
        <v/>
      </c>
      <c r="AL89" s="34">
        <f>IF(AND(AL$5&gt;$E89,AL$5&lt;=$F89),IF(AL$5=$E89+1,$C89,""),"")</f>
        <v/>
      </c>
      <c r="AM89" s="34">
        <f>IF(AND(AM$5&gt;$E89,AM$5&lt;=$F89),IF(AM$5=$E89+1,$C89,""),"")</f>
        <v/>
      </c>
      <c r="AN89" s="34">
        <f>IF(AND(AN$5&gt;$E89,AN$5&lt;=$F89),IF(AN$5=$E89+1,$C89,""),"")</f>
        <v/>
      </c>
      <c r="AO89" s="34">
        <f>IF(AND(AO$5&gt;$E89,AO$5&lt;=$F89),IF(AO$5=$E89+1,$C89,""),"")</f>
        <v/>
      </c>
      <c r="AP89" s="34">
        <f>IF(AND(AP$5&gt;$E89,AP$5&lt;=$F89),IF(AP$5=$E89+1,$C89,""),"")</f>
        <v/>
      </c>
      <c r="AQ89" s="34">
        <f>IF(AND(AQ$5&gt;$E89,AQ$5&lt;=$F89),IF(AQ$5=$E89+1,$C89,""),"")</f>
        <v/>
      </c>
      <c r="AR89" s="34">
        <f>IF(AND(AR$5&gt;$E89,AR$5&lt;=$F89),IF(AR$5=$E89+1,$C89,""),"")</f>
        <v/>
      </c>
      <c r="AS89" s="34">
        <f>IF(AND(AS$5&gt;$E89,AS$5&lt;=$F89),IF(AS$5=$E89+1,$C89,""),"")</f>
        <v/>
      </c>
      <c r="AT89" s="34">
        <f>IF(AND(AT$5&gt;$E89,AT$5&lt;=$F89),IF(AT$5=$E89+1,$C89,""),"")</f>
        <v/>
      </c>
      <c r="AU89" s="34">
        <f>IF(AND(AU$5&gt;$E89,AU$5&lt;=$F89),IF(AU$5=$E89+1,$C89,""),"")</f>
        <v/>
      </c>
      <c r="AV89" s="34">
        <f>IF(AND(AV$5&gt;$E89,AV$5&lt;=$F89),IF(AV$5=$E89+1,$C89,""),"")</f>
        <v/>
      </c>
      <c r="AW89" s="34">
        <f>IF(AND(AW$5&gt;$E89,AW$5&lt;=$F89),IF(AW$5=$E89+1,$C89,""),"")</f>
        <v/>
      </c>
      <c r="AX89" s="34">
        <f>IF(AND(AX$5&gt;$E89,AX$5&lt;=$F89),IF(AX$5=$E89+1,$C89,""),"")</f>
        <v/>
      </c>
      <c r="AY89" s="34">
        <f>IF(AND(AY$5&gt;$E89,AY$5&lt;=$F89),IF(AY$5=$E89+1,$C89,""),"")</f>
        <v/>
      </c>
      <c r="AZ89" s="34">
        <f>IF(AND(AZ$5&gt;$E89,AZ$5&lt;=$F89),IF(AZ$5=$E89+1,$C89,""),"")</f>
        <v/>
      </c>
      <c r="BA89" s="34">
        <f>IF(AND(BA$5&gt;$E89,BA$5&lt;=$F89),IF(BA$5=$E89+1,$C89,""),"")</f>
        <v/>
      </c>
      <c r="BB89" s="34">
        <f>IF(AND(BB$5&gt;$E89,BB$5&lt;=$F89),IF(BB$5=$E89+1,$C89,""),"")</f>
        <v/>
      </c>
      <c r="BC89" s="34">
        <f>IF(AND(BC$5&gt;$E89,BC$5&lt;=$F89),IF(BC$5=$E89+1,$C89,""),"")</f>
        <v/>
      </c>
      <c r="BD89" s="34">
        <f>IF(AND(BD$5&gt;$E89,BD$5&lt;=$F89),IF(BD$5=$E89+1,$C89,""),"")</f>
        <v/>
      </c>
      <c r="BE89" s="34">
        <f>IF(AND(BE$5&gt;$E89,BE$5&lt;=$F89),IF(BE$5=$E89+1,$C89,""),"")</f>
        <v/>
      </c>
      <c r="BF89" s="34">
        <f>IF(AND(BF$5&gt;$E89,BF$5&lt;=$F89),IF(BF$5=$E89+1,$C89,""),"")</f>
        <v/>
      </c>
      <c r="BG89" s="34">
        <f>IF(AND(BG$5&gt;$E89,BG$5&lt;=$F89),IF(BG$5=$E89+1,$C89,""),"")</f>
        <v/>
      </c>
      <c r="BH89" s="34">
        <f>IF(AND(BH$5&gt;$E89,BH$5&lt;=$F89),IF(BH$5=$E89+1,$C89,""),"")</f>
        <v/>
      </c>
      <c r="BI89" s="34">
        <f>IF(AND(BI$5&gt;$E89,BI$5&lt;=$F89),IF(BI$5=$E89+1,$C89,""),"")</f>
        <v/>
      </c>
      <c r="BJ89" s="34">
        <f>IF(AND(BJ$5&gt;$E89,BJ$5&lt;=$F89),IF(BJ$5=$E89+1,$C89,""),"")</f>
        <v/>
      </c>
      <c r="BK89" s="34">
        <f>IF(AND(BK$5&gt;$E89,BK$5&lt;=$F89),IF(BK$5=$E89+1,$C89,""),"")</f>
        <v/>
      </c>
      <c r="BL89" s="34">
        <f>IF(AND(BL$5&gt;$E89,BL$5&lt;=$F89),IF(BL$5=$E89+1,$C89,""),"")</f>
        <v/>
      </c>
      <c r="BM89" s="34">
        <f>IF(AND(BM$5&gt;$E89,BM$5&lt;=$F89),IF(BM$5=$E89+1,$C89,""),"")</f>
        <v/>
      </c>
      <c r="BN89" s="34">
        <f>IF(AND(BN$5&gt;$E89,BN$5&lt;=$F89),IF(BN$5=$E89+1,$C89,""),"")</f>
        <v/>
      </c>
      <c r="BO89" s="34">
        <f>IF(AND(BO$5&gt;$E89,BO$5&lt;=$F89),IF(BO$5=$E89+1,$C89,""),"")</f>
        <v/>
      </c>
      <c r="BP89" s="34">
        <f>IF(AND(BP$5&gt;$E89,BP$5&lt;=$F89),IF(BP$5=$E89+1,$C89,""),"")</f>
        <v/>
      </c>
      <c r="BQ89" s="34">
        <f>IF(AND(BQ$5&gt;$E89,BQ$5&lt;=$F89),IF(BQ$5=$E89+1,$C89,""),"")</f>
        <v/>
      </c>
      <c r="BR89" s="34">
        <f>IF(AND(BR$5&gt;$E89,BR$5&lt;=$F89),IF(BR$5=$E89+1,$C89,""),"")</f>
        <v/>
      </c>
      <c r="BS89" s="34">
        <f>IF(AND(BS$5&gt;$E89,BS$5&lt;=$F89),IF(BS$5=$E89+1,$C89,""),"")</f>
        <v/>
      </c>
      <c r="BT89" s="34">
        <f>IF(AND(BT$5&gt;$E89,BT$5&lt;=$F89),IF(BT$5=$E89+1,$C89,""),"")</f>
        <v/>
      </c>
      <c r="BU89" s="34">
        <f>IF(AND(BU$5&gt;$E89,BU$5&lt;=$F89),IF(BU$5=$E89+1,$C89,""),"")</f>
        <v/>
      </c>
      <c r="BV89" s="34">
        <f>IF(AND(BV$5&gt;$E89,BV$5&lt;=$F89),IF(BV$5=$E89+1,$C89,""),"")</f>
        <v/>
      </c>
      <c r="BW89" s="34">
        <f>IF(AND(BW$5&gt;$E89,BW$5&lt;=$F89),IF(BW$5=$E89+1,$C89,""),"")</f>
        <v/>
      </c>
      <c r="BX89" s="34">
        <f>IF(AND(BX$5&gt;$E89,BX$5&lt;=$F89),IF(BX$5=$E89+1,$C89,""),"")</f>
        <v/>
      </c>
      <c r="BY89" s="34">
        <f>IF(AND(BY$5&gt;$E89,BY$5&lt;=$F89),IF(BY$5=$E89+1,$C89,""),"")</f>
        <v/>
      </c>
      <c r="BZ89" s="34">
        <f>IF(AND(BZ$5&gt;$E89,BZ$5&lt;=$F89),IF(BZ$5=$E89+1,$C89,""),"")</f>
        <v/>
      </c>
      <c r="CA89" s="34">
        <f>IF(AND(CA$5&gt;$E89,CA$5&lt;=$F89),IF(CA$5=$E89+1,$C89,""),"")</f>
        <v/>
      </c>
      <c r="CB89" s="34">
        <f>IF(AND(CB$5&gt;$E89,CB$5&lt;=$F89),IF(CB$5=$E89+1,$C89,""),"")</f>
        <v/>
      </c>
      <c r="CC89" s="34">
        <f>IF(AND(CC$5&gt;$E89,CC$5&lt;=$F89),IF(CC$5=$E89+1,$C89,""),"")</f>
        <v/>
      </c>
      <c r="CD89" s="34">
        <f>IF(AND(CD$5&gt;$E89,CD$5&lt;=$F89),IF(CD$5=$E89+1,$C89,""),"")</f>
        <v/>
      </c>
      <c r="CE89" s="34">
        <f>IF(AND(CE$5&gt;$E89,CE$5&lt;=$F89),IF(CE$5=$E89+1,$C89,""),"")</f>
        <v/>
      </c>
      <c r="CF89" s="34">
        <f>IF(AND(CF$5&gt;$E89,CF$5&lt;=$F89),IF(CF$5=$E89+1,$C89,""),"")</f>
        <v/>
      </c>
      <c r="CG89" s="34">
        <f>IF(AND(CG$5&gt;$E89,CG$5&lt;=$F89),IF(CG$5=$E89+1,$C89,""),"")</f>
        <v/>
      </c>
      <c r="CH89" s="34">
        <f>IF(AND(CH$5&gt;$E89,CH$5&lt;=$F89),IF(CH$5=$E89+1,$C89,""),"")</f>
        <v/>
      </c>
      <c r="CI89" s="34">
        <f>IF(AND(CI$5&gt;$E89,CI$5&lt;=$F89),IF(CI$5=$E89+1,$C89,""),"")</f>
        <v/>
      </c>
      <c r="CJ89" s="34">
        <f>IF(AND(CJ$5&gt;$E89,CJ$5&lt;=$F89),IF(CJ$5=$E89+1,$C89,""),"")</f>
        <v/>
      </c>
      <c r="CK89" s="34">
        <f>IF(AND(CK$5&gt;$E89,CK$5&lt;=$F89),IF(CK$5=$E89+1,$C89,""),"")</f>
        <v/>
      </c>
      <c r="CL89" s="34">
        <f>IF(AND(CL$5&gt;$E89,CL$5&lt;=$F89),IF(CL$5=$E89+1,$C89,""),"")</f>
        <v/>
      </c>
      <c r="CM89" s="34">
        <f>IF(AND(CM$5&gt;$E89,CM$5&lt;=$F89),IF(CM$5=$E89+1,$C89,""),"")</f>
        <v/>
      </c>
      <c r="CN89" s="34">
        <f>IF(AND(CN$5&gt;$E89,CN$5&lt;=$F89),IF(CN$5=$E89+1,$C89,""),"")</f>
        <v/>
      </c>
      <c r="CO89" s="34">
        <f>IF(AND(CO$5&gt;$E89,CO$5&lt;=$F89),IF(CO$5=$E89+1,$C89,""),"")</f>
        <v/>
      </c>
      <c r="CP89" s="34">
        <f>IF(AND(CP$5&gt;$E89,CP$5&lt;=$F89),IF(CP$5=$E89+1,$C89,""),"")</f>
        <v/>
      </c>
      <c r="CQ89" s="34">
        <f>IF(AND(CQ$5&gt;$E89,CQ$5&lt;=$F89),IF(CQ$5=$E89+1,$C89,""),"")</f>
        <v/>
      </c>
      <c r="CR89" s="34">
        <f>IF(AND(CR$5&gt;$E89,CR$5&lt;=$F89),IF(CR$5=$E89+1,$C89,""),"")</f>
        <v/>
      </c>
      <c r="CS89" s="34">
        <f>IF(AND(CS$5&gt;$E89,CS$5&lt;=$F89),IF(CS$5=$E89+1,$C89,""),"")</f>
        <v/>
      </c>
      <c r="CT89" s="34">
        <f>IF(AND(CT$5&gt;$E89,CT$5&lt;=$F89),IF(CT$5=$E89+1,$C89,""),"")</f>
        <v/>
      </c>
      <c r="CU89" s="34">
        <f>IF(AND(CU$5&gt;$E89,CU$5&lt;=$F89),IF(CU$5=$E89+1,$C89,""),"")</f>
        <v/>
      </c>
      <c r="CV89" s="34">
        <f>IF(AND(CV$5&gt;$E89,CV$5&lt;=$F89),IF(CV$5=$E89+1,$C89,""),"")</f>
        <v/>
      </c>
      <c r="CW89" s="34">
        <f>IF(AND(CW$5&gt;$E89,CW$5&lt;=$F89),IF(CW$5=$E89+1,$C89,""),"")</f>
        <v/>
      </c>
      <c r="CX89" s="34">
        <f>IF(AND(CX$5&gt;$E89,CX$5&lt;=$F89),IF(CX$5=$E89+1,$C89,""),"")</f>
        <v/>
      </c>
      <c r="CY89" s="34">
        <f>IF(AND(CY$5&gt;$E89,CY$5&lt;=$F89),IF(CY$5=$E89+1,$C89,""),"")</f>
        <v/>
      </c>
      <c r="CZ89" s="34">
        <f>IF(AND(CZ$5&gt;$E89,CZ$5&lt;=$F89),IF(CZ$5=$E89+1,$C89,""),"")</f>
        <v/>
      </c>
      <c r="DA89" s="34">
        <f>IF(AND(DA$5&gt;$E89,DA$5&lt;=$F89),IF(DA$5=$E89+1,$C89,""),"")</f>
        <v/>
      </c>
      <c r="DB89" s="34">
        <f>IF(AND(DB$5&gt;$E89,DB$5&lt;=$F89),IF(DB$5=$E89+1,$C89,""),"")</f>
        <v/>
      </c>
      <c r="DC89" s="34">
        <f>IF(AND(DC$5&gt;$E89,DC$5&lt;=$F89),IF(DC$5=$E89+1,$C89,""),"")</f>
        <v/>
      </c>
      <c r="DD89" s="34">
        <f>IF(AND(DD$5&gt;$E89,DD$5&lt;=$F89),IF(DD$5=$E89+1,$C89,""),"")</f>
        <v/>
      </c>
      <c r="DE89" s="34">
        <f>IF(AND(DE$5&gt;$E89,DE$5&lt;=$F89),IF(DE$5=$E89+1,$C89,""),"")</f>
        <v/>
      </c>
      <c r="DF89" s="34">
        <f>IF(AND(DF$5&gt;$E89,DF$5&lt;=$F89),IF(DF$5=$E89+1,$C89,""),"")</f>
        <v/>
      </c>
      <c r="DG89" s="34">
        <f>IF(AND(DG$5&gt;$E89,DG$5&lt;=$F89),IF(DG$5=$E89+1,$C89,""),"")</f>
        <v/>
      </c>
      <c r="DH89" s="34">
        <f>IF(AND(DH$5&gt;$E89,DH$5&lt;=$F89),IF(DH$5=$E89+1,$C89,""),"")</f>
        <v/>
      </c>
      <c r="DI89" s="34">
        <f>IF(AND(DI$5&gt;$E89,DI$5&lt;=$F89),IF(DI$5=$E89+1,$C89,""),"")</f>
        <v/>
      </c>
      <c r="DJ89" s="34">
        <f>IF(AND(DJ$5&gt;$E89,DJ$5&lt;=$F89),IF(DJ$5=$E89+1,$C89,""),"")</f>
        <v/>
      </c>
      <c r="DK89" s="34">
        <f>IF(AND(DK$5&gt;$E89,DK$5&lt;=$F89),IF(DK$5=$E89+1,$C89,""),"")</f>
        <v/>
      </c>
      <c r="DL89" s="34">
        <f>IF(AND(DL$5&gt;$E89,DL$5&lt;=$F89),IF(DL$5=$E89+1,$C89,""),"")</f>
        <v/>
      </c>
      <c r="DM89" s="34">
        <f>IF(AND(DM$5&gt;$E89,DM$5&lt;=$F89),IF(DM$5=$E89+1,$C89,""),"")</f>
        <v/>
      </c>
      <c r="DN89" s="34">
        <f>IF(AND(DN$5&gt;$E89,DN$5&lt;=$F89),IF(DN$5=$E89+1,$C89,""),"")</f>
        <v/>
      </c>
      <c r="DO89" s="34">
        <f>IF(AND(DO$5&gt;$E89,DO$5&lt;=$F89),IF(DO$5=$E89+1,$C89,""),"")</f>
        <v/>
      </c>
      <c r="DP89" s="34">
        <f>IF(AND(DP$5&gt;$E89,DP$5&lt;=$F89),IF(DP$5=$E89+1,$C89,""),"")</f>
        <v/>
      </c>
      <c r="DQ89" s="34">
        <f>IF(AND(DQ$5&gt;$E89,DQ$5&lt;=$F89),IF(DQ$5=$E89+1,$C89,""),"")</f>
        <v/>
      </c>
      <c r="DR89" s="34">
        <f>IF(AND(DR$5&gt;$E89,DR$5&lt;=$F89),IF(DR$5=$E89+1,$C89,""),"")</f>
        <v/>
      </c>
      <c r="DS89" s="34">
        <f>IF(AND(DS$5&gt;$E89,DS$5&lt;=$F89),IF(DS$5=$E89+1,$C89,""),"")</f>
        <v/>
      </c>
      <c r="DT89" s="34">
        <f>IF(AND(DT$5&gt;$E89,DT$5&lt;=$F89),IF(DT$5=$E89+1,$C89,""),"")</f>
        <v/>
      </c>
      <c r="DU89" s="34">
        <f>IF(AND(DU$5&gt;$E89,DU$5&lt;=$F89),IF(DU$5=$E89+1,$C89,""),"")</f>
        <v/>
      </c>
      <c r="DV89" s="34">
        <f>IF(AND(DV$5&gt;$E89,DV$5&lt;=$F89),IF(DV$5=$E89+1,$C89,""),"")</f>
        <v/>
      </c>
      <c r="DW89" s="34">
        <f>IF(AND(DW$5&gt;$E89,DW$5&lt;=$F89),IF(DW$5=$E89+1,$C89,""),"")</f>
        <v/>
      </c>
      <c r="DX89" s="34">
        <f>IF(AND(DX$5&gt;$E89,DX$5&lt;=$F89),IF(DX$5=$E89+1,$C89,""),"")</f>
        <v/>
      </c>
      <c r="DY89" s="34">
        <f>IF(AND(DY$5&gt;$E89,DY$5&lt;=$F89),IF(DY$5=$E89+1,$C89,""),"")</f>
        <v/>
      </c>
      <c r="DZ89" s="34">
        <f>IF(AND(DZ$5&gt;$E89,DZ$5&lt;=$F89),IF(DZ$5=$E89+1,$C89,""),"")</f>
        <v/>
      </c>
      <c r="EA89" s="34">
        <f>IF(AND(EA$5&gt;$E89,EA$5&lt;=$F89),IF(EA$5=$E89+1,$C89,""),"")</f>
        <v/>
      </c>
      <c r="EB89" s="34">
        <f>IF(AND(EB$5&gt;$E89,EB$5&lt;=$F89),IF(EB$5=$E89+1,$C89,""),"")</f>
        <v/>
      </c>
      <c r="EC89" s="34">
        <f>IF(AND(EC$5&gt;$E89,EC$5&lt;=$F89),IF(EC$5=$E89+1,$C89,""),"")</f>
        <v/>
      </c>
      <c r="ED89" s="34">
        <f>IF(AND(ED$5&gt;$E89,ED$5&lt;=$F89),IF(ED$5=$E89+1,$C89,""),"")</f>
        <v/>
      </c>
      <c r="EE89" s="34">
        <f>IF(AND(EE$5&gt;$E89,EE$5&lt;=$F89),IF(EE$5=$E89+1,$C89,""),"")</f>
        <v/>
      </c>
      <c r="EF89" s="34">
        <f>IF(AND(EF$5&gt;$E89,EF$5&lt;=$F89),IF(EF$5=$E89+1,$C89,""),"")</f>
        <v/>
      </c>
      <c r="EG89" s="34">
        <f>IF(AND(EG$5&gt;$E89,EG$5&lt;=$F89),IF(EG$5=$E89+1,$C89,""),"")</f>
        <v/>
      </c>
      <c r="EH89" s="34">
        <f>IF(AND(EH$5&gt;$E89,EH$5&lt;=$F89),IF(EH$5=$E89+1,$C89,""),"")</f>
        <v/>
      </c>
      <c r="EI89" s="34">
        <f>IF(AND(EI$5&gt;$E89,EI$5&lt;=$F89),IF(EI$5=$E89+1,$C89,""),"")</f>
        <v/>
      </c>
      <c r="EJ89" s="34">
        <f>IF(AND(EJ$5&gt;$E89,EJ$5&lt;=$F89),IF(EJ$5=$E89+1,$C89,""),"")</f>
        <v/>
      </c>
      <c r="EK89" s="34">
        <f>IF(AND(EK$5&gt;$E89,EK$5&lt;=$F89),IF(EK$5=$E89+1,$C89,""),"")</f>
        <v/>
      </c>
      <c r="EL89" s="34">
        <f>IF(AND(EL$5&gt;$E89,EL$5&lt;=$F89),IF(EL$5=$E89+1,$C89,""),"")</f>
        <v/>
      </c>
      <c r="EM89" s="34">
        <f>IF(AND(EM$5&gt;$E89,EM$5&lt;=$F89),IF(EM$5=$E89+1,$C89,""),"")</f>
        <v/>
      </c>
      <c r="EN89" s="34">
        <f>IF(AND(EN$5&gt;$E89,EN$5&lt;=$F89),IF(EN$5=$E89+1,$C89,""),"")</f>
        <v/>
      </c>
      <c r="EO89" s="34">
        <f>IF(AND(EO$5&gt;$E89,EO$5&lt;=$F89),IF(EO$5=$E89+1,$C89,""),"")</f>
        <v/>
      </c>
      <c r="EP89" s="34">
        <f>IF(AND(EP$5&gt;$E89,EP$5&lt;=$F89),IF(EP$5=$E89+1,$C89,""),"")</f>
        <v/>
      </c>
      <c r="EQ89" s="34">
        <f>IF(AND(EQ$5&gt;$E89,EQ$5&lt;=$F89),IF(EQ$5=$E89+1,$C89,""),"")</f>
        <v/>
      </c>
      <c r="ER89" s="34">
        <f>IF(AND(ER$5&gt;$E89,ER$5&lt;=$F89),IF(ER$5=$E89+1,$C89,""),"")</f>
        <v/>
      </c>
      <c r="ES89" s="34">
        <f>IF(AND(ES$5&gt;$E89,ES$5&lt;=$F89),IF(ES$5=$E89+1,$C89,""),"")</f>
        <v/>
      </c>
      <c r="ET89" s="34">
        <f>IF(AND(ET$5&gt;$E89,ET$5&lt;=$F89),IF(ET$5=$E89+1,$C89,""),"")</f>
        <v/>
      </c>
      <c r="EU89" s="34">
        <f>IF(AND(EU$5&gt;$E89,EU$5&lt;=$F89),IF(EU$5=$E89+1,$C89,""),"")</f>
        <v/>
      </c>
      <c r="EV89" s="34">
        <f>IF(AND(EV$5&gt;$E89,EV$5&lt;=$F89),IF(EV$5=$E89+1,$C89,""),"")</f>
        <v/>
      </c>
      <c r="EW89" s="34">
        <f>IF(AND(EW$5&gt;$E89,EW$5&lt;=$F89),IF(EW$5=$E89+1,$C89,""),"")</f>
        <v/>
      </c>
      <c r="EX89" s="34">
        <f>IF(AND(EX$5&gt;$E89,EX$5&lt;=$F89),IF(EX$5=$E89+1,$C89,""),"")</f>
        <v/>
      </c>
      <c r="EY89" s="34">
        <f>IF(AND(EY$5&gt;$E89,EY$5&lt;=$F89),IF(EY$5=$E89+1,$C89,""),"")</f>
        <v/>
      </c>
      <c r="EZ89" s="34">
        <f>IF(AND(EZ$5&gt;$E89,EZ$5&lt;=$F89),IF(EZ$5=$E89+1,$C89,""),"")</f>
        <v/>
      </c>
      <c r="FA89" s="34">
        <f>IF(AND(FA$5&gt;$E89,FA$5&lt;=$F89),IF(FA$5=$E89+1,$C89,""),"")</f>
        <v/>
      </c>
    </row>
    <row r="90">
      <c r="A90" s="32">
        <f>Plan!A96</f>
        <v/>
      </c>
      <c r="B90" s="33">
        <f>Plan!C96</f>
        <v/>
      </c>
      <c r="C90" s="16">
        <f>Plan!D96</f>
        <v/>
      </c>
      <c r="D90" s="16">
        <f>Plan!I96</f>
        <v/>
      </c>
      <c r="E90" s="16">
        <f>Plan!K96</f>
        <v/>
      </c>
      <c r="F90" s="16">
        <f>Plan!L96</f>
        <v/>
      </c>
      <c r="G90" s="16">
        <f>Plan!O96</f>
        <v/>
      </c>
      <c r="H90" s="34">
        <f>IF(AND(H$5&gt;$E90,H$5&lt;=$F90),IF(H$5=$E90+1,$C90,""),"")</f>
        <v/>
      </c>
      <c r="I90" s="34">
        <f>IF(AND(I$5&gt;$E90,I$5&lt;=$F90),IF(I$5=$E90+1,$C90,""),"")</f>
        <v/>
      </c>
      <c r="J90" s="34">
        <f>IF(AND(J$5&gt;$E90,J$5&lt;=$F90),IF(J$5=$E90+1,$C90,""),"")</f>
        <v/>
      </c>
      <c r="K90" s="34">
        <f>IF(AND(K$5&gt;$E90,K$5&lt;=$F90),IF(K$5=$E90+1,$C90,""),"")</f>
        <v/>
      </c>
      <c r="L90" s="34">
        <f>IF(AND(L$5&gt;$E90,L$5&lt;=$F90),IF(L$5=$E90+1,$C90,""),"")</f>
        <v/>
      </c>
      <c r="M90" s="34">
        <f>IF(AND(M$5&gt;$E90,M$5&lt;=$F90),IF(M$5=$E90+1,$C90,""),"")</f>
        <v/>
      </c>
      <c r="N90" s="34">
        <f>IF(AND(N$5&gt;$E90,N$5&lt;=$F90),IF(N$5=$E90+1,$C90,""),"")</f>
        <v/>
      </c>
      <c r="O90" s="34">
        <f>IF(AND(O$5&gt;$E90,O$5&lt;=$F90),IF(O$5=$E90+1,$C90,""),"")</f>
        <v/>
      </c>
      <c r="P90" s="34">
        <f>IF(AND(P$5&gt;$E90,P$5&lt;=$F90),IF(P$5=$E90+1,$C90,""),"")</f>
        <v/>
      </c>
      <c r="Q90" s="34">
        <f>IF(AND(Q$5&gt;$E90,Q$5&lt;=$F90),IF(Q$5=$E90+1,$C90,""),"")</f>
        <v/>
      </c>
      <c r="R90" s="34">
        <f>IF(AND(R$5&gt;$E90,R$5&lt;=$F90),IF(R$5=$E90+1,$C90,""),"")</f>
        <v/>
      </c>
      <c r="S90" s="34">
        <f>IF(AND(S$5&gt;$E90,S$5&lt;=$F90),IF(S$5=$E90+1,$C90,""),"")</f>
        <v/>
      </c>
      <c r="T90" s="34">
        <f>IF(AND(T$5&gt;$E90,T$5&lt;=$F90),IF(T$5=$E90+1,$C90,""),"")</f>
        <v/>
      </c>
      <c r="U90" s="34">
        <f>IF(AND(U$5&gt;$E90,U$5&lt;=$F90),IF(U$5=$E90+1,$C90,""),"")</f>
        <v/>
      </c>
      <c r="V90" s="34">
        <f>IF(AND(V$5&gt;$E90,V$5&lt;=$F90),IF(V$5=$E90+1,$C90,""),"")</f>
        <v/>
      </c>
      <c r="W90" s="34">
        <f>IF(AND(W$5&gt;$E90,W$5&lt;=$F90),IF(W$5=$E90+1,$C90,""),"")</f>
        <v/>
      </c>
      <c r="X90" s="34">
        <f>IF(AND(X$5&gt;$E90,X$5&lt;=$F90),IF(X$5=$E90+1,$C90,""),"")</f>
        <v/>
      </c>
      <c r="Y90" s="34">
        <f>IF(AND(Y$5&gt;$E90,Y$5&lt;=$F90),IF(Y$5=$E90+1,$C90,""),"")</f>
        <v/>
      </c>
      <c r="Z90" s="34">
        <f>IF(AND(Z$5&gt;$E90,Z$5&lt;=$F90),IF(Z$5=$E90+1,$C90,""),"")</f>
        <v/>
      </c>
      <c r="AA90" s="34">
        <f>IF(AND(AA$5&gt;$E90,AA$5&lt;=$F90),IF(AA$5=$E90+1,$C90,""),"")</f>
        <v/>
      </c>
      <c r="AB90" s="34">
        <f>IF(AND(AB$5&gt;$E90,AB$5&lt;=$F90),IF(AB$5=$E90+1,$C90,""),"")</f>
        <v/>
      </c>
      <c r="AC90" s="34">
        <f>IF(AND(AC$5&gt;$E90,AC$5&lt;=$F90),IF(AC$5=$E90+1,$C90,""),"")</f>
        <v/>
      </c>
      <c r="AD90" s="34">
        <f>IF(AND(AD$5&gt;$E90,AD$5&lt;=$F90),IF(AD$5=$E90+1,$C90,""),"")</f>
        <v/>
      </c>
      <c r="AE90" s="34">
        <f>IF(AND(AE$5&gt;$E90,AE$5&lt;=$F90),IF(AE$5=$E90+1,$C90,""),"")</f>
        <v/>
      </c>
      <c r="AF90" s="34">
        <f>IF(AND(AF$5&gt;$E90,AF$5&lt;=$F90),IF(AF$5=$E90+1,$C90,""),"")</f>
        <v/>
      </c>
      <c r="AG90" s="34">
        <f>IF(AND(AG$5&gt;$E90,AG$5&lt;=$F90),IF(AG$5=$E90+1,$C90,""),"")</f>
        <v/>
      </c>
      <c r="AH90" s="34">
        <f>IF(AND(AH$5&gt;$E90,AH$5&lt;=$F90),IF(AH$5=$E90+1,$C90,""),"")</f>
        <v/>
      </c>
      <c r="AI90" s="34">
        <f>IF(AND(AI$5&gt;$E90,AI$5&lt;=$F90),IF(AI$5=$E90+1,$C90,""),"")</f>
        <v/>
      </c>
      <c r="AJ90" s="34">
        <f>IF(AND(AJ$5&gt;$E90,AJ$5&lt;=$F90),IF(AJ$5=$E90+1,$C90,""),"")</f>
        <v/>
      </c>
      <c r="AK90" s="34">
        <f>IF(AND(AK$5&gt;$E90,AK$5&lt;=$F90),IF(AK$5=$E90+1,$C90,""),"")</f>
        <v/>
      </c>
      <c r="AL90" s="34">
        <f>IF(AND(AL$5&gt;$E90,AL$5&lt;=$F90),IF(AL$5=$E90+1,$C90,""),"")</f>
        <v/>
      </c>
      <c r="AM90" s="34">
        <f>IF(AND(AM$5&gt;$E90,AM$5&lt;=$F90),IF(AM$5=$E90+1,$C90,""),"")</f>
        <v/>
      </c>
      <c r="AN90" s="34">
        <f>IF(AND(AN$5&gt;$E90,AN$5&lt;=$F90),IF(AN$5=$E90+1,$C90,""),"")</f>
        <v/>
      </c>
      <c r="AO90" s="34">
        <f>IF(AND(AO$5&gt;$E90,AO$5&lt;=$F90),IF(AO$5=$E90+1,$C90,""),"")</f>
        <v/>
      </c>
      <c r="AP90" s="34">
        <f>IF(AND(AP$5&gt;$E90,AP$5&lt;=$F90),IF(AP$5=$E90+1,$C90,""),"")</f>
        <v/>
      </c>
      <c r="AQ90" s="34">
        <f>IF(AND(AQ$5&gt;$E90,AQ$5&lt;=$F90),IF(AQ$5=$E90+1,$C90,""),"")</f>
        <v/>
      </c>
      <c r="AR90" s="34">
        <f>IF(AND(AR$5&gt;$E90,AR$5&lt;=$F90),IF(AR$5=$E90+1,$C90,""),"")</f>
        <v/>
      </c>
      <c r="AS90" s="34">
        <f>IF(AND(AS$5&gt;$E90,AS$5&lt;=$F90),IF(AS$5=$E90+1,$C90,""),"")</f>
        <v/>
      </c>
      <c r="AT90" s="34">
        <f>IF(AND(AT$5&gt;$E90,AT$5&lt;=$F90),IF(AT$5=$E90+1,$C90,""),"")</f>
        <v/>
      </c>
      <c r="AU90" s="34">
        <f>IF(AND(AU$5&gt;$E90,AU$5&lt;=$F90),IF(AU$5=$E90+1,$C90,""),"")</f>
        <v/>
      </c>
      <c r="AV90" s="34">
        <f>IF(AND(AV$5&gt;$E90,AV$5&lt;=$F90),IF(AV$5=$E90+1,$C90,""),"")</f>
        <v/>
      </c>
      <c r="AW90" s="34">
        <f>IF(AND(AW$5&gt;$E90,AW$5&lt;=$F90),IF(AW$5=$E90+1,$C90,""),"")</f>
        <v/>
      </c>
      <c r="AX90" s="34">
        <f>IF(AND(AX$5&gt;$E90,AX$5&lt;=$F90),IF(AX$5=$E90+1,$C90,""),"")</f>
        <v/>
      </c>
      <c r="AY90" s="34">
        <f>IF(AND(AY$5&gt;$E90,AY$5&lt;=$F90),IF(AY$5=$E90+1,$C90,""),"")</f>
        <v/>
      </c>
      <c r="AZ90" s="34">
        <f>IF(AND(AZ$5&gt;$E90,AZ$5&lt;=$F90),IF(AZ$5=$E90+1,$C90,""),"")</f>
        <v/>
      </c>
      <c r="BA90" s="34">
        <f>IF(AND(BA$5&gt;$E90,BA$5&lt;=$F90),IF(BA$5=$E90+1,$C90,""),"")</f>
        <v/>
      </c>
      <c r="BB90" s="34">
        <f>IF(AND(BB$5&gt;$E90,BB$5&lt;=$F90),IF(BB$5=$E90+1,$C90,""),"")</f>
        <v/>
      </c>
      <c r="BC90" s="34">
        <f>IF(AND(BC$5&gt;$E90,BC$5&lt;=$F90),IF(BC$5=$E90+1,$C90,""),"")</f>
        <v/>
      </c>
      <c r="BD90" s="34">
        <f>IF(AND(BD$5&gt;$E90,BD$5&lt;=$F90),IF(BD$5=$E90+1,$C90,""),"")</f>
        <v/>
      </c>
      <c r="BE90" s="34">
        <f>IF(AND(BE$5&gt;$E90,BE$5&lt;=$F90),IF(BE$5=$E90+1,$C90,""),"")</f>
        <v/>
      </c>
      <c r="BF90" s="34">
        <f>IF(AND(BF$5&gt;$E90,BF$5&lt;=$F90),IF(BF$5=$E90+1,$C90,""),"")</f>
        <v/>
      </c>
      <c r="BG90" s="34">
        <f>IF(AND(BG$5&gt;$E90,BG$5&lt;=$F90),IF(BG$5=$E90+1,$C90,""),"")</f>
        <v/>
      </c>
      <c r="BH90" s="34">
        <f>IF(AND(BH$5&gt;$E90,BH$5&lt;=$F90),IF(BH$5=$E90+1,$C90,""),"")</f>
        <v/>
      </c>
      <c r="BI90" s="34">
        <f>IF(AND(BI$5&gt;$E90,BI$5&lt;=$F90),IF(BI$5=$E90+1,$C90,""),"")</f>
        <v/>
      </c>
      <c r="BJ90" s="34">
        <f>IF(AND(BJ$5&gt;$E90,BJ$5&lt;=$F90),IF(BJ$5=$E90+1,$C90,""),"")</f>
        <v/>
      </c>
      <c r="BK90" s="34">
        <f>IF(AND(BK$5&gt;$E90,BK$5&lt;=$F90),IF(BK$5=$E90+1,$C90,""),"")</f>
        <v/>
      </c>
      <c r="BL90" s="34">
        <f>IF(AND(BL$5&gt;$E90,BL$5&lt;=$F90),IF(BL$5=$E90+1,$C90,""),"")</f>
        <v/>
      </c>
      <c r="BM90" s="34">
        <f>IF(AND(BM$5&gt;$E90,BM$5&lt;=$F90),IF(BM$5=$E90+1,$C90,""),"")</f>
        <v/>
      </c>
      <c r="BN90" s="34">
        <f>IF(AND(BN$5&gt;$E90,BN$5&lt;=$F90),IF(BN$5=$E90+1,$C90,""),"")</f>
        <v/>
      </c>
      <c r="BO90" s="34">
        <f>IF(AND(BO$5&gt;$E90,BO$5&lt;=$F90),IF(BO$5=$E90+1,$C90,""),"")</f>
        <v/>
      </c>
      <c r="BP90" s="34">
        <f>IF(AND(BP$5&gt;$E90,BP$5&lt;=$F90),IF(BP$5=$E90+1,$C90,""),"")</f>
        <v/>
      </c>
      <c r="BQ90" s="34">
        <f>IF(AND(BQ$5&gt;$E90,BQ$5&lt;=$F90),IF(BQ$5=$E90+1,$C90,""),"")</f>
        <v/>
      </c>
      <c r="BR90" s="34">
        <f>IF(AND(BR$5&gt;$E90,BR$5&lt;=$F90),IF(BR$5=$E90+1,$C90,""),"")</f>
        <v/>
      </c>
      <c r="BS90" s="34">
        <f>IF(AND(BS$5&gt;$E90,BS$5&lt;=$F90),IF(BS$5=$E90+1,$C90,""),"")</f>
        <v/>
      </c>
      <c r="BT90" s="34">
        <f>IF(AND(BT$5&gt;$E90,BT$5&lt;=$F90),IF(BT$5=$E90+1,$C90,""),"")</f>
        <v/>
      </c>
      <c r="BU90" s="34">
        <f>IF(AND(BU$5&gt;$E90,BU$5&lt;=$F90),IF(BU$5=$E90+1,$C90,""),"")</f>
        <v/>
      </c>
      <c r="BV90" s="34">
        <f>IF(AND(BV$5&gt;$E90,BV$5&lt;=$F90),IF(BV$5=$E90+1,$C90,""),"")</f>
        <v/>
      </c>
      <c r="BW90" s="34">
        <f>IF(AND(BW$5&gt;$E90,BW$5&lt;=$F90),IF(BW$5=$E90+1,$C90,""),"")</f>
        <v/>
      </c>
      <c r="BX90" s="34">
        <f>IF(AND(BX$5&gt;$E90,BX$5&lt;=$F90),IF(BX$5=$E90+1,$C90,""),"")</f>
        <v/>
      </c>
      <c r="BY90" s="34">
        <f>IF(AND(BY$5&gt;$E90,BY$5&lt;=$F90),IF(BY$5=$E90+1,$C90,""),"")</f>
        <v/>
      </c>
      <c r="BZ90" s="34">
        <f>IF(AND(BZ$5&gt;$E90,BZ$5&lt;=$F90),IF(BZ$5=$E90+1,$C90,""),"")</f>
        <v/>
      </c>
      <c r="CA90" s="34">
        <f>IF(AND(CA$5&gt;$E90,CA$5&lt;=$F90),IF(CA$5=$E90+1,$C90,""),"")</f>
        <v/>
      </c>
      <c r="CB90" s="34">
        <f>IF(AND(CB$5&gt;$E90,CB$5&lt;=$F90),IF(CB$5=$E90+1,$C90,""),"")</f>
        <v/>
      </c>
      <c r="CC90" s="34">
        <f>IF(AND(CC$5&gt;$E90,CC$5&lt;=$F90),IF(CC$5=$E90+1,$C90,""),"")</f>
        <v/>
      </c>
      <c r="CD90" s="34">
        <f>IF(AND(CD$5&gt;$E90,CD$5&lt;=$F90),IF(CD$5=$E90+1,$C90,""),"")</f>
        <v/>
      </c>
      <c r="CE90" s="34">
        <f>IF(AND(CE$5&gt;$E90,CE$5&lt;=$F90),IF(CE$5=$E90+1,$C90,""),"")</f>
        <v/>
      </c>
      <c r="CF90" s="34">
        <f>IF(AND(CF$5&gt;$E90,CF$5&lt;=$F90),IF(CF$5=$E90+1,$C90,""),"")</f>
        <v/>
      </c>
      <c r="CG90" s="34">
        <f>IF(AND(CG$5&gt;$E90,CG$5&lt;=$F90),IF(CG$5=$E90+1,$C90,""),"")</f>
        <v/>
      </c>
      <c r="CH90" s="34">
        <f>IF(AND(CH$5&gt;$E90,CH$5&lt;=$F90),IF(CH$5=$E90+1,$C90,""),"")</f>
        <v/>
      </c>
      <c r="CI90" s="34">
        <f>IF(AND(CI$5&gt;$E90,CI$5&lt;=$F90),IF(CI$5=$E90+1,$C90,""),"")</f>
        <v/>
      </c>
      <c r="CJ90" s="34">
        <f>IF(AND(CJ$5&gt;$E90,CJ$5&lt;=$F90),IF(CJ$5=$E90+1,$C90,""),"")</f>
        <v/>
      </c>
      <c r="CK90" s="34">
        <f>IF(AND(CK$5&gt;$E90,CK$5&lt;=$F90),IF(CK$5=$E90+1,$C90,""),"")</f>
        <v/>
      </c>
      <c r="CL90" s="34">
        <f>IF(AND(CL$5&gt;$E90,CL$5&lt;=$F90),IF(CL$5=$E90+1,$C90,""),"")</f>
        <v/>
      </c>
      <c r="CM90" s="34">
        <f>IF(AND(CM$5&gt;$E90,CM$5&lt;=$F90),IF(CM$5=$E90+1,$C90,""),"")</f>
        <v/>
      </c>
      <c r="CN90" s="34">
        <f>IF(AND(CN$5&gt;$E90,CN$5&lt;=$F90),IF(CN$5=$E90+1,$C90,""),"")</f>
        <v/>
      </c>
      <c r="CO90" s="34">
        <f>IF(AND(CO$5&gt;$E90,CO$5&lt;=$F90),IF(CO$5=$E90+1,$C90,""),"")</f>
        <v/>
      </c>
      <c r="CP90" s="34">
        <f>IF(AND(CP$5&gt;$E90,CP$5&lt;=$F90),IF(CP$5=$E90+1,$C90,""),"")</f>
        <v/>
      </c>
      <c r="CQ90" s="34">
        <f>IF(AND(CQ$5&gt;$E90,CQ$5&lt;=$F90),IF(CQ$5=$E90+1,$C90,""),"")</f>
        <v/>
      </c>
      <c r="CR90" s="34">
        <f>IF(AND(CR$5&gt;$E90,CR$5&lt;=$F90),IF(CR$5=$E90+1,$C90,""),"")</f>
        <v/>
      </c>
      <c r="CS90" s="34">
        <f>IF(AND(CS$5&gt;$E90,CS$5&lt;=$F90),IF(CS$5=$E90+1,$C90,""),"")</f>
        <v/>
      </c>
      <c r="CT90" s="34">
        <f>IF(AND(CT$5&gt;$E90,CT$5&lt;=$F90),IF(CT$5=$E90+1,$C90,""),"")</f>
        <v/>
      </c>
      <c r="CU90" s="34">
        <f>IF(AND(CU$5&gt;$E90,CU$5&lt;=$F90),IF(CU$5=$E90+1,$C90,""),"")</f>
        <v/>
      </c>
      <c r="CV90" s="34">
        <f>IF(AND(CV$5&gt;$E90,CV$5&lt;=$F90),IF(CV$5=$E90+1,$C90,""),"")</f>
        <v/>
      </c>
      <c r="CW90" s="34">
        <f>IF(AND(CW$5&gt;$E90,CW$5&lt;=$F90),IF(CW$5=$E90+1,$C90,""),"")</f>
        <v/>
      </c>
      <c r="CX90" s="34">
        <f>IF(AND(CX$5&gt;$E90,CX$5&lt;=$F90),IF(CX$5=$E90+1,$C90,""),"")</f>
        <v/>
      </c>
      <c r="CY90" s="34">
        <f>IF(AND(CY$5&gt;$E90,CY$5&lt;=$F90),IF(CY$5=$E90+1,$C90,""),"")</f>
        <v/>
      </c>
      <c r="CZ90" s="34">
        <f>IF(AND(CZ$5&gt;$E90,CZ$5&lt;=$F90),IF(CZ$5=$E90+1,$C90,""),"")</f>
        <v/>
      </c>
      <c r="DA90" s="34">
        <f>IF(AND(DA$5&gt;$E90,DA$5&lt;=$F90),IF(DA$5=$E90+1,$C90,""),"")</f>
        <v/>
      </c>
      <c r="DB90" s="34">
        <f>IF(AND(DB$5&gt;$E90,DB$5&lt;=$F90),IF(DB$5=$E90+1,$C90,""),"")</f>
        <v/>
      </c>
      <c r="DC90" s="34">
        <f>IF(AND(DC$5&gt;$E90,DC$5&lt;=$F90),IF(DC$5=$E90+1,$C90,""),"")</f>
        <v/>
      </c>
      <c r="DD90" s="34">
        <f>IF(AND(DD$5&gt;$E90,DD$5&lt;=$F90),IF(DD$5=$E90+1,$C90,""),"")</f>
        <v/>
      </c>
      <c r="DE90" s="34">
        <f>IF(AND(DE$5&gt;$E90,DE$5&lt;=$F90),IF(DE$5=$E90+1,$C90,""),"")</f>
        <v/>
      </c>
      <c r="DF90" s="34">
        <f>IF(AND(DF$5&gt;$E90,DF$5&lt;=$F90),IF(DF$5=$E90+1,$C90,""),"")</f>
        <v/>
      </c>
      <c r="DG90" s="34">
        <f>IF(AND(DG$5&gt;$E90,DG$5&lt;=$F90),IF(DG$5=$E90+1,$C90,""),"")</f>
        <v/>
      </c>
      <c r="DH90" s="34">
        <f>IF(AND(DH$5&gt;$E90,DH$5&lt;=$F90),IF(DH$5=$E90+1,$C90,""),"")</f>
        <v/>
      </c>
      <c r="DI90" s="34">
        <f>IF(AND(DI$5&gt;$E90,DI$5&lt;=$F90),IF(DI$5=$E90+1,$C90,""),"")</f>
        <v/>
      </c>
      <c r="DJ90" s="34">
        <f>IF(AND(DJ$5&gt;$E90,DJ$5&lt;=$F90),IF(DJ$5=$E90+1,$C90,""),"")</f>
        <v/>
      </c>
      <c r="DK90" s="34">
        <f>IF(AND(DK$5&gt;$E90,DK$5&lt;=$F90),IF(DK$5=$E90+1,$C90,""),"")</f>
        <v/>
      </c>
      <c r="DL90" s="34">
        <f>IF(AND(DL$5&gt;$E90,DL$5&lt;=$F90),IF(DL$5=$E90+1,$C90,""),"")</f>
        <v/>
      </c>
      <c r="DM90" s="34">
        <f>IF(AND(DM$5&gt;$E90,DM$5&lt;=$F90),IF(DM$5=$E90+1,$C90,""),"")</f>
        <v/>
      </c>
      <c r="DN90" s="34">
        <f>IF(AND(DN$5&gt;$E90,DN$5&lt;=$F90),IF(DN$5=$E90+1,$C90,""),"")</f>
        <v/>
      </c>
      <c r="DO90" s="34">
        <f>IF(AND(DO$5&gt;$E90,DO$5&lt;=$F90),IF(DO$5=$E90+1,$C90,""),"")</f>
        <v/>
      </c>
      <c r="DP90" s="34">
        <f>IF(AND(DP$5&gt;$E90,DP$5&lt;=$F90),IF(DP$5=$E90+1,$C90,""),"")</f>
        <v/>
      </c>
      <c r="DQ90" s="34">
        <f>IF(AND(DQ$5&gt;$E90,DQ$5&lt;=$F90),IF(DQ$5=$E90+1,$C90,""),"")</f>
        <v/>
      </c>
      <c r="DR90" s="34">
        <f>IF(AND(DR$5&gt;$E90,DR$5&lt;=$F90),IF(DR$5=$E90+1,$C90,""),"")</f>
        <v/>
      </c>
      <c r="DS90" s="34">
        <f>IF(AND(DS$5&gt;$E90,DS$5&lt;=$F90),IF(DS$5=$E90+1,$C90,""),"")</f>
        <v/>
      </c>
      <c r="DT90" s="34">
        <f>IF(AND(DT$5&gt;$E90,DT$5&lt;=$F90),IF(DT$5=$E90+1,$C90,""),"")</f>
        <v/>
      </c>
      <c r="DU90" s="34">
        <f>IF(AND(DU$5&gt;$E90,DU$5&lt;=$F90),IF(DU$5=$E90+1,$C90,""),"")</f>
        <v/>
      </c>
      <c r="DV90" s="34">
        <f>IF(AND(DV$5&gt;$E90,DV$5&lt;=$F90),IF(DV$5=$E90+1,$C90,""),"")</f>
        <v/>
      </c>
      <c r="DW90" s="34">
        <f>IF(AND(DW$5&gt;$E90,DW$5&lt;=$F90),IF(DW$5=$E90+1,$C90,""),"")</f>
        <v/>
      </c>
      <c r="DX90" s="34">
        <f>IF(AND(DX$5&gt;$E90,DX$5&lt;=$F90),IF(DX$5=$E90+1,$C90,""),"")</f>
        <v/>
      </c>
      <c r="DY90" s="34">
        <f>IF(AND(DY$5&gt;$E90,DY$5&lt;=$F90),IF(DY$5=$E90+1,$C90,""),"")</f>
        <v/>
      </c>
      <c r="DZ90" s="34">
        <f>IF(AND(DZ$5&gt;$E90,DZ$5&lt;=$F90),IF(DZ$5=$E90+1,$C90,""),"")</f>
        <v/>
      </c>
      <c r="EA90" s="34">
        <f>IF(AND(EA$5&gt;$E90,EA$5&lt;=$F90),IF(EA$5=$E90+1,$C90,""),"")</f>
        <v/>
      </c>
      <c r="EB90" s="34">
        <f>IF(AND(EB$5&gt;$E90,EB$5&lt;=$F90),IF(EB$5=$E90+1,$C90,""),"")</f>
        <v/>
      </c>
      <c r="EC90" s="34">
        <f>IF(AND(EC$5&gt;$E90,EC$5&lt;=$F90),IF(EC$5=$E90+1,$C90,""),"")</f>
        <v/>
      </c>
      <c r="ED90" s="34">
        <f>IF(AND(ED$5&gt;$E90,ED$5&lt;=$F90),IF(ED$5=$E90+1,$C90,""),"")</f>
        <v/>
      </c>
      <c r="EE90" s="34">
        <f>IF(AND(EE$5&gt;$E90,EE$5&lt;=$F90),IF(EE$5=$E90+1,$C90,""),"")</f>
        <v/>
      </c>
      <c r="EF90" s="34">
        <f>IF(AND(EF$5&gt;$E90,EF$5&lt;=$F90),IF(EF$5=$E90+1,$C90,""),"")</f>
        <v/>
      </c>
      <c r="EG90" s="34">
        <f>IF(AND(EG$5&gt;$E90,EG$5&lt;=$F90),IF(EG$5=$E90+1,$C90,""),"")</f>
        <v/>
      </c>
      <c r="EH90" s="34">
        <f>IF(AND(EH$5&gt;$E90,EH$5&lt;=$F90),IF(EH$5=$E90+1,$C90,""),"")</f>
        <v/>
      </c>
      <c r="EI90" s="34">
        <f>IF(AND(EI$5&gt;$E90,EI$5&lt;=$F90),IF(EI$5=$E90+1,$C90,""),"")</f>
        <v/>
      </c>
      <c r="EJ90" s="34">
        <f>IF(AND(EJ$5&gt;$E90,EJ$5&lt;=$F90),IF(EJ$5=$E90+1,$C90,""),"")</f>
        <v/>
      </c>
      <c r="EK90" s="34">
        <f>IF(AND(EK$5&gt;$E90,EK$5&lt;=$F90),IF(EK$5=$E90+1,$C90,""),"")</f>
        <v/>
      </c>
      <c r="EL90" s="34">
        <f>IF(AND(EL$5&gt;$E90,EL$5&lt;=$F90),IF(EL$5=$E90+1,$C90,""),"")</f>
        <v/>
      </c>
      <c r="EM90" s="34">
        <f>IF(AND(EM$5&gt;$E90,EM$5&lt;=$F90),IF(EM$5=$E90+1,$C90,""),"")</f>
        <v/>
      </c>
      <c r="EN90" s="34">
        <f>IF(AND(EN$5&gt;$E90,EN$5&lt;=$F90),IF(EN$5=$E90+1,$C90,""),"")</f>
        <v/>
      </c>
      <c r="EO90" s="34">
        <f>IF(AND(EO$5&gt;$E90,EO$5&lt;=$F90),IF(EO$5=$E90+1,$C90,""),"")</f>
        <v/>
      </c>
      <c r="EP90" s="34">
        <f>IF(AND(EP$5&gt;$E90,EP$5&lt;=$F90),IF(EP$5=$E90+1,$C90,""),"")</f>
        <v/>
      </c>
      <c r="EQ90" s="34">
        <f>IF(AND(EQ$5&gt;$E90,EQ$5&lt;=$F90),IF(EQ$5=$E90+1,$C90,""),"")</f>
        <v/>
      </c>
      <c r="ER90" s="34">
        <f>IF(AND(ER$5&gt;$E90,ER$5&lt;=$F90),IF(ER$5=$E90+1,$C90,""),"")</f>
        <v/>
      </c>
      <c r="ES90" s="34">
        <f>IF(AND(ES$5&gt;$E90,ES$5&lt;=$F90),IF(ES$5=$E90+1,$C90,""),"")</f>
        <v/>
      </c>
      <c r="ET90" s="34">
        <f>IF(AND(ET$5&gt;$E90,ET$5&lt;=$F90),IF(ET$5=$E90+1,$C90,""),"")</f>
        <v/>
      </c>
      <c r="EU90" s="34">
        <f>IF(AND(EU$5&gt;$E90,EU$5&lt;=$F90),IF(EU$5=$E90+1,$C90,""),"")</f>
        <v/>
      </c>
      <c r="EV90" s="34">
        <f>IF(AND(EV$5&gt;$E90,EV$5&lt;=$F90),IF(EV$5=$E90+1,$C90,""),"")</f>
        <v/>
      </c>
      <c r="EW90" s="34">
        <f>IF(AND(EW$5&gt;$E90,EW$5&lt;=$F90),IF(EW$5=$E90+1,$C90,""),"")</f>
        <v/>
      </c>
      <c r="EX90" s="34">
        <f>IF(AND(EX$5&gt;$E90,EX$5&lt;=$F90),IF(EX$5=$E90+1,$C90,""),"")</f>
        <v/>
      </c>
      <c r="EY90" s="34">
        <f>IF(AND(EY$5&gt;$E90,EY$5&lt;=$F90),IF(EY$5=$E90+1,$C90,""),"")</f>
        <v/>
      </c>
      <c r="EZ90" s="34">
        <f>IF(AND(EZ$5&gt;$E90,EZ$5&lt;=$F90),IF(EZ$5=$E90+1,$C90,""),"")</f>
        <v/>
      </c>
      <c r="FA90" s="34">
        <f>IF(AND(FA$5&gt;$E90,FA$5&lt;=$F90),IF(FA$5=$E90+1,$C90,""),"")</f>
        <v/>
      </c>
    </row>
    <row r="91">
      <c r="A91" s="32">
        <f>Plan!A97</f>
        <v/>
      </c>
      <c r="B91" s="33">
        <f>Plan!C97</f>
        <v/>
      </c>
      <c r="C91" s="16">
        <f>Plan!D97</f>
        <v/>
      </c>
      <c r="D91" s="16">
        <f>Plan!I97</f>
        <v/>
      </c>
      <c r="E91" s="16">
        <f>Plan!K97</f>
        <v/>
      </c>
      <c r="F91" s="16">
        <f>Plan!L97</f>
        <v/>
      </c>
      <c r="G91" s="16">
        <f>Plan!O97</f>
        <v/>
      </c>
      <c r="H91" s="34">
        <f>IF(AND(H$5&gt;$E91,H$5&lt;=$F91),IF(H$5=$E91+1,$C91,""),"")</f>
        <v/>
      </c>
      <c r="I91" s="34">
        <f>IF(AND(I$5&gt;$E91,I$5&lt;=$F91),IF(I$5=$E91+1,$C91,""),"")</f>
        <v/>
      </c>
      <c r="J91" s="34">
        <f>IF(AND(J$5&gt;$E91,J$5&lt;=$F91),IF(J$5=$E91+1,$C91,""),"")</f>
        <v/>
      </c>
      <c r="K91" s="34">
        <f>IF(AND(K$5&gt;$E91,K$5&lt;=$F91),IF(K$5=$E91+1,$C91,""),"")</f>
        <v/>
      </c>
      <c r="L91" s="34">
        <f>IF(AND(L$5&gt;$E91,L$5&lt;=$F91),IF(L$5=$E91+1,$C91,""),"")</f>
        <v/>
      </c>
      <c r="M91" s="34">
        <f>IF(AND(M$5&gt;$E91,M$5&lt;=$F91),IF(M$5=$E91+1,$C91,""),"")</f>
        <v/>
      </c>
      <c r="N91" s="34">
        <f>IF(AND(N$5&gt;$E91,N$5&lt;=$F91),IF(N$5=$E91+1,$C91,""),"")</f>
        <v/>
      </c>
      <c r="O91" s="34">
        <f>IF(AND(O$5&gt;$E91,O$5&lt;=$F91),IF(O$5=$E91+1,$C91,""),"")</f>
        <v/>
      </c>
      <c r="P91" s="34">
        <f>IF(AND(P$5&gt;$E91,P$5&lt;=$F91),IF(P$5=$E91+1,$C91,""),"")</f>
        <v/>
      </c>
      <c r="Q91" s="34">
        <f>IF(AND(Q$5&gt;$E91,Q$5&lt;=$F91),IF(Q$5=$E91+1,$C91,""),"")</f>
        <v/>
      </c>
      <c r="R91" s="34">
        <f>IF(AND(R$5&gt;$E91,R$5&lt;=$F91),IF(R$5=$E91+1,$C91,""),"")</f>
        <v/>
      </c>
      <c r="S91" s="34">
        <f>IF(AND(S$5&gt;$E91,S$5&lt;=$F91),IF(S$5=$E91+1,$C91,""),"")</f>
        <v/>
      </c>
      <c r="T91" s="34">
        <f>IF(AND(T$5&gt;$E91,T$5&lt;=$F91),IF(T$5=$E91+1,$C91,""),"")</f>
        <v/>
      </c>
      <c r="U91" s="34">
        <f>IF(AND(U$5&gt;$E91,U$5&lt;=$F91),IF(U$5=$E91+1,$C91,""),"")</f>
        <v/>
      </c>
      <c r="V91" s="34">
        <f>IF(AND(V$5&gt;$E91,V$5&lt;=$F91),IF(V$5=$E91+1,$C91,""),"")</f>
        <v/>
      </c>
      <c r="W91" s="34">
        <f>IF(AND(W$5&gt;$E91,W$5&lt;=$F91),IF(W$5=$E91+1,$C91,""),"")</f>
        <v/>
      </c>
      <c r="X91" s="34">
        <f>IF(AND(X$5&gt;$E91,X$5&lt;=$F91),IF(X$5=$E91+1,$C91,""),"")</f>
        <v/>
      </c>
      <c r="Y91" s="34">
        <f>IF(AND(Y$5&gt;$E91,Y$5&lt;=$F91),IF(Y$5=$E91+1,$C91,""),"")</f>
        <v/>
      </c>
      <c r="Z91" s="34">
        <f>IF(AND(Z$5&gt;$E91,Z$5&lt;=$F91),IF(Z$5=$E91+1,$C91,""),"")</f>
        <v/>
      </c>
      <c r="AA91" s="34">
        <f>IF(AND(AA$5&gt;$E91,AA$5&lt;=$F91),IF(AA$5=$E91+1,$C91,""),"")</f>
        <v/>
      </c>
      <c r="AB91" s="34">
        <f>IF(AND(AB$5&gt;$E91,AB$5&lt;=$F91),IF(AB$5=$E91+1,$C91,""),"")</f>
        <v/>
      </c>
      <c r="AC91" s="34">
        <f>IF(AND(AC$5&gt;$E91,AC$5&lt;=$F91),IF(AC$5=$E91+1,$C91,""),"")</f>
        <v/>
      </c>
      <c r="AD91" s="34">
        <f>IF(AND(AD$5&gt;$E91,AD$5&lt;=$F91),IF(AD$5=$E91+1,$C91,""),"")</f>
        <v/>
      </c>
      <c r="AE91" s="34">
        <f>IF(AND(AE$5&gt;$E91,AE$5&lt;=$F91),IF(AE$5=$E91+1,$C91,""),"")</f>
        <v/>
      </c>
      <c r="AF91" s="34">
        <f>IF(AND(AF$5&gt;$E91,AF$5&lt;=$F91),IF(AF$5=$E91+1,$C91,""),"")</f>
        <v/>
      </c>
      <c r="AG91" s="34">
        <f>IF(AND(AG$5&gt;$E91,AG$5&lt;=$F91),IF(AG$5=$E91+1,$C91,""),"")</f>
        <v/>
      </c>
      <c r="AH91" s="34">
        <f>IF(AND(AH$5&gt;$E91,AH$5&lt;=$F91),IF(AH$5=$E91+1,$C91,""),"")</f>
        <v/>
      </c>
      <c r="AI91" s="34">
        <f>IF(AND(AI$5&gt;$E91,AI$5&lt;=$F91),IF(AI$5=$E91+1,$C91,""),"")</f>
        <v/>
      </c>
      <c r="AJ91" s="34">
        <f>IF(AND(AJ$5&gt;$E91,AJ$5&lt;=$F91),IF(AJ$5=$E91+1,$C91,""),"")</f>
        <v/>
      </c>
      <c r="AK91" s="34">
        <f>IF(AND(AK$5&gt;$E91,AK$5&lt;=$F91),IF(AK$5=$E91+1,$C91,""),"")</f>
        <v/>
      </c>
      <c r="AL91" s="34">
        <f>IF(AND(AL$5&gt;$E91,AL$5&lt;=$F91),IF(AL$5=$E91+1,$C91,""),"")</f>
        <v/>
      </c>
      <c r="AM91" s="34">
        <f>IF(AND(AM$5&gt;$E91,AM$5&lt;=$F91),IF(AM$5=$E91+1,$C91,""),"")</f>
        <v/>
      </c>
      <c r="AN91" s="34">
        <f>IF(AND(AN$5&gt;$E91,AN$5&lt;=$F91),IF(AN$5=$E91+1,$C91,""),"")</f>
        <v/>
      </c>
      <c r="AO91" s="34">
        <f>IF(AND(AO$5&gt;$E91,AO$5&lt;=$F91),IF(AO$5=$E91+1,$C91,""),"")</f>
        <v/>
      </c>
      <c r="AP91" s="34">
        <f>IF(AND(AP$5&gt;$E91,AP$5&lt;=$F91),IF(AP$5=$E91+1,$C91,""),"")</f>
        <v/>
      </c>
      <c r="AQ91" s="34">
        <f>IF(AND(AQ$5&gt;$E91,AQ$5&lt;=$F91),IF(AQ$5=$E91+1,$C91,""),"")</f>
        <v/>
      </c>
      <c r="AR91" s="34">
        <f>IF(AND(AR$5&gt;$E91,AR$5&lt;=$F91),IF(AR$5=$E91+1,$C91,""),"")</f>
        <v/>
      </c>
      <c r="AS91" s="34">
        <f>IF(AND(AS$5&gt;$E91,AS$5&lt;=$F91),IF(AS$5=$E91+1,$C91,""),"")</f>
        <v/>
      </c>
      <c r="AT91" s="34">
        <f>IF(AND(AT$5&gt;$E91,AT$5&lt;=$F91),IF(AT$5=$E91+1,$C91,""),"")</f>
        <v/>
      </c>
      <c r="AU91" s="34">
        <f>IF(AND(AU$5&gt;$E91,AU$5&lt;=$F91),IF(AU$5=$E91+1,$C91,""),"")</f>
        <v/>
      </c>
      <c r="AV91" s="34">
        <f>IF(AND(AV$5&gt;$E91,AV$5&lt;=$F91),IF(AV$5=$E91+1,$C91,""),"")</f>
        <v/>
      </c>
      <c r="AW91" s="34">
        <f>IF(AND(AW$5&gt;$E91,AW$5&lt;=$F91),IF(AW$5=$E91+1,$C91,""),"")</f>
        <v/>
      </c>
      <c r="AX91" s="34">
        <f>IF(AND(AX$5&gt;$E91,AX$5&lt;=$F91),IF(AX$5=$E91+1,$C91,""),"")</f>
        <v/>
      </c>
      <c r="AY91" s="34">
        <f>IF(AND(AY$5&gt;$E91,AY$5&lt;=$F91),IF(AY$5=$E91+1,$C91,""),"")</f>
        <v/>
      </c>
      <c r="AZ91" s="34">
        <f>IF(AND(AZ$5&gt;$E91,AZ$5&lt;=$F91),IF(AZ$5=$E91+1,$C91,""),"")</f>
        <v/>
      </c>
      <c r="BA91" s="34">
        <f>IF(AND(BA$5&gt;$E91,BA$5&lt;=$F91),IF(BA$5=$E91+1,$C91,""),"")</f>
        <v/>
      </c>
      <c r="BB91" s="34">
        <f>IF(AND(BB$5&gt;$E91,BB$5&lt;=$F91),IF(BB$5=$E91+1,$C91,""),"")</f>
        <v/>
      </c>
      <c r="BC91" s="34">
        <f>IF(AND(BC$5&gt;$E91,BC$5&lt;=$F91),IF(BC$5=$E91+1,$C91,""),"")</f>
        <v/>
      </c>
      <c r="BD91" s="34">
        <f>IF(AND(BD$5&gt;$E91,BD$5&lt;=$F91),IF(BD$5=$E91+1,$C91,""),"")</f>
        <v/>
      </c>
      <c r="BE91" s="34">
        <f>IF(AND(BE$5&gt;$E91,BE$5&lt;=$F91),IF(BE$5=$E91+1,$C91,""),"")</f>
        <v/>
      </c>
      <c r="BF91" s="34">
        <f>IF(AND(BF$5&gt;$E91,BF$5&lt;=$F91),IF(BF$5=$E91+1,$C91,""),"")</f>
        <v/>
      </c>
      <c r="BG91" s="34">
        <f>IF(AND(BG$5&gt;$E91,BG$5&lt;=$F91),IF(BG$5=$E91+1,$C91,""),"")</f>
        <v/>
      </c>
      <c r="BH91" s="34">
        <f>IF(AND(BH$5&gt;$E91,BH$5&lt;=$F91),IF(BH$5=$E91+1,$C91,""),"")</f>
        <v/>
      </c>
      <c r="BI91" s="34">
        <f>IF(AND(BI$5&gt;$E91,BI$5&lt;=$F91),IF(BI$5=$E91+1,$C91,""),"")</f>
        <v/>
      </c>
      <c r="BJ91" s="34">
        <f>IF(AND(BJ$5&gt;$E91,BJ$5&lt;=$F91),IF(BJ$5=$E91+1,$C91,""),"")</f>
        <v/>
      </c>
      <c r="BK91" s="34">
        <f>IF(AND(BK$5&gt;$E91,BK$5&lt;=$F91),IF(BK$5=$E91+1,$C91,""),"")</f>
        <v/>
      </c>
      <c r="BL91" s="34">
        <f>IF(AND(BL$5&gt;$E91,BL$5&lt;=$F91),IF(BL$5=$E91+1,$C91,""),"")</f>
        <v/>
      </c>
      <c r="BM91" s="34">
        <f>IF(AND(BM$5&gt;$E91,BM$5&lt;=$F91),IF(BM$5=$E91+1,$C91,""),"")</f>
        <v/>
      </c>
      <c r="BN91" s="34">
        <f>IF(AND(BN$5&gt;$E91,BN$5&lt;=$F91),IF(BN$5=$E91+1,$C91,""),"")</f>
        <v/>
      </c>
      <c r="BO91" s="34">
        <f>IF(AND(BO$5&gt;$E91,BO$5&lt;=$F91),IF(BO$5=$E91+1,$C91,""),"")</f>
        <v/>
      </c>
      <c r="BP91" s="34">
        <f>IF(AND(BP$5&gt;$E91,BP$5&lt;=$F91),IF(BP$5=$E91+1,$C91,""),"")</f>
        <v/>
      </c>
      <c r="BQ91" s="34">
        <f>IF(AND(BQ$5&gt;$E91,BQ$5&lt;=$F91),IF(BQ$5=$E91+1,$C91,""),"")</f>
        <v/>
      </c>
      <c r="BR91" s="34">
        <f>IF(AND(BR$5&gt;$E91,BR$5&lt;=$F91),IF(BR$5=$E91+1,$C91,""),"")</f>
        <v/>
      </c>
      <c r="BS91" s="34">
        <f>IF(AND(BS$5&gt;$E91,BS$5&lt;=$F91),IF(BS$5=$E91+1,$C91,""),"")</f>
        <v/>
      </c>
      <c r="BT91" s="34">
        <f>IF(AND(BT$5&gt;$E91,BT$5&lt;=$F91),IF(BT$5=$E91+1,$C91,""),"")</f>
        <v/>
      </c>
      <c r="BU91" s="34">
        <f>IF(AND(BU$5&gt;$E91,BU$5&lt;=$F91),IF(BU$5=$E91+1,$C91,""),"")</f>
        <v/>
      </c>
      <c r="BV91" s="34">
        <f>IF(AND(BV$5&gt;$E91,BV$5&lt;=$F91),IF(BV$5=$E91+1,$C91,""),"")</f>
        <v/>
      </c>
      <c r="BW91" s="34">
        <f>IF(AND(BW$5&gt;$E91,BW$5&lt;=$F91),IF(BW$5=$E91+1,$C91,""),"")</f>
        <v/>
      </c>
      <c r="BX91" s="34">
        <f>IF(AND(BX$5&gt;$E91,BX$5&lt;=$F91),IF(BX$5=$E91+1,$C91,""),"")</f>
        <v/>
      </c>
      <c r="BY91" s="34">
        <f>IF(AND(BY$5&gt;$E91,BY$5&lt;=$F91),IF(BY$5=$E91+1,$C91,""),"")</f>
        <v/>
      </c>
      <c r="BZ91" s="34">
        <f>IF(AND(BZ$5&gt;$E91,BZ$5&lt;=$F91),IF(BZ$5=$E91+1,$C91,""),"")</f>
        <v/>
      </c>
      <c r="CA91" s="34">
        <f>IF(AND(CA$5&gt;$E91,CA$5&lt;=$F91),IF(CA$5=$E91+1,$C91,""),"")</f>
        <v/>
      </c>
      <c r="CB91" s="34">
        <f>IF(AND(CB$5&gt;$E91,CB$5&lt;=$F91),IF(CB$5=$E91+1,$C91,""),"")</f>
        <v/>
      </c>
      <c r="CC91" s="34">
        <f>IF(AND(CC$5&gt;$E91,CC$5&lt;=$F91),IF(CC$5=$E91+1,$C91,""),"")</f>
        <v/>
      </c>
      <c r="CD91" s="34">
        <f>IF(AND(CD$5&gt;$E91,CD$5&lt;=$F91),IF(CD$5=$E91+1,$C91,""),"")</f>
        <v/>
      </c>
      <c r="CE91" s="34">
        <f>IF(AND(CE$5&gt;$E91,CE$5&lt;=$F91),IF(CE$5=$E91+1,$C91,""),"")</f>
        <v/>
      </c>
      <c r="CF91" s="34">
        <f>IF(AND(CF$5&gt;$E91,CF$5&lt;=$F91),IF(CF$5=$E91+1,$C91,""),"")</f>
        <v/>
      </c>
      <c r="CG91" s="34">
        <f>IF(AND(CG$5&gt;$E91,CG$5&lt;=$F91),IF(CG$5=$E91+1,$C91,""),"")</f>
        <v/>
      </c>
      <c r="CH91" s="34">
        <f>IF(AND(CH$5&gt;$E91,CH$5&lt;=$F91),IF(CH$5=$E91+1,$C91,""),"")</f>
        <v/>
      </c>
      <c r="CI91" s="34">
        <f>IF(AND(CI$5&gt;$E91,CI$5&lt;=$F91),IF(CI$5=$E91+1,$C91,""),"")</f>
        <v/>
      </c>
      <c r="CJ91" s="34">
        <f>IF(AND(CJ$5&gt;$E91,CJ$5&lt;=$F91),IF(CJ$5=$E91+1,$C91,""),"")</f>
        <v/>
      </c>
      <c r="CK91" s="34">
        <f>IF(AND(CK$5&gt;$E91,CK$5&lt;=$F91),IF(CK$5=$E91+1,$C91,""),"")</f>
        <v/>
      </c>
      <c r="CL91" s="34">
        <f>IF(AND(CL$5&gt;$E91,CL$5&lt;=$F91),IF(CL$5=$E91+1,$C91,""),"")</f>
        <v/>
      </c>
      <c r="CM91" s="34">
        <f>IF(AND(CM$5&gt;$E91,CM$5&lt;=$F91),IF(CM$5=$E91+1,$C91,""),"")</f>
        <v/>
      </c>
      <c r="CN91" s="34">
        <f>IF(AND(CN$5&gt;$E91,CN$5&lt;=$F91),IF(CN$5=$E91+1,$C91,""),"")</f>
        <v/>
      </c>
      <c r="CO91" s="34">
        <f>IF(AND(CO$5&gt;$E91,CO$5&lt;=$F91),IF(CO$5=$E91+1,$C91,""),"")</f>
        <v/>
      </c>
      <c r="CP91" s="34">
        <f>IF(AND(CP$5&gt;$E91,CP$5&lt;=$F91),IF(CP$5=$E91+1,$C91,""),"")</f>
        <v/>
      </c>
      <c r="CQ91" s="34">
        <f>IF(AND(CQ$5&gt;$E91,CQ$5&lt;=$F91),IF(CQ$5=$E91+1,$C91,""),"")</f>
        <v/>
      </c>
      <c r="CR91" s="34">
        <f>IF(AND(CR$5&gt;$E91,CR$5&lt;=$F91),IF(CR$5=$E91+1,$C91,""),"")</f>
        <v/>
      </c>
      <c r="CS91" s="34">
        <f>IF(AND(CS$5&gt;$E91,CS$5&lt;=$F91),IF(CS$5=$E91+1,$C91,""),"")</f>
        <v/>
      </c>
      <c r="CT91" s="34">
        <f>IF(AND(CT$5&gt;$E91,CT$5&lt;=$F91),IF(CT$5=$E91+1,$C91,""),"")</f>
        <v/>
      </c>
      <c r="CU91" s="34">
        <f>IF(AND(CU$5&gt;$E91,CU$5&lt;=$F91),IF(CU$5=$E91+1,$C91,""),"")</f>
        <v/>
      </c>
      <c r="CV91" s="34">
        <f>IF(AND(CV$5&gt;$E91,CV$5&lt;=$F91),IF(CV$5=$E91+1,$C91,""),"")</f>
        <v/>
      </c>
      <c r="CW91" s="34">
        <f>IF(AND(CW$5&gt;$E91,CW$5&lt;=$F91),IF(CW$5=$E91+1,$C91,""),"")</f>
        <v/>
      </c>
      <c r="CX91" s="34">
        <f>IF(AND(CX$5&gt;$E91,CX$5&lt;=$F91),IF(CX$5=$E91+1,$C91,""),"")</f>
        <v/>
      </c>
      <c r="CY91" s="34">
        <f>IF(AND(CY$5&gt;$E91,CY$5&lt;=$F91),IF(CY$5=$E91+1,$C91,""),"")</f>
        <v/>
      </c>
      <c r="CZ91" s="34">
        <f>IF(AND(CZ$5&gt;$E91,CZ$5&lt;=$F91),IF(CZ$5=$E91+1,$C91,""),"")</f>
        <v/>
      </c>
      <c r="DA91" s="34">
        <f>IF(AND(DA$5&gt;$E91,DA$5&lt;=$F91),IF(DA$5=$E91+1,$C91,""),"")</f>
        <v/>
      </c>
      <c r="DB91" s="34">
        <f>IF(AND(DB$5&gt;$E91,DB$5&lt;=$F91),IF(DB$5=$E91+1,$C91,""),"")</f>
        <v/>
      </c>
      <c r="DC91" s="34">
        <f>IF(AND(DC$5&gt;$E91,DC$5&lt;=$F91),IF(DC$5=$E91+1,$C91,""),"")</f>
        <v/>
      </c>
      <c r="DD91" s="34">
        <f>IF(AND(DD$5&gt;$E91,DD$5&lt;=$F91),IF(DD$5=$E91+1,$C91,""),"")</f>
        <v/>
      </c>
      <c r="DE91" s="34">
        <f>IF(AND(DE$5&gt;$E91,DE$5&lt;=$F91),IF(DE$5=$E91+1,$C91,""),"")</f>
        <v/>
      </c>
      <c r="DF91" s="34">
        <f>IF(AND(DF$5&gt;$E91,DF$5&lt;=$F91),IF(DF$5=$E91+1,$C91,""),"")</f>
        <v/>
      </c>
      <c r="DG91" s="34">
        <f>IF(AND(DG$5&gt;$E91,DG$5&lt;=$F91),IF(DG$5=$E91+1,$C91,""),"")</f>
        <v/>
      </c>
      <c r="DH91" s="34">
        <f>IF(AND(DH$5&gt;$E91,DH$5&lt;=$F91),IF(DH$5=$E91+1,$C91,""),"")</f>
        <v/>
      </c>
      <c r="DI91" s="34">
        <f>IF(AND(DI$5&gt;$E91,DI$5&lt;=$F91),IF(DI$5=$E91+1,$C91,""),"")</f>
        <v/>
      </c>
      <c r="DJ91" s="34">
        <f>IF(AND(DJ$5&gt;$E91,DJ$5&lt;=$F91),IF(DJ$5=$E91+1,$C91,""),"")</f>
        <v/>
      </c>
      <c r="DK91" s="34">
        <f>IF(AND(DK$5&gt;$E91,DK$5&lt;=$F91),IF(DK$5=$E91+1,$C91,""),"")</f>
        <v/>
      </c>
      <c r="DL91" s="34">
        <f>IF(AND(DL$5&gt;$E91,DL$5&lt;=$F91),IF(DL$5=$E91+1,$C91,""),"")</f>
        <v/>
      </c>
      <c r="DM91" s="34">
        <f>IF(AND(DM$5&gt;$E91,DM$5&lt;=$F91),IF(DM$5=$E91+1,$C91,""),"")</f>
        <v/>
      </c>
      <c r="DN91" s="34">
        <f>IF(AND(DN$5&gt;$E91,DN$5&lt;=$F91),IF(DN$5=$E91+1,$C91,""),"")</f>
        <v/>
      </c>
      <c r="DO91" s="34">
        <f>IF(AND(DO$5&gt;$E91,DO$5&lt;=$F91),IF(DO$5=$E91+1,$C91,""),"")</f>
        <v/>
      </c>
      <c r="DP91" s="34">
        <f>IF(AND(DP$5&gt;$E91,DP$5&lt;=$F91),IF(DP$5=$E91+1,$C91,""),"")</f>
        <v/>
      </c>
      <c r="DQ91" s="34">
        <f>IF(AND(DQ$5&gt;$E91,DQ$5&lt;=$F91),IF(DQ$5=$E91+1,$C91,""),"")</f>
        <v/>
      </c>
      <c r="DR91" s="34">
        <f>IF(AND(DR$5&gt;$E91,DR$5&lt;=$F91),IF(DR$5=$E91+1,$C91,""),"")</f>
        <v/>
      </c>
      <c r="DS91" s="34">
        <f>IF(AND(DS$5&gt;$E91,DS$5&lt;=$F91),IF(DS$5=$E91+1,$C91,""),"")</f>
        <v/>
      </c>
      <c r="DT91" s="34">
        <f>IF(AND(DT$5&gt;$E91,DT$5&lt;=$F91),IF(DT$5=$E91+1,$C91,""),"")</f>
        <v/>
      </c>
      <c r="DU91" s="34">
        <f>IF(AND(DU$5&gt;$E91,DU$5&lt;=$F91),IF(DU$5=$E91+1,$C91,""),"")</f>
        <v/>
      </c>
      <c r="DV91" s="34">
        <f>IF(AND(DV$5&gt;$E91,DV$5&lt;=$F91),IF(DV$5=$E91+1,$C91,""),"")</f>
        <v/>
      </c>
      <c r="DW91" s="34">
        <f>IF(AND(DW$5&gt;$E91,DW$5&lt;=$F91),IF(DW$5=$E91+1,$C91,""),"")</f>
        <v/>
      </c>
      <c r="DX91" s="34">
        <f>IF(AND(DX$5&gt;$E91,DX$5&lt;=$F91),IF(DX$5=$E91+1,$C91,""),"")</f>
        <v/>
      </c>
      <c r="DY91" s="34">
        <f>IF(AND(DY$5&gt;$E91,DY$5&lt;=$F91),IF(DY$5=$E91+1,$C91,""),"")</f>
        <v/>
      </c>
      <c r="DZ91" s="34">
        <f>IF(AND(DZ$5&gt;$E91,DZ$5&lt;=$F91),IF(DZ$5=$E91+1,$C91,""),"")</f>
        <v/>
      </c>
      <c r="EA91" s="34">
        <f>IF(AND(EA$5&gt;$E91,EA$5&lt;=$F91),IF(EA$5=$E91+1,$C91,""),"")</f>
        <v/>
      </c>
      <c r="EB91" s="34">
        <f>IF(AND(EB$5&gt;$E91,EB$5&lt;=$F91),IF(EB$5=$E91+1,$C91,""),"")</f>
        <v/>
      </c>
      <c r="EC91" s="34">
        <f>IF(AND(EC$5&gt;$E91,EC$5&lt;=$F91),IF(EC$5=$E91+1,$C91,""),"")</f>
        <v/>
      </c>
      <c r="ED91" s="34">
        <f>IF(AND(ED$5&gt;$E91,ED$5&lt;=$F91),IF(ED$5=$E91+1,$C91,""),"")</f>
        <v/>
      </c>
      <c r="EE91" s="34">
        <f>IF(AND(EE$5&gt;$E91,EE$5&lt;=$F91),IF(EE$5=$E91+1,$C91,""),"")</f>
        <v/>
      </c>
      <c r="EF91" s="34">
        <f>IF(AND(EF$5&gt;$E91,EF$5&lt;=$F91),IF(EF$5=$E91+1,$C91,""),"")</f>
        <v/>
      </c>
      <c r="EG91" s="34">
        <f>IF(AND(EG$5&gt;$E91,EG$5&lt;=$F91),IF(EG$5=$E91+1,$C91,""),"")</f>
        <v/>
      </c>
      <c r="EH91" s="34">
        <f>IF(AND(EH$5&gt;$E91,EH$5&lt;=$F91),IF(EH$5=$E91+1,$C91,""),"")</f>
        <v/>
      </c>
      <c r="EI91" s="34">
        <f>IF(AND(EI$5&gt;$E91,EI$5&lt;=$F91),IF(EI$5=$E91+1,$C91,""),"")</f>
        <v/>
      </c>
      <c r="EJ91" s="34">
        <f>IF(AND(EJ$5&gt;$E91,EJ$5&lt;=$F91),IF(EJ$5=$E91+1,$C91,""),"")</f>
        <v/>
      </c>
      <c r="EK91" s="34">
        <f>IF(AND(EK$5&gt;$E91,EK$5&lt;=$F91),IF(EK$5=$E91+1,$C91,""),"")</f>
        <v/>
      </c>
      <c r="EL91" s="34">
        <f>IF(AND(EL$5&gt;$E91,EL$5&lt;=$F91),IF(EL$5=$E91+1,$C91,""),"")</f>
        <v/>
      </c>
      <c r="EM91" s="34">
        <f>IF(AND(EM$5&gt;$E91,EM$5&lt;=$F91),IF(EM$5=$E91+1,$C91,""),"")</f>
        <v/>
      </c>
      <c r="EN91" s="34">
        <f>IF(AND(EN$5&gt;$E91,EN$5&lt;=$F91),IF(EN$5=$E91+1,$C91,""),"")</f>
        <v/>
      </c>
      <c r="EO91" s="34">
        <f>IF(AND(EO$5&gt;$E91,EO$5&lt;=$F91),IF(EO$5=$E91+1,$C91,""),"")</f>
        <v/>
      </c>
      <c r="EP91" s="34">
        <f>IF(AND(EP$5&gt;$E91,EP$5&lt;=$F91),IF(EP$5=$E91+1,$C91,""),"")</f>
        <v/>
      </c>
      <c r="EQ91" s="34">
        <f>IF(AND(EQ$5&gt;$E91,EQ$5&lt;=$F91),IF(EQ$5=$E91+1,$C91,""),"")</f>
        <v/>
      </c>
      <c r="ER91" s="34">
        <f>IF(AND(ER$5&gt;$E91,ER$5&lt;=$F91),IF(ER$5=$E91+1,$C91,""),"")</f>
        <v/>
      </c>
      <c r="ES91" s="34">
        <f>IF(AND(ES$5&gt;$E91,ES$5&lt;=$F91),IF(ES$5=$E91+1,$C91,""),"")</f>
        <v/>
      </c>
      <c r="ET91" s="34">
        <f>IF(AND(ET$5&gt;$E91,ET$5&lt;=$F91),IF(ET$5=$E91+1,$C91,""),"")</f>
        <v/>
      </c>
      <c r="EU91" s="34">
        <f>IF(AND(EU$5&gt;$E91,EU$5&lt;=$F91),IF(EU$5=$E91+1,$C91,""),"")</f>
        <v/>
      </c>
      <c r="EV91" s="34">
        <f>IF(AND(EV$5&gt;$E91,EV$5&lt;=$F91),IF(EV$5=$E91+1,$C91,""),"")</f>
        <v/>
      </c>
      <c r="EW91" s="34">
        <f>IF(AND(EW$5&gt;$E91,EW$5&lt;=$F91),IF(EW$5=$E91+1,$C91,""),"")</f>
        <v/>
      </c>
      <c r="EX91" s="34">
        <f>IF(AND(EX$5&gt;$E91,EX$5&lt;=$F91),IF(EX$5=$E91+1,$C91,""),"")</f>
        <v/>
      </c>
      <c r="EY91" s="34">
        <f>IF(AND(EY$5&gt;$E91,EY$5&lt;=$F91),IF(EY$5=$E91+1,$C91,""),"")</f>
        <v/>
      </c>
      <c r="EZ91" s="34">
        <f>IF(AND(EZ$5&gt;$E91,EZ$5&lt;=$F91),IF(EZ$5=$E91+1,$C91,""),"")</f>
        <v/>
      </c>
      <c r="FA91" s="34">
        <f>IF(AND(FA$5&gt;$E91,FA$5&lt;=$F91),IF(FA$5=$E91+1,$C91,""),"")</f>
        <v/>
      </c>
    </row>
    <row r="92">
      <c r="A92" s="32">
        <f>Plan!A98</f>
        <v/>
      </c>
      <c r="B92" s="33">
        <f>Plan!C98</f>
        <v/>
      </c>
      <c r="C92" s="16">
        <f>Plan!D98</f>
        <v/>
      </c>
      <c r="D92" s="16">
        <f>Plan!I98</f>
        <v/>
      </c>
      <c r="E92" s="16">
        <f>Plan!K98</f>
        <v/>
      </c>
      <c r="F92" s="16">
        <f>Plan!L98</f>
        <v/>
      </c>
      <c r="G92" s="16">
        <f>Plan!O98</f>
        <v/>
      </c>
      <c r="H92" s="34">
        <f>IF(AND(H$5&gt;$E92,H$5&lt;=$F92),IF(H$5=$E92+1,$C92,""),"")</f>
        <v/>
      </c>
      <c r="I92" s="34">
        <f>IF(AND(I$5&gt;$E92,I$5&lt;=$F92),IF(I$5=$E92+1,$C92,""),"")</f>
        <v/>
      </c>
      <c r="J92" s="34">
        <f>IF(AND(J$5&gt;$E92,J$5&lt;=$F92),IF(J$5=$E92+1,$C92,""),"")</f>
        <v/>
      </c>
      <c r="K92" s="34">
        <f>IF(AND(K$5&gt;$E92,K$5&lt;=$F92),IF(K$5=$E92+1,$C92,""),"")</f>
        <v/>
      </c>
      <c r="L92" s="34">
        <f>IF(AND(L$5&gt;$E92,L$5&lt;=$F92),IF(L$5=$E92+1,$C92,""),"")</f>
        <v/>
      </c>
      <c r="M92" s="34">
        <f>IF(AND(M$5&gt;$E92,M$5&lt;=$F92),IF(M$5=$E92+1,$C92,""),"")</f>
        <v/>
      </c>
      <c r="N92" s="34">
        <f>IF(AND(N$5&gt;$E92,N$5&lt;=$F92),IF(N$5=$E92+1,$C92,""),"")</f>
        <v/>
      </c>
      <c r="O92" s="34">
        <f>IF(AND(O$5&gt;$E92,O$5&lt;=$F92),IF(O$5=$E92+1,$C92,""),"")</f>
        <v/>
      </c>
      <c r="P92" s="34">
        <f>IF(AND(P$5&gt;$E92,P$5&lt;=$F92),IF(P$5=$E92+1,$C92,""),"")</f>
        <v/>
      </c>
      <c r="Q92" s="34">
        <f>IF(AND(Q$5&gt;$E92,Q$5&lt;=$F92),IF(Q$5=$E92+1,$C92,""),"")</f>
        <v/>
      </c>
      <c r="R92" s="34">
        <f>IF(AND(R$5&gt;$E92,R$5&lt;=$F92),IF(R$5=$E92+1,$C92,""),"")</f>
        <v/>
      </c>
      <c r="S92" s="34">
        <f>IF(AND(S$5&gt;$E92,S$5&lt;=$F92),IF(S$5=$E92+1,$C92,""),"")</f>
        <v/>
      </c>
      <c r="T92" s="34">
        <f>IF(AND(T$5&gt;$E92,T$5&lt;=$F92),IF(T$5=$E92+1,$C92,""),"")</f>
        <v/>
      </c>
      <c r="U92" s="34">
        <f>IF(AND(U$5&gt;$E92,U$5&lt;=$F92),IF(U$5=$E92+1,$C92,""),"")</f>
        <v/>
      </c>
      <c r="V92" s="34">
        <f>IF(AND(V$5&gt;$E92,V$5&lt;=$F92),IF(V$5=$E92+1,$C92,""),"")</f>
        <v/>
      </c>
      <c r="W92" s="34">
        <f>IF(AND(W$5&gt;$E92,W$5&lt;=$F92),IF(W$5=$E92+1,$C92,""),"")</f>
        <v/>
      </c>
      <c r="X92" s="34">
        <f>IF(AND(X$5&gt;$E92,X$5&lt;=$F92),IF(X$5=$E92+1,$C92,""),"")</f>
        <v/>
      </c>
      <c r="Y92" s="34">
        <f>IF(AND(Y$5&gt;$E92,Y$5&lt;=$F92),IF(Y$5=$E92+1,$C92,""),"")</f>
        <v/>
      </c>
      <c r="Z92" s="34">
        <f>IF(AND(Z$5&gt;$E92,Z$5&lt;=$F92),IF(Z$5=$E92+1,$C92,""),"")</f>
        <v/>
      </c>
      <c r="AA92" s="34">
        <f>IF(AND(AA$5&gt;$E92,AA$5&lt;=$F92),IF(AA$5=$E92+1,$C92,""),"")</f>
        <v/>
      </c>
      <c r="AB92" s="34">
        <f>IF(AND(AB$5&gt;$E92,AB$5&lt;=$F92),IF(AB$5=$E92+1,$C92,""),"")</f>
        <v/>
      </c>
      <c r="AC92" s="34">
        <f>IF(AND(AC$5&gt;$E92,AC$5&lt;=$F92),IF(AC$5=$E92+1,$C92,""),"")</f>
        <v/>
      </c>
      <c r="AD92" s="34">
        <f>IF(AND(AD$5&gt;$E92,AD$5&lt;=$F92),IF(AD$5=$E92+1,$C92,""),"")</f>
        <v/>
      </c>
      <c r="AE92" s="34">
        <f>IF(AND(AE$5&gt;$E92,AE$5&lt;=$F92),IF(AE$5=$E92+1,$C92,""),"")</f>
        <v/>
      </c>
      <c r="AF92" s="34">
        <f>IF(AND(AF$5&gt;$E92,AF$5&lt;=$F92),IF(AF$5=$E92+1,$C92,""),"")</f>
        <v/>
      </c>
      <c r="AG92" s="34">
        <f>IF(AND(AG$5&gt;$E92,AG$5&lt;=$F92),IF(AG$5=$E92+1,$C92,""),"")</f>
        <v/>
      </c>
      <c r="AH92" s="34">
        <f>IF(AND(AH$5&gt;$E92,AH$5&lt;=$F92),IF(AH$5=$E92+1,$C92,""),"")</f>
        <v/>
      </c>
      <c r="AI92" s="34">
        <f>IF(AND(AI$5&gt;$E92,AI$5&lt;=$F92),IF(AI$5=$E92+1,$C92,""),"")</f>
        <v/>
      </c>
      <c r="AJ92" s="34">
        <f>IF(AND(AJ$5&gt;$E92,AJ$5&lt;=$F92),IF(AJ$5=$E92+1,$C92,""),"")</f>
        <v/>
      </c>
      <c r="AK92" s="34">
        <f>IF(AND(AK$5&gt;$E92,AK$5&lt;=$F92),IF(AK$5=$E92+1,$C92,""),"")</f>
        <v/>
      </c>
      <c r="AL92" s="34">
        <f>IF(AND(AL$5&gt;$E92,AL$5&lt;=$F92),IF(AL$5=$E92+1,$C92,""),"")</f>
        <v/>
      </c>
      <c r="AM92" s="34">
        <f>IF(AND(AM$5&gt;$E92,AM$5&lt;=$F92),IF(AM$5=$E92+1,$C92,""),"")</f>
        <v/>
      </c>
      <c r="AN92" s="34">
        <f>IF(AND(AN$5&gt;$E92,AN$5&lt;=$F92),IF(AN$5=$E92+1,$C92,""),"")</f>
        <v/>
      </c>
      <c r="AO92" s="34">
        <f>IF(AND(AO$5&gt;$E92,AO$5&lt;=$F92),IF(AO$5=$E92+1,$C92,""),"")</f>
        <v/>
      </c>
      <c r="AP92" s="34">
        <f>IF(AND(AP$5&gt;$E92,AP$5&lt;=$F92),IF(AP$5=$E92+1,$C92,""),"")</f>
        <v/>
      </c>
      <c r="AQ92" s="34">
        <f>IF(AND(AQ$5&gt;$E92,AQ$5&lt;=$F92),IF(AQ$5=$E92+1,$C92,""),"")</f>
        <v/>
      </c>
      <c r="AR92" s="34">
        <f>IF(AND(AR$5&gt;$E92,AR$5&lt;=$F92),IF(AR$5=$E92+1,$C92,""),"")</f>
        <v/>
      </c>
      <c r="AS92" s="34">
        <f>IF(AND(AS$5&gt;$E92,AS$5&lt;=$F92),IF(AS$5=$E92+1,$C92,""),"")</f>
        <v/>
      </c>
      <c r="AT92" s="34">
        <f>IF(AND(AT$5&gt;$E92,AT$5&lt;=$F92),IF(AT$5=$E92+1,$C92,""),"")</f>
        <v/>
      </c>
      <c r="AU92" s="34">
        <f>IF(AND(AU$5&gt;$E92,AU$5&lt;=$F92),IF(AU$5=$E92+1,$C92,""),"")</f>
        <v/>
      </c>
      <c r="AV92" s="34">
        <f>IF(AND(AV$5&gt;$E92,AV$5&lt;=$F92),IF(AV$5=$E92+1,$C92,""),"")</f>
        <v/>
      </c>
      <c r="AW92" s="34">
        <f>IF(AND(AW$5&gt;$E92,AW$5&lt;=$F92),IF(AW$5=$E92+1,$C92,""),"")</f>
        <v/>
      </c>
      <c r="AX92" s="34">
        <f>IF(AND(AX$5&gt;$E92,AX$5&lt;=$F92),IF(AX$5=$E92+1,$C92,""),"")</f>
        <v/>
      </c>
      <c r="AY92" s="34">
        <f>IF(AND(AY$5&gt;$E92,AY$5&lt;=$F92),IF(AY$5=$E92+1,$C92,""),"")</f>
        <v/>
      </c>
      <c r="AZ92" s="34">
        <f>IF(AND(AZ$5&gt;$E92,AZ$5&lt;=$F92),IF(AZ$5=$E92+1,$C92,""),"")</f>
        <v/>
      </c>
      <c r="BA92" s="34">
        <f>IF(AND(BA$5&gt;$E92,BA$5&lt;=$F92),IF(BA$5=$E92+1,$C92,""),"")</f>
        <v/>
      </c>
      <c r="BB92" s="34">
        <f>IF(AND(BB$5&gt;$E92,BB$5&lt;=$F92),IF(BB$5=$E92+1,$C92,""),"")</f>
        <v/>
      </c>
      <c r="BC92" s="34">
        <f>IF(AND(BC$5&gt;$E92,BC$5&lt;=$F92),IF(BC$5=$E92+1,$C92,""),"")</f>
        <v/>
      </c>
      <c r="BD92" s="34">
        <f>IF(AND(BD$5&gt;$E92,BD$5&lt;=$F92),IF(BD$5=$E92+1,$C92,""),"")</f>
        <v/>
      </c>
      <c r="BE92" s="34">
        <f>IF(AND(BE$5&gt;$E92,BE$5&lt;=$F92),IF(BE$5=$E92+1,$C92,""),"")</f>
        <v/>
      </c>
      <c r="BF92" s="34">
        <f>IF(AND(BF$5&gt;$E92,BF$5&lt;=$F92),IF(BF$5=$E92+1,$C92,""),"")</f>
        <v/>
      </c>
      <c r="BG92" s="34">
        <f>IF(AND(BG$5&gt;$E92,BG$5&lt;=$F92),IF(BG$5=$E92+1,$C92,""),"")</f>
        <v/>
      </c>
      <c r="BH92" s="34">
        <f>IF(AND(BH$5&gt;$E92,BH$5&lt;=$F92),IF(BH$5=$E92+1,$C92,""),"")</f>
        <v/>
      </c>
      <c r="BI92" s="34">
        <f>IF(AND(BI$5&gt;$E92,BI$5&lt;=$F92),IF(BI$5=$E92+1,$C92,""),"")</f>
        <v/>
      </c>
      <c r="BJ92" s="34">
        <f>IF(AND(BJ$5&gt;$E92,BJ$5&lt;=$F92),IF(BJ$5=$E92+1,$C92,""),"")</f>
        <v/>
      </c>
      <c r="BK92" s="34">
        <f>IF(AND(BK$5&gt;$E92,BK$5&lt;=$F92),IF(BK$5=$E92+1,$C92,""),"")</f>
        <v/>
      </c>
      <c r="BL92" s="34">
        <f>IF(AND(BL$5&gt;$E92,BL$5&lt;=$F92),IF(BL$5=$E92+1,$C92,""),"")</f>
        <v/>
      </c>
      <c r="BM92" s="34">
        <f>IF(AND(BM$5&gt;$E92,BM$5&lt;=$F92),IF(BM$5=$E92+1,$C92,""),"")</f>
        <v/>
      </c>
      <c r="BN92" s="34">
        <f>IF(AND(BN$5&gt;$E92,BN$5&lt;=$F92),IF(BN$5=$E92+1,$C92,""),"")</f>
        <v/>
      </c>
      <c r="BO92" s="34">
        <f>IF(AND(BO$5&gt;$E92,BO$5&lt;=$F92),IF(BO$5=$E92+1,$C92,""),"")</f>
        <v/>
      </c>
      <c r="BP92" s="34">
        <f>IF(AND(BP$5&gt;$E92,BP$5&lt;=$F92),IF(BP$5=$E92+1,$C92,""),"")</f>
        <v/>
      </c>
      <c r="BQ92" s="34">
        <f>IF(AND(BQ$5&gt;$E92,BQ$5&lt;=$F92),IF(BQ$5=$E92+1,$C92,""),"")</f>
        <v/>
      </c>
      <c r="BR92" s="34">
        <f>IF(AND(BR$5&gt;$E92,BR$5&lt;=$F92),IF(BR$5=$E92+1,$C92,""),"")</f>
        <v/>
      </c>
      <c r="BS92" s="34">
        <f>IF(AND(BS$5&gt;$E92,BS$5&lt;=$F92),IF(BS$5=$E92+1,$C92,""),"")</f>
        <v/>
      </c>
      <c r="BT92" s="34">
        <f>IF(AND(BT$5&gt;$E92,BT$5&lt;=$F92),IF(BT$5=$E92+1,$C92,""),"")</f>
        <v/>
      </c>
      <c r="BU92" s="34">
        <f>IF(AND(BU$5&gt;$E92,BU$5&lt;=$F92),IF(BU$5=$E92+1,$C92,""),"")</f>
        <v/>
      </c>
      <c r="BV92" s="34">
        <f>IF(AND(BV$5&gt;$E92,BV$5&lt;=$F92),IF(BV$5=$E92+1,$C92,""),"")</f>
        <v/>
      </c>
      <c r="BW92" s="34">
        <f>IF(AND(BW$5&gt;$E92,BW$5&lt;=$F92),IF(BW$5=$E92+1,$C92,""),"")</f>
        <v/>
      </c>
      <c r="BX92" s="34">
        <f>IF(AND(BX$5&gt;$E92,BX$5&lt;=$F92),IF(BX$5=$E92+1,$C92,""),"")</f>
        <v/>
      </c>
      <c r="BY92" s="34">
        <f>IF(AND(BY$5&gt;$E92,BY$5&lt;=$F92),IF(BY$5=$E92+1,$C92,""),"")</f>
        <v/>
      </c>
      <c r="BZ92" s="34">
        <f>IF(AND(BZ$5&gt;$E92,BZ$5&lt;=$F92),IF(BZ$5=$E92+1,$C92,""),"")</f>
        <v/>
      </c>
      <c r="CA92" s="34">
        <f>IF(AND(CA$5&gt;$E92,CA$5&lt;=$F92),IF(CA$5=$E92+1,$C92,""),"")</f>
        <v/>
      </c>
      <c r="CB92" s="34">
        <f>IF(AND(CB$5&gt;$E92,CB$5&lt;=$F92),IF(CB$5=$E92+1,$C92,""),"")</f>
        <v/>
      </c>
      <c r="CC92" s="34">
        <f>IF(AND(CC$5&gt;$E92,CC$5&lt;=$F92),IF(CC$5=$E92+1,$C92,""),"")</f>
        <v/>
      </c>
      <c r="CD92" s="34">
        <f>IF(AND(CD$5&gt;$E92,CD$5&lt;=$F92),IF(CD$5=$E92+1,$C92,""),"")</f>
        <v/>
      </c>
      <c r="CE92" s="34">
        <f>IF(AND(CE$5&gt;$E92,CE$5&lt;=$F92),IF(CE$5=$E92+1,$C92,""),"")</f>
        <v/>
      </c>
      <c r="CF92" s="34">
        <f>IF(AND(CF$5&gt;$E92,CF$5&lt;=$F92),IF(CF$5=$E92+1,$C92,""),"")</f>
        <v/>
      </c>
      <c r="CG92" s="34">
        <f>IF(AND(CG$5&gt;$E92,CG$5&lt;=$F92),IF(CG$5=$E92+1,$C92,""),"")</f>
        <v/>
      </c>
      <c r="CH92" s="34">
        <f>IF(AND(CH$5&gt;$E92,CH$5&lt;=$F92),IF(CH$5=$E92+1,$C92,""),"")</f>
        <v/>
      </c>
      <c r="CI92" s="34">
        <f>IF(AND(CI$5&gt;$E92,CI$5&lt;=$F92),IF(CI$5=$E92+1,$C92,""),"")</f>
        <v/>
      </c>
      <c r="CJ92" s="34">
        <f>IF(AND(CJ$5&gt;$E92,CJ$5&lt;=$F92),IF(CJ$5=$E92+1,$C92,""),"")</f>
        <v/>
      </c>
      <c r="CK92" s="34">
        <f>IF(AND(CK$5&gt;$E92,CK$5&lt;=$F92),IF(CK$5=$E92+1,$C92,""),"")</f>
        <v/>
      </c>
      <c r="CL92" s="34">
        <f>IF(AND(CL$5&gt;$E92,CL$5&lt;=$F92),IF(CL$5=$E92+1,$C92,""),"")</f>
        <v/>
      </c>
      <c r="CM92" s="34">
        <f>IF(AND(CM$5&gt;$E92,CM$5&lt;=$F92),IF(CM$5=$E92+1,$C92,""),"")</f>
        <v/>
      </c>
      <c r="CN92" s="34">
        <f>IF(AND(CN$5&gt;$E92,CN$5&lt;=$F92),IF(CN$5=$E92+1,$C92,""),"")</f>
        <v/>
      </c>
      <c r="CO92" s="34">
        <f>IF(AND(CO$5&gt;$E92,CO$5&lt;=$F92),IF(CO$5=$E92+1,$C92,""),"")</f>
        <v/>
      </c>
      <c r="CP92" s="34">
        <f>IF(AND(CP$5&gt;$E92,CP$5&lt;=$F92),IF(CP$5=$E92+1,$C92,""),"")</f>
        <v/>
      </c>
      <c r="CQ92" s="34">
        <f>IF(AND(CQ$5&gt;$E92,CQ$5&lt;=$F92),IF(CQ$5=$E92+1,$C92,""),"")</f>
        <v/>
      </c>
      <c r="CR92" s="34">
        <f>IF(AND(CR$5&gt;$E92,CR$5&lt;=$F92),IF(CR$5=$E92+1,$C92,""),"")</f>
        <v/>
      </c>
      <c r="CS92" s="34">
        <f>IF(AND(CS$5&gt;$E92,CS$5&lt;=$F92),IF(CS$5=$E92+1,$C92,""),"")</f>
        <v/>
      </c>
      <c r="CT92" s="34">
        <f>IF(AND(CT$5&gt;$E92,CT$5&lt;=$F92),IF(CT$5=$E92+1,$C92,""),"")</f>
        <v/>
      </c>
      <c r="CU92" s="34">
        <f>IF(AND(CU$5&gt;$E92,CU$5&lt;=$F92),IF(CU$5=$E92+1,$C92,""),"")</f>
        <v/>
      </c>
      <c r="CV92" s="34">
        <f>IF(AND(CV$5&gt;$E92,CV$5&lt;=$F92),IF(CV$5=$E92+1,$C92,""),"")</f>
        <v/>
      </c>
      <c r="CW92" s="34">
        <f>IF(AND(CW$5&gt;$E92,CW$5&lt;=$F92),IF(CW$5=$E92+1,$C92,""),"")</f>
        <v/>
      </c>
      <c r="CX92" s="34">
        <f>IF(AND(CX$5&gt;$E92,CX$5&lt;=$F92),IF(CX$5=$E92+1,$C92,""),"")</f>
        <v/>
      </c>
      <c r="CY92" s="34">
        <f>IF(AND(CY$5&gt;$E92,CY$5&lt;=$F92),IF(CY$5=$E92+1,$C92,""),"")</f>
        <v/>
      </c>
      <c r="CZ92" s="34">
        <f>IF(AND(CZ$5&gt;$E92,CZ$5&lt;=$F92),IF(CZ$5=$E92+1,$C92,""),"")</f>
        <v/>
      </c>
      <c r="DA92" s="34">
        <f>IF(AND(DA$5&gt;$E92,DA$5&lt;=$F92),IF(DA$5=$E92+1,$C92,""),"")</f>
        <v/>
      </c>
      <c r="DB92" s="34">
        <f>IF(AND(DB$5&gt;$E92,DB$5&lt;=$F92),IF(DB$5=$E92+1,$C92,""),"")</f>
        <v/>
      </c>
      <c r="DC92" s="34">
        <f>IF(AND(DC$5&gt;$E92,DC$5&lt;=$F92),IF(DC$5=$E92+1,$C92,""),"")</f>
        <v/>
      </c>
      <c r="DD92" s="34">
        <f>IF(AND(DD$5&gt;$E92,DD$5&lt;=$F92),IF(DD$5=$E92+1,$C92,""),"")</f>
        <v/>
      </c>
      <c r="DE92" s="34">
        <f>IF(AND(DE$5&gt;$E92,DE$5&lt;=$F92),IF(DE$5=$E92+1,$C92,""),"")</f>
        <v/>
      </c>
      <c r="DF92" s="34">
        <f>IF(AND(DF$5&gt;$E92,DF$5&lt;=$F92),IF(DF$5=$E92+1,$C92,""),"")</f>
        <v/>
      </c>
      <c r="DG92" s="34">
        <f>IF(AND(DG$5&gt;$E92,DG$5&lt;=$F92),IF(DG$5=$E92+1,$C92,""),"")</f>
        <v/>
      </c>
      <c r="DH92" s="34">
        <f>IF(AND(DH$5&gt;$E92,DH$5&lt;=$F92),IF(DH$5=$E92+1,$C92,""),"")</f>
        <v/>
      </c>
      <c r="DI92" s="34">
        <f>IF(AND(DI$5&gt;$E92,DI$5&lt;=$F92),IF(DI$5=$E92+1,$C92,""),"")</f>
        <v/>
      </c>
      <c r="DJ92" s="34">
        <f>IF(AND(DJ$5&gt;$E92,DJ$5&lt;=$F92),IF(DJ$5=$E92+1,$C92,""),"")</f>
        <v/>
      </c>
      <c r="DK92" s="34">
        <f>IF(AND(DK$5&gt;$E92,DK$5&lt;=$F92),IF(DK$5=$E92+1,$C92,""),"")</f>
        <v/>
      </c>
      <c r="DL92" s="34">
        <f>IF(AND(DL$5&gt;$E92,DL$5&lt;=$F92),IF(DL$5=$E92+1,$C92,""),"")</f>
        <v/>
      </c>
      <c r="DM92" s="34">
        <f>IF(AND(DM$5&gt;$E92,DM$5&lt;=$F92),IF(DM$5=$E92+1,$C92,""),"")</f>
        <v/>
      </c>
      <c r="DN92" s="34">
        <f>IF(AND(DN$5&gt;$E92,DN$5&lt;=$F92),IF(DN$5=$E92+1,$C92,""),"")</f>
        <v/>
      </c>
      <c r="DO92" s="34">
        <f>IF(AND(DO$5&gt;$E92,DO$5&lt;=$F92),IF(DO$5=$E92+1,$C92,""),"")</f>
        <v/>
      </c>
      <c r="DP92" s="34">
        <f>IF(AND(DP$5&gt;$E92,DP$5&lt;=$F92),IF(DP$5=$E92+1,$C92,""),"")</f>
        <v/>
      </c>
      <c r="DQ92" s="34">
        <f>IF(AND(DQ$5&gt;$E92,DQ$5&lt;=$F92),IF(DQ$5=$E92+1,$C92,""),"")</f>
        <v/>
      </c>
      <c r="DR92" s="34">
        <f>IF(AND(DR$5&gt;$E92,DR$5&lt;=$F92),IF(DR$5=$E92+1,$C92,""),"")</f>
        <v/>
      </c>
      <c r="DS92" s="34">
        <f>IF(AND(DS$5&gt;$E92,DS$5&lt;=$F92),IF(DS$5=$E92+1,$C92,""),"")</f>
        <v/>
      </c>
      <c r="DT92" s="34">
        <f>IF(AND(DT$5&gt;$E92,DT$5&lt;=$F92),IF(DT$5=$E92+1,$C92,""),"")</f>
        <v/>
      </c>
      <c r="DU92" s="34">
        <f>IF(AND(DU$5&gt;$E92,DU$5&lt;=$F92),IF(DU$5=$E92+1,$C92,""),"")</f>
        <v/>
      </c>
      <c r="DV92" s="34">
        <f>IF(AND(DV$5&gt;$E92,DV$5&lt;=$F92),IF(DV$5=$E92+1,$C92,""),"")</f>
        <v/>
      </c>
      <c r="DW92" s="34">
        <f>IF(AND(DW$5&gt;$E92,DW$5&lt;=$F92),IF(DW$5=$E92+1,$C92,""),"")</f>
        <v/>
      </c>
      <c r="DX92" s="34">
        <f>IF(AND(DX$5&gt;$E92,DX$5&lt;=$F92),IF(DX$5=$E92+1,$C92,""),"")</f>
        <v/>
      </c>
      <c r="DY92" s="34">
        <f>IF(AND(DY$5&gt;$E92,DY$5&lt;=$F92),IF(DY$5=$E92+1,$C92,""),"")</f>
        <v/>
      </c>
      <c r="DZ92" s="34">
        <f>IF(AND(DZ$5&gt;$E92,DZ$5&lt;=$F92),IF(DZ$5=$E92+1,$C92,""),"")</f>
        <v/>
      </c>
      <c r="EA92" s="34">
        <f>IF(AND(EA$5&gt;$E92,EA$5&lt;=$F92),IF(EA$5=$E92+1,$C92,""),"")</f>
        <v/>
      </c>
      <c r="EB92" s="34">
        <f>IF(AND(EB$5&gt;$E92,EB$5&lt;=$F92),IF(EB$5=$E92+1,$C92,""),"")</f>
        <v/>
      </c>
      <c r="EC92" s="34">
        <f>IF(AND(EC$5&gt;$E92,EC$5&lt;=$F92),IF(EC$5=$E92+1,$C92,""),"")</f>
        <v/>
      </c>
      <c r="ED92" s="34">
        <f>IF(AND(ED$5&gt;$E92,ED$5&lt;=$F92),IF(ED$5=$E92+1,$C92,""),"")</f>
        <v/>
      </c>
      <c r="EE92" s="34">
        <f>IF(AND(EE$5&gt;$E92,EE$5&lt;=$F92),IF(EE$5=$E92+1,$C92,""),"")</f>
        <v/>
      </c>
      <c r="EF92" s="34">
        <f>IF(AND(EF$5&gt;$E92,EF$5&lt;=$F92),IF(EF$5=$E92+1,$C92,""),"")</f>
        <v/>
      </c>
      <c r="EG92" s="34">
        <f>IF(AND(EG$5&gt;$E92,EG$5&lt;=$F92),IF(EG$5=$E92+1,$C92,""),"")</f>
        <v/>
      </c>
      <c r="EH92" s="34">
        <f>IF(AND(EH$5&gt;$E92,EH$5&lt;=$F92),IF(EH$5=$E92+1,$C92,""),"")</f>
        <v/>
      </c>
      <c r="EI92" s="34">
        <f>IF(AND(EI$5&gt;$E92,EI$5&lt;=$F92),IF(EI$5=$E92+1,$C92,""),"")</f>
        <v/>
      </c>
      <c r="EJ92" s="34">
        <f>IF(AND(EJ$5&gt;$E92,EJ$5&lt;=$F92),IF(EJ$5=$E92+1,$C92,""),"")</f>
        <v/>
      </c>
      <c r="EK92" s="34">
        <f>IF(AND(EK$5&gt;$E92,EK$5&lt;=$F92),IF(EK$5=$E92+1,$C92,""),"")</f>
        <v/>
      </c>
      <c r="EL92" s="34">
        <f>IF(AND(EL$5&gt;$E92,EL$5&lt;=$F92),IF(EL$5=$E92+1,$C92,""),"")</f>
        <v/>
      </c>
      <c r="EM92" s="34">
        <f>IF(AND(EM$5&gt;$E92,EM$5&lt;=$F92),IF(EM$5=$E92+1,$C92,""),"")</f>
        <v/>
      </c>
      <c r="EN92" s="34">
        <f>IF(AND(EN$5&gt;$E92,EN$5&lt;=$F92),IF(EN$5=$E92+1,$C92,""),"")</f>
        <v/>
      </c>
      <c r="EO92" s="34">
        <f>IF(AND(EO$5&gt;$E92,EO$5&lt;=$F92),IF(EO$5=$E92+1,$C92,""),"")</f>
        <v/>
      </c>
      <c r="EP92" s="34">
        <f>IF(AND(EP$5&gt;$E92,EP$5&lt;=$F92),IF(EP$5=$E92+1,$C92,""),"")</f>
        <v/>
      </c>
      <c r="EQ92" s="34">
        <f>IF(AND(EQ$5&gt;$E92,EQ$5&lt;=$F92),IF(EQ$5=$E92+1,$C92,""),"")</f>
        <v/>
      </c>
      <c r="ER92" s="34">
        <f>IF(AND(ER$5&gt;$E92,ER$5&lt;=$F92),IF(ER$5=$E92+1,$C92,""),"")</f>
        <v/>
      </c>
      <c r="ES92" s="34">
        <f>IF(AND(ES$5&gt;$E92,ES$5&lt;=$F92),IF(ES$5=$E92+1,$C92,""),"")</f>
        <v/>
      </c>
      <c r="ET92" s="34">
        <f>IF(AND(ET$5&gt;$E92,ET$5&lt;=$F92),IF(ET$5=$E92+1,$C92,""),"")</f>
        <v/>
      </c>
      <c r="EU92" s="34">
        <f>IF(AND(EU$5&gt;$E92,EU$5&lt;=$F92),IF(EU$5=$E92+1,$C92,""),"")</f>
        <v/>
      </c>
      <c r="EV92" s="34">
        <f>IF(AND(EV$5&gt;$E92,EV$5&lt;=$F92),IF(EV$5=$E92+1,$C92,""),"")</f>
        <v/>
      </c>
      <c r="EW92" s="34">
        <f>IF(AND(EW$5&gt;$E92,EW$5&lt;=$F92),IF(EW$5=$E92+1,$C92,""),"")</f>
        <v/>
      </c>
      <c r="EX92" s="34">
        <f>IF(AND(EX$5&gt;$E92,EX$5&lt;=$F92),IF(EX$5=$E92+1,$C92,""),"")</f>
        <v/>
      </c>
      <c r="EY92" s="34">
        <f>IF(AND(EY$5&gt;$E92,EY$5&lt;=$F92),IF(EY$5=$E92+1,$C92,""),"")</f>
        <v/>
      </c>
      <c r="EZ92" s="34">
        <f>IF(AND(EZ$5&gt;$E92,EZ$5&lt;=$F92),IF(EZ$5=$E92+1,$C92,""),"")</f>
        <v/>
      </c>
      <c r="FA92" s="34">
        <f>IF(AND(FA$5&gt;$E92,FA$5&lt;=$F92),IF(FA$5=$E92+1,$C92,""),"")</f>
        <v/>
      </c>
    </row>
    <row r="93">
      <c r="A93" s="32">
        <f>Plan!A105</f>
        <v/>
      </c>
      <c r="B93" s="33">
        <f>Plan!C105</f>
        <v/>
      </c>
      <c r="C93" s="16">
        <f>Plan!D105</f>
        <v/>
      </c>
      <c r="D93" s="16">
        <f>Plan!I105</f>
        <v/>
      </c>
      <c r="E93" s="16">
        <f>Plan!K105</f>
        <v/>
      </c>
      <c r="F93" s="16">
        <f>Plan!L105</f>
        <v/>
      </c>
      <c r="G93" s="16">
        <f>Plan!O105</f>
        <v/>
      </c>
      <c r="H93" s="34">
        <f>IF(AND(H$5&gt;$E93,H$5&lt;=$F93),IF(H$5=$E93+1,$C93,""),"")</f>
        <v/>
      </c>
      <c r="I93" s="34">
        <f>IF(AND(I$5&gt;$E93,I$5&lt;=$F93),IF(I$5=$E93+1,$C93,""),"")</f>
        <v/>
      </c>
      <c r="J93" s="34">
        <f>IF(AND(J$5&gt;$E93,J$5&lt;=$F93),IF(J$5=$E93+1,$C93,""),"")</f>
        <v/>
      </c>
      <c r="K93" s="34">
        <f>IF(AND(K$5&gt;$E93,K$5&lt;=$F93),IF(K$5=$E93+1,$C93,""),"")</f>
        <v/>
      </c>
      <c r="L93" s="34">
        <f>IF(AND(L$5&gt;$E93,L$5&lt;=$F93),IF(L$5=$E93+1,$C93,""),"")</f>
        <v/>
      </c>
      <c r="M93" s="34">
        <f>IF(AND(M$5&gt;$E93,M$5&lt;=$F93),IF(M$5=$E93+1,$C93,""),"")</f>
        <v/>
      </c>
      <c r="N93" s="34">
        <f>IF(AND(N$5&gt;$E93,N$5&lt;=$F93),IF(N$5=$E93+1,$C93,""),"")</f>
        <v/>
      </c>
      <c r="O93" s="34">
        <f>IF(AND(O$5&gt;$E93,O$5&lt;=$F93),IF(O$5=$E93+1,$C93,""),"")</f>
        <v/>
      </c>
      <c r="P93" s="34">
        <f>IF(AND(P$5&gt;$E93,P$5&lt;=$F93),IF(P$5=$E93+1,$C93,""),"")</f>
        <v/>
      </c>
      <c r="Q93" s="34">
        <f>IF(AND(Q$5&gt;$E93,Q$5&lt;=$F93),IF(Q$5=$E93+1,$C93,""),"")</f>
        <v/>
      </c>
      <c r="R93" s="34">
        <f>IF(AND(R$5&gt;$E93,R$5&lt;=$F93),IF(R$5=$E93+1,$C93,""),"")</f>
        <v/>
      </c>
      <c r="S93" s="34">
        <f>IF(AND(S$5&gt;$E93,S$5&lt;=$F93),IF(S$5=$E93+1,$C93,""),"")</f>
        <v/>
      </c>
      <c r="T93" s="34">
        <f>IF(AND(T$5&gt;$E93,T$5&lt;=$F93),IF(T$5=$E93+1,$C93,""),"")</f>
        <v/>
      </c>
      <c r="U93" s="34">
        <f>IF(AND(U$5&gt;$E93,U$5&lt;=$F93),IF(U$5=$E93+1,$C93,""),"")</f>
        <v/>
      </c>
      <c r="V93" s="34">
        <f>IF(AND(V$5&gt;$E93,V$5&lt;=$F93),IF(V$5=$E93+1,$C93,""),"")</f>
        <v/>
      </c>
      <c r="W93" s="34">
        <f>IF(AND(W$5&gt;$E93,W$5&lt;=$F93),IF(W$5=$E93+1,$C93,""),"")</f>
        <v/>
      </c>
      <c r="X93" s="34">
        <f>IF(AND(X$5&gt;$E93,X$5&lt;=$F93),IF(X$5=$E93+1,$C93,""),"")</f>
        <v/>
      </c>
      <c r="Y93" s="34">
        <f>IF(AND(Y$5&gt;$E93,Y$5&lt;=$F93),IF(Y$5=$E93+1,$C93,""),"")</f>
        <v/>
      </c>
      <c r="Z93" s="34">
        <f>IF(AND(Z$5&gt;$E93,Z$5&lt;=$F93),IF(Z$5=$E93+1,$C93,""),"")</f>
        <v/>
      </c>
      <c r="AA93" s="34">
        <f>IF(AND(AA$5&gt;$E93,AA$5&lt;=$F93),IF(AA$5=$E93+1,$C93,""),"")</f>
        <v/>
      </c>
      <c r="AB93" s="34">
        <f>IF(AND(AB$5&gt;$E93,AB$5&lt;=$F93),IF(AB$5=$E93+1,$C93,""),"")</f>
        <v/>
      </c>
      <c r="AC93" s="34">
        <f>IF(AND(AC$5&gt;$E93,AC$5&lt;=$F93),IF(AC$5=$E93+1,$C93,""),"")</f>
        <v/>
      </c>
      <c r="AD93" s="34">
        <f>IF(AND(AD$5&gt;$E93,AD$5&lt;=$F93),IF(AD$5=$E93+1,$C93,""),"")</f>
        <v/>
      </c>
      <c r="AE93" s="34">
        <f>IF(AND(AE$5&gt;$E93,AE$5&lt;=$F93),IF(AE$5=$E93+1,$C93,""),"")</f>
        <v/>
      </c>
      <c r="AF93" s="34">
        <f>IF(AND(AF$5&gt;$E93,AF$5&lt;=$F93),IF(AF$5=$E93+1,$C93,""),"")</f>
        <v/>
      </c>
      <c r="AG93" s="34">
        <f>IF(AND(AG$5&gt;$E93,AG$5&lt;=$F93),IF(AG$5=$E93+1,$C93,""),"")</f>
        <v/>
      </c>
      <c r="AH93" s="34">
        <f>IF(AND(AH$5&gt;$E93,AH$5&lt;=$F93),IF(AH$5=$E93+1,$C93,""),"")</f>
        <v/>
      </c>
      <c r="AI93" s="34">
        <f>IF(AND(AI$5&gt;$E93,AI$5&lt;=$F93),IF(AI$5=$E93+1,$C93,""),"")</f>
        <v/>
      </c>
      <c r="AJ93" s="34">
        <f>IF(AND(AJ$5&gt;$E93,AJ$5&lt;=$F93),IF(AJ$5=$E93+1,$C93,""),"")</f>
        <v/>
      </c>
      <c r="AK93" s="34">
        <f>IF(AND(AK$5&gt;$E93,AK$5&lt;=$F93),IF(AK$5=$E93+1,$C93,""),"")</f>
        <v/>
      </c>
      <c r="AL93" s="34">
        <f>IF(AND(AL$5&gt;$E93,AL$5&lt;=$F93),IF(AL$5=$E93+1,$C93,""),"")</f>
        <v/>
      </c>
      <c r="AM93" s="34">
        <f>IF(AND(AM$5&gt;$E93,AM$5&lt;=$F93),IF(AM$5=$E93+1,$C93,""),"")</f>
        <v/>
      </c>
      <c r="AN93" s="34">
        <f>IF(AND(AN$5&gt;$E93,AN$5&lt;=$F93),IF(AN$5=$E93+1,$C93,""),"")</f>
        <v/>
      </c>
      <c r="AO93" s="34">
        <f>IF(AND(AO$5&gt;$E93,AO$5&lt;=$F93),IF(AO$5=$E93+1,$C93,""),"")</f>
        <v/>
      </c>
      <c r="AP93" s="34">
        <f>IF(AND(AP$5&gt;$E93,AP$5&lt;=$F93),IF(AP$5=$E93+1,$C93,""),"")</f>
        <v/>
      </c>
      <c r="AQ93" s="34">
        <f>IF(AND(AQ$5&gt;$E93,AQ$5&lt;=$F93),IF(AQ$5=$E93+1,$C93,""),"")</f>
        <v/>
      </c>
      <c r="AR93" s="34">
        <f>IF(AND(AR$5&gt;$E93,AR$5&lt;=$F93),IF(AR$5=$E93+1,$C93,""),"")</f>
        <v/>
      </c>
      <c r="AS93" s="34">
        <f>IF(AND(AS$5&gt;$E93,AS$5&lt;=$F93),IF(AS$5=$E93+1,$C93,""),"")</f>
        <v/>
      </c>
      <c r="AT93" s="34">
        <f>IF(AND(AT$5&gt;$E93,AT$5&lt;=$F93),IF(AT$5=$E93+1,$C93,""),"")</f>
        <v/>
      </c>
      <c r="AU93" s="34">
        <f>IF(AND(AU$5&gt;$E93,AU$5&lt;=$F93),IF(AU$5=$E93+1,$C93,""),"")</f>
        <v/>
      </c>
      <c r="AV93" s="34">
        <f>IF(AND(AV$5&gt;$E93,AV$5&lt;=$F93),IF(AV$5=$E93+1,$C93,""),"")</f>
        <v/>
      </c>
      <c r="AW93" s="34">
        <f>IF(AND(AW$5&gt;$E93,AW$5&lt;=$F93),IF(AW$5=$E93+1,$C93,""),"")</f>
        <v/>
      </c>
      <c r="AX93" s="34">
        <f>IF(AND(AX$5&gt;$E93,AX$5&lt;=$F93),IF(AX$5=$E93+1,$C93,""),"")</f>
        <v/>
      </c>
      <c r="AY93" s="34">
        <f>IF(AND(AY$5&gt;$E93,AY$5&lt;=$F93),IF(AY$5=$E93+1,$C93,""),"")</f>
        <v/>
      </c>
      <c r="AZ93" s="34">
        <f>IF(AND(AZ$5&gt;$E93,AZ$5&lt;=$F93),IF(AZ$5=$E93+1,$C93,""),"")</f>
        <v/>
      </c>
      <c r="BA93" s="34">
        <f>IF(AND(BA$5&gt;$E93,BA$5&lt;=$F93),IF(BA$5=$E93+1,$C93,""),"")</f>
        <v/>
      </c>
      <c r="BB93" s="34">
        <f>IF(AND(BB$5&gt;$E93,BB$5&lt;=$F93),IF(BB$5=$E93+1,$C93,""),"")</f>
        <v/>
      </c>
      <c r="BC93" s="34">
        <f>IF(AND(BC$5&gt;$E93,BC$5&lt;=$F93),IF(BC$5=$E93+1,$C93,""),"")</f>
        <v/>
      </c>
      <c r="BD93" s="34">
        <f>IF(AND(BD$5&gt;$E93,BD$5&lt;=$F93),IF(BD$5=$E93+1,$C93,""),"")</f>
        <v/>
      </c>
      <c r="BE93" s="34">
        <f>IF(AND(BE$5&gt;$E93,BE$5&lt;=$F93),IF(BE$5=$E93+1,$C93,""),"")</f>
        <v/>
      </c>
      <c r="BF93" s="34">
        <f>IF(AND(BF$5&gt;$E93,BF$5&lt;=$F93),IF(BF$5=$E93+1,$C93,""),"")</f>
        <v/>
      </c>
      <c r="BG93" s="34">
        <f>IF(AND(BG$5&gt;$E93,BG$5&lt;=$F93),IF(BG$5=$E93+1,$C93,""),"")</f>
        <v/>
      </c>
      <c r="BH93" s="34">
        <f>IF(AND(BH$5&gt;$E93,BH$5&lt;=$F93),IF(BH$5=$E93+1,$C93,""),"")</f>
        <v/>
      </c>
      <c r="BI93" s="34">
        <f>IF(AND(BI$5&gt;$E93,BI$5&lt;=$F93),IF(BI$5=$E93+1,$C93,""),"")</f>
        <v/>
      </c>
      <c r="BJ93" s="34">
        <f>IF(AND(BJ$5&gt;$E93,BJ$5&lt;=$F93),IF(BJ$5=$E93+1,$C93,""),"")</f>
        <v/>
      </c>
      <c r="BK93" s="34">
        <f>IF(AND(BK$5&gt;$E93,BK$5&lt;=$F93),IF(BK$5=$E93+1,$C93,""),"")</f>
        <v/>
      </c>
      <c r="BL93" s="34">
        <f>IF(AND(BL$5&gt;$E93,BL$5&lt;=$F93),IF(BL$5=$E93+1,$C93,""),"")</f>
        <v/>
      </c>
      <c r="BM93" s="34">
        <f>IF(AND(BM$5&gt;$E93,BM$5&lt;=$F93),IF(BM$5=$E93+1,$C93,""),"")</f>
        <v/>
      </c>
      <c r="BN93" s="34">
        <f>IF(AND(BN$5&gt;$E93,BN$5&lt;=$F93),IF(BN$5=$E93+1,$C93,""),"")</f>
        <v/>
      </c>
      <c r="BO93" s="34">
        <f>IF(AND(BO$5&gt;$E93,BO$5&lt;=$F93),IF(BO$5=$E93+1,$C93,""),"")</f>
        <v/>
      </c>
      <c r="BP93" s="34">
        <f>IF(AND(BP$5&gt;$E93,BP$5&lt;=$F93),IF(BP$5=$E93+1,$C93,""),"")</f>
        <v/>
      </c>
      <c r="BQ93" s="34">
        <f>IF(AND(BQ$5&gt;$E93,BQ$5&lt;=$F93),IF(BQ$5=$E93+1,$C93,""),"")</f>
        <v/>
      </c>
      <c r="BR93" s="34">
        <f>IF(AND(BR$5&gt;$E93,BR$5&lt;=$F93),IF(BR$5=$E93+1,$C93,""),"")</f>
        <v/>
      </c>
      <c r="BS93" s="34">
        <f>IF(AND(BS$5&gt;$E93,BS$5&lt;=$F93),IF(BS$5=$E93+1,$C93,""),"")</f>
        <v/>
      </c>
      <c r="BT93" s="34">
        <f>IF(AND(BT$5&gt;$E93,BT$5&lt;=$F93),IF(BT$5=$E93+1,$C93,""),"")</f>
        <v/>
      </c>
      <c r="BU93" s="34">
        <f>IF(AND(BU$5&gt;$E93,BU$5&lt;=$F93),IF(BU$5=$E93+1,$C93,""),"")</f>
        <v/>
      </c>
      <c r="BV93" s="34">
        <f>IF(AND(BV$5&gt;$E93,BV$5&lt;=$F93),IF(BV$5=$E93+1,$C93,""),"")</f>
        <v/>
      </c>
      <c r="BW93" s="34">
        <f>IF(AND(BW$5&gt;$E93,BW$5&lt;=$F93),IF(BW$5=$E93+1,$C93,""),"")</f>
        <v/>
      </c>
      <c r="BX93" s="34">
        <f>IF(AND(BX$5&gt;$E93,BX$5&lt;=$F93),IF(BX$5=$E93+1,$C93,""),"")</f>
        <v/>
      </c>
      <c r="BY93" s="34">
        <f>IF(AND(BY$5&gt;$E93,BY$5&lt;=$F93),IF(BY$5=$E93+1,$C93,""),"")</f>
        <v/>
      </c>
      <c r="BZ93" s="34">
        <f>IF(AND(BZ$5&gt;$E93,BZ$5&lt;=$F93),IF(BZ$5=$E93+1,$C93,""),"")</f>
        <v/>
      </c>
      <c r="CA93" s="34">
        <f>IF(AND(CA$5&gt;$E93,CA$5&lt;=$F93),IF(CA$5=$E93+1,$C93,""),"")</f>
        <v/>
      </c>
      <c r="CB93" s="34">
        <f>IF(AND(CB$5&gt;$E93,CB$5&lt;=$F93),IF(CB$5=$E93+1,$C93,""),"")</f>
        <v/>
      </c>
      <c r="CC93" s="34">
        <f>IF(AND(CC$5&gt;$E93,CC$5&lt;=$F93),IF(CC$5=$E93+1,$C93,""),"")</f>
        <v/>
      </c>
      <c r="CD93" s="34">
        <f>IF(AND(CD$5&gt;$E93,CD$5&lt;=$F93),IF(CD$5=$E93+1,$C93,""),"")</f>
        <v/>
      </c>
      <c r="CE93" s="34">
        <f>IF(AND(CE$5&gt;$E93,CE$5&lt;=$F93),IF(CE$5=$E93+1,$C93,""),"")</f>
        <v/>
      </c>
      <c r="CF93" s="34">
        <f>IF(AND(CF$5&gt;$E93,CF$5&lt;=$F93),IF(CF$5=$E93+1,$C93,""),"")</f>
        <v/>
      </c>
      <c r="CG93" s="34">
        <f>IF(AND(CG$5&gt;$E93,CG$5&lt;=$F93),IF(CG$5=$E93+1,$C93,""),"")</f>
        <v/>
      </c>
      <c r="CH93" s="34">
        <f>IF(AND(CH$5&gt;$E93,CH$5&lt;=$F93),IF(CH$5=$E93+1,$C93,""),"")</f>
        <v/>
      </c>
      <c r="CI93" s="34">
        <f>IF(AND(CI$5&gt;$E93,CI$5&lt;=$F93),IF(CI$5=$E93+1,$C93,""),"")</f>
        <v/>
      </c>
      <c r="CJ93" s="34">
        <f>IF(AND(CJ$5&gt;$E93,CJ$5&lt;=$F93),IF(CJ$5=$E93+1,$C93,""),"")</f>
        <v/>
      </c>
      <c r="CK93" s="34">
        <f>IF(AND(CK$5&gt;$E93,CK$5&lt;=$F93),IF(CK$5=$E93+1,$C93,""),"")</f>
        <v/>
      </c>
      <c r="CL93" s="34">
        <f>IF(AND(CL$5&gt;$E93,CL$5&lt;=$F93),IF(CL$5=$E93+1,$C93,""),"")</f>
        <v/>
      </c>
      <c r="CM93" s="34">
        <f>IF(AND(CM$5&gt;$E93,CM$5&lt;=$F93),IF(CM$5=$E93+1,$C93,""),"")</f>
        <v/>
      </c>
      <c r="CN93" s="34">
        <f>IF(AND(CN$5&gt;$E93,CN$5&lt;=$F93),IF(CN$5=$E93+1,$C93,""),"")</f>
        <v/>
      </c>
      <c r="CO93" s="34">
        <f>IF(AND(CO$5&gt;$E93,CO$5&lt;=$F93),IF(CO$5=$E93+1,$C93,""),"")</f>
        <v/>
      </c>
      <c r="CP93" s="34">
        <f>IF(AND(CP$5&gt;$E93,CP$5&lt;=$F93),IF(CP$5=$E93+1,$C93,""),"")</f>
        <v/>
      </c>
      <c r="CQ93" s="34">
        <f>IF(AND(CQ$5&gt;$E93,CQ$5&lt;=$F93),IF(CQ$5=$E93+1,$C93,""),"")</f>
        <v/>
      </c>
      <c r="CR93" s="34">
        <f>IF(AND(CR$5&gt;$E93,CR$5&lt;=$F93),IF(CR$5=$E93+1,$C93,""),"")</f>
        <v/>
      </c>
      <c r="CS93" s="34">
        <f>IF(AND(CS$5&gt;$E93,CS$5&lt;=$F93),IF(CS$5=$E93+1,$C93,""),"")</f>
        <v/>
      </c>
      <c r="CT93" s="34">
        <f>IF(AND(CT$5&gt;$E93,CT$5&lt;=$F93),IF(CT$5=$E93+1,$C93,""),"")</f>
        <v/>
      </c>
      <c r="CU93" s="34">
        <f>IF(AND(CU$5&gt;$E93,CU$5&lt;=$F93),IF(CU$5=$E93+1,$C93,""),"")</f>
        <v/>
      </c>
      <c r="CV93" s="34">
        <f>IF(AND(CV$5&gt;$E93,CV$5&lt;=$F93),IF(CV$5=$E93+1,$C93,""),"")</f>
        <v/>
      </c>
      <c r="CW93" s="34">
        <f>IF(AND(CW$5&gt;$E93,CW$5&lt;=$F93),IF(CW$5=$E93+1,$C93,""),"")</f>
        <v/>
      </c>
      <c r="CX93" s="34">
        <f>IF(AND(CX$5&gt;$E93,CX$5&lt;=$F93),IF(CX$5=$E93+1,$C93,""),"")</f>
        <v/>
      </c>
      <c r="CY93" s="34">
        <f>IF(AND(CY$5&gt;$E93,CY$5&lt;=$F93),IF(CY$5=$E93+1,$C93,""),"")</f>
        <v/>
      </c>
      <c r="CZ93" s="34">
        <f>IF(AND(CZ$5&gt;$E93,CZ$5&lt;=$F93),IF(CZ$5=$E93+1,$C93,""),"")</f>
        <v/>
      </c>
      <c r="DA93" s="34">
        <f>IF(AND(DA$5&gt;$E93,DA$5&lt;=$F93),IF(DA$5=$E93+1,$C93,""),"")</f>
        <v/>
      </c>
      <c r="DB93" s="34">
        <f>IF(AND(DB$5&gt;$E93,DB$5&lt;=$F93),IF(DB$5=$E93+1,$C93,""),"")</f>
        <v/>
      </c>
      <c r="DC93" s="34">
        <f>IF(AND(DC$5&gt;$E93,DC$5&lt;=$F93),IF(DC$5=$E93+1,$C93,""),"")</f>
        <v/>
      </c>
      <c r="DD93" s="34">
        <f>IF(AND(DD$5&gt;$E93,DD$5&lt;=$F93),IF(DD$5=$E93+1,$C93,""),"")</f>
        <v/>
      </c>
      <c r="DE93" s="34">
        <f>IF(AND(DE$5&gt;$E93,DE$5&lt;=$F93),IF(DE$5=$E93+1,$C93,""),"")</f>
        <v/>
      </c>
      <c r="DF93" s="34">
        <f>IF(AND(DF$5&gt;$E93,DF$5&lt;=$F93),IF(DF$5=$E93+1,$C93,""),"")</f>
        <v/>
      </c>
      <c r="DG93" s="34">
        <f>IF(AND(DG$5&gt;$E93,DG$5&lt;=$F93),IF(DG$5=$E93+1,$C93,""),"")</f>
        <v/>
      </c>
      <c r="DH93" s="34">
        <f>IF(AND(DH$5&gt;$E93,DH$5&lt;=$F93),IF(DH$5=$E93+1,$C93,""),"")</f>
        <v/>
      </c>
      <c r="DI93" s="34">
        <f>IF(AND(DI$5&gt;$E93,DI$5&lt;=$F93),IF(DI$5=$E93+1,$C93,""),"")</f>
        <v/>
      </c>
      <c r="DJ93" s="34">
        <f>IF(AND(DJ$5&gt;$E93,DJ$5&lt;=$F93),IF(DJ$5=$E93+1,$C93,""),"")</f>
        <v/>
      </c>
      <c r="DK93" s="34">
        <f>IF(AND(DK$5&gt;$E93,DK$5&lt;=$F93),IF(DK$5=$E93+1,$C93,""),"")</f>
        <v/>
      </c>
      <c r="DL93" s="34">
        <f>IF(AND(DL$5&gt;$E93,DL$5&lt;=$F93),IF(DL$5=$E93+1,$C93,""),"")</f>
        <v/>
      </c>
      <c r="DM93" s="34">
        <f>IF(AND(DM$5&gt;$E93,DM$5&lt;=$F93),IF(DM$5=$E93+1,$C93,""),"")</f>
        <v/>
      </c>
      <c r="DN93" s="34">
        <f>IF(AND(DN$5&gt;$E93,DN$5&lt;=$F93),IF(DN$5=$E93+1,$C93,""),"")</f>
        <v/>
      </c>
      <c r="DO93" s="34">
        <f>IF(AND(DO$5&gt;$E93,DO$5&lt;=$F93),IF(DO$5=$E93+1,$C93,""),"")</f>
        <v/>
      </c>
      <c r="DP93" s="34">
        <f>IF(AND(DP$5&gt;$E93,DP$5&lt;=$F93),IF(DP$5=$E93+1,$C93,""),"")</f>
        <v/>
      </c>
      <c r="DQ93" s="34">
        <f>IF(AND(DQ$5&gt;$E93,DQ$5&lt;=$F93),IF(DQ$5=$E93+1,$C93,""),"")</f>
        <v/>
      </c>
      <c r="DR93" s="34">
        <f>IF(AND(DR$5&gt;$E93,DR$5&lt;=$F93),IF(DR$5=$E93+1,$C93,""),"")</f>
        <v/>
      </c>
      <c r="DS93" s="34">
        <f>IF(AND(DS$5&gt;$E93,DS$5&lt;=$F93),IF(DS$5=$E93+1,$C93,""),"")</f>
        <v/>
      </c>
      <c r="DT93" s="34">
        <f>IF(AND(DT$5&gt;$E93,DT$5&lt;=$F93),IF(DT$5=$E93+1,$C93,""),"")</f>
        <v/>
      </c>
      <c r="DU93" s="34">
        <f>IF(AND(DU$5&gt;$E93,DU$5&lt;=$F93),IF(DU$5=$E93+1,$C93,""),"")</f>
        <v/>
      </c>
      <c r="DV93" s="34">
        <f>IF(AND(DV$5&gt;$E93,DV$5&lt;=$F93),IF(DV$5=$E93+1,$C93,""),"")</f>
        <v/>
      </c>
      <c r="DW93" s="34">
        <f>IF(AND(DW$5&gt;$E93,DW$5&lt;=$F93),IF(DW$5=$E93+1,$C93,""),"")</f>
        <v/>
      </c>
      <c r="DX93" s="34">
        <f>IF(AND(DX$5&gt;$E93,DX$5&lt;=$F93),IF(DX$5=$E93+1,$C93,""),"")</f>
        <v/>
      </c>
      <c r="DY93" s="34">
        <f>IF(AND(DY$5&gt;$E93,DY$5&lt;=$F93),IF(DY$5=$E93+1,$C93,""),"")</f>
        <v/>
      </c>
      <c r="DZ93" s="34">
        <f>IF(AND(DZ$5&gt;$E93,DZ$5&lt;=$F93),IF(DZ$5=$E93+1,$C93,""),"")</f>
        <v/>
      </c>
      <c r="EA93" s="34">
        <f>IF(AND(EA$5&gt;$E93,EA$5&lt;=$F93),IF(EA$5=$E93+1,$C93,""),"")</f>
        <v/>
      </c>
      <c r="EB93" s="34">
        <f>IF(AND(EB$5&gt;$E93,EB$5&lt;=$F93),IF(EB$5=$E93+1,$C93,""),"")</f>
        <v/>
      </c>
      <c r="EC93" s="34">
        <f>IF(AND(EC$5&gt;$E93,EC$5&lt;=$F93),IF(EC$5=$E93+1,$C93,""),"")</f>
        <v/>
      </c>
      <c r="ED93" s="34">
        <f>IF(AND(ED$5&gt;$E93,ED$5&lt;=$F93),IF(ED$5=$E93+1,$C93,""),"")</f>
        <v/>
      </c>
      <c r="EE93" s="34">
        <f>IF(AND(EE$5&gt;$E93,EE$5&lt;=$F93),IF(EE$5=$E93+1,$C93,""),"")</f>
        <v/>
      </c>
      <c r="EF93" s="34">
        <f>IF(AND(EF$5&gt;$E93,EF$5&lt;=$F93),IF(EF$5=$E93+1,$C93,""),"")</f>
        <v/>
      </c>
      <c r="EG93" s="34">
        <f>IF(AND(EG$5&gt;$E93,EG$5&lt;=$F93),IF(EG$5=$E93+1,$C93,""),"")</f>
        <v/>
      </c>
      <c r="EH93" s="34">
        <f>IF(AND(EH$5&gt;$E93,EH$5&lt;=$F93),IF(EH$5=$E93+1,$C93,""),"")</f>
        <v/>
      </c>
      <c r="EI93" s="34">
        <f>IF(AND(EI$5&gt;$E93,EI$5&lt;=$F93),IF(EI$5=$E93+1,$C93,""),"")</f>
        <v/>
      </c>
      <c r="EJ93" s="34">
        <f>IF(AND(EJ$5&gt;$E93,EJ$5&lt;=$F93),IF(EJ$5=$E93+1,$C93,""),"")</f>
        <v/>
      </c>
      <c r="EK93" s="34">
        <f>IF(AND(EK$5&gt;$E93,EK$5&lt;=$F93),IF(EK$5=$E93+1,$C93,""),"")</f>
        <v/>
      </c>
      <c r="EL93" s="34">
        <f>IF(AND(EL$5&gt;$E93,EL$5&lt;=$F93),IF(EL$5=$E93+1,$C93,""),"")</f>
        <v/>
      </c>
      <c r="EM93" s="34">
        <f>IF(AND(EM$5&gt;$E93,EM$5&lt;=$F93),IF(EM$5=$E93+1,$C93,""),"")</f>
        <v/>
      </c>
      <c r="EN93" s="34">
        <f>IF(AND(EN$5&gt;$E93,EN$5&lt;=$F93),IF(EN$5=$E93+1,$C93,""),"")</f>
        <v/>
      </c>
      <c r="EO93" s="34">
        <f>IF(AND(EO$5&gt;$E93,EO$5&lt;=$F93),IF(EO$5=$E93+1,$C93,""),"")</f>
        <v/>
      </c>
      <c r="EP93" s="34">
        <f>IF(AND(EP$5&gt;$E93,EP$5&lt;=$F93),IF(EP$5=$E93+1,$C93,""),"")</f>
        <v/>
      </c>
      <c r="EQ93" s="34">
        <f>IF(AND(EQ$5&gt;$E93,EQ$5&lt;=$F93),IF(EQ$5=$E93+1,$C93,""),"")</f>
        <v/>
      </c>
      <c r="ER93" s="34">
        <f>IF(AND(ER$5&gt;$E93,ER$5&lt;=$F93),IF(ER$5=$E93+1,$C93,""),"")</f>
        <v/>
      </c>
      <c r="ES93" s="34">
        <f>IF(AND(ES$5&gt;$E93,ES$5&lt;=$F93),IF(ES$5=$E93+1,$C93,""),"")</f>
        <v/>
      </c>
      <c r="ET93" s="34">
        <f>IF(AND(ET$5&gt;$E93,ET$5&lt;=$F93),IF(ET$5=$E93+1,$C93,""),"")</f>
        <v/>
      </c>
      <c r="EU93" s="34">
        <f>IF(AND(EU$5&gt;$E93,EU$5&lt;=$F93),IF(EU$5=$E93+1,$C93,""),"")</f>
        <v/>
      </c>
      <c r="EV93" s="34">
        <f>IF(AND(EV$5&gt;$E93,EV$5&lt;=$F93),IF(EV$5=$E93+1,$C93,""),"")</f>
        <v/>
      </c>
      <c r="EW93" s="34">
        <f>IF(AND(EW$5&gt;$E93,EW$5&lt;=$F93),IF(EW$5=$E93+1,$C93,""),"")</f>
        <v/>
      </c>
      <c r="EX93" s="34">
        <f>IF(AND(EX$5&gt;$E93,EX$5&lt;=$F93),IF(EX$5=$E93+1,$C93,""),"")</f>
        <v/>
      </c>
      <c r="EY93" s="34">
        <f>IF(AND(EY$5&gt;$E93,EY$5&lt;=$F93),IF(EY$5=$E93+1,$C93,""),"")</f>
        <v/>
      </c>
      <c r="EZ93" s="34">
        <f>IF(AND(EZ$5&gt;$E93,EZ$5&lt;=$F93),IF(EZ$5=$E93+1,$C93,""),"")</f>
        <v/>
      </c>
      <c r="FA93" s="34">
        <f>IF(AND(FA$5&gt;$E93,FA$5&lt;=$F93),IF(FA$5=$E93+1,$C93,""),"")</f>
        <v/>
      </c>
    </row>
    <row r="94">
      <c r="A94" s="32">
        <f>Plan!A106</f>
        <v/>
      </c>
      <c r="B94" s="33">
        <f>Plan!C106</f>
        <v/>
      </c>
      <c r="C94" s="16">
        <f>Plan!D106</f>
        <v/>
      </c>
      <c r="D94" s="16">
        <f>Plan!I106</f>
        <v/>
      </c>
      <c r="E94" s="16">
        <f>Plan!K106</f>
        <v/>
      </c>
      <c r="F94" s="16">
        <f>Plan!L106</f>
        <v/>
      </c>
      <c r="G94" s="16">
        <f>Plan!O106</f>
        <v/>
      </c>
      <c r="H94" s="34">
        <f>IF(AND(H$5&gt;$E94,H$5&lt;=$F94),IF(H$5=$E94+1,$C94,""),"")</f>
        <v/>
      </c>
      <c r="I94" s="34">
        <f>IF(AND(I$5&gt;$E94,I$5&lt;=$F94),IF(I$5=$E94+1,$C94,""),"")</f>
        <v/>
      </c>
      <c r="J94" s="34">
        <f>IF(AND(J$5&gt;$E94,J$5&lt;=$F94),IF(J$5=$E94+1,$C94,""),"")</f>
        <v/>
      </c>
      <c r="K94" s="34">
        <f>IF(AND(K$5&gt;$E94,K$5&lt;=$F94),IF(K$5=$E94+1,$C94,""),"")</f>
        <v/>
      </c>
      <c r="L94" s="34">
        <f>IF(AND(L$5&gt;$E94,L$5&lt;=$F94),IF(L$5=$E94+1,$C94,""),"")</f>
        <v/>
      </c>
      <c r="M94" s="34">
        <f>IF(AND(M$5&gt;$E94,M$5&lt;=$F94),IF(M$5=$E94+1,$C94,""),"")</f>
        <v/>
      </c>
      <c r="N94" s="34">
        <f>IF(AND(N$5&gt;$E94,N$5&lt;=$F94),IF(N$5=$E94+1,$C94,""),"")</f>
        <v/>
      </c>
      <c r="O94" s="34">
        <f>IF(AND(O$5&gt;$E94,O$5&lt;=$F94),IF(O$5=$E94+1,$C94,""),"")</f>
        <v/>
      </c>
      <c r="P94" s="34">
        <f>IF(AND(P$5&gt;$E94,P$5&lt;=$F94),IF(P$5=$E94+1,$C94,""),"")</f>
        <v/>
      </c>
      <c r="Q94" s="34">
        <f>IF(AND(Q$5&gt;$E94,Q$5&lt;=$F94),IF(Q$5=$E94+1,$C94,""),"")</f>
        <v/>
      </c>
      <c r="R94" s="34">
        <f>IF(AND(R$5&gt;$E94,R$5&lt;=$F94),IF(R$5=$E94+1,$C94,""),"")</f>
        <v/>
      </c>
      <c r="S94" s="34">
        <f>IF(AND(S$5&gt;$E94,S$5&lt;=$F94),IF(S$5=$E94+1,$C94,""),"")</f>
        <v/>
      </c>
      <c r="T94" s="34">
        <f>IF(AND(T$5&gt;$E94,T$5&lt;=$F94),IF(T$5=$E94+1,$C94,""),"")</f>
        <v/>
      </c>
      <c r="U94" s="34">
        <f>IF(AND(U$5&gt;$E94,U$5&lt;=$F94),IF(U$5=$E94+1,$C94,""),"")</f>
        <v/>
      </c>
      <c r="V94" s="34">
        <f>IF(AND(V$5&gt;$E94,V$5&lt;=$F94),IF(V$5=$E94+1,$C94,""),"")</f>
        <v/>
      </c>
      <c r="W94" s="34">
        <f>IF(AND(W$5&gt;$E94,W$5&lt;=$F94),IF(W$5=$E94+1,$C94,""),"")</f>
        <v/>
      </c>
      <c r="X94" s="34">
        <f>IF(AND(X$5&gt;$E94,X$5&lt;=$F94),IF(X$5=$E94+1,$C94,""),"")</f>
        <v/>
      </c>
      <c r="Y94" s="34">
        <f>IF(AND(Y$5&gt;$E94,Y$5&lt;=$F94),IF(Y$5=$E94+1,$C94,""),"")</f>
        <v/>
      </c>
      <c r="Z94" s="34">
        <f>IF(AND(Z$5&gt;$E94,Z$5&lt;=$F94),IF(Z$5=$E94+1,$C94,""),"")</f>
        <v/>
      </c>
      <c r="AA94" s="34">
        <f>IF(AND(AA$5&gt;$E94,AA$5&lt;=$F94),IF(AA$5=$E94+1,$C94,""),"")</f>
        <v/>
      </c>
      <c r="AB94" s="34">
        <f>IF(AND(AB$5&gt;$E94,AB$5&lt;=$F94),IF(AB$5=$E94+1,$C94,""),"")</f>
        <v/>
      </c>
      <c r="AC94" s="34">
        <f>IF(AND(AC$5&gt;$E94,AC$5&lt;=$F94),IF(AC$5=$E94+1,$C94,""),"")</f>
        <v/>
      </c>
      <c r="AD94" s="34">
        <f>IF(AND(AD$5&gt;$E94,AD$5&lt;=$F94),IF(AD$5=$E94+1,$C94,""),"")</f>
        <v/>
      </c>
      <c r="AE94" s="34">
        <f>IF(AND(AE$5&gt;$E94,AE$5&lt;=$F94),IF(AE$5=$E94+1,$C94,""),"")</f>
        <v/>
      </c>
      <c r="AF94" s="34">
        <f>IF(AND(AF$5&gt;$E94,AF$5&lt;=$F94),IF(AF$5=$E94+1,$C94,""),"")</f>
        <v/>
      </c>
      <c r="AG94" s="34">
        <f>IF(AND(AG$5&gt;$E94,AG$5&lt;=$F94),IF(AG$5=$E94+1,$C94,""),"")</f>
        <v/>
      </c>
      <c r="AH94" s="34">
        <f>IF(AND(AH$5&gt;$E94,AH$5&lt;=$F94),IF(AH$5=$E94+1,$C94,""),"")</f>
        <v/>
      </c>
      <c r="AI94" s="34">
        <f>IF(AND(AI$5&gt;$E94,AI$5&lt;=$F94),IF(AI$5=$E94+1,$C94,""),"")</f>
        <v/>
      </c>
      <c r="AJ94" s="34">
        <f>IF(AND(AJ$5&gt;$E94,AJ$5&lt;=$F94),IF(AJ$5=$E94+1,$C94,""),"")</f>
        <v/>
      </c>
      <c r="AK94" s="34">
        <f>IF(AND(AK$5&gt;$E94,AK$5&lt;=$F94),IF(AK$5=$E94+1,$C94,""),"")</f>
        <v/>
      </c>
      <c r="AL94" s="34">
        <f>IF(AND(AL$5&gt;$E94,AL$5&lt;=$F94),IF(AL$5=$E94+1,$C94,""),"")</f>
        <v/>
      </c>
      <c r="AM94" s="34">
        <f>IF(AND(AM$5&gt;$E94,AM$5&lt;=$F94),IF(AM$5=$E94+1,$C94,""),"")</f>
        <v/>
      </c>
      <c r="AN94" s="34">
        <f>IF(AND(AN$5&gt;$E94,AN$5&lt;=$F94),IF(AN$5=$E94+1,$C94,""),"")</f>
        <v/>
      </c>
      <c r="AO94" s="34">
        <f>IF(AND(AO$5&gt;$E94,AO$5&lt;=$F94),IF(AO$5=$E94+1,$C94,""),"")</f>
        <v/>
      </c>
      <c r="AP94" s="34">
        <f>IF(AND(AP$5&gt;$E94,AP$5&lt;=$F94),IF(AP$5=$E94+1,$C94,""),"")</f>
        <v/>
      </c>
      <c r="AQ94" s="34">
        <f>IF(AND(AQ$5&gt;$E94,AQ$5&lt;=$F94),IF(AQ$5=$E94+1,$C94,""),"")</f>
        <v/>
      </c>
      <c r="AR94" s="34">
        <f>IF(AND(AR$5&gt;$E94,AR$5&lt;=$F94),IF(AR$5=$E94+1,$C94,""),"")</f>
        <v/>
      </c>
      <c r="AS94" s="34">
        <f>IF(AND(AS$5&gt;$E94,AS$5&lt;=$F94),IF(AS$5=$E94+1,$C94,""),"")</f>
        <v/>
      </c>
      <c r="AT94" s="34">
        <f>IF(AND(AT$5&gt;$E94,AT$5&lt;=$F94),IF(AT$5=$E94+1,$C94,""),"")</f>
        <v/>
      </c>
      <c r="AU94" s="34">
        <f>IF(AND(AU$5&gt;$E94,AU$5&lt;=$F94),IF(AU$5=$E94+1,$C94,""),"")</f>
        <v/>
      </c>
      <c r="AV94" s="34">
        <f>IF(AND(AV$5&gt;$E94,AV$5&lt;=$F94),IF(AV$5=$E94+1,$C94,""),"")</f>
        <v/>
      </c>
      <c r="AW94" s="34">
        <f>IF(AND(AW$5&gt;$E94,AW$5&lt;=$F94),IF(AW$5=$E94+1,$C94,""),"")</f>
        <v/>
      </c>
      <c r="AX94" s="34">
        <f>IF(AND(AX$5&gt;$E94,AX$5&lt;=$F94),IF(AX$5=$E94+1,$C94,""),"")</f>
        <v/>
      </c>
      <c r="AY94" s="34">
        <f>IF(AND(AY$5&gt;$E94,AY$5&lt;=$F94),IF(AY$5=$E94+1,$C94,""),"")</f>
        <v/>
      </c>
      <c r="AZ94" s="34">
        <f>IF(AND(AZ$5&gt;$E94,AZ$5&lt;=$F94),IF(AZ$5=$E94+1,$C94,""),"")</f>
        <v/>
      </c>
      <c r="BA94" s="34">
        <f>IF(AND(BA$5&gt;$E94,BA$5&lt;=$F94),IF(BA$5=$E94+1,$C94,""),"")</f>
        <v/>
      </c>
      <c r="BB94" s="34">
        <f>IF(AND(BB$5&gt;$E94,BB$5&lt;=$F94),IF(BB$5=$E94+1,$C94,""),"")</f>
        <v/>
      </c>
      <c r="BC94" s="34">
        <f>IF(AND(BC$5&gt;$E94,BC$5&lt;=$F94),IF(BC$5=$E94+1,$C94,""),"")</f>
        <v/>
      </c>
      <c r="BD94" s="34">
        <f>IF(AND(BD$5&gt;$E94,BD$5&lt;=$F94),IF(BD$5=$E94+1,$C94,""),"")</f>
        <v/>
      </c>
      <c r="BE94" s="34">
        <f>IF(AND(BE$5&gt;$E94,BE$5&lt;=$F94),IF(BE$5=$E94+1,$C94,""),"")</f>
        <v/>
      </c>
      <c r="BF94" s="34">
        <f>IF(AND(BF$5&gt;$E94,BF$5&lt;=$F94),IF(BF$5=$E94+1,$C94,""),"")</f>
        <v/>
      </c>
      <c r="BG94" s="34">
        <f>IF(AND(BG$5&gt;$E94,BG$5&lt;=$F94),IF(BG$5=$E94+1,$C94,""),"")</f>
        <v/>
      </c>
      <c r="BH94" s="34">
        <f>IF(AND(BH$5&gt;$E94,BH$5&lt;=$F94),IF(BH$5=$E94+1,$C94,""),"")</f>
        <v/>
      </c>
      <c r="BI94" s="34">
        <f>IF(AND(BI$5&gt;$E94,BI$5&lt;=$F94),IF(BI$5=$E94+1,$C94,""),"")</f>
        <v/>
      </c>
      <c r="BJ94" s="34">
        <f>IF(AND(BJ$5&gt;$E94,BJ$5&lt;=$F94),IF(BJ$5=$E94+1,$C94,""),"")</f>
        <v/>
      </c>
      <c r="BK94" s="34">
        <f>IF(AND(BK$5&gt;$E94,BK$5&lt;=$F94),IF(BK$5=$E94+1,$C94,""),"")</f>
        <v/>
      </c>
      <c r="BL94" s="34">
        <f>IF(AND(BL$5&gt;$E94,BL$5&lt;=$F94),IF(BL$5=$E94+1,$C94,""),"")</f>
        <v/>
      </c>
      <c r="BM94" s="34">
        <f>IF(AND(BM$5&gt;$E94,BM$5&lt;=$F94),IF(BM$5=$E94+1,$C94,""),"")</f>
        <v/>
      </c>
      <c r="BN94" s="34">
        <f>IF(AND(BN$5&gt;$E94,BN$5&lt;=$F94),IF(BN$5=$E94+1,$C94,""),"")</f>
        <v/>
      </c>
      <c r="BO94" s="34">
        <f>IF(AND(BO$5&gt;$E94,BO$5&lt;=$F94),IF(BO$5=$E94+1,$C94,""),"")</f>
        <v/>
      </c>
      <c r="BP94" s="34">
        <f>IF(AND(BP$5&gt;$E94,BP$5&lt;=$F94),IF(BP$5=$E94+1,$C94,""),"")</f>
        <v/>
      </c>
      <c r="BQ94" s="34">
        <f>IF(AND(BQ$5&gt;$E94,BQ$5&lt;=$F94),IF(BQ$5=$E94+1,$C94,""),"")</f>
        <v/>
      </c>
      <c r="BR94" s="34">
        <f>IF(AND(BR$5&gt;$E94,BR$5&lt;=$F94),IF(BR$5=$E94+1,$C94,""),"")</f>
        <v/>
      </c>
      <c r="BS94" s="34">
        <f>IF(AND(BS$5&gt;$E94,BS$5&lt;=$F94),IF(BS$5=$E94+1,$C94,""),"")</f>
        <v/>
      </c>
      <c r="BT94" s="34">
        <f>IF(AND(BT$5&gt;$E94,BT$5&lt;=$F94),IF(BT$5=$E94+1,$C94,""),"")</f>
        <v/>
      </c>
      <c r="BU94" s="34">
        <f>IF(AND(BU$5&gt;$E94,BU$5&lt;=$F94),IF(BU$5=$E94+1,$C94,""),"")</f>
        <v/>
      </c>
      <c r="BV94" s="34">
        <f>IF(AND(BV$5&gt;$E94,BV$5&lt;=$F94),IF(BV$5=$E94+1,$C94,""),"")</f>
        <v/>
      </c>
      <c r="BW94" s="34">
        <f>IF(AND(BW$5&gt;$E94,BW$5&lt;=$F94),IF(BW$5=$E94+1,$C94,""),"")</f>
        <v/>
      </c>
      <c r="BX94" s="34">
        <f>IF(AND(BX$5&gt;$E94,BX$5&lt;=$F94),IF(BX$5=$E94+1,$C94,""),"")</f>
        <v/>
      </c>
      <c r="BY94" s="34">
        <f>IF(AND(BY$5&gt;$E94,BY$5&lt;=$F94),IF(BY$5=$E94+1,$C94,""),"")</f>
        <v/>
      </c>
      <c r="BZ94" s="34">
        <f>IF(AND(BZ$5&gt;$E94,BZ$5&lt;=$F94),IF(BZ$5=$E94+1,$C94,""),"")</f>
        <v/>
      </c>
      <c r="CA94" s="34">
        <f>IF(AND(CA$5&gt;$E94,CA$5&lt;=$F94),IF(CA$5=$E94+1,$C94,""),"")</f>
        <v/>
      </c>
      <c r="CB94" s="34">
        <f>IF(AND(CB$5&gt;$E94,CB$5&lt;=$F94),IF(CB$5=$E94+1,$C94,""),"")</f>
        <v/>
      </c>
      <c r="CC94" s="34">
        <f>IF(AND(CC$5&gt;$E94,CC$5&lt;=$F94),IF(CC$5=$E94+1,$C94,""),"")</f>
        <v/>
      </c>
      <c r="CD94" s="34">
        <f>IF(AND(CD$5&gt;$E94,CD$5&lt;=$F94),IF(CD$5=$E94+1,$C94,""),"")</f>
        <v/>
      </c>
      <c r="CE94" s="34">
        <f>IF(AND(CE$5&gt;$E94,CE$5&lt;=$F94),IF(CE$5=$E94+1,$C94,""),"")</f>
        <v/>
      </c>
      <c r="CF94" s="34">
        <f>IF(AND(CF$5&gt;$E94,CF$5&lt;=$F94),IF(CF$5=$E94+1,$C94,""),"")</f>
        <v/>
      </c>
      <c r="CG94" s="34">
        <f>IF(AND(CG$5&gt;$E94,CG$5&lt;=$F94),IF(CG$5=$E94+1,$C94,""),"")</f>
        <v/>
      </c>
      <c r="CH94" s="34">
        <f>IF(AND(CH$5&gt;$E94,CH$5&lt;=$F94),IF(CH$5=$E94+1,$C94,""),"")</f>
        <v/>
      </c>
      <c r="CI94" s="34">
        <f>IF(AND(CI$5&gt;$E94,CI$5&lt;=$F94),IF(CI$5=$E94+1,$C94,""),"")</f>
        <v/>
      </c>
      <c r="CJ94" s="34">
        <f>IF(AND(CJ$5&gt;$E94,CJ$5&lt;=$F94),IF(CJ$5=$E94+1,$C94,""),"")</f>
        <v/>
      </c>
      <c r="CK94" s="34">
        <f>IF(AND(CK$5&gt;$E94,CK$5&lt;=$F94),IF(CK$5=$E94+1,$C94,""),"")</f>
        <v/>
      </c>
      <c r="CL94" s="34">
        <f>IF(AND(CL$5&gt;$E94,CL$5&lt;=$F94),IF(CL$5=$E94+1,$C94,""),"")</f>
        <v/>
      </c>
      <c r="CM94" s="34">
        <f>IF(AND(CM$5&gt;$E94,CM$5&lt;=$F94),IF(CM$5=$E94+1,$C94,""),"")</f>
        <v/>
      </c>
      <c r="CN94" s="34">
        <f>IF(AND(CN$5&gt;$E94,CN$5&lt;=$F94),IF(CN$5=$E94+1,$C94,""),"")</f>
        <v/>
      </c>
      <c r="CO94" s="34">
        <f>IF(AND(CO$5&gt;$E94,CO$5&lt;=$F94),IF(CO$5=$E94+1,$C94,""),"")</f>
        <v/>
      </c>
      <c r="CP94" s="34">
        <f>IF(AND(CP$5&gt;$E94,CP$5&lt;=$F94),IF(CP$5=$E94+1,$C94,""),"")</f>
        <v/>
      </c>
      <c r="CQ94" s="34">
        <f>IF(AND(CQ$5&gt;$E94,CQ$5&lt;=$F94),IF(CQ$5=$E94+1,$C94,""),"")</f>
        <v/>
      </c>
      <c r="CR94" s="34">
        <f>IF(AND(CR$5&gt;$E94,CR$5&lt;=$F94),IF(CR$5=$E94+1,$C94,""),"")</f>
        <v/>
      </c>
      <c r="CS94" s="34">
        <f>IF(AND(CS$5&gt;$E94,CS$5&lt;=$F94),IF(CS$5=$E94+1,$C94,""),"")</f>
        <v/>
      </c>
      <c r="CT94" s="34">
        <f>IF(AND(CT$5&gt;$E94,CT$5&lt;=$F94),IF(CT$5=$E94+1,$C94,""),"")</f>
        <v/>
      </c>
      <c r="CU94" s="34">
        <f>IF(AND(CU$5&gt;$E94,CU$5&lt;=$F94),IF(CU$5=$E94+1,$C94,""),"")</f>
        <v/>
      </c>
      <c r="CV94" s="34">
        <f>IF(AND(CV$5&gt;$E94,CV$5&lt;=$F94),IF(CV$5=$E94+1,$C94,""),"")</f>
        <v/>
      </c>
      <c r="CW94" s="34">
        <f>IF(AND(CW$5&gt;$E94,CW$5&lt;=$F94),IF(CW$5=$E94+1,$C94,""),"")</f>
        <v/>
      </c>
      <c r="CX94" s="34">
        <f>IF(AND(CX$5&gt;$E94,CX$5&lt;=$F94),IF(CX$5=$E94+1,$C94,""),"")</f>
        <v/>
      </c>
      <c r="CY94" s="34">
        <f>IF(AND(CY$5&gt;$E94,CY$5&lt;=$F94),IF(CY$5=$E94+1,$C94,""),"")</f>
        <v/>
      </c>
      <c r="CZ94" s="34">
        <f>IF(AND(CZ$5&gt;$E94,CZ$5&lt;=$F94),IF(CZ$5=$E94+1,$C94,""),"")</f>
        <v/>
      </c>
      <c r="DA94" s="34">
        <f>IF(AND(DA$5&gt;$E94,DA$5&lt;=$F94),IF(DA$5=$E94+1,$C94,""),"")</f>
        <v/>
      </c>
      <c r="DB94" s="34">
        <f>IF(AND(DB$5&gt;$E94,DB$5&lt;=$F94),IF(DB$5=$E94+1,$C94,""),"")</f>
        <v/>
      </c>
      <c r="DC94" s="34">
        <f>IF(AND(DC$5&gt;$E94,DC$5&lt;=$F94),IF(DC$5=$E94+1,$C94,""),"")</f>
        <v/>
      </c>
      <c r="DD94" s="34">
        <f>IF(AND(DD$5&gt;$E94,DD$5&lt;=$F94),IF(DD$5=$E94+1,$C94,""),"")</f>
        <v/>
      </c>
      <c r="DE94" s="34">
        <f>IF(AND(DE$5&gt;$E94,DE$5&lt;=$F94),IF(DE$5=$E94+1,$C94,""),"")</f>
        <v/>
      </c>
      <c r="DF94" s="34">
        <f>IF(AND(DF$5&gt;$E94,DF$5&lt;=$F94),IF(DF$5=$E94+1,$C94,""),"")</f>
        <v/>
      </c>
      <c r="DG94" s="34">
        <f>IF(AND(DG$5&gt;$E94,DG$5&lt;=$F94),IF(DG$5=$E94+1,$C94,""),"")</f>
        <v/>
      </c>
      <c r="DH94" s="34">
        <f>IF(AND(DH$5&gt;$E94,DH$5&lt;=$F94),IF(DH$5=$E94+1,$C94,""),"")</f>
        <v/>
      </c>
      <c r="DI94" s="34">
        <f>IF(AND(DI$5&gt;$E94,DI$5&lt;=$F94),IF(DI$5=$E94+1,$C94,""),"")</f>
        <v/>
      </c>
      <c r="DJ94" s="34">
        <f>IF(AND(DJ$5&gt;$E94,DJ$5&lt;=$F94),IF(DJ$5=$E94+1,$C94,""),"")</f>
        <v/>
      </c>
      <c r="DK94" s="34">
        <f>IF(AND(DK$5&gt;$E94,DK$5&lt;=$F94),IF(DK$5=$E94+1,$C94,""),"")</f>
        <v/>
      </c>
      <c r="DL94" s="34">
        <f>IF(AND(DL$5&gt;$E94,DL$5&lt;=$F94),IF(DL$5=$E94+1,$C94,""),"")</f>
        <v/>
      </c>
      <c r="DM94" s="34">
        <f>IF(AND(DM$5&gt;$E94,DM$5&lt;=$F94),IF(DM$5=$E94+1,$C94,""),"")</f>
        <v/>
      </c>
      <c r="DN94" s="34">
        <f>IF(AND(DN$5&gt;$E94,DN$5&lt;=$F94),IF(DN$5=$E94+1,$C94,""),"")</f>
        <v/>
      </c>
      <c r="DO94" s="34">
        <f>IF(AND(DO$5&gt;$E94,DO$5&lt;=$F94),IF(DO$5=$E94+1,$C94,""),"")</f>
        <v/>
      </c>
      <c r="DP94" s="34">
        <f>IF(AND(DP$5&gt;$E94,DP$5&lt;=$F94),IF(DP$5=$E94+1,$C94,""),"")</f>
        <v/>
      </c>
      <c r="DQ94" s="34">
        <f>IF(AND(DQ$5&gt;$E94,DQ$5&lt;=$F94),IF(DQ$5=$E94+1,$C94,""),"")</f>
        <v/>
      </c>
      <c r="DR94" s="34">
        <f>IF(AND(DR$5&gt;$E94,DR$5&lt;=$F94),IF(DR$5=$E94+1,$C94,""),"")</f>
        <v/>
      </c>
      <c r="DS94" s="34">
        <f>IF(AND(DS$5&gt;$E94,DS$5&lt;=$F94),IF(DS$5=$E94+1,$C94,""),"")</f>
        <v/>
      </c>
      <c r="DT94" s="34">
        <f>IF(AND(DT$5&gt;$E94,DT$5&lt;=$F94),IF(DT$5=$E94+1,$C94,""),"")</f>
        <v/>
      </c>
      <c r="DU94" s="34">
        <f>IF(AND(DU$5&gt;$E94,DU$5&lt;=$F94),IF(DU$5=$E94+1,$C94,""),"")</f>
        <v/>
      </c>
      <c r="DV94" s="34">
        <f>IF(AND(DV$5&gt;$E94,DV$5&lt;=$F94),IF(DV$5=$E94+1,$C94,""),"")</f>
        <v/>
      </c>
      <c r="DW94" s="34">
        <f>IF(AND(DW$5&gt;$E94,DW$5&lt;=$F94),IF(DW$5=$E94+1,$C94,""),"")</f>
        <v/>
      </c>
      <c r="DX94" s="34">
        <f>IF(AND(DX$5&gt;$E94,DX$5&lt;=$F94),IF(DX$5=$E94+1,$C94,""),"")</f>
        <v/>
      </c>
      <c r="DY94" s="34">
        <f>IF(AND(DY$5&gt;$E94,DY$5&lt;=$F94),IF(DY$5=$E94+1,$C94,""),"")</f>
        <v/>
      </c>
      <c r="DZ94" s="34">
        <f>IF(AND(DZ$5&gt;$E94,DZ$5&lt;=$F94),IF(DZ$5=$E94+1,$C94,""),"")</f>
        <v/>
      </c>
      <c r="EA94" s="34">
        <f>IF(AND(EA$5&gt;$E94,EA$5&lt;=$F94),IF(EA$5=$E94+1,$C94,""),"")</f>
        <v/>
      </c>
      <c r="EB94" s="34">
        <f>IF(AND(EB$5&gt;$E94,EB$5&lt;=$F94),IF(EB$5=$E94+1,$C94,""),"")</f>
        <v/>
      </c>
      <c r="EC94" s="34">
        <f>IF(AND(EC$5&gt;$E94,EC$5&lt;=$F94),IF(EC$5=$E94+1,$C94,""),"")</f>
        <v/>
      </c>
      <c r="ED94" s="34">
        <f>IF(AND(ED$5&gt;$E94,ED$5&lt;=$F94),IF(ED$5=$E94+1,$C94,""),"")</f>
        <v/>
      </c>
      <c r="EE94" s="34">
        <f>IF(AND(EE$5&gt;$E94,EE$5&lt;=$F94),IF(EE$5=$E94+1,$C94,""),"")</f>
        <v/>
      </c>
      <c r="EF94" s="34">
        <f>IF(AND(EF$5&gt;$E94,EF$5&lt;=$F94),IF(EF$5=$E94+1,$C94,""),"")</f>
        <v/>
      </c>
      <c r="EG94" s="34">
        <f>IF(AND(EG$5&gt;$E94,EG$5&lt;=$F94),IF(EG$5=$E94+1,$C94,""),"")</f>
        <v/>
      </c>
      <c r="EH94" s="34">
        <f>IF(AND(EH$5&gt;$E94,EH$5&lt;=$F94),IF(EH$5=$E94+1,$C94,""),"")</f>
        <v/>
      </c>
      <c r="EI94" s="34">
        <f>IF(AND(EI$5&gt;$E94,EI$5&lt;=$F94),IF(EI$5=$E94+1,$C94,""),"")</f>
        <v/>
      </c>
      <c r="EJ94" s="34">
        <f>IF(AND(EJ$5&gt;$E94,EJ$5&lt;=$F94),IF(EJ$5=$E94+1,$C94,""),"")</f>
        <v/>
      </c>
      <c r="EK94" s="34">
        <f>IF(AND(EK$5&gt;$E94,EK$5&lt;=$F94),IF(EK$5=$E94+1,$C94,""),"")</f>
        <v/>
      </c>
      <c r="EL94" s="34">
        <f>IF(AND(EL$5&gt;$E94,EL$5&lt;=$F94),IF(EL$5=$E94+1,$C94,""),"")</f>
        <v/>
      </c>
      <c r="EM94" s="34">
        <f>IF(AND(EM$5&gt;$E94,EM$5&lt;=$F94),IF(EM$5=$E94+1,$C94,""),"")</f>
        <v/>
      </c>
      <c r="EN94" s="34">
        <f>IF(AND(EN$5&gt;$E94,EN$5&lt;=$F94),IF(EN$5=$E94+1,$C94,""),"")</f>
        <v/>
      </c>
      <c r="EO94" s="34">
        <f>IF(AND(EO$5&gt;$E94,EO$5&lt;=$F94),IF(EO$5=$E94+1,$C94,""),"")</f>
        <v/>
      </c>
      <c r="EP94" s="34">
        <f>IF(AND(EP$5&gt;$E94,EP$5&lt;=$F94),IF(EP$5=$E94+1,$C94,""),"")</f>
        <v/>
      </c>
      <c r="EQ94" s="34">
        <f>IF(AND(EQ$5&gt;$E94,EQ$5&lt;=$F94),IF(EQ$5=$E94+1,$C94,""),"")</f>
        <v/>
      </c>
      <c r="ER94" s="34">
        <f>IF(AND(ER$5&gt;$E94,ER$5&lt;=$F94),IF(ER$5=$E94+1,$C94,""),"")</f>
        <v/>
      </c>
      <c r="ES94" s="34">
        <f>IF(AND(ES$5&gt;$E94,ES$5&lt;=$F94),IF(ES$5=$E94+1,$C94,""),"")</f>
        <v/>
      </c>
      <c r="ET94" s="34">
        <f>IF(AND(ET$5&gt;$E94,ET$5&lt;=$F94),IF(ET$5=$E94+1,$C94,""),"")</f>
        <v/>
      </c>
      <c r="EU94" s="34">
        <f>IF(AND(EU$5&gt;$E94,EU$5&lt;=$F94),IF(EU$5=$E94+1,$C94,""),"")</f>
        <v/>
      </c>
      <c r="EV94" s="34">
        <f>IF(AND(EV$5&gt;$E94,EV$5&lt;=$F94),IF(EV$5=$E94+1,$C94,""),"")</f>
        <v/>
      </c>
      <c r="EW94" s="34">
        <f>IF(AND(EW$5&gt;$E94,EW$5&lt;=$F94),IF(EW$5=$E94+1,$C94,""),"")</f>
        <v/>
      </c>
      <c r="EX94" s="34">
        <f>IF(AND(EX$5&gt;$E94,EX$5&lt;=$F94),IF(EX$5=$E94+1,$C94,""),"")</f>
        <v/>
      </c>
      <c r="EY94" s="34">
        <f>IF(AND(EY$5&gt;$E94,EY$5&lt;=$F94),IF(EY$5=$E94+1,$C94,""),"")</f>
        <v/>
      </c>
      <c r="EZ94" s="34">
        <f>IF(AND(EZ$5&gt;$E94,EZ$5&lt;=$F94),IF(EZ$5=$E94+1,$C94,""),"")</f>
        <v/>
      </c>
      <c r="FA94" s="34">
        <f>IF(AND(FA$5&gt;$E94,FA$5&lt;=$F94),IF(FA$5=$E94+1,$C94,""),"")</f>
        <v/>
      </c>
    </row>
    <row r="95">
      <c r="A95" s="27" t="inlineStr">
        <is>
          <t>Fase 6. Pruebas y lanzamiento</t>
        </is>
      </c>
      <c r="B95" s="28" t="n"/>
      <c r="C95" s="28" t="n"/>
      <c r="D95" s="28" t="n"/>
      <c r="E95" s="29">
        <f>SUMPRODUCT(MIN((Plan!$B$5:$B$129="6. Pruebas y lanzamiento")*Plan!$K$5:$K$129+(Plan!$B$5:$B$129&lt;&gt;"6. Pruebas y lanzamiento")*1E9))</f>
        <v/>
      </c>
      <c r="F95" s="29">
        <f>SUMPRODUCT(MAX((Plan!$B$5:$B$129="6. Pruebas y lanzamiento")*Plan!$L$5:$L$129))</f>
        <v/>
      </c>
      <c r="G95" s="30">
        <f>Resumen!E34</f>
        <v/>
      </c>
      <c r="H95" s="31" t="n"/>
      <c r="I95" s="31" t="n"/>
      <c r="J95" s="31" t="n"/>
      <c r="K95" s="31" t="n"/>
      <c r="L95" s="31" t="n"/>
      <c r="M95" s="31" t="n"/>
      <c r="N95" s="31" t="n"/>
      <c r="O95" s="31" t="n"/>
      <c r="P95" s="31" t="n"/>
      <c r="Q95" s="31" t="n"/>
      <c r="R95" s="31" t="n"/>
      <c r="S95" s="31" t="n"/>
      <c r="T95" s="31" t="n"/>
      <c r="U95" s="31" t="n"/>
      <c r="V95" s="31" t="n"/>
      <c r="W95" s="31" t="n"/>
      <c r="X95" s="31" t="n"/>
      <c r="Y95" s="31" t="n"/>
      <c r="Z95" s="31" t="n"/>
      <c r="AA95" s="31" t="n"/>
      <c r="AB95" s="31" t="n"/>
      <c r="AC95" s="31" t="n"/>
      <c r="AD95" s="31" t="n"/>
      <c r="AE95" s="31" t="n"/>
      <c r="AF95" s="31" t="n"/>
      <c r="AG95" s="31" t="n"/>
      <c r="AH95" s="31" t="n"/>
      <c r="AI95" s="31" t="n"/>
      <c r="AJ95" s="31" t="n"/>
      <c r="AK95" s="31" t="n"/>
      <c r="AL95" s="31" t="n"/>
      <c r="AM95" s="31" t="n"/>
      <c r="AN95" s="31" t="n"/>
      <c r="AO95" s="31" t="n"/>
      <c r="AP95" s="31" t="n"/>
      <c r="AQ95" s="31" t="n"/>
      <c r="AR95" s="31" t="n"/>
      <c r="AS95" s="31" t="n"/>
      <c r="AT95" s="31" t="n"/>
      <c r="AU95" s="31" t="n"/>
      <c r="AV95" s="31" t="n"/>
      <c r="AW95" s="31" t="n"/>
      <c r="AX95" s="31" t="n"/>
      <c r="AY95" s="31" t="n"/>
      <c r="AZ95" s="31" t="n"/>
      <c r="BA95" s="31" t="n"/>
      <c r="BB95" s="31" t="n"/>
      <c r="BC95" s="31" t="n"/>
      <c r="BD95" s="31" t="n"/>
      <c r="BE95" s="31" t="n"/>
      <c r="BF95" s="31" t="n"/>
      <c r="BG95" s="31" t="n"/>
      <c r="BH95" s="31" t="n"/>
      <c r="BI95" s="31" t="n"/>
      <c r="BJ95" s="31" t="n"/>
      <c r="BK95" s="31" t="n"/>
      <c r="BL95" s="31" t="n"/>
      <c r="BM95" s="31" t="n"/>
      <c r="BN95" s="31" t="n"/>
      <c r="BO95" s="31" t="n"/>
      <c r="BP95" s="31" t="n"/>
      <c r="BQ95" s="31" t="n"/>
      <c r="BR95" s="31" t="n"/>
      <c r="BS95" s="31" t="n"/>
      <c r="BT95" s="31" t="n"/>
      <c r="BU95" s="31" t="n"/>
      <c r="BV95" s="31" t="n"/>
      <c r="BW95" s="31" t="n"/>
      <c r="BX95" s="31" t="n"/>
      <c r="BY95" s="31" t="n"/>
      <c r="BZ95" s="31" t="n"/>
      <c r="CA95" s="31" t="n"/>
      <c r="CB95" s="31" t="n"/>
      <c r="CC95" s="31" t="n"/>
      <c r="CD95" s="31" t="n"/>
      <c r="CE95" s="31" t="n"/>
      <c r="CF95" s="31" t="n"/>
      <c r="CG95" s="31" t="n"/>
      <c r="CH95" s="31" t="n"/>
      <c r="CI95" s="31" t="n"/>
      <c r="CJ95" s="31" t="n"/>
      <c r="CK95" s="31" t="n"/>
      <c r="CL95" s="31" t="n"/>
      <c r="CM95" s="31" t="n"/>
      <c r="CN95" s="31" t="n"/>
      <c r="CO95" s="31" t="n"/>
      <c r="CP95" s="31" t="n"/>
      <c r="CQ95" s="31" t="n"/>
      <c r="CR95" s="31" t="n"/>
      <c r="CS95" s="31" t="n"/>
      <c r="CT95" s="31" t="n"/>
      <c r="CU95" s="31" t="n"/>
      <c r="CV95" s="31" t="n"/>
      <c r="CW95" s="31" t="n"/>
      <c r="CX95" s="31" t="n"/>
      <c r="CY95" s="31" t="n"/>
      <c r="CZ95" s="31" t="n"/>
      <c r="DA95" s="31" t="n"/>
      <c r="DB95" s="31" t="n"/>
      <c r="DC95" s="31" t="n"/>
      <c r="DD95" s="31" t="n"/>
      <c r="DE95" s="31" t="n"/>
      <c r="DF95" s="31" t="n"/>
      <c r="DG95" s="31" t="n"/>
      <c r="DH95" s="31" t="n"/>
      <c r="DI95" s="31" t="n"/>
      <c r="DJ95" s="31" t="n"/>
      <c r="DK95" s="31" t="n"/>
      <c r="DL95" s="31" t="n"/>
      <c r="DM95" s="31" t="n"/>
      <c r="DN95" s="31" t="n"/>
      <c r="DO95" s="31" t="n"/>
      <c r="DP95" s="31" t="n"/>
      <c r="DQ95" s="31" t="n"/>
      <c r="DR95" s="31" t="n"/>
      <c r="DS95" s="31" t="n"/>
      <c r="DT95" s="31" t="n"/>
      <c r="DU95" s="31" t="n"/>
      <c r="DV95" s="31" t="n"/>
      <c r="DW95" s="31" t="n"/>
      <c r="DX95" s="31" t="n"/>
      <c r="DY95" s="31" t="n"/>
      <c r="DZ95" s="31" t="n"/>
      <c r="EA95" s="31" t="n"/>
      <c r="EB95" s="31" t="n"/>
      <c r="EC95" s="31" t="n"/>
      <c r="ED95" s="31" t="n"/>
      <c r="EE95" s="31" t="n"/>
      <c r="EF95" s="31" t="n"/>
      <c r="EG95" s="31" t="n"/>
      <c r="EH95" s="31" t="n"/>
      <c r="EI95" s="31" t="n"/>
      <c r="EJ95" s="31" t="n"/>
      <c r="EK95" s="31" t="n"/>
      <c r="EL95" s="31" t="n"/>
      <c r="EM95" s="31" t="n"/>
      <c r="EN95" s="31" t="n"/>
      <c r="EO95" s="31" t="n"/>
      <c r="EP95" s="31" t="n"/>
      <c r="EQ95" s="31" t="n"/>
      <c r="ER95" s="31" t="n"/>
      <c r="ES95" s="31" t="n"/>
      <c r="ET95" s="31" t="n"/>
      <c r="EU95" s="31" t="n"/>
      <c r="EV95" s="31" t="n"/>
      <c r="EW95" s="31" t="n"/>
      <c r="EX95" s="31" t="n"/>
      <c r="EY95" s="31" t="n"/>
      <c r="EZ95" s="31" t="n"/>
      <c r="FA95" s="31" t="n"/>
    </row>
    <row r="96">
      <c r="A96" s="32">
        <f>Plan!A58</f>
        <v/>
      </c>
      <c r="B96" s="33">
        <f>Plan!C58</f>
        <v/>
      </c>
      <c r="C96" s="16">
        <f>Plan!D58</f>
        <v/>
      </c>
      <c r="D96" s="16">
        <f>Plan!I58</f>
        <v/>
      </c>
      <c r="E96" s="16">
        <f>Plan!K58</f>
        <v/>
      </c>
      <c r="F96" s="16">
        <f>Plan!L58</f>
        <v/>
      </c>
      <c r="G96" s="16">
        <f>Plan!O58</f>
        <v/>
      </c>
      <c r="H96" s="34">
        <f>IF(AND(H$5&gt;$E96,H$5&lt;=$F96),IF(H$5=$E96+1,$C96,""),"")</f>
        <v/>
      </c>
      <c r="I96" s="34">
        <f>IF(AND(I$5&gt;$E96,I$5&lt;=$F96),IF(I$5=$E96+1,$C96,""),"")</f>
        <v/>
      </c>
      <c r="J96" s="34">
        <f>IF(AND(J$5&gt;$E96,J$5&lt;=$F96),IF(J$5=$E96+1,$C96,""),"")</f>
        <v/>
      </c>
      <c r="K96" s="34">
        <f>IF(AND(K$5&gt;$E96,K$5&lt;=$F96),IF(K$5=$E96+1,$C96,""),"")</f>
        <v/>
      </c>
      <c r="L96" s="34">
        <f>IF(AND(L$5&gt;$E96,L$5&lt;=$F96),IF(L$5=$E96+1,$C96,""),"")</f>
        <v/>
      </c>
      <c r="M96" s="34">
        <f>IF(AND(M$5&gt;$E96,M$5&lt;=$F96),IF(M$5=$E96+1,$C96,""),"")</f>
        <v/>
      </c>
      <c r="N96" s="34">
        <f>IF(AND(N$5&gt;$E96,N$5&lt;=$F96),IF(N$5=$E96+1,$C96,""),"")</f>
        <v/>
      </c>
      <c r="O96" s="34">
        <f>IF(AND(O$5&gt;$E96,O$5&lt;=$F96),IF(O$5=$E96+1,$C96,""),"")</f>
        <v/>
      </c>
      <c r="P96" s="34">
        <f>IF(AND(P$5&gt;$E96,P$5&lt;=$F96),IF(P$5=$E96+1,$C96,""),"")</f>
        <v/>
      </c>
      <c r="Q96" s="34">
        <f>IF(AND(Q$5&gt;$E96,Q$5&lt;=$F96),IF(Q$5=$E96+1,$C96,""),"")</f>
        <v/>
      </c>
      <c r="R96" s="34">
        <f>IF(AND(R$5&gt;$E96,R$5&lt;=$F96),IF(R$5=$E96+1,$C96,""),"")</f>
        <v/>
      </c>
      <c r="S96" s="34">
        <f>IF(AND(S$5&gt;$E96,S$5&lt;=$F96),IF(S$5=$E96+1,$C96,""),"")</f>
        <v/>
      </c>
      <c r="T96" s="34">
        <f>IF(AND(T$5&gt;$E96,T$5&lt;=$F96),IF(T$5=$E96+1,$C96,""),"")</f>
        <v/>
      </c>
      <c r="U96" s="34">
        <f>IF(AND(U$5&gt;$E96,U$5&lt;=$F96),IF(U$5=$E96+1,$C96,""),"")</f>
        <v/>
      </c>
      <c r="V96" s="34">
        <f>IF(AND(V$5&gt;$E96,V$5&lt;=$F96),IF(V$5=$E96+1,$C96,""),"")</f>
        <v/>
      </c>
      <c r="W96" s="34">
        <f>IF(AND(W$5&gt;$E96,W$5&lt;=$F96),IF(W$5=$E96+1,$C96,""),"")</f>
        <v/>
      </c>
      <c r="X96" s="34">
        <f>IF(AND(X$5&gt;$E96,X$5&lt;=$F96),IF(X$5=$E96+1,$C96,""),"")</f>
        <v/>
      </c>
      <c r="Y96" s="34">
        <f>IF(AND(Y$5&gt;$E96,Y$5&lt;=$F96),IF(Y$5=$E96+1,$C96,""),"")</f>
        <v/>
      </c>
      <c r="Z96" s="34">
        <f>IF(AND(Z$5&gt;$E96,Z$5&lt;=$F96),IF(Z$5=$E96+1,$C96,""),"")</f>
        <v/>
      </c>
      <c r="AA96" s="34">
        <f>IF(AND(AA$5&gt;$E96,AA$5&lt;=$F96),IF(AA$5=$E96+1,$C96,""),"")</f>
        <v/>
      </c>
      <c r="AB96" s="34">
        <f>IF(AND(AB$5&gt;$E96,AB$5&lt;=$F96),IF(AB$5=$E96+1,$C96,""),"")</f>
        <v/>
      </c>
      <c r="AC96" s="34">
        <f>IF(AND(AC$5&gt;$E96,AC$5&lt;=$F96),IF(AC$5=$E96+1,$C96,""),"")</f>
        <v/>
      </c>
      <c r="AD96" s="34">
        <f>IF(AND(AD$5&gt;$E96,AD$5&lt;=$F96),IF(AD$5=$E96+1,$C96,""),"")</f>
        <v/>
      </c>
      <c r="AE96" s="34">
        <f>IF(AND(AE$5&gt;$E96,AE$5&lt;=$F96),IF(AE$5=$E96+1,$C96,""),"")</f>
        <v/>
      </c>
      <c r="AF96" s="34">
        <f>IF(AND(AF$5&gt;$E96,AF$5&lt;=$F96),IF(AF$5=$E96+1,$C96,""),"")</f>
        <v/>
      </c>
      <c r="AG96" s="34">
        <f>IF(AND(AG$5&gt;$E96,AG$5&lt;=$F96),IF(AG$5=$E96+1,$C96,""),"")</f>
        <v/>
      </c>
      <c r="AH96" s="34">
        <f>IF(AND(AH$5&gt;$E96,AH$5&lt;=$F96),IF(AH$5=$E96+1,$C96,""),"")</f>
        <v/>
      </c>
      <c r="AI96" s="34">
        <f>IF(AND(AI$5&gt;$E96,AI$5&lt;=$F96),IF(AI$5=$E96+1,$C96,""),"")</f>
        <v/>
      </c>
      <c r="AJ96" s="34">
        <f>IF(AND(AJ$5&gt;$E96,AJ$5&lt;=$F96),IF(AJ$5=$E96+1,$C96,""),"")</f>
        <v/>
      </c>
      <c r="AK96" s="34">
        <f>IF(AND(AK$5&gt;$E96,AK$5&lt;=$F96),IF(AK$5=$E96+1,$C96,""),"")</f>
        <v/>
      </c>
      <c r="AL96" s="34">
        <f>IF(AND(AL$5&gt;$E96,AL$5&lt;=$F96),IF(AL$5=$E96+1,$C96,""),"")</f>
        <v/>
      </c>
      <c r="AM96" s="34">
        <f>IF(AND(AM$5&gt;$E96,AM$5&lt;=$F96),IF(AM$5=$E96+1,$C96,""),"")</f>
        <v/>
      </c>
      <c r="AN96" s="34">
        <f>IF(AND(AN$5&gt;$E96,AN$5&lt;=$F96),IF(AN$5=$E96+1,$C96,""),"")</f>
        <v/>
      </c>
      <c r="AO96" s="34">
        <f>IF(AND(AO$5&gt;$E96,AO$5&lt;=$F96),IF(AO$5=$E96+1,$C96,""),"")</f>
        <v/>
      </c>
      <c r="AP96" s="34">
        <f>IF(AND(AP$5&gt;$E96,AP$5&lt;=$F96),IF(AP$5=$E96+1,$C96,""),"")</f>
        <v/>
      </c>
      <c r="AQ96" s="34">
        <f>IF(AND(AQ$5&gt;$E96,AQ$5&lt;=$F96),IF(AQ$5=$E96+1,$C96,""),"")</f>
        <v/>
      </c>
      <c r="AR96" s="34">
        <f>IF(AND(AR$5&gt;$E96,AR$5&lt;=$F96),IF(AR$5=$E96+1,$C96,""),"")</f>
        <v/>
      </c>
      <c r="AS96" s="34">
        <f>IF(AND(AS$5&gt;$E96,AS$5&lt;=$F96),IF(AS$5=$E96+1,$C96,""),"")</f>
        <v/>
      </c>
      <c r="AT96" s="34">
        <f>IF(AND(AT$5&gt;$E96,AT$5&lt;=$F96),IF(AT$5=$E96+1,$C96,""),"")</f>
        <v/>
      </c>
      <c r="AU96" s="34">
        <f>IF(AND(AU$5&gt;$E96,AU$5&lt;=$F96),IF(AU$5=$E96+1,$C96,""),"")</f>
        <v/>
      </c>
      <c r="AV96" s="34">
        <f>IF(AND(AV$5&gt;$E96,AV$5&lt;=$F96),IF(AV$5=$E96+1,$C96,""),"")</f>
        <v/>
      </c>
      <c r="AW96" s="34">
        <f>IF(AND(AW$5&gt;$E96,AW$5&lt;=$F96),IF(AW$5=$E96+1,$C96,""),"")</f>
        <v/>
      </c>
      <c r="AX96" s="34">
        <f>IF(AND(AX$5&gt;$E96,AX$5&lt;=$F96),IF(AX$5=$E96+1,$C96,""),"")</f>
        <v/>
      </c>
      <c r="AY96" s="34">
        <f>IF(AND(AY$5&gt;$E96,AY$5&lt;=$F96),IF(AY$5=$E96+1,$C96,""),"")</f>
        <v/>
      </c>
      <c r="AZ96" s="34">
        <f>IF(AND(AZ$5&gt;$E96,AZ$5&lt;=$F96),IF(AZ$5=$E96+1,$C96,""),"")</f>
        <v/>
      </c>
      <c r="BA96" s="34">
        <f>IF(AND(BA$5&gt;$E96,BA$5&lt;=$F96),IF(BA$5=$E96+1,$C96,""),"")</f>
        <v/>
      </c>
      <c r="BB96" s="34">
        <f>IF(AND(BB$5&gt;$E96,BB$5&lt;=$F96),IF(BB$5=$E96+1,$C96,""),"")</f>
        <v/>
      </c>
      <c r="BC96" s="34">
        <f>IF(AND(BC$5&gt;$E96,BC$5&lt;=$F96),IF(BC$5=$E96+1,$C96,""),"")</f>
        <v/>
      </c>
      <c r="BD96" s="34">
        <f>IF(AND(BD$5&gt;$E96,BD$5&lt;=$F96),IF(BD$5=$E96+1,$C96,""),"")</f>
        <v/>
      </c>
      <c r="BE96" s="34">
        <f>IF(AND(BE$5&gt;$E96,BE$5&lt;=$F96),IF(BE$5=$E96+1,$C96,""),"")</f>
        <v/>
      </c>
      <c r="BF96" s="34">
        <f>IF(AND(BF$5&gt;$E96,BF$5&lt;=$F96),IF(BF$5=$E96+1,$C96,""),"")</f>
        <v/>
      </c>
      <c r="BG96" s="34">
        <f>IF(AND(BG$5&gt;$E96,BG$5&lt;=$F96),IF(BG$5=$E96+1,$C96,""),"")</f>
        <v/>
      </c>
      <c r="BH96" s="34">
        <f>IF(AND(BH$5&gt;$E96,BH$5&lt;=$F96),IF(BH$5=$E96+1,$C96,""),"")</f>
        <v/>
      </c>
      <c r="BI96" s="34">
        <f>IF(AND(BI$5&gt;$E96,BI$5&lt;=$F96),IF(BI$5=$E96+1,$C96,""),"")</f>
        <v/>
      </c>
      <c r="BJ96" s="34">
        <f>IF(AND(BJ$5&gt;$E96,BJ$5&lt;=$F96),IF(BJ$5=$E96+1,$C96,""),"")</f>
        <v/>
      </c>
      <c r="BK96" s="34">
        <f>IF(AND(BK$5&gt;$E96,BK$5&lt;=$F96),IF(BK$5=$E96+1,$C96,""),"")</f>
        <v/>
      </c>
      <c r="BL96" s="34">
        <f>IF(AND(BL$5&gt;$E96,BL$5&lt;=$F96),IF(BL$5=$E96+1,$C96,""),"")</f>
        <v/>
      </c>
      <c r="BM96" s="34">
        <f>IF(AND(BM$5&gt;$E96,BM$5&lt;=$F96),IF(BM$5=$E96+1,$C96,""),"")</f>
        <v/>
      </c>
      <c r="BN96" s="34">
        <f>IF(AND(BN$5&gt;$E96,BN$5&lt;=$F96),IF(BN$5=$E96+1,$C96,""),"")</f>
        <v/>
      </c>
      <c r="BO96" s="34">
        <f>IF(AND(BO$5&gt;$E96,BO$5&lt;=$F96),IF(BO$5=$E96+1,$C96,""),"")</f>
        <v/>
      </c>
      <c r="BP96" s="34">
        <f>IF(AND(BP$5&gt;$E96,BP$5&lt;=$F96),IF(BP$5=$E96+1,$C96,""),"")</f>
        <v/>
      </c>
      <c r="BQ96" s="34">
        <f>IF(AND(BQ$5&gt;$E96,BQ$5&lt;=$F96),IF(BQ$5=$E96+1,$C96,""),"")</f>
        <v/>
      </c>
      <c r="BR96" s="34">
        <f>IF(AND(BR$5&gt;$E96,BR$5&lt;=$F96),IF(BR$5=$E96+1,$C96,""),"")</f>
        <v/>
      </c>
      <c r="BS96" s="34">
        <f>IF(AND(BS$5&gt;$E96,BS$5&lt;=$F96),IF(BS$5=$E96+1,$C96,""),"")</f>
        <v/>
      </c>
      <c r="BT96" s="34">
        <f>IF(AND(BT$5&gt;$E96,BT$5&lt;=$F96),IF(BT$5=$E96+1,$C96,""),"")</f>
        <v/>
      </c>
      <c r="BU96" s="34">
        <f>IF(AND(BU$5&gt;$E96,BU$5&lt;=$F96),IF(BU$5=$E96+1,$C96,""),"")</f>
        <v/>
      </c>
      <c r="BV96" s="34">
        <f>IF(AND(BV$5&gt;$E96,BV$5&lt;=$F96),IF(BV$5=$E96+1,$C96,""),"")</f>
        <v/>
      </c>
      <c r="BW96" s="34">
        <f>IF(AND(BW$5&gt;$E96,BW$5&lt;=$F96),IF(BW$5=$E96+1,$C96,""),"")</f>
        <v/>
      </c>
      <c r="BX96" s="34">
        <f>IF(AND(BX$5&gt;$E96,BX$5&lt;=$F96),IF(BX$5=$E96+1,$C96,""),"")</f>
        <v/>
      </c>
      <c r="BY96" s="34">
        <f>IF(AND(BY$5&gt;$E96,BY$5&lt;=$F96),IF(BY$5=$E96+1,$C96,""),"")</f>
        <v/>
      </c>
      <c r="BZ96" s="34">
        <f>IF(AND(BZ$5&gt;$E96,BZ$5&lt;=$F96),IF(BZ$5=$E96+1,$C96,""),"")</f>
        <v/>
      </c>
      <c r="CA96" s="34">
        <f>IF(AND(CA$5&gt;$E96,CA$5&lt;=$F96),IF(CA$5=$E96+1,$C96,""),"")</f>
        <v/>
      </c>
      <c r="CB96" s="34">
        <f>IF(AND(CB$5&gt;$E96,CB$5&lt;=$F96),IF(CB$5=$E96+1,$C96,""),"")</f>
        <v/>
      </c>
      <c r="CC96" s="34">
        <f>IF(AND(CC$5&gt;$E96,CC$5&lt;=$F96),IF(CC$5=$E96+1,$C96,""),"")</f>
        <v/>
      </c>
      <c r="CD96" s="34">
        <f>IF(AND(CD$5&gt;$E96,CD$5&lt;=$F96),IF(CD$5=$E96+1,$C96,""),"")</f>
        <v/>
      </c>
      <c r="CE96" s="34">
        <f>IF(AND(CE$5&gt;$E96,CE$5&lt;=$F96),IF(CE$5=$E96+1,$C96,""),"")</f>
        <v/>
      </c>
      <c r="CF96" s="34">
        <f>IF(AND(CF$5&gt;$E96,CF$5&lt;=$F96),IF(CF$5=$E96+1,$C96,""),"")</f>
        <v/>
      </c>
      <c r="CG96" s="34">
        <f>IF(AND(CG$5&gt;$E96,CG$5&lt;=$F96),IF(CG$5=$E96+1,$C96,""),"")</f>
        <v/>
      </c>
      <c r="CH96" s="34">
        <f>IF(AND(CH$5&gt;$E96,CH$5&lt;=$F96),IF(CH$5=$E96+1,$C96,""),"")</f>
        <v/>
      </c>
      <c r="CI96" s="34">
        <f>IF(AND(CI$5&gt;$E96,CI$5&lt;=$F96),IF(CI$5=$E96+1,$C96,""),"")</f>
        <v/>
      </c>
      <c r="CJ96" s="34">
        <f>IF(AND(CJ$5&gt;$E96,CJ$5&lt;=$F96),IF(CJ$5=$E96+1,$C96,""),"")</f>
        <v/>
      </c>
      <c r="CK96" s="34">
        <f>IF(AND(CK$5&gt;$E96,CK$5&lt;=$F96),IF(CK$5=$E96+1,$C96,""),"")</f>
        <v/>
      </c>
      <c r="CL96" s="34">
        <f>IF(AND(CL$5&gt;$E96,CL$5&lt;=$F96),IF(CL$5=$E96+1,$C96,""),"")</f>
        <v/>
      </c>
      <c r="CM96" s="34">
        <f>IF(AND(CM$5&gt;$E96,CM$5&lt;=$F96),IF(CM$5=$E96+1,$C96,""),"")</f>
        <v/>
      </c>
      <c r="CN96" s="34">
        <f>IF(AND(CN$5&gt;$E96,CN$5&lt;=$F96),IF(CN$5=$E96+1,$C96,""),"")</f>
        <v/>
      </c>
      <c r="CO96" s="34">
        <f>IF(AND(CO$5&gt;$E96,CO$5&lt;=$F96),IF(CO$5=$E96+1,$C96,""),"")</f>
        <v/>
      </c>
      <c r="CP96" s="34">
        <f>IF(AND(CP$5&gt;$E96,CP$5&lt;=$F96),IF(CP$5=$E96+1,$C96,""),"")</f>
        <v/>
      </c>
      <c r="CQ96" s="34">
        <f>IF(AND(CQ$5&gt;$E96,CQ$5&lt;=$F96),IF(CQ$5=$E96+1,$C96,""),"")</f>
        <v/>
      </c>
      <c r="CR96" s="34">
        <f>IF(AND(CR$5&gt;$E96,CR$5&lt;=$F96),IF(CR$5=$E96+1,$C96,""),"")</f>
        <v/>
      </c>
      <c r="CS96" s="34">
        <f>IF(AND(CS$5&gt;$E96,CS$5&lt;=$F96),IF(CS$5=$E96+1,$C96,""),"")</f>
        <v/>
      </c>
      <c r="CT96" s="34">
        <f>IF(AND(CT$5&gt;$E96,CT$5&lt;=$F96),IF(CT$5=$E96+1,$C96,""),"")</f>
        <v/>
      </c>
      <c r="CU96" s="34">
        <f>IF(AND(CU$5&gt;$E96,CU$5&lt;=$F96),IF(CU$5=$E96+1,$C96,""),"")</f>
        <v/>
      </c>
      <c r="CV96" s="34">
        <f>IF(AND(CV$5&gt;$E96,CV$5&lt;=$F96),IF(CV$5=$E96+1,$C96,""),"")</f>
        <v/>
      </c>
      <c r="CW96" s="34">
        <f>IF(AND(CW$5&gt;$E96,CW$5&lt;=$F96),IF(CW$5=$E96+1,$C96,""),"")</f>
        <v/>
      </c>
      <c r="CX96" s="34">
        <f>IF(AND(CX$5&gt;$E96,CX$5&lt;=$F96),IF(CX$5=$E96+1,$C96,""),"")</f>
        <v/>
      </c>
      <c r="CY96" s="34">
        <f>IF(AND(CY$5&gt;$E96,CY$5&lt;=$F96),IF(CY$5=$E96+1,$C96,""),"")</f>
        <v/>
      </c>
      <c r="CZ96" s="34">
        <f>IF(AND(CZ$5&gt;$E96,CZ$5&lt;=$F96),IF(CZ$5=$E96+1,$C96,""),"")</f>
        <v/>
      </c>
      <c r="DA96" s="34">
        <f>IF(AND(DA$5&gt;$E96,DA$5&lt;=$F96),IF(DA$5=$E96+1,$C96,""),"")</f>
        <v/>
      </c>
      <c r="DB96" s="34">
        <f>IF(AND(DB$5&gt;$E96,DB$5&lt;=$F96),IF(DB$5=$E96+1,$C96,""),"")</f>
        <v/>
      </c>
      <c r="DC96" s="34">
        <f>IF(AND(DC$5&gt;$E96,DC$5&lt;=$F96),IF(DC$5=$E96+1,$C96,""),"")</f>
        <v/>
      </c>
      <c r="DD96" s="34">
        <f>IF(AND(DD$5&gt;$E96,DD$5&lt;=$F96),IF(DD$5=$E96+1,$C96,""),"")</f>
        <v/>
      </c>
      <c r="DE96" s="34">
        <f>IF(AND(DE$5&gt;$E96,DE$5&lt;=$F96),IF(DE$5=$E96+1,$C96,""),"")</f>
        <v/>
      </c>
      <c r="DF96" s="34">
        <f>IF(AND(DF$5&gt;$E96,DF$5&lt;=$F96),IF(DF$5=$E96+1,$C96,""),"")</f>
        <v/>
      </c>
      <c r="DG96" s="34">
        <f>IF(AND(DG$5&gt;$E96,DG$5&lt;=$F96),IF(DG$5=$E96+1,$C96,""),"")</f>
        <v/>
      </c>
      <c r="DH96" s="34">
        <f>IF(AND(DH$5&gt;$E96,DH$5&lt;=$F96),IF(DH$5=$E96+1,$C96,""),"")</f>
        <v/>
      </c>
      <c r="DI96" s="34">
        <f>IF(AND(DI$5&gt;$E96,DI$5&lt;=$F96),IF(DI$5=$E96+1,$C96,""),"")</f>
        <v/>
      </c>
      <c r="DJ96" s="34">
        <f>IF(AND(DJ$5&gt;$E96,DJ$5&lt;=$F96),IF(DJ$5=$E96+1,$C96,""),"")</f>
        <v/>
      </c>
      <c r="DK96" s="34">
        <f>IF(AND(DK$5&gt;$E96,DK$5&lt;=$F96),IF(DK$5=$E96+1,$C96,""),"")</f>
        <v/>
      </c>
      <c r="DL96" s="34">
        <f>IF(AND(DL$5&gt;$E96,DL$5&lt;=$F96),IF(DL$5=$E96+1,$C96,""),"")</f>
        <v/>
      </c>
      <c r="DM96" s="34">
        <f>IF(AND(DM$5&gt;$E96,DM$5&lt;=$F96),IF(DM$5=$E96+1,$C96,""),"")</f>
        <v/>
      </c>
      <c r="DN96" s="34">
        <f>IF(AND(DN$5&gt;$E96,DN$5&lt;=$F96),IF(DN$5=$E96+1,$C96,""),"")</f>
        <v/>
      </c>
      <c r="DO96" s="34">
        <f>IF(AND(DO$5&gt;$E96,DO$5&lt;=$F96),IF(DO$5=$E96+1,$C96,""),"")</f>
        <v/>
      </c>
      <c r="DP96" s="34">
        <f>IF(AND(DP$5&gt;$E96,DP$5&lt;=$F96),IF(DP$5=$E96+1,$C96,""),"")</f>
        <v/>
      </c>
      <c r="DQ96" s="34">
        <f>IF(AND(DQ$5&gt;$E96,DQ$5&lt;=$F96),IF(DQ$5=$E96+1,$C96,""),"")</f>
        <v/>
      </c>
      <c r="DR96" s="34">
        <f>IF(AND(DR$5&gt;$E96,DR$5&lt;=$F96),IF(DR$5=$E96+1,$C96,""),"")</f>
        <v/>
      </c>
      <c r="DS96" s="34">
        <f>IF(AND(DS$5&gt;$E96,DS$5&lt;=$F96),IF(DS$5=$E96+1,$C96,""),"")</f>
        <v/>
      </c>
      <c r="DT96" s="34">
        <f>IF(AND(DT$5&gt;$E96,DT$5&lt;=$F96),IF(DT$5=$E96+1,$C96,""),"")</f>
        <v/>
      </c>
      <c r="DU96" s="34">
        <f>IF(AND(DU$5&gt;$E96,DU$5&lt;=$F96),IF(DU$5=$E96+1,$C96,""),"")</f>
        <v/>
      </c>
      <c r="DV96" s="34">
        <f>IF(AND(DV$5&gt;$E96,DV$5&lt;=$F96),IF(DV$5=$E96+1,$C96,""),"")</f>
        <v/>
      </c>
      <c r="DW96" s="34">
        <f>IF(AND(DW$5&gt;$E96,DW$5&lt;=$F96),IF(DW$5=$E96+1,$C96,""),"")</f>
        <v/>
      </c>
      <c r="DX96" s="34">
        <f>IF(AND(DX$5&gt;$E96,DX$5&lt;=$F96),IF(DX$5=$E96+1,$C96,""),"")</f>
        <v/>
      </c>
      <c r="DY96" s="34">
        <f>IF(AND(DY$5&gt;$E96,DY$5&lt;=$F96),IF(DY$5=$E96+1,$C96,""),"")</f>
        <v/>
      </c>
      <c r="DZ96" s="34">
        <f>IF(AND(DZ$5&gt;$E96,DZ$5&lt;=$F96),IF(DZ$5=$E96+1,$C96,""),"")</f>
        <v/>
      </c>
      <c r="EA96" s="34">
        <f>IF(AND(EA$5&gt;$E96,EA$5&lt;=$F96),IF(EA$5=$E96+1,$C96,""),"")</f>
        <v/>
      </c>
      <c r="EB96" s="34">
        <f>IF(AND(EB$5&gt;$E96,EB$5&lt;=$F96),IF(EB$5=$E96+1,$C96,""),"")</f>
        <v/>
      </c>
      <c r="EC96" s="34">
        <f>IF(AND(EC$5&gt;$E96,EC$5&lt;=$F96),IF(EC$5=$E96+1,$C96,""),"")</f>
        <v/>
      </c>
      <c r="ED96" s="34">
        <f>IF(AND(ED$5&gt;$E96,ED$5&lt;=$F96),IF(ED$5=$E96+1,$C96,""),"")</f>
        <v/>
      </c>
      <c r="EE96" s="34">
        <f>IF(AND(EE$5&gt;$E96,EE$5&lt;=$F96),IF(EE$5=$E96+1,$C96,""),"")</f>
        <v/>
      </c>
      <c r="EF96" s="34">
        <f>IF(AND(EF$5&gt;$E96,EF$5&lt;=$F96),IF(EF$5=$E96+1,$C96,""),"")</f>
        <v/>
      </c>
      <c r="EG96" s="34">
        <f>IF(AND(EG$5&gt;$E96,EG$5&lt;=$F96),IF(EG$5=$E96+1,$C96,""),"")</f>
        <v/>
      </c>
      <c r="EH96" s="34">
        <f>IF(AND(EH$5&gt;$E96,EH$5&lt;=$F96),IF(EH$5=$E96+1,$C96,""),"")</f>
        <v/>
      </c>
      <c r="EI96" s="34">
        <f>IF(AND(EI$5&gt;$E96,EI$5&lt;=$F96),IF(EI$5=$E96+1,$C96,""),"")</f>
        <v/>
      </c>
      <c r="EJ96" s="34">
        <f>IF(AND(EJ$5&gt;$E96,EJ$5&lt;=$F96),IF(EJ$5=$E96+1,$C96,""),"")</f>
        <v/>
      </c>
      <c r="EK96" s="34">
        <f>IF(AND(EK$5&gt;$E96,EK$5&lt;=$F96),IF(EK$5=$E96+1,$C96,""),"")</f>
        <v/>
      </c>
      <c r="EL96" s="34">
        <f>IF(AND(EL$5&gt;$E96,EL$5&lt;=$F96),IF(EL$5=$E96+1,$C96,""),"")</f>
        <v/>
      </c>
      <c r="EM96" s="34">
        <f>IF(AND(EM$5&gt;$E96,EM$5&lt;=$F96),IF(EM$5=$E96+1,$C96,""),"")</f>
        <v/>
      </c>
      <c r="EN96" s="34">
        <f>IF(AND(EN$5&gt;$E96,EN$5&lt;=$F96),IF(EN$5=$E96+1,$C96,""),"")</f>
        <v/>
      </c>
      <c r="EO96" s="34">
        <f>IF(AND(EO$5&gt;$E96,EO$5&lt;=$F96),IF(EO$5=$E96+1,$C96,""),"")</f>
        <v/>
      </c>
      <c r="EP96" s="34">
        <f>IF(AND(EP$5&gt;$E96,EP$5&lt;=$F96),IF(EP$5=$E96+1,$C96,""),"")</f>
        <v/>
      </c>
      <c r="EQ96" s="34">
        <f>IF(AND(EQ$5&gt;$E96,EQ$5&lt;=$F96),IF(EQ$5=$E96+1,$C96,""),"")</f>
        <v/>
      </c>
      <c r="ER96" s="34">
        <f>IF(AND(ER$5&gt;$E96,ER$5&lt;=$F96),IF(ER$5=$E96+1,$C96,""),"")</f>
        <v/>
      </c>
      <c r="ES96" s="34">
        <f>IF(AND(ES$5&gt;$E96,ES$5&lt;=$F96),IF(ES$5=$E96+1,$C96,""),"")</f>
        <v/>
      </c>
      <c r="ET96" s="34">
        <f>IF(AND(ET$5&gt;$E96,ET$5&lt;=$F96),IF(ET$5=$E96+1,$C96,""),"")</f>
        <v/>
      </c>
      <c r="EU96" s="34">
        <f>IF(AND(EU$5&gt;$E96,EU$5&lt;=$F96),IF(EU$5=$E96+1,$C96,""),"")</f>
        <v/>
      </c>
      <c r="EV96" s="34">
        <f>IF(AND(EV$5&gt;$E96,EV$5&lt;=$F96),IF(EV$5=$E96+1,$C96,""),"")</f>
        <v/>
      </c>
      <c r="EW96" s="34">
        <f>IF(AND(EW$5&gt;$E96,EW$5&lt;=$F96),IF(EW$5=$E96+1,$C96,""),"")</f>
        <v/>
      </c>
      <c r="EX96" s="34">
        <f>IF(AND(EX$5&gt;$E96,EX$5&lt;=$F96),IF(EX$5=$E96+1,$C96,""),"")</f>
        <v/>
      </c>
      <c r="EY96" s="34">
        <f>IF(AND(EY$5&gt;$E96,EY$5&lt;=$F96),IF(EY$5=$E96+1,$C96,""),"")</f>
        <v/>
      </c>
      <c r="EZ96" s="34">
        <f>IF(AND(EZ$5&gt;$E96,EZ$5&lt;=$F96),IF(EZ$5=$E96+1,$C96,""),"")</f>
        <v/>
      </c>
      <c r="FA96" s="34">
        <f>IF(AND(FA$5&gt;$E96,FA$5&lt;=$F96),IF(FA$5=$E96+1,$C96,""),"")</f>
        <v/>
      </c>
    </row>
    <row r="97">
      <c r="A97" s="32">
        <f>Plan!A59</f>
        <v/>
      </c>
      <c r="B97" s="33">
        <f>Plan!C59</f>
        <v/>
      </c>
      <c r="C97" s="16">
        <f>Plan!D59</f>
        <v/>
      </c>
      <c r="D97" s="16">
        <f>Plan!I59</f>
        <v/>
      </c>
      <c r="E97" s="16">
        <f>Plan!K59</f>
        <v/>
      </c>
      <c r="F97" s="16">
        <f>Plan!L59</f>
        <v/>
      </c>
      <c r="G97" s="16">
        <f>Plan!O59</f>
        <v/>
      </c>
      <c r="H97" s="34">
        <f>IF(AND(H$5&gt;$E97,H$5&lt;=$F97),IF(H$5=$E97+1,$C97,""),"")</f>
        <v/>
      </c>
      <c r="I97" s="34">
        <f>IF(AND(I$5&gt;$E97,I$5&lt;=$F97),IF(I$5=$E97+1,$C97,""),"")</f>
        <v/>
      </c>
      <c r="J97" s="34">
        <f>IF(AND(J$5&gt;$E97,J$5&lt;=$F97),IF(J$5=$E97+1,$C97,""),"")</f>
        <v/>
      </c>
      <c r="K97" s="34">
        <f>IF(AND(K$5&gt;$E97,K$5&lt;=$F97),IF(K$5=$E97+1,$C97,""),"")</f>
        <v/>
      </c>
      <c r="L97" s="34">
        <f>IF(AND(L$5&gt;$E97,L$5&lt;=$F97),IF(L$5=$E97+1,$C97,""),"")</f>
        <v/>
      </c>
      <c r="M97" s="34">
        <f>IF(AND(M$5&gt;$E97,M$5&lt;=$F97),IF(M$5=$E97+1,$C97,""),"")</f>
        <v/>
      </c>
      <c r="N97" s="34">
        <f>IF(AND(N$5&gt;$E97,N$5&lt;=$F97),IF(N$5=$E97+1,$C97,""),"")</f>
        <v/>
      </c>
      <c r="O97" s="34">
        <f>IF(AND(O$5&gt;$E97,O$5&lt;=$F97),IF(O$5=$E97+1,$C97,""),"")</f>
        <v/>
      </c>
      <c r="P97" s="34">
        <f>IF(AND(P$5&gt;$E97,P$5&lt;=$F97),IF(P$5=$E97+1,$C97,""),"")</f>
        <v/>
      </c>
      <c r="Q97" s="34">
        <f>IF(AND(Q$5&gt;$E97,Q$5&lt;=$F97),IF(Q$5=$E97+1,$C97,""),"")</f>
        <v/>
      </c>
      <c r="R97" s="34">
        <f>IF(AND(R$5&gt;$E97,R$5&lt;=$F97),IF(R$5=$E97+1,$C97,""),"")</f>
        <v/>
      </c>
      <c r="S97" s="34">
        <f>IF(AND(S$5&gt;$E97,S$5&lt;=$F97),IF(S$5=$E97+1,$C97,""),"")</f>
        <v/>
      </c>
      <c r="T97" s="34">
        <f>IF(AND(T$5&gt;$E97,T$5&lt;=$F97),IF(T$5=$E97+1,$C97,""),"")</f>
        <v/>
      </c>
      <c r="U97" s="34">
        <f>IF(AND(U$5&gt;$E97,U$5&lt;=$F97),IF(U$5=$E97+1,$C97,""),"")</f>
        <v/>
      </c>
      <c r="V97" s="34">
        <f>IF(AND(V$5&gt;$E97,V$5&lt;=$F97),IF(V$5=$E97+1,$C97,""),"")</f>
        <v/>
      </c>
      <c r="W97" s="34">
        <f>IF(AND(W$5&gt;$E97,W$5&lt;=$F97),IF(W$5=$E97+1,$C97,""),"")</f>
        <v/>
      </c>
      <c r="X97" s="34">
        <f>IF(AND(X$5&gt;$E97,X$5&lt;=$F97),IF(X$5=$E97+1,$C97,""),"")</f>
        <v/>
      </c>
      <c r="Y97" s="34">
        <f>IF(AND(Y$5&gt;$E97,Y$5&lt;=$F97),IF(Y$5=$E97+1,$C97,""),"")</f>
        <v/>
      </c>
      <c r="Z97" s="34">
        <f>IF(AND(Z$5&gt;$E97,Z$5&lt;=$F97),IF(Z$5=$E97+1,$C97,""),"")</f>
        <v/>
      </c>
      <c r="AA97" s="34">
        <f>IF(AND(AA$5&gt;$E97,AA$5&lt;=$F97),IF(AA$5=$E97+1,$C97,""),"")</f>
        <v/>
      </c>
      <c r="AB97" s="34">
        <f>IF(AND(AB$5&gt;$E97,AB$5&lt;=$F97),IF(AB$5=$E97+1,$C97,""),"")</f>
        <v/>
      </c>
      <c r="AC97" s="34">
        <f>IF(AND(AC$5&gt;$E97,AC$5&lt;=$F97),IF(AC$5=$E97+1,$C97,""),"")</f>
        <v/>
      </c>
      <c r="AD97" s="34">
        <f>IF(AND(AD$5&gt;$E97,AD$5&lt;=$F97),IF(AD$5=$E97+1,$C97,""),"")</f>
        <v/>
      </c>
      <c r="AE97" s="34">
        <f>IF(AND(AE$5&gt;$E97,AE$5&lt;=$F97),IF(AE$5=$E97+1,$C97,""),"")</f>
        <v/>
      </c>
      <c r="AF97" s="34">
        <f>IF(AND(AF$5&gt;$E97,AF$5&lt;=$F97),IF(AF$5=$E97+1,$C97,""),"")</f>
        <v/>
      </c>
      <c r="AG97" s="34">
        <f>IF(AND(AG$5&gt;$E97,AG$5&lt;=$F97),IF(AG$5=$E97+1,$C97,""),"")</f>
        <v/>
      </c>
      <c r="AH97" s="34">
        <f>IF(AND(AH$5&gt;$E97,AH$5&lt;=$F97),IF(AH$5=$E97+1,$C97,""),"")</f>
        <v/>
      </c>
      <c r="AI97" s="34">
        <f>IF(AND(AI$5&gt;$E97,AI$5&lt;=$F97),IF(AI$5=$E97+1,$C97,""),"")</f>
        <v/>
      </c>
      <c r="AJ97" s="34">
        <f>IF(AND(AJ$5&gt;$E97,AJ$5&lt;=$F97),IF(AJ$5=$E97+1,$C97,""),"")</f>
        <v/>
      </c>
      <c r="AK97" s="34">
        <f>IF(AND(AK$5&gt;$E97,AK$5&lt;=$F97),IF(AK$5=$E97+1,$C97,""),"")</f>
        <v/>
      </c>
      <c r="AL97" s="34">
        <f>IF(AND(AL$5&gt;$E97,AL$5&lt;=$F97),IF(AL$5=$E97+1,$C97,""),"")</f>
        <v/>
      </c>
      <c r="AM97" s="34">
        <f>IF(AND(AM$5&gt;$E97,AM$5&lt;=$F97),IF(AM$5=$E97+1,$C97,""),"")</f>
        <v/>
      </c>
      <c r="AN97" s="34">
        <f>IF(AND(AN$5&gt;$E97,AN$5&lt;=$F97),IF(AN$5=$E97+1,$C97,""),"")</f>
        <v/>
      </c>
      <c r="AO97" s="34">
        <f>IF(AND(AO$5&gt;$E97,AO$5&lt;=$F97),IF(AO$5=$E97+1,$C97,""),"")</f>
        <v/>
      </c>
      <c r="AP97" s="34">
        <f>IF(AND(AP$5&gt;$E97,AP$5&lt;=$F97),IF(AP$5=$E97+1,$C97,""),"")</f>
        <v/>
      </c>
      <c r="AQ97" s="34">
        <f>IF(AND(AQ$5&gt;$E97,AQ$5&lt;=$F97),IF(AQ$5=$E97+1,$C97,""),"")</f>
        <v/>
      </c>
      <c r="AR97" s="34">
        <f>IF(AND(AR$5&gt;$E97,AR$5&lt;=$F97),IF(AR$5=$E97+1,$C97,""),"")</f>
        <v/>
      </c>
      <c r="AS97" s="34">
        <f>IF(AND(AS$5&gt;$E97,AS$5&lt;=$F97),IF(AS$5=$E97+1,$C97,""),"")</f>
        <v/>
      </c>
      <c r="AT97" s="34">
        <f>IF(AND(AT$5&gt;$E97,AT$5&lt;=$F97),IF(AT$5=$E97+1,$C97,""),"")</f>
        <v/>
      </c>
      <c r="AU97" s="34">
        <f>IF(AND(AU$5&gt;$E97,AU$5&lt;=$F97),IF(AU$5=$E97+1,$C97,""),"")</f>
        <v/>
      </c>
      <c r="AV97" s="34">
        <f>IF(AND(AV$5&gt;$E97,AV$5&lt;=$F97),IF(AV$5=$E97+1,$C97,""),"")</f>
        <v/>
      </c>
      <c r="AW97" s="34">
        <f>IF(AND(AW$5&gt;$E97,AW$5&lt;=$F97),IF(AW$5=$E97+1,$C97,""),"")</f>
        <v/>
      </c>
      <c r="AX97" s="34">
        <f>IF(AND(AX$5&gt;$E97,AX$5&lt;=$F97),IF(AX$5=$E97+1,$C97,""),"")</f>
        <v/>
      </c>
      <c r="AY97" s="34">
        <f>IF(AND(AY$5&gt;$E97,AY$5&lt;=$F97),IF(AY$5=$E97+1,$C97,""),"")</f>
        <v/>
      </c>
      <c r="AZ97" s="34">
        <f>IF(AND(AZ$5&gt;$E97,AZ$5&lt;=$F97),IF(AZ$5=$E97+1,$C97,""),"")</f>
        <v/>
      </c>
      <c r="BA97" s="34">
        <f>IF(AND(BA$5&gt;$E97,BA$5&lt;=$F97),IF(BA$5=$E97+1,$C97,""),"")</f>
        <v/>
      </c>
      <c r="BB97" s="34">
        <f>IF(AND(BB$5&gt;$E97,BB$5&lt;=$F97),IF(BB$5=$E97+1,$C97,""),"")</f>
        <v/>
      </c>
      <c r="BC97" s="34">
        <f>IF(AND(BC$5&gt;$E97,BC$5&lt;=$F97),IF(BC$5=$E97+1,$C97,""),"")</f>
        <v/>
      </c>
      <c r="BD97" s="34">
        <f>IF(AND(BD$5&gt;$E97,BD$5&lt;=$F97),IF(BD$5=$E97+1,$C97,""),"")</f>
        <v/>
      </c>
      <c r="BE97" s="34">
        <f>IF(AND(BE$5&gt;$E97,BE$5&lt;=$F97),IF(BE$5=$E97+1,$C97,""),"")</f>
        <v/>
      </c>
      <c r="BF97" s="34">
        <f>IF(AND(BF$5&gt;$E97,BF$5&lt;=$F97),IF(BF$5=$E97+1,$C97,""),"")</f>
        <v/>
      </c>
      <c r="BG97" s="34">
        <f>IF(AND(BG$5&gt;$E97,BG$5&lt;=$F97),IF(BG$5=$E97+1,$C97,""),"")</f>
        <v/>
      </c>
      <c r="BH97" s="34">
        <f>IF(AND(BH$5&gt;$E97,BH$5&lt;=$F97),IF(BH$5=$E97+1,$C97,""),"")</f>
        <v/>
      </c>
      <c r="BI97" s="34">
        <f>IF(AND(BI$5&gt;$E97,BI$5&lt;=$F97),IF(BI$5=$E97+1,$C97,""),"")</f>
        <v/>
      </c>
      <c r="BJ97" s="34">
        <f>IF(AND(BJ$5&gt;$E97,BJ$5&lt;=$F97),IF(BJ$5=$E97+1,$C97,""),"")</f>
        <v/>
      </c>
      <c r="BK97" s="34">
        <f>IF(AND(BK$5&gt;$E97,BK$5&lt;=$F97),IF(BK$5=$E97+1,$C97,""),"")</f>
        <v/>
      </c>
      <c r="BL97" s="34">
        <f>IF(AND(BL$5&gt;$E97,BL$5&lt;=$F97),IF(BL$5=$E97+1,$C97,""),"")</f>
        <v/>
      </c>
      <c r="BM97" s="34">
        <f>IF(AND(BM$5&gt;$E97,BM$5&lt;=$F97),IF(BM$5=$E97+1,$C97,""),"")</f>
        <v/>
      </c>
      <c r="BN97" s="34">
        <f>IF(AND(BN$5&gt;$E97,BN$5&lt;=$F97),IF(BN$5=$E97+1,$C97,""),"")</f>
        <v/>
      </c>
      <c r="BO97" s="34">
        <f>IF(AND(BO$5&gt;$E97,BO$5&lt;=$F97),IF(BO$5=$E97+1,$C97,""),"")</f>
        <v/>
      </c>
      <c r="BP97" s="34">
        <f>IF(AND(BP$5&gt;$E97,BP$5&lt;=$F97),IF(BP$5=$E97+1,$C97,""),"")</f>
        <v/>
      </c>
      <c r="BQ97" s="34">
        <f>IF(AND(BQ$5&gt;$E97,BQ$5&lt;=$F97),IF(BQ$5=$E97+1,$C97,""),"")</f>
        <v/>
      </c>
      <c r="BR97" s="34">
        <f>IF(AND(BR$5&gt;$E97,BR$5&lt;=$F97),IF(BR$5=$E97+1,$C97,""),"")</f>
        <v/>
      </c>
      <c r="BS97" s="34">
        <f>IF(AND(BS$5&gt;$E97,BS$5&lt;=$F97),IF(BS$5=$E97+1,$C97,""),"")</f>
        <v/>
      </c>
      <c r="BT97" s="34">
        <f>IF(AND(BT$5&gt;$E97,BT$5&lt;=$F97),IF(BT$5=$E97+1,$C97,""),"")</f>
        <v/>
      </c>
      <c r="BU97" s="34">
        <f>IF(AND(BU$5&gt;$E97,BU$5&lt;=$F97),IF(BU$5=$E97+1,$C97,""),"")</f>
        <v/>
      </c>
      <c r="BV97" s="34">
        <f>IF(AND(BV$5&gt;$E97,BV$5&lt;=$F97),IF(BV$5=$E97+1,$C97,""),"")</f>
        <v/>
      </c>
      <c r="BW97" s="34">
        <f>IF(AND(BW$5&gt;$E97,BW$5&lt;=$F97),IF(BW$5=$E97+1,$C97,""),"")</f>
        <v/>
      </c>
      <c r="BX97" s="34">
        <f>IF(AND(BX$5&gt;$E97,BX$5&lt;=$F97),IF(BX$5=$E97+1,$C97,""),"")</f>
        <v/>
      </c>
      <c r="BY97" s="34">
        <f>IF(AND(BY$5&gt;$E97,BY$5&lt;=$F97),IF(BY$5=$E97+1,$C97,""),"")</f>
        <v/>
      </c>
      <c r="BZ97" s="34">
        <f>IF(AND(BZ$5&gt;$E97,BZ$5&lt;=$F97),IF(BZ$5=$E97+1,$C97,""),"")</f>
        <v/>
      </c>
      <c r="CA97" s="34">
        <f>IF(AND(CA$5&gt;$E97,CA$5&lt;=$F97),IF(CA$5=$E97+1,$C97,""),"")</f>
        <v/>
      </c>
      <c r="CB97" s="34">
        <f>IF(AND(CB$5&gt;$E97,CB$5&lt;=$F97),IF(CB$5=$E97+1,$C97,""),"")</f>
        <v/>
      </c>
      <c r="CC97" s="34">
        <f>IF(AND(CC$5&gt;$E97,CC$5&lt;=$F97),IF(CC$5=$E97+1,$C97,""),"")</f>
        <v/>
      </c>
      <c r="CD97" s="34">
        <f>IF(AND(CD$5&gt;$E97,CD$5&lt;=$F97),IF(CD$5=$E97+1,$C97,""),"")</f>
        <v/>
      </c>
      <c r="CE97" s="34">
        <f>IF(AND(CE$5&gt;$E97,CE$5&lt;=$F97),IF(CE$5=$E97+1,$C97,""),"")</f>
        <v/>
      </c>
      <c r="CF97" s="34">
        <f>IF(AND(CF$5&gt;$E97,CF$5&lt;=$F97),IF(CF$5=$E97+1,$C97,""),"")</f>
        <v/>
      </c>
      <c r="CG97" s="34">
        <f>IF(AND(CG$5&gt;$E97,CG$5&lt;=$F97),IF(CG$5=$E97+1,$C97,""),"")</f>
        <v/>
      </c>
      <c r="CH97" s="34">
        <f>IF(AND(CH$5&gt;$E97,CH$5&lt;=$F97),IF(CH$5=$E97+1,$C97,""),"")</f>
        <v/>
      </c>
      <c r="CI97" s="34">
        <f>IF(AND(CI$5&gt;$E97,CI$5&lt;=$F97),IF(CI$5=$E97+1,$C97,""),"")</f>
        <v/>
      </c>
      <c r="CJ97" s="34">
        <f>IF(AND(CJ$5&gt;$E97,CJ$5&lt;=$F97),IF(CJ$5=$E97+1,$C97,""),"")</f>
        <v/>
      </c>
      <c r="CK97" s="34">
        <f>IF(AND(CK$5&gt;$E97,CK$5&lt;=$F97),IF(CK$5=$E97+1,$C97,""),"")</f>
        <v/>
      </c>
      <c r="CL97" s="34">
        <f>IF(AND(CL$5&gt;$E97,CL$5&lt;=$F97),IF(CL$5=$E97+1,$C97,""),"")</f>
        <v/>
      </c>
      <c r="CM97" s="34">
        <f>IF(AND(CM$5&gt;$E97,CM$5&lt;=$F97),IF(CM$5=$E97+1,$C97,""),"")</f>
        <v/>
      </c>
      <c r="CN97" s="34">
        <f>IF(AND(CN$5&gt;$E97,CN$5&lt;=$F97),IF(CN$5=$E97+1,$C97,""),"")</f>
        <v/>
      </c>
      <c r="CO97" s="34">
        <f>IF(AND(CO$5&gt;$E97,CO$5&lt;=$F97),IF(CO$5=$E97+1,$C97,""),"")</f>
        <v/>
      </c>
      <c r="CP97" s="34">
        <f>IF(AND(CP$5&gt;$E97,CP$5&lt;=$F97),IF(CP$5=$E97+1,$C97,""),"")</f>
        <v/>
      </c>
      <c r="CQ97" s="34">
        <f>IF(AND(CQ$5&gt;$E97,CQ$5&lt;=$F97),IF(CQ$5=$E97+1,$C97,""),"")</f>
        <v/>
      </c>
      <c r="CR97" s="34">
        <f>IF(AND(CR$5&gt;$E97,CR$5&lt;=$F97),IF(CR$5=$E97+1,$C97,""),"")</f>
        <v/>
      </c>
      <c r="CS97" s="34">
        <f>IF(AND(CS$5&gt;$E97,CS$5&lt;=$F97),IF(CS$5=$E97+1,$C97,""),"")</f>
        <v/>
      </c>
      <c r="CT97" s="34">
        <f>IF(AND(CT$5&gt;$E97,CT$5&lt;=$F97),IF(CT$5=$E97+1,$C97,""),"")</f>
        <v/>
      </c>
      <c r="CU97" s="34">
        <f>IF(AND(CU$5&gt;$E97,CU$5&lt;=$F97),IF(CU$5=$E97+1,$C97,""),"")</f>
        <v/>
      </c>
      <c r="CV97" s="34">
        <f>IF(AND(CV$5&gt;$E97,CV$5&lt;=$F97),IF(CV$5=$E97+1,$C97,""),"")</f>
        <v/>
      </c>
      <c r="CW97" s="34">
        <f>IF(AND(CW$5&gt;$E97,CW$5&lt;=$F97),IF(CW$5=$E97+1,$C97,""),"")</f>
        <v/>
      </c>
      <c r="CX97" s="34">
        <f>IF(AND(CX$5&gt;$E97,CX$5&lt;=$F97),IF(CX$5=$E97+1,$C97,""),"")</f>
        <v/>
      </c>
      <c r="CY97" s="34">
        <f>IF(AND(CY$5&gt;$E97,CY$5&lt;=$F97),IF(CY$5=$E97+1,$C97,""),"")</f>
        <v/>
      </c>
      <c r="CZ97" s="34">
        <f>IF(AND(CZ$5&gt;$E97,CZ$5&lt;=$F97),IF(CZ$5=$E97+1,$C97,""),"")</f>
        <v/>
      </c>
      <c r="DA97" s="34">
        <f>IF(AND(DA$5&gt;$E97,DA$5&lt;=$F97),IF(DA$5=$E97+1,$C97,""),"")</f>
        <v/>
      </c>
      <c r="DB97" s="34">
        <f>IF(AND(DB$5&gt;$E97,DB$5&lt;=$F97),IF(DB$5=$E97+1,$C97,""),"")</f>
        <v/>
      </c>
      <c r="DC97" s="34">
        <f>IF(AND(DC$5&gt;$E97,DC$5&lt;=$F97),IF(DC$5=$E97+1,$C97,""),"")</f>
        <v/>
      </c>
      <c r="DD97" s="34">
        <f>IF(AND(DD$5&gt;$E97,DD$5&lt;=$F97),IF(DD$5=$E97+1,$C97,""),"")</f>
        <v/>
      </c>
      <c r="DE97" s="34">
        <f>IF(AND(DE$5&gt;$E97,DE$5&lt;=$F97),IF(DE$5=$E97+1,$C97,""),"")</f>
        <v/>
      </c>
      <c r="DF97" s="34">
        <f>IF(AND(DF$5&gt;$E97,DF$5&lt;=$F97),IF(DF$5=$E97+1,$C97,""),"")</f>
        <v/>
      </c>
      <c r="DG97" s="34">
        <f>IF(AND(DG$5&gt;$E97,DG$5&lt;=$F97),IF(DG$5=$E97+1,$C97,""),"")</f>
        <v/>
      </c>
      <c r="DH97" s="34">
        <f>IF(AND(DH$5&gt;$E97,DH$5&lt;=$F97),IF(DH$5=$E97+1,$C97,""),"")</f>
        <v/>
      </c>
      <c r="DI97" s="34">
        <f>IF(AND(DI$5&gt;$E97,DI$5&lt;=$F97),IF(DI$5=$E97+1,$C97,""),"")</f>
        <v/>
      </c>
      <c r="DJ97" s="34">
        <f>IF(AND(DJ$5&gt;$E97,DJ$5&lt;=$F97),IF(DJ$5=$E97+1,$C97,""),"")</f>
        <v/>
      </c>
      <c r="DK97" s="34">
        <f>IF(AND(DK$5&gt;$E97,DK$5&lt;=$F97),IF(DK$5=$E97+1,$C97,""),"")</f>
        <v/>
      </c>
      <c r="DL97" s="34">
        <f>IF(AND(DL$5&gt;$E97,DL$5&lt;=$F97),IF(DL$5=$E97+1,$C97,""),"")</f>
        <v/>
      </c>
      <c r="DM97" s="34">
        <f>IF(AND(DM$5&gt;$E97,DM$5&lt;=$F97),IF(DM$5=$E97+1,$C97,""),"")</f>
        <v/>
      </c>
      <c r="DN97" s="34">
        <f>IF(AND(DN$5&gt;$E97,DN$5&lt;=$F97),IF(DN$5=$E97+1,$C97,""),"")</f>
        <v/>
      </c>
      <c r="DO97" s="34">
        <f>IF(AND(DO$5&gt;$E97,DO$5&lt;=$F97),IF(DO$5=$E97+1,$C97,""),"")</f>
        <v/>
      </c>
      <c r="DP97" s="34">
        <f>IF(AND(DP$5&gt;$E97,DP$5&lt;=$F97),IF(DP$5=$E97+1,$C97,""),"")</f>
        <v/>
      </c>
      <c r="DQ97" s="34">
        <f>IF(AND(DQ$5&gt;$E97,DQ$5&lt;=$F97),IF(DQ$5=$E97+1,$C97,""),"")</f>
        <v/>
      </c>
      <c r="DR97" s="34">
        <f>IF(AND(DR$5&gt;$E97,DR$5&lt;=$F97),IF(DR$5=$E97+1,$C97,""),"")</f>
        <v/>
      </c>
      <c r="DS97" s="34">
        <f>IF(AND(DS$5&gt;$E97,DS$5&lt;=$F97),IF(DS$5=$E97+1,$C97,""),"")</f>
        <v/>
      </c>
      <c r="DT97" s="34">
        <f>IF(AND(DT$5&gt;$E97,DT$5&lt;=$F97),IF(DT$5=$E97+1,$C97,""),"")</f>
        <v/>
      </c>
      <c r="DU97" s="34">
        <f>IF(AND(DU$5&gt;$E97,DU$5&lt;=$F97),IF(DU$5=$E97+1,$C97,""),"")</f>
        <v/>
      </c>
      <c r="DV97" s="34">
        <f>IF(AND(DV$5&gt;$E97,DV$5&lt;=$F97),IF(DV$5=$E97+1,$C97,""),"")</f>
        <v/>
      </c>
      <c r="DW97" s="34">
        <f>IF(AND(DW$5&gt;$E97,DW$5&lt;=$F97),IF(DW$5=$E97+1,$C97,""),"")</f>
        <v/>
      </c>
      <c r="DX97" s="34">
        <f>IF(AND(DX$5&gt;$E97,DX$5&lt;=$F97),IF(DX$5=$E97+1,$C97,""),"")</f>
        <v/>
      </c>
      <c r="DY97" s="34">
        <f>IF(AND(DY$5&gt;$E97,DY$5&lt;=$F97),IF(DY$5=$E97+1,$C97,""),"")</f>
        <v/>
      </c>
      <c r="DZ97" s="34">
        <f>IF(AND(DZ$5&gt;$E97,DZ$5&lt;=$F97),IF(DZ$5=$E97+1,$C97,""),"")</f>
        <v/>
      </c>
      <c r="EA97" s="34">
        <f>IF(AND(EA$5&gt;$E97,EA$5&lt;=$F97),IF(EA$5=$E97+1,$C97,""),"")</f>
        <v/>
      </c>
      <c r="EB97" s="34">
        <f>IF(AND(EB$5&gt;$E97,EB$5&lt;=$F97),IF(EB$5=$E97+1,$C97,""),"")</f>
        <v/>
      </c>
      <c r="EC97" s="34">
        <f>IF(AND(EC$5&gt;$E97,EC$5&lt;=$F97),IF(EC$5=$E97+1,$C97,""),"")</f>
        <v/>
      </c>
      <c r="ED97" s="34">
        <f>IF(AND(ED$5&gt;$E97,ED$5&lt;=$F97),IF(ED$5=$E97+1,$C97,""),"")</f>
        <v/>
      </c>
      <c r="EE97" s="34">
        <f>IF(AND(EE$5&gt;$E97,EE$5&lt;=$F97),IF(EE$5=$E97+1,$C97,""),"")</f>
        <v/>
      </c>
      <c r="EF97" s="34">
        <f>IF(AND(EF$5&gt;$E97,EF$5&lt;=$F97),IF(EF$5=$E97+1,$C97,""),"")</f>
        <v/>
      </c>
      <c r="EG97" s="34">
        <f>IF(AND(EG$5&gt;$E97,EG$5&lt;=$F97),IF(EG$5=$E97+1,$C97,""),"")</f>
        <v/>
      </c>
      <c r="EH97" s="34">
        <f>IF(AND(EH$5&gt;$E97,EH$5&lt;=$F97),IF(EH$5=$E97+1,$C97,""),"")</f>
        <v/>
      </c>
      <c r="EI97" s="34">
        <f>IF(AND(EI$5&gt;$E97,EI$5&lt;=$F97),IF(EI$5=$E97+1,$C97,""),"")</f>
        <v/>
      </c>
      <c r="EJ97" s="34">
        <f>IF(AND(EJ$5&gt;$E97,EJ$5&lt;=$F97),IF(EJ$5=$E97+1,$C97,""),"")</f>
        <v/>
      </c>
      <c r="EK97" s="34">
        <f>IF(AND(EK$5&gt;$E97,EK$5&lt;=$F97),IF(EK$5=$E97+1,$C97,""),"")</f>
        <v/>
      </c>
      <c r="EL97" s="34">
        <f>IF(AND(EL$5&gt;$E97,EL$5&lt;=$F97),IF(EL$5=$E97+1,$C97,""),"")</f>
        <v/>
      </c>
      <c r="EM97" s="34">
        <f>IF(AND(EM$5&gt;$E97,EM$5&lt;=$F97),IF(EM$5=$E97+1,$C97,""),"")</f>
        <v/>
      </c>
      <c r="EN97" s="34">
        <f>IF(AND(EN$5&gt;$E97,EN$5&lt;=$F97),IF(EN$5=$E97+1,$C97,""),"")</f>
        <v/>
      </c>
      <c r="EO97" s="34">
        <f>IF(AND(EO$5&gt;$E97,EO$5&lt;=$F97),IF(EO$5=$E97+1,$C97,""),"")</f>
        <v/>
      </c>
      <c r="EP97" s="34">
        <f>IF(AND(EP$5&gt;$E97,EP$5&lt;=$F97),IF(EP$5=$E97+1,$C97,""),"")</f>
        <v/>
      </c>
      <c r="EQ97" s="34">
        <f>IF(AND(EQ$5&gt;$E97,EQ$5&lt;=$F97),IF(EQ$5=$E97+1,$C97,""),"")</f>
        <v/>
      </c>
      <c r="ER97" s="34">
        <f>IF(AND(ER$5&gt;$E97,ER$5&lt;=$F97),IF(ER$5=$E97+1,$C97,""),"")</f>
        <v/>
      </c>
      <c r="ES97" s="34">
        <f>IF(AND(ES$5&gt;$E97,ES$5&lt;=$F97),IF(ES$5=$E97+1,$C97,""),"")</f>
        <v/>
      </c>
      <c r="ET97" s="34">
        <f>IF(AND(ET$5&gt;$E97,ET$5&lt;=$F97),IF(ET$5=$E97+1,$C97,""),"")</f>
        <v/>
      </c>
      <c r="EU97" s="34">
        <f>IF(AND(EU$5&gt;$E97,EU$5&lt;=$F97),IF(EU$5=$E97+1,$C97,""),"")</f>
        <v/>
      </c>
      <c r="EV97" s="34">
        <f>IF(AND(EV$5&gt;$E97,EV$5&lt;=$F97),IF(EV$5=$E97+1,$C97,""),"")</f>
        <v/>
      </c>
      <c r="EW97" s="34">
        <f>IF(AND(EW$5&gt;$E97,EW$5&lt;=$F97),IF(EW$5=$E97+1,$C97,""),"")</f>
        <v/>
      </c>
      <c r="EX97" s="34">
        <f>IF(AND(EX$5&gt;$E97,EX$5&lt;=$F97),IF(EX$5=$E97+1,$C97,""),"")</f>
        <v/>
      </c>
      <c r="EY97" s="34">
        <f>IF(AND(EY$5&gt;$E97,EY$5&lt;=$F97),IF(EY$5=$E97+1,$C97,""),"")</f>
        <v/>
      </c>
      <c r="EZ97" s="34">
        <f>IF(AND(EZ$5&gt;$E97,EZ$5&lt;=$F97),IF(EZ$5=$E97+1,$C97,""),"")</f>
        <v/>
      </c>
      <c r="FA97" s="34">
        <f>IF(AND(FA$5&gt;$E97,FA$5&lt;=$F97),IF(FA$5=$E97+1,$C97,""),"")</f>
        <v/>
      </c>
    </row>
    <row r="98">
      <c r="A98" s="32">
        <f>Plan!A60</f>
        <v/>
      </c>
      <c r="B98" s="33">
        <f>Plan!C60</f>
        <v/>
      </c>
      <c r="C98" s="16">
        <f>Plan!D60</f>
        <v/>
      </c>
      <c r="D98" s="16">
        <f>Plan!I60</f>
        <v/>
      </c>
      <c r="E98" s="16">
        <f>Plan!K60</f>
        <v/>
      </c>
      <c r="F98" s="16">
        <f>Plan!L60</f>
        <v/>
      </c>
      <c r="G98" s="16">
        <f>Plan!O60</f>
        <v/>
      </c>
      <c r="H98" s="34">
        <f>IF(AND(H$5&gt;$E98,H$5&lt;=$F98),IF(H$5=$E98+1,$C98,""),"")</f>
        <v/>
      </c>
      <c r="I98" s="34">
        <f>IF(AND(I$5&gt;$E98,I$5&lt;=$F98),IF(I$5=$E98+1,$C98,""),"")</f>
        <v/>
      </c>
      <c r="J98" s="34">
        <f>IF(AND(J$5&gt;$E98,J$5&lt;=$F98),IF(J$5=$E98+1,$C98,""),"")</f>
        <v/>
      </c>
      <c r="K98" s="34">
        <f>IF(AND(K$5&gt;$E98,K$5&lt;=$F98),IF(K$5=$E98+1,$C98,""),"")</f>
        <v/>
      </c>
      <c r="L98" s="34">
        <f>IF(AND(L$5&gt;$E98,L$5&lt;=$F98),IF(L$5=$E98+1,$C98,""),"")</f>
        <v/>
      </c>
      <c r="M98" s="34">
        <f>IF(AND(M$5&gt;$E98,M$5&lt;=$F98),IF(M$5=$E98+1,$C98,""),"")</f>
        <v/>
      </c>
      <c r="N98" s="34">
        <f>IF(AND(N$5&gt;$E98,N$5&lt;=$F98),IF(N$5=$E98+1,$C98,""),"")</f>
        <v/>
      </c>
      <c r="O98" s="34">
        <f>IF(AND(O$5&gt;$E98,O$5&lt;=$F98),IF(O$5=$E98+1,$C98,""),"")</f>
        <v/>
      </c>
      <c r="P98" s="34">
        <f>IF(AND(P$5&gt;$E98,P$5&lt;=$F98),IF(P$5=$E98+1,$C98,""),"")</f>
        <v/>
      </c>
      <c r="Q98" s="34">
        <f>IF(AND(Q$5&gt;$E98,Q$5&lt;=$F98),IF(Q$5=$E98+1,$C98,""),"")</f>
        <v/>
      </c>
      <c r="R98" s="34">
        <f>IF(AND(R$5&gt;$E98,R$5&lt;=$F98),IF(R$5=$E98+1,$C98,""),"")</f>
        <v/>
      </c>
      <c r="S98" s="34">
        <f>IF(AND(S$5&gt;$E98,S$5&lt;=$F98),IF(S$5=$E98+1,$C98,""),"")</f>
        <v/>
      </c>
      <c r="T98" s="34">
        <f>IF(AND(T$5&gt;$E98,T$5&lt;=$F98),IF(T$5=$E98+1,$C98,""),"")</f>
        <v/>
      </c>
      <c r="U98" s="34">
        <f>IF(AND(U$5&gt;$E98,U$5&lt;=$F98),IF(U$5=$E98+1,$C98,""),"")</f>
        <v/>
      </c>
      <c r="V98" s="34">
        <f>IF(AND(V$5&gt;$E98,V$5&lt;=$F98),IF(V$5=$E98+1,$C98,""),"")</f>
        <v/>
      </c>
      <c r="W98" s="34">
        <f>IF(AND(W$5&gt;$E98,W$5&lt;=$F98),IF(W$5=$E98+1,$C98,""),"")</f>
        <v/>
      </c>
      <c r="X98" s="34">
        <f>IF(AND(X$5&gt;$E98,X$5&lt;=$F98),IF(X$5=$E98+1,$C98,""),"")</f>
        <v/>
      </c>
      <c r="Y98" s="34">
        <f>IF(AND(Y$5&gt;$E98,Y$5&lt;=$F98),IF(Y$5=$E98+1,$C98,""),"")</f>
        <v/>
      </c>
      <c r="Z98" s="34">
        <f>IF(AND(Z$5&gt;$E98,Z$5&lt;=$F98),IF(Z$5=$E98+1,$C98,""),"")</f>
        <v/>
      </c>
      <c r="AA98" s="34">
        <f>IF(AND(AA$5&gt;$E98,AA$5&lt;=$F98),IF(AA$5=$E98+1,$C98,""),"")</f>
        <v/>
      </c>
      <c r="AB98" s="34">
        <f>IF(AND(AB$5&gt;$E98,AB$5&lt;=$F98),IF(AB$5=$E98+1,$C98,""),"")</f>
        <v/>
      </c>
      <c r="AC98" s="34">
        <f>IF(AND(AC$5&gt;$E98,AC$5&lt;=$F98),IF(AC$5=$E98+1,$C98,""),"")</f>
        <v/>
      </c>
      <c r="AD98" s="34">
        <f>IF(AND(AD$5&gt;$E98,AD$5&lt;=$F98),IF(AD$5=$E98+1,$C98,""),"")</f>
        <v/>
      </c>
      <c r="AE98" s="34">
        <f>IF(AND(AE$5&gt;$E98,AE$5&lt;=$F98),IF(AE$5=$E98+1,$C98,""),"")</f>
        <v/>
      </c>
      <c r="AF98" s="34">
        <f>IF(AND(AF$5&gt;$E98,AF$5&lt;=$F98),IF(AF$5=$E98+1,$C98,""),"")</f>
        <v/>
      </c>
      <c r="AG98" s="34">
        <f>IF(AND(AG$5&gt;$E98,AG$5&lt;=$F98),IF(AG$5=$E98+1,$C98,""),"")</f>
        <v/>
      </c>
      <c r="AH98" s="34">
        <f>IF(AND(AH$5&gt;$E98,AH$5&lt;=$F98),IF(AH$5=$E98+1,$C98,""),"")</f>
        <v/>
      </c>
      <c r="AI98" s="34">
        <f>IF(AND(AI$5&gt;$E98,AI$5&lt;=$F98),IF(AI$5=$E98+1,$C98,""),"")</f>
        <v/>
      </c>
      <c r="AJ98" s="34">
        <f>IF(AND(AJ$5&gt;$E98,AJ$5&lt;=$F98),IF(AJ$5=$E98+1,$C98,""),"")</f>
        <v/>
      </c>
      <c r="AK98" s="34">
        <f>IF(AND(AK$5&gt;$E98,AK$5&lt;=$F98),IF(AK$5=$E98+1,$C98,""),"")</f>
        <v/>
      </c>
      <c r="AL98" s="34">
        <f>IF(AND(AL$5&gt;$E98,AL$5&lt;=$F98),IF(AL$5=$E98+1,$C98,""),"")</f>
        <v/>
      </c>
      <c r="AM98" s="34">
        <f>IF(AND(AM$5&gt;$E98,AM$5&lt;=$F98),IF(AM$5=$E98+1,$C98,""),"")</f>
        <v/>
      </c>
      <c r="AN98" s="34">
        <f>IF(AND(AN$5&gt;$E98,AN$5&lt;=$F98),IF(AN$5=$E98+1,$C98,""),"")</f>
        <v/>
      </c>
      <c r="AO98" s="34">
        <f>IF(AND(AO$5&gt;$E98,AO$5&lt;=$F98),IF(AO$5=$E98+1,$C98,""),"")</f>
        <v/>
      </c>
      <c r="AP98" s="34">
        <f>IF(AND(AP$5&gt;$E98,AP$5&lt;=$F98),IF(AP$5=$E98+1,$C98,""),"")</f>
        <v/>
      </c>
      <c r="AQ98" s="34">
        <f>IF(AND(AQ$5&gt;$E98,AQ$5&lt;=$F98),IF(AQ$5=$E98+1,$C98,""),"")</f>
        <v/>
      </c>
      <c r="AR98" s="34">
        <f>IF(AND(AR$5&gt;$E98,AR$5&lt;=$F98),IF(AR$5=$E98+1,$C98,""),"")</f>
        <v/>
      </c>
      <c r="AS98" s="34">
        <f>IF(AND(AS$5&gt;$E98,AS$5&lt;=$F98),IF(AS$5=$E98+1,$C98,""),"")</f>
        <v/>
      </c>
      <c r="AT98" s="34">
        <f>IF(AND(AT$5&gt;$E98,AT$5&lt;=$F98),IF(AT$5=$E98+1,$C98,""),"")</f>
        <v/>
      </c>
      <c r="AU98" s="34">
        <f>IF(AND(AU$5&gt;$E98,AU$5&lt;=$F98),IF(AU$5=$E98+1,$C98,""),"")</f>
        <v/>
      </c>
      <c r="AV98" s="34">
        <f>IF(AND(AV$5&gt;$E98,AV$5&lt;=$F98),IF(AV$5=$E98+1,$C98,""),"")</f>
        <v/>
      </c>
      <c r="AW98" s="34">
        <f>IF(AND(AW$5&gt;$E98,AW$5&lt;=$F98),IF(AW$5=$E98+1,$C98,""),"")</f>
        <v/>
      </c>
      <c r="AX98" s="34">
        <f>IF(AND(AX$5&gt;$E98,AX$5&lt;=$F98),IF(AX$5=$E98+1,$C98,""),"")</f>
        <v/>
      </c>
      <c r="AY98" s="34">
        <f>IF(AND(AY$5&gt;$E98,AY$5&lt;=$F98),IF(AY$5=$E98+1,$C98,""),"")</f>
        <v/>
      </c>
      <c r="AZ98" s="34">
        <f>IF(AND(AZ$5&gt;$E98,AZ$5&lt;=$F98),IF(AZ$5=$E98+1,$C98,""),"")</f>
        <v/>
      </c>
      <c r="BA98" s="34">
        <f>IF(AND(BA$5&gt;$E98,BA$5&lt;=$F98),IF(BA$5=$E98+1,$C98,""),"")</f>
        <v/>
      </c>
      <c r="BB98" s="34">
        <f>IF(AND(BB$5&gt;$E98,BB$5&lt;=$F98),IF(BB$5=$E98+1,$C98,""),"")</f>
        <v/>
      </c>
      <c r="BC98" s="34">
        <f>IF(AND(BC$5&gt;$E98,BC$5&lt;=$F98),IF(BC$5=$E98+1,$C98,""),"")</f>
        <v/>
      </c>
      <c r="BD98" s="34">
        <f>IF(AND(BD$5&gt;$E98,BD$5&lt;=$F98),IF(BD$5=$E98+1,$C98,""),"")</f>
        <v/>
      </c>
      <c r="BE98" s="34">
        <f>IF(AND(BE$5&gt;$E98,BE$5&lt;=$F98),IF(BE$5=$E98+1,$C98,""),"")</f>
        <v/>
      </c>
      <c r="BF98" s="34">
        <f>IF(AND(BF$5&gt;$E98,BF$5&lt;=$F98),IF(BF$5=$E98+1,$C98,""),"")</f>
        <v/>
      </c>
      <c r="BG98" s="34">
        <f>IF(AND(BG$5&gt;$E98,BG$5&lt;=$F98),IF(BG$5=$E98+1,$C98,""),"")</f>
        <v/>
      </c>
      <c r="BH98" s="34">
        <f>IF(AND(BH$5&gt;$E98,BH$5&lt;=$F98),IF(BH$5=$E98+1,$C98,""),"")</f>
        <v/>
      </c>
      <c r="BI98" s="34">
        <f>IF(AND(BI$5&gt;$E98,BI$5&lt;=$F98),IF(BI$5=$E98+1,$C98,""),"")</f>
        <v/>
      </c>
      <c r="BJ98" s="34">
        <f>IF(AND(BJ$5&gt;$E98,BJ$5&lt;=$F98),IF(BJ$5=$E98+1,$C98,""),"")</f>
        <v/>
      </c>
      <c r="BK98" s="34">
        <f>IF(AND(BK$5&gt;$E98,BK$5&lt;=$F98),IF(BK$5=$E98+1,$C98,""),"")</f>
        <v/>
      </c>
      <c r="BL98" s="34">
        <f>IF(AND(BL$5&gt;$E98,BL$5&lt;=$F98),IF(BL$5=$E98+1,$C98,""),"")</f>
        <v/>
      </c>
      <c r="BM98" s="34">
        <f>IF(AND(BM$5&gt;$E98,BM$5&lt;=$F98),IF(BM$5=$E98+1,$C98,""),"")</f>
        <v/>
      </c>
      <c r="BN98" s="34">
        <f>IF(AND(BN$5&gt;$E98,BN$5&lt;=$F98),IF(BN$5=$E98+1,$C98,""),"")</f>
        <v/>
      </c>
      <c r="BO98" s="34">
        <f>IF(AND(BO$5&gt;$E98,BO$5&lt;=$F98),IF(BO$5=$E98+1,$C98,""),"")</f>
        <v/>
      </c>
      <c r="BP98" s="34">
        <f>IF(AND(BP$5&gt;$E98,BP$5&lt;=$F98),IF(BP$5=$E98+1,$C98,""),"")</f>
        <v/>
      </c>
      <c r="BQ98" s="34">
        <f>IF(AND(BQ$5&gt;$E98,BQ$5&lt;=$F98),IF(BQ$5=$E98+1,$C98,""),"")</f>
        <v/>
      </c>
      <c r="BR98" s="34">
        <f>IF(AND(BR$5&gt;$E98,BR$5&lt;=$F98),IF(BR$5=$E98+1,$C98,""),"")</f>
        <v/>
      </c>
      <c r="BS98" s="34">
        <f>IF(AND(BS$5&gt;$E98,BS$5&lt;=$F98),IF(BS$5=$E98+1,$C98,""),"")</f>
        <v/>
      </c>
      <c r="BT98" s="34">
        <f>IF(AND(BT$5&gt;$E98,BT$5&lt;=$F98),IF(BT$5=$E98+1,$C98,""),"")</f>
        <v/>
      </c>
      <c r="BU98" s="34">
        <f>IF(AND(BU$5&gt;$E98,BU$5&lt;=$F98),IF(BU$5=$E98+1,$C98,""),"")</f>
        <v/>
      </c>
      <c r="BV98" s="34">
        <f>IF(AND(BV$5&gt;$E98,BV$5&lt;=$F98),IF(BV$5=$E98+1,$C98,""),"")</f>
        <v/>
      </c>
      <c r="BW98" s="34">
        <f>IF(AND(BW$5&gt;$E98,BW$5&lt;=$F98),IF(BW$5=$E98+1,$C98,""),"")</f>
        <v/>
      </c>
      <c r="BX98" s="34">
        <f>IF(AND(BX$5&gt;$E98,BX$5&lt;=$F98),IF(BX$5=$E98+1,$C98,""),"")</f>
        <v/>
      </c>
      <c r="BY98" s="34">
        <f>IF(AND(BY$5&gt;$E98,BY$5&lt;=$F98),IF(BY$5=$E98+1,$C98,""),"")</f>
        <v/>
      </c>
      <c r="BZ98" s="34">
        <f>IF(AND(BZ$5&gt;$E98,BZ$5&lt;=$F98),IF(BZ$5=$E98+1,$C98,""),"")</f>
        <v/>
      </c>
      <c r="CA98" s="34">
        <f>IF(AND(CA$5&gt;$E98,CA$5&lt;=$F98),IF(CA$5=$E98+1,$C98,""),"")</f>
        <v/>
      </c>
      <c r="CB98" s="34">
        <f>IF(AND(CB$5&gt;$E98,CB$5&lt;=$F98),IF(CB$5=$E98+1,$C98,""),"")</f>
        <v/>
      </c>
      <c r="CC98" s="34">
        <f>IF(AND(CC$5&gt;$E98,CC$5&lt;=$F98),IF(CC$5=$E98+1,$C98,""),"")</f>
        <v/>
      </c>
      <c r="CD98" s="34">
        <f>IF(AND(CD$5&gt;$E98,CD$5&lt;=$F98),IF(CD$5=$E98+1,$C98,""),"")</f>
        <v/>
      </c>
      <c r="CE98" s="34">
        <f>IF(AND(CE$5&gt;$E98,CE$5&lt;=$F98),IF(CE$5=$E98+1,$C98,""),"")</f>
        <v/>
      </c>
      <c r="CF98" s="34">
        <f>IF(AND(CF$5&gt;$E98,CF$5&lt;=$F98),IF(CF$5=$E98+1,$C98,""),"")</f>
        <v/>
      </c>
      <c r="CG98" s="34">
        <f>IF(AND(CG$5&gt;$E98,CG$5&lt;=$F98),IF(CG$5=$E98+1,$C98,""),"")</f>
        <v/>
      </c>
      <c r="CH98" s="34">
        <f>IF(AND(CH$5&gt;$E98,CH$5&lt;=$F98),IF(CH$5=$E98+1,$C98,""),"")</f>
        <v/>
      </c>
      <c r="CI98" s="34">
        <f>IF(AND(CI$5&gt;$E98,CI$5&lt;=$F98),IF(CI$5=$E98+1,$C98,""),"")</f>
        <v/>
      </c>
      <c r="CJ98" s="34">
        <f>IF(AND(CJ$5&gt;$E98,CJ$5&lt;=$F98),IF(CJ$5=$E98+1,$C98,""),"")</f>
        <v/>
      </c>
      <c r="CK98" s="34">
        <f>IF(AND(CK$5&gt;$E98,CK$5&lt;=$F98),IF(CK$5=$E98+1,$C98,""),"")</f>
        <v/>
      </c>
      <c r="CL98" s="34">
        <f>IF(AND(CL$5&gt;$E98,CL$5&lt;=$F98),IF(CL$5=$E98+1,$C98,""),"")</f>
        <v/>
      </c>
      <c r="CM98" s="34">
        <f>IF(AND(CM$5&gt;$E98,CM$5&lt;=$F98),IF(CM$5=$E98+1,$C98,""),"")</f>
        <v/>
      </c>
      <c r="CN98" s="34">
        <f>IF(AND(CN$5&gt;$E98,CN$5&lt;=$F98),IF(CN$5=$E98+1,$C98,""),"")</f>
        <v/>
      </c>
      <c r="CO98" s="34">
        <f>IF(AND(CO$5&gt;$E98,CO$5&lt;=$F98),IF(CO$5=$E98+1,$C98,""),"")</f>
        <v/>
      </c>
      <c r="CP98" s="34">
        <f>IF(AND(CP$5&gt;$E98,CP$5&lt;=$F98),IF(CP$5=$E98+1,$C98,""),"")</f>
        <v/>
      </c>
      <c r="CQ98" s="34">
        <f>IF(AND(CQ$5&gt;$E98,CQ$5&lt;=$F98),IF(CQ$5=$E98+1,$C98,""),"")</f>
        <v/>
      </c>
      <c r="CR98" s="34">
        <f>IF(AND(CR$5&gt;$E98,CR$5&lt;=$F98),IF(CR$5=$E98+1,$C98,""),"")</f>
        <v/>
      </c>
      <c r="CS98" s="34">
        <f>IF(AND(CS$5&gt;$E98,CS$5&lt;=$F98),IF(CS$5=$E98+1,$C98,""),"")</f>
        <v/>
      </c>
      <c r="CT98" s="34">
        <f>IF(AND(CT$5&gt;$E98,CT$5&lt;=$F98),IF(CT$5=$E98+1,$C98,""),"")</f>
        <v/>
      </c>
      <c r="CU98" s="34">
        <f>IF(AND(CU$5&gt;$E98,CU$5&lt;=$F98),IF(CU$5=$E98+1,$C98,""),"")</f>
        <v/>
      </c>
      <c r="CV98" s="34">
        <f>IF(AND(CV$5&gt;$E98,CV$5&lt;=$F98),IF(CV$5=$E98+1,$C98,""),"")</f>
        <v/>
      </c>
      <c r="CW98" s="34">
        <f>IF(AND(CW$5&gt;$E98,CW$5&lt;=$F98),IF(CW$5=$E98+1,$C98,""),"")</f>
        <v/>
      </c>
      <c r="CX98" s="34">
        <f>IF(AND(CX$5&gt;$E98,CX$5&lt;=$F98),IF(CX$5=$E98+1,$C98,""),"")</f>
        <v/>
      </c>
      <c r="CY98" s="34">
        <f>IF(AND(CY$5&gt;$E98,CY$5&lt;=$F98),IF(CY$5=$E98+1,$C98,""),"")</f>
        <v/>
      </c>
      <c r="CZ98" s="34">
        <f>IF(AND(CZ$5&gt;$E98,CZ$5&lt;=$F98),IF(CZ$5=$E98+1,$C98,""),"")</f>
        <v/>
      </c>
      <c r="DA98" s="34">
        <f>IF(AND(DA$5&gt;$E98,DA$5&lt;=$F98),IF(DA$5=$E98+1,$C98,""),"")</f>
        <v/>
      </c>
      <c r="DB98" s="34">
        <f>IF(AND(DB$5&gt;$E98,DB$5&lt;=$F98),IF(DB$5=$E98+1,$C98,""),"")</f>
        <v/>
      </c>
      <c r="DC98" s="34">
        <f>IF(AND(DC$5&gt;$E98,DC$5&lt;=$F98),IF(DC$5=$E98+1,$C98,""),"")</f>
        <v/>
      </c>
      <c r="DD98" s="34">
        <f>IF(AND(DD$5&gt;$E98,DD$5&lt;=$F98),IF(DD$5=$E98+1,$C98,""),"")</f>
        <v/>
      </c>
      <c r="DE98" s="34">
        <f>IF(AND(DE$5&gt;$E98,DE$5&lt;=$F98),IF(DE$5=$E98+1,$C98,""),"")</f>
        <v/>
      </c>
      <c r="DF98" s="34">
        <f>IF(AND(DF$5&gt;$E98,DF$5&lt;=$F98),IF(DF$5=$E98+1,$C98,""),"")</f>
        <v/>
      </c>
      <c r="DG98" s="34">
        <f>IF(AND(DG$5&gt;$E98,DG$5&lt;=$F98),IF(DG$5=$E98+1,$C98,""),"")</f>
        <v/>
      </c>
      <c r="DH98" s="34">
        <f>IF(AND(DH$5&gt;$E98,DH$5&lt;=$F98),IF(DH$5=$E98+1,$C98,""),"")</f>
        <v/>
      </c>
      <c r="DI98" s="34">
        <f>IF(AND(DI$5&gt;$E98,DI$5&lt;=$F98),IF(DI$5=$E98+1,$C98,""),"")</f>
        <v/>
      </c>
      <c r="DJ98" s="34">
        <f>IF(AND(DJ$5&gt;$E98,DJ$5&lt;=$F98),IF(DJ$5=$E98+1,$C98,""),"")</f>
        <v/>
      </c>
      <c r="DK98" s="34">
        <f>IF(AND(DK$5&gt;$E98,DK$5&lt;=$F98),IF(DK$5=$E98+1,$C98,""),"")</f>
        <v/>
      </c>
      <c r="DL98" s="34">
        <f>IF(AND(DL$5&gt;$E98,DL$5&lt;=$F98),IF(DL$5=$E98+1,$C98,""),"")</f>
        <v/>
      </c>
      <c r="DM98" s="34">
        <f>IF(AND(DM$5&gt;$E98,DM$5&lt;=$F98),IF(DM$5=$E98+1,$C98,""),"")</f>
        <v/>
      </c>
      <c r="DN98" s="34">
        <f>IF(AND(DN$5&gt;$E98,DN$5&lt;=$F98),IF(DN$5=$E98+1,$C98,""),"")</f>
        <v/>
      </c>
      <c r="DO98" s="34">
        <f>IF(AND(DO$5&gt;$E98,DO$5&lt;=$F98),IF(DO$5=$E98+1,$C98,""),"")</f>
        <v/>
      </c>
      <c r="DP98" s="34">
        <f>IF(AND(DP$5&gt;$E98,DP$5&lt;=$F98),IF(DP$5=$E98+1,$C98,""),"")</f>
        <v/>
      </c>
      <c r="DQ98" s="34">
        <f>IF(AND(DQ$5&gt;$E98,DQ$5&lt;=$F98),IF(DQ$5=$E98+1,$C98,""),"")</f>
        <v/>
      </c>
      <c r="DR98" s="34">
        <f>IF(AND(DR$5&gt;$E98,DR$5&lt;=$F98),IF(DR$5=$E98+1,$C98,""),"")</f>
        <v/>
      </c>
      <c r="DS98" s="34">
        <f>IF(AND(DS$5&gt;$E98,DS$5&lt;=$F98),IF(DS$5=$E98+1,$C98,""),"")</f>
        <v/>
      </c>
      <c r="DT98" s="34">
        <f>IF(AND(DT$5&gt;$E98,DT$5&lt;=$F98),IF(DT$5=$E98+1,$C98,""),"")</f>
        <v/>
      </c>
      <c r="DU98" s="34">
        <f>IF(AND(DU$5&gt;$E98,DU$5&lt;=$F98),IF(DU$5=$E98+1,$C98,""),"")</f>
        <v/>
      </c>
      <c r="DV98" s="34">
        <f>IF(AND(DV$5&gt;$E98,DV$5&lt;=$F98),IF(DV$5=$E98+1,$C98,""),"")</f>
        <v/>
      </c>
      <c r="DW98" s="34">
        <f>IF(AND(DW$5&gt;$E98,DW$5&lt;=$F98),IF(DW$5=$E98+1,$C98,""),"")</f>
        <v/>
      </c>
      <c r="DX98" s="34">
        <f>IF(AND(DX$5&gt;$E98,DX$5&lt;=$F98),IF(DX$5=$E98+1,$C98,""),"")</f>
        <v/>
      </c>
      <c r="DY98" s="34">
        <f>IF(AND(DY$5&gt;$E98,DY$5&lt;=$F98),IF(DY$5=$E98+1,$C98,""),"")</f>
        <v/>
      </c>
      <c r="DZ98" s="34">
        <f>IF(AND(DZ$5&gt;$E98,DZ$5&lt;=$F98),IF(DZ$5=$E98+1,$C98,""),"")</f>
        <v/>
      </c>
      <c r="EA98" s="34">
        <f>IF(AND(EA$5&gt;$E98,EA$5&lt;=$F98),IF(EA$5=$E98+1,$C98,""),"")</f>
        <v/>
      </c>
      <c r="EB98" s="34">
        <f>IF(AND(EB$5&gt;$E98,EB$5&lt;=$F98),IF(EB$5=$E98+1,$C98,""),"")</f>
        <v/>
      </c>
      <c r="EC98" s="34">
        <f>IF(AND(EC$5&gt;$E98,EC$5&lt;=$F98),IF(EC$5=$E98+1,$C98,""),"")</f>
        <v/>
      </c>
      <c r="ED98" s="34">
        <f>IF(AND(ED$5&gt;$E98,ED$5&lt;=$F98),IF(ED$5=$E98+1,$C98,""),"")</f>
        <v/>
      </c>
      <c r="EE98" s="34">
        <f>IF(AND(EE$5&gt;$E98,EE$5&lt;=$F98),IF(EE$5=$E98+1,$C98,""),"")</f>
        <v/>
      </c>
      <c r="EF98" s="34">
        <f>IF(AND(EF$5&gt;$E98,EF$5&lt;=$F98),IF(EF$5=$E98+1,$C98,""),"")</f>
        <v/>
      </c>
      <c r="EG98" s="34">
        <f>IF(AND(EG$5&gt;$E98,EG$5&lt;=$F98),IF(EG$5=$E98+1,$C98,""),"")</f>
        <v/>
      </c>
      <c r="EH98" s="34">
        <f>IF(AND(EH$5&gt;$E98,EH$5&lt;=$F98),IF(EH$5=$E98+1,$C98,""),"")</f>
        <v/>
      </c>
      <c r="EI98" s="34">
        <f>IF(AND(EI$5&gt;$E98,EI$5&lt;=$F98),IF(EI$5=$E98+1,$C98,""),"")</f>
        <v/>
      </c>
      <c r="EJ98" s="34">
        <f>IF(AND(EJ$5&gt;$E98,EJ$5&lt;=$F98),IF(EJ$5=$E98+1,$C98,""),"")</f>
        <v/>
      </c>
      <c r="EK98" s="34">
        <f>IF(AND(EK$5&gt;$E98,EK$5&lt;=$F98),IF(EK$5=$E98+1,$C98,""),"")</f>
        <v/>
      </c>
      <c r="EL98" s="34">
        <f>IF(AND(EL$5&gt;$E98,EL$5&lt;=$F98),IF(EL$5=$E98+1,$C98,""),"")</f>
        <v/>
      </c>
      <c r="EM98" s="34">
        <f>IF(AND(EM$5&gt;$E98,EM$5&lt;=$F98),IF(EM$5=$E98+1,$C98,""),"")</f>
        <v/>
      </c>
      <c r="EN98" s="34">
        <f>IF(AND(EN$5&gt;$E98,EN$5&lt;=$F98),IF(EN$5=$E98+1,$C98,""),"")</f>
        <v/>
      </c>
      <c r="EO98" s="34">
        <f>IF(AND(EO$5&gt;$E98,EO$5&lt;=$F98),IF(EO$5=$E98+1,$C98,""),"")</f>
        <v/>
      </c>
      <c r="EP98" s="34">
        <f>IF(AND(EP$5&gt;$E98,EP$5&lt;=$F98),IF(EP$5=$E98+1,$C98,""),"")</f>
        <v/>
      </c>
      <c r="EQ98" s="34">
        <f>IF(AND(EQ$5&gt;$E98,EQ$5&lt;=$F98),IF(EQ$5=$E98+1,$C98,""),"")</f>
        <v/>
      </c>
      <c r="ER98" s="34">
        <f>IF(AND(ER$5&gt;$E98,ER$5&lt;=$F98),IF(ER$5=$E98+1,$C98,""),"")</f>
        <v/>
      </c>
      <c r="ES98" s="34">
        <f>IF(AND(ES$5&gt;$E98,ES$5&lt;=$F98),IF(ES$5=$E98+1,$C98,""),"")</f>
        <v/>
      </c>
      <c r="ET98" s="34">
        <f>IF(AND(ET$5&gt;$E98,ET$5&lt;=$F98),IF(ET$5=$E98+1,$C98,""),"")</f>
        <v/>
      </c>
      <c r="EU98" s="34">
        <f>IF(AND(EU$5&gt;$E98,EU$5&lt;=$F98),IF(EU$5=$E98+1,$C98,""),"")</f>
        <v/>
      </c>
      <c r="EV98" s="34">
        <f>IF(AND(EV$5&gt;$E98,EV$5&lt;=$F98),IF(EV$5=$E98+1,$C98,""),"")</f>
        <v/>
      </c>
      <c r="EW98" s="34">
        <f>IF(AND(EW$5&gt;$E98,EW$5&lt;=$F98),IF(EW$5=$E98+1,$C98,""),"")</f>
        <v/>
      </c>
      <c r="EX98" s="34">
        <f>IF(AND(EX$5&gt;$E98,EX$5&lt;=$F98),IF(EX$5=$E98+1,$C98,""),"")</f>
        <v/>
      </c>
      <c r="EY98" s="34">
        <f>IF(AND(EY$5&gt;$E98,EY$5&lt;=$F98),IF(EY$5=$E98+1,$C98,""),"")</f>
        <v/>
      </c>
      <c r="EZ98" s="34">
        <f>IF(AND(EZ$5&gt;$E98,EZ$5&lt;=$F98),IF(EZ$5=$E98+1,$C98,""),"")</f>
        <v/>
      </c>
      <c r="FA98" s="34">
        <f>IF(AND(FA$5&gt;$E98,FA$5&lt;=$F98),IF(FA$5=$E98+1,$C98,""),"")</f>
        <v/>
      </c>
    </row>
    <row r="99">
      <c r="A99" s="32">
        <f>Plan!A61</f>
        <v/>
      </c>
      <c r="B99" s="33">
        <f>Plan!C61</f>
        <v/>
      </c>
      <c r="C99" s="16">
        <f>Plan!D61</f>
        <v/>
      </c>
      <c r="D99" s="16">
        <f>Plan!I61</f>
        <v/>
      </c>
      <c r="E99" s="16">
        <f>Plan!K61</f>
        <v/>
      </c>
      <c r="F99" s="16">
        <f>Plan!L61</f>
        <v/>
      </c>
      <c r="G99" s="16">
        <f>Plan!O61</f>
        <v/>
      </c>
      <c r="H99" s="34">
        <f>IF(AND(H$5&gt;$E99,H$5&lt;=$F99),IF(H$5=$E99+1,$C99,""),"")</f>
        <v/>
      </c>
      <c r="I99" s="34">
        <f>IF(AND(I$5&gt;$E99,I$5&lt;=$F99),IF(I$5=$E99+1,$C99,""),"")</f>
        <v/>
      </c>
      <c r="J99" s="34">
        <f>IF(AND(J$5&gt;$E99,J$5&lt;=$F99),IF(J$5=$E99+1,$C99,""),"")</f>
        <v/>
      </c>
      <c r="K99" s="34">
        <f>IF(AND(K$5&gt;$E99,K$5&lt;=$F99),IF(K$5=$E99+1,$C99,""),"")</f>
        <v/>
      </c>
      <c r="L99" s="34">
        <f>IF(AND(L$5&gt;$E99,L$5&lt;=$F99),IF(L$5=$E99+1,$C99,""),"")</f>
        <v/>
      </c>
      <c r="M99" s="34">
        <f>IF(AND(M$5&gt;$E99,M$5&lt;=$F99),IF(M$5=$E99+1,$C99,""),"")</f>
        <v/>
      </c>
      <c r="N99" s="34">
        <f>IF(AND(N$5&gt;$E99,N$5&lt;=$F99),IF(N$5=$E99+1,$C99,""),"")</f>
        <v/>
      </c>
      <c r="O99" s="34">
        <f>IF(AND(O$5&gt;$E99,O$5&lt;=$F99),IF(O$5=$E99+1,$C99,""),"")</f>
        <v/>
      </c>
      <c r="P99" s="34">
        <f>IF(AND(P$5&gt;$E99,P$5&lt;=$F99),IF(P$5=$E99+1,$C99,""),"")</f>
        <v/>
      </c>
      <c r="Q99" s="34">
        <f>IF(AND(Q$5&gt;$E99,Q$5&lt;=$F99),IF(Q$5=$E99+1,$C99,""),"")</f>
        <v/>
      </c>
      <c r="R99" s="34">
        <f>IF(AND(R$5&gt;$E99,R$5&lt;=$F99),IF(R$5=$E99+1,$C99,""),"")</f>
        <v/>
      </c>
      <c r="S99" s="34">
        <f>IF(AND(S$5&gt;$E99,S$5&lt;=$F99),IF(S$5=$E99+1,$C99,""),"")</f>
        <v/>
      </c>
      <c r="T99" s="34">
        <f>IF(AND(T$5&gt;$E99,T$5&lt;=$F99),IF(T$5=$E99+1,$C99,""),"")</f>
        <v/>
      </c>
      <c r="U99" s="34">
        <f>IF(AND(U$5&gt;$E99,U$5&lt;=$F99),IF(U$5=$E99+1,$C99,""),"")</f>
        <v/>
      </c>
      <c r="V99" s="34">
        <f>IF(AND(V$5&gt;$E99,V$5&lt;=$F99),IF(V$5=$E99+1,$C99,""),"")</f>
        <v/>
      </c>
      <c r="W99" s="34">
        <f>IF(AND(W$5&gt;$E99,W$5&lt;=$F99),IF(W$5=$E99+1,$C99,""),"")</f>
        <v/>
      </c>
      <c r="X99" s="34">
        <f>IF(AND(X$5&gt;$E99,X$5&lt;=$F99),IF(X$5=$E99+1,$C99,""),"")</f>
        <v/>
      </c>
      <c r="Y99" s="34">
        <f>IF(AND(Y$5&gt;$E99,Y$5&lt;=$F99),IF(Y$5=$E99+1,$C99,""),"")</f>
        <v/>
      </c>
      <c r="Z99" s="34">
        <f>IF(AND(Z$5&gt;$E99,Z$5&lt;=$F99),IF(Z$5=$E99+1,$C99,""),"")</f>
        <v/>
      </c>
      <c r="AA99" s="34">
        <f>IF(AND(AA$5&gt;$E99,AA$5&lt;=$F99),IF(AA$5=$E99+1,$C99,""),"")</f>
        <v/>
      </c>
      <c r="AB99" s="34">
        <f>IF(AND(AB$5&gt;$E99,AB$5&lt;=$F99),IF(AB$5=$E99+1,$C99,""),"")</f>
        <v/>
      </c>
      <c r="AC99" s="34">
        <f>IF(AND(AC$5&gt;$E99,AC$5&lt;=$F99),IF(AC$5=$E99+1,$C99,""),"")</f>
        <v/>
      </c>
      <c r="AD99" s="34">
        <f>IF(AND(AD$5&gt;$E99,AD$5&lt;=$F99),IF(AD$5=$E99+1,$C99,""),"")</f>
        <v/>
      </c>
      <c r="AE99" s="34">
        <f>IF(AND(AE$5&gt;$E99,AE$5&lt;=$F99),IF(AE$5=$E99+1,$C99,""),"")</f>
        <v/>
      </c>
      <c r="AF99" s="34">
        <f>IF(AND(AF$5&gt;$E99,AF$5&lt;=$F99),IF(AF$5=$E99+1,$C99,""),"")</f>
        <v/>
      </c>
      <c r="AG99" s="34">
        <f>IF(AND(AG$5&gt;$E99,AG$5&lt;=$F99),IF(AG$5=$E99+1,$C99,""),"")</f>
        <v/>
      </c>
      <c r="AH99" s="34">
        <f>IF(AND(AH$5&gt;$E99,AH$5&lt;=$F99),IF(AH$5=$E99+1,$C99,""),"")</f>
        <v/>
      </c>
      <c r="AI99" s="34">
        <f>IF(AND(AI$5&gt;$E99,AI$5&lt;=$F99),IF(AI$5=$E99+1,$C99,""),"")</f>
        <v/>
      </c>
      <c r="AJ99" s="34">
        <f>IF(AND(AJ$5&gt;$E99,AJ$5&lt;=$F99),IF(AJ$5=$E99+1,$C99,""),"")</f>
        <v/>
      </c>
      <c r="AK99" s="34">
        <f>IF(AND(AK$5&gt;$E99,AK$5&lt;=$F99),IF(AK$5=$E99+1,$C99,""),"")</f>
        <v/>
      </c>
      <c r="AL99" s="34">
        <f>IF(AND(AL$5&gt;$E99,AL$5&lt;=$F99),IF(AL$5=$E99+1,$C99,""),"")</f>
        <v/>
      </c>
      <c r="AM99" s="34">
        <f>IF(AND(AM$5&gt;$E99,AM$5&lt;=$F99),IF(AM$5=$E99+1,$C99,""),"")</f>
        <v/>
      </c>
      <c r="AN99" s="34">
        <f>IF(AND(AN$5&gt;$E99,AN$5&lt;=$F99),IF(AN$5=$E99+1,$C99,""),"")</f>
        <v/>
      </c>
      <c r="AO99" s="34">
        <f>IF(AND(AO$5&gt;$E99,AO$5&lt;=$F99),IF(AO$5=$E99+1,$C99,""),"")</f>
        <v/>
      </c>
      <c r="AP99" s="34">
        <f>IF(AND(AP$5&gt;$E99,AP$5&lt;=$F99),IF(AP$5=$E99+1,$C99,""),"")</f>
        <v/>
      </c>
      <c r="AQ99" s="34">
        <f>IF(AND(AQ$5&gt;$E99,AQ$5&lt;=$F99),IF(AQ$5=$E99+1,$C99,""),"")</f>
        <v/>
      </c>
      <c r="AR99" s="34">
        <f>IF(AND(AR$5&gt;$E99,AR$5&lt;=$F99),IF(AR$5=$E99+1,$C99,""),"")</f>
        <v/>
      </c>
      <c r="AS99" s="34">
        <f>IF(AND(AS$5&gt;$E99,AS$5&lt;=$F99),IF(AS$5=$E99+1,$C99,""),"")</f>
        <v/>
      </c>
      <c r="AT99" s="34">
        <f>IF(AND(AT$5&gt;$E99,AT$5&lt;=$F99),IF(AT$5=$E99+1,$C99,""),"")</f>
        <v/>
      </c>
      <c r="AU99" s="34">
        <f>IF(AND(AU$5&gt;$E99,AU$5&lt;=$F99),IF(AU$5=$E99+1,$C99,""),"")</f>
        <v/>
      </c>
      <c r="AV99" s="34">
        <f>IF(AND(AV$5&gt;$E99,AV$5&lt;=$F99),IF(AV$5=$E99+1,$C99,""),"")</f>
        <v/>
      </c>
      <c r="AW99" s="34">
        <f>IF(AND(AW$5&gt;$E99,AW$5&lt;=$F99),IF(AW$5=$E99+1,$C99,""),"")</f>
        <v/>
      </c>
      <c r="AX99" s="34">
        <f>IF(AND(AX$5&gt;$E99,AX$5&lt;=$F99),IF(AX$5=$E99+1,$C99,""),"")</f>
        <v/>
      </c>
      <c r="AY99" s="34">
        <f>IF(AND(AY$5&gt;$E99,AY$5&lt;=$F99),IF(AY$5=$E99+1,$C99,""),"")</f>
        <v/>
      </c>
      <c r="AZ99" s="34">
        <f>IF(AND(AZ$5&gt;$E99,AZ$5&lt;=$F99),IF(AZ$5=$E99+1,$C99,""),"")</f>
        <v/>
      </c>
      <c r="BA99" s="34">
        <f>IF(AND(BA$5&gt;$E99,BA$5&lt;=$F99),IF(BA$5=$E99+1,$C99,""),"")</f>
        <v/>
      </c>
      <c r="BB99" s="34">
        <f>IF(AND(BB$5&gt;$E99,BB$5&lt;=$F99),IF(BB$5=$E99+1,$C99,""),"")</f>
        <v/>
      </c>
      <c r="BC99" s="34">
        <f>IF(AND(BC$5&gt;$E99,BC$5&lt;=$F99),IF(BC$5=$E99+1,$C99,""),"")</f>
        <v/>
      </c>
      <c r="BD99" s="34">
        <f>IF(AND(BD$5&gt;$E99,BD$5&lt;=$F99),IF(BD$5=$E99+1,$C99,""),"")</f>
        <v/>
      </c>
      <c r="BE99" s="34">
        <f>IF(AND(BE$5&gt;$E99,BE$5&lt;=$F99),IF(BE$5=$E99+1,$C99,""),"")</f>
        <v/>
      </c>
      <c r="BF99" s="34">
        <f>IF(AND(BF$5&gt;$E99,BF$5&lt;=$F99),IF(BF$5=$E99+1,$C99,""),"")</f>
        <v/>
      </c>
      <c r="BG99" s="34">
        <f>IF(AND(BG$5&gt;$E99,BG$5&lt;=$F99),IF(BG$5=$E99+1,$C99,""),"")</f>
        <v/>
      </c>
      <c r="BH99" s="34">
        <f>IF(AND(BH$5&gt;$E99,BH$5&lt;=$F99),IF(BH$5=$E99+1,$C99,""),"")</f>
        <v/>
      </c>
      <c r="BI99" s="34">
        <f>IF(AND(BI$5&gt;$E99,BI$5&lt;=$F99),IF(BI$5=$E99+1,$C99,""),"")</f>
        <v/>
      </c>
      <c r="BJ99" s="34">
        <f>IF(AND(BJ$5&gt;$E99,BJ$5&lt;=$F99),IF(BJ$5=$E99+1,$C99,""),"")</f>
        <v/>
      </c>
      <c r="BK99" s="34">
        <f>IF(AND(BK$5&gt;$E99,BK$5&lt;=$F99),IF(BK$5=$E99+1,$C99,""),"")</f>
        <v/>
      </c>
      <c r="BL99" s="34">
        <f>IF(AND(BL$5&gt;$E99,BL$5&lt;=$F99),IF(BL$5=$E99+1,$C99,""),"")</f>
        <v/>
      </c>
      <c r="BM99" s="34">
        <f>IF(AND(BM$5&gt;$E99,BM$5&lt;=$F99),IF(BM$5=$E99+1,$C99,""),"")</f>
        <v/>
      </c>
      <c r="BN99" s="34">
        <f>IF(AND(BN$5&gt;$E99,BN$5&lt;=$F99),IF(BN$5=$E99+1,$C99,""),"")</f>
        <v/>
      </c>
      <c r="BO99" s="34">
        <f>IF(AND(BO$5&gt;$E99,BO$5&lt;=$F99),IF(BO$5=$E99+1,$C99,""),"")</f>
        <v/>
      </c>
      <c r="BP99" s="34">
        <f>IF(AND(BP$5&gt;$E99,BP$5&lt;=$F99),IF(BP$5=$E99+1,$C99,""),"")</f>
        <v/>
      </c>
      <c r="BQ99" s="34">
        <f>IF(AND(BQ$5&gt;$E99,BQ$5&lt;=$F99),IF(BQ$5=$E99+1,$C99,""),"")</f>
        <v/>
      </c>
      <c r="BR99" s="34">
        <f>IF(AND(BR$5&gt;$E99,BR$5&lt;=$F99),IF(BR$5=$E99+1,$C99,""),"")</f>
        <v/>
      </c>
      <c r="BS99" s="34">
        <f>IF(AND(BS$5&gt;$E99,BS$5&lt;=$F99),IF(BS$5=$E99+1,$C99,""),"")</f>
        <v/>
      </c>
      <c r="BT99" s="34">
        <f>IF(AND(BT$5&gt;$E99,BT$5&lt;=$F99),IF(BT$5=$E99+1,$C99,""),"")</f>
        <v/>
      </c>
      <c r="BU99" s="34">
        <f>IF(AND(BU$5&gt;$E99,BU$5&lt;=$F99),IF(BU$5=$E99+1,$C99,""),"")</f>
        <v/>
      </c>
      <c r="BV99" s="34">
        <f>IF(AND(BV$5&gt;$E99,BV$5&lt;=$F99),IF(BV$5=$E99+1,$C99,""),"")</f>
        <v/>
      </c>
      <c r="BW99" s="34">
        <f>IF(AND(BW$5&gt;$E99,BW$5&lt;=$F99),IF(BW$5=$E99+1,$C99,""),"")</f>
        <v/>
      </c>
      <c r="BX99" s="34">
        <f>IF(AND(BX$5&gt;$E99,BX$5&lt;=$F99),IF(BX$5=$E99+1,$C99,""),"")</f>
        <v/>
      </c>
      <c r="BY99" s="34">
        <f>IF(AND(BY$5&gt;$E99,BY$5&lt;=$F99),IF(BY$5=$E99+1,$C99,""),"")</f>
        <v/>
      </c>
      <c r="BZ99" s="34">
        <f>IF(AND(BZ$5&gt;$E99,BZ$5&lt;=$F99),IF(BZ$5=$E99+1,$C99,""),"")</f>
        <v/>
      </c>
      <c r="CA99" s="34">
        <f>IF(AND(CA$5&gt;$E99,CA$5&lt;=$F99),IF(CA$5=$E99+1,$C99,""),"")</f>
        <v/>
      </c>
      <c r="CB99" s="34">
        <f>IF(AND(CB$5&gt;$E99,CB$5&lt;=$F99),IF(CB$5=$E99+1,$C99,""),"")</f>
        <v/>
      </c>
      <c r="CC99" s="34">
        <f>IF(AND(CC$5&gt;$E99,CC$5&lt;=$F99),IF(CC$5=$E99+1,$C99,""),"")</f>
        <v/>
      </c>
      <c r="CD99" s="34">
        <f>IF(AND(CD$5&gt;$E99,CD$5&lt;=$F99),IF(CD$5=$E99+1,$C99,""),"")</f>
        <v/>
      </c>
      <c r="CE99" s="34">
        <f>IF(AND(CE$5&gt;$E99,CE$5&lt;=$F99),IF(CE$5=$E99+1,$C99,""),"")</f>
        <v/>
      </c>
      <c r="CF99" s="34">
        <f>IF(AND(CF$5&gt;$E99,CF$5&lt;=$F99),IF(CF$5=$E99+1,$C99,""),"")</f>
        <v/>
      </c>
      <c r="CG99" s="34">
        <f>IF(AND(CG$5&gt;$E99,CG$5&lt;=$F99),IF(CG$5=$E99+1,$C99,""),"")</f>
        <v/>
      </c>
      <c r="CH99" s="34">
        <f>IF(AND(CH$5&gt;$E99,CH$5&lt;=$F99),IF(CH$5=$E99+1,$C99,""),"")</f>
        <v/>
      </c>
      <c r="CI99" s="34">
        <f>IF(AND(CI$5&gt;$E99,CI$5&lt;=$F99),IF(CI$5=$E99+1,$C99,""),"")</f>
        <v/>
      </c>
      <c r="CJ99" s="34">
        <f>IF(AND(CJ$5&gt;$E99,CJ$5&lt;=$F99),IF(CJ$5=$E99+1,$C99,""),"")</f>
        <v/>
      </c>
      <c r="CK99" s="34">
        <f>IF(AND(CK$5&gt;$E99,CK$5&lt;=$F99),IF(CK$5=$E99+1,$C99,""),"")</f>
        <v/>
      </c>
      <c r="CL99" s="34">
        <f>IF(AND(CL$5&gt;$E99,CL$5&lt;=$F99),IF(CL$5=$E99+1,$C99,""),"")</f>
        <v/>
      </c>
      <c r="CM99" s="34">
        <f>IF(AND(CM$5&gt;$E99,CM$5&lt;=$F99),IF(CM$5=$E99+1,$C99,""),"")</f>
        <v/>
      </c>
      <c r="CN99" s="34">
        <f>IF(AND(CN$5&gt;$E99,CN$5&lt;=$F99),IF(CN$5=$E99+1,$C99,""),"")</f>
        <v/>
      </c>
      <c r="CO99" s="34">
        <f>IF(AND(CO$5&gt;$E99,CO$5&lt;=$F99),IF(CO$5=$E99+1,$C99,""),"")</f>
        <v/>
      </c>
      <c r="CP99" s="34">
        <f>IF(AND(CP$5&gt;$E99,CP$5&lt;=$F99),IF(CP$5=$E99+1,$C99,""),"")</f>
        <v/>
      </c>
      <c r="CQ99" s="34">
        <f>IF(AND(CQ$5&gt;$E99,CQ$5&lt;=$F99),IF(CQ$5=$E99+1,$C99,""),"")</f>
        <v/>
      </c>
      <c r="CR99" s="34">
        <f>IF(AND(CR$5&gt;$E99,CR$5&lt;=$F99),IF(CR$5=$E99+1,$C99,""),"")</f>
        <v/>
      </c>
      <c r="CS99" s="34">
        <f>IF(AND(CS$5&gt;$E99,CS$5&lt;=$F99),IF(CS$5=$E99+1,$C99,""),"")</f>
        <v/>
      </c>
      <c r="CT99" s="34">
        <f>IF(AND(CT$5&gt;$E99,CT$5&lt;=$F99),IF(CT$5=$E99+1,$C99,""),"")</f>
        <v/>
      </c>
      <c r="CU99" s="34">
        <f>IF(AND(CU$5&gt;$E99,CU$5&lt;=$F99),IF(CU$5=$E99+1,$C99,""),"")</f>
        <v/>
      </c>
      <c r="CV99" s="34">
        <f>IF(AND(CV$5&gt;$E99,CV$5&lt;=$F99),IF(CV$5=$E99+1,$C99,""),"")</f>
        <v/>
      </c>
      <c r="CW99" s="34">
        <f>IF(AND(CW$5&gt;$E99,CW$5&lt;=$F99),IF(CW$5=$E99+1,$C99,""),"")</f>
        <v/>
      </c>
      <c r="CX99" s="34">
        <f>IF(AND(CX$5&gt;$E99,CX$5&lt;=$F99),IF(CX$5=$E99+1,$C99,""),"")</f>
        <v/>
      </c>
      <c r="CY99" s="34">
        <f>IF(AND(CY$5&gt;$E99,CY$5&lt;=$F99),IF(CY$5=$E99+1,$C99,""),"")</f>
        <v/>
      </c>
      <c r="CZ99" s="34">
        <f>IF(AND(CZ$5&gt;$E99,CZ$5&lt;=$F99),IF(CZ$5=$E99+1,$C99,""),"")</f>
        <v/>
      </c>
      <c r="DA99" s="34">
        <f>IF(AND(DA$5&gt;$E99,DA$5&lt;=$F99),IF(DA$5=$E99+1,$C99,""),"")</f>
        <v/>
      </c>
      <c r="DB99" s="34">
        <f>IF(AND(DB$5&gt;$E99,DB$5&lt;=$F99),IF(DB$5=$E99+1,$C99,""),"")</f>
        <v/>
      </c>
      <c r="DC99" s="34">
        <f>IF(AND(DC$5&gt;$E99,DC$5&lt;=$F99),IF(DC$5=$E99+1,$C99,""),"")</f>
        <v/>
      </c>
      <c r="DD99" s="34">
        <f>IF(AND(DD$5&gt;$E99,DD$5&lt;=$F99),IF(DD$5=$E99+1,$C99,""),"")</f>
        <v/>
      </c>
      <c r="DE99" s="34">
        <f>IF(AND(DE$5&gt;$E99,DE$5&lt;=$F99),IF(DE$5=$E99+1,$C99,""),"")</f>
        <v/>
      </c>
      <c r="DF99" s="34">
        <f>IF(AND(DF$5&gt;$E99,DF$5&lt;=$F99),IF(DF$5=$E99+1,$C99,""),"")</f>
        <v/>
      </c>
      <c r="DG99" s="34">
        <f>IF(AND(DG$5&gt;$E99,DG$5&lt;=$F99),IF(DG$5=$E99+1,$C99,""),"")</f>
        <v/>
      </c>
      <c r="DH99" s="34">
        <f>IF(AND(DH$5&gt;$E99,DH$5&lt;=$F99),IF(DH$5=$E99+1,$C99,""),"")</f>
        <v/>
      </c>
      <c r="DI99" s="34">
        <f>IF(AND(DI$5&gt;$E99,DI$5&lt;=$F99),IF(DI$5=$E99+1,$C99,""),"")</f>
        <v/>
      </c>
      <c r="DJ99" s="34">
        <f>IF(AND(DJ$5&gt;$E99,DJ$5&lt;=$F99),IF(DJ$5=$E99+1,$C99,""),"")</f>
        <v/>
      </c>
      <c r="DK99" s="34">
        <f>IF(AND(DK$5&gt;$E99,DK$5&lt;=$F99),IF(DK$5=$E99+1,$C99,""),"")</f>
        <v/>
      </c>
      <c r="DL99" s="34">
        <f>IF(AND(DL$5&gt;$E99,DL$5&lt;=$F99),IF(DL$5=$E99+1,$C99,""),"")</f>
        <v/>
      </c>
      <c r="DM99" s="34">
        <f>IF(AND(DM$5&gt;$E99,DM$5&lt;=$F99),IF(DM$5=$E99+1,$C99,""),"")</f>
        <v/>
      </c>
      <c r="DN99" s="34">
        <f>IF(AND(DN$5&gt;$E99,DN$5&lt;=$F99),IF(DN$5=$E99+1,$C99,""),"")</f>
        <v/>
      </c>
      <c r="DO99" s="34">
        <f>IF(AND(DO$5&gt;$E99,DO$5&lt;=$F99),IF(DO$5=$E99+1,$C99,""),"")</f>
        <v/>
      </c>
      <c r="DP99" s="34">
        <f>IF(AND(DP$5&gt;$E99,DP$5&lt;=$F99),IF(DP$5=$E99+1,$C99,""),"")</f>
        <v/>
      </c>
      <c r="DQ99" s="34">
        <f>IF(AND(DQ$5&gt;$E99,DQ$5&lt;=$F99),IF(DQ$5=$E99+1,$C99,""),"")</f>
        <v/>
      </c>
      <c r="DR99" s="34">
        <f>IF(AND(DR$5&gt;$E99,DR$5&lt;=$F99),IF(DR$5=$E99+1,$C99,""),"")</f>
        <v/>
      </c>
      <c r="DS99" s="34">
        <f>IF(AND(DS$5&gt;$E99,DS$5&lt;=$F99),IF(DS$5=$E99+1,$C99,""),"")</f>
        <v/>
      </c>
      <c r="DT99" s="34">
        <f>IF(AND(DT$5&gt;$E99,DT$5&lt;=$F99),IF(DT$5=$E99+1,$C99,""),"")</f>
        <v/>
      </c>
      <c r="DU99" s="34">
        <f>IF(AND(DU$5&gt;$E99,DU$5&lt;=$F99),IF(DU$5=$E99+1,$C99,""),"")</f>
        <v/>
      </c>
      <c r="DV99" s="34">
        <f>IF(AND(DV$5&gt;$E99,DV$5&lt;=$F99),IF(DV$5=$E99+1,$C99,""),"")</f>
        <v/>
      </c>
      <c r="DW99" s="34">
        <f>IF(AND(DW$5&gt;$E99,DW$5&lt;=$F99),IF(DW$5=$E99+1,$C99,""),"")</f>
        <v/>
      </c>
      <c r="DX99" s="34">
        <f>IF(AND(DX$5&gt;$E99,DX$5&lt;=$F99),IF(DX$5=$E99+1,$C99,""),"")</f>
        <v/>
      </c>
      <c r="DY99" s="34">
        <f>IF(AND(DY$5&gt;$E99,DY$5&lt;=$F99),IF(DY$5=$E99+1,$C99,""),"")</f>
        <v/>
      </c>
      <c r="DZ99" s="34">
        <f>IF(AND(DZ$5&gt;$E99,DZ$5&lt;=$F99),IF(DZ$5=$E99+1,$C99,""),"")</f>
        <v/>
      </c>
      <c r="EA99" s="34">
        <f>IF(AND(EA$5&gt;$E99,EA$5&lt;=$F99),IF(EA$5=$E99+1,$C99,""),"")</f>
        <v/>
      </c>
      <c r="EB99" s="34">
        <f>IF(AND(EB$5&gt;$E99,EB$5&lt;=$F99),IF(EB$5=$E99+1,$C99,""),"")</f>
        <v/>
      </c>
      <c r="EC99" s="34">
        <f>IF(AND(EC$5&gt;$E99,EC$5&lt;=$F99),IF(EC$5=$E99+1,$C99,""),"")</f>
        <v/>
      </c>
      <c r="ED99" s="34">
        <f>IF(AND(ED$5&gt;$E99,ED$5&lt;=$F99),IF(ED$5=$E99+1,$C99,""),"")</f>
        <v/>
      </c>
      <c r="EE99" s="34">
        <f>IF(AND(EE$5&gt;$E99,EE$5&lt;=$F99),IF(EE$5=$E99+1,$C99,""),"")</f>
        <v/>
      </c>
      <c r="EF99" s="34">
        <f>IF(AND(EF$5&gt;$E99,EF$5&lt;=$F99),IF(EF$5=$E99+1,$C99,""),"")</f>
        <v/>
      </c>
      <c r="EG99" s="34">
        <f>IF(AND(EG$5&gt;$E99,EG$5&lt;=$F99),IF(EG$5=$E99+1,$C99,""),"")</f>
        <v/>
      </c>
      <c r="EH99" s="34">
        <f>IF(AND(EH$5&gt;$E99,EH$5&lt;=$F99),IF(EH$5=$E99+1,$C99,""),"")</f>
        <v/>
      </c>
      <c r="EI99" s="34">
        <f>IF(AND(EI$5&gt;$E99,EI$5&lt;=$F99),IF(EI$5=$E99+1,$C99,""),"")</f>
        <v/>
      </c>
      <c r="EJ99" s="34">
        <f>IF(AND(EJ$5&gt;$E99,EJ$5&lt;=$F99),IF(EJ$5=$E99+1,$C99,""),"")</f>
        <v/>
      </c>
      <c r="EK99" s="34">
        <f>IF(AND(EK$5&gt;$E99,EK$5&lt;=$F99),IF(EK$5=$E99+1,$C99,""),"")</f>
        <v/>
      </c>
      <c r="EL99" s="34">
        <f>IF(AND(EL$5&gt;$E99,EL$5&lt;=$F99),IF(EL$5=$E99+1,$C99,""),"")</f>
        <v/>
      </c>
      <c r="EM99" s="34">
        <f>IF(AND(EM$5&gt;$E99,EM$5&lt;=$F99),IF(EM$5=$E99+1,$C99,""),"")</f>
        <v/>
      </c>
      <c r="EN99" s="34">
        <f>IF(AND(EN$5&gt;$E99,EN$5&lt;=$F99),IF(EN$5=$E99+1,$C99,""),"")</f>
        <v/>
      </c>
      <c r="EO99" s="34">
        <f>IF(AND(EO$5&gt;$E99,EO$5&lt;=$F99),IF(EO$5=$E99+1,$C99,""),"")</f>
        <v/>
      </c>
      <c r="EP99" s="34">
        <f>IF(AND(EP$5&gt;$E99,EP$5&lt;=$F99),IF(EP$5=$E99+1,$C99,""),"")</f>
        <v/>
      </c>
      <c r="EQ99" s="34">
        <f>IF(AND(EQ$5&gt;$E99,EQ$5&lt;=$F99),IF(EQ$5=$E99+1,$C99,""),"")</f>
        <v/>
      </c>
      <c r="ER99" s="34">
        <f>IF(AND(ER$5&gt;$E99,ER$5&lt;=$F99),IF(ER$5=$E99+1,$C99,""),"")</f>
        <v/>
      </c>
      <c r="ES99" s="34">
        <f>IF(AND(ES$5&gt;$E99,ES$5&lt;=$F99),IF(ES$5=$E99+1,$C99,""),"")</f>
        <v/>
      </c>
      <c r="ET99" s="34">
        <f>IF(AND(ET$5&gt;$E99,ET$5&lt;=$F99),IF(ET$5=$E99+1,$C99,""),"")</f>
        <v/>
      </c>
      <c r="EU99" s="34">
        <f>IF(AND(EU$5&gt;$E99,EU$5&lt;=$F99),IF(EU$5=$E99+1,$C99,""),"")</f>
        <v/>
      </c>
      <c r="EV99" s="34">
        <f>IF(AND(EV$5&gt;$E99,EV$5&lt;=$F99),IF(EV$5=$E99+1,$C99,""),"")</f>
        <v/>
      </c>
      <c r="EW99" s="34">
        <f>IF(AND(EW$5&gt;$E99,EW$5&lt;=$F99),IF(EW$5=$E99+1,$C99,""),"")</f>
        <v/>
      </c>
      <c r="EX99" s="34">
        <f>IF(AND(EX$5&gt;$E99,EX$5&lt;=$F99),IF(EX$5=$E99+1,$C99,""),"")</f>
        <v/>
      </c>
      <c r="EY99" s="34">
        <f>IF(AND(EY$5&gt;$E99,EY$5&lt;=$F99),IF(EY$5=$E99+1,$C99,""),"")</f>
        <v/>
      </c>
      <c r="EZ99" s="34">
        <f>IF(AND(EZ$5&gt;$E99,EZ$5&lt;=$F99),IF(EZ$5=$E99+1,$C99,""),"")</f>
        <v/>
      </c>
      <c r="FA99" s="34">
        <f>IF(AND(FA$5&gt;$E99,FA$5&lt;=$F99),IF(FA$5=$E99+1,$C99,""),"")</f>
        <v/>
      </c>
    </row>
    <row r="100">
      <c r="A100" s="32">
        <f>Plan!A62</f>
        <v/>
      </c>
      <c r="B100" s="33">
        <f>Plan!C62</f>
        <v/>
      </c>
      <c r="C100" s="16">
        <f>Plan!D62</f>
        <v/>
      </c>
      <c r="D100" s="16">
        <f>Plan!I62</f>
        <v/>
      </c>
      <c r="E100" s="16">
        <f>Plan!K62</f>
        <v/>
      </c>
      <c r="F100" s="16">
        <f>Plan!L62</f>
        <v/>
      </c>
      <c r="G100" s="16">
        <f>Plan!O62</f>
        <v/>
      </c>
      <c r="H100" s="34">
        <f>IF(AND(H$5&gt;$E100,H$5&lt;=$F100),IF(H$5=$E100+1,$C100,""),"")</f>
        <v/>
      </c>
      <c r="I100" s="34">
        <f>IF(AND(I$5&gt;$E100,I$5&lt;=$F100),IF(I$5=$E100+1,$C100,""),"")</f>
        <v/>
      </c>
      <c r="J100" s="34">
        <f>IF(AND(J$5&gt;$E100,J$5&lt;=$F100),IF(J$5=$E100+1,$C100,""),"")</f>
        <v/>
      </c>
      <c r="K100" s="34">
        <f>IF(AND(K$5&gt;$E100,K$5&lt;=$F100),IF(K$5=$E100+1,$C100,""),"")</f>
        <v/>
      </c>
      <c r="L100" s="34">
        <f>IF(AND(L$5&gt;$E100,L$5&lt;=$F100),IF(L$5=$E100+1,$C100,""),"")</f>
        <v/>
      </c>
      <c r="M100" s="34">
        <f>IF(AND(M$5&gt;$E100,M$5&lt;=$F100),IF(M$5=$E100+1,$C100,""),"")</f>
        <v/>
      </c>
      <c r="N100" s="34">
        <f>IF(AND(N$5&gt;$E100,N$5&lt;=$F100),IF(N$5=$E100+1,$C100,""),"")</f>
        <v/>
      </c>
      <c r="O100" s="34">
        <f>IF(AND(O$5&gt;$E100,O$5&lt;=$F100),IF(O$5=$E100+1,$C100,""),"")</f>
        <v/>
      </c>
      <c r="P100" s="34">
        <f>IF(AND(P$5&gt;$E100,P$5&lt;=$F100),IF(P$5=$E100+1,$C100,""),"")</f>
        <v/>
      </c>
      <c r="Q100" s="34">
        <f>IF(AND(Q$5&gt;$E100,Q$5&lt;=$F100),IF(Q$5=$E100+1,$C100,""),"")</f>
        <v/>
      </c>
      <c r="R100" s="34">
        <f>IF(AND(R$5&gt;$E100,R$5&lt;=$F100),IF(R$5=$E100+1,$C100,""),"")</f>
        <v/>
      </c>
      <c r="S100" s="34">
        <f>IF(AND(S$5&gt;$E100,S$5&lt;=$F100),IF(S$5=$E100+1,$C100,""),"")</f>
        <v/>
      </c>
      <c r="T100" s="34">
        <f>IF(AND(T$5&gt;$E100,T$5&lt;=$F100),IF(T$5=$E100+1,$C100,""),"")</f>
        <v/>
      </c>
      <c r="U100" s="34">
        <f>IF(AND(U$5&gt;$E100,U$5&lt;=$F100),IF(U$5=$E100+1,$C100,""),"")</f>
        <v/>
      </c>
      <c r="V100" s="34">
        <f>IF(AND(V$5&gt;$E100,V$5&lt;=$F100),IF(V$5=$E100+1,$C100,""),"")</f>
        <v/>
      </c>
      <c r="W100" s="34">
        <f>IF(AND(W$5&gt;$E100,W$5&lt;=$F100),IF(W$5=$E100+1,$C100,""),"")</f>
        <v/>
      </c>
      <c r="X100" s="34">
        <f>IF(AND(X$5&gt;$E100,X$5&lt;=$F100),IF(X$5=$E100+1,$C100,""),"")</f>
        <v/>
      </c>
      <c r="Y100" s="34">
        <f>IF(AND(Y$5&gt;$E100,Y$5&lt;=$F100),IF(Y$5=$E100+1,$C100,""),"")</f>
        <v/>
      </c>
      <c r="Z100" s="34">
        <f>IF(AND(Z$5&gt;$E100,Z$5&lt;=$F100),IF(Z$5=$E100+1,$C100,""),"")</f>
        <v/>
      </c>
      <c r="AA100" s="34">
        <f>IF(AND(AA$5&gt;$E100,AA$5&lt;=$F100),IF(AA$5=$E100+1,$C100,""),"")</f>
        <v/>
      </c>
      <c r="AB100" s="34">
        <f>IF(AND(AB$5&gt;$E100,AB$5&lt;=$F100),IF(AB$5=$E100+1,$C100,""),"")</f>
        <v/>
      </c>
      <c r="AC100" s="34">
        <f>IF(AND(AC$5&gt;$E100,AC$5&lt;=$F100),IF(AC$5=$E100+1,$C100,""),"")</f>
        <v/>
      </c>
      <c r="AD100" s="34">
        <f>IF(AND(AD$5&gt;$E100,AD$5&lt;=$F100),IF(AD$5=$E100+1,$C100,""),"")</f>
        <v/>
      </c>
      <c r="AE100" s="34">
        <f>IF(AND(AE$5&gt;$E100,AE$5&lt;=$F100),IF(AE$5=$E100+1,$C100,""),"")</f>
        <v/>
      </c>
      <c r="AF100" s="34">
        <f>IF(AND(AF$5&gt;$E100,AF$5&lt;=$F100),IF(AF$5=$E100+1,$C100,""),"")</f>
        <v/>
      </c>
      <c r="AG100" s="34">
        <f>IF(AND(AG$5&gt;$E100,AG$5&lt;=$F100),IF(AG$5=$E100+1,$C100,""),"")</f>
        <v/>
      </c>
      <c r="AH100" s="34">
        <f>IF(AND(AH$5&gt;$E100,AH$5&lt;=$F100),IF(AH$5=$E100+1,$C100,""),"")</f>
        <v/>
      </c>
      <c r="AI100" s="34">
        <f>IF(AND(AI$5&gt;$E100,AI$5&lt;=$F100),IF(AI$5=$E100+1,$C100,""),"")</f>
        <v/>
      </c>
      <c r="AJ100" s="34">
        <f>IF(AND(AJ$5&gt;$E100,AJ$5&lt;=$F100),IF(AJ$5=$E100+1,$C100,""),"")</f>
        <v/>
      </c>
      <c r="AK100" s="34">
        <f>IF(AND(AK$5&gt;$E100,AK$5&lt;=$F100),IF(AK$5=$E100+1,$C100,""),"")</f>
        <v/>
      </c>
      <c r="AL100" s="34">
        <f>IF(AND(AL$5&gt;$E100,AL$5&lt;=$F100),IF(AL$5=$E100+1,$C100,""),"")</f>
        <v/>
      </c>
      <c r="AM100" s="34">
        <f>IF(AND(AM$5&gt;$E100,AM$5&lt;=$F100),IF(AM$5=$E100+1,$C100,""),"")</f>
        <v/>
      </c>
      <c r="AN100" s="34">
        <f>IF(AND(AN$5&gt;$E100,AN$5&lt;=$F100),IF(AN$5=$E100+1,$C100,""),"")</f>
        <v/>
      </c>
      <c r="AO100" s="34">
        <f>IF(AND(AO$5&gt;$E100,AO$5&lt;=$F100),IF(AO$5=$E100+1,$C100,""),"")</f>
        <v/>
      </c>
      <c r="AP100" s="34">
        <f>IF(AND(AP$5&gt;$E100,AP$5&lt;=$F100),IF(AP$5=$E100+1,$C100,""),"")</f>
        <v/>
      </c>
      <c r="AQ100" s="34">
        <f>IF(AND(AQ$5&gt;$E100,AQ$5&lt;=$F100),IF(AQ$5=$E100+1,$C100,""),"")</f>
        <v/>
      </c>
      <c r="AR100" s="34">
        <f>IF(AND(AR$5&gt;$E100,AR$5&lt;=$F100),IF(AR$5=$E100+1,$C100,""),"")</f>
        <v/>
      </c>
      <c r="AS100" s="34">
        <f>IF(AND(AS$5&gt;$E100,AS$5&lt;=$F100),IF(AS$5=$E100+1,$C100,""),"")</f>
        <v/>
      </c>
      <c r="AT100" s="34">
        <f>IF(AND(AT$5&gt;$E100,AT$5&lt;=$F100),IF(AT$5=$E100+1,$C100,""),"")</f>
        <v/>
      </c>
      <c r="AU100" s="34">
        <f>IF(AND(AU$5&gt;$E100,AU$5&lt;=$F100),IF(AU$5=$E100+1,$C100,""),"")</f>
        <v/>
      </c>
      <c r="AV100" s="34">
        <f>IF(AND(AV$5&gt;$E100,AV$5&lt;=$F100),IF(AV$5=$E100+1,$C100,""),"")</f>
        <v/>
      </c>
      <c r="AW100" s="34">
        <f>IF(AND(AW$5&gt;$E100,AW$5&lt;=$F100),IF(AW$5=$E100+1,$C100,""),"")</f>
        <v/>
      </c>
      <c r="AX100" s="34">
        <f>IF(AND(AX$5&gt;$E100,AX$5&lt;=$F100),IF(AX$5=$E100+1,$C100,""),"")</f>
        <v/>
      </c>
      <c r="AY100" s="34">
        <f>IF(AND(AY$5&gt;$E100,AY$5&lt;=$F100),IF(AY$5=$E100+1,$C100,""),"")</f>
        <v/>
      </c>
      <c r="AZ100" s="34">
        <f>IF(AND(AZ$5&gt;$E100,AZ$5&lt;=$F100),IF(AZ$5=$E100+1,$C100,""),"")</f>
        <v/>
      </c>
      <c r="BA100" s="34">
        <f>IF(AND(BA$5&gt;$E100,BA$5&lt;=$F100),IF(BA$5=$E100+1,$C100,""),"")</f>
        <v/>
      </c>
      <c r="BB100" s="34">
        <f>IF(AND(BB$5&gt;$E100,BB$5&lt;=$F100),IF(BB$5=$E100+1,$C100,""),"")</f>
        <v/>
      </c>
      <c r="BC100" s="34">
        <f>IF(AND(BC$5&gt;$E100,BC$5&lt;=$F100),IF(BC$5=$E100+1,$C100,""),"")</f>
        <v/>
      </c>
      <c r="BD100" s="34">
        <f>IF(AND(BD$5&gt;$E100,BD$5&lt;=$F100),IF(BD$5=$E100+1,$C100,""),"")</f>
        <v/>
      </c>
      <c r="BE100" s="34">
        <f>IF(AND(BE$5&gt;$E100,BE$5&lt;=$F100),IF(BE$5=$E100+1,$C100,""),"")</f>
        <v/>
      </c>
      <c r="BF100" s="34">
        <f>IF(AND(BF$5&gt;$E100,BF$5&lt;=$F100),IF(BF$5=$E100+1,$C100,""),"")</f>
        <v/>
      </c>
      <c r="BG100" s="34">
        <f>IF(AND(BG$5&gt;$E100,BG$5&lt;=$F100),IF(BG$5=$E100+1,$C100,""),"")</f>
        <v/>
      </c>
      <c r="BH100" s="34">
        <f>IF(AND(BH$5&gt;$E100,BH$5&lt;=$F100),IF(BH$5=$E100+1,$C100,""),"")</f>
        <v/>
      </c>
      <c r="BI100" s="34">
        <f>IF(AND(BI$5&gt;$E100,BI$5&lt;=$F100),IF(BI$5=$E100+1,$C100,""),"")</f>
        <v/>
      </c>
      <c r="BJ100" s="34">
        <f>IF(AND(BJ$5&gt;$E100,BJ$5&lt;=$F100),IF(BJ$5=$E100+1,$C100,""),"")</f>
        <v/>
      </c>
      <c r="BK100" s="34">
        <f>IF(AND(BK$5&gt;$E100,BK$5&lt;=$F100),IF(BK$5=$E100+1,$C100,""),"")</f>
        <v/>
      </c>
      <c r="BL100" s="34">
        <f>IF(AND(BL$5&gt;$E100,BL$5&lt;=$F100),IF(BL$5=$E100+1,$C100,""),"")</f>
        <v/>
      </c>
      <c r="BM100" s="34">
        <f>IF(AND(BM$5&gt;$E100,BM$5&lt;=$F100),IF(BM$5=$E100+1,$C100,""),"")</f>
        <v/>
      </c>
      <c r="BN100" s="34">
        <f>IF(AND(BN$5&gt;$E100,BN$5&lt;=$F100),IF(BN$5=$E100+1,$C100,""),"")</f>
        <v/>
      </c>
      <c r="BO100" s="34">
        <f>IF(AND(BO$5&gt;$E100,BO$5&lt;=$F100),IF(BO$5=$E100+1,$C100,""),"")</f>
        <v/>
      </c>
      <c r="BP100" s="34">
        <f>IF(AND(BP$5&gt;$E100,BP$5&lt;=$F100),IF(BP$5=$E100+1,$C100,""),"")</f>
        <v/>
      </c>
      <c r="BQ100" s="34">
        <f>IF(AND(BQ$5&gt;$E100,BQ$5&lt;=$F100),IF(BQ$5=$E100+1,$C100,""),"")</f>
        <v/>
      </c>
      <c r="BR100" s="34">
        <f>IF(AND(BR$5&gt;$E100,BR$5&lt;=$F100),IF(BR$5=$E100+1,$C100,""),"")</f>
        <v/>
      </c>
      <c r="BS100" s="34">
        <f>IF(AND(BS$5&gt;$E100,BS$5&lt;=$F100),IF(BS$5=$E100+1,$C100,""),"")</f>
        <v/>
      </c>
      <c r="BT100" s="34">
        <f>IF(AND(BT$5&gt;$E100,BT$5&lt;=$F100),IF(BT$5=$E100+1,$C100,""),"")</f>
        <v/>
      </c>
      <c r="BU100" s="34">
        <f>IF(AND(BU$5&gt;$E100,BU$5&lt;=$F100),IF(BU$5=$E100+1,$C100,""),"")</f>
        <v/>
      </c>
      <c r="BV100" s="34">
        <f>IF(AND(BV$5&gt;$E100,BV$5&lt;=$F100),IF(BV$5=$E100+1,$C100,""),"")</f>
        <v/>
      </c>
      <c r="BW100" s="34">
        <f>IF(AND(BW$5&gt;$E100,BW$5&lt;=$F100),IF(BW$5=$E100+1,$C100,""),"")</f>
        <v/>
      </c>
      <c r="BX100" s="34">
        <f>IF(AND(BX$5&gt;$E100,BX$5&lt;=$F100),IF(BX$5=$E100+1,$C100,""),"")</f>
        <v/>
      </c>
      <c r="BY100" s="34">
        <f>IF(AND(BY$5&gt;$E100,BY$5&lt;=$F100),IF(BY$5=$E100+1,$C100,""),"")</f>
        <v/>
      </c>
      <c r="BZ100" s="34">
        <f>IF(AND(BZ$5&gt;$E100,BZ$5&lt;=$F100),IF(BZ$5=$E100+1,$C100,""),"")</f>
        <v/>
      </c>
      <c r="CA100" s="34">
        <f>IF(AND(CA$5&gt;$E100,CA$5&lt;=$F100),IF(CA$5=$E100+1,$C100,""),"")</f>
        <v/>
      </c>
      <c r="CB100" s="34">
        <f>IF(AND(CB$5&gt;$E100,CB$5&lt;=$F100),IF(CB$5=$E100+1,$C100,""),"")</f>
        <v/>
      </c>
      <c r="CC100" s="34">
        <f>IF(AND(CC$5&gt;$E100,CC$5&lt;=$F100),IF(CC$5=$E100+1,$C100,""),"")</f>
        <v/>
      </c>
      <c r="CD100" s="34">
        <f>IF(AND(CD$5&gt;$E100,CD$5&lt;=$F100),IF(CD$5=$E100+1,$C100,""),"")</f>
        <v/>
      </c>
      <c r="CE100" s="34">
        <f>IF(AND(CE$5&gt;$E100,CE$5&lt;=$F100),IF(CE$5=$E100+1,$C100,""),"")</f>
        <v/>
      </c>
      <c r="CF100" s="34">
        <f>IF(AND(CF$5&gt;$E100,CF$5&lt;=$F100),IF(CF$5=$E100+1,$C100,""),"")</f>
        <v/>
      </c>
      <c r="CG100" s="34">
        <f>IF(AND(CG$5&gt;$E100,CG$5&lt;=$F100),IF(CG$5=$E100+1,$C100,""),"")</f>
        <v/>
      </c>
      <c r="CH100" s="34">
        <f>IF(AND(CH$5&gt;$E100,CH$5&lt;=$F100),IF(CH$5=$E100+1,$C100,""),"")</f>
        <v/>
      </c>
      <c r="CI100" s="34">
        <f>IF(AND(CI$5&gt;$E100,CI$5&lt;=$F100),IF(CI$5=$E100+1,$C100,""),"")</f>
        <v/>
      </c>
      <c r="CJ100" s="34">
        <f>IF(AND(CJ$5&gt;$E100,CJ$5&lt;=$F100),IF(CJ$5=$E100+1,$C100,""),"")</f>
        <v/>
      </c>
      <c r="CK100" s="34">
        <f>IF(AND(CK$5&gt;$E100,CK$5&lt;=$F100),IF(CK$5=$E100+1,$C100,""),"")</f>
        <v/>
      </c>
      <c r="CL100" s="34">
        <f>IF(AND(CL$5&gt;$E100,CL$5&lt;=$F100),IF(CL$5=$E100+1,$C100,""),"")</f>
        <v/>
      </c>
      <c r="CM100" s="34">
        <f>IF(AND(CM$5&gt;$E100,CM$5&lt;=$F100),IF(CM$5=$E100+1,$C100,""),"")</f>
        <v/>
      </c>
      <c r="CN100" s="34">
        <f>IF(AND(CN$5&gt;$E100,CN$5&lt;=$F100),IF(CN$5=$E100+1,$C100,""),"")</f>
        <v/>
      </c>
      <c r="CO100" s="34">
        <f>IF(AND(CO$5&gt;$E100,CO$5&lt;=$F100),IF(CO$5=$E100+1,$C100,""),"")</f>
        <v/>
      </c>
      <c r="CP100" s="34">
        <f>IF(AND(CP$5&gt;$E100,CP$5&lt;=$F100),IF(CP$5=$E100+1,$C100,""),"")</f>
        <v/>
      </c>
      <c r="CQ100" s="34">
        <f>IF(AND(CQ$5&gt;$E100,CQ$5&lt;=$F100),IF(CQ$5=$E100+1,$C100,""),"")</f>
        <v/>
      </c>
      <c r="CR100" s="34">
        <f>IF(AND(CR$5&gt;$E100,CR$5&lt;=$F100),IF(CR$5=$E100+1,$C100,""),"")</f>
        <v/>
      </c>
      <c r="CS100" s="34">
        <f>IF(AND(CS$5&gt;$E100,CS$5&lt;=$F100),IF(CS$5=$E100+1,$C100,""),"")</f>
        <v/>
      </c>
      <c r="CT100" s="34">
        <f>IF(AND(CT$5&gt;$E100,CT$5&lt;=$F100),IF(CT$5=$E100+1,$C100,""),"")</f>
        <v/>
      </c>
      <c r="CU100" s="34">
        <f>IF(AND(CU$5&gt;$E100,CU$5&lt;=$F100),IF(CU$5=$E100+1,$C100,""),"")</f>
        <v/>
      </c>
      <c r="CV100" s="34">
        <f>IF(AND(CV$5&gt;$E100,CV$5&lt;=$F100),IF(CV$5=$E100+1,$C100,""),"")</f>
        <v/>
      </c>
      <c r="CW100" s="34">
        <f>IF(AND(CW$5&gt;$E100,CW$5&lt;=$F100),IF(CW$5=$E100+1,$C100,""),"")</f>
        <v/>
      </c>
      <c r="CX100" s="34">
        <f>IF(AND(CX$5&gt;$E100,CX$5&lt;=$F100),IF(CX$5=$E100+1,$C100,""),"")</f>
        <v/>
      </c>
      <c r="CY100" s="34">
        <f>IF(AND(CY$5&gt;$E100,CY$5&lt;=$F100),IF(CY$5=$E100+1,$C100,""),"")</f>
        <v/>
      </c>
      <c r="CZ100" s="34">
        <f>IF(AND(CZ$5&gt;$E100,CZ$5&lt;=$F100),IF(CZ$5=$E100+1,$C100,""),"")</f>
        <v/>
      </c>
      <c r="DA100" s="34">
        <f>IF(AND(DA$5&gt;$E100,DA$5&lt;=$F100),IF(DA$5=$E100+1,$C100,""),"")</f>
        <v/>
      </c>
      <c r="DB100" s="34">
        <f>IF(AND(DB$5&gt;$E100,DB$5&lt;=$F100),IF(DB$5=$E100+1,$C100,""),"")</f>
        <v/>
      </c>
      <c r="DC100" s="34">
        <f>IF(AND(DC$5&gt;$E100,DC$5&lt;=$F100),IF(DC$5=$E100+1,$C100,""),"")</f>
        <v/>
      </c>
      <c r="DD100" s="34">
        <f>IF(AND(DD$5&gt;$E100,DD$5&lt;=$F100),IF(DD$5=$E100+1,$C100,""),"")</f>
        <v/>
      </c>
      <c r="DE100" s="34">
        <f>IF(AND(DE$5&gt;$E100,DE$5&lt;=$F100),IF(DE$5=$E100+1,$C100,""),"")</f>
        <v/>
      </c>
      <c r="DF100" s="34">
        <f>IF(AND(DF$5&gt;$E100,DF$5&lt;=$F100),IF(DF$5=$E100+1,$C100,""),"")</f>
        <v/>
      </c>
      <c r="DG100" s="34">
        <f>IF(AND(DG$5&gt;$E100,DG$5&lt;=$F100),IF(DG$5=$E100+1,$C100,""),"")</f>
        <v/>
      </c>
      <c r="DH100" s="34">
        <f>IF(AND(DH$5&gt;$E100,DH$5&lt;=$F100),IF(DH$5=$E100+1,$C100,""),"")</f>
        <v/>
      </c>
      <c r="DI100" s="34">
        <f>IF(AND(DI$5&gt;$E100,DI$5&lt;=$F100),IF(DI$5=$E100+1,$C100,""),"")</f>
        <v/>
      </c>
      <c r="DJ100" s="34">
        <f>IF(AND(DJ$5&gt;$E100,DJ$5&lt;=$F100),IF(DJ$5=$E100+1,$C100,""),"")</f>
        <v/>
      </c>
      <c r="DK100" s="34">
        <f>IF(AND(DK$5&gt;$E100,DK$5&lt;=$F100),IF(DK$5=$E100+1,$C100,""),"")</f>
        <v/>
      </c>
      <c r="DL100" s="34">
        <f>IF(AND(DL$5&gt;$E100,DL$5&lt;=$F100),IF(DL$5=$E100+1,$C100,""),"")</f>
        <v/>
      </c>
      <c r="DM100" s="34">
        <f>IF(AND(DM$5&gt;$E100,DM$5&lt;=$F100),IF(DM$5=$E100+1,$C100,""),"")</f>
        <v/>
      </c>
      <c r="DN100" s="34">
        <f>IF(AND(DN$5&gt;$E100,DN$5&lt;=$F100),IF(DN$5=$E100+1,$C100,""),"")</f>
        <v/>
      </c>
      <c r="DO100" s="34">
        <f>IF(AND(DO$5&gt;$E100,DO$5&lt;=$F100),IF(DO$5=$E100+1,$C100,""),"")</f>
        <v/>
      </c>
      <c r="DP100" s="34">
        <f>IF(AND(DP$5&gt;$E100,DP$5&lt;=$F100),IF(DP$5=$E100+1,$C100,""),"")</f>
        <v/>
      </c>
      <c r="DQ100" s="34">
        <f>IF(AND(DQ$5&gt;$E100,DQ$5&lt;=$F100),IF(DQ$5=$E100+1,$C100,""),"")</f>
        <v/>
      </c>
      <c r="DR100" s="34">
        <f>IF(AND(DR$5&gt;$E100,DR$5&lt;=$F100),IF(DR$5=$E100+1,$C100,""),"")</f>
        <v/>
      </c>
      <c r="DS100" s="34">
        <f>IF(AND(DS$5&gt;$E100,DS$5&lt;=$F100),IF(DS$5=$E100+1,$C100,""),"")</f>
        <v/>
      </c>
      <c r="DT100" s="34">
        <f>IF(AND(DT$5&gt;$E100,DT$5&lt;=$F100),IF(DT$5=$E100+1,$C100,""),"")</f>
        <v/>
      </c>
      <c r="DU100" s="34">
        <f>IF(AND(DU$5&gt;$E100,DU$5&lt;=$F100),IF(DU$5=$E100+1,$C100,""),"")</f>
        <v/>
      </c>
      <c r="DV100" s="34">
        <f>IF(AND(DV$5&gt;$E100,DV$5&lt;=$F100),IF(DV$5=$E100+1,$C100,""),"")</f>
        <v/>
      </c>
      <c r="DW100" s="34">
        <f>IF(AND(DW$5&gt;$E100,DW$5&lt;=$F100),IF(DW$5=$E100+1,$C100,""),"")</f>
        <v/>
      </c>
      <c r="DX100" s="34">
        <f>IF(AND(DX$5&gt;$E100,DX$5&lt;=$F100),IF(DX$5=$E100+1,$C100,""),"")</f>
        <v/>
      </c>
      <c r="DY100" s="34">
        <f>IF(AND(DY$5&gt;$E100,DY$5&lt;=$F100),IF(DY$5=$E100+1,$C100,""),"")</f>
        <v/>
      </c>
      <c r="DZ100" s="34">
        <f>IF(AND(DZ$5&gt;$E100,DZ$5&lt;=$F100),IF(DZ$5=$E100+1,$C100,""),"")</f>
        <v/>
      </c>
      <c r="EA100" s="34">
        <f>IF(AND(EA$5&gt;$E100,EA$5&lt;=$F100),IF(EA$5=$E100+1,$C100,""),"")</f>
        <v/>
      </c>
      <c r="EB100" s="34">
        <f>IF(AND(EB$5&gt;$E100,EB$5&lt;=$F100),IF(EB$5=$E100+1,$C100,""),"")</f>
        <v/>
      </c>
      <c r="EC100" s="34">
        <f>IF(AND(EC$5&gt;$E100,EC$5&lt;=$F100),IF(EC$5=$E100+1,$C100,""),"")</f>
        <v/>
      </c>
      <c r="ED100" s="34">
        <f>IF(AND(ED$5&gt;$E100,ED$5&lt;=$F100),IF(ED$5=$E100+1,$C100,""),"")</f>
        <v/>
      </c>
      <c r="EE100" s="34">
        <f>IF(AND(EE$5&gt;$E100,EE$5&lt;=$F100),IF(EE$5=$E100+1,$C100,""),"")</f>
        <v/>
      </c>
      <c r="EF100" s="34">
        <f>IF(AND(EF$5&gt;$E100,EF$5&lt;=$F100),IF(EF$5=$E100+1,$C100,""),"")</f>
        <v/>
      </c>
      <c r="EG100" s="34">
        <f>IF(AND(EG$5&gt;$E100,EG$5&lt;=$F100),IF(EG$5=$E100+1,$C100,""),"")</f>
        <v/>
      </c>
      <c r="EH100" s="34">
        <f>IF(AND(EH$5&gt;$E100,EH$5&lt;=$F100),IF(EH$5=$E100+1,$C100,""),"")</f>
        <v/>
      </c>
      <c r="EI100" s="34">
        <f>IF(AND(EI$5&gt;$E100,EI$5&lt;=$F100),IF(EI$5=$E100+1,$C100,""),"")</f>
        <v/>
      </c>
      <c r="EJ100" s="34">
        <f>IF(AND(EJ$5&gt;$E100,EJ$5&lt;=$F100),IF(EJ$5=$E100+1,$C100,""),"")</f>
        <v/>
      </c>
      <c r="EK100" s="34">
        <f>IF(AND(EK$5&gt;$E100,EK$5&lt;=$F100),IF(EK$5=$E100+1,$C100,""),"")</f>
        <v/>
      </c>
      <c r="EL100" s="34">
        <f>IF(AND(EL$5&gt;$E100,EL$5&lt;=$F100),IF(EL$5=$E100+1,$C100,""),"")</f>
        <v/>
      </c>
      <c r="EM100" s="34">
        <f>IF(AND(EM$5&gt;$E100,EM$5&lt;=$F100),IF(EM$5=$E100+1,$C100,""),"")</f>
        <v/>
      </c>
      <c r="EN100" s="34">
        <f>IF(AND(EN$5&gt;$E100,EN$5&lt;=$F100),IF(EN$5=$E100+1,$C100,""),"")</f>
        <v/>
      </c>
      <c r="EO100" s="34">
        <f>IF(AND(EO$5&gt;$E100,EO$5&lt;=$F100),IF(EO$5=$E100+1,$C100,""),"")</f>
        <v/>
      </c>
      <c r="EP100" s="34">
        <f>IF(AND(EP$5&gt;$E100,EP$5&lt;=$F100),IF(EP$5=$E100+1,$C100,""),"")</f>
        <v/>
      </c>
      <c r="EQ100" s="34">
        <f>IF(AND(EQ$5&gt;$E100,EQ$5&lt;=$F100),IF(EQ$5=$E100+1,$C100,""),"")</f>
        <v/>
      </c>
      <c r="ER100" s="34">
        <f>IF(AND(ER$5&gt;$E100,ER$5&lt;=$F100),IF(ER$5=$E100+1,$C100,""),"")</f>
        <v/>
      </c>
      <c r="ES100" s="34">
        <f>IF(AND(ES$5&gt;$E100,ES$5&lt;=$F100),IF(ES$5=$E100+1,$C100,""),"")</f>
        <v/>
      </c>
      <c r="ET100" s="34">
        <f>IF(AND(ET$5&gt;$E100,ET$5&lt;=$F100),IF(ET$5=$E100+1,$C100,""),"")</f>
        <v/>
      </c>
      <c r="EU100" s="34">
        <f>IF(AND(EU$5&gt;$E100,EU$5&lt;=$F100),IF(EU$5=$E100+1,$C100,""),"")</f>
        <v/>
      </c>
      <c r="EV100" s="34">
        <f>IF(AND(EV$5&gt;$E100,EV$5&lt;=$F100),IF(EV$5=$E100+1,$C100,""),"")</f>
        <v/>
      </c>
      <c r="EW100" s="34">
        <f>IF(AND(EW$5&gt;$E100,EW$5&lt;=$F100),IF(EW$5=$E100+1,$C100,""),"")</f>
        <v/>
      </c>
      <c r="EX100" s="34">
        <f>IF(AND(EX$5&gt;$E100,EX$5&lt;=$F100),IF(EX$5=$E100+1,$C100,""),"")</f>
        <v/>
      </c>
      <c r="EY100" s="34">
        <f>IF(AND(EY$5&gt;$E100,EY$5&lt;=$F100),IF(EY$5=$E100+1,$C100,""),"")</f>
        <v/>
      </c>
      <c r="EZ100" s="34">
        <f>IF(AND(EZ$5&gt;$E100,EZ$5&lt;=$F100),IF(EZ$5=$E100+1,$C100,""),"")</f>
        <v/>
      </c>
      <c r="FA100" s="34">
        <f>IF(AND(FA$5&gt;$E100,FA$5&lt;=$F100),IF(FA$5=$E100+1,$C100,""),"")</f>
        <v/>
      </c>
    </row>
    <row r="101">
      <c r="A101" s="32">
        <f>Plan!A63</f>
        <v/>
      </c>
      <c r="B101" s="33">
        <f>Plan!C63</f>
        <v/>
      </c>
      <c r="C101" s="16">
        <f>Plan!D63</f>
        <v/>
      </c>
      <c r="D101" s="16">
        <f>Plan!I63</f>
        <v/>
      </c>
      <c r="E101" s="16">
        <f>Plan!K63</f>
        <v/>
      </c>
      <c r="F101" s="16">
        <f>Plan!L63</f>
        <v/>
      </c>
      <c r="G101" s="16">
        <f>Plan!O63</f>
        <v/>
      </c>
      <c r="H101" s="34">
        <f>IF(AND(H$5&gt;$E101,H$5&lt;=$F101),IF(H$5=$E101+1,$C101,""),"")</f>
        <v/>
      </c>
      <c r="I101" s="34">
        <f>IF(AND(I$5&gt;$E101,I$5&lt;=$F101),IF(I$5=$E101+1,$C101,""),"")</f>
        <v/>
      </c>
      <c r="J101" s="34">
        <f>IF(AND(J$5&gt;$E101,J$5&lt;=$F101),IF(J$5=$E101+1,$C101,""),"")</f>
        <v/>
      </c>
      <c r="K101" s="34">
        <f>IF(AND(K$5&gt;$E101,K$5&lt;=$F101),IF(K$5=$E101+1,$C101,""),"")</f>
        <v/>
      </c>
      <c r="L101" s="34">
        <f>IF(AND(L$5&gt;$E101,L$5&lt;=$F101),IF(L$5=$E101+1,$C101,""),"")</f>
        <v/>
      </c>
      <c r="M101" s="34">
        <f>IF(AND(M$5&gt;$E101,M$5&lt;=$F101),IF(M$5=$E101+1,$C101,""),"")</f>
        <v/>
      </c>
      <c r="N101" s="34">
        <f>IF(AND(N$5&gt;$E101,N$5&lt;=$F101),IF(N$5=$E101+1,$C101,""),"")</f>
        <v/>
      </c>
      <c r="O101" s="34">
        <f>IF(AND(O$5&gt;$E101,O$5&lt;=$F101),IF(O$5=$E101+1,$C101,""),"")</f>
        <v/>
      </c>
      <c r="P101" s="34">
        <f>IF(AND(P$5&gt;$E101,P$5&lt;=$F101),IF(P$5=$E101+1,$C101,""),"")</f>
        <v/>
      </c>
      <c r="Q101" s="34">
        <f>IF(AND(Q$5&gt;$E101,Q$5&lt;=$F101),IF(Q$5=$E101+1,$C101,""),"")</f>
        <v/>
      </c>
      <c r="R101" s="34">
        <f>IF(AND(R$5&gt;$E101,R$5&lt;=$F101),IF(R$5=$E101+1,$C101,""),"")</f>
        <v/>
      </c>
      <c r="S101" s="34">
        <f>IF(AND(S$5&gt;$E101,S$5&lt;=$F101),IF(S$5=$E101+1,$C101,""),"")</f>
        <v/>
      </c>
      <c r="T101" s="34">
        <f>IF(AND(T$5&gt;$E101,T$5&lt;=$F101),IF(T$5=$E101+1,$C101,""),"")</f>
        <v/>
      </c>
      <c r="U101" s="34">
        <f>IF(AND(U$5&gt;$E101,U$5&lt;=$F101),IF(U$5=$E101+1,$C101,""),"")</f>
        <v/>
      </c>
      <c r="V101" s="34">
        <f>IF(AND(V$5&gt;$E101,V$5&lt;=$F101),IF(V$5=$E101+1,$C101,""),"")</f>
        <v/>
      </c>
      <c r="W101" s="34">
        <f>IF(AND(W$5&gt;$E101,W$5&lt;=$F101),IF(W$5=$E101+1,$C101,""),"")</f>
        <v/>
      </c>
      <c r="X101" s="34">
        <f>IF(AND(X$5&gt;$E101,X$5&lt;=$F101),IF(X$5=$E101+1,$C101,""),"")</f>
        <v/>
      </c>
      <c r="Y101" s="34">
        <f>IF(AND(Y$5&gt;$E101,Y$5&lt;=$F101),IF(Y$5=$E101+1,$C101,""),"")</f>
        <v/>
      </c>
      <c r="Z101" s="34">
        <f>IF(AND(Z$5&gt;$E101,Z$5&lt;=$F101),IF(Z$5=$E101+1,$C101,""),"")</f>
        <v/>
      </c>
      <c r="AA101" s="34">
        <f>IF(AND(AA$5&gt;$E101,AA$5&lt;=$F101),IF(AA$5=$E101+1,$C101,""),"")</f>
        <v/>
      </c>
      <c r="AB101" s="34">
        <f>IF(AND(AB$5&gt;$E101,AB$5&lt;=$F101),IF(AB$5=$E101+1,$C101,""),"")</f>
        <v/>
      </c>
      <c r="AC101" s="34">
        <f>IF(AND(AC$5&gt;$E101,AC$5&lt;=$F101),IF(AC$5=$E101+1,$C101,""),"")</f>
        <v/>
      </c>
      <c r="AD101" s="34">
        <f>IF(AND(AD$5&gt;$E101,AD$5&lt;=$F101),IF(AD$5=$E101+1,$C101,""),"")</f>
        <v/>
      </c>
      <c r="AE101" s="34">
        <f>IF(AND(AE$5&gt;$E101,AE$5&lt;=$F101),IF(AE$5=$E101+1,$C101,""),"")</f>
        <v/>
      </c>
      <c r="AF101" s="34">
        <f>IF(AND(AF$5&gt;$E101,AF$5&lt;=$F101),IF(AF$5=$E101+1,$C101,""),"")</f>
        <v/>
      </c>
      <c r="AG101" s="34">
        <f>IF(AND(AG$5&gt;$E101,AG$5&lt;=$F101),IF(AG$5=$E101+1,$C101,""),"")</f>
        <v/>
      </c>
      <c r="AH101" s="34">
        <f>IF(AND(AH$5&gt;$E101,AH$5&lt;=$F101),IF(AH$5=$E101+1,$C101,""),"")</f>
        <v/>
      </c>
      <c r="AI101" s="34">
        <f>IF(AND(AI$5&gt;$E101,AI$5&lt;=$F101),IF(AI$5=$E101+1,$C101,""),"")</f>
        <v/>
      </c>
      <c r="AJ101" s="34">
        <f>IF(AND(AJ$5&gt;$E101,AJ$5&lt;=$F101),IF(AJ$5=$E101+1,$C101,""),"")</f>
        <v/>
      </c>
      <c r="AK101" s="34">
        <f>IF(AND(AK$5&gt;$E101,AK$5&lt;=$F101),IF(AK$5=$E101+1,$C101,""),"")</f>
        <v/>
      </c>
      <c r="AL101" s="34">
        <f>IF(AND(AL$5&gt;$E101,AL$5&lt;=$F101),IF(AL$5=$E101+1,$C101,""),"")</f>
        <v/>
      </c>
      <c r="AM101" s="34">
        <f>IF(AND(AM$5&gt;$E101,AM$5&lt;=$F101),IF(AM$5=$E101+1,$C101,""),"")</f>
        <v/>
      </c>
      <c r="AN101" s="34">
        <f>IF(AND(AN$5&gt;$E101,AN$5&lt;=$F101),IF(AN$5=$E101+1,$C101,""),"")</f>
        <v/>
      </c>
      <c r="AO101" s="34">
        <f>IF(AND(AO$5&gt;$E101,AO$5&lt;=$F101),IF(AO$5=$E101+1,$C101,""),"")</f>
        <v/>
      </c>
      <c r="AP101" s="34">
        <f>IF(AND(AP$5&gt;$E101,AP$5&lt;=$F101),IF(AP$5=$E101+1,$C101,""),"")</f>
        <v/>
      </c>
      <c r="AQ101" s="34">
        <f>IF(AND(AQ$5&gt;$E101,AQ$5&lt;=$F101),IF(AQ$5=$E101+1,$C101,""),"")</f>
        <v/>
      </c>
      <c r="AR101" s="34">
        <f>IF(AND(AR$5&gt;$E101,AR$5&lt;=$F101),IF(AR$5=$E101+1,$C101,""),"")</f>
        <v/>
      </c>
      <c r="AS101" s="34">
        <f>IF(AND(AS$5&gt;$E101,AS$5&lt;=$F101),IF(AS$5=$E101+1,$C101,""),"")</f>
        <v/>
      </c>
      <c r="AT101" s="34">
        <f>IF(AND(AT$5&gt;$E101,AT$5&lt;=$F101),IF(AT$5=$E101+1,$C101,""),"")</f>
        <v/>
      </c>
      <c r="AU101" s="34">
        <f>IF(AND(AU$5&gt;$E101,AU$5&lt;=$F101),IF(AU$5=$E101+1,$C101,""),"")</f>
        <v/>
      </c>
      <c r="AV101" s="34">
        <f>IF(AND(AV$5&gt;$E101,AV$5&lt;=$F101),IF(AV$5=$E101+1,$C101,""),"")</f>
        <v/>
      </c>
      <c r="AW101" s="34">
        <f>IF(AND(AW$5&gt;$E101,AW$5&lt;=$F101),IF(AW$5=$E101+1,$C101,""),"")</f>
        <v/>
      </c>
      <c r="AX101" s="34">
        <f>IF(AND(AX$5&gt;$E101,AX$5&lt;=$F101),IF(AX$5=$E101+1,$C101,""),"")</f>
        <v/>
      </c>
      <c r="AY101" s="34">
        <f>IF(AND(AY$5&gt;$E101,AY$5&lt;=$F101),IF(AY$5=$E101+1,$C101,""),"")</f>
        <v/>
      </c>
      <c r="AZ101" s="34">
        <f>IF(AND(AZ$5&gt;$E101,AZ$5&lt;=$F101),IF(AZ$5=$E101+1,$C101,""),"")</f>
        <v/>
      </c>
      <c r="BA101" s="34">
        <f>IF(AND(BA$5&gt;$E101,BA$5&lt;=$F101),IF(BA$5=$E101+1,$C101,""),"")</f>
        <v/>
      </c>
      <c r="BB101" s="34">
        <f>IF(AND(BB$5&gt;$E101,BB$5&lt;=$F101),IF(BB$5=$E101+1,$C101,""),"")</f>
        <v/>
      </c>
      <c r="BC101" s="34">
        <f>IF(AND(BC$5&gt;$E101,BC$5&lt;=$F101),IF(BC$5=$E101+1,$C101,""),"")</f>
        <v/>
      </c>
      <c r="BD101" s="34">
        <f>IF(AND(BD$5&gt;$E101,BD$5&lt;=$F101),IF(BD$5=$E101+1,$C101,""),"")</f>
        <v/>
      </c>
      <c r="BE101" s="34">
        <f>IF(AND(BE$5&gt;$E101,BE$5&lt;=$F101),IF(BE$5=$E101+1,$C101,""),"")</f>
        <v/>
      </c>
      <c r="BF101" s="34">
        <f>IF(AND(BF$5&gt;$E101,BF$5&lt;=$F101),IF(BF$5=$E101+1,$C101,""),"")</f>
        <v/>
      </c>
      <c r="BG101" s="34">
        <f>IF(AND(BG$5&gt;$E101,BG$5&lt;=$F101),IF(BG$5=$E101+1,$C101,""),"")</f>
        <v/>
      </c>
      <c r="BH101" s="34">
        <f>IF(AND(BH$5&gt;$E101,BH$5&lt;=$F101),IF(BH$5=$E101+1,$C101,""),"")</f>
        <v/>
      </c>
      <c r="BI101" s="34">
        <f>IF(AND(BI$5&gt;$E101,BI$5&lt;=$F101),IF(BI$5=$E101+1,$C101,""),"")</f>
        <v/>
      </c>
      <c r="BJ101" s="34">
        <f>IF(AND(BJ$5&gt;$E101,BJ$5&lt;=$F101),IF(BJ$5=$E101+1,$C101,""),"")</f>
        <v/>
      </c>
      <c r="BK101" s="34">
        <f>IF(AND(BK$5&gt;$E101,BK$5&lt;=$F101),IF(BK$5=$E101+1,$C101,""),"")</f>
        <v/>
      </c>
      <c r="BL101" s="34">
        <f>IF(AND(BL$5&gt;$E101,BL$5&lt;=$F101),IF(BL$5=$E101+1,$C101,""),"")</f>
        <v/>
      </c>
      <c r="BM101" s="34">
        <f>IF(AND(BM$5&gt;$E101,BM$5&lt;=$F101),IF(BM$5=$E101+1,$C101,""),"")</f>
        <v/>
      </c>
      <c r="BN101" s="34">
        <f>IF(AND(BN$5&gt;$E101,BN$5&lt;=$F101),IF(BN$5=$E101+1,$C101,""),"")</f>
        <v/>
      </c>
      <c r="BO101" s="34">
        <f>IF(AND(BO$5&gt;$E101,BO$5&lt;=$F101),IF(BO$5=$E101+1,$C101,""),"")</f>
        <v/>
      </c>
      <c r="BP101" s="34">
        <f>IF(AND(BP$5&gt;$E101,BP$5&lt;=$F101),IF(BP$5=$E101+1,$C101,""),"")</f>
        <v/>
      </c>
      <c r="BQ101" s="34">
        <f>IF(AND(BQ$5&gt;$E101,BQ$5&lt;=$F101),IF(BQ$5=$E101+1,$C101,""),"")</f>
        <v/>
      </c>
      <c r="BR101" s="34">
        <f>IF(AND(BR$5&gt;$E101,BR$5&lt;=$F101),IF(BR$5=$E101+1,$C101,""),"")</f>
        <v/>
      </c>
      <c r="BS101" s="34">
        <f>IF(AND(BS$5&gt;$E101,BS$5&lt;=$F101),IF(BS$5=$E101+1,$C101,""),"")</f>
        <v/>
      </c>
      <c r="BT101" s="34">
        <f>IF(AND(BT$5&gt;$E101,BT$5&lt;=$F101),IF(BT$5=$E101+1,$C101,""),"")</f>
        <v/>
      </c>
      <c r="BU101" s="34">
        <f>IF(AND(BU$5&gt;$E101,BU$5&lt;=$F101),IF(BU$5=$E101+1,$C101,""),"")</f>
        <v/>
      </c>
      <c r="BV101" s="34">
        <f>IF(AND(BV$5&gt;$E101,BV$5&lt;=$F101),IF(BV$5=$E101+1,$C101,""),"")</f>
        <v/>
      </c>
      <c r="BW101" s="34">
        <f>IF(AND(BW$5&gt;$E101,BW$5&lt;=$F101),IF(BW$5=$E101+1,$C101,""),"")</f>
        <v/>
      </c>
      <c r="BX101" s="34">
        <f>IF(AND(BX$5&gt;$E101,BX$5&lt;=$F101),IF(BX$5=$E101+1,$C101,""),"")</f>
        <v/>
      </c>
      <c r="BY101" s="34">
        <f>IF(AND(BY$5&gt;$E101,BY$5&lt;=$F101),IF(BY$5=$E101+1,$C101,""),"")</f>
        <v/>
      </c>
      <c r="BZ101" s="34">
        <f>IF(AND(BZ$5&gt;$E101,BZ$5&lt;=$F101),IF(BZ$5=$E101+1,$C101,""),"")</f>
        <v/>
      </c>
      <c r="CA101" s="34">
        <f>IF(AND(CA$5&gt;$E101,CA$5&lt;=$F101),IF(CA$5=$E101+1,$C101,""),"")</f>
        <v/>
      </c>
      <c r="CB101" s="34">
        <f>IF(AND(CB$5&gt;$E101,CB$5&lt;=$F101),IF(CB$5=$E101+1,$C101,""),"")</f>
        <v/>
      </c>
      <c r="CC101" s="34">
        <f>IF(AND(CC$5&gt;$E101,CC$5&lt;=$F101),IF(CC$5=$E101+1,$C101,""),"")</f>
        <v/>
      </c>
      <c r="CD101" s="34">
        <f>IF(AND(CD$5&gt;$E101,CD$5&lt;=$F101),IF(CD$5=$E101+1,$C101,""),"")</f>
        <v/>
      </c>
      <c r="CE101" s="34">
        <f>IF(AND(CE$5&gt;$E101,CE$5&lt;=$F101),IF(CE$5=$E101+1,$C101,""),"")</f>
        <v/>
      </c>
      <c r="CF101" s="34">
        <f>IF(AND(CF$5&gt;$E101,CF$5&lt;=$F101),IF(CF$5=$E101+1,$C101,""),"")</f>
        <v/>
      </c>
      <c r="CG101" s="34">
        <f>IF(AND(CG$5&gt;$E101,CG$5&lt;=$F101),IF(CG$5=$E101+1,$C101,""),"")</f>
        <v/>
      </c>
      <c r="CH101" s="34">
        <f>IF(AND(CH$5&gt;$E101,CH$5&lt;=$F101),IF(CH$5=$E101+1,$C101,""),"")</f>
        <v/>
      </c>
      <c r="CI101" s="34">
        <f>IF(AND(CI$5&gt;$E101,CI$5&lt;=$F101),IF(CI$5=$E101+1,$C101,""),"")</f>
        <v/>
      </c>
      <c r="CJ101" s="34">
        <f>IF(AND(CJ$5&gt;$E101,CJ$5&lt;=$F101),IF(CJ$5=$E101+1,$C101,""),"")</f>
        <v/>
      </c>
      <c r="CK101" s="34">
        <f>IF(AND(CK$5&gt;$E101,CK$5&lt;=$F101),IF(CK$5=$E101+1,$C101,""),"")</f>
        <v/>
      </c>
      <c r="CL101" s="34">
        <f>IF(AND(CL$5&gt;$E101,CL$5&lt;=$F101),IF(CL$5=$E101+1,$C101,""),"")</f>
        <v/>
      </c>
      <c r="CM101" s="34">
        <f>IF(AND(CM$5&gt;$E101,CM$5&lt;=$F101),IF(CM$5=$E101+1,$C101,""),"")</f>
        <v/>
      </c>
      <c r="CN101" s="34">
        <f>IF(AND(CN$5&gt;$E101,CN$5&lt;=$F101),IF(CN$5=$E101+1,$C101,""),"")</f>
        <v/>
      </c>
      <c r="CO101" s="34">
        <f>IF(AND(CO$5&gt;$E101,CO$5&lt;=$F101),IF(CO$5=$E101+1,$C101,""),"")</f>
        <v/>
      </c>
      <c r="CP101" s="34">
        <f>IF(AND(CP$5&gt;$E101,CP$5&lt;=$F101),IF(CP$5=$E101+1,$C101,""),"")</f>
        <v/>
      </c>
      <c r="CQ101" s="34">
        <f>IF(AND(CQ$5&gt;$E101,CQ$5&lt;=$F101),IF(CQ$5=$E101+1,$C101,""),"")</f>
        <v/>
      </c>
      <c r="CR101" s="34">
        <f>IF(AND(CR$5&gt;$E101,CR$5&lt;=$F101),IF(CR$5=$E101+1,$C101,""),"")</f>
        <v/>
      </c>
      <c r="CS101" s="34">
        <f>IF(AND(CS$5&gt;$E101,CS$5&lt;=$F101),IF(CS$5=$E101+1,$C101,""),"")</f>
        <v/>
      </c>
      <c r="CT101" s="34">
        <f>IF(AND(CT$5&gt;$E101,CT$5&lt;=$F101),IF(CT$5=$E101+1,$C101,""),"")</f>
        <v/>
      </c>
      <c r="CU101" s="34">
        <f>IF(AND(CU$5&gt;$E101,CU$5&lt;=$F101),IF(CU$5=$E101+1,$C101,""),"")</f>
        <v/>
      </c>
      <c r="CV101" s="34">
        <f>IF(AND(CV$5&gt;$E101,CV$5&lt;=$F101),IF(CV$5=$E101+1,$C101,""),"")</f>
        <v/>
      </c>
      <c r="CW101" s="34">
        <f>IF(AND(CW$5&gt;$E101,CW$5&lt;=$F101),IF(CW$5=$E101+1,$C101,""),"")</f>
        <v/>
      </c>
      <c r="CX101" s="34">
        <f>IF(AND(CX$5&gt;$E101,CX$5&lt;=$F101),IF(CX$5=$E101+1,$C101,""),"")</f>
        <v/>
      </c>
      <c r="CY101" s="34">
        <f>IF(AND(CY$5&gt;$E101,CY$5&lt;=$F101),IF(CY$5=$E101+1,$C101,""),"")</f>
        <v/>
      </c>
      <c r="CZ101" s="34">
        <f>IF(AND(CZ$5&gt;$E101,CZ$5&lt;=$F101),IF(CZ$5=$E101+1,$C101,""),"")</f>
        <v/>
      </c>
      <c r="DA101" s="34">
        <f>IF(AND(DA$5&gt;$E101,DA$5&lt;=$F101),IF(DA$5=$E101+1,$C101,""),"")</f>
        <v/>
      </c>
      <c r="DB101" s="34">
        <f>IF(AND(DB$5&gt;$E101,DB$5&lt;=$F101),IF(DB$5=$E101+1,$C101,""),"")</f>
        <v/>
      </c>
      <c r="DC101" s="34">
        <f>IF(AND(DC$5&gt;$E101,DC$5&lt;=$F101),IF(DC$5=$E101+1,$C101,""),"")</f>
        <v/>
      </c>
      <c r="DD101" s="34">
        <f>IF(AND(DD$5&gt;$E101,DD$5&lt;=$F101),IF(DD$5=$E101+1,$C101,""),"")</f>
        <v/>
      </c>
      <c r="DE101" s="34">
        <f>IF(AND(DE$5&gt;$E101,DE$5&lt;=$F101),IF(DE$5=$E101+1,$C101,""),"")</f>
        <v/>
      </c>
      <c r="DF101" s="34">
        <f>IF(AND(DF$5&gt;$E101,DF$5&lt;=$F101),IF(DF$5=$E101+1,$C101,""),"")</f>
        <v/>
      </c>
      <c r="DG101" s="34">
        <f>IF(AND(DG$5&gt;$E101,DG$5&lt;=$F101),IF(DG$5=$E101+1,$C101,""),"")</f>
        <v/>
      </c>
      <c r="DH101" s="34">
        <f>IF(AND(DH$5&gt;$E101,DH$5&lt;=$F101),IF(DH$5=$E101+1,$C101,""),"")</f>
        <v/>
      </c>
      <c r="DI101" s="34">
        <f>IF(AND(DI$5&gt;$E101,DI$5&lt;=$F101),IF(DI$5=$E101+1,$C101,""),"")</f>
        <v/>
      </c>
      <c r="DJ101" s="34">
        <f>IF(AND(DJ$5&gt;$E101,DJ$5&lt;=$F101),IF(DJ$5=$E101+1,$C101,""),"")</f>
        <v/>
      </c>
      <c r="DK101" s="34">
        <f>IF(AND(DK$5&gt;$E101,DK$5&lt;=$F101),IF(DK$5=$E101+1,$C101,""),"")</f>
        <v/>
      </c>
      <c r="DL101" s="34">
        <f>IF(AND(DL$5&gt;$E101,DL$5&lt;=$F101),IF(DL$5=$E101+1,$C101,""),"")</f>
        <v/>
      </c>
      <c r="DM101" s="34">
        <f>IF(AND(DM$5&gt;$E101,DM$5&lt;=$F101),IF(DM$5=$E101+1,$C101,""),"")</f>
        <v/>
      </c>
      <c r="DN101" s="34">
        <f>IF(AND(DN$5&gt;$E101,DN$5&lt;=$F101),IF(DN$5=$E101+1,$C101,""),"")</f>
        <v/>
      </c>
      <c r="DO101" s="34">
        <f>IF(AND(DO$5&gt;$E101,DO$5&lt;=$F101),IF(DO$5=$E101+1,$C101,""),"")</f>
        <v/>
      </c>
      <c r="DP101" s="34">
        <f>IF(AND(DP$5&gt;$E101,DP$5&lt;=$F101),IF(DP$5=$E101+1,$C101,""),"")</f>
        <v/>
      </c>
      <c r="DQ101" s="34">
        <f>IF(AND(DQ$5&gt;$E101,DQ$5&lt;=$F101),IF(DQ$5=$E101+1,$C101,""),"")</f>
        <v/>
      </c>
      <c r="DR101" s="34">
        <f>IF(AND(DR$5&gt;$E101,DR$5&lt;=$F101),IF(DR$5=$E101+1,$C101,""),"")</f>
        <v/>
      </c>
      <c r="DS101" s="34">
        <f>IF(AND(DS$5&gt;$E101,DS$5&lt;=$F101),IF(DS$5=$E101+1,$C101,""),"")</f>
        <v/>
      </c>
      <c r="DT101" s="34">
        <f>IF(AND(DT$5&gt;$E101,DT$5&lt;=$F101),IF(DT$5=$E101+1,$C101,""),"")</f>
        <v/>
      </c>
      <c r="DU101" s="34">
        <f>IF(AND(DU$5&gt;$E101,DU$5&lt;=$F101),IF(DU$5=$E101+1,$C101,""),"")</f>
        <v/>
      </c>
      <c r="DV101" s="34">
        <f>IF(AND(DV$5&gt;$E101,DV$5&lt;=$F101),IF(DV$5=$E101+1,$C101,""),"")</f>
        <v/>
      </c>
      <c r="DW101" s="34">
        <f>IF(AND(DW$5&gt;$E101,DW$5&lt;=$F101),IF(DW$5=$E101+1,$C101,""),"")</f>
        <v/>
      </c>
      <c r="DX101" s="34">
        <f>IF(AND(DX$5&gt;$E101,DX$5&lt;=$F101),IF(DX$5=$E101+1,$C101,""),"")</f>
        <v/>
      </c>
      <c r="DY101" s="34">
        <f>IF(AND(DY$5&gt;$E101,DY$5&lt;=$F101),IF(DY$5=$E101+1,$C101,""),"")</f>
        <v/>
      </c>
      <c r="DZ101" s="34">
        <f>IF(AND(DZ$5&gt;$E101,DZ$5&lt;=$F101),IF(DZ$5=$E101+1,$C101,""),"")</f>
        <v/>
      </c>
      <c r="EA101" s="34">
        <f>IF(AND(EA$5&gt;$E101,EA$5&lt;=$F101),IF(EA$5=$E101+1,$C101,""),"")</f>
        <v/>
      </c>
      <c r="EB101" s="34">
        <f>IF(AND(EB$5&gt;$E101,EB$5&lt;=$F101),IF(EB$5=$E101+1,$C101,""),"")</f>
        <v/>
      </c>
      <c r="EC101" s="34">
        <f>IF(AND(EC$5&gt;$E101,EC$5&lt;=$F101),IF(EC$5=$E101+1,$C101,""),"")</f>
        <v/>
      </c>
      <c r="ED101" s="34">
        <f>IF(AND(ED$5&gt;$E101,ED$5&lt;=$F101),IF(ED$5=$E101+1,$C101,""),"")</f>
        <v/>
      </c>
      <c r="EE101" s="34">
        <f>IF(AND(EE$5&gt;$E101,EE$5&lt;=$F101),IF(EE$5=$E101+1,$C101,""),"")</f>
        <v/>
      </c>
      <c r="EF101" s="34">
        <f>IF(AND(EF$5&gt;$E101,EF$5&lt;=$F101),IF(EF$5=$E101+1,$C101,""),"")</f>
        <v/>
      </c>
      <c r="EG101" s="34">
        <f>IF(AND(EG$5&gt;$E101,EG$5&lt;=$F101),IF(EG$5=$E101+1,$C101,""),"")</f>
        <v/>
      </c>
      <c r="EH101" s="34">
        <f>IF(AND(EH$5&gt;$E101,EH$5&lt;=$F101),IF(EH$5=$E101+1,$C101,""),"")</f>
        <v/>
      </c>
      <c r="EI101" s="34">
        <f>IF(AND(EI$5&gt;$E101,EI$5&lt;=$F101),IF(EI$5=$E101+1,$C101,""),"")</f>
        <v/>
      </c>
      <c r="EJ101" s="34">
        <f>IF(AND(EJ$5&gt;$E101,EJ$5&lt;=$F101),IF(EJ$5=$E101+1,$C101,""),"")</f>
        <v/>
      </c>
      <c r="EK101" s="34">
        <f>IF(AND(EK$5&gt;$E101,EK$5&lt;=$F101),IF(EK$5=$E101+1,$C101,""),"")</f>
        <v/>
      </c>
      <c r="EL101" s="34">
        <f>IF(AND(EL$5&gt;$E101,EL$5&lt;=$F101),IF(EL$5=$E101+1,$C101,""),"")</f>
        <v/>
      </c>
      <c r="EM101" s="34">
        <f>IF(AND(EM$5&gt;$E101,EM$5&lt;=$F101),IF(EM$5=$E101+1,$C101,""),"")</f>
        <v/>
      </c>
      <c r="EN101" s="34">
        <f>IF(AND(EN$5&gt;$E101,EN$5&lt;=$F101),IF(EN$5=$E101+1,$C101,""),"")</f>
        <v/>
      </c>
      <c r="EO101" s="34">
        <f>IF(AND(EO$5&gt;$E101,EO$5&lt;=$F101),IF(EO$5=$E101+1,$C101,""),"")</f>
        <v/>
      </c>
      <c r="EP101" s="34">
        <f>IF(AND(EP$5&gt;$E101,EP$5&lt;=$F101),IF(EP$5=$E101+1,$C101,""),"")</f>
        <v/>
      </c>
      <c r="EQ101" s="34">
        <f>IF(AND(EQ$5&gt;$E101,EQ$5&lt;=$F101),IF(EQ$5=$E101+1,$C101,""),"")</f>
        <v/>
      </c>
      <c r="ER101" s="34">
        <f>IF(AND(ER$5&gt;$E101,ER$5&lt;=$F101),IF(ER$5=$E101+1,$C101,""),"")</f>
        <v/>
      </c>
      <c r="ES101" s="34">
        <f>IF(AND(ES$5&gt;$E101,ES$5&lt;=$F101),IF(ES$5=$E101+1,$C101,""),"")</f>
        <v/>
      </c>
      <c r="ET101" s="34">
        <f>IF(AND(ET$5&gt;$E101,ET$5&lt;=$F101),IF(ET$5=$E101+1,$C101,""),"")</f>
        <v/>
      </c>
      <c r="EU101" s="34">
        <f>IF(AND(EU$5&gt;$E101,EU$5&lt;=$F101),IF(EU$5=$E101+1,$C101,""),"")</f>
        <v/>
      </c>
      <c r="EV101" s="34">
        <f>IF(AND(EV$5&gt;$E101,EV$5&lt;=$F101),IF(EV$5=$E101+1,$C101,""),"")</f>
        <v/>
      </c>
      <c r="EW101" s="34">
        <f>IF(AND(EW$5&gt;$E101,EW$5&lt;=$F101),IF(EW$5=$E101+1,$C101,""),"")</f>
        <v/>
      </c>
      <c r="EX101" s="34">
        <f>IF(AND(EX$5&gt;$E101,EX$5&lt;=$F101),IF(EX$5=$E101+1,$C101,""),"")</f>
        <v/>
      </c>
      <c r="EY101" s="34">
        <f>IF(AND(EY$5&gt;$E101,EY$5&lt;=$F101),IF(EY$5=$E101+1,$C101,""),"")</f>
        <v/>
      </c>
      <c r="EZ101" s="34">
        <f>IF(AND(EZ$5&gt;$E101,EZ$5&lt;=$F101),IF(EZ$5=$E101+1,$C101,""),"")</f>
        <v/>
      </c>
      <c r="FA101" s="34">
        <f>IF(AND(FA$5&gt;$E101,FA$5&lt;=$F101),IF(FA$5=$E101+1,$C101,""),"")</f>
        <v/>
      </c>
    </row>
    <row r="102">
      <c r="A102" s="32">
        <f>Plan!A64</f>
        <v/>
      </c>
      <c r="B102" s="33">
        <f>Plan!C64</f>
        <v/>
      </c>
      <c r="C102" s="16">
        <f>Plan!D64</f>
        <v/>
      </c>
      <c r="D102" s="16">
        <f>Plan!I64</f>
        <v/>
      </c>
      <c r="E102" s="16">
        <f>Plan!K64</f>
        <v/>
      </c>
      <c r="F102" s="16">
        <f>Plan!L64</f>
        <v/>
      </c>
      <c r="G102" s="16">
        <f>Plan!O64</f>
        <v/>
      </c>
      <c r="H102" s="34">
        <f>IF(AND(H$5&gt;$E102,H$5&lt;=$F102),IF(H$5=$E102+1,$C102,""),"")</f>
        <v/>
      </c>
      <c r="I102" s="34">
        <f>IF(AND(I$5&gt;$E102,I$5&lt;=$F102),IF(I$5=$E102+1,$C102,""),"")</f>
        <v/>
      </c>
      <c r="J102" s="34">
        <f>IF(AND(J$5&gt;$E102,J$5&lt;=$F102),IF(J$5=$E102+1,$C102,""),"")</f>
        <v/>
      </c>
      <c r="K102" s="34">
        <f>IF(AND(K$5&gt;$E102,K$5&lt;=$F102),IF(K$5=$E102+1,$C102,""),"")</f>
        <v/>
      </c>
      <c r="L102" s="34">
        <f>IF(AND(L$5&gt;$E102,L$5&lt;=$F102),IF(L$5=$E102+1,$C102,""),"")</f>
        <v/>
      </c>
      <c r="M102" s="34">
        <f>IF(AND(M$5&gt;$E102,M$5&lt;=$F102),IF(M$5=$E102+1,$C102,""),"")</f>
        <v/>
      </c>
      <c r="N102" s="34">
        <f>IF(AND(N$5&gt;$E102,N$5&lt;=$F102),IF(N$5=$E102+1,$C102,""),"")</f>
        <v/>
      </c>
      <c r="O102" s="34">
        <f>IF(AND(O$5&gt;$E102,O$5&lt;=$F102),IF(O$5=$E102+1,$C102,""),"")</f>
        <v/>
      </c>
      <c r="P102" s="34">
        <f>IF(AND(P$5&gt;$E102,P$5&lt;=$F102),IF(P$5=$E102+1,$C102,""),"")</f>
        <v/>
      </c>
      <c r="Q102" s="34">
        <f>IF(AND(Q$5&gt;$E102,Q$5&lt;=$F102),IF(Q$5=$E102+1,$C102,""),"")</f>
        <v/>
      </c>
      <c r="R102" s="34">
        <f>IF(AND(R$5&gt;$E102,R$5&lt;=$F102),IF(R$5=$E102+1,$C102,""),"")</f>
        <v/>
      </c>
      <c r="S102" s="34">
        <f>IF(AND(S$5&gt;$E102,S$5&lt;=$F102),IF(S$5=$E102+1,$C102,""),"")</f>
        <v/>
      </c>
      <c r="T102" s="34">
        <f>IF(AND(T$5&gt;$E102,T$5&lt;=$F102),IF(T$5=$E102+1,$C102,""),"")</f>
        <v/>
      </c>
      <c r="U102" s="34">
        <f>IF(AND(U$5&gt;$E102,U$5&lt;=$F102),IF(U$5=$E102+1,$C102,""),"")</f>
        <v/>
      </c>
      <c r="V102" s="34">
        <f>IF(AND(V$5&gt;$E102,V$5&lt;=$F102),IF(V$5=$E102+1,$C102,""),"")</f>
        <v/>
      </c>
      <c r="W102" s="34">
        <f>IF(AND(W$5&gt;$E102,W$5&lt;=$F102),IF(W$5=$E102+1,$C102,""),"")</f>
        <v/>
      </c>
      <c r="X102" s="34">
        <f>IF(AND(X$5&gt;$E102,X$5&lt;=$F102),IF(X$5=$E102+1,$C102,""),"")</f>
        <v/>
      </c>
      <c r="Y102" s="34">
        <f>IF(AND(Y$5&gt;$E102,Y$5&lt;=$F102),IF(Y$5=$E102+1,$C102,""),"")</f>
        <v/>
      </c>
      <c r="Z102" s="34">
        <f>IF(AND(Z$5&gt;$E102,Z$5&lt;=$F102),IF(Z$5=$E102+1,$C102,""),"")</f>
        <v/>
      </c>
      <c r="AA102" s="34">
        <f>IF(AND(AA$5&gt;$E102,AA$5&lt;=$F102),IF(AA$5=$E102+1,$C102,""),"")</f>
        <v/>
      </c>
      <c r="AB102" s="34">
        <f>IF(AND(AB$5&gt;$E102,AB$5&lt;=$F102),IF(AB$5=$E102+1,$C102,""),"")</f>
        <v/>
      </c>
      <c r="AC102" s="34">
        <f>IF(AND(AC$5&gt;$E102,AC$5&lt;=$F102),IF(AC$5=$E102+1,$C102,""),"")</f>
        <v/>
      </c>
      <c r="AD102" s="34">
        <f>IF(AND(AD$5&gt;$E102,AD$5&lt;=$F102),IF(AD$5=$E102+1,$C102,""),"")</f>
        <v/>
      </c>
      <c r="AE102" s="34">
        <f>IF(AND(AE$5&gt;$E102,AE$5&lt;=$F102),IF(AE$5=$E102+1,$C102,""),"")</f>
        <v/>
      </c>
      <c r="AF102" s="34">
        <f>IF(AND(AF$5&gt;$E102,AF$5&lt;=$F102),IF(AF$5=$E102+1,$C102,""),"")</f>
        <v/>
      </c>
      <c r="AG102" s="34">
        <f>IF(AND(AG$5&gt;$E102,AG$5&lt;=$F102),IF(AG$5=$E102+1,$C102,""),"")</f>
        <v/>
      </c>
      <c r="AH102" s="34">
        <f>IF(AND(AH$5&gt;$E102,AH$5&lt;=$F102),IF(AH$5=$E102+1,$C102,""),"")</f>
        <v/>
      </c>
      <c r="AI102" s="34">
        <f>IF(AND(AI$5&gt;$E102,AI$5&lt;=$F102),IF(AI$5=$E102+1,$C102,""),"")</f>
        <v/>
      </c>
      <c r="AJ102" s="34">
        <f>IF(AND(AJ$5&gt;$E102,AJ$5&lt;=$F102),IF(AJ$5=$E102+1,$C102,""),"")</f>
        <v/>
      </c>
      <c r="AK102" s="34">
        <f>IF(AND(AK$5&gt;$E102,AK$5&lt;=$F102),IF(AK$5=$E102+1,$C102,""),"")</f>
        <v/>
      </c>
      <c r="AL102" s="34">
        <f>IF(AND(AL$5&gt;$E102,AL$5&lt;=$F102),IF(AL$5=$E102+1,$C102,""),"")</f>
        <v/>
      </c>
      <c r="AM102" s="34">
        <f>IF(AND(AM$5&gt;$E102,AM$5&lt;=$F102),IF(AM$5=$E102+1,$C102,""),"")</f>
        <v/>
      </c>
      <c r="AN102" s="34">
        <f>IF(AND(AN$5&gt;$E102,AN$5&lt;=$F102),IF(AN$5=$E102+1,$C102,""),"")</f>
        <v/>
      </c>
      <c r="AO102" s="34">
        <f>IF(AND(AO$5&gt;$E102,AO$5&lt;=$F102),IF(AO$5=$E102+1,$C102,""),"")</f>
        <v/>
      </c>
      <c r="AP102" s="34">
        <f>IF(AND(AP$5&gt;$E102,AP$5&lt;=$F102),IF(AP$5=$E102+1,$C102,""),"")</f>
        <v/>
      </c>
      <c r="AQ102" s="34">
        <f>IF(AND(AQ$5&gt;$E102,AQ$5&lt;=$F102),IF(AQ$5=$E102+1,$C102,""),"")</f>
        <v/>
      </c>
      <c r="AR102" s="34">
        <f>IF(AND(AR$5&gt;$E102,AR$5&lt;=$F102),IF(AR$5=$E102+1,$C102,""),"")</f>
        <v/>
      </c>
      <c r="AS102" s="34">
        <f>IF(AND(AS$5&gt;$E102,AS$5&lt;=$F102),IF(AS$5=$E102+1,$C102,""),"")</f>
        <v/>
      </c>
      <c r="AT102" s="34">
        <f>IF(AND(AT$5&gt;$E102,AT$5&lt;=$F102),IF(AT$5=$E102+1,$C102,""),"")</f>
        <v/>
      </c>
      <c r="AU102" s="34">
        <f>IF(AND(AU$5&gt;$E102,AU$5&lt;=$F102),IF(AU$5=$E102+1,$C102,""),"")</f>
        <v/>
      </c>
      <c r="AV102" s="34">
        <f>IF(AND(AV$5&gt;$E102,AV$5&lt;=$F102),IF(AV$5=$E102+1,$C102,""),"")</f>
        <v/>
      </c>
      <c r="AW102" s="34">
        <f>IF(AND(AW$5&gt;$E102,AW$5&lt;=$F102),IF(AW$5=$E102+1,$C102,""),"")</f>
        <v/>
      </c>
      <c r="AX102" s="34">
        <f>IF(AND(AX$5&gt;$E102,AX$5&lt;=$F102),IF(AX$5=$E102+1,$C102,""),"")</f>
        <v/>
      </c>
      <c r="AY102" s="34">
        <f>IF(AND(AY$5&gt;$E102,AY$5&lt;=$F102),IF(AY$5=$E102+1,$C102,""),"")</f>
        <v/>
      </c>
      <c r="AZ102" s="34">
        <f>IF(AND(AZ$5&gt;$E102,AZ$5&lt;=$F102),IF(AZ$5=$E102+1,$C102,""),"")</f>
        <v/>
      </c>
      <c r="BA102" s="34">
        <f>IF(AND(BA$5&gt;$E102,BA$5&lt;=$F102),IF(BA$5=$E102+1,$C102,""),"")</f>
        <v/>
      </c>
      <c r="BB102" s="34">
        <f>IF(AND(BB$5&gt;$E102,BB$5&lt;=$F102),IF(BB$5=$E102+1,$C102,""),"")</f>
        <v/>
      </c>
      <c r="BC102" s="34">
        <f>IF(AND(BC$5&gt;$E102,BC$5&lt;=$F102),IF(BC$5=$E102+1,$C102,""),"")</f>
        <v/>
      </c>
      <c r="BD102" s="34">
        <f>IF(AND(BD$5&gt;$E102,BD$5&lt;=$F102),IF(BD$5=$E102+1,$C102,""),"")</f>
        <v/>
      </c>
      <c r="BE102" s="34">
        <f>IF(AND(BE$5&gt;$E102,BE$5&lt;=$F102),IF(BE$5=$E102+1,$C102,""),"")</f>
        <v/>
      </c>
      <c r="BF102" s="34">
        <f>IF(AND(BF$5&gt;$E102,BF$5&lt;=$F102),IF(BF$5=$E102+1,$C102,""),"")</f>
        <v/>
      </c>
      <c r="BG102" s="34">
        <f>IF(AND(BG$5&gt;$E102,BG$5&lt;=$F102),IF(BG$5=$E102+1,$C102,""),"")</f>
        <v/>
      </c>
      <c r="BH102" s="34">
        <f>IF(AND(BH$5&gt;$E102,BH$5&lt;=$F102),IF(BH$5=$E102+1,$C102,""),"")</f>
        <v/>
      </c>
      <c r="BI102" s="34">
        <f>IF(AND(BI$5&gt;$E102,BI$5&lt;=$F102),IF(BI$5=$E102+1,$C102,""),"")</f>
        <v/>
      </c>
      <c r="BJ102" s="34">
        <f>IF(AND(BJ$5&gt;$E102,BJ$5&lt;=$F102),IF(BJ$5=$E102+1,$C102,""),"")</f>
        <v/>
      </c>
      <c r="BK102" s="34">
        <f>IF(AND(BK$5&gt;$E102,BK$5&lt;=$F102),IF(BK$5=$E102+1,$C102,""),"")</f>
        <v/>
      </c>
      <c r="BL102" s="34">
        <f>IF(AND(BL$5&gt;$E102,BL$5&lt;=$F102),IF(BL$5=$E102+1,$C102,""),"")</f>
        <v/>
      </c>
      <c r="BM102" s="34">
        <f>IF(AND(BM$5&gt;$E102,BM$5&lt;=$F102),IF(BM$5=$E102+1,$C102,""),"")</f>
        <v/>
      </c>
      <c r="BN102" s="34">
        <f>IF(AND(BN$5&gt;$E102,BN$5&lt;=$F102),IF(BN$5=$E102+1,$C102,""),"")</f>
        <v/>
      </c>
      <c r="BO102" s="34">
        <f>IF(AND(BO$5&gt;$E102,BO$5&lt;=$F102),IF(BO$5=$E102+1,$C102,""),"")</f>
        <v/>
      </c>
      <c r="BP102" s="34">
        <f>IF(AND(BP$5&gt;$E102,BP$5&lt;=$F102),IF(BP$5=$E102+1,$C102,""),"")</f>
        <v/>
      </c>
      <c r="BQ102" s="34">
        <f>IF(AND(BQ$5&gt;$E102,BQ$5&lt;=$F102),IF(BQ$5=$E102+1,$C102,""),"")</f>
        <v/>
      </c>
      <c r="BR102" s="34">
        <f>IF(AND(BR$5&gt;$E102,BR$5&lt;=$F102),IF(BR$5=$E102+1,$C102,""),"")</f>
        <v/>
      </c>
      <c r="BS102" s="34">
        <f>IF(AND(BS$5&gt;$E102,BS$5&lt;=$F102),IF(BS$5=$E102+1,$C102,""),"")</f>
        <v/>
      </c>
      <c r="BT102" s="34">
        <f>IF(AND(BT$5&gt;$E102,BT$5&lt;=$F102),IF(BT$5=$E102+1,$C102,""),"")</f>
        <v/>
      </c>
      <c r="BU102" s="34">
        <f>IF(AND(BU$5&gt;$E102,BU$5&lt;=$F102),IF(BU$5=$E102+1,$C102,""),"")</f>
        <v/>
      </c>
      <c r="BV102" s="34">
        <f>IF(AND(BV$5&gt;$E102,BV$5&lt;=$F102),IF(BV$5=$E102+1,$C102,""),"")</f>
        <v/>
      </c>
      <c r="BW102" s="34">
        <f>IF(AND(BW$5&gt;$E102,BW$5&lt;=$F102),IF(BW$5=$E102+1,$C102,""),"")</f>
        <v/>
      </c>
      <c r="BX102" s="34">
        <f>IF(AND(BX$5&gt;$E102,BX$5&lt;=$F102),IF(BX$5=$E102+1,$C102,""),"")</f>
        <v/>
      </c>
      <c r="BY102" s="34">
        <f>IF(AND(BY$5&gt;$E102,BY$5&lt;=$F102),IF(BY$5=$E102+1,$C102,""),"")</f>
        <v/>
      </c>
      <c r="BZ102" s="34">
        <f>IF(AND(BZ$5&gt;$E102,BZ$5&lt;=$F102),IF(BZ$5=$E102+1,$C102,""),"")</f>
        <v/>
      </c>
      <c r="CA102" s="34">
        <f>IF(AND(CA$5&gt;$E102,CA$5&lt;=$F102),IF(CA$5=$E102+1,$C102,""),"")</f>
        <v/>
      </c>
      <c r="CB102" s="34">
        <f>IF(AND(CB$5&gt;$E102,CB$5&lt;=$F102),IF(CB$5=$E102+1,$C102,""),"")</f>
        <v/>
      </c>
      <c r="CC102" s="34">
        <f>IF(AND(CC$5&gt;$E102,CC$5&lt;=$F102),IF(CC$5=$E102+1,$C102,""),"")</f>
        <v/>
      </c>
      <c r="CD102" s="34">
        <f>IF(AND(CD$5&gt;$E102,CD$5&lt;=$F102),IF(CD$5=$E102+1,$C102,""),"")</f>
        <v/>
      </c>
      <c r="CE102" s="34">
        <f>IF(AND(CE$5&gt;$E102,CE$5&lt;=$F102),IF(CE$5=$E102+1,$C102,""),"")</f>
        <v/>
      </c>
      <c r="CF102" s="34">
        <f>IF(AND(CF$5&gt;$E102,CF$5&lt;=$F102),IF(CF$5=$E102+1,$C102,""),"")</f>
        <v/>
      </c>
      <c r="CG102" s="34">
        <f>IF(AND(CG$5&gt;$E102,CG$5&lt;=$F102),IF(CG$5=$E102+1,$C102,""),"")</f>
        <v/>
      </c>
      <c r="CH102" s="34">
        <f>IF(AND(CH$5&gt;$E102,CH$5&lt;=$F102),IF(CH$5=$E102+1,$C102,""),"")</f>
        <v/>
      </c>
      <c r="CI102" s="34">
        <f>IF(AND(CI$5&gt;$E102,CI$5&lt;=$F102),IF(CI$5=$E102+1,$C102,""),"")</f>
        <v/>
      </c>
      <c r="CJ102" s="34">
        <f>IF(AND(CJ$5&gt;$E102,CJ$5&lt;=$F102),IF(CJ$5=$E102+1,$C102,""),"")</f>
        <v/>
      </c>
      <c r="CK102" s="34">
        <f>IF(AND(CK$5&gt;$E102,CK$5&lt;=$F102),IF(CK$5=$E102+1,$C102,""),"")</f>
        <v/>
      </c>
      <c r="CL102" s="34">
        <f>IF(AND(CL$5&gt;$E102,CL$5&lt;=$F102),IF(CL$5=$E102+1,$C102,""),"")</f>
        <v/>
      </c>
      <c r="CM102" s="34">
        <f>IF(AND(CM$5&gt;$E102,CM$5&lt;=$F102),IF(CM$5=$E102+1,$C102,""),"")</f>
        <v/>
      </c>
      <c r="CN102" s="34">
        <f>IF(AND(CN$5&gt;$E102,CN$5&lt;=$F102),IF(CN$5=$E102+1,$C102,""),"")</f>
        <v/>
      </c>
      <c r="CO102" s="34">
        <f>IF(AND(CO$5&gt;$E102,CO$5&lt;=$F102),IF(CO$5=$E102+1,$C102,""),"")</f>
        <v/>
      </c>
      <c r="CP102" s="34">
        <f>IF(AND(CP$5&gt;$E102,CP$5&lt;=$F102),IF(CP$5=$E102+1,$C102,""),"")</f>
        <v/>
      </c>
      <c r="CQ102" s="34">
        <f>IF(AND(CQ$5&gt;$E102,CQ$5&lt;=$F102),IF(CQ$5=$E102+1,$C102,""),"")</f>
        <v/>
      </c>
      <c r="CR102" s="34">
        <f>IF(AND(CR$5&gt;$E102,CR$5&lt;=$F102),IF(CR$5=$E102+1,$C102,""),"")</f>
        <v/>
      </c>
      <c r="CS102" s="34">
        <f>IF(AND(CS$5&gt;$E102,CS$5&lt;=$F102),IF(CS$5=$E102+1,$C102,""),"")</f>
        <v/>
      </c>
      <c r="CT102" s="34">
        <f>IF(AND(CT$5&gt;$E102,CT$5&lt;=$F102),IF(CT$5=$E102+1,$C102,""),"")</f>
        <v/>
      </c>
      <c r="CU102" s="34">
        <f>IF(AND(CU$5&gt;$E102,CU$5&lt;=$F102),IF(CU$5=$E102+1,$C102,""),"")</f>
        <v/>
      </c>
      <c r="CV102" s="34">
        <f>IF(AND(CV$5&gt;$E102,CV$5&lt;=$F102),IF(CV$5=$E102+1,$C102,""),"")</f>
        <v/>
      </c>
      <c r="CW102" s="34">
        <f>IF(AND(CW$5&gt;$E102,CW$5&lt;=$F102),IF(CW$5=$E102+1,$C102,""),"")</f>
        <v/>
      </c>
      <c r="CX102" s="34">
        <f>IF(AND(CX$5&gt;$E102,CX$5&lt;=$F102),IF(CX$5=$E102+1,$C102,""),"")</f>
        <v/>
      </c>
      <c r="CY102" s="34">
        <f>IF(AND(CY$5&gt;$E102,CY$5&lt;=$F102),IF(CY$5=$E102+1,$C102,""),"")</f>
        <v/>
      </c>
      <c r="CZ102" s="34">
        <f>IF(AND(CZ$5&gt;$E102,CZ$5&lt;=$F102),IF(CZ$5=$E102+1,$C102,""),"")</f>
        <v/>
      </c>
      <c r="DA102" s="34">
        <f>IF(AND(DA$5&gt;$E102,DA$5&lt;=$F102),IF(DA$5=$E102+1,$C102,""),"")</f>
        <v/>
      </c>
      <c r="DB102" s="34">
        <f>IF(AND(DB$5&gt;$E102,DB$5&lt;=$F102),IF(DB$5=$E102+1,$C102,""),"")</f>
        <v/>
      </c>
      <c r="DC102" s="34">
        <f>IF(AND(DC$5&gt;$E102,DC$5&lt;=$F102),IF(DC$5=$E102+1,$C102,""),"")</f>
        <v/>
      </c>
      <c r="DD102" s="34">
        <f>IF(AND(DD$5&gt;$E102,DD$5&lt;=$F102),IF(DD$5=$E102+1,$C102,""),"")</f>
        <v/>
      </c>
      <c r="DE102" s="34">
        <f>IF(AND(DE$5&gt;$E102,DE$5&lt;=$F102),IF(DE$5=$E102+1,$C102,""),"")</f>
        <v/>
      </c>
      <c r="DF102" s="34">
        <f>IF(AND(DF$5&gt;$E102,DF$5&lt;=$F102),IF(DF$5=$E102+1,$C102,""),"")</f>
        <v/>
      </c>
      <c r="DG102" s="34">
        <f>IF(AND(DG$5&gt;$E102,DG$5&lt;=$F102),IF(DG$5=$E102+1,$C102,""),"")</f>
        <v/>
      </c>
      <c r="DH102" s="34">
        <f>IF(AND(DH$5&gt;$E102,DH$5&lt;=$F102),IF(DH$5=$E102+1,$C102,""),"")</f>
        <v/>
      </c>
      <c r="DI102" s="34">
        <f>IF(AND(DI$5&gt;$E102,DI$5&lt;=$F102),IF(DI$5=$E102+1,$C102,""),"")</f>
        <v/>
      </c>
      <c r="DJ102" s="34">
        <f>IF(AND(DJ$5&gt;$E102,DJ$5&lt;=$F102),IF(DJ$5=$E102+1,$C102,""),"")</f>
        <v/>
      </c>
      <c r="DK102" s="34">
        <f>IF(AND(DK$5&gt;$E102,DK$5&lt;=$F102),IF(DK$5=$E102+1,$C102,""),"")</f>
        <v/>
      </c>
      <c r="DL102" s="34">
        <f>IF(AND(DL$5&gt;$E102,DL$5&lt;=$F102),IF(DL$5=$E102+1,$C102,""),"")</f>
        <v/>
      </c>
      <c r="DM102" s="34">
        <f>IF(AND(DM$5&gt;$E102,DM$5&lt;=$F102),IF(DM$5=$E102+1,$C102,""),"")</f>
        <v/>
      </c>
      <c r="DN102" s="34">
        <f>IF(AND(DN$5&gt;$E102,DN$5&lt;=$F102),IF(DN$5=$E102+1,$C102,""),"")</f>
        <v/>
      </c>
      <c r="DO102" s="34">
        <f>IF(AND(DO$5&gt;$E102,DO$5&lt;=$F102),IF(DO$5=$E102+1,$C102,""),"")</f>
        <v/>
      </c>
      <c r="DP102" s="34">
        <f>IF(AND(DP$5&gt;$E102,DP$5&lt;=$F102),IF(DP$5=$E102+1,$C102,""),"")</f>
        <v/>
      </c>
      <c r="DQ102" s="34">
        <f>IF(AND(DQ$5&gt;$E102,DQ$5&lt;=$F102),IF(DQ$5=$E102+1,$C102,""),"")</f>
        <v/>
      </c>
      <c r="DR102" s="34">
        <f>IF(AND(DR$5&gt;$E102,DR$5&lt;=$F102),IF(DR$5=$E102+1,$C102,""),"")</f>
        <v/>
      </c>
      <c r="DS102" s="34">
        <f>IF(AND(DS$5&gt;$E102,DS$5&lt;=$F102),IF(DS$5=$E102+1,$C102,""),"")</f>
        <v/>
      </c>
      <c r="DT102" s="34">
        <f>IF(AND(DT$5&gt;$E102,DT$5&lt;=$F102),IF(DT$5=$E102+1,$C102,""),"")</f>
        <v/>
      </c>
      <c r="DU102" s="34">
        <f>IF(AND(DU$5&gt;$E102,DU$5&lt;=$F102),IF(DU$5=$E102+1,$C102,""),"")</f>
        <v/>
      </c>
      <c r="DV102" s="34">
        <f>IF(AND(DV$5&gt;$E102,DV$5&lt;=$F102),IF(DV$5=$E102+1,$C102,""),"")</f>
        <v/>
      </c>
      <c r="DW102" s="34">
        <f>IF(AND(DW$5&gt;$E102,DW$5&lt;=$F102),IF(DW$5=$E102+1,$C102,""),"")</f>
        <v/>
      </c>
      <c r="DX102" s="34">
        <f>IF(AND(DX$5&gt;$E102,DX$5&lt;=$F102),IF(DX$5=$E102+1,$C102,""),"")</f>
        <v/>
      </c>
      <c r="DY102" s="34">
        <f>IF(AND(DY$5&gt;$E102,DY$5&lt;=$F102),IF(DY$5=$E102+1,$C102,""),"")</f>
        <v/>
      </c>
      <c r="DZ102" s="34">
        <f>IF(AND(DZ$5&gt;$E102,DZ$5&lt;=$F102),IF(DZ$5=$E102+1,$C102,""),"")</f>
        <v/>
      </c>
      <c r="EA102" s="34">
        <f>IF(AND(EA$5&gt;$E102,EA$5&lt;=$F102),IF(EA$5=$E102+1,$C102,""),"")</f>
        <v/>
      </c>
      <c r="EB102" s="34">
        <f>IF(AND(EB$5&gt;$E102,EB$5&lt;=$F102),IF(EB$5=$E102+1,$C102,""),"")</f>
        <v/>
      </c>
      <c r="EC102" s="34">
        <f>IF(AND(EC$5&gt;$E102,EC$5&lt;=$F102),IF(EC$5=$E102+1,$C102,""),"")</f>
        <v/>
      </c>
      <c r="ED102" s="34">
        <f>IF(AND(ED$5&gt;$E102,ED$5&lt;=$F102),IF(ED$5=$E102+1,$C102,""),"")</f>
        <v/>
      </c>
      <c r="EE102" s="34">
        <f>IF(AND(EE$5&gt;$E102,EE$5&lt;=$F102),IF(EE$5=$E102+1,$C102,""),"")</f>
        <v/>
      </c>
      <c r="EF102" s="34">
        <f>IF(AND(EF$5&gt;$E102,EF$5&lt;=$F102),IF(EF$5=$E102+1,$C102,""),"")</f>
        <v/>
      </c>
      <c r="EG102" s="34">
        <f>IF(AND(EG$5&gt;$E102,EG$5&lt;=$F102),IF(EG$5=$E102+1,$C102,""),"")</f>
        <v/>
      </c>
      <c r="EH102" s="34">
        <f>IF(AND(EH$5&gt;$E102,EH$5&lt;=$F102),IF(EH$5=$E102+1,$C102,""),"")</f>
        <v/>
      </c>
      <c r="EI102" s="34">
        <f>IF(AND(EI$5&gt;$E102,EI$5&lt;=$F102),IF(EI$5=$E102+1,$C102,""),"")</f>
        <v/>
      </c>
      <c r="EJ102" s="34">
        <f>IF(AND(EJ$5&gt;$E102,EJ$5&lt;=$F102),IF(EJ$5=$E102+1,$C102,""),"")</f>
        <v/>
      </c>
      <c r="EK102" s="34">
        <f>IF(AND(EK$5&gt;$E102,EK$5&lt;=$F102),IF(EK$5=$E102+1,$C102,""),"")</f>
        <v/>
      </c>
      <c r="EL102" s="34">
        <f>IF(AND(EL$5&gt;$E102,EL$5&lt;=$F102),IF(EL$5=$E102+1,$C102,""),"")</f>
        <v/>
      </c>
      <c r="EM102" s="34">
        <f>IF(AND(EM$5&gt;$E102,EM$5&lt;=$F102),IF(EM$5=$E102+1,$C102,""),"")</f>
        <v/>
      </c>
      <c r="EN102" s="34">
        <f>IF(AND(EN$5&gt;$E102,EN$5&lt;=$F102),IF(EN$5=$E102+1,$C102,""),"")</f>
        <v/>
      </c>
      <c r="EO102" s="34">
        <f>IF(AND(EO$5&gt;$E102,EO$5&lt;=$F102),IF(EO$5=$E102+1,$C102,""),"")</f>
        <v/>
      </c>
      <c r="EP102" s="34">
        <f>IF(AND(EP$5&gt;$E102,EP$5&lt;=$F102),IF(EP$5=$E102+1,$C102,""),"")</f>
        <v/>
      </c>
      <c r="EQ102" s="34">
        <f>IF(AND(EQ$5&gt;$E102,EQ$5&lt;=$F102),IF(EQ$5=$E102+1,$C102,""),"")</f>
        <v/>
      </c>
      <c r="ER102" s="34">
        <f>IF(AND(ER$5&gt;$E102,ER$5&lt;=$F102),IF(ER$5=$E102+1,$C102,""),"")</f>
        <v/>
      </c>
      <c r="ES102" s="34">
        <f>IF(AND(ES$5&gt;$E102,ES$5&lt;=$F102),IF(ES$5=$E102+1,$C102,""),"")</f>
        <v/>
      </c>
      <c r="ET102" s="34">
        <f>IF(AND(ET$5&gt;$E102,ET$5&lt;=$F102),IF(ET$5=$E102+1,$C102,""),"")</f>
        <v/>
      </c>
      <c r="EU102" s="34">
        <f>IF(AND(EU$5&gt;$E102,EU$5&lt;=$F102),IF(EU$5=$E102+1,$C102,""),"")</f>
        <v/>
      </c>
      <c r="EV102" s="34">
        <f>IF(AND(EV$5&gt;$E102,EV$5&lt;=$F102),IF(EV$5=$E102+1,$C102,""),"")</f>
        <v/>
      </c>
      <c r="EW102" s="34">
        <f>IF(AND(EW$5&gt;$E102,EW$5&lt;=$F102),IF(EW$5=$E102+1,$C102,""),"")</f>
        <v/>
      </c>
      <c r="EX102" s="34">
        <f>IF(AND(EX$5&gt;$E102,EX$5&lt;=$F102),IF(EX$5=$E102+1,$C102,""),"")</f>
        <v/>
      </c>
      <c r="EY102" s="34">
        <f>IF(AND(EY$5&gt;$E102,EY$5&lt;=$F102),IF(EY$5=$E102+1,$C102,""),"")</f>
        <v/>
      </c>
      <c r="EZ102" s="34">
        <f>IF(AND(EZ$5&gt;$E102,EZ$5&lt;=$F102),IF(EZ$5=$E102+1,$C102,""),"")</f>
        <v/>
      </c>
      <c r="FA102" s="34">
        <f>IF(AND(FA$5&gt;$E102,FA$5&lt;=$F102),IF(FA$5=$E102+1,$C102,""),"")</f>
        <v/>
      </c>
    </row>
    <row r="103">
      <c r="A103" s="32">
        <f>Plan!A65</f>
        <v/>
      </c>
      <c r="B103" s="33">
        <f>Plan!C65</f>
        <v/>
      </c>
      <c r="C103" s="16">
        <f>Plan!D65</f>
        <v/>
      </c>
      <c r="D103" s="16">
        <f>Plan!I65</f>
        <v/>
      </c>
      <c r="E103" s="16">
        <f>Plan!K65</f>
        <v/>
      </c>
      <c r="F103" s="16">
        <f>Plan!L65</f>
        <v/>
      </c>
      <c r="G103" s="16">
        <f>Plan!O65</f>
        <v/>
      </c>
      <c r="H103" s="34">
        <f>IF(AND(H$5&gt;$E103,H$5&lt;=$F103),IF(H$5=$E103+1,$C103,""),"")</f>
        <v/>
      </c>
      <c r="I103" s="34">
        <f>IF(AND(I$5&gt;$E103,I$5&lt;=$F103),IF(I$5=$E103+1,$C103,""),"")</f>
        <v/>
      </c>
      <c r="J103" s="34">
        <f>IF(AND(J$5&gt;$E103,J$5&lt;=$F103),IF(J$5=$E103+1,$C103,""),"")</f>
        <v/>
      </c>
      <c r="K103" s="34">
        <f>IF(AND(K$5&gt;$E103,K$5&lt;=$F103),IF(K$5=$E103+1,$C103,""),"")</f>
        <v/>
      </c>
      <c r="L103" s="34">
        <f>IF(AND(L$5&gt;$E103,L$5&lt;=$F103),IF(L$5=$E103+1,$C103,""),"")</f>
        <v/>
      </c>
      <c r="M103" s="34">
        <f>IF(AND(M$5&gt;$E103,M$5&lt;=$F103),IF(M$5=$E103+1,$C103,""),"")</f>
        <v/>
      </c>
      <c r="N103" s="34">
        <f>IF(AND(N$5&gt;$E103,N$5&lt;=$F103),IF(N$5=$E103+1,$C103,""),"")</f>
        <v/>
      </c>
      <c r="O103" s="34">
        <f>IF(AND(O$5&gt;$E103,O$5&lt;=$F103),IF(O$5=$E103+1,$C103,""),"")</f>
        <v/>
      </c>
      <c r="P103" s="34">
        <f>IF(AND(P$5&gt;$E103,P$5&lt;=$F103),IF(P$5=$E103+1,$C103,""),"")</f>
        <v/>
      </c>
      <c r="Q103" s="34">
        <f>IF(AND(Q$5&gt;$E103,Q$5&lt;=$F103),IF(Q$5=$E103+1,$C103,""),"")</f>
        <v/>
      </c>
      <c r="R103" s="34">
        <f>IF(AND(R$5&gt;$E103,R$5&lt;=$F103),IF(R$5=$E103+1,$C103,""),"")</f>
        <v/>
      </c>
      <c r="S103" s="34">
        <f>IF(AND(S$5&gt;$E103,S$5&lt;=$F103),IF(S$5=$E103+1,$C103,""),"")</f>
        <v/>
      </c>
      <c r="T103" s="34">
        <f>IF(AND(T$5&gt;$E103,T$5&lt;=$F103),IF(T$5=$E103+1,$C103,""),"")</f>
        <v/>
      </c>
      <c r="U103" s="34">
        <f>IF(AND(U$5&gt;$E103,U$5&lt;=$F103),IF(U$5=$E103+1,$C103,""),"")</f>
        <v/>
      </c>
      <c r="V103" s="34">
        <f>IF(AND(V$5&gt;$E103,V$5&lt;=$F103),IF(V$5=$E103+1,$C103,""),"")</f>
        <v/>
      </c>
      <c r="W103" s="34">
        <f>IF(AND(W$5&gt;$E103,W$5&lt;=$F103),IF(W$5=$E103+1,$C103,""),"")</f>
        <v/>
      </c>
      <c r="X103" s="34">
        <f>IF(AND(X$5&gt;$E103,X$5&lt;=$F103),IF(X$5=$E103+1,$C103,""),"")</f>
        <v/>
      </c>
      <c r="Y103" s="34">
        <f>IF(AND(Y$5&gt;$E103,Y$5&lt;=$F103),IF(Y$5=$E103+1,$C103,""),"")</f>
        <v/>
      </c>
      <c r="Z103" s="34">
        <f>IF(AND(Z$5&gt;$E103,Z$5&lt;=$F103),IF(Z$5=$E103+1,$C103,""),"")</f>
        <v/>
      </c>
      <c r="AA103" s="34">
        <f>IF(AND(AA$5&gt;$E103,AA$5&lt;=$F103),IF(AA$5=$E103+1,$C103,""),"")</f>
        <v/>
      </c>
      <c r="AB103" s="34">
        <f>IF(AND(AB$5&gt;$E103,AB$5&lt;=$F103),IF(AB$5=$E103+1,$C103,""),"")</f>
        <v/>
      </c>
      <c r="AC103" s="34">
        <f>IF(AND(AC$5&gt;$E103,AC$5&lt;=$F103),IF(AC$5=$E103+1,$C103,""),"")</f>
        <v/>
      </c>
      <c r="AD103" s="34">
        <f>IF(AND(AD$5&gt;$E103,AD$5&lt;=$F103),IF(AD$5=$E103+1,$C103,""),"")</f>
        <v/>
      </c>
      <c r="AE103" s="34">
        <f>IF(AND(AE$5&gt;$E103,AE$5&lt;=$F103),IF(AE$5=$E103+1,$C103,""),"")</f>
        <v/>
      </c>
      <c r="AF103" s="34">
        <f>IF(AND(AF$5&gt;$E103,AF$5&lt;=$F103),IF(AF$5=$E103+1,$C103,""),"")</f>
        <v/>
      </c>
      <c r="AG103" s="34">
        <f>IF(AND(AG$5&gt;$E103,AG$5&lt;=$F103),IF(AG$5=$E103+1,$C103,""),"")</f>
        <v/>
      </c>
      <c r="AH103" s="34">
        <f>IF(AND(AH$5&gt;$E103,AH$5&lt;=$F103),IF(AH$5=$E103+1,$C103,""),"")</f>
        <v/>
      </c>
      <c r="AI103" s="34">
        <f>IF(AND(AI$5&gt;$E103,AI$5&lt;=$F103),IF(AI$5=$E103+1,$C103,""),"")</f>
        <v/>
      </c>
      <c r="AJ103" s="34">
        <f>IF(AND(AJ$5&gt;$E103,AJ$5&lt;=$F103),IF(AJ$5=$E103+1,$C103,""),"")</f>
        <v/>
      </c>
      <c r="AK103" s="34">
        <f>IF(AND(AK$5&gt;$E103,AK$5&lt;=$F103),IF(AK$5=$E103+1,$C103,""),"")</f>
        <v/>
      </c>
      <c r="AL103" s="34">
        <f>IF(AND(AL$5&gt;$E103,AL$5&lt;=$F103),IF(AL$5=$E103+1,$C103,""),"")</f>
        <v/>
      </c>
      <c r="AM103" s="34">
        <f>IF(AND(AM$5&gt;$E103,AM$5&lt;=$F103),IF(AM$5=$E103+1,$C103,""),"")</f>
        <v/>
      </c>
      <c r="AN103" s="34">
        <f>IF(AND(AN$5&gt;$E103,AN$5&lt;=$F103),IF(AN$5=$E103+1,$C103,""),"")</f>
        <v/>
      </c>
      <c r="AO103" s="34">
        <f>IF(AND(AO$5&gt;$E103,AO$5&lt;=$F103),IF(AO$5=$E103+1,$C103,""),"")</f>
        <v/>
      </c>
      <c r="AP103" s="34">
        <f>IF(AND(AP$5&gt;$E103,AP$5&lt;=$F103),IF(AP$5=$E103+1,$C103,""),"")</f>
        <v/>
      </c>
      <c r="AQ103" s="34">
        <f>IF(AND(AQ$5&gt;$E103,AQ$5&lt;=$F103),IF(AQ$5=$E103+1,$C103,""),"")</f>
        <v/>
      </c>
      <c r="AR103" s="34">
        <f>IF(AND(AR$5&gt;$E103,AR$5&lt;=$F103),IF(AR$5=$E103+1,$C103,""),"")</f>
        <v/>
      </c>
      <c r="AS103" s="34">
        <f>IF(AND(AS$5&gt;$E103,AS$5&lt;=$F103),IF(AS$5=$E103+1,$C103,""),"")</f>
        <v/>
      </c>
      <c r="AT103" s="34">
        <f>IF(AND(AT$5&gt;$E103,AT$5&lt;=$F103),IF(AT$5=$E103+1,$C103,""),"")</f>
        <v/>
      </c>
      <c r="AU103" s="34">
        <f>IF(AND(AU$5&gt;$E103,AU$5&lt;=$F103),IF(AU$5=$E103+1,$C103,""),"")</f>
        <v/>
      </c>
      <c r="AV103" s="34">
        <f>IF(AND(AV$5&gt;$E103,AV$5&lt;=$F103),IF(AV$5=$E103+1,$C103,""),"")</f>
        <v/>
      </c>
      <c r="AW103" s="34">
        <f>IF(AND(AW$5&gt;$E103,AW$5&lt;=$F103),IF(AW$5=$E103+1,$C103,""),"")</f>
        <v/>
      </c>
      <c r="AX103" s="34">
        <f>IF(AND(AX$5&gt;$E103,AX$5&lt;=$F103),IF(AX$5=$E103+1,$C103,""),"")</f>
        <v/>
      </c>
      <c r="AY103" s="34">
        <f>IF(AND(AY$5&gt;$E103,AY$5&lt;=$F103),IF(AY$5=$E103+1,$C103,""),"")</f>
        <v/>
      </c>
      <c r="AZ103" s="34">
        <f>IF(AND(AZ$5&gt;$E103,AZ$5&lt;=$F103),IF(AZ$5=$E103+1,$C103,""),"")</f>
        <v/>
      </c>
      <c r="BA103" s="34">
        <f>IF(AND(BA$5&gt;$E103,BA$5&lt;=$F103),IF(BA$5=$E103+1,$C103,""),"")</f>
        <v/>
      </c>
      <c r="BB103" s="34">
        <f>IF(AND(BB$5&gt;$E103,BB$5&lt;=$F103),IF(BB$5=$E103+1,$C103,""),"")</f>
        <v/>
      </c>
      <c r="BC103" s="34">
        <f>IF(AND(BC$5&gt;$E103,BC$5&lt;=$F103),IF(BC$5=$E103+1,$C103,""),"")</f>
        <v/>
      </c>
      <c r="BD103" s="34">
        <f>IF(AND(BD$5&gt;$E103,BD$5&lt;=$F103),IF(BD$5=$E103+1,$C103,""),"")</f>
        <v/>
      </c>
      <c r="BE103" s="34">
        <f>IF(AND(BE$5&gt;$E103,BE$5&lt;=$F103),IF(BE$5=$E103+1,$C103,""),"")</f>
        <v/>
      </c>
      <c r="BF103" s="34">
        <f>IF(AND(BF$5&gt;$E103,BF$5&lt;=$F103),IF(BF$5=$E103+1,$C103,""),"")</f>
        <v/>
      </c>
      <c r="BG103" s="34">
        <f>IF(AND(BG$5&gt;$E103,BG$5&lt;=$F103),IF(BG$5=$E103+1,$C103,""),"")</f>
        <v/>
      </c>
      <c r="BH103" s="34">
        <f>IF(AND(BH$5&gt;$E103,BH$5&lt;=$F103),IF(BH$5=$E103+1,$C103,""),"")</f>
        <v/>
      </c>
      <c r="BI103" s="34">
        <f>IF(AND(BI$5&gt;$E103,BI$5&lt;=$F103),IF(BI$5=$E103+1,$C103,""),"")</f>
        <v/>
      </c>
      <c r="BJ103" s="34">
        <f>IF(AND(BJ$5&gt;$E103,BJ$5&lt;=$F103),IF(BJ$5=$E103+1,$C103,""),"")</f>
        <v/>
      </c>
      <c r="BK103" s="34">
        <f>IF(AND(BK$5&gt;$E103,BK$5&lt;=$F103),IF(BK$5=$E103+1,$C103,""),"")</f>
        <v/>
      </c>
      <c r="BL103" s="34">
        <f>IF(AND(BL$5&gt;$E103,BL$5&lt;=$F103),IF(BL$5=$E103+1,$C103,""),"")</f>
        <v/>
      </c>
      <c r="BM103" s="34">
        <f>IF(AND(BM$5&gt;$E103,BM$5&lt;=$F103),IF(BM$5=$E103+1,$C103,""),"")</f>
        <v/>
      </c>
      <c r="BN103" s="34">
        <f>IF(AND(BN$5&gt;$E103,BN$5&lt;=$F103),IF(BN$5=$E103+1,$C103,""),"")</f>
        <v/>
      </c>
      <c r="BO103" s="34">
        <f>IF(AND(BO$5&gt;$E103,BO$5&lt;=$F103),IF(BO$5=$E103+1,$C103,""),"")</f>
        <v/>
      </c>
      <c r="BP103" s="34">
        <f>IF(AND(BP$5&gt;$E103,BP$5&lt;=$F103),IF(BP$5=$E103+1,$C103,""),"")</f>
        <v/>
      </c>
      <c r="BQ103" s="34">
        <f>IF(AND(BQ$5&gt;$E103,BQ$5&lt;=$F103),IF(BQ$5=$E103+1,$C103,""),"")</f>
        <v/>
      </c>
      <c r="BR103" s="34">
        <f>IF(AND(BR$5&gt;$E103,BR$5&lt;=$F103),IF(BR$5=$E103+1,$C103,""),"")</f>
        <v/>
      </c>
      <c r="BS103" s="34">
        <f>IF(AND(BS$5&gt;$E103,BS$5&lt;=$F103),IF(BS$5=$E103+1,$C103,""),"")</f>
        <v/>
      </c>
      <c r="BT103" s="34">
        <f>IF(AND(BT$5&gt;$E103,BT$5&lt;=$F103),IF(BT$5=$E103+1,$C103,""),"")</f>
        <v/>
      </c>
      <c r="BU103" s="34">
        <f>IF(AND(BU$5&gt;$E103,BU$5&lt;=$F103),IF(BU$5=$E103+1,$C103,""),"")</f>
        <v/>
      </c>
      <c r="BV103" s="34">
        <f>IF(AND(BV$5&gt;$E103,BV$5&lt;=$F103),IF(BV$5=$E103+1,$C103,""),"")</f>
        <v/>
      </c>
      <c r="BW103" s="34">
        <f>IF(AND(BW$5&gt;$E103,BW$5&lt;=$F103),IF(BW$5=$E103+1,$C103,""),"")</f>
        <v/>
      </c>
      <c r="BX103" s="34">
        <f>IF(AND(BX$5&gt;$E103,BX$5&lt;=$F103),IF(BX$5=$E103+1,$C103,""),"")</f>
        <v/>
      </c>
      <c r="BY103" s="34">
        <f>IF(AND(BY$5&gt;$E103,BY$5&lt;=$F103),IF(BY$5=$E103+1,$C103,""),"")</f>
        <v/>
      </c>
      <c r="BZ103" s="34">
        <f>IF(AND(BZ$5&gt;$E103,BZ$5&lt;=$F103),IF(BZ$5=$E103+1,$C103,""),"")</f>
        <v/>
      </c>
      <c r="CA103" s="34">
        <f>IF(AND(CA$5&gt;$E103,CA$5&lt;=$F103),IF(CA$5=$E103+1,$C103,""),"")</f>
        <v/>
      </c>
      <c r="CB103" s="34">
        <f>IF(AND(CB$5&gt;$E103,CB$5&lt;=$F103),IF(CB$5=$E103+1,$C103,""),"")</f>
        <v/>
      </c>
      <c r="CC103" s="34">
        <f>IF(AND(CC$5&gt;$E103,CC$5&lt;=$F103),IF(CC$5=$E103+1,$C103,""),"")</f>
        <v/>
      </c>
      <c r="CD103" s="34">
        <f>IF(AND(CD$5&gt;$E103,CD$5&lt;=$F103),IF(CD$5=$E103+1,$C103,""),"")</f>
        <v/>
      </c>
      <c r="CE103" s="34">
        <f>IF(AND(CE$5&gt;$E103,CE$5&lt;=$F103),IF(CE$5=$E103+1,$C103,""),"")</f>
        <v/>
      </c>
      <c r="CF103" s="34">
        <f>IF(AND(CF$5&gt;$E103,CF$5&lt;=$F103),IF(CF$5=$E103+1,$C103,""),"")</f>
        <v/>
      </c>
      <c r="CG103" s="34">
        <f>IF(AND(CG$5&gt;$E103,CG$5&lt;=$F103),IF(CG$5=$E103+1,$C103,""),"")</f>
        <v/>
      </c>
      <c r="CH103" s="34">
        <f>IF(AND(CH$5&gt;$E103,CH$5&lt;=$F103),IF(CH$5=$E103+1,$C103,""),"")</f>
        <v/>
      </c>
      <c r="CI103" s="34">
        <f>IF(AND(CI$5&gt;$E103,CI$5&lt;=$F103),IF(CI$5=$E103+1,$C103,""),"")</f>
        <v/>
      </c>
      <c r="CJ103" s="34">
        <f>IF(AND(CJ$5&gt;$E103,CJ$5&lt;=$F103),IF(CJ$5=$E103+1,$C103,""),"")</f>
        <v/>
      </c>
      <c r="CK103" s="34">
        <f>IF(AND(CK$5&gt;$E103,CK$5&lt;=$F103),IF(CK$5=$E103+1,$C103,""),"")</f>
        <v/>
      </c>
      <c r="CL103" s="34">
        <f>IF(AND(CL$5&gt;$E103,CL$5&lt;=$F103),IF(CL$5=$E103+1,$C103,""),"")</f>
        <v/>
      </c>
      <c r="CM103" s="34">
        <f>IF(AND(CM$5&gt;$E103,CM$5&lt;=$F103),IF(CM$5=$E103+1,$C103,""),"")</f>
        <v/>
      </c>
      <c r="CN103" s="34">
        <f>IF(AND(CN$5&gt;$E103,CN$5&lt;=$F103),IF(CN$5=$E103+1,$C103,""),"")</f>
        <v/>
      </c>
      <c r="CO103" s="34">
        <f>IF(AND(CO$5&gt;$E103,CO$5&lt;=$F103),IF(CO$5=$E103+1,$C103,""),"")</f>
        <v/>
      </c>
      <c r="CP103" s="34">
        <f>IF(AND(CP$5&gt;$E103,CP$5&lt;=$F103),IF(CP$5=$E103+1,$C103,""),"")</f>
        <v/>
      </c>
      <c r="CQ103" s="34">
        <f>IF(AND(CQ$5&gt;$E103,CQ$5&lt;=$F103),IF(CQ$5=$E103+1,$C103,""),"")</f>
        <v/>
      </c>
      <c r="CR103" s="34">
        <f>IF(AND(CR$5&gt;$E103,CR$5&lt;=$F103),IF(CR$5=$E103+1,$C103,""),"")</f>
        <v/>
      </c>
      <c r="CS103" s="34">
        <f>IF(AND(CS$5&gt;$E103,CS$5&lt;=$F103),IF(CS$5=$E103+1,$C103,""),"")</f>
        <v/>
      </c>
      <c r="CT103" s="34">
        <f>IF(AND(CT$5&gt;$E103,CT$5&lt;=$F103),IF(CT$5=$E103+1,$C103,""),"")</f>
        <v/>
      </c>
      <c r="CU103" s="34">
        <f>IF(AND(CU$5&gt;$E103,CU$5&lt;=$F103),IF(CU$5=$E103+1,$C103,""),"")</f>
        <v/>
      </c>
      <c r="CV103" s="34">
        <f>IF(AND(CV$5&gt;$E103,CV$5&lt;=$F103),IF(CV$5=$E103+1,$C103,""),"")</f>
        <v/>
      </c>
      <c r="CW103" s="34">
        <f>IF(AND(CW$5&gt;$E103,CW$5&lt;=$F103),IF(CW$5=$E103+1,$C103,""),"")</f>
        <v/>
      </c>
      <c r="CX103" s="34">
        <f>IF(AND(CX$5&gt;$E103,CX$5&lt;=$F103),IF(CX$5=$E103+1,$C103,""),"")</f>
        <v/>
      </c>
      <c r="CY103" s="34">
        <f>IF(AND(CY$5&gt;$E103,CY$5&lt;=$F103),IF(CY$5=$E103+1,$C103,""),"")</f>
        <v/>
      </c>
      <c r="CZ103" s="34">
        <f>IF(AND(CZ$5&gt;$E103,CZ$5&lt;=$F103),IF(CZ$5=$E103+1,$C103,""),"")</f>
        <v/>
      </c>
      <c r="DA103" s="34">
        <f>IF(AND(DA$5&gt;$E103,DA$5&lt;=$F103),IF(DA$5=$E103+1,$C103,""),"")</f>
        <v/>
      </c>
      <c r="DB103" s="34">
        <f>IF(AND(DB$5&gt;$E103,DB$5&lt;=$F103),IF(DB$5=$E103+1,$C103,""),"")</f>
        <v/>
      </c>
      <c r="DC103" s="34">
        <f>IF(AND(DC$5&gt;$E103,DC$5&lt;=$F103),IF(DC$5=$E103+1,$C103,""),"")</f>
        <v/>
      </c>
      <c r="DD103" s="34">
        <f>IF(AND(DD$5&gt;$E103,DD$5&lt;=$F103),IF(DD$5=$E103+1,$C103,""),"")</f>
        <v/>
      </c>
      <c r="DE103" s="34">
        <f>IF(AND(DE$5&gt;$E103,DE$5&lt;=$F103),IF(DE$5=$E103+1,$C103,""),"")</f>
        <v/>
      </c>
      <c r="DF103" s="34">
        <f>IF(AND(DF$5&gt;$E103,DF$5&lt;=$F103),IF(DF$5=$E103+1,$C103,""),"")</f>
        <v/>
      </c>
      <c r="DG103" s="34">
        <f>IF(AND(DG$5&gt;$E103,DG$5&lt;=$F103),IF(DG$5=$E103+1,$C103,""),"")</f>
        <v/>
      </c>
      <c r="DH103" s="34">
        <f>IF(AND(DH$5&gt;$E103,DH$5&lt;=$F103),IF(DH$5=$E103+1,$C103,""),"")</f>
        <v/>
      </c>
      <c r="DI103" s="34">
        <f>IF(AND(DI$5&gt;$E103,DI$5&lt;=$F103),IF(DI$5=$E103+1,$C103,""),"")</f>
        <v/>
      </c>
      <c r="DJ103" s="34">
        <f>IF(AND(DJ$5&gt;$E103,DJ$5&lt;=$F103),IF(DJ$5=$E103+1,$C103,""),"")</f>
        <v/>
      </c>
      <c r="DK103" s="34">
        <f>IF(AND(DK$5&gt;$E103,DK$5&lt;=$F103),IF(DK$5=$E103+1,$C103,""),"")</f>
        <v/>
      </c>
      <c r="DL103" s="34">
        <f>IF(AND(DL$5&gt;$E103,DL$5&lt;=$F103),IF(DL$5=$E103+1,$C103,""),"")</f>
        <v/>
      </c>
      <c r="DM103" s="34">
        <f>IF(AND(DM$5&gt;$E103,DM$5&lt;=$F103),IF(DM$5=$E103+1,$C103,""),"")</f>
        <v/>
      </c>
      <c r="DN103" s="34">
        <f>IF(AND(DN$5&gt;$E103,DN$5&lt;=$F103),IF(DN$5=$E103+1,$C103,""),"")</f>
        <v/>
      </c>
      <c r="DO103" s="34">
        <f>IF(AND(DO$5&gt;$E103,DO$5&lt;=$F103),IF(DO$5=$E103+1,$C103,""),"")</f>
        <v/>
      </c>
      <c r="DP103" s="34">
        <f>IF(AND(DP$5&gt;$E103,DP$5&lt;=$F103),IF(DP$5=$E103+1,$C103,""),"")</f>
        <v/>
      </c>
      <c r="DQ103" s="34">
        <f>IF(AND(DQ$5&gt;$E103,DQ$5&lt;=$F103),IF(DQ$5=$E103+1,$C103,""),"")</f>
        <v/>
      </c>
      <c r="DR103" s="34">
        <f>IF(AND(DR$5&gt;$E103,DR$5&lt;=$F103),IF(DR$5=$E103+1,$C103,""),"")</f>
        <v/>
      </c>
      <c r="DS103" s="34">
        <f>IF(AND(DS$5&gt;$E103,DS$5&lt;=$F103),IF(DS$5=$E103+1,$C103,""),"")</f>
        <v/>
      </c>
      <c r="DT103" s="34">
        <f>IF(AND(DT$5&gt;$E103,DT$5&lt;=$F103),IF(DT$5=$E103+1,$C103,""),"")</f>
        <v/>
      </c>
      <c r="DU103" s="34">
        <f>IF(AND(DU$5&gt;$E103,DU$5&lt;=$F103),IF(DU$5=$E103+1,$C103,""),"")</f>
        <v/>
      </c>
      <c r="DV103" s="34">
        <f>IF(AND(DV$5&gt;$E103,DV$5&lt;=$F103),IF(DV$5=$E103+1,$C103,""),"")</f>
        <v/>
      </c>
      <c r="DW103" s="34">
        <f>IF(AND(DW$5&gt;$E103,DW$5&lt;=$F103),IF(DW$5=$E103+1,$C103,""),"")</f>
        <v/>
      </c>
      <c r="DX103" s="34">
        <f>IF(AND(DX$5&gt;$E103,DX$5&lt;=$F103),IF(DX$5=$E103+1,$C103,""),"")</f>
        <v/>
      </c>
      <c r="DY103" s="34">
        <f>IF(AND(DY$5&gt;$E103,DY$5&lt;=$F103),IF(DY$5=$E103+1,$C103,""),"")</f>
        <v/>
      </c>
      <c r="DZ103" s="34">
        <f>IF(AND(DZ$5&gt;$E103,DZ$5&lt;=$F103),IF(DZ$5=$E103+1,$C103,""),"")</f>
        <v/>
      </c>
      <c r="EA103" s="34">
        <f>IF(AND(EA$5&gt;$E103,EA$5&lt;=$F103),IF(EA$5=$E103+1,$C103,""),"")</f>
        <v/>
      </c>
      <c r="EB103" s="34">
        <f>IF(AND(EB$5&gt;$E103,EB$5&lt;=$F103),IF(EB$5=$E103+1,$C103,""),"")</f>
        <v/>
      </c>
      <c r="EC103" s="34">
        <f>IF(AND(EC$5&gt;$E103,EC$5&lt;=$F103),IF(EC$5=$E103+1,$C103,""),"")</f>
        <v/>
      </c>
      <c r="ED103" s="34">
        <f>IF(AND(ED$5&gt;$E103,ED$5&lt;=$F103),IF(ED$5=$E103+1,$C103,""),"")</f>
        <v/>
      </c>
      <c r="EE103" s="34">
        <f>IF(AND(EE$5&gt;$E103,EE$5&lt;=$F103),IF(EE$5=$E103+1,$C103,""),"")</f>
        <v/>
      </c>
      <c r="EF103" s="34">
        <f>IF(AND(EF$5&gt;$E103,EF$5&lt;=$F103),IF(EF$5=$E103+1,$C103,""),"")</f>
        <v/>
      </c>
      <c r="EG103" s="34">
        <f>IF(AND(EG$5&gt;$E103,EG$5&lt;=$F103),IF(EG$5=$E103+1,$C103,""),"")</f>
        <v/>
      </c>
      <c r="EH103" s="34">
        <f>IF(AND(EH$5&gt;$E103,EH$5&lt;=$F103),IF(EH$5=$E103+1,$C103,""),"")</f>
        <v/>
      </c>
      <c r="EI103" s="34">
        <f>IF(AND(EI$5&gt;$E103,EI$5&lt;=$F103),IF(EI$5=$E103+1,$C103,""),"")</f>
        <v/>
      </c>
      <c r="EJ103" s="34">
        <f>IF(AND(EJ$5&gt;$E103,EJ$5&lt;=$F103),IF(EJ$5=$E103+1,$C103,""),"")</f>
        <v/>
      </c>
      <c r="EK103" s="34">
        <f>IF(AND(EK$5&gt;$E103,EK$5&lt;=$F103),IF(EK$5=$E103+1,$C103,""),"")</f>
        <v/>
      </c>
      <c r="EL103" s="34">
        <f>IF(AND(EL$5&gt;$E103,EL$5&lt;=$F103),IF(EL$5=$E103+1,$C103,""),"")</f>
        <v/>
      </c>
      <c r="EM103" s="34">
        <f>IF(AND(EM$5&gt;$E103,EM$5&lt;=$F103),IF(EM$5=$E103+1,$C103,""),"")</f>
        <v/>
      </c>
      <c r="EN103" s="34">
        <f>IF(AND(EN$5&gt;$E103,EN$5&lt;=$F103),IF(EN$5=$E103+1,$C103,""),"")</f>
        <v/>
      </c>
      <c r="EO103" s="34">
        <f>IF(AND(EO$5&gt;$E103,EO$5&lt;=$F103),IF(EO$5=$E103+1,$C103,""),"")</f>
        <v/>
      </c>
      <c r="EP103" s="34">
        <f>IF(AND(EP$5&gt;$E103,EP$5&lt;=$F103),IF(EP$5=$E103+1,$C103,""),"")</f>
        <v/>
      </c>
      <c r="EQ103" s="34">
        <f>IF(AND(EQ$5&gt;$E103,EQ$5&lt;=$F103),IF(EQ$5=$E103+1,$C103,""),"")</f>
        <v/>
      </c>
      <c r="ER103" s="34">
        <f>IF(AND(ER$5&gt;$E103,ER$5&lt;=$F103),IF(ER$5=$E103+1,$C103,""),"")</f>
        <v/>
      </c>
      <c r="ES103" s="34">
        <f>IF(AND(ES$5&gt;$E103,ES$5&lt;=$F103),IF(ES$5=$E103+1,$C103,""),"")</f>
        <v/>
      </c>
      <c r="ET103" s="34">
        <f>IF(AND(ET$5&gt;$E103,ET$5&lt;=$F103),IF(ET$5=$E103+1,$C103,""),"")</f>
        <v/>
      </c>
      <c r="EU103" s="34">
        <f>IF(AND(EU$5&gt;$E103,EU$5&lt;=$F103),IF(EU$5=$E103+1,$C103,""),"")</f>
        <v/>
      </c>
      <c r="EV103" s="34">
        <f>IF(AND(EV$5&gt;$E103,EV$5&lt;=$F103),IF(EV$5=$E103+1,$C103,""),"")</f>
        <v/>
      </c>
      <c r="EW103" s="34">
        <f>IF(AND(EW$5&gt;$E103,EW$5&lt;=$F103),IF(EW$5=$E103+1,$C103,""),"")</f>
        <v/>
      </c>
      <c r="EX103" s="34">
        <f>IF(AND(EX$5&gt;$E103,EX$5&lt;=$F103),IF(EX$5=$E103+1,$C103,""),"")</f>
        <v/>
      </c>
      <c r="EY103" s="34">
        <f>IF(AND(EY$5&gt;$E103,EY$5&lt;=$F103),IF(EY$5=$E103+1,$C103,""),"")</f>
        <v/>
      </c>
      <c r="EZ103" s="34">
        <f>IF(AND(EZ$5&gt;$E103,EZ$5&lt;=$F103),IF(EZ$5=$E103+1,$C103,""),"")</f>
        <v/>
      </c>
      <c r="FA103" s="34">
        <f>IF(AND(FA$5&gt;$E103,FA$5&lt;=$F103),IF(FA$5=$E103+1,$C103,""),"")</f>
        <v/>
      </c>
    </row>
    <row r="104">
      <c r="A104" s="32">
        <f>Plan!A66</f>
        <v/>
      </c>
      <c r="B104" s="33">
        <f>Plan!C66</f>
        <v/>
      </c>
      <c r="C104" s="16">
        <f>Plan!D66</f>
        <v/>
      </c>
      <c r="D104" s="16">
        <f>Plan!I66</f>
        <v/>
      </c>
      <c r="E104" s="16">
        <f>Plan!K66</f>
        <v/>
      </c>
      <c r="F104" s="16">
        <f>Plan!L66</f>
        <v/>
      </c>
      <c r="G104" s="16">
        <f>Plan!O66</f>
        <v/>
      </c>
      <c r="H104" s="34">
        <f>IF(AND(H$5&gt;$E104,H$5&lt;=$F104),IF(H$5=$E104+1,$C104,""),"")</f>
        <v/>
      </c>
      <c r="I104" s="34">
        <f>IF(AND(I$5&gt;$E104,I$5&lt;=$F104),IF(I$5=$E104+1,$C104,""),"")</f>
        <v/>
      </c>
      <c r="J104" s="34">
        <f>IF(AND(J$5&gt;$E104,J$5&lt;=$F104),IF(J$5=$E104+1,$C104,""),"")</f>
        <v/>
      </c>
      <c r="K104" s="34">
        <f>IF(AND(K$5&gt;$E104,K$5&lt;=$F104),IF(K$5=$E104+1,$C104,""),"")</f>
        <v/>
      </c>
      <c r="L104" s="34">
        <f>IF(AND(L$5&gt;$E104,L$5&lt;=$F104),IF(L$5=$E104+1,$C104,""),"")</f>
        <v/>
      </c>
      <c r="M104" s="34">
        <f>IF(AND(M$5&gt;$E104,M$5&lt;=$F104),IF(M$5=$E104+1,$C104,""),"")</f>
        <v/>
      </c>
      <c r="N104" s="34">
        <f>IF(AND(N$5&gt;$E104,N$5&lt;=$F104),IF(N$5=$E104+1,$C104,""),"")</f>
        <v/>
      </c>
      <c r="O104" s="34">
        <f>IF(AND(O$5&gt;$E104,O$5&lt;=$F104),IF(O$5=$E104+1,$C104,""),"")</f>
        <v/>
      </c>
      <c r="P104" s="34">
        <f>IF(AND(P$5&gt;$E104,P$5&lt;=$F104),IF(P$5=$E104+1,$C104,""),"")</f>
        <v/>
      </c>
      <c r="Q104" s="34">
        <f>IF(AND(Q$5&gt;$E104,Q$5&lt;=$F104),IF(Q$5=$E104+1,$C104,""),"")</f>
        <v/>
      </c>
      <c r="R104" s="34">
        <f>IF(AND(R$5&gt;$E104,R$5&lt;=$F104),IF(R$5=$E104+1,$C104,""),"")</f>
        <v/>
      </c>
      <c r="S104" s="34">
        <f>IF(AND(S$5&gt;$E104,S$5&lt;=$F104),IF(S$5=$E104+1,$C104,""),"")</f>
        <v/>
      </c>
      <c r="T104" s="34">
        <f>IF(AND(T$5&gt;$E104,T$5&lt;=$F104),IF(T$5=$E104+1,$C104,""),"")</f>
        <v/>
      </c>
      <c r="U104" s="34">
        <f>IF(AND(U$5&gt;$E104,U$5&lt;=$F104),IF(U$5=$E104+1,$C104,""),"")</f>
        <v/>
      </c>
      <c r="V104" s="34">
        <f>IF(AND(V$5&gt;$E104,V$5&lt;=$F104),IF(V$5=$E104+1,$C104,""),"")</f>
        <v/>
      </c>
      <c r="W104" s="34">
        <f>IF(AND(W$5&gt;$E104,W$5&lt;=$F104),IF(W$5=$E104+1,$C104,""),"")</f>
        <v/>
      </c>
      <c r="X104" s="34">
        <f>IF(AND(X$5&gt;$E104,X$5&lt;=$F104),IF(X$5=$E104+1,$C104,""),"")</f>
        <v/>
      </c>
      <c r="Y104" s="34">
        <f>IF(AND(Y$5&gt;$E104,Y$5&lt;=$F104),IF(Y$5=$E104+1,$C104,""),"")</f>
        <v/>
      </c>
      <c r="Z104" s="34">
        <f>IF(AND(Z$5&gt;$E104,Z$5&lt;=$F104),IF(Z$5=$E104+1,$C104,""),"")</f>
        <v/>
      </c>
      <c r="AA104" s="34">
        <f>IF(AND(AA$5&gt;$E104,AA$5&lt;=$F104),IF(AA$5=$E104+1,$C104,""),"")</f>
        <v/>
      </c>
      <c r="AB104" s="34">
        <f>IF(AND(AB$5&gt;$E104,AB$5&lt;=$F104),IF(AB$5=$E104+1,$C104,""),"")</f>
        <v/>
      </c>
      <c r="AC104" s="34">
        <f>IF(AND(AC$5&gt;$E104,AC$5&lt;=$F104),IF(AC$5=$E104+1,$C104,""),"")</f>
        <v/>
      </c>
      <c r="AD104" s="34">
        <f>IF(AND(AD$5&gt;$E104,AD$5&lt;=$F104),IF(AD$5=$E104+1,$C104,""),"")</f>
        <v/>
      </c>
      <c r="AE104" s="34">
        <f>IF(AND(AE$5&gt;$E104,AE$5&lt;=$F104),IF(AE$5=$E104+1,$C104,""),"")</f>
        <v/>
      </c>
      <c r="AF104" s="34">
        <f>IF(AND(AF$5&gt;$E104,AF$5&lt;=$F104),IF(AF$5=$E104+1,$C104,""),"")</f>
        <v/>
      </c>
      <c r="AG104" s="34">
        <f>IF(AND(AG$5&gt;$E104,AG$5&lt;=$F104),IF(AG$5=$E104+1,$C104,""),"")</f>
        <v/>
      </c>
      <c r="AH104" s="34">
        <f>IF(AND(AH$5&gt;$E104,AH$5&lt;=$F104),IF(AH$5=$E104+1,$C104,""),"")</f>
        <v/>
      </c>
      <c r="AI104" s="34">
        <f>IF(AND(AI$5&gt;$E104,AI$5&lt;=$F104),IF(AI$5=$E104+1,$C104,""),"")</f>
        <v/>
      </c>
      <c r="AJ104" s="34">
        <f>IF(AND(AJ$5&gt;$E104,AJ$5&lt;=$F104),IF(AJ$5=$E104+1,$C104,""),"")</f>
        <v/>
      </c>
      <c r="AK104" s="34">
        <f>IF(AND(AK$5&gt;$E104,AK$5&lt;=$F104),IF(AK$5=$E104+1,$C104,""),"")</f>
        <v/>
      </c>
      <c r="AL104" s="34">
        <f>IF(AND(AL$5&gt;$E104,AL$5&lt;=$F104),IF(AL$5=$E104+1,$C104,""),"")</f>
        <v/>
      </c>
      <c r="AM104" s="34">
        <f>IF(AND(AM$5&gt;$E104,AM$5&lt;=$F104),IF(AM$5=$E104+1,$C104,""),"")</f>
        <v/>
      </c>
      <c r="AN104" s="34">
        <f>IF(AND(AN$5&gt;$E104,AN$5&lt;=$F104),IF(AN$5=$E104+1,$C104,""),"")</f>
        <v/>
      </c>
      <c r="AO104" s="34">
        <f>IF(AND(AO$5&gt;$E104,AO$5&lt;=$F104),IF(AO$5=$E104+1,$C104,""),"")</f>
        <v/>
      </c>
      <c r="AP104" s="34">
        <f>IF(AND(AP$5&gt;$E104,AP$5&lt;=$F104),IF(AP$5=$E104+1,$C104,""),"")</f>
        <v/>
      </c>
      <c r="AQ104" s="34">
        <f>IF(AND(AQ$5&gt;$E104,AQ$5&lt;=$F104),IF(AQ$5=$E104+1,$C104,""),"")</f>
        <v/>
      </c>
      <c r="AR104" s="34">
        <f>IF(AND(AR$5&gt;$E104,AR$5&lt;=$F104),IF(AR$5=$E104+1,$C104,""),"")</f>
        <v/>
      </c>
      <c r="AS104" s="34">
        <f>IF(AND(AS$5&gt;$E104,AS$5&lt;=$F104),IF(AS$5=$E104+1,$C104,""),"")</f>
        <v/>
      </c>
      <c r="AT104" s="34">
        <f>IF(AND(AT$5&gt;$E104,AT$5&lt;=$F104),IF(AT$5=$E104+1,$C104,""),"")</f>
        <v/>
      </c>
      <c r="AU104" s="34">
        <f>IF(AND(AU$5&gt;$E104,AU$5&lt;=$F104),IF(AU$5=$E104+1,$C104,""),"")</f>
        <v/>
      </c>
      <c r="AV104" s="34">
        <f>IF(AND(AV$5&gt;$E104,AV$5&lt;=$F104),IF(AV$5=$E104+1,$C104,""),"")</f>
        <v/>
      </c>
      <c r="AW104" s="34">
        <f>IF(AND(AW$5&gt;$E104,AW$5&lt;=$F104),IF(AW$5=$E104+1,$C104,""),"")</f>
        <v/>
      </c>
      <c r="AX104" s="34">
        <f>IF(AND(AX$5&gt;$E104,AX$5&lt;=$F104),IF(AX$5=$E104+1,$C104,""),"")</f>
        <v/>
      </c>
      <c r="AY104" s="34">
        <f>IF(AND(AY$5&gt;$E104,AY$5&lt;=$F104),IF(AY$5=$E104+1,$C104,""),"")</f>
        <v/>
      </c>
      <c r="AZ104" s="34">
        <f>IF(AND(AZ$5&gt;$E104,AZ$5&lt;=$F104),IF(AZ$5=$E104+1,$C104,""),"")</f>
        <v/>
      </c>
      <c r="BA104" s="34">
        <f>IF(AND(BA$5&gt;$E104,BA$5&lt;=$F104),IF(BA$5=$E104+1,$C104,""),"")</f>
        <v/>
      </c>
      <c r="BB104" s="34">
        <f>IF(AND(BB$5&gt;$E104,BB$5&lt;=$F104),IF(BB$5=$E104+1,$C104,""),"")</f>
        <v/>
      </c>
      <c r="BC104" s="34">
        <f>IF(AND(BC$5&gt;$E104,BC$5&lt;=$F104),IF(BC$5=$E104+1,$C104,""),"")</f>
        <v/>
      </c>
      <c r="BD104" s="34">
        <f>IF(AND(BD$5&gt;$E104,BD$5&lt;=$F104),IF(BD$5=$E104+1,$C104,""),"")</f>
        <v/>
      </c>
      <c r="BE104" s="34">
        <f>IF(AND(BE$5&gt;$E104,BE$5&lt;=$F104),IF(BE$5=$E104+1,$C104,""),"")</f>
        <v/>
      </c>
      <c r="BF104" s="34">
        <f>IF(AND(BF$5&gt;$E104,BF$5&lt;=$F104),IF(BF$5=$E104+1,$C104,""),"")</f>
        <v/>
      </c>
      <c r="BG104" s="34">
        <f>IF(AND(BG$5&gt;$E104,BG$5&lt;=$F104),IF(BG$5=$E104+1,$C104,""),"")</f>
        <v/>
      </c>
      <c r="BH104" s="34">
        <f>IF(AND(BH$5&gt;$E104,BH$5&lt;=$F104),IF(BH$5=$E104+1,$C104,""),"")</f>
        <v/>
      </c>
      <c r="BI104" s="34">
        <f>IF(AND(BI$5&gt;$E104,BI$5&lt;=$F104),IF(BI$5=$E104+1,$C104,""),"")</f>
        <v/>
      </c>
      <c r="BJ104" s="34">
        <f>IF(AND(BJ$5&gt;$E104,BJ$5&lt;=$F104),IF(BJ$5=$E104+1,$C104,""),"")</f>
        <v/>
      </c>
      <c r="BK104" s="34">
        <f>IF(AND(BK$5&gt;$E104,BK$5&lt;=$F104),IF(BK$5=$E104+1,$C104,""),"")</f>
        <v/>
      </c>
      <c r="BL104" s="34">
        <f>IF(AND(BL$5&gt;$E104,BL$5&lt;=$F104),IF(BL$5=$E104+1,$C104,""),"")</f>
        <v/>
      </c>
      <c r="BM104" s="34">
        <f>IF(AND(BM$5&gt;$E104,BM$5&lt;=$F104),IF(BM$5=$E104+1,$C104,""),"")</f>
        <v/>
      </c>
      <c r="BN104" s="34">
        <f>IF(AND(BN$5&gt;$E104,BN$5&lt;=$F104),IF(BN$5=$E104+1,$C104,""),"")</f>
        <v/>
      </c>
      <c r="BO104" s="34">
        <f>IF(AND(BO$5&gt;$E104,BO$5&lt;=$F104),IF(BO$5=$E104+1,$C104,""),"")</f>
        <v/>
      </c>
      <c r="BP104" s="34">
        <f>IF(AND(BP$5&gt;$E104,BP$5&lt;=$F104),IF(BP$5=$E104+1,$C104,""),"")</f>
        <v/>
      </c>
      <c r="BQ104" s="34">
        <f>IF(AND(BQ$5&gt;$E104,BQ$5&lt;=$F104),IF(BQ$5=$E104+1,$C104,""),"")</f>
        <v/>
      </c>
      <c r="BR104" s="34">
        <f>IF(AND(BR$5&gt;$E104,BR$5&lt;=$F104),IF(BR$5=$E104+1,$C104,""),"")</f>
        <v/>
      </c>
      <c r="BS104" s="34">
        <f>IF(AND(BS$5&gt;$E104,BS$5&lt;=$F104),IF(BS$5=$E104+1,$C104,""),"")</f>
        <v/>
      </c>
      <c r="BT104" s="34">
        <f>IF(AND(BT$5&gt;$E104,BT$5&lt;=$F104),IF(BT$5=$E104+1,$C104,""),"")</f>
        <v/>
      </c>
      <c r="BU104" s="34">
        <f>IF(AND(BU$5&gt;$E104,BU$5&lt;=$F104),IF(BU$5=$E104+1,$C104,""),"")</f>
        <v/>
      </c>
      <c r="BV104" s="34">
        <f>IF(AND(BV$5&gt;$E104,BV$5&lt;=$F104),IF(BV$5=$E104+1,$C104,""),"")</f>
        <v/>
      </c>
      <c r="BW104" s="34">
        <f>IF(AND(BW$5&gt;$E104,BW$5&lt;=$F104),IF(BW$5=$E104+1,$C104,""),"")</f>
        <v/>
      </c>
      <c r="BX104" s="34">
        <f>IF(AND(BX$5&gt;$E104,BX$5&lt;=$F104),IF(BX$5=$E104+1,$C104,""),"")</f>
        <v/>
      </c>
      <c r="BY104" s="34">
        <f>IF(AND(BY$5&gt;$E104,BY$5&lt;=$F104),IF(BY$5=$E104+1,$C104,""),"")</f>
        <v/>
      </c>
      <c r="BZ104" s="34">
        <f>IF(AND(BZ$5&gt;$E104,BZ$5&lt;=$F104),IF(BZ$5=$E104+1,$C104,""),"")</f>
        <v/>
      </c>
      <c r="CA104" s="34">
        <f>IF(AND(CA$5&gt;$E104,CA$5&lt;=$F104),IF(CA$5=$E104+1,$C104,""),"")</f>
        <v/>
      </c>
      <c r="CB104" s="34">
        <f>IF(AND(CB$5&gt;$E104,CB$5&lt;=$F104),IF(CB$5=$E104+1,$C104,""),"")</f>
        <v/>
      </c>
      <c r="CC104" s="34">
        <f>IF(AND(CC$5&gt;$E104,CC$5&lt;=$F104),IF(CC$5=$E104+1,$C104,""),"")</f>
        <v/>
      </c>
      <c r="CD104" s="34">
        <f>IF(AND(CD$5&gt;$E104,CD$5&lt;=$F104),IF(CD$5=$E104+1,$C104,""),"")</f>
        <v/>
      </c>
      <c r="CE104" s="34">
        <f>IF(AND(CE$5&gt;$E104,CE$5&lt;=$F104),IF(CE$5=$E104+1,$C104,""),"")</f>
        <v/>
      </c>
      <c r="CF104" s="34">
        <f>IF(AND(CF$5&gt;$E104,CF$5&lt;=$F104),IF(CF$5=$E104+1,$C104,""),"")</f>
        <v/>
      </c>
      <c r="CG104" s="34">
        <f>IF(AND(CG$5&gt;$E104,CG$5&lt;=$F104),IF(CG$5=$E104+1,$C104,""),"")</f>
        <v/>
      </c>
      <c r="CH104" s="34">
        <f>IF(AND(CH$5&gt;$E104,CH$5&lt;=$F104),IF(CH$5=$E104+1,$C104,""),"")</f>
        <v/>
      </c>
      <c r="CI104" s="34">
        <f>IF(AND(CI$5&gt;$E104,CI$5&lt;=$F104),IF(CI$5=$E104+1,$C104,""),"")</f>
        <v/>
      </c>
      <c r="CJ104" s="34">
        <f>IF(AND(CJ$5&gt;$E104,CJ$5&lt;=$F104),IF(CJ$5=$E104+1,$C104,""),"")</f>
        <v/>
      </c>
      <c r="CK104" s="34">
        <f>IF(AND(CK$5&gt;$E104,CK$5&lt;=$F104),IF(CK$5=$E104+1,$C104,""),"")</f>
        <v/>
      </c>
      <c r="CL104" s="34">
        <f>IF(AND(CL$5&gt;$E104,CL$5&lt;=$F104),IF(CL$5=$E104+1,$C104,""),"")</f>
        <v/>
      </c>
      <c r="CM104" s="34">
        <f>IF(AND(CM$5&gt;$E104,CM$5&lt;=$F104),IF(CM$5=$E104+1,$C104,""),"")</f>
        <v/>
      </c>
      <c r="CN104" s="34">
        <f>IF(AND(CN$5&gt;$E104,CN$5&lt;=$F104),IF(CN$5=$E104+1,$C104,""),"")</f>
        <v/>
      </c>
      <c r="CO104" s="34">
        <f>IF(AND(CO$5&gt;$E104,CO$5&lt;=$F104),IF(CO$5=$E104+1,$C104,""),"")</f>
        <v/>
      </c>
      <c r="CP104" s="34">
        <f>IF(AND(CP$5&gt;$E104,CP$5&lt;=$F104),IF(CP$5=$E104+1,$C104,""),"")</f>
        <v/>
      </c>
      <c r="CQ104" s="34">
        <f>IF(AND(CQ$5&gt;$E104,CQ$5&lt;=$F104),IF(CQ$5=$E104+1,$C104,""),"")</f>
        <v/>
      </c>
      <c r="CR104" s="34">
        <f>IF(AND(CR$5&gt;$E104,CR$5&lt;=$F104),IF(CR$5=$E104+1,$C104,""),"")</f>
        <v/>
      </c>
      <c r="CS104" s="34">
        <f>IF(AND(CS$5&gt;$E104,CS$5&lt;=$F104),IF(CS$5=$E104+1,$C104,""),"")</f>
        <v/>
      </c>
      <c r="CT104" s="34">
        <f>IF(AND(CT$5&gt;$E104,CT$5&lt;=$F104),IF(CT$5=$E104+1,$C104,""),"")</f>
        <v/>
      </c>
      <c r="CU104" s="34">
        <f>IF(AND(CU$5&gt;$E104,CU$5&lt;=$F104),IF(CU$5=$E104+1,$C104,""),"")</f>
        <v/>
      </c>
      <c r="CV104" s="34">
        <f>IF(AND(CV$5&gt;$E104,CV$5&lt;=$F104),IF(CV$5=$E104+1,$C104,""),"")</f>
        <v/>
      </c>
      <c r="CW104" s="34">
        <f>IF(AND(CW$5&gt;$E104,CW$5&lt;=$F104),IF(CW$5=$E104+1,$C104,""),"")</f>
        <v/>
      </c>
      <c r="CX104" s="34">
        <f>IF(AND(CX$5&gt;$E104,CX$5&lt;=$F104),IF(CX$5=$E104+1,$C104,""),"")</f>
        <v/>
      </c>
      <c r="CY104" s="34">
        <f>IF(AND(CY$5&gt;$E104,CY$5&lt;=$F104),IF(CY$5=$E104+1,$C104,""),"")</f>
        <v/>
      </c>
      <c r="CZ104" s="34">
        <f>IF(AND(CZ$5&gt;$E104,CZ$5&lt;=$F104),IF(CZ$5=$E104+1,$C104,""),"")</f>
        <v/>
      </c>
      <c r="DA104" s="34">
        <f>IF(AND(DA$5&gt;$E104,DA$5&lt;=$F104),IF(DA$5=$E104+1,$C104,""),"")</f>
        <v/>
      </c>
      <c r="DB104" s="34">
        <f>IF(AND(DB$5&gt;$E104,DB$5&lt;=$F104),IF(DB$5=$E104+1,$C104,""),"")</f>
        <v/>
      </c>
      <c r="DC104" s="34">
        <f>IF(AND(DC$5&gt;$E104,DC$5&lt;=$F104),IF(DC$5=$E104+1,$C104,""),"")</f>
        <v/>
      </c>
      <c r="DD104" s="34">
        <f>IF(AND(DD$5&gt;$E104,DD$5&lt;=$F104),IF(DD$5=$E104+1,$C104,""),"")</f>
        <v/>
      </c>
      <c r="DE104" s="34">
        <f>IF(AND(DE$5&gt;$E104,DE$5&lt;=$F104),IF(DE$5=$E104+1,$C104,""),"")</f>
        <v/>
      </c>
      <c r="DF104" s="34">
        <f>IF(AND(DF$5&gt;$E104,DF$5&lt;=$F104),IF(DF$5=$E104+1,$C104,""),"")</f>
        <v/>
      </c>
      <c r="DG104" s="34">
        <f>IF(AND(DG$5&gt;$E104,DG$5&lt;=$F104),IF(DG$5=$E104+1,$C104,""),"")</f>
        <v/>
      </c>
      <c r="DH104" s="34">
        <f>IF(AND(DH$5&gt;$E104,DH$5&lt;=$F104),IF(DH$5=$E104+1,$C104,""),"")</f>
        <v/>
      </c>
      <c r="DI104" s="34">
        <f>IF(AND(DI$5&gt;$E104,DI$5&lt;=$F104),IF(DI$5=$E104+1,$C104,""),"")</f>
        <v/>
      </c>
      <c r="DJ104" s="34">
        <f>IF(AND(DJ$5&gt;$E104,DJ$5&lt;=$F104),IF(DJ$5=$E104+1,$C104,""),"")</f>
        <v/>
      </c>
      <c r="DK104" s="34">
        <f>IF(AND(DK$5&gt;$E104,DK$5&lt;=$F104),IF(DK$5=$E104+1,$C104,""),"")</f>
        <v/>
      </c>
      <c r="DL104" s="34">
        <f>IF(AND(DL$5&gt;$E104,DL$5&lt;=$F104),IF(DL$5=$E104+1,$C104,""),"")</f>
        <v/>
      </c>
      <c r="DM104" s="34">
        <f>IF(AND(DM$5&gt;$E104,DM$5&lt;=$F104),IF(DM$5=$E104+1,$C104,""),"")</f>
        <v/>
      </c>
      <c r="DN104" s="34">
        <f>IF(AND(DN$5&gt;$E104,DN$5&lt;=$F104),IF(DN$5=$E104+1,$C104,""),"")</f>
        <v/>
      </c>
      <c r="DO104" s="34">
        <f>IF(AND(DO$5&gt;$E104,DO$5&lt;=$F104),IF(DO$5=$E104+1,$C104,""),"")</f>
        <v/>
      </c>
      <c r="DP104" s="34">
        <f>IF(AND(DP$5&gt;$E104,DP$5&lt;=$F104),IF(DP$5=$E104+1,$C104,""),"")</f>
        <v/>
      </c>
      <c r="DQ104" s="34">
        <f>IF(AND(DQ$5&gt;$E104,DQ$5&lt;=$F104),IF(DQ$5=$E104+1,$C104,""),"")</f>
        <v/>
      </c>
      <c r="DR104" s="34">
        <f>IF(AND(DR$5&gt;$E104,DR$5&lt;=$F104),IF(DR$5=$E104+1,$C104,""),"")</f>
        <v/>
      </c>
      <c r="DS104" s="34">
        <f>IF(AND(DS$5&gt;$E104,DS$5&lt;=$F104),IF(DS$5=$E104+1,$C104,""),"")</f>
        <v/>
      </c>
      <c r="DT104" s="34">
        <f>IF(AND(DT$5&gt;$E104,DT$5&lt;=$F104),IF(DT$5=$E104+1,$C104,""),"")</f>
        <v/>
      </c>
      <c r="DU104" s="34">
        <f>IF(AND(DU$5&gt;$E104,DU$5&lt;=$F104),IF(DU$5=$E104+1,$C104,""),"")</f>
        <v/>
      </c>
      <c r="DV104" s="34">
        <f>IF(AND(DV$5&gt;$E104,DV$5&lt;=$F104),IF(DV$5=$E104+1,$C104,""),"")</f>
        <v/>
      </c>
      <c r="DW104" s="34">
        <f>IF(AND(DW$5&gt;$E104,DW$5&lt;=$F104),IF(DW$5=$E104+1,$C104,""),"")</f>
        <v/>
      </c>
      <c r="DX104" s="34">
        <f>IF(AND(DX$5&gt;$E104,DX$5&lt;=$F104),IF(DX$5=$E104+1,$C104,""),"")</f>
        <v/>
      </c>
      <c r="DY104" s="34">
        <f>IF(AND(DY$5&gt;$E104,DY$5&lt;=$F104),IF(DY$5=$E104+1,$C104,""),"")</f>
        <v/>
      </c>
      <c r="DZ104" s="34">
        <f>IF(AND(DZ$5&gt;$E104,DZ$5&lt;=$F104),IF(DZ$5=$E104+1,$C104,""),"")</f>
        <v/>
      </c>
      <c r="EA104" s="34">
        <f>IF(AND(EA$5&gt;$E104,EA$5&lt;=$F104),IF(EA$5=$E104+1,$C104,""),"")</f>
        <v/>
      </c>
      <c r="EB104" s="34">
        <f>IF(AND(EB$5&gt;$E104,EB$5&lt;=$F104),IF(EB$5=$E104+1,$C104,""),"")</f>
        <v/>
      </c>
      <c r="EC104" s="34">
        <f>IF(AND(EC$5&gt;$E104,EC$5&lt;=$F104),IF(EC$5=$E104+1,$C104,""),"")</f>
        <v/>
      </c>
      <c r="ED104" s="34">
        <f>IF(AND(ED$5&gt;$E104,ED$5&lt;=$F104),IF(ED$5=$E104+1,$C104,""),"")</f>
        <v/>
      </c>
      <c r="EE104" s="34">
        <f>IF(AND(EE$5&gt;$E104,EE$5&lt;=$F104),IF(EE$5=$E104+1,$C104,""),"")</f>
        <v/>
      </c>
      <c r="EF104" s="34">
        <f>IF(AND(EF$5&gt;$E104,EF$5&lt;=$F104),IF(EF$5=$E104+1,$C104,""),"")</f>
        <v/>
      </c>
      <c r="EG104" s="34">
        <f>IF(AND(EG$5&gt;$E104,EG$5&lt;=$F104),IF(EG$5=$E104+1,$C104,""),"")</f>
        <v/>
      </c>
      <c r="EH104" s="34">
        <f>IF(AND(EH$5&gt;$E104,EH$5&lt;=$F104),IF(EH$5=$E104+1,$C104,""),"")</f>
        <v/>
      </c>
      <c r="EI104" s="34">
        <f>IF(AND(EI$5&gt;$E104,EI$5&lt;=$F104),IF(EI$5=$E104+1,$C104,""),"")</f>
        <v/>
      </c>
      <c r="EJ104" s="34">
        <f>IF(AND(EJ$5&gt;$E104,EJ$5&lt;=$F104),IF(EJ$5=$E104+1,$C104,""),"")</f>
        <v/>
      </c>
      <c r="EK104" s="34">
        <f>IF(AND(EK$5&gt;$E104,EK$5&lt;=$F104),IF(EK$5=$E104+1,$C104,""),"")</f>
        <v/>
      </c>
      <c r="EL104" s="34">
        <f>IF(AND(EL$5&gt;$E104,EL$5&lt;=$F104),IF(EL$5=$E104+1,$C104,""),"")</f>
        <v/>
      </c>
      <c r="EM104" s="34">
        <f>IF(AND(EM$5&gt;$E104,EM$5&lt;=$F104),IF(EM$5=$E104+1,$C104,""),"")</f>
        <v/>
      </c>
      <c r="EN104" s="34">
        <f>IF(AND(EN$5&gt;$E104,EN$5&lt;=$F104),IF(EN$5=$E104+1,$C104,""),"")</f>
        <v/>
      </c>
      <c r="EO104" s="34">
        <f>IF(AND(EO$5&gt;$E104,EO$5&lt;=$F104),IF(EO$5=$E104+1,$C104,""),"")</f>
        <v/>
      </c>
      <c r="EP104" s="34">
        <f>IF(AND(EP$5&gt;$E104,EP$5&lt;=$F104),IF(EP$5=$E104+1,$C104,""),"")</f>
        <v/>
      </c>
      <c r="EQ104" s="34">
        <f>IF(AND(EQ$5&gt;$E104,EQ$5&lt;=$F104),IF(EQ$5=$E104+1,$C104,""),"")</f>
        <v/>
      </c>
      <c r="ER104" s="34">
        <f>IF(AND(ER$5&gt;$E104,ER$5&lt;=$F104),IF(ER$5=$E104+1,$C104,""),"")</f>
        <v/>
      </c>
      <c r="ES104" s="34">
        <f>IF(AND(ES$5&gt;$E104,ES$5&lt;=$F104),IF(ES$5=$E104+1,$C104,""),"")</f>
        <v/>
      </c>
      <c r="ET104" s="34">
        <f>IF(AND(ET$5&gt;$E104,ET$5&lt;=$F104),IF(ET$5=$E104+1,$C104,""),"")</f>
        <v/>
      </c>
      <c r="EU104" s="34">
        <f>IF(AND(EU$5&gt;$E104,EU$5&lt;=$F104),IF(EU$5=$E104+1,$C104,""),"")</f>
        <v/>
      </c>
      <c r="EV104" s="34">
        <f>IF(AND(EV$5&gt;$E104,EV$5&lt;=$F104),IF(EV$5=$E104+1,$C104,""),"")</f>
        <v/>
      </c>
      <c r="EW104" s="34">
        <f>IF(AND(EW$5&gt;$E104,EW$5&lt;=$F104),IF(EW$5=$E104+1,$C104,""),"")</f>
        <v/>
      </c>
      <c r="EX104" s="34">
        <f>IF(AND(EX$5&gt;$E104,EX$5&lt;=$F104),IF(EX$5=$E104+1,$C104,""),"")</f>
        <v/>
      </c>
      <c r="EY104" s="34">
        <f>IF(AND(EY$5&gt;$E104,EY$5&lt;=$F104),IF(EY$5=$E104+1,$C104,""),"")</f>
        <v/>
      </c>
      <c r="EZ104" s="34">
        <f>IF(AND(EZ$5&gt;$E104,EZ$5&lt;=$F104),IF(EZ$5=$E104+1,$C104,""),"")</f>
        <v/>
      </c>
      <c r="FA104" s="34">
        <f>IF(AND(FA$5&gt;$E104,FA$5&lt;=$F104),IF(FA$5=$E104+1,$C104,""),"")</f>
        <v/>
      </c>
    </row>
    <row r="105">
      <c r="A105" s="32">
        <f>Plan!A67</f>
        <v/>
      </c>
      <c r="B105" s="33">
        <f>Plan!C67</f>
        <v/>
      </c>
      <c r="C105" s="16">
        <f>Plan!D67</f>
        <v/>
      </c>
      <c r="D105" s="16">
        <f>Plan!I67</f>
        <v/>
      </c>
      <c r="E105" s="16">
        <f>Plan!K67</f>
        <v/>
      </c>
      <c r="F105" s="16">
        <f>Plan!L67</f>
        <v/>
      </c>
      <c r="G105" s="16">
        <f>Plan!O67</f>
        <v/>
      </c>
      <c r="H105" s="34">
        <f>IF(AND(H$5&gt;$E105,H$5&lt;=$F105),IF(H$5=$E105+1,$C105,""),"")</f>
        <v/>
      </c>
      <c r="I105" s="34">
        <f>IF(AND(I$5&gt;$E105,I$5&lt;=$F105),IF(I$5=$E105+1,$C105,""),"")</f>
        <v/>
      </c>
      <c r="J105" s="34">
        <f>IF(AND(J$5&gt;$E105,J$5&lt;=$F105),IF(J$5=$E105+1,$C105,""),"")</f>
        <v/>
      </c>
      <c r="K105" s="34">
        <f>IF(AND(K$5&gt;$E105,K$5&lt;=$F105),IF(K$5=$E105+1,$C105,""),"")</f>
        <v/>
      </c>
      <c r="L105" s="34">
        <f>IF(AND(L$5&gt;$E105,L$5&lt;=$F105),IF(L$5=$E105+1,$C105,""),"")</f>
        <v/>
      </c>
      <c r="M105" s="34">
        <f>IF(AND(M$5&gt;$E105,M$5&lt;=$F105),IF(M$5=$E105+1,$C105,""),"")</f>
        <v/>
      </c>
      <c r="N105" s="34">
        <f>IF(AND(N$5&gt;$E105,N$5&lt;=$F105),IF(N$5=$E105+1,$C105,""),"")</f>
        <v/>
      </c>
      <c r="O105" s="34">
        <f>IF(AND(O$5&gt;$E105,O$5&lt;=$F105),IF(O$5=$E105+1,$C105,""),"")</f>
        <v/>
      </c>
      <c r="P105" s="34">
        <f>IF(AND(P$5&gt;$E105,P$5&lt;=$F105),IF(P$5=$E105+1,$C105,""),"")</f>
        <v/>
      </c>
      <c r="Q105" s="34">
        <f>IF(AND(Q$5&gt;$E105,Q$5&lt;=$F105),IF(Q$5=$E105+1,$C105,""),"")</f>
        <v/>
      </c>
      <c r="R105" s="34">
        <f>IF(AND(R$5&gt;$E105,R$5&lt;=$F105),IF(R$5=$E105+1,$C105,""),"")</f>
        <v/>
      </c>
      <c r="S105" s="34">
        <f>IF(AND(S$5&gt;$E105,S$5&lt;=$F105),IF(S$5=$E105+1,$C105,""),"")</f>
        <v/>
      </c>
      <c r="T105" s="34">
        <f>IF(AND(T$5&gt;$E105,T$5&lt;=$F105),IF(T$5=$E105+1,$C105,""),"")</f>
        <v/>
      </c>
      <c r="U105" s="34">
        <f>IF(AND(U$5&gt;$E105,U$5&lt;=$F105),IF(U$5=$E105+1,$C105,""),"")</f>
        <v/>
      </c>
      <c r="V105" s="34">
        <f>IF(AND(V$5&gt;$E105,V$5&lt;=$F105),IF(V$5=$E105+1,$C105,""),"")</f>
        <v/>
      </c>
      <c r="W105" s="34">
        <f>IF(AND(W$5&gt;$E105,W$5&lt;=$F105),IF(W$5=$E105+1,$C105,""),"")</f>
        <v/>
      </c>
      <c r="X105" s="34">
        <f>IF(AND(X$5&gt;$E105,X$5&lt;=$F105),IF(X$5=$E105+1,$C105,""),"")</f>
        <v/>
      </c>
      <c r="Y105" s="34">
        <f>IF(AND(Y$5&gt;$E105,Y$5&lt;=$F105),IF(Y$5=$E105+1,$C105,""),"")</f>
        <v/>
      </c>
      <c r="Z105" s="34">
        <f>IF(AND(Z$5&gt;$E105,Z$5&lt;=$F105),IF(Z$5=$E105+1,$C105,""),"")</f>
        <v/>
      </c>
      <c r="AA105" s="34">
        <f>IF(AND(AA$5&gt;$E105,AA$5&lt;=$F105),IF(AA$5=$E105+1,$C105,""),"")</f>
        <v/>
      </c>
      <c r="AB105" s="34">
        <f>IF(AND(AB$5&gt;$E105,AB$5&lt;=$F105),IF(AB$5=$E105+1,$C105,""),"")</f>
        <v/>
      </c>
      <c r="AC105" s="34">
        <f>IF(AND(AC$5&gt;$E105,AC$5&lt;=$F105),IF(AC$5=$E105+1,$C105,""),"")</f>
        <v/>
      </c>
      <c r="AD105" s="34">
        <f>IF(AND(AD$5&gt;$E105,AD$5&lt;=$F105),IF(AD$5=$E105+1,$C105,""),"")</f>
        <v/>
      </c>
      <c r="AE105" s="34">
        <f>IF(AND(AE$5&gt;$E105,AE$5&lt;=$F105),IF(AE$5=$E105+1,$C105,""),"")</f>
        <v/>
      </c>
      <c r="AF105" s="34">
        <f>IF(AND(AF$5&gt;$E105,AF$5&lt;=$F105),IF(AF$5=$E105+1,$C105,""),"")</f>
        <v/>
      </c>
      <c r="AG105" s="34">
        <f>IF(AND(AG$5&gt;$E105,AG$5&lt;=$F105),IF(AG$5=$E105+1,$C105,""),"")</f>
        <v/>
      </c>
      <c r="AH105" s="34">
        <f>IF(AND(AH$5&gt;$E105,AH$5&lt;=$F105),IF(AH$5=$E105+1,$C105,""),"")</f>
        <v/>
      </c>
      <c r="AI105" s="34">
        <f>IF(AND(AI$5&gt;$E105,AI$5&lt;=$F105),IF(AI$5=$E105+1,$C105,""),"")</f>
        <v/>
      </c>
      <c r="AJ105" s="34">
        <f>IF(AND(AJ$5&gt;$E105,AJ$5&lt;=$F105),IF(AJ$5=$E105+1,$C105,""),"")</f>
        <v/>
      </c>
      <c r="AK105" s="34">
        <f>IF(AND(AK$5&gt;$E105,AK$5&lt;=$F105),IF(AK$5=$E105+1,$C105,""),"")</f>
        <v/>
      </c>
      <c r="AL105" s="34">
        <f>IF(AND(AL$5&gt;$E105,AL$5&lt;=$F105),IF(AL$5=$E105+1,$C105,""),"")</f>
        <v/>
      </c>
      <c r="AM105" s="34">
        <f>IF(AND(AM$5&gt;$E105,AM$5&lt;=$F105),IF(AM$5=$E105+1,$C105,""),"")</f>
        <v/>
      </c>
      <c r="AN105" s="34">
        <f>IF(AND(AN$5&gt;$E105,AN$5&lt;=$F105),IF(AN$5=$E105+1,$C105,""),"")</f>
        <v/>
      </c>
      <c r="AO105" s="34">
        <f>IF(AND(AO$5&gt;$E105,AO$5&lt;=$F105),IF(AO$5=$E105+1,$C105,""),"")</f>
        <v/>
      </c>
      <c r="AP105" s="34">
        <f>IF(AND(AP$5&gt;$E105,AP$5&lt;=$F105),IF(AP$5=$E105+1,$C105,""),"")</f>
        <v/>
      </c>
      <c r="AQ105" s="34">
        <f>IF(AND(AQ$5&gt;$E105,AQ$5&lt;=$F105),IF(AQ$5=$E105+1,$C105,""),"")</f>
        <v/>
      </c>
      <c r="AR105" s="34">
        <f>IF(AND(AR$5&gt;$E105,AR$5&lt;=$F105),IF(AR$5=$E105+1,$C105,""),"")</f>
        <v/>
      </c>
      <c r="AS105" s="34">
        <f>IF(AND(AS$5&gt;$E105,AS$5&lt;=$F105),IF(AS$5=$E105+1,$C105,""),"")</f>
        <v/>
      </c>
      <c r="AT105" s="34">
        <f>IF(AND(AT$5&gt;$E105,AT$5&lt;=$F105),IF(AT$5=$E105+1,$C105,""),"")</f>
        <v/>
      </c>
      <c r="AU105" s="34">
        <f>IF(AND(AU$5&gt;$E105,AU$5&lt;=$F105),IF(AU$5=$E105+1,$C105,""),"")</f>
        <v/>
      </c>
      <c r="AV105" s="34">
        <f>IF(AND(AV$5&gt;$E105,AV$5&lt;=$F105),IF(AV$5=$E105+1,$C105,""),"")</f>
        <v/>
      </c>
      <c r="AW105" s="34">
        <f>IF(AND(AW$5&gt;$E105,AW$5&lt;=$F105),IF(AW$5=$E105+1,$C105,""),"")</f>
        <v/>
      </c>
      <c r="AX105" s="34">
        <f>IF(AND(AX$5&gt;$E105,AX$5&lt;=$F105),IF(AX$5=$E105+1,$C105,""),"")</f>
        <v/>
      </c>
      <c r="AY105" s="34">
        <f>IF(AND(AY$5&gt;$E105,AY$5&lt;=$F105),IF(AY$5=$E105+1,$C105,""),"")</f>
        <v/>
      </c>
      <c r="AZ105" s="34">
        <f>IF(AND(AZ$5&gt;$E105,AZ$5&lt;=$F105),IF(AZ$5=$E105+1,$C105,""),"")</f>
        <v/>
      </c>
      <c r="BA105" s="34">
        <f>IF(AND(BA$5&gt;$E105,BA$5&lt;=$F105),IF(BA$5=$E105+1,$C105,""),"")</f>
        <v/>
      </c>
      <c r="BB105" s="34">
        <f>IF(AND(BB$5&gt;$E105,BB$5&lt;=$F105),IF(BB$5=$E105+1,$C105,""),"")</f>
        <v/>
      </c>
      <c r="BC105" s="34">
        <f>IF(AND(BC$5&gt;$E105,BC$5&lt;=$F105),IF(BC$5=$E105+1,$C105,""),"")</f>
        <v/>
      </c>
      <c r="BD105" s="34">
        <f>IF(AND(BD$5&gt;$E105,BD$5&lt;=$F105),IF(BD$5=$E105+1,$C105,""),"")</f>
        <v/>
      </c>
      <c r="BE105" s="34">
        <f>IF(AND(BE$5&gt;$E105,BE$5&lt;=$F105),IF(BE$5=$E105+1,$C105,""),"")</f>
        <v/>
      </c>
      <c r="BF105" s="34">
        <f>IF(AND(BF$5&gt;$E105,BF$5&lt;=$F105),IF(BF$5=$E105+1,$C105,""),"")</f>
        <v/>
      </c>
      <c r="BG105" s="34">
        <f>IF(AND(BG$5&gt;$E105,BG$5&lt;=$F105),IF(BG$5=$E105+1,$C105,""),"")</f>
        <v/>
      </c>
      <c r="BH105" s="34">
        <f>IF(AND(BH$5&gt;$E105,BH$5&lt;=$F105),IF(BH$5=$E105+1,$C105,""),"")</f>
        <v/>
      </c>
      <c r="BI105" s="34">
        <f>IF(AND(BI$5&gt;$E105,BI$5&lt;=$F105),IF(BI$5=$E105+1,$C105,""),"")</f>
        <v/>
      </c>
      <c r="BJ105" s="34">
        <f>IF(AND(BJ$5&gt;$E105,BJ$5&lt;=$F105),IF(BJ$5=$E105+1,$C105,""),"")</f>
        <v/>
      </c>
      <c r="BK105" s="34">
        <f>IF(AND(BK$5&gt;$E105,BK$5&lt;=$F105),IF(BK$5=$E105+1,$C105,""),"")</f>
        <v/>
      </c>
      <c r="BL105" s="34">
        <f>IF(AND(BL$5&gt;$E105,BL$5&lt;=$F105),IF(BL$5=$E105+1,$C105,""),"")</f>
        <v/>
      </c>
      <c r="BM105" s="34">
        <f>IF(AND(BM$5&gt;$E105,BM$5&lt;=$F105),IF(BM$5=$E105+1,$C105,""),"")</f>
        <v/>
      </c>
      <c r="BN105" s="34">
        <f>IF(AND(BN$5&gt;$E105,BN$5&lt;=$F105),IF(BN$5=$E105+1,$C105,""),"")</f>
        <v/>
      </c>
      <c r="BO105" s="34">
        <f>IF(AND(BO$5&gt;$E105,BO$5&lt;=$F105),IF(BO$5=$E105+1,$C105,""),"")</f>
        <v/>
      </c>
      <c r="BP105" s="34">
        <f>IF(AND(BP$5&gt;$E105,BP$5&lt;=$F105),IF(BP$5=$E105+1,$C105,""),"")</f>
        <v/>
      </c>
      <c r="BQ105" s="34">
        <f>IF(AND(BQ$5&gt;$E105,BQ$5&lt;=$F105),IF(BQ$5=$E105+1,$C105,""),"")</f>
        <v/>
      </c>
      <c r="BR105" s="34">
        <f>IF(AND(BR$5&gt;$E105,BR$5&lt;=$F105),IF(BR$5=$E105+1,$C105,""),"")</f>
        <v/>
      </c>
      <c r="BS105" s="34">
        <f>IF(AND(BS$5&gt;$E105,BS$5&lt;=$F105),IF(BS$5=$E105+1,$C105,""),"")</f>
        <v/>
      </c>
      <c r="BT105" s="34">
        <f>IF(AND(BT$5&gt;$E105,BT$5&lt;=$F105),IF(BT$5=$E105+1,$C105,""),"")</f>
        <v/>
      </c>
      <c r="BU105" s="34">
        <f>IF(AND(BU$5&gt;$E105,BU$5&lt;=$F105),IF(BU$5=$E105+1,$C105,""),"")</f>
        <v/>
      </c>
      <c r="BV105" s="34">
        <f>IF(AND(BV$5&gt;$E105,BV$5&lt;=$F105),IF(BV$5=$E105+1,$C105,""),"")</f>
        <v/>
      </c>
      <c r="BW105" s="34">
        <f>IF(AND(BW$5&gt;$E105,BW$5&lt;=$F105),IF(BW$5=$E105+1,$C105,""),"")</f>
        <v/>
      </c>
      <c r="BX105" s="34">
        <f>IF(AND(BX$5&gt;$E105,BX$5&lt;=$F105),IF(BX$5=$E105+1,$C105,""),"")</f>
        <v/>
      </c>
      <c r="BY105" s="34">
        <f>IF(AND(BY$5&gt;$E105,BY$5&lt;=$F105),IF(BY$5=$E105+1,$C105,""),"")</f>
        <v/>
      </c>
      <c r="BZ105" s="34">
        <f>IF(AND(BZ$5&gt;$E105,BZ$5&lt;=$F105),IF(BZ$5=$E105+1,$C105,""),"")</f>
        <v/>
      </c>
      <c r="CA105" s="34">
        <f>IF(AND(CA$5&gt;$E105,CA$5&lt;=$F105),IF(CA$5=$E105+1,$C105,""),"")</f>
        <v/>
      </c>
      <c r="CB105" s="34">
        <f>IF(AND(CB$5&gt;$E105,CB$5&lt;=$F105),IF(CB$5=$E105+1,$C105,""),"")</f>
        <v/>
      </c>
      <c r="CC105" s="34">
        <f>IF(AND(CC$5&gt;$E105,CC$5&lt;=$F105),IF(CC$5=$E105+1,$C105,""),"")</f>
        <v/>
      </c>
      <c r="CD105" s="34">
        <f>IF(AND(CD$5&gt;$E105,CD$5&lt;=$F105),IF(CD$5=$E105+1,$C105,""),"")</f>
        <v/>
      </c>
      <c r="CE105" s="34">
        <f>IF(AND(CE$5&gt;$E105,CE$5&lt;=$F105),IF(CE$5=$E105+1,$C105,""),"")</f>
        <v/>
      </c>
      <c r="CF105" s="34">
        <f>IF(AND(CF$5&gt;$E105,CF$5&lt;=$F105),IF(CF$5=$E105+1,$C105,""),"")</f>
        <v/>
      </c>
      <c r="CG105" s="34">
        <f>IF(AND(CG$5&gt;$E105,CG$5&lt;=$F105),IF(CG$5=$E105+1,$C105,""),"")</f>
        <v/>
      </c>
      <c r="CH105" s="34">
        <f>IF(AND(CH$5&gt;$E105,CH$5&lt;=$F105),IF(CH$5=$E105+1,$C105,""),"")</f>
        <v/>
      </c>
      <c r="CI105" s="34">
        <f>IF(AND(CI$5&gt;$E105,CI$5&lt;=$F105),IF(CI$5=$E105+1,$C105,""),"")</f>
        <v/>
      </c>
      <c r="CJ105" s="34">
        <f>IF(AND(CJ$5&gt;$E105,CJ$5&lt;=$F105),IF(CJ$5=$E105+1,$C105,""),"")</f>
        <v/>
      </c>
      <c r="CK105" s="34">
        <f>IF(AND(CK$5&gt;$E105,CK$5&lt;=$F105),IF(CK$5=$E105+1,$C105,""),"")</f>
        <v/>
      </c>
      <c r="CL105" s="34">
        <f>IF(AND(CL$5&gt;$E105,CL$5&lt;=$F105),IF(CL$5=$E105+1,$C105,""),"")</f>
        <v/>
      </c>
      <c r="CM105" s="34">
        <f>IF(AND(CM$5&gt;$E105,CM$5&lt;=$F105),IF(CM$5=$E105+1,$C105,""),"")</f>
        <v/>
      </c>
      <c r="CN105" s="34">
        <f>IF(AND(CN$5&gt;$E105,CN$5&lt;=$F105),IF(CN$5=$E105+1,$C105,""),"")</f>
        <v/>
      </c>
      <c r="CO105" s="34">
        <f>IF(AND(CO$5&gt;$E105,CO$5&lt;=$F105),IF(CO$5=$E105+1,$C105,""),"")</f>
        <v/>
      </c>
      <c r="CP105" s="34">
        <f>IF(AND(CP$5&gt;$E105,CP$5&lt;=$F105),IF(CP$5=$E105+1,$C105,""),"")</f>
        <v/>
      </c>
      <c r="CQ105" s="34">
        <f>IF(AND(CQ$5&gt;$E105,CQ$5&lt;=$F105),IF(CQ$5=$E105+1,$C105,""),"")</f>
        <v/>
      </c>
      <c r="CR105" s="34">
        <f>IF(AND(CR$5&gt;$E105,CR$5&lt;=$F105),IF(CR$5=$E105+1,$C105,""),"")</f>
        <v/>
      </c>
      <c r="CS105" s="34">
        <f>IF(AND(CS$5&gt;$E105,CS$5&lt;=$F105),IF(CS$5=$E105+1,$C105,""),"")</f>
        <v/>
      </c>
      <c r="CT105" s="34">
        <f>IF(AND(CT$5&gt;$E105,CT$5&lt;=$F105),IF(CT$5=$E105+1,$C105,""),"")</f>
        <v/>
      </c>
      <c r="CU105" s="34">
        <f>IF(AND(CU$5&gt;$E105,CU$5&lt;=$F105),IF(CU$5=$E105+1,$C105,""),"")</f>
        <v/>
      </c>
      <c r="CV105" s="34">
        <f>IF(AND(CV$5&gt;$E105,CV$5&lt;=$F105),IF(CV$5=$E105+1,$C105,""),"")</f>
        <v/>
      </c>
      <c r="CW105" s="34">
        <f>IF(AND(CW$5&gt;$E105,CW$5&lt;=$F105),IF(CW$5=$E105+1,$C105,""),"")</f>
        <v/>
      </c>
      <c r="CX105" s="34">
        <f>IF(AND(CX$5&gt;$E105,CX$5&lt;=$F105),IF(CX$5=$E105+1,$C105,""),"")</f>
        <v/>
      </c>
      <c r="CY105" s="34">
        <f>IF(AND(CY$5&gt;$E105,CY$5&lt;=$F105),IF(CY$5=$E105+1,$C105,""),"")</f>
        <v/>
      </c>
      <c r="CZ105" s="34">
        <f>IF(AND(CZ$5&gt;$E105,CZ$5&lt;=$F105),IF(CZ$5=$E105+1,$C105,""),"")</f>
        <v/>
      </c>
      <c r="DA105" s="34">
        <f>IF(AND(DA$5&gt;$E105,DA$5&lt;=$F105),IF(DA$5=$E105+1,$C105,""),"")</f>
        <v/>
      </c>
      <c r="DB105" s="34">
        <f>IF(AND(DB$5&gt;$E105,DB$5&lt;=$F105),IF(DB$5=$E105+1,$C105,""),"")</f>
        <v/>
      </c>
      <c r="DC105" s="34">
        <f>IF(AND(DC$5&gt;$E105,DC$5&lt;=$F105),IF(DC$5=$E105+1,$C105,""),"")</f>
        <v/>
      </c>
      <c r="DD105" s="34">
        <f>IF(AND(DD$5&gt;$E105,DD$5&lt;=$F105),IF(DD$5=$E105+1,$C105,""),"")</f>
        <v/>
      </c>
      <c r="DE105" s="34">
        <f>IF(AND(DE$5&gt;$E105,DE$5&lt;=$F105),IF(DE$5=$E105+1,$C105,""),"")</f>
        <v/>
      </c>
      <c r="DF105" s="34">
        <f>IF(AND(DF$5&gt;$E105,DF$5&lt;=$F105),IF(DF$5=$E105+1,$C105,""),"")</f>
        <v/>
      </c>
      <c r="DG105" s="34">
        <f>IF(AND(DG$5&gt;$E105,DG$5&lt;=$F105),IF(DG$5=$E105+1,$C105,""),"")</f>
        <v/>
      </c>
      <c r="DH105" s="34">
        <f>IF(AND(DH$5&gt;$E105,DH$5&lt;=$F105),IF(DH$5=$E105+1,$C105,""),"")</f>
        <v/>
      </c>
      <c r="DI105" s="34">
        <f>IF(AND(DI$5&gt;$E105,DI$5&lt;=$F105),IF(DI$5=$E105+1,$C105,""),"")</f>
        <v/>
      </c>
      <c r="DJ105" s="34">
        <f>IF(AND(DJ$5&gt;$E105,DJ$5&lt;=$F105),IF(DJ$5=$E105+1,$C105,""),"")</f>
        <v/>
      </c>
      <c r="DK105" s="34">
        <f>IF(AND(DK$5&gt;$E105,DK$5&lt;=$F105),IF(DK$5=$E105+1,$C105,""),"")</f>
        <v/>
      </c>
      <c r="DL105" s="34">
        <f>IF(AND(DL$5&gt;$E105,DL$5&lt;=$F105),IF(DL$5=$E105+1,$C105,""),"")</f>
        <v/>
      </c>
      <c r="DM105" s="34">
        <f>IF(AND(DM$5&gt;$E105,DM$5&lt;=$F105),IF(DM$5=$E105+1,$C105,""),"")</f>
        <v/>
      </c>
      <c r="DN105" s="34">
        <f>IF(AND(DN$5&gt;$E105,DN$5&lt;=$F105),IF(DN$5=$E105+1,$C105,""),"")</f>
        <v/>
      </c>
      <c r="DO105" s="34">
        <f>IF(AND(DO$5&gt;$E105,DO$5&lt;=$F105),IF(DO$5=$E105+1,$C105,""),"")</f>
        <v/>
      </c>
      <c r="DP105" s="34">
        <f>IF(AND(DP$5&gt;$E105,DP$5&lt;=$F105),IF(DP$5=$E105+1,$C105,""),"")</f>
        <v/>
      </c>
      <c r="DQ105" s="34">
        <f>IF(AND(DQ$5&gt;$E105,DQ$5&lt;=$F105),IF(DQ$5=$E105+1,$C105,""),"")</f>
        <v/>
      </c>
      <c r="DR105" s="34">
        <f>IF(AND(DR$5&gt;$E105,DR$5&lt;=$F105),IF(DR$5=$E105+1,$C105,""),"")</f>
        <v/>
      </c>
      <c r="DS105" s="34">
        <f>IF(AND(DS$5&gt;$E105,DS$5&lt;=$F105),IF(DS$5=$E105+1,$C105,""),"")</f>
        <v/>
      </c>
      <c r="DT105" s="34">
        <f>IF(AND(DT$5&gt;$E105,DT$5&lt;=$F105),IF(DT$5=$E105+1,$C105,""),"")</f>
        <v/>
      </c>
      <c r="DU105" s="34">
        <f>IF(AND(DU$5&gt;$E105,DU$5&lt;=$F105),IF(DU$5=$E105+1,$C105,""),"")</f>
        <v/>
      </c>
      <c r="DV105" s="34">
        <f>IF(AND(DV$5&gt;$E105,DV$5&lt;=$F105),IF(DV$5=$E105+1,$C105,""),"")</f>
        <v/>
      </c>
      <c r="DW105" s="34">
        <f>IF(AND(DW$5&gt;$E105,DW$5&lt;=$F105),IF(DW$5=$E105+1,$C105,""),"")</f>
        <v/>
      </c>
      <c r="DX105" s="34">
        <f>IF(AND(DX$5&gt;$E105,DX$5&lt;=$F105),IF(DX$5=$E105+1,$C105,""),"")</f>
        <v/>
      </c>
      <c r="DY105" s="34">
        <f>IF(AND(DY$5&gt;$E105,DY$5&lt;=$F105),IF(DY$5=$E105+1,$C105,""),"")</f>
        <v/>
      </c>
      <c r="DZ105" s="34">
        <f>IF(AND(DZ$5&gt;$E105,DZ$5&lt;=$F105),IF(DZ$5=$E105+1,$C105,""),"")</f>
        <v/>
      </c>
      <c r="EA105" s="34">
        <f>IF(AND(EA$5&gt;$E105,EA$5&lt;=$F105),IF(EA$5=$E105+1,$C105,""),"")</f>
        <v/>
      </c>
      <c r="EB105" s="34">
        <f>IF(AND(EB$5&gt;$E105,EB$5&lt;=$F105),IF(EB$5=$E105+1,$C105,""),"")</f>
        <v/>
      </c>
      <c r="EC105" s="34">
        <f>IF(AND(EC$5&gt;$E105,EC$5&lt;=$F105),IF(EC$5=$E105+1,$C105,""),"")</f>
        <v/>
      </c>
      <c r="ED105" s="34">
        <f>IF(AND(ED$5&gt;$E105,ED$5&lt;=$F105),IF(ED$5=$E105+1,$C105,""),"")</f>
        <v/>
      </c>
      <c r="EE105" s="34">
        <f>IF(AND(EE$5&gt;$E105,EE$5&lt;=$F105),IF(EE$5=$E105+1,$C105,""),"")</f>
        <v/>
      </c>
      <c r="EF105" s="34">
        <f>IF(AND(EF$5&gt;$E105,EF$5&lt;=$F105),IF(EF$5=$E105+1,$C105,""),"")</f>
        <v/>
      </c>
      <c r="EG105" s="34">
        <f>IF(AND(EG$5&gt;$E105,EG$5&lt;=$F105),IF(EG$5=$E105+1,$C105,""),"")</f>
        <v/>
      </c>
      <c r="EH105" s="34">
        <f>IF(AND(EH$5&gt;$E105,EH$5&lt;=$F105),IF(EH$5=$E105+1,$C105,""),"")</f>
        <v/>
      </c>
      <c r="EI105" s="34">
        <f>IF(AND(EI$5&gt;$E105,EI$5&lt;=$F105),IF(EI$5=$E105+1,$C105,""),"")</f>
        <v/>
      </c>
      <c r="EJ105" s="34">
        <f>IF(AND(EJ$5&gt;$E105,EJ$5&lt;=$F105),IF(EJ$5=$E105+1,$C105,""),"")</f>
        <v/>
      </c>
      <c r="EK105" s="34">
        <f>IF(AND(EK$5&gt;$E105,EK$5&lt;=$F105),IF(EK$5=$E105+1,$C105,""),"")</f>
        <v/>
      </c>
      <c r="EL105" s="34">
        <f>IF(AND(EL$5&gt;$E105,EL$5&lt;=$F105),IF(EL$5=$E105+1,$C105,""),"")</f>
        <v/>
      </c>
      <c r="EM105" s="34">
        <f>IF(AND(EM$5&gt;$E105,EM$5&lt;=$F105),IF(EM$5=$E105+1,$C105,""),"")</f>
        <v/>
      </c>
      <c r="EN105" s="34">
        <f>IF(AND(EN$5&gt;$E105,EN$5&lt;=$F105),IF(EN$5=$E105+1,$C105,""),"")</f>
        <v/>
      </c>
      <c r="EO105" s="34">
        <f>IF(AND(EO$5&gt;$E105,EO$5&lt;=$F105),IF(EO$5=$E105+1,$C105,""),"")</f>
        <v/>
      </c>
      <c r="EP105" s="34">
        <f>IF(AND(EP$5&gt;$E105,EP$5&lt;=$F105),IF(EP$5=$E105+1,$C105,""),"")</f>
        <v/>
      </c>
      <c r="EQ105" s="34">
        <f>IF(AND(EQ$5&gt;$E105,EQ$5&lt;=$F105),IF(EQ$5=$E105+1,$C105,""),"")</f>
        <v/>
      </c>
      <c r="ER105" s="34">
        <f>IF(AND(ER$5&gt;$E105,ER$5&lt;=$F105),IF(ER$5=$E105+1,$C105,""),"")</f>
        <v/>
      </c>
      <c r="ES105" s="34">
        <f>IF(AND(ES$5&gt;$E105,ES$5&lt;=$F105),IF(ES$5=$E105+1,$C105,""),"")</f>
        <v/>
      </c>
      <c r="ET105" s="34">
        <f>IF(AND(ET$5&gt;$E105,ET$5&lt;=$F105),IF(ET$5=$E105+1,$C105,""),"")</f>
        <v/>
      </c>
      <c r="EU105" s="34">
        <f>IF(AND(EU$5&gt;$E105,EU$5&lt;=$F105),IF(EU$5=$E105+1,$C105,""),"")</f>
        <v/>
      </c>
      <c r="EV105" s="34">
        <f>IF(AND(EV$5&gt;$E105,EV$5&lt;=$F105),IF(EV$5=$E105+1,$C105,""),"")</f>
        <v/>
      </c>
      <c r="EW105" s="34">
        <f>IF(AND(EW$5&gt;$E105,EW$5&lt;=$F105),IF(EW$5=$E105+1,$C105,""),"")</f>
        <v/>
      </c>
      <c r="EX105" s="34">
        <f>IF(AND(EX$5&gt;$E105,EX$5&lt;=$F105),IF(EX$5=$E105+1,$C105,""),"")</f>
        <v/>
      </c>
      <c r="EY105" s="34">
        <f>IF(AND(EY$5&gt;$E105,EY$5&lt;=$F105),IF(EY$5=$E105+1,$C105,""),"")</f>
        <v/>
      </c>
      <c r="EZ105" s="34">
        <f>IF(AND(EZ$5&gt;$E105,EZ$5&lt;=$F105),IF(EZ$5=$E105+1,$C105,""),"")</f>
        <v/>
      </c>
      <c r="FA105" s="34">
        <f>IF(AND(FA$5&gt;$E105,FA$5&lt;=$F105),IF(FA$5=$E105+1,$C105,""),"")</f>
        <v/>
      </c>
    </row>
    <row r="106">
      <c r="A106" s="32">
        <f>Plan!A68</f>
        <v/>
      </c>
      <c r="B106" s="33">
        <f>Plan!C68</f>
        <v/>
      </c>
      <c r="C106" s="16">
        <f>Plan!D68</f>
        <v/>
      </c>
      <c r="D106" s="16">
        <f>Plan!I68</f>
        <v/>
      </c>
      <c r="E106" s="16">
        <f>Plan!K68</f>
        <v/>
      </c>
      <c r="F106" s="16">
        <f>Plan!L68</f>
        <v/>
      </c>
      <c r="G106" s="16">
        <f>Plan!O68</f>
        <v/>
      </c>
      <c r="H106" s="34">
        <f>IF(AND(H$5&gt;$E106,H$5&lt;=$F106),IF(H$5=$E106+1,$C106,""),"")</f>
        <v/>
      </c>
      <c r="I106" s="34">
        <f>IF(AND(I$5&gt;$E106,I$5&lt;=$F106),IF(I$5=$E106+1,$C106,""),"")</f>
        <v/>
      </c>
      <c r="J106" s="34">
        <f>IF(AND(J$5&gt;$E106,J$5&lt;=$F106),IF(J$5=$E106+1,$C106,""),"")</f>
        <v/>
      </c>
      <c r="K106" s="34">
        <f>IF(AND(K$5&gt;$E106,K$5&lt;=$F106),IF(K$5=$E106+1,$C106,""),"")</f>
        <v/>
      </c>
      <c r="L106" s="34">
        <f>IF(AND(L$5&gt;$E106,L$5&lt;=$F106),IF(L$5=$E106+1,$C106,""),"")</f>
        <v/>
      </c>
      <c r="M106" s="34">
        <f>IF(AND(M$5&gt;$E106,M$5&lt;=$F106),IF(M$5=$E106+1,$C106,""),"")</f>
        <v/>
      </c>
      <c r="N106" s="34">
        <f>IF(AND(N$5&gt;$E106,N$5&lt;=$F106),IF(N$5=$E106+1,$C106,""),"")</f>
        <v/>
      </c>
      <c r="O106" s="34">
        <f>IF(AND(O$5&gt;$E106,O$5&lt;=$F106),IF(O$5=$E106+1,$C106,""),"")</f>
        <v/>
      </c>
      <c r="P106" s="34">
        <f>IF(AND(P$5&gt;$E106,P$5&lt;=$F106),IF(P$5=$E106+1,$C106,""),"")</f>
        <v/>
      </c>
      <c r="Q106" s="34">
        <f>IF(AND(Q$5&gt;$E106,Q$5&lt;=$F106),IF(Q$5=$E106+1,$C106,""),"")</f>
        <v/>
      </c>
      <c r="R106" s="34">
        <f>IF(AND(R$5&gt;$E106,R$5&lt;=$F106),IF(R$5=$E106+1,$C106,""),"")</f>
        <v/>
      </c>
      <c r="S106" s="34">
        <f>IF(AND(S$5&gt;$E106,S$5&lt;=$F106),IF(S$5=$E106+1,$C106,""),"")</f>
        <v/>
      </c>
      <c r="T106" s="34">
        <f>IF(AND(T$5&gt;$E106,T$5&lt;=$F106),IF(T$5=$E106+1,$C106,""),"")</f>
        <v/>
      </c>
      <c r="U106" s="34">
        <f>IF(AND(U$5&gt;$E106,U$5&lt;=$F106),IF(U$5=$E106+1,$C106,""),"")</f>
        <v/>
      </c>
      <c r="V106" s="34">
        <f>IF(AND(V$5&gt;$E106,V$5&lt;=$F106),IF(V$5=$E106+1,$C106,""),"")</f>
        <v/>
      </c>
      <c r="W106" s="34">
        <f>IF(AND(W$5&gt;$E106,W$5&lt;=$F106),IF(W$5=$E106+1,$C106,""),"")</f>
        <v/>
      </c>
      <c r="X106" s="34">
        <f>IF(AND(X$5&gt;$E106,X$5&lt;=$F106),IF(X$5=$E106+1,$C106,""),"")</f>
        <v/>
      </c>
      <c r="Y106" s="34">
        <f>IF(AND(Y$5&gt;$E106,Y$5&lt;=$F106),IF(Y$5=$E106+1,$C106,""),"")</f>
        <v/>
      </c>
      <c r="Z106" s="34">
        <f>IF(AND(Z$5&gt;$E106,Z$5&lt;=$F106),IF(Z$5=$E106+1,$C106,""),"")</f>
        <v/>
      </c>
      <c r="AA106" s="34">
        <f>IF(AND(AA$5&gt;$E106,AA$5&lt;=$F106),IF(AA$5=$E106+1,$C106,""),"")</f>
        <v/>
      </c>
      <c r="AB106" s="34">
        <f>IF(AND(AB$5&gt;$E106,AB$5&lt;=$F106),IF(AB$5=$E106+1,$C106,""),"")</f>
        <v/>
      </c>
      <c r="AC106" s="34">
        <f>IF(AND(AC$5&gt;$E106,AC$5&lt;=$F106),IF(AC$5=$E106+1,$C106,""),"")</f>
        <v/>
      </c>
      <c r="AD106" s="34">
        <f>IF(AND(AD$5&gt;$E106,AD$5&lt;=$F106),IF(AD$5=$E106+1,$C106,""),"")</f>
        <v/>
      </c>
      <c r="AE106" s="34">
        <f>IF(AND(AE$5&gt;$E106,AE$5&lt;=$F106),IF(AE$5=$E106+1,$C106,""),"")</f>
        <v/>
      </c>
      <c r="AF106" s="34">
        <f>IF(AND(AF$5&gt;$E106,AF$5&lt;=$F106),IF(AF$5=$E106+1,$C106,""),"")</f>
        <v/>
      </c>
      <c r="AG106" s="34">
        <f>IF(AND(AG$5&gt;$E106,AG$5&lt;=$F106),IF(AG$5=$E106+1,$C106,""),"")</f>
        <v/>
      </c>
      <c r="AH106" s="34">
        <f>IF(AND(AH$5&gt;$E106,AH$5&lt;=$F106),IF(AH$5=$E106+1,$C106,""),"")</f>
        <v/>
      </c>
      <c r="AI106" s="34">
        <f>IF(AND(AI$5&gt;$E106,AI$5&lt;=$F106),IF(AI$5=$E106+1,$C106,""),"")</f>
        <v/>
      </c>
      <c r="AJ106" s="34">
        <f>IF(AND(AJ$5&gt;$E106,AJ$5&lt;=$F106),IF(AJ$5=$E106+1,$C106,""),"")</f>
        <v/>
      </c>
      <c r="AK106" s="34">
        <f>IF(AND(AK$5&gt;$E106,AK$5&lt;=$F106),IF(AK$5=$E106+1,$C106,""),"")</f>
        <v/>
      </c>
      <c r="AL106" s="34">
        <f>IF(AND(AL$5&gt;$E106,AL$5&lt;=$F106),IF(AL$5=$E106+1,$C106,""),"")</f>
        <v/>
      </c>
      <c r="AM106" s="34">
        <f>IF(AND(AM$5&gt;$E106,AM$5&lt;=$F106),IF(AM$5=$E106+1,$C106,""),"")</f>
        <v/>
      </c>
      <c r="AN106" s="34">
        <f>IF(AND(AN$5&gt;$E106,AN$5&lt;=$F106),IF(AN$5=$E106+1,$C106,""),"")</f>
        <v/>
      </c>
      <c r="AO106" s="34">
        <f>IF(AND(AO$5&gt;$E106,AO$5&lt;=$F106),IF(AO$5=$E106+1,$C106,""),"")</f>
        <v/>
      </c>
      <c r="AP106" s="34">
        <f>IF(AND(AP$5&gt;$E106,AP$5&lt;=$F106),IF(AP$5=$E106+1,$C106,""),"")</f>
        <v/>
      </c>
      <c r="AQ106" s="34">
        <f>IF(AND(AQ$5&gt;$E106,AQ$5&lt;=$F106),IF(AQ$5=$E106+1,$C106,""),"")</f>
        <v/>
      </c>
      <c r="AR106" s="34">
        <f>IF(AND(AR$5&gt;$E106,AR$5&lt;=$F106),IF(AR$5=$E106+1,$C106,""),"")</f>
        <v/>
      </c>
      <c r="AS106" s="34">
        <f>IF(AND(AS$5&gt;$E106,AS$5&lt;=$F106),IF(AS$5=$E106+1,$C106,""),"")</f>
        <v/>
      </c>
      <c r="AT106" s="34">
        <f>IF(AND(AT$5&gt;$E106,AT$5&lt;=$F106),IF(AT$5=$E106+1,$C106,""),"")</f>
        <v/>
      </c>
      <c r="AU106" s="34">
        <f>IF(AND(AU$5&gt;$E106,AU$5&lt;=$F106),IF(AU$5=$E106+1,$C106,""),"")</f>
        <v/>
      </c>
      <c r="AV106" s="34">
        <f>IF(AND(AV$5&gt;$E106,AV$5&lt;=$F106),IF(AV$5=$E106+1,$C106,""),"")</f>
        <v/>
      </c>
      <c r="AW106" s="34">
        <f>IF(AND(AW$5&gt;$E106,AW$5&lt;=$F106),IF(AW$5=$E106+1,$C106,""),"")</f>
        <v/>
      </c>
      <c r="AX106" s="34">
        <f>IF(AND(AX$5&gt;$E106,AX$5&lt;=$F106),IF(AX$5=$E106+1,$C106,""),"")</f>
        <v/>
      </c>
      <c r="AY106" s="34">
        <f>IF(AND(AY$5&gt;$E106,AY$5&lt;=$F106),IF(AY$5=$E106+1,$C106,""),"")</f>
        <v/>
      </c>
      <c r="AZ106" s="34">
        <f>IF(AND(AZ$5&gt;$E106,AZ$5&lt;=$F106),IF(AZ$5=$E106+1,$C106,""),"")</f>
        <v/>
      </c>
      <c r="BA106" s="34">
        <f>IF(AND(BA$5&gt;$E106,BA$5&lt;=$F106),IF(BA$5=$E106+1,$C106,""),"")</f>
        <v/>
      </c>
      <c r="BB106" s="34">
        <f>IF(AND(BB$5&gt;$E106,BB$5&lt;=$F106),IF(BB$5=$E106+1,$C106,""),"")</f>
        <v/>
      </c>
      <c r="BC106" s="34">
        <f>IF(AND(BC$5&gt;$E106,BC$5&lt;=$F106),IF(BC$5=$E106+1,$C106,""),"")</f>
        <v/>
      </c>
      <c r="BD106" s="34">
        <f>IF(AND(BD$5&gt;$E106,BD$5&lt;=$F106),IF(BD$5=$E106+1,$C106,""),"")</f>
        <v/>
      </c>
      <c r="BE106" s="34">
        <f>IF(AND(BE$5&gt;$E106,BE$5&lt;=$F106),IF(BE$5=$E106+1,$C106,""),"")</f>
        <v/>
      </c>
      <c r="BF106" s="34">
        <f>IF(AND(BF$5&gt;$E106,BF$5&lt;=$F106),IF(BF$5=$E106+1,$C106,""),"")</f>
        <v/>
      </c>
      <c r="BG106" s="34">
        <f>IF(AND(BG$5&gt;$E106,BG$5&lt;=$F106),IF(BG$5=$E106+1,$C106,""),"")</f>
        <v/>
      </c>
      <c r="BH106" s="34">
        <f>IF(AND(BH$5&gt;$E106,BH$5&lt;=$F106),IF(BH$5=$E106+1,$C106,""),"")</f>
        <v/>
      </c>
      <c r="BI106" s="34">
        <f>IF(AND(BI$5&gt;$E106,BI$5&lt;=$F106),IF(BI$5=$E106+1,$C106,""),"")</f>
        <v/>
      </c>
      <c r="BJ106" s="34">
        <f>IF(AND(BJ$5&gt;$E106,BJ$5&lt;=$F106),IF(BJ$5=$E106+1,$C106,""),"")</f>
        <v/>
      </c>
      <c r="BK106" s="34">
        <f>IF(AND(BK$5&gt;$E106,BK$5&lt;=$F106),IF(BK$5=$E106+1,$C106,""),"")</f>
        <v/>
      </c>
      <c r="BL106" s="34">
        <f>IF(AND(BL$5&gt;$E106,BL$5&lt;=$F106),IF(BL$5=$E106+1,$C106,""),"")</f>
        <v/>
      </c>
      <c r="BM106" s="34">
        <f>IF(AND(BM$5&gt;$E106,BM$5&lt;=$F106),IF(BM$5=$E106+1,$C106,""),"")</f>
        <v/>
      </c>
      <c r="BN106" s="34">
        <f>IF(AND(BN$5&gt;$E106,BN$5&lt;=$F106),IF(BN$5=$E106+1,$C106,""),"")</f>
        <v/>
      </c>
      <c r="BO106" s="34">
        <f>IF(AND(BO$5&gt;$E106,BO$5&lt;=$F106),IF(BO$5=$E106+1,$C106,""),"")</f>
        <v/>
      </c>
      <c r="BP106" s="34">
        <f>IF(AND(BP$5&gt;$E106,BP$5&lt;=$F106),IF(BP$5=$E106+1,$C106,""),"")</f>
        <v/>
      </c>
      <c r="BQ106" s="34">
        <f>IF(AND(BQ$5&gt;$E106,BQ$5&lt;=$F106),IF(BQ$5=$E106+1,$C106,""),"")</f>
        <v/>
      </c>
      <c r="BR106" s="34">
        <f>IF(AND(BR$5&gt;$E106,BR$5&lt;=$F106),IF(BR$5=$E106+1,$C106,""),"")</f>
        <v/>
      </c>
      <c r="BS106" s="34">
        <f>IF(AND(BS$5&gt;$E106,BS$5&lt;=$F106),IF(BS$5=$E106+1,$C106,""),"")</f>
        <v/>
      </c>
      <c r="BT106" s="34">
        <f>IF(AND(BT$5&gt;$E106,BT$5&lt;=$F106),IF(BT$5=$E106+1,$C106,""),"")</f>
        <v/>
      </c>
      <c r="BU106" s="34">
        <f>IF(AND(BU$5&gt;$E106,BU$5&lt;=$F106),IF(BU$5=$E106+1,$C106,""),"")</f>
        <v/>
      </c>
      <c r="BV106" s="34">
        <f>IF(AND(BV$5&gt;$E106,BV$5&lt;=$F106),IF(BV$5=$E106+1,$C106,""),"")</f>
        <v/>
      </c>
      <c r="BW106" s="34">
        <f>IF(AND(BW$5&gt;$E106,BW$5&lt;=$F106),IF(BW$5=$E106+1,$C106,""),"")</f>
        <v/>
      </c>
      <c r="BX106" s="34">
        <f>IF(AND(BX$5&gt;$E106,BX$5&lt;=$F106),IF(BX$5=$E106+1,$C106,""),"")</f>
        <v/>
      </c>
      <c r="BY106" s="34">
        <f>IF(AND(BY$5&gt;$E106,BY$5&lt;=$F106),IF(BY$5=$E106+1,$C106,""),"")</f>
        <v/>
      </c>
      <c r="BZ106" s="34">
        <f>IF(AND(BZ$5&gt;$E106,BZ$5&lt;=$F106),IF(BZ$5=$E106+1,$C106,""),"")</f>
        <v/>
      </c>
      <c r="CA106" s="34">
        <f>IF(AND(CA$5&gt;$E106,CA$5&lt;=$F106),IF(CA$5=$E106+1,$C106,""),"")</f>
        <v/>
      </c>
      <c r="CB106" s="34">
        <f>IF(AND(CB$5&gt;$E106,CB$5&lt;=$F106),IF(CB$5=$E106+1,$C106,""),"")</f>
        <v/>
      </c>
      <c r="CC106" s="34">
        <f>IF(AND(CC$5&gt;$E106,CC$5&lt;=$F106),IF(CC$5=$E106+1,$C106,""),"")</f>
        <v/>
      </c>
      <c r="CD106" s="34">
        <f>IF(AND(CD$5&gt;$E106,CD$5&lt;=$F106),IF(CD$5=$E106+1,$C106,""),"")</f>
        <v/>
      </c>
      <c r="CE106" s="34">
        <f>IF(AND(CE$5&gt;$E106,CE$5&lt;=$F106),IF(CE$5=$E106+1,$C106,""),"")</f>
        <v/>
      </c>
      <c r="CF106" s="34">
        <f>IF(AND(CF$5&gt;$E106,CF$5&lt;=$F106),IF(CF$5=$E106+1,$C106,""),"")</f>
        <v/>
      </c>
      <c r="CG106" s="34">
        <f>IF(AND(CG$5&gt;$E106,CG$5&lt;=$F106),IF(CG$5=$E106+1,$C106,""),"")</f>
        <v/>
      </c>
      <c r="CH106" s="34">
        <f>IF(AND(CH$5&gt;$E106,CH$5&lt;=$F106),IF(CH$5=$E106+1,$C106,""),"")</f>
        <v/>
      </c>
      <c r="CI106" s="34">
        <f>IF(AND(CI$5&gt;$E106,CI$5&lt;=$F106),IF(CI$5=$E106+1,$C106,""),"")</f>
        <v/>
      </c>
      <c r="CJ106" s="34">
        <f>IF(AND(CJ$5&gt;$E106,CJ$5&lt;=$F106),IF(CJ$5=$E106+1,$C106,""),"")</f>
        <v/>
      </c>
      <c r="CK106" s="34">
        <f>IF(AND(CK$5&gt;$E106,CK$5&lt;=$F106),IF(CK$5=$E106+1,$C106,""),"")</f>
        <v/>
      </c>
      <c r="CL106" s="34">
        <f>IF(AND(CL$5&gt;$E106,CL$5&lt;=$F106),IF(CL$5=$E106+1,$C106,""),"")</f>
        <v/>
      </c>
      <c r="CM106" s="34">
        <f>IF(AND(CM$5&gt;$E106,CM$5&lt;=$F106),IF(CM$5=$E106+1,$C106,""),"")</f>
        <v/>
      </c>
      <c r="CN106" s="34">
        <f>IF(AND(CN$5&gt;$E106,CN$5&lt;=$F106),IF(CN$5=$E106+1,$C106,""),"")</f>
        <v/>
      </c>
      <c r="CO106" s="34">
        <f>IF(AND(CO$5&gt;$E106,CO$5&lt;=$F106),IF(CO$5=$E106+1,$C106,""),"")</f>
        <v/>
      </c>
      <c r="CP106" s="34">
        <f>IF(AND(CP$5&gt;$E106,CP$5&lt;=$F106),IF(CP$5=$E106+1,$C106,""),"")</f>
        <v/>
      </c>
      <c r="CQ106" s="34">
        <f>IF(AND(CQ$5&gt;$E106,CQ$5&lt;=$F106),IF(CQ$5=$E106+1,$C106,""),"")</f>
        <v/>
      </c>
      <c r="CR106" s="34">
        <f>IF(AND(CR$5&gt;$E106,CR$5&lt;=$F106),IF(CR$5=$E106+1,$C106,""),"")</f>
        <v/>
      </c>
      <c r="CS106" s="34">
        <f>IF(AND(CS$5&gt;$E106,CS$5&lt;=$F106),IF(CS$5=$E106+1,$C106,""),"")</f>
        <v/>
      </c>
      <c r="CT106" s="34">
        <f>IF(AND(CT$5&gt;$E106,CT$5&lt;=$F106),IF(CT$5=$E106+1,$C106,""),"")</f>
        <v/>
      </c>
      <c r="CU106" s="34">
        <f>IF(AND(CU$5&gt;$E106,CU$5&lt;=$F106),IF(CU$5=$E106+1,$C106,""),"")</f>
        <v/>
      </c>
      <c r="CV106" s="34">
        <f>IF(AND(CV$5&gt;$E106,CV$5&lt;=$F106),IF(CV$5=$E106+1,$C106,""),"")</f>
        <v/>
      </c>
      <c r="CW106" s="34">
        <f>IF(AND(CW$5&gt;$E106,CW$5&lt;=$F106),IF(CW$5=$E106+1,$C106,""),"")</f>
        <v/>
      </c>
      <c r="CX106" s="34">
        <f>IF(AND(CX$5&gt;$E106,CX$5&lt;=$F106),IF(CX$5=$E106+1,$C106,""),"")</f>
        <v/>
      </c>
      <c r="CY106" s="34">
        <f>IF(AND(CY$5&gt;$E106,CY$5&lt;=$F106),IF(CY$5=$E106+1,$C106,""),"")</f>
        <v/>
      </c>
      <c r="CZ106" s="34">
        <f>IF(AND(CZ$5&gt;$E106,CZ$5&lt;=$F106),IF(CZ$5=$E106+1,$C106,""),"")</f>
        <v/>
      </c>
      <c r="DA106" s="34">
        <f>IF(AND(DA$5&gt;$E106,DA$5&lt;=$F106),IF(DA$5=$E106+1,$C106,""),"")</f>
        <v/>
      </c>
      <c r="DB106" s="34">
        <f>IF(AND(DB$5&gt;$E106,DB$5&lt;=$F106),IF(DB$5=$E106+1,$C106,""),"")</f>
        <v/>
      </c>
      <c r="DC106" s="34">
        <f>IF(AND(DC$5&gt;$E106,DC$5&lt;=$F106),IF(DC$5=$E106+1,$C106,""),"")</f>
        <v/>
      </c>
      <c r="DD106" s="34">
        <f>IF(AND(DD$5&gt;$E106,DD$5&lt;=$F106),IF(DD$5=$E106+1,$C106,""),"")</f>
        <v/>
      </c>
      <c r="DE106" s="34">
        <f>IF(AND(DE$5&gt;$E106,DE$5&lt;=$F106),IF(DE$5=$E106+1,$C106,""),"")</f>
        <v/>
      </c>
      <c r="DF106" s="34">
        <f>IF(AND(DF$5&gt;$E106,DF$5&lt;=$F106),IF(DF$5=$E106+1,$C106,""),"")</f>
        <v/>
      </c>
      <c r="DG106" s="34">
        <f>IF(AND(DG$5&gt;$E106,DG$5&lt;=$F106),IF(DG$5=$E106+1,$C106,""),"")</f>
        <v/>
      </c>
      <c r="DH106" s="34">
        <f>IF(AND(DH$5&gt;$E106,DH$5&lt;=$F106),IF(DH$5=$E106+1,$C106,""),"")</f>
        <v/>
      </c>
      <c r="DI106" s="34">
        <f>IF(AND(DI$5&gt;$E106,DI$5&lt;=$F106),IF(DI$5=$E106+1,$C106,""),"")</f>
        <v/>
      </c>
      <c r="DJ106" s="34">
        <f>IF(AND(DJ$5&gt;$E106,DJ$5&lt;=$F106),IF(DJ$5=$E106+1,$C106,""),"")</f>
        <v/>
      </c>
      <c r="DK106" s="34">
        <f>IF(AND(DK$5&gt;$E106,DK$5&lt;=$F106),IF(DK$5=$E106+1,$C106,""),"")</f>
        <v/>
      </c>
      <c r="DL106" s="34">
        <f>IF(AND(DL$5&gt;$E106,DL$5&lt;=$F106),IF(DL$5=$E106+1,$C106,""),"")</f>
        <v/>
      </c>
      <c r="DM106" s="34">
        <f>IF(AND(DM$5&gt;$E106,DM$5&lt;=$F106),IF(DM$5=$E106+1,$C106,""),"")</f>
        <v/>
      </c>
      <c r="DN106" s="34">
        <f>IF(AND(DN$5&gt;$E106,DN$5&lt;=$F106),IF(DN$5=$E106+1,$C106,""),"")</f>
        <v/>
      </c>
      <c r="DO106" s="34">
        <f>IF(AND(DO$5&gt;$E106,DO$5&lt;=$F106),IF(DO$5=$E106+1,$C106,""),"")</f>
        <v/>
      </c>
      <c r="DP106" s="34">
        <f>IF(AND(DP$5&gt;$E106,DP$5&lt;=$F106),IF(DP$5=$E106+1,$C106,""),"")</f>
        <v/>
      </c>
      <c r="DQ106" s="34">
        <f>IF(AND(DQ$5&gt;$E106,DQ$5&lt;=$F106),IF(DQ$5=$E106+1,$C106,""),"")</f>
        <v/>
      </c>
      <c r="DR106" s="34">
        <f>IF(AND(DR$5&gt;$E106,DR$5&lt;=$F106),IF(DR$5=$E106+1,$C106,""),"")</f>
        <v/>
      </c>
      <c r="DS106" s="34">
        <f>IF(AND(DS$5&gt;$E106,DS$5&lt;=$F106),IF(DS$5=$E106+1,$C106,""),"")</f>
        <v/>
      </c>
      <c r="DT106" s="34">
        <f>IF(AND(DT$5&gt;$E106,DT$5&lt;=$F106),IF(DT$5=$E106+1,$C106,""),"")</f>
        <v/>
      </c>
      <c r="DU106" s="34">
        <f>IF(AND(DU$5&gt;$E106,DU$5&lt;=$F106),IF(DU$5=$E106+1,$C106,""),"")</f>
        <v/>
      </c>
      <c r="DV106" s="34">
        <f>IF(AND(DV$5&gt;$E106,DV$5&lt;=$F106),IF(DV$5=$E106+1,$C106,""),"")</f>
        <v/>
      </c>
      <c r="DW106" s="34">
        <f>IF(AND(DW$5&gt;$E106,DW$5&lt;=$F106),IF(DW$5=$E106+1,$C106,""),"")</f>
        <v/>
      </c>
      <c r="DX106" s="34">
        <f>IF(AND(DX$5&gt;$E106,DX$5&lt;=$F106),IF(DX$5=$E106+1,$C106,""),"")</f>
        <v/>
      </c>
      <c r="DY106" s="34">
        <f>IF(AND(DY$5&gt;$E106,DY$5&lt;=$F106),IF(DY$5=$E106+1,$C106,""),"")</f>
        <v/>
      </c>
      <c r="DZ106" s="34">
        <f>IF(AND(DZ$5&gt;$E106,DZ$5&lt;=$F106),IF(DZ$5=$E106+1,$C106,""),"")</f>
        <v/>
      </c>
      <c r="EA106" s="34">
        <f>IF(AND(EA$5&gt;$E106,EA$5&lt;=$F106),IF(EA$5=$E106+1,$C106,""),"")</f>
        <v/>
      </c>
      <c r="EB106" s="34">
        <f>IF(AND(EB$5&gt;$E106,EB$5&lt;=$F106),IF(EB$5=$E106+1,$C106,""),"")</f>
        <v/>
      </c>
      <c r="EC106" s="34">
        <f>IF(AND(EC$5&gt;$E106,EC$5&lt;=$F106),IF(EC$5=$E106+1,$C106,""),"")</f>
        <v/>
      </c>
      <c r="ED106" s="34">
        <f>IF(AND(ED$5&gt;$E106,ED$5&lt;=$F106),IF(ED$5=$E106+1,$C106,""),"")</f>
        <v/>
      </c>
      <c r="EE106" s="34">
        <f>IF(AND(EE$5&gt;$E106,EE$5&lt;=$F106),IF(EE$5=$E106+1,$C106,""),"")</f>
        <v/>
      </c>
      <c r="EF106" s="34">
        <f>IF(AND(EF$5&gt;$E106,EF$5&lt;=$F106),IF(EF$5=$E106+1,$C106,""),"")</f>
        <v/>
      </c>
      <c r="EG106" s="34">
        <f>IF(AND(EG$5&gt;$E106,EG$5&lt;=$F106),IF(EG$5=$E106+1,$C106,""),"")</f>
        <v/>
      </c>
      <c r="EH106" s="34">
        <f>IF(AND(EH$5&gt;$E106,EH$5&lt;=$F106),IF(EH$5=$E106+1,$C106,""),"")</f>
        <v/>
      </c>
      <c r="EI106" s="34">
        <f>IF(AND(EI$5&gt;$E106,EI$5&lt;=$F106),IF(EI$5=$E106+1,$C106,""),"")</f>
        <v/>
      </c>
      <c r="EJ106" s="34">
        <f>IF(AND(EJ$5&gt;$E106,EJ$5&lt;=$F106),IF(EJ$5=$E106+1,$C106,""),"")</f>
        <v/>
      </c>
      <c r="EK106" s="34">
        <f>IF(AND(EK$5&gt;$E106,EK$5&lt;=$F106),IF(EK$5=$E106+1,$C106,""),"")</f>
        <v/>
      </c>
      <c r="EL106" s="34">
        <f>IF(AND(EL$5&gt;$E106,EL$5&lt;=$F106),IF(EL$5=$E106+1,$C106,""),"")</f>
        <v/>
      </c>
      <c r="EM106" s="34">
        <f>IF(AND(EM$5&gt;$E106,EM$5&lt;=$F106),IF(EM$5=$E106+1,$C106,""),"")</f>
        <v/>
      </c>
      <c r="EN106" s="34">
        <f>IF(AND(EN$5&gt;$E106,EN$5&lt;=$F106),IF(EN$5=$E106+1,$C106,""),"")</f>
        <v/>
      </c>
      <c r="EO106" s="34">
        <f>IF(AND(EO$5&gt;$E106,EO$5&lt;=$F106),IF(EO$5=$E106+1,$C106,""),"")</f>
        <v/>
      </c>
      <c r="EP106" s="34">
        <f>IF(AND(EP$5&gt;$E106,EP$5&lt;=$F106),IF(EP$5=$E106+1,$C106,""),"")</f>
        <v/>
      </c>
      <c r="EQ106" s="34">
        <f>IF(AND(EQ$5&gt;$E106,EQ$5&lt;=$F106),IF(EQ$5=$E106+1,$C106,""),"")</f>
        <v/>
      </c>
      <c r="ER106" s="34">
        <f>IF(AND(ER$5&gt;$E106,ER$5&lt;=$F106),IF(ER$5=$E106+1,$C106,""),"")</f>
        <v/>
      </c>
      <c r="ES106" s="34">
        <f>IF(AND(ES$5&gt;$E106,ES$5&lt;=$F106),IF(ES$5=$E106+1,$C106,""),"")</f>
        <v/>
      </c>
      <c r="ET106" s="34">
        <f>IF(AND(ET$5&gt;$E106,ET$5&lt;=$F106),IF(ET$5=$E106+1,$C106,""),"")</f>
        <v/>
      </c>
      <c r="EU106" s="34">
        <f>IF(AND(EU$5&gt;$E106,EU$5&lt;=$F106),IF(EU$5=$E106+1,$C106,""),"")</f>
        <v/>
      </c>
      <c r="EV106" s="34">
        <f>IF(AND(EV$5&gt;$E106,EV$5&lt;=$F106),IF(EV$5=$E106+1,$C106,""),"")</f>
        <v/>
      </c>
      <c r="EW106" s="34">
        <f>IF(AND(EW$5&gt;$E106,EW$5&lt;=$F106),IF(EW$5=$E106+1,$C106,""),"")</f>
        <v/>
      </c>
      <c r="EX106" s="34">
        <f>IF(AND(EX$5&gt;$E106,EX$5&lt;=$F106),IF(EX$5=$E106+1,$C106,""),"")</f>
        <v/>
      </c>
      <c r="EY106" s="34">
        <f>IF(AND(EY$5&gt;$E106,EY$5&lt;=$F106),IF(EY$5=$E106+1,$C106,""),"")</f>
        <v/>
      </c>
      <c r="EZ106" s="34">
        <f>IF(AND(EZ$5&gt;$E106,EZ$5&lt;=$F106),IF(EZ$5=$E106+1,$C106,""),"")</f>
        <v/>
      </c>
      <c r="FA106" s="34">
        <f>IF(AND(FA$5&gt;$E106,FA$5&lt;=$F106),IF(FA$5=$E106+1,$C106,""),"")</f>
        <v/>
      </c>
    </row>
    <row r="107">
      <c r="A107" s="32">
        <f>Plan!A69</f>
        <v/>
      </c>
      <c r="B107" s="33">
        <f>Plan!C69</f>
        <v/>
      </c>
      <c r="C107" s="16">
        <f>Plan!D69</f>
        <v/>
      </c>
      <c r="D107" s="16">
        <f>Plan!I69</f>
        <v/>
      </c>
      <c r="E107" s="16">
        <f>Plan!K69</f>
        <v/>
      </c>
      <c r="F107" s="16">
        <f>Plan!L69</f>
        <v/>
      </c>
      <c r="G107" s="16">
        <f>Plan!O69</f>
        <v/>
      </c>
      <c r="H107" s="34">
        <f>IF(AND(H$5&gt;$E107,H$5&lt;=$F107),IF(H$5=$E107+1,$C107,""),"")</f>
        <v/>
      </c>
      <c r="I107" s="34">
        <f>IF(AND(I$5&gt;$E107,I$5&lt;=$F107),IF(I$5=$E107+1,$C107,""),"")</f>
        <v/>
      </c>
      <c r="J107" s="34">
        <f>IF(AND(J$5&gt;$E107,J$5&lt;=$F107),IF(J$5=$E107+1,$C107,""),"")</f>
        <v/>
      </c>
      <c r="K107" s="34">
        <f>IF(AND(K$5&gt;$E107,K$5&lt;=$F107),IF(K$5=$E107+1,$C107,""),"")</f>
        <v/>
      </c>
      <c r="L107" s="34">
        <f>IF(AND(L$5&gt;$E107,L$5&lt;=$F107),IF(L$5=$E107+1,$C107,""),"")</f>
        <v/>
      </c>
      <c r="M107" s="34">
        <f>IF(AND(M$5&gt;$E107,M$5&lt;=$F107),IF(M$5=$E107+1,$C107,""),"")</f>
        <v/>
      </c>
      <c r="N107" s="34">
        <f>IF(AND(N$5&gt;$E107,N$5&lt;=$F107),IF(N$5=$E107+1,$C107,""),"")</f>
        <v/>
      </c>
      <c r="O107" s="34">
        <f>IF(AND(O$5&gt;$E107,O$5&lt;=$F107),IF(O$5=$E107+1,$C107,""),"")</f>
        <v/>
      </c>
      <c r="P107" s="34">
        <f>IF(AND(P$5&gt;$E107,P$5&lt;=$F107),IF(P$5=$E107+1,$C107,""),"")</f>
        <v/>
      </c>
      <c r="Q107" s="34">
        <f>IF(AND(Q$5&gt;$E107,Q$5&lt;=$F107),IF(Q$5=$E107+1,$C107,""),"")</f>
        <v/>
      </c>
      <c r="R107" s="34">
        <f>IF(AND(R$5&gt;$E107,R$5&lt;=$F107),IF(R$5=$E107+1,$C107,""),"")</f>
        <v/>
      </c>
      <c r="S107" s="34">
        <f>IF(AND(S$5&gt;$E107,S$5&lt;=$F107),IF(S$5=$E107+1,$C107,""),"")</f>
        <v/>
      </c>
      <c r="T107" s="34">
        <f>IF(AND(T$5&gt;$E107,T$5&lt;=$F107),IF(T$5=$E107+1,$C107,""),"")</f>
        <v/>
      </c>
      <c r="U107" s="34">
        <f>IF(AND(U$5&gt;$E107,U$5&lt;=$F107),IF(U$5=$E107+1,$C107,""),"")</f>
        <v/>
      </c>
      <c r="V107" s="34">
        <f>IF(AND(V$5&gt;$E107,V$5&lt;=$F107),IF(V$5=$E107+1,$C107,""),"")</f>
        <v/>
      </c>
      <c r="W107" s="34">
        <f>IF(AND(W$5&gt;$E107,W$5&lt;=$F107),IF(W$5=$E107+1,$C107,""),"")</f>
        <v/>
      </c>
      <c r="X107" s="34">
        <f>IF(AND(X$5&gt;$E107,X$5&lt;=$F107),IF(X$5=$E107+1,$C107,""),"")</f>
        <v/>
      </c>
      <c r="Y107" s="34">
        <f>IF(AND(Y$5&gt;$E107,Y$5&lt;=$F107),IF(Y$5=$E107+1,$C107,""),"")</f>
        <v/>
      </c>
      <c r="Z107" s="34">
        <f>IF(AND(Z$5&gt;$E107,Z$5&lt;=$F107),IF(Z$5=$E107+1,$C107,""),"")</f>
        <v/>
      </c>
      <c r="AA107" s="34">
        <f>IF(AND(AA$5&gt;$E107,AA$5&lt;=$F107),IF(AA$5=$E107+1,$C107,""),"")</f>
        <v/>
      </c>
      <c r="AB107" s="34">
        <f>IF(AND(AB$5&gt;$E107,AB$5&lt;=$F107),IF(AB$5=$E107+1,$C107,""),"")</f>
        <v/>
      </c>
      <c r="AC107" s="34">
        <f>IF(AND(AC$5&gt;$E107,AC$5&lt;=$F107),IF(AC$5=$E107+1,$C107,""),"")</f>
        <v/>
      </c>
      <c r="AD107" s="34">
        <f>IF(AND(AD$5&gt;$E107,AD$5&lt;=$F107),IF(AD$5=$E107+1,$C107,""),"")</f>
        <v/>
      </c>
      <c r="AE107" s="34">
        <f>IF(AND(AE$5&gt;$E107,AE$5&lt;=$F107),IF(AE$5=$E107+1,$C107,""),"")</f>
        <v/>
      </c>
      <c r="AF107" s="34">
        <f>IF(AND(AF$5&gt;$E107,AF$5&lt;=$F107),IF(AF$5=$E107+1,$C107,""),"")</f>
        <v/>
      </c>
      <c r="AG107" s="34">
        <f>IF(AND(AG$5&gt;$E107,AG$5&lt;=$F107),IF(AG$5=$E107+1,$C107,""),"")</f>
        <v/>
      </c>
      <c r="AH107" s="34">
        <f>IF(AND(AH$5&gt;$E107,AH$5&lt;=$F107),IF(AH$5=$E107+1,$C107,""),"")</f>
        <v/>
      </c>
      <c r="AI107" s="34">
        <f>IF(AND(AI$5&gt;$E107,AI$5&lt;=$F107),IF(AI$5=$E107+1,$C107,""),"")</f>
        <v/>
      </c>
      <c r="AJ107" s="34">
        <f>IF(AND(AJ$5&gt;$E107,AJ$5&lt;=$F107),IF(AJ$5=$E107+1,$C107,""),"")</f>
        <v/>
      </c>
      <c r="AK107" s="34">
        <f>IF(AND(AK$5&gt;$E107,AK$5&lt;=$F107),IF(AK$5=$E107+1,$C107,""),"")</f>
        <v/>
      </c>
      <c r="AL107" s="34">
        <f>IF(AND(AL$5&gt;$E107,AL$5&lt;=$F107),IF(AL$5=$E107+1,$C107,""),"")</f>
        <v/>
      </c>
      <c r="AM107" s="34">
        <f>IF(AND(AM$5&gt;$E107,AM$5&lt;=$F107),IF(AM$5=$E107+1,$C107,""),"")</f>
        <v/>
      </c>
      <c r="AN107" s="34">
        <f>IF(AND(AN$5&gt;$E107,AN$5&lt;=$F107),IF(AN$5=$E107+1,$C107,""),"")</f>
        <v/>
      </c>
      <c r="AO107" s="34">
        <f>IF(AND(AO$5&gt;$E107,AO$5&lt;=$F107),IF(AO$5=$E107+1,$C107,""),"")</f>
        <v/>
      </c>
      <c r="AP107" s="34">
        <f>IF(AND(AP$5&gt;$E107,AP$5&lt;=$F107),IF(AP$5=$E107+1,$C107,""),"")</f>
        <v/>
      </c>
      <c r="AQ107" s="34">
        <f>IF(AND(AQ$5&gt;$E107,AQ$5&lt;=$F107),IF(AQ$5=$E107+1,$C107,""),"")</f>
        <v/>
      </c>
      <c r="AR107" s="34">
        <f>IF(AND(AR$5&gt;$E107,AR$5&lt;=$F107),IF(AR$5=$E107+1,$C107,""),"")</f>
        <v/>
      </c>
      <c r="AS107" s="34">
        <f>IF(AND(AS$5&gt;$E107,AS$5&lt;=$F107),IF(AS$5=$E107+1,$C107,""),"")</f>
        <v/>
      </c>
      <c r="AT107" s="34">
        <f>IF(AND(AT$5&gt;$E107,AT$5&lt;=$F107),IF(AT$5=$E107+1,$C107,""),"")</f>
        <v/>
      </c>
      <c r="AU107" s="34">
        <f>IF(AND(AU$5&gt;$E107,AU$5&lt;=$F107),IF(AU$5=$E107+1,$C107,""),"")</f>
        <v/>
      </c>
      <c r="AV107" s="34">
        <f>IF(AND(AV$5&gt;$E107,AV$5&lt;=$F107),IF(AV$5=$E107+1,$C107,""),"")</f>
        <v/>
      </c>
      <c r="AW107" s="34">
        <f>IF(AND(AW$5&gt;$E107,AW$5&lt;=$F107),IF(AW$5=$E107+1,$C107,""),"")</f>
        <v/>
      </c>
      <c r="AX107" s="34">
        <f>IF(AND(AX$5&gt;$E107,AX$5&lt;=$F107),IF(AX$5=$E107+1,$C107,""),"")</f>
        <v/>
      </c>
      <c r="AY107" s="34">
        <f>IF(AND(AY$5&gt;$E107,AY$5&lt;=$F107),IF(AY$5=$E107+1,$C107,""),"")</f>
        <v/>
      </c>
      <c r="AZ107" s="34">
        <f>IF(AND(AZ$5&gt;$E107,AZ$5&lt;=$F107),IF(AZ$5=$E107+1,$C107,""),"")</f>
        <v/>
      </c>
      <c r="BA107" s="34">
        <f>IF(AND(BA$5&gt;$E107,BA$5&lt;=$F107),IF(BA$5=$E107+1,$C107,""),"")</f>
        <v/>
      </c>
      <c r="BB107" s="34">
        <f>IF(AND(BB$5&gt;$E107,BB$5&lt;=$F107),IF(BB$5=$E107+1,$C107,""),"")</f>
        <v/>
      </c>
      <c r="BC107" s="34">
        <f>IF(AND(BC$5&gt;$E107,BC$5&lt;=$F107),IF(BC$5=$E107+1,$C107,""),"")</f>
        <v/>
      </c>
      <c r="BD107" s="34">
        <f>IF(AND(BD$5&gt;$E107,BD$5&lt;=$F107),IF(BD$5=$E107+1,$C107,""),"")</f>
        <v/>
      </c>
      <c r="BE107" s="34">
        <f>IF(AND(BE$5&gt;$E107,BE$5&lt;=$F107),IF(BE$5=$E107+1,$C107,""),"")</f>
        <v/>
      </c>
      <c r="BF107" s="34">
        <f>IF(AND(BF$5&gt;$E107,BF$5&lt;=$F107),IF(BF$5=$E107+1,$C107,""),"")</f>
        <v/>
      </c>
      <c r="BG107" s="34">
        <f>IF(AND(BG$5&gt;$E107,BG$5&lt;=$F107),IF(BG$5=$E107+1,$C107,""),"")</f>
        <v/>
      </c>
      <c r="BH107" s="34">
        <f>IF(AND(BH$5&gt;$E107,BH$5&lt;=$F107),IF(BH$5=$E107+1,$C107,""),"")</f>
        <v/>
      </c>
      <c r="BI107" s="34">
        <f>IF(AND(BI$5&gt;$E107,BI$5&lt;=$F107),IF(BI$5=$E107+1,$C107,""),"")</f>
        <v/>
      </c>
      <c r="BJ107" s="34">
        <f>IF(AND(BJ$5&gt;$E107,BJ$5&lt;=$F107),IF(BJ$5=$E107+1,$C107,""),"")</f>
        <v/>
      </c>
      <c r="BK107" s="34">
        <f>IF(AND(BK$5&gt;$E107,BK$5&lt;=$F107),IF(BK$5=$E107+1,$C107,""),"")</f>
        <v/>
      </c>
      <c r="BL107" s="34">
        <f>IF(AND(BL$5&gt;$E107,BL$5&lt;=$F107),IF(BL$5=$E107+1,$C107,""),"")</f>
        <v/>
      </c>
      <c r="BM107" s="34">
        <f>IF(AND(BM$5&gt;$E107,BM$5&lt;=$F107),IF(BM$5=$E107+1,$C107,""),"")</f>
        <v/>
      </c>
      <c r="BN107" s="34">
        <f>IF(AND(BN$5&gt;$E107,BN$5&lt;=$F107),IF(BN$5=$E107+1,$C107,""),"")</f>
        <v/>
      </c>
      <c r="BO107" s="34">
        <f>IF(AND(BO$5&gt;$E107,BO$5&lt;=$F107),IF(BO$5=$E107+1,$C107,""),"")</f>
        <v/>
      </c>
      <c r="BP107" s="34">
        <f>IF(AND(BP$5&gt;$E107,BP$5&lt;=$F107),IF(BP$5=$E107+1,$C107,""),"")</f>
        <v/>
      </c>
      <c r="BQ107" s="34">
        <f>IF(AND(BQ$5&gt;$E107,BQ$5&lt;=$F107),IF(BQ$5=$E107+1,$C107,""),"")</f>
        <v/>
      </c>
      <c r="BR107" s="34">
        <f>IF(AND(BR$5&gt;$E107,BR$5&lt;=$F107),IF(BR$5=$E107+1,$C107,""),"")</f>
        <v/>
      </c>
      <c r="BS107" s="34">
        <f>IF(AND(BS$5&gt;$E107,BS$5&lt;=$F107),IF(BS$5=$E107+1,$C107,""),"")</f>
        <v/>
      </c>
      <c r="BT107" s="34">
        <f>IF(AND(BT$5&gt;$E107,BT$5&lt;=$F107),IF(BT$5=$E107+1,$C107,""),"")</f>
        <v/>
      </c>
      <c r="BU107" s="34">
        <f>IF(AND(BU$5&gt;$E107,BU$5&lt;=$F107),IF(BU$5=$E107+1,$C107,""),"")</f>
        <v/>
      </c>
      <c r="BV107" s="34">
        <f>IF(AND(BV$5&gt;$E107,BV$5&lt;=$F107),IF(BV$5=$E107+1,$C107,""),"")</f>
        <v/>
      </c>
      <c r="BW107" s="34">
        <f>IF(AND(BW$5&gt;$E107,BW$5&lt;=$F107),IF(BW$5=$E107+1,$C107,""),"")</f>
        <v/>
      </c>
      <c r="BX107" s="34">
        <f>IF(AND(BX$5&gt;$E107,BX$5&lt;=$F107),IF(BX$5=$E107+1,$C107,""),"")</f>
        <v/>
      </c>
      <c r="BY107" s="34">
        <f>IF(AND(BY$5&gt;$E107,BY$5&lt;=$F107),IF(BY$5=$E107+1,$C107,""),"")</f>
        <v/>
      </c>
      <c r="BZ107" s="34">
        <f>IF(AND(BZ$5&gt;$E107,BZ$5&lt;=$F107),IF(BZ$5=$E107+1,$C107,""),"")</f>
        <v/>
      </c>
      <c r="CA107" s="34">
        <f>IF(AND(CA$5&gt;$E107,CA$5&lt;=$F107),IF(CA$5=$E107+1,$C107,""),"")</f>
        <v/>
      </c>
      <c r="CB107" s="34">
        <f>IF(AND(CB$5&gt;$E107,CB$5&lt;=$F107),IF(CB$5=$E107+1,$C107,""),"")</f>
        <v/>
      </c>
      <c r="CC107" s="34">
        <f>IF(AND(CC$5&gt;$E107,CC$5&lt;=$F107),IF(CC$5=$E107+1,$C107,""),"")</f>
        <v/>
      </c>
      <c r="CD107" s="34">
        <f>IF(AND(CD$5&gt;$E107,CD$5&lt;=$F107),IF(CD$5=$E107+1,$C107,""),"")</f>
        <v/>
      </c>
      <c r="CE107" s="34">
        <f>IF(AND(CE$5&gt;$E107,CE$5&lt;=$F107),IF(CE$5=$E107+1,$C107,""),"")</f>
        <v/>
      </c>
      <c r="CF107" s="34">
        <f>IF(AND(CF$5&gt;$E107,CF$5&lt;=$F107),IF(CF$5=$E107+1,$C107,""),"")</f>
        <v/>
      </c>
      <c r="CG107" s="34">
        <f>IF(AND(CG$5&gt;$E107,CG$5&lt;=$F107),IF(CG$5=$E107+1,$C107,""),"")</f>
        <v/>
      </c>
      <c r="CH107" s="34">
        <f>IF(AND(CH$5&gt;$E107,CH$5&lt;=$F107),IF(CH$5=$E107+1,$C107,""),"")</f>
        <v/>
      </c>
      <c r="CI107" s="34">
        <f>IF(AND(CI$5&gt;$E107,CI$5&lt;=$F107),IF(CI$5=$E107+1,$C107,""),"")</f>
        <v/>
      </c>
      <c r="CJ107" s="34">
        <f>IF(AND(CJ$5&gt;$E107,CJ$5&lt;=$F107),IF(CJ$5=$E107+1,$C107,""),"")</f>
        <v/>
      </c>
      <c r="CK107" s="34">
        <f>IF(AND(CK$5&gt;$E107,CK$5&lt;=$F107),IF(CK$5=$E107+1,$C107,""),"")</f>
        <v/>
      </c>
      <c r="CL107" s="34">
        <f>IF(AND(CL$5&gt;$E107,CL$5&lt;=$F107),IF(CL$5=$E107+1,$C107,""),"")</f>
        <v/>
      </c>
      <c r="CM107" s="34">
        <f>IF(AND(CM$5&gt;$E107,CM$5&lt;=$F107),IF(CM$5=$E107+1,$C107,""),"")</f>
        <v/>
      </c>
      <c r="CN107" s="34">
        <f>IF(AND(CN$5&gt;$E107,CN$5&lt;=$F107),IF(CN$5=$E107+1,$C107,""),"")</f>
        <v/>
      </c>
      <c r="CO107" s="34">
        <f>IF(AND(CO$5&gt;$E107,CO$5&lt;=$F107),IF(CO$5=$E107+1,$C107,""),"")</f>
        <v/>
      </c>
      <c r="CP107" s="34">
        <f>IF(AND(CP$5&gt;$E107,CP$5&lt;=$F107),IF(CP$5=$E107+1,$C107,""),"")</f>
        <v/>
      </c>
      <c r="CQ107" s="34">
        <f>IF(AND(CQ$5&gt;$E107,CQ$5&lt;=$F107),IF(CQ$5=$E107+1,$C107,""),"")</f>
        <v/>
      </c>
      <c r="CR107" s="34">
        <f>IF(AND(CR$5&gt;$E107,CR$5&lt;=$F107),IF(CR$5=$E107+1,$C107,""),"")</f>
        <v/>
      </c>
      <c r="CS107" s="34">
        <f>IF(AND(CS$5&gt;$E107,CS$5&lt;=$F107),IF(CS$5=$E107+1,$C107,""),"")</f>
        <v/>
      </c>
      <c r="CT107" s="34">
        <f>IF(AND(CT$5&gt;$E107,CT$5&lt;=$F107),IF(CT$5=$E107+1,$C107,""),"")</f>
        <v/>
      </c>
      <c r="CU107" s="34">
        <f>IF(AND(CU$5&gt;$E107,CU$5&lt;=$F107),IF(CU$5=$E107+1,$C107,""),"")</f>
        <v/>
      </c>
      <c r="CV107" s="34">
        <f>IF(AND(CV$5&gt;$E107,CV$5&lt;=$F107),IF(CV$5=$E107+1,$C107,""),"")</f>
        <v/>
      </c>
      <c r="CW107" s="34">
        <f>IF(AND(CW$5&gt;$E107,CW$5&lt;=$F107),IF(CW$5=$E107+1,$C107,""),"")</f>
        <v/>
      </c>
      <c r="CX107" s="34">
        <f>IF(AND(CX$5&gt;$E107,CX$5&lt;=$F107),IF(CX$5=$E107+1,$C107,""),"")</f>
        <v/>
      </c>
      <c r="CY107" s="34">
        <f>IF(AND(CY$5&gt;$E107,CY$5&lt;=$F107),IF(CY$5=$E107+1,$C107,""),"")</f>
        <v/>
      </c>
      <c r="CZ107" s="34">
        <f>IF(AND(CZ$5&gt;$E107,CZ$5&lt;=$F107),IF(CZ$5=$E107+1,$C107,""),"")</f>
        <v/>
      </c>
      <c r="DA107" s="34">
        <f>IF(AND(DA$5&gt;$E107,DA$5&lt;=$F107),IF(DA$5=$E107+1,$C107,""),"")</f>
        <v/>
      </c>
      <c r="DB107" s="34">
        <f>IF(AND(DB$5&gt;$E107,DB$5&lt;=$F107),IF(DB$5=$E107+1,$C107,""),"")</f>
        <v/>
      </c>
      <c r="DC107" s="34">
        <f>IF(AND(DC$5&gt;$E107,DC$5&lt;=$F107),IF(DC$5=$E107+1,$C107,""),"")</f>
        <v/>
      </c>
      <c r="DD107" s="34">
        <f>IF(AND(DD$5&gt;$E107,DD$5&lt;=$F107),IF(DD$5=$E107+1,$C107,""),"")</f>
        <v/>
      </c>
      <c r="DE107" s="34">
        <f>IF(AND(DE$5&gt;$E107,DE$5&lt;=$F107),IF(DE$5=$E107+1,$C107,""),"")</f>
        <v/>
      </c>
      <c r="DF107" s="34">
        <f>IF(AND(DF$5&gt;$E107,DF$5&lt;=$F107),IF(DF$5=$E107+1,$C107,""),"")</f>
        <v/>
      </c>
      <c r="DG107" s="34">
        <f>IF(AND(DG$5&gt;$E107,DG$5&lt;=$F107),IF(DG$5=$E107+1,$C107,""),"")</f>
        <v/>
      </c>
      <c r="DH107" s="34">
        <f>IF(AND(DH$5&gt;$E107,DH$5&lt;=$F107),IF(DH$5=$E107+1,$C107,""),"")</f>
        <v/>
      </c>
      <c r="DI107" s="34">
        <f>IF(AND(DI$5&gt;$E107,DI$5&lt;=$F107),IF(DI$5=$E107+1,$C107,""),"")</f>
        <v/>
      </c>
      <c r="DJ107" s="34">
        <f>IF(AND(DJ$5&gt;$E107,DJ$5&lt;=$F107),IF(DJ$5=$E107+1,$C107,""),"")</f>
        <v/>
      </c>
      <c r="DK107" s="34">
        <f>IF(AND(DK$5&gt;$E107,DK$5&lt;=$F107),IF(DK$5=$E107+1,$C107,""),"")</f>
        <v/>
      </c>
      <c r="DL107" s="34">
        <f>IF(AND(DL$5&gt;$E107,DL$5&lt;=$F107),IF(DL$5=$E107+1,$C107,""),"")</f>
        <v/>
      </c>
      <c r="DM107" s="34">
        <f>IF(AND(DM$5&gt;$E107,DM$5&lt;=$F107),IF(DM$5=$E107+1,$C107,""),"")</f>
        <v/>
      </c>
      <c r="DN107" s="34">
        <f>IF(AND(DN$5&gt;$E107,DN$5&lt;=$F107),IF(DN$5=$E107+1,$C107,""),"")</f>
        <v/>
      </c>
      <c r="DO107" s="34">
        <f>IF(AND(DO$5&gt;$E107,DO$5&lt;=$F107),IF(DO$5=$E107+1,$C107,""),"")</f>
        <v/>
      </c>
      <c r="DP107" s="34">
        <f>IF(AND(DP$5&gt;$E107,DP$5&lt;=$F107),IF(DP$5=$E107+1,$C107,""),"")</f>
        <v/>
      </c>
      <c r="DQ107" s="34">
        <f>IF(AND(DQ$5&gt;$E107,DQ$5&lt;=$F107),IF(DQ$5=$E107+1,$C107,""),"")</f>
        <v/>
      </c>
      <c r="DR107" s="34">
        <f>IF(AND(DR$5&gt;$E107,DR$5&lt;=$F107),IF(DR$5=$E107+1,$C107,""),"")</f>
        <v/>
      </c>
      <c r="DS107" s="34">
        <f>IF(AND(DS$5&gt;$E107,DS$5&lt;=$F107),IF(DS$5=$E107+1,$C107,""),"")</f>
        <v/>
      </c>
      <c r="DT107" s="34">
        <f>IF(AND(DT$5&gt;$E107,DT$5&lt;=$F107),IF(DT$5=$E107+1,$C107,""),"")</f>
        <v/>
      </c>
      <c r="DU107" s="34">
        <f>IF(AND(DU$5&gt;$E107,DU$5&lt;=$F107),IF(DU$5=$E107+1,$C107,""),"")</f>
        <v/>
      </c>
      <c r="DV107" s="34">
        <f>IF(AND(DV$5&gt;$E107,DV$5&lt;=$F107),IF(DV$5=$E107+1,$C107,""),"")</f>
        <v/>
      </c>
      <c r="DW107" s="34">
        <f>IF(AND(DW$5&gt;$E107,DW$5&lt;=$F107),IF(DW$5=$E107+1,$C107,""),"")</f>
        <v/>
      </c>
      <c r="DX107" s="34">
        <f>IF(AND(DX$5&gt;$E107,DX$5&lt;=$F107),IF(DX$5=$E107+1,$C107,""),"")</f>
        <v/>
      </c>
      <c r="DY107" s="34">
        <f>IF(AND(DY$5&gt;$E107,DY$5&lt;=$F107),IF(DY$5=$E107+1,$C107,""),"")</f>
        <v/>
      </c>
      <c r="DZ107" s="34">
        <f>IF(AND(DZ$5&gt;$E107,DZ$5&lt;=$F107),IF(DZ$5=$E107+1,$C107,""),"")</f>
        <v/>
      </c>
      <c r="EA107" s="34">
        <f>IF(AND(EA$5&gt;$E107,EA$5&lt;=$F107),IF(EA$5=$E107+1,$C107,""),"")</f>
        <v/>
      </c>
      <c r="EB107" s="34">
        <f>IF(AND(EB$5&gt;$E107,EB$5&lt;=$F107),IF(EB$5=$E107+1,$C107,""),"")</f>
        <v/>
      </c>
      <c r="EC107" s="34">
        <f>IF(AND(EC$5&gt;$E107,EC$5&lt;=$F107),IF(EC$5=$E107+1,$C107,""),"")</f>
        <v/>
      </c>
      <c r="ED107" s="34">
        <f>IF(AND(ED$5&gt;$E107,ED$5&lt;=$F107),IF(ED$5=$E107+1,$C107,""),"")</f>
        <v/>
      </c>
      <c r="EE107" s="34">
        <f>IF(AND(EE$5&gt;$E107,EE$5&lt;=$F107),IF(EE$5=$E107+1,$C107,""),"")</f>
        <v/>
      </c>
      <c r="EF107" s="34">
        <f>IF(AND(EF$5&gt;$E107,EF$5&lt;=$F107),IF(EF$5=$E107+1,$C107,""),"")</f>
        <v/>
      </c>
      <c r="EG107" s="34">
        <f>IF(AND(EG$5&gt;$E107,EG$5&lt;=$F107),IF(EG$5=$E107+1,$C107,""),"")</f>
        <v/>
      </c>
      <c r="EH107" s="34">
        <f>IF(AND(EH$5&gt;$E107,EH$5&lt;=$F107),IF(EH$5=$E107+1,$C107,""),"")</f>
        <v/>
      </c>
      <c r="EI107" s="34">
        <f>IF(AND(EI$5&gt;$E107,EI$5&lt;=$F107),IF(EI$5=$E107+1,$C107,""),"")</f>
        <v/>
      </c>
      <c r="EJ107" s="34">
        <f>IF(AND(EJ$5&gt;$E107,EJ$5&lt;=$F107),IF(EJ$5=$E107+1,$C107,""),"")</f>
        <v/>
      </c>
      <c r="EK107" s="34">
        <f>IF(AND(EK$5&gt;$E107,EK$5&lt;=$F107),IF(EK$5=$E107+1,$C107,""),"")</f>
        <v/>
      </c>
      <c r="EL107" s="34">
        <f>IF(AND(EL$5&gt;$E107,EL$5&lt;=$F107),IF(EL$5=$E107+1,$C107,""),"")</f>
        <v/>
      </c>
      <c r="EM107" s="34">
        <f>IF(AND(EM$5&gt;$E107,EM$5&lt;=$F107),IF(EM$5=$E107+1,$C107,""),"")</f>
        <v/>
      </c>
      <c r="EN107" s="34">
        <f>IF(AND(EN$5&gt;$E107,EN$5&lt;=$F107),IF(EN$5=$E107+1,$C107,""),"")</f>
        <v/>
      </c>
      <c r="EO107" s="34">
        <f>IF(AND(EO$5&gt;$E107,EO$5&lt;=$F107),IF(EO$5=$E107+1,$C107,""),"")</f>
        <v/>
      </c>
      <c r="EP107" s="34">
        <f>IF(AND(EP$5&gt;$E107,EP$5&lt;=$F107),IF(EP$5=$E107+1,$C107,""),"")</f>
        <v/>
      </c>
      <c r="EQ107" s="34">
        <f>IF(AND(EQ$5&gt;$E107,EQ$5&lt;=$F107),IF(EQ$5=$E107+1,$C107,""),"")</f>
        <v/>
      </c>
      <c r="ER107" s="34">
        <f>IF(AND(ER$5&gt;$E107,ER$5&lt;=$F107),IF(ER$5=$E107+1,$C107,""),"")</f>
        <v/>
      </c>
      <c r="ES107" s="34">
        <f>IF(AND(ES$5&gt;$E107,ES$5&lt;=$F107),IF(ES$5=$E107+1,$C107,""),"")</f>
        <v/>
      </c>
      <c r="ET107" s="34">
        <f>IF(AND(ET$5&gt;$E107,ET$5&lt;=$F107),IF(ET$5=$E107+1,$C107,""),"")</f>
        <v/>
      </c>
      <c r="EU107" s="34">
        <f>IF(AND(EU$5&gt;$E107,EU$5&lt;=$F107),IF(EU$5=$E107+1,$C107,""),"")</f>
        <v/>
      </c>
      <c r="EV107" s="34">
        <f>IF(AND(EV$5&gt;$E107,EV$5&lt;=$F107),IF(EV$5=$E107+1,$C107,""),"")</f>
        <v/>
      </c>
      <c r="EW107" s="34">
        <f>IF(AND(EW$5&gt;$E107,EW$5&lt;=$F107),IF(EW$5=$E107+1,$C107,""),"")</f>
        <v/>
      </c>
      <c r="EX107" s="34">
        <f>IF(AND(EX$5&gt;$E107,EX$5&lt;=$F107),IF(EX$5=$E107+1,$C107,""),"")</f>
        <v/>
      </c>
      <c r="EY107" s="34">
        <f>IF(AND(EY$5&gt;$E107,EY$5&lt;=$F107),IF(EY$5=$E107+1,$C107,""),"")</f>
        <v/>
      </c>
      <c r="EZ107" s="34">
        <f>IF(AND(EZ$5&gt;$E107,EZ$5&lt;=$F107),IF(EZ$5=$E107+1,$C107,""),"")</f>
        <v/>
      </c>
      <c r="FA107" s="34">
        <f>IF(AND(FA$5&gt;$E107,FA$5&lt;=$F107),IF(FA$5=$E107+1,$C107,""),"")</f>
        <v/>
      </c>
    </row>
    <row r="108">
      <c r="A108" s="32">
        <f>Plan!A70</f>
        <v/>
      </c>
      <c r="B108" s="33">
        <f>Plan!C70</f>
        <v/>
      </c>
      <c r="C108" s="16">
        <f>Plan!D70</f>
        <v/>
      </c>
      <c r="D108" s="16">
        <f>Plan!I70</f>
        <v/>
      </c>
      <c r="E108" s="16">
        <f>Plan!K70</f>
        <v/>
      </c>
      <c r="F108" s="16">
        <f>Plan!L70</f>
        <v/>
      </c>
      <c r="G108" s="16">
        <f>Plan!O70</f>
        <v/>
      </c>
      <c r="H108" s="34">
        <f>IF(AND(H$5&gt;$E108,H$5&lt;=$F108),IF(H$5=$E108+1,$C108,""),"")</f>
        <v/>
      </c>
      <c r="I108" s="34">
        <f>IF(AND(I$5&gt;$E108,I$5&lt;=$F108),IF(I$5=$E108+1,$C108,""),"")</f>
        <v/>
      </c>
      <c r="J108" s="34">
        <f>IF(AND(J$5&gt;$E108,J$5&lt;=$F108),IF(J$5=$E108+1,$C108,""),"")</f>
        <v/>
      </c>
      <c r="K108" s="34">
        <f>IF(AND(K$5&gt;$E108,K$5&lt;=$F108),IF(K$5=$E108+1,$C108,""),"")</f>
        <v/>
      </c>
      <c r="L108" s="34">
        <f>IF(AND(L$5&gt;$E108,L$5&lt;=$F108),IF(L$5=$E108+1,$C108,""),"")</f>
        <v/>
      </c>
      <c r="M108" s="34">
        <f>IF(AND(M$5&gt;$E108,M$5&lt;=$F108),IF(M$5=$E108+1,$C108,""),"")</f>
        <v/>
      </c>
      <c r="N108" s="34">
        <f>IF(AND(N$5&gt;$E108,N$5&lt;=$F108),IF(N$5=$E108+1,$C108,""),"")</f>
        <v/>
      </c>
      <c r="O108" s="34">
        <f>IF(AND(O$5&gt;$E108,O$5&lt;=$F108),IF(O$5=$E108+1,$C108,""),"")</f>
        <v/>
      </c>
      <c r="P108" s="34">
        <f>IF(AND(P$5&gt;$E108,P$5&lt;=$F108),IF(P$5=$E108+1,$C108,""),"")</f>
        <v/>
      </c>
      <c r="Q108" s="34">
        <f>IF(AND(Q$5&gt;$E108,Q$5&lt;=$F108),IF(Q$5=$E108+1,$C108,""),"")</f>
        <v/>
      </c>
      <c r="R108" s="34">
        <f>IF(AND(R$5&gt;$E108,R$5&lt;=$F108),IF(R$5=$E108+1,$C108,""),"")</f>
        <v/>
      </c>
      <c r="S108" s="34">
        <f>IF(AND(S$5&gt;$E108,S$5&lt;=$F108),IF(S$5=$E108+1,$C108,""),"")</f>
        <v/>
      </c>
      <c r="T108" s="34">
        <f>IF(AND(T$5&gt;$E108,T$5&lt;=$F108),IF(T$5=$E108+1,$C108,""),"")</f>
        <v/>
      </c>
      <c r="U108" s="34">
        <f>IF(AND(U$5&gt;$E108,U$5&lt;=$F108),IF(U$5=$E108+1,$C108,""),"")</f>
        <v/>
      </c>
      <c r="V108" s="34">
        <f>IF(AND(V$5&gt;$E108,V$5&lt;=$F108),IF(V$5=$E108+1,$C108,""),"")</f>
        <v/>
      </c>
      <c r="W108" s="34">
        <f>IF(AND(W$5&gt;$E108,W$5&lt;=$F108),IF(W$5=$E108+1,$C108,""),"")</f>
        <v/>
      </c>
      <c r="X108" s="34">
        <f>IF(AND(X$5&gt;$E108,X$5&lt;=$F108),IF(X$5=$E108+1,$C108,""),"")</f>
        <v/>
      </c>
      <c r="Y108" s="34">
        <f>IF(AND(Y$5&gt;$E108,Y$5&lt;=$F108),IF(Y$5=$E108+1,$C108,""),"")</f>
        <v/>
      </c>
      <c r="Z108" s="34">
        <f>IF(AND(Z$5&gt;$E108,Z$5&lt;=$F108),IF(Z$5=$E108+1,$C108,""),"")</f>
        <v/>
      </c>
      <c r="AA108" s="34">
        <f>IF(AND(AA$5&gt;$E108,AA$5&lt;=$F108),IF(AA$5=$E108+1,$C108,""),"")</f>
        <v/>
      </c>
      <c r="AB108" s="34">
        <f>IF(AND(AB$5&gt;$E108,AB$5&lt;=$F108),IF(AB$5=$E108+1,$C108,""),"")</f>
        <v/>
      </c>
      <c r="AC108" s="34">
        <f>IF(AND(AC$5&gt;$E108,AC$5&lt;=$F108),IF(AC$5=$E108+1,$C108,""),"")</f>
        <v/>
      </c>
      <c r="AD108" s="34">
        <f>IF(AND(AD$5&gt;$E108,AD$5&lt;=$F108),IF(AD$5=$E108+1,$C108,""),"")</f>
        <v/>
      </c>
      <c r="AE108" s="34">
        <f>IF(AND(AE$5&gt;$E108,AE$5&lt;=$F108),IF(AE$5=$E108+1,$C108,""),"")</f>
        <v/>
      </c>
      <c r="AF108" s="34">
        <f>IF(AND(AF$5&gt;$E108,AF$5&lt;=$F108),IF(AF$5=$E108+1,$C108,""),"")</f>
        <v/>
      </c>
      <c r="AG108" s="34">
        <f>IF(AND(AG$5&gt;$E108,AG$5&lt;=$F108),IF(AG$5=$E108+1,$C108,""),"")</f>
        <v/>
      </c>
      <c r="AH108" s="34">
        <f>IF(AND(AH$5&gt;$E108,AH$5&lt;=$F108),IF(AH$5=$E108+1,$C108,""),"")</f>
        <v/>
      </c>
      <c r="AI108" s="34">
        <f>IF(AND(AI$5&gt;$E108,AI$5&lt;=$F108),IF(AI$5=$E108+1,$C108,""),"")</f>
        <v/>
      </c>
      <c r="AJ108" s="34">
        <f>IF(AND(AJ$5&gt;$E108,AJ$5&lt;=$F108),IF(AJ$5=$E108+1,$C108,""),"")</f>
        <v/>
      </c>
      <c r="AK108" s="34">
        <f>IF(AND(AK$5&gt;$E108,AK$5&lt;=$F108),IF(AK$5=$E108+1,$C108,""),"")</f>
        <v/>
      </c>
      <c r="AL108" s="34">
        <f>IF(AND(AL$5&gt;$E108,AL$5&lt;=$F108),IF(AL$5=$E108+1,$C108,""),"")</f>
        <v/>
      </c>
      <c r="AM108" s="34">
        <f>IF(AND(AM$5&gt;$E108,AM$5&lt;=$F108),IF(AM$5=$E108+1,$C108,""),"")</f>
        <v/>
      </c>
      <c r="AN108" s="34">
        <f>IF(AND(AN$5&gt;$E108,AN$5&lt;=$F108),IF(AN$5=$E108+1,$C108,""),"")</f>
        <v/>
      </c>
      <c r="AO108" s="34">
        <f>IF(AND(AO$5&gt;$E108,AO$5&lt;=$F108),IF(AO$5=$E108+1,$C108,""),"")</f>
        <v/>
      </c>
      <c r="AP108" s="34">
        <f>IF(AND(AP$5&gt;$E108,AP$5&lt;=$F108),IF(AP$5=$E108+1,$C108,""),"")</f>
        <v/>
      </c>
      <c r="AQ108" s="34">
        <f>IF(AND(AQ$5&gt;$E108,AQ$5&lt;=$F108),IF(AQ$5=$E108+1,$C108,""),"")</f>
        <v/>
      </c>
      <c r="AR108" s="34">
        <f>IF(AND(AR$5&gt;$E108,AR$5&lt;=$F108),IF(AR$5=$E108+1,$C108,""),"")</f>
        <v/>
      </c>
      <c r="AS108" s="34">
        <f>IF(AND(AS$5&gt;$E108,AS$5&lt;=$F108),IF(AS$5=$E108+1,$C108,""),"")</f>
        <v/>
      </c>
      <c r="AT108" s="34">
        <f>IF(AND(AT$5&gt;$E108,AT$5&lt;=$F108),IF(AT$5=$E108+1,$C108,""),"")</f>
        <v/>
      </c>
      <c r="AU108" s="34">
        <f>IF(AND(AU$5&gt;$E108,AU$5&lt;=$F108),IF(AU$5=$E108+1,$C108,""),"")</f>
        <v/>
      </c>
      <c r="AV108" s="34">
        <f>IF(AND(AV$5&gt;$E108,AV$5&lt;=$F108),IF(AV$5=$E108+1,$C108,""),"")</f>
        <v/>
      </c>
      <c r="AW108" s="34">
        <f>IF(AND(AW$5&gt;$E108,AW$5&lt;=$F108),IF(AW$5=$E108+1,$C108,""),"")</f>
        <v/>
      </c>
      <c r="AX108" s="34">
        <f>IF(AND(AX$5&gt;$E108,AX$5&lt;=$F108),IF(AX$5=$E108+1,$C108,""),"")</f>
        <v/>
      </c>
      <c r="AY108" s="34">
        <f>IF(AND(AY$5&gt;$E108,AY$5&lt;=$F108),IF(AY$5=$E108+1,$C108,""),"")</f>
        <v/>
      </c>
      <c r="AZ108" s="34">
        <f>IF(AND(AZ$5&gt;$E108,AZ$5&lt;=$F108),IF(AZ$5=$E108+1,$C108,""),"")</f>
        <v/>
      </c>
      <c r="BA108" s="34">
        <f>IF(AND(BA$5&gt;$E108,BA$5&lt;=$F108),IF(BA$5=$E108+1,$C108,""),"")</f>
        <v/>
      </c>
      <c r="BB108" s="34">
        <f>IF(AND(BB$5&gt;$E108,BB$5&lt;=$F108),IF(BB$5=$E108+1,$C108,""),"")</f>
        <v/>
      </c>
      <c r="BC108" s="34">
        <f>IF(AND(BC$5&gt;$E108,BC$5&lt;=$F108),IF(BC$5=$E108+1,$C108,""),"")</f>
        <v/>
      </c>
      <c r="BD108" s="34">
        <f>IF(AND(BD$5&gt;$E108,BD$5&lt;=$F108),IF(BD$5=$E108+1,$C108,""),"")</f>
        <v/>
      </c>
      <c r="BE108" s="34">
        <f>IF(AND(BE$5&gt;$E108,BE$5&lt;=$F108),IF(BE$5=$E108+1,$C108,""),"")</f>
        <v/>
      </c>
      <c r="BF108" s="34">
        <f>IF(AND(BF$5&gt;$E108,BF$5&lt;=$F108),IF(BF$5=$E108+1,$C108,""),"")</f>
        <v/>
      </c>
      <c r="BG108" s="34">
        <f>IF(AND(BG$5&gt;$E108,BG$5&lt;=$F108),IF(BG$5=$E108+1,$C108,""),"")</f>
        <v/>
      </c>
      <c r="BH108" s="34">
        <f>IF(AND(BH$5&gt;$E108,BH$5&lt;=$F108),IF(BH$5=$E108+1,$C108,""),"")</f>
        <v/>
      </c>
      <c r="BI108" s="34">
        <f>IF(AND(BI$5&gt;$E108,BI$5&lt;=$F108),IF(BI$5=$E108+1,$C108,""),"")</f>
        <v/>
      </c>
      <c r="BJ108" s="34">
        <f>IF(AND(BJ$5&gt;$E108,BJ$5&lt;=$F108),IF(BJ$5=$E108+1,$C108,""),"")</f>
        <v/>
      </c>
      <c r="BK108" s="34">
        <f>IF(AND(BK$5&gt;$E108,BK$5&lt;=$F108),IF(BK$5=$E108+1,$C108,""),"")</f>
        <v/>
      </c>
      <c r="BL108" s="34">
        <f>IF(AND(BL$5&gt;$E108,BL$5&lt;=$F108),IF(BL$5=$E108+1,$C108,""),"")</f>
        <v/>
      </c>
      <c r="BM108" s="34">
        <f>IF(AND(BM$5&gt;$E108,BM$5&lt;=$F108),IF(BM$5=$E108+1,$C108,""),"")</f>
        <v/>
      </c>
      <c r="BN108" s="34">
        <f>IF(AND(BN$5&gt;$E108,BN$5&lt;=$F108),IF(BN$5=$E108+1,$C108,""),"")</f>
        <v/>
      </c>
      <c r="BO108" s="34">
        <f>IF(AND(BO$5&gt;$E108,BO$5&lt;=$F108),IF(BO$5=$E108+1,$C108,""),"")</f>
        <v/>
      </c>
      <c r="BP108" s="34">
        <f>IF(AND(BP$5&gt;$E108,BP$5&lt;=$F108),IF(BP$5=$E108+1,$C108,""),"")</f>
        <v/>
      </c>
      <c r="BQ108" s="34">
        <f>IF(AND(BQ$5&gt;$E108,BQ$5&lt;=$F108),IF(BQ$5=$E108+1,$C108,""),"")</f>
        <v/>
      </c>
      <c r="BR108" s="34">
        <f>IF(AND(BR$5&gt;$E108,BR$5&lt;=$F108),IF(BR$5=$E108+1,$C108,""),"")</f>
        <v/>
      </c>
      <c r="BS108" s="34">
        <f>IF(AND(BS$5&gt;$E108,BS$5&lt;=$F108),IF(BS$5=$E108+1,$C108,""),"")</f>
        <v/>
      </c>
      <c r="BT108" s="34">
        <f>IF(AND(BT$5&gt;$E108,BT$5&lt;=$F108),IF(BT$5=$E108+1,$C108,""),"")</f>
        <v/>
      </c>
      <c r="BU108" s="34">
        <f>IF(AND(BU$5&gt;$E108,BU$5&lt;=$F108),IF(BU$5=$E108+1,$C108,""),"")</f>
        <v/>
      </c>
      <c r="BV108" s="34">
        <f>IF(AND(BV$5&gt;$E108,BV$5&lt;=$F108),IF(BV$5=$E108+1,$C108,""),"")</f>
        <v/>
      </c>
      <c r="BW108" s="34">
        <f>IF(AND(BW$5&gt;$E108,BW$5&lt;=$F108),IF(BW$5=$E108+1,$C108,""),"")</f>
        <v/>
      </c>
      <c r="BX108" s="34">
        <f>IF(AND(BX$5&gt;$E108,BX$5&lt;=$F108),IF(BX$5=$E108+1,$C108,""),"")</f>
        <v/>
      </c>
      <c r="BY108" s="34">
        <f>IF(AND(BY$5&gt;$E108,BY$5&lt;=$F108),IF(BY$5=$E108+1,$C108,""),"")</f>
        <v/>
      </c>
      <c r="BZ108" s="34">
        <f>IF(AND(BZ$5&gt;$E108,BZ$5&lt;=$F108),IF(BZ$5=$E108+1,$C108,""),"")</f>
        <v/>
      </c>
      <c r="CA108" s="34">
        <f>IF(AND(CA$5&gt;$E108,CA$5&lt;=$F108),IF(CA$5=$E108+1,$C108,""),"")</f>
        <v/>
      </c>
      <c r="CB108" s="34">
        <f>IF(AND(CB$5&gt;$E108,CB$5&lt;=$F108),IF(CB$5=$E108+1,$C108,""),"")</f>
        <v/>
      </c>
      <c r="CC108" s="34">
        <f>IF(AND(CC$5&gt;$E108,CC$5&lt;=$F108),IF(CC$5=$E108+1,$C108,""),"")</f>
        <v/>
      </c>
      <c r="CD108" s="34">
        <f>IF(AND(CD$5&gt;$E108,CD$5&lt;=$F108),IF(CD$5=$E108+1,$C108,""),"")</f>
        <v/>
      </c>
      <c r="CE108" s="34">
        <f>IF(AND(CE$5&gt;$E108,CE$5&lt;=$F108),IF(CE$5=$E108+1,$C108,""),"")</f>
        <v/>
      </c>
      <c r="CF108" s="34">
        <f>IF(AND(CF$5&gt;$E108,CF$5&lt;=$F108),IF(CF$5=$E108+1,$C108,""),"")</f>
        <v/>
      </c>
      <c r="CG108" s="34">
        <f>IF(AND(CG$5&gt;$E108,CG$5&lt;=$F108),IF(CG$5=$E108+1,$C108,""),"")</f>
        <v/>
      </c>
      <c r="CH108" s="34">
        <f>IF(AND(CH$5&gt;$E108,CH$5&lt;=$F108),IF(CH$5=$E108+1,$C108,""),"")</f>
        <v/>
      </c>
      <c r="CI108" s="34">
        <f>IF(AND(CI$5&gt;$E108,CI$5&lt;=$F108),IF(CI$5=$E108+1,$C108,""),"")</f>
        <v/>
      </c>
      <c r="CJ108" s="34">
        <f>IF(AND(CJ$5&gt;$E108,CJ$5&lt;=$F108),IF(CJ$5=$E108+1,$C108,""),"")</f>
        <v/>
      </c>
      <c r="CK108" s="34">
        <f>IF(AND(CK$5&gt;$E108,CK$5&lt;=$F108),IF(CK$5=$E108+1,$C108,""),"")</f>
        <v/>
      </c>
      <c r="CL108" s="34">
        <f>IF(AND(CL$5&gt;$E108,CL$5&lt;=$F108),IF(CL$5=$E108+1,$C108,""),"")</f>
        <v/>
      </c>
      <c r="CM108" s="34">
        <f>IF(AND(CM$5&gt;$E108,CM$5&lt;=$F108),IF(CM$5=$E108+1,$C108,""),"")</f>
        <v/>
      </c>
      <c r="CN108" s="34">
        <f>IF(AND(CN$5&gt;$E108,CN$5&lt;=$F108),IF(CN$5=$E108+1,$C108,""),"")</f>
        <v/>
      </c>
      <c r="CO108" s="34">
        <f>IF(AND(CO$5&gt;$E108,CO$5&lt;=$F108),IF(CO$5=$E108+1,$C108,""),"")</f>
        <v/>
      </c>
      <c r="CP108" s="34">
        <f>IF(AND(CP$5&gt;$E108,CP$5&lt;=$F108),IF(CP$5=$E108+1,$C108,""),"")</f>
        <v/>
      </c>
      <c r="CQ108" s="34">
        <f>IF(AND(CQ$5&gt;$E108,CQ$5&lt;=$F108),IF(CQ$5=$E108+1,$C108,""),"")</f>
        <v/>
      </c>
      <c r="CR108" s="34">
        <f>IF(AND(CR$5&gt;$E108,CR$5&lt;=$F108),IF(CR$5=$E108+1,$C108,""),"")</f>
        <v/>
      </c>
      <c r="CS108" s="34">
        <f>IF(AND(CS$5&gt;$E108,CS$5&lt;=$F108),IF(CS$5=$E108+1,$C108,""),"")</f>
        <v/>
      </c>
      <c r="CT108" s="34">
        <f>IF(AND(CT$5&gt;$E108,CT$5&lt;=$F108),IF(CT$5=$E108+1,$C108,""),"")</f>
        <v/>
      </c>
      <c r="CU108" s="34">
        <f>IF(AND(CU$5&gt;$E108,CU$5&lt;=$F108),IF(CU$5=$E108+1,$C108,""),"")</f>
        <v/>
      </c>
      <c r="CV108" s="34">
        <f>IF(AND(CV$5&gt;$E108,CV$5&lt;=$F108),IF(CV$5=$E108+1,$C108,""),"")</f>
        <v/>
      </c>
      <c r="CW108" s="34">
        <f>IF(AND(CW$5&gt;$E108,CW$5&lt;=$F108),IF(CW$5=$E108+1,$C108,""),"")</f>
        <v/>
      </c>
      <c r="CX108" s="34">
        <f>IF(AND(CX$5&gt;$E108,CX$5&lt;=$F108),IF(CX$5=$E108+1,$C108,""),"")</f>
        <v/>
      </c>
      <c r="CY108" s="34">
        <f>IF(AND(CY$5&gt;$E108,CY$5&lt;=$F108),IF(CY$5=$E108+1,$C108,""),"")</f>
        <v/>
      </c>
      <c r="CZ108" s="34">
        <f>IF(AND(CZ$5&gt;$E108,CZ$5&lt;=$F108),IF(CZ$5=$E108+1,$C108,""),"")</f>
        <v/>
      </c>
      <c r="DA108" s="34">
        <f>IF(AND(DA$5&gt;$E108,DA$5&lt;=$F108),IF(DA$5=$E108+1,$C108,""),"")</f>
        <v/>
      </c>
      <c r="DB108" s="34">
        <f>IF(AND(DB$5&gt;$E108,DB$5&lt;=$F108),IF(DB$5=$E108+1,$C108,""),"")</f>
        <v/>
      </c>
      <c r="DC108" s="34">
        <f>IF(AND(DC$5&gt;$E108,DC$5&lt;=$F108),IF(DC$5=$E108+1,$C108,""),"")</f>
        <v/>
      </c>
      <c r="DD108" s="34">
        <f>IF(AND(DD$5&gt;$E108,DD$5&lt;=$F108),IF(DD$5=$E108+1,$C108,""),"")</f>
        <v/>
      </c>
      <c r="DE108" s="34">
        <f>IF(AND(DE$5&gt;$E108,DE$5&lt;=$F108),IF(DE$5=$E108+1,$C108,""),"")</f>
        <v/>
      </c>
      <c r="DF108" s="34">
        <f>IF(AND(DF$5&gt;$E108,DF$5&lt;=$F108),IF(DF$5=$E108+1,$C108,""),"")</f>
        <v/>
      </c>
      <c r="DG108" s="34">
        <f>IF(AND(DG$5&gt;$E108,DG$5&lt;=$F108),IF(DG$5=$E108+1,$C108,""),"")</f>
        <v/>
      </c>
      <c r="DH108" s="34">
        <f>IF(AND(DH$5&gt;$E108,DH$5&lt;=$F108),IF(DH$5=$E108+1,$C108,""),"")</f>
        <v/>
      </c>
      <c r="DI108" s="34">
        <f>IF(AND(DI$5&gt;$E108,DI$5&lt;=$F108),IF(DI$5=$E108+1,$C108,""),"")</f>
        <v/>
      </c>
      <c r="DJ108" s="34">
        <f>IF(AND(DJ$5&gt;$E108,DJ$5&lt;=$F108),IF(DJ$5=$E108+1,$C108,""),"")</f>
        <v/>
      </c>
      <c r="DK108" s="34">
        <f>IF(AND(DK$5&gt;$E108,DK$5&lt;=$F108),IF(DK$5=$E108+1,$C108,""),"")</f>
        <v/>
      </c>
      <c r="DL108" s="34">
        <f>IF(AND(DL$5&gt;$E108,DL$5&lt;=$F108),IF(DL$5=$E108+1,$C108,""),"")</f>
        <v/>
      </c>
      <c r="DM108" s="34">
        <f>IF(AND(DM$5&gt;$E108,DM$5&lt;=$F108),IF(DM$5=$E108+1,$C108,""),"")</f>
        <v/>
      </c>
      <c r="DN108" s="34">
        <f>IF(AND(DN$5&gt;$E108,DN$5&lt;=$F108),IF(DN$5=$E108+1,$C108,""),"")</f>
        <v/>
      </c>
      <c r="DO108" s="34">
        <f>IF(AND(DO$5&gt;$E108,DO$5&lt;=$F108),IF(DO$5=$E108+1,$C108,""),"")</f>
        <v/>
      </c>
      <c r="DP108" s="34">
        <f>IF(AND(DP$5&gt;$E108,DP$5&lt;=$F108),IF(DP$5=$E108+1,$C108,""),"")</f>
        <v/>
      </c>
      <c r="DQ108" s="34">
        <f>IF(AND(DQ$5&gt;$E108,DQ$5&lt;=$F108),IF(DQ$5=$E108+1,$C108,""),"")</f>
        <v/>
      </c>
      <c r="DR108" s="34">
        <f>IF(AND(DR$5&gt;$E108,DR$5&lt;=$F108),IF(DR$5=$E108+1,$C108,""),"")</f>
        <v/>
      </c>
      <c r="DS108" s="34">
        <f>IF(AND(DS$5&gt;$E108,DS$5&lt;=$F108),IF(DS$5=$E108+1,$C108,""),"")</f>
        <v/>
      </c>
      <c r="DT108" s="34">
        <f>IF(AND(DT$5&gt;$E108,DT$5&lt;=$F108),IF(DT$5=$E108+1,$C108,""),"")</f>
        <v/>
      </c>
      <c r="DU108" s="34">
        <f>IF(AND(DU$5&gt;$E108,DU$5&lt;=$F108),IF(DU$5=$E108+1,$C108,""),"")</f>
        <v/>
      </c>
      <c r="DV108" s="34">
        <f>IF(AND(DV$5&gt;$E108,DV$5&lt;=$F108),IF(DV$5=$E108+1,$C108,""),"")</f>
        <v/>
      </c>
      <c r="DW108" s="34">
        <f>IF(AND(DW$5&gt;$E108,DW$5&lt;=$F108),IF(DW$5=$E108+1,$C108,""),"")</f>
        <v/>
      </c>
      <c r="DX108" s="34">
        <f>IF(AND(DX$5&gt;$E108,DX$5&lt;=$F108),IF(DX$5=$E108+1,$C108,""),"")</f>
        <v/>
      </c>
      <c r="DY108" s="34">
        <f>IF(AND(DY$5&gt;$E108,DY$5&lt;=$F108),IF(DY$5=$E108+1,$C108,""),"")</f>
        <v/>
      </c>
      <c r="DZ108" s="34">
        <f>IF(AND(DZ$5&gt;$E108,DZ$5&lt;=$F108),IF(DZ$5=$E108+1,$C108,""),"")</f>
        <v/>
      </c>
      <c r="EA108" s="34">
        <f>IF(AND(EA$5&gt;$E108,EA$5&lt;=$F108),IF(EA$5=$E108+1,$C108,""),"")</f>
        <v/>
      </c>
      <c r="EB108" s="34">
        <f>IF(AND(EB$5&gt;$E108,EB$5&lt;=$F108),IF(EB$5=$E108+1,$C108,""),"")</f>
        <v/>
      </c>
      <c r="EC108" s="34">
        <f>IF(AND(EC$5&gt;$E108,EC$5&lt;=$F108),IF(EC$5=$E108+1,$C108,""),"")</f>
        <v/>
      </c>
      <c r="ED108" s="34">
        <f>IF(AND(ED$5&gt;$E108,ED$5&lt;=$F108),IF(ED$5=$E108+1,$C108,""),"")</f>
        <v/>
      </c>
      <c r="EE108" s="34">
        <f>IF(AND(EE$5&gt;$E108,EE$5&lt;=$F108),IF(EE$5=$E108+1,$C108,""),"")</f>
        <v/>
      </c>
      <c r="EF108" s="34">
        <f>IF(AND(EF$5&gt;$E108,EF$5&lt;=$F108),IF(EF$5=$E108+1,$C108,""),"")</f>
        <v/>
      </c>
      <c r="EG108" s="34">
        <f>IF(AND(EG$5&gt;$E108,EG$5&lt;=$F108),IF(EG$5=$E108+1,$C108,""),"")</f>
        <v/>
      </c>
      <c r="EH108" s="34">
        <f>IF(AND(EH$5&gt;$E108,EH$5&lt;=$F108),IF(EH$5=$E108+1,$C108,""),"")</f>
        <v/>
      </c>
      <c r="EI108" s="34">
        <f>IF(AND(EI$5&gt;$E108,EI$5&lt;=$F108),IF(EI$5=$E108+1,$C108,""),"")</f>
        <v/>
      </c>
      <c r="EJ108" s="34">
        <f>IF(AND(EJ$5&gt;$E108,EJ$5&lt;=$F108),IF(EJ$5=$E108+1,$C108,""),"")</f>
        <v/>
      </c>
      <c r="EK108" s="34">
        <f>IF(AND(EK$5&gt;$E108,EK$5&lt;=$F108),IF(EK$5=$E108+1,$C108,""),"")</f>
        <v/>
      </c>
      <c r="EL108" s="34">
        <f>IF(AND(EL$5&gt;$E108,EL$5&lt;=$F108),IF(EL$5=$E108+1,$C108,""),"")</f>
        <v/>
      </c>
      <c r="EM108" s="34">
        <f>IF(AND(EM$5&gt;$E108,EM$5&lt;=$F108),IF(EM$5=$E108+1,$C108,""),"")</f>
        <v/>
      </c>
      <c r="EN108" s="34">
        <f>IF(AND(EN$5&gt;$E108,EN$5&lt;=$F108),IF(EN$5=$E108+1,$C108,""),"")</f>
        <v/>
      </c>
      <c r="EO108" s="34">
        <f>IF(AND(EO$5&gt;$E108,EO$5&lt;=$F108),IF(EO$5=$E108+1,$C108,""),"")</f>
        <v/>
      </c>
      <c r="EP108" s="34">
        <f>IF(AND(EP$5&gt;$E108,EP$5&lt;=$F108),IF(EP$5=$E108+1,$C108,""),"")</f>
        <v/>
      </c>
      <c r="EQ108" s="34">
        <f>IF(AND(EQ$5&gt;$E108,EQ$5&lt;=$F108),IF(EQ$5=$E108+1,$C108,""),"")</f>
        <v/>
      </c>
      <c r="ER108" s="34">
        <f>IF(AND(ER$5&gt;$E108,ER$5&lt;=$F108),IF(ER$5=$E108+1,$C108,""),"")</f>
        <v/>
      </c>
      <c r="ES108" s="34">
        <f>IF(AND(ES$5&gt;$E108,ES$5&lt;=$F108),IF(ES$5=$E108+1,$C108,""),"")</f>
        <v/>
      </c>
      <c r="ET108" s="34">
        <f>IF(AND(ET$5&gt;$E108,ET$5&lt;=$F108),IF(ET$5=$E108+1,$C108,""),"")</f>
        <v/>
      </c>
      <c r="EU108" s="34">
        <f>IF(AND(EU$5&gt;$E108,EU$5&lt;=$F108),IF(EU$5=$E108+1,$C108,""),"")</f>
        <v/>
      </c>
      <c r="EV108" s="34">
        <f>IF(AND(EV$5&gt;$E108,EV$5&lt;=$F108),IF(EV$5=$E108+1,$C108,""),"")</f>
        <v/>
      </c>
      <c r="EW108" s="34">
        <f>IF(AND(EW$5&gt;$E108,EW$5&lt;=$F108),IF(EW$5=$E108+1,$C108,""),"")</f>
        <v/>
      </c>
      <c r="EX108" s="34">
        <f>IF(AND(EX$5&gt;$E108,EX$5&lt;=$F108),IF(EX$5=$E108+1,$C108,""),"")</f>
        <v/>
      </c>
      <c r="EY108" s="34">
        <f>IF(AND(EY$5&gt;$E108,EY$5&lt;=$F108),IF(EY$5=$E108+1,$C108,""),"")</f>
        <v/>
      </c>
      <c r="EZ108" s="34">
        <f>IF(AND(EZ$5&gt;$E108,EZ$5&lt;=$F108),IF(EZ$5=$E108+1,$C108,""),"")</f>
        <v/>
      </c>
      <c r="FA108" s="34">
        <f>IF(AND(FA$5&gt;$E108,FA$5&lt;=$F108),IF(FA$5=$E108+1,$C108,""),"")</f>
        <v/>
      </c>
    </row>
    <row r="109">
      <c r="A109" s="32">
        <f>Plan!A71</f>
        <v/>
      </c>
      <c r="B109" s="33">
        <f>Plan!C71</f>
        <v/>
      </c>
      <c r="C109" s="16">
        <f>Plan!D71</f>
        <v/>
      </c>
      <c r="D109" s="16">
        <f>Plan!I71</f>
        <v/>
      </c>
      <c r="E109" s="16">
        <f>Plan!K71</f>
        <v/>
      </c>
      <c r="F109" s="16">
        <f>Plan!L71</f>
        <v/>
      </c>
      <c r="G109" s="16">
        <f>Plan!O71</f>
        <v/>
      </c>
      <c r="H109" s="34">
        <f>IF(AND(H$5&gt;$E109,H$5&lt;=$F109),IF(H$5=$E109+1,$C109,""),"")</f>
        <v/>
      </c>
      <c r="I109" s="34">
        <f>IF(AND(I$5&gt;$E109,I$5&lt;=$F109),IF(I$5=$E109+1,$C109,""),"")</f>
        <v/>
      </c>
      <c r="J109" s="34">
        <f>IF(AND(J$5&gt;$E109,J$5&lt;=$F109),IF(J$5=$E109+1,$C109,""),"")</f>
        <v/>
      </c>
      <c r="K109" s="34">
        <f>IF(AND(K$5&gt;$E109,K$5&lt;=$F109),IF(K$5=$E109+1,$C109,""),"")</f>
        <v/>
      </c>
      <c r="L109" s="34">
        <f>IF(AND(L$5&gt;$E109,L$5&lt;=$F109),IF(L$5=$E109+1,$C109,""),"")</f>
        <v/>
      </c>
      <c r="M109" s="34">
        <f>IF(AND(M$5&gt;$E109,M$5&lt;=$F109),IF(M$5=$E109+1,$C109,""),"")</f>
        <v/>
      </c>
      <c r="N109" s="34">
        <f>IF(AND(N$5&gt;$E109,N$5&lt;=$F109),IF(N$5=$E109+1,$C109,""),"")</f>
        <v/>
      </c>
      <c r="O109" s="34">
        <f>IF(AND(O$5&gt;$E109,O$5&lt;=$F109),IF(O$5=$E109+1,$C109,""),"")</f>
        <v/>
      </c>
      <c r="P109" s="34">
        <f>IF(AND(P$5&gt;$E109,P$5&lt;=$F109),IF(P$5=$E109+1,$C109,""),"")</f>
        <v/>
      </c>
      <c r="Q109" s="34">
        <f>IF(AND(Q$5&gt;$E109,Q$5&lt;=$F109),IF(Q$5=$E109+1,$C109,""),"")</f>
        <v/>
      </c>
      <c r="R109" s="34">
        <f>IF(AND(R$5&gt;$E109,R$5&lt;=$F109),IF(R$5=$E109+1,$C109,""),"")</f>
        <v/>
      </c>
      <c r="S109" s="34">
        <f>IF(AND(S$5&gt;$E109,S$5&lt;=$F109),IF(S$5=$E109+1,$C109,""),"")</f>
        <v/>
      </c>
      <c r="T109" s="34">
        <f>IF(AND(T$5&gt;$E109,T$5&lt;=$F109),IF(T$5=$E109+1,$C109,""),"")</f>
        <v/>
      </c>
      <c r="U109" s="34">
        <f>IF(AND(U$5&gt;$E109,U$5&lt;=$F109),IF(U$5=$E109+1,$C109,""),"")</f>
        <v/>
      </c>
      <c r="V109" s="34">
        <f>IF(AND(V$5&gt;$E109,V$5&lt;=$F109),IF(V$5=$E109+1,$C109,""),"")</f>
        <v/>
      </c>
      <c r="W109" s="34">
        <f>IF(AND(W$5&gt;$E109,W$5&lt;=$F109),IF(W$5=$E109+1,$C109,""),"")</f>
        <v/>
      </c>
      <c r="X109" s="34">
        <f>IF(AND(X$5&gt;$E109,X$5&lt;=$F109),IF(X$5=$E109+1,$C109,""),"")</f>
        <v/>
      </c>
      <c r="Y109" s="34">
        <f>IF(AND(Y$5&gt;$E109,Y$5&lt;=$F109),IF(Y$5=$E109+1,$C109,""),"")</f>
        <v/>
      </c>
      <c r="Z109" s="34">
        <f>IF(AND(Z$5&gt;$E109,Z$5&lt;=$F109),IF(Z$5=$E109+1,$C109,""),"")</f>
        <v/>
      </c>
      <c r="AA109" s="34">
        <f>IF(AND(AA$5&gt;$E109,AA$5&lt;=$F109),IF(AA$5=$E109+1,$C109,""),"")</f>
        <v/>
      </c>
      <c r="AB109" s="34">
        <f>IF(AND(AB$5&gt;$E109,AB$5&lt;=$F109),IF(AB$5=$E109+1,$C109,""),"")</f>
        <v/>
      </c>
      <c r="AC109" s="34">
        <f>IF(AND(AC$5&gt;$E109,AC$5&lt;=$F109),IF(AC$5=$E109+1,$C109,""),"")</f>
        <v/>
      </c>
      <c r="AD109" s="34">
        <f>IF(AND(AD$5&gt;$E109,AD$5&lt;=$F109),IF(AD$5=$E109+1,$C109,""),"")</f>
        <v/>
      </c>
      <c r="AE109" s="34">
        <f>IF(AND(AE$5&gt;$E109,AE$5&lt;=$F109),IF(AE$5=$E109+1,$C109,""),"")</f>
        <v/>
      </c>
      <c r="AF109" s="34">
        <f>IF(AND(AF$5&gt;$E109,AF$5&lt;=$F109),IF(AF$5=$E109+1,$C109,""),"")</f>
        <v/>
      </c>
      <c r="AG109" s="34">
        <f>IF(AND(AG$5&gt;$E109,AG$5&lt;=$F109),IF(AG$5=$E109+1,$C109,""),"")</f>
        <v/>
      </c>
      <c r="AH109" s="34">
        <f>IF(AND(AH$5&gt;$E109,AH$5&lt;=$F109),IF(AH$5=$E109+1,$C109,""),"")</f>
        <v/>
      </c>
      <c r="AI109" s="34">
        <f>IF(AND(AI$5&gt;$E109,AI$5&lt;=$F109),IF(AI$5=$E109+1,$C109,""),"")</f>
        <v/>
      </c>
      <c r="AJ109" s="34">
        <f>IF(AND(AJ$5&gt;$E109,AJ$5&lt;=$F109),IF(AJ$5=$E109+1,$C109,""),"")</f>
        <v/>
      </c>
      <c r="AK109" s="34">
        <f>IF(AND(AK$5&gt;$E109,AK$5&lt;=$F109),IF(AK$5=$E109+1,$C109,""),"")</f>
        <v/>
      </c>
      <c r="AL109" s="34">
        <f>IF(AND(AL$5&gt;$E109,AL$5&lt;=$F109),IF(AL$5=$E109+1,$C109,""),"")</f>
        <v/>
      </c>
      <c r="AM109" s="34">
        <f>IF(AND(AM$5&gt;$E109,AM$5&lt;=$F109),IF(AM$5=$E109+1,$C109,""),"")</f>
        <v/>
      </c>
      <c r="AN109" s="34">
        <f>IF(AND(AN$5&gt;$E109,AN$5&lt;=$F109),IF(AN$5=$E109+1,$C109,""),"")</f>
        <v/>
      </c>
      <c r="AO109" s="34">
        <f>IF(AND(AO$5&gt;$E109,AO$5&lt;=$F109),IF(AO$5=$E109+1,$C109,""),"")</f>
        <v/>
      </c>
      <c r="AP109" s="34">
        <f>IF(AND(AP$5&gt;$E109,AP$5&lt;=$F109),IF(AP$5=$E109+1,$C109,""),"")</f>
        <v/>
      </c>
      <c r="AQ109" s="34">
        <f>IF(AND(AQ$5&gt;$E109,AQ$5&lt;=$F109),IF(AQ$5=$E109+1,$C109,""),"")</f>
        <v/>
      </c>
      <c r="AR109" s="34">
        <f>IF(AND(AR$5&gt;$E109,AR$5&lt;=$F109),IF(AR$5=$E109+1,$C109,""),"")</f>
        <v/>
      </c>
      <c r="AS109" s="34">
        <f>IF(AND(AS$5&gt;$E109,AS$5&lt;=$F109),IF(AS$5=$E109+1,$C109,""),"")</f>
        <v/>
      </c>
      <c r="AT109" s="34">
        <f>IF(AND(AT$5&gt;$E109,AT$5&lt;=$F109),IF(AT$5=$E109+1,$C109,""),"")</f>
        <v/>
      </c>
      <c r="AU109" s="34">
        <f>IF(AND(AU$5&gt;$E109,AU$5&lt;=$F109),IF(AU$5=$E109+1,$C109,""),"")</f>
        <v/>
      </c>
      <c r="AV109" s="34">
        <f>IF(AND(AV$5&gt;$E109,AV$5&lt;=$F109),IF(AV$5=$E109+1,$C109,""),"")</f>
        <v/>
      </c>
      <c r="AW109" s="34">
        <f>IF(AND(AW$5&gt;$E109,AW$5&lt;=$F109),IF(AW$5=$E109+1,$C109,""),"")</f>
        <v/>
      </c>
      <c r="AX109" s="34">
        <f>IF(AND(AX$5&gt;$E109,AX$5&lt;=$F109),IF(AX$5=$E109+1,$C109,""),"")</f>
        <v/>
      </c>
      <c r="AY109" s="34">
        <f>IF(AND(AY$5&gt;$E109,AY$5&lt;=$F109),IF(AY$5=$E109+1,$C109,""),"")</f>
        <v/>
      </c>
      <c r="AZ109" s="34">
        <f>IF(AND(AZ$5&gt;$E109,AZ$5&lt;=$F109),IF(AZ$5=$E109+1,$C109,""),"")</f>
        <v/>
      </c>
      <c r="BA109" s="34">
        <f>IF(AND(BA$5&gt;$E109,BA$5&lt;=$F109),IF(BA$5=$E109+1,$C109,""),"")</f>
        <v/>
      </c>
      <c r="BB109" s="34">
        <f>IF(AND(BB$5&gt;$E109,BB$5&lt;=$F109),IF(BB$5=$E109+1,$C109,""),"")</f>
        <v/>
      </c>
      <c r="BC109" s="34">
        <f>IF(AND(BC$5&gt;$E109,BC$5&lt;=$F109),IF(BC$5=$E109+1,$C109,""),"")</f>
        <v/>
      </c>
      <c r="BD109" s="34">
        <f>IF(AND(BD$5&gt;$E109,BD$5&lt;=$F109),IF(BD$5=$E109+1,$C109,""),"")</f>
        <v/>
      </c>
      <c r="BE109" s="34">
        <f>IF(AND(BE$5&gt;$E109,BE$5&lt;=$F109),IF(BE$5=$E109+1,$C109,""),"")</f>
        <v/>
      </c>
      <c r="BF109" s="34">
        <f>IF(AND(BF$5&gt;$E109,BF$5&lt;=$F109),IF(BF$5=$E109+1,$C109,""),"")</f>
        <v/>
      </c>
      <c r="BG109" s="34">
        <f>IF(AND(BG$5&gt;$E109,BG$5&lt;=$F109),IF(BG$5=$E109+1,$C109,""),"")</f>
        <v/>
      </c>
      <c r="BH109" s="34">
        <f>IF(AND(BH$5&gt;$E109,BH$5&lt;=$F109),IF(BH$5=$E109+1,$C109,""),"")</f>
        <v/>
      </c>
      <c r="BI109" s="34">
        <f>IF(AND(BI$5&gt;$E109,BI$5&lt;=$F109),IF(BI$5=$E109+1,$C109,""),"")</f>
        <v/>
      </c>
      <c r="BJ109" s="34">
        <f>IF(AND(BJ$5&gt;$E109,BJ$5&lt;=$F109),IF(BJ$5=$E109+1,$C109,""),"")</f>
        <v/>
      </c>
      <c r="BK109" s="34">
        <f>IF(AND(BK$5&gt;$E109,BK$5&lt;=$F109),IF(BK$5=$E109+1,$C109,""),"")</f>
        <v/>
      </c>
      <c r="BL109" s="34">
        <f>IF(AND(BL$5&gt;$E109,BL$5&lt;=$F109),IF(BL$5=$E109+1,$C109,""),"")</f>
        <v/>
      </c>
      <c r="BM109" s="34">
        <f>IF(AND(BM$5&gt;$E109,BM$5&lt;=$F109),IF(BM$5=$E109+1,$C109,""),"")</f>
        <v/>
      </c>
      <c r="BN109" s="34">
        <f>IF(AND(BN$5&gt;$E109,BN$5&lt;=$F109),IF(BN$5=$E109+1,$C109,""),"")</f>
        <v/>
      </c>
      <c r="BO109" s="34">
        <f>IF(AND(BO$5&gt;$E109,BO$5&lt;=$F109),IF(BO$5=$E109+1,$C109,""),"")</f>
        <v/>
      </c>
      <c r="BP109" s="34">
        <f>IF(AND(BP$5&gt;$E109,BP$5&lt;=$F109),IF(BP$5=$E109+1,$C109,""),"")</f>
        <v/>
      </c>
      <c r="BQ109" s="34">
        <f>IF(AND(BQ$5&gt;$E109,BQ$5&lt;=$F109),IF(BQ$5=$E109+1,$C109,""),"")</f>
        <v/>
      </c>
      <c r="BR109" s="34">
        <f>IF(AND(BR$5&gt;$E109,BR$5&lt;=$F109),IF(BR$5=$E109+1,$C109,""),"")</f>
        <v/>
      </c>
      <c r="BS109" s="34">
        <f>IF(AND(BS$5&gt;$E109,BS$5&lt;=$F109),IF(BS$5=$E109+1,$C109,""),"")</f>
        <v/>
      </c>
      <c r="BT109" s="34">
        <f>IF(AND(BT$5&gt;$E109,BT$5&lt;=$F109),IF(BT$5=$E109+1,$C109,""),"")</f>
        <v/>
      </c>
      <c r="BU109" s="34">
        <f>IF(AND(BU$5&gt;$E109,BU$5&lt;=$F109),IF(BU$5=$E109+1,$C109,""),"")</f>
        <v/>
      </c>
      <c r="BV109" s="34">
        <f>IF(AND(BV$5&gt;$E109,BV$5&lt;=$F109),IF(BV$5=$E109+1,$C109,""),"")</f>
        <v/>
      </c>
      <c r="BW109" s="34">
        <f>IF(AND(BW$5&gt;$E109,BW$5&lt;=$F109),IF(BW$5=$E109+1,$C109,""),"")</f>
        <v/>
      </c>
      <c r="BX109" s="34">
        <f>IF(AND(BX$5&gt;$E109,BX$5&lt;=$F109),IF(BX$5=$E109+1,$C109,""),"")</f>
        <v/>
      </c>
      <c r="BY109" s="34">
        <f>IF(AND(BY$5&gt;$E109,BY$5&lt;=$F109),IF(BY$5=$E109+1,$C109,""),"")</f>
        <v/>
      </c>
      <c r="BZ109" s="34">
        <f>IF(AND(BZ$5&gt;$E109,BZ$5&lt;=$F109),IF(BZ$5=$E109+1,$C109,""),"")</f>
        <v/>
      </c>
      <c r="CA109" s="34">
        <f>IF(AND(CA$5&gt;$E109,CA$5&lt;=$F109),IF(CA$5=$E109+1,$C109,""),"")</f>
        <v/>
      </c>
      <c r="CB109" s="34">
        <f>IF(AND(CB$5&gt;$E109,CB$5&lt;=$F109),IF(CB$5=$E109+1,$C109,""),"")</f>
        <v/>
      </c>
      <c r="CC109" s="34">
        <f>IF(AND(CC$5&gt;$E109,CC$5&lt;=$F109),IF(CC$5=$E109+1,$C109,""),"")</f>
        <v/>
      </c>
      <c r="CD109" s="34">
        <f>IF(AND(CD$5&gt;$E109,CD$5&lt;=$F109),IF(CD$5=$E109+1,$C109,""),"")</f>
        <v/>
      </c>
      <c r="CE109" s="34">
        <f>IF(AND(CE$5&gt;$E109,CE$5&lt;=$F109),IF(CE$5=$E109+1,$C109,""),"")</f>
        <v/>
      </c>
      <c r="CF109" s="34">
        <f>IF(AND(CF$5&gt;$E109,CF$5&lt;=$F109),IF(CF$5=$E109+1,$C109,""),"")</f>
        <v/>
      </c>
      <c r="CG109" s="34">
        <f>IF(AND(CG$5&gt;$E109,CG$5&lt;=$F109),IF(CG$5=$E109+1,$C109,""),"")</f>
        <v/>
      </c>
      <c r="CH109" s="34">
        <f>IF(AND(CH$5&gt;$E109,CH$5&lt;=$F109),IF(CH$5=$E109+1,$C109,""),"")</f>
        <v/>
      </c>
      <c r="CI109" s="34">
        <f>IF(AND(CI$5&gt;$E109,CI$5&lt;=$F109),IF(CI$5=$E109+1,$C109,""),"")</f>
        <v/>
      </c>
      <c r="CJ109" s="34">
        <f>IF(AND(CJ$5&gt;$E109,CJ$5&lt;=$F109),IF(CJ$5=$E109+1,$C109,""),"")</f>
        <v/>
      </c>
      <c r="CK109" s="34">
        <f>IF(AND(CK$5&gt;$E109,CK$5&lt;=$F109),IF(CK$5=$E109+1,$C109,""),"")</f>
        <v/>
      </c>
      <c r="CL109" s="34">
        <f>IF(AND(CL$5&gt;$E109,CL$5&lt;=$F109),IF(CL$5=$E109+1,$C109,""),"")</f>
        <v/>
      </c>
      <c r="CM109" s="34">
        <f>IF(AND(CM$5&gt;$E109,CM$5&lt;=$F109),IF(CM$5=$E109+1,$C109,""),"")</f>
        <v/>
      </c>
      <c r="CN109" s="34">
        <f>IF(AND(CN$5&gt;$E109,CN$5&lt;=$F109),IF(CN$5=$E109+1,$C109,""),"")</f>
        <v/>
      </c>
      <c r="CO109" s="34">
        <f>IF(AND(CO$5&gt;$E109,CO$5&lt;=$F109),IF(CO$5=$E109+1,$C109,""),"")</f>
        <v/>
      </c>
      <c r="CP109" s="34">
        <f>IF(AND(CP$5&gt;$E109,CP$5&lt;=$F109),IF(CP$5=$E109+1,$C109,""),"")</f>
        <v/>
      </c>
      <c r="CQ109" s="34">
        <f>IF(AND(CQ$5&gt;$E109,CQ$5&lt;=$F109),IF(CQ$5=$E109+1,$C109,""),"")</f>
        <v/>
      </c>
      <c r="CR109" s="34">
        <f>IF(AND(CR$5&gt;$E109,CR$5&lt;=$F109),IF(CR$5=$E109+1,$C109,""),"")</f>
        <v/>
      </c>
      <c r="CS109" s="34">
        <f>IF(AND(CS$5&gt;$E109,CS$5&lt;=$F109),IF(CS$5=$E109+1,$C109,""),"")</f>
        <v/>
      </c>
      <c r="CT109" s="34">
        <f>IF(AND(CT$5&gt;$E109,CT$5&lt;=$F109),IF(CT$5=$E109+1,$C109,""),"")</f>
        <v/>
      </c>
      <c r="CU109" s="34">
        <f>IF(AND(CU$5&gt;$E109,CU$5&lt;=$F109),IF(CU$5=$E109+1,$C109,""),"")</f>
        <v/>
      </c>
      <c r="CV109" s="34">
        <f>IF(AND(CV$5&gt;$E109,CV$5&lt;=$F109),IF(CV$5=$E109+1,$C109,""),"")</f>
        <v/>
      </c>
      <c r="CW109" s="34">
        <f>IF(AND(CW$5&gt;$E109,CW$5&lt;=$F109),IF(CW$5=$E109+1,$C109,""),"")</f>
        <v/>
      </c>
      <c r="CX109" s="34">
        <f>IF(AND(CX$5&gt;$E109,CX$5&lt;=$F109),IF(CX$5=$E109+1,$C109,""),"")</f>
        <v/>
      </c>
      <c r="CY109" s="34">
        <f>IF(AND(CY$5&gt;$E109,CY$5&lt;=$F109),IF(CY$5=$E109+1,$C109,""),"")</f>
        <v/>
      </c>
      <c r="CZ109" s="34">
        <f>IF(AND(CZ$5&gt;$E109,CZ$5&lt;=$F109),IF(CZ$5=$E109+1,$C109,""),"")</f>
        <v/>
      </c>
      <c r="DA109" s="34">
        <f>IF(AND(DA$5&gt;$E109,DA$5&lt;=$F109),IF(DA$5=$E109+1,$C109,""),"")</f>
        <v/>
      </c>
      <c r="DB109" s="34">
        <f>IF(AND(DB$5&gt;$E109,DB$5&lt;=$F109),IF(DB$5=$E109+1,$C109,""),"")</f>
        <v/>
      </c>
      <c r="DC109" s="34">
        <f>IF(AND(DC$5&gt;$E109,DC$5&lt;=$F109),IF(DC$5=$E109+1,$C109,""),"")</f>
        <v/>
      </c>
      <c r="DD109" s="34">
        <f>IF(AND(DD$5&gt;$E109,DD$5&lt;=$F109),IF(DD$5=$E109+1,$C109,""),"")</f>
        <v/>
      </c>
      <c r="DE109" s="34">
        <f>IF(AND(DE$5&gt;$E109,DE$5&lt;=$F109),IF(DE$5=$E109+1,$C109,""),"")</f>
        <v/>
      </c>
      <c r="DF109" s="34">
        <f>IF(AND(DF$5&gt;$E109,DF$5&lt;=$F109),IF(DF$5=$E109+1,$C109,""),"")</f>
        <v/>
      </c>
      <c r="DG109" s="34">
        <f>IF(AND(DG$5&gt;$E109,DG$5&lt;=$F109),IF(DG$5=$E109+1,$C109,""),"")</f>
        <v/>
      </c>
      <c r="DH109" s="34">
        <f>IF(AND(DH$5&gt;$E109,DH$5&lt;=$F109),IF(DH$5=$E109+1,$C109,""),"")</f>
        <v/>
      </c>
      <c r="DI109" s="34">
        <f>IF(AND(DI$5&gt;$E109,DI$5&lt;=$F109),IF(DI$5=$E109+1,$C109,""),"")</f>
        <v/>
      </c>
      <c r="DJ109" s="34">
        <f>IF(AND(DJ$5&gt;$E109,DJ$5&lt;=$F109),IF(DJ$5=$E109+1,$C109,""),"")</f>
        <v/>
      </c>
      <c r="DK109" s="34">
        <f>IF(AND(DK$5&gt;$E109,DK$5&lt;=$F109),IF(DK$5=$E109+1,$C109,""),"")</f>
        <v/>
      </c>
      <c r="DL109" s="34">
        <f>IF(AND(DL$5&gt;$E109,DL$5&lt;=$F109),IF(DL$5=$E109+1,$C109,""),"")</f>
        <v/>
      </c>
      <c r="DM109" s="34">
        <f>IF(AND(DM$5&gt;$E109,DM$5&lt;=$F109),IF(DM$5=$E109+1,$C109,""),"")</f>
        <v/>
      </c>
      <c r="DN109" s="34">
        <f>IF(AND(DN$5&gt;$E109,DN$5&lt;=$F109),IF(DN$5=$E109+1,$C109,""),"")</f>
        <v/>
      </c>
      <c r="DO109" s="34">
        <f>IF(AND(DO$5&gt;$E109,DO$5&lt;=$F109),IF(DO$5=$E109+1,$C109,""),"")</f>
        <v/>
      </c>
      <c r="DP109" s="34">
        <f>IF(AND(DP$5&gt;$E109,DP$5&lt;=$F109),IF(DP$5=$E109+1,$C109,""),"")</f>
        <v/>
      </c>
      <c r="DQ109" s="34">
        <f>IF(AND(DQ$5&gt;$E109,DQ$5&lt;=$F109),IF(DQ$5=$E109+1,$C109,""),"")</f>
        <v/>
      </c>
      <c r="DR109" s="34">
        <f>IF(AND(DR$5&gt;$E109,DR$5&lt;=$F109),IF(DR$5=$E109+1,$C109,""),"")</f>
        <v/>
      </c>
      <c r="DS109" s="34">
        <f>IF(AND(DS$5&gt;$E109,DS$5&lt;=$F109),IF(DS$5=$E109+1,$C109,""),"")</f>
        <v/>
      </c>
      <c r="DT109" s="34">
        <f>IF(AND(DT$5&gt;$E109,DT$5&lt;=$F109),IF(DT$5=$E109+1,$C109,""),"")</f>
        <v/>
      </c>
      <c r="DU109" s="34">
        <f>IF(AND(DU$5&gt;$E109,DU$5&lt;=$F109),IF(DU$5=$E109+1,$C109,""),"")</f>
        <v/>
      </c>
      <c r="DV109" s="34">
        <f>IF(AND(DV$5&gt;$E109,DV$5&lt;=$F109),IF(DV$5=$E109+1,$C109,""),"")</f>
        <v/>
      </c>
      <c r="DW109" s="34">
        <f>IF(AND(DW$5&gt;$E109,DW$5&lt;=$F109),IF(DW$5=$E109+1,$C109,""),"")</f>
        <v/>
      </c>
      <c r="DX109" s="34">
        <f>IF(AND(DX$5&gt;$E109,DX$5&lt;=$F109),IF(DX$5=$E109+1,$C109,""),"")</f>
        <v/>
      </c>
      <c r="DY109" s="34">
        <f>IF(AND(DY$5&gt;$E109,DY$5&lt;=$F109),IF(DY$5=$E109+1,$C109,""),"")</f>
        <v/>
      </c>
      <c r="DZ109" s="34">
        <f>IF(AND(DZ$5&gt;$E109,DZ$5&lt;=$F109),IF(DZ$5=$E109+1,$C109,""),"")</f>
        <v/>
      </c>
      <c r="EA109" s="34">
        <f>IF(AND(EA$5&gt;$E109,EA$5&lt;=$F109),IF(EA$5=$E109+1,$C109,""),"")</f>
        <v/>
      </c>
      <c r="EB109" s="34">
        <f>IF(AND(EB$5&gt;$E109,EB$5&lt;=$F109),IF(EB$5=$E109+1,$C109,""),"")</f>
        <v/>
      </c>
      <c r="EC109" s="34">
        <f>IF(AND(EC$5&gt;$E109,EC$5&lt;=$F109),IF(EC$5=$E109+1,$C109,""),"")</f>
        <v/>
      </c>
      <c r="ED109" s="34">
        <f>IF(AND(ED$5&gt;$E109,ED$5&lt;=$F109),IF(ED$5=$E109+1,$C109,""),"")</f>
        <v/>
      </c>
      <c r="EE109" s="34">
        <f>IF(AND(EE$5&gt;$E109,EE$5&lt;=$F109),IF(EE$5=$E109+1,$C109,""),"")</f>
        <v/>
      </c>
      <c r="EF109" s="34">
        <f>IF(AND(EF$5&gt;$E109,EF$5&lt;=$F109),IF(EF$5=$E109+1,$C109,""),"")</f>
        <v/>
      </c>
      <c r="EG109" s="34">
        <f>IF(AND(EG$5&gt;$E109,EG$5&lt;=$F109),IF(EG$5=$E109+1,$C109,""),"")</f>
        <v/>
      </c>
      <c r="EH109" s="34">
        <f>IF(AND(EH$5&gt;$E109,EH$5&lt;=$F109),IF(EH$5=$E109+1,$C109,""),"")</f>
        <v/>
      </c>
      <c r="EI109" s="34">
        <f>IF(AND(EI$5&gt;$E109,EI$5&lt;=$F109),IF(EI$5=$E109+1,$C109,""),"")</f>
        <v/>
      </c>
      <c r="EJ109" s="34">
        <f>IF(AND(EJ$5&gt;$E109,EJ$5&lt;=$F109),IF(EJ$5=$E109+1,$C109,""),"")</f>
        <v/>
      </c>
      <c r="EK109" s="34">
        <f>IF(AND(EK$5&gt;$E109,EK$5&lt;=$F109),IF(EK$5=$E109+1,$C109,""),"")</f>
        <v/>
      </c>
      <c r="EL109" s="34">
        <f>IF(AND(EL$5&gt;$E109,EL$5&lt;=$F109),IF(EL$5=$E109+1,$C109,""),"")</f>
        <v/>
      </c>
      <c r="EM109" s="34">
        <f>IF(AND(EM$5&gt;$E109,EM$5&lt;=$F109),IF(EM$5=$E109+1,$C109,""),"")</f>
        <v/>
      </c>
      <c r="EN109" s="34">
        <f>IF(AND(EN$5&gt;$E109,EN$5&lt;=$F109),IF(EN$5=$E109+1,$C109,""),"")</f>
        <v/>
      </c>
      <c r="EO109" s="34">
        <f>IF(AND(EO$5&gt;$E109,EO$5&lt;=$F109),IF(EO$5=$E109+1,$C109,""),"")</f>
        <v/>
      </c>
      <c r="EP109" s="34">
        <f>IF(AND(EP$5&gt;$E109,EP$5&lt;=$F109),IF(EP$5=$E109+1,$C109,""),"")</f>
        <v/>
      </c>
      <c r="EQ109" s="34">
        <f>IF(AND(EQ$5&gt;$E109,EQ$5&lt;=$F109),IF(EQ$5=$E109+1,$C109,""),"")</f>
        <v/>
      </c>
      <c r="ER109" s="34">
        <f>IF(AND(ER$5&gt;$E109,ER$5&lt;=$F109),IF(ER$5=$E109+1,$C109,""),"")</f>
        <v/>
      </c>
      <c r="ES109" s="34">
        <f>IF(AND(ES$5&gt;$E109,ES$5&lt;=$F109),IF(ES$5=$E109+1,$C109,""),"")</f>
        <v/>
      </c>
      <c r="ET109" s="34">
        <f>IF(AND(ET$5&gt;$E109,ET$5&lt;=$F109),IF(ET$5=$E109+1,$C109,""),"")</f>
        <v/>
      </c>
      <c r="EU109" s="34">
        <f>IF(AND(EU$5&gt;$E109,EU$5&lt;=$F109),IF(EU$5=$E109+1,$C109,""),"")</f>
        <v/>
      </c>
      <c r="EV109" s="34">
        <f>IF(AND(EV$5&gt;$E109,EV$5&lt;=$F109),IF(EV$5=$E109+1,$C109,""),"")</f>
        <v/>
      </c>
      <c r="EW109" s="34">
        <f>IF(AND(EW$5&gt;$E109,EW$5&lt;=$F109),IF(EW$5=$E109+1,$C109,""),"")</f>
        <v/>
      </c>
      <c r="EX109" s="34">
        <f>IF(AND(EX$5&gt;$E109,EX$5&lt;=$F109),IF(EX$5=$E109+1,$C109,""),"")</f>
        <v/>
      </c>
      <c r="EY109" s="34">
        <f>IF(AND(EY$5&gt;$E109,EY$5&lt;=$F109),IF(EY$5=$E109+1,$C109,""),"")</f>
        <v/>
      </c>
      <c r="EZ109" s="34">
        <f>IF(AND(EZ$5&gt;$E109,EZ$5&lt;=$F109),IF(EZ$5=$E109+1,$C109,""),"")</f>
        <v/>
      </c>
      <c r="FA109" s="34">
        <f>IF(AND(FA$5&gt;$E109,FA$5&lt;=$F109),IF(FA$5=$E109+1,$C109,""),"")</f>
        <v/>
      </c>
    </row>
    <row r="110">
      <c r="A110" s="32">
        <f>Plan!A72</f>
        <v/>
      </c>
      <c r="B110" s="33">
        <f>Plan!C72</f>
        <v/>
      </c>
      <c r="C110" s="16">
        <f>Plan!D72</f>
        <v/>
      </c>
      <c r="D110" s="16">
        <f>Plan!I72</f>
        <v/>
      </c>
      <c r="E110" s="16">
        <f>Plan!K72</f>
        <v/>
      </c>
      <c r="F110" s="16">
        <f>Plan!L72</f>
        <v/>
      </c>
      <c r="G110" s="16">
        <f>Plan!O72</f>
        <v/>
      </c>
      <c r="H110" s="34">
        <f>IF(AND(H$5&gt;$E110,H$5&lt;=$F110),IF(H$5=$E110+1,$C110,""),"")</f>
        <v/>
      </c>
      <c r="I110" s="34">
        <f>IF(AND(I$5&gt;$E110,I$5&lt;=$F110),IF(I$5=$E110+1,$C110,""),"")</f>
        <v/>
      </c>
      <c r="J110" s="34">
        <f>IF(AND(J$5&gt;$E110,J$5&lt;=$F110),IF(J$5=$E110+1,$C110,""),"")</f>
        <v/>
      </c>
      <c r="K110" s="34">
        <f>IF(AND(K$5&gt;$E110,K$5&lt;=$F110),IF(K$5=$E110+1,$C110,""),"")</f>
        <v/>
      </c>
      <c r="L110" s="34">
        <f>IF(AND(L$5&gt;$E110,L$5&lt;=$F110),IF(L$5=$E110+1,$C110,""),"")</f>
        <v/>
      </c>
      <c r="M110" s="34">
        <f>IF(AND(M$5&gt;$E110,M$5&lt;=$F110),IF(M$5=$E110+1,$C110,""),"")</f>
        <v/>
      </c>
      <c r="N110" s="34">
        <f>IF(AND(N$5&gt;$E110,N$5&lt;=$F110),IF(N$5=$E110+1,$C110,""),"")</f>
        <v/>
      </c>
      <c r="O110" s="34">
        <f>IF(AND(O$5&gt;$E110,O$5&lt;=$F110),IF(O$5=$E110+1,$C110,""),"")</f>
        <v/>
      </c>
      <c r="P110" s="34">
        <f>IF(AND(P$5&gt;$E110,P$5&lt;=$F110),IF(P$5=$E110+1,$C110,""),"")</f>
        <v/>
      </c>
      <c r="Q110" s="34">
        <f>IF(AND(Q$5&gt;$E110,Q$5&lt;=$F110),IF(Q$5=$E110+1,$C110,""),"")</f>
        <v/>
      </c>
      <c r="R110" s="34">
        <f>IF(AND(R$5&gt;$E110,R$5&lt;=$F110),IF(R$5=$E110+1,$C110,""),"")</f>
        <v/>
      </c>
      <c r="S110" s="34">
        <f>IF(AND(S$5&gt;$E110,S$5&lt;=$F110),IF(S$5=$E110+1,$C110,""),"")</f>
        <v/>
      </c>
      <c r="T110" s="34">
        <f>IF(AND(T$5&gt;$E110,T$5&lt;=$F110),IF(T$5=$E110+1,$C110,""),"")</f>
        <v/>
      </c>
      <c r="U110" s="34">
        <f>IF(AND(U$5&gt;$E110,U$5&lt;=$F110),IF(U$5=$E110+1,$C110,""),"")</f>
        <v/>
      </c>
      <c r="V110" s="34">
        <f>IF(AND(V$5&gt;$E110,V$5&lt;=$F110),IF(V$5=$E110+1,$C110,""),"")</f>
        <v/>
      </c>
      <c r="W110" s="34">
        <f>IF(AND(W$5&gt;$E110,W$5&lt;=$F110),IF(W$5=$E110+1,$C110,""),"")</f>
        <v/>
      </c>
      <c r="X110" s="34">
        <f>IF(AND(X$5&gt;$E110,X$5&lt;=$F110),IF(X$5=$E110+1,$C110,""),"")</f>
        <v/>
      </c>
      <c r="Y110" s="34">
        <f>IF(AND(Y$5&gt;$E110,Y$5&lt;=$F110),IF(Y$5=$E110+1,$C110,""),"")</f>
        <v/>
      </c>
      <c r="Z110" s="34">
        <f>IF(AND(Z$5&gt;$E110,Z$5&lt;=$F110),IF(Z$5=$E110+1,$C110,""),"")</f>
        <v/>
      </c>
      <c r="AA110" s="34">
        <f>IF(AND(AA$5&gt;$E110,AA$5&lt;=$F110),IF(AA$5=$E110+1,$C110,""),"")</f>
        <v/>
      </c>
      <c r="AB110" s="34">
        <f>IF(AND(AB$5&gt;$E110,AB$5&lt;=$F110),IF(AB$5=$E110+1,$C110,""),"")</f>
        <v/>
      </c>
      <c r="AC110" s="34">
        <f>IF(AND(AC$5&gt;$E110,AC$5&lt;=$F110),IF(AC$5=$E110+1,$C110,""),"")</f>
        <v/>
      </c>
      <c r="AD110" s="34">
        <f>IF(AND(AD$5&gt;$E110,AD$5&lt;=$F110),IF(AD$5=$E110+1,$C110,""),"")</f>
        <v/>
      </c>
      <c r="AE110" s="34">
        <f>IF(AND(AE$5&gt;$E110,AE$5&lt;=$F110),IF(AE$5=$E110+1,$C110,""),"")</f>
        <v/>
      </c>
      <c r="AF110" s="34">
        <f>IF(AND(AF$5&gt;$E110,AF$5&lt;=$F110),IF(AF$5=$E110+1,$C110,""),"")</f>
        <v/>
      </c>
      <c r="AG110" s="34">
        <f>IF(AND(AG$5&gt;$E110,AG$5&lt;=$F110),IF(AG$5=$E110+1,$C110,""),"")</f>
        <v/>
      </c>
      <c r="AH110" s="34">
        <f>IF(AND(AH$5&gt;$E110,AH$5&lt;=$F110),IF(AH$5=$E110+1,$C110,""),"")</f>
        <v/>
      </c>
      <c r="AI110" s="34">
        <f>IF(AND(AI$5&gt;$E110,AI$5&lt;=$F110),IF(AI$5=$E110+1,$C110,""),"")</f>
        <v/>
      </c>
      <c r="AJ110" s="34">
        <f>IF(AND(AJ$5&gt;$E110,AJ$5&lt;=$F110),IF(AJ$5=$E110+1,$C110,""),"")</f>
        <v/>
      </c>
      <c r="AK110" s="34">
        <f>IF(AND(AK$5&gt;$E110,AK$5&lt;=$F110),IF(AK$5=$E110+1,$C110,""),"")</f>
        <v/>
      </c>
      <c r="AL110" s="34">
        <f>IF(AND(AL$5&gt;$E110,AL$5&lt;=$F110),IF(AL$5=$E110+1,$C110,""),"")</f>
        <v/>
      </c>
      <c r="AM110" s="34">
        <f>IF(AND(AM$5&gt;$E110,AM$5&lt;=$F110),IF(AM$5=$E110+1,$C110,""),"")</f>
        <v/>
      </c>
      <c r="AN110" s="34">
        <f>IF(AND(AN$5&gt;$E110,AN$5&lt;=$F110),IF(AN$5=$E110+1,$C110,""),"")</f>
        <v/>
      </c>
      <c r="AO110" s="34">
        <f>IF(AND(AO$5&gt;$E110,AO$5&lt;=$F110),IF(AO$5=$E110+1,$C110,""),"")</f>
        <v/>
      </c>
      <c r="AP110" s="34">
        <f>IF(AND(AP$5&gt;$E110,AP$5&lt;=$F110),IF(AP$5=$E110+1,$C110,""),"")</f>
        <v/>
      </c>
      <c r="AQ110" s="34">
        <f>IF(AND(AQ$5&gt;$E110,AQ$5&lt;=$F110),IF(AQ$5=$E110+1,$C110,""),"")</f>
        <v/>
      </c>
      <c r="AR110" s="34">
        <f>IF(AND(AR$5&gt;$E110,AR$5&lt;=$F110),IF(AR$5=$E110+1,$C110,""),"")</f>
        <v/>
      </c>
      <c r="AS110" s="34">
        <f>IF(AND(AS$5&gt;$E110,AS$5&lt;=$F110),IF(AS$5=$E110+1,$C110,""),"")</f>
        <v/>
      </c>
      <c r="AT110" s="34">
        <f>IF(AND(AT$5&gt;$E110,AT$5&lt;=$F110),IF(AT$5=$E110+1,$C110,""),"")</f>
        <v/>
      </c>
      <c r="AU110" s="34">
        <f>IF(AND(AU$5&gt;$E110,AU$5&lt;=$F110),IF(AU$5=$E110+1,$C110,""),"")</f>
        <v/>
      </c>
      <c r="AV110" s="34">
        <f>IF(AND(AV$5&gt;$E110,AV$5&lt;=$F110),IF(AV$5=$E110+1,$C110,""),"")</f>
        <v/>
      </c>
      <c r="AW110" s="34">
        <f>IF(AND(AW$5&gt;$E110,AW$5&lt;=$F110),IF(AW$5=$E110+1,$C110,""),"")</f>
        <v/>
      </c>
      <c r="AX110" s="34">
        <f>IF(AND(AX$5&gt;$E110,AX$5&lt;=$F110),IF(AX$5=$E110+1,$C110,""),"")</f>
        <v/>
      </c>
      <c r="AY110" s="34">
        <f>IF(AND(AY$5&gt;$E110,AY$5&lt;=$F110),IF(AY$5=$E110+1,$C110,""),"")</f>
        <v/>
      </c>
      <c r="AZ110" s="34">
        <f>IF(AND(AZ$5&gt;$E110,AZ$5&lt;=$F110),IF(AZ$5=$E110+1,$C110,""),"")</f>
        <v/>
      </c>
      <c r="BA110" s="34">
        <f>IF(AND(BA$5&gt;$E110,BA$5&lt;=$F110),IF(BA$5=$E110+1,$C110,""),"")</f>
        <v/>
      </c>
      <c r="BB110" s="34">
        <f>IF(AND(BB$5&gt;$E110,BB$5&lt;=$F110),IF(BB$5=$E110+1,$C110,""),"")</f>
        <v/>
      </c>
      <c r="BC110" s="34">
        <f>IF(AND(BC$5&gt;$E110,BC$5&lt;=$F110),IF(BC$5=$E110+1,$C110,""),"")</f>
        <v/>
      </c>
      <c r="BD110" s="34">
        <f>IF(AND(BD$5&gt;$E110,BD$5&lt;=$F110),IF(BD$5=$E110+1,$C110,""),"")</f>
        <v/>
      </c>
      <c r="BE110" s="34">
        <f>IF(AND(BE$5&gt;$E110,BE$5&lt;=$F110),IF(BE$5=$E110+1,$C110,""),"")</f>
        <v/>
      </c>
      <c r="BF110" s="34">
        <f>IF(AND(BF$5&gt;$E110,BF$5&lt;=$F110),IF(BF$5=$E110+1,$C110,""),"")</f>
        <v/>
      </c>
      <c r="BG110" s="34">
        <f>IF(AND(BG$5&gt;$E110,BG$5&lt;=$F110),IF(BG$5=$E110+1,$C110,""),"")</f>
        <v/>
      </c>
      <c r="BH110" s="34">
        <f>IF(AND(BH$5&gt;$E110,BH$5&lt;=$F110),IF(BH$5=$E110+1,$C110,""),"")</f>
        <v/>
      </c>
      <c r="BI110" s="34">
        <f>IF(AND(BI$5&gt;$E110,BI$5&lt;=$F110),IF(BI$5=$E110+1,$C110,""),"")</f>
        <v/>
      </c>
      <c r="BJ110" s="34">
        <f>IF(AND(BJ$5&gt;$E110,BJ$5&lt;=$F110),IF(BJ$5=$E110+1,$C110,""),"")</f>
        <v/>
      </c>
      <c r="BK110" s="34">
        <f>IF(AND(BK$5&gt;$E110,BK$5&lt;=$F110),IF(BK$5=$E110+1,$C110,""),"")</f>
        <v/>
      </c>
      <c r="BL110" s="34">
        <f>IF(AND(BL$5&gt;$E110,BL$5&lt;=$F110),IF(BL$5=$E110+1,$C110,""),"")</f>
        <v/>
      </c>
      <c r="BM110" s="34">
        <f>IF(AND(BM$5&gt;$E110,BM$5&lt;=$F110),IF(BM$5=$E110+1,$C110,""),"")</f>
        <v/>
      </c>
      <c r="BN110" s="34">
        <f>IF(AND(BN$5&gt;$E110,BN$5&lt;=$F110),IF(BN$5=$E110+1,$C110,""),"")</f>
        <v/>
      </c>
      <c r="BO110" s="34">
        <f>IF(AND(BO$5&gt;$E110,BO$5&lt;=$F110),IF(BO$5=$E110+1,$C110,""),"")</f>
        <v/>
      </c>
      <c r="BP110" s="34">
        <f>IF(AND(BP$5&gt;$E110,BP$5&lt;=$F110),IF(BP$5=$E110+1,$C110,""),"")</f>
        <v/>
      </c>
      <c r="BQ110" s="34">
        <f>IF(AND(BQ$5&gt;$E110,BQ$5&lt;=$F110),IF(BQ$5=$E110+1,$C110,""),"")</f>
        <v/>
      </c>
      <c r="BR110" s="34">
        <f>IF(AND(BR$5&gt;$E110,BR$5&lt;=$F110),IF(BR$5=$E110+1,$C110,""),"")</f>
        <v/>
      </c>
      <c r="BS110" s="34">
        <f>IF(AND(BS$5&gt;$E110,BS$5&lt;=$F110),IF(BS$5=$E110+1,$C110,""),"")</f>
        <v/>
      </c>
      <c r="BT110" s="34">
        <f>IF(AND(BT$5&gt;$E110,BT$5&lt;=$F110),IF(BT$5=$E110+1,$C110,""),"")</f>
        <v/>
      </c>
      <c r="BU110" s="34">
        <f>IF(AND(BU$5&gt;$E110,BU$5&lt;=$F110),IF(BU$5=$E110+1,$C110,""),"")</f>
        <v/>
      </c>
      <c r="BV110" s="34">
        <f>IF(AND(BV$5&gt;$E110,BV$5&lt;=$F110),IF(BV$5=$E110+1,$C110,""),"")</f>
        <v/>
      </c>
      <c r="BW110" s="34">
        <f>IF(AND(BW$5&gt;$E110,BW$5&lt;=$F110),IF(BW$5=$E110+1,$C110,""),"")</f>
        <v/>
      </c>
      <c r="BX110" s="34">
        <f>IF(AND(BX$5&gt;$E110,BX$5&lt;=$F110),IF(BX$5=$E110+1,$C110,""),"")</f>
        <v/>
      </c>
      <c r="BY110" s="34">
        <f>IF(AND(BY$5&gt;$E110,BY$5&lt;=$F110),IF(BY$5=$E110+1,$C110,""),"")</f>
        <v/>
      </c>
      <c r="BZ110" s="34">
        <f>IF(AND(BZ$5&gt;$E110,BZ$5&lt;=$F110),IF(BZ$5=$E110+1,$C110,""),"")</f>
        <v/>
      </c>
      <c r="CA110" s="34">
        <f>IF(AND(CA$5&gt;$E110,CA$5&lt;=$F110),IF(CA$5=$E110+1,$C110,""),"")</f>
        <v/>
      </c>
      <c r="CB110" s="34">
        <f>IF(AND(CB$5&gt;$E110,CB$5&lt;=$F110),IF(CB$5=$E110+1,$C110,""),"")</f>
        <v/>
      </c>
      <c r="CC110" s="34">
        <f>IF(AND(CC$5&gt;$E110,CC$5&lt;=$F110),IF(CC$5=$E110+1,$C110,""),"")</f>
        <v/>
      </c>
      <c r="CD110" s="34">
        <f>IF(AND(CD$5&gt;$E110,CD$5&lt;=$F110),IF(CD$5=$E110+1,$C110,""),"")</f>
        <v/>
      </c>
      <c r="CE110" s="34">
        <f>IF(AND(CE$5&gt;$E110,CE$5&lt;=$F110),IF(CE$5=$E110+1,$C110,""),"")</f>
        <v/>
      </c>
      <c r="CF110" s="34">
        <f>IF(AND(CF$5&gt;$E110,CF$5&lt;=$F110),IF(CF$5=$E110+1,$C110,""),"")</f>
        <v/>
      </c>
      <c r="CG110" s="34">
        <f>IF(AND(CG$5&gt;$E110,CG$5&lt;=$F110),IF(CG$5=$E110+1,$C110,""),"")</f>
        <v/>
      </c>
      <c r="CH110" s="34">
        <f>IF(AND(CH$5&gt;$E110,CH$5&lt;=$F110),IF(CH$5=$E110+1,$C110,""),"")</f>
        <v/>
      </c>
      <c r="CI110" s="34">
        <f>IF(AND(CI$5&gt;$E110,CI$5&lt;=$F110),IF(CI$5=$E110+1,$C110,""),"")</f>
        <v/>
      </c>
      <c r="CJ110" s="34">
        <f>IF(AND(CJ$5&gt;$E110,CJ$5&lt;=$F110),IF(CJ$5=$E110+1,$C110,""),"")</f>
        <v/>
      </c>
      <c r="CK110" s="34">
        <f>IF(AND(CK$5&gt;$E110,CK$5&lt;=$F110),IF(CK$5=$E110+1,$C110,""),"")</f>
        <v/>
      </c>
      <c r="CL110" s="34">
        <f>IF(AND(CL$5&gt;$E110,CL$5&lt;=$F110),IF(CL$5=$E110+1,$C110,""),"")</f>
        <v/>
      </c>
      <c r="CM110" s="34">
        <f>IF(AND(CM$5&gt;$E110,CM$5&lt;=$F110),IF(CM$5=$E110+1,$C110,""),"")</f>
        <v/>
      </c>
      <c r="CN110" s="34">
        <f>IF(AND(CN$5&gt;$E110,CN$5&lt;=$F110),IF(CN$5=$E110+1,$C110,""),"")</f>
        <v/>
      </c>
      <c r="CO110" s="34">
        <f>IF(AND(CO$5&gt;$E110,CO$5&lt;=$F110),IF(CO$5=$E110+1,$C110,""),"")</f>
        <v/>
      </c>
      <c r="CP110" s="34">
        <f>IF(AND(CP$5&gt;$E110,CP$5&lt;=$F110),IF(CP$5=$E110+1,$C110,""),"")</f>
        <v/>
      </c>
      <c r="CQ110" s="34">
        <f>IF(AND(CQ$5&gt;$E110,CQ$5&lt;=$F110),IF(CQ$5=$E110+1,$C110,""),"")</f>
        <v/>
      </c>
      <c r="CR110" s="34">
        <f>IF(AND(CR$5&gt;$E110,CR$5&lt;=$F110),IF(CR$5=$E110+1,$C110,""),"")</f>
        <v/>
      </c>
      <c r="CS110" s="34">
        <f>IF(AND(CS$5&gt;$E110,CS$5&lt;=$F110),IF(CS$5=$E110+1,$C110,""),"")</f>
        <v/>
      </c>
      <c r="CT110" s="34">
        <f>IF(AND(CT$5&gt;$E110,CT$5&lt;=$F110),IF(CT$5=$E110+1,$C110,""),"")</f>
        <v/>
      </c>
      <c r="CU110" s="34">
        <f>IF(AND(CU$5&gt;$E110,CU$5&lt;=$F110),IF(CU$5=$E110+1,$C110,""),"")</f>
        <v/>
      </c>
      <c r="CV110" s="34">
        <f>IF(AND(CV$5&gt;$E110,CV$5&lt;=$F110),IF(CV$5=$E110+1,$C110,""),"")</f>
        <v/>
      </c>
      <c r="CW110" s="34">
        <f>IF(AND(CW$5&gt;$E110,CW$5&lt;=$F110),IF(CW$5=$E110+1,$C110,""),"")</f>
        <v/>
      </c>
      <c r="CX110" s="34">
        <f>IF(AND(CX$5&gt;$E110,CX$5&lt;=$F110),IF(CX$5=$E110+1,$C110,""),"")</f>
        <v/>
      </c>
      <c r="CY110" s="34">
        <f>IF(AND(CY$5&gt;$E110,CY$5&lt;=$F110),IF(CY$5=$E110+1,$C110,""),"")</f>
        <v/>
      </c>
      <c r="CZ110" s="34">
        <f>IF(AND(CZ$5&gt;$E110,CZ$5&lt;=$F110),IF(CZ$5=$E110+1,$C110,""),"")</f>
        <v/>
      </c>
      <c r="DA110" s="34">
        <f>IF(AND(DA$5&gt;$E110,DA$5&lt;=$F110),IF(DA$5=$E110+1,$C110,""),"")</f>
        <v/>
      </c>
      <c r="DB110" s="34">
        <f>IF(AND(DB$5&gt;$E110,DB$5&lt;=$F110),IF(DB$5=$E110+1,$C110,""),"")</f>
        <v/>
      </c>
      <c r="DC110" s="34">
        <f>IF(AND(DC$5&gt;$E110,DC$5&lt;=$F110),IF(DC$5=$E110+1,$C110,""),"")</f>
        <v/>
      </c>
      <c r="DD110" s="34">
        <f>IF(AND(DD$5&gt;$E110,DD$5&lt;=$F110),IF(DD$5=$E110+1,$C110,""),"")</f>
        <v/>
      </c>
      <c r="DE110" s="34">
        <f>IF(AND(DE$5&gt;$E110,DE$5&lt;=$F110),IF(DE$5=$E110+1,$C110,""),"")</f>
        <v/>
      </c>
      <c r="DF110" s="34">
        <f>IF(AND(DF$5&gt;$E110,DF$5&lt;=$F110),IF(DF$5=$E110+1,$C110,""),"")</f>
        <v/>
      </c>
      <c r="DG110" s="34">
        <f>IF(AND(DG$5&gt;$E110,DG$5&lt;=$F110),IF(DG$5=$E110+1,$C110,""),"")</f>
        <v/>
      </c>
      <c r="DH110" s="34">
        <f>IF(AND(DH$5&gt;$E110,DH$5&lt;=$F110),IF(DH$5=$E110+1,$C110,""),"")</f>
        <v/>
      </c>
      <c r="DI110" s="34">
        <f>IF(AND(DI$5&gt;$E110,DI$5&lt;=$F110),IF(DI$5=$E110+1,$C110,""),"")</f>
        <v/>
      </c>
      <c r="DJ110" s="34">
        <f>IF(AND(DJ$5&gt;$E110,DJ$5&lt;=$F110),IF(DJ$5=$E110+1,$C110,""),"")</f>
        <v/>
      </c>
      <c r="DK110" s="34">
        <f>IF(AND(DK$5&gt;$E110,DK$5&lt;=$F110),IF(DK$5=$E110+1,$C110,""),"")</f>
        <v/>
      </c>
      <c r="DL110" s="34">
        <f>IF(AND(DL$5&gt;$E110,DL$5&lt;=$F110),IF(DL$5=$E110+1,$C110,""),"")</f>
        <v/>
      </c>
      <c r="DM110" s="34">
        <f>IF(AND(DM$5&gt;$E110,DM$5&lt;=$F110),IF(DM$5=$E110+1,$C110,""),"")</f>
        <v/>
      </c>
      <c r="DN110" s="34">
        <f>IF(AND(DN$5&gt;$E110,DN$5&lt;=$F110),IF(DN$5=$E110+1,$C110,""),"")</f>
        <v/>
      </c>
      <c r="DO110" s="34">
        <f>IF(AND(DO$5&gt;$E110,DO$5&lt;=$F110),IF(DO$5=$E110+1,$C110,""),"")</f>
        <v/>
      </c>
      <c r="DP110" s="34">
        <f>IF(AND(DP$5&gt;$E110,DP$5&lt;=$F110),IF(DP$5=$E110+1,$C110,""),"")</f>
        <v/>
      </c>
      <c r="DQ110" s="34">
        <f>IF(AND(DQ$5&gt;$E110,DQ$5&lt;=$F110),IF(DQ$5=$E110+1,$C110,""),"")</f>
        <v/>
      </c>
      <c r="DR110" s="34">
        <f>IF(AND(DR$5&gt;$E110,DR$5&lt;=$F110),IF(DR$5=$E110+1,$C110,""),"")</f>
        <v/>
      </c>
      <c r="DS110" s="34">
        <f>IF(AND(DS$5&gt;$E110,DS$5&lt;=$F110),IF(DS$5=$E110+1,$C110,""),"")</f>
        <v/>
      </c>
      <c r="DT110" s="34">
        <f>IF(AND(DT$5&gt;$E110,DT$5&lt;=$F110),IF(DT$5=$E110+1,$C110,""),"")</f>
        <v/>
      </c>
      <c r="DU110" s="34">
        <f>IF(AND(DU$5&gt;$E110,DU$5&lt;=$F110),IF(DU$5=$E110+1,$C110,""),"")</f>
        <v/>
      </c>
      <c r="DV110" s="34">
        <f>IF(AND(DV$5&gt;$E110,DV$5&lt;=$F110),IF(DV$5=$E110+1,$C110,""),"")</f>
        <v/>
      </c>
      <c r="DW110" s="34">
        <f>IF(AND(DW$5&gt;$E110,DW$5&lt;=$F110),IF(DW$5=$E110+1,$C110,""),"")</f>
        <v/>
      </c>
      <c r="DX110" s="34">
        <f>IF(AND(DX$5&gt;$E110,DX$5&lt;=$F110),IF(DX$5=$E110+1,$C110,""),"")</f>
        <v/>
      </c>
      <c r="DY110" s="34">
        <f>IF(AND(DY$5&gt;$E110,DY$5&lt;=$F110),IF(DY$5=$E110+1,$C110,""),"")</f>
        <v/>
      </c>
      <c r="DZ110" s="34">
        <f>IF(AND(DZ$5&gt;$E110,DZ$5&lt;=$F110),IF(DZ$5=$E110+1,$C110,""),"")</f>
        <v/>
      </c>
      <c r="EA110" s="34">
        <f>IF(AND(EA$5&gt;$E110,EA$5&lt;=$F110),IF(EA$5=$E110+1,$C110,""),"")</f>
        <v/>
      </c>
      <c r="EB110" s="34">
        <f>IF(AND(EB$5&gt;$E110,EB$5&lt;=$F110),IF(EB$5=$E110+1,$C110,""),"")</f>
        <v/>
      </c>
      <c r="EC110" s="34">
        <f>IF(AND(EC$5&gt;$E110,EC$5&lt;=$F110),IF(EC$5=$E110+1,$C110,""),"")</f>
        <v/>
      </c>
      <c r="ED110" s="34">
        <f>IF(AND(ED$5&gt;$E110,ED$5&lt;=$F110),IF(ED$5=$E110+1,$C110,""),"")</f>
        <v/>
      </c>
      <c r="EE110" s="34">
        <f>IF(AND(EE$5&gt;$E110,EE$5&lt;=$F110),IF(EE$5=$E110+1,$C110,""),"")</f>
        <v/>
      </c>
      <c r="EF110" s="34">
        <f>IF(AND(EF$5&gt;$E110,EF$5&lt;=$F110),IF(EF$5=$E110+1,$C110,""),"")</f>
        <v/>
      </c>
      <c r="EG110" s="34">
        <f>IF(AND(EG$5&gt;$E110,EG$5&lt;=$F110),IF(EG$5=$E110+1,$C110,""),"")</f>
        <v/>
      </c>
      <c r="EH110" s="34">
        <f>IF(AND(EH$5&gt;$E110,EH$5&lt;=$F110),IF(EH$5=$E110+1,$C110,""),"")</f>
        <v/>
      </c>
      <c r="EI110" s="34">
        <f>IF(AND(EI$5&gt;$E110,EI$5&lt;=$F110),IF(EI$5=$E110+1,$C110,""),"")</f>
        <v/>
      </c>
      <c r="EJ110" s="34">
        <f>IF(AND(EJ$5&gt;$E110,EJ$5&lt;=$F110),IF(EJ$5=$E110+1,$C110,""),"")</f>
        <v/>
      </c>
      <c r="EK110" s="34">
        <f>IF(AND(EK$5&gt;$E110,EK$5&lt;=$F110),IF(EK$5=$E110+1,$C110,""),"")</f>
        <v/>
      </c>
      <c r="EL110" s="34">
        <f>IF(AND(EL$5&gt;$E110,EL$5&lt;=$F110),IF(EL$5=$E110+1,$C110,""),"")</f>
        <v/>
      </c>
      <c r="EM110" s="34">
        <f>IF(AND(EM$5&gt;$E110,EM$5&lt;=$F110),IF(EM$5=$E110+1,$C110,""),"")</f>
        <v/>
      </c>
      <c r="EN110" s="34">
        <f>IF(AND(EN$5&gt;$E110,EN$5&lt;=$F110),IF(EN$5=$E110+1,$C110,""),"")</f>
        <v/>
      </c>
      <c r="EO110" s="34">
        <f>IF(AND(EO$5&gt;$E110,EO$5&lt;=$F110),IF(EO$5=$E110+1,$C110,""),"")</f>
        <v/>
      </c>
      <c r="EP110" s="34">
        <f>IF(AND(EP$5&gt;$E110,EP$5&lt;=$F110),IF(EP$5=$E110+1,$C110,""),"")</f>
        <v/>
      </c>
      <c r="EQ110" s="34">
        <f>IF(AND(EQ$5&gt;$E110,EQ$5&lt;=$F110),IF(EQ$5=$E110+1,$C110,""),"")</f>
        <v/>
      </c>
      <c r="ER110" s="34">
        <f>IF(AND(ER$5&gt;$E110,ER$5&lt;=$F110),IF(ER$5=$E110+1,$C110,""),"")</f>
        <v/>
      </c>
      <c r="ES110" s="34">
        <f>IF(AND(ES$5&gt;$E110,ES$5&lt;=$F110),IF(ES$5=$E110+1,$C110,""),"")</f>
        <v/>
      </c>
      <c r="ET110" s="34">
        <f>IF(AND(ET$5&gt;$E110,ET$5&lt;=$F110),IF(ET$5=$E110+1,$C110,""),"")</f>
        <v/>
      </c>
      <c r="EU110" s="34">
        <f>IF(AND(EU$5&gt;$E110,EU$5&lt;=$F110),IF(EU$5=$E110+1,$C110,""),"")</f>
        <v/>
      </c>
      <c r="EV110" s="34">
        <f>IF(AND(EV$5&gt;$E110,EV$5&lt;=$F110),IF(EV$5=$E110+1,$C110,""),"")</f>
        <v/>
      </c>
      <c r="EW110" s="34">
        <f>IF(AND(EW$5&gt;$E110,EW$5&lt;=$F110),IF(EW$5=$E110+1,$C110,""),"")</f>
        <v/>
      </c>
      <c r="EX110" s="34">
        <f>IF(AND(EX$5&gt;$E110,EX$5&lt;=$F110),IF(EX$5=$E110+1,$C110,""),"")</f>
        <v/>
      </c>
      <c r="EY110" s="34">
        <f>IF(AND(EY$5&gt;$E110,EY$5&lt;=$F110),IF(EY$5=$E110+1,$C110,""),"")</f>
        <v/>
      </c>
      <c r="EZ110" s="34">
        <f>IF(AND(EZ$5&gt;$E110,EZ$5&lt;=$F110),IF(EZ$5=$E110+1,$C110,""),"")</f>
        <v/>
      </c>
      <c r="FA110" s="34">
        <f>IF(AND(FA$5&gt;$E110,FA$5&lt;=$F110),IF(FA$5=$E110+1,$C110,""),"")</f>
        <v/>
      </c>
    </row>
    <row r="111">
      <c r="A111" s="32">
        <f>Plan!A73</f>
        <v/>
      </c>
      <c r="B111" s="33">
        <f>Plan!C73</f>
        <v/>
      </c>
      <c r="C111" s="16">
        <f>Plan!D73</f>
        <v/>
      </c>
      <c r="D111" s="16">
        <f>Plan!I73</f>
        <v/>
      </c>
      <c r="E111" s="16">
        <f>Plan!K73</f>
        <v/>
      </c>
      <c r="F111" s="16">
        <f>Plan!L73</f>
        <v/>
      </c>
      <c r="G111" s="16">
        <f>Plan!O73</f>
        <v/>
      </c>
      <c r="H111" s="34">
        <f>IF(AND(H$5&gt;$E111,H$5&lt;=$F111),IF(H$5=$E111+1,$C111,""),"")</f>
        <v/>
      </c>
      <c r="I111" s="34">
        <f>IF(AND(I$5&gt;$E111,I$5&lt;=$F111),IF(I$5=$E111+1,$C111,""),"")</f>
        <v/>
      </c>
      <c r="J111" s="34">
        <f>IF(AND(J$5&gt;$E111,J$5&lt;=$F111),IF(J$5=$E111+1,$C111,""),"")</f>
        <v/>
      </c>
      <c r="K111" s="34">
        <f>IF(AND(K$5&gt;$E111,K$5&lt;=$F111),IF(K$5=$E111+1,$C111,""),"")</f>
        <v/>
      </c>
      <c r="L111" s="34">
        <f>IF(AND(L$5&gt;$E111,L$5&lt;=$F111),IF(L$5=$E111+1,$C111,""),"")</f>
        <v/>
      </c>
      <c r="M111" s="34">
        <f>IF(AND(M$5&gt;$E111,M$5&lt;=$F111),IF(M$5=$E111+1,$C111,""),"")</f>
        <v/>
      </c>
      <c r="N111" s="34">
        <f>IF(AND(N$5&gt;$E111,N$5&lt;=$F111),IF(N$5=$E111+1,$C111,""),"")</f>
        <v/>
      </c>
      <c r="O111" s="34">
        <f>IF(AND(O$5&gt;$E111,O$5&lt;=$F111),IF(O$5=$E111+1,$C111,""),"")</f>
        <v/>
      </c>
      <c r="P111" s="34">
        <f>IF(AND(P$5&gt;$E111,P$5&lt;=$F111),IF(P$5=$E111+1,$C111,""),"")</f>
        <v/>
      </c>
      <c r="Q111" s="34">
        <f>IF(AND(Q$5&gt;$E111,Q$5&lt;=$F111),IF(Q$5=$E111+1,$C111,""),"")</f>
        <v/>
      </c>
      <c r="R111" s="34">
        <f>IF(AND(R$5&gt;$E111,R$5&lt;=$F111),IF(R$5=$E111+1,$C111,""),"")</f>
        <v/>
      </c>
      <c r="S111" s="34">
        <f>IF(AND(S$5&gt;$E111,S$5&lt;=$F111),IF(S$5=$E111+1,$C111,""),"")</f>
        <v/>
      </c>
      <c r="T111" s="34">
        <f>IF(AND(T$5&gt;$E111,T$5&lt;=$F111),IF(T$5=$E111+1,$C111,""),"")</f>
        <v/>
      </c>
      <c r="U111" s="34">
        <f>IF(AND(U$5&gt;$E111,U$5&lt;=$F111),IF(U$5=$E111+1,$C111,""),"")</f>
        <v/>
      </c>
      <c r="V111" s="34">
        <f>IF(AND(V$5&gt;$E111,V$5&lt;=$F111),IF(V$5=$E111+1,$C111,""),"")</f>
        <v/>
      </c>
      <c r="W111" s="34">
        <f>IF(AND(W$5&gt;$E111,W$5&lt;=$F111),IF(W$5=$E111+1,$C111,""),"")</f>
        <v/>
      </c>
      <c r="X111" s="34">
        <f>IF(AND(X$5&gt;$E111,X$5&lt;=$F111),IF(X$5=$E111+1,$C111,""),"")</f>
        <v/>
      </c>
      <c r="Y111" s="34">
        <f>IF(AND(Y$5&gt;$E111,Y$5&lt;=$F111),IF(Y$5=$E111+1,$C111,""),"")</f>
        <v/>
      </c>
      <c r="Z111" s="34">
        <f>IF(AND(Z$5&gt;$E111,Z$5&lt;=$F111),IF(Z$5=$E111+1,$C111,""),"")</f>
        <v/>
      </c>
      <c r="AA111" s="34">
        <f>IF(AND(AA$5&gt;$E111,AA$5&lt;=$F111),IF(AA$5=$E111+1,$C111,""),"")</f>
        <v/>
      </c>
      <c r="AB111" s="34">
        <f>IF(AND(AB$5&gt;$E111,AB$5&lt;=$F111),IF(AB$5=$E111+1,$C111,""),"")</f>
        <v/>
      </c>
      <c r="AC111" s="34">
        <f>IF(AND(AC$5&gt;$E111,AC$5&lt;=$F111),IF(AC$5=$E111+1,$C111,""),"")</f>
        <v/>
      </c>
      <c r="AD111" s="34">
        <f>IF(AND(AD$5&gt;$E111,AD$5&lt;=$F111),IF(AD$5=$E111+1,$C111,""),"")</f>
        <v/>
      </c>
      <c r="AE111" s="34">
        <f>IF(AND(AE$5&gt;$E111,AE$5&lt;=$F111),IF(AE$5=$E111+1,$C111,""),"")</f>
        <v/>
      </c>
      <c r="AF111" s="34">
        <f>IF(AND(AF$5&gt;$E111,AF$5&lt;=$F111),IF(AF$5=$E111+1,$C111,""),"")</f>
        <v/>
      </c>
      <c r="AG111" s="34">
        <f>IF(AND(AG$5&gt;$E111,AG$5&lt;=$F111),IF(AG$5=$E111+1,$C111,""),"")</f>
        <v/>
      </c>
      <c r="AH111" s="34">
        <f>IF(AND(AH$5&gt;$E111,AH$5&lt;=$F111),IF(AH$5=$E111+1,$C111,""),"")</f>
        <v/>
      </c>
      <c r="AI111" s="34">
        <f>IF(AND(AI$5&gt;$E111,AI$5&lt;=$F111),IF(AI$5=$E111+1,$C111,""),"")</f>
        <v/>
      </c>
      <c r="AJ111" s="34">
        <f>IF(AND(AJ$5&gt;$E111,AJ$5&lt;=$F111),IF(AJ$5=$E111+1,$C111,""),"")</f>
        <v/>
      </c>
      <c r="AK111" s="34">
        <f>IF(AND(AK$5&gt;$E111,AK$5&lt;=$F111),IF(AK$5=$E111+1,$C111,""),"")</f>
        <v/>
      </c>
      <c r="AL111" s="34">
        <f>IF(AND(AL$5&gt;$E111,AL$5&lt;=$F111),IF(AL$5=$E111+1,$C111,""),"")</f>
        <v/>
      </c>
      <c r="AM111" s="34">
        <f>IF(AND(AM$5&gt;$E111,AM$5&lt;=$F111),IF(AM$5=$E111+1,$C111,""),"")</f>
        <v/>
      </c>
      <c r="AN111" s="34">
        <f>IF(AND(AN$5&gt;$E111,AN$5&lt;=$F111),IF(AN$5=$E111+1,$C111,""),"")</f>
        <v/>
      </c>
      <c r="AO111" s="34">
        <f>IF(AND(AO$5&gt;$E111,AO$5&lt;=$F111),IF(AO$5=$E111+1,$C111,""),"")</f>
        <v/>
      </c>
      <c r="AP111" s="34">
        <f>IF(AND(AP$5&gt;$E111,AP$5&lt;=$F111),IF(AP$5=$E111+1,$C111,""),"")</f>
        <v/>
      </c>
      <c r="AQ111" s="34">
        <f>IF(AND(AQ$5&gt;$E111,AQ$5&lt;=$F111),IF(AQ$5=$E111+1,$C111,""),"")</f>
        <v/>
      </c>
      <c r="AR111" s="34">
        <f>IF(AND(AR$5&gt;$E111,AR$5&lt;=$F111),IF(AR$5=$E111+1,$C111,""),"")</f>
        <v/>
      </c>
      <c r="AS111" s="34">
        <f>IF(AND(AS$5&gt;$E111,AS$5&lt;=$F111),IF(AS$5=$E111+1,$C111,""),"")</f>
        <v/>
      </c>
      <c r="AT111" s="34">
        <f>IF(AND(AT$5&gt;$E111,AT$5&lt;=$F111),IF(AT$5=$E111+1,$C111,""),"")</f>
        <v/>
      </c>
      <c r="AU111" s="34">
        <f>IF(AND(AU$5&gt;$E111,AU$5&lt;=$F111),IF(AU$5=$E111+1,$C111,""),"")</f>
        <v/>
      </c>
      <c r="AV111" s="34">
        <f>IF(AND(AV$5&gt;$E111,AV$5&lt;=$F111),IF(AV$5=$E111+1,$C111,""),"")</f>
        <v/>
      </c>
      <c r="AW111" s="34">
        <f>IF(AND(AW$5&gt;$E111,AW$5&lt;=$F111),IF(AW$5=$E111+1,$C111,""),"")</f>
        <v/>
      </c>
      <c r="AX111" s="34">
        <f>IF(AND(AX$5&gt;$E111,AX$5&lt;=$F111),IF(AX$5=$E111+1,$C111,""),"")</f>
        <v/>
      </c>
      <c r="AY111" s="34">
        <f>IF(AND(AY$5&gt;$E111,AY$5&lt;=$F111),IF(AY$5=$E111+1,$C111,""),"")</f>
        <v/>
      </c>
      <c r="AZ111" s="34">
        <f>IF(AND(AZ$5&gt;$E111,AZ$5&lt;=$F111),IF(AZ$5=$E111+1,$C111,""),"")</f>
        <v/>
      </c>
      <c r="BA111" s="34">
        <f>IF(AND(BA$5&gt;$E111,BA$5&lt;=$F111),IF(BA$5=$E111+1,$C111,""),"")</f>
        <v/>
      </c>
      <c r="BB111" s="34">
        <f>IF(AND(BB$5&gt;$E111,BB$5&lt;=$F111),IF(BB$5=$E111+1,$C111,""),"")</f>
        <v/>
      </c>
      <c r="BC111" s="34">
        <f>IF(AND(BC$5&gt;$E111,BC$5&lt;=$F111),IF(BC$5=$E111+1,$C111,""),"")</f>
        <v/>
      </c>
      <c r="BD111" s="34">
        <f>IF(AND(BD$5&gt;$E111,BD$5&lt;=$F111),IF(BD$5=$E111+1,$C111,""),"")</f>
        <v/>
      </c>
      <c r="BE111" s="34">
        <f>IF(AND(BE$5&gt;$E111,BE$5&lt;=$F111),IF(BE$5=$E111+1,$C111,""),"")</f>
        <v/>
      </c>
      <c r="BF111" s="34">
        <f>IF(AND(BF$5&gt;$E111,BF$5&lt;=$F111),IF(BF$5=$E111+1,$C111,""),"")</f>
        <v/>
      </c>
      <c r="BG111" s="34">
        <f>IF(AND(BG$5&gt;$E111,BG$5&lt;=$F111),IF(BG$5=$E111+1,$C111,""),"")</f>
        <v/>
      </c>
      <c r="BH111" s="34">
        <f>IF(AND(BH$5&gt;$E111,BH$5&lt;=$F111),IF(BH$5=$E111+1,$C111,""),"")</f>
        <v/>
      </c>
      <c r="BI111" s="34">
        <f>IF(AND(BI$5&gt;$E111,BI$5&lt;=$F111),IF(BI$5=$E111+1,$C111,""),"")</f>
        <v/>
      </c>
      <c r="BJ111" s="34">
        <f>IF(AND(BJ$5&gt;$E111,BJ$5&lt;=$F111),IF(BJ$5=$E111+1,$C111,""),"")</f>
        <v/>
      </c>
      <c r="BK111" s="34">
        <f>IF(AND(BK$5&gt;$E111,BK$5&lt;=$F111),IF(BK$5=$E111+1,$C111,""),"")</f>
        <v/>
      </c>
      <c r="BL111" s="34">
        <f>IF(AND(BL$5&gt;$E111,BL$5&lt;=$F111),IF(BL$5=$E111+1,$C111,""),"")</f>
        <v/>
      </c>
      <c r="BM111" s="34">
        <f>IF(AND(BM$5&gt;$E111,BM$5&lt;=$F111),IF(BM$5=$E111+1,$C111,""),"")</f>
        <v/>
      </c>
      <c r="BN111" s="34">
        <f>IF(AND(BN$5&gt;$E111,BN$5&lt;=$F111),IF(BN$5=$E111+1,$C111,""),"")</f>
        <v/>
      </c>
      <c r="BO111" s="34">
        <f>IF(AND(BO$5&gt;$E111,BO$5&lt;=$F111),IF(BO$5=$E111+1,$C111,""),"")</f>
        <v/>
      </c>
      <c r="BP111" s="34">
        <f>IF(AND(BP$5&gt;$E111,BP$5&lt;=$F111),IF(BP$5=$E111+1,$C111,""),"")</f>
        <v/>
      </c>
      <c r="BQ111" s="34">
        <f>IF(AND(BQ$5&gt;$E111,BQ$5&lt;=$F111),IF(BQ$5=$E111+1,$C111,""),"")</f>
        <v/>
      </c>
      <c r="BR111" s="34">
        <f>IF(AND(BR$5&gt;$E111,BR$5&lt;=$F111),IF(BR$5=$E111+1,$C111,""),"")</f>
        <v/>
      </c>
      <c r="BS111" s="34">
        <f>IF(AND(BS$5&gt;$E111,BS$5&lt;=$F111),IF(BS$5=$E111+1,$C111,""),"")</f>
        <v/>
      </c>
      <c r="BT111" s="34">
        <f>IF(AND(BT$5&gt;$E111,BT$5&lt;=$F111),IF(BT$5=$E111+1,$C111,""),"")</f>
        <v/>
      </c>
      <c r="BU111" s="34">
        <f>IF(AND(BU$5&gt;$E111,BU$5&lt;=$F111),IF(BU$5=$E111+1,$C111,""),"")</f>
        <v/>
      </c>
      <c r="BV111" s="34">
        <f>IF(AND(BV$5&gt;$E111,BV$5&lt;=$F111),IF(BV$5=$E111+1,$C111,""),"")</f>
        <v/>
      </c>
      <c r="BW111" s="34">
        <f>IF(AND(BW$5&gt;$E111,BW$5&lt;=$F111),IF(BW$5=$E111+1,$C111,""),"")</f>
        <v/>
      </c>
      <c r="BX111" s="34">
        <f>IF(AND(BX$5&gt;$E111,BX$5&lt;=$F111),IF(BX$5=$E111+1,$C111,""),"")</f>
        <v/>
      </c>
      <c r="BY111" s="34">
        <f>IF(AND(BY$5&gt;$E111,BY$5&lt;=$F111),IF(BY$5=$E111+1,$C111,""),"")</f>
        <v/>
      </c>
      <c r="BZ111" s="34">
        <f>IF(AND(BZ$5&gt;$E111,BZ$5&lt;=$F111),IF(BZ$5=$E111+1,$C111,""),"")</f>
        <v/>
      </c>
      <c r="CA111" s="34">
        <f>IF(AND(CA$5&gt;$E111,CA$5&lt;=$F111),IF(CA$5=$E111+1,$C111,""),"")</f>
        <v/>
      </c>
      <c r="CB111" s="34">
        <f>IF(AND(CB$5&gt;$E111,CB$5&lt;=$F111),IF(CB$5=$E111+1,$C111,""),"")</f>
        <v/>
      </c>
      <c r="CC111" s="34">
        <f>IF(AND(CC$5&gt;$E111,CC$5&lt;=$F111),IF(CC$5=$E111+1,$C111,""),"")</f>
        <v/>
      </c>
      <c r="CD111" s="34">
        <f>IF(AND(CD$5&gt;$E111,CD$5&lt;=$F111),IF(CD$5=$E111+1,$C111,""),"")</f>
        <v/>
      </c>
      <c r="CE111" s="34">
        <f>IF(AND(CE$5&gt;$E111,CE$5&lt;=$F111),IF(CE$5=$E111+1,$C111,""),"")</f>
        <v/>
      </c>
      <c r="CF111" s="34">
        <f>IF(AND(CF$5&gt;$E111,CF$5&lt;=$F111),IF(CF$5=$E111+1,$C111,""),"")</f>
        <v/>
      </c>
      <c r="CG111" s="34">
        <f>IF(AND(CG$5&gt;$E111,CG$5&lt;=$F111),IF(CG$5=$E111+1,$C111,""),"")</f>
        <v/>
      </c>
      <c r="CH111" s="34">
        <f>IF(AND(CH$5&gt;$E111,CH$5&lt;=$F111),IF(CH$5=$E111+1,$C111,""),"")</f>
        <v/>
      </c>
      <c r="CI111" s="34">
        <f>IF(AND(CI$5&gt;$E111,CI$5&lt;=$F111),IF(CI$5=$E111+1,$C111,""),"")</f>
        <v/>
      </c>
      <c r="CJ111" s="34">
        <f>IF(AND(CJ$5&gt;$E111,CJ$5&lt;=$F111),IF(CJ$5=$E111+1,$C111,""),"")</f>
        <v/>
      </c>
      <c r="CK111" s="34">
        <f>IF(AND(CK$5&gt;$E111,CK$5&lt;=$F111),IF(CK$5=$E111+1,$C111,""),"")</f>
        <v/>
      </c>
      <c r="CL111" s="34">
        <f>IF(AND(CL$5&gt;$E111,CL$5&lt;=$F111),IF(CL$5=$E111+1,$C111,""),"")</f>
        <v/>
      </c>
      <c r="CM111" s="34">
        <f>IF(AND(CM$5&gt;$E111,CM$5&lt;=$F111),IF(CM$5=$E111+1,$C111,""),"")</f>
        <v/>
      </c>
      <c r="CN111" s="34">
        <f>IF(AND(CN$5&gt;$E111,CN$5&lt;=$F111),IF(CN$5=$E111+1,$C111,""),"")</f>
        <v/>
      </c>
      <c r="CO111" s="34">
        <f>IF(AND(CO$5&gt;$E111,CO$5&lt;=$F111),IF(CO$5=$E111+1,$C111,""),"")</f>
        <v/>
      </c>
      <c r="CP111" s="34">
        <f>IF(AND(CP$5&gt;$E111,CP$5&lt;=$F111),IF(CP$5=$E111+1,$C111,""),"")</f>
        <v/>
      </c>
      <c r="CQ111" s="34">
        <f>IF(AND(CQ$5&gt;$E111,CQ$5&lt;=$F111),IF(CQ$5=$E111+1,$C111,""),"")</f>
        <v/>
      </c>
      <c r="CR111" s="34">
        <f>IF(AND(CR$5&gt;$E111,CR$5&lt;=$F111),IF(CR$5=$E111+1,$C111,""),"")</f>
        <v/>
      </c>
      <c r="CS111" s="34">
        <f>IF(AND(CS$5&gt;$E111,CS$5&lt;=$F111),IF(CS$5=$E111+1,$C111,""),"")</f>
        <v/>
      </c>
      <c r="CT111" s="34">
        <f>IF(AND(CT$5&gt;$E111,CT$5&lt;=$F111),IF(CT$5=$E111+1,$C111,""),"")</f>
        <v/>
      </c>
      <c r="CU111" s="34">
        <f>IF(AND(CU$5&gt;$E111,CU$5&lt;=$F111),IF(CU$5=$E111+1,$C111,""),"")</f>
        <v/>
      </c>
      <c r="CV111" s="34">
        <f>IF(AND(CV$5&gt;$E111,CV$5&lt;=$F111),IF(CV$5=$E111+1,$C111,""),"")</f>
        <v/>
      </c>
      <c r="CW111" s="34">
        <f>IF(AND(CW$5&gt;$E111,CW$5&lt;=$F111),IF(CW$5=$E111+1,$C111,""),"")</f>
        <v/>
      </c>
      <c r="CX111" s="34">
        <f>IF(AND(CX$5&gt;$E111,CX$5&lt;=$F111),IF(CX$5=$E111+1,$C111,""),"")</f>
        <v/>
      </c>
      <c r="CY111" s="34">
        <f>IF(AND(CY$5&gt;$E111,CY$5&lt;=$F111),IF(CY$5=$E111+1,$C111,""),"")</f>
        <v/>
      </c>
      <c r="CZ111" s="34">
        <f>IF(AND(CZ$5&gt;$E111,CZ$5&lt;=$F111),IF(CZ$5=$E111+1,$C111,""),"")</f>
        <v/>
      </c>
      <c r="DA111" s="34">
        <f>IF(AND(DA$5&gt;$E111,DA$5&lt;=$F111),IF(DA$5=$E111+1,$C111,""),"")</f>
        <v/>
      </c>
      <c r="DB111" s="34">
        <f>IF(AND(DB$5&gt;$E111,DB$5&lt;=$F111),IF(DB$5=$E111+1,$C111,""),"")</f>
        <v/>
      </c>
      <c r="DC111" s="34">
        <f>IF(AND(DC$5&gt;$E111,DC$5&lt;=$F111),IF(DC$5=$E111+1,$C111,""),"")</f>
        <v/>
      </c>
      <c r="DD111" s="34">
        <f>IF(AND(DD$5&gt;$E111,DD$5&lt;=$F111),IF(DD$5=$E111+1,$C111,""),"")</f>
        <v/>
      </c>
      <c r="DE111" s="34">
        <f>IF(AND(DE$5&gt;$E111,DE$5&lt;=$F111),IF(DE$5=$E111+1,$C111,""),"")</f>
        <v/>
      </c>
      <c r="DF111" s="34">
        <f>IF(AND(DF$5&gt;$E111,DF$5&lt;=$F111),IF(DF$5=$E111+1,$C111,""),"")</f>
        <v/>
      </c>
      <c r="DG111" s="34">
        <f>IF(AND(DG$5&gt;$E111,DG$5&lt;=$F111),IF(DG$5=$E111+1,$C111,""),"")</f>
        <v/>
      </c>
      <c r="DH111" s="34">
        <f>IF(AND(DH$5&gt;$E111,DH$5&lt;=$F111),IF(DH$5=$E111+1,$C111,""),"")</f>
        <v/>
      </c>
      <c r="DI111" s="34">
        <f>IF(AND(DI$5&gt;$E111,DI$5&lt;=$F111),IF(DI$5=$E111+1,$C111,""),"")</f>
        <v/>
      </c>
      <c r="DJ111" s="34">
        <f>IF(AND(DJ$5&gt;$E111,DJ$5&lt;=$F111),IF(DJ$5=$E111+1,$C111,""),"")</f>
        <v/>
      </c>
      <c r="DK111" s="34">
        <f>IF(AND(DK$5&gt;$E111,DK$5&lt;=$F111),IF(DK$5=$E111+1,$C111,""),"")</f>
        <v/>
      </c>
      <c r="DL111" s="34">
        <f>IF(AND(DL$5&gt;$E111,DL$5&lt;=$F111),IF(DL$5=$E111+1,$C111,""),"")</f>
        <v/>
      </c>
      <c r="DM111" s="34">
        <f>IF(AND(DM$5&gt;$E111,DM$5&lt;=$F111),IF(DM$5=$E111+1,$C111,""),"")</f>
        <v/>
      </c>
      <c r="DN111" s="34">
        <f>IF(AND(DN$5&gt;$E111,DN$5&lt;=$F111),IF(DN$5=$E111+1,$C111,""),"")</f>
        <v/>
      </c>
      <c r="DO111" s="34">
        <f>IF(AND(DO$5&gt;$E111,DO$5&lt;=$F111),IF(DO$5=$E111+1,$C111,""),"")</f>
        <v/>
      </c>
      <c r="DP111" s="34">
        <f>IF(AND(DP$5&gt;$E111,DP$5&lt;=$F111),IF(DP$5=$E111+1,$C111,""),"")</f>
        <v/>
      </c>
      <c r="DQ111" s="34">
        <f>IF(AND(DQ$5&gt;$E111,DQ$5&lt;=$F111),IF(DQ$5=$E111+1,$C111,""),"")</f>
        <v/>
      </c>
      <c r="DR111" s="34">
        <f>IF(AND(DR$5&gt;$E111,DR$5&lt;=$F111),IF(DR$5=$E111+1,$C111,""),"")</f>
        <v/>
      </c>
      <c r="DS111" s="34">
        <f>IF(AND(DS$5&gt;$E111,DS$5&lt;=$F111),IF(DS$5=$E111+1,$C111,""),"")</f>
        <v/>
      </c>
      <c r="DT111" s="34">
        <f>IF(AND(DT$5&gt;$E111,DT$5&lt;=$F111),IF(DT$5=$E111+1,$C111,""),"")</f>
        <v/>
      </c>
      <c r="DU111" s="34">
        <f>IF(AND(DU$5&gt;$E111,DU$5&lt;=$F111),IF(DU$5=$E111+1,$C111,""),"")</f>
        <v/>
      </c>
      <c r="DV111" s="34">
        <f>IF(AND(DV$5&gt;$E111,DV$5&lt;=$F111),IF(DV$5=$E111+1,$C111,""),"")</f>
        <v/>
      </c>
      <c r="DW111" s="34">
        <f>IF(AND(DW$5&gt;$E111,DW$5&lt;=$F111),IF(DW$5=$E111+1,$C111,""),"")</f>
        <v/>
      </c>
      <c r="DX111" s="34">
        <f>IF(AND(DX$5&gt;$E111,DX$5&lt;=$F111),IF(DX$5=$E111+1,$C111,""),"")</f>
        <v/>
      </c>
      <c r="DY111" s="34">
        <f>IF(AND(DY$5&gt;$E111,DY$5&lt;=$F111),IF(DY$5=$E111+1,$C111,""),"")</f>
        <v/>
      </c>
      <c r="DZ111" s="34">
        <f>IF(AND(DZ$5&gt;$E111,DZ$5&lt;=$F111),IF(DZ$5=$E111+1,$C111,""),"")</f>
        <v/>
      </c>
      <c r="EA111" s="34">
        <f>IF(AND(EA$5&gt;$E111,EA$5&lt;=$F111),IF(EA$5=$E111+1,$C111,""),"")</f>
        <v/>
      </c>
      <c r="EB111" s="34">
        <f>IF(AND(EB$5&gt;$E111,EB$5&lt;=$F111),IF(EB$5=$E111+1,$C111,""),"")</f>
        <v/>
      </c>
      <c r="EC111" s="34">
        <f>IF(AND(EC$5&gt;$E111,EC$5&lt;=$F111),IF(EC$5=$E111+1,$C111,""),"")</f>
        <v/>
      </c>
      <c r="ED111" s="34">
        <f>IF(AND(ED$5&gt;$E111,ED$5&lt;=$F111),IF(ED$5=$E111+1,$C111,""),"")</f>
        <v/>
      </c>
      <c r="EE111" s="34">
        <f>IF(AND(EE$5&gt;$E111,EE$5&lt;=$F111),IF(EE$5=$E111+1,$C111,""),"")</f>
        <v/>
      </c>
      <c r="EF111" s="34">
        <f>IF(AND(EF$5&gt;$E111,EF$5&lt;=$F111),IF(EF$5=$E111+1,$C111,""),"")</f>
        <v/>
      </c>
      <c r="EG111" s="34">
        <f>IF(AND(EG$5&gt;$E111,EG$5&lt;=$F111),IF(EG$5=$E111+1,$C111,""),"")</f>
        <v/>
      </c>
      <c r="EH111" s="34">
        <f>IF(AND(EH$5&gt;$E111,EH$5&lt;=$F111),IF(EH$5=$E111+1,$C111,""),"")</f>
        <v/>
      </c>
      <c r="EI111" s="34">
        <f>IF(AND(EI$5&gt;$E111,EI$5&lt;=$F111),IF(EI$5=$E111+1,$C111,""),"")</f>
        <v/>
      </c>
      <c r="EJ111" s="34">
        <f>IF(AND(EJ$5&gt;$E111,EJ$5&lt;=$F111),IF(EJ$5=$E111+1,$C111,""),"")</f>
        <v/>
      </c>
      <c r="EK111" s="34">
        <f>IF(AND(EK$5&gt;$E111,EK$5&lt;=$F111),IF(EK$5=$E111+1,$C111,""),"")</f>
        <v/>
      </c>
      <c r="EL111" s="34">
        <f>IF(AND(EL$5&gt;$E111,EL$5&lt;=$F111),IF(EL$5=$E111+1,$C111,""),"")</f>
        <v/>
      </c>
      <c r="EM111" s="34">
        <f>IF(AND(EM$5&gt;$E111,EM$5&lt;=$F111),IF(EM$5=$E111+1,$C111,""),"")</f>
        <v/>
      </c>
      <c r="EN111" s="34">
        <f>IF(AND(EN$5&gt;$E111,EN$5&lt;=$F111),IF(EN$5=$E111+1,$C111,""),"")</f>
        <v/>
      </c>
      <c r="EO111" s="34">
        <f>IF(AND(EO$5&gt;$E111,EO$5&lt;=$F111),IF(EO$5=$E111+1,$C111,""),"")</f>
        <v/>
      </c>
      <c r="EP111" s="34">
        <f>IF(AND(EP$5&gt;$E111,EP$5&lt;=$F111),IF(EP$5=$E111+1,$C111,""),"")</f>
        <v/>
      </c>
      <c r="EQ111" s="34">
        <f>IF(AND(EQ$5&gt;$E111,EQ$5&lt;=$F111),IF(EQ$5=$E111+1,$C111,""),"")</f>
        <v/>
      </c>
      <c r="ER111" s="34">
        <f>IF(AND(ER$5&gt;$E111,ER$5&lt;=$F111),IF(ER$5=$E111+1,$C111,""),"")</f>
        <v/>
      </c>
      <c r="ES111" s="34">
        <f>IF(AND(ES$5&gt;$E111,ES$5&lt;=$F111),IF(ES$5=$E111+1,$C111,""),"")</f>
        <v/>
      </c>
      <c r="ET111" s="34">
        <f>IF(AND(ET$5&gt;$E111,ET$5&lt;=$F111),IF(ET$5=$E111+1,$C111,""),"")</f>
        <v/>
      </c>
      <c r="EU111" s="34">
        <f>IF(AND(EU$5&gt;$E111,EU$5&lt;=$F111),IF(EU$5=$E111+1,$C111,""),"")</f>
        <v/>
      </c>
      <c r="EV111" s="34">
        <f>IF(AND(EV$5&gt;$E111,EV$5&lt;=$F111),IF(EV$5=$E111+1,$C111,""),"")</f>
        <v/>
      </c>
      <c r="EW111" s="34">
        <f>IF(AND(EW$5&gt;$E111,EW$5&lt;=$F111),IF(EW$5=$E111+1,$C111,""),"")</f>
        <v/>
      </c>
      <c r="EX111" s="34">
        <f>IF(AND(EX$5&gt;$E111,EX$5&lt;=$F111),IF(EX$5=$E111+1,$C111,""),"")</f>
        <v/>
      </c>
      <c r="EY111" s="34">
        <f>IF(AND(EY$5&gt;$E111,EY$5&lt;=$F111),IF(EY$5=$E111+1,$C111,""),"")</f>
        <v/>
      </c>
      <c r="EZ111" s="34">
        <f>IF(AND(EZ$5&gt;$E111,EZ$5&lt;=$F111),IF(EZ$5=$E111+1,$C111,""),"")</f>
        <v/>
      </c>
      <c r="FA111" s="34">
        <f>IF(AND(FA$5&gt;$E111,FA$5&lt;=$F111),IF(FA$5=$E111+1,$C111,""),"")</f>
        <v/>
      </c>
    </row>
    <row r="112">
      <c r="A112" s="32">
        <f>Plan!A74</f>
        <v/>
      </c>
      <c r="B112" s="33">
        <f>Plan!C74</f>
        <v/>
      </c>
      <c r="C112" s="16">
        <f>Plan!D74</f>
        <v/>
      </c>
      <c r="D112" s="16">
        <f>Plan!I74</f>
        <v/>
      </c>
      <c r="E112" s="16">
        <f>Plan!K74</f>
        <v/>
      </c>
      <c r="F112" s="16">
        <f>Plan!L74</f>
        <v/>
      </c>
      <c r="G112" s="16">
        <f>Plan!O74</f>
        <v/>
      </c>
      <c r="H112" s="34">
        <f>IF(AND(H$5&gt;$E112,H$5&lt;=$F112),IF(H$5=$E112+1,$C112,""),"")</f>
        <v/>
      </c>
      <c r="I112" s="34">
        <f>IF(AND(I$5&gt;$E112,I$5&lt;=$F112),IF(I$5=$E112+1,$C112,""),"")</f>
        <v/>
      </c>
      <c r="J112" s="34">
        <f>IF(AND(J$5&gt;$E112,J$5&lt;=$F112),IF(J$5=$E112+1,$C112,""),"")</f>
        <v/>
      </c>
      <c r="K112" s="34">
        <f>IF(AND(K$5&gt;$E112,K$5&lt;=$F112),IF(K$5=$E112+1,$C112,""),"")</f>
        <v/>
      </c>
      <c r="L112" s="34">
        <f>IF(AND(L$5&gt;$E112,L$5&lt;=$F112),IF(L$5=$E112+1,$C112,""),"")</f>
        <v/>
      </c>
      <c r="M112" s="34">
        <f>IF(AND(M$5&gt;$E112,M$5&lt;=$F112),IF(M$5=$E112+1,$C112,""),"")</f>
        <v/>
      </c>
      <c r="N112" s="34">
        <f>IF(AND(N$5&gt;$E112,N$5&lt;=$F112),IF(N$5=$E112+1,$C112,""),"")</f>
        <v/>
      </c>
      <c r="O112" s="34">
        <f>IF(AND(O$5&gt;$E112,O$5&lt;=$F112),IF(O$5=$E112+1,$C112,""),"")</f>
        <v/>
      </c>
      <c r="P112" s="34">
        <f>IF(AND(P$5&gt;$E112,P$5&lt;=$F112),IF(P$5=$E112+1,$C112,""),"")</f>
        <v/>
      </c>
      <c r="Q112" s="34">
        <f>IF(AND(Q$5&gt;$E112,Q$5&lt;=$F112),IF(Q$5=$E112+1,$C112,""),"")</f>
        <v/>
      </c>
      <c r="R112" s="34">
        <f>IF(AND(R$5&gt;$E112,R$5&lt;=$F112),IF(R$5=$E112+1,$C112,""),"")</f>
        <v/>
      </c>
      <c r="S112" s="34">
        <f>IF(AND(S$5&gt;$E112,S$5&lt;=$F112),IF(S$5=$E112+1,$C112,""),"")</f>
        <v/>
      </c>
      <c r="T112" s="34">
        <f>IF(AND(T$5&gt;$E112,T$5&lt;=$F112),IF(T$5=$E112+1,$C112,""),"")</f>
        <v/>
      </c>
      <c r="U112" s="34">
        <f>IF(AND(U$5&gt;$E112,U$5&lt;=$F112),IF(U$5=$E112+1,$C112,""),"")</f>
        <v/>
      </c>
      <c r="V112" s="34">
        <f>IF(AND(V$5&gt;$E112,V$5&lt;=$F112),IF(V$5=$E112+1,$C112,""),"")</f>
        <v/>
      </c>
      <c r="W112" s="34">
        <f>IF(AND(W$5&gt;$E112,W$5&lt;=$F112),IF(W$5=$E112+1,$C112,""),"")</f>
        <v/>
      </c>
      <c r="X112" s="34">
        <f>IF(AND(X$5&gt;$E112,X$5&lt;=$F112),IF(X$5=$E112+1,$C112,""),"")</f>
        <v/>
      </c>
      <c r="Y112" s="34">
        <f>IF(AND(Y$5&gt;$E112,Y$5&lt;=$F112),IF(Y$5=$E112+1,$C112,""),"")</f>
        <v/>
      </c>
      <c r="Z112" s="34">
        <f>IF(AND(Z$5&gt;$E112,Z$5&lt;=$F112),IF(Z$5=$E112+1,$C112,""),"")</f>
        <v/>
      </c>
      <c r="AA112" s="34">
        <f>IF(AND(AA$5&gt;$E112,AA$5&lt;=$F112),IF(AA$5=$E112+1,$C112,""),"")</f>
        <v/>
      </c>
      <c r="AB112" s="34">
        <f>IF(AND(AB$5&gt;$E112,AB$5&lt;=$F112),IF(AB$5=$E112+1,$C112,""),"")</f>
        <v/>
      </c>
      <c r="AC112" s="34">
        <f>IF(AND(AC$5&gt;$E112,AC$5&lt;=$F112),IF(AC$5=$E112+1,$C112,""),"")</f>
        <v/>
      </c>
      <c r="AD112" s="34">
        <f>IF(AND(AD$5&gt;$E112,AD$5&lt;=$F112),IF(AD$5=$E112+1,$C112,""),"")</f>
        <v/>
      </c>
      <c r="AE112" s="34">
        <f>IF(AND(AE$5&gt;$E112,AE$5&lt;=$F112),IF(AE$5=$E112+1,$C112,""),"")</f>
        <v/>
      </c>
      <c r="AF112" s="34">
        <f>IF(AND(AF$5&gt;$E112,AF$5&lt;=$F112),IF(AF$5=$E112+1,$C112,""),"")</f>
        <v/>
      </c>
      <c r="AG112" s="34">
        <f>IF(AND(AG$5&gt;$E112,AG$5&lt;=$F112),IF(AG$5=$E112+1,$C112,""),"")</f>
        <v/>
      </c>
      <c r="AH112" s="34">
        <f>IF(AND(AH$5&gt;$E112,AH$5&lt;=$F112),IF(AH$5=$E112+1,$C112,""),"")</f>
        <v/>
      </c>
      <c r="AI112" s="34">
        <f>IF(AND(AI$5&gt;$E112,AI$5&lt;=$F112),IF(AI$5=$E112+1,$C112,""),"")</f>
        <v/>
      </c>
      <c r="AJ112" s="34">
        <f>IF(AND(AJ$5&gt;$E112,AJ$5&lt;=$F112),IF(AJ$5=$E112+1,$C112,""),"")</f>
        <v/>
      </c>
      <c r="AK112" s="34">
        <f>IF(AND(AK$5&gt;$E112,AK$5&lt;=$F112),IF(AK$5=$E112+1,$C112,""),"")</f>
        <v/>
      </c>
      <c r="AL112" s="34">
        <f>IF(AND(AL$5&gt;$E112,AL$5&lt;=$F112),IF(AL$5=$E112+1,$C112,""),"")</f>
        <v/>
      </c>
      <c r="AM112" s="34">
        <f>IF(AND(AM$5&gt;$E112,AM$5&lt;=$F112),IF(AM$5=$E112+1,$C112,""),"")</f>
        <v/>
      </c>
      <c r="AN112" s="34">
        <f>IF(AND(AN$5&gt;$E112,AN$5&lt;=$F112),IF(AN$5=$E112+1,$C112,""),"")</f>
        <v/>
      </c>
      <c r="AO112" s="34">
        <f>IF(AND(AO$5&gt;$E112,AO$5&lt;=$F112),IF(AO$5=$E112+1,$C112,""),"")</f>
        <v/>
      </c>
      <c r="AP112" s="34">
        <f>IF(AND(AP$5&gt;$E112,AP$5&lt;=$F112),IF(AP$5=$E112+1,$C112,""),"")</f>
        <v/>
      </c>
      <c r="AQ112" s="34">
        <f>IF(AND(AQ$5&gt;$E112,AQ$5&lt;=$F112),IF(AQ$5=$E112+1,$C112,""),"")</f>
        <v/>
      </c>
      <c r="AR112" s="34">
        <f>IF(AND(AR$5&gt;$E112,AR$5&lt;=$F112),IF(AR$5=$E112+1,$C112,""),"")</f>
        <v/>
      </c>
      <c r="AS112" s="34">
        <f>IF(AND(AS$5&gt;$E112,AS$5&lt;=$F112),IF(AS$5=$E112+1,$C112,""),"")</f>
        <v/>
      </c>
      <c r="AT112" s="34">
        <f>IF(AND(AT$5&gt;$E112,AT$5&lt;=$F112),IF(AT$5=$E112+1,$C112,""),"")</f>
        <v/>
      </c>
      <c r="AU112" s="34">
        <f>IF(AND(AU$5&gt;$E112,AU$5&lt;=$F112),IF(AU$5=$E112+1,$C112,""),"")</f>
        <v/>
      </c>
      <c r="AV112" s="34">
        <f>IF(AND(AV$5&gt;$E112,AV$5&lt;=$F112),IF(AV$5=$E112+1,$C112,""),"")</f>
        <v/>
      </c>
      <c r="AW112" s="34">
        <f>IF(AND(AW$5&gt;$E112,AW$5&lt;=$F112),IF(AW$5=$E112+1,$C112,""),"")</f>
        <v/>
      </c>
      <c r="AX112" s="34">
        <f>IF(AND(AX$5&gt;$E112,AX$5&lt;=$F112),IF(AX$5=$E112+1,$C112,""),"")</f>
        <v/>
      </c>
      <c r="AY112" s="34">
        <f>IF(AND(AY$5&gt;$E112,AY$5&lt;=$F112),IF(AY$5=$E112+1,$C112,""),"")</f>
        <v/>
      </c>
      <c r="AZ112" s="34">
        <f>IF(AND(AZ$5&gt;$E112,AZ$5&lt;=$F112),IF(AZ$5=$E112+1,$C112,""),"")</f>
        <v/>
      </c>
      <c r="BA112" s="34">
        <f>IF(AND(BA$5&gt;$E112,BA$5&lt;=$F112),IF(BA$5=$E112+1,$C112,""),"")</f>
        <v/>
      </c>
      <c r="BB112" s="34">
        <f>IF(AND(BB$5&gt;$E112,BB$5&lt;=$F112),IF(BB$5=$E112+1,$C112,""),"")</f>
        <v/>
      </c>
      <c r="BC112" s="34">
        <f>IF(AND(BC$5&gt;$E112,BC$5&lt;=$F112),IF(BC$5=$E112+1,$C112,""),"")</f>
        <v/>
      </c>
      <c r="BD112" s="34">
        <f>IF(AND(BD$5&gt;$E112,BD$5&lt;=$F112),IF(BD$5=$E112+1,$C112,""),"")</f>
        <v/>
      </c>
      <c r="BE112" s="34">
        <f>IF(AND(BE$5&gt;$E112,BE$5&lt;=$F112),IF(BE$5=$E112+1,$C112,""),"")</f>
        <v/>
      </c>
      <c r="BF112" s="34">
        <f>IF(AND(BF$5&gt;$E112,BF$5&lt;=$F112),IF(BF$5=$E112+1,$C112,""),"")</f>
        <v/>
      </c>
      <c r="BG112" s="34">
        <f>IF(AND(BG$5&gt;$E112,BG$5&lt;=$F112),IF(BG$5=$E112+1,$C112,""),"")</f>
        <v/>
      </c>
      <c r="BH112" s="34">
        <f>IF(AND(BH$5&gt;$E112,BH$5&lt;=$F112),IF(BH$5=$E112+1,$C112,""),"")</f>
        <v/>
      </c>
      <c r="BI112" s="34">
        <f>IF(AND(BI$5&gt;$E112,BI$5&lt;=$F112),IF(BI$5=$E112+1,$C112,""),"")</f>
        <v/>
      </c>
      <c r="BJ112" s="34">
        <f>IF(AND(BJ$5&gt;$E112,BJ$5&lt;=$F112),IF(BJ$5=$E112+1,$C112,""),"")</f>
        <v/>
      </c>
      <c r="BK112" s="34">
        <f>IF(AND(BK$5&gt;$E112,BK$5&lt;=$F112),IF(BK$5=$E112+1,$C112,""),"")</f>
        <v/>
      </c>
      <c r="BL112" s="34">
        <f>IF(AND(BL$5&gt;$E112,BL$5&lt;=$F112),IF(BL$5=$E112+1,$C112,""),"")</f>
        <v/>
      </c>
      <c r="BM112" s="34">
        <f>IF(AND(BM$5&gt;$E112,BM$5&lt;=$F112),IF(BM$5=$E112+1,$C112,""),"")</f>
        <v/>
      </c>
      <c r="BN112" s="34">
        <f>IF(AND(BN$5&gt;$E112,BN$5&lt;=$F112),IF(BN$5=$E112+1,$C112,""),"")</f>
        <v/>
      </c>
      <c r="BO112" s="34">
        <f>IF(AND(BO$5&gt;$E112,BO$5&lt;=$F112),IF(BO$5=$E112+1,$C112,""),"")</f>
        <v/>
      </c>
      <c r="BP112" s="34">
        <f>IF(AND(BP$5&gt;$E112,BP$5&lt;=$F112),IF(BP$5=$E112+1,$C112,""),"")</f>
        <v/>
      </c>
      <c r="BQ112" s="34">
        <f>IF(AND(BQ$5&gt;$E112,BQ$5&lt;=$F112),IF(BQ$5=$E112+1,$C112,""),"")</f>
        <v/>
      </c>
      <c r="BR112" s="34">
        <f>IF(AND(BR$5&gt;$E112,BR$5&lt;=$F112),IF(BR$5=$E112+1,$C112,""),"")</f>
        <v/>
      </c>
      <c r="BS112" s="34">
        <f>IF(AND(BS$5&gt;$E112,BS$5&lt;=$F112),IF(BS$5=$E112+1,$C112,""),"")</f>
        <v/>
      </c>
      <c r="BT112" s="34">
        <f>IF(AND(BT$5&gt;$E112,BT$5&lt;=$F112),IF(BT$5=$E112+1,$C112,""),"")</f>
        <v/>
      </c>
      <c r="BU112" s="34">
        <f>IF(AND(BU$5&gt;$E112,BU$5&lt;=$F112),IF(BU$5=$E112+1,$C112,""),"")</f>
        <v/>
      </c>
      <c r="BV112" s="34">
        <f>IF(AND(BV$5&gt;$E112,BV$5&lt;=$F112),IF(BV$5=$E112+1,$C112,""),"")</f>
        <v/>
      </c>
      <c r="BW112" s="34">
        <f>IF(AND(BW$5&gt;$E112,BW$5&lt;=$F112),IF(BW$5=$E112+1,$C112,""),"")</f>
        <v/>
      </c>
      <c r="BX112" s="34">
        <f>IF(AND(BX$5&gt;$E112,BX$5&lt;=$F112),IF(BX$5=$E112+1,$C112,""),"")</f>
        <v/>
      </c>
      <c r="BY112" s="34">
        <f>IF(AND(BY$5&gt;$E112,BY$5&lt;=$F112),IF(BY$5=$E112+1,$C112,""),"")</f>
        <v/>
      </c>
      <c r="BZ112" s="34">
        <f>IF(AND(BZ$5&gt;$E112,BZ$5&lt;=$F112),IF(BZ$5=$E112+1,$C112,""),"")</f>
        <v/>
      </c>
      <c r="CA112" s="34">
        <f>IF(AND(CA$5&gt;$E112,CA$5&lt;=$F112),IF(CA$5=$E112+1,$C112,""),"")</f>
        <v/>
      </c>
      <c r="CB112" s="34">
        <f>IF(AND(CB$5&gt;$E112,CB$5&lt;=$F112),IF(CB$5=$E112+1,$C112,""),"")</f>
        <v/>
      </c>
      <c r="CC112" s="34">
        <f>IF(AND(CC$5&gt;$E112,CC$5&lt;=$F112),IF(CC$5=$E112+1,$C112,""),"")</f>
        <v/>
      </c>
      <c r="CD112" s="34">
        <f>IF(AND(CD$5&gt;$E112,CD$5&lt;=$F112),IF(CD$5=$E112+1,$C112,""),"")</f>
        <v/>
      </c>
      <c r="CE112" s="34">
        <f>IF(AND(CE$5&gt;$E112,CE$5&lt;=$F112),IF(CE$5=$E112+1,$C112,""),"")</f>
        <v/>
      </c>
      <c r="CF112" s="34">
        <f>IF(AND(CF$5&gt;$E112,CF$5&lt;=$F112),IF(CF$5=$E112+1,$C112,""),"")</f>
        <v/>
      </c>
      <c r="CG112" s="34">
        <f>IF(AND(CG$5&gt;$E112,CG$5&lt;=$F112),IF(CG$5=$E112+1,$C112,""),"")</f>
        <v/>
      </c>
      <c r="CH112" s="34">
        <f>IF(AND(CH$5&gt;$E112,CH$5&lt;=$F112),IF(CH$5=$E112+1,$C112,""),"")</f>
        <v/>
      </c>
      <c r="CI112" s="34">
        <f>IF(AND(CI$5&gt;$E112,CI$5&lt;=$F112),IF(CI$5=$E112+1,$C112,""),"")</f>
        <v/>
      </c>
      <c r="CJ112" s="34">
        <f>IF(AND(CJ$5&gt;$E112,CJ$5&lt;=$F112),IF(CJ$5=$E112+1,$C112,""),"")</f>
        <v/>
      </c>
      <c r="CK112" s="34">
        <f>IF(AND(CK$5&gt;$E112,CK$5&lt;=$F112),IF(CK$5=$E112+1,$C112,""),"")</f>
        <v/>
      </c>
      <c r="CL112" s="34">
        <f>IF(AND(CL$5&gt;$E112,CL$5&lt;=$F112),IF(CL$5=$E112+1,$C112,""),"")</f>
        <v/>
      </c>
      <c r="CM112" s="34">
        <f>IF(AND(CM$5&gt;$E112,CM$5&lt;=$F112),IF(CM$5=$E112+1,$C112,""),"")</f>
        <v/>
      </c>
      <c r="CN112" s="34">
        <f>IF(AND(CN$5&gt;$E112,CN$5&lt;=$F112),IF(CN$5=$E112+1,$C112,""),"")</f>
        <v/>
      </c>
      <c r="CO112" s="34">
        <f>IF(AND(CO$5&gt;$E112,CO$5&lt;=$F112),IF(CO$5=$E112+1,$C112,""),"")</f>
        <v/>
      </c>
      <c r="CP112" s="34">
        <f>IF(AND(CP$5&gt;$E112,CP$5&lt;=$F112),IF(CP$5=$E112+1,$C112,""),"")</f>
        <v/>
      </c>
      <c r="CQ112" s="34">
        <f>IF(AND(CQ$5&gt;$E112,CQ$5&lt;=$F112),IF(CQ$5=$E112+1,$C112,""),"")</f>
        <v/>
      </c>
      <c r="CR112" s="34">
        <f>IF(AND(CR$5&gt;$E112,CR$5&lt;=$F112),IF(CR$5=$E112+1,$C112,""),"")</f>
        <v/>
      </c>
      <c r="CS112" s="34">
        <f>IF(AND(CS$5&gt;$E112,CS$5&lt;=$F112),IF(CS$5=$E112+1,$C112,""),"")</f>
        <v/>
      </c>
      <c r="CT112" s="34">
        <f>IF(AND(CT$5&gt;$E112,CT$5&lt;=$F112),IF(CT$5=$E112+1,$C112,""),"")</f>
        <v/>
      </c>
      <c r="CU112" s="34">
        <f>IF(AND(CU$5&gt;$E112,CU$5&lt;=$F112),IF(CU$5=$E112+1,$C112,""),"")</f>
        <v/>
      </c>
      <c r="CV112" s="34">
        <f>IF(AND(CV$5&gt;$E112,CV$5&lt;=$F112),IF(CV$5=$E112+1,$C112,""),"")</f>
        <v/>
      </c>
      <c r="CW112" s="34">
        <f>IF(AND(CW$5&gt;$E112,CW$5&lt;=$F112),IF(CW$5=$E112+1,$C112,""),"")</f>
        <v/>
      </c>
      <c r="CX112" s="34">
        <f>IF(AND(CX$5&gt;$E112,CX$5&lt;=$F112),IF(CX$5=$E112+1,$C112,""),"")</f>
        <v/>
      </c>
      <c r="CY112" s="34">
        <f>IF(AND(CY$5&gt;$E112,CY$5&lt;=$F112),IF(CY$5=$E112+1,$C112,""),"")</f>
        <v/>
      </c>
      <c r="CZ112" s="34">
        <f>IF(AND(CZ$5&gt;$E112,CZ$5&lt;=$F112),IF(CZ$5=$E112+1,$C112,""),"")</f>
        <v/>
      </c>
      <c r="DA112" s="34">
        <f>IF(AND(DA$5&gt;$E112,DA$5&lt;=$F112),IF(DA$5=$E112+1,$C112,""),"")</f>
        <v/>
      </c>
      <c r="DB112" s="34">
        <f>IF(AND(DB$5&gt;$E112,DB$5&lt;=$F112),IF(DB$5=$E112+1,$C112,""),"")</f>
        <v/>
      </c>
      <c r="DC112" s="34">
        <f>IF(AND(DC$5&gt;$E112,DC$5&lt;=$F112),IF(DC$5=$E112+1,$C112,""),"")</f>
        <v/>
      </c>
      <c r="DD112" s="34">
        <f>IF(AND(DD$5&gt;$E112,DD$5&lt;=$F112),IF(DD$5=$E112+1,$C112,""),"")</f>
        <v/>
      </c>
      <c r="DE112" s="34">
        <f>IF(AND(DE$5&gt;$E112,DE$5&lt;=$F112),IF(DE$5=$E112+1,$C112,""),"")</f>
        <v/>
      </c>
      <c r="DF112" s="34">
        <f>IF(AND(DF$5&gt;$E112,DF$5&lt;=$F112),IF(DF$5=$E112+1,$C112,""),"")</f>
        <v/>
      </c>
      <c r="DG112" s="34">
        <f>IF(AND(DG$5&gt;$E112,DG$5&lt;=$F112),IF(DG$5=$E112+1,$C112,""),"")</f>
        <v/>
      </c>
      <c r="DH112" s="34">
        <f>IF(AND(DH$5&gt;$E112,DH$5&lt;=$F112),IF(DH$5=$E112+1,$C112,""),"")</f>
        <v/>
      </c>
      <c r="DI112" s="34">
        <f>IF(AND(DI$5&gt;$E112,DI$5&lt;=$F112),IF(DI$5=$E112+1,$C112,""),"")</f>
        <v/>
      </c>
      <c r="DJ112" s="34">
        <f>IF(AND(DJ$5&gt;$E112,DJ$5&lt;=$F112),IF(DJ$5=$E112+1,$C112,""),"")</f>
        <v/>
      </c>
      <c r="DK112" s="34">
        <f>IF(AND(DK$5&gt;$E112,DK$5&lt;=$F112),IF(DK$5=$E112+1,$C112,""),"")</f>
        <v/>
      </c>
      <c r="DL112" s="34">
        <f>IF(AND(DL$5&gt;$E112,DL$5&lt;=$F112),IF(DL$5=$E112+1,$C112,""),"")</f>
        <v/>
      </c>
      <c r="DM112" s="34">
        <f>IF(AND(DM$5&gt;$E112,DM$5&lt;=$F112),IF(DM$5=$E112+1,$C112,""),"")</f>
        <v/>
      </c>
      <c r="DN112" s="34">
        <f>IF(AND(DN$5&gt;$E112,DN$5&lt;=$F112),IF(DN$5=$E112+1,$C112,""),"")</f>
        <v/>
      </c>
      <c r="DO112" s="34">
        <f>IF(AND(DO$5&gt;$E112,DO$5&lt;=$F112),IF(DO$5=$E112+1,$C112,""),"")</f>
        <v/>
      </c>
      <c r="DP112" s="34">
        <f>IF(AND(DP$5&gt;$E112,DP$5&lt;=$F112),IF(DP$5=$E112+1,$C112,""),"")</f>
        <v/>
      </c>
      <c r="DQ112" s="34">
        <f>IF(AND(DQ$5&gt;$E112,DQ$5&lt;=$F112),IF(DQ$5=$E112+1,$C112,""),"")</f>
        <v/>
      </c>
      <c r="DR112" s="34">
        <f>IF(AND(DR$5&gt;$E112,DR$5&lt;=$F112),IF(DR$5=$E112+1,$C112,""),"")</f>
        <v/>
      </c>
      <c r="DS112" s="34">
        <f>IF(AND(DS$5&gt;$E112,DS$5&lt;=$F112),IF(DS$5=$E112+1,$C112,""),"")</f>
        <v/>
      </c>
      <c r="DT112" s="34">
        <f>IF(AND(DT$5&gt;$E112,DT$5&lt;=$F112),IF(DT$5=$E112+1,$C112,""),"")</f>
        <v/>
      </c>
      <c r="DU112" s="34">
        <f>IF(AND(DU$5&gt;$E112,DU$5&lt;=$F112),IF(DU$5=$E112+1,$C112,""),"")</f>
        <v/>
      </c>
      <c r="DV112" s="34">
        <f>IF(AND(DV$5&gt;$E112,DV$5&lt;=$F112),IF(DV$5=$E112+1,$C112,""),"")</f>
        <v/>
      </c>
      <c r="DW112" s="34">
        <f>IF(AND(DW$5&gt;$E112,DW$5&lt;=$F112),IF(DW$5=$E112+1,$C112,""),"")</f>
        <v/>
      </c>
      <c r="DX112" s="34">
        <f>IF(AND(DX$5&gt;$E112,DX$5&lt;=$F112),IF(DX$5=$E112+1,$C112,""),"")</f>
        <v/>
      </c>
      <c r="DY112" s="34">
        <f>IF(AND(DY$5&gt;$E112,DY$5&lt;=$F112),IF(DY$5=$E112+1,$C112,""),"")</f>
        <v/>
      </c>
      <c r="DZ112" s="34">
        <f>IF(AND(DZ$5&gt;$E112,DZ$5&lt;=$F112),IF(DZ$5=$E112+1,$C112,""),"")</f>
        <v/>
      </c>
      <c r="EA112" s="34">
        <f>IF(AND(EA$5&gt;$E112,EA$5&lt;=$F112),IF(EA$5=$E112+1,$C112,""),"")</f>
        <v/>
      </c>
      <c r="EB112" s="34">
        <f>IF(AND(EB$5&gt;$E112,EB$5&lt;=$F112),IF(EB$5=$E112+1,$C112,""),"")</f>
        <v/>
      </c>
      <c r="EC112" s="34">
        <f>IF(AND(EC$5&gt;$E112,EC$5&lt;=$F112),IF(EC$5=$E112+1,$C112,""),"")</f>
        <v/>
      </c>
      <c r="ED112" s="34">
        <f>IF(AND(ED$5&gt;$E112,ED$5&lt;=$F112),IF(ED$5=$E112+1,$C112,""),"")</f>
        <v/>
      </c>
      <c r="EE112" s="34">
        <f>IF(AND(EE$5&gt;$E112,EE$5&lt;=$F112),IF(EE$5=$E112+1,$C112,""),"")</f>
        <v/>
      </c>
      <c r="EF112" s="34">
        <f>IF(AND(EF$5&gt;$E112,EF$5&lt;=$F112),IF(EF$5=$E112+1,$C112,""),"")</f>
        <v/>
      </c>
      <c r="EG112" s="34">
        <f>IF(AND(EG$5&gt;$E112,EG$5&lt;=$F112),IF(EG$5=$E112+1,$C112,""),"")</f>
        <v/>
      </c>
      <c r="EH112" s="34">
        <f>IF(AND(EH$5&gt;$E112,EH$5&lt;=$F112),IF(EH$5=$E112+1,$C112,""),"")</f>
        <v/>
      </c>
      <c r="EI112" s="34">
        <f>IF(AND(EI$5&gt;$E112,EI$5&lt;=$F112),IF(EI$5=$E112+1,$C112,""),"")</f>
        <v/>
      </c>
      <c r="EJ112" s="34">
        <f>IF(AND(EJ$5&gt;$E112,EJ$5&lt;=$F112),IF(EJ$5=$E112+1,$C112,""),"")</f>
        <v/>
      </c>
      <c r="EK112" s="34">
        <f>IF(AND(EK$5&gt;$E112,EK$5&lt;=$F112),IF(EK$5=$E112+1,$C112,""),"")</f>
        <v/>
      </c>
      <c r="EL112" s="34">
        <f>IF(AND(EL$5&gt;$E112,EL$5&lt;=$F112),IF(EL$5=$E112+1,$C112,""),"")</f>
        <v/>
      </c>
      <c r="EM112" s="34">
        <f>IF(AND(EM$5&gt;$E112,EM$5&lt;=$F112),IF(EM$5=$E112+1,$C112,""),"")</f>
        <v/>
      </c>
      <c r="EN112" s="34">
        <f>IF(AND(EN$5&gt;$E112,EN$5&lt;=$F112),IF(EN$5=$E112+1,$C112,""),"")</f>
        <v/>
      </c>
      <c r="EO112" s="34">
        <f>IF(AND(EO$5&gt;$E112,EO$5&lt;=$F112),IF(EO$5=$E112+1,$C112,""),"")</f>
        <v/>
      </c>
      <c r="EP112" s="34">
        <f>IF(AND(EP$5&gt;$E112,EP$5&lt;=$F112),IF(EP$5=$E112+1,$C112,""),"")</f>
        <v/>
      </c>
      <c r="EQ112" s="34">
        <f>IF(AND(EQ$5&gt;$E112,EQ$5&lt;=$F112),IF(EQ$5=$E112+1,$C112,""),"")</f>
        <v/>
      </c>
      <c r="ER112" s="34">
        <f>IF(AND(ER$5&gt;$E112,ER$5&lt;=$F112),IF(ER$5=$E112+1,$C112,""),"")</f>
        <v/>
      </c>
      <c r="ES112" s="34">
        <f>IF(AND(ES$5&gt;$E112,ES$5&lt;=$F112),IF(ES$5=$E112+1,$C112,""),"")</f>
        <v/>
      </c>
      <c r="ET112" s="34">
        <f>IF(AND(ET$5&gt;$E112,ET$5&lt;=$F112),IF(ET$5=$E112+1,$C112,""),"")</f>
        <v/>
      </c>
      <c r="EU112" s="34">
        <f>IF(AND(EU$5&gt;$E112,EU$5&lt;=$F112),IF(EU$5=$E112+1,$C112,""),"")</f>
        <v/>
      </c>
      <c r="EV112" s="34">
        <f>IF(AND(EV$5&gt;$E112,EV$5&lt;=$F112),IF(EV$5=$E112+1,$C112,""),"")</f>
        <v/>
      </c>
      <c r="EW112" s="34">
        <f>IF(AND(EW$5&gt;$E112,EW$5&lt;=$F112),IF(EW$5=$E112+1,$C112,""),"")</f>
        <v/>
      </c>
      <c r="EX112" s="34">
        <f>IF(AND(EX$5&gt;$E112,EX$5&lt;=$F112),IF(EX$5=$E112+1,$C112,""),"")</f>
        <v/>
      </c>
      <c r="EY112" s="34">
        <f>IF(AND(EY$5&gt;$E112,EY$5&lt;=$F112),IF(EY$5=$E112+1,$C112,""),"")</f>
        <v/>
      </c>
      <c r="EZ112" s="34">
        <f>IF(AND(EZ$5&gt;$E112,EZ$5&lt;=$F112),IF(EZ$5=$E112+1,$C112,""),"")</f>
        <v/>
      </c>
      <c r="FA112" s="34">
        <f>IF(AND(FA$5&gt;$E112,FA$5&lt;=$F112),IF(FA$5=$E112+1,$C112,""),"")</f>
        <v/>
      </c>
    </row>
    <row r="113">
      <c r="A113" s="32">
        <f>Plan!A75</f>
        <v/>
      </c>
      <c r="B113" s="33">
        <f>Plan!C75</f>
        <v/>
      </c>
      <c r="C113" s="16">
        <f>Plan!D75</f>
        <v/>
      </c>
      <c r="D113" s="16">
        <f>Plan!I75</f>
        <v/>
      </c>
      <c r="E113" s="16">
        <f>Plan!K75</f>
        <v/>
      </c>
      <c r="F113" s="16">
        <f>Plan!L75</f>
        <v/>
      </c>
      <c r="G113" s="16">
        <f>Plan!O75</f>
        <v/>
      </c>
      <c r="H113" s="34">
        <f>IF(AND(H$5&gt;$E113,H$5&lt;=$F113),IF(H$5=$E113+1,$C113,""),"")</f>
        <v/>
      </c>
      <c r="I113" s="34">
        <f>IF(AND(I$5&gt;$E113,I$5&lt;=$F113),IF(I$5=$E113+1,$C113,""),"")</f>
        <v/>
      </c>
      <c r="J113" s="34">
        <f>IF(AND(J$5&gt;$E113,J$5&lt;=$F113),IF(J$5=$E113+1,$C113,""),"")</f>
        <v/>
      </c>
      <c r="K113" s="34">
        <f>IF(AND(K$5&gt;$E113,K$5&lt;=$F113),IF(K$5=$E113+1,$C113,""),"")</f>
        <v/>
      </c>
      <c r="L113" s="34">
        <f>IF(AND(L$5&gt;$E113,L$5&lt;=$F113),IF(L$5=$E113+1,$C113,""),"")</f>
        <v/>
      </c>
      <c r="M113" s="34">
        <f>IF(AND(M$5&gt;$E113,M$5&lt;=$F113),IF(M$5=$E113+1,$C113,""),"")</f>
        <v/>
      </c>
      <c r="N113" s="34">
        <f>IF(AND(N$5&gt;$E113,N$5&lt;=$F113),IF(N$5=$E113+1,$C113,""),"")</f>
        <v/>
      </c>
      <c r="O113" s="34">
        <f>IF(AND(O$5&gt;$E113,O$5&lt;=$F113),IF(O$5=$E113+1,$C113,""),"")</f>
        <v/>
      </c>
      <c r="P113" s="34">
        <f>IF(AND(P$5&gt;$E113,P$5&lt;=$F113),IF(P$5=$E113+1,$C113,""),"")</f>
        <v/>
      </c>
      <c r="Q113" s="34">
        <f>IF(AND(Q$5&gt;$E113,Q$5&lt;=$F113),IF(Q$5=$E113+1,$C113,""),"")</f>
        <v/>
      </c>
      <c r="R113" s="34">
        <f>IF(AND(R$5&gt;$E113,R$5&lt;=$F113),IF(R$5=$E113+1,$C113,""),"")</f>
        <v/>
      </c>
      <c r="S113" s="34">
        <f>IF(AND(S$5&gt;$E113,S$5&lt;=$F113),IF(S$5=$E113+1,$C113,""),"")</f>
        <v/>
      </c>
      <c r="T113" s="34">
        <f>IF(AND(T$5&gt;$E113,T$5&lt;=$F113),IF(T$5=$E113+1,$C113,""),"")</f>
        <v/>
      </c>
      <c r="U113" s="34">
        <f>IF(AND(U$5&gt;$E113,U$5&lt;=$F113),IF(U$5=$E113+1,$C113,""),"")</f>
        <v/>
      </c>
      <c r="V113" s="34">
        <f>IF(AND(V$5&gt;$E113,V$5&lt;=$F113),IF(V$5=$E113+1,$C113,""),"")</f>
        <v/>
      </c>
      <c r="W113" s="34">
        <f>IF(AND(W$5&gt;$E113,W$5&lt;=$F113),IF(W$5=$E113+1,$C113,""),"")</f>
        <v/>
      </c>
      <c r="X113" s="34">
        <f>IF(AND(X$5&gt;$E113,X$5&lt;=$F113),IF(X$5=$E113+1,$C113,""),"")</f>
        <v/>
      </c>
      <c r="Y113" s="34">
        <f>IF(AND(Y$5&gt;$E113,Y$5&lt;=$F113),IF(Y$5=$E113+1,$C113,""),"")</f>
        <v/>
      </c>
      <c r="Z113" s="34">
        <f>IF(AND(Z$5&gt;$E113,Z$5&lt;=$F113),IF(Z$5=$E113+1,$C113,""),"")</f>
        <v/>
      </c>
      <c r="AA113" s="34">
        <f>IF(AND(AA$5&gt;$E113,AA$5&lt;=$F113),IF(AA$5=$E113+1,$C113,""),"")</f>
        <v/>
      </c>
      <c r="AB113" s="34">
        <f>IF(AND(AB$5&gt;$E113,AB$5&lt;=$F113),IF(AB$5=$E113+1,$C113,""),"")</f>
        <v/>
      </c>
      <c r="AC113" s="34">
        <f>IF(AND(AC$5&gt;$E113,AC$5&lt;=$F113),IF(AC$5=$E113+1,$C113,""),"")</f>
        <v/>
      </c>
      <c r="AD113" s="34">
        <f>IF(AND(AD$5&gt;$E113,AD$5&lt;=$F113),IF(AD$5=$E113+1,$C113,""),"")</f>
        <v/>
      </c>
      <c r="AE113" s="34">
        <f>IF(AND(AE$5&gt;$E113,AE$5&lt;=$F113),IF(AE$5=$E113+1,$C113,""),"")</f>
        <v/>
      </c>
      <c r="AF113" s="34">
        <f>IF(AND(AF$5&gt;$E113,AF$5&lt;=$F113),IF(AF$5=$E113+1,$C113,""),"")</f>
        <v/>
      </c>
      <c r="AG113" s="34">
        <f>IF(AND(AG$5&gt;$E113,AG$5&lt;=$F113),IF(AG$5=$E113+1,$C113,""),"")</f>
        <v/>
      </c>
      <c r="AH113" s="34">
        <f>IF(AND(AH$5&gt;$E113,AH$5&lt;=$F113),IF(AH$5=$E113+1,$C113,""),"")</f>
        <v/>
      </c>
      <c r="AI113" s="34">
        <f>IF(AND(AI$5&gt;$E113,AI$5&lt;=$F113),IF(AI$5=$E113+1,$C113,""),"")</f>
        <v/>
      </c>
      <c r="AJ113" s="34">
        <f>IF(AND(AJ$5&gt;$E113,AJ$5&lt;=$F113),IF(AJ$5=$E113+1,$C113,""),"")</f>
        <v/>
      </c>
      <c r="AK113" s="34">
        <f>IF(AND(AK$5&gt;$E113,AK$5&lt;=$F113),IF(AK$5=$E113+1,$C113,""),"")</f>
        <v/>
      </c>
      <c r="AL113" s="34">
        <f>IF(AND(AL$5&gt;$E113,AL$5&lt;=$F113),IF(AL$5=$E113+1,$C113,""),"")</f>
        <v/>
      </c>
      <c r="AM113" s="34">
        <f>IF(AND(AM$5&gt;$E113,AM$5&lt;=$F113),IF(AM$5=$E113+1,$C113,""),"")</f>
        <v/>
      </c>
      <c r="AN113" s="34">
        <f>IF(AND(AN$5&gt;$E113,AN$5&lt;=$F113),IF(AN$5=$E113+1,$C113,""),"")</f>
        <v/>
      </c>
      <c r="AO113" s="34">
        <f>IF(AND(AO$5&gt;$E113,AO$5&lt;=$F113),IF(AO$5=$E113+1,$C113,""),"")</f>
        <v/>
      </c>
      <c r="AP113" s="34">
        <f>IF(AND(AP$5&gt;$E113,AP$5&lt;=$F113),IF(AP$5=$E113+1,$C113,""),"")</f>
        <v/>
      </c>
      <c r="AQ113" s="34">
        <f>IF(AND(AQ$5&gt;$E113,AQ$5&lt;=$F113),IF(AQ$5=$E113+1,$C113,""),"")</f>
        <v/>
      </c>
      <c r="AR113" s="34">
        <f>IF(AND(AR$5&gt;$E113,AR$5&lt;=$F113),IF(AR$5=$E113+1,$C113,""),"")</f>
        <v/>
      </c>
      <c r="AS113" s="34">
        <f>IF(AND(AS$5&gt;$E113,AS$5&lt;=$F113),IF(AS$5=$E113+1,$C113,""),"")</f>
        <v/>
      </c>
      <c r="AT113" s="34">
        <f>IF(AND(AT$5&gt;$E113,AT$5&lt;=$F113),IF(AT$5=$E113+1,$C113,""),"")</f>
        <v/>
      </c>
      <c r="AU113" s="34">
        <f>IF(AND(AU$5&gt;$E113,AU$5&lt;=$F113),IF(AU$5=$E113+1,$C113,""),"")</f>
        <v/>
      </c>
      <c r="AV113" s="34">
        <f>IF(AND(AV$5&gt;$E113,AV$5&lt;=$F113),IF(AV$5=$E113+1,$C113,""),"")</f>
        <v/>
      </c>
      <c r="AW113" s="34">
        <f>IF(AND(AW$5&gt;$E113,AW$5&lt;=$F113),IF(AW$5=$E113+1,$C113,""),"")</f>
        <v/>
      </c>
      <c r="AX113" s="34">
        <f>IF(AND(AX$5&gt;$E113,AX$5&lt;=$F113),IF(AX$5=$E113+1,$C113,""),"")</f>
        <v/>
      </c>
      <c r="AY113" s="34">
        <f>IF(AND(AY$5&gt;$E113,AY$5&lt;=$F113),IF(AY$5=$E113+1,$C113,""),"")</f>
        <v/>
      </c>
      <c r="AZ113" s="34">
        <f>IF(AND(AZ$5&gt;$E113,AZ$5&lt;=$F113),IF(AZ$5=$E113+1,$C113,""),"")</f>
        <v/>
      </c>
      <c r="BA113" s="34">
        <f>IF(AND(BA$5&gt;$E113,BA$5&lt;=$F113),IF(BA$5=$E113+1,$C113,""),"")</f>
        <v/>
      </c>
      <c r="BB113" s="34">
        <f>IF(AND(BB$5&gt;$E113,BB$5&lt;=$F113),IF(BB$5=$E113+1,$C113,""),"")</f>
        <v/>
      </c>
      <c r="BC113" s="34">
        <f>IF(AND(BC$5&gt;$E113,BC$5&lt;=$F113),IF(BC$5=$E113+1,$C113,""),"")</f>
        <v/>
      </c>
      <c r="BD113" s="34">
        <f>IF(AND(BD$5&gt;$E113,BD$5&lt;=$F113),IF(BD$5=$E113+1,$C113,""),"")</f>
        <v/>
      </c>
      <c r="BE113" s="34">
        <f>IF(AND(BE$5&gt;$E113,BE$5&lt;=$F113),IF(BE$5=$E113+1,$C113,""),"")</f>
        <v/>
      </c>
      <c r="BF113" s="34">
        <f>IF(AND(BF$5&gt;$E113,BF$5&lt;=$F113),IF(BF$5=$E113+1,$C113,""),"")</f>
        <v/>
      </c>
      <c r="BG113" s="34">
        <f>IF(AND(BG$5&gt;$E113,BG$5&lt;=$F113),IF(BG$5=$E113+1,$C113,""),"")</f>
        <v/>
      </c>
      <c r="BH113" s="34">
        <f>IF(AND(BH$5&gt;$E113,BH$5&lt;=$F113),IF(BH$5=$E113+1,$C113,""),"")</f>
        <v/>
      </c>
      <c r="BI113" s="34">
        <f>IF(AND(BI$5&gt;$E113,BI$5&lt;=$F113),IF(BI$5=$E113+1,$C113,""),"")</f>
        <v/>
      </c>
      <c r="BJ113" s="34">
        <f>IF(AND(BJ$5&gt;$E113,BJ$5&lt;=$F113),IF(BJ$5=$E113+1,$C113,""),"")</f>
        <v/>
      </c>
      <c r="BK113" s="34">
        <f>IF(AND(BK$5&gt;$E113,BK$5&lt;=$F113),IF(BK$5=$E113+1,$C113,""),"")</f>
        <v/>
      </c>
      <c r="BL113" s="34">
        <f>IF(AND(BL$5&gt;$E113,BL$5&lt;=$F113),IF(BL$5=$E113+1,$C113,""),"")</f>
        <v/>
      </c>
      <c r="BM113" s="34">
        <f>IF(AND(BM$5&gt;$E113,BM$5&lt;=$F113),IF(BM$5=$E113+1,$C113,""),"")</f>
        <v/>
      </c>
      <c r="BN113" s="34">
        <f>IF(AND(BN$5&gt;$E113,BN$5&lt;=$F113),IF(BN$5=$E113+1,$C113,""),"")</f>
        <v/>
      </c>
      <c r="BO113" s="34">
        <f>IF(AND(BO$5&gt;$E113,BO$5&lt;=$F113),IF(BO$5=$E113+1,$C113,""),"")</f>
        <v/>
      </c>
      <c r="BP113" s="34">
        <f>IF(AND(BP$5&gt;$E113,BP$5&lt;=$F113),IF(BP$5=$E113+1,$C113,""),"")</f>
        <v/>
      </c>
      <c r="BQ113" s="34">
        <f>IF(AND(BQ$5&gt;$E113,BQ$5&lt;=$F113),IF(BQ$5=$E113+1,$C113,""),"")</f>
        <v/>
      </c>
      <c r="BR113" s="34">
        <f>IF(AND(BR$5&gt;$E113,BR$5&lt;=$F113),IF(BR$5=$E113+1,$C113,""),"")</f>
        <v/>
      </c>
      <c r="BS113" s="34">
        <f>IF(AND(BS$5&gt;$E113,BS$5&lt;=$F113),IF(BS$5=$E113+1,$C113,""),"")</f>
        <v/>
      </c>
      <c r="BT113" s="34">
        <f>IF(AND(BT$5&gt;$E113,BT$5&lt;=$F113),IF(BT$5=$E113+1,$C113,""),"")</f>
        <v/>
      </c>
      <c r="BU113" s="34">
        <f>IF(AND(BU$5&gt;$E113,BU$5&lt;=$F113),IF(BU$5=$E113+1,$C113,""),"")</f>
        <v/>
      </c>
      <c r="BV113" s="34">
        <f>IF(AND(BV$5&gt;$E113,BV$5&lt;=$F113),IF(BV$5=$E113+1,$C113,""),"")</f>
        <v/>
      </c>
      <c r="BW113" s="34">
        <f>IF(AND(BW$5&gt;$E113,BW$5&lt;=$F113),IF(BW$5=$E113+1,$C113,""),"")</f>
        <v/>
      </c>
      <c r="BX113" s="34">
        <f>IF(AND(BX$5&gt;$E113,BX$5&lt;=$F113),IF(BX$5=$E113+1,$C113,""),"")</f>
        <v/>
      </c>
      <c r="BY113" s="34">
        <f>IF(AND(BY$5&gt;$E113,BY$5&lt;=$F113),IF(BY$5=$E113+1,$C113,""),"")</f>
        <v/>
      </c>
      <c r="BZ113" s="34">
        <f>IF(AND(BZ$5&gt;$E113,BZ$5&lt;=$F113),IF(BZ$5=$E113+1,$C113,""),"")</f>
        <v/>
      </c>
      <c r="CA113" s="34">
        <f>IF(AND(CA$5&gt;$E113,CA$5&lt;=$F113),IF(CA$5=$E113+1,$C113,""),"")</f>
        <v/>
      </c>
      <c r="CB113" s="34">
        <f>IF(AND(CB$5&gt;$E113,CB$5&lt;=$F113),IF(CB$5=$E113+1,$C113,""),"")</f>
        <v/>
      </c>
      <c r="CC113" s="34">
        <f>IF(AND(CC$5&gt;$E113,CC$5&lt;=$F113),IF(CC$5=$E113+1,$C113,""),"")</f>
        <v/>
      </c>
      <c r="CD113" s="34">
        <f>IF(AND(CD$5&gt;$E113,CD$5&lt;=$F113),IF(CD$5=$E113+1,$C113,""),"")</f>
        <v/>
      </c>
      <c r="CE113" s="34">
        <f>IF(AND(CE$5&gt;$E113,CE$5&lt;=$F113),IF(CE$5=$E113+1,$C113,""),"")</f>
        <v/>
      </c>
      <c r="CF113" s="34">
        <f>IF(AND(CF$5&gt;$E113,CF$5&lt;=$F113),IF(CF$5=$E113+1,$C113,""),"")</f>
        <v/>
      </c>
      <c r="CG113" s="34">
        <f>IF(AND(CG$5&gt;$E113,CG$5&lt;=$F113),IF(CG$5=$E113+1,$C113,""),"")</f>
        <v/>
      </c>
      <c r="CH113" s="34">
        <f>IF(AND(CH$5&gt;$E113,CH$5&lt;=$F113),IF(CH$5=$E113+1,$C113,""),"")</f>
        <v/>
      </c>
      <c r="CI113" s="34">
        <f>IF(AND(CI$5&gt;$E113,CI$5&lt;=$F113),IF(CI$5=$E113+1,$C113,""),"")</f>
        <v/>
      </c>
      <c r="CJ113" s="34">
        <f>IF(AND(CJ$5&gt;$E113,CJ$5&lt;=$F113),IF(CJ$5=$E113+1,$C113,""),"")</f>
        <v/>
      </c>
      <c r="CK113" s="34">
        <f>IF(AND(CK$5&gt;$E113,CK$5&lt;=$F113),IF(CK$5=$E113+1,$C113,""),"")</f>
        <v/>
      </c>
      <c r="CL113" s="34">
        <f>IF(AND(CL$5&gt;$E113,CL$5&lt;=$F113),IF(CL$5=$E113+1,$C113,""),"")</f>
        <v/>
      </c>
      <c r="CM113" s="34">
        <f>IF(AND(CM$5&gt;$E113,CM$5&lt;=$F113),IF(CM$5=$E113+1,$C113,""),"")</f>
        <v/>
      </c>
      <c r="CN113" s="34">
        <f>IF(AND(CN$5&gt;$E113,CN$5&lt;=$F113),IF(CN$5=$E113+1,$C113,""),"")</f>
        <v/>
      </c>
      <c r="CO113" s="34">
        <f>IF(AND(CO$5&gt;$E113,CO$5&lt;=$F113),IF(CO$5=$E113+1,$C113,""),"")</f>
        <v/>
      </c>
      <c r="CP113" s="34">
        <f>IF(AND(CP$5&gt;$E113,CP$5&lt;=$F113),IF(CP$5=$E113+1,$C113,""),"")</f>
        <v/>
      </c>
      <c r="CQ113" s="34">
        <f>IF(AND(CQ$5&gt;$E113,CQ$5&lt;=$F113),IF(CQ$5=$E113+1,$C113,""),"")</f>
        <v/>
      </c>
      <c r="CR113" s="34">
        <f>IF(AND(CR$5&gt;$E113,CR$5&lt;=$F113),IF(CR$5=$E113+1,$C113,""),"")</f>
        <v/>
      </c>
      <c r="CS113" s="34">
        <f>IF(AND(CS$5&gt;$E113,CS$5&lt;=$F113),IF(CS$5=$E113+1,$C113,""),"")</f>
        <v/>
      </c>
      <c r="CT113" s="34">
        <f>IF(AND(CT$5&gt;$E113,CT$5&lt;=$F113),IF(CT$5=$E113+1,$C113,""),"")</f>
        <v/>
      </c>
      <c r="CU113" s="34">
        <f>IF(AND(CU$5&gt;$E113,CU$5&lt;=$F113),IF(CU$5=$E113+1,$C113,""),"")</f>
        <v/>
      </c>
      <c r="CV113" s="34">
        <f>IF(AND(CV$5&gt;$E113,CV$5&lt;=$F113),IF(CV$5=$E113+1,$C113,""),"")</f>
        <v/>
      </c>
      <c r="CW113" s="34">
        <f>IF(AND(CW$5&gt;$E113,CW$5&lt;=$F113),IF(CW$5=$E113+1,$C113,""),"")</f>
        <v/>
      </c>
      <c r="CX113" s="34">
        <f>IF(AND(CX$5&gt;$E113,CX$5&lt;=$F113),IF(CX$5=$E113+1,$C113,""),"")</f>
        <v/>
      </c>
      <c r="CY113" s="34">
        <f>IF(AND(CY$5&gt;$E113,CY$5&lt;=$F113),IF(CY$5=$E113+1,$C113,""),"")</f>
        <v/>
      </c>
      <c r="CZ113" s="34">
        <f>IF(AND(CZ$5&gt;$E113,CZ$5&lt;=$F113),IF(CZ$5=$E113+1,$C113,""),"")</f>
        <v/>
      </c>
      <c r="DA113" s="34">
        <f>IF(AND(DA$5&gt;$E113,DA$5&lt;=$F113),IF(DA$5=$E113+1,$C113,""),"")</f>
        <v/>
      </c>
      <c r="DB113" s="34">
        <f>IF(AND(DB$5&gt;$E113,DB$5&lt;=$F113),IF(DB$5=$E113+1,$C113,""),"")</f>
        <v/>
      </c>
      <c r="DC113" s="34">
        <f>IF(AND(DC$5&gt;$E113,DC$5&lt;=$F113),IF(DC$5=$E113+1,$C113,""),"")</f>
        <v/>
      </c>
      <c r="DD113" s="34">
        <f>IF(AND(DD$5&gt;$E113,DD$5&lt;=$F113),IF(DD$5=$E113+1,$C113,""),"")</f>
        <v/>
      </c>
      <c r="DE113" s="34">
        <f>IF(AND(DE$5&gt;$E113,DE$5&lt;=$F113),IF(DE$5=$E113+1,$C113,""),"")</f>
        <v/>
      </c>
      <c r="DF113" s="34">
        <f>IF(AND(DF$5&gt;$E113,DF$5&lt;=$F113),IF(DF$5=$E113+1,$C113,""),"")</f>
        <v/>
      </c>
      <c r="DG113" s="34">
        <f>IF(AND(DG$5&gt;$E113,DG$5&lt;=$F113),IF(DG$5=$E113+1,$C113,""),"")</f>
        <v/>
      </c>
      <c r="DH113" s="34">
        <f>IF(AND(DH$5&gt;$E113,DH$5&lt;=$F113),IF(DH$5=$E113+1,$C113,""),"")</f>
        <v/>
      </c>
      <c r="DI113" s="34">
        <f>IF(AND(DI$5&gt;$E113,DI$5&lt;=$F113),IF(DI$5=$E113+1,$C113,""),"")</f>
        <v/>
      </c>
      <c r="DJ113" s="34">
        <f>IF(AND(DJ$5&gt;$E113,DJ$5&lt;=$F113),IF(DJ$5=$E113+1,$C113,""),"")</f>
        <v/>
      </c>
      <c r="DK113" s="34">
        <f>IF(AND(DK$5&gt;$E113,DK$5&lt;=$F113),IF(DK$5=$E113+1,$C113,""),"")</f>
        <v/>
      </c>
      <c r="DL113" s="34">
        <f>IF(AND(DL$5&gt;$E113,DL$5&lt;=$F113),IF(DL$5=$E113+1,$C113,""),"")</f>
        <v/>
      </c>
      <c r="DM113" s="34">
        <f>IF(AND(DM$5&gt;$E113,DM$5&lt;=$F113),IF(DM$5=$E113+1,$C113,""),"")</f>
        <v/>
      </c>
      <c r="DN113" s="34">
        <f>IF(AND(DN$5&gt;$E113,DN$5&lt;=$F113),IF(DN$5=$E113+1,$C113,""),"")</f>
        <v/>
      </c>
      <c r="DO113" s="34">
        <f>IF(AND(DO$5&gt;$E113,DO$5&lt;=$F113),IF(DO$5=$E113+1,$C113,""),"")</f>
        <v/>
      </c>
      <c r="DP113" s="34">
        <f>IF(AND(DP$5&gt;$E113,DP$5&lt;=$F113),IF(DP$5=$E113+1,$C113,""),"")</f>
        <v/>
      </c>
      <c r="DQ113" s="34">
        <f>IF(AND(DQ$5&gt;$E113,DQ$5&lt;=$F113),IF(DQ$5=$E113+1,$C113,""),"")</f>
        <v/>
      </c>
      <c r="DR113" s="34">
        <f>IF(AND(DR$5&gt;$E113,DR$5&lt;=$F113),IF(DR$5=$E113+1,$C113,""),"")</f>
        <v/>
      </c>
      <c r="DS113" s="34">
        <f>IF(AND(DS$5&gt;$E113,DS$5&lt;=$F113),IF(DS$5=$E113+1,$C113,""),"")</f>
        <v/>
      </c>
      <c r="DT113" s="34">
        <f>IF(AND(DT$5&gt;$E113,DT$5&lt;=$F113),IF(DT$5=$E113+1,$C113,""),"")</f>
        <v/>
      </c>
      <c r="DU113" s="34">
        <f>IF(AND(DU$5&gt;$E113,DU$5&lt;=$F113),IF(DU$5=$E113+1,$C113,""),"")</f>
        <v/>
      </c>
      <c r="DV113" s="34">
        <f>IF(AND(DV$5&gt;$E113,DV$5&lt;=$F113),IF(DV$5=$E113+1,$C113,""),"")</f>
        <v/>
      </c>
      <c r="DW113" s="34">
        <f>IF(AND(DW$5&gt;$E113,DW$5&lt;=$F113),IF(DW$5=$E113+1,$C113,""),"")</f>
        <v/>
      </c>
      <c r="DX113" s="34">
        <f>IF(AND(DX$5&gt;$E113,DX$5&lt;=$F113),IF(DX$5=$E113+1,$C113,""),"")</f>
        <v/>
      </c>
      <c r="DY113" s="34">
        <f>IF(AND(DY$5&gt;$E113,DY$5&lt;=$F113),IF(DY$5=$E113+1,$C113,""),"")</f>
        <v/>
      </c>
      <c r="DZ113" s="34">
        <f>IF(AND(DZ$5&gt;$E113,DZ$5&lt;=$F113),IF(DZ$5=$E113+1,$C113,""),"")</f>
        <v/>
      </c>
      <c r="EA113" s="34">
        <f>IF(AND(EA$5&gt;$E113,EA$5&lt;=$F113),IF(EA$5=$E113+1,$C113,""),"")</f>
        <v/>
      </c>
      <c r="EB113" s="34">
        <f>IF(AND(EB$5&gt;$E113,EB$5&lt;=$F113),IF(EB$5=$E113+1,$C113,""),"")</f>
        <v/>
      </c>
      <c r="EC113" s="34">
        <f>IF(AND(EC$5&gt;$E113,EC$5&lt;=$F113),IF(EC$5=$E113+1,$C113,""),"")</f>
        <v/>
      </c>
      <c r="ED113" s="34">
        <f>IF(AND(ED$5&gt;$E113,ED$5&lt;=$F113),IF(ED$5=$E113+1,$C113,""),"")</f>
        <v/>
      </c>
      <c r="EE113" s="34">
        <f>IF(AND(EE$5&gt;$E113,EE$5&lt;=$F113),IF(EE$5=$E113+1,$C113,""),"")</f>
        <v/>
      </c>
      <c r="EF113" s="34">
        <f>IF(AND(EF$5&gt;$E113,EF$5&lt;=$F113),IF(EF$5=$E113+1,$C113,""),"")</f>
        <v/>
      </c>
      <c r="EG113" s="34">
        <f>IF(AND(EG$5&gt;$E113,EG$5&lt;=$F113),IF(EG$5=$E113+1,$C113,""),"")</f>
        <v/>
      </c>
      <c r="EH113" s="34">
        <f>IF(AND(EH$5&gt;$E113,EH$5&lt;=$F113),IF(EH$5=$E113+1,$C113,""),"")</f>
        <v/>
      </c>
      <c r="EI113" s="34">
        <f>IF(AND(EI$5&gt;$E113,EI$5&lt;=$F113),IF(EI$5=$E113+1,$C113,""),"")</f>
        <v/>
      </c>
      <c r="EJ113" s="34">
        <f>IF(AND(EJ$5&gt;$E113,EJ$5&lt;=$F113),IF(EJ$5=$E113+1,$C113,""),"")</f>
        <v/>
      </c>
      <c r="EK113" s="34">
        <f>IF(AND(EK$5&gt;$E113,EK$5&lt;=$F113),IF(EK$5=$E113+1,$C113,""),"")</f>
        <v/>
      </c>
      <c r="EL113" s="34">
        <f>IF(AND(EL$5&gt;$E113,EL$5&lt;=$F113),IF(EL$5=$E113+1,$C113,""),"")</f>
        <v/>
      </c>
      <c r="EM113" s="34">
        <f>IF(AND(EM$5&gt;$E113,EM$5&lt;=$F113),IF(EM$5=$E113+1,$C113,""),"")</f>
        <v/>
      </c>
      <c r="EN113" s="34">
        <f>IF(AND(EN$5&gt;$E113,EN$5&lt;=$F113),IF(EN$5=$E113+1,$C113,""),"")</f>
        <v/>
      </c>
      <c r="EO113" s="34">
        <f>IF(AND(EO$5&gt;$E113,EO$5&lt;=$F113),IF(EO$5=$E113+1,$C113,""),"")</f>
        <v/>
      </c>
      <c r="EP113" s="34">
        <f>IF(AND(EP$5&gt;$E113,EP$5&lt;=$F113),IF(EP$5=$E113+1,$C113,""),"")</f>
        <v/>
      </c>
      <c r="EQ113" s="34">
        <f>IF(AND(EQ$5&gt;$E113,EQ$5&lt;=$F113),IF(EQ$5=$E113+1,$C113,""),"")</f>
        <v/>
      </c>
      <c r="ER113" s="34">
        <f>IF(AND(ER$5&gt;$E113,ER$5&lt;=$F113),IF(ER$5=$E113+1,$C113,""),"")</f>
        <v/>
      </c>
      <c r="ES113" s="34">
        <f>IF(AND(ES$5&gt;$E113,ES$5&lt;=$F113),IF(ES$5=$E113+1,$C113,""),"")</f>
        <v/>
      </c>
      <c r="ET113" s="34">
        <f>IF(AND(ET$5&gt;$E113,ET$5&lt;=$F113),IF(ET$5=$E113+1,$C113,""),"")</f>
        <v/>
      </c>
      <c r="EU113" s="34">
        <f>IF(AND(EU$5&gt;$E113,EU$5&lt;=$F113),IF(EU$5=$E113+1,$C113,""),"")</f>
        <v/>
      </c>
      <c r="EV113" s="34">
        <f>IF(AND(EV$5&gt;$E113,EV$5&lt;=$F113),IF(EV$5=$E113+1,$C113,""),"")</f>
        <v/>
      </c>
      <c r="EW113" s="34">
        <f>IF(AND(EW$5&gt;$E113,EW$5&lt;=$F113),IF(EW$5=$E113+1,$C113,""),"")</f>
        <v/>
      </c>
      <c r="EX113" s="34">
        <f>IF(AND(EX$5&gt;$E113,EX$5&lt;=$F113),IF(EX$5=$E113+1,$C113,""),"")</f>
        <v/>
      </c>
      <c r="EY113" s="34">
        <f>IF(AND(EY$5&gt;$E113,EY$5&lt;=$F113),IF(EY$5=$E113+1,$C113,""),"")</f>
        <v/>
      </c>
      <c r="EZ113" s="34">
        <f>IF(AND(EZ$5&gt;$E113,EZ$5&lt;=$F113),IF(EZ$5=$E113+1,$C113,""),"")</f>
        <v/>
      </c>
      <c r="FA113" s="34">
        <f>IF(AND(FA$5&gt;$E113,FA$5&lt;=$F113),IF(FA$5=$E113+1,$C113,""),"")</f>
        <v/>
      </c>
    </row>
    <row r="114">
      <c r="A114" s="32">
        <f>Plan!A76</f>
        <v/>
      </c>
      <c r="B114" s="33">
        <f>Plan!C76</f>
        <v/>
      </c>
      <c r="C114" s="16">
        <f>Plan!D76</f>
        <v/>
      </c>
      <c r="D114" s="16">
        <f>Plan!I76</f>
        <v/>
      </c>
      <c r="E114" s="16">
        <f>Plan!K76</f>
        <v/>
      </c>
      <c r="F114" s="16">
        <f>Plan!L76</f>
        <v/>
      </c>
      <c r="G114" s="16">
        <f>Plan!O76</f>
        <v/>
      </c>
      <c r="H114" s="34">
        <f>IF(AND(H$5&gt;$E114,H$5&lt;=$F114),IF(H$5=$E114+1,$C114,""),"")</f>
        <v/>
      </c>
      <c r="I114" s="34">
        <f>IF(AND(I$5&gt;$E114,I$5&lt;=$F114),IF(I$5=$E114+1,$C114,""),"")</f>
        <v/>
      </c>
      <c r="J114" s="34">
        <f>IF(AND(J$5&gt;$E114,J$5&lt;=$F114),IF(J$5=$E114+1,$C114,""),"")</f>
        <v/>
      </c>
      <c r="K114" s="34">
        <f>IF(AND(K$5&gt;$E114,K$5&lt;=$F114),IF(K$5=$E114+1,$C114,""),"")</f>
        <v/>
      </c>
      <c r="L114" s="34">
        <f>IF(AND(L$5&gt;$E114,L$5&lt;=$F114),IF(L$5=$E114+1,$C114,""),"")</f>
        <v/>
      </c>
      <c r="M114" s="34">
        <f>IF(AND(M$5&gt;$E114,M$5&lt;=$F114),IF(M$5=$E114+1,$C114,""),"")</f>
        <v/>
      </c>
      <c r="N114" s="34">
        <f>IF(AND(N$5&gt;$E114,N$5&lt;=$F114),IF(N$5=$E114+1,$C114,""),"")</f>
        <v/>
      </c>
      <c r="O114" s="34">
        <f>IF(AND(O$5&gt;$E114,O$5&lt;=$F114),IF(O$5=$E114+1,$C114,""),"")</f>
        <v/>
      </c>
      <c r="P114" s="34">
        <f>IF(AND(P$5&gt;$E114,P$5&lt;=$F114),IF(P$5=$E114+1,$C114,""),"")</f>
        <v/>
      </c>
      <c r="Q114" s="34">
        <f>IF(AND(Q$5&gt;$E114,Q$5&lt;=$F114),IF(Q$5=$E114+1,$C114,""),"")</f>
        <v/>
      </c>
      <c r="R114" s="34">
        <f>IF(AND(R$5&gt;$E114,R$5&lt;=$F114),IF(R$5=$E114+1,$C114,""),"")</f>
        <v/>
      </c>
      <c r="S114" s="34">
        <f>IF(AND(S$5&gt;$E114,S$5&lt;=$F114),IF(S$5=$E114+1,$C114,""),"")</f>
        <v/>
      </c>
      <c r="T114" s="34">
        <f>IF(AND(T$5&gt;$E114,T$5&lt;=$F114),IF(T$5=$E114+1,$C114,""),"")</f>
        <v/>
      </c>
      <c r="U114" s="34">
        <f>IF(AND(U$5&gt;$E114,U$5&lt;=$F114),IF(U$5=$E114+1,$C114,""),"")</f>
        <v/>
      </c>
      <c r="V114" s="34">
        <f>IF(AND(V$5&gt;$E114,V$5&lt;=$F114),IF(V$5=$E114+1,$C114,""),"")</f>
        <v/>
      </c>
      <c r="W114" s="34">
        <f>IF(AND(W$5&gt;$E114,W$5&lt;=$F114),IF(W$5=$E114+1,$C114,""),"")</f>
        <v/>
      </c>
      <c r="X114" s="34">
        <f>IF(AND(X$5&gt;$E114,X$5&lt;=$F114),IF(X$5=$E114+1,$C114,""),"")</f>
        <v/>
      </c>
      <c r="Y114" s="34">
        <f>IF(AND(Y$5&gt;$E114,Y$5&lt;=$F114),IF(Y$5=$E114+1,$C114,""),"")</f>
        <v/>
      </c>
      <c r="Z114" s="34">
        <f>IF(AND(Z$5&gt;$E114,Z$5&lt;=$F114),IF(Z$5=$E114+1,$C114,""),"")</f>
        <v/>
      </c>
      <c r="AA114" s="34">
        <f>IF(AND(AA$5&gt;$E114,AA$5&lt;=$F114),IF(AA$5=$E114+1,$C114,""),"")</f>
        <v/>
      </c>
      <c r="AB114" s="34">
        <f>IF(AND(AB$5&gt;$E114,AB$5&lt;=$F114),IF(AB$5=$E114+1,$C114,""),"")</f>
        <v/>
      </c>
      <c r="AC114" s="34">
        <f>IF(AND(AC$5&gt;$E114,AC$5&lt;=$F114),IF(AC$5=$E114+1,$C114,""),"")</f>
        <v/>
      </c>
      <c r="AD114" s="34">
        <f>IF(AND(AD$5&gt;$E114,AD$5&lt;=$F114),IF(AD$5=$E114+1,$C114,""),"")</f>
        <v/>
      </c>
      <c r="AE114" s="34">
        <f>IF(AND(AE$5&gt;$E114,AE$5&lt;=$F114),IF(AE$5=$E114+1,$C114,""),"")</f>
        <v/>
      </c>
      <c r="AF114" s="34">
        <f>IF(AND(AF$5&gt;$E114,AF$5&lt;=$F114),IF(AF$5=$E114+1,$C114,""),"")</f>
        <v/>
      </c>
      <c r="AG114" s="34">
        <f>IF(AND(AG$5&gt;$E114,AG$5&lt;=$F114),IF(AG$5=$E114+1,$C114,""),"")</f>
        <v/>
      </c>
      <c r="AH114" s="34">
        <f>IF(AND(AH$5&gt;$E114,AH$5&lt;=$F114),IF(AH$5=$E114+1,$C114,""),"")</f>
        <v/>
      </c>
      <c r="AI114" s="34">
        <f>IF(AND(AI$5&gt;$E114,AI$5&lt;=$F114),IF(AI$5=$E114+1,$C114,""),"")</f>
        <v/>
      </c>
      <c r="AJ114" s="34">
        <f>IF(AND(AJ$5&gt;$E114,AJ$5&lt;=$F114),IF(AJ$5=$E114+1,$C114,""),"")</f>
        <v/>
      </c>
      <c r="AK114" s="34">
        <f>IF(AND(AK$5&gt;$E114,AK$5&lt;=$F114),IF(AK$5=$E114+1,$C114,""),"")</f>
        <v/>
      </c>
      <c r="AL114" s="34">
        <f>IF(AND(AL$5&gt;$E114,AL$5&lt;=$F114),IF(AL$5=$E114+1,$C114,""),"")</f>
        <v/>
      </c>
      <c r="AM114" s="34">
        <f>IF(AND(AM$5&gt;$E114,AM$5&lt;=$F114),IF(AM$5=$E114+1,$C114,""),"")</f>
        <v/>
      </c>
      <c r="AN114" s="34">
        <f>IF(AND(AN$5&gt;$E114,AN$5&lt;=$F114),IF(AN$5=$E114+1,$C114,""),"")</f>
        <v/>
      </c>
      <c r="AO114" s="34">
        <f>IF(AND(AO$5&gt;$E114,AO$5&lt;=$F114),IF(AO$5=$E114+1,$C114,""),"")</f>
        <v/>
      </c>
      <c r="AP114" s="34">
        <f>IF(AND(AP$5&gt;$E114,AP$5&lt;=$F114),IF(AP$5=$E114+1,$C114,""),"")</f>
        <v/>
      </c>
      <c r="AQ114" s="34">
        <f>IF(AND(AQ$5&gt;$E114,AQ$5&lt;=$F114),IF(AQ$5=$E114+1,$C114,""),"")</f>
        <v/>
      </c>
      <c r="AR114" s="34">
        <f>IF(AND(AR$5&gt;$E114,AR$5&lt;=$F114),IF(AR$5=$E114+1,$C114,""),"")</f>
        <v/>
      </c>
      <c r="AS114" s="34">
        <f>IF(AND(AS$5&gt;$E114,AS$5&lt;=$F114),IF(AS$5=$E114+1,$C114,""),"")</f>
        <v/>
      </c>
      <c r="AT114" s="34">
        <f>IF(AND(AT$5&gt;$E114,AT$5&lt;=$F114),IF(AT$5=$E114+1,$C114,""),"")</f>
        <v/>
      </c>
      <c r="AU114" s="34">
        <f>IF(AND(AU$5&gt;$E114,AU$5&lt;=$F114),IF(AU$5=$E114+1,$C114,""),"")</f>
        <v/>
      </c>
      <c r="AV114" s="34">
        <f>IF(AND(AV$5&gt;$E114,AV$5&lt;=$F114),IF(AV$5=$E114+1,$C114,""),"")</f>
        <v/>
      </c>
      <c r="AW114" s="34">
        <f>IF(AND(AW$5&gt;$E114,AW$5&lt;=$F114),IF(AW$5=$E114+1,$C114,""),"")</f>
        <v/>
      </c>
      <c r="AX114" s="34">
        <f>IF(AND(AX$5&gt;$E114,AX$5&lt;=$F114),IF(AX$5=$E114+1,$C114,""),"")</f>
        <v/>
      </c>
      <c r="AY114" s="34">
        <f>IF(AND(AY$5&gt;$E114,AY$5&lt;=$F114),IF(AY$5=$E114+1,$C114,""),"")</f>
        <v/>
      </c>
      <c r="AZ114" s="34">
        <f>IF(AND(AZ$5&gt;$E114,AZ$5&lt;=$F114),IF(AZ$5=$E114+1,$C114,""),"")</f>
        <v/>
      </c>
      <c r="BA114" s="34">
        <f>IF(AND(BA$5&gt;$E114,BA$5&lt;=$F114),IF(BA$5=$E114+1,$C114,""),"")</f>
        <v/>
      </c>
      <c r="BB114" s="34">
        <f>IF(AND(BB$5&gt;$E114,BB$5&lt;=$F114),IF(BB$5=$E114+1,$C114,""),"")</f>
        <v/>
      </c>
      <c r="BC114" s="34">
        <f>IF(AND(BC$5&gt;$E114,BC$5&lt;=$F114),IF(BC$5=$E114+1,$C114,""),"")</f>
        <v/>
      </c>
      <c r="BD114" s="34">
        <f>IF(AND(BD$5&gt;$E114,BD$5&lt;=$F114),IF(BD$5=$E114+1,$C114,""),"")</f>
        <v/>
      </c>
      <c r="BE114" s="34">
        <f>IF(AND(BE$5&gt;$E114,BE$5&lt;=$F114),IF(BE$5=$E114+1,$C114,""),"")</f>
        <v/>
      </c>
      <c r="BF114" s="34">
        <f>IF(AND(BF$5&gt;$E114,BF$5&lt;=$F114),IF(BF$5=$E114+1,$C114,""),"")</f>
        <v/>
      </c>
      <c r="BG114" s="34">
        <f>IF(AND(BG$5&gt;$E114,BG$5&lt;=$F114),IF(BG$5=$E114+1,$C114,""),"")</f>
        <v/>
      </c>
      <c r="BH114" s="34">
        <f>IF(AND(BH$5&gt;$E114,BH$5&lt;=$F114),IF(BH$5=$E114+1,$C114,""),"")</f>
        <v/>
      </c>
      <c r="BI114" s="34">
        <f>IF(AND(BI$5&gt;$E114,BI$5&lt;=$F114),IF(BI$5=$E114+1,$C114,""),"")</f>
        <v/>
      </c>
      <c r="BJ114" s="34">
        <f>IF(AND(BJ$5&gt;$E114,BJ$5&lt;=$F114),IF(BJ$5=$E114+1,$C114,""),"")</f>
        <v/>
      </c>
      <c r="BK114" s="34">
        <f>IF(AND(BK$5&gt;$E114,BK$5&lt;=$F114),IF(BK$5=$E114+1,$C114,""),"")</f>
        <v/>
      </c>
      <c r="BL114" s="34">
        <f>IF(AND(BL$5&gt;$E114,BL$5&lt;=$F114),IF(BL$5=$E114+1,$C114,""),"")</f>
        <v/>
      </c>
      <c r="BM114" s="34">
        <f>IF(AND(BM$5&gt;$E114,BM$5&lt;=$F114),IF(BM$5=$E114+1,$C114,""),"")</f>
        <v/>
      </c>
      <c r="BN114" s="34">
        <f>IF(AND(BN$5&gt;$E114,BN$5&lt;=$F114),IF(BN$5=$E114+1,$C114,""),"")</f>
        <v/>
      </c>
      <c r="BO114" s="34">
        <f>IF(AND(BO$5&gt;$E114,BO$5&lt;=$F114),IF(BO$5=$E114+1,$C114,""),"")</f>
        <v/>
      </c>
      <c r="BP114" s="34">
        <f>IF(AND(BP$5&gt;$E114,BP$5&lt;=$F114),IF(BP$5=$E114+1,$C114,""),"")</f>
        <v/>
      </c>
      <c r="BQ114" s="34">
        <f>IF(AND(BQ$5&gt;$E114,BQ$5&lt;=$F114),IF(BQ$5=$E114+1,$C114,""),"")</f>
        <v/>
      </c>
      <c r="BR114" s="34">
        <f>IF(AND(BR$5&gt;$E114,BR$5&lt;=$F114),IF(BR$5=$E114+1,$C114,""),"")</f>
        <v/>
      </c>
      <c r="BS114" s="34">
        <f>IF(AND(BS$5&gt;$E114,BS$5&lt;=$F114),IF(BS$5=$E114+1,$C114,""),"")</f>
        <v/>
      </c>
      <c r="BT114" s="34">
        <f>IF(AND(BT$5&gt;$E114,BT$5&lt;=$F114),IF(BT$5=$E114+1,$C114,""),"")</f>
        <v/>
      </c>
      <c r="BU114" s="34">
        <f>IF(AND(BU$5&gt;$E114,BU$5&lt;=$F114),IF(BU$5=$E114+1,$C114,""),"")</f>
        <v/>
      </c>
      <c r="BV114" s="34">
        <f>IF(AND(BV$5&gt;$E114,BV$5&lt;=$F114),IF(BV$5=$E114+1,$C114,""),"")</f>
        <v/>
      </c>
      <c r="BW114" s="34">
        <f>IF(AND(BW$5&gt;$E114,BW$5&lt;=$F114),IF(BW$5=$E114+1,$C114,""),"")</f>
        <v/>
      </c>
      <c r="BX114" s="34">
        <f>IF(AND(BX$5&gt;$E114,BX$5&lt;=$F114),IF(BX$5=$E114+1,$C114,""),"")</f>
        <v/>
      </c>
      <c r="BY114" s="34">
        <f>IF(AND(BY$5&gt;$E114,BY$5&lt;=$F114),IF(BY$5=$E114+1,$C114,""),"")</f>
        <v/>
      </c>
      <c r="BZ114" s="34">
        <f>IF(AND(BZ$5&gt;$E114,BZ$5&lt;=$F114),IF(BZ$5=$E114+1,$C114,""),"")</f>
        <v/>
      </c>
      <c r="CA114" s="34">
        <f>IF(AND(CA$5&gt;$E114,CA$5&lt;=$F114),IF(CA$5=$E114+1,$C114,""),"")</f>
        <v/>
      </c>
      <c r="CB114" s="34">
        <f>IF(AND(CB$5&gt;$E114,CB$5&lt;=$F114),IF(CB$5=$E114+1,$C114,""),"")</f>
        <v/>
      </c>
      <c r="CC114" s="34">
        <f>IF(AND(CC$5&gt;$E114,CC$5&lt;=$F114),IF(CC$5=$E114+1,$C114,""),"")</f>
        <v/>
      </c>
      <c r="CD114" s="34">
        <f>IF(AND(CD$5&gt;$E114,CD$5&lt;=$F114),IF(CD$5=$E114+1,$C114,""),"")</f>
        <v/>
      </c>
      <c r="CE114" s="34">
        <f>IF(AND(CE$5&gt;$E114,CE$5&lt;=$F114),IF(CE$5=$E114+1,$C114,""),"")</f>
        <v/>
      </c>
      <c r="CF114" s="34">
        <f>IF(AND(CF$5&gt;$E114,CF$5&lt;=$F114),IF(CF$5=$E114+1,$C114,""),"")</f>
        <v/>
      </c>
      <c r="CG114" s="34">
        <f>IF(AND(CG$5&gt;$E114,CG$5&lt;=$F114),IF(CG$5=$E114+1,$C114,""),"")</f>
        <v/>
      </c>
      <c r="CH114" s="34">
        <f>IF(AND(CH$5&gt;$E114,CH$5&lt;=$F114),IF(CH$5=$E114+1,$C114,""),"")</f>
        <v/>
      </c>
      <c r="CI114" s="34">
        <f>IF(AND(CI$5&gt;$E114,CI$5&lt;=$F114),IF(CI$5=$E114+1,$C114,""),"")</f>
        <v/>
      </c>
      <c r="CJ114" s="34">
        <f>IF(AND(CJ$5&gt;$E114,CJ$5&lt;=$F114),IF(CJ$5=$E114+1,$C114,""),"")</f>
        <v/>
      </c>
      <c r="CK114" s="34">
        <f>IF(AND(CK$5&gt;$E114,CK$5&lt;=$F114),IF(CK$5=$E114+1,$C114,""),"")</f>
        <v/>
      </c>
      <c r="CL114" s="34">
        <f>IF(AND(CL$5&gt;$E114,CL$5&lt;=$F114),IF(CL$5=$E114+1,$C114,""),"")</f>
        <v/>
      </c>
      <c r="CM114" s="34">
        <f>IF(AND(CM$5&gt;$E114,CM$5&lt;=$F114),IF(CM$5=$E114+1,$C114,""),"")</f>
        <v/>
      </c>
      <c r="CN114" s="34">
        <f>IF(AND(CN$5&gt;$E114,CN$5&lt;=$F114),IF(CN$5=$E114+1,$C114,""),"")</f>
        <v/>
      </c>
      <c r="CO114" s="34">
        <f>IF(AND(CO$5&gt;$E114,CO$5&lt;=$F114),IF(CO$5=$E114+1,$C114,""),"")</f>
        <v/>
      </c>
      <c r="CP114" s="34">
        <f>IF(AND(CP$5&gt;$E114,CP$5&lt;=$F114),IF(CP$5=$E114+1,$C114,""),"")</f>
        <v/>
      </c>
      <c r="CQ114" s="34">
        <f>IF(AND(CQ$5&gt;$E114,CQ$5&lt;=$F114),IF(CQ$5=$E114+1,$C114,""),"")</f>
        <v/>
      </c>
      <c r="CR114" s="34">
        <f>IF(AND(CR$5&gt;$E114,CR$5&lt;=$F114),IF(CR$5=$E114+1,$C114,""),"")</f>
        <v/>
      </c>
      <c r="CS114" s="34">
        <f>IF(AND(CS$5&gt;$E114,CS$5&lt;=$F114),IF(CS$5=$E114+1,$C114,""),"")</f>
        <v/>
      </c>
      <c r="CT114" s="34">
        <f>IF(AND(CT$5&gt;$E114,CT$5&lt;=$F114),IF(CT$5=$E114+1,$C114,""),"")</f>
        <v/>
      </c>
      <c r="CU114" s="34">
        <f>IF(AND(CU$5&gt;$E114,CU$5&lt;=$F114),IF(CU$5=$E114+1,$C114,""),"")</f>
        <v/>
      </c>
      <c r="CV114" s="34">
        <f>IF(AND(CV$5&gt;$E114,CV$5&lt;=$F114),IF(CV$5=$E114+1,$C114,""),"")</f>
        <v/>
      </c>
      <c r="CW114" s="34">
        <f>IF(AND(CW$5&gt;$E114,CW$5&lt;=$F114),IF(CW$5=$E114+1,$C114,""),"")</f>
        <v/>
      </c>
      <c r="CX114" s="34">
        <f>IF(AND(CX$5&gt;$E114,CX$5&lt;=$F114),IF(CX$5=$E114+1,$C114,""),"")</f>
        <v/>
      </c>
      <c r="CY114" s="34">
        <f>IF(AND(CY$5&gt;$E114,CY$5&lt;=$F114),IF(CY$5=$E114+1,$C114,""),"")</f>
        <v/>
      </c>
      <c r="CZ114" s="34">
        <f>IF(AND(CZ$5&gt;$E114,CZ$5&lt;=$F114),IF(CZ$5=$E114+1,$C114,""),"")</f>
        <v/>
      </c>
      <c r="DA114" s="34">
        <f>IF(AND(DA$5&gt;$E114,DA$5&lt;=$F114),IF(DA$5=$E114+1,$C114,""),"")</f>
        <v/>
      </c>
      <c r="DB114" s="34">
        <f>IF(AND(DB$5&gt;$E114,DB$5&lt;=$F114),IF(DB$5=$E114+1,$C114,""),"")</f>
        <v/>
      </c>
      <c r="DC114" s="34">
        <f>IF(AND(DC$5&gt;$E114,DC$5&lt;=$F114),IF(DC$5=$E114+1,$C114,""),"")</f>
        <v/>
      </c>
      <c r="DD114" s="34">
        <f>IF(AND(DD$5&gt;$E114,DD$5&lt;=$F114),IF(DD$5=$E114+1,$C114,""),"")</f>
        <v/>
      </c>
      <c r="DE114" s="34">
        <f>IF(AND(DE$5&gt;$E114,DE$5&lt;=$F114),IF(DE$5=$E114+1,$C114,""),"")</f>
        <v/>
      </c>
      <c r="DF114" s="34">
        <f>IF(AND(DF$5&gt;$E114,DF$5&lt;=$F114),IF(DF$5=$E114+1,$C114,""),"")</f>
        <v/>
      </c>
      <c r="DG114" s="34">
        <f>IF(AND(DG$5&gt;$E114,DG$5&lt;=$F114),IF(DG$5=$E114+1,$C114,""),"")</f>
        <v/>
      </c>
      <c r="DH114" s="34">
        <f>IF(AND(DH$5&gt;$E114,DH$5&lt;=$F114),IF(DH$5=$E114+1,$C114,""),"")</f>
        <v/>
      </c>
      <c r="DI114" s="34">
        <f>IF(AND(DI$5&gt;$E114,DI$5&lt;=$F114),IF(DI$5=$E114+1,$C114,""),"")</f>
        <v/>
      </c>
      <c r="DJ114" s="34">
        <f>IF(AND(DJ$5&gt;$E114,DJ$5&lt;=$F114),IF(DJ$5=$E114+1,$C114,""),"")</f>
        <v/>
      </c>
      <c r="DK114" s="34">
        <f>IF(AND(DK$5&gt;$E114,DK$5&lt;=$F114),IF(DK$5=$E114+1,$C114,""),"")</f>
        <v/>
      </c>
      <c r="DL114" s="34">
        <f>IF(AND(DL$5&gt;$E114,DL$5&lt;=$F114),IF(DL$5=$E114+1,$C114,""),"")</f>
        <v/>
      </c>
      <c r="DM114" s="34">
        <f>IF(AND(DM$5&gt;$E114,DM$5&lt;=$F114),IF(DM$5=$E114+1,$C114,""),"")</f>
        <v/>
      </c>
      <c r="DN114" s="34">
        <f>IF(AND(DN$5&gt;$E114,DN$5&lt;=$F114),IF(DN$5=$E114+1,$C114,""),"")</f>
        <v/>
      </c>
      <c r="DO114" s="34">
        <f>IF(AND(DO$5&gt;$E114,DO$5&lt;=$F114),IF(DO$5=$E114+1,$C114,""),"")</f>
        <v/>
      </c>
      <c r="DP114" s="34">
        <f>IF(AND(DP$5&gt;$E114,DP$5&lt;=$F114),IF(DP$5=$E114+1,$C114,""),"")</f>
        <v/>
      </c>
      <c r="DQ114" s="34">
        <f>IF(AND(DQ$5&gt;$E114,DQ$5&lt;=$F114),IF(DQ$5=$E114+1,$C114,""),"")</f>
        <v/>
      </c>
      <c r="DR114" s="34">
        <f>IF(AND(DR$5&gt;$E114,DR$5&lt;=$F114),IF(DR$5=$E114+1,$C114,""),"")</f>
        <v/>
      </c>
      <c r="DS114" s="34">
        <f>IF(AND(DS$5&gt;$E114,DS$5&lt;=$F114),IF(DS$5=$E114+1,$C114,""),"")</f>
        <v/>
      </c>
      <c r="DT114" s="34">
        <f>IF(AND(DT$5&gt;$E114,DT$5&lt;=$F114),IF(DT$5=$E114+1,$C114,""),"")</f>
        <v/>
      </c>
      <c r="DU114" s="34">
        <f>IF(AND(DU$5&gt;$E114,DU$5&lt;=$F114),IF(DU$5=$E114+1,$C114,""),"")</f>
        <v/>
      </c>
      <c r="DV114" s="34">
        <f>IF(AND(DV$5&gt;$E114,DV$5&lt;=$F114),IF(DV$5=$E114+1,$C114,""),"")</f>
        <v/>
      </c>
      <c r="DW114" s="34">
        <f>IF(AND(DW$5&gt;$E114,DW$5&lt;=$F114),IF(DW$5=$E114+1,$C114,""),"")</f>
        <v/>
      </c>
      <c r="DX114" s="34">
        <f>IF(AND(DX$5&gt;$E114,DX$5&lt;=$F114),IF(DX$5=$E114+1,$C114,""),"")</f>
        <v/>
      </c>
      <c r="DY114" s="34">
        <f>IF(AND(DY$5&gt;$E114,DY$5&lt;=$F114),IF(DY$5=$E114+1,$C114,""),"")</f>
        <v/>
      </c>
      <c r="DZ114" s="34">
        <f>IF(AND(DZ$5&gt;$E114,DZ$5&lt;=$F114),IF(DZ$5=$E114+1,$C114,""),"")</f>
        <v/>
      </c>
      <c r="EA114" s="34">
        <f>IF(AND(EA$5&gt;$E114,EA$5&lt;=$F114),IF(EA$5=$E114+1,$C114,""),"")</f>
        <v/>
      </c>
      <c r="EB114" s="34">
        <f>IF(AND(EB$5&gt;$E114,EB$5&lt;=$F114),IF(EB$5=$E114+1,$C114,""),"")</f>
        <v/>
      </c>
      <c r="EC114" s="34">
        <f>IF(AND(EC$5&gt;$E114,EC$5&lt;=$F114),IF(EC$5=$E114+1,$C114,""),"")</f>
        <v/>
      </c>
      <c r="ED114" s="34">
        <f>IF(AND(ED$5&gt;$E114,ED$5&lt;=$F114),IF(ED$5=$E114+1,$C114,""),"")</f>
        <v/>
      </c>
      <c r="EE114" s="34">
        <f>IF(AND(EE$5&gt;$E114,EE$5&lt;=$F114),IF(EE$5=$E114+1,$C114,""),"")</f>
        <v/>
      </c>
      <c r="EF114" s="34">
        <f>IF(AND(EF$5&gt;$E114,EF$5&lt;=$F114),IF(EF$5=$E114+1,$C114,""),"")</f>
        <v/>
      </c>
      <c r="EG114" s="34">
        <f>IF(AND(EG$5&gt;$E114,EG$5&lt;=$F114),IF(EG$5=$E114+1,$C114,""),"")</f>
        <v/>
      </c>
      <c r="EH114" s="34">
        <f>IF(AND(EH$5&gt;$E114,EH$5&lt;=$F114),IF(EH$5=$E114+1,$C114,""),"")</f>
        <v/>
      </c>
      <c r="EI114" s="34">
        <f>IF(AND(EI$5&gt;$E114,EI$5&lt;=$F114),IF(EI$5=$E114+1,$C114,""),"")</f>
        <v/>
      </c>
      <c r="EJ114" s="34">
        <f>IF(AND(EJ$5&gt;$E114,EJ$5&lt;=$F114),IF(EJ$5=$E114+1,$C114,""),"")</f>
        <v/>
      </c>
      <c r="EK114" s="34">
        <f>IF(AND(EK$5&gt;$E114,EK$5&lt;=$F114),IF(EK$5=$E114+1,$C114,""),"")</f>
        <v/>
      </c>
      <c r="EL114" s="34">
        <f>IF(AND(EL$5&gt;$E114,EL$5&lt;=$F114),IF(EL$5=$E114+1,$C114,""),"")</f>
        <v/>
      </c>
      <c r="EM114" s="34">
        <f>IF(AND(EM$5&gt;$E114,EM$5&lt;=$F114),IF(EM$5=$E114+1,$C114,""),"")</f>
        <v/>
      </c>
      <c r="EN114" s="34">
        <f>IF(AND(EN$5&gt;$E114,EN$5&lt;=$F114),IF(EN$5=$E114+1,$C114,""),"")</f>
        <v/>
      </c>
      <c r="EO114" s="34">
        <f>IF(AND(EO$5&gt;$E114,EO$5&lt;=$F114),IF(EO$5=$E114+1,$C114,""),"")</f>
        <v/>
      </c>
      <c r="EP114" s="34">
        <f>IF(AND(EP$5&gt;$E114,EP$5&lt;=$F114),IF(EP$5=$E114+1,$C114,""),"")</f>
        <v/>
      </c>
      <c r="EQ114" s="34">
        <f>IF(AND(EQ$5&gt;$E114,EQ$5&lt;=$F114),IF(EQ$5=$E114+1,$C114,""),"")</f>
        <v/>
      </c>
      <c r="ER114" s="34">
        <f>IF(AND(ER$5&gt;$E114,ER$5&lt;=$F114),IF(ER$5=$E114+1,$C114,""),"")</f>
        <v/>
      </c>
      <c r="ES114" s="34">
        <f>IF(AND(ES$5&gt;$E114,ES$5&lt;=$F114),IF(ES$5=$E114+1,$C114,""),"")</f>
        <v/>
      </c>
      <c r="ET114" s="34">
        <f>IF(AND(ET$5&gt;$E114,ET$5&lt;=$F114),IF(ET$5=$E114+1,$C114,""),"")</f>
        <v/>
      </c>
      <c r="EU114" s="34">
        <f>IF(AND(EU$5&gt;$E114,EU$5&lt;=$F114),IF(EU$5=$E114+1,$C114,""),"")</f>
        <v/>
      </c>
      <c r="EV114" s="34">
        <f>IF(AND(EV$5&gt;$E114,EV$5&lt;=$F114),IF(EV$5=$E114+1,$C114,""),"")</f>
        <v/>
      </c>
      <c r="EW114" s="34">
        <f>IF(AND(EW$5&gt;$E114,EW$5&lt;=$F114),IF(EW$5=$E114+1,$C114,""),"")</f>
        <v/>
      </c>
      <c r="EX114" s="34">
        <f>IF(AND(EX$5&gt;$E114,EX$5&lt;=$F114),IF(EX$5=$E114+1,$C114,""),"")</f>
        <v/>
      </c>
      <c r="EY114" s="34">
        <f>IF(AND(EY$5&gt;$E114,EY$5&lt;=$F114),IF(EY$5=$E114+1,$C114,""),"")</f>
        <v/>
      </c>
      <c r="EZ114" s="34">
        <f>IF(AND(EZ$5&gt;$E114,EZ$5&lt;=$F114),IF(EZ$5=$E114+1,$C114,""),"")</f>
        <v/>
      </c>
      <c r="FA114" s="34">
        <f>IF(AND(FA$5&gt;$E114,FA$5&lt;=$F114),IF(FA$5=$E114+1,$C114,""),"")</f>
        <v/>
      </c>
    </row>
    <row r="115">
      <c r="A115" s="32">
        <f>Plan!A79</f>
        <v/>
      </c>
      <c r="B115" s="33">
        <f>Plan!C79</f>
        <v/>
      </c>
      <c r="C115" s="16">
        <f>Plan!D79</f>
        <v/>
      </c>
      <c r="D115" s="16">
        <f>Plan!I79</f>
        <v/>
      </c>
      <c r="E115" s="16">
        <f>Plan!K79</f>
        <v/>
      </c>
      <c r="F115" s="16">
        <f>Plan!L79</f>
        <v/>
      </c>
      <c r="G115" s="16">
        <f>Plan!O79</f>
        <v/>
      </c>
      <c r="H115" s="34">
        <f>IF(AND(H$5&gt;$E115,H$5&lt;=$F115),IF(H$5=$E115+1,$C115,""),"")</f>
        <v/>
      </c>
      <c r="I115" s="34">
        <f>IF(AND(I$5&gt;$E115,I$5&lt;=$F115),IF(I$5=$E115+1,$C115,""),"")</f>
        <v/>
      </c>
      <c r="J115" s="34">
        <f>IF(AND(J$5&gt;$E115,J$5&lt;=$F115),IF(J$5=$E115+1,$C115,""),"")</f>
        <v/>
      </c>
      <c r="K115" s="34">
        <f>IF(AND(K$5&gt;$E115,K$5&lt;=$F115),IF(K$5=$E115+1,$C115,""),"")</f>
        <v/>
      </c>
      <c r="L115" s="34">
        <f>IF(AND(L$5&gt;$E115,L$5&lt;=$F115),IF(L$5=$E115+1,$C115,""),"")</f>
        <v/>
      </c>
      <c r="M115" s="34">
        <f>IF(AND(M$5&gt;$E115,M$5&lt;=$F115),IF(M$5=$E115+1,$C115,""),"")</f>
        <v/>
      </c>
      <c r="N115" s="34">
        <f>IF(AND(N$5&gt;$E115,N$5&lt;=$F115),IF(N$5=$E115+1,$C115,""),"")</f>
        <v/>
      </c>
      <c r="O115" s="34">
        <f>IF(AND(O$5&gt;$E115,O$5&lt;=$F115),IF(O$5=$E115+1,$C115,""),"")</f>
        <v/>
      </c>
      <c r="P115" s="34">
        <f>IF(AND(P$5&gt;$E115,P$5&lt;=$F115),IF(P$5=$E115+1,$C115,""),"")</f>
        <v/>
      </c>
      <c r="Q115" s="34">
        <f>IF(AND(Q$5&gt;$E115,Q$5&lt;=$F115),IF(Q$5=$E115+1,$C115,""),"")</f>
        <v/>
      </c>
      <c r="R115" s="34">
        <f>IF(AND(R$5&gt;$E115,R$5&lt;=$F115),IF(R$5=$E115+1,$C115,""),"")</f>
        <v/>
      </c>
      <c r="S115" s="34">
        <f>IF(AND(S$5&gt;$E115,S$5&lt;=$F115),IF(S$5=$E115+1,$C115,""),"")</f>
        <v/>
      </c>
      <c r="T115" s="34">
        <f>IF(AND(T$5&gt;$E115,T$5&lt;=$F115),IF(T$5=$E115+1,$C115,""),"")</f>
        <v/>
      </c>
      <c r="U115" s="34">
        <f>IF(AND(U$5&gt;$E115,U$5&lt;=$F115),IF(U$5=$E115+1,$C115,""),"")</f>
        <v/>
      </c>
      <c r="V115" s="34">
        <f>IF(AND(V$5&gt;$E115,V$5&lt;=$F115),IF(V$5=$E115+1,$C115,""),"")</f>
        <v/>
      </c>
      <c r="W115" s="34">
        <f>IF(AND(W$5&gt;$E115,W$5&lt;=$F115),IF(W$5=$E115+1,$C115,""),"")</f>
        <v/>
      </c>
      <c r="X115" s="34">
        <f>IF(AND(X$5&gt;$E115,X$5&lt;=$F115),IF(X$5=$E115+1,$C115,""),"")</f>
        <v/>
      </c>
      <c r="Y115" s="34">
        <f>IF(AND(Y$5&gt;$E115,Y$5&lt;=$F115),IF(Y$5=$E115+1,$C115,""),"")</f>
        <v/>
      </c>
      <c r="Z115" s="34">
        <f>IF(AND(Z$5&gt;$E115,Z$5&lt;=$F115),IF(Z$5=$E115+1,$C115,""),"")</f>
        <v/>
      </c>
      <c r="AA115" s="34">
        <f>IF(AND(AA$5&gt;$E115,AA$5&lt;=$F115),IF(AA$5=$E115+1,$C115,""),"")</f>
        <v/>
      </c>
      <c r="AB115" s="34">
        <f>IF(AND(AB$5&gt;$E115,AB$5&lt;=$F115),IF(AB$5=$E115+1,$C115,""),"")</f>
        <v/>
      </c>
      <c r="AC115" s="34">
        <f>IF(AND(AC$5&gt;$E115,AC$5&lt;=$F115),IF(AC$5=$E115+1,$C115,""),"")</f>
        <v/>
      </c>
      <c r="AD115" s="34">
        <f>IF(AND(AD$5&gt;$E115,AD$5&lt;=$F115),IF(AD$5=$E115+1,$C115,""),"")</f>
        <v/>
      </c>
      <c r="AE115" s="34">
        <f>IF(AND(AE$5&gt;$E115,AE$5&lt;=$F115),IF(AE$5=$E115+1,$C115,""),"")</f>
        <v/>
      </c>
      <c r="AF115" s="34">
        <f>IF(AND(AF$5&gt;$E115,AF$5&lt;=$F115),IF(AF$5=$E115+1,$C115,""),"")</f>
        <v/>
      </c>
      <c r="AG115" s="34">
        <f>IF(AND(AG$5&gt;$E115,AG$5&lt;=$F115),IF(AG$5=$E115+1,$C115,""),"")</f>
        <v/>
      </c>
      <c r="AH115" s="34">
        <f>IF(AND(AH$5&gt;$E115,AH$5&lt;=$F115),IF(AH$5=$E115+1,$C115,""),"")</f>
        <v/>
      </c>
      <c r="AI115" s="34">
        <f>IF(AND(AI$5&gt;$E115,AI$5&lt;=$F115),IF(AI$5=$E115+1,$C115,""),"")</f>
        <v/>
      </c>
      <c r="AJ115" s="34">
        <f>IF(AND(AJ$5&gt;$E115,AJ$5&lt;=$F115),IF(AJ$5=$E115+1,$C115,""),"")</f>
        <v/>
      </c>
      <c r="AK115" s="34">
        <f>IF(AND(AK$5&gt;$E115,AK$5&lt;=$F115),IF(AK$5=$E115+1,$C115,""),"")</f>
        <v/>
      </c>
      <c r="AL115" s="34">
        <f>IF(AND(AL$5&gt;$E115,AL$5&lt;=$F115),IF(AL$5=$E115+1,$C115,""),"")</f>
        <v/>
      </c>
      <c r="AM115" s="34">
        <f>IF(AND(AM$5&gt;$E115,AM$5&lt;=$F115),IF(AM$5=$E115+1,$C115,""),"")</f>
        <v/>
      </c>
      <c r="AN115" s="34">
        <f>IF(AND(AN$5&gt;$E115,AN$5&lt;=$F115),IF(AN$5=$E115+1,$C115,""),"")</f>
        <v/>
      </c>
      <c r="AO115" s="34">
        <f>IF(AND(AO$5&gt;$E115,AO$5&lt;=$F115),IF(AO$5=$E115+1,$C115,""),"")</f>
        <v/>
      </c>
      <c r="AP115" s="34">
        <f>IF(AND(AP$5&gt;$E115,AP$5&lt;=$F115),IF(AP$5=$E115+1,$C115,""),"")</f>
        <v/>
      </c>
      <c r="AQ115" s="34">
        <f>IF(AND(AQ$5&gt;$E115,AQ$5&lt;=$F115),IF(AQ$5=$E115+1,$C115,""),"")</f>
        <v/>
      </c>
      <c r="AR115" s="34">
        <f>IF(AND(AR$5&gt;$E115,AR$5&lt;=$F115),IF(AR$5=$E115+1,$C115,""),"")</f>
        <v/>
      </c>
      <c r="AS115" s="34">
        <f>IF(AND(AS$5&gt;$E115,AS$5&lt;=$F115),IF(AS$5=$E115+1,$C115,""),"")</f>
        <v/>
      </c>
      <c r="AT115" s="34">
        <f>IF(AND(AT$5&gt;$E115,AT$5&lt;=$F115),IF(AT$5=$E115+1,$C115,""),"")</f>
        <v/>
      </c>
      <c r="AU115" s="34">
        <f>IF(AND(AU$5&gt;$E115,AU$5&lt;=$F115),IF(AU$5=$E115+1,$C115,""),"")</f>
        <v/>
      </c>
      <c r="AV115" s="34">
        <f>IF(AND(AV$5&gt;$E115,AV$5&lt;=$F115),IF(AV$5=$E115+1,$C115,""),"")</f>
        <v/>
      </c>
      <c r="AW115" s="34">
        <f>IF(AND(AW$5&gt;$E115,AW$5&lt;=$F115),IF(AW$5=$E115+1,$C115,""),"")</f>
        <v/>
      </c>
      <c r="AX115" s="34">
        <f>IF(AND(AX$5&gt;$E115,AX$5&lt;=$F115),IF(AX$5=$E115+1,$C115,""),"")</f>
        <v/>
      </c>
      <c r="AY115" s="34">
        <f>IF(AND(AY$5&gt;$E115,AY$5&lt;=$F115),IF(AY$5=$E115+1,$C115,""),"")</f>
        <v/>
      </c>
      <c r="AZ115" s="34">
        <f>IF(AND(AZ$5&gt;$E115,AZ$5&lt;=$F115),IF(AZ$5=$E115+1,$C115,""),"")</f>
        <v/>
      </c>
      <c r="BA115" s="34">
        <f>IF(AND(BA$5&gt;$E115,BA$5&lt;=$F115),IF(BA$5=$E115+1,$C115,""),"")</f>
        <v/>
      </c>
      <c r="BB115" s="34">
        <f>IF(AND(BB$5&gt;$E115,BB$5&lt;=$F115),IF(BB$5=$E115+1,$C115,""),"")</f>
        <v/>
      </c>
      <c r="BC115" s="34">
        <f>IF(AND(BC$5&gt;$E115,BC$5&lt;=$F115),IF(BC$5=$E115+1,$C115,""),"")</f>
        <v/>
      </c>
      <c r="BD115" s="34">
        <f>IF(AND(BD$5&gt;$E115,BD$5&lt;=$F115),IF(BD$5=$E115+1,$C115,""),"")</f>
        <v/>
      </c>
      <c r="BE115" s="34">
        <f>IF(AND(BE$5&gt;$E115,BE$5&lt;=$F115),IF(BE$5=$E115+1,$C115,""),"")</f>
        <v/>
      </c>
      <c r="BF115" s="34">
        <f>IF(AND(BF$5&gt;$E115,BF$5&lt;=$F115),IF(BF$5=$E115+1,$C115,""),"")</f>
        <v/>
      </c>
      <c r="BG115" s="34">
        <f>IF(AND(BG$5&gt;$E115,BG$5&lt;=$F115),IF(BG$5=$E115+1,$C115,""),"")</f>
        <v/>
      </c>
      <c r="BH115" s="34">
        <f>IF(AND(BH$5&gt;$E115,BH$5&lt;=$F115),IF(BH$5=$E115+1,$C115,""),"")</f>
        <v/>
      </c>
      <c r="BI115" s="34">
        <f>IF(AND(BI$5&gt;$E115,BI$5&lt;=$F115),IF(BI$5=$E115+1,$C115,""),"")</f>
        <v/>
      </c>
      <c r="BJ115" s="34">
        <f>IF(AND(BJ$5&gt;$E115,BJ$5&lt;=$F115),IF(BJ$5=$E115+1,$C115,""),"")</f>
        <v/>
      </c>
      <c r="BK115" s="34">
        <f>IF(AND(BK$5&gt;$E115,BK$5&lt;=$F115),IF(BK$5=$E115+1,$C115,""),"")</f>
        <v/>
      </c>
      <c r="BL115" s="34">
        <f>IF(AND(BL$5&gt;$E115,BL$5&lt;=$F115),IF(BL$5=$E115+1,$C115,""),"")</f>
        <v/>
      </c>
      <c r="BM115" s="34">
        <f>IF(AND(BM$5&gt;$E115,BM$5&lt;=$F115),IF(BM$5=$E115+1,$C115,""),"")</f>
        <v/>
      </c>
      <c r="BN115" s="34">
        <f>IF(AND(BN$5&gt;$E115,BN$5&lt;=$F115),IF(BN$5=$E115+1,$C115,""),"")</f>
        <v/>
      </c>
      <c r="BO115" s="34">
        <f>IF(AND(BO$5&gt;$E115,BO$5&lt;=$F115),IF(BO$5=$E115+1,$C115,""),"")</f>
        <v/>
      </c>
      <c r="BP115" s="34">
        <f>IF(AND(BP$5&gt;$E115,BP$5&lt;=$F115),IF(BP$5=$E115+1,$C115,""),"")</f>
        <v/>
      </c>
      <c r="BQ115" s="34">
        <f>IF(AND(BQ$5&gt;$E115,BQ$5&lt;=$F115),IF(BQ$5=$E115+1,$C115,""),"")</f>
        <v/>
      </c>
      <c r="BR115" s="34">
        <f>IF(AND(BR$5&gt;$E115,BR$5&lt;=$F115),IF(BR$5=$E115+1,$C115,""),"")</f>
        <v/>
      </c>
      <c r="BS115" s="34">
        <f>IF(AND(BS$5&gt;$E115,BS$5&lt;=$F115),IF(BS$5=$E115+1,$C115,""),"")</f>
        <v/>
      </c>
      <c r="BT115" s="34">
        <f>IF(AND(BT$5&gt;$E115,BT$5&lt;=$F115),IF(BT$5=$E115+1,$C115,""),"")</f>
        <v/>
      </c>
      <c r="BU115" s="34">
        <f>IF(AND(BU$5&gt;$E115,BU$5&lt;=$F115),IF(BU$5=$E115+1,$C115,""),"")</f>
        <v/>
      </c>
      <c r="BV115" s="34">
        <f>IF(AND(BV$5&gt;$E115,BV$5&lt;=$F115),IF(BV$5=$E115+1,$C115,""),"")</f>
        <v/>
      </c>
      <c r="BW115" s="34">
        <f>IF(AND(BW$5&gt;$E115,BW$5&lt;=$F115),IF(BW$5=$E115+1,$C115,""),"")</f>
        <v/>
      </c>
      <c r="BX115" s="34">
        <f>IF(AND(BX$5&gt;$E115,BX$5&lt;=$F115),IF(BX$5=$E115+1,$C115,""),"")</f>
        <v/>
      </c>
      <c r="BY115" s="34">
        <f>IF(AND(BY$5&gt;$E115,BY$5&lt;=$F115),IF(BY$5=$E115+1,$C115,""),"")</f>
        <v/>
      </c>
      <c r="BZ115" s="34">
        <f>IF(AND(BZ$5&gt;$E115,BZ$5&lt;=$F115),IF(BZ$5=$E115+1,$C115,""),"")</f>
        <v/>
      </c>
      <c r="CA115" s="34">
        <f>IF(AND(CA$5&gt;$E115,CA$5&lt;=$F115),IF(CA$5=$E115+1,$C115,""),"")</f>
        <v/>
      </c>
      <c r="CB115" s="34">
        <f>IF(AND(CB$5&gt;$E115,CB$5&lt;=$F115),IF(CB$5=$E115+1,$C115,""),"")</f>
        <v/>
      </c>
      <c r="CC115" s="34">
        <f>IF(AND(CC$5&gt;$E115,CC$5&lt;=$F115),IF(CC$5=$E115+1,$C115,""),"")</f>
        <v/>
      </c>
      <c r="CD115" s="34">
        <f>IF(AND(CD$5&gt;$E115,CD$5&lt;=$F115),IF(CD$5=$E115+1,$C115,""),"")</f>
        <v/>
      </c>
      <c r="CE115" s="34">
        <f>IF(AND(CE$5&gt;$E115,CE$5&lt;=$F115),IF(CE$5=$E115+1,$C115,""),"")</f>
        <v/>
      </c>
      <c r="CF115" s="34">
        <f>IF(AND(CF$5&gt;$E115,CF$5&lt;=$F115),IF(CF$5=$E115+1,$C115,""),"")</f>
        <v/>
      </c>
      <c r="CG115" s="34">
        <f>IF(AND(CG$5&gt;$E115,CG$5&lt;=$F115),IF(CG$5=$E115+1,$C115,""),"")</f>
        <v/>
      </c>
      <c r="CH115" s="34">
        <f>IF(AND(CH$5&gt;$E115,CH$5&lt;=$F115),IF(CH$5=$E115+1,$C115,""),"")</f>
        <v/>
      </c>
      <c r="CI115" s="34">
        <f>IF(AND(CI$5&gt;$E115,CI$5&lt;=$F115),IF(CI$5=$E115+1,$C115,""),"")</f>
        <v/>
      </c>
      <c r="CJ115" s="34">
        <f>IF(AND(CJ$5&gt;$E115,CJ$5&lt;=$F115),IF(CJ$5=$E115+1,$C115,""),"")</f>
        <v/>
      </c>
      <c r="CK115" s="34">
        <f>IF(AND(CK$5&gt;$E115,CK$5&lt;=$F115),IF(CK$5=$E115+1,$C115,""),"")</f>
        <v/>
      </c>
      <c r="CL115" s="34">
        <f>IF(AND(CL$5&gt;$E115,CL$5&lt;=$F115),IF(CL$5=$E115+1,$C115,""),"")</f>
        <v/>
      </c>
      <c r="CM115" s="34">
        <f>IF(AND(CM$5&gt;$E115,CM$5&lt;=$F115),IF(CM$5=$E115+1,$C115,""),"")</f>
        <v/>
      </c>
      <c r="CN115" s="34">
        <f>IF(AND(CN$5&gt;$E115,CN$5&lt;=$F115),IF(CN$5=$E115+1,$C115,""),"")</f>
        <v/>
      </c>
      <c r="CO115" s="34">
        <f>IF(AND(CO$5&gt;$E115,CO$5&lt;=$F115),IF(CO$5=$E115+1,$C115,""),"")</f>
        <v/>
      </c>
      <c r="CP115" s="34">
        <f>IF(AND(CP$5&gt;$E115,CP$5&lt;=$F115),IF(CP$5=$E115+1,$C115,""),"")</f>
        <v/>
      </c>
      <c r="CQ115" s="34">
        <f>IF(AND(CQ$5&gt;$E115,CQ$5&lt;=$F115),IF(CQ$5=$E115+1,$C115,""),"")</f>
        <v/>
      </c>
      <c r="CR115" s="34">
        <f>IF(AND(CR$5&gt;$E115,CR$5&lt;=$F115),IF(CR$5=$E115+1,$C115,""),"")</f>
        <v/>
      </c>
      <c r="CS115" s="34">
        <f>IF(AND(CS$5&gt;$E115,CS$5&lt;=$F115),IF(CS$5=$E115+1,$C115,""),"")</f>
        <v/>
      </c>
      <c r="CT115" s="34">
        <f>IF(AND(CT$5&gt;$E115,CT$5&lt;=$F115),IF(CT$5=$E115+1,$C115,""),"")</f>
        <v/>
      </c>
      <c r="CU115" s="34">
        <f>IF(AND(CU$5&gt;$E115,CU$5&lt;=$F115),IF(CU$5=$E115+1,$C115,""),"")</f>
        <v/>
      </c>
      <c r="CV115" s="34">
        <f>IF(AND(CV$5&gt;$E115,CV$5&lt;=$F115),IF(CV$5=$E115+1,$C115,""),"")</f>
        <v/>
      </c>
      <c r="CW115" s="34">
        <f>IF(AND(CW$5&gt;$E115,CW$5&lt;=$F115),IF(CW$5=$E115+1,$C115,""),"")</f>
        <v/>
      </c>
      <c r="CX115" s="34">
        <f>IF(AND(CX$5&gt;$E115,CX$5&lt;=$F115),IF(CX$5=$E115+1,$C115,""),"")</f>
        <v/>
      </c>
      <c r="CY115" s="34">
        <f>IF(AND(CY$5&gt;$E115,CY$5&lt;=$F115),IF(CY$5=$E115+1,$C115,""),"")</f>
        <v/>
      </c>
      <c r="CZ115" s="34">
        <f>IF(AND(CZ$5&gt;$E115,CZ$5&lt;=$F115),IF(CZ$5=$E115+1,$C115,""),"")</f>
        <v/>
      </c>
      <c r="DA115" s="34">
        <f>IF(AND(DA$5&gt;$E115,DA$5&lt;=$F115),IF(DA$5=$E115+1,$C115,""),"")</f>
        <v/>
      </c>
      <c r="DB115" s="34">
        <f>IF(AND(DB$5&gt;$E115,DB$5&lt;=$F115),IF(DB$5=$E115+1,$C115,""),"")</f>
        <v/>
      </c>
      <c r="DC115" s="34">
        <f>IF(AND(DC$5&gt;$E115,DC$5&lt;=$F115),IF(DC$5=$E115+1,$C115,""),"")</f>
        <v/>
      </c>
      <c r="DD115" s="34">
        <f>IF(AND(DD$5&gt;$E115,DD$5&lt;=$F115),IF(DD$5=$E115+1,$C115,""),"")</f>
        <v/>
      </c>
      <c r="DE115" s="34">
        <f>IF(AND(DE$5&gt;$E115,DE$5&lt;=$F115),IF(DE$5=$E115+1,$C115,""),"")</f>
        <v/>
      </c>
      <c r="DF115" s="34">
        <f>IF(AND(DF$5&gt;$E115,DF$5&lt;=$F115),IF(DF$5=$E115+1,$C115,""),"")</f>
        <v/>
      </c>
      <c r="DG115" s="34">
        <f>IF(AND(DG$5&gt;$E115,DG$5&lt;=$F115),IF(DG$5=$E115+1,$C115,""),"")</f>
        <v/>
      </c>
      <c r="DH115" s="34">
        <f>IF(AND(DH$5&gt;$E115,DH$5&lt;=$F115),IF(DH$5=$E115+1,$C115,""),"")</f>
        <v/>
      </c>
      <c r="DI115" s="34">
        <f>IF(AND(DI$5&gt;$E115,DI$5&lt;=$F115),IF(DI$5=$E115+1,$C115,""),"")</f>
        <v/>
      </c>
      <c r="DJ115" s="34">
        <f>IF(AND(DJ$5&gt;$E115,DJ$5&lt;=$F115),IF(DJ$5=$E115+1,$C115,""),"")</f>
        <v/>
      </c>
      <c r="DK115" s="34">
        <f>IF(AND(DK$5&gt;$E115,DK$5&lt;=$F115),IF(DK$5=$E115+1,$C115,""),"")</f>
        <v/>
      </c>
      <c r="DL115" s="34">
        <f>IF(AND(DL$5&gt;$E115,DL$5&lt;=$F115),IF(DL$5=$E115+1,$C115,""),"")</f>
        <v/>
      </c>
      <c r="DM115" s="34">
        <f>IF(AND(DM$5&gt;$E115,DM$5&lt;=$F115),IF(DM$5=$E115+1,$C115,""),"")</f>
        <v/>
      </c>
      <c r="DN115" s="34">
        <f>IF(AND(DN$5&gt;$E115,DN$5&lt;=$F115),IF(DN$5=$E115+1,$C115,""),"")</f>
        <v/>
      </c>
      <c r="DO115" s="34">
        <f>IF(AND(DO$5&gt;$E115,DO$5&lt;=$F115),IF(DO$5=$E115+1,$C115,""),"")</f>
        <v/>
      </c>
      <c r="DP115" s="34">
        <f>IF(AND(DP$5&gt;$E115,DP$5&lt;=$F115),IF(DP$5=$E115+1,$C115,""),"")</f>
        <v/>
      </c>
      <c r="DQ115" s="34">
        <f>IF(AND(DQ$5&gt;$E115,DQ$5&lt;=$F115),IF(DQ$5=$E115+1,$C115,""),"")</f>
        <v/>
      </c>
      <c r="DR115" s="34">
        <f>IF(AND(DR$5&gt;$E115,DR$5&lt;=$F115),IF(DR$5=$E115+1,$C115,""),"")</f>
        <v/>
      </c>
      <c r="DS115" s="34">
        <f>IF(AND(DS$5&gt;$E115,DS$5&lt;=$F115),IF(DS$5=$E115+1,$C115,""),"")</f>
        <v/>
      </c>
      <c r="DT115" s="34">
        <f>IF(AND(DT$5&gt;$E115,DT$5&lt;=$F115),IF(DT$5=$E115+1,$C115,""),"")</f>
        <v/>
      </c>
      <c r="DU115" s="34">
        <f>IF(AND(DU$5&gt;$E115,DU$5&lt;=$F115),IF(DU$5=$E115+1,$C115,""),"")</f>
        <v/>
      </c>
      <c r="DV115" s="34">
        <f>IF(AND(DV$5&gt;$E115,DV$5&lt;=$F115),IF(DV$5=$E115+1,$C115,""),"")</f>
        <v/>
      </c>
      <c r="DW115" s="34">
        <f>IF(AND(DW$5&gt;$E115,DW$5&lt;=$F115),IF(DW$5=$E115+1,$C115,""),"")</f>
        <v/>
      </c>
      <c r="DX115" s="34">
        <f>IF(AND(DX$5&gt;$E115,DX$5&lt;=$F115),IF(DX$5=$E115+1,$C115,""),"")</f>
        <v/>
      </c>
      <c r="DY115" s="34">
        <f>IF(AND(DY$5&gt;$E115,DY$5&lt;=$F115),IF(DY$5=$E115+1,$C115,""),"")</f>
        <v/>
      </c>
      <c r="DZ115" s="34">
        <f>IF(AND(DZ$5&gt;$E115,DZ$5&lt;=$F115),IF(DZ$5=$E115+1,$C115,""),"")</f>
        <v/>
      </c>
      <c r="EA115" s="34">
        <f>IF(AND(EA$5&gt;$E115,EA$5&lt;=$F115),IF(EA$5=$E115+1,$C115,""),"")</f>
        <v/>
      </c>
      <c r="EB115" s="34">
        <f>IF(AND(EB$5&gt;$E115,EB$5&lt;=$F115),IF(EB$5=$E115+1,$C115,""),"")</f>
        <v/>
      </c>
      <c r="EC115" s="34">
        <f>IF(AND(EC$5&gt;$E115,EC$5&lt;=$F115),IF(EC$5=$E115+1,$C115,""),"")</f>
        <v/>
      </c>
      <c r="ED115" s="34">
        <f>IF(AND(ED$5&gt;$E115,ED$5&lt;=$F115),IF(ED$5=$E115+1,$C115,""),"")</f>
        <v/>
      </c>
      <c r="EE115" s="34">
        <f>IF(AND(EE$5&gt;$E115,EE$5&lt;=$F115),IF(EE$5=$E115+1,$C115,""),"")</f>
        <v/>
      </c>
      <c r="EF115" s="34">
        <f>IF(AND(EF$5&gt;$E115,EF$5&lt;=$F115),IF(EF$5=$E115+1,$C115,""),"")</f>
        <v/>
      </c>
      <c r="EG115" s="34">
        <f>IF(AND(EG$5&gt;$E115,EG$5&lt;=$F115),IF(EG$5=$E115+1,$C115,""),"")</f>
        <v/>
      </c>
      <c r="EH115" s="34">
        <f>IF(AND(EH$5&gt;$E115,EH$5&lt;=$F115),IF(EH$5=$E115+1,$C115,""),"")</f>
        <v/>
      </c>
      <c r="EI115" s="34">
        <f>IF(AND(EI$5&gt;$E115,EI$5&lt;=$F115),IF(EI$5=$E115+1,$C115,""),"")</f>
        <v/>
      </c>
      <c r="EJ115" s="34">
        <f>IF(AND(EJ$5&gt;$E115,EJ$5&lt;=$F115),IF(EJ$5=$E115+1,$C115,""),"")</f>
        <v/>
      </c>
      <c r="EK115" s="34">
        <f>IF(AND(EK$5&gt;$E115,EK$5&lt;=$F115),IF(EK$5=$E115+1,$C115,""),"")</f>
        <v/>
      </c>
      <c r="EL115" s="34">
        <f>IF(AND(EL$5&gt;$E115,EL$5&lt;=$F115),IF(EL$5=$E115+1,$C115,""),"")</f>
        <v/>
      </c>
      <c r="EM115" s="34">
        <f>IF(AND(EM$5&gt;$E115,EM$5&lt;=$F115),IF(EM$5=$E115+1,$C115,""),"")</f>
        <v/>
      </c>
      <c r="EN115" s="34">
        <f>IF(AND(EN$5&gt;$E115,EN$5&lt;=$F115),IF(EN$5=$E115+1,$C115,""),"")</f>
        <v/>
      </c>
      <c r="EO115" s="34">
        <f>IF(AND(EO$5&gt;$E115,EO$5&lt;=$F115),IF(EO$5=$E115+1,$C115,""),"")</f>
        <v/>
      </c>
      <c r="EP115" s="34">
        <f>IF(AND(EP$5&gt;$E115,EP$5&lt;=$F115),IF(EP$5=$E115+1,$C115,""),"")</f>
        <v/>
      </c>
      <c r="EQ115" s="34">
        <f>IF(AND(EQ$5&gt;$E115,EQ$5&lt;=$F115),IF(EQ$5=$E115+1,$C115,""),"")</f>
        <v/>
      </c>
      <c r="ER115" s="34">
        <f>IF(AND(ER$5&gt;$E115,ER$5&lt;=$F115),IF(ER$5=$E115+1,$C115,""),"")</f>
        <v/>
      </c>
      <c r="ES115" s="34">
        <f>IF(AND(ES$5&gt;$E115,ES$5&lt;=$F115),IF(ES$5=$E115+1,$C115,""),"")</f>
        <v/>
      </c>
      <c r="ET115" s="34">
        <f>IF(AND(ET$5&gt;$E115,ET$5&lt;=$F115),IF(ET$5=$E115+1,$C115,""),"")</f>
        <v/>
      </c>
      <c r="EU115" s="34">
        <f>IF(AND(EU$5&gt;$E115,EU$5&lt;=$F115),IF(EU$5=$E115+1,$C115,""),"")</f>
        <v/>
      </c>
      <c r="EV115" s="34">
        <f>IF(AND(EV$5&gt;$E115,EV$5&lt;=$F115),IF(EV$5=$E115+1,$C115,""),"")</f>
        <v/>
      </c>
      <c r="EW115" s="34">
        <f>IF(AND(EW$5&gt;$E115,EW$5&lt;=$F115),IF(EW$5=$E115+1,$C115,""),"")</f>
        <v/>
      </c>
      <c r="EX115" s="34">
        <f>IF(AND(EX$5&gt;$E115,EX$5&lt;=$F115),IF(EX$5=$E115+1,$C115,""),"")</f>
        <v/>
      </c>
      <c r="EY115" s="34">
        <f>IF(AND(EY$5&gt;$E115,EY$5&lt;=$F115),IF(EY$5=$E115+1,$C115,""),"")</f>
        <v/>
      </c>
      <c r="EZ115" s="34">
        <f>IF(AND(EZ$5&gt;$E115,EZ$5&lt;=$F115),IF(EZ$5=$E115+1,$C115,""),"")</f>
        <v/>
      </c>
      <c r="FA115" s="34">
        <f>IF(AND(FA$5&gt;$E115,FA$5&lt;=$F115),IF(FA$5=$E115+1,$C115,""),"")</f>
        <v/>
      </c>
    </row>
    <row r="116">
      <c r="A116" s="32">
        <f>Plan!A82</f>
        <v/>
      </c>
      <c r="B116" s="33">
        <f>Plan!C82</f>
        <v/>
      </c>
      <c r="C116" s="16">
        <f>Plan!D82</f>
        <v/>
      </c>
      <c r="D116" s="16">
        <f>Plan!I82</f>
        <v/>
      </c>
      <c r="E116" s="16">
        <f>Plan!K82</f>
        <v/>
      </c>
      <c r="F116" s="16">
        <f>Plan!L82</f>
        <v/>
      </c>
      <c r="G116" s="16">
        <f>Plan!O82</f>
        <v/>
      </c>
      <c r="H116" s="34">
        <f>IF(AND(H$5&gt;$E116,H$5&lt;=$F116),IF(H$5=$E116+1,$C116,""),"")</f>
        <v/>
      </c>
      <c r="I116" s="34">
        <f>IF(AND(I$5&gt;$E116,I$5&lt;=$F116),IF(I$5=$E116+1,$C116,""),"")</f>
        <v/>
      </c>
      <c r="J116" s="34">
        <f>IF(AND(J$5&gt;$E116,J$5&lt;=$F116),IF(J$5=$E116+1,$C116,""),"")</f>
        <v/>
      </c>
      <c r="K116" s="34">
        <f>IF(AND(K$5&gt;$E116,K$5&lt;=$F116),IF(K$5=$E116+1,$C116,""),"")</f>
        <v/>
      </c>
      <c r="L116" s="34">
        <f>IF(AND(L$5&gt;$E116,L$5&lt;=$F116),IF(L$5=$E116+1,$C116,""),"")</f>
        <v/>
      </c>
      <c r="M116" s="34">
        <f>IF(AND(M$5&gt;$E116,M$5&lt;=$F116),IF(M$5=$E116+1,$C116,""),"")</f>
        <v/>
      </c>
      <c r="N116" s="34">
        <f>IF(AND(N$5&gt;$E116,N$5&lt;=$F116),IF(N$5=$E116+1,$C116,""),"")</f>
        <v/>
      </c>
      <c r="O116" s="34">
        <f>IF(AND(O$5&gt;$E116,O$5&lt;=$F116),IF(O$5=$E116+1,$C116,""),"")</f>
        <v/>
      </c>
      <c r="P116" s="34">
        <f>IF(AND(P$5&gt;$E116,P$5&lt;=$F116),IF(P$5=$E116+1,$C116,""),"")</f>
        <v/>
      </c>
      <c r="Q116" s="34">
        <f>IF(AND(Q$5&gt;$E116,Q$5&lt;=$F116),IF(Q$5=$E116+1,$C116,""),"")</f>
        <v/>
      </c>
      <c r="R116" s="34">
        <f>IF(AND(R$5&gt;$E116,R$5&lt;=$F116),IF(R$5=$E116+1,$C116,""),"")</f>
        <v/>
      </c>
      <c r="S116" s="34">
        <f>IF(AND(S$5&gt;$E116,S$5&lt;=$F116),IF(S$5=$E116+1,$C116,""),"")</f>
        <v/>
      </c>
      <c r="T116" s="34">
        <f>IF(AND(T$5&gt;$E116,T$5&lt;=$F116),IF(T$5=$E116+1,$C116,""),"")</f>
        <v/>
      </c>
      <c r="U116" s="34">
        <f>IF(AND(U$5&gt;$E116,U$5&lt;=$F116),IF(U$5=$E116+1,$C116,""),"")</f>
        <v/>
      </c>
      <c r="V116" s="34">
        <f>IF(AND(V$5&gt;$E116,V$5&lt;=$F116),IF(V$5=$E116+1,$C116,""),"")</f>
        <v/>
      </c>
      <c r="W116" s="34">
        <f>IF(AND(W$5&gt;$E116,W$5&lt;=$F116),IF(W$5=$E116+1,$C116,""),"")</f>
        <v/>
      </c>
      <c r="X116" s="34">
        <f>IF(AND(X$5&gt;$E116,X$5&lt;=$F116),IF(X$5=$E116+1,$C116,""),"")</f>
        <v/>
      </c>
      <c r="Y116" s="34">
        <f>IF(AND(Y$5&gt;$E116,Y$5&lt;=$F116),IF(Y$5=$E116+1,$C116,""),"")</f>
        <v/>
      </c>
      <c r="Z116" s="34">
        <f>IF(AND(Z$5&gt;$E116,Z$5&lt;=$F116),IF(Z$5=$E116+1,$C116,""),"")</f>
        <v/>
      </c>
      <c r="AA116" s="34">
        <f>IF(AND(AA$5&gt;$E116,AA$5&lt;=$F116),IF(AA$5=$E116+1,$C116,""),"")</f>
        <v/>
      </c>
      <c r="AB116" s="34">
        <f>IF(AND(AB$5&gt;$E116,AB$5&lt;=$F116),IF(AB$5=$E116+1,$C116,""),"")</f>
        <v/>
      </c>
      <c r="AC116" s="34">
        <f>IF(AND(AC$5&gt;$E116,AC$5&lt;=$F116),IF(AC$5=$E116+1,$C116,""),"")</f>
        <v/>
      </c>
      <c r="AD116" s="34">
        <f>IF(AND(AD$5&gt;$E116,AD$5&lt;=$F116),IF(AD$5=$E116+1,$C116,""),"")</f>
        <v/>
      </c>
      <c r="AE116" s="34">
        <f>IF(AND(AE$5&gt;$E116,AE$5&lt;=$F116),IF(AE$5=$E116+1,$C116,""),"")</f>
        <v/>
      </c>
      <c r="AF116" s="34">
        <f>IF(AND(AF$5&gt;$E116,AF$5&lt;=$F116),IF(AF$5=$E116+1,$C116,""),"")</f>
        <v/>
      </c>
      <c r="AG116" s="34">
        <f>IF(AND(AG$5&gt;$E116,AG$5&lt;=$F116),IF(AG$5=$E116+1,$C116,""),"")</f>
        <v/>
      </c>
      <c r="AH116" s="34">
        <f>IF(AND(AH$5&gt;$E116,AH$5&lt;=$F116),IF(AH$5=$E116+1,$C116,""),"")</f>
        <v/>
      </c>
      <c r="AI116" s="34">
        <f>IF(AND(AI$5&gt;$E116,AI$5&lt;=$F116),IF(AI$5=$E116+1,$C116,""),"")</f>
        <v/>
      </c>
      <c r="AJ116" s="34">
        <f>IF(AND(AJ$5&gt;$E116,AJ$5&lt;=$F116),IF(AJ$5=$E116+1,$C116,""),"")</f>
        <v/>
      </c>
      <c r="AK116" s="34">
        <f>IF(AND(AK$5&gt;$E116,AK$5&lt;=$F116),IF(AK$5=$E116+1,$C116,""),"")</f>
        <v/>
      </c>
      <c r="AL116" s="34">
        <f>IF(AND(AL$5&gt;$E116,AL$5&lt;=$F116),IF(AL$5=$E116+1,$C116,""),"")</f>
        <v/>
      </c>
      <c r="AM116" s="34">
        <f>IF(AND(AM$5&gt;$E116,AM$5&lt;=$F116),IF(AM$5=$E116+1,$C116,""),"")</f>
        <v/>
      </c>
      <c r="AN116" s="34">
        <f>IF(AND(AN$5&gt;$E116,AN$5&lt;=$F116),IF(AN$5=$E116+1,$C116,""),"")</f>
        <v/>
      </c>
      <c r="AO116" s="34">
        <f>IF(AND(AO$5&gt;$E116,AO$5&lt;=$F116),IF(AO$5=$E116+1,$C116,""),"")</f>
        <v/>
      </c>
      <c r="AP116" s="34">
        <f>IF(AND(AP$5&gt;$E116,AP$5&lt;=$F116),IF(AP$5=$E116+1,$C116,""),"")</f>
        <v/>
      </c>
      <c r="AQ116" s="34">
        <f>IF(AND(AQ$5&gt;$E116,AQ$5&lt;=$F116),IF(AQ$5=$E116+1,$C116,""),"")</f>
        <v/>
      </c>
      <c r="AR116" s="34">
        <f>IF(AND(AR$5&gt;$E116,AR$5&lt;=$F116),IF(AR$5=$E116+1,$C116,""),"")</f>
        <v/>
      </c>
      <c r="AS116" s="34">
        <f>IF(AND(AS$5&gt;$E116,AS$5&lt;=$F116),IF(AS$5=$E116+1,$C116,""),"")</f>
        <v/>
      </c>
      <c r="AT116" s="34">
        <f>IF(AND(AT$5&gt;$E116,AT$5&lt;=$F116),IF(AT$5=$E116+1,$C116,""),"")</f>
        <v/>
      </c>
      <c r="AU116" s="34">
        <f>IF(AND(AU$5&gt;$E116,AU$5&lt;=$F116),IF(AU$5=$E116+1,$C116,""),"")</f>
        <v/>
      </c>
      <c r="AV116" s="34">
        <f>IF(AND(AV$5&gt;$E116,AV$5&lt;=$F116),IF(AV$5=$E116+1,$C116,""),"")</f>
        <v/>
      </c>
      <c r="AW116" s="34">
        <f>IF(AND(AW$5&gt;$E116,AW$5&lt;=$F116),IF(AW$5=$E116+1,$C116,""),"")</f>
        <v/>
      </c>
      <c r="AX116" s="34">
        <f>IF(AND(AX$5&gt;$E116,AX$5&lt;=$F116),IF(AX$5=$E116+1,$C116,""),"")</f>
        <v/>
      </c>
      <c r="AY116" s="34">
        <f>IF(AND(AY$5&gt;$E116,AY$5&lt;=$F116),IF(AY$5=$E116+1,$C116,""),"")</f>
        <v/>
      </c>
      <c r="AZ116" s="34">
        <f>IF(AND(AZ$5&gt;$E116,AZ$5&lt;=$F116),IF(AZ$5=$E116+1,$C116,""),"")</f>
        <v/>
      </c>
      <c r="BA116" s="34">
        <f>IF(AND(BA$5&gt;$E116,BA$5&lt;=$F116),IF(BA$5=$E116+1,$C116,""),"")</f>
        <v/>
      </c>
      <c r="BB116" s="34">
        <f>IF(AND(BB$5&gt;$E116,BB$5&lt;=$F116),IF(BB$5=$E116+1,$C116,""),"")</f>
        <v/>
      </c>
      <c r="BC116" s="34">
        <f>IF(AND(BC$5&gt;$E116,BC$5&lt;=$F116),IF(BC$5=$E116+1,$C116,""),"")</f>
        <v/>
      </c>
      <c r="BD116" s="34">
        <f>IF(AND(BD$5&gt;$E116,BD$5&lt;=$F116),IF(BD$5=$E116+1,$C116,""),"")</f>
        <v/>
      </c>
      <c r="BE116" s="34">
        <f>IF(AND(BE$5&gt;$E116,BE$5&lt;=$F116),IF(BE$5=$E116+1,$C116,""),"")</f>
        <v/>
      </c>
      <c r="BF116" s="34">
        <f>IF(AND(BF$5&gt;$E116,BF$5&lt;=$F116),IF(BF$5=$E116+1,$C116,""),"")</f>
        <v/>
      </c>
      <c r="BG116" s="34">
        <f>IF(AND(BG$5&gt;$E116,BG$5&lt;=$F116),IF(BG$5=$E116+1,$C116,""),"")</f>
        <v/>
      </c>
      <c r="BH116" s="34">
        <f>IF(AND(BH$5&gt;$E116,BH$5&lt;=$F116),IF(BH$5=$E116+1,$C116,""),"")</f>
        <v/>
      </c>
      <c r="BI116" s="34">
        <f>IF(AND(BI$5&gt;$E116,BI$5&lt;=$F116),IF(BI$5=$E116+1,$C116,""),"")</f>
        <v/>
      </c>
      <c r="BJ116" s="34">
        <f>IF(AND(BJ$5&gt;$E116,BJ$5&lt;=$F116),IF(BJ$5=$E116+1,$C116,""),"")</f>
        <v/>
      </c>
      <c r="BK116" s="34">
        <f>IF(AND(BK$5&gt;$E116,BK$5&lt;=$F116),IF(BK$5=$E116+1,$C116,""),"")</f>
        <v/>
      </c>
      <c r="BL116" s="34">
        <f>IF(AND(BL$5&gt;$E116,BL$5&lt;=$F116),IF(BL$5=$E116+1,$C116,""),"")</f>
        <v/>
      </c>
      <c r="BM116" s="34">
        <f>IF(AND(BM$5&gt;$E116,BM$5&lt;=$F116),IF(BM$5=$E116+1,$C116,""),"")</f>
        <v/>
      </c>
      <c r="BN116" s="34">
        <f>IF(AND(BN$5&gt;$E116,BN$5&lt;=$F116),IF(BN$5=$E116+1,$C116,""),"")</f>
        <v/>
      </c>
      <c r="BO116" s="34">
        <f>IF(AND(BO$5&gt;$E116,BO$5&lt;=$F116),IF(BO$5=$E116+1,$C116,""),"")</f>
        <v/>
      </c>
      <c r="BP116" s="34">
        <f>IF(AND(BP$5&gt;$E116,BP$5&lt;=$F116),IF(BP$5=$E116+1,$C116,""),"")</f>
        <v/>
      </c>
      <c r="BQ116" s="34">
        <f>IF(AND(BQ$5&gt;$E116,BQ$5&lt;=$F116),IF(BQ$5=$E116+1,$C116,""),"")</f>
        <v/>
      </c>
      <c r="BR116" s="34">
        <f>IF(AND(BR$5&gt;$E116,BR$5&lt;=$F116),IF(BR$5=$E116+1,$C116,""),"")</f>
        <v/>
      </c>
      <c r="BS116" s="34">
        <f>IF(AND(BS$5&gt;$E116,BS$5&lt;=$F116),IF(BS$5=$E116+1,$C116,""),"")</f>
        <v/>
      </c>
      <c r="BT116" s="34">
        <f>IF(AND(BT$5&gt;$E116,BT$5&lt;=$F116),IF(BT$5=$E116+1,$C116,""),"")</f>
        <v/>
      </c>
      <c r="BU116" s="34">
        <f>IF(AND(BU$5&gt;$E116,BU$5&lt;=$F116),IF(BU$5=$E116+1,$C116,""),"")</f>
        <v/>
      </c>
      <c r="BV116" s="34">
        <f>IF(AND(BV$5&gt;$E116,BV$5&lt;=$F116),IF(BV$5=$E116+1,$C116,""),"")</f>
        <v/>
      </c>
      <c r="BW116" s="34">
        <f>IF(AND(BW$5&gt;$E116,BW$5&lt;=$F116),IF(BW$5=$E116+1,$C116,""),"")</f>
        <v/>
      </c>
      <c r="BX116" s="34">
        <f>IF(AND(BX$5&gt;$E116,BX$5&lt;=$F116),IF(BX$5=$E116+1,$C116,""),"")</f>
        <v/>
      </c>
      <c r="BY116" s="34">
        <f>IF(AND(BY$5&gt;$E116,BY$5&lt;=$F116),IF(BY$5=$E116+1,$C116,""),"")</f>
        <v/>
      </c>
      <c r="BZ116" s="34">
        <f>IF(AND(BZ$5&gt;$E116,BZ$5&lt;=$F116),IF(BZ$5=$E116+1,$C116,""),"")</f>
        <v/>
      </c>
      <c r="CA116" s="34">
        <f>IF(AND(CA$5&gt;$E116,CA$5&lt;=$F116),IF(CA$5=$E116+1,$C116,""),"")</f>
        <v/>
      </c>
      <c r="CB116" s="34">
        <f>IF(AND(CB$5&gt;$E116,CB$5&lt;=$F116),IF(CB$5=$E116+1,$C116,""),"")</f>
        <v/>
      </c>
      <c r="CC116" s="34">
        <f>IF(AND(CC$5&gt;$E116,CC$5&lt;=$F116),IF(CC$5=$E116+1,$C116,""),"")</f>
        <v/>
      </c>
      <c r="CD116" s="34">
        <f>IF(AND(CD$5&gt;$E116,CD$5&lt;=$F116),IF(CD$5=$E116+1,$C116,""),"")</f>
        <v/>
      </c>
      <c r="CE116" s="34">
        <f>IF(AND(CE$5&gt;$E116,CE$5&lt;=$F116),IF(CE$5=$E116+1,$C116,""),"")</f>
        <v/>
      </c>
      <c r="CF116" s="34">
        <f>IF(AND(CF$5&gt;$E116,CF$5&lt;=$F116),IF(CF$5=$E116+1,$C116,""),"")</f>
        <v/>
      </c>
      <c r="CG116" s="34">
        <f>IF(AND(CG$5&gt;$E116,CG$5&lt;=$F116),IF(CG$5=$E116+1,$C116,""),"")</f>
        <v/>
      </c>
      <c r="CH116" s="34">
        <f>IF(AND(CH$5&gt;$E116,CH$5&lt;=$F116),IF(CH$5=$E116+1,$C116,""),"")</f>
        <v/>
      </c>
      <c r="CI116" s="34">
        <f>IF(AND(CI$5&gt;$E116,CI$5&lt;=$F116),IF(CI$5=$E116+1,$C116,""),"")</f>
        <v/>
      </c>
      <c r="CJ116" s="34">
        <f>IF(AND(CJ$5&gt;$E116,CJ$5&lt;=$F116),IF(CJ$5=$E116+1,$C116,""),"")</f>
        <v/>
      </c>
      <c r="CK116" s="34">
        <f>IF(AND(CK$5&gt;$E116,CK$5&lt;=$F116),IF(CK$5=$E116+1,$C116,""),"")</f>
        <v/>
      </c>
      <c r="CL116" s="34">
        <f>IF(AND(CL$5&gt;$E116,CL$5&lt;=$F116),IF(CL$5=$E116+1,$C116,""),"")</f>
        <v/>
      </c>
      <c r="CM116" s="34">
        <f>IF(AND(CM$5&gt;$E116,CM$5&lt;=$F116),IF(CM$5=$E116+1,$C116,""),"")</f>
        <v/>
      </c>
      <c r="CN116" s="34">
        <f>IF(AND(CN$5&gt;$E116,CN$5&lt;=$F116),IF(CN$5=$E116+1,$C116,""),"")</f>
        <v/>
      </c>
      <c r="CO116" s="34">
        <f>IF(AND(CO$5&gt;$E116,CO$5&lt;=$F116),IF(CO$5=$E116+1,$C116,""),"")</f>
        <v/>
      </c>
      <c r="CP116" s="34">
        <f>IF(AND(CP$5&gt;$E116,CP$5&lt;=$F116),IF(CP$5=$E116+1,$C116,""),"")</f>
        <v/>
      </c>
      <c r="CQ116" s="34">
        <f>IF(AND(CQ$5&gt;$E116,CQ$5&lt;=$F116),IF(CQ$5=$E116+1,$C116,""),"")</f>
        <v/>
      </c>
      <c r="CR116" s="34">
        <f>IF(AND(CR$5&gt;$E116,CR$5&lt;=$F116),IF(CR$5=$E116+1,$C116,""),"")</f>
        <v/>
      </c>
      <c r="CS116" s="34">
        <f>IF(AND(CS$5&gt;$E116,CS$5&lt;=$F116),IF(CS$5=$E116+1,$C116,""),"")</f>
        <v/>
      </c>
      <c r="CT116" s="34">
        <f>IF(AND(CT$5&gt;$E116,CT$5&lt;=$F116),IF(CT$5=$E116+1,$C116,""),"")</f>
        <v/>
      </c>
      <c r="CU116" s="34">
        <f>IF(AND(CU$5&gt;$E116,CU$5&lt;=$F116),IF(CU$5=$E116+1,$C116,""),"")</f>
        <v/>
      </c>
      <c r="CV116" s="34">
        <f>IF(AND(CV$5&gt;$E116,CV$5&lt;=$F116),IF(CV$5=$E116+1,$C116,""),"")</f>
        <v/>
      </c>
      <c r="CW116" s="34">
        <f>IF(AND(CW$5&gt;$E116,CW$5&lt;=$F116),IF(CW$5=$E116+1,$C116,""),"")</f>
        <v/>
      </c>
      <c r="CX116" s="34">
        <f>IF(AND(CX$5&gt;$E116,CX$5&lt;=$F116),IF(CX$5=$E116+1,$C116,""),"")</f>
        <v/>
      </c>
      <c r="CY116" s="34">
        <f>IF(AND(CY$5&gt;$E116,CY$5&lt;=$F116),IF(CY$5=$E116+1,$C116,""),"")</f>
        <v/>
      </c>
      <c r="CZ116" s="34">
        <f>IF(AND(CZ$5&gt;$E116,CZ$5&lt;=$F116),IF(CZ$5=$E116+1,$C116,""),"")</f>
        <v/>
      </c>
      <c r="DA116" s="34">
        <f>IF(AND(DA$5&gt;$E116,DA$5&lt;=$F116),IF(DA$5=$E116+1,$C116,""),"")</f>
        <v/>
      </c>
      <c r="DB116" s="34">
        <f>IF(AND(DB$5&gt;$E116,DB$5&lt;=$F116),IF(DB$5=$E116+1,$C116,""),"")</f>
        <v/>
      </c>
      <c r="DC116" s="34">
        <f>IF(AND(DC$5&gt;$E116,DC$5&lt;=$F116),IF(DC$5=$E116+1,$C116,""),"")</f>
        <v/>
      </c>
      <c r="DD116" s="34">
        <f>IF(AND(DD$5&gt;$E116,DD$5&lt;=$F116),IF(DD$5=$E116+1,$C116,""),"")</f>
        <v/>
      </c>
      <c r="DE116" s="34">
        <f>IF(AND(DE$5&gt;$E116,DE$5&lt;=$F116),IF(DE$5=$E116+1,$C116,""),"")</f>
        <v/>
      </c>
      <c r="DF116" s="34">
        <f>IF(AND(DF$5&gt;$E116,DF$5&lt;=$F116),IF(DF$5=$E116+1,$C116,""),"")</f>
        <v/>
      </c>
      <c r="DG116" s="34">
        <f>IF(AND(DG$5&gt;$E116,DG$5&lt;=$F116),IF(DG$5=$E116+1,$C116,""),"")</f>
        <v/>
      </c>
      <c r="DH116" s="34">
        <f>IF(AND(DH$5&gt;$E116,DH$5&lt;=$F116),IF(DH$5=$E116+1,$C116,""),"")</f>
        <v/>
      </c>
      <c r="DI116" s="34">
        <f>IF(AND(DI$5&gt;$E116,DI$5&lt;=$F116),IF(DI$5=$E116+1,$C116,""),"")</f>
        <v/>
      </c>
      <c r="DJ116" s="34">
        <f>IF(AND(DJ$5&gt;$E116,DJ$5&lt;=$F116),IF(DJ$5=$E116+1,$C116,""),"")</f>
        <v/>
      </c>
      <c r="DK116" s="34">
        <f>IF(AND(DK$5&gt;$E116,DK$5&lt;=$F116),IF(DK$5=$E116+1,$C116,""),"")</f>
        <v/>
      </c>
      <c r="DL116" s="34">
        <f>IF(AND(DL$5&gt;$E116,DL$5&lt;=$F116),IF(DL$5=$E116+1,$C116,""),"")</f>
        <v/>
      </c>
      <c r="DM116" s="34">
        <f>IF(AND(DM$5&gt;$E116,DM$5&lt;=$F116),IF(DM$5=$E116+1,$C116,""),"")</f>
        <v/>
      </c>
      <c r="DN116" s="34">
        <f>IF(AND(DN$5&gt;$E116,DN$5&lt;=$F116),IF(DN$5=$E116+1,$C116,""),"")</f>
        <v/>
      </c>
      <c r="DO116" s="34">
        <f>IF(AND(DO$5&gt;$E116,DO$5&lt;=$F116),IF(DO$5=$E116+1,$C116,""),"")</f>
        <v/>
      </c>
      <c r="DP116" s="34">
        <f>IF(AND(DP$5&gt;$E116,DP$5&lt;=$F116),IF(DP$5=$E116+1,$C116,""),"")</f>
        <v/>
      </c>
      <c r="DQ116" s="34">
        <f>IF(AND(DQ$5&gt;$E116,DQ$5&lt;=$F116),IF(DQ$5=$E116+1,$C116,""),"")</f>
        <v/>
      </c>
      <c r="DR116" s="34">
        <f>IF(AND(DR$5&gt;$E116,DR$5&lt;=$F116),IF(DR$5=$E116+1,$C116,""),"")</f>
        <v/>
      </c>
      <c r="DS116" s="34">
        <f>IF(AND(DS$5&gt;$E116,DS$5&lt;=$F116),IF(DS$5=$E116+1,$C116,""),"")</f>
        <v/>
      </c>
      <c r="DT116" s="34">
        <f>IF(AND(DT$5&gt;$E116,DT$5&lt;=$F116),IF(DT$5=$E116+1,$C116,""),"")</f>
        <v/>
      </c>
      <c r="DU116" s="34">
        <f>IF(AND(DU$5&gt;$E116,DU$5&lt;=$F116),IF(DU$5=$E116+1,$C116,""),"")</f>
        <v/>
      </c>
      <c r="DV116" s="34">
        <f>IF(AND(DV$5&gt;$E116,DV$5&lt;=$F116),IF(DV$5=$E116+1,$C116,""),"")</f>
        <v/>
      </c>
      <c r="DW116" s="34">
        <f>IF(AND(DW$5&gt;$E116,DW$5&lt;=$F116),IF(DW$5=$E116+1,$C116,""),"")</f>
        <v/>
      </c>
      <c r="DX116" s="34">
        <f>IF(AND(DX$5&gt;$E116,DX$5&lt;=$F116),IF(DX$5=$E116+1,$C116,""),"")</f>
        <v/>
      </c>
      <c r="DY116" s="34">
        <f>IF(AND(DY$5&gt;$E116,DY$5&lt;=$F116),IF(DY$5=$E116+1,$C116,""),"")</f>
        <v/>
      </c>
      <c r="DZ116" s="34">
        <f>IF(AND(DZ$5&gt;$E116,DZ$5&lt;=$F116),IF(DZ$5=$E116+1,$C116,""),"")</f>
        <v/>
      </c>
      <c r="EA116" s="34">
        <f>IF(AND(EA$5&gt;$E116,EA$5&lt;=$F116),IF(EA$5=$E116+1,$C116,""),"")</f>
        <v/>
      </c>
      <c r="EB116" s="34">
        <f>IF(AND(EB$5&gt;$E116,EB$5&lt;=$F116),IF(EB$5=$E116+1,$C116,""),"")</f>
        <v/>
      </c>
      <c r="EC116" s="34">
        <f>IF(AND(EC$5&gt;$E116,EC$5&lt;=$F116),IF(EC$5=$E116+1,$C116,""),"")</f>
        <v/>
      </c>
      <c r="ED116" s="34">
        <f>IF(AND(ED$5&gt;$E116,ED$5&lt;=$F116),IF(ED$5=$E116+1,$C116,""),"")</f>
        <v/>
      </c>
      <c r="EE116" s="34">
        <f>IF(AND(EE$5&gt;$E116,EE$5&lt;=$F116),IF(EE$5=$E116+1,$C116,""),"")</f>
        <v/>
      </c>
      <c r="EF116" s="34">
        <f>IF(AND(EF$5&gt;$E116,EF$5&lt;=$F116),IF(EF$5=$E116+1,$C116,""),"")</f>
        <v/>
      </c>
      <c r="EG116" s="34">
        <f>IF(AND(EG$5&gt;$E116,EG$5&lt;=$F116),IF(EG$5=$E116+1,$C116,""),"")</f>
        <v/>
      </c>
      <c r="EH116" s="34">
        <f>IF(AND(EH$5&gt;$E116,EH$5&lt;=$F116),IF(EH$5=$E116+1,$C116,""),"")</f>
        <v/>
      </c>
      <c r="EI116" s="34">
        <f>IF(AND(EI$5&gt;$E116,EI$5&lt;=$F116),IF(EI$5=$E116+1,$C116,""),"")</f>
        <v/>
      </c>
      <c r="EJ116" s="34">
        <f>IF(AND(EJ$5&gt;$E116,EJ$5&lt;=$F116),IF(EJ$5=$E116+1,$C116,""),"")</f>
        <v/>
      </c>
      <c r="EK116" s="34">
        <f>IF(AND(EK$5&gt;$E116,EK$5&lt;=$F116),IF(EK$5=$E116+1,$C116,""),"")</f>
        <v/>
      </c>
      <c r="EL116" s="34">
        <f>IF(AND(EL$5&gt;$E116,EL$5&lt;=$F116),IF(EL$5=$E116+1,$C116,""),"")</f>
        <v/>
      </c>
      <c r="EM116" s="34">
        <f>IF(AND(EM$5&gt;$E116,EM$5&lt;=$F116),IF(EM$5=$E116+1,$C116,""),"")</f>
        <v/>
      </c>
      <c r="EN116" s="34">
        <f>IF(AND(EN$5&gt;$E116,EN$5&lt;=$F116),IF(EN$5=$E116+1,$C116,""),"")</f>
        <v/>
      </c>
      <c r="EO116" s="34">
        <f>IF(AND(EO$5&gt;$E116,EO$5&lt;=$F116),IF(EO$5=$E116+1,$C116,""),"")</f>
        <v/>
      </c>
      <c r="EP116" s="34">
        <f>IF(AND(EP$5&gt;$E116,EP$5&lt;=$F116),IF(EP$5=$E116+1,$C116,""),"")</f>
        <v/>
      </c>
      <c r="EQ116" s="34">
        <f>IF(AND(EQ$5&gt;$E116,EQ$5&lt;=$F116),IF(EQ$5=$E116+1,$C116,""),"")</f>
        <v/>
      </c>
      <c r="ER116" s="34">
        <f>IF(AND(ER$5&gt;$E116,ER$5&lt;=$F116),IF(ER$5=$E116+1,$C116,""),"")</f>
        <v/>
      </c>
      <c r="ES116" s="34">
        <f>IF(AND(ES$5&gt;$E116,ES$5&lt;=$F116),IF(ES$5=$E116+1,$C116,""),"")</f>
        <v/>
      </c>
      <c r="ET116" s="34">
        <f>IF(AND(ET$5&gt;$E116,ET$5&lt;=$F116),IF(ET$5=$E116+1,$C116,""),"")</f>
        <v/>
      </c>
      <c r="EU116" s="34">
        <f>IF(AND(EU$5&gt;$E116,EU$5&lt;=$F116),IF(EU$5=$E116+1,$C116,""),"")</f>
        <v/>
      </c>
      <c r="EV116" s="34">
        <f>IF(AND(EV$5&gt;$E116,EV$5&lt;=$F116),IF(EV$5=$E116+1,$C116,""),"")</f>
        <v/>
      </c>
      <c r="EW116" s="34">
        <f>IF(AND(EW$5&gt;$E116,EW$5&lt;=$F116),IF(EW$5=$E116+1,$C116,""),"")</f>
        <v/>
      </c>
      <c r="EX116" s="34">
        <f>IF(AND(EX$5&gt;$E116,EX$5&lt;=$F116),IF(EX$5=$E116+1,$C116,""),"")</f>
        <v/>
      </c>
      <c r="EY116" s="34">
        <f>IF(AND(EY$5&gt;$E116,EY$5&lt;=$F116),IF(EY$5=$E116+1,$C116,""),"")</f>
        <v/>
      </c>
      <c r="EZ116" s="34">
        <f>IF(AND(EZ$5&gt;$E116,EZ$5&lt;=$F116),IF(EZ$5=$E116+1,$C116,""),"")</f>
        <v/>
      </c>
      <c r="FA116" s="34">
        <f>IF(AND(FA$5&gt;$E116,FA$5&lt;=$F116),IF(FA$5=$E116+1,$C116,""),"")</f>
        <v/>
      </c>
    </row>
    <row r="117">
      <c r="A117" s="32">
        <f>Plan!A83</f>
        <v/>
      </c>
      <c r="B117" s="33">
        <f>Plan!C83</f>
        <v/>
      </c>
      <c r="C117" s="16">
        <f>Plan!D83</f>
        <v/>
      </c>
      <c r="D117" s="16">
        <f>Plan!I83</f>
        <v/>
      </c>
      <c r="E117" s="16">
        <f>Plan!K83</f>
        <v/>
      </c>
      <c r="F117" s="16">
        <f>Plan!L83</f>
        <v/>
      </c>
      <c r="G117" s="16">
        <f>Plan!O83</f>
        <v/>
      </c>
      <c r="H117" s="34">
        <f>IF(AND(H$5&gt;$E117,H$5&lt;=$F117),IF(H$5=$E117+1,$C117,""),"")</f>
        <v/>
      </c>
      <c r="I117" s="34">
        <f>IF(AND(I$5&gt;$E117,I$5&lt;=$F117),IF(I$5=$E117+1,$C117,""),"")</f>
        <v/>
      </c>
      <c r="J117" s="34">
        <f>IF(AND(J$5&gt;$E117,J$5&lt;=$F117),IF(J$5=$E117+1,$C117,""),"")</f>
        <v/>
      </c>
      <c r="K117" s="34">
        <f>IF(AND(K$5&gt;$E117,K$5&lt;=$F117),IF(K$5=$E117+1,$C117,""),"")</f>
        <v/>
      </c>
      <c r="L117" s="34">
        <f>IF(AND(L$5&gt;$E117,L$5&lt;=$F117),IF(L$5=$E117+1,$C117,""),"")</f>
        <v/>
      </c>
      <c r="M117" s="34">
        <f>IF(AND(M$5&gt;$E117,M$5&lt;=$F117),IF(M$5=$E117+1,$C117,""),"")</f>
        <v/>
      </c>
      <c r="N117" s="34">
        <f>IF(AND(N$5&gt;$E117,N$5&lt;=$F117),IF(N$5=$E117+1,$C117,""),"")</f>
        <v/>
      </c>
      <c r="O117" s="34">
        <f>IF(AND(O$5&gt;$E117,O$5&lt;=$F117),IF(O$5=$E117+1,$C117,""),"")</f>
        <v/>
      </c>
      <c r="P117" s="34">
        <f>IF(AND(P$5&gt;$E117,P$5&lt;=$F117),IF(P$5=$E117+1,$C117,""),"")</f>
        <v/>
      </c>
      <c r="Q117" s="34">
        <f>IF(AND(Q$5&gt;$E117,Q$5&lt;=$F117),IF(Q$5=$E117+1,$C117,""),"")</f>
        <v/>
      </c>
      <c r="R117" s="34">
        <f>IF(AND(R$5&gt;$E117,R$5&lt;=$F117),IF(R$5=$E117+1,$C117,""),"")</f>
        <v/>
      </c>
      <c r="S117" s="34">
        <f>IF(AND(S$5&gt;$E117,S$5&lt;=$F117),IF(S$5=$E117+1,$C117,""),"")</f>
        <v/>
      </c>
      <c r="T117" s="34">
        <f>IF(AND(T$5&gt;$E117,T$5&lt;=$F117),IF(T$5=$E117+1,$C117,""),"")</f>
        <v/>
      </c>
      <c r="U117" s="34">
        <f>IF(AND(U$5&gt;$E117,U$5&lt;=$F117),IF(U$5=$E117+1,$C117,""),"")</f>
        <v/>
      </c>
      <c r="V117" s="34">
        <f>IF(AND(V$5&gt;$E117,V$5&lt;=$F117),IF(V$5=$E117+1,$C117,""),"")</f>
        <v/>
      </c>
      <c r="W117" s="34">
        <f>IF(AND(W$5&gt;$E117,W$5&lt;=$F117),IF(W$5=$E117+1,$C117,""),"")</f>
        <v/>
      </c>
      <c r="X117" s="34">
        <f>IF(AND(X$5&gt;$E117,X$5&lt;=$F117),IF(X$5=$E117+1,$C117,""),"")</f>
        <v/>
      </c>
      <c r="Y117" s="34">
        <f>IF(AND(Y$5&gt;$E117,Y$5&lt;=$F117),IF(Y$5=$E117+1,$C117,""),"")</f>
        <v/>
      </c>
      <c r="Z117" s="34">
        <f>IF(AND(Z$5&gt;$E117,Z$5&lt;=$F117),IF(Z$5=$E117+1,$C117,""),"")</f>
        <v/>
      </c>
      <c r="AA117" s="34">
        <f>IF(AND(AA$5&gt;$E117,AA$5&lt;=$F117),IF(AA$5=$E117+1,$C117,""),"")</f>
        <v/>
      </c>
      <c r="AB117" s="34">
        <f>IF(AND(AB$5&gt;$E117,AB$5&lt;=$F117),IF(AB$5=$E117+1,$C117,""),"")</f>
        <v/>
      </c>
      <c r="AC117" s="34">
        <f>IF(AND(AC$5&gt;$E117,AC$5&lt;=$F117),IF(AC$5=$E117+1,$C117,""),"")</f>
        <v/>
      </c>
      <c r="AD117" s="34">
        <f>IF(AND(AD$5&gt;$E117,AD$5&lt;=$F117),IF(AD$5=$E117+1,$C117,""),"")</f>
        <v/>
      </c>
      <c r="AE117" s="34">
        <f>IF(AND(AE$5&gt;$E117,AE$5&lt;=$F117),IF(AE$5=$E117+1,$C117,""),"")</f>
        <v/>
      </c>
      <c r="AF117" s="34">
        <f>IF(AND(AF$5&gt;$E117,AF$5&lt;=$F117),IF(AF$5=$E117+1,$C117,""),"")</f>
        <v/>
      </c>
      <c r="AG117" s="34">
        <f>IF(AND(AG$5&gt;$E117,AG$5&lt;=$F117),IF(AG$5=$E117+1,$C117,""),"")</f>
        <v/>
      </c>
      <c r="AH117" s="34">
        <f>IF(AND(AH$5&gt;$E117,AH$5&lt;=$F117),IF(AH$5=$E117+1,$C117,""),"")</f>
        <v/>
      </c>
      <c r="AI117" s="34">
        <f>IF(AND(AI$5&gt;$E117,AI$5&lt;=$F117),IF(AI$5=$E117+1,$C117,""),"")</f>
        <v/>
      </c>
      <c r="AJ117" s="34">
        <f>IF(AND(AJ$5&gt;$E117,AJ$5&lt;=$F117),IF(AJ$5=$E117+1,$C117,""),"")</f>
        <v/>
      </c>
      <c r="AK117" s="34">
        <f>IF(AND(AK$5&gt;$E117,AK$5&lt;=$F117),IF(AK$5=$E117+1,$C117,""),"")</f>
        <v/>
      </c>
      <c r="AL117" s="34">
        <f>IF(AND(AL$5&gt;$E117,AL$5&lt;=$F117),IF(AL$5=$E117+1,$C117,""),"")</f>
        <v/>
      </c>
      <c r="AM117" s="34">
        <f>IF(AND(AM$5&gt;$E117,AM$5&lt;=$F117),IF(AM$5=$E117+1,$C117,""),"")</f>
        <v/>
      </c>
      <c r="AN117" s="34">
        <f>IF(AND(AN$5&gt;$E117,AN$5&lt;=$F117),IF(AN$5=$E117+1,$C117,""),"")</f>
        <v/>
      </c>
      <c r="AO117" s="34">
        <f>IF(AND(AO$5&gt;$E117,AO$5&lt;=$F117),IF(AO$5=$E117+1,$C117,""),"")</f>
        <v/>
      </c>
      <c r="AP117" s="34">
        <f>IF(AND(AP$5&gt;$E117,AP$5&lt;=$F117),IF(AP$5=$E117+1,$C117,""),"")</f>
        <v/>
      </c>
      <c r="AQ117" s="34">
        <f>IF(AND(AQ$5&gt;$E117,AQ$5&lt;=$F117),IF(AQ$5=$E117+1,$C117,""),"")</f>
        <v/>
      </c>
      <c r="AR117" s="34">
        <f>IF(AND(AR$5&gt;$E117,AR$5&lt;=$F117),IF(AR$5=$E117+1,$C117,""),"")</f>
        <v/>
      </c>
      <c r="AS117" s="34">
        <f>IF(AND(AS$5&gt;$E117,AS$5&lt;=$F117),IF(AS$5=$E117+1,$C117,""),"")</f>
        <v/>
      </c>
      <c r="AT117" s="34">
        <f>IF(AND(AT$5&gt;$E117,AT$5&lt;=$F117),IF(AT$5=$E117+1,$C117,""),"")</f>
        <v/>
      </c>
      <c r="AU117" s="34">
        <f>IF(AND(AU$5&gt;$E117,AU$5&lt;=$F117),IF(AU$5=$E117+1,$C117,""),"")</f>
        <v/>
      </c>
      <c r="AV117" s="34">
        <f>IF(AND(AV$5&gt;$E117,AV$5&lt;=$F117),IF(AV$5=$E117+1,$C117,""),"")</f>
        <v/>
      </c>
      <c r="AW117" s="34">
        <f>IF(AND(AW$5&gt;$E117,AW$5&lt;=$F117),IF(AW$5=$E117+1,$C117,""),"")</f>
        <v/>
      </c>
      <c r="AX117" s="34">
        <f>IF(AND(AX$5&gt;$E117,AX$5&lt;=$F117),IF(AX$5=$E117+1,$C117,""),"")</f>
        <v/>
      </c>
      <c r="AY117" s="34">
        <f>IF(AND(AY$5&gt;$E117,AY$5&lt;=$F117),IF(AY$5=$E117+1,$C117,""),"")</f>
        <v/>
      </c>
      <c r="AZ117" s="34">
        <f>IF(AND(AZ$5&gt;$E117,AZ$5&lt;=$F117),IF(AZ$5=$E117+1,$C117,""),"")</f>
        <v/>
      </c>
      <c r="BA117" s="34">
        <f>IF(AND(BA$5&gt;$E117,BA$5&lt;=$F117),IF(BA$5=$E117+1,$C117,""),"")</f>
        <v/>
      </c>
      <c r="BB117" s="34">
        <f>IF(AND(BB$5&gt;$E117,BB$5&lt;=$F117),IF(BB$5=$E117+1,$C117,""),"")</f>
        <v/>
      </c>
      <c r="BC117" s="34">
        <f>IF(AND(BC$5&gt;$E117,BC$5&lt;=$F117),IF(BC$5=$E117+1,$C117,""),"")</f>
        <v/>
      </c>
      <c r="BD117" s="34">
        <f>IF(AND(BD$5&gt;$E117,BD$5&lt;=$F117),IF(BD$5=$E117+1,$C117,""),"")</f>
        <v/>
      </c>
      <c r="BE117" s="34">
        <f>IF(AND(BE$5&gt;$E117,BE$5&lt;=$F117),IF(BE$5=$E117+1,$C117,""),"")</f>
        <v/>
      </c>
      <c r="BF117" s="34">
        <f>IF(AND(BF$5&gt;$E117,BF$5&lt;=$F117),IF(BF$5=$E117+1,$C117,""),"")</f>
        <v/>
      </c>
      <c r="BG117" s="34">
        <f>IF(AND(BG$5&gt;$E117,BG$5&lt;=$F117),IF(BG$5=$E117+1,$C117,""),"")</f>
        <v/>
      </c>
      <c r="BH117" s="34">
        <f>IF(AND(BH$5&gt;$E117,BH$5&lt;=$F117),IF(BH$5=$E117+1,$C117,""),"")</f>
        <v/>
      </c>
      <c r="BI117" s="34">
        <f>IF(AND(BI$5&gt;$E117,BI$5&lt;=$F117),IF(BI$5=$E117+1,$C117,""),"")</f>
        <v/>
      </c>
      <c r="BJ117" s="34">
        <f>IF(AND(BJ$5&gt;$E117,BJ$5&lt;=$F117),IF(BJ$5=$E117+1,$C117,""),"")</f>
        <v/>
      </c>
      <c r="BK117" s="34">
        <f>IF(AND(BK$5&gt;$E117,BK$5&lt;=$F117),IF(BK$5=$E117+1,$C117,""),"")</f>
        <v/>
      </c>
      <c r="BL117" s="34">
        <f>IF(AND(BL$5&gt;$E117,BL$5&lt;=$F117),IF(BL$5=$E117+1,$C117,""),"")</f>
        <v/>
      </c>
      <c r="BM117" s="34">
        <f>IF(AND(BM$5&gt;$E117,BM$5&lt;=$F117),IF(BM$5=$E117+1,$C117,""),"")</f>
        <v/>
      </c>
      <c r="BN117" s="34">
        <f>IF(AND(BN$5&gt;$E117,BN$5&lt;=$F117),IF(BN$5=$E117+1,$C117,""),"")</f>
        <v/>
      </c>
      <c r="BO117" s="34">
        <f>IF(AND(BO$5&gt;$E117,BO$5&lt;=$F117),IF(BO$5=$E117+1,$C117,""),"")</f>
        <v/>
      </c>
      <c r="BP117" s="34">
        <f>IF(AND(BP$5&gt;$E117,BP$5&lt;=$F117),IF(BP$5=$E117+1,$C117,""),"")</f>
        <v/>
      </c>
      <c r="BQ117" s="34">
        <f>IF(AND(BQ$5&gt;$E117,BQ$5&lt;=$F117),IF(BQ$5=$E117+1,$C117,""),"")</f>
        <v/>
      </c>
      <c r="BR117" s="34">
        <f>IF(AND(BR$5&gt;$E117,BR$5&lt;=$F117),IF(BR$5=$E117+1,$C117,""),"")</f>
        <v/>
      </c>
      <c r="BS117" s="34">
        <f>IF(AND(BS$5&gt;$E117,BS$5&lt;=$F117),IF(BS$5=$E117+1,$C117,""),"")</f>
        <v/>
      </c>
      <c r="BT117" s="34">
        <f>IF(AND(BT$5&gt;$E117,BT$5&lt;=$F117),IF(BT$5=$E117+1,$C117,""),"")</f>
        <v/>
      </c>
      <c r="BU117" s="34">
        <f>IF(AND(BU$5&gt;$E117,BU$5&lt;=$F117),IF(BU$5=$E117+1,$C117,""),"")</f>
        <v/>
      </c>
      <c r="BV117" s="34">
        <f>IF(AND(BV$5&gt;$E117,BV$5&lt;=$F117),IF(BV$5=$E117+1,$C117,""),"")</f>
        <v/>
      </c>
      <c r="BW117" s="34">
        <f>IF(AND(BW$5&gt;$E117,BW$5&lt;=$F117),IF(BW$5=$E117+1,$C117,""),"")</f>
        <v/>
      </c>
      <c r="BX117" s="34">
        <f>IF(AND(BX$5&gt;$E117,BX$5&lt;=$F117),IF(BX$5=$E117+1,$C117,""),"")</f>
        <v/>
      </c>
      <c r="BY117" s="34">
        <f>IF(AND(BY$5&gt;$E117,BY$5&lt;=$F117),IF(BY$5=$E117+1,$C117,""),"")</f>
        <v/>
      </c>
      <c r="BZ117" s="34">
        <f>IF(AND(BZ$5&gt;$E117,BZ$5&lt;=$F117),IF(BZ$5=$E117+1,$C117,""),"")</f>
        <v/>
      </c>
      <c r="CA117" s="34">
        <f>IF(AND(CA$5&gt;$E117,CA$5&lt;=$F117),IF(CA$5=$E117+1,$C117,""),"")</f>
        <v/>
      </c>
      <c r="CB117" s="34">
        <f>IF(AND(CB$5&gt;$E117,CB$5&lt;=$F117),IF(CB$5=$E117+1,$C117,""),"")</f>
        <v/>
      </c>
      <c r="CC117" s="34">
        <f>IF(AND(CC$5&gt;$E117,CC$5&lt;=$F117),IF(CC$5=$E117+1,$C117,""),"")</f>
        <v/>
      </c>
      <c r="CD117" s="34">
        <f>IF(AND(CD$5&gt;$E117,CD$5&lt;=$F117),IF(CD$5=$E117+1,$C117,""),"")</f>
        <v/>
      </c>
      <c r="CE117" s="34">
        <f>IF(AND(CE$5&gt;$E117,CE$5&lt;=$F117),IF(CE$5=$E117+1,$C117,""),"")</f>
        <v/>
      </c>
      <c r="CF117" s="34">
        <f>IF(AND(CF$5&gt;$E117,CF$5&lt;=$F117),IF(CF$5=$E117+1,$C117,""),"")</f>
        <v/>
      </c>
      <c r="CG117" s="34">
        <f>IF(AND(CG$5&gt;$E117,CG$5&lt;=$F117),IF(CG$5=$E117+1,$C117,""),"")</f>
        <v/>
      </c>
      <c r="CH117" s="34">
        <f>IF(AND(CH$5&gt;$E117,CH$5&lt;=$F117),IF(CH$5=$E117+1,$C117,""),"")</f>
        <v/>
      </c>
      <c r="CI117" s="34">
        <f>IF(AND(CI$5&gt;$E117,CI$5&lt;=$F117),IF(CI$5=$E117+1,$C117,""),"")</f>
        <v/>
      </c>
      <c r="CJ117" s="34">
        <f>IF(AND(CJ$5&gt;$E117,CJ$5&lt;=$F117),IF(CJ$5=$E117+1,$C117,""),"")</f>
        <v/>
      </c>
      <c r="CK117" s="34">
        <f>IF(AND(CK$5&gt;$E117,CK$5&lt;=$F117),IF(CK$5=$E117+1,$C117,""),"")</f>
        <v/>
      </c>
      <c r="CL117" s="34">
        <f>IF(AND(CL$5&gt;$E117,CL$5&lt;=$F117),IF(CL$5=$E117+1,$C117,""),"")</f>
        <v/>
      </c>
      <c r="CM117" s="34">
        <f>IF(AND(CM$5&gt;$E117,CM$5&lt;=$F117),IF(CM$5=$E117+1,$C117,""),"")</f>
        <v/>
      </c>
      <c r="CN117" s="34">
        <f>IF(AND(CN$5&gt;$E117,CN$5&lt;=$F117),IF(CN$5=$E117+1,$C117,""),"")</f>
        <v/>
      </c>
      <c r="CO117" s="34">
        <f>IF(AND(CO$5&gt;$E117,CO$5&lt;=$F117),IF(CO$5=$E117+1,$C117,""),"")</f>
        <v/>
      </c>
      <c r="CP117" s="34">
        <f>IF(AND(CP$5&gt;$E117,CP$5&lt;=$F117),IF(CP$5=$E117+1,$C117,""),"")</f>
        <v/>
      </c>
      <c r="CQ117" s="34">
        <f>IF(AND(CQ$5&gt;$E117,CQ$5&lt;=$F117),IF(CQ$5=$E117+1,$C117,""),"")</f>
        <v/>
      </c>
      <c r="CR117" s="34">
        <f>IF(AND(CR$5&gt;$E117,CR$5&lt;=$F117),IF(CR$5=$E117+1,$C117,""),"")</f>
        <v/>
      </c>
      <c r="CS117" s="34">
        <f>IF(AND(CS$5&gt;$E117,CS$5&lt;=$F117),IF(CS$5=$E117+1,$C117,""),"")</f>
        <v/>
      </c>
      <c r="CT117" s="34">
        <f>IF(AND(CT$5&gt;$E117,CT$5&lt;=$F117),IF(CT$5=$E117+1,$C117,""),"")</f>
        <v/>
      </c>
      <c r="CU117" s="34">
        <f>IF(AND(CU$5&gt;$E117,CU$5&lt;=$F117),IF(CU$5=$E117+1,$C117,""),"")</f>
        <v/>
      </c>
      <c r="CV117" s="34">
        <f>IF(AND(CV$5&gt;$E117,CV$5&lt;=$F117),IF(CV$5=$E117+1,$C117,""),"")</f>
        <v/>
      </c>
      <c r="CW117" s="34">
        <f>IF(AND(CW$5&gt;$E117,CW$5&lt;=$F117),IF(CW$5=$E117+1,$C117,""),"")</f>
        <v/>
      </c>
      <c r="CX117" s="34">
        <f>IF(AND(CX$5&gt;$E117,CX$5&lt;=$F117),IF(CX$5=$E117+1,$C117,""),"")</f>
        <v/>
      </c>
      <c r="CY117" s="34">
        <f>IF(AND(CY$5&gt;$E117,CY$5&lt;=$F117),IF(CY$5=$E117+1,$C117,""),"")</f>
        <v/>
      </c>
      <c r="CZ117" s="34">
        <f>IF(AND(CZ$5&gt;$E117,CZ$5&lt;=$F117),IF(CZ$5=$E117+1,$C117,""),"")</f>
        <v/>
      </c>
      <c r="DA117" s="34">
        <f>IF(AND(DA$5&gt;$E117,DA$5&lt;=$F117),IF(DA$5=$E117+1,$C117,""),"")</f>
        <v/>
      </c>
      <c r="DB117" s="34">
        <f>IF(AND(DB$5&gt;$E117,DB$5&lt;=$F117),IF(DB$5=$E117+1,$C117,""),"")</f>
        <v/>
      </c>
      <c r="DC117" s="34">
        <f>IF(AND(DC$5&gt;$E117,DC$5&lt;=$F117),IF(DC$5=$E117+1,$C117,""),"")</f>
        <v/>
      </c>
      <c r="DD117" s="34">
        <f>IF(AND(DD$5&gt;$E117,DD$5&lt;=$F117),IF(DD$5=$E117+1,$C117,""),"")</f>
        <v/>
      </c>
      <c r="DE117" s="34">
        <f>IF(AND(DE$5&gt;$E117,DE$5&lt;=$F117),IF(DE$5=$E117+1,$C117,""),"")</f>
        <v/>
      </c>
      <c r="DF117" s="34">
        <f>IF(AND(DF$5&gt;$E117,DF$5&lt;=$F117),IF(DF$5=$E117+1,$C117,""),"")</f>
        <v/>
      </c>
      <c r="DG117" s="34">
        <f>IF(AND(DG$5&gt;$E117,DG$5&lt;=$F117),IF(DG$5=$E117+1,$C117,""),"")</f>
        <v/>
      </c>
      <c r="DH117" s="34">
        <f>IF(AND(DH$5&gt;$E117,DH$5&lt;=$F117),IF(DH$5=$E117+1,$C117,""),"")</f>
        <v/>
      </c>
      <c r="DI117" s="34">
        <f>IF(AND(DI$5&gt;$E117,DI$5&lt;=$F117),IF(DI$5=$E117+1,$C117,""),"")</f>
        <v/>
      </c>
      <c r="DJ117" s="34">
        <f>IF(AND(DJ$5&gt;$E117,DJ$5&lt;=$F117),IF(DJ$5=$E117+1,$C117,""),"")</f>
        <v/>
      </c>
      <c r="DK117" s="34">
        <f>IF(AND(DK$5&gt;$E117,DK$5&lt;=$F117),IF(DK$5=$E117+1,$C117,""),"")</f>
        <v/>
      </c>
      <c r="DL117" s="34">
        <f>IF(AND(DL$5&gt;$E117,DL$5&lt;=$F117),IF(DL$5=$E117+1,$C117,""),"")</f>
        <v/>
      </c>
      <c r="DM117" s="34">
        <f>IF(AND(DM$5&gt;$E117,DM$5&lt;=$F117),IF(DM$5=$E117+1,$C117,""),"")</f>
        <v/>
      </c>
      <c r="DN117" s="34">
        <f>IF(AND(DN$5&gt;$E117,DN$5&lt;=$F117),IF(DN$5=$E117+1,$C117,""),"")</f>
        <v/>
      </c>
      <c r="DO117" s="34">
        <f>IF(AND(DO$5&gt;$E117,DO$5&lt;=$F117),IF(DO$5=$E117+1,$C117,""),"")</f>
        <v/>
      </c>
      <c r="DP117" s="34">
        <f>IF(AND(DP$5&gt;$E117,DP$5&lt;=$F117),IF(DP$5=$E117+1,$C117,""),"")</f>
        <v/>
      </c>
      <c r="DQ117" s="34">
        <f>IF(AND(DQ$5&gt;$E117,DQ$5&lt;=$F117),IF(DQ$5=$E117+1,$C117,""),"")</f>
        <v/>
      </c>
      <c r="DR117" s="34">
        <f>IF(AND(DR$5&gt;$E117,DR$5&lt;=$F117),IF(DR$5=$E117+1,$C117,""),"")</f>
        <v/>
      </c>
      <c r="DS117" s="34">
        <f>IF(AND(DS$5&gt;$E117,DS$5&lt;=$F117),IF(DS$5=$E117+1,$C117,""),"")</f>
        <v/>
      </c>
      <c r="DT117" s="34">
        <f>IF(AND(DT$5&gt;$E117,DT$5&lt;=$F117),IF(DT$5=$E117+1,$C117,""),"")</f>
        <v/>
      </c>
      <c r="DU117" s="34">
        <f>IF(AND(DU$5&gt;$E117,DU$5&lt;=$F117),IF(DU$5=$E117+1,$C117,""),"")</f>
        <v/>
      </c>
      <c r="DV117" s="34">
        <f>IF(AND(DV$5&gt;$E117,DV$5&lt;=$F117),IF(DV$5=$E117+1,$C117,""),"")</f>
        <v/>
      </c>
      <c r="DW117" s="34">
        <f>IF(AND(DW$5&gt;$E117,DW$5&lt;=$F117),IF(DW$5=$E117+1,$C117,""),"")</f>
        <v/>
      </c>
      <c r="DX117" s="34">
        <f>IF(AND(DX$5&gt;$E117,DX$5&lt;=$F117),IF(DX$5=$E117+1,$C117,""),"")</f>
        <v/>
      </c>
      <c r="DY117" s="34">
        <f>IF(AND(DY$5&gt;$E117,DY$5&lt;=$F117),IF(DY$5=$E117+1,$C117,""),"")</f>
        <v/>
      </c>
      <c r="DZ117" s="34">
        <f>IF(AND(DZ$5&gt;$E117,DZ$5&lt;=$F117),IF(DZ$5=$E117+1,$C117,""),"")</f>
        <v/>
      </c>
      <c r="EA117" s="34">
        <f>IF(AND(EA$5&gt;$E117,EA$5&lt;=$F117),IF(EA$5=$E117+1,$C117,""),"")</f>
        <v/>
      </c>
      <c r="EB117" s="34">
        <f>IF(AND(EB$5&gt;$E117,EB$5&lt;=$F117),IF(EB$5=$E117+1,$C117,""),"")</f>
        <v/>
      </c>
      <c r="EC117" s="34">
        <f>IF(AND(EC$5&gt;$E117,EC$5&lt;=$F117),IF(EC$5=$E117+1,$C117,""),"")</f>
        <v/>
      </c>
      <c r="ED117" s="34">
        <f>IF(AND(ED$5&gt;$E117,ED$5&lt;=$F117),IF(ED$5=$E117+1,$C117,""),"")</f>
        <v/>
      </c>
      <c r="EE117" s="34">
        <f>IF(AND(EE$5&gt;$E117,EE$5&lt;=$F117),IF(EE$5=$E117+1,$C117,""),"")</f>
        <v/>
      </c>
      <c r="EF117" s="34">
        <f>IF(AND(EF$5&gt;$E117,EF$5&lt;=$F117),IF(EF$5=$E117+1,$C117,""),"")</f>
        <v/>
      </c>
      <c r="EG117" s="34">
        <f>IF(AND(EG$5&gt;$E117,EG$5&lt;=$F117),IF(EG$5=$E117+1,$C117,""),"")</f>
        <v/>
      </c>
      <c r="EH117" s="34">
        <f>IF(AND(EH$5&gt;$E117,EH$5&lt;=$F117),IF(EH$5=$E117+1,$C117,""),"")</f>
        <v/>
      </c>
      <c r="EI117" s="34">
        <f>IF(AND(EI$5&gt;$E117,EI$5&lt;=$F117),IF(EI$5=$E117+1,$C117,""),"")</f>
        <v/>
      </c>
      <c r="EJ117" s="34">
        <f>IF(AND(EJ$5&gt;$E117,EJ$5&lt;=$F117),IF(EJ$5=$E117+1,$C117,""),"")</f>
        <v/>
      </c>
      <c r="EK117" s="34">
        <f>IF(AND(EK$5&gt;$E117,EK$5&lt;=$F117),IF(EK$5=$E117+1,$C117,""),"")</f>
        <v/>
      </c>
      <c r="EL117" s="34">
        <f>IF(AND(EL$5&gt;$E117,EL$5&lt;=$F117),IF(EL$5=$E117+1,$C117,""),"")</f>
        <v/>
      </c>
      <c r="EM117" s="34">
        <f>IF(AND(EM$5&gt;$E117,EM$5&lt;=$F117),IF(EM$5=$E117+1,$C117,""),"")</f>
        <v/>
      </c>
      <c r="EN117" s="34">
        <f>IF(AND(EN$5&gt;$E117,EN$5&lt;=$F117),IF(EN$5=$E117+1,$C117,""),"")</f>
        <v/>
      </c>
      <c r="EO117" s="34">
        <f>IF(AND(EO$5&gt;$E117,EO$5&lt;=$F117),IF(EO$5=$E117+1,$C117,""),"")</f>
        <v/>
      </c>
      <c r="EP117" s="34">
        <f>IF(AND(EP$5&gt;$E117,EP$5&lt;=$F117),IF(EP$5=$E117+1,$C117,""),"")</f>
        <v/>
      </c>
      <c r="EQ117" s="34">
        <f>IF(AND(EQ$5&gt;$E117,EQ$5&lt;=$F117),IF(EQ$5=$E117+1,$C117,""),"")</f>
        <v/>
      </c>
      <c r="ER117" s="34">
        <f>IF(AND(ER$5&gt;$E117,ER$5&lt;=$F117),IF(ER$5=$E117+1,$C117,""),"")</f>
        <v/>
      </c>
      <c r="ES117" s="34">
        <f>IF(AND(ES$5&gt;$E117,ES$5&lt;=$F117),IF(ES$5=$E117+1,$C117,""),"")</f>
        <v/>
      </c>
      <c r="ET117" s="34">
        <f>IF(AND(ET$5&gt;$E117,ET$5&lt;=$F117),IF(ET$5=$E117+1,$C117,""),"")</f>
        <v/>
      </c>
      <c r="EU117" s="34">
        <f>IF(AND(EU$5&gt;$E117,EU$5&lt;=$F117),IF(EU$5=$E117+1,$C117,""),"")</f>
        <v/>
      </c>
      <c r="EV117" s="34">
        <f>IF(AND(EV$5&gt;$E117,EV$5&lt;=$F117),IF(EV$5=$E117+1,$C117,""),"")</f>
        <v/>
      </c>
      <c r="EW117" s="34">
        <f>IF(AND(EW$5&gt;$E117,EW$5&lt;=$F117),IF(EW$5=$E117+1,$C117,""),"")</f>
        <v/>
      </c>
      <c r="EX117" s="34">
        <f>IF(AND(EX$5&gt;$E117,EX$5&lt;=$F117),IF(EX$5=$E117+1,$C117,""),"")</f>
        <v/>
      </c>
      <c r="EY117" s="34">
        <f>IF(AND(EY$5&gt;$E117,EY$5&lt;=$F117),IF(EY$5=$E117+1,$C117,""),"")</f>
        <v/>
      </c>
      <c r="EZ117" s="34">
        <f>IF(AND(EZ$5&gt;$E117,EZ$5&lt;=$F117),IF(EZ$5=$E117+1,$C117,""),"")</f>
        <v/>
      </c>
      <c r="FA117" s="34">
        <f>IF(AND(FA$5&gt;$E117,FA$5&lt;=$F117),IF(FA$5=$E117+1,$C117,""),"")</f>
        <v/>
      </c>
    </row>
    <row r="118">
      <c r="A118" s="32">
        <f>Plan!A87</f>
        <v/>
      </c>
      <c r="B118" s="33">
        <f>Plan!C87</f>
        <v/>
      </c>
      <c r="C118" s="16">
        <f>Plan!D87</f>
        <v/>
      </c>
      <c r="D118" s="16">
        <f>Plan!I87</f>
        <v/>
      </c>
      <c r="E118" s="16">
        <f>Plan!K87</f>
        <v/>
      </c>
      <c r="F118" s="16">
        <f>Plan!L87</f>
        <v/>
      </c>
      <c r="G118" s="16">
        <f>Plan!O87</f>
        <v/>
      </c>
      <c r="H118" s="34">
        <f>IF(AND(H$5&gt;$E118,H$5&lt;=$F118),IF(H$5=$E118+1,$C118,""),"")</f>
        <v/>
      </c>
      <c r="I118" s="34">
        <f>IF(AND(I$5&gt;$E118,I$5&lt;=$F118),IF(I$5=$E118+1,$C118,""),"")</f>
        <v/>
      </c>
      <c r="J118" s="34">
        <f>IF(AND(J$5&gt;$E118,J$5&lt;=$F118),IF(J$5=$E118+1,$C118,""),"")</f>
        <v/>
      </c>
      <c r="K118" s="34">
        <f>IF(AND(K$5&gt;$E118,K$5&lt;=$F118),IF(K$5=$E118+1,$C118,""),"")</f>
        <v/>
      </c>
      <c r="L118" s="34">
        <f>IF(AND(L$5&gt;$E118,L$5&lt;=$F118),IF(L$5=$E118+1,$C118,""),"")</f>
        <v/>
      </c>
      <c r="M118" s="34">
        <f>IF(AND(M$5&gt;$E118,M$5&lt;=$F118),IF(M$5=$E118+1,$C118,""),"")</f>
        <v/>
      </c>
      <c r="N118" s="34">
        <f>IF(AND(N$5&gt;$E118,N$5&lt;=$F118),IF(N$5=$E118+1,$C118,""),"")</f>
        <v/>
      </c>
      <c r="O118" s="34">
        <f>IF(AND(O$5&gt;$E118,O$5&lt;=$F118),IF(O$5=$E118+1,$C118,""),"")</f>
        <v/>
      </c>
      <c r="P118" s="34">
        <f>IF(AND(P$5&gt;$E118,P$5&lt;=$F118),IF(P$5=$E118+1,$C118,""),"")</f>
        <v/>
      </c>
      <c r="Q118" s="34">
        <f>IF(AND(Q$5&gt;$E118,Q$5&lt;=$F118),IF(Q$5=$E118+1,$C118,""),"")</f>
        <v/>
      </c>
      <c r="R118" s="34">
        <f>IF(AND(R$5&gt;$E118,R$5&lt;=$F118),IF(R$5=$E118+1,$C118,""),"")</f>
        <v/>
      </c>
      <c r="S118" s="34">
        <f>IF(AND(S$5&gt;$E118,S$5&lt;=$F118),IF(S$5=$E118+1,$C118,""),"")</f>
        <v/>
      </c>
      <c r="T118" s="34">
        <f>IF(AND(T$5&gt;$E118,T$5&lt;=$F118),IF(T$5=$E118+1,$C118,""),"")</f>
        <v/>
      </c>
      <c r="U118" s="34">
        <f>IF(AND(U$5&gt;$E118,U$5&lt;=$F118),IF(U$5=$E118+1,$C118,""),"")</f>
        <v/>
      </c>
      <c r="V118" s="34">
        <f>IF(AND(V$5&gt;$E118,V$5&lt;=$F118),IF(V$5=$E118+1,$C118,""),"")</f>
        <v/>
      </c>
      <c r="W118" s="34">
        <f>IF(AND(W$5&gt;$E118,W$5&lt;=$F118),IF(W$5=$E118+1,$C118,""),"")</f>
        <v/>
      </c>
      <c r="X118" s="34">
        <f>IF(AND(X$5&gt;$E118,X$5&lt;=$F118),IF(X$5=$E118+1,$C118,""),"")</f>
        <v/>
      </c>
      <c r="Y118" s="34">
        <f>IF(AND(Y$5&gt;$E118,Y$5&lt;=$F118),IF(Y$5=$E118+1,$C118,""),"")</f>
        <v/>
      </c>
      <c r="Z118" s="34">
        <f>IF(AND(Z$5&gt;$E118,Z$5&lt;=$F118),IF(Z$5=$E118+1,$C118,""),"")</f>
        <v/>
      </c>
      <c r="AA118" s="34">
        <f>IF(AND(AA$5&gt;$E118,AA$5&lt;=$F118),IF(AA$5=$E118+1,$C118,""),"")</f>
        <v/>
      </c>
      <c r="AB118" s="34">
        <f>IF(AND(AB$5&gt;$E118,AB$5&lt;=$F118),IF(AB$5=$E118+1,$C118,""),"")</f>
        <v/>
      </c>
      <c r="AC118" s="34">
        <f>IF(AND(AC$5&gt;$E118,AC$5&lt;=$F118),IF(AC$5=$E118+1,$C118,""),"")</f>
        <v/>
      </c>
      <c r="AD118" s="34">
        <f>IF(AND(AD$5&gt;$E118,AD$5&lt;=$F118),IF(AD$5=$E118+1,$C118,""),"")</f>
        <v/>
      </c>
      <c r="AE118" s="34">
        <f>IF(AND(AE$5&gt;$E118,AE$5&lt;=$F118),IF(AE$5=$E118+1,$C118,""),"")</f>
        <v/>
      </c>
      <c r="AF118" s="34">
        <f>IF(AND(AF$5&gt;$E118,AF$5&lt;=$F118),IF(AF$5=$E118+1,$C118,""),"")</f>
        <v/>
      </c>
      <c r="AG118" s="34">
        <f>IF(AND(AG$5&gt;$E118,AG$5&lt;=$F118),IF(AG$5=$E118+1,$C118,""),"")</f>
        <v/>
      </c>
      <c r="AH118" s="34">
        <f>IF(AND(AH$5&gt;$E118,AH$5&lt;=$F118),IF(AH$5=$E118+1,$C118,""),"")</f>
        <v/>
      </c>
      <c r="AI118" s="34">
        <f>IF(AND(AI$5&gt;$E118,AI$5&lt;=$F118),IF(AI$5=$E118+1,$C118,""),"")</f>
        <v/>
      </c>
      <c r="AJ118" s="34">
        <f>IF(AND(AJ$5&gt;$E118,AJ$5&lt;=$F118),IF(AJ$5=$E118+1,$C118,""),"")</f>
        <v/>
      </c>
      <c r="AK118" s="34">
        <f>IF(AND(AK$5&gt;$E118,AK$5&lt;=$F118),IF(AK$5=$E118+1,$C118,""),"")</f>
        <v/>
      </c>
      <c r="AL118" s="34">
        <f>IF(AND(AL$5&gt;$E118,AL$5&lt;=$F118),IF(AL$5=$E118+1,$C118,""),"")</f>
        <v/>
      </c>
      <c r="AM118" s="34">
        <f>IF(AND(AM$5&gt;$E118,AM$5&lt;=$F118),IF(AM$5=$E118+1,$C118,""),"")</f>
        <v/>
      </c>
      <c r="AN118" s="34">
        <f>IF(AND(AN$5&gt;$E118,AN$5&lt;=$F118),IF(AN$5=$E118+1,$C118,""),"")</f>
        <v/>
      </c>
      <c r="AO118" s="34">
        <f>IF(AND(AO$5&gt;$E118,AO$5&lt;=$F118),IF(AO$5=$E118+1,$C118,""),"")</f>
        <v/>
      </c>
      <c r="AP118" s="34">
        <f>IF(AND(AP$5&gt;$E118,AP$5&lt;=$F118),IF(AP$5=$E118+1,$C118,""),"")</f>
        <v/>
      </c>
      <c r="AQ118" s="34">
        <f>IF(AND(AQ$5&gt;$E118,AQ$5&lt;=$F118),IF(AQ$5=$E118+1,$C118,""),"")</f>
        <v/>
      </c>
      <c r="AR118" s="34">
        <f>IF(AND(AR$5&gt;$E118,AR$5&lt;=$F118),IF(AR$5=$E118+1,$C118,""),"")</f>
        <v/>
      </c>
      <c r="AS118" s="34">
        <f>IF(AND(AS$5&gt;$E118,AS$5&lt;=$F118),IF(AS$5=$E118+1,$C118,""),"")</f>
        <v/>
      </c>
      <c r="AT118" s="34">
        <f>IF(AND(AT$5&gt;$E118,AT$5&lt;=$F118),IF(AT$5=$E118+1,$C118,""),"")</f>
        <v/>
      </c>
      <c r="AU118" s="34">
        <f>IF(AND(AU$5&gt;$E118,AU$5&lt;=$F118),IF(AU$5=$E118+1,$C118,""),"")</f>
        <v/>
      </c>
      <c r="AV118" s="34">
        <f>IF(AND(AV$5&gt;$E118,AV$5&lt;=$F118),IF(AV$5=$E118+1,$C118,""),"")</f>
        <v/>
      </c>
      <c r="AW118" s="34">
        <f>IF(AND(AW$5&gt;$E118,AW$5&lt;=$F118),IF(AW$5=$E118+1,$C118,""),"")</f>
        <v/>
      </c>
      <c r="AX118" s="34">
        <f>IF(AND(AX$5&gt;$E118,AX$5&lt;=$F118),IF(AX$5=$E118+1,$C118,""),"")</f>
        <v/>
      </c>
      <c r="AY118" s="34">
        <f>IF(AND(AY$5&gt;$E118,AY$5&lt;=$F118),IF(AY$5=$E118+1,$C118,""),"")</f>
        <v/>
      </c>
      <c r="AZ118" s="34">
        <f>IF(AND(AZ$5&gt;$E118,AZ$5&lt;=$F118),IF(AZ$5=$E118+1,$C118,""),"")</f>
        <v/>
      </c>
      <c r="BA118" s="34">
        <f>IF(AND(BA$5&gt;$E118,BA$5&lt;=$F118),IF(BA$5=$E118+1,$C118,""),"")</f>
        <v/>
      </c>
      <c r="BB118" s="34">
        <f>IF(AND(BB$5&gt;$E118,BB$5&lt;=$F118),IF(BB$5=$E118+1,$C118,""),"")</f>
        <v/>
      </c>
      <c r="BC118" s="34">
        <f>IF(AND(BC$5&gt;$E118,BC$5&lt;=$F118),IF(BC$5=$E118+1,$C118,""),"")</f>
        <v/>
      </c>
      <c r="BD118" s="34">
        <f>IF(AND(BD$5&gt;$E118,BD$5&lt;=$F118),IF(BD$5=$E118+1,$C118,""),"")</f>
        <v/>
      </c>
      <c r="BE118" s="34">
        <f>IF(AND(BE$5&gt;$E118,BE$5&lt;=$F118),IF(BE$5=$E118+1,$C118,""),"")</f>
        <v/>
      </c>
      <c r="BF118" s="34">
        <f>IF(AND(BF$5&gt;$E118,BF$5&lt;=$F118),IF(BF$5=$E118+1,$C118,""),"")</f>
        <v/>
      </c>
      <c r="BG118" s="34">
        <f>IF(AND(BG$5&gt;$E118,BG$5&lt;=$F118),IF(BG$5=$E118+1,$C118,""),"")</f>
        <v/>
      </c>
      <c r="BH118" s="34">
        <f>IF(AND(BH$5&gt;$E118,BH$5&lt;=$F118),IF(BH$5=$E118+1,$C118,""),"")</f>
        <v/>
      </c>
      <c r="BI118" s="34">
        <f>IF(AND(BI$5&gt;$E118,BI$5&lt;=$F118),IF(BI$5=$E118+1,$C118,""),"")</f>
        <v/>
      </c>
      <c r="BJ118" s="34">
        <f>IF(AND(BJ$5&gt;$E118,BJ$5&lt;=$F118),IF(BJ$5=$E118+1,$C118,""),"")</f>
        <v/>
      </c>
      <c r="BK118" s="34">
        <f>IF(AND(BK$5&gt;$E118,BK$5&lt;=$F118),IF(BK$5=$E118+1,$C118,""),"")</f>
        <v/>
      </c>
      <c r="BL118" s="34">
        <f>IF(AND(BL$5&gt;$E118,BL$5&lt;=$F118),IF(BL$5=$E118+1,$C118,""),"")</f>
        <v/>
      </c>
      <c r="BM118" s="34">
        <f>IF(AND(BM$5&gt;$E118,BM$5&lt;=$F118),IF(BM$5=$E118+1,$C118,""),"")</f>
        <v/>
      </c>
      <c r="BN118" s="34">
        <f>IF(AND(BN$5&gt;$E118,BN$5&lt;=$F118),IF(BN$5=$E118+1,$C118,""),"")</f>
        <v/>
      </c>
      <c r="BO118" s="34">
        <f>IF(AND(BO$5&gt;$E118,BO$5&lt;=$F118),IF(BO$5=$E118+1,$C118,""),"")</f>
        <v/>
      </c>
      <c r="BP118" s="34">
        <f>IF(AND(BP$5&gt;$E118,BP$5&lt;=$F118),IF(BP$5=$E118+1,$C118,""),"")</f>
        <v/>
      </c>
      <c r="BQ118" s="34">
        <f>IF(AND(BQ$5&gt;$E118,BQ$5&lt;=$F118),IF(BQ$5=$E118+1,$C118,""),"")</f>
        <v/>
      </c>
      <c r="BR118" s="34">
        <f>IF(AND(BR$5&gt;$E118,BR$5&lt;=$F118),IF(BR$5=$E118+1,$C118,""),"")</f>
        <v/>
      </c>
      <c r="BS118" s="34">
        <f>IF(AND(BS$5&gt;$E118,BS$5&lt;=$F118),IF(BS$5=$E118+1,$C118,""),"")</f>
        <v/>
      </c>
      <c r="BT118" s="34">
        <f>IF(AND(BT$5&gt;$E118,BT$5&lt;=$F118),IF(BT$5=$E118+1,$C118,""),"")</f>
        <v/>
      </c>
      <c r="BU118" s="34">
        <f>IF(AND(BU$5&gt;$E118,BU$5&lt;=$F118),IF(BU$5=$E118+1,$C118,""),"")</f>
        <v/>
      </c>
      <c r="BV118" s="34">
        <f>IF(AND(BV$5&gt;$E118,BV$5&lt;=$F118),IF(BV$5=$E118+1,$C118,""),"")</f>
        <v/>
      </c>
      <c r="BW118" s="34">
        <f>IF(AND(BW$5&gt;$E118,BW$5&lt;=$F118),IF(BW$5=$E118+1,$C118,""),"")</f>
        <v/>
      </c>
      <c r="BX118" s="34">
        <f>IF(AND(BX$5&gt;$E118,BX$5&lt;=$F118),IF(BX$5=$E118+1,$C118,""),"")</f>
        <v/>
      </c>
      <c r="BY118" s="34">
        <f>IF(AND(BY$5&gt;$E118,BY$5&lt;=$F118),IF(BY$5=$E118+1,$C118,""),"")</f>
        <v/>
      </c>
      <c r="BZ118" s="34">
        <f>IF(AND(BZ$5&gt;$E118,BZ$5&lt;=$F118),IF(BZ$5=$E118+1,$C118,""),"")</f>
        <v/>
      </c>
      <c r="CA118" s="34">
        <f>IF(AND(CA$5&gt;$E118,CA$5&lt;=$F118),IF(CA$5=$E118+1,$C118,""),"")</f>
        <v/>
      </c>
      <c r="CB118" s="34">
        <f>IF(AND(CB$5&gt;$E118,CB$5&lt;=$F118),IF(CB$5=$E118+1,$C118,""),"")</f>
        <v/>
      </c>
      <c r="CC118" s="34">
        <f>IF(AND(CC$5&gt;$E118,CC$5&lt;=$F118),IF(CC$5=$E118+1,$C118,""),"")</f>
        <v/>
      </c>
      <c r="CD118" s="34">
        <f>IF(AND(CD$5&gt;$E118,CD$5&lt;=$F118),IF(CD$5=$E118+1,$C118,""),"")</f>
        <v/>
      </c>
      <c r="CE118" s="34">
        <f>IF(AND(CE$5&gt;$E118,CE$5&lt;=$F118),IF(CE$5=$E118+1,$C118,""),"")</f>
        <v/>
      </c>
      <c r="CF118" s="34">
        <f>IF(AND(CF$5&gt;$E118,CF$5&lt;=$F118),IF(CF$5=$E118+1,$C118,""),"")</f>
        <v/>
      </c>
      <c r="CG118" s="34">
        <f>IF(AND(CG$5&gt;$E118,CG$5&lt;=$F118),IF(CG$5=$E118+1,$C118,""),"")</f>
        <v/>
      </c>
      <c r="CH118" s="34">
        <f>IF(AND(CH$5&gt;$E118,CH$5&lt;=$F118),IF(CH$5=$E118+1,$C118,""),"")</f>
        <v/>
      </c>
      <c r="CI118" s="34">
        <f>IF(AND(CI$5&gt;$E118,CI$5&lt;=$F118),IF(CI$5=$E118+1,$C118,""),"")</f>
        <v/>
      </c>
      <c r="CJ118" s="34">
        <f>IF(AND(CJ$5&gt;$E118,CJ$5&lt;=$F118),IF(CJ$5=$E118+1,$C118,""),"")</f>
        <v/>
      </c>
      <c r="CK118" s="34">
        <f>IF(AND(CK$5&gt;$E118,CK$5&lt;=$F118),IF(CK$5=$E118+1,$C118,""),"")</f>
        <v/>
      </c>
      <c r="CL118" s="34">
        <f>IF(AND(CL$5&gt;$E118,CL$5&lt;=$F118),IF(CL$5=$E118+1,$C118,""),"")</f>
        <v/>
      </c>
      <c r="CM118" s="34">
        <f>IF(AND(CM$5&gt;$E118,CM$5&lt;=$F118),IF(CM$5=$E118+1,$C118,""),"")</f>
        <v/>
      </c>
      <c r="CN118" s="34">
        <f>IF(AND(CN$5&gt;$E118,CN$5&lt;=$F118),IF(CN$5=$E118+1,$C118,""),"")</f>
        <v/>
      </c>
      <c r="CO118" s="34">
        <f>IF(AND(CO$5&gt;$E118,CO$5&lt;=$F118),IF(CO$5=$E118+1,$C118,""),"")</f>
        <v/>
      </c>
      <c r="CP118" s="34">
        <f>IF(AND(CP$5&gt;$E118,CP$5&lt;=$F118),IF(CP$5=$E118+1,$C118,""),"")</f>
        <v/>
      </c>
      <c r="CQ118" s="34">
        <f>IF(AND(CQ$5&gt;$E118,CQ$5&lt;=$F118),IF(CQ$5=$E118+1,$C118,""),"")</f>
        <v/>
      </c>
      <c r="CR118" s="34">
        <f>IF(AND(CR$5&gt;$E118,CR$5&lt;=$F118),IF(CR$5=$E118+1,$C118,""),"")</f>
        <v/>
      </c>
      <c r="CS118" s="34">
        <f>IF(AND(CS$5&gt;$E118,CS$5&lt;=$F118),IF(CS$5=$E118+1,$C118,""),"")</f>
        <v/>
      </c>
      <c r="CT118" s="34">
        <f>IF(AND(CT$5&gt;$E118,CT$5&lt;=$F118),IF(CT$5=$E118+1,$C118,""),"")</f>
        <v/>
      </c>
      <c r="CU118" s="34">
        <f>IF(AND(CU$5&gt;$E118,CU$5&lt;=$F118),IF(CU$5=$E118+1,$C118,""),"")</f>
        <v/>
      </c>
      <c r="CV118" s="34">
        <f>IF(AND(CV$5&gt;$E118,CV$5&lt;=$F118),IF(CV$5=$E118+1,$C118,""),"")</f>
        <v/>
      </c>
      <c r="CW118" s="34">
        <f>IF(AND(CW$5&gt;$E118,CW$5&lt;=$F118),IF(CW$5=$E118+1,$C118,""),"")</f>
        <v/>
      </c>
      <c r="CX118" s="34">
        <f>IF(AND(CX$5&gt;$E118,CX$5&lt;=$F118),IF(CX$5=$E118+1,$C118,""),"")</f>
        <v/>
      </c>
      <c r="CY118" s="34">
        <f>IF(AND(CY$5&gt;$E118,CY$5&lt;=$F118),IF(CY$5=$E118+1,$C118,""),"")</f>
        <v/>
      </c>
      <c r="CZ118" s="34">
        <f>IF(AND(CZ$5&gt;$E118,CZ$5&lt;=$F118),IF(CZ$5=$E118+1,$C118,""),"")</f>
        <v/>
      </c>
      <c r="DA118" s="34">
        <f>IF(AND(DA$5&gt;$E118,DA$5&lt;=$F118),IF(DA$5=$E118+1,$C118,""),"")</f>
        <v/>
      </c>
      <c r="DB118" s="34">
        <f>IF(AND(DB$5&gt;$E118,DB$5&lt;=$F118),IF(DB$5=$E118+1,$C118,""),"")</f>
        <v/>
      </c>
      <c r="DC118" s="34">
        <f>IF(AND(DC$5&gt;$E118,DC$5&lt;=$F118),IF(DC$5=$E118+1,$C118,""),"")</f>
        <v/>
      </c>
      <c r="DD118" s="34">
        <f>IF(AND(DD$5&gt;$E118,DD$5&lt;=$F118),IF(DD$5=$E118+1,$C118,""),"")</f>
        <v/>
      </c>
      <c r="DE118" s="34">
        <f>IF(AND(DE$5&gt;$E118,DE$5&lt;=$F118),IF(DE$5=$E118+1,$C118,""),"")</f>
        <v/>
      </c>
      <c r="DF118" s="34">
        <f>IF(AND(DF$5&gt;$E118,DF$5&lt;=$F118),IF(DF$5=$E118+1,$C118,""),"")</f>
        <v/>
      </c>
      <c r="DG118" s="34">
        <f>IF(AND(DG$5&gt;$E118,DG$5&lt;=$F118),IF(DG$5=$E118+1,$C118,""),"")</f>
        <v/>
      </c>
      <c r="DH118" s="34">
        <f>IF(AND(DH$5&gt;$E118,DH$5&lt;=$F118),IF(DH$5=$E118+1,$C118,""),"")</f>
        <v/>
      </c>
      <c r="DI118" s="34">
        <f>IF(AND(DI$5&gt;$E118,DI$5&lt;=$F118),IF(DI$5=$E118+1,$C118,""),"")</f>
        <v/>
      </c>
      <c r="DJ118" s="34">
        <f>IF(AND(DJ$5&gt;$E118,DJ$5&lt;=$F118),IF(DJ$5=$E118+1,$C118,""),"")</f>
        <v/>
      </c>
      <c r="DK118" s="34">
        <f>IF(AND(DK$5&gt;$E118,DK$5&lt;=$F118),IF(DK$5=$E118+1,$C118,""),"")</f>
        <v/>
      </c>
      <c r="DL118" s="34">
        <f>IF(AND(DL$5&gt;$E118,DL$5&lt;=$F118),IF(DL$5=$E118+1,$C118,""),"")</f>
        <v/>
      </c>
      <c r="DM118" s="34">
        <f>IF(AND(DM$5&gt;$E118,DM$5&lt;=$F118),IF(DM$5=$E118+1,$C118,""),"")</f>
        <v/>
      </c>
      <c r="DN118" s="34">
        <f>IF(AND(DN$5&gt;$E118,DN$5&lt;=$F118),IF(DN$5=$E118+1,$C118,""),"")</f>
        <v/>
      </c>
      <c r="DO118" s="34">
        <f>IF(AND(DO$5&gt;$E118,DO$5&lt;=$F118),IF(DO$5=$E118+1,$C118,""),"")</f>
        <v/>
      </c>
      <c r="DP118" s="34">
        <f>IF(AND(DP$5&gt;$E118,DP$5&lt;=$F118),IF(DP$5=$E118+1,$C118,""),"")</f>
        <v/>
      </c>
      <c r="DQ118" s="34">
        <f>IF(AND(DQ$5&gt;$E118,DQ$5&lt;=$F118),IF(DQ$5=$E118+1,$C118,""),"")</f>
        <v/>
      </c>
      <c r="DR118" s="34">
        <f>IF(AND(DR$5&gt;$E118,DR$5&lt;=$F118),IF(DR$5=$E118+1,$C118,""),"")</f>
        <v/>
      </c>
      <c r="DS118" s="34">
        <f>IF(AND(DS$5&gt;$E118,DS$5&lt;=$F118),IF(DS$5=$E118+1,$C118,""),"")</f>
        <v/>
      </c>
      <c r="DT118" s="34">
        <f>IF(AND(DT$5&gt;$E118,DT$5&lt;=$F118),IF(DT$5=$E118+1,$C118,""),"")</f>
        <v/>
      </c>
      <c r="DU118" s="34">
        <f>IF(AND(DU$5&gt;$E118,DU$5&lt;=$F118),IF(DU$5=$E118+1,$C118,""),"")</f>
        <v/>
      </c>
      <c r="DV118" s="34">
        <f>IF(AND(DV$5&gt;$E118,DV$5&lt;=$F118),IF(DV$5=$E118+1,$C118,""),"")</f>
        <v/>
      </c>
      <c r="DW118" s="34">
        <f>IF(AND(DW$5&gt;$E118,DW$5&lt;=$F118),IF(DW$5=$E118+1,$C118,""),"")</f>
        <v/>
      </c>
      <c r="DX118" s="34">
        <f>IF(AND(DX$5&gt;$E118,DX$5&lt;=$F118),IF(DX$5=$E118+1,$C118,""),"")</f>
        <v/>
      </c>
      <c r="DY118" s="34">
        <f>IF(AND(DY$5&gt;$E118,DY$5&lt;=$F118),IF(DY$5=$E118+1,$C118,""),"")</f>
        <v/>
      </c>
      <c r="DZ118" s="34">
        <f>IF(AND(DZ$5&gt;$E118,DZ$5&lt;=$F118),IF(DZ$5=$E118+1,$C118,""),"")</f>
        <v/>
      </c>
      <c r="EA118" s="34">
        <f>IF(AND(EA$5&gt;$E118,EA$5&lt;=$F118),IF(EA$5=$E118+1,$C118,""),"")</f>
        <v/>
      </c>
      <c r="EB118" s="34">
        <f>IF(AND(EB$5&gt;$E118,EB$5&lt;=$F118),IF(EB$5=$E118+1,$C118,""),"")</f>
        <v/>
      </c>
      <c r="EC118" s="34">
        <f>IF(AND(EC$5&gt;$E118,EC$5&lt;=$F118),IF(EC$5=$E118+1,$C118,""),"")</f>
        <v/>
      </c>
      <c r="ED118" s="34">
        <f>IF(AND(ED$5&gt;$E118,ED$5&lt;=$F118),IF(ED$5=$E118+1,$C118,""),"")</f>
        <v/>
      </c>
      <c r="EE118" s="34">
        <f>IF(AND(EE$5&gt;$E118,EE$5&lt;=$F118),IF(EE$5=$E118+1,$C118,""),"")</f>
        <v/>
      </c>
      <c r="EF118" s="34">
        <f>IF(AND(EF$5&gt;$E118,EF$5&lt;=$F118),IF(EF$5=$E118+1,$C118,""),"")</f>
        <v/>
      </c>
      <c r="EG118" s="34">
        <f>IF(AND(EG$5&gt;$E118,EG$5&lt;=$F118),IF(EG$5=$E118+1,$C118,""),"")</f>
        <v/>
      </c>
      <c r="EH118" s="34">
        <f>IF(AND(EH$5&gt;$E118,EH$5&lt;=$F118),IF(EH$5=$E118+1,$C118,""),"")</f>
        <v/>
      </c>
      <c r="EI118" s="34">
        <f>IF(AND(EI$5&gt;$E118,EI$5&lt;=$F118),IF(EI$5=$E118+1,$C118,""),"")</f>
        <v/>
      </c>
      <c r="EJ118" s="34">
        <f>IF(AND(EJ$5&gt;$E118,EJ$5&lt;=$F118),IF(EJ$5=$E118+1,$C118,""),"")</f>
        <v/>
      </c>
      <c r="EK118" s="34">
        <f>IF(AND(EK$5&gt;$E118,EK$5&lt;=$F118),IF(EK$5=$E118+1,$C118,""),"")</f>
        <v/>
      </c>
      <c r="EL118" s="34">
        <f>IF(AND(EL$5&gt;$E118,EL$5&lt;=$F118),IF(EL$5=$E118+1,$C118,""),"")</f>
        <v/>
      </c>
      <c r="EM118" s="34">
        <f>IF(AND(EM$5&gt;$E118,EM$5&lt;=$F118),IF(EM$5=$E118+1,$C118,""),"")</f>
        <v/>
      </c>
      <c r="EN118" s="34">
        <f>IF(AND(EN$5&gt;$E118,EN$5&lt;=$F118),IF(EN$5=$E118+1,$C118,""),"")</f>
        <v/>
      </c>
      <c r="EO118" s="34">
        <f>IF(AND(EO$5&gt;$E118,EO$5&lt;=$F118),IF(EO$5=$E118+1,$C118,""),"")</f>
        <v/>
      </c>
      <c r="EP118" s="34">
        <f>IF(AND(EP$5&gt;$E118,EP$5&lt;=$F118),IF(EP$5=$E118+1,$C118,""),"")</f>
        <v/>
      </c>
      <c r="EQ118" s="34">
        <f>IF(AND(EQ$5&gt;$E118,EQ$5&lt;=$F118),IF(EQ$5=$E118+1,$C118,""),"")</f>
        <v/>
      </c>
      <c r="ER118" s="34">
        <f>IF(AND(ER$5&gt;$E118,ER$5&lt;=$F118),IF(ER$5=$E118+1,$C118,""),"")</f>
        <v/>
      </c>
      <c r="ES118" s="34">
        <f>IF(AND(ES$5&gt;$E118,ES$5&lt;=$F118),IF(ES$5=$E118+1,$C118,""),"")</f>
        <v/>
      </c>
      <c r="ET118" s="34">
        <f>IF(AND(ET$5&gt;$E118,ET$5&lt;=$F118),IF(ET$5=$E118+1,$C118,""),"")</f>
        <v/>
      </c>
      <c r="EU118" s="34">
        <f>IF(AND(EU$5&gt;$E118,EU$5&lt;=$F118),IF(EU$5=$E118+1,$C118,""),"")</f>
        <v/>
      </c>
      <c r="EV118" s="34">
        <f>IF(AND(EV$5&gt;$E118,EV$5&lt;=$F118),IF(EV$5=$E118+1,$C118,""),"")</f>
        <v/>
      </c>
      <c r="EW118" s="34">
        <f>IF(AND(EW$5&gt;$E118,EW$5&lt;=$F118),IF(EW$5=$E118+1,$C118,""),"")</f>
        <v/>
      </c>
      <c r="EX118" s="34">
        <f>IF(AND(EX$5&gt;$E118,EX$5&lt;=$F118),IF(EX$5=$E118+1,$C118,""),"")</f>
        <v/>
      </c>
      <c r="EY118" s="34">
        <f>IF(AND(EY$5&gt;$E118,EY$5&lt;=$F118),IF(EY$5=$E118+1,$C118,""),"")</f>
        <v/>
      </c>
      <c r="EZ118" s="34">
        <f>IF(AND(EZ$5&gt;$E118,EZ$5&lt;=$F118),IF(EZ$5=$E118+1,$C118,""),"")</f>
        <v/>
      </c>
      <c r="FA118" s="34">
        <f>IF(AND(FA$5&gt;$E118,FA$5&lt;=$F118),IF(FA$5=$E118+1,$C118,""),"")</f>
        <v/>
      </c>
    </row>
    <row r="119">
      <c r="A119" s="32">
        <f>Plan!A88</f>
        <v/>
      </c>
      <c r="B119" s="33">
        <f>Plan!C88</f>
        <v/>
      </c>
      <c r="C119" s="16">
        <f>Plan!D88</f>
        <v/>
      </c>
      <c r="D119" s="16">
        <f>Plan!I88</f>
        <v/>
      </c>
      <c r="E119" s="16">
        <f>Plan!K88</f>
        <v/>
      </c>
      <c r="F119" s="16">
        <f>Plan!L88</f>
        <v/>
      </c>
      <c r="G119" s="16">
        <f>Plan!O88</f>
        <v/>
      </c>
      <c r="H119" s="34">
        <f>IF(AND(H$5&gt;$E119,H$5&lt;=$F119),IF(H$5=$E119+1,$C119,""),"")</f>
        <v/>
      </c>
      <c r="I119" s="34">
        <f>IF(AND(I$5&gt;$E119,I$5&lt;=$F119),IF(I$5=$E119+1,$C119,""),"")</f>
        <v/>
      </c>
      <c r="J119" s="34">
        <f>IF(AND(J$5&gt;$E119,J$5&lt;=$F119),IF(J$5=$E119+1,$C119,""),"")</f>
        <v/>
      </c>
      <c r="K119" s="34">
        <f>IF(AND(K$5&gt;$E119,K$5&lt;=$F119),IF(K$5=$E119+1,$C119,""),"")</f>
        <v/>
      </c>
      <c r="L119" s="34">
        <f>IF(AND(L$5&gt;$E119,L$5&lt;=$F119),IF(L$5=$E119+1,$C119,""),"")</f>
        <v/>
      </c>
      <c r="M119" s="34">
        <f>IF(AND(M$5&gt;$E119,M$5&lt;=$F119),IF(M$5=$E119+1,$C119,""),"")</f>
        <v/>
      </c>
      <c r="N119" s="34">
        <f>IF(AND(N$5&gt;$E119,N$5&lt;=$F119),IF(N$5=$E119+1,$C119,""),"")</f>
        <v/>
      </c>
      <c r="O119" s="34">
        <f>IF(AND(O$5&gt;$E119,O$5&lt;=$F119),IF(O$5=$E119+1,$C119,""),"")</f>
        <v/>
      </c>
      <c r="P119" s="34">
        <f>IF(AND(P$5&gt;$E119,P$5&lt;=$F119),IF(P$5=$E119+1,$C119,""),"")</f>
        <v/>
      </c>
      <c r="Q119" s="34">
        <f>IF(AND(Q$5&gt;$E119,Q$5&lt;=$F119),IF(Q$5=$E119+1,$C119,""),"")</f>
        <v/>
      </c>
      <c r="R119" s="34">
        <f>IF(AND(R$5&gt;$E119,R$5&lt;=$F119),IF(R$5=$E119+1,$C119,""),"")</f>
        <v/>
      </c>
      <c r="S119" s="34">
        <f>IF(AND(S$5&gt;$E119,S$5&lt;=$F119),IF(S$5=$E119+1,$C119,""),"")</f>
        <v/>
      </c>
      <c r="T119" s="34">
        <f>IF(AND(T$5&gt;$E119,T$5&lt;=$F119),IF(T$5=$E119+1,$C119,""),"")</f>
        <v/>
      </c>
      <c r="U119" s="34">
        <f>IF(AND(U$5&gt;$E119,U$5&lt;=$F119),IF(U$5=$E119+1,$C119,""),"")</f>
        <v/>
      </c>
      <c r="V119" s="34">
        <f>IF(AND(V$5&gt;$E119,V$5&lt;=$F119),IF(V$5=$E119+1,$C119,""),"")</f>
        <v/>
      </c>
      <c r="W119" s="34">
        <f>IF(AND(W$5&gt;$E119,W$5&lt;=$F119),IF(W$5=$E119+1,$C119,""),"")</f>
        <v/>
      </c>
      <c r="X119" s="34">
        <f>IF(AND(X$5&gt;$E119,X$5&lt;=$F119),IF(X$5=$E119+1,$C119,""),"")</f>
        <v/>
      </c>
      <c r="Y119" s="34">
        <f>IF(AND(Y$5&gt;$E119,Y$5&lt;=$F119),IF(Y$5=$E119+1,$C119,""),"")</f>
        <v/>
      </c>
      <c r="Z119" s="34">
        <f>IF(AND(Z$5&gt;$E119,Z$5&lt;=$F119),IF(Z$5=$E119+1,$C119,""),"")</f>
        <v/>
      </c>
      <c r="AA119" s="34">
        <f>IF(AND(AA$5&gt;$E119,AA$5&lt;=$F119),IF(AA$5=$E119+1,$C119,""),"")</f>
        <v/>
      </c>
      <c r="AB119" s="34">
        <f>IF(AND(AB$5&gt;$E119,AB$5&lt;=$F119),IF(AB$5=$E119+1,$C119,""),"")</f>
        <v/>
      </c>
      <c r="AC119" s="34">
        <f>IF(AND(AC$5&gt;$E119,AC$5&lt;=$F119),IF(AC$5=$E119+1,$C119,""),"")</f>
        <v/>
      </c>
      <c r="AD119" s="34">
        <f>IF(AND(AD$5&gt;$E119,AD$5&lt;=$F119),IF(AD$5=$E119+1,$C119,""),"")</f>
        <v/>
      </c>
      <c r="AE119" s="34">
        <f>IF(AND(AE$5&gt;$E119,AE$5&lt;=$F119),IF(AE$5=$E119+1,$C119,""),"")</f>
        <v/>
      </c>
      <c r="AF119" s="34">
        <f>IF(AND(AF$5&gt;$E119,AF$5&lt;=$F119),IF(AF$5=$E119+1,$C119,""),"")</f>
        <v/>
      </c>
      <c r="AG119" s="34">
        <f>IF(AND(AG$5&gt;$E119,AG$5&lt;=$F119),IF(AG$5=$E119+1,$C119,""),"")</f>
        <v/>
      </c>
      <c r="AH119" s="34">
        <f>IF(AND(AH$5&gt;$E119,AH$5&lt;=$F119),IF(AH$5=$E119+1,$C119,""),"")</f>
        <v/>
      </c>
      <c r="AI119" s="34">
        <f>IF(AND(AI$5&gt;$E119,AI$5&lt;=$F119),IF(AI$5=$E119+1,$C119,""),"")</f>
        <v/>
      </c>
      <c r="AJ119" s="34">
        <f>IF(AND(AJ$5&gt;$E119,AJ$5&lt;=$F119),IF(AJ$5=$E119+1,$C119,""),"")</f>
        <v/>
      </c>
      <c r="AK119" s="34">
        <f>IF(AND(AK$5&gt;$E119,AK$5&lt;=$F119),IF(AK$5=$E119+1,$C119,""),"")</f>
        <v/>
      </c>
      <c r="AL119" s="34">
        <f>IF(AND(AL$5&gt;$E119,AL$5&lt;=$F119),IF(AL$5=$E119+1,$C119,""),"")</f>
        <v/>
      </c>
      <c r="AM119" s="34">
        <f>IF(AND(AM$5&gt;$E119,AM$5&lt;=$F119),IF(AM$5=$E119+1,$C119,""),"")</f>
        <v/>
      </c>
      <c r="AN119" s="34">
        <f>IF(AND(AN$5&gt;$E119,AN$5&lt;=$F119),IF(AN$5=$E119+1,$C119,""),"")</f>
        <v/>
      </c>
      <c r="AO119" s="34">
        <f>IF(AND(AO$5&gt;$E119,AO$5&lt;=$F119),IF(AO$5=$E119+1,$C119,""),"")</f>
        <v/>
      </c>
      <c r="AP119" s="34">
        <f>IF(AND(AP$5&gt;$E119,AP$5&lt;=$F119),IF(AP$5=$E119+1,$C119,""),"")</f>
        <v/>
      </c>
      <c r="AQ119" s="34">
        <f>IF(AND(AQ$5&gt;$E119,AQ$5&lt;=$F119),IF(AQ$5=$E119+1,$C119,""),"")</f>
        <v/>
      </c>
      <c r="AR119" s="34">
        <f>IF(AND(AR$5&gt;$E119,AR$5&lt;=$F119),IF(AR$5=$E119+1,$C119,""),"")</f>
        <v/>
      </c>
      <c r="AS119" s="34">
        <f>IF(AND(AS$5&gt;$E119,AS$5&lt;=$F119),IF(AS$5=$E119+1,$C119,""),"")</f>
        <v/>
      </c>
      <c r="AT119" s="34">
        <f>IF(AND(AT$5&gt;$E119,AT$5&lt;=$F119),IF(AT$5=$E119+1,$C119,""),"")</f>
        <v/>
      </c>
      <c r="AU119" s="34">
        <f>IF(AND(AU$5&gt;$E119,AU$5&lt;=$F119),IF(AU$5=$E119+1,$C119,""),"")</f>
        <v/>
      </c>
      <c r="AV119" s="34">
        <f>IF(AND(AV$5&gt;$E119,AV$5&lt;=$F119),IF(AV$5=$E119+1,$C119,""),"")</f>
        <v/>
      </c>
      <c r="AW119" s="34">
        <f>IF(AND(AW$5&gt;$E119,AW$5&lt;=$F119),IF(AW$5=$E119+1,$C119,""),"")</f>
        <v/>
      </c>
      <c r="AX119" s="34">
        <f>IF(AND(AX$5&gt;$E119,AX$5&lt;=$F119),IF(AX$5=$E119+1,$C119,""),"")</f>
        <v/>
      </c>
      <c r="AY119" s="34">
        <f>IF(AND(AY$5&gt;$E119,AY$5&lt;=$F119),IF(AY$5=$E119+1,$C119,""),"")</f>
        <v/>
      </c>
      <c r="AZ119" s="34">
        <f>IF(AND(AZ$5&gt;$E119,AZ$5&lt;=$F119),IF(AZ$5=$E119+1,$C119,""),"")</f>
        <v/>
      </c>
      <c r="BA119" s="34">
        <f>IF(AND(BA$5&gt;$E119,BA$5&lt;=$F119),IF(BA$5=$E119+1,$C119,""),"")</f>
        <v/>
      </c>
      <c r="BB119" s="34">
        <f>IF(AND(BB$5&gt;$E119,BB$5&lt;=$F119),IF(BB$5=$E119+1,$C119,""),"")</f>
        <v/>
      </c>
      <c r="BC119" s="34">
        <f>IF(AND(BC$5&gt;$E119,BC$5&lt;=$F119),IF(BC$5=$E119+1,$C119,""),"")</f>
        <v/>
      </c>
      <c r="BD119" s="34">
        <f>IF(AND(BD$5&gt;$E119,BD$5&lt;=$F119),IF(BD$5=$E119+1,$C119,""),"")</f>
        <v/>
      </c>
      <c r="BE119" s="34">
        <f>IF(AND(BE$5&gt;$E119,BE$5&lt;=$F119),IF(BE$5=$E119+1,$C119,""),"")</f>
        <v/>
      </c>
      <c r="BF119" s="34">
        <f>IF(AND(BF$5&gt;$E119,BF$5&lt;=$F119),IF(BF$5=$E119+1,$C119,""),"")</f>
        <v/>
      </c>
      <c r="BG119" s="34">
        <f>IF(AND(BG$5&gt;$E119,BG$5&lt;=$F119),IF(BG$5=$E119+1,$C119,""),"")</f>
        <v/>
      </c>
      <c r="BH119" s="34">
        <f>IF(AND(BH$5&gt;$E119,BH$5&lt;=$F119),IF(BH$5=$E119+1,$C119,""),"")</f>
        <v/>
      </c>
      <c r="BI119" s="34">
        <f>IF(AND(BI$5&gt;$E119,BI$5&lt;=$F119),IF(BI$5=$E119+1,$C119,""),"")</f>
        <v/>
      </c>
      <c r="BJ119" s="34">
        <f>IF(AND(BJ$5&gt;$E119,BJ$5&lt;=$F119),IF(BJ$5=$E119+1,$C119,""),"")</f>
        <v/>
      </c>
      <c r="BK119" s="34">
        <f>IF(AND(BK$5&gt;$E119,BK$5&lt;=$F119),IF(BK$5=$E119+1,$C119,""),"")</f>
        <v/>
      </c>
      <c r="BL119" s="34">
        <f>IF(AND(BL$5&gt;$E119,BL$5&lt;=$F119),IF(BL$5=$E119+1,$C119,""),"")</f>
        <v/>
      </c>
      <c r="BM119" s="34">
        <f>IF(AND(BM$5&gt;$E119,BM$5&lt;=$F119),IF(BM$5=$E119+1,$C119,""),"")</f>
        <v/>
      </c>
      <c r="BN119" s="34">
        <f>IF(AND(BN$5&gt;$E119,BN$5&lt;=$F119),IF(BN$5=$E119+1,$C119,""),"")</f>
        <v/>
      </c>
      <c r="BO119" s="34">
        <f>IF(AND(BO$5&gt;$E119,BO$5&lt;=$F119),IF(BO$5=$E119+1,$C119,""),"")</f>
        <v/>
      </c>
      <c r="BP119" s="34">
        <f>IF(AND(BP$5&gt;$E119,BP$5&lt;=$F119),IF(BP$5=$E119+1,$C119,""),"")</f>
        <v/>
      </c>
      <c r="BQ119" s="34">
        <f>IF(AND(BQ$5&gt;$E119,BQ$5&lt;=$F119),IF(BQ$5=$E119+1,$C119,""),"")</f>
        <v/>
      </c>
      <c r="BR119" s="34">
        <f>IF(AND(BR$5&gt;$E119,BR$5&lt;=$F119),IF(BR$5=$E119+1,$C119,""),"")</f>
        <v/>
      </c>
      <c r="BS119" s="34">
        <f>IF(AND(BS$5&gt;$E119,BS$5&lt;=$F119),IF(BS$5=$E119+1,$C119,""),"")</f>
        <v/>
      </c>
      <c r="BT119" s="34">
        <f>IF(AND(BT$5&gt;$E119,BT$5&lt;=$F119),IF(BT$5=$E119+1,$C119,""),"")</f>
        <v/>
      </c>
      <c r="BU119" s="34">
        <f>IF(AND(BU$5&gt;$E119,BU$5&lt;=$F119),IF(BU$5=$E119+1,$C119,""),"")</f>
        <v/>
      </c>
      <c r="BV119" s="34">
        <f>IF(AND(BV$5&gt;$E119,BV$5&lt;=$F119),IF(BV$5=$E119+1,$C119,""),"")</f>
        <v/>
      </c>
      <c r="BW119" s="34">
        <f>IF(AND(BW$5&gt;$E119,BW$5&lt;=$F119),IF(BW$5=$E119+1,$C119,""),"")</f>
        <v/>
      </c>
      <c r="BX119" s="34">
        <f>IF(AND(BX$5&gt;$E119,BX$5&lt;=$F119),IF(BX$5=$E119+1,$C119,""),"")</f>
        <v/>
      </c>
      <c r="BY119" s="34">
        <f>IF(AND(BY$5&gt;$E119,BY$5&lt;=$F119),IF(BY$5=$E119+1,$C119,""),"")</f>
        <v/>
      </c>
      <c r="BZ119" s="34">
        <f>IF(AND(BZ$5&gt;$E119,BZ$5&lt;=$F119),IF(BZ$5=$E119+1,$C119,""),"")</f>
        <v/>
      </c>
      <c r="CA119" s="34">
        <f>IF(AND(CA$5&gt;$E119,CA$5&lt;=$F119),IF(CA$5=$E119+1,$C119,""),"")</f>
        <v/>
      </c>
      <c r="CB119" s="34">
        <f>IF(AND(CB$5&gt;$E119,CB$5&lt;=$F119),IF(CB$5=$E119+1,$C119,""),"")</f>
        <v/>
      </c>
      <c r="CC119" s="34">
        <f>IF(AND(CC$5&gt;$E119,CC$5&lt;=$F119),IF(CC$5=$E119+1,$C119,""),"")</f>
        <v/>
      </c>
      <c r="CD119" s="34">
        <f>IF(AND(CD$5&gt;$E119,CD$5&lt;=$F119),IF(CD$5=$E119+1,$C119,""),"")</f>
        <v/>
      </c>
      <c r="CE119" s="34">
        <f>IF(AND(CE$5&gt;$E119,CE$5&lt;=$F119),IF(CE$5=$E119+1,$C119,""),"")</f>
        <v/>
      </c>
      <c r="CF119" s="34">
        <f>IF(AND(CF$5&gt;$E119,CF$5&lt;=$F119),IF(CF$5=$E119+1,$C119,""),"")</f>
        <v/>
      </c>
      <c r="CG119" s="34">
        <f>IF(AND(CG$5&gt;$E119,CG$5&lt;=$F119),IF(CG$5=$E119+1,$C119,""),"")</f>
        <v/>
      </c>
      <c r="CH119" s="34">
        <f>IF(AND(CH$5&gt;$E119,CH$5&lt;=$F119),IF(CH$5=$E119+1,$C119,""),"")</f>
        <v/>
      </c>
      <c r="CI119" s="34">
        <f>IF(AND(CI$5&gt;$E119,CI$5&lt;=$F119),IF(CI$5=$E119+1,$C119,""),"")</f>
        <v/>
      </c>
      <c r="CJ119" s="34">
        <f>IF(AND(CJ$5&gt;$E119,CJ$5&lt;=$F119),IF(CJ$5=$E119+1,$C119,""),"")</f>
        <v/>
      </c>
      <c r="CK119" s="34">
        <f>IF(AND(CK$5&gt;$E119,CK$5&lt;=$F119),IF(CK$5=$E119+1,$C119,""),"")</f>
        <v/>
      </c>
      <c r="CL119" s="34">
        <f>IF(AND(CL$5&gt;$E119,CL$5&lt;=$F119),IF(CL$5=$E119+1,$C119,""),"")</f>
        <v/>
      </c>
      <c r="CM119" s="34">
        <f>IF(AND(CM$5&gt;$E119,CM$5&lt;=$F119),IF(CM$5=$E119+1,$C119,""),"")</f>
        <v/>
      </c>
      <c r="CN119" s="34">
        <f>IF(AND(CN$5&gt;$E119,CN$5&lt;=$F119),IF(CN$5=$E119+1,$C119,""),"")</f>
        <v/>
      </c>
      <c r="CO119" s="34">
        <f>IF(AND(CO$5&gt;$E119,CO$5&lt;=$F119),IF(CO$5=$E119+1,$C119,""),"")</f>
        <v/>
      </c>
      <c r="CP119" s="34">
        <f>IF(AND(CP$5&gt;$E119,CP$5&lt;=$F119),IF(CP$5=$E119+1,$C119,""),"")</f>
        <v/>
      </c>
      <c r="CQ119" s="34">
        <f>IF(AND(CQ$5&gt;$E119,CQ$5&lt;=$F119),IF(CQ$5=$E119+1,$C119,""),"")</f>
        <v/>
      </c>
      <c r="CR119" s="34">
        <f>IF(AND(CR$5&gt;$E119,CR$5&lt;=$F119),IF(CR$5=$E119+1,$C119,""),"")</f>
        <v/>
      </c>
      <c r="CS119" s="34">
        <f>IF(AND(CS$5&gt;$E119,CS$5&lt;=$F119),IF(CS$5=$E119+1,$C119,""),"")</f>
        <v/>
      </c>
      <c r="CT119" s="34">
        <f>IF(AND(CT$5&gt;$E119,CT$5&lt;=$F119),IF(CT$5=$E119+1,$C119,""),"")</f>
        <v/>
      </c>
      <c r="CU119" s="34">
        <f>IF(AND(CU$5&gt;$E119,CU$5&lt;=$F119),IF(CU$5=$E119+1,$C119,""),"")</f>
        <v/>
      </c>
      <c r="CV119" s="34">
        <f>IF(AND(CV$5&gt;$E119,CV$5&lt;=$F119),IF(CV$5=$E119+1,$C119,""),"")</f>
        <v/>
      </c>
      <c r="CW119" s="34">
        <f>IF(AND(CW$5&gt;$E119,CW$5&lt;=$F119),IF(CW$5=$E119+1,$C119,""),"")</f>
        <v/>
      </c>
      <c r="CX119" s="34">
        <f>IF(AND(CX$5&gt;$E119,CX$5&lt;=$F119),IF(CX$5=$E119+1,$C119,""),"")</f>
        <v/>
      </c>
      <c r="CY119" s="34">
        <f>IF(AND(CY$5&gt;$E119,CY$5&lt;=$F119),IF(CY$5=$E119+1,$C119,""),"")</f>
        <v/>
      </c>
      <c r="CZ119" s="34">
        <f>IF(AND(CZ$5&gt;$E119,CZ$5&lt;=$F119),IF(CZ$5=$E119+1,$C119,""),"")</f>
        <v/>
      </c>
      <c r="DA119" s="34">
        <f>IF(AND(DA$5&gt;$E119,DA$5&lt;=$F119),IF(DA$5=$E119+1,$C119,""),"")</f>
        <v/>
      </c>
      <c r="DB119" s="34">
        <f>IF(AND(DB$5&gt;$E119,DB$5&lt;=$F119),IF(DB$5=$E119+1,$C119,""),"")</f>
        <v/>
      </c>
      <c r="DC119" s="34">
        <f>IF(AND(DC$5&gt;$E119,DC$5&lt;=$F119),IF(DC$5=$E119+1,$C119,""),"")</f>
        <v/>
      </c>
      <c r="DD119" s="34">
        <f>IF(AND(DD$5&gt;$E119,DD$5&lt;=$F119),IF(DD$5=$E119+1,$C119,""),"")</f>
        <v/>
      </c>
      <c r="DE119" s="34">
        <f>IF(AND(DE$5&gt;$E119,DE$5&lt;=$F119),IF(DE$5=$E119+1,$C119,""),"")</f>
        <v/>
      </c>
      <c r="DF119" s="34">
        <f>IF(AND(DF$5&gt;$E119,DF$5&lt;=$F119),IF(DF$5=$E119+1,$C119,""),"")</f>
        <v/>
      </c>
      <c r="DG119" s="34">
        <f>IF(AND(DG$5&gt;$E119,DG$5&lt;=$F119),IF(DG$5=$E119+1,$C119,""),"")</f>
        <v/>
      </c>
      <c r="DH119" s="34">
        <f>IF(AND(DH$5&gt;$E119,DH$5&lt;=$F119),IF(DH$5=$E119+1,$C119,""),"")</f>
        <v/>
      </c>
      <c r="DI119" s="34">
        <f>IF(AND(DI$5&gt;$E119,DI$5&lt;=$F119),IF(DI$5=$E119+1,$C119,""),"")</f>
        <v/>
      </c>
      <c r="DJ119" s="34">
        <f>IF(AND(DJ$5&gt;$E119,DJ$5&lt;=$F119),IF(DJ$5=$E119+1,$C119,""),"")</f>
        <v/>
      </c>
      <c r="DK119" s="34">
        <f>IF(AND(DK$5&gt;$E119,DK$5&lt;=$F119),IF(DK$5=$E119+1,$C119,""),"")</f>
        <v/>
      </c>
      <c r="DL119" s="34">
        <f>IF(AND(DL$5&gt;$E119,DL$5&lt;=$F119),IF(DL$5=$E119+1,$C119,""),"")</f>
        <v/>
      </c>
      <c r="DM119" s="34">
        <f>IF(AND(DM$5&gt;$E119,DM$5&lt;=$F119),IF(DM$5=$E119+1,$C119,""),"")</f>
        <v/>
      </c>
      <c r="DN119" s="34">
        <f>IF(AND(DN$5&gt;$E119,DN$5&lt;=$F119),IF(DN$5=$E119+1,$C119,""),"")</f>
        <v/>
      </c>
      <c r="DO119" s="34">
        <f>IF(AND(DO$5&gt;$E119,DO$5&lt;=$F119),IF(DO$5=$E119+1,$C119,""),"")</f>
        <v/>
      </c>
      <c r="DP119" s="34">
        <f>IF(AND(DP$5&gt;$E119,DP$5&lt;=$F119),IF(DP$5=$E119+1,$C119,""),"")</f>
        <v/>
      </c>
      <c r="DQ119" s="34">
        <f>IF(AND(DQ$5&gt;$E119,DQ$5&lt;=$F119),IF(DQ$5=$E119+1,$C119,""),"")</f>
        <v/>
      </c>
      <c r="DR119" s="34">
        <f>IF(AND(DR$5&gt;$E119,DR$5&lt;=$F119),IF(DR$5=$E119+1,$C119,""),"")</f>
        <v/>
      </c>
      <c r="DS119" s="34">
        <f>IF(AND(DS$5&gt;$E119,DS$5&lt;=$F119),IF(DS$5=$E119+1,$C119,""),"")</f>
        <v/>
      </c>
      <c r="DT119" s="34">
        <f>IF(AND(DT$5&gt;$E119,DT$5&lt;=$F119),IF(DT$5=$E119+1,$C119,""),"")</f>
        <v/>
      </c>
      <c r="DU119" s="34">
        <f>IF(AND(DU$5&gt;$E119,DU$5&lt;=$F119),IF(DU$5=$E119+1,$C119,""),"")</f>
        <v/>
      </c>
      <c r="DV119" s="34">
        <f>IF(AND(DV$5&gt;$E119,DV$5&lt;=$F119),IF(DV$5=$E119+1,$C119,""),"")</f>
        <v/>
      </c>
      <c r="DW119" s="34">
        <f>IF(AND(DW$5&gt;$E119,DW$5&lt;=$F119),IF(DW$5=$E119+1,$C119,""),"")</f>
        <v/>
      </c>
      <c r="DX119" s="34">
        <f>IF(AND(DX$5&gt;$E119,DX$5&lt;=$F119),IF(DX$5=$E119+1,$C119,""),"")</f>
        <v/>
      </c>
      <c r="DY119" s="34">
        <f>IF(AND(DY$5&gt;$E119,DY$5&lt;=$F119),IF(DY$5=$E119+1,$C119,""),"")</f>
        <v/>
      </c>
      <c r="DZ119" s="34">
        <f>IF(AND(DZ$5&gt;$E119,DZ$5&lt;=$F119),IF(DZ$5=$E119+1,$C119,""),"")</f>
        <v/>
      </c>
      <c r="EA119" s="34">
        <f>IF(AND(EA$5&gt;$E119,EA$5&lt;=$F119),IF(EA$5=$E119+1,$C119,""),"")</f>
        <v/>
      </c>
      <c r="EB119" s="34">
        <f>IF(AND(EB$5&gt;$E119,EB$5&lt;=$F119),IF(EB$5=$E119+1,$C119,""),"")</f>
        <v/>
      </c>
      <c r="EC119" s="34">
        <f>IF(AND(EC$5&gt;$E119,EC$5&lt;=$F119),IF(EC$5=$E119+1,$C119,""),"")</f>
        <v/>
      </c>
      <c r="ED119" s="34">
        <f>IF(AND(ED$5&gt;$E119,ED$5&lt;=$F119),IF(ED$5=$E119+1,$C119,""),"")</f>
        <v/>
      </c>
      <c r="EE119" s="34">
        <f>IF(AND(EE$5&gt;$E119,EE$5&lt;=$F119),IF(EE$5=$E119+1,$C119,""),"")</f>
        <v/>
      </c>
      <c r="EF119" s="34">
        <f>IF(AND(EF$5&gt;$E119,EF$5&lt;=$F119),IF(EF$5=$E119+1,$C119,""),"")</f>
        <v/>
      </c>
      <c r="EG119" s="34">
        <f>IF(AND(EG$5&gt;$E119,EG$5&lt;=$F119),IF(EG$5=$E119+1,$C119,""),"")</f>
        <v/>
      </c>
      <c r="EH119" s="34">
        <f>IF(AND(EH$5&gt;$E119,EH$5&lt;=$F119),IF(EH$5=$E119+1,$C119,""),"")</f>
        <v/>
      </c>
      <c r="EI119" s="34">
        <f>IF(AND(EI$5&gt;$E119,EI$5&lt;=$F119),IF(EI$5=$E119+1,$C119,""),"")</f>
        <v/>
      </c>
      <c r="EJ119" s="34">
        <f>IF(AND(EJ$5&gt;$E119,EJ$5&lt;=$F119),IF(EJ$5=$E119+1,$C119,""),"")</f>
        <v/>
      </c>
      <c r="EK119" s="34">
        <f>IF(AND(EK$5&gt;$E119,EK$5&lt;=$F119),IF(EK$5=$E119+1,$C119,""),"")</f>
        <v/>
      </c>
      <c r="EL119" s="34">
        <f>IF(AND(EL$5&gt;$E119,EL$5&lt;=$F119),IF(EL$5=$E119+1,$C119,""),"")</f>
        <v/>
      </c>
      <c r="EM119" s="34">
        <f>IF(AND(EM$5&gt;$E119,EM$5&lt;=$F119),IF(EM$5=$E119+1,$C119,""),"")</f>
        <v/>
      </c>
      <c r="EN119" s="34">
        <f>IF(AND(EN$5&gt;$E119,EN$5&lt;=$F119),IF(EN$5=$E119+1,$C119,""),"")</f>
        <v/>
      </c>
      <c r="EO119" s="34">
        <f>IF(AND(EO$5&gt;$E119,EO$5&lt;=$F119),IF(EO$5=$E119+1,$C119,""),"")</f>
        <v/>
      </c>
      <c r="EP119" s="34">
        <f>IF(AND(EP$5&gt;$E119,EP$5&lt;=$F119),IF(EP$5=$E119+1,$C119,""),"")</f>
        <v/>
      </c>
      <c r="EQ119" s="34">
        <f>IF(AND(EQ$5&gt;$E119,EQ$5&lt;=$F119),IF(EQ$5=$E119+1,$C119,""),"")</f>
        <v/>
      </c>
      <c r="ER119" s="34">
        <f>IF(AND(ER$5&gt;$E119,ER$5&lt;=$F119),IF(ER$5=$E119+1,$C119,""),"")</f>
        <v/>
      </c>
      <c r="ES119" s="34">
        <f>IF(AND(ES$5&gt;$E119,ES$5&lt;=$F119),IF(ES$5=$E119+1,$C119,""),"")</f>
        <v/>
      </c>
      <c r="ET119" s="34">
        <f>IF(AND(ET$5&gt;$E119,ET$5&lt;=$F119),IF(ET$5=$E119+1,$C119,""),"")</f>
        <v/>
      </c>
      <c r="EU119" s="34">
        <f>IF(AND(EU$5&gt;$E119,EU$5&lt;=$F119),IF(EU$5=$E119+1,$C119,""),"")</f>
        <v/>
      </c>
      <c r="EV119" s="34">
        <f>IF(AND(EV$5&gt;$E119,EV$5&lt;=$F119),IF(EV$5=$E119+1,$C119,""),"")</f>
        <v/>
      </c>
      <c r="EW119" s="34">
        <f>IF(AND(EW$5&gt;$E119,EW$5&lt;=$F119),IF(EW$5=$E119+1,$C119,""),"")</f>
        <v/>
      </c>
      <c r="EX119" s="34">
        <f>IF(AND(EX$5&gt;$E119,EX$5&lt;=$F119),IF(EX$5=$E119+1,$C119,""),"")</f>
        <v/>
      </c>
      <c r="EY119" s="34">
        <f>IF(AND(EY$5&gt;$E119,EY$5&lt;=$F119),IF(EY$5=$E119+1,$C119,""),"")</f>
        <v/>
      </c>
      <c r="EZ119" s="34">
        <f>IF(AND(EZ$5&gt;$E119,EZ$5&lt;=$F119),IF(EZ$5=$E119+1,$C119,""),"")</f>
        <v/>
      </c>
      <c r="FA119" s="34">
        <f>IF(AND(FA$5&gt;$E119,FA$5&lt;=$F119),IF(FA$5=$E119+1,$C119,""),"")</f>
        <v/>
      </c>
    </row>
    <row r="120">
      <c r="A120" s="32">
        <f>Plan!A89</f>
        <v/>
      </c>
      <c r="B120" s="33">
        <f>Plan!C89</f>
        <v/>
      </c>
      <c r="C120" s="16">
        <f>Plan!D89</f>
        <v/>
      </c>
      <c r="D120" s="16">
        <f>Plan!I89</f>
        <v/>
      </c>
      <c r="E120" s="16">
        <f>Plan!K89</f>
        <v/>
      </c>
      <c r="F120" s="16">
        <f>Plan!L89</f>
        <v/>
      </c>
      <c r="G120" s="16">
        <f>Plan!O89</f>
        <v/>
      </c>
      <c r="H120" s="34">
        <f>IF(AND(H$5&gt;$E120,H$5&lt;=$F120),IF(H$5=$E120+1,$C120,""),"")</f>
        <v/>
      </c>
      <c r="I120" s="34">
        <f>IF(AND(I$5&gt;$E120,I$5&lt;=$F120),IF(I$5=$E120+1,$C120,""),"")</f>
        <v/>
      </c>
      <c r="J120" s="34">
        <f>IF(AND(J$5&gt;$E120,J$5&lt;=$F120),IF(J$5=$E120+1,$C120,""),"")</f>
        <v/>
      </c>
      <c r="K120" s="34">
        <f>IF(AND(K$5&gt;$E120,K$5&lt;=$F120),IF(K$5=$E120+1,$C120,""),"")</f>
        <v/>
      </c>
      <c r="L120" s="34">
        <f>IF(AND(L$5&gt;$E120,L$5&lt;=$F120),IF(L$5=$E120+1,$C120,""),"")</f>
        <v/>
      </c>
      <c r="M120" s="34">
        <f>IF(AND(M$5&gt;$E120,M$5&lt;=$F120),IF(M$5=$E120+1,$C120,""),"")</f>
        <v/>
      </c>
      <c r="N120" s="34">
        <f>IF(AND(N$5&gt;$E120,N$5&lt;=$F120),IF(N$5=$E120+1,$C120,""),"")</f>
        <v/>
      </c>
      <c r="O120" s="34">
        <f>IF(AND(O$5&gt;$E120,O$5&lt;=$F120),IF(O$5=$E120+1,$C120,""),"")</f>
        <v/>
      </c>
      <c r="P120" s="34">
        <f>IF(AND(P$5&gt;$E120,P$5&lt;=$F120),IF(P$5=$E120+1,$C120,""),"")</f>
        <v/>
      </c>
      <c r="Q120" s="34">
        <f>IF(AND(Q$5&gt;$E120,Q$5&lt;=$F120),IF(Q$5=$E120+1,$C120,""),"")</f>
        <v/>
      </c>
      <c r="R120" s="34">
        <f>IF(AND(R$5&gt;$E120,R$5&lt;=$F120),IF(R$5=$E120+1,$C120,""),"")</f>
        <v/>
      </c>
      <c r="S120" s="34">
        <f>IF(AND(S$5&gt;$E120,S$5&lt;=$F120),IF(S$5=$E120+1,$C120,""),"")</f>
        <v/>
      </c>
      <c r="T120" s="34">
        <f>IF(AND(T$5&gt;$E120,T$5&lt;=$F120),IF(T$5=$E120+1,$C120,""),"")</f>
        <v/>
      </c>
      <c r="U120" s="34">
        <f>IF(AND(U$5&gt;$E120,U$5&lt;=$F120),IF(U$5=$E120+1,$C120,""),"")</f>
        <v/>
      </c>
      <c r="V120" s="34">
        <f>IF(AND(V$5&gt;$E120,V$5&lt;=$F120),IF(V$5=$E120+1,$C120,""),"")</f>
        <v/>
      </c>
      <c r="W120" s="34">
        <f>IF(AND(W$5&gt;$E120,W$5&lt;=$F120),IF(W$5=$E120+1,$C120,""),"")</f>
        <v/>
      </c>
      <c r="X120" s="34">
        <f>IF(AND(X$5&gt;$E120,X$5&lt;=$F120),IF(X$5=$E120+1,$C120,""),"")</f>
        <v/>
      </c>
      <c r="Y120" s="34">
        <f>IF(AND(Y$5&gt;$E120,Y$5&lt;=$F120),IF(Y$5=$E120+1,$C120,""),"")</f>
        <v/>
      </c>
      <c r="Z120" s="34">
        <f>IF(AND(Z$5&gt;$E120,Z$5&lt;=$F120),IF(Z$5=$E120+1,$C120,""),"")</f>
        <v/>
      </c>
      <c r="AA120" s="34">
        <f>IF(AND(AA$5&gt;$E120,AA$5&lt;=$F120),IF(AA$5=$E120+1,$C120,""),"")</f>
        <v/>
      </c>
      <c r="AB120" s="34">
        <f>IF(AND(AB$5&gt;$E120,AB$5&lt;=$F120),IF(AB$5=$E120+1,$C120,""),"")</f>
        <v/>
      </c>
      <c r="AC120" s="34">
        <f>IF(AND(AC$5&gt;$E120,AC$5&lt;=$F120),IF(AC$5=$E120+1,$C120,""),"")</f>
        <v/>
      </c>
      <c r="AD120" s="34">
        <f>IF(AND(AD$5&gt;$E120,AD$5&lt;=$F120),IF(AD$5=$E120+1,$C120,""),"")</f>
        <v/>
      </c>
      <c r="AE120" s="34">
        <f>IF(AND(AE$5&gt;$E120,AE$5&lt;=$F120),IF(AE$5=$E120+1,$C120,""),"")</f>
        <v/>
      </c>
      <c r="AF120" s="34">
        <f>IF(AND(AF$5&gt;$E120,AF$5&lt;=$F120),IF(AF$5=$E120+1,$C120,""),"")</f>
        <v/>
      </c>
      <c r="AG120" s="34">
        <f>IF(AND(AG$5&gt;$E120,AG$5&lt;=$F120),IF(AG$5=$E120+1,$C120,""),"")</f>
        <v/>
      </c>
      <c r="AH120" s="34">
        <f>IF(AND(AH$5&gt;$E120,AH$5&lt;=$F120),IF(AH$5=$E120+1,$C120,""),"")</f>
        <v/>
      </c>
      <c r="AI120" s="34">
        <f>IF(AND(AI$5&gt;$E120,AI$5&lt;=$F120),IF(AI$5=$E120+1,$C120,""),"")</f>
        <v/>
      </c>
      <c r="AJ120" s="34">
        <f>IF(AND(AJ$5&gt;$E120,AJ$5&lt;=$F120),IF(AJ$5=$E120+1,$C120,""),"")</f>
        <v/>
      </c>
      <c r="AK120" s="34">
        <f>IF(AND(AK$5&gt;$E120,AK$5&lt;=$F120),IF(AK$5=$E120+1,$C120,""),"")</f>
        <v/>
      </c>
      <c r="AL120" s="34">
        <f>IF(AND(AL$5&gt;$E120,AL$5&lt;=$F120),IF(AL$5=$E120+1,$C120,""),"")</f>
        <v/>
      </c>
      <c r="AM120" s="34">
        <f>IF(AND(AM$5&gt;$E120,AM$5&lt;=$F120),IF(AM$5=$E120+1,$C120,""),"")</f>
        <v/>
      </c>
      <c r="AN120" s="34">
        <f>IF(AND(AN$5&gt;$E120,AN$5&lt;=$F120),IF(AN$5=$E120+1,$C120,""),"")</f>
        <v/>
      </c>
      <c r="AO120" s="34">
        <f>IF(AND(AO$5&gt;$E120,AO$5&lt;=$F120),IF(AO$5=$E120+1,$C120,""),"")</f>
        <v/>
      </c>
      <c r="AP120" s="34">
        <f>IF(AND(AP$5&gt;$E120,AP$5&lt;=$F120),IF(AP$5=$E120+1,$C120,""),"")</f>
        <v/>
      </c>
      <c r="AQ120" s="34">
        <f>IF(AND(AQ$5&gt;$E120,AQ$5&lt;=$F120),IF(AQ$5=$E120+1,$C120,""),"")</f>
        <v/>
      </c>
      <c r="AR120" s="34">
        <f>IF(AND(AR$5&gt;$E120,AR$5&lt;=$F120),IF(AR$5=$E120+1,$C120,""),"")</f>
        <v/>
      </c>
      <c r="AS120" s="34">
        <f>IF(AND(AS$5&gt;$E120,AS$5&lt;=$F120),IF(AS$5=$E120+1,$C120,""),"")</f>
        <v/>
      </c>
      <c r="AT120" s="34">
        <f>IF(AND(AT$5&gt;$E120,AT$5&lt;=$F120),IF(AT$5=$E120+1,$C120,""),"")</f>
        <v/>
      </c>
      <c r="AU120" s="34">
        <f>IF(AND(AU$5&gt;$E120,AU$5&lt;=$F120),IF(AU$5=$E120+1,$C120,""),"")</f>
        <v/>
      </c>
      <c r="AV120" s="34">
        <f>IF(AND(AV$5&gt;$E120,AV$5&lt;=$F120),IF(AV$5=$E120+1,$C120,""),"")</f>
        <v/>
      </c>
      <c r="AW120" s="34">
        <f>IF(AND(AW$5&gt;$E120,AW$5&lt;=$F120),IF(AW$5=$E120+1,$C120,""),"")</f>
        <v/>
      </c>
      <c r="AX120" s="34">
        <f>IF(AND(AX$5&gt;$E120,AX$5&lt;=$F120),IF(AX$5=$E120+1,$C120,""),"")</f>
        <v/>
      </c>
      <c r="AY120" s="34">
        <f>IF(AND(AY$5&gt;$E120,AY$5&lt;=$F120),IF(AY$5=$E120+1,$C120,""),"")</f>
        <v/>
      </c>
      <c r="AZ120" s="34">
        <f>IF(AND(AZ$5&gt;$E120,AZ$5&lt;=$F120),IF(AZ$5=$E120+1,$C120,""),"")</f>
        <v/>
      </c>
      <c r="BA120" s="34">
        <f>IF(AND(BA$5&gt;$E120,BA$5&lt;=$F120),IF(BA$5=$E120+1,$C120,""),"")</f>
        <v/>
      </c>
      <c r="BB120" s="34">
        <f>IF(AND(BB$5&gt;$E120,BB$5&lt;=$F120),IF(BB$5=$E120+1,$C120,""),"")</f>
        <v/>
      </c>
      <c r="BC120" s="34">
        <f>IF(AND(BC$5&gt;$E120,BC$5&lt;=$F120),IF(BC$5=$E120+1,$C120,""),"")</f>
        <v/>
      </c>
      <c r="BD120" s="34">
        <f>IF(AND(BD$5&gt;$E120,BD$5&lt;=$F120),IF(BD$5=$E120+1,$C120,""),"")</f>
        <v/>
      </c>
      <c r="BE120" s="34">
        <f>IF(AND(BE$5&gt;$E120,BE$5&lt;=$F120),IF(BE$5=$E120+1,$C120,""),"")</f>
        <v/>
      </c>
      <c r="BF120" s="34">
        <f>IF(AND(BF$5&gt;$E120,BF$5&lt;=$F120),IF(BF$5=$E120+1,$C120,""),"")</f>
        <v/>
      </c>
      <c r="BG120" s="34">
        <f>IF(AND(BG$5&gt;$E120,BG$5&lt;=$F120),IF(BG$5=$E120+1,$C120,""),"")</f>
        <v/>
      </c>
      <c r="BH120" s="34">
        <f>IF(AND(BH$5&gt;$E120,BH$5&lt;=$F120),IF(BH$5=$E120+1,$C120,""),"")</f>
        <v/>
      </c>
      <c r="BI120" s="34">
        <f>IF(AND(BI$5&gt;$E120,BI$5&lt;=$F120),IF(BI$5=$E120+1,$C120,""),"")</f>
        <v/>
      </c>
      <c r="BJ120" s="34">
        <f>IF(AND(BJ$5&gt;$E120,BJ$5&lt;=$F120),IF(BJ$5=$E120+1,$C120,""),"")</f>
        <v/>
      </c>
      <c r="BK120" s="34">
        <f>IF(AND(BK$5&gt;$E120,BK$5&lt;=$F120),IF(BK$5=$E120+1,$C120,""),"")</f>
        <v/>
      </c>
      <c r="BL120" s="34">
        <f>IF(AND(BL$5&gt;$E120,BL$5&lt;=$F120),IF(BL$5=$E120+1,$C120,""),"")</f>
        <v/>
      </c>
      <c r="BM120" s="34">
        <f>IF(AND(BM$5&gt;$E120,BM$5&lt;=$F120),IF(BM$5=$E120+1,$C120,""),"")</f>
        <v/>
      </c>
      <c r="BN120" s="34">
        <f>IF(AND(BN$5&gt;$E120,BN$5&lt;=$F120),IF(BN$5=$E120+1,$C120,""),"")</f>
        <v/>
      </c>
      <c r="BO120" s="34">
        <f>IF(AND(BO$5&gt;$E120,BO$5&lt;=$F120),IF(BO$5=$E120+1,$C120,""),"")</f>
        <v/>
      </c>
      <c r="BP120" s="34">
        <f>IF(AND(BP$5&gt;$E120,BP$5&lt;=$F120),IF(BP$5=$E120+1,$C120,""),"")</f>
        <v/>
      </c>
      <c r="BQ120" s="34">
        <f>IF(AND(BQ$5&gt;$E120,BQ$5&lt;=$F120),IF(BQ$5=$E120+1,$C120,""),"")</f>
        <v/>
      </c>
      <c r="BR120" s="34">
        <f>IF(AND(BR$5&gt;$E120,BR$5&lt;=$F120),IF(BR$5=$E120+1,$C120,""),"")</f>
        <v/>
      </c>
      <c r="BS120" s="34">
        <f>IF(AND(BS$5&gt;$E120,BS$5&lt;=$F120),IF(BS$5=$E120+1,$C120,""),"")</f>
        <v/>
      </c>
      <c r="BT120" s="34">
        <f>IF(AND(BT$5&gt;$E120,BT$5&lt;=$F120),IF(BT$5=$E120+1,$C120,""),"")</f>
        <v/>
      </c>
      <c r="BU120" s="34">
        <f>IF(AND(BU$5&gt;$E120,BU$5&lt;=$F120),IF(BU$5=$E120+1,$C120,""),"")</f>
        <v/>
      </c>
      <c r="BV120" s="34">
        <f>IF(AND(BV$5&gt;$E120,BV$5&lt;=$F120),IF(BV$5=$E120+1,$C120,""),"")</f>
        <v/>
      </c>
      <c r="BW120" s="34">
        <f>IF(AND(BW$5&gt;$E120,BW$5&lt;=$F120),IF(BW$5=$E120+1,$C120,""),"")</f>
        <v/>
      </c>
      <c r="BX120" s="34">
        <f>IF(AND(BX$5&gt;$E120,BX$5&lt;=$F120),IF(BX$5=$E120+1,$C120,""),"")</f>
        <v/>
      </c>
      <c r="BY120" s="34">
        <f>IF(AND(BY$5&gt;$E120,BY$5&lt;=$F120),IF(BY$5=$E120+1,$C120,""),"")</f>
        <v/>
      </c>
      <c r="BZ120" s="34">
        <f>IF(AND(BZ$5&gt;$E120,BZ$5&lt;=$F120),IF(BZ$5=$E120+1,$C120,""),"")</f>
        <v/>
      </c>
      <c r="CA120" s="34">
        <f>IF(AND(CA$5&gt;$E120,CA$5&lt;=$F120),IF(CA$5=$E120+1,$C120,""),"")</f>
        <v/>
      </c>
      <c r="CB120" s="34">
        <f>IF(AND(CB$5&gt;$E120,CB$5&lt;=$F120),IF(CB$5=$E120+1,$C120,""),"")</f>
        <v/>
      </c>
      <c r="CC120" s="34">
        <f>IF(AND(CC$5&gt;$E120,CC$5&lt;=$F120),IF(CC$5=$E120+1,$C120,""),"")</f>
        <v/>
      </c>
      <c r="CD120" s="34">
        <f>IF(AND(CD$5&gt;$E120,CD$5&lt;=$F120),IF(CD$5=$E120+1,$C120,""),"")</f>
        <v/>
      </c>
      <c r="CE120" s="34">
        <f>IF(AND(CE$5&gt;$E120,CE$5&lt;=$F120),IF(CE$5=$E120+1,$C120,""),"")</f>
        <v/>
      </c>
      <c r="CF120" s="34">
        <f>IF(AND(CF$5&gt;$E120,CF$5&lt;=$F120),IF(CF$5=$E120+1,$C120,""),"")</f>
        <v/>
      </c>
      <c r="CG120" s="34">
        <f>IF(AND(CG$5&gt;$E120,CG$5&lt;=$F120),IF(CG$5=$E120+1,$C120,""),"")</f>
        <v/>
      </c>
      <c r="CH120" s="34">
        <f>IF(AND(CH$5&gt;$E120,CH$5&lt;=$F120),IF(CH$5=$E120+1,$C120,""),"")</f>
        <v/>
      </c>
      <c r="CI120" s="34">
        <f>IF(AND(CI$5&gt;$E120,CI$5&lt;=$F120),IF(CI$5=$E120+1,$C120,""),"")</f>
        <v/>
      </c>
      <c r="CJ120" s="34">
        <f>IF(AND(CJ$5&gt;$E120,CJ$5&lt;=$F120),IF(CJ$5=$E120+1,$C120,""),"")</f>
        <v/>
      </c>
      <c r="CK120" s="34">
        <f>IF(AND(CK$5&gt;$E120,CK$5&lt;=$F120),IF(CK$5=$E120+1,$C120,""),"")</f>
        <v/>
      </c>
      <c r="CL120" s="34">
        <f>IF(AND(CL$5&gt;$E120,CL$5&lt;=$F120),IF(CL$5=$E120+1,$C120,""),"")</f>
        <v/>
      </c>
      <c r="CM120" s="34">
        <f>IF(AND(CM$5&gt;$E120,CM$5&lt;=$F120),IF(CM$5=$E120+1,$C120,""),"")</f>
        <v/>
      </c>
      <c r="CN120" s="34">
        <f>IF(AND(CN$5&gt;$E120,CN$5&lt;=$F120),IF(CN$5=$E120+1,$C120,""),"")</f>
        <v/>
      </c>
      <c r="CO120" s="34">
        <f>IF(AND(CO$5&gt;$E120,CO$5&lt;=$F120),IF(CO$5=$E120+1,$C120,""),"")</f>
        <v/>
      </c>
      <c r="CP120" s="34">
        <f>IF(AND(CP$5&gt;$E120,CP$5&lt;=$F120),IF(CP$5=$E120+1,$C120,""),"")</f>
        <v/>
      </c>
      <c r="CQ120" s="34">
        <f>IF(AND(CQ$5&gt;$E120,CQ$5&lt;=$F120),IF(CQ$5=$E120+1,$C120,""),"")</f>
        <v/>
      </c>
      <c r="CR120" s="34">
        <f>IF(AND(CR$5&gt;$E120,CR$5&lt;=$F120),IF(CR$5=$E120+1,$C120,""),"")</f>
        <v/>
      </c>
      <c r="CS120" s="34">
        <f>IF(AND(CS$5&gt;$E120,CS$5&lt;=$F120),IF(CS$5=$E120+1,$C120,""),"")</f>
        <v/>
      </c>
      <c r="CT120" s="34">
        <f>IF(AND(CT$5&gt;$E120,CT$5&lt;=$F120),IF(CT$5=$E120+1,$C120,""),"")</f>
        <v/>
      </c>
      <c r="CU120" s="34">
        <f>IF(AND(CU$5&gt;$E120,CU$5&lt;=$F120),IF(CU$5=$E120+1,$C120,""),"")</f>
        <v/>
      </c>
      <c r="CV120" s="34">
        <f>IF(AND(CV$5&gt;$E120,CV$5&lt;=$F120),IF(CV$5=$E120+1,$C120,""),"")</f>
        <v/>
      </c>
      <c r="CW120" s="34">
        <f>IF(AND(CW$5&gt;$E120,CW$5&lt;=$F120),IF(CW$5=$E120+1,$C120,""),"")</f>
        <v/>
      </c>
      <c r="CX120" s="34">
        <f>IF(AND(CX$5&gt;$E120,CX$5&lt;=$F120),IF(CX$5=$E120+1,$C120,""),"")</f>
        <v/>
      </c>
      <c r="CY120" s="34">
        <f>IF(AND(CY$5&gt;$E120,CY$5&lt;=$F120),IF(CY$5=$E120+1,$C120,""),"")</f>
        <v/>
      </c>
      <c r="CZ120" s="34">
        <f>IF(AND(CZ$5&gt;$E120,CZ$5&lt;=$F120),IF(CZ$5=$E120+1,$C120,""),"")</f>
        <v/>
      </c>
      <c r="DA120" s="34">
        <f>IF(AND(DA$5&gt;$E120,DA$5&lt;=$F120),IF(DA$5=$E120+1,$C120,""),"")</f>
        <v/>
      </c>
      <c r="DB120" s="34">
        <f>IF(AND(DB$5&gt;$E120,DB$5&lt;=$F120),IF(DB$5=$E120+1,$C120,""),"")</f>
        <v/>
      </c>
      <c r="DC120" s="34">
        <f>IF(AND(DC$5&gt;$E120,DC$5&lt;=$F120),IF(DC$5=$E120+1,$C120,""),"")</f>
        <v/>
      </c>
      <c r="DD120" s="34">
        <f>IF(AND(DD$5&gt;$E120,DD$5&lt;=$F120),IF(DD$5=$E120+1,$C120,""),"")</f>
        <v/>
      </c>
      <c r="DE120" s="34">
        <f>IF(AND(DE$5&gt;$E120,DE$5&lt;=$F120),IF(DE$5=$E120+1,$C120,""),"")</f>
        <v/>
      </c>
      <c r="DF120" s="34">
        <f>IF(AND(DF$5&gt;$E120,DF$5&lt;=$F120),IF(DF$5=$E120+1,$C120,""),"")</f>
        <v/>
      </c>
      <c r="DG120" s="34">
        <f>IF(AND(DG$5&gt;$E120,DG$5&lt;=$F120),IF(DG$5=$E120+1,$C120,""),"")</f>
        <v/>
      </c>
      <c r="DH120" s="34">
        <f>IF(AND(DH$5&gt;$E120,DH$5&lt;=$F120),IF(DH$5=$E120+1,$C120,""),"")</f>
        <v/>
      </c>
      <c r="DI120" s="34">
        <f>IF(AND(DI$5&gt;$E120,DI$5&lt;=$F120),IF(DI$5=$E120+1,$C120,""),"")</f>
        <v/>
      </c>
      <c r="DJ120" s="34">
        <f>IF(AND(DJ$5&gt;$E120,DJ$5&lt;=$F120),IF(DJ$5=$E120+1,$C120,""),"")</f>
        <v/>
      </c>
      <c r="DK120" s="34">
        <f>IF(AND(DK$5&gt;$E120,DK$5&lt;=$F120),IF(DK$5=$E120+1,$C120,""),"")</f>
        <v/>
      </c>
      <c r="DL120" s="34">
        <f>IF(AND(DL$5&gt;$E120,DL$5&lt;=$F120),IF(DL$5=$E120+1,$C120,""),"")</f>
        <v/>
      </c>
      <c r="DM120" s="34">
        <f>IF(AND(DM$5&gt;$E120,DM$5&lt;=$F120),IF(DM$5=$E120+1,$C120,""),"")</f>
        <v/>
      </c>
      <c r="DN120" s="34">
        <f>IF(AND(DN$5&gt;$E120,DN$5&lt;=$F120),IF(DN$5=$E120+1,$C120,""),"")</f>
        <v/>
      </c>
      <c r="DO120" s="34">
        <f>IF(AND(DO$5&gt;$E120,DO$5&lt;=$F120),IF(DO$5=$E120+1,$C120,""),"")</f>
        <v/>
      </c>
      <c r="DP120" s="34">
        <f>IF(AND(DP$5&gt;$E120,DP$5&lt;=$F120),IF(DP$5=$E120+1,$C120,""),"")</f>
        <v/>
      </c>
      <c r="DQ120" s="34">
        <f>IF(AND(DQ$5&gt;$E120,DQ$5&lt;=$F120),IF(DQ$5=$E120+1,$C120,""),"")</f>
        <v/>
      </c>
      <c r="DR120" s="34">
        <f>IF(AND(DR$5&gt;$E120,DR$5&lt;=$F120),IF(DR$5=$E120+1,$C120,""),"")</f>
        <v/>
      </c>
      <c r="DS120" s="34">
        <f>IF(AND(DS$5&gt;$E120,DS$5&lt;=$F120),IF(DS$5=$E120+1,$C120,""),"")</f>
        <v/>
      </c>
      <c r="DT120" s="34">
        <f>IF(AND(DT$5&gt;$E120,DT$5&lt;=$F120),IF(DT$5=$E120+1,$C120,""),"")</f>
        <v/>
      </c>
      <c r="DU120" s="34">
        <f>IF(AND(DU$5&gt;$E120,DU$5&lt;=$F120),IF(DU$5=$E120+1,$C120,""),"")</f>
        <v/>
      </c>
      <c r="DV120" s="34">
        <f>IF(AND(DV$5&gt;$E120,DV$5&lt;=$F120),IF(DV$5=$E120+1,$C120,""),"")</f>
        <v/>
      </c>
      <c r="DW120" s="34">
        <f>IF(AND(DW$5&gt;$E120,DW$5&lt;=$F120),IF(DW$5=$E120+1,$C120,""),"")</f>
        <v/>
      </c>
      <c r="DX120" s="34">
        <f>IF(AND(DX$5&gt;$E120,DX$5&lt;=$F120),IF(DX$5=$E120+1,$C120,""),"")</f>
        <v/>
      </c>
      <c r="DY120" s="34">
        <f>IF(AND(DY$5&gt;$E120,DY$5&lt;=$F120),IF(DY$5=$E120+1,$C120,""),"")</f>
        <v/>
      </c>
      <c r="DZ120" s="34">
        <f>IF(AND(DZ$5&gt;$E120,DZ$5&lt;=$F120),IF(DZ$5=$E120+1,$C120,""),"")</f>
        <v/>
      </c>
      <c r="EA120" s="34">
        <f>IF(AND(EA$5&gt;$E120,EA$5&lt;=$F120),IF(EA$5=$E120+1,$C120,""),"")</f>
        <v/>
      </c>
      <c r="EB120" s="34">
        <f>IF(AND(EB$5&gt;$E120,EB$5&lt;=$F120),IF(EB$5=$E120+1,$C120,""),"")</f>
        <v/>
      </c>
      <c r="EC120" s="34">
        <f>IF(AND(EC$5&gt;$E120,EC$5&lt;=$F120),IF(EC$5=$E120+1,$C120,""),"")</f>
        <v/>
      </c>
      <c r="ED120" s="34">
        <f>IF(AND(ED$5&gt;$E120,ED$5&lt;=$F120),IF(ED$5=$E120+1,$C120,""),"")</f>
        <v/>
      </c>
      <c r="EE120" s="34">
        <f>IF(AND(EE$5&gt;$E120,EE$5&lt;=$F120),IF(EE$5=$E120+1,$C120,""),"")</f>
        <v/>
      </c>
      <c r="EF120" s="34">
        <f>IF(AND(EF$5&gt;$E120,EF$5&lt;=$F120),IF(EF$5=$E120+1,$C120,""),"")</f>
        <v/>
      </c>
      <c r="EG120" s="34">
        <f>IF(AND(EG$5&gt;$E120,EG$5&lt;=$F120),IF(EG$5=$E120+1,$C120,""),"")</f>
        <v/>
      </c>
      <c r="EH120" s="34">
        <f>IF(AND(EH$5&gt;$E120,EH$5&lt;=$F120),IF(EH$5=$E120+1,$C120,""),"")</f>
        <v/>
      </c>
      <c r="EI120" s="34">
        <f>IF(AND(EI$5&gt;$E120,EI$5&lt;=$F120),IF(EI$5=$E120+1,$C120,""),"")</f>
        <v/>
      </c>
      <c r="EJ120" s="34">
        <f>IF(AND(EJ$5&gt;$E120,EJ$5&lt;=$F120),IF(EJ$5=$E120+1,$C120,""),"")</f>
        <v/>
      </c>
      <c r="EK120" s="34">
        <f>IF(AND(EK$5&gt;$E120,EK$5&lt;=$F120),IF(EK$5=$E120+1,$C120,""),"")</f>
        <v/>
      </c>
      <c r="EL120" s="34">
        <f>IF(AND(EL$5&gt;$E120,EL$5&lt;=$F120),IF(EL$5=$E120+1,$C120,""),"")</f>
        <v/>
      </c>
      <c r="EM120" s="34">
        <f>IF(AND(EM$5&gt;$E120,EM$5&lt;=$F120),IF(EM$5=$E120+1,$C120,""),"")</f>
        <v/>
      </c>
      <c r="EN120" s="34">
        <f>IF(AND(EN$5&gt;$E120,EN$5&lt;=$F120),IF(EN$5=$E120+1,$C120,""),"")</f>
        <v/>
      </c>
      <c r="EO120" s="34">
        <f>IF(AND(EO$5&gt;$E120,EO$5&lt;=$F120),IF(EO$5=$E120+1,$C120,""),"")</f>
        <v/>
      </c>
      <c r="EP120" s="34">
        <f>IF(AND(EP$5&gt;$E120,EP$5&lt;=$F120),IF(EP$5=$E120+1,$C120,""),"")</f>
        <v/>
      </c>
      <c r="EQ120" s="34">
        <f>IF(AND(EQ$5&gt;$E120,EQ$5&lt;=$F120),IF(EQ$5=$E120+1,$C120,""),"")</f>
        <v/>
      </c>
      <c r="ER120" s="34">
        <f>IF(AND(ER$5&gt;$E120,ER$5&lt;=$F120),IF(ER$5=$E120+1,$C120,""),"")</f>
        <v/>
      </c>
      <c r="ES120" s="34">
        <f>IF(AND(ES$5&gt;$E120,ES$5&lt;=$F120),IF(ES$5=$E120+1,$C120,""),"")</f>
        <v/>
      </c>
      <c r="ET120" s="34">
        <f>IF(AND(ET$5&gt;$E120,ET$5&lt;=$F120),IF(ET$5=$E120+1,$C120,""),"")</f>
        <v/>
      </c>
      <c r="EU120" s="34">
        <f>IF(AND(EU$5&gt;$E120,EU$5&lt;=$F120),IF(EU$5=$E120+1,$C120,""),"")</f>
        <v/>
      </c>
      <c r="EV120" s="34">
        <f>IF(AND(EV$5&gt;$E120,EV$5&lt;=$F120),IF(EV$5=$E120+1,$C120,""),"")</f>
        <v/>
      </c>
      <c r="EW120" s="34">
        <f>IF(AND(EW$5&gt;$E120,EW$5&lt;=$F120),IF(EW$5=$E120+1,$C120,""),"")</f>
        <v/>
      </c>
      <c r="EX120" s="34">
        <f>IF(AND(EX$5&gt;$E120,EX$5&lt;=$F120),IF(EX$5=$E120+1,$C120,""),"")</f>
        <v/>
      </c>
      <c r="EY120" s="34">
        <f>IF(AND(EY$5&gt;$E120,EY$5&lt;=$F120),IF(EY$5=$E120+1,$C120,""),"")</f>
        <v/>
      </c>
      <c r="EZ120" s="34">
        <f>IF(AND(EZ$5&gt;$E120,EZ$5&lt;=$F120),IF(EZ$5=$E120+1,$C120,""),"")</f>
        <v/>
      </c>
      <c r="FA120" s="34">
        <f>IF(AND(FA$5&gt;$E120,FA$5&lt;=$F120),IF(FA$5=$E120+1,$C120,""),"")</f>
        <v/>
      </c>
    </row>
    <row r="121">
      <c r="A121" s="32">
        <f>Plan!A99</f>
        <v/>
      </c>
      <c r="B121" s="33">
        <f>Plan!C99</f>
        <v/>
      </c>
      <c r="C121" s="16">
        <f>Plan!D99</f>
        <v/>
      </c>
      <c r="D121" s="16">
        <f>Plan!I99</f>
        <v/>
      </c>
      <c r="E121" s="16">
        <f>Plan!K99</f>
        <v/>
      </c>
      <c r="F121" s="16">
        <f>Plan!L99</f>
        <v/>
      </c>
      <c r="G121" s="16">
        <f>Plan!O99</f>
        <v/>
      </c>
      <c r="H121" s="34">
        <f>IF(AND(H$5&gt;$E121,H$5&lt;=$F121),IF(H$5=$E121+1,$C121,""),"")</f>
        <v/>
      </c>
      <c r="I121" s="34">
        <f>IF(AND(I$5&gt;$E121,I$5&lt;=$F121),IF(I$5=$E121+1,$C121,""),"")</f>
        <v/>
      </c>
      <c r="J121" s="34">
        <f>IF(AND(J$5&gt;$E121,J$5&lt;=$F121),IF(J$5=$E121+1,$C121,""),"")</f>
        <v/>
      </c>
      <c r="K121" s="34">
        <f>IF(AND(K$5&gt;$E121,K$5&lt;=$F121),IF(K$5=$E121+1,$C121,""),"")</f>
        <v/>
      </c>
      <c r="L121" s="34">
        <f>IF(AND(L$5&gt;$E121,L$5&lt;=$F121),IF(L$5=$E121+1,$C121,""),"")</f>
        <v/>
      </c>
      <c r="M121" s="34">
        <f>IF(AND(M$5&gt;$E121,M$5&lt;=$F121),IF(M$5=$E121+1,$C121,""),"")</f>
        <v/>
      </c>
      <c r="N121" s="34">
        <f>IF(AND(N$5&gt;$E121,N$5&lt;=$F121),IF(N$5=$E121+1,$C121,""),"")</f>
        <v/>
      </c>
      <c r="O121" s="34">
        <f>IF(AND(O$5&gt;$E121,O$5&lt;=$F121),IF(O$5=$E121+1,$C121,""),"")</f>
        <v/>
      </c>
      <c r="P121" s="34">
        <f>IF(AND(P$5&gt;$E121,P$5&lt;=$F121),IF(P$5=$E121+1,$C121,""),"")</f>
        <v/>
      </c>
      <c r="Q121" s="34">
        <f>IF(AND(Q$5&gt;$E121,Q$5&lt;=$F121),IF(Q$5=$E121+1,$C121,""),"")</f>
        <v/>
      </c>
      <c r="R121" s="34">
        <f>IF(AND(R$5&gt;$E121,R$5&lt;=$F121),IF(R$5=$E121+1,$C121,""),"")</f>
        <v/>
      </c>
      <c r="S121" s="34">
        <f>IF(AND(S$5&gt;$E121,S$5&lt;=$F121),IF(S$5=$E121+1,$C121,""),"")</f>
        <v/>
      </c>
      <c r="T121" s="34">
        <f>IF(AND(T$5&gt;$E121,T$5&lt;=$F121),IF(T$5=$E121+1,$C121,""),"")</f>
        <v/>
      </c>
      <c r="U121" s="34">
        <f>IF(AND(U$5&gt;$E121,U$5&lt;=$F121),IF(U$5=$E121+1,$C121,""),"")</f>
        <v/>
      </c>
      <c r="V121" s="34">
        <f>IF(AND(V$5&gt;$E121,V$5&lt;=$F121),IF(V$5=$E121+1,$C121,""),"")</f>
        <v/>
      </c>
      <c r="W121" s="34">
        <f>IF(AND(W$5&gt;$E121,W$5&lt;=$F121),IF(W$5=$E121+1,$C121,""),"")</f>
        <v/>
      </c>
      <c r="X121" s="34">
        <f>IF(AND(X$5&gt;$E121,X$5&lt;=$F121),IF(X$5=$E121+1,$C121,""),"")</f>
        <v/>
      </c>
      <c r="Y121" s="34">
        <f>IF(AND(Y$5&gt;$E121,Y$5&lt;=$F121),IF(Y$5=$E121+1,$C121,""),"")</f>
        <v/>
      </c>
      <c r="Z121" s="34">
        <f>IF(AND(Z$5&gt;$E121,Z$5&lt;=$F121),IF(Z$5=$E121+1,$C121,""),"")</f>
        <v/>
      </c>
      <c r="AA121" s="34">
        <f>IF(AND(AA$5&gt;$E121,AA$5&lt;=$F121),IF(AA$5=$E121+1,$C121,""),"")</f>
        <v/>
      </c>
      <c r="AB121" s="34">
        <f>IF(AND(AB$5&gt;$E121,AB$5&lt;=$F121),IF(AB$5=$E121+1,$C121,""),"")</f>
        <v/>
      </c>
      <c r="AC121" s="34">
        <f>IF(AND(AC$5&gt;$E121,AC$5&lt;=$F121),IF(AC$5=$E121+1,$C121,""),"")</f>
        <v/>
      </c>
      <c r="AD121" s="34">
        <f>IF(AND(AD$5&gt;$E121,AD$5&lt;=$F121),IF(AD$5=$E121+1,$C121,""),"")</f>
        <v/>
      </c>
      <c r="AE121" s="34">
        <f>IF(AND(AE$5&gt;$E121,AE$5&lt;=$F121),IF(AE$5=$E121+1,$C121,""),"")</f>
        <v/>
      </c>
      <c r="AF121" s="34">
        <f>IF(AND(AF$5&gt;$E121,AF$5&lt;=$F121),IF(AF$5=$E121+1,$C121,""),"")</f>
        <v/>
      </c>
      <c r="AG121" s="34">
        <f>IF(AND(AG$5&gt;$E121,AG$5&lt;=$F121),IF(AG$5=$E121+1,$C121,""),"")</f>
        <v/>
      </c>
      <c r="AH121" s="34">
        <f>IF(AND(AH$5&gt;$E121,AH$5&lt;=$F121),IF(AH$5=$E121+1,$C121,""),"")</f>
        <v/>
      </c>
      <c r="AI121" s="34">
        <f>IF(AND(AI$5&gt;$E121,AI$5&lt;=$F121),IF(AI$5=$E121+1,$C121,""),"")</f>
        <v/>
      </c>
      <c r="AJ121" s="34">
        <f>IF(AND(AJ$5&gt;$E121,AJ$5&lt;=$F121),IF(AJ$5=$E121+1,$C121,""),"")</f>
        <v/>
      </c>
      <c r="AK121" s="34">
        <f>IF(AND(AK$5&gt;$E121,AK$5&lt;=$F121),IF(AK$5=$E121+1,$C121,""),"")</f>
        <v/>
      </c>
      <c r="AL121" s="34">
        <f>IF(AND(AL$5&gt;$E121,AL$5&lt;=$F121),IF(AL$5=$E121+1,$C121,""),"")</f>
        <v/>
      </c>
      <c r="AM121" s="34">
        <f>IF(AND(AM$5&gt;$E121,AM$5&lt;=$F121),IF(AM$5=$E121+1,$C121,""),"")</f>
        <v/>
      </c>
      <c r="AN121" s="34">
        <f>IF(AND(AN$5&gt;$E121,AN$5&lt;=$F121),IF(AN$5=$E121+1,$C121,""),"")</f>
        <v/>
      </c>
      <c r="AO121" s="34">
        <f>IF(AND(AO$5&gt;$E121,AO$5&lt;=$F121),IF(AO$5=$E121+1,$C121,""),"")</f>
        <v/>
      </c>
      <c r="AP121" s="34">
        <f>IF(AND(AP$5&gt;$E121,AP$5&lt;=$F121),IF(AP$5=$E121+1,$C121,""),"")</f>
        <v/>
      </c>
      <c r="AQ121" s="34">
        <f>IF(AND(AQ$5&gt;$E121,AQ$5&lt;=$F121),IF(AQ$5=$E121+1,$C121,""),"")</f>
        <v/>
      </c>
      <c r="AR121" s="34">
        <f>IF(AND(AR$5&gt;$E121,AR$5&lt;=$F121),IF(AR$5=$E121+1,$C121,""),"")</f>
        <v/>
      </c>
      <c r="AS121" s="34">
        <f>IF(AND(AS$5&gt;$E121,AS$5&lt;=$F121),IF(AS$5=$E121+1,$C121,""),"")</f>
        <v/>
      </c>
      <c r="AT121" s="34">
        <f>IF(AND(AT$5&gt;$E121,AT$5&lt;=$F121),IF(AT$5=$E121+1,$C121,""),"")</f>
        <v/>
      </c>
      <c r="AU121" s="34">
        <f>IF(AND(AU$5&gt;$E121,AU$5&lt;=$F121),IF(AU$5=$E121+1,$C121,""),"")</f>
        <v/>
      </c>
      <c r="AV121" s="34">
        <f>IF(AND(AV$5&gt;$E121,AV$5&lt;=$F121),IF(AV$5=$E121+1,$C121,""),"")</f>
        <v/>
      </c>
      <c r="AW121" s="34">
        <f>IF(AND(AW$5&gt;$E121,AW$5&lt;=$F121),IF(AW$5=$E121+1,$C121,""),"")</f>
        <v/>
      </c>
      <c r="AX121" s="34">
        <f>IF(AND(AX$5&gt;$E121,AX$5&lt;=$F121),IF(AX$5=$E121+1,$C121,""),"")</f>
        <v/>
      </c>
      <c r="AY121" s="34">
        <f>IF(AND(AY$5&gt;$E121,AY$5&lt;=$F121),IF(AY$5=$E121+1,$C121,""),"")</f>
        <v/>
      </c>
      <c r="AZ121" s="34">
        <f>IF(AND(AZ$5&gt;$E121,AZ$5&lt;=$F121),IF(AZ$5=$E121+1,$C121,""),"")</f>
        <v/>
      </c>
      <c r="BA121" s="34">
        <f>IF(AND(BA$5&gt;$E121,BA$5&lt;=$F121),IF(BA$5=$E121+1,$C121,""),"")</f>
        <v/>
      </c>
      <c r="BB121" s="34">
        <f>IF(AND(BB$5&gt;$E121,BB$5&lt;=$F121),IF(BB$5=$E121+1,$C121,""),"")</f>
        <v/>
      </c>
      <c r="BC121" s="34">
        <f>IF(AND(BC$5&gt;$E121,BC$5&lt;=$F121),IF(BC$5=$E121+1,$C121,""),"")</f>
        <v/>
      </c>
      <c r="BD121" s="34">
        <f>IF(AND(BD$5&gt;$E121,BD$5&lt;=$F121),IF(BD$5=$E121+1,$C121,""),"")</f>
        <v/>
      </c>
      <c r="BE121" s="34">
        <f>IF(AND(BE$5&gt;$E121,BE$5&lt;=$F121),IF(BE$5=$E121+1,$C121,""),"")</f>
        <v/>
      </c>
      <c r="BF121" s="34">
        <f>IF(AND(BF$5&gt;$E121,BF$5&lt;=$F121),IF(BF$5=$E121+1,$C121,""),"")</f>
        <v/>
      </c>
      <c r="BG121" s="34">
        <f>IF(AND(BG$5&gt;$E121,BG$5&lt;=$F121),IF(BG$5=$E121+1,$C121,""),"")</f>
        <v/>
      </c>
      <c r="BH121" s="34">
        <f>IF(AND(BH$5&gt;$E121,BH$5&lt;=$F121),IF(BH$5=$E121+1,$C121,""),"")</f>
        <v/>
      </c>
      <c r="BI121" s="34">
        <f>IF(AND(BI$5&gt;$E121,BI$5&lt;=$F121),IF(BI$5=$E121+1,$C121,""),"")</f>
        <v/>
      </c>
      <c r="BJ121" s="34">
        <f>IF(AND(BJ$5&gt;$E121,BJ$5&lt;=$F121),IF(BJ$5=$E121+1,$C121,""),"")</f>
        <v/>
      </c>
      <c r="BK121" s="34">
        <f>IF(AND(BK$5&gt;$E121,BK$5&lt;=$F121),IF(BK$5=$E121+1,$C121,""),"")</f>
        <v/>
      </c>
      <c r="BL121" s="34">
        <f>IF(AND(BL$5&gt;$E121,BL$5&lt;=$F121),IF(BL$5=$E121+1,$C121,""),"")</f>
        <v/>
      </c>
      <c r="BM121" s="34">
        <f>IF(AND(BM$5&gt;$E121,BM$5&lt;=$F121),IF(BM$5=$E121+1,$C121,""),"")</f>
        <v/>
      </c>
      <c r="BN121" s="34">
        <f>IF(AND(BN$5&gt;$E121,BN$5&lt;=$F121),IF(BN$5=$E121+1,$C121,""),"")</f>
        <v/>
      </c>
      <c r="BO121" s="34">
        <f>IF(AND(BO$5&gt;$E121,BO$5&lt;=$F121),IF(BO$5=$E121+1,$C121,""),"")</f>
        <v/>
      </c>
      <c r="BP121" s="34">
        <f>IF(AND(BP$5&gt;$E121,BP$5&lt;=$F121),IF(BP$5=$E121+1,$C121,""),"")</f>
        <v/>
      </c>
      <c r="BQ121" s="34">
        <f>IF(AND(BQ$5&gt;$E121,BQ$5&lt;=$F121),IF(BQ$5=$E121+1,$C121,""),"")</f>
        <v/>
      </c>
      <c r="BR121" s="34">
        <f>IF(AND(BR$5&gt;$E121,BR$5&lt;=$F121),IF(BR$5=$E121+1,$C121,""),"")</f>
        <v/>
      </c>
      <c r="BS121" s="34">
        <f>IF(AND(BS$5&gt;$E121,BS$5&lt;=$F121),IF(BS$5=$E121+1,$C121,""),"")</f>
        <v/>
      </c>
      <c r="BT121" s="34">
        <f>IF(AND(BT$5&gt;$E121,BT$5&lt;=$F121),IF(BT$5=$E121+1,$C121,""),"")</f>
        <v/>
      </c>
      <c r="BU121" s="34">
        <f>IF(AND(BU$5&gt;$E121,BU$5&lt;=$F121),IF(BU$5=$E121+1,$C121,""),"")</f>
        <v/>
      </c>
      <c r="BV121" s="34">
        <f>IF(AND(BV$5&gt;$E121,BV$5&lt;=$F121),IF(BV$5=$E121+1,$C121,""),"")</f>
        <v/>
      </c>
      <c r="BW121" s="34">
        <f>IF(AND(BW$5&gt;$E121,BW$5&lt;=$F121),IF(BW$5=$E121+1,$C121,""),"")</f>
        <v/>
      </c>
      <c r="BX121" s="34">
        <f>IF(AND(BX$5&gt;$E121,BX$5&lt;=$F121),IF(BX$5=$E121+1,$C121,""),"")</f>
        <v/>
      </c>
      <c r="BY121" s="34">
        <f>IF(AND(BY$5&gt;$E121,BY$5&lt;=$F121),IF(BY$5=$E121+1,$C121,""),"")</f>
        <v/>
      </c>
      <c r="BZ121" s="34">
        <f>IF(AND(BZ$5&gt;$E121,BZ$5&lt;=$F121),IF(BZ$5=$E121+1,$C121,""),"")</f>
        <v/>
      </c>
      <c r="CA121" s="34">
        <f>IF(AND(CA$5&gt;$E121,CA$5&lt;=$F121),IF(CA$5=$E121+1,$C121,""),"")</f>
        <v/>
      </c>
      <c r="CB121" s="34">
        <f>IF(AND(CB$5&gt;$E121,CB$5&lt;=$F121),IF(CB$5=$E121+1,$C121,""),"")</f>
        <v/>
      </c>
      <c r="CC121" s="34">
        <f>IF(AND(CC$5&gt;$E121,CC$5&lt;=$F121),IF(CC$5=$E121+1,$C121,""),"")</f>
        <v/>
      </c>
      <c r="CD121" s="34">
        <f>IF(AND(CD$5&gt;$E121,CD$5&lt;=$F121),IF(CD$5=$E121+1,$C121,""),"")</f>
        <v/>
      </c>
      <c r="CE121" s="34">
        <f>IF(AND(CE$5&gt;$E121,CE$5&lt;=$F121),IF(CE$5=$E121+1,$C121,""),"")</f>
        <v/>
      </c>
      <c r="CF121" s="34">
        <f>IF(AND(CF$5&gt;$E121,CF$5&lt;=$F121),IF(CF$5=$E121+1,$C121,""),"")</f>
        <v/>
      </c>
      <c r="CG121" s="34">
        <f>IF(AND(CG$5&gt;$E121,CG$5&lt;=$F121),IF(CG$5=$E121+1,$C121,""),"")</f>
        <v/>
      </c>
      <c r="CH121" s="34">
        <f>IF(AND(CH$5&gt;$E121,CH$5&lt;=$F121),IF(CH$5=$E121+1,$C121,""),"")</f>
        <v/>
      </c>
      <c r="CI121" s="34">
        <f>IF(AND(CI$5&gt;$E121,CI$5&lt;=$F121),IF(CI$5=$E121+1,$C121,""),"")</f>
        <v/>
      </c>
      <c r="CJ121" s="34">
        <f>IF(AND(CJ$5&gt;$E121,CJ$5&lt;=$F121),IF(CJ$5=$E121+1,$C121,""),"")</f>
        <v/>
      </c>
      <c r="CK121" s="34">
        <f>IF(AND(CK$5&gt;$E121,CK$5&lt;=$F121),IF(CK$5=$E121+1,$C121,""),"")</f>
        <v/>
      </c>
      <c r="CL121" s="34">
        <f>IF(AND(CL$5&gt;$E121,CL$5&lt;=$F121),IF(CL$5=$E121+1,$C121,""),"")</f>
        <v/>
      </c>
      <c r="CM121" s="34">
        <f>IF(AND(CM$5&gt;$E121,CM$5&lt;=$F121),IF(CM$5=$E121+1,$C121,""),"")</f>
        <v/>
      </c>
      <c r="CN121" s="34">
        <f>IF(AND(CN$5&gt;$E121,CN$5&lt;=$F121),IF(CN$5=$E121+1,$C121,""),"")</f>
        <v/>
      </c>
      <c r="CO121" s="34">
        <f>IF(AND(CO$5&gt;$E121,CO$5&lt;=$F121),IF(CO$5=$E121+1,$C121,""),"")</f>
        <v/>
      </c>
      <c r="CP121" s="34">
        <f>IF(AND(CP$5&gt;$E121,CP$5&lt;=$F121),IF(CP$5=$E121+1,$C121,""),"")</f>
        <v/>
      </c>
      <c r="CQ121" s="34">
        <f>IF(AND(CQ$5&gt;$E121,CQ$5&lt;=$F121),IF(CQ$5=$E121+1,$C121,""),"")</f>
        <v/>
      </c>
      <c r="CR121" s="34">
        <f>IF(AND(CR$5&gt;$E121,CR$5&lt;=$F121),IF(CR$5=$E121+1,$C121,""),"")</f>
        <v/>
      </c>
      <c r="CS121" s="34">
        <f>IF(AND(CS$5&gt;$E121,CS$5&lt;=$F121),IF(CS$5=$E121+1,$C121,""),"")</f>
        <v/>
      </c>
      <c r="CT121" s="34">
        <f>IF(AND(CT$5&gt;$E121,CT$5&lt;=$F121),IF(CT$5=$E121+1,$C121,""),"")</f>
        <v/>
      </c>
      <c r="CU121" s="34">
        <f>IF(AND(CU$5&gt;$E121,CU$5&lt;=$F121),IF(CU$5=$E121+1,$C121,""),"")</f>
        <v/>
      </c>
      <c r="CV121" s="34">
        <f>IF(AND(CV$5&gt;$E121,CV$5&lt;=$F121),IF(CV$5=$E121+1,$C121,""),"")</f>
        <v/>
      </c>
      <c r="CW121" s="34">
        <f>IF(AND(CW$5&gt;$E121,CW$5&lt;=$F121),IF(CW$5=$E121+1,$C121,""),"")</f>
        <v/>
      </c>
      <c r="CX121" s="34">
        <f>IF(AND(CX$5&gt;$E121,CX$5&lt;=$F121),IF(CX$5=$E121+1,$C121,""),"")</f>
        <v/>
      </c>
      <c r="CY121" s="34">
        <f>IF(AND(CY$5&gt;$E121,CY$5&lt;=$F121),IF(CY$5=$E121+1,$C121,""),"")</f>
        <v/>
      </c>
      <c r="CZ121" s="34">
        <f>IF(AND(CZ$5&gt;$E121,CZ$5&lt;=$F121),IF(CZ$5=$E121+1,$C121,""),"")</f>
        <v/>
      </c>
      <c r="DA121" s="34">
        <f>IF(AND(DA$5&gt;$E121,DA$5&lt;=$F121),IF(DA$5=$E121+1,$C121,""),"")</f>
        <v/>
      </c>
      <c r="DB121" s="34">
        <f>IF(AND(DB$5&gt;$E121,DB$5&lt;=$F121),IF(DB$5=$E121+1,$C121,""),"")</f>
        <v/>
      </c>
      <c r="DC121" s="34">
        <f>IF(AND(DC$5&gt;$E121,DC$5&lt;=$F121),IF(DC$5=$E121+1,$C121,""),"")</f>
        <v/>
      </c>
      <c r="DD121" s="34">
        <f>IF(AND(DD$5&gt;$E121,DD$5&lt;=$F121),IF(DD$5=$E121+1,$C121,""),"")</f>
        <v/>
      </c>
      <c r="DE121" s="34">
        <f>IF(AND(DE$5&gt;$E121,DE$5&lt;=$F121),IF(DE$5=$E121+1,$C121,""),"")</f>
        <v/>
      </c>
      <c r="DF121" s="34">
        <f>IF(AND(DF$5&gt;$E121,DF$5&lt;=$F121),IF(DF$5=$E121+1,$C121,""),"")</f>
        <v/>
      </c>
      <c r="DG121" s="34">
        <f>IF(AND(DG$5&gt;$E121,DG$5&lt;=$F121),IF(DG$5=$E121+1,$C121,""),"")</f>
        <v/>
      </c>
      <c r="DH121" s="34">
        <f>IF(AND(DH$5&gt;$E121,DH$5&lt;=$F121),IF(DH$5=$E121+1,$C121,""),"")</f>
        <v/>
      </c>
      <c r="DI121" s="34">
        <f>IF(AND(DI$5&gt;$E121,DI$5&lt;=$F121),IF(DI$5=$E121+1,$C121,""),"")</f>
        <v/>
      </c>
      <c r="DJ121" s="34">
        <f>IF(AND(DJ$5&gt;$E121,DJ$5&lt;=$F121),IF(DJ$5=$E121+1,$C121,""),"")</f>
        <v/>
      </c>
      <c r="DK121" s="34">
        <f>IF(AND(DK$5&gt;$E121,DK$5&lt;=$F121),IF(DK$5=$E121+1,$C121,""),"")</f>
        <v/>
      </c>
      <c r="DL121" s="34">
        <f>IF(AND(DL$5&gt;$E121,DL$5&lt;=$F121),IF(DL$5=$E121+1,$C121,""),"")</f>
        <v/>
      </c>
      <c r="DM121" s="34">
        <f>IF(AND(DM$5&gt;$E121,DM$5&lt;=$F121),IF(DM$5=$E121+1,$C121,""),"")</f>
        <v/>
      </c>
      <c r="DN121" s="34">
        <f>IF(AND(DN$5&gt;$E121,DN$5&lt;=$F121),IF(DN$5=$E121+1,$C121,""),"")</f>
        <v/>
      </c>
      <c r="DO121" s="34">
        <f>IF(AND(DO$5&gt;$E121,DO$5&lt;=$F121),IF(DO$5=$E121+1,$C121,""),"")</f>
        <v/>
      </c>
      <c r="DP121" s="34">
        <f>IF(AND(DP$5&gt;$E121,DP$5&lt;=$F121),IF(DP$5=$E121+1,$C121,""),"")</f>
        <v/>
      </c>
      <c r="DQ121" s="34">
        <f>IF(AND(DQ$5&gt;$E121,DQ$5&lt;=$F121),IF(DQ$5=$E121+1,$C121,""),"")</f>
        <v/>
      </c>
      <c r="DR121" s="34">
        <f>IF(AND(DR$5&gt;$E121,DR$5&lt;=$F121),IF(DR$5=$E121+1,$C121,""),"")</f>
        <v/>
      </c>
      <c r="DS121" s="34">
        <f>IF(AND(DS$5&gt;$E121,DS$5&lt;=$F121),IF(DS$5=$E121+1,$C121,""),"")</f>
        <v/>
      </c>
      <c r="DT121" s="34">
        <f>IF(AND(DT$5&gt;$E121,DT$5&lt;=$F121),IF(DT$5=$E121+1,$C121,""),"")</f>
        <v/>
      </c>
      <c r="DU121" s="34">
        <f>IF(AND(DU$5&gt;$E121,DU$5&lt;=$F121),IF(DU$5=$E121+1,$C121,""),"")</f>
        <v/>
      </c>
      <c r="DV121" s="34">
        <f>IF(AND(DV$5&gt;$E121,DV$5&lt;=$F121),IF(DV$5=$E121+1,$C121,""),"")</f>
        <v/>
      </c>
      <c r="DW121" s="34">
        <f>IF(AND(DW$5&gt;$E121,DW$5&lt;=$F121),IF(DW$5=$E121+1,$C121,""),"")</f>
        <v/>
      </c>
      <c r="DX121" s="34">
        <f>IF(AND(DX$5&gt;$E121,DX$5&lt;=$F121),IF(DX$5=$E121+1,$C121,""),"")</f>
        <v/>
      </c>
      <c r="DY121" s="34">
        <f>IF(AND(DY$5&gt;$E121,DY$5&lt;=$F121),IF(DY$5=$E121+1,$C121,""),"")</f>
        <v/>
      </c>
      <c r="DZ121" s="34">
        <f>IF(AND(DZ$5&gt;$E121,DZ$5&lt;=$F121),IF(DZ$5=$E121+1,$C121,""),"")</f>
        <v/>
      </c>
      <c r="EA121" s="34">
        <f>IF(AND(EA$5&gt;$E121,EA$5&lt;=$F121),IF(EA$5=$E121+1,$C121,""),"")</f>
        <v/>
      </c>
      <c r="EB121" s="34">
        <f>IF(AND(EB$5&gt;$E121,EB$5&lt;=$F121),IF(EB$5=$E121+1,$C121,""),"")</f>
        <v/>
      </c>
      <c r="EC121" s="34">
        <f>IF(AND(EC$5&gt;$E121,EC$5&lt;=$F121),IF(EC$5=$E121+1,$C121,""),"")</f>
        <v/>
      </c>
      <c r="ED121" s="34">
        <f>IF(AND(ED$5&gt;$E121,ED$5&lt;=$F121),IF(ED$5=$E121+1,$C121,""),"")</f>
        <v/>
      </c>
      <c r="EE121" s="34">
        <f>IF(AND(EE$5&gt;$E121,EE$5&lt;=$F121),IF(EE$5=$E121+1,$C121,""),"")</f>
        <v/>
      </c>
      <c r="EF121" s="34">
        <f>IF(AND(EF$5&gt;$E121,EF$5&lt;=$F121),IF(EF$5=$E121+1,$C121,""),"")</f>
        <v/>
      </c>
      <c r="EG121" s="34">
        <f>IF(AND(EG$5&gt;$E121,EG$5&lt;=$F121),IF(EG$5=$E121+1,$C121,""),"")</f>
        <v/>
      </c>
      <c r="EH121" s="34">
        <f>IF(AND(EH$5&gt;$E121,EH$5&lt;=$F121),IF(EH$5=$E121+1,$C121,""),"")</f>
        <v/>
      </c>
      <c r="EI121" s="34">
        <f>IF(AND(EI$5&gt;$E121,EI$5&lt;=$F121),IF(EI$5=$E121+1,$C121,""),"")</f>
        <v/>
      </c>
      <c r="EJ121" s="34">
        <f>IF(AND(EJ$5&gt;$E121,EJ$5&lt;=$F121),IF(EJ$5=$E121+1,$C121,""),"")</f>
        <v/>
      </c>
      <c r="EK121" s="34">
        <f>IF(AND(EK$5&gt;$E121,EK$5&lt;=$F121),IF(EK$5=$E121+1,$C121,""),"")</f>
        <v/>
      </c>
      <c r="EL121" s="34">
        <f>IF(AND(EL$5&gt;$E121,EL$5&lt;=$F121),IF(EL$5=$E121+1,$C121,""),"")</f>
        <v/>
      </c>
      <c r="EM121" s="34">
        <f>IF(AND(EM$5&gt;$E121,EM$5&lt;=$F121),IF(EM$5=$E121+1,$C121,""),"")</f>
        <v/>
      </c>
      <c r="EN121" s="34">
        <f>IF(AND(EN$5&gt;$E121,EN$5&lt;=$F121),IF(EN$5=$E121+1,$C121,""),"")</f>
        <v/>
      </c>
      <c r="EO121" s="34">
        <f>IF(AND(EO$5&gt;$E121,EO$5&lt;=$F121),IF(EO$5=$E121+1,$C121,""),"")</f>
        <v/>
      </c>
      <c r="EP121" s="34">
        <f>IF(AND(EP$5&gt;$E121,EP$5&lt;=$F121),IF(EP$5=$E121+1,$C121,""),"")</f>
        <v/>
      </c>
      <c r="EQ121" s="34">
        <f>IF(AND(EQ$5&gt;$E121,EQ$5&lt;=$F121),IF(EQ$5=$E121+1,$C121,""),"")</f>
        <v/>
      </c>
      <c r="ER121" s="34">
        <f>IF(AND(ER$5&gt;$E121,ER$5&lt;=$F121),IF(ER$5=$E121+1,$C121,""),"")</f>
        <v/>
      </c>
      <c r="ES121" s="34">
        <f>IF(AND(ES$5&gt;$E121,ES$5&lt;=$F121),IF(ES$5=$E121+1,$C121,""),"")</f>
        <v/>
      </c>
      <c r="ET121" s="34">
        <f>IF(AND(ET$5&gt;$E121,ET$5&lt;=$F121),IF(ET$5=$E121+1,$C121,""),"")</f>
        <v/>
      </c>
      <c r="EU121" s="34">
        <f>IF(AND(EU$5&gt;$E121,EU$5&lt;=$F121),IF(EU$5=$E121+1,$C121,""),"")</f>
        <v/>
      </c>
      <c r="EV121" s="34">
        <f>IF(AND(EV$5&gt;$E121,EV$5&lt;=$F121),IF(EV$5=$E121+1,$C121,""),"")</f>
        <v/>
      </c>
      <c r="EW121" s="34">
        <f>IF(AND(EW$5&gt;$E121,EW$5&lt;=$F121),IF(EW$5=$E121+1,$C121,""),"")</f>
        <v/>
      </c>
      <c r="EX121" s="34">
        <f>IF(AND(EX$5&gt;$E121,EX$5&lt;=$F121),IF(EX$5=$E121+1,$C121,""),"")</f>
        <v/>
      </c>
      <c r="EY121" s="34">
        <f>IF(AND(EY$5&gt;$E121,EY$5&lt;=$F121),IF(EY$5=$E121+1,$C121,""),"")</f>
        <v/>
      </c>
      <c r="EZ121" s="34">
        <f>IF(AND(EZ$5&gt;$E121,EZ$5&lt;=$F121),IF(EZ$5=$E121+1,$C121,""),"")</f>
        <v/>
      </c>
      <c r="FA121" s="34">
        <f>IF(AND(FA$5&gt;$E121,FA$5&lt;=$F121),IF(FA$5=$E121+1,$C121,""),"")</f>
        <v/>
      </c>
    </row>
    <row r="122">
      <c r="A122" s="32">
        <f>Plan!A100</f>
        <v/>
      </c>
      <c r="B122" s="33">
        <f>Plan!C100</f>
        <v/>
      </c>
      <c r="C122" s="16">
        <f>Plan!D100</f>
        <v/>
      </c>
      <c r="D122" s="16">
        <f>Plan!I100</f>
        <v/>
      </c>
      <c r="E122" s="16">
        <f>Plan!K100</f>
        <v/>
      </c>
      <c r="F122" s="16">
        <f>Plan!L100</f>
        <v/>
      </c>
      <c r="G122" s="16">
        <f>Plan!O100</f>
        <v/>
      </c>
      <c r="H122" s="34">
        <f>IF(AND(H$5&gt;$E122,H$5&lt;=$F122),IF(H$5=$E122+1,$C122,""),"")</f>
        <v/>
      </c>
      <c r="I122" s="34">
        <f>IF(AND(I$5&gt;$E122,I$5&lt;=$F122),IF(I$5=$E122+1,$C122,""),"")</f>
        <v/>
      </c>
      <c r="J122" s="34">
        <f>IF(AND(J$5&gt;$E122,J$5&lt;=$F122),IF(J$5=$E122+1,$C122,""),"")</f>
        <v/>
      </c>
      <c r="K122" s="34">
        <f>IF(AND(K$5&gt;$E122,K$5&lt;=$F122),IF(K$5=$E122+1,$C122,""),"")</f>
        <v/>
      </c>
      <c r="L122" s="34">
        <f>IF(AND(L$5&gt;$E122,L$5&lt;=$F122),IF(L$5=$E122+1,$C122,""),"")</f>
        <v/>
      </c>
      <c r="M122" s="34">
        <f>IF(AND(M$5&gt;$E122,M$5&lt;=$F122),IF(M$5=$E122+1,$C122,""),"")</f>
        <v/>
      </c>
      <c r="N122" s="34">
        <f>IF(AND(N$5&gt;$E122,N$5&lt;=$F122),IF(N$5=$E122+1,$C122,""),"")</f>
        <v/>
      </c>
      <c r="O122" s="34">
        <f>IF(AND(O$5&gt;$E122,O$5&lt;=$F122),IF(O$5=$E122+1,$C122,""),"")</f>
        <v/>
      </c>
      <c r="P122" s="34">
        <f>IF(AND(P$5&gt;$E122,P$5&lt;=$F122),IF(P$5=$E122+1,$C122,""),"")</f>
        <v/>
      </c>
      <c r="Q122" s="34">
        <f>IF(AND(Q$5&gt;$E122,Q$5&lt;=$F122),IF(Q$5=$E122+1,$C122,""),"")</f>
        <v/>
      </c>
      <c r="R122" s="34">
        <f>IF(AND(R$5&gt;$E122,R$5&lt;=$F122),IF(R$5=$E122+1,$C122,""),"")</f>
        <v/>
      </c>
      <c r="S122" s="34">
        <f>IF(AND(S$5&gt;$E122,S$5&lt;=$F122),IF(S$5=$E122+1,$C122,""),"")</f>
        <v/>
      </c>
      <c r="T122" s="34">
        <f>IF(AND(T$5&gt;$E122,T$5&lt;=$F122),IF(T$5=$E122+1,$C122,""),"")</f>
        <v/>
      </c>
      <c r="U122" s="34">
        <f>IF(AND(U$5&gt;$E122,U$5&lt;=$F122),IF(U$5=$E122+1,$C122,""),"")</f>
        <v/>
      </c>
      <c r="V122" s="34">
        <f>IF(AND(V$5&gt;$E122,V$5&lt;=$F122),IF(V$5=$E122+1,$C122,""),"")</f>
        <v/>
      </c>
      <c r="W122" s="34">
        <f>IF(AND(W$5&gt;$E122,W$5&lt;=$F122),IF(W$5=$E122+1,$C122,""),"")</f>
        <v/>
      </c>
      <c r="X122" s="34">
        <f>IF(AND(X$5&gt;$E122,X$5&lt;=$F122),IF(X$5=$E122+1,$C122,""),"")</f>
        <v/>
      </c>
      <c r="Y122" s="34">
        <f>IF(AND(Y$5&gt;$E122,Y$5&lt;=$F122),IF(Y$5=$E122+1,$C122,""),"")</f>
        <v/>
      </c>
      <c r="Z122" s="34">
        <f>IF(AND(Z$5&gt;$E122,Z$5&lt;=$F122),IF(Z$5=$E122+1,$C122,""),"")</f>
        <v/>
      </c>
      <c r="AA122" s="34">
        <f>IF(AND(AA$5&gt;$E122,AA$5&lt;=$F122),IF(AA$5=$E122+1,$C122,""),"")</f>
        <v/>
      </c>
      <c r="AB122" s="34">
        <f>IF(AND(AB$5&gt;$E122,AB$5&lt;=$F122),IF(AB$5=$E122+1,$C122,""),"")</f>
        <v/>
      </c>
      <c r="AC122" s="34">
        <f>IF(AND(AC$5&gt;$E122,AC$5&lt;=$F122),IF(AC$5=$E122+1,$C122,""),"")</f>
        <v/>
      </c>
      <c r="AD122" s="34">
        <f>IF(AND(AD$5&gt;$E122,AD$5&lt;=$F122),IF(AD$5=$E122+1,$C122,""),"")</f>
        <v/>
      </c>
      <c r="AE122" s="34">
        <f>IF(AND(AE$5&gt;$E122,AE$5&lt;=$F122),IF(AE$5=$E122+1,$C122,""),"")</f>
        <v/>
      </c>
      <c r="AF122" s="34">
        <f>IF(AND(AF$5&gt;$E122,AF$5&lt;=$F122),IF(AF$5=$E122+1,$C122,""),"")</f>
        <v/>
      </c>
      <c r="AG122" s="34">
        <f>IF(AND(AG$5&gt;$E122,AG$5&lt;=$F122),IF(AG$5=$E122+1,$C122,""),"")</f>
        <v/>
      </c>
      <c r="AH122" s="34">
        <f>IF(AND(AH$5&gt;$E122,AH$5&lt;=$F122),IF(AH$5=$E122+1,$C122,""),"")</f>
        <v/>
      </c>
      <c r="AI122" s="34">
        <f>IF(AND(AI$5&gt;$E122,AI$5&lt;=$F122),IF(AI$5=$E122+1,$C122,""),"")</f>
        <v/>
      </c>
      <c r="AJ122" s="34">
        <f>IF(AND(AJ$5&gt;$E122,AJ$5&lt;=$F122),IF(AJ$5=$E122+1,$C122,""),"")</f>
        <v/>
      </c>
      <c r="AK122" s="34">
        <f>IF(AND(AK$5&gt;$E122,AK$5&lt;=$F122),IF(AK$5=$E122+1,$C122,""),"")</f>
        <v/>
      </c>
      <c r="AL122" s="34">
        <f>IF(AND(AL$5&gt;$E122,AL$5&lt;=$F122),IF(AL$5=$E122+1,$C122,""),"")</f>
        <v/>
      </c>
      <c r="AM122" s="34">
        <f>IF(AND(AM$5&gt;$E122,AM$5&lt;=$F122),IF(AM$5=$E122+1,$C122,""),"")</f>
        <v/>
      </c>
      <c r="AN122" s="34">
        <f>IF(AND(AN$5&gt;$E122,AN$5&lt;=$F122),IF(AN$5=$E122+1,$C122,""),"")</f>
        <v/>
      </c>
      <c r="AO122" s="34">
        <f>IF(AND(AO$5&gt;$E122,AO$5&lt;=$F122),IF(AO$5=$E122+1,$C122,""),"")</f>
        <v/>
      </c>
      <c r="AP122" s="34">
        <f>IF(AND(AP$5&gt;$E122,AP$5&lt;=$F122),IF(AP$5=$E122+1,$C122,""),"")</f>
        <v/>
      </c>
      <c r="AQ122" s="34">
        <f>IF(AND(AQ$5&gt;$E122,AQ$5&lt;=$F122),IF(AQ$5=$E122+1,$C122,""),"")</f>
        <v/>
      </c>
      <c r="AR122" s="34">
        <f>IF(AND(AR$5&gt;$E122,AR$5&lt;=$F122),IF(AR$5=$E122+1,$C122,""),"")</f>
        <v/>
      </c>
      <c r="AS122" s="34">
        <f>IF(AND(AS$5&gt;$E122,AS$5&lt;=$F122),IF(AS$5=$E122+1,$C122,""),"")</f>
        <v/>
      </c>
      <c r="AT122" s="34">
        <f>IF(AND(AT$5&gt;$E122,AT$5&lt;=$F122),IF(AT$5=$E122+1,$C122,""),"")</f>
        <v/>
      </c>
      <c r="AU122" s="34">
        <f>IF(AND(AU$5&gt;$E122,AU$5&lt;=$F122),IF(AU$5=$E122+1,$C122,""),"")</f>
        <v/>
      </c>
      <c r="AV122" s="34">
        <f>IF(AND(AV$5&gt;$E122,AV$5&lt;=$F122),IF(AV$5=$E122+1,$C122,""),"")</f>
        <v/>
      </c>
      <c r="AW122" s="34">
        <f>IF(AND(AW$5&gt;$E122,AW$5&lt;=$F122),IF(AW$5=$E122+1,$C122,""),"")</f>
        <v/>
      </c>
      <c r="AX122" s="34">
        <f>IF(AND(AX$5&gt;$E122,AX$5&lt;=$F122),IF(AX$5=$E122+1,$C122,""),"")</f>
        <v/>
      </c>
      <c r="AY122" s="34">
        <f>IF(AND(AY$5&gt;$E122,AY$5&lt;=$F122),IF(AY$5=$E122+1,$C122,""),"")</f>
        <v/>
      </c>
      <c r="AZ122" s="34">
        <f>IF(AND(AZ$5&gt;$E122,AZ$5&lt;=$F122),IF(AZ$5=$E122+1,$C122,""),"")</f>
        <v/>
      </c>
      <c r="BA122" s="34">
        <f>IF(AND(BA$5&gt;$E122,BA$5&lt;=$F122),IF(BA$5=$E122+1,$C122,""),"")</f>
        <v/>
      </c>
      <c r="BB122" s="34">
        <f>IF(AND(BB$5&gt;$E122,BB$5&lt;=$F122),IF(BB$5=$E122+1,$C122,""),"")</f>
        <v/>
      </c>
      <c r="BC122" s="34">
        <f>IF(AND(BC$5&gt;$E122,BC$5&lt;=$F122),IF(BC$5=$E122+1,$C122,""),"")</f>
        <v/>
      </c>
      <c r="BD122" s="34">
        <f>IF(AND(BD$5&gt;$E122,BD$5&lt;=$F122),IF(BD$5=$E122+1,$C122,""),"")</f>
        <v/>
      </c>
      <c r="BE122" s="34">
        <f>IF(AND(BE$5&gt;$E122,BE$5&lt;=$F122),IF(BE$5=$E122+1,$C122,""),"")</f>
        <v/>
      </c>
      <c r="BF122" s="34">
        <f>IF(AND(BF$5&gt;$E122,BF$5&lt;=$F122),IF(BF$5=$E122+1,$C122,""),"")</f>
        <v/>
      </c>
      <c r="BG122" s="34">
        <f>IF(AND(BG$5&gt;$E122,BG$5&lt;=$F122),IF(BG$5=$E122+1,$C122,""),"")</f>
        <v/>
      </c>
      <c r="BH122" s="34">
        <f>IF(AND(BH$5&gt;$E122,BH$5&lt;=$F122),IF(BH$5=$E122+1,$C122,""),"")</f>
        <v/>
      </c>
      <c r="BI122" s="34">
        <f>IF(AND(BI$5&gt;$E122,BI$5&lt;=$F122),IF(BI$5=$E122+1,$C122,""),"")</f>
        <v/>
      </c>
      <c r="BJ122" s="34">
        <f>IF(AND(BJ$5&gt;$E122,BJ$5&lt;=$F122),IF(BJ$5=$E122+1,$C122,""),"")</f>
        <v/>
      </c>
      <c r="BK122" s="34">
        <f>IF(AND(BK$5&gt;$E122,BK$5&lt;=$F122),IF(BK$5=$E122+1,$C122,""),"")</f>
        <v/>
      </c>
      <c r="BL122" s="34">
        <f>IF(AND(BL$5&gt;$E122,BL$5&lt;=$F122),IF(BL$5=$E122+1,$C122,""),"")</f>
        <v/>
      </c>
      <c r="BM122" s="34">
        <f>IF(AND(BM$5&gt;$E122,BM$5&lt;=$F122),IF(BM$5=$E122+1,$C122,""),"")</f>
        <v/>
      </c>
      <c r="BN122" s="34">
        <f>IF(AND(BN$5&gt;$E122,BN$5&lt;=$F122),IF(BN$5=$E122+1,$C122,""),"")</f>
        <v/>
      </c>
      <c r="BO122" s="34">
        <f>IF(AND(BO$5&gt;$E122,BO$5&lt;=$F122),IF(BO$5=$E122+1,$C122,""),"")</f>
        <v/>
      </c>
      <c r="BP122" s="34">
        <f>IF(AND(BP$5&gt;$E122,BP$5&lt;=$F122),IF(BP$5=$E122+1,$C122,""),"")</f>
        <v/>
      </c>
      <c r="BQ122" s="34">
        <f>IF(AND(BQ$5&gt;$E122,BQ$5&lt;=$F122),IF(BQ$5=$E122+1,$C122,""),"")</f>
        <v/>
      </c>
      <c r="BR122" s="34">
        <f>IF(AND(BR$5&gt;$E122,BR$5&lt;=$F122),IF(BR$5=$E122+1,$C122,""),"")</f>
        <v/>
      </c>
      <c r="BS122" s="34">
        <f>IF(AND(BS$5&gt;$E122,BS$5&lt;=$F122),IF(BS$5=$E122+1,$C122,""),"")</f>
        <v/>
      </c>
      <c r="BT122" s="34">
        <f>IF(AND(BT$5&gt;$E122,BT$5&lt;=$F122),IF(BT$5=$E122+1,$C122,""),"")</f>
        <v/>
      </c>
      <c r="BU122" s="34">
        <f>IF(AND(BU$5&gt;$E122,BU$5&lt;=$F122),IF(BU$5=$E122+1,$C122,""),"")</f>
        <v/>
      </c>
      <c r="BV122" s="34">
        <f>IF(AND(BV$5&gt;$E122,BV$5&lt;=$F122),IF(BV$5=$E122+1,$C122,""),"")</f>
        <v/>
      </c>
      <c r="BW122" s="34">
        <f>IF(AND(BW$5&gt;$E122,BW$5&lt;=$F122),IF(BW$5=$E122+1,$C122,""),"")</f>
        <v/>
      </c>
      <c r="BX122" s="34">
        <f>IF(AND(BX$5&gt;$E122,BX$5&lt;=$F122),IF(BX$5=$E122+1,$C122,""),"")</f>
        <v/>
      </c>
      <c r="BY122" s="34">
        <f>IF(AND(BY$5&gt;$E122,BY$5&lt;=$F122),IF(BY$5=$E122+1,$C122,""),"")</f>
        <v/>
      </c>
      <c r="BZ122" s="34">
        <f>IF(AND(BZ$5&gt;$E122,BZ$5&lt;=$F122),IF(BZ$5=$E122+1,$C122,""),"")</f>
        <v/>
      </c>
      <c r="CA122" s="34">
        <f>IF(AND(CA$5&gt;$E122,CA$5&lt;=$F122),IF(CA$5=$E122+1,$C122,""),"")</f>
        <v/>
      </c>
      <c r="CB122" s="34">
        <f>IF(AND(CB$5&gt;$E122,CB$5&lt;=$F122),IF(CB$5=$E122+1,$C122,""),"")</f>
        <v/>
      </c>
      <c r="CC122" s="34">
        <f>IF(AND(CC$5&gt;$E122,CC$5&lt;=$F122),IF(CC$5=$E122+1,$C122,""),"")</f>
        <v/>
      </c>
      <c r="CD122" s="34">
        <f>IF(AND(CD$5&gt;$E122,CD$5&lt;=$F122),IF(CD$5=$E122+1,$C122,""),"")</f>
        <v/>
      </c>
      <c r="CE122" s="34">
        <f>IF(AND(CE$5&gt;$E122,CE$5&lt;=$F122),IF(CE$5=$E122+1,$C122,""),"")</f>
        <v/>
      </c>
      <c r="CF122" s="34">
        <f>IF(AND(CF$5&gt;$E122,CF$5&lt;=$F122),IF(CF$5=$E122+1,$C122,""),"")</f>
        <v/>
      </c>
      <c r="CG122" s="34">
        <f>IF(AND(CG$5&gt;$E122,CG$5&lt;=$F122),IF(CG$5=$E122+1,$C122,""),"")</f>
        <v/>
      </c>
      <c r="CH122" s="34">
        <f>IF(AND(CH$5&gt;$E122,CH$5&lt;=$F122),IF(CH$5=$E122+1,$C122,""),"")</f>
        <v/>
      </c>
      <c r="CI122" s="34">
        <f>IF(AND(CI$5&gt;$E122,CI$5&lt;=$F122),IF(CI$5=$E122+1,$C122,""),"")</f>
        <v/>
      </c>
      <c r="CJ122" s="34">
        <f>IF(AND(CJ$5&gt;$E122,CJ$5&lt;=$F122),IF(CJ$5=$E122+1,$C122,""),"")</f>
        <v/>
      </c>
      <c r="CK122" s="34">
        <f>IF(AND(CK$5&gt;$E122,CK$5&lt;=$F122),IF(CK$5=$E122+1,$C122,""),"")</f>
        <v/>
      </c>
      <c r="CL122" s="34">
        <f>IF(AND(CL$5&gt;$E122,CL$5&lt;=$F122),IF(CL$5=$E122+1,$C122,""),"")</f>
        <v/>
      </c>
      <c r="CM122" s="34">
        <f>IF(AND(CM$5&gt;$E122,CM$5&lt;=$F122),IF(CM$5=$E122+1,$C122,""),"")</f>
        <v/>
      </c>
      <c r="CN122" s="34">
        <f>IF(AND(CN$5&gt;$E122,CN$5&lt;=$F122),IF(CN$5=$E122+1,$C122,""),"")</f>
        <v/>
      </c>
      <c r="CO122" s="34">
        <f>IF(AND(CO$5&gt;$E122,CO$5&lt;=$F122),IF(CO$5=$E122+1,$C122,""),"")</f>
        <v/>
      </c>
      <c r="CP122" s="34">
        <f>IF(AND(CP$5&gt;$E122,CP$5&lt;=$F122),IF(CP$5=$E122+1,$C122,""),"")</f>
        <v/>
      </c>
      <c r="CQ122" s="34">
        <f>IF(AND(CQ$5&gt;$E122,CQ$5&lt;=$F122),IF(CQ$5=$E122+1,$C122,""),"")</f>
        <v/>
      </c>
      <c r="CR122" s="34">
        <f>IF(AND(CR$5&gt;$E122,CR$5&lt;=$F122),IF(CR$5=$E122+1,$C122,""),"")</f>
        <v/>
      </c>
      <c r="CS122" s="34">
        <f>IF(AND(CS$5&gt;$E122,CS$5&lt;=$F122),IF(CS$5=$E122+1,$C122,""),"")</f>
        <v/>
      </c>
      <c r="CT122" s="34">
        <f>IF(AND(CT$5&gt;$E122,CT$5&lt;=$F122),IF(CT$5=$E122+1,$C122,""),"")</f>
        <v/>
      </c>
      <c r="CU122" s="34">
        <f>IF(AND(CU$5&gt;$E122,CU$5&lt;=$F122),IF(CU$5=$E122+1,$C122,""),"")</f>
        <v/>
      </c>
      <c r="CV122" s="34">
        <f>IF(AND(CV$5&gt;$E122,CV$5&lt;=$F122),IF(CV$5=$E122+1,$C122,""),"")</f>
        <v/>
      </c>
      <c r="CW122" s="34">
        <f>IF(AND(CW$5&gt;$E122,CW$5&lt;=$F122),IF(CW$5=$E122+1,$C122,""),"")</f>
        <v/>
      </c>
      <c r="CX122" s="34">
        <f>IF(AND(CX$5&gt;$E122,CX$5&lt;=$F122),IF(CX$5=$E122+1,$C122,""),"")</f>
        <v/>
      </c>
      <c r="CY122" s="34">
        <f>IF(AND(CY$5&gt;$E122,CY$5&lt;=$F122),IF(CY$5=$E122+1,$C122,""),"")</f>
        <v/>
      </c>
      <c r="CZ122" s="34">
        <f>IF(AND(CZ$5&gt;$E122,CZ$5&lt;=$F122),IF(CZ$5=$E122+1,$C122,""),"")</f>
        <v/>
      </c>
      <c r="DA122" s="34">
        <f>IF(AND(DA$5&gt;$E122,DA$5&lt;=$F122),IF(DA$5=$E122+1,$C122,""),"")</f>
        <v/>
      </c>
      <c r="DB122" s="34">
        <f>IF(AND(DB$5&gt;$E122,DB$5&lt;=$F122),IF(DB$5=$E122+1,$C122,""),"")</f>
        <v/>
      </c>
      <c r="DC122" s="34">
        <f>IF(AND(DC$5&gt;$E122,DC$5&lt;=$F122),IF(DC$5=$E122+1,$C122,""),"")</f>
        <v/>
      </c>
      <c r="DD122" s="34">
        <f>IF(AND(DD$5&gt;$E122,DD$5&lt;=$F122),IF(DD$5=$E122+1,$C122,""),"")</f>
        <v/>
      </c>
      <c r="DE122" s="34">
        <f>IF(AND(DE$5&gt;$E122,DE$5&lt;=$F122),IF(DE$5=$E122+1,$C122,""),"")</f>
        <v/>
      </c>
      <c r="DF122" s="34">
        <f>IF(AND(DF$5&gt;$E122,DF$5&lt;=$F122),IF(DF$5=$E122+1,$C122,""),"")</f>
        <v/>
      </c>
      <c r="DG122" s="34">
        <f>IF(AND(DG$5&gt;$E122,DG$5&lt;=$F122),IF(DG$5=$E122+1,$C122,""),"")</f>
        <v/>
      </c>
      <c r="DH122" s="34">
        <f>IF(AND(DH$5&gt;$E122,DH$5&lt;=$F122),IF(DH$5=$E122+1,$C122,""),"")</f>
        <v/>
      </c>
      <c r="DI122" s="34">
        <f>IF(AND(DI$5&gt;$E122,DI$5&lt;=$F122),IF(DI$5=$E122+1,$C122,""),"")</f>
        <v/>
      </c>
      <c r="DJ122" s="34">
        <f>IF(AND(DJ$5&gt;$E122,DJ$5&lt;=$F122),IF(DJ$5=$E122+1,$C122,""),"")</f>
        <v/>
      </c>
      <c r="DK122" s="34">
        <f>IF(AND(DK$5&gt;$E122,DK$5&lt;=$F122),IF(DK$5=$E122+1,$C122,""),"")</f>
        <v/>
      </c>
      <c r="DL122" s="34">
        <f>IF(AND(DL$5&gt;$E122,DL$5&lt;=$F122),IF(DL$5=$E122+1,$C122,""),"")</f>
        <v/>
      </c>
      <c r="DM122" s="34">
        <f>IF(AND(DM$5&gt;$E122,DM$5&lt;=$F122),IF(DM$5=$E122+1,$C122,""),"")</f>
        <v/>
      </c>
      <c r="DN122" s="34">
        <f>IF(AND(DN$5&gt;$E122,DN$5&lt;=$F122),IF(DN$5=$E122+1,$C122,""),"")</f>
        <v/>
      </c>
      <c r="DO122" s="34">
        <f>IF(AND(DO$5&gt;$E122,DO$5&lt;=$F122),IF(DO$5=$E122+1,$C122,""),"")</f>
        <v/>
      </c>
      <c r="DP122" s="34">
        <f>IF(AND(DP$5&gt;$E122,DP$5&lt;=$F122),IF(DP$5=$E122+1,$C122,""),"")</f>
        <v/>
      </c>
      <c r="DQ122" s="34">
        <f>IF(AND(DQ$5&gt;$E122,DQ$5&lt;=$F122),IF(DQ$5=$E122+1,$C122,""),"")</f>
        <v/>
      </c>
      <c r="DR122" s="34">
        <f>IF(AND(DR$5&gt;$E122,DR$5&lt;=$F122),IF(DR$5=$E122+1,$C122,""),"")</f>
        <v/>
      </c>
      <c r="DS122" s="34">
        <f>IF(AND(DS$5&gt;$E122,DS$5&lt;=$F122),IF(DS$5=$E122+1,$C122,""),"")</f>
        <v/>
      </c>
      <c r="DT122" s="34">
        <f>IF(AND(DT$5&gt;$E122,DT$5&lt;=$F122),IF(DT$5=$E122+1,$C122,""),"")</f>
        <v/>
      </c>
      <c r="DU122" s="34">
        <f>IF(AND(DU$5&gt;$E122,DU$5&lt;=$F122),IF(DU$5=$E122+1,$C122,""),"")</f>
        <v/>
      </c>
      <c r="DV122" s="34">
        <f>IF(AND(DV$5&gt;$E122,DV$5&lt;=$F122),IF(DV$5=$E122+1,$C122,""),"")</f>
        <v/>
      </c>
      <c r="DW122" s="34">
        <f>IF(AND(DW$5&gt;$E122,DW$5&lt;=$F122),IF(DW$5=$E122+1,$C122,""),"")</f>
        <v/>
      </c>
      <c r="DX122" s="34">
        <f>IF(AND(DX$5&gt;$E122,DX$5&lt;=$F122),IF(DX$5=$E122+1,$C122,""),"")</f>
        <v/>
      </c>
      <c r="DY122" s="34">
        <f>IF(AND(DY$5&gt;$E122,DY$5&lt;=$F122),IF(DY$5=$E122+1,$C122,""),"")</f>
        <v/>
      </c>
      <c r="DZ122" s="34">
        <f>IF(AND(DZ$5&gt;$E122,DZ$5&lt;=$F122),IF(DZ$5=$E122+1,$C122,""),"")</f>
        <v/>
      </c>
      <c r="EA122" s="34">
        <f>IF(AND(EA$5&gt;$E122,EA$5&lt;=$F122),IF(EA$5=$E122+1,$C122,""),"")</f>
        <v/>
      </c>
      <c r="EB122" s="34">
        <f>IF(AND(EB$5&gt;$E122,EB$5&lt;=$F122),IF(EB$5=$E122+1,$C122,""),"")</f>
        <v/>
      </c>
      <c r="EC122" s="34">
        <f>IF(AND(EC$5&gt;$E122,EC$5&lt;=$F122),IF(EC$5=$E122+1,$C122,""),"")</f>
        <v/>
      </c>
      <c r="ED122" s="34">
        <f>IF(AND(ED$5&gt;$E122,ED$5&lt;=$F122),IF(ED$5=$E122+1,$C122,""),"")</f>
        <v/>
      </c>
      <c r="EE122" s="34">
        <f>IF(AND(EE$5&gt;$E122,EE$5&lt;=$F122),IF(EE$5=$E122+1,$C122,""),"")</f>
        <v/>
      </c>
      <c r="EF122" s="34">
        <f>IF(AND(EF$5&gt;$E122,EF$5&lt;=$F122),IF(EF$5=$E122+1,$C122,""),"")</f>
        <v/>
      </c>
      <c r="EG122" s="34">
        <f>IF(AND(EG$5&gt;$E122,EG$5&lt;=$F122),IF(EG$5=$E122+1,$C122,""),"")</f>
        <v/>
      </c>
      <c r="EH122" s="34">
        <f>IF(AND(EH$5&gt;$E122,EH$5&lt;=$F122),IF(EH$5=$E122+1,$C122,""),"")</f>
        <v/>
      </c>
      <c r="EI122" s="34">
        <f>IF(AND(EI$5&gt;$E122,EI$5&lt;=$F122),IF(EI$5=$E122+1,$C122,""),"")</f>
        <v/>
      </c>
      <c r="EJ122" s="34">
        <f>IF(AND(EJ$5&gt;$E122,EJ$5&lt;=$F122),IF(EJ$5=$E122+1,$C122,""),"")</f>
        <v/>
      </c>
      <c r="EK122" s="34">
        <f>IF(AND(EK$5&gt;$E122,EK$5&lt;=$F122),IF(EK$5=$E122+1,$C122,""),"")</f>
        <v/>
      </c>
      <c r="EL122" s="34">
        <f>IF(AND(EL$5&gt;$E122,EL$5&lt;=$F122),IF(EL$5=$E122+1,$C122,""),"")</f>
        <v/>
      </c>
      <c r="EM122" s="34">
        <f>IF(AND(EM$5&gt;$E122,EM$5&lt;=$F122),IF(EM$5=$E122+1,$C122,""),"")</f>
        <v/>
      </c>
      <c r="EN122" s="34">
        <f>IF(AND(EN$5&gt;$E122,EN$5&lt;=$F122),IF(EN$5=$E122+1,$C122,""),"")</f>
        <v/>
      </c>
      <c r="EO122" s="34">
        <f>IF(AND(EO$5&gt;$E122,EO$5&lt;=$F122),IF(EO$5=$E122+1,$C122,""),"")</f>
        <v/>
      </c>
      <c r="EP122" s="34">
        <f>IF(AND(EP$5&gt;$E122,EP$5&lt;=$F122),IF(EP$5=$E122+1,$C122,""),"")</f>
        <v/>
      </c>
      <c r="EQ122" s="34">
        <f>IF(AND(EQ$5&gt;$E122,EQ$5&lt;=$F122),IF(EQ$5=$E122+1,$C122,""),"")</f>
        <v/>
      </c>
      <c r="ER122" s="34">
        <f>IF(AND(ER$5&gt;$E122,ER$5&lt;=$F122),IF(ER$5=$E122+1,$C122,""),"")</f>
        <v/>
      </c>
      <c r="ES122" s="34">
        <f>IF(AND(ES$5&gt;$E122,ES$5&lt;=$F122),IF(ES$5=$E122+1,$C122,""),"")</f>
        <v/>
      </c>
      <c r="ET122" s="34">
        <f>IF(AND(ET$5&gt;$E122,ET$5&lt;=$F122),IF(ET$5=$E122+1,$C122,""),"")</f>
        <v/>
      </c>
      <c r="EU122" s="34">
        <f>IF(AND(EU$5&gt;$E122,EU$5&lt;=$F122),IF(EU$5=$E122+1,$C122,""),"")</f>
        <v/>
      </c>
      <c r="EV122" s="34">
        <f>IF(AND(EV$5&gt;$E122,EV$5&lt;=$F122),IF(EV$5=$E122+1,$C122,""),"")</f>
        <v/>
      </c>
      <c r="EW122" s="34">
        <f>IF(AND(EW$5&gt;$E122,EW$5&lt;=$F122),IF(EW$5=$E122+1,$C122,""),"")</f>
        <v/>
      </c>
      <c r="EX122" s="34">
        <f>IF(AND(EX$5&gt;$E122,EX$5&lt;=$F122),IF(EX$5=$E122+1,$C122,""),"")</f>
        <v/>
      </c>
      <c r="EY122" s="34">
        <f>IF(AND(EY$5&gt;$E122,EY$5&lt;=$F122),IF(EY$5=$E122+1,$C122,""),"")</f>
        <v/>
      </c>
      <c r="EZ122" s="34">
        <f>IF(AND(EZ$5&gt;$E122,EZ$5&lt;=$F122),IF(EZ$5=$E122+1,$C122,""),"")</f>
        <v/>
      </c>
      <c r="FA122" s="34">
        <f>IF(AND(FA$5&gt;$E122,FA$5&lt;=$F122),IF(FA$5=$E122+1,$C122,""),"")</f>
        <v/>
      </c>
    </row>
    <row r="123">
      <c r="A123" s="32">
        <f>Plan!A101</f>
        <v/>
      </c>
      <c r="B123" s="33">
        <f>Plan!C101</f>
        <v/>
      </c>
      <c r="C123" s="16">
        <f>Plan!D101</f>
        <v/>
      </c>
      <c r="D123" s="16">
        <f>Plan!I101</f>
        <v/>
      </c>
      <c r="E123" s="16">
        <f>Plan!K101</f>
        <v/>
      </c>
      <c r="F123" s="16">
        <f>Plan!L101</f>
        <v/>
      </c>
      <c r="G123" s="16">
        <f>Plan!O101</f>
        <v/>
      </c>
      <c r="H123" s="34">
        <f>IF(AND(H$5&gt;$E123,H$5&lt;=$F123),IF(H$5=$E123+1,$C123,""),"")</f>
        <v/>
      </c>
      <c r="I123" s="34">
        <f>IF(AND(I$5&gt;$E123,I$5&lt;=$F123),IF(I$5=$E123+1,$C123,""),"")</f>
        <v/>
      </c>
      <c r="J123" s="34">
        <f>IF(AND(J$5&gt;$E123,J$5&lt;=$F123),IF(J$5=$E123+1,$C123,""),"")</f>
        <v/>
      </c>
      <c r="K123" s="34">
        <f>IF(AND(K$5&gt;$E123,K$5&lt;=$F123),IF(K$5=$E123+1,$C123,""),"")</f>
        <v/>
      </c>
      <c r="L123" s="34">
        <f>IF(AND(L$5&gt;$E123,L$5&lt;=$F123),IF(L$5=$E123+1,$C123,""),"")</f>
        <v/>
      </c>
      <c r="M123" s="34">
        <f>IF(AND(M$5&gt;$E123,M$5&lt;=$F123),IF(M$5=$E123+1,$C123,""),"")</f>
        <v/>
      </c>
      <c r="N123" s="34">
        <f>IF(AND(N$5&gt;$E123,N$5&lt;=$F123),IF(N$5=$E123+1,$C123,""),"")</f>
        <v/>
      </c>
      <c r="O123" s="34">
        <f>IF(AND(O$5&gt;$E123,O$5&lt;=$F123),IF(O$5=$E123+1,$C123,""),"")</f>
        <v/>
      </c>
      <c r="P123" s="34">
        <f>IF(AND(P$5&gt;$E123,P$5&lt;=$F123),IF(P$5=$E123+1,$C123,""),"")</f>
        <v/>
      </c>
      <c r="Q123" s="34">
        <f>IF(AND(Q$5&gt;$E123,Q$5&lt;=$F123),IF(Q$5=$E123+1,$C123,""),"")</f>
        <v/>
      </c>
      <c r="R123" s="34">
        <f>IF(AND(R$5&gt;$E123,R$5&lt;=$F123),IF(R$5=$E123+1,$C123,""),"")</f>
        <v/>
      </c>
      <c r="S123" s="34">
        <f>IF(AND(S$5&gt;$E123,S$5&lt;=$F123),IF(S$5=$E123+1,$C123,""),"")</f>
        <v/>
      </c>
      <c r="T123" s="34">
        <f>IF(AND(T$5&gt;$E123,T$5&lt;=$F123),IF(T$5=$E123+1,$C123,""),"")</f>
        <v/>
      </c>
      <c r="U123" s="34">
        <f>IF(AND(U$5&gt;$E123,U$5&lt;=$F123),IF(U$5=$E123+1,$C123,""),"")</f>
        <v/>
      </c>
      <c r="V123" s="34">
        <f>IF(AND(V$5&gt;$E123,V$5&lt;=$F123),IF(V$5=$E123+1,$C123,""),"")</f>
        <v/>
      </c>
      <c r="W123" s="34">
        <f>IF(AND(W$5&gt;$E123,W$5&lt;=$F123),IF(W$5=$E123+1,$C123,""),"")</f>
        <v/>
      </c>
      <c r="X123" s="34">
        <f>IF(AND(X$5&gt;$E123,X$5&lt;=$F123),IF(X$5=$E123+1,$C123,""),"")</f>
        <v/>
      </c>
      <c r="Y123" s="34">
        <f>IF(AND(Y$5&gt;$E123,Y$5&lt;=$F123),IF(Y$5=$E123+1,$C123,""),"")</f>
        <v/>
      </c>
      <c r="Z123" s="34">
        <f>IF(AND(Z$5&gt;$E123,Z$5&lt;=$F123),IF(Z$5=$E123+1,$C123,""),"")</f>
        <v/>
      </c>
      <c r="AA123" s="34">
        <f>IF(AND(AA$5&gt;$E123,AA$5&lt;=$F123),IF(AA$5=$E123+1,$C123,""),"")</f>
        <v/>
      </c>
      <c r="AB123" s="34">
        <f>IF(AND(AB$5&gt;$E123,AB$5&lt;=$F123),IF(AB$5=$E123+1,$C123,""),"")</f>
        <v/>
      </c>
      <c r="AC123" s="34">
        <f>IF(AND(AC$5&gt;$E123,AC$5&lt;=$F123),IF(AC$5=$E123+1,$C123,""),"")</f>
        <v/>
      </c>
      <c r="AD123" s="34">
        <f>IF(AND(AD$5&gt;$E123,AD$5&lt;=$F123),IF(AD$5=$E123+1,$C123,""),"")</f>
        <v/>
      </c>
      <c r="AE123" s="34">
        <f>IF(AND(AE$5&gt;$E123,AE$5&lt;=$F123),IF(AE$5=$E123+1,$C123,""),"")</f>
        <v/>
      </c>
      <c r="AF123" s="34">
        <f>IF(AND(AF$5&gt;$E123,AF$5&lt;=$F123),IF(AF$5=$E123+1,$C123,""),"")</f>
        <v/>
      </c>
      <c r="AG123" s="34">
        <f>IF(AND(AG$5&gt;$E123,AG$5&lt;=$F123),IF(AG$5=$E123+1,$C123,""),"")</f>
        <v/>
      </c>
      <c r="AH123" s="34">
        <f>IF(AND(AH$5&gt;$E123,AH$5&lt;=$F123),IF(AH$5=$E123+1,$C123,""),"")</f>
        <v/>
      </c>
      <c r="AI123" s="34">
        <f>IF(AND(AI$5&gt;$E123,AI$5&lt;=$F123),IF(AI$5=$E123+1,$C123,""),"")</f>
        <v/>
      </c>
      <c r="AJ123" s="34">
        <f>IF(AND(AJ$5&gt;$E123,AJ$5&lt;=$F123),IF(AJ$5=$E123+1,$C123,""),"")</f>
        <v/>
      </c>
      <c r="AK123" s="34">
        <f>IF(AND(AK$5&gt;$E123,AK$5&lt;=$F123),IF(AK$5=$E123+1,$C123,""),"")</f>
        <v/>
      </c>
      <c r="AL123" s="34">
        <f>IF(AND(AL$5&gt;$E123,AL$5&lt;=$F123),IF(AL$5=$E123+1,$C123,""),"")</f>
        <v/>
      </c>
      <c r="AM123" s="34">
        <f>IF(AND(AM$5&gt;$E123,AM$5&lt;=$F123),IF(AM$5=$E123+1,$C123,""),"")</f>
        <v/>
      </c>
      <c r="AN123" s="34">
        <f>IF(AND(AN$5&gt;$E123,AN$5&lt;=$F123),IF(AN$5=$E123+1,$C123,""),"")</f>
        <v/>
      </c>
      <c r="AO123" s="34">
        <f>IF(AND(AO$5&gt;$E123,AO$5&lt;=$F123),IF(AO$5=$E123+1,$C123,""),"")</f>
        <v/>
      </c>
      <c r="AP123" s="34">
        <f>IF(AND(AP$5&gt;$E123,AP$5&lt;=$F123),IF(AP$5=$E123+1,$C123,""),"")</f>
        <v/>
      </c>
      <c r="AQ123" s="34">
        <f>IF(AND(AQ$5&gt;$E123,AQ$5&lt;=$F123),IF(AQ$5=$E123+1,$C123,""),"")</f>
        <v/>
      </c>
      <c r="AR123" s="34">
        <f>IF(AND(AR$5&gt;$E123,AR$5&lt;=$F123),IF(AR$5=$E123+1,$C123,""),"")</f>
        <v/>
      </c>
      <c r="AS123" s="34">
        <f>IF(AND(AS$5&gt;$E123,AS$5&lt;=$F123),IF(AS$5=$E123+1,$C123,""),"")</f>
        <v/>
      </c>
      <c r="AT123" s="34">
        <f>IF(AND(AT$5&gt;$E123,AT$5&lt;=$F123),IF(AT$5=$E123+1,$C123,""),"")</f>
        <v/>
      </c>
      <c r="AU123" s="34">
        <f>IF(AND(AU$5&gt;$E123,AU$5&lt;=$F123),IF(AU$5=$E123+1,$C123,""),"")</f>
        <v/>
      </c>
      <c r="AV123" s="34">
        <f>IF(AND(AV$5&gt;$E123,AV$5&lt;=$F123),IF(AV$5=$E123+1,$C123,""),"")</f>
        <v/>
      </c>
      <c r="AW123" s="34">
        <f>IF(AND(AW$5&gt;$E123,AW$5&lt;=$F123),IF(AW$5=$E123+1,$C123,""),"")</f>
        <v/>
      </c>
      <c r="AX123" s="34">
        <f>IF(AND(AX$5&gt;$E123,AX$5&lt;=$F123),IF(AX$5=$E123+1,$C123,""),"")</f>
        <v/>
      </c>
      <c r="AY123" s="34">
        <f>IF(AND(AY$5&gt;$E123,AY$5&lt;=$F123),IF(AY$5=$E123+1,$C123,""),"")</f>
        <v/>
      </c>
      <c r="AZ123" s="34">
        <f>IF(AND(AZ$5&gt;$E123,AZ$5&lt;=$F123),IF(AZ$5=$E123+1,$C123,""),"")</f>
        <v/>
      </c>
      <c r="BA123" s="34">
        <f>IF(AND(BA$5&gt;$E123,BA$5&lt;=$F123),IF(BA$5=$E123+1,$C123,""),"")</f>
        <v/>
      </c>
      <c r="BB123" s="34">
        <f>IF(AND(BB$5&gt;$E123,BB$5&lt;=$F123),IF(BB$5=$E123+1,$C123,""),"")</f>
        <v/>
      </c>
      <c r="BC123" s="34">
        <f>IF(AND(BC$5&gt;$E123,BC$5&lt;=$F123),IF(BC$5=$E123+1,$C123,""),"")</f>
        <v/>
      </c>
      <c r="BD123" s="34">
        <f>IF(AND(BD$5&gt;$E123,BD$5&lt;=$F123),IF(BD$5=$E123+1,$C123,""),"")</f>
        <v/>
      </c>
      <c r="BE123" s="34">
        <f>IF(AND(BE$5&gt;$E123,BE$5&lt;=$F123),IF(BE$5=$E123+1,$C123,""),"")</f>
        <v/>
      </c>
      <c r="BF123" s="34">
        <f>IF(AND(BF$5&gt;$E123,BF$5&lt;=$F123),IF(BF$5=$E123+1,$C123,""),"")</f>
        <v/>
      </c>
      <c r="BG123" s="34">
        <f>IF(AND(BG$5&gt;$E123,BG$5&lt;=$F123),IF(BG$5=$E123+1,$C123,""),"")</f>
        <v/>
      </c>
      <c r="BH123" s="34">
        <f>IF(AND(BH$5&gt;$E123,BH$5&lt;=$F123),IF(BH$5=$E123+1,$C123,""),"")</f>
        <v/>
      </c>
      <c r="BI123" s="34">
        <f>IF(AND(BI$5&gt;$E123,BI$5&lt;=$F123),IF(BI$5=$E123+1,$C123,""),"")</f>
        <v/>
      </c>
      <c r="BJ123" s="34">
        <f>IF(AND(BJ$5&gt;$E123,BJ$5&lt;=$F123),IF(BJ$5=$E123+1,$C123,""),"")</f>
        <v/>
      </c>
      <c r="BK123" s="34">
        <f>IF(AND(BK$5&gt;$E123,BK$5&lt;=$F123),IF(BK$5=$E123+1,$C123,""),"")</f>
        <v/>
      </c>
      <c r="BL123" s="34">
        <f>IF(AND(BL$5&gt;$E123,BL$5&lt;=$F123),IF(BL$5=$E123+1,$C123,""),"")</f>
        <v/>
      </c>
      <c r="BM123" s="34">
        <f>IF(AND(BM$5&gt;$E123,BM$5&lt;=$F123),IF(BM$5=$E123+1,$C123,""),"")</f>
        <v/>
      </c>
      <c r="BN123" s="34">
        <f>IF(AND(BN$5&gt;$E123,BN$5&lt;=$F123),IF(BN$5=$E123+1,$C123,""),"")</f>
        <v/>
      </c>
      <c r="BO123" s="34">
        <f>IF(AND(BO$5&gt;$E123,BO$5&lt;=$F123),IF(BO$5=$E123+1,$C123,""),"")</f>
        <v/>
      </c>
      <c r="BP123" s="34">
        <f>IF(AND(BP$5&gt;$E123,BP$5&lt;=$F123),IF(BP$5=$E123+1,$C123,""),"")</f>
        <v/>
      </c>
      <c r="BQ123" s="34">
        <f>IF(AND(BQ$5&gt;$E123,BQ$5&lt;=$F123),IF(BQ$5=$E123+1,$C123,""),"")</f>
        <v/>
      </c>
      <c r="BR123" s="34">
        <f>IF(AND(BR$5&gt;$E123,BR$5&lt;=$F123),IF(BR$5=$E123+1,$C123,""),"")</f>
        <v/>
      </c>
      <c r="BS123" s="34">
        <f>IF(AND(BS$5&gt;$E123,BS$5&lt;=$F123),IF(BS$5=$E123+1,$C123,""),"")</f>
        <v/>
      </c>
      <c r="BT123" s="34">
        <f>IF(AND(BT$5&gt;$E123,BT$5&lt;=$F123),IF(BT$5=$E123+1,$C123,""),"")</f>
        <v/>
      </c>
      <c r="BU123" s="34">
        <f>IF(AND(BU$5&gt;$E123,BU$5&lt;=$F123),IF(BU$5=$E123+1,$C123,""),"")</f>
        <v/>
      </c>
      <c r="BV123" s="34">
        <f>IF(AND(BV$5&gt;$E123,BV$5&lt;=$F123),IF(BV$5=$E123+1,$C123,""),"")</f>
        <v/>
      </c>
      <c r="BW123" s="34">
        <f>IF(AND(BW$5&gt;$E123,BW$5&lt;=$F123),IF(BW$5=$E123+1,$C123,""),"")</f>
        <v/>
      </c>
      <c r="BX123" s="34">
        <f>IF(AND(BX$5&gt;$E123,BX$5&lt;=$F123),IF(BX$5=$E123+1,$C123,""),"")</f>
        <v/>
      </c>
      <c r="BY123" s="34">
        <f>IF(AND(BY$5&gt;$E123,BY$5&lt;=$F123),IF(BY$5=$E123+1,$C123,""),"")</f>
        <v/>
      </c>
      <c r="BZ123" s="34">
        <f>IF(AND(BZ$5&gt;$E123,BZ$5&lt;=$F123),IF(BZ$5=$E123+1,$C123,""),"")</f>
        <v/>
      </c>
      <c r="CA123" s="34">
        <f>IF(AND(CA$5&gt;$E123,CA$5&lt;=$F123),IF(CA$5=$E123+1,$C123,""),"")</f>
        <v/>
      </c>
      <c r="CB123" s="34">
        <f>IF(AND(CB$5&gt;$E123,CB$5&lt;=$F123),IF(CB$5=$E123+1,$C123,""),"")</f>
        <v/>
      </c>
      <c r="CC123" s="34">
        <f>IF(AND(CC$5&gt;$E123,CC$5&lt;=$F123),IF(CC$5=$E123+1,$C123,""),"")</f>
        <v/>
      </c>
      <c r="CD123" s="34">
        <f>IF(AND(CD$5&gt;$E123,CD$5&lt;=$F123),IF(CD$5=$E123+1,$C123,""),"")</f>
        <v/>
      </c>
      <c r="CE123" s="34">
        <f>IF(AND(CE$5&gt;$E123,CE$5&lt;=$F123),IF(CE$5=$E123+1,$C123,""),"")</f>
        <v/>
      </c>
      <c r="CF123" s="34">
        <f>IF(AND(CF$5&gt;$E123,CF$5&lt;=$F123),IF(CF$5=$E123+1,$C123,""),"")</f>
        <v/>
      </c>
      <c r="CG123" s="34">
        <f>IF(AND(CG$5&gt;$E123,CG$5&lt;=$F123),IF(CG$5=$E123+1,$C123,""),"")</f>
        <v/>
      </c>
      <c r="CH123" s="34">
        <f>IF(AND(CH$5&gt;$E123,CH$5&lt;=$F123),IF(CH$5=$E123+1,$C123,""),"")</f>
        <v/>
      </c>
      <c r="CI123" s="34">
        <f>IF(AND(CI$5&gt;$E123,CI$5&lt;=$F123),IF(CI$5=$E123+1,$C123,""),"")</f>
        <v/>
      </c>
      <c r="CJ123" s="34">
        <f>IF(AND(CJ$5&gt;$E123,CJ$5&lt;=$F123),IF(CJ$5=$E123+1,$C123,""),"")</f>
        <v/>
      </c>
      <c r="CK123" s="34">
        <f>IF(AND(CK$5&gt;$E123,CK$5&lt;=$F123),IF(CK$5=$E123+1,$C123,""),"")</f>
        <v/>
      </c>
      <c r="CL123" s="34">
        <f>IF(AND(CL$5&gt;$E123,CL$5&lt;=$F123),IF(CL$5=$E123+1,$C123,""),"")</f>
        <v/>
      </c>
      <c r="CM123" s="34">
        <f>IF(AND(CM$5&gt;$E123,CM$5&lt;=$F123),IF(CM$5=$E123+1,$C123,""),"")</f>
        <v/>
      </c>
      <c r="CN123" s="34">
        <f>IF(AND(CN$5&gt;$E123,CN$5&lt;=$F123),IF(CN$5=$E123+1,$C123,""),"")</f>
        <v/>
      </c>
      <c r="CO123" s="34">
        <f>IF(AND(CO$5&gt;$E123,CO$5&lt;=$F123),IF(CO$5=$E123+1,$C123,""),"")</f>
        <v/>
      </c>
      <c r="CP123" s="34">
        <f>IF(AND(CP$5&gt;$E123,CP$5&lt;=$F123),IF(CP$5=$E123+1,$C123,""),"")</f>
        <v/>
      </c>
      <c r="CQ123" s="34">
        <f>IF(AND(CQ$5&gt;$E123,CQ$5&lt;=$F123),IF(CQ$5=$E123+1,$C123,""),"")</f>
        <v/>
      </c>
      <c r="CR123" s="34">
        <f>IF(AND(CR$5&gt;$E123,CR$5&lt;=$F123),IF(CR$5=$E123+1,$C123,""),"")</f>
        <v/>
      </c>
      <c r="CS123" s="34">
        <f>IF(AND(CS$5&gt;$E123,CS$5&lt;=$F123),IF(CS$5=$E123+1,$C123,""),"")</f>
        <v/>
      </c>
      <c r="CT123" s="34">
        <f>IF(AND(CT$5&gt;$E123,CT$5&lt;=$F123),IF(CT$5=$E123+1,$C123,""),"")</f>
        <v/>
      </c>
      <c r="CU123" s="34">
        <f>IF(AND(CU$5&gt;$E123,CU$5&lt;=$F123),IF(CU$5=$E123+1,$C123,""),"")</f>
        <v/>
      </c>
      <c r="CV123" s="34">
        <f>IF(AND(CV$5&gt;$E123,CV$5&lt;=$F123),IF(CV$5=$E123+1,$C123,""),"")</f>
        <v/>
      </c>
      <c r="CW123" s="34">
        <f>IF(AND(CW$5&gt;$E123,CW$5&lt;=$F123),IF(CW$5=$E123+1,$C123,""),"")</f>
        <v/>
      </c>
      <c r="CX123" s="34">
        <f>IF(AND(CX$5&gt;$E123,CX$5&lt;=$F123),IF(CX$5=$E123+1,$C123,""),"")</f>
        <v/>
      </c>
      <c r="CY123" s="34">
        <f>IF(AND(CY$5&gt;$E123,CY$5&lt;=$F123),IF(CY$5=$E123+1,$C123,""),"")</f>
        <v/>
      </c>
      <c r="CZ123" s="34">
        <f>IF(AND(CZ$5&gt;$E123,CZ$5&lt;=$F123),IF(CZ$5=$E123+1,$C123,""),"")</f>
        <v/>
      </c>
      <c r="DA123" s="34">
        <f>IF(AND(DA$5&gt;$E123,DA$5&lt;=$F123),IF(DA$5=$E123+1,$C123,""),"")</f>
        <v/>
      </c>
      <c r="DB123" s="34">
        <f>IF(AND(DB$5&gt;$E123,DB$5&lt;=$F123),IF(DB$5=$E123+1,$C123,""),"")</f>
        <v/>
      </c>
      <c r="DC123" s="34">
        <f>IF(AND(DC$5&gt;$E123,DC$5&lt;=$F123),IF(DC$5=$E123+1,$C123,""),"")</f>
        <v/>
      </c>
      <c r="DD123" s="34">
        <f>IF(AND(DD$5&gt;$E123,DD$5&lt;=$F123),IF(DD$5=$E123+1,$C123,""),"")</f>
        <v/>
      </c>
      <c r="DE123" s="34">
        <f>IF(AND(DE$5&gt;$E123,DE$5&lt;=$F123),IF(DE$5=$E123+1,$C123,""),"")</f>
        <v/>
      </c>
      <c r="DF123" s="34">
        <f>IF(AND(DF$5&gt;$E123,DF$5&lt;=$F123),IF(DF$5=$E123+1,$C123,""),"")</f>
        <v/>
      </c>
      <c r="DG123" s="34">
        <f>IF(AND(DG$5&gt;$E123,DG$5&lt;=$F123),IF(DG$5=$E123+1,$C123,""),"")</f>
        <v/>
      </c>
      <c r="DH123" s="34">
        <f>IF(AND(DH$5&gt;$E123,DH$5&lt;=$F123),IF(DH$5=$E123+1,$C123,""),"")</f>
        <v/>
      </c>
      <c r="DI123" s="34">
        <f>IF(AND(DI$5&gt;$E123,DI$5&lt;=$F123),IF(DI$5=$E123+1,$C123,""),"")</f>
        <v/>
      </c>
      <c r="DJ123" s="34">
        <f>IF(AND(DJ$5&gt;$E123,DJ$5&lt;=$F123),IF(DJ$5=$E123+1,$C123,""),"")</f>
        <v/>
      </c>
      <c r="DK123" s="34">
        <f>IF(AND(DK$5&gt;$E123,DK$5&lt;=$F123),IF(DK$5=$E123+1,$C123,""),"")</f>
        <v/>
      </c>
      <c r="DL123" s="34">
        <f>IF(AND(DL$5&gt;$E123,DL$5&lt;=$F123),IF(DL$5=$E123+1,$C123,""),"")</f>
        <v/>
      </c>
      <c r="DM123" s="34">
        <f>IF(AND(DM$5&gt;$E123,DM$5&lt;=$F123),IF(DM$5=$E123+1,$C123,""),"")</f>
        <v/>
      </c>
      <c r="DN123" s="34">
        <f>IF(AND(DN$5&gt;$E123,DN$5&lt;=$F123),IF(DN$5=$E123+1,$C123,""),"")</f>
        <v/>
      </c>
      <c r="DO123" s="34">
        <f>IF(AND(DO$5&gt;$E123,DO$5&lt;=$F123),IF(DO$5=$E123+1,$C123,""),"")</f>
        <v/>
      </c>
      <c r="DP123" s="34">
        <f>IF(AND(DP$5&gt;$E123,DP$5&lt;=$F123),IF(DP$5=$E123+1,$C123,""),"")</f>
        <v/>
      </c>
      <c r="DQ123" s="34">
        <f>IF(AND(DQ$5&gt;$E123,DQ$5&lt;=$F123),IF(DQ$5=$E123+1,$C123,""),"")</f>
        <v/>
      </c>
      <c r="DR123" s="34">
        <f>IF(AND(DR$5&gt;$E123,DR$5&lt;=$F123),IF(DR$5=$E123+1,$C123,""),"")</f>
        <v/>
      </c>
      <c r="DS123" s="34">
        <f>IF(AND(DS$5&gt;$E123,DS$5&lt;=$F123),IF(DS$5=$E123+1,$C123,""),"")</f>
        <v/>
      </c>
      <c r="DT123" s="34">
        <f>IF(AND(DT$5&gt;$E123,DT$5&lt;=$F123),IF(DT$5=$E123+1,$C123,""),"")</f>
        <v/>
      </c>
      <c r="DU123" s="34">
        <f>IF(AND(DU$5&gt;$E123,DU$5&lt;=$F123),IF(DU$5=$E123+1,$C123,""),"")</f>
        <v/>
      </c>
      <c r="DV123" s="34">
        <f>IF(AND(DV$5&gt;$E123,DV$5&lt;=$F123),IF(DV$5=$E123+1,$C123,""),"")</f>
        <v/>
      </c>
      <c r="DW123" s="34">
        <f>IF(AND(DW$5&gt;$E123,DW$5&lt;=$F123),IF(DW$5=$E123+1,$C123,""),"")</f>
        <v/>
      </c>
      <c r="DX123" s="34">
        <f>IF(AND(DX$5&gt;$E123,DX$5&lt;=$F123),IF(DX$5=$E123+1,$C123,""),"")</f>
        <v/>
      </c>
      <c r="DY123" s="34">
        <f>IF(AND(DY$5&gt;$E123,DY$5&lt;=$F123),IF(DY$5=$E123+1,$C123,""),"")</f>
        <v/>
      </c>
      <c r="DZ123" s="34">
        <f>IF(AND(DZ$5&gt;$E123,DZ$5&lt;=$F123),IF(DZ$5=$E123+1,$C123,""),"")</f>
        <v/>
      </c>
      <c r="EA123" s="34">
        <f>IF(AND(EA$5&gt;$E123,EA$5&lt;=$F123),IF(EA$5=$E123+1,$C123,""),"")</f>
        <v/>
      </c>
      <c r="EB123" s="34">
        <f>IF(AND(EB$5&gt;$E123,EB$5&lt;=$F123),IF(EB$5=$E123+1,$C123,""),"")</f>
        <v/>
      </c>
      <c r="EC123" s="34">
        <f>IF(AND(EC$5&gt;$E123,EC$5&lt;=$F123),IF(EC$5=$E123+1,$C123,""),"")</f>
        <v/>
      </c>
      <c r="ED123" s="34">
        <f>IF(AND(ED$5&gt;$E123,ED$5&lt;=$F123),IF(ED$5=$E123+1,$C123,""),"")</f>
        <v/>
      </c>
      <c r="EE123" s="34">
        <f>IF(AND(EE$5&gt;$E123,EE$5&lt;=$F123),IF(EE$5=$E123+1,$C123,""),"")</f>
        <v/>
      </c>
      <c r="EF123" s="34">
        <f>IF(AND(EF$5&gt;$E123,EF$5&lt;=$F123),IF(EF$5=$E123+1,$C123,""),"")</f>
        <v/>
      </c>
      <c r="EG123" s="34">
        <f>IF(AND(EG$5&gt;$E123,EG$5&lt;=$F123),IF(EG$5=$E123+1,$C123,""),"")</f>
        <v/>
      </c>
      <c r="EH123" s="34">
        <f>IF(AND(EH$5&gt;$E123,EH$5&lt;=$F123),IF(EH$5=$E123+1,$C123,""),"")</f>
        <v/>
      </c>
      <c r="EI123" s="34">
        <f>IF(AND(EI$5&gt;$E123,EI$5&lt;=$F123),IF(EI$5=$E123+1,$C123,""),"")</f>
        <v/>
      </c>
      <c r="EJ123" s="34">
        <f>IF(AND(EJ$5&gt;$E123,EJ$5&lt;=$F123),IF(EJ$5=$E123+1,$C123,""),"")</f>
        <v/>
      </c>
      <c r="EK123" s="34">
        <f>IF(AND(EK$5&gt;$E123,EK$5&lt;=$F123),IF(EK$5=$E123+1,$C123,""),"")</f>
        <v/>
      </c>
      <c r="EL123" s="34">
        <f>IF(AND(EL$5&gt;$E123,EL$5&lt;=$F123),IF(EL$5=$E123+1,$C123,""),"")</f>
        <v/>
      </c>
      <c r="EM123" s="34">
        <f>IF(AND(EM$5&gt;$E123,EM$5&lt;=$F123),IF(EM$5=$E123+1,$C123,""),"")</f>
        <v/>
      </c>
      <c r="EN123" s="34">
        <f>IF(AND(EN$5&gt;$E123,EN$5&lt;=$F123),IF(EN$5=$E123+1,$C123,""),"")</f>
        <v/>
      </c>
      <c r="EO123" s="34">
        <f>IF(AND(EO$5&gt;$E123,EO$5&lt;=$F123),IF(EO$5=$E123+1,$C123,""),"")</f>
        <v/>
      </c>
      <c r="EP123" s="34">
        <f>IF(AND(EP$5&gt;$E123,EP$5&lt;=$F123),IF(EP$5=$E123+1,$C123,""),"")</f>
        <v/>
      </c>
      <c r="EQ123" s="34">
        <f>IF(AND(EQ$5&gt;$E123,EQ$5&lt;=$F123),IF(EQ$5=$E123+1,$C123,""),"")</f>
        <v/>
      </c>
      <c r="ER123" s="34">
        <f>IF(AND(ER$5&gt;$E123,ER$5&lt;=$F123),IF(ER$5=$E123+1,$C123,""),"")</f>
        <v/>
      </c>
      <c r="ES123" s="34">
        <f>IF(AND(ES$5&gt;$E123,ES$5&lt;=$F123),IF(ES$5=$E123+1,$C123,""),"")</f>
        <v/>
      </c>
      <c r="ET123" s="34">
        <f>IF(AND(ET$5&gt;$E123,ET$5&lt;=$F123),IF(ET$5=$E123+1,$C123,""),"")</f>
        <v/>
      </c>
      <c r="EU123" s="34">
        <f>IF(AND(EU$5&gt;$E123,EU$5&lt;=$F123),IF(EU$5=$E123+1,$C123,""),"")</f>
        <v/>
      </c>
      <c r="EV123" s="34">
        <f>IF(AND(EV$5&gt;$E123,EV$5&lt;=$F123),IF(EV$5=$E123+1,$C123,""),"")</f>
        <v/>
      </c>
      <c r="EW123" s="34">
        <f>IF(AND(EW$5&gt;$E123,EW$5&lt;=$F123),IF(EW$5=$E123+1,$C123,""),"")</f>
        <v/>
      </c>
      <c r="EX123" s="34">
        <f>IF(AND(EX$5&gt;$E123,EX$5&lt;=$F123),IF(EX$5=$E123+1,$C123,""),"")</f>
        <v/>
      </c>
      <c r="EY123" s="34">
        <f>IF(AND(EY$5&gt;$E123,EY$5&lt;=$F123),IF(EY$5=$E123+1,$C123,""),"")</f>
        <v/>
      </c>
      <c r="EZ123" s="34">
        <f>IF(AND(EZ$5&gt;$E123,EZ$5&lt;=$F123),IF(EZ$5=$E123+1,$C123,""),"")</f>
        <v/>
      </c>
      <c r="FA123" s="34">
        <f>IF(AND(FA$5&gt;$E123,FA$5&lt;=$F123),IF(FA$5=$E123+1,$C123,""),"")</f>
        <v/>
      </c>
    </row>
    <row r="124">
      <c r="A124" s="32">
        <f>Plan!A102</f>
        <v/>
      </c>
      <c r="B124" s="33">
        <f>Plan!C102</f>
        <v/>
      </c>
      <c r="C124" s="16">
        <f>Plan!D102</f>
        <v/>
      </c>
      <c r="D124" s="16">
        <f>Plan!I102</f>
        <v/>
      </c>
      <c r="E124" s="16">
        <f>Plan!K102</f>
        <v/>
      </c>
      <c r="F124" s="16">
        <f>Plan!L102</f>
        <v/>
      </c>
      <c r="G124" s="16">
        <f>Plan!O102</f>
        <v/>
      </c>
      <c r="H124" s="34">
        <f>IF(AND(H$5&gt;$E124,H$5&lt;=$F124),IF(H$5=$E124+1,$C124,""),"")</f>
        <v/>
      </c>
      <c r="I124" s="34">
        <f>IF(AND(I$5&gt;$E124,I$5&lt;=$F124),IF(I$5=$E124+1,$C124,""),"")</f>
        <v/>
      </c>
      <c r="J124" s="34">
        <f>IF(AND(J$5&gt;$E124,J$5&lt;=$F124),IF(J$5=$E124+1,$C124,""),"")</f>
        <v/>
      </c>
      <c r="K124" s="34">
        <f>IF(AND(K$5&gt;$E124,K$5&lt;=$F124),IF(K$5=$E124+1,$C124,""),"")</f>
        <v/>
      </c>
      <c r="L124" s="34">
        <f>IF(AND(L$5&gt;$E124,L$5&lt;=$F124),IF(L$5=$E124+1,$C124,""),"")</f>
        <v/>
      </c>
      <c r="M124" s="34">
        <f>IF(AND(M$5&gt;$E124,M$5&lt;=$F124),IF(M$5=$E124+1,$C124,""),"")</f>
        <v/>
      </c>
      <c r="N124" s="34">
        <f>IF(AND(N$5&gt;$E124,N$5&lt;=$F124),IF(N$5=$E124+1,$C124,""),"")</f>
        <v/>
      </c>
      <c r="O124" s="34">
        <f>IF(AND(O$5&gt;$E124,O$5&lt;=$F124),IF(O$5=$E124+1,$C124,""),"")</f>
        <v/>
      </c>
      <c r="P124" s="34">
        <f>IF(AND(P$5&gt;$E124,P$5&lt;=$F124),IF(P$5=$E124+1,$C124,""),"")</f>
        <v/>
      </c>
      <c r="Q124" s="34">
        <f>IF(AND(Q$5&gt;$E124,Q$5&lt;=$F124),IF(Q$5=$E124+1,$C124,""),"")</f>
        <v/>
      </c>
      <c r="R124" s="34">
        <f>IF(AND(R$5&gt;$E124,R$5&lt;=$F124),IF(R$5=$E124+1,$C124,""),"")</f>
        <v/>
      </c>
      <c r="S124" s="34">
        <f>IF(AND(S$5&gt;$E124,S$5&lt;=$F124),IF(S$5=$E124+1,$C124,""),"")</f>
        <v/>
      </c>
      <c r="T124" s="34">
        <f>IF(AND(T$5&gt;$E124,T$5&lt;=$F124),IF(T$5=$E124+1,$C124,""),"")</f>
        <v/>
      </c>
      <c r="U124" s="34">
        <f>IF(AND(U$5&gt;$E124,U$5&lt;=$F124),IF(U$5=$E124+1,$C124,""),"")</f>
        <v/>
      </c>
      <c r="V124" s="34">
        <f>IF(AND(V$5&gt;$E124,V$5&lt;=$F124),IF(V$5=$E124+1,$C124,""),"")</f>
        <v/>
      </c>
      <c r="W124" s="34">
        <f>IF(AND(W$5&gt;$E124,W$5&lt;=$F124),IF(W$5=$E124+1,$C124,""),"")</f>
        <v/>
      </c>
      <c r="X124" s="34">
        <f>IF(AND(X$5&gt;$E124,X$5&lt;=$F124),IF(X$5=$E124+1,$C124,""),"")</f>
        <v/>
      </c>
      <c r="Y124" s="34">
        <f>IF(AND(Y$5&gt;$E124,Y$5&lt;=$F124),IF(Y$5=$E124+1,$C124,""),"")</f>
        <v/>
      </c>
      <c r="Z124" s="34">
        <f>IF(AND(Z$5&gt;$E124,Z$5&lt;=$F124),IF(Z$5=$E124+1,$C124,""),"")</f>
        <v/>
      </c>
      <c r="AA124" s="34">
        <f>IF(AND(AA$5&gt;$E124,AA$5&lt;=$F124),IF(AA$5=$E124+1,$C124,""),"")</f>
        <v/>
      </c>
      <c r="AB124" s="34">
        <f>IF(AND(AB$5&gt;$E124,AB$5&lt;=$F124),IF(AB$5=$E124+1,$C124,""),"")</f>
        <v/>
      </c>
      <c r="AC124" s="34">
        <f>IF(AND(AC$5&gt;$E124,AC$5&lt;=$F124),IF(AC$5=$E124+1,$C124,""),"")</f>
        <v/>
      </c>
      <c r="AD124" s="34">
        <f>IF(AND(AD$5&gt;$E124,AD$5&lt;=$F124),IF(AD$5=$E124+1,$C124,""),"")</f>
        <v/>
      </c>
      <c r="AE124" s="34">
        <f>IF(AND(AE$5&gt;$E124,AE$5&lt;=$F124),IF(AE$5=$E124+1,$C124,""),"")</f>
        <v/>
      </c>
      <c r="AF124" s="34">
        <f>IF(AND(AF$5&gt;$E124,AF$5&lt;=$F124),IF(AF$5=$E124+1,$C124,""),"")</f>
        <v/>
      </c>
      <c r="AG124" s="34">
        <f>IF(AND(AG$5&gt;$E124,AG$5&lt;=$F124),IF(AG$5=$E124+1,$C124,""),"")</f>
        <v/>
      </c>
      <c r="AH124" s="34">
        <f>IF(AND(AH$5&gt;$E124,AH$5&lt;=$F124),IF(AH$5=$E124+1,$C124,""),"")</f>
        <v/>
      </c>
      <c r="AI124" s="34">
        <f>IF(AND(AI$5&gt;$E124,AI$5&lt;=$F124),IF(AI$5=$E124+1,$C124,""),"")</f>
        <v/>
      </c>
      <c r="AJ124" s="34">
        <f>IF(AND(AJ$5&gt;$E124,AJ$5&lt;=$F124),IF(AJ$5=$E124+1,$C124,""),"")</f>
        <v/>
      </c>
      <c r="AK124" s="34">
        <f>IF(AND(AK$5&gt;$E124,AK$5&lt;=$F124),IF(AK$5=$E124+1,$C124,""),"")</f>
        <v/>
      </c>
      <c r="AL124" s="34">
        <f>IF(AND(AL$5&gt;$E124,AL$5&lt;=$F124),IF(AL$5=$E124+1,$C124,""),"")</f>
        <v/>
      </c>
      <c r="AM124" s="34">
        <f>IF(AND(AM$5&gt;$E124,AM$5&lt;=$F124),IF(AM$5=$E124+1,$C124,""),"")</f>
        <v/>
      </c>
      <c r="AN124" s="34">
        <f>IF(AND(AN$5&gt;$E124,AN$5&lt;=$F124),IF(AN$5=$E124+1,$C124,""),"")</f>
        <v/>
      </c>
      <c r="AO124" s="34">
        <f>IF(AND(AO$5&gt;$E124,AO$5&lt;=$F124),IF(AO$5=$E124+1,$C124,""),"")</f>
        <v/>
      </c>
      <c r="AP124" s="34">
        <f>IF(AND(AP$5&gt;$E124,AP$5&lt;=$F124),IF(AP$5=$E124+1,$C124,""),"")</f>
        <v/>
      </c>
      <c r="AQ124" s="34">
        <f>IF(AND(AQ$5&gt;$E124,AQ$5&lt;=$F124),IF(AQ$5=$E124+1,$C124,""),"")</f>
        <v/>
      </c>
      <c r="AR124" s="34">
        <f>IF(AND(AR$5&gt;$E124,AR$5&lt;=$F124),IF(AR$5=$E124+1,$C124,""),"")</f>
        <v/>
      </c>
      <c r="AS124" s="34">
        <f>IF(AND(AS$5&gt;$E124,AS$5&lt;=$F124),IF(AS$5=$E124+1,$C124,""),"")</f>
        <v/>
      </c>
      <c r="AT124" s="34">
        <f>IF(AND(AT$5&gt;$E124,AT$5&lt;=$F124),IF(AT$5=$E124+1,$C124,""),"")</f>
        <v/>
      </c>
      <c r="AU124" s="34">
        <f>IF(AND(AU$5&gt;$E124,AU$5&lt;=$F124),IF(AU$5=$E124+1,$C124,""),"")</f>
        <v/>
      </c>
      <c r="AV124" s="34">
        <f>IF(AND(AV$5&gt;$E124,AV$5&lt;=$F124),IF(AV$5=$E124+1,$C124,""),"")</f>
        <v/>
      </c>
      <c r="AW124" s="34">
        <f>IF(AND(AW$5&gt;$E124,AW$5&lt;=$F124),IF(AW$5=$E124+1,$C124,""),"")</f>
        <v/>
      </c>
      <c r="AX124" s="34">
        <f>IF(AND(AX$5&gt;$E124,AX$5&lt;=$F124),IF(AX$5=$E124+1,$C124,""),"")</f>
        <v/>
      </c>
      <c r="AY124" s="34">
        <f>IF(AND(AY$5&gt;$E124,AY$5&lt;=$F124),IF(AY$5=$E124+1,$C124,""),"")</f>
        <v/>
      </c>
      <c r="AZ124" s="34">
        <f>IF(AND(AZ$5&gt;$E124,AZ$5&lt;=$F124),IF(AZ$5=$E124+1,$C124,""),"")</f>
        <v/>
      </c>
      <c r="BA124" s="34">
        <f>IF(AND(BA$5&gt;$E124,BA$5&lt;=$F124),IF(BA$5=$E124+1,$C124,""),"")</f>
        <v/>
      </c>
      <c r="BB124" s="34">
        <f>IF(AND(BB$5&gt;$E124,BB$5&lt;=$F124),IF(BB$5=$E124+1,$C124,""),"")</f>
        <v/>
      </c>
      <c r="BC124" s="34">
        <f>IF(AND(BC$5&gt;$E124,BC$5&lt;=$F124),IF(BC$5=$E124+1,$C124,""),"")</f>
        <v/>
      </c>
      <c r="BD124" s="34">
        <f>IF(AND(BD$5&gt;$E124,BD$5&lt;=$F124),IF(BD$5=$E124+1,$C124,""),"")</f>
        <v/>
      </c>
      <c r="BE124" s="34">
        <f>IF(AND(BE$5&gt;$E124,BE$5&lt;=$F124),IF(BE$5=$E124+1,$C124,""),"")</f>
        <v/>
      </c>
      <c r="BF124" s="34">
        <f>IF(AND(BF$5&gt;$E124,BF$5&lt;=$F124),IF(BF$5=$E124+1,$C124,""),"")</f>
        <v/>
      </c>
      <c r="BG124" s="34">
        <f>IF(AND(BG$5&gt;$E124,BG$5&lt;=$F124),IF(BG$5=$E124+1,$C124,""),"")</f>
        <v/>
      </c>
      <c r="BH124" s="34">
        <f>IF(AND(BH$5&gt;$E124,BH$5&lt;=$F124),IF(BH$5=$E124+1,$C124,""),"")</f>
        <v/>
      </c>
      <c r="BI124" s="34">
        <f>IF(AND(BI$5&gt;$E124,BI$5&lt;=$F124),IF(BI$5=$E124+1,$C124,""),"")</f>
        <v/>
      </c>
      <c r="BJ124" s="34">
        <f>IF(AND(BJ$5&gt;$E124,BJ$5&lt;=$F124),IF(BJ$5=$E124+1,$C124,""),"")</f>
        <v/>
      </c>
      <c r="BK124" s="34">
        <f>IF(AND(BK$5&gt;$E124,BK$5&lt;=$F124),IF(BK$5=$E124+1,$C124,""),"")</f>
        <v/>
      </c>
      <c r="BL124" s="34">
        <f>IF(AND(BL$5&gt;$E124,BL$5&lt;=$F124),IF(BL$5=$E124+1,$C124,""),"")</f>
        <v/>
      </c>
      <c r="BM124" s="34">
        <f>IF(AND(BM$5&gt;$E124,BM$5&lt;=$F124),IF(BM$5=$E124+1,$C124,""),"")</f>
        <v/>
      </c>
      <c r="BN124" s="34">
        <f>IF(AND(BN$5&gt;$E124,BN$5&lt;=$F124),IF(BN$5=$E124+1,$C124,""),"")</f>
        <v/>
      </c>
      <c r="BO124" s="34">
        <f>IF(AND(BO$5&gt;$E124,BO$5&lt;=$F124),IF(BO$5=$E124+1,$C124,""),"")</f>
        <v/>
      </c>
      <c r="BP124" s="34">
        <f>IF(AND(BP$5&gt;$E124,BP$5&lt;=$F124),IF(BP$5=$E124+1,$C124,""),"")</f>
        <v/>
      </c>
      <c r="BQ124" s="34">
        <f>IF(AND(BQ$5&gt;$E124,BQ$5&lt;=$F124),IF(BQ$5=$E124+1,$C124,""),"")</f>
        <v/>
      </c>
      <c r="BR124" s="34">
        <f>IF(AND(BR$5&gt;$E124,BR$5&lt;=$F124),IF(BR$5=$E124+1,$C124,""),"")</f>
        <v/>
      </c>
      <c r="BS124" s="34">
        <f>IF(AND(BS$5&gt;$E124,BS$5&lt;=$F124),IF(BS$5=$E124+1,$C124,""),"")</f>
        <v/>
      </c>
      <c r="BT124" s="34">
        <f>IF(AND(BT$5&gt;$E124,BT$5&lt;=$F124),IF(BT$5=$E124+1,$C124,""),"")</f>
        <v/>
      </c>
      <c r="BU124" s="34">
        <f>IF(AND(BU$5&gt;$E124,BU$5&lt;=$F124),IF(BU$5=$E124+1,$C124,""),"")</f>
        <v/>
      </c>
      <c r="BV124" s="34">
        <f>IF(AND(BV$5&gt;$E124,BV$5&lt;=$F124),IF(BV$5=$E124+1,$C124,""),"")</f>
        <v/>
      </c>
      <c r="BW124" s="34">
        <f>IF(AND(BW$5&gt;$E124,BW$5&lt;=$F124),IF(BW$5=$E124+1,$C124,""),"")</f>
        <v/>
      </c>
      <c r="BX124" s="34">
        <f>IF(AND(BX$5&gt;$E124,BX$5&lt;=$F124),IF(BX$5=$E124+1,$C124,""),"")</f>
        <v/>
      </c>
      <c r="BY124" s="34">
        <f>IF(AND(BY$5&gt;$E124,BY$5&lt;=$F124),IF(BY$5=$E124+1,$C124,""),"")</f>
        <v/>
      </c>
      <c r="BZ124" s="34">
        <f>IF(AND(BZ$5&gt;$E124,BZ$5&lt;=$F124),IF(BZ$5=$E124+1,$C124,""),"")</f>
        <v/>
      </c>
      <c r="CA124" s="34">
        <f>IF(AND(CA$5&gt;$E124,CA$5&lt;=$F124),IF(CA$5=$E124+1,$C124,""),"")</f>
        <v/>
      </c>
      <c r="CB124" s="34">
        <f>IF(AND(CB$5&gt;$E124,CB$5&lt;=$F124),IF(CB$5=$E124+1,$C124,""),"")</f>
        <v/>
      </c>
      <c r="CC124" s="34">
        <f>IF(AND(CC$5&gt;$E124,CC$5&lt;=$F124),IF(CC$5=$E124+1,$C124,""),"")</f>
        <v/>
      </c>
      <c r="CD124" s="34">
        <f>IF(AND(CD$5&gt;$E124,CD$5&lt;=$F124),IF(CD$5=$E124+1,$C124,""),"")</f>
        <v/>
      </c>
      <c r="CE124" s="34">
        <f>IF(AND(CE$5&gt;$E124,CE$5&lt;=$F124),IF(CE$5=$E124+1,$C124,""),"")</f>
        <v/>
      </c>
      <c r="CF124" s="34">
        <f>IF(AND(CF$5&gt;$E124,CF$5&lt;=$F124),IF(CF$5=$E124+1,$C124,""),"")</f>
        <v/>
      </c>
      <c r="CG124" s="34">
        <f>IF(AND(CG$5&gt;$E124,CG$5&lt;=$F124),IF(CG$5=$E124+1,$C124,""),"")</f>
        <v/>
      </c>
      <c r="CH124" s="34">
        <f>IF(AND(CH$5&gt;$E124,CH$5&lt;=$F124),IF(CH$5=$E124+1,$C124,""),"")</f>
        <v/>
      </c>
      <c r="CI124" s="34">
        <f>IF(AND(CI$5&gt;$E124,CI$5&lt;=$F124),IF(CI$5=$E124+1,$C124,""),"")</f>
        <v/>
      </c>
      <c r="CJ124" s="34">
        <f>IF(AND(CJ$5&gt;$E124,CJ$5&lt;=$F124),IF(CJ$5=$E124+1,$C124,""),"")</f>
        <v/>
      </c>
      <c r="CK124" s="34">
        <f>IF(AND(CK$5&gt;$E124,CK$5&lt;=$F124),IF(CK$5=$E124+1,$C124,""),"")</f>
        <v/>
      </c>
      <c r="CL124" s="34">
        <f>IF(AND(CL$5&gt;$E124,CL$5&lt;=$F124),IF(CL$5=$E124+1,$C124,""),"")</f>
        <v/>
      </c>
      <c r="CM124" s="34">
        <f>IF(AND(CM$5&gt;$E124,CM$5&lt;=$F124),IF(CM$5=$E124+1,$C124,""),"")</f>
        <v/>
      </c>
      <c r="CN124" s="34">
        <f>IF(AND(CN$5&gt;$E124,CN$5&lt;=$F124),IF(CN$5=$E124+1,$C124,""),"")</f>
        <v/>
      </c>
      <c r="CO124" s="34">
        <f>IF(AND(CO$5&gt;$E124,CO$5&lt;=$F124),IF(CO$5=$E124+1,$C124,""),"")</f>
        <v/>
      </c>
      <c r="CP124" s="34">
        <f>IF(AND(CP$5&gt;$E124,CP$5&lt;=$F124),IF(CP$5=$E124+1,$C124,""),"")</f>
        <v/>
      </c>
      <c r="CQ124" s="34">
        <f>IF(AND(CQ$5&gt;$E124,CQ$5&lt;=$F124),IF(CQ$5=$E124+1,$C124,""),"")</f>
        <v/>
      </c>
      <c r="CR124" s="34">
        <f>IF(AND(CR$5&gt;$E124,CR$5&lt;=$F124),IF(CR$5=$E124+1,$C124,""),"")</f>
        <v/>
      </c>
      <c r="CS124" s="34">
        <f>IF(AND(CS$5&gt;$E124,CS$5&lt;=$F124),IF(CS$5=$E124+1,$C124,""),"")</f>
        <v/>
      </c>
      <c r="CT124" s="34">
        <f>IF(AND(CT$5&gt;$E124,CT$5&lt;=$F124),IF(CT$5=$E124+1,$C124,""),"")</f>
        <v/>
      </c>
      <c r="CU124" s="34">
        <f>IF(AND(CU$5&gt;$E124,CU$5&lt;=$F124),IF(CU$5=$E124+1,$C124,""),"")</f>
        <v/>
      </c>
      <c r="CV124" s="34">
        <f>IF(AND(CV$5&gt;$E124,CV$5&lt;=$F124),IF(CV$5=$E124+1,$C124,""),"")</f>
        <v/>
      </c>
      <c r="CW124" s="34">
        <f>IF(AND(CW$5&gt;$E124,CW$5&lt;=$F124),IF(CW$5=$E124+1,$C124,""),"")</f>
        <v/>
      </c>
      <c r="CX124" s="34">
        <f>IF(AND(CX$5&gt;$E124,CX$5&lt;=$F124),IF(CX$5=$E124+1,$C124,""),"")</f>
        <v/>
      </c>
      <c r="CY124" s="34">
        <f>IF(AND(CY$5&gt;$E124,CY$5&lt;=$F124),IF(CY$5=$E124+1,$C124,""),"")</f>
        <v/>
      </c>
      <c r="CZ124" s="34">
        <f>IF(AND(CZ$5&gt;$E124,CZ$5&lt;=$F124),IF(CZ$5=$E124+1,$C124,""),"")</f>
        <v/>
      </c>
      <c r="DA124" s="34">
        <f>IF(AND(DA$5&gt;$E124,DA$5&lt;=$F124),IF(DA$5=$E124+1,$C124,""),"")</f>
        <v/>
      </c>
      <c r="DB124" s="34">
        <f>IF(AND(DB$5&gt;$E124,DB$5&lt;=$F124),IF(DB$5=$E124+1,$C124,""),"")</f>
        <v/>
      </c>
      <c r="DC124" s="34">
        <f>IF(AND(DC$5&gt;$E124,DC$5&lt;=$F124),IF(DC$5=$E124+1,$C124,""),"")</f>
        <v/>
      </c>
      <c r="DD124" s="34">
        <f>IF(AND(DD$5&gt;$E124,DD$5&lt;=$F124),IF(DD$5=$E124+1,$C124,""),"")</f>
        <v/>
      </c>
      <c r="DE124" s="34">
        <f>IF(AND(DE$5&gt;$E124,DE$5&lt;=$F124),IF(DE$5=$E124+1,$C124,""),"")</f>
        <v/>
      </c>
      <c r="DF124" s="34">
        <f>IF(AND(DF$5&gt;$E124,DF$5&lt;=$F124),IF(DF$5=$E124+1,$C124,""),"")</f>
        <v/>
      </c>
      <c r="DG124" s="34">
        <f>IF(AND(DG$5&gt;$E124,DG$5&lt;=$F124),IF(DG$5=$E124+1,$C124,""),"")</f>
        <v/>
      </c>
      <c r="DH124" s="34">
        <f>IF(AND(DH$5&gt;$E124,DH$5&lt;=$F124),IF(DH$5=$E124+1,$C124,""),"")</f>
        <v/>
      </c>
      <c r="DI124" s="34">
        <f>IF(AND(DI$5&gt;$E124,DI$5&lt;=$F124),IF(DI$5=$E124+1,$C124,""),"")</f>
        <v/>
      </c>
      <c r="DJ124" s="34">
        <f>IF(AND(DJ$5&gt;$E124,DJ$5&lt;=$F124),IF(DJ$5=$E124+1,$C124,""),"")</f>
        <v/>
      </c>
      <c r="DK124" s="34">
        <f>IF(AND(DK$5&gt;$E124,DK$5&lt;=$F124),IF(DK$5=$E124+1,$C124,""),"")</f>
        <v/>
      </c>
      <c r="DL124" s="34">
        <f>IF(AND(DL$5&gt;$E124,DL$5&lt;=$F124),IF(DL$5=$E124+1,$C124,""),"")</f>
        <v/>
      </c>
      <c r="DM124" s="34">
        <f>IF(AND(DM$5&gt;$E124,DM$5&lt;=$F124),IF(DM$5=$E124+1,$C124,""),"")</f>
        <v/>
      </c>
      <c r="DN124" s="34">
        <f>IF(AND(DN$5&gt;$E124,DN$5&lt;=$F124),IF(DN$5=$E124+1,$C124,""),"")</f>
        <v/>
      </c>
      <c r="DO124" s="34">
        <f>IF(AND(DO$5&gt;$E124,DO$5&lt;=$F124),IF(DO$5=$E124+1,$C124,""),"")</f>
        <v/>
      </c>
      <c r="DP124" s="34">
        <f>IF(AND(DP$5&gt;$E124,DP$5&lt;=$F124),IF(DP$5=$E124+1,$C124,""),"")</f>
        <v/>
      </c>
      <c r="DQ124" s="34">
        <f>IF(AND(DQ$5&gt;$E124,DQ$5&lt;=$F124),IF(DQ$5=$E124+1,$C124,""),"")</f>
        <v/>
      </c>
      <c r="DR124" s="34">
        <f>IF(AND(DR$5&gt;$E124,DR$5&lt;=$F124),IF(DR$5=$E124+1,$C124,""),"")</f>
        <v/>
      </c>
      <c r="DS124" s="34">
        <f>IF(AND(DS$5&gt;$E124,DS$5&lt;=$F124),IF(DS$5=$E124+1,$C124,""),"")</f>
        <v/>
      </c>
      <c r="DT124" s="34">
        <f>IF(AND(DT$5&gt;$E124,DT$5&lt;=$F124),IF(DT$5=$E124+1,$C124,""),"")</f>
        <v/>
      </c>
      <c r="DU124" s="34">
        <f>IF(AND(DU$5&gt;$E124,DU$5&lt;=$F124),IF(DU$5=$E124+1,$C124,""),"")</f>
        <v/>
      </c>
      <c r="DV124" s="34">
        <f>IF(AND(DV$5&gt;$E124,DV$5&lt;=$F124),IF(DV$5=$E124+1,$C124,""),"")</f>
        <v/>
      </c>
      <c r="DW124" s="34">
        <f>IF(AND(DW$5&gt;$E124,DW$5&lt;=$F124),IF(DW$5=$E124+1,$C124,""),"")</f>
        <v/>
      </c>
      <c r="DX124" s="34">
        <f>IF(AND(DX$5&gt;$E124,DX$5&lt;=$F124),IF(DX$5=$E124+1,$C124,""),"")</f>
        <v/>
      </c>
      <c r="DY124" s="34">
        <f>IF(AND(DY$5&gt;$E124,DY$5&lt;=$F124),IF(DY$5=$E124+1,$C124,""),"")</f>
        <v/>
      </c>
      <c r="DZ124" s="34">
        <f>IF(AND(DZ$5&gt;$E124,DZ$5&lt;=$F124),IF(DZ$5=$E124+1,$C124,""),"")</f>
        <v/>
      </c>
      <c r="EA124" s="34">
        <f>IF(AND(EA$5&gt;$E124,EA$5&lt;=$F124),IF(EA$5=$E124+1,$C124,""),"")</f>
        <v/>
      </c>
      <c r="EB124" s="34">
        <f>IF(AND(EB$5&gt;$E124,EB$5&lt;=$F124),IF(EB$5=$E124+1,$C124,""),"")</f>
        <v/>
      </c>
      <c r="EC124" s="34">
        <f>IF(AND(EC$5&gt;$E124,EC$5&lt;=$F124),IF(EC$5=$E124+1,$C124,""),"")</f>
        <v/>
      </c>
      <c r="ED124" s="34">
        <f>IF(AND(ED$5&gt;$E124,ED$5&lt;=$F124),IF(ED$5=$E124+1,$C124,""),"")</f>
        <v/>
      </c>
      <c r="EE124" s="34">
        <f>IF(AND(EE$5&gt;$E124,EE$5&lt;=$F124),IF(EE$5=$E124+1,$C124,""),"")</f>
        <v/>
      </c>
      <c r="EF124" s="34">
        <f>IF(AND(EF$5&gt;$E124,EF$5&lt;=$F124),IF(EF$5=$E124+1,$C124,""),"")</f>
        <v/>
      </c>
      <c r="EG124" s="34">
        <f>IF(AND(EG$5&gt;$E124,EG$5&lt;=$F124),IF(EG$5=$E124+1,$C124,""),"")</f>
        <v/>
      </c>
      <c r="EH124" s="34">
        <f>IF(AND(EH$5&gt;$E124,EH$5&lt;=$F124),IF(EH$5=$E124+1,$C124,""),"")</f>
        <v/>
      </c>
      <c r="EI124" s="34">
        <f>IF(AND(EI$5&gt;$E124,EI$5&lt;=$F124),IF(EI$5=$E124+1,$C124,""),"")</f>
        <v/>
      </c>
      <c r="EJ124" s="34">
        <f>IF(AND(EJ$5&gt;$E124,EJ$5&lt;=$F124),IF(EJ$5=$E124+1,$C124,""),"")</f>
        <v/>
      </c>
      <c r="EK124" s="34">
        <f>IF(AND(EK$5&gt;$E124,EK$5&lt;=$F124),IF(EK$5=$E124+1,$C124,""),"")</f>
        <v/>
      </c>
      <c r="EL124" s="34">
        <f>IF(AND(EL$5&gt;$E124,EL$5&lt;=$F124),IF(EL$5=$E124+1,$C124,""),"")</f>
        <v/>
      </c>
      <c r="EM124" s="34">
        <f>IF(AND(EM$5&gt;$E124,EM$5&lt;=$F124),IF(EM$5=$E124+1,$C124,""),"")</f>
        <v/>
      </c>
      <c r="EN124" s="34">
        <f>IF(AND(EN$5&gt;$E124,EN$5&lt;=$F124),IF(EN$5=$E124+1,$C124,""),"")</f>
        <v/>
      </c>
      <c r="EO124" s="34">
        <f>IF(AND(EO$5&gt;$E124,EO$5&lt;=$F124),IF(EO$5=$E124+1,$C124,""),"")</f>
        <v/>
      </c>
      <c r="EP124" s="34">
        <f>IF(AND(EP$5&gt;$E124,EP$5&lt;=$F124),IF(EP$5=$E124+1,$C124,""),"")</f>
        <v/>
      </c>
      <c r="EQ124" s="34">
        <f>IF(AND(EQ$5&gt;$E124,EQ$5&lt;=$F124),IF(EQ$5=$E124+1,$C124,""),"")</f>
        <v/>
      </c>
      <c r="ER124" s="34">
        <f>IF(AND(ER$5&gt;$E124,ER$5&lt;=$F124),IF(ER$5=$E124+1,$C124,""),"")</f>
        <v/>
      </c>
      <c r="ES124" s="34">
        <f>IF(AND(ES$5&gt;$E124,ES$5&lt;=$F124),IF(ES$5=$E124+1,$C124,""),"")</f>
        <v/>
      </c>
      <c r="ET124" s="34">
        <f>IF(AND(ET$5&gt;$E124,ET$5&lt;=$F124),IF(ET$5=$E124+1,$C124,""),"")</f>
        <v/>
      </c>
      <c r="EU124" s="34">
        <f>IF(AND(EU$5&gt;$E124,EU$5&lt;=$F124),IF(EU$5=$E124+1,$C124,""),"")</f>
        <v/>
      </c>
      <c r="EV124" s="34">
        <f>IF(AND(EV$5&gt;$E124,EV$5&lt;=$F124),IF(EV$5=$E124+1,$C124,""),"")</f>
        <v/>
      </c>
      <c r="EW124" s="34">
        <f>IF(AND(EW$5&gt;$E124,EW$5&lt;=$F124),IF(EW$5=$E124+1,$C124,""),"")</f>
        <v/>
      </c>
      <c r="EX124" s="34">
        <f>IF(AND(EX$5&gt;$E124,EX$5&lt;=$F124),IF(EX$5=$E124+1,$C124,""),"")</f>
        <v/>
      </c>
      <c r="EY124" s="34">
        <f>IF(AND(EY$5&gt;$E124,EY$5&lt;=$F124),IF(EY$5=$E124+1,$C124,""),"")</f>
        <v/>
      </c>
      <c r="EZ124" s="34">
        <f>IF(AND(EZ$5&gt;$E124,EZ$5&lt;=$F124),IF(EZ$5=$E124+1,$C124,""),"")</f>
        <v/>
      </c>
      <c r="FA124" s="34">
        <f>IF(AND(FA$5&gt;$E124,FA$5&lt;=$F124),IF(FA$5=$E124+1,$C124,""),"")</f>
        <v/>
      </c>
    </row>
    <row r="125">
      <c r="A125" s="32">
        <f>Plan!A107</f>
        <v/>
      </c>
      <c r="B125" s="33">
        <f>Plan!C107</f>
        <v/>
      </c>
      <c r="C125" s="16">
        <f>Plan!D107</f>
        <v/>
      </c>
      <c r="D125" s="16">
        <f>Plan!I107</f>
        <v/>
      </c>
      <c r="E125" s="16">
        <f>Plan!K107</f>
        <v/>
      </c>
      <c r="F125" s="16">
        <f>Plan!L107</f>
        <v/>
      </c>
      <c r="G125" s="16">
        <f>Plan!O107</f>
        <v/>
      </c>
      <c r="H125" s="34">
        <f>IF(AND(H$5&gt;$E125,H$5&lt;=$F125),IF(H$5=$E125+1,$C125,""),"")</f>
        <v/>
      </c>
      <c r="I125" s="34">
        <f>IF(AND(I$5&gt;$E125,I$5&lt;=$F125),IF(I$5=$E125+1,$C125,""),"")</f>
        <v/>
      </c>
      <c r="J125" s="34">
        <f>IF(AND(J$5&gt;$E125,J$5&lt;=$F125),IF(J$5=$E125+1,$C125,""),"")</f>
        <v/>
      </c>
      <c r="K125" s="34">
        <f>IF(AND(K$5&gt;$E125,K$5&lt;=$F125),IF(K$5=$E125+1,$C125,""),"")</f>
        <v/>
      </c>
      <c r="L125" s="34">
        <f>IF(AND(L$5&gt;$E125,L$5&lt;=$F125),IF(L$5=$E125+1,$C125,""),"")</f>
        <v/>
      </c>
      <c r="M125" s="34">
        <f>IF(AND(M$5&gt;$E125,M$5&lt;=$F125),IF(M$5=$E125+1,$C125,""),"")</f>
        <v/>
      </c>
      <c r="N125" s="34">
        <f>IF(AND(N$5&gt;$E125,N$5&lt;=$F125),IF(N$5=$E125+1,$C125,""),"")</f>
        <v/>
      </c>
      <c r="O125" s="34">
        <f>IF(AND(O$5&gt;$E125,O$5&lt;=$F125),IF(O$5=$E125+1,$C125,""),"")</f>
        <v/>
      </c>
      <c r="P125" s="34">
        <f>IF(AND(P$5&gt;$E125,P$5&lt;=$F125),IF(P$5=$E125+1,$C125,""),"")</f>
        <v/>
      </c>
      <c r="Q125" s="34">
        <f>IF(AND(Q$5&gt;$E125,Q$5&lt;=$F125),IF(Q$5=$E125+1,$C125,""),"")</f>
        <v/>
      </c>
      <c r="R125" s="34">
        <f>IF(AND(R$5&gt;$E125,R$5&lt;=$F125),IF(R$5=$E125+1,$C125,""),"")</f>
        <v/>
      </c>
      <c r="S125" s="34">
        <f>IF(AND(S$5&gt;$E125,S$5&lt;=$F125),IF(S$5=$E125+1,$C125,""),"")</f>
        <v/>
      </c>
      <c r="T125" s="34">
        <f>IF(AND(T$5&gt;$E125,T$5&lt;=$F125),IF(T$5=$E125+1,$C125,""),"")</f>
        <v/>
      </c>
      <c r="U125" s="34">
        <f>IF(AND(U$5&gt;$E125,U$5&lt;=$F125),IF(U$5=$E125+1,$C125,""),"")</f>
        <v/>
      </c>
      <c r="V125" s="34">
        <f>IF(AND(V$5&gt;$E125,V$5&lt;=$F125),IF(V$5=$E125+1,$C125,""),"")</f>
        <v/>
      </c>
      <c r="W125" s="34">
        <f>IF(AND(W$5&gt;$E125,W$5&lt;=$F125),IF(W$5=$E125+1,$C125,""),"")</f>
        <v/>
      </c>
      <c r="X125" s="34">
        <f>IF(AND(X$5&gt;$E125,X$5&lt;=$F125),IF(X$5=$E125+1,$C125,""),"")</f>
        <v/>
      </c>
      <c r="Y125" s="34">
        <f>IF(AND(Y$5&gt;$E125,Y$5&lt;=$F125),IF(Y$5=$E125+1,$C125,""),"")</f>
        <v/>
      </c>
      <c r="Z125" s="34">
        <f>IF(AND(Z$5&gt;$E125,Z$5&lt;=$F125),IF(Z$5=$E125+1,$C125,""),"")</f>
        <v/>
      </c>
      <c r="AA125" s="34">
        <f>IF(AND(AA$5&gt;$E125,AA$5&lt;=$F125),IF(AA$5=$E125+1,$C125,""),"")</f>
        <v/>
      </c>
      <c r="AB125" s="34">
        <f>IF(AND(AB$5&gt;$E125,AB$5&lt;=$F125),IF(AB$5=$E125+1,$C125,""),"")</f>
        <v/>
      </c>
      <c r="AC125" s="34">
        <f>IF(AND(AC$5&gt;$E125,AC$5&lt;=$F125),IF(AC$5=$E125+1,$C125,""),"")</f>
        <v/>
      </c>
      <c r="AD125" s="34">
        <f>IF(AND(AD$5&gt;$E125,AD$5&lt;=$F125),IF(AD$5=$E125+1,$C125,""),"")</f>
        <v/>
      </c>
      <c r="AE125" s="34">
        <f>IF(AND(AE$5&gt;$E125,AE$5&lt;=$F125),IF(AE$5=$E125+1,$C125,""),"")</f>
        <v/>
      </c>
      <c r="AF125" s="34">
        <f>IF(AND(AF$5&gt;$E125,AF$5&lt;=$F125),IF(AF$5=$E125+1,$C125,""),"")</f>
        <v/>
      </c>
      <c r="AG125" s="34">
        <f>IF(AND(AG$5&gt;$E125,AG$5&lt;=$F125),IF(AG$5=$E125+1,$C125,""),"")</f>
        <v/>
      </c>
      <c r="AH125" s="34">
        <f>IF(AND(AH$5&gt;$E125,AH$5&lt;=$F125),IF(AH$5=$E125+1,$C125,""),"")</f>
        <v/>
      </c>
      <c r="AI125" s="34">
        <f>IF(AND(AI$5&gt;$E125,AI$5&lt;=$F125),IF(AI$5=$E125+1,$C125,""),"")</f>
        <v/>
      </c>
      <c r="AJ125" s="34">
        <f>IF(AND(AJ$5&gt;$E125,AJ$5&lt;=$F125),IF(AJ$5=$E125+1,$C125,""),"")</f>
        <v/>
      </c>
      <c r="AK125" s="34">
        <f>IF(AND(AK$5&gt;$E125,AK$5&lt;=$F125),IF(AK$5=$E125+1,$C125,""),"")</f>
        <v/>
      </c>
      <c r="AL125" s="34">
        <f>IF(AND(AL$5&gt;$E125,AL$5&lt;=$F125),IF(AL$5=$E125+1,$C125,""),"")</f>
        <v/>
      </c>
      <c r="AM125" s="34">
        <f>IF(AND(AM$5&gt;$E125,AM$5&lt;=$F125),IF(AM$5=$E125+1,$C125,""),"")</f>
        <v/>
      </c>
      <c r="AN125" s="34">
        <f>IF(AND(AN$5&gt;$E125,AN$5&lt;=$F125),IF(AN$5=$E125+1,$C125,""),"")</f>
        <v/>
      </c>
      <c r="AO125" s="34">
        <f>IF(AND(AO$5&gt;$E125,AO$5&lt;=$F125),IF(AO$5=$E125+1,$C125,""),"")</f>
        <v/>
      </c>
      <c r="AP125" s="34">
        <f>IF(AND(AP$5&gt;$E125,AP$5&lt;=$F125),IF(AP$5=$E125+1,$C125,""),"")</f>
        <v/>
      </c>
      <c r="AQ125" s="34">
        <f>IF(AND(AQ$5&gt;$E125,AQ$5&lt;=$F125),IF(AQ$5=$E125+1,$C125,""),"")</f>
        <v/>
      </c>
      <c r="AR125" s="34">
        <f>IF(AND(AR$5&gt;$E125,AR$5&lt;=$F125),IF(AR$5=$E125+1,$C125,""),"")</f>
        <v/>
      </c>
      <c r="AS125" s="34">
        <f>IF(AND(AS$5&gt;$E125,AS$5&lt;=$F125),IF(AS$5=$E125+1,$C125,""),"")</f>
        <v/>
      </c>
      <c r="AT125" s="34">
        <f>IF(AND(AT$5&gt;$E125,AT$5&lt;=$F125),IF(AT$5=$E125+1,$C125,""),"")</f>
        <v/>
      </c>
      <c r="AU125" s="34">
        <f>IF(AND(AU$5&gt;$E125,AU$5&lt;=$F125),IF(AU$5=$E125+1,$C125,""),"")</f>
        <v/>
      </c>
      <c r="AV125" s="34">
        <f>IF(AND(AV$5&gt;$E125,AV$5&lt;=$F125),IF(AV$5=$E125+1,$C125,""),"")</f>
        <v/>
      </c>
      <c r="AW125" s="34">
        <f>IF(AND(AW$5&gt;$E125,AW$5&lt;=$F125),IF(AW$5=$E125+1,$C125,""),"")</f>
        <v/>
      </c>
      <c r="AX125" s="34">
        <f>IF(AND(AX$5&gt;$E125,AX$5&lt;=$F125),IF(AX$5=$E125+1,$C125,""),"")</f>
        <v/>
      </c>
      <c r="AY125" s="34">
        <f>IF(AND(AY$5&gt;$E125,AY$5&lt;=$F125),IF(AY$5=$E125+1,$C125,""),"")</f>
        <v/>
      </c>
      <c r="AZ125" s="34">
        <f>IF(AND(AZ$5&gt;$E125,AZ$5&lt;=$F125),IF(AZ$5=$E125+1,$C125,""),"")</f>
        <v/>
      </c>
      <c r="BA125" s="34">
        <f>IF(AND(BA$5&gt;$E125,BA$5&lt;=$F125),IF(BA$5=$E125+1,$C125,""),"")</f>
        <v/>
      </c>
      <c r="BB125" s="34">
        <f>IF(AND(BB$5&gt;$E125,BB$5&lt;=$F125),IF(BB$5=$E125+1,$C125,""),"")</f>
        <v/>
      </c>
      <c r="BC125" s="34">
        <f>IF(AND(BC$5&gt;$E125,BC$5&lt;=$F125),IF(BC$5=$E125+1,$C125,""),"")</f>
        <v/>
      </c>
      <c r="BD125" s="34">
        <f>IF(AND(BD$5&gt;$E125,BD$5&lt;=$F125),IF(BD$5=$E125+1,$C125,""),"")</f>
        <v/>
      </c>
      <c r="BE125" s="34">
        <f>IF(AND(BE$5&gt;$E125,BE$5&lt;=$F125),IF(BE$5=$E125+1,$C125,""),"")</f>
        <v/>
      </c>
      <c r="BF125" s="34">
        <f>IF(AND(BF$5&gt;$E125,BF$5&lt;=$F125),IF(BF$5=$E125+1,$C125,""),"")</f>
        <v/>
      </c>
      <c r="BG125" s="34">
        <f>IF(AND(BG$5&gt;$E125,BG$5&lt;=$F125),IF(BG$5=$E125+1,$C125,""),"")</f>
        <v/>
      </c>
      <c r="BH125" s="34">
        <f>IF(AND(BH$5&gt;$E125,BH$5&lt;=$F125),IF(BH$5=$E125+1,$C125,""),"")</f>
        <v/>
      </c>
      <c r="BI125" s="34">
        <f>IF(AND(BI$5&gt;$E125,BI$5&lt;=$F125),IF(BI$5=$E125+1,$C125,""),"")</f>
        <v/>
      </c>
      <c r="BJ125" s="34">
        <f>IF(AND(BJ$5&gt;$E125,BJ$5&lt;=$F125),IF(BJ$5=$E125+1,$C125,""),"")</f>
        <v/>
      </c>
      <c r="BK125" s="34">
        <f>IF(AND(BK$5&gt;$E125,BK$5&lt;=$F125),IF(BK$5=$E125+1,$C125,""),"")</f>
        <v/>
      </c>
      <c r="BL125" s="34">
        <f>IF(AND(BL$5&gt;$E125,BL$5&lt;=$F125),IF(BL$5=$E125+1,$C125,""),"")</f>
        <v/>
      </c>
      <c r="BM125" s="34">
        <f>IF(AND(BM$5&gt;$E125,BM$5&lt;=$F125),IF(BM$5=$E125+1,$C125,""),"")</f>
        <v/>
      </c>
      <c r="BN125" s="34">
        <f>IF(AND(BN$5&gt;$E125,BN$5&lt;=$F125),IF(BN$5=$E125+1,$C125,""),"")</f>
        <v/>
      </c>
      <c r="BO125" s="34">
        <f>IF(AND(BO$5&gt;$E125,BO$5&lt;=$F125),IF(BO$5=$E125+1,$C125,""),"")</f>
        <v/>
      </c>
      <c r="BP125" s="34">
        <f>IF(AND(BP$5&gt;$E125,BP$5&lt;=$F125),IF(BP$5=$E125+1,$C125,""),"")</f>
        <v/>
      </c>
      <c r="BQ125" s="34">
        <f>IF(AND(BQ$5&gt;$E125,BQ$5&lt;=$F125),IF(BQ$5=$E125+1,$C125,""),"")</f>
        <v/>
      </c>
      <c r="BR125" s="34">
        <f>IF(AND(BR$5&gt;$E125,BR$5&lt;=$F125),IF(BR$5=$E125+1,$C125,""),"")</f>
        <v/>
      </c>
      <c r="BS125" s="34">
        <f>IF(AND(BS$5&gt;$E125,BS$5&lt;=$F125),IF(BS$5=$E125+1,$C125,""),"")</f>
        <v/>
      </c>
      <c r="BT125" s="34">
        <f>IF(AND(BT$5&gt;$E125,BT$5&lt;=$F125),IF(BT$5=$E125+1,$C125,""),"")</f>
        <v/>
      </c>
      <c r="BU125" s="34">
        <f>IF(AND(BU$5&gt;$E125,BU$5&lt;=$F125),IF(BU$5=$E125+1,$C125,""),"")</f>
        <v/>
      </c>
      <c r="BV125" s="34">
        <f>IF(AND(BV$5&gt;$E125,BV$5&lt;=$F125),IF(BV$5=$E125+1,$C125,""),"")</f>
        <v/>
      </c>
      <c r="BW125" s="34">
        <f>IF(AND(BW$5&gt;$E125,BW$5&lt;=$F125),IF(BW$5=$E125+1,$C125,""),"")</f>
        <v/>
      </c>
      <c r="BX125" s="34">
        <f>IF(AND(BX$5&gt;$E125,BX$5&lt;=$F125),IF(BX$5=$E125+1,$C125,""),"")</f>
        <v/>
      </c>
      <c r="BY125" s="34">
        <f>IF(AND(BY$5&gt;$E125,BY$5&lt;=$F125),IF(BY$5=$E125+1,$C125,""),"")</f>
        <v/>
      </c>
      <c r="BZ125" s="34">
        <f>IF(AND(BZ$5&gt;$E125,BZ$5&lt;=$F125),IF(BZ$5=$E125+1,$C125,""),"")</f>
        <v/>
      </c>
      <c r="CA125" s="34">
        <f>IF(AND(CA$5&gt;$E125,CA$5&lt;=$F125),IF(CA$5=$E125+1,$C125,""),"")</f>
        <v/>
      </c>
      <c r="CB125" s="34">
        <f>IF(AND(CB$5&gt;$E125,CB$5&lt;=$F125),IF(CB$5=$E125+1,$C125,""),"")</f>
        <v/>
      </c>
      <c r="CC125" s="34">
        <f>IF(AND(CC$5&gt;$E125,CC$5&lt;=$F125),IF(CC$5=$E125+1,$C125,""),"")</f>
        <v/>
      </c>
      <c r="CD125" s="34">
        <f>IF(AND(CD$5&gt;$E125,CD$5&lt;=$F125),IF(CD$5=$E125+1,$C125,""),"")</f>
        <v/>
      </c>
      <c r="CE125" s="34">
        <f>IF(AND(CE$5&gt;$E125,CE$5&lt;=$F125),IF(CE$5=$E125+1,$C125,""),"")</f>
        <v/>
      </c>
      <c r="CF125" s="34">
        <f>IF(AND(CF$5&gt;$E125,CF$5&lt;=$F125),IF(CF$5=$E125+1,$C125,""),"")</f>
        <v/>
      </c>
      <c r="CG125" s="34">
        <f>IF(AND(CG$5&gt;$E125,CG$5&lt;=$F125),IF(CG$5=$E125+1,$C125,""),"")</f>
        <v/>
      </c>
      <c r="CH125" s="34">
        <f>IF(AND(CH$5&gt;$E125,CH$5&lt;=$F125),IF(CH$5=$E125+1,$C125,""),"")</f>
        <v/>
      </c>
      <c r="CI125" s="34">
        <f>IF(AND(CI$5&gt;$E125,CI$5&lt;=$F125),IF(CI$5=$E125+1,$C125,""),"")</f>
        <v/>
      </c>
      <c r="CJ125" s="34">
        <f>IF(AND(CJ$5&gt;$E125,CJ$5&lt;=$F125),IF(CJ$5=$E125+1,$C125,""),"")</f>
        <v/>
      </c>
      <c r="CK125" s="34">
        <f>IF(AND(CK$5&gt;$E125,CK$5&lt;=$F125),IF(CK$5=$E125+1,$C125,""),"")</f>
        <v/>
      </c>
      <c r="CL125" s="34">
        <f>IF(AND(CL$5&gt;$E125,CL$5&lt;=$F125),IF(CL$5=$E125+1,$C125,""),"")</f>
        <v/>
      </c>
      <c r="CM125" s="34">
        <f>IF(AND(CM$5&gt;$E125,CM$5&lt;=$F125),IF(CM$5=$E125+1,$C125,""),"")</f>
        <v/>
      </c>
      <c r="CN125" s="34">
        <f>IF(AND(CN$5&gt;$E125,CN$5&lt;=$F125),IF(CN$5=$E125+1,$C125,""),"")</f>
        <v/>
      </c>
      <c r="CO125" s="34">
        <f>IF(AND(CO$5&gt;$E125,CO$5&lt;=$F125),IF(CO$5=$E125+1,$C125,""),"")</f>
        <v/>
      </c>
      <c r="CP125" s="34">
        <f>IF(AND(CP$5&gt;$E125,CP$5&lt;=$F125),IF(CP$5=$E125+1,$C125,""),"")</f>
        <v/>
      </c>
      <c r="CQ125" s="34">
        <f>IF(AND(CQ$5&gt;$E125,CQ$5&lt;=$F125),IF(CQ$5=$E125+1,$C125,""),"")</f>
        <v/>
      </c>
      <c r="CR125" s="34">
        <f>IF(AND(CR$5&gt;$E125,CR$5&lt;=$F125),IF(CR$5=$E125+1,$C125,""),"")</f>
        <v/>
      </c>
      <c r="CS125" s="34">
        <f>IF(AND(CS$5&gt;$E125,CS$5&lt;=$F125),IF(CS$5=$E125+1,$C125,""),"")</f>
        <v/>
      </c>
      <c r="CT125" s="34">
        <f>IF(AND(CT$5&gt;$E125,CT$5&lt;=$F125),IF(CT$5=$E125+1,$C125,""),"")</f>
        <v/>
      </c>
      <c r="CU125" s="34">
        <f>IF(AND(CU$5&gt;$E125,CU$5&lt;=$F125),IF(CU$5=$E125+1,$C125,""),"")</f>
        <v/>
      </c>
      <c r="CV125" s="34">
        <f>IF(AND(CV$5&gt;$E125,CV$5&lt;=$F125),IF(CV$5=$E125+1,$C125,""),"")</f>
        <v/>
      </c>
      <c r="CW125" s="34">
        <f>IF(AND(CW$5&gt;$E125,CW$5&lt;=$F125),IF(CW$5=$E125+1,$C125,""),"")</f>
        <v/>
      </c>
      <c r="CX125" s="34">
        <f>IF(AND(CX$5&gt;$E125,CX$5&lt;=$F125),IF(CX$5=$E125+1,$C125,""),"")</f>
        <v/>
      </c>
      <c r="CY125" s="34">
        <f>IF(AND(CY$5&gt;$E125,CY$5&lt;=$F125),IF(CY$5=$E125+1,$C125,""),"")</f>
        <v/>
      </c>
      <c r="CZ125" s="34">
        <f>IF(AND(CZ$5&gt;$E125,CZ$5&lt;=$F125),IF(CZ$5=$E125+1,$C125,""),"")</f>
        <v/>
      </c>
      <c r="DA125" s="34">
        <f>IF(AND(DA$5&gt;$E125,DA$5&lt;=$F125),IF(DA$5=$E125+1,$C125,""),"")</f>
        <v/>
      </c>
      <c r="DB125" s="34">
        <f>IF(AND(DB$5&gt;$E125,DB$5&lt;=$F125),IF(DB$5=$E125+1,$C125,""),"")</f>
        <v/>
      </c>
      <c r="DC125" s="34">
        <f>IF(AND(DC$5&gt;$E125,DC$5&lt;=$F125),IF(DC$5=$E125+1,$C125,""),"")</f>
        <v/>
      </c>
      <c r="DD125" s="34">
        <f>IF(AND(DD$5&gt;$E125,DD$5&lt;=$F125),IF(DD$5=$E125+1,$C125,""),"")</f>
        <v/>
      </c>
      <c r="DE125" s="34">
        <f>IF(AND(DE$5&gt;$E125,DE$5&lt;=$F125),IF(DE$5=$E125+1,$C125,""),"")</f>
        <v/>
      </c>
      <c r="DF125" s="34">
        <f>IF(AND(DF$5&gt;$E125,DF$5&lt;=$F125),IF(DF$5=$E125+1,$C125,""),"")</f>
        <v/>
      </c>
      <c r="DG125" s="34">
        <f>IF(AND(DG$5&gt;$E125,DG$5&lt;=$F125),IF(DG$5=$E125+1,$C125,""),"")</f>
        <v/>
      </c>
      <c r="DH125" s="34">
        <f>IF(AND(DH$5&gt;$E125,DH$5&lt;=$F125),IF(DH$5=$E125+1,$C125,""),"")</f>
        <v/>
      </c>
      <c r="DI125" s="34">
        <f>IF(AND(DI$5&gt;$E125,DI$5&lt;=$F125),IF(DI$5=$E125+1,$C125,""),"")</f>
        <v/>
      </c>
      <c r="DJ125" s="34">
        <f>IF(AND(DJ$5&gt;$E125,DJ$5&lt;=$F125),IF(DJ$5=$E125+1,$C125,""),"")</f>
        <v/>
      </c>
      <c r="DK125" s="34">
        <f>IF(AND(DK$5&gt;$E125,DK$5&lt;=$F125),IF(DK$5=$E125+1,$C125,""),"")</f>
        <v/>
      </c>
      <c r="DL125" s="34">
        <f>IF(AND(DL$5&gt;$E125,DL$5&lt;=$F125),IF(DL$5=$E125+1,$C125,""),"")</f>
        <v/>
      </c>
      <c r="DM125" s="34">
        <f>IF(AND(DM$5&gt;$E125,DM$5&lt;=$F125),IF(DM$5=$E125+1,$C125,""),"")</f>
        <v/>
      </c>
      <c r="DN125" s="34">
        <f>IF(AND(DN$5&gt;$E125,DN$5&lt;=$F125),IF(DN$5=$E125+1,$C125,""),"")</f>
        <v/>
      </c>
      <c r="DO125" s="34">
        <f>IF(AND(DO$5&gt;$E125,DO$5&lt;=$F125),IF(DO$5=$E125+1,$C125,""),"")</f>
        <v/>
      </c>
      <c r="DP125" s="34">
        <f>IF(AND(DP$5&gt;$E125,DP$5&lt;=$F125),IF(DP$5=$E125+1,$C125,""),"")</f>
        <v/>
      </c>
      <c r="DQ125" s="34">
        <f>IF(AND(DQ$5&gt;$E125,DQ$5&lt;=$F125),IF(DQ$5=$E125+1,$C125,""),"")</f>
        <v/>
      </c>
      <c r="DR125" s="34">
        <f>IF(AND(DR$5&gt;$E125,DR$5&lt;=$F125),IF(DR$5=$E125+1,$C125,""),"")</f>
        <v/>
      </c>
      <c r="DS125" s="34">
        <f>IF(AND(DS$5&gt;$E125,DS$5&lt;=$F125),IF(DS$5=$E125+1,$C125,""),"")</f>
        <v/>
      </c>
      <c r="DT125" s="34">
        <f>IF(AND(DT$5&gt;$E125,DT$5&lt;=$F125),IF(DT$5=$E125+1,$C125,""),"")</f>
        <v/>
      </c>
      <c r="DU125" s="34">
        <f>IF(AND(DU$5&gt;$E125,DU$5&lt;=$F125),IF(DU$5=$E125+1,$C125,""),"")</f>
        <v/>
      </c>
      <c r="DV125" s="34">
        <f>IF(AND(DV$5&gt;$E125,DV$5&lt;=$F125),IF(DV$5=$E125+1,$C125,""),"")</f>
        <v/>
      </c>
      <c r="DW125" s="34">
        <f>IF(AND(DW$5&gt;$E125,DW$5&lt;=$F125),IF(DW$5=$E125+1,$C125,""),"")</f>
        <v/>
      </c>
      <c r="DX125" s="34">
        <f>IF(AND(DX$5&gt;$E125,DX$5&lt;=$F125),IF(DX$5=$E125+1,$C125,""),"")</f>
        <v/>
      </c>
      <c r="DY125" s="34">
        <f>IF(AND(DY$5&gt;$E125,DY$5&lt;=$F125),IF(DY$5=$E125+1,$C125,""),"")</f>
        <v/>
      </c>
      <c r="DZ125" s="34">
        <f>IF(AND(DZ$5&gt;$E125,DZ$5&lt;=$F125),IF(DZ$5=$E125+1,$C125,""),"")</f>
        <v/>
      </c>
      <c r="EA125" s="34">
        <f>IF(AND(EA$5&gt;$E125,EA$5&lt;=$F125),IF(EA$5=$E125+1,$C125,""),"")</f>
        <v/>
      </c>
      <c r="EB125" s="34">
        <f>IF(AND(EB$5&gt;$E125,EB$5&lt;=$F125),IF(EB$5=$E125+1,$C125,""),"")</f>
        <v/>
      </c>
      <c r="EC125" s="34">
        <f>IF(AND(EC$5&gt;$E125,EC$5&lt;=$F125),IF(EC$5=$E125+1,$C125,""),"")</f>
        <v/>
      </c>
      <c r="ED125" s="34">
        <f>IF(AND(ED$5&gt;$E125,ED$5&lt;=$F125),IF(ED$5=$E125+1,$C125,""),"")</f>
        <v/>
      </c>
      <c r="EE125" s="34">
        <f>IF(AND(EE$5&gt;$E125,EE$5&lt;=$F125),IF(EE$5=$E125+1,$C125,""),"")</f>
        <v/>
      </c>
      <c r="EF125" s="34">
        <f>IF(AND(EF$5&gt;$E125,EF$5&lt;=$F125),IF(EF$5=$E125+1,$C125,""),"")</f>
        <v/>
      </c>
      <c r="EG125" s="34">
        <f>IF(AND(EG$5&gt;$E125,EG$5&lt;=$F125),IF(EG$5=$E125+1,$C125,""),"")</f>
        <v/>
      </c>
      <c r="EH125" s="34">
        <f>IF(AND(EH$5&gt;$E125,EH$5&lt;=$F125),IF(EH$5=$E125+1,$C125,""),"")</f>
        <v/>
      </c>
      <c r="EI125" s="34">
        <f>IF(AND(EI$5&gt;$E125,EI$5&lt;=$F125),IF(EI$5=$E125+1,$C125,""),"")</f>
        <v/>
      </c>
      <c r="EJ125" s="34">
        <f>IF(AND(EJ$5&gt;$E125,EJ$5&lt;=$F125),IF(EJ$5=$E125+1,$C125,""),"")</f>
        <v/>
      </c>
      <c r="EK125" s="34">
        <f>IF(AND(EK$5&gt;$E125,EK$5&lt;=$F125),IF(EK$5=$E125+1,$C125,""),"")</f>
        <v/>
      </c>
      <c r="EL125" s="34">
        <f>IF(AND(EL$5&gt;$E125,EL$5&lt;=$F125),IF(EL$5=$E125+1,$C125,""),"")</f>
        <v/>
      </c>
      <c r="EM125" s="34">
        <f>IF(AND(EM$5&gt;$E125,EM$5&lt;=$F125),IF(EM$5=$E125+1,$C125,""),"")</f>
        <v/>
      </c>
      <c r="EN125" s="34">
        <f>IF(AND(EN$5&gt;$E125,EN$5&lt;=$F125),IF(EN$5=$E125+1,$C125,""),"")</f>
        <v/>
      </c>
      <c r="EO125" s="34">
        <f>IF(AND(EO$5&gt;$E125,EO$5&lt;=$F125),IF(EO$5=$E125+1,$C125,""),"")</f>
        <v/>
      </c>
      <c r="EP125" s="34">
        <f>IF(AND(EP$5&gt;$E125,EP$5&lt;=$F125),IF(EP$5=$E125+1,$C125,""),"")</f>
        <v/>
      </c>
      <c r="EQ125" s="34">
        <f>IF(AND(EQ$5&gt;$E125,EQ$5&lt;=$F125),IF(EQ$5=$E125+1,$C125,""),"")</f>
        <v/>
      </c>
      <c r="ER125" s="34">
        <f>IF(AND(ER$5&gt;$E125,ER$5&lt;=$F125),IF(ER$5=$E125+1,$C125,""),"")</f>
        <v/>
      </c>
      <c r="ES125" s="34">
        <f>IF(AND(ES$5&gt;$E125,ES$5&lt;=$F125),IF(ES$5=$E125+1,$C125,""),"")</f>
        <v/>
      </c>
      <c r="ET125" s="34">
        <f>IF(AND(ET$5&gt;$E125,ET$5&lt;=$F125),IF(ET$5=$E125+1,$C125,""),"")</f>
        <v/>
      </c>
      <c r="EU125" s="34">
        <f>IF(AND(EU$5&gt;$E125,EU$5&lt;=$F125),IF(EU$5=$E125+1,$C125,""),"")</f>
        <v/>
      </c>
      <c r="EV125" s="34">
        <f>IF(AND(EV$5&gt;$E125,EV$5&lt;=$F125),IF(EV$5=$E125+1,$C125,""),"")</f>
        <v/>
      </c>
      <c r="EW125" s="34">
        <f>IF(AND(EW$5&gt;$E125,EW$5&lt;=$F125),IF(EW$5=$E125+1,$C125,""),"")</f>
        <v/>
      </c>
      <c r="EX125" s="34">
        <f>IF(AND(EX$5&gt;$E125,EX$5&lt;=$F125),IF(EX$5=$E125+1,$C125,""),"")</f>
        <v/>
      </c>
      <c r="EY125" s="34">
        <f>IF(AND(EY$5&gt;$E125,EY$5&lt;=$F125),IF(EY$5=$E125+1,$C125,""),"")</f>
        <v/>
      </c>
      <c r="EZ125" s="34">
        <f>IF(AND(EZ$5&gt;$E125,EZ$5&lt;=$F125),IF(EZ$5=$E125+1,$C125,""),"")</f>
        <v/>
      </c>
      <c r="FA125" s="34">
        <f>IF(AND(FA$5&gt;$E125,FA$5&lt;=$F125),IF(FA$5=$E125+1,$C125,""),"")</f>
        <v/>
      </c>
    </row>
    <row r="126">
      <c r="A126" s="32">
        <f>Plan!A108</f>
        <v/>
      </c>
      <c r="B126" s="33">
        <f>Plan!C108</f>
        <v/>
      </c>
      <c r="C126" s="16">
        <f>Plan!D108</f>
        <v/>
      </c>
      <c r="D126" s="16">
        <f>Plan!I108</f>
        <v/>
      </c>
      <c r="E126" s="16">
        <f>Plan!K108</f>
        <v/>
      </c>
      <c r="F126" s="16">
        <f>Plan!L108</f>
        <v/>
      </c>
      <c r="G126" s="16">
        <f>Plan!O108</f>
        <v/>
      </c>
      <c r="H126" s="34">
        <f>IF(AND(H$5&gt;$E126,H$5&lt;=$F126),IF(H$5=$E126+1,$C126,""),"")</f>
        <v/>
      </c>
      <c r="I126" s="34">
        <f>IF(AND(I$5&gt;$E126,I$5&lt;=$F126),IF(I$5=$E126+1,$C126,""),"")</f>
        <v/>
      </c>
      <c r="J126" s="34">
        <f>IF(AND(J$5&gt;$E126,J$5&lt;=$F126),IF(J$5=$E126+1,$C126,""),"")</f>
        <v/>
      </c>
      <c r="K126" s="34">
        <f>IF(AND(K$5&gt;$E126,K$5&lt;=$F126),IF(K$5=$E126+1,$C126,""),"")</f>
        <v/>
      </c>
      <c r="L126" s="34">
        <f>IF(AND(L$5&gt;$E126,L$5&lt;=$F126),IF(L$5=$E126+1,$C126,""),"")</f>
        <v/>
      </c>
      <c r="M126" s="34">
        <f>IF(AND(M$5&gt;$E126,M$5&lt;=$F126),IF(M$5=$E126+1,$C126,""),"")</f>
        <v/>
      </c>
      <c r="N126" s="34">
        <f>IF(AND(N$5&gt;$E126,N$5&lt;=$F126),IF(N$5=$E126+1,$C126,""),"")</f>
        <v/>
      </c>
      <c r="O126" s="34">
        <f>IF(AND(O$5&gt;$E126,O$5&lt;=$F126),IF(O$5=$E126+1,$C126,""),"")</f>
        <v/>
      </c>
      <c r="P126" s="34">
        <f>IF(AND(P$5&gt;$E126,P$5&lt;=$F126),IF(P$5=$E126+1,$C126,""),"")</f>
        <v/>
      </c>
      <c r="Q126" s="34">
        <f>IF(AND(Q$5&gt;$E126,Q$5&lt;=$F126),IF(Q$5=$E126+1,$C126,""),"")</f>
        <v/>
      </c>
      <c r="R126" s="34">
        <f>IF(AND(R$5&gt;$E126,R$5&lt;=$F126),IF(R$5=$E126+1,$C126,""),"")</f>
        <v/>
      </c>
      <c r="S126" s="34">
        <f>IF(AND(S$5&gt;$E126,S$5&lt;=$F126),IF(S$5=$E126+1,$C126,""),"")</f>
        <v/>
      </c>
      <c r="T126" s="34">
        <f>IF(AND(T$5&gt;$E126,T$5&lt;=$F126),IF(T$5=$E126+1,$C126,""),"")</f>
        <v/>
      </c>
      <c r="U126" s="34">
        <f>IF(AND(U$5&gt;$E126,U$5&lt;=$F126),IF(U$5=$E126+1,$C126,""),"")</f>
        <v/>
      </c>
      <c r="V126" s="34">
        <f>IF(AND(V$5&gt;$E126,V$5&lt;=$F126),IF(V$5=$E126+1,$C126,""),"")</f>
        <v/>
      </c>
      <c r="W126" s="34">
        <f>IF(AND(W$5&gt;$E126,W$5&lt;=$F126),IF(W$5=$E126+1,$C126,""),"")</f>
        <v/>
      </c>
      <c r="X126" s="34">
        <f>IF(AND(X$5&gt;$E126,X$5&lt;=$F126),IF(X$5=$E126+1,$C126,""),"")</f>
        <v/>
      </c>
      <c r="Y126" s="34">
        <f>IF(AND(Y$5&gt;$E126,Y$5&lt;=$F126),IF(Y$5=$E126+1,$C126,""),"")</f>
        <v/>
      </c>
      <c r="Z126" s="34">
        <f>IF(AND(Z$5&gt;$E126,Z$5&lt;=$F126),IF(Z$5=$E126+1,$C126,""),"")</f>
        <v/>
      </c>
      <c r="AA126" s="34">
        <f>IF(AND(AA$5&gt;$E126,AA$5&lt;=$F126),IF(AA$5=$E126+1,$C126,""),"")</f>
        <v/>
      </c>
      <c r="AB126" s="34">
        <f>IF(AND(AB$5&gt;$E126,AB$5&lt;=$F126),IF(AB$5=$E126+1,$C126,""),"")</f>
        <v/>
      </c>
      <c r="AC126" s="34">
        <f>IF(AND(AC$5&gt;$E126,AC$5&lt;=$F126),IF(AC$5=$E126+1,$C126,""),"")</f>
        <v/>
      </c>
      <c r="AD126" s="34">
        <f>IF(AND(AD$5&gt;$E126,AD$5&lt;=$F126),IF(AD$5=$E126+1,$C126,""),"")</f>
        <v/>
      </c>
      <c r="AE126" s="34">
        <f>IF(AND(AE$5&gt;$E126,AE$5&lt;=$F126),IF(AE$5=$E126+1,$C126,""),"")</f>
        <v/>
      </c>
      <c r="AF126" s="34">
        <f>IF(AND(AF$5&gt;$E126,AF$5&lt;=$F126),IF(AF$5=$E126+1,$C126,""),"")</f>
        <v/>
      </c>
      <c r="AG126" s="34">
        <f>IF(AND(AG$5&gt;$E126,AG$5&lt;=$F126),IF(AG$5=$E126+1,$C126,""),"")</f>
        <v/>
      </c>
      <c r="AH126" s="34">
        <f>IF(AND(AH$5&gt;$E126,AH$5&lt;=$F126),IF(AH$5=$E126+1,$C126,""),"")</f>
        <v/>
      </c>
      <c r="AI126" s="34">
        <f>IF(AND(AI$5&gt;$E126,AI$5&lt;=$F126),IF(AI$5=$E126+1,$C126,""),"")</f>
        <v/>
      </c>
      <c r="AJ126" s="34">
        <f>IF(AND(AJ$5&gt;$E126,AJ$5&lt;=$F126),IF(AJ$5=$E126+1,$C126,""),"")</f>
        <v/>
      </c>
      <c r="AK126" s="34">
        <f>IF(AND(AK$5&gt;$E126,AK$5&lt;=$F126),IF(AK$5=$E126+1,$C126,""),"")</f>
        <v/>
      </c>
      <c r="AL126" s="34">
        <f>IF(AND(AL$5&gt;$E126,AL$5&lt;=$F126),IF(AL$5=$E126+1,$C126,""),"")</f>
        <v/>
      </c>
      <c r="AM126" s="34">
        <f>IF(AND(AM$5&gt;$E126,AM$5&lt;=$F126),IF(AM$5=$E126+1,$C126,""),"")</f>
        <v/>
      </c>
      <c r="AN126" s="34">
        <f>IF(AND(AN$5&gt;$E126,AN$5&lt;=$F126),IF(AN$5=$E126+1,$C126,""),"")</f>
        <v/>
      </c>
      <c r="AO126" s="34">
        <f>IF(AND(AO$5&gt;$E126,AO$5&lt;=$F126),IF(AO$5=$E126+1,$C126,""),"")</f>
        <v/>
      </c>
      <c r="AP126" s="34">
        <f>IF(AND(AP$5&gt;$E126,AP$5&lt;=$F126),IF(AP$5=$E126+1,$C126,""),"")</f>
        <v/>
      </c>
      <c r="AQ126" s="34">
        <f>IF(AND(AQ$5&gt;$E126,AQ$5&lt;=$F126),IF(AQ$5=$E126+1,$C126,""),"")</f>
        <v/>
      </c>
      <c r="AR126" s="34">
        <f>IF(AND(AR$5&gt;$E126,AR$5&lt;=$F126),IF(AR$5=$E126+1,$C126,""),"")</f>
        <v/>
      </c>
      <c r="AS126" s="34">
        <f>IF(AND(AS$5&gt;$E126,AS$5&lt;=$F126),IF(AS$5=$E126+1,$C126,""),"")</f>
        <v/>
      </c>
      <c r="AT126" s="34">
        <f>IF(AND(AT$5&gt;$E126,AT$5&lt;=$F126),IF(AT$5=$E126+1,$C126,""),"")</f>
        <v/>
      </c>
      <c r="AU126" s="34">
        <f>IF(AND(AU$5&gt;$E126,AU$5&lt;=$F126),IF(AU$5=$E126+1,$C126,""),"")</f>
        <v/>
      </c>
      <c r="AV126" s="34">
        <f>IF(AND(AV$5&gt;$E126,AV$5&lt;=$F126),IF(AV$5=$E126+1,$C126,""),"")</f>
        <v/>
      </c>
      <c r="AW126" s="34">
        <f>IF(AND(AW$5&gt;$E126,AW$5&lt;=$F126),IF(AW$5=$E126+1,$C126,""),"")</f>
        <v/>
      </c>
      <c r="AX126" s="34">
        <f>IF(AND(AX$5&gt;$E126,AX$5&lt;=$F126),IF(AX$5=$E126+1,$C126,""),"")</f>
        <v/>
      </c>
      <c r="AY126" s="34">
        <f>IF(AND(AY$5&gt;$E126,AY$5&lt;=$F126),IF(AY$5=$E126+1,$C126,""),"")</f>
        <v/>
      </c>
      <c r="AZ126" s="34">
        <f>IF(AND(AZ$5&gt;$E126,AZ$5&lt;=$F126),IF(AZ$5=$E126+1,$C126,""),"")</f>
        <v/>
      </c>
      <c r="BA126" s="34">
        <f>IF(AND(BA$5&gt;$E126,BA$5&lt;=$F126),IF(BA$5=$E126+1,$C126,""),"")</f>
        <v/>
      </c>
      <c r="BB126" s="34">
        <f>IF(AND(BB$5&gt;$E126,BB$5&lt;=$F126),IF(BB$5=$E126+1,$C126,""),"")</f>
        <v/>
      </c>
      <c r="BC126" s="34">
        <f>IF(AND(BC$5&gt;$E126,BC$5&lt;=$F126),IF(BC$5=$E126+1,$C126,""),"")</f>
        <v/>
      </c>
      <c r="BD126" s="34">
        <f>IF(AND(BD$5&gt;$E126,BD$5&lt;=$F126),IF(BD$5=$E126+1,$C126,""),"")</f>
        <v/>
      </c>
      <c r="BE126" s="34">
        <f>IF(AND(BE$5&gt;$E126,BE$5&lt;=$F126),IF(BE$5=$E126+1,$C126,""),"")</f>
        <v/>
      </c>
      <c r="BF126" s="34">
        <f>IF(AND(BF$5&gt;$E126,BF$5&lt;=$F126),IF(BF$5=$E126+1,$C126,""),"")</f>
        <v/>
      </c>
      <c r="BG126" s="34">
        <f>IF(AND(BG$5&gt;$E126,BG$5&lt;=$F126),IF(BG$5=$E126+1,$C126,""),"")</f>
        <v/>
      </c>
      <c r="BH126" s="34">
        <f>IF(AND(BH$5&gt;$E126,BH$5&lt;=$F126),IF(BH$5=$E126+1,$C126,""),"")</f>
        <v/>
      </c>
      <c r="BI126" s="34">
        <f>IF(AND(BI$5&gt;$E126,BI$5&lt;=$F126),IF(BI$5=$E126+1,$C126,""),"")</f>
        <v/>
      </c>
      <c r="BJ126" s="34">
        <f>IF(AND(BJ$5&gt;$E126,BJ$5&lt;=$F126),IF(BJ$5=$E126+1,$C126,""),"")</f>
        <v/>
      </c>
      <c r="BK126" s="34">
        <f>IF(AND(BK$5&gt;$E126,BK$5&lt;=$F126),IF(BK$5=$E126+1,$C126,""),"")</f>
        <v/>
      </c>
      <c r="BL126" s="34">
        <f>IF(AND(BL$5&gt;$E126,BL$5&lt;=$F126),IF(BL$5=$E126+1,$C126,""),"")</f>
        <v/>
      </c>
      <c r="BM126" s="34">
        <f>IF(AND(BM$5&gt;$E126,BM$5&lt;=$F126),IF(BM$5=$E126+1,$C126,""),"")</f>
        <v/>
      </c>
      <c r="BN126" s="34">
        <f>IF(AND(BN$5&gt;$E126,BN$5&lt;=$F126),IF(BN$5=$E126+1,$C126,""),"")</f>
        <v/>
      </c>
      <c r="BO126" s="34">
        <f>IF(AND(BO$5&gt;$E126,BO$5&lt;=$F126),IF(BO$5=$E126+1,$C126,""),"")</f>
        <v/>
      </c>
      <c r="BP126" s="34">
        <f>IF(AND(BP$5&gt;$E126,BP$5&lt;=$F126),IF(BP$5=$E126+1,$C126,""),"")</f>
        <v/>
      </c>
      <c r="BQ126" s="34">
        <f>IF(AND(BQ$5&gt;$E126,BQ$5&lt;=$F126),IF(BQ$5=$E126+1,$C126,""),"")</f>
        <v/>
      </c>
      <c r="BR126" s="34">
        <f>IF(AND(BR$5&gt;$E126,BR$5&lt;=$F126),IF(BR$5=$E126+1,$C126,""),"")</f>
        <v/>
      </c>
      <c r="BS126" s="34">
        <f>IF(AND(BS$5&gt;$E126,BS$5&lt;=$F126),IF(BS$5=$E126+1,$C126,""),"")</f>
        <v/>
      </c>
      <c r="BT126" s="34">
        <f>IF(AND(BT$5&gt;$E126,BT$5&lt;=$F126),IF(BT$5=$E126+1,$C126,""),"")</f>
        <v/>
      </c>
      <c r="BU126" s="34">
        <f>IF(AND(BU$5&gt;$E126,BU$5&lt;=$F126),IF(BU$5=$E126+1,$C126,""),"")</f>
        <v/>
      </c>
      <c r="BV126" s="34">
        <f>IF(AND(BV$5&gt;$E126,BV$5&lt;=$F126),IF(BV$5=$E126+1,$C126,""),"")</f>
        <v/>
      </c>
      <c r="BW126" s="34">
        <f>IF(AND(BW$5&gt;$E126,BW$5&lt;=$F126),IF(BW$5=$E126+1,$C126,""),"")</f>
        <v/>
      </c>
      <c r="BX126" s="34">
        <f>IF(AND(BX$5&gt;$E126,BX$5&lt;=$F126),IF(BX$5=$E126+1,$C126,""),"")</f>
        <v/>
      </c>
      <c r="BY126" s="34">
        <f>IF(AND(BY$5&gt;$E126,BY$5&lt;=$F126),IF(BY$5=$E126+1,$C126,""),"")</f>
        <v/>
      </c>
      <c r="BZ126" s="34">
        <f>IF(AND(BZ$5&gt;$E126,BZ$5&lt;=$F126),IF(BZ$5=$E126+1,$C126,""),"")</f>
        <v/>
      </c>
      <c r="CA126" s="34">
        <f>IF(AND(CA$5&gt;$E126,CA$5&lt;=$F126),IF(CA$5=$E126+1,$C126,""),"")</f>
        <v/>
      </c>
      <c r="CB126" s="34">
        <f>IF(AND(CB$5&gt;$E126,CB$5&lt;=$F126),IF(CB$5=$E126+1,$C126,""),"")</f>
        <v/>
      </c>
      <c r="CC126" s="34">
        <f>IF(AND(CC$5&gt;$E126,CC$5&lt;=$F126),IF(CC$5=$E126+1,$C126,""),"")</f>
        <v/>
      </c>
      <c r="CD126" s="34">
        <f>IF(AND(CD$5&gt;$E126,CD$5&lt;=$F126),IF(CD$5=$E126+1,$C126,""),"")</f>
        <v/>
      </c>
      <c r="CE126" s="34">
        <f>IF(AND(CE$5&gt;$E126,CE$5&lt;=$F126),IF(CE$5=$E126+1,$C126,""),"")</f>
        <v/>
      </c>
      <c r="CF126" s="34">
        <f>IF(AND(CF$5&gt;$E126,CF$5&lt;=$F126),IF(CF$5=$E126+1,$C126,""),"")</f>
        <v/>
      </c>
      <c r="CG126" s="34">
        <f>IF(AND(CG$5&gt;$E126,CG$5&lt;=$F126),IF(CG$5=$E126+1,$C126,""),"")</f>
        <v/>
      </c>
      <c r="CH126" s="34">
        <f>IF(AND(CH$5&gt;$E126,CH$5&lt;=$F126),IF(CH$5=$E126+1,$C126,""),"")</f>
        <v/>
      </c>
      <c r="CI126" s="34">
        <f>IF(AND(CI$5&gt;$E126,CI$5&lt;=$F126),IF(CI$5=$E126+1,$C126,""),"")</f>
        <v/>
      </c>
      <c r="CJ126" s="34">
        <f>IF(AND(CJ$5&gt;$E126,CJ$5&lt;=$F126),IF(CJ$5=$E126+1,$C126,""),"")</f>
        <v/>
      </c>
      <c r="CK126" s="34">
        <f>IF(AND(CK$5&gt;$E126,CK$5&lt;=$F126),IF(CK$5=$E126+1,$C126,""),"")</f>
        <v/>
      </c>
      <c r="CL126" s="34">
        <f>IF(AND(CL$5&gt;$E126,CL$5&lt;=$F126),IF(CL$5=$E126+1,$C126,""),"")</f>
        <v/>
      </c>
      <c r="CM126" s="34">
        <f>IF(AND(CM$5&gt;$E126,CM$5&lt;=$F126),IF(CM$5=$E126+1,$C126,""),"")</f>
        <v/>
      </c>
      <c r="CN126" s="34">
        <f>IF(AND(CN$5&gt;$E126,CN$5&lt;=$F126),IF(CN$5=$E126+1,$C126,""),"")</f>
        <v/>
      </c>
      <c r="CO126" s="34">
        <f>IF(AND(CO$5&gt;$E126,CO$5&lt;=$F126),IF(CO$5=$E126+1,$C126,""),"")</f>
        <v/>
      </c>
      <c r="CP126" s="34">
        <f>IF(AND(CP$5&gt;$E126,CP$5&lt;=$F126),IF(CP$5=$E126+1,$C126,""),"")</f>
        <v/>
      </c>
      <c r="CQ126" s="34">
        <f>IF(AND(CQ$5&gt;$E126,CQ$5&lt;=$F126),IF(CQ$5=$E126+1,$C126,""),"")</f>
        <v/>
      </c>
      <c r="CR126" s="34">
        <f>IF(AND(CR$5&gt;$E126,CR$5&lt;=$F126),IF(CR$5=$E126+1,$C126,""),"")</f>
        <v/>
      </c>
      <c r="CS126" s="34">
        <f>IF(AND(CS$5&gt;$E126,CS$5&lt;=$F126),IF(CS$5=$E126+1,$C126,""),"")</f>
        <v/>
      </c>
      <c r="CT126" s="34">
        <f>IF(AND(CT$5&gt;$E126,CT$5&lt;=$F126),IF(CT$5=$E126+1,$C126,""),"")</f>
        <v/>
      </c>
      <c r="CU126" s="34">
        <f>IF(AND(CU$5&gt;$E126,CU$5&lt;=$F126),IF(CU$5=$E126+1,$C126,""),"")</f>
        <v/>
      </c>
      <c r="CV126" s="34">
        <f>IF(AND(CV$5&gt;$E126,CV$5&lt;=$F126),IF(CV$5=$E126+1,$C126,""),"")</f>
        <v/>
      </c>
      <c r="CW126" s="34">
        <f>IF(AND(CW$5&gt;$E126,CW$5&lt;=$F126),IF(CW$5=$E126+1,$C126,""),"")</f>
        <v/>
      </c>
      <c r="CX126" s="34">
        <f>IF(AND(CX$5&gt;$E126,CX$5&lt;=$F126),IF(CX$5=$E126+1,$C126,""),"")</f>
        <v/>
      </c>
      <c r="CY126" s="34">
        <f>IF(AND(CY$5&gt;$E126,CY$5&lt;=$F126),IF(CY$5=$E126+1,$C126,""),"")</f>
        <v/>
      </c>
      <c r="CZ126" s="34">
        <f>IF(AND(CZ$5&gt;$E126,CZ$5&lt;=$F126),IF(CZ$5=$E126+1,$C126,""),"")</f>
        <v/>
      </c>
      <c r="DA126" s="34">
        <f>IF(AND(DA$5&gt;$E126,DA$5&lt;=$F126),IF(DA$5=$E126+1,$C126,""),"")</f>
        <v/>
      </c>
      <c r="DB126" s="34">
        <f>IF(AND(DB$5&gt;$E126,DB$5&lt;=$F126),IF(DB$5=$E126+1,$C126,""),"")</f>
        <v/>
      </c>
      <c r="DC126" s="34">
        <f>IF(AND(DC$5&gt;$E126,DC$5&lt;=$F126),IF(DC$5=$E126+1,$C126,""),"")</f>
        <v/>
      </c>
      <c r="DD126" s="34">
        <f>IF(AND(DD$5&gt;$E126,DD$5&lt;=$F126),IF(DD$5=$E126+1,$C126,""),"")</f>
        <v/>
      </c>
      <c r="DE126" s="34">
        <f>IF(AND(DE$5&gt;$E126,DE$5&lt;=$F126),IF(DE$5=$E126+1,$C126,""),"")</f>
        <v/>
      </c>
      <c r="DF126" s="34">
        <f>IF(AND(DF$5&gt;$E126,DF$5&lt;=$F126),IF(DF$5=$E126+1,$C126,""),"")</f>
        <v/>
      </c>
      <c r="DG126" s="34">
        <f>IF(AND(DG$5&gt;$E126,DG$5&lt;=$F126),IF(DG$5=$E126+1,$C126,""),"")</f>
        <v/>
      </c>
      <c r="DH126" s="34">
        <f>IF(AND(DH$5&gt;$E126,DH$5&lt;=$F126),IF(DH$5=$E126+1,$C126,""),"")</f>
        <v/>
      </c>
      <c r="DI126" s="34">
        <f>IF(AND(DI$5&gt;$E126,DI$5&lt;=$F126),IF(DI$5=$E126+1,$C126,""),"")</f>
        <v/>
      </c>
      <c r="DJ126" s="34">
        <f>IF(AND(DJ$5&gt;$E126,DJ$5&lt;=$F126),IF(DJ$5=$E126+1,$C126,""),"")</f>
        <v/>
      </c>
      <c r="DK126" s="34">
        <f>IF(AND(DK$5&gt;$E126,DK$5&lt;=$F126),IF(DK$5=$E126+1,$C126,""),"")</f>
        <v/>
      </c>
      <c r="DL126" s="34">
        <f>IF(AND(DL$5&gt;$E126,DL$5&lt;=$F126),IF(DL$5=$E126+1,$C126,""),"")</f>
        <v/>
      </c>
      <c r="DM126" s="34">
        <f>IF(AND(DM$5&gt;$E126,DM$5&lt;=$F126),IF(DM$5=$E126+1,$C126,""),"")</f>
        <v/>
      </c>
      <c r="DN126" s="34">
        <f>IF(AND(DN$5&gt;$E126,DN$5&lt;=$F126),IF(DN$5=$E126+1,$C126,""),"")</f>
        <v/>
      </c>
      <c r="DO126" s="34">
        <f>IF(AND(DO$5&gt;$E126,DO$5&lt;=$F126),IF(DO$5=$E126+1,$C126,""),"")</f>
        <v/>
      </c>
      <c r="DP126" s="34">
        <f>IF(AND(DP$5&gt;$E126,DP$5&lt;=$F126),IF(DP$5=$E126+1,$C126,""),"")</f>
        <v/>
      </c>
      <c r="DQ126" s="34">
        <f>IF(AND(DQ$5&gt;$E126,DQ$5&lt;=$F126),IF(DQ$5=$E126+1,$C126,""),"")</f>
        <v/>
      </c>
      <c r="DR126" s="34">
        <f>IF(AND(DR$5&gt;$E126,DR$5&lt;=$F126),IF(DR$5=$E126+1,$C126,""),"")</f>
        <v/>
      </c>
      <c r="DS126" s="34">
        <f>IF(AND(DS$5&gt;$E126,DS$5&lt;=$F126),IF(DS$5=$E126+1,$C126,""),"")</f>
        <v/>
      </c>
      <c r="DT126" s="34">
        <f>IF(AND(DT$5&gt;$E126,DT$5&lt;=$F126),IF(DT$5=$E126+1,$C126,""),"")</f>
        <v/>
      </c>
      <c r="DU126" s="34">
        <f>IF(AND(DU$5&gt;$E126,DU$5&lt;=$F126),IF(DU$5=$E126+1,$C126,""),"")</f>
        <v/>
      </c>
      <c r="DV126" s="34">
        <f>IF(AND(DV$5&gt;$E126,DV$5&lt;=$F126),IF(DV$5=$E126+1,$C126,""),"")</f>
        <v/>
      </c>
      <c r="DW126" s="34">
        <f>IF(AND(DW$5&gt;$E126,DW$5&lt;=$F126),IF(DW$5=$E126+1,$C126,""),"")</f>
        <v/>
      </c>
      <c r="DX126" s="34">
        <f>IF(AND(DX$5&gt;$E126,DX$5&lt;=$F126),IF(DX$5=$E126+1,$C126,""),"")</f>
        <v/>
      </c>
      <c r="DY126" s="34">
        <f>IF(AND(DY$5&gt;$E126,DY$5&lt;=$F126),IF(DY$5=$E126+1,$C126,""),"")</f>
        <v/>
      </c>
      <c r="DZ126" s="34">
        <f>IF(AND(DZ$5&gt;$E126,DZ$5&lt;=$F126),IF(DZ$5=$E126+1,$C126,""),"")</f>
        <v/>
      </c>
      <c r="EA126" s="34">
        <f>IF(AND(EA$5&gt;$E126,EA$5&lt;=$F126),IF(EA$5=$E126+1,$C126,""),"")</f>
        <v/>
      </c>
      <c r="EB126" s="34">
        <f>IF(AND(EB$5&gt;$E126,EB$5&lt;=$F126),IF(EB$5=$E126+1,$C126,""),"")</f>
        <v/>
      </c>
      <c r="EC126" s="34">
        <f>IF(AND(EC$5&gt;$E126,EC$5&lt;=$F126),IF(EC$5=$E126+1,$C126,""),"")</f>
        <v/>
      </c>
      <c r="ED126" s="34">
        <f>IF(AND(ED$5&gt;$E126,ED$5&lt;=$F126),IF(ED$5=$E126+1,$C126,""),"")</f>
        <v/>
      </c>
      <c r="EE126" s="34">
        <f>IF(AND(EE$5&gt;$E126,EE$5&lt;=$F126),IF(EE$5=$E126+1,$C126,""),"")</f>
        <v/>
      </c>
      <c r="EF126" s="34">
        <f>IF(AND(EF$5&gt;$E126,EF$5&lt;=$F126),IF(EF$5=$E126+1,$C126,""),"")</f>
        <v/>
      </c>
      <c r="EG126" s="34">
        <f>IF(AND(EG$5&gt;$E126,EG$5&lt;=$F126),IF(EG$5=$E126+1,$C126,""),"")</f>
        <v/>
      </c>
      <c r="EH126" s="34">
        <f>IF(AND(EH$5&gt;$E126,EH$5&lt;=$F126),IF(EH$5=$E126+1,$C126,""),"")</f>
        <v/>
      </c>
      <c r="EI126" s="34">
        <f>IF(AND(EI$5&gt;$E126,EI$5&lt;=$F126),IF(EI$5=$E126+1,$C126,""),"")</f>
        <v/>
      </c>
      <c r="EJ126" s="34">
        <f>IF(AND(EJ$5&gt;$E126,EJ$5&lt;=$F126),IF(EJ$5=$E126+1,$C126,""),"")</f>
        <v/>
      </c>
      <c r="EK126" s="34">
        <f>IF(AND(EK$5&gt;$E126,EK$5&lt;=$F126),IF(EK$5=$E126+1,$C126,""),"")</f>
        <v/>
      </c>
      <c r="EL126" s="34">
        <f>IF(AND(EL$5&gt;$E126,EL$5&lt;=$F126),IF(EL$5=$E126+1,$C126,""),"")</f>
        <v/>
      </c>
      <c r="EM126" s="34">
        <f>IF(AND(EM$5&gt;$E126,EM$5&lt;=$F126),IF(EM$5=$E126+1,$C126,""),"")</f>
        <v/>
      </c>
      <c r="EN126" s="34">
        <f>IF(AND(EN$5&gt;$E126,EN$5&lt;=$F126),IF(EN$5=$E126+1,$C126,""),"")</f>
        <v/>
      </c>
      <c r="EO126" s="34">
        <f>IF(AND(EO$5&gt;$E126,EO$5&lt;=$F126),IF(EO$5=$E126+1,$C126,""),"")</f>
        <v/>
      </c>
      <c r="EP126" s="34">
        <f>IF(AND(EP$5&gt;$E126,EP$5&lt;=$F126),IF(EP$5=$E126+1,$C126,""),"")</f>
        <v/>
      </c>
      <c r="EQ126" s="34">
        <f>IF(AND(EQ$5&gt;$E126,EQ$5&lt;=$F126),IF(EQ$5=$E126+1,$C126,""),"")</f>
        <v/>
      </c>
      <c r="ER126" s="34">
        <f>IF(AND(ER$5&gt;$E126,ER$5&lt;=$F126),IF(ER$5=$E126+1,$C126,""),"")</f>
        <v/>
      </c>
      <c r="ES126" s="34">
        <f>IF(AND(ES$5&gt;$E126,ES$5&lt;=$F126),IF(ES$5=$E126+1,$C126,""),"")</f>
        <v/>
      </c>
      <c r="ET126" s="34">
        <f>IF(AND(ET$5&gt;$E126,ET$5&lt;=$F126),IF(ET$5=$E126+1,$C126,""),"")</f>
        <v/>
      </c>
      <c r="EU126" s="34">
        <f>IF(AND(EU$5&gt;$E126,EU$5&lt;=$F126),IF(EU$5=$E126+1,$C126,""),"")</f>
        <v/>
      </c>
      <c r="EV126" s="34">
        <f>IF(AND(EV$5&gt;$E126,EV$5&lt;=$F126),IF(EV$5=$E126+1,$C126,""),"")</f>
        <v/>
      </c>
      <c r="EW126" s="34">
        <f>IF(AND(EW$5&gt;$E126,EW$5&lt;=$F126),IF(EW$5=$E126+1,$C126,""),"")</f>
        <v/>
      </c>
      <c r="EX126" s="34">
        <f>IF(AND(EX$5&gt;$E126,EX$5&lt;=$F126),IF(EX$5=$E126+1,$C126,""),"")</f>
        <v/>
      </c>
      <c r="EY126" s="34">
        <f>IF(AND(EY$5&gt;$E126,EY$5&lt;=$F126),IF(EY$5=$E126+1,$C126,""),"")</f>
        <v/>
      </c>
      <c r="EZ126" s="34">
        <f>IF(AND(EZ$5&gt;$E126,EZ$5&lt;=$F126),IF(EZ$5=$E126+1,$C126,""),"")</f>
        <v/>
      </c>
      <c r="FA126" s="34">
        <f>IF(AND(FA$5&gt;$E126,FA$5&lt;=$F126),IF(FA$5=$E126+1,$C126,""),"")</f>
        <v/>
      </c>
    </row>
    <row r="127">
      <c r="A127" s="32">
        <f>Plan!A109</f>
        <v/>
      </c>
      <c r="B127" s="33">
        <f>Plan!C109</f>
        <v/>
      </c>
      <c r="C127" s="16">
        <f>Plan!D109</f>
        <v/>
      </c>
      <c r="D127" s="16">
        <f>Plan!I109</f>
        <v/>
      </c>
      <c r="E127" s="16">
        <f>Plan!K109</f>
        <v/>
      </c>
      <c r="F127" s="16">
        <f>Plan!L109</f>
        <v/>
      </c>
      <c r="G127" s="16">
        <f>Plan!O109</f>
        <v/>
      </c>
      <c r="H127" s="34">
        <f>IF(AND(H$5&gt;$E127,H$5&lt;=$F127),IF(H$5=$E127+1,$C127,""),"")</f>
        <v/>
      </c>
      <c r="I127" s="34">
        <f>IF(AND(I$5&gt;$E127,I$5&lt;=$F127),IF(I$5=$E127+1,$C127,""),"")</f>
        <v/>
      </c>
      <c r="J127" s="34">
        <f>IF(AND(J$5&gt;$E127,J$5&lt;=$F127),IF(J$5=$E127+1,$C127,""),"")</f>
        <v/>
      </c>
      <c r="K127" s="34">
        <f>IF(AND(K$5&gt;$E127,K$5&lt;=$F127),IF(K$5=$E127+1,$C127,""),"")</f>
        <v/>
      </c>
      <c r="L127" s="34">
        <f>IF(AND(L$5&gt;$E127,L$5&lt;=$F127),IF(L$5=$E127+1,$C127,""),"")</f>
        <v/>
      </c>
      <c r="M127" s="34">
        <f>IF(AND(M$5&gt;$E127,M$5&lt;=$F127),IF(M$5=$E127+1,$C127,""),"")</f>
        <v/>
      </c>
      <c r="N127" s="34">
        <f>IF(AND(N$5&gt;$E127,N$5&lt;=$F127),IF(N$5=$E127+1,$C127,""),"")</f>
        <v/>
      </c>
      <c r="O127" s="34">
        <f>IF(AND(O$5&gt;$E127,O$5&lt;=$F127),IF(O$5=$E127+1,$C127,""),"")</f>
        <v/>
      </c>
      <c r="P127" s="34">
        <f>IF(AND(P$5&gt;$E127,P$5&lt;=$F127),IF(P$5=$E127+1,$C127,""),"")</f>
        <v/>
      </c>
      <c r="Q127" s="34">
        <f>IF(AND(Q$5&gt;$E127,Q$5&lt;=$F127),IF(Q$5=$E127+1,$C127,""),"")</f>
        <v/>
      </c>
      <c r="R127" s="34">
        <f>IF(AND(R$5&gt;$E127,R$5&lt;=$F127),IF(R$5=$E127+1,$C127,""),"")</f>
        <v/>
      </c>
      <c r="S127" s="34">
        <f>IF(AND(S$5&gt;$E127,S$5&lt;=$F127),IF(S$5=$E127+1,$C127,""),"")</f>
        <v/>
      </c>
      <c r="T127" s="34">
        <f>IF(AND(T$5&gt;$E127,T$5&lt;=$F127),IF(T$5=$E127+1,$C127,""),"")</f>
        <v/>
      </c>
      <c r="U127" s="34">
        <f>IF(AND(U$5&gt;$E127,U$5&lt;=$F127),IF(U$5=$E127+1,$C127,""),"")</f>
        <v/>
      </c>
      <c r="V127" s="34">
        <f>IF(AND(V$5&gt;$E127,V$5&lt;=$F127),IF(V$5=$E127+1,$C127,""),"")</f>
        <v/>
      </c>
      <c r="W127" s="34">
        <f>IF(AND(W$5&gt;$E127,W$5&lt;=$F127),IF(W$5=$E127+1,$C127,""),"")</f>
        <v/>
      </c>
      <c r="X127" s="34">
        <f>IF(AND(X$5&gt;$E127,X$5&lt;=$F127),IF(X$5=$E127+1,$C127,""),"")</f>
        <v/>
      </c>
      <c r="Y127" s="34">
        <f>IF(AND(Y$5&gt;$E127,Y$5&lt;=$F127),IF(Y$5=$E127+1,$C127,""),"")</f>
        <v/>
      </c>
      <c r="Z127" s="34">
        <f>IF(AND(Z$5&gt;$E127,Z$5&lt;=$F127),IF(Z$5=$E127+1,$C127,""),"")</f>
        <v/>
      </c>
      <c r="AA127" s="34">
        <f>IF(AND(AA$5&gt;$E127,AA$5&lt;=$F127),IF(AA$5=$E127+1,$C127,""),"")</f>
        <v/>
      </c>
      <c r="AB127" s="34">
        <f>IF(AND(AB$5&gt;$E127,AB$5&lt;=$F127),IF(AB$5=$E127+1,$C127,""),"")</f>
        <v/>
      </c>
      <c r="AC127" s="34">
        <f>IF(AND(AC$5&gt;$E127,AC$5&lt;=$F127),IF(AC$5=$E127+1,$C127,""),"")</f>
        <v/>
      </c>
      <c r="AD127" s="34">
        <f>IF(AND(AD$5&gt;$E127,AD$5&lt;=$F127),IF(AD$5=$E127+1,$C127,""),"")</f>
        <v/>
      </c>
      <c r="AE127" s="34">
        <f>IF(AND(AE$5&gt;$E127,AE$5&lt;=$F127),IF(AE$5=$E127+1,$C127,""),"")</f>
        <v/>
      </c>
      <c r="AF127" s="34">
        <f>IF(AND(AF$5&gt;$E127,AF$5&lt;=$F127),IF(AF$5=$E127+1,$C127,""),"")</f>
        <v/>
      </c>
      <c r="AG127" s="34">
        <f>IF(AND(AG$5&gt;$E127,AG$5&lt;=$F127),IF(AG$5=$E127+1,$C127,""),"")</f>
        <v/>
      </c>
      <c r="AH127" s="34">
        <f>IF(AND(AH$5&gt;$E127,AH$5&lt;=$F127),IF(AH$5=$E127+1,$C127,""),"")</f>
        <v/>
      </c>
      <c r="AI127" s="34">
        <f>IF(AND(AI$5&gt;$E127,AI$5&lt;=$F127),IF(AI$5=$E127+1,$C127,""),"")</f>
        <v/>
      </c>
      <c r="AJ127" s="34">
        <f>IF(AND(AJ$5&gt;$E127,AJ$5&lt;=$F127),IF(AJ$5=$E127+1,$C127,""),"")</f>
        <v/>
      </c>
      <c r="AK127" s="34">
        <f>IF(AND(AK$5&gt;$E127,AK$5&lt;=$F127),IF(AK$5=$E127+1,$C127,""),"")</f>
        <v/>
      </c>
      <c r="AL127" s="34">
        <f>IF(AND(AL$5&gt;$E127,AL$5&lt;=$F127),IF(AL$5=$E127+1,$C127,""),"")</f>
        <v/>
      </c>
      <c r="AM127" s="34">
        <f>IF(AND(AM$5&gt;$E127,AM$5&lt;=$F127),IF(AM$5=$E127+1,$C127,""),"")</f>
        <v/>
      </c>
      <c r="AN127" s="34">
        <f>IF(AND(AN$5&gt;$E127,AN$5&lt;=$F127),IF(AN$5=$E127+1,$C127,""),"")</f>
        <v/>
      </c>
      <c r="AO127" s="34">
        <f>IF(AND(AO$5&gt;$E127,AO$5&lt;=$F127),IF(AO$5=$E127+1,$C127,""),"")</f>
        <v/>
      </c>
      <c r="AP127" s="34">
        <f>IF(AND(AP$5&gt;$E127,AP$5&lt;=$F127),IF(AP$5=$E127+1,$C127,""),"")</f>
        <v/>
      </c>
      <c r="AQ127" s="34">
        <f>IF(AND(AQ$5&gt;$E127,AQ$5&lt;=$F127),IF(AQ$5=$E127+1,$C127,""),"")</f>
        <v/>
      </c>
      <c r="AR127" s="34">
        <f>IF(AND(AR$5&gt;$E127,AR$5&lt;=$F127),IF(AR$5=$E127+1,$C127,""),"")</f>
        <v/>
      </c>
      <c r="AS127" s="34">
        <f>IF(AND(AS$5&gt;$E127,AS$5&lt;=$F127),IF(AS$5=$E127+1,$C127,""),"")</f>
        <v/>
      </c>
      <c r="AT127" s="34">
        <f>IF(AND(AT$5&gt;$E127,AT$5&lt;=$F127),IF(AT$5=$E127+1,$C127,""),"")</f>
        <v/>
      </c>
      <c r="AU127" s="34">
        <f>IF(AND(AU$5&gt;$E127,AU$5&lt;=$F127),IF(AU$5=$E127+1,$C127,""),"")</f>
        <v/>
      </c>
      <c r="AV127" s="34">
        <f>IF(AND(AV$5&gt;$E127,AV$5&lt;=$F127),IF(AV$5=$E127+1,$C127,""),"")</f>
        <v/>
      </c>
      <c r="AW127" s="34">
        <f>IF(AND(AW$5&gt;$E127,AW$5&lt;=$F127),IF(AW$5=$E127+1,$C127,""),"")</f>
        <v/>
      </c>
      <c r="AX127" s="34">
        <f>IF(AND(AX$5&gt;$E127,AX$5&lt;=$F127),IF(AX$5=$E127+1,$C127,""),"")</f>
        <v/>
      </c>
      <c r="AY127" s="34">
        <f>IF(AND(AY$5&gt;$E127,AY$5&lt;=$F127),IF(AY$5=$E127+1,$C127,""),"")</f>
        <v/>
      </c>
      <c r="AZ127" s="34">
        <f>IF(AND(AZ$5&gt;$E127,AZ$5&lt;=$F127),IF(AZ$5=$E127+1,$C127,""),"")</f>
        <v/>
      </c>
      <c r="BA127" s="34">
        <f>IF(AND(BA$5&gt;$E127,BA$5&lt;=$F127),IF(BA$5=$E127+1,$C127,""),"")</f>
        <v/>
      </c>
      <c r="BB127" s="34">
        <f>IF(AND(BB$5&gt;$E127,BB$5&lt;=$F127),IF(BB$5=$E127+1,$C127,""),"")</f>
        <v/>
      </c>
      <c r="BC127" s="34">
        <f>IF(AND(BC$5&gt;$E127,BC$5&lt;=$F127),IF(BC$5=$E127+1,$C127,""),"")</f>
        <v/>
      </c>
      <c r="BD127" s="34">
        <f>IF(AND(BD$5&gt;$E127,BD$5&lt;=$F127),IF(BD$5=$E127+1,$C127,""),"")</f>
        <v/>
      </c>
      <c r="BE127" s="34">
        <f>IF(AND(BE$5&gt;$E127,BE$5&lt;=$F127),IF(BE$5=$E127+1,$C127,""),"")</f>
        <v/>
      </c>
      <c r="BF127" s="34">
        <f>IF(AND(BF$5&gt;$E127,BF$5&lt;=$F127),IF(BF$5=$E127+1,$C127,""),"")</f>
        <v/>
      </c>
      <c r="BG127" s="34">
        <f>IF(AND(BG$5&gt;$E127,BG$5&lt;=$F127),IF(BG$5=$E127+1,$C127,""),"")</f>
        <v/>
      </c>
      <c r="BH127" s="34">
        <f>IF(AND(BH$5&gt;$E127,BH$5&lt;=$F127),IF(BH$5=$E127+1,$C127,""),"")</f>
        <v/>
      </c>
      <c r="BI127" s="34">
        <f>IF(AND(BI$5&gt;$E127,BI$5&lt;=$F127),IF(BI$5=$E127+1,$C127,""),"")</f>
        <v/>
      </c>
      <c r="BJ127" s="34">
        <f>IF(AND(BJ$5&gt;$E127,BJ$5&lt;=$F127),IF(BJ$5=$E127+1,$C127,""),"")</f>
        <v/>
      </c>
      <c r="BK127" s="34">
        <f>IF(AND(BK$5&gt;$E127,BK$5&lt;=$F127),IF(BK$5=$E127+1,$C127,""),"")</f>
        <v/>
      </c>
      <c r="BL127" s="34">
        <f>IF(AND(BL$5&gt;$E127,BL$5&lt;=$F127),IF(BL$5=$E127+1,$C127,""),"")</f>
        <v/>
      </c>
      <c r="BM127" s="34">
        <f>IF(AND(BM$5&gt;$E127,BM$5&lt;=$F127),IF(BM$5=$E127+1,$C127,""),"")</f>
        <v/>
      </c>
      <c r="BN127" s="34">
        <f>IF(AND(BN$5&gt;$E127,BN$5&lt;=$F127),IF(BN$5=$E127+1,$C127,""),"")</f>
        <v/>
      </c>
      <c r="BO127" s="34">
        <f>IF(AND(BO$5&gt;$E127,BO$5&lt;=$F127),IF(BO$5=$E127+1,$C127,""),"")</f>
        <v/>
      </c>
      <c r="BP127" s="34">
        <f>IF(AND(BP$5&gt;$E127,BP$5&lt;=$F127),IF(BP$5=$E127+1,$C127,""),"")</f>
        <v/>
      </c>
      <c r="BQ127" s="34">
        <f>IF(AND(BQ$5&gt;$E127,BQ$5&lt;=$F127),IF(BQ$5=$E127+1,$C127,""),"")</f>
        <v/>
      </c>
      <c r="BR127" s="34">
        <f>IF(AND(BR$5&gt;$E127,BR$5&lt;=$F127),IF(BR$5=$E127+1,$C127,""),"")</f>
        <v/>
      </c>
      <c r="BS127" s="34">
        <f>IF(AND(BS$5&gt;$E127,BS$5&lt;=$F127),IF(BS$5=$E127+1,$C127,""),"")</f>
        <v/>
      </c>
      <c r="BT127" s="34">
        <f>IF(AND(BT$5&gt;$E127,BT$5&lt;=$F127),IF(BT$5=$E127+1,$C127,""),"")</f>
        <v/>
      </c>
      <c r="BU127" s="34">
        <f>IF(AND(BU$5&gt;$E127,BU$5&lt;=$F127),IF(BU$5=$E127+1,$C127,""),"")</f>
        <v/>
      </c>
      <c r="BV127" s="34">
        <f>IF(AND(BV$5&gt;$E127,BV$5&lt;=$F127),IF(BV$5=$E127+1,$C127,""),"")</f>
        <v/>
      </c>
      <c r="BW127" s="34">
        <f>IF(AND(BW$5&gt;$E127,BW$5&lt;=$F127),IF(BW$5=$E127+1,$C127,""),"")</f>
        <v/>
      </c>
      <c r="BX127" s="34">
        <f>IF(AND(BX$5&gt;$E127,BX$5&lt;=$F127),IF(BX$5=$E127+1,$C127,""),"")</f>
        <v/>
      </c>
      <c r="BY127" s="34">
        <f>IF(AND(BY$5&gt;$E127,BY$5&lt;=$F127),IF(BY$5=$E127+1,$C127,""),"")</f>
        <v/>
      </c>
      <c r="BZ127" s="34">
        <f>IF(AND(BZ$5&gt;$E127,BZ$5&lt;=$F127),IF(BZ$5=$E127+1,$C127,""),"")</f>
        <v/>
      </c>
      <c r="CA127" s="34">
        <f>IF(AND(CA$5&gt;$E127,CA$5&lt;=$F127),IF(CA$5=$E127+1,$C127,""),"")</f>
        <v/>
      </c>
      <c r="CB127" s="34">
        <f>IF(AND(CB$5&gt;$E127,CB$5&lt;=$F127),IF(CB$5=$E127+1,$C127,""),"")</f>
        <v/>
      </c>
      <c r="CC127" s="34">
        <f>IF(AND(CC$5&gt;$E127,CC$5&lt;=$F127),IF(CC$5=$E127+1,$C127,""),"")</f>
        <v/>
      </c>
      <c r="CD127" s="34">
        <f>IF(AND(CD$5&gt;$E127,CD$5&lt;=$F127),IF(CD$5=$E127+1,$C127,""),"")</f>
        <v/>
      </c>
      <c r="CE127" s="34">
        <f>IF(AND(CE$5&gt;$E127,CE$5&lt;=$F127),IF(CE$5=$E127+1,$C127,""),"")</f>
        <v/>
      </c>
      <c r="CF127" s="34">
        <f>IF(AND(CF$5&gt;$E127,CF$5&lt;=$F127),IF(CF$5=$E127+1,$C127,""),"")</f>
        <v/>
      </c>
      <c r="CG127" s="34">
        <f>IF(AND(CG$5&gt;$E127,CG$5&lt;=$F127),IF(CG$5=$E127+1,$C127,""),"")</f>
        <v/>
      </c>
      <c r="CH127" s="34">
        <f>IF(AND(CH$5&gt;$E127,CH$5&lt;=$F127),IF(CH$5=$E127+1,$C127,""),"")</f>
        <v/>
      </c>
      <c r="CI127" s="34">
        <f>IF(AND(CI$5&gt;$E127,CI$5&lt;=$F127),IF(CI$5=$E127+1,$C127,""),"")</f>
        <v/>
      </c>
      <c r="CJ127" s="34">
        <f>IF(AND(CJ$5&gt;$E127,CJ$5&lt;=$F127),IF(CJ$5=$E127+1,$C127,""),"")</f>
        <v/>
      </c>
      <c r="CK127" s="34">
        <f>IF(AND(CK$5&gt;$E127,CK$5&lt;=$F127),IF(CK$5=$E127+1,$C127,""),"")</f>
        <v/>
      </c>
      <c r="CL127" s="34">
        <f>IF(AND(CL$5&gt;$E127,CL$5&lt;=$F127),IF(CL$5=$E127+1,$C127,""),"")</f>
        <v/>
      </c>
      <c r="CM127" s="34">
        <f>IF(AND(CM$5&gt;$E127,CM$5&lt;=$F127),IF(CM$5=$E127+1,$C127,""),"")</f>
        <v/>
      </c>
      <c r="CN127" s="34">
        <f>IF(AND(CN$5&gt;$E127,CN$5&lt;=$F127),IF(CN$5=$E127+1,$C127,""),"")</f>
        <v/>
      </c>
      <c r="CO127" s="34">
        <f>IF(AND(CO$5&gt;$E127,CO$5&lt;=$F127),IF(CO$5=$E127+1,$C127,""),"")</f>
        <v/>
      </c>
      <c r="CP127" s="34">
        <f>IF(AND(CP$5&gt;$E127,CP$5&lt;=$F127),IF(CP$5=$E127+1,$C127,""),"")</f>
        <v/>
      </c>
      <c r="CQ127" s="34">
        <f>IF(AND(CQ$5&gt;$E127,CQ$5&lt;=$F127),IF(CQ$5=$E127+1,$C127,""),"")</f>
        <v/>
      </c>
      <c r="CR127" s="34">
        <f>IF(AND(CR$5&gt;$E127,CR$5&lt;=$F127),IF(CR$5=$E127+1,$C127,""),"")</f>
        <v/>
      </c>
      <c r="CS127" s="34">
        <f>IF(AND(CS$5&gt;$E127,CS$5&lt;=$F127),IF(CS$5=$E127+1,$C127,""),"")</f>
        <v/>
      </c>
      <c r="CT127" s="34">
        <f>IF(AND(CT$5&gt;$E127,CT$5&lt;=$F127),IF(CT$5=$E127+1,$C127,""),"")</f>
        <v/>
      </c>
      <c r="CU127" s="34">
        <f>IF(AND(CU$5&gt;$E127,CU$5&lt;=$F127),IF(CU$5=$E127+1,$C127,""),"")</f>
        <v/>
      </c>
      <c r="CV127" s="34">
        <f>IF(AND(CV$5&gt;$E127,CV$5&lt;=$F127),IF(CV$5=$E127+1,$C127,""),"")</f>
        <v/>
      </c>
      <c r="CW127" s="34">
        <f>IF(AND(CW$5&gt;$E127,CW$5&lt;=$F127),IF(CW$5=$E127+1,$C127,""),"")</f>
        <v/>
      </c>
      <c r="CX127" s="34">
        <f>IF(AND(CX$5&gt;$E127,CX$5&lt;=$F127),IF(CX$5=$E127+1,$C127,""),"")</f>
        <v/>
      </c>
      <c r="CY127" s="34">
        <f>IF(AND(CY$5&gt;$E127,CY$5&lt;=$F127),IF(CY$5=$E127+1,$C127,""),"")</f>
        <v/>
      </c>
      <c r="CZ127" s="34">
        <f>IF(AND(CZ$5&gt;$E127,CZ$5&lt;=$F127),IF(CZ$5=$E127+1,$C127,""),"")</f>
        <v/>
      </c>
      <c r="DA127" s="34">
        <f>IF(AND(DA$5&gt;$E127,DA$5&lt;=$F127),IF(DA$5=$E127+1,$C127,""),"")</f>
        <v/>
      </c>
      <c r="DB127" s="34">
        <f>IF(AND(DB$5&gt;$E127,DB$5&lt;=$F127),IF(DB$5=$E127+1,$C127,""),"")</f>
        <v/>
      </c>
      <c r="DC127" s="34">
        <f>IF(AND(DC$5&gt;$E127,DC$5&lt;=$F127),IF(DC$5=$E127+1,$C127,""),"")</f>
        <v/>
      </c>
      <c r="DD127" s="34">
        <f>IF(AND(DD$5&gt;$E127,DD$5&lt;=$F127),IF(DD$5=$E127+1,$C127,""),"")</f>
        <v/>
      </c>
      <c r="DE127" s="34">
        <f>IF(AND(DE$5&gt;$E127,DE$5&lt;=$F127),IF(DE$5=$E127+1,$C127,""),"")</f>
        <v/>
      </c>
      <c r="DF127" s="34">
        <f>IF(AND(DF$5&gt;$E127,DF$5&lt;=$F127),IF(DF$5=$E127+1,$C127,""),"")</f>
        <v/>
      </c>
      <c r="DG127" s="34">
        <f>IF(AND(DG$5&gt;$E127,DG$5&lt;=$F127),IF(DG$5=$E127+1,$C127,""),"")</f>
        <v/>
      </c>
      <c r="DH127" s="34">
        <f>IF(AND(DH$5&gt;$E127,DH$5&lt;=$F127),IF(DH$5=$E127+1,$C127,""),"")</f>
        <v/>
      </c>
      <c r="DI127" s="34">
        <f>IF(AND(DI$5&gt;$E127,DI$5&lt;=$F127),IF(DI$5=$E127+1,$C127,""),"")</f>
        <v/>
      </c>
      <c r="DJ127" s="34">
        <f>IF(AND(DJ$5&gt;$E127,DJ$5&lt;=$F127),IF(DJ$5=$E127+1,$C127,""),"")</f>
        <v/>
      </c>
      <c r="DK127" s="34">
        <f>IF(AND(DK$5&gt;$E127,DK$5&lt;=$F127),IF(DK$5=$E127+1,$C127,""),"")</f>
        <v/>
      </c>
      <c r="DL127" s="34">
        <f>IF(AND(DL$5&gt;$E127,DL$5&lt;=$F127),IF(DL$5=$E127+1,$C127,""),"")</f>
        <v/>
      </c>
      <c r="DM127" s="34">
        <f>IF(AND(DM$5&gt;$E127,DM$5&lt;=$F127),IF(DM$5=$E127+1,$C127,""),"")</f>
        <v/>
      </c>
      <c r="DN127" s="34">
        <f>IF(AND(DN$5&gt;$E127,DN$5&lt;=$F127),IF(DN$5=$E127+1,$C127,""),"")</f>
        <v/>
      </c>
      <c r="DO127" s="34">
        <f>IF(AND(DO$5&gt;$E127,DO$5&lt;=$F127),IF(DO$5=$E127+1,$C127,""),"")</f>
        <v/>
      </c>
      <c r="DP127" s="34">
        <f>IF(AND(DP$5&gt;$E127,DP$5&lt;=$F127),IF(DP$5=$E127+1,$C127,""),"")</f>
        <v/>
      </c>
      <c r="DQ127" s="34">
        <f>IF(AND(DQ$5&gt;$E127,DQ$5&lt;=$F127),IF(DQ$5=$E127+1,$C127,""),"")</f>
        <v/>
      </c>
      <c r="DR127" s="34">
        <f>IF(AND(DR$5&gt;$E127,DR$5&lt;=$F127),IF(DR$5=$E127+1,$C127,""),"")</f>
        <v/>
      </c>
      <c r="DS127" s="34">
        <f>IF(AND(DS$5&gt;$E127,DS$5&lt;=$F127),IF(DS$5=$E127+1,$C127,""),"")</f>
        <v/>
      </c>
      <c r="DT127" s="34">
        <f>IF(AND(DT$5&gt;$E127,DT$5&lt;=$F127),IF(DT$5=$E127+1,$C127,""),"")</f>
        <v/>
      </c>
      <c r="DU127" s="34">
        <f>IF(AND(DU$5&gt;$E127,DU$5&lt;=$F127),IF(DU$5=$E127+1,$C127,""),"")</f>
        <v/>
      </c>
      <c r="DV127" s="34">
        <f>IF(AND(DV$5&gt;$E127,DV$5&lt;=$F127),IF(DV$5=$E127+1,$C127,""),"")</f>
        <v/>
      </c>
      <c r="DW127" s="34">
        <f>IF(AND(DW$5&gt;$E127,DW$5&lt;=$F127),IF(DW$5=$E127+1,$C127,""),"")</f>
        <v/>
      </c>
      <c r="DX127" s="34">
        <f>IF(AND(DX$5&gt;$E127,DX$5&lt;=$F127),IF(DX$5=$E127+1,$C127,""),"")</f>
        <v/>
      </c>
      <c r="DY127" s="34">
        <f>IF(AND(DY$5&gt;$E127,DY$5&lt;=$F127),IF(DY$5=$E127+1,$C127,""),"")</f>
        <v/>
      </c>
      <c r="DZ127" s="34">
        <f>IF(AND(DZ$5&gt;$E127,DZ$5&lt;=$F127),IF(DZ$5=$E127+1,$C127,""),"")</f>
        <v/>
      </c>
      <c r="EA127" s="34">
        <f>IF(AND(EA$5&gt;$E127,EA$5&lt;=$F127),IF(EA$5=$E127+1,$C127,""),"")</f>
        <v/>
      </c>
      <c r="EB127" s="34">
        <f>IF(AND(EB$5&gt;$E127,EB$5&lt;=$F127),IF(EB$5=$E127+1,$C127,""),"")</f>
        <v/>
      </c>
      <c r="EC127" s="34">
        <f>IF(AND(EC$5&gt;$E127,EC$5&lt;=$F127),IF(EC$5=$E127+1,$C127,""),"")</f>
        <v/>
      </c>
      <c r="ED127" s="34">
        <f>IF(AND(ED$5&gt;$E127,ED$5&lt;=$F127),IF(ED$5=$E127+1,$C127,""),"")</f>
        <v/>
      </c>
      <c r="EE127" s="34">
        <f>IF(AND(EE$5&gt;$E127,EE$5&lt;=$F127),IF(EE$5=$E127+1,$C127,""),"")</f>
        <v/>
      </c>
      <c r="EF127" s="34">
        <f>IF(AND(EF$5&gt;$E127,EF$5&lt;=$F127),IF(EF$5=$E127+1,$C127,""),"")</f>
        <v/>
      </c>
      <c r="EG127" s="34">
        <f>IF(AND(EG$5&gt;$E127,EG$5&lt;=$F127),IF(EG$5=$E127+1,$C127,""),"")</f>
        <v/>
      </c>
      <c r="EH127" s="34">
        <f>IF(AND(EH$5&gt;$E127,EH$5&lt;=$F127),IF(EH$5=$E127+1,$C127,""),"")</f>
        <v/>
      </c>
      <c r="EI127" s="34">
        <f>IF(AND(EI$5&gt;$E127,EI$5&lt;=$F127),IF(EI$5=$E127+1,$C127,""),"")</f>
        <v/>
      </c>
      <c r="EJ127" s="34">
        <f>IF(AND(EJ$5&gt;$E127,EJ$5&lt;=$F127),IF(EJ$5=$E127+1,$C127,""),"")</f>
        <v/>
      </c>
      <c r="EK127" s="34">
        <f>IF(AND(EK$5&gt;$E127,EK$5&lt;=$F127),IF(EK$5=$E127+1,$C127,""),"")</f>
        <v/>
      </c>
      <c r="EL127" s="34">
        <f>IF(AND(EL$5&gt;$E127,EL$5&lt;=$F127),IF(EL$5=$E127+1,$C127,""),"")</f>
        <v/>
      </c>
      <c r="EM127" s="34">
        <f>IF(AND(EM$5&gt;$E127,EM$5&lt;=$F127),IF(EM$5=$E127+1,$C127,""),"")</f>
        <v/>
      </c>
      <c r="EN127" s="34">
        <f>IF(AND(EN$5&gt;$E127,EN$5&lt;=$F127),IF(EN$5=$E127+1,$C127,""),"")</f>
        <v/>
      </c>
      <c r="EO127" s="34">
        <f>IF(AND(EO$5&gt;$E127,EO$5&lt;=$F127),IF(EO$5=$E127+1,$C127,""),"")</f>
        <v/>
      </c>
      <c r="EP127" s="34">
        <f>IF(AND(EP$5&gt;$E127,EP$5&lt;=$F127),IF(EP$5=$E127+1,$C127,""),"")</f>
        <v/>
      </c>
      <c r="EQ127" s="34">
        <f>IF(AND(EQ$5&gt;$E127,EQ$5&lt;=$F127),IF(EQ$5=$E127+1,$C127,""),"")</f>
        <v/>
      </c>
      <c r="ER127" s="34">
        <f>IF(AND(ER$5&gt;$E127,ER$5&lt;=$F127),IF(ER$5=$E127+1,$C127,""),"")</f>
        <v/>
      </c>
      <c r="ES127" s="34">
        <f>IF(AND(ES$5&gt;$E127,ES$5&lt;=$F127),IF(ES$5=$E127+1,$C127,""),"")</f>
        <v/>
      </c>
      <c r="ET127" s="34">
        <f>IF(AND(ET$5&gt;$E127,ET$5&lt;=$F127),IF(ET$5=$E127+1,$C127,""),"")</f>
        <v/>
      </c>
      <c r="EU127" s="34">
        <f>IF(AND(EU$5&gt;$E127,EU$5&lt;=$F127),IF(EU$5=$E127+1,$C127,""),"")</f>
        <v/>
      </c>
      <c r="EV127" s="34">
        <f>IF(AND(EV$5&gt;$E127,EV$5&lt;=$F127),IF(EV$5=$E127+1,$C127,""),"")</f>
        <v/>
      </c>
      <c r="EW127" s="34">
        <f>IF(AND(EW$5&gt;$E127,EW$5&lt;=$F127),IF(EW$5=$E127+1,$C127,""),"")</f>
        <v/>
      </c>
      <c r="EX127" s="34">
        <f>IF(AND(EX$5&gt;$E127,EX$5&lt;=$F127),IF(EX$5=$E127+1,$C127,""),"")</f>
        <v/>
      </c>
      <c r="EY127" s="34">
        <f>IF(AND(EY$5&gt;$E127,EY$5&lt;=$F127),IF(EY$5=$E127+1,$C127,""),"")</f>
        <v/>
      </c>
      <c r="EZ127" s="34">
        <f>IF(AND(EZ$5&gt;$E127,EZ$5&lt;=$F127),IF(EZ$5=$E127+1,$C127,""),"")</f>
        <v/>
      </c>
      <c r="FA127" s="34">
        <f>IF(AND(FA$5&gt;$E127,FA$5&lt;=$F127),IF(FA$5=$E127+1,$C127,""),"")</f>
        <v/>
      </c>
    </row>
    <row r="128">
      <c r="A128" s="32">
        <f>Plan!A110</f>
        <v/>
      </c>
      <c r="B128" s="33">
        <f>Plan!C110</f>
        <v/>
      </c>
      <c r="C128" s="16">
        <f>Plan!D110</f>
        <v/>
      </c>
      <c r="D128" s="16">
        <f>Plan!I110</f>
        <v/>
      </c>
      <c r="E128" s="16">
        <f>Plan!K110</f>
        <v/>
      </c>
      <c r="F128" s="16">
        <f>Plan!L110</f>
        <v/>
      </c>
      <c r="G128" s="16">
        <f>Plan!O110</f>
        <v/>
      </c>
      <c r="H128" s="34">
        <f>IF(AND(H$5&gt;$E128,H$5&lt;=$F128),IF(H$5=$E128+1,$C128,""),"")</f>
        <v/>
      </c>
      <c r="I128" s="34">
        <f>IF(AND(I$5&gt;$E128,I$5&lt;=$F128),IF(I$5=$E128+1,$C128,""),"")</f>
        <v/>
      </c>
      <c r="J128" s="34">
        <f>IF(AND(J$5&gt;$E128,J$5&lt;=$F128),IF(J$5=$E128+1,$C128,""),"")</f>
        <v/>
      </c>
      <c r="K128" s="34">
        <f>IF(AND(K$5&gt;$E128,K$5&lt;=$F128),IF(K$5=$E128+1,$C128,""),"")</f>
        <v/>
      </c>
      <c r="L128" s="34">
        <f>IF(AND(L$5&gt;$E128,L$5&lt;=$F128),IF(L$5=$E128+1,$C128,""),"")</f>
        <v/>
      </c>
      <c r="M128" s="34">
        <f>IF(AND(M$5&gt;$E128,M$5&lt;=$F128),IF(M$5=$E128+1,$C128,""),"")</f>
        <v/>
      </c>
      <c r="N128" s="34">
        <f>IF(AND(N$5&gt;$E128,N$5&lt;=$F128),IF(N$5=$E128+1,$C128,""),"")</f>
        <v/>
      </c>
      <c r="O128" s="34">
        <f>IF(AND(O$5&gt;$E128,O$5&lt;=$F128),IF(O$5=$E128+1,$C128,""),"")</f>
        <v/>
      </c>
      <c r="P128" s="34">
        <f>IF(AND(P$5&gt;$E128,P$5&lt;=$F128),IF(P$5=$E128+1,$C128,""),"")</f>
        <v/>
      </c>
      <c r="Q128" s="34">
        <f>IF(AND(Q$5&gt;$E128,Q$5&lt;=$F128),IF(Q$5=$E128+1,$C128,""),"")</f>
        <v/>
      </c>
      <c r="R128" s="34">
        <f>IF(AND(R$5&gt;$E128,R$5&lt;=$F128),IF(R$5=$E128+1,$C128,""),"")</f>
        <v/>
      </c>
      <c r="S128" s="34">
        <f>IF(AND(S$5&gt;$E128,S$5&lt;=$F128),IF(S$5=$E128+1,$C128,""),"")</f>
        <v/>
      </c>
      <c r="T128" s="34">
        <f>IF(AND(T$5&gt;$E128,T$5&lt;=$F128),IF(T$5=$E128+1,$C128,""),"")</f>
        <v/>
      </c>
      <c r="U128" s="34">
        <f>IF(AND(U$5&gt;$E128,U$5&lt;=$F128),IF(U$5=$E128+1,$C128,""),"")</f>
        <v/>
      </c>
      <c r="V128" s="34">
        <f>IF(AND(V$5&gt;$E128,V$5&lt;=$F128),IF(V$5=$E128+1,$C128,""),"")</f>
        <v/>
      </c>
      <c r="W128" s="34">
        <f>IF(AND(W$5&gt;$E128,W$5&lt;=$F128),IF(W$5=$E128+1,$C128,""),"")</f>
        <v/>
      </c>
      <c r="X128" s="34">
        <f>IF(AND(X$5&gt;$E128,X$5&lt;=$F128),IF(X$5=$E128+1,$C128,""),"")</f>
        <v/>
      </c>
      <c r="Y128" s="34">
        <f>IF(AND(Y$5&gt;$E128,Y$5&lt;=$F128),IF(Y$5=$E128+1,$C128,""),"")</f>
        <v/>
      </c>
      <c r="Z128" s="34">
        <f>IF(AND(Z$5&gt;$E128,Z$5&lt;=$F128),IF(Z$5=$E128+1,$C128,""),"")</f>
        <v/>
      </c>
      <c r="AA128" s="34">
        <f>IF(AND(AA$5&gt;$E128,AA$5&lt;=$F128),IF(AA$5=$E128+1,$C128,""),"")</f>
        <v/>
      </c>
      <c r="AB128" s="34">
        <f>IF(AND(AB$5&gt;$E128,AB$5&lt;=$F128),IF(AB$5=$E128+1,$C128,""),"")</f>
        <v/>
      </c>
      <c r="AC128" s="34">
        <f>IF(AND(AC$5&gt;$E128,AC$5&lt;=$F128),IF(AC$5=$E128+1,$C128,""),"")</f>
        <v/>
      </c>
      <c r="AD128" s="34">
        <f>IF(AND(AD$5&gt;$E128,AD$5&lt;=$F128),IF(AD$5=$E128+1,$C128,""),"")</f>
        <v/>
      </c>
      <c r="AE128" s="34">
        <f>IF(AND(AE$5&gt;$E128,AE$5&lt;=$F128),IF(AE$5=$E128+1,$C128,""),"")</f>
        <v/>
      </c>
      <c r="AF128" s="34">
        <f>IF(AND(AF$5&gt;$E128,AF$5&lt;=$F128),IF(AF$5=$E128+1,$C128,""),"")</f>
        <v/>
      </c>
      <c r="AG128" s="34">
        <f>IF(AND(AG$5&gt;$E128,AG$5&lt;=$F128),IF(AG$5=$E128+1,$C128,""),"")</f>
        <v/>
      </c>
      <c r="AH128" s="34">
        <f>IF(AND(AH$5&gt;$E128,AH$5&lt;=$F128),IF(AH$5=$E128+1,$C128,""),"")</f>
        <v/>
      </c>
      <c r="AI128" s="34">
        <f>IF(AND(AI$5&gt;$E128,AI$5&lt;=$F128),IF(AI$5=$E128+1,$C128,""),"")</f>
        <v/>
      </c>
      <c r="AJ128" s="34">
        <f>IF(AND(AJ$5&gt;$E128,AJ$5&lt;=$F128),IF(AJ$5=$E128+1,$C128,""),"")</f>
        <v/>
      </c>
      <c r="AK128" s="34">
        <f>IF(AND(AK$5&gt;$E128,AK$5&lt;=$F128),IF(AK$5=$E128+1,$C128,""),"")</f>
        <v/>
      </c>
      <c r="AL128" s="34">
        <f>IF(AND(AL$5&gt;$E128,AL$5&lt;=$F128),IF(AL$5=$E128+1,$C128,""),"")</f>
        <v/>
      </c>
      <c r="AM128" s="34">
        <f>IF(AND(AM$5&gt;$E128,AM$5&lt;=$F128),IF(AM$5=$E128+1,$C128,""),"")</f>
        <v/>
      </c>
      <c r="AN128" s="34">
        <f>IF(AND(AN$5&gt;$E128,AN$5&lt;=$F128),IF(AN$5=$E128+1,$C128,""),"")</f>
        <v/>
      </c>
      <c r="AO128" s="34">
        <f>IF(AND(AO$5&gt;$E128,AO$5&lt;=$F128),IF(AO$5=$E128+1,$C128,""),"")</f>
        <v/>
      </c>
      <c r="AP128" s="34">
        <f>IF(AND(AP$5&gt;$E128,AP$5&lt;=$F128),IF(AP$5=$E128+1,$C128,""),"")</f>
        <v/>
      </c>
      <c r="AQ128" s="34">
        <f>IF(AND(AQ$5&gt;$E128,AQ$5&lt;=$F128),IF(AQ$5=$E128+1,$C128,""),"")</f>
        <v/>
      </c>
      <c r="AR128" s="34">
        <f>IF(AND(AR$5&gt;$E128,AR$5&lt;=$F128),IF(AR$5=$E128+1,$C128,""),"")</f>
        <v/>
      </c>
      <c r="AS128" s="34">
        <f>IF(AND(AS$5&gt;$E128,AS$5&lt;=$F128),IF(AS$5=$E128+1,$C128,""),"")</f>
        <v/>
      </c>
      <c r="AT128" s="34">
        <f>IF(AND(AT$5&gt;$E128,AT$5&lt;=$F128),IF(AT$5=$E128+1,$C128,""),"")</f>
        <v/>
      </c>
      <c r="AU128" s="34">
        <f>IF(AND(AU$5&gt;$E128,AU$5&lt;=$F128),IF(AU$5=$E128+1,$C128,""),"")</f>
        <v/>
      </c>
      <c r="AV128" s="34">
        <f>IF(AND(AV$5&gt;$E128,AV$5&lt;=$F128),IF(AV$5=$E128+1,$C128,""),"")</f>
        <v/>
      </c>
      <c r="AW128" s="34">
        <f>IF(AND(AW$5&gt;$E128,AW$5&lt;=$F128),IF(AW$5=$E128+1,$C128,""),"")</f>
        <v/>
      </c>
      <c r="AX128" s="34">
        <f>IF(AND(AX$5&gt;$E128,AX$5&lt;=$F128),IF(AX$5=$E128+1,$C128,""),"")</f>
        <v/>
      </c>
      <c r="AY128" s="34">
        <f>IF(AND(AY$5&gt;$E128,AY$5&lt;=$F128),IF(AY$5=$E128+1,$C128,""),"")</f>
        <v/>
      </c>
      <c r="AZ128" s="34">
        <f>IF(AND(AZ$5&gt;$E128,AZ$5&lt;=$F128),IF(AZ$5=$E128+1,$C128,""),"")</f>
        <v/>
      </c>
      <c r="BA128" s="34">
        <f>IF(AND(BA$5&gt;$E128,BA$5&lt;=$F128),IF(BA$5=$E128+1,$C128,""),"")</f>
        <v/>
      </c>
      <c r="BB128" s="34">
        <f>IF(AND(BB$5&gt;$E128,BB$5&lt;=$F128),IF(BB$5=$E128+1,$C128,""),"")</f>
        <v/>
      </c>
      <c r="BC128" s="34">
        <f>IF(AND(BC$5&gt;$E128,BC$5&lt;=$F128),IF(BC$5=$E128+1,$C128,""),"")</f>
        <v/>
      </c>
      <c r="BD128" s="34">
        <f>IF(AND(BD$5&gt;$E128,BD$5&lt;=$F128),IF(BD$5=$E128+1,$C128,""),"")</f>
        <v/>
      </c>
      <c r="BE128" s="34">
        <f>IF(AND(BE$5&gt;$E128,BE$5&lt;=$F128),IF(BE$5=$E128+1,$C128,""),"")</f>
        <v/>
      </c>
      <c r="BF128" s="34">
        <f>IF(AND(BF$5&gt;$E128,BF$5&lt;=$F128),IF(BF$5=$E128+1,$C128,""),"")</f>
        <v/>
      </c>
      <c r="BG128" s="34">
        <f>IF(AND(BG$5&gt;$E128,BG$5&lt;=$F128),IF(BG$5=$E128+1,$C128,""),"")</f>
        <v/>
      </c>
      <c r="BH128" s="34">
        <f>IF(AND(BH$5&gt;$E128,BH$5&lt;=$F128),IF(BH$5=$E128+1,$C128,""),"")</f>
        <v/>
      </c>
      <c r="BI128" s="34">
        <f>IF(AND(BI$5&gt;$E128,BI$5&lt;=$F128),IF(BI$5=$E128+1,$C128,""),"")</f>
        <v/>
      </c>
      <c r="BJ128" s="34">
        <f>IF(AND(BJ$5&gt;$E128,BJ$5&lt;=$F128),IF(BJ$5=$E128+1,$C128,""),"")</f>
        <v/>
      </c>
      <c r="BK128" s="34">
        <f>IF(AND(BK$5&gt;$E128,BK$5&lt;=$F128),IF(BK$5=$E128+1,$C128,""),"")</f>
        <v/>
      </c>
      <c r="BL128" s="34">
        <f>IF(AND(BL$5&gt;$E128,BL$5&lt;=$F128),IF(BL$5=$E128+1,$C128,""),"")</f>
        <v/>
      </c>
      <c r="BM128" s="34">
        <f>IF(AND(BM$5&gt;$E128,BM$5&lt;=$F128),IF(BM$5=$E128+1,$C128,""),"")</f>
        <v/>
      </c>
      <c r="BN128" s="34">
        <f>IF(AND(BN$5&gt;$E128,BN$5&lt;=$F128),IF(BN$5=$E128+1,$C128,""),"")</f>
        <v/>
      </c>
      <c r="BO128" s="34">
        <f>IF(AND(BO$5&gt;$E128,BO$5&lt;=$F128),IF(BO$5=$E128+1,$C128,""),"")</f>
        <v/>
      </c>
      <c r="BP128" s="34">
        <f>IF(AND(BP$5&gt;$E128,BP$5&lt;=$F128),IF(BP$5=$E128+1,$C128,""),"")</f>
        <v/>
      </c>
      <c r="BQ128" s="34">
        <f>IF(AND(BQ$5&gt;$E128,BQ$5&lt;=$F128),IF(BQ$5=$E128+1,$C128,""),"")</f>
        <v/>
      </c>
      <c r="BR128" s="34">
        <f>IF(AND(BR$5&gt;$E128,BR$5&lt;=$F128),IF(BR$5=$E128+1,$C128,""),"")</f>
        <v/>
      </c>
      <c r="BS128" s="34">
        <f>IF(AND(BS$5&gt;$E128,BS$5&lt;=$F128),IF(BS$5=$E128+1,$C128,""),"")</f>
        <v/>
      </c>
      <c r="BT128" s="34">
        <f>IF(AND(BT$5&gt;$E128,BT$5&lt;=$F128),IF(BT$5=$E128+1,$C128,""),"")</f>
        <v/>
      </c>
      <c r="BU128" s="34">
        <f>IF(AND(BU$5&gt;$E128,BU$5&lt;=$F128),IF(BU$5=$E128+1,$C128,""),"")</f>
        <v/>
      </c>
      <c r="BV128" s="34">
        <f>IF(AND(BV$5&gt;$E128,BV$5&lt;=$F128),IF(BV$5=$E128+1,$C128,""),"")</f>
        <v/>
      </c>
      <c r="BW128" s="34">
        <f>IF(AND(BW$5&gt;$E128,BW$5&lt;=$F128),IF(BW$5=$E128+1,$C128,""),"")</f>
        <v/>
      </c>
      <c r="BX128" s="34">
        <f>IF(AND(BX$5&gt;$E128,BX$5&lt;=$F128),IF(BX$5=$E128+1,$C128,""),"")</f>
        <v/>
      </c>
      <c r="BY128" s="34">
        <f>IF(AND(BY$5&gt;$E128,BY$5&lt;=$F128),IF(BY$5=$E128+1,$C128,""),"")</f>
        <v/>
      </c>
      <c r="BZ128" s="34">
        <f>IF(AND(BZ$5&gt;$E128,BZ$5&lt;=$F128),IF(BZ$5=$E128+1,$C128,""),"")</f>
        <v/>
      </c>
      <c r="CA128" s="34">
        <f>IF(AND(CA$5&gt;$E128,CA$5&lt;=$F128),IF(CA$5=$E128+1,$C128,""),"")</f>
        <v/>
      </c>
      <c r="CB128" s="34">
        <f>IF(AND(CB$5&gt;$E128,CB$5&lt;=$F128),IF(CB$5=$E128+1,$C128,""),"")</f>
        <v/>
      </c>
      <c r="CC128" s="34">
        <f>IF(AND(CC$5&gt;$E128,CC$5&lt;=$F128),IF(CC$5=$E128+1,$C128,""),"")</f>
        <v/>
      </c>
      <c r="CD128" s="34">
        <f>IF(AND(CD$5&gt;$E128,CD$5&lt;=$F128),IF(CD$5=$E128+1,$C128,""),"")</f>
        <v/>
      </c>
      <c r="CE128" s="34">
        <f>IF(AND(CE$5&gt;$E128,CE$5&lt;=$F128),IF(CE$5=$E128+1,$C128,""),"")</f>
        <v/>
      </c>
      <c r="CF128" s="34">
        <f>IF(AND(CF$5&gt;$E128,CF$5&lt;=$F128),IF(CF$5=$E128+1,$C128,""),"")</f>
        <v/>
      </c>
      <c r="CG128" s="34">
        <f>IF(AND(CG$5&gt;$E128,CG$5&lt;=$F128),IF(CG$5=$E128+1,$C128,""),"")</f>
        <v/>
      </c>
      <c r="CH128" s="34">
        <f>IF(AND(CH$5&gt;$E128,CH$5&lt;=$F128),IF(CH$5=$E128+1,$C128,""),"")</f>
        <v/>
      </c>
      <c r="CI128" s="34">
        <f>IF(AND(CI$5&gt;$E128,CI$5&lt;=$F128),IF(CI$5=$E128+1,$C128,""),"")</f>
        <v/>
      </c>
      <c r="CJ128" s="34">
        <f>IF(AND(CJ$5&gt;$E128,CJ$5&lt;=$F128),IF(CJ$5=$E128+1,$C128,""),"")</f>
        <v/>
      </c>
      <c r="CK128" s="34">
        <f>IF(AND(CK$5&gt;$E128,CK$5&lt;=$F128),IF(CK$5=$E128+1,$C128,""),"")</f>
        <v/>
      </c>
      <c r="CL128" s="34">
        <f>IF(AND(CL$5&gt;$E128,CL$5&lt;=$F128),IF(CL$5=$E128+1,$C128,""),"")</f>
        <v/>
      </c>
      <c r="CM128" s="34">
        <f>IF(AND(CM$5&gt;$E128,CM$5&lt;=$F128),IF(CM$5=$E128+1,$C128,""),"")</f>
        <v/>
      </c>
      <c r="CN128" s="34">
        <f>IF(AND(CN$5&gt;$E128,CN$5&lt;=$F128),IF(CN$5=$E128+1,$C128,""),"")</f>
        <v/>
      </c>
      <c r="CO128" s="34">
        <f>IF(AND(CO$5&gt;$E128,CO$5&lt;=$F128),IF(CO$5=$E128+1,$C128,""),"")</f>
        <v/>
      </c>
      <c r="CP128" s="34">
        <f>IF(AND(CP$5&gt;$E128,CP$5&lt;=$F128),IF(CP$5=$E128+1,$C128,""),"")</f>
        <v/>
      </c>
      <c r="CQ128" s="34">
        <f>IF(AND(CQ$5&gt;$E128,CQ$5&lt;=$F128),IF(CQ$5=$E128+1,$C128,""),"")</f>
        <v/>
      </c>
      <c r="CR128" s="34">
        <f>IF(AND(CR$5&gt;$E128,CR$5&lt;=$F128),IF(CR$5=$E128+1,$C128,""),"")</f>
        <v/>
      </c>
      <c r="CS128" s="34">
        <f>IF(AND(CS$5&gt;$E128,CS$5&lt;=$F128),IF(CS$5=$E128+1,$C128,""),"")</f>
        <v/>
      </c>
      <c r="CT128" s="34">
        <f>IF(AND(CT$5&gt;$E128,CT$5&lt;=$F128),IF(CT$5=$E128+1,$C128,""),"")</f>
        <v/>
      </c>
      <c r="CU128" s="34">
        <f>IF(AND(CU$5&gt;$E128,CU$5&lt;=$F128),IF(CU$5=$E128+1,$C128,""),"")</f>
        <v/>
      </c>
      <c r="CV128" s="34">
        <f>IF(AND(CV$5&gt;$E128,CV$5&lt;=$F128),IF(CV$5=$E128+1,$C128,""),"")</f>
        <v/>
      </c>
      <c r="CW128" s="34">
        <f>IF(AND(CW$5&gt;$E128,CW$5&lt;=$F128),IF(CW$5=$E128+1,$C128,""),"")</f>
        <v/>
      </c>
      <c r="CX128" s="34">
        <f>IF(AND(CX$5&gt;$E128,CX$5&lt;=$F128),IF(CX$5=$E128+1,$C128,""),"")</f>
        <v/>
      </c>
      <c r="CY128" s="34">
        <f>IF(AND(CY$5&gt;$E128,CY$5&lt;=$F128),IF(CY$5=$E128+1,$C128,""),"")</f>
        <v/>
      </c>
      <c r="CZ128" s="34">
        <f>IF(AND(CZ$5&gt;$E128,CZ$5&lt;=$F128),IF(CZ$5=$E128+1,$C128,""),"")</f>
        <v/>
      </c>
      <c r="DA128" s="34">
        <f>IF(AND(DA$5&gt;$E128,DA$5&lt;=$F128),IF(DA$5=$E128+1,$C128,""),"")</f>
        <v/>
      </c>
      <c r="DB128" s="34">
        <f>IF(AND(DB$5&gt;$E128,DB$5&lt;=$F128),IF(DB$5=$E128+1,$C128,""),"")</f>
        <v/>
      </c>
      <c r="DC128" s="34">
        <f>IF(AND(DC$5&gt;$E128,DC$5&lt;=$F128),IF(DC$5=$E128+1,$C128,""),"")</f>
        <v/>
      </c>
      <c r="DD128" s="34">
        <f>IF(AND(DD$5&gt;$E128,DD$5&lt;=$F128),IF(DD$5=$E128+1,$C128,""),"")</f>
        <v/>
      </c>
      <c r="DE128" s="34">
        <f>IF(AND(DE$5&gt;$E128,DE$5&lt;=$F128),IF(DE$5=$E128+1,$C128,""),"")</f>
        <v/>
      </c>
      <c r="DF128" s="34">
        <f>IF(AND(DF$5&gt;$E128,DF$5&lt;=$F128),IF(DF$5=$E128+1,$C128,""),"")</f>
        <v/>
      </c>
      <c r="DG128" s="34">
        <f>IF(AND(DG$5&gt;$E128,DG$5&lt;=$F128),IF(DG$5=$E128+1,$C128,""),"")</f>
        <v/>
      </c>
      <c r="DH128" s="34">
        <f>IF(AND(DH$5&gt;$E128,DH$5&lt;=$F128),IF(DH$5=$E128+1,$C128,""),"")</f>
        <v/>
      </c>
      <c r="DI128" s="34">
        <f>IF(AND(DI$5&gt;$E128,DI$5&lt;=$F128),IF(DI$5=$E128+1,$C128,""),"")</f>
        <v/>
      </c>
      <c r="DJ128" s="34">
        <f>IF(AND(DJ$5&gt;$E128,DJ$5&lt;=$F128),IF(DJ$5=$E128+1,$C128,""),"")</f>
        <v/>
      </c>
      <c r="DK128" s="34">
        <f>IF(AND(DK$5&gt;$E128,DK$5&lt;=$F128),IF(DK$5=$E128+1,$C128,""),"")</f>
        <v/>
      </c>
      <c r="DL128" s="34">
        <f>IF(AND(DL$5&gt;$E128,DL$5&lt;=$F128),IF(DL$5=$E128+1,$C128,""),"")</f>
        <v/>
      </c>
      <c r="DM128" s="34">
        <f>IF(AND(DM$5&gt;$E128,DM$5&lt;=$F128),IF(DM$5=$E128+1,$C128,""),"")</f>
        <v/>
      </c>
      <c r="DN128" s="34">
        <f>IF(AND(DN$5&gt;$E128,DN$5&lt;=$F128),IF(DN$5=$E128+1,$C128,""),"")</f>
        <v/>
      </c>
      <c r="DO128" s="34">
        <f>IF(AND(DO$5&gt;$E128,DO$5&lt;=$F128),IF(DO$5=$E128+1,$C128,""),"")</f>
        <v/>
      </c>
      <c r="DP128" s="34">
        <f>IF(AND(DP$5&gt;$E128,DP$5&lt;=$F128),IF(DP$5=$E128+1,$C128,""),"")</f>
        <v/>
      </c>
      <c r="DQ128" s="34">
        <f>IF(AND(DQ$5&gt;$E128,DQ$5&lt;=$F128),IF(DQ$5=$E128+1,$C128,""),"")</f>
        <v/>
      </c>
      <c r="DR128" s="34">
        <f>IF(AND(DR$5&gt;$E128,DR$5&lt;=$F128),IF(DR$5=$E128+1,$C128,""),"")</f>
        <v/>
      </c>
      <c r="DS128" s="34">
        <f>IF(AND(DS$5&gt;$E128,DS$5&lt;=$F128),IF(DS$5=$E128+1,$C128,""),"")</f>
        <v/>
      </c>
      <c r="DT128" s="34">
        <f>IF(AND(DT$5&gt;$E128,DT$5&lt;=$F128),IF(DT$5=$E128+1,$C128,""),"")</f>
        <v/>
      </c>
      <c r="DU128" s="34">
        <f>IF(AND(DU$5&gt;$E128,DU$5&lt;=$F128),IF(DU$5=$E128+1,$C128,""),"")</f>
        <v/>
      </c>
      <c r="DV128" s="34">
        <f>IF(AND(DV$5&gt;$E128,DV$5&lt;=$F128),IF(DV$5=$E128+1,$C128,""),"")</f>
        <v/>
      </c>
      <c r="DW128" s="34">
        <f>IF(AND(DW$5&gt;$E128,DW$5&lt;=$F128),IF(DW$5=$E128+1,$C128,""),"")</f>
        <v/>
      </c>
      <c r="DX128" s="34">
        <f>IF(AND(DX$5&gt;$E128,DX$5&lt;=$F128),IF(DX$5=$E128+1,$C128,""),"")</f>
        <v/>
      </c>
      <c r="DY128" s="34">
        <f>IF(AND(DY$5&gt;$E128,DY$5&lt;=$F128),IF(DY$5=$E128+1,$C128,""),"")</f>
        <v/>
      </c>
      <c r="DZ128" s="34">
        <f>IF(AND(DZ$5&gt;$E128,DZ$5&lt;=$F128),IF(DZ$5=$E128+1,$C128,""),"")</f>
        <v/>
      </c>
      <c r="EA128" s="34">
        <f>IF(AND(EA$5&gt;$E128,EA$5&lt;=$F128),IF(EA$5=$E128+1,$C128,""),"")</f>
        <v/>
      </c>
      <c r="EB128" s="34">
        <f>IF(AND(EB$5&gt;$E128,EB$5&lt;=$F128),IF(EB$5=$E128+1,$C128,""),"")</f>
        <v/>
      </c>
      <c r="EC128" s="34">
        <f>IF(AND(EC$5&gt;$E128,EC$5&lt;=$F128),IF(EC$5=$E128+1,$C128,""),"")</f>
        <v/>
      </c>
      <c r="ED128" s="34">
        <f>IF(AND(ED$5&gt;$E128,ED$5&lt;=$F128),IF(ED$5=$E128+1,$C128,""),"")</f>
        <v/>
      </c>
      <c r="EE128" s="34">
        <f>IF(AND(EE$5&gt;$E128,EE$5&lt;=$F128),IF(EE$5=$E128+1,$C128,""),"")</f>
        <v/>
      </c>
      <c r="EF128" s="34">
        <f>IF(AND(EF$5&gt;$E128,EF$5&lt;=$F128),IF(EF$5=$E128+1,$C128,""),"")</f>
        <v/>
      </c>
      <c r="EG128" s="34">
        <f>IF(AND(EG$5&gt;$E128,EG$5&lt;=$F128),IF(EG$5=$E128+1,$C128,""),"")</f>
        <v/>
      </c>
      <c r="EH128" s="34">
        <f>IF(AND(EH$5&gt;$E128,EH$5&lt;=$F128),IF(EH$5=$E128+1,$C128,""),"")</f>
        <v/>
      </c>
      <c r="EI128" s="34">
        <f>IF(AND(EI$5&gt;$E128,EI$5&lt;=$F128),IF(EI$5=$E128+1,$C128,""),"")</f>
        <v/>
      </c>
      <c r="EJ128" s="34">
        <f>IF(AND(EJ$5&gt;$E128,EJ$5&lt;=$F128),IF(EJ$5=$E128+1,$C128,""),"")</f>
        <v/>
      </c>
      <c r="EK128" s="34">
        <f>IF(AND(EK$5&gt;$E128,EK$5&lt;=$F128),IF(EK$5=$E128+1,$C128,""),"")</f>
        <v/>
      </c>
      <c r="EL128" s="34">
        <f>IF(AND(EL$5&gt;$E128,EL$5&lt;=$F128),IF(EL$5=$E128+1,$C128,""),"")</f>
        <v/>
      </c>
      <c r="EM128" s="34">
        <f>IF(AND(EM$5&gt;$E128,EM$5&lt;=$F128),IF(EM$5=$E128+1,$C128,""),"")</f>
        <v/>
      </c>
      <c r="EN128" s="34">
        <f>IF(AND(EN$5&gt;$E128,EN$5&lt;=$F128),IF(EN$5=$E128+1,$C128,""),"")</f>
        <v/>
      </c>
      <c r="EO128" s="34">
        <f>IF(AND(EO$5&gt;$E128,EO$5&lt;=$F128),IF(EO$5=$E128+1,$C128,""),"")</f>
        <v/>
      </c>
      <c r="EP128" s="34">
        <f>IF(AND(EP$5&gt;$E128,EP$5&lt;=$F128),IF(EP$5=$E128+1,$C128,""),"")</f>
        <v/>
      </c>
      <c r="EQ128" s="34">
        <f>IF(AND(EQ$5&gt;$E128,EQ$5&lt;=$F128),IF(EQ$5=$E128+1,$C128,""),"")</f>
        <v/>
      </c>
      <c r="ER128" s="34">
        <f>IF(AND(ER$5&gt;$E128,ER$5&lt;=$F128),IF(ER$5=$E128+1,$C128,""),"")</f>
        <v/>
      </c>
      <c r="ES128" s="34">
        <f>IF(AND(ES$5&gt;$E128,ES$5&lt;=$F128),IF(ES$5=$E128+1,$C128,""),"")</f>
        <v/>
      </c>
      <c r="ET128" s="34">
        <f>IF(AND(ET$5&gt;$E128,ET$5&lt;=$F128),IF(ET$5=$E128+1,$C128,""),"")</f>
        <v/>
      </c>
      <c r="EU128" s="34">
        <f>IF(AND(EU$5&gt;$E128,EU$5&lt;=$F128),IF(EU$5=$E128+1,$C128,""),"")</f>
        <v/>
      </c>
      <c r="EV128" s="34">
        <f>IF(AND(EV$5&gt;$E128,EV$5&lt;=$F128),IF(EV$5=$E128+1,$C128,""),"")</f>
        <v/>
      </c>
      <c r="EW128" s="34">
        <f>IF(AND(EW$5&gt;$E128,EW$5&lt;=$F128),IF(EW$5=$E128+1,$C128,""),"")</f>
        <v/>
      </c>
      <c r="EX128" s="34">
        <f>IF(AND(EX$5&gt;$E128,EX$5&lt;=$F128),IF(EX$5=$E128+1,$C128,""),"")</f>
        <v/>
      </c>
      <c r="EY128" s="34">
        <f>IF(AND(EY$5&gt;$E128,EY$5&lt;=$F128),IF(EY$5=$E128+1,$C128,""),"")</f>
        <v/>
      </c>
      <c r="EZ128" s="34">
        <f>IF(AND(EZ$5&gt;$E128,EZ$5&lt;=$F128),IF(EZ$5=$E128+1,$C128,""),"")</f>
        <v/>
      </c>
      <c r="FA128" s="34">
        <f>IF(AND(FA$5&gt;$E128,FA$5&lt;=$F128),IF(FA$5=$E128+1,$C128,""),"")</f>
        <v/>
      </c>
    </row>
    <row r="129">
      <c r="A129" s="32">
        <f>Plan!A111</f>
        <v/>
      </c>
      <c r="B129" s="33">
        <f>Plan!C111</f>
        <v/>
      </c>
      <c r="C129" s="16">
        <f>Plan!D111</f>
        <v/>
      </c>
      <c r="D129" s="16">
        <f>Plan!I111</f>
        <v/>
      </c>
      <c r="E129" s="16">
        <f>Plan!K111</f>
        <v/>
      </c>
      <c r="F129" s="16">
        <f>Plan!L111</f>
        <v/>
      </c>
      <c r="G129" s="16">
        <f>Plan!O111</f>
        <v/>
      </c>
      <c r="H129" s="34">
        <f>IF(AND(H$5&gt;$E129,H$5&lt;=$F129),IF(H$5=$E129+1,$C129,""),"")</f>
        <v/>
      </c>
      <c r="I129" s="34">
        <f>IF(AND(I$5&gt;$E129,I$5&lt;=$F129),IF(I$5=$E129+1,$C129,""),"")</f>
        <v/>
      </c>
      <c r="J129" s="34">
        <f>IF(AND(J$5&gt;$E129,J$5&lt;=$F129),IF(J$5=$E129+1,$C129,""),"")</f>
        <v/>
      </c>
      <c r="K129" s="34">
        <f>IF(AND(K$5&gt;$E129,K$5&lt;=$F129),IF(K$5=$E129+1,$C129,""),"")</f>
        <v/>
      </c>
      <c r="L129" s="34">
        <f>IF(AND(L$5&gt;$E129,L$5&lt;=$F129),IF(L$5=$E129+1,$C129,""),"")</f>
        <v/>
      </c>
      <c r="M129" s="34">
        <f>IF(AND(M$5&gt;$E129,M$5&lt;=$F129),IF(M$5=$E129+1,$C129,""),"")</f>
        <v/>
      </c>
      <c r="N129" s="34">
        <f>IF(AND(N$5&gt;$E129,N$5&lt;=$F129),IF(N$5=$E129+1,$C129,""),"")</f>
        <v/>
      </c>
      <c r="O129" s="34">
        <f>IF(AND(O$5&gt;$E129,O$5&lt;=$F129),IF(O$5=$E129+1,$C129,""),"")</f>
        <v/>
      </c>
      <c r="P129" s="34">
        <f>IF(AND(P$5&gt;$E129,P$5&lt;=$F129),IF(P$5=$E129+1,$C129,""),"")</f>
        <v/>
      </c>
      <c r="Q129" s="34">
        <f>IF(AND(Q$5&gt;$E129,Q$5&lt;=$F129),IF(Q$5=$E129+1,$C129,""),"")</f>
        <v/>
      </c>
      <c r="R129" s="34">
        <f>IF(AND(R$5&gt;$E129,R$5&lt;=$F129),IF(R$5=$E129+1,$C129,""),"")</f>
        <v/>
      </c>
      <c r="S129" s="34">
        <f>IF(AND(S$5&gt;$E129,S$5&lt;=$F129),IF(S$5=$E129+1,$C129,""),"")</f>
        <v/>
      </c>
      <c r="T129" s="34">
        <f>IF(AND(T$5&gt;$E129,T$5&lt;=$F129),IF(T$5=$E129+1,$C129,""),"")</f>
        <v/>
      </c>
      <c r="U129" s="34">
        <f>IF(AND(U$5&gt;$E129,U$5&lt;=$F129),IF(U$5=$E129+1,$C129,""),"")</f>
        <v/>
      </c>
      <c r="V129" s="34">
        <f>IF(AND(V$5&gt;$E129,V$5&lt;=$F129),IF(V$5=$E129+1,$C129,""),"")</f>
        <v/>
      </c>
      <c r="W129" s="34">
        <f>IF(AND(W$5&gt;$E129,W$5&lt;=$F129),IF(W$5=$E129+1,$C129,""),"")</f>
        <v/>
      </c>
      <c r="X129" s="34">
        <f>IF(AND(X$5&gt;$E129,X$5&lt;=$F129),IF(X$5=$E129+1,$C129,""),"")</f>
        <v/>
      </c>
      <c r="Y129" s="34">
        <f>IF(AND(Y$5&gt;$E129,Y$5&lt;=$F129),IF(Y$5=$E129+1,$C129,""),"")</f>
        <v/>
      </c>
      <c r="Z129" s="34">
        <f>IF(AND(Z$5&gt;$E129,Z$5&lt;=$F129),IF(Z$5=$E129+1,$C129,""),"")</f>
        <v/>
      </c>
      <c r="AA129" s="34">
        <f>IF(AND(AA$5&gt;$E129,AA$5&lt;=$F129),IF(AA$5=$E129+1,$C129,""),"")</f>
        <v/>
      </c>
      <c r="AB129" s="34">
        <f>IF(AND(AB$5&gt;$E129,AB$5&lt;=$F129),IF(AB$5=$E129+1,$C129,""),"")</f>
        <v/>
      </c>
      <c r="AC129" s="34">
        <f>IF(AND(AC$5&gt;$E129,AC$5&lt;=$F129),IF(AC$5=$E129+1,$C129,""),"")</f>
        <v/>
      </c>
      <c r="AD129" s="34">
        <f>IF(AND(AD$5&gt;$E129,AD$5&lt;=$F129),IF(AD$5=$E129+1,$C129,""),"")</f>
        <v/>
      </c>
      <c r="AE129" s="34">
        <f>IF(AND(AE$5&gt;$E129,AE$5&lt;=$F129),IF(AE$5=$E129+1,$C129,""),"")</f>
        <v/>
      </c>
      <c r="AF129" s="34">
        <f>IF(AND(AF$5&gt;$E129,AF$5&lt;=$F129),IF(AF$5=$E129+1,$C129,""),"")</f>
        <v/>
      </c>
      <c r="AG129" s="34">
        <f>IF(AND(AG$5&gt;$E129,AG$5&lt;=$F129),IF(AG$5=$E129+1,$C129,""),"")</f>
        <v/>
      </c>
      <c r="AH129" s="34">
        <f>IF(AND(AH$5&gt;$E129,AH$5&lt;=$F129),IF(AH$5=$E129+1,$C129,""),"")</f>
        <v/>
      </c>
      <c r="AI129" s="34">
        <f>IF(AND(AI$5&gt;$E129,AI$5&lt;=$F129),IF(AI$5=$E129+1,$C129,""),"")</f>
        <v/>
      </c>
      <c r="AJ129" s="34">
        <f>IF(AND(AJ$5&gt;$E129,AJ$5&lt;=$F129),IF(AJ$5=$E129+1,$C129,""),"")</f>
        <v/>
      </c>
      <c r="AK129" s="34">
        <f>IF(AND(AK$5&gt;$E129,AK$5&lt;=$F129),IF(AK$5=$E129+1,$C129,""),"")</f>
        <v/>
      </c>
      <c r="AL129" s="34">
        <f>IF(AND(AL$5&gt;$E129,AL$5&lt;=$F129),IF(AL$5=$E129+1,$C129,""),"")</f>
        <v/>
      </c>
      <c r="AM129" s="34">
        <f>IF(AND(AM$5&gt;$E129,AM$5&lt;=$F129),IF(AM$5=$E129+1,$C129,""),"")</f>
        <v/>
      </c>
      <c r="AN129" s="34">
        <f>IF(AND(AN$5&gt;$E129,AN$5&lt;=$F129),IF(AN$5=$E129+1,$C129,""),"")</f>
        <v/>
      </c>
      <c r="AO129" s="34">
        <f>IF(AND(AO$5&gt;$E129,AO$5&lt;=$F129),IF(AO$5=$E129+1,$C129,""),"")</f>
        <v/>
      </c>
      <c r="AP129" s="34">
        <f>IF(AND(AP$5&gt;$E129,AP$5&lt;=$F129),IF(AP$5=$E129+1,$C129,""),"")</f>
        <v/>
      </c>
      <c r="AQ129" s="34">
        <f>IF(AND(AQ$5&gt;$E129,AQ$5&lt;=$F129),IF(AQ$5=$E129+1,$C129,""),"")</f>
        <v/>
      </c>
      <c r="AR129" s="34">
        <f>IF(AND(AR$5&gt;$E129,AR$5&lt;=$F129),IF(AR$5=$E129+1,$C129,""),"")</f>
        <v/>
      </c>
      <c r="AS129" s="34">
        <f>IF(AND(AS$5&gt;$E129,AS$5&lt;=$F129),IF(AS$5=$E129+1,$C129,""),"")</f>
        <v/>
      </c>
      <c r="AT129" s="34">
        <f>IF(AND(AT$5&gt;$E129,AT$5&lt;=$F129),IF(AT$5=$E129+1,$C129,""),"")</f>
        <v/>
      </c>
      <c r="AU129" s="34">
        <f>IF(AND(AU$5&gt;$E129,AU$5&lt;=$F129),IF(AU$5=$E129+1,$C129,""),"")</f>
        <v/>
      </c>
      <c r="AV129" s="34">
        <f>IF(AND(AV$5&gt;$E129,AV$5&lt;=$F129),IF(AV$5=$E129+1,$C129,""),"")</f>
        <v/>
      </c>
      <c r="AW129" s="34">
        <f>IF(AND(AW$5&gt;$E129,AW$5&lt;=$F129),IF(AW$5=$E129+1,$C129,""),"")</f>
        <v/>
      </c>
      <c r="AX129" s="34">
        <f>IF(AND(AX$5&gt;$E129,AX$5&lt;=$F129),IF(AX$5=$E129+1,$C129,""),"")</f>
        <v/>
      </c>
      <c r="AY129" s="34">
        <f>IF(AND(AY$5&gt;$E129,AY$5&lt;=$F129),IF(AY$5=$E129+1,$C129,""),"")</f>
        <v/>
      </c>
      <c r="AZ129" s="34">
        <f>IF(AND(AZ$5&gt;$E129,AZ$5&lt;=$F129),IF(AZ$5=$E129+1,$C129,""),"")</f>
        <v/>
      </c>
      <c r="BA129" s="34">
        <f>IF(AND(BA$5&gt;$E129,BA$5&lt;=$F129),IF(BA$5=$E129+1,$C129,""),"")</f>
        <v/>
      </c>
      <c r="BB129" s="34">
        <f>IF(AND(BB$5&gt;$E129,BB$5&lt;=$F129),IF(BB$5=$E129+1,$C129,""),"")</f>
        <v/>
      </c>
      <c r="BC129" s="34">
        <f>IF(AND(BC$5&gt;$E129,BC$5&lt;=$F129),IF(BC$5=$E129+1,$C129,""),"")</f>
        <v/>
      </c>
      <c r="BD129" s="34">
        <f>IF(AND(BD$5&gt;$E129,BD$5&lt;=$F129),IF(BD$5=$E129+1,$C129,""),"")</f>
        <v/>
      </c>
      <c r="BE129" s="34">
        <f>IF(AND(BE$5&gt;$E129,BE$5&lt;=$F129),IF(BE$5=$E129+1,$C129,""),"")</f>
        <v/>
      </c>
      <c r="BF129" s="34">
        <f>IF(AND(BF$5&gt;$E129,BF$5&lt;=$F129),IF(BF$5=$E129+1,$C129,""),"")</f>
        <v/>
      </c>
      <c r="BG129" s="34">
        <f>IF(AND(BG$5&gt;$E129,BG$5&lt;=$F129),IF(BG$5=$E129+1,$C129,""),"")</f>
        <v/>
      </c>
      <c r="BH129" s="34">
        <f>IF(AND(BH$5&gt;$E129,BH$5&lt;=$F129),IF(BH$5=$E129+1,$C129,""),"")</f>
        <v/>
      </c>
      <c r="BI129" s="34">
        <f>IF(AND(BI$5&gt;$E129,BI$5&lt;=$F129),IF(BI$5=$E129+1,$C129,""),"")</f>
        <v/>
      </c>
      <c r="BJ129" s="34">
        <f>IF(AND(BJ$5&gt;$E129,BJ$5&lt;=$F129),IF(BJ$5=$E129+1,$C129,""),"")</f>
        <v/>
      </c>
      <c r="BK129" s="34">
        <f>IF(AND(BK$5&gt;$E129,BK$5&lt;=$F129),IF(BK$5=$E129+1,$C129,""),"")</f>
        <v/>
      </c>
      <c r="BL129" s="34">
        <f>IF(AND(BL$5&gt;$E129,BL$5&lt;=$F129),IF(BL$5=$E129+1,$C129,""),"")</f>
        <v/>
      </c>
      <c r="BM129" s="34">
        <f>IF(AND(BM$5&gt;$E129,BM$5&lt;=$F129),IF(BM$5=$E129+1,$C129,""),"")</f>
        <v/>
      </c>
      <c r="BN129" s="34">
        <f>IF(AND(BN$5&gt;$E129,BN$5&lt;=$F129),IF(BN$5=$E129+1,$C129,""),"")</f>
        <v/>
      </c>
      <c r="BO129" s="34">
        <f>IF(AND(BO$5&gt;$E129,BO$5&lt;=$F129),IF(BO$5=$E129+1,$C129,""),"")</f>
        <v/>
      </c>
      <c r="BP129" s="34">
        <f>IF(AND(BP$5&gt;$E129,BP$5&lt;=$F129),IF(BP$5=$E129+1,$C129,""),"")</f>
        <v/>
      </c>
      <c r="BQ129" s="34">
        <f>IF(AND(BQ$5&gt;$E129,BQ$5&lt;=$F129),IF(BQ$5=$E129+1,$C129,""),"")</f>
        <v/>
      </c>
      <c r="BR129" s="34">
        <f>IF(AND(BR$5&gt;$E129,BR$5&lt;=$F129),IF(BR$5=$E129+1,$C129,""),"")</f>
        <v/>
      </c>
      <c r="BS129" s="34">
        <f>IF(AND(BS$5&gt;$E129,BS$5&lt;=$F129),IF(BS$5=$E129+1,$C129,""),"")</f>
        <v/>
      </c>
      <c r="BT129" s="34">
        <f>IF(AND(BT$5&gt;$E129,BT$5&lt;=$F129),IF(BT$5=$E129+1,$C129,""),"")</f>
        <v/>
      </c>
      <c r="BU129" s="34">
        <f>IF(AND(BU$5&gt;$E129,BU$5&lt;=$F129),IF(BU$5=$E129+1,$C129,""),"")</f>
        <v/>
      </c>
      <c r="BV129" s="34">
        <f>IF(AND(BV$5&gt;$E129,BV$5&lt;=$F129),IF(BV$5=$E129+1,$C129,""),"")</f>
        <v/>
      </c>
      <c r="BW129" s="34">
        <f>IF(AND(BW$5&gt;$E129,BW$5&lt;=$F129),IF(BW$5=$E129+1,$C129,""),"")</f>
        <v/>
      </c>
      <c r="BX129" s="34">
        <f>IF(AND(BX$5&gt;$E129,BX$5&lt;=$F129),IF(BX$5=$E129+1,$C129,""),"")</f>
        <v/>
      </c>
      <c r="BY129" s="34">
        <f>IF(AND(BY$5&gt;$E129,BY$5&lt;=$F129),IF(BY$5=$E129+1,$C129,""),"")</f>
        <v/>
      </c>
      <c r="BZ129" s="34">
        <f>IF(AND(BZ$5&gt;$E129,BZ$5&lt;=$F129),IF(BZ$5=$E129+1,$C129,""),"")</f>
        <v/>
      </c>
      <c r="CA129" s="34">
        <f>IF(AND(CA$5&gt;$E129,CA$5&lt;=$F129),IF(CA$5=$E129+1,$C129,""),"")</f>
        <v/>
      </c>
      <c r="CB129" s="34">
        <f>IF(AND(CB$5&gt;$E129,CB$5&lt;=$F129),IF(CB$5=$E129+1,$C129,""),"")</f>
        <v/>
      </c>
      <c r="CC129" s="34">
        <f>IF(AND(CC$5&gt;$E129,CC$5&lt;=$F129),IF(CC$5=$E129+1,$C129,""),"")</f>
        <v/>
      </c>
      <c r="CD129" s="34">
        <f>IF(AND(CD$5&gt;$E129,CD$5&lt;=$F129),IF(CD$5=$E129+1,$C129,""),"")</f>
        <v/>
      </c>
      <c r="CE129" s="34">
        <f>IF(AND(CE$5&gt;$E129,CE$5&lt;=$F129),IF(CE$5=$E129+1,$C129,""),"")</f>
        <v/>
      </c>
      <c r="CF129" s="34">
        <f>IF(AND(CF$5&gt;$E129,CF$5&lt;=$F129),IF(CF$5=$E129+1,$C129,""),"")</f>
        <v/>
      </c>
      <c r="CG129" s="34">
        <f>IF(AND(CG$5&gt;$E129,CG$5&lt;=$F129),IF(CG$5=$E129+1,$C129,""),"")</f>
        <v/>
      </c>
      <c r="CH129" s="34">
        <f>IF(AND(CH$5&gt;$E129,CH$5&lt;=$F129),IF(CH$5=$E129+1,$C129,""),"")</f>
        <v/>
      </c>
      <c r="CI129" s="34">
        <f>IF(AND(CI$5&gt;$E129,CI$5&lt;=$F129),IF(CI$5=$E129+1,$C129,""),"")</f>
        <v/>
      </c>
      <c r="CJ129" s="34">
        <f>IF(AND(CJ$5&gt;$E129,CJ$5&lt;=$F129),IF(CJ$5=$E129+1,$C129,""),"")</f>
        <v/>
      </c>
      <c r="CK129" s="34">
        <f>IF(AND(CK$5&gt;$E129,CK$5&lt;=$F129),IF(CK$5=$E129+1,$C129,""),"")</f>
        <v/>
      </c>
      <c r="CL129" s="34">
        <f>IF(AND(CL$5&gt;$E129,CL$5&lt;=$F129),IF(CL$5=$E129+1,$C129,""),"")</f>
        <v/>
      </c>
      <c r="CM129" s="34">
        <f>IF(AND(CM$5&gt;$E129,CM$5&lt;=$F129),IF(CM$5=$E129+1,$C129,""),"")</f>
        <v/>
      </c>
      <c r="CN129" s="34">
        <f>IF(AND(CN$5&gt;$E129,CN$5&lt;=$F129),IF(CN$5=$E129+1,$C129,""),"")</f>
        <v/>
      </c>
      <c r="CO129" s="34">
        <f>IF(AND(CO$5&gt;$E129,CO$5&lt;=$F129),IF(CO$5=$E129+1,$C129,""),"")</f>
        <v/>
      </c>
      <c r="CP129" s="34">
        <f>IF(AND(CP$5&gt;$E129,CP$5&lt;=$F129),IF(CP$5=$E129+1,$C129,""),"")</f>
        <v/>
      </c>
      <c r="CQ129" s="34">
        <f>IF(AND(CQ$5&gt;$E129,CQ$5&lt;=$F129),IF(CQ$5=$E129+1,$C129,""),"")</f>
        <v/>
      </c>
      <c r="CR129" s="34">
        <f>IF(AND(CR$5&gt;$E129,CR$5&lt;=$F129),IF(CR$5=$E129+1,$C129,""),"")</f>
        <v/>
      </c>
      <c r="CS129" s="34">
        <f>IF(AND(CS$5&gt;$E129,CS$5&lt;=$F129),IF(CS$5=$E129+1,$C129,""),"")</f>
        <v/>
      </c>
      <c r="CT129" s="34">
        <f>IF(AND(CT$5&gt;$E129,CT$5&lt;=$F129),IF(CT$5=$E129+1,$C129,""),"")</f>
        <v/>
      </c>
      <c r="CU129" s="34">
        <f>IF(AND(CU$5&gt;$E129,CU$5&lt;=$F129),IF(CU$5=$E129+1,$C129,""),"")</f>
        <v/>
      </c>
      <c r="CV129" s="34">
        <f>IF(AND(CV$5&gt;$E129,CV$5&lt;=$F129),IF(CV$5=$E129+1,$C129,""),"")</f>
        <v/>
      </c>
      <c r="CW129" s="34">
        <f>IF(AND(CW$5&gt;$E129,CW$5&lt;=$F129),IF(CW$5=$E129+1,$C129,""),"")</f>
        <v/>
      </c>
      <c r="CX129" s="34">
        <f>IF(AND(CX$5&gt;$E129,CX$5&lt;=$F129),IF(CX$5=$E129+1,$C129,""),"")</f>
        <v/>
      </c>
      <c r="CY129" s="34">
        <f>IF(AND(CY$5&gt;$E129,CY$5&lt;=$F129),IF(CY$5=$E129+1,$C129,""),"")</f>
        <v/>
      </c>
      <c r="CZ129" s="34">
        <f>IF(AND(CZ$5&gt;$E129,CZ$5&lt;=$F129),IF(CZ$5=$E129+1,$C129,""),"")</f>
        <v/>
      </c>
      <c r="DA129" s="34">
        <f>IF(AND(DA$5&gt;$E129,DA$5&lt;=$F129),IF(DA$5=$E129+1,$C129,""),"")</f>
        <v/>
      </c>
      <c r="DB129" s="34">
        <f>IF(AND(DB$5&gt;$E129,DB$5&lt;=$F129),IF(DB$5=$E129+1,$C129,""),"")</f>
        <v/>
      </c>
      <c r="DC129" s="34">
        <f>IF(AND(DC$5&gt;$E129,DC$5&lt;=$F129),IF(DC$5=$E129+1,$C129,""),"")</f>
        <v/>
      </c>
      <c r="DD129" s="34">
        <f>IF(AND(DD$5&gt;$E129,DD$5&lt;=$F129),IF(DD$5=$E129+1,$C129,""),"")</f>
        <v/>
      </c>
      <c r="DE129" s="34">
        <f>IF(AND(DE$5&gt;$E129,DE$5&lt;=$F129),IF(DE$5=$E129+1,$C129,""),"")</f>
        <v/>
      </c>
      <c r="DF129" s="34">
        <f>IF(AND(DF$5&gt;$E129,DF$5&lt;=$F129),IF(DF$5=$E129+1,$C129,""),"")</f>
        <v/>
      </c>
      <c r="DG129" s="34">
        <f>IF(AND(DG$5&gt;$E129,DG$5&lt;=$F129),IF(DG$5=$E129+1,$C129,""),"")</f>
        <v/>
      </c>
      <c r="DH129" s="34">
        <f>IF(AND(DH$5&gt;$E129,DH$5&lt;=$F129),IF(DH$5=$E129+1,$C129,""),"")</f>
        <v/>
      </c>
      <c r="DI129" s="34">
        <f>IF(AND(DI$5&gt;$E129,DI$5&lt;=$F129),IF(DI$5=$E129+1,$C129,""),"")</f>
        <v/>
      </c>
      <c r="DJ129" s="34">
        <f>IF(AND(DJ$5&gt;$E129,DJ$5&lt;=$F129),IF(DJ$5=$E129+1,$C129,""),"")</f>
        <v/>
      </c>
      <c r="DK129" s="34">
        <f>IF(AND(DK$5&gt;$E129,DK$5&lt;=$F129),IF(DK$5=$E129+1,$C129,""),"")</f>
        <v/>
      </c>
      <c r="DL129" s="34">
        <f>IF(AND(DL$5&gt;$E129,DL$5&lt;=$F129),IF(DL$5=$E129+1,$C129,""),"")</f>
        <v/>
      </c>
      <c r="DM129" s="34">
        <f>IF(AND(DM$5&gt;$E129,DM$5&lt;=$F129),IF(DM$5=$E129+1,$C129,""),"")</f>
        <v/>
      </c>
      <c r="DN129" s="34">
        <f>IF(AND(DN$5&gt;$E129,DN$5&lt;=$F129),IF(DN$5=$E129+1,$C129,""),"")</f>
        <v/>
      </c>
      <c r="DO129" s="34">
        <f>IF(AND(DO$5&gt;$E129,DO$5&lt;=$F129),IF(DO$5=$E129+1,$C129,""),"")</f>
        <v/>
      </c>
      <c r="DP129" s="34">
        <f>IF(AND(DP$5&gt;$E129,DP$5&lt;=$F129),IF(DP$5=$E129+1,$C129,""),"")</f>
        <v/>
      </c>
      <c r="DQ129" s="34">
        <f>IF(AND(DQ$5&gt;$E129,DQ$5&lt;=$F129),IF(DQ$5=$E129+1,$C129,""),"")</f>
        <v/>
      </c>
      <c r="DR129" s="34">
        <f>IF(AND(DR$5&gt;$E129,DR$5&lt;=$F129),IF(DR$5=$E129+1,$C129,""),"")</f>
        <v/>
      </c>
      <c r="DS129" s="34">
        <f>IF(AND(DS$5&gt;$E129,DS$5&lt;=$F129),IF(DS$5=$E129+1,$C129,""),"")</f>
        <v/>
      </c>
      <c r="DT129" s="34">
        <f>IF(AND(DT$5&gt;$E129,DT$5&lt;=$F129),IF(DT$5=$E129+1,$C129,""),"")</f>
        <v/>
      </c>
      <c r="DU129" s="34">
        <f>IF(AND(DU$5&gt;$E129,DU$5&lt;=$F129),IF(DU$5=$E129+1,$C129,""),"")</f>
        <v/>
      </c>
      <c r="DV129" s="34">
        <f>IF(AND(DV$5&gt;$E129,DV$5&lt;=$F129),IF(DV$5=$E129+1,$C129,""),"")</f>
        <v/>
      </c>
      <c r="DW129" s="34">
        <f>IF(AND(DW$5&gt;$E129,DW$5&lt;=$F129),IF(DW$5=$E129+1,$C129,""),"")</f>
        <v/>
      </c>
      <c r="DX129" s="34">
        <f>IF(AND(DX$5&gt;$E129,DX$5&lt;=$F129),IF(DX$5=$E129+1,$C129,""),"")</f>
        <v/>
      </c>
      <c r="DY129" s="34">
        <f>IF(AND(DY$5&gt;$E129,DY$5&lt;=$F129),IF(DY$5=$E129+1,$C129,""),"")</f>
        <v/>
      </c>
      <c r="DZ129" s="34">
        <f>IF(AND(DZ$5&gt;$E129,DZ$5&lt;=$F129),IF(DZ$5=$E129+1,$C129,""),"")</f>
        <v/>
      </c>
      <c r="EA129" s="34">
        <f>IF(AND(EA$5&gt;$E129,EA$5&lt;=$F129),IF(EA$5=$E129+1,$C129,""),"")</f>
        <v/>
      </c>
      <c r="EB129" s="34">
        <f>IF(AND(EB$5&gt;$E129,EB$5&lt;=$F129),IF(EB$5=$E129+1,$C129,""),"")</f>
        <v/>
      </c>
      <c r="EC129" s="34">
        <f>IF(AND(EC$5&gt;$E129,EC$5&lt;=$F129),IF(EC$5=$E129+1,$C129,""),"")</f>
        <v/>
      </c>
      <c r="ED129" s="34">
        <f>IF(AND(ED$5&gt;$E129,ED$5&lt;=$F129),IF(ED$5=$E129+1,$C129,""),"")</f>
        <v/>
      </c>
      <c r="EE129" s="34">
        <f>IF(AND(EE$5&gt;$E129,EE$5&lt;=$F129),IF(EE$5=$E129+1,$C129,""),"")</f>
        <v/>
      </c>
      <c r="EF129" s="34">
        <f>IF(AND(EF$5&gt;$E129,EF$5&lt;=$F129),IF(EF$5=$E129+1,$C129,""),"")</f>
        <v/>
      </c>
      <c r="EG129" s="34">
        <f>IF(AND(EG$5&gt;$E129,EG$5&lt;=$F129),IF(EG$5=$E129+1,$C129,""),"")</f>
        <v/>
      </c>
      <c r="EH129" s="34">
        <f>IF(AND(EH$5&gt;$E129,EH$5&lt;=$F129),IF(EH$5=$E129+1,$C129,""),"")</f>
        <v/>
      </c>
      <c r="EI129" s="34">
        <f>IF(AND(EI$5&gt;$E129,EI$5&lt;=$F129),IF(EI$5=$E129+1,$C129,""),"")</f>
        <v/>
      </c>
      <c r="EJ129" s="34">
        <f>IF(AND(EJ$5&gt;$E129,EJ$5&lt;=$F129),IF(EJ$5=$E129+1,$C129,""),"")</f>
        <v/>
      </c>
      <c r="EK129" s="34">
        <f>IF(AND(EK$5&gt;$E129,EK$5&lt;=$F129),IF(EK$5=$E129+1,$C129,""),"")</f>
        <v/>
      </c>
      <c r="EL129" s="34">
        <f>IF(AND(EL$5&gt;$E129,EL$5&lt;=$F129),IF(EL$5=$E129+1,$C129,""),"")</f>
        <v/>
      </c>
      <c r="EM129" s="34">
        <f>IF(AND(EM$5&gt;$E129,EM$5&lt;=$F129),IF(EM$5=$E129+1,$C129,""),"")</f>
        <v/>
      </c>
      <c r="EN129" s="34">
        <f>IF(AND(EN$5&gt;$E129,EN$5&lt;=$F129),IF(EN$5=$E129+1,$C129,""),"")</f>
        <v/>
      </c>
      <c r="EO129" s="34">
        <f>IF(AND(EO$5&gt;$E129,EO$5&lt;=$F129),IF(EO$5=$E129+1,$C129,""),"")</f>
        <v/>
      </c>
      <c r="EP129" s="34">
        <f>IF(AND(EP$5&gt;$E129,EP$5&lt;=$F129),IF(EP$5=$E129+1,$C129,""),"")</f>
        <v/>
      </c>
      <c r="EQ129" s="34">
        <f>IF(AND(EQ$5&gt;$E129,EQ$5&lt;=$F129),IF(EQ$5=$E129+1,$C129,""),"")</f>
        <v/>
      </c>
      <c r="ER129" s="34">
        <f>IF(AND(ER$5&gt;$E129,ER$5&lt;=$F129),IF(ER$5=$E129+1,$C129,""),"")</f>
        <v/>
      </c>
      <c r="ES129" s="34">
        <f>IF(AND(ES$5&gt;$E129,ES$5&lt;=$F129),IF(ES$5=$E129+1,$C129,""),"")</f>
        <v/>
      </c>
      <c r="ET129" s="34">
        <f>IF(AND(ET$5&gt;$E129,ET$5&lt;=$F129),IF(ET$5=$E129+1,$C129,""),"")</f>
        <v/>
      </c>
      <c r="EU129" s="34">
        <f>IF(AND(EU$5&gt;$E129,EU$5&lt;=$F129),IF(EU$5=$E129+1,$C129,""),"")</f>
        <v/>
      </c>
      <c r="EV129" s="34">
        <f>IF(AND(EV$5&gt;$E129,EV$5&lt;=$F129),IF(EV$5=$E129+1,$C129,""),"")</f>
        <v/>
      </c>
      <c r="EW129" s="34">
        <f>IF(AND(EW$5&gt;$E129,EW$5&lt;=$F129),IF(EW$5=$E129+1,$C129,""),"")</f>
        <v/>
      </c>
      <c r="EX129" s="34">
        <f>IF(AND(EX$5&gt;$E129,EX$5&lt;=$F129),IF(EX$5=$E129+1,$C129,""),"")</f>
        <v/>
      </c>
      <c r="EY129" s="34">
        <f>IF(AND(EY$5&gt;$E129,EY$5&lt;=$F129),IF(EY$5=$E129+1,$C129,""),"")</f>
        <v/>
      </c>
      <c r="EZ129" s="34">
        <f>IF(AND(EZ$5&gt;$E129,EZ$5&lt;=$F129),IF(EZ$5=$E129+1,$C129,""),"")</f>
        <v/>
      </c>
      <c r="FA129" s="34">
        <f>IF(AND(FA$5&gt;$E129,FA$5&lt;=$F129),IF(FA$5=$E129+1,$C129,""),"")</f>
        <v/>
      </c>
    </row>
    <row r="130">
      <c r="A130" s="32">
        <f>Plan!A112</f>
        <v/>
      </c>
      <c r="B130" s="33">
        <f>Plan!C112</f>
        <v/>
      </c>
      <c r="C130" s="16">
        <f>Plan!D112</f>
        <v/>
      </c>
      <c r="D130" s="16">
        <f>Plan!I112</f>
        <v/>
      </c>
      <c r="E130" s="16">
        <f>Plan!K112</f>
        <v/>
      </c>
      <c r="F130" s="16">
        <f>Plan!L112</f>
        <v/>
      </c>
      <c r="G130" s="16">
        <f>Plan!O112</f>
        <v/>
      </c>
      <c r="H130" s="34">
        <f>IF(AND(H$5&gt;$E130,H$5&lt;=$F130),IF(H$5=$E130+1,$C130,""),"")</f>
        <v/>
      </c>
      <c r="I130" s="34">
        <f>IF(AND(I$5&gt;$E130,I$5&lt;=$F130),IF(I$5=$E130+1,$C130,""),"")</f>
        <v/>
      </c>
      <c r="J130" s="34">
        <f>IF(AND(J$5&gt;$E130,J$5&lt;=$F130),IF(J$5=$E130+1,$C130,""),"")</f>
        <v/>
      </c>
      <c r="K130" s="34">
        <f>IF(AND(K$5&gt;$E130,K$5&lt;=$F130),IF(K$5=$E130+1,$C130,""),"")</f>
        <v/>
      </c>
      <c r="L130" s="34">
        <f>IF(AND(L$5&gt;$E130,L$5&lt;=$F130),IF(L$5=$E130+1,$C130,""),"")</f>
        <v/>
      </c>
      <c r="M130" s="34">
        <f>IF(AND(M$5&gt;$E130,M$5&lt;=$F130),IF(M$5=$E130+1,$C130,""),"")</f>
        <v/>
      </c>
      <c r="N130" s="34">
        <f>IF(AND(N$5&gt;$E130,N$5&lt;=$F130),IF(N$5=$E130+1,$C130,""),"")</f>
        <v/>
      </c>
      <c r="O130" s="34">
        <f>IF(AND(O$5&gt;$E130,O$5&lt;=$F130),IF(O$5=$E130+1,$C130,""),"")</f>
        <v/>
      </c>
      <c r="P130" s="34">
        <f>IF(AND(P$5&gt;$E130,P$5&lt;=$F130),IF(P$5=$E130+1,$C130,""),"")</f>
        <v/>
      </c>
      <c r="Q130" s="34">
        <f>IF(AND(Q$5&gt;$E130,Q$5&lt;=$F130),IF(Q$5=$E130+1,$C130,""),"")</f>
        <v/>
      </c>
      <c r="R130" s="34">
        <f>IF(AND(R$5&gt;$E130,R$5&lt;=$F130),IF(R$5=$E130+1,$C130,""),"")</f>
        <v/>
      </c>
      <c r="S130" s="34">
        <f>IF(AND(S$5&gt;$E130,S$5&lt;=$F130),IF(S$5=$E130+1,$C130,""),"")</f>
        <v/>
      </c>
      <c r="T130" s="34">
        <f>IF(AND(T$5&gt;$E130,T$5&lt;=$F130),IF(T$5=$E130+1,$C130,""),"")</f>
        <v/>
      </c>
      <c r="U130" s="34">
        <f>IF(AND(U$5&gt;$E130,U$5&lt;=$F130),IF(U$5=$E130+1,$C130,""),"")</f>
        <v/>
      </c>
      <c r="V130" s="34">
        <f>IF(AND(V$5&gt;$E130,V$5&lt;=$F130),IF(V$5=$E130+1,$C130,""),"")</f>
        <v/>
      </c>
      <c r="W130" s="34">
        <f>IF(AND(W$5&gt;$E130,W$5&lt;=$F130),IF(W$5=$E130+1,$C130,""),"")</f>
        <v/>
      </c>
      <c r="X130" s="34">
        <f>IF(AND(X$5&gt;$E130,X$5&lt;=$F130),IF(X$5=$E130+1,$C130,""),"")</f>
        <v/>
      </c>
      <c r="Y130" s="34">
        <f>IF(AND(Y$5&gt;$E130,Y$5&lt;=$F130),IF(Y$5=$E130+1,$C130,""),"")</f>
        <v/>
      </c>
      <c r="Z130" s="34">
        <f>IF(AND(Z$5&gt;$E130,Z$5&lt;=$F130),IF(Z$5=$E130+1,$C130,""),"")</f>
        <v/>
      </c>
      <c r="AA130" s="34">
        <f>IF(AND(AA$5&gt;$E130,AA$5&lt;=$F130),IF(AA$5=$E130+1,$C130,""),"")</f>
        <v/>
      </c>
      <c r="AB130" s="34">
        <f>IF(AND(AB$5&gt;$E130,AB$5&lt;=$F130),IF(AB$5=$E130+1,$C130,""),"")</f>
        <v/>
      </c>
      <c r="AC130" s="34">
        <f>IF(AND(AC$5&gt;$E130,AC$5&lt;=$F130),IF(AC$5=$E130+1,$C130,""),"")</f>
        <v/>
      </c>
      <c r="AD130" s="34">
        <f>IF(AND(AD$5&gt;$E130,AD$5&lt;=$F130),IF(AD$5=$E130+1,$C130,""),"")</f>
        <v/>
      </c>
      <c r="AE130" s="34">
        <f>IF(AND(AE$5&gt;$E130,AE$5&lt;=$F130),IF(AE$5=$E130+1,$C130,""),"")</f>
        <v/>
      </c>
      <c r="AF130" s="34">
        <f>IF(AND(AF$5&gt;$E130,AF$5&lt;=$F130),IF(AF$5=$E130+1,$C130,""),"")</f>
        <v/>
      </c>
      <c r="AG130" s="34">
        <f>IF(AND(AG$5&gt;$E130,AG$5&lt;=$F130),IF(AG$5=$E130+1,$C130,""),"")</f>
        <v/>
      </c>
      <c r="AH130" s="34">
        <f>IF(AND(AH$5&gt;$E130,AH$5&lt;=$F130),IF(AH$5=$E130+1,$C130,""),"")</f>
        <v/>
      </c>
      <c r="AI130" s="34">
        <f>IF(AND(AI$5&gt;$E130,AI$5&lt;=$F130),IF(AI$5=$E130+1,$C130,""),"")</f>
        <v/>
      </c>
      <c r="AJ130" s="34">
        <f>IF(AND(AJ$5&gt;$E130,AJ$5&lt;=$F130),IF(AJ$5=$E130+1,$C130,""),"")</f>
        <v/>
      </c>
      <c r="AK130" s="34">
        <f>IF(AND(AK$5&gt;$E130,AK$5&lt;=$F130),IF(AK$5=$E130+1,$C130,""),"")</f>
        <v/>
      </c>
      <c r="AL130" s="34">
        <f>IF(AND(AL$5&gt;$E130,AL$5&lt;=$F130),IF(AL$5=$E130+1,$C130,""),"")</f>
        <v/>
      </c>
      <c r="AM130" s="34">
        <f>IF(AND(AM$5&gt;$E130,AM$5&lt;=$F130),IF(AM$5=$E130+1,$C130,""),"")</f>
        <v/>
      </c>
      <c r="AN130" s="34">
        <f>IF(AND(AN$5&gt;$E130,AN$5&lt;=$F130),IF(AN$5=$E130+1,$C130,""),"")</f>
        <v/>
      </c>
      <c r="AO130" s="34">
        <f>IF(AND(AO$5&gt;$E130,AO$5&lt;=$F130),IF(AO$5=$E130+1,$C130,""),"")</f>
        <v/>
      </c>
      <c r="AP130" s="34">
        <f>IF(AND(AP$5&gt;$E130,AP$5&lt;=$F130),IF(AP$5=$E130+1,$C130,""),"")</f>
        <v/>
      </c>
      <c r="AQ130" s="34">
        <f>IF(AND(AQ$5&gt;$E130,AQ$5&lt;=$F130),IF(AQ$5=$E130+1,$C130,""),"")</f>
        <v/>
      </c>
      <c r="AR130" s="34">
        <f>IF(AND(AR$5&gt;$E130,AR$5&lt;=$F130),IF(AR$5=$E130+1,$C130,""),"")</f>
        <v/>
      </c>
      <c r="AS130" s="34">
        <f>IF(AND(AS$5&gt;$E130,AS$5&lt;=$F130),IF(AS$5=$E130+1,$C130,""),"")</f>
        <v/>
      </c>
      <c r="AT130" s="34">
        <f>IF(AND(AT$5&gt;$E130,AT$5&lt;=$F130),IF(AT$5=$E130+1,$C130,""),"")</f>
        <v/>
      </c>
      <c r="AU130" s="34">
        <f>IF(AND(AU$5&gt;$E130,AU$5&lt;=$F130),IF(AU$5=$E130+1,$C130,""),"")</f>
        <v/>
      </c>
      <c r="AV130" s="34">
        <f>IF(AND(AV$5&gt;$E130,AV$5&lt;=$F130),IF(AV$5=$E130+1,$C130,""),"")</f>
        <v/>
      </c>
      <c r="AW130" s="34">
        <f>IF(AND(AW$5&gt;$E130,AW$5&lt;=$F130),IF(AW$5=$E130+1,$C130,""),"")</f>
        <v/>
      </c>
      <c r="AX130" s="34">
        <f>IF(AND(AX$5&gt;$E130,AX$5&lt;=$F130),IF(AX$5=$E130+1,$C130,""),"")</f>
        <v/>
      </c>
      <c r="AY130" s="34">
        <f>IF(AND(AY$5&gt;$E130,AY$5&lt;=$F130),IF(AY$5=$E130+1,$C130,""),"")</f>
        <v/>
      </c>
      <c r="AZ130" s="34">
        <f>IF(AND(AZ$5&gt;$E130,AZ$5&lt;=$F130),IF(AZ$5=$E130+1,$C130,""),"")</f>
        <v/>
      </c>
      <c r="BA130" s="34">
        <f>IF(AND(BA$5&gt;$E130,BA$5&lt;=$F130),IF(BA$5=$E130+1,$C130,""),"")</f>
        <v/>
      </c>
      <c r="BB130" s="34">
        <f>IF(AND(BB$5&gt;$E130,BB$5&lt;=$F130),IF(BB$5=$E130+1,$C130,""),"")</f>
        <v/>
      </c>
      <c r="BC130" s="34">
        <f>IF(AND(BC$5&gt;$E130,BC$5&lt;=$F130),IF(BC$5=$E130+1,$C130,""),"")</f>
        <v/>
      </c>
      <c r="BD130" s="34">
        <f>IF(AND(BD$5&gt;$E130,BD$5&lt;=$F130),IF(BD$5=$E130+1,$C130,""),"")</f>
        <v/>
      </c>
      <c r="BE130" s="34">
        <f>IF(AND(BE$5&gt;$E130,BE$5&lt;=$F130),IF(BE$5=$E130+1,$C130,""),"")</f>
        <v/>
      </c>
      <c r="BF130" s="34">
        <f>IF(AND(BF$5&gt;$E130,BF$5&lt;=$F130),IF(BF$5=$E130+1,$C130,""),"")</f>
        <v/>
      </c>
      <c r="BG130" s="34">
        <f>IF(AND(BG$5&gt;$E130,BG$5&lt;=$F130),IF(BG$5=$E130+1,$C130,""),"")</f>
        <v/>
      </c>
      <c r="BH130" s="34">
        <f>IF(AND(BH$5&gt;$E130,BH$5&lt;=$F130),IF(BH$5=$E130+1,$C130,""),"")</f>
        <v/>
      </c>
      <c r="BI130" s="34">
        <f>IF(AND(BI$5&gt;$E130,BI$5&lt;=$F130),IF(BI$5=$E130+1,$C130,""),"")</f>
        <v/>
      </c>
      <c r="BJ130" s="34">
        <f>IF(AND(BJ$5&gt;$E130,BJ$5&lt;=$F130),IF(BJ$5=$E130+1,$C130,""),"")</f>
        <v/>
      </c>
      <c r="BK130" s="34">
        <f>IF(AND(BK$5&gt;$E130,BK$5&lt;=$F130),IF(BK$5=$E130+1,$C130,""),"")</f>
        <v/>
      </c>
      <c r="BL130" s="34">
        <f>IF(AND(BL$5&gt;$E130,BL$5&lt;=$F130),IF(BL$5=$E130+1,$C130,""),"")</f>
        <v/>
      </c>
      <c r="BM130" s="34">
        <f>IF(AND(BM$5&gt;$E130,BM$5&lt;=$F130),IF(BM$5=$E130+1,$C130,""),"")</f>
        <v/>
      </c>
      <c r="BN130" s="34">
        <f>IF(AND(BN$5&gt;$E130,BN$5&lt;=$F130),IF(BN$5=$E130+1,$C130,""),"")</f>
        <v/>
      </c>
      <c r="BO130" s="34">
        <f>IF(AND(BO$5&gt;$E130,BO$5&lt;=$F130),IF(BO$5=$E130+1,$C130,""),"")</f>
        <v/>
      </c>
      <c r="BP130" s="34">
        <f>IF(AND(BP$5&gt;$E130,BP$5&lt;=$F130),IF(BP$5=$E130+1,$C130,""),"")</f>
        <v/>
      </c>
      <c r="BQ130" s="34">
        <f>IF(AND(BQ$5&gt;$E130,BQ$5&lt;=$F130),IF(BQ$5=$E130+1,$C130,""),"")</f>
        <v/>
      </c>
      <c r="BR130" s="34">
        <f>IF(AND(BR$5&gt;$E130,BR$5&lt;=$F130),IF(BR$5=$E130+1,$C130,""),"")</f>
        <v/>
      </c>
      <c r="BS130" s="34">
        <f>IF(AND(BS$5&gt;$E130,BS$5&lt;=$F130),IF(BS$5=$E130+1,$C130,""),"")</f>
        <v/>
      </c>
      <c r="BT130" s="34">
        <f>IF(AND(BT$5&gt;$E130,BT$5&lt;=$F130),IF(BT$5=$E130+1,$C130,""),"")</f>
        <v/>
      </c>
      <c r="BU130" s="34">
        <f>IF(AND(BU$5&gt;$E130,BU$5&lt;=$F130),IF(BU$5=$E130+1,$C130,""),"")</f>
        <v/>
      </c>
      <c r="BV130" s="34">
        <f>IF(AND(BV$5&gt;$E130,BV$5&lt;=$F130),IF(BV$5=$E130+1,$C130,""),"")</f>
        <v/>
      </c>
      <c r="BW130" s="34">
        <f>IF(AND(BW$5&gt;$E130,BW$5&lt;=$F130),IF(BW$5=$E130+1,$C130,""),"")</f>
        <v/>
      </c>
      <c r="BX130" s="34">
        <f>IF(AND(BX$5&gt;$E130,BX$5&lt;=$F130),IF(BX$5=$E130+1,$C130,""),"")</f>
        <v/>
      </c>
      <c r="BY130" s="34">
        <f>IF(AND(BY$5&gt;$E130,BY$5&lt;=$F130),IF(BY$5=$E130+1,$C130,""),"")</f>
        <v/>
      </c>
      <c r="BZ130" s="34">
        <f>IF(AND(BZ$5&gt;$E130,BZ$5&lt;=$F130),IF(BZ$5=$E130+1,$C130,""),"")</f>
        <v/>
      </c>
      <c r="CA130" s="34">
        <f>IF(AND(CA$5&gt;$E130,CA$5&lt;=$F130),IF(CA$5=$E130+1,$C130,""),"")</f>
        <v/>
      </c>
      <c r="CB130" s="34">
        <f>IF(AND(CB$5&gt;$E130,CB$5&lt;=$F130),IF(CB$5=$E130+1,$C130,""),"")</f>
        <v/>
      </c>
      <c r="CC130" s="34">
        <f>IF(AND(CC$5&gt;$E130,CC$5&lt;=$F130),IF(CC$5=$E130+1,$C130,""),"")</f>
        <v/>
      </c>
      <c r="CD130" s="34">
        <f>IF(AND(CD$5&gt;$E130,CD$5&lt;=$F130),IF(CD$5=$E130+1,$C130,""),"")</f>
        <v/>
      </c>
      <c r="CE130" s="34">
        <f>IF(AND(CE$5&gt;$E130,CE$5&lt;=$F130),IF(CE$5=$E130+1,$C130,""),"")</f>
        <v/>
      </c>
      <c r="CF130" s="34">
        <f>IF(AND(CF$5&gt;$E130,CF$5&lt;=$F130),IF(CF$5=$E130+1,$C130,""),"")</f>
        <v/>
      </c>
      <c r="CG130" s="34">
        <f>IF(AND(CG$5&gt;$E130,CG$5&lt;=$F130),IF(CG$5=$E130+1,$C130,""),"")</f>
        <v/>
      </c>
      <c r="CH130" s="34">
        <f>IF(AND(CH$5&gt;$E130,CH$5&lt;=$F130),IF(CH$5=$E130+1,$C130,""),"")</f>
        <v/>
      </c>
      <c r="CI130" s="34">
        <f>IF(AND(CI$5&gt;$E130,CI$5&lt;=$F130),IF(CI$5=$E130+1,$C130,""),"")</f>
        <v/>
      </c>
      <c r="CJ130" s="34">
        <f>IF(AND(CJ$5&gt;$E130,CJ$5&lt;=$F130),IF(CJ$5=$E130+1,$C130,""),"")</f>
        <v/>
      </c>
      <c r="CK130" s="34">
        <f>IF(AND(CK$5&gt;$E130,CK$5&lt;=$F130),IF(CK$5=$E130+1,$C130,""),"")</f>
        <v/>
      </c>
      <c r="CL130" s="34">
        <f>IF(AND(CL$5&gt;$E130,CL$5&lt;=$F130),IF(CL$5=$E130+1,$C130,""),"")</f>
        <v/>
      </c>
      <c r="CM130" s="34">
        <f>IF(AND(CM$5&gt;$E130,CM$5&lt;=$F130),IF(CM$5=$E130+1,$C130,""),"")</f>
        <v/>
      </c>
      <c r="CN130" s="34">
        <f>IF(AND(CN$5&gt;$E130,CN$5&lt;=$F130),IF(CN$5=$E130+1,$C130,""),"")</f>
        <v/>
      </c>
      <c r="CO130" s="34">
        <f>IF(AND(CO$5&gt;$E130,CO$5&lt;=$F130),IF(CO$5=$E130+1,$C130,""),"")</f>
        <v/>
      </c>
      <c r="CP130" s="34">
        <f>IF(AND(CP$5&gt;$E130,CP$5&lt;=$F130),IF(CP$5=$E130+1,$C130,""),"")</f>
        <v/>
      </c>
      <c r="CQ130" s="34">
        <f>IF(AND(CQ$5&gt;$E130,CQ$5&lt;=$F130),IF(CQ$5=$E130+1,$C130,""),"")</f>
        <v/>
      </c>
      <c r="CR130" s="34">
        <f>IF(AND(CR$5&gt;$E130,CR$5&lt;=$F130),IF(CR$5=$E130+1,$C130,""),"")</f>
        <v/>
      </c>
      <c r="CS130" s="34">
        <f>IF(AND(CS$5&gt;$E130,CS$5&lt;=$F130),IF(CS$5=$E130+1,$C130,""),"")</f>
        <v/>
      </c>
      <c r="CT130" s="34">
        <f>IF(AND(CT$5&gt;$E130,CT$5&lt;=$F130),IF(CT$5=$E130+1,$C130,""),"")</f>
        <v/>
      </c>
      <c r="CU130" s="34">
        <f>IF(AND(CU$5&gt;$E130,CU$5&lt;=$F130),IF(CU$5=$E130+1,$C130,""),"")</f>
        <v/>
      </c>
      <c r="CV130" s="34">
        <f>IF(AND(CV$5&gt;$E130,CV$5&lt;=$F130),IF(CV$5=$E130+1,$C130,""),"")</f>
        <v/>
      </c>
      <c r="CW130" s="34">
        <f>IF(AND(CW$5&gt;$E130,CW$5&lt;=$F130),IF(CW$5=$E130+1,$C130,""),"")</f>
        <v/>
      </c>
      <c r="CX130" s="34">
        <f>IF(AND(CX$5&gt;$E130,CX$5&lt;=$F130),IF(CX$5=$E130+1,$C130,""),"")</f>
        <v/>
      </c>
      <c r="CY130" s="34">
        <f>IF(AND(CY$5&gt;$E130,CY$5&lt;=$F130),IF(CY$5=$E130+1,$C130,""),"")</f>
        <v/>
      </c>
      <c r="CZ130" s="34">
        <f>IF(AND(CZ$5&gt;$E130,CZ$5&lt;=$F130),IF(CZ$5=$E130+1,$C130,""),"")</f>
        <v/>
      </c>
      <c r="DA130" s="34">
        <f>IF(AND(DA$5&gt;$E130,DA$5&lt;=$F130),IF(DA$5=$E130+1,$C130,""),"")</f>
        <v/>
      </c>
      <c r="DB130" s="34">
        <f>IF(AND(DB$5&gt;$E130,DB$5&lt;=$F130),IF(DB$5=$E130+1,$C130,""),"")</f>
        <v/>
      </c>
      <c r="DC130" s="34">
        <f>IF(AND(DC$5&gt;$E130,DC$5&lt;=$F130),IF(DC$5=$E130+1,$C130,""),"")</f>
        <v/>
      </c>
      <c r="DD130" s="34">
        <f>IF(AND(DD$5&gt;$E130,DD$5&lt;=$F130),IF(DD$5=$E130+1,$C130,""),"")</f>
        <v/>
      </c>
      <c r="DE130" s="34">
        <f>IF(AND(DE$5&gt;$E130,DE$5&lt;=$F130),IF(DE$5=$E130+1,$C130,""),"")</f>
        <v/>
      </c>
      <c r="DF130" s="34">
        <f>IF(AND(DF$5&gt;$E130,DF$5&lt;=$F130),IF(DF$5=$E130+1,$C130,""),"")</f>
        <v/>
      </c>
      <c r="DG130" s="34">
        <f>IF(AND(DG$5&gt;$E130,DG$5&lt;=$F130),IF(DG$5=$E130+1,$C130,""),"")</f>
        <v/>
      </c>
      <c r="DH130" s="34">
        <f>IF(AND(DH$5&gt;$E130,DH$5&lt;=$F130),IF(DH$5=$E130+1,$C130,""),"")</f>
        <v/>
      </c>
      <c r="DI130" s="34">
        <f>IF(AND(DI$5&gt;$E130,DI$5&lt;=$F130),IF(DI$5=$E130+1,$C130,""),"")</f>
        <v/>
      </c>
      <c r="DJ130" s="34">
        <f>IF(AND(DJ$5&gt;$E130,DJ$5&lt;=$F130),IF(DJ$5=$E130+1,$C130,""),"")</f>
        <v/>
      </c>
      <c r="DK130" s="34">
        <f>IF(AND(DK$5&gt;$E130,DK$5&lt;=$F130),IF(DK$5=$E130+1,$C130,""),"")</f>
        <v/>
      </c>
      <c r="DL130" s="34">
        <f>IF(AND(DL$5&gt;$E130,DL$5&lt;=$F130),IF(DL$5=$E130+1,$C130,""),"")</f>
        <v/>
      </c>
      <c r="DM130" s="34">
        <f>IF(AND(DM$5&gt;$E130,DM$5&lt;=$F130),IF(DM$5=$E130+1,$C130,""),"")</f>
        <v/>
      </c>
      <c r="DN130" s="34">
        <f>IF(AND(DN$5&gt;$E130,DN$5&lt;=$F130),IF(DN$5=$E130+1,$C130,""),"")</f>
        <v/>
      </c>
      <c r="DO130" s="34">
        <f>IF(AND(DO$5&gt;$E130,DO$5&lt;=$F130),IF(DO$5=$E130+1,$C130,""),"")</f>
        <v/>
      </c>
      <c r="DP130" s="34">
        <f>IF(AND(DP$5&gt;$E130,DP$5&lt;=$F130),IF(DP$5=$E130+1,$C130,""),"")</f>
        <v/>
      </c>
      <c r="DQ130" s="34">
        <f>IF(AND(DQ$5&gt;$E130,DQ$5&lt;=$F130),IF(DQ$5=$E130+1,$C130,""),"")</f>
        <v/>
      </c>
      <c r="DR130" s="34">
        <f>IF(AND(DR$5&gt;$E130,DR$5&lt;=$F130),IF(DR$5=$E130+1,$C130,""),"")</f>
        <v/>
      </c>
      <c r="DS130" s="34">
        <f>IF(AND(DS$5&gt;$E130,DS$5&lt;=$F130),IF(DS$5=$E130+1,$C130,""),"")</f>
        <v/>
      </c>
      <c r="DT130" s="34">
        <f>IF(AND(DT$5&gt;$E130,DT$5&lt;=$F130),IF(DT$5=$E130+1,$C130,""),"")</f>
        <v/>
      </c>
      <c r="DU130" s="34">
        <f>IF(AND(DU$5&gt;$E130,DU$5&lt;=$F130),IF(DU$5=$E130+1,$C130,""),"")</f>
        <v/>
      </c>
      <c r="DV130" s="34">
        <f>IF(AND(DV$5&gt;$E130,DV$5&lt;=$F130),IF(DV$5=$E130+1,$C130,""),"")</f>
        <v/>
      </c>
      <c r="DW130" s="34">
        <f>IF(AND(DW$5&gt;$E130,DW$5&lt;=$F130),IF(DW$5=$E130+1,$C130,""),"")</f>
        <v/>
      </c>
      <c r="DX130" s="34">
        <f>IF(AND(DX$5&gt;$E130,DX$5&lt;=$F130),IF(DX$5=$E130+1,$C130,""),"")</f>
        <v/>
      </c>
      <c r="DY130" s="34">
        <f>IF(AND(DY$5&gt;$E130,DY$5&lt;=$F130),IF(DY$5=$E130+1,$C130,""),"")</f>
        <v/>
      </c>
      <c r="DZ130" s="34">
        <f>IF(AND(DZ$5&gt;$E130,DZ$5&lt;=$F130),IF(DZ$5=$E130+1,$C130,""),"")</f>
        <v/>
      </c>
      <c r="EA130" s="34">
        <f>IF(AND(EA$5&gt;$E130,EA$5&lt;=$F130),IF(EA$5=$E130+1,$C130,""),"")</f>
        <v/>
      </c>
      <c r="EB130" s="34">
        <f>IF(AND(EB$5&gt;$E130,EB$5&lt;=$F130),IF(EB$5=$E130+1,$C130,""),"")</f>
        <v/>
      </c>
      <c r="EC130" s="34">
        <f>IF(AND(EC$5&gt;$E130,EC$5&lt;=$F130),IF(EC$5=$E130+1,$C130,""),"")</f>
        <v/>
      </c>
      <c r="ED130" s="34">
        <f>IF(AND(ED$5&gt;$E130,ED$5&lt;=$F130),IF(ED$5=$E130+1,$C130,""),"")</f>
        <v/>
      </c>
      <c r="EE130" s="34">
        <f>IF(AND(EE$5&gt;$E130,EE$5&lt;=$F130),IF(EE$5=$E130+1,$C130,""),"")</f>
        <v/>
      </c>
      <c r="EF130" s="34">
        <f>IF(AND(EF$5&gt;$E130,EF$5&lt;=$F130),IF(EF$5=$E130+1,$C130,""),"")</f>
        <v/>
      </c>
      <c r="EG130" s="34">
        <f>IF(AND(EG$5&gt;$E130,EG$5&lt;=$F130),IF(EG$5=$E130+1,$C130,""),"")</f>
        <v/>
      </c>
      <c r="EH130" s="34">
        <f>IF(AND(EH$5&gt;$E130,EH$5&lt;=$F130),IF(EH$5=$E130+1,$C130,""),"")</f>
        <v/>
      </c>
      <c r="EI130" s="34">
        <f>IF(AND(EI$5&gt;$E130,EI$5&lt;=$F130),IF(EI$5=$E130+1,$C130,""),"")</f>
        <v/>
      </c>
      <c r="EJ130" s="34">
        <f>IF(AND(EJ$5&gt;$E130,EJ$5&lt;=$F130),IF(EJ$5=$E130+1,$C130,""),"")</f>
        <v/>
      </c>
      <c r="EK130" s="34">
        <f>IF(AND(EK$5&gt;$E130,EK$5&lt;=$F130),IF(EK$5=$E130+1,$C130,""),"")</f>
        <v/>
      </c>
      <c r="EL130" s="34">
        <f>IF(AND(EL$5&gt;$E130,EL$5&lt;=$F130),IF(EL$5=$E130+1,$C130,""),"")</f>
        <v/>
      </c>
      <c r="EM130" s="34">
        <f>IF(AND(EM$5&gt;$E130,EM$5&lt;=$F130),IF(EM$5=$E130+1,$C130,""),"")</f>
        <v/>
      </c>
      <c r="EN130" s="34">
        <f>IF(AND(EN$5&gt;$E130,EN$5&lt;=$F130),IF(EN$5=$E130+1,$C130,""),"")</f>
        <v/>
      </c>
      <c r="EO130" s="34">
        <f>IF(AND(EO$5&gt;$E130,EO$5&lt;=$F130),IF(EO$5=$E130+1,$C130,""),"")</f>
        <v/>
      </c>
      <c r="EP130" s="34">
        <f>IF(AND(EP$5&gt;$E130,EP$5&lt;=$F130),IF(EP$5=$E130+1,$C130,""),"")</f>
        <v/>
      </c>
      <c r="EQ130" s="34">
        <f>IF(AND(EQ$5&gt;$E130,EQ$5&lt;=$F130),IF(EQ$5=$E130+1,$C130,""),"")</f>
        <v/>
      </c>
      <c r="ER130" s="34">
        <f>IF(AND(ER$5&gt;$E130,ER$5&lt;=$F130),IF(ER$5=$E130+1,$C130,""),"")</f>
        <v/>
      </c>
      <c r="ES130" s="34">
        <f>IF(AND(ES$5&gt;$E130,ES$5&lt;=$F130),IF(ES$5=$E130+1,$C130,""),"")</f>
        <v/>
      </c>
      <c r="ET130" s="34">
        <f>IF(AND(ET$5&gt;$E130,ET$5&lt;=$F130),IF(ET$5=$E130+1,$C130,""),"")</f>
        <v/>
      </c>
      <c r="EU130" s="34">
        <f>IF(AND(EU$5&gt;$E130,EU$5&lt;=$F130),IF(EU$5=$E130+1,$C130,""),"")</f>
        <v/>
      </c>
      <c r="EV130" s="34">
        <f>IF(AND(EV$5&gt;$E130,EV$5&lt;=$F130),IF(EV$5=$E130+1,$C130,""),"")</f>
        <v/>
      </c>
      <c r="EW130" s="34">
        <f>IF(AND(EW$5&gt;$E130,EW$5&lt;=$F130),IF(EW$5=$E130+1,$C130,""),"")</f>
        <v/>
      </c>
      <c r="EX130" s="34">
        <f>IF(AND(EX$5&gt;$E130,EX$5&lt;=$F130),IF(EX$5=$E130+1,$C130,""),"")</f>
        <v/>
      </c>
      <c r="EY130" s="34">
        <f>IF(AND(EY$5&gt;$E130,EY$5&lt;=$F130),IF(EY$5=$E130+1,$C130,""),"")</f>
        <v/>
      </c>
      <c r="EZ130" s="34">
        <f>IF(AND(EZ$5&gt;$E130,EZ$5&lt;=$F130),IF(EZ$5=$E130+1,$C130,""),"")</f>
        <v/>
      </c>
      <c r="FA130" s="34">
        <f>IF(AND(FA$5&gt;$E130,FA$5&lt;=$F130),IF(FA$5=$E130+1,$C130,""),"")</f>
        <v/>
      </c>
    </row>
    <row r="131">
      <c r="A131" s="32">
        <f>Plan!A113</f>
        <v/>
      </c>
      <c r="B131" s="33">
        <f>Plan!C113</f>
        <v/>
      </c>
      <c r="C131" s="16">
        <f>Plan!D113</f>
        <v/>
      </c>
      <c r="D131" s="16">
        <f>Plan!I113</f>
        <v/>
      </c>
      <c r="E131" s="16">
        <f>Plan!K113</f>
        <v/>
      </c>
      <c r="F131" s="16">
        <f>Plan!L113</f>
        <v/>
      </c>
      <c r="G131" s="16">
        <f>Plan!O113</f>
        <v/>
      </c>
      <c r="H131" s="34">
        <f>IF(AND(H$5&gt;$E131,H$5&lt;=$F131),IF(H$5=$E131+1,$C131,""),"")</f>
        <v/>
      </c>
      <c r="I131" s="34">
        <f>IF(AND(I$5&gt;$E131,I$5&lt;=$F131),IF(I$5=$E131+1,$C131,""),"")</f>
        <v/>
      </c>
      <c r="J131" s="34">
        <f>IF(AND(J$5&gt;$E131,J$5&lt;=$F131),IF(J$5=$E131+1,$C131,""),"")</f>
        <v/>
      </c>
      <c r="K131" s="34">
        <f>IF(AND(K$5&gt;$E131,K$5&lt;=$F131),IF(K$5=$E131+1,$C131,""),"")</f>
        <v/>
      </c>
      <c r="L131" s="34">
        <f>IF(AND(L$5&gt;$E131,L$5&lt;=$F131),IF(L$5=$E131+1,$C131,""),"")</f>
        <v/>
      </c>
      <c r="M131" s="34">
        <f>IF(AND(M$5&gt;$E131,M$5&lt;=$F131),IF(M$5=$E131+1,$C131,""),"")</f>
        <v/>
      </c>
      <c r="N131" s="34">
        <f>IF(AND(N$5&gt;$E131,N$5&lt;=$F131),IF(N$5=$E131+1,$C131,""),"")</f>
        <v/>
      </c>
      <c r="O131" s="34">
        <f>IF(AND(O$5&gt;$E131,O$5&lt;=$F131),IF(O$5=$E131+1,$C131,""),"")</f>
        <v/>
      </c>
      <c r="P131" s="34">
        <f>IF(AND(P$5&gt;$E131,P$5&lt;=$F131),IF(P$5=$E131+1,$C131,""),"")</f>
        <v/>
      </c>
      <c r="Q131" s="34">
        <f>IF(AND(Q$5&gt;$E131,Q$5&lt;=$F131),IF(Q$5=$E131+1,$C131,""),"")</f>
        <v/>
      </c>
      <c r="R131" s="34">
        <f>IF(AND(R$5&gt;$E131,R$5&lt;=$F131),IF(R$5=$E131+1,$C131,""),"")</f>
        <v/>
      </c>
      <c r="S131" s="34">
        <f>IF(AND(S$5&gt;$E131,S$5&lt;=$F131),IF(S$5=$E131+1,$C131,""),"")</f>
        <v/>
      </c>
      <c r="T131" s="34">
        <f>IF(AND(T$5&gt;$E131,T$5&lt;=$F131),IF(T$5=$E131+1,$C131,""),"")</f>
        <v/>
      </c>
      <c r="U131" s="34">
        <f>IF(AND(U$5&gt;$E131,U$5&lt;=$F131),IF(U$5=$E131+1,$C131,""),"")</f>
        <v/>
      </c>
      <c r="V131" s="34">
        <f>IF(AND(V$5&gt;$E131,V$5&lt;=$F131),IF(V$5=$E131+1,$C131,""),"")</f>
        <v/>
      </c>
      <c r="W131" s="34">
        <f>IF(AND(W$5&gt;$E131,W$5&lt;=$F131),IF(W$5=$E131+1,$C131,""),"")</f>
        <v/>
      </c>
      <c r="X131" s="34">
        <f>IF(AND(X$5&gt;$E131,X$5&lt;=$F131),IF(X$5=$E131+1,$C131,""),"")</f>
        <v/>
      </c>
      <c r="Y131" s="34">
        <f>IF(AND(Y$5&gt;$E131,Y$5&lt;=$F131),IF(Y$5=$E131+1,$C131,""),"")</f>
        <v/>
      </c>
      <c r="Z131" s="34">
        <f>IF(AND(Z$5&gt;$E131,Z$5&lt;=$F131),IF(Z$5=$E131+1,$C131,""),"")</f>
        <v/>
      </c>
      <c r="AA131" s="34">
        <f>IF(AND(AA$5&gt;$E131,AA$5&lt;=$F131),IF(AA$5=$E131+1,$C131,""),"")</f>
        <v/>
      </c>
      <c r="AB131" s="34">
        <f>IF(AND(AB$5&gt;$E131,AB$5&lt;=$F131),IF(AB$5=$E131+1,$C131,""),"")</f>
        <v/>
      </c>
      <c r="AC131" s="34">
        <f>IF(AND(AC$5&gt;$E131,AC$5&lt;=$F131),IF(AC$5=$E131+1,$C131,""),"")</f>
        <v/>
      </c>
      <c r="AD131" s="34">
        <f>IF(AND(AD$5&gt;$E131,AD$5&lt;=$F131),IF(AD$5=$E131+1,$C131,""),"")</f>
        <v/>
      </c>
      <c r="AE131" s="34">
        <f>IF(AND(AE$5&gt;$E131,AE$5&lt;=$F131),IF(AE$5=$E131+1,$C131,""),"")</f>
        <v/>
      </c>
      <c r="AF131" s="34">
        <f>IF(AND(AF$5&gt;$E131,AF$5&lt;=$F131),IF(AF$5=$E131+1,$C131,""),"")</f>
        <v/>
      </c>
      <c r="AG131" s="34">
        <f>IF(AND(AG$5&gt;$E131,AG$5&lt;=$F131),IF(AG$5=$E131+1,$C131,""),"")</f>
        <v/>
      </c>
      <c r="AH131" s="34">
        <f>IF(AND(AH$5&gt;$E131,AH$5&lt;=$F131),IF(AH$5=$E131+1,$C131,""),"")</f>
        <v/>
      </c>
      <c r="AI131" s="34">
        <f>IF(AND(AI$5&gt;$E131,AI$5&lt;=$F131),IF(AI$5=$E131+1,$C131,""),"")</f>
        <v/>
      </c>
      <c r="AJ131" s="34">
        <f>IF(AND(AJ$5&gt;$E131,AJ$5&lt;=$F131),IF(AJ$5=$E131+1,$C131,""),"")</f>
        <v/>
      </c>
      <c r="AK131" s="34">
        <f>IF(AND(AK$5&gt;$E131,AK$5&lt;=$F131),IF(AK$5=$E131+1,$C131,""),"")</f>
        <v/>
      </c>
      <c r="AL131" s="34">
        <f>IF(AND(AL$5&gt;$E131,AL$5&lt;=$F131),IF(AL$5=$E131+1,$C131,""),"")</f>
        <v/>
      </c>
      <c r="AM131" s="34">
        <f>IF(AND(AM$5&gt;$E131,AM$5&lt;=$F131),IF(AM$5=$E131+1,$C131,""),"")</f>
        <v/>
      </c>
      <c r="AN131" s="34">
        <f>IF(AND(AN$5&gt;$E131,AN$5&lt;=$F131),IF(AN$5=$E131+1,$C131,""),"")</f>
        <v/>
      </c>
      <c r="AO131" s="34">
        <f>IF(AND(AO$5&gt;$E131,AO$5&lt;=$F131),IF(AO$5=$E131+1,$C131,""),"")</f>
        <v/>
      </c>
      <c r="AP131" s="34">
        <f>IF(AND(AP$5&gt;$E131,AP$5&lt;=$F131),IF(AP$5=$E131+1,$C131,""),"")</f>
        <v/>
      </c>
      <c r="AQ131" s="34">
        <f>IF(AND(AQ$5&gt;$E131,AQ$5&lt;=$F131),IF(AQ$5=$E131+1,$C131,""),"")</f>
        <v/>
      </c>
      <c r="AR131" s="34">
        <f>IF(AND(AR$5&gt;$E131,AR$5&lt;=$F131),IF(AR$5=$E131+1,$C131,""),"")</f>
        <v/>
      </c>
      <c r="AS131" s="34">
        <f>IF(AND(AS$5&gt;$E131,AS$5&lt;=$F131),IF(AS$5=$E131+1,$C131,""),"")</f>
        <v/>
      </c>
      <c r="AT131" s="34">
        <f>IF(AND(AT$5&gt;$E131,AT$5&lt;=$F131),IF(AT$5=$E131+1,$C131,""),"")</f>
        <v/>
      </c>
      <c r="AU131" s="34">
        <f>IF(AND(AU$5&gt;$E131,AU$5&lt;=$F131),IF(AU$5=$E131+1,$C131,""),"")</f>
        <v/>
      </c>
      <c r="AV131" s="34">
        <f>IF(AND(AV$5&gt;$E131,AV$5&lt;=$F131),IF(AV$5=$E131+1,$C131,""),"")</f>
        <v/>
      </c>
      <c r="AW131" s="34">
        <f>IF(AND(AW$5&gt;$E131,AW$5&lt;=$F131),IF(AW$5=$E131+1,$C131,""),"")</f>
        <v/>
      </c>
      <c r="AX131" s="34">
        <f>IF(AND(AX$5&gt;$E131,AX$5&lt;=$F131),IF(AX$5=$E131+1,$C131,""),"")</f>
        <v/>
      </c>
      <c r="AY131" s="34">
        <f>IF(AND(AY$5&gt;$E131,AY$5&lt;=$F131),IF(AY$5=$E131+1,$C131,""),"")</f>
        <v/>
      </c>
      <c r="AZ131" s="34">
        <f>IF(AND(AZ$5&gt;$E131,AZ$5&lt;=$F131),IF(AZ$5=$E131+1,$C131,""),"")</f>
        <v/>
      </c>
      <c r="BA131" s="34">
        <f>IF(AND(BA$5&gt;$E131,BA$5&lt;=$F131),IF(BA$5=$E131+1,$C131,""),"")</f>
        <v/>
      </c>
      <c r="BB131" s="34">
        <f>IF(AND(BB$5&gt;$E131,BB$5&lt;=$F131),IF(BB$5=$E131+1,$C131,""),"")</f>
        <v/>
      </c>
      <c r="BC131" s="34">
        <f>IF(AND(BC$5&gt;$E131,BC$5&lt;=$F131),IF(BC$5=$E131+1,$C131,""),"")</f>
        <v/>
      </c>
      <c r="BD131" s="34">
        <f>IF(AND(BD$5&gt;$E131,BD$5&lt;=$F131),IF(BD$5=$E131+1,$C131,""),"")</f>
        <v/>
      </c>
      <c r="BE131" s="34">
        <f>IF(AND(BE$5&gt;$E131,BE$5&lt;=$F131),IF(BE$5=$E131+1,$C131,""),"")</f>
        <v/>
      </c>
      <c r="BF131" s="34">
        <f>IF(AND(BF$5&gt;$E131,BF$5&lt;=$F131),IF(BF$5=$E131+1,$C131,""),"")</f>
        <v/>
      </c>
      <c r="BG131" s="34">
        <f>IF(AND(BG$5&gt;$E131,BG$5&lt;=$F131),IF(BG$5=$E131+1,$C131,""),"")</f>
        <v/>
      </c>
      <c r="BH131" s="34">
        <f>IF(AND(BH$5&gt;$E131,BH$5&lt;=$F131),IF(BH$5=$E131+1,$C131,""),"")</f>
        <v/>
      </c>
      <c r="BI131" s="34">
        <f>IF(AND(BI$5&gt;$E131,BI$5&lt;=$F131),IF(BI$5=$E131+1,$C131,""),"")</f>
        <v/>
      </c>
      <c r="BJ131" s="34">
        <f>IF(AND(BJ$5&gt;$E131,BJ$5&lt;=$F131),IF(BJ$5=$E131+1,$C131,""),"")</f>
        <v/>
      </c>
      <c r="BK131" s="34">
        <f>IF(AND(BK$5&gt;$E131,BK$5&lt;=$F131),IF(BK$5=$E131+1,$C131,""),"")</f>
        <v/>
      </c>
      <c r="BL131" s="34">
        <f>IF(AND(BL$5&gt;$E131,BL$5&lt;=$F131),IF(BL$5=$E131+1,$C131,""),"")</f>
        <v/>
      </c>
      <c r="BM131" s="34">
        <f>IF(AND(BM$5&gt;$E131,BM$5&lt;=$F131),IF(BM$5=$E131+1,$C131,""),"")</f>
        <v/>
      </c>
      <c r="BN131" s="34">
        <f>IF(AND(BN$5&gt;$E131,BN$5&lt;=$F131),IF(BN$5=$E131+1,$C131,""),"")</f>
        <v/>
      </c>
      <c r="BO131" s="34">
        <f>IF(AND(BO$5&gt;$E131,BO$5&lt;=$F131),IF(BO$5=$E131+1,$C131,""),"")</f>
        <v/>
      </c>
      <c r="BP131" s="34">
        <f>IF(AND(BP$5&gt;$E131,BP$5&lt;=$F131),IF(BP$5=$E131+1,$C131,""),"")</f>
        <v/>
      </c>
      <c r="BQ131" s="34">
        <f>IF(AND(BQ$5&gt;$E131,BQ$5&lt;=$F131),IF(BQ$5=$E131+1,$C131,""),"")</f>
        <v/>
      </c>
      <c r="BR131" s="34">
        <f>IF(AND(BR$5&gt;$E131,BR$5&lt;=$F131),IF(BR$5=$E131+1,$C131,""),"")</f>
        <v/>
      </c>
      <c r="BS131" s="34">
        <f>IF(AND(BS$5&gt;$E131,BS$5&lt;=$F131),IF(BS$5=$E131+1,$C131,""),"")</f>
        <v/>
      </c>
      <c r="BT131" s="34">
        <f>IF(AND(BT$5&gt;$E131,BT$5&lt;=$F131),IF(BT$5=$E131+1,$C131,""),"")</f>
        <v/>
      </c>
      <c r="BU131" s="34">
        <f>IF(AND(BU$5&gt;$E131,BU$5&lt;=$F131),IF(BU$5=$E131+1,$C131,""),"")</f>
        <v/>
      </c>
      <c r="BV131" s="34">
        <f>IF(AND(BV$5&gt;$E131,BV$5&lt;=$F131),IF(BV$5=$E131+1,$C131,""),"")</f>
        <v/>
      </c>
      <c r="BW131" s="34">
        <f>IF(AND(BW$5&gt;$E131,BW$5&lt;=$F131),IF(BW$5=$E131+1,$C131,""),"")</f>
        <v/>
      </c>
      <c r="BX131" s="34">
        <f>IF(AND(BX$5&gt;$E131,BX$5&lt;=$F131),IF(BX$5=$E131+1,$C131,""),"")</f>
        <v/>
      </c>
      <c r="BY131" s="34">
        <f>IF(AND(BY$5&gt;$E131,BY$5&lt;=$F131),IF(BY$5=$E131+1,$C131,""),"")</f>
        <v/>
      </c>
      <c r="BZ131" s="34">
        <f>IF(AND(BZ$5&gt;$E131,BZ$5&lt;=$F131),IF(BZ$5=$E131+1,$C131,""),"")</f>
        <v/>
      </c>
      <c r="CA131" s="34">
        <f>IF(AND(CA$5&gt;$E131,CA$5&lt;=$F131),IF(CA$5=$E131+1,$C131,""),"")</f>
        <v/>
      </c>
      <c r="CB131" s="34">
        <f>IF(AND(CB$5&gt;$E131,CB$5&lt;=$F131),IF(CB$5=$E131+1,$C131,""),"")</f>
        <v/>
      </c>
      <c r="CC131" s="34">
        <f>IF(AND(CC$5&gt;$E131,CC$5&lt;=$F131),IF(CC$5=$E131+1,$C131,""),"")</f>
        <v/>
      </c>
      <c r="CD131" s="34">
        <f>IF(AND(CD$5&gt;$E131,CD$5&lt;=$F131),IF(CD$5=$E131+1,$C131,""),"")</f>
        <v/>
      </c>
      <c r="CE131" s="34">
        <f>IF(AND(CE$5&gt;$E131,CE$5&lt;=$F131),IF(CE$5=$E131+1,$C131,""),"")</f>
        <v/>
      </c>
      <c r="CF131" s="34">
        <f>IF(AND(CF$5&gt;$E131,CF$5&lt;=$F131),IF(CF$5=$E131+1,$C131,""),"")</f>
        <v/>
      </c>
      <c r="CG131" s="34">
        <f>IF(AND(CG$5&gt;$E131,CG$5&lt;=$F131),IF(CG$5=$E131+1,$C131,""),"")</f>
        <v/>
      </c>
      <c r="CH131" s="34">
        <f>IF(AND(CH$5&gt;$E131,CH$5&lt;=$F131),IF(CH$5=$E131+1,$C131,""),"")</f>
        <v/>
      </c>
      <c r="CI131" s="34">
        <f>IF(AND(CI$5&gt;$E131,CI$5&lt;=$F131),IF(CI$5=$E131+1,$C131,""),"")</f>
        <v/>
      </c>
      <c r="CJ131" s="34">
        <f>IF(AND(CJ$5&gt;$E131,CJ$5&lt;=$F131),IF(CJ$5=$E131+1,$C131,""),"")</f>
        <v/>
      </c>
      <c r="CK131" s="34">
        <f>IF(AND(CK$5&gt;$E131,CK$5&lt;=$F131),IF(CK$5=$E131+1,$C131,""),"")</f>
        <v/>
      </c>
      <c r="CL131" s="34">
        <f>IF(AND(CL$5&gt;$E131,CL$5&lt;=$F131),IF(CL$5=$E131+1,$C131,""),"")</f>
        <v/>
      </c>
      <c r="CM131" s="34">
        <f>IF(AND(CM$5&gt;$E131,CM$5&lt;=$F131),IF(CM$5=$E131+1,$C131,""),"")</f>
        <v/>
      </c>
      <c r="CN131" s="34">
        <f>IF(AND(CN$5&gt;$E131,CN$5&lt;=$F131),IF(CN$5=$E131+1,$C131,""),"")</f>
        <v/>
      </c>
      <c r="CO131" s="34">
        <f>IF(AND(CO$5&gt;$E131,CO$5&lt;=$F131),IF(CO$5=$E131+1,$C131,""),"")</f>
        <v/>
      </c>
      <c r="CP131" s="34">
        <f>IF(AND(CP$5&gt;$E131,CP$5&lt;=$F131),IF(CP$5=$E131+1,$C131,""),"")</f>
        <v/>
      </c>
      <c r="CQ131" s="34">
        <f>IF(AND(CQ$5&gt;$E131,CQ$5&lt;=$F131),IF(CQ$5=$E131+1,$C131,""),"")</f>
        <v/>
      </c>
      <c r="CR131" s="34">
        <f>IF(AND(CR$5&gt;$E131,CR$5&lt;=$F131),IF(CR$5=$E131+1,$C131,""),"")</f>
        <v/>
      </c>
      <c r="CS131" s="34">
        <f>IF(AND(CS$5&gt;$E131,CS$5&lt;=$F131),IF(CS$5=$E131+1,$C131,""),"")</f>
        <v/>
      </c>
      <c r="CT131" s="34">
        <f>IF(AND(CT$5&gt;$E131,CT$5&lt;=$F131),IF(CT$5=$E131+1,$C131,""),"")</f>
        <v/>
      </c>
      <c r="CU131" s="34">
        <f>IF(AND(CU$5&gt;$E131,CU$5&lt;=$F131),IF(CU$5=$E131+1,$C131,""),"")</f>
        <v/>
      </c>
      <c r="CV131" s="34">
        <f>IF(AND(CV$5&gt;$E131,CV$5&lt;=$F131),IF(CV$5=$E131+1,$C131,""),"")</f>
        <v/>
      </c>
      <c r="CW131" s="34">
        <f>IF(AND(CW$5&gt;$E131,CW$5&lt;=$F131),IF(CW$5=$E131+1,$C131,""),"")</f>
        <v/>
      </c>
      <c r="CX131" s="34">
        <f>IF(AND(CX$5&gt;$E131,CX$5&lt;=$F131),IF(CX$5=$E131+1,$C131,""),"")</f>
        <v/>
      </c>
      <c r="CY131" s="34">
        <f>IF(AND(CY$5&gt;$E131,CY$5&lt;=$F131),IF(CY$5=$E131+1,$C131,""),"")</f>
        <v/>
      </c>
      <c r="CZ131" s="34">
        <f>IF(AND(CZ$5&gt;$E131,CZ$5&lt;=$F131),IF(CZ$5=$E131+1,$C131,""),"")</f>
        <v/>
      </c>
      <c r="DA131" s="34">
        <f>IF(AND(DA$5&gt;$E131,DA$5&lt;=$F131),IF(DA$5=$E131+1,$C131,""),"")</f>
        <v/>
      </c>
      <c r="DB131" s="34">
        <f>IF(AND(DB$5&gt;$E131,DB$5&lt;=$F131),IF(DB$5=$E131+1,$C131,""),"")</f>
        <v/>
      </c>
      <c r="DC131" s="34">
        <f>IF(AND(DC$5&gt;$E131,DC$5&lt;=$F131),IF(DC$5=$E131+1,$C131,""),"")</f>
        <v/>
      </c>
      <c r="DD131" s="34">
        <f>IF(AND(DD$5&gt;$E131,DD$5&lt;=$F131),IF(DD$5=$E131+1,$C131,""),"")</f>
        <v/>
      </c>
      <c r="DE131" s="34">
        <f>IF(AND(DE$5&gt;$E131,DE$5&lt;=$F131),IF(DE$5=$E131+1,$C131,""),"")</f>
        <v/>
      </c>
      <c r="DF131" s="34">
        <f>IF(AND(DF$5&gt;$E131,DF$5&lt;=$F131),IF(DF$5=$E131+1,$C131,""),"")</f>
        <v/>
      </c>
      <c r="DG131" s="34">
        <f>IF(AND(DG$5&gt;$E131,DG$5&lt;=$F131),IF(DG$5=$E131+1,$C131,""),"")</f>
        <v/>
      </c>
      <c r="DH131" s="34">
        <f>IF(AND(DH$5&gt;$E131,DH$5&lt;=$F131),IF(DH$5=$E131+1,$C131,""),"")</f>
        <v/>
      </c>
      <c r="DI131" s="34">
        <f>IF(AND(DI$5&gt;$E131,DI$5&lt;=$F131),IF(DI$5=$E131+1,$C131,""),"")</f>
        <v/>
      </c>
      <c r="DJ131" s="34">
        <f>IF(AND(DJ$5&gt;$E131,DJ$5&lt;=$F131),IF(DJ$5=$E131+1,$C131,""),"")</f>
        <v/>
      </c>
      <c r="DK131" s="34">
        <f>IF(AND(DK$5&gt;$E131,DK$5&lt;=$F131),IF(DK$5=$E131+1,$C131,""),"")</f>
        <v/>
      </c>
      <c r="DL131" s="34">
        <f>IF(AND(DL$5&gt;$E131,DL$5&lt;=$F131),IF(DL$5=$E131+1,$C131,""),"")</f>
        <v/>
      </c>
      <c r="DM131" s="34">
        <f>IF(AND(DM$5&gt;$E131,DM$5&lt;=$F131),IF(DM$5=$E131+1,$C131,""),"")</f>
        <v/>
      </c>
      <c r="DN131" s="34">
        <f>IF(AND(DN$5&gt;$E131,DN$5&lt;=$F131),IF(DN$5=$E131+1,$C131,""),"")</f>
        <v/>
      </c>
      <c r="DO131" s="34">
        <f>IF(AND(DO$5&gt;$E131,DO$5&lt;=$F131),IF(DO$5=$E131+1,$C131,""),"")</f>
        <v/>
      </c>
      <c r="DP131" s="34">
        <f>IF(AND(DP$5&gt;$E131,DP$5&lt;=$F131),IF(DP$5=$E131+1,$C131,""),"")</f>
        <v/>
      </c>
      <c r="DQ131" s="34">
        <f>IF(AND(DQ$5&gt;$E131,DQ$5&lt;=$F131),IF(DQ$5=$E131+1,$C131,""),"")</f>
        <v/>
      </c>
      <c r="DR131" s="34">
        <f>IF(AND(DR$5&gt;$E131,DR$5&lt;=$F131),IF(DR$5=$E131+1,$C131,""),"")</f>
        <v/>
      </c>
      <c r="DS131" s="34">
        <f>IF(AND(DS$5&gt;$E131,DS$5&lt;=$F131),IF(DS$5=$E131+1,$C131,""),"")</f>
        <v/>
      </c>
      <c r="DT131" s="34">
        <f>IF(AND(DT$5&gt;$E131,DT$5&lt;=$F131),IF(DT$5=$E131+1,$C131,""),"")</f>
        <v/>
      </c>
      <c r="DU131" s="34">
        <f>IF(AND(DU$5&gt;$E131,DU$5&lt;=$F131),IF(DU$5=$E131+1,$C131,""),"")</f>
        <v/>
      </c>
      <c r="DV131" s="34">
        <f>IF(AND(DV$5&gt;$E131,DV$5&lt;=$F131),IF(DV$5=$E131+1,$C131,""),"")</f>
        <v/>
      </c>
      <c r="DW131" s="34">
        <f>IF(AND(DW$5&gt;$E131,DW$5&lt;=$F131),IF(DW$5=$E131+1,$C131,""),"")</f>
        <v/>
      </c>
      <c r="DX131" s="34">
        <f>IF(AND(DX$5&gt;$E131,DX$5&lt;=$F131),IF(DX$5=$E131+1,$C131,""),"")</f>
        <v/>
      </c>
      <c r="DY131" s="34">
        <f>IF(AND(DY$5&gt;$E131,DY$5&lt;=$F131),IF(DY$5=$E131+1,$C131,""),"")</f>
        <v/>
      </c>
      <c r="DZ131" s="34">
        <f>IF(AND(DZ$5&gt;$E131,DZ$5&lt;=$F131),IF(DZ$5=$E131+1,$C131,""),"")</f>
        <v/>
      </c>
      <c r="EA131" s="34">
        <f>IF(AND(EA$5&gt;$E131,EA$5&lt;=$F131),IF(EA$5=$E131+1,$C131,""),"")</f>
        <v/>
      </c>
      <c r="EB131" s="34">
        <f>IF(AND(EB$5&gt;$E131,EB$5&lt;=$F131),IF(EB$5=$E131+1,$C131,""),"")</f>
        <v/>
      </c>
      <c r="EC131" s="34">
        <f>IF(AND(EC$5&gt;$E131,EC$5&lt;=$F131),IF(EC$5=$E131+1,$C131,""),"")</f>
        <v/>
      </c>
      <c r="ED131" s="34">
        <f>IF(AND(ED$5&gt;$E131,ED$5&lt;=$F131),IF(ED$5=$E131+1,$C131,""),"")</f>
        <v/>
      </c>
      <c r="EE131" s="34">
        <f>IF(AND(EE$5&gt;$E131,EE$5&lt;=$F131),IF(EE$5=$E131+1,$C131,""),"")</f>
        <v/>
      </c>
      <c r="EF131" s="34">
        <f>IF(AND(EF$5&gt;$E131,EF$5&lt;=$F131),IF(EF$5=$E131+1,$C131,""),"")</f>
        <v/>
      </c>
      <c r="EG131" s="34">
        <f>IF(AND(EG$5&gt;$E131,EG$5&lt;=$F131),IF(EG$5=$E131+1,$C131,""),"")</f>
        <v/>
      </c>
      <c r="EH131" s="34">
        <f>IF(AND(EH$5&gt;$E131,EH$5&lt;=$F131),IF(EH$5=$E131+1,$C131,""),"")</f>
        <v/>
      </c>
      <c r="EI131" s="34">
        <f>IF(AND(EI$5&gt;$E131,EI$5&lt;=$F131),IF(EI$5=$E131+1,$C131,""),"")</f>
        <v/>
      </c>
      <c r="EJ131" s="34">
        <f>IF(AND(EJ$5&gt;$E131,EJ$5&lt;=$F131),IF(EJ$5=$E131+1,$C131,""),"")</f>
        <v/>
      </c>
      <c r="EK131" s="34">
        <f>IF(AND(EK$5&gt;$E131,EK$5&lt;=$F131),IF(EK$5=$E131+1,$C131,""),"")</f>
        <v/>
      </c>
      <c r="EL131" s="34">
        <f>IF(AND(EL$5&gt;$E131,EL$5&lt;=$F131),IF(EL$5=$E131+1,$C131,""),"")</f>
        <v/>
      </c>
      <c r="EM131" s="34">
        <f>IF(AND(EM$5&gt;$E131,EM$5&lt;=$F131),IF(EM$5=$E131+1,$C131,""),"")</f>
        <v/>
      </c>
      <c r="EN131" s="34">
        <f>IF(AND(EN$5&gt;$E131,EN$5&lt;=$F131),IF(EN$5=$E131+1,$C131,""),"")</f>
        <v/>
      </c>
      <c r="EO131" s="34">
        <f>IF(AND(EO$5&gt;$E131,EO$5&lt;=$F131),IF(EO$5=$E131+1,$C131,""),"")</f>
        <v/>
      </c>
      <c r="EP131" s="34">
        <f>IF(AND(EP$5&gt;$E131,EP$5&lt;=$F131),IF(EP$5=$E131+1,$C131,""),"")</f>
        <v/>
      </c>
      <c r="EQ131" s="34">
        <f>IF(AND(EQ$5&gt;$E131,EQ$5&lt;=$F131),IF(EQ$5=$E131+1,$C131,""),"")</f>
        <v/>
      </c>
      <c r="ER131" s="34">
        <f>IF(AND(ER$5&gt;$E131,ER$5&lt;=$F131),IF(ER$5=$E131+1,$C131,""),"")</f>
        <v/>
      </c>
      <c r="ES131" s="34">
        <f>IF(AND(ES$5&gt;$E131,ES$5&lt;=$F131),IF(ES$5=$E131+1,$C131,""),"")</f>
        <v/>
      </c>
      <c r="ET131" s="34">
        <f>IF(AND(ET$5&gt;$E131,ET$5&lt;=$F131),IF(ET$5=$E131+1,$C131,""),"")</f>
        <v/>
      </c>
      <c r="EU131" s="34">
        <f>IF(AND(EU$5&gt;$E131,EU$5&lt;=$F131),IF(EU$5=$E131+1,$C131,""),"")</f>
        <v/>
      </c>
      <c r="EV131" s="34">
        <f>IF(AND(EV$5&gt;$E131,EV$5&lt;=$F131),IF(EV$5=$E131+1,$C131,""),"")</f>
        <v/>
      </c>
      <c r="EW131" s="34">
        <f>IF(AND(EW$5&gt;$E131,EW$5&lt;=$F131),IF(EW$5=$E131+1,$C131,""),"")</f>
        <v/>
      </c>
      <c r="EX131" s="34">
        <f>IF(AND(EX$5&gt;$E131,EX$5&lt;=$F131),IF(EX$5=$E131+1,$C131,""),"")</f>
        <v/>
      </c>
      <c r="EY131" s="34">
        <f>IF(AND(EY$5&gt;$E131,EY$5&lt;=$F131),IF(EY$5=$E131+1,$C131,""),"")</f>
        <v/>
      </c>
      <c r="EZ131" s="34">
        <f>IF(AND(EZ$5&gt;$E131,EZ$5&lt;=$F131),IF(EZ$5=$E131+1,$C131,""),"")</f>
        <v/>
      </c>
      <c r="FA131" s="34">
        <f>IF(AND(FA$5&gt;$E131,FA$5&lt;=$F131),IF(FA$5=$E131+1,$C131,""),"")</f>
        <v/>
      </c>
    </row>
    <row r="132">
      <c r="A132" s="32">
        <f>Plan!A114</f>
        <v/>
      </c>
      <c r="B132" s="33">
        <f>Plan!C114</f>
        <v/>
      </c>
      <c r="C132" s="16">
        <f>Plan!D114</f>
        <v/>
      </c>
      <c r="D132" s="16">
        <f>Plan!I114</f>
        <v/>
      </c>
      <c r="E132" s="16">
        <f>Plan!K114</f>
        <v/>
      </c>
      <c r="F132" s="16">
        <f>Plan!L114</f>
        <v/>
      </c>
      <c r="G132" s="16">
        <f>Plan!O114</f>
        <v/>
      </c>
      <c r="H132" s="34">
        <f>IF(AND(H$5&gt;$E132,H$5&lt;=$F132),IF(H$5=$E132+1,$C132,""),"")</f>
        <v/>
      </c>
      <c r="I132" s="34">
        <f>IF(AND(I$5&gt;$E132,I$5&lt;=$F132),IF(I$5=$E132+1,$C132,""),"")</f>
        <v/>
      </c>
      <c r="J132" s="34">
        <f>IF(AND(J$5&gt;$E132,J$5&lt;=$F132),IF(J$5=$E132+1,$C132,""),"")</f>
        <v/>
      </c>
      <c r="K132" s="34">
        <f>IF(AND(K$5&gt;$E132,K$5&lt;=$F132),IF(K$5=$E132+1,$C132,""),"")</f>
        <v/>
      </c>
      <c r="L132" s="34">
        <f>IF(AND(L$5&gt;$E132,L$5&lt;=$F132),IF(L$5=$E132+1,$C132,""),"")</f>
        <v/>
      </c>
      <c r="M132" s="34">
        <f>IF(AND(M$5&gt;$E132,M$5&lt;=$F132),IF(M$5=$E132+1,$C132,""),"")</f>
        <v/>
      </c>
      <c r="N132" s="34">
        <f>IF(AND(N$5&gt;$E132,N$5&lt;=$F132),IF(N$5=$E132+1,$C132,""),"")</f>
        <v/>
      </c>
      <c r="O132" s="34">
        <f>IF(AND(O$5&gt;$E132,O$5&lt;=$F132),IF(O$5=$E132+1,$C132,""),"")</f>
        <v/>
      </c>
      <c r="P132" s="34">
        <f>IF(AND(P$5&gt;$E132,P$5&lt;=$F132),IF(P$5=$E132+1,$C132,""),"")</f>
        <v/>
      </c>
      <c r="Q132" s="34">
        <f>IF(AND(Q$5&gt;$E132,Q$5&lt;=$F132),IF(Q$5=$E132+1,$C132,""),"")</f>
        <v/>
      </c>
      <c r="R132" s="34">
        <f>IF(AND(R$5&gt;$E132,R$5&lt;=$F132),IF(R$5=$E132+1,$C132,""),"")</f>
        <v/>
      </c>
      <c r="S132" s="34">
        <f>IF(AND(S$5&gt;$E132,S$5&lt;=$F132),IF(S$5=$E132+1,$C132,""),"")</f>
        <v/>
      </c>
      <c r="T132" s="34">
        <f>IF(AND(T$5&gt;$E132,T$5&lt;=$F132),IF(T$5=$E132+1,$C132,""),"")</f>
        <v/>
      </c>
      <c r="U132" s="34">
        <f>IF(AND(U$5&gt;$E132,U$5&lt;=$F132),IF(U$5=$E132+1,$C132,""),"")</f>
        <v/>
      </c>
      <c r="V132" s="34">
        <f>IF(AND(V$5&gt;$E132,V$5&lt;=$F132),IF(V$5=$E132+1,$C132,""),"")</f>
        <v/>
      </c>
      <c r="W132" s="34">
        <f>IF(AND(W$5&gt;$E132,W$5&lt;=$F132),IF(W$5=$E132+1,$C132,""),"")</f>
        <v/>
      </c>
      <c r="X132" s="34">
        <f>IF(AND(X$5&gt;$E132,X$5&lt;=$F132),IF(X$5=$E132+1,$C132,""),"")</f>
        <v/>
      </c>
      <c r="Y132" s="34">
        <f>IF(AND(Y$5&gt;$E132,Y$5&lt;=$F132),IF(Y$5=$E132+1,$C132,""),"")</f>
        <v/>
      </c>
      <c r="Z132" s="34">
        <f>IF(AND(Z$5&gt;$E132,Z$5&lt;=$F132),IF(Z$5=$E132+1,$C132,""),"")</f>
        <v/>
      </c>
      <c r="AA132" s="34">
        <f>IF(AND(AA$5&gt;$E132,AA$5&lt;=$F132),IF(AA$5=$E132+1,$C132,""),"")</f>
        <v/>
      </c>
      <c r="AB132" s="34">
        <f>IF(AND(AB$5&gt;$E132,AB$5&lt;=$F132),IF(AB$5=$E132+1,$C132,""),"")</f>
        <v/>
      </c>
      <c r="AC132" s="34">
        <f>IF(AND(AC$5&gt;$E132,AC$5&lt;=$F132),IF(AC$5=$E132+1,$C132,""),"")</f>
        <v/>
      </c>
      <c r="AD132" s="34">
        <f>IF(AND(AD$5&gt;$E132,AD$5&lt;=$F132),IF(AD$5=$E132+1,$C132,""),"")</f>
        <v/>
      </c>
      <c r="AE132" s="34">
        <f>IF(AND(AE$5&gt;$E132,AE$5&lt;=$F132),IF(AE$5=$E132+1,$C132,""),"")</f>
        <v/>
      </c>
      <c r="AF132" s="34">
        <f>IF(AND(AF$5&gt;$E132,AF$5&lt;=$F132),IF(AF$5=$E132+1,$C132,""),"")</f>
        <v/>
      </c>
      <c r="AG132" s="34">
        <f>IF(AND(AG$5&gt;$E132,AG$5&lt;=$F132),IF(AG$5=$E132+1,$C132,""),"")</f>
        <v/>
      </c>
      <c r="AH132" s="34">
        <f>IF(AND(AH$5&gt;$E132,AH$5&lt;=$F132),IF(AH$5=$E132+1,$C132,""),"")</f>
        <v/>
      </c>
      <c r="AI132" s="34">
        <f>IF(AND(AI$5&gt;$E132,AI$5&lt;=$F132),IF(AI$5=$E132+1,$C132,""),"")</f>
        <v/>
      </c>
      <c r="AJ132" s="34">
        <f>IF(AND(AJ$5&gt;$E132,AJ$5&lt;=$F132),IF(AJ$5=$E132+1,$C132,""),"")</f>
        <v/>
      </c>
      <c r="AK132" s="34">
        <f>IF(AND(AK$5&gt;$E132,AK$5&lt;=$F132),IF(AK$5=$E132+1,$C132,""),"")</f>
        <v/>
      </c>
      <c r="AL132" s="34">
        <f>IF(AND(AL$5&gt;$E132,AL$5&lt;=$F132),IF(AL$5=$E132+1,$C132,""),"")</f>
        <v/>
      </c>
      <c r="AM132" s="34">
        <f>IF(AND(AM$5&gt;$E132,AM$5&lt;=$F132),IF(AM$5=$E132+1,$C132,""),"")</f>
        <v/>
      </c>
      <c r="AN132" s="34">
        <f>IF(AND(AN$5&gt;$E132,AN$5&lt;=$F132),IF(AN$5=$E132+1,$C132,""),"")</f>
        <v/>
      </c>
      <c r="AO132" s="34">
        <f>IF(AND(AO$5&gt;$E132,AO$5&lt;=$F132),IF(AO$5=$E132+1,$C132,""),"")</f>
        <v/>
      </c>
      <c r="AP132" s="34">
        <f>IF(AND(AP$5&gt;$E132,AP$5&lt;=$F132),IF(AP$5=$E132+1,$C132,""),"")</f>
        <v/>
      </c>
      <c r="AQ132" s="34">
        <f>IF(AND(AQ$5&gt;$E132,AQ$5&lt;=$F132),IF(AQ$5=$E132+1,$C132,""),"")</f>
        <v/>
      </c>
      <c r="AR132" s="34">
        <f>IF(AND(AR$5&gt;$E132,AR$5&lt;=$F132),IF(AR$5=$E132+1,$C132,""),"")</f>
        <v/>
      </c>
      <c r="AS132" s="34">
        <f>IF(AND(AS$5&gt;$E132,AS$5&lt;=$F132),IF(AS$5=$E132+1,$C132,""),"")</f>
        <v/>
      </c>
      <c r="AT132" s="34">
        <f>IF(AND(AT$5&gt;$E132,AT$5&lt;=$F132),IF(AT$5=$E132+1,$C132,""),"")</f>
        <v/>
      </c>
      <c r="AU132" s="34">
        <f>IF(AND(AU$5&gt;$E132,AU$5&lt;=$F132),IF(AU$5=$E132+1,$C132,""),"")</f>
        <v/>
      </c>
      <c r="AV132" s="34">
        <f>IF(AND(AV$5&gt;$E132,AV$5&lt;=$F132),IF(AV$5=$E132+1,$C132,""),"")</f>
        <v/>
      </c>
      <c r="AW132" s="34">
        <f>IF(AND(AW$5&gt;$E132,AW$5&lt;=$F132),IF(AW$5=$E132+1,$C132,""),"")</f>
        <v/>
      </c>
      <c r="AX132" s="34">
        <f>IF(AND(AX$5&gt;$E132,AX$5&lt;=$F132),IF(AX$5=$E132+1,$C132,""),"")</f>
        <v/>
      </c>
      <c r="AY132" s="34">
        <f>IF(AND(AY$5&gt;$E132,AY$5&lt;=$F132),IF(AY$5=$E132+1,$C132,""),"")</f>
        <v/>
      </c>
      <c r="AZ132" s="34">
        <f>IF(AND(AZ$5&gt;$E132,AZ$5&lt;=$F132),IF(AZ$5=$E132+1,$C132,""),"")</f>
        <v/>
      </c>
      <c r="BA132" s="34">
        <f>IF(AND(BA$5&gt;$E132,BA$5&lt;=$F132),IF(BA$5=$E132+1,$C132,""),"")</f>
        <v/>
      </c>
      <c r="BB132" s="34">
        <f>IF(AND(BB$5&gt;$E132,BB$5&lt;=$F132),IF(BB$5=$E132+1,$C132,""),"")</f>
        <v/>
      </c>
      <c r="BC132" s="34">
        <f>IF(AND(BC$5&gt;$E132,BC$5&lt;=$F132),IF(BC$5=$E132+1,$C132,""),"")</f>
        <v/>
      </c>
      <c r="BD132" s="34">
        <f>IF(AND(BD$5&gt;$E132,BD$5&lt;=$F132),IF(BD$5=$E132+1,$C132,""),"")</f>
        <v/>
      </c>
      <c r="BE132" s="34">
        <f>IF(AND(BE$5&gt;$E132,BE$5&lt;=$F132),IF(BE$5=$E132+1,$C132,""),"")</f>
        <v/>
      </c>
      <c r="BF132" s="34">
        <f>IF(AND(BF$5&gt;$E132,BF$5&lt;=$F132),IF(BF$5=$E132+1,$C132,""),"")</f>
        <v/>
      </c>
      <c r="BG132" s="34">
        <f>IF(AND(BG$5&gt;$E132,BG$5&lt;=$F132),IF(BG$5=$E132+1,$C132,""),"")</f>
        <v/>
      </c>
      <c r="BH132" s="34">
        <f>IF(AND(BH$5&gt;$E132,BH$5&lt;=$F132),IF(BH$5=$E132+1,$C132,""),"")</f>
        <v/>
      </c>
      <c r="BI132" s="34">
        <f>IF(AND(BI$5&gt;$E132,BI$5&lt;=$F132),IF(BI$5=$E132+1,$C132,""),"")</f>
        <v/>
      </c>
      <c r="BJ132" s="34">
        <f>IF(AND(BJ$5&gt;$E132,BJ$5&lt;=$F132),IF(BJ$5=$E132+1,$C132,""),"")</f>
        <v/>
      </c>
      <c r="BK132" s="34">
        <f>IF(AND(BK$5&gt;$E132,BK$5&lt;=$F132),IF(BK$5=$E132+1,$C132,""),"")</f>
        <v/>
      </c>
      <c r="BL132" s="34">
        <f>IF(AND(BL$5&gt;$E132,BL$5&lt;=$F132),IF(BL$5=$E132+1,$C132,""),"")</f>
        <v/>
      </c>
      <c r="BM132" s="34">
        <f>IF(AND(BM$5&gt;$E132,BM$5&lt;=$F132),IF(BM$5=$E132+1,$C132,""),"")</f>
        <v/>
      </c>
      <c r="BN132" s="34">
        <f>IF(AND(BN$5&gt;$E132,BN$5&lt;=$F132),IF(BN$5=$E132+1,$C132,""),"")</f>
        <v/>
      </c>
      <c r="BO132" s="34">
        <f>IF(AND(BO$5&gt;$E132,BO$5&lt;=$F132),IF(BO$5=$E132+1,$C132,""),"")</f>
        <v/>
      </c>
      <c r="BP132" s="34">
        <f>IF(AND(BP$5&gt;$E132,BP$5&lt;=$F132),IF(BP$5=$E132+1,$C132,""),"")</f>
        <v/>
      </c>
      <c r="BQ132" s="34">
        <f>IF(AND(BQ$5&gt;$E132,BQ$5&lt;=$F132),IF(BQ$5=$E132+1,$C132,""),"")</f>
        <v/>
      </c>
      <c r="BR132" s="34">
        <f>IF(AND(BR$5&gt;$E132,BR$5&lt;=$F132),IF(BR$5=$E132+1,$C132,""),"")</f>
        <v/>
      </c>
      <c r="BS132" s="34">
        <f>IF(AND(BS$5&gt;$E132,BS$5&lt;=$F132),IF(BS$5=$E132+1,$C132,""),"")</f>
        <v/>
      </c>
      <c r="BT132" s="34">
        <f>IF(AND(BT$5&gt;$E132,BT$5&lt;=$F132),IF(BT$5=$E132+1,$C132,""),"")</f>
        <v/>
      </c>
      <c r="BU132" s="34">
        <f>IF(AND(BU$5&gt;$E132,BU$5&lt;=$F132),IF(BU$5=$E132+1,$C132,""),"")</f>
        <v/>
      </c>
      <c r="BV132" s="34">
        <f>IF(AND(BV$5&gt;$E132,BV$5&lt;=$F132),IF(BV$5=$E132+1,$C132,""),"")</f>
        <v/>
      </c>
      <c r="BW132" s="34">
        <f>IF(AND(BW$5&gt;$E132,BW$5&lt;=$F132),IF(BW$5=$E132+1,$C132,""),"")</f>
        <v/>
      </c>
      <c r="BX132" s="34">
        <f>IF(AND(BX$5&gt;$E132,BX$5&lt;=$F132),IF(BX$5=$E132+1,$C132,""),"")</f>
        <v/>
      </c>
      <c r="BY132" s="34">
        <f>IF(AND(BY$5&gt;$E132,BY$5&lt;=$F132),IF(BY$5=$E132+1,$C132,""),"")</f>
        <v/>
      </c>
      <c r="BZ132" s="34">
        <f>IF(AND(BZ$5&gt;$E132,BZ$5&lt;=$F132),IF(BZ$5=$E132+1,$C132,""),"")</f>
        <v/>
      </c>
      <c r="CA132" s="34">
        <f>IF(AND(CA$5&gt;$E132,CA$5&lt;=$F132),IF(CA$5=$E132+1,$C132,""),"")</f>
        <v/>
      </c>
      <c r="CB132" s="34">
        <f>IF(AND(CB$5&gt;$E132,CB$5&lt;=$F132),IF(CB$5=$E132+1,$C132,""),"")</f>
        <v/>
      </c>
      <c r="CC132" s="34">
        <f>IF(AND(CC$5&gt;$E132,CC$5&lt;=$F132),IF(CC$5=$E132+1,$C132,""),"")</f>
        <v/>
      </c>
      <c r="CD132" s="34">
        <f>IF(AND(CD$5&gt;$E132,CD$5&lt;=$F132),IF(CD$5=$E132+1,$C132,""),"")</f>
        <v/>
      </c>
      <c r="CE132" s="34">
        <f>IF(AND(CE$5&gt;$E132,CE$5&lt;=$F132),IF(CE$5=$E132+1,$C132,""),"")</f>
        <v/>
      </c>
      <c r="CF132" s="34">
        <f>IF(AND(CF$5&gt;$E132,CF$5&lt;=$F132),IF(CF$5=$E132+1,$C132,""),"")</f>
        <v/>
      </c>
      <c r="CG132" s="34">
        <f>IF(AND(CG$5&gt;$E132,CG$5&lt;=$F132),IF(CG$5=$E132+1,$C132,""),"")</f>
        <v/>
      </c>
      <c r="CH132" s="34">
        <f>IF(AND(CH$5&gt;$E132,CH$5&lt;=$F132),IF(CH$5=$E132+1,$C132,""),"")</f>
        <v/>
      </c>
      <c r="CI132" s="34">
        <f>IF(AND(CI$5&gt;$E132,CI$5&lt;=$F132),IF(CI$5=$E132+1,$C132,""),"")</f>
        <v/>
      </c>
      <c r="CJ132" s="34">
        <f>IF(AND(CJ$5&gt;$E132,CJ$5&lt;=$F132),IF(CJ$5=$E132+1,$C132,""),"")</f>
        <v/>
      </c>
      <c r="CK132" s="34">
        <f>IF(AND(CK$5&gt;$E132,CK$5&lt;=$F132),IF(CK$5=$E132+1,$C132,""),"")</f>
        <v/>
      </c>
      <c r="CL132" s="34">
        <f>IF(AND(CL$5&gt;$E132,CL$5&lt;=$F132),IF(CL$5=$E132+1,$C132,""),"")</f>
        <v/>
      </c>
      <c r="CM132" s="34">
        <f>IF(AND(CM$5&gt;$E132,CM$5&lt;=$F132),IF(CM$5=$E132+1,$C132,""),"")</f>
        <v/>
      </c>
      <c r="CN132" s="34">
        <f>IF(AND(CN$5&gt;$E132,CN$5&lt;=$F132),IF(CN$5=$E132+1,$C132,""),"")</f>
        <v/>
      </c>
      <c r="CO132" s="34">
        <f>IF(AND(CO$5&gt;$E132,CO$5&lt;=$F132),IF(CO$5=$E132+1,$C132,""),"")</f>
        <v/>
      </c>
      <c r="CP132" s="34">
        <f>IF(AND(CP$5&gt;$E132,CP$5&lt;=$F132),IF(CP$5=$E132+1,$C132,""),"")</f>
        <v/>
      </c>
      <c r="CQ132" s="34">
        <f>IF(AND(CQ$5&gt;$E132,CQ$5&lt;=$F132),IF(CQ$5=$E132+1,$C132,""),"")</f>
        <v/>
      </c>
      <c r="CR132" s="34">
        <f>IF(AND(CR$5&gt;$E132,CR$5&lt;=$F132),IF(CR$5=$E132+1,$C132,""),"")</f>
        <v/>
      </c>
      <c r="CS132" s="34">
        <f>IF(AND(CS$5&gt;$E132,CS$5&lt;=$F132),IF(CS$5=$E132+1,$C132,""),"")</f>
        <v/>
      </c>
      <c r="CT132" s="34">
        <f>IF(AND(CT$5&gt;$E132,CT$5&lt;=$F132),IF(CT$5=$E132+1,$C132,""),"")</f>
        <v/>
      </c>
      <c r="CU132" s="34">
        <f>IF(AND(CU$5&gt;$E132,CU$5&lt;=$F132),IF(CU$5=$E132+1,$C132,""),"")</f>
        <v/>
      </c>
      <c r="CV132" s="34">
        <f>IF(AND(CV$5&gt;$E132,CV$5&lt;=$F132),IF(CV$5=$E132+1,$C132,""),"")</f>
        <v/>
      </c>
      <c r="CW132" s="34">
        <f>IF(AND(CW$5&gt;$E132,CW$5&lt;=$F132),IF(CW$5=$E132+1,$C132,""),"")</f>
        <v/>
      </c>
      <c r="CX132" s="34">
        <f>IF(AND(CX$5&gt;$E132,CX$5&lt;=$F132),IF(CX$5=$E132+1,$C132,""),"")</f>
        <v/>
      </c>
      <c r="CY132" s="34">
        <f>IF(AND(CY$5&gt;$E132,CY$5&lt;=$F132),IF(CY$5=$E132+1,$C132,""),"")</f>
        <v/>
      </c>
      <c r="CZ132" s="34">
        <f>IF(AND(CZ$5&gt;$E132,CZ$5&lt;=$F132),IF(CZ$5=$E132+1,$C132,""),"")</f>
        <v/>
      </c>
      <c r="DA132" s="34">
        <f>IF(AND(DA$5&gt;$E132,DA$5&lt;=$F132),IF(DA$5=$E132+1,$C132,""),"")</f>
        <v/>
      </c>
      <c r="DB132" s="34">
        <f>IF(AND(DB$5&gt;$E132,DB$5&lt;=$F132),IF(DB$5=$E132+1,$C132,""),"")</f>
        <v/>
      </c>
      <c r="DC132" s="34">
        <f>IF(AND(DC$5&gt;$E132,DC$5&lt;=$F132),IF(DC$5=$E132+1,$C132,""),"")</f>
        <v/>
      </c>
      <c r="DD132" s="34">
        <f>IF(AND(DD$5&gt;$E132,DD$5&lt;=$F132),IF(DD$5=$E132+1,$C132,""),"")</f>
        <v/>
      </c>
      <c r="DE132" s="34">
        <f>IF(AND(DE$5&gt;$E132,DE$5&lt;=$F132),IF(DE$5=$E132+1,$C132,""),"")</f>
        <v/>
      </c>
      <c r="DF132" s="34">
        <f>IF(AND(DF$5&gt;$E132,DF$5&lt;=$F132),IF(DF$5=$E132+1,$C132,""),"")</f>
        <v/>
      </c>
      <c r="DG132" s="34">
        <f>IF(AND(DG$5&gt;$E132,DG$5&lt;=$F132),IF(DG$5=$E132+1,$C132,""),"")</f>
        <v/>
      </c>
      <c r="DH132" s="34">
        <f>IF(AND(DH$5&gt;$E132,DH$5&lt;=$F132),IF(DH$5=$E132+1,$C132,""),"")</f>
        <v/>
      </c>
      <c r="DI132" s="34">
        <f>IF(AND(DI$5&gt;$E132,DI$5&lt;=$F132),IF(DI$5=$E132+1,$C132,""),"")</f>
        <v/>
      </c>
      <c r="DJ132" s="34">
        <f>IF(AND(DJ$5&gt;$E132,DJ$5&lt;=$F132),IF(DJ$5=$E132+1,$C132,""),"")</f>
        <v/>
      </c>
      <c r="DK132" s="34">
        <f>IF(AND(DK$5&gt;$E132,DK$5&lt;=$F132),IF(DK$5=$E132+1,$C132,""),"")</f>
        <v/>
      </c>
      <c r="DL132" s="34">
        <f>IF(AND(DL$5&gt;$E132,DL$5&lt;=$F132),IF(DL$5=$E132+1,$C132,""),"")</f>
        <v/>
      </c>
      <c r="DM132" s="34">
        <f>IF(AND(DM$5&gt;$E132,DM$5&lt;=$F132),IF(DM$5=$E132+1,$C132,""),"")</f>
        <v/>
      </c>
      <c r="DN132" s="34">
        <f>IF(AND(DN$5&gt;$E132,DN$5&lt;=$F132),IF(DN$5=$E132+1,$C132,""),"")</f>
        <v/>
      </c>
      <c r="DO132" s="34">
        <f>IF(AND(DO$5&gt;$E132,DO$5&lt;=$F132),IF(DO$5=$E132+1,$C132,""),"")</f>
        <v/>
      </c>
      <c r="DP132" s="34">
        <f>IF(AND(DP$5&gt;$E132,DP$5&lt;=$F132),IF(DP$5=$E132+1,$C132,""),"")</f>
        <v/>
      </c>
      <c r="DQ132" s="34">
        <f>IF(AND(DQ$5&gt;$E132,DQ$5&lt;=$F132),IF(DQ$5=$E132+1,$C132,""),"")</f>
        <v/>
      </c>
      <c r="DR132" s="34">
        <f>IF(AND(DR$5&gt;$E132,DR$5&lt;=$F132),IF(DR$5=$E132+1,$C132,""),"")</f>
        <v/>
      </c>
      <c r="DS132" s="34">
        <f>IF(AND(DS$5&gt;$E132,DS$5&lt;=$F132),IF(DS$5=$E132+1,$C132,""),"")</f>
        <v/>
      </c>
      <c r="DT132" s="34">
        <f>IF(AND(DT$5&gt;$E132,DT$5&lt;=$F132),IF(DT$5=$E132+1,$C132,""),"")</f>
        <v/>
      </c>
      <c r="DU132" s="34">
        <f>IF(AND(DU$5&gt;$E132,DU$5&lt;=$F132),IF(DU$5=$E132+1,$C132,""),"")</f>
        <v/>
      </c>
      <c r="DV132" s="34">
        <f>IF(AND(DV$5&gt;$E132,DV$5&lt;=$F132),IF(DV$5=$E132+1,$C132,""),"")</f>
        <v/>
      </c>
      <c r="DW132" s="34">
        <f>IF(AND(DW$5&gt;$E132,DW$5&lt;=$F132),IF(DW$5=$E132+1,$C132,""),"")</f>
        <v/>
      </c>
      <c r="DX132" s="34">
        <f>IF(AND(DX$5&gt;$E132,DX$5&lt;=$F132),IF(DX$5=$E132+1,$C132,""),"")</f>
        <v/>
      </c>
      <c r="DY132" s="34">
        <f>IF(AND(DY$5&gt;$E132,DY$5&lt;=$F132),IF(DY$5=$E132+1,$C132,""),"")</f>
        <v/>
      </c>
      <c r="DZ132" s="34">
        <f>IF(AND(DZ$5&gt;$E132,DZ$5&lt;=$F132),IF(DZ$5=$E132+1,$C132,""),"")</f>
        <v/>
      </c>
      <c r="EA132" s="34">
        <f>IF(AND(EA$5&gt;$E132,EA$5&lt;=$F132),IF(EA$5=$E132+1,$C132,""),"")</f>
        <v/>
      </c>
      <c r="EB132" s="34">
        <f>IF(AND(EB$5&gt;$E132,EB$5&lt;=$F132),IF(EB$5=$E132+1,$C132,""),"")</f>
        <v/>
      </c>
      <c r="EC132" s="34">
        <f>IF(AND(EC$5&gt;$E132,EC$5&lt;=$F132),IF(EC$5=$E132+1,$C132,""),"")</f>
        <v/>
      </c>
      <c r="ED132" s="34">
        <f>IF(AND(ED$5&gt;$E132,ED$5&lt;=$F132),IF(ED$5=$E132+1,$C132,""),"")</f>
        <v/>
      </c>
      <c r="EE132" s="34">
        <f>IF(AND(EE$5&gt;$E132,EE$5&lt;=$F132),IF(EE$5=$E132+1,$C132,""),"")</f>
        <v/>
      </c>
      <c r="EF132" s="34">
        <f>IF(AND(EF$5&gt;$E132,EF$5&lt;=$F132),IF(EF$5=$E132+1,$C132,""),"")</f>
        <v/>
      </c>
      <c r="EG132" s="34">
        <f>IF(AND(EG$5&gt;$E132,EG$5&lt;=$F132),IF(EG$5=$E132+1,$C132,""),"")</f>
        <v/>
      </c>
      <c r="EH132" s="34">
        <f>IF(AND(EH$5&gt;$E132,EH$5&lt;=$F132),IF(EH$5=$E132+1,$C132,""),"")</f>
        <v/>
      </c>
      <c r="EI132" s="34">
        <f>IF(AND(EI$5&gt;$E132,EI$5&lt;=$F132),IF(EI$5=$E132+1,$C132,""),"")</f>
        <v/>
      </c>
      <c r="EJ132" s="34">
        <f>IF(AND(EJ$5&gt;$E132,EJ$5&lt;=$F132),IF(EJ$5=$E132+1,$C132,""),"")</f>
        <v/>
      </c>
      <c r="EK132" s="34">
        <f>IF(AND(EK$5&gt;$E132,EK$5&lt;=$F132),IF(EK$5=$E132+1,$C132,""),"")</f>
        <v/>
      </c>
      <c r="EL132" s="34">
        <f>IF(AND(EL$5&gt;$E132,EL$5&lt;=$F132),IF(EL$5=$E132+1,$C132,""),"")</f>
        <v/>
      </c>
      <c r="EM132" s="34">
        <f>IF(AND(EM$5&gt;$E132,EM$5&lt;=$F132),IF(EM$5=$E132+1,$C132,""),"")</f>
        <v/>
      </c>
      <c r="EN132" s="34">
        <f>IF(AND(EN$5&gt;$E132,EN$5&lt;=$F132),IF(EN$5=$E132+1,$C132,""),"")</f>
        <v/>
      </c>
      <c r="EO132" s="34">
        <f>IF(AND(EO$5&gt;$E132,EO$5&lt;=$F132),IF(EO$5=$E132+1,$C132,""),"")</f>
        <v/>
      </c>
      <c r="EP132" s="34">
        <f>IF(AND(EP$5&gt;$E132,EP$5&lt;=$F132),IF(EP$5=$E132+1,$C132,""),"")</f>
        <v/>
      </c>
      <c r="EQ132" s="34">
        <f>IF(AND(EQ$5&gt;$E132,EQ$5&lt;=$F132),IF(EQ$5=$E132+1,$C132,""),"")</f>
        <v/>
      </c>
      <c r="ER132" s="34">
        <f>IF(AND(ER$5&gt;$E132,ER$5&lt;=$F132),IF(ER$5=$E132+1,$C132,""),"")</f>
        <v/>
      </c>
      <c r="ES132" s="34">
        <f>IF(AND(ES$5&gt;$E132,ES$5&lt;=$F132),IF(ES$5=$E132+1,$C132,""),"")</f>
        <v/>
      </c>
      <c r="ET132" s="34">
        <f>IF(AND(ET$5&gt;$E132,ET$5&lt;=$F132),IF(ET$5=$E132+1,$C132,""),"")</f>
        <v/>
      </c>
      <c r="EU132" s="34">
        <f>IF(AND(EU$5&gt;$E132,EU$5&lt;=$F132),IF(EU$5=$E132+1,$C132,""),"")</f>
        <v/>
      </c>
      <c r="EV132" s="34">
        <f>IF(AND(EV$5&gt;$E132,EV$5&lt;=$F132),IF(EV$5=$E132+1,$C132,""),"")</f>
        <v/>
      </c>
      <c r="EW132" s="34">
        <f>IF(AND(EW$5&gt;$E132,EW$5&lt;=$F132),IF(EW$5=$E132+1,$C132,""),"")</f>
        <v/>
      </c>
      <c r="EX132" s="34">
        <f>IF(AND(EX$5&gt;$E132,EX$5&lt;=$F132),IF(EX$5=$E132+1,$C132,""),"")</f>
        <v/>
      </c>
      <c r="EY132" s="34">
        <f>IF(AND(EY$5&gt;$E132,EY$5&lt;=$F132),IF(EY$5=$E132+1,$C132,""),"")</f>
        <v/>
      </c>
      <c r="EZ132" s="34">
        <f>IF(AND(EZ$5&gt;$E132,EZ$5&lt;=$F132),IF(EZ$5=$E132+1,$C132,""),"")</f>
        <v/>
      </c>
      <c r="FA132" s="34">
        <f>IF(AND(FA$5&gt;$E132,FA$5&lt;=$F132),IF(FA$5=$E132+1,$C132,""),"")</f>
        <v/>
      </c>
    </row>
    <row r="133">
      <c r="A133" s="32">
        <f>Plan!A115</f>
        <v/>
      </c>
      <c r="B133" s="33">
        <f>Plan!C115</f>
        <v/>
      </c>
      <c r="C133" s="16">
        <f>Plan!D115</f>
        <v/>
      </c>
      <c r="D133" s="16">
        <f>Plan!I115</f>
        <v/>
      </c>
      <c r="E133" s="16">
        <f>Plan!K115</f>
        <v/>
      </c>
      <c r="F133" s="16">
        <f>Plan!L115</f>
        <v/>
      </c>
      <c r="G133" s="16">
        <f>Plan!O115</f>
        <v/>
      </c>
      <c r="H133" s="34">
        <f>IF(AND(H$5&gt;$E133,H$5&lt;=$F133),IF(H$5=$E133+1,$C133,""),"")</f>
        <v/>
      </c>
      <c r="I133" s="34">
        <f>IF(AND(I$5&gt;$E133,I$5&lt;=$F133),IF(I$5=$E133+1,$C133,""),"")</f>
        <v/>
      </c>
      <c r="J133" s="34">
        <f>IF(AND(J$5&gt;$E133,J$5&lt;=$F133),IF(J$5=$E133+1,$C133,""),"")</f>
        <v/>
      </c>
      <c r="K133" s="34">
        <f>IF(AND(K$5&gt;$E133,K$5&lt;=$F133),IF(K$5=$E133+1,$C133,""),"")</f>
        <v/>
      </c>
      <c r="L133" s="34">
        <f>IF(AND(L$5&gt;$E133,L$5&lt;=$F133),IF(L$5=$E133+1,$C133,""),"")</f>
        <v/>
      </c>
      <c r="M133" s="34">
        <f>IF(AND(M$5&gt;$E133,M$5&lt;=$F133),IF(M$5=$E133+1,$C133,""),"")</f>
        <v/>
      </c>
      <c r="N133" s="34">
        <f>IF(AND(N$5&gt;$E133,N$5&lt;=$F133),IF(N$5=$E133+1,$C133,""),"")</f>
        <v/>
      </c>
      <c r="O133" s="34">
        <f>IF(AND(O$5&gt;$E133,O$5&lt;=$F133),IF(O$5=$E133+1,$C133,""),"")</f>
        <v/>
      </c>
      <c r="P133" s="34">
        <f>IF(AND(P$5&gt;$E133,P$5&lt;=$F133),IF(P$5=$E133+1,$C133,""),"")</f>
        <v/>
      </c>
      <c r="Q133" s="34">
        <f>IF(AND(Q$5&gt;$E133,Q$5&lt;=$F133),IF(Q$5=$E133+1,$C133,""),"")</f>
        <v/>
      </c>
      <c r="R133" s="34">
        <f>IF(AND(R$5&gt;$E133,R$5&lt;=$F133),IF(R$5=$E133+1,$C133,""),"")</f>
        <v/>
      </c>
      <c r="S133" s="34">
        <f>IF(AND(S$5&gt;$E133,S$5&lt;=$F133),IF(S$5=$E133+1,$C133,""),"")</f>
        <v/>
      </c>
      <c r="T133" s="34">
        <f>IF(AND(T$5&gt;$E133,T$5&lt;=$F133),IF(T$5=$E133+1,$C133,""),"")</f>
        <v/>
      </c>
      <c r="U133" s="34">
        <f>IF(AND(U$5&gt;$E133,U$5&lt;=$F133),IF(U$5=$E133+1,$C133,""),"")</f>
        <v/>
      </c>
      <c r="V133" s="34">
        <f>IF(AND(V$5&gt;$E133,V$5&lt;=$F133),IF(V$5=$E133+1,$C133,""),"")</f>
        <v/>
      </c>
      <c r="W133" s="34">
        <f>IF(AND(W$5&gt;$E133,W$5&lt;=$F133),IF(W$5=$E133+1,$C133,""),"")</f>
        <v/>
      </c>
      <c r="X133" s="34">
        <f>IF(AND(X$5&gt;$E133,X$5&lt;=$F133),IF(X$5=$E133+1,$C133,""),"")</f>
        <v/>
      </c>
      <c r="Y133" s="34">
        <f>IF(AND(Y$5&gt;$E133,Y$5&lt;=$F133),IF(Y$5=$E133+1,$C133,""),"")</f>
        <v/>
      </c>
      <c r="Z133" s="34">
        <f>IF(AND(Z$5&gt;$E133,Z$5&lt;=$F133),IF(Z$5=$E133+1,$C133,""),"")</f>
        <v/>
      </c>
      <c r="AA133" s="34">
        <f>IF(AND(AA$5&gt;$E133,AA$5&lt;=$F133),IF(AA$5=$E133+1,$C133,""),"")</f>
        <v/>
      </c>
      <c r="AB133" s="34">
        <f>IF(AND(AB$5&gt;$E133,AB$5&lt;=$F133),IF(AB$5=$E133+1,$C133,""),"")</f>
        <v/>
      </c>
      <c r="AC133" s="34">
        <f>IF(AND(AC$5&gt;$E133,AC$5&lt;=$F133),IF(AC$5=$E133+1,$C133,""),"")</f>
        <v/>
      </c>
      <c r="AD133" s="34">
        <f>IF(AND(AD$5&gt;$E133,AD$5&lt;=$F133),IF(AD$5=$E133+1,$C133,""),"")</f>
        <v/>
      </c>
      <c r="AE133" s="34">
        <f>IF(AND(AE$5&gt;$E133,AE$5&lt;=$F133),IF(AE$5=$E133+1,$C133,""),"")</f>
        <v/>
      </c>
      <c r="AF133" s="34">
        <f>IF(AND(AF$5&gt;$E133,AF$5&lt;=$F133),IF(AF$5=$E133+1,$C133,""),"")</f>
        <v/>
      </c>
      <c r="AG133" s="34">
        <f>IF(AND(AG$5&gt;$E133,AG$5&lt;=$F133),IF(AG$5=$E133+1,$C133,""),"")</f>
        <v/>
      </c>
      <c r="AH133" s="34">
        <f>IF(AND(AH$5&gt;$E133,AH$5&lt;=$F133),IF(AH$5=$E133+1,$C133,""),"")</f>
        <v/>
      </c>
      <c r="AI133" s="34">
        <f>IF(AND(AI$5&gt;$E133,AI$5&lt;=$F133),IF(AI$5=$E133+1,$C133,""),"")</f>
        <v/>
      </c>
      <c r="AJ133" s="34">
        <f>IF(AND(AJ$5&gt;$E133,AJ$5&lt;=$F133),IF(AJ$5=$E133+1,$C133,""),"")</f>
        <v/>
      </c>
      <c r="AK133" s="34">
        <f>IF(AND(AK$5&gt;$E133,AK$5&lt;=$F133),IF(AK$5=$E133+1,$C133,""),"")</f>
        <v/>
      </c>
      <c r="AL133" s="34">
        <f>IF(AND(AL$5&gt;$E133,AL$5&lt;=$F133),IF(AL$5=$E133+1,$C133,""),"")</f>
        <v/>
      </c>
      <c r="AM133" s="34">
        <f>IF(AND(AM$5&gt;$E133,AM$5&lt;=$F133),IF(AM$5=$E133+1,$C133,""),"")</f>
        <v/>
      </c>
      <c r="AN133" s="34">
        <f>IF(AND(AN$5&gt;$E133,AN$5&lt;=$F133),IF(AN$5=$E133+1,$C133,""),"")</f>
        <v/>
      </c>
      <c r="AO133" s="34">
        <f>IF(AND(AO$5&gt;$E133,AO$5&lt;=$F133),IF(AO$5=$E133+1,$C133,""),"")</f>
        <v/>
      </c>
      <c r="AP133" s="34">
        <f>IF(AND(AP$5&gt;$E133,AP$5&lt;=$F133),IF(AP$5=$E133+1,$C133,""),"")</f>
        <v/>
      </c>
      <c r="AQ133" s="34">
        <f>IF(AND(AQ$5&gt;$E133,AQ$5&lt;=$F133),IF(AQ$5=$E133+1,$C133,""),"")</f>
        <v/>
      </c>
      <c r="AR133" s="34">
        <f>IF(AND(AR$5&gt;$E133,AR$5&lt;=$F133),IF(AR$5=$E133+1,$C133,""),"")</f>
        <v/>
      </c>
      <c r="AS133" s="34">
        <f>IF(AND(AS$5&gt;$E133,AS$5&lt;=$F133),IF(AS$5=$E133+1,$C133,""),"")</f>
        <v/>
      </c>
      <c r="AT133" s="34">
        <f>IF(AND(AT$5&gt;$E133,AT$5&lt;=$F133),IF(AT$5=$E133+1,$C133,""),"")</f>
        <v/>
      </c>
      <c r="AU133" s="34">
        <f>IF(AND(AU$5&gt;$E133,AU$5&lt;=$F133),IF(AU$5=$E133+1,$C133,""),"")</f>
        <v/>
      </c>
      <c r="AV133" s="34">
        <f>IF(AND(AV$5&gt;$E133,AV$5&lt;=$F133),IF(AV$5=$E133+1,$C133,""),"")</f>
        <v/>
      </c>
      <c r="AW133" s="34">
        <f>IF(AND(AW$5&gt;$E133,AW$5&lt;=$F133),IF(AW$5=$E133+1,$C133,""),"")</f>
        <v/>
      </c>
      <c r="AX133" s="34">
        <f>IF(AND(AX$5&gt;$E133,AX$5&lt;=$F133),IF(AX$5=$E133+1,$C133,""),"")</f>
        <v/>
      </c>
      <c r="AY133" s="34">
        <f>IF(AND(AY$5&gt;$E133,AY$5&lt;=$F133),IF(AY$5=$E133+1,$C133,""),"")</f>
        <v/>
      </c>
      <c r="AZ133" s="34">
        <f>IF(AND(AZ$5&gt;$E133,AZ$5&lt;=$F133),IF(AZ$5=$E133+1,$C133,""),"")</f>
        <v/>
      </c>
      <c r="BA133" s="34">
        <f>IF(AND(BA$5&gt;$E133,BA$5&lt;=$F133),IF(BA$5=$E133+1,$C133,""),"")</f>
        <v/>
      </c>
      <c r="BB133" s="34">
        <f>IF(AND(BB$5&gt;$E133,BB$5&lt;=$F133),IF(BB$5=$E133+1,$C133,""),"")</f>
        <v/>
      </c>
      <c r="BC133" s="34">
        <f>IF(AND(BC$5&gt;$E133,BC$5&lt;=$F133),IF(BC$5=$E133+1,$C133,""),"")</f>
        <v/>
      </c>
      <c r="BD133" s="34">
        <f>IF(AND(BD$5&gt;$E133,BD$5&lt;=$F133),IF(BD$5=$E133+1,$C133,""),"")</f>
        <v/>
      </c>
      <c r="BE133" s="34">
        <f>IF(AND(BE$5&gt;$E133,BE$5&lt;=$F133),IF(BE$5=$E133+1,$C133,""),"")</f>
        <v/>
      </c>
      <c r="BF133" s="34">
        <f>IF(AND(BF$5&gt;$E133,BF$5&lt;=$F133),IF(BF$5=$E133+1,$C133,""),"")</f>
        <v/>
      </c>
      <c r="BG133" s="34">
        <f>IF(AND(BG$5&gt;$E133,BG$5&lt;=$F133),IF(BG$5=$E133+1,$C133,""),"")</f>
        <v/>
      </c>
      <c r="BH133" s="34">
        <f>IF(AND(BH$5&gt;$E133,BH$5&lt;=$F133),IF(BH$5=$E133+1,$C133,""),"")</f>
        <v/>
      </c>
      <c r="BI133" s="34">
        <f>IF(AND(BI$5&gt;$E133,BI$5&lt;=$F133),IF(BI$5=$E133+1,$C133,""),"")</f>
        <v/>
      </c>
      <c r="BJ133" s="34">
        <f>IF(AND(BJ$5&gt;$E133,BJ$5&lt;=$F133),IF(BJ$5=$E133+1,$C133,""),"")</f>
        <v/>
      </c>
      <c r="BK133" s="34">
        <f>IF(AND(BK$5&gt;$E133,BK$5&lt;=$F133),IF(BK$5=$E133+1,$C133,""),"")</f>
        <v/>
      </c>
      <c r="BL133" s="34">
        <f>IF(AND(BL$5&gt;$E133,BL$5&lt;=$F133),IF(BL$5=$E133+1,$C133,""),"")</f>
        <v/>
      </c>
      <c r="BM133" s="34">
        <f>IF(AND(BM$5&gt;$E133,BM$5&lt;=$F133),IF(BM$5=$E133+1,$C133,""),"")</f>
        <v/>
      </c>
      <c r="BN133" s="34">
        <f>IF(AND(BN$5&gt;$E133,BN$5&lt;=$F133),IF(BN$5=$E133+1,$C133,""),"")</f>
        <v/>
      </c>
      <c r="BO133" s="34">
        <f>IF(AND(BO$5&gt;$E133,BO$5&lt;=$F133),IF(BO$5=$E133+1,$C133,""),"")</f>
        <v/>
      </c>
      <c r="BP133" s="34">
        <f>IF(AND(BP$5&gt;$E133,BP$5&lt;=$F133),IF(BP$5=$E133+1,$C133,""),"")</f>
        <v/>
      </c>
      <c r="BQ133" s="34">
        <f>IF(AND(BQ$5&gt;$E133,BQ$5&lt;=$F133),IF(BQ$5=$E133+1,$C133,""),"")</f>
        <v/>
      </c>
      <c r="BR133" s="34">
        <f>IF(AND(BR$5&gt;$E133,BR$5&lt;=$F133),IF(BR$5=$E133+1,$C133,""),"")</f>
        <v/>
      </c>
      <c r="BS133" s="34">
        <f>IF(AND(BS$5&gt;$E133,BS$5&lt;=$F133),IF(BS$5=$E133+1,$C133,""),"")</f>
        <v/>
      </c>
      <c r="BT133" s="34">
        <f>IF(AND(BT$5&gt;$E133,BT$5&lt;=$F133),IF(BT$5=$E133+1,$C133,""),"")</f>
        <v/>
      </c>
      <c r="BU133" s="34">
        <f>IF(AND(BU$5&gt;$E133,BU$5&lt;=$F133),IF(BU$5=$E133+1,$C133,""),"")</f>
        <v/>
      </c>
      <c r="BV133" s="34">
        <f>IF(AND(BV$5&gt;$E133,BV$5&lt;=$F133),IF(BV$5=$E133+1,$C133,""),"")</f>
        <v/>
      </c>
      <c r="BW133" s="34">
        <f>IF(AND(BW$5&gt;$E133,BW$5&lt;=$F133),IF(BW$5=$E133+1,$C133,""),"")</f>
        <v/>
      </c>
      <c r="BX133" s="34">
        <f>IF(AND(BX$5&gt;$E133,BX$5&lt;=$F133),IF(BX$5=$E133+1,$C133,""),"")</f>
        <v/>
      </c>
      <c r="BY133" s="34">
        <f>IF(AND(BY$5&gt;$E133,BY$5&lt;=$F133),IF(BY$5=$E133+1,$C133,""),"")</f>
        <v/>
      </c>
      <c r="BZ133" s="34">
        <f>IF(AND(BZ$5&gt;$E133,BZ$5&lt;=$F133),IF(BZ$5=$E133+1,$C133,""),"")</f>
        <v/>
      </c>
      <c r="CA133" s="34">
        <f>IF(AND(CA$5&gt;$E133,CA$5&lt;=$F133),IF(CA$5=$E133+1,$C133,""),"")</f>
        <v/>
      </c>
      <c r="CB133" s="34">
        <f>IF(AND(CB$5&gt;$E133,CB$5&lt;=$F133),IF(CB$5=$E133+1,$C133,""),"")</f>
        <v/>
      </c>
      <c r="CC133" s="34">
        <f>IF(AND(CC$5&gt;$E133,CC$5&lt;=$F133),IF(CC$5=$E133+1,$C133,""),"")</f>
        <v/>
      </c>
      <c r="CD133" s="34">
        <f>IF(AND(CD$5&gt;$E133,CD$5&lt;=$F133),IF(CD$5=$E133+1,$C133,""),"")</f>
        <v/>
      </c>
      <c r="CE133" s="34">
        <f>IF(AND(CE$5&gt;$E133,CE$5&lt;=$F133),IF(CE$5=$E133+1,$C133,""),"")</f>
        <v/>
      </c>
      <c r="CF133" s="34">
        <f>IF(AND(CF$5&gt;$E133,CF$5&lt;=$F133),IF(CF$5=$E133+1,$C133,""),"")</f>
        <v/>
      </c>
      <c r="CG133" s="34">
        <f>IF(AND(CG$5&gt;$E133,CG$5&lt;=$F133),IF(CG$5=$E133+1,$C133,""),"")</f>
        <v/>
      </c>
      <c r="CH133" s="34">
        <f>IF(AND(CH$5&gt;$E133,CH$5&lt;=$F133),IF(CH$5=$E133+1,$C133,""),"")</f>
        <v/>
      </c>
      <c r="CI133" s="34">
        <f>IF(AND(CI$5&gt;$E133,CI$5&lt;=$F133),IF(CI$5=$E133+1,$C133,""),"")</f>
        <v/>
      </c>
      <c r="CJ133" s="34">
        <f>IF(AND(CJ$5&gt;$E133,CJ$5&lt;=$F133),IF(CJ$5=$E133+1,$C133,""),"")</f>
        <v/>
      </c>
      <c r="CK133" s="34">
        <f>IF(AND(CK$5&gt;$E133,CK$5&lt;=$F133),IF(CK$5=$E133+1,$C133,""),"")</f>
        <v/>
      </c>
      <c r="CL133" s="34">
        <f>IF(AND(CL$5&gt;$E133,CL$5&lt;=$F133),IF(CL$5=$E133+1,$C133,""),"")</f>
        <v/>
      </c>
      <c r="CM133" s="34">
        <f>IF(AND(CM$5&gt;$E133,CM$5&lt;=$F133),IF(CM$5=$E133+1,$C133,""),"")</f>
        <v/>
      </c>
      <c r="CN133" s="34">
        <f>IF(AND(CN$5&gt;$E133,CN$5&lt;=$F133),IF(CN$5=$E133+1,$C133,""),"")</f>
        <v/>
      </c>
      <c r="CO133" s="34">
        <f>IF(AND(CO$5&gt;$E133,CO$5&lt;=$F133),IF(CO$5=$E133+1,$C133,""),"")</f>
        <v/>
      </c>
      <c r="CP133" s="34">
        <f>IF(AND(CP$5&gt;$E133,CP$5&lt;=$F133),IF(CP$5=$E133+1,$C133,""),"")</f>
        <v/>
      </c>
      <c r="CQ133" s="34">
        <f>IF(AND(CQ$5&gt;$E133,CQ$5&lt;=$F133),IF(CQ$5=$E133+1,$C133,""),"")</f>
        <v/>
      </c>
      <c r="CR133" s="34">
        <f>IF(AND(CR$5&gt;$E133,CR$5&lt;=$F133),IF(CR$5=$E133+1,$C133,""),"")</f>
        <v/>
      </c>
      <c r="CS133" s="34">
        <f>IF(AND(CS$5&gt;$E133,CS$5&lt;=$F133),IF(CS$5=$E133+1,$C133,""),"")</f>
        <v/>
      </c>
      <c r="CT133" s="34">
        <f>IF(AND(CT$5&gt;$E133,CT$5&lt;=$F133),IF(CT$5=$E133+1,$C133,""),"")</f>
        <v/>
      </c>
      <c r="CU133" s="34">
        <f>IF(AND(CU$5&gt;$E133,CU$5&lt;=$F133),IF(CU$5=$E133+1,$C133,""),"")</f>
        <v/>
      </c>
      <c r="CV133" s="34">
        <f>IF(AND(CV$5&gt;$E133,CV$5&lt;=$F133),IF(CV$5=$E133+1,$C133,""),"")</f>
        <v/>
      </c>
      <c r="CW133" s="34">
        <f>IF(AND(CW$5&gt;$E133,CW$5&lt;=$F133),IF(CW$5=$E133+1,$C133,""),"")</f>
        <v/>
      </c>
      <c r="CX133" s="34">
        <f>IF(AND(CX$5&gt;$E133,CX$5&lt;=$F133),IF(CX$5=$E133+1,$C133,""),"")</f>
        <v/>
      </c>
      <c r="CY133" s="34">
        <f>IF(AND(CY$5&gt;$E133,CY$5&lt;=$F133),IF(CY$5=$E133+1,$C133,""),"")</f>
        <v/>
      </c>
      <c r="CZ133" s="34">
        <f>IF(AND(CZ$5&gt;$E133,CZ$5&lt;=$F133),IF(CZ$5=$E133+1,$C133,""),"")</f>
        <v/>
      </c>
      <c r="DA133" s="34">
        <f>IF(AND(DA$5&gt;$E133,DA$5&lt;=$F133),IF(DA$5=$E133+1,$C133,""),"")</f>
        <v/>
      </c>
      <c r="DB133" s="34">
        <f>IF(AND(DB$5&gt;$E133,DB$5&lt;=$F133),IF(DB$5=$E133+1,$C133,""),"")</f>
        <v/>
      </c>
      <c r="DC133" s="34">
        <f>IF(AND(DC$5&gt;$E133,DC$5&lt;=$F133),IF(DC$5=$E133+1,$C133,""),"")</f>
        <v/>
      </c>
      <c r="DD133" s="34">
        <f>IF(AND(DD$5&gt;$E133,DD$5&lt;=$F133),IF(DD$5=$E133+1,$C133,""),"")</f>
        <v/>
      </c>
      <c r="DE133" s="34">
        <f>IF(AND(DE$5&gt;$E133,DE$5&lt;=$F133),IF(DE$5=$E133+1,$C133,""),"")</f>
        <v/>
      </c>
      <c r="DF133" s="34">
        <f>IF(AND(DF$5&gt;$E133,DF$5&lt;=$F133),IF(DF$5=$E133+1,$C133,""),"")</f>
        <v/>
      </c>
      <c r="DG133" s="34">
        <f>IF(AND(DG$5&gt;$E133,DG$5&lt;=$F133),IF(DG$5=$E133+1,$C133,""),"")</f>
        <v/>
      </c>
      <c r="DH133" s="34">
        <f>IF(AND(DH$5&gt;$E133,DH$5&lt;=$F133),IF(DH$5=$E133+1,$C133,""),"")</f>
        <v/>
      </c>
      <c r="DI133" s="34">
        <f>IF(AND(DI$5&gt;$E133,DI$5&lt;=$F133),IF(DI$5=$E133+1,$C133,""),"")</f>
        <v/>
      </c>
      <c r="DJ133" s="34">
        <f>IF(AND(DJ$5&gt;$E133,DJ$5&lt;=$F133),IF(DJ$5=$E133+1,$C133,""),"")</f>
        <v/>
      </c>
      <c r="DK133" s="34">
        <f>IF(AND(DK$5&gt;$E133,DK$5&lt;=$F133),IF(DK$5=$E133+1,$C133,""),"")</f>
        <v/>
      </c>
      <c r="DL133" s="34">
        <f>IF(AND(DL$5&gt;$E133,DL$5&lt;=$F133),IF(DL$5=$E133+1,$C133,""),"")</f>
        <v/>
      </c>
      <c r="DM133" s="34">
        <f>IF(AND(DM$5&gt;$E133,DM$5&lt;=$F133),IF(DM$5=$E133+1,$C133,""),"")</f>
        <v/>
      </c>
      <c r="DN133" s="34">
        <f>IF(AND(DN$5&gt;$E133,DN$5&lt;=$F133),IF(DN$5=$E133+1,$C133,""),"")</f>
        <v/>
      </c>
      <c r="DO133" s="34">
        <f>IF(AND(DO$5&gt;$E133,DO$5&lt;=$F133),IF(DO$5=$E133+1,$C133,""),"")</f>
        <v/>
      </c>
      <c r="DP133" s="34">
        <f>IF(AND(DP$5&gt;$E133,DP$5&lt;=$F133),IF(DP$5=$E133+1,$C133,""),"")</f>
        <v/>
      </c>
      <c r="DQ133" s="34">
        <f>IF(AND(DQ$5&gt;$E133,DQ$5&lt;=$F133),IF(DQ$5=$E133+1,$C133,""),"")</f>
        <v/>
      </c>
      <c r="DR133" s="34">
        <f>IF(AND(DR$5&gt;$E133,DR$5&lt;=$F133),IF(DR$5=$E133+1,$C133,""),"")</f>
        <v/>
      </c>
      <c r="DS133" s="34">
        <f>IF(AND(DS$5&gt;$E133,DS$5&lt;=$F133),IF(DS$5=$E133+1,$C133,""),"")</f>
        <v/>
      </c>
      <c r="DT133" s="34">
        <f>IF(AND(DT$5&gt;$E133,DT$5&lt;=$F133),IF(DT$5=$E133+1,$C133,""),"")</f>
        <v/>
      </c>
      <c r="DU133" s="34">
        <f>IF(AND(DU$5&gt;$E133,DU$5&lt;=$F133),IF(DU$5=$E133+1,$C133,""),"")</f>
        <v/>
      </c>
      <c r="DV133" s="34">
        <f>IF(AND(DV$5&gt;$E133,DV$5&lt;=$F133),IF(DV$5=$E133+1,$C133,""),"")</f>
        <v/>
      </c>
      <c r="DW133" s="34">
        <f>IF(AND(DW$5&gt;$E133,DW$5&lt;=$F133),IF(DW$5=$E133+1,$C133,""),"")</f>
        <v/>
      </c>
      <c r="DX133" s="34">
        <f>IF(AND(DX$5&gt;$E133,DX$5&lt;=$F133),IF(DX$5=$E133+1,$C133,""),"")</f>
        <v/>
      </c>
      <c r="DY133" s="34">
        <f>IF(AND(DY$5&gt;$E133,DY$5&lt;=$F133),IF(DY$5=$E133+1,$C133,""),"")</f>
        <v/>
      </c>
      <c r="DZ133" s="34">
        <f>IF(AND(DZ$5&gt;$E133,DZ$5&lt;=$F133),IF(DZ$5=$E133+1,$C133,""),"")</f>
        <v/>
      </c>
      <c r="EA133" s="34">
        <f>IF(AND(EA$5&gt;$E133,EA$5&lt;=$F133),IF(EA$5=$E133+1,$C133,""),"")</f>
        <v/>
      </c>
      <c r="EB133" s="34">
        <f>IF(AND(EB$5&gt;$E133,EB$5&lt;=$F133),IF(EB$5=$E133+1,$C133,""),"")</f>
        <v/>
      </c>
      <c r="EC133" s="34">
        <f>IF(AND(EC$5&gt;$E133,EC$5&lt;=$F133),IF(EC$5=$E133+1,$C133,""),"")</f>
        <v/>
      </c>
      <c r="ED133" s="34">
        <f>IF(AND(ED$5&gt;$E133,ED$5&lt;=$F133),IF(ED$5=$E133+1,$C133,""),"")</f>
        <v/>
      </c>
      <c r="EE133" s="34">
        <f>IF(AND(EE$5&gt;$E133,EE$5&lt;=$F133),IF(EE$5=$E133+1,$C133,""),"")</f>
        <v/>
      </c>
      <c r="EF133" s="34">
        <f>IF(AND(EF$5&gt;$E133,EF$5&lt;=$F133),IF(EF$5=$E133+1,$C133,""),"")</f>
        <v/>
      </c>
      <c r="EG133" s="34">
        <f>IF(AND(EG$5&gt;$E133,EG$5&lt;=$F133),IF(EG$5=$E133+1,$C133,""),"")</f>
        <v/>
      </c>
      <c r="EH133" s="34">
        <f>IF(AND(EH$5&gt;$E133,EH$5&lt;=$F133),IF(EH$5=$E133+1,$C133,""),"")</f>
        <v/>
      </c>
      <c r="EI133" s="34">
        <f>IF(AND(EI$5&gt;$E133,EI$5&lt;=$F133),IF(EI$5=$E133+1,$C133,""),"")</f>
        <v/>
      </c>
      <c r="EJ133" s="34">
        <f>IF(AND(EJ$5&gt;$E133,EJ$5&lt;=$F133),IF(EJ$5=$E133+1,$C133,""),"")</f>
        <v/>
      </c>
      <c r="EK133" s="34">
        <f>IF(AND(EK$5&gt;$E133,EK$5&lt;=$F133),IF(EK$5=$E133+1,$C133,""),"")</f>
        <v/>
      </c>
      <c r="EL133" s="34">
        <f>IF(AND(EL$5&gt;$E133,EL$5&lt;=$F133),IF(EL$5=$E133+1,$C133,""),"")</f>
        <v/>
      </c>
      <c r="EM133" s="34">
        <f>IF(AND(EM$5&gt;$E133,EM$5&lt;=$F133),IF(EM$5=$E133+1,$C133,""),"")</f>
        <v/>
      </c>
      <c r="EN133" s="34">
        <f>IF(AND(EN$5&gt;$E133,EN$5&lt;=$F133),IF(EN$5=$E133+1,$C133,""),"")</f>
        <v/>
      </c>
      <c r="EO133" s="34">
        <f>IF(AND(EO$5&gt;$E133,EO$5&lt;=$F133),IF(EO$5=$E133+1,$C133,""),"")</f>
        <v/>
      </c>
      <c r="EP133" s="34">
        <f>IF(AND(EP$5&gt;$E133,EP$5&lt;=$F133),IF(EP$5=$E133+1,$C133,""),"")</f>
        <v/>
      </c>
      <c r="EQ133" s="34">
        <f>IF(AND(EQ$5&gt;$E133,EQ$5&lt;=$F133),IF(EQ$5=$E133+1,$C133,""),"")</f>
        <v/>
      </c>
      <c r="ER133" s="34">
        <f>IF(AND(ER$5&gt;$E133,ER$5&lt;=$F133),IF(ER$5=$E133+1,$C133,""),"")</f>
        <v/>
      </c>
      <c r="ES133" s="34">
        <f>IF(AND(ES$5&gt;$E133,ES$5&lt;=$F133),IF(ES$5=$E133+1,$C133,""),"")</f>
        <v/>
      </c>
      <c r="ET133" s="34">
        <f>IF(AND(ET$5&gt;$E133,ET$5&lt;=$F133),IF(ET$5=$E133+1,$C133,""),"")</f>
        <v/>
      </c>
      <c r="EU133" s="34">
        <f>IF(AND(EU$5&gt;$E133,EU$5&lt;=$F133),IF(EU$5=$E133+1,$C133,""),"")</f>
        <v/>
      </c>
      <c r="EV133" s="34">
        <f>IF(AND(EV$5&gt;$E133,EV$5&lt;=$F133),IF(EV$5=$E133+1,$C133,""),"")</f>
        <v/>
      </c>
      <c r="EW133" s="34">
        <f>IF(AND(EW$5&gt;$E133,EW$5&lt;=$F133),IF(EW$5=$E133+1,$C133,""),"")</f>
        <v/>
      </c>
      <c r="EX133" s="34">
        <f>IF(AND(EX$5&gt;$E133,EX$5&lt;=$F133),IF(EX$5=$E133+1,$C133,""),"")</f>
        <v/>
      </c>
      <c r="EY133" s="34">
        <f>IF(AND(EY$5&gt;$E133,EY$5&lt;=$F133),IF(EY$5=$E133+1,$C133,""),"")</f>
        <v/>
      </c>
      <c r="EZ133" s="34">
        <f>IF(AND(EZ$5&gt;$E133,EZ$5&lt;=$F133),IF(EZ$5=$E133+1,$C133,""),"")</f>
        <v/>
      </c>
      <c r="FA133" s="34">
        <f>IF(AND(FA$5&gt;$E133,FA$5&lt;=$F133),IF(FA$5=$E133+1,$C133,""),"")</f>
        <v/>
      </c>
    </row>
    <row r="134">
      <c r="A134" s="32">
        <f>Plan!A116</f>
        <v/>
      </c>
      <c r="B134" s="33">
        <f>Plan!C116</f>
        <v/>
      </c>
      <c r="C134" s="16">
        <f>Plan!D116</f>
        <v/>
      </c>
      <c r="D134" s="16">
        <f>Plan!I116</f>
        <v/>
      </c>
      <c r="E134" s="16">
        <f>Plan!K116</f>
        <v/>
      </c>
      <c r="F134" s="16">
        <f>Plan!L116</f>
        <v/>
      </c>
      <c r="G134" s="16">
        <f>Plan!O116</f>
        <v/>
      </c>
      <c r="H134" s="34">
        <f>IF(AND(H$5&gt;$E134,H$5&lt;=$F134),IF(H$5=$E134+1,$C134,""),"")</f>
        <v/>
      </c>
      <c r="I134" s="34">
        <f>IF(AND(I$5&gt;$E134,I$5&lt;=$F134),IF(I$5=$E134+1,$C134,""),"")</f>
        <v/>
      </c>
      <c r="J134" s="34">
        <f>IF(AND(J$5&gt;$E134,J$5&lt;=$F134),IF(J$5=$E134+1,$C134,""),"")</f>
        <v/>
      </c>
      <c r="K134" s="34">
        <f>IF(AND(K$5&gt;$E134,K$5&lt;=$F134),IF(K$5=$E134+1,$C134,""),"")</f>
        <v/>
      </c>
      <c r="L134" s="34">
        <f>IF(AND(L$5&gt;$E134,L$5&lt;=$F134),IF(L$5=$E134+1,$C134,""),"")</f>
        <v/>
      </c>
      <c r="M134" s="34">
        <f>IF(AND(M$5&gt;$E134,M$5&lt;=$F134),IF(M$5=$E134+1,$C134,""),"")</f>
        <v/>
      </c>
      <c r="N134" s="34">
        <f>IF(AND(N$5&gt;$E134,N$5&lt;=$F134),IF(N$5=$E134+1,$C134,""),"")</f>
        <v/>
      </c>
      <c r="O134" s="34">
        <f>IF(AND(O$5&gt;$E134,O$5&lt;=$F134),IF(O$5=$E134+1,$C134,""),"")</f>
        <v/>
      </c>
      <c r="P134" s="34">
        <f>IF(AND(P$5&gt;$E134,P$5&lt;=$F134),IF(P$5=$E134+1,$C134,""),"")</f>
        <v/>
      </c>
      <c r="Q134" s="34">
        <f>IF(AND(Q$5&gt;$E134,Q$5&lt;=$F134),IF(Q$5=$E134+1,$C134,""),"")</f>
        <v/>
      </c>
      <c r="R134" s="34">
        <f>IF(AND(R$5&gt;$E134,R$5&lt;=$F134),IF(R$5=$E134+1,$C134,""),"")</f>
        <v/>
      </c>
      <c r="S134" s="34">
        <f>IF(AND(S$5&gt;$E134,S$5&lt;=$F134),IF(S$5=$E134+1,$C134,""),"")</f>
        <v/>
      </c>
      <c r="T134" s="34">
        <f>IF(AND(T$5&gt;$E134,T$5&lt;=$F134),IF(T$5=$E134+1,$C134,""),"")</f>
        <v/>
      </c>
      <c r="U134" s="34">
        <f>IF(AND(U$5&gt;$E134,U$5&lt;=$F134),IF(U$5=$E134+1,$C134,""),"")</f>
        <v/>
      </c>
      <c r="V134" s="34">
        <f>IF(AND(V$5&gt;$E134,V$5&lt;=$F134),IF(V$5=$E134+1,$C134,""),"")</f>
        <v/>
      </c>
      <c r="W134" s="34">
        <f>IF(AND(W$5&gt;$E134,W$5&lt;=$F134),IF(W$5=$E134+1,$C134,""),"")</f>
        <v/>
      </c>
      <c r="X134" s="34">
        <f>IF(AND(X$5&gt;$E134,X$5&lt;=$F134),IF(X$5=$E134+1,$C134,""),"")</f>
        <v/>
      </c>
      <c r="Y134" s="34">
        <f>IF(AND(Y$5&gt;$E134,Y$5&lt;=$F134),IF(Y$5=$E134+1,$C134,""),"")</f>
        <v/>
      </c>
      <c r="Z134" s="34">
        <f>IF(AND(Z$5&gt;$E134,Z$5&lt;=$F134),IF(Z$5=$E134+1,$C134,""),"")</f>
        <v/>
      </c>
      <c r="AA134" s="34">
        <f>IF(AND(AA$5&gt;$E134,AA$5&lt;=$F134),IF(AA$5=$E134+1,$C134,""),"")</f>
        <v/>
      </c>
      <c r="AB134" s="34">
        <f>IF(AND(AB$5&gt;$E134,AB$5&lt;=$F134),IF(AB$5=$E134+1,$C134,""),"")</f>
        <v/>
      </c>
      <c r="AC134" s="34">
        <f>IF(AND(AC$5&gt;$E134,AC$5&lt;=$F134),IF(AC$5=$E134+1,$C134,""),"")</f>
        <v/>
      </c>
      <c r="AD134" s="34">
        <f>IF(AND(AD$5&gt;$E134,AD$5&lt;=$F134),IF(AD$5=$E134+1,$C134,""),"")</f>
        <v/>
      </c>
      <c r="AE134" s="34">
        <f>IF(AND(AE$5&gt;$E134,AE$5&lt;=$F134),IF(AE$5=$E134+1,$C134,""),"")</f>
        <v/>
      </c>
      <c r="AF134" s="34">
        <f>IF(AND(AF$5&gt;$E134,AF$5&lt;=$F134),IF(AF$5=$E134+1,$C134,""),"")</f>
        <v/>
      </c>
      <c r="AG134" s="34">
        <f>IF(AND(AG$5&gt;$E134,AG$5&lt;=$F134),IF(AG$5=$E134+1,$C134,""),"")</f>
        <v/>
      </c>
      <c r="AH134" s="34">
        <f>IF(AND(AH$5&gt;$E134,AH$5&lt;=$F134),IF(AH$5=$E134+1,$C134,""),"")</f>
        <v/>
      </c>
      <c r="AI134" s="34">
        <f>IF(AND(AI$5&gt;$E134,AI$5&lt;=$F134),IF(AI$5=$E134+1,$C134,""),"")</f>
        <v/>
      </c>
      <c r="AJ134" s="34">
        <f>IF(AND(AJ$5&gt;$E134,AJ$5&lt;=$F134),IF(AJ$5=$E134+1,$C134,""),"")</f>
        <v/>
      </c>
      <c r="AK134" s="34">
        <f>IF(AND(AK$5&gt;$E134,AK$5&lt;=$F134),IF(AK$5=$E134+1,$C134,""),"")</f>
        <v/>
      </c>
      <c r="AL134" s="34">
        <f>IF(AND(AL$5&gt;$E134,AL$5&lt;=$F134),IF(AL$5=$E134+1,$C134,""),"")</f>
        <v/>
      </c>
      <c r="AM134" s="34">
        <f>IF(AND(AM$5&gt;$E134,AM$5&lt;=$F134),IF(AM$5=$E134+1,$C134,""),"")</f>
        <v/>
      </c>
      <c r="AN134" s="34">
        <f>IF(AND(AN$5&gt;$E134,AN$5&lt;=$F134),IF(AN$5=$E134+1,$C134,""),"")</f>
        <v/>
      </c>
      <c r="AO134" s="34">
        <f>IF(AND(AO$5&gt;$E134,AO$5&lt;=$F134),IF(AO$5=$E134+1,$C134,""),"")</f>
        <v/>
      </c>
      <c r="AP134" s="34">
        <f>IF(AND(AP$5&gt;$E134,AP$5&lt;=$F134),IF(AP$5=$E134+1,$C134,""),"")</f>
        <v/>
      </c>
      <c r="AQ134" s="34">
        <f>IF(AND(AQ$5&gt;$E134,AQ$5&lt;=$F134),IF(AQ$5=$E134+1,$C134,""),"")</f>
        <v/>
      </c>
      <c r="AR134" s="34">
        <f>IF(AND(AR$5&gt;$E134,AR$5&lt;=$F134),IF(AR$5=$E134+1,$C134,""),"")</f>
        <v/>
      </c>
      <c r="AS134" s="34">
        <f>IF(AND(AS$5&gt;$E134,AS$5&lt;=$F134),IF(AS$5=$E134+1,$C134,""),"")</f>
        <v/>
      </c>
      <c r="AT134" s="34">
        <f>IF(AND(AT$5&gt;$E134,AT$5&lt;=$F134),IF(AT$5=$E134+1,$C134,""),"")</f>
        <v/>
      </c>
      <c r="AU134" s="34">
        <f>IF(AND(AU$5&gt;$E134,AU$5&lt;=$F134),IF(AU$5=$E134+1,$C134,""),"")</f>
        <v/>
      </c>
      <c r="AV134" s="34">
        <f>IF(AND(AV$5&gt;$E134,AV$5&lt;=$F134),IF(AV$5=$E134+1,$C134,""),"")</f>
        <v/>
      </c>
      <c r="AW134" s="34">
        <f>IF(AND(AW$5&gt;$E134,AW$5&lt;=$F134),IF(AW$5=$E134+1,$C134,""),"")</f>
        <v/>
      </c>
      <c r="AX134" s="34">
        <f>IF(AND(AX$5&gt;$E134,AX$5&lt;=$F134),IF(AX$5=$E134+1,$C134,""),"")</f>
        <v/>
      </c>
      <c r="AY134" s="34">
        <f>IF(AND(AY$5&gt;$E134,AY$5&lt;=$F134),IF(AY$5=$E134+1,$C134,""),"")</f>
        <v/>
      </c>
      <c r="AZ134" s="34">
        <f>IF(AND(AZ$5&gt;$E134,AZ$5&lt;=$F134),IF(AZ$5=$E134+1,$C134,""),"")</f>
        <v/>
      </c>
      <c r="BA134" s="34">
        <f>IF(AND(BA$5&gt;$E134,BA$5&lt;=$F134),IF(BA$5=$E134+1,$C134,""),"")</f>
        <v/>
      </c>
      <c r="BB134" s="34">
        <f>IF(AND(BB$5&gt;$E134,BB$5&lt;=$F134),IF(BB$5=$E134+1,$C134,""),"")</f>
        <v/>
      </c>
      <c r="BC134" s="34">
        <f>IF(AND(BC$5&gt;$E134,BC$5&lt;=$F134),IF(BC$5=$E134+1,$C134,""),"")</f>
        <v/>
      </c>
      <c r="BD134" s="34">
        <f>IF(AND(BD$5&gt;$E134,BD$5&lt;=$F134),IF(BD$5=$E134+1,$C134,""),"")</f>
        <v/>
      </c>
      <c r="BE134" s="34">
        <f>IF(AND(BE$5&gt;$E134,BE$5&lt;=$F134),IF(BE$5=$E134+1,$C134,""),"")</f>
        <v/>
      </c>
      <c r="BF134" s="34">
        <f>IF(AND(BF$5&gt;$E134,BF$5&lt;=$F134),IF(BF$5=$E134+1,$C134,""),"")</f>
        <v/>
      </c>
      <c r="BG134" s="34">
        <f>IF(AND(BG$5&gt;$E134,BG$5&lt;=$F134),IF(BG$5=$E134+1,$C134,""),"")</f>
        <v/>
      </c>
      <c r="BH134" s="34">
        <f>IF(AND(BH$5&gt;$E134,BH$5&lt;=$F134),IF(BH$5=$E134+1,$C134,""),"")</f>
        <v/>
      </c>
      <c r="BI134" s="34">
        <f>IF(AND(BI$5&gt;$E134,BI$5&lt;=$F134),IF(BI$5=$E134+1,$C134,""),"")</f>
        <v/>
      </c>
      <c r="BJ134" s="34">
        <f>IF(AND(BJ$5&gt;$E134,BJ$5&lt;=$F134),IF(BJ$5=$E134+1,$C134,""),"")</f>
        <v/>
      </c>
      <c r="BK134" s="34">
        <f>IF(AND(BK$5&gt;$E134,BK$5&lt;=$F134),IF(BK$5=$E134+1,$C134,""),"")</f>
        <v/>
      </c>
      <c r="BL134" s="34">
        <f>IF(AND(BL$5&gt;$E134,BL$5&lt;=$F134),IF(BL$5=$E134+1,$C134,""),"")</f>
        <v/>
      </c>
      <c r="BM134" s="34">
        <f>IF(AND(BM$5&gt;$E134,BM$5&lt;=$F134),IF(BM$5=$E134+1,$C134,""),"")</f>
        <v/>
      </c>
      <c r="BN134" s="34">
        <f>IF(AND(BN$5&gt;$E134,BN$5&lt;=$F134),IF(BN$5=$E134+1,$C134,""),"")</f>
        <v/>
      </c>
      <c r="BO134" s="34">
        <f>IF(AND(BO$5&gt;$E134,BO$5&lt;=$F134),IF(BO$5=$E134+1,$C134,""),"")</f>
        <v/>
      </c>
      <c r="BP134" s="34">
        <f>IF(AND(BP$5&gt;$E134,BP$5&lt;=$F134),IF(BP$5=$E134+1,$C134,""),"")</f>
        <v/>
      </c>
      <c r="BQ134" s="34">
        <f>IF(AND(BQ$5&gt;$E134,BQ$5&lt;=$F134),IF(BQ$5=$E134+1,$C134,""),"")</f>
        <v/>
      </c>
      <c r="BR134" s="34">
        <f>IF(AND(BR$5&gt;$E134,BR$5&lt;=$F134),IF(BR$5=$E134+1,$C134,""),"")</f>
        <v/>
      </c>
      <c r="BS134" s="34">
        <f>IF(AND(BS$5&gt;$E134,BS$5&lt;=$F134),IF(BS$5=$E134+1,$C134,""),"")</f>
        <v/>
      </c>
      <c r="BT134" s="34">
        <f>IF(AND(BT$5&gt;$E134,BT$5&lt;=$F134),IF(BT$5=$E134+1,$C134,""),"")</f>
        <v/>
      </c>
      <c r="BU134" s="34">
        <f>IF(AND(BU$5&gt;$E134,BU$5&lt;=$F134),IF(BU$5=$E134+1,$C134,""),"")</f>
        <v/>
      </c>
      <c r="BV134" s="34">
        <f>IF(AND(BV$5&gt;$E134,BV$5&lt;=$F134),IF(BV$5=$E134+1,$C134,""),"")</f>
        <v/>
      </c>
      <c r="BW134" s="34">
        <f>IF(AND(BW$5&gt;$E134,BW$5&lt;=$F134),IF(BW$5=$E134+1,$C134,""),"")</f>
        <v/>
      </c>
      <c r="BX134" s="34">
        <f>IF(AND(BX$5&gt;$E134,BX$5&lt;=$F134),IF(BX$5=$E134+1,$C134,""),"")</f>
        <v/>
      </c>
      <c r="BY134" s="34">
        <f>IF(AND(BY$5&gt;$E134,BY$5&lt;=$F134),IF(BY$5=$E134+1,$C134,""),"")</f>
        <v/>
      </c>
      <c r="BZ134" s="34">
        <f>IF(AND(BZ$5&gt;$E134,BZ$5&lt;=$F134),IF(BZ$5=$E134+1,$C134,""),"")</f>
        <v/>
      </c>
      <c r="CA134" s="34">
        <f>IF(AND(CA$5&gt;$E134,CA$5&lt;=$F134),IF(CA$5=$E134+1,$C134,""),"")</f>
        <v/>
      </c>
      <c r="CB134" s="34">
        <f>IF(AND(CB$5&gt;$E134,CB$5&lt;=$F134),IF(CB$5=$E134+1,$C134,""),"")</f>
        <v/>
      </c>
      <c r="CC134" s="34">
        <f>IF(AND(CC$5&gt;$E134,CC$5&lt;=$F134),IF(CC$5=$E134+1,$C134,""),"")</f>
        <v/>
      </c>
      <c r="CD134" s="34">
        <f>IF(AND(CD$5&gt;$E134,CD$5&lt;=$F134),IF(CD$5=$E134+1,$C134,""),"")</f>
        <v/>
      </c>
      <c r="CE134" s="34">
        <f>IF(AND(CE$5&gt;$E134,CE$5&lt;=$F134),IF(CE$5=$E134+1,$C134,""),"")</f>
        <v/>
      </c>
      <c r="CF134" s="34">
        <f>IF(AND(CF$5&gt;$E134,CF$5&lt;=$F134),IF(CF$5=$E134+1,$C134,""),"")</f>
        <v/>
      </c>
      <c r="CG134" s="34">
        <f>IF(AND(CG$5&gt;$E134,CG$5&lt;=$F134),IF(CG$5=$E134+1,$C134,""),"")</f>
        <v/>
      </c>
      <c r="CH134" s="34">
        <f>IF(AND(CH$5&gt;$E134,CH$5&lt;=$F134),IF(CH$5=$E134+1,$C134,""),"")</f>
        <v/>
      </c>
      <c r="CI134" s="34">
        <f>IF(AND(CI$5&gt;$E134,CI$5&lt;=$F134),IF(CI$5=$E134+1,$C134,""),"")</f>
        <v/>
      </c>
      <c r="CJ134" s="34">
        <f>IF(AND(CJ$5&gt;$E134,CJ$5&lt;=$F134),IF(CJ$5=$E134+1,$C134,""),"")</f>
        <v/>
      </c>
      <c r="CK134" s="34">
        <f>IF(AND(CK$5&gt;$E134,CK$5&lt;=$F134),IF(CK$5=$E134+1,$C134,""),"")</f>
        <v/>
      </c>
      <c r="CL134" s="34">
        <f>IF(AND(CL$5&gt;$E134,CL$5&lt;=$F134),IF(CL$5=$E134+1,$C134,""),"")</f>
        <v/>
      </c>
      <c r="CM134" s="34">
        <f>IF(AND(CM$5&gt;$E134,CM$5&lt;=$F134),IF(CM$5=$E134+1,$C134,""),"")</f>
        <v/>
      </c>
      <c r="CN134" s="34">
        <f>IF(AND(CN$5&gt;$E134,CN$5&lt;=$F134),IF(CN$5=$E134+1,$C134,""),"")</f>
        <v/>
      </c>
      <c r="CO134" s="34">
        <f>IF(AND(CO$5&gt;$E134,CO$5&lt;=$F134),IF(CO$5=$E134+1,$C134,""),"")</f>
        <v/>
      </c>
      <c r="CP134" s="34">
        <f>IF(AND(CP$5&gt;$E134,CP$5&lt;=$F134),IF(CP$5=$E134+1,$C134,""),"")</f>
        <v/>
      </c>
      <c r="CQ134" s="34">
        <f>IF(AND(CQ$5&gt;$E134,CQ$5&lt;=$F134),IF(CQ$5=$E134+1,$C134,""),"")</f>
        <v/>
      </c>
      <c r="CR134" s="34">
        <f>IF(AND(CR$5&gt;$E134,CR$5&lt;=$F134),IF(CR$5=$E134+1,$C134,""),"")</f>
        <v/>
      </c>
      <c r="CS134" s="34">
        <f>IF(AND(CS$5&gt;$E134,CS$5&lt;=$F134),IF(CS$5=$E134+1,$C134,""),"")</f>
        <v/>
      </c>
      <c r="CT134" s="34">
        <f>IF(AND(CT$5&gt;$E134,CT$5&lt;=$F134),IF(CT$5=$E134+1,$C134,""),"")</f>
        <v/>
      </c>
      <c r="CU134" s="34">
        <f>IF(AND(CU$5&gt;$E134,CU$5&lt;=$F134),IF(CU$5=$E134+1,$C134,""),"")</f>
        <v/>
      </c>
      <c r="CV134" s="34">
        <f>IF(AND(CV$5&gt;$E134,CV$5&lt;=$F134),IF(CV$5=$E134+1,$C134,""),"")</f>
        <v/>
      </c>
      <c r="CW134" s="34">
        <f>IF(AND(CW$5&gt;$E134,CW$5&lt;=$F134),IF(CW$5=$E134+1,$C134,""),"")</f>
        <v/>
      </c>
      <c r="CX134" s="34">
        <f>IF(AND(CX$5&gt;$E134,CX$5&lt;=$F134),IF(CX$5=$E134+1,$C134,""),"")</f>
        <v/>
      </c>
      <c r="CY134" s="34">
        <f>IF(AND(CY$5&gt;$E134,CY$5&lt;=$F134),IF(CY$5=$E134+1,$C134,""),"")</f>
        <v/>
      </c>
      <c r="CZ134" s="34">
        <f>IF(AND(CZ$5&gt;$E134,CZ$5&lt;=$F134),IF(CZ$5=$E134+1,$C134,""),"")</f>
        <v/>
      </c>
      <c r="DA134" s="34">
        <f>IF(AND(DA$5&gt;$E134,DA$5&lt;=$F134),IF(DA$5=$E134+1,$C134,""),"")</f>
        <v/>
      </c>
      <c r="DB134" s="34">
        <f>IF(AND(DB$5&gt;$E134,DB$5&lt;=$F134),IF(DB$5=$E134+1,$C134,""),"")</f>
        <v/>
      </c>
      <c r="DC134" s="34">
        <f>IF(AND(DC$5&gt;$E134,DC$5&lt;=$F134),IF(DC$5=$E134+1,$C134,""),"")</f>
        <v/>
      </c>
      <c r="DD134" s="34">
        <f>IF(AND(DD$5&gt;$E134,DD$5&lt;=$F134),IF(DD$5=$E134+1,$C134,""),"")</f>
        <v/>
      </c>
      <c r="DE134" s="34">
        <f>IF(AND(DE$5&gt;$E134,DE$5&lt;=$F134),IF(DE$5=$E134+1,$C134,""),"")</f>
        <v/>
      </c>
      <c r="DF134" s="34">
        <f>IF(AND(DF$5&gt;$E134,DF$5&lt;=$F134),IF(DF$5=$E134+1,$C134,""),"")</f>
        <v/>
      </c>
      <c r="DG134" s="34">
        <f>IF(AND(DG$5&gt;$E134,DG$5&lt;=$F134),IF(DG$5=$E134+1,$C134,""),"")</f>
        <v/>
      </c>
      <c r="DH134" s="34">
        <f>IF(AND(DH$5&gt;$E134,DH$5&lt;=$F134),IF(DH$5=$E134+1,$C134,""),"")</f>
        <v/>
      </c>
      <c r="DI134" s="34">
        <f>IF(AND(DI$5&gt;$E134,DI$5&lt;=$F134),IF(DI$5=$E134+1,$C134,""),"")</f>
        <v/>
      </c>
      <c r="DJ134" s="34">
        <f>IF(AND(DJ$5&gt;$E134,DJ$5&lt;=$F134),IF(DJ$5=$E134+1,$C134,""),"")</f>
        <v/>
      </c>
      <c r="DK134" s="34">
        <f>IF(AND(DK$5&gt;$E134,DK$5&lt;=$F134),IF(DK$5=$E134+1,$C134,""),"")</f>
        <v/>
      </c>
      <c r="DL134" s="34">
        <f>IF(AND(DL$5&gt;$E134,DL$5&lt;=$F134),IF(DL$5=$E134+1,$C134,""),"")</f>
        <v/>
      </c>
      <c r="DM134" s="34">
        <f>IF(AND(DM$5&gt;$E134,DM$5&lt;=$F134),IF(DM$5=$E134+1,$C134,""),"")</f>
        <v/>
      </c>
      <c r="DN134" s="34">
        <f>IF(AND(DN$5&gt;$E134,DN$5&lt;=$F134),IF(DN$5=$E134+1,$C134,""),"")</f>
        <v/>
      </c>
      <c r="DO134" s="34">
        <f>IF(AND(DO$5&gt;$E134,DO$5&lt;=$F134),IF(DO$5=$E134+1,$C134,""),"")</f>
        <v/>
      </c>
      <c r="DP134" s="34">
        <f>IF(AND(DP$5&gt;$E134,DP$5&lt;=$F134),IF(DP$5=$E134+1,$C134,""),"")</f>
        <v/>
      </c>
      <c r="DQ134" s="34">
        <f>IF(AND(DQ$5&gt;$E134,DQ$5&lt;=$F134),IF(DQ$5=$E134+1,$C134,""),"")</f>
        <v/>
      </c>
      <c r="DR134" s="34">
        <f>IF(AND(DR$5&gt;$E134,DR$5&lt;=$F134),IF(DR$5=$E134+1,$C134,""),"")</f>
        <v/>
      </c>
      <c r="DS134" s="34">
        <f>IF(AND(DS$5&gt;$E134,DS$5&lt;=$F134),IF(DS$5=$E134+1,$C134,""),"")</f>
        <v/>
      </c>
      <c r="DT134" s="34">
        <f>IF(AND(DT$5&gt;$E134,DT$5&lt;=$F134),IF(DT$5=$E134+1,$C134,""),"")</f>
        <v/>
      </c>
      <c r="DU134" s="34">
        <f>IF(AND(DU$5&gt;$E134,DU$5&lt;=$F134),IF(DU$5=$E134+1,$C134,""),"")</f>
        <v/>
      </c>
      <c r="DV134" s="34">
        <f>IF(AND(DV$5&gt;$E134,DV$5&lt;=$F134),IF(DV$5=$E134+1,$C134,""),"")</f>
        <v/>
      </c>
      <c r="DW134" s="34">
        <f>IF(AND(DW$5&gt;$E134,DW$5&lt;=$F134),IF(DW$5=$E134+1,$C134,""),"")</f>
        <v/>
      </c>
      <c r="DX134" s="34">
        <f>IF(AND(DX$5&gt;$E134,DX$5&lt;=$F134),IF(DX$5=$E134+1,$C134,""),"")</f>
        <v/>
      </c>
      <c r="DY134" s="34">
        <f>IF(AND(DY$5&gt;$E134,DY$5&lt;=$F134),IF(DY$5=$E134+1,$C134,""),"")</f>
        <v/>
      </c>
      <c r="DZ134" s="34">
        <f>IF(AND(DZ$5&gt;$E134,DZ$5&lt;=$F134),IF(DZ$5=$E134+1,$C134,""),"")</f>
        <v/>
      </c>
      <c r="EA134" s="34">
        <f>IF(AND(EA$5&gt;$E134,EA$5&lt;=$F134),IF(EA$5=$E134+1,$C134,""),"")</f>
        <v/>
      </c>
      <c r="EB134" s="34">
        <f>IF(AND(EB$5&gt;$E134,EB$5&lt;=$F134),IF(EB$5=$E134+1,$C134,""),"")</f>
        <v/>
      </c>
      <c r="EC134" s="34">
        <f>IF(AND(EC$5&gt;$E134,EC$5&lt;=$F134),IF(EC$5=$E134+1,$C134,""),"")</f>
        <v/>
      </c>
      <c r="ED134" s="34">
        <f>IF(AND(ED$5&gt;$E134,ED$5&lt;=$F134),IF(ED$5=$E134+1,$C134,""),"")</f>
        <v/>
      </c>
      <c r="EE134" s="34">
        <f>IF(AND(EE$5&gt;$E134,EE$5&lt;=$F134),IF(EE$5=$E134+1,$C134,""),"")</f>
        <v/>
      </c>
      <c r="EF134" s="34">
        <f>IF(AND(EF$5&gt;$E134,EF$5&lt;=$F134),IF(EF$5=$E134+1,$C134,""),"")</f>
        <v/>
      </c>
      <c r="EG134" s="34">
        <f>IF(AND(EG$5&gt;$E134,EG$5&lt;=$F134),IF(EG$5=$E134+1,$C134,""),"")</f>
        <v/>
      </c>
      <c r="EH134" s="34">
        <f>IF(AND(EH$5&gt;$E134,EH$5&lt;=$F134),IF(EH$5=$E134+1,$C134,""),"")</f>
        <v/>
      </c>
      <c r="EI134" s="34">
        <f>IF(AND(EI$5&gt;$E134,EI$5&lt;=$F134),IF(EI$5=$E134+1,$C134,""),"")</f>
        <v/>
      </c>
      <c r="EJ134" s="34">
        <f>IF(AND(EJ$5&gt;$E134,EJ$5&lt;=$F134),IF(EJ$5=$E134+1,$C134,""),"")</f>
        <v/>
      </c>
      <c r="EK134" s="34">
        <f>IF(AND(EK$5&gt;$E134,EK$5&lt;=$F134),IF(EK$5=$E134+1,$C134,""),"")</f>
        <v/>
      </c>
      <c r="EL134" s="34">
        <f>IF(AND(EL$5&gt;$E134,EL$5&lt;=$F134),IF(EL$5=$E134+1,$C134,""),"")</f>
        <v/>
      </c>
      <c r="EM134" s="34">
        <f>IF(AND(EM$5&gt;$E134,EM$5&lt;=$F134),IF(EM$5=$E134+1,$C134,""),"")</f>
        <v/>
      </c>
      <c r="EN134" s="34">
        <f>IF(AND(EN$5&gt;$E134,EN$5&lt;=$F134),IF(EN$5=$E134+1,$C134,""),"")</f>
        <v/>
      </c>
      <c r="EO134" s="34">
        <f>IF(AND(EO$5&gt;$E134,EO$5&lt;=$F134),IF(EO$5=$E134+1,$C134,""),"")</f>
        <v/>
      </c>
      <c r="EP134" s="34">
        <f>IF(AND(EP$5&gt;$E134,EP$5&lt;=$F134),IF(EP$5=$E134+1,$C134,""),"")</f>
        <v/>
      </c>
      <c r="EQ134" s="34">
        <f>IF(AND(EQ$5&gt;$E134,EQ$5&lt;=$F134),IF(EQ$5=$E134+1,$C134,""),"")</f>
        <v/>
      </c>
      <c r="ER134" s="34">
        <f>IF(AND(ER$5&gt;$E134,ER$5&lt;=$F134),IF(ER$5=$E134+1,$C134,""),"")</f>
        <v/>
      </c>
      <c r="ES134" s="34">
        <f>IF(AND(ES$5&gt;$E134,ES$5&lt;=$F134),IF(ES$5=$E134+1,$C134,""),"")</f>
        <v/>
      </c>
      <c r="ET134" s="34">
        <f>IF(AND(ET$5&gt;$E134,ET$5&lt;=$F134),IF(ET$5=$E134+1,$C134,""),"")</f>
        <v/>
      </c>
      <c r="EU134" s="34">
        <f>IF(AND(EU$5&gt;$E134,EU$5&lt;=$F134),IF(EU$5=$E134+1,$C134,""),"")</f>
        <v/>
      </c>
      <c r="EV134" s="34">
        <f>IF(AND(EV$5&gt;$E134,EV$5&lt;=$F134),IF(EV$5=$E134+1,$C134,""),"")</f>
        <v/>
      </c>
      <c r="EW134" s="34">
        <f>IF(AND(EW$5&gt;$E134,EW$5&lt;=$F134),IF(EW$5=$E134+1,$C134,""),"")</f>
        <v/>
      </c>
      <c r="EX134" s="34">
        <f>IF(AND(EX$5&gt;$E134,EX$5&lt;=$F134),IF(EX$5=$E134+1,$C134,""),"")</f>
        <v/>
      </c>
      <c r="EY134" s="34">
        <f>IF(AND(EY$5&gt;$E134,EY$5&lt;=$F134),IF(EY$5=$E134+1,$C134,""),"")</f>
        <v/>
      </c>
      <c r="EZ134" s="34">
        <f>IF(AND(EZ$5&gt;$E134,EZ$5&lt;=$F134),IF(EZ$5=$E134+1,$C134,""),"")</f>
        <v/>
      </c>
      <c r="FA134" s="34">
        <f>IF(AND(FA$5&gt;$E134,FA$5&lt;=$F134),IF(FA$5=$E134+1,$C134,""),"")</f>
        <v/>
      </c>
    </row>
    <row r="135">
      <c r="A135" s="32">
        <f>Plan!A117</f>
        <v/>
      </c>
      <c r="B135" s="33">
        <f>Plan!C117</f>
        <v/>
      </c>
      <c r="C135" s="16">
        <f>Plan!D117</f>
        <v/>
      </c>
      <c r="D135" s="16">
        <f>Plan!I117</f>
        <v/>
      </c>
      <c r="E135" s="16">
        <f>Plan!K117</f>
        <v/>
      </c>
      <c r="F135" s="16">
        <f>Plan!L117</f>
        <v/>
      </c>
      <c r="G135" s="16">
        <f>Plan!O117</f>
        <v/>
      </c>
      <c r="H135" s="34">
        <f>IF(AND(H$5&gt;$E135,H$5&lt;=$F135),IF(H$5=$E135+1,$C135,""),"")</f>
        <v/>
      </c>
      <c r="I135" s="34">
        <f>IF(AND(I$5&gt;$E135,I$5&lt;=$F135),IF(I$5=$E135+1,$C135,""),"")</f>
        <v/>
      </c>
      <c r="J135" s="34">
        <f>IF(AND(J$5&gt;$E135,J$5&lt;=$F135),IF(J$5=$E135+1,$C135,""),"")</f>
        <v/>
      </c>
      <c r="K135" s="34">
        <f>IF(AND(K$5&gt;$E135,K$5&lt;=$F135),IF(K$5=$E135+1,$C135,""),"")</f>
        <v/>
      </c>
      <c r="L135" s="34">
        <f>IF(AND(L$5&gt;$E135,L$5&lt;=$F135),IF(L$5=$E135+1,$C135,""),"")</f>
        <v/>
      </c>
      <c r="M135" s="34">
        <f>IF(AND(M$5&gt;$E135,M$5&lt;=$F135),IF(M$5=$E135+1,$C135,""),"")</f>
        <v/>
      </c>
      <c r="N135" s="34">
        <f>IF(AND(N$5&gt;$E135,N$5&lt;=$F135),IF(N$5=$E135+1,$C135,""),"")</f>
        <v/>
      </c>
      <c r="O135" s="34">
        <f>IF(AND(O$5&gt;$E135,O$5&lt;=$F135),IF(O$5=$E135+1,$C135,""),"")</f>
        <v/>
      </c>
      <c r="P135" s="34">
        <f>IF(AND(P$5&gt;$E135,P$5&lt;=$F135),IF(P$5=$E135+1,$C135,""),"")</f>
        <v/>
      </c>
      <c r="Q135" s="34">
        <f>IF(AND(Q$5&gt;$E135,Q$5&lt;=$F135),IF(Q$5=$E135+1,$C135,""),"")</f>
        <v/>
      </c>
      <c r="R135" s="34">
        <f>IF(AND(R$5&gt;$E135,R$5&lt;=$F135),IF(R$5=$E135+1,$C135,""),"")</f>
        <v/>
      </c>
      <c r="S135" s="34">
        <f>IF(AND(S$5&gt;$E135,S$5&lt;=$F135),IF(S$5=$E135+1,$C135,""),"")</f>
        <v/>
      </c>
      <c r="T135" s="34">
        <f>IF(AND(T$5&gt;$E135,T$5&lt;=$F135),IF(T$5=$E135+1,$C135,""),"")</f>
        <v/>
      </c>
      <c r="U135" s="34">
        <f>IF(AND(U$5&gt;$E135,U$5&lt;=$F135),IF(U$5=$E135+1,$C135,""),"")</f>
        <v/>
      </c>
      <c r="V135" s="34">
        <f>IF(AND(V$5&gt;$E135,V$5&lt;=$F135),IF(V$5=$E135+1,$C135,""),"")</f>
        <v/>
      </c>
      <c r="W135" s="34">
        <f>IF(AND(W$5&gt;$E135,W$5&lt;=$F135),IF(W$5=$E135+1,$C135,""),"")</f>
        <v/>
      </c>
      <c r="X135" s="34">
        <f>IF(AND(X$5&gt;$E135,X$5&lt;=$F135),IF(X$5=$E135+1,$C135,""),"")</f>
        <v/>
      </c>
      <c r="Y135" s="34">
        <f>IF(AND(Y$5&gt;$E135,Y$5&lt;=$F135),IF(Y$5=$E135+1,$C135,""),"")</f>
        <v/>
      </c>
      <c r="Z135" s="34">
        <f>IF(AND(Z$5&gt;$E135,Z$5&lt;=$F135),IF(Z$5=$E135+1,$C135,""),"")</f>
        <v/>
      </c>
      <c r="AA135" s="34">
        <f>IF(AND(AA$5&gt;$E135,AA$5&lt;=$F135),IF(AA$5=$E135+1,$C135,""),"")</f>
        <v/>
      </c>
      <c r="AB135" s="34">
        <f>IF(AND(AB$5&gt;$E135,AB$5&lt;=$F135),IF(AB$5=$E135+1,$C135,""),"")</f>
        <v/>
      </c>
      <c r="AC135" s="34">
        <f>IF(AND(AC$5&gt;$E135,AC$5&lt;=$F135),IF(AC$5=$E135+1,$C135,""),"")</f>
        <v/>
      </c>
      <c r="AD135" s="34">
        <f>IF(AND(AD$5&gt;$E135,AD$5&lt;=$F135),IF(AD$5=$E135+1,$C135,""),"")</f>
        <v/>
      </c>
      <c r="AE135" s="34">
        <f>IF(AND(AE$5&gt;$E135,AE$5&lt;=$F135),IF(AE$5=$E135+1,$C135,""),"")</f>
        <v/>
      </c>
      <c r="AF135" s="34">
        <f>IF(AND(AF$5&gt;$E135,AF$5&lt;=$F135),IF(AF$5=$E135+1,$C135,""),"")</f>
        <v/>
      </c>
      <c r="AG135" s="34">
        <f>IF(AND(AG$5&gt;$E135,AG$5&lt;=$F135),IF(AG$5=$E135+1,$C135,""),"")</f>
        <v/>
      </c>
      <c r="AH135" s="34">
        <f>IF(AND(AH$5&gt;$E135,AH$5&lt;=$F135),IF(AH$5=$E135+1,$C135,""),"")</f>
        <v/>
      </c>
      <c r="AI135" s="34">
        <f>IF(AND(AI$5&gt;$E135,AI$5&lt;=$F135),IF(AI$5=$E135+1,$C135,""),"")</f>
        <v/>
      </c>
      <c r="AJ135" s="34">
        <f>IF(AND(AJ$5&gt;$E135,AJ$5&lt;=$F135),IF(AJ$5=$E135+1,$C135,""),"")</f>
        <v/>
      </c>
      <c r="AK135" s="34">
        <f>IF(AND(AK$5&gt;$E135,AK$5&lt;=$F135),IF(AK$5=$E135+1,$C135,""),"")</f>
        <v/>
      </c>
      <c r="AL135" s="34">
        <f>IF(AND(AL$5&gt;$E135,AL$5&lt;=$F135),IF(AL$5=$E135+1,$C135,""),"")</f>
        <v/>
      </c>
      <c r="AM135" s="34">
        <f>IF(AND(AM$5&gt;$E135,AM$5&lt;=$F135),IF(AM$5=$E135+1,$C135,""),"")</f>
        <v/>
      </c>
      <c r="AN135" s="34">
        <f>IF(AND(AN$5&gt;$E135,AN$5&lt;=$F135),IF(AN$5=$E135+1,$C135,""),"")</f>
        <v/>
      </c>
      <c r="AO135" s="34">
        <f>IF(AND(AO$5&gt;$E135,AO$5&lt;=$F135),IF(AO$5=$E135+1,$C135,""),"")</f>
        <v/>
      </c>
      <c r="AP135" s="34">
        <f>IF(AND(AP$5&gt;$E135,AP$5&lt;=$F135),IF(AP$5=$E135+1,$C135,""),"")</f>
        <v/>
      </c>
      <c r="AQ135" s="34">
        <f>IF(AND(AQ$5&gt;$E135,AQ$5&lt;=$F135),IF(AQ$5=$E135+1,$C135,""),"")</f>
        <v/>
      </c>
      <c r="AR135" s="34">
        <f>IF(AND(AR$5&gt;$E135,AR$5&lt;=$F135),IF(AR$5=$E135+1,$C135,""),"")</f>
        <v/>
      </c>
      <c r="AS135" s="34">
        <f>IF(AND(AS$5&gt;$E135,AS$5&lt;=$F135),IF(AS$5=$E135+1,$C135,""),"")</f>
        <v/>
      </c>
      <c r="AT135" s="34">
        <f>IF(AND(AT$5&gt;$E135,AT$5&lt;=$F135),IF(AT$5=$E135+1,$C135,""),"")</f>
        <v/>
      </c>
      <c r="AU135" s="34">
        <f>IF(AND(AU$5&gt;$E135,AU$5&lt;=$F135),IF(AU$5=$E135+1,$C135,""),"")</f>
        <v/>
      </c>
      <c r="AV135" s="34">
        <f>IF(AND(AV$5&gt;$E135,AV$5&lt;=$F135),IF(AV$5=$E135+1,$C135,""),"")</f>
        <v/>
      </c>
      <c r="AW135" s="34">
        <f>IF(AND(AW$5&gt;$E135,AW$5&lt;=$F135),IF(AW$5=$E135+1,$C135,""),"")</f>
        <v/>
      </c>
      <c r="AX135" s="34">
        <f>IF(AND(AX$5&gt;$E135,AX$5&lt;=$F135),IF(AX$5=$E135+1,$C135,""),"")</f>
        <v/>
      </c>
      <c r="AY135" s="34">
        <f>IF(AND(AY$5&gt;$E135,AY$5&lt;=$F135),IF(AY$5=$E135+1,$C135,""),"")</f>
        <v/>
      </c>
      <c r="AZ135" s="34">
        <f>IF(AND(AZ$5&gt;$E135,AZ$5&lt;=$F135),IF(AZ$5=$E135+1,$C135,""),"")</f>
        <v/>
      </c>
      <c r="BA135" s="34">
        <f>IF(AND(BA$5&gt;$E135,BA$5&lt;=$F135),IF(BA$5=$E135+1,$C135,""),"")</f>
        <v/>
      </c>
      <c r="BB135" s="34">
        <f>IF(AND(BB$5&gt;$E135,BB$5&lt;=$F135),IF(BB$5=$E135+1,$C135,""),"")</f>
        <v/>
      </c>
      <c r="BC135" s="34">
        <f>IF(AND(BC$5&gt;$E135,BC$5&lt;=$F135),IF(BC$5=$E135+1,$C135,""),"")</f>
        <v/>
      </c>
      <c r="BD135" s="34">
        <f>IF(AND(BD$5&gt;$E135,BD$5&lt;=$F135),IF(BD$5=$E135+1,$C135,""),"")</f>
        <v/>
      </c>
      <c r="BE135" s="34">
        <f>IF(AND(BE$5&gt;$E135,BE$5&lt;=$F135),IF(BE$5=$E135+1,$C135,""),"")</f>
        <v/>
      </c>
      <c r="BF135" s="34">
        <f>IF(AND(BF$5&gt;$E135,BF$5&lt;=$F135),IF(BF$5=$E135+1,$C135,""),"")</f>
        <v/>
      </c>
      <c r="BG135" s="34">
        <f>IF(AND(BG$5&gt;$E135,BG$5&lt;=$F135),IF(BG$5=$E135+1,$C135,""),"")</f>
        <v/>
      </c>
      <c r="BH135" s="34">
        <f>IF(AND(BH$5&gt;$E135,BH$5&lt;=$F135),IF(BH$5=$E135+1,$C135,""),"")</f>
        <v/>
      </c>
      <c r="BI135" s="34">
        <f>IF(AND(BI$5&gt;$E135,BI$5&lt;=$F135),IF(BI$5=$E135+1,$C135,""),"")</f>
        <v/>
      </c>
      <c r="BJ135" s="34">
        <f>IF(AND(BJ$5&gt;$E135,BJ$5&lt;=$F135),IF(BJ$5=$E135+1,$C135,""),"")</f>
        <v/>
      </c>
      <c r="BK135" s="34">
        <f>IF(AND(BK$5&gt;$E135,BK$5&lt;=$F135),IF(BK$5=$E135+1,$C135,""),"")</f>
        <v/>
      </c>
      <c r="BL135" s="34">
        <f>IF(AND(BL$5&gt;$E135,BL$5&lt;=$F135),IF(BL$5=$E135+1,$C135,""),"")</f>
        <v/>
      </c>
      <c r="BM135" s="34">
        <f>IF(AND(BM$5&gt;$E135,BM$5&lt;=$F135),IF(BM$5=$E135+1,$C135,""),"")</f>
        <v/>
      </c>
      <c r="BN135" s="34">
        <f>IF(AND(BN$5&gt;$E135,BN$5&lt;=$F135),IF(BN$5=$E135+1,$C135,""),"")</f>
        <v/>
      </c>
      <c r="BO135" s="34">
        <f>IF(AND(BO$5&gt;$E135,BO$5&lt;=$F135),IF(BO$5=$E135+1,$C135,""),"")</f>
        <v/>
      </c>
      <c r="BP135" s="34">
        <f>IF(AND(BP$5&gt;$E135,BP$5&lt;=$F135),IF(BP$5=$E135+1,$C135,""),"")</f>
        <v/>
      </c>
      <c r="BQ135" s="34">
        <f>IF(AND(BQ$5&gt;$E135,BQ$5&lt;=$F135),IF(BQ$5=$E135+1,$C135,""),"")</f>
        <v/>
      </c>
      <c r="BR135" s="34">
        <f>IF(AND(BR$5&gt;$E135,BR$5&lt;=$F135),IF(BR$5=$E135+1,$C135,""),"")</f>
        <v/>
      </c>
      <c r="BS135" s="34">
        <f>IF(AND(BS$5&gt;$E135,BS$5&lt;=$F135),IF(BS$5=$E135+1,$C135,""),"")</f>
        <v/>
      </c>
      <c r="BT135" s="34">
        <f>IF(AND(BT$5&gt;$E135,BT$5&lt;=$F135),IF(BT$5=$E135+1,$C135,""),"")</f>
        <v/>
      </c>
      <c r="BU135" s="34">
        <f>IF(AND(BU$5&gt;$E135,BU$5&lt;=$F135),IF(BU$5=$E135+1,$C135,""),"")</f>
        <v/>
      </c>
      <c r="BV135" s="34">
        <f>IF(AND(BV$5&gt;$E135,BV$5&lt;=$F135),IF(BV$5=$E135+1,$C135,""),"")</f>
        <v/>
      </c>
      <c r="BW135" s="34">
        <f>IF(AND(BW$5&gt;$E135,BW$5&lt;=$F135),IF(BW$5=$E135+1,$C135,""),"")</f>
        <v/>
      </c>
      <c r="BX135" s="34">
        <f>IF(AND(BX$5&gt;$E135,BX$5&lt;=$F135),IF(BX$5=$E135+1,$C135,""),"")</f>
        <v/>
      </c>
      <c r="BY135" s="34">
        <f>IF(AND(BY$5&gt;$E135,BY$5&lt;=$F135),IF(BY$5=$E135+1,$C135,""),"")</f>
        <v/>
      </c>
      <c r="BZ135" s="34">
        <f>IF(AND(BZ$5&gt;$E135,BZ$5&lt;=$F135),IF(BZ$5=$E135+1,$C135,""),"")</f>
        <v/>
      </c>
      <c r="CA135" s="34">
        <f>IF(AND(CA$5&gt;$E135,CA$5&lt;=$F135),IF(CA$5=$E135+1,$C135,""),"")</f>
        <v/>
      </c>
      <c r="CB135" s="34">
        <f>IF(AND(CB$5&gt;$E135,CB$5&lt;=$F135),IF(CB$5=$E135+1,$C135,""),"")</f>
        <v/>
      </c>
      <c r="CC135" s="34">
        <f>IF(AND(CC$5&gt;$E135,CC$5&lt;=$F135),IF(CC$5=$E135+1,$C135,""),"")</f>
        <v/>
      </c>
      <c r="CD135" s="34">
        <f>IF(AND(CD$5&gt;$E135,CD$5&lt;=$F135),IF(CD$5=$E135+1,$C135,""),"")</f>
        <v/>
      </c>
      <c r="CE135" s="34">
        <f>IF(AND(CE$5&gt;$E135,CE$5&lt;=$F135),IF(CE$5=$E135+1,$C135,""),"")</f>
        <v/>
      </c>
      <c r="CF135" s="34">
        <f>IF(AND(CF$5&gt;$E135,CF$5&lt;=$F135),IF(CF$5=$E135+1,$C135,""),"")</f>
        <v/>
      </c>
      <c r="CG135" s="34">
        <f>IF(AND(CG$5&gt;$E135,CG$5&lt;=$F135),IF(CG$5=$E135+1,$C135,""),"")</f>
        <v/>
      </c>
      <c r="CH135" s="34">
        <f>IF(AND(CH$5&gt;$E135,CH$5&lt;=$F135),IF(CH$5=$E135+1,$C135,""),"")</f>
        <v/>
      </c>
      <c r="CI135" s="34">
        <f>IF(AND(CI$5&gt;$E135,CI$5&lt;=$F135),IF(CI$5=$E135+1,$C135,""),"")</f>
        <v/>
      </c>
      <c r="CJ135" s="34">
        <f>IF(AND(CJ$5&gt;$E135,CJ$5&lt;=$F135),IF(CJ$5=$E135+1,$C135,""),"")</f>
        <v/>
      </c>
      <c r="CK135" s="34">
        <f>IF(AND(CK$5&gt;$E135,CK$5&lt;=$F135),IF(CK$5=$E135+1,$C135,""),"")</f>
        <v/>
      </c>
      <c r="CL135" s="34">
        <f>IF(AND(CL$5&gt;$E135,CL$5&lt;=$F135),IF(CL$5=$E135+1,$C135,""),"")</f>
        <v/>
      </c>
      <c r="CM135" s="34">
        <f>IF(AND(CM$5&gt;$E135,CM$5&lt;=$F135),IF(CM$5=$E135+1,$C135,""),"")</f>
        <v/>
      </c>
      <c r="CN135" s="34">
        <f>IF(AND(CN$5&gt;$E135,CN$5&lt;=$F135),IF(CN$5=$E135+1,$C135,""),"")</f>
        <v/>
      </c>
      <c r="CO135" s="34">
        <f>IF(AND(CO$5&gt;$E135,CO$5&lt;=$F135),IF(CO$5=$E135+1,$C135,""),"")</f>
        <v/>
      </c>
      <c r="CP135" s="34">
        <f>IF(AND(CP$5&gt;$E135,CP$5&lt;=$F135),IF(CP$5=$E135+1,$C135,""),"")</f>
        <v/>
      </c>
      <c r="CQ135" s="34">
        <f>IF(AND(CQ$5&gt;$E135,CQ$5&lt;=$F135),IF(CQ$5=$E135+1,$C135,""),"")</f>
        <v/>
      </c>
      <c r="CR135" s="34">
        <f>IF(AND(CR$5&gt;$E135,CR$5&lt;=$F135),IF(CR$5=$E135+1,$C135,""),"")</f>
        <v/>
      </c>
      <c r="CS135" s="34">
        <f>IF(AND(CS$5&gt;$E135,CS$5&lt;=$F135),IF(CS$5=$E135+1,$C135,""),"")</f>
        <v/>
      </c>
      <c r="CT135" s="34">
        <f>IF(AND(CT$5&gt;$E135,CT$5&lt;=$F135),IF(CT$5=$E135+1,$C135,""),"")</f>
        <v/>
      </c>
      <c r="CU135" s="34">
        <f>IF(AND(CU$5&gt;$E135,CU$5&lt;=$F135),IF(CU$5=$E135+1,$C135,""),"")</f>
        <v/>
      </c>
      <c r="CV135" s="34">
        <f>IF(AND(CV$5&gt;$E135,CV$5&lt;=$F135),IF(CV$5=$E135+1,$C135,""),"")</f>
        <v/>
      </c>
      <c r="CW135" s="34">
        <f>IF(AND(CW$5&gt;$E135,CW$5&lt;=$F135),IF(CW$5=$E135+1,$C135,""),"")</f>
        <v/>
      </c>
      <c r="CX135" s="34">
        <f>IF(AND(CX$5&gt;$E135,CX$5&lt;=$F135),IF(CX$5=$E135+1,$C135,""),"")</f>
        <v/>
      </c>
      <c r="CY135" s="34">
        <f>IF(AND(CY$5&gt;$E135,CY$5&lt;=$F135),IF(CY$5=$E135+1,$C135,""),"")</f>
        <v/>
      </c>
      <c r="CZ135" s="34">
        <f>IF(AND(CZ$5&gt;$E135,CZ$5&lt;=$F135),IF(CZ$5=$E135+1,$C135,""),"")</f>
        <v/>
      </c>
      <c r="DA135" s="34">
        <f>IF(AND(DA$5&gt;$E135,DA$5&lt;=$F135),IF(DA$5=$E135+1,$C135,""),"")</f>
        <v/>
      </c>
      <c r="DB135" s="34">
        <f>IF(AND(DB$5&gt;$E135,DB$5&lt;=$F135),IF(DB$5=$E135+1,$C135,""),"")</f>
        <v/>
      </c>
      <c r="DC135" s="34">
        <f>IF(AND(DC$5&gt;$E135,DC$5&lt;=$F135),IF(DC$5=$E135+1,$C135,""),"")</f>
        <v/>
      </c>
      <c r="DD135" s="34">
        <f>IF(AND(DD$5&gt;$E135,DD$5&lt;=$F135),IF(DD$5=$E135+1,$C135,""),"")</f>
        <v/>
      </c>
      <c r="DE135" s="34">
        <f>IF(AND(DE$5&gt;$E135,DE$5&lt;=$F135),IF(DE$5=$E135+1,$C135,""),"")</f>
        <v/>
      </c>
      <c r="DF135" s="34">
        <f>IF(AND(DF$5&gt;$E135,DF$5&lt;=$F135),IF(DF$5=$E135+1,$C135,""),"")</f>
        <v/>
      </c>
      <c r="DG135" s="34">
        <f>IF(AND(DG$5&gt;$E135,DG$5&lt;=$F135),IF(DG$5=$E135+1,$C135,""),"")</f>
        <v/>
      </c>
      <c r="DH135" s="34">
        <f>IF(AND(DH$5&gt;$E135,DH$5&lt;=$F135),IF(DH$5=$E135+1,$C135,""),"")</f>
        <v/>
      </c>
      <c r="DI135" s="34">
        <f>IF(AND(DI$5&gt;$E135,DI$5&lt;=$F135),IF(DI$5=$E135+1,$C135,""),"")</f>
        <v/>
      </c>
      <c r="DJ135" s="34">
        <f>IF(AND(DJ$5&gt;$E135,DJ$5&lt;=$F135),IF(DJ$5=$E135+1,$C135,""),"")</f>
        <v/>
      </c>
      <c r="DK135" s="34">
        <f>IF(AND(DK$5&gt;$E135,DK$5&lt;=$F135),IF(DK$5=$E135+1,$C135,""),"")</f>
        <v/>
      </c>
      <c r="DL135" s="34">
        <f>IF(AND(DL$5&gt;$E135,DL$5&lt;=$F135),IF(DL$5=$E135+1,$C135,""),"")</f>
        <v/>
      </c>
      <c r="DM135" s="34">
        <f>IF(AND(DM$5&gt;$E135,DM$5&lt;=$F135),IF(DM$5=$E135+1,$C135,""),"")</f>
        <v/>
      </c>
      <c r="DN135" s="34">
        <f>IF(AND(DN$5&gt;$E135,DN$5&lt;=$F135),IF(DN$5=$E135+1,$C135,""),"")</f>
        <v/>
      </c>
      <c r="DO135" s="34">
        <f>IF(AND(DO$5&gt;$E135,DO$5&lt;=$F135),IF(DO$5=$E135+1,$C135,""),"")</f>
        <v/>
      </c>
      <c r="DP135" s="34">
        <f>IF(AND(DP$5&gt;$E135,DP$5&lt;=$F135),IF(DP$5=$E135+1,$C135,""),"")</f>
        <v/>
      </c>
      <c r="DQ135" s="34">
        <f>IF(AND(DQ$5&gt;$E135,DQ$5&lt;=$F135),IF(DQ$5=$E135+1,$C135,""),"")</f>
        <v/>
      </c>
      <c r="DR135" s="34">
        <f>IF(AND(DR$5&gt;$E135,DR$5&lt;=$F135),IF(DR$5=$E135+1,$C135,""),"")</f>
        <v/>
      </c>
      <c r="DS135" s="34">
        <f>IF(AND(DS$5&gt;$E135,DS$5&lt;=$F135),IF(DS$5=$E135+1,$C135,""),"")</f>
        <v/>
      </c>
      <c r="DT135" s="34">
        <f>IF(AND(DT$5&gt;$E135,DT$5&lt;=$F135),IF(DT$5=$E135+1,$C135,""),"")</f>
        <v/>
      </c>
      <c r="DU135" s="34">
        <f>IF(AND(DU$5&gt;$E135,DU$5&lt;=$F135),IF(DU$5=$E135+1,$C135,""),"")</f>
        <v/>
      </c>
      <c r="DV135" s="34">
        <f>IF(AND(DV$5&gt;$E135,DV$5&lt;=$F135),IF(DV$5=$E135+1,$C135,""),"")</f>
        <v/>
      </c>
      <c r="DW135" s="34">
        <f>IF(AND(DW$5&gt;$E135,DW$5&lt;=$F135),IF(DW$5=$E135+1,$C135,""),"")</f>
        <v/>
      </c>
      <c r="DX135" s="34">
        <f>IF(AND(DX$5&gt;$E135,DX$5&lt;=$F135),IF(DX$5=$E135+1,$C135,""),"")</f>
        <v/>
      </c>
      <c r="DY135" s="34">
        <f>IF(AND(DY$5&gt;$E135,DY$5&lt;=$F135),IF(DY$5=$E135+1,$C135,""),"")</f>
        <v/>
      </c>
      <c r="DZ135" s="34">
        <f>IF(AND(DZ$5&gt;$E135,DZ$5&lt;=$F135),IF(DZ$5=$E135+1,$C135,""),"")</f>
        <v/>
      </c>
      <c r="EA135" s="34">
        <f>IF(AND(EA$5&gt;$E135,EA$5&lt;=$F135),IF(EA$5=$E135+1,$C135,""),"")</f>
        <v/>
      </c>
      <c r="EB135" s="34">
        <f>IF(AND(EB$5&gt;$E135,EB$5&lt;=$F135),IF(EB$5=$E135+1,$C135,""),"")</f>
        <v/>
      </c>
      <c r="EC135" s="34">
        <f>IF(AND(EC$5&gt;$E135,EC$5&lt;=$F135),IF(EC$5=$E135+1,$C135,""),"")</f>
        <v/>
      </c>
      <c r="ED135" s="34">
        <f>IF(AND(ED$5&gt;$E135,ED$5&lt;=$F135),IF(ED$5=$E135+1,$C135,""),"")</f>
        <v/>
      </c>
      <c r="EE135" s="34">
        <f>IF(AND(EE$5&gt;$E135,EE$5&lt;=$F135),IF(EE$5=$E135+1,$C135,""),"")</f>
        <v/>
      </c>
      <c r="EF135" s="34">
        <f>IF(AND(EF$5&gt;$E135,EF$5&lt;=$F135),IF(EF$5=$E135+1,$C135,""),"")</f>
        <v/>
      </c>
      <c r="EG135" s="34">
        <f>IF(AND(EG$5&gt;$E135,EG$5&lt;=$F135),IF(EG$5=$E135+1,$C135,""),"")</f>
        <v/>
      </c>
      <c r="EH135" s="34">
        <f>IF(AND(EH$5&gt;$E135,EH$5&lt;=$F135),IF(EH$5=$E135+1,$C135,""),"")</f>
        <v/>
      </c>
      <c r="EI135" s="34">
        <f>IF(AND(EI$5&gt;$E135,EI$5&lt;=$F135),IF(EI$5=$E135+1,$C135,""),"")</f>
        <v/>
      </c>
      <c r="EJ135" s="34">
        <f>IF(AND(EJ$5&gt;$E135,EJ$5&lt;=$F135),IF(EJ$5=$E135+1,$C135,""),"")</f>
        <v/>
      </c>
      <c r="EK135" s="34">
        <f>IF(AND(EK$5&gt;$E135,EK$5&lt;=$F135),IF(EK$5=$E135+1,$C135,""),"")</f>
        <v/>
      </c>
      <c r="EL135" s="34">
        <f>IF(AND(EL$5&gt;$E135,EL$5&lt;=$F135),IF(EL$5=$E135+1,$C135,""),"")</f>
        <v/>
      </c>
      <c r="EM135" s="34">
        <f>IF(AND(EM$5&gt;$E135,EM$5&lt;=$F135),IF(EM$5=$E135+1,$C135,""),"")</f>
        <v/>
      </c>
      <c r="EN135" s="34">
        <f>IF(AND(EN$5&gt;$E135,EN$5&lt;=$F135),IF(EN$5=$E135+1,$C135,""),"")</f>
        <v/>
      </c>
      <c r="EO135" s="34">
        <f>IF(AND(EO$5&gt;$E135,EO$5&lt;=$F135),IF(EO$5=$E135+1,$C135,""),"")</f>
        <v/>
      </c>
      <c r="EP135" s="34">
        <f>IF(AND(EP$5&gt;$E135,EP$5&lt;=$F135),IF(EP$5=$E135+1,$C135,""),"")</f>
        <v/>
      </c>
      <c r="EQ135" s="34">
        <f>IF(AND(EQ$5&gt;$E135,EQ$5&lt;=$F135),IF(EQ$5=$E135+1,$C135,""),"")</f>
        <v/>
      </c>
      <c r="ER135" s="34">
        <f>IF(AND(ER$5&gt;$E135,ER$5&lt;=$F135),IF(ER$5=$E135+1,$C135,""),"")</f>
        <v/>
      </c>
      <c r="ES135" s="34">
        <f>IF(AND(ES$5&gt;$E135,ES$5&lt;=$F135),IF(ES$5=$E135+1,$C135,""),"")</f>
        <v/>
      </c>
      <c r="ET135" s="34">
        <f>IF(AND(ET$5&gt;$E135,ET$5&lt;=$F135),IF(ET$5=$E135+1,$C135,""),"")</f>
        <v/>
      </c>
      <c r="EU135" s="34">
        <f>IF(AND(EU$5&gt;$E135,EU$5&lt;=$F135),IF(EU$5=$E135+1,$C135,""),"")</f>
        <v/>
      </c>
      <c r="EV135" s="34">
        <f>IF(AND(EV$5&gt;$E135,EV$5&lt;=$F135),IF(EV$5=$E135+1,$C135,""),"")</f>
        <v/>
      </c>
      <c r="EW135" s="34">
        <f>IF(AND(EW$5&gt;$E135,EW$5&lt;=$F135),IF(EW$5=$E135+1,$C135,""),"")</f>
        <v/>
      </c>
      <c r="EX135" s="34">
        <f>IF(AND(EX$5&gt;$E135,EX$5&lt;=$F135),IF(EX$5=$E135+1,$C135,""),"")</f>
        <v/>
      </c>
      <c r="EY135" s="34">
        <f>IF(AND(EY$5&gt;$E135,EY$5&lt;=$F135),IF(EY$5=$E135+1,$C135,""),"")</f>
        <v/>
      </c>
      <c r="EZ135" s="34">
        <f>IF(AND(EZ$5&gt;$E135,EZ$5&lt;=$F135),IF(EZ$5=$E135+1,$C135,""),"")</f>
        <v/>
      </c>
      <c r="FA135" s="34">
        <f>IF(AND(FA$5&gt;$E135,FA$5&lt;=$F135),IF(FA$5=$E135+1,$C135,""),"")</f>
        <v/>
      </c>
    </row>
    <row r="136">
      <c r="A136" s="32">
        <f>Plan!A126</f>
        <v/>
      </c>
      <c r="B136" s="33">
        <f>Plan!C126</f>
        <v/>
      </c>
      <c r="C136" s="16">
        <f>Plan!D126</f>
        <v/>
      </c>
      <c r="D136" s="16">
        <f>Plan!I126</f>
        <v/>
      </c>
      <c r="E136" s="16">
        <f>Plan!K126</f>
        <v/>
      </c>
      <c r="F136" s="16">
        <f>Plan!L126</f>
        <v/>
      </c>
      <c r="G136" s="16">
        <f>Plan!O126</f>
        <v/>
      </c>
      <c r="H136" s="34">
        <f>IF(AND(H$5&gt;$E136,H$5&lt;=$F136),IF(H$5=$E136+1,$C136,""),"")</f>
        <v/>
      </c>
      <c r="I136" s="34">
        <f>IF(AND(I$5&gt;$E136,I$5&lt;=$F136),IF(I$5=$E136+1,$C136,""),"")</f>
        <v/>
      </c>
      <c r="J136" s="34">
        <f>IF(AND(J$5&gt;$E136,J$5&lt;=$F136),IF(J$5=$E136+1,$C136,""),"")</f>
        <v/>
      </c>
      <c r="K136" s="34">
        <f>IF(AND(K$5&gt;$E136,K$5&lt;=$F136),IF(K$5=$E136+1,$C136,""),"")</f>
        <v/>
      </c>
      <c r="L136" s="34">
        <f>IF(AND(L$5&gt;$E136,L$5&lt;=$F136),IF(L$5=$E136+1,$C136,""),"")</f>
        <v/>
      </c>
      <c r="M136" s="34">
        <f>IF(AND(M$5&gt;$E136,M$5&lt;=$F136),IF(M$5=$E136+1,$C136,""),"")</f>
        <v/>
      </c>
      <c r="N136" s="34">
        <f>IF(AND(N$5&gt;$E136,N$5&lt;=$F136),IF(N$5=$E136+1,$C136,""),"")</f>
        <v/>
      </c>
      <c r="O136" s="34">
        <f>IF(AND(O$5&gt;$E136,O$5&lt;=$F136),IF(O$5=$E136+1,$C136,""),"")</f>
        <v/>
      </c>
      <c r="P136" s="34">
        <f>IF(AND(P$5&gt;$E136,P$5&lt;=$F136),IF(P$5=$E136+1,$C136,""),"")</f>
        <v/>
      </c>
      <c r="Q136" s="34">
        <f>IF(AND(Q$5&gt;$E136,Q$5&lt;=$F136),IF(Q$5=$E136+1,$C136,""),"")</f>
        <v/>
      </c>
      <c r="R136" s="34">
        <f>IF(AND(R$5&gt;$E136,R$5&lt;=$F136),IF(R$5=$E136+1,$C136,""),"")</f>
        <v/>
      </c>
      <c r="S136" s="34">
        <f>IF(AND(S$5&gt;$E136,S$5&lt;=$F136),IF(S$5=$E136+1,$C136,""),"")</f>
        <v/>
      </c>
      <c r="T136" s="34">
        <f>IF(AND(T$5&gt;$E136,T$5&lt;=$F136),IF(T$5=$E136+1,$C136,""),"")</f>
        <v/>
      </c>
      <c r="U136" s="34">
        <f>IF(AND(U$5&gt;$E136,U$5&lt;=$F136),IF(U$5=$E136+1,$C136,""),"")</f>
        <v/>
      </c>
      <c r="V136" s="34">
        <f>IF(AND(V$5&gt;$E136,V$5&lt;=$F136),IF(V$5=$E136+1,$C136,""),"")</f>
        <v/>
      </c>
      <c r="W136" s="34">
        <f>IF(AND(W$5&gt;$E136,W$5&lt;=$F136),IF(W$5=$E136+1,$C136,""),"")</f>
        <v/>
      </c>
      <c r="X136" s="34">
        <f>IF(AND(X$5&gt;$E136,X$5&lt;=$F136),IF(X$5=$E136+1,$C136,""),"")</f>
        <v/>
      </c>
      <c r="Y136" s="34">
        <f>IF(AND(Y$5&gt;$E136,Y$5&lt;=$F136),IF(Y$5=$E136+1,$C136,""),"")</f>
        <v/>
      </c>
      <c r="Z136" s="34">
        <f>IF(AND(Z$5&gt;$E136,Z$5&lt;=$F136),IF(Z$5=$E136+1,$C136,""),"")</f>
        <v/>
      </c>
      <c r="AA136" s="34">
        <f>IF(AND(AA$5&gt;$E136,AA$5&lt;=$F136),IF(AA$5=$E136+1,$C136,""),"")</f>
        <v/>
      </c>
      <c r="AB136" s="34">
        <f>IF(AND(AB$5&gt;$E136,AB$5&lt;=$F136),IF(AB$5=$E136+1,$C136,""),"")</f>
        <v/>
      </c>
      <c r="AC136" s="34">
        <f>IF(AND(AC$5&gt;$E136,AC$5&lt;=$F136),IF(AC$5=$E136+1,$C136,""),"")</f>
        <v/>
      </c>
      <c r="AD136" s="34">
        <f>IF(AND(AD$5&gt;$E136,AD$5&lt;=$F136),IF(AD$5=$E136+1,$C136,""),"")</f>
        <v/>
      </c>
      <c r="AE136" s="34">
        <f>IF(AND(AE$5&gt;$E136,AE$5&lt;=$F136),IF(AE$5=$E136+1,$C136,""),"")</f>
        <v/>
      </c>
      <c r="AF136" s="34">
        <f>IF(AND(AF$5&gt;$E136,AF$5&lt;=$F136),IF(AF$5=$E136+1,$C136,""),"")</f>
        <v/>
      </c>
      <c r="AG136" s="34">
        <f>IF(AND(AG$5&gt;$E136,AG$5&lt;=$F136),IF(AG$5=$E136+1,$C136,""),"")</f>
        <v/>
      </c>
      <c r="AH136" s="34">
        <f>IF(AND(AH$5&gt;$E136,AH$5&lt;=$F136),IF(AH$5=$E136+1,$C136,""),"")</f>
        <v/>
      </c>
      <c r="AI136" s="34">
        <f>IF(AND(AI$5&gt;$E136,AI$5&lt;=$F136),IF(AI$5=$E136+1,$C136,""),"")</f>
        <v/>
      </c>
      <c r="AJ136" s="34">
        <f>IF(AND(AJ$5&gt;$E136,AJ$5&lt;=$F136),IF(AJ$5=$E136+1,$C136,""),"")</f>
        <v/>
      </c>
      <c r="AK136" s="34">
        <f>IF(AND(AK$5&gt;$E136,AK$5&lt;=$F136),IF(AK$5=$E136+1,$C136,""),"")</f>
        <v/>
      </c>
      <c r="AL136" s="34">
        <f>IF(AND(AL$5&gt;$E136,AL$5&lt;=$F136),IF(AL$5=$E136+1,$C136,""),"")</f>
        <v/>
      </c>
      <c r="AM136" s="34">
        <f>IF(AND(AM$5&gt;$E136,AM$5&lt;=$F136),IF(AM$5=$E136+1,$C136,""),"")</f>
        <v/>
      </c>
      <c r="AN136" s="34">
        <f>IF(AND(AN$5&gt;$E136,AN$5&lt;=$F136),IF(AN$5=$E136+1,$C136,""),"")</f>
        <v/>
      </c>
      <c r="AO136" s="34">
        <f>IF(AND(AO$5&gt;$E136,AO$5&lt;=$F136),IF(AO$5=$E136+1,$C136,""),"")</f>
        <v/>
      </c>
      <c r="AP136" s="34">
        <f>IF(AND(AP$5&gt;$E136,AP$5&lt;=$F136),IF(AP$5=$E136+1,$C136,""),"")</f>
        <v/>
      </c>
      <c r="AQ136" s="34">
        <f>IF(AND(AQ$5&gt;$E136,AQ$5&lt;=$F136),IF(AQ$5=$E136+1,$C136,""),"")</f>
        <v/>
      </c>
      <c r="AR136" s="34">
        <f>IF(AND(AR$5&gt;$E136,AR$5&lt;=$F136),IF(AR$5=$E136+1,$C136,""),"")</f>
        <v/>
      </c>
      <c r="AS136" s="34">
        <f>IF(AND(AS$5&gt;$E136,AS$5&lt;=$F136),IF(AS$5=$E136+1,$C136,""),"")</f>
        <v/>
      </c>
      <c r="AT136" s="34">
        <f>IF(AND(AT$5&gt;$E136,AT$5&lt;=$F136),IF(AT$5=$E136+1,$C136,""),"")</f>
        <v/>
      </c>
      <c r="AU136" s="34">
        <f>IF(AND(AU$5&gt;$E136,AU$5&lt;=$F136),IF(AU$5=$E136+1,$C136,""),"")</f>
        <v/>
      </c>
      <c r="AV136" s="34">
        <f>IF(AND(AV$5&gt;$E136,AV$5&lt;=$F136),IF(AV$5=$E136+1,$C136,""),"")</f>
        <v/>
      </c>
      <c r="AW136" s="34">
        <f>IF(AND(AW$5&gt;$E136,AW$5&lt;=$F136),IF(AW$5=$E136+1,$C136,""),"")</f>
        <v/>
      </c>
      <c r="AX136" s="34">
        <f>IF(AND(AX$5&gt;$E136,AX$5&lt;=$F136),IF(AX$5=$E136+1,$C136,""),"")</f>
        <v/>
      </c>
      <c r="AY136" s="34">
        <f>IF(AND(AY$5&gt;$E136,AY$5&lt;=$F136),IF(AY$5=$E136+1,$C136,""),"")</f>
        <v/>
      </c>
      <c r="AZ136" s="34">
        <f>IF(AND(AZ$5&gt;$E136,AZ$5&lt;=$F136),IF(AZ$5=$E136+1,$C136,""),"")</f>
        <v/>
      </c>
      <c r="BA136" s="34">
        <f>IF(AND(BA$5&gt;$E136,BA$5&lt;=$F136),IF(BA$5=$E136+1,$C136,""),"")</f>
        <v/>
      </c>
      <c r="BB136" s="34">
        <f>IF(AND(BB$5&gt;$E136,BB$5&lt;=$F136),IF(BB$5=$E136+1,$C136,""),"")</f>
        <v/>
      </c>
      <c r="BC136" s="34">
        <f>IF(AND(BC$5&gt;$E136,BC$5&lt;=$F136),IF(BC$5=$E136+1,$C136,""),"")</f>
        <v/>
      </c>
      <c r="BD136" s="34">
        <f>IF(AND(BD$5&gt;$E136,BD$5&lt;=$F136),IF(BD$5=$E136+1,$C136,""),"")</f>
        <v/>
      </c>
      <c r="BE136" s="34">
        <f>IF(AND(BE$5&gt;$E136,BE$5&lt;=$F136),IF(BE$5=$E136+1,$C136,""),"")</f>
        <v/>
      </c>
      <c r="BF136" s="34">
        <f>IF(AND(BF$5&gt;$E136,BF$5&lt;=$F136),IF(BF$5=$E136+1,$C136,""),"")</f>
        <v/>
      </c>
      <c r="BG136" s="34">
        <f>IF(AND(BG$5&gt;$E136,BG$5&lt;=$F136),IF(BG$5=$E136+1,$C136,""),"")</f>
        <v/>
      </c>
      <c r="BH136" s="34">
        <f>IF(AND(BH$5&gt;$E136,BH$5&lt;=$F136),IF(BH$5=$E136+1,$C136,""),"")</f>
        <v/>
      </c>
      <c r="BI136" s="34">
        <f>IF(AND(BI$5&gt;$E136,BI$5&lt;=$F136),IF(BI$5=$E136+1,$C136,""),"")</f>
        <v/>
      </c>
      <c r="BJ136" s="34">
        <f>IF(AND(BJ$5&gt;$E136,BJ$5&lt;=$F136),IF(BJ$5=$E136+1,$C136,""),"")</f>
        <v/>
      </c>
      <c r="BK136" s="34">
        <f>IF(AND(BK$5&gt;$E136,BK$5&lt;=$F136),IF(BK$5=$E136+1,$C136,""),"")</f>
        <v/>
      </c>
      <c r="BL136" s="34">
        <f>IF(AND(BL$5&gt;$E136,BL$5&lt;=$F136),IF(BL$5=$E136+1,$C136,""),"")</f>
        <v/>
      </c>
      <c r="BM136" s="34">
        <f>IF(AND(BM$5&gt;$E136,BM$5&lt;=$F136),IF(BM$5=$E136+1,$C136,""),"")</f>
        <v/>
      </c>
      <c r="BN136" s="34">
        <f>IF(AND(BN$5&gt;$E136,BN$5&lt;=$F136),IF(BN$5=$E136+1,$C136,""),"")</f>
        <v/>
      </c>
      <c r="BO136" s="34">
        <f>IF(AND(BO$5&gt;$E136,BO$5&lt;=$F136),IF(BO$5=$E136+1,$C136,""),"")</f>
        <v/>
      </c>
      <c r="BP136" s="34">
        <f>IF(AND(BP$5&gt;$E136,BP$5&lt;=$F136),IF(BP$5=$E136+1,$C136,""),"")</f>
        <v/>
      </c>
      <c r="BQ136" s="34">
        <f>IF(AND(BQ$5&gt;$E136,BQ$5&lt;=$F136),IF(BQ$5=$E136+1,$C136,""),"")</f>
        <v/>
      </c>
      <c r="BR136" s="34">
        <f>IF(AND(BR$5&gt;$E136,BR$5&lt;=$F136),IF(BR$5=$E136+1,$C136,""),"")</f>
        <v/>
      </c>
      <c r="BS136" s="34">
        <f>IF(AND(BS$5&gt;$E136,BS$5&lt;=$F136),IF(BS$5=$E136+1,$C136,""),"")</f>
        <v/>
      </c>
      <c r="BT136" s="34">
        <f>IF(AND(BT$5&gt;$E136,BT$5&lt;=$F136),IF(BT$5=$E136+1,$C136,""),"")</f>
        <v/>
      </c>
      <c r="BU136" s="34">
        <f>IF(AND(BU$5&gt;$E136,BU$5&lt;=$F136),IF(BU$5=$E136+1,$C136,""),"")</f>
        <v/>
      </c>
      <c r="BV136" s="34">
        <f>IF(AND(BV$5&gt;$E136,BV$5&lt;=$F136),IF(BV$5=$E136+1,$C136,""),"")</f>
        <v/>
      </c>
      <c r="BW136" s="34">
        <f>IF(AND(BW$5&gt;$E136,BW$5&lt;=$F136),IF(BW$5=$E136+1,$C136,""),"")</f>
        <v/>
      </c>
      <c r="BX136" s="34">
        <f>IF(AND(BX$5&gt;$E136,BX$5&lt;=$F136),IF(BX$5=$E136+1,$C136,""),"")</f>
        <v/>
      </c>
      <c r="BY136" s="34">
        <f>IF(AND(BY$5&gt;$E136,BY$5&lt;=$F136),IF(BY$5=$E136+1,$C136,""),"")</f>
        <v/>
      </c>
      <c r="BZ136" s="34">
        <f>IF(AND(BZ$5&gt;$E136,BZ$5&lt;=$F136),IF(BZ$5=$E136+1,$C136,""),"")</f>
        <v/>
      </c>
      <c r="CA136" s="34">
        <f>IF(AND(CA$5&gt;$E136,CA$5&lt;=$F136),IF(CA$5=$E136+1,$C136,""),"")</f>
        <v/>
      </c>
      <c r="CB136" s="34">
        <f>IF(AND(CB$5&gt;$E136,CB$5&lt;=$F136),IF(CB$5=$E136+1,$C136,""),"")</f>
        <v/>
      </c>
      <c r="CC136" s="34">
        <f>IF(AND(CC$5&gt;$E136,CC$5&lt;=$F136),IF(CC$5=$E136+1,$C136,""),"")</f>
        <v/>
      </c>
      <c r="CD136" s="34">
        <f>IF(AND(CD$5&gt;$E136,CD$5&lt;=$F136),IF(CD$5=$E136+1,$C136,""),"")</f>
        <v/>
      </c>
      <c r="CE136" s="34">
        <f>IF(AND(CE$5&gt;$E136,CE$5&lt;=$F136),IF(CE$5=$E136+1,$C136,""),"")</f>
        <v/>
      </c>
      <c r="CF136" s="34">
        <f>IF(AND(CF$5&gt;$E136,CF$5&lt;=$F136),IF(CF$5=$E136+1,$C136,""),"")</f>
        <v/>
      </c>
      <c r="CG136" s="34">
        <f>IF(AND(CG$5&gt;$E136,CG$5&lt;=$F136),IF(CG$5=$E136+1,$C136,""),"")</f>
        <v/>
      </c>
      <c r="CH136" s="34">
        <f>IF(AND(CH$5&gt;$E136,CH$5&lt;=$F136),IF(CH$5=$E136+1,$C136,""),"")</f>
        <v/>
      </c>
      <c r="CI136" s="34">
        <f>IF(AND(CI$5&gt;$E136,CI$5&lt;=$F136),IF(CI$5=$E136+1,$C136,""),"")</f>
        <v/>
      </c>
      <c r="CJ136" s="34">
        <f>IF(AND(CJ$5&gt;$E136,CJ$5&lt;=$F136),IF(CJ$5=$E136+1,$C136,""),"")</f>
        <v/>
      </c>
      <c r="CK136" s="34">
        <f>IF(AND(CK$5&gt;$E136,CK$5&lt;=$F136),IF(CK$5=$E136+1,$C136,""),"")</f>
        <v/>
      </c>
      <c r="CL136" s="34">
        <f>IF(AND(CL$5&gt;$E136,CL$5&lt;=$F136),IF(CL$5=$E136+1,$C136,""),"")</f>
        <v/>
      </c>
      <c r="CM136" s="34">
        <f>IF(AND(CM$5&gt;$E136,CM$5&lt;=$F136),IF(CM$5=$E136+1,$C136,""),"")</f>
        <v/>
      </c>
      <c r="CN136" s="34">
        <f>IF(AND(CN$5&gt;$E136,CN$5&lt;=$F136),IF(CN$5=$E136+1,$C136,""),"")</f>
        <v/>
      </c>
      <c r="CO136" s="34">
        <f>IF(AND(CO$5&gt;$E136,CO$5&lt;=$F136),IF(CO$5=$E136+1,$C136,""),"")</f>
        <v/>
      </c>
      <c r="CP136" s="34">
        <f>IF(AND(CP$5&gt;$E136,CP$5&lt;=$F136),IF(CP$5=$E136+1,$C136,""),"")</f>
        <v/>
      </c>
      <c r="CQ136" s="34">
        <f>IF(AND(CQ$5&gt;$E136,CQ$5&lt;=$F136),IF(CQ$5=$E136+1,$C136,""),"")</f>
        <v/>
      </c>
      <c r="CR136" s="34">
        <f>IF(AND(CR$5&gt;$E136,CR$5&lt;=$F136),IF(CR$5=$E136+1,$C136,""),"")</f>
        <v/>
      </c>
      <c r="CS136" s="34">
        <f>IF(AND(CS$5&gt;$E136,CS$5&lt;=$F136),IF(CS$5=$E136+1,$C136,""),"")</f>
        <v/>
      </c>
      <c r="CT136" s="34">
        <f>IF(AND(CT$5&gt;$E136,CT$5&lt;=$F136),IF(CT$5=$E136+1,$C136,""),"")</f>
        <v/>
      </c>
      <c r="CU136" s="34">
        <f>IF(AND(CU$5&gt;$E136,CU$5&lt;=$F136),IF(CU$5=$E136+1,$C136,""),"")</f>
        <v/>
      </c>
      <c r="CV136" s="34">
        <f>IF(AND(CV$5&gt;$E136,CV$5&lt;=$F136),IF(CV$5=$E136+1,$C136,""),"")</f>
        <v/>
      </c>
      <c r="CW136" s="34">
        <f>IF(AND(CW$5&gt;$E136,CW$5&lt;=$F136),IF(CW$5=$E136+1,$C136,""),"")</f>
        <v/>
      </c>
      <c r="CX136" s="34">
        <f>IF(AND(CX$5&gt;$E136,CX$5&lt;=$F136),IF(CX$5=$E136+1,$C136,""),"")</f>
        <v/>
      </c>
      <c r="CY136" s="34">
        <f>IF(AND(CY$5&gt;$E136,CY$5&lt;=$F136),IF(CY$5=$E136+1,$C136,""),"")</f>
        <v/>
      </c>
      <c r="CZ136" s="34">
        <f>IF(AND(CZ$5&gt;$E136,CZ$5&lt;=$F136),IF(CZ$5=$E136+1,$C136,""),"")</f>
        <v/>
      </c>
      <c r="DA136" s="34">
        <f>IF(AND(DA$5&gt;$E136,DA$5&lt;=$F136),IF(DA$5=$E136+1,$C136,""),"")</f>
        <v/>
      </c>
      <c r="DB136" s="34">
        <f>IF(AND(DB$5&gt;$E136,DB$5&lt;=$F136),IF(DB$5=$E136+1,$C136,""),"")</f>
        <v/>
      </c>
      <c r="DC136" s="34">
        <f>IF(AND(DC$5&gt;$E136,DC$5&lt;=$F136),IF(DC$5=$E136+1,$C136,""),"")</f>
        <v/>
      </c>
      <c r="DD136" s="34">
        <f>IF(AND(DD$5&gt;$E136,DD$5&lt;=$F136),IF(DD$5=$E136+1,$C136,""),"")</f>
        <v/>
      </c>
      <c r="DE136" s="34">
        <f>IF(AND(DE$5&gt;$E136,DE$5&lt;=$F136),IF(DE$5=$E136+1,$C136,""),"")</f>
        <v/>
      </c>
      <c r="DF136" s="34">
        <f>IF(AND(DF$5&gt;$E136,DF$5&lt;=$F136),IF(DF$5=$E136+1,$C136,""),"")</f>
        <v/>
      </c>
      <c r="DG136" s="34">
        <f>IF(AND(DG$5&gt;$E136,DG$5&lt;=$F136),IF(DG$5=$E136+1,$C136,""),"")</f>
        <v/>
      </c>
      <c r="DH136" s="34">
        <f>IF(AND(DH$5&gt;$E136,DH$5&lt;=$F136),IF(DH$5=$E136+1,$C136,""),"")</f>
        <v/>
      </c>
      <c r="DI136" s="34">
        <f>IF(AND(DI$5&gt;$E136,DI$5&lt;=$F136),IF(DI$5=$E136+1,$C136,""),"")</f>
        <v/>
      </c>
      <c r="DJ136" s="34">
        <f>IF(AND(DJ$5&gt;$E136,DJ$5&lt;=$F136),IF(DJ$5=$E136+1,$C136,""),"")</f>
        <v/>
      </c>
      <c r="DK136" s="34">
        <f>IF(AND(DK$5&gt;$E136,DK$5&lt;=$F136),IF(DK$5=$E136+1,$C136,""),"")</f>
        <v/>
      </c>
      <c r="DL136" s="34">
        <f>IF(AND(DL$5&gt;$E136,DL$5&lt;=$F136),IF(DL$5=$E136+1,$C136,""),"")</f>
        <v/>
      </c>
      <c r="DM136" s="34">
        <f>IF(AND(DM$5&gt;$E136,DM$5&lt;=$F136),IF(DM$5=$E136+1,$C136,""),"")</f>
        <v/>
      </c>
      <c r="DN136" s="34">
        <f>IF(AND(DN$5&gt;$E136,DN$5&lt;=$F136),IF(DN$5=$E136+1,$C136,""),"")</f>
        <v/>
      </c>
      <c r="DO136" s="34">
        <f>IF(AND(DO$5&gt;$E136,DO$5&lt;=$F136),IF(DO$5=$E136+1,$C136,""),"")</f>
        <v/>
      </c>
      <c r="DP136" s="34">
        <f>IF(AND(DP$5&gt;$E136,DP$5&lt;=$F136),IF(DP$5=$E136+1,$C136,""),"")</f>
        <v/>
      </c>
      <c r="DQ136" s="34">
        <f>IF(AND(DQ$5&gt;$E136,DQ$5&lt;=$F136),IF(DQ$5=$E136+1,$C136,""),"")</f>
        <v/>
      </c>
      <c r="DR136" s="34">
        <f>IF(AND(DR$5&gt;$E136,DR$5&lt;=$F136),IF(DR$5=$E136+1,$C136,""),"")</f>
        <v/>
      </c>
      <c r="DS136" s="34">
        <f>IF(AND(DS$5&gt;$E136,DS$5&lt;=$F136),IF(DS$5=$E136+1,$C136,""),"")</f>
        <v/>
      </c>
      <c r="DT136" s="34">
        <f>IF(AND(DT$5&gt;$E136,DT$5&lt;=$F136),IF(DT$5=$E136+1,$C136,""),"")</f>
        <v/>
      </c>
      <c r="DU136" s="34">
        <f>IF(AND(DU$5&gt;$E136,DU$5&lt;=$F136),IF(DU$5=$E136+1,$C136,""),"")</f>
        <v/>
      </c>
      <c r="DV136" s="34">
        <f>IF(AND(DV$5&gt;$E136,DV$5&lt;=$F136),IF(DV$5=$E136+1,$C136,""),"")</f>
        <v/>
      </c>
      <c r="DW136" s="34">
        <f>IF(AND(DW$5&gt;$E136,DW$5&lt;=$F136),IF(DW$5=$E136+1,$C136,""),"")</f>
        <v/>
      </c>
      <c r="DX136" s="34">
        <f>IF(AND(DX$5&gt;$E136,DX$5&lt;=$F136),IF(DX$5=$E136+1,$C136,""),"")</f>
        <v/>
      </c>
      <c r="DY136" s="34">
        <f>IF(AND(DY$5&gt;$E136,DY$5&lt;=$F136),IF(DY$5=$E136+1,$C136,""),"")</f>
        <v/>
      </c>
      <c r="DZ136" s="34">
        <f>IF(AND(DZ$5&gt;$E136,DZ$5&lt;=$F136),IF(DZ$5=$E136+1,$C136,""),"")</f>
        <v/>
      </c>
      <c r="EA136" s="34">
        <f>IF(AND(EA$5&gt;$E136,EA$5&lt;=$F136),IF(EA$5=$E136+1,$C136,""),"")</f>
        <v/>
      </c>
      <c r="EB136" s="34">
        <f>IF(AND(EB$5&gt;$E136,EB$5&lt;=$F136),IF(EB$5=$E136+1,$C136,""),"")</f>
        <v/>
      </c>
      <c r="EC136" s="34">
        <f>IF(AND(EC$5&gt;$E136,EC$5&lt;=$F136),IF(EC$5=$E136+1,$C136,""),"")</f>
        <v/>
      </c>
      <c r="ED136" s="34">
        <f>IF(AND(ED$5&gt;$E136,ED$5&lt;=$F136),IF(ED$5=$E136+1,$C136,""),"")</f>
        <v/>
      </c>
      <c r="EE136" s="34">
        <f>IF(AND(EE$5&gt;$E136,EE$5&lt;=$F136),IF(EE$5=$E136+1,$C136,""),"")</f>
        <v/>
      </c>
      <c r="EF136" s="34">
        <f>IF(AND(EF$5&gt;$E136,EF$5&lt;=$F136),IF(EF$5=$E136+1,$C136,""),"")</f>
        <v/>
      </c>
      <c r="EG136" s="34">
        <f>IF(AND(EG$5&gt;$E136,EG$5&lt;=$F136),IF(EG$5=$E136+1,$C136,""),"")</f>
        <v/>
      </c>
      <c r="EH136" s="34">
        <f>IF(AND(EH$5&gt;$E136,EH$5&lt;=$F136),IF(EH$5=$E136+1,$C136,""),"")</f>
        <v/>
      </c>
      <c r="EI136" s="34">
        <f>IF(AND(EI$5&gt;$E136,EI$5&lt;=$F136),IF(EI$5=$E136+1,$C136,""),"")</f>
        <v/>
      </c>
      <c r="EJ136" s="34">
        <f>IF(AND(EJ$5&gt;$E136,EJ$5&lt;=$F136),IF(EJ$5=$E136+1,$C136,""),"")</f>
        <v/>
      </c>
      <c r="EK136" s="34">
        <f>IF(AND(EK$5&gt;$E136,EK$5&lt;=$F136),IF(EK$5=$E136+1,$C136,""),"")</f>
        <v/>
      </c>
      <c r="EL136" s="34">
        <f>IF(AND(EL$5&gt;$E136,EL$5&lt;=$F136),IF(EL$5=$E136+1,$C136,""),"")</f>
        <v/>
      </c>
      <c r="EM136" s="34">
        <f>IF(AND(EM$5&gt;$E136,EM$5&lt;=$F136),IF(EM$5=$E136+1,$C136,""),"")</f>
        <v/>
      </c>
      <c r="EN136" s="34">
        <f>IF(AND(EN$5&gt;$E136,EN$5&lt;=$F136),IF(EN$5=$E136+1,$C136,""),"")</f>
        <v/>
      </c>
      <c r="EO136" s="34">
        <f>IF(AND(EO$5&gt;$E136,EO$5&lt;=$F136),IF(EO$5=$E136+1,$C136,""),"")</f>
        <v/>
      </c>
      <c r="EP136" s="34">
        <f>IF(AND(EP$5&gt;$E136,EP$5&lt;=$F136),IF(EP$5=$E136+1,$C136,""),"")</f>
        <v/>
      </c>
      <c r="EQ136" s="34">
        <f>IF(AND(EQ$5&gt;$E136,EQ$5&lt;=$F136),IF(EQ$5=$E136+1,$C136,""),"")</f>
        <v/>
      </c>
      <c r="ER136" s="34">
        <f>IF(AND(ER$5&gt;$E136,ER$5&lt;=$F136),IF(ER$5=$E136+1,$C136,""),"")</f>
        <v/>
      </c>
      <c r="ES136" s="34">
        <f>IF(AND(ES$5&gt;$E136,ES$5&lt;=$F136),IF(ES$5=$E136+1,$C136,""),"")</f>
        <v/>
      </c>
      <c r="ET136" s="34">
        <f>IF(AND(ET$5&gt;$E136,ET$5&lt;=$F136),IF(ET$5=$E136+1,$C136,""),"")</f>
        <v/>
      </c>
      <c r="EU136" s="34">
        <f>IF(AND(EU$5&gt;$E136,EU$5&lt;=$F136),IF(EU$5=$E136+1,$C136,""),"")</f>
        <v/>
      </c>
      <c r="EV136" s="34">
        <f>IF(AND(EV$5&gt;$E136,EV$5&lt;=$F136),IF(EV$5=$E136+1,$C136,""),"")</f>
        <v/>
      </c>
      <c r="EW136" s="34">
        <f>IF(AND(EW$5&gt;$E136,EW$5&lt;=$F136),IF(EW$5=$E136+1,$C136,""),"")</f>
        <v/>
      </c>
      <c r="EX136" s="34">
        <f>IF(AND(EX$5&gt;$E136,EX$5&lt;=$F136),IF(EX$5=$E136+1,$C136,""),"")</f>
        <v/>
      </c>
      <c r="EY136" s="34">
        <f>IF(AND(EY$5&gt;$E136,EY$5&lt;=$F136),IF(EY$5=$E136+1,$C136,""),"")</f>
        <v/>
      </c>
      <c r="EZ136" s="34">
        <f>IF(AND(EZ$5&gt;$E136,EZ$5&lt;=$F136),IF(EZ$5=$E136+1,$C136,""),"")</f>
        <v/>
      </c>
      <c r="FA136" s="34">
        <f>IF(AND(FA$5&gt;$E136,FA$5&lt;=$F136),IF(FA$5=$E136+1,$C136,""),"")</f>
        <v/>
      </c>
    </row>
    <row r="137">
      <c r="A137" s="32">
        <f>Plan!A127</f>
        <v/>
      </c>
      <c r="B137" s="33">
        <f>Plan!C127</f>
        <v/>
      </c>
      <c r="C137" s="16">
        <f>Plan!D127</f>
        <v/>
      </c>
      <c r="D137" s="16">
        <f>Plan!I127</f>
        <v/>
      </c>
      <c r="E137" s="16">
        <f>Plan!K127</f>
        <v/>
      </c>
      <c r="F137" s="16">
        <f>Plan!L127</f>
        <v/>
      </c>
      <c r="G137" s="16">
        <f>Plan!O127</f>
        <v/>
      </c>
      <c r="H137" s="34">
        <f>IF(AND(H$5&gt;$E137,H$5&lt;=$F137),IF(H$5=$E137+1,$C137,""),"")</f>
        <v/>
      </c>
      <c r="I137" s="34">
        <f>IF(AND(I$5&gt;$E137,I$5&lt;=$F137),IF(I$5=$E137+1,$C137,""),"")</f>
        <v/>
      </c>
      <c r="J137" s="34">
        <f>IF(AND(J$5&gt;$E137,J$5&lt;=$F137),IF(J$5=$E137+1,$C137,""),"")</f>
        <v/>
      </c>
      <c r="K137" s="34">
        <f>IF(AND(K$5&gt;$E137,K$5&lt;=$F137),IF(K$5=$E137+1,$C137,""),"")</f>
        <v/>
      </c>
      <c r="L137" s="34">
        <f>IF(AND(L$5&gt;$E137,L$5&lt;=$F137),IF(L$5=$E137+1,$C137,""),"")</f>
        <v/>
      </c>
      <c r="M137" s="34">
        <f>IF(AND(M$5&gt;$E137,M$5&lt;=$F137),IF(M$5=$E137+1,$C137,""),"")</f>
        <v/>
      </c>
      <c r="N137" s="34">
        <f>IF(AND(N$5&gt;$E137,N$5&lt;=$F137),IF(N$5=$E137+1,$C137,""),"")</f>
        <v/>
      </c>
      <c r="O137" s="34">
        <f>IF(AND(O$5&gt;$E137,O$5&lt;=$F137),IF(O$5=$E137+1,$C137,""),"")</f>
        <v/>
      </c>
      <c r="P137" s="34">
        <f>IF(AND(P$5&gt;$E137,P$5&lt;=$F137),IF(P$5=$E137+1,$C137,""),"")</f>
        <v/>
      </c>
      <c r="Q137" s="34">
        <f>IF(AND(Q$5&gt;$E137,Q$5&lt;=$F137),IF(Q$5=$E137+1,$C137,""),"")</f>
        <v/>
      </c>
      <c r="R137" s="34">
        <f>IF(AND(R$5&gt;$E137,R$5&lt;=$F137),IF(R$5=$E137+1,$C137,""),"")</f>
        <v/>
      </c>
      <c r="S137" s="34">
        <f>IF(AND(S$5&gt;$E137,S$5&lt;=$F137),IF(S$5=$E137+1,$C137,""),"")</f>
        <v/>
      </c>
      <c r="T137" s="34">
        <f>IF(AND(T$5&gt;$E137,T$5&lt;=$F137),IF(T$5=$E137+1,$C137,""),"")</f>
        <v/>
      </c>
      <c r="U137" s="34">
        <f>IF(AND(U$5&gt;$E137,U$5&lt;=$F137),IF(U$5=$E137+1,$C137,""),"")</f>
        <v/>
      </c>
      <c r="V137" s="34">
        <f>IF(AND(V$5&gt;$E137,V$5&lt;=$F137),IF(V$5=$E137+1,$C137,""),"")</f>
        <v/>
      </c>
      <c r="W137" s="34">
        <f>IF(AND(W$5&gt;$E137,W$5&lt;=$F137),IF(W$5=$E137+1,$C137,""),"")</f>
        <v/>
      </c>
      <c r="X137" s="34">
        <f>IF(AND(X$5&gt;$E137,X$5&lt;=$F137),IF(X$5=$E137+1,$C137,""),"")</f>
        <v/>
      </c>
      <c r="Y137" s="34">
        <f>IF(AND(Y$5&gt;$E137,Y$5&lt;=$F137),IF(Y$5=$E137+1,$C137,""),"")</f>
        <v/>
      </c>
      <c r="Z137" s="34">
        <f>IF(AND(Z$5&gt;$E137,Z$5&lt;=$F137),IF(Z$5=$E137+1,$C137,""),"")</f>
        <v/>
      </c>
      <c r="AA137" s="34">
        <f>IF(AND(AA$5&gt;$E137,AA$5&lt;=$F137),IF(AA$5=$E137+1,$C137,""),"")</f>
        <v/>
      </c>
      <c r="AB137" s="34">
        <f>IF(AND(AB$5&gt;$E137,AB$5&lt;=$F137),IF(AB$5=$E137+1,$C137,""),"")</f>
        <v/>
      </c>
      <c r="AC137" s="34">
        <f>IF(AND(AC$5&gt;$E137,AC$5&lt;=$F137),IF(AC$5=$E137+1,$C137,""),"")</f>
        <v/>
      </c>
      <c r="AD137" s="34">
        <f>IF(AND(AD$5&gt;$E137,AD$5&lt;=$F137),IF(AD$5=$E137+1,$C137,""),"")</f>
        <v/>
      </c>
      <c r="AE137" s="34">
        <f>IF(AND(AE$5&gt;$E137,AE$5&lt;=$F137),IF(AE$5=$E137+1,$C137,""),"")</f>
        <v/>
      </c>
      <c r="AF137" s="34">
        <f>IF(AND(AF$5&gt;$E137,AF$5&lt;=$F137),IF(AF$5=$E137+1,$C137,""),"")</f>
        <v/>
      </c>
      <c r="AG137" s="34">
        <f>IF(AND(AG$5&gt;$E137,AG$5&lt;=$F137),IF(AG$5=$E137+1,$C137,""),"")</f>
        <v/>
      </c>
      <c r="AH137" s="34">
        <f>IF(AND(AH$5&gt;$E137,AH$5&lt;=$F137),IF(AH$5=$E137+1,$C137,""),"")</f>
        <v/>
      </c>
      <c r="AI137" s="34">
        <f>IF(AND(AI$5&gt;$E137,AI$5&lt;=$F137),IF(AI$5=$E137+1,$C137,""),"")</f>
        <v/>
      </c>
      <c r="AJ137" s="34">
        <f>IF(AND(AJ$5&gt;$E137,AJ$5&lt;=$F137),IF(AJ$5=$E137+1,$C137,""),"")</f>
        <v/>
      </c>
      <c r="AK137" s="34">
        <f>IF(AND(AK$5&gt;$E137,AK$5&lt;=$F137),IF(AK$5=$E137+1,$C137,""),"")</f>
        <v/>
      </c>
      <c r="AL137" s="34">
        <f>IF(AND(AL$5&gt;$E137,AL$5&lt;=$F137),IF(AL$5=$E137+1,$C137,""),"")</f>
        <v/>
      </c>
      <c r="AM137" s="34">
        <f>IF(AND(AM$5&gt;$E137,AM$5&lt;=$F137),IF(AM$5=$E137+1,$C137,""),"")</f>
        <v/>
      </c>
      <c r="AN137" s="34">
        <f>IF(AND(AN$5&gt;$E137,AN$5&lt;=$F137),IF(AN$5=$E137+1,$C137,""),"")</f>
        <v/>
      </c>
      <c r="AO137" s="34">
        <f>IF(AND(AO$5&gt;$E137,AO$5&lt;=$F137),IF(AO$5=$E137+1,$C137,""),"")</f>
        <v/>
      </c>
      <c r="AP137" s="34">
        <f>IF(AND(AP$5&gt;$E137,AP$5&lt;=$F137),IF(AP$5=$E137+1,$C137,""),"")</f>
        <v/>
      </c>
      <c r="AQ137" s="34">
        <f>IF(AND(AQ$5&gt;$E137,AQ$5&lt;=$F137),IF(AQ$5=$E137+1,$C137,""),"")</f>
        <v/>
      </c>
      <c r="AR137" s="34">
        <f>IF(AND(AR$5&gt;$E137,AR$5&lt;=$F137),IF(AR$5=$E137+1,$C137,""),"")</f>
        <v/>
      </c>
      <c r="AS137" s="34">
        <f>IF(AND(AS$5&gt;$E137,AS$5&lt;=$F137),IF(AS$5=$E137+1,$C137,""),"")</f>
        <v/>
      </c>
      <c r="AT137" s="34">
        <f>IF(AND(AT$5&gt;$E137,AT$5&lt;=$F137),IF(AT$5=$E137+1,$C137,""),"")</f>
        <v/>
      </c>
      <c r="AU137" s="34">
        <f>IF(AND(AU$5&gt;$E137,AU$5&lt;=$F137),IF(AU$5=$E137+1,$C137,""),"")</f>
        <v/>
      </c>
      <c r="AV137" s="34">
        <f>IF(AND(AV$5&gt;$E137,AV$5&lt;=$F137),IF(AV$5=$E137+1,$C137,""),"")</f>
        <v/>
      </c>
      <c r="AW137" s="34">
        <f>IF(AND(AW$5&gt;$E137,AW$5&lt;=$F137),IF(AW$5=$E137+1,$C137,""),"")</f>
        <v/>
      </c>
      <c r="AX137" s="34">
        <f>IF(AND(AX$5&gt;$E137,AX$5&lt;=$F137),IF(AX$5=$E137+1,$C137,""),"")</f>
        <v/>
      </c>
      <c r="AY137" s="34">
        <f>IF(AND(AY$5&gt;$E137,AY$5&lt;=$F137),IF(AY$5=$E137+1,$C137,""),"")</f>
        <v/>
      </c>
      <c r="AZ137" s="34">
        <f>IF(AND(AZ$5&gt;$E137,AZ$5&lt;=$F137),IF(AZ$5=$E137+1,$C137,""),"")</f>
        <v/>
      </c>
      <c r="BA137" s="34">
        <f>IF(AND(BA$5&gt;$E137,BA$5&lt;=$F137),IF(BA$5=$E137+1,$C137,""),"")</f>
        <v/>
      </c>
      <c r="BB137" s="34">
        <f>IF(AND(BB$5&gt;$E137,BB$5&lt;=$F137),IF(BB$5=$E137+1,$C137,""),"")</f>
        <v/>
      </c>
      <c r="BC137" s="34">
        <f>IF(AND(BC$5&gt;$E137,BC$5&lt;=$F137),IF(BC$5=$E137+1,$C137,""),"")</f>
        <v/>
      </c>
      <c r="BD137" s="34">
        <f>IF(AND(BD$5&gt;$E137,BD$5&lt;=$F137),IF(BD$5=$E137+1,$C137,""),"")</f>
        <v/>
      </c>
      <c r="BE137" s="34">
        <f>IF(AND(BE$5&gt;$E137,BE$5&lt;=$F137),IF(BE$5=$E137+1,$C137,""),"")</f>
        <v/>
      </c>
      <c r="BF137" s="34">
        <f>IF(AND(BF$5&gt;$E137,BF$5&lt;=$F137),IF(BF$5=$E137+1,$C137,""),"")</f>
        <v/>
      </c>
      <c r="BG137" s="34">
        <f>IF(AND(BG$5&gt;$E137,BG$5&lt;=$F137),IF(BG$5=$E137+1,$C137,""),"")</f>
        <v/>
      </c>
      <c r="BH137" s="34">
        <f>IF(AND(BH$5&gt;$E137,BH$5&lt;=$F137),IF(BH$5=$E137+1,$C137,""),"")</f>
        <v/>
      </c>
      <c r="BI137" s="34">
        <f>IF(AND(BI$5&gt;$E137,BI$5&lt;=$F137),IF(BI$5=$E137+1,$C137,""),"")</f>
        <v/>
      </c>
      <c r="BJ137" s="34">
        <f>IF(AND(BJ$5&gt;$E137,BJ$5&lt;=$F137),IF(BJ$5=$E137+1,$C137,""),"")</f>
        <v/>
      </c>
      <c r="BK137" s="34">
        <f>IF(AND(BK$5&gt;$E137,BK$5&lt;=$F137),IF(BK$5=$E137+1,$C137,""),"")</f>
        <v/>
      </c>
      <c r="BL137" s="34">
        <f>IF(AND(BL$5&gt;$E137,BL$5&lt;=$F137),IF(BL$5=$E137+1,$C137,""),"")</f>
        <v/>
      </c>
      <c r="BM137" s="34">
        <f>IF(AND(BM$5&gt;$E137,BM$5&lt;=$F137),IF(BM$5=$E137+1,$C137,""),"")</f>
        <v/>
      </c>
      <c r="BN137" s="34">
        <f>IF(AND(BN$5&gt;$E137,BN$5&lt;=$F137),IF(BN$5=$E137+1,$C137,""),"")</f>
        <v/>
      </c>
      <c r="BO137" s="34">
        <f>IF(AND(BO$5&gt;$E137,BO$5&lt;=$F137),IF(BO$5=$E137+1,$C137,""),"")</f>
        <v/>
      </c>
      <c r="BP137" s="34">
        <f>IF(AND(BP$5&gt;$E137,BP$5&lt;=$F137),IF(BP$5=$E137+1,$C137,""),"")</f>
        <v/>
      </c>
      <c r="BQ137" s="34">
        <f>IF(AND(BQ$5&gt;$E137,BQ$5&lt;=$F137),IF(BQ$5=$E137+1,$C137,""),"")</f>
        <v/>
      </c>
      <c r="BR137" s="34">
        <f>IF(AND(BR$5&gt;$E137,BR$5&lt;=$F137),IF(BR$5=$E137+1,$C137,""),"")</f>
        <v/>
      </c>
      <c r="BS137" s="34">
        <f>IF(AND(BS$5&gt;$E137,BS$5&lt;=$F137),IF(BS$5=$E137+1,$C137,""),"")</f>
        <v/>
      </c>
      <c r="BT137" s="34">
        <f>IF(AND(BT$5&gt;$E137,BT$5&lt;=$F137),IF(BT$5=$E137+1,$C137,""),"")</f>
        <v/>
      </c>
      <c r="BU137" s="34">
        <f>IF(AND(BU$5&gt;$E137,BU$5&lt;=$F137),IF(BU$5=$E137+1,$C137,""),"")</f>
        <v/>
      </c>
      <c r="BV137" s="34">
        <f>IF(AND(BV$5&gt;$E137,BV$5&lt;=$F137),IF(BV$5=$E137+1,$C137,""),"")</f>
        <v/>
      </c>
      <c r="BW137" s="34">
        <f>IF(AND(BW$5&gt;$E137,BW$5&lt;=$F137),IF(BW$5=$E137+1,$C137,""),"")</f>
        <v/>
      </c>
      <c r="BX137" s="34">
        <f>IF(AND(BX$5&gt;$E137,BX$5&lt;=$F137),IF(BX$5=$E137+1,$C137,""),"")</f>
        <v/>
      </c>
      <c r="BY137" s="34">
        <f>IF(AND(BY$5&gt;$E137,BY$5&lt;=$F137),IF(BY$5=$E137+1,$C137,""),"")</f>
        <v/>
      </c>
      <c r="BZ137" s="34">
        <f>IF(AND(BZ$5&gt;$E137,BZ$5&lt;=$F137),IF(BZ$5=$E137+1,$C137,""),"")</f>
        <v/>
      </c>
      <c r="CA137" s="34">
        <f>IF(AND(CA$5&gt;$E137,CA$5&lt;=$F137),IF(CA$5=$E137+1,$C137,""),"")</f>
        <v/>
      </c>
      <c r="CB137" s="34">
        <f>IF(AND(CB$5&gt;$E137,CB$5&lt;=$F137),IF(CB$5=$E137+1,$C137,""),"")</f>
        <v/>
      </c>
      <c r="CC137" s="34">
        <f>IF(AND(CC$5&gt;$E137,CC$5&lt;=$F137),IF(CC$5=$E137+1,$C137,""),"")</f>
        <v/>
      </c>
      <c r="CD137" s="34">
        <f>IF(AND(CD$5&gt;$E137,CD$5&lt;=$F137),IF(CD$5=$E137+1,$C137,""),"")</f>
        <v/>
      </c>
      <c r="CE137" s="34">
        <f>IF(AND(CE$5&gt;$E137,CE$5&lt;=$F137),IF(CE$5=$E137+1,$C137,""),"")</f>
        <v/>
      </c>
      <c r="CF137" s="34">
        <f>IF(AND(CF$5&gt;$E137,CF$5&lt;=$F137),IF(CF$5=$E137+1,$C137,""),"")</f>
        <v/>
      </c>
      <c r="CG137" s="34">
        <f>IF(AND(CG$5&gt;$E137,CG$5&lt;=$F137),IF(CG$5=$E137+1,$C137,""),"")</f>
        <v/>
      </c>
      <c r="CH137" s="34">
        <f>IF(AND(CH$5&gt;$E137,CH$5&lt;=$F137),IF(CH$5=$E137+1,$C137,""),"")</f>
        <v/>
      </c>
      <c r="CI137" s="34">
        <f>IF(AND(CI$5&gt;$E137,CI$5&lt;=$F137),IF(CI$5=$E137+1,$C137,""),"")</f>
        <v/>
      </c>
      <c r="CJ137" s="34">
        <f>IF(AND(CJ$5&gt;$E137,CJ$5&lt;=$F137),IF(CJ$5=$E137+1,$C137,""),"")</f>
        <v/>
      </c>
      <c r="CK137" s="34">
        <f>IF(AND(CK$5&gt;$E137,CK$5&lt;=$F137),IF(CK$5=$E137+1,$C137,""),"")</f>
        <v/>
      </c>
      <c r="CL137" s="34">
        <f>IF(AND(CL$5&gt;$E137,CL$5&lt;=$F137),IF(CL$5=$E137+1,$C137,""),"")</f>
        <v/>
      </c>
      <c r="CM137" s="34">
        <f>IF(AND(CM$5&gt;$E137,CM$5&lt;=$F137),IF(CM$5=$E137+1,$C137,""),"")</f>
        <v/>
      </c>
      <c r="CN137" s="34">
        <f>IF(AND(CN$5&gt;$E137,CN$5&lt;=$F137),IF(CN$5=$E137+1,$C137,""),"")</f>
        <v/>
      </c>
      <c r="CO137" s="34">
        <f>IF(AND(CO$5&gt;$E137,CO$5&lt;=$F137),IF(CO$5=$E137+1,$C137,""),"")</f>
        <v/>
      </c>
      <c r="CP137" s="34">
        <f>IF(AND(CP$5&gt;$E137,CP$5&lt;=$F137),IF(CP$5=$E137+1,$C137,""),"")</f>
        <v/>
      </c>
      <c r="CQ137" s="34">
        <f>IF(AND(CQ$5&gt;$E137,CQ$5&lt;=$F137),IF(CQ$5=$E137+1,$C137,""),"")</f>
        <v/>
      </c>
      <c r="CR137" s="34">
        <f>IF(AND(CR$5&gt;$E137,CR$5&lt;=$F137),IF(CR$5=$E137+1,$C137,""),"")</f>
        <v/>
      </c>
      <c r="CS137" s="34">
        <f>IF(AND(CS$5&gt;$E137,CS$5&lt;=$F137),IF(CS$5=$E137+1,$C137,""),"")</f>
        <v/>
      </c>
      <c r="CT137" s="34">
        <f>IF(AND(CT$5&gt;$E137,CT$5&lt;=$F137),IF(CT$5=$E137+1,$C137,""),"")</f>
        <v/>
      </c>
      <c r="CU137" s="34">
        <f>IF(AND(CU$5&gt;$E137,CU$5&lt;=$F137),IF(CU$5=$E137+1,$C137,""),"")</f>
        <v/>
      </c>
      <c r="CV137" s="34">
        <f>IF(AND(CV$5&gt;$E137,CV$5&lt;=$F137),IF(CV$5=$E137+1,$C137,""),"")</f>
        <v/>
      </c>
      <c r="CW137" s="34">
        <f>IF(AND(CW$5&gt;$E137,CW$5&lt;=$F137),IF(CW$5=$E137+1,$C137,""),"")</f>
        <v/>
      </c>
      <c r="CX137" s="34">
        <f>IF(AND(CX$5&gt;$E137,CX$5&lt;=$F137),IF(CX$5=$E137+1,$C137,""),"")</f>
        <v/>
      </c>
      <c r="CY137" s="34">
        <f>IF(AND(CY$5&gt;$E137,CY$5&lt;=$F137),IF(CY$5=$E137+1,$C137,""),"")</f>
        <v/>
      </c>
      <c r="CZ137" s="34">
        <f>IF(AND(CZ$5&gt;$E137,CZ$5&lt;=$F137),IF(CZ$5=$E137+1,$C137,""),"")</f>
        <v/>
      </c>
      <c r="DA137" s="34">
        <f>IF(AND(DA$5&gt;$E137,DA$5&lt;=$F137),IF(DA$5=$E137+1,$C137,""),"")</f>
        <v/>
      </c>
      <c r="DB137" s="34">
        <f>IF(AND(DB$5&gt;$E137,DB$5&lt;=$F137),IF(DB$5=$E137+1,$C137,""),"")</f>
        <v/>
      </c>
      <c r="DC137" s="34">
        <f>IF(AND(DC$5&gt;$E137,DC$5&lt;=$F137),IF(DC$5=$E137+1,$C137,""),"")</f>
        <v/>
      </c>
      <c r="DD137" s="34">
        <f>IF(AND(DD$5&gt;$E137,DD$5&lt;=$F137),IF(DD$5=$E137+1,$C137,""),"")</f>
        <v/>
      </c>
      <c r="DE137" s="34">
        <f>IF(AND(DE$5&gt;$E137,DE$5&lt;=$F137),IF(DE$5=$E137+1,$C137,""),"")</f>
        <v/>
      </c>
      <c r="DF137" s="34">
        <f>IF(AND(DF$5&gt;$E137,DF$5&lt;=$F137),IF(DF$5=$E137+1,$C137,""),"")</f>
        <v/>
      </c>
      <c r="DG137" s="34">
        <f>IF(AND(DG$5&gt;$E137,DG$5&lt;=$F137),IF(DG$5=$E137+1,$C137,""),"")</f>
        <v/>
      </c>
      <c r="DH137" s="34">
        <f>IF(AND(DH$5&gt;$E137,DH$5&lt;=$F137),IF(DH$5=$E137+1,$C137,""),"")</f>
        <v/>
      </c>
      <c r="DI137" s="34">
        <f>IF(AND(DI$5&gt;$E137,DI$5&lt;=$F137),IF(DI$5=$E137+1,$C137,""),"")</f>
        <v/>
      </c>
      <c r="DJ137" s="34">
        <f>IF(AND(DJ$5&gt;$E137,DJ$5&lt;=$F137),IF(DJ$5=$E137+1,$C137,""),"")</f>
        <v/>
      </c>
      <c r="DK137" s="34">
        <f>IF(AND(DK$5&gt;$E137,DK$5&lt;=$F137),IF(DK$5=$E137+1,$C137,""),"")</f>
        <v/>
      </c>
      <c r="DL137" s="34">
        <f>IF(AND(DL$5&gt;$E137,DL$5&lt;=$F137),IF(DL$5=$E137+1,$C137,""),"")</f>
        <v/>
      </c>
      <c r="DM137" s="34">
        <f>IF(AND(DM$5&gt;$E137,DM$5&lt;=$F137),IF(DM$5=$E137+1,$C137,""),"")</f>
        <v/>
      </c>
      <c r="DN137" s="34">
        <f>IF(AND(DN$5&gt;$E137,DN$5&lt;=$F137),IF(DN$5=$E137+1,$C137,""),"")</f>
        <v/>
      </c>
      <c r="DO137" s="34">
        <f>IF(AND(DO$5&gt;$E137,DO$5&lt;=$F137),IF(DO$5=$E137+1,$C137,""),"")</f>
        <v/>
      </c>
      <c r="DP137" s="34">
        <f>IF(AND(DP$5&gt;$E137,DP$5&lt;=$F137),IF(DP$5=$E137+1,$C137,""),"")</f>
        <v/>
      </c>
      <c r="DQ137" s="34">
        <f>IF(AND(DQ$5&gt;$E137,DQ$5&lt;=$F137),IF(DQ$5=$E137+1,$C137,""),"")</f>
        <v/>
      </c>
      <c r="DR137" s="34">
        <f>IF(AND(DR$5&gt;$E137,DR$5&lt;=$F137),IF(DR$5=$E137+1,$C137,""),"")</f>
        <v/>
      </c>
      <c r="DS137" s="34">
        <f>IF(AND(DS$5&gt;$E137,DS$5&lt;=$F137),IF(DS$5=$E137+1,$C137,""),"")</f>
        <v/>
      </c>
      <c r="DT137" s="34">
        <f>IF(AND(DT$5&gt;$E137,DT$5&lt;=$F137),IF(DT$5=$E137+1,$C137,""),"")</f>
        <v/>
      </c>
      <c r="DU137" s="34">
        <f>IF(AND(DU$5&gt;$E137,DU$5&lt;=$F137),IF(DU$5=$E137+1,$C137,""),"")</f>
        <v/>
      </c>
      <c r="DV137" s="34">
        <f>IF(AND(DV$5&gt;$E137,DV$5&lt;=$F137),IF(DV$5=$E137+1,$C137,""),"")</f>
        <v/>
      </c>
      <c r="DW137" s="34">
        <f>IF(AND(DW$5&gt;$E137,DW$5&lt;=$F137),IF(DW$5=$E137+1,$C137,""),"")</f>
        <v/>
      </c>
      <c r="DX137" s="34">
        <f>IF(AND(DX$5&gt;$E137,DX$5&lt;=$F137),IF(DX$5=$E137+1,$C137,""),"")</f>
        <v/>
      </c>
      <c r="DY137" s="34">
        <f>IF(AND(DY$5&gt;$E137,DY$5&lt;=$F137),IF(DY$5=$E137+1,$C137,""),"")</f>
        <v/>
      </c>
      <c r="DZ137" s="34">
        <f>IF(AND(DZ$5&gt;$E137,DZ$5&lt;=$F137),IF(DZ$5=$E137+1,$C137,""),"")</f>
        <v/>
      </c>
      <c r="EA137" s="34">
        <f>IF(AND(EA$5&gt;$E137,EA$5&lt;=$F137),IF(EA$5=$E137+1,$C137,""),"")</f>
        <v/>
      </c>
      <c r="EB137" s="34">
        <f>IF(AND(EB$5&gt;$E137,EB$5&lt;=$F137),IF(EB$5=$E137+1,$C137,""),"")</f>
        <v/>
      </c>
      <c r="EC137" s="34">
        <f>IF(AND(EC$5&gt;$E137,EC$5&lt;=$F137),IF(EC$5=$E137+1,$C137,""),"")</f>
        <v/>
      </c>
      <c r="ED137" s="34">
        <f>IF(AND(ED$5&gt;$E137,ED$5&lt;=$F137),IF(ED$5=$E137+1,$C137,""),"")</f>
        <v/>
      </c>
      <c r="EE137" s="34">
        <f>IF(AND(EE$5&gt;$E137,EE$5&lt;=$F137),IF(EE$5=$E137+1,$C137,""),"")</f>
        <v/>
      </c>
      <c r="EF137" s="34">
        <f>IF(AND(EF$5&gt;$E137,EF$5&lt;=$F137),IF(EF$5=$E137+1,$C137,""),"")</f>
        <v/>
      </c>
      <c r="EG137" s="34">
        <f>IF(AND(EG$5&gt;$E137,EG$5&lt;=$F137),IF(EG$5=$E137+1,$C137,""),"")</f>
        <v/>
      </c>
      <c r="EH137" s="34">
        <f>IF(AND(EH$5&gt;$E137,EH$5&lt;=$F137),IF(EH$5=$E137+1,$C137,""),"")</f>
        <v/>
      </c>
      <c r="EI137" s="34">
        <f>IF(AND(EI$5&gt;$E137,EI$5&lt;=$F137),IF(EI$5=$E137+1,$C137,""),"")</f>
        <v/>
      </c>
      <c r="EJ137" s="34">
        <f>IF(AND(EJ$5&gt;$E137,EJ$5&lt;=$F137),IF(EJ$5=$E137+1,$C137,""),"")</f>
        <v/>
      </c>
      <c r="EK137" s="34">
        <f>IF(AND(EK$5&gt;$E137,EK$5&lt;=$F137),IF(EK$5=$E137+1,$C137,""),"")</f>
        <v/>
      </c>
      <c r="EL137" s="34">
        <f>IF(AND(EL$5&gt;$E137,EL$5&lt;=$F137),IF(EL$5=$E137+1,$C137,""),"")</f>
        <v/>
      </c>
      <c r="EM137" s="34">
        <f>IF(AND(EM$5&gt;$E137,EM$5&lt;=$F137),IF(EM$5=$E137+1,$C137,""),"")</f>
        <v/>
      </c>
      <c r="EN137" s="34">
        <f>IF(AND(EN$5&gt;$E137,EN$5&lt;=$F137),IF(EN$5=$E137+1,$C137,""),"")</f>
        <v/>
      </c>
      <c r="EO137" s="34">
        <f>IF(AND(EO$5&gt;$E137,EO$5&lt;=$F137),IF(EO$5=$E137+1,$C137,""),"")</f>
        <v/>
      </c>
      <c r="EP137" s="34">
        <f>IF(AND(EP$5&gt;$E137,EP$5&lt;=$F137),IF(EP$5=$E137+1,$C137,""),"")</f>
        <v/>
      </c>
      <c r="EQ137" s="34">
        <f>IF(AND(EQ$5&gt;$E137,EQ$5&lt;=$F137),IF(EQ$5=$E137+1,$C137,""),"")</f>
        <v/>
      </c>
      <c r="ER137" s="34">
        <f>IF(AND(ER$5&gt;$E137,ER$5&lt;=$F137),IF(ER$5=$E137+1,$C137,""),"")</f>
        <v/>
      </c>
      <c r="ES137" s="34">
        <f>IF(AND(ES$5&gt;$E137,ES$5&lt;=$F137),IF(ES$5=$E137+1,$C137,""),"")</f>
        <v/>
      </c>
      <c r="ET137" s="34">
        <f>IF(AND(ET$5&gt;$E137,ET$5&lt;=$F137),IF(ET$5=$E137+1,$C137,""),"")</f>
        <v/>
      </c>
      <c r="EU137" s="34">
        <f>IF(AND(EU$5&gt;$E137,EU$5&lt;=$F137),IF(EU$5=$E137+1,$C137,""),"")</f>
        <v/>
      </c>
      <c r="EV137" s="34">
        <f>IF(AND(EV$5&gt;$E137,EV$5&lt;=$F137),IF(EV$5=$E137+1,$C137,""),"")</f>
        <v/>
      </c>
      <c r="EW137" s="34">
        <f>IF(AND(EW$5&gt;$E137,EW$5&lt;=$F137),IF(EW$5=$E137+1,$C137,""),"")</f>
        <v/>
      </c>
      <c r="EX137" s="34">
        <f>IF(AND(EX$5&gt;$E137,EX$5&lt;=$F137),IF(EX$5=$E137+1,$C137,""),"")</f>
        <v/>
      </c>
      <c r="EY137" s="34">
        <f>IF(AND(EY$5&gt;$E137,EY$5&lt;=$F137),IF(EY$5=$E137+1,$C137,""),"")</f>
        <v/>
      </c>
      <c r="EZ137" s="34">
        <f>IF(AND(EZ$5&gt;$E137,EZ$5&lt;=$F137),IF(EZ$5=$E137+1,$C137,""),"")</f>
        <v/>
      </c>
      <c r="FA137" s="34">
        <f>IF(AND(FA$5&gt;$E137,FA$5&lt;=$F137),IF(FA$5=$E137+1,$C137,""),"")</f>
        <v/>
      </c>
    </row>
    <row r="138">
      <c r="A138" s="32">
        <f>Plan!A128</f>
        <v/>
      </c>
      <c r="B138" s="33">
        <f>Plan!C128</f>
        <v/>
      </c>
      <c r="C138" s="16">
        <f>Plan!D128</f>
        <v/>
      </c>
      <c r="D138" s="16">
        <f>Plan!I128</f>
        <v/>
      </c>
      <c r="E138" s="16">
        <f>Plan!K128</f>
        <v/>
      </c>
      <c r="F138" s="16">
        <f>Plan!L128</f>
        <v/>
      </c>
      <c r="G138" s="16">
        <f>Plan!O128</f>
        <v/>
      </c>
      <c r="H138" s="34">
        <f>IF(AND(H$5&gt;$E138,H$5&lt;=$F138),IF(H$5=$E138+1,$C138,""),"")</f>
        <v/>
      </c>
      <c r="I138" s="34">
        <f>IF(AND(I$5&gt;$E138,I$5&lt;=$F138),IF(I$5=$E138+1,$C138,""),"")</f>
        <v/>
      </c>
      <c r="J138" s="34">
        <f>IF(AND(J$5&gt;$E138,J$5&lt;=$F138),IF(J$5=$E138+1,$C138,""),"")</f>
        <v/>
      </c>
      <c r="K138" s="34">
        <f>IF(AND(K$5&gt;$E138,K$5&lt;=$F138),IF(K$5=$E138+1,$C138,""),"")</f>
        <v/>
      </c>
      <c r="L138" s="34">
        <f>IF(AND(L$5&gt;$E138,L$5&lt;=$F138),IF(L$5=$E138+1,$C138,""),"")</f>
        <v/>
      </c>
      <c r="M138" s="34">
        <f>IF(AND(M$5&gt;$E138,M$5&lt;=$F138),IF(M$5=$E138+1,$C138,""),"")</f>
        <v/>
      </c>
      <c r="N138" s="34">
        <f>IF(AND(N$5&gt;$E138,N$5&lt;=$F138),IF(N$5=$E138+1,$C138,""),"")</f>
        <v/>
      </c>
      <c r="O138" s="34">
        <f>IF(AND(O$5&gt;$E138,O$5&lt;=$F138),IF(O$5=$E138+1,$C138,""),"")</f>
        <v/>
      </c>
      <c r="P138" s="34">
        <f>IF(AND(P$5&gt;$E138,P$5&lt;=$F138),IF(P$5=$E138+1,$C138,""),"")</f>
        <v/>
      </c>
      <c r="Q138" s="34">
        <f>IF(AND(Q$5&gt;$E138,Q$5&lt;=$F138),IF(Q$5=$E138+1,$C138,""),"")</f>
        <v/>
      </c>
      <c r="R138" s="34">
        <f>IF(AND(R$5&gt;$E138,R$5&lt;=$F138),IF(R$5=$E138+1,$C138,""),"")</f>
        <v/>
      </c>
      <c r="S138" s="34">
        <f>IF(AND(S$5&gt;$E138,S$5&lt;=$F138),IF(S$5=$E138+1,$C138,""),"")</f>
        <v/>
      </c>
      <c r="T138" s="34">
        <f>IF(AND(T$5&gt;$E138,T$5&lt;=$F138),IF(T$5=$E138+1,$C138,""),"")</f>
        <v/>
      </c>
      <c r="U138" s="34">
        <f>IF(AND(U$5&gt;$E138,U$5&lt;=$F138),IF(U$5=$E138+1,$C138,""),"")</f>
        <v/>
      </c>
      <c r="V138" s="34">
        <f>IF(AND(V$5&gt;$E138,V$5&lt;=$F138),IF(V$5=$E138+1,$C138,""),"")</f>
        <v/>
      </c>
      <c r="W138" s="34">
        <f>IF(AND(W$5&gt;$E138,W$5&lt;=$F138),IF(W$5=$E138+1,$C138,""),"")</f>
        <v/>
      </c>
      <c r="X138" s="34">
        <f>IF(AND(X$5&gt;$E138,X$5&lt;=$F138),IF(X$5=$E138+1,$C138,""),"")</f>
        <v/>
      </c>
      <c r="Y138" s="34">
        <f>IF(AND(Y$5&gt;$E138,Y$5&lt;=$F138),IF(Y$5=$E138+1,$C138,""),"")</f>
        <v/>
      </c>
      <c r="Z138" s="34">
        <f>IF(AND(Z$5&gt;$E138,Z$5&lt;=$F138),IF(Z$5=$E138+1,$C138,""),"")</f>
        <v/>
      </c>
      <c r="AA138" s="34">
        <f>IF(AND(AA$5&gt;$E138,AA$5&lt;=$F138),IF(AA$5=$E138+1,$C138,""),"")</f>
        <v/>
      </c>
      <c r="AB138" s="34">
        <f>IF(AND(AB$5&gt;$E138,AB$5&lt;=$F138),IF(AB$5=$E138+1,$C138,""),"")</f>
        <v/>
      </c>
      <c r="AC138" s="34">
        <f>IF(AND(AC$5&gt;$E138,AC$5&lt;=$F138),IF(AC$5=$E138+1,$C138,""),"")</f>
        <v/>
      </c>
      <c r="AD138" s="34">
        <f>IF(AND(AD$5&gt;$E138,AD$5&lt;=$F138),IF(AD$5=$E138+1,$C138,""),"")</f>
        <v/>
      </c>
      <c r="AE138" s="34">
        <f>IF(AND(AE$5&gt;$E138,AE$5&lt;=$F138),IF(AE$5=$E138+1,$C138,""),"")</f>
        <v/>
      </c>
      <c r="AF138" s="34">
        <f>IF(AND(AF$5&gt;$E138,AF$5&lt;=$F138),IF(AF$5=$E138+1,$C138,""),"")</f>
        <v/>
      </c>
      <c r="AG138" s="34">
        <f>IF(AND(AG$5&gt;$E138,AG$5&lt;=$F138),IF(AG$5=$E138+1,$C138,""),"")</f>
        <v/>
      </c>
      <c r="AH138" s="34">
        <f>IF(AND(AH$5&gt;$E138,AH$5&lt;=$F138),IF(AH$5=$E138+1,$C138,""),"")</f>
        <v/>
      </c>
      <c r="AI138" s="34">
        <f>IF(AND(AI$5&gt;$E138,AI$5&lt;=$F138),IF(AI$5=$E138+1,$C138,""),"")</f>
        <v/>
      </c>
      <c r="AJ138" s="34">
        <f>IF(AND(AJ$5&gt;$E138,AJ$5&lt;=$F138),IF(AJ$5=$E138+1,$C138,""),"")</f>
        <v/>
      </c>
      <c r="AK138" s="34">
        <f>IF(AND(AK$5&gt;$E138,AK$5&lt;=$F138),IF(AK$5=$E138+1,$C138,""),"")</f>
        <v/>
      </c>
      <c r="AL138" s="34">
        <f>IF(AND(AL$5&gt;$E138,AL$5&lt;=$F138),IF(AL$5=$E138+1,$C138,""),"")</f>
        <v/>
      </c>
      <c r="AM138" s="34">
        <f>IF(AND(AM$5&gt;$E138,AM$5&lt;=$F138),IF(AM$5=$E138+1,$C138,""),"")</f>
        <v/>
      </c>
      <c r="AN138" s="34">
        <f>IF(AND(AN$5&gt;$E138,AN$5&lt;=$F138),IF(AN$5=$E138+1,$C138,""),"")</f>
        <v/>
      </c>
      <c r="AO138" s="34">
        <f>IF(AND(AO$5&gt;$E138,AO$5&lt;=$F138),IF(AO$5=$E138+1,$C138,""),"")</f>
        <v/>
      </c>
      <c r="AP138" s="34">
        <f>IF(AND(AP$5&gt;$E138,AP$5&lt;=$F138),IF(AP$5=$E138+1,$C138,""),"")</f>
        <v/>
      </c>
      <c r="AQ138" s="34">
        <f>IF(AND(AQ$5&gt;$E138,AQ$5&lt;=$F138),IF(AQ$5=$E138+1,$C138,""),"")</f>
        <v/>
      </c>
      <c r="AR138" s="34">
        <f>IF(AND(AR$5&gt;$E138,AR$5&lt;=$F138),IF(AR$5=$E138+1,$C138,""),"")</f>
        <v/>
      </c>
      <c r="AS138" s="34">
        <f>IF(AND(AS$5&gt;$E138,AS$5&lt;=$F138),IF(AS$5=$E138+1,$C138,""),"")</f>
        <v/>
      </c>
      <c r="AT138" s="34">
        <f>IF(AND(AT$5&gt;$E138,AT$5&lt;=$F138),IF(AT$5=$E138+1,$C138,""),"")</f>
        <v/>
      </c>
      <c r="AU138" s="34">
        <f>IF(AND(AU$5&gt;$E138,AU$5&lt;=$F138),IF(AU$5=$E138+1,$C138,""),"")</f>
        <v/>
      </c>
      <c r="AV138" s="34">
        <f>IF(AND(AV$5&gt;$E138,AV$5&lt;=$F138),IF(AV$5=$E138+1,$C138,""),"")</f>
        <v/>
      </c>
      <c r="AW138" s="34">
        <f>IF(AND(AW$5&gt;$E138,AW$5&lt;=$F138),IF(AW$5=$E138+1,$C138,""),"")</f>
        <v/>
      </c>
      <c r="AX138" s="34">
        <f>IF(AND(AX$5&gt;$E138,AX$5&lt;=$F138),IF(AX$5=$E138+1,$C138,""),"")</f>
        <v/>
      </c>
      <c r="AY138" s="34">
        <f>IF(AND(AY$5&gt;$E138,AY$5&lt;=$F138),IF(AY$5=$E138+1,$C138,""),"")</f>
        <v/>
      </c>
      <c r="AZ138" s="34">
        <f>IF(AND(AZ$5&gt;$E138,AZ$5&lt;=$F138),IF(AZ$5=$E138+1,$C138,""),"")</f>
        <v/>
      </c>
      <c r="BA138" s="34">
        <f>IF(AND(BA$5&gt;$E138,BA$5&lt;=$F138),IF(BA$5=$E138+1,$C138,""),"")</f>
        <v/>
      </c>
      <c r="BB138" s="34">
        <f>IF(AND(BB$5&gt;$E138,BB$5&lt;=$F138),IF(BB$5=$E138+1,$C138,""),"")</f>
        <v/>
      </c>
      <c r="BC138" s="34">
        <f>IF(AND(BC$5&gt;$E138,BC$5&lt;=$F138),IF(BC$5=$E138+1,$C138,""),"")</f>
        <v/>
      </c>
      <c r="BD138" s="34">
        <f>IF(AND(BD$5&gt;$E138,BD$5&lt;=$F138),IF(BD$5=$E138+1,$C138,""),"")</f>
        <v/>
      </c>
      <c r="BE138" s="34">
        <f>IF(AND(BE$5&gt;$E138,BE$5&lt;=$F138),IF(BE$5=$E138+1,$C138,""),"")</f>
        <v/>
      </c>
      <c r="BF138" s="34">
        <f>IF(AND(BF$5&gt;$E138,BF$5&lt;=$F138),IF(BF$5=$E138+1,$C138,""),"")</f>
        <v/>
      </c>
      <c r="BG138" s="34">
        <f>IF(AND(BG$5&gt;$E138,BG$5&lt;=$F138),IF(BG$5=$E138+1,$C138,""),"")</f>
        <v/>
      </c>
      <c r="BH138" s="34">
        <f>IF(AND(BH$5&gt;$E138,BH$5&lt;=$F138),IF(BH$5=$E138+1,$C138,""),"")</f>
        <v/>
      </c>
      <c r="BI138" s="34">
        <f>IF(AND(BI$5&gt;$E138,BI$5&lt;=$F138),IF(BI$5=$E138+1,$C138,""),"")</f>
        <v/>
      </c>
      <c r="BJ138" s="34">
        <f>IF(AND(BJ$5&gt;$E138,BJ$5&lt;=$F138),IF(BJ$5=$E138+1,$C138,""),"")</f>
        <v/>
      </c>
      <c r="BK138" s="34">
        <f>IF(AND(BK$5&gt;$E138,BK$5&lt;=$F138),IF(BK$5=$E138+1,$C138,""),"")</f>
        <v/>
      </c>
      <c r="BL138" s="34">
        <f>IF(AND(BL$5&gt;$E138,BL$5&lt;=$F138),IF(BL$5=$E138+1,$C138,""),"")</f>
        <v/>
      </c>
      <c r="BM138" s="34">
        <f>IF(AND(BM$5&gt;$E138,BM$5&lt;=$F138),IF(BM$5=$E138+1,$C138,""),"")</f>
        <v/>
      </c>
      <c r="BN138" s="34">
        <f>IF(AND(BN$5&gt;$E138,BN$5&lt;=$F138),IF(BN$5=$E138+1,$C138,""),"")</f>
        <v/>
      </c>
      <c r="BO138" s="34">
        <f>IF(AND(BO$5&gt;$E138,BO$5&lt;=$F138),IF(BO$5=$E138+1,$C138,""),"")</f>
        <v/>
      </c>
      <c r="BP138" s="34">
        <f>IF(AND(BP$5&gt;$E138,BP$5&lt;=$F138),IF(BP$5=$E138+1,$C138,""),"")</f>
        <v/>
      </c>
      <c r="BQ138" s="34">
        <f>IF(AND(BQ$5&gt;$E138,BQ$5&lt;=$F138),IF(BQ$5=$E138+1,$C138,""),"")</f>
        <v/>
      </c>
      <c r="BR138" s="34">
        <f>IF(AND(BR$5&gt;$E138,BR$5&lt;=$F138),IF(BR$5=$E138+1,$C138,""),"")</f>
        <v/>
      </c>
      <c r="BS138" s="34">
        <f>IF(AND(BS$5&gt;$E138,BS$5&lt;=$F138),IF(BS$5=$E138+1,$C138,""),"")</f>
        <v/>
      </c>
      <c r="BT138" s="34">
        <f>IF(AND(BT$5&gt;$E138,BT$5&lt;=$F138),IF(BT$5=$E138+1,$C138,""),"")</f>
        <v/>
      </c>
      <c r="BU138" s="34">
        <f>IF(AND(BU$5&gt;$E138,BU$5&lt;=$F138),IF(BU$5=$E138+1,$C138,""),"")</f>
        <v/>
      </c>
      <c r="BV138" s="34">
        <f>IF(AND(BV$5&gt;$E138,BV$5&lt;=$F138),IF(BV$5=$E138+1,$C138,""),"")</f>
        <v/>
      </c>
      <c r="BW138" s="34">
        <f>IF(AND(BW$5&gt;$E138,BW$5&lt;=$F138),IF(BW$5=$E138+1,$C138,""),"")</f>
        <v/>
      </c>
      <c r="BX138" s="34">
        <f>IF(AND(BX$5&gt;$E138,BX$5&lt;=$F138),IF(BX$5=$E138+1,$C138,""),"")</f>
        <v/>
      </c>
      <c r="BY138" s="34">
        <f>IF(AND(BY$5&gt;$E138,BY$5&lt;=$F138),IF(BY$5=$E138+1,$C138,""),"")</f>
        <v/>
      </c>
      <c r="BZ138" s="34">
        <f>IF(AND(BZ$5&gt;$E138,BZ$5&lt;=$F138),IF(BZ$5=$E138+1,$C138,""),"")</f>
        <v/>
      </c>
      <c r="CA138" s="34">
        <f>IF(AND(CA$5&gt;$E138,CA$5&lt;=$F138),IF(CA$5=$E138+1,$C138,""),"")</f>
        <v/>
      </c>
      <c r="CB138" s="34">
        <f>IF(AND(CB$5&gt;$E138,CB$5&lt;=$F138),IF(CB$5=$E138+1,$C138,""),"")</f>
        <v/>
      </c>
      <c r="CC138" s="34">
        <f>IF(AND(CC$5&gt;$E138,CC$5&lt;=$F138),IF(CC$5=$E138+1,$C138,""),"")</f>
        <v/>
      </c>
      <c r="CD138" s="34">
        <f>IF(AND(CD$5&gt;$E138,CD$5&lt;=$F138),IF(CD$5=$E138+1,$C138,""),"")</f>
        <v/>
      </c>
      <c r="CE138" s="34">
        <f>IF(AND(CE$5&gt;$E138,CE$5&lt;=$F138),IF(CE$5=$E138+1,$C138,""),"")</f>
        <v/>
      </c>
      <c r="CF138" s="34">
        <f>IF(AND(CF$5&gt;$E138,CF$5&lt;=$F138),IF(CF$5=$E138+1,$C138,""),"")</f>
        <v/>
      </c>
      <c r="CG138" s="34">
        <f>IF(AND(CG$5&gt;$E138,CG$5&lt;=$F138),IF(CG$5=$E138+1,$C138,""),"")</f>
        <v/>
      </c>
      <c r="CH138" s="34">
        <f>IF(AND(CH$5&gt;$E138,CH$5&lt;=$F138),IF(CH$5=$E138+1,$C138,""),"")</f>
        <v/>
      </c>
      <c r="CI138" s="34">
        <f>IF(AND(CI$5&gt;$E138,CI$5&lt;=$F138),IF(CI$5=$E138+1,$C138,""),"")</f>
        <v/>
      </c>
      <c r="CJ138" s="34">
        <f>IF(AND(CJ$5&gt;$E138,CJ$5&lt;=$F138),IF(CJ$5=$E138+1,$C138,""),"")</f>
        <v/>
      </c>
      <c r="CK138" s="34">
        <f>IF(AND(CK$5&gt;$E138,CK$5&lt;=$F138),IF(CK$5=$E138+1,$C138,""),"")</f>
        <v/>
      </c>
      <c r="CL138" s="34">
        <f>IF(AND(CL$5&gt;$E138,CL$5&lt;=$F138),IF(CL$5=$E138+1,$C138,""),"")</f>
        <v/>
      </c>
      <c r="CM138" s="34">
        <f>IF(AND(CM$5&gt;$E138,CM$5&lt;=$F138),IF(CM$5=$E138+1,$C138,""),"")</f>
        <v/>
      </c>
      <c r="CN138" s="34">
        <f>IF(AND(CN$5&gt;$E138,CN$5&lt;=$F138),IF(CN$5=$E138+1,$C138,""),"")</f>
        <v/>
      </c>
      <c r="CO138" s="34">
        <f>IF(AND(CO$5&gt;$E138,CO$5&lt;=$F138),IF(CO$5=$E138+1,$C138,""),"")</f>
        <v/>
      </c>
      <c r="CP138" s="34">
        <f>IF(AND(CP$5&gt;$E138,CP$5&lt;=$F138),IF(CP$5=$E138+1,$C138,""),"")</f>
        <v/>
      </c>
      <c r="CQ138" s="34">
        <f>IF(AND(CQ$5&gt;$E138,CQ$5&lt;=$F138),IF(CQ$5=$E138+1,$C138,""),"")</f>
        <v/>
      </c>
      <c r="CR138" s="34">
        <f>IF(AND(CR$5&gt;$E138,CR$5&lt;=$F138),IF(CR$5=$E138+1,$C138,""),"")</f>
        <v/>
      </c>
      <c r="CS138" s="34">
        <f>IF(AND(CS$5&gt;$E138,CS$5&lt;=$F138),IF(CS$5=$E138+1,$C138,""),"")</f>
        <v/>
      </c>
      <c r="CT138" s="34">
        <f>IF(AND(CT$5&gt;$E138,CT$5&lt;=$F138),IF(CT$5=$E138+1,$C138,""),"")</f>
        <v/>
      </c>
      <c r="CU138" s="34">
        <f>IF(AND(CU$5&gt;$E138,CU$5&lt;=$F138),IF(CU$5=$E138+1,$C138,""),"")</f>
        <v/>
      </c>
      <c r="CV138" s="34">
        <f>IF(AND(CV$5&gt;$E138,CV$5&lt;=$F138),IF(CV$5=$E138+1,$C138,""),"")</f>
        <v/>
      </c>
      <c r="CW138" s="34">
        <f>IF(AND(CW$5&gt;$E138,CW$5&lt;=$F138),IF(CW$5=$E138+1,$C138,""),"")</f>
        <v/>
      </c>
      <c r="CX138" s="34">
        <f>IF(AND(CX$5&gt;$E138,CX$5&lt;=$F138),IF(CX$5=$E138+1,$C138,""),"")</f>
        <v/>
      </c>
      <c r="CY138" s="34">
        <f>IF(AND(CY$5&gt;$E138,CY$5&lt;=$F138),IF(CY$5=$E138+1,$C138,""),"")</f>
        <v/>
      </c>
      <c r="CZ138" s="34">
        <f>IF(AND(CZ$5&gt;$E138,CZ$5&lt;=$F138),IF(CZ$5=$E138+1,$C138,""),"")</f>
        <v/>
      </c>
      <c r="DA138" s="34">
        <f>IF(AND(DA$5&gt;$E138,DA$5&lt;=$F138),IF(DA$5=$E138+1,$C138,""),"")</f>
        <v/>
      </c>
      <c r="DB138" s="34">
        <f>IF(AND(DB$5&gt;$E138,DB$5&lt;=$F138),IF(DB$5=$E138+1,$C138,""),"")</f>
        <v/>
      </c>
      <c r="DC138" s="34">
        <f>IF(AND(DC$5&gt;$E138,DC$5&lt;=$F138),IF(DC$5=$E138+1,$C138,""),"")</f>
        <v/>
      </c>
      <c r="DD138" s="34">
        <f>IF(AND(DD$5&gt;$E138,DD$5&lt;=$F138),IF(DD$5=$E138+1,$C138,""),"")</f>
        <v/>
      </c>
      <c r="DE138" s="34">
        <f>IF(AND(DE$5&gt;$E138,DE$5&lt;=$F138),IF(DE$5=$E138+1,$C138,""),"")</f>
        <v/>
      </c>
      <c r="DF138" s="34">
        <f>IF(AND(DF$5&gt;$E138,DF$5&lt;=$F138),IF(DF$5=$E138+1,$C138,""),"")</f>
        <v/>
      </c>
      <c r="DG138" s="34">
        <f>IF(AND(DG$5&gt;$E138,DG$5&lt;=$F138),IF(DG$5=$E138+1,$C138,""),"")</f>
        <v/>
      </c>
      <c r="DH138" s="34">
        <f>IF(AND(DH$5&gt;$E138,DH$5&lt;=$F138),IF(DH$5=$E138+1,$C138,""),"")</f>
        <v/>
      </c>
      <c r="DI138" s="34">
        <f>IF(AND(DI$5&gt;$E138,DI$5&lt;=$F138),IF(DI$5=$E138+1,$C138,""),"")</f>
        <v/>
      </c>
      <c r="DJ138" s="34">
        <f>IF(AND(DJ$5&gt;$E138,DJ$5&lt;=$F138),IF(DJ$5=$E138+1,$C138,""),"")</f>
        <v/>
      </c>
      <c r="DK138" s="34">
        <f>IF(AND(DK$5&gt;$E138,DK$5&lt;=$F138),IF(DK$5=$E138+1,$C138,""),"")</f>
        <v/>
      </c>
      <c r="DL138" s="34">
        <f>IF(AND(DL$5&gt;$E138,DL$5&lt;=$F138),IF(DL$5=$E138+1,$C138,""),"")</f>
        <v/>
      </c>
      <c r="DM138" s="34">
        <f>IF(AND(DM$5&gt;$E138,DM$5&lt;=$F138),IF(DM$5=$E138+1,$C138,""),"")</f>
        <v/>
      </c>
      <c r="DN138" s="34">
        <f>IF(AND(DN$5&gt;$E138,DN$5&lt;=$F138),IF(DN$5=$E138+1,$C138,""),"")</f>
        <v/>
      </c>
      <c r="DO138" s="34">
        <f>IF(AND(DO$5&gt;$E138,DO$5&lt;=$F138),IF(DO$5=$E138+1,$C138,""),"")</f>
        <v/>
      </c>
      <c r="DP138" s="34">
        <f>IF(AND(DP$5&gt;$E138,DP$5&lt;=$F138),IF(DP$5=$E138+1,$C138,""),"")</f>
        <v/>
      </c>
      <c r="DQ138" s="34">
        <f>IF(AND(DQ$5&gt;$E138,DQ$5&lt;=$F138),IF(DQ$5=$E138+1,$C138,""),"")</f>
        <v/>
      </c>
      <c r="DR138" s="34">
        <f>IF(AND(DR$5&gt;$E138,DR$5&lt;=$F138),IF(DR$5=$E138+1,$C138,""),"")</f>
        <v/>
      </c>
      <c r="DS138" s="34">
        <f>IF(AND(DS$5&gt;$E138,DS$5&lt;=$F138),IF(DS$5=$E138+1,$C138,""),"")</f>
        <v/>
      </c>
      <c r="DT138" s="34">
        <f>IF(AND(DT$5&gt;$E138,DT$5&lt;=$F138),IF(DT$5=$E138+1,$C138,""),"")</f>
        <v/>
      </c>
      <c r="DU138" s="34">
        <f>IF(AND(DU$5&gt;$E138,DU$5&lt;=$F138),IF(DU$5=$E138+1,$C138,""),"")</f>
        <v/>
      </c>
      <c r="DV138" s="34">
        <f>IF(AND(DV$5&gt;$E138,DV$5&lt;=$F138),IF(DV$5=$E138+1,$C138,""),"")</f>
        <v/>
      </c>
      <c r="DW138" s="34">
        <f>IF(AND(DW$5&gt;$E138,DW$5&lt;=$F138),IF(DW$5=$E138+1,$C138,""),"")</f>
        <v/>
      </c>
      <c r="DX138" s="34">
        <f>IF(AND(DX$5&gt;$E138,DX$5&lt;=$F138),IF(DX$5=$E138+1,$C138,""),"")</f>
        <v/>
      </c>
      <c r="DY138" s="34">
        <f>IF(AND(DY$5&gt;$E138,DY$5&lt;=$F138),IF(DY$5=$E138+1,$C138,""),"")</f>
        <v/>
      </c>
      <c r="DZ138" s="34">
        <f>IF(AND(DZ$5&gt;$E138,DZ$5&lt;=$F138),IF(DZ$5=$E138+1,$C138,""),"")</f>
        <v/>
      </c>
      <c r="EA138" s="34">
        <f>IF(AND(EA$5&gt;$E138,EA$5&lt;=$F138),IF(EA$5=$E138+1,$C138,""),"")</f>
        <v/>
      </c>
      <c r="EB138" s="34">
        <f>IF(AND(EB$5&gt;$E138,EB$5&lt;=$F138),IF(EB$5=$E138+1,$C138,""),"")</f>
        <v/>
      </c>
      <c r="EC138" s="34">
        <f>IF(AND(EC$5&gt;$E138,EC$5&lt;=$F138),IF(EC$5=$E138+1,$C138,""),"")</f>
        <v/>
      </c>
      <c r="ED138" s="34">
        <f>IF(AND(ED$5&gt;$E138,ED$5&lt;=$F138),IF(ED$5=$E138+1,$C138,""),"")</f>
        <v/>
      </c>
      <c r="EE138" s="34">
        <f>IF(AND(EE$5&gt;$E138,EE$5&lt;=$F138),IF(EE$5=$E138+1,$C138,""),"")</f>
        <v/>
      </c>
      <c r="EF138" s="34">
        <f>IF(AND(EF$5&gt;$E138,EF$5&lt;=$F138),IF(EF$5=$E138+1,$C138,""),"")</f>
        <v/>
      </c>
      <c r="EG138" s="34">
        <f>IF(AND(EG$5&gt;$E138,EG$5&lt;=$F138),IF(EG$5=$E138+1,$C138,""),"")</f>
        <v/>
      </c>
      <c r="EH138" s="34">
        <f>IF(AND(EH$5&gt;$E138,EH$5&lt;=$F138),IF(EH$5=$E138+1,$C138,""),"")</f>
        <v/>
      </c>
      <c r="EI138" s="34">
        <f>IF(AND(EI$5&gt;$E138,EI$5&lt;=$F138),IF(EI$5=$E138+1,$C138,""),"")</f>
        <v/>
      </c>
      <c r="EJ138" s="34">
        <f>IF(AND(EJ$5&gt;$E138,EJ$5&lt;=$F138),IF(EJ$5=$E138+1,$C138,""),"")</f>
        <v/>
      </c>
      <c r="EK138" s="34">
        <f>IF(AND(EK$5&gt;$E138,EK$5&lt;=$F138),IF(EK$5=$E138+1,$C138,""),"")</f>
        <v/>
      </c>
      <c r="EL138" s="34">
        <f>IF(AND(EL$5&gt;$E138,EL$5&lt;=$F138),IF(EL$5=$E138+1,$C138,""),"")</f>
        <v/>
      </c>
      <c r="EM138" s="34">
        <f>IF(AND(EM$5&gt;$E138,EM$5&lt;=$F138),IF(EM$5=$E138+1,$C138,""),"")</f>
        <v/>
      </c>
      <c r="EN138" s="34">
        <f>IF(AND(EN$5&gt;$E138,EN$5&lt;=$F138),IF(EN$5=$E138+1,$C138,""),"")</f>
        <v/>
      </c>
      <c r="EO138" s="34">
        <f>IF(AND(EO$5&gt;$E138,EO$5&lt;=$F138),IF(EO$5=$E138+1,$C138,""),"")</f>
        <v/>
      </c>
      <c r="EP138" s="34">
        <f>IF(AND(EP$5&gt;$E138,EP$5&lt;=$F138),IF(EP$5=$E138+1,$C138,""),"")</f>
        <v/>
      </c>
      <c r="EQ138" s="34">
        <f>IF(AND(EQ$5&gt;$E138,EQ$5&lt;=$F138),IF(EQ$5=$E138+1,$C138,""),"")</f>
        <v/>
      </c>
      <c r="ER138" s="34">
        <f>IF(AND(ER$5&gt;$E138,ER$5&lt;=$F138),IF(ER$5=$E138+1,$C138,""),"")</f>
        <v/>
      </c>
      <c r="ES138" s="34">
        <f>IF(AND(ES$5&gt;$E138,ES$5&lt;=$F138),IF(ES$5=$E138+1,$C138,""),"")</f>
        <v/>
      </c>
      <c r="ET138" s="34">
        <f>IF(AND(ET$5&gt;$E138,ET$5&lt;=$F138),IF(ET$5=$E138+1,$C138,""),"")</f>
        <v/>
      </c>
      <c r="EU138" s="34">
        <f>IF(AND(EU$5&gt;$E138,EU$5&lt;=$F138),IF(EU$5=$E138+1,$C138,""),"")</f>
        <v/>
      </c>
      <c r="EV138" s="34">
        <f>IF(AND(EV$5&gt;$E138,EV$5&lt;=$F138),IF(EV$5=$E138+1,$C138,""),"")</f>
        <v/>
      </c>
      <c r="EW138" s="34">
        <f>IF(AND(EW$5&gt;$E138,EW$5&lt;=$F138),IF(EW$5=$E138+1,$C138,""),"")</f>
        <v/>
      </c>
      <c r="EX138" s="34">
        <f>IF(AND(EX$5&gt;$E138,EX$5&lt;=$F138),IF(EX$5=$E138+1,$C138,""),"")</f>
        <v/>
      </c>
      <c r="EY138" s="34">
        <f>IF(AND(EY$5&gt;$E138,EY$5&lt;=$F138),IF(EY$5=$E138+1,$C138,""),"")</f>
        <v/>
      </c>
      <c r="EZ138" s="34">
        <f>IF(AND(EZ$5&gt;$E138,EZ$5&lt;=$F138),IF(EZ$5=$E138+1,$C138,""),"")</f>
        <v/>
      </c>
      <c r="FA138" s="34">
        <f>IF(AND(FA$5&gt;$E138,FA$5&lt;=$F138),IF(FA$5=$E138+1,$C138,""),"")</f>
        <v/>
      </c>
    </row>
    <row r="139">
      <c r="A139" s="32">
        <f>Plan!A129</f>
        <v/>
      </c>
      <c r="B139" s="33">
        <f>Plan!C129</f>
        <v/>
      </c>
      <c r="C139" s="16">
        <f>Plan!D129</f>
        <v/>
      </c>
      <c r="D139" s="16">
        <f>Plan!I129</f>
        <v/>
      </c>
      <c r="E139" s="16">
        <f>Plan!K129</f>
        <v/>
      </c>
      <c r="F139" s="16">
        <f>Plan!L129</f>
        <v/>
      </c>
      <c r="G139" s="16">
        <f>Plan!O129</f>
        <v/>
      </c>
      <c r="H139" s="34">
        <f>IF(AND(H$5&gt;$E139,H$5&lt;=$F139),IF(H$5=$E139+1,$C139,""),"")</f>
        <v/>
      </c>
      <c r="I139" s="34">
        <f>IF(AND(I$5&gt;$E139,I$5&lt;=$F139),IF(I$5=$E139+1,$C139,""),"")</f>
        <v/>
      </c>
      <c r="J139" s="34">
        <f>IF(AND(J$5&gt;$E139,J$5&lt;=$F139),IF(J$5=$E139+1,$C139,""),"")</f>
        <v/>
      </c>
      <c r="K139" s="34">
        <f>IF(AND(K$5&gt;$E139,K$5&lt;=$F139),IF(K$5=$E139+1,$C139,""),"")</f>
        <v/>
      </c>
      <c r="L139" s="34">
        <f>IF(AND(L$5&gt;$E139,L$5&lt;=$F139),IF(L$5=$E139+1,$C139,""),"")</f>
        <v/>
      </c>
      <c r="M139" s="34">
        <f>IF(AND(M$5&gt;$E139,M$5&lt;=$F139),IF(M$5=$E139+1,$C139,""),"")</f>
        <v/>
      </c>
      <c r="N139" s="34">
        <f>IF(AND(N$5&gt;$E139,N$5&lt;=$F139),IF(N$5=$E139+1,$C139,""),"")</f>
        <v/>
      </c>
      <c r="O139" s="34">
        <f>IF(AND(O$5&gt;$E139,O$5&lt;=$F139),IF(O$5=$E139+1,$C139,""),"")</f>
        <v/>
      </c>
      <c r="P139" s="34">
        <f>IF(AND(P$5&gt;$E139,P$5&lt;=$F139),IF(P$5=$E139+1,$C139,""),"")</f>
        <v/>
      </c>
      <c r="Q139" s="34">
        <f>IF(AND(Q$5&gt;$E139,Q$5&lt;=$F139),IF(Q$5=$E139+1,$C139,""),"")</f>
        <v/>
      </c>
      <c r="R139" s="34">
        <f>IF(AND(R$5&gt;$E139,R$5&lt;=$F139),IF(R$5=$E139+1,$C139,""),"")</f>
        <v/>
      </c>
      <c r="S139" s="34">
        <f>IF(AND(S$5&gt;$E139,S$5&lt;=$F139),IF(S$5=$E139+1,$C139,""),"")</f>
        <v/>
      </c>
      <c r="T139" s="34">
        <f>IF(AND(T$5&gt;$E139,T$5&lt;=$F139),IF(T$5=$E139+1,$C139,""),"")</f>
        <v/>
      </c>
      <c r="U139" s="34">
        <f>IF(AND(U$5&gt;$E139,U$5&lt;=$F139),IF(U$5=$E139+1,$C139,""),"")</f>
        <v/>
      </c>
      <c r="V139" s="34">
        <f>IF(AND(V$5&gt;$E139,V$5&lt;=$F139),IF(V$5=$E139+1,$C139,""),"")</f>
        <v/>
      </c>
      <c r="W139" s="34">
        <f>IF(AND(W$5&gt;$E139,W$5&lt;=$F139),IF(W$5=$E139+1,$C139,""),"")</f>
        <v/>
      </c>
      <c r="X139" s="34">
        <f>IF(AND(X$5&gt;$E139,X$5&lt;=$F139),IF(X$5=$E139+1,$C139,""),"")</f>
        <v/>
      </c>
      <c r="Y139" s="34">
        <f>IF(AND(Y$5&gt;$E139,Y$5&lt;=$F139),IF(Y$5=$E139+1,$C139,""),"")</f>
        <v/>
      </c>
      <c r="Z139" s="34">
        <f>IF(AND(Z$5&gt;$E139,Z$5&lt;=$F139),IF(Z$5=$E139+1,$C139,""),"")</f>
        <v/>
      </c>
      <c r="AA139" s="34">
        <f>IF(AND(AA$5&gt;$E139,AA$5&lt;=$F139),IF(AA$5=$E139+1,$C139,""),"")</f>
        <v/>
      </c>
      <c r="AB139" s="34">
        <f>IF(AND(AB$5&gt;$E139,AB$5&lt;=$F139),IF(AB$5=$E139+1,$C139,""),"")</f>
        <v/>
      </c>
      <c r="AC139" s="34">
        <f>IF(AND(AC$5&gt;$E139,AC$5&lt;=$F139),IF(AC$5=$E139+1,$C139,""),"")</f>
        <v/>
      </c>
      <c r="AD139" s="34">
        <f>IF(AND(AD$5&gt;$E139,AD$5&lt;=$F139),IF(AD$5=$E139+1,$C139,""),"")</f>
        <v/>
      </c>
      <c r="AE139" s="34">
        <f>IF(AND(AE$5&gt;$E139,AE$5&lt;=$F139),IF(AE$5=$E139+1,$C139,""),"")</f>
        <v/>
      </c>
      <c r="AF139" s="34">
        <f>IF(AND(AF$5&gt;$E139,AF$5&lt;=$F139),IF(AF$5=$E139+1,$C139,""),"")</f>
        <v/>
      </c>
      <c r="AG139" s="34">
        <f>IF(AND(AG$5&gt;$E139,AG$5&lt;=$F139),IF(AG$5=$E139+1,$C139,""),"")</f>
        <v/>
      </c>
      <c r="AH139" s="34">
        <f>IF(AND(AH$5&gt;$E139,AH$5&lt;=$F139),IF(AH$5=$E139+1,$C139,""),"")</f>
        <v/>
      </c>
      <c r="AI139" s="34">
        <f>IF(AND(AI$5&gt;$E139,AI$5&lt;=$F139),IF(AI$5=$E139+1,$C139,""),"")</f>
        <v/>
      </c>
      <c r="AJ139" s="34">
        <f>IF(AND(AJ$5&gt;$E139,AJ$5&lt;=$F139),IF(AJ$5=$E139+1,$C139,""),"")</f>
        <v/>
      </c>
      <c r="AK139" s="34">
        <f>IF(AND(AK$5&gt;$E139,AK$5&lt;=$F139),IF(AK$5=$E139+1,$C139,""),"")</f>
        <v/>
      </c>
      <c r="AL139" s="34">
        <f>IF(AND(AL$5&gt;$E139,AL$5&lt;=$F139),IF(AL$5=$E139+1,$C139,""),"")</f>
        <v/>
      </c>
      <c r="AM139" s="34">
        <f>IF(AND(AM$5&gt;$E139,AM$5&lt;=$F139),IF(AM$5=$E139+1,$C139,""),"")</f>
        <v/>
      </c>
      <c r="AN139" s="34">
        <f>IF(AND(AN$5&gt;$E139,AN$5&lt;=$F139),IF(AN$5=$E139+1,$C139,""),"")</f>
        <v/>
      </c>
      <c r="AO139" s="34">
        <f>IF(AND(AO$5&gt;$E139,AO$5&lt;=$F139),IF(AO$5=$E139+1,$C139,""),"")</f>
        <v/>
      </c>
      <c r="AP139" s="34">
        <f>IF(AND(AP$5&gt;$E139,AP$5&lt;=$F139),IF(AP$5=$E139+1,$C139,""),"")</f>
        <v/>
      </c>
      <c r="AQ139" s="34">
        <f>IF(AND(AQ$5&gt;$E139,AQ$5&lt;=$F139),IF(AQ$5=$E139+1,$C139,""),"")</f>
        <v/>
      </c>
      <c r="AR139" s="34">
        <f>IF(AND(AR$5&gt;$E139,AR$5&lt;=$F139),IF(AR$5=$E139+1,$C139,""),"")</f>
        <v/>
      </c>
      <c r="AS139" s="34">
        <f>IF(AND(AS$5&gt;$E139,AS$5&lt;=$F139),IF(AS$5=$E139+1,$C139,""),"")</f>
        <v/>
      </c>
      <c r="AT139" s="34">
        <f>IF(AND(AT$5&gt;$E139,AT$5&lt;=$F139),IF(AT$5=$E139+1,$C139,""),"")</f>
        <v/>
      </c>
      <c r="AU139" s="34">
        <f>IF(AND(AU$5&gt;$E139,AU$5&lt;=$F139),IF(AU$5=$E139+1,$C139,""),"")</f>
        <v/>
      </c>
      <c r="AV139" s="34">
        <f>IF(AND(AV$5&gt;$E139,AV$5&lt;=$F139),IF(AV$5=$E139+1,$C139,""),"")</f>
        <v/>
      </c>
      <c r="AW139" s="34">
        <f>IF(AND(AW$5&gt;$E139,AW$5&lt;=$F139),IF(AW$5=$E139+1,$C139,""),"")</f>
        <v/>
      </c>
      <c r="AX139" s="34">
        <f>IF(AND(AX$5&gt;$E139,AX$5&lt;=$F139),IF(AX$5=$E139+1,$C139,""),"")</f>
        <v/>
      </c>
      <c r="AY139" s="34">
        <f>IF(AND(AY$5&gt;$E139,AY$5&lt;=$F139),IF(AY$5=$E139+1,$C139,""),"")</f>
        <v/>
      </c>
      <c r="AZ139" s="34">
        <f>IF(AND(AZ$5&gt;$E139,AZ$5&lt;=$F139),IF(AZ$5=$E139+1,$C139,""),"")</f>
        <v/>
      </c>
      <c r="BA139" s="34">
        <f>IF(AND(BA$5&gt;$E139,BA$5&lt;=$F139),IF(BA$5=$E139+1,$C139,""),"")</f>
        <v/>
      </c>
      <c r="BB139" s="34">
        <f>IF(AND(BB$5&gt;$E139,BB$5&lt;=$F139),IF(BB$5=$E139+1,$C139,""),"")</f>
        <v/>
      </c>
      <c r="BC139" s="34">
        <f>IF(AND(BC$5&gt;$E139,BC$5&lt;=$F139),IF(BC$5=$E139+1,$C139,""),"")</f>
        <v/>
      </c>
      <c r="BD139" s="34">
        <f>IF(AND(BD$5&gt;$E139,BD$5&lt;=$F139),IF(BD$5=$E139+1,$C139,""),"")</f>
        <v/>
      </c>
      <c r="BE139" s="34">
        <f>IF(AND(BE$5&gt;$E139,BE$5&lt;=$F139),IF(BE$5=$E139+1,$C139,""),"")</f>
        <v/>
      </c>
      <c r="BF139" s="34">
        <f>IF(AND(BF$5&gt;$E139,BF$5&lt;=$F139),IF(BF$5=$E139+1,$C139,""),"")</f>
        <v/>
      </c>
      <c r="BG139" s="34">
        <f>IF(AND(BG$5&gt;$E139,BG$5&lt;=$F139),IF(BG$5=$E139+1,$C139,""),"")</f>
        <v/>
      </c>
      <c r="BH139" s="34">
        <f>IF(AND(BH$5&gt;$E139,BH$5&lt;=$F139),IF(BH$5=$E139+1,$C139,""),"")</f>
        <v/>
      </c>
      <c r="BI139" s="34">
        <f>IF(AND(BI$5&gt;$E139,BI$5&lt;=$F139),IF(BI$5=$E139+1,$C139,""),"")</f>
        <v/>
      </c>
      <c r="BJ139" s="34">
        <f>IF(AND(BJ$5&gt;$E139,BJ$5&lt;=$F139),IF(BJ$5=$E139+1,$C139,""),"")</f>
        <v/>
      </c>
      <c r="BK139" s="34">
        <f>IF(AND(BK$5&gt;$E139,BK$5&lt;=$F139),IF(BK$5=$E139+1,$C139,""),"")</f>
        <v/>
      </c>
      <c r="BL139" s="34">
        <f>IF(AND(BL$5&gt;$E139,BL$5&lt;=$F139),IF(BL$5=$E139+1,$C139,""),"")</f>
        <v/>
      </c>
      <c r="BM139" s="34">
        <f>IF(AND(BM$5&gt;$E139,BM$5&lt;=$F139),IF(BM$5=$E139+1,$C139,""),"")</f>
        <v/>
      </c>
      <c r="BN139" s="34">
        <f>IF(AND(BN$5&gt;$E139,BN$5&lt;=$F139),IF(BN$5=$E139+1,$C139,""),"")</f>
        <v/>
      </c>
      <c r="BO139" s="34">
        <f>IF(AND(BO$5&gt;$E139,BO$5&lt;=$F139),IF(BO$5=$E139+1,$C139,""),"")</f>
        <v/>
      </c>
      <c r="BP139" s="34">
        <f>IF(AND(BP$5&gt;$E139,BP$5&lt;=$F139),IF(BP$5=$E139+1,$C139,""),"")</f>
        <v/>
      </c>
      <c r="BQ139" s="34">
        <f>IF(AND(BQ$5&gt;$E139,BQ$5&lt;=$F139),IF(BQ$5=$E139+1,$C139,""),"")</f>
        <v/>
      </c>
      <c r="BR139" s="34">
        <f>IF(AND(BR$5&gt;$E139,BR$5&lt;=$F139),IF(BR$5=$E139+1,$C139,""),"")</f>
        <v/>
      </c>
      <c r="BS139" s="34">
        <f>IF(AND(BS$5&gt;$E139,BS$5&lt;=$F139),IF(BS$5=$E139+1,$C139,""),"")</f>
        <v/>
      </c>
      <c r="BT139" s="34">
        <f>IF(AND(BT$5&gt;$E139,BT$5&lt;=$F139),IF(BT$5=$E139+1,$C139,""),"")</f>
        <v/>
      </c>
      <c r="BU139" s="34">
        <f>IF(AND(BU$5&gt;$E139,BU$5&lt;=$F139),IF(BU$5=$E139+1,$C139,""),"")</f>
        <v/>
      </c>
      <c r="BV139" s="34">
        <f>IF(AND(BV$5&gt;$E139,BV$5&lt;=$F139),IF(BV$5=$E139+1,$C139,""),"")</f>
        <v/>
      </c>
      <c r="BW139" s="34">
        <f>IF(AND(BW$5&gt;$E139,BW$5&lt;=$F139),IF(BW$5=$E139+1,$C139,""),"")</f>
        <v/>
      </c>
      <c r="BX139" s="34">
        <f>IF(AND(BX$5&gt;$E139,BX$5&lt;=$F139),IF(BX$5=$E139+1,$C139,""),"")</f>
        <v/>
      </c>
      <c r="BY139" s="34">
        <f>IF(AND(BY$5&gt;$E139,BY$5&lt;=$F139),IF(BY$5=$E139+1,$C139,""),"")</f>
        <v/>
      </c>
      <c r="BZ139" s="34">
        <f>IF(AND(BZ$5&gt;$E139,BZ$5&lt;=$F139),IF(BZ$5=$E139+1,$C139,""),"")</f>
        <v/>
      </c>
      <c r="CA139" s="34">
        <f>IF(AND(CA$5&gt;$E139,CA$5&lt;=$F139),IF(CA$5=$E139+1,$C139,""),"")</f>
        <v/>
      </c>
      <c r="CB139" s="34">
        <f>IF(AND(CB$5&gt;$E139,CB$5&lt;=$F139),IF(CB$5=$E139+1,$C139,""),"")</f>
        <v/>
      </c>
      <c r="CC139" s="34">
        <f>IF(AND(CC$5&gt;$E139,CC$5&lt;=$F139),IF(CC$5=$E139+1,$C139,""),"")</f>
        <v/>
      </c>
      <c r="CD139" s="34">
        <f>IF(AND(CD$5&gt;$E139,CD$5&lt;=$F139),IF(CD$5=$E139+1,$C139,""),"")</f>
        <v/>
      </c>
      <c r="CE139" s="34">
        <f>IF(AND(CE$5&gt;$E139,CE$5&lt;=$F139),IF(CE$5=$E139+1,$C139,""),"")</f>
        <v/>
      </c>
      <c r="CF139" s="34">
        <f>IF(AND(CF$5&gt;$E139,CF$5&lt;=$F139),IF(CF$5=$E139+1,$C139,""),"")</f>
        <v/>
      </c>
      <c r="CG139" s="34">
        <f>IF(AND(CG$5&gt;$E139,CG$5&lt;=$F139),IF(CG$5=$E139+1,$C139,""),"")</f>
        <v/>
      </c>
      <c r="CH139" s="34">
        <f>IF(AND(CH$5&gt;$E139,CH$5&lt;=$F139),IF(CH$5=$E139+1,$C139,""),"")</f>
        <v/>
      </c>
      <c r="CI139" s="34">
        <f>IF(AND(CI$5&gt;$E139,CI$5&lt;=$F139),IF(CI$5=$E139+1,$C139,""),"")</f>
        <v/>
      </c>
      <c r="CJ139" s="34">
        <f>IF(AND(CJ$5&gt;$E139,CJ$5&lt;=$F139),IF(CJ$5=$E139+1,$C139,""),"")</f>
        <v/>
      </c>
      <c r="CK139" s="34">
        <f>IF(AND(CK$5&gt;$E139,CK$5&lt;=$F139),IF(CK$5=$E139+1,$C139,""),"")</f>
        <v/>
      </c>
      <c r="CL139" s="34">
        <f>IF(AND(CL$5&gt;$E139,CL$5&lt;=$F139),IF(CL$5=$E139+1,$C139,""),"")</f>
        <v/>
      </c>
      <c r="CM139" s="34">
        <f>IF(AND(CM$5&gt;$E139,CM$5&lt;=$F139),IF(CM$5=$E139+1,$C139,""),"")</f>
        <v/>
      </c>
      <c r="CN139" s="34">
        <f>IF(AND(CN$5&gt;$E139,CN$5&lt;=$F139),IF(CN$5=$E139+1,$C139,""),"")</f>
        <v/>
      </c>
      <c r="CO139" s="34">
        <f>IF(AND(CO$5&gt;$E139,CO$5&lt;=$F139),IF(CO$5=$E139+1,$C139,""),"")</f>
        <v/>
      </c>
      <c r="CP139" s="34">
        <f>IF(AND(CP$5&gt;$E139,CP$5&lt;=$F139),IF(CP$5=$E139+1,$C139,""),"")</f>
        <v/>
      </c>
      <c r="CQ139" s="34">
        <f>IF(AND(CQ$5&gt;$E139,CQ$5&lt;=$F139),IF(CQ$5=$E139+1,$C139,""),"")</f>
        <v/>
      </c>
      <c r="CR139" s="34">
        <f>IF(AND(CR$5&gt;$E139,CR$5&lt;=$F139),IF(CR$5=$E139+1,$C139,""),"")</f>
        <v/>
      </c>
      <c r="CS139" s="34">
        <f>IF(AND(CS$5&gt;$E139,CS$5&lt;=$F139),IF(CS$5=$E139+1,$C139,""),"")</f>
        <v/>
      </c>
      <c r="CT139" s="34">
        <f>IF(AND(CT$5&gt;$E139,CT$5&lt;=$F139),IF(CT$5=$E139+1,$C139,""),"")</f>
        <v/>
      </c>
      <c r="CU139" s="34">
        <f>IF(AND(CU$5&gt;$E139,CU$5&lt;=$F139),IF(CU$5=$E139+1,$C139,""),"")</f>
        <v/>
      </c>
      <c r="CV139" s="34">
        <f>IF(AND(CV$5&gt;$E139,CV$5&lt;=$F139),IF(CV$5=$E139+1,$C139,""),"")</f>
        <v/>
      </c>
      <c r="CW139" s="34">
        <f>IF(AND(CW$5&gt;$E139,CW$5&lt;=$F139),IF(CW$5=$E139+1,$C139,""),"")</f>
        <v/>
      </c>
      <c r="CX139" s="34">
        <f>IF(AND(CX$5&gt;$E139,CX$5&lt;=$F139),IF(CX$5=$E139+1,$C139,""),"")</f>
        <v/>
      </c>
      <c r="CY139" s="34">
        <f>IF(AND(CY$5&gt;$E139,CY$5&lt;=$F139),IF(CY$5=$E139+1,$C139,""),"")</f>
        <v/>
      </c>
      <c r="CZ139" s="34">
        <f>IF(AND(CZ$5&gt;$E139,CZ$5&lt;=$F139),IF(CZ$5=$E139+1,$C139,""),"")</f>
        <v/>
      </c>
      <c r="DA139" s="34">
        <f>IF(AND(DA$5&gt;$E139,DA$5&lt;=$F139),IF(DA$5=$E139+1,$C139,""),"")</f>
        <v/>
      </c>
      <c r="DB139" s="34">
        <f>IF(AND(DB$5&gt;$E139,DB$5&lt;=$F139),IF(DB$5=$E139+1,$C139,""),"")</f>
        <v/>
      </c>
      <c r="DC139" s="34">
        <f>IF(AND(DC$5&gt;$E139,DC$5&lt;=$F139),IF(DC$5=$E139+1,$C139,""),"")</f>
        <v/>
      </c>
      <c r="DD139" s="34">
        <f>IF(AND(DD$5&gt;$E139,DD$5&lt;=$F139),IF(DD$5=$E139+1,$C139,""),"")</f>
        <v/>
      </c>
      <c r="DE139" s="34">
        <f>IF(AND(DE$5&gt;$E139,DE$5&lt;=$F139),IF(DE$5=$E139+1,$C139,""),"")</f>
        <v/>
      </c>
      <c r="DF139" s="34">
        <f>IF(AND(DF$5&gt;$E139,DF$5&lt;=$F139),IF(DF$5=$E139+1,$C139,""),"")</f>
        <v/>
      </c>
      <c r="DG139" s="34">
        <f>IF(AND(DG$5&gt;$E139,DG$5&lt;=$F139),IF(DG$5=$E139+1,$C139,""),"")</f>
        <v/>
      </c>
      <c r="DH139" s="34">
        <f>IF(AND(DH$5&gt;$E139,DH$5&lt;=$F139),IF(DH$5=$E139+1,$C139,""),"")</f>
        <v/>
      </c>
      <c r="DI139" s="34">
        <f>IF(AND(DI$5&gt;$E139,DI$5&lt;=$F139),IF(DI$5=$E139+1,$C139,""),"")</f>
        <v/>
      </c>
      <c r="DJ139" s="34">
        <f>IF(AND(DJ$5&gt;$E139,DJ$5&lt;=$F139),IF(DJ$5=$E139+1,$C139,""),"")</f>
        <v/>
      </c>
      <c r="DK139" s="34">
        <f>IF(AND(DK$5&gt;$E139,DK$5&lt;=$F139),IF(DK$5=$E139+1,$C139,""),"")</f>
        <v/>
      </c>
      <c r="DL139" s="34">
        <f>IF(AND(DL$5&gt;$E139,DL$5&lt;=$F139),IF(DL$5=$E139+1,$C139,""),"")</f>
        <v/>
      </c>
      <c r="DM139" s="34">
        <f>IF(AND(DM$5&gt;$E139,DM$5&lt;=$F139),IF(DM$5=$E139+1,$C139,""),"")</f>
        <v/>
      </c>
      <c r="DN139" s="34">
        <f>IF(AND(DN$5&gt;$E139,DN$5&lt;=$F139),IF(DN$5=$E139+1,$C139,""),"")</f>
        <v/>
      </c>
      <c r="DO139" s="34">
        <f>IF(AND(DO$5&gt;$E139,DO$5&lt;=$F139),IF(DO$5=$E139+1,$C139,""),"")</f>
        <v/>
      </c>
      <c r="DP139" s="34">
        <f>IF(AND(DP$5&gt;$E139,DP$5&lt;=$F139),IF(DP$5=$E139+1,$C139,""),"")</f>
        <v/>
      </c>
      <c r="DQ139" s="34">
        <f>IF(AND(DQ$5&gt;$E139,DQ$5&lt;=$F139),IF(DQ$5=$E139+1,$C139,""),"")</f>
        <v/>
      </c>
      <c r="DR139" s="34">
        <f>IF(AND(DR$5&gt;$E139,DR$5&lt;=$F139),IF(DR$5=$E139+1,$C139,""),"")</f>
        <v/>
      </c>
      <c r="DS139" s="34">
        <f>IF(AND(DS$5&gt;$E139,DS$5&lt;=$F139),IF(DS$5=$E139+1,$C139,""),"")</f>
        <v/>
      </c>
      <c r="DT139" s="34">
        <f>IF(AND(DT$5&gt;$E139,DT$5&lt;=$F139),IF(DT$5=$E139+1,$C139,""),"")</f>
        <v/>
      </c>
      <c r="DU139" s="34">
        <f>IF(AND(DU$5&gt;$E139,DU$5&lt;=$F139),IF(DU$5=$E139+1,$C139,""),"")</f>
        <v/>
      </c>
      <c r="DV139" s="34">
        <f>IF(AND(DV$5&gt;$E139,DV$5&lt;=$F139),IF(DV$5=$E139+1,$C139,""),"")</f>
        <v/>
      </c>
      <c r="DW139" s="34">
        <f>IF(AND(DW$5&gt;$E139,DW$5&lt;=$F139),IF(DW$5=$E139+1,$C139,""),"")</f>
        <v/>
      </c>
      <c r="DX139" s="34">
        <f>IF(AND(DX$5&gt;$E139,DX$5&lt;=$F139),IF(DX$5=$E139+1,$C139,""),"")</f>
        <v/>
      </c>
      <c r="DY139" s="34">
        <f>IF(AND(DY$5&gt;$E139,DY$5&lt;=$F139),IF(DY$5=$E139+1,$C139,""),"")</f>
        <v/>
      </c>
      <c r="DZ139" s="34">
        <f>IF(AND(DZ$5&gt;$E139,DZ$5&lt;=$F139),IF(DZ$5=$E139+1,$C139,""),"")</f>
        <v/>
      </c>
      <c r="EA139" s="34">
        <f>IF(AND(EA$5&gt;$E139,EA$5&lt;=$F139),IF(EA$5=$E139+1,$C139,""),"")</f>
        <v/>
      </c>
      <c r="EB139" s="34">
        <f>IF(AND(EB$5&gt;$E139,EB$5&lt;=$F139),IF(EB$5=$E139+1,$C139,""),"")</f>
        <v/>
      </c>
      <c r="EC139" s="34">
        <f>IF(AND(EC$5&gt;$E139,EC$5&lt;=$F139),IF(EC$5=$E139+1,$C139,""),"")</f>
        <v/>
      </c>
      <c r="ED139" s="34">
        <f>IF(AND(ED$5&gt;$E139,ED$5&lt;=$F139),IF(ED$5=$E139+1,$C139,""),"")</f>
        <v/>
      </c>
      <c r="EE139" s="34">
        <f>IF(AND(EE$5&gt;$E139,EE$5&lt;=$F139),IF(EE$5=$E139+1,$C139,""),"")</f>
        <v/>
      </c>
      <c r="EF139" s="34">
        <f>IF(AND(EF$5&gt;$E139,EF$5&lt;=$F139),IF(EF$5=$E139+1,$C139,""),"")</f>
        <v/>
      </c>
      <c r="EG139" s="34">
        <f>IF(AND(EG$5&gt;$E139,EG$5&lt;=$F139),IF(EG$5=$E139+1,$C139,""),"")</f>
        <v/>
      </c>
      <c r="EH139" s="34">
        <f>IF(AND(EH$5&gt;$E139,EH$5&lt;=$F139),IF(EH$5=$E139+1,$C139,""),"")</f>
        <v/>
      </c>
      <c r="EI139" s="34">
        <f>IF(AND(EI$5&gt;$E139,EI$5&lt;=$F139),IF(EI$5=$E139+1,$C139,""),"")</f>
        <v/>
      </c>
      <c r="EJ139" s="34">
        <f>IF(AND(EJ$5&gt;$E139,EJ$5&lt;=$F139),IF(EJ$5=$E139+1,$C139,""),"")</f>
        <v/>
      </c>
      <c r="EK139" s="34">
        <f>IF(AND(EK$5&gt;$E139,EK$5&lt;=$F139),IF(EK$5=$E139+1,$C139,""),"")</f>
        <v/>
      </c>
      <c r="EL139" s="34">
        <f>IF(AND(EL$5&gt;$E139,EL$5&lt;=$F139),IF(EL$5=$E139+1,$C139,""),"")</f>
        <v/>
      </c>
      <c r="EM139" s="34">
        <f>IF(AND(EM$5&gt;$E139,EM$5&lt;=$F139),IF(EM$5=$E139+1,$C139,""),"")</f>
        <v/>
      </c>
      <c r="EN139" s="34">
        <f>IF(AND(EN$5&gt;$E139,EN$5&lt;=$F139),IF(EN$5=$E139+1,$C139,""),"")</f>
        <v/>
      </c>
      <c r="EO139" s="34">
        <f>IF(AND(EO$5&gt;$E139,EO$5&lt;=$F139),IF(EO$5=$E139+1,$C139,""),"")</f>
        <v/>
      </c>
      <c r="EP139" s="34">
        <f>IF(AND(EP$5&gt;$E139,EP$5&lt;=$F139),IF(EP$5=$E139+1,$C139,""),"")</f>
        <v/>
      </c>
      <c r="EQ139" s="34">
        <f>IF(AND(EQ$5&gt;$E139,EQ$5&lt;=$F139),IF(EQ$5=$E139+1,$C139,""),"")</f>
        <v/>
      </c>
      <c r="ER139" s="34">
        <f>IF(AND(ER$5&gt;$E139,ER$5&lt;=$F139),IF(ER$5=$E139+1,$C139,""),"")</f>
        <v/>
      </c>
      <c r="ES139" s="34">
        <f>IF(AND(ES$5&gt;$E139,ES$5&lt;=$F139),IF(ES$5=$E139+1,$C139,""),"")</f>
        <v/>
      </c>
      <c r="ET139" s="34">
        <f>IF(AND(ET$5&gt;$E139,ET$5&lt;=$F139),IF(ET$5=$E139+1,$C139,""),"")</f>
        <v/>
      </c>
      <c r="EU139" s="34">
        <f>IF(AND(EU$5&gt;$E139,EU$5&lt;=$F139),IF(EU$5=$E139+1,$C139,""),"")</f>
        <v/>
      </c>
      <c r="EV139" s="34">
        <f>IF(AND(EV$5&gt;$E139,EV$5&lt;=$F139),IF(EV$5=$E139+1,$C139,""),"")</f>
        <v/>
      </c>
      <c r="EW139" s="34">
        <f>IF(AND(EW$5&gt;$E139,EW$5&lt;=$F139),IF(EW$5=$E139+1,$C139,""),"")</f>
        <v/>
      </c>
      <c r="EX139" s="34">
        <f>IF(AND(EX$5&gt;$E139,EX$5&lt;=$F139),IF(EX$5=$E139+1,$C139,""),"")</f>
        <v/>
      </c>
      <c r="EY139" s="34">
        <f>IF(AND(EY$5&gt;$E139,EY$5&lt;=$F139),IF(EY$5=$E139+1,$C139,""),"")</f>
        <v/>
      </c>
      <c r="EZ139" s="34">
        <f>IF(AND(EZ$5&gt;$E139,EZ$5&lt;=$F139),IF(EZ$5=$E139+1,$C139,""),"")</f>
        <v/>
      </c>
      <c r="FA139" s="34">
        <f>IF(AND(FA$5&gt;$E139,FA$5&lt;=$F139),IF(FA$5=$E139+1,$C139,""),"")</f>
        <v/>
      </c>
    </row>
  </sheetData>
  <mergeCells count="23">
    <mergeCell ref="BZ4:CI4"/>
    <mergeCell ref="AL4:AU4"/>
    <mergeCell ref="EH4:EQ4"/>
    <mergeCell ref="A9:D9"/>
    <mergeCell ref="ER4:FA4"/>
    <mergeCell ref="AV4:BE4"/>
    <mergeCell ref="A36:D36"/>
    <mergeCell ref="DD4:DM4"/>
    <mergeCell ref="DX4:EG4"/>
    <mergeCell ref="DN4:DW4"/>
    <mergeCell ref="R4:AA4"/>
    <mergeCell ref="H4:Q4"/>
    <mergeCell ref="A6:G6"/>
    <mergeCell ref="AB4:AK4"/>
    <mergeCell ref="A7:G7"/>
    <mergeCell ref="BP4:BY4"/>
    <mergeCell ref="CJ4:CS4"/>
    <mergeCell ref="A75:D75"/>
    <mergeCell ref="A18:D18"/>
    <mergeCell ref="A95:D95"/>
    <mergeCell ref="CT4:DC4"/>
    <mergeCell ref="A47:D47"/>
    <mergeCell ref="BF4:BO4"/>
  </mergeCells>
  <conditionalFormatting sqref="H6:FA6">
    <cfRule type="expression" priority="1" dxfId="9">
      <formula>H6&lt;&gt;""</formula>
    </cfRule>
  </conditionalFormatting>
  <conditionalFormatting sqref="H7:FA7">
    <cfRule type="expression" priority="2" dxfId="10">
      <formula>H7&lt;&gt;""</formula>
    </cfRule>
  </conditionalFormatting>
  <conditionalFormatting sqref="H9:FA9">
    <cfRule type="expression" priority="3" dxfId="11">
      <formula>AND(H$5&gt;$E9,H$5&lt;=$F9)</formula>
    </cfRule>
  </conditionalFormatting>
  <conditionalFormatting sqref="H18:FA18">
    <cfRule type="expression" priority="4" dxfId="11">
      <formula>AND(H$5&gt;$E18,H$5&lt;=$F18)</formula>
    </cfRule>
  </conditionalFormatting>
  <conditionalFormatting sqref="H36:FA36">
    <cfRule type="expression" priority="5" dxfId="11">
      <formula>AND(H$5&gt;$E36,H$5&lt;=$F36)</formula>
    </cfRule>
  </conditionalFormatting>
  <conditionalFormatting sqref="H47:FA47">
    <cfRule type="expression" priority="6" dxfId="11">
      <formula>AND(H$5&gt;$E47,H$5&lt;=$F47)</formula>
    </cfRule>
  </conditionalFormatting>
  <conditionalFormatting sqref="H75:FA75">
    <cfRule type="expression" priority="7" dxfId="11">
      <formula>AND(H$5&gt;$E75,H$5&lt;=$F75)</formula>
    </cfRule>
  </conditionalFormatting>
  <conditionalFormatting sqref="H95:FA95">
    <cfRule type="expression" priority="8" dxfId="11">
      <formula>AND(H$5&gt;$E95,H$5&lt;=$F95)</formula>
    </cfRule>
  </conditionalFormatting>
  <conditionalFormatting sqref="H9:FA139">
    <cfRule type="expression" priority="9" dxfId="12" stopIfTrue="1">
      <formula>AND(AND(H$5&gt;$E9,H$5&lt;=$F9,$A9&lt;&gt;""),$G9="Hecho")</formula>
    </cfRule>
    <cfRule type="expression" priority="10" dxfId="13" stopIfTrue="1">
      <formula>AND(AND(H$5&gt;$E9,H$5&lt;=$F9,$A9&lt;&gt;""),$G9="Bloqueado")</formula>
    </cfRule>
    <cfRule type="expression" priority="11" dxfId="14" stopIfTrue="1">
      <formula>AND(AND(H$5&gt;$E9,H$5&lt;=$F9,$A9&lt;&gt;""),$D9="A+B")</formula>
    </cfRule>
    <cfRule type="expression" priority="12" dxfId="9" stopIfTrue="1">
      <formula>AND(AND(H$5&gt;$E9,H$5&lt;=$F9,$A9&lt;&gt;""),$D9="A")</formula>
    </cfRule>
    <cfRule type="expression" priority="13" dxfId="10" stopIfTrue="1">
      <formula>AND(AND(H$5&gt;$E9,H$5&lt;=$F9,$A9&lt;&gt;""),$D9="B")</formula>
    </cfRule>
    <cfRule type="expression" priority="15" dxfId="15">
      <formula>H$5=Resumen!$C$6+1</formula>
    </cfRule>
  </conditionalFormatting>
  <conditionalFormatting sqref="H5:FA5">
    <cfRule type="expression" priority="14" dxfId="16">
      <formula>H$5=Resumen!$C$6+1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6"/>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52" customWidth="1" min="3" max="3"/>
    <col width="14" customWidth="1" min="4" max="4"/>
    <col width="11" customWidth="1" min="5" max="5"/>
    <col width="12" customWidth="1" min="6" max="6"/>
    <col width="9" customWidth="1" min="7" max="7"/>
    <col width="7" customWidth="1" min="8" max="8"/>
    <col width="11" customWidth="1" min="9" max="9"/>
  </cols>
  <sheetData>
    <row r="1">
      <c r="A1" s="1" t="inlineStr">
        <is>
          <t>Cola de trabajo — 2 filas, capacidad infinita</t>
        </is>
      </c>
    </row>
    <row r="2">
      <c r="A2" s="2" t="inlineStr">
        <is>
          <t>Cada actividad entra a la cola cuando terminan sus dependencias y sale cuando una fila queda libre. Si hay varias esperando, sale primero la de mayor ruta crítica restante.</t>
        </is>
      </c>
    </row>
    <row r="4" ht="42" customHeight="1">
      <c r="A4" s="14" t="inlineStr">
        <is>
          <t>Turno</t>
        </is>
      </c>
      <c r="B4" s="14" t="inlineStr">
        <is>
          <t>ID</t>
        </is>
      </c>
      <c r="C4" s="14" t="inlineStr">
        <is>
          <t>Actividad</t>
        </is>
      </c>
      <c r="D4" s="14" t="inlineStr">
        <is>
          <t>Prioridad (ruta crítica, bloques)</t>
        </is>
      </c>
      <c r="E4" s="14" t="inlineStr">
        <is>
          <t>Entra a la cola</t>
        </is>
      </c>
      <c r="F4" s="14" t="inlineStr">
        <is>
          <t>Sale de la cola (inicio)</t>
        </is>
      </c>
      <c r="G4" s="14" t="inlineStr">
        <is>
          <t>Espera</t>
        </is>
      </c>
      <c r="H4" s="14" t="inlineStr">
        <is>
          <t>Fila</t>
        </is>
      </c>
      <c r="I4" s="14" t="inlineStr">
        <is>
          <t>Estado</t>
        </is>
      </c>
    </row>
    <row r="5">
      <c r="A5" s="8" t="n">
        <v>1</v>
      </c>
      <c r="B5" s="18" t="inlineStr">
        <is>
          <t>1.1</t>
        </is>
      </c>
      <c r="C5" s="35">
        <f>Plan!C5</f>
        <v/>
      </c>
      <c r="D5" s="8" t="n">
        <v>53</v>
      </c>
      <c r="E5" s="16">
        <f>Plan!J5</f>
        <v/>
      </c>
      <c r="F5" s="16">
        <f>Plan!K5</f>
        <v/>
      </c>
      <c r="G5" s="8">
        <f>F5-E5</f>
        <v/>
      </c>
      <c r="H5" s="16">
        <f>Plan!I5</f>
        <v/>
      </c>
      <c r="I5" s="16">
        <f>Plan!O5</f>
        <v/>
      </c>
    </row>
    <row r="6">
      <c r="A6" s="8" t="n">
        <v>2</v>
      </c>
      <c r="B6" s="18" t="inlineStr">
        <is>
          <t>1.3</t>
        </is>
      </c>
      <c r="C6" s="35">
        <f>Plan!C7</f>
        <v/>
      </c>
      <c r="D6" s="8" t="n">
        <v>50</v>
      </c>
      <c r="E6" s="16">
        <f>Plan!J7</f>
        <v/>
      </c>
      <c r="F6" s="16">
        <f>Plan!K7</f>
        <v/>
      </c>
      <c r="G6" s="8">
        <f>F6-E6</f>
        <v/>
      </c>
      <c r="H6" s="16">
        <f>Plan!I7</f>
        <v/>
      </c>
      <c r="I6" s="16">
        <f>Plan!O7</f>
        <v/>
      </c>
    </row>
    <row r="7">
      <c r="A7" s="8" t="n">
        <v>3</v>
      </c>
      <c r="B7" s="18" t="inlineStr">
        <is>
          <t>1.2</t>
        </is>
      </c>
      <c r="C7" s="35">
        <f>Plan!C6</f>
        <v/>
      </c>
      <c r="D7" s="8" t="n">
        <v>44</v>
      </c>
      <c r="E7" s="16">
        <f>Plan!J6</f>
        <v/>
      </c>
      <c r="F7" s="16">
        <f>Plan!K6</f>
        <v/>
      </c>
      <c r="G7" s="8">
        <f>F7-E7</f>
        <v/>
      </c>
      <c r="H7" s="16">
        <f>Plan!I6</f>
        <v/>
      </c>
      <c r="I7" s="16">
        <f>Plan!O6</f>
        <v/>
      </c>
    </row>
    <row r="8">
      <c r="A8" s="8" t="n">
        <v>4</v>
      </c>
      <c r="B8" s="18" t="inlineStr">
        <is>
          <t>1.4</t>
        </is>
      </c>
      <c r="C8" s="35">
        <f>Plan!C8</f>
        <v/>
      </c>
      <c r="D8" s="8" t="n">
        <v>49</v>
      </c>
      <c r="E8" s="16">
        <f>Plan!J8</f>
        <v/>
      </c>
      <c r="F8" s="16">
        <f>Plan!K8</f>
        <v/>
      </c>
      <c r="G8" s="8">
        <f>F8-E8</f>
        <v/>
      </c>
      <c r="H8" s="16">
        <f>Plan!I8</f>
        <v/>
      </c>
      <c r="I8" s="16">
        <f>Plan!O8</f>
        <v/>
      </c>
    </row>
    <row r="9">
      <c r="A9" s="8" t="n">
        <v>5</v>
      </c>
      <c r="B9" s="18" t="inlineStr">
        <is>
          <t>2.4</t>
        </is>
      </c>
      <c r="C9" s="35">
        <f>Plan!C16</f>
        <v/>
      </c>
      <c r="D9" s="8" t="n">
        <v>15</v>
      </c>
      <c r="E9" s="16">
        <f>Plan!J16</f>
        <v/>
      </c>
      <c r="F9" s="16">
        <f>Plan!K16</f>
        <v/>
      </c>
      <c r="G9" s="8">
        <f>F9-E9</f>
        <v/>
      </c>
      <c r="H9" s="16">
        <f>Plan!I16</f>
        <v/>
      </c>
      <c r="I9" s="16">
        <f>Plan!O16</f>
        <v/>
      </c>
    </row>
    <row r="10">
      <c r="A10" s="8" t="n">
        <v>6</v>
      </c>
      <c r="B10" s="18" t="inlineStr">
        <is>
          <t>2.2</t>
        </is>
      </c>
      <c r="C10" s="35">
        <f>Plan!C14</f>
        <v/>
      </c>
      <c r="D10" s="8" t="n">
        <v>47</v>
      </c>
      <c r="E10" s="16">
        <f>Plan!J14</f>
        <v/>
      </c>
      <c r="F10" s="16">
        <f>Plan!K14</f>
        <v/>
      </c>
      <c r="G10" s="8">
        <f>F10-E10</f>
        <v/>
      </c>
      <c r="H10" s="16">
        <f>Plan!I14</f>
        <v/>
      </c>
      <c r="I10" s="16">
        <f>Plan!O14</f>
        <v/>
      </c>
    </row>
    <row r="11">
      <c r="A11" s="8" t="n">
        <v>7</v>
      </c>
      <c r="B11" s="18" t="inlineStr">
        <is>
          <t>2.1</t>
        </is>
      </c>
      <c r="C11" s="35">
        <f>Plan!C13</f>
        <v/>
      </c>
      <c r="D11" s="8" t="n">
        <v>38</v>
      </c>
      <c r="E11" s="16">
        <f>Plan!J13</f>
        <v/>
      </c>
      <c r="F11" s="16">
        <f>Plan!K13</f>
        <v/>
      </c>
      <c r="G11" s="8">
        <f>F11-E11</f>
        <v/>
      </c>
      <c r="H11" s="16">
        <f>Plan!I13</f>
        <v/>
      </c>
      <c r="I11" s="16">
        <f>Plan!O13</f>
        <v/>
      </c>
    </row>
    <row r="12">
      <c r="A12" s="8" t="n">
        <v>8</v>
      </c>
      <c r="B12" s="18" t="inlineStr">
        <is>
          <t>2.5</t>
        </is>
      </c>
      <c r="C12" s="35">
        <f>Plan!C17</f>
        <v/>
      </c>
      <c r="D12" s="8" t="n">
        <v>45</v>
      </c>
      <c r="E12" s="16">
        <f>Plan!J17</f>
        <v/>
      </c>
      <c r="F12" s="16">
        <f>Plan!K17</f>
        <v/>
      </c>
      <c r="G12" s="8">
        <f>F12-E12</f>
        <v/>
      </c>
      <c r="H12" s="16">
        <f>Plan!I17</f>
        <v/>
      </c>
      <c r="I12" s="16">
        <f>Plan!O17</f>
        <v/>
      </c>
    </row>
    <row r="13">
      <c r="A13" s="8" t="n">
        <v>9</v>
      </c>
      <c r="B13" s="18" t="inlineStr">
        <is>
          <t>3.1</t>
        </is>
      </c>
      <c r="C13" s="35">
        <f>Plan!C28</f>
        <v/>
      </c>
      <c r="D13" s="8" t="n">
        <v>41</v>
      </c>
      <c r="E13" s="16">
        <f>Plan!J28</f>
        <v/>
      </c>
      <c r="F13" s="16">
        <f>Plan!K28</f>
        <v/>
      </c>
      <c r="G13" s="8">
        <f>F13-E13</f>
        <v/>
      </c>
      <c r="H13" s="16">
        <f>Plan!I28</f>
        <v/>
      </c>
      <c r="I13" s="16">
        <f>Plan!O28</f>
        <v/>
      </c>
    </row>
    <row r="14">
      <c r="A14" s="8" t="n">
        <v>10</v>
      </c>
      <c r="B14" s="18" t="inlineStr">
        <is>
          <t>2.6</t>
        </is>
      </c>
      <c r="C14" s="35">
        <f>Plan!C18</f>
        <v/>
      </c>
      <c r="D14" s="8" t="n">
        <v>42</v>
      </c>
      <c r="E14" s="16">
        <f>Plan!J18</f>
        <v/>
      </c>
      <c r="F14" s="16">
        <f>Plan!K18</f>
        <v/>
      </c>
      <c r="G14" s="8">
        <f>F14-E14</f>
        <v/>
      </c>
      <c r="H14" s="16">
        <f>Plan!I18</f>
        <v/>
      </c>
      <c r="I14" s="16">
        <f>Plan!O18</f>
        <v/>
      </c>
    </row>
    <row r="15">
      <c r="A15" s="8" t="n">
        <v>11</v>
      </c>
      <c r="B15" s="18" t="inlineStr">
        <is>
          <t>1.5</t>
        </is>
      </c>
      <c r="C15" s="35">
        <f>Plan!C9</f>
        <v/>
      </c>
      <c r="D15" s="8" t="n">
        <v>40</v>
      </c>
      <c r="E15" s="16">
        <f>Plan!J9</f>
        <v/>
      </c>
      <c r="F15" s="16">
        <f>Plan!K9</f>
        <v/>
      </c>
      <c r="G15" s="8">
        <f>F15-E15</f>
        <v/>
      </c>
      <c r="H15" s="16">
        <f>Plan!I9</f>
        <v/>
      </c>
      <c r="I15" s="16">
        <f>Plan!O9</f>
        <v/>
      </c>
    </row>
    <row r="16">
      <c r="A16" s="8" t="n">
        <v>12</v>
      </c>
      <c r="B16" s="18" t="inlineStr">
        <is>
          <t>1.7</t>
        </is>
      </c>
      <c r="C16" s="35">
        <f>Plan!C11</f>
        <v/>
      </c>
      <c r="D16" s="8" t="n">
        <v>37</v>
      </c>
      <c r="E16" s="16">
        <f>Plan!J11</f>
        <v/>
      </c>
      <c r="F16" s="16">
        <f>Plan!K11</f>
        <v/>
      </c>
      <c r="G16" s="8">
        <f>F16-E16</f>
        <v/>
      </c>
      <c r="H16" s="16">
        <f>Plan!I11</f>
        <v/>
      </c>
      <c r="I16" s="16">
        <f>Plan!O11</f>
        <v/>
      </c>
    </row>
    <row r="17">
      <c r="A17" s="8" t="n">
        <v>13</v>
      </c>
      <c r="B17" s="18" t="inlineStr">
        <is>
          <t>2.14</t>
        </is>
      </c>
      <c r="C17" s="35">
        <f>Plan!C26</f>
        <v/>
      </c>
      <c r="D17" s="8" t="n">
        <v>35</v>
      </c>
      <c r="E17" s="16">
        <f>Plan!J26</f>
        <v/>
      </c>
      <c r="F17" s="16">
        <f>Plan!K26</f>
        <v/>
      </c>
      <c r="G17" s="8">
        <f>F17-E17</f>
        <v/>
      </c>
      <c r="H17" s="16">
        <f>Plan!I26</f>
        <v/>
      </c>
      <c r="I17" s="16">
        <f>Plan!O26</f>
        <v/>
      </c>
    </row>
    <row r="18">
      <c r="A18" s="8" t="n">
        <v>14</v>
      </c>
      <c r="B18" s="18" t="inlineStr">
        <is>
          <t>2.7</t>
        </is>
      </c>
      <c r="C18" s="35">
        <f>Plan!C19</f>
        <v/>
      </c>
      <c r="D18" s="8" t="n">
        <v>39</v>
      </c>
      <c r="E18" s="16">
        <f>Plan!J19</f>
        <v/>
      </c>
      <c r="F18" s="16">
        <f>Plan!K19</f>
        <v/>
      </c>
      <c r="G18" s="8">
        <f>F18-E18</f>
        <v/>
      </c>
      <c r="H18" s="16">
        <f>Plan!I19</f>
        <v/>
      </c>
      <c r="I18" s="16">
        <f>Plan!O19</f>
        <v/>
      </c>
    </row>
    <row r="19">
      <c r="A19" s="8" t="n">
        <v>15</v>
      </c>
      <c r="B19" s="18" t="inlineStr">
        <is>
          <t>4.1</t>
        </is>
      </c>
      <c r="C19" s="35">
        <f>Plan!C37</f>
        <v/>
      </c>
      <c r="D19" s="8" t="n">
        <v>37</v>
      </c>
      <c r="E19" s="16">
        <f>Plan!J37</f>
        <v/>
      </c>
      <c r="F19" s="16">
        <f>Plan!K37</f>
        <v/>
      </c>
      <c r="G19" s="8">
        <f>F19-E19</f>
        <v/>
      </c>
      <c r="H19" s="16">
        <f>Plan!I37</f>
        <v/>
      </c>
      <c r="I19" s="16">
        <f>Plan!O37</f>
        <v/>
      </c>
    </row>
    <row r="20">
      <c r="A20" s="8" t="n">
        <v>16</v>
      </c>
      <c r="B20" s="18" t="inlineStr">
        <is>
          <t>2.3</t>
        </is>
      </c>
      <c r="C20" s="35">
        <f>Plan!C15</f>
        <v/>
      </c>
      <c r="D20" s="8" t="n">
        <v>36</v>
      </c>
      <c r="E20" s="16">
        <f>Plan!J15</f>
        <v/>
      </c>
      <c r="F20" s="16">
        <f>Plan!K15</f>
        <v/>
      </c>
      <c r="G20" s="8">
        <f>F20-E20</f>
        <v/>
      </c>
      <c r="H20" s="16">
        <f>Plan!I15</f>
        <v/>
      </c>
      <c r="I20" s="16">
        <f>Plan!O15</f>
        <v/>
      </c>
    </row>
    <row r="21">
      <c r="A21" s="8" t="n">
        <v>17</v>
      </c>
      <c r="B21" s="18" t="inlineStr">
        <is>
          <t>2.8</t>
        </is>
      </c>
      <c r="C21" s="35">
        <f>Plan!C20</f>
        <v/>
      </c>
      <c r="D21" s="8" t="n">
        <v>9</v>
      </c>
      <c r="E21" s="16">
        <f>Plan!J20</f>
        <v/>
      </c>
      <c r="F21" s="16">
        <f>Plan!K20</f>
        <v/>
      </c>
      <c r="G21" s="8">
        <f>F21-E21</f>
        <v/>
      </c>
      <c r="H21" s="16">
        <f>Plan!I20</f>
        <v/>
      </c>
      <c r="I21" s="16">
        <f>Plan!O20</f>
        <v/>
      </c>
    </row>
    <row r="22">
      <c r="A22" s="8" t="n">
        <v>18</v>
      </c>
      <c r="B22" s="18" t="inlineStr">
        <is>
          <t>3.11</t>
        </is>
      </c>
      <c r="C22" s="35">
        <f>Plan!C124</f>
        <v/>
      </c>
      <c r="D22" s="8" t="n">
        <v>4</v>
      </c>
      <c r="E22" s="16">
        <f>Plan!J124</f>
        <v/>
      </c>
      <c r="F22" s="16">
        <f>Plan!K124</f>
        <v/>
      </c>
      <c r="G22" s="8">
        <f>F22-E22</f>
        <v/>
      </c>
      <c r="H22" s="16">
        <f>Plan!I124</f>
        <v/>
      </c>
      <c r="I22" s="16">
        <f>Plan!O124</f>
        <v/>
      </c>
    </row>
    <row r="23">
      <c r="A23" s="8" t="n">
        <v>19</v>
      </c>
      <c r="B23" s="18" t="inlineStr">
        <is>
          <t>2.15</t>
        </is>
      </c>
      <c r="C23" s="35">
        <f>Plan!C27</f>
        <v/>
      </c>
      <c r="D23" s="8" t="n">
        <v>34</v>
      </c>
      <c r="E23" s="16">
        <f>Plan!J27</f>
        <v/>
      </c>
      <c r="F23" s="16">
        <f>Plan!K27</f>
        <v/>
      </c>
      <c r="G23" s="8">
        <f>F23-E23</f>
        <v/>
      </c>
      <c r="H23" s="16">
        <f>Plan!I27</f>
        <v/>
      </c>
      <c r="I23" s="16">
        <f>Plan!O27</f>
        <v/>
      </c>
    </row>
    <row r="24">
      <c r="A24" s="8" t="n">
        <v>20</v>
      </c>
      <c r="B24" s="18" t="inlineStr">
        <is>
          <t>4.11</t>
        </is>
      </c>
      <c r="C24" s="35">
        <f>Plan!C47</f>
        <v/>
      </c>
      <c r="D24" s="8" t="n">
        <v>33</v>
      </c>
      <c r="E24" s="16">
        <f>Plan!J47</f>
        <v/>
      </c>
      <c r="F24" s="16">
        <f>Plan!K47</f>
        <v/>
      </c>
      <c r="G24" s="8">
        <f>F24-E24</f>
        <v/>
      </c>
      <c r="H24" s="16">
        <f>Plan!I47</f>
        <v/>
      </c>
      <c r="I24" s="16">
        <f>Plan!O47</f>
        <v/>
      </c>
    </row>
    <row r="25">
      <c r="A25" s="8" t="n">
        <v>21</v>
      </c>
      <c r="B25" s="18" t="inlineStr">
        <is>
          <t>3.4</t>
        </is>
      </c>
      <c r="C25" s="35">
        <f>Plan!C31</f>
        <v/>
      </c>
      <c r="D25" s="8" t="n">
        <v>36</v>
      </c>
      <c r="E25" s="16">
        <f>Plan!J31</f>
        <v/>
      </c>
      <c r="F25" s="16">
        <f>Plan!K31</f>
        <v/>
      </c>
      <c r="G25" s="8">
        <f>F25-E25</f>
        <v/>
      </c>
      <c r="H25" s="16">
        <f>Plan!I31</f>
        <v/>
      </c>
      <c r="I25" s="16">
        <f>Plan!O31</f>
        <v/>
      </c>
    </row>
    <row r="26">
      <c r="A26" s="8" t="n">
        <v>22</v>
      </c>
      <c r="B26" s="18" t="inlineStr">
        <is>
          <t>6.19</t>
        </is>
      </c>
      <c r="C26" s="35">
        <f>Plan!C74</f>
        <v/>
      </c>
      <c r="D26" s="8" t="n">
        <v>31</v>
      </c>
      <c r="E26" s="16">
        <f>Plan!J74</f>
        <v/>
      </c>
      <c r="F26" s="16">
        <f>Plan!K74</f>
        <v/>
      </c>
      <c r="G26" s="8">
        <f>F26-E26</f>
        <v/>
      </c>
      <c r="H26" s="16">
        <f>Plan!I74</f>
        <v/>
      </c>
      <c r="I26" s="16">
        <f>Plan!O74</f>
        <v/>
      </c>
    </row>
    <row r="27">
      <c r="A27" s="8" t="n">
        <v>23</v>
      </c>
      <c r="B27" s="18" t="inlineStr">
        <is>
          <t>6.16</t>
        </is>
      </c>
      <c r="C27" s="35">
        <f>Plan!C73</f>
        <v/>
      </c>
      <c r="D27" s="8" t="n">
        <v>31</v>
      </c>
      <c r="E27" s="16">
        <f>Plan!J73</f>
        <v/>
      </c>
      <c r="F27" s="16">
        <f>Plan!K73</f>
        <v/>
      </c>
      <c r="G27" s="8">
        <f>F27-E27</f>
        <v/>
      </c>
      <c r="H27" s="16">
        <f>Plan!I73</f>
        <v/>
      </c>
      <c r="I27" s="16">
        <f>Plan!O73</f>
        <v/>
      </c>
    </row>
    <row r="28">
      <c r="A28" s="8" t="n">
        <v>24</v>
      </c>
      <c r="B28" s="18" t="inlineStr">
        <is>
          <t>6.4</t>
        </is>
      </c>
      <c r="C28" s="35">
        <f>Plan!C61</f>
        <v/>
      </c>
      <c r="D28" s="8" t="n">
        <v>6</v>
      </c>
      <c r="E28" s="16">
        <f>Plan!J61</f>
        <v/>
      </c>
      <c r="F28" s="16">
        <f>Plan!K61</f>
        <v/>
      </c>
      <c r="G28" s="8">
        <f>F28-E28</f>
        <v/>
      </c>
      <c r="H28" s="16">
        <f>Plan!I61</f>
        <v/>
      </c>
      <c r="I28" s="16">
        <f>Plan!O61</f>
        <v/>
      </c>
    </row>
    <row r="29">
      <c r="A29" s="8" t="n">
        <v>25</v>
      </c>
      <c r="B29" s="18" t="inlineStr">
        <is>
          <t>4.6</t>
        </is>
      </c>
      <c r="C29" s="35">
        <f>Plan!C42</f>
        <v/>
      </c>
      <c r="D29" s="8" t="n">
        <v>35</v>
      </c>
      <c r="E29" s="16">
        <f>Plan!J42</f>
        <v/>
      </c>
      <c r="F29" s="16">
        <f>Plan!K42</f>
        <v/>
      </c>
      <c r="G29" s="8">
        <f>F29-E29</f>
        <v/>
      </c>
      <c r="H29" s="16">
        <f>Plan!I42</f>
        <v/>
      </c>
      <c r="I29" s="16">
        <f>Plan!O42</f>
        <v/>
      </c>
    </row>
    <row r="30">
      <c r="A30" s="8" t="n">
        <v>26</v>
      </c>
      <c r="B30" s="18" t="inlineStr">
        <is>
          <t>3.10</t>
        </is>
      </c>
      <c r="C30" s="35">
        <f>Plan!C36</f>
        <v/>
      </c>
      <c r="D30" s="8" t="n">
        <v>33</v>
      </c>
      <c r="E30" s="16">
        <f>Plan!J36</f>
        <v/>
      </c>
      <c r="F30" s="16">
        <f>Plan!K36</f>
        <v/>
      </c>
      <c r="G30" s="8">
        <f>F30-E30</f>
        <v/>
      </c>
      <c r="H30" s="16">
        <f>Plan!I36</f>
        <v/>
      </c>
      <c r="I30" s="16">
        <f>Plan!O36</f>
        <v/>
      </c>
    </row>
    <row r="31">
      <c r="A31" s="8" t="n">
        <v>27</v>
      </c>
      <c r="B31" s="18" t="inlineStr">
        <is>
          <t>4.10</t>
        </is>
      </c>
      <c r="C31" s="35">
        <f>Plan!C46</f>
        <v/>
      </c>
      <c r="D31" s="8" t="n">
        <v>32</v>
      </c>
      <c r="E31" s="16">
        <f>Plan!J46</f>
        <v/>
      </c>
      <c r="F31" s="16">
        <f>Plan!K46</f>
        <v/>
      </c>
      <c r="G31" s="8">
        <f>F31-E31</f>
        <v/>
      </c>
      <c r="H31" s="16">
        <f>Plan!I46</f>
        <v/>
      </c>
      <c r="I31" s="16">
        <f>Plan!O46</f>
        <v/>
      </c>
    </row>
    <row r="32">
      <c r="A32" s="8" t="n">
        <v>28</v>
      </c>
      <c r="B32" s="18" t="inlineStr">
        <is>
          <t>1.6</t>
        </is>
      </c>
      <c r="C32" s="35">
        <f>Plan!C10</f>
        <v/>
      </c>
      <c r="D32" s="8" t="n">
        <v>31</v>
      </c>
      <c r="E32" s="16">
        <f>Plan!J10</f>
        <v/>
      </c>
      <c r="F32" s="16">
        <f>Plan!K10</f>
        <v/>
      </c>
      <c r="G32" s="8">
        <f>F32-E32</f>
        <v/>
      </c>
      <c r="H32" s="16">
        <f>Plan!I10</f>
        <v/>
      </c>
      <c r="I32" s="16">
        <f>Plan!O10</f>
        <v/>
      </c>
    </row>
    <row r="33">
      <c r="A33" s="8" t="n">
        <v>29</v>
      </c>
      <c r="B33" s="18" t="inlineStr">
        <is>
          <t>2.17</t>
        </is>
      </c>
      <c r="C33" s="35">
        <f>Plan!C125</f>
        <v/>
      </c>
      <c r="D33" s="8" t="n">
        <v>4</v>
      </c>
      <c r="E33" s="16">
        <f>Plan!J125</f>
        <v/>
      </c>
      <c r="F33" s="16">
        <f>Plan!K125</f>
        <v/>
      </c>
      <c r="G33" s="8">
        <f>F33-E33</f>
        <v/>
      </c>
      <c r="H33" s="16">
        <f>Plan!I125</f>
        <v/>
      </c>
      <c r="I33" s="16">
        <f>Plan!O125</f>
        <v/>
      </c>
    </row>
    <row r="34">
      <c r="A34" s="8" t="n">
        <v>30</v>
      </c>
      <c r="B34" s="18" t="inlineStr">
        <is>
          <t>6.17</t>
        </is>
      </c>
      <c r="C34" s="35">
        <f>Plan!C75</f>
        <v/>
      </c>
      <c r="D34" s="8" t="n">
        <v>30</v>
      </c>
      <c r="E34" s="16">
        <f>Plan!J75</f>
        <v/>
      </c>
      <c r="F34" s="16">
        <f>Plan!K75</f>
        <v/>
      </c>
      <c r="G34" s="8">
        <f>F34-E34</f>
        <v/>
      </c>
      <c r="H34" s="16">
        <f>Plan!I75</f>
        <v/>
      </c>
      <c r="I34" s="16">
        <f>Plan!O75</f>
        <v/>
      </c>
    </row>
    <row r="35">
      <c r="A35" s="8" t="n">
        <v>31</v>
      </c>
      <c r="B35" s="18" t="inlineStr">
        <is>
          <t>1.8</t>
        </is>
      </c>
      <c r="C35" s="35">
        <f>Plan!C12</f>
        <v/>
      </c>
      <c r="D35" s="8" t="n">
        <v>28</v>
      </c>
      <c r="E35" s="16">
        <f>Plan!J12</f>
        <v/>
      </c>
      <c r="F35" s="16">
        <f>Plan!K12</f>
        <v/>
      </c>
      <c r="G35" s="8">
        <f>F35-E35</f>
        <v/>
      </c>
      <c r="H35" s="16">
        <f>Plan!I12</f>
        <v/>
      </c>
      <c r="I35" s="16">
        <f>Plan!O12</f>
        <v/>
      </c>
    </row>
    <row r="36">
      <c r="A36" s="8" t="n">
        <v>32</v>
      </c>
      <c r="B36" s="18" t="inlineStr">
        <is>
          <t>6.13</t>
        </is>
      </c>
      <c r="C36" s="35">
        <f>Plan!C70</f>
        <v/>
      </c>
      <c r="D36" s="8" t="n">
        <v>6</v>
      </c>
      <c r="E36" s="16">
        <f>Plan!J70</f>
        <v/>
      </c>
      <c r="F36" s="16">
        <f>Plan!K70</f>
        <v/>
      </c>
      <c r="G36" s="8">
        <f>F36-E36</f>
        <v/>
      </c>
      <c r="H36" s="16">
        <f>Plan!I70</f>
        <v/>
      </c>
      <c r="I36" s="16">
        <f>Plan!O70</f>
        <v/>
      </c>
    </row>
    <row r="37">
      <c r="A37" s="8" t="n">
        <v>33</v>
      </c>
      <c r="B37" s="18" t="inlineStr">
        <is>
          <t>6.18</t>
        </is>
      </c>
      <c r="C37" s="35">
        <f>Plan!C76</f>
        <v/>
      </c>
      <c r="D37" s="8" t="n">
        <v>27</v>
      </c>
      <c r="E37" s="16">
        <f>Plan!J76</f>
        <v/>
      </c>
      <c r="F37" s="16">
        <f>Plan!K76</f>
        <v/>
      </c>
      <c r="G37" s="8">
        <f>F37-E37</f>
        <v/>
      </c>
      <c r="H37" s="16">
        <f>Plan!I76</f>
        <v/>
      </c>
      <c r="I37" s="16">
        <f>Plan!O76</f>
        <v/>
      </c>
    </row>
    <row r="38">
      <c r="A38" s="8" t="n">
        <v>34</v>
      </c>
      <c r="B38" s="18" t="inlineStr">
        <is>
          <t>2.9</t>
        </is>
      </c>
      <c r="C38" s="35">
        <f>Plan!C21</f>
        <v/>
      </c>
      <c r="D38" s="8" t="n">
        <v>18</v>
      </c>
      <c r="E38" s="16">
        <f>Plan!J21</f>
        <v/>
      </c>
      <c r="F38" s="16">
        <f>Plan!K21</f>
        <v/>
      </c>
      <c r="G38" s="8">
        <f>F38-E38</f>
        <v/>
      </c>
      <c r="H38" s="16">
        <f>Plan!I21</f>
        <v/>
      </c>
      <c r="I38" s="16">
        <f>Plan!O21</f>
        <v/>
      </c>
    </row>
    <row r="39">
      <c r="A39" s="8" t="n">
        <v>35</v>
      </c>
      <c r="B39" s="18" t="inlineStr">
        <is>
          <t>4.12</t>
        </is>
      </c>
      <c r="C39" s="35">
        <f>Plan!C77</f>
        <v/>
      </c>
      <c r="D39" s="8" t="n">
        <v>26</v>
      </c>
      <c r="E39" s="16">
        <f>Plan!J77</f>
        <v/>
      </c>
      <c r="F39" s="16">
        <f>Plan!K77</f>
        <v/>
      </c>
      <c r="G39" s="8">
        <f>F39-E39</f>
        <v/>
      </c>
      <c r="H39" s="16">
        <f>Plan!I77</f>
        <v/>
      </c>
      <c r="I39" s="16">
        <f>Plan!O77</f>
        <v/>
      </c>
    </row>
    <row r="40">
      <c r="A40" s="8" t="n">
        <v>36</v>
      </c>
      <c r="B40" s="18" t="inlineStr">
        <is>
          <t>3.5</t>
        </is>
      </c>
      <c r="C40" s="35">
        <f>Plan!C32</f>
        <v/>
      </c>
      <c r="D40" s="8" t="n">
        <v>16</v>
      </c>
      <c r="E40" s="16">
        <f>Plan!J32</f>
        <v/>
      </c>
      <c r="F40" s="16">
        <f>Plan!K32</f>
        <v/>
      </c>
      <c r="G40" s="8">
        <f>F40-E40</f>
        <v/>
      </c>
      <c r="H40" s="16">
        <f>Plan!I32</f>
        <v/>
      </c>
      <c r="I40" s="16">
        <f>Plan!O32</f>
        <v/>
      </c>
    </row>
    <row r="41">
      <c r="A41" s="8" t="n">
        <v>37</v>
      </c>
      <c r="B41" s="18" t="inlineStr">
        <is>
          <t>4.13</t>
        </is>
      </c>
      <c r="C41" s="35">
        <f>Plan!C78</f>
        <v/>
      </c>
      <c r="D41" s="8" t="n">
        <v>21</v>
      </c>
      <c r="E41" s="16">
        <f>Plan!J78</f>
        <v/>
      </c>
      <c r="F41" s="16">
        <f>Plan!K78</f>
        <v/>
      </c>
      <c r="G41" s="8">
        <f>F41-E41</f>
        <v/>
      </c>
      <c r="H41" s="16">
        <f>Plan!I78</f>
        <v/>
      </c>
      <c r="I41" s="16">
        <f>Plan!O78</f>
        <v/>
      </c>
    </row>
    <row r="42">
      <c r="A42" s="8" t="n">
        <v>38</v>
      </c>
      <c r="B42" s="18" t="inlineStr">
        <is>
          <t>4.2</t>
        </is>
      </c>
      <c r="C42" s="35">
        <f>Plan!C38</f>
        <v/>
      </c>
      <c r="D42" s="8" t="n">
        <v>16</v>
      </c>
      <c r="E42" s="16">
        <f>Plan!J38</f>
        <v/>
      </c>
      <c r="F42" s="16">
        <f>Plan!K38</f>
        <v/>
      </c>
      <c r="G42" s="8">
        <f>F42-E42</f>
        <v/>
      </c>
      <c r="H42" s="16">
        <f>Plan!I38</f>
        <v/>
      </c>
      <c r="I42" s="16">
        <f>Plan!O38</f>
        <v/>
      </c>
    </row>
    <row r="43">
      <c r="A43" s="8" t="n">
        <v>39</v>
      </c>
      <c r="B43" s="18" t="inlineStr">
        <is>
          <t>4.3</t>
        </is>
      </c>
      <c r="C43" s="35">
        <f>Plan!C39</f>
        <v/>
      </c>
      <c r="D43" s="8" t="n">
        <v>13</v>
      </c>
      <c r="E43" s="16">
        <f>Plan!J39</f>
        <v/>
      </c>
      <c r="F43" s="16">
        <f>Plan!K39</f>
        <v/>
      </c>
      <c r="G43" s="8">
        <f>F43-E43</f>
        <v/>
      </c>
      <c r="H43" s="16">
        <f>Plan!I39</f>
        <v/>
      </c>
      <c r="I43" s="16">
        <f>Plan!O39</f>
        <v/>
      </c>
    </row>
    <row r="44">
      <c r="A44" s="8" t="n">
        <v>40</v>
      </c>
      <c r="B44" s="18" t="inlineStr">
        <is>
          <t>2.12</t>
        </is>
      </c>
      <c r="C44" s="35">
        <f>Plan!C24</f>
        <v/>
      </c>
      <c r="D44" s="8" t="n">
        <v>12</v>
      </c>
      <c r="E44" s="16">
        <f>Plan!J24</f>
        <v/>
      </c>
      <c r="F44" s="16">
        <f>Plan!K24</f>
        <v/>
      </c>
      <c r="G44" s="8">
        <f>F44-E44</f>
        <v/>
      </c>
      <c r="H44" s="16">
        <f>Plan!I24</f>
        <v/>
      </c>
      <c r="I44" s="16">
        <f>Plan!O24</f>
        <v/>
      </c>
    </row>
    <row r="45">
      <c r="A45" s="8" t="n">
        <v>41</v>
      </c>
      <c r="B45" s="18" t="inlineStr">
        <is>
          <t>4.5</t>
        </is>
      </c>
      <c r="C45" s="35">
        <f>Plan!C41</f>
        <v/>
      </c>
      <c r="D45" s="8" t="n">
        <v>14</v>
      </c>
      <c r="E45" s="16">
        <f>Plan!J41</f>
        <v/>
      </c>
      <c r="F45" s="16">
        <f>Plan!K41</f>
        <v/>
      </c>
      <c r="G45" s="8">
        <f>F45-E45</f>
        <v/>
      </c>
      <c r="H45" s="16">
        <f>Plan!I41</f>
        <v/>
      </c>
      <c r="I45" s="16">
        <f>Plan!O41</f>
        <v/>
      </c>
    </row>
    <row r="46">
      <c r="A46" s="8" t="n">
        <v>42</v>
      </c>
      <c r="B46" s="18" t="inlineStr">
        <is>
          <t>2.10</t>
        </is>
      </c>
      <c r="C46" s="35">
        <f>Plan!C22</f>
        <v/>
      </c>
      <c r="D46" s="8" t="n">
        <v>12</v>
      </c>
      <c r="E46" s="16">
        <f>Plan!J22</f>
        <v/>
      </c>
      <c r="F46" s="16">
        <f>Plan!K22</f>
        <v/>
      </c>
      <c r="G46" s="8">
        <f>F46-E46</f>
        <v/>
      </c>
      <c r="H46" s="16">
        <f>Plan!I22</f>
        <v/>
      </c>
      <c r="I46" s="16">
        <f>Plan!O22</f>
        <v/>
      </c>
    </row>
    <row r="47">
      <c r="A47" s="8" t="n">
        <v>43</v>
      </c>
      <c r="B47" s="18" t="inlineStr">
        <is>
          <t>6.11</t>
        </is>
      </c>
      <c r="C47" s="35">
        <f>Plan!C68</f>
        <v/>
      </c>
      <c r="D47" s="8" t="n">
        <v>7</v>
      </c>
      <c r="E47" s="16">
        <f>Plan!J68</f>
        <v/>
      </c>
      <c r="F47" s="16">
        <f>Plan!K68</f>
        <v/>
      </c>
      <c r="G47" s="8">
        <f>F47-E47</f>
        <v/>
      </c>
      <c r="H47" s="16">
        <f>Plan!I68</f>
        <v/>
      </c>
      <c r="I47" s="16">
        <f>Plan!O68</f>
        <v/>
      </c>
    </row>
    <row r="48">
      <c r="A48" s="8" t="n">
        <v>44</v>
      </c>
      <c r="B48" s="18" t="inlineStr">
        <is>
          <t>6.20</t>
        </is>
      </c>
      <c r="C48" s="35">
        <f>Plan!C79</f>
        <v/>
      </c>
      <c r="D48" s="8" t="n">
        <v>16</v>
      </c>
      <c r="E48" s="16">
        <f>Plan!J79</f>
        <v/>
      </c>
      <c r="F48" s="16">
        <f>Plan!K79</f>
        <v/>
      </c>
      <c r="G48" s="8">
        <f>F48-E48</f>
        <v/>
      </c>
      <c r="H48" s="16">
        <f>Plan!I79</f>
        <v/>
      </c>
      <c r="I48" s="16">
        <f>Plan!O79</f>
        <v/>
      </c>
    </row>
    <row r="49">
      <c r="A49" s="8" t="n">
        <v>45</v>
      </c>
      <c r="B49" s="18" t="inlineStr">
        <is>
          <t>3.3</t>
        </is>
      </c>
      <c r="C49" s="35">
        <f>Plan!C30</f>
        <v/>
      </c>
      <c r="D49" s="8" t="n">
        <v>15</v>
      </c>
      <c r="E49" s="16">
        <f>Plan!J30</f>
        <v/>
      </c>
      <c r="F49" s="16">
        <f>Plan!K30</f>
        <v/>
      </c>
      <c r="G49" s="8">
        <f>F49-E49</f>
        <v/>
      </c>
      <c r="H49" s="16">
        <f>Plan!I30</f>
        <v/>
      </c>
      <c r="I49" s="16">
        <f>Plan!O30</f>
        <v/>
      </c>
    </row>
    <row r="50">
      <c r="A50" s="8" t="n">
        <v>46</v>
      </c>
      <c r="B50" s="18" t="inlineStr">
        <is>
          <t>4.14</t>
        </is>
      </c>
      <c r="C50" s="35">
        <f>Plan!C80</f>
        <v/>
      </c>
      <c r="D50" s="8" t="n">
        <v>15</v>
      </c>
      <c r="E50" s="16">
        <f>Plan!J80</f>
        <v/>
      </c>
      <c r="F50" s="16">
        <f>Plan!K80</f>
        <v/>
      </c>
      <c r="G50" s="8">
        <f>F50-E50</f>
        <v/>
      </c>
      <c r="H50" s="16">
        <f>Plan!I80</f>
        <v/>
      </c>
      <c r="I50" s="16">
        <f>Plan!O80</f>
        <v/>
      </c>
    </row>
    <row r="51">
      <c r="A51" s="8" t="n">
        <v>47</v>
      </c>
      <c r="B51" s="18" t="inlineStr">
        <is>
          <t>3.7</t>
        </is>
      </c>
      <c r="C51" s="35">
        <f>Plan!C34</f>
        <v/>
      </c>
      <c r="D51" s="8" t="n">
        <v>12</v>
      </c>
      <c r="E51" s="16">
        <f>Plan!J34</f>
        <v/>
      </c>
      <c r="F51" s="16">
        <f>Plan!K34</f>
        <v/>
      </c>
      <c r="G51" s="8">
        <f>F51-E51</f>
        <v/>
      </c>
      <c r="H51" s="16">
        <f>Plan!I34</f>
        <v/>
      </c>
      <c r="I51" s="16">
        <f>Plan!O34</f>
        <v/>
      </c>
    </row>
    <row r="52">
      <c r="A52" s="8" t="n">
        <v>48</v>
      </c>
      <c r="B52" s="18" t="inlineStr">
        <is>
          <t>4.20</t>
        </is>
      </c>
      <c r="C52" s="35">
        <f>Plan!C95</f>
        <v/>
      </c>
      <c r="D52" s="8" t="n">
        <v>11</v>
      </c>
      <c r="E52" s="16">
        <f>Plan!J95</f>
        <v/>
      </c>
      <c r="F52" s="16">
        <f>Plan!K95</f>
        <v/>
      </c>
      <c r="G52" s="8">
        <f>F52-E52</f>
        <v/>
      </c>
      <c r="H52" s="16">
        <f>Plan!I95</f>
        <v/>
      </c>
      <c r="I52" s="16">
        <f>Plan!O95</f>
        <v/>
      </c>
    </row>
    <row r="53">
      <c r="A53" s="8" t="n">
        <v>49</v>
      </c>
      <c r="B53" s="18" t="inlineStr">
        <is>
          <t>5.6</t>
        </is>
      </c>
      <c r="C53" s="35">
        <f>Plan!C53</f>
        <v/>
      </c>
      <c r="D53" s="8" t="n">
        <v>9</v>
      </c>
      <c r="E53" s="16">
        <f>Plan!J53</f>
        <v/>
      </c>
      <c r="F53" s="16">
        <f>Plan!K53</f>
        <v/>
      </c>
      <c r="G53" s="8">
        <f>F53-E53</f>
        <v/>
      </c>
      <c r="H53" s="16">
        <f>Plan!I53</f>
        <v/>
      </c>
      <c r="I53" s="16">
        <f>Plan!O53</f>
        <v/>
      </c>
    </row>
    <row r="54">
      <c r="A54" s="8" t="n">
        <v>50</v>
      </c>
      <c r="B54" s="18" t="inlineStr">
        <is>
          <t>5.1</t>
        </is>
      </c>
      <c r="C54" s="35">
        <f>Plan!C48</f>
        <v/>
      </c>
      <c r="D54" s="8" t="n">
        <v>10</v>
      </c>
      <c r="E54" s="16">
        <f>Plan!J48</f>
        <v/>
      </c>
      <c r="F54" s="16">
        <f>Plan!K48</f>
        <v/>
      </c>
      <c r="G54" s="8">
        <f>F54-E54</f>
        <v/>
      </c>
      <c r="H54" s="16">
        <f>Plan!I48</f>
        <v/>
      </c>
      <c r="I54" s="16">
        <f>Plan!O48</f>
        <v/>
      </c>
    </row>
    <row r="55">
      <c r="A55" s="8" t="n">
        <v>51</v>
      </c>
      <c r="B55" s="18" t="inlineStr">
        <is>
          <t>5.2</t>
        </is>
      </c>
      <c r="C55" s="35">
        <f>Plan!C49</f>
        <v/>
      </c>
      <c r="D55" s="8" t="n">
        <v>12</v>
      </c>
      <c r="E55" s="16">
        <f>Plan!J49</f>
        <v/>
      </c>
      <c r="F55" s="16">
        <f>Plan!K49</f>
        <v/>
      </c>
      <c r="G55" s="8">
        <f>F55-E55</f>
        <v/>
      </c>
      <c r="H55" s="16">
        <f>Plan!I49</f>
        <v/>
      </c>
      <c r="I55" s="16">
        <f>Plan!O49</f>
        <v/>
      </c>
    </row>
    <row r="56">
      <c r="A56" s="8" t="n">
        <v>52</v>
      </c>
      <c r="B56" s="18" t="inlineStr">
        <is>
          <t>3.6</t>
        </is>
      </c>
      <c r="C56" s="35">
        <f>Plan!C33</f>
        <v/>
      </c>
      <c r="D56" s="8" t="n">
        <v>13</v>
      </c>
      <c r="E56" s="16">
        <f>Plan!J33</f>
        <v/>
      </c>
      <c r="F56" s="16">
        <f>Plan!K33</f>
        <v/>
      </c>
      <c r="G56" s="8">
        <f>F56-E56</f>
        <v/>
      </c>
      <c r="H56" s="16">
        <f>Plan!I33</f>
        <v/>
      </c>
      <c r="I56" s="16">
        <f>Plan!O33</f>
        <v/>
      </c>
    </row>
    <row r="57">
      <c r="A57" s="8" t="n">
        <v>53</v>
      </c>
      <c r="B57" s="18" t="inlineStr">
        <is>
          <t>3.9</t>
        </is>
      </c>
      <c r="C57" s="35">
        <f>Plan!C35</f>
        <v/>
      </c>
      <c r="D57" s="8" t="n">
        <v>12</v>
      </c>
      <c r="E57" s="16">
        <f>Plan!J35</f>
        <v/>
      </c>
      <c r="F57" s="16">
        <f>Plan!K35</f>
        <v/>
      </c>
      <c r="G57" s="8">
        <f>F57-E57</f>
        <v/>
      </c>
      <c r="H57" s="16">
        <f>Plan!I35</f>
        <v/>
      </c>
      <c r="I57" s="16">
        <f>Plan!O35</f>
        <v/>
      </c>
    </row>
    <row r="58">
      <c r="A58" s="8" t="n">
        <v>54</v>
      </c>
      <c r="B58" s="18" t="inlineStr">
        <is>
          <t>4.24</t>
        </is>
      </c>
      <c r="C58" s="35">
        <f>Plan!C120</f>
        <v/>
      </c>
      <c r="D58" s="8" t="n">
        <v>8</v>
      </c>
      <c r="E58" s="16">
        <f>Plan!J120</f>
        <v/>
      </c>
      <c r="F58" s="16">
        <f>Plan!K120</f>
        <v/>
      </c>
      <c r="G58" s="8">
        <f>F58-E58</f>
        <v/>
      </c>
      <c r="H58" s="16">
        <f>Plan!I120</f>
        <v/>
      </c>
      <c r="I58" s="16">
        <f>Plan!O120</f>
        <v/>
      </c>
    </row>
    <row r="59">
      <c r="A59" s="8" t="n">
        <v>55</v>
      </c>
      <c r="B59" s="18" t="inlineStr">
        <is>
          <t>6.31</t>
        </is>
      </c>
      <c r="C59" s="35">
        <f>Plan!C108</f>
        <v/>
      </c>
      <c r="D59" s="8" t="n">
        <v>7</v>
      </c>
      <c r="E59" s="16">
        <f>Plan!J108</f>
        <v/>
      </c>
      <c r="F59" s="16">
        <f>Plan!K108</f>
        <v/>
      </c>
      <c r="G59" s="8">
        <f>F59-E59</f>
        <v/>
      </c>
      <c r="H59" s="16">
        <f>Plan!I108</f>
        <v/>
      </c>
      <c r="I59" s="16">
        <f>Plan!O108</f>
        <v/>
      </c>
    </row>
    <row r="60">
      <c r="A60" s="8" t="n">
        <v>56</v>
      </c>
      <c r="B60" s="18" t="inlineStr">
        <is>
          <t>6.22</t>
        </is>
      </c>
      <c r="C60" s="35">
        <f>Plan!C83</f>
        <v/>
      </c>
      <c r="D60" s="8" t="n">
        <v>10</v>
      </c>
      <c r="E60" s="16">
        <f>Plan!J83</f>
        <v/>
      </c>
      <c r="F60" s="16">
        <f>Plan!K83</f>
        <v/>
      </c>
      <c r="G60" s="8">
        <f>F60-E60</f>
        <v/>
      </c>
      <c r="H60" s="16">
        <f>Plan!I83</f>
        <v/>
      </c>
      <c r="I60" s="16">
        <f>Plan!O83</f>
        <v/>
      </c>
    </row>
    <row r="61">
      <c r="A61" s="8" t="n">
        <v>57</v>
      </c>
      <c r="B61" s="18" t="inlineStr">
        <is>
          <t>6.1</t>
        </is>
      </c>
      <c r="C61" s="35">
        <f>Plan!C58</f>
        <v/>
      </c>
      <c r="D61" s="8" t="n">
        <v>11</v>
      </c>
      <c r="E61" s="16">
        <f>Plan!J58</f>
        <v/>
      </c>
      <c r="F61" s="16">
        <f>Plan!K58</f>
        <v/>
      </c>
      <c r="G61" s="8">
        <f>F61-E61</f>
        <v/>
      </c>
      <c r="H61" s="16">
        <f>Plan!I58</f>
        <v/>
      </c>
      <c r="I61" s="16">
        <f>Plan!O58</f>
        <v/>
      </c>
    </row>
    <row r="62">
      <c r="A62" s="8" t="n">
        <v>58</v>
      </c>
      <c r="B62" s="18" t="inlineStr">
        <is>
          <t>5.12</t>
        </is>
      </c>
      <c r="C62" s="35">
        <f>Plan!C85</f>
        <v/>
      </c>
      <c r="D62" s="8" t="n">
        <v>9</v>
      </c>
      <c r="E62" s="16">
        <f>Plan!J85</f>
        <v/>
      </c>
      <c r="F62" s="16">
        <f>Plan!K85</f>
        <v/>
      </c>
      <c r="G62" s="8">
        <f>F62-E62</f>
        <v/>
      </c>
      <c r="H62" s="16">
        <f>Plan!I85</f>
        <v/>
      </c>
      <c r="I62" s="16">
        <f>Plan!O85</f>
        <v/>
      </c>
    </row>
    <row r="63">
      <c r="A63" s="8" t="n">
        <v>59</v>
      </c>
      <c r="B63" s="18" t="inlineStr">
        <is>
          <t>4.23</t>
        </is>
      </c>
      <c r="C63" s="35">
        <f>Plan!C118</f>
        <v/>
      </c>
      <c r="D63" s="8" t="n">
        <v>7</v>
      </c>
      <c r="E63" s="16">
        <f>Plan!J118</f>
        <v/>
      </c>
      <c r="F63" s="16">
        <f>Plan!K118</f>
        <v/>
      </c>
      <c r="G63" s="8">
        <f>F63-E63</f>
        <v/>
      </c>
      <c r="H63" s="16">
        <f>Plan!I118</f>
        <v/>
      </c>
      <c r="I63" s="16">
        <f>Plan!O118</f>
        <v/>
      </c>
    </row>
    <row r="64">
      <c r="A64" s="8" t="n">
        <v>60</v>
      </c>
      <c r="B64" s="18" t="inlineStr">
        <is>
          <t>4.19</t>
        </is>
      </c>
      <c r="C64" s="35">
        <f>Plan!C94</f>
        <v/>
      </c>
      <c r="D64" s="8" t="n">
        <v>6</v>
      </c>
      <c r="E64" s="16">
        <f>Plan!J94</f>
        <v/>
      </c>
      <c r="F64" s="16">
        <f>Plan!K94</f>
        <v/>
      </c>
      <c r="G64" s="8">
        <f>F64-E64</f>
        <v/>
      </c>
      <c r="H64" s="16">
        <f>Plan!I94</f>
        <v/>
      </c>
      <c r="I64" s="16">
        <f>Plan!O94</f>
        <v/>
      </c>
    </row>
    <row r="65">
      <c r="A65" s="8" t="n">
        <v>61</v>
      </c>
      <c r="B65" s="18" t="inlineStr">
        <is>
          <t>5.14</t>
        </is>
      </c>
      <c r="C65" s="35">
        <f>Plan!C91</f>
        <v/>
      </c>
      <c r="D65" s="8" t="n">
        <v>7</v>
      </c>
      <c r="E65" s="16">
        <f>Plan!J91</f>
        <v/>
      </c>
      <c r="F65" s="16">
        <f>Plan!K91</f>
        <v/>
      </c>
      <c r="G65" s="8">
        <f>F65-E65</f>
        <v/>
      </c>
      <c r="H65" s="16">
        <f>Plan!I91</f>
        <v/>
      </c>
      <c r="I65" s="16">
        <f>Plan!O91</f>
        <v/>
      </c>
    </row>
    <row r="66">
      <c r="A66" s="8" t="n">
        <v>62</v>
      </c>
      <c r="B66" s="18" t="inlineStr">
        <is>
          <t>5.4</t>
        </is>
      </c>
      <c r="C66" s="35">
        <f>Plan!C51</f>
        <v/>
      </c>
      <c r="D66" s="8" t="n">
        <v>9</v>
      </c>
      <c r="E66" s="16">
        <f>Plan!J51</f>
        <v/>
      </c>
      <c r="F66" s="16">
        <f>Plan!K51</f>
        <v/>
      </c>
      <c r="G66" s="8">
        <f>F66-E66</f>
        <v/>
      </c>
      <c r="H66" s="16">
        <f>Plan!I51</f>
        <v/>
      </c>
      <c r="I66" s="16">
        <f>Plan!O51</f>
        <v/>
      </c>
    </row>
    <row r="67">
      <c r="A67" s="8" t="n">
        <v>63</v>
      </c>
      <c r="B67" s="18" t="inlineStr">
        <is>
          <t>5.5</t>
        </is>
      </c>
      <c r="C67" s="35">
        <f>Plan!C52</f>
        <v/>
      </c>
      <c r="D67" s="8" t="n">
        <v>9</v>
      </c>
      <c r="E67" s="16">
        <f>Plan!J52</f>
        <v/>
      </c>
      <c r="F67" s="16">
        <f>Plan!K52</f>
        <v/>
      </c>
      <c r="G67" s="8">
        <f>F67-E67</f>
        <v/>
      </c>
      <c r="H67" s="16">
        <f>Plan!I52</f>
        <v/>
      </c>
      <c r="I67" s="16">
        <f>Plan!O52</f>
        <v/>
      </c>
    </row>
    <row r="68">
      <c r="A68" s="8" t="n">
        <v>64</v>
      </c>
      <c r="B68" s="18" t="inlineStr">
        <is>
          <t>5.9</t>
        </is>
      </c>
      <c r="C68" s="35">
        <f>Plan!C56</f>
        <v/>
      </c>
      <c r="D68" s="8" t="n">
        <v>8</v>
      </c>
      <c r="E68" s="16">
        <f>Plan!J56</f>
        <v/>
      </c>
      <c r="F68" s="16">
        <f>Plan!K56</f>
        <v/>
      </c>
      <c r="G68" s="8">
        <f>F68-E68</f>
        <v/>
      </c>
      <c r="H68" s="16">
        <f>Plan!I56</f>
        <v/>
      </c>
      <c r="I68" s="16">
        <f>Plan!O56</f>
        <v/>
      </c>
    </row>
    <row r="69">
      <c r="A69" s="8" t="n">
        <v>65</v>
      </c>
      <c r="B69" s="18" t="inlineStr">
        <is>
          <t>5.15</t>
        </is>
      </c>
      <c r="C69" s="35">
        <f>Plan!C96</f>
        <v/>
      </c>
      <c r="D69" s="8" t="n">
        <v>5</v>
      </c>
      <c r="E69" s="16">
        <f>Plan!J96</f>
        <v/>
      </c>
      <c r="F69" s="16">
        <f>Plan!K96</f>
        <v/>
      </c>
      <c r="G69" s="8">
        <f>F69-E69</f>
        <v/>
      </c>
      <c r="H69" s="16">
        <f>Plan!I96</f>
        <v/>
      </c>
      <c r="I69" s="16">
        <f>Plan!O96</f>
        <v/>
      </c>
    </row>
    <row r="70">
      <c r="A70" s="8" t="n">
        <v>66</v>
      </c>
      <c r="B70" s="18" t="inlineStr">
        <is>
          <t>6.9</t>
        </is>
      </c>
      <c r="C70" s="35">
        <f>Plan!C66</f>
        <v/>
      </c>
      <c r="D70" s="8" t="n">
        <v>6</v>
      </c>
      <c r="E70" s="16">
        <f>Plan!J66</f>
        <v/>
      </c>
      <c r="F70" s="16">
        <f>Plan!K66</f>
        <v/>
      </c>
      <c r="G70" s="8">
        <f>F70-E70</f>
        <v/>
      </c>
      <c r="H70" s="16">
        <f>Plan!I66</f>
        <v/>
      </c>
      <c r="I70" s="16">
        <f>Plan!O66</f>
        <v/>
      </c>
    </row>
    <row r="71">
      <c r="A71" s="8" t="n">
        <v>67</v>
      </c>
      <c r="B71" s="18" t="inlineStr">
        <is>
          <t>6.34</t>
        </is>
      </c>
      <c r="C71" s="35">
        <f>Plan!C111</f>
        <v/>
      </c>
      <c r="D71" s="8" t="n">
        <v>4</v>
      </c>
      <c r="E71" s="16">
        <f>Plan!J111</f>
        <v/>
      </c>
      <c r="F71" s="16">
        <f>Plan!K111</f>
        <v/>
      </c>
      <c r="G71" s="8">
        <f>F71-E71</f>
        <v/>
      </c>
      <c r="H71" s="16">
        <f>Plan!I111</f>
        <v/>
      </c>
      <c r="I71" s="16">
        <f>Plan!O111</f>
        <v/>
      </c>
    </row>
    <row r="72">
      <c r="A72" s="8" t="n">
        <v>68</v>
      </c>
      <c r="B72" s="18" t="inlineStr">
        <is>
          <t>2.11</t>
        </is>
      </c>
      <c r="C72" s="35">
        <f>Plan!C23</f>
        <v/>
      </c>
      <c r="D72" s="8" t="n">
        <v>9</v>
      </c>
      <c r="E72" s="16">
        <f>Plan!J23</f>
        <v/>
      </c>
      <c r="F72" s="16">
        <f>Plan!K23</f>
        <v/>
      </c>
      <c r="G72" s="8">
        <f>F72-E72</f>
        <v/>
      </c>
      <c r="H72" s="16">
        <f>Plan!I23</f>
        <v/>
      </c>
      <c r="I72" s="16">
        <f>Plan!O23</f>
        <v/>
      </c>
    </row>
    <row r="73">
      <c r="A73" s="8" t="n">
        <v>69</v>
      </c>
      <c r="B73" s="18" t="inlineStr">
        <is>
          <t>4.17</t>
        </is>
      </c>
      <c r="C73" s="35">
        <f>Plan!C92</f>
        <v/>
      </c>
      <c r="D73" s="8" t="n">
        <v>6</v>
      </c>
      <c r="E73" s="16">
        <f>Plan!J92</f>
        <v/>
      </c>
      <c r="F73" s="16">
        <f>Plan!K92</f>
        <v/>
      </c>
      <c r="G73" s="8">
        <f>F73-E73</f>
        <v/>
      </c>
      <c r="H73" s="16">
        <f>Plan!I92</f>
        <v/>
      </c>
      <c r="I73" s="16">
        <f>Plan!O92</f>
        <v/>
      </c>
    </row>
    <row r="74">
      <c r="A74" s="8" t="n">
        <v>70</v>
      </c>
      <c r="B74" s="18" t="inlineStr">
        <is>
          <t>4.7</t>
        </is>
      </c>
      <c r="C74" s="35">
        <f>Plan!C43</f>
        <v/>
      </c>
      <c r="D74" s="8" t="n">
        <v>5</v>
      </c>
      <c r="E74" s="16">
        <f>Plan!J43</f>
        <v/>
      </c>
      <c r="F74" s="16">
        <f>Plan!K43</f>
        <v/>
      </c>
      <c r="G74" s="8">
        <f>F74-E74</f>
        <v/>
      </c>
      <c r="H74" s="16">
        <f>Plan!I43</f>
        <v/>
      </c>
      <c r="I74" s="16">
        <f>Plan!O43</f>
        <v/>
      </c>
    </row>
    <row r="75">
      <c r="A75" s="8" t="n">
        <v>71</v>
      </c>
      <c r="B75" s="18" t="inlineStr">
        <is>
          <t>5.19</t>
        </is>
      </c>
      <c r="C75" s="35">
        <f>Plan!C106</f>
        <v/>
      </c>
      <c r="D75" s="8" t="n">
        <v>5</v>
      </c>
      <c r="E75" s="16">
        <f>Plan!J106</f>
        <v/>
      </c>
      <c r="F75" s="16">
        <f>Plan!K106</f>
        <v/>
      </c>
      <c r="G75" s="8">
        <f>F75-E75</f>
        <v/>
      </c>
      <c r="H75" s="16">
        <f>Plan!I106</f>
        <v/>
      </c>
      <c r="I75" s="16">
        <f>Plan!O106</f>
        <v/>
      </c>
    </row>
    <row r="76">
      <c r="A76" s="8" t="n">
        <v>72</v>
      </c>
      <c r="B76" s="18" t="inlineStr">
        <is>
          <t>6.8</t>
        </is>
      </c>
      <c r="C76" s="35">
        <f>Plan!C65</f>
        <v/>
      </c>
      <c r="D76" s="8" t="n">
        <v>6</v>
      </c>
      <c r="E76" s="16">
        <f>Plan!J65</f>
        <v/>
      </c>
      <c r="F76" s="16">
        <f>Plan!K65</f>
        <v/>
      </c>
      <c r="G76" s="8">
        <f>F76-E76</f>
        <v/>
      </c>
      <c r="H76" s="16">
        <f>Plan!I65</f>
        <v/>
      </c>
      <c r="I76" s="16">
        <f>Plan!O65</f>
        <v/>
      </c>
    </row>
    <row r="77">
      <c r="A77" s="8" t="n">
        <v>73</v>
      </c>
      <c r="B77" s="18" t="inlineStr">
        <is>
          <t>4.18</t>
        </is>
      </c>
      <c r="C77" s="35">
        <f>Plan!C93</f>
        <v/>
      </c>
      <c r="D77" s="8" t="n">
        <v>4</v>
      </c>
      <c r="E77" s="16">
        <f>Plan!J93</f>
        <v/>
      </c>
      <c r="F77" s="16">
        <f>Plan!K93</f>
        <v/>
      </c>
      <c r="G77" s="8">
        <f>F77-E77</f>
        <v/>
      </c>
      <c r="H77" s="16">
        <f>Plan!I93</f>
        <v/>
      </c>
      <c r="I77" s="16">
        <f>Plan!O93</f>
        <v/>
      </c>
    </row>
    <row r="78">
      <c r="A78" s="8" t="n">
        <v>74</v>
      </c>
      <c r="B78" s="18" t="inlineStr">
        <is>
          <t>2.16</t>
        </is>
      </c>
      <c r="C78" s="35">
        <f>Plan!C119</f>
        <v/>
      </c>
      <c r="D78" s="8" t="n">
        <v>6</v>
      </c>
      <c r="E78" s="16">
        <f>Plan!J119</f>
        <v/>
      </c>
      <c r="F78" s="16">
        <f>Plan!K119</f>
        <v/>
      </c>
      <c r="G78" s="8">
        <f>F78-E78</f>
        <v/>
      </c>
      <c r="H78" s="16">
        <f>Plan!I119</f>
        <v/>
      </c>
      <c r="I78" s="16">
        <f>Plan!O119</f>
        <v/>
      </c>
    </row>
    <row r="79">
      <c r="A79" s="8" t="n">
        <v>75</v>
      </c>
      <c r="B79" s="18" t="inlineStr">
        <is>
          <t>4.4</t>
        </is>
      </c>
      <c r="C79" s="35">
        <f>Plan!C40</f>
        <v/>
      </c>
      <c r="D79" s="8" t="n">
        <v>7</v>
      </c>
      <c r="E79" s="16">
        <f>Plan!J40</f>
        <v/>
      </c>
      <c r="F79" s="16">
        <f>Plan!K40</f>
        <v/>
      </c>
      <c r="G79" s="8">
        <f>F79-E79</f>
        <v/>
      </c>
      <c r="H79" s="16">
        <f>Plan!I40</f>
        <v/>
      </c>
      <c r="I79" s="16">
        <f>Plan!O40</f>
        <v/>
      </c>
    </row>
    <row r="80">
      <c r="A80" s="8" t="n">
        <v>76</v>
      </c>
      <c r="B80" s="18" t="inlineStr">
        <is>
          <t>6.3</t>
        </is>
      </c>
      <c r="C80" s="35">
        <f>Plan!C60</f>
        <v/>
      </c>
      <c r="D80" s="8" t="n">
        <v>8</v>
      </c>
      <c r="E80" s="16">
        <f>Plan!J60</f>
        <v/>
      </c>
      <c r="F80" s="16">
        <f>Plan!K60</f>
        <v/>
      </c>
      <c r="G80" s="8">
        <f>F80-E80</f>
        <v/>
      </c>
      <c r="H80" s="16">
        <f>Plan!I60</f>
        <v/>
      </c>
      <c r="I80" s="16">
        <f>Plan!O60</f>
        <v/>
      </c>
    </row>
    <row r="81">
      <c r="A81" s="8" t="n">
        <v>77</v>
      </c>
      <c r="B81" s="18" t="inlineStr">
        <is>
          <t>6.26</t>
        </is>
      </c>
      <c r="C81" s="35">
        <f>Plan!C99</f>
        <v/>
      </c>
      <c r="D81" s="8" t="n">
        <v>4</v>
      </c>
      <c r="E81" s="16">
        <f>Plan!J99</f>
        <v/>
      </c>
      <c r="F81" s="16">
        <f>Plan!K99</f>
        <v/>
      </c>
      <c r="G81" s="8">
        <f>F81-E81</f>
        <v/>
      </c>
      <c r="H81" s="16">
        <f>Plan!I99</f>
        <v/>
      </c>
      <c r="I81" s="16">
        <f>Plan!O99</f>
        <v/>
      </c>
    </row>
    <row r="82">
      <c r="A82" s="8" t="n">
        <v>78</v>
      </c>
      <c r="B82" s="18" t="inlineStr">
        <is>
          <t>6.33</t>
        </is>
      </c>
      <c r="C82" s="35">
        <f>Plan!C110</f>
        <v/>
      </c>
      <c r="D82" s="8" t="n">
        <v>6</v>
      </c>
      <c r="E82" s="16">
        <f>Plan!J110</f>
        <v/>
      </c>
      <c r="F82" s="16">
        <f>Plan!K110</f>
        <v/>
      </c>
      <c r="G82" s="8">
        <f>F82-E82</f>
        <v/>
      </c>
      <c r="H82" s="16">
        <f>Plan!I110</f>
        <v/>
      </c>
      <c r="I82" s="16">
        <f>Plan!O110</f>
        <v/>
      </c>
    </row>
    <row r="83">
      <c r="A83" s="8" t="n">
        <v>79</v>
      </c>
      <c r="B83" s="18" t="inlineStr">
        <is>
          <t>5.7</t>
        </is>
      </c>
      <c r="C83" s="35">
        <f>Plan!C54</f>
        <v/>
      </c>
      <c r="D83" s="8" t="n">
        <v>3</v>
      </c>
      <c r="E83" s="16">
        <f>Plan!J54</f>
        <v/>
      </c>
      <c r="F83" s="16">
        <f>Plan!K54</f>
        <v/>
      </c>
      <c r="G83" s="8">
        <f>F83-E83</f>
        <v/>
      </c>
      <c r="H83" s="16">
        <f>Plan!I54</f>
        <v/>
      </c>
      <c r="I83" s="16">
        <f>Plan!O54</f>
        <v/>
      </c>
    </row>
    <row r="84">
      <c r="A84" s="8" t="n">
        <v>80</v>
      </c>
      <c r="B84" s="18" t="inlineStr">
        <is>
          <t>6.32</t>
        </is>
      </c>
      <c r="C84" s="35">
        <f>Plan!C109</f>
        <v/>
      </c>
      <c r="D84" s="8" t="n">
        <v>5</v>
      </c>
      <c r="E84" s="16">
        <f>Plan!J109</f>
        <v/>
      </c>
      <c r="F84" s="16">
        <f>Plan!K109</f>
        <v/>
      </c>
      <c r="G84" s="8">
        <f>F84-E84</f>
        <v/>
      </c>
      <c r="H84" s="16">
        <f>Plan!I109</f>
        <v/>
      </c>
      <c r="I84" s="16">
        <f>Plan!O109</f>
        <v/>
      </c>
    </row>
    <row r="85">
      <c r="A85" s="8" t="n">
        <v>81</v>
      </c>
      <c r="B85" s="18" t="inlineStr">
        <is>
          <t>5.16</t>
        </is>
      </c>
      <c r="C85" s="35">
        <f>Plan!C97</f>
        <v/>
      </c>
      <c r="D85" s="8" t="n">
        <v>2</v>
      </c>
      <c r="E85" s="16">
        <f>Plan!J97</f>
        <v/>
      </c>
      <c r="F85" s="16">
        <f>Plan!K97</f>
        <v/>
      </c>
      <c r="G85" s="8">
        <f>F85-E85</f>
        <v/>
      </c>
      <c r="H85" s="16">
        <f>Plan!I97</f>
        <v/>
      </c>
      <c r="I85" s="16">
        <f>Plan!O97</f>
        <v/>
      </c>
    </row>
    <row r="86">
      <c r="A86" s="8" t="n">
        <v>82</v>
      </c>
      <c r="B86" s="18" t="inlineStr">
        <is>
          <t>6.2</t>
        </is>
      </c>
      <c r="C86" s="35">
        <f>Plan!C59</f>
        <v/>
      </c>
      <c r="D86" s="8" t="n">
        <v>7</v>
      </c>
      <c r="E86" s="16">
        <f>Plan!J59</f>
        <v/>
      </c>
      <c r="F86" s="16">
        <f>Plan!K59</f>
        <v/>
      </c>
      <c r="G86" s="8">
        <f>F86-E86</f>
        <v/>
      </c>
      <c r="H86" s="16">
        <f>Plan!I59</f>
        <v/>
      </c>
      <c r="I86" s="16">
        <f>Plan!O59</f>
        <v/>
      </c>
    </row>
    <row r="87">
      <c r="A87" s="8" t="n">
        <v>83</v>
      </c>
      <c r="B87" s="18" t="inlineStr">
        <is>
          <t>6.15</t>
        </is>
      </c>
      <c r="C87" s="35">
        <f>Plan!C72</f>
        <v/>
      </c>
      <c r="D87" s="8" t="n">
        <v>1</v>
      </c>
      <c r="E87" s="16">
        <f>Plan!J72</f>
        <v/>
      </c>
      <c r="F87" s="16">
        <f>Plan!K72</f>
        <v/>
      </c>
      <c r="G87" s="8">
        <f>F87-E87</f>
        <v/>
      </c>
      <c r="H87" s="16">
        <f>Plan!I72</f>
        <v/>
      </c>
      <c r="I87" s="16">
        <f>Plan!O72</f>
        <v/>
      </c>
    </row>
    <row r="88">
      <c r="A88" s="8" t="n">
        <v>84</v>
      </c>
      <c r="B88" s="18" t="inlineStr">
        <is>
          <t>4.25</t>
        </is>
      </c>
      <c r="C88" s="35">
        <f>Plan!C121</f>
        <v/>
      </c>
      <c r="D88" s="8" t="n">
        <v>5</v>
      </c>
      <c r="E88" s="16">
        <f>Plan!J121</f>
        <v/>
      </c>
      <c r="F88" s="16">
        <f>Plan!K121</f>
        <v/>
      </c>
      <c r="G88" s="8">
        <f>F88-E88</f>
        <v/>
      </c>
      <c r="H88" s="16">
        <f>Plan!I121</f>
        <v/>
      </c>
      <c r="I88" s="16">
        <f>Plan!O121</f>
        <v/>
      </c>
    </row>
    <row r="89">
      <c r="A89" s="8" t="n">
        <v>85</v>
      </c>
      <c r="B89" s="18" t="inlineStr">
        <is>
          <t>5.8</t>
        </is>
      </c>
      <c r="C89" s="35">
        <f>Plan!C55</f>
        <v/>
      </c>
      <c r="D89" s="8" t="n">
        <v>1</v>
      </c>
      <c r="E89" s="16">
        <f>Plan!J55</f>
        <v/>
      </c>
      <c r="F89" s="16">
        <f>Plan!K55</f>
        <v/>
      </c>
      <c r="G89" s="8">
        <f>F89-E89</f>
        <v/>
      </c>
      <c r="H89" s="16">
        <f>Plan!I55</f>
        <v/>
      </c>
      <c r="I89" s="16">
        <f>Plan!O55</f>
        <v/>
      </c>
    </row>
    <row r="90">
      <c r="A90" s="8" t="n">
        <v>86</v>
      </c>
      <c r="B90" s="18" t="inlineStr">
        <is>
          <t>4.15</t>
        </is>
      </c>
      <c r="C90" s="35">
        <f>Plan!C81</f>
        <v/>
      </c>
      <c r="D90" s="8" t="n">
        <v>4</v>
      </c>
      <c r="E90" s="16">
        <f>Plan!J81</f>
        <v/>
      </c>
      <c r="F90" s="16">
        <f>Plan!K81</f>
        <v/>
      </c>
      <c r="G90" s="8">
        <f>F90-E90</f>
        <v/>
      </c>
      <c r="H90" s="16">
        <f>Plan!I81</f>
        <v/>
      </c>
      <c r="I90" s="16">
        <f>Plan!O81</f>
        <v/>
      </c>
    </row>
    <row r="91">
      <c r="A91" s="8" t="n">
        <v>87</v>
      </c>
      <c r="B91" s="18" t="inlineStr">
        <is>
          <t>6.12</t>
        </is>
      </c>
      <c r="C91" s="35">
        <f>Plan!C69</f>
        <v/>
      </c>
      <c r="D91" s="8" t="n">
        <v>1</v>
      </c>
      <c r="E91" s="16">
        <f>Plan!J69</f>
        <v/>
      </c>
      <c r="F91" s="16">
        <f>Plan!K69</f>
        <v/>
      </c>
      <c r="G91" s="8">
        <f>F91-E91</f>
        <v/>
      </c>
      <c r="H91" s="16">
        <f>Plan!I69</f>
        <v/>
      </c>
      <c r="I91" s="16">
        <f>Plan!O69</f>
        <v/>
      </c>
    </row>
    <row r="92">
      <c r="A92" s="8" t="n">
        <v>88</v>
      </c>
      <c r="B92" s="18" t="inlineStr">
        <is>
          <t>6.10</t>
        </is>
      </c>
      <c r="C92" s="35">
        <f>Plan!C67</f>
        <v/>
      </c>
      <c r="D92" s="8" t="n">
        <v>6</v>
      </c>
      <c r="E92" s="16">
        <f>Plan!J67</f>
        <v/>
      </c>
      <c r="F92" s="16">
        <f>Plan!K67</f>
        <v/>
      </c>
      <c r="G92" s="8">
        <f>F92-E92</f>
        <v/>
      </c>
      <c r="H92" s="16">
        <f>Plan!I67</f>
        <v/>
      </c>
      <c r="I92" s="16">
        <f>Plan!O67</f>
        <v/>
      </c>
    </row>
    <row r="93">
      <c r="A93" s="8" t="n">
        <v>89</v>
      </c>
      <c r="B93" s="18" t="inlineStr">
        <is>
          <t>6.25</t>
        </is>
      </c>
      <c r="C93" s="35">
        <f>Plan!C89</f>
        <v/>
      </c>
      <c r="D93" s="8" t="n">
        <v>3</v>
      </c>
      <c r="E93" s="16">
        <f>Plan!J89</f>
        <v/>
      </c>
      <c r="F93" s="16">
        <f>Plan!K89</f>
        <v/>
      </c>
      <c r="G93" s="8">
        <f>F93-E93</f>
        <v/>
      </c>
      <c r="H93" s="16">
        <f>Plan!I89</f>
        <v/>
      </c>
      <c r="I93" s="16">
        <f>Plan!O89</f>
        <v/>
      </c>
    </row>
    <row r="94">
      <c r="A94" s="8" t="n">
        <v>90</v>
      </c>
      <c r="B94" s="18" t="inlineStr">
        <is>
          <t>6.27</t>
        </is>
      </c>
      <c r="C94" s="35">
        <f>Plan!C100</f>
        <v/>
      </c>
      <c r="D94" s="8" t="n">
        <v>2</v>
      </c>
      <c r="E94" s="16">
        <f>Plan!J100</f>
        <v/>
      </c>
      <c r="F94" s="16">
        <f>Plan!K100</f>
        <v/>
      </c>
      <c r="G94" s="8">
        <f>F94-E94</f>
        <v/>
      </c>
      <c r="H94" s="16">
        <f>Plan!I100</f>
        <v/>
      </c>
      <c r="I94" s="16">
        <f>Plan!O100</f>
        <v/>
      </c>
    </row>
    <row r="95">
      <c r="A95" s="8" t="n">
        <v>91</v>
      </c>
      <c r="B95" s="18" t="inlineStr">
        <is>
          <t>6.21</t>
        </is>
      </c>
      <c r="C95" s="35">
        <f>Plan!C82</f>
        <v/>
      </c>
      <c r="D95" s="8" t="n">
        <v>2</v>
      </c>
      <c r="E95" s="16">
        <f>Plan!J82</f>
        <v/>
      </c>
      <c r="F95" s="16">
        <f>Plan!K82</f>
        <v/>
      </c>
      <c r="G95" s="8">
        <f>F95-E95</f>
        <v/>
      </c>
      <c r="H95" s="16">
        <f>Plan!I82</f>
        <v/>
      </c>
      <c r="I95" s="16">
        <f>Plan!O82</f>
        <v/>
      </c>
    </row>
    <row r="96">
      <c r="A96" s="8" t="n">
        <v>92</v>
      </c>
      <c r="B96" s="18" t="inlineStr">
        <is>
          <t>5.13</t>
        </is>
      </c>
      <c r="C96" s="35">
        <f>Plan!C86</f>
        <v/>
      </c>
      <c r="D96" s="8" t="n">
        <v>1</v>
      </c>
      <c r="E96" s="16">
        <f>Plan!J86</f>
        <v/>
      </c>
      <c r="F96" s="16">
        <f>Plan!K86</f>
        <v/>
      </c>
      <c r="G96" s="8">
        <f>F96-E96</f>
        <v/>
      </c>
      <c r="H96" s="16">
        <f>Plan!I86</f>
        <v/>
      </c>
      <c r="I96" s="16">
        <f>Plan!O86</f>
        <v/>
      </c>
    </row>
    <row r="97">
      <c r="A97" s="8" t="n">
        <v>93</v>
      </c>
      <c r="B97" s="18" t="inlineStr">
        <is>
          <t>5.17</t>
        </is>
      </c>
      <c r="C97" s="35">
        <f>Plan!C98</f>
        <v/>
      </c>
      <c r="D97" s="8" t="n">
        <v>3</v>
      </c>
      <c r="E97" s="16">
        <f>Plan!J98</f>
        <v/>
      </c>
      <c r="F97" s="16">
        <f>Plan!K98</f>
        <v/>
      </c>
      <c r="G97" s="8">
        <f>F97-E97</f>
        <v/>
      </c>
      <c r="H97" s="16">
        <f>Plan!I98</f>
        <v/>
      </c>
      <c r="I97" s="16">
        <f>Plan!O98</f>
        <v/>
      </c>
    </row>
    <row r="98">
      <c r="A98" s="8" t="n">
        <v>94</v>
      </c>
      <c r="B98" s="18" t="inlineStr">
        <is>
          <t>6.5</t>
        </is>
      </c>
      <c r="C98" s="35">
        <f>Plan!C62</f>
        <v/>
      </c>
      <c r="D98" s="8" t="n">
        <v>5</v>
      </c>
      <c r="E98" s="16">
        <f>Plan!J62</f>
        <v/>
      </c>
      <c r="F98" s="16">
        <f>Plan!K62</f>
        <v/>
      </c>
      <c r="G98" s="8">
        <f>F98-E98</f>
        <v/>
      </c>
      <c r="H98" s="16">
        <f>Plan!I62</f>
        <v/>
      </c>
      <c r="I98" s="16">
        <f>Plan!O62</f>
        <v/>
      </c>
    </row>
    <row r="99">
      <c r="A99" s="8" t="n">
        <v>95</v>
      </c>
      <c r="B99" s="18" t="inlineStr">
        <is>
          <t>4.16</t>
        </is>
      </c>
      <c r="C99" s="35">
        <f>Plan!C90</f>
        <v/>
      </c>
      <c r="D99" s="8" t="n">
        <v>3</v>
      </c>
      <c r="E99" s="16">
        <f>Plan!J90</f>
        <v/>
      </c>
      <c r="F99" s="16">
        <f>Plan!K90</f>
        <v/>
      </c>
      <c r="G99" s="8">
        <f>F99-E99</f>
        <v/>
      </c>
      <c r="H99" s="16">
        <f>Plan!I90</f>
        <v/>
      </c>
      <c r="I99" s="16">
        <f>Plan!O90</f>
        <v/>
      </c>
    </row>
    <row r="100">
      <c r="A100" s="8" t="n">
        <v>96</v>
      </c>
      <c r="B100" s="18" t="inlineStr">
        <is>
          <t>6.30</t>
        </is>
      </c>
      <c r="C100" s="35">
        <f>Plan!C107</f>
        <v/>
      </c>
      <c r="D100" s="8" t="n">
        <v>1</v>
      </c>
      <c r="E100" s="16">
        <f>Plan!J107</f>
        <v/>
      </c>
      <c r="F100" s="16">
        <f>Plan!K107</f>
        <v/>
      </c>
      <c r="G100" s="8">
        <f>F100-E100</f>
        <v/>
      </c>
      <c r="H100" s="16">
        <f>Plan!I107</f>
        <v/>
      </c>
      <c r="I100" s="16">
        <f>Plan!O107</f>
        <v/>
      </c>
    </row>
    <row r="101">
      <c r="A101" s="8" t="n">
        <v>97</v>
      </c>
      <c r="B101" s="18" t="inlineStr">
        <is>
          <t>5.11</t>
        </is>
      </c>
      <c r="C101" s="35">
        <f>Plan!C84</f>
        <v/>
      </c>
      <c r="D101" s="8" t="n">
        <v>2</v>
      </c>
      <c r="E101" s="16">
        <f>Plan!J84</f>
        <v/>
      </c>
      <c r="F101" s="16">
        <f>Plan!K84</f>
        <v/>
      </c>
      <c r="G101" s="8">
        <f>F101-E101</f>
        <v/>
      </c>
      <c r="H101" s="16">
        <f>Plan!I84</f>
        <v/>
      </c>
      <c r="I101" s="16">
        <f>Plan!O84</f>
        <v/>
      </c>
    </row>
    <row r="102">
      <c r="A102" s="8" t="n">
        <v>98</v>
      </c>
      <c r="B102" s="18" t="inlineStr">
        <is>
          <t>6.23</t>
        </is>
      </c>
      <c r="C102" s="35">
        <f>Plan!C87</f>
        <v/>
      </c>
      <c r="D102" s="8" t="n">
        <v>1</v>
      </c>
      <c r="E102" s="16">
        <f>Plan!J87</f>
        <v/>
      </c>
      <c r="F102" s="16">
        <f>Plan!K87</f>
        <v/>
      </c>
      <c r="G102" s="8">
        <f>F102-E102</f>
        <v/>
      </c>
      <c r="H102" s="16">
        <f>Plan!I87</f>
        <v/>
      </c>
      <c r="I102" s="16">
        <f>Plan!O87</f>
        <v/>
      </c>
    </row>
    <row r="103">
      <c r="A103" s="8" t="n">
        <v>99</v>
      </c>
      <c r="B103" s="18" t="inlineStr">
        <is>
          <t>4.8</t>
        </is>
      </c>
      <c r="C103" s="35">
        <f>Plan!C44</f>
        <v/>
      </c>
      <c r="D103" s="8" t="n">
        <v>4</v>
      </c>
      <c r="E103" s="16">
        <f>Plan!J44</f>
        <v/>
      </c>
      <c r="F103" s="16">
        <f>Plan!K44</f>
        <v/>
      </c>
      <c r="G103" s="8">
        <f>F103-E103</f>
        <v/>
      </c>
      <c r="H103" s="16">
        <f>Plan!I44</f>
        <v/>
      </c>
      <c r="I103" s="16">
        <f>Plan!O44</f>
        <v/>
      </c>
    </row>
    <row r="104">
      <c r="A104" s="8" t="n">
        <v>100</v>
      </c>
      <c r="B104" s="18" t="inlineStr">
        <is>
          <t>5.18</t>
        </is>
      </c>
      <c r="C104" s="35">
        <f>Plan!C105</f>
        <v/>
      </c>
      <c r="D104" s="8" t="n">
        <v>1</v>
      </c>
      <c r="E104" s="16">
        <f>Plan!J105</f>
        <v/>
      </c>
      <c r="F104" s="16">
        <f>Plan!K105</f>
        <v/>
      </c>
      <c r="G104" s="8">
        <f>F104-E104</f>
        <v/>
      </c>
      <c r="H104" s="16">
        <f>Plan!I105</f>
        <v/>
      </c>
      <c r="I104" s="16">
        <f>Plan!O105</f>
        <v/>
      </c>
    </row>
    <row r="105">
      <c r="A105" s="8" t="n">
        <v>101</v>
      </c>
      <c r="B105" s="18" t="inlineStr">
        <is>
          <t>6.28</t>
        </is>
      </c>
      <c r="C105" s="35">
        <f>Plan!C101</f>
        <v/>
      </c>
      <c r="D105" s="8" t="n">
        <v>2</v>
      </c>
      <c r="E105" s="16">
        <f>Plan!J101</f>
        <v/>
      </c>
      <c r="F105" s="16">
        <f>Plan!K101</f>
        <v/>
      </c>
      <c r="G105" s="8">
        <f>F105-E105</f>
        <v/>
      </c>
      <c r="H105" s="16">
        <f>Plan!I101</f>
        <v/>
      </c>
      <c r="I105" s="16">
        <f>Plan!O101</f>
        <v/>
      </c>
    </row>
    <row r="106">
      <c r="A106" s="8" t="n">
        <v>102</v>
      </c>
      <c r="B106" s="18" t="inlineStr">
        <is>
          <t>6.35</t>
        </is>
      </c>
      <c r="C106" s="35">
        <f>Plan!C112</f>
        <v/>
      </c>
      <c r="D106" s="8" t="n">
        <v>1</v>
      </c>
      <c r="E106" s="16">
        <f>Plan!J112</f>
        <v/>
      </c>
      <c r="F106" s="16">
        <f>Plan!K112</f>
        <v/>
      </c>
      <c r="G106" s="8">
        <f>F106-E106</f>
        <v/>
      </c>
      <c r="H106" s="16">
        <f>Plan!I112</f>
        <v/>
      </c>
      <c r="I106" s="16">
        <f>Plan!O112</f>
        <v/>
      </c>
    </row>
    <row r="107">
      <c r="A107" s="8" t="n">
        <v>103</v>
      </c>
      <c r="B107" s="18" t="inlineStr">
        <is>
          <t>2.13</t>
        </is>
      </c>
      <c r="C107" s="35">
        <f>Plan!C25</f>
        <v/>
      </c>
      <c r="D107" s="8" t="n">
        <v>1</v>
      </c>
      <c r="E107" s="16">
        <f>Plan!J25</f>
        <v/>
      </c>
      <c r="F107" s="16">
        <f>Plan!K25</f>
        <v/>
      </c>
      <c r="G107" s="8">
        <f>F107-E107</f>
        <v/>
      </c>
      <c r="H107" s="16">
        <f>Plan!I25</f>
        <v/>
      </c>
      <c r="I107" s="16">
        <f>Plan!O25</f>
        <v/>
      </c>
    </row>
    <row r="108">
      <c r="A108" s="8" t="n">
        <v>104</v>
      </c>
      <c r="B108" s="18" t="inlineStr">
        <is>
          <t>6.24</t>
        </is>
      </c>
      <c r="C108" s="35">
        <f>Plan!C88</f>
        <v/>
      </c>
      <c r="D108" s="8" t="n">
        <v>1</v>
      </c>
      <c r="E108" s="16">
        <f>Plan!J88</f>
        <v/>
      </c>
      <c r="F108" s="16">
        <f>Plan!K88</f>
        <v/>
      </c>
      <c r="G108" s="8">
        <f>F108-E108</f>
        <v/>
      </c>
      <c r="H108" s="16">
        <f>Plan!I88</f>
        <v/>
      </c>
      <c r="I108" s="16">
        <f>Plan!O88</f>
        <v/>
      </c>
    </row>
    <row r="109">
      <c r="A109" s="8" t="n">
        <v>105</v>
      </c>
      <c r="B109" s="18" t="inlineStr">
        <is>
          <t>6.36</t>
        </is>
      </c>
      <c r="C109" s="35">
        <f>Plan!C113</f>
        <v/>
      </c>
      <c r="D109" s="8" t="n">
        <v>4</v>
      </c>
      <c r="E109" s="16">
        <f>Plan!J113</f>
        <v/>
      </c>
      <c r="F109" s="16">
        <f>Plan!K113</f>
        <v/>
      </c>
      <c r="G109" s="8">
        <f>F109-E109</f>
        <v/>
      </c>
      <c r="H109" s="16">
        <f>Plan!I113</f>
        <v/>
      </c>
      <c r="I109" s="16">
        <f>Plan!O113</f>
        <v/>
      </c>
    </row>
    <row r="110">
      <c r="A110" s="8" t="n">
        <v>106</v>
      </c>
      <c r="B110" s="18" t="inlineStr">
        <is>
          <t>6.39</t>
        </is>
      </c>
      <c r="C110" s="35">
        <f>Plan!C116</f>
        <v/>
      </c>
      <c r="D110" s="8" t="n">
        <v>3</v>
      </c>
      <c r="E110" s="16">
        <f>Plan!J116</f>
        <v/>
      </c>
      <c r="F110" s="16">
        <f>Plan!K116</f>
        <v/>
      </c>
      <c r="G110" s="8">
        <f>F110-E110</f>
        <v/>
      </c>
      <c r="H110" s="16">
        <f>Plan!I116</f>
        <v/>
      </c>
      <c r="I110" s="16">
        <f>Plan!O116</f>
        <v/>
      </c>
    </row>
    <row r="111">
      <c r="A111" s="8" t="n">
        <v>107</v>
      </c>
      <c r="B111" s="18" t="inlineStr">
        <is>
          <t>6.40</t>
        </is>
      </c>
      <c r="C111" s="35">
        <f>Plan!C117</f>
        <v/>
      </c>
      <c r="D111" s="8" t="n">
        <v>2</v>
      </c>
      <c r="E111" s="16">
        <f>Plan!J117</f>
        <v/>
      </c>
      <c r="F111" s="16">
        <f>Plan!K117</f>
        <v/>
      </c>
      <c r="G111" s="8">
        <f>F111-E111</f>
        <v/>
      </c>
      <c r="H111" s="16">
        <f>Plan!I117</f>
        <v/>
      </c>
      <c r="I111" s="16">
        <f>Plan!O117</f>
        <v/>
      </c>
    </row>
    <row r="112">
      <c r="A112" s="8" t="n">
        <v>108</v>
      </c>
      <c r="B112" s="18" t="inlineStr">
        <is>
          <t>4.21</t>
        </is>
      </c>
      <c r="C112" s="35">
        <f>Plan!C103</f>
        <v/>
      </c>
      <c r="D112" s="8" t="n">
        <v>3</v>
      </c>
      <c r="E112" s="16">
        <f>Plan!J103</f>
        <v/>
      </c>
      <c r="F112" s="16">
        <f>Plan!K103</f>
        <v/>
      </c>
      <c r="G112" s="8">
        <f>F112-E112</f>
        <v/>
      </c>
      <c r="H112" s="16">
        <f>Plan!I103</f>
        <v/>
      </c>
      <c r="I112" s="16">
        <f>Plan!O103</f>
        <v/>
      </c>
    </row>
    <row r="113">
      <c r="A113" s="8" t="n">
        <v>109</v>
      </c>
      <c r="B113" s="18" t="inlineStr">
        <is>
          <t>5.10</t>
        </is>
      </c>
      <c r="C113" s="35">
        <f>Plan!C57</f>
        <v/>
      </c>
      <c r="D113" s="8" t="n">
        <v>2</v>
      </c>
      <c r="E113" s="16">
        <f>Plan!J57</f>
        <v/>
      </c>
      <c r="F113" s="16">
        <f>Plan!K57</f>
        <v/>
      </c>
      <c r="G113" s="8">
        <f>F113-E113</f>
        <v/>
      </c>
      <c r="H113" s="16">
        <f>Plan!I57</f>
        <v/>
      </c>
      <c r="I113" s="16">
        <f>Plan!O57</f>
        <v/>
      </c>
    </row>
    <row r="114">
      <c r="A114" s="8" t="n">
        <v>110</v>
      </c>
      <c r="B114" s="18" t="inlineStr">
        <is>
          <t>4.22</t>
        </is>
      </c>
      <c r="C114" s="35">
        <f>Plan!C104</f>
        <v/>
      </c>
      <c r="D114" s="8" t="n">
        <v>1</v>
      </c>
      <c r="E114" s="16">
        <f>Plan!J104</f>
        <v/>
      </c>
      <c r="F114" s="16">
        <f>Plan!K104</f>
        <v/>
      </c>
      <c r="G114" s="8">
        <f>F114-E114</f>
        <v/>
      </c>
      <c r="H114" s="16">
        <f>Plan!I104</f>
        <v/>
      </c>
      <c r="I114" s="16">
        <f>Plan!O104</f>
        <v/>
      </c>
    </row>
    <row r="115">
      <c r="A115" s="8" t="n">
        <v>111</v>
      </c>
      <c r="B115" s="18" t="inlineStr">
        <is>
          <t>3.2</t>
        </is>
      </c>
      <c r="C115" s="35">
        <f>Plan!C29</f>
        <v/>
      </c>
      <c r="D115" s="8" t="n">
        <v>3</v>
      </c>
      <c r="E115" s="16">
        <f>Plan!J29</f>
        <v/>
      </c>
      <c r="F115" s="16">
        <f>Plan!K29</f>
        <v/>
      </c>
      <c r="G115" s="8">
        <f>F115-E115</f>
        <v/>
      </c>
      <c r="H115" s="16">
        <f>Plan!I29</f>
        <v/>
      </c>
      <c r="I115" s="16">
        <f>Plan!O29</f>
        <v/>
      </c>
    </row>
    <row r="116">
      <c r="A116" s="8" t="n">
        <v>112</v>
      </c>
      <c r="B116" s="18" t="inlineStr">
        <is>
          <t>6.37</t>
        </is>
      </c>
      <c r="C116" s="35">
        <f>Plan!C114</f>
        <v/>
      </c>
      <c r="D116" s="8" t="n">
        <v>1</v>
      </c>
      <c r="E116" s="16">
        <f>Plan!J114</f>
        <v/>
      </c>
      <c r="F116" s="16">
        <f>Plan!K114</f>
        <v/>
      </c>
      <c r="G116" s="8">
        <f>F116-E116</f>
        <v/>
      </c>
      <c r="H116" s="16">
        <f>Plan!I114</f>
        <v/>
      </c>
      <c r="I116" s="16">
        <f>Plan!O114</f>
        <v/>
      </c>
    </row>
    <row r="117">
      <c r="A117" s="8" t="n">
        <v>113</v>
      </c>
      <c r="B117" s="18" t="inlineStr">
        <is>
          <t>4.9</t>
        </is>
      </c>
      <c r="C117" s="35">
        <f>Plan!C45</f>
        <v/>
      </c>
      <c r="D117" s="8" t="n">
        <v>2</v>
      </c>
      <c r="E117" s="16">
        <f>Plan!J45</f>
        <v/>
      </c>
      <c r="F117" s="16">
        <f>Plan!K45</f>
        <v/>
      </c>
      <c r="G117" s="8">
        <f>F117-E117</f>
        <v/>
      </c>
      <c r="H117" s="16">
        <f>Plan!I45</f>
        <v/>
      </c>
      <c r="I117" s="16">
        <f>Plan!O45</f>
        <v/>
      </c>
    </row>
    <row r="118">
      <c r="A118" s="8" t="n">
        <v>114</v>
      </c>
      <c r="B118" s="18" t="inlineStr">
        <is>
          <t>6.29</t>
        </is>
      </c>
      <c r="C118" s="35">
        <f>Plan!C102</f>
        <v/>
      </c>
      <c r="D118" s="8" t="n">
        <v>1</v>
      </c>
      <c r="E118" s="16">
        <f>Plan!J102</f>
        <v/>
      </c>
      <c r="F118" s="16">
        <f>Plan!K102</f>
        <v/>
      </c>
      <c r="G118" s="8">
        <f>F118-E118</f>
        <v/>
      </c>
      <c r="H118" s="16">
        <f>Plan!I102</f>
        <v/>
      </c>
      <c r="I118" s="16">
        <f>Plan!O102</f>
        <v/>
      </c>
    </row>
    <row r="119">
      <c r="A119" s="8" t="n">
        <v>115</v>
      </c>
      <c r="B119" s="18" t="inlineStr">
        <is>
          <t>6.41</t>
        </is>
      </c>
      <c r="C119" s="35">
        <f>Plan!C126</f>
        <v/>
      </c>
      <c r="D119" s="8" t="n">
        <v>2</v>
      </c>
      <c r="E119" s="16">
        <f>Plan!J126</f>
        <v/>
      </c>
      <c r="F119" s="16">
        <f>Plan!K126</f>
        <v/>
      </c>
      <c r="G119" s="8">
        <f>F119-E119</f>
        <v/>
      </c>
      <c r="H119" s="16">
        <f>Plan!I126</f>
        <v/>
      </c>
      <c r="I119" s="16">
        <f>Plan!O126</f>
        <v/>
      </c>
    </row>
    <row r="120">
      <c r="A120" s="8" t="n">
        <v>116</v>
      </c>
      <c r="B120" s="18" t="inlineStr">
        <is>
          <t>6.38</t>
        </is>
      </c>
      <c r="C120" s="35">
        <f>Plan!C115</f>
        <v/>
      </c>
      <c r="D120" s="8" t="n">
        <v>1</v>
      </c>
      <c r="E120" s="16">
        <f>Plan!J115</f>
        <v/>
      </c>
      <c r="F120" s="16">
        <f>Plan!K115</f>
        <v/>
      </c>
      <c r="G120" s="8">
        <f>F120-E120</f>
        <v/>
      </c>
      <c r="H120" s="16">
        <f>Plan!I115</f>
        <v/>
      </c>
      <c r="I120" s="16">
        <f>Plan!O115</f>
        <v/>
      </c>
    </row>
    <row r="121">
      <c r="A121" s="8" t="n">
        <v>117</v>
      </c>
      <c r="B121" s="18" t="inlineStr">
        <is>
          <t>6.43</t>
        </is>
      </c>
      <c r="C121" s="35">
        <f>Plan!C127</f>
        <v/>
      </c>
      <c r="D121" s="8" t="n">
        <v>1</v>
      </c>
      <c r="E121" s="16">
        <f>Plan!J127</f>
        <v/>
      </c>
      <c r="F121" s="16">
        <f>Plan!K127</f>
        <v/>
      </c>
      <c r="G121" s="8">
        <f>F121-E121</f>
        <v/>
      </c>
      <c r="H121" s="16">
        <f>Plan!I127</f>
        <v/>
      </c>
      <c r="I121" s="16">
        <f>Plan!O127</f>
        <v/>
      </c>
    </row>
    <row r="122">
      <c r="A122" s="8" t="n">
        <v>118</v>
      </c>
      <c r="B122" s="18" t="inlineStr">
        <is>
          <t>4.26</t>
        </is>
      </c>
      <c r="C122" s="35">
        <f>Plan!C122</f>
        <v/>
      </c>
      <c r="D122" s="8" t="n">
        <v>4</v>
      </c>
      <c r="E122" s="16">
        <f>Plan!J122</f>
        <v/>
      </c>
      <c r="F122" s="16">
        <f>Plan!K122</f>
        <v/>
      </c>
      <c r="G122" s="8">
        <f>F122-E122</f>
        <v/>
      </c>
      <c r="H122" s="16">
        <f>Plan!I122</f>
        <v/>
      </c>
      <c r="I122" s="16">
        <f>Plan!O122</f>
        <v/>
      </c>
    </row>
    <row r="123">
      <c r="A123" s="8" t="n">
        <v>119</v>
      </c>
      <c r="B123" s="18" t="inlineStr">
        <is>
          <t>6.7</t>
        </is>
      </c>
      <c r="C123" s="35">
        <f>Plan!C64</f>
        <v/>
      </c>
      <c r="D123" s="8" t="n">
        <v>1</v>
      </c>
      <c r="E123" s="16">
        <f>Plan!J64</f>
        <v/>
      </c>
      <c r="F123" s="16">
        <f>Plan!K64</f>
        <v/>
      </c>
      <c r="G123" s="8">
        <f>F123-E123</f>
        <v/>
      </c>
      <c r="H123" s="16">
        <f>Plan!I64</f>
        <v/>
      </c>
      <c r="I123" s="16">
        <f>Plan!O64</f>
        <v/>
      </c>
    </row>
    <row r="124">
      <c r="A124" s="8" t="n">
        <v>120</v>
      </c>
      <c r="B124" s="18" t="inlineStr">
        <is>
          <t>6.6</t>
        </is>
      </c>
      <c r="C124" s="35">
        <f>Plan!C63</f>
        <v/>
      </c>
      <c r="D124" s="8" t="n">
        <v>3</v>
      </c>
      <c r="E124" s="16">
        <f>Plan!J63</f>
        <v/>
      </c>
      <c r="F124" s="16">
        <f>Plan!K63</f>
        <v/>
      </c>
      <c r="G124" s="8">
        <f>F124-E124</f>
        <v/>
      </c>
      <c r="H124" s="16">
        <f>Plan!I63</f>
        <v/>
      </c>
      <c r="I124" s="16">
        <f>Plan!O63</f>
        <v/>
      </c>
    </row>
    <row r="125">
      <c r="A125" s="8" t="n">
        <v>121</v>
      </c>
      <c r="B125" s="18" t="inlineStr">
        <is>
          <t>6.14</t>
        </is>
      </c>
      <c r="C125" s="35">
        <f>Plan!C71</f>
        <v/>
      </c>
      <c r="D125" s="8" t="n">
        <v>1</v>
      </c>
      <c r="E125" s="16">
        <f>Plan!J71</f>
        <v/>
      </c>
      <c r="F125" s="16">
        <f>Plan!K71</f>
        <v/>
      </c>
      <c r="G125" s="8">
        <f>F125-E125</f>
        <v/>
      </c>
      <c r="H125" s="16">
        <f>Plan!I71</f>
        <v/>
      </c>
      <c r="I125" s="16">
        <f>Plan!O71</f>
        <v/>
      </c>
    </row>
    <row r="126">
      <c r="A126" s="8" t="n">
        <v>122</v>
      </c>
      <c r="B126" s="18" t="inlineStr">
        <is>
          <t>4.27</t>
        </is>
      </c>
      <c r="C126" s="35">
        <f>Plan!C123</f>
        <v/>
      </c>
      <c r="D126" s="8" t="n">
        <v>5</v>
      </c>
      <c r="E126" s="16">
        <f>Plan!J123</f>
        <v/>
      </c>
      <c r="F126" s="16">
        <f>Plan!K123</f>
        <v/>
      </c>
      <c r="G126" s="8">
        <f>F126-E126</f>
        <v/>
      </c>
      <c r="H126" s="16">
        <f>Plan!I123</f>
        <v/>
      </c>
      <c r="I126" s="16">
        <f>Plan!O123</f>
        <v/>
      </c>
    </row>
    <row r="127">
      <c r="A127" s="8" t="n">
        <v>123</v>
      </c>
      <c r="B127" s="18" t="inlineStr">
        <is>
          <t>6.44</t>
        </is>
      </c>
      <c r="C127" s="35">
        <f>Plan!C128</f>
        <v/>
      </c>
      <c r="D127" s="8" t="n">
        <v>1</v>
      </c>
      <c r="E127" s="16">
        <f>Plan!J128</f>
        <v/>
      </c>
      <c r="F127" s="16">
        <f>Plan!K128</f>
        <v/>
      </c>
      <c r="G127" s="8">
        <f>F127-E127</f>
        <v/>
      </c>
      <c r="H127" s="16">
        <f>Plan!I128</f>
        <v/>
      </c>
      <c r="I127" s="16">
        <f>Plan!O128</f>
        <v/>
      </c>
    </row>
    <row r="128">
      <c r="A128" s="8" t="n">
        <v>124</v>
      </c>
      <c r="B128" s="18" t="inlineStr">
        <is>
          <t>6.42</t>
        </is>
      </c>
      <c r="C128" s="35">
        <f>Plan!C129</f>
        <v/>
      </c>
      <c r="D128" s="8" t="n">
        <v>3</v>
      </c>
      <c r="E128" s="16">
        <f>Plan!J129</f>
        <v/>
      </c>
      <c r="F128" s="16">
        <f>Plan!K129</f>
        <v/>
      </c>
      <c r="G128" s="8">
        <f>F128-E128</f>
        <v/>
      </c>
      <c r="H128" s="16">
        <f>Plan!I129</f>
        <v/>
      </c>
      <c r="I128" s="16">
        <f>Plan!O129</f>
        <v/>
      </c>
    </row>
    <row r="129">
      <c r="A129" s="8" t="n">
        <v>125</v>
      </c>
      <c r="B129" s="18" t="inlineStr">
        <is>
          <t>5.3</t>
        </is>
      </c>
      <c r="C129" s="35">
        <f>Plan!C50</f>
        <v/>
      </c>
      <c r="D129" s="8" t="n">
        <v>2</v>
      </c>
      <c r="E129" s="16">
        <f>Plan!J50</f>
        <v/>
      </c>
      <c r="F129" s="16">
        <f>Plan!K50</f>
        <v/>
      </c>
      <c r="G129" s="8">
        <f>F129-E129</f>
        <v/>
      </c>
      <c r="H129" s="16">
        <f>Plan!I50</f>
        <v/>
      </c>
      <c r="I129" s="16">
        <f>Plan!O50</f>
        <v/>
      </c>
    </row>
    <row r="131">
      <c r="B131" s="3" t="inlineStr">
        <is>
          <t>Estadísticas de la cola</t>
        </is>
      </c>
    </row>
    <row r="132">
      <c r="B132" s="23" t="inlineStr">
        <is>
          <t>Fila</t>
        </is>
      </c>
      <c r="C132" s="23" t="inlineStr">
        <is>
          <t>Actividades</t>
        </is>
      </c>
      <c r="D132" s="23" t="inlineStr">
        <is>
          <t>Bloques ocupados</t>
        </is>
      </c>
      <c r="E132" s="23" t="inlineStr">
        <is>
          <t>Uso</t>
        </is>
      </c>
      <c r="F132" s="23" t="inlineStr">
        <is>
          <t>Espera promedio</t>
        </is>
      </c>
    </row>
    <row r="133">
      <c r="B133" s="18" t="inlineStr">
        <is>
          <t>A</t>
        </is>
      </c>
      <c r="C133" s="15">
        <f>COUNTIF($H$5:$H$129,B133)</f>
        <v/>
      </c>
      <c r="D133" s="15">
        <f>SUMIF(Plan!$I$5:$I$129,B133,Plan!$E$5:$E$129)</f>
        <v/>
      </c>
      <c r="E133" s="36">
        <f>IF(Resumen!$C$17=0,0,D133/Resumen!$C$17)</f>
        <v/>
      </c>
      <c r="F133" s="37">
        <f>IFERROR(AVERAGEIF($H$5:$H$129,B133,$G$5:$G$129),0)</f>
        <v/>
      </c>
    </row>
    <row r="134">
      <c r="B134" s="18" t="inlineStr">
        <is>
          <t>B</t>
        </is>
      </c>
      <c r="C134" s="15">
        <f>COUNTIF($H$5:$H$129,B134)</f>
        <v/>
      </c>
      <c r="D134" s="15">
        <f>SUMIF(Plan!$I$5:$I$129,B134,Plan!$E$5:$E$129)</f>
        <v/>
      </c>
      <c r="E134" s="36">
        <f>IF(Resumen!$C$17=0,0,D134/Resumen!$C$17)</f>
        <v/>
      </c>
      <c r="F134" s="37">
        <f>IFERROR(AVERAGEIF($H$5:$H$129,B134,$G$5:$G$129),0)</f>
        <v/>
      </c>
    </row>
    <row r="135">
      <c r="B135" s="18" t="inlineStr">
        <is>
          <t>A+B</t>
        </is>
      </c>
      <c r="C135" s="15">
        <f>COUNTIF($H$5:$H$129,B135)</f>
        <v/>
      </c>
      <c r="D135" s="15">
        <f>SUMIF(Plan!$I$5:$I$129,B135,Plan!$E$5:$E$129)</f>
        <v/>
      </c>
      <c r="E135" s="36">
        <f>IF(Resumen!$C$17=0,0,D135/Resumen!$C$17)</f>
        <v/>
      </c>
      <c r="F135" s="37">
        <f>IFERROR(AVERAGEIF($H$5:$H$129,B135,$G$5:$G$129),0)</f>
        <v/>
      </c>
    </row>
    <row r="136">
      <c r="B136" s="19" t="inlineStr">
        <is>
          <t>Total</t>
        </is>
      </c>
      <c r="C136" s="9">
        <f>SUM(C133:C135)</f>
        <v/>
      </c>
      <c r="F136" s="11">
        <f>AVERAGE($G$5:$G$129)</f>
        <v/>
      </c>
    </row>
  </sheetData>
  <conditionalFormatting sqref="I5:I129">
    <cfRule type="expression" priority="1" dxfId="1">
      <formula>$I5="Hecho"</formula>
    </cfRule>
    <cfRule type="expression" priority="2" dxfId="2">
      <formula>$I5="En curso"</formula>
    </cfRule>
    <cfRule type="expression" priority="3" dxfId="3">
      <formula>$I5="Pendiente"</formula>
    </cfRule>
    <cfRule type="expression" priority="4" dxfId="4">
      <formula>$I5="Bloqueado"</formula>
    </cfRule>
  </conditionalFormatting>
  <conditionalFormatting sqref="G5:G129">
    <cfRule type="expression" priority="5" dxfId="17">
      <formula>G5&gt;0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showGridLines="0" zoomScale="90" workbookViewId="0">
      <selection activeCell="A1" sqref="A1"/>
    </sheetView>
  </sheetViews>
  <sheetFormatPr baseColWidth="8" defaultRowHeight="15"/>
  <cols>
    <col width="6" customWidth="1" min="1" max="1"/>
    <col width="28" customWidth="1" min="2" max="2"/>
    <col width="58" customWidth="1" min="3" max="3"/>
    <col width="9" customWidth="1" min="4" max="4"/>
    <col width="9"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s>
  <sheetData>
    <row r="1">
      <c r="A1" s="1" t="inlineStr">
        <is>
          <t>Propuesta original (31-ago-2026) — plan por semanas</t>
        </is>
      </c>
    </row>
    <row r="2">
      <c r="A2" s="2" t="inlineStr">
        <is>
          <t>Tal como se presentó: 6 fases en máximo 8 semanas, en secuencia. Sirve de referencia contra el plan optimizado.</t>
        </is>
      </c>
    </row>
    <row r="4">
      <c r="A4" s="14" t="inlineStr">
        <is>
          <t>Fase</t>
        </is>
      </c>
      <c r="B4" s="14" t="inlineStr">
        <is>
          <t>Nombre</t>
        </is>
      </c>
      <c r="C4" s="14" t="inlineStr">
        <is>
          <t>Qué se realiza</t>
        </is>
      </c>
      <c r="D4" s="14" t="inlineStr">
        <is>
          <t>Semana inicio</t>
        </is>
      </c>
      <c r="E4" s="14" t="inlineStr">
        <is>
          <t>Semana fin</t>
        </is>
      </c>
      <c r="F4" s="38" t="n">
        <v>1</v>
      </c>
      <c r="G4" s="38" t="n">
        <v>2</v>
      </c>
      <c r="H4" s="38" t="n">
        <v>3</v>
      </c>
      <c r="I4" s="38" t="n">
        <v>4</v>
      </c>
      <c r="J4" s="38" t="n">
        <v>5</v>
      </c>
      <c r="K4" s="38" t="n">
        <v>6</v>
      </c>
      <c r="L4" s="38" t="n">
        <v>7</v>
      </c>
      <c r="M4" s="38" t="n">
        <v>8</v>
      </c>
    </row>
    <row r="5" ht="30" customHeight="1">
      <c r="A5" s="18" t="n">
        <v>1</v>
      </c>
      <c r="B5" s="4" t="inlineStr">
        <is>
          <t>Diseño y arquitectura</t>
        </is>
      </c>
      <c r="C5" s="7" t="inlineStr">
        <is>
          <t>Wireframes, modelo de datos y definición del stack (Next.js, Supabase, Resend).</t>
        </is>
      </c>
      <c r="D5" s="39" t="n">
        <v>1</v>
      </c>
      <c r="E5" s="39" t="n">
        <v>2</v>
      </c>
      <c r="F5" s="4" t="n"/>
      <c r="G5" s="4" t="n"/>
      <c r="H5" s="4" t="n"/>
      <c r="I5" s="4" t="n"/>
      <c r="J5" s="4" t="n"/>
      <c r="K5" s="4" t="n"/>
      <c r="L5" s="4" t="n"/>
      <c r="M5" s="4" t="n"/>
    </row>
    <row r="6" ht="30" customHeight="1">
      <c r="A6" s="18" t="n">
        <v>2</v>
      </c>
      <c r="B6" s="4" t="inlineStr">
        <is>
          <t>Landing y autenticación</t>
        </is>
      </c>
      <c r="C6" s="7" t="inlineStr">
        <is>
          <t>Página pública (misión, visión, servicios) y sistema de registro e inicio de sesión.</t>
        </is>
      </c>
      <c r="D6" s="39" t="n">
        <v>2</v>
      </c>
      <c r="E6" s="39" t="n">
        <v>3</v>
      </c>
      <c r="F6" s="4" t="n"/>
      <c r="G6" s="4" t="n"/>
      <c r="H6" s="4" t="n"/>
      <c r="I6" s="4" t="n"/>
      <c r="J6" s="4" t="n"/>
      <c r="K6" s="4" t="n"/>
      <c r="L6" s="4" t="n"/>
      <c r="M6" s="4" t="n"/>
    </row>
    <row r="7" ht="30" customHeight="1">
      <c r="A7" s="18" t="n">
        <v>3</v>
      </c>
      <c r="B7" s="7" t="inlineStr">
        <is>
          <t>Flujo de solicitud de crédito</t>
        </is>
      </c>
      <c r="C7" s="7" t="inlineStr">
        <is>
          <t>Formulario de solicitud (50 %/100 %, monto según tope), envío y notificación por correo.</t>
        </is>
      </c>
      <c r="D7" s="39" t="n">
        <v>3</v>
      </c>
      <c r="E7" s="39" t="n">
        <v>5</v>
      </c>
      <c r="F7" s="4" t="n"/>
      <c r="G7" s="4" t="n"/>
      <c r="H7" s="4" t="n"/>
      <c r="I7" s="4" t="n"/>
      <c r="J7" s="4" t="n"/>
      <c r="K7" s="4" t="n"/>
      <c r="L7" s="4" t="n"/>
      <c r="M7" s="4" t="n"/>
    </row>
    <row r="8" ht="30" customHeight="1">
      <c r="A8" s="18" t="n">
        <v>4</v>
      </c>
      <c r="B8" s="4" t="inlineStr">
        <is>
          <t>Panel de administración</t>
        </is>
      </c>
      <c r="C8" s="7" t="inlineStr">
        <is>
          <t>Dashboard de solicitudes y asociados, aprobación/rechazo y notificación automática de resultado.</t>
        </is>
      </c>
      <c r="D8" s="39" t="n">
        <v>5</v>
      </c>
      <c r="E8" s="39" t="n">
        <v>6</v>
      </c>
      <c r="F8" s="4" t="n"/>
      <c r="G8" s="4" t="n"/>
      <c r="H8" s="4" t="n"/>
      <c r="I8" s="4" t="n"/>
      <c r="J8" s="4" t="n"/>
      <c r="K8" s="4" t="n"/>
      <c r="L8" s="4" t="n"/>
      <c r="M8" s="4" t="n"/>
    </row>
    <row r="9" ht="30" customHeight="1">
      <c r="A9" s="18" t="n">
        <v>5</v>
      </c>
      <c r="B9" s="4" t="inlineStr">
        <is>
          <t>Convenios y pulido</t>
        </is>
      </c>
      <c r="C9" s="7" t="inlineStr">
        <is>
          <t>Sección de empresas aliadas y ajustes visuales, incluido el diseño responsive para celular.</t>
        </is>
      </c>
      <c r="D9" s="39" t="n">
        <v>6</v>
      </c>
      <c r="E9" s="39" t="n">
        <v>7</v>
      </c>
      <c r="F9" s="4" t="n"/>
      <c r="G9" s="4" t="n"/>
      <c r="H9" s="4" t="n"/>
      <c r="I9" s="4" t="n"/>
      <c r="J9" s="4" t="n"/>
      <c r="K9" s="4" t="n"/>
      <c r="L9" s="4" t="n"/>
      <c r="M9" s="4" t="n"/>
    </row>
    <row r="10" ht="30" customHeight="1">
      <c r="A10" s="18" t="n">
        <v>6</v>
      </c>
      <c r="B10" s="4" t="inlineStr">
        <is>
          <t>Pruebas y lanzamiento</t>
        </is>
      </c>
      <c r="C10" s="7" t="inlineStr">
        <is>
          <t>Pruebas con usuarios reales, corrección de errores, capacitación y despliegue en producción.</t>
        </is>
      </c>
      <c r="D10" s="39" t="n">
        <v>7</v>
      </c>
      <c r="E10" s="39" t="n">
        <v>8</v>
      </c>
      <c r="F10" s="4" t="n"/>
      <c r="G10" s="4" t="n"/>
      <c r="H10" s="4" t="n"/>
      <c r="I10" s="4" t="n"/>
      <c r="J10" s="4" t="n"/>
      <c r="K10" s="4" t="n"/>
      <c r="L10" s="4" t="n"/>
      <c r="M10" s="4" t="n"/>
    </row>
    <row r="12">
      <c r="A12" s="3" t="inlineStr">
        <is>
          <t>Qué cambia en el plan optimizado</t>
        </is>
      </c>
    </row>
    <row r="13">
      <c r="A13" s="40" t="inlineStr">
        <is>
          <t>• Las 6 fases se partieron en actividades pequeñas (hoja Plan), cada una con un peso de 1 a 5.</t>
        </is>
      </c>
    </row>
    <row r="14">
      <c r="A14" s="40" t="inlineStr">
        <is>
          <t>• En vez de ir fase por fase, dos filas de trabajo toman actividades de una cola común: lo que no depende de otra cosa avanza en paralelo.</t>
        </is>
      </c>
    </row>
    <row r="15">
      <c r="A15" s="40" t="inlineStr">
        <is>
          <t>• Se agregaron actividades que surgieron en el desarrollo (Origen = «Agregado»): ingreso con código, afiliación, importación de asociados, política de datos.</t>
        </is>
      </c>
    </row>
    <row r="16">
      <c r="A16" s="40" t="inlineStr">
        <is>
          <t>• Las fechas no se usan: el tiempo se mide en bloques y semanas relativas.</t>
        </is>
      </c>
    </row>
  </sheetData>
  <conditionalFormatting sqref="F5:M10">
    <cfRule type="expression" priority="1" dxfId="9">
      <formula>AND(F$4&gt;=$D5,F$4&lt;=$E5)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zoomScale="90" workbookViewId="0">
      <selection activeCell="A1" sqref="A1"/>
    </sheetView>
  </sheetViews>
  <sheetFormatPr baseColWidth="8" defaultRowHeight="15"/>
  <cols>
    <col width="7" customWidth="1" min="1" max="1"/>
    <col width="14" customWidth="1" min="2" max="2"/>
    <col width="9" customWidth="1" min="3" max="3"/>
    <col width="22" customWidth="1" min="4" max="4"/>
    <col width="60" customWidth="1" min="5" max="5"/>
    <col width="14" customWidth="1" min="6" max="6"/>
  </cols>
  <sheetData>
    <row r="1">
      <c r="A1" s="1" t="inlineStr">
        <is>
          <t>Escala de pesos (1 a 5)</t>
        </is>
      </c>
    </row>
    <row r="2">
      <c r="A2" s="2" t="inlineStr">
        <is>
          <t>El peso mide el esfuerzo de una actividad y define su largo en el Gantt.</t>
        </is>
      </c>
    </row>
    <row r="4">
      <c r="A4" s="14" t="inlineStr">
        <is>
          <t>Peso</t>
        </is>
      </c>
      <c r="B4" s="14" t="inlineStr">
        <is>
          <t>Nivel</t>
        </is>
      </c>
      <c r="C4" s="14" t="inlineStr">
        <is>
          <t>Bloques</t>
        </is>
      </c>
      <c r="D4" s="14" t="inlineStr">
        <is>
          <t>Equivale a</t>
        </is>
      </c>
      <c r="E4" s="14" t="inlineStr">
        <is>
          <t>Ejemplo del proyecto</t>
        </is>
      </c>
      <c r="F4" s="14" t="inlineStr">
        <is>
          <t>Actividades con este peso</t>
        </is>
      </c>
    </row>
    <row r="5">
      <c r="A5" s="18" t="n">
        <v>1</v>
      </c>
      <c r="B5" s="4" t="inlineStr">
        <is>
          <t>Muy baja</t>
        </is>
      </c>
      <c r="C5" s="8" t="n">
        <v>1</v>
      </c>
      <c r="D5" s="4" t="inlineStr">
        <is>
          <t>Media jornada</t>
        </is>
      </c>
      <c r="E5" s="7" t="inlineStr">
        <is>
          <t>Borrar /login y /dashboard; capacitación</t>
        </is>
      </c>
      <c r="F5" s="15">
        <f>COUNTIF(Plan!$D$5:$D$129,A5)</f>
        <v/>
      </c>
    </row>
    <row r="6">
      <c r="A6" s="18" t="n">
        <v>2</v>
      </c>
      <c r="B6" s="4" t="inlineStr">
        <is>
          <t>Baja</t>
        </is>
      </c>
      <c r="C6" s="8" t="n">
        <v>2</v>
      </c>
      <c r="D6" s="4" t="inlineStr">
        <is>
          <t>1 jornada</t>
        </is>
      </c>
      <c r="E6" s="7" t="inlineStr">
        <is>
          <t>SMTP con Resend; proteger /cuenta en proxy.ts</t>
        </is>
      </c>
      <c r="F6" s="15">
        <f>COUNTIF(Plan!$D$5:$D$129,A6)</f>
        <v/>
      </c>
    </row>
    <row r="7">
      <c r="A7" s="18" t="n">
        <v>3</v>
      </c>
      <c r="B7" s="4" t="inlineStr">
        <is>
          <t>Media</t>
        </is>
      </c>
      <c r="C7" s="8" t="n">
        <v>3</v>
      </c>
      <c r="D7" s="4" t="inlineStr">
        <is>
          <t>1,5 jornadas</t>
        </is>
      </c>
      <c r="E7" s="7" t="inlineStr">
        <is>
          <t>Verificación del código OTP; /cuenta con datos reales</t>
        </is>
      </c>
      <c r="F7" s="15">
        <f>COUNTIF(Plan!$D$5:$D$129,A7)</f>
        <v/>
      </c>
    </row>
    <row r="8">
      <c r="A8" s="18" t="n">
        <v>4</v>
      </c>
      <c r="B8" s="4" t="inlineStr">
        <is>
          <t>Alta</t>
        </is>
      </c>
      <c r="C8" s="8" t="n">
        <v>4</v>
      </c>
      <c r="D8" s="4" t="inlineStr">
        <is>
          <t>2 jornadas</t>
        </is>
      </c>
      <c r="E8" s="7" t="inlineStr">
        <is>
          <t>Panel /admin; afiliación con Resend; importar asociados</t>
        </is>
      </c>
      <c r="F8" s="15">
        <f>COUNTIF(Plan!$D$5:$D$129,A8)</f>
        <v/>
      </c>
    </row>
    <row r="9">
      <c r="A9" s="18" t="n">
        <v>5</v>
      </c>
      <c r="B9" s="4" t="inlineStr">
        <is>
          <t>Muy alta</t>
        </is>
      </c>
      <c r="C9" s="8" t="n">
        <v>5</v>
      </c>
      <c r="D9" s="4" t="inlineStr">
        <is>
          <t>2,5 jornadas o más</t>
        </is>
      </c>
      <c r="E9" s="7" t="inlineStr">
        <is>
          <t>Reservado para trabajos que conviene partir en dos</t>
        </is>
      </c>
      <c r="F9" s="15">
        <f>COUNTIF(Plan!$D$5:$D$129,A9)</f>
        <v/>
      </c>
    </row>
    <row r="11">
      <c r="A11" s="3" t="inlineStr">
        <is>
          <t>Reglas de simultaneidad</t>
        </is>
      </c>
    </row>
    <row r="12">
      <c r="A12" s="40" t="inlineStr">
        <is>
          <t>• Dos actividades pueden ir al mismo tiempo si ninguna depende (directa o indirectamente) de la otra.</t>
        </is>
      </c>
    </row>
    <row r="13">
      <c r="A13" s="40" t="inlineStr">
        <is>
          <t>• Hay 2 filas de trabajo: como máximo 2 actividades a la vez. Las demás esperan en la cola, que no tiene límite.</t>
        </is>
      </c>
    </row>
    <row r="14">
      <c r="A14" s="40" t="inlineStr">
        <is>
          <t>• «Simultánea: No» significa que la actividad ocupa las 2 filas (p. ej. el despliegue a producción).</t>
        </is>
      </c>
    </row>
    <row r="15">
      <c r="A15" s="40" t="inlineStr">
        <is>
          <t>• La equivalencia en jornadas se ajusta en Resumen → Bloques por semana.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4"/>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80" customWidth="1" min="5" max="5"/>
  </cols>
  <sheetData>
    <row r="1">
      <c r="A1" s="1" t="inlineStr">
        <is>
          <t>Bitácora de avances</t>
        </is>
      </c>
    </row>
    <row r="2">
      <c r="A2" s="2" t="inlineStr">
        <is>
          <t>Cada reporte de un agente que el supervisor aplicó al plan.</t>
        </is>
      </c>
    </row>
    <row r="4">
      <c r="A4" s="14" t="inlineStr">
        <is>
          <t>Fecha</t>
        </is>
      </c>
      <c r="B4" s="14" t="inlineStr">
        <is>
          <t>Agente</t>
        </is>
      </c>
      <c r="C4" s="14" t="inlineStr">
        <is>
          <t>Actividades</t>
        </is>
      </c>
      <c r="D4" s="14" t="inlineStr">
        <is>
          <t>Cambio</t>
        </is>
      </c>
      <c r="E4" s="14" t="inlineStr">
        <is>
          <t>Detalle</t>
        </is>
      </c>
    </row>
    <row r="5">
      <c r="A5" s="8" t="inlineStr">
        <is>
          <t>2026-10-23</t>
        </is>
      </c>
      <c r="B5" s="4" t="inlineStr">
        <is>
          <t>sesión principal</t>
        </is>
      </c>
      <c r="C5" s="8" t="inlineStr">
        <is>
          <t>6.43 (P-144)</t>
        </is>
      </c>
      <c r="D5" s="7" t="inlineStr">
        <is>
          <t>PR #13 develop → main fusionado y desplegado en Vercel</t>
        </is>
      </c>
      <c r="E5" s="7" t="inlineStr">
        <is>
          <t>Sebas fusionó el PR #13; Vercel desplegó a producción (commit 10b8b8a, estado READY). La corrección de solicitudes de afiliación y el aviso por cambio de datos ya están en producción. Siguen pendientes pgTAP 35 y 36 (6.44, P-145) y la revisión de seguridad y QA (6.42) hasta que haya virtualización.</t>
        </is>
      </c>
    </row>
    <row r="6">
      <c r="A6" s="8" t="inlineStr">
        <is>
          <t>2026-10-23</t>
        </is>
      </c>
      <c r="B6" s="4" t="inlineStr">
        <is>
          <t>sesión principal</t>
        </is>
      </c>
      <c r="C6" s="8" t="inlineStr">
        <is>
          <t>2.17, 4.26, 4.27, 6.42, 6.44 (P-143, P-145)</t>
        </is>
      </c>
      <c r="D6" s="7" t="inlineStr">
        <is>
          <t>Selfie probada en celular real; dos funciones nuevas listas pendientes de migrar</t>
        </is>
      </c>
      <c r="E6" s="7" t="inlineStr">
        <is>
          <t>2.17 y P-143 Hecho (Sebas probó la selfie en celular real). Nuevas En curso: 4.26 aviso al asociado por cambio de datos (migración 20261022000000, pgTAP 35) y 4.27 corregir datos de una solicitud de afiliación antes de aprobar (migración 20261023000000, pgTAP 36, pedido de Ricardo). Nueva 6.44 y P-145 (Sebas): aplicar ambas migraciones y correr pgTAP 35 y 36 cuando tenga Docker. 6.42 suma 4.26 y 4.27: falta su revisión de seguridad y QA. Verificación: vitest 778, tsc, lint y build en verde; entregables y PDF actualizados.</t>
        </is>
      </c>
    </row>
    <row r="7">
      <c r="A7" s="8" t="inlineStr">
        <is>
          <t>2026-10-22</t>
        </is>
      </c>
      <c r="B7" s="4" t="inlineStr">
        <is>
          <t>sesión principal</t>
        </is>
      </c>
      <c r="C7" s="8" t="inlineStr">
        <is>
          <t>4.23, 4.25, 6.41, 6.43, 2.17 (P-143, P-144)</t>
        </is>
      </c>
      <c r="D7" s="7" t="inlineStr">
        <is>
          <t>Migración 20261018100000 aplicada; 4.23, 4.25 y 6.41 Hecho; merge a develop; respaldos y logos.rar fuera del repo</t>
        </is>
      </c>
      <c r="E7" s="7" t="inlineStr">
        <is>
          <t>migration list --linked confirma 20261018100000 en producción. Commit e0cbe5a en avance-pendientes, merge en develop y push. Los respaldo-*.sql pasaron a ../backups/2026-10-02 y public/logos.rar (solo logos públicos) a la carpeta de la cooperativa. P-143 queda En curso solo con la selfie en celular real (2.17). Nueva actividad 6.43 y pendiente P-144 (Sebas): abrir y fusionar el PR develop → main para desplegar, porque gh no está instalado y la API quedó bloqueada por permisos.</t>
        </is>
      </c>
    </row>
    <row r="8">
      <c r="A8" s="8" t="inlineStr">
        <is>
          <t>2026-10-18</t>
        </is>
      </c>
      <c r="B8" s="4" t="inlineStr">
        <is>
          <t>ga-verificador-qa</t>
        </is>
      </c>
      <c r="C8" s="8" t="inlineStr">
        <is>
          <t>3.11, 2.16, 4.24, 4.25, 4.23, 2.17, 6.42</t>
        </is>
      </c>
      <c r="D8" s="7" t="inlineStr">
        <is>
          <t>QA e2e: 395 en verde, spec r-cambios-18oct (19 pruebas), hallazgos F1 y F2</t>
        </is>
      </c>
      <c r="E8" s="7" t="inlineStr">
        <is>
          <t>Sin regresiones (47 omitidas, 0 fallan). 3.11 pasa a Hecho. F1 (desplegable Entidad de Editar datos se reiniciaba) medio, corregido por la sesión principal con onSubmit+startTransition y spec en verde en escritorio y celular. F2 (URL en /cuenta durante la pausa) bajo, aceptado. La selfie con cámara real de celular no se pudo probar: 2.17 sigue En curso.</t>
        </is>
      </c>
    </row>
    <row r="9">
      <c r="A9" s="8" t="inlineStr">
        <is>
          <t>2026-10-18</t>
        </is>
      </c>
      <c r="B9" s="4" t="inlineStr">
        <is>
          <t>sesión principal</t>
        </is>
      </c>
      <c r="C9" s="8" t="inlineStr">
        <is>
          <t>2.16, 4.24, 4.25, 4.23, 6.41, 6.42, 3.11 (P-141, P-142, P-143)</t>
        </is>
      </c>
      <c r="D9" s="7" t="inlineStr">
        <is>
          <t>Migraciones 20261014000000 y 20261018000000 aplicadas; pgTAP 870 en verde; hallazgos de seguridad corregidos</t>
        </is>
      </c>
      <c r="E9" s="7" t="inlineStr">
        <is>
          <t>Sebas aplicó las dos migraciones. 2.16 y 4.24 pasan a Hecho. Se corrigieron RS-A1, M1, M2, M3, M4, B2 (B3 aceptado); nueva migración 20261018100000 (RPC admin_editar_datos_asociado, historial, trigger) y pgTAP 34 con 16 casos; vitest 773 y build en verde. 4.23 y 4.25 quedan En curso hasta aplicar 20261018100000. 6.41 ahora cubre tres migraciones y sigue En curso. P-141 y P-142 Hecho; nuevo P-143 (Sebas): aplicar la migración, sacar respaldo-*.sql y revisar public/logos.rar. Pendiente opcional: avisar por correo al asociado cuando cambian su correo institucional o nómina (ga-correos).</t>
        </is>
      </c>
    </row>
    <row r="10">
      <c r="A10" s="8" t="inlineStr">
        <is>
          <t>2026-10-18</t>
        </is>
      </c>
      <c r="B10" s="4" t="inlineStr">
        <is>
          <t>ga-revisor-seguridad</t>
        </is>
      </c>
      <c r="C10" s="8" t="inlineStr">
        <is>
          <t>6.42</t>
        </is>
      </c>
      <c r="D10" s="7" t="inlineStr">
        <is>
          <t>Revisión de seguridad de los cambios sin commit: sin críticos</t>
        </is>
      </c>
      <c r="E10" s="7" t="inlineStr">
        <is>
          <t>1 alto (respaldos con datos personales sin ignorar), 4 medios (pausa saltable, correo institucional sin aviso, regla propio/clientes solo en la app, logos.rar publicado) y 3 bajos. npm audit: 0 vulnerabilidades. Atendidos por la sesión principal.</t>
        </is>
      </c>
    </row>
    <row r="11">
      <c r="A11" s="8" t="inlineStr">
        <is>
          <t>2026-10-18</t>
        </is>
      </c>
      <c r="B11" s="4" t="inlineStr">
        <is>
          <t>sesión principal</t>
        </is>
      </c>
      <c r="C11" s="8" t="inlineStr">
        <is>
          <t>4.24, 4.25, 3.11, 2.17, 6.41, 6.42 (P-142)</t>
        </is>
      </c>
      <c r="D11" s="7" t="inlineStr">
        <is>
          <t>Pausa del ingreso, avisos, botón de WhatsApp y selfie con perfil propio: código listo, migración sin aplicar</t>
        </is>
      </c>
      <c r="E11" s="7" t="inlineStr">
        <is>
          <t>Nuevos 4.24 (pausa en /admin/plataforma, proxy.ts, /cuenta-pausada, historial), 4.25 (avisos una vez al entrar a /cuenta, con conteo y retiro), 3.11 (botón flotante de WhatsApp) y 2.17 (selfie con perfil propio y cámara HD; antes casi toda selfie salía dudosa por usar umbrales de la cédula). Migración 20261018000000 y pgTAP 33 (18 casos). vitest 773, tsc, lint y build en verde; entregables y PDF actualizados. Todas En curso. 6.41 ahora cubre ambas migraciones (20261014000000 y 20261018000000) y depende de 4.24 y 4.25; 6.42 (peso 2 a 3, razón: suma cuatro funciones nuevas) depende de todas. Nuevo P-142. Falta probar la selfie en un celular real.</t>
        </is>
      </c>
    </row>
    <row r="12">
      <c r="A12" s="8" t="inlineStr">
        <is>
          <t>2026-10-14</t>
        </is>
      </c>
      <c r="B12" s="4" t="inlineStr">
        <is>
          <t>sesión principal</t>
        </is>
      </c>
      <c r="C12" s="8" t="inlineStr">
        <is>
          <t>4.23, 2.16, 6.41, 6.42 (P-141)</t>
        </is>
      </c>
      <c r="D12" s="7" t="inlineStr">
        <is>
          <t>Editar datos del asociado y Afiliación sin repetidos: código listo, migración sin aplicar</t>
        </is>
      </c>
      <c r="E12" s="7" t="inlineStr">
        <is>
          <t>Nuevo 4.23: en /admin/asociados/[id], sección «Datos del asociado» con «Editar datos» (solo admin; no a uno mismo ni a sus clientes; 30 cambios por hora; el registro guarda los campos cambiados); 6 pruebas unitarias, vitest 769 en verde. Nuevo 2.16: migración 20261014000000 con trigger que rechaza (23505) afiliaciones con cédula o correo personal o institucional ya con cuenta o solicitud pendiente o contactada; el formulario responde igual que un envío exitoso (S-06); pgTAP 32 (10 casos); al aprobar, mensaje claro si el correo ya existe en Auth. Ambas En curso. Nuevo 6.41 (Sebas aplica la migración y se corre pgTAP; Docker no corría) y 6.42 (revisión de seguridad y QA). Nuevo P-141.</t>
        </is>
      </c>
    </row>
    <row r="13">
      <c r="A13" s="8" t="inlineStr">
        <is>
          <t>2026-10-09</t>
        </is>
      </c>
      <c r="B13" s="4" t="inlineStr">
        <is>
          <t>sesión principal</t>
        </is>
      </c>
      <c r="C13" s="8" t="inlineStr">
        <is>
          <t>6.12 (P-54)</t>
        </is>
      </c>
      <c r="D13" s="7" t="inlineStr">
        <is>
          <t>Alerta del límite de intentos resuelta desde el cron, no desde Vercel</t>
        </is>
      </c>
      <c r="E13" s="7" t="inlineStr">
        <is>
          <t>Vercel Pro sin Observability Plus no permite alertas por texto del log. El cron horario /api/cron/limpiar-fotos revisa el límite (lib/servidor/saludLimite.ts): LIMITE_HMAC_SECRET y conteo de intentos; si falla registra salud_limite_fallo y envía un correo diario a las 8 a. m. de Bogotá a ALERTA_TECNICA_CORREOS o soporte@greenallianceco.com. Documentado en documentacion-tecnica. 763 unitarias, tsc, lint y build en verde. Falta desplegar (Sebas); opcional crear ALERTA_TECNICA_CORREOS en Vercel.</t>
        </is>
      </c>
    </row>
    <row r="14">
      <c r="A14" s="8" t="inlineStr">
        <is>
          <t>2026-10-09</t>
        </is>
      </c>
      <c r="B14" s="4" t="inlineStr">
        <is>
          <t>ga-supervisor-avances</t>
        </is>
      </c>
      <c r="C14" s="8" t="inlineStr">
        <is>
          <t>5.4, 5.11, 6.1, 6.2, 6.3, 6.5, 6.15, 6.29, 6.7, 6.14, 6.6, 5.3 (P-37, P-42, P-58, P-70, P-81, P-106, P-108, P-111, P-118 a P-122, P-125, P-140)</t>
        </is>
      </c>
      <c r="D14" s="7" t="inlineStr">
        <is>
          <t>Limpieza del plan pedida por Sebas: se cierran tareas ya hechas</t>
        </is>
      </c>
      <c r="E14" s="7" t="inlineStr">
        <is>
          <t>Hecho: 5.4 (la página /politica-de-datos existe; la revisión del abogado sigue aparte en P-81), 5.11 (premios de asesores 50 y 100, migración 20261002100000), 6.1 (755 pruebas unitarias en verde), 6.2 (revisión de seguridad del 8-oct con hallazgos corregidos y en producción), 6.3 (e2e escritorio y celular 395 pasaron, 0 fallos), 6.5 (desplegado en www.greenallianceco.com), 6.15 (e2e al día) y 6.29 (entrega final, acta y último pago, cerrada por Sebas hoy). En curso: 6.7 (capacitación por Ricardo), 6.14 (celulares reales) y 6.6 (usuarios reales, sigue durante la garantía). 5.3 queda Bloqueada esperando a la cooperativa (fotos, cifras, testimonios, sedes); 6.12 sigue Pendiente (Sebas). Pendientes cerrados: P-37, P-42, P-58, P-106, P-108, P-111, P-118, P-119, P-120, P-121, P-122, P-125. P-70 y P-81 pasan a En curso. Nuevo P-140: cómo se desactiva o baja de rol a un administrador. Para poder cerrar 6.3 se quitó su dependencia de 5.3, porque el contenido real de la cooperativa no impide el QA.</t>
        </is>
      </c>
    </row>
    <row r="15">
      <c r="A15" s="8" t="inlineStr">
        <is>
          <t>2026-10-09</t>
        </is>
      </c>
      <c r="B15" s="4" t="inlineStr">
        <is>
          <t>sesión principal</t>
        </is>
      </c>
      <c r="C15" s="8" t="inlineStr">
        <is>
          <t>6.38, 6.39, 6.40 (P-137, P-138, P-139)</t>
        </is>
      </c>
      <c r="D15" s="7" t="inlineStr">
        <is>
          <t>SVM activado, migración 20261009000000 aplicada y código desplegado</t>
        </is>
      </c>
      <c r="E15" s="7" t="inlineStr">
        <is>
          <t>Verificado en producción: migración remota aplicada y landing sin números de convenios (6 convenios con whatsapp null; solo queda el WhatsApp de la cooperativa). Pruebas: pgTAP desde cero 32 archivos, 826 PASS; e2e escritorio y celular 395 pasaron, 47 omitidas a propósito por proyecto y 0 fallos (39,9 min); unitarias 755 en verde.</t>
        </is>
      </c>
    </row>
    <row r="16">
      <c r="A16" s="8" t="inlineStr">
        <is>
          <t>2026-10-09</t>
        </is>
      </c>
      <c r="B16" s="4" t="inlineStr">
        <is>
          <t>sesión principal</t>
        </is>
      </c>
      <c r="C16" s="8" t="inlineStr">
        <is>
          <t>6.27, 6.28, 6.32 a 6.37, 6.39, 6.40, P-116, P-117, P-126 a P-139</t>
        </is>
      </c>
      <c r="D16" s="7" t="inlineStr">
        <is>
          <t>Hallazgos de seguridad cerrados en código; Sebas cerró 4 pendientes</t>
        </is>
      </c>
      <c r="E16" s="7" t="inlineStr">
        <is>
          <t>Sebas hizo P-116, P-117, P-135 y P-136. Hechos en código P-126, P-127, P-128, P-130 a P-134 (H-09 rehecho con fotos_carne_huerfanas; npm audit fix con 0 vulnerabilidades en producción; 755 unitarias, tsc, lint y build verdes; pgTAP y e2e sin correr por SVM). P-129 (H-04) cerrado por riesgo aceptado. Nuevos pendientes de Sebas: aplicar 20261009000000 (P-138, 6.39) y desplegar junto (P-139, 6.40). P-137 (SVM) sigue pendiente.</t>
        </is>
      </c>
    </row>
    <row r="17">
      <c r="A17" s="8" t="inlineStr">
        <is>
          <t>2026-10-09</t>
        </is>
      </c>
      <c r="B17" s="4" t="inlineStr">
        <is>
          <t>ga-funcionalidad-botones</t>
        </is>
      </c>
      <c r="C17" s="8" t="inlineStr">
        <is>
          <t>6.32, 6.33, 6.34, P-126, P-127, P-128, P-132, P-133, P-134</t>
        </is>
      </c>
      <c r="D17" s="7" t="inlineStr">
        <is>
          <t>Código de los hallazgos H-01, H-02, H-03, H-07, H-09 y H-10</t>
        </is>
      </c>
      <c r="E17" s="7" t="inlineStr">
        <is>
          <t>Su reporte decía todo hecho, pero H-09 estaba mal (listaba carpetas y leía una columna inexistente); prevalece el reporte de la sesión principal, que lo rehízo.</t>
        </is>
      </c>
    </row>
    <row r="18">
      <c r="A18" s="8" t="inlineStr">
        <is>
          <t>2026-10-09</t>
        </is>
      </c>
      <c r="B18" s="4" t="inlineStr">
        <is>
          <t>ga-auditor-supabase</t>
        </is>
      </c>
      <c r="C18" s="8" t="inlineStr">
        <is>
          <t>6.32, 6.33, 6.34, P-126, P-127, P-128, P-130, P-132</t>
        </is>
      </c>
      <c r="D18" s="7" t="inlineStr">
        <is>
          <t>Migración 20261009000000 y pruebas pgTAP escritas</t>
        </is>
      </c>
      <c r="E18" s="7" t="inlineStr">
        <is>
          <t>Anon sin telefono_contacto, cédula exacta en la búsqueda general, cambio de correo atado a la solicitud con espera de 10 min, hasta 3 recuperaciones pendientes por persona, no se desactiva a un admin. Pruebas 27 actualizada y 31 nueva; sin aplicar ni correr (Docker apagado).</t>
        </is>
      </c>
    </row>
    <row r="19">
      <c r="A19" s="8" t="inlineStr">
        <is>
          <t>2026-10-08</t>
        </is>
      </c>
      <c r="B19" s="4" t="inlineStr">
        <is>
          <t>sesión principal</t>
        </is>
      </c>
      <c r="C19" s="8" t="inlineStr">
        <is>
          <t>5.19, 6.29, 6.36 a 6.38, P-118, P-135 a P-137</t>
        </is>
      </c>
      <c r="D19" s="7" t="inlineStr">
        <is>
          <t>Demo con convenios reales, PP y fecha de entrega</t>
        </is>
      </c>
      <c r="E19" s="7" t="inlineStr">
        <is>
          <t>Demo con convenios reales, PP vuelve a ofrecerse (migración 20261008000000 sin aplicar), agentes un escalón abajo. Entrega final movida al viernes 9-oct; garantía 9-oct al 7-nov, soporte desde el 8-nov (6.26 y 6.29 actualizadas). Pendientes de Sebas: aplicar la migración, borrar 2 solicitudes de prueba, activar SVM para pgTAP y e2e.</t>
        </is>
      </c>
    </row>
    <row r="20">
      <c r="A20" s="8" t="inlineStr">
        <is>
          <t>2026-10-08</t>
        </is>
      </c>
      <c r="B20" s="4" t="inlineStr">
        <is>
          <t>ga-revisor-seguridad</t>
        </is>
      </c>
      <c r="C20" s="8" t="inlineStr">
        <is>
          <t>6.31, 6.32-6.35, P-126 a P-134</t>
        </is>
      </c>
      <c r="D20" s="7" t="inlineStr">
        <is>
          <t>Revisión de seguridad del 8-oct</t>
        </is>
      </c>
      <c r="E20" s="7" t="inlineStr">
        <is>
          <t>Sin críticos; 1 alta (H-01) y 5 medias. Se agregan H-01 a H-07 y H-09 a H-10 como pendientes (6.32 a 6.35). Severidad asignada por el conteo del reporte: H-01 alta; H-02 a H-06 media; H-07, H-09 y H-10 baja. H-04, H-05, H-07, H-09 y H-10 no traían descripción en el buzón.</t>
        </is>
      </c>
    </row>
    <row r="21">
      <c r="A21" s="8" t="inlineStr">
        <is>
          <t>2026-10-08</t>
        </is>
      </c>
      <c r="B21" s="4" t="inlineStr">
        <is>
          <t>ga-auditor-supabase</t>
        </is>
      </c>
      <c r="C21" s="8" t="inlineStr">
        <is>
          <t>6.30</t>
        </is>
      </c>
      <c r="D21" s="7" t="inlineStr">
        <is>
          <t>Migraciones resincronizadas con producción</t>
        </is>
      </c>
      <c r="E21" s="7" t="inlineStr">
        <is>
          <t>Reporte del 02-oct: 20261003000000/100000/200000 restauradas a lo aplicado y lo posterior en 20261003300000 (se suma a 6.27). pgTAP 799 PASS.</t>
        </is>
      </c>
    </row>
    <row r="22">
      <c r="A22" s="8" t="inlineStr">
        <is>
          <t>2026-10-08</t>
        </is>
      </c>
      <c r="B22" s="4" t="inlineStr">
        <is>
          <t>ga-funcionalidad-botones</t>
        </is>
      </c>
      <c r="C22" s="8" t="inlineStr">
        <is>
          <t>4.21</t>
        </is>
      </c>
      <c r="D22" s="7" t="inlineStr">
        <is>
          <t>Secretario ampliado e Historial del equipo</t>
        </is>
      </c>
      <c r="E22" s="7" t="inlineStr">
        <is>
          <t>Reporte del 02-oct: el secretario ve Asociados y Créditos en solo lectura; el admin desactiva y cambia el rol de secretarios con motivo; búsqueda con nombre del admin; nueva /admin/historial. pgTAP 29 (82), vitest 751, e2e en verde.</t>
        </is>
      </c>
    </row>
    <row r="23">
      <c r="A23" s="8" t="inlineStr">
        <is>
          <t>2026-10-08</t>
        </is>
      </c>
      <c r="B23" s="4" t="inlineStr">
        <is>
          <t>ga-funcionalidad-botones</t>
        </is>
      </c>
      <c r="C23" s="8" t="inlineStr">
        <is>
          <t>4.22</t>
        </is>
      </c>
      <c r="D23" s="7" t="inlineStr">
        <is>
          <t>Comprobantes 30 días</t>
        </is>
      </c>
      <c r="E23" s="7" t="inlineStr">
        <is>
          <t>Reporte del 02-oct: los comprobantes del eliminado se conservan 30 días y los borra /api/cron/limpiar-fotos; también los huérfanos de más de 24 h. pgTAP 28 (76), vitest y e2e ajustados.</t>
        </is>
      </c>
    </row>
    <row r="24">
      <c r="A24" s="8" t="inlineStr">
        <is>
          <t>2026-10-08</t>
        </is>
      </c>
      <c r="B24" s="4" t="inlineStr">
        <is>
          <t>ga-correos</t>
        </is>
      </c>
      <c r="C24" s="8" t="inlineStr">
        <is>
          <t>5.18</t>
        </is>
      </c>
      <c r="D24" s="7" t="inlineStr">
        <is>
          <t>5 plantillas de Resend nuevas</t>
        </is>
      </c>
      <c r="E24" s="7" t="inlineStr">
        <is>
          <t>Reporte del 02-oct: plantillas en docs/resend/ y guía con las 10 plantillas; COMPROBANTE viaja siempre. Sebas debe publicarlas y agregar las 5 RESEND_TEMPLATE_* en Vercel (6.28).</t>
        </is>
      </c>
    </row>
    <row r="25">
      <c r="A25" s="8" t="inlineStr">
        <is>
          <t>2026-10-02</t>
        </is>
      </c>
      <c r="B25" s="4" t="inlineStr">
        <is>
          <t>sesión principal</t>
        </is>
      </c>
      <c r="C25" s="8" t="inlineStr">
        <is>
          <t>6.25, 6.26, 6.27, 6.28, 6.29, P-114, P-115, P-116–P-125</t>
        </is>
      </c>
      <c r="D25" s="7" t="inlineStr">
        <is>
          <t>Todo en develop; contrato y garantía</t>
        </is>
      </c>
      <c r="E25" s="7" t="inlineStr">
        <is>
          <t>Todo fusionado en develop. Contrato diligenciado con anexos 2 y 3, garantía 7–21 oct y soporte $500.000/mes desde el 22. Pendiente de Sebas: 5 migraciones + develop→main, plantillas Resend, entrega y último pago el 7-oct.</t>
        </is>
      </c>
    </row>
    <row r="26">
      <c r="A26" s="8" t="inlineStr">
        <is>
          <t>2026-10-02</t>
        </is>
      </c>
      <c r="B26" s="4" t="inlineStr">
        <is>
          <t>ga-funcionalidad-botones</t>
        </is>
      </c>
      <c r="C26" s="8" t="inlineStr">
        <is>
          <t>5.15</t>
        </is>
      </c>
      <c r="D26" s="7" t="inlineStr">
        <is>
          <t>Foto del carné (20261003200000)</t>
        </is>
      </c>
      <c r="E26" s="7" t="inlineStr">
        <is>
          <t>Bucket fotos-carne, pgTAP 30, e2e q-foto-carne. Decisiones P-121 y P-122.</t>
        </is>
      </c>
    </row>
    <row r="27">
      <c r="A27" s="8" t="inlineStr">
        <is>
          <t>2026-10-02</t>
        </is>
      </c>
      <c r="B27" s="4" t="inlineStr">
        <is>
          <t>ga-funcionalidad-botones</t>
        </is>
      </c>
      <c r="C27" s="8" t="inlineStr">
        <is>
          <t>4.20</t>
        </is>
      </c>
      <c r="D27" s="7" t="inlineStr">
        <is>
          <t>Secretario y búsqueda general (20261003100000)</t>
        </is>
      </c>
      <c r="E27" s="7" t="inlineStr">
        <is>
          <t>pgTAP 29, e2e p-secretario-busqueda. Decisión P-119.</t>
        </is>
      </c>
    </row>
    <row r="28">
      <c r="A28" s="8" t="inlineStr">
        <is>
          <t>2026-10-02</t>
        </is>
      </c>
      <c r="B28" s="4" t="inlineStr">
        <is>
          <t>ga-funcionalidad-botones</t>
        </is>
      </c>
      <c r="C28" s="8" t="inlineStr">
        <is>
          <t>4.19</t>
        </is>
      </c>
      <c r="D28" s="7" t="inlineStr">
        <is>
          <t>Comprobante y eliminar definitivamente (20261003000000)</t>
        </is>
      </c>
      <c r="E28" s="7" t="inlineStr">
        <is>
          <t>Bucket privado, anonimizar con código; pgTAP 28. Decisión P-120.</t>
        </is>
      </c>
    </row>
    <row r="29">
      <c r="A29" s="8" t="inlineStr">
        <is>
          <t>2026-10-02</t>
        </is>
      </c>
      <c r="B29" s="4" t="inlineStr">
        <is>
          <t>ga-diseno-a-codigo</t>
        </is>
      </c>
      <c r="C29" s="8" t="inlineStr">
        <is>
          <t>5.16</t>
        </is>
      </c>
      <c r="D29" s="7" t="inlineStr">
        <is>
          <t>/cuenta igual a la demo</t>
        </is>
      </c>
      <c r="E29" s="7" t="inlineStr">
        <is>
          <t>CamposSolicitud y TarjetaTope compartidos; slot accionDesembolso.</t>
        </is>
      </c>
    </row>
    <row r="30">
      <c r="A30" s="8" t="inlineStr">
        <is>
          <t>2026-10-02</t>
        </is>
      </c>
      <c r="B30" s="4" t="inlineStr">
        <is>
          <t>ga-correos</t>
        </is>
      </c>
      <c r="C30" s="8" t="inlineStr">
        <is>
          <t>5.17, 6.28</t>
        </is>
      </c>
      <c r="D30" s="7" t="inlineStr">
        <is>
          <t>Correo del sorteo y plan de correos</t>
        </is>
      </c>
      <c r="E30" s="7" t="inlineStr">
        <is>
          <t>Diagnóstico del texto plano, plan Resend y mensajes WhatsApp. Pendientes P-117 y P-123.</t>
        </is>
      </c>
    </row>
    <row r="31">
      <c r="A31" s="8" t="inlineStr">
        <is>
          <t>2026-10-02</t>
        </is>
      </c>
      <c r="B31" s="4" t="inlineStr">
        <is>
          <t>ga-escritor-tests</t>
        </is>
      </c>
      <c r="C31" s="8" t="inlineStr">
        <is>
          <t>4.18</t>
        </is>
      </c>
      <c r="D31" s="7" t="inlineStr">
        <is>
          <t>Pruebas por reglas nuevas</t>
        </is>
      </c>
      <c r="E31" s="7" t="inlineStr">
        <is>
          <t>Admin sin restricción sobre sus clientes, PP no seleccionable; pgTAP, vitest 628 y e2e en verde.</t>
        </is>
      </c>
    </row>
    <row r="32">
      <c r="A32" s="8" t="inlineStr">
        <is>
          <t>2026-10-02</t>
        </is>
      </c>
      <c r="B32" s="4" t="inlineStr">
        <is>
          <t>ga-funcionalidad-botones</t>
        </is>
      </c>
      <c r="C32" s="8" t="inlineStr">
        <is>
          <t>4.17</t>
        </is>
      </c>
      <c r="D32" s="7" t="inlineStr">
        <is>
          <t>Correcciones SEC-REC-01 a 05</t>
        </is>
      </c>
      <c r="E32" s="7" t="inlineStr">
        <is>
          <t>WhatsApp al celular del perfil, cierre de sesiones, trigger en auth.users como compensación de SEC-REC-02.</t>
        </is>
      </c>
    </row>
    <row r="33">
      <c r="A33" s="8" t="inlineStr">
        <is>
          <t>2026-10-02</t>
        </is>
      </c>
      <c r="B33" s="4" t="inlineStr">
        <is>
          <t>ga-revisor-seguridad</t>
        </is>
      </c>
      <c r="C33" s="8" t="inlineStr">
        <is>
          <t>4.17</t>
        </is>
      </c>
      <c r="D33" s="7" t="inlineStr">
        <is>
          <t>Revisión de la recuperación de acceso</t>
        </is>
      </c>
      <c r="E33" s="7" t="inlineStr">
        <is>
          <t>2 altos (SEC-REC-01 y 02) de toma de cuenta.</t>
        </is>
      </c>
    </row>
    <row r="34">
      <c r="A34" s="8" t="inlineStr">
        <is>
          <t>2026-10-02</t>
        </is>
      </c>
      <c r="B34" s="4" t="inlineStr">
        <is>
          <t>ga-funcionalidad-botones</t>
        </is>
      </c>
      <c r="C34" s="8" t="inlineStr">
        <is>
          <t>4.17</t>
        </is>
      </c>
      <c r="D34" s="7" t="inlineStr">
        <is>
          <t>Recuperación de acceso (20261002500000)</t>
        </is>
      </c>
      <c r="E34" s="7" t="inlineStr">
        <is>
          <t>/ingresar/recuperar, cambio de correo asistido y propio; pgTAP 27.</t>
        </is>
      </c>
    </row>
    <row r="35">
      <c r="A35" s="8" t="inlineStr">
        <is>
          <t>2026-10-02</t>
        </is>
      </c>
      <c r="B35" s="7" t="inlineStr">
        <is>
          <t>agente de documentos de entrega</t>
        </is>
      </c>
      <c r="C35" s="8" t="inlineStr">
        <is>
          <t>6.26</t>
        </is>
      </c>
      <c r="D35" s="7" t="inlineStr">
        <is>
          <t>Documentos de entrega</t>
        </is>
      </c>
      <c r="E35" s="7" t="inlineStr">
        <is>
          <t>docs/entrega/ (documentación técnica, respaldo, anexos 2 y 3, actas) y scripts/respaldo.sh.</t>
        </is>
      </c>
    </row>
    <row r="36">
      <c r="A36" s="8" t="inlineStr">
        <is>
          <t>2026-10-02</t>
        </is>
      </c>
      <c r="B36" s="4" t="inlineStr">
        <is>
          <t>ga-funcionalidad-botones</t>
        </is>
      </c>
      <c r="C36" s="8" t="inlineStr">
        <is>
          <t>5.14</t>
        </is>
      </c>
      <c r="D36" s="7" t="inlineStr">
        <is>
          <t>PDF del carné</t>
        </is>
      </c>
      <c r="E36" s="7" t="inlineStr">
        <is>
          <t>/cuenta/carne/pdf con pdf-lib + qrcode; vitest y e2e M2.</t>
        </is>
      </c>
    </row>
    <row r="37">
      <c r="A37" s="8" t="inlineStr">
        <is>
          <t>2026-10-02</t>
        </is>
      </c>
      <c r="B37" s="4" t="inlineStr">
        <is>
          <t>ga-funcionalidad-botones</t>
        </is>
      </c>
      <c r="C37" s="8" t="inlineStr">
        <is>
          <t>4.16</t>
        </is>
      </c>
      <c r="D37" s="7" t="inlineStr">
        <is>
          <t>Ajustes de entrega (20261002400000)</t>
        </is>
      </c>
      <c r="E37" s="7" t="inlineStr">
        <is>
          <t>Tope de toques por meta, verificar_carne solo activos, regenerar 1/min, grado con nombre; pgTAP 26.</t>
        </is>
      </c>
    </row>
    <row r="38">
      <c r="A38" s="8" t="inlineStr">
        <is>
          <t>2026-10-02</t>
        </is>
      </c>
      <c r="B38" s="4" t="inlineStr">
        <is>
          <t>ga-verificador-qa</t>
        </is>
      </c>
      <c r="C38" s="8" t="inlineStr">
        <is>
          <t>4.16, 5.14</t>
        </is>
      </c>
      <c r="D38" s="7" t="inlineStr">
        <is>
          <t>e2e de premios, carné con QR e inscritos</t>
        </is>
      </c>
      <c r="E38" s="7" t="inlineStr">
        <is>
          <t>Escritorio 188 / celular 148 pasan, 0 fallan; m-premios-qr-sorteo.spec.ts.</t>
        </is>
      </c>
    </row>
    <row r="39">
      <c r="A39" s="8" t="inlineStr">
        <is>
          <t>2026-10-02</t>
        </is>
      </c>
      <c r="B39" s="4" t="inlineStr">
        <is>
          <t>ga-revisor-seguridad</t>
        </is>
      </c>
      <c r="C39" s="8" t="inlineStr">
        <is>
          <t>4.16, 5.14</t>
        </is>
      </c>
      <c r="D39" s="7" t="inlineStr">
        <is>
          <t>Revisión de premios, QR y sorteo</t>
        </is>
      </c>
      <c r="E39" s="7" t="inlineStr">
        <is>
          <t>Sin críticos ni altos; medios/bajos atendidos en 20261002400000. Nombre público en /verificar: P-125.</t>
        </is>
      </c>
    </row>
    <row r="40">
      <c r="A40" s="8" t="inlineStr">
        <is>
          <t>2026-10-01</t>
        </is>
      </c>
      <c r="B40" s="4" t="inlineStr">
        <is>
          <t>sesión principal</t>
        </is>
      </c>
      <c r="C40" s="8" t="inlineStr">
        <is>
          <t>6.23, 6.24, P-73, P-51, P-57, P-66, P-67, 6.25</t>
        </is>
      </c>
      <c r="D40" s="7" t="inlineStr">
        <is>
          <t>Migraciones aplicadas, pago a Carlos y cierres verificados</t>
        </is>
      </c>
      <c r="E40" s="7" t="inlineStr">
        <is>
          <t>20261001000000 y 20261001100000 aplicadas en producción; pago de 150.000 COP a Carlos hecho. P-51, P-57, P-66 y P-67 verificados contra el código y cerrados. Nuevo 6.25/P-114: Sebas aplica 20261002000000 y fusiona develop→main (e2523de).</t>
        </is>
      </c>
    </row>
    <row r="41">
      <c r="A41" s="8" t="inlineStr">
        <is>
          <t>2026-10-01</t>
        </is>
      </c>
      <c r="B41" s="4" t="inlineStr">
        <is>
          <t>ga-diseno-a-codigo</t>
        </is>
      </c>
      <c r="C41" s="8" t="inlineStr">
        <is>
          <t>5.12, 5.9</t>
        </is>
      </c>
      <c r="D41" s="7" t="inlineStr">
        <is>
          <t>D-25 y D-26 al código</t>
        </is>
      </c>
      <c r="E41" s="7" t="inlineStr">
        <is>
          <t>Carné con wordmark blanco y enlace a convenios (700 px); logo de marca en tarjeta, chip y detalle con respaldo; GestorConvenios al lienzo 3v.</t>
        </is>
      </c>
    </row>
    <row r="42">
      <c r="A42" s="8" t="inlineStr">
        <is>
          <t>2026-10-01</t>
        </is>
      </c>
      <c r="B42" s="4" t="inlineStr">
        <is>
          <t>ga-verificador-qa</t>
        </is>
      </c>
      <c r="C42" s="8" t="inlineStr">
        <is>
          <t>5.9, 5.12, 6.3</t>
        </is>
      </c>
      <c r="D42" s="7" t="inlineStr">
        <is>
          <t>e2e final en verde</t>
        </is>
      </c>
      <c r="E42" s="7" t="inlineStr">
        <is>
          <t>Escritorio 174/3 (fallas de prueba corregidas), celular 146/0; nueva l-convenios-carne.spec.ts. QA-07 (textos con SVG) y QA-08 corregidos.</t>
        </is>
      </c>
    </row>
    <row r="43">
      <c r="A43" s="8" t="inlineStr">
        <is>
          <t>2026-10-01</t>
        </is>
      </c>
      <c r="B43" s="4" t="inlineStr">
        <is>
          <t>ga-disenador-lienzo</t>
        </is>
      </c>
      <c r="C43" s="8" t="inlineStr">
        <is>
          <t>5.12, 5.9</t>
        </is>
      </c>
      <c r="D43" s="7" t="inlineStr">
        <is>
          <t>Lienzo t3: 3u, 3v, 3w (D-25, D-26)</t>
        </is>
      </c>
      <c r="E43" s="7" t="inlineStr">
        <is>
          <t>Carné virtual, /admin/convenios y logo en tarjetas/chips/detalle. Decisión pendiente de la cooperativa sobre QR en el carné (P-115).</t>
        </is>
      </c>
    </row>
    <row r="44">
      <c r="A44" s="8" t="inlineStr">
        <is>
          <t>2026-10-01</t>
        </is>
      </c>
      <c r="B44" s="4" t="inlineStr">
        <is>
          <t>ga-revisor-seguridad</t>
        </is>
      </c>
      <c r="C44" s="8" t="inlineStr">
        <is>
          <t>5.9, P-68</t>
        </is>
      </c>
      <c r="D44" s="7" t="inlineStr">
        <is>
          <t>Revisión sin críticos ni altos</t>
        </is>
      </c>
      <c r="E44" s="7" t="inlineStr">
        <is>
          <t>S-30 (filtro SVG saltable) y S-32 corregidos según la sesión principal; S-31 aceptado como bajo. npm audit 0.</t>
        </is>
      </c>
    </row>
    <row r="45">
      <c r="A45" s="8" t="inlineStr">
        <is>
          <t>2026-10-01</t>
        </is>
      </c>
      <c r="B45" s="4" t="inlineStr">
        <is>
          <t>ga-funcionalidad-botones</t>
        </is>
      </c>
      <c r="C45" s="8" t="inlineStr">
        <is>
          <t>5.9, P-68</t>
        </is>
      </c>
      <c r="D45" s="7" t="inlineStr">
        <is>
          <t>/admin/convenios hecho</t>
        </is>
      </c>
      <c r="E45" s="7" t="inlineStr">
        <is>
          <t>CRUD con exigirAdmin + zod + registro, logo validado en servidor; landing y /cuenta leen de la tabla con respaldo; 30 pruebas unitarias nuevas, vitest 582 y build en verde.</t>
        </is>
      </c>
    </row>
    <row r="46">
      <c r="A46" s="8" t="inlineStr">
        <is>
          <t>2026-10-01</t>
        </is>
      </c>
      <c r="B46" s="4" t="inlineStr">
        <is>
          <t>ga-auditor-supabase</t>
        </is>
      </c>
      <c r="C46" s="8" t="inlineStr">
        <is>
          <t>5.9, P-68, P-88</t>
        </is>
      </c>
      <c r="D46" s="7" t="inlineStr">
        <is>
          <t>Migración 20261002000000 y F2-08</t>
        </is>
      </c>
      <c r="E46" s="7" t="inlineStr">
        <is>
          <t>Convenios administrables (orden, visible, logo_path, medios, bucket convenios-logos solo admin) y corrección F2-08; pgTAP 23 archivos / 522 pruebas en verde. Sin aplicar en producción (6.25/P-114).</t>
        </is>
      </c>
    </row>
    <row r="47">
      <c r="A47" s="8" t="inlineStr">
        <is>
          <t>2026-10-01</t>
        </is>
      </c>
      <c r="B47" s="4" t="inlineStr">
        <is>
          <t>ga-diseno-a-codigo</t>
        </is>
      </c>
      <c r="C47" s="8" t="inlineStr">
        <is>
          <t>5.12, P-109, P-53</t>
        </is>
      </c>
      <c r="D47" s="7" t="inlineStr">
        <is>
          <t>Carné virtual y logo bajo 360 px</t>
        </is>
      </c>
      <c r="E47" s="7" t="inlineStr">
        <is>
          <t>CarneVirtual.tsx en /cuenta; el logo horizontal oculta «COOPERATIVA» bajo 360 px. Pidió D-25 al lienzo.</t>
        </is>
      </c>
    </row>
    <row r="48">
      <c r="A48" s="8" t="inlineStr">
        <is>
          <t>2026-10-01</t>
        </is>
      </c>
      <c r="B48" s="4" t="inlineStr">
        <is>
          <t>sesión principal</t>
        </is>
      </c>
      <c r="C48" s="8" t="inlineStr">
        <is>
          <t>6.23, 6.24</t>
        </is>
      </c>
      <c r="D48" s="7" t="inlineStr">
        <is>
          <t>QA-06 corregido y develop subido</t>
        </is>
      </c>
      <c r="E48" s="7" t="inlineStr">
        <is>
          <t>Aviso de cuenta inactiva en app/ingresar/actions.ts; y-tanda2 escritorio 14/14; commit 7526e7d en develop. Pendiente de Sebas: db push --linked de 20261001000000 y 20261001100000 y fusionar develop→main.</t>
        </is>
      </c>
    </row>
    <row r="49">
      <c r="A49" s="8" t="inlineStr">
        <is>
          <t>2026-10-01</t>
        </is>
      </c>
      <c r="B49" s="4" t="inlineStr">
        <is>
          <t>ga-verificador-qa</t>
        </is>
      </c>
      <c r="C49" s="8" t="inlineStr">
        <is>
          <t>6.21, 6.15</t>
        </is>
      </c>
      <c r="D49" s="7" t="inlineStr">
        <is>
          <t>6.21 Hecho; 6.15 desbloqueada (En curso)</t>
        </is>
      </c>
      <c r="E49" s="7" t="inlineStr">
        <is>
          <t>E2E ajustadas a v3/S-06/crédito: escritorio 171/4, celular 143/3, fallas corregidas y confirmadas. Bug QA-06 reportado.</t>
        </is>
      </c>
    </row>
    <row r="50">
      <c r="A50" s="8" t="inlineStr">
        <is>
          <t>2026-10-01</t>
        </is>
      </c>
      <c r="B50" s="4" t="inlineStr">
        <is>
          <t>ga-funcionalidad-botones</t>
        </is>
      </c>
      <c r="C50" s="8" t="inlineStr">
        <is>
          <t>P-48</t>
        </is>
      </c>
      <c r="D50" s="7" t="inlineStr">
        <is>
          <t>QA-01 a QA-05 de /afiliacion corregidos</t>
        </is>
      </c>
      <c r="E50" s="7" t="inlineStr">
        <is>
          <t>Texto restaurado, contador, formulario con key (conserva selects, cierra F-01), aviso de fotos rechazadas, tabIndex de SelectBusqueda.</t>
        </is>
      </c>
    </row>
    <row r="51">
      <c r="A51" s="8" t="inlineStr">
        <is>
          <t>2026-10-01</t>
        </is>
      </c>
      <c r="B51" s="4" t="inlineStr">
        <is>
          <t>ga-auditor-supabase</t>
        </is>
      </c>
      <c r="C51" s="8" t="inlineStr">
        <is>
          <t>6.24, P-113</t>
        </is>
      </c>
      <c r="D51" s="7" t="inlineStr">
        <is>
          <t>pgTAP 20261001* en verde</t>
        </is>
      </c>
      <c r="E51" s="7" t="inlineStr">
        <is>
          <t>Arreglado admin_habilitar_credito (array_append) y pruebas 21 y 10; 22 archivos, 497 pruebas. Falta aplicar en remoto.</t>
        </is>
      </c>
    </row>
    <row r="52">
      <c r="A52" s="8" t="inlineStr">
        <is>
          <t>2026-10-01</t>
        </is>
      </c>
      <c r="B52" s="4" t="inlineStr">
        <is>
          <t>ga-diseno-a-codigo</t>
        </is>
      </c>
      <c r="C52" s="8" t="inlineStr">
        <is>
          <t>4.7, 4.8, 4.15</t>
        </is>
      </c>
      <c r="D52" s="7" t="inlineStr">
        <is>
          <t>Verificación visual tanda §13</t>
        </is>
      </c>
      <c r="E52" s="7" t="inlineStr">
        <is>
          <t>CuentaDemo, WhatsApp en el pie, paneles por estado y desembolsos, HabilitarCredito; tsc, lint, vitest 552 y build en verde.</t>
        </is>
      </c>
    </row>
    <row r="53">
      <c r="A53" s="8" t="inlineStr">
        <is>
          <t>2026-10-01</t>
        </is>
      </c>
      <c r="B53" s="4" t="inlineStr">
        <is>
          <t>ga-diseno-a-codigo</t>
        </is>
      </c>
      <c r="C53" s="8" t="inlineStr">
        <is>
          <t>4.15, 4.7, 4.8</t>
        </is>
      </c>
      <c r="D53" s="7" t="inlineStr">
        <is>
          <t>4.7, 4.8 y 4.15 Hecho</t>
        </is>
      </c>
      <c r="E53" s="7" t="inlineStr">
        <is>
          <t>Ícono WhatsApp en el pie, botón «Habilitar nuevo crédito», selector segmentado en la demo, 8 estados y KPI Desembolsos del mes en admin, chips en asesor. e2e sin ejecutar.</t>
        </is>
      </c>
    </row>
    <row r="54">
      <c r="A54" s="8" t="inlineStr">
        <is>
          <t>2026-10-01</t>
        </is>
      </c>
      <c r="B54" s="4" t="inlineStr">
        <is>
          <t>ga-funcionalidad-botones</t>
        </is>
      </c>
      <c r="C54" s="8" t="inlineStr">
        <is>
          <t>4.15, 4.7, 4.8</t>
        </is>
      </c>
      <c r="D54" s="7" t="inlineStr">
        <is>
          <t>Pedidos §13 en servidor y front</t>
        </is>
      </c>
      <c r="E54" s="7" t="inlineStr">
        <is>
          <t>Correos con respaldo en texto plano y log correo_plantilla_faltante; acción Habilitar crédito; /cuenta con tarjeta vacía; loaders con por_estado_proceso y desembolsos_mes; demo Policía/Ejército; wa.me en el pie. 552 vitest y build en verde.</t>
        </is>
      </c>
    </row>
    <row r="55">
      <c r="A55" s="8" t="inlineStr">
        <is>
          <t>2026-10-01</t>
        </is>
      </c>
      <c r="B55" s="4" t="inlineStr">
        <is>
          <t>ga-auditor-supabase</t>
        </is>
      </c>
      <c r="C55" s="8" t="inlineStr">
        <is>
          <t>4.15, 4.7, 4.8, P-112, 6.24, P-113</t>
        </is>
      </c>
      <c r="D55" s="7" t="inlineStr">
        <is>
          <t>Migración 20261001100000 y pgTAP 21</t>
        </is>
      </c>
      <c r="E55" s="7" t="inlineStr">
        <is>
          <t>admin_habilitar_credito, mi_habilitacion_credito, por_estado_proceso y desembolsos_mes; listas blancas 00/15 (P-112 Hecho). Diagnóstico: el bloqueo tras rechazo es de pantalla, no de base. Sin db reset por Docker: nueva 6.24/P-113 (Sebas).</t>
        </is>
      </c>
    </row>
    <row r="56">
      <c r="A56" s="8" t="inlineStr">
        <is>
          <t>2026-10-01</t>
        </is>
      </c>
      <c r="B56" s="4" t="inlineStr">
        <is>
          <t>ga-verificador-qa</t>
        </is>
      </c>
      <c r="C56" s="8" t="inlineStr">
        <is>
          <t>6.15, 6.21</t>
        </is>
      </c>
      <c r="D56" s="7" t="inlineStr">
        <is>
          <t>E2E al día pero sin ejecutar: Bloqueado</t>
        </is>
      </c>
      <c r="E56" s="7" t="inlineStr">
        <is>
          <t>y-tanda2.spec.ts y ajustes de e2e (370 pruebas listadas, tsc y eslint en verde). Docker se cayó: Sebas reinicia Docker, db reset y corre Playwright.</t>
        </is>
      </c>
    </row>
    <row r="57">
      <c r="A57" s="8" t="inlineStr">
        <is>
          <t>2026-09-30</t>
        </is>
      </c>
      <c r="B57" s="4" t="inlineStr">
        <is>
          <t>ga-diseno-a-codigo</t>
        </is>
      </c>
      <c r="C57" s="8" t="inlineStr">
        <is>
          <t>4.7, 4.8, 5.6</t>
        </is>
      </c>
      <c r="D57" s="7" t="inlineStr">
        <is>
          <t>Pantallas Resumen y /cuenta/solicitar en código</t>
        </is>
      </c>
      <c r="E57" s="7" t="inlineStr">
        <is>
          <t>4.7 y 4.8 En curso: falta estado_proceso y desembolsos del mes en las RPC y decisión P-111. tsc, lint, vitest y build en verde.</t>
        </is>
      </c>
    </row>
    <row r="58">
      <c r="A58" s="8" t="inlineStr">
        <is>
          <t>2026-09-30</t>
        </is>
      </c>
      <c r="B58" s="4" t="inlineStr">
        <is>
          <t>ga-funcionalidad-botones</t>
        </is>
      </c>
      <c r="C58" s="8" t="inlineStr">
        <is>
          <t>2.11, 4.3, 4.7, 4.8</t>
        </is>
      </c>
      <c r="D58" s="7" t="inlineStr">
        <is>
          <t>F-01 corregido, revalidación de /cuenta y loaders de métricas</t>
        </is>
      </c>
      <c r="E58" s="7" t="inlineStr">
        <is>
          <t>2.11 y 4.3 Hecho. Afiliación guarda version_politica_datos; loaders cargarMetricasAdmin/Asesor con 8 pruebas (523 vitest en verde).</t>
        </is>
      </c>
    </row>
    <row r="59">
      <c r="A59" s="8" t="inlineStr">
        <is>
          <t>2026-09-30</t>
        </is>
      </c>
      <c r="B59" s="4" t="inlineStr">
        <is>
          <t>ga-auditor-supabase</t>
        </is>
      </c>
      <c r="C59" s="8" t="inlineStr">
        <is>
          <t>P-55, 4.7, 4.8, 6.23</t>
        </is>
      </c>
      <c r="D59" s="7" t="inlineStr">
        <is>
          <t>Migración 20261001000000 y pgTAP 20</t>
        </is>
      </c>
      <c r="E59" s="7" t="inlineStr">
        <is>
          <t>version_politica_datos sellada, revoke de limites_intentos_id_seq, RPC de métricas solo con conteos; 16 pruebas en verde. Sin aplicar: nueva 6.23/P-110. Listas blancas pgTAP: P-112.</t>
        </is>
      </c>
    </row>
    <row r="60">
      <c r="A60" s="8" t="inlineStr">
        <is>
          <t>2026-09-30</t>
        </is>
      </c>
      <c r="B60" s="4" t="inlineStr">
        <is>
          <t>ga-disenador-lienzo</t>
        </is>
      </c>
      <c r="C60" s="8" t="inlineStr">
        <is>
          <t>4.7, 4.8, 5.6</t>
        </is>
      </c>
      <c r="D60" s="7" t="inlineStr">
        <is>
          <t>Lienzo 3r, 3s, 3t</t>
        </is>
      </c>
      <c r="E60" s="7" t="inlineStr">
        <is>
          <t>Dashboards admin y asesor y /cuenta/solicitar maquetados en el lienzo (D-22 a D-24). 5.6 Hecho.</t>
        </is>
      </c>
    </row>
    <row r="61">
      <c r="A61" s="8" t="inlineStr">
        <is>
          <t>2026-09-30</t>
        </is>
      </c>
      <c r="B61" s="4" t="inlineStr">
        <is>
          <t>ga-funcionalidad-botones</t>
        </is>
      </c>
      <c r="C61" s="8" t="inlineStr">
        <is>
          <t>P-81 (política v1.0)</t>
        </is>
      </c>
      <c r="D61" s="7" t="inlineStr">
        <is>
          <t>Política de datos v1.0 publicada en código</t>
        </is>
      </c>
      <c r="E61" s="7" t="inlineStr">
        <is>
          <t>/politica-de-datos con 28 secciones, anexo, índice, aviso de revisión jurídica en 7.3, 8 y 18 y botón PDF. Por definir: horario, órgano y acta de aprobación.</t>
        </is>
      </c>
    </row>
    <row r="62">
      <c r="A62" s="8" t="inlineStr">
        <is>
          <t>2026-09-30</t>
        </is>
      </c>
      <c r="B62" s="4" t="inlineStr">
        <is>
          <t>sesión principal (Sebas)</t>
        </is>
      </c>
      <c r="C62" s="8" t="inlineStr">
        <is>
          <t>6.22; P-20, P-21, P-43, P-45, P-105</t>
        </is>
      </c>
      <c r="D62" s="7" t="inlineStr">
        <is>
          <t>Tanda 2 en producción y pendientes de configuración cerrados</t>
        </is>
      </c>
      <c r="E62" s="7" t="inlineStr">
        <is>
          <t>Sebas aplicó las 7 migraciones 20260930200* y fusionó develop→main. Hechos: P-20 (plantilla del código), P-43 (límite de intentos), P-45 (ajustes OTP), P-105 (CRON_SECRET y plantilla del aviso institucional). P-21 cancelado: el límite de Resend no preocupa por ahora. P-54 y P-73 siguen pendientes.</t>
        </is>
      </c>
    </row>
    <row r="63">
      <c r="A63" s="8" t="inlineStr">
        <is>
          <t>2026-09-30</t>
        </is>
      </c>
      <c r="B63" s="4" t="inlineStr">
        <is>
          <t>sesión principal (Sebas)</t>
        </is>
      </c>
      <c r="C63" s="8" t="inlineStr">
        <is>
          <t>5.4, 6.21, 6.22; P-81</t>
        </is>
      </c>
      <c r="D63" s="7" t="inlineStr">
        <is>
          <t>Política v1 en publicación; tanda 2 en develop</t>
        </is>
      </c>
      <c r="E63" s="7" t="inlineStr">
        <is>
          <t>Tanda 2 en develop e4b8350 con 7 migraciones 20260930200* por aplicar y develop a main pendiente (6.22). Política v1 del Dr. Breinner con 7.3, 8 y 18 en revisión. E2E desactualizadas (6.21). Copia de seguridad de producción del 30-sep.</t>
        </is>
      </c>
    </row>
    <row r="64">
      <c r="A64" s="8" t="inlineStr">
        <is>
          <t>2026-09-30</t>
        </is>
      </c>
      <c r="B64" s="4" t="inlineStr">
        <is>
          <t>ga-diseno-a-codigo</t>
        </is>
      </c>
      <c r="C64" s="8" t="inlineStr">
        <is>
          <t>5.13</t>
        </is>
      </c>
      <c r="D64" s="7" t="inlineStr">
        <is>
          <t>Medios en el detalle de convenios</t>
        </is>
      </c>
      <c r="E64" s="7" t="inlineStr">
        <is>
          <t>Videos y PDF de Racing Tours mapeados por NIT en lib/convenios.ts; develop 4357939 (video de Locos en politica-datos-v1).</t>
        </is>
      </c>
    </row>
    <row r="65">
      <c r="A65" s="8" t="inlineStr">
        <is>
          <t>2026-09-30</t>
        </is>
      </c>
      <c r="B65" s="4" t="inlineStr">
        <is>
          <t>ga-auditor-supabase</t>
        </is>
      </c>
      <c r="C65" s="8" t="inlineStr">
        <is>
          <t>4.14, 6.22</t>
        </is>
      </c>
      <c r="D65" s="7" t="inlineStr">
        <is>
          <t>SP remapeado a IJ (§12.14)</t>
        </is>
      </c>
      <c r="E65" s="7" t="inlineStr">
        <is>
          <t>En la migración 20260930200100 (sin aplicar); R-10/R-11 decididos; pgTAP, db reset y vitest en verde.</t>
        </is>
      </c>
    </row>
    <row r="66">
      <c r="A66" s="8" t="inlineStr">
        <is>
          <t>2026-09-30</t>
        </is>
      </c>
      <c r="B66" s="7" t="inlineStr">
        <is>
          <t>ga-disenador-lienzo + ga-auditor-supabase + ga-funcionalidad-botones + ga-diseno-a-codigo</t>
        </is>
      </c>
      <c r="C66" s="8" t="inlineStr">
        <is>
          <t>4.14, 6.21, 6.22, 5.11, 5.12</t>
        </is>
      </c>
      <c r="D66" s="7" t="inlineStr">
        <is>
          <t>Tanda 2 (§12) hecha en local</t>
        </is>
      </c>
      <c r="E66" s="7" t="inlineStr">
        <is>
          <t>Lienzo 3q, migraciones 20260930200000–200600 (pgTAP 464/464), acciones y UI (vitest 516, build en verde). Sin aplicar en producción. Backlog §12.12 agregado.</t>
        </is>
      </c>
    </row>
    <row r="67">
      <c r="A67" s="8" t="inlineStr">
        <is>
          <t>2026-09-30</t>
        </is>
      </c>
      <c r="B67" s="4" t="inlineStr">
        <is>
          <t>ga-enlace-cooperativa</t>
        </is>
      </c>
      <c r="C67" s="8" t="inlineStr">
        <is>
          <t>P-14, P-47, P-76..P-80, P-90..P-93, P-97; P-106</t>
        </is>
      </c>
      <c r="D67" s="7" t="inlineStr">
        <is>
          <t>Respuestas de la cooperativa</t>
        </is>
      </c>
      <c r="E67" s="7" t="inlineStr">
        <is>
          <t>docs/cooperativa/preguntas.md. R-10 y R-11 cerrados por Sebas (§12.14, SP a IJ); abierta R-09.</t>
        </is>
      </c>
    </row>
    <row r="68">
      <c r="A68" s="8" t="inlineStr">
        <is>
          <t>2026-09-30</t>
        </is>
      </c>
      <c r="B68" s="4" t="inlineStr">
        <is>
          <t>sesión principal (Sebas)</t>
        </is>
      </c>
      <c r="C68" s="8" t="inlineStr">
        <is>
          <t>1.8, 6.20, 5.10, 4.7, 4.8, 5.9, 6.14, 6.15; P-104, P-46, P-75, P-69, P-72, P-73</t>
        </is>
      </c>
      <c r="D68" s="7" t="inlineStr">
        <is>
          <t>C+ y tanda 1 de Ricardo en producción; Carlos sale</t>
        </is>
      </c>
      <c r="E68" s="7" t="inlineStr">
        <is>
          <t>PR develop a main de C+ fusionado; PR #5 fusionado y 19 migraciones aplicadas. Asesores Miguel Rueda, Rafael González y Nany Barón creados. Vercel Pro (cron cada hora). Carlos Pardo no sigue: se le pagan 150.000 COP; sus tareas pasan a agentes/Sebas (5.10 ya hecha).</t>
        </is>
      </c>
    </row>
    <row r="69">
      <c r="A69" s="8" t="inlineStr">
        <is>
          <t>2026-09-30</t>
        </is>
      </c>
      <c r="B69" s="4" t="inlineStr">
        <is>
          <t>ga-correos</t>
        </is>
      </c>
      <c r="C69" s="8" t="inlineStr">
        <is>
          <t>4.13; P-105</t>
        </is>
      </c>
      <c r="D69" s="7" t="inlineStr">
        <is>
          <t>Plantilla ga-aviso-institucional</t>
        </is>
      </c>
      <c r="E69" s="7" t="inlineStr">
        <is>
          <t>docs/resend/aviso-institucional.*; falta publicarla y crear la variable en Vercel.</t>
        </is>
      </c>
    </row>
    <row r="70">
      <c r="A70" s="8" t="inlineStr">
        <is>
          <t>2026-09-30</t>
        </is>
      </c>
      <c r="B70" s="4" t="inlineStr">
        <is>
          <t>ga-revisor-seguridad</t>
        </is>
      </c>
      <c r="C70" s="8" t="inlineStr">
        <is>
          <t>6.2, 4.13</t>
        </is>
      </c>
      <c r="D70" s="7" t="inlineStr">
        <is>
          <t>Dos pasadas de seguridad</t>
        </is>
      </c>
      <c r="E70" s="7" t="inlineStr">
        <is>
          <t>RS-01 a RS-22 sobre migraciones y pantallas de Ricardo. 6.2 sigue En curso (depende de 4.3).</t>
        </is>
      </c>
    </row>
    <row r="71">
      <c r="A71" s="8" t="inlineStr">
        <is>
          <t>2026-09-30</t>
        </is>
      </c>
      <c r="B71" s="4" t="inlineStr">
        <is>
          <t>ga-diseno-a-codigo</t>
        </is>
      </c>
      <c r="C71" s="8" t="inlineStr">
        <is>
          <t>4.13</t>
        </is>
      </c>
      <c r="D71" s="7" t="inlineStr">
        <is>
          <t>UI 3j–3p</t>
        </is>
      </c>
      <c r="E71" s="7" t="inlineStr">
        <is>
          <t>Pantallas y revisión de diseño A1–A3.</t>
        </is>
      </c>
    </row>
    <row r="72">
      <c r="A72" s="8" t="inlineStr">
        <is>
          <t>2026-09-30</t>
        </is>
      </c>
      <c r="B72" s="4" t="inlineStr">
        <is>
          <t>ga-funcionalidad-botones</t>
        </is>
      </c>
      <c r="C72" s="8" t="inlineStr">
        <is>
          <t>4.13</t>
        </is>
      </c>
      <c r="D72" s="7" t="inlineStr">
        <is>
          <t>Lógica y datos de 3j–3p y correcciones de seguridad</t>
        </is>
      </c>
      <c r="E72" s="7" t="inlineStr">
        <is>
          <t>RS-01..RS-22 de código, limpieza de fotos por RPC (5.10), aviso institucional siempre. vitest 503, build en verde.</t>
        </is>
      </c>
    </row>
    <row r="73">
      <c r="A73" s="8" t="inlineStr">
        <is>
          <t>2026-09-30</t>
        </is>
      </c>
      <c r="B73" s="4" t="inlineStr">
        <is>
          <t>ga-disenador-lienzo</t>
        </is>
      </c>
      <c r="C73" s="8" t="inlineStr">
        <is>
          <t>4.12</t>
        </is>
      </c>
      <c r="D73" s="7" t="inlineStr">
        <is>
          <t>Lienzo 3j–3p</t>
        </is>
      </c>
      <c r="E73" s="7" t="inlineStr">
        <is>
          <t>Piezas 3j–3n, 3o/3p (D-15, D-16) y revisión de fidelidad.</t>
        </is>
      </c>
    </row>
    <row r="74">
      <c r="A74" s="8" t="inlineStr">
        <is>
          <t>2026-09-30</t>
        </is>
      </c>
      <c r="B74" s="4" t="inlineStr">
        <is>
          <t>ga-auditor-supabase</t>
        </is>
      </c>
      <c r="C74" s="8" t="inlineStr">
        <is>
          <t>4.12; P-46</t>
        </is>
      </c>
      <c r="D74" s="7" t="inlineStr">
        <is>
          <t>Migraciones tanda 1 de Ricardo (29/30-sep)</t>
        </is>
      </c>
      <c r="E74" s="7" t="inlineStr">
        <is>
          <t>20260929100000..100700, 20260930100000..100500: grados, nómina, proceso ejecutivo, alertas, comisiones con pagos editables, tasa oculta (P-100), crédito solo en «operando», segunda pasada RS-17/18/20/21. pgTAP en verde.</t>
        </is>
      </c>
    </row>
    <row r="75">
      <c r="A75" s="8" t="inlineStr">
        <is>
          <t>2026-09-29</t>
        </is>
      </c>
      <c r="B75" s="4" t="inlineStr">
        <is>
          <t>sesión principal</t>
        </is>
      </c>
      <c r="C75" s="8" t="inlineStr">
        <is>
          <t>4.7, 4.8, 5.9, 5.10, 6.14, 6.15; P-69, P-72</t>
        </is>
      </c>
      <c r="D75" s="7" t="inlineStr">
        <is>
          <t>Primera entrega de Carlos Pardo revisada: NO fusionable</t>
        </is>
      </c>
      <c r="E75" s="7" t="inlineStr">
        <is>
          <t>Revisión del ZIP del repo privado de Carlos (base main anterior al rediseño C+, no rediseno-c-plus). Motivos: reintroduce la fuga F2-03 y pierde el revoke en resumen_clientes_asesor; el motivo de rechazo de afiliación usa una columna inexistente sin migración (rechazar dejaría de funcionar); convenios administrables usa columnas y un bucket de Storage inexistentes y acciones sin exigirAdmin ni validación; la purga Ley 1581 usa columnas/bucket equivocados y el cron queda abierto si falta CRON_SECRET; claves en .env.example, console.log y configuración de túnel; borra /asesor/demo (ya en producción) y renombra /cuenta/solicitar (ya en producción); sin pruebas. Se le envió a Carlos la lista de correcciones para rehacer el encargo sobre rediseno-c-plus, con un PR por tarea. 4.7, 4.8, 5.9, 5.10, 6.14 y 6.15 siguen Pendiente; P-69 con el mismo detalle y P-72 (acceso de colaborador en GitHub) sigue En curso, con la nota de que el ZIP en vez de un PR sugiere que ese acceso todavía no está confirmado.</t>
        </is>
      </c>
    </row>
    <row r="76">
      <c r="A76" s="8" t="inlineStr">
        <is>
          <t>2026-09-29</t>
        </is>
      </c>
      <c r="B76" s="4" t="inlineStr">
        <is>
          <t>sesión principal</t>
        </is>
      </c>
      <c r="C76" s="8" t="inlineStr">
        <is>
          <t>6.18; nuevo P-104</t>
        </is>
      </c>
      <c r="D76" s="7" t="inlineStr">
        <is>
          <t>Push y fusión de rediseno-c-plus a develop autorizados por Sebas; 6.18 pasa a Hecho</t>
        </is>
      </c>
      <c r="E76" s="7" t="inlineStr">
        <is>
          <t>Con la suite e2e en 290/290, Sebas autorizó subir a producción el rediseño C+ con el arreglo de la tasa; la sesión principal fusionó rediseno-c-plus a develop y la subió a origin. 6.18 pasa a Hecho. Nuevo pendiente P-104 (Alta, responsable Sebas): falta que apruebe/fusione el PR develop → main para que Vercel despliegue en producción.</t>
        </is>
      </c>
    </row>
    <row r="77">
      <c r="A77" s="8" t="inlineStr">
        <is>
          <t>2026-09-29</t>
        </is>
      </c>
      <c r="B77" s="4" t="inlineStr">
        <is>
          <t>ga-verificador-qa</t>
        </is>
      </c>
      <c r="C77" s="8" t="inlineStr">
        <is>
          <t>6.18 (verificación pre-commit de rediseno-c-plus)</t>
        </is>
      </c>
      <c r="D77" s="7" t="inlineStr">
        <is>
          <t>Suite e2e completa 290/290 tras independizar las pruebas del crédito de ejemplo</t>
        </is>
      </c>
      <c r="E77" s="7" t="inlineStr">
        <is>
          <t>Encontró que, además del crédito huérfano ya corregido por el afterAll de la sesión principal, el segundo test de k-roles.spec.ts también resuelve el crédito del seed (cédula 1234567890), que queda inmutable por un trigger de negocio. Agregó restaurarCreditoDeEjemplo() en tests/e2e/utils.ts (borra y recrea la fila del seed) y la usó en c-cuenta.spec.ts, e-diseno.spec.ts e i-despliegue.spec.ts (sin tocar k-roles.spec.ts). Resultado: 4 suites afectadas en 0 fallas (antes 2), suite e2e completa 290/290 (antes 285/5), tsc/vitest (347)/lint/build en verde. Detalle en docs/verificaciones/2026-09-29-pre-commit.md. Listo para que la sesión principal haga el commit y la fusión a develop.</t>
        </is>
      </c>
    </row>
    <row r="78">
      <c r="A78" s="8" t="inlineStr">
        <is>
          <t>2026-09-27</t>
        </is>
      </c>
      <c r="B78" s="4" t="inlineStr">
        <is>
          <t>sesión principal</t>
        </is>
      </c>
      <c r="C78" s="8" t="inlineStr">
        <is>
          <t>2.14; P-103</t>
        </is>
      </c>
      <c r="D78" s="7" t="inlineStr">
        <is>
          <t>Se quita la sección de testimonios de la landing (decisión de Sebas)</t>
        </is>
      </c>
      <c r="E78" s="7" t="inlineStr">
        <is>
          <t>Commit 4c63924: sección de testimonios (que estaba oculta desde P-102 por tener textos de ejemplo) eliminada de la landing por decisión de Sebas. P-103 (D-07, ¿se mantiene la sección?) cierra Hecho con esa decisión: no se mantiene.</t>
        </is>
      </c>
    </row>
    <row r="79">
      <c r="A79" s="8" t="inlineStr">
        <is>
          <t>2026-09-27</t>
        </is>
      </c>
      <c r="B79" s="4" t="inlineStr">
        <is>
          <t>sesión principal</t>
        </is>
      </c>
      <c r="C79" s="8" t="inlineStr">
        <is>
          <t>4.11; P-95, P-96</t>
        </is>
      </c>
      <c r="D79" s="7" t="inlineStr">
        <is>
          <t>Sebas aprueba P-95 y P-96; ambos pasan a Hecho</t>
        </is>
      </c>
      <c r="E79" s="7" t="inlineStr">
        <is>
          <t>P-95 (botón «Escribir por WhatsApp» en el detalle de afiliación) aprobado tal cual estaba diseñado e implementado. P-96 (asignar asesor) aprobado con alcance limitado por ahora: solo asignar, solo cuando la afiliación está aprobada y el asociado todavía no tiene asesor; sin cambiar ni quitar un asesor ya asignado. La sesión principal agregó el estado «ya asignado» persistente al recargar (commit 3b5ae14), cerrando el residuo que había dejado ga-diseno-a-codigo.</t>
        </is>
      </c>
    </row>
    <row r="80">
      <c r="A80" s="8" t="inlineStr">
        <is>
          <t>2026-09-27</t>
        </is>
      </c>
      <c r="B80" s="4" t="inlineStr">
        <is>
          <t>ga-disenador-lienzo</t>
        </is>
      </c>
      <c r="C80" s="8" t="inlineStr">
        <is>
          <t>4.11 (revisión de diseño 3e/3i)</t>
        </is>
      </c>
      <c r="D80" s="7" t="inlineStr">
        <is>
          <t>Revisión de diseño aprobada con cambios menores</t>
        </is>
      </c>
      <c r="E80" s="7" t="inlineStr">
        <is>
          <t>Comparó el lienzo (piezas 3e/3i) contra PanelAfiliacionDetalle.tsx, AsignarAsesor.tsx, Iconos.tsx y lib/admin/whatsapp.ts. Veredicto: aprobado con cambios menores, incluido el estado «ya asignado» persistente al recargar. Corrigió 4 detalles menores en el propio lienzo (layout del botón de WhatsApp, glifo de las mini-muestras, foco sin halo extra, color suelto #182530 → token #1C2F3B). No tocó código. Detalle en docs/verificaciones/2026-09-27-revision-diseno-3e-3i.md.</t>
        </is>
      </c>
    </row>
    <row r="81">
      <c r="A81" s="8" t="inlineStr">
        <is>
          <t>2026-09-27</t>
        </is>
      </c>
      <c r="B81" s="4" t="inlineStr">
        <is>
          <t>ga-diseno-a-codigo</t>
        </is>
      </c>
      <c r="C81" s="8" t="inlineStr">
        <is>
          <t>4.11, P-95, P-96</t>
        </is>
      </c>
      <c r="D81" s="7" t="inlineStr">
        <is>
          <t>WhatsApp y bloque «Asesor» maquetados y conectados en código</t>
        </is>
      </c>
      <c r="E81" s="7" t="inlineStr">
        <is>
          <t>Botón «Escribir por WhatsApp» habilitado en PanelAfiliacionDetalle.tsx (enlace wa.me en pestaña nueva con mensaje prellenado, glifo SVG IconoWhatsapp, normalización pura del celular en lib/admin/whatsapp.ts con pruebas Vitest, estado deshabilitado con motivo si el celular no es válido). Bloque «Asesor» nuevo (components/admin/AsignarAsesor.tsx) conectado a asignarAsesor con useActionState y sus 5 estados; corrigió una condición de carrera real (revalidatePath refrescaba la página y dejaba perfilAsociado en null justo tras el éxito) «congelando» la prop inicial con useState en PanelAfiliacionDetalle. Prueba nueva en tests/e2e/k-roles.spec.ts. tsc, lint, build, vitest (360) y Playwright (k-roles, escritorio) en verde. Dejó abierto para la sesión principal el estado «ya asignado» persistente al recargar (requería tocar la página de servidor, fuera de su encargo); cerrado después por la sesión principal (commit 3b5ae14, ver más abajo).</t>
        </is>
      </c>
    </row>
    <row r="82">
      <c r="A82" s="8" t="inlineStr">
        <is>
          <t>2026-09-27</t>
        </is>
      </c>
      <c r="B82" s="4" t="inlineStr">
        <is>
          <t>ga-funcionalidad-botones</t>
        </is>
      </c>
      <c r="C82" s="8" t="inlineStr">
        <is>
          <t>4.11, P-96</t>
        </is>
      </c>
      <c r="D82" s="7" t="inlineStr">
        <is>
          <t>Server Action asignarAsesor lista en el servidor</t>
        </is>
      </c>
      <c r="E82" s="7" t="inlineStr">
        <is>
          <t>asignarAsesor en app/admin/afiliaciones/actions.ts (exigirAdmin, zod esquemaAsignarAsesor, re-verificación en servidor de afiliación aprobada + perfil sin asesor + update condicional .is("asesor_id", null)); app/admin/afiliaciones/[id]/page.tsx carga perfilAsociado y asesores solo cuando aplica y los pasa como props opcionales nuevas a PanelAfiliacionDetalle (sin maquetar nada, TODO hacia D-09). 14 pruebas nuevas (9 de la Server Action, 5 del esquema zod); tsc/lint/build/vitest en verde (334 pruebas). Confirmó que no hace falta una migración nueva: la RLS perfiles_update y el trigger proteger_campos_perfil ya permiten el cambio a un admin, con validar_perfil_asesor_id validando que el elegido tenga rol asesor. Queda para ga-diseno-a-codigo maquetar y conectar la pieza 3i.</t>
        </is>
      </c>
    </row>
    <row r="83">
      <c r="A83" s="8" t="inlineStr">
        <is>
          <t>2026-09-27</t>
        </is>
      </c>
      <c r="B83" s="4" t="inlineStr">
        <is>
          <t>ga-disenador-lienzo</t>
        </is>
      </c>
      <c r="C83" s="8" t="inlineStr">
        <is>
          <t>4.11 (D-08, D-09)</t>
        </is>
      </c>
      <c r="D83" s="7" t="inlineStr">
        <is>
          <t>Diseñado el botón WhatsApp habilitado (3e) y el bloque «Asesor» (3i) en el lienzo</t>
        </is>
      </c>
      <c r="E83" s="7" t="inlineStr">
        <is>
          <t>En docs/Green Alliance C+.dc.html: botón «Escribir por WhatsApp» de la pieza 3e con glifo oficial en SVG en línea y enlace wa.me con mensaje prellenado (4 estados: normal, hover, foco, deshabilitado por falta de celular); pieza 3i nueva, bloque «Asesor» para asignar perfiles.asesor_id a un asociado aprobado (estados sin elegir, asignando, éxito, error, ya asignado, sin asesores registrados). Trabajo nuevo dejado para ga-diseno-a-codigo: habilitar el botón en PanelAfiliacionDetalle.tsx y crear la Server Action «asignar asesor» sobre perfiles.asesor_id (sin migración nueva) más el bloque visible solo si la afiliación está aprobada y el asociado no tiene asesor.</t>
        </is>
      </c>
    </row>
    <row r="84">
      <c r="A84" s="8" t="inlineStr">
        <is>
          <t>2026-09-27</t>
        </is>
      </c>
      <c r="B84" s="4" t="inlineStr">
        <is>
          <t>sesión principal</t>
        </is>
      </c>
      <c r="C84" s="8" t="inlineStr">
        <is>
          <t>6.18</t>
        </is>
      </c>
      <c r="D84" s="7" t="inlineStr">
        <is>
          <t>Se corrige la dependencia de 6.18: ya no depende de 1.8</t>
        </is>
      </c>
      <c r="E84" s="7" t="inlineStr">
        <is>
          <t>6.18 (fusionar rediseno-c-plus a develop) dependía por error de 1.8 (aplicar las 5 migraciones de backend del rediseño). El código del rediseño funciona sin esas migraciones (KPIs con su propio fallback, tope real leído de grados_credito, nota interna oculta detrás de HISTORIAL_NOTAS_INTERNAS_HABILITADO=false) y lo que sí las necesita queda oculto hasta que se apliquen. Con 6.17 y 6.19 en Hecho, el rediseño C+ queda completo y verificado de punta a punta en la rama rediseno-c-plus (9 commits locales sobre develop, sin push); 6.18 queda Pendiente solo de que Sebas autorice el push de la rama y abra el PR a develop.</t>
        </is>
      </c>
    </row>
    <row r="85">
      <c r="A85" s="8" t="inlineStr">
        <is>
          <t>2026-09-27</t>
        </is>
      </c>
      <c r="B85" s="4" t="inlineStr">
        <is>
          <t>sesión principal</t>
        </is>
      </c>
      <c r="C85" s="8" t="inlineStr">
        <is>
          <t>6.17; 3.10, 4.10</t>
        </is>
      </c>
      <c r="D85" s="7" t="inlineStr">
        <is>
          <t>Correcciones responsive del C+ (commit b0239a8): barra inferior siempre visible en vez de oculta hasta el primer scroll</t>
        </is>
      </c>
      <c r="E85" s="7" t="inlineStr">
        <is>
          <t>Se descartó la solución de ga-diseno-a-codigo de ocultar la barra inferior de /cuenta y /asesor hasta el primer scroll (con `inert`) porque ocultar la navegación principal al cargar la página perjudicaba la usabilidad y la accesibilidad. En su lugar, la barra queda siempre visible con espacio reservado al final de la página. Incluye también las correcciones de admin en celular y de la vista en tarjetas de /admin/sorteo, y el contraste de /admin/demo. e2e k-roles, c-cuenta y f-accesibilidad en verde (50 pasadas) tras `supabase db reset`.</t>
        </is>
      </c>
    </row>
    <row r="86">
      <c r="A86" s="8" t="inlineStr">
        <is>
          <t>2026-09-27</t>
        </is>
      </c>
      <c r="B86" s="4" t="inlineStr">
        <is>
          <t>sesión principal</t>
        </is>
      </c>
      <c r="C86" s="8" t="inlineStr">
        <is>
          <t>4.11; 6.17</t>
        </is>
      </c>
      <c r="D86" s="7" t="inlineStr">
        <is>
          <t>Hallazgo 0 corregido en producción del rediseño (commit 846657b): colores del admin oscuro en su propio grupo de Tailwind</t>
        </is>
      </c>
      <c r="E86" s="7" t="inlineStr">
        <is>
          <t>Los colores bg-admin-*/text-admin-* estaban anidados bajo la paleta ga en tailwind.config.ts, por lo que Tailwind nunca generaba esas clases y el panel /admin se veía blanco/sin tema oscuro en todos los anchos. Se movieron a su propio grupo admin en tailwind.config.ts; pruebas de responsive actualizadas en el mismo commit.</t>
        </is>
      </c>
    </row>
    <row r="87">
      <c r="A87" s="8" t="inlineStr">
        <is>
          <t>2026-09-27</t>
        </is>
      </c>
      <c r="B87" s="4" t="inlineStr">
        <is>
          <t>ga-diseno-a-codigo</t>
        </is>
      </c>
      <c r="C87" s="8" t="inlineStr">
        <is>
          <t>6.17</t>
        </is>
      </c>
      <c r="D87" s="7" t="inlineStr">
        <is>
          <t>Corregidos todos los hallazgos del informe de responsive; 6.17 pasa a Hecho en su parte de código</t>
        </is>
      </c>
      <c r="E87" s="7" t="inlineStr">
        <is>
          <t>Confirmado con capturas que el hallazgo 0 (colores admin-* fuera de la clave ga) ya estaba resuelto en el código. De paso, axe encontró y se corrigió un contraste nuevo: EncabezadoAdmin se volvía transparente en escritorio asumiendo que siempre estaría sobre el fondo oscuro del admin, pero en /admin/demo esa misma barra flota sobre el fondo claro de la vista de asociado. Corregidos también: flex-wrap en el filtro de /admin/creditos, controles del encabezado móvil del admin a 44×44, tabla de /admin/sorteo con versión en tarjetas, botones de /cuenta/solicitar y casillas OTP a 44px, selects de /admin/sorteo a 16px. La corrección de la barra inferior flotante de /cuenta y /asesor de este commit (ocultarla hasta el primer scroll con `inert`) fue reemplazada después por la sesión principal, ver el siguiente asiento. tsc, lint, build, vitest (316/316) y playwright k-roles+f-accesibilidad (36/36, 6 skip esperados) en verde tras `npx supabase db reset`.</t>
        </is>
      </c>
    </row>
    <row r="88">
      <c r="A88" s="8" t="inlineStr">
        <is>
          <t>2026-09-27</t>
        </is>
      </c>
      <c r="B88" s="4" t="inlineStr">
        <is>
          <t>ga-verificador-responsive</t>
        </is>
      </c>
      <c r="C88" s="8" t="inlineStr">
        <is>
          <t>6.19</t>
        </is>
      </c>
      <c r="D88" s="7" t="inlineStr">
        <is>
          <t>Verificación responsive de punta a punta del rediseño C+; 6.19 pasa a Hecho</t>
        </is>
      </c>
      <c r="E88" s="7" t="inlineStr">
        <is>
          <t>15 rutas × 10 anchos (320-1920 px) + horizontal 844×390, Playwright/Chrome contra Supabase local. 9 hallazgos responsive (5 críticos: barra inferior flotante tapaba contenido real en /cuenta y /asesor, scroll horizontal real en /admin/creditos, botones &lt;44px en el encabezado móvil del admin, tabla de /admin/sorteo sin versión en tarjetas; 4 menores) más 1 hallazgo crítico fuera del alcance responsive estricto: los colores bg-admin-*/text-admin-* no existían en el CSS compilado (tailwind.config.ts los anidaba bajo la paleta ga en vez de un grupo propio admin), así que el panel se veía sin tema oscuro. tests/responsive/responsive.spec.ts y logo-y-fotos.spec.ts actualizados. No se pudo probar /admin/* en horizontal por el límite diario de reenvío de código del correo de prueba (no es un hallazgo nuevo). Informe: docs/verificaciones/2026-09-27-rediseno-c-plus-responsive.md.</t>
        </is>
      </c>
    </row>
    <row r="89">
      <c r="A89" s="8" t="inlineStr">
        <is>
          <t>2026-09-27</t>
        </is>
      </c>
      <c r="B89" s="4" t="inlineStr">
        <is>
          <t>sesión principal</t>
        </is>
      </c>
      <c r="C89" s="8" t="inlineStr">
        <is>
          <t>4.11; P-99, P-100, P-101, P-102, P-103</t>
        </is>
      </c>
      <c r="D89" s="7" t="inlineStr">
        <is>
          <t>H1 corregido (tasa de interés fuera del payload de /cuenta) y H2/B-01 cerrados (cédula de las «hermanas» enmascarada en servidor, testimonios de ejemplo ocultos)</t>
        </is>
      </c>
      <c r="E89" s="7" t="inlineStr">
        <is>
          <t>Commit e650033: la tasa de interés ya no viaja al navegador del asociado en /cuenta ni /cuenta/solicitar (hallazgo H1 de ga-revisor-seguridad; el problema también estaba en producción desde el 25-sep, se sugiere llevarlo también a main). Queda un residuo (P-100): un asociado podría seguir leyendo la tasa consultando la API directo con su sesión (la RLS le deja leer sus solicitudes y grados_credito); ocultarlo del todo requiere una migración de permisos por columna, a decisión de Sebas. Commit fdab456: cédula de las «hermanas» del detalle de afiliación enmascarada en el servidor (cierra H2/M-01, P-101) y sección de testimonios de la landing oculta mientras tenga textos de ejemplo (cierra B-01, P-102; D-07 queda abierto como pedido de diseño en P-103: contenido real de testimonios y si la sección se mantiene). e2e de landing y k-roles vueltos a correr en verde.</t>
        </is>
      </c>
    </row>
    <row r="90">
      <c r="A90" s="8" t="inlineStr">
        <is>
          <t>2026-09-27</t>
        </is>
      </c>
      <c r="B90" s="4" t="inlineStr">
        <is>
          <t>ga-verificador-qa</t>
        </is>
      </c>
      <c r="C90" s="8" t="inlineStr">
        <is>
          <t>4.11, P-94, P-71; 6.16 pasa a Hecho; nuevos P-102, P-103</t>
        </is>
      </c>
      <c r="D90" s="7" t="inlineStr">
        <is>
          <t>QA completo del rediseño C+ en verde: 161/162 escritorio, 129/129 celular</t>
        </is>
      </c>
      <c r="E90" s="7" t="inlineStr">
        <is>
          <t>QA de punta a punta contra Supabase local (escritorio 1280×800, celular 390×844). Actualizó las pruebas desactualizadas por el rediseño: a-navegacion (nav sin «Historias»), e-diseno (reescrita casi entera, textos verificados contra el código), afiliación v2 en utils.ts/f-accesibilidad (cierra P-94), aprobar en 2 pasos + atajos de teclado + KPIs + nota interna oculta (k-roles), máscara de correo con dominio oculto en b-ingreso y j-produccion (cierra P-71; i-despliegue ya usaba el formato nuevo). Agregó pruebas de reduced-motion y de que ninguna pantalla diga «Correo institucional». De paso corrigió una prueba de seguridad de i-despliegue que fallaba por una causa ajena al rediseño (React 19 ya no serializa el DOM en un `&lt;form action={...}&gt;`), reescribiéndola con intercepción de red. Hallazgos: 1 Media (cédula de las «hermanas», ya reportada por ga-revisor-seguridad, ver P-101) y 2 Bajos (testimonios de ejemplo con corchetes en la landing, ver P-102/P-103; y los marcadores ya conocidos de /politica-de-datos). 0 violaciones de axe en 19 combinaciones. Informe en docs/verificaciones/2026-09-27-rediseno-c-plus-qa.md.</t>
        </is>
      </c>
    </row>
    <row r="91">
      <c r="A91" s="8" t="inlineStr">
        <is>
          <t>2026-09-27</t>
        </is>
      </c>
      <c r="B91" s="4" t="inlineStr">
        <is>
          <t>ga-revisor-seguridad</t>
        </is>
      </c>
      <c r="C91" s="8" t="inlineStr">
        <is>
          <t>4.11; nuevos P-99, P-100, P-101</t>
        </is>
      </c>
      <c r="D91" s="7" t="inlineStr">
        <is>
          <t>Revisión de seguridad del rediseño C+ aprobada; 2 fugas de datos confirmadas (no introducidas por el rediseño)</t>
        </is>
      </c>
      <c r="E91" s="7" t="inlineStr">
        <is>
          <t>Revisó el diff completo de rediseno-c-plus contra develop (app, components, lib, proxy.ts, supabase): sin cambios en Server Actions ni en proxy.ts, el asesor sigue sin ver datos sensibles de sus clientes, la aprobación en 2 pasos exige confirmar, el login no cambió en funcionalidad. Encontró 2 hallazgos de fuga de datos al payload del cliente, vigentes desde antes de este diff: la tasa de interés viaja en las props de CuentaCliente aunque no se renderice (H1, ver P-99/P-100) y la cédula sin enmascarar de las «hermanas» viaja completa al detalle de afiliación aunque se muestre enmascarada (H2, ver P-101). Revisó también las 5 migraciones propuestas de 1.8 (bien construidas, coherentes con el flag de nota interna). npm audit --omit=dev: 0 vulnerabilidades. Pidió a ga-funcionalidad-botones corregir ambas fugas y a Sebas decidir sobre las 5 migraciones de 1.8.</t>
        </is>
      </c>
    </row>
    <row r="92">
      <c r="A92" s="8" t="inlineStr">
        <is>
          <t>2026-09-27</t>
        </is>
      </c>
      <c r="B92" s="4" t="inlineStr">
        <is>
          <t>ga-funcionalidad-botones</t>
        </is>
      </c>
      <c r="C92" s="8" t="inlineStr">
        <is>
          <t>4.11</t>
        </is>
      </c>
      <c r="D92" s="7" t="inlineStr">
        <is>
          <t>KPIs reales, tope real de grados_credito y nota interna oculta en el admin C+</t>
        </is>
      </c>
      <c r="E92" s="7" t="inlineStr">
        <is>
          <t>Cerró los 2 frentes de backend que dejó abiertos el maquetado del admin en modo oscuro (commit e39ad72): (1) los 4 KPI de /admin/creditos ahora son siempre exactos (lib/admin/kpis.ts: 3 conteos exactos + suma de aprobadas del mes, con el cliente de sesión del admin vía RLS, sin service role; mes calendario en hora de Colombia; pruebas nuevas en tests/unit/admin-kpis.test.ts); (2) el aviso «Dentro/Supera el tope» y el bloqueo de «Aprobar» usan el tope real de grados_credito (cargarPaquetesDemo, con su fallback a la copia estática). Ocultó el textarea de «Nota interna» detrás de HISTORIAL_NOTAS_INTERNAS_HABILITADO=false (lib/admin/flags.ts) con un TODO(backend) hacia la migración sin aplicar 20260925200200_historial_y_notas_internas.sql. Confirmó sin cambios de código que la aprobación en 2 pasos, el rechazo con motivo obligatorio, los atajos J/K/A/R/Esc y el invariante monto≤tope (triggers de la base) siguen intactos. tsc, lint, build y 316 pruebas de vitest (19 archivos) en verde. Sin commits. Sin bloqueos nuevos; sigue pendiente 1.8 (migraciones sin aplicar) para conectar una Server Action a agregar_nota_solicitud() y activar la bandera.</t>
        </is>
      </c>
    </row>
    <row r="93">
      <c r="A93" s="8" t="inlineStr">
        <is>
          <t>2026-09-27</t>
        </is>
      </c>
      <c r="B93" s="4" t="inlineStr">
        <is>
          <t>ga-diseno-a-codigo</t>
        </is>
      </c>
      <c r="C93" s="8" t="inlineStr">
        <is>
          <t>4.11</t>
        </is>
      </c>
      <c r="D93" s="7" t="inlineStr">
        <is>
          <t>Panel del admin C+ en modo oscuro maquetado en código; 4.11 pasa a Hecho</t>
        </is>
      </c>
      <c r="E93" s="7" t="inlineStr">
        <is>
          <t>Maquetó el panel de administración completo en modo oscuro (piezas 2d y 3e–3h): Créditos (menú lateral, 4 KPI con guion donde falta consulta nueva, búsqueda, filtro, lista+ficha, aprobar en 2 pasos, rechazar con motivo obligatorio, nota interna e historial UI), Afiliaciones (lista+ficha, visor de 3 fotos con sus 3 estados, aprobar/rechazar en 2 pasos, WhatsApp deshabilitado por P-95), Asesores y Sorteo con el mismo restyle, y EncabezadoAdmin (patrón de celular) también en /admin/demo. Tokens nuevos en globals.css/tailwind.config.ts. tsc, lint, build y 311 pruebas de vitest en verde. Commit local e39ad72 en rediseno-c-plus (junto con 4.10). Pasa a Hecho en maquetación con 2 frentes abiertos: (1) tests/e2e/k-roles.spec.ts va a fallar porque Aprobar ahora pide un segundo clic «Sí, aprobar» — hace falta que ga-verificador-qa/ga-escritor-tests actualicen ese paso; (2) sin backend nuevo, KPIs completos, tope real desde grados_credito y nota interna/historial reales siguen bloqueados por las 5 migraciones de 1.8 (docs/auditorias/2026-09-25-backend-rediseno-c-plus.md), sin aplicar.</t>
        </is>
      </c>
    </row>
    <row r="94">
      <c r="A94" s="8" t="inlineStr">
        <is>
          <t>2026-09-27</t>
        </is>
      </c>
      <c r="B94" s="4" t="inlineStr">
        <is>
          <t>ga-diseno-a-codigo</t>
        </is>
      </c>
      <c r="C94" s="8" t="inlineStr">
        <is>
          <t>4.10; nuevo P-98</t>
        </is>
      </c>
      <c r="D94" s="7" t="inlineStr">
        <is>
          <t>Panel del asesor C+ maquetado en código; 4.10 pasa a Hecho</t>
        </is>
      </c>
      <c r="E94" s="7" t="inlineStr">
        <is>
          <t>Maquetó /asesor y /asesor/demo siguiendo las piezas 2c/3h del lienzo: EncabezadoAsesor en píldora, tarjetas de resumen con categoría de afiliación, chips de filtro, buscador, tabla de 5 columnas reescrita (sin datos de contacto), estado vacío, transición de lista y barra inferior en celular; agregó el marco ámbar de demostración compartido con /admin/demo y el estado «neutral» a Badge. tsc, lint, build y 311 pruebas de vitest en verde. Commit local e39ad72 en rediseno-c-plus. Documentó como pedido D-06 (docs/diseno/pedidos.md) la falta de regla de diseño para categorizar asociados ya afiliados (no solo solicitudes) en las tarjetas/chips; se registra como decisión provisional de la sesión principal, pendiente de que Sebas la confirme (nuevo pendiente P-98).</t>
        </is>
      </c>
    </row>
    <row r="95">
      <c r="A95" s="8" t="inlineStr">
        <is>
          <t>2026-09-27</t>
        </is>
      </c>
      <c r="B95" s="4" t="inlineStr">
        <is>
          <t>ga-diseno-a-codigo</t>
        </is>
      </c>
      <c r="C95" s="8" t="inlineStr">
        <is>
          <t>3.10</t>
        </is>
      </c>
      <c r="D95" s="7" t="inlineStr">
        <is>
          <t>Panel del asociado C+ maquetado en código; 3.10 pasa a Hecho</t>
        </is>
      </c>
      <c r="E95" s="7" t="inlineStr">
        <is>
          <t>Maquetó /cuenta y /cuenta/solicitar siguiendo las piezas 2b/3d del lienzo: EncabezadoCuenta en píldora flotante, comprobante «Tu solicitud» con sello y pasos animados, insignia de estado con color real, tope con medidor, carné de asociado (institución/activo como props opcionales sin usar, TODO backend), franja del sorteo, barra inferior en celular y deslizador de monto propio en /cuenta/solicitar; agregó enmascararCedula a lib/mascara.ts. tsc, lint, build y 311 pruebas de vitest en verde; no corrió Playwright (requiere Supabase local). Commit local 51da63f en rediseno-c-plus. «Tu camino a la estabilidad» sigue sin renderizarse por P-90 (fecha del primer descuento del embargo solidario); el carné de asociado sigue esperando institución/activo en perfiles (1.8). Falta correr tests/e2e/c-cuenta, h-credito, i-despliegue, j-produccion y k-roles contra Supabase local (ga-verificador-qa).</t>
        </is>
      </c>
    </row>
    <row r="96">
      <c r="A96" s="8" t="inlineStr">
        <is>
          <t>2026-09-25</t>
        </is>
      </c>
      <c r="B96" s="4" t="inlineStr">
        <is>
          <t>ga-diseno-a-codigo</t>
        </is>
      </c>
      <c r="C96" s="8" t="inlineStr">
        <is>
          <t>1.7, 2.15</t>
        </is>
      </c>
      <c r="D96" s="7" t="inlineStr">
        <is>
          <t>Componentes base y maquetación C+ de ingreso/afiliación llevados a código; 2.15 pasa a Hecho</t>
        </is>
      </c>
      <c r="E96" s="7" t="inlineStr">
        <is>
          <t>Reestilizó components/ui/* (Button, Input, Select, Textarea, Checkbox, Field, OtpInput, Badge, ProgressSteps, PasosSolicitud, carga de foto) según la pieza 3a, y maquetó /ingresar, /ingresar/codigo, /afiliacion y /afiliacion/enviada según 3b/3c con sus animaciones (foco animado, sacudida del OTP en código inválido, aro que se vacía en «Reenviar código», vista previa de foto y sello del comprobante). tsc, lint, build y las 308 pruebas de vitest pasan. 2.15 pasa a Hecho en código; queda pendiente P-94 (correr tests/e2e/b-ingreso.spec.ts y d-afiliacion.spec.ts contra estos cambios con Supabase local, no corridos en este reporte). tests/e2e/e-diseno.spec.ts sigue desactualizado desde antes de esta tanda (ya cubierto por 6.16). El commit local 63d4b4d en la rama rediseno-c-plus guarda este avance junto con el trabajo de ga-disenador-lienzo (tokens, Bricolage, landing, componentes base, ingreso y afiliación, lienzo completo 3a–3h).</t>
        </is>
      </c>
    </row>
    <row r="97">
      <c r="A97" s="8" t="inlineStr">
        <is>
          <t>2026-09-25</t>
        </is>
      </c>
      <c r="B97" s="4" t="inlineStr">
        <is>
          <t>ga-disenador-lienzo</t>
        </is>
      </c>
      <c r="C97" s="8" t="inlineStr">
        <is>
          <t>3.10, 4.10, 4.11</t>
        </is>
      </c>
      <c r="D97" s="7" t="inlineStr">
        <is>
          <t>Lienzo C+ completo: piezas 3d (asociado) y 3e–3h (admin)</t>
        </is>
      </c>
      <c r="E97" s="7" t="inlineStr">
        <is>
          <t>Pedido D-04/D-05 cerrado: agregó al lienzo docs/Green Alliance C+.dc.html la pieza 3d (asociado: /cuenta/solicitar, estado vacío, Mis datos y la boleta del sorteo con sus 3 pasos) y las piezas 3e–3h (admin: detalle de afiliación, Asesores, Sorteo, pestaña Demostración y el patrón del admin en celular), con escritorio, celular y todos los estados reales. El diseño en el lienzo de asociado, asesor y admin queda completo; 3.10, 4.10 y 4.11 siguen En curso porque falta maquetar en código (ga-diseno-a-codigo). Casi todas las piezas 3d–3h usan componentes/rutas que ya existen, salvo el botón «Escribir por WhatsApp» del detalle de afiliación (nuevo, ver P-95). Nuevos pendientes de decisión para la cooperativa: P-95 (botón WhatsApp), P-96 (asignar/desactivar el asesor de un asociado, sin proceso definido) y P-97 (motivo de rechazo visible en el detalle de afiliación, requiere migración; relacionado con P-69/5.10). Ajuste de estilo pendiente de aplicar en código: franja azul → marco ámbar en /admin/demo (3h) y la corrección «Correo institucional» → «Correo» en 2d (ya hecha en el lienzo).</t>
        </is>
      </c>
    </row>
    <row r="98">
      <c r="A98" s="8" t="inlineStr">
        <is>
          <t>2026-09-25</t>
        </is>
      </c>
      <c r="B98" s="4" t="inlineStr">
        <is>
          <t>ga-diseno-a-codigo</t>
        </is>
      </c>
      <c r="C98" s="8" t="inlineStr">
        <is>
          <t>1.7, 2.14; nuevo 6.16</t>
        </is>
      </c>
      <c r="D98" s="7" t="inlineStr">
        <is>
          <t>Tokens y landing del rediseño C+ llevados a código</t>
        </is>
      </c>
      <c r="E98" s="7" t="inlineStr">
        <is>
          <t>Tokens del rediseño C+ agregados a app/globals.css y tailwind.config.ts (colores claro/oscuro, radios grandes, sombras, curva «spring», utilidades de movimiento con red de seguridad prefers-reduced-motion), reconciliados con la pieza 3a del lienzo; Bricolage Grotesque (600/800) cargada junto a Manrope en app/layout.tsx. 1.7 pasa a Hecho (tokens en el lienzo y en código). Landing reescrita (components/pantallas/Landing.tsx) siguiendo la pieza 2a: header píldora, hero con comprobante vivo, misión/visión, «Si hoy el banco te dice que no…», servicios, convenios, sedes, footer; dos componentes cliente nuevos MatrizCirculos y ComprobanteSolicitud, sin librerías nuevas. npx tsc --noEmit, npm run lint y npm run build pasan. Nueva actividad 2.14 (Hecho, peso 4, depende de 2.1 y 1.7). Trabajo nuevo: 6.16 (actualizar tests/e2e/e-diseno.spec.ts, tests/e2e/a-navegacion.spec.ts y tests/responsive/logo-y-fotos.spec.ts, que quedaron desactualizados por el cambio de copy y de layout del hero) y pendiente P-93 (confirmar las cifras nuevas de la landing con la cooperativa). ga-disenador-lienzo dejó 3b/3c (ingreso y afiliación en estilo C+) pendientes de maquetar en código (2.15).</t>
        </is>
      </c>
    </row>
    <row r="99">
      <c r="A99" s="8" t="inlineStr">
        <is>
          <t>2026-09-25</t>
        </is>
      </c>
      <c r="B99" s="4" t="inlineStr">
        <is>
          <t>ga-disenador-lienzo</t>
        </is>
      </c>
      <c r="C99" s="8" t="inlineStr">
        <is>
          <t>1.7, 2.15, 3.10, 4.10, 4.11</t>
        </is>
      </c>
      <c r="D99" s="7" t="inlineStr">
        <is>
          <t>Lienzo C+ ampliado: design system, Ingreso y Afiliación (piezas 3a/3b/3c)</t>
        </is>
      </c>
      <c r="E99" s="7" t="inlineStr">
        <is>
          <t>En docs/Green Alliance C+.dc.html, sección t3 con 3 piezas nuevas: 3a design system C+ (tokens claro/oscuro, tipografía, espaciado, radios, sombras, movimiento con nombre, 16 componentes con sus estados), 3b Ingreso (/ingresar y /ingresar/codigo, normal/cargando/código inválido/bloqueado/éxito) y 3c Afiliación (/afiliacion y /afiliacion/enviada, errores por campo, foto con error, envío, cédula con solicitud pendiente); corrigió además «Correo institucional» → «Correo» en 2d (parte de D-05). D-01, D-02 y D-03 marcados Resuelto en docs/diseno/pedidos.md; 3 filas nuevas en docs/diseno/lienzo-indice.md. Script y etiquetas del lienzo verificados (JS válido, sc-for/sc-if y &lt;div&gt; balanceados). Nuevas actividades: 1.7 (Hecho, la parte de diseño de tokens), 2.15 (diseño de ingreso/afiliación C+ Hecho, código todavía no empezado), 3.10 (asociado C+, diseño en curso vía D-04, prioridad media) y 4.10/4.11 (asesor y admin C+, diseño en curso vía D-05, falta detalle de Asesores/Sorteo/Demostración/admin en celular).</t>
        </is>
      </c>
    </row>
    <row r="100">
      <c r="A100" s="8" t="inlineStr">
        <is>
          <t>2026-09-25</t>
        </is>
      </c>
      <c r="B100" s="4" t="inlineStr">
        <is>
          <t>ga-auditor-supabase</t>
        </is>
      </c>
      <c r="C100" s="8" t="inlineStr">
        <is>
          <t>1.8; P-47, P-90, P-91, P-92</t>
        </is>
      </c>
      <c r="D100" s="7" t="inlineStr">
        <is>
          <t>Auditoría de backend para el rediseño C+: 5 migraciones propuestas sin aplicar</t>
        </is>
      </c>
      <c r="E100" s="7" t="inlineStr">
        <is>
          <t>Trabajo nuevo pedido por Sebas hoy (rama rediseno-c-plus, lienzo docs/Green Alliance C+.dc.html). Análisis de brechas de backend para las piezas 2b/2c/2d del lienzo contra supabase/migrations/, sin MCP de Supabase en esta sesión (solo contra el repo, falta confirmar contra producción); informe en docs/auditorias/2026-09-25-backend-rediseno-c-plus.md. 5 migraciones nuevas sin aplicar: preferencia de aviso del sorteo, institución/activo en perfiles, historial + nota interna del admin, Realtime de solicitudes e índices de búsqueda opcionales. Nueva actividad 1.8 (peso 2, depende de 1.6). Preguntas abiertas para la cooperativa: estado «Desembolso» (ya era P-47, se anota la coincidencia), origen de la fecha del primer descuento del embargo solidario (P-90), proceso para dar de baja a un asociado (P-91) y quién dispara el correo del aviso del sorteo (P-92).</t>
        </is>
      </c>
    </row>
    <row r="101">
      <c r="A101" s="8" t="inlineStr">
        <is>
          <t>2026-09-25</t>
        </is>
      </c>
      <c r="B101" s="7" t="inlineStr">
        <is>
          <t>sesión principal (despliegue PR #2)</t>
        </is>
      </c>
      <c r="C101" s="8" t="inlineStr">
        <is>
          <t>4.9; P-83, P-84, P-85, P-89</t>
        </is>
      </c>
      <c r="D101" s="7" t="inlineStr">
        <is>
          <t>Despliegue confirmado en producción: 4.9, P-83, P-84, P-85 y P-89 pasan a Hecho</t>
        </is>
      </c>
      <c r="E101" s="7" t="inlineStr">
        <is>
          <t>Sebas fusionó el PR #2 develop → main (merge 2c19d02) y Vercel desplegó. Comprobado por HTTP en www.greenallianceco.com: WhatsApp «311 724 1942» (P-84), «Vigilada por Supersolidaria», /afiliacion sin exigir correo institucional (P-85), correos de Resend con NOMBRE/MOTIVO escapados (P-83), y /admin/demo y /asesor/demo redirigen a /ingresar sin sesión (4.9, P-89). La migración 20260925194922 ya estaba aplicada en producción. Falta que Sebas abra /admin/demo con su propia sesión para confirmarla a ojo.</t>
        </is>
      </c>
    </row>
    <row r="102">
      <c r="A102" s="8" t="inlineStr">
        <is>
          <t>2026-09-25</t>
        </is>
      </c>
      <c r="B102" s="7" t="inlineStr">
        <is>
          <t>sesión principal (coordinador)</t>
        </is>
      </c>
      <c r="C102" s="8" t="inlineStr">
        <is>
          <t>4.9; P-83, P-84, P-85, P-89; 6.15</t>
        </is>
      </c>
      <c r="D102" s="7" t="inlineStr">
        <is>
          <t>Cuenta demo para admin, máscara de correo sin dominio y cierre de P-86/P-87</t>
        </is>
      </c>
      <c r="E102" s="7" t="inlineStr">
        <is>
          <t>Nueva pestaña «Demostración» en /admin/demo: reutiliza la cuenta fantasma de /asesor/demo (selector de grado, no guarda nada, solo lee grados_credito), lectura compartida en lib/asesor/cargarPaquetesDemo.ts, un asesor no puede entrar; nueva actividad 4.9 (peso 2, depende de 4.1 y 4.6) y pendiente P-89, ambos En curso hasta desplegar. F-01 revisado por el cambio a correo de cualquier dominio (P-85): la máscara ahora oculta también el dominio, formato «xx•••@•••»; 6.15 suma nota con el formato nuevo. La migración 20260925194922_correo_afiliacion_cualquier_dominio ya estaba aplicada en producción; el archivo local se renombró a esa versión para que el historial coincida. P-83, P-84 y P-85 siguen En curso: corregidos en local (con pruebas), en el commit de hoy, falta desplegar. P-86 y P-87 confirmados Hecho (sin cambios). Verificado: tsc, eslint, 308 unitarias, 222 pgTAP, 53 e2e de escritorio (k-roles + d-afiliacion) y build.</t>
        </is>
      </c>
    </row>
    <row r="103">
      <c r="A103" s="8" t="inlineStr">
        <is>
          <t>2026-09-25</t>
        </is>
      </c>
      <c r="B103" s="4" t="inlineStr">
        <is>
          <t>sesión principal</t>
        </is>
      </c>
      <c r="C103" s="8" t="inlineStr">
        <is>
          <t>5.3; P-13</t>
        </is>
      </c>
      <c r="D103" s="7" t="inlineStr">
        <is>
          <t>Texto de vigilancia de Supersolidaria confirmado</t>
        </is>
      </c>
      <c r="E103" s="7" t="inlineStr">
        <is>
          <t>Sebas confirmó que la cooperativa está vigilada por la Supersolidaria; TEXTO_VIGILANCIA (lib/config.ts) pasa de «[Vigilada por Supersolidaria — confirmar]» a «Vigilada por Supersolidaria» en local, con tests/e2e/e-diseno.spec.ts ajustado. P-13 pasa a Hecho; 5.3 actualiza su bloqueo (quedan fotos/cifras/testimonios, nombres de los grados y estado de desembolso). Falta desplegar (commit + merge a main).</t>
        </is>
      </c>
    </row>
    <row r="104">
      <c r="A104" s="8" t="inlineStr">
        <is>
          <t>2026-09-25</t>
        </is>
      </c>
      <c r="B104" s="4" t="inlineStr">
        <is>
          <t>ga-verificador-qa</t>
        </is>
      </c>
      <c r="C104" s="8" t="inlineStr">
        <is>
          <t>6.3; nuevos P-84, P-86, P-87</t>
        </is>
      </c>
      <c r="D104" s="7" t="inlineStr">
        <is>
          <t>QA de producción: con observaciones</t>
        </is>
      </c>
      <c r="E104" s="7" t="inlineStr">
        <is>
          <t>Playwright en escritorio (1280×800) y celular (390×844) contra www.greenallianceco.com (main, merge 5a39d34), sin enviar el formulario de afiliación ni pedir códigos reales. Landing, /ingresar, /afiliacion, /politica-de-datos, redirecciones de /admin, /asesor y /cuenta sin sesión, 404 y cabeceras de seguridad correctos y fieles al diseño; axe sin violaciones serias/críticas. 6.3 sigue En curso porque depende de 6.1, 5.3, 5.4, 2.11 y 5.6, que no están Hecho. Hallazgos: A-01 (Alta, la ayuda del dominio de correo institucional en /afiliacion no se actualiza en vivo al elegir Policía/Ejército) → nuevo pendiente P-86, condicionado a P-85; M-01 (Media, el WhatsApp se muestra sin espacios por un typo de regex en lib/config.ts) → nuevo pendiente P-84, ya corregido en local con pruebas (tests/unit/config-whatsapp.test.ts), falta desplegar; M-02 (Media, greenallianceco.com a veces sirve 200 en vez de redirigir 308 a www) → nuevo pendiente P-87 para Sebas en Vercel → Domains; M-03 (texto de vigilancia) ya resuelto, ver P-13. Informe completo en docs/verificaciones/2026-09-25-produccion.md.</t>
        </is>
      </c>
    </row>
    <row r="105">
      <c r="A105" s="8" t="inlineStr">
        <is>
          <t>2026-09-25</t>
        </is>
      </c>
      <c r="B105" s="4" t="inlineStr">
        <is>
          <t>sesión principal</t>
        </is>
      </c>
      <c r="C105" s="8" t="inlineStr">
        <is>
          <t>2.12; nuevo P-85</t>
        </is>
      </c>
      <c r="D105" s="7" t="inlineStr">
        <is>
          <t>El formulario de afiliación acepta correo de cualquier dominio</t>
        </is>
      </c>
      <c r="E105" s="7" t="inlineStr">
        <is>
          <t>Antes exigía @policia.gov.co / @ejercito.mil.co según la institución; se cambió el esquema zod, el campo «Correo electrónico» y las pruebas unitarias, e2e y pgTAP. Migración 20260925194922_correo_afiliacion_cualquier_dominio aplicada en producción (quita el chk de dominio institucional, mantiene el de formato). Nuevo pendiente P-85 (En curso): falta desplegar el código (commit + merge a main); hasta entonces el formulario en vivo sigue rechazando correos no institucionales.</t>
        </is>
      </c>
    </row>
    <row r="106">
      <c r="A106" s="8" t="inlineStr">
        <is>
          <t>2026-09-25</t>
        </is>
      </c>
      <c r="B106" s="4" t="inlineStr">
        <is>
          <t>ga-revisor-seguridad</t>
        </is>
      </c>
      <c r="C106" s="8" t="inlineStr">
        <is>
          <t>6.2; nuevos P-83, P-88</t>
        </is>
      </c>
      <c r="D106" s="7" t="inlineStr">
        <is>
          <t>Revisión de seguridad final de producción: aprobado con observaciones</t>
        </is>
      </c>
      <c r="E106" s="7" t="inlineStr">
        <is>
          <t>Contra main (merge 5a39d34, www.greenallianceco.com): F2-01, S-05 a S-13, el límite de 1 MB de Server Actions y el enlace a la política de datos, correctos; revisó lo nuevo desde a13c2de (correo institucional, plantillas de Resend, lib/correo/credito.ts, /politica-de-datos). 6.2 sigue En curso porque depende de 4.3, que no está Hecho. Hallazgos: S-15 (Media, variables NOMBRE/MOTIVO sin escapar en los correos de Resend, un admin puede meter HTML vía perfiles.nombre_completo o el motivo de rechazo) → nuevo pendiente P-83 para ga-funcionalidad-botones; F2-08 (Baja, ya documentado en la auditoría del 24-sep, tr_componer_nombre_afiliacion no cubre el update directo de nombre por un admin, sigue sin corregir) → nuevo pendiente P-88 para ga-auditor-supabase; /politica-de-datos en producción sigue con varios [Pendiente: NIT, dirección, plazos de retención...] visibles al público (ya rastreado en P-75 a P-81); no pudo confirmar desde afuera si las plantillas de Resend y el SMTP de Supabase Auth están realmente publicados (P-61 y 6.9 los dan por hechos desde otra sesión, sin verificación externa).</t>
        </is>
      </c>
    </row>
    <row r="107">
      <c r="A107" s="8" t="inlineStr">
        <is>
          <t>2026-09-25</t>
        </is>
      </c>
      <c r="B107" s="7" t="inlineStr">
        <is>
          <t>sesión principal (coordinador)</t>
        </is>
      </c>
      <c r="C107" s="8" t="inlineStr">
        <is>
          <t>6.5, 6.13; P-59, P-64; nuevo P-82</t>
        </is>
      </c>
      <c r="D107" s="7" t="inlineStr">
        <is>
          <t>PR develop → main fusionado; fase 2 desplegada en producción</t>
        </is>
      </c>
      <c r="E107" s="7" t="inlineStr">
        <is>
          <t>Sebas abrió y fusionó el PR #1 develop → main (merge 5a39d34); Vercel desplegó fase 2 en www.greenallianceco.com. Verificado por HTTP: /, /ingresar, /afiliacion y /politica-de-datos responden 200; /admin, /cuenta y /asesor redirigen a /ingresar sin sesión; el logo de los correos ya carga; /afiliacion muestra correo institucional, Nequi, institución, selfie y el desplegable de asesores; contacto real visible (soporte@greenallianceco.com, WhatsApp 311 724 1942, 4 horas o menos). 6.13 y P-59 pasan a Hecho (migraciones + despliegue completos) y P-64 pasa a Hecho (PR fusionado). 6.5 se deja En curso, no Hecho: aunque el código ya está en producción, la tarea del plan sigue dependiendo de 6.2 (revisión de seguridad), 6.3 (QA E2E), 6.4 (dominio), 2.4 (SMTP) y 6.8 (migración de límite de intentos), ninguna Hecho todavía; el generador de Excel no permite marcar Hecho una tarea con dependencias sin terminar. Trabajo nuevo: pendiente P-82 (prueba manual con sesión real de los 3 admins: ingreso con código OTP y logo del correo), a cargo de Sebas, reportado como abierto en este mismo mensaje. La política de datos sigue con huecos (P-75 a P-81), sin cambios.</t>
        </is>
      </c>
    </row>
    <row r="108">
      <c r="A108" s="8" t="inlineStr">
        <is>
          <t>2026-09-25</t>
        </is>
      </c>
      <c r="B108" s="7" t="inlineStr">
        <is>
          <t>sesión principal (coordinador)</t>
        </is>
      </c>
      <c r="C108" s="8" t="inlineStr">
        <is>
          <t>6.9, 6.13; P-44, P-59, P-61</t>
        </is>
      </c>
      <c r="D108" s="7" t="inlineStr">
        <is>
          <t>Migraciones de fase 2 aplicadas en producción; plantillas de Resend y variables de Vercel puestas</t>
        </is>
      </c>
      <c r="E108" s="7" t="inlineStr">
        <is>
          <t>Sebas aplicó en producción (PagGreenAlliance) las 9 migraciones de fase 2 con `supabase db push` (de 20260924000000_rol_asesor_enum a 20260924000800_sincronizar_perfil_desde_app_metadata), tras un --dry-run que listó exactamente esas 9: 6.13 y P-59 pasan a En curso (falta la parte de desplegar). También creó y publicó las 4 plantillas en Resend (P-61 Hecho) y puso el resto de variables en Vercel: SITIO_URL, RESEND_API_KEY, EMAIL_FROM, LIMITE_HMAC_SECRET y las 4 RESEND_TEMPLATE_* (P-44 Hecho; 6.9 pasa a En curso porque P-60, SUPABASE_SERVICE_ROLE_KEY con «Invalid API key», sigue Pendiente). develop subido a origin (commit debe226, 6 commits nuevos). Bloqueo nuevo: falta fusionar el PR develop → main para desplegar; producción ya tiene la base de datos nueva pero sigue con el código viejo (ver P-64, 6.5). La política de datos sigue con huecos (P-75 a P-81), sin cambios en este reporte.</t>
        </is>
      </c>
    </row>
    <row r="109">
      <c r="A109" s="8" t="inlineStr">
        <is>
          <t>2026-09-24</t>
        </is>
      </c>
      <c r="B109" s="7" t="inlineStr">
        <is>
          <t>sesión principal (coordinador)</t>
        </is>
      </c>
      <c r="C109" s="8" t="inlineStr">
        <is>
          <t>5.4, P-14, P-61, P-62, P-72; nuevos P-75 a P-81</t>
        </is>
      </c>
      <c r="D109" s="7" t="inlineStr">
        <is>
          <t>Borrador de la política de datos y plantillas de Resend listas; Test QA borrado y dominio conectado</t>
        </is>
      </c>
      <c r="E109" s="7" t="inlineStr">
        <is>
          <t>Borrador completo de /politica-de-datos (10 secciones, Ley 1581 y Decreto 1377, con la autorización de datos sensibles para las fotos de cédula y la selfie), con los datos que faltan resaltados en la página con &lt;Pendiente&gt;; 5.4 y P-14 actualizan su bloqueo con la lista concreta que falta de la cooperativa: NIT/dirección/ciudad (P-75), fecha de vigencia (P-76), país o región de los servidores -Supabase, Vercel, Resend- (P-77), alternativa sin selfie (P-78), plazos de conservación -fotos ligadas a P-63- (P-79) y si reportan a centrales de riesgo Ley 1266 (P-80); más la revisión de un abogado (P-81, nuevo pendiente para Sebas). HTML de las 4 plantillas de Resend (ingreso aceptado, crédito aprobado, crédito rechazado, boleta del sorteo) listo en docs/resend/, con el mismo diseño del correo del código; P-61 se actualiza con esa nota, falta que Sebas las cree y publique en Resend junto con las variables de Vercel (RESEND_API_KEY, EMAIL_FROM, RESEND_TEMPLATE_*, SITIO_URL=https://www.greenallianceco.com), ya anotadas en P-44. Sebas: plantilla del código puesta en Supabase, dominio www.greenallianceco.com conectado a producción en Vercel, usuario «Test QA» borrado de producción (P-62 pasa a Hecho), primera variable de Vercel corregida y habló con Carlos para darle acceso de colaborador (P-72 pasa a En curso). El logo de los correos da 404 hasta desplegar develop en main (public/logos no está en producción).</t>
        </is>
      </c>
    </row>
    <row r="110">
      <c r="A110" s="8" t="inlineStr">
        <is>
          <t>2026-09-24</t>
        </is>
      </c>
      <c r="B110" s="7" t="inlineStr">
        <is>
          <t>Sebas (acuerdo con Carlos Pardo)</t>
        </is>
      </c>
      <c r="C110" s="8" t="inlineStr">
        <is>
          <t>4.1, 4.7, 4.8, 5.9, 5.10, 6.14, 6.15; P-65 a P-74</t>
        </is>
      </c>
      <c r="D110" s="7" t="inlineStr">
        <is>
          <t>Corrección de 4.1 y encargo externo a Carlos Pardo (500.000 COP) por PR a develop</t>
        </is>
      </c>
      <c r="E110" s="7" t="inlineStr">
        <is>
          <t>4.1 corregida: su texto decía «listado de solicitudes y asociados» pero /admin no tiene lista de asociados ni dashboard, solo afiliaciones, créditos, asesores y sorteo; queda Hecho con el texto correcto. Se contrata a Carlos Pardo, desarrollador externo, para un paquete de 6 actividades que entregará por PR a develop desde su propia rama (cada PR lo revisa un agente ga-* antes de fusionar): 4.7 dashboard de clientes en /admin (peso 4), 4.8 dashboard del asesor en /asesor sin datos sensibles (peso 3), 5.9 convenios administrables desde /admin (peso 3), 5.10 Ley 1581 (borrado automático de fotos rechazadas y motivo de rechazo, peso 2), 6.14 pruebas en celulares reales con informe (peso 1) y 6.15 actualizar los tests e2e viejos al formato de máscara nuevo (peso 1); pendientes P-66 a P-71 en espejo. Nuevos pendientes para Sebas: P-72 (dar acceso de colaborador en GitHub, sin llaves de producción) y P-73 (revisar y pagar los 500.000 COP al fusionar el paquete en develop). P-65 se cierra como Hecho: se decidió que solo participan asociados en el sorteo (S-13, ya implementado).</t>
        </is>
      </c>
    </row>
    <row r="111">
      <c r="A111" s="8" t="inlineStr">
        <is>
          <t>2026-09-24</t>
        </is>
      </c>
      <c r="B111" s="4" t="inlineStr">
        <is>
          <t>ga-escritor-tests</t>
        </is>
      </c>
      <c r="C111" s="8" t="inlineStr">
        <is>
          <t>6.1, P-58</t>
        </is>
      </c>
      <c r="D111" s="7" t="inlineStr">
        <is>
          <t>tests/e2e/d-afiliacion.spec.ts reescrito para la afiliación v2; bug real encontrado en esquemaAfiliacion</t>
        </is>
      </c>
      <c r="E111" s="7" t="inlineStr">
        <is>
          <t>Reescritura completa de d-afiliacion.spec.ts (nombres/apellidos, institución + correo institucional, Nequi, asesor, 3 fotos con magic bytes y bucket privado): 48 pruebas × 2 proyectos (escritorio/celular) = 96 contra Supabase local, 92 pasan y 4 fallan (2 por proyecto) por un bug real de la app, no de la prueba. Bug reproducido también como prueba unitaria en tests/unit/validaciones.test.ts (falla a propósito, documentando el defecto): nueva actividad 2.13 y pendiente P-74 para ga-funcionalidad-botones. k-roles.spec.ts (referencia) 4/4 en escritorio, tras corregir a mano el estado de una solicitud de ejemplo que había quedado mal de una corrida previa (no se pudo usar supabase db reset por el permiso de la sandbox). npm run test:unit: 307 pasan, 1 falla (la nueva, documentando el bug); npx tsc --noEmit sin errores. Sigue bloqueado correr npm run test:db (pgTAP) por el mismo permiso de sandbox. Queda fuera de esta tarea, y se delega a Carlos Pardo (ver 6.15, P-71), reescribir b-ingreso.spec.ts, i-despliegue.spec.ts y j-produccion.spec.ts al formato nuevo de máscara de correo.</t>
        </is>
      </c>
    </row>
    <row r="112">
      <c r="A112" s="8" t="inlineStr">
        <is>
          <t>2026-09-24</t>
        </is>
      </c>
      <c r="B112" s="7" t="inlineStr">
        <is>
          <t>Sebas (coordinación con la cooperativa)</t>
        </is>
      </c>
      <c r="C112" s="8" t="inlineStr">
        <is>
          <t>5.3; P-10, P-11, P-12, P-17, P-18, P-38, P-44</t>
        </is>
      </c>
      <c r="D112" s="7" t="inlineStr">
        <is>
          <t>Datos reales de contacto entregados; se cancela la importación de Excel; 3 admins reales en producción</t>
        </is>
      </c>
      <c r="E112" s="7" t="inlineStr">
        <is>
          <t>La cooperativa entregó WhatsApp (311 724 1942), correo de soporte (soporte@greenallianceco.com) y tiempo de respuesta («4 horas o menos»): P-10, P-11, P-12 y P-17 pasan a Hecho; 5.3 actualiza su bloqueo (quedan pendientes texto de vigilancia Supersolidaria, fotos/cifras/testimonios, nombres de los grados y estado de desembolso). Decisión de la cooperativa: no habrá importación de Excel de asociados (la afiliación v2 + aprobación en /admin la reemplaza); P-18 y P-38 pasan a Hecho como «ya no aplica», y 4.4 se cierra igual con nota de cancelación. Ya hay 3 administradores reales en producción (Ricardo, Abogados Prieto y Sebas); la cuenta de prueba «Test QA» (1099887766) sigue siendo admin y hay que borrarla (P-62). Nuevos pendientes de alta prioridad para Sebas: aplicar las 9 migraciones de fase 2 y desplegar (P-59), corregir SUPABASE_SERVICE_ROLE_KEY en Vercel (P-60), crear las plantillas en Resend (P-61), borrar Test QA (P-62), preguntas abiertas a la cooperativa (P-63) y abrir el PR de develop a main (P-64); P-44 actualizado con las variables nuevas (SITIO_URL, RESEND_TEMPLATE_SORTEO_BOLETA).</t>
        </is>
      </c>
    </row>
    <row r="113">
      <c r="A113" s="8" t="inlineStr">
        <is>
          <t>2026-09-24</t>
        </is>
      </c>
      <c r="B113" s="4" t="inlineStr">
        <is>
          <t>ga-funcionalidad-botones</t>
        </is>
      </c>
      <c r="C113" s="8" t="inlineStr">
        <is>
          <t>2.12, 4.1, 4.2, 4.5, 4.6, 6.2; P-36, P-37</t>
        </is>
      </c>
      <c r="D113" s="7" t="inlineStr">
        <is>
          <t>Afiliación v2, panel /admin y correcciones de la auditoría y la revisión de seguridad (F2-01/F2-04, S-01 a S-14)</t>
        </is>
      </c>
      <c r="E113" s="7" t="inlineStr">
        <is>
          <t>Según la coordinación del 24-sep y los commits 235ffbe (afiliación v2 con fotos, panel /admin, vista del asesor y sorteo) y a13c2de (arreglos de auditoría y seguridad), en rama develop, sin tocar producción: formulario de afiliación v2 completo (nombres/apellidos, institución con correo institucional, Nequi, asesor, 3 fotos con subida al bucket privado) y panel /admin (listado de solicitudes y afiliaciones, aprobar/rechazar con motivo, correo «Ingreso aceptado»). Correcciones: (1) F2-01/S-01 boleta oculta, migraciones 000600/000700/000800 aplicadas en local y pasadas a RPC (mi_boleta_sorteo, boletas_confirmadas_sorteo), «Reenviar mi boleta» con tope 3/día; (2) fotos comprimidas a JPEG ≤1600px y bodySizeLimit 3mb; (3) magic bytes para validar el tipo real de la foto; (4) número de boleta fuera de los logs en producción, variables de Resend obligatorias en el build; (5) se quitó `workflow` (0 vulnerabilidades altas); (6) update de solicitudes_credito filtra por estado pendiente; (7) SITIO_URL para el correo «Ingreso aceptado»; (8) participarSorteo exige rol asociado; (9) cabeceras Strict-Transport-Security y Permissions-Policy; (10) vista previa /cuenta?sorteo=demo solo fuera de producción; (11) S-06 respuesta idéntica para cédula duplicada en afiliación, sin filtrar si ya existe. Verificación: tsc, eslint, build y test:unit (307/307) sin errores; playwright k-roles (4/4). 4.1, 4.2, 4.5 pasan a Hecho (panel /admin probado). Pendiente: tests/e2e/d-afiliacion.spec.ts desactualizado (ver P-58); variables nuevas de Vercel (ver P-59 a P-61).</t>
        </is>
      </c>
    </row>
    <row r="114">
      <c r="A114" s="8" t="inlineStr">
        <is>
          <t>2026-09-24</t>
        </is>
      </c>
      <c r="B114" s="4" t="inlineStr">
        <is>
          <t>ga-revisor-seguridad</t>
        </is>
      </c>
      <c r="C114" s="8" t="inlineStr">
        <is>
          <t>6.2</t>
        </is>
      </c>
      <c r="D114" s="7" t="inlineStr">
        <is>
          <t>Revisión de seguridad de fase 2: 3 bloqueos para el despliegue</t>
        </is>
      </c>
      <c r="E114" s="7" t="inlineStr">
        <is>
          <t>Diff 4545c0e..235ffbe (/admin, /asesor, /afiliacion v2, sorteo, proxy, ingreso por rol, cabeceras, llaves). Sin secretos expuestos, open redirect ni bypass de rol; /admin y /asesor verifican el rol en el servidor antes de usar service role. Bloquean el despliegue: (1) F2-01 boleta legible por API REST (ya reportado por ga-auditor-supabase); (2) la autorización de datos sensibles enlaza a una política de datos todavía placeholder; (3) el límite de 1 MB de las Server Actions tumba el envío de las 3 fotos. 6.2 sigue En curso (pasa a depender también de 2.12, 3.9 y 4.6): la mayoría de estos hallazgos ya se corrigieron en el siguiente reporte, falta el visto bueno final. Nuevo pendiente P-65 (si admin o asesor pueden participar en el sorteo).</t>
        </is>
      </c>
    </row>
    <row r="115">
      <c r="A115" s="8" t="inlineStr">
        <is>
          <t>2026-09-24</t>
        </is>
      </c>
      <c r="B115" s="4" t="inlineStr">
        <is>
          <t>ga-auditor-supabase</t>
        </is>
      </c>
      <c r="C115" s="8" t="inlineStr">
        <is>
          <t>1.6</t>
        </is>
      </c>
      <c r="D115" s="7" t="inlineStr">
        <is>
          <t>Auditoría de las 6 migraciones de fase 2: 1 hallazgo alto, 3 migraciones correctivas propuestas</t>
        </is>
      </c>
      <c r="E115" s="7" t="inlineStr">
        <is>
          <t>Auditoría de solo lectura contra el repo y Supabase local (203/203 pgTAP). Sin nada crítico. Hallazgo alto: el asociado podía leer el número de su boleta del sorteo por la API REST antes de confirmarlo. 3 migraciones nuevas propuestas sin aplicar: 000600 (oculta el número y corrige las carreras del sorteo), 000700 (el asesor degradado deja de ver a sus clientes), 000800 (trigger que sincroniza cédula y grado desde app_metadata). Reporte: docs/auditorias/2026-09-24-fase-2.md. Nueva actividad 1.6 (peso 3, depende de 1.5).</t>
        </is>
      </c>
    </row>
    <row r="116">
      <c r="A116" s="8" t="inlineStr">
        <is>
          <t>2026-09-24</t>
        </is>
      </c>
      <c r="B116" s="4" t="inlineStr">
        <is>
          <t>ga-funcionalidad-botones</t>
        </is>
      </c>
      <c r="C116" s="8" t="inlineStr">
        <is>
          <t>3.9</t>
        </is>
      </c>
      <c r="D116" s="7" t="inlineStr">
        <is>
          <t>Sorteo mensual en /cuenta</t>
        </is>
      </c>
      <c r="E116" s="7" t="inlineStr">
        <is>
          <t>Botón «Sorteo del mes» y modal en /cuenta (components/sorteo/SorteoDelMes.tsx): participar (RPC participar_sorteo, correo con el número por Resend), confirmar (RPC confirmar_boleta_sorteo, tope 5 intentos) y celebración con confeti (respeta prefers-reduced-motion). El número de boleta nunca sale del servidor antes de confirmar. 31 pruebas unitarias nuevas; docs/mapa-de-botones.md §4 y .env.example (RESEND_TEMPLATE_SORTEO_BOLETA) actualizados. tsc, eslint y build sin errores nuevos. No se pudo probar el flujo feliz completo en vivo (24-sep está fuera de la ventana 1–5); cubierto con pruebas unitarias y revisión de código. Nueva actividad 3.9 (peso 4, depende de 3.5 y 1.5). Pendiente: aprobar la plantilla ga-sorteo-boleta en Resend (ver P-61).</t>
        </is>
      </c>
    </row>
    <row r="117">
      <c r="A117" s="8" t="inlineStr">
        <is>
          <t>2026-09-24</t>
        </is>
      </c>
      <c r="B117" s="4" t="inlineStr">
        <is>
          <t>ga-funcionalidad-botones</t>
        </is>
      </c>
      <c r="C117" s="8" t="inlineStr">
        <is>
          <t>4.6; P-57</t>
        </is>
      </c>
      <c r="D117" s="7" t="inlineStr">
        <is>
          <t>Rol asesor: /asesor (mis clientes) y /asesor/demo</t>
        </is>
      </c>
      <c r="E117" s="7" t="inlineStr">
        <is>
          <t>/asesor («Mis clientes», buscador y filtro por estado sobre resumen_clientes_asesor()) y /asesor/demo (cuenta fantasma que no escribe nada), ambas con guardia de rol propia en el servidor; 26 pruebas unitarias nuevas; docs/mapa-de-botones.md actualizado (§7, §7b). Verificado contra Supabase local con el asesor de prueba (cédula 1234567892). Nueva actividad 4.6 (peso 3, depende de 1.5). Pendiente nuevo P-57: agregar /asesor al matcher de proxy.ts y redirigir por rol tras login.</t>
        </is>
      </c>
    </row>
    <row r="118">
      <c r="A118" s="8" t="inlineStr">
        <is>
          <t>2026-09-24</t>
        </is>
      </c>
      <c r="B118" s="4" t="inlineStr">
        <is>
          <t>ga-auditor-supabase</t>
        </is>
      </c>
      <c r="C118" s="8" t="inlineStr">
        <is>
          <t>1.5; P-63</t>
        </is>
      </c>
      <c r="D118" s="7" t="inlineStr">
        <is>
          <t>Modelo de datos de fase 2: rol asesor, afiliación v2, bucket de fotos y sorteo mensual</t>
        </is>
      </c>
      <c r="E118" s="7" t="inlineStr">
        <is>
          <t>6 migraciones nuevas probadas contra Supabase local (no aplicadas a producción): enum 'asesor', perfiles.asesor_id con validaciones, solicitudes_afiliacion v2 (nombres/apellidos, institución + correo institucional, Nequi, asesor_id, 3 fotos obligatorias), obtener_asesores_publico()/resumen_clientes_asesor() (SECURITY DEFINER), bucket privado afiliacion-documentos (5 MB, sin políticas de storage.objects, todo por service_role + URL firmada) y sorteo mensual (boletas_sorteo, participar_sorteo(), confirmar_boleta_sorteo(), ventana 1–5 hora Bogotá, tope 5 intentos). seed.sql actualizado; 4 archivos pgTAP nuevos y 2 ajustados; docs/spec-fase-2.md nuevo. Verificado: supabase db reset + supabase test db (203/203) + test:unit (163/163) + tsc sin errores. Nueva actividad 1.5 (peso 5, depende de 1.2). Pendientes abiertos para la cooperativa recogidos en P-63.</t>
        </is>
      </c>
    </row>
    <row r="119">
      <c r="A119" s="8" t="inlineStr">
        <is>
          <t>2026-09-23</t>
        </is>
      </c>
      <c r="B119" s="7" t="inlineStr">
        <is>
          <t>ga-funcionalidad-botones + ga-diseno-a-codigo</t>
        </is>
      </c>
      <c r="C119" s="8" t="inlineStr">
        <is>
          <t>6.3</t>
        </is>
      </c>
      <c r="D119" s="7" t="inlineStr">
        <is>
          <t>Corregidos F-01 a F-08 de verificación 3 y los 8 hallazgos responsive</t>
        </is>
      </c>
      <c r="E119" s="7" t="inlineStr">
        <is>
          <t>ga-funcionalidad-botones: F-01 (correo enmascarado ya no delata la cédula, también oculta el dominio), F-02 (tope de intentos al verificar código: 5 por cédula y 30 por IP cada 15 min), F-05 (cabeceras X-Frame-Options, CSP frame-ancestors, Referrer-Policy, X-Content-Type-Options), F-06 (monto múltiplo de $50.000) y F-08 (código pegado durante «Reenviar» ya no se borra); documentó O-01 (x-forwarded-for solo confiable detrás de Vercel, ver P-49). ga-diseno-a-codigo: los 8 hallazgos responsive (tarjetas 50/100 %, deslizador, «Reenviar código», header /cuenta, hero y landing 1024–1150, /afiliacion y /cuenta 640–1023, hueco /afiliacion/enviada en tableta) y F-03/F-04/F-07 (Cerrar sesión en celular, 404 en español, hueco de tableta); nueva app/not-found.tsx. Todo terminó en el commit bf09975→4545c0e (arreglos de QA). Pendiente: tests/e2e con el formato viejo de máscara y dominios (ver P-58); confirmar con la cooperativa que solo hay 3 dominios institucionales (ver P-63); hallazgo #7 (grid de /afiliacion a 1024 px) quedó pendiente para la tanda que reescribiera Afiliacion.tsx, ya superado por la afiliación v2 (2.12).</t>
        </is>
      </c>
    </row>
    <row r="120">
      <c r="A120" s="8" t="inlineStr">
        <is>
          <t>2026-09-23</t>
        </is>
      </c>
      <c r="B120" s="7" t="inlineStr">
        <is>
          <t>ga-verificador-responsive + ga-verificador-qa</t>
        </is>
      </c>
      <c r="C120" s="8" t="inlineStr">
        <is>
          <t>6.3; P-39</t>
        </is>
      </c>
      <c r="D120" s="7" t="inlineStr">
        <is>
          <t>Responsive 3 (8 hallazgos menores) y QA E2E 3 (236/241, NO APROBADO)</t>
        </is>
      </c>
      <c r="E120" s="7" t="inlineStr">
        <is>
          <t>Responsive: 8 rutas × 9 anchos (360–1440) contra develop bf09975, 0 críticos y 8 menores (docs/verificaciones/responsive-2026-09-23/). QA: Supabase local, 236 pasan y 5 fallan; unitarias (140), pgTAP (143), tsc y eslint sin errores; docs/verificaciones/2026-09-23-verificacion-3.md. Bloqueaban producción: F-01 crítica (el dominio del correo enmascarado delataba si la cédula existe) y F-02 alta (sin tope de intentos al verificar el código); además contenido pendiente de la cooperativa, política de datos vacía, configuración de producción por revisar (SMTP/Resend, P-45, secretos en Vercel, P-43, P-09), F-03/F-04 (diseño), F-05 (cabeceras anti-clickjacking) y F-06 a F-08 bajas.</t>
        </is>
      </c>
    </row>
    <row r="121">
      <c r="A121" s="8" t="inlineStr">
        <is>
          <t>2026-09-23</t>
        </is>
      </c>
      <c r="B121" s="4" t="inlineStr">
        <is>
          <t>ga-verificador-responsive</t>
        </is>
      </c>
      <c r="C121" s="8" t="inlineStr">
        <is>
          <t>6.3, 5.2, 5.8; P-39, P-53</t>
        </is>
      </c>
      <c r="D121" s="7" t="inlineStr">
        <is>
          <t>Verificación responsive 2: 0 fallas en 13 anchos; tests/responsive 10/10</t>
        </is>
      </c>
      <c r="E121" s="7" t="inlineStr">
        <is>
          <t>Sin scroll horizontal en /, /ingresar, /ingresar/codigo, /afiliacion, /politica-de-datos, /cuenta y /cuenta/solicitar (con cookie y sesión reales) de 320 a 1920 px. P-39 pasa a Hecho (QA y responsive corridas); 6.3 sigue En curso porque depende de trabajo sin terminar. Menor y opcional: P-53 («COOPERATIVA» del logo a 320 px ~5 px de alto).</t>
        </is>
      </c>
    </row>
    <row r="122">
      <c r="A122" s="8" t="inlineStr">
        <is>
          <t>2026-09-23</t>
        </is>
      </c>
      <c r="B122" s="4" t="inlineStr">
        <is>
          <t>ga-funcionalidad-botones</t>
        </is>
      </c>
      <c r="C122" s="8" t="inlineStr">
        <is>
          <t>3.7, 5.5, 5.6, 6.9, 6.11; P-35, P-40, P-44, P-56</t>
        </is>
      </c>
      <c r="D122" s="7" t="inlineStr">
        <is>
          <t>HMAC en el límite de intentos, crédito en /cuenta/solicitar y borradas /login y /dashboard</t>
        </is>
      </c>
      <c r="E122" s="7" t="inlineStr">
        <is>
          <t>Nueva actividad 6.11 (Hecho, peso 1): clave del límite con HMAC-SHA256 y LIMITE_HMAC_SECRET (sin el secreto el build falla). Formulario de crédito movido a /cuenta/solicitar con EncabezadoCuenta; 5.5 y P-40 pasan a Hecho. 6.9 y P-44 suman LIMITE_HMAC_SECRET y 6.9 depende de 6.11. Pruebas: 140/140 unitarias, 143/143 base, tsc, lint y build limpios. Trabajo nuevo: 5.6 revisar el diseño de /cuenta/solicitar (ga-diseno-a-codigo, peso 1) con P-56; 6.3 pasa a depender de 5.6.</t>
        </is>
      </c>
    </row>
    <row r="123">
      <c r="A123" s="8" t="inlineStr">
        <is>
          <t>2026-09-23</t>
        </is>
      </c>
      <c r="B123" s="4" t="inlineStr">
        <is>
          <t>ga-diseno-a-codigo</t>
        </is>
      </c>
      <c r="C123" s="8" t="inlineStr">
        <is>
          <t>5.2, 5.8, 6.3</t>
        </is>
      </c>
      <c r="D123" s="7" t="inlineStr">
        <is>
          <t>Corregido el scroll horizontal y marca de agua más tenue</t>
        </is>
      </c>
      <c r="E123" s="7" t="inlineStr">
        <is>
          <t>Enlace del logo encoge (min-w-0 shrink) en los 5 headers; formulario de ingreso w-full con máximo 440 px y relleno de 32 px entre 1024 y 1279 px; marca de agua del hero en la esquina contraria y más tenue. 5.8 queda Hecho (peso 1, depende de 5.2 y 5.7).</t>
        </is>
      </c>
    </row>
    <row r="124">
      <c r="A124" s="8" t="inlineStr">
        <is>
          <t>2026-09-23</t>
        </is>
      </c>
      <c r="B124" s="4" t="inlineStr">
        <is>
          <t>ga-verificador-responsive</t>
        </is>
      </c>
      <c r="C124" s="8" t="inlineStr">
        <is>
          <t>6.3, 5.2, 2.1, 5.8; P-39</t>
        </is>
      </c>
      <c r="D124" s="7" t="inlineStr">
        <is>
          <t>Verificación responsive 1: logo y fotos bien; 2 fallas críticas de scroll previas</t>
        </is>
      </c>
      <c r="E124" s="7" t="inlineStr">
        <is>
          <t>Playwright en 10 anchos (320–1920 px) sobre 7 rutas. Logo nítido y proporcionado en dark y light; fotos decorativas correctas. Fallas: landing a 320 px («Ingresar» cortado, enlace del logo fijo en 240 px) y /ingresar y /ingresar/codigo entre 1024 y 1075 px (540 + 440 + padding = 1076 px). Se abre 5.8 para corregirlas.</t>
        </is>
      </c>
    </row>
    <row r="125">
      <c r="A125" s="8" t="inlineStr">
        <is>
          <t>2026-09-23</t>
        </is>
      </c>
      <c r="B125" s="4" t="inlineStr">
        <is>
          <t>ga-diseno-a-codigo</t>
        </is>
      </c>
      <c r="C125" s="8" t="inlineStr">
        <is>
          <t>2.1, 5.3, 5.7; P-16, P-52</t>
        </is>
      </c>
      <c r="D125" s="7" t="inlineStr">
        <is>
          <t>Logo con letras oficiales en SVG y espacios de foto de marca en la landing</t>
        </is>
      </c>
      <c r="E125" s="7" t="inlineStr">
        <is>
          <t>green-alliance-wordmark.svg (y versión blanca) reemplaza Montserrat; EspacioFoto con degradado, patrón, isotipo e ilustración, listo para recibir { src, alt }. Mapa de botones revisado contra el diseño (2.2, 2.3, 3.4): todo existe y está bien ubicado. Nueva actividad 5.7 (Hecho, peso 2, depende de 2.1). 5.3 sigue Bloqueado; P-16 sigue Pendiente (fotos reales de la cooperativa). P-52 (actualizar el mapa: §4 «Nueva solicitud» → /cuenta/solicitar y documentar esa ruta) se registra como Hecho: el documento ya lo tiene tras el cambio de ga-funcionalidad-botones.</t>
        </is>
      </c>
    </row>
    <row r="126">
      <c r="A126" s="8" t="inlineStr">
        <is>
          <t>2026-09-23</t>
        </is>
      </c>
      <c r="B126" s="4" t="inlineStr">
        <is>
          <t>ga-auditor-supabase</t>
        </is>
      </c>
      <c r="C126" s="8" t="inlineStr">
        <is>
          <t>6.8, 6.11, 6.12; P-43, P-54, P-55</t>
        </is>
      </c>
      <c r="D126" s="7" t="inlineStr">
        <is>
          <t>Migración limite_de_intentos auditada: se puede aplicar tal cual</t>
        </is>
      </c>
      <c r="E126" s="7" t="inlineStr">
        <is>
          <t>Auditoría de solo lectura contra producción, sin críticos ni altos (docs/auditorias/2026-09-23-limite-de-intentos.md). 6.8 pasa a En curso (revisión hecha, falta que Sebas haga db push antes de 6.5); P-43 sigue Pendiente con nota. Trabajo nuevo: hash HMAC de la clave (queda en 6.11, ver reporte de ga-funcionalidad-botones), 6.12 alerta en logs de Vercel (peso 1) con P-54, y P-55 opcional (revocar limites_intentos_id_seq a anon y authenticated).</t>
        </is>
      </c>
    </row>
    <row r="127">
      <c r="A127" s="8" t="inlineStr">
        <is>
          <t>2026-09-23</t>
        </is>
      </c>
      <c r="B127" s="7" t="inlineStr">
        <is>
          <t>Sebas + ga-auditor-supabase</t>
        </is>
      </c>
      <c r="C127" s="8" t="inlineStr">
        <is>
          <t>2.4, 6.8, 6.10; P-09, P-19, P-20, P-43, P-45</t>
        </is>
      </c>
      <c r="D127" s="7" t="inlineStr">
        <is>
          <t>SMTP de Resend configurado, plantilla del código lista en local y blindar confirmada en producción</t>
        </is>
      </c>
      <c r="E127" s="7" t="inlineStr">
        <is>
          <t>P-19 Hecho (Sebas configuró el SMTP). P-20 sigue En curso: supabase/templates/codigo-ingreso.html rediseñada con la marca y probada en Mailpit; falta pegarla en Magic Link del panel. P-45 sin confirmar, sin cambios; por eso 2.4 sigue En curso. list_migrations confirma que producción ya tiene 20260923173355_blindar_solicitudes_y_revisiones: 6.10 y P-09 pasan a Hecho (el reporte anterior de atraso estaba equivocado). Falta en producción 20260923210000_limite_de_intentos (limites_intentos y registrar_intento, usadas por dentroDelLimite en /afiliacion, /ingresar y «Reenviar código»): ya existía como 6.8 / P-43 y 6.5 ya dependía de 6.8; se actualizan responsable (Sebas, revisa ga-auditor-supabase) y nota en vez de duplicar.</t>
        </is>
      </c>
    </row>
    <row r="128">
      <c r="A128" s="8" t="inlineStr">
        <is>
          <t>2026-09-23</t>
        </is>
      </c>
      <c r="B128" s="4" t="inlineStr">
        <is>
          <t>Sebas</t>
        </is>
      </c>
      <c r="C128" s="8" t="inlineStr">
        <is>
          <t>—</t>
        </is>
      </c>
      <c r="D128" s="7" t="inlineStr">
        <is>
          <t>Agente ga-auditor-supabase corregido</t>
        </is>
      </c>
      <c r="E128" s="7" t="inlineStr">
        <is>
          <t>Sus disallowedTools ahora usan los nombres reales del MCP (mcp__claude_ai_Supabase__*). Sin efecto en el plan.</t>
        </is>
      </c>
    </row>
    <row r="129">
      <c r="A129" s="8" t="inlineStr">
        <is>
          <t>2026-09-23</t>
        </is>
      </c>
      <c r="B129" s="7" t="inlineStr">
        <is>
          <t>Sebas + ga-auditor-supabase</t>
        </is>
      </c>
      <c r="C129" s="8" t="inlineStr">
        <is>
          <t>3.1, 6.5, 6.10; P-09</t>
        </is>
      </c>
      <c r="D129" s="7" t="inlineStr">
        <is>
          <t>Producción atrasada: falta la migración blindar_solicitudes_y_revisiones</t>
        </is>
      </c>
      <c r="E129" s="7" t="inlineStr">
        <is>
          <t>PagGreenAlliance tiene 10 migraciones hasta 20260923123937_fecha_solicitud_en_servidor; le falta blindar_solicitudes_y_revisiones (en el repo es 20260923173355; el reporte la nombra 20260923160000) y la app lee tasa_interes_mensual, que en producción no existe. P-09 estaba Hecho por error: se reabre como Pendiente Alta (Sebas aplica, ga-auditor-supabase revisa antes). 3.1 se deja Hecho (el trabajo en la base está hecho y tiene hechas que dependen de él) pero se quita «y migración a producción» de su texto; nueva actividad 6.10 (peso 1, depende de 3.1) para aplicarla, y 6.5 (despliegue) pasa a depender de 6.10.</t>
        </is>
      </c>
    </row>
    <row r="130">
      <c r="A130" s="8" t="inlineStr">
        <is>
          <t>2026-09-23</t>
        </is>
      </c>
      <c r="B130" s="4" t="inlineStr">
        <is>
          <t>ga-escritor-tests</t>
        </is>
      </c>
      <c r="C130" s="8" t="inlineStr">
        <is>
          <t>6.1</t>
        </is>
      </c>
      <c r="D130" s="7" t="inlineStr">
        <is>
          <t>132/132 unitarias, 131/131 pgTAP y tsc sin errores</t>
        </is>
      </c>
      <c r="E130" s="7" t="inlineStr">
        <is>
          <t>Corridas con Node v24 y Supabase local en Docker. Se agregaron supabase/seed.sql con asociados de prueba y .env.development.local para que npm run dev use Supabase local en vez de producción. 6.1 sigue En curso: faltan las pruebas de las acciones de admin (4.3, 4.5).</t>
        </is>
      </c>
    </row>
    <row r="131">
      <c r="A131" s="8" t="inlineStr">
        <is>
          <t>2026-09-23</t>
        </is>
      </c>
      <c r="B131" s="7" t="inlineStr">
        <is>
          <t>Sebas + ga-funcionalidad-botones</t>
        </is>
      </c>
      <c r="C131" s="8" t="inlineStr">
        <is>
          <t>2.9, 3.8, 4.5, 6.1, 6.2, 6.9; P-19, P-20, P-28, P-36, P-37, P-44, P-45, P-50, P-51</t>
        </is>
      </c>
      <c r="D131" s="7" t="inlineStr">
        <is>
          <t>Se quitan del código los correos de aviso de afiliación y de solicitud de crédito; docs/resend-plantillas.md reescrito</t>
        </is>
      </c>
      <c r="E131" s="7" t="inlineStr">
        <is>
          <t>Decisión de Sebas: ya no se envían avisos Resend al guardar una afiliación (equipo y solicitante) ni una solicitud de crédito (equipo y asociado). Se borró lib/correo/afiliacion.ts y enviarAvisoNuevaSolicitudCredito; salen del .env.example AFILIACION_EMAIL_EQUIPO, CREDITOS_EMAIL_EQUIPO y cuatro RESEND_TEMPLATE_*, entra RESEND_TEMPLATE_INGRESO_ACEPTADO. El equipo revisa solicitudes y afiliaciones en Supabase hasta que exista /admin. Se elimina la actividad 3.8 (correo al equipo, estaba En curso, peso 2) y se quita de las dependencias de 6.1 y 6.2. 2.9 y P-28 ya no mencionan el correo. 6.9 y P-44: fuera AFILIACION_EMAIL_EQUIPO, entran RESEND_TEMPLATE_INGRESO_ACEPTADO, _CREDITO_APROBADO y _CREDITO_RECHAZADO. Plantillas: (a) «Ingreso aceptado» → nueva actividad 4.5 (aprobar afiliación en /admin, crear usuario y enviar correo; peso 3, depende de 4.1 y 2.9; 6.1 y 6.2 pasan a depender de ella) y pendiente P-51; (b) código de 6 dígitos lo envía Supabase Auth, funciona en local, en producción falta SMTP de Resend, plantilla Magic Link con {{ .Token }}, OTP de 6 dígitos y 600 s → se actualizan P-19, P-20 y P-45 (responsable «Yo (panel Supabase/Resend)»), ligados a 2.4; (c) «Resultado del crédito»: enviarResultadoCredito existe sin conectar → P-37 se redefine y pasa a 4.3. P-50 queda Hecho como «ya no aplica».</t>
        </is>
      </c>
    </row>
    <row r="132">
      <c r="A132" s="8" t="inlineStr">
        <is>
          <t>2026-09-23</t>
        </is>
      </c>
      <c r="B132" s="4" t="inlineStr">
        <is>
          <t>ga-verificador-qa</t>
        </is>
      </c>
      <c r="C132" s="8" t="inlineStr">
        <is>
          <t>6.3, 2.11; P-39, P-48, P-49, P-50</t>
        </is>
      </c>
      <c r="D132" s="7" t="inlineStr">
        <is>
          <t>QA 1 de punta a punta: 186 pruebas pasan, 2 fallan</t>
        </is>
      </c>
      <c r="E132" s="7" t="inlineStr">
        <is>
          <t>Playwright contra Supabase local (1280 y 390 px); pruebas en tests/e2e/ e informe en docs/verificaciones/2026-09-23-verificacion-1.md. Sin fallas críticas ni altas; una media (F-01: el select «Grado» de /afiliacion se vacía tras un error de validación). 6.3 y P-39 pasan a En curso (falta ga-verificador-responsive). Nueva actividad 2.11 (corregir F-01, peso 1, depende de 2.9) y 6.3 pasa a depender de ella. Pendientes nuevos: P-48 (F-01), P-49 (revisar x-forwarded-for para el límite por IP, ligado a 6.2) y P-50 (confirmar el envío de los correos de afiliación, ligado a 3.8).</t>
        </is>
      </c>
    </row>
    <row r="133">
      <c r="A133" s="8" t="inlineStr">
        <is>
          <t>2026-09-23</t>
        </is>
      </c>
      <c r="B133" s="4" t="inlineStr">
        <is>
          <t>ga-funcionalidad-botones</t>
        </is>
      </c>
      <c r="C133" s="8" t="inlineStr">
        <is>
          <t>2.4, 2.5, 2.6, 2.7, 2.8, 2.9, 2.10, 3.5, 3.6, 3.7, 3.8, 5.4, 6.1, 6.5, 6.8, 6.9; P-15, P-20, P-22 a P-35, P-43 a P-47</t>
        </is>
      </c>
      <c r="D133" s="7" t="inlineStr">
        <is>
          <t>Botones de /, /ingresar, /ingresar/codigo, /afiliacion, /afiliacion/enviada y /cuenta funcionando en local</t>
        </is>
      </c>
      <c r="E133" s="7" t="inlineStr">
        <is>
          <t>Hecho: 2.5–2.10 y 3.5–3.7 (ingreso con código, proxy, Salir, Mis datos, afiliación con límites y honeypot, crédito conectado a /cuenta), contra Supabase local. En curso: 2.4 (plantilla local con {{ .Token }} lista; faltan SMTP y plantilla en producción), 3.8 (correos con Resend listos, falta RESEND_API_KEY), 5.4 (placeholder de /politica-de-datos, falta el texto de la cooperativa), 6.1 (pruebas de zod y /cuenta; faltan las de Server Actions). Dependencias: se quitó 2.4 de 2.5 y 2.9 porque el código funciona en local sin la configuración de producción; en su lugar 6.5 (despliegue) pasa a depender de 2.4, y 6.6/6.7 lo heredan vía 6.5. 3.8 y 4.3 siguen dependiendo de 2.4. Nuevas: 6.8 migración 20260923210000_limite_de_intentos.sql en producción (peso 1) y 6.9 variables en Vercel (peso 1), ambas antes de 6.5. Pendientes nuevos: P-43 (migración), P-44 (Vercel), P-45 (vencimiento 10 min e intervalo ≤ 45 s en Supabase, ligado a 2.4), P-46 (nombres de grados) y P-47 (estado de desembolso) de la cooperativa; 5.3 suma estos dos datos a su bloqueo.</t>
        </is>
      </c>
    </row>
    <row r="134">
      <c r="A134" s="8" t="inlineStr">
        <is>
          <t>2026-09-23</t>
        </is>
      </c>
      <c r="B134" s="4" t="inlineStr">
        <is>
          <t>Claude (sesión principal)</t>
        </is>
      </c>
      <c r="C134" s="8" t="inlineStr">
        <is>
          <t>Todas</t>
        </is>
      </c>
      <c r="D134" s="7" t="inlineStr">
        <is>
          <t>Creación del Excel de avances</t>
        </is>
      </c>
      <c r="E134" s="7" t="inlineStr">
        <is>
          <t>Pendientes desde PENDIENTES.md, plan desde la propuesta (6 fases, 8 semanas) reorganizado en 2 filas con cola infinita y pesos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2026-10-24T02:02:21Z</dcterms:created>
  <dcterms:modified xsi:type="dcterms:W3CDTF">2026-10-24T02:02:23Z</dcterms:modified>
</cp:coreProperties>
</file>