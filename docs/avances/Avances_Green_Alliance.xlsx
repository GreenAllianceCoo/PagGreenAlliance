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Pendientes" sheetId="2" state="visible" r:id="rId2"/>
    <sheet name="Plan" sheetId="3" state="visible" r:id="rId3"/>
    <sheet name="Gantt" sheetId="4" state="visible" r:id="rId4"/>
    <sheet name="Cola" sheetId="5" state="visible" r:id="rId5"/>
    <sheet name="Propuesta original" sheetId="6" state="visible" r:id="rId6"/>
    <sheet name="Pesos" sheetId="7" state="visible" r:id="rId7"/>
    <sheet name="Bitácora" sheetId="8" state="visible" r:id="rId8"/>
  </sheets>
  <definedNames>
    <definedName name="_xlnm._FilterDatabase" localSheetId="1" hidden="1">'Pendientes'!$A$4:$J$144</definedName>
    <definedName name="_xlnm._FilterDatabase" localSheetId="2" hidden="1">'Plan'!$A$4:$R$117</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2026-10-09.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125</v>
      </c>
      <c r="D6" s="6" t="inlineStr">
        <is>
          <t>Calculado por el optimizador.</t>
        </is>
      </c>
    </row>
    <row r="8">
      <c r="B8" s="3" t="inlineStr">
        <is>
          <t>Indicadores</t>
        </is>
      </c>
    </row>
    <row r="9">
      <c r="B9" s="4" t="inlineStr">
        <is>
          <t>Actividades en el plan</t>
        </is>
      </c>
      <c r="C9" s="9">
        <f>COUNTA(Plan!$A$5:$A$117)</f>
        <v/>
      </c>
    </row>
    <row r="10">
      <c r="B10" s="4" t="inlineStr">
        <is>
          <t>Hechas</t>
        </is>
      </c>
      <c r="C10" s="9">
        <f>COUNTIF(Plan!$O$5:$O$117,"Hecho")</f>
        <v/>
      </c>
    </row>
    <row r="11">
      <c r="B11" s="4" t="inlineStr">
        <is>
          <t>En curso</t>
        </is>
      </c>
      <c r="C11" s="9">
        <f>COUNTIF(Plan!$O$5:$O$117,"En curso")</f>
        <v/>
      </c>
    </row>
    <row r="12">
      <c r="B12" s="4" t="inlineStr">
        <is>
          <t>Pendientes</t>
        </is>
      </c>
      <c r="C12" s="9">
        <f>COUNTIF(Plan!$O$5:$O$117,"Pendiente")</f>
        <v/>
      </c>
    </row>
    <row r="13">
      <c r="B13" s="7" t="inlineStr">
        <is>
          <t>Bloqueadas (esperan a la cooperativa)</t>
        </is>
      </c>
      <c r="C13" s="9">
        <f>COUNTIF(Plan!$O$5:$O$117,"Bloqueado")</f>
        <v/>
      </c>
    </row>
    <row r="14">
      <c r="B14" s="4" t="inlineStr">
        <is>
          <t>Peso total (puntos)</t>
        </is>
      </c>
      <c r="C14" s="9">
        <f>SUM(Plan!$D$5:$D$117)</f>
        <v/>
      </c>
    </row>
    <row r="15">
      <c r="B15" s="4" t="inlineStr">
        <is>
          <t>Peso hecho (puntos)</t>
        </is>
      </c>
      <c r="C15" s="9">
        <f>SUMIF(Plan!$O$5:$O$117,"Hecho",Plan!$D$5:$D$117)</f>
        <v/>
      </c>
    </row>
    <row r="16">
      <c r="B16" s="4" t="inlineStr">
        <is>
          <t>Avance ponderado por peso</t>
        </is>
      </c>
      <c r="C16" s="10">
        <f>IF(C14=0,0,C15/C14)</f>
        <v/>
      </c>
    </row>
    <row r="17">
      <c r="B17" s="7" t="inlineStr">
        <is>
          <t>Duración total optimizada (bloques)</t>
        </is>
      </c>
      <c r="C17" s="9">
        <f>MAX(Plan!$L$5:$L$117)</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IF(C17=0,0,(SUMIF(Plan!$I$5:$I$117,"A",Plan!$E$5:$E$117)+SUMIF(Plan!$I$5:$I$117,"A+B",Plan!$E$5:$E$117))/C17)</f>
        <v/>
      </c>
    </row>
    <row r="24">
      <c r="B24" s="4" t="inlineStr">
        <is>
          <t>Uso de la Fila B</t>
        </is>
      </c>
      <c r="C24" s="12">
        <f>IF(C17=0,0,(SUMIF(Plan!$I$5:$I$117,"B",Plan!$E$5:$E$117)+SUMIF(Plan!$I$5:$I$117,"A+B",Plan!$E$5:$E$117))/C17)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SUMIF(Plan!$B$5:$B$117,"1. Diseño y arquitectura",Plan!$D$5:$D$117)</f>
        <v/>
      </c>
      <c r="D29" s="15">
        <f>SUMIFS(Plan!$D$5:$D$117,Plan!$B$5:$B$117,"1. Diseño y arquitectura",Plan!$O$5:$O$117,"Hecho")</f>
        <v/>
      </c>
      <c r="E29" s="12">
        <f>IF(C29=0,0,D29/C29)</f>
        <v/>
      </c>
      <c r="F29" s="15">
        <f>SUMPRODUCT(MAX((Plan!$B$5:$B$117="1. Diseño y arquitectura")*Plan!$L$5:$L$117))</f>
        <v/>
      </c>
      <c r="G29" s="8">
        <f>"S"&amp;ROUNDUP(F29/$C$5,0)</f>
        <v/>
      </c>
      <c r="H29" s="16">
        <f>'Propuesta original'!E5</f>
        <v/>
      </c>
    </row>
    <row r="30">
      <c r="B30" s="7" t="inlineStr">
        <is>
          <t>2. Landing y autenticación</t>
        </is>
      </c>
      <c r="C30" s="15">
        <f>SUMIF(Plan!$B$5:$B$117,"2. Landing y autenticación",Plan!$D$5:$D$117)</f>
        <v/>
      </c>
      <c r="D30" s="15">
        <f>SUMIFS(Plan!$D$5:$D$117,Plan!$B$5:$B$117,"2. Landing y autenticación",Plan!$O$5:$O$117,"Hecho")</f>
        <v/>
      </c>
      <c r="E30" s="12">
        <f>IF(C30=0,0,D30/C30)</f>
        <v/>
      </c>
      <c r="F30" s="15">
        <f>SUMPRODUCT(MAX((Plan!$B$5:$B$117="2. Landing y autenticación")*Plan!$L$5:$L$117))</f>
        <v/>
      </c>
      <c r="G30" s="8">
        <f>"S"&amp;ROUNDUP(F30/$C$5,0)</f>
        <v/>
      </c>
      <c r="H30" s="16">
        <f>'Propuesta original'!E6</f>
        <v/>
      </c>
    </row>
    <row r="31">
      <c r="B31" s="7" t="inlineStr">
        <is>
          <t>3. Flujo de solicitud de crédito</t>
        </is>
      </c>
      <c r="C31" s="15">
        <f>SUMIF(Plan!$B$5:$B$117,"3. Flujo de solicitud de crédito",Plan!$D$5:$D$117)</f>
        <v/>
      </c>
      <c r="D31" s="15">
        <f>SUMIFS(Plan!$D$5:$D$117,Plan!$B$5:$B$117,"3. Flujo de solicitud de crédito",Plan!$O$5:$O$117,"Hecho")</f>
        <v/>
      </c>
      <c r="E31" s="12">
        <f>IF(C31=0,0,D31/C31)</f>
        <v/>
      </c>
      <c r="F31" s="15">
        <f>SUMPRODUCT(MAX((Plan!$B$5:$B$117="3. Flujo de solicitud de crédito")*Plan!$L$5:$L$117))</f>
        <v/>
      </c>
      <c r="G31" s="8">
        <f>"S"&amp;ROUNDUP(F31/$C$5,0)</f>
        <v/>
      </c>
      <c r="H31" s="16">
        <f>'Propuesta original'!E7</f>
        <v/>
      </c>
    </row>
    <row r="32">
      <c r="B32" s="7" t="inlineStr">
        <is>
          <t>4. Panel de administración</t>
        </is>
      </c>
      <c r="C32" s="15">
        <f>SUMIF(Plan!$B$5:$B$117,"4. Panel de administración",Plan!$D$5:$D$117)</f>
        <v/>
      </c>
      <c r="D32" s="15">
        <f>SUMIFS(Plan!$D$5:$D$117,Plan!$B$5:$B$117,"4. Panel de administración",Plan!$O$5:$O$117,"Hecho")</f>
        <v/>
      </c>
      <c r="E32" s="12">
        <f>IF(C32=0,0,D32/C32)</f>
        <v/>
      </c>
      <c r="F32" s="15">
        <f>SUMPRODUCT(MAX((Plan!$B$5:$B$117="4. Panel de administración")*Plan!$L$5:$L$117))</f>
        <v/>
      </c>
      <c r="G32" s="8">
        <f>"S"&amp;ROUNDUP(F32/$C$5,0)</f>
        <v/>
      </c>
      <c r="H32" s="16">
        <f>'Propuesta original'!E8</f>
        <v/>
      </c>
    </row>
    <row r="33">
      <c r="B33" s="4" t="inlineStr">
        <is>
          <t>5. Convenios y pulido</t>
        </is>
      </c>
      <c r="C33" s="15">
        <f>SUMIF(Plan!$B$5:$B$117,"5. Convenios y pulido",Plan!$D$5:$D$117)</f>
        <v/>
      </c>
      <c r="D33" s="15">
        <f>SUMIFS(Plan!$D$5:$D$117,Plan!$B$5:$B$117,"5. Convenios y pulido",Plan!$O$5:$O$117,"Hecho")</f>
        <v/>
      </c>
      <c r="E33" s="12">
        <f>IF(C33=0,0,D33/C33)</f>
        <v/>
      </c>
      <c r="F33" s="15">
        <f>SUMPRODUCT(MAX((Plan!$B$5:$B$117="5. Convenios y pulido")*Plan!$L$5:$L$117))</f>
        <v/>
      </c>
      <c r="G33" s="8">
        <f>"S"&amp;ROUNDUP(F33/$C$5,0)</f>
        <v/>
      </c>
      <c r="H33" s="16">
        <f>'Propuesta original'!E9</f>
        <v/>
      </c>
    </row>
    <row r="34">
      <c r="B34" s="4" t="inlineStr">
        <is>
          <t>6. Pruebas y lanzamiento</t>
        </is>
      </c>
      <c r="C34" s="15">
        <f>SUMIF(Plan!$B$5:$B$117,"6. Pruebas y lanzamiento",Plan!$D$5:$D$117)</f>
        <v/>
      </c>
      <c r="D34" s="15">
        <f>SUMIFS(Plan!$D$5:$D$117,Plan!$B$5:$B$117,"6. Pruebas y lanzamiento",Plan!$O$5:$O$117,"Hecho")</f>
        <v/>
      </c>
      <c r="E34" s="12">
        <f>IF(C34=0,0,D34/C34)</f>
        <v/>
      </c>
      <c r="F34" s="15">
        <f>SUMPRODUCT(MAX((Plan!$B$5:$B$117="6. Pruebas y lanzamiento")*Plan!$L$5:$L$117))</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COUNTIFS(Pendientes!$B$5:$B$144,$B46,Pendientes!$G$5:$G$144,"Hecho")</f>
        <v/>
      </c>
      <c r="D46" s="15">
        <f>COUNTIFS(Pendientes!$B$5:$B$144,$B46,Pendientes!$G$5:$G$144,"En curso")</f>
        <v/>
      </c>
      <c r="E46" s="15">
        <f>COUNTIFS(Pendientes!$B$5:$B$144,$B46,Pendientes!$G$5:$G$144,"Pendiente")</f>
        <v/>
      </c>
      <c r="F46" s="15">
        <f>COUNTIFS(Pendientes!$B$5:$B$144,$B46,Pendientes!$G$5:$G$144,"Bloqueado")</f>
        <v/>
      </c>
      <c r="G46" s="9">
        <f>SUM(C46:F46)</f>
        <v/>
      </c>
    </row>
    <row r="47">
      <c r="B47" s="4" t="inlineStr">
        <is>
          <t>Dato de la cooperativa</t>
        </is>
      </c>
      <c r="C47" s="15">
        <f>COUNTIFS(Pendientes!$B$5:$B$144,$B47,Pendientes!$G$5:$G$144,"Hecho")</f>
        <v/>
      </c>
      <c r="D47" s="15">
        <f>COUNTIFS(Pendientes!$B$5:$B$144,$B47,Pendientes!$G$5:$G$144,"En curso")</f>
        <v/>
      </c>
      <c r="E47" s="15">
        <f>COUNTIFS(Pendientes!$B$5:$B$144,$B47,Pendientes!$G$5:$G$144,"Pendiente")</f>
        <v/>
      </c>
      <c r="F47" s="15">
        <f>COUNTIFS(Pendientes!$B$5:$B$144,$B47,Pendientes!$G$5:$G$144,"Bloqueado")</f>
        <v/>
      </c>
      <c r="G47" s="9">
        <f>SUM(C47:F47)</f>
        <v/>
      </c>
    </row>
    <row r="48">
      <c r="B48" s="4" t="inlineStr">
        <is>
          <t>Configuración</t>
        </is>
      </c>
      <c r="C48" s="15">
        <f>COUNTIFS(Pendientes!$B$5:$B$144,$B48,Pendientes!$G$5:$G$144,"Hecho")</f>
        <v/>
      </c>
      <c r="D48" s="15">
        <f>COUNTIFS(Pendientes!$B$5:$B$144,$B48,Pendientes!$G$5:$G$144,"En curso")</f>
        <v/>
      </c>
      <c r="E48" s="15">
        <f>COUNTIFS(Pendientes!$B$5:$B$144,$B48,Pendientes!$G$5:$G$144,"Pendiente")</f>
        <v/>
      </c>
      <c r="F48" s="15">
        <f>COUNTIFS(Pendientes!$B$5:$B$144,$B48,Pendientes!$G$5:$G$144,"Bloqueado")</f>
        <v/>
      </c>
      <c r="G48" s="9">
        <f>SUM(C48:F48)</f>
        <v/>
      </c>
    </row>
    <row r="49">
      <c r="B49" s="4" t="inlineStr">
        <is>
          <t>Funcionalidad</t>
        </is>
      </c>
      <c r="C49" s="15">
        <f>COUNTIFS(Pendientes!$B$5:$B$144,$B49,Pendientes!$G$5:$G$144,"Hecho")</f>
        <v/>
      </c>
      <c r="D49" s="15">
        <f>COUNTIFS(Pendientes!$B$5:$B$144,$B49,Pendientes!$G$5:$G$144,"En curso")</f>
        <v/>
      </c>
      <c r="E49" s="15">
        <f>COUNTIFS(Pendientes!$B$5:$B$144,$B49,Pendientes!$G$5:$G$144,"Pendiente")</f>
        <v/>
      </c>
      <c r="F49" s="15">
        <f>COUNTIFS(Pendientes!$B$5:$B$144,$B49,Pendientes!$G$5:$G$144,"Bloqueado")</f>
        <v/>
      </c>
      <c r="G49" s="9">
        <f>SUM(C49:F49)</f>
        <v/>
      </c>
    </row>
    <row r="50">
      <c r="B50" s="4" t="inlineStr">
        <is>
          <t>Verificación y cierre</t>
        </is>
      </c>
      <c r="C50" s="15">
        <f>COUNTIFS(Pendientes!$B$5:$B$144,$B50,Pendientes!$G$5:$G$144,"Hecho")</f>
        <v/>
      </c>
      <c r="D50" s="15">
        <f>COUNTIFS(Pendientes!$B$5:$B$144,$B50,Pendientes!$G$5:$G$144,"En curso")</f>
        <v/>
      </c>
      <c r="E50" s="15">
        <f>COUNTIFS(Pendientes!$B$5:$B$144,$B50,Pendientes!$G$5:$G$144,"Pendiente")</f>
        <v/>
      </c>
      <c r="F50" s="15">
        <f>COUNTIFS(Pendientes!$B$5:$B$144,$B50,Pendientes!$G$5:$G$144,"Bloqueado")</f>
        <v/>
      </c>
      <c r="G50" s="9">
        <f>SUM(C50:F50)</f>
        <v/>
      </c>
    </row>
    <row r="51">
      <c r="B51" s="4" t="inlineStr">
        <is>
          <t>Seguridad</t>
        </is>
      </c>
      <c r="C51" s="15">
        <f>COUNTIFS(Pendientes!$B$5:$B$144,$B51,Pendientes!$G$5:$G$144,"Hecho")</f>
        <v/>
      </c>
      <c r="D51" s="15">
        <f>COUNTIFS(Pendientes!$B$5:$B$144,$B51,Pendientes!$G$5:$G$144,"En curso")</f>
        <v/>
      </c>
      <c r="E51" s="15">
        <f>COUNTIFS(Pendientes!$B$5:$B$144,$B51,Pendientes!$G$5:$G$144,"Pendiente")</f>
        <v/>
      </c>
      <c r="F51" s="15">
        <f>COUNTIFS(Pendientes!$B$5:$B$144,$B51,Pendientes!$G$5:$G$144,"Bloqueado")</f>
        <v/>
      </c>
      <c r="G51" s="9">
        <f>SUM(C51:F51)</f>
        <v/>
      </c>
    </row>
    <row r="52">
      <c r="B52" s="4" t="inlineStr">
        <is>
          <t>Código</t>
        </is>
      </c>
      <c r="C52" s="15">
        <f>COUNTIFS(Pendientes!$B$5:$B$144,$B52,Pendientes!$G$5:$G$144,"Hecho")</f>
        <v/>
      </c>
      <c r="D52" s="15">
        <f>COUNTIFS(Pendientes!$B$5:$B$144,$B52,Pendientes!$G$5:$G$144,"En curso")</f>
        <v/>
      </c>
      <c r="E52" s="15">
        <f>COUNTIFS(Pendientes!$B$5:$B$144,$B52,Pendientes!$G$5:$G$144,"Pendiente")</f>
        <v/>
      </c>
      <c r="F52" s="15">
        <f>COUNTIFS(Pendientes!$B$5:$B$144,$B52,Pendientes!$G$5:$G$144,"Bloqueado")</f>
        <v/>
      </c>
      <c r="G52" s="9">
        <f>SUM(C52:F52)</f>
        <v/>
      </c>
    </row>
    <row r="53">
      <c r="B53" s="4" t="inlineStr">
        <is>
          <t>Base de datos</t>
        </is>
      </c>
      <c r="C53" s="15">
        <f>COUNTIFS(Pendientes!$B$5:$B$144,$B53,Pendientes!$G$5:$G$144,"Hecho")</f>
        <v/>
      </c>
      <c r="D53" s="15">
        <f>COUNTIFS(Pendientes!$B$5:$B$144,$B53,Pendientes!$G$5:$G$144,"En curso")</f>
        <v/>
      </c>
      <c r="E53" s="15">
        <f>COUNTIFS(Pendientes!$B$5:$B$144,$B53,Pendientes!$G$5:$G$144,"Pendiente")</f>
        <v/>
      </c>
      <c r="F53" s="15">
        <f>COUNTIFS(Pendientes!$B$5:$B$144,$B53,Pendientes!$G$5:$G$144,"Bloqueado")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4"/>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P-54</t>
        </is>
      </c>
      <c r="B5" s="4" t="inlineStr">
        <is>
          <t>Configuración</t>
        </is>
      </c>
      <c r="C5" s="4" t="inlineStr">
        <is>
          <t>Vercel</t>
        </is>
      </c>
      <c r="D5" s="7" t="inlineStr">
        <is>
          <t>Alerta en los logs de Vercel para limite_de_intentos_fallo y limite_secreto_faltante</t>
        </is>
      </c>
      <c r="E5" s="7" t="inlineStr">
        <is>
          <t>Yo (panel Vercel)</t>
        </is>
      </c>
      <c r="F5" s="8" t="inlineStr">
        <is>
          <t>Media</t>
        </is>
      </c>
      <c r="G5" s="8" t="inlineStr">
        <is>
          <t>Pendiente</t>
        </is>
      </c>
      <c r="H5" s="8" t="inlineStr">
        <is>
          <t>6.12</t>
        </is>
      </c>
      <c r="I5" s="21">
        <f>IFERROR(INDEX(Plan!$B$5:$B$117,MATCH(H5,Plan!$A$5:$A$117,0)),"—")</f>
        <v/>
      </c>
      <c r="J5" s="7" t="inlineStr">
        <is>
          <t>Sugerido por ga-auditor-supabase en la auditoría de P-43.</t>
        </is>
      </c>
    </row>
    <row r="6">
      <c r="A6" s="19" t="inlineStr">
        <is>
          <t>P-105</t>
        </is>
      </c>
      <c r="B6" s="4" t="inlineStr">
        <is>
          <t>Configuración</t>
        </is>
      </c>
      <c r="C6" s="4" t="inlineStr">
        <is>
          <t>Vercel/Resend</t>
        </is>
      </c>
      <c r="D6" s="7" t="inlineStr">
        <is>
          <t>CRON_SECRET de 32+ caracteres, publicar plantilla ga-aviso-institucional y crear RESEND_TEMPLATE_AVISO_INSTITUCIONAL</t>
        </is>
      </c>
      <c r="E6" s="7" t="inlineStr">
        <is>
          <t>Sebas</t>
        </is>
      </c>
      <c r="F6" s="8" t="inlineStr">
        <is>
          <t>Alta</t>
        </is>
      </c>
      <c r="G6" s="8" t="inlineStr">
        <is>
          <t>Hecho</t>
        </is>
      </c>
      <c r="H6" s="8" t="inlineStr">
        <is>
          <t>6.22</t>
        </is>
      </c>
      <c r="I6" s="21">
        <f>IFERROR(INDEX(Plan!$B$5:$B$117,MATCH(H6,Plan!$A$5:$A$117,0)),"—")</f>
        <v/>
      </c>
      <c r="J6" s="7" t="inlineStr">
        <is>
          <t>30-sep: Sebas lo hizo en producción.</t>
        </is>
      </c>
    </row>
    <row r="7">
      <c r="A7" s="19" t="inlineStr">
        <is>
          <t>P-110</t>
        </is>
      </c>
      <c r="B7" s="4" t="inlineStr">
        <is>
          <t>Configuración</t>
        </is>
      </c>
      <c r="C7" s="4" t="inlineStr">
        <is>
          <t>Base de datos</t>
        </is>
      </c>
      <c r="D7" s="7" t="inlineStr">
        <is>
          <t>Aplicar la migración 20261001000000 antes de desplegar (sin ella falla el insert de afiliación por la columna version_politica_datos)</t>
        </is>
      </c>
      <c r="E7" s="7" t="inlineStr">
        <is>
          <t>Sebas</t>
        </is>
      </c>
      <c r="F7" s="8" t="inlineStr">
        <is>
          <t>Alta</t>
        </is>
      </c>
      <c r="G7" s="8" t="inlineStr">
        <is>
          <t>Hecho</t>
        </is>
      </c>
      <c r="H7" s="8" t="inlineStr">
        <is>
          <t>6.23</t>
        </is>
      </c>
      <c r="I7" s="21">
        <f>IFERROR(INDEX(Plan!$B$5:$B$117,MATCH(H7,Plan!$A$5:$A$117,0)),"—")</f>
        <v/>
      </c>
      <c r="J7" s="7" t="inlineStr">
        <is>
          <t>30-sep: reportado por ga-auditor-supabase y ga-funcionalidad-botones. 01-oct: aplicada en producción.</t>
        </is>
      </c>
    </row>
    <row r="8">
      <c r="A8" s="19" t="inlineStr">
        <is>
          <t>P-113</t>
        </is>
      </c>
      <c r="B8" s="4" t="inlineStr">
        <is>
          <t>Configuración</t>
        </is>
      </c>
      <c r="C8" s="4" t="inlineStr">
        <is>
          <t>Base de datos</t>
        </is>
      </c>
      <c r="D8" s="7" t="inlineStr">
        <is>
          <t>Docker: db reset + test db local y aplicar la migración 20261001100000 en producción</t>
        </is>
      </c>
      <c r="E8" s="7" t="inlineStr">
        <is>
          <t>Sebas</t>
        </is>
      </c>
      <c r="F8" s="8" t="inlineStr">
        <is>
          <t>Alta</t>
        </is>
      </c>
      <c r="G8" s="8" t="inlineStr">
        <is>
          <t>Hecho</t>
        </is>
      </c>
      <c r="H8" s="8" t="inlineStr">
        <is>
          <t>6.24</t>
        </is>
      </c>
      <c r="I8" s="21">
        <f>IFERROR(INDEX(Plan!$B$5:$B$117,MATCH(H8,Plan!$A$5:$A$117,0)),"—")</f>
        <v/>
      </c>
      <c r="J8"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9">
      <c r="A9" s="19" t="inlineStr">
        <is>
          <t>P-114</t>
        </is>
      </c>
      <c r="B9" s="4" t="inlineStr">
        <is>
          <t>Configuración</t>
        </is>
      </c>
      <c r="C9" s="4" t="inlineStr">
        <is>
          <t>Base de datos</t>
        </is>
      </c>
      <c r="D9" s="7" t="inlineStr">
        <is>
          <t>Aplicar la migración 20261002000000 en producción y fusionar develop→main (commit e2523de)</t>
        </is>
      </c>
      <c r="E9" s="7" t="inlineStr">
        <is>
          <t>Sebas</t>
        </is>
      </c>
      <c r="F9" s="8" t="inlineStr">
        <is>
          <t>Alta</t>
        </is>
      </c>
      <c r="G9" s="8" t="inlineStr">
        <is>
          <t>Hecho</t>
        </is>
      </c>
      <c r="H9" s="8" t="inlineStr">
        <is>
          <t>6.25</t>
        </is>
      </c>
      <c r="I9" s="21">
        <f>IFERROR(INDEX(Plan!$B$5:$B$117,MATCH(H9,Plan!$A$5:$A$117,0)),"—")</f>
        <v/>
      </c>
      <c r="J9" s="7" t="inlineStr">
        <is>
          <t>01-oct: sin ella /admin/convenios y la lectura de convenios por visible/orden fallan en producción (el loader tiene respaldo en CONVENIOS). Probar subida de logo con un admin real. 02-oct: cerrada; la fusión develop→main sigue en P-116 (6.27).</t>
        </is>
      </c>
    </row>
    <row r="10">
      <c r="A10" s="19" t="inlineStr">
        <is>
          <t>P-116</t>
        </is>
      </c>
      <c r="B10" s="4" t="inlineStr">
        <is>
          <t>Configuración</t>
        </is>
      </c>
      <c r="C10" s="4" t="inlineStr">
        <is>
          <t>Base de datos</t>
        </is>
      </c>
      <c r="D10" s="7" t="inlineStr">
        <is>
          <t>Aplicar con respaldo previo 20261002500000, 20261002600000, 20261003000000, 20261003100000 y 20261003200000 y 20261003300000 y fusionar develop→main</t>
        </is>
      </c>
      <c r="E10" s="7" t="inlineStr">
        <is>
          <t>Sebas</t>
        </is>
      </c>
      <c r="F10" s="8" t="inlineStr">
        <is>
          <t>Alta</t>
        </is>
      </c>
      <c r="G10" s="8" t="inlineStr">
        <is>
          <t>Hecho</t>
        </is>
      </c>
      <c r="H10" s="8" t="inlineStr">
        <is>
          <t>6.27</t>
        </is>
      </c>
      <c r="I10" s="21">
        <f>IFERROR(INDEX(Plan!$B$5:$B$117,MATCH(H10,Plan!$A$5:$A$117,0)),"—")</f>
        <v/>
      </c>
      <c r="J10" s="7" t="inlineStr">
        <is>
          <t>02-oct: 20261003000000 quita la FK perfiles.id → auth.users (cascada por trigger). 09-oct: Hecho por Sebas.</t>
        </is>
      </c>
    </row>
    <row r="11">
      <c r="A11" s="19" t="inlineStr">
        <is>
          <t>P-117</t>
        </is>
      </c>
      <c r="B11" s="4" t="inlineStr">
        <is>
          <t>Configuración</t>
        </is>
      </c>
      <c r="C11" s="4" t="inlineStr">
        <is>
          <t>Correos</t>
        </is>
      </c>
      <c r="D11" s="7" t="inlineStr">
        <is>
          <t>Plantilla del sorteo en Vercel/Resend (variables NOMBRE, NUMERO_BOLETA, MES) y {{{COMPROBANTE}}} en la plantilla de desembolso</t>
        </is>
      </c>
      <c r="E11" s="7" t="inlineStr">
        <is>
          <t>Sebas</t>
        </is>
      </c>
      <c r="F11" s="8" t="inlineStr">
        <is>
          <t>Alta</t>
        </is>
      </c>
      <c r="G11" s="8" t="inlineStr">
        <is>
          <t>Hecho</t>
        </is>
      </c>
      <c r="H11" s="8" t="inlineStr">
        <is>
          <t>6.28</t>
        </is>
      </c>
      <c r="I11" s="21">
        <f>IFERROR(INDEX(Plan!$B$5:$B$117,MATCH(H11,Plan!$A$5:$A$117,0)),"—")</f>
        <v/>
      </c>
      <c r="J11" s="7" t="inlineStr">
        <is>
          <t>02-oct: sin la plantilla, el correo del sorteo cae a texto plano (docs/resend-plantillas.md). 09-oct: Hecho por Sebas.</t>
        </is>
      </c>
    </row>
    <row r="12">
      <c r="A12" s="19" t="inlineStr">
        <is>
          <t>P-135</t>
        </is>
      </c>
      <c r="B12" s="4" t="inlineStr">
        <is>
          <t>Configuración</t>
        </is>
      </c>
      <c r="C12" s="4" t="inlineStr">
        <is>
          <t>Base de datos</t>
        </is>
      </c>
      <c r="D12" s="7" t="inlineStr">
        <is>
          <t>Aplicar la migración 20261008000000 (Patrullero de Policía) con respaldo previo</t>
        </is>
      </c>
      <c r="E12" s="7" t="inlineStr">
        <is>
          <t>Sebas</t>
        </is>
      </c>
      <c r="F12" s="8" t="inlineStr">
        <is>
          <t>Alta</t>
        </is>
      </c>
      <c r="G12" s="8" t="inlineStr">
        <is>
          <t>Hecho</t>
        </is>
      </c>
      <c r="H12" s="8" t="inlineStr">
        <is>
          <t>6.36</t>
        </is>
      </c>
      <c r="I12" s="21">
        <f>IFERROR(INDEX(Plan!$B$5:$B$117,MATCH(H12,Plan!$A$5:$A$117,0)),"—")</f>
        <v/>
      </c>
      <c r="J12" s="7" t="inlineStr">
        <is>
          <t>08-oct: db push, verificando antes migration list --linked. 09-oct: Hecho por Sebas.</t>
        </is>
      </c>
    </row>
    <row r="13">
      <c r="A13" s="19" t="inlineStr">
        <is>
          <t>P-138</t>
        </is>
      </c>
      <c r="B13" s="4" t="inlineStr">
        <is>
          <t>Configuración</t>
        </is>
      </c>
      <c r="C13" s="4" t="inlineStr">
        <is>
          <t>Base de datos</t>
        </is>
      </c>
      <c r="D13" s="7" t="inlineStr">
        <is>
          <t>Aplicar con respaldo previo la migración 20261009000000 (hallazgos de seguridad del 8-oct), verificando antes migration list --linked</t>
        </is>
      </c>
      <c r="E13" s="7" t="inlineStr">
        <is>
          <t>Sebas</t>
        </is>
      </c>
      <c r="F13" s="8" t="inlineStr">
        <is>
          <t>Alta</t>
        </is>
      </c>
      <c r="G13" s="8" t="inlineStr">
        <is>
          <t>Hecho</t>
        </is>
      </c>
      <c r="H13" s="8" t="inlineStr">
        <is>
          <t>6.39</t>
        </is>
      </c>
      <c r="I13" s="21">
        <f>IFERROR(INDEX(Plan!$B$5:$B$117,MATCH(H13,Plan!$A$5:$A$117,0)),"—")</f>
        <v/>
      </c>
      <c r="J13" s="7" t="inlineStr">
        <is>
          <t>09-oct: incluye la RPC fotos_carne_huerfanas. Sin ella el código nuevo no funciona. 09-oct: Hecho por Sebas.</t>
        </is>
      </c>
    </row>
    <row r="14">
      <c r="A14" s="19" t="inlineStr">
        <is>
          <t>P-139</t>
        </is>
      </c>
      <c r="B14" s="4" t="inlineStr">
        <is>
          <t>Configuración</t>
        </is>
      </c>
      <c r="C14" s="4" t="inlineStr">
        <is>
          <t>Despliegue</t>
        </is>
      </c>
      <c r="D14" s="7" t="inlineStr">
        <is>
          <t>Desplegar el código nuevo de inmediato junto con la migración 20261009000000</t>
        </is>
      </c>
      <c r="E14" s="7" t="inlineStr">
        <is>
          <t>Sebas</t>
        </is>
      </c>
      <c r="F14" s="8" t="inlineStr">
        <is>
          <t>Alta</t>
        </is>
      </c>
      <c r="G14" s="8" t="inlineStr">
        <is>
          <t>Hecho</t>
        </is>
      </c>
      <c r="H14" s="8" t="inlineStr">
        <is>
          <t>6.40</t>
        </is>
      </c>
      <c r="I14" s="21">
        <f>IFERROR(INDEX(Plan!$B$5:$B$117,MATCH(H14,Plan!$A$5:$A$117,0)),"—")</f>
        <v/>
      </c>
      <c r="J14" s="7" t="inlineStr">
        <is>
          <t>09-oct: código y migración van juntos. Desactivar a un admin ya no se puede desde la app; si la cooperativa lo necesita, hace falta otra migración. 09-oct: Hecho por Sebas.</t>
        </is>
      </c>
    </row>
    <row r="15">
      <c r="A15" s="19" t="inlineStr">
        <is>
          <t>P-19</t>
        </is>
      </c>
      <c r="B15" s="4" t="inlineStr">
        <is>
          <t>Configuración</t>
        </is>
      </c>
      <c r="C15" s="4" t="inlineStr">
        <is>
          <t>Supabase</t>
        </is>
      </c>
      <c r="D15" s="7" t="inlineStr">
        <is>
          <t>SMTP propio con Resend (Authentication → Emails → SMTP Settings)</t>
        </is>
      </c>
      <c r="E15" s="7" t="inlineStr">
        <is>
          <t>Yo (panel Supabase/Resend)</t>
        </is>
      </c>
      <c r="F15" s="8" t="inlineStr">
        <is>
          <t>Alta</t>
        </is>
      </c>
      <c r="G15" s="8" t="inlineStr">
        <is>
          <t>Hecho</t>
        </is>
      </c>
      <c r="H15" s="8" t="inlineStr">
        <is>
          <t>2.4</t>
        </is>
      </c>
      <c r="I15" s="21">
        <f>IFERROR(INDEX(Plan!$B$5:$B$117,MATCH(H15,Plan!$A$5:$A$117,0)),"—")</f>
        <v/>
      </c>
      <c r="J15" s="7" t="inlineStr">
        <is>
          <t>Configurado por Sebas el 23-sep. El código de 6 dígitos lo envía Supabase Auth (no Resend desde la app); funciona en local. Ver docs/resend-plantillas.md.</t>
        </is>
      </c>
    </row>
    <row r="16">
      <c r="A16" s="19" t="inlineStr">
        <is>
          <t>P-20</t>
        </is>
      </c>
      <c r="B16" s="4" t="inlineStr">
        <is>
          <t>Configuración</t>
        </is>
      </c>
      <c r="C16" s="4" t="inlineStr">
        <is>
          <t>Supabase</t>
        </is>
      </c>
      <c r="D16" s="7" t="inlineStr">
        <is>
          <t>Plantilla del correo con {{ .Token }} (código, no enlace)</t>
        </is>
      </c>
      <c r="E16" s="7" t="inlineStr">
        <is>
          <t>Yo (panel Supabase/Resend)</t>
        </is>
      </c>
      <c r="F16" s="8" t="inlineStr">
        <is>
          <t>Alta</t>
        </is>
      </c>
      <c r="G16" s="8" t="inlineStr">
        <is>
          <t>Hecho</t>
        </is>
      </c>
      <c r="H16" s="8" t="inlineStr">
        <is>
          <t>2.4</t>
        </is>
      </c>
      <c r="I16" s="21">
        <f>IFERROR(INDEX(Plan!$B$5:$B$117,MATCH(H16,Plan!$A$5:$A$117,0)),"—")</f>
        <v/>
      </c>
      <c r="J16"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7">
      <c r="A17" s="19" t="inlineStr">
        <is>
          <t>P-43</t>
        </is>
      </c>
      <c r="B17" s="4" t="inlineStr">
        <is>
          <t>Configuración</t>
        </is>
      </c>
      <c r="C17" s="4" t="inlineStr">
        <is>
          <t>Base de datos</t>
        </is>
      </c>
      <c r="D17" s="7" t="inlineStr">
        <is>
          <t>Aplicar en producción la migración 20260923210000_limite_de_intentos.sql</t>
        </is>
      </c>
      <c r="E17" s="7" t="inlineStr">
        <is>
          <t>Sebas (ga-auditor-supabase revisa antes)</t>
        </is>
      </c>
      <c r="F17" s="8" t="inlineStr">
        <is>
          <t>Alta</t>
        </is>
      </c>
      <c r="G17" s="8" t="inlineStr">
        <is>
          <t>Hecho</t>
        </is>
      </c>
      <c r="H17" s="8" t="inlineStr">
        <is>
          <t>6.8</t>
        </is>
      </c>
      <c r="I17" s="21">
        <f>IFERROR(INDEX(Plan!$B$5:$B$117,MATCH(H17,Plan!$A$5:$A$117,0)),"—")</f>
        <v/>
      </c>
      <c r="J1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8">
      <c r="A18" s="19" t="inlineStr">
        <is>
          <t>P-44</t>
        </is>
      </c>
      <c r="B18" s="4" t="inlineStr">
        <is>
          <t>Configuración</t>
        </is>
      </c>
      <c r="C18" s="4" t="inlineStr">
        <is>
          <t>Vercel</t>
        </is>
      </c>
      <c r="D18"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8" s="7" t="inlineStr">
        <is>
          <t>Yo</t>
        </is>
      </c>
      <c r="F18" s="8" t="inlineStr">
        <is>
          <t>Alta</t>
        </is>
      </c>
      <c r="G18" s="8" t="inlineStr">
        <is>
          <t>Hecho</t>
        </is>
      </c>
      <c r="H18" s="8" t="inlineStr">
        <is>
          <t>6.9</t>
        </is>
      </c>
      <c r="I18" s="21">
        <f>IFERROR(INDEX(Plan!$B$5:$B$117,MATCH(H18,Plan!$A$5:$A$117,0)),"—")</f>
        <v/>
      </c>
      <c r="J18"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9">
      <c r="A19" s="19" t="inlineStr">
        <is>
          <t>P-45</t>
        </is>
      </c>
      <c r="B19" s="4" t="inlineStr">
        <is>
          <t>Configuración</t>
        </is>
      </c>
      <c r="C19" s="4" t="inlineStr">
        <is>
          <t>Supabase</t>
        </is>
      </c>
      <c r="D19" s="7" t="inlineStr">
        <is>
          <t>Panel de producción: OTP de 6 dígitos, vencimiento del código en 600 s (10 min) e intervalo entre correos ≤ 45 s</t>
        </is>
      </c>
      <c r="E19" s="7" t="inlineStr">
        <is>
          <t>Yo (panel Supabase/Resend)</t>
        </is>
      </c>
      <c r="F19" s="8" t="inlineStr">
        <is>
          <t>Alta</t>
        </is>
      </c>
      <c r="G19" s="8" t="inlineStr">
        <is>
          <t>Hecho</t>
        </is>
      </c>
      <c r="H19" s="8" t="inlineStr">
        <is>
          <t>2.4</t>
        </is>
      </c>
      <c r="I19" s="21">
        <f>IFERROR(INDEX(Plan!$B$5:$B$117,MATCH(H19,Plan!$A$5:$A$117,0)),"—")</f>
        <v/>
      </c>
      <c r="J19" s="7" t="inlineStr">
        <is>
          <t>Complementa P-19 (SMTP) y P-20 (plantilla Magic Link con {{ .Token }}). 30-sep: Sebas lo hizo en producción.</t>
        </is>
      </c>
    </row>
    <row r="20">
      <c r="A20" s="19" t="inlineStr">
        <is>
          <t>P-59</t>
        </is>
      </c>
      <c r="B20" s="4" t="inlineStr">
        <is>
          <t>Configuración</t>
        </is>
      </c>
      <c r="C20" s="4" t="inlineStr">
        <is>
          <t>Base de datos</t>
        </is>
      </c>
      <c r="D20" s="7" t="inlineStr">
        <is>
          <t>Aplicar en producción las 9 migraciones de fase 2 (20260924000000…000800) y desplegar enseguida</t>
        </is>
      </c>
      <c r="E20" s="7" t="inlineStr">
        <is>
          <t>Sebas (ga-auditor-supabase revisa antes)</t>
        </is>
      </c>
      <c r="F20" s="8" t="inlineStr">
        <is>
          <t>Alta</t>
        </is>
      </c>
      <c r="G20" s="8" t="inlineStr">
        <is>
          <t>Hecho</t>
        </is>
      </c>
      <c r="H20" s="8" t="inlineStr">
        <is>
          <t>6.13</t>
        </is>
      </c>
      <c r="I20" s="21">
        <f>IFERROR(INDEX(Plan!$B$5:$B$117,MATCH(H20,Plan!$A$5:$A$117,0)),"—")</f>
        <v/>
      </c>
      <c r="J20" s="7" t="inlineStr">
        <is>
          <t>25-sep: Sebas aplicó las 9 migraciones en producción con `supabase db push` (dry-run confirmó exactamente esas 9) y fusionó el PR develop → main; Vercel desplegó fase 2 en www.greenallianceco.com, verificado por HTTP.</t>
        </is>
      </c>
    </row>
    <row r="21">
      <c r="A21" s="19" t="inlineStr">
        <is>
          <t>P-60</t>
        </is>
      </c>
      <c r="B21" s="4" t="inlineStr">
        <is>
          <t>Configuración</t>
        </is>
      </c>
      <c r="C21" s="4" t="inlineStr">
        <is>
          <t>Vercel</t>
        </is>
      </c>
      <c r="D21" s="7" t="inlineStr">
        <is>
          <t>Corregir SUPABASE_SERVICE_ROLE_KEY en Vercel (hoy da «Invalid API key»)</t>
        </is>
      </c>
      <c r="E21" s="7" t="inlineStr">
        <is>
          <t>Sebas</t>
        </is>
      </c>
      <c r="F21" s="8" t="inlineStr">
        <is>
          <t>Alta</t>
        </is>
      </c>
      <c r="G21" s="8" t="inlineStr">
        <is>
          <t>Hecho</t>
        </is>
      </c>
      <c r="H21" s="8" t="inlineStr">
        <is>
          <t>6.9</t>
        </is>
      </c>
      <c r="I21" s="21">
        <f>IFERROR(INDEX(Plan!$B$5:$B$117,MATCH(H21,Plan!$A$5:$A$117,0)),"—")</f>
        <v/>
      </c>
      <c r="J21" s="7" t="inlineStr">
        <is>
          <t>24-sep: Sebas corrigió la llave en Vercel (confirmado el 25-sep).</t>
        </is>
      </c>
    </row>
    <row r="22">
      <c r="A22" s="19" t="inlineStr">
        <is>
          <t>P-61</t>
        </is>
      </c>
      <c r="B22" s="4" t="inlineStr">
        <is>
          <t>Configuración</t>
        </is>
      </c>
      <c r="C22" s="4" t="inlineStr">
        <is>
          <t>Resend</t>
        </is>
      </c>
      <c r="D22" s="7" t="inlineStr">
        <is>
          <t>Crear en Resend las plantillas de ingreso aceptado, crédito aprobado/rechazado y boleta del sorteo (ga-sorteo-boleta); confirmar el tope de 3 reenvíos de boleta al día</t>
        </is>
      </c>
      <c r="E22" s="7" t="inlineStr">
        <is>
          <t>Sebas</t>
        </is>
      </c>
      <c r="F22" s="8" t="inlineStr">
        <is>
          <t>Alta</t>
        </is>
      </c>
      <c r="G22" s="8" t="inlineStr">
        <is>
          <t>Hecho</t>
        </is>
      </c>
      <c r="H22" s="8" t="inlineStr">
        <is>
          <t>6.9</t>
        </is>
      </c>
      <c r="I22" s="21">
        <f>IFERROR(INDEX(Plan!$B$5:$B$117,MATCH(H22,Plan!$A$5:$A$117,0)),"—")</f>
        <v/>
      </c>
      <c r="J22" s="7" t="inlineStr">
        <is>
          <t>RESEND_API_KEY, EMAIL_FROM y RESEND_TEMPLATE_SORTEO_BOLETA ya son obligatorias para el build. 24-sep: el HTML de las 4 plantillas listo en docs/resend/. 25-sep: Sebas creó y publicó las 4 plantillas en Resend.</t>
        </is>
      </c>
    </row>
    <row r="23">
      <c r="A23" s="19" t="inlineStr">
        <is>
          <t>P-72</t>
        </is>
      </c>
      <c r="B23" s="4" t="inlineStr">
        <is>
          <t>Configuración</t>
        </is>
      </c>
      <c r="C23" s="4" t="inlineStr">
        <is>
          <t>Git</t>
        </is>
      </c>
      <c r="D23" s="7" t="inlineStr">
        <is>
          <t>Dar a Carlos acceso de colaborador al repo GitHub GreenAllianceCoo/PagGreenAlliance y compartirle el encargo (sin llaves de producción)</t>
        </is>
      </c>
      <c r="E23" s="7" t="inlineStr">
        <is>
          <t>Sebas</t>
        </is>
      </c>
      <c r="F23" s="8" t="inlineStr">
        <is>
          <t>Alta</t>
        </is>
      </c>
      <c r="G23" s="8" t="inlineStr">
        <is>
          <t>Hecho</t>
        </is>
      </c>
      <c r="H23" s="8" t="inlineStr">
        <is>
          <t>—</t>
        </is>
      </c>
      <c r="I23" s="21">
        <f>IFERROR(INDEX(Plan!$B$5:$B$117,MATCH(H23,Plan!$A$5:$A$117,0)),"—")</f>
        <v/>
      </c>
      <c r="J23"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4">
      <c r="A24" s="19" t="inlineStr">
        <is>
          <t>P-136</t>
        </is>
      </c>
      <c r="B24" s="4" t="inlineStr">
        <is>
          <t>Configuración</t>
        </is>
      </c>
      <c r="C24" s="4" t="inlineStr">
        <is>
          <t>Base de datos</t>
        </is>
      </c>
      <c r="D24" s="7" t="inlineStr">
        <is>
          <t>Borrar las 2 solicitudes de crédito de prueba (cuenta eliminada) en el SQL Editor</t>
        </is>
      </c>
      <c r="E24" s="7" t="inlineStr">
        <is>
          <t>Sebas</t>
        </is>
      </c>
      <c r="F24" s="8" t="inlineStr">
        <is>
          <t>Media</t>
        </is>
      </c>
      <c r="G24" s="8" t="inlineStr">
        <is>
          <t>Hecho</t>
        </is>
      </c>
      <c r="H24" s="8" t="inlineStr">
        <is>
          <t>6.37</t>
        </is>
      </c>
      <c r="I24" s="21">
        <f>IFERROR(INDEX(Plan!$B$5:$B$117,MATCH(H24,Plan!$A$5:$A$117,0)),"—")</f>
        <v/>
      </c>
      <c r="J24" s="7" t="inlineStr">
        <is>
          <t>08-oct: el sistema de permisos bloqueó el borrado desde el agente. 09-oct: Hecho por Sebas.</t>
        </is>
      </c>
    </row>
    <row r="25">
      <c r="A25" s="19" t="inlineStr">
        <is>
          <t>P-137</t>
        </is>
      </c>
      <c r="B25" s="4" t="inlineStr">
        <is>
          <t>Configuración</t>
        </is>
      </c>
      <c r="C25" s="4" t="inlineStr">
        <is>
          <t>Equipo</t>
        </is>
      </c>
      <c r="D25" s="7" t="inlineStr">
        <is>
          <t>Activar SVM en el BIOS (Docker) para volver a correr pgTAP y e2e</t>
        </is>
      </c>
      <c r="E25" s="7" t="inlineStr">
        <is>
          <t>Sebas</t>
        </is>
      </c>
      <c r="F25" s="8" t="inlineStr">
        <is>
          <t>Media</t>
        </is>
      </c>
      <c r="G25" s="8" t="inlineStr">
        <is>
          <t>Hecho</t>
        </is>
      </c>
      <c r="H25" s="8" t="inlineStr">
        <is>
          <t>6.38</t>
        </is>
      </c>
      <c r="I25" s="21">
        <f>IFERROR(INDEX(Plan!$B$5:$B$117,MATCH(H25,Plan!$A$5:$A$117,0)),"—")</f>
        <v/>
      </c>
      <c r="J25" s="7" t="inlineStr">
        <is>
          <t>08-oct: SVM quedó apagado tras pasar a Windows 11; pgTAP y e2e no corren. 09-oct: Hecho por Sebas.</t>
        </is>
      </c>
    </row>
    <row r="26">
      <c r="A26" s="19" t="inlineStr">
        <is>
          <t>P-21</t>
        </is>
      </c>
      <c r="B26" s="4" t="inlineStr">
        <is>
          <t>Configuración</t>
        </is>
      </c>
      <c r="C26" s="4" t="inlineStr">
        <is>
          <t>Resend</t>
        </is>
      </c>
      <c r="D26" s="7" t="inlineStr">
        <is>
          <t>(Cancelado) Revisar el límite de Resend (plan gratis ≈ 100 correos/día)</t>
        </is>
      </c>
      <c r="E26" s="7" t="inlineStr">
        <is>
          <t>Yo</t>
        </is>
      </c>
      <c r="F26" s="8" t="inlineStr">
        <is>
          <t>Media</t>
        </is>
      </c>
      <c r="G26" s="8" t="inlineStr">
        <is>
          <t>Hecho</t>
        </is>
      </c>
      <c r="H26" s="8" t="inlineStr">
        <is>
          <t>2.4</t>
        </is>
      </c>
      <c r="I26" s="21">
        <f>IFERROR(INDEX(Plan!$B$5:$B$117,MATCH(H26,Plan!$A$5:$A$117,0)),"—")</f>
        <v/>
      </c>
      <c r="J26" s="7" t="inlineStr">
        <is>
          <t>30-sep: con ~500 asociados el plan gratis se queda corto; confirmar plan. 30-sep: Sebas decide que el límite de Resend no es problema por ahora; se quita.</t>
        </is>
      </c>
    </row>
    <row r="27">
      <c r="A27" s="19" t="inlineStr">
        <is>
          <t>P-73</t>
        </is>
      </c>
      <c r="B27" s="4" t="inlineStr">
        <is>
          <t>Configuración</t>
        </is>
      </c>
      <c r="C27" s="4" t="inlineStr">
        <is>
          <t>Pagos</t>
        </is>
      </c>
      <c r="D27" s="7" t="inlineStr">
        <is>
          <t>Pagar a Carlos Pardo 150.000 COP (cierre del encargo; no sigue en el proyecto)</t>
        </is>
      </c>
      <c r="E27" s="7" t="inlineStr">
        <is>
          <t>Sebas</t>
        </is>
      </c>
      <c r="F27" s="8" t="inlineStr">
        <is>
          <t>Media</t>
        </is>
      </c>
      <c r="G27" s="8" t="inlineStr">
        <is>
          <t>Hecho</t>
        </is>
      </c>
      <c r="H27" s="8" t="inlineStr">
        <is>
          <t>—</t>
        </is>
      </c>
      <c r="I27" s="21">
        <f>IFERROR(INDEX(Plan!$B$5:$B$117,MATCH(H27,Plan!$A$5:$A$117,0)),"—")</f>
        <v/>
      </c>
      <c r="J27" s="7" t="inlineStr">
        <is>
          <t>Pago único por P-66 a P-71 (4.7, 4.8, 5.9, 5.10, 6.14, 6.15). Cada PR de Carlos lo revisa un agente ga-* antes de fusionarlo a develop. 01-oct: pagado por Sebas.</t>
        </is>
      </c>
    </row>
    <row r="28">
      <c r="A28" s="19" t="inlineStr">
        <is>
          <t>P-87</t>
        </is>
      </c>
      <c r="B28" s="4" t="inlineStr">
        <is>
          <t>Configuración</t>
        </is>
      </c>
      <c r="C28" s="4" t="inlineStr">
        <is>
          <t>Vercel</t>
        </is>
      </c>
      <c r="D28" s="7" t="inlineStr">
        <is>
          <t>M-02: greenallianceco.com a veces sirve 200 en vez de redirigir 308 a www</t>
        </is>
      </c>
      <c r="E28" s="7" t="inlineStr">
        <is>
          <t>Sebas</t>
        </is>
      </c>
      <c r="F28" s="8" t="inlineStr">
        <is>
          <t>Media</t>
        </is>
      </c>
      <c r="G28" s="8" t="inlineStr">
        <is>
          <t>Hecho</t>
        </is>
      </c>
      <c r="H28" s="8" t="inlineStr">
        <is>
          <t>6.4</t>
        </is>
      </c>
      <c r="I28" s="21">
        <f>IFERROR(INDEX(Plan!$B$5:$B$117,MATCH(H28,Plan!$A$5:$A$117,0)),"—")</f>
        <v/>
      </c>
      <c r="J2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9">
      <c r="A29" s="19" t="inlineStr">
        <is>
          <t>P-55</t>
        </is>
      </c>
      <c r="B29" s="4" t="inlineStr">
        <is>
          <t>Configuración</t>
        </is>
      </c>
      <c r="C29" s="4" t="inlineStr">
        <is>
          <t>Base de datos</t>
        </is>
      </c>
      <c r="D29" s="7" t="inlineStr">
        <is>
          <t>Opcional: revocar la secuencia limites_intentos_id_seq a anon y authenticated</t>
        </is>
      </c>
      <c r="E29" s="7" t="inlineStr">
        <is>
          <t>Yo + ga-auditor-supabase</t>
        </is>
      </c>
      <c r="F29" s="8" t="inlineStr">
        <is>
          <t>Baja</t>
        </is>
      </c>
      <c r="G29" s="8" t="inlineStr">
        <is>
          <t>Hecho</t>
        </is>
      </c>
      <c r="H29" s="8" t="inlineStr">
        <is>
          <t>6.8</t>
        </is>
      </c>
      <c r="I29" s="21">
        <f>IFERROR(INDEX(Plan!$B$5:$B$117,MATCH(H29,Plan!$A$5:$A$117,0)),"—")</f>
        <v/>
      </c>
      <c r="J29" s="7" t="inlineStr">
        <is>
          <t>Sugerido por ga-auditor-supabase en la auditoría de P-43. 30-sep: revoke incluido en la migración 20261001000000 (pgTAP 20 en verde); falta aplicarla (6.23). 01-oct: aplicada en producción con 20261001000000.</t>
        </is>
      </c>
    </row>
    <row r="30">
      <c r="A30" s="19" t="inlineStr">
        <is>
          <t>P-56</t>
        </is>
      </c>
      <c r="B30" s="4" t="inlineStr">
        <is>
          <t>Funcionalidad</t>
        </is>
      </c>
      <c r="C30" s="4" t="inlineStr">
        <is>
          <t>/cuenta/solicitar</t>
        </is>
      </c>
      <c r="D30" s="7" t="inlineStr">
        <is>
          <t>Revisar el diseño de /cuenta/solicitar (sin maqueta; selector 50/100 como radios)</t>
        </is>
      </c>
      <c r="E30" s="7" t="inlineStr">
        <is>
          <t>ga-diseno-a-codigo</t>
        </is>
      </c>
      <c r="F30" s="8" t="inlineStr">
        <is>
          <t>Media</t>
        </is>
      </c>
      <c r="G30" s="8" t="inlineStr">
        <is>
          <t>Pendiente</t>
        </is>
      </c>
      <c r="H30" s="8" t="inlineStr">
        <is>
          <t>5.6</t>
        </is>
      </c>
      <c r="I30" s="21">
        <f>IFERROR(INDEX(Plan!$B$5:$B$117,MATCH(H30,Plan!$A$5:$A$117,0)),"—")</f>
        <v/>
      </c>
      <c r="J30" s="7" t="inlineStr">
        <is>
          <t>Pedido por ga-funcionalidad-botones el 23-sep.</t>
        </is>
      </c>
    </row>
    <row r="31">
      <c r="A31" s="19" t="inlineStr">
        <is>
          <t>P-22</t>
        </is>
      </c>
      <c r="B31" s="4" t="inlineStr">
        <is>
          <t>Funcionalidad</t>
        </is>
      </c>
      <c r="C31" s="4" t="inlineStr">
        <is>
          <t>/ingresar</t>
        </is>
      </c>
      <c r="D31" s="7" t="inlineStr">
        <is>
          <t>Server Action: correo_por_cedula(), signInWithOtp, cookie firmada, ir a /ingresar/codigo</t>
        </is>
      </c>
      <c r="E31" s="7" t="inlineStr">
        <is>
          <t>ga-funcionalidad-botones</t>
        </is>
      </c>
      <c r="F31" s="8" t="inlineStr">
        <is>
          <t>Alta</t>
        </is>
      </c>
      <c r="G31" s="8" t="inlineStr">
        <is>
          <t>Hecho</t>
        </is>
      </c>
      <c r="H31" s="8" t="inlineStr">
        <is>
          <t>2.5</t>
        </is>
      </c>
      <c r="I31" s="21">
        <f>IFERROR(INDEX(Plan!$B$5:$B$117,MATCH(H31,Plan!$A$5:$A$117,0)),"—")</f>
        <v/>
      </c>
      <c r="J31" s="7" t="inlineStr"/>
    </row>
    <row r="32">
      <c r="A32" s="19" t="inlineStr">
        <is>
          <t>P-24</t>
        </is>
      </c>
      <c r="B32" s="4" t="inlineStr">
        <is>
          <t>Funcionalidad</t>
        </is>
      </c>
      <c r="C32" s="4" t="inlineStr">
        <is>
          <t>/ingresar/codigo</t>
        </is>
      </c>
      <c r="D32" s="7" t="inlineStr">
        <is>
          <t>Leer la cookie del paso 1; sin cookie, volver a /ingresar</t>
        </is>
      </c>
      <c r="E32" s="7" t="inlineStr">
        <is>
          <t>ga-funcionalidad-botones</t>
        </is>
      </c>
      <c r="F32" s="8" t="inlineStr">
        <is>
          <t>Alta</t>
        </is>
      </c>
      <c r="G32" s="8" t="inlineStr">
        <is>
          <t>Hecho</t>
        </is>
      </c>
      <c r="H32" s="8" t="inlineStr">
        <is>
          <t>2.6</t>
        </is>
      </c>
      <c r="I32" s="21">
        <f>IFERROR(INDEX(Plan!$B$5:$B$117,MATCH(H32,Plan!$A$5:$A$117,0)),"—")</f>
        <v/>
      </c>
      <c r="J32" s="7" t="inlineStr"/>
    </row>
    <row r="33">
      <c r="A33" s="19" t="inlineStr">
        <is>
          <t>P-25</t>
        </is>
      </c>
      <c r="B33" s="4" t="inlineStr">
        <is>
          <t>Funcionalidad</t>
        </is>
      </c>
      <c r="C33" s="4" t="inlineStr">
        <is>
          <t>/ingresar/codigo</t>
        </is>
      </c>
      <c r="D33" s="7" t="inlineStr">
        <is>
          <t>verifyOtp y entrar a /cuenta</t>
        </is>
      </c>
      <c r="E33" s="7" t="inlineStr">
        <is>
          <t>ga-funcionalidad-botones</t>
        </is>
      </c>
      <c r="F33" s="8" t="inlineStr">
        <is>
          <t>Alta</t>
        </is>
      </c>
      <c r="G33" s="8" t="inlineStr">
        <is>
          <t>Hecho</t>
        </is>
      </c>
      <c r="H33" s="8" t="inlineStr">
        <is>
          <t>2.6</t>
        </is>
      </c>
      <c r="I33" s="21">
        <f>IFERROR(INDEX(Plan!$B$5:$B$117,MATCH(H33,Plan!$A$5:$A$117,0)),"—")</f>
        <v/>
      </c>
      <c r="J33" s="7" t="inlineStr"/>
    </row>
    <row r="34">
      <c r="A34" s="19" t="inlineStr">
        <is>
          <t>P-28</t>
        </is>
      </c>
      <c r="B34" s="4" t="inlineStr">
        <is>
          <t>Funcionalidad</t>
        </is>
      </c>
      <c r="C34" s="4" t="inlineStr">
        <is>
          <t>/afiliacion</t>
        </is>
      </c>
      <c r="D34" s="7" t="inlineStr">
        <is>
          <t>Server Action: zod, límites por IP y cédula, guardar</t>
        </is>
      </c>
      <c r="E34" s="7" t="inlineStr">
        <is>
          <t>ga-funcionalidad-botones</t>
        </is>
      </c>
      <c r="F34" s="8" t="inlineStr">
        <is>
          <t>Alta</t>
        </is>
      </c>
      <c r="G34" s="8" t="inlineStr">
        <is>
          <t>Hecho</t>
        </is>
      </c>
      <c r="H34" s="8" t="inlineStr">
        <is>
          <t>2.9</t>
        </is>
      </c>
      <c r="I34" s="21">
        <f>IFERROR(INDEX(Plan!$B$5:$B$117,MATCH(H34,Plan!$A$5:$A$117,0)),"—")</f>
        <v/>
      </c>
      <c r="J34" s="7" t="inlineStr">
        <is>
          <t>23-sep: se quitaron los correos al equipo y al solicitante (decisión de Sebas). El equipo revisa las afiliaciones en Supabase hasta que exista el panel /admin; el correo «Ingreso aceptado» sale al aprobar (P-51).</t>
        </is>
      </c>
    </row>
    <row r="35">
      <c r="A35" s="19" t="inlineStr">
        <is>
          <t>P-31</t>
        </is>
      </c>
      <c r="B35" s="4" t="inlineStr">
        <is>
          <t>Funcionalidad</t>
        </is>
      </c>
      <c r="C35" s="4" t="inlineStr">
        <is>
          <t>/cuenta</t>
        </is>
      </c>
      <c r="D35" s="7" t="inlineStr">
        <is>
          <t>Proteger con proxy.ts y «Salir» con signOut</t>
        </is>
      </c>
      <c r="E35" s="7" t="inlineStr">
        <is>
          <t>ga-funcionalidad-botones</t>
        </is>
      </c>
      <c r="F35" s="8" t="inlineStr">
        <is>
          <t>Alta</t>
        </is>
      </c>
      <c r="G35" s="8" t="inlineStr">
        <is>
          <t>Hecho</t>
        </is>
      </c>
      <c r="H35" s="8" t="inlineStr">
        <is>
          <t>2.7</t>
        </is>
      </c>
      <c r="I35" s="21">
        <f>IFERROR(INDEX(Plan!$B$5:$B$117,MATCH(H35,Plan!$A$5:$A$117,0)),"—")</f>
        <v/>
      </c>
      <c r="J35" s="7" t="inlineStr"/>
    </row>
    <row r="36">
      <c r="A36" s="19" t="inlineStr">
        <is>
          <t>P-32</t>
        </is>
      </c>
      <c r="B36" s="4" t="inlineStr">
        <is>
          <t>Funcionalidad</t>
        </is>
      </c>
      <c r="C36" s="4" t="inlineStr">
        <is>
          <t>/cuenta</t>
        </is>
      </c>
      <c r="D36" s="7" t="inlineStr">
        <is>
          <t>Cargar perfil, última solicitud (con tasa), tope y convenios</t>
        </is>
      </c>
      <c r="E36" s="7" t="inlineStr">
        <is>
          <t>ga-funcionalidad-botones</t>
        </is>
      </c>
      <c r="F36" s="8" t="inlineStr">
        <is>
          <t>Alta</t>
        </is>
      </c>
      <c r="G36" s="8" t="inlineStr">
        <is>
          <t>Hecho</t>
        </is>
      </c>
      <c r="H36" s="8" t="inlineStr">
        <is>
          <t>3.5</t>
        </is>
      </c>
      <c r="I36" s="21">
        <f>IFERROR(INDEX(Plan!$B$5:$B$117,MATCH(H36,Plan!$A$5:$A$117,0)),"—")</f>
        <v/>
      </c>
      <c r="J36" s="7" t="inlineStr"/>
    </row>
    <row r="37">
      <c r="A37" s="19" t="inlineStr">
        <is>
          <t>P-35</t>
        </is>
      </c>
      <c r="B37" s="4" t="inlineStr">
        <is>
          <t>Funcionalidad</t>
        </is>
      </c>
      <c r="C37" s="4" t="inlineStr">
        <is>
          <t>Crédito</t>
        </is>
      </c>
      <c r="D37" s="7" t="inlineStr">
        <is>
          <t>Conectar el formulario de crédito a /cuenta</t>
        </is>
      </c>
      <c r="E37" s="7" t="inlineStr">
        <is>
          <t>ga-funcionalidad-botones</t>
        </is>
      </c>
      <c r="F37" s="8" t="inlineStr">
        <is>
          <t>Alta</t>
        </is>
      </c>
      <c r="G37" s="8" t="inlineStr">
        <is>
          <t>Hecho</t>
        </is>
      </c>
      <c r="H37" s="8" t="inlineStr">
        <is>
          <t>3.7</t>
        </is>
      </c>
      <c r="I37" s="21">
        <f>IFERROR(INDEX(Plan!$B$5:$B$117,MATCH(H37,Plan!$A$5:$A$117,0)),"—")</f>
        <v/>
      </c>
      <c r="J37" s="7" t="inlineStr">
        <is>
          <t>23-sep: el formulario vive en /cuenta/solicitar (protegida por proxy.ts, encabezado compartido EncabezadoCuenta); «Nueva solicitud» lleva ahí.</t>
        </is>
      </c>
    </row>
    <row r="38">
      <c r="A38" s="19" t="inlineStr">
        <is>
          <t>P-36</t>
        </is>
      </c>
      <c r="B38" s="4" t="inlineStr">
        <is>
          <t>Funcionalidad</t>
        </is>
      </c>
      <c r="C38" s="4" t="inlineStr">
        <is>
          <t>Admin</t>
        </is>
      </c>
      <c r="D38" s="7" t="inlineStr">
        <is>
          <t>Panel /admin: listado, aprobar y rechazar con motivo</t>
        </is>
      </c>
      <c r="E38" s="7" t="inlineStr">
        <is>
          <t>ga-funcionalidad-botones</t>
        </is>
      </c>
      <c r="F38" s="8" t="inlineStr">
        <is>
          <t>Alta</t>
        </is>
      </c>
      <c r="G38" s="8" t="inlineStr">
        <is>
          <t>Hecho</t>
        </is>
      </c>
      <c r="H38" s="8" t="inlineStr">
        <is>
          <t>4.1</t>
        </is>
      </c>
      <c r="I38" s="21">
        <f>IFERROR(INDEX(Plan!$B$5:$B$117,MATCH(H38,Plan!$A$5:$A$117,0)),"—")</f>
        <v/>
      </c>
      <c r="J38" s="7" t="inlineStr">
        <is>
          <t>24-sep: implementado y probado en local (commits 235ffbe, a13c2de). Un admin no puede resolver su propia solicitud.</t>
        </is>
      </c>
    </row>
    <row r="39">
      <c r="A39" s="19" t="inlineStr">
        <is>
          <t>P-37</t>
        </is>
      </c>
      <c r="B39" s="4" t="inlineStr">
        <is>
          <t>Funcionalidad</t>
        </is>
      </c>
      <c r="C39" s="4" t="inlineStr">
        <is>
          <t>Correos</t>
        </is>
      </c>
      <c r="D39" s="7" t="inlineStr">
        <is>
          <t>Correo «Resultado del crédito» (aprobado / no aprobado) al asociado al resolver una solicitud</t>
        </is>
      </c>
      <c r="E39" s="7" t="inlineStr">
        <is>
          <t>ga-funcionalidad-botones</t>
        </is>
      </c>
      <c r="F39" s="8" t="inlineStr">
        <is>
          <t>Alta</t>
        </is>
      </c>
      <c r="G39" s="8" t="inlineStr">
        <is>
          <t>Hecho</t>
        </is>
      </c>
      <c r="H39" s="8" t="inlineStr">
        <is>
          <t>4.3</t>
        </is>
      </c>
      <c r="I39" s="21">
        <f>IFERROR(INDEX(Plan!$B$5:$B$117,MATCH(H39,Plan!$A$5:$A$117,0)),"—")</f>
        <v/>
      </c>
      <c r="J39" s="7" t="inlineStr">
        <is>
          <t>24-sep: enviarResultadoCredito ya está conectado al aprobar/rechazar en /admin (probado en local); falta que Sebas configure el SMTP/Resend de producción (2.4) para que salga de verdad.</t>
        </is>
      </c>
    </row>
    <row r="40">
      <c r="A40" s="19" t="inlineStr">
        <is>
          <t>P-38</t>
        </is>
      </c>
      <c r="B40" s="4" t="inlineStr">
        <is>
          <t>Funcionalidad</t>
        </is>
      </c>
      <c r="C40" s="4" t="inlineStr">
        <is>
          <t>Asociados</t>
        </is>
      </c>
      <c r="D40" s="7" t="inlineStr">
        <is>
          <t>Importación de asociados desde Excel</t>
        </is>
      </c>
      <c r="E40" s="7" t="inlineStr">
        <is>
          <t>ga-funcionalidad-botones</t>
        </is>
      </c>
      <c r="F40" s="8" t="inlineStr">
        <is>
          <t>Alta</t>
        </is>
      </c>
      <c r="G40" s="8" t="inlineStr">
        <is>
          <t>Hecho</t>
        </is>
      </c>
      <c r="H40" s="8" t="inlineStr">
        <is>
          <t>4.4</t>
        </is>
      </c>
      <c r="I40" s="21">
        <f>IFERROR(INDEX(Plan!$B$5:$B$117,MATCH(H40,Plan!$A$5:$A$117,0)),"—")</f>
        <v/>
      </c>
      <c r="J40" s="7" t="inlineStr">
        <is>
          <t>Ya no aplica: decisión de la cooperativa 2026-09-24, no habrá importación de Excel.</t>
        </is>
      </c>
    </row>
    <row r="41">
      <c r="A41" s="19" t="inlineStr">
        <is>
          <t>P-51</t>
        </is>
      </c>
      <c r="B41" s="4" t="inlineStr">
        <is>
          <t>Funcionalidad</t>
        </is>
      </c>
      <c r="C41" s="4" t="inlineStr">
        <is>
          <t>Correos</t>
        </is>
      </c>
      <c r="D41" s="7" t="inlineStr">
        <is>
          <t>Correo «Ingreso aceptado» (plantilla ga-ingreso-aceptado): acción del admin que aprueba la afiliación, crea el usuario y envía el correo</t>
        </is>
      </c>
      <c r="E41" s="7" t="inlineStr">
        <is>
          <t>ga-funcionalidad-botones</t>
        </is>
      </c>
      <c r="F41" s="8" t="inlineStr">
        <is>
          <t>Alta</t>
        </is>
      </c>
      <c r="G41" s="8" t="inlineStr">
        <is>
          <t>Hecho</t>
        </is>
      </c>
      <c r="H41" s="8" t="inlineStr">
        <is>
          <t>4.5</t>
        </is>
      </c>
      <c r="I41" s="21">
        <f>IFERROR(INDEX(Plan!$B$5:$B$117,MATCH(H41,Plan!$A$5:$A$117,0)),"—")</f>
        <v/>
      </c>
      <c r="J41" s="7" t="inlineStr">
        <is>
          <t>01-oct: verificado en el código: aprobarAfiliacion (app/admin/afiliaciones/actions.ts) crea el usuario y envía enviarIngresoAceptado (lib/correo/ingreso.ts).</t>
        </is>
      </c>
    </row>
    <row r="42">
      <c r="A42" s="19" t="inlineStr">
        <is>
          <t>P-66</t>
        </is>
      </c>
      <c r="B42" s="4" t="inlineStr">
        <is>
          <t>Funcionalidad</t>
        </is>
      </c>
      <c r="C42" s="4" t="inlineStr">
        <is>
          <t>Admin</t>
        </is>
      </c>
      <c r="D42" s="7" t="inlineStr">
        <is>
          <t>Dashboard de clientes en /admin: métricas (asociados por grado/institución, afiliaciones y créditos pendientes, montos del mes, inscritos al sorteo), lista con buscador/filtros, detalle de cliente y reasignar asesor</t>
        </is>
      </c>
      <c r="E42" s="7" t="inlineStr">
        <is>
          <t>Carlos Pardo</t>
        </is>
      </c>
      <c r="F42" s="8" t="inlineStr">
        <is>
          <t>Alta</t>
        </is>
      </c>
      <c r="G42" s="8" t="inlineStr">
        <is>
          <t>Hecho</t>
        </is>
      </c>
      <c r="H42" s="8" t="inlineStr">
        <is>
          <t>4.7</t>
        </is>
      </c>
      <c r="I42" s="21">
        <f>IFERROR(INDEX(Plan!$B$5:$B$117,MATCH(H42,Plan!$A$5:$A$117,0)),"—")</f>
        <v/>
      </c>
      <c r="J42"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3">
      <c r="A43" s="19" t="inlineStr">
        <is>
          <t>P-67</t>
        </is>
      </c>
      <c r="B43" s="4" t="inlineStr">
        <is>
          <t>Funcionalidad</t>
        </is>
      </c>
      <c r="C43" s="4" t="inlineStr">
        <is>
          <t>Asesor</t>
        </is>
      </c>
      <c r="D43" s="7" t="inlineStr">
        <is>
          <t>Dashboard del asesor en /asesor: métricas de sus clientes y detalle de cliente sin celular, correo, Nequi ni fotos</t>
        </is>
      </c>
      <c r="E43" s="7" t="inlineStr">
        <is>
          <t>Carlos Pardo</t>
        </is>
      </c>
      <c r="F43" s="8" t="inlineStr">
        <is>
          <t>Alta</t>
        </is>
      </c>
      <c r="G43" s="8" t="inlineStr">
        <is>
          <t>Hecho</t>
        </is>
      </c>
      <c r="H43" s="8" t="inlineStr">
        <is>
          <t>4.8</t>
        </is>
      </c>
      <c r="I43" s="21">
        <f>IFERROR(INDEX(Plan!$B$5:$B$117,MATCH(H43,Plan!$A$5:$A$117,0)),"—")</f>
        <v/>
      </c>
      <c r="J43" s="7" t="inlineStr">
        <is>
          <t>Encargo externo (500.000 COP) por PR a develop. Ver P-73. 30-sep: Carlos salió; pasa a ga-funcionalidad-botones. 01-oct: verificado en el código y cerrado con 4.8 (/asesor con métricas; el loader no selecciona celular, correo, Nequi ni fotos).</t>
        </is>
      </c>
    </row>
    <row r="44">
      <c r="A44" s="19" t="inlineStr">
        <is>
          <t>P-69</t>
        </is>
      </c>
      <c r="B44" s="4" t="inlineStr">
        <is>
          <t>Funcionalidad</t>
        </is>
      </c>
      <c r="C44" s="4" t="inlineStr">
        <is>
          <t>Legal</t>
        </is>
      </c>
      <c r="D44" s="7" t="inlineStr">
        <is>
          <t>Ley 1581: borrado automático de fotos de afiliaciones rechazadas tras X días y motivo de rechazo en /admin</t>
        </is>
      </c>
      <c r="E44" s="7" t="inlineStr">
        <is>
          <t>Carlos Pardo</t>
        </is>
      </c>
      <c r="F44" s="8" t="inlineStr">
        <is>
          <t>Alta</t>
        </is>
      </c>
      <c r="G44" s="8" t="inlineStr">
        <is>
          <t>Hecho</t>
        </is>
      </c>
      <c r="H44" s="8" t="inlineStr">
        <is>
          <t>5.10</t>
        </is>
      </c>
      <c r="I44" s="21">
        <f>IFERROR(INDEX(Plan!$B$5:$B$117,MATCH(H44,Plan!$A$5:$A$117,0)),"—")</f>
        <v/>
      </c>
      <c r="J44"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5">
      <c r="A45" s="19" t="inlineStr">
        <is>
          <t>P-85</t>
        </is>
      </c>
      <c r="B45" s="4" t="inlineStr">
        <is>
          <t>Funcionalidad</t>
        </is>
      </c>
      <c r="C45" s="4" t="inlineStr">
        <is>
          <t>/afiliacion</t>
        </is>
      </c>
      <c r="D45" s="7" t="inlineStr">
        <is>
          <t>Correo de afiliación acepta cualquier dominio (ya no exige @policia.gov.co / @ejercito.mil.co)</t>
        </is>
      </c>
      <c r="E45" s="7" t="inlineStr">
        <is>
          <t>sesión principal</t>
        </is>
      </c>
      <c r="F45" s="8" t="inlineStr">
        <is>
          <t>Alta</t>
        </is>
      </c>
      <c r="G45" s="8" t="inlineStr">
        <is>
          <t>Hecho</t>
        </is>
      </c>
      <c r="H45" s="8" t="inlineStr">
        <is>
          <t>2.12</t>
        </is>
      </c>
      <c r="I45" s="21">
        <f>IFERROR(INDEX(Plan!$B$5:$B$117,MATCH(H45,Plan!$A$5:$A$117,0)),"—")</f>
        <v/>
      </c>
      <c r="J45"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6">
      <c r="A46" s="19" t="inlineStr">
        <is>
          <t>P-112</t>
        </is>
      </c>
      <c r="B46" s="4" t="inlineStr">
        <is>
          <t>Funcionalidad</t>
        </is>
      </c>
      <c r="C46" s="4" t="inlineStr">
        <is>
          <t>Pruebas</t>
        </is>
      </c>
      <c r="D46" s="7" t="inlineStr">
        <is>
          <t>Agregar admin_metricas_dashboard y asesor_metricas_dashboard a las listas blancas de security definer (pgTAP 00 #14 y 15 #24)</t>
        </is>
      </c>
      <c r="E46" s="7" t="inlineStr">
        <is>
          <t>ga-escritor-tests</t>
        </is>
      </c>
      <c r="F46" s="8" t="inlineStr">
        <is>
          <t>Media</t>
        </is>
      </c>
      <c r="G46" s="8" t="inlineStr">
        <is>
          <t>Hecho</t>
        </is>
      </c>
      <c r="H46" s="8" t="inlineStr">
        <is>
          <t>6.21</t>
        </is>
      </c>
      <c r="I46" s="21">
        <f>IFERROR(INDEX(Plan!$B$5:$B$117,MATCH(H46,Plan!$A$5:$A$117,0)),"—")</f>
        <v/>
      </c>
      <c r="J46" s="7" t="inlineStr">
        <is>
          <t>30-sep: reportado por ga-auditor-supabase. 01-oct: listas blancas de 00 y 15 actualizadas por ga-auditor-supabase (falta correrlas: Docker).</t>
        </is>
      </c>
    </row>
    <row r="47">
      <c r="A47" s="19" t="inlineStr">
        <is>
          <t>P-23</t>
        </is>
      </c>
      <c r="B47" s="4" t="inlineStr">
        <is>
          <t>Funcionalidad</t>
        </is>
      </c>
      <c r="C47" s="4" t="inlineStr">
        <is>
          <t>/ingresar</t>
        </is>
      </c>
      <c r="D47" s="7" t="inlineStr">
        <is>
          <t>Estado «Enviando…» (prop cargando) y errores (prop error)</t>
        </is>
      </c>
      <c r="E47" s="7" t="inlineStr">
        <is>
          <t>ga-funcionalidad-botones</t>
        </is>
      </c>
      <c r="F47" s="8" t="inlineStr">
        <is>
          <t>Media</t>
        </is>
      </c>
      <c r="G47" s="8" t="inlineStr">
        <is>
          <t>Hecho</t>
        </is>
      </c>
      <c r="H47" s="8" t="inlineStr">
        <is>
          <t>2.5</t>
        </is>
      </c>
      <c r="I47" s="21">
        <f>IFERROR(INDEX(Plan!$B$5:$B$117,MATCH(H47,Plan!$A$5:$A$117,0)),"—")</f>
        <v/>
      </c>
      <c r="J47" s="7" t="inlineStr"/>
    </row>
    <row r="48">
      <c r="A48" s="19" t="inlineStr">
        <is>
          <t>P-26</t>
        </is>
      </c>
      <c r="B48" s="4" t="inlineStr">
        <is>
          <t>Funcionalidad</t>
        </is>
      </c>
      <c r="C48" s="4" t="inlineStr">
        <is>
          <t>/ingresar/codigo</t>
        </is>
      </c>
      <c r="D48" s="7" t="inlineStr">
        <is>
          <t>Casillas OTP: avance automático, Backspace, pegar; «Entrar» con 6 dígitos</t>
        </is>
      </c>
      <c r="E48" s="7" t="inlineStr">
        <is>
          <t>ga-funcionalidad-botones</t>
        </is>
      </c>
      <c r="F48" s="8" t="inlineStr">
        <is>
          <t>Media</t>
        </is>
      </c>
      <c r="G48" s="8" t="inlineStr">
        <is>
          <t>Hecho</t>
        </is>
      </c>
      <c r="H48" s="8" t="inlineStr">
        <is>
          <t>2.6</t>
        </is>
      </c>
      <c r="I48" s="21">
        <f>IFERROR(INDEX(Plan!$B$5:$B$117,MATCH(H48,Plan!$A$5:$A$117,0)),"—")</f>
        <v/>
      </c>
      <c r="J48" s="7" t="inlineStr"/>
    </row>
    <row r="49">
      <c r="A49" s="19" t="inlineStr">
        <is>
          <t>P-27</t>
        </is>
      </c>
      <c r="B49" s="4" t="inlineStr">
        <is>
          <t>Funcionalidad</t>
        </is>
      </c>
      <c r="C49" s="4" t="inlineStr">
        <is>
          <t>/ingresar/codigo</t>
        </is>
      </c>
      <c r="D49" s="7" t="inlineStr">
        <is>
          <t>«Reenviar código» con contador de 45 s; «Cambiar cédula» limpia la cookie</t>
        </is>
      </c>
      <c r="E49" s="7" t="inlineStr">
        <is>
          <t>ga-funcionalidad-botones</t>
        </is>
      </c>
      <c r="F49" s="8" t="inlineStr">
        <is>
          <t>Media</t>
        </is>
      </c>
      <c r="G49" s="8" t="inlineStr">
        <is>
          <t>Hecho</t>
        </is>
      </c>
      <c r="H49" s="8" t="inlineStr">
        <is>
          <t>2.6</t>
        </is>
      </c>
      <c r="I49" s="21">
        <f>IFERROR(INDEX(Plan!$B$5:$B$117,MATCH(H49,Plan!$A$5:$A$117,0)),"—")</f>
        <v/>
      </c>
      <c r="J49" s="7" t="inlineStr"/>
    </row>
    <row r="50">
      <c r="A50" s="19" t="inlineStr">
        <is>
          <t>P-29</t>
        </is>
      </c>
      <c r="B50" s="4" t="inlineStr">
        <is>
          <t>Funcionalidad</t>
        </is>
      </c>
      <c r="C50" s="4" t="inlineStr">
        <is>
          <t>/afiliacion</t>
        </is>
      </c>
      <c r="D50" s="7" t="inlineStr">
        <is>
          <t>Grados desde grados_credito, honeypot, errores y estado de carga</t>
        </is>
      </c>
      <c r="E50" s="7" t="inlineStr">
        <is>
          <t>ga-funcionalidad-botones</t>
        </is>
      </c>
      <c r="F50" s="8" t="inlineStr">
        <is>
          <t>Media</t>
        </is>
      </c>
      <c r="G50" s="8" t="inlineStr">
        <is>
          <t>Hecho</t>
        </is>
      </c>
      <c r="H50" s="8" t="inlineStr">
        <is>
          <t>2.9</t>
        </is>
      </c>
      <c r="I50" s="21">
        <f>IFERROR(INDEX(Plan!$B$5:$B$117,MATCH(H50,Plan!$A$5:$A$117,0)),"—")</f>
        <v/>
      </c>
      <c r="J50" s="7" t="inlineStr"/>
    </row>
    <row r="51">
      <c r="A51" s="19" t="inlineStr">
        <is>
          <t>P-33</t>
        </is>
      </c>
      <c r="B51" s="4" t="inlineStr">
        <is>
          <t>Funcionalidad</t>
        </is>
      </c>
      <c r="C51" s="4" t="inlineStr">
        <is>
          <t>/cuenta</t>
        </is>
      </c>
      <c r="D51" s="7" t="inlineStr">
        <is>
          <t>«Mis datos»: actualizar solo perfiles.telefono</t>
        </is>
      </c>
      <c r="E51" s="7" t="inlineStr">
        <is>
          <t>ga-funcionalidad-botones</t>
        </is>
      </c>
      <c r="F51" s="8" t="inlineStr">
        <is>
          <t>Media</t>
        </is>
      </c>
      <c r="G51" s="8" t="inlineStr">
        <is>
          <t>Hecho</t>
        </is>
      </c>
      <c r="H51" s="8" t="inlineStr">
        <is>
          <t>3.6</t>
        </is>
      </c>
      <c r="I51" s="21">
        <f>IFERROR(INDEX(Plan!$B$5:$B$117,MATCH(H51,Plan!$A$5:$A$117,0)),"—")</f>
        <v/>
      </c>
      <c r="J51" s="7" t="inlineStr">
        <is>
          <t>Con error, alinear «Guardar» con el campo desde 640 px.</t>
        </is>
      </c>
    </row>
    <row r="52">
      <c r="A52" s="19" t="inlineStr">
        <is>
          <t>P-48</t>
        </is>
      </c>
      <c r="B52" s="4" t="inlineStr">
        <is>
          <t>Funcionalidad</t>
        </is>
      </c>
      <c r="C52" s="4" t="inlineStr">
        <is>
          <t>/afiliacion</t>
        </is>
      </c>
      <c r="D52" s="7" t="inlineStr">
        <is>
          <t>F-01: el select «Grado» se vacía tras un error de validación</t>
        </is>
      </c>
      <c r="E52" s="7" t="inlineStr">
        <is>
          <t>ga-funcionalidad-botones</t>
        </is>
      </c>
      <c r="F52" s="8" t="inlineStr">
        <is>
          <t>Media</t>
        </is>
      </c>
      <c r="G52" s="8" t="inlineStr">
        <is>
          <t>Hecho</t>
        </is>
      </c>
      <c r="H52" s="8" t="inlineStr">
        <is>
          <t>2.11</t>
        </is>
      </c>
      <c r="I52" s="21">
        <f>IFERROR(INDEX(Plan!$B$5:$B$117,MATCH(H52,Plan!$A$5:$A$117,0)),"—")</f>
        <v/>
      </c>
      <c r="J52" s="7" t="inlineStr">
        <is>
          <t>Falla media de la verificación QA 1 (docs/verificaciones/2026-09-23-verificacion-1.md). 01-oct: corregido (formulario se rehace con key; conserva Institución/Grado).</t>
        </is>
      </c>
    </row>
    <row r="53">
      <c r="A53" s="19" t="inlineStr">
        <is>
          <t>P-57</t>
        </is>
      </c>
      <c r="B53" s="4" t="inlineStr">
        <is>
          <t>Funcionalidad</t>
        </is>
      </c>
      <c r="C53" s="4" t="inlineStr">
        <is>
          <t>/asesor</t>
        </is>
      </c>
      <c r="D53" s="7" t="inlineStr">
        <is>
          <t>Agregar /asesor al matcher de proxy.ts y redirigir por rol tras el login</t>
        </is>
      </c>
      <c r="E53" s="7" t="inlineStr">
        <is>
          <t>ga-funcionalidad-botones</t>
        </is>
      </c>
      <c r="F53" s="8" t="inlineStr">
        <is>
          <t>Media</t>
        </is>
      </c>
      <c r="G53" s="8" t="inlineStr">
        <is>
          <t>Hecho</t>
        </is>
      </c>
      <c r="H53" s="8" t="inlineStr">
        <is>
          <t>4.6</t>
        </is>
      </c>
      <c r="I53" s="21">
        <f>IFERROR(INDEX(Plan!$B$5:$B$117,MATCH(H53,Plan!$A$5:$A$117,0)),"—")</f>
        <v/>
      </c>
      <c r="J53" s="7" t="inlineStr">
        <is>
          <t>01-oct: verificado en el código: /asesor en el matcher de proxy.ts y redirección por rol en app/ingresar/actions.ts.</t>
        </is>
      </c>
    </row>
    <row r="54">
      <c r="A54" s="19" t="inlineStr">
        <is>
          <t>P-68</t>
        </is>
      </c>
      <c r="B54" s="4" t="inlineStr">
        <is>
          <t>Funcionalidad</t>
        </is>
      </c>
      <c r="C54" s="4" t="inlineStr">
        <is>
          <t>Convenios</t>
        </is>
      </c>
      <c r="D54" s="7" t="inlineStr">
        <is>
          <t>Convenios administrables desde /admin (crear, editar, ocultar, ordenar, logo en Storage); landing y /cuenta leen de la tabla convenios</t>
        </is>
      </c>
      <c r="E54" s="7" t="inlineStr">
        <is>
          <t>Carlos Pardo</t>
        </is>
      </c>
      <c r="F54" s="8" t="inlineStr">
        <is>
          <t>Media</t>
        </is>
      </c>
      <c r="G54" s="8" t="inlineStr">
        <is>
          <t>Hecho</t>
        </is>
      </c>
      <c r="H54" s="8" t="inlineStr">
        <is>
          <t>5.9</t>
        </is>
      </c>
      <c r="I54" s="21">
        <f>IFERROR(INDEX(Plan!$B$5:$B$117,MATCH(H54,Plan!$A$5:$A$117,0)),"—")</f>
        <v/>
      </c>
      <c r="J54" s="7" t="inlineStr">
        <is>
          <t>Encargo externo (500.000 COP) por PR a develop. Ver P-73. 30-sep: Carlos salió; pasa a ga-funcionalidad-botones. 01-oct: hecho por agentes (5.9); falta aplicar 20261002000000 (P-114).</t>
        </is>
      </c>
    </row>
    <row r="55">
      <c r="A55" s="19" t="inlineStr">
        <is>
          <t>P-74</t>
        </is>
      </c>
      <c r="B55" s="4" t="inlineStr">
        <is>
          <t>Funcionalidad</t>
        </is>
      </c>
      <c r="C55" s="4" t="inlineStr">
        <is>
          <t>/afiliacion</t>
        </is>
      </c>
      <c r="D55" s="7" t="inlineStr">
        <is>
          <t>Bug: esquemaAfiliacion no valida el cruce institución↔correo institucional si falla cualquier otro campo del formulario</t>
        </is>
      </c>
      <c r="E55" s="7" t="inlineStr">
        <is>
          <t>ga-funcionalidad-botones</t>
        </is>
      </c>
      <c r="F55" s="8" t="inlineStr">
        <is>
          <t>Media</t>
        </is>
      </c>
      <c r="G55" s="8" t="inlineStr">
        <is>
          <t>Hecho</t>
        </is>
      </c>
      <c r="H55" s="8" t="inlineStr">
        <is>
          <t>2.13</t>
        </is>
      </c>
      <c r="I55" s="21">
        <f>IFERROR(INDEX(Plan!$B$5:$B$117,MATCH(H55,Plan!$A$5:$A$117,0)),"—")</f>
        <v/>
      </c>
      <c r="J55"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6">
      <c r="A56" s="19" t="inlineStr">
        <is>
          <t>P-89</t>
        </is>
      </c>
      <c r="B56" s="4" t="inlineStr">
        <is>
          <t>Funcionalidad</t>
        </is>
      </c>
      <c r="C56" s="4" t="inlineStr">
        <is>
          <t>Admin</t>
        </is>
      </c>
      <c r="D56" s="7" t="inlineStr">
        <is>
          <t>Cuenta de demostración para administradores en /admin/demo (pestaña «Demostración»)</t>
        </is>
      </c>
      <c r="E56" s="7" t="inlineStr">
        <is>
          <t>sesión principal</t>
        </is>
      </c>
      <c r="F56" s="8" t="inlineStr">
        <is>
          <t>Media</t>
        </is>
      </c>
      <c r="G56" s="8" t="inlineStr">
        <is>
          <t>Hecho</t>
        </is>
      </c>
      <c r="H56" s="8" t="inlineStr">
        <is>
          <t>4.9</t>
        </is>
      </c>
      <c r="I56" s="21">
        <f>IFERROR(INDEX(Plan!$B$5:$B$117,MATCH(H56,Plan!$A$5:$A$117,0)),"—")</f>
        <v/>
      </c>
      <c r="J56"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7">
      <c r="A57" s="19" t="inlineStr">
        <is>
          <t>P-108</t>
        </is>
      </c>
      <c r="B57" s="4" t="inlineStr">
        <is>
          <t>Funcionalidad</t>
        </is>
      </c>
      <c r="C57" s="4" t="inlineStr">
        <is>
          <t>Asesor</t>
        </is>
      </c>
      <c r="D57" s="7" t="inlineStr">
        <is>
          <t>Backlog: premio al primer asesor</t>
        </is>
      </c>
      <c r="E57" s="7" t="inlineStr">
        <is>
          <t>ga-funcionalidad-botones</t>
        </is>
      </c>
      <c r="F57" s="8" t="inlineStr">
        <is>
          <t>Baja</t>
        </is>
      </c>
      <c r="G57" s="8" t="inlineStr">
        <is>
          <t>Hecho</t>
        </is>
      </c>
      <c r="H57" s="8" t="inlineStr">
        <is>
          <t>5.11</t>
        </is>
      </c>
      <c r="I57" s="21">
        <f>IFERROR(INDEX(Plan!$B$5:$B$117,MATCH(H57,Plan!$A$5:$A$117,0)),"—")</f>
        <v/>
      </c>
      <c r="J57" s="7" t="inlineStr">
        <is>
          <t>Spec §12.12</t>
        </is>
      </c>
    </row>
    <row r="58">
      <c r="A58" s="19" t="inlineStr">
        <is>
          <t>P-109</t>
        </is>
      </c>
      <c r="B58" s="4" t="inlineStr">
        <is>
          <t>Funcionalidad</t>
        </is>
      </c>
      <c r="C58" s="4" t="inlineStr">
        <is>
          <t>/cuenta</t>
        </is>
      </c>
      <c r="D58" s="7" t="inlineStr">
        <is>
          <t>Backlog: carné virtual del asociado</t>
        </is>
      </c>
      <c r="E58" s="7" t="inlineStr">
        <is>
          <t>ga-diseno-a-codigo</t>
        </is>
      </c>
      <c r="F58" s="8" t="inlineStr">
        <is>
          <t>Baja</t>
        </is>
      </c>
      <c r="G58" s="8" t="inlineStr">
        <is>
          <t>Hecho</t>
        </is>
      </c>
      <c r="H58" s="8" t="inlineStr">
        <is>
          <t>5.12</t>
        </is>
      </c>
      <c r="I58" s="21">
        <f>IFERROR(INDEX(Plan!$B$5:$B$117,MATCH(H58,Plan!$A$5:$A$117,0)),"—")</f>
        <v/>
      </c>
      <c r="J58" s="7" t="inlineStr">
        <is>
          <t>Spec §12.12 01-oct: carné virtual en /cuenta (5.12).</t>
        </is>
      </c>
    </row>
    <row r="59">
      <c r="A59" s="19" t="inlineStr">
        <is>
          <t>P-30</t>
        </is>
      </c>
      <c r="B59" s="4" t="inlineStr">
        <is>
          <t>Funcionalidad</t>
        </is>
      </c>
      <c r="C59" s="4" t="inlineStr">
        <is>
          <t>/afiliacion/enviada</t>
        </is>
      </c>
      <c r="D59" s="7" t="inlineStr">
        <is>
          <t>Mostrar el correo real; si se entra directo, redirigir</t>
        </is>
      </c>
      <c r="E59" s="7" t="inlineStr">
        <is>
          <t>ga-funcionalidad-botones</t>
        </is>
      </c>
      <c r="F59" s="8" t="inlineStr">
        <is>
          <t>Baja</t>
        </is>
      </c>
      <c r="G59" s="8" t="inlineStr">
        <is>
          <t>Hecho</t>
        </is>
      </c>
      <c r="H59" s="8" t="inlineStr">
        <is>
          <t>2.10</t>
        </is>
      </c>
      <c r="I59" s="21">
        <f>IFERROR(INDEX(Plan!$B$5:$B$117,MATCH(H59,Plan!$A$5:$A$117,0)),"—")</f>
        <v/>
      </c>
      <c r="J59" s="7" t="inlineStr"/>
    </row>
    <row r="60">
      <c r="A60" s="19" t="inlineStr">
        <is>
          <t>P-34</t>
        </is>
      </c>
      <c r="B60" s="4" t="inlineStr">
        <is>
          <t>Funcionalidad</t>
        </is>
      </c>
      <c r="C60" s="4" t="inlineStr">
        <is>
          <t>Landing</t>
        </is>
      </c>
      <c r="D60" s="7" t="inlineStr">
        <is>
          <t>«Mi cuenta», «Ingresar», «Solicitar crédito», «Ver beneficios» → /cuenta con sesión</t>
        </is>
      </c>
      <c r="E60" s="7" t="inlineStr">
        <is>
          <t>ga-funcionalidad-botones</t>
        </is>
      </c>
      <c r="F60" s="8" t="inlineStr">
        <is>
          <t>Baja</t>
        </is>
      </c>
      <c r="G60" s="8" t="inlineStr">
        <is>
          <t>Hecho</t>
        </is>
      </c>
      <c r="H60" s="8" t="inlineStr">
        <is>
          <t>2.8</t>
        </is>
      </c>
      <c r="I60" s="21">
        <f>IFERROR(INDEX(Plan!$B$5:$B$117,MATCH(H60,Plan!$A$5:$A$117,0)),"—")</f>
        <v/>
      </c>
      <c r="J60" s="7" t="inlineStr">
        <is>
          <t>Convenios fijos en la landing por ahora.</t>
        </is>
      </c>
    </row>
    <row r="61">
      <c r="A61" s="19" t="inlineStr">
        <is>
          <t>P-124</t>
        </is>
      </c>
      <c r="B61" s="4" t="inlineStr">
        <is>
          <t>Dato de la cooperativa</t>
        </is>
      </c>
      <c r="C61" s="4" t="inlineStr">
        <is>
          <t>Landing</t>
        </is>
      </c>
      <c r="D61" s="7" t="inlineStr">
        <is>
          <t>Fotos de las sedes</t>
        </is>
      </c>
      <c r="E61" s="7" t="inlineStr">
        <is>
          <t>Cooperativa</t>
        </is>
      </c>
      <c r="F61" s="8" t="inlineStr">
        <is>
          <t>Baja</t>
        </is>
      </c>
      <c r="G61" s="8" t="inlineStr">
        <is>
          <t>Pendiente</t>
        </is>
      </c>
      <c r="H61" s="8" t="inlineStr">
        <is>
          <t>5.3</t>
        </is>
      </c>
      <c r="I61" s="21">
        <f>IFERROR(INDEX(Plan!$B$5:$B$117,MATCH(H61,Plan!$A$5:$A$117,0)),"—")</f>
        <v/>
      </c>
      <c r="J61" s="7" t="inlineStr"/>
    </row>
    <row r="62">
      <c r="A62" s="19" t="inlineStr">
        <is>
          <t>P-16</t>
        </is>
      </c>
      <c r="B62" s="4" t="inlineStr">
        <is>
          <t>Dato de la cooperativa</t>
        </is>
      </c>
      <c r="C62" s="4" t="inlineStr">
        <is>
          <t>Landing</t>
        </is>
      </c>
      <c r="D62" s="7" t="inlineStr">
        <is>
          <t>Fotos reales, cifras y testimonios</t>
        </is>
      </c>
      <c r="E62" s="7" t="inlineStr">
        <is>
          <t>Cooperativa</t>
        </is>
      </c>
      <c r="F62" s="8" t="inlineStr">
        <is>
          <t>Baja</t>
        </is>
      </c>
      <c r="G62" s="8" t="inlineStr">
        <is>
          <t>Pendiente</t>
        </is>
      </c>
      <c r="H62" s="8" t="inlineStr">
        <is>
          <t>5.3</t>
        </is>
      </c>
      <c r="I62" s="21">
        <f>IFERROR(INDEX(Plan!$B$5:$B$117,MATCH(H62,Plan!$A$5:$A$117,0)),"—")</f>
        <v/>
      </c>
      <c r="J62" s="7" t="inlineStr">
        <is>
          <t>23-sep: los espacios de foto de la landing ya tienen diseño de marca (EspacioFoto). Para poner la foto real se cambia `null` por { src, alt }. Faltan las fotos de la cooperativa.</t>
        </is>
      </c>
    </row>
    <row r="63">
      <c r="A63" s="19" t="inlineStr">
        <is>
          <t>P-14</t>
        </is>
      </c>
      <c r="B63" s="4" t="inlineStr">
        <is>
          <t>Dato de la cooperativa</t>
        </is>
      </c>
      <c r="C63" s="4" t="inlineStr">
        <is>
          <t>Legal</t>
        </is>
      </c>
      <c r="D63" s="7" t="inlineStr">
        <is>
          <t>Texto de la política de datos</t>
        </is>
      </c>
      <c r="E63" s="7" t="inlineStr">
        <is>
          <t>Cooperativa</t>
        </is>
      </c>
      <c r="F63" s="8" t="inlineStr">
        <is>
          <t>Alta</t>
        </is>
      </c>
      <c r="G63" s="8" t="inlineStr">
        <is>
          <t>Hecho</t>
        </is>
      </c>
      <c r="H63" s="8" t="inlineStr">
        <is>
          <t>5.4</t>
        </is>
      </c>
      <c r="I63" s="21">
        <f>IFERROR(INDEX(Plan!$B$5:$B$117,MATCH(H63,Plan!$A$5:$A$117,0)),"—")</f>
        <v/>
      </c>
      <c r="J63"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4">
      <c r="A64" s="19" t="inlineStr">
        <is>
          <t>P-18</t>
        </is>
      </c>
      <c r="B64" s="4" t="inlineStr">
        <is>
          <t>Dato de la cooperativa</t>
        </is>
      </c>
      <c r="C64" s="4" t="inlineStr">
        <is>
          <t>Asociados</t>
        </is>
      </c>
      <c r="D64" s="7" t="inlineStr">
        <is>
          <t>Correos reales de los asociados (Excel de importación)</t>
        </is>
      </c>
      <c r="E64" s="7" t="inlineStr">
        <is>
          <t>Cooperativa</t>
        </is>
      </c>
      <c r="F64" s="8" t="inlineStr">
        <is>
          <t>Alta</t>
        </is>
      </c>
      <c r="G64" s="8" t="inlineStr">
        <is>
          <t>Hecho</t>
        </is>
      </c>
      <c r="H64" s="8" t="inlineStr">
        <is>
          <t>4.4</t>
        </is>
      </c>
      <c r="I64" s="21">
        <f>IFERROR(INDEX(Plan!$B$5:$B$117,MATCH(H64,Plan!$A$5:$A$117,0)),"—")</f>
        <v/>
      </c>
      <c r="J64" s="7" t="inlineStr">
        <is>
          <t>Ya no aplica: decisión de la cooperativa 2026-09-24, no habrá importación de Excel. El ingreso ahora se resuelve con la afiliación v2 (correo institucional propio) más aprobación en /admin.</t>
        </is>
      </c>
    </row>
    <row r="65">
      <c r="A65" s="19" t="inlineStr">
        <is>
          <t>P-75</t>
        </is>
      </c>
      <c r="B65" s="4" t="inlineStr">
        <is>
          <t>Dato de la cooperativa</t>
        </is>
      </c>
      <c r="C65" s="4" t="inlineStr">
        <is>
          <t>Legal</t>
        </is>
      </c>
      <c r="D65" s="7" t="inlineStr">
        <is>
          <t>NIT, dirección y ciudad de la cooperativa para la política de datos</t>
        </is>
      </c>
      <c r="E65" s="7" t="inlineStr">
        <is>
          <t>Cooperativa</t>
        </is>
      </c>
      <c r="F65" s="8" t="inlineStr">
        <is>
          <t>Alta</t>
        </is>
      </c>
      <c r="G65" s="8" t="inlineStr">
        <is>
          <t>Hecho</t>
        </is>
      </c>
      <c r="H65" s="8" t="inlineStr">
        <is>
          <t>5.4</t>
        </is>
      </c>
      <c r="I65" s="21">
        <f>IFERROR(INDEX(Plan!$B$5:$B$117,MATCH(H65,Plan!$A$5:$A$117,0)),"—")</f>
        <v/>
      </c>
      <c r="J65" s="7" t="inlineStr">
        <is>
          <t>24-sep: reportado por la sesión principal, necesario para publicar /politica-de-datos. 30-sep: NIT 902.103.335-7, Cr 78 No. 16 D 71, Bogotá (Cámara de Comercio).</t>
        </is>
      </c>
    </row>
    <row r="66">
      <c r="A66" s="19" t="inlineStr">
        <is>
          <t>P-76</t>
        </is>
      </c>
      <c r="B66" s="4" t="inlineStr">
        <is>
          <t>Dato de la cooperativa</t>
        </is>
      </c>
      <c r="C66" s="4" t="inlineStr">
        <is>
          <t>Legal</t>
        </is>
      </c>
      <c r="D66" s="7" t="inlineStr">
        <is>
          <t>Fecha de vigencia de la política de datos</t>
        </is>
      </c>
      <c r="E66" s="7" t="inlineStr">
        <is>
          <t>Cooperativa</t>
        </is>
      </c>
      <c r="F66" s="8" t="inlineStr">
        <is>
          <t>Alta</t>
        </is>
      </c>
      <c r="G66" s="8" t="inlineStr">
        <is>
          <t>Hecho</t>
        </is>
      </c>
      <c r="H66" s="8" t="inlineStr">
        <is>
          <t>5.4</t>
        </is>
      </c>
      <c r="I66" s="21">
        <f>IFERROR(INDEX(Plan!$B$5:$B$117,MATCH(H66,Plan!$A$5:$A$117,0)),"—")</f>
        <v/>
      </c>
      <c r="J66" s="7" t="inlineStr">
        <is>
          <t>24-sep: reportado por la sesión principal.</t>
        </is>
      </c>
    </row>
    <row r="67">
      <c r="A67" s="19" t="inlineStr">
        <is>
          <t>P-77</t>
        </is>
      </c>
      <c r="B67" s="4" t="inlineStr">
        <is>
          <t>Dato de la cooperativa</t>
        </is>
      </c>
      <c r="C67" s="4" t="inlineStr">
        <is>
          <t>Legal</t>
        </is>
      </c>
      <c r="D67" s="7" t="inlineStr">
        <is>
          <t>País o región de los servidores (Supabase, Vercel, Resend)</t>
        </is>
      </c>
      <c r="E67" s="7" t="inlineStr">
        <is>
          <t>Cooperativa</t>
        </is>
      </c>
      <c r="F67" s="8" t="inlineStr">
        <is>
          <t>Alta</t>
        </is>
      </c>
      <c r="G67" s="8" t="inlineStr">
        <is>
          <t>Hecho</t>
        </is>
      </c>
      <c r="H67" s="8" t="inlineStr">
        <is>
          <t>5.4</t>
        </is>
      </c>
      <c r="I67" s="21">
        <f>IFERROR(INDEX(Plan!$B$5:$B$117,MATCH(H67,Plan!$A$5:$A$117,0)),"—")</f>
        <v/>
      </c>
      <c r="J67" s="7" t="inlineStr">
        <is>
          <t>24-sep: reportado por la sesión principal, dato exigido por la Ley 1581 para informar transferencia internacional de datos.</t>
        </is>
      </c>
    </row>
    <row r="68">
      <c r="A68" s="19" t="inlineStr">
        <is>
          <t>P-78</t>
        </is>
      </c>
      <c r="B68" s="4" t="inlineStr">
        <is>
          <t>Dato de la cooperativa</t>
        </is>
      </c>
      <c r="C68" s="4" t="inlineStr">
        <is>
          <t>Legal</t>
        </is>
      </c>
      <c r="D68" s="7" t="inlineStr">
        <is>
          <t>Alternativa de verificación para quien no quiera subir la selfie</t>
        </is>
      </c>
      <c r="E68" s="7" t="inlineStr">
        <is>
          <t>Cooperativa</t>
        </is>
      </c>
      <c r="F68" s="8" t="inlineStr">
        <is>
          <t>Alta</t>
        </is>
      </c>
      <c r="G68" s="8" t="inlineStr">
        <is>
          <t>Hecho</t>
        </is>
      </c>
      <c r="H68" s="8" t="inlineStr">
        <is>
          <t>5.4</t>
        </is>
      </c>
      <c r="I68" s="21">
        <f>IFERROR(INDEX(Plan!$B$5:$B$117,MATCH(H68,Plan!$A$5:$A$117,0)),"—")</f>
        <v/>
      </c>
      <c r="J68" s="7" t="inlineStr">
        <is>
          <t>24-sep: reportado por la sesión principal.</t>
        </is>
      </c>
    </row>
    <row r="69">
      <c r="A69" s="19" t="inlineStr">
        <is>
          <t>P-79</t>
        </is>
      </c>
      <c r="B69" s="4" t="inlineStr">
        <is>
          <t>Dato de la cooperativa</t>
        </is>
      </c>
      <c r="C69" s="4" t="inlineStr">
        <is>
          <t>Legal</t>
        </is>
      </c>
      <c r="D69" s="7" t="inlineStr">
        <is>
          <t>Plazos de conservación de los datos (fotos de rechazados y de asociados, y demás datos)</t>
        </is>
      </c>
      <c r="E69" s="7" t="inlineStr">
        <is>
          <t>Cooperativa</t>
        </is>
      </c>
      <c r="F69" s="8" t="inlineStr">
        <is>
          <t>Alta</t>
        </is>
      </c>
      <c r="G69" s="8" t="inlineStr">
        <is>
          <t>Hecho</t>
        </is>
      </c>
      <c r="H69" s="8" t="inlineStr">
        <is>
          <t>5.4</t>
        </is>
      </c>
      <c r="I69" s="21">
        <f>IFERROR(INDEX(Plan!$B$5:$B$117,MATCH(H69,Plan!$A$5:$A$117,0)),"—")</f>
        <v/>
      </c>
      <c r="J69" s="7" t="inlineStr">
        <is>
          <t>24-sep: reportado por la sesión principal; el plazo de las fotos es el mismo que decida P-63 (borrado automático de fotos rechazadas, 5.10).</t>
        </is>
      </c>
    </row>
    <row r="70">
      <c r="A70" s="19" t="inlineStr">
        <is>
          <t>P-10</t>
        </is>
      </c>
      <c r="B70" s="4" t="inlineStr">
        <is>
          <t>Dato de la cooperativa</t>
        </is>
      </c>
      <c r="C70" s="4" t="inlineStr">
        <is>
          <t>Configuración</t>
        </is>
      </c>
      <c r="D70" s="7" t="inlineStr">
        <is>
          <t>Número de WhatsApp (NEXT_PUBLIC_WHATSAPP)</t>
        </is>
      </c>
      <c r="E70" s="7" t="inlineStr">
        <is>
          <t>Cooperativa</t>
        </is>
      </c>
      <c r="F70" s="8" t="inlineStr">
        <is>
          <t>Media</t>
        </is>
      </c>
      <c r="G70" s="8" t="inlineStr">
        <is>
          <t>Hecho</t>
        </is>
      </c>
      <c r="H70" s="8" t="inlineStr">
        <is>
          <t>5.3</t>
        </is>
      </c>
      <c r="I70" s="21">
        <f>IFERROR(INDEX(Plan!$B$5:$B$117,MATCH(H70,Plan!$A$5:$A$117,0)),"—")</f>
        <v/>
      </c>
      <c r="J70" s="7" t="inlineStr">
        <is>
          <t>24-sep: 311 724 1942.</t>
        </is>
      </c>
    </row>
    <row r="71">
      <c r="A71" s="19" t="inlineStr">
        <is>
          <t>P-11</t>
        </is>
      </c>
      <c r="B71" s="4" t="inlineStr">
        <is>
          <t>Dato de la cooperativa</t>
        </is>
      </c>
      <c r="C71" s="4" t="inlineStr">
        <is>
          <t>Configuración</t>
        </is>
      </c>
      <c r="D71" s="7" t="inlineStr">
        <is>
          <t>Días hábiles de respuesta (DIAS_RESPUESTA)</t>
        </is>
      </c>
      <c r="E71" s="7" t="inlineStr">
        <is>
          <t>Cooperativa</t>
        </is>
      </c>
      <c r="F71" s="8" t="inlineStr">
        <is>
          <t>Media</t>
        </is>
      </c>
      <c r="G71" s="8" t="inlineStr">
        <is>
          <t>Hecho</t>
        </is>
      </c>
      <c r="H71" s="8" t="inlineStr">
        <is>
          <t>5.3</t>
        </is>
      </c>
      <c r="I71" s="21">
        <f>IFERROR(INDEX(Plan!$B$5:$B$117,MATCH(H71,Plan!$A$5:$A$117,0)),"—")</f>
        <v/>
      </c>
      <c r="J71" s="7" t="inlineStr">
        <is>
          <t>24-sep: la cooperativa dio el tiempo de respuesta como «4 horas o menos» (ver P-17); se usa ese dato en vez de días hábiles.</t>
        </is>
      </c>
    </row>
    <row r="72">
      <c r="A72" s="19" t="inlineStr">
        <is>
          <t>P-12</t>
        </is>
      </c>
      <c r="B72" s="4" t="inlineStr">
        <is>
          <t>Dato de la cooperativa</t>
        </is>
      </c>
      <c r="C72" s="4" t="inlineStr">
        <is>
          <t>Configuración</t>
        </is>
      </c>
      <c r="D72" s="7" t="inlineStr">
        <is>
          <t>Correo de contacto (CORREO_CONTACTO)</t>
        </is>
      </c>
      <c r="E72" s="7" t="inlineStr">
        <is>
          <t>Cooperativa</t>
        </is>
      </c>
      <c r="F72" s="8" t="inlineStr">
        <is>
          <t>Media</t>
        </is>
      </c>
      <c r="G72" s="8" t="inlineStr">
        <is>
          <t>Hecho</t>
        </is>
      </c>
      <c r="H72" s="8" t="inlineStr">
        <is>
          <t>5.3</t>
        </is>
      </c>
      <c r="I72" s="21">
        <f>IFERROR(INDEX(Plan!$B$5:$B$117,MATCH(H72,Plan!$A$5:$A$117,0)),"—")</f>
        <v/>
      </c>
      <c r="J72" s="7" t="inlineStr">
        <is>
          <t>24-sep: soporte@greenallianceco.com.</t>
        </is>
      </c>
    </row>
    <row r="73">
      <c r="A73" s="19" t="inlineStr">
        <is>
          <t>P-13</t>
        </is>
      </c>
      <c r="B73" s="4" t="inlineStr">
        <is>
          <t>Dato de la cooperativa</t>
        </is>
      </c>
      <c r="C73" s="4" t="inlineStr">
        <is>
          <t>Configuración</t>
        </is>
      </c>
      <c r="D73" s="7" t="inlineStr">
        <is>
          <t>Texto de vigilancia de Supersolidaria (TEXTO_VIGILANCIA)</t>
        </is>
      </c>
      <c r="E73" s="7" t="inlineStr">
        <is>
          <t>Cooperativa</t>
        </is>
      </c>
      <c r="F73" s="8" t="inlineStr">
        <is>
          <t>Media</t>
        </is>
      </c>
      <c r="G73" s="8" t="inlineStr">
        <is>
          <t>Hecho</t>
        </is>
      </c>
      <c r="H73" s="8" t="inlineStr">
        <is>
          <t>5.3</t>
        </is>
      </c>
      <c r="I73" s="21">
        <f>IFERROR(INDEX(Plan!$B$5:$B$117,MATCH(H73,Plan!$A$5:$A$117,0)),"—")</f>
        <v/>
      </c>
      <c r="J73" s="7" t="inlineStr">
        <is>
          <t>25-sep: Sebas confirmó que la cooperativa está vigilada por la Supersolidaria; TEXTO_VIGILANCIA pasa a «Vigilada por Supersolidaria» en local (falta desplegar).</t>
        </is>
      </c>
    </row>
    <row r="74">
      <c r="A74" s="19" t="inlineStr">
        <is>
          <t>P-15</t>
        </is>
      </c>
      <c r="B74" s="4" t="inlineStr">
        <is>
          <t>Dato de la cooperativa</t>
        </is>
      </c>
      <c r="C74" s="4" t="inlineStr">
        <is>
          <t>/cuenta</t>
        </is>
      </c>
      <c r="D74" s="7" t="inlineStr">
        <is>
          <t>Destino de «Nueva solicitud» (nav y acceso rápido)</t>
        </is>
      </c>
      <c r="E74" s="7" t="inlineStr">
        <is>
          <t>Yo</t>
        </is>
      </c>
      <c r="F74" s="8" t="inlineStr">
        <is>
          <t>Media</t>
        </is>
      </c>
      <c r="G74" s="8" t="inlineStr">
        <is>
          <t>Hecho</t>
        </is>
      </c>
      <c r="H74" s="8" t="inlineStr">
        <is>
          <t>3.7</t>
        </is>
      </c>
      <c r="I74" s="21">
        <f>IFERROR(INDEX(Plan!$B$5:$B$117,MATCH(H74,Plan!$A$5:$A$117,0)),"—")</f>
        <v/>
      </c>
      <c r="J74" s="7" t="inlineStr">
        <is>
          <t>Hoy es href="#".</t>
        </is>
      </c>
    </row>
    <row r="75">
      <c r="A75" s="19" t="inlineStr">
        <is>
          <t>P-46</t>
        </is>
      </c>
      <c r="B75" s="4" t="inlineStr">
        <is>
          <t>Dato de la cooperativa</t>
        </is>
      </c>
      <c r="C75" s="4" t="inlineStr">
        <is>
          <t>/afiliacion</t>
        </is>
      </c>
      <c r="D75" s="7" t="inlineStr">
        <is>
          <t>Nombres oficiales de los grados</t>
        </is>
      </c>
      <c r="E75" s="7" t="inlineStr">
        <is>
          <t>Cooperativa</t>
        </is>
      </c>
      <c r="F75" s="8" t="inlineStr">
        <is>
          <t>Media</t>
        </is>
      </c>
      <c r="G75" s="8" t="inlineStr">
        <is>
          <t>Hecho</t>
        </is>
      </c>
      <c r="H75" s="8" t="inlineStr">
        <is>
          <t>5.3</t>
        </is>
      </c>
      <c r="I75" s="21">
        <f>IFERROR(INDEX(Plan!$B$5:$B$117,MATCH(H75,Plan!$A$5:$A$117,0)),"—")</f>
        <v/>
      </c>
      <c r="J75" s="7" t="inlineStr">
        <is>
          <t>Se usan en el select «Grado» (grados_credito).</t>
        </is>
      </c>
    </row>
    <row r="76">
      <c r="A76" s="19" t="inlineStr">
        <is>
          <t>P-47</t>
        </is>
      </c>
      <c r="B76" s="4" t="inlineStr">
        <is>
          <t>Dato de la cooperativa</t>
        </is>
      </c>
      <c r="C76" s="4" t="inlineStr">
        <is>
          <t>/cuenta</t>
        </is>
      </c>
      <c r="D76" s="7" t="inlineStr">
        <is>
          <t>Estado de desembolso (cómo y cuándo se informa al asociado)</t>
        </is>
      </c>
      <c r="E76" s="7" t="inlineStr">
        <is>
          <t>Cooperativa</t>
        </is>
      </c>
      <c r="F76" s="8" t="inlineStr">
        <is>
          <t>Media</t>
        </is>
      </c>
      <c r="G76" s="8" t="inlineStr">
        <is>
          <t>Hecho</t>
        </is>
      </c>
      <c r="H76" s="8" t="inlineStr">
        <is>
          <t>5.3</t>
        </is>
      </c>
      <c r="I76" s="21">
        <f>IFERROR(INDEX(Plan!$B$5:$B$117,MATCH(H76,Plan!$A$5:$A$117,0)),"—")</f>
        <v/>
      </c>
      <c r="J76" s="7" t="inlineStr">
        <is>
          <t>Reportado por ga-funcionalidad-botones el 23-sep. 25-sep: también identificado por ga-auditor-supabase en la auditoría de backend del rediseño C+ (misma pregunta, no se duplica).</t>
        </is>
      </c>
    </row>
    <row r="77">
      <c r="A77" s="19" t="inlineStr">
        <is>
          <t>P-80</t>
        </is>
      </c>
      <c r="B77" s="4" t="inlineStr">
        <is>
          <t>Dato de la cooperativa</t>
        </is>
      </c>
      <c r="C77" s="4" t="inlineStr">
        <is>
          <t>Legal</t>
        </is>
      </c>
      <c r="D77" s="7" t="inlineStr">
        <is>
          <t>Si van a reportar a centrales de riesgo (Ley 1266, autorización aparte)</t>
        </is>
      </c>
      <c r="E77" s="7" t="inlineStr">
        <is>
          <t>Cooperativa</t>
        </is>
      </c>
      <c r="F77" s="8" t="inlineStr">
        <is>
          <t>Media</t>
        </is>
      </c>
      <c r="G77" s="8" t="inlineStr">
        <is>
          <t>Hecho</t>
        </is>
      </c>
      <c r="H77" s="8" t="inlineStr">
        <is>
          <t>5.4</t>
        </is>
      </c>
      <c r="I77" s="21">
        <f>IFERROR(INDEX(Plan!$B$5:$B$117,MATCH(H77,Plan!$A$5:$A$117,0)),"—")</f>
        <v/>
      </c>
      <c r="J77" s="7" t="inlineStr">
        <is>
          <t>24-sep: reportado por la sesión principal.</t>
        </is>
      </c>
    </row>
    <row r="78">
      <c r="A78" s="19" t="inlineStr">
        <is>
          <t>P-90</t>
        </is>
      </c>
      <c r="B78" s="4" t="inlineStr">
        <is>
          <t>Dato de la cooperativa</t>
        </is>
      </c>
      <c r="C78" s="4" t="inlineStr">
        <is>
          <t>Backend C+</t>
        </is>
      </c>
      <c r="D78" s="7" t="inlineStr">
        <is>
          <t>Origen de la fecha del primer descuento del embargo solidario</t>
        </is>
      </c>
      <c r="E78" s="7" t="inlineStr">
        <is>
          <t>Cooperativa</t>
        </is>
      </c>
      <c r="F78" s="8" t="inlineStr">
        <is>
          <t>Media</t>
        </is>
      </c>
      <c r="G78" s="8" t="inlineStr">
        <is>
          <t>Hecho</t>
        </is>
      </c>
      <c r="H78" s="8" t="inlineStr">
        <is>
          <t>1.8</t>
        </is>
      </c>
      <c r="I78" s="21">
        <f>IFERROR(INDEX(Plan!$B$5:$B$117,MATCH(H78,Plan!$A$5:$A$117,0)),"—")</f>
        <v/>
      </c>
      <c r="J78" s="7" t="inlineStr">
        <is>
          <t>25-sep: pregunta abierta del informe de ga-auditor-supabase (docs/auditorias/2026-09-25-backend-rediseno-c-plus.md).</t>
        </is>
      </c>
    </row>
    <row r="79">
      <c r="A79" s="19" t="inlineStr">
        <is>
          <t>P-91</t>
        </is>
      </c>
      <c r="B79" s="4" t="inlineStr">
        <is>
          <t>Dato de la cooperativa</t>
        </is>
      </c>
      <c r="C79" s="4" t="inlineStr">
        <is>
          <t>Backend C+</t>
        </is>
      </c>
      <c r="D79" s="7" t="inlineStr">
        <is>
          <t>Proceso para dar de baja a un asociado</t>
        </is>
      </c>
      <c r="E79" s="7" t="inlineStr">
        <is>
          <t>Cooperativa</t>
        </is>
      </c>
      <c r="F79" s="8" t="inlineStr">
        <is>
          <t>Media</t>
        </is>
      </c>
      <c r="G79" s="8" t="inlineStr">
        <is>
          <t>Hecho</t>
        </is>
      </c>
      <c r="H79" s="8" t="inlineStr">
        <is>
          <t>1.8</t>
        </is>
      </c>
      <c r="I79" s="21">
        <f>IFERROR(INDEX(Plan!$B$5:$B$117,MATCH(H79,Plan!$A$5:$A$117,0)),"—")</f>
        <v/>
      </c>
      <c r="J79" s="7" t="inlineStr">
        <is>
          <t>25-sep: pregunta abierta del informe de ga-auditor-supabase; relacionada con la migración de institución/activo en perfiles.</t>
        </is>
      </c>
    </row>
    <row r="80">
      <c r="A80" s="19" t="inlineStr">
        <is>
          <t>P-92</t>
        </is>
      </c>
      <c r="B80" s="4" t="inlineStr">
        <is>
          <t>Dato de la cooperativa</t>
        </is>
      </c>
      <c r="C80" s="4" t="inlineStr">
        <is>
          <t>Backend C+</t>
        </is>
      </c>
      <c r="D80" s="7" t="inlineStr">
        <is>
          <t>Quién dispara el correo del aviso del sorteo</t>
        </is>
      </c>
      <c r="E80" s="7" t="inlineStr">
        <is>
          <t>Cooperativa</t>
        </is>
      </c>
      <c r="F80" s="8" t="inlineStr">
        <is>
          <t>Media</t>
        </is>
      </c>
      <c r="G80" s="8" t="inlineStr">
        <is>
          <t>Hecho</t>
        </is>
      </c>
      <c r="H80" s="8" t="inlineStr">
        <is>
          <t>1.8</t>
        </is>
      </c>
      <c r="I80" s="21">
        <f>IFERROR(INDEX(Plan!$B$5:$B$117,MATCH(H80,Plan!$A$5:$A$117,0)),"—")</f>
        <v/>
      </c>
      <c r="J80" s="7" t="inlineStr">
        <is>
          <t>25-sep: pregunta abierta del informe de ga-auditor-supabase; relacionada con la migración perfiles_avisar_sorteo.</t>
        </is>
      </c>
    </row>
    <row r="81">
      <c r="A81" s="19" t="inlineStr">
        <is>
          <t>P-93</t>
        </is>
      </c>
      <c r="B81" s="4" t="inlineStr">
        <is>
          <t>Dato de la cooperativa</t>
        </is>
      </c>
      <c r="C81" s="4" t="inlineStr">
        <is>
          <t>Landing C+</t>
        </is>
      </c>
      <c r="D81" s="7" t="inlineStr">
        <is>
          <t>Confirmar las cifras de la landing C+ (+200 asociados, 4 horas, 3 años, 5 sedes con sus ciudades, embargo a 36 meses)</t>
        </is>
      </c>
      <c r="E81" s="7" t="inlineStr">
        <is>
          <t>Cooperativa</t>
        </is>
      </c>
      <c r="F81" s="8" t="inlineStr">
        <is>
          <t>Media</t>
        </is>
      </c>
      <c r="G81" s="8" t="inlineStr">
        <is>
          <t>Hecho</t>
        </is>
      </c>
      <c r="H81" s="8" t="inlineStr">
        <is>
          <t>2.14</t>
        </is>
      </c>
      <c r="I81" s="21">
        <f>IFERROR(INDEX(Plan!$B$5:$B$117,MATCH(H81,Plan!$A$5:$A$117,0)),"—")</f>
        <v/>
      </c>
      <c r="J81" s="7" t="inlineStr">
        <is>
          <t>25-sep: cifras usadas en el nuevo hero/servicios del rediseño C+; falta confirmarlas con la cooperativa.</t>
        </is>
      </c>
    </row>
    <row r="82">
      <c r="A82" s="19" t="inlineStr">
        <is>
          <t>P-17</t>
        </is>
      </c>
      <c r="B82" s="4" t="inlineStr">
        <is>
          <t>Dato de la cooperativa</t>
        </is>
      </c>
      <c r="C82" s="4" t="inlineStr">
        <is>
          <t>Landing</t>
        </is>
      </c>
      <c r="D82" s="7" t="inlineStr">
        <is>
          <t>Tiempo de respuesta real ([TIEMPO] y [T])</t>
        </is>
      </c>
      <c r="E82" s="7" t="inlineStr">
        <is>
          <t>Cooperativa</t>
        </is>
      </c>
      <c r="F82" s="8" t="inlineStr">
        <is>
          <t>Baja</t>
        </is>
      </c>
      <c r="G82" s="8" t="inlineStr">
        <is>
          <t>Hecho</t>
        </is>
      </c>
      <c r="H82" s="8" t="inlineStr">
        <is>
          <t>5.3</t>
        </is>
      </c>
      <c r="I82" s="21">
        <f>IFERROR(INDEX(Plan!$B$5:$B$117,MATCH(H82,Plan!$A$5:$A$117,0)),"—")</f>
        <v/>
      </c>
      <c r="J82" s="7" t="inlineStr">
        <is>
          <t>24-sep: «4 horas o menos».</t>
        </is>
      </c>
    </row>
    <row r="83">
      <c r="A83" s="19" t="inlineStr">
        <is>
          <t>P-81</t>
        </is>
      </c>
      <c r="B83" s="4" t="inlineStr">
        <is>
          <t>Verificación y cierre</t>
        </is>
      </c>
      <c r="C83" s="4" t="inlineStr">
        <is>
          <t>Legal</t>
        </is>
      </c>
      <c r="D83" s="7" t="inlineStr">
        <is>
          <t>Revisión de la política de datos por un abogado (Dr. Breinner: secciones 7.3, 8 y 18)</t>
        </is>
      </c>
      <c r="E83" s="7" t="inlineStr">
        <is>
          <t>Sebas</t>
        </is>
      </c>
      <c r="F83" s="8" t="inlineStr">
        <is>
          <t>Alta</t>
        </is>
      </c>
      <c r="G83" s="8" t="inlineStr">
        <is>
          <t>En curso</t>
        </is>
      </c>
      <c r="H83" s="8" t="inlineStr">
        <is>
          <t>5.4</t>
        </is>
      </c>
      <c r="I83" s="21">
        <f>IFERROR(INDEX(Plan!$B$5:$B$117,MATCH(H83,Plan!$A$5:$A$117,0)),"—")</f>
        <v/>
      </c>
      <c r="J83" s="7" t="inlineStr">
        <is>
          <t>24-sep: reportado por la sesión principal; falta antes de publicar /politica-de-datos.</t>
        </is>
      </c>
    </row>
    <row r="84">
      <c r="A84" s="19" t="inlineStr">
        <is>
          <t>P-70</t>
        </is>
      </c>
      <c r="B84" s="4" t="inlineStr">
        <is>
          <t>Verificación y cierre</t>
        </is>
      </c>
      <c r="C84" s="4" t="inlineStr">
        <is>
          <t>QA</t>
        </is>
      </c>
      <c r="D84" s="7" t="inlineStr">
        <is>
          <t>Pruebas en celulares reales (Android e iPhone): cámara, código, sorteo, crédito y correos en Gmail/Outlook, con informe y capturas</t>
        </is>
      </c>
      <c r="E84" s="7" t="inlineStr">
        <is>
          <t>Sebas</t>
        </is>
      </c>
      <c r="F84" s="8" t="inlineStr">
        <is>
          <t>Media</t>
        </is>
      </c>
      <c r="G84" s="8" t="inlineStr">
        <is>
          <t>En curso</t>
        </is>
      </c>
      <c r="H84" s="8" t="inlineStr">
        <is>
          <t>6.14</t>
        </is>
      </c>
      <c r="I84" s="21">
        <f>IFERROR(INDEX(Plan!$B$5:$B$117,MATCH(H84,Plan!$A$5:$A$117,0)),"—")</f>
        <v/>
      </c>
      <c r="J84" s="7" t="inlineStr">
        <is>
          <t>Encargo externo (500.000 COP) por PR a develop. Ver P-73.</t>
        </is>
      </c>
    </row>
    <row r="85">
      <c r="A85" s="19" t="inlineStr">
        <is>
          <t>P-104</t>
        </is>
      </c>
      <c r="B85" s="4" t="inlineStr">
        <is>
          <t>Verificación y cierre</t>
        </is>
      </c>
      <c r="C85" s="4" t="inlineStr">
        <is>
          <t>Despliegue</t>
        </is>
      </c>
      <c r="D85" s="7" t="inlineStr">
        <is>
          <t>Aprobar y fusionar el PR develop → main para desplegar el rediseño C+ (con el arreglo de la tasa) en producción</t>
        </is>
      </c>
      <c r="E85" s="7" t="inlineStr">
        <is>
          <t>Sebas</t>
        </is>
      </c>
      <c r="F85" s="8" t="inlineStr">
        <is>
          <t>Alta</t>
        </is>
      </c>
      <c r="G85" s="8" t="inlineStr">
        <is>
          <t>Hecho</t>
        </is>
      </c>
      <c r="H85" s="8" t="inlineStr">
        <is>
          <t>6.18</t>
        </is>
      </c>
      <c r="I85" s="21">
        <f>IFERROR(INDEX(Plan!$B$5:$B$117,MATCH(H85,Plan!$A$5:$A$117,0)),"—")</f>
        <v/>
      </c>
      <c r="J85" s="7" t="inlineStr">
        <is>
          <t>29-sep: rediseno-c-plus ya fusionada a develop y subida a origin (suite e2e 290/290, tsc/lint/build en verde). Falta que Sebas apruebe/fusione el PR develop → main para que Vercel despliegue el rediseño C+ en producción. 30-sep: fusionado; C+ en producción.</t>
        </is>
      </c>
    </row>
    <row r="86">
      <c r="A86" s="19" t="inlineStr">
        <is>
          <t>P-118</t>
        </is>
      </c>
      <c r="B86" s="4" t="inlineStr">
        <is>
          <t>Verificación y cierre</t>
        </is>
      </c>
      <c r="C86" s="4" t="inlineStr">
        <is>
          <t>Entrega</t>
        </is>
      </c>
      <c r="D86" s="7" t="inlineStr">
        <is>
          <t>Entrega final y último pago el viernes 9-oct (garantía 9-oct al 7-nov, soporte desde el 8-nov)</t>
        </is>
      </c>
      <c r="E86" s="7" t="inlineStr">
        <is>
          <t>Sebas</t>
        </is>
      </c>
      <c r="F86" s="8" t="inlineStr">
        <is>
          <t>Alta</t>
        </is>
      </c>
      <c r="G86" s="8" t="inlineStr">
        <is>
          <t>Hecho</t>
        </is>
      </c>
      <c r="H86" s="8" t="inlineStr">
        <is>
          <t>6.29</t>
        </is>
      </c>
      <c r="I86" s="21">
        <f>IFERROR(INDEX(Plan!$B$5:$B$117,MATCH(H86,Plan!$A$5:$A$117,0)),"—")</f>
        <v/>
      </c>
      <c r="J86" s="7" t="inlineStr">
        <is>
          <t>08-oct: la entrega pasó del miércoles 7-oct al viernes 9-oct.</t>
        </is>
      </c>
    </row>
    <row r="87">
      <c r="A87" s="19" t="inlineStr">
        <is>
          <t>P-39</t>
        </is>
      </c>
      <c r="B87" s="4" t="inlineStr">
        <is>
          <t>Verificación y cierre</t>
        </is>
      </c>
      <c r="C87" s="4" t="inlineStr">
        <is>
          <t>Calidad</t>
        </is>
      </c>
      <c r="D87" s="7" t="inlineStr">
        <is>
          <t>Correr ga-verificador-qa y ga-verificador-responsive</t>
        </is>
      </c>
      <c r="E87" s="7" t="inlineStr">
        <is>
          <t>Yo</t>
        </is>
      </c>
      <c r="F87" s="8" t="inlineStr">
        <is>
          <t>Alta</t>
        </is>
      </c>
      <c r="G87" s="8" t="inlineStr">
        <is>
          <t>Hecho</t>
        </is>
      </c>
      <c r="H87" s="8" t="inlineStr">
        <is>
          <t>6.3</t>
        </is>
      </c>
      <c r="I87" s="21">
        <f>IFERROR(INDEX(Plan!$B$5:$B$117,MATCH(H87,Plan!$A$5:$A$117,0)),"—")</f>
        <v/>
      </c>
      <c r="J87"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88">
      <c r="A88" s="19" t="inlineStr">
        <is>
          <t>P-41</t>
        </is>
      </c>
      <c r="B88" s="4" t="inlineStr">
        <is>
          <t>Verificación y cierre</t>
        </is>
      </c>
      <c r="C88" s="4" t="inlineStr">
        <is>
          <t>Git</t>
        </is>
      </c>
      <c r="D88" s="7" t="inlineStr">
        <is>
          <t>Commit de las pantallas nuevas</t>
        </is>
      </c>
      <c r="E88" s="7" t="inlineStr">
        <is>
          <t>Yo</t>
        </is>
      </c>
      <c r="F88" s="8" t="inlineStr">
        <is>
          <t>Alta</t>
        </is>
      </c>
      <c r="G88" s="8" t="inlineStr">
        <is>
          <t>Hecho</t>
        </is>
      </c>
      <c r="H88" s="8" t="inlineStr">
        <is>
          <t>—</t>
        </is>
      </c>
      <c r="I88" s="21">
        <f>IFERROR(INDEX(Plan!$B$5:$B$117,MATCH(H88,Plan!$A$5:$A$117,0)),"—")</f>
        <v/>
      </c>
      <c r="J88" s="7" t="inlineStr">
        <is>
          <t>Commit d86db86 en develop.</t>
        </is>
      </c>
    </row>
    <row r="89">
      <c r="A89" s="19" t="inlineStr">
        <is>
          <t>P-42</t>
        </is>
      </c>
      <c r="B89" s="4" t="inlineStr">
        <is>
          <t>Verificación y cierre</t>
        </is>
      </c>
      <c r="C89" s="4" t="inlineStr">
        <is>
          <t>Despliegue</t>
        </is>
      </c>
      <c r="D89" s="7" t="inlineStr">
        <is>
          <t>Subir a GitHub y desplegar en Vercel</t>
        </is>
      </c>
      <c r="E89" s="7" t="inlineStr">
        <is>
          <t>Yo</t>
        </is>
      </c>
      <c r="F89" s="8" t="inlineStr">
        <is>
          <t>Alta</t>
        </is>
      </c>
      <c r="G89" s="8" t="inlineStr">
        <is>
          <t>Hecho</t>
        </is>
      </c>
      <c r="H89" s="8" t="inlineStr">
        <is>
          <t>6.5</t>
        </is>
      </c>
      <c r="I89" s="21">
        <f>IFERROR(INDEX(Plan!$B$5:$B$117,MATCH(H89,Plan!$A$5:$A$117,0)),"—")</f>
        <v/>
      </c>
      <c r="J89" s="7" t="inlineStr"/>
    </row>
    <row r="90">
      <c r="A90" s="19" t="inlineStr">
        <is>
          <t>P-58</t>
        </is>
      </c>
      <c r="B90" s="4" t="inlineStr">
        <is>
          <t>Verificación y cierre</t>
        </is>
      </c>
      <c r="C90" s="4" t="inlineStr">
        <is>
          <t>Pruebas</t>
        </is>
      </c>
      <c r="D90" s="7" t="inlineStr">
        <is>
          <t>Actualizar tests/e2e a la afiliación v2 y a la nueva máscara de correo</t>
        </is>
      </c>
      <c r="E90" s="7" t="inlineStr">
        <is>
          <t>ga-escritor-tests</t>
        </is>
      </c>
      <c r="F90" s="8" t="inlineStr">
        <is>
          <t>Alta</t>
        </is>
      </c>
      <c r="G90" s="8" t="inlineStr">
        <is>
          <t>Hecho</t>
        </is>
      </c>
      <c r="H90" s="8" t="inlineStr">
        <is>
          <t>6.1</t>
        </is>
      </c>
      <c r="I90" s="21">
        <f>IFERROR(INDEX(Plan!$B$5:$B$117,MATCH(H90,Plan!$A$5:$A$117,0)),"—")</f>
        <v/>
      </c>
      <c r="J90"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91">
      <c r="A91" s="19" t="inlineStr">
        <is>
          <t>P-64</t>
        </is>
      </c>
      <c r="B91" s="4" t="inlineStr">
        <is>
          <t>Verificación y cierre</t>
        </is>
      </c>
      <c r="C91" s="4" t="inlineStr">
        <is>
          <t>Git</t>
        </is>
      </c>
      <c r="D91" s="7" t="inlineStr">
        <is>
          <t>Abrir el PR de develop a main</t>
        </is>
      </c>
      <c r="E91" s="7" t="inlineStr">
        <is>
          <t>Sebas</t>
        </is>
      </c>
      <c r="F91" s="8" t="inlineStr">
        <is>
          <t>Alta</t>
        </is>
      </c>
      <c r="G91" s="8" t="inlineStr">
        <is>
          <t>Hecho</t>
        </is>
      </c>
      <c r="H91" s="8" t="inlineStr">
        <is>
          <t>6.5</t>
        </is>
      </c>
      <c r="I91" s="21">
        <f>IFERROR(INDEX(Plan!$B$5:$B$117,MATCH(H91,Plan!$A$5:$A$117,0)),"—")</f>
        <v/>
      </c>
      <c r="J91" s="7" t="inlineStr">
        <is>
          <t>25-sep: Sebas abrió y fusionó el PR #1 develop → main (merge 5a39d34); Vercel desplegó fase 2 en producción.</t>
        </is>
      </c>
    </row>
    <row r="92">
      <c r="A92" s="19" t="inlineStr">
        <is>
          <t>P-82</t>
        </is>
      </c>
      <c r="B92" s="4" t="inlineStr">
        <is>
          <t>Verificación y cierre</t>
        </is>
      </c>
      <c r="C92" s="4" t="inlineStr">
        <is>
          <t>Despliegue</t>
        </is>
      </c>
      <c r="D92" s="7" t="inlineStr">
        <is>
          <t>Probar en producción con sesión real de los 3 administradores (ingreso con código OTP y logo del correo)</t>
        </is>
      </c>
      <c r="E92" s="7" t="inlineStr">
        <is>
          <t>Sebas</t>
        </is>
      </c>
      <c r="F92" s="8" t="inlineStr">
        <is>
          <t>Alta</t>
        </is>
      </c>
      <c r="G92" s="8" t="inlineStr">
        <is>
          <t>Hecho</t>
        </is>
      </c>
      <c r="H92" s="8" t="inlineStr">
        <is>
          <t>6.5</t>
        </is>
      </c>
      <c r="I92" s="21">
        <f>IFERROR(INDEX(Plan!$B$5:$B$117,MATCH(H92,Plan!$A$5:$A$117,0)),"—")</f>
        <v/>
      </c>
      <c r="J92" s="7" t="inlineStr">
        <is>
          <t>25-sep: Sebas entró con su cédula y le apareció el panel de administrador (falta confirmar Ricardo y abogadosprieto). 25-sep: reportado por la sesión principal tras el despliegue de fase 2; falta esta prueba manual antes de cerrar 6.5.</t>
        </is>
      </c>
    </row>
    <row r="93">
      <c r="A93" s="19" t="inlineStr">
        <is>
          <t>P-86</t>
        </is>
      </c>
      <c r="B93" s="4" t="inlineStr">
        <is>
          <t>Verificación y cierre</t>
        </is>
      </c>
      <c r="C93" s="4" t="inlineStr">
        <is>
          <t>/afiliacion</t>
        </is>
      </c>
      <c r="D93" s="7" t="inlineStr">
        <is>
          <t>A-01: la ayuda del dominio de correo institucional no se actualiza en vivo al elegir Policía/Ejército</t>
        </is>
      </c>
      <c r="E93" s="7" t="inlineStr">
        <is>
          <t>ga-funcionalidad-botones</t>
        </is>
      </c>
      <c r="F93" s="8" t="inlineStr">
        <is>
          <t>Alta</t>
        </is>
      </c>
      <c r="G93" s="8" t="inlineStr">
        <is>
          <t>Hecho</t>
        </is>
      </c>
      <c r="H93" s="8" t="inlineStr">
        <is>
          <t>6.3</t>
        </is>
      </c>
      <c r="I93" s="21">
        <f>IFERROR(INDEX(Plan!$B$5:$B$117,MATCH(H93,Plan!$A$5:$A$117,0)),"—")</f>
        <v/>
      </c>
      <c r="J9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4">
      <c r="A94" s="19" t="inlineStr">
        <is>
          <t>P-40</t>
        </is>
      </c>
      <c r="B94" s="4" t="inlineStr">
        <is>
          <t>Verificación y cierre</t>
        </is>
      </c>
      <c r="C94" s="4" t="inlineStr">
        <is>
          <t>Código</t>
        </is>
      </c>
      <c r="D94" s="7" t="inlineStr">
        <is>
          <t>Borrar /login y /dashboard cuando /ingresar y /cuenta funcionen</t>
        </is>
      </c>
      <c r="E94" s="7" t="inlineStr">
        <is>
          <t>Yo</t>
        </is>
      </c>
      <c r="F94" s="8" t="inlineStr">
        <is>
          <t>Media</t>
        </is>
      </c>
      <c r="G94" s="8" t="inlineStr">
        <is>
          <t>Hecho</t>
        </is>
      </c>
      <c r="H94" s="8" t="inlineStr">
        <is>
          <t>5.5</t>
        </is>
      </c>
      <c r="I94" s="21">
        <f>IFERROR(INDEX(Plan!$B$5:$B$117,MATCH(H94,Plan!$A$5:$A$117,0)),"—")</f>
        <v/>
      </c>
      <c r="J94" s="7" t="inlineStr">
        <is>
          <t>Borradas el 23-sep (incluida /dashboard/solicitar, su parte del proxy y los colores heredados de tailwind.config.ts).</t>
        </is>
      </c>
    </row>
    <row r="95">
      <c r="A95" s="19" t="inlineStr">
        <is>
          <t>P-49</t>
        </is>
      </c>
      <c r="B95" s="4" t="inlineStr">
        <is>
          <t>Verificación y cierre</t>
        </is>
      </c>
      <c r="C95" s="4" t="inlineStr">
        <is>
          <t>Seguridad</t>
        </is>
      </c>
      <c r="D95" s="7" t="inlineStr">
        <is>
          <t>Revisar si conviene confiar en x-forwarded-for para el límite de intentos por IP</t>
        </is>
      </c>
      <c r="E95" s="7" t="inlineStr">
        <is>
          <t>ga-revisor-seguridad</t>
        </is>
      </c>
      <c r="F95" s="8" t="inlineStr">
        <is>
          <t>Media</t>
        </is>
      </c>
      <c r="G95" s="8" t="inlineStr">
        <is>
          <t>Hecho</t>
        </is>
      </c>
      <c r="H95" s="8" t="inlineStr">
        <is>
          <t>6.2</t>
        </is>
      </c>
      <c r="I95" s="21">
        <f>IFERROR(INDEX(Plan!$B$5:$B$117,MATCH(H95,Plan!$A$5:$A$117,0)),"—")</f>
        <v/>
      </c>
      <c r="J95" s="7" t="inlineStr">
        <is>
          <t>Sugerido por ga-verificador-qa el 23-sep. Documentado por ga-funcionalidad-botones como O-01 en lib/servidor/limite.ts: x-forwarded-for/x-real-ip solo son confiables detrás de Vercel (nuestro caso); el límite real por cédula/IP lo hace la app, no Supabase.</t>
        </is>
      </c>
    </row>
    <row r="96">
      <c r="A96" s="19" t="inlineStr">
        <is>
          <t>P-50</t>
        </is>
      </c>
      <c r="B96" s="4" t="inlineStr">
        <is>
          <t>Verificación y cierre</t>
        </is>
      </c>
      <c r="C96" s="4" t="inlineStr">
        <is>
          <t>Correos</t>
        </is>
      </c>
      <c r="D96" s="7" t="inlineStr">
        <is>
          <t>Confirmar que salen los correos de afiliación (el log queda en la terminal de next dev)</t>
        </is>
      </c>
      <c r="E96" s="7" t="inlineStr">
        <is>
          <t>Yo</t>
        </is>
      </c>
      <c r="F96" s="8" t="inlineStr">
        <is>
          <t>Media</t>
        </is>
      </c>
      <c r="G96" s="8" t="inlineStr">
        <is>
          <t>Hecho</t>
        </is>
      </c>
      <c r="H96" s="8" t="inlineStr">
        <is>
          <t>—</t>
        </is>
      </c>
      <c r="I96" s="21">
        <f>IFERROR(INDEX(Plan!$B$5:$B$117,MATCH(H96,Plan!$A$5:$A$117,0)),"—")</f>
        <v/>
      </c>
      <c r="J96" s="7" t="inlineStr">
        <is>
          <t>Ya no aplica: el 23-sep se quitaron los correos de afiliación del código (decisión de Sebas).</t>
        </is>
      </c>
    </row>
    <row r="97">
      <c r="A97" s="19" t="inlineStr">
        <is>
          <t>P-62</t>
        </is>
      </c>
      <c r="B97" s="4" t="inlineStr">
        <is>
          <t>Verificación y cierre</t>
        </is>
      </c>
      <c r="C97" s="4" t="inlineStr">
        <is>
          <t>Base de datos</t>
        </is>
      </c>
      <c r="D97" s="7" t="inlineStr">
        <is>
          <t>Borrar la cuenta admin de prueba «Test QA» (cédula 1099887766) desde el panel de Supabase</t>
        </is>
      </c>
      <c r="E97" s="7" t="inlineStr">
        <is>
          <t>Sebas</t>
        </is>
      </c>
      <c r="F97" s="8" t="inlineStr">
        <is>
          <t>Media</t>
        </is>
      </c>
      <c r="G97" s="8" t="inlineStr">
        <is>
          <t>Hecho</t>
        </is>
      </c>
      <c r="H97" s="8" t="inlineStr">
        <is>
          <t>6.13</t>
        </is>
      </c>
      <c r="I97" s="21">
        <f>IFERROR(INDEX(Plan!$B$5:$B$117,MATCH(H97,Plan!$A$5:$A$117,0)),"—")</f>
        <v/>
      </c>
      <c r="J97" s="7" t="inlineStr">
        <is>
          <t>Ya hay 3 administradores reales en producción: Ricardo, Abogados Prieto y Sebas. 24-sep: usuario «Test QA» borrado de producción por Sebas.</t>
        </is>
      </c>
    </row>
    <row r="98">
      <c r="A98" s="19" t="inlineStr">
        <is>
          <t>P-71</t>
        </is>
      </c>
      <c r="B98" s="4" t="inlineStr">
        <is>
          <t>Verificación y cierre</t>
        </is>
      </c>
      <c r="C98" s="4" t="inlineStr">
        <is>
          <t>Pruebas</t>
        </is>
      </c>
      <c r="D98" s="7" t="inlineStr">
        <is>
          <t>Actualizar tests/e2e b-ingreso, i-despliegue y j-produccion al formato nuevo de máscara de correo</t>
        </is>
      </c>
      <c r="E98" s="7" t="inlineStr">
        <is>
          <t>Carlos Pardo</t>
        </is>
      </c>
      <c r="F98" s="8" t="inlineStr">
        <is>
          <t>Media</t>
        </is>
      </c>
      <c r="G98" s="8" t="inlineStr">
        <is>
          <t>Hecho</t>
        </is>
      </c>
      <c r="H98" s="8" t="inlineStr">
        <is>
          <t>6.15</t>
        </is>
      </c>
      <c r="I98" s="21">
        <f>IFERROR(INDEX(Plan!$B$5:$B$117,MATCH(H98,Plan!$A$5:$A$117,0)),"—")</f>
        <v/>
      </c>
      <c r="J98"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99">
      <c r="A99" s="19" t="inlineStr">
        <is>
          <t>P-94</t>
        </is>
      </c>
      <c r="B99" s="4" t="inlineStr">
        <is>
          <t>Verificación y cierre</t>
        </is>
      </c>
      <c r="C99" s="4" t="inlineStr">
        <is>
          <t>Pruebas</t>
        </is>
      </c>
      <c r="D99" s="7" t="inlineStr">
        <is>
          <t>Correr tests/e2e/b-ingreso.spec.ts y d-afiliacion.spec.ts contra la maquetación C+ de ingreso y afiliación, con Supabase local</t>
        </is>
      </c>
      <c r="E99" s="7" t="inlineStr">
        <is>
          <t>ga-verificador-qa o ga-escritor-tests</t>
        </is>
      </c>
      <c r="F99" s="8" t="inlineStr">
        <is>
          <t>Media</t>
        </is>
      </c>
      <c r="G99" s="8" t="inlineStr">
        <is>
          <t>Hecho</t>
        </is>
      </c>
      <c r="H99" s="8" t="inlineStr">
        <is>
          <t>2.15</t>
        </is>
      </c>
      <c r="I99" s="21">
        <f>IFERROR(INDEX(Plan!$B$5:$B$117,MATCH(H99,Plan!$A$5:$A$117,0)),"—")</f>
        <v/>
      </c>
      <c r="J99"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100">
      <c r="A100" s="19" t="inlineStr">
        <is>
          <t>P-102</t>
        </is>
      </c>
      <c r="B100" s="4" t="inlineStr">
        <is>
          <t>Verificación y cierre</t>
        </is>
      </c>
      <c r="C100" s="4" t="inlineStr">
        <is>
          <t>Landing</t>
        </is>
      </c>
      <c r="D100" s="7" t="inlineStr">
        <is>
          <t>B-01: sección de testimonios de la landing con corchetes de ejemplo visibles ([Nombre], [Testimonio]...)</t>
        </is>
      </c>
      <c r="E100" s="7" t="inlineStr">
        <is>
          <t>sesión principal</t>
        </is>
      </c>
      <c r="F100" s="8" t="inlineStr">
        <is>
          <t>Baja</t>
        </is>
      </c>
      <c r="G100" s="8" t="inlineStr">
        <is>
          <t>Hecho</t>
        </is>
      </c>
      <c r="H100" s="8" t="inlineStr">
        <is>
          <t>2.14</t>
        </is>
      </c>
      <c r="I100" s="21">
        <f>IFERROR(INDEX(Plan!$B$5:$B$117,MATCH(H100,Plan!$A$5:$A$117,0)),"—")</f>
        <v/>
      </c>
      <c r="J100" s="7" t="inlineStr">
        <is>
          <t>27-sep: hallazgo Bajo de ga-verificador-qa. Corregido en rediseno-c-plus (commit local fdab456): la sección se oculta mientras tenga textos de ejemplo. Falta el contenido real y decidir si se mantiene la sección, ver P-103.</t>
        </is>
      </c>
    </row>
    <row r="101">
      <c r="A101" s="19" t="inlineStr">
        <is>
          <t>P-52</t>
        </is>
      </c>
      <c r="B101" s="4" t="inlineStr">
        <is>
          <t>Verificación y cierre</t>
        </is>
      </c>
      <c r="C101" s="4" t="inlineStr">
        <is>
          <t>Documentación</t>
        </is>
      </c>
      <c r="D101" s="7" t="inlineStr">
        <is>
          <t>Mapa de botones: §4 «Nueva solicitud» → /cuenta/solicitar y sección para la ruta /cuenta/solicitar</t>
        </is>
      </c>
      <c r="E101" s="7" t="inlineStr">
        <is>
          <t>ga-funcionalidad-botones</t>
        </is>
      </c>
      <c r="F101" s="8" t="inlineStr">
        <is>
          <t>Baja</t>
        </is>
      </c>
      <c r="G101" s="8" t="inlineStr">
        <is>
          <t>Hecho</t>
        </is>
      </c>
      <c r="H101" s="8" t="inlineStr">
        <is>
          <t>3.7</t>
        </is>
      </c>
      <c r="I101" s="21">
        <f>IFERROR(INDEX(Plan!$B$5:$B$117,MATCH(H101,Plan!$A$5:$A$117,0)),"—")</f>
        <v/>
      </c>
      <c r="J101" s="7" t="inlineStr">
        <is>
          <t>Reportado por ga-diseno-a-codigo. Verificado el 23-sep: docs/mapa-de-botones.md ya tiene §4 «Nueva solicitud» → /cuenta/solicitar (Definido) y §4b /cuenta/solicitar; /dashboard se eliminó.</t>
        </is>
      </c>
    </row>
    <row r="102">
      <c r="A102" s="19" t="inlineStr">
        <is>
          <t>P-63</t>
        </is>
      </c>
      <c r="B102" s="4" t="inlineStr">
        <is>
          <t>Decisión</t>
        </is>
      </c>
      <c r="C102" s="4" t="inlineStr">
        <is>
          <t>Fase 2</t>
        </is>
      </c>
      <c r="D102" s="7" t="inlineStr">
        <is>
          <t>Preguntas abiertas de fase 2 para la cooperativa: grados del Ejército, dominios de correo institucionales (hoy solo policia.gov.co, buzonejercito.mil.co, ejercito.mil.co), tiempo que se guardan las fotos y tope de intentos del sorteo</t>
        </is>
      </c>
      <c r="E102" s="7" t="inlineStr">
        <is>
          <t>Cooperativa</t>
        </is>
      </c>
      <c r="F102" s="8" t="inlineStr">
        <is>
          <t>Alta</t>
        </is>
      </c>
      <c r="G102" s="8" t="inlineStr">
        <is>
          <t>Pendiente</t>
        </is>
      </c>
      <c r="H102" s="8" t="inlineStr">
        <is>
          <t>1.5</t>
        </is>
      </c>
      <c r="I102" s="21">
        <f>IFERROR(INDEX(Plan!$B$5:$B$117,MATCH(H102,Plan!$A$5:$A$117,0)),"—")</f>
        <v/>
      </c>
      <c r="J102" s="7" t="inlineStr">
        <is>
          <t>Ver docs/spec-fase-2.md §Preguntas abiertas. 30-sep: no aparece en §12; por confirmar (dominio del Ejército).</t>
        </is>
      </c>
    </row>
    <row r="103">
      <c r="A103" s="19" t="inlineStr">
        <is>
          <t>P-123</t>
        </is>
      </c>
      <c r="B103" s="4" t="inlineStr">
        <is>
          <t>Decisión</t>
        </is>
      </c>
      <c r="C103" s="4" t="inlineStr">
        <is>
          <t>Correos</t>
        </is>
      </c>
      <c r="D103" s="7" t="inlineStr">
        <is>
          <t>Plan Pro de Resend (verificar precio)</t>
        </is>
      </c>
      <c r="E103" s="7" t="inlineStr">
        <is>
          <t>Cooperativa</t>
        </is>
      </c>
      <c r="F103" s="8" t="inlineStr">
        <is>
          <t>Media</t>
        </is>
      </c>
      <c r="G103" s="8" t="inlineStr">
        <is>
          <t>Pendiente</t>
        </is>
      </c>
      <c r="H103" s="8" t="inlineStr">
        <is>
          <t>6.28</t>
        </is>
      </c>
      <c r="I103" s="21">
        <f>IFERROR(INDEX(Plan!$B$5:$B$117,MATCH(H103,Plan!$A$5:$A$117,0)),"—")</f>
        <v/>
      </c>
      <c r="J103" s="7" t="inlineStr">
        <is>
          <t>Ver docs/entrega/plan-correos-resend.md.</t>
        </is>
      </c>
    </row>
    <row r="104">
      <c r="A104" s="19" t="inlineStr">
        <is>
          <t>P-140</t>
        </is>
      </c>
      <c r="B104" s="4" t="inlineStr">
        <is>
          <t>Decisión</t>
        </is>
      </c>
      <c r="C104" s="4" t="inlineStr">
        <is>
          <t>Admin</t>
        </is>
      </c>
      <c r="D104" s="7" t="inlineStr">
        <is>
          <t>Preguntar a la cooperativa cómo se desactiva o se baja de rol a un administrador (desde el 9-oct la app no lo permite, por H-07)</t>
        </is>
      </c>
      <c r="E104" s="7" t="inlineStr">
        <is>
          <t>Cooperativa</t>
        </is>
      </c>
      <c r="F104" s="8" t="inlineStr">
        <is>
          <t>Media</t>
        </is>
      </c>
      <c r="G104" s="8" t="inlineStr">
        <is>
          <t>Pendiente</t>
        </is>
      </c>
      <c r="H104" s="8" t="inlineStr">
        <is>
          <t>—</t>
        </is>
      </c>
      <c r="I104" s="21">
        <f>IFERROR(INDEX(Plan!$B$5:$B$117,MATCH(H104,Plan!$A$5:$A$117,0)),"—")</f>
        <v/>
      </c>
      <c r="J104" s="7" t="inlineStr">
        <is>
          <t>09-oct: si la cooperativa lo necesita, hace falta otra migración.</t>
        </is>
      </c>
    </row>
    <row r="105">
      <c r="A105" s="19" t="inlineStr">
        <is>
          <t>P-98</t>
        </is>
      </c>
      <c r="B105" s="4" t="inlineStr">
        <is>
          <t>Decisión</t>
        </is>
      </c>
      <c r="C105" s="4" t="inlineStr">
        <is>
          <t>Asesor</t>
        </is>
      </c>
      <c r="D105" s="7" t="inlineStr">
        <is>
          <t>Confirmar la regla de categorización de asociados ya afiliados como «Aprobada» en las tarjetas/chips de /asesor (pedido D-06 del lienzo)</t>
        </is>
      </c>
      <c r="E105" s="7" t="inlineStr">
        <is>
          <t>Sebas</t>
        </is>
      </c>
      <c r="F105" s="8" t="inlineStr">
        <is>
          <t>Media</t>
        </is>
      </c>
      <c r="G105" s="8" t="inlineStr">
        <is>
          <t>Pendiente</t>
        </is>
      </c>
      <c r="H105" s="8" t="inlineStr">
        <is>
          <t>4.10</t>
        </is>
      </c>
      <c r="I105" s="21">
        <f>IFERROR(INDEX(Plan!$B$5:$B$117,MATCH(H105,Plan!$A$5:$A$117,0)),"—")</f>
        <v/>
      </c>
      <c r="J105"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06">
      <c r="A106" s="19" t="inlineStr">
        <is>
          <t>P-02</t>
        </is>
      </c>
      <c r="B106" s="4" t="inlineStr">
        <is>
          <t>Decisión</t>
        </is>
      </c>
      <c r="C106" s="4" t="inlineStr">
        <is>
          <t>/cuenta</t>
        </is>
      </c>
      <c r="D106" s="7" t="inlineStr">
        <is>
          <t>Preguntar a la cooperativa si los convenios tendrán página propia</t>
        </is>
      </c>
      <c r="E106" s="7" t="inlineStr">
        <is>
          <t>Cooperativa</t>
        </is>
      </c>
      <c r="F106" s="8" t="inlineStr">
        <is>
          <t>Baja</t>
        </is>
      </c>
      <c r="G106" s="8" t="inlineStr">
        <is>
          <t>Pendiente</t>
        </is>
      </c>
      <c r="H106" s="8" t="inlineStr">
        <is>
          <t>5.1</t>
        </is>
      </c>
      <c r="I106" s="21">
        <f>IFERROR(INDEX(Plan!$B$5:$B$117,MATCH(H106,Plan!$A$5:$A$117,0)),"—")</f>
        <v/>
      </c>
      <c r="J106" s="7" t="inlineStr">
        <is>
          <t>Por ahora son una sección en /cuenta (#convenios).</t>
        </is>
      </c>
    </row>
    <row r="107">
      <c r="A107" s="19" t="inlineStr">
        <is>
          <t>P-107</t>
        </is>
      </c>
      <c r="B107" s="4" t="inlineStr">
        <is>
          <t>Decisión</t>
        </is>
      </c>
      <c r="C107" s="4" t="inlineStr">
        <is>
          <t>/afiliacion/enviada</t>
        </is>
      </c>
      <c r="D107" s="7" t="inlineStr">
        <is>
          <t>Confirmar si «4 horas» de /afiliacion/enviada también cambia</t>
        </is>
      </c>
      <c r="E107" s="7" t="inlineStr">
        <is>
          <t>Sebas</t>
        </is>
      </c>
      <c r="F107" s="8" t="inlineStr">
        <is>
          <t>Baja</t>
        </is>
      </c>
      <c r="G107" s="8" t="inlineStr">
        <is>
          <t>Pendiente</t>
        </is>
      </c>
      <c r="H107" s="8" t="inlineStr">
        <is>
          <t>6.22</t>
        </is>
      </c>
      <c r="I107" s="21">
        <f>IFERROR(INDEX(Plan!$B$5:$B$117,MATCH(H107,Plan!$A$5:$A$117,0)),"—")</f>
        <v/>
      </c>
      <c r="J107" s="7" t="inlineStr"/>
    </row>
    <row r="108">
      <c r="A108" s="19" t="inlineStr">
        <is>
          <t>P-09</t>
        </is>
      </c>
      <c r="B108" s="4" t="inlineStr">
        <is>
          <t>Decisión</t>
        </is>
      </c>
      <c r="C108" s="4" t="inlineStr">
        <is>
          <t>Base de datos</t>
        </is>
      </c>
      <c r="D108" s="7" t="inlineStr">
        <is>
          <t>Revisar y aplicar en producción la migración blindar_solicitudes_y_revisiones</t>
        </is>
      </c>
      <c r="E108" s="7" t="inlineStr">
        <is>
          <t>Sebas (ga-auditor-supabase revisa antes)</t>
        </is>
      </c>
      <c r="F108" s="8" t="inlineStr">
        <is>
          <t>Alta</t>
        </is>
      </c>
      <c r="G108" s="8" t="inlineStr">
        <is>
          <t>Hecho</t>
        </is>
      </c>
      <c r="H108" s="8" t="inlineStr">
        <is>
          <t>6.10</t>
        </is>
      </c>
      <c r="I108" s="21">
        <f>IFERROR(INDEX(Plan!$B$5:$B$117,MATCH(H108,Plan!$A$5:$A$117,0)),"—")</f>
        <v/>
      </c>
      <c r="J108" s="7" t="inlineStr">
        <is>
          <t>Verificado con list_migrations el 23-sep: producción ya tiene 20260923173355_blindar_solicitudes_y_revisiones.</t>
        </is>
      </c>
    </row>
    <row r="109">
      <c r="A109" s="19" t="inlineStr">
        <is>
          <t>P-08</t>
        </is>
      </c>
      <c r="B109" s="4" t="inlineStr">
        <is>
          <t>Decisión</t>
        </is>
      </c>
      <c r="C109" s="4" t="inlineStr">
        <is>
          <t>/cuenta</t>
        </is>
      </c>
      <c r="D109" s="7" t="inlineStr">
        <is>
          <t>P-10: el asociado no cambia su nombre pero sí su teléfono</t>
        </is>
      </c>
      <c r="E109" s="7" t="inlineStr">
        <is>
          <t>Yo</t>
        </is>
      </c>
      <c r="F109" s="8" t="inlineStr">
        <is>
          <t>Media</t>
        </is>
      </c>
      <c r="G109" s="8" t="inlineStr">
        <is>
          <t>Hecho</t>
        </is>
      </c>
      <c r="H109" s="8" t="inlineStr">
        <is>
          <t>3.6</t>
        </is>
      </c>
      <c r="I109" s="21">
        <f>IFERROR(INDEX(Plan!$B$5:$B$117,MATCH(H109,Plan!$A$5:$A$117,0)),"—")</f>
        <v/>
      </c>
      <c r="J109" s="7" t="inlineStr">
        <is>
          <t>Apartado «Mis datos» ya maquetado.</t>
        </is>
      </c>
    </row>
    <row r="110">
      <c r="A110" s="19" t="inlineStr">
        <is>
          <t>P-100</t>
        </is>
      </c>
      <c r="B110" s="4" t="inlineStr">
        <is>
          <t>Decisión</t>
        </is>
      </c>
      <c r="C110" s="4" t="inlineStr">
        <is>
          <t>Seguridad</t>
        </is>
      </c>
      <c r="D110" s="7" t="inlineStr">
        <is>
          <t>Migración de permisos por columna para que un asociado no pueda leer la tasa de interés consultando la API directo con su sesión</t>
        </is>
      </c>
      <c r="E110" s="7" t="inlineStr">
        <is>
          <t>Sebas</t>
        </is>
      </c>
      <c r="F110" s="8" t="inlineStr">
        <is>
          <t>Media</t>
        </is>
      </c>
      <c r="G110" s="8" t="inlineStr">
        <is>
          <t>Hecho</t>
        </is>
      </c>
      <c r="H110" s="8" t="inlineStr">
        <is>
          <t>3.5</t>
        </is>
      </c>
      <c r="I110" s="21">
        <f>IFERROR(INDEX(Plan!$B$5:$B$117,MATCH(H110,Plan!$A$5:$A$117,0)),"—")</f>
        <v/>
      </c>
      <c r="J110"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1">
      <c r="A111" s="19" t="inlineStr">
        <is>
          <t>P-106</t>
        </is>
      </c>
      <c r="B111" s="4" t="inlineStr">
        <is>
          <t>Decisión</t>
        </is>
      </c>
      <c r="C111" s="4" t="inlineStr">
        <is>
          <t>Admin</t>
        </is>
      </c>
      <c r="D111" s="7" t="inlineStr">
        <is>
          <t>R-09: quién registra los pagos de comisión</t>
        </is>
      </c>
      <c r="E111" s="7" t="inlineStr">
        <is>
          <t>Sebas + Ricardo</t>
        </is>
      </c>
      <c r="F111" s="8" t="inlineStr">
        <is>
          <t>Media</t>
        </is>
      </c>
      <c r="G111" s="8" t="inlineStr">
        <is>
          <t>Hecho</t>
        </is>
      </c>
      <c r="H111" s="8" t="inlineStr">
        <is>
          <t>—</t>
        </is>
      </c>
      <c r="I111" s="21">
        <f>IFERROR(INDEX(Plan!$B$5:$B$117,MATCH(H111,Plan!$A$5:$A$117,0)),"—")</f>
        <v/>
      </c>
      <c r="J111" s="7" t="inlineStr">
        <is>
          <t>R-10 y R-11 cerrados por Sebas (§12.14).</t>
        </is>
      </c>
    </row>
    <row r="112">
      <c r="A112" s="19" t="inlineStr">
        <is>
          <t>P-111</t>
        </is>
      </c>
      <c r="B112" s="4" t="inlineStr">
        <is>
          <t>Decisión</t>
        </is>
      </c>
      <c r="C112" s="4" t="inlineStr">
        <is>
          <t>/admin</t>
        </is>
      </c>
      <c r="D112" s="7" t="inlineStr">
        <is>
          <t>¿«Inscritos al sorteo» entra al dashboard del admin?</t>
        </is>
      </c>
      <c r="E112" s="7" t="inlineStr">
        <is>
          <t>Cooperativa</t>
        </is>
      </c>
      <c r="F112" s="8" t="inlineStr">
        <is>
          <t>Media</t>
        </is>
      </c>
      <c r="G112" s="8" t="inlineStr">
        <is>
          <t>Hecho</t>
        </is>
      </c>
      <c r="H112" s="8" t="inlineStr">
        <is>
          <t>4.7</t>
        </is>
      </c>
      <c r="I112" s="21">
        <f>IFERROR(INDEX(Plan!$B$5:$B$117,MATCH(H112,Plan!$A$5:$A$117,0)),"—")</f>
        <v/>
      </c>
      <c r="J112" s="7" t="inlineStr">
        <is>
          <t>30-sep: reportado por ga-disenador-lienzo y ga-diseno-a-codigo.</t>
        </is>
      </c>
    </row>
    <row r="113">
      <c r="A113" s="19" t="inlineStr">
        <is>
          <t>P-119</t>
        </is>
      </c>
      <c r="B113" s="4" t="inlineStr">
        <is>
          <t>Decisión</t>
        </is>
      </c>
      <c r="C113" s="4" t="inlineStr">
        <is>
          <t>Admin</t>
        </is>
      </c>
      <c r="D113" s="7" t="inlineStr">
        <is>
          <t>Preguntas sobre el rol secretario (¿ve Asociados/Créditos en solo lectura?)</t>
        </is>
      </c>
      <c r="E113" s="7" t="inlineStr">
        <is>
          <t>Cooperativa</t>
        </is>
      </c>
      <c r="F113" s="8" t="inlineStr">
        <is>
          <t>Media</t>
        </is>
      </c>
      <c r="G113" s="8" t="inlineStr">
        <is>
          <t>Hecho</t>
        </is>
      </c>
      <c r="H113" s="8" t="inlineStr">
        <is>
          <t>4.20</t>
        </is>
      </c>
      <c r="I113" s="21">
        <f>IFERROR(INDEX(Plan!$B$5:$B$117,MATCH(H113,Plan!$A$5:$A$117,0)),"—")</f>
        <v/>
      </c>
      <c r="J113" s="7" t="inlineStr"/>
    </row>
    <row r="114">
      <c r="A114" s="19" t="inlineStr">
        <is>
          <t>P-120</t>
        </is>
      </c>
      <c r="B114" s="4" t="inlineStr">
        <is>
          <t>Decisión</t>
        </is>
      </c>
      <c r="C114" s="4" t="inlineStr">
        <is>
          <t>Admin</t>
        </is>
      </c>
      <c r="D114" s="7" t="inlineStr">
        <is>
          <t>¿Se borran los comprobantes de desembolso al eliminar definitivamente a un asociado?</t>
        </is>
      </c>
      <c r="E114" s="7" t="inlineStr">
        <is>
          <t>Cooperativa</t>
        </is>
      </c>
      <c r="F114" s="8" t="inlineStr">
        <is>
          <t>Media</t>
        </is>
      </c>
      <c r="G114" s="8" t="inlineStr">
        <is>
          <t>Hecho</t>
        </is>
      </c>
      <c r="H114" s="8" t="inlineStr">
        <is>
          <t>4.19</t>
        </is>
      </c>
      <c r="I114" s="21">
        <f>IFERROR(INDEX(Plan!$B$5:$B$117,MATCH(H114,Plan!$A$5:$A$117,0)),"—")</f>
        <v/>
      </c>
      <c r="J114" s="7" t="inlineStr"/>
    </row>
    <row r="115">
      <c r="A115" s="19" t="inlineStr">
        <is>
          <t>P-122</t>
        </is>
      </c>
      <c r="B115" s="4" t="inlineStr">
        <is>
          <t>Decisión</t>
        </is>
      </c>
      <c r="C115" s="4" t="inlineStr">
        <is>
          <t>/cuenta</t>
        </is>
      </c>
      <c r="D115" s="7" t="inlineStr">
        <is>
          <t>Moderación de las fotos que sube el asociado al carné</t>
        </is>
      </c>
      <c r="E115" s="7" t="inlineStr">
        <is>
          <t>Cooperativa</t>
        </is>
      </c>
      <c r="F115" s="8" t="inlineStr">
        <is>
          <t>Media</t>
        </is>
      </c>
      <c r="G115" s="8" t="inlineStr">
        <is>
          <t>Hecho</t>
        </is>
      </c>
      <c r="H115" s="8" t="inlineStr">
        <is>
          <t>5.15</t>
        </is>
      </c>
      <c r="I115" s="21">
        <f>IFERROR(INDEX(Plan!$B$5:$B$117,MATCH(H115,Plan!$A$5:$A$117,0)),"—")</f>
        <v/>
      </c>
      <c r="J115" s="7" t="inlineStr"/>
    </row>
    <row r="116">
      <c r="A116" s="19" t="inlineStr">
        <is>
          <t>P-65</t>
        </is>
      </c>
      <c r="B116" s="4" t="inlineStr">
        <is>
          <t>Decisión</t>
        </is>
      </c>
      <c r="C116" s="4" t="inlineStr">
        <is>
          <t>Sorteo</t>
        </is>
      </c>
      <c r="D116" s="7" t="inlineStr">
        <is>
          <t>Decidir si un admin o un asesor pueden participar en el sorteo mensual</t>
        </is>
      </c>
      <c r="E116" s="7" t="inlineStr">
        <is>
          <t>Cooperativa</t>
        </is>
      </c>
      <c r="F116" s="8" t="inlineStr">
        <is>
          <t>Media</t>
        </is>
      </c>
      <c r="G116" s="8" t="inlineStr">
        <is>
          <t>Hecho</t>
        </is>
      </c>
      <c r="H116" s="8" t="inlineStr">
        <is>
          <t>3.9</t>
        </is>
      </c>
      <c r="I116" s="21">
        <f>IFERROR(INDEX(Plan!$B$5:$B$117,MATCH(H116,Plan!$A$5:$A$117,0)),"—")</f>
        <v/>
      </c>
      <c r="J116" s="7" t="inlineStr">
        <is>
          <t>Sugerido por ga-revisor-seguridad el 24-sep. 24-sep: decidido que solo participan asociados (S-13, ya implementado en participarSorteo).</t>
        </is>
      </c>
    </row>
    <row r="117">
      <c r="A117" s="19" t="inlineStr">
        <is>
          <t>P-95</t>
        </is>
      </c>
      <c r="B117" s="4" t="inlineStr">
        <is>
          <t>Decisión</t>
        </is>
      </c>
      <c r="C117" s="4" t="inlineStr">
        <is>
          <t>Admin</t>
        </is>
      </c>
      <c r="D117" s="7" t="inlineStr">
        <is>
          <t>Botón «Escribir por WhatsApp» en el detalle de afiliación del admin</t>
        </is>
      </c>
      <c r="E117" s="7" t="inlineStr">
        <is>
          <t>Cooperativa</t>
        </is>
      </c>
      <c r="F117" s="8" t="inlineStr">
        <is>
          <t>Media</t>
        </is>
      </c>
      <c r="G117" s="8" t="inlineStr">
        <is>
          <t>Hecho</t>
        </is>
      </c>
      <c r="H117" s="8" t="inlineStr">
        <is>
          <t>4.11</t>
        </is>
      </c>
      <c r="I117" s="21">
        <f>IFERROR(INDEX(Plan!$B$5:$B$117,MATCH(H117,Plan!$A$5:$A$117,0)),"—")</f>
        <v/>
      </c>
      <c r="J117"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18">
      <c r="A118" s="19" t="inlineStr">
        <is>
          <t>P-96</t>
        </is>
      </c>
      <c r="B118" s="4" t="inlineStr">
        <is>
          <t>Decisión</t>
        </is>
      </c>
      <c r="C118" s="4" t="inlineStr">
        <is>
          <t>Admin</t>
        </is>
      </c>
      <c r="D118" s="7" t="inlineStr">
        <is>
          <t>Asignar/desactivar el asesor de un asociado (proceso sin definir)</t>
        </is>
      </c>
      <c r="E118" s="7" t="inlineStr">
        <is>
          <t>Cooperativa</t>
        </is>
      </c>
      <c r="F118" s="8" t="inlineStr">
        <is>
          <t>Media</t>
        </is>
      </c>
      <c r="G118" s="8" t="inlineStr">
        <is>
          <t>Hecho</t>
        </is>
      </c>
      <c r="H118" s="8" t="inlineStr">
        <is>
          <t>4.11</t>
        </is>
      </c>
      <c r="I118" s="21">
        <f>IFERROR(INDEX(Plan!$B$5:$B$117,MATCH(H118,Plan!$A$5:$A$117,0)),"—")</f>
        <v/>
      </c>
      <c r="J118"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19">
      <c r="A119" s="19" t="inlineStr">
        <is>
          <t>P-97</t>
        </is>
      </c>
      <c r="B119" s="4" t="inlineStr">
        <is>
          <t>Decisión</t>
        </is>
      </c>
      <c r="C119" s="4" t="inlineStr">
        <is>
          <t>Admin</t>
        </is>
      </c>
      <c r="D119" s="7" t="inlineStr">
        <is>
          <t>Motivo de rechazo visible en el detalle de afiliación (requiere migración)</t>
        </is>
      </c>
      <c r="E119" s="7" t="inlineStr">
        <is>
          <t>Cooperativa</t>
        </is>
      </c>
      <c r="F119" s="8" t="inlineStr">
        <is>
          <t>Media</t>
        </is>
      </c>
      <c r="G119" s="8" t="inlineStr">
        <is>
          <t>Hecho</t>
        </is>
      </c>
      <c r="H119" s="8" t="inlineStr">
        <is>
          <t>4.11</t>
        </is>
      </c>
      <c r="I119" s="21">
        <f>IFERROR(INDEX(Plan!$B$5:$B$117,MATCH(H119,Plan!$A$5:$A$117,0)),"—")</f>
        <v/>
      </c>
      <c r="J119"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20">
      <c r="A120" s="19" t="inlineStr">
        <is>
          <t>P-01</t>
        </is>
      </c>
      <c r="B120" s="4" t="inlineStr">
        <is>
          <t>Decisión</t>
        </is>
      </c>
      <c r="C120" s="4" t="inlineStr">
        <is>
          <t>General</t>
        </is>
      </c>
      <c r="D120" s="7" t="inlineStr">
        <is>
          <t>Color de error #B3261E</t>
        </is>
      </c>
      <c r="E120" s="7" t="inlineStr">
        <is>
          <t>Yo</t>
        </is>
      </c>
      <c r="F120" s="8" t="inlineStr">
        <is>
          <t>Baja</t>
        </is>
      </c>
      <c r="G120" s="8" t="inlineStr">
        <is>
          <t>Hecho</t>
        </is>
      </c>
      <c r="H120" s="8" t="inlineStr">
        <is>
          <t>—</t>
        </is>
      </c>
      <c r="I120" s="21">
        <f>IFERROR(INDEX(Plan!$B$5:$B$117,MATCH(H120,Plan!$A$5:$A$117,0)),"—")</f>
        <v/>
      </c>
      <c r="J120" s="7" t="inlineStr">
        <is>
          <t>Se deja.</t>
        </is>
      </c>
    </row>
    <row r="121">
      <c r="A121" s="19" t="inlineStr">
        <is>
          <t>P-03</t>
        </is>
      </c>
      <c r="B121" s="4" t="inlineStr">
        <is>
          <t>Decisión</t>
        </is>
      </c>
      <c r="C121" s="4" t="inlineStr">
        <is>
          <t>/cuenta</t>
        </is>
      </c>
      <c r="D121" s="7" t="inlineStr">
        <is>
          <t>Estado vacío de «Tu solicitud»</t>
        </is>
      </c>
      <c r="E121" s="7" t="inlineStr">
        <is>
          <t>Yo</t>
        </is>
      </c>
      <c r="F121" s="8" t="inlineStr">
        <is>
          <t>Baja</t>
        </is>
      </c>
      <c r="G121" s="8" t="inlineStr">
        <is>
          <t>Hecho</t>
        </is>
      </c>
      <c r="H121" s="8" t="inlineStr">
        <is>
          <t>3.4</t>
        </is>
      </c>
      <c r="I121" s="21">
        <f>IFERROR(INDEX(Plan!$B$5:$B$117,MATCH(H121,Plan!$A$5:$A$117,0)),"—")</f>
        <v/>
      </c>
      <c r="J121" s="7" t="inlineStr">
        <is>
          <t>Ver con /cuenta?vacio=1.</t>
        </is>
      </c>
    </row>
    <row r="122">
      <c r="A122" s="19" t="inlineStr">
        <is>
          <t>P-04</t>
        </is>
      </c>
      <c r="B122" s="4" t="inlineStr">
        <is>
          <t>Decisión</t>
        </is>
      </c>
      <c r="C122" s="4" t="inlineStr">
        <is>
          <t>General</t>
        </is>
      </c>
      <c r="D122" s="7" t="inlineStr">
        <is>
          <t>Logo en celular como enlace a la landing</t>
        </is>
      </c>
      <c r="E122" s="7" t="inlineStr">
        <is>
          <t>Yo</t>
        </is>
      </c>
      <c r="F122" s="8" t="inlineStr">
        <is>
          <t>Baja</t>
        </is>
      </c>
      <c r="G122" s="8" t="inlineStr">
        <is>
          <t>Hecho</t>
        </is>
      </c>
      <c r="H122" s="8" t="inlineStr">
        <is>
          <t>—</t>
        </is>
      </c>
      <c r="I122" s="21">
        <f>IFERROR(INDEX(Plan!$B$5:$B$117,MATCH(H122,Plan!$A$5:$A$117,0)),"—")</f>
        <v/>
      </c>
      <c r="J122" s="7" t="inlineStr"/>
    </row>
    <row r="123">
      <c r="A123" s="19" t="inlineStr">
        <is>
          <t>P-05</t>
        </is>
      </c>
      <c r="B123" s="4" t="inlineStr">
        <is>
          <t>Decisión</t>
        </is>
      </c>
      <c r="C123" s="4" t="inlineStr">
        <is>
          <t>General</t>
        </is>
      </c>
      <c r="D123" s="7" t="inlineStr">
        <is>
          <t>Escudo: public/logos/vector/green-alliance-logo.svg</t>
        </is>
      </c>
      <c r="E123" s="7" t="inlineStr">
        <is>
          <t>Yo</t>
        </is>
      </c>
      <c r="F123" s="8" t="inlineStr">
        <is>
          <t>Baja</t>
        </is>
      </c>
      <c r="G123" s="8" t="inlineStr">
        <is>
          <t>Hecho</t>
        </is>
      </c>
      <c r="H123" s="8" t="inlineStr">
        <is>
          <t>—</t>
        </is>
      </c>
      <c r="I123" s="21">
        <f>IFERROR(INDEX(Plan!$B$5:$B$117,MATCH(H123,Plan!$A$5:$A$117,0)),"—")</f>
        <v/>
      </c>
      <c r="J123" s="7" t="inlineStr"/>
    </row>
    <row r="124">
      <c r="A124" s="19" t="inlineStr">
        <is>
          <t>P-06</t>
        </is>
      </c>
      <c r="B124" s="4" t="inlineStr">
        <is>
          <t>Decisión</t>
        </is>
      </c>
      <c r="C124" s="4" t="inlineStr">
        <is>
          <t>/ingresar</t>
        </is>
      </c>
      <c r="D124" s="7" t="inlineStr">
        <is>
          <t>Formulario de ingreso entre 640 y 767 px (columna de 440 px)</t>
        </is>
      </c>
      <c r="E124" s="7" t="inlineStr">
        <is>
          <t>Yo</t>
        </is>
      </c>
      <c r="F124" s="8" t="inlineStr">
        <is>
          <t>Baja</t>
        </is>
      </c>
      <c r="G124" s="8" t="inlineStr">
        <is>
          <t>Hecho</t>
        </is>
      </c>
      <c r="H124" s="8" t="inlineStr">
        <is>
          <t>5.2</t>
        </is>
      </c>
      <c r="I124" s="21">
        <f>IFERROR(INDEX(Plan!$B$5:$B$117,MATCH(H124,Plan!$A$5:$A$117,0)),"—")</f>
        <v/>
      </c>
      <c r="J124" s="7" t="inlineStr"/>
    </row>
    <row r="125">
      <c r="A125" s="19" t="inlineStr">
        <is>
          <t>P-07</t>
        </is>
      </c>
      <c r="B125" s="4" t="inlineStr">
        <is>
          <t>Decisión</t>
        </is>
      </c>
      <c r="C125" s="4" t="inlineStr">
        <is>
          <t>/ingresar</t>
        </is>
      </c>
      <c r="D125" s="7" t="inlineStr">
        <is>
          <t>Panel verde en tableta (640–1023 px) centrado</t>
        </is>
      </c>
      <c r="E125" s="7" t="inlineStr">
        <is>
          <t>Yo</t>
        </is>
      </c>
      <c r="F125" s="8" t="inlineStr">
        <is>
          <t>Baja</t>
        </is>
      </c>
      <c r="G125" s="8" t="inlineStr">
        <is>
          <t>Hecho</t>
        </is>
      </c>
      <c r="H125" s="8" t="inlineStr">
        <is>
          <t>5.2</t>
        </is>
      </c>
      <c r="I125" s="21">
        <f>IFERROR(INDEX(Plan!$B$5:$B$117,MATCH(H125,Plan!$A$5:$A$117,0)),"—")</f>
        <v/>
      </c>
      <c r="J125" s="7" t="inlineStr"/>
    </row>
    <row r="126">
      <c r="A126" s="19" t="inlineStr">
        <is>
          <t>P-103</t>
        </is>
      </c>
      <c r="B126" s="4" t="inlineStr">
        <is>
          <t>Decisión</t>
        </is>
      </c>
      <c r="C126" s="4" t="inlineStr">
        <is>
          <t>Landing</t>
        </is>
      </c>
      <c r="D126" s="7" t="inlineStr">
        <is>
          <t>D-07: ¿se mantiene la sección de testimonios de la landing? si sí, falta su diseño en la pieza 2a y de dónde salen los testimonios reales</t>
        </is>
      </c>
      <c r="E126" s="7" t="inlineStr">
        <is>
          <t>Cooperativa</t>
        </is>
      </c>
      <c r="F126" s="8" t="inlineStr">
        <is>
          <t>Baja</t>
        </is>
      </c>
      <c r="G126" s="8" t="inlineStr">
        <is>
          <t>Hecho</t>
        </is>
      </c>
      <c r="H126" s="8" t="inlineStr">
        <is>
          <t>2.14</t>
        </is>
      </c>
      <c r="I126" s="21">
        <f>IFERROR(INDEX(Plan!$B$5:$B$117,MATCH(H126,Plan!$A$5:$A$117,0)),"—")</f>
        <v/>
      </c>
      <c r="J126" s="7" t="inlineStr">
        <is>
          <t>27-sep: pedido de diseño nuevo de ga-verificador-qa (la sección no tiene respaldo en la pieza 2a del lienzo). Relacionado con P-16 (fotos/cifras/testimonios reales, 5.3). 27-sep: Sebas decidió quitar la sección de testimonios de la landing (commit 4c63924).</t>
        </is>
      </c>
    </row>
    <row r="127">
      <c r="A127" s="19" t="inlineStr">
        <is>
          <t>P-115</t>
        </is>
      </c>
      <c r="B127" s="4" t="inlineStr">
        <is>
          <t>Decisión</t>
        </is>
      </c>
      <c r="C127" s="4" t="inlineStr">
        <is>
          <t>/cuenta</t>
        </is>
      </c>
      <c r="D127" s="7" t="inlineStr">
        <is>
          <t>¿El carné virtual lleva un código QR?</t>
        </is>
      </c>
      <c r="E127" s="7" t="inlineStr">
        <is>
          <t>Cooperativa</t>
        </is>
      </c>
      <c r="F127" s="8" t="inlineStr">
        <is>
          <t>Baja</t>
        </is>
      </c>
      <c r="G127" s="8" t="inlineStr">
        <is>
          <t>Hecho</t>
        </is>
      </c>
      <c r="H127" s="8" t="inlineStr">
        <is>
          <t>5.12</t>
        </is>
      </c>
      <c r="I127" s="21">
        <f>IFERROR(INDEX(Plan!$B$5:$B$117,MATCH(H127,Plan!$A$5:$A$117,0)),"—")</f>
        <v/>
      </c>
      <c r="J127" s="7" t="inlineStr">
        <is>
          <t>01-oct: planteado por ga-disenador-lienzo al maquetar 3u. 01-oct: el carné lleva QR con /verificar/[token] (5.14).</t>
        </is>
      </c>
    </row>
    <row r="128">
      <c r="A128" s="19" t="inlineStr">
        <is>
          <t>P-121</t>
        </is>
      </c>
      <c r="B128" s="4" t="inlineStr">
        <is>
          <t>Decisión</t>
        </is>
      </c>
      <c r="C128" s="4" t="inlineStr">
        <is>
          <t>/cuenta</t>
        </is>
      </c>
      <c r="D128" s="7" t="inlineStr">
        <is>
          <t>¿El carné sin foto lleva una silueta?</t>
        </is>
      </c>
      <c r="E128" s="7" t="inlineStr">
        <is>
          <t>Cooperativa</t>
        </is>
      </c>
      <c r="F128" s="8" t="inlineStr">
        <is>
          <t>Baja</t>
        </is>
      </c>
      <c r="G128" s="8" t="inlineStr">
        <is>
          <t>Hecho</t>
        </is>
      </c>
      <c r="H128" s="8" t="inlineStr">
        <is>
          <t>5.15</t>
        </is>
      </c>
      <c r="I128" s="21">
        <f>IFERROR(INDEX(Plan!$B$5:$B$117,MATCH(H128,Plan!$A$5:$A$117,0)),"—")</f>
        <v/>
      </c>
      <c r="J128" s="7" t="inlineStr"/>
    </row>
    <row r="129">
      <c r="A129" s="19" t="inlineStr">
        <is>
          <t>P-125</t>
        </is>
      </c>
      <c r="B129" s="4" t="inlineStr">
        <is>
          <t>Decisión</t>
        </is>
      </c>
      <c r="C129" s="4" t="inlineStr">
        <is>
          <t>/verificar</t>
        </is>
      </c>
      <c r="D129" s="7" t="inlineStr">
        <is>
          <t>¿El nombre completo del asociado puede verse públicamente en /verificar?</t>
        </is>
      </c>
      <c r="E129" s="7" t="inlineStr">
        <is>
          <t>Cooperativa</t>
        </is>
      </c>
      <c r="F129" s="8" t="inlineStr">
        <is>
          <t>Baja</t>
        </is>
      </c>
      <c r="G129" s="8" t="inlineStr">
        <is>
          <t>Hecho</t>
        </is>
      </c>
      <c r="H129" s="8" t="inlineStr">
        <is>
          <t>5.14</t>
        </is>
      </c>
      <c r="I129" s="21">
        <f>IFERROR(INDEX(Plan!$B$5:$B$117,MATCH(H129,Plan!$A$5:$A$117,0)),"—")</f>
        <v/>
      </c>
      <c r="J129" s="7" t="inlineStr">
        <is>
          <t>01-oct: planteado por ga-revisor-seguridad.</t>
        </is>
      </c>
    </row>
    <row r="130">
      <c r="A130" s="19" t="inlineStr">
        <is>
          <t>P-53</t>
        </is>
      </c>
      <c r="B130" s="4" t="inlineStr">
        <is>
          <t>Decisión</t>
        </is>
      </c>
      <c r="C130" s="4" t="inlineStr">
        <is>
          <t>Landing</t>
        </is>
      </c>
      <c r="D130" s="7" t="inlineStr">
        <is>
          <t>A 320 px la línea «COOPERATIVA» del logo mide ~5 px de alto (opcional: ocultarla o achicar «Ingresar» bajo 360 px)</t>
        </is>
      </c>
      <c r="E130" s="7" t="inlineStr">
        <is>
          <t>Yo</t>
        </is>
      </c>
      <c r="F130" s="8" t="inlineStr">
        <is>
          <t>Baja</t>
        </is>
      </c>
      <c r="G130" s="8" t="inlineStr">
        <is>
          <t>Hecho</t>
        </is>
      </c>
      <c r="H130" s="8" t="inlineStr">
        <is>
          <t>—</t>
        </is>
      </c>
      <c r="I130" s="21">
        <f>IFERROR(INDEX(Plan!$B$5:$B$117,MATCH(H130,Plan!$A$5:$A$117,0)),"—")</f>
        <v/>
      </c>
      <c r="J130" s="7" t="inlineStr">
        <is>
          <t>Menor y opcional, reportado por ga-verificador-responsive el 23-sep. 01-oct: el logo horizontal oculta «COOPERATIVA» bajo 360 px.</t>
        </is>
      </c>
    </row>
    <row r="131">
      <c r="A131" s="19" t="inlineStr">
        <is>
          <t>P-126</t>
        </is>
      </c>
      <c r="B131" s="4" t="inlineStr">
        <is>
          <t>Seguridad</t>
        </is>
      </c>
      <c r="C131" s="4" t="inlineStr">
        <is>
          <t>Landing / convenios</t>
        </is>
      </c>
      <c r="D131" s="7" t="inlineStr">
        <is>
          <t>H-01: el WhatsApp de convenios llega al navegador en la landing y anon puede leer telefono_contacto de la API</t>
        </is>
      </c>
      <c r="E131" s="7" t="inlineStr">
        <is>
          <t>ga-funcionalidad-botones</t>
        </is>
      </c>
      <c r="F131" s="8" t="inlineStr">
        <is>
          <t>Alta</t>
        </is>
      </c>
      <c r="G131" s="8" t="inlineStr">
        <is>
          <t>Hecho</t>
        </is>
      </c>
      <c r="H131" s="8" t="inlineStr">
        <is>
          <t>6.32</t>
        </is>
      </c>
      <c r="I131" s="21">
        <f>IFERROR(INDEX(Plan!$B$5:$B$117,MATCH(H131,Plan!$A$5:$A$117,0)),"—")</f>
        <v/>
      </c>
      <c r="J131" s="7" t="inlineStr">
        <is>
          <t>08-oct: ga-revisor-seguridad. 09-oct: Hecho en código; falta aplicar la migración 20261009000000 (P-138) y desplegar (P-139).</t>
        </is>
      </c>
    </row>
    <row r="132">
      <c r="A132" s="19" t="inlineStr">
        <is>
          <t>P-101</t>
        </is>
      </c>
      <c r="B132" s="4" t="inlineStr">
        <is>
          <t>Seguridad</t>
        </is>
      </c>
      <c r="C132" s="4" t="inlineStr">
        <is>
          <t>Admin</t>
        </is>
      </c>
      <c r="D132" s="7" t="inlineStr">
        <is>
          <t>H2/M-01: cédula sin enmascarar de las «hermanas» en el detalle de afiliación viajaba completa a un client component</t>
        </is>
      </c>
      <c r="E132" s="7" t="inlineStr">
        <is>
          <t>sesión principal</t>
        </is>
      </c>
      <c r="F132" s="8" t="inlineStr">
        <is>
          <t>Media</t>
        </is>
      </c>
      <c r="G132" s="8" t="inlineStr">
        <is>
          <t>Hecho</t>
        </is>
      </c>
      <c r="H132" s="8" t="inlineStr">
        <is>
          <t>4.11</t>
        </is>
      </c>
      <c r="I132" s="21">
        <f>IFERROR(INDEX(Plan!$B$5:$B$117,MATCH(H132,Plan!$A$5:$A$117,0)),"—")</f>
        <v/>
      </c>
      <c r="J132"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3">
      <c r="A133" s="19" t="inlineStr">
        <is>
          <t>P-127</t>
        </is>
      </c>
      <c r="B133" s="4" t="inlineStr">
        <is>
          <t>Seguridad</t>
        </is>
      </c>
      <c r="C133" s="4" t="inlineStr">
        <is>
          <t>Cuenta</t>
        </is>
      </c>
      <c r="D133" s="7" t="inlineStr">
        <is>
          <t>H-02: la cédula enmascarada se reconstruye buscando fragmentos (buscar_asociados_general); exigir coincidencia exacta y bajar el límite</t>
        </is>
      </c>
      <c r="E133" s="7" t="inlineStr">
        <is>
          <t>ga-funcionalidad-botones</t>
        </is>
      </c>
      <c r="F133" s="8" t="inlineStr">
        <is>
          <t>Media</t>
        </is>
      </c>
      <c r="G133" s="8" t="inlineStr">
        <is>
          <t>Hecho</t>
        </is>
      </c>
      <c r="H133" s="8" t="inlineStr">
        <is>
          <t>6.33</t>
        </is>
      </c>
      <c r="I133" s="21">
        <f>IFERROR(INDEX(Plan!$B$5:$B$117,MATCH(H133,Plan!$A$5:$A$117,0)),"—")</f>
        <v/>
      </c>
      <c r="J133" s="7" t="inlineStr">
        <is>
          <t>08-oct: ga-revisor-seguridad. 09-oct: Hecho en código; falta aplicar la migración 20261009000000 (P-138) y desplegar (P-139).</t>
        </is>
      </c>
    </row>
    <row r="134">
      <c r="A134" s="19" t="inlineStr">
        <is>
          <t>P-128</t>
        </is>
      </c>
      <c r="B134" s="4" t="inlineStr">
        <is>
          <t>Seguridad</t>
        </is>
      </c>
      <c r="C134" s="4" t="inlineStr">
        <is>
          <t>Base de datos</t>
        </is>
      </c>
      <c r="D134" s="7" t="inlineStr">
        <is>
          <t>H-03: un solo admin puede poner su correo en la cuenta de un asociado vía recuperación; atar el cambio al correo_nuevo de la solicitud</t>
        </is>
      </c>
      <c r="E134" s="7" t="inlineStr">
        <is>
          <t>ga-auditor-supabase</t>
        </is>
      </c>
      <c r="F134" s="8" t="inlineStr">
        <is>
          <t>Media</t>
        </is>
      </c>
      <c r="G134" s="8" t="inlineStr">
        <is>
          <t>Hecho</t>
        </is>
      </c>
      <c r="H134" s="8" t="inlineStr">
        <is>
          <t>6.33</t>
        </is>
      </c>
      <c r="I134" s="21">
        <f>IFERROR(INDEX(Plan!$B$5:$B$117,MATCH(H134,Plan!$A$5:$A$117,0)),"—")</f>
        <v/>
      </c>
      <c r="J134" s="7" t="inlineStr">
        <is>
          <t>08-oct: ga-revisor-seguridad. 09-oct: Hecho en código; falta aplicar la migración 20261009000000 (P-138) y desplegar (P-139).</t>
        </is>
      </c>
    </row>
    <row r="135">
      <c r="A135" s="19" t="inlineStr">
        <is>
          <t>P-129</t>
        </is>
      </c>
      <c r="B135" s="4" t="inlineStr">
        <is>
          <t>Seguridad</t>
        </is>
      </c>
      <c r="C135" s="4" t="inlineStr">
        <is>
          <t>Revisión 8-oct</t>
        </is>
      </c>
      <c r="D135" s="7" t="inlineStr">
        <is>
          <t>H-04: la verificación pública del QR muestra la foto del asociado (dato sensible); decisión de Sebas</t>
        </is>
      </c>
      <c r="E135" s="7" t="inlineStr">
        <is>
          <t>ga-revisor-seguridad</t>
        </is>
      </c>
      <c r="F135" s="8" t="inlineStr">
        <is>
          <t>Media</t>
        </is>
      </c>
      <c r="G135" s="8" t="inlineStr">
        <is>
          <t>Hecho</t>
        </is>
      </c>
      <c r="H135" s="8" t="inlineStr">
        <is>
          <t>6.33</t>
        </is>
      </c>
      <c r="I135" s="21">
        <f>IFERROR(INDEX(Plan!$B$5:$B$117,MATCH(H135,Plan!$A$5:$A$117,0)),"—")</f>
        <v/>
      </c>
      <c r="J135" s="7" t="inlineStr">
        <is>
          <t>08-oct: ga-revisor-seguridad. Descripción en el informe del revisor; no venía en el buzón. 09-oct: cerrado, Sebas decidió dejarla (riesgo aceptado).</t>
        </is>
      </c>
    </row>
    <row r="136">
      <c r="A136" s="19" t="inlineStr">
        <is>
          <t>P-130</t>
        </is>
      </c>
      <c r="B136" s="4" t="inlineStr">
        <is>
          <t>Seguridad</t>
        </is>
      </c>
      <c r="C136" s="4" t="inlineStr">
        <is>
          <t>Revisión 8-oct</t>
        </is>
      </c>
      <c r="D136" s="7" t="inlineStr">
        <is>
          <t>H-05: un tercero con la cédula bloquea la recuperación del asociado (una sola solicitud pendiente por perfil)</t>
        </is>
      </c>
      <c r="E136" s="7" t="inlineStr">
        <is>
          <t>ga-revisor-seguridad</t>
        </is>
      </c>
      <c r="F136" s="8" t="inlineStr">
        <is>
          <t>Media</t>
        </is>
      </c>
      <c r="G136" s="8" t="inlineStr">
        <is>
          <t>Hecho</t>
        </is>
      </c>
      <c r="H136" s="8" t="inlineStr">
        <is>
          <t>6.33</t>
        </is>
      </c>
      <c r="I136" s="21">
        <f>IFERROR(INDEX(Plan!$B$5:$B$117,MATCH(H136,Plan!$A$5:$A$117,0)),"—")</f>
        <v/>
      </c>
      <c r="J136" s="7" t="inlineStr">
        <is>
          <t>08-oct: ga-revisor-seguridad. Descripción en el informe del revisor; no venía en el buzón. 09-oct: Hecho en código; falta aplicar la migración 20261009000000 (P-138) y desplegar (P-139).</t>
        </is>
      </c>
    </row>
    <row r="137">
      <c r="A137" s="19" t="inlineStr">
        <is>
          <t>P-131</t>
        </is>
      </c>
      <c r="B137" s="4" t="inlineStr">
        <is>
          <t>Seguridad</t>
        </is>
      </c>
      <c r="C137" s="4" t="inlineStr">
        <is>
          <t>Dependencias</t>
        </is>
      </c>
      <c r="D137" s="7" t="inlineStr">
        <is>
          <t>H-06: npm audit fix (sharp y source-map-js, 2 altas con arreglo disponible)</t>
        </is>
      </c>
      <c r="E137" s="7" t="inlineStr">
        <is>
          <t>sesión principal</t>
        </is>
      </c>
      <c r="F137" s="8" t="inlineStr">
        <is>
          <t>Media</t>
        </is>
      </c>
      <c r="G137" s="8" t="inlineStr">
        <is>
          <t>Hecho</t>
        </is>
      </c>
      <c r="H137" s="8" t="inlineStr">
        <is>
          <t>6.35</t>
        </is>
      </c>
      <c r="I137" s="21">
        <f>IFERROR(INDEX(Plan!$B$5:$B$117,MATCH(H137,Plan!$A$5:$A$117,0)),"—")</f>
        <v/>
      </c>
      <c r="J137" s="7" t="inlineStr">
        <is>
          <t>08-oct: ga-revisor-seguridad. 09-oct: npm audit fix aplicado, 0 vulnerabilidades en producción (herramientas de desarrollo requieren --force).</t>
        </is>
      </c>
    </row>
    <row r="138">
      <c r="A138" s="19" t="inlineStr">
        <is>
          <t>P-83</t>
        </is>
      </c>
      <c r="B138" s="4" t="inlineStr">
        <is>
          <t>Seguridad</t>
        </is>
      </c>
      <c r="C138" s="4" t="inlineStr">
        <is>
          <t>Correos</t>
        </is>
      </c>
      <c r="D138" s="7" t="inlineStr">
        <is>
          <t>S-15: escapar/validar HTML en las variables NOMBRE/MOTIVO de los correos de Resend</t>
        </is>
      </c>
      <c r="E138" s="7" t="inlineStr">
        <is>
          <t>ga-funcionalidad-botones</t>
        </is>
      </c>
      <c r="F138" s="8" t="inlineStr">
        <is>
          <t>Media</t>
        </is>
      </c>
      <c r="G138" s="8" t="inlineStr">
        <is>
          <t>Hecho</t>
        </is>
      </c>
      <c r="H138" s="8" t="inlineStr">
        <is>
          <t>6.2</t>
        </is>
      </c>
      <c r="I138" s="21">
        <f>IFERROR(INDEX(Plan!$B$5:$B$117,MATCH(H138,Plan!$A$5:$A$117,0)),"—")</f>
        <v/>
      </c>
      <c r="J138" s="7" t="inlineStr">
        <is>
          <t>25-sep: hallazgo de ga-revisor-seguridad (un admin puede meter HTML en perfiles.nombre_completo o en el motivo de rechazo). Corregido en local con pruebas (tests/unit/correo-resend.test.ts). 25-sep: desplegado con el PR #2 (merge 2c19d02).</t>
        </is>
      </c>
    </row>
    <row r="139">
      <c r="A139" s="19" t="inlineStr">
        <is>
          <t>P-84</t>
        </is>
      </c>
      <c r="B139" s="4" t="inlineStr">
        <is>
          <t>Código</t>
        </is>
      </c>
      <c r="C139" s="4" t="inlineStr">
        <is>
          <t>Configuración</t>
        </is>
      </c>
      <c r="D139" s="7" t="inlineStr">
        <is>
          <t>M-01: el número de WhatsApp se muestra sin espacios por un typo de regex en lib/config.ts</t>
        </is>
      </c>
      <c r="E139" s="7" t="inlineStr">
        <is>
          <t>ga-funcionalidad-botones</t>
        </is>
      </c>
      <c r="F139" s="8" t="inlineStr">
        <is>
          <t>Media</t>
        </is>
      </c>
      <c r="G139" s="8" t="inlineStr">
        <is>
          <t>Hecho</t>
        </is>
      </c>
      <c r="H139" s="8" t="inlineStr">
        <is>
          <t>5.3</t>
        </is>
      </c>
      <c r="I139" s="21">
        <f>IFERROR(INDEX(Plan!$B$5:$B$117,MATCH(H139,Plan!$A$5:$A$117,0)),"—")</f>
        <v/>
      </c>
      <c r="J139" s="7" t="inlineStr">
        <is>
          <t>25-sep: hallazgo de ga-verificador-qa (patrón sin la barra invertida de \D/\d; el enlace wa.me sí funciona). Corregido en local con pruebas (tests/unit/config-whatsapp.test.ts). 25-sep: desplegado con el PR #2 (merge 2c19d02); confirmado en vivo «311 724 1942».</t>
        </is>
      </c>
    </row>
    <row r="140">
      <c r="A140" s="19" t="inlineStr">
        <is>
          <t>P-99</t>
        </is>
      </c>
      <c r="B140" s="4" t="inlineStr">
        <is>
          <t>Seguridad</t>
        </is>
      </c>
      <c r="C140" s="4" t="inlineStr">
        <is>
          <t>/cuenta</t>
        </is>
      </c>
      <c r="D140" s="7" t="inlineStr">
        <is>
          <t>H1: la tasa de interés de la solicitud viajaba en las props de CuentaCliente aunque nunca se renderizara</t>
        </is>
      </c>
      <c r="E140" s="7" t="inlineStr">
        <is>
          <t>sesión principal</t>
        </is>
      </c>
      <c r="F140" s="8" t="inlineStr">
        <is>
          <t>Media</t>
        </is>
      </c>
      <c r="G140" s="8" t="inlineStr">
        <is>
          <t>Hecho</t>
        </is>
      </c>
      <c r="H140" s="8" t="inlineStr">
        <is>
          <t>3.5</t>
        </is>
      </c>
      <c r="I140" s="21">
        <f>IFERROR(INDEX(Plan!$B$5:$B$117,MATCH(H140,Plan!$A$5:$A$117,0)),"—")</f>
        <v/>
      </c>
      <c r="J140"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1">
      <c r="A141" s="19" t="inlineStr">
        <is>
          <t>P-132</t>
        </is>
      </c>
      <c r="B141" s="4" t="inlineStr">
        <is>
          <t>Seguridad</t>
        </is>
      </c>
      <c r="C141" s="4" t="inlineStr">
        <is>
          <t>Revisión 8-oct</t>
        </is>
      </c>
      <c r="D141" s="7" t="inlineStr">
        <is>
          <t>H-07: un admin puede desactivar a otro admin sin control (admin_cambiar_estado_asociado)</t>
        </is>
      </c>
      <c r="E141" s="7" t="inlineStr">
        <is>
          <t>ga-revisor-seguridad</t>
        </is>
      </c>
      <c r="F141" s="8" t="inlineStr">
        <is>
          <t>Baja</t>
        </is>
      </c>
      <c r="G141" s="8" t="inlineStr">
        <is>
          <t>Hecho</t>
        </is>
      </c>
      <c r="H141" s="8" t="inlineStr">
        <is>
          <t>6.34</t>
        </is>
      </c>
      <c r="I141" s="21">
        <f>IFERROR(INDEX(Plan!$B$5:$B$117,MATCH(H141,Plan!$A$5:$A$117,0)),"—")</f>
        <v/>
      </c>
      <c r="J141" s="7" t="inlineStr">
        <is>
          <t>08-oct: ga-revisor-seguridad. Descripción en el informe del revisor; no venía en el buzón. 09-oct: Hecho en código; falta aplicar la migración 20261009000000 (P-138) y desplegar (P-139).</t>
        </is>
      </c>
    </row>
    <row r="142">
      <c r="A142" s="19" t="inlineStr">
        <is>
          <t>P-133</t>
        </is>
      </c>
      <c r="B142" s="4" t="inlineStr">
        <is>
          <t>Seguridad</t>
        </is>
      </c>
      <c r="C142" s="4" t="inlineStr">
        <is>
          <t>Revisión 8-oct</t>
        </is>
      </c>
      <c r="D142" s="7" t="inlineStr">
        <is>
          <t>H-09: fotos-carne huérfanas por URLs de subida sin confirmar; agregarlas al cron</t>
        </is>
      </c>
      <c r="E142" s="7" t="inlineStr">
        <is>
          <t>ga-revisor-seguridad</t>
        </is>
      </c>
      <c r="F142" s="8" t="inlineStr">
        <is>
          <t>Baja</t>
        </is>
      </c>
      <c r="G142" s="8" t="inlineStr">
        <is>
          <t>Hecho</t>
        </is>
      </c>
      <c r="H142" s="8" t="inlineStr">
        <is>
          <t>6.34</t>
        </is>
      </c>
      <c r="I142" s="21">
        <f>IFERROR(INDEX(Plan!$B$5:$B$117,MATCH(H142,Plan!$A$5:$A$117,0)),"—")</f>
        <v/>
      </c>
      <c r="J142" s="7" t="inlineStr">
        <is>
          <t>08-oct: ga-revisor-seguridad. Descripción en el informe del revisor; no venía en el buzón. 09-oct: Hecho en código; falta aplicar la migración 20261009000000 (P-138) y desplegar (P-139). H-09 rehecho con la RPC fotos_carne_huerfanas.</t>
        </is>
      </c>
    </row>
    <row r="143">
      <c r="A143" s="19" t="inlineStr">
        <is>
          <t>P-134</t>
        </is>
      </c>
      <c r="B143" s="4" t="inlineStr">
        <is>
          <t>Seguridad</t>
        </is>
      </c>
      <c r="C143" s="4" t="inlineStr">
        <is>
          <t>Revisión 8-oct</t>
        </is>
      </c>
      <c r="D143" s="7" t="inlineStr">
        <is>
          <t>H-10: regex de rutaEsDeSolicitud con el punto mal escapado en lib/comprobantes.ts (no explotable)</t>
        </is>
      </c>
      <c r="E143" s="7" t="inlineStr">
        <is>
          <t>ga-revisor-seguridad</t>
        </is>
      </c>
      <c r="F143" s="8" t="inlineStr">
        <is>
          <t>Baja</t>
        </is>
      </c>
      <c r="G143" s="8" t="inlineStr">
        <is>
          <t>Hecho</t>
        </is>
      </c>
      <c r="H143" s="8" t="inlineStr">
        <is>
          <t>6.34</t>
        </is>
      </c>
      <c r="I143" s="21">
        <f>IFERROR(INDEX(Plan!$B$5:$B$117,MATCH(H143,Plan!$A$5:$A$117,0)),"—")</f>
        <v/>
      </c>
      <c r="J143" s="7" t="inlineStr">
        <is>
          <t>08-oct: ga-revisor-seguridad. Descripción en el informe del revisor; no venía en el buzón. 09-oct: Hecho en código; falta aplicar la migración 20261009000000 (P-138) y desplegar (P-139).</t>
        </is>
      </c>
    </row>
    <row r="144">
      <c r="A144" s="19" t="inlineStr">
        <is>
          <t>P-88</t>
        </is>
      </c>
      <c r="B144" s="4" t="inlineStr">
        <is>
          <t>Base de datos</t>
        </is>
      </c>
      <c r="C144" s="4" t="inlineStr">
        <is>
          <t>Seguridad</t>
        </is>
      </c>
      <c r="D144" s="7" t="inlineStr">
        <is>
          <t>F2-08: tr_componer_nombre_afiliacion no cubre el update directo de solicitudes_afiliacion.nombre por un admin</t>
        </is>
      </c>
      <c r="E144" s="7" t="inlineStr">
        <is>
          <t>ga-auditor-supabase</t>
        </is>
      </c>
      <c r="F144" s="8" t="inlineStr">
        <is>
          <t>Baja</t>
        </is>
      </c>
      <c r="G144" s="8" t="inlineStr">
        <is>
          <t>Hecho</t>
        </is>
      </c>
      <c r="H144" s="8" t="inlineStr">
        <is>
          <t>1.6</t>
        </is>
      </c>
      <c r="I144" s="21">
        <f>IFERROR(INDEX(Plan!$B$5:$B$117,MATCH(H144,Plan!$A$5:$A$117,0)),"—")</f>
        <v/>
      </c>
      <c r="J144"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4"/>
  <conditionalFormatting sqref="G5:G144">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4">
    <cfRule type="expression" priority="5" dxfId="5">
      <formula>$F5="Alta"</formula>
    </cfRule>
    <cfRule type="expression" priority="6" dxfId="6">
      <formula>$F5="Media"</formula>
    </cfRule>
    <cfRule type="expression" priority="7" dxfId="7">
      <formula>$F5="Baja"</formula>
    </cfRule>
  </conditionalFormatting>
  <conditionalFormatting sqref="A5:F144">
    <cfRule type="expression" priority="8" dxfId="8">
      <formula>$G5="Hecho"</formula>
    </cfRule>
  </conditionalFormatting>
  <dataValidations count="2">
    <dataValidation sqref="G5:G144" showDropDown="0" showInputMessage="0" showErrorMessage="0" allowBlank="0" type="list">
      <formula1>"Hecho,En curso,Pendiente,Bloqueado"</formula1>
    </dataValidation>
    <dataValidation sqref="F5:F144"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2.6, 2.7, 1.7</t>
        </is>
      </c>
      <c r="I9" s="18" t="inlineStr">
        <is>
          <t>B</t>
        </is>
      </c>
      <c r="J9" s="8" t="n">
        <v>4</v>
      </c>
      <c r="K9" s="8" t="n">
        <v>13</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6.16, 6.19, 6.38</t>
        </is>
      </c>
      <c r="I10" s="18" t="inlineStr">
        <is>
          <t>B</t>
        </is>
      </c>
      <c r="J10" s="8" t="n">
        <v>18</v>
      </c>
      <c r="K10" s="8" t="n">
        <v>33</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1.5</t>
        </is>
      </c>
      <c r="I11" s="18" t="inlineStr">
        <is>
          <t>A</t>
        </is>
      </c>
      <c r="J11" s="8" t="n">
        <v>6</v>
      </c>
      <c r="K11" s="8" t="n">
        <v>16</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A</t>
        </is>
      </c>
      <c r="J12" s="8" t="n">
        <v>36</v>
      </c>
      <c r="K12" s="8" t="n">
        <v>36</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2.2, 2.5</t>
        </is>
      </c>
      <c r="I13" s="18" t="inlineStr">
        <is>
          <t>B</t>
        </is>
      </c>
      <c r="J13" s="8" t="n">
        <v>6</v>
      </c>
      <c r="K13" s="8" t="n">
        <v>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4.11, 2.8</t>
        </is>
      </c>
      <c r="I15" s="18" t="inlineStr">
        <is>
          <t>B</t>
        </is>
      </c>
      <c r="J15" s="8" t="n">
        <v>6</v>
      </c>
      <c r="K15" s="8" t="n">
        <v>24</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3.1, 1.5</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1.5</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2.3</t>
        </is>
      </c>
      <c r="I20" s="18" t="inlineStr">
        <is>
          <t>A</t>
        </is>
      </c>
      <c r="J20" s="8" t="n">
        <v>16</v>
      </c>
      <c r="K20" s="8" t="n">
        <v>25</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6.18, 4.12</t>
        </is>
      </c>
      <c r="I21" s="18" t="inlineStr">
        <is>
          <t>B</t>
        </is>
      </c>
      <c r="J21" s="8" t="n">
        <v>26</v>
      </c>
      <c r="K21" s="8" t="n">
        <v>39</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2.12</t>
        </is>
      </c>
      <c r="I22" s="18" t="inlineStr">
        <is>
          <t>A</t>
        </is>
      </c>
      <c r="J22" s="8" t="n">
        <v>43</v>
      </c>
      <c r="K22" s="8" t="n">
        <v>53</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2.12</t>
        </is>
      </c>
      <c r="I23" s="18" t="inlineStr">
        <is>
          <t>A</t>
        </is>
      </c>
      <c r="J23" s="8" t="n">
        <v>43</v>
      </c>
      <c r="K23" s="8" t="n">
        <v>54</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3.5, 2.10, 2.11</t>
        </is>
      </c>
      <c r="I24" s="18" t="inlineStr">
        <is>
          <t>B</t>
        </is>
      </c>
      <c r="J24" s="8" t="n">
        <v>43</v>
      </c>
      <c r="K24" s="8" t="n">
        <v>51</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6.28</t>
        </is>
      </c>
      <c r="I25" s="18" t="inlineStr">
        <is>
          <t>B</t>
        </is>
      </c>
      <c r="J25" s="8" t="n">
        <v>55</v>
      </c>
      <c r="K25" s="8" t="n">
        <v>118</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3.10, 6.10</t>
        </is>
      </c>
      <c r="I26" s="18" t="inlineStr">
        <is>
          <t>B</t>
        </is>
      </c>
      <c r="J26" s="8" t="n">
        <v>18</v>
      </c>
      <c r="K26" s="8" t="n">
        <v>29</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3.4</t>
        </is>
      </c>
      <c r="I27" s="18" t="inlineStr">
        <is>
          <t>A</t>
        </is>
      </c>
      <c r="J27" s="8" t="n">
        <v>26</v>
      </c>
      <c r="K27" s="8" t="n">
        <v>26</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4.7</t>
        </is>
      </c>
      <c r="I29" s="18" t="inlineStr">
        <is>
          <t>B</t>
        </is>
      </c>
      <c r="J29" s="8" t="n">
        <v>13</v>
      </c>
      <c r="K29" s="8" t="n">
        <v>104</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4.12, 4.13</t>
        </is>
      </c>
      <c r="I30" s="18" t="inlineStr">
        <is>
          <t>B</t>
        </is>
      </c>
      <c r="J30" s="8" t="n">
        <v>13</v>
      </c>
      <c r="K30" s="8" t="n">
        <v>43</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2.15</t>
        </is>
      </c>
      <c r="I31" s="18" t="inlineStr">
        <is>
          <t>B</t>
        </is>
      </c>
      <c r="J31" s="8" t="n">
        <v>6</v>
      </c>
      <c r="K31" s="8" t="n">
        <v>26</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4.3, 2.12</t>
        </is>
      </c>
      <c r="I32" s="18" t="inlineStr">
        <is>
          <t>A</t>
        </is>
      </c>
      <c r="J32" s="8" t="n">
        <v>29</v>
      </c>
      <c r="K32" s="8" t="n">
        <v>50</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4.5</t>
        </is>
      </c>
      <c r="I33" s="18" t="inlineStr">
        <is>
          <t>B</t>
        </is>
      </c>
      <c r="J33" s="8" t="n">
        <v>53</v>
      </c>
      <c r="K33" s="8" t="n">
        <v>60</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5.2, 5.4</t>
        </is>
      </c>
      <c r="I34" s="18" t="inlineStr">
        <is>
          <t>B</t>
        </is>
      </c>
      <c r="J34" s="8" t="n">
        <v>53</v>
      </c>
      <c r="K34" s="8" t="n">
        <v>67</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4.14</t>
        </is>
      </c>
      <c r="I35" s="18" t="inlineStr">
        <is>
          <t>B</t>
        </is>
      </c>
      <c r="J35" s="8" t="n">
        <v>53</v>
      </c>
      <c r="K35" s="8" t="n">
        <v>56</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2.14</t>
        </is>
      </c>
      <c r="I36" s="18" t="inlineStr">
        <is>
          <t>A</t>
        </is>
      </c>
      <c r="J36" s="8" t="n">
        <v>29</v>
      </c>
      <c r="K36" s="8" t="n">
        <v>29</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4.6, 6.4</t>
        </is>
      </c>
      <c r="I37" s="18" t="inlineStr">
        <is>
          <t>B</t>
        </is>
      </c>
      <c r="J37" s="8" t="n">
        <v>16</v>
      </c>
      <c r="K37" s="8" t="n">
        <v>18</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4.13</t>
        </is>
      </c>
      <c r="I38" s="18" t="inlineStr">
        <is>
          <t>B</t>
        </is>
      </c>
      <c r="J38" s="8" t="n">
        <v>22</v>
      </c>
      <c r="K38" s="8" t="n">
        <v>46</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4.13, 3.5</t>
        </is>
      </c>
      <c r="I39" s="18" t="inlineStr">
        <is>
          <t>B</t>
        </is>
      </c>
      <c r="J39" s="8" t="n">
        <v>49</v>
      </c>
      <c r="K39" s="8" t="n">
        <v>49</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6.26, 6.2</t>
        </is>
      </c>
      <c r="I40" s="18" t="inlineStr">
        <is>
          <t>A</t>
        </is>
      </c>
      <c r="J40" s="8" t="n">
        <v>4</v>
      </c>
      <c r="K40" s="8" t="n">
        <v>79</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3.6, 4.20</t>
        </is>
      </c>
      <c r="I41" s="18" t="inlineStr">
        <is>
          <t>A</t>
        </is>
      </c>
      <c r="J41" s="8" t="n">
        <v>43</v>
      </c>
      <c r="K41" s="8" t="n">
        <v>60</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4.1</t>
        </is>
      </c>
      <c r="I42" s="18" t="inlineStr">
        <is>
          <t>A</t>
        </is>
      </c>
      <c r="J42" s="8" t="n">
        <v>18</v>
      </c>
      <c r="K42" s="8" t="n">
        <v>18</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3.2, 6.35</t>
        </is>
      </c>
      <c r="I43" s="18" t="inlineStr">
        <is>
          <t>A</t>
        </is>
      </c>
      <c r="J43" s="8" t="n">
        <v>22</v>
      </c>
      <c r="K43" s="8" t="n">
        <v>104</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6.32, 6.33</t>
        </is>
      </c>
      <c r="I44" s="18" t="inlineStr">
        <is>
          <t>A</t>
        </is>
      </c>
      <c r="J44" s="8" t="n">
        <v>21</v>
      </c>
      <c r="K44" s="8" t="n">
        <v>93</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4.21</t>
        </is>
      </c>
      <c r="I45" s="18" t="inlineStr">
        <is>
          <t>B</t>
        </is>
      </c>
      <c r="J45" s="8" t="n">
        <v>22</v>
      </c>
      <c r="K45" s="8" t="n">
        <v>115</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4.11</t>
        </is>
      </c>
      <c r="I46" s="18" t="inlineStr">
        <is>
          <t>B</t>
        </is>
      </c>
      <c r="J46" s="8" t="n">
        <v>21</v>
      </c>
      <c r="K46" s="8" t="n">
        <v>22</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4.10, 2.3</t>
        </is>
      </c>
      <c r="I47" s="18" t="inlineStr">
        <is>
          <t>A</t>
        </is>
      </c>
      <c r="J47" s="8" t="n">
        <v>22</v>
      </c>
      <c r="K47" s="8" t="n">
        <v>22</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4.17</t>
        </is>
      </c>
      <c r="I48" s="18" t="inlineStr">
        <is>
          <t>A</t>
        </is>
      </c>
      <c r="J48" s="8" t="n">
        <v>29</v>
      </c>
      <c r="K48" s="8" t="n">
        <v>72</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6.11, 3.7</t>
        </is>
      </c>
      <c r="I49" s="18" t="inlineStr">
        <is>
          <t>A</t>
        </is>
      </c>
      <c r="J49" s="8" t="n">
        <v>29</v>
      </c>
      <c r="K49" s="8" t="n">
        <v>66</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6.6</t>
        </is>
      </c>
      <c r="I50" s="18" t="inlineStr">
        <is>
          <t>A</t>
        </is>
      </c>
      <c r="J50" s="8" t="n">
        <v>125</v>
      </c>
      <c r="K50" s="8" t="n">
        <v>127</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Falta de la cooperativa: fotos, cifras, testimonios y fotos de las sedes.</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3.7</t>
        </is>
      </c>
      <c r="I51" s="18" t="inlineStr">
        <is>
          <t>A</t>
        </is>
      </c>
      <c r="J51" s="8" t="n">
        <v>69</v>
      </c>
      <c r="K51" s="8" t="n">
        <v>69</v>
      </c>
      <c r="L51" s="8">
        <f>K51+E51</f>
        <v/>
      </c>
      <c r="M51" s="8">
        <f>K51-J51</f>
        <v/>
      </c>
      <c r="N51" s="8">
        <f>"S"&amp;(INT(K51/Resumen!$C$5)+1)&amp;"–S"&amp;MAX(INT(K51/Resumen!$C$5)+1,ROUNDUP(L51/Resumen!$C$5,0))</f>
        <v/>
      </c>
      <c r="O51" s="8" t="inlineStr">
        <is>
          <t>Hecho</t>
        </is>
      </c>
      <c r="P51" s="8" t="inlineStr">
        <is>
          <t>Agregado</t>
        </is>
      </c>
      <c r="Q51" s="7" t="inlineStr">
        <is>
          <t>ga-diseno-a-codigo</t>
        </is>
      </c>
      <c r="R51" s="7" t="inlineStr"/>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4.17</t>
        </is>
      </c>
      <c r="I52" s="18" t="inlineStr">
        <is>
          <t>A</t>
        </is>
      </c>
      <c r="J52" s="8" t="n">
        <v>70</v>
      </c>
      <c r="K52" s="8" t="n">
        <v>71</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4.17</t>
        </is>
      </c>
      <c r="I53" s="18" t="inlineStr">
        <is>
          <t>A</t>
        </is>
      </c>
      <c r="J53" s="8" t="n">
        <v>70</v>
      </c>
      <c r="K53" s="8" t="n">
        <v>70</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4.19</t>
        </is>
      </c>
      <c r="I54" s="18" t="inlineStr">
        <is>
          <t>A</t>
        </is>
      </c>
      <c r="J54" s="8" t="n">
        <v>9</v>
      </c>
      <c r="K54" s="8" t="n">
        <v>98</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4.16</t>
        </is>
      </c>
      <c r="I55" s="18" t="inlineStr">
        <is>
          <t>B</t>
        </is>
      </c>
      <c r="J55" s="8" t="n">
        <v>100</v>
      </c>
      <c r="K55" s="8" t="n">
        <v>110</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5.15, 6.31</t>
        </is>
      </c>
      <c r="I56" s="18" t="inlineStr">
        <is>
          <t>A</t>
        </is>
      </c>
      <c r="J56" s="8" t="n">
        <v>74</v>
      </c>
      <c r="K56" s="8" t="n">
        <v>86</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6.21</t>
        </is>
      </c>
      <c r="I57" s="18" t="inlineStr">
        <is>
          <t>B</t>
        </is>
      </c>
      <c r="J57" s="8" t="n">
        <v>55</v>
      </c>
      <c r="K57" s="8" t="n">
        <v>120</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4.20</t>
        </is>
      </c>
      <c r="I58" s="18" t="inlineStr">
        <is>
          <t>A</t>
        </is>
      </c>
      <c r="J58" s="8" t="n">
        <v>63</v>
      </c>
      <c r="K58" s="8" t="n">
        <v>63</v>
      </c>
      <c r="L58" s="8">
        <f>K58+E58</f>
        <v/>
      </c>
      <c r="M58" s="8">
        <f>K58-J58</f>
        <v/>
      </c>
      <c r="N58" s="8">
        <f>"S"&amp;(INT(K58/Resumen!$C$5)+1)&amp;"–S"&amp;MAX(INT(K58/Resumen!$C$5)+1,ROUNDUP(L58/Resumen!$C$5,0))</f>
        <v/>
      </c>
      <c r="O58" s="8" t="inlineStr">
        <is>
          <t>Hecho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4.4</t>
        </is>
      </c>
      <c r="I59" s="18" t="inlineStr">
        <is>
          <t>B</t>
        </is>
      </c>
      <c r="J59" s="8" t="n">
        <v>63</v>
      </c>
      <c r="K59" s="8" t="n">
        <v>81</v>
      </c>
      <c r="L59" s="8">
        <f>K59+E59</f>
        <v/>
      </c>
      <c r="M59" s="8">
        <f>K59-J59</f>
        <v/>
      </c>
      <c r="N59" s="8">
        <f>"S"&amp;(INT(K59/Resumen!$C$5)+1)&amp;"–S"&amp;MAX(INT(K59/Resumen!$C$5)+1,ROUNDUP(L59/Resumen!$C$5,0))</f>
        <v/>
      </c>
      <c r="O59" s="8" t="inlineStr">
        <is>
          <t>Hecho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6.1, 5.5, 2.8, 5.4, 2.11, 5.6, 1.6, 2.12, 3.9, 4.6</t>
        </is>
      </c>
      <c r="G60" s="7" t="inlineStr">
        <is>
          <t>Sí</t>
        </is>
      </c>
      <c r="H60" s="7" t="inlineStr">
        <is>
          <t>6.9, 6.8, 5.15</t>
        </is>
      </c>
      <c r="I60" s="18" t="inlineStr">
        <is>
          <t>A</t>
        </is>
      </c>
      <c r="J60" s="8" t="n">
        <v>72</v>
      </c>
      <c r="K60" s="8" t="n">
        <v>83</v>
      </c>
      <c r="L60" s="8">
        <f>K60+E60</f>
        <v/>
      </c>
      <c r="M60" s="8">
        <f>K60-J60</f>
        <v/>
      </c>
      <c r="N60" s="8">
        <f>"S"&amp;(INT(K60/Resumen!$C$5)+1)&amp;"–S"&amp;MAX(INT(K60/Resumen!$C$5)+1,ROUNDUP(L60/Resumen!$C$5,0))</f>
        <v/>
      </c>
      <c r="O60" s="8" t="inlineStr">
        <is>
          <t>Hecho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4.1</t>
        </is>
      </c>
      <c r="I61" s="18" t="inlineStr">
        <is>
          <t>A</t>
        </is>
      </c>
      <c r="J61" s="8" t="n">
        <v>0</v>
      </c>
      <c r="K61" s="8" t="n">
        <v>21</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86</v>
      </c>
      <c r="K62" s="8" t="n">
        <v>90</v>
      </c>
      <c r="L62" s="8">
        <f>K62+E62</f>
        <v/>
      </c>
      <c r="M62" s="8">
        <f>K62-J62</f>
        <v/>
      </c>
      <c r="N62" s="8">
        <f>"S"&amp;(INT(K62/Resumen!$C$5)+1)&amp;"–S"&amp;MAX(INT(K62/Resumen!$C$5)+1,ROUNDUP(L62/Resumen!$C$5,0))</f>
        <v/>
      </c>
      <c r="O62" s="8" t="inlineStr">
        <is>
          <t>Hecho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6.7, 5.3</t>
        </is>
      </c>
      <c r="I63" s="18" t="inlineStr">
        <is>
          <t>B</t>
        </is>
      </c>
      <c r="J63" s="8" t="n">
        <v>125</v>
      </c>
      <c r="K63" s="8" t="n">
        <v>126</v>
      </c>
      <c r="L63" s="8">
        <f>K63+E63</f>
        <v/>
      </c>
      <c r="M63" s="8">
        <f>K63-J63</f>
        <v/>
      </c>
      <c r="N63" s="8">
        <f>"S"&amp;(INT(K63/Resumen!$C$5)+1)&amp;"–S"&amp;MAX(INT(K63/Resumen!$C$5)+1,ROUNDUP(L63/Resumen!$C$5,0))</f>
        <v/>
      </c>
      <c r="O63" s="8" t="inlineStr">
        <is>
          <t>En curso</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A</t>
        </is>
      </c>
      <c r="J64" s="8" t="n">
        <v>125</v>
      </c>
      <c r="K64" s="8" t="n">
        <v>126</v>
      </c>
      <c r="L64" s="8">
        <f>K64+E64</f>
        <v/>
      </c>
      <c r="M64" s="8">
        <f>K64-J64</f>
        <v/>
      </c>
      <c r="N64" s="8">
        <f>"S"&amp;(INT(K64/Resumen!$C$5)+1)&amp;"–S"&amp;MAX(INT(K64/Resumen!$C$5)+1,ROUNDUP(L64/Resumen!$C$5,0))</f>
        <v/>
      </c>
      <c r="O64" s="8" t="inlineStr">
        <is>
          <t>En curso</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6.3</t>
        </is>
      </c>
      <c r="I65" s="18" t="inlineStr">
        <is>
          <t>B</t>
        </is>
      </c>
      <c r="J65" s="8" t="n">
        <v>43</v>
      </c>
      <c r="K65" s="8" t="n">
        <v>84</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6.3</t>
        </is>
      </c>
      <c r="I66" s="18" t="inlineStr">
        <is>
          <t>B</t>
        </is>
      </c>
      <c r="J66" s="8" t="n">
        <v>67</v>
      </c>
      <c r="K66" s="8" t="n">
        <v>83</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2.14</t>
        </is>
      </c>
      <c r="I67" s="18" t="inlineStr">
        <is>
          <t>A</t>
        </is>
      </c>
      <c r="J67" s="8" t="n">
        <v>13</v>
      </c>
      <c r="K67" s="8" t="n">
        <v>32</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5.2</t>
        </is>
      </c>
      <c r="I68" s="18" t="inlineStr">
        <is>
          <t>B</t>
        </is>
      </c>
      <c r="J68" s="8" t="n">
        <v>43</v>
      </c>
      <c r="K68" s="8" t="n">
        <v>66</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6.14</t>
        </is>
      </c>
      <c r="I69" s="18" t="inlineStr">
        <is>
          <t>A</t>
        </is>
      </c>
      <c r="J69" s="8" t="n">
        <v>125</v>
      </c>
      <c r="K69" s="8" t="n">
        <v>125</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36</v>
      </c>
      <c r="K70" s="8" t="n">
        <v>38</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6.12</t>
        </is>
      </c>
      <c r="I71" s="18" t="inlineStr">
        <is>
          <t>B</t>
        </is>
      </c>
      <c r="J71" s="8" t="n">
        <v>125</v>
      </c>
      <c r="K71" s="8" t="n">
        <v>125</v>
      </c>
      <c r="L71" s="8">
        <f>K71+E71</f>
        <v/>
      </c>
      <c r="M71" s="8">
        <f>K71-J71</f>
        <v/>
      </c>
      <c r="N71" s="8">
        <f>"S"&amp;(INT(K71/Resumen!$C$5)+1)&amp;"–S"&amp;MAX(INT(K71/Resumen!$C$5)+1,ROUNDUP(L71/Resumen!$C$5,0))</f>
        <v/>
      </c>
      <c r="O71" s="8" t="inlineStr">
        <is>
          <t>En curso</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 (sin par en el plan)</t>
        </is>
      </c>
      <c r="H72" s="7" t="inlineStr">
        <is>
          <t>—</t>
        </is>
      </c>
      <c r="I72" s="18" t="inlineStr">
        <is>
          <t>A</t>
        </is>
      </c>
      <c r="J72" s="8" t="n">
        <v>66</v>
      </c>
      <c r="K72" s="8" t="n">
        <v>122</v>
      </c>
      <c r="L72" s="8">
        <f>K72+E72</f>
        <v/>
      </c>
      <c r="M72" s="8">
        <f>K72-J72</f>
        <v/>
      </c>
      <c r="N72" s="8">
        <f>"S"&amp;(INT(K72/Resumen!$C$5)+1)&amp;"–S"&amp;MAX(INT(K72/Resumen!$C$5)+1,ROUNDUP(L72/Resumen!$C$5,0))</f>
        <v/>
      </c>
      <c r="O72" s="8" t="inlineStr">
        <is>
          <t>Hecho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1.6</t>
        </is>
      </c>
      <c r="I73" s="18" t="inlineStr">
        <is>
          <t>A</t>
        </is>
      </c>
      <c r="J73" s="8" t="n">
        <v>33</v>
      </c>
      <c r="K73" s="8" t="n">
        <v>33</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1.6</t>
        </is>
      </c>
      <c r="I74" s="18" t="inlineStr">
        <is>
          <t>A</t>
        </is>
      </c>
      <c r="J74" s="8" t="n">
        <v>33</v>
      </c>
      <c r="K74" s="8" t="n">
        <v>34</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1.8, 6.13</t>
        </is>
      </c>
      <c r="I75" s="18" t="inlineStr">
        <is>
          <t>B</t>
        </is>
      </c>
      <c r="J75" s="8" t="n">
        <v>35</v>
      </c>
      <c r="K75" s="8" t="n">
        <v>36</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2.9</t>
        </is>
      </c>
      <c r="I76" s="18" t="inlineStr">
        <is>
          <t>A</t>
        </is>
      </c>
      <c r="J76" s="8" t="n">
        <v>39</v>
      </c>
      <c r="K76" s="8" t="n">
        <v>39</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2.9, 3.3</t>
        </is>
      </c>
      <c r="I77" s="18" t="inlineStr">
        <is>
          <t>A</t>
        </is>
      </c>
      <c r="J77" s="8" t="n">
        <v>40</v>
      </c>
      <c r="K77" s="8" t="n">
        <v>40</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3.3, 4.2, 4.3</t>
        </is>
      </c>
      <c r="I78" s="18" t="inlineStr">
        <is>
          <t>A</t>
        </is>
      </c>
      <c r="J78" s="8" t="n">
        <v>45</v>
      </c>
      <c r="K78" s="8" t="n">
        <v>45</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50</v>
      </c>
      <c r="K79" s="8" t="n">
        <v>55</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3.9</t>
        </is>
      </c>
      <c r="I80" s="18" t="inlineStr">
        <is>
          <t>A</t>
        </is>
      </c>
      <c r="J80" s="8" t="n">
        <v>56</v>
      </c>
      <c r="K80" s="8" t="n">
        <v>56</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5.12, 5.14</t>
        </is>
      </c>
      <c r="I81" s="18" t="inlineStr">
        <is>
          <t>B</t>
        </is>
      </c>
      <c r="J81" s="8" t="n">
        <v>60</v>
      </c>
      <c r="K81" s="8" t="n">
        <v>75</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5.10</t>
        </is>
      </c>
      <c r="I82" s="18" t="inlineStr">
        <is>
          <t>A</t>
        </is>
      </c>
      <c r="J82" s="8" t="n">
        <v>60</v>
      </c>
      <c r="K82" s="8" t="n">
        <v>120</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60</v>
      </c>
      <c r="K83" s="8" t="n">
        <v>74</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6.33</t>
        </is>
      </c>
      <c r="I84" s="18" t="inlineStr">
        <is>
          <t>A</t>
        </is>
      </c>
      <c r="J84" s="8" t="n">
        <v>75</v>
      </c>
      <c r="K84" s="8" t="n">
        <v>96</v>
      </c>
      <c r="L84" s="8">
        <f>K84+E84</f>
        <v/>
      </c>
      <c r="M84" s="8">
        <f>K84-J84</f>
        <v/>
      </c>
      <c r="N84" s="8">
        <f>"S"&amp;(INT(K84/Resumen!$C$5)+1)&amp;"–S"&amp;MAX(INT(K84/Resumen!$C$5)+1,ROUNDUP(L84/Resumen!$C$5,0))</f>
        <v/>
      </c>
      <c r="O84" s="8" t="inlineStr">
        <is>
          <t>Hecho</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4.15</t>
        </is>
      </c>
      <c r="I85" s="18" t="inlineStr">
        <is>
          <t>A</t>
        </is>
      </c>
      <c r="J85" s="8" t="n">
        <v>75</v>
      </c>
      <c r="K85" s="8" t="n">
        <v>75</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6.37</t>
        </is>
      </c>
      <c r="I86" s="18" t="inlineStr">
        <is>
          <t>B</t>
        </is>
      </c>
      <c r="J86" s="8" t="n">
        <v>69</v>
      </c>
      <c r="K86" s="8" t="n">
        <v>119</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60</v>
      </c>
      <c r="K87" s="8" t="n">
        <v>124</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5.16</t>
        </is>
      </c>
      <c r="I88" s="18" t="inlineStr">
        <is>
          <t>A</t>
        </is>
      </c>
      <c r="J88" s="8" t="n">
        <v>108</v>
      </c>
      <c r="K88" s="8" t="n">
        <v>108</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89</v>
      </c>
      <c r="K89" s="8" t="n">
        <v>112</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5.16, 5.8, 4.22</t>
        </is>
      </c>
      <c r="I90" s="18" t="inlineStr">
        <is>
          <t>A</t>
        </is>
      </c>
      <c r="J90" s="8" t="n">
        <v>60</v>
      </c>
      <c r="K90" s="8" t="n">
        <v>109</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4.15, 6.26</t>
        </is>
      </c>
      <c r="I91" s="18" t="inlineStr">
        <is>
          <t>A</t>
        </is>
      </c>
      <c r="J91" s="8" t="n">
        <v>77</v>
      </c>
      <c r="K91" s="8" t="n">
        <v>77</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5.6, 5.5, 5.1</t>
        </is>
      </c>
      <c r="I92" s="18" t="inlineStr">
        <is>
          <t>B</t>
        </is>
      </c>
      <c r="J92" s="8" t="n">
        <v>60</v>
      </c>
      <c r="K92" s="8" t="n">
        <v>70</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4.19, 6.34</t>
        </is>
      </c>
      <c r="I93" s="18" t="inlineStr">
        <is>
          <t>A</t>
        </is>
      </c>
      <c r="J93" s="8" t="n">
        <v>60</v>
      </c>
      <c r="K93" s="8" t="n">
        <v>101</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5.7, 6.30, 4.18</t>
        </is>
      </c>
      <c r="I94" s="18" t="inlineStr">
        <is>
          <t>B</t>
        </is>
      </c>
      <c r="J94" s="8" t="n">
        <v>60</v>
      </c>
      <c r="K94" s="8" t="n">
        <v>98</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4.5, 6.1</t>
        </is>
      </c>
      <c r="I95" s="18" t="inlineStr">
        <is>
          <t>B</t>
        </is>
      </c>
      <c r="J95" s="8" t="n">
        <v>60</v>
      </c>
      <c r="K95" s="8" t="n">
        <v>62</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6.3, 5.9</t>
        </is>
      </c>
      <c r="I96" s="18" t="inlineStr">
        <is>
          <t>B</t>
        </is>
      </c>
      <c r="J96" s="8" t="n">
        <v>79</v>
      </c>
      <c r="K96" s="8" t="n">
        <v>85</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6.24, 4.16</t>
        </is>
      </c>
      <c r="I97" s="18" t="inlineStr">
        <is>
          <t>B</t>
        </is>
      </c>
      <c r="J97" s="8" t="n">
        <v>102</v>
      </c>
      <c r="K97" s="8" t="n">
        <v>108</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5.19</t>
        </is>
      </c>
      <c r="I98" s="18" t="inlineStr">
        <is>
          <t>B</t>
        </is>
      </c>
      <c r="J98" s="8" t="n">
        <v>60</v>
      </c>
      <c r="K98" s="8" t="n">
        <v>89</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5.14, 4.4</t>
        </is>
      </c>
      <c r="I99" s="18" t="inlineStr">
        <is>
          <t>B</t>
        </is>
      </c>
      <c r="J99" s="8" t="n">
        <v>0</v>
      </c>
      <c r="K99" s="8" t="n">
        <v>78</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113</v>
      </c>
      <c r="K100" s="8" t="n">
        <v>113</v>
      </c>
      <c r="L100" s="8">
        <f>K100+E100</f>
        <v/>
      </c>
      <c r="M100" s="8">
        <f>K100-J100</f>
        <v/>
      </c>
      <c r="N100" s="8">
        <f>"S"&amp;(INT(K100/Resumen!$C$5)+1)&amp;"–S"&amp;MAX(INT(K100/Resumen!$C$5)+1,ROUNDUP(L100/Resumen!$C$5,0))</f>
        <v/>
      </c>
      <c r="O100" s="8" t="inlineStr">
        <is>
          <t>Hecho</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2.13</t>
        </is>
      </c>
      <c r="I101" s="18" t="inlineStr">
        <is>
          <t>A</t>
        </is>
      </c>
      <c r="J101" s="8" t="n">
        <v>102</v>
      </c>
      <c r="K101" s="8" t="n">
        <v>118</v>
      </c>
      <c r="L101" s="8">
        <f>K101+E101</f>
        <v/>
      </c>
      <c r="M101" s="8">
        <f>K101-J101</f>
        <v/>
      </c>
      <c r="N101" s="8">
        <f>"S"&amp;(INT(K101/Resumen!$C$5)+1)&amp;"–S"&amp;MAX(INT(K101/Resumen!$C$5)+1,ROUNDUP(L101/Resumen!$C$5,0))</f>
        <v/>
      </c>
      <c r="O101" s="8" t="inlineStr">
        <is>
          <t>Hecho</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6.26, 6.27, 6.28, 6.32, 6.36, 6.39, 6.40</t>
        </is>
      </c>
      <c r="G102" s="7" t="inlineStr">
        <is>
          <t>No (usa las 2 filas)</t>
        </is>
      </c>
      <c r="H102" s="7" t="inlineStr">
        <is>
          <t>—</t>
        </is>
      </c>
      <c r="I102" s="18" t="inlineStr">
        <is>
          <t>A+B</t>
        </is>
      </c>
      <c r="J102" s="8" t="n">
        <v>119</v>
      </c>
      <c r="K102" s="8" t="n">
        <v>123</v>
      </c>
      <c r="L102" s="8">
        <f>K102+E102</f>
        <v/>
      </c>
      <c r="M102" s="8">
        <f>K102-J102</f>
        <v/>
      </c>
      <c r="N102" s="8">
        <f>"S"&amp;(INT(K102/Resumen!$C$5)+1)&amp;"–S"&amp;MAX(INT(K102/Resumen!$C$5)+1,ROUNDUP(L102/Resumen!$C$5,0))</f>
        <v/>
      </c>
      <c r="O102" s="8" t="inlineStr">
        <is>
          <t>Hecho</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4.9, 5.18</t>
        </is>
      </c>
      <c r="I103" s="18" t="inlineStr">
        <is>
          <t>A</t>
        </is>
      </c>
      <c r="J103" s="8" t="n">
        <v>66</v>
      </c>
      <c r="K103" s="8" t="n">
        <v>115</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4.16</t>
        </is>
      </c>
      <c r="I104" s="18" t="inlineStr">
        <is>
          <t>B</t>
        </is>
      </c>
      <c r="J104" s="8" t="n">
        <v>102</v>
      </c>
      <c r="K104" s="8" t="n">
        <v>111</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4.21</t>
        </is>
      </c>
      <c r="I105" s="18" t="inlineStr">
        <is>
          <t>B</t>
        </is>
      </c>
      <c r="J105" s="8" t="n">
        <v>90</v>
      </c>
      <c r="K105" s="8" t="n">
        <v>117</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5.17</t>
        </is>
      </c>
      <c r="I106" s="18" t="inlineStr">
        <is>
          <t>A</t>
        </is>
      </c>
      <c r="J106" s="8" t="n">
        <v>89</v>
      </c>
      <c r="K106" s="8" t="n">
        <v>89</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4.19</t>
        </is>
      </c>
      <c r="I107" s="18" t="inlineStr">
        <is>
          <t>A</t>
        </is>
      </c>
      <c r="J107" s="8" t="n">
        <v>66</v>
      </c>
      <c r="K107" s="8" t="n">
        <v>100</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5.9</t>
        </is>
      </c>
      <c r="I108" s="18" t="inlineStr">
        <is>
          <t>B</t>
        </is>
      </c>
      <c r="J108" s="8" t="n">
        <v>66</v>
      </c>
      <c r="K108" s="8" t="n">
        <v>88</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4.8</t>
        </is>
      </c>
      <c r="I109" s="18" t="inlineStr">
        <is>
          <t>B</t>
        </is>
      </c>
      <c r="J109" s="8" t="n">
        <v>89</v>
      </c>
      <c r="K109" s="8" t="n">
        <v>93</v>
      </c>
      <c r="L109" s="8">
        <f>K109+E109</f>
        <v/>
      </c>
      <c r="M109" s="8">
        <f>K109-J109</f>
        <v/>
      </c>
      <c r="N109" s="8">
        <f>"S"&amp;(INT(K109/Resumen!$C$5)+1)&amp;"–S"&amp;MAX(INT(K109/Resumen!$C$5)+1,ROUNDUP(L109/Resumen!$C$5,0))</f>
        <v/>
      </c>
      <c r="O109" s="8" t="inlineStr">
        <is>
          <t>Hecho</t>
        </is>
      </c>
      <c r="P109" s="8" t="inlineStr">
        <is>
          <t>Agregado</t>
        </is>
      </c>
      <c r="Q109" s="7" t="inlineStr">
        <is>
          <t>ga-funcionalidad-botones + ga-auditor-supabase + sesión principal</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4.8, 5.11</t>
        </is>
      </c>
      <c r="I110" s="18" t="inlineStr">
        <is>
          <t>B</t>
        </is>
      </c>
      <c r="J110" s="8" t="n">
        <v>89</v>
      </c>
      <c r="K110" s="8" t="n">
        <v>95</v>
      </c>
      <c r="L110" s="8">
        <f>K110+E110</f>
        <v/>
      </c>
      <c r="M110" s="8">
        <f>K110-J110</f>
        <v/>
      </c>
      <c r="N110" s="8">
        <f>"S"&amp;(INT(K110/Resumen!$C$5)+1)&amp;"–S"&amp;MAX(INT(K110/Resumen!$C$5)+1,ROUNDUP(L110/Resumen!$C$5,0))</f>
        <v/>
      </c>
      <c r="O110" s="8" t="inlineStr">
        <is>
          <t>Hecho</t>
        </is>
      </c>
      <c r="P110" s="8" t="inlineStr">
        <is>
          <t>Agregado</t>
        </is>
      </c>
      <c r="Q110" s="7" t="inlineStr">
        <is>
          <t>ga-funcionalidad-botones + ga-auditor-supabase + sesión principal</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4.18</t>
        </is>
      </c>
      <c r="I111" s="18" t="inlineStr">
        <is>
          <t>B</t>
        </is>
      </c>
      <c r="J111" s="8" t="n">
        <v>89</v>
      </c>
      <c r="K111" s="8" t="n">
        <v>102</v>
      </c>
      <c r="L111" s="8">
        <f>K111+E111</f>
        <v/>
      </c>
      <c r="M111" s="8">
        <f>K111-J111</f>
        <v/>
      </c>
      <c r="N111" s="8">
        <f>"S"&amp;(INT(K111/Resumen!$C$5)+1)&amp;"–S"&amp;MAX(INT(K111/Resumen!$C$5)+1,ROUNDUP(L111/Resumen!$C$5,0))</f>
        <v/>
      </c>
      <c r="O111" s="8" t="inlineStr">
        <is>
          <t>Hecho</t>
        </is>
      </c>
      <c r="P111" s="8" t="inlineStr">
        <is>
          <t>Agregado</t>
        </is>
      </c>
      <c r="Q111" s="7" t="inlineStr">
        <is>
          <t>ga-funcionalidad-botones + ga-auditor-supabase + sesión principal</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4.7</t>
        </is>
      </c>
      <c r="I112" s="18" t="inlineStr">
        <is>
          <t>B</t>
        </is>
      </c>
      <c r="J112" s="8" t="n">
        <v>89</v>
      </c>
      <c r="K112" s="8" t="n">
        <v>107</v>
      </c>
      <c r="L112" s="8">
        <f>K112+E112</f>
        <v/>
      </c>
      <c r="M112" s="8">
        <f>K112-J112</f>
        <v/>
      </c>
      <c r="N112" s="8">
        <f>"S"&amp;(INT(K112/Resumen!$C$5)+1)&amp;"–S"&amp;MAX(INT(K112/Resumen!$C$5)+1,ROUNDUP(L112/Resumen!$C$5,0))</f>
        <v/>
      </c>
      <c r="O112" s="8" t="inlineStr">
        <is>
          <t>Hecho</t>
        </is>
      </c>
      <c r="P112" s="8" t="inlineStr">
        <is>
          <t>Agregado</t>
        </is>
      </c>
      <c r="Q112" s="7" t="inlineStr">
        <is>
          <t>sesión principal</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90</v>
      </c>
      <c r="K113" s="8" t="n">
        <v>92</v>
      </c>
      <c r="L113" s="8">
        <f>K113+E113</f>
        <v/>
      </c>
      <c r="M113" s="8">
        <f>K113-J113</f>
        <v/>
      </c>
      <c r="N113" s="8">
        <f>"S"&amp;(INT(K113/Resumen!$C$5)+1)&amp;"–S"&amp;MAX(INT(K113/Resumen!$C$5)+1,ROUNDUP(L113/Resumen!$C$5,0))</f>
        <v/>
      </c>
      <c r="O113" s="8" t="inlineStr">
        <is>
          <t>Hecho</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5.13</t>
        </is>
      </c>
      <c r="I114" s="18" t="inlineStr">
        <is>
          <t>A</t>
        </is>
      </c>
      <c r="J114" s="8" t="n">
        <v>0</v>
      </c>
      <c r="K114" s="8" t="n">
        <v>119</v>
      </c>
      <c r="L114" s="8">
        <f>K114+E114</f>
        <v/>
      </c>
      <c r="M114" s="8">
        <f>K114-J114</f>
        <v/>
      </c>
      <c r="N114" s="8">
        <f>"S"&amp;(INT(K114/Resumen!$C$5)+1)&amp;"–S"&amp;MAX(INT(K114/Resumen!$C$5)+1,ROUNDUP(L114/Resumen!$C$5,0))</f>
        <v/>
      </c>
      <c r="O114" s="8" t="inlineStr">
        <is>
          <t>Hecho</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1.6</t>
        </is>
      </c>
      <c r="I115" s="18" t="inlineStr">
        <is>
          <t>A</t>
        </is>
      </c>
      <c r="J115" s="8" t="n">
        <v>0</v>
      </c>
      <c r="K115" s="8" t="n">
        <v>35</v>
      </c>
      <c r="L115" s="8">
        <f>K115+E115</f>
        <v/>
      </c>
      <c r="M115" s="8">
        <f>K115-J115</f>
        <v/>
      </c>
      <c r="N115" s="8">
        <f>"S"&amp;(INT(K115/Resumen!$C$5)+1)&amp;"–S"&amp;MAX(INT(K115/Resumen!$C$5)+1,ROUNDUP(L115/Resumen!$C$5,0))</f>
        <v/>
      </c>
      <c r="O115" s="8" t="inlineStr">
        <is>
          <t>Hecho</t>
        </is>
      </c>
      <c r="P115" s="8" t="inlineStr">
        <is>
          <t>Agregado</t>
        </is>
      </c>
      <c r="Q115" s="7" t="inlineStr">
        <is>
          <t>Sebas</t>
        </is>
      </c>
      <c r="R115" s="7" t="inlineStr"/>
    </row>
    <row r="116">
      <c r="A116" s="19" t="inlineStr">
        <is>
          <t>6.39</t>
        </is>
      </c>
      <c r="B116" s="4" t="inlineStr">
        <is>
          <t>6. Pruebas y lanzamiento</t>
        </is>
      </c>
      <c r="C116" s="7" t="inlineStr">
        <is>
          <t>Aplicar con respaldo la migración 20261009000000 (hallazgos de seguridad del 8-oct) en producción</t>
        </is>
      </c>
      <c r="D116" s="5" t="n">
        <v>1</v>
      </c>
      <c r="E116" s="8">
        <f>D116</f>
        <v/>
      </c>
      <c r="F116" s="4" t="inlineStr">
        <is>
          <t>6.32, 6.33, 6.34, 6.36</t>
        </is>
      </c>
      <c r="G116" s="7" t="inlineStr">
        <is>
          <t>No (usa las 2 filas)</t>
        </is>
      </c>
      <c r="H116" s="7" t="inlineStr">
        <is>
          <t>—</t>
        </is>
      </c>
      <c r="I116" s="18" t="inlineStr">
        <is>
          <t>A+B</t>
        </is>
      </c>
      <c r="J116" s="8" t="n">
        <v>103</v>
      </c>
      <c r="K116" s="8" t="n">
        <v>103</v>
      </c>
      <c r="L116" s="8">
        <f>K116+E116</f>
        <v/>
      </c>
      <c r="M116" s="8">
        <f>K116-J116</f>
        <v/>
      </c>
      <c r="N116" s="8">
        <f>"S"&amp;(INT(K116/Resumen!$C$5)+1)&amp;"–S"&amp;MAX(INT(K116/Resumen!$C$5)+1,ROUNDUP(L116/Resumen!$C$5,0))</f>
        <v/>
      </c>
      <c r="O116" s="8" t="inlineStr">
        <is>
          <t>Hecho</t>
        </is>
      </c>
      <c r="P116" s="8" t="inlineStr">
        <is>
          <t>Agregado</t>
        </is>
      </c>
      <c r="Q116" s="7" t="inlineStr">
        <is>
          <t>Sebas</t>
        </is>
      </c>
      <c r="R116" s="7" t="inlineStr"/>
    </row>
    <row r="117">
      <c r="A117" s="19" t="inlineStr">
        <is>
          <t>6.40</t>
        </is>
      </c>
      <c r="B117" s="4" t="inlineStr">
        <is>
          <t>6. Pruebas y lanzamiento</t>
        </is>
      </c>
      <c r="C117" s="7" t="inlineStr">
        <is>
          <t>Desplegar el código de los hallazgos de seguridad junto con la migración 20261009000000</t>
        </is>
      </c>
      <c r="D117" s="5" t="n">
        <v>1</v>
      </c>
      <c r="E117" s="8">
        <f>D117</f>
        <v/>
      </c>
      <c r="F117" s="4" t="inlineStr">
        <is>
          <t>6.39</t>
        </is>
      </c>
      <c r="G117" s="7" t="inlineStr">
        <is>
          <t>No (usa las 2 filas)</t>
        </is>
      </c>
      <c r="H117" s="7" t="inlineStr">
        <is>
          <t>—</t>
        </is>
      </c>
      <c r="I117" s="18" t="inlineStr">
        <is>
          <t>A+B</t>
        </is>
      </c>
      <c r="J117" s="8" t="n">
        <v>104</v>
      </c>
      <c r="K117" s="8" t="n">
        <v>114</v>
      </c>
      <c r="L117" s="8">
        <f>K117+E117</f>
        <v/>
      </c>
      <c r="M117" s="8">
        <f>K117-J117</f>
        <v/>
      </c>
      <c r="N117" s="8">
        <f>"S"&amp;(INT(K117/Resumen!$C$5)+1)&amp;"–S"&amp;MAX(INT(K117/Resumen!$C$5)+1,ROUNDUP(L117/Resumen!$C$5,0))</f>
        <v/>
      </c>
      <c r="O117" s="8" t="inlineStr">
        <is>
          <t>Hecho</t>
        </is>
      </c>
      <c r="P117" s="8" t="inlineStr">
        <is>
          <t>Agregado</t>
        </is>
      </c>
      <c r="Q117" s="7" t="inlineStr">
        <is>
          <t>Sebas</t>
        </is>
      </c>
      <c r="R117" s="7" t="inlineStr"/>
    </row>
    <row r="119">
      <c r="A119" s="3" t="inlineStr">
        <is>
          <t>Notas</t>
        </is>
      </c>
    </row>
    <row r="120">
      <c r="A120" s="2" t="inlineStr">
        <is>
          <t>Peso (azul, fondo amarillo) = dato de entrada; 1 punto de peso = 1 bloque de tiempo (ver hoja Pesos).</t>
        </is>
      </c>
    </row>
    <row r="121">
      <c r="A121" s="2" t="inlineStr">
        <is>
          <t>«Origen: Agregado» = actividad que no estaba en la propuesta del 31-ago (p. ej. ingreso con código, afiliación, importación).</t>
        </is>
      </c>
    </row>
    <row r="122">
      <c r="A122" s="2" t="inlineStr">
        <is>
          <t>«En paralelo con» lista las tareas que comparten tiempo con esta en el plan optimizado.</t>
        </is>
      </c>
    </row>
    <row r="123">
      <c r="A123" s="2" t="inlineStr">
        <is>
          <t>Espera en cola = bloques entre que la tarea queda lista y una fila la toma.</t>
        </is>
      </c>
    </row>
  </sheetData>
  <autoFilter ref="A4:R117"/>
  <conditionalFormatting sqref="O5:O117">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17"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G127"/>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row>
    <row r="6" ht="26" customHeight="1">
      <c r="A6" s="25" t="inlineStr">
        <is>
          <t>Fila A — tarea en curso</t>
        </is>
      </c>
      <c r="H6" s="26">
        <f>IF(SUMPRODUCT(((Plan!$I$5:$I$117="A")+(Plan!$I$5:$I$117="A+B"))*(Plan!$K$5:$K$117&lt;H$5)*(Plan!$L$5:$L$117&gt;=H$5))=0,"",INDEX(Plan!$A$5:$A$117,SUMPRODUCT(((Plan!$I$5:$I$117="A")+(Plan!$I$5:$I$117="A+B"))*(Plan!$K$5:$K$117&lt;H$5)*(Plan!$L$5:$L$117&gt;=H$5)*(ROW(Plan!$A$5:$A$117)-4))))</f>
        <v/>
      </c>
      <c r="I6" s="26">
        <f>IF(SUMPRODUCT(((Plan!$I$5:$I$117="A")+(Plan!$I$5:$I$117="A+B"))*(Plan!$K$5:$K$117&lt;I$5)*(Plan!$L$5:$L$117&gt;=I$5))=0,"",INDEX(Plan!$A$5:$A$117,SUMPRODUCT(((Plan!$I$5:$I$117="A")+(Plan!$I$5:$I$117="A+B"))*(Plan!$K$5:$K$117&lt;I$5)*(Plan!$L$5:$L$117&gt;=I$5)*(ROW(Plan!$A$5:$A$117)-4))))</f>
        <v/>
      </c>
      <c r="J6" s="26">
        <f>IF(SUMPRODUCT(((Plan!$I$5:$I$117="A")+(Plan!$I$5:$I$117="A+B"))*(Plan!$K$5:$K$117&lt;J$5)*(Plan!$L$5:$L$117&gt;=J$5))=0,"",INDEX(Plan!$A$5:$A$117,SUMPRODUCT(((Plan!$I$5:$I$117="A")+(Plan!$I$5:$I$117="A+B"))*(Plan!$K$5:$K$117&lt;J$5)*(Plan!$L$5:$L$117&gt;=J$5)*(ROW(Plan!$A$5:$A$117)-4))))</f>
        <v/>
      </c>
      <c r="K6" s="26">
        <f>IF(SUMPRODUCT(((Plan!$I$5:$I$117="A")+(Plan!$I$5:$I$117="A+B"))*(Plan!$K$5:$K$117&lt;K$5)*(Plan!$L$5:$L$117&gt;=K$5))=0,"",INDEX(Plan!$A$5:$A$117,SUMPRODUCT(((Plan!$I$5:$I$117="A")+(Plan!$I$5:$I$117="A+B"))*(Plan!$K$5:$K$117&lt;K$5)*(Plan!$L$5:$L$117&gt;=K$5)*(ROW(Plan!$A$5:$A$117)-4))))</f>
        <v/>
      </c>
      <c r="L6" s="26">
        <f>IF(SUMPRODUCT(((Plan!$I$5:$I$117="A")+(Plan!$I$5:$I$117="A+B"))*(Plan!$K$5:$K$117&lt;L$5)*(Plan!$L$5:$L$117&gt;=L$5))=0,"",INDEX(Plan!$A$5:$A$117,SUMPRODUCT(((Plan!$I$5:$I$117="A")+(Plan!$I$5:$I$117="A+B"))*(Plan!$K$5:$K$117&lt;L$5)*(Plan!$L$5:$L$117&gt;=L$5)*(ROW(Plan!$A$5:$A$117)-4))))</f>
        <v/>
      </c>
      <c r="M6" s="26">
        <f>IF(SUMPRODUCT(((Plan!$I$5:$I$117="A")+(Plan!$I$5:$I$117="A+B"))*(Plan!$K$5:$K$117&lt;M$5)*(Plan!$L$5:$L$117&gt;=M$5))=0,"",INDEX(Plan!$A$5:$A$117,SUMPRODUCT(((Plan!$I$5:$I$117="A")+(Plan!$I$5:$I$117="A+B"))*(Plan!$K$5:$K$117&lt;M$5)*(Plan!$L$5:$L$117&gt;=M$5)*(ROW(Plan!$A$5:$A$117)-4))))</f>
        <v/>
      </c>
      <c r="N6" s="26">
        <f>IF(SUMPRODUCT(((Plan!$I$5:$I$117="A")+(Plan!$I$5:$I$117="A+B"))*(Plan!$K$5:$K$117&lt;N$5)*(Plan!$L$5:$L$117&gt;=N$5))=0,"",INDEX(Plan!$A$5:$A$117,SUMPRODUCT(((Plan!$I$5:$I$117="A")+(Plan!$I$5:$I$117="A+B"))*(Plan!$K$5:$K$117&lt;N$5)*(Plan!$L$5:$L$117&gt;=N$5)*(ROW(Plan!$A$5:$A$117)-4))))</f>
        <v/>
      </c>
      <c r="O6" s="26">
        <f>IF(SUMPRODUCT(((Plan!$I$5:$I$117="A")+(Plan!$I$5:$I$117="A+B"))*(Plan!$K$5:$K$117&lt;O$5)*(Plan!$L$5:$L$117&gt;=O$5))=0,"",INDEX(Plan!$A$5:$A$117,SUMPRODUCT(((Plan!$I$5:$I$117="A")+(Plan!$I$5:$I$117="A+B"))*(Plan!$K$5:$K$117&lt;O$5)*(Plan!$L$5:$L$117&gt;=O$5)*(ROW(Plan!$A$5:$A$117)-4))))</f>
        <v/>
      </c>
      <c r="P6" s="26">
        <f>IF(SUMPRODUCT(((Plan!$I$5:$I$117="A")+(Plan!$I$5:$I$117="A+B"))*(Plan!$K$5:$K$117&lt;P$5)*(Plan!$L$5:$L$117&gt;=P$5))=0,"",INDEX(Plan!$A$5:$A$117,SUMPRODUCT(((Plan!$I$5:$I$117="A")+(Plan!$I$5:$I$117="A+B"))*(Plan!$K$5:$K$117&lt;P$5)*(Plan!$L$5:$L$117&gt;=P$5)*(ROW(Plan!$A$5:$A$117)-4))))</f>
        <v/>
      </c>
      <c r="Q6" s="26">
        <f>IF(SUMPRODUCT(((Plan!$I$5:$I$117="A")+(Plan!$I$5:$I$117="A+B"))*(Plan!$K$5:$K$117&lt;Q$5)*(Plan!$L$5:$L$117&gt;=Q$5))=0,"",INDEX(Plan!$A$5:$A$117,SUMPRODUCT(((Plan!$I$5:$I$117="A")+(Plan!$I$5:$I$117="A+B"))*(Plan!$K$5:$K$117&lt;Q$5)*(Plan!$L$5:$L$117&gt;=Q$5)*(ROW(Plan!$A$5:$A$117)-4))))</f>
        <v/>
      </c>
      <c r="R6" s="26">
        <f>IF(SUMPRODUCT(((Plan!$I$5:$I$117="A")+(Plan!$I$5:$I$117="A+B"))*(Plan!$K$5:$K$117&lt;R$5)*(Plan!$L$5:$L$117&gt;=R$5))=0,"",INDEX(Plan!$A$5:$A$117,SUMPRODUCT(((Plan!$I$5:$I$117="A")+(Plan!$I$5:$I$117="A+B"))*(Plan!$K$5:$K$117&lt;R$5)*(Plan!$L$5:$L$117&gt;=R$5)*(ROW(Plan!$A$5:$A$117)-4))))</f>
        <v/>
      </c>
      <c r="S6" s="26">
        <f>IF(SUMPRODUCT(((Plan!$I$5:$I$117="A")+(Plan!$I$5:$I$117="A+B"))*(Plan!$K$5:$K$117&lt;S$5)*(Plan!$L$5:$L$117&gt;=S$5))=0,"",INDEX(Plan!$A$5:$A$117,SUMPRODUCT(((Plan!$I$5:$I$117="A")+(Plan!$I$5:$I$117="A+B"))*(Plan!$K$5:$K$117&lt;S$5)*(Plan!$L$5:$L$117&gt;=S$5)*(ROW(Plan!$A$5:$A$117)-4))))</f>
        <v/>
      </c>
      <c r="T6" s="26">
        <f>IF(SUMPRODUCT(((Plan!$I$5:$I$117="A")+(Plan!$I$5:$I$117="A+B"))*(Plan!$K$5:$K$117&lt;T$5)*(Plan!$L$5:$L$117&gt;=T$5))=0,"",INDEX(Plan!$A$5:$A$117,SUMPRODUCT(((Plan!$I$5:$I$117="A")+(Plan!$I$5:$I$117="A+B"))*(Plan!$K$5:$K$117&lt;T$5)*(Plan!$L$5:$L$117&gt;=T$5)*(ROW(Plan!$A$5:$A$117)-4))))</f>
        <v/>
      </c>
      <c r="U6" s="26">
        <f>IF(SUMPRODUCT(((Plan!$I$5:$I$117="A")+(Plan!$I$5:$I$117="A+B"))*(Plan!$K$5:$K$117&lt;U$5)*(Plan!$L$5:$L$117&gt;=U$5))=0,"",INDEX(Plan!$A$5:$A$117,SUMPRODUCT(((Plan!$I$5:$I$117="A")+(Plan!$I$5:$I$117="A+B"))*(Plan!$K$5:$K$117&lt;U$5)*(Plan!$L$5:$L$117&gt;=U$5)*(ROW(Plan!$A$5:$A$117)-4))))</f>
        <v/>
      </c>
      <c r="V6" s="26">
        <f>IF(SUMPRODUCT(((Plan!$I$5:$I$117="A")+(Plan!$I$5:$I$117="A+B"))*(Plan!$K$5:$K$117&lt;V$5)*(Plan!$L$5:$L$117&gt;=V$5))=0,"",INDEX(Plan!$A$5:$A$117,SUMPRODUCT(((Plan!$I$5:$I$117="A")+(Plan!$I$5:$I$117="A+B"))*(Plan!$K$5:$K$117&lt;V$5)*(Plan!$L$5:$L$117&gt;=V$5)*(ROW(Plan!$A$5:$A$117)-4))))</f>
        <v/>
      </c>
      <c r="W6" s="26">
        <f>IF(SUMPRODUCT(((Plan!$I$5:$I$117="A")+(Plan!$I$5:$I$117="A+B"))*(Plan!$K$5:$K$117&lt;W$5)*(Plan!$L$5:$L$117&gt;=W$5))=0,"",INDEX(Plan!$A$5:$A$117,SUMPRODUCT(((Plan!$I$5:$I$117="A")+(Plan!$I$5:$I$117="A+B"))*(Plan!$K$5:$K$117&lt;W$5)*(Plan!$L$5:$L$117&gt;=W$5)*(ROW(Plan!$A$5:$A$117)-4))))</f>
        <v/>
      </c>
      <c r="X6" s="26">
        <f>IF(SUMPRODUCT(((Plan!$I$5:$I$117="A")+(Plan!$I$5:$I$117="A+B"))*(Plan!$K$5:$K$117&lt;X$5)*(Plan!$L$5:$L$117&gt;=X$5))=0,"",INDEX(Plan!$A$5:$A$117,SUMPRODUCT(((Plan!$I$5:$I$117="A")+(Plan!$I$5:$I$117="A+B"))*(Plan!$K$5:$K$117&lt;X$5)*(Plan!$L$5:$L$117&gt;=X$5)*(ROW(Plan!$A$5:$A$117)-4))))</f>
        <v/>
      </c>
      <c r="Y6" s="26">
        <f>IF(SUMPRODUCT(((Plan!$I$5:$I$117="A")+(Plan!$I$5:$I$117="A+B"))*(Plan!$K$5:$K$117&lt;Y$5)*(Plan!$L$5:$L$117&gt;=Y$5))=0,"",INDEX(Plan!$A$5:$A$117,SUMPRODUCT(((Plan!$I$5:$I$117="A")+(Plan!$I$5:$I$117="A+B"))*(Plan!$K$5:$K$117&lt;Y$5)*(Plan!$L$5:$L$117&gt;=Y$5)*(ROW(Plan!$A$5:$A$117)-4))))</f>
        <v/>
      </c>
      <c r="Z6" s="26">
        <f>IF(SUMPRODUCT(((Plan!$I$5:$I$117="A")+(Plan!$I$5:$I$117="A+B"))*(Plan!$K$5:$K$117&lt;Z$5)*(Plan!$L$5:$L$117&gt;=Z$5))=0,"",INDEX(Plan!$A$5:$A$117,SUMPRODUCT(((Plan!$I$5:$I$117="A")+(Plan!$I$5:$I$117="A+B"))*(Plan!$K$5:$K$117&lt;Z$5)*(Plan!$L$5:$L$117&gt;=Z$5)*(ROW(Plan!$A$5:$A$117)-4))))</f>
        <v/>
      </c>
      <c r="AA6" s="26">
        <f>IF(SUMPRODUCT(((Plan!$I$5:$I$117="A")+(Plan!$I$5:$I$117="A+B"))*(Plan!$K$5:$K$117&lt;AA$5)*(Plan!$L$5:$L$117&gt;=AA$5))=0,"",INDEX(Plan!$A$5:$A$117,SUMPRODUCT(((Plan!$I$5:$I$117="A")+(Plan!$I$5:$I$117="A+B"))*(Plan!$K$5:$K$117&lt;AA$5)*(Plan!$L$5:$L$117&gt;=AA$5)*(ROW(Plan!$A$5:$A$117)-4))))</f>
        <v/>
      </c>
      <c r="AB6" s="26">
        <f>IF(SUMPRODUCT(((Plan!$I$5:$I$117="A")+(Plan!$I$5:$I$117="A+B"))*(Plan!$K$5:$K$117&lt;AB$5)*(Plan!$L$5:$L$117&gt;=AB$5))=0,"",INDEX(Plan!$A$5:$A$117,SUMPRODUCT(((Plan!$I$5:$I$117="A")+(Plan!$I$5:$I$117="A+B"))*(Plan!$K$5:$K$117&lt;AB$5)*(Plan!$L$5:$L$117&gt;=AB$5)*(ROW(Plan!$A$5:$A$117)-4))))</f>
        <v/>
      </c>
      <c r="AC6" s="26">
        <f>IF(SUMPRODUCT(((Plan!$I$5:$I$117="A")+(Plan!$I$5:$I$117="A+B"))*(Plan!$K$5:$K$117&lt;AC$5)*(Plan!$L$5:$L$117&gt;=AC$5))=0,"",INDEX(Plan!$A$5:$A$117,SUMPRODUCT(((Plan!$I$5:$I$117="A")+(Plan!$I$5:$I$117="A+B"))*(Plan!$K$5:$K$117&lt;AC$5)*(Plan!$L$5:$L$117&gt;=AC$5)*(ROW(Plan!$A$5:$A$117)-4))))</f>
        <v/>
      </c>
      <c r="AD6" s="26">
        <f>IF(SUMPRODUCT(((Plan!$I$5:$I$117="A")+(Plan!$I$5:$I$117="A+B"))*(Plan!$K$5:$K$117&lt;AD$5)*(Plan!$L$5:$L$117&gt;=AD$5))=0,"",INDEX(Plan!$A$5:$A$117,SUMPRODUCT(((Plan!$I$5:$I$117="A")+(Plan!$I$5:$I$117="A+B"))*(Plan!$K$5:$K$117&lt;AD$5)*(Plan!$L$5:$L$117&gt;=AD$5)*(ROW(Plan!$A$5:$A$117)-4))))</f>
        <v/>
      </c>
      <c r="AE6" s="26">
        <f>IF(SUMPRODUCT(((Plan!$I$5:$I$117="A")+(Plan!$I$5:$I$117="A+B"))*(Plan!$K$5:$K$117&lt;AE$5)*(Plan!$L$5:$L$117&gt;=AE$5))=0,"",INDEX(Plan!$A$5:$A$117,SUMPRODUCT(((Plan!$I$5:$I$117="A")+(Plan!$I$5:$I$117="A+B"))*(Plan!$K$5:$K$117&lt;AE$5)*(Plan!$L$5:$L$117&gt;=AE$5)*(ROW(Plan!$A$5:$A$117)-4))))</f>
        <v/>
      </c>
      <c r="AF6" s="26">
        <f>IF(SUMPRODUCT(((Plan!$I$5:$I$117="A")+(Plan!$I$5:$I$117="A+B"))*(Plan!$K$5:$K$117&lt;AF$5)*(Plan!$L$5:$L$117&gt;=AF$5))=0,"",INDEX(Plan!$A$5:$A$117,SUMPRODUCT(((Plan!$I$5:$I$117="A")+(Plan!$I$5:$I$117="A+B"))*(Plan!$K$5:$K$117&lt;AF$5)*(Plan!$L$5:$L$117&gt;=AF$5)*(ROW(Plan!$A$5:$A$117)-4))))</f>
        <v/>
      </c>
      <c r="AG6" s="26">
        <f>IF(SUMPRODUCT(((Plan!$I$5:$I$117="A")+(Plan!$I$5:$I$117="A+B"))*(Plan!$K$5:$K$117&lt;AG$5)*(Plan!$L$5:$L$117&gt;=AG$5))=0,"",INDEX(Plan!$A$5:$A$117,SUMPRODUCT(((Plan!$I$5:$I$117="A")+(Plan!$I$5:$I$117="A+B"))*(Plan!$K$5:$K$117&lt;AG$5)*(Plan!$L$5:$L$117&gt;=AG$5)*(ROW(Plan!$A$5:$A$117)-4))))</f>
        <v/>
      </c>
      <c r="AH6" s="26">
        <f>IF(SUMPRODUCT(((Plan!$I$5:$I$117="A")+(Plan!$I$5:$I$117="A+B"))*(Plan!$K$5:$K$117&lt;AH$5)*(Plan!$L$5:$L$117&gt;=AH$5))=0,"",INDEX(Plan!$A$5:$A$117,SUMPRODUCT(((Plan!$I$5:$I$117="A")+(Plan!$I$5:$I$117="A+B"))*(Plan!$K$5:$K$117&lt;AH$5)*(Plan!$L$5:$L$117&gt;=AH$5)*(ROW(Plan!$A$5:$A$117)-4))))</f>
        <v/>
      </c>
      <c r="AI6" s="26">
        <f>IF(SUMPRODUCT(((Plan!$I$5:$I$117="A")+(Plan!$I$5:$I$117="A+B"))*(Plan!$K$5:$K$117&lt;AI$5)*(Plan!$L$5:$L$117&gt;=AI$5))=0,"",INDEX(Plan!$A$5:$A$117,SUMPRODUCT(((Plan!$I$5:$I$117="A")+(Plan!$I$5:$I$117="A+B"))*(Plan!$K$5:$K$117&lt;AI$5)*(Plan!$L$5:$L$117&gt;=AI$5)*(ROW(Plan!$A$5:$A$117)-4))))</f>
        <v/>
      </c>
      <c r="AJ6" s="26">
        <f>IF(SUMPRODUCT(((Plan!$I$5:$I$117="A")+(Plan!$I$5:$I$117="A+B"))*(Plan!$K$5:$K$117&lt;AJ$5)*(Plan!$L$5:$L$117&gt;=AJ$5))=0,"",INDEX(Plan!$A$5:$A$117,SUMPRODUCT(((Plan!$I$5:$I$117="A")+(Plan!$I$5:$I$117="A+B"))*(Plan!$K$5:$K$117&lt;AJ$5)*(Plan!$L$5:$L$117&gt;=AJ$5)*(ROW(Plan!$A$5:$A$117)-4))))</f>
        <v/>
      </c>
      <c r="AK6" s="26">
        <f>IF(SUMPRODUCT(((Plan!$I$5:$I$117="A")+(Plan!$I$5:$I$117="A+B"))*(Plan!$K$5:$K$117&lt;AK$5)*(Plan!$L$5:$L$117&gt;=AK$5))=0,"",INDEX(Plan!$A$5:$A$117,SUMPRODUCT(((Plan!$I$5:$I$117="A")+(Plan!$I$5:$I$117="A+B"))*(Plan!$K$5:$K$117&lt;AK$5)*(Plan!$L$5:$L$117&gt;=AK$5)*(ROW(Plan!$A$5:$A$117)-4))))</f>
        <v/>
      </c>
      <c r="AL6" s="26">
        <f>IF(SUMPRODUCT(((Plan!$I$5:$I$117="A")+(Plan!$I$5:$I$117="A+B"))*(Plan!$K$5:$K$117&lt;AL$5)*(Plan!$L$5:$L$117&gt;=AL$5))=0,"",INDEX(Plan!$A$5:$A$117,SUMPRODUCT(((Plan!$I$5:$I$117="A")+(Plan!$I$5:$I$117="A+B"))*(Plan!$K$5:$K$117&lt;AL$5)*(Plan!$L$5:$L$117&gt;=AL$5)*(ROW(Plan!$A$5:$A$117)-4))))</f>
        <v/>
      </c>
      <c r="AM6" s="26">
        <f>IF(SUMPRODUCT(((Plan!$I$5:$I$117="A")+(Plan!$I$5:$I$117="A+B"))*(Plan!$K$5:$K$117&lt;AM$5)*(Plan!$L$5:$L$117&gt;=AM$5))=0,"",INDEX(Plan!$A$5:$A$117,SUMPRODUCT(((Plan!$I$5:$I$117="A")+(Plan!$I$5:$I$117="A+B"))*(Plan!$K$5:$K$117&lt;AM$5)*(Plan!$L$5:$L$117&gt;=AM$5)*(ROW(Plan!$A$5:$A$117)-4))))</f>
        <v/>
      </c>
      <c r="AN6" s="26">
        <f>IF(SUMPRODUCT(((Plan!$I$5:$I$117="A")+(Plan!$I$5:$I$117="A+B"))*(Plan!$K$5:$K$117&lt;AN$5)*(Plan!$L$5:$L$117&gt;=AN$5))=0,"",INDEX(Plan!$A$5:$A$117,SUMPRODUCT(((Plan!$I$5:$I$117="A")+(Plan!$I$5:$I$117="A+B"))*(Plan!$K$5:$K$117&lt;AN$5)*(Plan!$L$5:$L$117&gt;=AN$5)*(ROW(Plan!$A$5:$A$117)-4))))</f>
        <v/>
      </c>
      <c r="AO6" s="26">
        <f>IF(SUMPRODUCT(((Plan!$I$5:$I$117="A")+(Plan!$I$5:$I$117="A+B"))*(Plan!$K$5:$K$117&lt;AO$5)*(Plan!$L$5:$L$117&gt;=AO$5))=0,"",INDEX(Plan!$A$5:$A$117,SUMPRODUCT(((Plan!$I$5:$I$117="A")+(Plan!$I$5:$I$117="A+B"))*(Plan!$K$5:$K$117&lt;AO$5)*(Plan!$L$5:$L$117&gt;=AO$5)*(ROW(Plan!$A$5:$A$117)-4))))</f>
        <v/>
      </c>
      <c r="AP6" s="26">
        <f>IF(SUMPRODUCT(((Plan!$I$5:$I$117="A")+(Plan!$I$5:$I$117="A+B"))*(Plan!$K$5:$K$117&lt;AP$5)*(Plan!$L$5:$L$117&gt;=AP$5))=0,"",INDEX(Plan!$A$5:$A$117,SUMPRODUCT(((Plan!$I$5:$I$117="A")+(Plan!$I$5:$I$117="A+B"))*(Plan!$K$5:$K$117&lt;AP$5)*(Plan!$L$5:$L$117&gt;=AP$5)*(ROW(Plan!$A$5:$A$117)-4))))</f>
        <v/>
      </c>
      <c r="AQ6" s="26">
        <f>IF(SUMPRODUCT(((Plan!$I$5:$I$117="A")+(Plan!$I$5:$I$117="A+B"))*(Plan!$K$5:$K$117&lt;AQ$5)*(Plan!$L$5:$L$117&gt;=AQ$5))=0,"",INDEX(Plan!$A$5:$A$117,SUMPRODUCT(((Plan!$I$5:$I$117="A")+(Plan!$I$5:$I$117="A+B"))*(Plan!$K$5:$K$117&lt;AQ$5)*(Plan!$L$5:$L$117&gt;=AQ$5)*(ROW(Plan!$A$5:$A$117)-4))))</f>
        <v/>
      </c>
      <c r="AR6" s="26">
        <f>IF(SUMPRODUCT(((Plan!$I$5:$I$117="A")+(Plan!$I$5:$I$117="A+B"))*(Plan!$K$5:$K$117&lt;AR$5)*(Plan!$L$5:$L$117&gt;=AR$5))=0,"",INDEX(Plan!$A$5:$A$117,SUMPRODUCT(((Plan!$I$5:$I$117="A")+(Plan!$I$5:$I$117="A+B"))*(Plan!$K$5:$K$117&lt;AR$5)*(Plan!$L$5:$L$117&gt;=AR$5)*(ROW(Plan!$A$5:$A$117)-4))))</f>
        <v/>
      </c>
      <c r="AS6" s="26">
        <f>IF(SUMPRODUCT(((Plan!$I$5:$I$117="A")+(Plan!$I$5:$I$117="A+B"))*(Plan!$K$5:$K$117&lt;AS$5)*(Plan!$L$5:$L$117&gt;=AS$5))=0,"",INDEX(Plan!$A$5:$A$117,SUMPRODUCT(((Plan!$I$5:$I$117="A")+(Plan!$I$5:$I$117="A+B"))*(Plan!$K$5:$K$117&lt;AS$5)*(Plan!$L$5:$L$117&gt;=AS$5)*(ROW(Plan!$A$5:$A$117)-4))))</f>
        <v/>
      </c>
      <c r="AT6" s="26">
        <f>IF(SUMPRODUCT(((Plan!$I$5:$I$117="A")+(Plan!$I$5:$I$117="A+B"))*(Plan!$K$5:$K$117&lt;AT$5)*(Plan!$L$5:$L$117&gt;=AT$5))=0,"",INDEX(Plan!$A$5:$A$117,SUMPRODUCT(((Plan!$I$5:$I$117="A")+(Plan!$I$5:$I$117="A+B"))*(Plan!$K$5:$K$117&lt;AT$5)*(Plan!$L$5:$L$117&gt;=AT$5)*(ROW(Plan!$A$5:$A$117)-4))))</f>
        <v/>
      </c>
      <c r="AU6" s="26">
        <f>IF(SUMPRODUCT(((Plan!$I$5:$I$117="A")+(Plan!$I$5:$I$117="A+B"))*(Plan!$K$5:$K$117&lt;AU$5)*(Plan!$L$5:$L$117&gt;=AU$5))=0,"",INDEX(Plan!$A$5:$A$117,SUMPRODUCT(((Plan!$I$5:$I$117="A")+(Plan!$I$5:$I$117="A+B"))*(Plan!$K$5:$K$117&lt;AU$5)*(Plan!$L$5:$L$117&gt;=AU$5)*(ROW(Plan!$A$5:$A$117)-4))))</f>
        <v/>
      </c>
      <c r="AV6" s="26">
        <f>IF(SUMPRODUCT(((Plan!$I$5:$I$117="A")+(Plan!$I$5:$I$117="A+B"))*(Plan!$K$5:$K$117&lt;AV$5)*(Plan!$L$5:$L$117&gt;=AV$5))=0,"",INDEX(Plan!$A$5:$A$117,SUMPRODUCT(((Plan!$I$5:$I$117="A")+(Plan!$I$5:$I$117="A+B"))*(Plan!$K$5:$K$117&lt;AV$5)*(Plan!$L$5:$L$117&gt;=AV$5)*(ROW(Plan!$A$5:$A$117)-4))))</f>
        <v/>
      </c>
      <c r="AW6" s="26">
        <f>IF(SUMPRODUCT(((Plan!$I$5:$I$117="A")+(Plan!$I$5:$I$117="A+B"))*(Plan!$K$5:$K$117&lt;AW$5)*(Plan!$L$5:$L$117&gt;=AW$5))=0,"",INDEX(Plan!$A$5:$A$117,SUMPRODUCT(((Plan!$I$5:$I$117="A")+(Plan!$I$5:$I$117="A+B"))*(Plan!$K$5:$K$117&lt;AW$5)*(Plan!$L$5:$L$117&gt;=AW$5)*(ROW(Plan!$A$5:$A$117)-4))))</f>
        <v/>
      </c>
      <c r="AX6" s="26">
        <f>IF(SUMPRODUCT(((Plan!$I$5:$I$117="A")+(Plan!$I$5:$I$117="A+B"))*(Plan!$K$5:$K$117&lt;AX$5)*(Plan!$L$5:$L$117&gt;=AX$5))=0,"",INDEX(Plan!$A$5:$A$117,SUMPRODUCT(((Plan!$I$5:$I$117="A")+(Plan!$I$5:$I$117="A+B"))*(Plan!$K$5:$K$117&lt;AX$5)*(Plan!$L$5:$L$117&gt;=AX$5)*(ROW(Plan!$A$5:$A$117)-4))))</f>
        <v/>
      </c>
      <c r="AY6" s="26">
        <f>IF(SUMPRODUCT(((Plan!$I$5:$I$117="A")+(Plan!$I$5:$I$117="A+B"))*(Plan!$K$5:$K$117&lt;AY$5)*(Plan!$L$5:$L$117&gt;=AY$5))=0,"",INDEX(Plan!$A$5:$A$117,SUMPRODUCT(((Plan!$I$5:$I$117="A")+(Plan!$I$5:$I$117="A+B"))*(Plan!$K$5:$K$117&lt;AY$5)*(Plan!$L$5:$L$117&gt;=AY$5)*(ROW(Plan!$A$5:$A$117)-4))))</f>
        <v/>
      </c>
      <c r="AZ6" s="26">
        <f>IF(SUMPRODUCT(((Plan!$I$5:$I$117="A")+(Plan!$I$5:$I$117="A+B"))*(Plan!$K$5:$K$117&lt;AZ$5)*(Plan!$L$5:$L$117&gt;=AZ$5))=0,"",INDEX(Plan!$A$5:$A$117,SUMPRODUCT(((Plan!$I$5:$I$117="A")+(Plan!$I$5:$I$117="A+B"))*(Plan!$K$5:$K$117&lt;AZ$5)*(Plan!$L$5:$L$117&gt;=AZ$5)*(ROW(Plan!$A$5:$A$117)-4))))</f>
        <v/>
      </c>
      <c r="BA6" s="26">
        <f>IF(SUMPRODUCT(((Plan!$I$5:$I$117="A")+(Plan!$I$5:$I$117="A+B"))*(Plan!$K$5:$K$117&lt;BA$5)*(Plan!$L$5:$L$117&gt;=BA$5))=0,"",INDEX(Plan!$A$5:$A$117,SUMPRODUCT(((Plan!$I$5:$I$117="A")+(Plan!$I$5:$I$117="A+B"))*(Plan!$K$5:$K$117&lt;BA$5)*(Plan!$L$5:$L$117&gt;=BA$5)*(ROW(Plan!$A$5:$A$117)-4))))</f>
        <v/>
      </c>
      <c r="BB6" s="26">
        <f>IF(SUMPRODUCT(((Plan!$I$5:$I$117="A")+(Plan!$I$5:$I$117="A+B"))*(Plan!$K$5:$K$117&lt;BB$5)*(Plan!$L$5:$L$117&gt;=BB$5))=0,"",INDEX(Plan!$A$5:$A$117,SUMPRODUCT(((Plan!$I$5:$I$117="A")+(Plan!$I$5:$I$117="A+B"))*(Plan!$K$5:$K$117&lt;BB$5)*(Plan!$L$5:$L$117&gt;=BB$5)*(ROW(Plan!$A$5:$A$117)-4))))</f>
        <v/>
      </c>
      <c r="BC6" s="26">
        <f>IF(SUMPRODUCT(((Plan!$I$5:$I$117="A")+(Plan!$I$5:$I$117="A+B"))*(Plan!$K$5:$K$117&lt;BC$5)*(Plan!$L$5:$L$117&gt;=BC$5))=0,"",INDEX(Plan!$A$5:$A$117,SUMPRODUCT(((Plan!$I$5:$I$117="A")+(Plan!$I$5:$I$117="A+B"))*(Plan!$K$5:$K$117&lt;BC$5)*(Plan!$L$5:$L$117&gt;=BC$5)*(ROW(Plan!$A$5:$A$117)-4))))</f>
        <v/>
      </c>
      <c r="BD6" s="26">
        <f>IF(SUMPRODUCT(((Plan!$I$5:$I$117="A")+(Plan!$I$5:$I$117="A+B"))*(Plan!$K$5:$K$117&lt;BD$5)*(Plan!$L$5:$L$117&gt;=BD$5))=0,"",INDEX(Plan!$A$5:$A$117,SUMPRODUCT(((Plan!$I$5:$I$117="A")+(Plan!$I$5:$I$117="A+B"))*(Plan!$K$5:$K$117&lt;BD$5)*(Plan!$L$5:$L$117&gt;=BD$5)*(ROW(Plan!$A$5:$A$117)-4))))</f>
        <v/>
      </c>
      <c r="BE6" s="26">
        <f>IF(SUMPRODUCT(((Plan!$I$5:$I$117="A")+(Plan!$I$5:$I$117="A+B"))*(Plan!$K$5:$K$117&lt;BE$5)*(Plan!$L$5:$L$117&gt;=BE$5))=0,"",INDEX(Plan!$A$5:$A$117,SUMPRODUCT(((Plan!$I$5:$I$117="A")+(Plan!$I$5:$I$117="A+B"))*(Plan!$K$5:$K$117&lt;BE$5)*(Plan!$L$5:$L$117&gt;=BE$5)*(ROW(Plan!$A$5:$A$117)-4))))</f>
        <v/>
      </c>
      <c r="BF6" s="26">
        <f>IF(SUMPRODUCT(((Plan!$I$5:$I$117="A")+(Plan!$I$5:$I$117="A+B"))*(Plan!$K$5:$K$117&lt;BF$5)*(Plan!$L$5:$L$117&gt;=BF$5))=0,"",INDEX(Plan!$A$5:$A$117,SUMPRODUCT(((Plan!$I$5:$I$117="A")+(Plan!$I$5:$I$117="A+B"))*(Plan!$K$5:$K$117&lt;BF$5)*(Plan!$L$5:$L$117&gt;=BF$5)*(ROW(Plan!$A$5:$A$117)-4))))</f>
        <v/>
      </c>
      <c r="BG6" s="26">
        <f>IF(SUMPRODUCT(((Plan!$I$5:$I$117="A")+(Plan!$I$5:$I$117="A+B"))*(Plan!$K$5:$K$117&lt;BG$5)*(Plan!$L$5:$L$117&gt;=BG$5))=0,"",INDEX(Plan!$A$5:$A$117,SUMPRODUCT(((Plan!$I$5:$I$117="A")+(Plan!$I$5:$I$117="A+B"))*(Plan!$K$5:$K$117&lt;BG$5)*(Plan!$L$5:$L$117&gt;=BG$5)*(ROW(Plan!$A$5:$A$117)-4))))</f>
        <v/>
      </c>
      <c r="BH6" s="26">
        <f>IF(SUMPRODUCT(((Plan!$I$5:$I$117="A")+(Plan!$I$5:$I$117="A+B"))*(Plan!$K$5:$K$117&lt;BH$5)*(Plan!$L$5:$L$117&gt;=BH$5))=0,"",INDEX(Plan!$A$5:$A$117,SUMPRODUCT(((Plan!$I$5:$I$117="A")+(Plan!$I$5:$I$117="A+B"))*(Plan!$K$5:$K$117&lt;BH$5)*(Plan!$L$5:$L$117&gt;=BH$5)*(ROW(Plan!$A$5:$A$117)-4))))</f>
        <v/>
      </c>
      <c r="BI6" s="26">
        <f>IF(SUMPRODUCT(((Plan!$I$5:$I$117="A")+(Plan!$I$5:$I$117="A+B"))*(Plan!$K$5:$K$117&lt;BI$5)*(Plan!$L$5:$L$117&gt;=BI$5))=0,"",INDEX(Plan!$A$5:$A$117,SUMPRODUCT(((Plan!$I$5:$I$117="A")+(Plan!$I$5:$I$117="A+B"))*(Plan!$K$5:$K$117&lt;BI$5)*(Plan!$L$5:$L$117&gt;=BI$5)*(ROW(Plan!$A$5:$A$117)-4))))</f>
        <v/>
      </c>
      <c r="BJ6" s="26">
        <f>IF(SUMPRODUCT(((Plan!$I$5:$I$117="A")+(Plan!$I$5:$I$117="A+B"))*(Plan!$K$5:$K$117&lt;BJ$5)*(Plan!$L$5:$L$117&gt;=BJ$5))=0,"",INDEX(Plan!$A$5:$A$117,SUMPRODUCT(((Plan!$I$5:$I$117="A")+(Plan!$I$5:$I$117="A+B"))*(Plan!$K$5:$K$117&lt;BJ$5)*(Plan!$L$5:$L$117&gt;=BJ$5)*(ROW(Plan!$A$5:$A$117)-4))))</f>
        <v/>
      </c>
      <c r="BK6" s="26">
        <f>IF(SUMPRODUCT(((Plan!$I$5:$I$117="A")+(Plan!$I$5:$I$117="A+B"))*(Plan!$K$5:$K$117&lt;BK$5)*(Plan!$L$5:$L$117&gt;=BK$5))=0,"",INDEX(Plan!$A$5:$A$117,SUMPRODUCT(((Plan!$I$5:$I$117="A")+(Plan!$I$5:$I$117="A+B"))*(Plan!$K$5:$K$117&lt;BK$5)*(Plan!$L$5:$L$117&gt;=BK$5)*(ROW(Plan!$A$5:$A$117)-4))))</f>
        <v/>
      </c>
      <c r="BL6" s="26">
        <f>IF(SUMPRODUCT(((Plan!$I$5:$I$117="A")+(Plan!$I$5:$I$117="A+B"))*(Plan!$K$5:$K$117&lt;BL$5)*(Plan!$L$5:$L$117&gt;=BL$5))=0,"",INDEX(Plan!$A$5:$A$117,SUMPRODUCT(((Plan!$I$5:$I$117="A")+(Plan!$I$5:$I$117="A+B"))*(Plan!$K$5:$K$117&lt;BL$5)*(Plan!$L$5:$L$117&gt;=BL$5)*(ROW(Plan!$A$5:$A$117)-4))))</f>
        <v/>
      </c>
      <c r="BM6" s="26">
        <f>IF(SUMPRODUCT(((Plan!$I$5:$I$117="A")+(Plan!$I$5:$I$117="A+B"))*(Plan!$K$5:$K$117&lt;BM$5)*(Plan!$L$5:$L$117&gt;=BM$5))=0,"",INDEX(Plan!$A$5:$A$117,SUMPRODUCT(((Plan!$I$5:$I$117="A")+(Plan!$I$5:$I$117="A+B"))*(Plan!$K$5:$K$117&lt;BM$5)*(Plan!$L$5:$L$117&gt;=BM$5)*(ROW(Plan!$A$5:$A$117)-4))))</f>
        <v/>
      </c>
      <c r="BN6" s="26">
        <f>IF(SUMPRODUCT(((Plan!$I$5:$I$117="A")+(Plan!$I$5:$I$117="A+B"))*(Plan!$K$5:$K$117&lt;BN$5)*(Plan!$L$5:$L$117&gt;=BN$5))=0,"",INDEX(Plan!$A$5:$A$117,SUMPRODUCT(((Plan!$I$5:$I$117="A")+(Plan!$I$5:$I$117="A+B"))*(Plan!$K$5:$K$117&lt;BN$5)*(Plan!$L$5:$L$117&gt;=BN$5)*(ROW(Plan!$A$5:$A$117)-4))))</f>
        <v/>
      </c>
      <c r="BO6" s="26">
        <f>IF(SUMPRODUCT(((Plan!$I$5:$I$117="A")+(Plan!$I$5:$I$117="A+B"))*(Plan!$K$5:$K$117&lt;BO$5)*(Plan!$L$5:$L$117&gt;=BO$5))=0,"",INDEX(Plan!$A$5:$A$117,SUMPRODUCT(((Plan!$I$5:$I$117="A")+(Plan!$I$5:$I$117="A+B"))*(Plan!$K$5:$K$117&lt;BO$5)*(Plan!$L$5:$L$117&gt;=BO$5)*(ROW(Plan!$A$5:$A$117)-4))))</f>
        <v/>
      </c>
      <c r="BP6" s="26">
        <f>IF(SUMPRODUCT(((Plan!$I$5:$I$117="A")+(Plan!$I$5:$I$117="A+B"))*(Plan!$K$5:$K$117&lt;BP$5)*(Plan!$L$5:$L$117&gt;=BP$5))=0,"",INDEX(Plan!$A$5:$A$117,SUMPRODUCT(((Plan!$I$5:$I$117="A")+(Plan!$I$5:$I$117="A+B"))*(Plan!$K$5:$K$117&lt;BP$5)*(Plan!$L$5:$L$117&gt;=BP$5)*(ROW(Plan!$A$5:$A$117)-4))))</f>
        <v/>
      </c>
      <c r="BQ6" s="26">
        <f>IF(SUMPRODUCT(((Plan!$I$5:$I$117="A")+(Plan!$I$5:$I$117="A+B"))*(Plan!$K$5:$K$117&lt;BQ$5)*(Plan!$L$5:$L$117&gt;=BQ$5))=0,"",INDEX(Plan!$A$5:$A$117,SUMPRODUCT(((Plan!$I$5:$I$117="A")+(Plan!$I$5:$I$117="A+B"))*(Plan!$K$5:$K$117&lt;BQ$5)*(Plan!$L$5:$L$117&gt;=BQ$5)*(ROW(Plan!$A$5:$A$117)-4))))</f>
        <v/>
      </c>
      <c r="BR6" s="26">
        <f>IF(SUMPRODUCT(((Plan!$I$5:$I$117="A")+(Plan!$I$5:$I$117="A+B"))*(Plan!$K$5:$K$117&lt;BR$5)*(Plan!$L$5:$L$117&gt;=BR$5))=0,"",INDEX(Plan!$A$5:$A$117,SUMPRODUCT(((Plan!$I$5:$I$117="A")+(Plan!$I$5:$I$117="A+B"))*(Plan!$K$5:$K$117&lt;BR$5)*(Plan!$L$5:$L$117&gt;=BR$5)*(ROW(Plan!$A$5:$A$117)-4))))</f>
        <v/>
      </c>
      <c r="BS6" s="26">
        <f>IF(SUMPRODUCT(((Plan!$I$5:$I$117="A")+(Plan!$I$5:$I$117="A+B"))*(Plan!$K$5:$K$117&lt;BS$5)*(Plan!$L$5:$L$117&gt;=BS$5))=0,"",INDEX(Plan!$A$5:$A$117,SUMPRODUCT(((Plan!$I$5:$I$117="A")+(Plan!$I$5:$I$117="A+B"))*(Plan!$K$5:$K$117&lt;BS$5)*(Plan!$L$5:$L$117&gt;=BS$5)*(ROW(Plan!$A$5:$A$117)-4))))</f>
        <v/>
      </c>
      <c r="BT6" s="26">
        <f>IF(SUMPRODUCT(((Plan!$I$5:$I$117="A")+(Plan!$I$5:$I$117="A+B"))*(Plan!$K$5:$K$117&lt;BT$5)*(Plan!$L$5:$L$117&gt;=BT$5))=0,"",INDEX(Plan!$A$5:$A$117,SUMPRODUCT(((Plan!$I$5:$I$117="A")+(Plan!$I$5:$I$117="A+B"))*(Plan!$K$5:$K$117&lt;BT$5)*(Plan!$L$5:$L$117&gt;=BT$5)*(ROW(Plan!$A$5:$A$117)-4))))</f>
        <v/>
      </c>
      <c r="BU6" s="26">
        <f>IF(SUMPRODUCT(((Plan!$I$5:$I$117="A")+(Plan!$I$5:$I$117="A+B"))*(Plan!$K$5:$K$117&lt;BU$5)*(Plan!$L$5:$L$117&gt;=BU$5))=0,"",INDEX(Plan!$A$5:$A$117,SUMPRODUCT(((Plan!$I$5:$I$117="A")+(Plan!$I$5:$I$117="A+B"))*(Plan!$K$5:$K$117&lt;BU$5)*(Plan!$L$5:$L$117&gt;=BU$5)*(ROW(Plan!$A$5:$A$117)-4))))</f>
        <v/>
      </c>
      <c r="BV6" s="26">
        <f>IF(SUMPRODUCT(((Plan!$I$5:$I$117="A")+(Plan!$I$5:$I$117="A+B"))*(Plan!$K$5:$K$117&lt;BV$5)*(Plan!$L$5:$L$117&gt;=BV$5))=0,"",INDEX(Plan!$A$5:$A$117,SUMPRODUCT(((Plan!$I$5:$I$117="A")+(Plan!$I$5:$I$117="A+B"))*(Plan!$K$5:$K$117&lt;BV$5)*(Plan!$L$5:$L$117&gt;=BV$5)*(ROW(Plan!$A$5:$A$117)-4))))</f>
        <v/>
      </c>
      <c r="BW6" s="26">
        <f>IF(SUMPRODUCT(((Plan!$I$5:$I$117="A")+(Plan!$I$5:$I$117="A+B"))*(Plan!$K$5:$K$117&lt;BW$5)*(Plan!$L$5:$L$117&gt;=BW$5))=0,"",INDEX(Plan!$A$5:$A$117,SUMPRODUCT(((Plan!$I$5:$I$117="A")+(Plan!$I$5:$I$117="A+B"))*(Plan!$K$5:$K$117&lt;BW$5)*(Plan!$L$5:$L$117&gt;=BW$5)*(ROW(Plan!$A$5:$A$117)-4))))</f>
        <v/>
      </c>
      <c r="BX6" s="26">
        <f>IF(SUMPRODUCT(((Plan!$I$5:$I$117="A")+(Plan!$I$5:$I$117="A+B"))*(Plan!$K$5:$K$117&lt;BX$5)*(Plan!$L$5:$L$117&gt;=BX$5))=0,"",INDEX(Plan!$A$5:$A$117,SUMPRODUCT(((Plan!$I$5:$I$117="A")+(Plan!$I$5:$I$117="A+B"))*(Plan!$K$5:$K$117&lt;BX$5)*(Plan!$L$5:$L$117&gt;=BX$5)*(ROW(Plan!$A$5:$A$117)-4))))</f>
        <v/>
      </c>
      <c r="BY6" s="26">
        <f>IF(SUMPRODUCT(((Plan!$I$5:$I$117="A")+(Plan!$I$5:$I$117="A+B"))*(Plan!$K$5:$K$117&lt;BY$5)*(Plan!$L$5:$L$117&gt;=BY$5))=0,"",INDEX(Plan!$A$5:$A$117,SUMPRODUCT(((Plan!$I$5:$I$117="A")+(Plan!$I$5:$I$117="A+B"))*(Plan!$K$5:$K$117&lt;BY$5)*(Plan!$L$5:$L$117&gt;=BY$5)*(ROW(Plan!$A$5:$A$117)-4))))</f>
        <v/>
      </c>
      <c r="BZ6" s="26">
        <f>IF(SUMPRODUCT(((Plan!$I$5:$I$117="A")+(Plan!$I$5:$I$117="A+B"))*(Plan!$K$5:$K$117&lt;BZ$5)*(Plan!$L$5:$L$117&gt;=BZ$5))=0,"",INDEX(Plan!$A$5:$A$117,SUMPRODUCT(((Plan!$I$5:$I$117="A")+(Plan!$I$5:$I$117="A+B"))*(Plan!$K$5:$K$117&lt;BZ$5)*(Plan!$L$5:$L$117&gt;=BZ$5)*(ROW(Plan!$A$5:$A$117)-4))))</f>
        <v/>
      </c>
      <c r="CA6" s="26">
        <f>IF(SUMPRODUCT(((Plan!$I$5:$I$117="A")+(Plan!$I$5:$I$117="A+B"))*(Plan!$K$5:$K$117&lt;CA$5)*(Plan!$L$5:$L$117&gt;=CA$5))=0,"",INDEX(Plan!$A$5:$A$117,SUMPRODUCT(((Plan!$I$5:$I$117="A")+(Plan!$I$5:$I$117="A+B"))*(Plan!$K$5:$K$117&lt;CA$5)*(Plan!$L$5:$L$117&gt;=CA$5)*(ROW(Plan!$A$5:$A$117)-4))))</f>
        <v/>
      </c>
      <c r="CB6" s="26">
        <f>IF(SUMPRODUCT(((Plan!$I$5:$I$117="A")+(Plan!$I$5:$I$117="A+B"))*(Plan!$K$5:$K$117&lt;CB$5)*(Plan!$L$5:$L$117&gt;=CB$5))=0,"",INDEX(Plan!$A$5:$A$117,SUMPRODUCT(((Plan!$I$5:$I$117="A")+(Plan!$I$5:$I$117="A+B"))*(Plan!$K$5:$K$117&lt;CB$5)*(Plan!$L$5:$L$117&gt;=CB$5)*(ROW(Plan!$A$5:$A$117)-4))))</f>
        <v/>
      </c>
      <c r="CC6" s="26">
        <f>IF(SUMPRODUCT(((Plan!$I$5:$I$117="A")+(Plan!$I$5:$I$117="A+B"))*(Plan!$K$5:$K$117&lt;CC$5)*(Plan!$L$5:$L$117&gt;=CC$5))=0,"",INDEX(Plan!$A$5:$A$117,SUMPRODUCT(((Plan!$I$5:$I$117="A")+(Plan!$I$5:$I$117="A+B"))*(Plan!$K$5:$K$117&lt;CC$5)*(Plan!$L$5:$L$117&gt;=CC$5)*(ROW(Plan!$A$5:$A$117)-4))))</f>
        <v/>
      </c>
      <c r="CD6" s="26">
        <f>IF(SUMPRODUCT(((Plan!$I$5:$I$117="A")+(Plan!$I$5:$I$117="A+B"))*(Plan!$K$5:$K$117&lt;CD$5)*(Plan!$L$5:$L$117&gt;=CD$5))=0,"",INDEX(Plan!$A$5:$A$117,SUMPRODUCT(((Plan!$I$5:$I$117="A")+(Plan!$I$5:$I$117="A+B"))*(Plan!$K$5:$K$117&lt;CD$5)*(Plan!$L$5:$L$117&gt;=CD$5)*(ROW(Plan!$A$5:$A$117)-4))))</f>
        <v/>
      </c>
      <c r="CE6" s="26">
        <f>IF(SUMPRODUCT(((Plan!$I$5:$I$117="A")+(Plan!$I$5:$I$117="A+B"))*(Plan!$K$5:$K$117&lt;CE$5)*(Plan!$L$5:$L$117&gt;=CE$5))=0,"",INDEX(Plan!$A$5:$A$117,SUMPRODUCT(((Plan!$I$5:$I$117="A")+(Plan!$I$5:$I$117="A+B"))*(Plan!$K$5:$K$117&lt;CE$5)*(Plan!$L$5:$L$117&gt;=CE$5)*(ROW(Plan!$A$5:$A$117)-4))))</f>
        <v/>
      </c>
      <c r="CF6" s="26">
        <f>IF(SUMPRODUCT(((Plan!$I$5:$I$117="A")+(Plan!$I$5:$I$117="A+B"))*(Plan!$K$5:$K$117&lt;CF$5)*(Plan!$L$5:$L$117&gt;=CF$5))=0,"",INDEX(Plan!$A$5:$A$117,SUMPRODUCT(((Plan!$I$5:$I$117="A")+(Plan!$I$5:$I$117="A+B"))*(Plan!$K$5:$K$117&lt;CF$5)*(Plan!$L$5:$L$117&gt;=CF$5)*(ROW(Plan!$A$5:$A$117)-4))))</f>
        <v/>
      </c>
      <c r="CG6" s="26">
        <f>IF(SUMPRODUCT(((Plan!$I$5:$I$117="A")+(Plan!$I$5:$I$117="A+B"))*(Plan!$K$5:$K$117&lt;CG$5)*(Plan!$L$5:$L$117&gt;=CG$5))=0,"",INDEX(Plan!$A$5:$A$117,SUMPRODUCT(((Plan!$I$5:$I$117="A")+(Plan!$I$5:$I$117="A+B"))*(Plan!$K$5:$K$117&lt;CG$5)*(Plan!$L$5:$L$117&gt;=CG$5)*(ROW(Plan!$A$5:$A$117)-4))))</f>
        <v/>
      </c>
      <c r="CH6" s="26">
        <f>IF(SUMPRODUCT(((Plan!$I$5:$I$117="A")+(Plan!$I$5:$I$117="A+B"))*(Plan!$K$5:$K$117&lt;CH$5)*(Plan!$L$5:$L$117&gt;=CH$5))=0,"",INDEX(Plan!$A$5:$A$117,SUMPRODUCT(((Plan!$I$5:$I$117="A")+(Plan!$I$5:$I$117="A+B"))*(Plan!$K$5:$K$117&lt;CH$5)*(Plan!$L$5:$L$117&gt;=CH$5)*(ROW(Plan!$A$5:$A$117)-4))))</f>
        <v/>
      </c>
      <c r="CI6" s="26">
        <f>IF(SUMPRODUCT(((Plan!$I$5:$I$117="A")+(Plan!$I$5:$I$117="A+B"))*(Plan!$K$5:$K$117&lt;CI$5)*(Plan!$L$5:$L$117&gt;=CI$5))=0,"",INDEX(Plan!$A$5:$A$117,SUMPRODUCT(((Plan!$I$5:$I$117="A")+(Plan!$I$5:$I$117="A+B"))*(Plan!$K$5:$K$117&lt;CI$5)*(Plan!$L$5:$L$117&gt;=CI$5)*(ROW(Plan!$A$5:$A$117)-4))))</f>
        <v/>
      </c>
      <c r="CJ6" s="26">
        <f>IF(SUMPRODUCT(((Plan!$I$5:$I$117="A")+(Plan!$I$5:$I$117="A+B"))*(Plan!$K$5:$K$117&lt;CJ$5)*(Plan!$L$5:$L$117&gt;=CJ$5))=0,"",INDEX(Plan!$A$5:$A$117,SUMPRODUCT(((Plan!$I$5:$I$117="A")+(Plan!$I$5:$I$117="A+B"))*(Plan!$K$5:$K$117&lt;CJ$5)*(Plan!$L$5:$L$117&gt;=CJ$5)*(ROW(Plan!$A$5:$A$117)-4))))</f>
        <v/>
      </c>
      <c r="CK6" s="26">
        <f>IF(SUMPRODUCT(((Plan!$I$5:$I$117="A")+(Plan!$I$5:$I$117="A+B"))*(Plan!$K$5:$K$117&lt;CK$5)*(Plan!$L$5:$L$117&gt;=CK$5))=0,"",INDEX(Plan!$A$5:$A$117,SUMPRODUCT(((Plan!$I$5:$I$117="A")+(Plan!$I$5:$I$117="A+B"))*(Plan!$K$5:$K$117&lt;CK$5)*(Plan!$L$5:$L$117&gt;=CK$5)*(ROW(Plan!$A$5:$A$117)-4))))</f>
        <v/>
      </c>
      <c r="CL6" s="26">
        <f>IF(SUMPRODUCT(((Plan!$I$5:$I$117="A")+(Plan!$I$5:$I$117="A+B"))*(Plan!$K$5:$K$117&lt;CL$5)*(Plan!$L$5:$L$117&gt;=CL$5))=0,"",INDEX(Plan!$A$5:$A$117,SUMPRODUCT(((Plan!$I$5:$I$117="A")+(Plan!$I$5:$I$117="A+B"))*(Plan!$K$5:$K$117&lt;CL$5)*(Plan!$L$5:$L$117&gt;=CL$5)*(ROW(Plan!$A$5:$A$117)-4))))</f>
        <v/>
      </c>
      <c r="CM6" s="26">
        <f>IF(SUMPRODUCT(((Plan!$I$5:$I$117="A")+(Plan!$I$5:$I$117="A+B"))*(Plan!$K$5:$K$117&lt;CM$5)*(Plan!$L$5:$L$117&gt;=CM$5))=0,"",INDEX(Plan!$A$5:$A$117,SUMPRODUCT(((Plan!$I$5:$I$117="A")+(Plan!$I$5:$I$117="A+B"))*(Plan!$K$5:$K$117&lt;CM$5)*(Plan!$L$5:$L$117&gt;=CM$5)*(ROW(Plan!$A$5:$A$117)-4))))</f>
        <v/>
      </c>
      <c r="CN6" s="26">
        <f>IF(SUMPRODUCT(((Plan!$I$5:$I$117="A")+(Plan!$I$5:$I$117="A+B"))*(Plan!$K$5:$K$117&lt;CN$5)*(Plan!$L$5:$L$117&gt;=CN$5))=0,"",INDEX(Plan!$A$5:$A$117,SUMPRODUCT(((Plan!$I$5:$I$117="A")+(Plan!$I$5:$I$117="A+B"))*(Plan!$K$5:$K$117&lt;CN$5)*(Plan!$L$5:$L$117&gt;=CN$5)*(ROW(Plan!$A$5:$A$117)-4))))</f>
        <v/>
      </c>
      <c r="CO6" s="26">
        <f>IF(SUMPRODUCT(((Plan!$I$5:$I$117="A")+(Plan!$I$5:$I$117="A+B"))*(Plan!$K$5:$K$117&lt;CO$5)*(Plan!$L$5:$L$117&gt;=CO$5))=0,"",INDEX(Plan!$A$5:$A$117,SUMPRODUCT(((Plan!$I$5:$I$117="A")+(Plan!$I$5:$I$117="A+B"))*(Plan!$K$5:$K$117&lt;CO$5)*(Plan!$L$5:$L$117&gt;=CO$5)*(ROW(Plan!$A$5:$A$117)-4))))</f>
        <v/>
      </c>
      <c r="CP6" s="26">
        <f>IF(SUMPRODUCT(((Plan!$I$5:$I$117="A")+(Plan!$I$5:$I$117="A+B"))*(Plan!$K$5:$K$117&lt;CP$5)*(Plan!$L$5:$L$117&gt;=CP$5))=0,"",INDEX(Plan!$A$5:$A$117,SUMPRODUCT(((Plan!$I$5:$I$117="A")+(Plan!$I$5:$I$117="A+B"))*(Plan!$K$5:$K$117&lt;CP$5)*(Plan!$L$5:$L$117&gt;=CP$5)*(ROW(Plan!$A$5:$A$117)-4))))</f>
        <v/>
      </c>
      <c r="CQ6" s="26">
        <f>IF(SUMPRODUCT(((Plan!$I$5:$I$117="A")+(Plan!$I$5:$I$117="A+B"))*(Plan!$K$5:$K$117&lt;CQ$5)*(Plan!$L$5:$L$117&gt;=CQ$5))=0,"",INDEX(Plan!$A$5:$A$117,SUMPRODUCT(((Plan!$I$5:$I$117="A")+(Plan!$I$5:$I$117="A+B"))*(Plan!$K$5:$K$117&lt;CQ$5)*(Plan!$L$5:$L$117&gt;=CQ$5)*(ROW(Plan!$A$5:$A$117)-4))))</f>
        <v/>
      </c>
      <c r="CR6" s="26">
        <f>IF(SUMPRODUCT(((Plan!$I$5:$I$117="A")+(Plan!$I$5:$I$117="A+B"))*(Plan!$K$5:$K$117&lt;CR$5)*(Plan!$L$5:$L$117&gt;=CR$5))=0,"",INDEX(Plan!$A$5:$A$117,SUMPRODUCT(((Plan!$I$5:$I$117="A")+(Plan!$I$5:$I$117="A+B"))*(Plan!$K$5:$K$117&lt;CR$5)*(Plan!$L$5:$L$117&gt;=CR$5)*(ROW(Plan!$A$5:$A$117)-4))))</f>
        <v/>
      </c>
      <c r="CS6" s="26">
        <f>IF(SUMPRODUCT(((Plan!$I$5:$I$117="A")+(Plan!$I$5:$I$117="A+B"))*(Plan!$K$5:$K$117&lt;CS$5)*(Plan!$L$5:$L$117&gt;=CS$5))=0,"",INDEX(Plan!$A$5:$A$117,SUMPRODUCT(((Plan!$I$5:$I$117="A")+(Plan!$I$5:$I$117="A+B"))*(Plan!$K$5:$K$117&lt;CS$5)*(Plan!$L$5:$L$117&gt;=CS$5)*(ROW(Plan!$A$5:$A$117)-4))))</f>
        <v/>
      </c>
      <c r="CT6" s="26">
        <f>IF(SUMPRODUCT(((Plan!$I$5:$I$117="A")+(Plan!$I$5:$I$117="A+B"))*(Plan!$K$5:$K$117&lt;CT$5)*(Plan!$L$5:$L$117&gt;=CT$5))=0,"",INDEX(Plan!$A$5:$A$117,SUMPRODUCT(((Plan!$I$5:$I$117="A")+(Plan!$I$5:$I$117="A+B"))*(Plan!$K$5:$K$117&lt;CT$5)*(Plan!$L$5:$L$117&gt;=CT$5)*(ROW(Plan!$A$5:$A$117)-4))))</f>
        <v/>
      </c>
      <c r="CU6" s="26">
        <f>IF(SUMPRODUCT(((Plan!$I$5:$I$117="A")+(Plan!$I$5:$I$117="A+B"))*(Plan!$K$5:$K$117&lt;CU$5)*(Plan!$L$5:$L$117&gt;=CU$5))=0,"",INDEX(Plan!$A$5:$A$117,SUMPRODUCT(((Plan!$I$5:$I$117="A")+(Plan!$I$5:$I$117="A+B"))*(Plan!$K$5:$K$117&lt;CU$5)*(Plan!$L$5:$L$117&gt;=CU$5)*(ROW(Plan!$A$5:$A$117)-4))))</f>
        <v/>
      </c>
      <c r="CV6" s="26">
        <f>IF(SUMPRODUCT(((Plan!$I$5:$I$117="A")+(Plan!$I$5:$I$117="A+B"))*(Plan!$K$5:$K$117&lt;CV$5)*(Plan!$L$5:$L$117&gt;=CV$5))=0,"",INDEX(Plan!$A$5:$A$117,SUMPRODUCT(((Plan!$I$5:$I$117="A")+(Plan!$I$5:$I$117="A+B"))*(Plan!$K$5:$K$117&lt;CV$5)*(Plan!$L$5:$L$117&gt;=CV$5)*(ROW(Plan!$A$5:$A$117)-4))))</f>
        <v/>
      </c>
      <c r="CW6" s="26">
        <f>IF(SUMPRODUCT(((Plan!$I$5:$I$117="A")+(Plan!$I$5:$I$117="A+B"))*(Plan!$K$5:$K$117&lt;CW$5)*(Plan!$L$5:$L$117&gt;=CW$5))=0,"",INDEX(Plan!$A$5:$A$117,SUMPRODUCT(((Plan!$I$5:$I$117="A")+(Plan!$I$5:$I$117="A+B"))*(Plan!$K$5:$K$117&lt;CW$5)*(Plan!$L$5:$L$117&gt;=CW$5)*(ROW(Plan!$A$5:$A$117)-4))))</f>
        <v/>
      </c>
      <c r="CX6" s="26">
        <f>IF(SUMPRODUCT(((Plan!$I$5:$I$117="A")+(Plan!$I$5:$I$117="A+B"))*(Plan!$K$5:$K$117&lt;CX$5)*(Plan!$L$5:$L$117&gt;=CX$5))=0,"",INDEX(Plan!$A$5:$A$117,SUMPRODUCT(((Plan!$I$5:$I$117="A")+(Plan!$I$5:$I$117="A+B"))*(Plan!$K$5:$K$117&lt;CX$5)*(Plan!$L$5:$L$117&gt;=CX$5)*(ROW(Plan!$A$5:$A$117)-4))))</f>
        <v/>
      </c>
      <c r="CY6" s="26">
        <f>IF(SUMPRODUCT(((Plan!$I$5:$I$117="A")+(Plan!$I$5:$I$117="A+B"))*(Plan!$K$5:$K$117&lt;CY$5)*(Plan!$L$5:$L$117&gt;=CY$5))=0,"",INDEX(Plan!$A$5:$A$117,SUMPRODUCT(((Plan!$I$5:$I$117="A")+(Plan!$I$5:$I$117="A+B"))*(Plan!$K$5:$K$117&lt;CY$5)*(Plan!$L$5:$L$117&gt;=CY$5)*(ROW(Plan!$A$5:$A$117)-4))))</f>
        <v/>
      </c>
      <c r="CZ6" s="26">
        <f>IF(SUMPRODUCT(((Plan!$I$5:$I$117="A")+(Plan!$I$5:$I$117="A+B"))*(Plan!$K$5:$K$117&lt;CZ$5)*(Plan!$L$5:$L$117&gt;=CZ$5))=0,"",INDEX(Plan!$A$5:$A$117,SUMPRODUCT(((Plan!$I$5:$I$117="A")+(Plan!$I$5:$I$117="A+B"))*(Plan!$K$5:$K$117&lt;CZ$5)*(Plan!$L$5:$L$117&gt;=CZ$5)*(ROW(Plan!$A$5:$A$117)-4))))</f>
        <v/>
      </c>
      <c r="DA6" s="26">
        <f>IF(SUMPRODUCT(((Plan!$I$5:$I$117="A")+(Plan!$I$5:$I$117="A+B"))*(Plan!$K$5:$K$117&lt;DA$5)*(Plan!$L$5:$L$117&gt;=DA$5))=0,"",INDEX(Plan!$A$5:$A$117,SUMPRODUCT(((Plan!$I$5:$I$117="A")+(Plan!$I$5:$I$117="A+B"))*(Plan!$K$5:$K$117&lt;DA$5)*(Plan!$L$5:$L$117&gt;=DA$5)*(ROW(Plan!$A$5:$A$117)-4))))</f>
        <v/>
      </c>
      <c r="DB6" s="26">
        <f>IF(SUMPRODUCT(((Plan!$I$5:$I$117="A")+(Plan!$I$5:$I$117="A+B"))*(Plan!$K$5:$K$117&lt;DB$5)*(Plan!$L$5:$L$117&gt;=DB$5))=0,"",INDEX(Plan!$A$5:$A$117,SUMPRODUCT(((Plan!$I$5:$I$117="A")+(Plan!$I$5:$I$117="A+B"))*(Plan!$K$5:$K$117&lt;DB$5)*(Plan!$L$5:$L$117&gt;=DB$5)*(ROW(Plan!$A$5:$A$117)-4))))</f>
        <v/>
      </c>
      <c r="DC6" s="26">
        <f>IF(SUMPRODUCT(((Plan!$I$5:$I$117="A")+(Plan!$I$5:$I$117="A+B"))*(Plan!$K$5:$K$117&lt;DC$5)*(Plan!$L$5:$L$117&gt;=DC$5))=0,"",INDEX(Plan!$A$5:$A$117,SUMPRODUCT(((Plan!$I$5:$I$117="A")+(Plan!$I$5:$I$117="A+B"))*(Plan!$K$5:$K$117&lt;DC$5)*(Plan!$L$5:$L$117&gt;=DC$5)*(ROW(Plan!$A$5:$A$117)-4))))</f>
        <v/>
      </c>
      <c r="DD6" s="26">
        <f>IF(SUMPRODUCT(((Plan!$I$5:$I$117="A")+(Plan!$I$5:$I$117="A+B"))*(Plan!$K$5:$K$117&lt;DD$5)*(Plan!$L$5:$L$117&gt;=DD$5))=0,"",INDEX(Plan!$A$5:$A$117,SUMPRODUCT(((Plan!$I$5:$I$117="A")+(Plan!$I$5:$I$117="A+B"))*(Plan!$K$5:$K$117&lt;DD$5)*(Plan!$L$5:$L$117&gt;=DD$5)*(ROW(Plan!$A$5:$A$117)-4))))</f>
        <v/>
      </c>
      <c r="DE6" s="26">
        <f>IF(SUMPRODUCT(((Plan!$I$5:$I$117="A")+(Plan!$I$5:$I$117="A+B"))*(Plan!$K$5:$K$117&lt;DE$5)*(Plan!$L$5:$L$117&gt;=DE$5))=0,"",INDEX(Plan!$A$5:$A$117,SUMPRODUCT(((Plan!$I$5:$I$117="A")+(Plan!$I$5:$I$117="A+B"))*(Plan!$K$5:$K$117&lt;DE$5)*(Plan!$L$5:$L$117&gt;=DE$5)*(ROW(Plan!$A$5:$A$117)-4))))</f>
        <v/>
      </c>
      <c r="DF6" s="26">
        <f>IF(SUMPRODUCT(((Plan!$I$5:$I$117="A")+(Plan!$I$5:$I$117="A+B"))*(Plan!$K$5:$K$117&lt;DF$5)*(Plan!$L$5:$L$117&gt;=DF$5))=0,"",INDEX(Plan!$A$5:$A$117,SUMPRODUCT(((Plan!$I$5:$I$117="A")+(Plan!$I$5:$I$117="A+B"))*(Plan!$K$5:$K$117&lt;DF$5)*(Plan!$L$5:$L$117&gt;=DF$5)*(ROW(Plan!$A$5:$A$117)-4))))</f>
        <v/>
      </c>
      <c r="DG6" s="26">
        <f>IF(SUMPRODUCT(((Plan!$I$5:$I$117="A")+(Plan!$I$5:$I$117="A+B"))*(Plan!$K$5:$K$117&lt;DG$5)*(Plan!$L$5:$L$117&gt;=DG$5))=0,"",INDEX(Plan!$A$5:$A$117,SUMPRODUCT(((Plan!$I$5:$I$117="A")+(Plan!$I$5:$I$117="A+B"))*(Plan!$K$5:$K$117&lt;DG$5)*(Plan!$L$5:$L$117&gt;=DG$5)*(ROW(Plan!$A$5:$A$117)-4))))</f>
        <v/>
      </c>
      <c r="DH6" s="26">
        <f>IF(SUMPRODUCT(((Plan!$I$5:$I$117="A")+(Plan!$I$5:$I$117="A+B"))*(Plan!$K$5:$K$117&lt;DH$5)*(Plan!$L$5:$L$117&gt;=DH$5))=0,"",INDEX(Plan!$A$5:$A$117,SUMPRODUCT(((Plan!$I$5:$I$117="A")+(Plan!$I$5:$I$117="A+B"))*(Plan!$K$5:$K$117&lt;DH$5)*(Plan!$L$5:$L$117&gt;=DH$5)*(ROW(Plan!$A$5:$A$117)-4))))</f>
        <v/>
      </c>
      <c r="DI6" s="26">
        <f>IF(SUMPRODUCT(((Plan!$I$5:$I$117="A")+(Plan!$I$5:$I$117="A+B"))*(Plan!$K$5:$K$117&lt;DI$5)*(Plan!$L$5:$L$117&gt;=DI$5))=0,"",INDEX(Plan!$A$5:$A$117,SUMPRODUCT(((Plan!$I$5:$I$117="A")+(Plan!$I$5:$I$117="A+B"))*(Plan!$K$5:$K$117&lt;DI$5)*(Plan!$L$5:$L$117&gt;=DI$5)*(ROW(Plan!$A$5:$A$117)-4))))</f>
        <v/>
      </c>
      <c r="DJ6" s="26">
        <f>IF(SUMPRODUCT(((Plan!$I$5:$I$117="A")+(Plan!$I$5:$I$117="A+B"))*(Plan!$K$5:$K$117&lt;DJ$5)*(Plan!$L$5:$L$117&gt;=DJ$5))=0,"",INDEX(Plan!$A$5:$A$117,SUMPRODUCT(((Plan!$I$5:$I$117="A")+(Plan!$I$5:$I$117="A+B"))*(Plan!$K$5:$K$117&lt;DJ$5)*(Plan!$L$5:$L$117&gt;=DJ$5)*(ROW(Plan!$A$5:$A$117)-4))))</f>
        <v/>
      </c>
      <c r="DK6" s="26">
        <f>IF(SUMPRODUCT(((Plan!$I$5:$I$117="A")+(Plan!$I$5:$I$117="A+B"))*(Plan!$K$5:$K$117&lt;DK$5)*(Plan!$L$5:$L$117&gt;=DK$5))=0,"",INDEX(Plan!$A$5:$A$117,SUMPRODUCT(((Plan!$I$5:$I$117="A")+(Plan!$I$5:$I$117="A+B"))*(Plan!$K$5:$K$117&lt;DK$5)*(Plan!$L$5:$L$117&gt;=DK$5)*(ROW(Plan!$A$5:$A$117)-4))))</f>
        <v/>
      </c>
      <c r="DL6" s="26">
        <f>IF(SUMPRODUCT(((Plan!$I$5:$I$117="A")+(Plan!$I$5:$I$117="A+B"))*(Plan!$K$5:$K$117&lt;DL$5)*(Plan!$L$5:$L$117&gt;=DL$5))=0,"",INDEX(Plan!$A$5:$A$117,SUMPRODUCT(((Plan!$I$5:$I$117="A")+(Plan!$I$5:$I$117="A+B"))*(Plan!$K$5:$K$117&lt;DL$5)*(Plan!$L$5:$L$117&gt;=DL$5)*(ROW(Plan!$A$5:$A$117)-4))))</f>
        <v/>
      </c>
      <c r="DM6" s="26">
        <f>IF(SUMPRODUCT(((Plan!$I$5:$I$117="A")+(Plan!$I$5:$I$117="A+B"))*(Plan!$K$5:$K$117&lt;DM$5)*(Plan!$L$5:$L$117&gt;=DM$5))=0,"",INDEX(Plan!$A$5:$A$117,SUMPRODUCT(((Plan!$I$5:$I$117="A")+(Plan!$I$5:$I$117="A+B"))*(Plan!$K$5:$K$117&lt;DM$5)*(Plan!$L$5:$L$117&gt;=DM$5)*(ROW(Plan!$A$5:$A$117)-4))))</f>
        <v/>
      </c>
      <c r="DN6" s="26">
        <f>IF(SUMPRODUCT(((Plan!$I$5:$I$117="A")+(Plan!$I$5:$I$117="A+B"))*(Plan!$K$5:$K$117&lt;DN$5)*(Plan!$L$5:$L$117&gt;=DN$5))=0,"",INDEX(Plan!$A$5:$A$117,SUMPRODUCT(((Plan!$I$5:$I$117="A")+(Plan!$I$5:$I$117="A+B"))*(Plan!$K$5:$K$117&lt;DN$5)*(Plan!$L$5:$L$117&gt;=DN$5)*(ROW(Plan!$A$5:$A$117)-4))))</f>
        <v/>
      </c>
      <c r="DO6" s="26">
        <f>IF(SUMPRODUCT(((Plan!$I$5:$I$117="A")+(Plan!$I$5:$I$117="A+B"))*(Plan!$K$5:$K$117&lt;DO$5)*(Plan!$L$5:$L$117&gt;=DO$5))=0,"",INDEX(Plan!$A$5:$A$117,SUMPRODUCT(((Plan!$I$5:$I$117="A")+(Plan!$I$5:$I$117="A+B"))*(Plan!$K$5:$K$117&lt;DO$5)*(Plan!$L$5:$L$117&gt;=DO$5)*(ROW(Plan!$A$5:$A$117)-4))))</f>
        <v/>
      </c>
      <c r="DP6" s="26">
        <f>IF(SUMPRODUCT(((Plan!$I$5:$I$117="A")+(Plan!$I$5:$I$117="A+B"))*(Plan!$K$5:$K$117&lt;DP$5)*(Plan!$L$5:$L$117&gt;=DP$5))=0,"",INDEX(Plan!$A$5:$A$117,SUMPRODUCT(((Plan!$I$5:$I$117="A")+(Plan!$I$5:$I$117="A+B"))*(Plan!$K$5:$K$117&lt;DP$5)*(Plan!$L$5:$L$117&gt;=DP$5)*(ROW(Plan!$A$5:$A$117)-4))))</f>
        <v/>
      </c>
      <c r="DQ6" s="26">
        <f>IF(SUMPRODUCT(((Plan!$I$5:$I$117="A")+(Plan!$I$5:$I$117="A+B"))*(Plan!$K$5:$K$117&lt;DQ$5)*(Plan!$L$5:$L$117&gt;=DQ$5))=0,"",INDEX(Plan!$A$5:$A$117,SUMPRODUCT(((Plan!$I$5:$I$117="A")+(Plan!$I$5:$I$117="A+B"))*(Plan!$K$5:$K$117&lt;DQ$5)*(Plan!$L$5:$L$117&gt;=DQ$5)*(ROW(Plan!$A$5:$A$117)-4))))</f>
        <v/>
      </c>
      <c r="DR6" s="26">
        <f>IF(SUMPRODUCT(((Plan!$I$5:$I$117="A")+(Plan!$I$5:$I$117="A+B"))*(Plan!$K$5:$K$117&lt;DR$5)*(Plan!$L$5:$L$117&gt;=DR$5))=0,"",INDEX(Plan!$A$5:$A$117,SUMPRODUCT(((Plan!$I$5:$I$117="A")+(Plan!$I$5:$I$117="A+B"))*(Plan!$K$5:$K$117&lt;DR$5)*(Plan!$L$5:$L$117&gt;=DR$5)*(ROW(Plan!$A$5:$A$117)-4))))</f>
        <v/>
      </c>
      <c r="DS6" s="26">
        <f>IF(SUMPRODUCT(((Plan!$I$5:$I$117="A")+(Plan!$I$5:$I$117="A+B"))*(Plan!$K$5:$K$117&lt;DS$5)*(Plan!$L$5:$L$117&gt;=DS$5))=0,"",INDEX(Plan!$A$5:$A$117,SUMPRODUCT(((Plan!$I$5:$I$117="A")+(Plan!$I$5:$I$117="A+B"))*(Plan!$K$5:$K$117&lt;DS$5)*(Plan!$L$5:$L$117&gt;=DS$5)*(ROW(Plan!$A$5:$A$117)-4))))</f>
        <v/>
      </c>
      <c r="DT6" s="26">
        <f>IF(SUMPRODUCT(((Plan!$I$5:$I$117="A")+(Plan!$I$5:$I$117="A+B"))*(Plan!$K$5:$K$117&lt;DT$5)*(Plan!$L$5:$L$117&gt;=DT$5))=0,"",INDEX(Plan!$A$5:$A$117,SUMPRODUCT(((Plan!$I$5:$I$117="A")+(Plan!$I$5:$I$117="A+B"))*(Plan!$K$5:$K$117&lt;DT$5)*(Plan!$L$5:$L$117&gt;=DT$5)*(ROW(Plan!$A$5:$A$117)-4))))</f>
        <v/>
      </c>
      <c r="DU6" s="26">
        <f>IF(SUMPRODUCT(((Plan!$I$5:$I$117="A")+(Plan!$I$5:$I$117="A+B"))*(Plan!$K$5:$K$117&lt;DU$5)*(Plan!$L$5:$L$117&gt;=DU$5))=0,"",INDEX(Plan!$A$5:$A$117,SUMPRODUCT(((Plan!$I$5:$I$117="A")+(Plan!$I$5:$I$117="A+B"))*(Plan!$K$5:$K$117&lt;DU$5)*(Plan!$L$5:$L$117&gt;=DU$5)*(ROW(Plan!$A$5:$A$117)-4))))</f>
        <v/>
      </c>
      <c r="DV6" s="26">
        <f>IF(SUMPRODUCT(((Plan!$I$5:$I$117="A")+(Plan!$I$5:$I$117="A+B"))*(Plan!$K$5:$K$117&lt;DV$5)*(Plan!$L$5:$L$117&gt;=DV$5))=0,"",INDEX(Plan!$A$5:$A$117,SUMPRODUCT(((Plan!$I$5:$I$117="A")+(Plan!$I$5:$I$117="A+B"))*(Plan!$K$5:$K$117&lt;DV$5)*(Plan!$L$5:$L$117&gt;=DV$5)*(ROW(Plan!$A$5:$A$117)-4))))</f>
        <v/>
      </c>
      <c r="DW6" s="26">
        <f>IF(SUMPRODUCT(((Plan!$I$5:$I$117="A")+(Plan!$I$5:$I$117="A+B"))*(Plan!$K$5:$K$117&lt;DW$5)*(Plan!$L$5:$L$117&gt;=DW$5))=0,"",INDEX(Plan!$A$5:$A$117,SUMPRODUCT(((Plan!$I$5:$I$117="A")+(Plan!$I$5:$I$117="A+B"))*(Plan!$K$5:$K$117&lt;DW$5)*(Plan!$L$5:$L$117&gt;=DW$5)*(ROW(Plan!$A$5:$A$117)-4))))</f>
        <v/>
      </c>
      <c r="DX6" s="26">
        <f>IF(SUMPRODUCT(((Plan!$I$5:$I$117="A")+(Plan!$I$5:$I$117="A+B"))*(Plan!$K$5:$K$117&lt;DX$5)*(Plan!$L$5:$L$117&gt;=DX$5))=0,"",INDEX(Plan!$A$5:$A$117,SUMPRODUCT(((Plan!$I$5:$I$117="A")+(Plan!$I$5:$I$117="A+B"))*(Plan!$K$5:$K$117&lt;DX$5)*(Plan!$L$5:$L$117&gt;=DX$5)*(ROW(Plan!$A$5:$A$117)-4))))</f>
        <v/>
      </c>
      <c r="DY6" s="26">
        <f>IF(SUMPRODUCT(((Plan!$I$5:$I$117="A")+(Plan!$I$5:$I$117="A+B"))*(Plan!$K$5:$K$117&lt;DY$5)*(Plan!$L$5:$L$117&gt;=DY$5))=0,"",INDEX(Plan!$A$5:$A$117,SUMPRODUCT(((Plan!$I$5:$I$117="A")+(Plan!$I$5:$I$117="A+B"))*(Plan!$K$5:$K$117&lt;DY$5)*(Plan!$L$5:$L$117&gt;=DY$5)*(ROW(Plan!$A$5:$A$117)-4))))</f>
        <v/>
      </c>
      <c r="DZ6" s="26">
        <f>IF(SUMPRODUCT(((Plan!$I$5:$I$117="A")+(Plan!$I$5:$I$117="A+B"))*(Plan!$K$5:$K$117&lt;DZ$5)*(Plan!$L$5:$L$117&gt;=DZ$5))=0,"",INDEX(Plan!$A$5:$A$117,SUMPRODUCT(((Plan!$I$5:$I$117="A")+(Plan!$I$5:$I$117="A+B"))*(Plan!$K$5:$K$117&lt;DZ$5)*(Plan!$L$5:$L$117&gt;=DZ$5)*(ROW(Plan!$A$5:$A$117)-4))))</f>
        <v/>
      </c>
      <c r="EA6" s="26">
        <f>IF(SUMPRODUCT(((Plan!$I$5:$I$117="A")+(Plan!$I$5:$I$117="A+B"))*(Plan!$K$5:$K$117&lt;EA$5)*(Plan!$L$5:$L$117&gt;=EA$5))=0,"",INDEX(Plan!$A$5:$A$117,SUMPRODUCT(((Plan!$I$5:$I$117="A")+(Plan!$I$5:$I$117="A+B"))*(Plan!$K$5:$K$117&lt;EA$5)*(Plan!$L$5:$L$117&gt;=EA$5)*(ROW(Plan!$A$5:$A$117)-4))))</f>
        <v/>
      </c>
      <c r="EB6" s="26">
        <f>IF(SUMPRODUCT(((Plan!$I$5:$I$117="A")+(Plan!$I$5:$I$117="A+B"))*(Plan!$K$5:$K$117&lt;EB$5)*(Plan!$L$5:$L$117&gt;=EB$5))=0,"",INDEX(Plan!$A$5:$A$117,SUMPRODUCT(((Plan!$I$5:$I$117="A")+(Plan!$I$5:$I$117="A+B"))*(Plan!$K$5:$K$117&lt;EB$5)*(Plan!$L$5:$L$117&gt;=EB$5)*(ROW(Plan!$A$5:$A$117)-4))))</f>
        <v/>
      </c>
      <c r="EC6" s="26">
        <f>IF(SUMPRODUCT(((Plan!$I$5:$I$117="A")+(Plan!$I$5:$I$117="A+B"))*(Plan!$K$5:$K$117&lt;EC$5)*(Plan!$L$5:$L$117&gt;=EC$5))=0,"",INDEX(Plan!$A$5:$A$117,SUMPRODUCT(((Plan!$I$5:$I$117="A")+(Plan!$I$5:$I$117="A+B"))*(Plan!$K$5:$K$117&lt;EC$5)*(Plan!$L$5:$L$117&gt;=EC$5)*(ROW(Plan!$A$5:$A$117)-4))))</f>
        <v/>
      </c>
      <c r="ED6" s="26">
        <f>IF(SUMPRODUCT(((Plan!$I$5:$I$117="A")+(Plan!$I$5:$I$117="A+B"))*(Plan!$K$5:$K$117&lt;ED$5)*(Plan!$L$5:$L$117&gt;=ED$5))=0,"",INDEX(Plan!$A$5:$A$117,SUMPRODUCT(((Plan!$I$5:$I$117="A")+(Plan!$I$5:$I$117="A+B"))*(Plan!$K$5:$K$117&lt;ED$5)*(Plan!$L$5:$L$117&gt;=ED$5)*(ROW(Plan!$A$5:$A$117)-4))))</f>
        <v/>
      </c>
      <c r="EE6" s="26">
        <f>IF(SUMPRODUCT(((Plan!$I$5:$I$117="A")+(Plan!$I$5:$I$117="A+B"))*(Plan!$K$5:$K$117&lt;EE$5)*(Plan!$L$5:$L$117&gt;=EE$5))=0,"",INDEX(Plan!$A$5:$A$117,SUMPRODUCT(((Plan!$I$5:$I$117="A")+(Plan!$I$5:$I$117="A+B"))*(Plan!$K$5:$K$117&lt;EE$5)*(Plan!$L$5:$L$117&gt;=EE$5)*(ROW(Plan!$A$5:$A$117)-4))))</f>
        <v/>
      </c>
      <c r="EF6" s="26">
        <f>IF(SUMPRODUCT(((Plan!$I$5:$I$117="A")+(Plan!$I$5:$I$117="A+B"))*(Plan!$K$5:$K$117&lt;EF$5)*(Plan!$L$5:$L$117&gt;=EF$5))=0,"",INDEX(Plan!$A$5:$A$117,SUMPRODUCT(((Plan!$I$5:$I$117="A")+(Plan!$I$5:$I$117="A+B"))*(Plan!$K$5:$K$117&lt;EF$5)*(Plan!$L$5:$L$117&gt;=EF$5)*(ROW(Plan!$A$5:$A$117)-4))))</f>
        <v/>
      </c>
      <c r="EG6" s="26">
        <f>IF(SUMPRODUCT(((Plan!$I$5:$I$117="A")+(Plan!$I$5:$I$117="A+B"))*(Plan!$K$5:$K$117&lt;EG$5)*(Plan!$L$5:$L$117&gt;=EG$5))=0,"",INDEX(Plan!$A$5:$A$117,SUMPRODUCT(((Plan!$I$5:$I$117="A")+(Plan!$I$5:$I$117="A+B"))*(Plan!$K$5:$K$117&lt;EG$5)*(Plan!$L$5:$L$117&gt;=EG$5)*(ROW(Plan!$A$5:$A$117)-4))))</f>
        <v/>
      </c>
    </row>
    <row r="7" ht="26" customHeight="1">
      <c r="A7" s="22" t="inlineStr">
        <is>
          <t>Fila B — tarea en curso</t>
        </is>
      </c>
      <c r="H7" s="26">
        <f>IF(SUMPRODUCT(((Plan!$I$5:$I$117="B")+(Plan!$I$5:$I$117="A+B"))*(Plan!$K$5:$K$117&lt;H$5)*(Plan!$L$5:$L$117&gt;=H$5))=0,"",INDEX(Plan!$A$5:$A$117,SUMPRODUCT(((Plan!$I$5:$I$117="B")+(Plan!$I$5:$I$117="A+B"))*(Plan!$K$5:$K$117&lt;H$5)*(Plan!$L$5:$L$117&gt;=H$5)*(ROW(Plan!$A$5:$A$117)-4))))</f>
        <v/>
      </c>
      <c r="I7" s="26">
        <f>IF(SUMPRODUCT(((Plan!$I$5:$I$117="B")+(Plan!$I$5:$I$117="A+B"))*(Plan!$K$5:$K$117&lt;I$5)*(Plan!$L$5:$L$117&gt;=I$5))=0,"",INDEX(Plan!$A$5:$A$117,SUMPRODUCT(((Plan!$I$5:$I$117="B")+(Plan!$I$5:$I$117="A+B"))*(Plan!$K$5:$K$117&lt;I$5)*(Plan!$L$5:$L$117&gt;=I$5)*(ROW(Plan!$A$5:$A$117)-4))))</f>
        <v/>
      </c>
      <c r="J7" s="26">
        <f>IF(SUMPRODUCT(((Plan!$I$5:$I$117="B")+(Plan!$I$5:$I$117="A+B"))*(Plan!$K$5:$K$117&lt;J$5)*(Plan!$L$5:$L$117&gt;=J$5))=0,"",INDEX(Plan!$A$5:$A$117,SUMPRODUCT(((Plan!$I$5:$I$117="B")+(Plan!$I$5:$I$117="A+B"))*(Plan!$K$5:$K$117&lt;J$5)*(Plan!$L$5:$L$117&gt;=J$5)*(ROW(Plan!$A$5:$A$117)-4))))</f>
        <v/>
      </c>
      <c r="K7" s="26">
        <f>IF(SUMPRODUCT(((Plan!$I$5:$I$117="B")+(Plan!$I$5:$I$117="A+B"))*(Plan!$K$5:$K$117&lt;K$5)*(Plan!$L$5:$L$117&gt;=K$5))=0,"",INDEX(Plan!$A$5:$A$117,SUMPRODUCT(((Plan!$I$5:$I$117="B")+(Plan!$I$5:$I$117="A+B"))*(Plan!$K$5:$K$117&lt;K$5)*(Plan!$L$5:$L$117&gt;=K$5)*(ROW(Plan!$A$5:$A$117)-4))))</f>
        <v/>
      </c>
      <c r="L7" s="26">
        <f>IF(SUMPRODUCT(((Plan!$I$5:$I$117="B")+(Plan!$I$5:$I$117="A+B"))*(Plan!$K$5:$K$117&lt;L$5)*(Plan!$L$5:$L$117&gt;=L$5))=0,"",INDEX(Plan!$A$5:$A$117,SUMPRODUCT(((Plan!$I$5:$I$117="B")+(Plan!$I$5:$I$117="A+B"))*(Plan!$K$5:$K$117&lt;L$5)*(Plan!$L$5:$L$117&gt;=L$5)*(ROW(Plan!$A$5:$A$117)-4))))</f>
        <v/>
      </c>
      <c r="M7" s="26">
        <f>IF(SUMPRODUCT(((Plan!$I$5:$I$117="B")+(Plan!$I$5:$I$117="A+B"))*(Plan!$K$5:$K$117&lt;M$5)*(Plan!$L$5:$L$117&gt;=M$5))=0,"",INDEX(Plan!$A$5:$A$117,SUMPRODUCT(((Plan!$I$5:$I$117="B")+(Plan!$I$5:$I$117="A+B"))*(Plan!$K$5:$K$117&lt;M$5)*(Plan!$L$5:$L$117&gt;=M$5)*(ROW(Plan!$A$5:$A$117)-4))))</f>
        <v/>
      </c>
      <c r="N7" s="26">
        <f>IF(SUMPRODUCT(((Plan!$I$5:$I$117="B")+(Plan!$I$5:$I$117="A+B"))*(Plan!$K$5:$K$117&lt;N$5)*(Plan!$L$5:$L$117&gt;=N$5))=0,"",INDEX(Plan!$A$5:$A$117,SUMPRODUCT(((Plan!$I$5:$I$117="B")+(Plan!$I$5:$I$117="A+B"))*(Plan!$K$5:$K$117&lt;N$5)*(Plan!$L$5:$L$117&gt;=N$5)*(ROW(Plan!$A$5:$A$117)-4))))</f>
        <v/>
      </c>
      <c r="O7" s="26">
        <f>IF(SUMPRODUCT(((Plan!$I$5:$I$117="B")+(Plan!$I$5:$I$117="A+B"))*(Plan!$K$5:$K$117&lt;O$5)*(Plan!$L$5:$L$117&gt;=O$5))=0,"",INDEX(Plan!$A$5:$A$117,SUMPRODUCT(((Plan!$I$5:$I$117="B")+(Plan!$I$5:$I$117="A+B"))*(Plan!$K$5:$K$117&lt;O$5)*(Plan!$L$5:$L$117&gt;=O$5)*(ROW(Plan!$A$5:$A$117)-4))))</f>
        <v/>
      </c>
      <c r="P7" s="26">
        <f>IF(SUMPRODUCT(((Plan!$I$5:$I$117="B")+(Plan!$I$5:$I$117="A+B"))*(Plan!$K$5:$K$117&lt;P$5)*(Plan!$L$5:$L$117&gt;=P$5))=0,"",INDEX(Plan!$A$5:$A$117,SUMPRODUCT(((Plan!$I$5:$I$117="B")+(Plan!$I$5:$I$117="A+B"))*(Plan!$K$5:$K$117&lt;P$5)*(Plan!$L$5:$L$117&gt;=P$5)*(ROW(Plan!$A$5:$A$117)-4))))</f>
        <v/>
      </c>
      <c r="Q7" s="26">
        <f>IF(SUMPRODUCT(((Plan!$I$5:$I$117="B")+(Plan!$I$5:$I$117="A+B"))*(Plan!$K$5:$K$117&lt;Q$5)*(Plan!$L$5:$L$117&gt;=Q$5))=0,"",INDEX(Plan!$A$5:$A$117,SUMPRODUCT(((Plan!$I$5:$I$117="B")+(Plan!$I$5:$I$117="A+B"))*(Plan!$K$5:$K$117&lt;Q$5)*(Plan!$L$5:$L$117&gt;=Q$5)*(ROW(Plan!$A$5:$A$117)-4))))</f>
        <v/>
      </c>
      <c r="R7" s="26">
        <f>IF(SUMPRODUCT(((Plan!$I$5:$I$117="B")+(Plan!$I$5:$I$117="A+B"))*(Plan!$K$5:$K$117&lt;R$5)*(Plan!$L$5:$L$117&gt;=R$5))=0,"",INDEX(Plan!$A$5:$A$117,SUMPRODUCT(((Plan!$I$5:$I$117="B")+(Plan!$I$5:$I$117="A+B"))*(Plan!$K$5:$K$117&lt;R$5)*(Plan!$L$5:$L$117&gt;=R$5)*(ROW(Plan!$A$5:$A$117)-4))))</f>
        <v/>
      </c>
      <c r="S7" s="26">
        <f>IF(SUMPRODUCT(((Plan!$I$5:$I$117="B")+(Plan!$I$5:$I$117="A+B"))*(Plan!$K$5:$K$117&lt;S$5)*(Plan!$L$5:$L$117&gt;=S$5))=0,"",INDEX(Plan!$A$5:$A$117,SUMPRODUCT(((Plan!$I$5:$I$117="B")+(Plan!$I$5:$I$117="A+B"))*(Plan!$K$5:$K$117&lt;S$5)*(Plan!$L$5:$L$117&gt;=S$5)*(ROW(Plan!$A$5:$A$117)-4))))</f>
        <v/>
      </c>
      <c r="T7" s="26">
        <f>IF(SUMPRODUCT(((Plan!$I$5:$I$117="B")+(Plan!$I$5:$I$117="A+B"))*(Plan!$K$5:$K$117&lt;T$5)*(Plan!$L$5:$L$117&gt;=T$5))=0,"",INDEX(Plan!$A$5:$A$117,SUMPRODUCT(((Plan!$I$5:$I$117="B")+(Plan!$I$5:$I$117="A+B"))*(Plan!$K$5:$K$117&lt;T$5)*(Plan!$L$5:$L$117&gt;=T$5)*(ROW(Plan!$A$5:$A$117)-4))))</f>
        <v/>
      </c>
      <c r="U7" s="26">
        <f>IF(SUMPRODUCT(((Plan!$I$5:$I$117="B")+(Plan!$I$5:$I$117="A+B"))*(Plan!$K$5:$K$117&lt;U$5)*(Plan!$L$5:$L$117&gt;=U$5))=0,"",INDEX(Plan!$A$5:$A$117,SUMPRODUCT(((Plan!$I$5:$I$117="B")+(Plan!$I$5:$I$117="A+B"))*(Plan!$K$5:$K$117&lt;U$5)*(Plan!$L$5:$L$117&gt;=U$5)*(ROW(Plan!$A$5:$A$117)-4))))</f>
        <v/>
      </c>
      <c r="V7" s="26">
        <f>IF(SUMPRODUCT(((Plan!$I$5:$I$117="B")+(Plan!$I$5:$I$117="A+B"))*(Plan!$K$5:$K$117&lt;V$5)*(Plan!$L$5:$L$117&gt;=V$5))=0,"",INDEX(Plan!$A$5:$A$117,SUMPRODUCT(((Plan!$I$5:$I$117="B")+(Plan!$I$5:$I$117="A+B"))*(Plan!$K$5:$K$117&lt;V$5)*(Plan!$L$5:$L$117&gt;=V$5)*(ROW(Plan!$A$5:$A$117)-4))))</f>
        <v/>
      </c>
      <c r="W7" s="26">
        <f>IF(SUMPRODUCT(((Plan!$I$5:$I$117="B")+(Plan!$I$5:$I$117="A+B"))*(Plan!$K$5:$K$117&lt;W$5)*(Plan!$L$5:$L$117&gt;=W$5))=0,"",INDEX(Plan!$A$5:$A$117,SUMPRODUCT(((Plan!$I$5:$I$117="B")+(Plan!$I$5:$I$117="A+B"))*(Plan!$K$5:$K$117&lt;W$5)*(Plan!$L$5:$L$117&gt;=W$5)*(ROW(Plan!$A$5:$A$117)-4))))</f>
        <v/>
      </c>
      <c r="X7" s="26">
        <f>IF(SUMPRODUCT(((Plan!$I$5:$I$117="B")+(Plan!$I$5:$I$117="A+B"))*(Plan!$K$5:$K$117&lt;X$5)*(Plan!$L$5:$L$117&gt;=X$5))=0,"",INDEX(Plan!$A$5:$A$117,SUMPRODUCT(((Plan!$I$5:$I$117="B")+(Plan!$I$5:$I$117="A+B"))*(Plan!$K$5:$K$117&lt;X$5)*(Plan!$L$5:$L$117&gt;=X$5)*(ROW(Plan!$A$5:$A$117)-4))))</f>
        <v/>
      </c>
      <c r="Y7" s="26">
        <f>IF(SUMPRODUCT(((Plan!$I$5:$I$117="B")+(Plan!$I$5:$I$117="A+B"))*(Plan!$K$5:$K$117&lt;Y$5)*(Plan!$L$5:$L$117&gt;=Y$5))=0,"",INDEX(Plan!$A$5:$A$117,SUMPRODUCT(((Plan!$I$5:$I$117="B")+(Plan!$I$5:$I$117="A+B"))*(Plan!$K$5:$K$117&lt;Y$5)*(Plan!$L$5:$L$117&gt;=Y$5)*(ROW(Plan!$A$5:$A$117)-4))))</f>
        <v/>
      </c>
      <c r="Z7" s="26">
        <f>IF(SUMPRODUCT(((Plan!$I$5:$I$117="B")+(Plan!$I$5:$I$117="A+B"))*(Plan!$K$5:$K$117&lt;Z$5)*(Plan!$L$5:$L$117&gt;=Z$5))=0,"",INDEX(Plan!$A$5:$A$117,SUMPRODUCT(((Plan!$I$5:$I$117="B")+(Plan!$I$5:$I$117="A+B"))*(Plan!$K$5:$K$117&lt;Z$5)*(Plan!$L$5:$L$117&gt;=Z$5)*(ROW(Plan!$A$5:$A$117)-4))))</f>
        <v/>
      </c>
      <c r="AA7" s="26">
        <f>IF(SUMPRODUCT(((Plan!$I$5:$I$117="B")+(Plan!$I$5:$I$117="A+B"))*(Plan!$K$5:$K$117&lt;AA$5)*(Plan!$L$5:$L$117&gt;=AA$5))=0,"",INDEX(Plan!$A$5:$A$117,SUMPRODUCT(((Plan!$I$5:$I$117="B")+(Plan!$I$5:$I$117="A+B"))*(Plan!$K$5:$K$117&lt;AA$5)*(Plan!$L$5:$L$117&gt;=AA$5)*(ROW(Plan!$A$5:$A$117)-4))))</f>
        <v/>
      </c>
      <c r="AB7" s="26">
        <f>IF(SUMPRODUCT(((Plan!$I$5:$I$117="B")+(Plan!$I$5:$I$117="A+B"))*(Plan!$K$5:$K$117&lt;AB$5)*(Plan!$L$5:$L$117&gt;=AB$5))=0,"",INDEX(Plan!$A$5:$A$117,SUMPRODUCT(((Plan!$I$5:$I$117="B")+(Plan!$I$5:$I$117="A+B"))*(Plan!$K$5:$K$117&lt;AB$5)*(Plan!$L$5:$L$117&gt;=AB$5)*(ROW(Plan!$A$5:$A$117)-4))))</f>
        <v/>
      </c>
      <c r="AC7" s="26">
        <f>IF(SUMPRODUCT(((Plan!$I$5:$I$117="B")+(Plan!$I$5:$I$117="A+B"))*(Plan!$K$5:$K$117&lt;AC$5)*(Plan!$L$5:$L$117&gt;=AC$5))=0,"",INDEX(Plan!$A$5:$A$117,SUMPRODUCT(((Plan!$I$5:$I$117="B")+(Plan!$I$5:$I$117="A+B"))*(Plan!$K$5:$K$117&lt;AC$5)*(Plan!$L$5:$L$117&gt;=AC$5)*(ROW(Plan!$A$5:$A$117)-4))))</f>
        <v/>
      </c>
      <c r="AD7" s="26">
        <f>IF(SUMPRODUCT(((Plan!$I$5:$I$117="B")+(Plan!$I$5:$I$117="A+B"))*(Plan!$K$5:$K$117&lt;AD$5)*(Plan!$L$5:$L$117&gt;=AD$5))=0,"",INDEX(Plan!$A$5:$A$117,SUMPRODUCT(((Plan!$I$5:$I$117="B")+(Plan!$I$5:$I$117="A+B"))*(Plan!$K$5:$K$117&lt;AD$5)*(Plan!$L$5:$L$117&gt;=AD$5)*(ROW(Plan!$A$5:$A$117)-4))))</f>
        <v/>
      </c>
      <c r="AE7" s="26">
        <f>IF(SUMPRODUCT(((Plan!$I$5:$I$117="B")+(Plan!$I$5:$I$117="A+B"))*(Plan!$K$5:$K$117&lt;AE$5)*(Plan!$L$5:$L$117&gt;=AE$5))=0,"",INDEX(Plan!$A$5:$A$117,SUMPRODUCT(((Plan!$I$5:$I$117="B")+(Plan!$I$5:$I$117="A+B"))*(Plan!$K$5:$K$117&lt;AE$5)*(Plan!$L$5:$L$117&gt;=AE$5)*(ROW(Plan!$A$5:$A$117)-4))))</f>
        <v/>
      </c>
      <c r="AF7" s="26">
        <f>IF(SUMPRODUCT(((Plan!$I$5:$I$117="B")+(Plan!$I$5:$I$117="A+B"))*(Plan!$K$5:$K$117&lt;AF$5)*(Plan!$L$5:$L$117&gt;=AF$5))=0,"",INDEX(Plan!$A$5:$A$117,SUMPRODUCT(((Plan!$I$5:$I$117="B")+(Plan!$I$5:$I$117="A+B"))*(Plan!$K$5:$K$117&lt;AF$5)*(Plan!$L$5:$L$117&gt;=AF$5)*(ROW(Plan!$A$5:$A$117)-4))))</f>
        <v/>
      </c>
      <c r="AG7" s="26">
        <f>IF(SUMPRODUCT(((Plan!$I$5:$I$117="B")+(Plan!$I$5:$I$117="A+B"))*(Plan!$K$5:$K$117&lt;AG$5)*(Plan!$L$5:$L$117&gt;=AG$5))=0,"",INDEX(Plan!$A$5:$A$117,SUMPRODUCT(((Plan!$I$5:$I$117="B")+(Plan!$I$5:$I$117="A+B"))*(Plan!$K$5:$K$117&lt;AG$5)*(Plan!$L$5:$L$117&gt;=AG$5)*(ROW(Plan!$A$5:$A$117)-4))))</f>
        <v/>
      </c>
      <c r="AH7" s="26">
        <f>IF(SUMPRODUCT(((Plan!$I$5:$I$117="B")+(Plan!$I$5:$I$117="A+B"))*(Plan!$K$5:$K$117&lt;AH$5)*(Plan!$L$5:$L$117&gt;=AH$5))=0,"",INDEX(Plan!$A$5:$A$117,SUMPRODUCT(((Plan!$I$5:$I$117="B")+(Plan!$I$5:$I$117="A+B"))*(Plan!$K$5:$K$117&lt;AH$5)*(Plan!$L$5:$L$117&gt;=AH$5)*(ROW(Plan!$A$5:$A$117)-4))))</f>
        <v/>
      </c>
      <c r="AI7" s="26">
        <f>IF(SUMPRODUCT(((Plan!$I$5:$I$117="B")+(Plan!$I$5:$I$117="A+B"))*(Plan!$K$5:$K$117&lt;AI$5)*(Plan!$L$5:$L$117&gt;=AI$5))=0,"",INDEX(Plan!$A$5:$A$117,SUMPRODUCT(((Plan!$I$5:$I$117="B")+(Plan!$I$5:$I$117="A+B"))*(Plan!$K$5:$K$117&lt;AI$5)*(Plan!$L$5:$L$117&gt;=AI$5)*(ROW(Plan!$A$5:$A$117)-4))))</f>
        <v/>
      </c>
      <c r="AJ7" s="26">
        <f>IF(SUMPRODUCT(((Plan!$I$5:$I$117="B")+(Plan!$I$5:$I$117="A+B"))*(Plan!$K$5:$K$117&lt;AJ$5)*(Plan!$L$5:$L$117&gt;=AJ$5))=0,"",INDEX(Plan!$A$5:$A$117,SUMPRODUCT(((Plan!$I$5:$I$117="B")+(Plan!$I$5:$I$117="A+B"))*(Plan!$K$5:$K$117&lt;AJ$5)*(Plan!$L$5:$L$117&gt;=AJ$5)*(ROW(Plan!$A$5:$A$117)-4))))</f>
        <v/>
      </c>
      <c r="AK7" s="26">
        <f>IF(SUMPRODUCT(((Plan!$I$5:$I$117="B")+(Plan!$I$5:$I$117="A+B"))*(Plan!$K$5:$K$117&lt;AK$5)*(Plan!$L$5:$L$117&gt;=AK$5))=0,"",INDEX(Plan!$A$5:$A$117,SUMPRODUCT(((Plan!$I$5:$I$117="B")+(Plan!$I$5:$I$117="A+B"))*(Plan!$K$5:$K$117&lt;AK$5)*(Plan!$L$5:$L$117&gt;=AK$5)*(ROW(Plan!$A$5:$A$117)-4))))</f>
        <v/>
      </c>
      <c r="AL7" s="26">
        <f>IF(SUMPRODUCT(((Plan!$I$5:$I$117="B")+(Plan!$I$5:$I$117="A+B"))*(Plan!$K$5:$K$117&lt;AL$5)*(Plan!$L$5:$L$117&gt;=AL$5))=0,"",INDEX(Plan!$A$5:$A$117,SUMPRODUCT(((Plan!$I$5:$I$117="B")+(Plan!$I$5:$I$117="A+B"))*(Plan!$K$5:$K$117&lt;AL$5)*(Plan!$L$5:$L$117&gt;=AL$5)*(ROW(Plan!$A$5:$A$117)-4))))</f>
        <v/>
      </c>
      <c r="AM7" s="26">
        <f>IF(SUMPRODUCT(((Plan!$I$5:$I$117="B")+(Plan!$I$5:$I$117="A+B"))*(Plan!$K$5:$K$117&lt;AM$5)*(Plan!$L$5:$L$117&gt;=AM$5))=0,"",INDEX(Plan!$A$5:$A$117,SUMPRODUCT(((Plan!$I$5:$I$117="B")+(Plan!$I$5:$I$117="A+B"))*(Plan!$K$5:$K$117&lt;AM$5)*(Plan!$L$5:$L$117&gt;=AM$5)*(ROW(Plan!$A$5:$A$117)-4))))</f>
        <v/>
      </c>
      <c r="AN7" s="26">
        <f>IF(SUMPRODUCT(((Plan!$I$5:$I$117="B")+(Plan!$I$5:$I$117="A+B"))*(Plan!$K$5:$K$117&lt;AN$5)*(Plan!$L$5:$L$117&gt;=AN$5))=0,"",INDEX(Plan!$A$5:$A$117,SUMPRODUCT(((Plan!$I$5:$I$117="B")+(Plan!$I$5:$I$117="A+B"))*(Plan!$K$5:$K$117&lt;AN$5)*(Plan!$L$5:$L$117&gt;=AN$5)*(ROW(Plan!$A$5:$A$117)-4))))</f>
        <v/>
      </c>
      <c r="AO7" s="26">
        <f>IF(SUMPRODUCT(((Plan!$I$5:$I$117="B")+(Plan!$I$5:$I$117="A+B"))*(Plan!$K$5:$K$117&lt;AO$5)*(Plan!$L$5:$L$117&gt;=AO$5))=0,"",INDEX(Plan!$A$5:$A$117,SUMPRODUCT(((Plan!$I$5:$I$117="B")+(Plan!$I$5:$I$117="A+B"))*(Plan!$K$5:$K$117&lt;AO$5)*(Plan!$L$5:$L$117&gt;=AO$5)*(ROW(Plan!$A$5:$A$117)-4))))</f>
        <v/>
      </c>
      <c r="AP7" s="26">
        <f>IF(SUMPRODUCT(((Plan!$I$5:$I$117="B")+(Plan!$I$5:$I$117="A+B"))*(Plan!$K$5:$K$117&lt;AP$5)*(Plan!$L$5:$L$117&gt;=AP$5))=0,"",INDEX(Plan!$A$5:$A$117,SUMPRODUCT(((Plan!$I$5:$I$117="B")+(Plan!$I$5:$I$117="A+B"))*(Plan!$K$5:$K$117&lt;AP$5)*(Plan!$L$5:$L$117&gt;=AP$5)*(ROW(Plan!$A$5:$A$117)-4))))</f>
        <v/>
      </c>
      <c r="AQ7" s="26">
        <f>IF(SUMPRODUCT(((Plan!$I$5:$I$117="B")+(Plan!$I$5:$I$117="A+B"))*(Plan!$K$5:$K$117&lt;AQ$5)*(Plan!$L$5:$L$117&gt;=AQ$5))=0,"",INDEX(Plan!$A$5:$A$117,SUMPRODUCT(((Plan!$I$5:$I$117="B")+(Plan!$I$5:$I$117="A+B"))*(Plan!$K$5:$K$117&lt;AQ$5)*(Plan!$L$5:$L$117&gt;=AQ$5)*(ROW(Plan!$A$5:$A$117)-4))))</f>
        <v/>
      </c>
      <c r="AR7" s="26">
        <f>IF(SUMPRODUCT(((Plan!$I$5:$I$117="B")+(Plan!$I$5:$I$117="A+B"))*(Plan!$K$5:$K$117&lt;AR$5)*(Plan!$L$5:$L$117&gt;=AR$5))=0,"",INDEX(Plan!$A$5:$A$117,SUMPRODUCT(((Plan!$I$5:$I$117="B")+(Plan!$I$5:$I$117="A+B"))*(Plan!$K$5:$K$117&lt;AR$5)*(Plan!$L$5:$L$117&gt;=AR$5)*(ROW(Plan!$A$5:$A$117)-4))))</f>
        <v/>
      </c>
      <c r="AS7" s="26">
        <f>IF(SUMPRODUCT(((Plan!$I$5:$I$117="B")+(Plan!$I$5:$I$117="A+B"))*(Plan!$K$5:$K$117&lt;AS$5)*(Plan!$L$5:$L$117&gt;=AS$5))=0,"",INDEX(Plan!$A$5:$A$117,SUMPRODUCT(((Plan!$I$5:$I$117="B")+(Plan!$I$5:$I$117="A+B"))*(Plan!$K$5:$K$117&lt;AS$5)*(Plan!$L$5:$L$117&gt;=AS$5)*(ROW(Plan!$A$5:$A$117)-4))))</f>
        <v/>
      </c>
      <c r="AT7" s="26">
        <f>IF(SUMPRODUCT(((Plan!$I$5:$I$117="B")+(Plan!$I$5:$I$117="A+B"))*(Plan!$K$5:$K$117&lt;AT$5)*(Plan!$L$5:$L$117&gt;=AT$5))=0,"",INDEX(Plan!$A$5:$A$117,SUMPRODUCT(((Plan!$I$5:$I$117="B")+(Plan!$I$5:$I$117="A+B"))*(Plan!$K$5:$K$117&lt;AT$5)*(Plan!$L$5:$L$117&gt;=AT$5)*(ROW(Plan!$A$5:$A$117)-4))))</f>
        <v/>
      </c>
      <c r="AU7" s="26">
        <f>IF(SUMPRODUCT(((Plan!$I$5:$I$117="B")+(Plan!$I$5:$I$117="A+B"))*(Plan!$K$5:$K$117&lt;AU$5)*(Plan!$L$5:$L$117&gt;=AU$5))=0,"",INDEX(Plan!$A$5:$A$117,SUMPRODUCT(((Plan!$I$5:$I$117="B")+(Plan!$I$5:$I$117="A+B"))*(Plan!$K$5:$K$117&lt;AU$5)*(Plan!$L$5:$L$117&gt;=AU$5)*(ROW(Plan!$A$5:$A$117)-4))))</f>
        <v/>
      </c>
      <c r="AV7" s="26">
        <f>IF(SUMPRODUCT(((Plan!$I$5:$I$117="B")+(Plan!$I$5:$I$117="A+B"))*(Plan!$K$5:$K$117&lt;AV$5)*(Plan!$L$5:$L$117&gt;=AV$5))=0,"",INDEX(Plan!$A$5:$A$117,SUMPRODUCT(((Plan!$I$5:$I$117="B")+(Plan!$I$5:$I$117="A+B"))*(Plan!$K$5:$K$117&lt;AV$5)*(Plan!$L$5:$L$117&gt;=AV$5)*(ROW(Plan!$A$5:$A$117)-4))))</f>
        <v/>
      </c>
      <c r="AW7" s="26">
        <f>IF(SUMPRODUCT(((Plan!$I$5:$I$117="B")+(Plan!$I$5:$I$117="A+B"))*(Plan!$K$5:$K$117&lt;AW$5)*(Plan!$L$5:$L$117&gt;=AW$5))=0,"",INDEX(Plan!$A$5:$A$117,SUMPRODUCT(((Plan!$I$5:$I$117="B")+(Plan!$I$5:$I$117="A+B"))*(Plan!$K$5:$K$117&lt;AW$5)*(Plan!$L$5:$L$117&gt;=AW$5)*(ROW(Plan!$A$5:$A$117)-4))))</f>
        <v/>
      </c>
      <c r="AX7" s="26">
        <f>IF(SUMPRODUCT(((Plan!$I$5:$I$117="B")+(Plan!$I$5:$I$117="A+B"))*(Plan!$K$5:$K$117&lt;AX$5)*(Plan!$L$5:$L$117&gt;=AX$5))=0,"",INDEX(Plan!$A$5:$A$117,SUMPRODUCT(((Plan!$I$5:$I$117="B")+(Plan!$I$5:$I$117="A+B"))*(Plan!$K$5:$K$117&lt;AX$5)*(Plan!$L$5:$L$117&gt;=AX$5)*(ROW(Plan!$A$5:$A$117)-4))))</f>
        <v/>
      </c>
      <c r="AY7" s="26">
        <f>IF(SUMPRODUCT(((Plan!$I$5:$I$117="B")+(Plan!$I$5:$I$117="A+B"))*(Plan!$K$5:$K$117&lt;AY$5)*(Plan!$L$5:$L$117&gt;=AY$5))=0,"",INDEX(Plan!$A$5:$A$117,SUMPRODUCT(((Plan!$I$5:$I$117="B")+(Plan!$I$5:$I$117="A+B"))*(Plan!$K$5:$K$117&lt;AY$5)*(Plan!$L$5:$L$117&gt;=AY$5)*(ROW(Plan!$A$5:$A$117)-4))))</f>
        <v/>
      </c>
      <c r="AZ7" s="26">
        <f>IF(SUMPRODUCT(((Plan!$I$5:$I$117="B")+(Plan!$I$5:$I$117="A+B"))*(Plan!$K$5:$K$117&lt;AZ$5)*(Plan!$L$5:$L$117&gt;=AZ$5))=0,"",INDEX(Plan!$A$5:$A$117,SUMPRODUCT(((Plan!$I$5:$I$117="B")+(Plan!$I$5:$I$117="A+B"))*(Plan!$K$5:$K$117&lt;AZ$5)*(Plan!$L$5:$L$117&gt;=AZ$5)*(ROW(Plan!$A$5:$A$117)-4))))</f>
        <v/>
      </c>
      <c r="BA7" s="26">
        <f>IF(SUMPRODUCT(((Plan!$I$5:$I$117="B")+(Plan!$I$5:$I$117="A+B"))*(Plan!$K$5:$K$117&lt;BA$5)*(Plan!$L$5:$L$117&gt;=BA$5))=0,"",INDEX(Plan!$A$5:$A$117,SUMPRODUCT(((Plan!$I$5:$I$117="B")+(Plan!$I$5:$I$117="A+B"))*(Plan!$K$5:$K$117&lt;BA$5)*(Plan!$L$5:$L$117&gt;=BA$5)*(ROW(Plan!$A$5:$A$117)-4))))</f>
        <v/>
      </c>
      <c r="BB7" s="26">
        <f>IF(SUMPRODUCT(((Plan!$I$5:$I$117="B")+(Plan!$I$5:$I$117="A+B"))*(Plan!$K$5:$K$117&lt;BB$5)*(Plan!$L$5:$L$117&gt;=BB$5))=0,"",INDEX(Plan!$A$5:$A$117,SUMPRODUCT(((Plan!$I$5:$I$117="B")+(Plan!$I$5:$I$117="A+B"))*(Plan!$K$5:$K$117&lt;BB$5)*(Plan!$L$5:$L$117&gt;=BB$5)*(ROW(Plan!$A$5:$A$117)-4))))</f>
        <v/>
      </c>
      <c r="BC7" s="26">
        <f>IF(SUMPRODUCT(((Plan!$I$5:$I$117="B")+(Plan!$I$5:$I$117="A+B"))*(Plan!$K$5:$K$117&lt;BC$5)*(Plan!$L$5:$L$117&gt;=BC$5))=0,"",INDEX(Plan!$A$5:$A$117,SUMPRODUCT(((Plan!$I$5:$I$117="B")+(Plan!$I$5:$I$117="A+B"))*(Plan!$K$5:$K$117&lt;BC$5)*(Plan!$L$5:$L$117&gt;=BC$5)*(ROW(Plan!$A$5:$A$117)-4))))</f>
        <v/>
      </c>
      <c r="BD7" s="26">
        <f>IF(SUMPRODUCT(((Plan!$I$5:$I$117="B")+(Plan!$I$5:$I$117="A+B"))*(Plan!$K$5:$K$117&lt;BD$5)*(Plan!$L$5:$L$117&gt;=BD$5))=0,"",INDEX(Plan!$A$5:$A$117,SUMPRODUCT(((Plan!$I$5:$I$117="B")+(Plan!$I$5:$I$117="A+B"))*(Plan!$K$5:$K$117&lt;BD$5)*(Plan!$L$5:$L$117&gt;=BD$5)*(ROW(Plan!$A$5:$A$117)-4))))</f>
        <v/>
      </c>
      <c r="BE7" s="26">
        <f>IF(SUMPRODUCT(((Plan!$I$5:$I$117="B")+(Plan!$I$5:$I$117="A+B"))*(Plan!$K$5:$K$117&lt;BE$5)*(Plan!$L$5:$L$117&gt;=BE$5))=0,"",INDEX(Plan!$A$5:$A$117,SUMPRODUCT(((Plan!$I$5:$I$117="B")+(Plan!$I$5:$I$117="A+B"))*(Plan!$K$5:$K$117&lt;BE$5)*(Plan!$L$5:$L$117&gt;=BE$5)*(ROW(Plan!$A$5:$A$117)-4))))</f>
        <v/>
      </c>
      <c r="BF7" s="26">
        <f>IF(SUMPRODUCT(((Plan!$I$5:$I$117="B")+(Plan!$I$5:$I$117="A+B"))*(Plan!$K$5:$K$117&lt;BF$5)*(Plan!$L$5:$L$117&gt;=BF$5))=0,"",INDEX(Plan!$A$5:$A$117,SUMPRODUCT(((Plan!$I$5:$I$117="B")+(Plan!$I$5:$I$117="A+B"))*(Plan!$K$5:$K$117&lt;BF$5)*(Plan!$L$5:$L$117&gt;=BF$5)*(ROW(Plan!$A$5:$A$117)-4))))</f>
        <v/>
      </c>
      <c r="BG7" s="26">
        <f>IF(SUMPRODUCT(((Plan!$I$5:$I$117="B")+(Plan!$I$5:$I$117="A+B"))*(Plan!$K$5:$K$117&lt;BG$5)*(Plan!$L$5:$L$117&gt;=BG$5))=0,"",INDEX(Plan!$A$5:$A$117,SUMPRODUCT(((Plan!$I$5:$I$117="B")+(Plan!$I$5:$I$117="A+B"))*(Plan!$K$5:$K$117&lt;BG$5)*(Plan!$L$5:$L$117&gt;=BG$5)*(ROW(Plan!$A$5:$A$117)-4))))</f>
        <v/>
      </c>
      <c r="BH7" s="26">
        <f>IF(SUMPRODUCT(((Plan!$I$5:$I$117="B")+(Plan!$I$5:$I$117="A+B"))*(Plan!$K$5:$K$117&lt;BH$5)*(Plan!$L$5:$L$117&gt;=BH$5))=0,"",INDEX(Plan!$A$5:$A$117,SUMPRODUCT(((Plan!$I$5:$I$117="B")+(Plan!$I$5:$I$117="A+B"))*(Plan!$K$5:$K$117&lt;BH$5)*(Plan!$L$5:$L$117&gt;=BH$5)*(ROW(Plan!$A$5:$A$117)-4))))</f>
        <v/>
      </c>
      <c r="BI7" s="26">
        <f>IF(SUMPRODUCT(((Plan!$I$5:$I$117="B")+(Plan!$I$5:$I$117="A+B"))*(Plan!$K$5:$K$117&lt;BI$5)*(Plan!$L$5:$L$117&gt;=BI$5))=0,"",INDEX(Plan!$A$5:$A$117,SUMPRODUCT(((Plan!$I$5:$I$117="B")+(Plan!$I$5:$I$117="A+B"))*(Plan!$K$5:$K$117&lt;BI$5)*(Plan!$L$5:$L$117&gt;=BI$5)*(ROW(Plan!$A$5:$A$117)-4))))</f>
        <v/>
      </c>
      <c r="BJ7" s="26">
        <f>IF(SUMPRODUCT(((Plan!$I$5:$I$117="B")+(Plan!$I$5:$I$117="A+B"))*(Plan!$K$5:$K$117&lt;BJ$5)*(Plan!$L$5:$L$117&gt;=BJ$5))=0,"",INDEX(Plan!$A$5:$A$117,SUMPRODUCT(((Plan!$I$5:$I$117="B")+(Plan!$I$5:$I$117="A+B"))*(Plan!$K$5:$K$117&lt;BJ$5)*(Plan!$L$5:$L$117&gt;=BJ$5)*(ROW(Plan!$A$5:$A$117)-4))))</f>
        <v/>
      </c>
      <c r="BK7" s="26">
        <f>IF(SUMPRODUCT(((Plan!$I$5:$I$117="B")+(Plan!$I$5:$I$117="A+B"))*(Plan!$K$5:$K$117&lt;BK$5)*(Plan!$L$5:$L$117&gt;=BK$5))=0,"",INDEX(Plan!$A$5:$A$117,SUMPRODUCT(((Plan!$I$5:$I$117="B")+(Plan!$I$5:$I$117="A+B"))*(Plan!$K$5:$K$117&lt;BK$5)*(Plan!$L$5:$L$117&gt;=BK$5)*(ROW(Plan!$A$5:$A$117)-4))))</f>
        <v/>
      </c>
      <c r="BL7" s="26">
        <f>IF(SUMPRODUCT(((Plan!$I$5:$I$117="B")+(Plan!$I$5:$I$117="A+B"))*(Plan!$K$5:$K$117&lt;BL$5)*(Plan!$L$5:$L$117&gt;=BL$5))=0,"",INDEX(Plan!$A$5:$A$117,SUMPRODUCT(((Plan!$I$5:$I$117="B")+(Plan!$I$5:$I$117="A+B"))*(Plan!$K$5:$K$117&lt;BL$5)*(Plan!$L$5:$L$117&gt;=BL$5)*(ROW(Plan!$A$5:$A$117)-4))))</f>
        <v/>
      </c>
      <c r="BM7" s="26">
        <f>IF(SUMPRODUCT(((Plan!$I$5:$I$117="B")+(Plan!$I$5:$I$117="A+B"))*(Plan!$K$5:$K$117&lt;BM$5)*(Plan!$L$5:$L$117&gt;=BM$5))=0,"",INDEX(Plan!$A$5:$A$117,SUMPRODUCT(((Plan!$I$5:$I$117="B")+(Plan!$I$5:$I$117="A+B"))*(Plan!$K$5:$K$117&lt;BM$5)*(Plan!$L$5:$L$117&gt;=BM$5)*(ROW(Plan!$A$5:$A$117)-4))))</f>
        <v/>
      </c>
      <c r="BN7" s="26">
        <f>IF(SUMPRODUCT(((Plan!$I$5:$I$117="B")+(Plan!$I$5:$I$117="A+B"))*(Plan!$K$5:$K$117&lt;BN$5)*(Plan!$L$5:$L$117&gt;=BN$5))=0,"",INDEX(Plan!$A$5:$A$117,SUMPRODUCT(((Plan!$I$5:$I$117="B")+(Plan!$I$5:$I$117="A+B"))*(Plan!$K$5:$K$117&lt;BN$5)*(Plan!$L$5:$L$117&gt;=BN$5)*(ROW(Plan!$A$5:$A$117)-4))))</f>
        <v/>
      </c>
      <c r="BO7" s="26">
        <f>IF(SUMPRODUCT(((Plan!$I$5:$I$117="B")+(Plan!$I$5:$I$117="A+B"))*(Plan!$K$5:$K$117&lt;BO$5)*(Plan!$L$5:$L$117&gt;=BO$5))=0,"",INDEX(Plan!$A$5:$A$117,SUMPRODUCT(((Plan!$I$5:$I$117="B")+(Plan!$I$5:$I$117="A+B"))*(Plan!$K$5:$K$117&lt;BO$5)*(Plan!$L$5:$L$117&gt;=BO$5)*(ROW(Plan!$A$5:$A$117)-4))))</f>
        <v/>
      </c>
      <c r="BP7" s="26">
        <f>IF(SUMPRODUCT(((Plan!$I$5:$I$117="B")+(Plan!$I$5:$I$117="A+B"))*(Plan!$K$5:$K$117&lt;BP$5)*(Plan!$L$5:$L$117&gt;=BP$5))=0,"",INDEX(Plan!$A$5:$A$117,SUMPRODUCT(((Plan!$I$5:$I$117="B")+(Plan!$I$5:$I$117="A+B"))*(Plan!$K$5:$K$117&lt;BP$5)*(Plan!$L$5:$L$117&gt;=BP$5)*(ROW(Plan!$A$5:$A$117)-4))))</f>
        <v/>
      </c>
      <c r="BQ7" s="26">
        <f>IF(SUMPRODUCT(((Plan!$I$5:$I$117="B")+(Plan!$I$5:$I$117="A+B"))*(Plan!$K$5:$K$117&lt;BQ$5)*(Plan!$L$5:$L$117&gt;=BQ$5))=0,"",INDEX(Plan!$A$5:$A$117,SUMPRODUCT(((Plan!$I$5:$I$117="B")+(Plan!$I$5:$I$117="A+B"))*(Plan!$K$5:$K$117&lt;BQ$5)*(Plan!$L$5:$L$117&gt;=BQ$5)*(ROW(Plan!$A$5:$A$117)-4))))</f>
        <v/>
      </c>
      <c r="BR7" s="26">
        <f>IF(SUMPRODUCT(((Plan!$I$5:$I$117="B")+(Plan!$I$5:$I$117="A+B"))*(Plan!$K$5:$K$117&lt;BR$5)*(Plan!$L$5:$L$117&gt;=BR$5))=0,"",INDEX(Plan!$A$5:$A$117,SUMPRODUCT(((Plan!$I$5:$I$117="B")+(Plan!$I$5:$I$117="A+B"))*(Plan!$K$5:$K$117&lt;BR$5)*(Plan!$L$5:$L$117&gt;=BR$5)*(ROW(Plan!$A$5:$A$117)-4))))</f>
        <v/>
      </c>
      <c r="BS7" s="26">
        <f>IF(SUMPRODUCT(((Plan!$I$5:$I$117="B")+(Plan!$I$5:$I$117="A+B"))*(Plan!$K$5:$K$117&lt;BS$5)*(Plan!$L$5:$L$117&gt;=BS$5))=0,"",INDEX(Plan!$A$5:$A$117,SUMPRODUCT(((Plan!$I$5:$I$117="B")+(Plan!$I$5:$I$117="A+B"))*(Plan!$K$5:$K$117&lt;BS$5)*(Plan!$L$5:$L$117&gt;=BS$5)*(ROW(Plan!$A$5:$A$117)-4))))</f>
        <v/>
      </c>
      <c r="BT7" s="26">
        <f>IF(SUMPRODUCT(((Plan!$I$5:$I$117="B")+(Plan!$I$5:$I$117="A+B"))*(Plan!$K$5:$K$117&lt;BT$5)*(Plan!$L$5:$L$117&gt;=BT$5))=0,"",INDEX(Plan!$A$5:$A$117,SUMPRODUCT(((Plan!$I$5:$I$117="B")+(Plan!$I$5:$I$117="A+B"))*(Plan!$K$5:$K$117&lt;BT$5)*(Plan!$L$5:$L$117&gt;=BT$5)*(ROW(Plan!$A$5:$A$117)-4))))</f>
        <v/>
      </c>
      <c r="BU7" s="26">
        <f>IF(SUMPRODUCT(((Plan!$I$5:$I$117="B")+(Plan!$I$5:$I$117="A+B"))*(Plan!$K$5:$K$117&lt;BU$5)*(Plan!$L$5:$L$117&gt;=BU$5))=0,"",INDEX(Plan!$A$5:$A$117,SUMPRODUCT(((Plan!$I$5:$I$117="B")+(Plan!$I$5:$I$117="A+B"))*(Plan!$K$5:$K$117&lt;BU$5)*(Plan!$L$5:$L$117&gt;=BU$5)*(ROW(Plan!$A$5:$A$117)-4))))</f>
        <v/>
      </c>
      <c r="BV7" s="26">
        <f>IF(SUMPRODUCT(((Plan!$I$5:$I$117="B")+(Plan!$I$5:$I$117="A+B"))*(Plan!$K$5:$K$117&lt;BV$5)*(Plan!$L$5:$L$117&gt;=BV$5))=0,"",INDEX(Plan!$A$5:$A$117,SUMPRODUCT(((Plan!$I$5:$I$117="B")+(Plan!$I$5:$I$117="A+B"))*(Plan!$K$5:$K$117&lt;BV$5)*(Plan!$L$5:$L$117&gt;=BV$5)*(ROW(Plan!$A$5:$A$117)-4))))</f>
        <v/>
      </c>
      <c r="BW7" s="26">
        <f>IF(SUMPRODUCT(((Plan!$I$5:$I$117="B")+(Plan!$I$5:$I$117="A+B"))*(Plan!$K$5:$K$117&lt;BW$5)*(Plan!$L$5:$L$117&gt;=BW$5))=0,"",INDEX(Plan!$A$5:$A$117,SUMPRODUCT(((Plan!$I$5:$I$117="B")+(Plan!$I$5:$I$117="A+B"))*(Plan!$K$5:$K$117&lt;BW$5)*(Plan!$L$5:$L$117&gt;=BW$5)*(ROW(Plan!$A$5:$A$117)-4))))</f>
        <v/>
      </c>
      <c r="BX7" s="26">
        <f>IF(SUMPRODUCT(((Plan!$I$5:$I$117="B")+(Plan!$I$5:$I$117="A+B"))*(Plan!$K$5:$K$117&lt;BX$5)*(Plan!$L$5:$L$117&gt;=BX$5))=0,"",INDEX(Plan!$A$5:$A$117,SUMPRODUCT(((Plan!$I$5:$I$117="B")+(Plan!$I$5:$I$117="A+B"))*(Plan!$K$5:$K$117&lt;BX$5)*(Plan!$L$5:$L$117&gt;=BX$5)*(ROW(Plan!$A$5:$A$117)-4))))</f>
        <v/>
      </c>
      <c r="BY7" s="26">
        <f>IF(SUMPRODUCT(((Plan!$I$5:$I$117="B")+(Plan!$I$5:$I$117="A+B"))*(Plan!$K$5:$K$117&lt;BY$5)*(Plan!$L$5:$L$117&gt;=BY$5))=0,"",INDEX(Plan!$A$5:$A$117,SUMPRODUCT(((Plan!$I$5:$I$117="B")+(Plan!$I$5:$I$117="A+B"))*(Plan!$K$5:$K$117&lt;BY$5)*(Plan!$L$5:$L$117&gt;=BY$5)*(ROW(Plan!$A$5:$A$117)-4))))</f>
        <v/>
      </c>
      <c r="BZ7" s="26">
        <f>IF(SUMPRODUCT(((Plan!$I$5:$I$117="B")+(Plan!$I$5:$I$117="A+B"))*(Plan!$K$5:$K$117&lt;BZ$5)*(Plan!$L$5:$L$117&gt;=BZ$5))=0,"",INDEX(Plan!$A$5:$A$117,SUMPRODUCT(((Plan!$I$5:$I$117="B")+(Plan!$I$5:$I$117="A+B"))*(Plan!$K$5:$K$117&lt;BZ$5)*(Plan!$L$5:$L$117&gt;=BZ$5)*(ROW(Plan!$A$5:$A$117)-4))))</f>
        <v/>
      </c>
      <c r="CA7" s="26">
        <f>IF(SUMPRODUCT(((Plan!$I$5:$I$117="B")+(Plan!$I$5:$I$117="A+B"))*(Plan!$K$5:$K$117&lt;CA$5)*(Plan!$L$5:$L$117&gt;=CA$5))=0,"",INDEX(Plan!$A$5:$A$117,SUMPRODUCT(((Plan!$I$5:$I$117="B")+(Plan!$I$5:$I$117="A+B"))*(Plan!$K$5:$K$117&lt;CA$5)*(Plan!$L$5:$L$117&gt;=CA$5)*(ROW(Plan!$A$5:$A$117)-4))))</f>
        <v/>
      </c>
      <c r="CB7" s="26">
        <f>IF(SUMPRODUCT(((Plan!$I$5:$I$117="B")+(Plan!$I$5:$I$117="A+B"))*(Plan!$K$5:$K$117&lt;CB$5)*(Plan!$L$5:$L$117&gt;=CB$5))=0,"",INDEX(Plan!$A$5:$A$117,SUMPRODUCT(((Plan!$I$5:$I$117="B")+(Plan!$I$5:$I$117="A+B"))*(Plan!$K$5:$K$117&lt;CB$5)*(Plan!$L$5:$L$117&gt;=CB$5)*(ROW(Plan!$A$5:$A$117)-4))))</f>
        <v/>
      </c>
      <c r="CC7" s="26">
        <f>IF(SUMPRODUCT(((Plan!$I$5:$I$117="B")+(Plan!$I$5:$I$117="A+B"))*(Plan!$K$5:$K$117&lt;CC$5)*(Plan!$L$5:$L$117&gt;=CC$5))=0,"",INDEX(Plan!$A$5:$A$117,SUMPRODUCT(((Plan!$I$5:$I$117="B")+(Plan!$I$5:$I$117="A+B"))*(Plan!$K$5:$K$117&lt;CC$5)*(Plan!$L$5:$L$117&gt;=CC$5)*(ROW(Plan!$A$5:$A$117)-4))))</f>
        <v/>
      </c>
      <c r="CD7" s="26">
        <f>IF(SUMPRODUCT(((Plan!$I$5:$I$117="B")+(Plan!$I$5:$I$117="A+B"))*(Plan!$K$5:$K$117&lt;CD$5)*(Plan!$L$5:$L$117&gt;=CD$5))=0,"",INDEX(Plan!$A$5:$A$117,SUMPRODUCT(((Plan!$I$5:$I$117="B")+(Plan!$I$5:$I$117="A+B"))*(Plan!$K$5:$K$117&lt;CD$5)*(Plan!$L$5:$L$117&gt;=CD$5)*(ROW(Plan!$A$5:$A$117)-4))))</f>
        <v/>
      </c>
      <c r="CE7" s="26">
        <f>IF(SUMPRODUCT(((Plan!$I$5:$I$117="B")+(Plan!$I$5:$I$117="A+B"))*(Plan!$K$5:$K$117&lt;CE$5)*(Plan!$L$5:$L$117&gt;=CE$5))=0,"",INDEX(Plan!$A$5:$A$117,SUMPRODUCT(((Plan!$I$5:$I$117="B")+(Plan!$I$5:$I$117="A+B"))*(Plan!$K$5:$K$117&lt;CE$5)*(Plan!$L$5:$L$117&gt;=CE$5)*(ROW(Plan!$A$5:$A$117)-4))))</f>
        <v/>
      </c>
      <c r="CF7" s="26">
        <f>IF(SUMPRODUCT(((Plan!$I$5:$I$117="B")+(Plan!$I$5:$I$117="A+B"))*(Plan!$K$5:$K$117&lt;CF$5)*(Plan!$L$5:$L$117&gt;=CF$5))=0,"",INDEX(Plan!$A$5:$A$117,SUMPRODUCT(((Plan!$I$5:$I$117="B")+(Plan!$I$5:$I$117="A+B"))*(Plan!$K$5:$K$117&lt;CF$5)*(Plan!$L$5:$L$117&gt;=CF$5)*(ROW(Plan!$A$5:$A$117)-4))))</f>
        <v/>
      </c>
      <c r="CG7" s="26">
        <f>IF(SUMPRODUCT(((Plan!$I$5:$I$117="B")+(Plan!$I$5:$I$117="A+B"))*(Plan!$K$5:$K$117&lt;CG$5)*(Plan!$L$5:$L$117&gt;=CG$5))=0,"",INDEX(Plan!$A$5:$A$117,SUMPRODUCT(((Plan!$I$5:$I$117="B")+(Plan!$I$5:$I$117="A+B"))*(Plan!$K$5:$K$117&lt;CG$5)*(Plan!$L$5:$L$117&gt;=CG$5)*(ROW(Plan!$A$5:$A$117)-4))))</f>
        <v/>
      </c>
      <c r="CH7" s="26">
        <f>IF(SUMPRODUCT(((Plan!$I$5:$I$117="B")+(Plan!$I$5:$I$117="A+B"))*(Plan!$K$5:$K$117&lt;CH$5)*(Plan!$L$5:$L$117&gt;=CH$5))=0,"",INDEX(Plan!$A$5:$A$117,SUMPRODUCT(((Plan!$I$5:$I$117="B")+(Plan!$I$5:$I$117="A+B"))*(Plan!$K$5:$K$117&lt;CH$5)*(Plan!$L$5:$L$117&gt;=CH$5)*(ROW(Plan!$A$5:$A$117)-4))))</f>
        <v/>
      </c>
      <c r="CI7" s="26">
        <f>IF(SUMPRODUCT(((Plan!$I$5:$I$117="B")+(Plan!$I$5:$I$117="A+B"))*(Plan!$K$5:$K$117&lt;CI$5)*(Plan!$L$5:$L$117&gt;=CI$5))=0,"",INDEX(Plan!$A$5:$A$117,SUMPRODUCT(((Plan!$I$5:$I$117="B")+(Plan!$I$5:$I$117="A+B"))*(Plan!$K$5:$K$117&lt;CI$5)*(Plan!$L$5:$L$117&gt;=CI$5)*(ROW(Plan!$A$5:$A$117)-4))))</f>
        <v/>
      </c>
      <c r="CJ7" s="26">
        <f>IF(SUMPRODUCT(((Plan!$I$5:$I$117="B")+(Plan!$I$5:$I$117="A+B"))*(Plan!$K$5:$K$117&lt;CJ$5)*(Plan!$L$5:$L$117&gt;=CJ$5))=0,"",INDEX(Plan!$A$5:$A$117,SUMPRODUCT(((Plan!$I$5:$I$117="B")+(Plan!$I$5:$I$117="A+B"))*(Plan!$K$5:$K$117&lt;CJ$5)*(Plan!$L$5:$L$117&gt;=CJ$5)*(ROW(Plan!$A$5:$A$117)-4))))</f>
        <v/>
      </c>
      <c r="CK7" s="26">
        <f>IF(SUMPRODUCT(((Plan!$I$5:$I$117="B")+(Plan!$I$5:$I$117="A+B"))*(Plan!$K$5:$K$117&lt;CK$5)*(Plan!$L$5:$L$117&gt;=CK$5))=0,"",INDEX(Plan!$A$5:$A$117,SUMPRODUCT(((Plan!$I$5:$I$117="B")+(Plan!$I$5:$I$117="A+B"))*(Plan!$K$5:$K$117&lt;CK$5)*(Plan!$L$5:$L$117&gt;=CK$5)*(ROW(Plan!$A$5:$A$117)-4))))</f>
        <v/>
      </c>
      <c r="CL7" s="26">
        <f>IF(SUMPRODUCT(((Plan!$I$5:$I$117="B")+(Plan!$I$5:$I$117="A+B"))*(Plan!$K$5:$K$117&lt;CL$5)*(Plan!$L$5:$L$117&gt;=CL$5))=0,"",INDEX(Plan!$A$5:$A$117,SUMPRODUCT(((Plan!$I$5:$I$117="B")+(Plan!$I$5:$I$117="A+B"))*(Plan!$K$5:$K$117&lt;CL$5)*(Plan!$L$5:$L$117&gt;=CL$5)*(ROW(Plan!$A$5:$A$117)-4))))</f>
        <v/>
      </c>
      <c r="CM7" s="26">
        <f>IF(SUMPRODUCT(((Plan!$I$5:$I$117="B")+(Plan!$I$5:$I$117="A+B"))*(Plan!$K$5:$K$117&lt;CM$5)*(Plan!$L$5:$L$117&gt;=CM$5))=0,"",INDEX(Plan!$A$5:$A$117,SUMPRODUCT(((Plan!$I$5:$I$117="B")+(Plan!$I$5:$I$117="A+B"))*(Plan!$K$5:$K$117&lt;CM$5)*(Plan!$L$5:$L$117&gt;=CM$5)*(ROW(Plan!$A$5:$A$117)-4))))</f>
        <v/>
      </c>
      <c r="CN7" s="26">
        <f>IF(SUMPRODUCT(((Plan!$I$5:$I$117="B")+(Plan!$I$5:$I$117="A+B"))*(Plan!$K$5:$K$117&lt;CN$5)*(Plan!$L$5:$L$117&gt;=CN$5))=0,"",INDEX(Plan!$A$5:$A$117,SUMPRODUCT(((Plan!$I$5:$I$117="B")+(Plan!$I$5:$I$117="A+B"))*(Plan!$K$5:$K$117&lt;CN$5)*(Plan!$L$5:$L$117&gt;=CN$5)*(ROW(Plan!$A$5:$A$117)-4))))</f>
        <v/>
      </c>
      <c r="CO7" s="26">
        <f>IF(SUMPRODUCT(((Plan!$I$5:$I$117="B")+(Plan!$I$5:$I$117="A+B"))*(Plan!$K$5:$K$117&lt;CO$5)*(Plan!$L$5:$L$117&gt;=CO$5))=0,"",INDEX(Plan!$A$5:$A$117,SUMPRODUCT(((Plan!$I$5:$I$117="B")+(Plan!$I$5:$I$117="A+B"))*(Plan!$K$5:$K$117&lt;CO$5)*(Plan!$L$5:$L$117&gt;=CO$5)*(ROW(Plan!$A$5:$A$117)-4))))</f>
        <v/>
      </c>
      <c r="CP7" s="26">
        <f>IF(SUMPRODUCT(((Plan!$I$5:$I$117="B")+(Plan!$I$5:$I$117="A+B"))*(Plan!$K$5:$K$117&lt;CP$5)*(Plan!$L$5:$L$117&gt;=CP$5))=0,"",INDEX(Plan!$A$5:$A$117,SUMPRODUCT(((Plan!$I$5:$I$117="B")+(Plan!$I$5:$I$117="A+B"))*(Plan!$K$5:$K$117&lt;CP$5)*(Plan!$L$5:$L$117&gt;=CP$5)*(ROW(Plan!$A$5:$A$117)-4))))</f>
        <v/>
      </c>
      <c r="CQ7" s="26">
        <f>IF(SUMPRODUCT(((Plan!$I$5:$I$117="B")+(Plan!$I$5:$I$117="A+B"))*(Plan!$K$5:$K$117&lt;CQ$5)*(Plan!$L$5:$L$117&gt;=CQ$5))=0,"",INDEX(Plan!$A$5:$A$117,SUMPRODUCT(((Plan!$I$5:$I$117="B")+(Plan!$I$5:$I$117="A+B"))*(Plan!$K$5:$K$117&lt;CQ$5)*(Plan!$L$5:$L$117&gt;=CQ$5)*(ROW(Plan!$A$5:$A$117)-4))))</f>
        <v/>
      </c>
      <c r="CR7" s="26">
        <f>IF(SUMPRODUCT(((Plan!$I$5:$I$117="B")+(Plan!$I$5:$I$117="A+B"))*(Plan!$K$5:$K$117&lt;CR$5)*(Plan!$L$5:$L$117&gt;=CR$5))=0,"",INDEX(Plan!$A$5:$A$117,SUMPRODUCT(((Plan!$I$5:$I$117="B")+(Plan!$I$5:$I$117="A+B"))*(Plan!$K$5:$K$117&lt;CR$5)*(Plan!$L$5:$L$117&gt;=CR$5)*(ROW(Plan!$A$5:$A$117)-4))))</f>
        <v/>
      </c>
      <c r="CS7" s="26">
        <f>IF(SUMPRODUCT(((Plan!$I$5:$I$117="B")+(Plan!$I$5:$I$117="A+B"))*(Plan!$K$5:$K$117&lt;CS$5)*(Plan!$L$5:$L$117&gt;=CS$5))=0,"",INDEX(Plan!$A$5:$A$117,SUMPRODUCT(((Plan!$I$5:$I$117="B")+(Plan!$I$5:$I$117="A+B"))*(Plan!$K$5:$K$117&lt;CS$5)*(Plan!$L$5:$L$117&gt;=CS$5)*(ROW(Plan!$A$5:$A$117)-4))))</f>
        <v/>
      </c>
      <c r="CT7" s="26">
        <f>IF(SUMPRODUCT(((Plan!$I$5:$I$117="B")+(Plan!$I$5:$I$117="A+B"))*(Plan!$K$5:$K$117&lt;CT$5)*(Plan!$L$5:$L$117&gt;=CT$5))=0,"",INDEX(Plan!$A$5:$A$117,SUMPRODUCT(((Plan!$I$5:$I$117="B")+(Plan!$I$5:$I$117="A+B"))*(Plan!$K$5:$K$117&lt;CT$5)*(Plan!$L$5:$L$117&gt;=CT$5)*(ROW(Plan!$A$5:$A$117)-4))))</f>
        <v/>
      </c>
      <c r="CU7" s="26">
        <f>IF(SUMPRODUCT(((Plan!$I$5:$I$117="B")+(Plan!$I$5:$I$117="A+B"))*(Plan!$K$5:$K$117&lt;CU$5)*(Plan!$L$5:$L$117&gt;=CU$5))=0,"",INDEX(Plan!$A$5:$A$117,SUMPRODUCT(((Plan!$I$5:$I$117="B")+(Plan!$I$5:$I$117="A+B"))*(Plan!$K$5:$K$117&lt;CU$5)*(Plan!$L$5:$L$117&gt;=CU$5)*(ROW(Plan!$A$5:$A$117)-4))))</f>
        <v/>
      </c>
      <c r="CV7" s="26">
        <f>IF(SUMPRODUCT(((Plan!$I$5:$I$117="B")+(Plan!$I$5:$I$117="A+B"))*(Plan!$K$5:$K$117&lt;CV$5)*(Plan!$L$5:$L$117&gt;=CV$5))=0,"",INDEX(Plan!$A$5:$A$117,SUMPRODUCT(((Plan!$I$5:$I$117="B")+(Plan!$I$5:$I$117="A+B"))*(Plan!$K$5:$K$117&lt;CV$5)*(Plan!$L$5:$L$117&gt;=CV$5)*(ROW(Plan!$A$5:$A$117)-4))))</f>
        <v/>
      </c>
      <c r="CW7" s="26">
        <f>IF(SUMPRODUCT(((Plan!$I$5:$I$117="B")+(Plan!$I$5:$I$117="A+B"))*(Plan!$K$5:$K$117&lt;CW$5)*(Plan!$L$5:$L$117&gt;=CW$5))=0,"",INDEX(Plan!$A$5:$A$117,SUMPRODUCT(((Plan!$I$5:$I$117="B")+(Plan!$I$5:$I$117="A+B"))*(Plan!$K$5:$K$117&lt;CW$5)*(Plan!$L$5:$L$117&gt;=CW$5)*(ROW(Plan!$A$5:$A$117)-4))))</f>
        <v/>
      </c>
      <c r="CX7" s="26">
        <f>IF(SUMPRODUCT(((Plan!$I$5:$I$117="B")+(Plan!$I$5:$I$117="A+B"))*(Plan!$K$5:$K$117&lt;CX$5)*(Plan!$L$5:$L$117&gt;=CX$5))=0,"",INDEX(Plan!$A$5:$A$117,SUMPRODUCT(((Plan!$I$5:$I$117="B")+(Plan!$I$5:$I$117="A+B"))*(Plan!$K$5:$K$117&lt;CX$5)*(Plan!$L$5:$L$117&gt;=CX$5)*(ROW(Plan!$A$5:$A$117)-4))))</f>
        <v/>
      </c>
      <c r="CY7" s="26">
        <f>IF(SUMPRODUCT(((Plan!$I$5:$I$117="B")+(Plan!$I$5:$I$117="A+B"))*(Plan!$K$5:$K$117&lt;CY$5)*(Plan!$L$5:$L$117&gt;=CY$5))=0,"",INDEX(Plan!$A$5:$A$117,SUMPRODUCT(((Plan!$I$5:$I$117="B")+(Plan!$I$5:$I$117="A+B"))*(Plan!$K$5:$K$117&lt;CY$5)*(Plan!$L$5:$L$117&gt;=CY$5)*(ROW(Plan!$A$5:$A$117)-4))))</f>
        <v/>
      </c>
      <c r="CZ7" s="26">
        <f>IF(SUMPRODUCT(((Plan!$I$5:$I$117="B")+(Plan!$I$5:$I$117="A+B"))*(Plan!$K$5:$K$117&lt;CZ$5)*(Plan!$L$5:$L$117&gt;=CZ$5))=0,"",INDEX(Plan!$A$5:$A$117,SUMPRODUCT(((Plan!$I$5:$I$117="B")+(Plan!$I$5:$I$117="A+B"))*(Plan!$K$5:$K$117&lt;CZ$5)*(Plan!$L$5:$L$117&gt;=CZ$5)*(ROW(Plan!$A$5:$A$117)-4))))</f>
        <v/>
      </c>
      <c r="DA7" s="26">
        <f>IF(SUMPRODUCT(((Plan!$I$5:$I$117="B")+(Plan!$I$5:$I$117="A+B"))*(Plan!$K$5:$K$117&lt;DA$5)*(Plan!$L$5:$L$117&gt;=DA$5))=0,"",INDEX(Plan!$A$5:$A$117,SUMPRODUCT(((Plan!$I$5:$I$117="B")+(Plan!$I$5:$I$117="A+B"))*(Plan!$K$5:$K$117&lt;DA$5)*(Plan!$L$5:$L$117&gt;=DA$5)*(ROW(Plan!$A$5:$A$117)-4))))</f>
        <v/>
      </c>
      <c r="DB7" s="26">
        <f>IF(SUMPRODUCT(((Plan!$I$5:$I$117="B")+(Plan!$I$5:$I$117="A+B"))*(Plan!$K$5:$K$117&lt;DB$5)*(Plan!$L$5:$L$117&gt;=DB$5))=0,"",INDEX(Plan!$A$5:$A$117,SUMPRODUCT(((Plan!$I$5:$I$117="B")+(Plan!$I$5:$I$117="A+B"))*(Plan!$K$5:$K$117&lt;DB$5)*(Plan!$L$5:$L$117&gt;=DB$5)*(ROW(Plan!$A$5:$A$117)-4))))</f>
        <v/>
      </c>
      <c r="DC7" s="26">
        <f>IF(SUMPRODUCT(((Plan!$I$5:$I$117="B")+(Plan!$I$5:$I$117="A+B"))*(Plan!$K$5:$K$117&lt;DC$5)*(Plan!$L$5:$L$117&gt;=DC$5))=0,"",INDEX(Plan!$A$5:$A$117,SUMPRODUCT(((Plan!$I$5:$I$117="B")+(Plan!$I$5:$I$117="A+B"))*(Plan!$K$5:$K$117&lt;DC$5)*(Plan!$L$5:$L$117&gt;=DC$5)*(ROW(Plan!$A$5:$A$117)-4))))</f>
        <v/>
      </c>
      <c r="DD7" s="26">
        <f>IF(SUMPRODUCT(((Plan!$I$5:$I$117="B")+(Plan!$I$5:$I$117="A+B"))*(Plan!$K$5:$K$117&lt;DD$5)*(Plan!$L$5:$L$117&gt;=DD$5))=0,"",INDEX(Plan!$A$5:$A$117,SUMPRODUCT(((Plan!$I$5:$I$117="B")+(Plan!$I$5:$I$117="A+B"))*(Plan!$K$5:$K$117&lt;DD$5)*(Plan!$L$5:$L$117&gt;=DD$5)*(ROW(Plan!$A$5:$A$117)-4))))</f>
        <v/>
      </c>
      <c r="DE7" s="26">
        <f>IF(SUMPRODUCT(((Plan!$I$5:$I$117="B")+(Plan!$I$5:$I$117="A+B"))*(Plan!$K$5:$K$117&lt;DE$5)*(Plan!$L$5:$L$117&gt;=DE$5))=0,"",INDEX(Plan!$A$5:$A$117,SUMPRODUCT(((Plan!$I$5:$I$117="B")+(Plan!$I$5:$I$117="A+B"))*(Plan!$K$5:$K$117&lt;DE$5)*(Plan!$L$5:$L$117&gt;=DE$5)*(ROW(Plan!$A$5:$A$117)-4))))</f>
        <v/>
      </c>
      <c r="DF7" s="26">
        <f>IF(SUMPRODUCT(((Plan!$I$5:$I$117="B")+(Plan!$I$5:$I$117="A+B"))*(Plan!$K$5:$K$117&lt;DF$5)*(Plan!$L$5:$L$117&gt;=DF$5))=0,"",INDEX(Plan!$A$5:$A$117,SUMPRODUCT(((Plan!$I$5:$I$117="B")+(Plan!$I$5:$I$117="A+B"))*(Plan!$K$5:$K$117&lt;DF$5)*(Plan!$L$5:$L$117&gt;=DF$5)*(ROW(Plan!$A$5:$A$117)-4))))</f>
        <v/>
      </c>
      <c r="DG7" s="26">
        <f>IF(SUMPRODUCT(((Plan!$I$5:$I$117="B")+(Plan!$I$5:$I$117="A+B"))*(Plan!$K$5:$K$117&lt;DG$5)*(Plan!$L$5:$L$117&gt;=DG$5))=0,"",INDEX(Plan!$A$5:$A$117,SUMPRODUCT(((Plan!$I$5:$I$117="B")+(Plan!$I$5:$I$117="A+B"))*(Plan!$K$5:$K$117&lt;DG$5)*(Plan!$L$5:$L$117&gt;=DG$5)*(ROW(Plan!$A$5:$A$117)-4))))</f>
        <v/>
      </c>
      <c r="DH7" s="26">
        <f>IF(SUMPRODUCT(((Plan!$I$5:$I$117="B")+(Plan!$I$5:$I$117="A+B"))*(Plan!$K$5:$K$117&lt;DH$5)*(Plan!$L$5:$L$117&gt;=DH$5))=0,"",INDEX(Plan!$A$5:$A$117,SUMPRODUCT(((Plan!$I$5:$I$117="B")+(Plan!$I$5:$I$117="A+B"))*(Plan!$K$5:$K$117&lt;DH$5)*(Plan!$L$5:$L$117&gt;=DH$5)*(ROW(Plan!$A$5:$A$117)-4))))</f>
        <v/>
      </c>
      <c r="DI7" s="26">
        <f>IF(SUMPRODUCT(((Plan!$I$5:$I$117="B")+(Plan!$I$5:$I$117="A+B"))*(Plan!$K$5:$K$117&lt;DI$5)*(Plan!$L$5:$L$117&gt;=DI$5))=0,"",INDEX(Plan!$A$5:$A$117,SUMPRODUCT(((Plan!$I$5:$I$117="B")+(Plan!$I$5:$I$117="A+B"))*(Plan!$K$5:$K$117&lt;DI$5)*(Plan!$L$5:$L$117&gt;=DI$5)*(ROW(Plan!$A$5:$A$117)-4))))</f>
        <v/>
      </c>
      <c r="DJ7" s="26">
        <f>IF(SUMPRODUCT(((Plan!$I$5:$I$117="B")+(Plan!$I$5:$I$117="A+B"))*(Plan!$K$5:$K$117&lt;DJ$5)*(Plan!$L$5:$L$117&gt;=DJ$5))=0,"",INDEX(Plan!$A$5:$A$117,SUMPRODUCT(((Plan!$I$5:$I$117="B")+(Plan!$I$5:$I$117="A+B"))*(Plan!$K$5:$K$117&lt;DJ$5)*(Plan!$L$5:$L$117&gt;=DJ$5)*(ROW(Plan!$A$5:$A$117)-4))))</f>
        <v/>
      </c>
      <c r="DK7" s="26">
        <f>IF(SUMPRODUCT(((Plan!$I$5:$I$117="B")+(Plan!$I$5:$I$117="A+B"))*(Plan!$K$5:$K$117&lt;DK$5)*(Plan!$L$5:$L$117&gt;=DK$5))=0,"",INDEX(Plan!$A$5:$A$117,SUMPRODUCT(((Plan!$I$5:$I$117="B")+(Plan!$I$5:$I$117="A+B"))*(Plan!$K$5:$K$117&lt;DK$5)*(Plan!$L$5:$L$117&gt;=DK$5)*(ROW(Plan!$A$5:$A$117)-4))))</f>
        <v/>
      </c>
      <c r="DL7" s="26">
        <f>IF(SUMPRODUCT(((Plan!$I$5:$I$117="B")+(Plan!$I$5:$I$117="A+B"))*(Plan!$K$5:$K$117&lt;DL$5)*(Plan!$L$5:$L$117&gt;=DL$5))=0,"",INDEX(Plan!$A$5:$A$117,SUMPRODUCT(((Plan!$I$5:$I$117="B")+(Plan!$I$5:$I$117="A+B"))*(Plan!$K$5:$K$117&lt;DL$5)*(Plan!$L$5:$L$117&gt;=DL$5)*(ROW(Plan!$A$5:$A$117)-4))))</f>
        <v/>
      </c>
      <c r="DM7" s="26">
        <f>IF(SUMPRODUCT(((Plan!$I$5:$I$117="B")+(Plan!$I$5:$I$117="A+B"))*(Plan!$K$5:$K$117&lt;DM$5)*(Plan!$L$5:$L$117&gt;=DM$5))=0,"",INDEX(Plan!$A$5:$A$117,SUMPRODUCT(((Plan!$I$5:$I$117="B")+(Plan!$I$5:$I$117="A+B"))*(Plan!$K$5:$K$117&lt;DM$5)*(Plan!$L$5:$L$117&gt;=DM$5)*(ROW(Plan!$A$5:$A$117)-4))))</f>
        <v/>
      </c>
      <c r="DN7" s="26">
        <f>IF(SUMPRODUCT(((Plan!$I$5:$I$117="B")+(Plan!$I$5:$I$117="A+B"))*(Plan!$K$5:$K$117&lt;DN$5)*(Plan!$L$5:$L$117&gt;=DN$5))=0,"",INDEX(Plan!$A$5:$A$117,SUMPRODUCT(((Plan!$I$5:$I$117="B")+(Plan!$I$5:$I$117="A+B"))*(Plan!$K$5:$K$117&lt;DN$5)*(Plan!$L$5:$L$117&gt;=DN$5)*(ROW(Plan!$A$5:$A$117)-4))))</f>
        <v/>
      </c>
      <c r="DO7" s="26">
        <f>IF(SUMPRODUCT(((Plan!$I$5:$I$117="B")+(Plan!$I$5:$I$117="A+B"))*(Plan!$K$5:$K$117&lt;DO$5)*(Plan!$L$5:$L$117&gt;=DO$5))=0,"",INDEX(Plan!$A$5:$A$117,SUMPRODUCT(((Plan!$I$5:$I$117="B")+(Plan!$I$5:$I$117="A+B"))*(Plan!$K$5:$K$117&lt;DO$5)*(Plan!$L$5:$L$117&gt;=DO$5)*(ROW(Plan!$A$5:$A$117)-4))))</f>
        <v/>
      </c>
      <c r="DP7" s="26">
        <f>IF(SUMPRODUCT(((Plan!$I$5:$I$117="B")+(Plan!$I$5:$I$117="A+B"))*(Plan!$K$5:$K$117&lt;DP$5)*(Plan!$L$5:$L$117&gt;=DP$5))=0,"",INDEX(Plan!$A$5:$A$117,SUMPRODUCT(((Plan!$I$5:$I$117="B")+(Plan!$I$5:$I$117="A+B"))*(Plan!$K$5:$K$117&lt;DP$5)*(Plan!$L$5:$L$117&gt;=DP$5)*(ROW(Plan!$A$5:$A$117)-4))))</f>
        <v/>
      </c>
      <c r="DQ7" s="26">
        <f>IF(SUMPRODUCT(((Plan!$I$5:$I$117="B")+(Plan!$I$5:$I$117="A+B"))*(Plan!$K$5:$K$117&lt;DQ$5)*(Plan!$L$5:$L$117&gt;=DQ$5))=0,"",INDEX(Plan!$A$5:$A$117,SUMPRODUCT(((Plan!$I$5:$I$117="B")+(Plan!$I$5:$I$117="A+B"))*(Plan!$K$5:$K$117&lt;DQ$5)*(Plan!$L$5:$L$117&gt;=DQ$5)*(ROW(Plan!$A$5:$A$117)-4))))</f>
        <v/>
      </c>
      <c r="DR7" s="26">
        <f>IF(SUMPRODUCT(((Plan!$I$5:$I$117="B")+(Plan!$I$5:$I$117="A+B"))*(Plan!$K$5:$K$117&lt;DR$5)*(Plan!$L$5:$L$117&gt;=DR$5))=0,"",INDEX(Plan!$A$5:$A$117,SUMPRODUCT(((Plan!$I$5:$I$117="B")+(Plan!$I$5:$I$117="A+B"))*(Plan!$K$5:$K$117&lt;DR$5)*(Plan!$L$5:$L$117&gt;=DR$5)*(ROW(Plan!$A$5:$A$117)-4))))</f>
        <v/>
      </c>
      <c r="DS7" s="26">
        <f>IF(SUMPRODUCT(((Plan!$I$5:$I$117="B")+(Plan!$I$5:$I$117="A+B"))*(Plan!$K$5:$K$117&lt;DS$5)*(Plan!$L$5:$L$117&gt;=DS$5))=0,"",INDEX(Plan!$A$5:$A$117,SUMPRODUCT(((Plan!$I$5:$I$117="B")+(Plan!$I$5:$I$117="A+B"))*(Plan!$K$5:$K$117&lt;DS$5)*(Plan!$L$5:$L$117&gt;=DS$5)*(ROW(Plan!$A$5:$A$117)-4))))</f>
        <v/>
      </c>
      <c r="DT7" s="26">
        <f>IF(SUMPRODUCT(((Plan!$I$5:$I$117="B")+(Plan!$I$5:$I$117="A+B"))*(Plan!$K$5:$K$117&lt;DT$5)*(Plan!$L$5:$L$117&gt;=DT$5))=0,"",INDEX(Plan!$A$5:$A$117,SUMPRODUCT(((Plan!$I$5:$I$117="B")+(Plan!$I$5:$I$117="A+B"))*(Plan!$K$5:$K$117&lt;DT$5)*(Plan!$L$5:$L$117&gt;=DT$5)*(ROW(Plan!$A$5:$A$117)-4))))</f>
        <v/>
      </c>
      <c r="DU7" s="26">
        <f>IF(SUMPRODUCT(((Plan!$I$5:$I$117="B")+(Plan!$I$5:$I$117="A+B"))*(Plan!$K$5:$K$117&lt;DU$5)*(Plan!$L$5:$L$117&gt;=DU$5))=0,"",INDEX(Plan!$A$5:$A$117,SUMPRODUCT(((Plan!$I$5:$I$117="B")+(Plan!$I$5:$I$117="A+B"))*(Plan!$K$5:$K$117&lt;DU$5)*(Plan!$L$5:$L$117&gt;=DU$5)*(ROW(Plan!$A$5:$A$117)-4))))</f>
        <v/>
      </c>
      <c r="DV7" s="26">
        <f>IF(SUMPRODUCT(((Plan!$I$5:$I$117="B")+(Plan!$I$5:$I$117="A+B"))*(Plan!$K$5:$K$117&lt;DV$5)*(Plan!$L$5:$L$117&gt;=DV$5))=0,"",INDEX(Plan!$A$5:$A$117,SUMPRODUCT(((Plan!$I$5:$I$117="B")+(Plan!$I$5:$I$117="A+B"))*(Plan!$K$5:$K$117&lt;DV$5)*(Plan!$L$5:$L$117&gt;=DV$5)*(ROW(Plan!$A$5:$A$117)-4))))</f>
        <v/>
      </c>
      <c r="DW7" s="26">
        <f>IF(SUMPRODUCT(((Plan!$I$5:$I$117="B")+(Plan!$I$5:$I$117="A+B"))*(Plan!$K$5:$K$117&lt;DW$5)*(Plan!$L$5:$L$117&gt;=DW$5))=0,"",INDEX(Plan!$A$5:$A$117,SUMPRODUCT(((Plan!$I$5:$I$117="B")+(Plan!$I$5:$I$117="A+B"))*(Plan!$K$5:$K$117&lt;DW$5)*(Plan!$L$5:$L$117&gt;=DW$5)*(ROW(Plan!$A$5:$A$117)-4))))</f>
        <v/>
      </c>
      <c r="DX7" s="26">
        <f>IF(SUMPRODUCT(((Plan!$I$5:$I$117="B")+(Plan!$I$5:$I$117="A+B"))*(Plan!$K$5:$K$117&lt;DX$5)*(Plan!$L$5:$L$117&gt;=DX$5))=0,"",INDEX(Plan!$A$5:$A$117,SUMPRODUCT(((Plan!$I$5:$I$117="B")+(Plan!$I$5:$I$117="A+B"))*(Plan!$K$5:$K$117&lt;DX$5)*(Plan!$L$5:$L$117&gt;=DX$5)*(ROW(Plan!$A$5:$A$117)-4))))</f>
        <v/>
      </c>
      <c r="DY7" s="26">
        <f>IF(SUMPRODUCT(((Plan!$I$5:$I$117="B")+(Plan!$I$5:$I$117="A+B"))*(Plan!$K$5:$K$117&lt;DY$5)*(Plan!$L$5:$L$117&gt;=DY$5))=0,"",INDEX(Plan!$A$5:$A$117,SUMPRODUCT(((Plan!$I$5:$I$117="B")+(Plan!$I$5:$I$117="A+B"))*(Plan!$K$5:$K$117&lt;DY$5)*(Plan!$L$5:$L$117&gt;=DY$5)*(ROW(Plan!$A$5:$A$117)-4))))</f>
        <v/>
      </c>
      <c r="DZ7" s="26">
        <f>IF(SUMPRODUCT(((Plan!$I$5:$I$117="B")+(Plan!$I$5:$I$117="A+B"))*(Plan!$K$5:$K$117&lt;DZ$5)*(Plan!$L$5:$L$117&gt;=DZ$5))=0,"",INDEX(Plan!$A$5:$A$117,SUMPRODUCT(((Plan!$I$5:$I$117="B")+(Plan!$I$5:$I$117="A+B"))*(Plan!$K$5:$K$117&lt;DZ$5)*(Plan!$L$5:$L$117&gt;=DZ$5)*(ROW(Plan!$A$5:$A$117)-4))))</f>
        <v/>
      </c>
      <c r="EA7" s="26">
        <f>IF(SUMPRODUCT(((Plan!$I$5:$I$117="B")+(Plan!$I$5:$I$117="A+B"))*(Plan!$K$5:$K$117&lt;EA$5)*(Plan!$L$5:$L$117&gt;=EA$5))=0,"",INDEX(Plan!$A$5:$A$117,SUMPRODUCT(((Plan!$I$5:$I$117="B")+(Plan!$I$5:$I$117="A+B"))*(Plan!$K$5:$K$117&lt;EA$5)*(Plan!$L$5:$L$117&gt;=EA$5)*(ROW(Plan!$A$5:$A$117)-4))))</f>
        <v/>
      </c>
      <c r="EB7" s="26">
        <f>IF(SUMPRODUCT(((Plan!$I$5:$I$117="B")+(Plan!$I$5:$I$117="A+B"))*(Plan!$K$5:$K$117&lt;EB$5)*(Plan!$L$5:$L$117&gt;=EB$5))=0,"",INDEX(Plan!$A$5:$A$117,SUMPRODUCT(((Plan!$I$5:$I$117="B")+(Plan!$I$5:$I$117="A+B"))*(Plan!$K$5:$K$117&lt;EB$5)*(Plan!$L$5:$L$117&gt;=EB$5)*(ROW(Plan!$A$5:$A$117)-4))))</f>
        <v/>
      </c>
      <c r="EC7" s="26">
        <f>IF(SUMPRODUCT(((Plan!$I$5:$I$117="B")+(Plan!$I$5:$I$117="A+B"))*(Plan!$K$5:$K$117&lt;EC$5)*(Plan!$L$5:$L$117&gt;=EC$5))=0,"",INDEX(Plan!$A$5:$A$117,SUMPRODUCT(((Plan!$I$5:$I$117="B")+(Plan!$I$5:$I$117="A+B"))*(Plan!$K$5:$K$117&lt;EC$5)*(Plan!$L$5:$L$117&gt;=EC$5)*(ROW(Plan!$A$5:$A$117)-4))))</f>
        <v/>
      </c>
      <c r="ED7" s="26">
        <f>IF(SUMPRODUCT(((Plan!$I$5:$I$117="B")+(Plan!$I$5:$I$117="A+B"))*(Plan!$K$5:$K$117&lt;ED$5)*(Plan!$L$5:$L$117&gt;=ED$5))=0,"",INDEX(Plan!$A$5:$A$117,SUMPRODUCT(((Plan!$I$5:$I$117="B")+(Plan!$I$5:$I$117="A+B"))*(Plan!$K$5:$K$117&lt;ED$5)*(Plan!$L$5:$L$117&gt;=ED$5)*(ROW(Plan!$A$5:$A$117)-4))))</f>
        <v/>
      </c>
      <c r="EE7" s="26">
        <f>IF(SUMPRODUCT(((Plan!$I$5:$I$117="B")+(Plan!$I$5:$I$117="A+B"))*(Plan!$K$5:$K$117&lt;EE$5)*(Plan!$L$5:$L$117&gt;=EE$5))=0,"",INDEX(Plan!$A$5:$A$117,SUMPRODUCT(((Plan!$I$5:$I$117="B")+(Plan!$I$5:$I$117="A+B"))*(Plan!$K$5:$K$117&lt;EE$5)*(Plan!$L$5:$L$117&gt;=EE$5)*(ROW(Plan!$A$5:$A$117)-4))))</f>
        <v/>
      </c>
      <c r="EF7" s="26">
        <f>IF(SUMPRODUCT(((Plan!$I$5:$I$117="B")+(Plan!$I$5:$I$117="A+B"))*(Plan!$K$5:$K$117&lt;EF$5)*(Plan!$L$5:$L$117&gt;=EF$5))=0,"",INDEX(Plan!$A$5:$A$117,SUMPRODUCT(((Plan!$I$5:$I$117="B")+(Plan!$I$5:$I$117="A+B"))*(Plan!$K$5:$K$117&lt;EF$5)*(Plan!$L$5:$L$117&gt;=EF$5)*(ROW(Plan!$A$5:$A$117)-4))))</f>
        <v/>
      </c>
      <c r="EG7" s="26">
        <f>IF(SUMPRODUCT(((Plan!$I$5:$I$117="B")+(Plan!$I$5:$I$117="A+B"))*(Plan!$K$5:$K$117&lt;EG$5)*(Plan!$L$5:$L$117&gt;=EG$5))=0,"",INDEX(Plan!$A$5:$A$117,SUMPRODUCT(((Plan!$I$5:$I$117="B")+(Plan!$I$5:$I$117="A+B"))*(Plan!$K$5:$K$117&lt;EG$5)*(Plan!$L$5:$L$117&gt;=EG$5)*(ROW(Plan!$A$5:$A$117)-4))))</f>
        <v/>
      </c>
    </row>
    <row r="8"/>
    <row r="9">
      <c r="A9" s="27" t="inlineStr">
        <is>
          <t>Fase 1. Diseño y arquitectura</t>
        </is>
      </c>
      <c r="B9" s="28" t="n"/>
      <c r="C9" s="28" t="n"/>
      <c r="D9" s="28" t="n"/>
      <c r="E9" s="29">
        <f>SUMPRODUCT(MIN((Plan!$B$5:$B$117="1. Diseño y arquitectura")*Plan!$K$5:$K$117+(Plan!$B$5:$B$117&lt;&gt;"1. Diseño y arquitectura")*1E9))</f>
        <v/>
      </c>
      <c r="F9" s="29">
        <f>SUMPRODUCT(MAX((Plan!$B$5:$B$117="1. Diseño y arquitectura")*Plan!$L$5:$L$117))</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row>
    <row r="18">
      <c r="A18" s="27" t="inlineStr">
        <is>
          <t>Fase 2. Landing y autenticación</t>
        </is>
      </c>
      <c r="B18" s="28" t="n"/>
      <c r="C18" s="28" t="n"/>
      <c r="D18" s="28" t="n"/>
      <c r="E18" s="29">
        <f>SUMPRODUCT(MIN((Plan!$B$5:$B$117="2. Landing y autenticación")*Plan!$K$5:$K$117+(Plan!$B$5:$B$117&lt;&gt;"2. Landing y autenticación")*1E9))</f>
        <v/>
      </c>
      <c r="F18" s="29">
        <f>SUMPRODUCT(MAX((Plan!$B$5:$B$117="2. Landing y autenticación")*Plan!$L$5:$L$117))</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row>
    <row r="34">
      <c r="A34" s="27" t="inlineStr">
        <is>
          <t>Fase 3. Flujo de solicitud de crédito</t>
        </is>
      </c>
      <c r="B34" s="28" t="n"/>
      <c r="C34" s="28" t="n"/>
      <c r="D34" s="28" t="n"/>
      <c r="E34" s="29">
        <f>SUMPRODUCT(MIN((Plan!$B$5:$B$117="3. Flujo de solicitud de crédito")*Plan!$K$5:$K$117+(Plan!$B$5:$B$117&lt;&gt;"3. Flujo de solicitud de crédito")*1E9))</f>
        <v/>
      </c>
      <c r="F34" s="29">
        <f>SUMPRODUCT(MAX((Plan!$B$5:$B$117="3. Flujo de solicitud de crédito")*Plan!$L$5:$L$117))</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c r="DD36" s="34">
        <f>IF(AND(DD$5&gt;$E36,DD$5&lt;=$F36),IF(DD$5=$E36+1,$C36,""),"")</f>
        <v/>
      </c>
      <c r="DE36" s="34">
        <f>IF(AND(DE$5&gt;$E36,DE$5&lt;=$F36),IF(DE$5=$E36+1,$C36,""),"")</f>
        <v/>
      </c>
      <c r="DF36" s="34">
        <f>IF(AND(DF$5&gt;$E36,DF$5&lt;=$F36),IF(DF$5=$E36+1,$C36,""),"")</f>
        <v/>
      </c>
      <c r="DG36" s="34">
        <f>IF(AND(DG$5&gt;$E36,DG$5&lt;=$F36),IF(DG$5=$E36+1,$C36,""),"")</f>
        <v/>
      </c>
      <c r="DH36" s="34">
        <f>IF(AND(DH$5&gt;$E36,DH$5&lt;=$F36),IF(DH$5=$E36+1,$C36,""),"")</f>
        <v/>
      </c>
      <c r="DI36" s="34">
        <f>IF(AND(DI$5&gt;$E36,DI$5&lt;=$F36),IF(DI$5=$E36+1,$C36,""),"")</f>
        <v/>
      </c>
      <c r="DJ36" s="34">
        <f>IF(AND(DJ$5&gt;$E36,DJ$5&lt;=$F36),IF(DJ$5=$E36+1,$C36,""),"")</f>
        <v/>
      </c>
      <c r="DK36" s="34">
        <f>IF(AND(DK$5&gt;$E36,DK$5&lt;=$F36),IF(DK$5=$E36+1,$C36,""),"")</f>
        <v/>
      </c>
      <c r="DL36" s="34">
        <f>IF(AND(DL$5&gt;$E36,DL$5&lt;=$F36),IF(DL$5=$E36+1,$C36,""),"")</f>
        <v/>
      </c>
      <c r="DM36" s="34">
        <f>IF(AND(DM$5&gt;$E36,DM$5&lt;=$F36),IF(DM$5=$E36+1,$C36,""),"")</f>
        <v/>
      </c>
      <c r="DN36" s="34">
        <f>IF(AND(DN$5&gt;$E36,DN$5&lt;=$F36),IF(DN$5=$E36+1,$C36,""),"")</f>
        <v/>
      </c>
      <c r="DO36" s="34">
        <f>IF(AND(DO$5&gt;$E36,DO$5&lt;=$F36),IF(DO$5=$E36+1,$C36,""),"")</f>
        <v/>
      </c>
      <c r="DP36" s="34">
        <f>IF(AND(DP$5&gt;$E36,DP$5&lt;=$F36),IF(DP$5=$E36+1,$C36,""),"")</f>
        <v/>
      </c>
      <c r="DQ36" s="34">
        <f>IF(AND(DQ$5&gt;$E36,DQ$5&lt;=$F36),IF(DQ$5=$E36+1,$C36,""),"")</f>
        <v/>
      </c>
      <c r="DR36" s="34">
        <f>IF(AND(DR$5&gt;$E36,DR$5&lt;=$F36),IF(DR$5=$E36+1,$C36,""),"")</f>
        <v/>
      </c>
      <c r="DS36" s="34">
        <f>IF(AND(DS$5&gt;$E36,DS$5&lt;=$F36),IF(DS$5=$E36+1,$C36,""),"")</f>
        <v/>
      </c>
      <c r="DT36" s="34">
        <f>IF(AND(DT$5&gt;$E36,DT$5&lt;=$F36),IF(DT$5=$E36+1,$C36,""),"")</f>
        <v/>
      </c>
      <c r="DU36" s="34">
        <f>IF(AND(DU$5&gt;$E36,DU$5&lt;=$F36),IF(DU$5=$E36+1,$C36,""),"")</f>
        <v/>
      </c>
      <c r="DV36" s="34">
        <f>IF(AND(DV$5&gt;$E36,DV$5&lt;=$F36),IF(DV$5=$E36+1,$C36,""),"")</f>
        <v/>
      </c>
      <c r="DW36" s="34">
        <f>IF(AND(DW$5&gt;$E36,DW$5&lt;=$F36),IF(DW$5=$E36+1,$C36,""),"")</f>
        <v/>
      </c>
      <c r="DX36" s="34">
        <f>IF(AND(DX$5&gt;$E36,DX$5&lt;=$F36),IF(DX$5=$E36+1,$C36,""),"")</f>
        <v/>
      </c>
      <c r="DY36" s="34">
        <f>IF(AND(DY$5&gt;$E36,DY$5&lt;=$F36),IF(DY$5=$E36+1,$C36,""),"")</f>
        <v/>
      </c>
      <c r="DZ36" s="34">
        <f>IF(AND(DZ$5&gt;$E36,DZ$5&lt;=$F36),IF(DZ$5=$E36+1,$C36,""),"")</f>
        <v/>
      </c>
      <c r="EA36" s="34">
        <f>IF(AND(EA$5&gt;$E36,EA$5&lt;=$F36),IF(EA$5=$E36+1,$C36,""),"")</f>
        <v/>
      </c>
      <c r="EB36" s="34">
        <f>IF(AND(EB$5&gt;$E36,EB$5&lt;=$F36),IF(EB$5=$E36+1,$C36,""),"")</f>
        <v/>
      </c>
      <c r="EC36" s="34">
        <f>IF(AND(EC$5&gt;$E36,EC$5&lt;=$F36),IF(EC$5=$E36+1,$C36,""),"")</f>
        <v/>
      </c>
      <c r="ED36" s="34">
        <f>IF(AND(ED$5&gt;$E36,ED$5&lt;=$F36),IF(ED$5=$E36+1,$C36,""),"")</f>
        <v/>
      </c>
      <c r="EE36" s="34">
        <f>IF(AND(EE$5&gt;$E36,EE$5&lt;=$F36),IF(EE$5=$E36+1,$C36,""),"")</f>
        <v/>
      </c>
      <c r="EF36" s="34">
        <f>IF(AND(EF$5&gt;$E36,EF$5&lt;=$F36),IF(EF$5=$E36+1,$C36,""),"")</f>
        <v/>
      </c>
      <c r="EG36" s="34">
        <f>IF(AND(EG$5&gt;$E36,EG$5&lt;=$F36),IF(EG$5=$E36+1,$C36,""),"")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row>
    <row r="44">
      <c r="A44" s="27" t="inlineStr">
        <is>
          <t>Fase 4. Panel de administración</t>
        </is>
      </c>
      <c r="B44" s="28" t="n"/>
      <c r="C44" s="28" t="n"/>
      <c r="D44" s="28" t="n"/>
      <c r="E44" s="29">
        <f>SUMPRODUCT(MIN((Plan!$B$5:$B$117="4. Panel de administración")*Plan!$K$5:$K$117+(Plan!$B$5:$B$117&lt;&gt;"4. Panel de administración")*1E9))</f>
        <v/>
      </c>
      <c r="F44" s="29">
        <f>SUMPRODUCT(MAX((Plan!$B$5:$B$117="4. Panel de administración")*Plan!$L$5:$L$117))</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c r="DD47" s="34">
        <f>IF(AND(DD$5&gt;$E47,DD$5&lt;=$F47),IF(DD$5=$E47+1,$C47,""),"")</f>
        <v/>
      </c>
      <c r="DE47" s="34">
        <f>IF(AND(DE$5&gt;$E47,DE$5&lt;=$F47),IF(DE$5=$E47+1,$C47,""),"")</f>
        <v/>
      </c>
      <c r="DF47" s="34">
        <f>IF(AND(DF$5&gt;$E47,DF$5&lt;=$F47),IF(DF$5=$E47+1,$C47,""),"")</f>
        <v/>
      </c>
      <c r="DG47" s="34">
        <f>IF(AND(DG$5&gt;$E47,DG$5&lt;=$F47),IF(DG$5=$E47+1,$C47,""),"")</f>
        <v/>
      </c>
      <c r="DH47" s="34">
        <f>IF(AND(DH$5&gt;$E47,DH$5&lt;=$F47),IF(DH$5=$E47+1,$C47,""),"")</f>
        <v/>
      </c>
      <c r="DI47" s="34">
        <f>IF(AND(DI$5&gt;$E47,DI$5&lt;=$F47),IF(DI$5=$E47+1,$C47,""),"")</f>
        <v/>
      </c>
      <c r="DJ47" s="34">
        <f>IF(AND(DJ$5&gt;$E47,DJ$5&lt;=$F47),IF(DJ$5=$E47+1,$C47,""),"")</f>
        <v/>
      </c>
      <c r="DK47" s="34">
        <f>IF(AND(DK$5&gt;$E47,DK$5&lt;=$F47),IF(DK$5=$E47+1,$C47,""),"")</f>
        <v/>
      </c>
      <c r="DL47" s="34">
        <f>IF(AND(DL$5&gt;$E47,DL$5&lt;=$F47),IF(DL$5=$E47+1,$C47,""),"")</f>
        <v/>
      </c>
      <c r="DM47" s="34">
        <f>IF(AND(DM$5&gt;$E47,DM$5&lt;=$F47),IF(DM$5=$E47+1,$C47,""),"")</f>
        <v/>
      </c>
      <c r="DN47" s="34">
        <f>IF(AND(DN$5&gt;$E47,DN$5&lt;=$F47),IF(DN$5=$E47+1,$C47,""),"")</f>
        <v/>
      </c>
      <c r="DO47" s="34">
        <f>IF(AND(DO$5&gt;$E47,DO$5&lt;=$F47),IF(DO$5=$E47+1,$C47,""),"")</f>
        <v/>
      </c>
      <c r="DP47" s="34">
        <f>IF(AND(DP$5&gt;$E47,DP$5&lt;=$F47),IF(DP$5=$E47+1,$C47,""),"")</f>
        <v/>
      </c>
      <c r="DQ47" s="34">
        <f>IF(AND(DQ$5&gt;$E47,DQ$5&lt;=$F47),IF(DQ$5=$E47+1,$C47,""),"")</f>
        <v/>
      </c>
      <c r="DR47" s="34">
        <f>IF(AND(DR$5&gt;$E47,DR$5&lt;=$F47),IF(DR$5=$E47+1,$C47,""),"")</f>
        <v/>
      </c>
      <c r="DS47" s="34">
        <f>IF(AND(DS$5&gt;$E47,DS$5&lt;=$F47),IF(DS$5=$E47+1,$C47,""),"")</f>
        <v/>
      </c>
      <c r="DT47" s="34">
        <f>IF(AND(DT$5&gt;$E47,DT$5&lt;=$F47),IF(DT$5=$E47+1,$C47,""),"")</f>
        <v/>
      </c>
      <c r="DU47" s="34">
        <f>IF(AND(DU$5&gt;$E47,DU$5&lt;=$F47),IF(DU$5=$E47+1,$C47,""),"")</f>
        <v/>
      </c>
      <c r="DV47" s="34">
        <f>IF(AND(DV$5&gt;$E47,DV$5&lt;=$F47),IF(DV$5=$E47+1,$C47,""),"")</f>
        <v/>
      </c>
      <c r="DW47" s="34">
        <f>IF(AND(DW$5&gt;$E47,DW$5&lt;=$F47),IF(DW$5=$E47+1,$C47,""),"")</f>
        <v/>
      </c>
      <c r="DX47" s="34">
        <f>IF(AND(DX$5&gt;$E47,DX$5&lt;=$F47),IF(DX$5=$E47+1,$C47,""),"")</f>
        <v/>
      </c>
      <c r="DY47" s="34">
        <f>IF(AND(DY$5&gt;$E47,DY$5&lt;=$F47),IF(DY$5=$E47+1,$C47,""),"")</f>
        <v/>
      </c>
      <c r="DZ47" s="34">
        <f>IF(AND(DZ$5&gt;$E47,DZ$5&lt;=$F47),IF(DZ$5=$E47+1,$C47,""),"")</f>
        <v/>
      </c>
      <c r="EA47" s="34">
        <f>IF(AND(EA$5&gt;$E47,EA$5&lt;=$F47),IF(EA$5=$E47+1,$C47,""),"")</f>
        <v/>
      </c>
      <c r="EB47" s="34">
        <f>IF(AND(EB$5&gt;$E47,EB$5&lt;=$F47),IF(EB$5=$E47+1,$C47,""),"")</f>
        <v/>
      </c>
      <c r="EC47" s="34">
        <f>IF(AND(EC$5&gt;$E47,EC$5&lt;=$F47),IF(EC$5=$E47+1,$C47,""),"")</f>
        <v/>
      </c>
      <c r="ED47" s="34">
        <f>IF(AND(ED$5&gt;$E47,ED$5&lt;=$F47),IF(ED$5=$E47+1,$C47,""),"")</f>
        <v/>
      </c>
      <c r="EE47" s="34">
        <f>IF(AND(EE$5&gt;$E47,EE$5&lt;=$F47),IF(EE$5=$E47+1,$C47,""),"")</f>
        <v/>
      </c>
      <c r="EF47" s="34">
        <f>IF(AND(EF$5&gt;$E47,EF$5&lt;=$F47),IF(EF$5=$E47+1,$C47,""),"")</f>
        <v/>
      </c>
      <c r="EG47" s="34">
        <f>IF(AND(EG$5&gt;$E47,EG$5&lt;=$F47),IF(EG$5=$E47+1,$C47,""),"")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row>
    <row r="60">
      <c r="A60" s="32">
        <f>Plan!A90</f>
        <v/>
      </c>
      <c r="B60" s="33">
        <f>Plan!C90</f>
        <v/>
      </c>
      <c r="C60" s="16">
        <f>Plan!D90</f>
        <v/>
      </c>
      <c r="D60" s="16">
        <f>Plan!I90</f>
        <v/>
      </c>
      <c r="E60" s="16">
        <f>Plan!K90</f>
        <v/>
      </c>
      <c r="F60" s="16">
        <f>Plan!L90</f>
        <v/>
      </c>
      <c r="G60" s="16">
        <f>Plan!O90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row>
    <row r="61">
      <c r="A61" s="32">
        <f>Plan!A92</f>
        <v/>
      </c>
      <c r="B61" s="33">
        <f>Plan!C92</f>
        <v/>
      </c>
      <c r="C61" s="16">
        <f>Plan!D92</f>
        <v/>
      </c>
      <c r="D61" s="16">
        <f>Plan!I92</f>
        <v/>
      </c>
      <c r="E61" s="16">
        <f>Plan!K92</f>
        <v/>
      </c>
      <c r="F61" s="16">
        <f>Plan!L92</f>
        <v/>
      </c>
      <c r="G61" s="16">
        <f>Plan!O92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row>
    <row r="62">
      <c r="A62" s="32">
        <f>Plan!A93</f>
        <v/>
      </c>
      <c r="B62" s="33">
        <f>Plan!C93</f>
        <v/>
      </c>
      <c r="C62" s="16">
        <f>Plan!D93</f>
        <v/>
      </c>
      <c r="D62" s="16">
        <f>Plan!I93</f>
        <v/>
      </c>
      <c r="E62" s="16">
        <f>Plan!K93</f>
        <v/>
      </c>
      <c r="F62" s="16">
        <f>Plan!L93</f>
        <v/>
      </c>
      <c r="G62" s="16">
        <f>Plan!O93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row>
    <row r="63">
      <c r="A63" s="32">
        <f>Plan!A94</f>
        <v/>
      </c>
      <c r="B63" s="33">
        <f>Plan!C94</f>
        <v/>
      </c>
      <c r="C63" s="16">
        <f>Plan!D94</f>
        <v/>
      </c>
      <c r="D63" s="16">
        <f>Plan!I94</f>
        <v/>
      </c>
      <c r="E63" s="16">
        <f>Plan!K94</f>
        <v/>
      </c>
      <c r="F63" s="16">
        <f>Plan!L94</f>
        <v/>
      </c>
      <c r="G63" s="16">
        <f>Plan!O94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row>
    <row r="64">
      <c r="A64" s="32">
        <f>Plan!A95</f>
        <v/>
      </c>
      <c r="B64" s="33">
        <f>Plan!C95</f>
        <v/>
      </c>
      <c r="C64" s="16">
        <f>Plan!D95</f>
        <v/>
      </c>
      <c r="D64" s="16">
        <f>Plan!I95</f>
        <v/>
      </c>
      <c r="E64" s="16">
        <f>Plan!K95</f>
        <v/>
      </c>
      <c r="F64" s="16">
        <f>Plan!L95</f>
        <v/>
      </c>
      <c r="G64" s="16">
        <f>Plan!O95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row>
    <row r="65">
      <c r="A65" s="32">
        <f>Plan!A103</f>
        <v/>
      </c>
      <c r="B65" s="33">
        <f>Plan!C103</f>
        <v/>
      </c>
      <c r="C65" s="16">
        <f>Plan!D103</f>
        <v/>
      </c>
      <c r="D65" s="16">
        <f>Plan!I103</f>
        <v/>
      </c>
      <c r="E65" s="16">
        <f>Plan!K103</f>
        <v/>
      </c>
      <c r="F65" s="16">
        <f>Plan!L103</f>
        <v/>
      </c>
      <c r="G65" s="16">
        <f>Plan!O103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row>
    <row r="66">
      <c r="A66" s="32">
        <f>Plan!A104</f>
        <v/>
      </c>
      <c r="B66" s="33">
        <f>Plan!C104</f>
        <v/>
      </c>
      <c r="C66" s="16">
        <f>Plan!D104</f>
        <v/>
      </c>
      <c r="D66" s="16">
        <f>Plan!I104</f>
        <v/>
      </c>
      <c r="E66" s="16">
        <f>Plan!K104</f>
        <v/>
      </c>
      <c r="F66" s="16">
        <f>Plan!L104</f>
        <v/>
      </c>
      <c r="G66" s="16">
        <f>Plan!O104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row>
    <row r="67">
      <c r="A67" s="27" t="inlineStr">
        <is>
          <t>Fase 5. Convenios y pulido</t>
        </is>
      </c>
      <c r="B67" s="28" t="n"/>
      <c r="C67" s="28" t="n"/>
      <c r="D67" s="28" t="n"/>
      <c r="E67" s="29">
        <f>SUMPRODUCT(MIN((Plan!$B$5:$B$117="5. Convenios y pulido")*Plan!$K$5:$K$117+(Plan!$B$5:$B$117&lt;&gt;"5. Convenios y pulido")*1E9))</f>
        <v/>
      </c>
      <c r="F67" s="29">
        <f>SUMPRODUCT(MAX((Plan!$B$5:$B$117="5. Convenios y pulido")*Plan!$L$5:$L$117))</f>
        <v/>
      </c>
      <c r="G67" s="30">
        <f>Resumen!E33</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row>
    <row r="68">
      <c r="A68" s="32">
        <f>Plan!A48</f>
        <v/>
      </c>
      <c r="B68" s="33">
        <f>Plan!C48</f>
        <v/>
      </c>
      <c r="C68" s="16">
        <f>Plan!D48</f>
        <v/>
      </c>
      <c r="D68" s="16">
        <f>Plan!I48</f>
        <v/>
      </c>
      <c r="E68" s="16">
        <f>Plan!K48</f>
        <v/>
      </c>
      <c r="F68" s="16">
        <f>Plan!L48</f>
        <v/>
      </c>
      <c r="G68" s="16">
        <f>Plan!O48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row>
    <row r="69">
      <c r="A69" s="32">
        <f>Plan!A49</f>
        <v/>
      </c>
      <c r="B69" s="33">
        <f>Plan!C49</f>
        <v/>
      </c>
      <c r="C69" s="16">
        <f>Plan!D49</f>
        <v/>
      </c>
      <c r="D69" s="16">
        <f>Plan!I49</f>
        <v/>
      </c>
      <c r="E69" s="16">
        <f>Plan!K49</f>
        <v/>
      </c>
      <c r="F69" s="16">
        <f>Plan!L49</f>
        <v/>
      </c>
      <c r="G69" s="16">
        <f>Plan!O49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row>
    <row r="70">
      <c r="A70" s="32">
        <f>Plan!A50</f>
        <v/>
      </c>
      <c r="B70" s="33">
        <f>Plan!C50</f>
        <v/>
      </c>
      <c r="C70" s="16">
        <f>Plan!D50</f>
        <v/>
      </c>
      <c r="D70" s="16">
        <f>Plan!I50</f>
        <v/>
      </c>
      <c r="E70" s="16">
        <f>Plan!K50</f>
        <v/>
      </c>
      <c r="F70" s="16">
        <f>Plan!L50</f>
        <v/>
      </c>
      <c r="G70" s="16">
        <f>Plan!O50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row>
    <row r="71">
      <c r="A71" s="32">
        <f>Plan!A51</f>
        <v/>
      </c>
      <c r="B71" s="33">
        <f>Plan!C51</f>
        <v/>
      </c>
      <c r="C71" s="16">
        <f>Plan!D51</f>
        <v/>
      </c>
      <c r="D71" s="16">
        <f>Plan!I51</f>
        <v/>
      </c>
      <c r="E71" s="16">
        <f>Plan!K51</f>
        <v/>
      </c>
      <c r="F71" s="16">
        <f>Plan!L51</f>
        <v/>
      </c>
      <c r="G71" s="16">
        <f>Plan!O51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row>
    <row r="72">
      <c r="A72" s="32">
        <f>Plan!A52</f>
        <v/>
      </c>
      <c r="B72" s="33">
        <f>Plan!C52</f>
        <v/>
      </c>
      <c r="C72" s="16">
        <f>Plan!D52</f>
        <v/>
      </c>
      <c r="D72" s="16">
        <f>Plan!I52</f>
        <v/>
      </c>
      <c r="E72" s="16">
        <f>Plan!K52</f>
        <v/>
      </c>
      <c r="F72" s="16">
        <f>Plan!L52</f>
        <v/>
      </c>
      <c r="G72" s="16">
        <f>Plan!O52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row>
    <row r="73">
      <c r="A73" s="32">
        <f>Plan!A53</f>
        <v/>
      </c>
      <c r="B73" s="33">
        <f>Plan!C53</f>
        <v/>
      </c>
      <c r="C73" s="16">
        <f>Plan!D53</f>
        <v/>
      </c>
      <c r="D73" s="16">
        <f>Plan!I53</f>
        <v/>
      </c>
      <c r="E73" s="16">
        <f>Plan!K53</f>
        <v/>
      </c>
      <c r="F73" s="16">
        <f>Plan!L53</f>
        <v/>
      </c>
      <c r="G73" s="16">
        <f>Plan!O53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c r="DN73" s="34">
        <f>IF(AND(DN$5&gt;$E73,DN$5&lt;=$F73),IF(DN$5=$E73+1,$C73,""),"")</f>
        <v/>
      </c>
      <c r="DO73" s="34">
        <f>IF(AND(DO$5&gt;$E73,DO$5&lt;=$F73),IF(DO$5=$E73+1,$C73,""),"")</f>
        <v/>
      </c>
      <c r="DP73" s="34">
        <f>IF(AND(DP$5&gt;$E73,DP$5&lt;=$F73),IF(DP$5=$E73+1,$C73,""),"")</f>
        <v/>
      </c>
      <c r="DQ73" s="34">
        <f>IF(AND(DQ$5&gt;$E73,DQ$5&lt;=$F73),IF(DQ$5=$E73+1,$C73,""),"")</f>
        <v/>
      </c>
      <c r="DR73" s="34">
        <f>IF(AND(DR$5&gt;$E73,DR$5&lt;=$F73),IF(DR$5=$E73+1,$C73,""),"")</f>
        <v/>
      </c>
      <c r="DS73" s="34">
        <f>IF(AND(DS$5&gt;$E73,DS$5&lt;=$F73),IF(DS$5=$E73+1,$C73,""),"")</f>
        <v/>
      </c>
      <c r="DT73" s="34">
        <f>IF(AND(DT$5&gt;$E73,DT$5&lt;=$F73),IF(DT$5=$E73+1,$C73,""),"")</f>
        <v/>
      </c>
      <c r="DU73" s="34">
        <f>IF(AND(DU$5&gt;$E73,DU$5&lt;=$F73),IF(DU$5=$E73+1,$C73,""),"")</f>
        <v/>
      </c>
      <c r="DV73" s="34">
        <f>IF(AND(DV$5&gt;$E73,DV$5&lt;=$F73),IF(DV$5=$E73+1,$C73,""),"")</f>
        <v/>
      </c>
      <c r="DW73" s="34">
        <f>IF(AND(DW$5&gt;$E73,DW$5&lt;=$F73),IF(DW$5=$E73+1,$C73,""),"")</f>
        <v/>
      </c>
      <c r="DX73" s="34">
        <f>IF(AND(DX$5&gt;$E73,DX$5&lt;=$F73),IF(DX$5=$E73+1,$C73,""),"")</f>
        <v/>
      </c>
      <c r="DY73" s="34">
        <f>IF(AND(DY$5&gt;$E73,DY$5&lt;=$F73),IF(DY$5=$E73+1,$C73,""),"")</f>
        <v/>
      </c>
      <c r="DZ73" s="34">
        <f>IF(AND(DZ$5&gt;$E73,DZ$5&lt;=$F73),IF(DZ$5=$E73+1,$C73,""),"")</f>
        <v/>
      </c>
      <c r="EA73" s="34">
        <f>IF(AND(EA$5&gt;$E73,EA$5&lt;=$F73),IF(EA$5=$E73+1,$C73,""),"")</f>
        <v/>
      </c>
      <c r="EB73" s="34">
        <f>IF(AND(EB$5&gt;$E73,EB$5&lt;=$F73),IF(EB$5=$E73+1,$C73,""),"")</f>
        <v/>
      </c>
      <c r="EC73" s="34">
        <f>IF(AND(EC$5&gt;$E73,EC$5&lt;=$F73),IF(EC$5=$E73+1,$C73,""),"")</f>
        <v/>
      </c>
      <c r="ED73" s="34">
        <f>IF(AND(ED$5&gt;$E73,ED$5&lt;=$F73),IF(ED$5=$E73+1,$C73,""),"")</f>
        <v/>
      </c>
      <c r="EE73" s="34">
        <f>IF(AND(EE$5&gt;$E73,EE$5&lt;=$F73),IF(EE$5=$E73+1,$C73,""),"")</f>
        <v/>
      </c>
      <c r="EF73" s="34">
        <f>IF(AND(EF$5&gt;$E73,EF$5&lt;=$F73),IF(EF$5=$E73+1,$C73,""),"")</f>
        <v/>
      </c>
      <c r="EG73" s="34">
        <f>IF(AND(EG$5&gt;$E73,EG$5&lt;=$F73),IF(EG$5=$E73+1,$C73,""),"")</f>
        <v/>
      </c>
    </row>
    <row r="74">
      <c r="A74" s="32">
        <f>Plan!A54</f>
        <v/>
      </c>
      <c r="B74" s="33">
        <f>Plan!C54</f>
        <v/>
      </c>
      <c r="C74" s="16">
        <f>Plan!D54</f>
        <v/>
      </c>
      <c r="D74" s="16">
        <f>Plan!I54</f>
        <v/>
      </c>
      <c r="E74" s="16">
        <f>Plan!K54</f>
        <v/>
      </c>
      <c r="F74" s="16">
        <f>Plan!L54</f>
        <v/>
      </c>
      <c r="G74" s="16">
        <f>Plan!O54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row>
    <row r="75">
      <c r="A75" s="32">
        <f>Plan!A55</f>
        <v/>
      </c>
      <c r="B75" s="33">
        <f>Plan!C55</f>
        <v/>
      </c>
      <c r="C75" s="16">
        <f>Plan!D55</f>
        <v/>
      </c>
      <c r="D75" s="16">
        <f>Plan!I55</f>
        <v/>
      </c>
      <c r="E75" s="16">
        <f>Plan!K55</f>
        <v/>
      </c>
      <c r="F75" s="16">
        <f>Plan!L55</f>
        <v/>
      </c>
      <c r="G75" s="16">
        <f>Plan!O55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c r="DX75" s="34">
        <f>IF(AND(DX$5&gt;$E75,DX$5&lt;=$F75),IF(DX$5=$E75+1,$C75,""),"")</f>
        <v/>
      </c>
      <c r="DY75" s="34">
        <f>IF(AND(DY$5&gt;$E75,DY$5&lt;=$F75),IF(DY$5=$E75+1,$C75,""),"")</f>
        <v/>
      </c>
      <c r="DZ75" s="34">
        <f>IF(AND(DZ$5&gt;$E75,DZ$5&lt;=$F75),IF(DZ$5=$E75+1,$C75,""),"")</f>
        <v/>
      </c>
      <c r="EA75" s="34">
        <f>IF(AND(EA$5&gt;$E75,EA$5&lt;=$F75),IF(EA$5=$E75+1,$C75,""),"")</f>
        <v/>
      </c>
      <c r="EB75" s="34">
        <f>IF(AND(EB$5&gt;$E75,EB$5&lt;=$F75),IF(EB$5=$E75+1,$C75,""),"")</f>
        <v/>
      </c>
      <c r="EC75" s="34">
        <f>IF(AND(EC$5&gt;$E75,EC$5&lt;=$F75),IF(EC$5=$E75+1,$C75,""),"")</f>
        <v/>
      </c>
      <c r="ED75" s="34">
        <f>IF(AND(ED$5&gt;$E75,ED$5&lt;=$F75),IF(ED$5=$E75+1,$C75,""),"")</f>
        <v/>
      </c>
      <c r="EE75" s="34">
        <f>IF(AND(EE$5&gt;$E75,EE$5&lt;=$F75),IF(EE$5=$E75+1,$C75,""),"")</f>
        <v/>
      </c>
      <c r="EF75" s="34">
        <f>IF(AND(EF$5&gt;$E75,EF$5&lt;=$F75),IF(EF$5=$E75+1,$C75,""),"")</f>
        <v/>
      </c>
      <c r="EG75" s="34">
        <f>IF(AND(EG$5&gt;$E75,EG$5&lt;=$F75),IF(EG$5=$E75+1,$C75,""),"")</f>
        <v/>
      </c>
    </row>
    <row r="76">
      <c r="A76" s="32">
        <f>Plan!A56</f>
        <v/>
      </c>
      <c r="B76" s="33">
        <f>Plan!C56</f>
        <v/>
      </c>
      <c r="C76" s="16">
        <f>Plan!D56</f>
        <v/>
      </c>
      <c r="D76" s="16">
        <f>Plan!I56</f>
        <v/>
      </c>
      <c r="E76" s="16">
        <f>Plan!K56</f>
        <v/>
      </c>
      <c r="F76" s="16">
        <f>Plan!L56</f>
        <v/>
      </c>
      <c r="G76" s="16">
        <f>Plan!O56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row>
    <row r="77">
      <c r="A77" s="32">
        <f>Plan!A57</f>
        <v/>
      </c>
      <c r="B77" s="33">
        <f>Plan!C57</f>
        <v/>
      </c>
      <c r="C77" s="16">
        <f>Plan!D57</f>
        <v/>
      </c>
      <c r="D77" s="16">
        <f>Plan!I57</f>
        <v/>
      </c>
      <c r="E77" s="16">
        <f>Plan!K57</f>
        <v/>
      </c>
      <c r="F77" s="16">
        <f>Plan!L57</f>
        <v/>
      </c>
      <c r="G77" s="16">
        <f>Plan!O57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row>
    <row r="78">
      <c r="A78" s="32">
        <f>Plan!A84</f>
        <v/>
      </c>
      <c r="B78" s="33">
        <f>Plan!C84</f>
        <v/>
      </c>
      <c r="C78" s="16">
        <f>Plan!D84</f>
        <v/>
      </c>
      <c r="D78" s="16">
        <f>Plan!I84</f>
        <v/>
      </c>
      <c r="E78" s="16">
        <f>Plan!K84</f>
        <v/>
      </c>
      <c r="F78" s="16">
        <f>Plan!L84</f>
        <v/>
      </c>
      <c r="G78" s="16">
        <f>Plan!O84</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row>
    <row r="79">
      <c r="A79" s="32">
        <f>Plan!A85</f>
        <v/>
      </c>
      <c r="B79" s="33">
        <f>Plan!C85</f>
        <v/>
      </c>
      <c r="C79" s="16">
        <f>Plan!D85</f>
        <v/>
      </c>
      <c r="D79" s="16">
        <f>Plan!I85</f>
        <v/>
      </c>
      <c r="E79" s="16">
        <f>Plan!K85</f>
        <v/>
      </c>
      <c r="F79" s="16">
        <f>Plan!L85</f>
        <v/>
      </c>
      <c r="G79" s="16">
        <f>Plan!O85</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row>
    <row r="80">
      <c r="A80" s="32">
        <f>Plan!A86</f>
        <v/>
      </c>
      <c r="B80" s="33">
        <f>Plan!C86</f>
        <v/>
      </c>
      <c r="C80" s="16">
        <f>Plan!D86</f>
        <v/>
      </c>
      <c r="D80" s="16">
        <f>Plan!I86</f>
        <v/>
      </c>
      <c r="E80" s="16">
        <f>Plan!K86</f>
        <v/>
      </c>
      <c r="F80" s="16">
        <f>Plan!L86</f>
        <v/>
      </c>
      <c r="G80" s="16">
        <f>Plan!O86</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row>
    <row r="81">
      <c r="A81" s="32">
        <f>Plan!A91</f>
        <v/>
      </c>
      <c r="B81" s="33">
        <f>Plan!C91</f>
        <v/>
      </c>
      <c r="C81" s="16">
        <f>Plan!D91</f>
        <v/>
      </c>
      <c r="D81" s="16">
        <f>Plan!I91</f>
        <v/>
      </c>
      <c r="E81" s="16">
        <f>Plan!K91</f>
        <v/>
      </c>
      <c r="F81" s="16">
        <f>Plan!L91</f>
        <v/>
      </c>
      <c r="G81" s="16">
        <f>Plan!O91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row>
    <row r="82">
      <c r="A82" s="32">
        <f>Plan!A96</f>
        <v/>
      </c>
      <c r="B82" s="33">
        <f>Plan!C96</f>
        <v/>
      </c>
      <c r="C82" s="16">
        <f>Plan!D96</f>
        <v/>
      </c>
      <c r="D82" s="16">
        <f>Plan!I96</f>
        <v/>
      </c>
      <c r="E82" s="16">
        <f>Plan!K96</f>
        <v/>
      </c>
      <c r="F82" s="16">
        <f>Plan!L96</f>
        <v/>
      </c>
      <c r="G82" s="16">
        <f>Plan!O96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row>
    <row r="83">
      <c r="A83" s="32">
        <f>Plan!A97</f>
        <v/>
      </c>
      <c r="B83" s="33">
        <f>Plan!C97</f>
        <v/>
      </c>
      <c r="C83" s="16">
        <f>Plan!D97</f>
        <v/>
      </c>
      <c r="D83" s="16">
        <f>Plan!I97</f>
        <v/>
      </c>
      <c r="E83" s="16">
        <f>Plan!K97</f>
        <v/>
      </c>
      <c r="F83" s="16">
        <f>Plan!L97</f>
        <v/>
      </c>
      <c r="G83" s="16">
        <f>Plan!O97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row>
    <row r="84">
      <c r="A84" s="32">
        <f>Plan!A98</f>
        <v/>
      </c>
      <c r="B84" s="33">
        <f>Plan!C98</f>
        <v/>
      </c>
      <c r="C84" s="16">
        <f>Plan!D98</f>
        <v/>
      </c>
      <c r="D84" s="16">
        <f>Plan!I98</f>
        <v/>
      </c>
      <c r="E84" s="16">
        <f>Plan!K98</f>
        <v/>
      </c>
      <c r="F84" s="16">
        <f>Plan!L98</f>
        <v/>
      </c>
      <c r="G84" s="16">
        <f>Plan!O98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row>
    <row r="85">
      <c r="A85" s="32">
        <f>Plan!A105</f>
        <v/>
      </c>
      <c r="B85" s="33">
        <f>Plan!C105</f>
        <v/>
      </c>
      <c r="C85" s="16">
        <f>Plan!D105</f>
        <v/>
      </c>
      <c r="D85" s="16">
        <f>Plan!I105</f>
        <v/>
      </c>
      <c r="E85" s="16">
        <f>Plan!K105</f>
        <v/>
      </c>
      <c r="F85" s="16">
        <f>Plan!L105</f>
        <v/>
      </c>
      <c r="G85" s="16">
        <f>Plan!O105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row>
    <row r="86">
      <c r="A86" s="32">
        <f>Plan!A106</f>
        <v/>
      </c>
      <c r="B86" s="33">
        <f>Plan!C106</f>
        <v/>
      </c>
      <c r="C86" s="16">
        <f>Plan!D106</f>
        <v/>
      </c>
      <c r="D86" s="16">
        <f>Plan!I106</f>
        <v/>
      </c>
      <c r="E86" s="16">
        <f>Plan!K106</f>
        <v/>
      </c>
      <c r="F86" s="16">
        <f>Plan!L106</f>
        <v/>
      </c>
      <c r="G86" s="16">
        <f>Plan!O106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row>
    <row r="87">
      <c r="A87" s="27" t="inlineStr">
        <is>
          <t>Fase 6. Pruebas y lanzamiento</t>
        </is>
      </c>
      <c r="B87" s="28" t="n"/>
      <c r="C87" s="28" t="n"/>
      <c r="D87" s="28" t="n"/>
      <c r="E87" s="29">
        <f>SUMPRODUCT(MIN((Plan!$B$5:$B$117="6. Pruebas y lanzamiento")*Plan!$K$5:$K$117+(Plan!$B$5:$B$117&lt;&gt;"6. Pruebas y lanzamiento")*1E9))</f>
        <v/>
      </c>
      <c r="F87" s="29">
        <f>SUMPRODUCT(MAX((Plan!$B$5:$B$117="6. Pruebas y lanzamiento")*Plan!$L$5:$L$117))</f>
        <v/>
      </c>
      <c r="G87" s="30">
        <f>Resumen!E34</f>
        <v/>
      </c>
      <c r="H87" s="31" t="n"/>
      <c r="I87" s="31" t="n"/>
      <c r="J87" s="31" t="n"/>
      <c r="K87" s="31" t="n"/>
      <c r="L87" s="31" t="n"/>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row>
    <row r="88">
      <c r="A88" s="32">
        <f>Plan!A58</f>
        <v/>
      </c>
      <c r="B88" s="33">
        <f>Plan!C58</f>
        <v/>
      </c>
      <c r="C88" s="16">
        <f>Plan!D58</f>
        <v/>
      </c>
      <c r="D88" s="16">
        <f>Plan!I58</f>
        <v/>
      </c>
      <c r="E88" s="16">
        <f>Plan!K58</f>
        <v/>
      </c>
      <c r="F88" s="16">
        <f>Plan!L58</f>
        <v/>
      </c>
      <c r="G88" s="16">
        <f>Plan!O58</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row>
    <row r="89">
      <c r="A89" s="32">
        <f>Plan!A59</f>
        <v/>
      </c>
      <c r="B89" s="33">
        <f>Plan!C59</f>
        <v/>
      </c>
      <c r="C89" s="16">
        <f>Plan!D59</f>
        <v/>
      </c>
      <c r="D89" s="16">
        <f>Plan!I59</f>
        <v/>
      </c>
      <c r="E89" s="16">
        <f>Plan!K59</f>
        <v/>
      </c>
      <c r="F89" s="16">
        <f>Plan!L59</f>
        <v/>
      </c>
      <c r="G89" s="16">
        <f>Plan!O59</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row>
    <row r="90">
      <c r="A90" s="32">
        <f>Plan!A60</f>
        <v/>
      </c>
      <c r="B90" s="33">
        <f>Plan!C60</f>
        <v/>
      </c>
      <c r="C90" s="16">
        <f>Plan!D60</f>
        <v/>
      </c>
      <c r="D90" s="16">
        <f>Plan!I60</f>
        <v/>
      </c>
      <c r="E90" s="16">
        <f>Plan!K60</f>
        <v/>
      </c>
      <c r="F90" s="16">
        <f>Plan!L60</f>
        <v/>
      </c>
      <c r="G90" s="16">
        <f>Plan!O60</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row>
    <row r="91">
      <c r="A91" s="32">
        <f>Plan!A61</f>
        <v/>
      </c>
      <c r="B91" s="33">
        <f>Plan!C61</f>
        <v/>
      </c>
      <c r="C91" s="16">
        <f>Plan!D61</f>
        <v/>
      </c>
      <c r="D91" s="16">
        <f>Plan!I61</f>
        <v/>
      </c>
      <c r="E91" s="16">
        <f>Plan!K61</f>
        <v/>
      </c>
      <c r="F91" s="16">
        <f>Plan!L61</f>
        <v/>
      </c>
      <c r="G91" s="16">
        <f>Plan!O61</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row>
    <row r="92">
      <c r="A92" s="32">
        <f>Plan!A62</f>
        <v/>
      </c>
      <c r="B92" s="33">
        <f>Plan!C62</f>
        <v/>
      </c>
      <c r="C92" s="16">
        <f>Plan!D62</f>
        <v/>
      </c>
      <c r="D92" s="16">
        <f>Plan!I62</f>
        <v/>
      </c>
      <c r="E92" s="16">
        <f>Plan!K62</f>
        <v/>
      </c>
      <c r="F92" s="16">
        <f>Plan!L62</f>
        <v/>
      </c>
      <c r="G92" s="16">
        <f>Plan!O62</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row>
    <row r="93">
      <c r="A93" s="32">
        <f>Plan!A63</f>
        <v/>
      </c>
      <c r="B93" s="33">
        <f>Plan!C63</f>
        <v/>
      </c>
      <c r="C93" s="16">
        <f>Plan!D63</f>
        <v/>
      </c>
      <c r="D93" s="16">
        <f>Plan!I63</f>
        <v/>
      </c>
      <c r="E93" s="16">
        <f>Plan!K63</f>
        <v/>
      </c>
      <c r="F93" s="16">
        <f>Plan!L63</f>
        <v/>
      </c>
      <c r="G93" s="16">
        <f>Plan!O63</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c r="DN93" s="34">
        <f>IF(AND(DN$5&gt;$E93,DN$5&lt;=$F93),IF(DN$5=$E93+1,$C93,""),"")</f>
        <v/>
      </c>
      <c r="DO93" s="34">
        <f>IF(AND(DO$5&gt;$E93,DO$5&lt;=$F93),IF(DO$5=$E93+1,$C93,""),"")</f>
        <v/>
      </c>
      <c r="DP93" s="34">
        <f>IF(AND(DP$5&gt;$E93,DP$5&lt;=$F93),IF(DP$5=$E93+1,$C93,""),"")</f>
        <v/>
      </c>
      <c r="DQ93" s="34">
        <f>IF(AND(DQ$5&gt;$E93,DQ$5&lt;=$F93),IF(DQ$5=$E93+1,$C93,""),"")</f>
        <v/>
      </c>
      <c r="DR93" s="34">
        <f>IF(AND(DR$5&gt;$E93,DR$5&lt;=$F93),IF(DR$5=$E93+1,$C93,""),"")</f>
        <v/>
      </c>
      <c r="DS93" s="34">
        <f>IF(AND(DS$5&gt;$E93,DS$5&lt;=$F93),IF(DS$5=$E93+1,$C93,""),"")</f>
        <v/>
      </c>
      <c r="DT93" s="34">
        <f>IF(AND(DT$5&gt;$E93,DT$5&lt;=$F93),IF(DT$5=$E93+1,$C93,""),"")</f>
        <v/>
      </c>
      <c r="DU93" s="34">
        <f>IF(AND(DU$5&gt;$E93,DU$5&lt;=$F93),IF(DU$5=$E93+1,$C93,""),"")</f>
        <v/>
      </c>
      <c r="DV93" s="34">
        <f>IF(AND(DV$5&gt;$E93,DV$5&lt;=$F93),IF(DV$5=$E93+1,$C93,""),"")</f>
        <v/>
      </c>
      <c r="DW93" s="34">
        <f>IF(AND(DW$5&gt;$E93,DW$5&lt;=$F93),IF(DW$5=$E93+1,$C93,""),"")</f>
        <v/>
      </c>
      <c r="DX93" s="34">
        <f>IF(AND(DX$5&gt;$E93,DX$5&lt;=$F93),IF(DX$5=$E93+1,$C93,""),"")</f>
        <v/>
      </c>
      <c r="DY93" s="34">
        <f>IF(AND(DY$5&gt;$E93,DY$5&lt;=$F93),IF(DY$5=$E93+1,$C93,""),"")</f>
        <v/>
      </c>
      <c r="DZ93" s="34">
        <f>IF(AND(DZ$5&gt;$E93,DZ$5&lt;=$F93),IF(DZ$5=$E93+1,$C93,""),"")</f>
        <v/>
      </c>
      <c r="EA93" s="34">
        <f>IF(AND(EA$5&gt;$E93,EA$5&lt;=$F93),IF(EA$5=$E93+1,$C93,""),"")</f>
        <v/>
      </c>
      <c r="EB93" s="34">
        <f>IF(AND(EB$5&gt;$E93,EB$5&lt;=$F93),IF(EB$5=$E93+1,$C93,""),"")</f>
        <v/>
      </c>
      <c r="EC93" s="34">
        <f>IF(AND(EC$5&gt;$E93,EC$5&lt;=$F93),IF(EC$5=$E93+1,$C93,""),"")</f>
        <v/>
      </c>
      <c r="ED93" s="34">
        <f>IF(AND(ED$5&gt;$E93,ED$5&lt;=$F93),IF(ED$5=$E93+1,$C93,""),"")</f>
        <v/>
      </c>
      <c r="EE93" s="34">
        <f>IF(AND(EE$5&gt;$E93,EE$5&lt;=$F93),IF(EE$5=$E93+1,$C93,""),"")</f>
        <v/>
      </c>
      <c r="EF93" s="34">
        <f>IF(AND(EF$5&gt;$E93,EF$5&lt;=$F93),IF(EF$5=$E93+1,$C93,""),"")</f>
        <v/>
      </c>
      <c r="EG93" s="34">
        <f>IF(AND(EG$5&gt;$E93,EG$5&lt;=$F93),IF(EG$5=$E93+1,$C93,""),"")</f>
        <v/>
      </c>
    </row>
    <row r="94">
      <c r="A94" s="32">
        <f>Plan!A64</f>
        <v/>
      </c>
      <c r="B94" s="33">
        <f>Plan!C64</f>
        <v/>
      </c>
      <c r="C94" s="16">
        <f>Plan!D64</f>
        <v/>
      </c>
      <c r="D94" s="16">
        <f>Plan!I64</f>
        <v/>
      </c>
      <c r="E94" s="16">
        <f>Plan!K64</f>
        <v/>
      </c>
      <c r="F94" s="16">
        <f>Plan!L64</f>
        <v/>
      </c>
      <c r="G94" s="16">
        <f>Plan!O64</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row>
    <row r="95">
      <c r="A95" s="32">
        <f>Plan!A65</f>
        <v/>
      </c>
      <c r="B95" s="33">
        <f>Plan!C65</f>
        <v/>
      </c>
      <c r="C95" s="16">
        <f>Plan!D65</f>
        <v/>
      </c>
      <c r="D95" s="16">
        <f>Plan!I65</f>
        <v/>
      </c>
      <c r="E95" s="16">
        <f>Plan!K65</f>
        <v/>
      </c>
      <c r="F95" s="16">
        <f>Plan!L65</f>
        <v/>
      </c>
      <c r="G95" s="16">
        <f>Plan!O65</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c r="DX95" s="34">
        <f>IF(AND(DX$5&gt;$E95,DX$5&lt;=$F95),IF(DX$5=$E95+1,$C95,""),"")</f>
        <v/>
      </c>
      <c r="DY95" s="34">
        <f>IF(AND(DY$5&gt;$E95,DY$5&lt;=$F95),IF(DY$5=$E95+1,$C95,""),"")</f>
        <v/>
      </c>
      <c r="DZ95" s="34">
        <f>IF(AND(DZ$5&gt;$E95,DZ$5&lt;=$F95),IF(DZ$5=$E95+1,$C95,""),"")</f>
        <v/>
      </c>
      <c r="EA95" s="34">
        <f>IF(AND(EA$5&gt;$E95,EA$5&lt;=$F95),IF(EA$5=$E95+1,$C95,""),"")</f>
        <v/>
      </c>
      <c r="EB95" s="34">
        <f>IF(AND(EB$5&gt;$E95,EB$5&lt;=$F95),IF(EB$5=$E95+1,$C95,""),"")</f>
        <v/>
      </c>
      <c r="EC95" s="34">
        <f>IF(AND(EC$5&gt;$E95,EC$5&lt;=$F95),IF(EC$5=$E95+1,$C95,""),"")</f>
        <v/>
      </c>
      <c r="ED95" s="34">
        <f>IF(AND(ED$5&gt;$E95,ED$5&lt;=$F95),IF(ED$5=$E95+1,$C95,""),"")</f>
        <v/>
      </c>
      <c r="EE95" s="34">
        <f>IF(AND(EE$5&gt;$E95,EE$5&lt;=$F95),IF(EE$5=$E95+1,$C95,""),"")</f>
        <v/>
      </c>
      <c r="EF95" s="34">
        <f>IF(AND(EF$5&gt;$E95,EF$5&lt;=$F95),IF(EF$5=$E95+1,$C95,""),"")</f>
        <v/>
      </c>
      <c r="EG95" s="34">
        <f>IF(AND(EG$5&gt;$E95,EG$5&lt;=$F95),IF(EG$5=$E95+1,$C95,""),"")</f>
        <v/>
      </c>
    </row>
    <row r="96">
      <c r="A96" s="32">
        <f>Plan!A66</f>
        <v/>
      </c>
      <c r="B96" s="33">
        <f>Plan!C66</f>
        <v/>
      </c>
      <c r="C96" s="16">
        <f>Plan!D66</f>
        <v/>
      </c>
      <c r="D96" s="16">
        <f>Plan!I66</f>
        <v/>
      </c>
      <c r="E96" s="16">
        <f>Plan!K66</f>
        <v/>
      </c>
      <c r="F96" s="16">
        <f>Plan!L66</f>
        <v/>
      </c>
      <c r="G96" s="16">
        <f>Plan!O66</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row>
    <row r="97">
      <c r="A97" s="32">
        <f>Plan!A67</f>
        <v/>
      </c>
      <c r="B97" s="33">
        <f>Plan!C67</f>
        <v/>
      </c>
      <c r="C97" s="16">
        <f>Plan!D67</f>
        <v/>
      </c>
      <c r="D97" s="16">
        <f>Plan!I67</f>
        <v/>
      </c>
      <c r="E97" s="16">
        <f>Plan!K67</f>
        <v/>
      </c>
      <c r="F97" s="16">
        <f>Plan!L67</f>
        <v/>
      </c>
      <c r="G97" s="16">
        <f>Plan!O67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row>
    <row r="98">
      <c r="A98" s="32">
        <f>Plan!A68</f>
        <v/>
      </c>
      <c r="B98" s="33">
        <f>Plan!C68</f>
        <v/>
      </c>
      <c r="C98" s="16">
        <f>Plan!D68</f>
        <v/>
      </c>
      <c r="D98" s="16">
        <f>Plan!I68</f>
        <v/>
      </c>
      <c r="E98" s="16">
        <f>Plan!K68</f>
        <v/>
      </c>
      <c r="F98" s="16">
        <f>Plan!L68</f>
        <v/>
      </c>
      <c r="G98" s="16">
        <f>Plan!O68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row>
    <row r="99">
      <c r="A99" s="32">
        <f>Plan!A69</f>
        <v/>
      </c>
      <c r="B99" s="33">
        <f>Plan!C69</f>
        <v/>
      </c>
      <c r="C99" s="16">
        <f>Plan!D69</f>
        <v/>
      </c>
      <c r="D99" s="16">
        <f>Plan!I69</f>
        <v/>
      </c>
      <c r="E99" s="16">
        <f>Plan!K69</f>
        <v/>
      </c>
      <c r="F99" s="16">
        <f>Plan!L69</f>
        <v/>
      </c>
      <c r="G99" s="16">
        <f>Plan!O69</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row>
    <row r="100">
      <c r="A100" s="32">
        <f>Plan!A70</f>
        <v/>
      </c>
      <c r="B100" s="33">
        <f>Plan!C70</f>
        <v/>
      </c>
      <c r="C100" s="16">
        <f>Plan!D70</f>
        <v/>
      </c>
      <c r="D100" s="16">
        <f>Plan!I70</f>
        <v/>
      </c>
      <c r="E100" s="16">
        <f>Plan!K70</f>
        <v/>
      </c>
      <c r="F100" s="16">
        <f>Plan!L70</f>
        <v/>
      </c>
      <c r="G100" s="16">
        <f>Plan!O70</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row>
    <row r="101">
      <c r="A101" s="32">
        <f>Plan!A71</f>
        <v/>
      </c>
      <c r="B101" s="33">
        <f>Plan!C71</f>
        <v/>
      </c>
      <c r="C101" s="16">
        <f>Plan!D71</f>
        <v/>
      </c>
      <c r="D101" s="16">
        <f>Plan!I71</f>
        <v/>
      </c>
      <c r="E101" s="16">
        <f>Plan!K71</f>
        <v/>
      </c>
      <c r="F101" s="16">
        <f>Plan!L71</f>
        <v/>
      </c>
      <c r="G101" s="16">
        <f>Plan!O71</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row>
    <row r="102">
      <c r="A102" s="32">
        <f>Plan!A72</f>
        <v/>
      </c>
      <c r="B102" s="33">
        <f>Plan!C72</f>
        <v/>
      </c>
      <c r="C102" s="16">
        <f>Plan!D72</f>
        <v/>
      </c>
      <c r="D102" s="16">
        <f>Plan!I72</f>
        <v/>
      </c>
      <c r="E102" s="16">
        <f>Plan!K72</f>
        <v/>
      </c>
      <c r="F102" s="16">
        <f>Plan!L72</f>
        <v/>
      </c>
      <c r="G102" s="16">
        <f>Plan!O72</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row>
    <row r="103">
      <c r="A103" s="32">
        <f>Plan!A73</f>
        <v/>
      </c>
      <c r="B103" s="33">
        <f>Plan!C73</f>
        <v/>
      </c>
      <c r="C103" s="16">
        <f>Plan!D73</f>
        <v/>
      </c>
      <c r="D103" s="16">
        <f>Plan!I73</f>
        <v/>
      </c>
      <c r="E103" s="16">
        <f>Plan!K73</f>
        <v/>
      </c>
      <c r="F103" s="16">
        <f>Plan!L73</f>
        <v/>
      </c>
      <c r="G103" s="16">
        <f>Plan!O73</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row>
    <row r="104">
      <c r="A104" s="32">
        <f>Plan!A74</f>
        <v/>
      </c>
      <c r="B104" s="33">
        <f>Plan!C74</f>
        <v/>
      </c>
      <c r="C104" s="16">
        <f>Plan!D74</f>
        <v/>
      </c>
      <c r="D104" s="16">
        <f>Plan!I74</f>
        <v/>
      </c>
      <c r="E104" s="16">
        <f>Plan!K74</f>
        <v/>
      </c>
      <c r="F104" s="16">
        <f>Plan!L74</f>
        <v/>
      </c>
      <c r="G104" s="16">
        <f>Plan!O74</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row>
    <row r="105">
      <c r="A105" s="32">
        <f>Plan!A75</f>
        <v/>
      </c>
      <c r="B105" s="33">
        <f>Plan!C75</f>
        <v/>
      </c>
      <c r="C105" s="16">
        <f>Plan!D75</f>
        <v/>
      </c>
      <c r="D105" s="16">
        <f>Plan!I75</f>
        <v/>
      </c>
      <c r="E105" s="16">
        <f>Plan!K75</f>
        <v/>
      </c>
      <c r="F105" s="16">
        <f>Plan!L75</f>
        <v/>
      </c>
      <c r="G105" s="16">
        <f>Plan!O75</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row>
    <row r="106">
      <c r="A106" s="32">
        <f>Plan!A76</f>
        <v/>
      </c>
      <c r="B106" s="33">
        <f>Plan!C76</f>
        <v/>
      </c>
      <c r="C106" s="16">
        <f>Plan!D76</f>
        <v/>
      </c>
      <c r="D106" s="16">
        <f>Plan!I76</f>
        <v/>
      </c>
      <c r="E106" s="16">
        <f>Plan!K76</f>
        <v/>
      </c>
      <c r="F106" s="16">
        <f>Plan!L76</f>
        <v/>
      </c>
      <c r="G106" s="16">
        <f>Plan!O76</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row>
    <row r="107">
      <c r="A107" s="32">
        <f>Plan!A79</f>
        <v/>
      </c>
      <c r="B107" s="33">
        <f>Plan!C79</f>
        <v/>
      </c>
      <c r="C107" s="16">
        <f>Plan!D79</f>
        <v/>
      </c>
      <c r="D107" s="16">
        <f>Plan!I79</f>
        <v/>
      </c>
      <c r="E107" s="16">
        <f>Plan!K79</f>
        <v/>
      </c>
      <c r="F107" s="16">
        <f>Plan!L79</f>
        <v/>
      </c>
      <c r="G107" s="16">
        <f>Plan!O79</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row>
    <row r="108">
      <c r="A108" s="32">
        <f>Plan!A82</f>
        <v/>
      </c>
      <c r="B108" s="33">
        <f>Plan!C82</f>
        <v/>
      </c>
      <c r="C108" s="16">
        <f>Plan!D82</f>
        <v/>
      </c>
      <c r="D108" s="16">
        <f>Plan!I82</f>
        <v/>
      </c>
      <c r="E108" s="16">
        <f>Plan!K82</f>
        <v/>
      </c>
      <c r="F108" s="16">
        <f>Plan!L82</f>
        <v/>
      </c>
      <c r="G108" s="16">
        <f>Plan!O82</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row>
    <row r="109">
      <c r="A109" s="32">
        <f>Plan!A83</f>
        <v/>
      </c>
      <c r="B109" s="33">
        <f>Plan!C83</f>
        <v/>
      </c>
      <c r="C109" s="16">
        <f>Plan!D83</f>
        <v/>
      </c>
      <c r="D109" s="16">
        <f>Plan!I83</f>
        <v/>
      </c>
      <c r="E109" s="16">
        <f>Plan!K83</f>
        <v/>
      </c>
      <c r="F109" s="16">
        <f>Plan!L83</f>
        <v/>
      </c>
      <c r="G109" s="16">
        <f>Plan!O83</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row>
    <row r="110">
      <c r="A110" s="32">
        <f>Plan!A87</f>
        <v/>
      </c>
      <c r="B110" s="33">
        <f>Plan!C87</f>
        <v/>
      </c>
      <c r="C110" s="16">
        <f>Plan!D87</f>
        <v/>
      </c>
      <c r="D110" s="16">
        <f>Plan!I87</f>
        <v/>
      </c>
      <c r="E110" s="16">
        <f>Plan!K87</f>
        <v/>
      </c>
      <c r="F110" s="16">
        <f>Plan!L87</f>
        <v/>
      </c>
      <c r="G110" s="16">
        <f>Plan!O87</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row>
    <row r="111">
      <c r="A111" s="32">
        <f>Plan!A88</f>
        <v/>
      </c>
      <c r="B111" s="33">
        <f>Plan!C88</f>
        <v/>
      </c>
      <c r="C111" s="16">
        <f>Plan!D88</f>
        <v/>
      </c>
      <c r="D111" s="16">
        <f>Plan!I88</f>
        <v/>
      </c>
      <c r="E111" s="16">
        <f>Plan!K88</f>
        <v/>
      </c>
      <c r="F111" s="16">
        <f>Plan!L88</f>
        <v/>
      </c>
      <c r="G111" s="16">
        <f>Plan!O88</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row>
    <row r="112">
      <c r="A112" s="32">
        <f>Plan!A89</f>
        <v/>
      </c>
      <c r="B112" s="33">
        <f>Plan!C89</f>
        <v/>
      </c>
      <c r="C112" s="16">
        <f>Plan!D89</f>
        <v/>
      </c>
      <c r="D112" s="16">
        <f>Plan!I89</f>
        <v/>
      </c>
      <c r="E112" s="16">
        <f>Plan!K89</f>
        <v/>
      </c>
      <c r="F112" s="16">
        <f>Plan!L89</f>
        <v/>
      </c>
      <c r="G112" s="16">
        <f>Plan!O89</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row>
    <row r="113">
      <c r="A113" s="32">
        <f>Plan!A99</f>
        <v/>
      </c>
      <c r="B113" s="33">
        <f>Plan!C99</f>
        <v/>
      </c>
      <c r="C113" s="16">
        <f>Plan!D99</f>
        <v/>
      </c>
      <c r="D113" s="16">
        <f>Plan!I99</f>
        <v/>
      </c>
      <c r="E113" s="16">
        <f>Plan!K99</f>
        <v/>
      </c>
      <c r="F113" s="16">
        <f>Plan!L99</f>
        <v/>
      </c>
      <c r="G113" s="16">
        <f>Plan!O99</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row>
    <row r="114">
      <c r="A114" s="32">
        <f>Plan!A100</f>
        <v/>
      </c>
      <c r="B114" s="33">
        <f>Plan!C100</f>
        <v/>
      </c>
      <c r="C114" s="16">
        <f>Plan!D100</f>
        <v/>
      </c>
      <c r="D114" s="16">
        <f>Plan!I100</f>
        <v/>
      </c>
      <c r="E114" s="16">
        <f>Plan!K100</f>
        <v/>
      </c>
      <c r="F114" s="16">
        <f>Plan!L100</f>
        <v/>
      </c>
      <c r="G114" s="16">
        <f>Plan!O100</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row>
    <row r="115">
      <c r="A115" s="32">
        <f>Plan!A101</f>
        <v/>
      </c>
      <c r="B115" s="33">
        <f>Plan!C101</f>
        <v/>
      </c>
      <c r="C115" s="16">
        <f>Plan!D101</f>
        <v/>
      </c>
      <c r="D115" s="16">
        <f>Plan!I101</f>
        <v/>
      </c>
      <c r="E115" s="16">
        <f>Plan!K101</f>
        <v/>
      </c>
      <c r="F115" s="16">
        <f>Plan!L101</f>
        <v/>
      </c>
      <c r="G115" s="16">
        <f>Plan!O101</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row>
    <row r="116">
      <c r="A116" s="32">
        <f>Plan!A102</f>
        <v/>
      </c>
      <c r="B116" s="33">
        <f>Plan!C102</f>
        <v/>
      </c>
      <c r="C116" s="16">
        <f>Plan!D102</f>
        <v/>
      </c>
      <c r="D116" s="16">
        <f>Plan!I102</f>
        <v/>
      </c>
      <c r="E116" s="16">
        <f>Plan!K102</f>
        <v/>
      </c>
      <c r="F116" s="16">
        <f>Plan!L102</f>
        <v/>
      </c>
      <c r="G116" s="16">
        <f>Plan!O102</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row>
    <row r="117">
      <c r="A117" s="32">
        <f>Plan!A107</f>
        <v/>
      </c>
      <c r="B117" s="33">
        <f>Plan!C107</f>
        <v/>
      </c>
      <c r="C117" s="16">
        <f>Plan!D107</f>
        <v/>
      </c>
      <c r="D117" s="16">
        <f>Plan!I107</f>
        <v/>
      </c>
      <c r="E117" s="16">
        <f>Plan!K107</f>
        <v/>
      </c>
      <c r="F117" s="16">
        <f>Plan!L107</f>
        <v/>
      </c>
      <c r="G117" s="16">
        <f>Plan!O107</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row>
    <row r="118">
      <c r="A118" s="32">
        <f>Plan!A108</f>
        <v/>
      </c>
      <c r="B118" s="33">
        <f>Plan!C108</f>
        <v/>
      </c>
      <c r="C118" s="16">
        <f>Plan!D108</f>
        <v/>
      </c>
      <c r="D118" s="16">
        <f>Plan!I108</f>
        <v/>
      </c>
      <c r="E118" s="16">
        <f>Plan!K108</f>
        <v/>
      </c>
      <c r="F118" s="16">
        <f>Plan!L108</f>
        <v/>
      </c>
      <c r="G118" s="16">
        <f>Plan!O108</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row>
    <row r="119">
      <c r="A119" s="32">
        <f>Plan!A109</f>
        <v/>
      </c>
      <c r="B119" s="33">
        <f>Plan!C109</f>
        <v/>
      </c>
      <c r="C119" s="16">
        <f>Plan!D109</f>
        <v/>
      </c>
      <c r="D119" s="16">
        <f>Plan!I109</f>
        <v/>
      </c>
      <c r="E119" s="16">
        <f>Plan!K109</f>
        <v/>
      </c>
      <c r="F119" s="16">
        <f>Plan!L109</f>
        <v/>
      </c>
      <c r="G119" s="16">
        <f>Plan!O109</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row>
    <row r="120">
      <c r="A120" s="32">
        <f>Plan!A110</f>
        <v/>
      </c>
      <c r="B120" s="33">
        <f>Plan!C110</f>
        <v/>
      </c>
      <c r="C120" s="16">
        <f>Plan!D110</f>
        <v/>
      </c>
      <c r="D120" s="16">
        <f>Plan!I110</f>
        <v/>
      </c>
      <c r="E120" s="16">
        <f>Plan!K110</f>
        <v/>
      </c>
      <c r="F120" s="16">
        <f>Plan!L110</f>
        <v/>
      </c>
      <c r="G120" s="16">
        <f>Plan!O110</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row>
    <row r="121">
      <c r="A121" s="32">
        <f>Plan!A111</f>
        <v/>
      </c>
      <c r="B121" s="33">
        <f>Plan!C111</f>
        <v/>
      </c>
      <c r="C121" s="16">
        <f>Plan!D111</f>
        <v/>
      </c>
      <c r="D121" s="16">
        <f>Plan!I111</f>
        <v/>
      </c>
      <c r="E121" s="16">
        <f>Plan!K111</f>
        <v/>
      </c>
      <c r="F121" s="16">
        <f>Plan!L111</f>
        <v/>
      </c>
      <c r="G121" s="16">
        <f>Plan!O111</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row>
    <row r="122">
      <c r="A122" s="32">
        <f>Plan!A112</f>
        <v/>
      </c>
      <c r="B122" s="33">
        <f>Plan!C112</f>
        <v/>
      </c>
      <c r="C122" s="16">
        <f>Plan!D112</f>
        <v/>
      </c>
      <c r="D122" s="16">
        <f>Plan!I112</f>
        <v/>
      </c>
      <c r="E122" s="16">
        <f>Plan!K112</f>
        <v/>
      </c>
      <c r="F122" s="16">
        <f>Plan!L112</f>
        <v/>
      </c>
      <c r="G122" s="16">
        <f>Plan!O112</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row>
    <row r="123">
      <c r="A123" s="32">
        <f>Plan!A113</f>
        <v/>
      </c>
      <c r="B123" s="33">
        <f>Plan!C113</f>
        <v/>
      </c>
      <c r="C123" s="16">
        <f>Plan!D113</f>
        <v/>
      </c>
      <c r="D123" s="16">
        <f>Plan!I113</f>
        <v/>
      </c>
      <c r="E123" s="16">
        <f>Plan!K113</f>
        <v/>
      </c>
      <c r="F123" s="16">
        <f>Plan!L113</f>
        <v/>
      </c>
      <c r="G123" s="16">
        <f>Plan!O113</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row>
    <row r="124">
      <c r="A124" s="32">
        <f>Plan!A114</f>
        <v/>
      </c>
      <c r="B124" s="33">
        <f>Plan!C114</f>
        <v/>
      </c>
      <c r="C124" s="16">
        <f>Plan!D114</f>
        <v/>
      </c>
      <c r="D124" s="16">
        <f>Plan!I114</f>
        <v/>
      </c>
      <c r="E124" s="16">
        <f>Plan!K114</f>
        <v/>
      </c>
      <c r="F124" s="16">
        <f>Plan!L114</f>
        <v/>
      </c>
      <c r="G124" s="16">
        <f>Plan!O114</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row>
    <row r="125">
      <c r="A125" s="32">
        <f>Plan!A115</f>
        <v/>
      </c>
      <c r="B125" s="33">
        <f>Plan!C115</f>
        <v/>
      </c>
      <c r="C125" s="16">
        <f>Plan!D115</f>
        <v/>
      </c>
      <c r="D125" s="16">
        <f>Plan!I115</f>
        <v/>
      </c>
      <c r="E125" s="16">
        <f>Plan!K115</f>
        <v/>
      </c>
      <c r="F125" s="16">
        <f>Plan!L115</f>
        <v/>
      </c>
      <c r="G125" s="16">
        <f>Plan!O115</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row>
    <row r="126">
      <c r="A126" s="32">
        <f>Plan!A116</f>
        <v/>
      </c>
      <c r="B126" s="33">
        <f>Plan!C116</f>
        <v/>
      </c>
      <c r="C126" s="16">
        <f>Plan!D116</f>
        <v/>
      </c>
      <c r="D126" s="16">
        <f>Plan!I116</f>
        <v/>
      </c>
      <c r="E126" s="16">
        <f>Plan!K116</f>
        <v/>
      </c>
      <c r="F126" s="16">
        <f>Plan!L116</f>
        <v/>
      </c>
      <c r="G126" s="16">
        <f>Plan!O116</f>
        <v/>
      </c>
      <c r="H126" s="34">
        <f>IF(AND(H$5&gt;$E126,H$5&lt;=$F126),IF(H$5=$E126+1,$C126,""),"")</f>
        <v/>
      </c>
      <c r="I126" s="34">
        <f>IF(AND(I$5&gt;$E126,I$5&lt;=$F126),IF(I$5=$E126+1,$C126,""),"")</f>
        <v/>
      </c>
      <c r="J126" s="34">
        <f>IF(AND(J$5&gt;$E126,J$5&lt;=$F126),IF(J$5=$E126+1,$C126,""),"")</f>
        <v/>
      </c>
      <c r="K126" s="34">
        <f>IF(AND(K$5&gt;$E126,K$5&lt;=$F126),IF(K$5=$E126+1,$C126,""),"")</f>
        <v/>
      </c>
      <c r="L126" s="34">
        <f>IF(AND(L$5&gt;$E126,L$5&lt;=$F126),IF(L$5=$E126+1,$C126,""),"")</f>
        <v/>
      </c>
      <c r="M126" s="34">
        <f>IF(AND(M$5&gt;$E126,M$5&lt;=$F126),IF(M$5=$E126+1,$C126,""),"")</f>
        <v/>
      </c>
      <c r="N126" s="34">
        <f>IF(AND(N$5&gt;$E126,N$5&lt;=$F126),IF(N$5=$E126+1,$C126,""),"")</f>
        <v/>
      </c>
      <c r="O126" s="34">
        <f>IF(AND(O$5&gt;$E126,O$5&lt;=$F126),IF(O$5=$E126+1,$C126,""),"")</f>
        <v/>
      </c>
      <c r="P126" s="34">
        <f>IF(AND(P$5&gt;$E126,P$5&lt;=$F126),IF(P$5=$E126+1,$C126,""),"")</f>
        <v/>
      </c>
      <c r="Q126" s="34">
        <f>IF(AND(Q$5&gt;$E126,Q$5&lt;=$F126),IF(Q$5=$E126+1,$C126,""),"")</f>
        <v/>
      </c>
      <c r="R126" s="34">
        <f>IF(AND(R$5&gt;$E126,R$5&lt;=$F126),IF(R$5=$E126+1,$C126,""),"")</f>
        <v/>
      </c>
      <c r="S126" s="34">
        <f>IF(AND(S$5&gt;$E126,S$5&lt;=$F126),IF(S$5=$E126+1,$C126,""),"")</f>
        <v/>
      </c>
      <c r="T126" s="34">
        <f>IF(AND(T$5&gt;$E126,T$5&lt;=$F126),IF(T$5=$E126+1,$C126,""),"")</f>
        <v/>
      </c>
      <c r="U126" s="34">
        <f>IF(AND(U$5&gt;$E126,U$5&lt;=$F126),IF(U$5=$E126+1,$C126,""),"")</f>
        <v/>
      </c>
      <c r="V126" s="34">
        <f>IF(AND(V$5&gt;$E126,V$5&lt;=$F126),IF(V$5=$E126+1,$C126,""),"")</f>
        <v/>
      </c>
      <c r="W126" s="34">
        <f>IF(AND(W$5&gt;$E126,W$5&lt;=$F126),IF(W$5=$E126+1,$C126,""),"")</f>
        <v/>
      </c>
      <c r="X126" s="34">
        <f>IF(AND(X$5&gt;$E126,X$5&lt;=$F126),IF(X$5=$E126+1,$C126,""),"")</f>
        <v/>
      </c>
      <c r="Y126" s="34">
        <f>IF(AND(Y$5&gt;$E126,Y$5&lt;=$F126),IF(Y$5=$E126+1,$C126,""),"")</f>
        <v/>
      </c>
      <c r="Z126" s="34">
        <f>IF(AND(Z$5&gt;$E126,Z$5&lt;=$F126),IF(Z$5=$E126+1,$C126,""),"")</f>
        <v/>
      </c>
      <c r="AA126" s="34">
        <f>IF(AND(AA$5&gt;$E126,AA$5&lt;=$F126),IF(AA$5=$E126+1,$C126,""),"")</f>
        <v/>
      </c>
      <c r="AB126" s="34">
        <f>IF(AND(AB$5&gt;$E126,AB$5&lt;=$F126),IF(AB$5=$E126+1,$C126,""),"")</f>
        <v/>
      </c>
      <c r="AC126" s="34">
        <f>IF(AND(AC$5&gt;$E126,AC$5&lt;=$F126),IF(AC$5=$E126+1,$C126,""),"")</f>
        <v/>
      </c>
      <c r="AD126" s="34">
        <f>IF(AND(AD$5&gt;$E126,AD$5&lt;=$F126),IF(AD$5=$E126+1,$C126,""),"")</f>
        <v/>
      </c>
      <c r="AE126" s="34">
        <f>IF(AND(AE$5&gt;$E126,AE$5&lt;=$F126),IF(AE$5=$E126+1,$C126,""),"")</f>
        <v/>
      </c>
      <c r="AF126" s="34">
        <f>IF(AND(AF$5&gt;$E126,AF$5&lt;=$F126),IF(AF$5=$E126+1,$C126,""),"")</f>
        <v/>
      </c>
      <c r="AG126" s="34">
        <f>IF(AND(AG$5&gt;$E126,AG$5&lt;=$F126),IF(AG$5=$E126+1,$C126,""),"")</f>
        <v/>
      </c>
      <c r="AH126" s="34">
        <f>IF(AND(AH$5&gt;$E126,AH$5&lt;=$F126),IF(AH$5=$E126+1,$C126,""),"")</f>
        <v/>
      </c>
      <c r="AI126" s="34">
        <f>IF(AND(AI$5&gt;$E126,AI$5&lt;=$F126),IF(AI$5=$E126+1,$C126,""),"")</f>
        <v/>
      </c>
      <c r="AJ126" s="34">
        <f>IF(AND(AJ$5&gt;$E126,AJ$5&lt;=$F126),IF(AJ$5=$E126+1,$C126,""),"")</f>
        <v/>
      </c>
      <c r="AK126" s="34">
        <f>IF(AND(AK$5&gt;$E126,AK$5&lt;=$F126),IF(AK$5=$E126+1,$C126,""),"")</f>
        <v/>
      </c>
      <c r="AL126" s="34">
        <f>IF(AND(AL$5&gt;$E126,AL$5&lt;=$F126),IF(AL$5=$E126+1,$C126,""),"")</f>
        <v/>
      </c>
      <c r="AM126" s="34">
        <f>IF(AND(AM$5&gt;$E126,AM$5&lt;=$F126),IF(AM$5=$E126+1,$C126,""),"")</f>
        <v/>
      </c>
      <c r="AN126" s="34">
        <f>IF(AND(AN$5&gt;$E126,AN$5&lt;=$F126),IF(AN$5=$E126+1,$C126,""),"")</f>
        <v/>
      </c>
      <c r="AO126" s="34">
        <f>IF(AND(AO$5&gt;$E126,AO$5&lt;=$F126),IF(AO$5=$E126+1,$C126,""),"")</f>
        <v/>
      </c>
      <c r="AP126" s="34">
        <f>IF(AND(AP$5&gt;$E126,AP$5&lt;=$F126),IF(AP$5=$E126+1,$C126,""),"")</f>
        <v/>
      </c>
      <c r="AQ126" s="34">
        <f>IF(AND(AQ$5&gt;$E126,AQ$5&lt;=$F126),IF(AQ$5=$E126+1,$C126,""),"")</f>
        <v/>
      </c>
      <c r="AR126" s="34">
        <f>IF(AND(AR$5&gt;$E126,AR$5&lt;=$F126),IF(AR$5=$E126+1,$C126,""),"")</f>
        <v/>
      </c>
      <c r="AS126" s="34">
        <f>IF(AND(AS$5&gt;$E126,AS$5&lt;=$F126),IF(AS$5=$E126+1,$C126,""),"")</f>
        <v/>
      </c>
      <c r="AT126" s="34">
        <f>IF(AND(AT$5&gt;$E126,AT$5&lt;=$F126),IF(AT$5=$E126+1,$C126,""),"")</f>
        <v/>
      </c>
      <c r="AU126" s="34">
        <f>IF(AND(AU$5&gt;$E126,AU$5&lt;=$F126),IF(AU$5=$E126+1,$C126,""),"")</f>
        <v/>
      </c>
      <c r="AV126" s="34">
        <f>IF(AND(AV$5&gt;$E126,AV$5&lt;=$F126),IF(AV$5=$E126+1,$C126,""),"")</f>
        <v/>
      </c>
      <c r="AW126" s="34">
        <f>IF(AND(AW$5&gt;$E126,AW$5&lt;=$F126),IF(AW$5=$E126+1,$C126,""),"")</f>
        <v/>
      </c>
      <c r="AX126" s="34">
        <f>IF(AND(AX$5&gt;$E126,AX$5&lt;=$F126),IF(AX$5=$E126+1,$C126,""),"")</f>
        <v/>
      </c>
      <c r="AY126" s="34">
        <f>IF(AND(AY$5&gt;$E126,AY$5&lt;=$F126),IF(AY$5=$E126+1,$C126,""),"")</f>
        <v/>
      </c>
      <c r="AZ126" s="34">
        <f>IF(AND(AZ$5&gt;$E126,AZ$5&lt;=$F126),IF(AZ$5=$E126+1,$C126,""),"")</f>
        <v/>
      </c>
      <c r="BA126" s="34">
        <f>IF(AND(BA$5&gt;$E126,BA$5&lt;=$F126),IF(BA$5=$E126+1,$C126,""),"")</f>
        <v/>
      </c>
      <c r="BB126" s="34">
        <f>IF(AND(BB$5&gt;$E126,BB$5&lt;=$F126),IF(BB$5=$E126+1,$C126,""),"")</f>
        <v/>
      </c>
      <c r="BC126" s="34">
        <f>IF(AND(BC$5&gt;$E126,BC$5&lt;=$F126),IF(BC$5=$E126+1,$C126,""),"")</f>
        <v/>
      </c>
      <c r="BD126" s="34">
        <f>IF(AND(BD$5&gt;$E126,BD$5&lt;=$F126),IF(BD$5=$E126+1,$C126,""),"")</f>
        <v/>
      </c>
      <c r="BE126" s="34">
        <f>IF(AND(BE$5&gt;$E126,BE$5&lt;=$F126),IF(BE$5=$E126+1,$C126,""),"")</f>
        <v/>
      </c>
      <c r="BF126" s="34">
        <f>IF(AND(BF$5&gt;$E126,BF$5&lt;=$F126),IF(BF$5=$E126+1,$C126,""),"")</f>
        <v/>
      </c>
      <c r="BG126" s="34">
        <f>IF(AND(BG$5&gt;$E126,BG$5&lt;=$F126),IF(BG$5=$E126+1,$C126,""),"")</f>
        <v/>
      </c>
      <c r="BH126" s="34">
        <f>IF(AND(BH$5&gt;$E126,BH$5&lt;=$F126),IF(BH$5=$E126+1,$C126,""),"")</f>
        <v/>
      </c>
      <c r="BI126" s="34">
        <f>IF(AND(BI$5&gt;$E126,BI$5&lt;=$F126),IF(BI$5=$E126+1,$C126,""),"")</f>
        <v/>
      </c>
      <c r="BJ126" s="34">
        <f>IF(AND(BJ$5&gt;$E126,BJ$5&lt;=$F126),IF(BJ$5=$E126+1,$C126,""),"")</f>
        <v/>
      </c>
      <c r="BK126" s="34">
        <f>IF(AND(BK$5&gt;$E126,BK$5&lt;=$F126),IF(BK$5=$E126+1,$C126,""),"")</f>
        <v/>
      </c>
      <c r="BL126" s="34">
        <f>IF(AND(BL$5&gt;$E126,BL$5&lt;=$F126),IF(BL$5=$E126+1,$C126,""),"")</f>
        <v/>
      </c>
      <c r="BM126" s="34">
        <f>IF(AND(BM$5&gt;$E126,BM$5&lt;=$F126),IF(BM$5=$E126+1,$C126,""),"")</f>
        <v/>
      </c>
      <c r="BN126" s="34">
        <f>IF(AND(BN$5&gt;$E126,BN$5&lt;=$F126),IF(BN$5=$E126+1,$C126,""),"")</f>
        <v/>
      </c>
      <c r="BO126" s="34">
        <f>IF(AND(BO$5&gt;$E126,BO$5&lt;=$F126),IF(BO$5=$E126+1,$C126,""),"")</f>
        <v/>
      </c>
      <c r="BP126" s="34">
        <f>IF(AND(BP$5&gt;$E126,BP$5&lt;=$F126),IF(BP$5=$E126+1,$C126,""),"")</f>
        <v/>
      </c>
      <c r="BQ126" s="34">
        <f>IF(AND(BQ$5&gt;$E126,BQ$5&lt;=$F126),IF(BQ$5=$E126+1,$C126,""),"")</f>
        <v/>
      </c>
      <c r="BR126" s="34">
        <f>IF(AND(BR$5&gt;$E126,BR$5&lt;=$F126),IF(BR$5=$E126+1,$C126,""),"")</f>
        <v/>
      </c>
      <c r="BS126" s="34">
        <f>IF(AND(BS$5&gt;$E126,BS$5&lt;=$F126),IF(BS$5=$E126+1,$C126,""),"")</f>
        <v/>
      </c>
      <c r="BT126" s="34">
        <f>IF(AND(BT$5&gt;$E126,BT$5&lt;=$F126),IF(BT$5=$E126+1,$C126,""),"")</f>
        <v/>
      </c>
      <c r="BU126" s="34">
        <f>IF(AND(BU$5&gt;$E126,BU$5&lt;=$F126),IF(BU$5=$E126+1,$C126,""),"")</f>
        <v/>
      </c>
      <c r="BV126" s="34">
        <f>IF(AND(BV$5&gt;$E126,BV$5&lt;=$F126),IF(BV$5=$E126+1,$C126,""),"")</f>
        <v/>
      </c>
      <c r="BW126" s="34">
        <f>IF(AND(BW$5&gt;$E126,BW$5&lt;=$F126),IF(BW$5=$E126+1,$C126,""),"")</f>
        <v/>
      </c>
      <c r="BX126" s="34">
        <f>IF(AND(BX$5&gt;$E126,BX$5&lt;=$F126),IF(BX$5=$E126+1,$C126,""),"")</f>
        <v/>
      </c>
      <c r="BY126" s="34">
        <f>IF(AND(BY$5&gt;$E126,BY$5&lt;=$F126),IF(BY$5=$E126+1,$C126,""),"")</f>
        <v/>
      </c>
      <c r="BZ126" s="34">
        <f>IF(AND(BZ$5&gt;$E126,BZ$5&lt;=$F126),IF(BZ$5=$E126+1,$C126,""),"")</f>
        <v/>
      </c>
      <c r="CA126" s="34">
        <f>IF(AND(CA$5&gt;$E126,CA$5&lt;=$F126),IF(CA$5=$E126+1,$C126,""),"")</f>
        <v/>
      </c>
      <c r="CB126" s="34">
        <f>IF(AND(CB$5&gt;$E126,CB$5&lt;=$F126),IF(CB$5=$E126+1,$C126,""),"")</f>
        <v/>
      </c>
      <c r="CC126" s="34">
        <f>IF(AND(CC$5&gt;$E126,CC$5&lt;=$F126),IF(CC$5=$E126+1,$C126,""),"")</f>
        <v/>
      </c>
      <c r="CD126" s="34">
        <f>IF(AND(CD$5&gt;$E126,CD$5&lt;=$F126),IF(CD$5=$E126+1,$C126,""),"")</f>
        <v/>
      </c>
      <c r="CE126" s="34">
        <f>IF(AND(CE$5&gt;$E126,CE$5&lt;=$F126),IF(CE$5=$E126+1,$C126,""),"")</f>
        <v/>
      </c>
      <c r="CF126" s="34">
        <f>IF(AND(CF$5&gt;$E126,CF$5&lt;=$F126),IF(CF$5=$E126+1,$C126,""),"")</f>
        <v/>
      </c>
      <c r="CG126" s="34">
        <f>IF(AND(CG$5&gt;$E126,CG$5&lt;=$F126),IF(CG$5=$E126+1,$C126,""),"")</f>
        <v/>
      </c>
      <c r="CH126" s="34">
        <f>IF(AND(CH$5&gt;$E126,CH$5&lt;=$F126),IF(CH$5=$E126+1,$C126,""),"")</f>
        <v/>
      </c>
      <c r="CI126" s="34">
        <f>IF(AND(CI$5&gt;$E126,CI$5&lt;=$F126),IF(CI$5=$E126+1,$C126,""),"")</f>
        <v/>
      </c>
      <c r="CJ126" s="34">
        <f>IF(AND(CJ$5&gt;$E126,CJ$5&lt;=$F126),IF(CJ$5=$E126+1,$C126,""),"")</f>
        <v/>
      </c>
      <c r="CK126" s="34">
        <f>IF(AND(CK$5&gt;$E126,CK$5&lt;=$F126),IF(CK$5=$E126+1,$C126,""),"")</f>
        <v/>
      </c>
      <c r="CL126" s="34">
        <f>IF(AND(CL$5&gt;$E126,CL$5&lt;=$F126),IF(CL$5=$E126+1,$C126,""),"")</f>
        <v/>
      </c>
      <c r="CM126" s="34">
        <f>IF(AND(CM$5&gt;$E126,CM$5&lt;=$F126),IF(CM$5=$E126+1,$C126,""),"")</f>
        <v/>
      </c>
      <c r="CN126" s="34">
        <f>IF(AND(CN$5&gt;$E126,CN$5&lt;=$F126),IF(CN$5=$E126+1,$C126,""),"")</f>
        <v/>
      </c>
      <c r="CO126" s="34">
        <f>IF(AND(CO$5&gt;$E126,CO$5&lt;=$F126),IF(CO$5=$E126+1,$C126,""),"")</f>
        <v/>
      </c>
      <c r="CP126" s="34">
        <f>IF(AND(CP$5&gt;$E126,CP$5&lt;=$F126),IF(CP$5=$E126+1,$C126,""),"")</f>
        <v/>
      </c>
      <c r="CQ126" s="34">
        <f>IF(AND(CQ$5&gt;$E126,CQ$5&lt;=$F126),IF(CQ$5=$E126+1,$C126,""),"")</f>
        <v/>
      </c>
      <c r="CR126" s="34">
        <f>IF(AND(CR$5&gt;$E126,CR$5&lt;=$F126),IF(CR$5=$E126+1,$C126,""),"")</f>
        <v/>
      </c>
      <c r="CS126" s="34">
        <f>IF(AND(CS$5&gt;$E126,CS$5&lt;=$F126),IF(CS$5=$E126+1,$C126,""),"")</f>
        <v/>
      </c>
      <c r="CT126" s="34">
        <f>IF(AND(CT$5&gt;$E126,CT$5&lt;=$F126),IF(CT$5=$E126+1,$C126,""),"")</f>
        <v/>
      </c>
      <c r="CU126" s="34">
        <f>IF(AND(CU$5&gt;$E126,CU$5&lt;=$F126),IF(CU$5=$E126+1,$C126,""),"")</f>
        <v/>
      </c>
      <c r="CV126" s="34">
        <f>IF(AND(CV$5&gt;$E126,CV$5&lt;=$F126),IF(CV$5=$E126+1,$C126,""),"")</f>
        <v/>
      </c>
      <c r="CW126" s="34">
        <f>IF(AND(CW$5&gt;$E126,CW$5&lt;=$F126),IF(CW$5=$E126+1,$C126,""),"")</f>
        <v/>
      </c>
      <c r="CX126" s="34">
        <f>IF(AND(CX$5&gt;$E126,CX$5&lt;=$F126),IF(CX$5=$E126+1,$C126,""),"")</f>
        <v/>
      </c>
      <c r="CY126" s="34">
        <f>IF(AND(CY$5&gt;$E126,CY$5&lt;=$F126),IF(CY$5=$E126+1,$C126,""),"")</f>
        <v/>
      </c>
      <c r="CZ126" s="34">
        <f>IF(AND(CZ$5&gt;$E126,CZ$5&lt;=$F126),IF(CZ$5=$E126+1,$C126,""),"")</f>
        <v/>
      </c>
      <c r="DA126" s="34">
        <f>IF(AND(DA$5&gt;$E126,DA$5&lt;=$F126),IF(DA$5=$E126+1,$C126,""),"")</f>
        <v/>
      </c>
      <c r="DB126" s="34">
        <f>IF(AND(DB$5&gt;$E126,DB$5&lt;=$F126),IF(DB$5=$E126+1,$C126,""),"")</f>
        <v/>
      </c>
      <c r="DC126" s="34">
        <f>IF(AND(DC$5&gt;$E126,DC$5&lt;=$F126),IF(DC$5=$E126+1,$C126,""),"")</f>
        <v/>
      </c>
      <c r="DD126" s="34">
        <f>IF(AND(DD$5&gt;$E126,DD$5&lt;=$F126),IF(DD$5=$E126+1,$C126,""),"")</f>
        <v/>
      </c>
      <c r="DE126" s="34">
        <f>IF(AND(DE$5&gt;$E126,DE$5&lt;=$F126),IF(DE$5=$E126+1,$C126,""),"")</f>
        <v/>
      </c>
      <c r="DF126" s="34">
        <f>IF(AND(DF$5&gt;$E126,DF$5&lt;=$F126),IF(DF$5=$E126+1,$C126,""),"")</f>
        <v/>
      </c>
      <c r="DG126" s="34">
        <f>IF(AND(DG$5&gt;$E126,DG$5&lt;=$F126),IF(DG$5=$E126+1,$C126,""),"")</f>
        <v/>
      </c>
      <c r="DH126" s="34">
        <f>IF(AND(DH$5&gt;$E126,DH$5&lt;=$F126),IF(DH$5=$E126+1,$C126,""),"")</f>
        <v/>
      </c>
      <c r="DI126" s="34">
        <f>IF(AND(DI$5&gt;$E126,DI$5&lt;=$F126),IF(DI$5=$E126+1,$C126,""),"")</f>
        <v/>
      </c>
      <c r="DJ126" s="34">
        <f>IF(AND(DJ$5&gt;$E126,DJ$5&lt;=$F126),IF(DJ$5=$E126+1,$C126,""),"")</f>
        <v/>
      </c>
      <c r="DK126" s="34">
        <f>IF(AND(DK$5&gt;$E126,DK$5&lt;=$F126),IF(DK$5=$E126+1,$C126,""),"")</f>
        <v/>
      </c>
      <c r="DL126" s="34">
        <f>IF(AND(DL$5&gt;$E126,DL$5&lt;=$F126),IF(DL$5=$E126+1,$C126,""),"")</f>
        <v/>
      </c>
      <c r="DM126" s="34">
        <f>IF(AND(DM$5&gt;$E126,DM$5&lt;=$F126),IF(DM$5=$E126+1,$C126,""),"")</f>
        <v/>
      </c>
      <c r="DN126" s="34">
        <f>IF(AND(DN$5&gt;$E126,DN$5&lt;=$F126),IF(DN$5=$E126+1,$C126,""),"")</f>
        <v/>
      </c>
      <c r="DO126" s="34">
        <f>IF(AND(DO$5&gt;$E126,DO$5&lt;=$F126),IF(DO$5=$E126+1,$C126,""),"")</f>
        <v/>
      </c>
      <c r="DP126" s="34">
        <f>IF(AND(DP$5&gt;$E126,DP$5&lt;=$F126),IF(DP$5=$E126+1,$C126,""),"")</f>
        <v/>
      </c>
      <c r="DQ126" s="34">
        <f>IF(AND(DQ$5&gt;$E126,DQ$5&lt;=$F126),IF(DQ$5=$E126+1,$C126,""),"")</f>
        <v/>
      </c>
      <c r="DR126" s="34">
        <f>IF(AND(DR$5&gt;$E126,DR$5&lt;=$F126),IF(DR$5=$E126+1,$C126,""),"")</f>
        <v/>
      </c>
      <c r="DS126" s="34">
        <f>IF(AND(DS$5&gt;$E126,DS$5&lt;=$F126),IF(DS$5=$E126+1,$C126,""),"")</f>
        <v/>
      </c>
      <c r="DT126" s="34">
        <f>IF(AND(DT$5&gt;$E126,DT$5&lt;=$F126),IF(DT$5=$E126+1,$C126,""),"")</f>
        <v/>
      </c>
      <c r="DU126" s="34">
        <f>IF(AND(DU$5&gt;$E126,DU$5&lt;=$F126),IF(DU$5=$E126+1,$C126,""),"")</f>
        <v/>
      </c>
      <c r="DV126" s="34">
        <f>IF(AND(DV$5&gt;$E126,DV$5&lt;=$F126),IF(DV$5=$E126+1,$C126,""),"")</f>
        <v/>
      </c>
      <c r="DW126" s="34">
        <f>IF(AND(DW$5&gt;$E126,DW$5&lt;=$F126),IF(DW$5=$E126+1,$C126,""),"")</f>
        <v/>
      </c>
      <c r="DX126" s="34">
        <f>IF(AND(DX$5&gt;$E126,DX$5&lt;=$F126),IF(DX$5=$E126+1,$C126,""),"")</f>
        <v/>
      </c>
      <c r="DY126" s="34">
        <f>IF(AND(DY$5&gt;$E126,DY$5&lt;=$F126),IF(DY$5=$E126+1,$C126,""),"")</f>
        <v/>
      </c>
      <c r="DZ126" s="34">
        <f>IF(AND(DZ$5&gt;$E126,DZ$5&lt;=$F126),IF(DZ$5=$E126+1,$C126,""),"")</f>
        <v/>
      </c>
      <c r="EA126" s="34">
        <f>IF(AND(EA$5&gt;$E126,EA$5&lt;=$F126),IF(EA$5=$E126+1,$C126,""),"")</f>
        <v/>
      </c>
      <c r="EB126" s="34">
        <f>IF(AND(EB$5&gt;$E126,EB$5&lt;=$F126),IF(EB$5=$E126+1,$C126,""),"")</f>
        <v/>
      </c>
      <c r="EC126" s="34">
        <f>IF(AND(EC$5&gt;$E126,EC$5&lt;=$F126),IF(EC$5=$E126+1,$C126,""),"")</f>
        <v/>
      </c>
      <c r="ED126" s="34">
        <f>IF(AND(ED$5&gt;$E126,ED$5&lt;=$F126),IF(ED$5=$E126+1,$C126,""),"")</f>
        <v/>
      </c>
      <c r="EE126" s="34">
        <f>IF(AND(EE$5&gt;$E126,EE$5&lt;=$F126),IF(EE$5=$E126+1,$C126,""),"")</f>
        <v/>
      </c>
      <c r="EF126" s="34">
        <f>IF(AND(EF$5&gt;$E126,EF$5&lt;=$F126),IF(EF$5=$E126+1,$C126,""),"")</f>
        <v/>
      </c>
      <c r="EG126" s="34">
        <f>IF(AND(EG$5&gt;$E126,EG$5&lt;=$F126),IF(EG$5=$E126+1,$C126,""),"")</f>
        <v/>
      </c>
    </row>
    <row r="127">
      <c r="A127" s="32">
        <f>Plan!A117</f>
        <v/>
      </c>
      <c r="B127" s="33">
        <f>Plan!C117</f>
        <v/>
      </c>
      <c r="C127" s="16">
        <f>Plan!D117</f>
        <v/>
      </c>
      <c r="D127" s="16">
        <f>Plan!I117</f>
        <v/>
      </c>
      <c r="E127" s="16">
        <f>Plan!K117</f>
        <v/>
      </c>
      <c r="F127" s="16">
        <f>Plan!L117</f>
        <v/>
      </c>
      <c r="G127" s="16">
        <f>Plan!O117</f>
        <v/>
      </c>
      <c r="H127" s="34">
        <f>IF(AND(H$5&gt;$E127,H$5&lt;=$F127),IF(H$5=$E127+1,$C127,""),"")</f>
        <v/>
      </c>
      <c r="I127" s="34">
        <f>IF(AND(I$5&gt;$E127,I$5&lt;=$F127),IF(I$5=$E127+1,$C127,""),"")</f>
        <v/>
      </c>
      <c r="J127" s="34">
        <f>IF(AND(J$5&gt;$E127,J$5&lt;=$F127),IF(J$5=$E127+1,$C127,""),"")</f>
        <v/>
      </c>
      <c r="K127" s="34">
        <f>IF(AND(K$5&gt;$E127,K$5&lt;=$F127),IF(K$5=$E127+1,$C127,""),"")</f>
        <v/>
      </c>
      <c r="L127" s="34">
        <f>IF(AND(L$5&gt;$E127,L$5&lt;=$F127),IF(L$5=$E127+1,$C127,""),"")</f>
        <v/>
      </c>
      <c r="M127" s="34">
        <f>IF(AND(M$5&gt;$E127,M$5&lt;=$F127),IF(M$5=$E127+1,$C127,""),"")</f>
        <v/>
      </c>
      <c r="N127" s="34">
        <f>IF(AND(N$5&gt;$E127,N$5&lt;=$F127),IF(N$5=$E127+1,$C127,""),"")</f>
        <v/>
      </c>
      <c r="O127" s="34">
        <f>IF(AND(O$5&gt;$E127,O$5&lt;=$F127),IF(O$5=$E127+1,$C127,""),"")</f>
        <v/>
      </c>
      <c r="P127" s="34">
        <f>IF(AND(P$5&gt;$E127,P$5&lt;=$F127),IF(P$5=$E127+1,$C127,""),"")</f>
        <v/>
      </c>
      <c r="Q127" s="34">
        <f>IF(AND(Q$5&gt;$E127,Q$5&lt;=$F127),IF(Q$5=$E127+1,$C127,""),"")</f>
        <v/>
      </c>
      <c r="R127" s="34">
        <f>IF(AND(R$5&gt;$E127,R$5&lt;=$F127),IF(R$5=$E127+1,$C127,""),"")</f>
        <v/>
      </c>
      <c r="S127" s="34">
        <f>IF(AND(S$5&gt;$E127,S$5&lt;=$F127),IF(S$5=$E127+1,$C127,""),"")</f>
        <v/>
      </c>
      <c r="T127" s="34">
        <f>IF(AND(T$5&gt;$E127,T$5&lt;=$F127),IF(T$5=$E127+1,$C127,""),"")</f>
        <v/>
      </c>
      <c r="U127" s="34">
        <f>IF(AND(U$5&gt;$E127,U$5&lt;=$F127),IF(U$5=$E127+1,$C127,""),"")</f>
        <v/>
      </c>
      <c r="V127" s="34">
        <f>IF(AND(V$5&gt;$E127,V$5&lt;=$F127),IF(V$5=$E127+1,$C127,""),"")</f>
        <v/>
      </c>
      <c r="W127" s="34">
        <f>IF(AND(W$5&gt;$E127,W$5&lt;=$F127),IF(W$5=$E127+1,$C127,""),"")</f>
        <v/>
      </c>
      <c r="X127" s="34">
        <f>IF(AND(X$5&gt;$E127,X$5&lt;=$F127),IF(X$5=$E127+1,$C127,""),"")</f>
        <v/>
      </c>
      <c r="Y127" s="34">
        <f>IF(AND(Y$5&gt;$E127,Y$5&lt;=$F127),IF(Y$5=$E127+1,$C127,""),"")</f>
        <v/>
      </c>
      <c r="Z127" s="34">
        <f>IF(AND(Z$5&gt;$E127,Z$5&lt;=$F127),IF(Z$5=$E127+1,$C127,""),"")</f>
        <v/>
      </c>
      <c r="AA127" s="34">
        <f>IF(AND(AA$5&gt;$E127,AA$5&lt;=$F127),IF(AA$5=$E127+1,$C127,""),"")</f>
        <v/>
      </c>
      <c r="AB127" s="34">
        <f>IF(AND(AB$5&gt;$E127,AB$5&lt;=$F127),IF(AB$5=$E127+1,$C127,""),"")</f>
        <v/>
      </c>
      <c r="AC127" s="34">
        <f>IF(AND(AC$5&gt;$E127,AC$5&lt;=$F127),IF(AC$5=$E127+1,$C127,""),"")</f>
        <v/>
      </c>
      <c r="AD127" s="34">
        <f>IF(AND(AD$5&gt;$E127,AD$5&lt;=$F127),IF(AD$5=$E127+1,$C127,""),"")</f>
        <v/>
      </c>
      <c r="AE127" s="34">
        <f>IF(AND(AE$5&gt;$E127,AE$5&lt;=$F127),IF(AE$5=$E127+1,$C127,""),"")</f>
        <v/>
      </c>
      <c r="AF127" s="34">
        <f>IF(AND(AF$5&gt;$E127,AF$5&lt;=$F127),IF(AF$5=$E127+1,$C127,""),"")</f>
        <v/>
      </c>
      <c r="AG127" s="34">
        <f>IF(AND(AG$5&gt;$E127,AG$5&lt;=$F127),IF(AG$5=$E127+1,$C127,""),"")</f>
        <v/>
      </c>
      <c r="AH127" s="34">
        <f>IF(AND(AH$5&gt;$E127,AH$5&lt;=$F127),IF(AH$5=$E127+1,$C127,""),"")</f>
        <v/>
      </c>
      <c r="AI127" s="34">
        <f>IF(AND(AI$5&gt;$E127,AI$5&lt;=$F127),IF(AI$5=$E127+1,$C127,""),"")</f>
        <v/>
      </c>
      <c r="AJ127" s="34">
        <f>IF(AND(AJ$5&gt;$E127,AJ$5&lt;=$F127),IF(AJ$5=$E127+1,$C127,""),"")</f>
        <v/>
      </c>
      <c r="AK127" s="34">
        <f>IF(AND(AK$5&gt;$E127,AK$5&lt;=$F127),IF(AK$5=$E127+1,$C127,""),"")</f>
        <v/>
      </c>
      <c r="AL127" s="34">
        <f>IF(AND(AL$5&gt;$E127,AL$5&lt;=$F127),IF(AL$5=$E127+1,$C127,""),"")</f>
        <v/>
      </c>
      <c r="AM127" s="34">
        <f>IF(AND(AM$5&gt;$E127,AM$5&lt;=$F127),IF(AM$5=$E127+1,$C127,""),"")</f>
        <v/>
      </c>
      <c r="AN127" s="34">
        <f>IF(AND(AN$5&gt;$E127,AN$5&lt;=$F127),IF(AN$5=$E127+1,$C127,""),"")</f>
        <v/>
      </c>
      <c r="AO127" s="34">
        <f>IF(AND(AO$5&gt;$E127,AO$5&lt;=$F127),IF(AO$5=$E127+1,$C127,""),"")</f>
        <v/>
      </c>
      <c r="AP127" s="34">
        <f>IF(AND(AP$5&gt;$E127,AP$5&lt;=$F127),IF(AP$5=$E127+1,$C127,""),"")</f>
        <v/>
      </c>
      <c r="AQ127" s="34">
        <f>IF(AND(AQ$5&gt;$E127,AQ$5&lt;=$F127),IF(AQ$5=$E127+1,$C127,""),"")</f>
        <v/>
      </c>
      <c r="AR127" s="34">
        <f>IF(AND(AR$5&gt;$E127,AR$5&lt;=$F127),IF(AR$5=$E127+1,$C127,""),"")</f>
        <v/>
      </c>
      <c r="AS127" s="34">
        <f>IF(AND(AS$5&gt;$E127,AS$5&lt;=$F127),IF(AS$5=$E127+1,$C127,""),"")</f>
        <v/>
      </c>
      <c r="AT127" s="34">
        <f>IF(AND(AT$5&gt;$E127,AT$5&lt;=$F127),IF(AT$5=$E127+1,$C127,""),"")</f>
        <v/>
      </c>
      <c r="AU127" s="34">
        <f>IF(AND(AU$5&gt;$E127,AU$5&lt;=$F127),IF(AU$5=$E127+1,$C127,""),"")</f>
        <v/>
      </c>
      <c r="AV127" s="34">
        <f>IF(AND(AV$5&gt;$E127,AV$5&lt;=$F127),IF(AV$5=$E127+1,$C127,""),"")</f>
        <v/>
      </c>
      <c r="AW127" s="34">
        <f>IF(AND(AW$5&gt;$E127,AW$5&lt;=$F127),IF(AW$5=$E127+1,$C127,""),"")</f>
        <v/>
      </c>
      <c r="AX127" s="34">
        <f>IF(AND(AX$5&gt;$E127,AX$5&lt;=$F127),IF(AX$5=$E127+1,$C127,""),"")</f>
        <v/>
      </c>
      <c r="AY127" s="34">
        <f>IF(AND(AY$5&gt;$E127,AY$5&lt;=$F127),IF(AY$5=$E127+1,$C127,""),"")</f>
        <v/>
      </c>
      <c r="AZ127" s="34">
        <f>IF(AND(AZ$5&gt;$E127,AZ$5&lt;=$F127),IF(AZ$5=$E127+1,$C127,""),"")</f>
        <v/>
      </c>
      <c r="BA127" s="34">
        <f>IF(AND(BA$5&gt;$E127,BA$5&lt;=$F127),IF(BA$5=$E127+1,$C127,""),"")</f>
        <v/>
      </c>
      <c r="BB127" s="34">
        <f>IF(AND(BB$5&gt;$E127,BB$5&lt;=$F127),IF(BB$5=$E127+1,$C127,""),"")</f>
        <v/>
      </c>
      <c r="BC127" s="34">
        <f>IF(AND(BC$5&gt;$E127,BC$5&lt;=$F127),IF(BC$5=$E127+1,$C127,""),"")</f>
        <v/>
      </c>
      <c r="BD127" s="34">
        <f>IF(AND(BD$5&gt;$E127,BD$5&lt;=$F127),IF(BD$5=$E127+1,$C127,""),"")</f>
        <v/>
      </c>
      <c r="BE127" s="34">
        <f>IF(AND(BE$5&gt;$E127,BE$5&lt;=$F127),IF(BE$5=$E127+1,$C127,""),"")</f>
        <v/>
      </c>
      <c r="BF127" s="34">
        <f>IF(AND(BF$5&gt;$E127,BF$5&lt;=$F127),IF(BF$5=$E127+1,$C127,""),"")</f>
        <v/>
      </c>
      <c r="BG127" s="34">
        <f>IF(AND(BG$5&gt;$E127,BG$5&lt;=$F127),IF(BG$5=$E127+1,$C127,""),"")</f>
        <v/>
      </c>
      <c r="BH127" s="34">
        <f>IF(AND(BH$5&gt;$E127,BH$5&lt;=$F127),IF(BH$5=$E127+1,$C127,""),"")</f>
        <v/>
      </c>
      <c r="BI127" s="34">
        <f>IF(AND(BI$5&gt;$E127,BI$5&lt;=$F127),IF(BI$5=$E127+1,$C127,""),"")</f>
        <v/>
      </c>
      <c r="BJ127" s="34">
        <f>IF(AND(BJ$5&gt;$E127,BJ$5&lt;=$F127),IF(BJ$5=$E127+1,$C127,""),"")</f>
        <v/>
      </c>
      <c r="BK127" s="34">
        <f>IF(AND(BK$5&gt;$E127,BK$5&lt;=$F127),IF(BK$5=$E127+1,$C127,""),"")</f>
        <v/>
      </c>
      <c r="BL127" s="34">
        <f>IF(AND(BL$5&gt;$E127,BL$5&lt;=$F127),IF(BL$5=$E127+1,$C127,""),"")</f>
        <v/>
      </c>
      <c r="BM127" s="34">
        <f>IF(AND(BM$5&gt;$E127,BM$5&lt;=$F127),IF(BM$5=$E127+1,$C127,""),"")</f>
        <v/>
      </c>
      <c r="BN127" s="34">
        <f>IF(AND(BN$5&gt;$E127,BN$5&lt;=$F127),IF(BN$5=$E127+1,$C127,""),"")</f>
        <v/>
      </c>
      <c r="BO127" s="34">
        <f>IF(AND(BO$5&gt;$E127,BO$5&lt;=$F127),IF(BO$5=$E127+1,$C127,""),"")</f>
        <v/>
      </c>
      <c r="BP127" s="34">
        <f>IF(AND(BP$5&gt;$E127,BP$5&lt;=$F127),IF(BP$5=$E127+1,$C127,""),"")</f>
        <v/>
      </c>
      <c r="BQ127" s="34">
        <f>IF(AND(BQ$5&gt;$E127,BQ$5&lt;=$F127),IF(BQ$5=$E127+1,$C127,""),"")</f>
        <v/>
      </c>
      <c r="BR127" s="34">
        <f>IF(AND(BR$5&gt;$E127,BR$5&lt;=$F127),IF(BR$5=$E127+1,$C127,""),"")</f>
        <v/>
      </c>
      <c r="BS127" s="34">
        <f>IF(AND(BS$5&gt;$E127,BS$5&lt;=$F127),IF(BS$5=$E127+1,$C127,""),"")</f>
        <v/>
      </c>
      <c r="BT127" s="34">
        <f>IF(AND(BT$5&gt;$E127,BT$5&lt;=$F127),IF(BT$5=$E127+1,$C127,""),"")</f>
        <v/>
      </c>
      <c r="BU127" s="34">
        <f>IF(AND(BU$5&gt;$E127,BU$5&lt;=$F127),IF(BU$5=$E127+1,$C127,""),"")</f>
        <v/>
      </c>
      <c r="BV127" s="34">
        <f>IF(AND(BV$5&gt;$E127,BV$5&lt;=$F127),IF(BV$5=$E127+1,$C127,""),"")</f>
        <v/>
      </c>
      <c r="BW127" s="34">
        <f>IF(AND(BW$5&gt;$E127,BW$5&lt;=$F127),IF(BW$5=$E127+1,$C127,""),"")</f>
        <v/>
      </c>
      <c r="BX127" s="34">
        <f>IF(AND(BX$5&gt;$E127,BX$5&lt;=$F127),IF(BX$5=$E127+1,$C127,""),"")</f>
        <v/>
      </c>
      <c r="BY127" s="34">
        <f>IF(AND(BY$5&gt;$E127,BY$5&lt;=$F127),IF(BY$5=$E127+1,$C127,""),"")</f>
        <v/>
      </c>
      <c r="BZ127" s="34">
        <f>IF(AND(BZ$5&gt;$E127,BZ$5&lt;=$F127),IF(BZ$5=$E127+1,$C127,""),"")</f>
        <v/>
      </c>
      <c r="CA127" s="34">
        <f>IF(AND(CA$5&gt;$E127,CA$5&lt;=$F127),IF(CA$5=$E127+1,$C127,""),"")</f>
        <v/>
      </c>
      <c r="CB127" s="34">
        <f>IF(AND(CB$5&gt;$E127,CB$5&lt;=$F127),IF(CB$5=$E127+1,$C127,""),"")</f>
        <v/>
      </c>
      <c r="CC127" s="34">
        <f>IF(AND(CC$5&gt;$E127,CC$5&lt;=$F127),IF(CC$5=$E127+1,$C127,""),"")</f>
        <v/>
      </c>
      <c r="CD127" s="34">
        <f>IF(AND(CD$5&gt;$E127,CD$5&lt;=$F127),IF(CD$5=$E127+1,$C127,""),"")</f>
        <v/>
      </c>
      <c r="CE127" s="34">
        <f>IF(AND(CE$5&gt;$E127,CE$5&lt;=$F127),IF(CE$5=$E127+1,$C127,""),"")</f>
        <v/>
      </c>
      <c r="CF127" s="34">
        <f>IF(AND(CF$5&gt;$E127,CF$5&lt;=$F127),IF(CF$5=$E127+1,$C127,""),"")</f>
        <v/>
      </c>
      <c r="CG127" s="34">
        <f>IF(AND(CG$5&gt;$E127,CG$5&lt;=$F127),IF(CG$5=$E127+1,$C127,""),"")</f>
        <v/>
      </c>
      <c r="CH127" s="34">
        <f>IF(AND(CH$5&gt;$E127,CH$5&lt;=$F127),IF(CH$5=$E127+1,$C127,""),"")</f>
        <v/>
      </c>
      <c r="CI127" s="34">
        <f>IF(AND(CI$5&gt;$E127,CI$5&lt;=$F127),IF(CI$5=$E127+1,$C127,""),"")</f>
        <v/>
      </c>
      <c r="CJ127" s="34">
        <f>IF(AND(CJ$5&gt;$E127,CJ$5&lt;=$F127),IF(CJ$5=$E127+1,$C127,""),"")</f>
        <v/>
      </c>
      <c r="CK127" s="34">
        <f>IF(AND(CK$5&gt;$E127,CK$5&lt;=$F127),IF(CK$5=$E127+1,$C127,""),"")</f>
        <v/>
      </c>
      <c r="CL127" s="34">
        <f>IF(AND(CL$5&gt;$E127,CL$5&lt;=$F127),IF(CL$5=$E127+1,$C127,""),"")</f>
        <v/>
      </c>
      <c r="CM127" s="34">
        <f>IF(AND(CM$5&gt;$E127,CM$5&lt;=$F127),IF(CM$5=$E127+1,$C127,""),"")</f>
        <v/>
      </c>
      <c r="CN127" s="34">
        <f>IF(AND(CN$5&gt;$E127,CN$5&lt;=$F127),IF(CN$5=$E127+1,$C127,""),"")</f>
        <v/>
      </c>
      <c r="CO127" s="34">
        <f>IF(AND(CO$5&gt;$E127,CO$5&lt;=$F127),IF(CO$5=$E127+1,$C127,""),"")</f>
        <v/>
      </c>
      <c r="CP127" s="34">
        <f>IF(AND(CP$5&gt;$E127,CP$5&lt;=$F127),IF(CP$5=$E127+1,$C127,""),"")</f>
        <v/>
      </c>
      <c r="CQ127" s="34">
        <f>IF(AND(CQ$5&gt;$E127,CQ$5&lt;=$F127),IF(CQ$5=$E127+1,$C127,""),"")</f>
        <v/>
      </c>
      <c r="CR127" s="34">
        <f>IF(AND(CR$5&gt;$E127,CR$5&lt;=$F127),IF(CR$5=$E127+1,$C127,""),"")</f>
        <v/>
      </c>
      <c r="CS127" s="34">
        <f>IF(AND(CS$5&gt;$E127,CS$5&lt;=$F127),IF(CS$5=$E127+1,$C127,""),"")</f>
        <v/>
      </c>
      <c r="CT127" s="34">
        <f>IF(AND(CT$5&gt;$E127,CT$5&lt;=$F127),IF(CT$5=$E127+1,$C127,""),"")</f>
        <v/>
      </c>
      <c r="CU127" s="34">
        <f>IF(AND(CU$5&gt;$E127,CU$5&lt;=$F127),IF(CU$5=$E127+1,$C127,""),"")</f>
        <v/>
      </c>
      <c r="CV127" s="34">
        <f>IF(AND(CV$5&gt;$E127,CV$5&lt;=$F127),IF(CV$5=$E127+1,$C127,""),"")</f>
        <v/>
      </c>
      <c r="CW127" s="34">
        <f>IF(AND(CW$5&gt;$E127,CW$5&lt;=$F127),IF(CW$5=$E127+1,$C127,""),"")</f>
        <v/>
      </c>
      <c r="CX127" s="34">
        <f>IF(AND(CX$5&gt;$E127,CX$5&lt;=$F127),IF(CX$5=$E127+1,$C127,""),"")</f>
        <v/>
      </c>
      <c r="CY127" s="34">
        <f>IF(AND(CY$5&gt;$E127,CY$5&lt;=$F127),IF(CY$5=$E127+1,$C127,""),"")</f>
        <v/>
      </c>
      <c r="CZ127" s="34">
        <f>IF(AND(CZ$5&gt;$E127,CZ$5&lt;=$F127),IF(CZ$5=$E127+1,$C127,""),"")</f>
        <v/>
      </c>
      <c r="DA127" s="34">
        <f>IF(AND(DA$5&gt;$E127,DA$5&lt;=$F127),IF(DA$5=$E127+1,$C127,""),"")</f>
        <v/>
      </c>
      <c r="DB127" s="34">
        <f>IF(AND(DB$5&gt;$E127,DB$5&lt;=$F127),IF(DB$5=$E127+1,$C127,""),"")</f>
        <v/>
      </c>
      <c r="DC127" s="34">
        <f>IF(AND(DC$5&gt;$E127,DC$5&lt;=$F127),IF(DC$5=$E127+1,$C127,""),"")</f>
        <v/>
      </c>
      <c r="DD127" s="34">
        <f>IF(AND(DD$5&gt;$E127,DD$5&lt;=$F127),IF(DD$5=$E127+1,$C127,""),"")</f>
        <v/>
      </c>
      <c r="DE127" s="34">
        <f>IF(AND(DE$5&gt;$E127,DE$5&lt;=$F127),IF(DE$5=$E127+1,$C127,""),"")</f>
        <v/>
      </c>
      <c r="DF127" s="34">
        <f>IF(AND(DF$5&gt;$E127,DF$5&lt;=$F127),IF(DF$5=$E127+1,$C127,""),"")</f>
        <v/>
      </c>
      <c r="DG127" s="34">
        <f>IF(AND(DG$5&gt;$E127,DG$5&lt;=$F127),IF(DG$5=$E127+1,$C127,""),"")</f>
        <v/>
      </c>
      <c r="DH127" s="34">
        <f>IF(AND(DH$5&gt;$E127,DH$5&lt;=$F127),IF(DH$5=$E127+1,$C127,""),"")</f>
        <v/>
      </c>
      <c r="DI127" s="34">
        <f>IF(AND(DI$5&gt;$E127,DI$5&lt;=$F127),IF(DI$5=$E127+1,$C127,""),"")</f>
        <v/>
      </c>
      <c r="DJ127" s="34">
        <f>IF(AND(DJ$5&gt;$E127,DJ$5&lt;=$F127),IF(DJ$5=$E127+1,$C127,""),"")</f>
        <v/>
      </c>
      <c r="DK127" s="34">
        <f>IF(AND(DK$5&gt;$E127,DK$5&lt;=$F127),IF(DK$5=$E127+1,$C127,""),"")</f>
        <v/>
      </c>
      <c r="DL127" s="34">
        <f>IF(AND(DL$5&gt;$E127,DL$5&lt;=$F127),IF(DL$5=$E127+1,$C127,""),"")</f>
        <v/>
      </c>
      <c r="DM127" s="34">
        <f>IF(AND(DM$5&gt;$E127,DM$5&lt;=$F127),IF(DM$5=$E127+1,$C127,""),"")</f>
        <v/>
      </c>
      <c r="DN127" s="34">
        <f>IF(AND(DN$5&gt;$E127,DN$5&lt;=$F127),IF(DN$5=$E127+1,$C127,""),"")</f>
        <v/>
      </c>
      <c r="DO127" s="34">
        <f>IF(AND(DO$5&gt;$E127,DO$5&lt;=$F127),IF(DO$5=$E127+1,$C127,""),"")</f>
        <v/>
      </c>
      <c r="DP127" s="34">
        <f>IF(AND(DP$5&gt;$E127,DP$5&lt;=$F127),IF(DP$5=$E127+1,$C127,""),"")</f>
        <v/>
      </c>
      <c r="DQ127" s="34">
        <f>IF(AND(DQ$5&gt;$E127,DQ$5&lt;=$F127),IF(DQ$5=$E127+1,$C127,""),"")</f>
        <v/>
      </c>
      <c r="DR127" s="34">
        <f>IF(AND(DR$5&gt;$E127,DR$5&lt;=$F127),IF(DR$5=$E127+1,$C127,""),"")</f>
        <v/>
      </c>
      <c r="DS127" s="34">
        <f>IF(AND(DS$5&gt;$E127,DS$5&lt;=$F127),IF(DS$5=$E127+1,$C127,""),"")</f>
        <v/>
      </c>
      <c r="DT127" s="34">
        <f>IF(AND(DT$5&gt;$E127,DT$5&lt;=$F127),IF(DT$5=$E127+1,$C127,""),"")</f>
        <v/>
      </c>
      <c r="DU127" s="34">
        <f>IF(AND(DU$5&gt;$E127,DU$5&lt;=$F127),IF(DU$5=$E127+1,$C127,""),"")</f>
        <v/>
      </c>
      <c r="DV127" s="34">
        <f>IF(AND(DV$5&gt;$E127,DV$5&lt;=$F127),IF(DV$5=$E127+1,$C127,""),"")</f>
        <v/>
      </c>
      <c r="DW127" s="34">
        <f>IF(AND(DW$5&gt;$E127,DW$5&lt;=$F127),IF(DW$5=$E127+1,$C127,""),"")</f>
        <v/>
      </c>
      <c r="DX127" s="34">
        <f>IF(AND(DX$5&gt;$E127,DX$5&lt;=$F127),IF(DX$5=$E127+1,$C127,""),"")</f>
        <v/>
      </c>
      <c r="DY127" s="34">
        <f>IF(AND(DY$5&gt;$E127,DY$5&lt;=$F127),IF(DY$5=$E127+1,$C127,""),"")</f>
        <v/>
      </c>
      <c r="DZ127" s="34">
        <f>IF(AND(DZ$5&gt;$E127,DZ$5&lt;=$F127),IF(DZ$5=$E127+1,$C127,""),"")</f>
        <v/>
      </c>
      <c r="EA127" s="34">
        <f>IF(AND(EA$5&gt;$E127,EA$5&lt;=$F127),IF(EA$5=$E127+1,$C127,""),"")</f>
        <v/>
      </c>
      <c r="EB127" s="34">
        <f>IF(AND(EB$5&gt;$E127,EB$5&lt;=$F127),IF(EB$5=$E127+1,$C127,""),"")</f>
        <v/>
      </c>
      <c r="EC127" s="34">
        <f>IF(AND(EC$5&gt;$E127,EC$5&lt;=$F127),IF(EC$5=$E127+1,$C127,""),"")</f>
        <v/>
      </c>
      <c r="ED127" s="34">
        <f>IF(AND(ED$5&gt;$E127,ED$5&lt;=$F127),IF(ED$5=$E127+1,$C127,""),"")</f>
        <v/>
      </c>
      <c r="EE127" s="34">
        <f>IF(AND(EE$5&gt;$E127,EE$5&lt;=$F127),IF(EE$5=$E127+1,$C127,""),"")</f>
        <v/>
      </c>
      <c r="EF127" s="34">
        <f>IF(AND(EF$5&gt;$E127,EF$5&lt;=$F127),IF(EF$5=$E127+1,$C127,""),"")</f>
        <v/>
      </c>
      <c r="EG127" s="34">
        <f>IF(AND(EG$5&gt;$E127,EG$5&lt;=$F127),IF(EG$5=$E127+1,$C127,""),"")</f>
        <v/>
      </c>
    </row>
  </sheetData>
  <mergeCells count="21">
    <mergeCell ref="BZ4:CI4"/>
    <mergeCell ref="AL4:AU4"/>
    <mergeCell ref="A44:D44"/>
    <mergeCell ref="A9:D9"/>
    <mergeCell ref="A67:D67"/>
    <mergeCell ref="A34:D34"/>
    <mergeCell ref="AV4:BE4"/>
    <mergeCell ref="DD4:DM4"/>
    <mergeCell ref="DX4:EG4"/>
    <mergeCell ref="DN4:DW4"/>
    <mergeCell ref="R4:AA4"/>
    <mergeCell ref="H4:Q4"/>
    <mergeCell ref="A6:G6"/>
    <mergeCell ref="AB4:AK4"/>
    <mergeCell ref="A87:D87"/>
    <mergeCell ref="A7:G7"/>
    <mergeCell ref="BP4:BY4"/>
    <mergeCell ref="CJ4:CS4"/>
    <mergeCell ref="A18:D18"/>
    <mergeCell ref="CT4:DC4"/>
    <mergeCell ref="BF4:BO4"/>
  </mergeCells>
  <conditionalFormatting sqref="H6:EG6">
    <cfRule type="expression" priority="1" dxfId="9">
      <formula>H6&lt;&gt;""</formula>
    </cfRule>
  </conditionalFormatting>
  <conditionalFormatting sqref="H7:EG7">
    <cfRule type="expression" priority="2" dxfId="10">
      <formula>H7&lt;&gt;""</formula>
    </cfRule>
  </conditionalFormatting>
  <conditionalFormatting sqref="H9:EG9">
    <cfRule type="expression" priority="3" dxfId="11">
      <formula>AND(H$5&gt;$E9,H$5&lt;=$F9)</formula>
    </cfRule>
  </conditionalFormatting>
  <conditionalFormatting sqref="H18:EG18">
    <cfRule type="expression" priority="4" dxfId="11">
      <formula>AND(H$5&gt;$E18,H$5&lt;=$F18)</formula>
    </cfRule>
  </conditionalFormatting>
  <conditionalFormatting sqref="H34:EG34">
    <cfRule type="expression" priority="5" dxfId="11">
      <formula>AND(H$5&gt;$E34,H$5&lt;=$F34)</formula>
    </cfRule>
  </conditionalFormatting>
  <conditionalFormatting sqref="H44:EG44">
    <cfRule type="expression" priority="6" dxfId="11">
      <formula>AND(H$5&gt;$E44,H$5&lt;=$F44)</formula>
    </cfRule>
  </conditionalFormatting>
  <conditionalFormatting sqref="H67:EG67">
    <cfRule type="expression" priority="7" dxfId="11">
      <formula>AND(H$5&gt;$E67,H$5&lt;=$F67)</formula>
    </cfRule>
  </conditionalFormatting>
  <conditionalFormatting sqref="H87:EG87">
    <cfRule type="expression" priority="8" dxfId="11">
      <formula>AND(H$5&gt;$E87,H$5&lt;=$F87)</formula>
    </cfRule>
  </conditionalFormatting>
  <conditionalFormatting sqref="H9:EG127">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EG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53</v>
      </c>
      <c r="E5" s="16">
        <f>Plan!J5</f>
        <v/>
      </c>
      <c r="F5" s="16">
        <f>Plan!K5</f>
        <v/>
      </c>
      <c r="G5" s="8">
        <f>F5-E5</f>
        <v/>
      </c>
      <c r="H5" s="16">
        <f>Plan!I5</f>
        <v/>
      </c>
      <c r="I5" s="16">
        <f>Plan!O5</f>
        <v/>
      </c>
    </row>
    <row r="6">
      <c r="A6" s="8" t="n">
        <v>2</v>
      </c>
      <c r="B6" s="18" t="inlineStr">
        <is>
          <t>1.3</t>
        </is>
      </c>
      <c r="C6" s="35">
        <f>Plan!C7</f>
        <v/>
      </c>
      <c r="D6" s="8" t="n">
        <v>50</v>
      </c>
      <c r="E6" s="16">
        <f>Plan!J7</f>
        <v/>
      </c>
      <c r="F6" s="16">
        <f>Plan!K7</f>
        <v/>
      </c>
      <c r="G6" s="8">
        <f>F6-E6</f>
        <v/>
      </c>
      <c r="H6" s="16">
        <f>Plan!I7</f>
        <v/>
      </c>
      <c r="I6" s="16">
        <f>Plan!O7</f>
        <v/>
      </c>
    </row>
    <row r="7">
      <c r="A7" s="8" t="n">
        <v>3</v>
      </c>
      <c r="B7" s="18" t="inlineStr">
        <is>
          <t>1.2</t>
        </is>
      </c>
      <c r="C7" s="35">
        <f>Plan!C6</f>
        <v/>
      </c>
      <c r="D7" s="8" t="n">
        <v>44</v>
      </c>
      <c r="E7" s="16">
        <f>Plan!J6</f>
        <v/>
      </c>
      <c r="F7" s="16">
        <f>Plan!K6</f>
        <v/>
      </c>
      <c r="G7" s="8">
        <f>F7-E7</f>
        <v/>
      </c>
      <c r="H7" s="16">
        <f>Plan!I6</f>
        <v/>
      </c>
      <c r="I7" s="16">
        <f>Plan!O6</f>
        <v/>
      </c>
    </row>
    <row r="8">
      <c r="A8" s="8" t="n">
        <v>4</v>
      </c>
      <c r="B8" s="18" t="inlineStr">
        <is>
          <t>1.4</t>
        </is>
      </c>
      <c r="C8" s="35">
        <f>Plan!C8</f>
        <v/>
      </c>
      <c r="D8" s="8" t="n">
        <v>49</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47</v>
      </c>
      <c r="E10" s="16">
        <f>Plan!J14</f>
        <v/>
      </c>
      <c r="F10" s="16">
        <f>Plan!K14</f>
        <v/>
      </c>
      <c r="G10" s="8">
        <f>F10-E10</f>
        <v/>
      </c>
      <c r="H10" s="16">
        <f>Plan!I14</f>
        <v/>
      </c>
      <c r="I10" s="16">
        <f>Plan!O14</f>
        <v/>
      </c>
    </row>
    <row r="11">
      <c r="A11" s="8" t="n">
        <v>7</v>
      </c>
      <c r="B11" s="18" t="inlineStr">
        <is>
          <t>2.1</t>
        </is>
      </c>
      <c r="C11" s="35">
        <f>Plan!C13</f>
        <v/>
      </c>
      <c r="D11" s="8" t="n">
        <v>38</v>
      </c>
      <c r="E11" s="16">
        <f>Plan!J13</f>
        <v/>
      </c>
      <c r="F11" s="16">
        <f>Plan!K13</f>
        <v/>
      </c>
      <c r="G11" s="8">
        <f>F11-E11</f>
        <v/>
      </c>
      <c r="H11" s="16">
        <f>Plan!I13</f>
        <v/>
      </c>
      <c r="I11" s="16">
        <f>Plan!O13</f>
        <v/>
      </c>
    </row>
    <row r="12">
      <c r="A12" s="8" t="n">
        <v>8</v>
      </c>
      <c r="B12" s="18" t="inlineStr">
        <is>
          <t>2.5</t>
        </is>
      </c>
      <c r="C12" s="35">
        <f>Plan!C17</f>
        <v/>
      </c>
      <c r="D12" s="8" t="n">
        <v>45</v>
      </c>
      <c r="E12" s="16">
        <f>Plan!J17</f>
        <v/>
      </c>
      <c r="F12" s="16">
        <f>Plan!K17</f>
        <v/>
      </c>
      <c r="G12" s="8">
        <f>F12-E12</f>
        <v/>
      </c>
      <c r="H12" s="16">
        <f>Plan!I17</f>
        <v/>
      </c>
      <c r="I12" s="16">
        <f>Plan!O17</f>
        <v/>
      </c>
    </row>
    <row r="13">
      <c r="A13" s="8" t="n">
        <v>9</v>
      </c>
      <c r="B13" s="18" t="inlineStr">
        <is>
          <t>3.1</t>
        </is>
      </c>
      <c r="C13" s="35">
        <f>Plan!C28</f>
        <v/>
      </c>
      <c r="D13" s="8" t="n">
        <v>41</v>
      </c>
      <c r="E13" s="16">
        <f>Plan!J28</f>
        <v/>
      </c>
      <c r="F13" s="16">
        <f>Plan!K28</f>
        <v/>
      </c>
      <c r="G13" s="8">
        <f>F13-E13</f>
        <v/>
      </c>
      <c r="H13" s="16">
        <f>Plan!I28</f>
        <v/>
      </c>
      <c r="I13" s="16">
        <f>Plan!O28</f>
        <v/>
      </c>
    </row>
    <row r="14">
      <c r="A14" s="8" t="n">
        <v>10</v>
      </c>
      <c r="B14" s="18" t="inlineStr">
        <is>
          <t>2.6</t>
        </is>
      </c>
      <c r="C14" s="35">
        <f>Plan!C18</f>
        <v/>
      </c>
      <c r="D14" s="8" t="n">
        <v>42</v>
      </c>
      <c r="E14" s="16">
        <f>Plan!J18</f>
        <v/>
      </c>
      <c r="F14" s="16">
        <f>Plan!K18</f>
        <v/>
      </c>
      <c r="G14" s="8">
        <f>F14-E14</f>
        <v/>
      </c>
      <c r="H14" s="16">
        <f>Plan!I18</f>
        <v/>
      </c>
      <c r="I14" s="16">
        <f>Plan!O18</f>
        <v/>
      </c>
    </row>
    <row r="15">
      <c r="A15" s="8" t="n">
        <v>11</v>
      </c>
      <c r="B15" s="18" t="inlineStr">
        <is>
          <t>1.5</t>
        </is>
      </c>
      <c r="C15" s="35">
        <f>Plan!C9</f>
        <v/>
      </c>
      <c r="D15" s="8" t="n">
        <v>40</v>
      </c>
      <c r="E15" s="16">
        <f>Plan!J9</f>
        <v/>
      </c>
      <c r="F15" s="16">
        <f>Plan!K9</f>
        <v/>
      </c>
      <c r="G15" s="8">
        <f>F15-E15</f>
        <v/>
      </c>
      <c r="H15" s="16">
        <f>Plan!I9</f>
        <v/>
      </c>
      <c r="I15" s="16">
        <f>Plan!O9</f>
        <v/>
      </c>
    </row>
    <row r="16">
      <c r="A16" s="8" t="n">
        <v>12</v>
      </c>
      <c r="B16" s="18" t="inlineStr">
        <is>
          <t>2.7</t>
        </is>
      </c>
      <c r="C16" s="35">
        <f>Plan!C19</f>
        <v/>
      </c>
      <c r="D16" s="8" t="n">
        <v>39</v>
      </c>
      <c r="E16" s="16">
        <f>Plan!J19</f>
        <v/>
      </c>
      <c r="F16" s="16">
        <f>Plan!K19</f>
        <v/>
      </c>
      <c r="G16" s="8">
        <f>F16-E16</f>
        <v/>
      </c>
      <c r="H16" s="16">
        <f>Plan!I19</f>
        <v/>
      </c>
      <c r="I16" s="16">
        <f>Plan!O19</f>
        <v/>
      </c>
    </row>
    <row r="17">
      <c r="A17" s="8" t="n">
        <v>13</v>
      </c>
      <c r="B17" s="18" t="inlineStr">
        <is>
          <t>1.7</t>
        </is>
      </c>
      <c r="C17" s="35">
        <f>Plan!C11</f>
        <v/>
      </c>
      <c r="D17" s="8" t="n">
        <v>37</v>
      </c>
      <c r="E17" s="16">
        <f>Plan!J11</f>
        <v/>
      </c>
      <c r="F17" s="16">
        <f>Plan!K11</f>
        <v/>
      </c>
      <c r="G17" s="8">
        <f>F17-E17</f>
        <v/>
      </c>
      <c r="H17" s="16">
        <f>Plan!I11</f>
        <v/>
      </c>
      <c r="I17" s="16">
        <f>Plan!O11</f>
        <v/>
      </c>
    </row>
    <row r="18">
      <c r="A18" s="8" t="n">
        <v>14</v>
      </c>
      <c r="B18" s="18" t="inlineStr">
        <is>
          <t>4.1</t>
        </is>
      </c>
      <c r="C18" s="35">
        <f>Plan!C37</f>
        <v/>
      </c>
      <c r="D18" s="8" t="n">
        <v>37</v>
      </c>
      <c r="E18" s="16">
        <f>Plan!J37</f>
        <v/>
      </c>
      <c r="F18" s="16">
        <f>Plan!K37</f>
        <v/>
      </c>
      <c r="G18" s="8">
        <f>F18-E18</f>
        <v/>
      </c>
      <c r="H18" s="16">
        <f>Plan!I37</f>
        <v/>
      </c>
      <c r="I18" s="16">
        <f>Plan!O37</f>
        <v/>
      </c>
    </row>
    <row r="19">
      <c r="A19" s="8" t="n">
        <v>15</v>
      </c>
      <c r="B19" s="18" t="inlineStr">
        <is>
          <t>4.6</t>
        </is>
      </c>
      <c r="C19" s="35">
        <f>Plan!C42</f>
        <v/>
      </c>
      <c r="D19" s="8" t="n">
        <v>35</v>
      </c>
      <c r="E19" s="16">
        <f>Plan!J42</f>
        <v/>
      </c>
      <c r="F19" s="16">
        <f>Plan!K42</f>
        <v/>
      </c>
      <c r="G19" s="8">
        <f>F19-E19</f>
        <v/>
      </c>
      <c r="H19" s="16">
        <f>Plan!I42</f>
        <v/>
      </c>
      <c r="I19" s="16">
        <f>Plan!O42</f>
        <v/>
      </c>
    </row>
    <row r="20">
      <c r="A20" s="8" t="n">
        <v>16</v>
      </c>
      <c r="B20" s="18" t="inlineStr">
        <is>
          <t>6.4</t>
        </is>
      </c>
      <c r="C20" s="35">
        <f>Plan!C61</f>
        <v/>
      </c>
      <c r="D20" s="8" t="n">
        <v>6</v>
      </c>
      <c r="E20" s="16">
        <f>Plan!J61</f>
        <v/>
      </c>
      <c r="F20" s="16">
        <f>Plan!K61</f>
        <v/>
      </c>
      <c r="G20" s="8">
        <f>F20-E20</f>
        <v/>
      </c>
      <c r="H20" s="16">
        <f>Plan!I61</f>
        <v/>
      </c>
      <c r="I20" s="16">
        <f>Plan!O61</f>
        <v/>
      </c>
    </row>
    <row r="21">
      <c r="A21" s="8" t="n">
        <v>17</v>
      </c>
      <c r="B21" s="18" t="inlineStr">
        <is>
          <t>4.11</t>
        </is>
      </c>
      <c r="C21" s="35">
        <f>Plan!C47</f>
        <v/>
      </c>
      <c r="D21" s="8" t="n">
        <v>33</v>
      </c>
      <c r="E21" s="16">
        <f>Plan!J47</f>
        <v/>
      </c>
      <c r="F21" s="16">
        <f>Plan!K47</f>
        <v/>
      </c>
      <c r="G21" s="8">
        <f>F21-E21</f>
        <v/>
      </c>
      <c r="H21" s="16">
        <f>Plan!I47</f>
        <v/>
      </c>
      <c r="I21" s="16">
        <f>Plan!O47</f>
        <v/>
      </c>
    </row>
    <row r="22">
      <c r="A22" s="8" t="n">
        <v>18</v>
      </c>
      <c r="B22" s="18" t="inlineStr">
        <is>
          <t>4.10</t>
        </is>
      </c>
      <c r="C22" s="35">
        <f>Plan!C46</f>
        <v/>
      </c>
      <c r="D22" s="8" t="n">
        <v>32</v>
      </c>
      <c r="E22" s="16">
        <f>Plan!J46</f>
        <v/>
      </c>
      <c r="F22" s="16">
        <f>Plan!K46</f>
        <v/>
      </c>
      <c r="G22" s="8">
        <f>F22-E22</f>
        <v/>
      </c>
      <c r="H22" s="16">
        <f>Plan!I46</f>
        <v/>
      </c>
      <c r="I22" s="16">
        <f>Plan!O46</f>
        <v/>
      </c>
    </row>
    <row r="23">
      <c r="A23" s="8" t="n">
        <v>19</v>
      </c>
      <c r="B23" s="18" t="inlineStr">
        <is>
          <t>2.3</t>
        </is>
      </c>
      <c r="C23" s="35">
        <f>Plan!C15</f>
        <v/>
      </c>
      <c r="D23" s="8" t="n">
        <v>36</v>
      </c>
      <c r="E23" s="16">
        <f>Plan!J15</f>
        <v/>
      </c>
      <c r="F23" s="16">
        <f>Plan!K15</f>
        <v/>
      </c>
      <c r="G23" s="8">
        <f>F23-E23</f>
        <v/>
      </c>
      <c r="H23" s="16">
        <f>Plan!I15</f>
        <v/>
      </c>
      <c r="I23" s="16">
        <f>Plan!O15</f>
        <v/>
      </c>
    </row>
    <row r="24">
      <c r="A24" s="8" t="n">
        <v>20</v>
      </c>
      <c r="B24" s="18" t="inlineStr">
        <is>
          <t>2.8</t>
        </is>
      </c>
      <c r="C24" s="35">
        <f>Plan!C20</f>
        <v/>
      </c>
      <c r="D24" s="8" t="n">
        <v>9</v>
      </c>
      <c r="E24" s="16">
        <f>Plan!J20</f>
        <v/>
      </c>
      <c r="F24" s="16">
        <f>Plan!K20</f>
        <v/>
      </c>
      <c r="G24" s="8">
        <f>F24-E24</f>
        <v/>
      </c>
      <c r="H24" s="16">
        <f>Plan!I20</f>
        <v/>
      </c>
      <c r="I24" s="16">
        <f>Plan!O20</f>
        <v/>
      </c>
    </row>
    <row r="25">
      <c r="A25" s="8" t="n">
        <v>21</v>
      </c>
      <c r="B25" s="18" t="inlineStr">
        <is>
          <t>3.4</t>
        </is>
      </c>
      <c r="C25" s="35">
        <f>Plan!C31</f>
        <v/>
      </c>
      <c r="D25" s="8" t="n">
        <v>36</v>
      </c>
      <c r="E25" s="16">
        <f>Plan!J31</f>
        <v/>
      </c>
      <c r="F25" s="16">
        <f>Plan!K31</f>
        <v/>
      </c>
      <c r="G25" s="8">
        <f>F25-E25</f>
        <v/>
      </c>
      <c r="H25" s="16">
        <f>Plan!I31</f>
        <v/>
      </c>
      <c r="I25" s="16">
        <f>Plan!O31</f>
        <v/>
      </c>
    </row>
    <row r="26">
      <c r="A26" s="8" t="n">
        <v>22</v>
      </c>
      <c r="B26" s="18" t="inlineStr">
        <is>
          <t>2.15</t>
        </is>
      </c>
      <c r="C26" s="35">
        <f>Plan!C27</f>
        <v/>
      </c>
      <c r="D26" s="8" t="n">
        <v>34</v>
      </c>
      <c r="E26" s="16">
        <f>Plan!J27</f>
        <v/>
      </c>
      <c r="F26" s="16">
        <f>Plan!K27</f>
        <v/>
      </c>
      <c r="G26" s="8">
        <f>F26-E26</f>
        <v/>
      </c>
      <c r="H26" s="16">
        <f>Plan!I27</f>
        <v/>
      </c>
      <c r="I26" s="16">
        <f>Plan!O27</f>
        <v/>
      </c>
    </row>
    <row r="27">
      <c r="A27" s="8" t="n">
        <v>23</v>
      </c>
      <c r="B27" s="18" t="inlineStr">
        <is>
          <t>2.14</t>
        </is>
      </c>
      <c r="C27" s="35">
        <f>Plan!C26</f>
        <v/>
      </c>
      <c r="D27" s="8" t="n">
        <v>35</v>
      </c>
      <c r="E27" s="16">
        <f>Plan!J26</f>
        <v/>
      </c>
      <c r="F27" s="16">
        <f>Plan!K26</f>
        <v/>
      </c>
      <c r="G27" s="8">
        <f>F27-E27</f>
        <v/>
      </c>
      <c r="H27" s="16">
        <f>Plan!I26</f>
        <v/>
      </c>
      <c r="I27" s="16">
        <f>Plan!O26</f>
        <v/>
      </c>
    </row>
    <row r="28">
      <c r="A28" s="8" t="n">
        <v>24</v>
      </c>
      <c r="B28" s="18" t="inlineStr">
        <is>
          <t>3.10</t>
        </is>
      </c>
      <c r="C28" s="35">
        <f>Plan!C36</f>
        <v/>
      </c>
      <c r="D28" s="8" t="n">
        <v>33</v>
      </c>
      <c r="E28" s="16">
        <f>Plan!J36</f>
        <v/>
      </c>
      <c r="F28" s="16">
        <f>Plan!K36</f>
        <v/>
      </c>
      <c r="G28" s="8">
        <f>F28-E28</f>
        <v/>
      </c>
      <c r="H28" s="16">
        <f>Plan!I36</f>
        <v/>
      </c>
      <c r="I28" s="16">
        <f>Plan!O36</f>
        <v/>
      </c>
    </row>
    <row r="29">
      <c r="A29" s="8" t="n">
        <v>25</v>
      </c>
      <c r="B29" s="18" t="inlineStr">
        <is>
          <t>6.10</t>
        </is>
      </c>
      <c r="C29" s="35">
        <f>Plan!C67</f>
        <v/>
      </c>
      <c r="D29" s="8" t="n">
        <v>6</v>
      </c>
      <c r="E29" s="16">
        <f>Plan!J67</f>
        <v/>
      </c>
      <c r="F29" s="16">
        <f>Plan!K67</f>
        <v/>
      </c>
      <c r="G29" s="8">
        <f>F29-E29</f>
        <v/>
      </c>
      <c r="H29" s="16">
        <f>Plan!I67</f>
        <v/>
      </c>
      <c r="I29" s="16">
        <f>Plan!O67</f>
        <v/>
      </c>
    </row>
    <row r="30">
      <c r="A30" s="8" t="n">
        <v>26</v>
      </c>
      <c r="B30" s="18" t="inlineStr">
        <is>
          <t>1.6</t>
        </is>
      </c>
      <c r="C30" s="35">
        <f>Plan!C10</f>
        <v/>
      </c>
      <c r="D30" s="8" t="n">
        <v>31</v>
      </c>
      <c r="E30" s="16">
        <f>Plan!J10</f>
        <v/>
      </c>
      <c r="F30" s="16">
        <f>Plan!K10</f>
        <v/>
      </c>
      <c r="G30" s="8">
        <f>F30-E30</f>
        <v/>
      </c>
      <c r="H30" s="16">
        <f>Plan!I10</f>
        <v/>
      </c>
      <c r="I30" s="16">
        <f>Plan!O10</f>
        <v/>
      </c>
    </row>
    <row r="31">
      <c r="A31" s="8" t="n">
        <v>27</v>
      </c>
      <c r="B31" s="18" t="inlineStr">
        <is>
          <t>6.16</t>
        </is>
      </c>
      <c r="C31" s="35">
        <f>Plan!C73</f>
        <v/>
      </c>
      <c r="D31" s="8" t="n">
        <v>31</v>
      </c>
      <c r="E31" s="16">
        <f>Plan!J73</f>
        <v/>
      </c>
      <c r="F31" s="16">
        <f>Plan!K73</f>
        <v/>
      </c>
      <c r="G31" s="8">
        <f>F31-E31</f>
        <v/>
      </c>
      <c r="H31" s="16">
        <f>Plan!I73</f>
        <v/>
      </c>
      <c r="I31" s="16">
        <f>Plan!O73</f>
        <v/>
      </c>
    </row>
    <row r="32">
      <c r="A32" s="8" t="n">
        <v>28</v>
      </c>
      <c r="B32" s="18" t="inlineStr">
        <is>
          <t>6.19</t>
        </is>
      </c>
      <c r="C32" s="35">
        <f>Plan!C74</f>
        <v/>
      </c>
      <c r="D32" s="8" t="n">
        <v>31</v>
      </c>
      <c r="E32" s="16">
        <f>Plan!J74</f>
        <v/>
      </c>
      <c r="F32" s="16">
        <f>Plan!K74</f>
        <v/>
      </c>
      <c r="G32" s="8">
        <f>F32-E32</f>
        <v/>
      </c>
      <c r="H32" s="16">
        <f>Plan!I74</f>
        <v/>
      </c>
      <c r="I32" s="16">
        <f>Plan!O74</f>
        <v/>
      </c>
    </row>
    <row r="33">
      <c r="A33" s="8" t="n">
        <v>29</v>
      </c>
      <c r="B33" s="18" t="inlineStr">
        <is>
          <t>6.38</t>
        </is>
      </c>
      <c r="C33" s="35">
        <f>Plan!C115</f>
        <v/>
      </c>
      <c r="D33" s="8" t="n">
        <v>1</v>
      </c>
      <c r="E33" s="16">
        <f>Plan!J115</f>
        <v/>
      </c>
      <c r="F33" s="16">
        <f>Plan!K115</f>
        <v/>
      </c>
      <c r="G33" s="8">
        <f>F33-E33</f>
        <v/>
      </c>
      <c r="H33" s="16">
        <f>Plan!I115</f>
        <v/>
      </c>
      <c r="I33" s="16">
        <f>Plan!O115</f>
        <v/>
      </c>
    </row>
    <row r="34">
      <c r="A34" s="8" t="n">
        <v>30</v>
      </c>
      <c r="B34" s="18" t="inlineStr">
        <is>
          <t>6.17</t>
        </is>
      </c>
      <c r="C34" s="35">
        <f>Plan!C75</f>
        <v/>
      </c>
      <c r="D34" s="8" t="n">
        <v>30</v>
      </c>
      <c r="E34" s="16">
        <f>Plan!J75</f>
        <v/>
      </c>
      <c r="F34" s="16">
        <f>Plan!K75</f>
        <v/>
      </c>
      <c r="G34" s="8">
        <f>F34-E34</f>
        <v/>
      </c>
      <c r="H34" s="16">
        <f>Plan!I75</f>
        <v/>
      </c>
      <c r="I34" s="16">
        <f>Plan!O75</f>
        <v/>
      </c>
    </row>
    <row r="35">
      <c r="A35" s="8" t="n">
        <v>31</v>
      </c>
      <c r="B35" s="18" t="inlineStr">
        <is>
          <t>1.8</t>
        </is>
      </c>
      <c r="C35" s="35">
        <f>Plan!C12</f>
        <v/>
      </c>
      <c r="D35" s="8" t="n">
        <v>28</v>
      </c>
      <c r="E35" s="16">
        <f>Plan!J12</f>
        <v/>
      </c>
      <c r="F35" s="16">
        <f>Plan!K12</f>
        <v/>
      </c>
      <c r="G35" s="8">
        <f>F35-E35</f>
        <v/>
      </c>
      <c r="H35" s="16">
        <f>Plan!I12</f>
        <v/>
      </c>
      <c r="I35" s="16">
        <f>Plan!O12</f>
        <v/>
      </c>
    </row>
    <row r="36">
      <c r="A36" s="8" t="n">
        <v>32</v>
      </c>
      <c r="B36" s="18" t="inlineStr">
        <is>
          <t>6.13</t>
        </is>
      </c>
      <c r="C36" s="35">
        <f>Plan!C70</f>
        <v/>
      </c>
      <c r="D36" s="8" t="n">
        <v>6</v>
      </c>
      <c r="E36" s="16">
        <f>Plan!J70</f>
        <v/>
      </c>
      <c r="F36" s="16">
        <f>Plan!K70</f>
        <v/>
      </c>
      <c r="G36" s="8">
        <f>F36-E36</f>
        <v/>
      </c>
      <c r="H36" s="16">
        <f>Plan!I70</f>
        <v/>
      </c>
      <c r="I36" s="16">
        <f>Plan!O70</f>
        <v/>
      </c>
    </row>
    <row r="37">
      <c r="A37" s="8" t="n">
        <v>33</v>
      </c>
      <c r="B37" s="18" t="inlineStr">
        <is>
          <t>6.18</t>
        </is>
      </c>
      <c r="C37" s="35">
        <f>Plan!C76</f>
        <v/>
      </c>
      <c r="D37" s="8" t="n">
        <v>27</v>
      </c>
      <c r="E37" s="16">
        <f>Plan!J76</f>
        <v/>
      </c>
      <c r="F37" s="16">
        <f>Plan!K76</f>
        <v/>
      </c>
      <c r="G37" s="8">
        <f>F37-E37</f>
        <v/>
      </c>
      <c r="H37" s="16">
        <f>Plan!I76</f>
        <v/>
      </c>
      <c r="I37" s="16">
        <f>Plan!O76</f>
        <v/>
      </c>
    </row>
    <row r="38">
      <c r="A38" s="8" t="n">
        <v>34</v>
      </c>
      <c r="B38" s="18" t="inlineStr">
        <is>
          <t>2.9</t>
        </is>
      </c>
      <c r="C38" s="35">
        <f>Plan!C21</f>
        <v/>
      </c>
      <c r="D38" s="8" t="n">
        <v>18</v>
      </c>
      <c r="E38" s="16">
        <f>Plan!J21</f>
        <v/>
      </c>
      <c r="F38" s="16">
        <f>Plan!K21</f>
        <v/>
      </c>
      <c r="G38" s="8">
        <f>F38-E38</f>
        <v/>
      </c>
      <c r="H38" s="16">
        <f>Plan!I21</f>
        <v/>
      </c>
      <c r="I38" s="16">
        <f>Plan!O21</f>
        <v/>
      </c>
    </row>
    <row r="39">
      <c r="A39" s="8" t="n">
        <v>35</v>
      </c>
      <c r="B39" s="18" t="inlineStr">
        <is>
          <t>4.12</t>
        </is>
      </c>
      <c r="C39" s="35">
        <f>Plan!C77</f>
        <v/>
      </c>
      <c r="D39" s="8" t="n">
        <v>26</v>
      </c>
      <c r="E39" s="16">
        <f>Plan!J77</f>
        <v/>
      </c>
      <c r="F39" s="16">
        <f>Plan!K77</f>
        <v/>
      </c>
      <c r="G39" s="8">
        <f>F39-E39</f>
        <v/>
      </c>
      <c r="H39" s="16">
        <f>Plan!I77</f>
        <v/>
      </c>
      <c r="I39" s="16">
        <f>Plan!O77</f>
        <v/>
      </c>
    </row>
    <row r="40">
      <c r="A40" s="8" t="n">
        <v>36</v>
      </c>
      <c r="B40" s="18" t="inlineStr">
        <is>
          <t>3.3</t>
        </is>
      </c>
      <c r="C40" s="35">
        <f>Plan!C30</f>
        <v/>
      </c>
      <c r="D40" s="8" t="n">
        <v>15</v>
      </c>
      <c r="E40" s="16">
        <f>Plan!J30</f>
        <v/>
      </c>
      <c r="F40" s="16">
        <f>Plan!K30</f>
        <v/>
      </c>
      <c r="G40" s="8">
        <f>F40-E40</f>
        <v/>
      </c>
      <c r="H40" s="16">
        <f>Plan!I30</f>
        <v/>
      </c>
      <c r="I40" s="16">
        <f>Plan!O30</f>
        <v/>
      </c>
    </row>
    <row r="41">
      <c r="A41" s="8" t="n">
        <v>37</v>
      </c>
      <c r="B41" s="18" t="inlineStr">
        <is>
          <t>4.13</t>
        </is>
      </c>
      <c r="C41" s="35">
        <f>Plan!C78</f>
        <v/>
      </c>
      <c r="D41" s="8" t="n">
        <v>21</v>
      </c>
      <c r="E41" s="16">
        <f>Plan!J78</f>
        <v/>
      </c>
      <c r="F41" s="16">
        <f>Plan!K78</f>
        <v/>
      </c>
      <c r="G41" s="8">
        <f>F41-E41</f>
        <v/>
      </c>
      <c r="H41" s="16">
        <f>Plan!I78</f>
        <v/>
      </c>
      <c r="I41" s="16">
        <f>Plan!O78</f>
        <v/>
      </c>
    </row>
    <row r="42">
      <c r="A42" s="8" t="n">
        <v>38</v>
      </c>
      <c r="B42" s="18" t="inlineStr">
        <is>
          <t>4.2</t>
        </is>
      </c>
      <c r="C42" s="35">
        <f>Plan!C38</f>
        <v/>
      </c>
      <c r="D42" s="8" t="n">
        <v>16</v>
      </c>
      <c r="E42" s="16">
        <f>Plan!J38</f>
        <v/>
      </c>
      <c r="F42" s="16">
        <f>Plan!K38</f>
        <v/>
      </c>
      <c r="G42" s="8">
        <f>F42-E42</f>
        <v/>
      </c>
      <c r="H42" s="16">
        <f>Plan!I38</f>
        <v/>
      </c>
      <c r="I42" s="16">
        <f>Plan!O38</f>
        <v/>
      </c>
    </row>
    <row r="43">
      <c r="A43" s="8" t="n">
        <v>39</v>
      </c>
      <c r="B43" s="18" t="inlineStr">
        <is>
          <t>4.3</t>
        </is>
      </c>
      <c r="C43" s="35">
        <f>Plan!C39</f>
        <v/>
      </c>
      <c r="D43" s="8" t="n">
        <v>13</v>
      </c>
      <c r="E43" s="16">
        <f>Plan!J39</f>
        <v/>
      </c>
      <c r="F43" s="16">
        <f>Plan!K39</f>
        <v/>
      </c>
      <c r="G43" s="8">
        <f>F43-E43</f>
        <v/>
      </c>
      <c r="H43" s="16">
        <f>Plan!I39</f>
        <v/>
      </c>
      <c r="I43" s="16">
        <f>Plan!O39</f>
        <v/>
      </c>
    </row>
    <row r="44">
      <c r="A44" s="8" t="n">
        <v>40</v>
      </c>
      <c r="B44" s="18" t="inlineStr">
        <is>
          <t>3.5</t>
        </is>
      </c>
      <c r="C44" s="35">
        <f>Plan!C32</f>
        <v/>
      </c>
      <c r="D44" s="8" t="n">
        <v>16</v>
      </c>
      <c r="E44" s="16">
        <f>Plan!J32</f>
        <v/>
      </c>
      <c r="F44" s="16">
        <f>Plan!K32</f>
        <v/>
      </c>
      <c r="G44" s="8">
        <f>F44-E44</f>
        <v/>
      </c>
      <c r="H44" s="16">
        <f>Plan!I32</f>
        <v/>
      </c>
      <c r="I44" s="16">
        <f>Plan!O32</f>
        <v/>
      </c>
    </row>
    <row r="45">
      <c r="A45" s="8" t="n">
        <v>41</v>
      </c>
      <c r="B45" s="18" t="inlineStr">
        <is>
          <t>2.12</t>
        </is>
      </c>
      <c r="C45" s="35">
        <f>Plan!C24</f>
        <v/>
      </c>
      <c r="D45" s="8" t="n">
        <v>12</v>
      </c>
      <c r="E45" s="16">
        <f>Plan!J24</f>
        <v/>
      </c>
      <c r="F45" s="16">
        <f>Plan!K24</f>
        <v/>
      </c>
      <c r="G45" s="8">
        <f>F45-E45</f>
        <v/>
      </c>
      <c r="H45" s="16">
        <f>Plan!I24</f>
        <v/>
      </c>
      <c r="I45" s="16">
        <f>Plan!O24</f>
        <v/>
      </c>
    </row>
    <row r="46">
      <c r="A46" s="8" t="n">
        <v>42</v>
      </c>
      <c r="B46" s="18" t="inlineStr">
        <is>
          <t>2.10</t>
        </is>
      </c>
      <c r="C46" s="35">
        <f>Plan!C22</f>
        <v/>
      </c>
      <c r="D46" s="8" t="n">
        <v>12</v>
      </c>
      <c r="E46" s="16">
        <f>Plan!J22</f>
        <v/>
      </c>
      <c r="F46" s="16">
        <f>Plan!K22</f>
        <v/>
      </c>
      <c r="G46" s="8">
        <f>F46-E46</f>
        <v/>
      </c>
      <c r="H46" s="16">
        <f>Plan!I22</f>
        <v/>
      </c>
      <c r="I46" s="16">
        <f>Plan!O22</f>
        <v/>
      </c>
    </row>
    <row r="47">
      <c r="A47" s="8" t="n">
        <v>43</v>
      </c>
      <c r="B47" s="18" t="inlineStr">
        <is>
          <t>2.11</t>
        </is>
      </c>
      <c r="C47" s="35">
        <f>Plan!C23</f>
        <v/>
      </c>
      <c r="D47" s="8" t="n">
        <v>9</v>
      </c>
      <c r="E47" s="16">
        <f>Plan!J23</f>
        <v/>
      </c>
      <c r="F47" s="16">
        <f>Plan!K23</f>
        <v/>
      </c>
      <c r="G47" s="8">
        <f>F47-E47</f>
        <v/>
      </c>
      <c r="H47" s="16">
        <f>Plan!I23</f>
        <v/>
      </c>
      <c r="I47" s="16">
        <f>Plan!O23</f>
        <v/>
      </c>
    </row>
    <row r="48">
      <c r="A48" s="8" t="n">
        <v>44</v>
      </c>
      <c r="B48" s="18" t="inlineStr">
        <is>
          <t>6.20</t>
        </is>
      </c>
      <c r="C48" s="35">
        <f>Plan!C79</f>
        <v/>
      </c>
      <c r="D48" s="8" t="n">
        <v>16</v>
      </c>
      <c r="E48" s="16">
        <f>Plan!J79</f>
        <v/>
      </c>
      <c r="F48" s="16">
        <f>Plan!K79</f>
        <v/>
      </c>
      <c r="G48" s="8">
        <f>F48-E48</f>
        <v/>
      </c>
      <c r="H48" s="16">
        <f>Plan!I79</f>
        <v/>
      </c>
      <c r="I48" s="16">
        <f>Plan!O79</f>
        <v/>
      </c>
    </row>
    <row r="49">
      <c r="A49" s="8" t="n">
        <v>45</v>
      </c>
      <c r="B49" s="18" t="inlineStr">
        <is>
          <t>4.14</t>
        </is>
      </c>
      <c r="C49" s="35">
        <f>Plan!C80</f>
        <v/>
      </c>
      <c r="D49" s="8" t="n">
        <v>15</v>
      </c>
      <c r="E49" s="16">
        <f>Plan!J80</f>
        <v/>
      </c>
      <c r="F49" s="16">
        <f>Plan!K80</f>
        <v/>
      </c>
      <c r="G49" s="8">
        <f>F49-E49</f>
        <v/>
      </c>
      <c r="H49" s="16">
        <f>Plan!I80</f>
        <v/>
      </c>
      <c r="I49" s="16">
        <f>Plan!O80</f>
        <v/>
      </c>
    </row>
    <row r="50">
      <c r="A50" s="8" t="n">
        <v>46</v>
      </c>
      <c r="B50" s="18" t="inlineStr">
        <is>
          <t>3.9</t>
        </is>
      </c>
      <c r="C50" s="35">
        <f>Plan!C35</f>
        <v/>
      </c>
      <c r="D50" s="8" t="n">
        <v>12</v>
      </c>
      <c r="E50" s="16">
        <f>Plan!J35</f>
        <v/>
      </c>
      <c r="F50" s="16">
        <f>Plan!K35</f>
        <v/>
      </c>
      <c r="G50" s="8">
        <f>F50-E50</f>
        <v/>
      </c>
      <c r="H50" s="16">
        <f>Plan!I35</f>
        <v/>
      </c>
      <c r="I50" s="16">
        <f>Plan!O35</f>
        <v/>
      </c>
    </row>
    <row r="51">
      <c r="A51" s="8" t="n">
        <v>47</v>
      </c>
      <c r="B51" s="18" t="inlineStr">
        <is>
          <t>4.5</t>
        </is>
      </c>
      <c r="C51" s="35">
        <f>Plan!C41</f>
        <v/>
      </c>
      <c r="D51" s="8" t="n">
        <v>14</v>
      </c>
      <c r="E51" s="16">
        <f>Plan!J41</f>
        <v/>
      </c>
      <c r="F51" s="16">
        <f>Plan!K41</f>
        <v/>
      </c>
      <c r="G51" s="8">
        <f>F51-E51</f>
        <v/>
      </c>
      <c r="H51" s="16">
        <f>Plan!I41</f>
        <v/>
      </c>
      <c r="I51" s="16">
        <f>Plan!O41</f>
        <v/>
      </c>
    </row>
    <row r="52">
      <c r="A52" s="8" t="n">
        <v>48</v>
      </c>
      <c r="B52" s="18" t="inlineStr">
        <is>
          <t>3.6</t>
        </is>
      </c>
      <c r="C52" s="35">
        <f>Plan!C33</f>
        <v/>
      </c>
      <c r="D52" s="8" t="n">
        <v>13</v>
      </c>
      <c r="E52" s="16">
        <f>Plan!J33</f>
        <v/>
      </c>
      <c r="F52" s="16">
        <f>Plan!K33</f>
        <v/>
      </c>
      <c r="G52" s="8">
        <f>F52-E52</f>
        <v/>
      </c>
      <c r="H52" s="16">
        <f>Plan!I33</f>
        <v/>
      </c>
      <c r="I52" s="16">
        <f>Plan!O33</f>
        <v/>
      </c>
    </row>
    <row r="53">
      <c r="A53" s="8" t="n">
        <v>49</v>
      </c>
      <c r="B53" s="18" t="inlineStr">
        <is>
          <t>4.20</t>
        </is>
      </c>
      <c r="C53" s="35">
        <f>Plan!C95</f>
        <v/>
      </c>
      <c r="D53" s="8" t="n">
        <v>11</v>
      </c>
      <c r="E53" s="16">
        <f>Plan!J95</f>
        <v/>
      </c>
      <c r="F53" s="16">
        <f>Plan!K95</f>
        <v/>
      </c>
      <c r="G53" s="8">
        <f>F53-E53</f>
        <v/>
      </c>
      <c r="H53" s="16">
        <f>Plan!I95</f>
        <v/>
      </c>
      <c r="I53" s="16">
        <f>Plan!O95</f>
        <v/>
      </c>
    </row>
    <row r="54">
      <c r="A54" s="8" t="n">
        <v>50</v>
      </c>
      <c r="B54" s="18" t="inlineStr">
        <is>
          <t>6.1</t>
        </is>
      </c>
      <c r="C54" s="35">
        <f>Plan!C58</f>
        <v/>
      </c>
      <c r="D54" s="8" t="n">
        <v>11</v>
      </c>
      <c r="E54" s="16">
        <f>Plan!J58</f>
        <v/>
      </c>
      <c r="F54" s="16">
        <f>Plan!K58</f>
        <v/>
      </c>
      <c r="G54" s="8">
        <f>F54-E54</f>
        <v/>
      </c>
      <c r="H54" s="16">
        <f>Plan!I58</f>
        <v/>
      </c>
      <c r="I54" s="16">
        <f>Plan!O58</f>
        <v/>
      </c>
    </row>
    <row r="55">
      <c r="A55" s="8" t="n">
        <v>51</v>
      </c>
      <c r="B55" s="18" t="inlineStr">
        <is>
          <t>5.2</t>
        </is>
      </c>
      <c r="C55" s="35">
        <f>Plan!C49</f>
        <v/>
      </c>
      <c r="D55" s="8" t="n">
        <v>12</v>
      </c>
      <c r="E55" s="16">
        <f>Plan!J49</f>
        <v/>
      </c>
      <c r="F55" s="16">
        <f>Plan!K49</f>
        <v/>
      </c>
      <c r="G55" s="8">
        <f>F55-E55</f>
        <v/>
      </c>
      <c r="H55" s="16">
        <f>Plan!I49</f>
        <v/>
      </c>
      <c r="I55" s="16">
        <f>Plan!O49</f>
        <v/>
      </c>
    </row>
    <row r="56">
      <c r="A56" s="8" t="n">
        <v>52</v>
      </c>
      <c r="B56" s="18" t="inlineStr">
        <is>
          <t>6.11</t>
        </is>
      </c>
      <c r="C56" s="35">
        <f>Plan!C68</f>
        <v/>
      </c>
      <c r="D56" s="8" t="n">
        <v>7</v>
      </c>
      <c r="E56" s="16">
        <f>Plan!J68</f>
        <v/>
      </c>
      <c r="F56" s="16">
        <f>Plan!K68</f>
        <v/>
      </c>
      <c r="G56" s="8">
        <f>F56-E56</f>
        <v/>
      </c>
      <c r="H56" s="16">
        <f>Plan!I68</f>
        <v/>
      </c>
      <c r="I56" s="16">
        <f>Plan!O68</f>
        <v/>
      </c>
    </row>
    <row r="57">
      <c r="A57" s="8" t="n">
        <v>53</v>
      </c>
      <c r="B57" s="18" t="inlineStr">
        <is>
          <t>3.7</t>
        </is>
      </c>
      <c r="C57" s="35">
        <f>Plan!C34</f>
        <v/>
      </c>
      <c r="D57" s="8" t="n">
        <v>12</v>
      </c>
      <c r="E57" s="16">
        <f>Plan!J34</f>
        <v/>
      </c>
      <c r="F57" s="16">
        <f>Plan!K34</f>
        <v/>
      </c>
      <c r="G57" s="8">
        <f>F57-E57</f>
        <v/>
      </c>
      <c r="H57" s="16">
        <f>Plan!I34</f>
        <v/>
      </c>
      <c r="I57" s="16">
        <f>Plan!O34</f>
        <v/>
      </c>
    </row>
    <row r="58">
      <c r="A58" s="8" t="n">
        <v>54</v>
      </c>
      <c r="B58" s="18" t="inlineStr">
        <is>
          <t>5.4</t>
        </is>
      </c>
      <c r="C58" s="35">
        <f>Plan!C51</f>
        <v/>
      </c>
      <c r="D58" s="8" t="n">
        <v>9</v>
      </c>
      <c r="E58" s="16">
        <f>Plan!J51</f>
        <v/>
      </c>
      <c r="F58" s="16">
        <f>Plan!K51</f>
        <v/>
      </c>
      <c r="G58" s="8">
        <f>F58-E58</f>
        <v/>
      </c>
      <c r="H58" s="16">
        <f>Plan!I51</f>
        <v/>
      </c>
      <c r="I58" s="16">
        <f>Plan!O51</f>
        <v/>
      </c>
    </row>
    <row r="59">
      <c r="A59" s="8" t="n">
        <v>55</v>
      </c>
      <c r="B59" s="18" t="inlineStr">
        <is>
          <t>5.6</t>
        </is>
      </c>
      <c r="C59" s="35">
        <f>Plan!C53</f>
        <v/>
      </c>
      <c r="D59" s="8" t="n">
        <v>9</v>
      </c>
      <c r="E59" s="16">
        <f>Plan!J53</f>
        <v/>
      </c>
      <c r="F59" s="16">
        <f>Plan!K53</f>
        <v/>
      </c>
      <c r="G59" s="8">
        <f>F59-E59</f>
        <v/>
      </c>
      <c r="H59" s="16">
        <f>Plan!I53</f>
        <v/>
      </c>
      <c r="I59" s="16">
        <f>Plan!O53</f>
        <v/>
      </c>
    </row>
    <row r="60">
      <c r="A60" s="8" t="n">
        <v>56</v>
      </c>
      <c r="B60" s="18" t="inlineStr">
        <is>
          <t>4.17</t>
        </is>
      </c>
      <c r="C60" s="35">
        <f>Plan!C92</f>
        <v/>
      </c>
      <c r="D60" s="8" t="n">
        <v>6</v>
      </c>
      <c r="E60" s="16">
        <f>Plan!J92</f>
        <v/>
      </c>
      <c r="F60" s="16">
        <f>Plan!K92</f>
        <v/>
      </c>
      <c r="G60" s="8">
        <f>F60-E60</f>
        <v/>
      </c>
      <c r="H60" s="16">
        <f>Plan!I92</f>
        <v/>
      </c>
      <c r="I60" s="16">
        <f>Plan!O92</f>
        <v/>
      </c>
    </row>
    <row r="61">
      <c r="A61" s="8" t="n">
        <v>57</v>
      </c>
      <c r="B61" s="18" t="inlineStr">
        <is>
          <t>5.5</t>
        </is>
      </c>
      <c r="C61" s="35">
        <f>Plan!C52</f>
        <v/>
      </c>
      <c r="D61" s="8" t="n">
        <v>9</v>
      </c>
      <c r="E61" s="16">
        <f>Plan!J52</f>
        <v/>
      </c>
      <c r="F61" s="16">
        <f>Plan!K52</f>
        <v/>
      </c>
      <c r="G61" s="8">
        <f>F61-E61</f>
        <v/>
      </c>
      <c r="H61" s="16">
        <f>Plan!I52</f>
        <v/>
      </c>
      <c r="I61" s="16">
        <f>Plan!O52</f>
        <v/>
      </c>
    </row>
    <row r="62">
      <c r="A62" s="8" t="n">
        <v>58</v>
      </c>
      <c r="B62" s="18" t="inlineStr">
        <is>
          <t>5.1</t>
        </is>
      </c>
      <c r="C62" s="35">
        <f>Plan!C48</f>
        <v/>
      </c>
      <c r="D62" s="8" t="n">
        <v>10</v>
      </c>
      <c r="E62" s="16">
        <f>Plan!J48</f>
        <v/>
      </c>
      <c r="F62" s="16">
        <f>Plan!K48</f>
        <v/>
      </c>
      <c r="G62" s="8">
        <f>F62-E62</f>
        <v/>
      </c>
      <c r="H62" s="16">
        <f>Plan!I48</f>
        <v/>
      </c>
      <c r="I62" s="16">
        <f>Plan!O48</f>
        <v/>
      </c>
    </row>
    <row r="63">
      <c r="A63" s="8" t="n">
        <v>59</v>
      </c>
      <c r="B63" s="18" t="inlineStr">
        <is>
          <t>6.22</t>
        </is>
      </c>
      <c r="C63" s="35">
        <f>Plan!C83</f>
        <v/>
      </c>
      <c r="D63" s="8" t="n">
        <v>10</v>
      </c>
      <c r="E63" s="16">
        <f>Plan!J83</f>
        <v/>
      </c>
      <c r="F63" s="16">
        <f>Plan!K83</f>
        <v/>
      </c>
      <c r="G63" s="8">
        <f>F63-E63</f>
        <v/>
      </c>
      <c r="H63" s="16">
        <f>Plan!I83</f>
        <v/>
      </c>
      <c r="I63" s="16">
        <f>Plan!O83</f>
        <v/>
      </c>
    </row>
    <row r="64">
      <c r="A64" s="8" t="n">
        <v>60</v>
      </c>
      <c r="B64" s="18" t="inlineStr">
        <is>
          <t>5.12</t>
        </is>
      </c>
      <c r="C64" s="35">
        <f>Plan!C85</f>
        <v/>
      </c>
      <c r="D64" s="8" t="n">
        <v>9</v>
      </c>
      <c r="E64" s="16">
        <f>Plan!J85</f>
        <v/>
      </c>
      <c r="F64" s="16">
        <f>Plan!K85</f>
        <v/>
      </c>
      <c r="G64" s="8">
        <f>F64-E64</f>
        <v/>
      </c>
      <c r="H64" s="16">
        <f>Plan!I85</f>
        <v/>
      </c>
      <c r="I64" s="16">
        <f>Plan!O85</f>
        <v/>
      </c>
    </row>
    <row r="65">
      <c r="A65" s="8" t="n">
        <v>61</v>
      </c>
      <c r="B65" s="18" t="inlineStr">
        <is>
          <t>4.15</t>
        </is>
      </c>
      <c r="C65" s="35">
        <f>Plan!C81</f>
        <v/>
      </c>
      <c r="D65" s="8" t="n">
        <v>4</v>
      </c>
      <c r="E65" s="16">
        <f>Plan!J81</f>
        <v/>
      </c>
      <c r="F65" s="16">
        <f>Plan!K81</f>
        <v/>
      </c>
      <c r="G65" s="8">
        <f>F65-E65</f>
        <v/>
      </c>
      <c r="H65" s="16">
        <f>Plan!I81</f>
        <v/>
      </c>
      <c r="I65" s="16">
        <f>Plan!O81</f>
        <v/>
      </c>
    </row>
    <row r="66">
      <c r="A66" s="8" t="n">
        <v>62</v>
      </c>
      <c r="B66" s="18" t="inlineStr">
        <is>
          <t>5.14</t>
        </is>
      </c>
      <c r="C66" s="35">
        <f>Plan!C91</f>
        <v/>
      </c>
      <c r="D66" s="8" t="n">
        <v>7</v>
      </c>
      <c r="E66" s="16">
        <f>Plan!J91</f>
        <v/>
      </c>
      <c r="F66" s="16">
        <f>Plan!K91</f>
        <v/>
      </c>
      <c r="G66" s="8">
        <f>F66-E66</f>
        <v/>
      </c>
      <c r="H66" s="16">
        <f>Plan!I91</f>
        <v/>
      </c>
      <c r="I66" s="16">
        <f>Plan!O91</f>
        <v/>
      </c>
    </row>
    <row r="67">
      <c r="A67" s="8" t="n">
        <v>63</v>
      </c>
      <c r="B67" s="18" t="inlineStr">
        <is>
          <t>6.26</t>
        </is>
      </c>
      <c r="C67" s="35">
        <f>Plan!C99</f>
        <v/>
      </c>
      <c r="D67" s="8" t="n">
        <v>4</v>
      </c>
      <c r="E67" s="16">
        <f>Plan!J99</f>
        <v/>
      </c>
      <c r="F67" s="16">
        <f>Plan!K99</f>
        <v/>
      </c>
      <c r="G67" s="8">
        <f>F67-E67</f>
        <v/>
      </c>
      <c r="H67" s="16">
        <f>Plan!I99</f>
        <v/>
      </c>
      <c r="I67" s="16">
        <f>Plan!O99</f>
        <v/>
      </c>
    </row>
    <row r="68">
      <c r="A68" s="8" t="n">
        <v>64</v>
      </c>
      <c r="B68" s="18" t="inlineStr">
        <is>
          <t>4.4</t>
        </is>
      </c>
      <c r="C68" s="35">
        <f>Plan!C40</f>
        <v/>
      </c>
      <c r="D68" s="8" t="n">
        <v>7</v>
      </c>
      <c r="E68" s="16">
        <f>Plan!J40</f>
        <v/>
      </c>
      <c r="F68" s="16">
        <f>Plan!K40</f>
        <v/>
      </c>
      <c r="G68" s="8">
        <f>F68-E68</f>
        <v/>
      </c>
      <c r="H68" s="16">
        <f>Plan!I40</f>
        <v/>
      </c>
      <c r="I68" s="16">
        <f>Plan!O40</f>
        <v/>
      </c>
    </row>
    <row r="69">
      <c r="A69" s="8" t="n">
        <v>65</v>
      </c>
      <c r="B69" s="18" t="inlineStr">
        <is>
          <t>6.2</t>
        </is>
      </c>
      <c r="C69" s="35">
        <f>Plan!C59</f>
        <v/>
      </c>
      <c r="D69" s="8" t="n">
        <v>7</v>
      </c>
      <c r="E69" s="16">
        <f>Plan!J59</f>
        <v/>
      </c>
      <c r="F69" s="16">
        <f>Plan!K59</f>
        <v/>
      </c>
      <c r="G69" s="8">
        <f>F69-E69</f>
        <v/>
      </c>
      <c r="H69" s="16">
        <f>Plan!I59</f>
        <v/>
      </c>
      <c r="I69" s="16">
        <f>Plan!O59</f>
        <v/>
      </c>
    </row>
    <row r="70">
      <c r="A70" s="8" t="n">
        <v>66</v>
      </c>
      <c r="B70" s="18" t="inlineStr">
        <is>
          <t>6.3</t>
        </is>
      </c>
      <c r="C70" s="35">
        <f>Plan!C60</f>
        <v/>
      </c>
      <c r="D70" s="8" t="n">
        <v>8</v>
      </c>
      <c r="E70" s="16">
        <f>Plan!J60</f>
        <v/>
      </c>
      <c r="F70" s="16">
        <f>Plan!K60</f>
        <v/>
      </c>
      <c r="G70" s="8">
        <f>F70-E70</f>
        <v/>
      </c>
      <c r="H70" s="16">
        <f>Plan!I60</f>
        <v/>
      </c>
      <c r="I70" s="16">
        <f>Plan!O60</f>
        <v/>
      </c>
    </row>
    <row r="71">
      <c r="A71" s="8" t="n">
        <v>67</v>
      </c>
      <c r="B71" s="18" t="inlineStr">
        <is>
          <t>6.9</t>
        </is>
      </c>
      <c r="C71" s="35">
        <f>Plan!C66</f>
        <v/>
      </c>
      <c r="D71" s="8" t="n">
        <v>6</v>
      </c>
      <c r="E71" s="16">
        <f>Plan!J66</f>
        <v/>
      </c>
      <c r="F71" s="16">
        <f>Plan!K66</f>
        <v/>
      </c>
      <c r="G71" s="8">
        <f>F71-E71</f>
        <v/>
      </c>
      <c r="H71" s="16">
        <f>Plan!I66</f>
        <v/>
      </c>
      <c r="I71" s="16">
        <f>Plan!O66</f>
        <v/>
      </c>
    </row>
    <row r="72">
      <c r="A72" s="8" t="n">
        <v>68</v>
      </c>
      <c r="B72" s="18" t="inlineStr">
        <is>
          <t>6.8</t>
        </is>
      </c>
      <c r="C72" s="35">
        <f>Plan!C65</f>
        <v/>
      </c>
      <c r="D72" s="8" t="n">
        <v>6</v>
      </c>
      <c r="E72" s="16">
        <f>Plan!J65</f>
        <v/>
      </c>
      <c r="F72" s="16">
        <f>Plan!K65</f>
        <v/>
      </c>
      <c r="G72" s="8">
        <f>F72-E72</f>
        <v/>
      </c>
      <c r="H72" s="16">
        <f>Plan!I65</f>
        <v/>
      </c>
      <c r="I72" s="16">
        <f>Plan!O65</f>
        <v/>
      </c>
    </row>
    <row r="73">
      <c r="A73" s="8" t="n">
        <v>69</v>
      </c>
      <c r="B73" s="18" t="inlineStr">
        <is>
          <t>5.15</t>
        </is>
      </c>
      <c r="C73" s="35">
        <f>Plan!C96</f>
        <v/>
      </c>
      <c r="D73" s="8" t="n">
        <v>5</v>
      </c>
      <c r="E73" s="16">
        <f>Plan!J96</f>
        <v/>
      </c>
      <c r="F73" s="16">
        <f>Plan!K96</f>
        <v/>
      </c>
      <c r="G73" s="8">
        <f>F73-E73</f>
        <v/>
      </c>
      <c r="H73" s="16">
        <f>Plan!I96</f>
        <v/>
      </c>
      <c r="I73" s="16">
        <f>Plan!O96</f>
        <v/>
      </c>
    </row>
    <row r="74">
      <c r="A74" s="8" t="n">
        <v>70</v>
      </c>
      <c r="B74" s="18" t="inlineStr">
        <is>
          <t>5.9</t>
        </is>
      </c>
      <c r="C74" s="35">
        <f>Plan!C56</f>
        <v/>
      </c>
      <c r="D74" s="8" t="n">
        <v>8</v>
      </c>
      <c r="E74" s="16">
        <f>Plan!J56</f>
        <v/>
      </c>
      <c r="F74" s="16">
        <f>Plan!K56</f>
        <v/>
      </c>
      <c r="G74" s="8">
        <f>F74-E74</f>
        <v/>
      </c>
      <c r="H74" s="16">
        <f>Plan!I56</f>
        <v/>
      </c>
      <c r="I74" s="16">
        <f>Plan!O56</f>
        <v/>
      </c>
    </row>
    <row r="75">
      <c r="A75" s="8" t="n">
        <v>71</v>
      </c>
      <c r="B75" s="18" t="inlineStr">
        <is>
          <t>6.31</t>
        </is>
      </c>
      <c r="C75" s="35">
        <f>Plan!C108</f>
        <v/>
      </c>
      <c r="D75" s="8" t="n">
        <v>7</v>
      </c>
      <c r="E75" s="16">
        <f>Plan!J108</f>
        <v/>
      </c>
      <c r="F75" s="16">
        <f>Plan!K108</f>
        <v/>
      </c>
      <c r="G75" s="8">
        <f>F75-E75</f>
        <v/>
      </c>
      <c r="H75" s="16">
        <f>Plan!I108</f>
        <v/>
      </c>
      <c r="I75" s="16">
        <f>Plan!O108</f>
        <v/>
      </c>
    </row>
    <row r="76">
      <c r="A76" s="8" t="n">
        <v>72</v>
      </c>
      <c r="B76" s="18" t="inlineStr">
        <is>
          <t>5.19</t>
        </is>
      </c>
      <c r="C76" s="35">
        <f>Plan!C106</f>
        <v/>
      </c>
      <c r="D76" s="8" t="n">
        <v>5</v>
      </c>
      <c r="E76" s="16">
        <f>Plan!J106</f>
        <v/>
      </c>
      <c r="F76" s="16">
        <f>Plan!K106</f>
        <v/>
      </c>
      <c r="G76" s="8">
        <f>F76-E76</f>
        <v/>
      </c>
      <c r="H76" s="16">
        <f>Plan!I106</f>
        <v/>
      </c>
      <c r="I76" s="16">
        <f>Plan!O106</f>
        <v/>
      </c>
    </row>
    <row r="77">
      <c r="A77" s="8" t="n">
        <v>73</v>
      </c>
      <c r="B77" s="18" t="inlineStr">
        <is>
          <t>5.17</t>
        </is>
      </c>
      <c r="C77" s="35">
        <f>Plan!C98</f>
        <v/>
      </c>
      <c r="D77" s="8" t="n">
        <v>3</v>
      </c>
      <c r="E77" s="16">
        <f>Plan!J98</f>
        <v/>
      </c>
      <c r="F77" s="16">
        <f>Plan!K98</f>
        <v/>
      </c>
      <c r="G77" s="8">
        <f>F77-E77</f>
        <v/>
      </c>
      <c r="H77" s="16">
        <f>Plan!I98</f>
        <v/>
      </c>
      <c r="I77" s="16">
        <f>Plan!O98</f>
        <v/>
      </c>
    </row>
    <row r="78">
      <c r="A78" s="8" t="n">
        <v>74</v>
      </c>
      <c r="B78" s="18" t="inlineStr">
        <is>
          <t>6.5</t>
        </is>
      </c>
      <c r="C78" s="35">
        <f>Plan!C62</f>
        <v/>
      </c>
      <c r="D78" s="8" t="n">
        <v>5</v>
      </c>
      <c r="E78" s="16">
        <f>Plan!J62</f>
        <v/>
      </c>
      <c r="F78" s="16">
        <f>Plan!K62</f>
        <v/>
      </c>
      <c r="G78" s="8">
        <f>F78-E78</f>
        <v/>
      </c>
      <c r="H78" s="16">
        <f>Plan!I62</f>
        <v/>
      </c>
      <c r="I78" s="16">
        <f>Plan!O62</f>
        <v/>
      </c>
    </row>
    <row r="79">
      <c r="A79" s="8" t="n">
        <v>75</v>
      </c>
      <c r="B79" s="18" t="inlineStr">
        <is>
          <t>6.36</t>
        </is>
      </c>
      <c r="C79" s="35">
        <f>Plan!C113</f>
        <v/>
      </c>
      <c r="D79" s="8" t="n">
        <v>4</v>
      </c>
      <c r="E79" s="16">
        <f>Plan!J113</f>
        <v/>
      </c>
      <c r="F79" s="16">
        <f>Plan!K113</f>
        <v/>
      </c>
      <c r="G79" s="8">
        <f>F79-E79</f>
        <v/>
      </c>
      <c r="H79" s="16">
        <f>Plan!I113</f>
        <v/>
      </c>
      <c r="I79" s="16">
        <f>Plan!O113</f>
        <v/>
      </c>
    </row>
    <row r="80">
      <c r="A80" s="8" t="n">
        <v>76</v>
      </c>
      <c r="B80" s="18" t="inlineStr">
        <is>
          <t>6.32</t>
        </is>
      </c>
      <c r="C80" s="35">
        <f>Plan!C109</f>
        <v/>
      </c>
      <c r="D80" s="8" t="n">
        <v>5</v>
      </c>
      <c r="E80" s="16">
        <f>Plan!J109</f>
        <v/>
      </c>
      <c r="F80" s="16">
        <f>Plan!K109</f>
        <v/>
      </c>
      <c r="G80" s="8">
        <f>F80-E80</f>
        <v/>
      </c>
      <c r="H80" s="16">
        <f>Plan!I109</f>
        <v/>
      </c>
      <c r="I80" s="16">
        <f>Plan!O109</f>
        <v/>
      </c>
    </row>
    <row r="81">
      <c r="A81" s="8" t="n">
        <v>77</v>
      </c>
      <c r="B81" s="18" t="inlineStr">
        <is>
          <t>4.8</t>
        </is>
      </c>
      <c r="C81" s="35">
        <f>Plan!C44</f>
        <v/>
      </c>
      <c r="D81" s="8" t="n">
        <v>4</v>
      </c>
      <c r="E81" s="16">
        <f>Plan!J44</f>
        <v/>
      </c>
      <c r="F81" s="16">
        <f>Plan!K44</f>
        <v/>
      </c>
      <c r="G81" s="8">
        <f>F81-E81</f>
        <v/>
      </c>
      <c r="H81" s="16">
        <f>Plan!I44</f>
        <v/>
      </c>
      <c r="I81" s="16">
        <f>Plan!O44</f>
        <v/>
      </c>
    </row>
    <row r="82">
      <c r="A82" s="8" t="n">
        <v>78</v>
      </c>
      <c r="B82" s="18" t="inlineStr">
        <is>
          <t>6.33</t>
        </is>
      </c>
      <c r="C82" s="35">
        <f>Plan!C110</f>
        <v/>
      </c>
      <c r="D82" s="8" t="n">
        <v>6</v>
      </c>
      <c r="E82" s="16">
        <f>Plan!J110</f>
        <v/>
      </c>
      <c r="F82" s="16">
        <f>Plan!K110</f>
        <v/>
      </c>
      <c r="G82" s="8">
        <f>F82-E82</f>
        <v/>
      </c>
      <c r="H82" s="16">
        <f>Plan!I110</f>
        <v/>
      </c>
      <c r="I82" s="16">
        <f>Plan!O110</f>
        <v/>
      </c>
    </row>
    <row r="83">
      <c r="A83" s="8" t="n">
        <v>79</v>
      </c>
      <c r="B83" s="18" t="inlineStr">
        <is>
          <t>5.11</t>
        </is>
      </c>
      <c r="C83" s="35">
        <f>Plan!C84</f>
        <v/>
      </c>
      <c r="D83" s="8" t="n">
        <v>2</v>
      </c>
      <c r="E83" s="16">
        <f>Plan!J84</f>
        <v/>
      </c>
      <c r="F83" s="16">
        <f>Plan!K84</f>
        <v/>
      </c>
      <c r="G83" s="8">
        <f>F83-E83</f>
        <v/>
      </c>
      <c r="H83" s="16">
        <f>Plan!I84</f>
        <v/>
      </c>
      <c r="I83" s="16">
        <f>Plan!O84</f>
        <v/>
      </c>
    </row>
    <row r="84">
      <c r="A84" s="8" t="n">
        <v>80</v>
      </c>
      <c r="B84" s="18" t="inlineStr">
        <is>
          <t>4.19</t>
        </is>
      </c>
      <c r="C84" s="35">
        <f>Plan!C94</f>
        <v/>
      </c>
      <c r="D84" s="8" t="n">
        <v>6</v>
      </c>
      <c r="E84" s="16">
        <f>Plan!J94</f>
        <v/>
      </c>
      <c r="F84" s="16">
        <f>Plan!K94</f>
        <v/>
      </c>
      <c r="G84" s="8">
        <f>F84-E84</f>
        <v/>
      </c>
      <c r="H84" s="16">
        <f>Plan!I94</f>
        <v/>
      </c>
      <c r="I84" s="16">
        <f>Plan!O94</f>
        <v/>
      </c>
    </row>
    <row r="85">
      <c r="A85" s="8" t="n">
        <v>81</v>
      </c>
      <c r="B85" s="18" t="inlineStr">
        <is>
          <t>5.7</t>
        </is>
      </c>
      <c r="C85" s="35">
        <f>Plan!C54</f>
        <v/>
      </c>
      <c r="D85" s="8" t="n">
        <v>3</v>
      </c>
      <c r="E85" s="16">
        <f>Plan!J54</f>
        <v/>
      </c>
      <c r="F85" s="16">
        <f>Plan!K54</f>
        <v/>
      </c>
      <c r="G85" s="8">
        <f>F85-E85</f>
        <v/>
      </c>
      <c r="H85" s="16">
        <f>Plan!I54</f>
        <v/>
      </c>
      <c r="I85" s="16">
        <f>Plan!O54</f>
        <v/>
      </c>
    </row>
    <row r="86">
      <c r="A86" s="8" t="n">
        <v>82</v>
      </c>
      <c r="B86" s="18" t="inlineStr">
        <is>
          <t>6.30</t>
        </is>
      </c>
      <c r="C86" s="35">
        <f>Plan!C107</f>
        <v/>
      </c>
      <c r="D86" s="8" t="n">
        <v>1</v>
      </c>
      <c r="E86" s="16">
        <f>Plan!J107</f>
        <v/>
      </c>
      <c r="F86" s="16">
        <f>Plan!K107</f>
        <v/>
      </c>
      <c r="G86" s="8">
        <f>F86-E86</f>
        <v/>
      </c>
      <c r="H86" s="16">
        <f>Plan!I107</f>
        <v/>
      </c>
      <c r="I86" s="16">
        <f>Plan!O107</f>
        <v/>
      </c>
    </row>
    <row r="87">
      <c r="A87" s="8" t="n">
        <v>83</v>
      </c>
      <c r="B87" s="18" t="inlineStr">
        <is>
          <t>4.18</t>
        </is>
      </c>
      <c r="C87" s="35">
        <f>Plan!C93</f>
        <v/>
      </c>
      <c r="D87" s="8" t="n">
        <v>4</v>
      </c>
      <c r="E87" s="16">
        <f>Plan!J93</f>
        <v/>
      </c>
      <c r="F87" s="16">
        <f>Plan!K93</f>
        <v/>
      </c>
      <c r="G87" s="8">
        <f>F87-E87</f>
        <v/>
      </c>
      <c r="H87" s="16">
        <f>Plan!I93</f>
        <v/>
      </c>
      <c r="I87" s="16">
        <f>Plan!O93</f>
        <v/>
      </c>
    </row>
    <row r="88">
      <c r="A88" s="8" t="n">
        <v>84</v>
      </c>
      <c r="B88" s="18" t="inlineStr">
        <is>
          <t>6.34</t>
        </is>
      </c>
      <c r="C88" s="35">
        <f>Plan!C111</f>
        <v/>
      </c>
      <c r="D88" s="8" t="n">
        <v>4</v>
      </c>
      <c r="E88" s="16">
        <f>Plan!J111</f>
        <v/>
      </c>
      <c r="F88" s="16">
        <f>Plan!K111</f>
        <v/>
      </c>
      <c r="G88" s="8">
        <f>F88-E88</f>
        <v/>
      </c>
      <c r="H88" s="16">
        <f>Plan!I111</f>
        <v/>
      </c>
      <c r="I88" s="16">
        <f>Plan!O111</f>
        <v/>
      </c>
    </row>
    <row r="89">
      <c r="A89" s="8" t="n">
        <v>85</v>
      </c>
      <c r="B89" s="18" t="inlineStr">
        <is>
          <t>6.39</t>
        </is>
      </c>
      <c r="C89" s="35">
        <f>Plan!C116</f>
        <v/>
      </c>
      <c r="D89" s="8" t="n">
        <v>3</v>
      </c>
      <c r="E89" s="16">
        <f>Plan!J116</f>
        <v/>
      </c>
      <c r="F89" s="16">
        <f>Plan!K116</f>
        <v/>
      </c>
      <c r="G89" s="8">
        <f>F89-E89</f>
        <v/>
      </c>
      <c r="H89" s="16">
        <f>Plan!I116</f>
        <v/>
      </c>
      <c r="I89" s="16">
        <f>Plan!O116</f>
        <v/>
      </c>
    </row>
    <row r="90">
      <c r="A90" s="8" t="n">
        <v>86</v>
      </c>
      <c r="B90" s="18" t="inlineStr">
        <is>
          <t>4.7</t>
        </is>
      </c>
      <c r="C90" s="35">
        <f>Plan!C43</f>
        <v/>
      </c>
      <c r="D90" s="8" t="n">
        <v>5</v>
      </c>
      <c r="E90" s="16">
        <f>Plan!J43</f>
        <v/>
      </c>
      <c r="F90" s="16">
        <f>Plan!K43</f>
        <v/>
      </c>
      <c r="G90" s="8">
        <f>F90-E90</f>
        <v/>
      </c>
      <c r="H90" s="16">
        <f>Plan!I43</f>
        <v/>
      </c>
      <c r="I90" s="16">
        <f>Plan!O43</f>
        <v/>
      </c>
    </row>
    <row r="91">
      <c r="A91" s="8" t="n">
        <v>87</v>
      </c>
      <c r="B91" s="18" t="inlineStr">
        <is>
          <t>3.2</t>
        </is>
      </c>
      <c r="C91" s="35">
        <f>Plan!C29</f>
        <v/>
      </c>
      <c r="D91" s="8" t="n">
        <v>3</v>
      </c>
      <c r="E91" s="16">
        <f>Plan!J29</f>
        <v/>
      </c>
      <c r="F91" s="16">
        <f>Plan!K29</f>
        <v/>
      </c>
      <c r="G91" s="8">
        <f>F91-E91</f>
        <v/>
      </c>
      <c r="H91" s="16">
        <f>Plan!I29</f>
        <v/>
      </c>
      <c r="I91" s="16">
        <f>Plan!O29</f>
        <v/>
      </c>
    </row>
    <row r="92">
      <c r="A92" s="8" t="n">
        <v>88</v>
      </c>
      <c r="B92" s="18" t="inlineStr">
        <is>
          <t>6.35</t>
        </is>
      </c>
      <c r="C92" s="35">
        <f>Plan!C112</f>
        <v/>
      </c>
      <c r="D92" s="8" t="n">
        <v>1</v>
      </c>
      <c r="E92" s="16">
        <f>Plan!J112</f>
        <v/>
      </c>
      <c r="F92" s="16">
        <f>Plan!K112</f>
        <v/>
      </c>
      <c r="G92" s="8">
        <f>F92-E92</f>
        <v/>
      </c>
      <c r="H92" s="16">
        <f>Plan!I112</f>
        <v/>
      </c>
      <c r="I92" s="16">
        <f>Plan!O112</f>
        <v/>
      </c>
    </row>
    <row r="93">
      <c r="A93" s="8" t="n">
        <v>89</v>
      </c>
      <c r="B93" s="18" t="inlineStr">
        <is>
          <t>5.16</t>
        </is>
      </c>
      <c r="C93" s="35">
        <f>Plan!C97</f>
        <v/>
      </c>
      <c r="D93" s="8" t="n">
        <v>2</v>
      </c>
      <c r="E93" s="16">
        <f>Plan!J97</f>
        <v/>
      </c>
      <c r="F93" s="16">
        <f>Plan!K97</f>
        <v/>
      </c>
      <c r="G93" s="8">
        <f>F93-E93</f>
        <v/>
      </c>
      <c r="H93" s="16">
        <f>Plan!I97</f>
        <v/>
      </c>
      <c r="I93" s="16">
        <f>Plan!O97</f>
        <v/>
      </c>
    </row>
    <row r="94">
      <c r="A94" s="8" t="n">
        <v>90</v>
      </c>
      <c r="B94" s="18" t="inlineStr">
        <is>
          <t>6.24</t>
        </is>
      </c>
      <c r="C94" s="35">
        <f>Plan!C88</f>
        <v/>
      </c>
      <c r="D94" s="8" t="n">
        <v>1</v>
      </c>
      <c r="E94" s="16">
        <f>Plan!J88</f>
        <v/>
      </c>
      <c r="F94" s="16">
        <f>Plan!K88</f>
        <v/>
      </c>
      <c r="G94" s="8">
        <f>F94-E94</f>
        <v/>
      </c>
      <c r="H94" s="16">
        <f>Plan!I88</f>
        <v/>
      </c>
      <c r="I94" s="16">
        <f>Plan!O88</f>
        <v/>
      </c>
    </row>
    <row r="95">
      <c r="A95" s="8" t="n">
        <v>91</v>
      </c>
      <c r="B95" s="18" t="inlineStr">
        <is>
          <t>4.16</t>
        </is>
      </c>
      <c r="C95" s="35">
        <f>Plan!C90</f>
        <v/>
      </c>
      <c r="D95" s="8" t="n">
        <v>3</v>
      </c>
      <c r="E95" s="16">
        <f>Plan!J90</f>
        <v/>
      </c>
      <c r="F95" s="16">
        <f>Plan!K90</f>
        <v/>
      </c>
      <c r="G95" s="8">
        <f>F95-E95</f>
        <v/>
      </c>
      <c r="H95" s="16">
        <f>Plan!I90</f>
        <v/>
      </c>
      <c r="I95" s="16">
        <f>Plan!O90</f>
        <v/>
      </c>
    </row>
    <row r="96">
      <c r="A96" s="8" t="n">
        <v>92</v>
      </c>
      <c r="B96" s="18" t="inlineStr">
        <is>
          <t>5.8</t>
        </is>
      </c>
      <c r="C96" s="35">
        <f>Plan!C55</f>
        <v/>
      </c>
      <c r="D96" s="8" t="n">
        <v>1</v>
      </c>
      <c r="E96" s="16">
        <f>Plan!J55</f>
        <v/>
      </c>
      <c r="F96" s="16">
        <f>Plan!K55</f>
        <v/>
      </c>
      <c r="G96" s="8">
        <f>F96-E96</f>
        <v/>
      </c>
      <c r="H96" s="16">
        <f>Plan!I55</f>
        <v/>
      </c>
      <c r="I96" s="16">
        <f>Plan!O55</f>
        <v/>
      </c>
    </row>
    <row r="97">
      <c r="A97" s="8" t="n">
        <v>93</v>
      </c>
      <c r="B97" s="18" t="inlineStr">
        <is>
          <t>4.22</t>
        </is>
      </c>
      <c r="C97" s="35">
        <f>Plan!C104</f>
        <v/>
      </c>
      <c r="D97" s="8" t="n">
        <v>1</v>
      </c>
      <c r="E97" s="16">
        <f>Plan!J104</f>
        <v/>
      </c>
      <c r="F97" s="16">
        <f>Plan!K104</f>
        <v/>
      </c>
      <c r="G97" s="8">
        <f>F97-E97</f>
        <v/>
      </c>
      <c r="H97" s="16">
        <f>Plan!I104</f>
        <v/>
      </c>
      <c r="I97" s="16">
        <f>Plan!O104</f>
        <v/>
      </c>
    </row>
    <row r="98">
      <c r="A98" s="8" t="n">
        <v>94</v>
      </c>
      <c r="B98" s="18" t="inlineStr">
        <is>
          <t>6.25</t>
        </is>
      </c>
      <c r="C98" s="35">
        <f>Plan!C89</f>
        <v/>
      </c>
      <c r="D98" s="8" t="n">
        <v>3</v>
      </c>
      <c r="E98" s="16">
        <f>Plan!J89</f>
        <v/>
      </c>
      <c r="F98" s="16">
        <f>Plan!K89</f>
        <v/>
      </c>
      <c r="G98" s="8">
        <f>F98-E98</f>
        <v/>
      </c>
      <c r="H98" s="16">
        <f>Plan!I89</f>
        <v/>
      </c>
      <c r="I98" s="16">
        <f>Plan!O89</f>
        <v/>
      </c>
    </row>
    <row r="99">
      <c r="A99" s="8" t="n">
        <v>95</v>
      </c>
      <c r="B99" s="18" t="inlineStr">
        <is>
          <t>6.27</t>
        </is>
      </c>
      <c r="C99" s="35">
        <f>Plan!C100</f>
        <v/>
      </c>
      <c r="D99" s="8" t="n">
        <v>2</v>
      </c>
      <c r="E99" s="16">
        <f>Plan!J100</f>
        <v/>
      </c>
      <c r="F99" s="16">
        <f>Plan!K100</f>
        <v/>
      </c>
      <c r="G99" s="8">
        <f>F99-E99</f>
        <v/>
      </c>
      <c r="H99" s="16">
        <f>Plan!I100</f>
        <v/>
      </c>
      <c r="I99" s="16">
        <f>Plan!O100</f>
        <v/>
      </c>
    </row>
    <row r="100">
      <c r="A100" s="8" t="n">
        <v>96</v>
      </c>
      <c r="B100" s="18" t="inlineStr">
        <is>
          <t>6.40</t>
        </is>
      </c>
      <c r="C100" s="35">
        <f>Plan!C117</f>
        <v/>
      </c>
      <c r="D100" s="8" t="n">
        <v>2</v>
      </c>
      <c r="E100" s="16">
        <f>Plan!J117</f>
        <v/>
      </c>
      <c r="F100" s="16">
        <f>Plan!K117</f>
        <v/>
      </c>
      <c r="G100" s="8">
        <f>F100-E100</f>
        <v/>
      </c>
      <c r="H100" s="16">
        <f>Plan!I117</f>
        <v/>
      </c>
      <c r="I100" s="16">
        <f>Plan!O117</f>
        <v/>
      </c>
    </row>
    <row r="101">
      <c r="A101" s="8" t="n">
        <v>97</v>
      </c>
      <c r="B101" s="18" t="inlineStr">
        <is>
          <t>4.21</t>
        </is>
      </c>
      <c r="C101" s="35">
        <f>Plan!C103</f>
        <v/>
      </c>
      <c r="D101" s="8" t="n">
        <v>3</v>
      </c>
      <c r="E101" s="16">
        <f>Plan!J103</f>
        <v/>
      </c>
      <c r="F101" s="16">
        <f>Plan!K103</f>
        <v/>
      </c>
      <c r="G101" s="8">
        <f>F101-E101</f>
        <v/>
      </c>
      <c r="H101" s="16">
        <f>Plan!I103</f>
        <v/>
      </c>
      <c r="I101" s="16">
        <f>Plan!O103</f>
        <v/>
      </c>
    </row>
    <row r="102">
      <c r="A102" s="8" t="n">
        <v>98</v>
      </c>
      <c r="B102" s="18" t="inlineStr">
        <is>
          <t>4.9</t>
        </is>
      </c>
      <c r="C102" s="35">
        <f>Plan!C45</f>
        <v/>
      </c>
      <c r="D102" s="8" t="n">
        <v>2</v>
      </c>
      <c r="E102" s="16">
        <f>Plan!J45</f>
        <v/>
      </c>
      <c r="F102" s="16">
        <f>Plan!K45</f>
        <v/>
      </c>
      <c r="G102" s="8">
        <f>F102-E102</f>
        <v/>
      </c>
      <c r="H102" s="16">
        <f>Plan!I45</f>
        <v/>
      </c>
      <c r="I102" s="16">
        <f>Plan!O45</f>
        <v/>
      </c>
    </row>
    <row r="103">
      <c r="A103" s="8" t="n">
        <v>99</v>
      </c>
      <c r="B103" s="18" t="inlineStr">
        <is>
          <t>5.18</t>
        </is>
      </c>
      <c r="C103" s="35">
        <f>Plan!C105</f>
        <v/>
      </c>
      <c r="D103" s="8" t="n">
        <v>1</v>
      </c>
      <c r="E103" s="16">
        <f>Plan!J105</f>
        <v/>
      </c>
      <c r="F103" s="16">
        <f>Plan!K105</f>
        <v/>
      </c>
      <c r="G103" s="8">
        <f>F103-E103</f>
        <v/>
      </c>
      <c r="H103" s="16">
        <f>Plan!I105</f>
        <v/>
      </c>
      <c r="I103" s="16">
        <f>Plan!O105</f>
        <v/>
      </c>
    </row>
    <row r="104">
      <c r="A104" s="8" t="n">
        <v>100</v>
      </c>
      <c r="B104" s="18" t="inlineStr">
        <is>
          <t>6.28</t>
        </is>
      </c>
      <c r="C104" s="35">
        <f>Plan!C101</f>
        <v/>
      </c>
      <c r="D104" s="8" t="n">
        <v>2</v>
      </c>
      <c r="E104" s="16">
        <f>Plan!J101</f>
        <v/>
      </c>
      <c r="F104" s="16">
        <f>Plan!K101</f>
        <v/>
      </c>
      <c r="G104" s="8">
        <f>F104-E104</f>
        <v/>
      </c>
      <c r="H104" s="16">
        <f>Plan!I101</f>
        <v/>
      </c>
      <c r="I104" s="16">
        <f>Plan!O101</f>
        <v/>
      </c>
    </row>
    <row r="105">
      <c r="A105" s="8" t="n">
        <v>101</v>
      </c>
      <c r="B105" s="18" t="inlineStr">
        <is>
          <t>2.13</t>
        </is>
      </c>
      <c r="C105" s="35">
        <f>Plan!C25</f>
        <v/>
      </c>
      <c r="D105" s="8" t="n">
        <v>1</v>
      </c>
      <c r="E105" s="16">
        <f>Plan!J25</f>
        <v/>
      </c>
      <c r="F105" s="16">
        <f>Plan!K25</f>
        <v/>
      </c>
      <c r="G105" s="8">
        <f>F105-E105</f>
        <v/>
      </c>
      <c r="H105" s="16">
        <f>Plan!I25</f>
        <v/>
      </c>
      <c r="I105" s="16">
        <f>Plan!O25</f>
        <v/>
      </c>
    </row>
    <row r="106">
      <c r="A106" s="8" t="n">
        <v>102</v>
      </c>
      <c r="B106" s="18" t="inlineStr">
        <is>
          <t>5.13</t>
        </is>
      </c>
      <c r="C106" s="35">
        <f>Plan!C86</f>
        <v/>
      </c>
      <c r="D106" s="8" t="n">
        <v>1</v>
      </c>
      <c r="E106" s="16">
        <f>Plan!J86</f>
        <v/>
      </c>
      <c r="F106" s="16">
        <f>Plan!K86</f>
        <v/>
      </c>
      <c r="G106" s="8">
        <f>F106-E106</f>
        <v/>
      </c>
      <c r="H106" s="16">
        <f>Plan!I86</f>
        <v/>
      </c>
      <c r="I106" s="16">
        <f>Plan!O86</f>
        <v/>
      </c>
    </row>
    <row r="107">
      <c r="A107" s="8" t="n">
        <v>103</v>
      </c>
      <c r="B107" s="18" t="inlineStr">
        <is>
          <t>6.37</t>
        </is>
      </c>
      <c r="C107" s="35">
        <f>Plan!C114</f>
        <v/>
      </c>
      <c r="D107" s="8" t="n">
        <v>1</v>
      </c>
      <c r="E107" s="16">
        <f>Plan!J114</f>
        <v/>
      </c>
      <c r="F107" s="16">
        <f>Plan!K114</f>
        <v/>
      </c>
      <c r="G107" s="8">
        <f>F107-E107</f>
        <v/>
      </c>
      <c r="H107" s="16">
        <f>Plan!I114</f>
        <v/>
      </c>
      <c r="I107" s="16">
        <f>Plan!O114</f>
        <v/>
      </c>
    </row>
    <row r="108">
      <c r="A108" s="8" t="n">
        <v>104</v>
      </c>
      <c r="B108" s="18" t="inlineStr">
        <is>
          <t>5.10</t>
        </is>
      </c>
      <c r="C108" s="35">
        <f>Plan!C57</f>
        <v/>
      </c>
      <c r="D108" s="8" t="n">
        <v>2</v>
      </c>
      <c r="E108" s="16">
        <f>Plan!J57</f>
        <v/>
      </c>
      <c r="F108" s="16">
        <f>Plan!K57</f>
        <v/>
      </c>
      <c r="G108" s="8">
        <f>F108-E108</f>
        <v/>
      </c>
      <c r="H108" s="16">
        <f>Plan!I57</f>
        <v/>
      </c>
      <c r="I108" s="16">
        <f>Plan!O57</f>
        <v/>
      </c>
    </row>
    <row r="109">
      <c r="A109" s="8" t="n">
        <v>105</v>
      </c>
      <c r="B109" s="18" t="inlineStr">
        <is>
          <t>6.21</t>
        </is>
      </c>
      <c r="C109" s="35">
        <f>Plan!C82</f>
        <v/>
      </c>
      <c r="D109" s="8" t="n">
        <v>2</v>
      </c>
      <c r="E109" s="16">
        <f>Plan!J82</f>
        <v/>
      </c>
      <c r="F109" s="16">
        <f>Plan!K82</f>
        <v/>
      </c>
      <c r="G109" s="8">
        <f>F109-E109</f>
        <v/>
      </c>
      <c r="H109" s="16">
        <f>Plan!I82</f>
        <v/>
      </c>
      <c r="I109" s="16">
        <f>Plan!O82</f>
        <v/>
      </c>
    </row>
    <row r="110">
      <c r="A110" s="8" t="n">
        <v>106</v>
      </c>
      <c r="B110" s="18" t="inlineStr">
        <is>
          <t>6.15</t>
        </is>
      </c>
      <c r="C110" s="35">
        <f>Plan!C72</f>
        <v/>
      </c>
      <c r="D110" s="8" t="n">
        <v>1</v>
      </c>
      <c r="E110" s="16">
        <f>Plan!J72</f>
        <v/>
      </c>
      <c r="F110" s="16">
        <f>Plan!K72</f>
        <v/>
      </c>
      <c r="G110" s="8">
        <f>F110-E110</f>
        <v/>
      </c>
      <c r="H110" s="16">
        <f>Plan!I72</f>
        <v/>
      </c>
      <c r="I110" s="16">
        <f>Plan!O72</f>
        <v/>
      </c>
    </row>
    <row r="111">
      <c r="A111" s="8" t="n">
        <v>107</v>
      </c>
      <c r="B111" s="18" t="inlineStr">
        <is>
          <t>6.29</t>
        </is>
      </c>
      <c r="C111" s="35">
        <f>Plan!C102</f>
        <v/>
      </c>
      <c r="D111" s="8" t="n">
        <v>1</v>
      </c>
      <c r="E111" s="16">
        <f>Plan!J102</f>
        <v/>
      </c>
      <c r="F111" s="16">
        <f>Plan!K102</f>
        <v/>
      </c>
      <c r="G111" s="8">
        <f>F111-E111</f>
        <v/>
      </c>
      <c r="H111" s="16">
        <f>Plan!I102</f>
        <v/>
      </c>
      <c r="I111" s="16">
        <f>Plan!O102</f>
        <v/>
      </c>
    </row>
    <row r="112">
      <c r="A112" s="8" t="n">
        <v>108</v>
      </c>
      <c r="B112" s="18" t="inlineStr">
        <is>
          <t>6.23</t>
        </is>
      </c>
      <c r="C112" s="35">
        <f>Plan!C87</f>
        <v/>
      </c>
      <c r="D112" s="8" t="n">
        <v>1</v>
      </c>
      <c r="E112" s="16">
        <f>Plan!J87</f>
        <v/>
      </c>
      <c r="F112" s="16">
        <f>Plan!K87</f>
        <v/>
      </c>
      <c r="G112" s="8">
        <f>F112-E112</f>
        <v/>
      </c>
      <c r="H112" s="16">
        <f>Plan!I87</f>
        <v/>
      </c>
      <c r="I112" s="16">
        <f>Plan!O87</f>
        <v/>
      </c>
    </row>
    <row r="113">
      <c r="A113" s="8" t="n">
        <v>109</v>
      </c>
      <c r="B113" s="18" t="inlineStr">
        <is>
          <t>6.12</t>
        </is>
      </c>
      <c r="C113" s="35">
        <f>Plan!C69</f>
        <v/>
      </c>
      <c r="D113" s="8" t="n">
        <v>1</v>
      </c>
      <c r="E113" s="16">
        <f>Plan!J69</f>
        <v/>
      </c>
      <c r="F113" s="16">
        <f>Plan!K69</f>
        <v/>
      </c>
      <c r="G113" s="8">
        <f>F113-E113</f>
        <v/>
      </c>
      <c r="H113" s="16">
        <f>Plan!I69</f>
        <v/>
      </c>
      <c r="I113" s="16">
        <f>Plan!O69</f>
        <v/>
      </c>
    </row>
    <row r="114">
      <c r="A114" s="8" t="n">
        <v>110</v>
      </c>
      <c r="B114" s="18" t="inlineStr">
        <is>
          <t>6.14</t>
        </is>
      </c>
      <c r="C114" s="35">
        <f>Plan!C71</f>
        <v/>
      </c>
      <c r="D114" s="8" t="n">
        <v>1</v>
      </c>
      <c r="E114" s="16">
        <f>Plan!J71</f>
        <v/>
      </c>
      <c r="F114" s="16">
        <f>Plan!K71</f>
        <v/>
      </c>
      <c r="G114" s="8">
        <f>F114-E114</f>
        <v/>
      </c>
      <c r="H114" s="16">
        <f>Plan!I71</f>
        <v/>
      </c>
      <c r="I114" s="16">
        <f>Plan!O71</f>
        <v/>
      </c>
    </row>
    <row r="115">
      <c r="A115" s="8" t="n">
        <v>111</v>
      </c>
      <c r="B115" s="18" t="inlineStr">
        <is>
          <t>6.6</t>
        </is>
      </c>
      <c r="C115" s="35">
        <f>Plan!C63</f>
        <v/>
      </c>
      <c r="D115" s="8" t="n">
        <v>3</v>
      </c>
      <c r="E115" s="16">
        <f>Plan!J63</f>
        <v/>
      </c>
      <c r="F115" s="16">
        <f>Plan!K63</f>
        <v/>
      </c>
      <c r="G115" s="8">
        <f>F115-E115</f>
        <v/>
      </c>
      <c r="H115" s="16">
        <f>Plan!I63</f>
        <v/>
      </c>
      <c r="I115" s="16">
        <f>Plan!O63</f>
        <v/>
      </c>
    </row>
    <row r="116">
      <c r="A116" s="8" t="n">
        <v>112</v>
      </c>
      <c r="B116" s="18" t="inlineStr">
        <is>
          <t>6.7</t>
        </is>
      </c>
      <c r="C116" s="35">
        <f>Plan!C64</f>
        <v/>
      </c>
      <c r="D116" s="8" t="n">
        <v>1</v>
      </c>
      <c r="E116" s="16">
        <f>Plan!J64</f>
        <v/>
      </c>
      <c r="F116" s="16">
        <f>Plan!K64</f>
        <v/>
      </c>
      <c r="G116" s="8">
        <f>F116-E116</f>
        <v/>
      </c>
      <c r="H116" s="16">
        <f>Plan!I64</f>
        <v/>
      </c>
      <c r="I116" s="16">
        <f>Plan!O64</f>
        <v/>
      </c>
    </row>
    <row r="117">
      <c r="A117" s="8" t="n">
        <v>113</v>
      </c>
      <c r="B117" s="18" t="inlineStr">
        <is>
          <t>5.3</t>
        </is>
      </c>
      <c r="C117" s="35">
        <f>Plan!C50</f>
        <v/>
      </c>
      <c r="D117" s="8" t="n">
        <v>2</v>
      </c>
      <c r="E117" s="16">
        <f>Plan!J50</f>
        <v/>
      </c>
      <c r="F117" s="16">
        <f>Plan!K50</f>
        <v/>
      </c>
      <c r="G117" s="8">
        <f>F117-E117</f>
        <v/>
      </c>
      <c r="H117" s="16">
        <f>Plan!I50</f>
        <v/>
      </c>
      <c r="I117" s="16">
        <f>Plan!O50</f>
        <v/>
      </c>
    </row>
    <row r="119">
      <c r="B119" s="3" t="inlineStr">
        <is>
          <t>Estadísticas de la cola</t>
        </is>
      </c>
    </row>
    <row r="120">
      <c r="B120" s="23" t="inlineStr">
        <is>
          <t>Fila</t>
        </is>
      </c>
      <c r="C120" s="23" t="inlineStr">
        <is>
          <t>Actividades</t>
        </is>
      </c>
      <c r="D120" s="23" t="inlineStr">
        <is>
          <t>Bloques ocupados</t>
        </is>
      </c>
      <c r="E120" s="23" t="inlineStr">
        <is>
          <t>Uso</t>
        </is>
      </c>
      <c r="F120" s="23" t="inlineStr">
        <is>
          <t>Espera promedio</t>
        </is>
      </c>
    </row>
    <row r="121">
      <c r="B121" s="18" t="inlineStr">
        <is>
          <t>A</t>
        </is>
      </c>
      <c r="C121" s="15">
        <f>COUNTIF($H$5:$H$117,B121)</f>
        <v/>
      </c>
      <c r="D121" s="15">
        <f>SUMIF(Plan!$I$5:$I$117,B121,Plan!$E$5:$E$117)</f>
        <v/>
      </c>
      <c r="E121" s="36">
        <f>IF(Resumen!$C$17=0,0,D121/Resumen!$C$17)</f>
        <v/>
      </c>
      <c r="F121" s="37">
        <f>IFERROR(AVERAGEIF($H$5:$H$117,B121,$G$5:$G$117),0)</f>
        <v/>
      </c>
    </row>
    <row r="122">
      <c r="B122" s="18" t="inlineStr">
        <is>
          <t>B</t>
        </is>
      </c>
      <c r="C122" s="15">
        <f>COUNTIF($H$5:$H$117,B122)</f>
        <v/>
      </c>
      <c r="D122" s="15">
        <f>SUMIF(Plan!$I$5:$I$117,B122,Plan!$E$5:$E$117)</f>
        <v/>
      </c>
      <c r="E122" s="36">
        <f>IF(Resumen!$C$17=0,0,D122/Resumen!$C$17)</f>
        <v/>
      </c>
      <c r="F122" s="37">
        <f>IFERROR(AVERAGEIF($H$5:$H$117,B122,$G$5:$G$117),0)</f>
        <v/>
      </c>
    </row>
    <row r="123">
      <c r="B123" s="18" t="inlineStr">
        <is>
          <t>A+B</t>
        </is>
      </c>
      <c r="C123" s="15">
        <f>COUNTIF($H$5:$H$117,B123)</f>
        <v/>
      </c>
      <c r="D123" s="15">
        <f>SUMIF(Plan!$I$5:$I$117,B123,Plan!$E$5:$E$117)</f>
        <v/>
      </c>
      <c r="E123" s="36">
        <f>IF(Resumen!$C$17=0,0,D123/Resumen!$C$17)</f>
        <v/>
      </c>
      <c r="F123" s="37">
        <f>IFERROR(AVERAGEIF($H$5:$H$117,B123,$G$5:$G$117),0)</f>
        <v/>
      </c>
    </row>
    <row r="124">
      <c r="B124" s="19" t="inlineStr">
        <is>
          <t>Total</t>
        </is>
      </c>
      <c r="C124" s="9">
        <f>SUM(C121:C123)</f>
        <v/>
      </c>
      <c r="F124" s="11">
        <f>AVERAGE($G$5:$G$117)</f>
        <v/>
      </c>
    </row>
  </sheetData>
  <conditionalFormatting sqref="I5:I117">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17">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COUNTIF(Plan!$D$5:$D$117,A5)</f>
        <v/>
      </c>
    </row>
    <row r="6">
      <c r="A6" s="18" t="n">
        <v>2</v>
      </c>
      <c r="B6" s="4" t="inlineStr">
        <is>
          <t>Baja</t>
        </is>
      </c>
      <c r="C6" s="8" t="n">
        <v>2</v>
      </c>
      <c r="D6" s="4" t="inlineStr">
        <is>
          <t>1 jornada</t>
        </is>
      </c>
      <c r="E6" s="7" t="inlineStr">
        <is>
          <t>SMTP con Resend; proteger /cuenta en proxy.ts</t>
        </is>
      </c>
      <c r="F6" s="15">
        <f>COUNTIF(Plan!$D$5:$D$117,A6)</f>
        <v/>
      </c>
    </row>
    <row r="7">
      <c r="A7" s="18" t="n">
        <v>3</v>
      </c>
      <c r="B7" s="4" t="inlineStr">
        <is>
          <t>Media</t>
        </is>
      </c>
      <c r="C7" s="8" t="n">
        <v>3</v>
      </c>
      <c r="D7" s="4" t="inlineStr">
        <is>
          <t>1,5 jornadas</t>
        </is>
      </c>
      <c r="E7" s="7" t="inlineStr">
        <is>
          <t>Verificación del código OTP; /cuenta con datos reales</t>
        </is>
      </c>
      <c r="F7" s="15">
        <f>COUNTIF(Plan!$D$5:$D$117,A7)</f>
        <v/>
      </c>
    </row>
    <row r="8">
      <c r="A8" s="18" t="n">
        <v>4</v>
      </c>
      <c r="B8" s="4" t="inlineStr">
        <is>
          <t>Alta</t>
        </is>
      </c>
      <c r="C8" s="8" t="n">
        <v>4</v>
      </c>
      <c r="D8" s="4" t="inlineStr">
        <is>
          <t>2 jornadas</t>
        </is>
      </c>
      <c r="E8" s="7" t="inlineStr">
        <is>
          <t>Panel /admin; afiliación con Resend; importar asociados</t>
        </is>
      </c>
      <c r="F8" s="15">
        <f>COUNTIF(Plan!$D$5:$D$117,A8)</f>
        <v/>
      </c>
    </row>
    <row r="9">
      <c r="A9" s="18" t="n">
        <v>5</v>
      </c>
      <c r="B9" s="4" t="inlineStr">
        <is>
          <t>Muy alta</t>
        </is>
      </c>
      <c r="C9" s="8" t="n">
        <v>5</v>
      </c>
      <c r="D9" s="4" t="inlineStr">
        <is>
          <t>2,5 jornadas o más</t>
        </is>
      </c>
      <c r="E9" s="7" t="inlineStr">
        <is>
          <t>Reservado para trabajos que conviene partir en dos</t>
        </is>
      </c>
      <c r="F9" s="15">
        <f>COUNTIF(Plan!$D$5:$D$117,A9)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2026-10-09</t>
        </is>
      </c>
      <c r="B5" s="4" t="inlineStr">
        <is>
          <t>ga-supervisor-avances</t>
        </is>
      </c>
      <c r="C5" s="8" t="inlineStr">
        <is>
          <t>5.4, 5.11, 6.1, 6.2, 6.3, 6.5, 6.15, 6.29, 6.7, 6.14, 6.6, 5.3 (P-37, P-42, P-58, P-70, P-81, P-106, P-108, P-111, P-118 a P-122, P-125, P-140)</t>
        </is>
      </c>
      <c r="D5" s="7" t="inlineStr">
        <is>
          <t>Limpieza del plan pedida por Sebas: se cierran tareas ya hechas</t>
        </is>
      </c>
      <c r="E5" s="7" t="inlineStr">
        <is>
          <t>Hecho: 5.4 (la página /politica-de-datos existe; la revisión del abogado sigue aparte en P-81), 5.11 (premios de asesores 50 y 100, migración 20261002100000), 6.1 (755 pruebas unitarias en verde), 6.2 (revisión de seguridad del 8-oct con hallazgos corregidos y en producción), 6.3 (e2e escritorio y celular 395 pasaron, 0 fallos), 6.5 (desplegado en www.greenallianceco.com), 6.15 (e2e al día) y 6.29 (entrega final, acta y último pago, cerrada por Sebas hoy). En curso: 6.7 (capacitación por Ricardo), 6.14 (celulares reales) y 6.6 (usuarios reales, sigue durante la garantía). 5.3 queda Bloqueada esperando a la cooperativa (fotos, cifras, testimonios, sedes); 6.12 sigue Pendiente (Sebas). Pendientes cerrados: P-37, P-42, P-58, P-106, P-108, P-111, P-118, P-119, P-120, P-121, P-122, P-125. P-70 y P-81 pasan a En curso. Nuevo P-140: cómo se desactiva o baja de rol a un administrador. Para poder cerrar 6.3 se quitó su dependencia de 5.3, porque el contenido real de la cooperativa no impide el QA.</t>
        </is>
      </c>
    </row>
    <row r="6">
      <c r="A6" s="8" t="inlineStr">
        <is>
          <t>2026-10-09</t>
        </is>
      </c>
      <c r="B6" s="4" t="inlineStr">
        <is>
          <t>sesión principal</t>
        </is>
      </c>
      <c r="C6" s="8" t="inlineStr">
        <is>
          <t>6.38, 6.39, 6.40 (P-137, P-138, P-139)</t>
        </is>
      </c>
      <c r="D6" s="7" t="inlineStr">
        <is>
          <t>SVM activado, migración 20261009000000 aplicada y código desplegado</t>
        </is>
      </c>
      <c r="E6" s="7" t="inlineStr">
        <is>
          <t>Verificado en producción: migración remota aplicada y landing sin números de convenios (6 convenios con whatsapp null; solo queda el WhatsApp de la cooperativa). Pruebas: pgTAP desde cero 32 archivos, 826 PASS; e2e escritorio y celular 395 pasaron, 47 omitidas a propósito por proyecto y 0 fallos (39,9 min); unitarias 755 en verde.</t>
        </is>
      </c>
    </row>
    <row r="7">
      <c r="A7" s="8" t="inlineStr">
        <is>
          <t>2026-10-09</t>
        </is>
      </c>
      <c r="B7" s="4" t="inlineStr">
        <is>
          <t>sesión principal</t>
        </is>
      </c>
      <c r="C7" s="8" t="inlineStr">
        <is>
          <t>6.27, 6.28, 6.32 a 6.37, 6.39, 6.40, P-116, P-117, P-126 a P-139</t>
        </is>
      </c>
      <c r="D7" s="7" t="inlineStr">
        <is>
          <t>Hallazgos de seguridad cerrados en código; Sebas cerró 4 pendientes</t>
        </is>
      </c>
      <c r="E7" s="7" t="inlineStr">
        <is>
          <t>Sebas hizo P-116, P-117, P-135 y P-136. Hechos en código P-126, P-127, P-128, P-130 a P-134 (H-09 rehecho con fotos_carne_huerfanas; npm audit fix con 0 vulnerabilidades en producción; 755 unitarias, tsc, lint y build verdes; pgTAP y e2e sin correr por SVM). P-129 (H-04) cerrado por riesgo aceptado. Nuevos pendientes de Sebas: aplicar 20261009000000 (P-138, 6.39) y desplegar junto (P-139, 6.40). P-137 (SVM) sigue pendiente.</t>
        </is>
      </c>
    </row>
    <row r="8">
      <c r="A8" s="8" t="inlineStr">
        <is>
          <t>2026-10-09</t>
        </is>
      </c>
      <c r="B8" s="4" t="inlineStr">
        <is>
          <t>ga-funcionalidad-botones</t>
        </is>
      </c>
      <c r="C8" s="8" t="inlineStr">
        <is>
          <t>6.32, 6.33, 6.34, P-126, P-127, P-128, P-132, P-133, P-134</t>
        </is>
      </c>
      <c r="D8" s="7" t="inlineStr">
        <is>
          <t>Código de los hallazgos H-01, H-02, H-03, H-07, H-09 y H-10</t>
        </is>
      </c>
      <c r="E8" s="7" t="inlineStr">
        <is>
          <t>Su reporte decía todo hecho, pero H-09 estaba mal (listaba carpetas y leía una columna inexistente); prevalece el reporte de la sesión principal, que lo rehízo.</t>
        </is>
      </c>
    </row>
    <row r="9">
      <c r="A9" s="8" t="inlineStr">
        <is>
          <t>2026-10-09</t>
        </is>
      </c>
      <c r="B9" s="4" t="inlineStr">
        <is>
          <t>ga-auditor-supabase</t>
        </is>
      </c>
      <c r="C9" s="8" t="inlineStr">
        <is>
          <t>6.32, 6.33, 6.34, P-126, P-127, P-128, P-130, P-132</t>
        </is>
      </c>
      <c r="D9" s="7" t="inlineStr">
        <is>
          <t>Migración 20261009000000 y pruebas pgTAP escritas</t>
        </is>
      </c>
      <c r="E9" s="7" t="inlineStr">
        <is>
          <t>Anon sin telefono_contacto, cédula exacta en la búsqueda general, cambio de correo atado a la solicitud con espera de 10 min, hasta 3 recuperaciones pendientes por persona, no se desactiva a un admin. Pruebas 27 actualizada y 31 nueva; sin aplicar ni correr (Docker apagado).</t>
        </is>
      </c>
    </row>
    <row r="10">
      <c r="A10" s="8" t="inlineStr">
        <is>
          <t>2026-10-08</t>
        </is>
      </c>
      <c r="B10" s="4" t="inlineStr">
        <is>
          <t>sesión principal</t>
        </is>
      </c>
      <c r="C10" s="8" t="inlineStr">
        <is>
          <t>5.19, 6.29, 6.36 a 6.38, P-118, P-135 a P-137</t>
        </is>
      </c>
      <c r="D10" s="7" t="inlineStr">
        <is>
          <t>Demo con convenios reales, PP y fecha de entrega</t>
        </is>
      </c>
      <c r="E10"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11">
      <c r="A11" s="8" t="inlineStr">
        <is>
          <t>2026-10-08</t>
        </is>
      </c>
      <c r="B11" s="4" t="inlineStr">
        <is>
          <t>ga-revisor-seguridad</t>
        </is>
      </c>
      <c r="C11" s="8" t="inlineStr">
        <is>
          <t>6.31, 6.32-6.35, P-126 a P-134</t>
        </is>
      </c>
      <c r="D11" s="7" t="inlineStr">
        <is>
          <t>Revisión de seguridad del 8-oct</t>
        </is>
      </c>
      <c r="E11" s="7" t="inlineStr">
        <is>
          <t>Sin críticos; 1 alta (H-01) y 5 medias. Se agregan H-01 a H-07 y H-09 a H-10 como pendientes (6.32 a 6.35). Severidad asignada por el conteo del reporte: H-01 alta; H-02 a H-06 media; H-07, H-09 y H-10 baja. H-04, H-05, H-07, H-09 y H-10 no traían descripción en el buzón.</t>
        </is>
      </c>
    </row>
    <row r="12">
      <c r="A12" s="8" t="inlineStr">
        <is>
          <t>2026-10-08</t>
        </is>
      </c>
      <c r="B12" s="4" t="inlineStr">
        <is>
          <t>ga-auditor-supabase</t>
        </is>
      </c>
      <c r="C12" s="8" t="inlineStr">
        <is>
          <t>6.30</t>
        </is>
      </c>
      <c r="D12" s="7" t="inlineStr">
        <is>
          <t>Migraciones resincronizadas con producción</t>
        </is>
      </c>
      <c r="E12" s="7" t="inlineStr">
        <is>
          <t>Reporte del 02-oct: 20261003000000/100000/200000 restauradas a lo aplicado y lo posterior en 20261003300000 (se suma a 6.27). pgTAP 799 PASS.</t>
        </is>
      </c>
    </row>
    <row r="13">
      <c r="A13" s="8" t="inlineStr">
        <is>
          <t>2026-10-08</t>
        </is>
      </c>
      <c r="B13" s="4" t="inlineStr">
        <is>
          <t>ga-funcionalidad-botones</t>
        </is>
      </c>
      <c r="C13" s="8" t="inlineStr">
        <is>
          <t>4.21</t>
        </is>
      </c>
      <c r="D13" s="7" t="inlineStr">
        <is>
          <t>Secretario ampliado e Historial del equipo</t>
        </is>
      </c>
      <c r="E13" s="7" t="inlineStr">
        <is>
          <t>Reporte del 02-oct: el secretario ve Asociados y Créditos en solo lectura; el admin desactiva y cambia el rol de secretarios con motivo; búsqueda con nombre del admin; nueva /admin/historial. pgTAP 29 (82), vitest 751, e2e en verde.</t>
        </is>
      </c>
    </row>
    <row r="14">
      <c r="A14" s="8" t="inlineStr">
        <is>
          <t>2026-10-08</t>
        </is>
      </c>
      <c r="B14" s="4" t="inlineStr">
        <is>
          <t>ga-funcionalidad-botones</t>
        </is>
      </c>
      <c r="C14" s="8" t="inlineStr">
        <is>
          <t>4.22</t>
        </is>
      </c>
      <c r="D14" s="7" t="inlineStr">
        <is>
          <t>Comprobantes 30 días</t>
        </is>
      </c>
      <c r="E14" s="7" t="inlineStr">
        <is>
          <t>Reporte del 02-oct: los comprobantes del eliminado se conservan 30 días y los borra /api/cron/limpiar-fotos; también los huérfanos de más de 24 h. pgTAP 28 (76), vitest y e2e ajustados.</t>
        </is>
      </c>
    </row>
    <row r="15">
      <c r="A15" s="8" t="inlineStr">
        <is>
          <t>2026-10-08</t>
        </is>
      </c>
      <c r="B15" s="4" t="inlineStr">
        <is>
          <t>ga-correos</t>
        </is>
      </c>
      <c r="C15" s="8" t="inlineStr">
        <is>
          <t>5.18</t>
        </is>
      </c>
      <c r="D15" s="7" t="inlineStr">
        <is>
          <t>5 plantillas de Resend nuevas</t>
        </is>
      </c>
      <c r="E15" s="7" t="inlineStr">
        <is>
          <t>Reporte del 02-oct: plantillas en docs/resend/ y guía con las 10 plantillas; COMPROBANTE viaja siempre. Sebas debe publicarlas y agregar las 5 RESEND_TEMPLATE_* en Vercel (6.28).</t>
        </is>
      </c>
    </row>
    <row r="16">
      <c r="A16" s="8" t="inlineStr">
        <is>
          <t>2026-10-02</t>
        </is>
      </c>
      <c r="B16" s="4" t="inlineStr">
        <is>
          <t>sesión principal</t>
        </is>
      </c>
      <c r="C16" s="8" t="inlineStr">
        <is>
          <t>6.25, 6.26, 6.27, 6.28, 6.29, P-114, P-115, P-116–P-125</t>
        </is>
      </c>
      <c r="D16" s="7" t="inlineStr">
        <is>
          <t>Todo en develop; contrato y garantía</t>
        </is>
      </c>
      <c r="E16" s="7" t="inlineStr">
        <is>
          <t>Todo fusionado en develop. Contrato diligenciado con anexos 2 y 3, garantía 7–21 oct y soporte $500.000/mes desde el 22. Pendiente de Sebas: 5 migraciones + develop→main, plantillas Resend, entrega y último pago el 7-oct.</t>
        </is>
      </c>
    </row>
    <row r="17">
      <c r="A17" s="8" t="inlineStr">
        <is>
          <t>2026-10-02</t>
        </is>
      </c>
      <c r="B17" s="4" t="inlineStr">
        <is>
          <t>ga-funcionalidad-botones</t>
        </is>
      </c>
      <c r="C17" s="8" t="inlineStr">
        <is>
          <t>5.15</t>
        </is>
      </c>
      <c r="D17" s="7" t="inlineStr">
        <is>
          <t>Foto del carné (20261003200000)</t>
        </is>
      </c>
      <c r="E17" s="7" t="inlineStr">
        <is>
          <t>Bucket fotos-carne, pgTAP 30, e2e q-foto-carne. Decisiones P-121 y P-122.</t>
        </is>
      </c>
    </row>
    <row r="18">
      <c r="A18" s="8" t="inlineStr">
        <is>
          <t>2026-10-02</t>
        </is>
      </c>
      <c r="B18" s="4" t="inlineStr">
        <is>
          <t>ga-funcionalidad-botones</t>
        </is>
      </c>
      <c r="C18" s="8" t="inlineStr">
        <is>
          <t>4.20</t>
        </is>
      </c>
      <c r="D18" s="7" t="inlineStr">
        <is>
          <t>Secretario y búsqueda general (20261003100000)</t>
        </is>
      </c>
      <c r="E18" s="7" t="inlineStr">
        <is>
          <t>pgTAP 29, e2e p-secretario-busqueda. Decisión P-119.</t>
        </is>
      </c>
    </row>
    <row r="19">
      <c r="A19" s="8" t="inlineStr">
        <is>
          <t>2026-10-02</t>
        </is>
      </c>
      <c r="B19" s="4" t="inlineStr">
        <is>
          <t>ga-funcionalidad-botones</t>
        </is>
      </c>
      <c r="C19" s="8" t="inlineStr">
        <is>
          <t>4.19</t>
        </is>
      </c>
      <c r="D19" s="7" t="inlineStr">
        <is>
          <t>Comprobante y eliminar definitivamente (20261003000000)</t>
        </is>
      </c>
      <c r="E19" s="7" t="inlineStr">
        <is>
          <t>Bucket privado, anonimizar con código; pgTAP 28. Decisión P-120.</t>
        </is>
      </c>
    </row>
    <row r="20">
      <c r="A20" s="8" t="inlineStr">
        <is>
          <t>2026-10-02</t>
        </is>
      </c>
      <c r="B20" s="4" t="inlineStr">
        <is>
          <t>ga-diseno-a-codigo</t>
        </is>
      </c>
      <c r="C20" s="8" t="inlineStr">
        <is>
          <t>5.16</t>
        </is>
      </c>
      <c r="D20" s="7" t="inlineStr">
        <is>
          <t>/cuenta igual a la demo</t>
        </is>
      </c>
      <c r="E20" s="7" t="inlineStr">
        <is>
          <t>CamposSolicitud y TarjetaTope compartidos; slot accionDesembolso.</t>
        </is>
      </c>
    </row>
    <row r="21">
      <c r="A21" s="8" t="inlineStr">
        <is>
          <t>2026-10-02</t>
        </is>
      </c>
      <c r="B21" s="4" t="inlineStr">
        <is>
          <t>ga-correos</t>
        </is>
      </c>
      <c r="C21" s="8" t="inlineStr">
        <is>
          <t>5.17, 6.28</t>
        </is>
      </c>
      <c r="D21" s="7" t="inlineStr">
        <is>
          <t>Correo del sorteo y plan de correos</t>
        </is>
      </c>
      <c r="E21" s="7" t="inlineStr">
        <is>
          <t>Diagnóstico del texto plano, plan Resend y mensajes WhatsApp. Pendientes P-117 y P-123.</t>
        </is>
      </c>
    </row>
    <row r="22">
      <c r="A22" s="8" t="inlineStr">
        <is>
          <t>2026-10-02</t>
        </is>
      </c>
      <c r="B22" s="4" t="inlineStr">
        <is>
          <t>ga-escritor-tests</t>
        </is>
      </c>
      <c r="C22" s="8" t="inlineStr">
        <is>
          <t>4.18</t>
        </is>
      </c>
      <c r="D22" s="7" t="inlineStr">
        <is>
          <t>Pruebas por reglas nuevas</t>
        </is>
      </c>
      <c r="E22" s="7" t="inlineStr">
        <is>
          <t>Admin sin restricción sobre sus clientes, PP no seleccionable; pgTAP, vitest 628 y e2e en verde.</t>
        </is>
      </c>
    </row>
    <row r="23">
      <c r="A23" s="8" t="inlineStr">
        <is>
          <t>2026-10-02</t>
        </is>
      </c>
      <c r="B23" s="4" t="inlineStr">
        <is>
          <t>ga-funcionalidad-botones</t>
        </is>
      </c>
      <c r="C23" s="8" t="inlineStr">
        <is>
          <t>4.17</t>
        </is>
      </c>
      <c r="D23" s="7" t="inlineStr">
        <is>
          <t>Correcciones SEC-REC-01 a 05</t>
        </is>
      </c>
      <c r="E23" s="7" t="inlineStr">
        <is>
          <t>WhatsApp al celular del perfil, cierre de sesiones, trigger en auth.users como compensación de SEC-REC-02.</t>
        </is>
      </c>
    </row>
    <row r="24">
      <c r="A24" s="8" t="inlineStr">
        <is>
          <t>2026-10-02</t>
        </is>
      </c>
      <c r="B24" s="4" t="inlineStr">
        <is>
          <t>ga-revisor-seguridad</t>
        </is>
      </c>
      <c r="C24" s="8" t="inlineStr">
        <is>
          <t>4.17</t>
        </is>
      </c>
      <c r="D24" s="7" t="inlineStr">
        <is>
          <t>Revisión de la recuperación de acceso</t>
        </is>
      </c>
      <c r="E24" s="7" t="inlineStr">
        <is>
          <t>2 altos (SEC-REC-01 y 02) de toma de cuenta.</t>
        </is>
      </c>
    </row>
    <row r="25">
      <c r="A25" s="8" t="inlineStr">
        <is>
          <t>2026-10-02</t>
        </is>
      </c>
      <c r="B25" s="4" t="inlineStr">
        <is>
          <t>ga-funcionalidad-botones</t>
        </is>
      </c>
      <c r="C25" s="8" t="inlineStr">
        <is>
          <t>4.17</t>
        </is>
      </c>
      <c r="D25" s="7" t="inlineStr">
        <is>
          <t>Recuperación de acceso (20261002500000)</t>
        </is>
      </c>
      <c r="E25" s="7" t="inlineStr">
        <is>
          <t>/ingresar/recuperar, cambio de correo asistido y propio; pgTAP 27.</t>
        </is>
      </c>
    </row>
    <row r="26">
      <c r="A26" s="8" t="inlineStr">
        <is>
          <t>2026-10-02</t>
        </is>
      </c>
      <c r="B26" s="7" t="inlineStr">
        <is>
          <t>agente de documentos de entrega</t>
        </is>
      </c>
      <c r="C26" s="8" t="inlineStr">
        <is>
          <t>6.26</t>
        </is>
      </c>
      <c r="D26" s="7" t="inlineStr">
        <is>
          <t>Documentos de entrega</t>
        </is>
      </c>
      <c r="E26" s="7" t="inlineStr">
        <is>
          <t>docs/entrega/ (documentación técnica, respaldo, anexos 2 y 3, actas) y scripts/respaldo.sh.</t>
        </is>
      </c>
    </row>
    <row r="27">
      <c r="A27" s="8" t="inlineStr">
        <is>
          <t>2026-10-02</t>
        </is>
      </c>
      <c r="B27" s="4" t="inlineStr">
        <is>
          <t>ga-funcionalidad-botones</t>
        </is>
      </c>
      <c r="C27" s="8" t="inlineStr">
        <is>
          <t>5.14</t>
        </is>
      </c>
      <c r="D27" s="7" t="inlineStr">
        <is>
          <t>PDF del carné</t>
        </is>
      </c>
      <c r="E27" s="7" t="inlineStr">
        <is>
          <t>/cuenta/carne/pdf con pdf-lib + qrcode; vitest y e2e M2.</t>
        </is>
      </c>
    </row>
    <row r="28">
      <c r="A28" s="8" t="inlineStr">
        <is>
          <t>2026-10-02</t>
        </is>
      </c>
      <c r="B28" s="4" t="inlineStr">
        <is>
          <t>ga-funcionalidad-botones</t>
        </is>
      </c>
      <c r="C28" s="8" t="inlineStr">
        <is>
          <t>4.16</t>
        </is>
      </c>
      <c r="D28" s="7" t="inlineStr">
        <is>
          <t>Ajustes de entrega (20261002400000)</t>
        </is>
      </c>
      <c r="E28" s="7" t="inlineStr">
        <is>
          <t>Tope de toques por meta, verificar_carne solo activos, regenerar 1/min, grado con nombre; pgTAP 26.</t>
        </is>
      </c>
    </row>
    <row r="29">
      <c r="A29" s="8" t="inlineStr">
        <is>
          <t>2026-10-02</t>
        </is>
      </c>
      <c r="B29" s="4" t="inlineStr">
        <is>
          <t>ga-verificador-qa</t>
        </is>
      </c>
      <c r="C29" s="8" t="inlineStr">
        <is>
          <t>4.16, 5.14</t>
        </is>
      </c>
      <c r="D29" s="7" t="inlineStr">
        <is>
          <t>e2e de premios, carné con QR e inscritos</t>
        </is>
      </c>
      <c r="E29" s="7" t="inlineStr">
        <is>
          <t>Escritorio 188 / celular 148 pasan, 0 fallan; m-premios-qr-sorteo.spec.ts.</t>
        </is>
      </c>
    </row>
    <row r="30">
      <c r="A30" s="8" t="inlineStr">
        <is>
          <t>2026-10-02</t>
        </is>
      </c>
      <c r="B30" s="4" t="inlineStr">
        <is>
          <t>ga-revisor-seguridad</t>
        </is>
      </c>
      <c r="C30" s="8" t="inlineStr">
        <is>
          <t>4.16, 5.14</t>
        </is>
      </c>
      <c r="D30" s="7" t="inlineStr">
        <is>
          <t>Revisión de premios, QR y sorteo</t>
        </is>
      </c>
      <c r="E30" s="7" t="inlineStr">
        <is>
          <t>Sin críticos ni altos; medios/bajos atendidos en 20261002400000. Nombre público en /verificar: P-125.</t>
        </is>
      </c>
    </row>
    <row r="31">
      <c r="A31" s="8" t="inlineStr">
        <is>
          <t>2026-10-01</t>
        </is>
      </c>
      <c r="B31" s="4" t="inlineStr">
        <is>
          <t>sesión principal</t>
        </is>
      </c>
      <c r="C31" s="8" t="inlineStr">
        <is>
          <t>6.23, 6.24, P-73, P-51, P-57, P-66, P-67, 6.25</t>
        </is>
      </c>
      <c r="D31" s="7" t="inlineStr">
        <is>
          <t>Migraciones aplicadas, pago a Carlos y cierres verificados</t>
        </is>
      </c>
      <c r="E31" s="7" t="inlineStr">
        <is>
          <t>20261001000000 y 20261001100000 aplicadas en producción; pago de 150.000 COP a Carlos hecho. P-51, P-57, P-66 y P-67 verificados contra el código y cerrados. Nuevo 6.25/P-114: Sebas aplica 20261002000000 y fusiona develop→main (e2523de).</t>
        </is>
      </c>
    </row>
    <row r="32">
      <c r="A32" s="8" t="inlineStr">
        <is>
          <t>2026-10-01</t>
        </is>
      </c>
      <c r="B32" s="4" t="inlineStr">
        <is>
          <t>ga-diseno-a-codigo</t>
        </is>
      </c>
      <c r="C32" s="8" t="inlineStr">
        <is>
          <t>5.12, 5.9</t>
        </is>
      </c>
      <c r="D32" s="7" t="inlineStr">
        <is>
          <t>D-25 y D-26 al código</t>
        </is>
      </c>
      <c r="E32" s="7" t="inlineStr">
        <is>
          <t>Carné con wordmark blanco y enlace a convenios (700 px); logo de marca en tarjeta, chip y detalle con respaldo; GestorConvenios al lienzo 3v.</t>
        </is>
      </c>
    </row>
    <row r="33">
      <c r="A33" s="8" t="inlineStr">
        <is>
          <t>2026-10-01</t>
        </is>
      </c>
      <c r="B33" s="4" t="inlineStr">
        <is>
          <t>ga-verificador-qa</t>
        </is>
      </c>
      <c r="C33" s="8" t="inlineStr">
        <is>
          <t>5.9, 5.12, 6.3</t>
        </is>
      </c>
      <c r="D33" s="7" t="inlineStr">
        <is>
          <t>e2e final en verde</t>
        </is>
      </c>
      <c r="E33" s="7" t="inlineStr">
        <is>
          <t>Escritorio 174/3 (fallas de prueba corregidas), celular 146/0; nueva l-convenios-carne.spec.ts. QA-07 (textos con SVG) y QA-08 corregidos.</t>
        </is>
      </c>
    </row>
    <row r="34">
      <c r="A34" s="8" t="inlineStr">
        <is>
          <t>2026-10-01</t>
        </is>
      </c>
      <c r="B34" s="4" t="inlineStr">
        <is>
          <t>ga-disenador-lienzo</t>
        </is>
      </c>
      <c r="C34" s="8" t="inlineStr">
        <is>
          <t>5.12, 5.9</t>
        </is>
      </c>
      <c r="D34" s="7" t="inlineStr">
        <is>
          <t>Lienzo t3: 3u, 3v, 3w (D-25, D-26)</t>
        </is>
      </c>
      <c r="E34" s="7" t="inlineStr">
        <is>
          <t>Carné virtual, /admin/convenios y logo en tarjetas/chips/detalle. Decisión pendiente de la cooperativa sobre QR en el carné (P-115).</t>
        </is>
      </c>
    </row>
    <row r="35">
      <c r="A35" s="8" t="inlineStr">
        <is>
          <t>2026-10-01</t>
        </is>
      </c>
      <c r="B35" s="4" t="inlineStr">
        <is>
          <t>ga-revisor-seguridad</t>
        </is>
      </c>
      <c r="C35" s="8" t="inlineStr">
        <is>
          <t>5.9, P-68</t>
        </is>
      </c>
      <c r="D35" s="7" t="inlineStr">
        <is>
          <t>Revisión sin críticos ni altos</t>
        </is>
      </c>
      <c r="E35" s="7" t="inlineStr">
        <is>
          <t>S-30 (filtro SVG saltable) y S-32 corregidos según la sesión principal; S-31 aceptado como bajo. npm audit 0.</t>
        </is>
      </c>
    </row>
    <row r="36">
      <c r="A36" s="8" t="inlineStr">
        <is>
          <t>2026-10-01</t>
        </is>
      </c>
      <c r="B36" s="4" t="inlineStr">
        <is>
          <t>ga-funcionalidad-botones</t>
        </is>
      </c>
      <c r="C36" s="8" t="inlineStr">
        <is>
          <t>5.9, P-68</t>
        </is>
      </c>
      <c r="D36" s="7" t="inlineStr">
        <is>
          <t>/admin/convenios hecho</t>
        </is>
      </c>
      <c r="E36" s="7" t="inlineStr">
        <is>
          <t>CRUD con exigirAdmin + zod + registro, logo validado en servidor; landing y /cuenta leen de la tabla con respaldo; 30 pruebas unitarias nuevas, vitest 582 y build en verde.</t>
        </is>
      </c>
    </row>
    <row r="37">
      <c r="A37" s="8" t="inlineStr">
        <is>
          <t>2026-10-01</t>
        </is>
      </c>
      <c r="B37" s="4" t="inlineStr">
        <is>
          <t>ga-auditor-supabase</t>
        </is>
      </c>
      <c r="C37" s="8" t="inlineStr">
        <is>
          <t>5.9, P-68, P-88</t>
        </is>
      </c>
      <c r="D37" s="7" t="inlineStr">
        <is>
          <t>Migración 20261002000000 y F2-08</t>
        </is>
      </c>
      <c r="E37" s="7" t="inlineStr">
        <is>
          <t>Convenios administrables (orden, visible, logo_path, medios, bucket convenios-logos solo admin) y corrección F2-08; pgTAP 23 archivos / 522 pruebas en verde. Sin aplicar en producción (6.25/P-114).</t>
        </is>
      </c>
    </row>
    <row r="38">
      <c r="A38" s="8" t="inlineStr">
        <is>
          <t>2026-10-01</t>
        </is>
      </c>
      <c r="B38" s="4" t="inlineStr">
        <is>
          <t>ga-diseno-a-codigo</t>
        </is>
      </c>
      <c r="C38" s="8" t="inlineStr">
        <is>
          <t>5.12, P-109, P-53</t>
        </is>
      </c>
      <c r="D38" s="7" t="inlineStr">
        <is>
          <t>Carné virtual y logo bajo 360 px</t>
        </is>
      </c>
      <c r="E38" s="7" t="inlineStr">
        <is>
          <t>CarneVirtual.tsx en /cuenta; el logo horizontal oculta «COOPERATIVA» bajo 360 px. Pidió D-25 al lienzo.</t>
        </is>
      </c>
    </row>
    <row r="39">
      <c r="A39" s="8" t="inlineStr">
        <is>
          <t>2026-10-01</t>
        </is>
      </c>
      <c r="B39" s="4" t="inlineStr">
        <is>
          <t>sesión principal</t>
        </is>
      </c>
      <c r="C39" s="8" t="inlineStr">
        <is>
          <t>6.23, 6.24</t>
        </is>
      </c>
      <c r="D39" s="7" t="inlineStr">
        <is>
          <t>QA-06 corregido y develop subido</t>
        </is>
      </c>
      <c r="E39" s="7" t="inlineStr">
        <is>
          <t>Aviso de cuenta inactiva en app/ingresar/actions.ts; y-tanda2 escritorio 14/14; commit 7526e7d en develop. Pendiente de Sebas: db push --linked de 20261001000000 y 20261001100000 y fusionar develop→main.</t>
        </is>
      </c>
    </row>
    <row r="40">
      <c r="A40" s="8" t="inlineStr">
        <is>
          <t>2026-10-01</t>
        </is>
      </c>
      <c r="B40" s="4" t="inlineStr">
        <is>
          <t>ga-verificador-qa</t>
        </is>
      </c>
      <c r="C40" s="8" t="inlineStr">
        <is>
          <t>6.21, 6.15</t>
        </is>
      </c>
      <c r="D40" s="7" t="inlineStr">
        <is>
          <t>6.21 Hecho; 6.15 desbloqueada (En curso)</t>
        </is>
      </c>
      <c r="E40" s="7" t="inlineStr">
        <is>
          <t>E2E ajustadas a v3/S-06/crédito: escritorio 171/4, celular 143/3, fallas corregidas y confirmadas. Bug QA-06 reportado.</t>
        </is>
      </c>
    </row>
    <row r="41">
      <c r="A41" s="8" t="inlineStr">
        <is>
          <t>2026-10-01</t>
        </is>
      </c>
      <c r="B41" s="4" t="inlineStr">
        <is>
          <t>ga-funcionalidad-botones</t>
        </is>
      </c>
      <c r="C41" s="8" t="inlineStr">
        <is>
          <t>P-48</t>
        </is>
      </c>
      <c r="D41" s="7" t="inlineStr">
        <is>
          <t>QA-01 a QA-05 de /afiliacion corregidos</t>
        </is>
      </c>
      <c r="E41" s="7" t="inlineStr">
        <is>
          <t>Texto restaurado, contador, formulario con key (conserva selects, cierra F-01), aviso de fotos rechazadas, tabIndex de SelectBusqueda.</t>
        </is>
      </c>
    </row>
    <row r="42">
      <c r="A42" s="8" t="inlineStr">
        <is>
          <t>2026-10-01</t>
        </is>
      </c>
      <c r="B42" s="4" t="inlineStr">
        <is>
          <t>ga-auditor-supabase</t>
        </is>
      </c>
      <c r="C42" s="8" t="inlineStr">
        <is>
          <t>6.24, P-113</t>
        </is>
      </c>
      <c r="D42" s="7" t="inlineStr">
        <is>
          <t>pgTAP 20261001* en verde</t>
        </is>
      </c>
      <c r="E42" s="7" t="inlineStr">
        <is>
          <t>Arreglado admin_habilitar_credito (array_append) y pruebas 21 y 10; 22 archivos, 497 pruebas. Falta aplicar en remoto.</t>
        </is>
      </c>
    </row>
    <row r="43">
      <c r="A43" s="8" t="inlineStr">
        <is>
          <t>2026-10-01</t>
        </is>
      </c>
      <c r="B43" s="4" t="inlineStr">
        <is>
          <t>ga-diseno-a-codigo</t>
        </is>
      </c>
      <c r="C43" s="8" t="inlineStr">
        <is>
          <t>4.7, 4.8, 4.15</t>
        </is>
      </c>
      <c r="D43" s="7" t="inlineStr">
        <is>
          <t>Verificación visual tanda §13</t>
        </is>
      </c>
      <c r="E43" s="7" t="inlineStr">
        <is>
          <t>CuentaDemo, WhatsApp en el pie, paneles por estado y desembolsos, HabilitarCredito; tsc, lint, vitest 552 y build en verde.</t>
        </is>
      </c>
    </row>
    <row r="44">
      <c r="A44" s="8" t="inlineStr">
        <is>
          <t>2026-10-01</t>
        </is>
      </c>
      <c r="B44" s="4" t="inlineStr">
        <is>
          <t>ga-diseno-a-codigo</t>
        </is>
      </c>
      <c r="C44" s="8" t="inlineStr">
        <is>
          <t>4.15, 4.7, 4.8</t>
        </is>
      </c>
      <c r="D44" s="7" t="inlineStr">
        <is>
          <t>4.7, 4.8 y 4.15 Hecho</t>
        </is>
      </c>
      <c r="E44" s="7" t="inlineStr">
        <is>
          <t>Ícono WhatsApp en el pie, botón «Habilitar nuevo crédito», selector segmentado en la demo, 8 estados y KPI Desembolsos del mes en admin, chips en asesor. e2e sin ejecutar.</t>
        </is>
      </c>
    </row>
    <row r="45">
      <c r="A45" s="8" t="inlineStr">
        <is>
          <t>2026-10-01</t>
        </is>
      </c>
      <c r="B45" s="4" t="inlineStr">
        <is>
          <t>ga-funcionalidad-botones</t>
        </is>
      </c>
      <c r="C45" s="8" t="inlineStr">
        <is>
          <t>4.15, 4.7, 4.8</t>
        </is>
      </c>
      <c r="D45" s="7" t="inlineStr">
        <is>
          <t>Pedidos §13 en servidor y front</t>
        </is>
      </c>
      <c r="E45" s="7" t="inlineStr">
        <is>
          <t>Correos con respaldo en texto plano y log correo_plantilla_faltante; acción Habilitar crédito; /cuenta con tarjeta vacía; loaders con por_estado_proceso y desembolsos_mes; demo Policía/Ejército; wa.me en el pie. 552 vitest y build en verde.</t>
        </is>
      </c>
    </row>
    <row r="46">
      <c r="A46" s="8" t="inlineStr">
        <is>
          <t>2026-10-01</t>
        </is>
      </c>
      <c r="B46" s="4" t="inlineStr">
        <is>
          <t>ga-auditor-supabase</t>
        </is>
      </c>
      <c r="C46" s="8" t="inlineStr">
        <is>
          <t>4.15, 4.7, 4.8, P-112, 6.24, P-113</t>
        </is>
      </c>
      <c r="D46" s="7" t="inlineStr">
        <is>
          <t>Migración 20261001100000 y pgTAP 21</t>
        </is>
      </c>
      <c r="E46" s="7" t="inlineStr">
        <is>
          <t>admin_habilitar_credito, mi_habilitacion_credito, por_estado_proceso y desembolsos_mes; listas blancas 00/15 (P-112 Hecho). Diagnóstico: el bloqueo tras rechazo es de pantalla, no de base. Sin db reset por Docker: nueva 6.24/P-113 (Sebas).</t>
        </is>
      </c>
    </row>
    <row r="47">
      <c r="A47" s="8" t="inlineStr">
        <is>
          <t>2026-10-01</t>
        </is>
      </c>
      <c r="B47" s="4" t="inlineStr">
        <is>
          <t>ga-verificador-qa</t>
        </is>
      </c>
      <c r="C47" s="8" t="inlineStr">
        <is>
          <t>6.15, 6.21</t>
        </is>
      </c>
      <c r="D47" s="7" t="inlineStr">
        <is>
          <t>E2E al día pero sin ejecutar: Bloqueado</t>
        </is>
      </c>
      <c r="E47" s="7" t="inlineStr">
        <is>
          <t>y-tanda2.spec.ts y ajustes de e2e (370 pruebas listadas, tsc y eslint en verde). Docker se cayó: Sebas reinicia Docker, db reset y corre Playwright.</t>
        </is>
      </c>
    </row>
    <row r="48">
      <c r="A48" s="8" t="inlineStr">
        <is>
          <t>2026-09-30</t>
        </is>
      </c>
      <c r="B48" s="4" t="inlineStr">
        <is>
          <t>ga-diseno-a-codigo</t>
        </is>
      </c>
      <c r="C48" s="8" t="inlineStr">
        <is>
          <t>4.7, 4.8, 5.6</t>
        </is>
      </c>
      <c r="D48" s="7" t="inlineStr">
        <is>
          <t>Pantallas Resumen y /cuenta/solicitar en código</t>
        </is>
      </c>
      <c r="E48" s="7" t="inlineStr">
        <is>
          <t>4.7 y 4.8 En curso: falta estado_proceso y desembolsos del mes en las RPC y decisión P-111. tsc, lint, vitest y build en verde.</t>
        </is>
      </c>
    </row>
    <row r="49">
      <c r="A49" s="8" t="inlineStr">
        <is>
          <t>2026-09-30</t>
        </is>
      </c>
      <c r="B49" s="4" t="inlineStr">
        <is>
          <t>ga-funcionalidad-botones</t>
        </is>
      </c>
      <c r="C49" s="8" t="inlineStr">
        <is>
          <t>2.11, 4.3, 4.7, 4.8</t>
        </is>
      </c>
      <c r="D49" s="7" t="inlineStr">
        <is>
          <t>F-01 corregido, revalidación de /cuenta y loaders de métricas</t>
        </is>
      </c>
      <c r="E49" s="7" t="inlineStr">
        <is>
          <t>2.11 y 4.3 Hecho. Afiliación guarda version_politica_datos; loaders cargarMetricasAdmin/Asesor con 8 pruebas (523 vitest en verde).</t>
        </is>
      </c>
    </row>
    <row r="50">
      <c r="A50" s="8" t="inlineStr">
        <is>
          <t>2026-09-30</t>
        </is>
      </c>
      <c r="B50" s="4" t="inlineStr">
        <is>
          <t>ga-auditor-supabase</t>
        </is>
      </c>
      <c r="C50" s="8" t="inlineStr">
        <is>
          <t>P-55, 4.7, 4.8, 6.23</t>
        </is>
      </c>
      <c r="D50" s="7" t="inlineStr">
        <is>
          <t>Migración 20261001000000 y pgTAP 20</t>
        </is>
      </c>
      <c r="E50" s="7" t="inlineStr">
        <is>
          <t>version_politica_datos sellada, revoke de limites_intentos_id_seq, RPC de métricas solo con conteos; 16 pruebas en verde. Sin aplicar: nueva 6.23/P-110. Listas blancas pgTAP: P-112.</t>
        </is>
      </c>
    </row>
    <row r="51">
      <c r="A51" s="8" t="inlineStr">
        <is>
          <t>2026-09-30</t>
        </is>
      </c>
      <c r="B51" s="4" t="inlineStr">
        <is>
          <t>ga-disenador-lienzo</t>
        </is>
      </c>
      <c r="C51" s="8" t="inlineStr">
        <is>
          <t>4.7, 4.8, 5.6</t>
        </is>
      </c>
      <c r="D51" s="7" t="inlineStr">
        <is>
          <t>Lienzo 3r, 3s, 3t</t>
        </is>
      </c>
      <c r="E51" s="7" t="inlineStr">
        <is>
          <t>Dashboards admin y asesor y /cuenta/solicitar maquetados en el lienzo (D-22 a D-24). 5.6 Hecho.</t>
        </is>
      </c>
    </row>
    <row r="52">
      <c r="A52" s="8" t="inlineStr">
        <is>
          <t>2026-09-30</t>
        </is>
      </c>
      <c r="B52" s="4" t="inlineStr">
        <is>
          <t>ga-funcionalidad-botones</t>
        </is>
      </c>
      <c r="C52" s="8" t="inlineStr">
        <is>
          <t>P-81 (política v1.0)</t>
        </is>
      </c>
      <c r="D52" s="7" t="inlineStr">
        <is>
          <t>Política de datos v1.0 publicada en código</t>
        </is>
      </c>
      <c r="E52" s="7" t="inlineStr">
        <is>
          <t>/politica-de-datos con 28 secciones, anexo, índice, aviso de revisión jurídica en 7.3, 8 y 18 y botón PDF. Por definir: horario, órgano y acta de aprobación.</t>
        </is>
      </c>
    </row>
    <row r="53">
      <c r="A53" s="8" t="inlineStr">
        <is>
          <t>2026-09-30</t>
        </is>
      </c>
      <c r="B53" s="4" t="inlineStr">
        <is>
          <t>sesión principal (Sebas)</t>
        </is>
      </c>
      <c r="C53" s="8" t="inlineStr">
        <is>
          <t>6.22; P-20, P-21, P-43, P-45, P-105</t>
        </is>
      </c>
      <c r="D53" s="7" t="inlineStr">
        <is>
          <t>Tanda 2 en producción y pendientes de configuración cerrados</t>
        </is>
      </c>
      <c r="E53"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54">
      <c r="A54" s="8" t="inlineStr">
        <is>
          <t>2026-09-30</t>
        </is>
      </c>
      <c r="B54" s="4" t="inlineStr">
        <is>
          <t>sesión principal (Sebas)</t>
        </is>
      </c>
      <c r="C54" s="8" t="inlineStr">
        <is>
          <t>5.4, 6.21, 6.22; P-81</t>
        </is>
      </c>
      <c r="D54" s="7" t="inlineStr">
        <is>
          <t>Política v1 en publicación; tanda 2 en develop</t>
        </is>
      </c>
      <c r="E54" s="7" t="inlineStr">
        <is>
          <t>Tanda 2 en develop e4b8350 con 7 migraciones 20260930200* por aplicar y develop a main pendiente (6.22). Política v1 del Dr. Breinner con 7.3, 8 y 18 en revisión. E2E desactualizadas (6.21). Copia de seguridad de producción del 30-sep.</t>
        </is>
      </c>
    </row>
    <row r="55">
      <c r="A55" s="8" t="inlineStr">
        <is>
          <t>2026-09-30</t>
        </is>
      </c>
      <c r="B55" s="4" t="inlineStr">
        <is>
          <t>ga-diseno-a-codigo</t>
        </is>
      </c>
      <c r="C55" s="8" t="inlineStr">
        <is>
          <t>5.13</t>
        </is>
      </c>
      <c r="D55" s="7" t="inlineStr">
        <is>
          <t>Medios en el detalle de convenios</t>
        </is>
      </c>
      <c r="E55" s="7" t="inlineStr">
        <is>
          <t>Videos y PDF de Racing Tours mapeados por NIT en lib/convenios.ts; develop 4357939 (video de Locos en politica-datos-v1).</t>
        </is>
      </c>
    </row>
    <row r="56">
      <c r="A56" s="8" t="inlineStr">
        <is>
          <t>2026-09-30</t>
        </is>
      </c>
      <c r="B56" s="4" t="inlineStr">
        <is>
          <t>ga-auditor-supabase</t>
        </is>
      </c>
      <c r="C56" s="8" t="inlineStr">
        <is>
          <t>4.14, 6.22</t>
        </is>
      </c>
      <c r="D56" s="7" t="inlineStr">
        <is>
          <t>SP remapeado a IJ (§12.14)</t>
        </is>
      </c>
      <c r="E56" s="7" t="inlineStr">
        <is>
          <t>En la migración 20260930200100 (sin aplicar); R-10/R-11 decididos; pgTAP, db reset y vitest en verde.</t>
        </is>
      </c>
    </row>
    <row r="57">
      <c r="A57" s="8" t="inlineStr">
        <is>
          <t>2026-09-30</t>
        </is>
      </c>
      <c r="B57" s="7" t="inlineStr">
        <is>
          <t>ga-disenador-lienzo + ga-auditor-supabase + ga-funcionalidad-botones + ga-diseno-a-codigo</t>
        </is>
      </c>
      <c r="C57" s="8" t="inlineStr">
        <is>
          <t>4.14, 6.21, 6.22, 5.11, 5.12</t>
        </is>
      </c>
      <c r="D57" s="7" t="inlineStr">
        <is>
          <t>Tanda 2 (§12) hecha en local</t>
        </is>
      </c>
      <c r="E57" s="7" t="inlineStr">
        <is>
          <t>Lienzo 3q, migraciones 20260930200000–200600 (pgTAP 464/464), acciones y UI (vitest 516, build en verde). Sin aplicar en producción. Backlog §12.12 agregado.</t>
        </is>
      </c>
    </row>
    <row r="58">
      <c r="A58" s="8" t="inlineStr">
        <is>
          <t>2026-09-30</t>
        </is>
      </c>
      <c r="B58" s="4" t="inlineStr">
        <is>
          <t>ga-enlace-cooperativa</t>
        </is>
      </c>
      <c r="C58" s="8" t="inlineStr">
        <is>
          <t>P-14, P-47, P-76..P-80, P-90..P-93, P-97; P-106</t>
        </is>
      </c>
      <c r="D58" s="7" t="inlineStr">
        <is>
          <t>Respuestas de la cooperativa</t>
        </is>
      </c>
      <c r="E58" s="7" t="inlineStr">
        <is>
          <t>docs/cooperativa/preguntas.md. R-10 y R-11 cerrados por Sebas (§12.14, SP a IJ); abierta R-09.</t>
        </is>
      </c>
    </row>
    <row r="59">
      <c r="A59" s="8" t="inlineStr">
        <is>
          <t>2026-09-30</t>
        </is>
      </c>
      <c r="B59" s="4" t="inlineStr">
        <is>
          <t>sesión principal (Sebas)</t>
        </is>
      </c>
      <c r="C59" s="8" t="inlineStr">
        <is>
          <t>1.8, 6.20, 5.10, 4.7, 4.8, 5.9, 6.14, 6.15; P-104, P-46, P-75, P-69, P-72, P-73</t>
        </is>
      </c>
      <c r="D59" s="7" t="inlineStr">
        <is>
          <t>C+ y tanda 1 de Ricardo en producción; Carlos sale</t>
        </is>
      </c>
      <c r="E59"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60">
      <c r="A60" s="8" t="inlineStr">
        <is>
          <t>2026-09-30</t>
        </is>
      </c>
      <c r="B60" s="4" t="inlineStr">
        <is>
          <t>ga-correos</t>
        </is>
      </c>
      <c r="C60" s="8" t="inlineStr">
        <is>
          <t>4.13; P-105</t>
        </is>
      </c>
      <c r="D60" s="7" t="inlineStr">
        <is>
          <t>Plantilla ga-aviso-institucional</t>
        </is>
      </c>
      <c r="E60" s="7" t="inlineStr">
        <is>
          <t>docs/resend/aviso-institucional.*; falta publicarla y crear la variable en Vercel.</t>
        </is>
      </c>
    </row>
    <row r="61">
      <c r="A61" s="8" t="inlineStr">
        <is>
          <t>2026-09-30</t>
        </is>
      </c>
      <c r="B61" s="4" t="inlineStr">
        <is>
          <t>ga-revisor-seguridad</t>
        </is>
      </c>
      <c r="C61" s="8" t="inlineStr">
        <is>
          <t>6.2, 4.13</t>
        </is>
      </c>
      <c r="D61" s="7" t="inlineStr">
        <is>
          <t>Dos pasadas de seguridad</t>
        </is>
      </c>
      <c r="E61" s="7" t="inlineStr">
        <is>
          <t>RS-01 a RS-22 sobre migraciones y pantallas de Ricardo. 6.2 sigue En curso (depende de 4.3).</t>
        </is>
      </c>
    </row>
    <row r="62">
      <c r="A62" s="8" t="inlineStr">
        <is>
          <t>2026-09-30</t>
        </is>
      </c>
      <c r="B62" s="4" t="inlineStr">
        <is>
          <t>ga-diseno-a-codigo</t>
        </is>
      </c>
      <c r="C62" s="8" t="inlineStr">
        <is>
          <t>4.13</t>
        </is>
      </c>
      <c r="D62" s="7" t="inlineStr">
        <is>
          <t>UI 3j–3p</t>
        </is>
      </c>
      <c r="E62" s="7" t="inlineStr">
        <is>
          <t>Pantallas y revisión de diseño A1–A3.</t>
        </is>
      </c>
    </row>
    <row r="63">
      <c r="A63" s="8" t="inlineStr">
        <is>
          <t>2026-09-30</t>
        </is>
      </c>
      <c r="B63" s="4" t="inlineStr">
        <is>
          <t>ga-funcionalidad-botones</t>
        </is>
      </c>
      <c r="C63" s="8" t="inlineStr">
        <is>
          <t>4.13</t>
        </is>
      </c>
      <c r="D63" s="7" t="inlineStr">
        <is>
          <t>Lógica y datos de 3j–3p y correcciones de seguridad</t>
        </is>
      </c>
      <c r="E63" s="7" t="inlineStr">
        <is>
          <t>RS-01..RS-22 de código, limpieza de fotos por RPC (5.10), aviso institucional siempre. vitest 503, build en verde.</t>
        </is>
      </c>
    </row>
    <row r="64">
      <c r="A64" s="8" t="inlineStr">
        <is>
          <t>2026-09-30</t>
        </is>
      </c>
      <c r="B64" s="4" t="inlineStr">
        <is>
          <t>ga-disenador-lienzo</t>
        </is>
      </c>
      <c r="C64" s="8" t="inlineStr">
        <is>
          <t>4.12</t>
        </is>
      </c>
      <c r="D64" s="7" t="inlineStr">
        <is>
          <t>Lienzo 3j–3p</t>
        </is>
      </c>
      <c r="E64" s="7" t="inlineStr">
        <is>
          <t>Piezas 3j–3n, 3o/3p (D-15, D-16) y revisión de fidelidad.</t>
        </is>
      </c>
    </row>
    <row r="65">
      <c r="A65" s="8" t="inlineStr">
        <is>
          <t>2026-09-30</t>
        </is>
      </c>
      <c r="B65" s="4" t="inlineStr">
        <is>
          <t>ga-auditor-supabase</t>
        </is>
      </c>
      <c r="C65" s="8" t="inlineStr">
        <is>
          <t>4.12; P-46</t>
        </is>
      </c>
      <c r="D65" s="7" t="inlineStr">
        <is>
          <t>Migraciones tanda 1 de Ricardo (29/30-sep)</t>
        </is>
      </c>
      <c r="E65" s="7" t="inlineStr">
        <is>
          <t>20260929100000..100700, 20260930100000..100500: grados, nómina, proceso ejecutivo, alertas, comisiones con pagos editables, tasa oculta (P-100), crédito solo en «operando», segunda pasada RS-17/18/20/21. pgTAP en verde.</t>
        </is>
      </c>
    </row>
    <row r="66">
      <c r="A66" s="8" t="inlineStr">
        <is>
          <t>2026-09-29</t>
        </is>
      </c>
      <c r="B66" s="4" t="inlineStr">
        <is>
          <t>sesión principal</t>
        </is>
      </c>
      <c r="C66" s="8" t="inlineStr">
        <is>
          <t>4.7, 4.8, 5.9, 5.10, 6.14, 6.15; P-69, P-72</t>
        </is>
      </c>
      <c r="D66" s="7" t="inlineStr">
        <is>
          <t>Primera entrega de Carlos Pardo revisada: NO fusionable</t>
        </is>
      </c>
      <c r="E66"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67">
      <c r="A67" s="8" t="inlineStr">
        <is>
          <t>2026-09-29</t>
        </is>
      </c>
      <c r="B67" s="4" t="inlineStr">
        <is>
          <t>sesión principal</t>
        </is>
      </c>
      <c r="C67" s="8" t="inlineStr">
        <is>
          <t>6.18; nuevo P-104</t>
        </is>
      </c>
      <c r="D67" s="7" t="inlineStr">
        <is>
          <t>Push y fusión de rediseno-c-plus a develop autorizados por Sebas; 6.18 pasa a Hecho</t>
        </is>
      </c>
      <c r="E67"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68">
      <c r="A68" s="8" t="inlineStr">
        <is>
          <t>2026-09-29</t>
        </is>
      </c>
      <c r="B68" s="4" t="inlineStr">
        <is>
          <t>ga-verificador-qa</t>
        </is>
      </c>
      <c r="C68" s="8" t="inlineStr">
        <is>
          <t>6.18 (verificación pre-commit de rediseno-c-plus)</t>
        </is>
      </c>
      <c r="D68" s="7" t="inlineStr">
        <is>
          <t>Suite e2e completa 290/290 tras independizar las pruebas del crédito de ejemplo</t>
        </is>
      </c>
      <c r="E68"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69">
      <c r="A69" s="8" t="inlineStr">
        <is>
          <t>2026-09-27</t>
        </is>
      </c>
      <c r="B69" s="4" t="inlineStr">
        <is>
          <t>sesión principal</t>
        </is>
      </c>
      <c r="C69" s="8" t="inlineStr">
        <is>
          <t>2.14; P-103</t>
        </is>
      </c>
      <c r="D69" s="7" t="inlineStr">
        <is>
          <t>Se quita la sección de testimonios de la landing (decisión de Sebas)</t>
        </is>
      </c>
      <c r="E69" s="7" t="inlineStr">
        <is>
          <t>Commit 4c63924: sección de testimonios (que estaba oculta desde P-102 por tener textos de ejemplo) eliminada de la landing por decisión de Sebas. P-103 (D-07, ¿se mantiene la sección?) cierra Hecho con esa decisión: no se mantiene.</t>
        </is>
      </c>
    </row>
    <row r="70">
      <c r="A70" s="8" t="inlineStr">
        <is>
          <t>2026-09-27</t>
        </is>
      </c>
      <c r="B70" s="4" t="inlineStr">
        <is>
          <t>sesión principal</t>
        </is>
      </c>
      <c r="C70" s="8" t="inlineStr">
        <is>
          <t>4.11; P-95, P-96</t>
        </is>
      </c>
      <c r="D70" s="7" t="inlineStr">
        <is>
          <t>Sebas aprueba P-95 y P-96; ambos pasan a Hecho</t>
        </is>
      </c>
      <c r="E70"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71">
      <c r="A71" s="8" t="inlineStr">
        <is>
          <t>2026-09-27</t>
        </is>
      </c>
      <c r="B71" s="4" t="inlineStr">
        <is>
          <t>ga-disenador-lienzo</t>
        </is>
      </c>
      <c r="C71" s="8" t="inlineStr">
        <is>
          <t>4.11 (revisión de diseño 3e/3i)</t>
        </is>
      </c>
      <c r="D71" s="7" t="inlineStr">
        <is>
          <t>Revisión de diseño aprobada con cambios menores</t>
        </is>
      </c>
      <c r="E71"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72">
      <c r="A72" s="8" t="inlineStr">
        <is>
          <t>2026-09-27</t>
        </is>
      </c>
      <c r="B72" s="4" t="inlineStr">
        <is>
          <t>ga-diseno-a-codigo</t>
        </is>
      </c>
      <c r="C72" s="8" t="inlineStr">
        <is>
          <t>4.11, P-95, P-96</t>
        </is>
      </c>
      <c r="D72" s="7" t="inlineStr">
        <is>
          <t>WhatsApp y bloque «Asesor» maquetados y conectados en código</t>
        </is>
      </c>
      <c r="E72"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73">
      <c r="A73" s="8" t="inlineStr">
        <is>
          <t>2026-09-27</t>
        </is>
      </c>
      <c r="B73" s="4" t="inlineStr">
        <is>
          <t>ga-funcionalidad-botones</t>
        </is>
      </c>
      <c r="C73" s="8" t="inlineStr">
        <is>
          <t>4.11, P-96</t>
        </is>
      </c>
      <c r="D73" s="7" t="inlineStr">
        <is>
          <t>Server Action asignarAsesor lista en el servidor</t>
        </is>
      </c>
      <c r="E73"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74">
      <c r="A74" s="8" t="inlineStr">
        <is>
          <t>2026-09-27</t>
        </is>
      </c>
      <c r="B74" s="4" t="inlineStr">
        <is>
          <t>ga-disenador-lienzo</t>
        </is>
      </c>
      <c r="C74" s="8" t="inlineStr">
        <is>
          <t>4.11 (D-08, D-09)</t>
        </is>
      </c>
      <c r="D74" s="7" t="inlineStr">
        <is>
          <t>Diseñado el botón WhatsApp habilitado (3e) y el bloque «Asesor» (3i) en el lienzo</t>
        </is>
      </c>
      <c r="E74"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75">
      <c r="A75" s="8" t="inlineStr">
        <is>
          <t>2026-09-27</t>
        </is>
      </c>
      <c r="B75" s="4" t="inlineStr">
        <is>
          <t>sesión principal</t>
        </is>
      </c>
      <c r="C75" s="8" t="inlineStr">
        <is>
          <t>6.18</t>
        </is>
      </c>
      <c r="D75" s="7" t="inlineStr">
        <is>
          <t>Se corrige la dependencia de 6.18: ya no depende de 1.8</t>
        </is>
      </c>
      <c r="E75"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76">
      <c r="A76" s="8" t="inlineStr">
        <is>
          <t>2026-09-27</t>
        </is>
      </c>
      <c r="B76" s="4" t="inlineStr">
        <is>
          <t>sesión principal</t>
        </is>
      </c>
      <c r="C76" s="8" t="inlineStr">
        <is>
          <t>6.17; 3.10, 4.10</t>
        </is>
      </c>
      <c r="D76" s="7" t="inlineStr">
        <is>
          <t>Correcciones responsive del C+ (commit b0239a8): barra inferior siempre visible en vez de oculta hasta el primer scroll</t>
        </is>
      </c>
      <c r="E76"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77">
      <c r="A77" s="8" t="inlineStr">
        <is>
          <t>2026-09-27</t>
        </is>
      </c>
      <c r="B77" s="4" t="inlineStr">
        <is>
          <t>sesión principal</t>
        </is>
      </c>
      <c r="C77" s="8" t="inlineStr">
        <is>
          <t>4.11; 6.17</t>
        </is>
      </c>
      <c r="D77" s="7" t="inlineStr">
        <is>
          <t>Hallazgo 0 corregido en producción del rediseño (commit 846657b): colores del admin oscuro en su propio grupo de Tailwind</t>
        </is>
      </c>
      <c r="E77"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78">
      <c r="A78" s="8" t="inlineStr">
        <is>
          <t>2026-09-27</t>
        </is>
      </c>
      <c r="B78" s="4" t="inlineStr">
        <is>
          <t>ga-diseno-a-codigo</t>
        </is>
      </c>
      <c r="C78" s="8" t="inlineStr">
        <is>
          <t>6.17</t>
        </is>
      </c>
      <c r="D78" s="7" t="inlineStr">
        <is>
          <t>Corregidos todos los hallazgos del informe de responsive; 6.17 pasa a Hecho en su parte de código</t>
        </is>
      </c>
      <c r="E78"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79">
      <c r="A79" s="8" t="inlineStr">
        <is>
          <t>2026-09-27</t>
        </is>
      </c>
      <c r="B79" s="4" t="inlineStr">
        <is>
          <t>ga-verificador-responsive</t>
        </is>
      </c>
      <c r="C79" s="8" t="inlineStr">
        <is>
          <t>6.19</t>
        </is>
      </c>
      <c r="D79" s="7" t="inlineStr">
        <is>
          <t>Verificación responsive de punta a punta del rediseño C+; 6.19 pasa a Hecho</t>
        </is>
      </c>
      <c r="E79"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80">
      <c r="A80" s="8" t="inlineStr">
        <is>
          <t>2026-09-27</t>
        </is>
      </c>
      <c r="B80" s="4" t="inlineStr">
        <is>
          <t>sesión principal</t>
        </is>
      </c>
      <c r="C80" s="8" t="inlineStr">
        <is>
          <t>4.11; P-99, P-100, P-101, P-102, P-103</t>
        </is>
      </c>
      <c r="D80" s="7" t="inlineStr">
        <is>
          <t>H1 corregido (tasa de interés fuera del payload de /cuenta) y H2/B-01 cerrados (cédula de las «hermanas» enmascarada en servidor, testimonios de ejemplo ocultos)</t>
        </is>
      </c>
      <c r="E80"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81">
      <c r="A81" s="8" t="inlineStr">
        <is>
          <t>2026-09-27</t>
        </is>
      </c>
      <c r="B81" s="4" t="inlineStr">
        <is>
          <t>ga-verificador-qa</t>
        </is>
      </c>
      <c r="C81" s="8" t="inlineStr">
        <is>
          <t>4.11, P-94, P-71; 6.16 pasa a Hecho; nuevos P-102, P-103</t>
        </is>
      </c>
      <c r="D81" s="7" t="inlineStr">
        <is>
          <t>QA completo del rediseño C+ en verde: 161/162 escritorio, 129/129 celular</t>
        </is>
      </c>
      <c r="E81"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82">
      <c r="A82" s="8" t="inlineStr">
        <is>
          <t>2026-09-27</t>
        </is>
      </c>
      <c r="B82" s="4" t="inlineStr">
        <is>
          <t>ga-revisor-seguridad</t>
        </is>
      </c>
      <c r="C82" s="8" t="inlineStr">
        <is>
          <t>4.11; nuevos P-99, P-100, P-101</t>
        </is>
      </c>
      <c r="D82" s="7" t="inlineStr">
        <is>
          <t>Revisión de seguridad del rediseño C+ aprobada; 2 fugas de datos confirmadas (no introducidas por el rediseño)</t>
        </is>
      </c>
      <c r="E82"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83">
      <c r="A83" s="8" t="inlineStr">
        <is>
          <t>2026-09-27</t>
        </is>
      </c>
      <c r="B83" s="4" t="inlineStr">
        <is>
          <t>ga-funcionalidad-botones</t>
        </is>
      </c>
      <c r="C83" s="8" t="inlineStr">
        <is>
          <t>4.11</t>
        </is>
      </c>
      <c r="D83" s="7" t="inlineStr">
        <is>
          <t>KPIs reales, tope real de grados_credito y nota interna oculta en el admin C+</t>
        </is>
      </c>
      <c r="E83"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84">
      <c r="A84" s="8" t="inlineStr">
        <is>
          <t>2026-09-27</t>
        </is>
      </c>
      <c r="B84" s="4" t="inlineStr">
        <is>
          <t>ga-diseno-a-codigo</t>
        </is>
      </c>
      <c r="C84" s="8" t="inlineStr">
        <is>
          <t>4.11</t>
        </is>
      </c>
      <c r="D84" s="7" t="inlineStr">
        <is>
          <t>Panel del admin C+ en modo oscuro maquetado en código; 4.11 pasa a Hecho</t>
        </is>
      </c>
      <c r="E84"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85">
      <c r="A85" s="8" t="inlineStr">
        <is>
          <t>2026-09-27</t>
        </is>
      </c>
      <c r="B85" s="4" t="inlineStr">
        <is>
          <t>ga-diseno-a-codigo</t>
        </is>
      </c>
      <c r="C85" s="8" t="inlineStr">
        <is>
          <t>4.10; nuevo P-98</t>
        </is>
      </c>
      <c r="D85" s="7" t="inlineStr">
        <is>
          <t>Panel del asesor C+ maquetado en código; 4.10 pasa a Hecho</t>
        </is>
      </c>
      <c r="E85"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86">
      <c r="A86" s="8" t="inlineStr">
        <is>
          <t>2026-09-27</t>
        </is>
      </c>
      <c r="B86" s="4" t="inlineStr">
        <is>
          <t>ga-diseno-a-codigo</t>
        </is>
      </c>
      <c r="C86" s="8" t="inlineStr">
        <is>
          <t>3.10</t>
        </is>
      </c>
      <c r="D86" s="7" t="inlineStr">
        <is>
          <t>Panel del asociado C+ maquetado en código; 3.10 pasa a Hecho</t>
        </is>
      </c>
      <c r="E86"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87">
      <c r="A87" s="8" t="inlineStr">
        <is>
          <t>2026-09-25</t>
        </is>
      </c>
      <c r="B87" s="4" t="inlineStr">
        <is>
          <t>ga-diseno-a-codigo</t>
        </is>
      </c>
      <c r="C87" s="8" t="inlineStr">
        <is>
          <t>1.7, 2.15</t>
        </is>
      </c>
      <c r="D87" s="7" t="inlineStr">
        <is>
          <t>Componentes base y maquetación C+ de ingreso/afiliación llevados a código; 2.15 pasa a Hecho</t>
        </is>
      </c>
      <c r="E87"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88">
      <c r="A88" s="8" t="inlineStr">
        <is>
          <t>2026-09-25</t>
        </is>
      </c>
      <c r="B88" s="4" t="inlineStr">
        <is>
          <t>ga-disenador-lienzo</t>
        </is>
      </c>
      <c r="C88" s="8" t="inlineStr">
        <is>
          <t>3.10, 4.10, 4.11</t>
        </is>
      </c>
      <c r="D88" s="7" t="inlineStr">
        <is>
          <t>Lienzo C+ completo: piezas 3d (asociado) y 3e–3h (admin)</t>
        </is>
      </c>
      <c r="E88"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89">
      <c r="A89" s="8" t="inlineStr">
        <is>
          <t>2026-09-25</t>
        </is>
      </c>
      <c r="B89" s="4" t="inlineStr">
        <is>
          <t>ga-diseno-a-codigo</t>
        </is>
      </c>
      <c r="C89" s="8" t="inlineStr">
        <is>
          <t>1.7, 2.14; nuevo 6.16</t>
        </is>
      </c>
      <c r="D89" s="7" t="inlineStr">
        <is>
          <t>Tokens y landing del rediseño C+ llevados a código</t>
        </is>
      </c>
      <c r="E89"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90">
      <c r="A90" s="8" t="inlineStr">
        <is>
          <t>2026-09-25</t>
        </is>
      </c>
      <c r="B90" s="4" t="inlineStr">
        <is>
          <t>ga-disenador-lienzo</t>
        </is>
      </c>
      <c r="C90" s="8" t="inlineStr">
        <is>
          <t>1.7, 2.15, 3.10, 4.10, 4.11</t>
        </is>
      </c>
      <c r="D90" s="7" t="inlineStr">
        <is>
          <t>Lienzo C+ ampliado: design system, Ingreso y Afiliación (piezas 3a/3b/3c)</t>
        </is>
      </c>
      <c r="E90"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91">
      <c r="A91" s="8" t="inlineStr">
        <is>
          <t>2026-09-25</t>
        </is>
      </c>
      <c r="B91" s="4" t="inlineStr">
        <is>
          <t>ga-auditor-supabase</t>
        </is>
      </c>
      <c r="C91" s="8" t="inlineStr">
        <is>
          <t>1.8; P-47, P-90, P-91, P-92</t>
        </is>
      </c>
      <c r="D91" s="7" t="inlineStr">
        <is>
          <t>Auditoría de backend para el rediseño C+: 5 migraciones propuestas sin aplicar</t>
        </is>
      </c>
      <c r="E91"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92">
      <c r="A92" s="8" t="inlineStr">
        <is>
          <t>2026-09-25</t>
        </is>
      </c>
      <c r="B92" s="7" t="inlineStr">
        <is>
          <t>sesión principal (despliegue PR #2)</t>
        </is>
      </c>
      <c r="C92" s="8" t="inlineStr">
        <is>
          <t>4.9; P-83, P-84, P-85, P-89</t>
        </is>
      </c>
      <c r="D92" s="7" t="inlineStr">
        <is>
          <t>Despliegue confirmado en producción: 4.9, P-83, P-84, P-85 y P-89 pasan a Hecho</t>
        </is>
      </c>
      <c r="E92"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93">
      <c r="A93" s="8" t="inlineStr">
        <is>
          <t>2026-09-25</t>
        </is>
      </c>
      <c r="B93" s="7" t="inlineStr">
        <is>
          <t>sesión principal (coordinador)</t>
        </is>
      </c>
      <c r="C93" s="8" t="inlineStr">
        <is>
          <t>4.9; P-83, P-84, P-85, P-89; 6.15</t>
        </is>
      </c>
      <c r="D93" s="7" t="inlineStr">
        <is>
          <t>Cuenta demo para admin, máscara de correo sin dominio y cierre de P-86/P-87</t>
        </is>
      </c>
      <c r="E93"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94">
      <c r="A94" s="8" t="inlineStr">
        <is>
          <t>2026-09-25</t>
        </is>
      </c>
      <c r="B94" s="4" t="inlineStr">
        <is>
          <t>sesión principal</t>
        </is>
      </c>
      <c r="C94" s="8" t="inlineStr">
        <is>
          <t>5.3; P-13</t>
        </is>
      </c>
      <c r="D94" s="7" t="inlineStr">
        <is>
          <t>Texto de vigilancia de Supersolidaria confirmado</t>
        </is>
      </c>
      <c r="E94"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95">
      <c r="A95" s="8" t="inlineStr">
        <is>
          <t>2026-09-25</t>
        </is>
      </c>
      <c r="B95" s="4" t="inlineStr">
        <is>
          <t>ga-verificador-qa</t>
        </is>
      </c>
      <c r="C95" s="8" t="inlineStr">
        <is>
          <t>6.3; nuevos P-84, P-86, P-87</t>
        </is>
      </c>
      <c r="D95" s="7" t="inlineStr">
        <is>
          <t>QA de producción: con observaciones</t>
        </is>
      </c>
      <c r="E95"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96">
      <c r="A96" s="8" t="inlineStr">
        <is>
          <t>2026-09-25</t>
        </is>
      </c>
      <c r="B96" s="4" t="inlineStr">
        <is>
          <t>sesión principal</t>
        </is>
      </c>
      <c r="C96" s="8" t="inlineStr">
        <is>
          <t>2.12; nuevo P-85</t>
        </is>
      </c>
      <c r="D96" s="7" t="inlineStr">
        <is>
          <t>El formulario de afiliación acepta correo de cualquier dominio</t>
        </is>
      </c>
      <c r="E96"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97">
      <c r="A97" s="8" t="inlineStr">
        <is>
          <t>2026-09-25</t>
        </is>
      </c>
      <c r="B97" s="4" t="inlineStr">
        <is>
          <t>ga-revisor-seguridad</t>
        </is>
      </c>
      <c r="C97" s="8" t="inlineStr">
        <is>
          <t>6.2; nuevos P-83, P-88</t>
        </is>
      </c>
      <c r="D97" s="7" t="inlineStr">
        <is>
          <t>Revisión de seguridad final de producción: aprobado con observaciones</t>
        </is>
      </c>
      <c r="E97"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98">
      <c r="A98" s="8" t="inlineStr">
        <is>
          <t>2026-09-25</t>
        </is>
      </c>
      <c r="B98" s="7" t="inlineStr">
        <is>
          <t>sesión principal (coordinador)</t>
        </is>
      </c>
      <c r="C98" s="8" t="inlineStr">
        <is>
          <t>6.5, 6.13; P-59, P-64; nuevo P-82</t>
        </is>
      </c>
      <c r="D98" s="7" t="inlineStr">
        <is>
          <t>PR develop → main fusionado; fase 2 desplegada en producción</t>
        </is>
      </c>
      <c r="E98"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99">
      <c r="A99" s="8" t="inlineStr">
        <is>
          <t>2026-09-25</t>
        </is>
      </c>
      <c r="B99" s="7" t="inlineStr">
        <is>
          <t>sesión principal (coordinador)</t>
        </is>
      </c>
      <c r="C99" s="8" t="inlineStr">
        <is>
          <t>6.9, 6.13; P-44, P-59, P-61</t>
        </is>
      </c>
      <c r="D99" s="7" t="inlineStr">
        <is>
          <t>Migraciones de fase 2 aplicadas en producción; plantillas de Resend y variables de Vercel puestas</t>
        </is>
      </c>
      <c r="E99"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00">
      <c r="A100" s="8" t="inlineStr">
        <is>
          <t>2026-09-24</t>
        </is>
      </c>
      <c r="B100" s="7" t="inlineStr">
        <is>
          <t>sesión principal (coordinador)</t>
        </is>
      </c>
      <c r="C100" s="8" t="inlineStr">
        <is>
          <t>5.4, P-14, P-61, P-62, P-72; nuevos P-75 a P-81</t>
        </is>
      </c>
      <c r="D100" s="7" t="inlineStr">
        <is>
          <t>Borrador de la política de datos y plantillas de Resend listas; Test QA borrado y dominio conectado</t>
        </is>
      </c>
      <c r="E100"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01">
      <c r="A101" s="8" t="inlineStr">
        <is>
          <t>2026-09-24</t>
        </is>
      </c>
      <c r="B101" s="7" t="inlineStr">
        <is>
          <t>Sebas (acuerdo con Carlos Pardo)</t>
        </is>
      </c>
      <c r="C101" s="8" t="inlineStr">
        <is>
          <t>4.1, 4.7, 4.8, 5.9, 5.10, 6.14, 6.15; P-65 a P-74</t>
        </is>
      </c>
      <c r="D101" s="7" t="inlineStr">
        <is>
          <t>Corrección de 4.1 y encargo externo a Carlos Pardo (500.000 COP) por PR a develop</t>
        </is>
      </c>
      <c r="E101"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02">
      <c r="A102" s="8" t="inlineStr">
        <is>
          <t>2026-09-24</t>
        </is>
      </c>
      <c r="B102" s="4" t="inlineStr">
        <is>
          <t>ga-escritor-tests</t>
        </is>
      </c>
      <c r="C102" s="8" t="inlineStr">
        <is>
          <t>6.1, P-58</t>
        </is>
      </c>
      <c r="D102" s="7" t="inlineStr">
        <is>
          <t>tests/e2e/d-afiliacion.spec.ts reescrito para la afiliación v2; bug real encontrado en esquemaAfiliacion</t>
        </is>
      </c>
      <c r="E102"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03">
      <c r="A103" s="8" t="inlineStr">
        <is>
          <t>2026-09-24</t>
        </is>
      </c>
      <c r="B103" s="7" t="inlineStr">
        <is>
          <t>Sebas (coordinación con la cooperativa)</t>
        </is>
      </c>
      <c r="C103" s="8" t="inlineStr">
        <is>
          <t>5.3; P-10, P-11, P-12, P-17, P-18, P-38, P-44</t>
        </is>
      </c>
      <c r="D103" s="7" t="inlineStr">
        <is>
          <t>Datos reales de contacto entregados; se cancela la importación de Excel; 3 admins reales en producción</t>
        </is>
      </c>
      <c r="E103"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04">
      <c r="A104" s="8" t="inlineStr">
        <is>
          <t>2026-09-24</t>
        </is>
      </c>
      <c r="B104" s="4" t="inlineStr">
        <is>
          <t>ga-funcionalidad-botones</t>
        </is>
      </c>
      <c r="C104" s="8" t="inlineStr">
        <is>
          <t>2.12, 4.1, 4.2, 4.5, 4.6, 6.2; P-36, P-37</t>
        </is>
      </c>
      <c r="D104" s="7" t="inlineStr">
        <is>
          <t>Afiliación v2, panel /admin y correcciones de la auditoría y la revisión de seguridad (F2-01/F2-04, S-01 a S-14)</t>
        </is>
      </c>
      <c r="E104"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05">
      <c r="A105" s="8" t="inlineStr">
        <is>
          <t>2026-09-24</t>
        </is>
      </c>
      <c r="B105" s="4" t="inlineStr">
        <is>
          <t>ga-revisor-seguridad</t>
        </is>
      </c>
      <c r="C105" s="8" t="inlineStr">
        <is>
          <t>6.2</t>
        </is>
      </c>
      <c r="D105" s="7" t="inlineStr">
        <is>
          <t>Revisión de seguridad de fase 2: 3 bloqueos para el despliegue</t>
        </is>
      </c>
      <c r="E105"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06">
      <c r="A106" s="8" t="inlineStr">
        <is>
          <t>2026-09-24</t>
        </is>
      </c>
      <c r="B106" s="4" t="inlineStr">
        <is>
          <t>ga-auditor-supabase</t>
        </is>
      </c>
      <c r="C106" s="8" t="inlineStr">
        <is>
          <t>1.6</t>
        </is>
      </c>
      <c r="D106" s="7" t="inlineStr">
        <is>
          <t>Auditoría de las 6 migraciones de fase 2: 1 hallazgo alto, 3 migraciones correctivas propuestas</t>
        </is>
      </c>
      <c r="E106"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07">
      <c r="A107" s="8" t="inlineStr">
        <is>
          <t>2026-09-24</t>
        </is>
      </c>
      <c r="B107" s="4" t="inlineStr">
        <is>
          <t>ga-funcionalidad-botones</t>
        </is>
      </c>
      <c r="C107" s="8" t="inlineStr">
        <is>
          <t>3.9</t>
        </is>
      </c>
      <c r="D107" s="7" t="inlineStr">
        <is>
          <t>Sorteo mensual en /cuenta</t>
        </is>
      </c>
      <c r="E107"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08">
      <c r="A108" s="8" t="inlineStr">
        <is>
          <t>2026-09-24</t>
        </is>
      </c>
      <c r="B108" s="4" t="inlineStr">
        <is>
          <t>ga-funcionalidad-botones</t>
        </is>
      </c>
      <c r="C108" s="8" t="inlineStr">
        <is>
          <t>4.6; P-57</t>
        </is>
      </c>
      <c r="D108" s="7" t="inlineStr">
        <is>
          <t>Rol asesor: /asesor (mis clientes) y /asesor/demo</t>
        </is>
      </c>
      <c r="E108"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09">
      <c r="A109" s="8" t="inlineStr">
        <is>
          <t>2026-09-24</t>
        </is>
      </c>
      <c r="B109" s="4" t="inlineStr">
        <is>
          <t>ga-auditor-supabase</t>
        </is>
      </c>
      <c r="C109" s="8" t="inlineStr">
        <is>
          <t>1.5; P-63</t>
        </is>
      </c>
      <c r="D109" s="7" t="inlineStr">
        <is>
          <t>Modelo de datos de fase 2: rol asesor, afiliación v2, bucket de fotos y sorteo mensual</t>
        </is>
      </c>
      <c r="E109"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10">
      <c r="A110" s="8" t="inlineStr">
        <is>
          <t>2026-09-23</t>
        </is>
      </c>
      <c r="B110" s="7" t="inlineStr">
        <is>
          <t>ga-funcionalidad-botones + ga-diseno-a-codigo</t>
        </is>
      </c>
      <c r="C110" s="8" t="inlineStr">
        <is>
          <t>6.3</t>
        </is>
      </c>
      <c r="D110" s="7" t="inlineStr">
        <is>
          <t>Corregidos F-01 a F-08 de verificación 3 y los 8 hallazgos responsive</t>
        </is>
      </c>
      <c r="E110"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11">
      <c r="A111" s="8" t="inlineStr">
        <is>
          <t>2026-09-23</t>
        </is>
      </c>
      <c r="B111" s="7" t="inlineStr">
        <is>
          <t>ga-verificador-responsive + ga-verificador-qa</t>
        </is>
      </c>
      <c r="C111" s="8" t="inlineStr">
        <is>
          <t>6.3; P-39</t>
        </is>
      </c>
      <c r="D111" s="7" t="inlineStr">
        <is>
          <t>Responsive 3 (8 hallazgos menores) y QA E2E 3 (236/241, NO APROBADO)</t>
        </is>
      </c>
      <c r="E111"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12">
      <c r="A112" s="8" t="inlineStr">
        <is>
          <t>2026-09-23</t>
        </is>
      </c>
      <c r="B112" s="4" t="inlineStr">
        <is>
          <t>ga-verificador-responsive</t>
        </is>
      </c>
      <c r="C112" s="8" t="inlineStr">
        <is>
          <t>6.3, 5.2, 5.8; P-39, P-53</t>
        </is>
      </c>
      <c r="D112" s="7" t="inlineStr">
        <is>
          <t>Verificación responsive 2: 0 fallas en 13 anchos; tests/responsive 10/10</t>
        </is>
      </c>
      <c r="E112"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13">
      <c r="A113" s="8" t="inlineStr">
        <is>
          <t>2026-09-23</t>
        </is>
      </c>
      <c r="B113" s="4" t="inlineStr">
        <is>
          <t>ga-funcionalidad-botones</t>
        </is>
      </c>
      <c r="C113" s="8" t="inlineStr">
        <is>
          <t>3.7, 5.5, 5.6, 6.9, 6.11; P-35, P-40, P-44, P-56</t>
        </is>
      </c>
      <c r="D113" s="7" t="inlineStr">
        <is>
          <t>HMAC en el límite de intentos, crédito en /cuenta/solicitar y borradas /login y /dashboard</t>
        </is>
      </c>
      <c r="E113"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14">
      <c r="A114" s="8" t="inlineStr">
        <is>
          <t>2026-09-23</t>
        </is>
      </c>
      <c r="B114" s="4" t="inlineStr">
        <is>
          <t>ga-diseno-a-codigo</t>
        </is>
      </c>
      <c r="C114" s="8" t="inlineStr">
        <is>
          <t>5.2, 5.8, 6.3</t>
        </is>
      </c>
      <c r="D114" s="7" t="inlineStr">
        <is>
          <t>Corregido el scroll horizontal y marca de agua más tenue</t>
        </is>
      </c>
      <c r="E114" s="7" t="inlineStr">
        <is>
          <t>Enlace del logo encoge (min-w-0 shrink) en los 5 headers; formulario de ingreso w-full con máximo 440 px y relleno de 32 px entre 1024 y 1279 px; marca de agua del hero en la esquina contraria y más tenue. 5.8 queda Hecho (peso 1, depende de 5.2 y 5.7).</t>
        </is>
      </c>
    </row>
    <row r="115">
      <c r="A115" s="8" t="inlineStr">
        <is>
          <t>2026-09-23</t>
        </is>
      </c>
      <c r="B115" s="4" t="inlineStr">
        <is>
          <t>ga-verificador-responsive</t>
        </is>
      </c>
      <c r="C115" s="8" t="inlineStr">
        <is>
          <t>6.3, 5.2, 2.1, 5.8; P-39</t>
        </is>
      </c>
      <c r="D115" s="7" t="inlineStr">
        <is>
          <t>Verificación responsive 1: logo y fotos bien; 2 fallas críticas de scroll previas</t>
        </is>
      </c>
      <c r="E115"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16">
      <c r="A116" s="8" t="inlineStr">
        <is>
          <t>2026-09-23</t>
        </is>
      </c>
      <c r="B116" s="4" t="inlineStr">
        <is>
          <t>ga-diseno-a-codigo</t>
        </is>
      </c>
      <c r="C116" s="8" t="inlineStr">
        <is>
          <t>2.1, 5.3, 5.7; P-16, P-52</t>
        </is>
      </c>
      <c r="D116" s="7" t="inlineStr">
        <is>
          <t>Logo con letras oficiales en SVG y espacios de foto de marca en la landing</t>
        </is>
      </c>
      <c r="E116"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17">
      <c r="A117" s="8" t="inlineStr">
        <is>
          <t>2026-09-23</t>
        </is>
      </c>
      <c r="B117" s="4" t="inlineStr">
        <is>
          <t>ga-auditor-supabase</t>
        </is>
      </c>
      <c r="C117" s="8" t="inlineStr">
        <is>
          <t>6.8, 6.11, 6.12; P-43, P-54, P-55</t>
        </is>
      </c>
      <c r="D117" s="7" t="inlineStr">
        <is>
          <t>Migración limite_de_intentos auditada: se puede aplicar tal cual</t>
        </is>
      </c>
      <c r="E117"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18">
      <c r="A118" s="8" t="inlineStr">
        <is>
          <t>2026-09-23</t>
        </is>
      </c>
      <c r="B118" s="7" t="inlineStr">
        <is>
          <t>Sebas + ga-auditor-supabase</t>
        </is>
      </c>
      <c r="C118" s="8" t="inlineStr">
        <is>
          <t>2.4, 6.8, 6.10; P-09, P-19, P-20, P-43, P-45</t>
        </is>
      </c>
      <c r="D118" s="7" t="inlineStr">
        <is>
          <t>SMTP de Resend configurado, plantilla del código lista en local y blindar confirmada en producción</t>
        </is>
      </c>
      <c r="E118"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19">
      <c r="A119" s="8" t="inlineStr">
        <is>
          <t>2026-09-23</t>
        </is>
      </c>
      <c r="B119" s="4" t="inlineStr">
        <is>
          <t>Sebas</t>
        </is>
      </c>
      <c r="C119" s="8" t="inlineStr">
        <is>
          <t>—</t>
        </is>
      </c>
      <c r="D119" s="7" t="inlineStr">
        <is>
          <t>Agente ga-auditor-supabase corregido</t>
        </is>
      </c>
      <c r="E119" s="7" t="inlineStr">
        <is>
          <t>Sus disallowedTools ahora usan los nombres reales del MCP (mcp__claude_ai_Supabase__*). Sin efecto en el plan.</t>
        </is>
      </c>
    </row>
    <row r="120">
      <c r="A120" s="8" t="inlineStr">
        <is>
          <t>2026-09-23</t>
        </is>
      </c>
      <c r="B120" s="7" t="inlineStr">
        <is>
          <t>Sebas + ga-auditor-supabase</t>
        </is>
      </c>
      <c r="C120" s="8" t="inlineStr">
        <is>
          <t>3.1, 6.5, 6.10; P-09</t>
        </is>
      </c>
      <c r="D120" s="7" t="inlineStr">
        <is>
          <t>Producción atrasada: falta la migración blindar_solicitudes_y_revisiones</t>
        </is>
      </c>
      <c r="E120"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21">
      <c r="A121" s="8" t="inlineStr">
        <is>
          <t>2026-09-23</t>
        </is>
      </c>
      <c r="B121" s="4" t="inlineStr">
        <is>
          <t>ga-escritor-tests</t>
        </is>
      </c>
      <c r="C121" s="8" t="inlineStr">
        <is>
          <t>6.1</t>
        </is>
      </c>
      <c r="D121" s="7" t="inlineStr">
        <is>
          <t>132/132 unitarias, 131/131 pgTAP y tsc sin errores</t>
        </is>
      </c>
      <c r="E121"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22">
      <c r="A122" s="8" t="inlineStr">
        <is>
          <t>2026-09-23</t>
        </is>
      </c>
      <c r="B122" s="7" t="inlineStr">
        <is>
          <t>Sebas + ga-funcionalidad-botones</t>
        </is>
      </c>
      <c r="C122" s="8" t="inlineStr">
        <is>
          <t>2.9, 3.8, 4.5, 6.1, 6.2, 6.9; P-19, P-20, P-28, P-36, P-37, P-44, P-45, P-50, P-51</t>
        </is>
      </c>
      <c r="D122" s="7" t="inlineStr">
        <is>
          <t>Se quitan del código los correos de aviso de afiliación y de solicitud de crédito; docs/resend-plantillas.md reescrito</t>
        </is>
      </c>
      <c r="E122"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23">
      <c r="A123" s="8" t="inlineStr">
        <is>
          <t>2026-09-23</t>
        </is>
      </c>
      <c r="B123" s="4" t="inlineStr">
        <is>
          <t>ga-verificador-qa</t>
        </is>
      </c>
      <c r="C123" s="8" t="inlineStr">
        <is>
          <t>6.3, 2.11; P-39, P-48, P-49, P-50</t>
        </is>
      </c>
      <c r="D123" s="7" t="inlineStr">
        <is>
          <t>QA 1 de punta a punta: 186 pruebas pasan, 2 fallan</t>
        </is>
      </c>
      <c r="E123"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24">
      <c r="A124" s="8" t="inlineStr">
        <is>
          <t>2026-09-23</t>
        </is>
      </c>
      <c r="B124" s="4" t="inlineStr">
        <is>
          <t>ga-funcionalidad-botones</t>
        </is>
      </c>
      <c r="C124" s="8" t="inlineStr">
        <is>
          <t>2.4, 2.5, 2.6, 2.7, 2.8, 2.9, 2.10, 3.5, 3.6, 3.7, 3.8, 5.4, 6.1, 6.5, 6.8, 6.9; P-15, P-20, P-22 a P-35, P-43 a P-47</t>
        </is>
      </c>
      <c r="D124" s="7" t="inlineStr">
        <is>
          <t>Botones de /, /ingresar, /ingresar/codigo, /afiliacion, /afiliacion/enviada y /cuenta funcionando en local</t>
        </is>
      </c>
      <c r="E124"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25">
      <c r="A125" s="8" t="inlineStr">
        <is>
          <t>2026-09-23</t>
        </is>
      </c>
      <c r="B125" s="4" t="inlineStr">
        <is>
          <t>Claude (sesión principal)</t>
        </is>
      </c>
      <c r="C125" s="8" t="inlineStr">
        <is>
          <t>Todas</t>
        </is>
      </c>
      <c r="D125" s="7" t="inlineStr">
        <is>
          <t>Creación del Excel de avances</t>
        </is>
      </c>
      <c r="E125"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2026-10-09T21:00:04Z</dcterms:created>
  <dcterms:modified xsi:type="dcterms:W3CDTF">2026-10-09T21:00:07Z</dcterms:modified>
</cp:coreProperties>
</file>