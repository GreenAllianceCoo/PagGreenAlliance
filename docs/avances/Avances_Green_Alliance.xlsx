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'Pendientes'!$A$4:$J$85</definedName>
    <definedName name="_xlnm._FilterDatabase" localSheetId="2" hidden="1">'Plan'!$A$4:$R$64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0"/>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2026-09-24.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49</v>
      </c>
      <c r="D6" s="6" t="inlineStr">
        <is>
          <t>Calculado por el optimizador.</t>
        </is>
      </c>
    </row>
    <row r="8">
      <c r="B8" s="3" t="inlineStr">
        <is>
          <t>Indicadores</t>
        </is>
      </c>
    </row>
    <row r="9">
      <c r="B9" s="4" t="inlineStr">
        <is>
          <t>Actividades en el plan</t>
        </is>
      </c>
      <c r="C9" s="9">
        <f>COUNTA(Plan!$A$5:$A$64)</f>
        <v/>
      </c>
    </row>
    <row r="10">
      <c r="B10" s="4" t="inlineStr">
        <is>
          <t>Hechas</t>
        </is>
      </c>
      <c r="C10" s="9">
        <f>COUNTIF(Plan!$O$5:$O$64,"Hecho")</f>
        <v/>
      </c>
    </row>
    <row r="11">
      <c r="B11" s="4" t="inlineStr">
        <is>
          <t>En curso</t>
        </is>
      </c>
      <c r="C11" s="9">
        <f>COUNTIF(Plan!$O$5:$O$64,"En curso")</f>
        <v/>
      </c>
    </row>
    <row r="12">
      <c r="B12" s="4" t="inlineStr">
        <is>
          <t>Pendientes</t>
        </is>
      </c>
      <c r="C12" s="9">
        <f>COUNTIF(Plan!$O$5:$O$64,"Pendiente")</f>
        <v/>
      </c>
    </row>
    <row r="13">
      <c r="B13" s="7" t="inlineStr">
        <is>
          <t>Bloqueadas (esperan a la cooperativa)</t>
        </is>
      </c>
      <c r="C13" s="9">
        <f>COUNTIF(Plan!$O$5:$O$64,"Bloqueado")</f>
        <v/>
      </c>
    </row>
    <row r="14">
      <c r="B14" s="4" t="inlineStr">
        <is>
          <t>Peso total (puntos)</t>
        </is>
      </c>
      <c r="C14" s="9">
        <f>SUM(Plan!$D$5:$D$64)</f>
        <v/>
      </c>
    </row>
    <row r="15">
      <c r="B15" s="4" t="inlineStr">
        <is>
          <t>Peso hecho (puntos)</t>
        </is>
      </c>
      <c r="C15" s="9">
        <f>SUMIF(Plan!$O$5:$O$64,"Hecho",Plan!$D$5:$D$64)</f>
        <v/>
      </c>
    </row>
    <row r="16">
      <c r="B16" s="4" t="inlineStr">
        <is>
          <t>Avance ponderado por peso</t>
        </is>
      </c>
      <c r="C16" s="10">
        <f>IF(C14=0,0,C15/C14)</f>
        <v/>
      </c>
    </row>
    <row r="17">
      <c r="B17" s="7" t="inlineStr">
        <is>
          <t>Duración total optimizada (bloques)</t>
        </is>
      </c>
      <c r="C17" s="9">
        <f>MAX(Plan!$L$5:$L$64)</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IF(C17=0,0,(SUMIF(Plan!$I$5:$I$64,"A",Plan!$E$5:$E$64)+SUMIF(Plan!$I$5:$I$64,"A+B",Plan!$E$5:$E$64))/C17)</f>
        <v/>
      </c>
    </row>
    <row r="24">
      <c r="B24" s="4" t="inlineStr">
        <is>
          <t>Uso de la Fila B</t>
        </is>
      </c>
      <c r="C24" s="12">
        <f>IF(C17=0,0,(SUMIF(Plan!$I$5:$I$64,"B",Plan!$E$5:$E$64)+SUMIF(Plan!$I$5:$I$64,"A+B",Plan!$E$5:$E$64))/C17)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SUMIF(Plan!$B$5:$B$64,"1. Diseño y arquitectura",Plan!$D$5:$D$64)</f>
        <v/>
      </c>
      <c r="D29" s="15">
        <f>SUMIFS(Plan!$D$5:$D$64,Plan!$B$5:$B$64,"1. Diseño y arquitectura",Plan!$O$5:$O$64,"Hecho")</f>
        <v/>
      </c>
      <c r="E29" s="12">
        <f>IF(C29=0,0,D29/C29)</f>
        <v/>
      </c>
      <c r="F29" s="15">
        <f>SUMPRODUCT(MAX((Plan!$B$5:$B$64="1. Diseño y arquitectura")*Plan!$L$5:$L$64))</f>
        <v/>
      </c>
      <c r="G29" s="8">
        <f>"S"&amp;ROUNDUP(F29/$C$5,0)</f>
        <v/>
      </c>
      <c r="H29" s="16">
        <f>'Propuesta original'!E5</f>
        <v/>
      </c>
    </row>
    <row r="30">
      <c r="B30" s="7" t="inlineStr">
        <is>
          <t>2. Landing y autenticación</t>
        </is>
      </c>
      <c r="C30" s="15">
        <f>SUMIF(Plan!$B$5:$B$64,"2. Landing y autenticación",Plan!$D$5:$D$64)</f>
        <v/>
      </c>
      <c r="D30" s="15">
        <f>SUMIFS(Plan!$D$5:$D$64,Plan!$B$5:$B$64,"2. Landing y autenticación",Plan!$O$5:$O$64,"Hecho")</f>
        <v/>
      </c>
      <c r="E30" s="12">
        <f>IF(C30=0,0,D30/C30)</f>
        <v/>
      </c>
      <c r="F30" s="15">
        <f>SUMPRODUCT(MAX((Plan!$B$5:$B$64="2. Landing y autenticación")*Plan!$L$5:$L$64))</f>
        <v/>
      </c>
      <c r="G30" s="8">
        <f>"S"&amp;ROUNDUP(F30/$C$5,0)</f>
        <v/>
      </c>
      <c r="H30" s="16">
        <f>'Propuesta original'!E6</f>
        <v/>
      </c>
    </row>
    <row r="31">
      <c r="B31" s="7" t="inlineStr">
        <is>
          <t>3. Flujo de solicitud de crédito</t>
        </is>
      </c>
      <c r="C31" s="15">
        <f>SUMIF(Plan!$B$5:$B$64,"3. Flujo de solicitud de crédito",Plan!$D$5:$D$64)</f>
        <v/>
      </c>
      <c r="D31" s="15">
        <f>SUMIFS(Plan!$D$5:$D$64,Plan!$B$5:$B$64,"3. Flujo de solicitud de crédito",Plan!$O$5:$O$64,"Hecho")</f>
        <v/>
      </c>
      <c r="E31" s="12">
        <f>IF(C31=0,0,D31/C31)</f>
        <v/>
      </c>
      <c r="F31" s="15">
        <f>SUMPRODUCT(MAX((Plan!$B$5:$B$64="3. Flujo de solicitud de crédito")*Plan!$L$5:$L$64))</f>
        <v/>
      </c>
      <c r="G31" s="8">
        <f>"S"&amp;ROUNDUP(F31/$C$5,0)</f>
        <v/>
      </c>
      <c r="H31" s="16">
        <f>'Propuesta original'!E7</f>
        <v/>
      </c>
    </row>
    <row r="32">
      <c r="B32" s="7" t="inlineStr">
        <is>
          <t>4. Panel de administración</t>
        </is>
      </c>
      <c r="C32" s="15">
        <f>SUMIF(Plan!$B$5:$B$64,"4. Panel de administración",Plan!$D$5:$D$64)</f>
        <v/>
      </c>
      <c r="D32" s="15">
        <f>SUMIFS(Plan!$D$5:$D$64,Plan!$B$5:$B$64,"4. Panel de administración",Plan!$O$5:$O$64,"Hecho")</f>
        <v/>
      </c>
      <c r="E32" s="12">
        <f>IF(C32=0,0,D32/C32)</f>
        <v/>
      </c>
      <c r="F32" s="15">
        <f>SUMPRODUCT(MAX((Plan!$B$5:$B$64="4. Panel de administración")*Plan!$L$5:$L$64))</f>
        <v/>
      </c>
      <c r="G32" s="8">
        <f>"S"&amp;ROUNDUP(F32/$C$5,0)</f>
        <v/>
      </c>
      <c r="H32" s="16">
        <f>'Propuesta original'!E8</f>
        <v/>
      </c>
    </row>
    <row r="33">
      <c r="B33" s="4" t="inlineStr">
        <is>
          <t>5. Convenios y pulido</t>
        </is>
      </c>
      <c r="C33" s="15">
        <f>SUMIF(Plan!$B$5:$B$64,"5. Convenios y pulido",Plan!$D$5:$D$64)</f>
        <v/>
      </c>
      <c r="D33" s="15">
        <f>SUMIFS(Plan!$D$5:$D$64,Plan!$B$5:$B$64,"5. Convenios y pulido",Plan!$O$5:$O$64,"Hecho")</f>
        <v/>
      </c>
      <c r="E33" s="12">
        <f>IF(C33=0,0,D33/C33)</f>
        <v/>
      </c>
      <c r="F33" s="15">
        <f>SUMPRODUCT(MAX((Plan!$B$5:$B$64="5. Convenios y pulido")*Plan!$L$5:$L$64))</f>
        <v/>
      </c>
      <c r="G33" s="8">
        <f>"S"&amp;ROUNDUP(F33/$C$5,0)</f>
        <v/>
      </c>
      <c r="H33" s="16">
        <f>'Propuesta original'!E9</f>
        <v/>
      </c>
    </row>
    <row r="34">
      <c r="B34" s="4" t="inlineStr">
        <is>
          <t>6. Pruebas y lanzamiento</t>
        </is>
      </c>
      <c r="C34" s="15">
        <f>SUMIF(Plan!$B$5:$B$64,"6. Pruebas y lanzamiento",Plan!$D$5:$D$64)</f>
        <v/>
      </c>
      <c r="D34" s="15">
        <f>SUMIFS(Plan!$D$5:$D$64,Plan!$B$5:$B$64,"6. Pruebas y lanzamiento",Plan!$O$5:$O$64,"Hecho")</f>
        <v/>
      </c>
      <c r="E34" s="12">
        <f>IF(C34=0,0,D34/C34)</f>
        <v/>
      </c>
      <c r="F34" s="15">
        <f>SUMPRODUCT(MAX((Plan!$B$5:$B$64="6. Pruebas y lanzamiento")*Plan!$L$5:$L$64))</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COUNTIFS(Pendientes!$B$5:$B$85,$B46,Pendientes!$G$5:$G$85,"Hecho")</f>
        <v/>
      </c>
      <c r="D46" s="15">
        <f>COUNTIFS(Pendientes!$B$5:$B$85,$B46,Pendientes!$G$5:$G$85,"En curso")</f>
        <v/>
      </c>
      <c r="E46" s="15">
        <f>COUNTIFS(Pendientes!$B$5:$B$85,$B46,Pendientes!$G$5:$G$85,"Pendiente")</f>
        <v/>
      </c>
      <c r="F46" s="15">
        <f>COUNTIFS(Pendientes!$B$5:$B$85,$B46,Pendientes!$G$5:$G$85,"Bloqueado")</f>
        <v/>
      </c>
      <c r="G46" s="9">
        <f>SUM(C46:F46)</f>
        <v/>
      </c>
    </row>
    <row r="47">
      <c r="B47" s="4" t="inlineStr">
        <is>
          <t>Dato de la cooperativa</t>
        </is>
      </c>
      <c r="C47" s="15">
        <f>COUNTIFS(Pendientes!$B$5:$B$85,$B47,Pendientes!$G$5:$G$85,"Hecho")</f>
        <v/>
      </c>
      <c r="D47" s="15">
        <f>COUNTIFS(Pendientes!$B$5:$B$85,$B47,Pendientes!$G$5:$G$85,"En curso")</f>
        <v/>
      </c>
      <c r="E47" s="15">
        <f>COUNTIFS(Pendientes!$B$5:$B$85,$B47,Pendientes!$G$5:$G$85,"Pendiente")</f>
        <v/>
      </c>
      <c r="F47" s="15">
        <f>COUNTIFS(Pendientes!$B$5:$B$85,$B47,Pendientes!$G$5:$G$85,"Bloqueado")</f>
        <v/>
      </c>
      <c r="G47" s="9">
        <f>SUM(C47:F47)</f>
        <v/>
      </c>
    </row>
    <row r="48">
      <c r="B48" s="4" t="inlineStr">
        <is>
          <t>Configuración</t>
        </is>
      </c>
      <c r="C48" s="15">
        <f>COUNTIFS(Pendientes!$B$5:$B$85,$B48,Pendientes!$G$5:$G$85,"Hecho")</f>
        <v/>
      </c>
      <c r="D48" s="15">
        <f>COUNTIFS(Pendientes!$B$5:$B$85,$B48,Pendientes!$G$5:$G$85,"En curso")</f>
        <v/>
      </c>
      <c r="E48" s="15">
        <f>COUNTIFS(Pendientes!$B$5:$B$85,$B48,Pendientes!$G$5:$G$85,"Pendiente")</f>
        <v/>
      </c>
      <c r="F48" s="15">
        <f>COUNTIFS(Pendientes!$B$5:$B$85,$B48,Pendientes!$G$5:$G$85,"Bloqueado")</f>
        <v/>
      </c>
      <c r="G48" s="9">
        <f>SUM(C48:F48)</f>
        <v/>
      </c>
    </row>
    <row r="49">
      <c r="B49" s="4" t="inlineStr">
        <is>
          <t>Funcionalidad</t>
        </is>
      </c>
      <c r="C49" s="15">
        <f>COUNTIFS(Pendientes!$B$5:$B$85,$B49,Pendientes!$G$5:$G$85,"Hecho")</f>
        <v/>
      </c>
      <c r="D49" s="15">
        <f>COUNTIFS(Pendientes!$B$5:$B$85,$B49,Pendientes!$G$5:$G$85,"En curso")</f>
        <v/>
      </c>
      <c r="E49" s="15">
        <f>COUNTIFS(Pendientes!$B$5:$B$85,$B49,Pendientes!$G$5:$G$85,"Pendiente")</f>
        <v/>
      </c>
      <c r="F49" s="15">
        <f>COUNTIFS(Pendientes!$B$5:$B$85,$B49,Pendientes!$G$5:$G$85,"Bloqueado")</f>
        <v/>
      </c>
      <c r="G49" s="9">
        <f>SUM(C49:F49)</f>
        <v/>
      </c>
    </row>
    <row r="50">
      <c r="B50" s="4" t="inlineStr">
        <is>
          <t>Verificación y cierre</t>
        </is>
      </c>
      <c r="C50" s="15">
        <f>COUNTIFS(Pendientes!$B$5:$B$85,$B50,Pendientes!$G$5:$G$85,"Hecho")</f>
        <v/>
      </c>
      <c r="D50" s="15">
        <f>COUNTIFS(Pendientes!$B$5:$B$85,$B50,Pendientes!$G$5:$G$85,"En curso")</f>
        <v/>
      </c>
      <c r="E50" s="15">
        <f>COUNTIFS(Pendientes!$B$5:$B$85,$B50,Pendientes!$G$5:$G$85,"Pendiente")</f>
        <v/>
      </c>
      <c r="F50" s="15">
        <f>COUNTIFS(Pendientes!$B$5:$B$85,$B50,Pendientes!$G$5:$G$85,"Bloqueado")</f>
        <v/>
      </c>
      <c r="G50" s="9">
        <f>SUM(C50:F50)</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5"/>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IFERROR(INDEX(Plan!$B$5:$B$64,MATCH(H5,Plan!$A$5:$A$64,0)),"—")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IFERROR(INDEX(Plan!$B$5:$B$64,MATCH(H6,Plan!$A$5:$A$64,0)),"—")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IFERROR(INDEX(Plan!$B$5:$B$64,MATCH(H7,Plan!$A$5:$A$64,0)),"—")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P-44</t>
        </is>
      </c>
      <c r="B8" s="4" t="inlineStr">
        <is>
          <t>Configuración</t>
        </is>
      </c>
      <c r="C8" s="4" t="inlineStr">
        <is>
          <t>Vercel</t>
        </is>
      </c>
      <c r="D8"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8" s="7" t="inlineStr">
        <is>
          <t>Yo</t>
        </is>
      </c>
      <c r="F8" s="8" t="inlineStr">
        <is>
          <t>Alta</t>
        </is>
      </c>
      <c r="G8" s="8" t="inlineStr">
        <is>
          <t>Pendiente</t>
        </is>
      </c>
      <c r="H8" s="8" t="inlineStr">
        <is>
          <t>6.9</t>
        </is>
      </c>
      <c r="I8" s="21">
        <f>IFERROR(INDEX(Plan!$B$5:$B$64,MATCH(H8,Plan!$A$5:$A$64,0)),"—")</f>
        <v/>
      </c>
      <c r="J8" s="7" t="inlineStr">
        <is>
          <t>NEXT_PUBLIC_WHATSAPP ya tiene dato (P-10, 311 724 1942). LIMITE_HMAC_SECRET: 32+ caracteres, distinto de INGRESO_COOKIE_SECRET, en Production y Preview (sin él el build falla); también en .env.local para `npm start`. 24-sep: SUPABASE_SERVICE_ROLE_KEY da «Invalid API key» en Vercel (P-60) y RESEND_API_KEY, EMAIL_FROM y RESEND_TEMPLATE_SORTEO_BOLETA ahora son obligatorias para el build (P-61). El dominio www.greenallianceco.com ya quedó conectado en Vercel; falta poner SITIO_URL=https://www.greenallianceco.com junto con RESEND_API_KEY, EMAIL_FROM y las 4 RESEND_TEMPLATE_*.</t>
        </is>
      </c>
    </row>
    <row r="9">
      <c r="A9" s="19" t="inlineStr">
        <is>
          <t>P-45</t>
        </is>
      </c>
      <c r="B9" s="4" t="inlineStr">
        <is>
          <t>Configuración</t>
        </is>
      </c>
      <c r="C9" s="4" t="inlineStr">
        <is>
          <t>Supabase</t>
        </is>
      </c>
      <c r="D9" s="7" t="inlineStr">
        <is>
          <t>Panel de producción: OTP de 6 dígitos, vencimiento del código en 600 s (10 min) e intervalo entre correos ≤ 45 s</t>
        </is>
      </c>
      <c r="E9" s="7" t="inlineStr">
        <is>
          <t>Yo (panel Supabase/Resend)</t>
        </is>
      </c>
      <c r="F9" s="8" t="inlineStr">
        <is>
          <t>Alta</t>
        </is>
      </c>
      <c r="G9" s="8" t="inlineStr">
        <is>
          <t>Pendiente</t>
        </is>
      </c>
      <c r="H9" s="8" t="inlineStr">
        <is>
          <t>2.4</t>
        </is>
      </c>
      <c r="I9" s="21">
        <f>IFERROR(INDEX(Plan!$B$5:$B$64,MATCH(H9,Plan!$A$5:$A$64,0)),"—")</f>
        <v/>
      </c>
      <c r="J9" s="7" t="inlineStr">
        <is>
          <t>Complementa P-19 (SMTP) y P-20 (plantilla Magic Link con {{ .Token }}).</t>
        </is>
      </c>
    </row>
    <row r="10">
      <c r="A10" s="19" t="inlineStr">
        <is>
          <t>P-59</t>
        </is>
      </c>
      <c r="B10" s="4" t="inlineStr">
        <is>
          <t>Configuración</t>
        </is>
      </c>
      <c r="C10" s="4" t="inlineStr">
        <is>
          <t>Base de datos</t>
        </is>
      </c>
      <c r="D10" s="7" t="inlineStr">
        <is>
          <t>Aplicar en producción las 9 migraciones de fase 2 (20260924000000…000800) y desplegar enseguida</t>
        </is>
      </c>
      <c r="E10" s="7" t="inlineStr">
        <is>
          <t>Sebas (ga-auditor-supabase revisa antes)</t>
        </is>
      </c>
      <c r="F10" s="8" t="inlineStr">
        <is>
          <t>Alta</t>
        </is>
      </c>
      <c r="G10" s="8" t="inlineStr">
        <is>
          <t>Pendiente</t>
        </is>
      </c>
      <c r="H10" s="8" t="inlineStr">
        <is>
          <t>6.13</t>
        </is>
      </c>
      <c r="I10" s="21">
        <f>IFERROR(INDEX(Plan!$B$5:$B$64,MATCH(H10,Plan!$A$5:$A$64,0)),"—")</f>
        <v/>
      </c>
      <c r="J10" s="7" t="inlineStr">
        <is>
          <t>Comprobar que hay 0 afiliaciones en producción antes de hacer db push.</t>
        </is>
      </c>
    </row>
    <row r="11">
      <c r="A11" s="19" t="inlineStr">
        <is>
          <t>P-60</t>
        </is>
      </c>
      <c r="B11" s="4" t="inlineStr">
        <is>
          <t>Configuración</t>
        </is>
      </c>
      <c r="C11" s="4" t="inlineStr">
        <is>
          <t>Vercel</t>
        </is>
      </c>
      <c r="D11" s="7" t="inlineStr">
        <is>
          <t>Corregir SUPABASE_SERVICE_ROLE_KEY en Vercel (hoy da «Invalid API key»)</t>
        </is>
      </c>
      <c r="E11" s="7" t="inlineStr">
        <is>
          <t>Sebas</t>
        </is>
      </c>
      <c r="F11" s="8" t="inlineStr">
        <is>
          <t>Alta</t>
        </is>
      </c>
      <c r="G11" s="8" t="inlineStr">
        <is>
          <t>Pendiente</t>
        </is>
      </c>
      <c r="H11" s="8" t="inlineStr">
        <is>
          <t>6.9</t>
        </is>
      </c>
      <c r="I11" s="21">
        <f>IFERROR(INDEX(Plan!$B$5:$B$64,MATCH(H11,Plan!$A$5:$A$64,0)),"—")</f>
        <v/>
      </c>
      <c r="J11" s="7" t="inlineStr"/>
    </row>
    <row r="12">
      <c r="A12" s="19" t="inlineStr">
        <is>
          <t>P-61</t>
        </is>
      </c>
      <c r="B12" s="4" t="inlineStr">
        <is>
          <t>Configuración</t>
        </is>
      </c>
      <c r="C12" s="4" t="inlineStr">
        <is>
          <t>Resend</t>
        </is>
      </c>
      <c r="D12" s="7" t="inlineStr">
        <is>
          <t>Crear en Resend las plantillas de ingreso aceptado, crédito aprobado/rechazado y boleta del sorteo (ga-sorteo-boleta); confirmar el tope de 3 reenvíos de boleta al día</t>
        </is>
      </c>
      <c r="E12" s="7" t="inlineStr">
        <is>
          <t>Sebas</t>
        </is>
      </c>
      <c r="F12" s="8" t="inlineStr">
        <is>
          <t>Alta</t>
        </is>
      </c>
      <c r="G12" s="8" t="inlineStr">
        <is>
          <t>Pendiente</t>
        </is>
      </c>
      <c r="H12" s="8" t="inlineStr">
        <is>
          <t>6.9</t>
        </is>
      </c>
      <c r="I12" s="21">
        <f>IFERROR(INDEX(Plan!$B$5:$B$64,MATCH(H12,Plan!$A$5:$A$64,0)),"—")</f>
        <v/>
      </c>
      <c r="J12" s="7" t="inlineStr">
        <is>
          <t>RESEND_API_KEY, EMAIL_FROM y RESEND_TEMPLATE_SORTEO_BOLETA ya son obligatorias para el build. 24-sep: el HTML de las 4 plantillas (ingreso aceptado, crédito aprobado, crédito rechazado, boleta del sorteo) ya está listo en docs/resend/, con el mismo diseño del correo del código; falta que Sebas las cree y publique en Resend.</t>
        </is>
      </c>
    </row>
    <row r="13">
      <c r="A13" s="19" t="inlineStr">
        <is>
          <t>P-21</t>
        </is>
      </c>
      <c r="B13" s="4" t="inlineStr">
        <is>
          <t>Configuración</t>
        </is>
      </c>
      <c r="C13" s="4" t="inlineStr">
        <is>
          <t>Resend</t>
        </is>
      </c>
      <c r="D13" s="7" t="inlineStr">
        <is>
          <t>Revisar el límite de Resend (plan gratis ≈ 100 correos/día)</t>
        </is>
      </c>
      <c r="E13" s="7" t="inlineStr">
        <is>
          <t>Yo</t>
        </is>
      </c>
      <c r="F13" s="8" t="inlineStr">
        <is>
          <t>Media</t>
        </is>
      </c>
      <c r="G13" s="8" t="inlineStr">
        <is>
          <t>Pendiente</t>
        </is>
      </c>
      <c r="H13" s="8" t="inlineStr">
        <is>
          <t>2.4</t>
        </is>
      </c>
      <c r="I13" s="21">
        <f>IFERROR(INDEX(Plan!$B$5:$B$64,MATCH(H13,Plan!$A$5:$A$64,0)),"—")</f>
        <v/>
      </c>
      <c r="J13" s="7" t="inlineStr"/>
    </row>
    <row r="14">
      <c r="A14" s="19" t="inlineStr">
        <is>
          <t>P-54</t>
        </is>
      </c>
      <c r="B14" s="4" t="inlineStr">
        <is>
          <t>Configuración</t>
        </is>
      </c>
      <c r="C14" s="4" t="inlineStr">
        <is>
          <t>Vercel</t>
        </is>
      </c>
      <c r="D14" s="7" t="inlineStr">
        <is>
          <t>Alerta en los logs de Vercel para limite_de_intentos_fallo y limite_secreto_faltante</t>
        </is>
      </c>
      <c r="E14" s="7" t="inlineStr">
        <is>
          <t>Yo (panel Vercel)</t>
        </is>
      </c>
      <c r="F14" s="8" t="inlineStr">
        <is>
          <t>Media</t>
        </is>
      </c>
      <c r="G14" s="8" t="inlineStr">
        <is>
          <t>Pendiente</t>
        </is>
      </c>
      <c r="H14" s="8" t="inlineStr">
        <is>
          <t>6.12</t>
        </is>
      </c>
      <c r="I14" s="21">
        <f>IFERROR(INDEX(Plan!$B$5:$B$64,MATCH(H14,Plan!$A$5:$A$64,0)),"—")</f>
        <v/>
      </c>
      <c r="J14" s="7" t="inlineStr">
        <is>
          <t>Sugerido por ga-auditor-supabase en la auditoría de P-43.</t>
        </is>
      </c>
    </row>
    <row r="15">
      <c r="A15" s="19" t="inlineStr">
        <is>
          <t>P-73</t>
        </is>
      </c>
      <c r="B15" s="4" t="inlineStr">
        <is>
          <t>Configuración</t>
        </is>
      </c>
      <c r="C15" s="4" t="inlineStr">
        <is>
          <t>Pagos</t>
        </is>
      </c>
      <c r="D15" s="7" t="inlineStr">
        <is>
          <t>Revisar y pagar a Carlos Pardo 500.000 COP al entregar el paquete (PRs fusionados en develop)</t>
        </is>
      </c>
      <c r="E15" s="7" t="inlineStr">
        <is>
          <t>Sebas</t>
        </is>
      </c>
      <c r="F15" s="8" t="inlineStr">
        <is>
          <t>Media</t>
        </is>
      </c>
      <c r="G15" s="8" t="inlineStr">
        <is>
          <t>Pendiente</t>
        </is>
      </c>
      <c r="H15" s="8" t="inlineStr">
        <is>
          <t>—</t>
        </is>
      </c>
      <c r="I15" s="21">
        <f>IFERROR(INDEX(Plan!$B$5:$B$64,MATCH(H15,Plan!$A$5:$A$64,0)),"—")</f>
        <v/>
      </c>
      <c r="J15" s="7" t="inlineStr">
        <is>
          <t>Pago único por P-66 a P-71 (4.7, 4.8, 5.9, 5.10, 6.14, 6.15). Cada PR de Carlos lo revisa un agente ga-* antes de fusionarlo a develop.</t>
        </is>
      </c>
    </row>
    <row r="16">
      <c r="A16" s="19" t="inlineStr">
        <is>
          <t>P-55</t>
        </is>
      </c>
      <c r="B16" s="4" t="inlineStr">
        <is>
          <t>Configuración</t>
        </is>
      </c>
      <c r="C16" s="4" t="inlineStr">
        <is>
          <t>Base de datos</t>
        </is>
      </c>
      <c r="D16" s="7" t="inlineStr">
        <is>
          <t>Opcional: revocar la secuencia limites_intentos_id_seq a anon y authenticated</t>
        </is>
      </c>
      <c r="E16" s="7" t="inlineStr">
        <is>
          <t>Yo + ga-auditor-supabase</t>
        </is>
      </c>
      <c r="F16" s="8" t="inlineStr">
        <is>
          <t>Baja</t>
        </is>
      </c>
      <c r="G16" s="8" t="inlineStr">
        <is>
          <t>Pendiente</t>
        </is>
      </c>
      <c r="H16" s="8" t="inlineStr">
        <is>
          <t>6.8</t>
        </is>
      </c>
      <c r="I16" s="21">
        <f>IFERROR(INDEX(Plan!$B$5:$B$64,MATCH(H16,Plan!$A$5:$A$64,0)),"—")</f>
        <v/>
      </c>
      <c r="J16" s="7" t="inlineStr">
        <is>
          <t>Sugerido por ga-auditor-supabase en la auditoría de P-43.</t>
        </is>
      </c>
    </row>
    <row r="17">
      <c r="A17" s="19" t="inlineStr">
        <is>
          <t>P-19</t>
        </is>
      </c>
      <c r="B17" s="4" t="inlineStr">
        <is>
          <t>Configuración</t>
        </is>
      </c>
      <c r="C17" s="4" t="inlineStr">
        <is>
          <t>Supabase</t>
        </is>
      </c>
      <c r="D17" s="7" t="inlineStr">
        <is>
          <t>SMTP propio con Resend (Authentication → Emails → SMTP Settings)</t>
        </is>
      </c>
      <c r="E17" s="7" t="inlineStr">
        <is>
          <t>Yo (panel Supabase/Resend)</t>
        </is>
      </c>
      <c r="F17" s="8" t="inlineStr">
        <is>
          <t>Alta</t>
        </is>
      </c>
      <c r="G17" s="8" t="inlineStr">
        <is>
          <t>Hecho</t>
        </is>
      </c>
      <c r="H17" s="8" t="inlineStr">
        <is>
          <t>2.4</t>
        </is>
      </c>
      <c r="I17" s="21">
        <f>IFERROR(INDEX(Plan!$B$5:$B$64,MATCH(H17,Plan!$A$5:$A$64,0)),"—")</f>
        <v/>
      </c>
      <c r="J17" s="7" t="inlineStr">
        <is>
          <t>Configurado por Sebas el 23-sep. El código de 6 dígitos lo envía Supabase Auth (no Resend desde la app); funciona en local. Ver docs/resend-plantillas.md.</t>
        </is>
      </c>
    </row>
    <row r="18">
      <c r="A18" s="19" t="inlineStr">
        <is>
          <t>P-37</t>
        </is>
      </c>
      <c r="B18" s="4" t="inlineStr">
        <is>
          <t>Funcionalidad</t>
        </is>
      </c>
      <c r="C18" s="4" t="inlineStr">
        <is>
          <t>Correos</t>
        </is>
      </c>
      <c r="D18" s="7" t="inlineStr">
        <is>
          <t>Correo «Resultado del crédito» (aprobado / no aprobado) al asociado al resolver una solicitud</t>
        </is>
      </c>
      <c r="E18" s="7" t="inlineStr">
        <is>
          <t>ga-funcionalidad-botones</t>
        </is>
      </c>
      <c r="F18" s="8" t="inlineStr">
        <is>
          <t>Alta</t>
        </is>
      </c>
      <c r="G18" s="8" t="inlineStr">
        <is>
          <t>En curso</t>
        </is>
      </c>
      <c r="H18" s="8" t="inlineStr">
        <is>
          <t>4.3</t>
        </is>
      </c>
      <c r="I18" s="21">
        <f>IFERROR(INDEX(Plan!$B$5:$B$64,MATCH(H18,Plan!$A$5:$A$64,0)),"—")</f>
        <v/>
      </c>
      <c r="J18" s="7" t="inlineStr">
        <is>
          <t>24-sep: enviarResultadoCredito ya está conectado al aprobar/rechazar en /admin (probado en local); falta que Sebas configure el SMTP/Resend de producción (2.4) para que salga de verdad.</t>
        </is>
      </c>
    </row>
    <row r="19">
      <c r="A19" s="19" t="inlineStr">
        <is>
          <t>P-51</t>
        </is>
      </c>
      <c r="B19" s="4" t="inlineStr">
        <is>
          <t>Funcionalidad</t>
        </is>
      </c>
      <c r="C19" s="4" t="inlineStr">
        <is>
          <t>Correos</t>
        </is>
      </c>
      <c r="D19" s="7" t="inlineStr">
        <is>
          <t>Correo «Ingreso aceptado» (plantilla ga-ingreso-aceptado): acción del admin que aprueba la afiliación, crea el usuario y envía el correo</t>
        </is>
      </c>
      <c r="E19" s="7" t="inlineStr">
        <is>
          <t>ga-funcionalidad-botones</t>
        </is>
      </c>
      <c r="F19" s="8" t="inlineStr">
        <is>
          <t>Alta</t>
        </is>
      </c>
      <c r="G19" s="8" t="inlineStr">
        <is>
          <t>Pendiente</t>
        </is>
      </c>
      <c r="H19" s="8" t="inlineStr">
        <is>
          <t>4.5</t>
        </is>
      </c>
      <c r="I19" s="21">
        <f>IFERROR(INDEX(Plan!$B$5:$B$64,MATCH(H19,Plan!$A$5:$A$64,0)),"—")</f>
        <v/>
      </c>
      <c r="J19" s="7" t="inlineStr">
        <is>
          <t>No implementado en la app. Requiere RESEND_TEMPLATE_INGRESO_ACEPTADO (P-44). Ver docs/resend-plantillas.md.</t>
        </is>
      </c>
    </row>
    <row r="20">
      <c r="A20" s="19" t="inlineStr">
        <is>
          <t>P-66</t>
        </is>
      </c>
      <c r="B20" s="4" t="inlineStr">
        <is>
          <t>Funcionalidad</t>
        </is>
      </c>
      <c r="C20" s="4" t="inlineStr">
        <is>
          <t>Admin</t>
        </is>
      </c>
      <c r="D20" s="7" t="inlineStr">
        <is>
          <t>Dashboard de clientes en /admin: métricas (asociados por grado/institución, afiliaciones y créditos pendientes, montos del mes, inscritos al sorteo), lista con buscador/filtros, detalle de cliente y reasignar asesor</t>
        </is>
      </c>
      <c r="E20" s="7" t="inlineStr">
        <is>
          <t>Carlos Pardo</t>
        </is>
      </c>
      <c r="F20" s="8" t="inlineStr">
        <is>
          <t>Alta</t>
        </is>
      </c>
      <c r="G20" s="8" t="inlineStr">
        <is>
          <t>Pendiente</t>
        </is>
      </c>
      <c r="H20" s="8" t="inlineStr">
        <is>
          <t>4.7</t>
        </is>
      </c>
      <c r="I20" s="21">
        <f>IFERROR(INDEX(Plan!$B$5:$B$64,MATCH(H20,Plan!$A$5:$A$64,0)),"—")</f>
        <v/>
      </c>
      <c r="J20" s="7" t="inlineStr">
        <is>
          <t>Encargo externo (500.000 COP) por PR a develop. Ver P-73.</t>
        </is>
      </c>
    </row>
    <row r="21">
      <c r="A21" s="19" t="inlineStr">
        <is>
          <t>P-67</t>
        </is>
      </c>
      <c r="B21" s="4" t="inlineStr">
        <is>
          <t>Funcionalidad</t>
        </is>
      </c>
      <c r="C21" s="4" t="inlineStr">
        <is>
          <t>Asesor</t>
        </is>
      </c>
      <c r="D21" s="7" t="inlineStr">
        <is>
          <t>Dashboard del asesor en /asesor: métricas de sus clientes y detalle de cliente sin celular, correo, Nequi ni fotos</t>
        </is>
      </c>
      <c r="E21" s="7" t="inlineStr">
        <is>
          <t>Carlos Pardo</t>
        </is>
      </c>
      <c r="F21" s="8" t="inlineStr">
        <is>
          <t>Alta</t>
        </is>
      </c>
      <c r="G21" s="8" t="inlineStr">
        <is>
          <t>Pendiente</t>
        </is>
      </c>
      <c r="H21" s="8" t="inlineStr">
        <is>
          <t>4.8</t>
        </is>
      </c>
      <c r="I21" s="21">
        <f>IFERROR(INDEX(Plan!$B$5:$B$64,MATCH(H21,Plan!$A$5:$A$64,0)),"—")</f>
        <v/>
      </c>
      <c r="J21" s="7" t="inlineStr">
        <is>
          <t>Encargo externo (500.000 COP) por PR a develop. Ver P-73.</t>
        </is>
      </c>
    </row>
    <row r="22">
      <c r="A22" s="19" t="inlineStr">
        <is>
          <t>P-69</t>
        </is>
      </c>
      <c r="B22" s="4" t="inlineStr">
        <is>
          <t>Funcionalidad</t>
        </is>
      </c>
      <c r="C22" s="4" t="inlineStr">
        <is>
          <t>Legal</t>
        </is>
      </c>
      <c r="D22" s="7" t="inlineStr">
        <is>
          <t>Ley 1581: borrado automático de fotos de afiliaciones rechazadas tras X días y motivo de rechazo en /admin</t>
        </is>
      </c>
      <c r="E22" s="7" t="inlineStr">
        <is>
          <t>Carlos Pardo</t>
        </is>
      </c>
      <c r="F22" s="8" t="inlineStr">
        <is>
          <t>Alta</t>
        </is>
      </c>
      <c r="G22" s="8" t="inlineStr">
        <is>
          <t>Pendiente</t>
        </is>
      </c>
      <c r="H22" s="8" t="inlineStr">
        <is>
          <t>5.10</t>
        </is>
      </c>
      <c r="I22" s="21">
        <f>IFERROR(INDEX(Plan!$B$5:$B$64,MATCH(H22,Plan!$A$5:$A$64,0)),"—")</f>
        <v/>
      </c>
      <c r="J22" s="7" t="inlineStr">
        <is>
          <t>Encargo externo (500.000 COP) por PR a develop. Falta que la cooperativa dé el X de días (ver P-63). Ver P-73.</t>
        </is>
      </c>
    </row>
    <row r="23">
      <c r="A23" s="19" t="inlineStr">
        <is>
          <t>P-48</t>
        </is>
      </c>
      <c r="B23" s="4" t="inlineStr">
        <is>
          <t>Funcionalidad</t>
        </is>
      </c>
      <c r="C23" s="4" t="inlineStr">
        <is>
          <t>/afiliacion</t>
        </is>
      </c>
      <c r="D23" s="7" t="inlineStr">
        <is>
          <t>F-01: el select «Grado» se vacía tras un error de validación</t>
        </is>
      </c>
      <c r="E23" s="7" t="inlineStr">
        <is>
          <t>ga-funcionalidad-botones</t>
        </is>
      </c>
      <c r="F23" s="8" t="inlineStr">
        <is>
          <t>Media</t>
        </is>
      </c>
      <c r="G23" s="8" t="inlineStr">
        <is>
          <t>Pendiente</t>
        </is>
      </c>
      <c r="H23" s="8" t="inlineStr">
        <is>
          <t>2.11</t>
        </is>
      </c>
      <c r="I23" s="21">
        <f>IFERROR(INDEX(Plan!$B$5:$B$64,MATCH(H23,Plan!$A$5:$A$64,0)),"—")</f>
        <v/>
      </c>
      <c r="J23" s="7" t="inlineStr">
        <is>
          <t>Falla media de la verificación QA 1 (docs/verificaciones/2026-09-23-verificacion-1.md).</t>
        </is>
      </c>
    </row>
    <row r="24">
      <c r="A24" s="19" t="inlineStr">
        <is>
          <t>P-56</t>
        </is>
      </c>
      <c r="B24" s="4" t="inlineStr">
        <is>
          <t>Funcionalidad</t>
        </is>
      </c>
      <c r="C24" s="4" t="inlineStr">
        <is>
          <t>/cuenta/solicitar</t>
        </is>
      </c>
      <c r="D24" s="7" t="inlineStr">
        <is>
          <t>Revisar el diseño de /cuenta/solicitar (sin maqueta; selector 50/100 como radios)</t>
        </is>
      </c>
      <c r="E24" s="7" t="inlineStr">
        <is>
          <t>ga-diseno-a-codigo</t>
        </is>
      </c>
      <c r="F24" s="8" t="inlineStr">
        <is>
          <t>Media</t>
        </is>
      </c>
      <c r="G24" s="8" t="inlineStr">
        <is>
          <t>Pendiente</t>
        </is>
      </c>
      <c r="H24" s="8" t="inlineStr">
        <is>
          <t>5.6</t>
        </is>
      </c>
      <c r="I24" s="21">
        <f>IFERROR(INDEX(Plan!$B$5:$B$64,MATCH(H24,Plan!$A$5:$A$64,0)),"—")</f>
        <v/>
      </c>
      <c r="J24" s="7" t="inlineStr">
        <is>
          <t>Pedido por ga-funcionalidad-botones el 23-sep.</t>
        </is>
      </c>
    </row>
    <row r="25">
      <c r="A25" s="19" t="inlineStr">
        <is>
          <t>P-57</t>
        </is>
      </c>
      <c r="B25" s="4" t="inlineStr">
        <is>
          <t>Funcionalidad</t>
        </is>
      </c>
      <c r="C25" s="4" t="inlineStr">
        <is>
          <t>/asesor</t>
        </is>
      </c>
      <c r="D25" s="7" t="inlineStr">
        <is>
          <t>Agregar /asesor al matcher de proxy.ts y redirigir por rol tras el login</t>
        </is>
      </c>
      <c r="E25" s="7" t="inlineStr">
        <is>
          <t>ga-funcionalidad-botones</t>
        </is>
      </c>
      <c r="F25" s="8" t="inlineStr">
        <is>
          <t>Media</t>
        </is>
      </c>
      <c r="G25" s="8" t="inlineStr">
        <is>
          <t>Pendiente</t>
        </is>
      </c>
      <c r="H25" s="8" t="inlineStr">
        <is>
          <t>4.6</t>
        </is>
      </c>
      <c r="I25" s="21">
        <f>IFERROR(INDEX(Plan!$B$5:$B$64,MATCH(H25,Plan!$A$5:$A$64,0)),"—")</f>
        <v/>
      </c>
      <c r="J25" s="7" t="inlineStr">
        <is>
          <t>Hoy un asesor que ingresa cae en /cuenta, no en /asesor; la página /asesor igual se protege por su cuenta si se navega directo.</t>
        </is>
      </c>
    </row>
    <row r="26">
      <c r="A26" s="19" t="inlineStr">
        <is>
          <t>P-68</t>
        </is>
      </c>
      <c r="B26" s="4" t="inlineStr">
        <is>
          <t>Funcionalidad</t>
        </is>
      </c>
      <c r="C26" s="4" t="inlineStr">
        <is>
          <t>Convenios</t>
        </is>
      </c>
      <c r="D26" s="7" t="inlineStr">
        <is>
          <t>Convenios administrables desde /admin (crear, editar, ocultar, ordenar, logo en Storage); landing y /cuenta leen de la tabla convenios</t>
        </is>
      </c>
      <c r="E26" s="7" t="inlineStr">
        <is>
          <t>Carlos Pardo</t>
        </is>
      </c>
      <c r="F26" s="8" t="inlineStr">
        <is>
          <t>Media</t>
        </is>
      </c>
      <c r="G26" s="8" t="inlineStr">
        <is>
          <t>Pendiente</t>
        </is>
      </c>
      <c r="H26" s="8" t="inlineStr">
        <is>
          <t>5.9</t>
        </is>
      </c>
      <c r="I26" s="21">
        <f>IFERROR(INDEX(Plan!$B$5:$B$64,MATCH(H26,Plan!$A$5:$A$64,0)),"—")</f>
        <v/>
      </c>
      <c r="J26" s="7" t="inlineStr">
        <is>
          <t>Encargo externo (500.000 COP) por PR a develop. Ver P-73.</t>
        </is>
      </c>
    </row>
    <row r="27">
      <c r="A27" s="19" t="inlineStr">
        <is>
          <t>P-22</t>
        </is>
      </c>
      <c r="B27" s="4" t="inlineStr">
        <is>
          <t>Funcionalidad</t>
        </is>
      </c>
      <c r="C27" s="4" t="inlineStr">
        <is>
          <t>/ingresar</t>
        </is>
      </c>
      <c r="D27" s="7" t="inlineStr">
        <is>
          <t>Server Action: correo_por_cedula(), signInWithOtp, cookie firmada, ir a /ingresar/codigo</t>
        </is>
      </c>
      <c r="E27" s="7" t="inlineStr">
        <is>
          <t>ga-funcionalidad-botones</t>
        </is>
      </c>
      <c r="F27" s="8" t="inlineStr">
        <is>
          <t>Alta</t>
        </is>
      </c>
      <c r="G27" s="8" t="inlineStr">
        <is>
          <t>Hecho</t>
        </is>
      </c>
      <c r="H27" s="8" t="inlineStr">
        <is>
          <t>2.5</t>
        </is>
      </c>
      <c r="I27" s="21">
        <f>IFERROR(INDEX(Plan!$B$5:$B$64,MATCH(H27,Plan!$A$5:$A$64,0)),"—")</f>
        <v/>
      </c>
      <c r="J27" s="7" t="inlineStr"/>
    </row>
    <row r="28">
      <c r="A28" s="19" t="inlineStr">
        <is>
          <t>P-24</t>
        </is>
      </c>
      <c r="B28" s="4" t="inlineStr">
        <is>
          <t>Funcionalidad</t>
        </is>
      </c>
      <c r="C28" s="4" t="inlineStr">
        <is>
          <t>/ingresar/codigo</t>
        </is>
      </c>
      <c r="D28" s="7" t="inlineStr">
        <is>
          <t>Leer la cookie del paso 1; sin cookie, volver a /ingresar</t>
        </is>
      </c>
      <c r="E28" s="7" t="inlineStr">
        <is>
          <t>ga-funcionalidad-botones</t>
        </is>
      </c>
      <c r="F28" s="8" t="inlineStr">
        <is>
          <t>Alta</t>
        </is>
      </c>
      <c r="G28" s="8" t="inlineStr">
        <is>
          <t>Hecho</t>
        </is>
      </c>
      <c r="H28" s="8" t="inlineStr">
        <is>
          <t>2.6</t>
        </is>
      </c>
      <c r="I28" s="21">
        <f>IFERROR(INDEX(Plan!$B$5:$B$64,MATCH(H28,Plan!$A$5:$A$64,0)),"—")</f>
        <v/>
      </c>
      <c r="J28" s="7" t="inlineStr"/>
    </row>
    <row r="29">
      <c r="A29" s="19" t="inlineStr">
        <is>
          <t>P-25</t>
        </is>
      </c>
      <c r="B29" s="4" t="inlineStr">
        <is>
          <t>Funcionalidad</t>
        </is>
      </c>
      <c r="C29" s="4" t="inlineStr">
        <is>
          <t>/ingresar/codigo</t>
        </is>
      </c>
      <c r="D29" s="7" t="inlineStr">
        <is>
          <t>verifyOtp y entrar a /cuenta</t>
        </is>
      </c>
      <c r="E29" s="7" t="inlineStr">
        <is>
          <t>ga-funcionalidad-botones</t>
        </is>
      </c>
      <c r="F29" s="8" t="inlineStr">
        <is>
          <t>Alta</t>
        </is>
      </c>
      <c r="G29" s="8" t="inlineStr">
        <is>
          <t>Hecho</t>
        </is>
      </c>
      <c r="H29" s="8" t="inlineStr">
        <is>
          <t>2.6</t>
        </is>
      </c>
      <c r="I29" s="21">
        <f>IFERROR(INDEX(Plan!$B$5:$B$64,MATCH(H29,Plan!$A$5:$A$64,0)),"—")</f>
        <v/>
      </c>
      <c r="J29" s="7" t="inlineStr"/>
    </row>
    <row r="30">
      <c r="A30" s="19" t="inlineStr">
        <is>
          <t>P-28</t>
        </is>
      </c>
      <c r="B30" s="4" t="inlineStr">
        <is>
          <t>Funcionalidad</t>
        </is>
      </c>
      <c r="C30" s="4" t="inlineStr">
        <is>
          <t>/afiliacion</t>
        </is>
      </c>
      <c r="D30" s="7" t="inlineStr">
        <is>
          <t>Server Action: zod, límites por IP y cédula, guardar</t>
        </is>
      </c>
      <c r="E30" s="7" t="inlineStr">
        <is>
          <t>ga-funcionalidad-botones</t>
        </is>
      </c>
      <c r="F30" s="8" t="inlineStr">
        <is>
          <t>Alta</t>
        </is>
      </c>
      <c r="G30" s="8" t="inlineStr">
        <is>
          <t>Hecho</t>
        </is>
      </c>
      <c r="H30" s="8" t="inlineStr">
        <is>
          <t>2.9</t>
        </is>
      </c>
      <c r="I30" s="21">
        <f>IFERROR(INDEX(Plan!$B$5:$B$64,MATCH(H30,Plan!$A$5:$A$64,0)),"—")</f>
        <v/>
      </c>
      <c r="J30" s="7" t="inlineStr">
        <is>
          <t>23-sep: se quitaron los correos al equipo y al solicitante (decisión de Sebas). El equipo revisa las afiliaciones en Supabase hasta que exista el panel /admin; el correo «Ingreso aceptado» sale al aprobar (P-51).</t>
        </is>
      </c>
    </row>
    <row r="31">
      <c r="A31" s="19" t="inlineStr">
        <is>
          <t>P-31</t>
        </is>
      </c>
      <c r="B31" s="4" t="inlineStr">
        <is>
          <t>Funcionalidad</t>
        </is>
      </c>
      <c r="C31" s="4" t="inlineStr">
        <is>
          <t>/cuenta</t>
        </is>
      </c>
      <c r="D31" s="7" t="inlineStr">
        <is>
          <t>Proteger con proxy.ts y «Salir» con signOut</t>
        </is>
      </c>
      <c r="E31" s="7" t="inlineStr">
        <is>
          <t>ga-funcionalidad-botones</t>
        </is>
      </c>
      <c r="F31" s="8" t="inlineStr">
        <is>
          <t>Alta</t>
        </is>
      </c>
      <c r="G31" s="8" t="inlineStr">
        <is>
          <t>Hecho</t>
        </is>
      </c>
      <c r="H31" s="8" t="inlineStr">
        <is>
          <t>2.7</t>
        </is>
      </c>
      <c r="I31" s="21">
        <f>IFERROR(INDEX(Plan!$B$5:$B$64,MATCH(H31,Plan!$A$5:$A$64,0)),"—")</f>
        <v/>
      </c>
      <c r="J31" s="7" t="inlineStr"/>
    </row>
    <row r="32">
      <c r="A32" s="19" t="inlineStr">
        <is>
          <t>P-32</t>
        </is>
      </c>
      <c r="B32" s="4" t="inlineStr">
        <is>
          <t>Funcionalidad</t>
        </is>
      </c>
      <c r="C32" s="4" t="inlineStr">
        <is>
          <t>/cuenta</t>
        </is>
      </c>
      <c r="D32" s="7" t="inlineStr">
        <is>
          <t>Cargar perfil, última solicitud (con tasa), tope y convenios</t>
        </is>
      </c>
      <c r="E32" s="7" t="inlineStr">
        <is>
          <t>ga-funcionalidad-botones</t>
        </is>
      </c>
      <c r="F32" s="8" t="inlineStr">
        <is>
          <t>Alta</t>
        </is>
      </c>
      <c r="G32" s="8" t="inlineStr">
        <is>
          <t>Hecho</t>
        </is>
      </c>
      <c r="H32" s="8" t="inlineStr">
        <is>
          <t>3.5</t>
        </is>
      </c>
      <c r="I32" s="21">
        <f>IFERROR(INDEX(Plan!$B$5:$B$64,MATCH(H32,Plan!$A$5:$A$64,0)),"—")</f>
        <v/>
      </c>
      <c r="J32" s="7" t="inlineStr"/>
    </row>
    <row r="33">
      <c r="A33" s="19" t="inlineStr">
        <is>
          <t>P-35</t>
        </is>
      </c>
      <c r="B33" s="4" t="inlineStr">
        <is>
          <t>Funcionalidad</t>
        </is>
      </c>
      <c r="C33" s="4" t="inlineStr">
        <is>
          <t>Crédito</t>
        </is>
      </c>
      <c r="D33" s="7" t="inlineStr">
        <is>
          <t>Conectar el formulario de crédito a /cuenta</t>
        </is>
      </c>
      <c r="E33" s="7" t="inlineStr">
        <is>
          <t>ga-funcionalidad-botones</t>
        </is>
      </c>
      <c r="F33" s="8" t="inlineStr">
        <is>
          <t>Alta</t>
        </is>
      </c>
      <c r="G33" s="8" t="inlineStr">
        <is>
          <t>Hecho</t>
        </is>
      </c>
      <c r="H33" s="8" t="inlineStr">
        <is>
          <t>3.7</t>
        </is>
      </c>
      <c r="I33" s="21">
        <f>IFERROR(INDEX(Plan!$B$5:$B$64,MATCH(H33,Plan!$A$5:$A$64,0)),"—")</f>
        <v/>
      </c>
      <c r="J33" s="7" t="inlineStr">
        <is>
          <t>23-sep: el formulario vive en /cuenta/solicitar (protegida por proxy.ts, encabezado compartido EncabezadoCuenta); «Nueva solicitud» lleva ahí.</t>
        </is>
      </c>
    </row>
    <row r="34">
      <c r="A34" s="19" t="inlineStr">
        <is>
          <t>P-36</t>
        </is>
      </c>
      <c r="B34" s="4" t="inlineStr">
        <is>
          <t>Funcionalidad</t>
        </is>
      </c>
      <c r="C34" s="4" t="inlineStr">
        <is>
          <t>Admin</t>
        </is>
      </c>
      <c r="D34" s="7" t="inlineStr">
        <is>
          <t>Panel /admin: listado, aprobar y rechazar con motivo</t>
        </is>
      </c>
      <c r="E34" s="7" t="inlineStr">
        <is>
          <t>ga-funcionalidad-botones</t>
        </is>
      </c>
      <c r="F34" s="8" t="inlineStr">
        <is>
          <t>Alta</t>
        </is>
      </c>
      <c r="G34" s="8" t="inlineStr">
        <is>
          <t>Hecho</t>
        </is>
      </c>
      <c r="H34" s="8" t="inlineStr">
        <is>
          <t>4.1</t>
        </is>
      </c>
      <c r="I34" s="21">
        <f>IFERROR(INDEX(Plan!$B$5:$B$64,MATCH(H34,Plan!$A$5:$A$64,0)),"—")</f>
        <v/>
      </c>
      <c r="J34" s="7" t="inlineStr">
        <is>
          <t>24-sep: implementado y probado en local (commits 235ffbe, a13c2de). Un admin no puede resolver su propia solicitud.</t>
        </is>
      </c>
    </row>
    <row r="35">
      <c r="A35" s="19" t="inlineStr">
        <is>
          <t>P-38</t>
        </is>
      </c>
      <c r="B35" s="4" t="inlineStr">
        <is>
          <t>Funcionalidad</t>
        </is>
      </c>
      <c r="C35" s="4" t="inlineStr">
        <is>
          <t>Asociados</t>
        </is>
      </c>
      <c r="D35" s="7" t="inlineStr">
        <is>
          <t>Importación de asociados desde Excel</t>
        </is>
      </c>
      <c r="E35" s="7" t="inlineStr">
        <is>
          <t>ga-funcionalidad-botones</t>
        </is>
      </c>
      <c r="F35" s="8" t="inlineStr">
        <is>
          <t>Alta</t>
        </is>
      </c>
      <c r="G35" s="8" t="inlineStr">
        <is>
          <t>Hecho</t>
        </is>
      </c>
      <c r="H35" s="8" t="inlineStr">
        <is>
          <t>4.4</t>
        </is>
      </c>
      <c r="I35" s="21">
        <f>IFERROR(INDEX(Plan!$B$5:$B$64,MATCH(H35,Plan!$A$5:$A$64,0)),"—")</f>
        <v/>
      </c>
      <c r="J35" s="7" t="inlineStr">
        <is>
          <t>Ya no aplica: decisión de la cooperativa 2026-09-24, no habrá importación de Excel.</t>
        </is>
      </c>
    </row>
    <row r="36">
      <c r="A36" s="19" t="inlineStr">
        <is>
          <t>P-23</t>
        </is>
      </c>
      <c r="B36" s="4" t="inlineStr">
        <is>
          <t>Funcionalidad</t>
        </is>
      </c>
      <c r="C36" s="4" t="inlineStr">
        <is>
          <t>/ingresar</t>
        </is>
      </c>
      <c r="D36" s="7" t="inlineStr">
        <is>
          <t>Estado «Enviando…» (prop cargando) y errores (prop error)</t>
        </is>
      </c>
      <c r="E36" s="7" t="inlineStr">
        <is>
          <t>ga-funcionalidad-botones</t>
        </is>
      </c>
      <c r="F36" s="8" t="inlineStr">
        <is>
          <t>Media</t>
        </is>
      </c>
      <c r="G36" s="8" t="inlineStr">
        <is>
          <t>Hecho</t>
        </is>
      </c>
      <c r="H36" s="8" t="inlineStr">
        <is>
          <t>2.5</t>
        </is>
      </c>
      <c r="I36" s="21">
        <f>IFERROR(INDEX(Plan!$B$5:$B$64,MATCH(H36,Plan!$A$5:$A$64,0)),"—")</f>
        <v/>
      </c>
      <c r="J36" s="7" t="inlineStr"/>
    </row>
    <row r="37">
      <c r="A37" s="19" t="inlineStr">
        <is>
          <t>P-26</t>
        </is>
      </c>
      <c r="B37" s="4" t="inlineStr">
        <is>
          <t>Funcionalidad</t>
        </is>
      </c>
      <c r="C37" s="4" t="inlineStr">
        <is>
          <t>/ingresar/codigo</t>
        </is>
      </c>
      <c r="D37" s="7" t="inlineStr">
        <is>
          <t>Casillas OTP: avance automático, Backspace, pegar; «Entrar» con 6 dígitos</t>
        </is>
      </c>
      <c r="E37" s="7" t="inlineStr">
        <is>
          <t>ga-funcionalidad-botones</t>
        </is>
      </c>
      <c r="F37" s="8" t="inlineStr">
        <is>
          <t>Media</t>
        </is>
      </c>
      <c r="G37" s="8" t="inlineStr">
        <is>
          <t>Hecho</t>
        </is>
      </c>
      <c r="H37" s="8" t="inlineStr">
        <is>
          <t>2.6</t>
        </is>
      </c>
      <c r="I37" s="21">
        <f>IFERROR(INDEX(Plan!$B$5:$B$64,MATCH(H37,Plan!$A$5:$A$64,0)),"—")</f>
        <v/>
      </c>
      <c r="J37" s="7" t="inlineStr"/>
    </row>
    <row r="38">
      <c r="A38" s="19" t="inlineStr">
        <is>
          <t>P-27</t>
        </is>
      </c>
      <c r="B38" s="4" t="inlineStr">
        <is>
          <t>Funcionalidad</t>
        </is>
      </c>
      <c r="C38" s="4" t="inlineStr">
        <is>
          <t>/ingresar/codigo</t>
        </is>
      </c>
      <c r="D38" s="7" t="inlineStr">
        <is>
          <t>«Reenviar código» con contador de 45 s; «Cambiar cédula» limpia la cookie</t>
        </is>
      </c>
      <c r="E38" s="7" t="inlineStr">
        <is>
          <t>ga-funcionalidad-botones</t>
        </is>
      </c>
      <c r="F38" s="8" t="inlineStr">
        <is>
          <t>Media</t>
        </is>
      </c>
      <c r="G38" s="8" t="inlineStr">
        <is>
          <t>Hecho</t>
        </is>
      </c>
      <c r="H38" s="8" t="inlineStr">
        <is>
          <t>2.6</t>
        </is>
      </c>
      <c r="I38" s="21">
        <f>IFERROR(INDEX(Plan!$B$5:$B$64,MATCH(H38,Plan!$A$5:$A$64,0)),"—")</f>
        <v/>
      </c>
      <c r="J38" s="7" t="inlineStr"/>
    </row>
    <row r="39">
      <c r="A39" s="19" t="inlineStr">
        <is>
          <t>P-29</t>
        </is>
      </c>
      <c r="B39" s="4" t="inlineStr">
        <is>
          <t>Funcionalidad</t>
        </is>
      </c>
      <c r="C39" s="4" t="inlineStr">
        <is>
          <t>/afiliacion</t>
        </is>
      </c>
      <c r="D39" s="7" t="inlineStr">
        <is>
          <t>Grados desde grados_credito, honeypot, errores y estado de carga</t>
        </is>
      </c>
      <c r="E39" s="7" t="inlineStr">
        <is>
          <t>ga-funcionalidad-botones</t>
        </is>
      </c>
      <c r="F39" s="8" t="inlineStr">
        <is>
          <t>Media</t>
        </is>
      </c>
      <c r="G39" s="8" t="inlineStr">
        <is>
          <t>Hecho</t>
        </is>
      </c>
      <c r="H39" s="8" t="inlineStr">
        <is>
          <t>2.9</t>
        </is>
      </c>
      <c r="I39" s="21">
        <f>IFERROR(INDEX(Plan!$B$5:$B$64,MATCH(H39,Plan!$A$5:$A$64,0)),"—")</f>
        <v/>
      </c>
      <c r="J39" s="7" t="inlineStr"/>
    </row>
    <row r="40">
      <c r="A40" s="19" t="inlineStr">
        <is>
          <t>P-33</t>
        </is>
      </c>
      <c r="B40" s="4" t="inlineStr">
        <is>
          <t>Funcionalidad</t>
        </is>
      </c>
      <c r="C40" s="4" t="inlineStr">
        <is>
          <t>/cuenta</t>
        </is>
      </c>
      <c r="D40" s="7" t="inlineStr">
        <is>
          <t>«Mis datos»: actualizar solo perfiles.telefono</t>
        </is>
      </c>
      <c r="E40" s="7" t="inlineStr">
        <is>
          <t>ga-funcionalidad-botones</t>
        </is>
      </c>
      <c r="F40" s="8" t="inlineStr">
        <is>
          <t>Media</t>
        </is>
      </c>
      <c r="G40" s="8" t="inlineStr">
        <is>
          <t>Hecho</t>
        </is>
      </c>
      <c r="H40" s="8" t="inlineStr">
        <is>
          <t>3.6</t>
        </is>
      </c>
      <c r="I40" s="21">
        <f>IFERROR(INDEX(Plan!$B$5:$B$64,MATCH(H40,Plan!$A$5:$A$64,0)),"—")</f>
        <v/>
      </c>
      <c r="J40" s="7" t="inlineStr">
        <is>
          <t>Con error, alinear «Guardar» con el campo desde 640 px.</t>
        </is>
      </c>
    </row>
    <row r="41">
      <c r="A41" s="19" t="inlineStr">
        <is>
          <t>P-74</t>
        </is>
      </c>
      <c r="B41" s="4" t="inlineStr">
        <is>
          <t>Funcionalidad</t>
        </is>
      </c>
      <c r="C41" s="4" t="inlineStr">
        <is>
          <t>/afiliacion</t>
        </is>
      </c>
      <c r="D41" s="7" t="inlineStr">
        <is>
          <t>Bug: esquemaAfiliacion no valida el cruce institución↔correo institucional si falla cualquier otro campo del formulario</t>
        </is>
      </c>
      <c r="E41" s="7" t="inlineStr">
        <is>
          <t>ga-funcionalidad-botones</t>
        </is>
      </c>
      <c r="F41" s="8" t="inlineStr">
        <is>
          <t>Media</t>
        </is>
      </c>
      <c r="G41" s="8" t="inlineStr">
        <is>
          <t>Hecho</t>
        </is>
      </c>
      <c r="H41" s="8" t="inlineStr">
        <is>
          <t>2.13</t>
        </is>
      </c>
      <c r="I41" s="21">
        <f>IFERROR(INDEX(Plan!$B$5:$B$64,MATCH(H41,Plan!$A$5:$A$64,0)),"—")</f>
        <v/>
      </c>
      <c r="J41"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2">
      <c r="A42" s="19" t="inlineStr">
        <is>
          <t>P-30</t>
        </is>
      </c>
      <c r="B42" s="4" t="inlineStr">
        <is>
          <t>Funcionalidad</t>
        </is>
      </c>
      <c r="C42" s="4" t="inlineStr">
        <is>
          <t>/afiliacion/enviada</t>
        </is>
      </c>
      <c r="D42" s="7" t="inlineStr">
        <is>
          <t>Mostrar el correo real; si se entra directo, redirigir</t>
        </is>
      </c>
      <c r="E42" s="7" t="inlineStr">
        <is>
          <t>ga-funcionalidad-botones</t>
        </is>
      </c>
      <c r="F42" s="8" t="inlineStr">
        <is>
          <t>Baja</t>
        </is>
      </c>
      <c r="G42" s="8" t="inlineStr">
        <is>
          <t>Hecho</t>
        </is>
      </c>
      <c r="H42" s="8" t="inlineStr">
        <is>
          <t>2.10</t>
        </is>
      </c>
      <c r="I42" s="21">
        <f>IFERROR(INDEX(Plan!$B$5:$B$64,MATCH(H42,Plan!$A$5:$A$64,0)),"—")</f>
        <v/>
      </c>
      <c r="J42" s="7" t="inlineStr"/>
    </row>
    <row r="43">
      <c r="A43" s="19" t="inlineStr">
        <is>
          <t>P-34</t>
        </is>
      </c>
      <c r="B43" s="4" t="inlineStr">
        <is>
          <t>Funcionalidad</t>
        </is>
      </c>
      <c r="C43" s="4" t="inlineStr">
        <is>
          <t>Landing</t>
        </is>
      </c>
      <c r="D43" s="7" t="inlineStr">
        <is>
          <t>«Mi cuenta», «Ingresar», «Solicitar crédito», «Ver beneficios» → /cuenta con sesión</t>
        </is>
      </c>
      <c r="E43" s="7" t="inlineStr">
        <is>
          <t>ga-funcionalidad-botones</t>
        </is>
      </c>
      <c r="F43" s="8" t="inlineStr">
        <is>
          <t>Baja</t>
        </is>
      </c>
      <c r="G43" s="8" t="inlineStr">
        <is>
          <t>Hecho</t>
        </is>
      </c>
      <c r="H43" s="8" t="inlineStr">
        <is>
          <t>2.8</t>
        </is>
      </c>
      <c r="I43" s="21">
        <f>IFERROR(INDEX(Plan!$B$5:$B$64,MATCH(H43,Plan!$A$5:$A$64,0)),"—")</f>
        <v/>
      </c>
      <c r="J43" s="7" t="inlineStr">
        <is>
          <t>Convenios fijos en la landing por ahora.</t>
        </is>
      </c>
    </row>
    <row r="44">
      <c r="A44" s="19" t="inlineStr">
        <is>
          <t>P-14</t>
        </is>
      </c>
      <c r="B44" s="4" t="inlineStr">
        <is>
          <t>Dato de la cooperativa</t>
        </is>
      </c>
      <c r="C44" s="4" t="inlineStr">
        <is>
          <t>Legal</t>
        </is>
      </c>
      <c r="D44" s="7" t="inlineStr">
        <is>
          <t>Texto de la política de datos</t>
        </is>
      </c>
      <c r="E44" s="7" t="inlineStr">
        <is>
          <t>Cooperativa</t>
        </is>
      </c>
      <c r="F44" s="8" t="inlineStr">
        <is>
          <t>Alta</t>
        </is>
      </c>
      <c r="G44" s="8" t="inlineStr">
        <is>
          <t>Pendiente</t>
        </is>
      </c>
      <c r="H44" s="8" t="inlineStr">
        <is>
          <t>5.4</t>
        </is>
      </c>
      <c r="I44" s="21">
        <f>IFERROR(INDEX(Plan!$B$5:$B$64,MATCH(H44,Plan!$A$5:$A$64,0)),"—")</f>
        <v/>
      </c>
      <c r="J44"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5">
      <c r="A45" s="19" t="inlineStr">
        <is>
          <t>P-75</t>
        </is>
      </c>
      <c r="B45" s="4" t="inlineStr">
        <is>
          <t>Dato de la cooperativa</t>
        </is>
      </c>
      <c r="C45" s="4" t="inlineStr">
        <is>
          <t>Legal</t>
        </is>
      </c>
      <c r="D45" s="7" t="inlineStr">
        <is>
          <t>NIT, dirección y ciudad de la cooperativa para la política de datos</t>
        </is>
      </c>
      <c r="E45" s="7" t="inlineStr">
        <is>
          <t>Cooperativa</t>
        </is>
      </c>
      <c r="F45" s="8" t="inlineStr">
        <is>
          <t>Alta</t>
        </is>
      </c>
      <c r="G45" s="8" t="inlineStr">
        <is>
          <t>Pendiente</t>
        </is>
      </c>
      <c r="H45" s="8" t="inlineStr">
        <is>
          <t>5.4</t>
        </is>
      </c>
      <c r="I45" s="21">
        <f>IFERROR(INDEX(Plan!$B$5:$B$64,MATCH(H45,Plan!$A$5:$A$64,0)),"—")</f>
        <v/>
      </c>
      <c r="J45" s="7" t="inlineStr">
        <is>
          <t>24-sep: reportado por la sesión principal, necesario para publicar /politica-de-datos.</t>
        </is>
      </c>
    </row>
    <row r="46">
      <c r="A46" s="19" t="inlineStr">
        <is>
          <t>P-76</t>
        </is>
      </c>
      <c r="B46" s="4" t="inlineStr">
        <is>
          <t>Dato de la cooperativa</t>
        </is>
      </c>
      <c r="C46" s="4" t="inlineStr">
        <is>
          <t>Legal</t>
        </is>
      </c>
      <c r="D46" s="7" t="inlineStr">
        <is>
          <t>Fecha de vigencia de la política de datos</t>
        </is>
      </c>
      <c r="E46" s="7" t="inlineStr">
        <is>
          <t>Cooperativa</t>
        </is>
      </c>
      <c r="F46" s="8" t="inlineStr">
        <is>
          <t>Alta</t>
        </is>
      </c>
      <c r="G46" s="8" t="inlineStr">
        <is>
          <t>Pendiente</t>
        </is>
      </c>
      <c r="H46" s="8" t="inlineStr">
        <is>
          <t>5.4</t>
        </is>
      </c>
      <c r="I46" s="21">
        <f>IFERROR(INDEX(Plan!$B$5:$B$64,MATCH(H46,Plan!$A$5:$A$64,0)),"—")</f>
        <v/>
      </c>
      <c r="J46" s="7" t="inlineStr">
        <is>
          <t>24-sep: reportado por la sesión principal.</t>
        </is>
      </c>
    </row>
    <row r="47">
      <c r="A47" s="19" t="inlineStr">
        <is>
          <t>P-77</t>
        </is>
      </c>
      <c r="B47" s="4" t="inlineStr">
        <is>
          <t>Dato de la cooperativa</t>
        </is>
      </c>
      <c r="C47" s="4" t="inlineStr">
        <is>
          <t>Legal</t>
        </is>
      </c>
      <c r="D47" s="7" t="inlineStr">
        <is>
          <t>País o región de los servidores (Supabase, Vercel, Resend)</t>
        </is>
      </c>
      <c r="E47" s="7" t="inlineStr">
        <is>
          <t>Cooperativa</t>
        </is>
      </c>
      <c r="F47" s="8" t="inlineStr">
        <is>
          <t>Alta</t>
        </is>
      </c>
      <c r="G47" s="8" t="inlineStr">
        <is>
          <t>Pendiente</t>
        </is>
      </c>
      <c r="H47" s="8" t="inlineStr">
        <is>
          <t>5.4</t>
        </is>
      </c>
      <c r="I47" s="21">
        <f>IFERROR(INDEX(Plan!$B$5:$B$64,MATCH(H47,Plan!$A$5:$A$64,0)),"—")</f>
        <v/>
      </c>
      <c r="J47" s="7" t="inlineStr">
        <is>
          <t>24-sep: reportado por la sesión principal, dato exigido por la Ley 1581 para informar transferencia internacional de datos.</t>
        </is>
      </c>
    </row>
    <row r="48">
      <c r="A48" s="19" t="inlineStr">
        <is>
          <t>P-78</t>
        </is>
      </c>
      <c r="B48" s="4" t="inlineStr">
        <is>
          <t>Dato de la cooperativa</t>
        </is>
      </c>
      <c r="C48" s="4" t="inlineStr">
        <is>
          <t>Legal</t>
        </is>
      </c>
      <c r="D48" s="7" t="inlineStr">
        <is>
          <t>Alternativa de verificación para quien no quiera subir la selfie</t>
        </is>
      </c>
      <c r="E48" s="7" t="inlineStr">
        <is>
          <t>Cooperativa</t>
        </is>
      </c>
      <c r="F48" s="8" t="inlineStr">
        <is>
          <t>Alta</t>
        </is>
      </c>
      <c r="G48" s="8" t="inlineStr">
        <is>
          <t>Pendiente</t>
        </is>
      </c>
      <c r="H48" s="8" t="inlineStr">
        <is>
          <t>5.4</t>
        </is>
      </c>
      <c r="I48" s="21">
        <f>IFERROR(INDEX(Plan!$B$5:$B$64,MATCH(H48,Plan!$A$5:$A$64,0)),"—")</f>
        <v/>
      </c>
      <c r="J48" s="7" t="inlineStr">
        <is>
          <t>24-sep: reportado por la sesión principal.</t>
        </is>
      </c>
    </row>
    <row r="49">
      <c r="A49" s="19" t="inlineStr">
        <is>
          <t>P-79</t>
        </is>
      </c>
      <c r="B49" s="4" t="inlineStr">
        <is>
          <t>Dato de la cooperativa</t>
        </is>
      </c>
      <c r="C49" s="4" t="inlineStr">
        <is>
          <t>Legal</t>
        </is>
      </c>
      <c r="D49" s="7" t="inlineStr">
        <is>
          <t>Plazos de conservación de los datos (fotos de rechazados y de asociados, y demás datos)</t>
        </is>
      </c>
      <c r="E49" s="7" t="inlineStr">
        <is>
          <t>Cooperativa</t>
        </is>
      </c>
      <c r="F49" s="8" t="inlineStr">
        <is>
          <t>Alta</t>
        </is>
      </c>
      <c r="G49" s="8" t="inlineStr">
        <is>
          <t>Pendiente</t>
        </is>
      </c>
      <c r="H49" s="8" t="inlineStr">
        <is>
          <t>5.4</t>
        </is>
      </c>
      <c r="I49" s="21">
        <f>IFERROR(INDEX(Plan!$B$5:$B$64,MATCH(H49,Plan!$A$5:$A$64,0)),"—")</f>
        <v/>
      </c>
      <c r="J49" s="7" t="inlineStr">
        <is>
          <t>24-sep: reportado por la sesión principal; el plazo de las fotos es el mismo que decida P-63 (borrado automático de fotos rechazadas, 5.10).</t>
        </is>
      </c>
    </row>
    <row r="50">
      <c r="A50" s="19" t="inlineStr">
        <is>
          <t>P-13</t>
        </is>
      </c>
      <c r="B50" s="4" t="inlineStr">
        <is>
          <t>Dato de la cooperativa</t>
        </is>
      </c>
      <c r="C50" s="4" t="inlineStr">
        <is>
          <t>Configuración</t>
        </is>
      </c>
      <c r="D50" s="7" t="inlineStr">
        <is>
          <t>Texto de vigilancia de Supersolidaria (TEXTO_VIGILANCIA)</t>
        </is>
      </c>
      <c r="E50" s="7" t="inlineStr">
        <is>
          <t>Cooperativa</t>
        </is>
      </c>
      <c r="F50" s="8" t="inlineStr">
        <is>
          <t>Media</t>
        </is>
      </c>
      <c r="G50" s="8" t="inlineStr">
        <is>
          <t>Pendiente</t>
        </is>
      </c>
      <c r="H50" s="8" t="inlineStr">
        <is>
          <t>5.3</t>
        </is>
      </c>
      <c r="I50" s="21">
        <f>IFERROR(INDEX(Plan!$B$5:$B$64,MATCH(H50,Plan!$A$5:$A$64,0)),"—")</f>
        <v/>
      </c>
      <c r="J50" s="7" t="inlineStr"/>
    </row>
    <row r="51">
      <c r="A51" s="19" t="inlineStr">
        <is>
          <t>P-46</t>
        </is>
      </c>
      <c r="B51" s="4" t="inlineStr">
        <is>
          <t>Dato de la cooperativa</t>
        </is>
      </c>
      <c r="C51" s="4" t="inlineStr">
        <is>
          <t>/afiliacion</t>
        </is>
      </c>
      <c r="D51" s="7" t="inlineStr">
        <is>
          <t>Nombres oficiales de los grados</t>
        </is>
      </c>
      <c r="E51" s="7" t="inlineStr">
        <is>
          <t>Cooperativa</t>
        </is>
      </c>
      <c r="F51" s="8" t="inlineStr">
        <is>
          <t>Media</t>
        </is>
      </c>
      <c r="G51" s="8" t="inlineStr">
        <is>
          <t>Pendiente</t>
        </is>
      </c>
      <c r="H51" s="8" t="inlineStr">
        <is>
          <t>5.3</t>
        </is>
      </c>
      <c r="I51" s="21">
        <f>IFERROR(INDEX(Plan!$B$5:$B$64,MATCH(H51,Plan!$A$5:$A$64,0)),"—")</f>
        <v/>
      </c>
      <c r="J51" s="7" t="inlineStr">
        <is>
          <t>Se usan en el select «Grado» (grados_credito).</t>
        </is>
      </c>
    </row>
    <row r="52">
      <c r="A52" s="19" t="inlineStr">
        <is>
          <t>P-47</t>
        </is>
      </c>
      <c r="B52" s="4" t="inlineStr">
        <is>
          <t>Dato de la cooperativa</t>
        </is>
      </c>
      <c r="C52" s="4" t="inlineStr">
        <is>
          <t>/cuenta</t>
        </is>
      </c>
      <c r="D52" s="7" t="inlineStr">
        <is>
          <t>Estado de desembolso (cómo y cuándo se informa al asociado)</t>
        </is>
      </c>
      <c r="E52" s="7" t="inlineStr">
        <is>
          <t>Cooperativa</t>
        </is>
      </c>
      <c r="F52" s="8" t="inlineStr">
        <is>
          <t>Media</t>
        </is>
      </c>
      <c r="G52" s="8" t="inlineStr">
        <is>
          <t>Pendiente</t>
        </is>
      </c>
      <c r="H52" s="8" t="inlineStr">
        <is>
          <t>5.3</t>
        </is>
      </c>
      <c r="I52" s="21">
        <f>IFERROR(INDEX(Plan!$B$5:$B$64,MATCH(H52,Plan!$A$5:$A$64,0)),"—")</f>
        <v/>
      </c>
      <c r="J52" s="7" t="inlineStr">
        <is>
          <t>Reportado por ga-funcionalidad-botones el 23-sep.</t>
        </is>
      </c>
    </row>
    <row r="53">
      <c r="A53" s="19" t="inlineStr">
        <is>
          <t>P-80</t>
        </is>
      </c>
      <c r="B53" s="4" t="inlineStr">
        <is>
          <t>Dato de la cooperativa</t>
        </is>
      </c>
      <c r="C53" s="4" t="inlineStr">
        <is>
          <t>Legal</t>
        </is>
      </c>
      <c r="D53" s="7" t="inlineStr">
        <is>
          <t>Si van a reportar a centrales de riesgo (Ley 1266, autorización aparte)</t>
        </is>
      </c>
      <c r="E53" s="7" t="inlineStr">
        <is>
          <t>Cooperativa</t>
        </is>
      </c>
      <c r="F53" s="8" t="inlineStr">
        <is>
          <t>Media</t>
        </is>
      </c>
      <c r="G53" s="8" t="inlineStr">
        <is>
          <t>Pendiente</t>
        </is>
      </c>
      <c r="H53" s="8" t="inlineStr">
        <is>
          <t>5.4</t>
        </is>
      </c>
      <c r="I53" s="21">
        <f>IFERROR(INDEX(Plan!$B$5:$B$64,MATCH(H53,Plan!$A$5:$A$64,0)),"—")</f>
        <v/>
      </c>
      <c r="J53" s="7" t="inlineStr">
        <is>
          <t>24-sep: reportado por la sesión principal.</t>
        </is>
      </c>
    </row>
    <row r="54">
      <c r="A54" s="19" t="inlineStr">
        <is>
          <t>P-16</t>
        </is>
      </c>
      <c r="B54" s="4" t="inlineStr">
        <is>
          <t>Dato de la cooperativa</t>
        </is>
      </c>
      <c r="C54" s="4" t="inlineStr">
        <is>
          <t>Landing</t>
        </is>
      </c>
      <c r="D54" s="7" t="inlineStr">
        <is>
          <t>Fotos reales, cifras y testimonios</t>
        </is>
      </c>
      <c r="E54" s="7" t="inlineStr">
        <is>
          <t>Cooperativa</t>
        </is>
      </c>
      <c r="F54" s="8" t="inlineStr">
        <is>
          <t>Baja</t>
        </is>
      </c>
      <c r="G54" s="8" t="inlineStr">
        <is>
          <t>Pendiente</t>
        </is>
      </c>
      <c r="H54" s="8" t="inlineStr">
        <is>
          <t>5.3</t>
        </is>
      </c>
      <c r="I54" s="21">
        <f>IFERROR(INDEX(Plan!$B$5:$B$64,MATCH(H54,Plan!$A$5:$A$64,0)),"—")</f>
        <v/>
      </c>
      <c r="J54" s="7" t="inlineStr">
        <is>
          <t>23-sep: los espacios de foto de la landing ya tienen diseño de marca (EspacioFoto). Para poner la foto real se cambia `null` por { src, alt }. Faltan las fotos de la cooperativa.</t>
        </is>
      </c>
    </row>
    <row r="55">
      <c r="A55" s="19" t="inlineStr">
        <is>
          <t>P-18</t>
        </is>
      </c>
      <c r="B55" s="4" t="inlineStr">
        <is>
          <t>Dato de la cooperativa</t>
        </is>
      </c>
      <c r="C55" s="4" t="inlineStr">
        <is>
          <t>Asociados</t>
        </is>
      </c>
      <c r="D55" s="7" t="inlineStr">
        <is>
          <t>Correos reales de los asociados (Excel de importación)</t>
        </is>
      </c>
      <c r="E55" s="7" t="inlineStr">
        <is>
          <t>Cooperativa</t>
        </is>
      </c>
      <c r="F55" s="8" t="inlineStr">
        <is>
          <t>Alta</t>
        </is>
      </c>
      <c r="G55" s="8" t="inlineStr">
        <is>
          <t>Hecho</t>
        </is>
      </c>
      <c r="H55" s="8" t="inlineStr">
        <is>
          <t>4.4</t>
        </is>
      </c>
      <c r="I55" s="21">
        <f>IFERROR(INDEX(Plan!$B$5:$B$64,MATCH(H55,Plan!$A$5:$A$64,0)),"—")</f>
        <v/>
      </c>
      <c r="J55" s="7" t="inlineStr">
        <is>
          <t>Ya no aplica: decisión de la cooperativa 2026-09-24, no habrá importación de Excel. El ingreso ahora se resuelve con la afiliación v2 (correo institucional propio) más aprobación en /admin.</t>
        </is>
      </c>
    </row>
    <row r="56">
      <c r="A56" s="19" t="inlineStr">
        <is>
          <t>P-10</t>
        </is>
      </c>
      <c r="B56" s="4" t="inlineStr">
        <is>
          <t>Dato de la cooperativa</t>
        </is>
      </c>
      <c r="C56" s="4" t="inlineStr">
        <is>
          <t>Configuración</t>
        </is>
      </c>
      <c r="D56" s="7" t="inlineStr">
        <is>
          <t>Número de WhatsApp (NEXT_PUBLIC_WHATSAPP)</t>
        </is>
      </c>
      <c r="E56" s="7" t="inlineStr">
        <is>
          <t>Cooperativa</t>
        </is>
      </c>
      <c r="F56" s="8" t="inlineStr">
        <is>
          <t>Media</t>
        </is>
      </c>
      <c r="G56" s="8" t="inlineStr">
        <is>
          <t>Hecho</t>
        </is>
      </c>
      <c r="H56" s="8" t="inlineStr">
        <is>
          <t>5.3</t>
        </is>
      </c>
      <c r="I56" s="21">
        <f>IFERROR(INDEX(Plan!$B$5:$B$64,MATCH(H56,Plan!$A$5:$A$64,0)),"—")</f>
        <v/>
      </c>
      <c r="J56" s="7" t="inlineStr">
        <is>
          <t>24-sep: 311 724 1942.</t>
        </is>
      </c>
    </row>
    <row r="57">
      <c r="A57" s="19" t="inlineStr">
        <is>
          <t>P-11</t>
        </is>
      </c>
      <c r="B57" s="4" t="inlineStr">
        <is>
          <t>Dato de la cooperativa</t>
        </is>
      </c>
      <c r="C57" s="4" t="inlineStr">
        <is>
          <t>Configuración</t>
        </is>
      </c>
      <c r="D57" s="7" t="inlineStr">
        <is>
          <t>Días hábiles de respuesta (DIAS_RESPUESTA)</t>
        </is>
      </c>
      <c r="E57" s="7" t="inlineStr">
        <is>
          <t>Cooperativa</t>
        </is>
      </c>
      <c r="F57" s="8" t="inlineStr">
        <is>
          <t>Media</t>
        </is>
      </c>
      <c r="G57" s="8" t="inlineStr">
        <is>
          <t>Hecho</t>
        </is>
      </c>
      <c r="H57" s="8" t="inlineStr">
        <is>
          <t>5.3</t>
        </is>
      </c>
      <c r="I57" s="21">
        <f>IFERROR(INDEX(Plan!$B$5:$B$64,MATCH(H57,Plan!$A$5:$A$64,0)),"—")</f>
        <v/>
      </c>
      <c r="J57" s="7" t="inlineStr">
        <is>
          <t>24-sep: la cooperativa dio el tiempo de respuesta como «4 horas o menos» (ver P-17); se usa ese dato en vez de días hábiles.</t>
        </is>
      </c>
    </row>
    <row r="58">
      <c r="A58" s="19" t="inlineStr">
        <is>
          <t>P-12</t>
        </is>
      </c>
      <c r="B58" s="4" t="inlineStr">
        <is>
          <t>Dato de la cooperativa</t>
        </is>
      </c>
      <c r="C58" s="4" t="inlineStr">
        <is>
          <t>Configuración</t>
        </is>
      </c>
      <c r="D58" s="7" t="inlineStr">
        <is>
          <t>Correo de contacto (CORREO_CONTACTO)</t>
        </is>
      </c>
      <c r="E58" s="7" t="inlineStr">
        <is>
          <t>Cooperativa</t>
        </is>
      </c>
      <c r="F58" s="8" t="inlineStr">
        <is>
          <t>Media</t>
        </is>
      </c>
      <c r="G58" s="8" t="inlineStr">
        <is>
          <t>Hecho</t>
        </is>
      </c>
      <c r="H58" s="8" t="inlineStr">
        <is>
          <t>5.3</t>
        </is>
      </c>
      <c r="I58" s="21">
        <f>IFERROR(INDEX(Plan!$B$5:$B$64,MATCH(H58,Plan!$A$5:$A$64,0)),"—")</f>
        <v/>
      </c>
      <c r="J58" s="7" t="inlineStr">
        <is>
          <t>24-sep: soporte@greenallianceco.com.</t>
        </is>
      </c>
    </row>
    <row r="59">
      <c r="A59" s="19" t="inlineStr">
        <is>
          <t>P-15</t>
        </is>
      </c>
      <c r="B59" s="4" t="inlineStr">
        <is>
          <t>Dato de la cooperativa</t>
        </is>
      </c>
      <c r="C59" s="4" t="inlineStr">
        <is>
          <t>/cuenta</t>
        </is>
      </c>
      <c r="D59" s="7" t="inlineStr">
        <is>
          <t>Destino de «Nueva solicitud» (nav y acceso rápido)</t>
        </is>
      </c>
      <c r="E59" s="7" t="inlineStr">
        <is>
          <t>Yo</t>
        </is>
      </c>
      <c r="F59" s="8" t="inlineStr">
        <is>
          <t>Media</t>
        </is>
      </c>
      <c r="G59" s="8" t="inlineStr">
        <is>
          <t>Hecho</t>
        </is>
      </c>
      <c r="H59" s="8" t="inlineStr">
        <is>
          <t>3.7</t>
        </is>
      </c>
      <c r="I59" s="21">
        <f>IFERROR(INDEX(Plan!$B$5:$B$64,MATCH(H59,Plan!$A$5:$A$64,0)),"—")</f>
        <v/>
      </c>
      <c r="J59" s="7" t="inlineStr">
        <is>
          <t>Hoy es href="#".</t>
        </is>
      </c>
    </row>
    <row r="60">
      <c r="A60" s="19" t="inlineStr">
        <is>
          <t>P-17</t>
        </is>
      </c>
      <c r="B60" s="4" t="inlineStr">
        <is>
          <t>Dato de la cooperativa</t>
        </is>
      </c>
      <c r="C60" s="4" t="inlineStr">
        <is>
          <t>Landing</t>
        </is>
      </c>
      <c r="D60" s="7" t="inlineStr">
        <is>
          <t>Tiempo de respuesta real ([TIEMPO] y [T])</t>
        </is>
      </c>
      <c r="E60" s="7" t="inlineStr">
        <is>
          <t>Cooperativa</t>
        </is>
      </c>
      <c r="F60" s="8" t="inlineStr">
        <is>
          <t>Baja</t>
        </is>
      </c>
      <c r="G60" s="8" t="inlineStr">
        <is>
          <t>Hecho</t>
        </is>
      </c>
      <c r="H60" s="8" t="inlineStr">
        <is>
          <t>5.3</t>
        </is>
      </c>
      <c r="I60" s="21">
        <f>IFERROR(INDEX(Plan!$B$5:$B$64,MATCH(H60,Plan!$A$5:$A$64,0)),"—")</f>
        <v/>
      </c>
      <c r="J60" s="7" t="inlineStr">
        <is>
          <t>24-sep: «4 horas o menos».</t>
        </is>
      </c>
    </row>
    <row r="61">
      <c r="A61" s="19" t="inlineStr">
        <is>
          <t>P-58</t>
        </is>
      </c>
      <c r="B61" s="4" t="inlineStr">
        <is>
          <t>Verificación y cierre</t>
        </is>
      </c>
      <c r="C61" s="4" t="inlineStr">
        <is>
          <t>Pruebas</t>
        </is>
      </c>
      <c r="D61" s="7" t="inlineStr">
        <is>
          <t>Actualizar tests/e2e a la afiliación v2 y a la nueva máscara de correo</t>
        </is>
      </c>
      <c r="E61" s="7" t="inlineStr">
        <is>
          <t>ga-escritor-tests</t>
        </is>
      </c>
      <c r="F61" s="8" t="inlineStr">
        <is>
          <t>Alta</t>
        </is>
      </c>
      <c r="G61" s="8" t="inlineStr">
        <is>
          <t>En curso</t>
        </is>
      </c>
      <c r="H61" s="8" t="inlineStr">
        <is>
          <t>6.1</t>
        </is>
      </c>
      <c r="I61" s="21">
        <f>IFERROR(INDEX(Plan!$B$5:$B$64,MATCH(H61,Plan!$A$5:$A$64,0)),"—")</f>
        <v/>
      </c>
      <c r="J61"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2">
      <c r="A62" s="19" t="inlineStr">
        <is>
          <t>P-42</t>
        </is>
      </c>
      <c r="B62" s="4" t="inlineStr">
        <is>
          <t>Verificación y cierre</t>
        </is>
      </c>
      <c r="C62" s="4" t="inlineStr">
        <is>
          <t>Despliegue</t>
        </is>
      </c>
      <c r="D62" s="7" t="inlineStr">
        <is>
          <t>Subir a GitHub y desplegar en Vercel</t>
        </is>
      </c>
      <c r="E62" s="7" t="inlineStr">
        <is>
          <t>Yo</t>
        </is>
      </c>
      <c r="F62" s="8" t="inlineStr">
        <is>
          <t>Alta</t>
        </is>
      </c>
      <c r="G62" s="8" t="inlineStr">
        <is>
          <t>Pendiente</t>
        </is>
      </c>
      <c r="H62" s="8" t="inlineStr">
        <is>
          <t>6.5</t>
        </is>
      </c>
      <c r="I62" s="21">
        <f>IFERROR(INDEX(Plan!$B$5:$B$64,MATCH(H62,Plan!$A$5:$A$64,0)),"—")</f>
        <v/>
      </c>
      <c r="J62" s="7" t="inlineStr"/>
    </row>
    <row r="63">
      <c r="A63" s="19" t="inlineStr">
        <is>
          <t>P-64</t>
        </is>
      </c>
      <c r="B63" s="4" t="inlineStr">
        <is>
          <t>Verificación y cierre</t>
        </is>
      </c>
      <c r="C63" s="4" t="inlineStr">
        <is>
          <t>Git</t>
        </is>
      </c>
      <c r="D63" s="7" t="inlineStr">
        <is>
          <t>Abrir el PR de develop a main</t>
        </is>
      </c>
      <c r="E63" s="7" t="inlineStr">
        <is>
          <t>Sebas</t>
        </is>
      </c>
      <c r="F63" s="8" t="inlineStr">
        <is>
          <t>Alta</t>
        </is>
      </c>
      <c r="G63" s="8" t="inlineStr">
        <is>
          <t>Pendiente</t>
        </is>
      </c>
      <c r="H63" s="8" t="inlineStr">
        <is>
          <t>6.5</t>
        </is>
      </c>
      <c r="I63" s="21">
        <f>IFERROR(INDEX(Plan!$B$5:$B$64,MATCH(H63,Plan!$A$5:$A$64,0)),"—")</f>
        <v/>
      </c>
      <c r="J63" s="7" t="inlineStr"/>
    </row>
    <row r="64">
      <c r="A64" s="19" t="inlineStr">
        <is>
          <t>P-81</t>
        </is>
      </c>
      <c r="B64" s="4" t="inlineStr">
        <is>
          <t>Verificación y cierre</t>
        </is>
      </c>
      <c r="C64" s="4" t="inlineStr">
        <is>
          <t>Legal</t>
        </is>
      </c>
      <c r="D64" s="7" t="inlineStr">
        <is>
          <t>Revisión de la política de datos por un abogado</t>
        </is>
      </c>
      <c r="E64" s="7" t="inlineStr">
        <is>
          <t>Sebas</t>
        </is>
      </c>
      <c r="F64" s="8" t="inlineStr">
        <is>
          <t>Alta</t>
        </is>
      </c>
      <c r="G64" s="8" t="inlineStr">
        <is>
          <t>Pendiente</t>
        </is>
      </c>
      <c r="H64" s="8" t="inlineStr">
        <is>
          <t>5.4</t>
        </is>
      </c>
      <c r="I64" s="21">
        <f>IFERROR(INDEX(Plan!$B$5:$B$64,MATCH(H64,Plan!$A$5:$A$64,0)),"—")</f>
        <v/>
      </c>
      <c r="J64" s="7" t="inlineStr">
        <is>
          <t>24-sep: reportado por la sesión principal; falta antes de publicar /politica-de-datos.</t>
        </is>
      </c>
    </row>
    <row r="65">
      <c r="A65" s="19" t="inlineStr">
        <is>
          <t>P-70</t>
        </is>
      </c>
      <c r="B65" s="4" t="inlineStr">
        <is>
          <t>Verificación y cierre</t>
        </is>
      </c>
      <c r="C65" s="4" t="inlineStr">
        <is>
          <t>QA</t>
        </is>
      </c>
      <c r="D65" s="7" t="inlineStr">
        <is>
          <t>Pruebas en celulares reales (Android e iPhone): cámara, código, sorteo, crédito y correos en Gmail/Outlook, con informe y capturas</t>
        </is>
      </c>
      <c r="E65" s="7" t="inlineStr">
        <is>
          <t>Carlos Pardo</t>
        </is>
      </c>
      <c r="F65" s="8" t="inlineStr">
        <is>
          <t>Media</t>
        </is>
      </c>
      <c r="G65" s="8" t="inlineStr">
        <is>
          <t>Pendiente</t>
        </is>
      </c>
      <c r="H65" s="8" t="inlineStr">
        <is>
          <t>6.14</t>
        </is>
      </c>
      <c r="I65" s="21">
        <f>IFERROR(INDEX(Plan!$B$5:$B$64,MATCH(H65,Plan!$A$5:$A$64,0)),"—")</f>
        <v/>
      </c>
      <c r="J65" s="7" t="inlineStr">
        <is>
          <t>Encargo externo (500.000 COP) por PR a develop. Ver P-73.</t>
        </is>
      </c>
    </row>
    <row r="66">
      <c r="A66" s="19" t="inlineStr">
        <is>
          <t>P-71</t>
        </is>
      </c>
      <c r="B66" s="4" t="inlineStr">
        <is>
          <t>Verificación y cierre</t>
        </is>
      </c>
      <c r="C66" s="4" t="inlineStr">
        <is>
          <t>Pruebas</t>
        </is>
      </c>
      <c r="D66" s="7" t="inlineStr">
        <is>
          <t>Actualizar tests/e2e b-ingreso, i-despliegue y j-produccion al formato nuevo de máscara de correo</t>
        </is>
      </c>
      <c r="E66" s="7" t="inlineStr">
        <is>
          <t>Carlos Pardo</t>
        </is>
      </c>
      <c r="F66" s="8" t="inlineStr">
        <is>
          <t>Media</t>
        </is>
      </c>
      <c r="G66" s="8" t="inlineStr">
        <is>
          <t>Pendiente</t>
        </is>
      </c>
      <c r="H66" s="8" t="inlineStr">
        <is>
          <t>6.15</t>
        </is>
      </c>
      <c r="I66" s="21">
        <f>IFERROR(INDEX(Plan!$B$5:$B$64,MATCH(H66,Plan!$A$5:$A$64,0)),"—")</f>
        <v/>
      </c>
      <c r="J66" s="7" t="inlineStr">
        <is>
          <t>Encargo externo (500.000 COP) por PR a develop. Parte del alcance que P-58 dejó fuera. Ver P-73.</t>
        </is>
      </c>
    </row>
    <row r="67">
      <c r="A67" s="19" t="inlineStr">
        <is>
          <t>P-39</t>
        </is>
      </c>
      <c r="B67" s="4" t="inlineStr">
        <is>
          <t>Verificación y cierre</t>
        </is>
      </c>
      <c r="C67" s="4" t="inlineStr">
        <is>
          <t>Calidad</t>
        </is>
      </c>
      <c r="D67" s="7" t="inlineStr">
        <is>
          <t>Correr ga-verificador-qa y ga-verificador-responsive</t>
        </is>
      </c>
      <c r="E67" s="7" t="inlineStr">
        <is>
          <t>Yo</t>
        </is>
      </c>
      <c r="F67" s="8" t="inlineStr">
        <is>
          <t>Alta</t>
        </is>
      </c>
      <c r="G67" s="8" t="inlineStr">
        <is>
          <t>Hecho</t>
        </is>
      </c>
      <c r="H67" s="8" t="inlineStr">
        <is>
          <t>6.3</t>
        </is>
      </c>
      <c r="I67" s="21">
        <f>IFERROR(INDEX(Plan!$B$5:$B$64,MATCH(H67,Plan!$A$5:$A$64,0)),"—")</f>
        <v/>
      </c>
      <c r="J67"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68">
      <c r="A68" s="19" t="inlineStr">
        <is>
          <t>P-41</t>
        </is>
      </c>
      <c r="B68" s="4" t="inlineStr">
        <is>
          <t>Verificación y cierre</t>
        </is>
      </c>
      <c r="C68" s="4" t="inlineStr">
        <is>
          <t>Git</t>
        </is>
      </c>
      <c r="D68" s="7" t="inlineStr">
        <is>
          <t>Commit de las pantallas nuevas</t>
        </is>
      </c>
      <c r="E68" s="7" t="inlineStr">
        <is>
          <t>Yo</t>
        </is>
      </c>
      <c r="F68" s="8" t="inlineStr">
        <is>
          <t>Alta</t>
        </is>
      </c>
      <c r="G68" s="8" t="inlineStr">
        <is>
          <t>Hecho</t>
        </is>
      </c>
      <c r="H68" s="8" t="inlineStr">
        <is>
          <t>—</t>
        </is>
      </c>
      <c r="I68" s="21">
        <f>IFERROR(INDEX(Plan!$B$5:$B$64,MATCH(H68,Plan!$A$5:$A$64,0)),"—")</f>
        <v/>
      </c>
      <c r="J68" s="7" t="inlineStr">
        <is>
          <t>Commit d86db86 en develop.</t>
        </is>
      </c>
    </row>
    <row r="69">
      <c r="A69" s="19" t="inlineStr">
        <is>
          <t>P-40</t>
        </is>
      </c>
      <c r="B69" s="4" t="inlineStr">
        <is>
          <t>Verificación y cierre</t>
        </is>
      </c>
      <c r="C69" s="4" t="inlineStr">
        <is>
          <t>Código</t>
        </is>
      </c>
      <c r="D69" s="7" t="inlineStr">
        <is>
          <t>Borrar /login y /dashboard cuando /ingresar y /cuenta funcionen</t>
        </is>
      </c>
      <c r="E69" s="7" t="inlineStr">
        <is>
          <t>Yo</t>
        </is>
      </c>
      <c r="F69" s="8" t="inlineStr">
        <is>
          <t>Media</t>
        </is>
      </c>
      <c r="G69" s="8" t="inlineStr">
        <is>
          <t>Hecho</t>
        </is>
      </c>
      <c r="H69" s="8" t="inlineStr">
        <is>
          <t>5.5</t>
        </is>
      </c>
      <c r="I69" s="21">
        <f>IFERROR(INDEX(Plan!$B$5:$B$64,MATCH(H69,Plan!$A$5:$A$64,0)),"—")</f>
        <v/>
      </c>
      <c r="J69" s="7" t="inlineStr">
        <is>
          <t>Borradas el 23-sep (incluida /dashboard/solicitar, su parte del proxy y los colores heredados de tailwind.config.ts).</t>
        </is>
      </c>
    </row>
    <row r="70">
      <c r="A70" s="19" t="inlineStr">
        <is>
          <t>P-49</t>
        </is>
      </c>
      <c r="B70" s="4" t="inlineStr">
        <is>
          <t>Verificación y cierre</t>
        </is>
      </c>
      <c r="C70" s="4" t="inlineStr">
        <is>
          <t>Seguridad</t>
        </is>
      </c>
      <c r="D70" s="7" t="inlineStr">
        <is>
          <t>Revisar si conviene confiar en x-forwarded-for para el límite de intentos por IP</t>
        </is>
      </c>
      <c r="E70" s="7" t="inlineStr">
        <is>
          <t>ga-revisor-seguridad</t>
        </is>
      </c>
      <c r="F70" s="8" t="inlineStr">
        <is>
          <t>Media</t>
        </is>
      </c>
      <c r="G70" s="8" t="inlineStr">
        <is>
          <t>Hecho</t>
        </is>
      </c>
      <c r="H70" s="8" t="inlineStr">
        <is>
          <t>6.2</t>
        </is>
      </c>
      <c r="I70" s="21">
        <f>IFERROR(INDEX(Plan!$B$5:$B$64,MATCH(H70,Plan!$A$5:$A$64,0)),"—")</f>
        <v/>
      </c>
      <c r="J70" s="7" t="inlineStr">
        <is>
          <t>Sugerido por ga-verificador-qa el 23-sep. Documentado por ga-funcionalidad-botones como O-01 en lib/servidor/limite.ts: x-forwarded-for/x-real-ip solo son confiables detrás de Vercel (nuestro caso); el límite real por cédula/IP lo hace la app, no Supabase.</t>
        </is>
      </c>
    </row>
    <row r="71">
      <c r="A71" s="19" t="inlineStr">
        <is>
          <t>P-50</t>
        </is>
      </c>
      <c r="B71" s="4" t="inlineStr">
        <is>
          <t>Verificación y cierre</t>
        </is>
      </c>
      <c r="C71" s="4" t="inlineStr">
        <is>
          <t>Correos</t>
        </is>
      </c>
      <c r="D71" s="7" t="inlineStr">
        <is>
          <t>Confirmar que salen los correos de afiliación (el log queda en la terminal de next dev)</t>
        </is>
      </c>
      <c r="E71" s="7" t="inlineStr">
        <is>
          <t>Yo</t>
        </is>
      </c>
      <c r="F71" s="8" t="inlineStr">
        <is>
          <t>Media</t>
        </is>
      </c>
      <c r="G71" s="8" t="inlineStr">
        <is>
          <t>Hecho</t>
        </is>
      </c>
      <c r="H71" s="8" t="inlineStr">
        <is>
          <t>—</t>
        </is>
      </c>
      <c r="I71" s="21">
        <f>IFERROR(INDEX(Plan!$B$5:$B$64,MATCH(H71,Plan!$A$5:$A$64,0)),"—")</f>
        <v/>
      </c>
      <c r="J71" s="7" t="inlineStr">
        <is>
          <t>Ya no aplica: el 23-sep se quitaron los correos de afiliación del código (decisión de Sebas).</t>
        </is>
      </c>
    </row>
    <row r="72">
      <c r="A72" s="19" t="inlineStr">
        <is>
          <t>P-62</t>
        </is>
      </c>
      <c r="B72" s="4" t="inlineStr">
        <is>
          <t>Verificación y cierre</t>
        </is>
      </c>
      <c r="C72" s="4" t="inlineStr">
        <is>
          <t>Base de datos</t>
        </is>
      </c>
      <c r="D72" s="7" t="inlineStr">
        <is>
          <t>Borrar la cuenta admin de prueba «Test QA» (cédula 1099887766) desde el panel de Supabase</t>
        </is>
      </c>
      <c r="E72" s="7" t="inlineStr">
        <is>
          <t>Sebas</t>
        </is>
      </c>
      <c r="F72" s="8" t="inlineStr">
        <is>
          <t>Media</t>
        </is>
      </c>
      <c r="G72" s="8" t="inlineStr">
        <is>
          <t>Hecho</t>
        </is>
      </c>
      <c r="H72" s="8" t="inlineStr">
        <is>
          <t>6.13</t>
        </is>
      </c>
      <c r="I72" s="21">
        <f>IFERROR(INDEX(Plan!$B$5:$B$64,MATCH(H72,Plan!$A$5:$A$64,0)),"—")</f>
        <v/>
      </c>
      <c r="J72" s="7" t="inlineStr">
        <is>
          <t>Ya hay 3 administradores reales en producción: Ricardo, Abogados Prieto y Sebas. 24-sep: usuario «Test QA» borrado de producción por Sebas.</t>
        </is>
      </c>
    </row>
    <row r="73">
      <c r="A73" s="19" t="inlineStr">
        <is>
          <t>P-52</t>
        </is>
      </c>
      <c r="B73" s="4" t="inlineStr">
        <is>
          <t>Verificación y cierre</t>
        </is>
      </c>
      <c r="C73" s="4" t="inlineStr">
        <is>
          <t>Documentación</t>
        </is>
      </c>
      <c r="D73" s="7" t="inlineStr">
        <is>
          <t>Mapa de botones: §4 «Nueva solicitud» → /cuenta/solicitar y sección para la ruta /cuenta/solicitar</t>
        </is>
      </c>
      <c r="E73" s="7" t="inlineStr">
        <is>
          <t>ga-funcionalidad-botones</t>
        </is>
      </c>
      <c r="F73" s="8" t="inlineStr">
        <is>
          <t>Baja</t>
        </is>
      </c>
      <c r="G73" s="8" t="inlineStr">
        <is>
          <t>Hecho</t>
        </is>
      </c>
      <c r="H73" s="8" t="inlineStr">
        <is>
          <t>3.7</t>
        </is>
      </c>
      <c r="I73" s="21">
        <f>IFERROR(INDEX(Plan!$B$5:$B$64,MATCH(H73,Plan!$A$5:$A$64,0)),"—")</f>
        <v/>
      </c>
      <c r="J73" s="7" t="inlineStr">
        <is>
          <t>Reportado por ga-diseno-a-codigo. Verificado el 23-sep: docs/mapa-de-botones.md ya tiene §4 «Nueva solicitud» → /cuenta/solicitar (Definido) y §4b /cuenta/solicitar; /dashboard se eliminó.</t>
        </is>
      </c>
    </row>
    <row r="74">
      <c r="A74" s="19" t="inlineStr">
        <is>
          <t>P-63</t>
        </is>
      </c>
      <c r="B74" s="4" t="inlineStr">
        <is>
          <t>Decisión</t>
        </is>
      </c>
      <c r="C74" s="4" t="inlineStr">
        <is>
          <t>Fase 2</t>
        </is>
      </c>
      <c r="D74" s="7" t="inlineStr">
        <is>
          <t>Preguntas abiertas de fase 2 para la cooperativa: grados del Ejército, dominios de correo institucionales (hoy solo policia.gov.co, buzonejercito.mil.co, ejercito.mil.co), tiempo que se guardan las fotos y tope de intentos del sorteo</t>
        </is>
      </c>
      <c r="E74" s="7" t="inlineStr">
        <is>
          <t>Cooperativa</t>
        </is>
      </c>
      <c r="F74" s="8" t="inlineStr">
        <is>
          <t>Alta</t>
        </is>
      </c>
      <c r="G74" s="8" t="inlineStr">
        <is>
          <t>Pendiente</t>
        </is>
      </c>
      <c r="H74" s="8" t="inlineStr">
        <is>
          <t>1.5</t>
        </is>
      </c>
      <c r="I74" s="21">
        <f>IFERROR(INDEX(Plan!$B$5:$B$64,MATCH(H74,Plan!$A$5:$A$64,0)),"—")</f>
        <v/>
      </c>
      <c r="J74" s="7" t="inlineStr">
        <is>
          <t>Ver docs/spec-fase-2.md §Preguntas abiertas.</t>
        </is>
      </c>
    </row>
    <row r="75">
      <c r="A75" s="19" t="inlineStr">
        <is>
          <t>P-02</t>
        </is>
      </c>
      <c r="B75" s="4" t="inlineStr">
        <is>
          <t>Decisión</t>
        </is>
      </c>
      <c r="C75" s="4" t="inlineStr">
        <is>
          <t>/cuenta</t>
        </is>
      </c>
      <c r="D75" s="7" t="inlineStr">
        <is>
          <t>Preguntar a la cooperativa si los convenios tendrán página propia</t>
        </is>
      </c>
      <c r="E75" s="7" t="inlineStr">
        <is>
          <t>Cooperativa</t>
        </is>
      </c>
      <c r="F75" s="8" t="inlineStr">
        <is>
          <t>Baja</t>
        </is>
      </c>
      <c r="G75" s="8" t="inlineStr">
        <is>
          <t>Pendiente</t>
        </is>
      </c>
      <c r="H75" s="8" t="inlineStr">
        <is>
          <t>5.1</t>
        </is>
      </c>
      <c r="I75" s="21">
        <f>IFERROR(INDEX(Plan!$B$5:$B$64,MATCH(H75,Plan!$A$5:$A$64,0)),"—")</f>
        <v/>
      </c>
      <c r="J75" s="7" t="inlineStr">
        <is>
          <t>Por ahora son una sección en /cuenta (#convenios).</t>
        </is>
      </c>
    </row>
    <row r="76">
      <c r="A76" s="19" t="inlineStr">
        <is>
          <t>P-53</t>
        </is>
      </c>
      <c r="B76" s="4" t="inlineStr">
        <is>
          <t>Decisión</t>
        </is>
      </c>
      <c r="C76" s="4" t="inlineStr">
        <is>
          <t>Landing</t>
        </is>
      </c>
      <c r="D76" s="7" t="inlineStr">
        <is>
          <t>A 320 px la línea «COOPERATIVA» del logo mide ~5 px de alto (opcional: ocultarla o achicar «Ingresar» bajo 360 px)</t>
        </is>
      </c>
      <c r="E76" s="7" t="inlineStr">
        <is>
          <t>Yo</t>
        </is>
      </c>
      <c r="F76" s="8" t="inlineStr">
        <is>
          <t>Baja</t>
        </is>
      </c>
      <c r="G76" s="8" t="inlineStr">
        <is>
          <t>Pendiente</t>
        </is>
      </c>
      <c r="H76" s="8" t="inlineStr">
        <is>
          <t>—</t>
        </is>
      </c>
      <c r="I76" s="21">
        <f>IFERROR(INDEX(Plan!$B$5:$B$64,MATCH(H76,Plan!$A$5:$A$64,0)),"—")</f>
        <v/>
      </c>
      <c r="J76" s="7" t="inlineStr">
        <is>
          <t>Menor y opcional, reportado por ga-verificador-responsive el 23-sep.</t>
        </is>
      </c>
    </row>
    <row r="77">
      <c r="A77" s="19" t="inlineStr">
        <is>
          <t>P-09</t>
        </is>
      </c>
      <c r="B77" s="4" t="inlineStr">
        <is>
          <t>Decisión</t>
        </is>
      </c>
      <c r="C77" s="4" t="inlineStr">
        <is>
          <t>Base de datos</t>
        </is>
      </c>
      <c r="D77" s="7" t="inlineStr">
        <is>
          <t>Revisar y aplicar en producción la migración blindar_solicitudes_y_revisiones</t>
        </is>
      </c>
      <c r="E77" s="7" t="inlineStr">
        <is>
          <t>Sebas (ga-auditor-supabase revisa antes)</t>
        </is>
      </c>
      <c r="F77" s="8" t="inlineStr">
        <is>
          <t>Alta</t>
        </is>
      </c>
      <c r="G77" s="8" t="inlineStr">
        <is>
          <t>Hecho</t>
        </is>
      </c>
      <c r="H77" s="8" t="inlineStr">
        <is>
          <t>6.10</t>
        </is>
      </c>
      <c r="I77" s="21">
        <f>IFERROR(INDEX(Plan!$B$5:$B$64,MATCH(H77,Plan!$A$5:$A$64,0)),"—")</f>
        <v/>
      </c>
      <c r="J77" s="7" t="inlineStr">
        <is>
          <t>Verificado con list_migrations el 23-sep: producción ya tiene 20260923173355_blindar_solicitudes_y_revisiones.</t>
        </is>
      </c>
    </row>
    <row r="78">
      <c r="A78" s="19" t="inlineStr">
        <is>
          <t>P-08</t>
        </is>
      </c>
      <c r="B78" s="4" t="inlineStr">
        <is>
          <t>Decisión</t>
        </is>
      </c>
      <c r="C78" s="4" t="inlineStr">
        <is>
          <t>/cuenta</t>
        </is>
      </c>
      <c r="D78" s="7" t="inlineStr">
        <is>
          <t>P-10: el asociado no cambia su nombre pero sí su teléfono</t>
        </is>
      </c>
      <c r="E78" s="7" t="inlineStr">
        <is>
          <t>Yo</t>
        </is>
      </c>
      <c r="F78" s="8" t="inlineStr">
        <is>
          <t>Media</t>
        </is>
      </c>
      <c r="G78" s="8" t="inlineStr">
        <is>
          <t>Hecho</t>
        </is>
      </c>
      <c r="H78" s="8" t="inlineStr">
        <is>
          <t>3.6</t>
        </is>
      </c>
      <c r="I78" s="21">
        <f>IFERROR(INDEX(Plan!$B$5:$B$64,MATCH(H78,Plan!$A$5:$A$64,0)),"—")</f>
        <v/>
      </c>
      <c r="J78" s="7" t="inlineStr">
        <is>
          <t>Apartado «Mis datos» ya maquetado.</t>
        </is>
      </c>
    </row>
    <row r="79">
      <c r="A79" s="19" t="inlineStr">
        <is>
          <t>P-65</t>
        </is>
      </c>
      <c r="B79" s="4" t="inlineStr">
        <is>
          <t>Decisión</t>
        </is>
      </c>
      <c r="C79" s="4" t="inlineStr">
        <is>
          <t>Sorteo</t>
        </is>
      </c>
      <c r="D79" s="7" t="inlineStr">
        <is>
          <t>Decidir si un admin o un asesor pueden participar en el sorteo mensual</t>
        </is>
      </c>
      <c r="E79" s="7" t="inlineStr">
        <is>
          <t>Cooperativa</t>
        </is>
      </c>
      <c r="F79" s="8" t="inlineStr">
        <is>
          <t>Media</t>
        </is>
      </c>
      <c r="G79" s="8" t="inlineStr">
        <is>
          <t>Hecho</t>
        </is>
      </c>
      <c r="H79" s="8" t="inlineStr">
        <is>
          <t>3.9</t>
        </is>
      </c>
      <c r="I79" s="21">
        <f>IFERROR(INDEX(Plan!$B$5:$B$64,MATCH(H79,Plan!$A$5:$A$64,0)),"—")</f>
        <v/>
      </c>
      <c r="J79" s="7" t="inlineStr">
        <is>
          <t>Sugerido por ga-revisor-seguridad el 24-sep. 24-sep: decidido que solo participan asociados (S-13, ya implementado en participarSorteo).</t>
        </is>
      </c>
    </row>
    <row r="80">
      <c r="A80" s="19" t="inlineStr">
        <is>
          <t>P-01</t>
        </is>
      </c>
      <c r="B80" s="4" t="inlineStr">
        <is>
          <t>Decisión</t>
        </is>
      </c>
      <c r="C80" s="4" t="inlineStr">
        <is>
          <t>General</t>
        </is>
      </c>
      <c r="D80" s="7" t="inlineStr">
        <is>
          <t>Color de error #B3261E</t>
        </is>
      </c>
      <c r="E80" s="7" t="inlineStr">
        <is>
          <t>Yo</t>
        </is>
      </c>
      <c r="F80" s="8" t="inlineStr">
        <is>
          <t>Baja</t>
        </is>
      </c>
      <c r="G80" s="8" t="inlineStr">
        <is>
          <t>Hecho</t>
        </is>
      </c>
      <c r="H80" s="8" t="inlineStr">
        <is>
          <t>—</t>
        </is>
      </c>
      <c r="I80" s="21">
        <f>IFERROR(INDEX(Plan!$B$5:$B$64,MATCH(H80,Plan!$A$5:$A$64,0)),"—")</f>
        <v/>
      </c>
      <c r="J80" s="7" t="inlineStr">
        <is>
          <t>Se deja.</t>
        </is>
      </c>
    </row>
    <row r="81">
      <c r="A81" s="19" t="inlineStr">
        <is>
          <t>P-03</t>
        </is>
      </c>
      <c r="B81" s="4" t="inlineStr">
        <is>
          <t>Decisión</t>
        </is>
      </c>
      <c r="C81" s="4" t="inlineStr">
        <is>
          <t>/cuenta</t>
        </is>
      </c>
      <c r="D81" s="7" t="inlineStr">
        <is>
          <t>Estado vacío de «Tu solicitud»</t>
        </is>
      </c>
      <c r="E81" s="7" t="inlineStr">
        <is>
          <t>Yo</t>
        </is>
      </c>
      <c r="F81" s="8" t="inlineStr">
        <is>
          <t>Baja</t>
        </is>
      </c>
      <c r="G81" s="8" t="inlineStr">
        <is>
          <t>Hecho</t>
        </is>
      </c>
      <c r="H81" s="8" t="inlineStr">
        <is>
          <t>3.4</t>
        </is>
      </c>
      <c r="I81" s="21">
        <f>IFERROR(INDEX(Plan!$B$5:$B$64,MATCH(H81,Plan!$A$5:$A$64,0)),"—")</f>
        <v/>
      </c>
      <c r="J81" s="7" t="inlineStr">
        <is>
          <t>Ver con /cuenta?vacio=1.</t>
        </is>
      </c>
    </row>
    <row r="82">
      <c r="A82" s="19" t="inlineStr">
        <is>
          <t>P-04</t>
        </is>
      </c>
      <c r="B82" s="4" t="inlineStr">
        <is>
          <t>Decisión</t>
        </is>
      </c>
      <c r="C82" s="4" t="inlineStr">
        <is>
          <t>General</t>
        </is>
      </c>
      <c r="D82" s="7" t="inlineStr">
        <is>
          <t>Logo en celular como enlace a la landing</t>
        </is>
      </c>
      <c r="E82" s="7" t="inlineStr">
        <is>
          <t>Yo</t>
        </is>
      </c>
      <c r="F82" s="8" t="inlineStr">
        <is>
          <t>Baja</t>
        </is>
      </c>
      <c r="G82" s="8" t="inlineStr">
        <is>
          <t>Hecho</t>
        </is>
      </c>
      <c r="H82" s="8" t="inlineStr">
        <is>
          <t>—</t>
        </is>
      </c>
      <c r="I82" s="21">
        <f>IFERROR(INDEX(Plan!$B$5:$B$64,MATCH(H82,Plan!$A$5:$A$64,0)),"—")</f>
        <v/>
      </c>
      <c r="J82" s="7" t="inlineStr"/>
    </row>
    <row r="83">
      <c r="A83" s="19" t="inlineStr">
        <is>
          <t>P-05</t>
        </is>
      </c>
      <c r="B83" s="4" t="inlineStr">
        <is>
          <t>Decisión</t>
        </is>
      </c>
      <c r="C83" s="4" t="inlineStr">
        <is>
          <t>General</t>
        </is>
      </c>
      <c r="D83" s="7" t="inlineStr">
        <is>
          <t>Escudo: public/logos/vector/green-alliance-logo.svg</t>
        </is>
      </c>
      <c r="E83" s="7" t="inlineStr">
        <is>
          <t>Yo</t>
        </is>
      </c>
      <c r="F83" s="8" t="inlineStr">
        <is>
          <t>Baja</t>
        </is>
      </c>
      <c r="G83" s="8" t="inlineStr">
        <is>
          <t>Hecho</t>
        </is>
      </c>
      <c r="H83" s="8" t="inlineStr">
        <is>
          <t>—</t>
        </is>
      </c>
      <c r="I83" s="21">
        <f>IFERROR(INDEX(Plan!$B$5:$B$64,MATCH(H83,Plan!$A$5:$A$64,0)),"—")</f>
        <v/>
      </c>
      <c r="J83" s="7" t="inlineStr"/>
    </row>
    <row r="84">
      <c r="A84" s="19" t="inlineStr">
        <is>
          <t>P-06</t>
        </is>
      </c>
      <c r="B84" s="4" t="inlineStr">
        <is>
          <t>Decisión</t>
        </is>
      </c>
      <c r="C84" s="4" t="inlineStr">
        <is>
          <t>/ingresar</t>
        </is>
      </c>
      <c r="D84" s="7" t="inlineStr">
        <is>
          <t>Formulario de ingreso entre 640 y 767 px (columna de 440 px)</t>
        </is>
      </c>
      <c r="E84" s="7" t="inlineStr">
        <is>
          <t>Yo</t>
        </is>
      </c>
      <c r="F84" s="8" t="inlineStr">
        <is>
          <t>Baja</t>
        </is>
      </c>
      <c r="G84" s="8" t="inlineStr">
        <is>
          <t>Hecho</t>
        </is>
      </c>
      <c r="H84" s="8" t="inlineStr">
        <is>
          <t>5.2</t>
        </is>
      </c>
      <c r="I84" s="21">
        <f>IFERROR(INDEX(Plan!$B$5:$B$64,MATCH(H84,Plan!$A$5:$A$64,0)),"—")</f>
        <v/>
      </c>
      <c r="J84" s="7" t="inlineStr"/>
    </row>
    <row r="85">
      <c r="A85" s="19" t="inlineStr">
        <is>
          <t>P-07</t>
        </is>
      </c>
      <c r="B85" s="4" t="inlineStr">
        <is>
          <t>Decisión</t>
        </is>
      </c>
      <c r="C85" s="4" t="inlineStr">
        <is>
          <t>/ingresar</t>
        </is>
      </c>
      <c r="D85" s="7" t="inlineStr">
        <is>
          <t>Panel verde en tableta (640–1023 px) centrado</t>
        </is>
      </c>
      <c r="E85" s="7" t="inlineStr">
        <is>
          <t>Yo</t>
        </is>
      </c>
      <c r="F85" s="8" t="inlineStr">
        <is>
          <t>Baja</t>
        </is>
      </c>
      <c r="G85" s="8" t="inlineStr">
        <is>
          <t>Hecho</t>
        </is>
      </c>
      <c r="H85" s="8" t="inlineStr">
        <is>
          <t>5.2</t>
        </is>
      </c>
      <c r="I85" s="21">
        <f>IFERROR(INDEX(Plan!$B$5:$B$64,MATCH(H85,Plan!$A$5:$A$64,0)),"—")</f>
        <v/>
      </c>
      <c r="J85" s="7" t="inlineStr"/>
    </row>
  </sheetData>
  <autoFilter ref="A4:J85"/>
  <conditionalFormatting sqref="G5:G85">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85">
    <cfRule type="expression" priority="5" dxfId="5">
      <formula>$F5="Alta"</formula>
    </cfRule>
    <cfRule type="expression" priority="6" dxfId="6">
      <formula>$F5="Media"</formula>
    </cfRule>
    <cfRule type="expression" priority="7" dxfId="7">
      <formula>$F5="Baja"</formula>
    </cfRule>
  </conditionalFormatting>
  <conditionalFormatting sqref="A5:F85">
    <cfRule type="expression" priority="8" dxfId="8">
      <formula>$G5="Hecho"</formula>
    </cfRule>
  </conditionalFormatting>
  <dataValidations count="2">
    <dataValidation sqref="G5:G85" showDropDown="0" showInputMessage="0" showErrorMessage="0" allowBlank="0" type="list">
      <formula1>"Hecho,En curso,Pendiente,Bloqueado"</formula1>
    </dataValidation>
    <dataValidation sqref="F5:F85"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2.1, 5.2</t>
        </is>
      </c>
      <c r="I9" s="18" t="inlineStr">
        <is>
          <t>A</t>
        </is>
      </c>
      <c r="J9" s="8" t="n">
        <v>4</v>
      </c>
      <c r="K9" s="8" t="n">
        <v>23</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3.7</t>
        </is>
      </c>
      <c r="I10" s="18" t="inlineStr">
        <is>
          <t>A</t>
        </is>
      </c>
      <c r="J10" s="8" t="n">
        <v>28</v>
      </c>
      <c r="K10" s="8" t="n">
        <v>36</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2.1</t>
        </is>
      </c>
      <c r="B11" s="7" t="inlineStr">
        <is>
          <t>2. Landing y autenticación</t>
        </is>
      </c>
      <c r="C11" s="7" t="inlineStr">
        <is>
          <t>Maquetar la landing (misión, visión, servicios)</t>
        </is>
      </c>
      <c r="D11" s="5" t="n">
        <v>3</v>
      </c>
      <c r="E11" s="8">
        <f>D11</f>
        <v/>
      </c>
      <c r="F11" s="4" t="inlineStr">
        <is>
          <t>1.4</t>
        </is>
      </c>
      <c r="G11" s="7" t="inlineStr">
        <is>
          <t>Sí</t>
        </is>
      </c>
      <c r="H11" s="7" t="inlineStr">
        <is>
          <t>1.5</t>
        </is>
      </c>
      <c r="I11" s="18" t="inlineStr">
        <is>
          <t>B</t>
        </is>
      </c>
      <c r="J11" s="8" t="n">
        <v>6</v>
      </c>
      <c r="K11" s="8" t="n">
        <v>23</v>
      </c>
      <c r="L11" s="8">
        <f>K11+E11</f>
        <v/>
      </c>
      <c r="M11" s="8">
        <f>K11-J11</f>
        <v/>
      </c>
      <c r="N11" s="8">
        <f>"S"&amp;(INT(K11/Resumen!$C$5)+1)&amp;"–S"&amp;MAX(INT(K11/Resumen!$C$5)+1,ROUNDUP(L11/Resumen!$C$5,0))</f>
        <v/>
      </c>
      <c r="O11" s="8" t="inlineStr">
        <is>
          <t>Hecho</t>
        </is>
      </c>
      <c r="P11" s="8" t="inlineStr">
        <is>
          <t>Propuesta</t>
        </is>
      </c>
      <c r="Q11" s="7" t="inlineStr">
        <is>
          <t>ga-diseno-a-codigo</t>
        </is>
      </c>
      <c r="R11" s="7" t="inlineStr"/>
    </row>
    <row r="12">
      <c r="A12" s="19" t="inlineStr">
        <is>
          <t>2.2</t>
        </is>
      </c>
      <c r="B12" s="7" t="inlineStr">
        <is>
          <t>2. Landing y autenticación</t>
        </is>
      </c>
      <c r="C12" s="7" t="inlineStr">
        <is>
          <t>Maquetar /ingresar y /ingresar/codigo</t>
        </is>
      </c>
      <c r="D12" s="5" t="n">
        <v>2</v>
      </c>
      <c r="E12" s="8">
        <f>D12</f>
        <v/>
      </c>
      <c r="F12" s="4" t="inlineStr">
        <is>
          <t>1.4</t>
        </is>
      </c>
      <c r="G12" s="7" t="inlineStr">
        <is>
          <t>Sí</t>
        </is>
      </c>
      <c r="H12" s="7" t="inlineStr">
        <is>
          <t>3.1</t>
        </is>
      </c>
      <c r="I12" s="18" t="inlineStr">
        <is>
          <t>A</t>
        </is>
      </c>
      <c r="J12" s="8" t="n">
        <v>6</v>
      </c>
      <c r="K12" s="8" t="n">
        <v>6</v>
      </c>
      <c r="L12" s="8">
        <f>K12+E12</f>
        <v/>
      </c>
      <c r="M12" s="8">
        <f>K12-J12</f>
        <v/>
      </c>
      <c r="N12" s="8">
        <f>"S"&amp;(INT(K12/Resumen!$C$5)+1)&amp;"–S"&amp;MAX(INT(K12/Resumen!$C$5)+1,ROUNDUP(L12/Resumen!$C$5,0))</f>
        <v/>
      </c>
      <c r="O12" s="8" t="inlineStr">
        <is>
          <t>Hecho</t>
        </is>
      </c>
      <c r="P12" s="8" t="inlineStr">
        <is>
          <t>Propuesta</t>
        </is>
      </c>
      <c r="Q12" s="7" t="inlineStr">
        <is>
          <t>ga-diseno-a-codigo</t>
        </is>
      </c>
      <c r="R12" s="7" t="inlineStr"/>
    </row>
    <row r="13">
      <c r="A13" s="19" t="inlineStr">
        <is>
          <t>2.3</t>
        </is>
      </c>
      <c r="B13" s="7" t="inlineStr">
        <is>
          <t>2. Landing y autenticación</t>
        </is>
      </c>
      <c r="C13" s="7" t="inlineStr">
        <is>
          <t>Maquetar /afiliacion y /afiliacion/enviada</t>
        </is>
      </c>
      <c r="D13" s="5" t="n">
        <v>2</v>
      </c>
      <c r="E13" s="8">
        <f>D13</f>
        <v/>
      </c>
      <c r="F13" s="4" t="inlineStr">
        <is>
          <t>1.4</t>
        </is>
      </c>
      <c r="G13" s="7" t="inlineStr">
        <is>
          <t>Sí</t>
        </is>
      </c>
      <c r="H13" s="7" t="inlineStr">
        <is>
          <t>2.5</t>
        </is>
      </c>
      <c r="I13" s="18" t="inlineStr">
        <is>
          <t>B</t>
        </is>
      </c>
      <c r="J13" s="8" t="n">
        <v>6</v>
      </c>
      <c r="K13" s="8" t="n">
        <v>8</v>
      </c>
      <c r="L13" s="8">
        <f>K13+E13</f>
        <v/>
      </c>
      <c r="M13" s="8">
        <f>K13-J13</f>
        <v/>
      </c>
      <c r="N13" s="8">
        <f>"S"&amp;(INT(K13/Resumen!$C$5)+1)&amp;"–S"&amp;MAX(INT(K13/Resumen!$C$5)+1,ROUNDUP(L13/Resumen!$C$5,0))</f>
        <v/>
      </c>
      <c r="O13" s="8" t="inlineStr">
        <is>
          <t>Hecho</t>
        </is>
      </c>
      <c r="P13" s="8" t="inlineStr">
        <is>
          <t>Agregado</t>
        </is>
      </c>
      <c r="Q13" s="7" t="inlineStr">
        <is>
          <t>ga-diseno-a-codigo</t>
        </is>
      </c>
      <c r="R13" s="7" t="inlineStr"/>
    </row>
    <row r="14">
      <c r="A14" s="19" t="inlineStr">
        <is>
          <t>2.4</t>
        </is>
      </c>
      <c r="B14" s="7" t="inlineStr">
        <is>
          <t>2. Landing y autenticación</t>
        </is>
      </c>
      <c r="C14" s="7" t="inlineStr">
        <is>
          <t>SMTP propio con Resend y plantilla del código OTP en Supabase</t>
        </is>
      </c>
      <c r="D14" s="5" t="n">
        <v>2</v>
      </c>
      <c r="E14" s="8">
        <f>D14</f>
        <v/>
      </c>
      <c r="F14" s="4" t="inlineStr">
        <is>
          <t>1.3</t>
        </is>
      </c>
      <c r="G14" s="7" t="inlineStr">
        <is>
          <t>Sí</t>
        </is>
      </c>
      <c r="H14" s="7" t="inlineStr">
        <is>
          <t>2.11, 5.6</t>
        </is>
      </c>
      <c r="I14" s="18" t="inlineStr">
        <is>
          <t>A</t>
        </is>
      </c>
      <c r="J14" s="8" t="n">
        <v>49</v>
      </c>
      <c r="K14" s="8" t="n">
        <v>49</v>
      </c>
      <c r="L14" s="8">
        <f>K14+E14</f>
        <v/>
      </c>
      <c r="M14" s="8">
        <f>K14-J14</f>
        <v/>
      </c>
      <c r="N14" s="8">
        <f>"S"&amp;(INT(K14/Resumen!$C$5)+1)&amp;"–S"&amp;MAX(INT(K14/Resumen!$C$5)+1,ROUNDUP(L14/Resumen!$C$5,0))</f>
        <v/>
      </c>
      <c r="O14" s="8" t="inlineStr">
        <is>
          <t>En curso</t>
        </is>
      </c>
      <c r="P14" s="8" t="inlineStr">
        <is>
          <t>Agregado</t>
        </is>
      </c>
      <c r="Q14" s="7" t="inlineStr">
        <is>
          <t>Yo (panel Supabase)</t>
        </is>
      </c>
      <c r="R14" s="7" t="inlineStr"/>
    </row>
    <row r="15">
      <c r="A15" s="19" t="inlineStr">
        <is>
          <t>2.5</t>
        </is>
      </c>
      <c r="B15" s="7" t="inlineStr">
        <is>
          <t>2. Landing y autenticación</t>
        </is>
      </c>
      <c r="C15" s="7" t="inlineStr">
        <is>
          <t>/ingresar: Server Action (correo por cédula, envío OTP, cookie firmada)</t>
        </is>
      </c>
      <c r="D15" s="5" t="n">
        <v>3</v>
      </c>
      <c r="E15" s="8">
        <f>D15</f>
        <v/>
      </c>
      <c r="F15" s="4" t="inlineStr">
        <is>
          <t>2.2</t>
        </is>
      </c>
      <c r="G15" s="7" t="inlineStr">
        <is>
          <t>Sí</t>
        </is>
      </c>
      <c r="H15" s="7" t="inlineStr">
        <is>
          <t>2.3, 3.4</t>
        </is>
      </c>
      <c r="I15" s="18" t="inlineStr">
        <is>
          <t>A</t>
        </is>
      </c>
      <c r="J15" s="8" t="n">
        <v>8</v>
      </c>
      <c r="K15" s="8" t="n">
        <v>8</v>
      </c>
      <c r="L15" s="8">
        <f>K15+E15</f>
        <v/>
      </c>
      <c r="M15" s="8">
        <f>K15-J15</f>
        <v/>
      </c>
      <c r="N15" s="8">
        <f>"S"&amp;(INT(K15/Resumen!$C$5)+1)&amp;"–S"&amp;MAX(INT(K15/Resumen!$C$5)+1,ROUNDUP(L15/Resumen!$C$5,0))</f>
        <v/>
      </c>
      <c r="O15" s="8" t="inlineStr">
        <is>
          <t>Hecho</t>
        </is>
      </c>
      <c r="P15" s="8" t="inlineStr">
        <is>
          <t>Propuesta</t>
        </is>
      </c>
      <c r="Q15" s="7" t="inlineStr">
        <is>
          <t>ga-funcionalidad-botones</t>
        </is>
      </c>
      <c r="R15" s="7" t="inlineStr"/>
    </row>
    <row r="16">
      <c r="A16" s="19" t="inlineStr">
        <is>
          <t>2.6</t>
        </is>
      </c>
      <c r="B16" s="7" t="inlineStr">
        <is>
          <t>2. Landing y autenticación</t>
        </is>
      </c>
      <c r="C16" s="7" t="inlineStr">
        <is>
          <t>/ingresar/codigo: verificar OTP, casillas, reenviar (45 s), cambiar cédula</t>
        </is>
      </c>
      <c r="D16" s="5" t="n">
        <v>3</v>
      </c>
      <c r="E16" s="8">
        <f>D16</f>
        <v/>
      </c>
      <c r="F16" s="4" t="inlineStr">
        <is>
          <t>2.5</t>
        </is>
      </c>
      <c r="G16" s="7" t="inlineStr">
        <is>
          <t>Sí</t>
        </is>
      </c>
      <c r="H16" s="7" t="inlineStr">
        <is>
          <t>3.4, 2.9</t>
        </is>
      </c>
      <c r="I16" s="18" t="inlineStr">
        <is>
          <t>A</t>
        </is>
      </c>
      <c r="J16" s="8" t="n">
        <v>11</v>
      </c>
      <c r="K16" s="8" t="n">
        <v>11</v>
      </c>
      <c r="L16" s="8">
        <f>K16+E16</f>
        <v/>
      </c>
      <c r="M16" s="8">
        <f>K16-J16</f>
        <v/>
      </c>
      <c r="N16" s="8">
        <f>"S"&amp;(INT(K16/Resumen!$C$5)+1)&amp;"–S"&amp;MAX(INT(K16/Resumen!$C$5)+1,ROUNDUP(L16/Resumen!$C$5,0))</f>
        <v/>
      </c>
      <c r="O16" s="8" t="inlineStr">
        <is>
          <t>Hecho</t>
        </is>
      </c>
      <c r="P16" s="8" t="inlineStr">
        <is>
          <t>Propuesta</t>
        </is>
      </c>
      <c r="Q16" s="7" t="inlineStr">
        <is>
          <t>ga-funcionalidad-botones</t>
        </is>
      </c>
      <c r="R16" s="7" t="inlineStr"/>
    </row>
    <row r="17">
      <c r="A17" s="19" t="inlineStr">
        <is>
          <t>2.7</t>
        </is>
      </c>
      <c r="B17" s="7" t="inlineStr">
        <is>
          <t>2. Landing y autenticación</t>
        </is>
      </c>
      <c r="C17" s="7" t="inlineStr">
        <is>
          <t>Proteger /cuenta en proxy.ts y botón «Salir»</t>
        </is>
      </c>
      <c r="D17" s="5" t="n">
        <v>2</v>
      </c>
      <c r="E17" s="8">
        <f>D17</f>
        <v/>
      </c>
      <c r="F17" s="4" t="inlineStr">
        <is>
          <t>2.6</t>
        </is>
      </c>
      <c r="G17" s="7" t="inlineStr">
        <is>
          <t>Sí</t>
        </is>
      </c>
      <c r="H17" s="7" t="inlineStr">
        <is>
          <t>2.9</t>
        </is>
      </c>
      <c r="I17" s="18" t="inlineStr">
        <is>
          <t>A</t>
        </is>
      </c>
      <c r="J17" s="8" t="n">
        <v>14</v>
      </c>
      <c r="K17" s="8" t="n">
        <v>14</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2.8</t>
        </is>
      </c>
      <c r="B18" s="7" t="inlineStr">
        <is>
          <t>2. Landing y autenticación</t>
        </is>
      </c>
      <c r="C18" s="7" t="inlineStr">
        <is>
          <t>Landing: botones llevan a /cuenta si hay sesión</t>
        </is>
      </c>
      <c r="D18" s="5" t="n">
        <v>1</v>
      </c>
      <c r="E18" s="8">
        <f>D18</f>
        <v/>
      </c>
      <c r="F18" s="4" t="inlineStr">
        <is>
          <t>2.7, 2.1</t>
        </is>
      </c>
      <c r="G18" s="7" t="inlineStr">
        <is>
          <t>Sí</t>
        </is>
      </c>
      <c r="H18" s="7" t="inlineStr">
        <is>
          <t>3.5</t>
        </is>
      </c>
      <c r="I18" s="18" t="inlineStr">
        <is>
          <t>A</t>
        </is>
      </c>
      <c r="J18" s="8" t="n">
        <v>26</v>
      </c>
      <c r="K18" s="8" t="n">
        <v>31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2.9</t>
        </is>
      </c>
      <c r="B19" s="7" t="inlineStr">
        <is>
          <t>2. Landing y autenticación</t>
        </is>
      </c>
      <c r="C19" s="7" t="inlineStr">
        <is>
          <t>/afiliacion: Server Action (zod, límites, honeypot, guardar)</t>
        </is>
      </c>
      <c r="D19" s="5" t="n">
        <v>4</v>
      </c>
      <c r="E19" s="8">
        <f>D19</f>
        <v/>
      </c>
      <c r="F19" s="4" t="inlineStr">
        <is>
          <t>2.3</t>
        </is>
      </c>
      <c r="G19" s="7" t="inlineStr">
        <is>
          <t>Sí</t>
        </is>
      </c>
      <c r="H19" s="7" t="inlineStr">
        <is>
          <t>2.6, 2.7, 4.1</t>
        </is>
      </c>
      <c r="I19" s="18" t="inlineStr">
        <is>
          <t>B</t>
        </is>
      </c>
      <c r="J19" s="8" t="n">
        <v>10</v>
      </c>
      <c r="K19" s="8" t="n">
        <v>13</v>
      </c>
      <c r="L19" s="8">
        <f>K19+E19</f>
        <v/>
      </c>
      <c r="M19" s="8">
        <f>K19-J19</f>
        <v/>
      </c>
      <c r="N19" s="8">
        <f>"S"&amp;(INT(K19/Resumen!$C$5)+1)&amp;"–S"&amp;MAX(INT(K19/Resumen!$C$5)+1,ROUNDUP(L19/Resumen!$C$5,0))</f>
        <v/>
      </c>
      <c r="O19" s="8" t="inlineStr">
        <is>
          <t>Hecho</t>
        </is>
      </c>
      <c r="P19" s="8" t="inlineStr">
        <is>
          <t>Agregado</t>
        </is>
      </c>
      <c r="Q19" s="7" t="inlineStr">
        <is>
          <t>ga-funcionalidad-botones</t>
        </is>
      </c>
      <c r="R19" s="7" t="inlineStr"/>
    </row>
    <row r="20">
      <c r="A20" s="19" t="inlineStr">
        <is>
          <t>2.10</t>
        </is>
      </c>
      <c r="B20" s="7" t="inlineStr">
        <is>
          <t>2. Landing y autenticación</t>
        </is>
      </c>
      <c r="C20" s="7" t="inlineStr">
        <is>
          <t>/afiliacion/enviada: mostrar el correo real o redirigir</t>
        </is>
      </c>
      <c r="D20" s="5" t="n">
        <v>1</v>
      </c>
      <c r="E20" s="8">
        <f>D20</f>
        <v/>
      </c>
      <c r="F20" s="4" t="inlineStr">
        <is>
          <t>2.9</t>
        </is>
      </c>
      <c r="G20" s="7" t="inlineStr">
        <is>
          <t>Sí</t>
        </is>
      </c>
      <c r="H20" s="7" t="inlineStr">
        <is>
          <t>4.1</t>
        </is>
      </c>
      <c r="I20" s="18" t="inlineStr">
        <is>
          <t>B</t>
        </is>
      </c>
      <c r="J20" s="8" t="n">
        <v>17</v>
      </c>
      <c r="K20" s="8" t="n">
        <v>17</v>
      </c>
      <c r="L20" s="8">
        <f>K20+E20</f>
        <v/>
      </c>
      <c r="M20" s="8">
        <f>K20-J20</f>
        <v/>
      </c>
      <c r="N20" s="8">
        <f>"S"&amp;(INT(K20/Resumen!$C$5)+1)&amp;"–S"&amp;MAX(INT(K20/Resumen!$C$5)+1,ROUNDUP(L20/Resumen!$C$5,0))</f>
        <v/>
      </c>
      <c r="O20" s="8" t="inlineStr">
        <is>
          <t>Hecho</t>
        </is>
      </c>
      <c r="P20" s="8" t="inlineStr">
        <is>
          <t>Agregado</t>
        </is>
      </c>
      <c r="Q20" s="7" t="inlineStr">
        <is>
          <t>ga-funcionalidad-botones</t>
        </is>
      </c>
      <c r="R20" s="7" t="inlineStr"/>
    </row>
    <row r="21">
      <c r="A21" s="19" t="inlineStr">
        <is>
          <t>2.11</t>
        </is>
      </c>
      <c r="B21" s="7" t="inlineStr">
        <is>
          <t>2. Landing y autenticación</t>
        </is>
      </c>
      <c r="C21" s="7" t="inlineStr">
        <is>
          <t>Corregir F-01: el select «Grado» de /afiliacion se vacía tras un error de validación</t>
        </is>
      </c>
      <c r="D21" s="5" t="n">
        <v>1</v>
      </c>
      <c r="E21" s="8">
        <f>D21</f>
        <v/>
      </c>
      <c r="F21" s="4" t="inlineStr">
        <is>
          <t>2.9</t>
        </is>
      </c>
      <c r="G21" s="7" t="inlineStr">
        <is>
          <t>Sí</t>
        </is>
      </c>
      <c r="H21" s="7" t="inlineStr">
        <is>
          <t>2.4</t>
        </is>
      </c>
      <c r="I21" s="18" t="inlineStr">
        <is>
          <t>B</t>
        </is>
      </c>
      <c r="J21" s="8" t="n">
        <v>49</v>
      </c>
      <c r="K21" s="8" t="n">
        <v>49</v>
      </c>
      <c r="L21" s="8">
        <f>K21+E21</f>
        <v/>
      </c>
      <c r="M21" s="8">
        <f>K21-J21</f>
        <v/>
      </c>
      <c r="N21" s="8">
        <f>"S"&amp;(INT(K21/Resumen!$C$5)+1)&amp;"–S"&amp;MAX(INT(K21/Resumen!$C$5)+1,ROUNDUP(L21/Resumen!$C$5,0))</f>
        <v/>
      </c>
      <c r="O21" s="8" t="inlineStr">
        <is>
          <t>Pendiente</t>
        </is>
      </c>
      <c r="P21" s="8" t="inlineStr">
        <is>
          <t>Agregado</t>
        </is>
      </c>
      <c r="Q21" s="7" t="inlineStr">
        <is>
          <t>ga-funcionalidad-botones</t>
        </is>
      </c>
      <c r="R21" s="7" t="inlineStr"/>
    </row>
    <row r="22">
      <c r="A22" s="19" t="inlineStr">
        <is>
          <t>2.12</t>
        </is>
      </c>
      <c r="B22" s="7" t="inlineStr">
        <is>
          <t>2. Landing y autenticación</t>
        </is>
      </c>
      <c r="C22" s="7" t="inlineStr">
        <is>
          <t>Afiliación v2: nombres/apellidos, institución con correo institucional, Nequi, asesor y 3 fotos (cédula + selfie) con subida al bucket privado</t>
        </is>
      </c>
      <c r="D22" s="5" t="n">
        <v>4</v>
      </c>
      <c r="E22" s="8">
        <f>D22</f>
        <v/>
      </c>
      <c r="F22" s="4" t="inlineStr">
        <is>
          <t>2.9, 1.5</t>
        </is>
      </c>
      <c r="G22" s="7" t="inlineStr">
        <is>
          <t>Sí</t>
        </is>
      </c>
      <c r="H22" s="7" t="inlineStr">
        <is>
          <t>3.9</t>
        </is>
      </c>
      <c r="I22" s="18" t="inlineStr">
        <is>
          <t>B</t>
        </is>
      </c>
      <c r="J22" s="8" t="n">
        <v>28</v>
      </c>
      <c r="K22" s="8" t="n">
        <v>32</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2.13</t>
        </is>
      </c>
      <c r="B23" s="7" t="inlineStr">
        <is>
          <t>2. Landing y autenticación</t>
        </is>
      </c>
      <c r="C23" s="7" t="inlineStr">
        <is>
          <t>Bug: esquemaAfiliacion no valida el cruce institución↔correo institucional si falla cualquier otro campo del formulario</t>
        </is>
      </c>
      <c r="D23" s="5" t="n">
        <v>1</v>
      </c>
      <c r="E23" s="8">
        <f>D23</f>
        <v/>
      </c>
      <c r="F23" s="4" t="inlineStr">
        <is>
          <t>2.12</t>
        </is>
      </c>
      <c r="G23" s="7" t="inlineStr">
        <is>
          <t>Sí</t>
        </is>
      </c>
      <c r="H23" s="7" t="inlineStr">
        <is>
          <t>3.2</t>
        </is>
      </c>
      <c r="I23" s="18" t="inlineStr">
        <is>
          <t>A</t>
        </is>
      </c>
      <c r="J23" s="8" t="n">
        <v>36</v>
      </c>
      <c r="K23" s="8" t="n">
        <v>47</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3.1</t>
        </is>
      </c>
      <c r="B24" s="7" t="inlineStr">
        <is>
          <t>3. Flujo de solicitud de crédito</t>
        </is>
      </c>
      <c r="C24" s="7" t="inlineStr">
        <is>
          <t>Reglas del crédito en la base (tasa mensual, mínimo 100.000, orden de llegada)</t>
        </is>
      </c>
      <c r="D24" s="5" t="n">
        <v>4</v>
      </c>
      <c r="E24" s="8">
        <f>D24</f>
        <v/>
      </c>
      <c r="F24" s="4" t="inlineStr">
        <is>
          <t>1.2</t>
        </is>
      </c>
      <c r="G24" s="7" t="inlineStr">
        <is>
          <t>Sí</t>
        </is>
      </c>
      <c r="H24" s="7" t="inlineStr">
        <is>
          <t>1.4, 2.2</t>
        </is>
      </c>
      <c r="I24" s="18" t="inlineStr">
        <is>
          <t>B</t>
        </is>
      </c>
      <c r="J24" s="8" t="n">
        <v>4</v>
      </c>
      <c r="K24" s="8" t="n">
        <v>4</v>
      </c>
      <c r="L24" s="8">
        <f>K24+E24</f>
        <v/>
      </c>
      <c r="M24" s="8">
        <f>K24-J24</f>
        <v/>
      </c>
      <c r="N24" s="8">
        <f>"S"&amp;(INT(K24/Resumen!$C$5)+1)&amp;"–S"&amp;MAX(INT(K24/Resumen!$C$5)+1,ROUNDUP(L24/Resumen!$C$5,0))</f>
        <v/>
      </c>
      <c r="O24" s="8" t="inlineStr">
        <is>
          <t>Hecho</t>
        </is>
      </c>
      <c r="P24" s="8" t="inlineStr">
        <is>
          <t>Propuesta</t>
        </is>
      </c>
      <c r="Q24" s="7" t="inlineStr">
        <is>
          <t>ga-auditor-supabase</t>
        </is>
      </c>
      <c r="R24" s="7" t="inlineStr"/>
    </row>
    <row r="25">
      <c r="A25" s="19" t="inlineStr">
        <is>
          <t>3.2</t>
        </is>
      </c>
      <c r="B25" s="7" t="inlineStr">
        <is>
          <t>3. Flujo de solicitud de crédito</t>
        </is>
      </c>
      <c r="C25" s="7" t="inlineStr">
        <is>
          <t>Pruebas de la base (131 pgTAP) y unitarias (47 Vitest)</t>
        </is>
      </c>
      <c r="D25" s="5" t="n">
        <v>3</v>
      </c>
      <c r="E25" s="8">
        <f>D25</f>
        <v/>
      </c>
      <c r="F25" s="4" t="inlineStr">
        <is>
          <t>3.1</t>
        </is>
      </c>
      <c r="G25" s="7" t="inlineStr">
        <is>
          <t>Sí</t>
        </is>
      </c>
      <c r="H25" s="7" t="inlineStr">
        <is>
          <t>5.8, 2.13</t>
        </is>
      </c>
      <c r="I25" s="18" t="inlineStr">
        <is>
          <t>B</t>
        </is>
      </c>
      <c r="J25" s="8" t="n">
        <v>8</v>
      </c>
      <c r="K25" s="8" t="n">
        <v>46</v>
      </c>
      <c r="L25" s="8">
        <f>K25+E25</f>
        <v/>
      </c>
      <c r="M25" s="8">
        <f>K25-J25</f>
        <v/>
      </c>
      <c r="N25" s="8">
        <f>"S"&amp;(INT(K25/Resumen!$C$5)+1)&amp;"–S"&amp;MAX(INT(K25/Resumen!$C$5)+1,ROUNDUP(L25/Resumen!$C$5,0))</f>
        <v/>
      </c>
      <c r="O25" s="8" t="inlineStr">
        <is>
          <t>Hecho</t>
        </is>
      </c>
      <c r="P25" s="8" t="inlineStr">
        <is>
          <t>Propuesta</t>
        </is>
      </c>
      <c r="Q25" s="7" t="inlineStr">
        <is>
          <t>ga-escritor-tests</t>
        </is>
      </c>
      <c r="R25" s="7" t="inlineStr"/>
    </row>
    <row r="26">
      <c r="A26" s="19" t="inlineStr">
        <is>
          <t>3.3</t>
        </is>
      </c>
      <c r="B26" s="7" t="inlineStr">
        <is>
          <t>3. Flujo de solicitud de crédito</t>
        </is>
      </c>
      <c r="C26" s="7" t="inlineStr">
        <is>
          <t>Formulario de solicitud de crédito (50/100 %, tope, tasa)</t>
        </is>
      </c>
      <c r="D26" s="5" t="n">
        <v>3</v>
      </c>
      <c r="E26" s="8">
        <f>D26</f>
        <v/>
      </c>
      <c r="F26" s="4" t="inlineStr">
        <is>
          <t>3.1</t>
        </is>
      </c>
      <c r="G26" s="7" t="inlineStr">
        <is>
          <t>Sí</t>
        </is>
      </c>
      <c r="H26" s="7" t="inlineStr">
        <is>
          <t>5.2, 3.5</t>
        </is>
      </c>
      <c r="I26" s="18" t="inlineStr">
        <is>
          <t>A</t>
        </is>
      </c>
      <c r="J26" s="8" t="n">
        <v>8</v>
      </c>
      <c r="K26" s="8" t="n">
        <v>28</v>
      </c>
      <c r="L26" s="8">
        <f>K26+E26</f>
        <v/>
      </c>
      <c r="M26" s="8">
        <f>K26-J26</f>
        <v/>
      </c>
      <c r="N26" s="8">
        <f>"S"&amp;(INT(K26/Resumen!$C$5)+1)&amp;"–S"&amp;MAX(INT(K26/Resumen!$C$5)+1,ROUNDUP(L26/Resumen!$C$5,0))</f>
        <v/>
      </c>
      <c r="O26" s="8" t="inlineStr">
        <is>
          <t>Hecho</t>
        </is>
      </c>
      <c r="P26" s="8" t="inlineStr">
        <is>
          <t>Propuesta</t>
        </is>
      </c>
      <c r="Q26" s="7" t="inlineStr">
        <is>
          <t>ga-funcionalidad-botones</t>
        </is>
      </c>
      <c r="R26" s="7" t="inlineStr"/>
    </row>
    <row r="27">
      <c r="A27" s="19" t="inlineStr">
        <is>
          <t>3.4</t>
        </is>
      </c>
      <c r="B27" s="7" t="inlineStr">
        <is>
          <t>3. Flujo de solicitud de crédito</t>
        </is>
      </c>
      <c r="C27" s="7" t="inlineStr">
        <is>
          <t>Maquetar /cuenta (tu solicitud, estado vacío, Mis datos)</t>
        </is>
      </c>
      <c r="D27" s="5" t="n">
        <v>3</v>
      </c>
      <c r="E27" s="8">
        <f>D27</f>
        <v/>
      </c>
      <c r="F27" s="4" t="inlineStr">
        <is>
          <t>1.4</t>
        </is>
      </c>
      <c r="G27" s="7" t="inlineStr">
        <is>
          <t>Sí</t>
        </is>
      </c>
      <c r="H27" s="7" t="inlineStr">
        <is>
          <t>2.5, 2.6</t>
        </is>
      </c>
      <c r="I27" s="18" t="inlineStr">
        <is>
          <t>B</t>
        </is>
      </c>
      <c r="J27" s="8" t="n">
        <v>6</v>
      </c>
      <c r="K27" s="8" t="n">
        <v>10</v>
      </c>
      <c r="L27" s="8">
        <f>K27+E27</f>
        <v/>
      </c>
      <c r="M27" s="8">
        <f>K27-J27</f>
        <v/>
      </c>
      <c r="N27" s="8">
        <f>"S"&amp;(INT(K27/Resumen!$C$5)+1)&amp;"–S"&amp;MAX(INT(K27/Resumen!$C$5)+1,ROUNDUP(L27/Resumen!$C$5,0))</f>
        <v/>
      </c>
      <c r="O27" s="8" t="inlineStr">
        <is>
          <t>Hecho</t>
        </is>
      </c>
      <c r="P27" s="8" t="inlineStr">
        <is>
          <t>Propuesta</t>
        </is>
      </c>
      <c r="Q27" s="7" t="inlineStr">
        <is>
          <t>ga-diseno-a-codigo</t>
        </is>
      </c>
      <c r="R27" s="7" t="inlineStr"/>
    </row>
    <row r="28">
      <c r="A28" s="19" t="inlineStr">
        <is>
          <t>3.5</t>
        </is>
      </c>
      <c r="B28" s="7" t="inlineStr">
        <is>
          <t>3. Flujo de solicitud de crédito</t>
        </is>
      </c>
      <c r="C28" s="7" t="inlineStr">
        <is>
          <t>/cuenta con datos reales (perfil, solicitud, tope, convenios)</t>
        </is>
      </c>
      <c r="D28" s="5" t="n">
        <v>3</v>
      </c>
      <c r="E28" s="8">
        <f>D28</f>
        <v/>
      </c>
      <c r="F28" s="4" t="inlineStr">
        <is>
          <t>2.7, 3.4</t>
        </is>
      </c>
      <c r="G28" s="7" t="inlineStr">
        <is>
          <t>Sí</t>
        </is>
      </c>
      <c r="H28" s="7" t="inlineStr">
        <is>
          <t>3.3, 2.8</t>
        </is>
      </c>
      <c r="I28" s="18" t="inlineStr">
        <is>
          <t>B</t>
        </is>
      </c>
      <c r="J28" s="8" t="n">
        <v>16</v>
      </c>
      <c r="K28" s="8" t="n">
        <v>29</v>
      </c>
      <c r="L28" s="8">
        <f>K28+E28</f>
        <v/>
      </c>
      <c r="M28" s="8">
        <f>K28-J28</f>
        <v/>
      </c>
      <c r="N28" s="8">
        <f>"S"&amp;(INT(K28/Resumen!$C$5)+1)&amp;"–S"&amp;MAX(INT(K28/Resumen!$C$5)+1,ROUNDUP(L28/Resumen!$C$5,0))</f>
        <v/>
      </c>
      <c r="O28" s="8" t="inlineStr">
        <is>
          <t>Hecho</t>
        </is>
      </c>
      <c r="P28" s="8" t="inlineStr">
        <is>
          <t>Propuesta</t>
        </is>
      </c>
      <c r="Q28" s="7" t="inlineStr">
        <is>
          <t>ga-funcionalidad-botones</t>
        </is>
      </c>
      <c r="R28" s="7" t="inlineStr"/>
    </row>
    <row r="29">
      <c r="A29" s="19" t="inlineStr">
        <is>
          <t>3.6</t>
        </is>
      </c>
      <c r="B29" s="7" t="inlineStr">
        <is>
          <t>3. Flujo de solicitud de crédito</t>
        </is>
      </c>
      <c r="C29" s="7" t="inlineStr">
        <is>
          <t>Mis datos: guardar el celular (Server Action)</t>
        </is>
      </c>
      <c r="D29" s="5" t="n">
        <v>2</v>
      </c>
      <c r="E29" s="8">
        <f>D29</f>
        <v/>
      </c>
      <c r="F29" s="4" t="inlineStr">
        <is>
          <t>3.5</t>
        </is>
      </c>
      <c r="G29" s="7" t="inlineStr">
        <is>
          <t>Sí</t>
        </is>
      </c>
      <c r="H29" s="7" t="inlineStr">
        <is>
          <t>4.6</t>
        </is>
      </c>
      <c r="I29" s="18" t="inlineStr">
        <is>
          <t>A</t>
        </is>
      </c>
      <c r="J29" s="8" t="n">
        <v>32</v>
      </c>
      <c r="K29" s="8" t="n">
        <v>39</v>
      </c>
      <c r="L29" s="8">
        <f>K29+E29</f>
        <v/>
      </c>
      <c r="M29" s="8">
        <f>K29-J29</f>
        <v/>
      </c>
      <c r="N29" s="8">
        <f>"S"&amp;(INT(K29/Resumen!$C$5)+1)&amp;"–S"&amp;MAX(INT(K29/Resumen!$C$5)+1,ROUNDUP(L29/Resumen!$C$5,0))</f>
        <v/>
      </c>
      <c r="O29" s="8" t="inlineStr">
        <is>
          <t>Hecho</t>
        </is>
      </c>
      <c r="P29" s="8" t="inlineStr">
        <is>
          <t>Agregado</t>
        </is>
      </c>
      <c r="Q29" s="7" t="inlineStr">
        <is>
          <t>ga-funcionalidad-botones</t>
        </is>
      </c>
      <c r="R29" s="7" t="inlineStr"/>
    </row>
    <row r="30">
      <c r="A30" s="19" t="inlineStr">
        <is>
          <t>3.7</t>
        </is>
      </c>
      <c r="B30" s="7" t="inlineStr">
        <is>
          <t>3. Flujo de solicitud de crédito</t>
        </is>
      </c>
      <c r="C30" s="7" t="inlineStr">
        <is>
          <t>Conectar el formulario de crédito a /cuenta («Nueva solicitud»)</t>
        </is>
      </c>
      <c r="D30" s="5" t="n">
        <v>3</v>
      </c>
      <c r="E30" s="8">
        <f>D30</f>
        <v/>
      </c>
      <c r="F30" s="4" t="inlineStr">
        <is>
          <t>3.5, 3.3</t>
        </is>
      </c>
      <c r="G30" s="7" t="inlineStr">
        <is>
          <t>Sí</t>
        </is>
      </c>
      <c r="H30" s="7" t="inlineStr">
        <is>
          <t>1.6</t>
        </is>
      </c>
      <c r="I30" s="18" t="inlineStr">
        <is>
          <t>B</t>
        </is>
      </c>
      <c r="J30" s="8" t="n">
        <v>32</v>
      </c>
      <c r="K30" s="8" t="n">
        <v>36</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3.9</t>
        </is>
      </c>
      <c r="B31" s="7" t="inlineStr">
        <is>
          <t>3. Flujo de solicitud de crédito</t>
        </is>
      </c>
      <c r="C31" s="7" t="inlineStr">
        <is>
          <t>Sorteo mensual en /cuenta (participar, confirmar boleta, correo por Resend, animación)</t>
        </is>
      </c>
      <c r="D31" s="5" t="n">
        <v>4</v>
      </c>
      <c r="E31" s="8">
        <f>D31</f>
        <v/>
      </c>
      <c r="F31" s="4" t="inlineStr">
        <is>
          <t>3.5, 1.5</t>
        </is>
      </c>
      <c r="G31" s="7" t="inlineStr">
        <is>
          <t>Sí</t>
        </is>
      </c>
      <c r="H31" s="7" t="inlineStr">
        <is>
          <t>2.12</t>
        </is>
      </c>
      <c r="I31" s="18" t="inlineStr">
        <is>
          <t>A</t>
        </is>
      </c>
      <c r="J31" s="8" t="n">
        <v>32</v>
      </c>
      <c r="K31" s="8" t="n">
        <v>32</v>
      </c>
      <c r="L31" s="8">
        <f>K31+E31</f>
        <v/>
      </c>
      <c r="M31" s="8">
        <f>K31-J31</f>
        <v/>
      </c>
      <c r="N31" s="8">
        <f>"S"&amp;(INT(K31/Resumen!$C$5)+1)&amp;"–S"&amp;MAX(INT(K31/Resumen!$C$5)+1,ROUNDUP(L31/Resumen!$C$5,0))</f>
        <v/>
      </c>
      <c r="O31" s="8" t="inlineStr">
        <is>
          <t>Hecho</t>
        </is>
      </c>
      <c r="P31" s="8" t="inlineStr">
        <is>
          <t>Agregado</t>
        </is>
      </c>
      <c r="Q31" s="7" t="inlineStr">
        <is>
          <t>ga-funcionalidad-botones</t>
        </is>
      </c>
      <c r="R31" s="7" t="inlineStr"/>
    </row>
    <row r="32">
      <c r="A32" s="19" t="inlineStr">
        <is>
          <t>4.1</t>
        </is>
      </c>
      <c r="B32" s="7" t="inlineStr">
        <is>
          <t>4. Panel de administración</t>
        </is>
      </c>
      <c r="C32" s="7" t="inlineStr">
        <is>
          <t>Panel /admin: afiliaciones, créditos, asesores y sorteo</t>
        </is>
      </c>
      <c r="D32" s="5" t="n">
        <v>4</v>
      </c>
      <c r="E32" s="8">
        <f>D32</f>
        <v/>
      </c>
      <c r="F32" s="4" t="inlineStr">
        <is>
          <t>2.7, 3.1</t>
        </is>
      </c>
      <c r="G32" s="7" t="inlineStr">
        <is>
          <t>Sí</t>
        </is>
      </c>
      <c r="H32" s="7" t="inlineStr">
        <is>
          <t>2.9, 2.10, 6.11, 6.10</t>
        </is>
      </c>
      <c r="I32" s="18" t="inlineStr">
        <is>
          <t>A</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ga-diseno-a-codigo + ga-funcionalidad-botones</t>
        </is>
      </c>
      <c r="R32" s="7" t="inlineStr"/>
    </row>
    <row r="33">
      <c r="A33" s="19" t="inlineStr">
        <is>
          <t>4.2</t>
        </is>
      </c>
      <c r="B33" s="7" t="inlineStr">
        <is>
          <t>4. Panel de administración</t>
        </is>
      </c>
      <c r="C33" s="7" t="inlineStr">
        <is>
          <t>Aprobar y rechazar (motivo obligatorio, nadie resuelve la suya)</t>
        </is>
      </c>
      <c r="D33" s="5" t="n">
        <v>3</v>
      </c>
      <c r="E33" s="8">
        <f>D33</f>
        <v/>
      </c>
      <c r="F33" s="4" t="inlineStr">
        <is>
          <t>4.1</t>
        </is>
      </c>
      <c r="G33" s="7" t="inlineStr">
        <is>
          <t>Sí</t>
        </is>
      </c>
      <c r="H33" s="7" t="inlineStr">
        <is>
          <t>4.5</t>
        </is>
      </c>
      <c r="I33" s="18" t="inlineStr">
        <is>
          <t>B</t>
        </is>
      </c>
      <c r="J33" s="8" t="n">
        <v>20</v>
      </c>
      <c r="K33" s="8" t="n">
        <v>20</v>
      </c>
      <c r="L33" s="8">
        <f>K33+E33</f>
        <v/>
      </c>
      <c r="M33" s="8">
        <f>K33-J33</f>
        <v/>
      </c>
      <c r="N33" s="8">
        <f>"S"&amp;(INT(K33/Resumen!$C$5)+1)&amp;"–S"&amp;MAX(INT(K33/Resumen!$C$5)+1,ROUNDUP(L33/Resumen!$C$5,0))</f>
        <v/>
      </c>
      <c r="O33" s="8" t="inlineStr">
        <is>
          <t>Hecho</t>
        </is>
      </c>
      <c r="P33" s="8" t="inlineStr">
        <is>
          <t>Propuesta</t>
        </is>
      </c>
      <c r="Q33" s="7" t="inlineStr">
        <is>
          <t>ga-funcionalidad-botones</t>
        </is>
      </c>
      <c r="R33" s="7" t="inlineStr"/>
    </row>
    <row r="34">
      <c r="A34" s="19" t="inlineStr">
        <is>
          <t>4.3</t>
        </is>
      </c>
      <c r="B34" s="7" t="inlineStr">
        <is>
          <t>4. Panel de administración</t>
        </is>
      </c>
      <c r="C34" s="7" t="inlineStr">
        <is>
          <t>Correo al asociado al resolver y estado actualizado en su pantalla</t>
        </is>
      </c>
      <c r="D34" s="5" t="n">
        <v>2</v>
      </c>
      <c r="E34" s="8">
        <f>D34</f>
        <v/>
      </c>
      <c r="F34" s="4" t="inlineStr">
        <is>
          <t>4.2, 2.4</t>
        </is>
      </c>
      <c r="G34" s="7" t="inlineStr">
        <is>
          <t>Sí</t>
        </is>
      </c>
      <c r="H34" s="7" t="inlineStr">
        <is>
          <t>6.13, 6.4</t>
        </is>
      </c>
      <c r="I34" s="18" t="inlineStr">
        <is>
          <t>A</t>
        </is>
      </c>
      <c r="J34" s="8" t="n">
        <v>51</v>
      </c>
      <c r="K34" s="8" t="n">
        <v>51</v>
      </c>
      <c r="L34" s="8">
        <f>K34+E34</f>
        <v/>
      </c>
      <c r="M34" s="8">
        <f>K34-J34</f>
        <v/>
      </c>
      <c r="N34" s="8">
        <f>"S"&amp;(INT(K34/Resumen!$C$5)+1)&amp;"–S"&amp;MAX(INT(K34/Resumen!$C$5)+1,ROUNDUP(L34/Resumen!$C$5,0))</f>
        <v/>
      </c>
      <c r="O34" s="8" t="inlineStr">
        <is>
          <t>En curso</t>
        </is>
      </c>
      <c r="P34" s="8" t="inlineStr">
        <is>
          <t>Propuesta</t>
        </is>
      </c>
      <c r="Q34" s="7" t="inlineStr">
        <is>
          <t>ga-funcionalidad-botones</t>
        </is>
      </c>
      <c r="R34" s="7" t="inlineStr"/>
    </row>
    <row r="35">
      <c r="A35" s="19" t="inlineStr">
        <is>
          <t>4.4</t>
        </is>
      </c>
      <c r="B35" s="7" t="inlineStr">
        <is>
          <t>4. Panel de administración</t>
        </is>
      </c>
      <c r="C35" s="7" t="inlineStr">
        <is>
          <t>Importar asociados desde Excel (con correos reales)</t>
        </is>
      </c>
      <c r="D35" s="5" t="n">
        <v>4</v>
      </c>
      <c r="E35" s="8">
        <f>D35</f>
        <v/>
      </c>
      <c r="F35" s="4" t="inlineStr">
        <is>
          <t>1.2</t>
        </is>
      </c>
      <c r="G35" s="7" t="inlineStr">
        <is>
          <t>Sí</t>
        </is>
      </c>
      <c r="H35" s="7" t="inlineStr">
        <is>
          <t>5.1, 5.7</t>
        </is>
      </c>
      <c r="I35" s="18" t="inlineStr">
        <is>
          <t>A</t>
        </is>
      </c>
      <c r="J35" s="8" t="n">
        <v>4</v>
      </c>
      <c r="K35" s="8" t="n">
        <v>42</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is>
          <t>Cancelada: decisión de la cooperativa 2026-09-24, no habrá importación de Excel de asociados.</t>
        </is>
      </c>
    </row>
    <row r="36">
      <c r="A36" s="19" t="inlineStr">
        <is>
          <t>4.5</t>
        </is>
      </c>
      <c r="B36" s="7" t="inlineStr">
        <is>
          <t>4. Panel de administración</t>
        </is>
      </c>
      <c r="C36" s="7" t="inlineStr">
        <is>
          <t>Aprobar afiliaciones en /admin: crear el usuario y enviar el correo «Ingreso aceptado» (Resend, ga-ingreso-aceptado)</t>
        </is>
      </c>
      <c r="D36" s="5" t="n">
        <v>3</v>
      </c>
      <c r="E36" s="8">
        <f>D36</f>
        <v/>
      </c>
      <c r="F36" s="4" t="inlineStr">
        <is>
          <t>4.1, 2.9</t>
        </is>
      </c>
      <c r="G36" s="7" t="inlineStr">
        <is>
          <t>Sí</t>
        </is>
      </c>
      <c r="H36" s="7" t="inlineStr">
        <is>
          <t>4.2</t>
        </is>
      </c>
      <c r="I36" s="18" t="inlineStr">
        <is>
          <t>A</t>
        </is>
      </c>
      <c r="J36" s="8" t="n">
        <v>20</v>
      </c>
      <c r="K36" s="8" t="n">
        <v>20</v>
      </c>
      <c r="L36" s="8">
        <f>K36+E36</f>
        <v/>
      </c>
      <c r="M36" s="8">
        <f>K36-J36</f>
        <v/>
      </c>
      <c r="N36" s="8">
        <f>"S"&amp;(INT(K36/Resumen!$C$5)+1)&amp;"–S"&amp;MAX(INT(K36/Resumen!$C$5)+1,ROUNDUP(L36/Resumen!$C$5,0))</f>
        <v/>
      </c>
      <c r="O36" s="8" t="inlineStr">
        <is>
          <t>Hecho</t>
        </is>
      </c>
      <c r="P36" s="8" t="inlineStr">
        <is>
          <t>Agregado</t>
        </is>
      </c>
      <c r="Q36" s="7" t="inlineStr">
        <is>
          <t>ga-funcionalidad-botones</t>
        </is>
      </c>
      <c r="R36" s="7" t="inlineStr"/>
    </row>
    <row r="37">
      <c r="A37" s="19" t="inlineStr">
        <is>
          <t>4.6</t>
        </is>
      </c>
      <c r="B37" s="7" t="inlineStr">
        <is>
          <t>4. Panel de administración</t>
        </is>
      </c>
      <c r="C37" s="7" t="inlineStr">
        <is>
          <t>Rol asesor: pantalla /asesor (mis clientes) y /asesor/demo (cuenta de demostración)</t>
        </is>
      </c>
      <c r="D37" s="5" t="n">
        <v>3</v>
      </c>
      <c r="E37" s="8">
        <f>D37</f>
        <v/>
      </c>
      <c r="F37" s="4" t="inlineStr">
        <is>
          <t>1.5</t>
        </is>
      </c>
      <c r="G37" s="7" t="inlineStr">
        <is>
          <t>Sí</t>
        </is>
      </c>
      <c r="H37" s="7" t="inlineStr">
        <is>
          <t>3.6, 5.5</t>
        </is>
      </c>
      <c r="I37" s="18" t="inlineStr">
        <is>
          <t>B</t>
        </is>
      </c>
      <c r="J37" s="8" t="n">
        <v>28</v>
      </c>
      <c r="K37" s="8" t="n">
        <v>39</v>
      </c>
      <c r="L37" s="8">
        <f>K37+E37</f>
        <v/>
      </c>
      <c r="M37" s="8">
        <f>K37-J37</f>
        <v/>
      </c>
      <c r="N37" s="8">
        <f>"S"&amp;(INT(K37/Resumen!$C$5)+1)&amp;"–S"&amp;MAX(INT(K37/Resumen!$C$5)+1,ROUNDUP(L37/Resumen!$C$5,0))</f>
        <v/>
      </c>
      <c r="O37" s="8" t="inlineStr">
        <is>
          <t>Hecho</t>
        </is>
      </c>
      <c r="P37" s="8" t="inlineStr">
        <is>
          <t>Agregado</t>
        </is>
      </c>
      <c r="Q37" s="7" t="inlineStr">
        <is>
          <t>ga-funcionalidad-botones</t>
        </is>
      </c>
      <c r="R37" s="7" t="inlineStr"/>
    </row>
    <row r="38">
      <c r="A38" s="19" t="inlineStr">
        <is>
          <t>4.7</t>
        </is>
      </c>
      <c r="B38" s="7" t="inlineStr">
        <is>
          <t>4. Panel de administración</t>
        </is>
      </c>
      <c r="C38" s="7" t="inlineStr">
        <is>
          <t>Dashboard de clientes en /admin: métricas (asociados por grado/institución, afiliaciones y créditos pendientes, montos del mes, inscritos al sorteo), lista con buscador/filtros, detalle de cliente y reasignar asesor</t>
        </is>
      </c>
      <c r="D38" s="5" t="n">
        <v>4</v>
      </c>
      <c r="E38" s="8">
        <f>D38</f>
        <v/>
      </c>
      <c r="F38" s="4" t="inlineStr">
        <is>
          <t>4.1, 4.6</t>
        </is>
      </c>
      <c r="G38" s="7" t="inlineStr">
        <is>
          <t>Sí</t>
        </is>
      </c>
      <c r="H38" s="7" t="inlineStr">
        <is>
          <t>6.7, 6.6</t>
        </is>
      </c>
      <c r="I38" s="18" t="inlineStr">
        <is>
          <t>B</t>
        </is>
      </c>
      <c r="J38" s="8" t="n">
        <v>49</v>
      </c>
      <c r="K38" s="8" t="n">
        <v>67</v>
      </c>
      <c r="L38" s="8">
        <f>K38+E38</f>
        <v/>
      </c>
      <c r="M38" s="8">
        <f>K38-J38</f>
        <v/>
      </c>
      <c r="N38" s="8">
        <f>"S"&amp;(INT(K38/Resumen!$C$5)+1)&amp;"–S"&amp;MAX(INT(K38/Resumen!$C$5)+1,ROUNDUP(L38/Resumen!$C$5,0))</f>
        <v/>
      </c>
      <c r="O38" s="8" t="inlineStr">
        <is>
          <t>Pendiente</t>
        </is>
      </c>
      <c r="P38" s="8" t="inlineStr">
        <is>
          <t>Agregado</t>
        </is>
      </c>
      <c r="Q38" s="7" t="inlineStr">
        <is>
          <t>Carlos Pardo</t>
        </is>
      </c>
      <c r="R38" s="7" t="inlineStr"/>
    </row>
    <row r="39">
      <c r="A39" s="19" t="inlineStr">
        <is>
          <t>4.8</t>
        </is>
      </c>
      <c r="B39" s="7" t="inlineStr">
        <is>
          <t>4. Panel de administración</t>
        </is>
      </c>
      <c r="C39" s="7" t="inlineStr">
        <is>
          <t>Dashboard del asesor en /asesor: métricas de sus clientes (por estado, créditos pendientes, afiliaciones referidas en el mes) y detalle de cliente sin celular, correo, Nequi ni fotos</t>
        </is>
      </c>
      <c r="D39" s="5" t="n">
        <v>3</v>
      </c>
      <c r="E39" s="8">
        <f>D39</f>
        <v/>
      </c>
      <c r="F39" s="4" t="inlineStr">
        <is>
          <t>4.6</t>
        </is>
      </c>
      <c r="G39" s="7" t="inlineStr">
        <is>
          <t>Sí</t>
        </is>
      </c>
      <c r="H39" s="7" t="inlineStr">
        <is>
          <t>6.3, 5.10</t>
        </is>
      </c>
      <c r="I39" s="18" t="inlineStr">
        <is>
          <t>B</t>
        </is>
      </c>
      <c r="J39" s="8" t="n">
        <v>49</v>
      </c>
      <c r="K39" s="8" t="n">
        <v>59</v>
      </c>
      <c r="L39" s="8">
        <f>K39+E39</f>
        <v/>
      </c>
      <c r="M39" s="8">
        <f>K39-J39</f>
        <v/>
      </c>
      <c r="N39" s="8">
        <f>"S"&amp;(INT(K39/Resumen!$C$5)+1)&amp;"–S"&amp;MAX(INT(K39/Resumen!$C$5)+1,ROUNDUP(L39/Resumen!$C$5,0))</f>
        <v/>
      </c>
      <c r="O39" s="8" t="inlineStr">
        <is>
          <t>Pendiente</t>
        </is>
      </c>
      <c r="P39" s="8" t="inlineStr">
        <is>
          <t>Agregado</t>
        </is>
      </c>
      <c r="Q39" s="7" t="inlineStr">
        <is>
          <t>Carlos Pardo</t>
        </is>
      </c>
      <c r="R39" s="7" t="inlineStr"/>
    </row>
    <row r="40">
      <c r="A40" s="19" t="inlineStr">
        <is>
          <t>5.1</t>
        </is>
      </c>
      <c r="B40" s="4" t="inlineStr">
        <is>
          <t>5. Convenios y pulido</t>
        </is>
      </c>
      <c r="C40" s="7" t="inlineStr">
        <is>
          <t>Sección de convenios (en /cuenta y landing)</t>
        </is>
      </c>
      <c r="D40" s="5" t="n">
        <v>2</v>
      </c>
      <c r="E40" s="8">
        <f>D40</f>
        <v/>
      </c>
      <c r="F40" s="4" t="inlineStr">
        <is>
          <t>3.4</t>
        </is>
      </c>
      <c r="G40" s="7" t="inlineStr">
        <is>
          <t>Sí</t>
        </is>
      </c>
      <c r="H40" s="7" t="inlineStr">
        <is>
          <t>4.4</t>
        </is>
      </c>
      <c r="I40" s="18" t="inlineStr">
        <is>
          <t>B</t>
        </is>
      </c>
      <c r="J40" s="8" t="n">
        <v>13</v>
      </c>
      <c r="K40" s="8" t="n">
        <v>42</v>
      </c>
      <c r="L40" s="8">
        <f>K40+E40</f>
        <v/>
      </c>
      <c r="M40" s="8">
        <f>K40-J40</f>
        <v/>
      </c>
      <c r="N40" s="8">
        <f>"S"&amp;(INT(K40/Resumen!$C$5)+1)&amp;"–S"&amp;MAX(INT(K40/Resumen!$C$5)+1,ROUNDUP(L40/Resumen!$C$5,0))</f>
        <v/>
      </c>
      <c r="O40" s="8" t="inlineStr">
        <is>
          <t>Hecho</t>
        </is>
      </c>
      <c r="P40" s="8" t="inlineStr">
        <is>
          <t>Propuesta</t>
        </is>
      </c>
      <c r="Q40" s="7" t="inlineStr">
        <is>
          <t>ga-diseno-a-codigo</t>
        </is>
      </c>
      <c r="R40" s="7" t="inlineStr"/>
    </row>
    <row r="41">
      <c r="A41" s="19" t="inlineStr">
        <is>
          <t>5.2</t>
        </is>
      </c>
      <c r="B41" s="4" t="inlineStr">
        <is>
          <t>5. Convenios y pulido</t>
        </is>
      </c>
      <c r="C41" s="7" t="inlineStr">
        <is>
          <t>Diseño responsive celular / tableta / PC</t>
        </is>
      </c>
      <c r="D41" s="5" t="n">
        <v>3</v>
      </c>
      <c r="E41" s="8">
        <f>D41</f>
        <v/>
      </c>
      <c r="F41" s="4" t="inlineStr">
        <is>
          <t>2.1, 2.2, 2.3, 3.4</t>
        </is>
      </c>
      <c r="G41" s="7" t="inlineStr">
        <is>
          <t>Sí</t>
        </is>
      </c>
      <c r="H41" s="7" t="inlineStr">
        <is>
          <t>1.5, 3.3</t>
        </is>
      </c>
      <c r="I41" s="18" t="inlineStr">
        <is>
          <t>B</t>
        </is>
      </c>
      <c r="J41" s="8" t="n">
        <v>26</v>
      </c>
      <c r="K41" s="8" t="n">
        <v>26</v>
      </c>
      <c r="L41" s="8">
        <f>K41+E41</f>
        <v/>
      </c>
      <c r="M41" s="8">
        <f>K41-J41</f>
        <v/>
      </c>
      <c r="N41" s="8">
        <f>"S"&amp;(INT(K41/Resumen!$C$5)+1)&amp;"–S"&amp;MAX(INT(K41/Resumen!$C$5)+1,ROUNDUP(L41/Resumen!$C$5,0))</f>
        <v/>
      </c>
      <c r="O41" s="8" t="inlineStr">
        <is>
          <t>Hecho</t>
        </is>
      </c>
      <c r="P41" s="8" t="inlineStr">
        <is>
          <t>Propuesta</t>
        </is>
      </c>
      <c r="Q41" s="7" t="inlineStr">
        <is>
          <t>ga-verificador-responsive</t>
        </is>
      </c>
      <c r="R41" s="7" t="inlineStr"/>
    </row>
    <row r="42">
      <c r="A42" s="19" t="inlineStr">
        <is>
          <t>5.3</t>
        </is>
      </c>
      <c r="B42" s="4" t="inlineStr">
        <is>
          <t>5. Convenios y pulido</t>
        </is>
      </c>
      <c r="C42" s="7" t="inlineStr">
        <is>
          <t>Cambiar datos de ejemplo por reales (config.ts, mock.ts, fotos, cifras)</t>
        </is>
      </c>
      <c r="D42" s="5" t="n">
        <v>2</v>
      </c>
      <c r="E42" s="8">
        <f>D42</f>
        <v/>
      </c>
      <c r="F42" s="4" t="inlineStr">
        <is>
          <t>5.2</t>
        </is>
      </c>
      <c r="G42" s="7" t="inlineStr">
        <is>
          <t>Sí</t>
        </is>
      </c>
      <c r="H42" s="7" t="inlineStr">
        <is>
          <t>6.1, 6.9</t>
        </is>
      </c>
      <c r="I42" s="18" t="inlineStr">
        <is>
          <t>B</t>
        </is>
      </c>
      <c r="J42" s="8" t="n">
        <v>49</v>
      </c>
      <c r="K42" s="8" t="n">
        <v>55</v>
      </c>
      <c r="L42" s="8">
        <f>K42+E42</f>
        <v/>
      </c>
      <c r="M42" s="8">
        <f>K42-J42</f>
        <v/>
      </c>
      <c r="N42" s="8">
        <f>"S"&amp;(INT(K42/Resumen!$C$5)+1)&amp;"–S"&amp;MAX(INT(K42/Resumen!$C$5)+1,ROUNDUP(L42/Resumen!$C$5,0))</f>
        <v/>
      </c>
      <c r="O42" s="8" t="inlineStr">
        <is>
          <t>Bloqueado</t>
        </is>
      </c>
      <c r="P42" s="8" t="inlineStr">
        <is>
          <t>Propuesta</t>
        </is>
      </c>
      <c r="Q42" s="7" t="inlineStr">
        <is>
          <t>ga-diseno-a-codigo</t>
        </is>
      </c>
      <c r="R42" s="7" t="inlineStr">
        <is>
          <t>24-sep: WhatsApp, correo de contacto y tiempo de respuesta ya llegaron (ver P-10, P-12, P-17). Faltan texto de vigilancia Supersolidaria, fotos/cifras/testimonios, nombres de los grados y estado de desembolso (cooperativa)</t>
        </is>
      </c>
    </row>
    <row r="43">
      <c r="A43" s="19" t="inlineStr">
        <is>
          <t>5.4</t>
        </is>
      </c>
      <c r="B43" s="4" t="inlineStr">
        <is>
          <t>5. Convenios y pulido</t>
        </is>
      </c>
      <c r="C43" s="7" t="inlineStr">
        <is>
          <t>Página de política de datos (/politica-de-datos)</t>
        </is>
      </c>
      <c r="D43" s="5" t="n">
        <v>1</v>
      </c>
      <c r="E43" s="8">
        <f>D43</f>
        <v/>
      </c>
      <c r="F43" s="4" t="inlineStr">
        <is>
          <t>5.2</t>
        </is>
      </c>
      <c r="G43" s="7" t="inlineStr">
        <is>
          <t>Sí</t>
        </is>
      </c>
      <c r="H43" s="7" t="inlineStr">
        <is>
          <t>6.1</t>
        </is>
      </c>
      <c r="I43" s="18" t="inlineStr">
        <is>
          <t>B</t>
        </is>
      </c>
      <c r="J43" s="8" t="n">
        <v>49</v>
      </c>
      <c r="K43" s="8" t="n">
        <v>54</v>
      </c>
      <c r="L43" s="8">
        <f>K43+E43</f>
        <v/>
      </c>
      <c r="M43" s="8">
        <f>K43-J43</f>
        <v/>
      </c>
      <c r="N43" s="8">
        <f>"S"&amp;(INT(K43/Resumen!$C$5)+1)&amp;"–S"&amp;MAX(INT(K43/Resumen!$C$5)+1,ROUNDUP(L43/Resumen!$C$5,0))</f>
        <v/>
      </c>
      <c r="O43" s="8" t="inlineStr">
        <is>
          <t>En curso</t>
        </is>
      </c>
      <c r="P43" s="8" t="inlineStr">
        <is>
          <t>Agregado</t>
        </is>
      </c>
      <c r="Q43" s="7" t="inlineStr">
        <is>
          <t>ga-diseno-a-codigo</t>
        </is>
      </c>
      <c r="R43"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44">
      <c r="A44" s="19" t="inlineStr">
        <is>
          <t>5.5</t>
        </is>
      </c>
      <c r="B44" s="4" t="inlineStr">
        <is>
          <t>5. Convenios y pulido</t>
        </is>
      </c>
      <c r="C44" s="7" t="inlineStr">
        <is>
          <t>Borrar las rutas viejas /login y /dashboard</t>
        </is>
      </c>
      <c r="D44" s="5" t="n">
        <v>1</v>
      </c>
      <c r="E44" s="8">
        <f>D44</f>
        <v/>
      </c>
      <c r="F44" s="4" t="inlineStr">
        <is>
          <t>3.7, 2.7</t>
        </is>
      </c>
      <c r="G44" s="7" t="inlineStr">
        <is>
          <t>Sí</t>
        </is>
      </c>
      <c r="H44" s="7" t="inlineStr">
        <is>
          <t>4.6</t>
        </is>
      </c>
      <c r="I44" s="18" t="inlineStr">
        <is>
          <t>A</t>
        </is>
      </c>
      <c r="J44" s="8" t="n">
        <v>39</v>
      </c>
      <c r="K44" s="8" t="n">
        <v>41</v>
      </c>
      <c r="L44" s="8">
        <f>K44+E44</f>
        <v/>
      </c>
      <c r="M44" s="8">
        <f>K44-J44</f>
        <v/>
      </c>
      <c r="N44" s="8">
        <f>"S"&amp;(INT(K44/Resumen!$C$5)+1)&amp;"–S"&amp;MAX(INT(K44/Resumen!$C$5)+1,ROUNDUP(L44/Resumen!$C$5,0))</f>
        <v/>
      </c>
      <c r="O44" s="8" t="inlineStr">
        <is>
          <t>Hecho</t>
        </is>
      </c>
      <c r="P44" s="8" t="inlineStr">
        <is>
          <t>Agregado</t>
        </is>
      </c>
      <c r="Q44" s="7" t="inlineStr">
        <is>
          <t>ga-funcionalidad-botones</t>
        </is>
      </c>
      <c r="R44" s="7" t="inlineStr"/>
    </row>
    <row r="45">
      <c r="A45" s="19" t="inlineStr">
        <is>
          <t>5.6</t>
        </is>
      </c>
      <c r="B45" s="4" t="inlineStr">
        <is>
          <t>5. Convenios y pulido</t>
        </is>
      </c>
      <c r="C45" s="7" t="inlineStr">
        <is>
          <t>Revisar el diseño de /cuenta/solicitar (pantalla sin maqueta; selector 50/100 ahora son radios)</t>
        </is>
      </c>
      <c r="D45" s="5" t="n">
        <v>1</v>
      </c>
      <c r="E45" s="8">
        <f>D45</f>
        <v/>
      </c>
      <c r="F45" s="4" t="inlineStr">
        <is>
          <t>3.7</t>
        </is>
      </c>
      <c r="G45" s="7" t="inlineStr">
        <is>
          <t>Sí</t>
        </is>
      </c>
      <c r="H45" s="7" t="inlineStr">
        <is>
          <t>2.4</t>
        </is>
      </c>
      <c r="I45" s="18" t="inlineStr">
        <is>
          <t>B</t>
        </is>
      </c>
      <c r="J45" s="8" t="n">
        <v>49</v>
      </c>
      <c r="K45" s="8" t="n">
        <v>50</v>
      </c>
      <c r="L45" s="8">
        <f>K45+E45</f>
        <v/>
      </c>
      <c r="M45" s="8">
        <f>K45-J45</f>
        <v/>
      </c>
      <c r="N45" s="8">
        <f>"S"&amp;(INT(K45/Resumen!$C$5)+1)&amp;"–S"&amp;MAX(INT(K45/Resumen!$C$5)+1,ROUNDUP(L45/Resumen!$C$5,0))</f>
        <v/>
      </c>
      <c r="O45" s="8" t="inlineStr">
        <is>
          <t>Pendiente</t>
        </is>
      </c>
      <c r="P45" s="8" t="inlineStr">
        <is>
          <t>Agregado</t>
        </is>
      </c>
      <c r="Q45" s="7" t="inlineStr">
        <is>
          <t>ga-diseno-a-codigo</t>
        </is>
      </c>
      <c r="R45" s="7" t="inlineStr"/>
    </row>
    <row r="46">
      <c r="A46" s="19" t="inlineStr">
        <is>
          <t>5.7</t>
        </is>
      </c>
      <c r="B46" s="4" t="inlineStr">
        <is>
          <t>5. Convenios y pulido</t>
        </is>
      </c>
      <c r="C46" s="7" t="inlineStr">
        <is>
          <t>Logo horizontal con las letras oficiales (SVG) y espacios de foto de marca en la landing (EspacioFoto)</t>
        </is>
      </c>
      <c r="D46" s="5" t="n">
        <v>2</v>
      </c>
      <c r="E46" s="8">
        <f>D46</f>
        <v/>
      </c>
      <c r="F46" s="4" t="inlineStr">
        <is>
          <t>2.1</t>
        </is>
      </c>
      <c r="G46" s="7" t="inlineStr">
        <is>
          <t>Sí</t>
        </is>
      </c>
      <c r="H46" s="7" t="inlineStr">
        <is>
          <t>4.4</t>
        </is>
      </c>
      <c r="I46" s="18" t="inlineStr">
        <is>
          <t>B</t>
        </is>
      </c>
      <c r="J46" s="8" t="n">
        <v>26</v>
      </c>
      <c r="K46" s="8" t="n">
        <v>44</v>
      </c>
      <c r="L46" s="8">
        <f>K46+E46</f>
        <v/>
      </c>
      <c r="M46" s="8">
        <f>K46-J46</f>
        <v/>
      </c>
      <c r="N46" s="8">
        <f>"S"&amp;(INT(K46/Resumen!$C$5)+1)&amp;"–S"&amp;MAX(INT(K46/Resumen!$C$5)+1,ROUNDUP(L46/Resumen!$C$5,0))</f>
        <v/>
      </c>
      <c r="O46" s="8" t="inlineStr">
        <is>
          <t>Hecho</t>
        </is>
      </c>
      <c r="P46" s="8" t="inlineStr">
        <is>
          <t>Agregado</t>
        </is>
      </c>
      <c r="Q46" s="7" t="inlineStr">
        <is>
          <t>ga-diseno-a-codigo</t>
        </is>
      </c>
      <c r="R46" s="7" t="inlineStr"/>
    </row>
    <row r="47">
      <c r="A47" s="19" t="inlineStr">
        <is>
          <t>5.8</t>
        </is>
      </c>
      <c r="B47" s="4" t="inlineStr">
        <is>
          <t>5. Convenios y pulido</t>
        </is>
      </c>
      <c r="C47" s="7" t="inlineStr">
        <is>
          <t>Corregir scroll horizontal: headers con logo (320 px) y formulario de /ingresar y /ingresar/codigo (1024–1075 px)</t>
        </is>
      </c>
      <c r="D47" s="5" t="n">
        <v>1</v>
      </c>
      <c r="E47" s="8">
        <f>D47</f>
        <v/>
      </c>
      <c r="F47" s="4" t="inlineStr">
        <is>
          <t>5.2, 5.7</t>
        </is>
      </c>
      <c r="G47" s="7" t="inlineStr">
        <is>
          <t>Sí</t>
        </is>
      </c>
      <c r="H47" s="7" t="inlineStr">
        <is>
          <t>3.2</t>
        </is>
      </c>
      <c r="I47" s="18" t="inlineStr">
        <is>
          <t>A</t>
        </is>
      </c>
      <c r="J47" s="8" t="n">
        <v>46</v>
      </c>
      <c r="K47" s="8" t="n">
        <v>46</v>
      </c>
      <c r="L47" s="8">
        <f>K47+E47</f>
        <v/>
      </c>
      <c r="M47" s="8">
        <f>K47-J47</f>
        <v/>
      </c>
      <c r="N47" s="8">
        <f>"S"&amp;(INT(K47/Resumen!$C$5)+1)&amp;"–S"&amp;MAX(INT(K47/Resumen!$C$5)+1,ROUNDUP(L47/Resumen!$C$5,0))</f>
        <v/>
      </c>
      <c r="O47" s="8" t="inlineStr">
        <is>
          <t>Hecho</t>
        </is>
      </c>
      <c r="P47" s="8" t="inlineStr">
        <is>
          <t>Agregado</t>
        </is>
      </c>
      <c r="Q47" s="7" t="inlineStr">
        <is>
          <t>ga-diseno-a-codigo + ga-verificador-responsive</t>
        </is>
      </c>
      <c r="R47" s="7" t="inlineStr"/>
    </row>
    <row r="48">
      <c r="A48" s="19" t="inlineStr">
        <is>
          <t>5.9</t>
        </is>
      </c>
      <c r="B48" s="4" t="inlineStr">
        <is>
          <t>5. Convenios y pulido</t>
        </is>
      </c>
      <c r="C48" s="7" t="inlineStr">
        <is>
          <t>Convenios administrables desde /admin (crear, editar, ocultar y ordenar, logo en Storage); landing y /cuenta leen de la tabla convenios</t>
        </is>
      </c>
      <c r="D48" s="5" t="n">
        <v>3</v>
      </c>
      <c r="E48" s="8">
        <f>D48</f>
        <v/>
      </c>
      <c r="F48" s="4" t="inlineStr">
        <is>
          <t>4.1, 5.1</t>
        </is>
      </c>
      <c r="G48" s="7" t="inlineStr">
        <is>
          <t>Sí</t>
        </is>
      </c>
      <c r="H48" s="7" t="inlineStr">
        <is>
          <t>6.15, 6.12, 6.14</t>
        </is>
      </c>
      <c r="I48" s="18" t="inlineStr">
        <is>
          <t>A</t>
        </is>
      </c>
      <c r="J48" s="8" t="n">
        <v>49</v>
      </c>
      <c r="K48" s="8" t="n">
        <v>62</v>
      </c>
      <c r="L48" s="8">
        <f>K48+E48</f>
        <v/>
      </c>
      <c r="M48" s="8">
        <f>K48-J48</f>
        <v/>
      </c>
      <c r="N48" s="8">
        <f>"S"&amp;(INT(K48/Resumen!$C$5)+1)&amp;"–S"&amp;MAX(INT(K48/Resumen!$C$5)+1,ROUNDUP(L48/Resumen!$C$5,0))</f>
        <v/>
      </c>
      <c r="O48" s="8" t="inlineStr">
        <is>
          <t>Pendiente</t>
        </is>
      </c>
      <c r="P48" s="8" t="inlineStr">
        <is>
          <t>Agregado</t>
        </is>
      </c>
      <c r="Q48" s="7" t="inlineStr">
        <is>
          <t>Carlos Pardo</t>
        </is>
      </c>
      <c r="R48" s="7" t="inlineStr"/>
    </row>
    <row r="49">
      <c r="A49" s="19" t="inlineStr">
        <is>
          <t>5.10</t>
        </is>
      </c>
      <c r="B49" s="4" t="inlineStr">
        <is>
          <t>5. Convenios y pulido</t>
        </is>
      </c>
      <c r="C49" s="7" t="inlineStr">
        <is>
          <t>Ley 1581: borrado automático de fotos de afiliaciones rechazadas tras X días (pg_cron o cron de Vercel) y motivo de rechazo en /admin (columna y campo)</t>
        </is>
      </c>
      <c r="D49" s="5" t="n">
        <v>2</v>
      </c>
      <c r="E49" s="8">
        <f>D49</f>
        <v/>
      </c>
      <c r="F49" s="4" t="inlineStr">
        <is>
          <t>2.12, 4.1</t>
        </is>
      </c>
      <c r="G49" s="7" t="inlineStr">
        <is>
          <t>Sí</t>
        </is>
      </c>
      <c r="H49" s="7" t="inlineStr">
        <is>
          <t>4.8</t>
        </is>
      </c>
      <c r="I49" s="18" t="inlineStr">
        <is>
          <t>A</t>
        </is>
      </c>
      <c r="J49" s="8" t="n">
        <v>49</v>
      </c>
      <c r="K49" s="8" t="n">
        <v>60</v>
      </c>
      <c r="L49" s="8">
        <f>K49+E49</f>
        <v/>
      </c>
      <c r="M49" s="8">
        <f>K49-J49</f>
        <v/>
      </c>
      <c r="N49" s="8">
        <f>"S"&amp;(INT(K49/Resumen!$C$5)+1)&amp;"–S"&amp;MAX(INT(K49/Resumen!$C$5)+1,ROUNDUP(L49/Resumen!$C$5,0))</f>
        <v/>
      </c>
      <c r="O49" s="8" t="inlineStr">
        <is>
          <t>Pendiente</t>
        </is>
      </c>
      <c r="P49" s="8" t="inlineStr">
        <is>
          <t>Agregado</t>
        </is>
      </c>
      <c r="Q49" s="7" t="inlineStr">
        <is>
          <t>Carlos Pardo</t>
        </is>
      </c>
      <c r="R49" s="7" t="inlineStr"/>
    </row>
    <row r="50">
      <c r="A50" s="19" t="inlineStr">
        <is>
          <t>6.1</t>
        </is>
      </c>
      <c r="B50" s="4" t="inlineStr">
        <is>
          <t>6. Pruebas y lanzamiento</t>
        </is>
      </c>
      <c r="C50" s="7" t="inlineStr">
        <is>
          <t>Pruebas de las nuevas Server Actions (login, afiliación, crédito, admin)</t>
        </is>
      </c>
      <c r="D50" s="5" t="n">
        <v>3</v>
      </c>
      <c r="E50" s="8">
        <f>D50</f>
        <v/>
      </c>
      <c r="F50" s="4" t="inlineStr">
        <is>
          <t>2.10, 3.6, 4.3, 4.5</t>
        </is>
      </c>
      <c r="G50" s="7" t="inlineStr">
        <is>
          <t>Sí</t>
        </is>
      </c>
      <c r="H50" s="7" t="inlineStr">
        <is>
          <t>6.8, 5.4, 5.3</t>
        </is>
      </c>
      <c r="I50" s="18" t="inlineStr">
        <is>
          <t>A</t>
        </is>
      </c>
      <c r="J50" s="8" t="n">
        <v>53</v>
      </c>
      <c r="K50" s="8" t="n">
        <v>53</v>
      </c>
      <c r="L50" s="8">
        <f>K50+E50</f>
        <v/>
      </c>
      <c r="M50" s="8">
        <f>K50-J50</f>
        <v/>
      </c>
      <c r="N50" s="8">
        <f>"S"&amp;(INT(K50/Resumen!$C$5)+1)&amp;"–S"&amp;MAX(INT(K50/Resumen!$C$5)+1,ROUNDUP(L50/Resumen!$C$5,0))</f>
        <v/>
      </c>
      <c r="O50" s="8" t="inlineStr">
        <is>
          <t>En curso</t>
        </is>
      </c>
      <c r="P50" s="8" t="inlineStr">
        <is>
          <t>Propuesta</t>
        </is>
      </c>
      <c r="Q50" s="7" t="inlineStr">
        <is>
          <t>ga-escritor-tests</t>
        </is>
      </c>
      <c r="R50" s="7" t="inlineStr"/>
    </row>
    <row r="51">
      <c r="A51" s="19" t="inlineStr">
        <is>
          <t>6.2</t>
        </is>
      </c>
      <c r="B51" s="4" t="inlineStr">
        <is>
          <t>6. Pruebas y lanzamiento</t>
        </is>
      </c>
      <c r="C51" s="7" t="inlineStr">
        <is>
          <t>Revisión de seguridad completa</t>
        </is>
      </c>
      <c r="D51" s="5" t="n">
        <v>2</v>
      </c>
      <c r="E51" s="8">
        <f>D51</f>
        <v/>
      </c>
      <c r="F51" s="7" t="inlineStr">
        <is>
          <t>2.10, 3.6, 4.3, 4.5, 2.12, 3.9, 4.6</t>
        </is>
      </c>
      <c r="G51" s="7" t="inlineStr">
        <is>
          <t>Sí</t>
        </is>
      </c>
      <c r="H51" s="7" t="inlineStr">
        <is>
          <t>6.3</t>
        </is>
      </c>
      <c r="I51" s="18" t="inlineStr">
        <is>
          <t>B</t>
        </is>
      </c>
      <c r="J51" s="8" t="n">
        <v>53</v>
      </c>
      <c r="K51" s="8" t="n">
        <v>57</v>
      </c>
      <c r="L51" s="8">
        <f>K51+E51</f>
        <v/>
      </c>
      <c r="M51" s="8">
        <f>K51-J51</f>
        <v/>
      </c>
      <c r="N51" s="8">
        <f>"S"&amp;(INT(K51/Resumen!$C$5)+1)&amp;"–S"&amp;MAX(INT(K51/Resumen!$C$5)+1,ROUNDUP(L51/Resumen!$C$5,0))</f>
        <v/>
      </c>
      <c r="O51" s="8" t="inlineStr">
        <is>
          <t>En curso</t>
        </is>
      </c>
      <c r="P51" s="8" t="inlineStr">
        <is>
          <t>Propuesta</t>
        </is>
      </c>
      <c r="Q51" s="7" t="inlineStr">
        <is>
          <t>ga-revisor-seguridad</t>
        </is>
      </c>
      <c r="R51" s="7" t="inlineStr"/>
    </row>
    <row r="52">
      <c r="A52" s="19" t="inlineStr">
        <is>
          <t>6.3</t>
        </is>
      </c>
      <c r="B52" s="4" t="inlineStr">
        <is>
          <t>6. Pruebas y lanzamiento</t>
        </is>
      </c>
      <c r="C52" s="7" t="inlineStr">
        <is>
          <t>QA de punta a punta y verificación responsive</t>
        </is>
      </c>
      <c r="D52" s="5" t="n">
        <v>3</v>
      </c>
      <c r="E52" s="8">
        <f>D52</f>
        <v/>
      </c>
      <c r="F52" s="7" t="inlineStr">
        <is>
          <t>6.1, 5.5, 2.8, 5.3, 5.4, 2.11, 5.6, 1.6, 2.12, 3.9, 4.6</t>
        </is>
      </c>
      <c r="G52" s="7" t="inlineStr">
        <is>
          <t>Sí</t>
        </is>
      </c>
      <c r="H52" s="7" t="inlineStr">
        <is>
          <t>6.2, 4.8</t>
        </is>
      </c>
      <c r="I52" s="18" t="inlineStr">
        <is>
          <t>A</t>
        </is>
      </c>
      <c r="J52" s="8" t="n">
        <v>57</v>
      </c>
      <c r="K52" s="8" t="n">
        <v>57</v>
      </c>
      <c r="L52" s="8">
        <f>K52+E52</f>
        <v/>
      </c>
      <c r="M52" s="8">
        <f>K52-J52</f>
        <v/>
      </c>
      <c r="N52" s="8">
        <f>"S"&amp;(INT(K52/Resumen!$C$5)+1)&amp;"–S"&amp;MAX(INT(K52/Resumen!$C$5)+1,ROUNDUP(L52/Resumen!$C$5,0))</f>
        <v/>
      </c>
      <c r="O52" s="8" t="inlineStr">
        <is>
          <t>En curso</t>
        </is>
      </c>
      <c r="P52" s="8" t="inlineStr">
        <is>
          <t>Propuesta</t>
        </is>
      </c>
      <c r="Q52" s="7" t="inlineStr">
        <is>
          <t>ga-verificador-qa + ga-verificador-responsive</t>
        </is>
      </c>
      <c r="R52" s="7" t="inlineStr"/>
    </row>
    <row r="53">
      <c r="A53" s="19" t="inlineStr">
        <is>
          <t>6.4</t>
        </is>
      </c>
      <c r="B53" s="4" t="inlineStr">
        <is>
          <t>6. Pruebas y lanzamiento</t>
        </is>
      </c>
      <c r="C53" s="7" t="inlineStr">
        <is>
          <t>Registrar dominio (5 años) y protección de dominio</t>
        </is>
      </c>
      <c r="D53" s="5" t="n">
        <v>1</v>
      </c>
      <c r="E53" s="8">
        <f>D53</f>
        <v/>
      </c>
      <c r="F53" s="4" t="inlineStr">
        <is>
          <t>—</t>
        </is>
      </c>
      <c r="G53" s="7" t="inlineStr">
        <is>
          <t>Sí</t>
        </is>
      </c>
      <c r="H53" s="7" t="inlineStr">
        <is>
          <t>4.3</t>
        </is>
      </c>
      <c r="I53" s="18" t="inlineStr">
        <is>
          <t>B</t>
        </is>
      </c>
      <c r="J53" s="8" t="n">
        <v>49</v>
      </c>
      <c r="K53" s="8" t="n">
        <v>52</v>
      </c>
      <c r="L53" s="8">
        <f>K53+E53</f>
        <v/>
      </c>
      <c r="M53" s="8">
        <f>K53-J53</f>
        <v/>
      </c>
      <c r="N53" s="8">
        <f>"S"&amp;(INT(K53/Resumen!$C$5)+1)&amp;"–S"&amp;MAX(INT(K53/Resumen!$C$5)+1,ROUNDUP(L53/Resumen!$C$5,0))</f>
        <v/>
      </c>
      <c r="O53" s="8" t="inlineStr">
        <is>
          <t>Pendiente</t>
        </is>
      </c>
      <c r="P53" s="8" t="inlineStr">
        <is>
          <t>Propuesta</t>
        </is>
      </c>
      <c r="Q53" s="7" t="inlineStr">
        <is>
          <t>Yo + cooperativa</t>
        </is>
      </c>
      <c r="R53" s="7" t="inlineStr"/>
    </row>
    <row r="54">
      <c r="A54" s="19" t="inlineStr">
        <is>
          <t>6.5</t>
        </is>
      </c>
      <c r="B54" s="4" t="inlineStr">
        <is>
          <t>6. Pruebas y lanzamiento</t>
        </is>
      </c>
      <c r="C54" s="7" t="inlineStr">
        <is>
          <t>Subir a GitHub y desplegar en Vercel (producción)</t>
        </is>
      </c>
      <c r="D54" s="5" t="n">
        <v>2</v>
      </c>
      <c r="E54" s="8">
        <f>D54</f>
        <v/>
      </c>
      <c r="F54" s="7" t="inlineStr">
        <is>
          <t>6.2, 6.3, 6.4, 2.4, 6.8, 6.9, 6.10, 6.13</t>
        </is>
      </c>
      <c r="G54" s="7" t="inlineStr">
        <is>
          <t>No (usa las 2 filas)</t>
        </is>
      </c>
      <c r="H54" s="7" t="inlineStr">
        <is>
          <t>—</t>
        </is>
      </c>
      <c r="I54" s="18" t="inlineStr">
        <is>
          <t>A+B</t>
        </is>
      </c>
      <c r="J54" s="8" t="n">
        <v>60</v>
      </c>
      <c r="K54" s="8" t="n">
        <v>65</v>
      </c>
      <c r="L54" s="8">
        <f>K54+E54</f>
        <v/>
      </c>
      <c r="M54" s="8">
        <f>K54-J54</f>
        <v/>
      </c>
      <c r="N54" s="8">
        <f>"S"&amp;(INT(K54/Resumen!$C$5)+1)&amp;"–S"&amp;MAX(INT(K54/Resumen!$C$5)+1,ROUNDUP(L54/Resumen!$C$5,0))</f>
        <v/>
      </c>
      <c r="O54" s="8" t="inlineStr">
        <is>
          <t>Pendiente</t>
        </is>
      </c>
      <c r="P54" s="8" t="inlineStr">
        <is>
          <t>Propuesta</t>
        </is>
      </c>
      <c r="Q54" s="7" t="inlineStr">
        <is>
          <t>Yo</t>
        </is>
      </c>
      <c r="R54" s="7" t="inlineStr"/>
    </row>
    <row r="55">
      <c r="A55" s="19" t="inlineStr">
        <is>
          <t>6.6</t>
        </is>
      </c>
      <c r="B55" s="4" t="inlineStr">
        <is>
          <t>6. Pruebas y lanzamiento</t>
        </is>
      </c>
      <c r="C55" s="7" t="inlineStr">
        <is>
          <t>Pruebas con usuarios reales y corrección de errores</t>
        </is>
      </c>
      <c r="D55" s="5" t="n">
        <v>3</v>
      </c>
      <c r="E55" s="8">
        <f>D55</f>
        <v/>
      </c>
      <c r="F55" s="4" t="inlineStr">
        <is>
          <t>6.5, 4.4</t>
        </is>
      </c>
      <c r="G55" s="7" t="inlineStr">
        <is>
          <t>Sí</t>
        </is>
      </c>
      <c r="H55" s="7" t="inlineStr">
        <is>
          <t>4.7</t>
        </is>
      </c>
      <c r="I55" s="18" t="inlineStr">
        <is>
          <t>A</t>
        </is>
      </c>
      <c r="J55" s="8" t="n">
        <v>67</v>
      </c>
      <c r="K55" s="8" t="n">
        <v>68</v>
      </c>
      <c r="L55" s="8">
        <f>K55+E55</f>
        <v/>
      </c>
      <c r="M55" s="8">
        <f>K55-J55</f>
        <v/>
      </c>
      <c r="N55" s="8">
        <f>"S"&amp;(INT(K55/Resumen!$C$5)+1)&amp;"–S"&amp;MAX(INT(K55/Resumen!$C$5)+1,ROUNDUP(L55/Resumen!$C$5,0))</f>
        <v/>
      </c>
      <c r="O55" s="8" t="inlineStr">
        <is>
          <t>Pendiente</t>
        </is>
      </c>
      <c r="P55" s="8" t="inlineStr">
        <is>
          <t>Propuesta</t>
        </is>
      </c>
      <c r="Q55" s="7" t="inlineStr">
        <is>
          <t>Yo + cooperativa</t>
        </is>
      </c>
      <c r="R55" s="7" t="inlineStr"/>
    </row>
    <row r="56">
      <c r="A56" s="19" t="inlineStr">
        <is>
          <t>6.7</t>
        </is>
      </c>
      <c r="B56" s="4" t="inlineStr">
        <is>
          <t>6. Pruebas y lanzamiento</t>
        </is>
      </c>
      <c r="C56" s="7" t="inlineStr">
        <is>
          <t>Capacitación al equipo de la cooperativa</t>
        </is>
      </c>
      <c r="D56" s="5" t="n">
        <v>1</v>
      </c>
      <c r="E56" s="8">
        <f>D56</f>
        <v/>
      </c>
      <c r="F56" s="4" t="inlineStr">
        <is>
          <t>6.5</t>
        </is>
      </c>
      <c r="G56" s="7" t="inlineStr">
        <is>
          <t>Sí</t>
        </is>
      </c>
      <c r="H56" s="7" t="inlineStr">
        <is>
          <t>4.7</t>
        </is>
      </c>
      <c r="I56" s="18" t="inlineStr">
        <is>
          <t>A</t>
        </is>
      </c>
      <c r="J56" s="8" t="n">
        <v>67</v>
      </c>
      <c r="K56" s="8" t="n">
        <v>67</v>
      </c>
      <c r="L56" s="8">
        <f>K56+E56</f>
        <v/>
      </c>
      <c r="M56" s="8">
        <f>K56-J56</f>
        <v/>
      </c>
      <c r="N56" s="8">
        <f>"S"&amp;(INT(K56/Resumen!$C$5)+1)&amp;"–S"&amp;MAX(INT(K56/Resumen!$C$5)+1,ROUNDUP(L56/Resumen!$C$5,0))</f>
        <v/>
      </c>
      <c r="O56" s="8" t="inlineStr">
        <is>
          <t>Pendiente</t>
        </is>
      </c>
      <c r="P56" s="8" t="inlineStr">
        <is>
          <t>Propuesta</t>
        </is>
      </c>
      <c r="Q56" s="7" t="inlineStr">
        <is>
          <t>Yo</t>
        </is>
      </c>
      <c r="R56" s="7" t="inlineStr"/>
    </row>
    <row r="57">
      <c r="A57" s="19" t="inlineStr">
        <is>
          <t>6.8</t>
        </is>
      </c>
      <c r="B57" s="4" t="inlineStr">
        <is>
          <t>6. Pruebas y lanzamiento</t>
        </is>
      </c>
      <c r="C57" s="7" t="inlineStr">
        <is>
          <t>Revisar y aplicar en producción la migración 20260923210000_limite_de_intentos.sql (ga-auditor-supabase revisa antes)</t>
        </is>
      </c>
      <c r="D57" s="5" t="n">
        <v>1</v>
      </c>
      <c r="E57" s="8">
        <f>D57</f>
        <v/>
      </c>
      <c r="F57" s="4" t="inlineStr">
        <is>
          <t>2.5, 2.9</t>
        </is>
      </c>
      <c r="G57" s="7" t="inlineStr">
        <is>
          <t>Sí</t>
        </is>
      </c>
      <c r="H57" s="7" t="inlineStr">
        <is>
          <t>6.1</t>
        </is>
      </c>
      <c r="I57" s="18" t="inlineStr">
        <is>
          <t>B</t>
        </is>
      </c>
      <c r="J57" s="8" t="n">
        <v>49</v>
      </c>
      <c r="K57" s="8" t="n">
        <v>53</v>
      </c>
      <c r="L57" s="8">
        <f>K57+E57</f>
        <v/>
      </c>
      <c r="M57" s="8">
        <f>K57-J57</f>
        <v/>
      </c>
      <c r="N57" s="8">
        <f>"S"&amp;(INT(K57/Resumen!$C$5)+1)&amp;"–S"&amp;MAX(INT(K57/Resumen!$C$5)+1,ROUNDUP(L57/Resumen!$C$5,0))</f>
        <v/>
      </c>
      <c r="O57" s="8" t="inlineStr">
        <is>
          <t>En curso</t>
        </is>
      </c>
      <c r="P57" s="8" t="inlineStr">
        <is>
          <t>Agregado</t>
        </is>
      </c>
      <c r="Q57" s="7" t="inlineStr">
        <is>
          <t>Yo + ga-auditor-supabase</t>
        </is>
      </c>
      <c r="R57" s="7" t="inlineStr"/>
    </row>
    <row r="58">
      <c r="A58" s="19" t="inlineStr">
        <is>
          <t>6.9</t>
        </is>
      </c>
      <c r="B58" s="4" t="inlineStr">
        <is>
          <t>6. Pruebas y lanzamiento</t>
        </is>
      </c>
      <c r="C58"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58" s="5" t="n">
        <v>1</v>
      </c>
      <c r="E58" s="8">
        <f>D58</f>
        <v/>
      </c>
      <c r="F58" s="4" t="inlineStr">
        <is>
          <t>2.5, 2.9, 6.11</t>
        </is>
      </c>
      <c r="G58" s="7" t="inlineStr">
        <is>
          <t>Sí</t>
        </is>
      </c>
      <c r="H58" s="7" t="inlineStr">
        <is>
          <t>5.3</t>
        </is>
      </c>
      <c r="I58" s="18" t="inlineStr">
        <is>
          <t>A</t>
        </is>
      </c>
      <c r="J58" s="8" t="n">
        <v>49</v>
      </c>
      <c r="K58" s="8" t="n">
        <v>56</v>
      </c>
      <c r="L58" s="8">
        <f>K58+E58</f>
        <v/>
      </c>
      <c r="M58" s="8">
        <f>K58-J58</f>
        <v/>
      </c>
      <c r="N58" s="8">
        <f>"S"&amp;(INT(K58/Resumen!$C$5)+1)&amp;"–S"&amp;MAX(INT(K58/Resumen!$C$5)+1,ROUNDUP(L58/Resumen!$C$5,0))</f>
        <v/>
      </c>
      <c r="O58" s="8" t="inlineStr">
        <is>
          <t>Pendiente</t>
        </is>
      </c>
      <c r="P58" s="8" t="inlineStr">
        <is>
          <t>Agregado</t>
        </is>
      </c>
      <c r="Q58" s="7" t="inlineStr">
        <is>
          <t>Yo (panel Vercel)</t>
        </is>
      </c>
      <c r="R58" s="7" t="inlineStr"/>
    </row>
    <row r="59">
      <c r="A59" s="19" t="inlineStr">
        <is>
          <t>6.10</t>
        </is>
      </c>
      <c r="B59" s="4" t="inlineStr">
        <is>
          <t>6. Pruebas y lanzamiento</t>
        </is>
      </c>
      <c r="C59" s="7" t="inlineStr">
        <is>
          <t>Revisar y aplicar en producción la migración blindar_solicitudes_y_revisiones (tasa_interes_mensual); ga-auditor-supabase revisa antes</t>
        </is>
      </c>
      <c r="D59" s="5" t="n">
        <v>1</v>
      </c>
      <c r="E59" s="8">
        <f>D59</f>
        <v/>
      </c>
      <c r="F59" s="4" t="inlineStr">
        <is>
          <t>3.1</t>
        </is>
      </c>
      <c r="G59" s="7" t="inlineStr">
        <is>
          <t>Sí</t>
        </is>
      </c>
      <c r="H59" s="7" t="inlineStr">
        <is>
          <t>4.1</t>
        </is>
      </c>
      <c r="I59" s="18" t="inlineStr">
        <is>
          <t>B</t>
        </is>
      </c>
      <c r="J59" s="8" t="n">
        <v>8</v>
      </c>
      <c r="K59" s="8" t="n">
        <v>19</v>
      </c>
      <c r="L59" s="8">
        <f>K59+E59</f>
        <v/>
      </c>
      <c r="M59" s="8">
        <f>K59-J59</f>
        <v/>
      </c>
      <c r="N59" s="8">
        <f>"S"&amp;(INT(K59/Resumen!$C$5)+1)&amp;"–S"&amp;MAX(INT(K59/Resumen!$C$5)+1,ROUNDUP(L59/Resumen!$C$5,0))</f>
        <v/>
      </c>
      <c r="O59" s="8" t="inlineStr">
        <is>
          <t>Hecho</t>
        </is>
      </c>
      <c r="P59" s="8" t="inlineStr">
        <is>
          <t>Agregado</t>
        </is>
      </c>
      <c r="Q59" s="7" t="inlineStr">
        <is>
          <t>Yo + ga-auditor-supabase</t>
        </is>
      </c>
      <c r="R59" s="7" t="inlineStr"/>
    </row>
    <row r="60">
      <c r="A60" s="19" t="inlineStr">
        <is>
          <t>6.11</t>
        </is>
      </c>
      <c r="B60" s="4" t="inlineStr">
        <is>
          <t>6. Pruebas y lanzamiento</t>
        </is>
      </c>
      <c r="C60" s="7" t="inlineStr">
        <is>
          <t>Clave del límite de intentos con HMAC-SHA256 y LIMITE_HMAC_SECRET (M-2 de la auditoría de P-43)</t>
        </is>
      </c>
      <c r="D60" s="5" t="n">
        <v>1</v>
      </c>
      <c r="E60" s="8">
        <f>D60</f>
        <v/>
      </c>
      <c r="F60" s="4" t="inlineStr">
        <is>
          <t>2.5, 2.9</t>
        </is>
      </c>
      <c r="G60" s="7" t="inlineStr">
        <is>
          <t>Sí</t>
        </is>
      </c>
      <c r="H60" s="7" t="inlineStr">
        <is>
          <t>4.1</t>
        </is>
      </c>
      <c r="I60" s="18" t="inlineStr">
        <is>
          <t>B</t>
        </is>
      </c>
      <c r="J60" s="8" t="n">
        <v>17</v>
      </c>
      <c r="K60" s="8" t="n">
        <v>18</v>
      </c>
      <c r="L60" s="8">
        <f>K60+E60</f>
        <v/>
      </c>
      <c r="M60" s="8">
        <f>K60-J60</f>
        <v/>
      </c>
      <c r="N60" s="8">
        <f>"S"&amp;(INT(K60/Resumen!$C$5)+1)&amp;"–S"&amp;MAX(INT(K60/Resumen!$C$5)+1,ROUNDUP(L60/Resumen!$C$5,0))</f>
        <v/>
      </c>
      <c r="O60" s="8" t="inlineStr">
        <is>
          <t>Hecho</t>
        </is>
      </c>
      <c r="P60" s="8" t="inlineStr">
        <is>
          <t>Agregado</t>
        </is>
      </c>
      <c r="Q60" s="7" t="inlineStr">
        <is>
          <t>ga-funcionalidad-botones</t>
        </is>
      </c>
      <c r="R60" s="7" t="inlineStr"/>
    </row>
    <row r="61">
      <c r="A61" s="19" t="inlineStr">
        <is>
          <t>6.12</t>
        </is>
      </c>
      <c r="B61" s="4" t="inlineStr">
        <is>
          <t>6. Pruebas y lanzamiento</t>
        </is>
      </c>
      <c r="C61" s="7" t="inlineStr">
        <is>
          <t>Alerta en los logs de Vercel para limite_de_intentos_fallo y limite_secreto_faltante</t>
        </is>
      </c>
      <c r="D61" s="5" t="n">
        <v>1</v>
      </c>
      <c r="E61" s="8">
        <f>D61</f>
        <v/>
      </c>
      <c r="F61" s="4" t="inlineStr">
        <is>
          <t>6.11</t>
        </is>
      </c>
      <c r="G61" s="7" t="inlineStr">
        <is>
          <t>Sí</t>
        </is>
      </c>
      <c r="H61" s="7" t="inlineStr">
        <is>
          <t>5.9</t>
        </is>
      </c>
      <c r="I61" s="18" t="inlineStr">
        <is>
          <t>B</t>
        </is>
      </c>
      <c r="J61" s="8" t="n">
        <v>49</v>
      </c>
      <c r="K61" s="8" t="n">
        <v>63</v>
      </c>
      <c r="L61" s="8">
        <f>K61+E61</f>
        <v/>
      </c>
      <c r="M61" s="8">
        <f>K61-J61</f>
        <v/>
      </c>
      <c r="N61" s="8">
        <f>"S"&amp;(INT(K61/Resumen!$C$5)+1)&amp;"–S"&amp;MAX(INT(K61/Resumen!$C$5)+1,ROUNDUP(L61/Resumen!$C$5,0))</f>
        <v/>
      </c>
      <c r="O61" s="8" t="inlineStr">
        <is>
          <t>Pendiente</t>
        </is>
      </c>
      <c r="P61" s="8" t="inlineStr">
        <is>
          <t>Agregado</t>
        </is>
      </c>
      <c r="Q61" s="7" t="inlineStr">
        <is>
          <t>Yo (panel Vercel)</t>
        </is>
      </c>
      <c r="R61" s="7" t="inlineStr"/>
    </row>
    <row r="62">
      <c r="A62" s="19" t="inlineStr">
        <is>
          <t>6.13</t>
        </is>
      </c>
      <c r="B62" s="4" t="inlineStr">
        <is>
          <t>6. Pruebas y lanzamiento</t>
        </is>
      </c>
      <c r="C62" s="7" t="inlineStr">
        <is>
          <t>Aplicar en producción las 9 migraciones de fase 2 (20260924000000…000800), tras comprobar 0 afiliaciones, y desplegar enseguida</t>
        </is>
      </c>
      <c r="D62" s="5" t="n">
        <v>1</v>
      </c>
      <c r="E62" s="8">
        <f>D62</f>
        <v/>
      </c>
      <c r="F62" s="4" t="inlineStr">
        <is>
          <t>1.6</t>
        </is>
      </c>
      <c r="G62" s="7" t="inlineStr">
        <is>
          <t>Sí</t>
        </is>
      </c>
      <c r="H62" s="7" t="inlineStr">
        <is>
          <t>4.3</t>
        </is>
      </c>
      <c r="I62" s="18" t="inlineStr">
        <is>
          <t>B</t>
        </is>
      </c>
      <c r="J62" s="8" t="n">
        <v>49</v>
      </c>
      <c r="K62" s="8" t="n">
        <v>51</v>
      </c>
      <c r="L62" s="8">
        <f>K62+E62</f>
        <v/>
      </c>
      <c r="M62" s="8">
        <f>K62-J62</f>
        <v/>
      </c>
      <c r="N62" s="8">
        <f>"S"&amp;(INT(K62/Resumen!$C$5)+1)&amp;"–S"&amp;MAX(INT(K62/Resumen!$C$5)+1,ROUNDUP(L62/Resumen!$C$5,0))</f>
        <v/>
      </c>
      <c r="O62" s="8" t="inlineStr">
        <is>
          <t>Pendiente</t>
        </is>
      </c>
      <c r="P62" s="8" t="inlineStr">
        <is>
          <t>Agregado</t>
        </is>
      </c>
      <c r="Q62" s="7" t="inlineStr">
        <is>
          <t>Sebas (ga-auditor-supabase revisa antes)</t>
        </is>
      </c>
      <c r="R62" s="7" t="inlineStr"/>
    </row>
    <row r="63">
      <c r="A63" s="19" t="inlineStr">
        <is>
          <t>6.14</t>
        </is>
      </c>
      <c r="B63" s="4" t="inlineStr">
        <is>
          <t>6. Pruebas y lanzamiento</t>
        </is>
      </c>
      <c r="C63" s="7" t="inlineStr">
        <is>
          <t>Pruebas en celulares reales (Android e iPhone): cámara para fotos, ingreso con código, sorteo, crédito y cómo se ven los correos en Gmail y Outlook; informe con capturas</t>
        </is>
      </c>
      <c r="D63" s="5" t="n">
        <v>1</v>
      </c>
      <c r="E63" s="8">
        <f>D63</f>
        <v/>
      </c>
      <c r="F63" s="4" t="inlineStr">
        <is>
          <t>2.12, 3.9, 3.7, 4.5</t>
        </is>
      </c>
      <c r="G63" s="7" t="inlineStr">
        <is>
          <t>Sí</t>
        </is>
      </c>
      <c r="H63" s="7" t="inlineStr">
        <is>
          <t>5.9</t>
        </is>
      </c>
      <c r="I63" s="18" t="inlineStr">
        <is>
          <t>B</t>
        </is>
      </c>
      <c r="J63" s="8" t="n">
        <v>49</v>
      </c>
      <c r="K63" s="8" t="n">
        <v>64</v>
      </c>
      <c r="L63" s="8">
        <f>K63+E63</f>
        <v/>
      </c>
      <c r="M63" s="8">
        <f>K63-J63</f>
        <v/>
      </c>
      <c r="N63" s="8">
        <f>"S"&amp;(INT(K63/Resumen!$C$5)+1)&amp;"–S"&amp;MAX(INT(K63/Resumen!$C$5)+1,ROUNDUP(L63/Resumen!$C$5,0))</f>
        <v/>
      </c>
      <c r="O63" s="8" t="inlineStr">
        <is>
          <t>Pendiente</t>
        </is>
      </c>
      <c r="P63" s="8" t="inlineStr">
        <is>
          <t>Agregado</t>
        </is>
      </c>
      <c r="Q63" s="7" t="inlineStr">
        <is>
          <t>Carlos Pardo</t>
        </is>
      </c>
      <c r="R63" s="7" t="inlineStr"/>
    </row>
    <row r="64">
      <c r="A64" s="19" t="inlineStr">
        <is>
          <t>6.15</t>
        </is>
      </c>
      <c r="B64" s="4" t="inlineStr">
        <is>
          <t>6. Pruebas y lanzamiento</t>
        </is>
      </c>
      <c r="C64" s="7" t="inlineStr">
        <is>
          <t>Actualizar tests/e2e b-ingreso, i-despliegue y j-produccion al formato nuevo de máscara de correo</t>
        </is>
      </c>
      <c r="D64" s="5" t="n">
        <v>1</v>
      </c>
      <c r="E64" s="8">
        <f>D64</f>
        <v/>
      </c>
      <c r="F64" s="4" t="inlineStr">
        <is>
          <t>6.1</t>
        </is>
      </c>
      <c r="G64" s="7" t="inlineStr">
        <is>
          <t>Sí</t>
        </is>
      </c>
      <c r="H64" s="7" t="inlineStr">
        <is>
          <t>5.9</t>
        </is>
      </c>
      <c r="I64" s="18" t="inlineStr">
        <is>
          <t>B</t>
        </is>
      </c>
      <c r="J64" s="8" t="n">
        <v>56</v>
      </c>
      <c r="K64" s="8" t="n">
        <v>62</v>
      </c>
      <c r="L64" s="8">
        <f>K64+E64</f>
        <v/>
      </c>
      <c r="M64" s="8">
        <f>K64-J64</f>
        <v/>
      </c>
      <c r="N64" s="8">
        <f>"S"&amp;(INT(K64/Resumen!$C$5)+1)&amp;"–S"&amp;MAX(INT(K64/Resumen!$C$5)+1,ROUNDUP(L64/Resumen!$C$5,0))</f>
        <v/>
      </c>
      <c r="O64" s="8" t="inlineStr">
        <is>
          <t>Pendiente</t>
        </is>
      </c>
      <c r="P64" s="8" t="inlineStr">
        <is>
          <t>Agregado</t>
        </is>
      </c>
      <c r="Q64" s="7" t="inlineStr">
        <is>
          <t>Carlos Pardo</t>
        </is>
      </c>
      <c r="R64" s="7" t="inlineStr"/>
    </row>
    <row r="66">
      <c r="A66" s="3" t="inlineStr">
        <is>
          <t>Notas</t>
        </is>
      </c>
    </row>
    <row r="67">
      <c r="A67" s="2" t="inlineStr">
        <is>
          <t>Peso (azul, fondo amarillo) = dato de entrada; 1 punto de peso = 1 bloque de tiempo (ver hoja Pesos).</t>
        </is>
      </c>
    </row>
    <row r="68">
      <c r="A68" s="2" t="inlineStr">
        <is>
          <t>«Origen: Agregado» = actividad que no estaba en la propuesta del 31-ago (p. ej. ingreso con código, afiliación, importación).</t>
        </is>
      </c>
    </row>
    <row r="69">
      <c r="A69" s="2" t="inlineStr">
        <is>
          <t>«En paralelo con» lista las tareas que comparten tiempo con esta en el plan optimizado.</t>
        </is>
      </c>
    </row>
    <row r="70">
      <c r="A70" s="2" t="inlineStr">
        <is>
          <t>Espera en cola = bloques entre que la tarea queda lista y una fila la toma.</t>
        </is>
      </c>
    </row>
  </sheetData>
  <autoFilter ref="A4:R64"/>
  <conditionalFormatting sqref="O5:O64">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64"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I74"/>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row>
    <row r="6" ht="26" customHeight="1">
      <c r="A6" s="25" t="inlineStr">
        <is>
          <t>Fila A — tarea en curso</t>
        </is>
      </c>
      <c r="H6" s="26">
        <f>IF(SUMPRODUCT(((Plan!$I$5:$I$64="A")+(Plan!$I$5:$I$64="A+B"))*(Plan!$K$5:$K$64&lt;H$5)*(Plan!$L$5:$L$64&gt;=H$5))=0,"",INDEX(Plan!$A$5:$A$64,SUMPRODUCT(((Plan!$I$5:$I$64="A")+(Plan!$I$5:$I$64="A+B"))*(Plan!$K$5:$K$64&lt;H$5)*(Plan!$L$5:$L$64&gt;=H$5)*(ROW(Plan!$A$5:$A$64)-4))))</f>
        <v/>
      </c>
      <c r="I6" s="26">
        <f>IF(SUMPRODUCT(((Plan!$I$5:$I$64="A")+(Plan!$I$5:$I$64="A+B"))*(Plan!$K$5:$K$64&lt;I$5)*(Plan!$L$5:$L$64&gt;=I$5))=0,"",INDEX(Plan!$A$5:$A$64,SUMPRODUCT(((Plan!$I$5:$I$64="A")+(Plan!$I$5:$I$64="A+B"))*(Plan!$K$5:$K$64&lt;I$5)*(Plan!$L$5:$L$64&gt;=I$5)*(ROW(Plan!$A$5:$A$64)-4))))</f>
        <v/>
      </c>
      <c r="J6" s="26">
        <f>IF(SUMPRODUCT(((Plan!$I$5:$I$64="A")+(Plan!$I$5:$I$64="A+B"))*(Plan!$K$5:$K$64&lt;J$5)*(Plan!$L$5:$L$64&gt;=J$5))=0,"",INDEX(Plan!$A$5:$A$64,SUMPRODUCT(((Plan!$I$5:$I$64="A")+(Plan!$I$5:$I$64="A+B"))*(Plan!$K$5:$K$64&lt;J$5)*(Plan!$L$5:$L$64&gt;=J$5)*(ROW(Plan!$A$5:$A$64)-4))))</f>
        <v/>
      </c>
      <c r="K6" s="26">
        <f>IF(SUMPRODUCT(((Plan!$I$5:$I$64="A")+(Plan!$I$5:$I$64="A+B"))*(Plan!$K$5:$K$64&lt;K$5)*(Plan!$L$5:$L$64&gt;=K$5))=0,"",INDEX(Plan!$A$5:$A$64,SUMPRODUCT(((Plan!$I$5:$I$64="A")+(Plan!$I$5:$I$64="A+B"))*(Plan!$K$5:$K$64&lt;K$5)*(Plan!$L$5:$L$64&gt;=K$5)*(ROW(Plan!$A$5:$A$64)-4))))</f>
        <v/>
      </c>
      <c r="L6" s="26">
        <f>IF(SUMPRODUCT(((Plan!$I$5:$I$64="A")+(Plan!$I$5:$I$64="A+B"))*(Plan!$K$5:$K$64&lt;L$5)*(Plan!$L$5:$L$64&gt;=L$5))=0,"",INDEX(Plan!$A$5:$A$64,SUMPRODUCT(((Plan!$I$5:$I$64="A")+(Plan!$I$5:$I$64="A+B"))*(Plan!$K$5:$K$64&lt;L$5)*(Plan!$L$5:$L$64&gt;=L$5)*(ROW(Plan!$A$5:$A$64)-4))))</f>
        <v/>
      </c>
      <c r="M6" s="26">
        <f>IF(SUMPRODUCT(((Plan!$I$5:$I$64="A")+(Plan!$I$5:$I$64="A+B"))*(Plan!$K$5:$K$64&lt;M$5)*(Plan!$L$5:$L$64&gt;=M$5))=0,"",INDEX(Plan!$A$5:$A$64,SUMPRODUCT(((Plan!$I$5:$I$64="A")+(Plan!$I$5:$I$64="A+B"))*(Plan!$K$5:$K$64&lt;M$5)*(Plan!$L$5:$L$64&gt;=M$5)*(ROW(Plan!$A$5:$A$64)-4))))</f>
        <v/>
      </c>
      <c r="N6" s="26">
        <f>IF(SUMPRODUCT(((Plan!$I$5:$I$64="A")+(Plan!$I$5:$I$64="A+B"))*(Plan!$K$5:$K$64&lt;N$5)*(Plan!$L$5:$L$64&gt;=N$5))=0,"",INDEX(Plan!$A$5:$A$64,SUMPRODUCT(((Plan!$I$5:$I$64="A")+(Plan!$I$5:$I$64="A+B"))*(Plan!$K$5:$K$64&lt;N$5)*(Plan!$L$5:$L$64&gt;=N$5)*(ROW(Plan!$A$5:$A$64)-4))))</f>
        <v/>
      </c>
      <c r="O6" s="26">
        <f>IF(SUMPRODUCT(((Plan!$I$5:$I$64="A")+(Plan!$I$5:$I$64="A+B"))*(Plan!$K$5:$K$64&lt;O$5)*(Plan!$L$5:$L$64&gt;=O$5))=0,"",INDEX(Plan!$A$5:$A$64,SUMPRODUCT(((Plan!$I$5:$I$64="A")+(Plan!$I$5:$I$64="A+B"))*(Plan!$K$5:$K$64&lt;O$5)*(Plan!$L$5:$L$64&gt;=O$5)*(ROW(Plan!$A$5:$A$64)-4))))</f>
        <v/>
      </c>
      <c r="P6" s="26">
        <f>IF(SUMPRODUCT(((Plan!$I$5:$I$64="A")+(Plan!$I$5:$I$64="A+B"))*(Plan!$K$5:$K$64&lt;P$5)*(Plan!$L$5:$L$64&gt;=P$5))=0,"",INDEX(Plan!$A$5:$A$64,SUMPRODUCT(((Plan!$I$5:$I$64="A")+(Plan!$I$5:$I$64="A+B"))*(Plan!$K$5:$K$64&lt;P$5)*(Plan!$L$5:$L$64&gt;=P$5)*(ROW(Plan!$A$5:$A$64)-4))))</f>
        <v/>
      </c>
      <c r="Q6" s="26">
        <f>IF(SUMPRODUCT(((Plan!$I$5:$I$64="A")+(Plan!$I$5:$I$64="A+B"))*(Plan!$K$5:$K$64&lt;Q$5)*(Plan!$L$5:$L$64&gt;=Q$5))=0,"",INDEX(Plan!$A$5:$A$64,SUMPRODUCT(((Plan!$I$5:$I$64="A")+(Plan!$I$5:$I$64="A+B"))*(Plan!$K$5:$K$64&lt;Q$5)*(Plan!$L$5:$L$64&gt;=Q$5)*(ROW(Plan!$A$5:$A$64)-4))))</f>
        <v/>
      </c>
      <c r="R6" s="26">
        <f>IF(SUMPRODUCT(((Plan!$I$5:$I$64="A")+(Plan!$I$5:$I$64="A+B"))*(Plan!$K$5:$K$64&lt;R$5)*(Plan!$L$5:$L$64&gt;=R$5))=0,"",INDEX(Plan!$A$5:$A$64,SUMPRODUCT(((Plan!$I$5:$I$64="A")+(Plan!$I$5:$I$64="A+B"))*(Plan!$K$5:$K$64&lt;R$5)*(Plan!$L$5:$L$64&gt;=R$5)*(ROW(Plan!$A$5:$A$64)-4))))</f>
        <v/>
      </c>
      <c r="S6" s="26">
        <f>IF(SUMPRODUCT(((Plan!$I$5:$I$64="A")+(Plan!$I$5:$I$64="A+B"))*(Plan!$K$5:$K$64&lt;S$5)*(Plan!$L$5:$L$64&gt;=S$5))=0,"",INDEX(Plan!$A$5:$A$64,SUMPRODUCT(((Plan!$I$5:$I$64="A")+(Plan!$I$5:$I$64="A+B"))*(Plan!$K$5:$K$64&lt;S$5)*(Plan!$L$5:$L$64&gt;=S$5)*(ROW(Plan!$A$5:$A$64)-4))))</f>
        <v/>
      </c>
      <c r="T6" s="26">
        <f>IF(SUMPRODUCT(((Plan!$I$5:$I$64="A")+(Plan!$I$5:$I$64="A+B"))*(Plan!$K$5:$K$64&lt;T$5)*(Plan!$L$5:$L$64&gt;=T$5))=0,"",INDEX(Plan!$A$5:$A$64,SUMPRODUCT(((Plan!$I$5:$I$64="A")+(Plan!$I$5:$I$64="A+B"))*(Plan!$K$5:$K$64&lt;T$5)*(Plan!$L$5:$L$64&gt;=T$5)*(ROW(Plan!$A$5:$A$64)-4))))</f>
        <v/>
      </c>
      <c r="U6" s="26">
        <f>IF(SUMPRODUCT(((Plan!$I$5:$I$64="A")+(Plan!$I$5:$I$64="A+B"))*(Plan!$K$5:$K$64&lt;U$5)*(Plan!$L$5:$L$64&gt;=U$5))=0,"",INDEX(Plan!$A$5:$A$64,SUMPRODUCT(((Plan!$I$5:$I$64="A")+(Plan!$I$5:$I$64="A+B"))*(Plan!$K$5:$K$64&lt;U$5)*(Plan!$L$5:$L$64&gt;=U$5)*(ROW(Plan!$A$5:$A$64)-4))))</f>
        <v/>
      </c>
      <c r="V6" s="26">
        <f>IF(SUMPRODUCT(((Plan!$I$5:$I$64="A")+(Plan!$I$5:$I$64="A+B"))*(Plan!$K$5:$K$64&lt;V$5)*(Plan!$L$5:$L$64&gt;=V$5))=0,"",INDEX(Plan!$A$5:$A$64,SUMPRODUCT(((Plan!$I$5:$I$64="A")+(Plan!$I$5:$I$64="A+B"))*(Plan!$K$5:$K$64&lt;V$5)*(Plan!$L$5:$L$64&gt;=V$5)*(ROW(Plan!$A$5:$A$64)-4))))</f>
        <v/>
      </c>
      <c r="W6" s="26">
        <f>IF(SUMPRODUCT(((Plan!$I$5:$I$64="A")+(Plan!$I$5:$I$64="A+B"))*(Plan!$K$5:$K$64&lt;W$5)*(Plan!$L$5:$L$64&gt;=W$5))=0,"",INDEX(Plan!$A$5:$A$64,SUMPRODUCT(((Plan!$I$5:$I$64="A")+(Plan!$I$5:$I$64="A+B"))*(Plan!$K$5:$K$64&lt;W$5)*(Plan!$L$5:$L$64&gt;=W$5)*(ROW(Plan!$A$5:$A$64)-4))))</f>
        <v/>
      </c>
      <c r="X6" s="26">
        <f>IF(SUMPRODUCT(((Plan!$I$5:$I$64="A")+(Plan!$I$5:$I$64="A+B"))*(Plan!$K$5:$K$64&lt;X$5)*(Plan!$L$5:$L$64&gt;=X$5))=0,"",INDEX(Plan!$A$5:$A$64,SUMPRODUCT(((Plan!$I$5:$I$64="A")+(Plan!$I$5:$I$64="A+B"))*(Plan!$K$5:$K$64&lt;X$5)*(Plan!$L$5:$L$64&gt;=X$5)*(ROW(Plan!$A$5:$A$64)-4))))</f>
        <v/>
      </c>
      <c r="Y6" s="26">
        <f>IF(SUMPRODUCT(((Plan!$I$5:$I$64="A")+(Plan!$I$5:$I$64="A+B"))*(Plan!$K$5:$K$64&lt;Y$5)*(Plan!$L$5:$L$64&gt;=Y$5))=0,"",INDEX(Plan!$A$5:$A$64,SUMPRODUCT(((Plan!$I$5:$I$64="A")+(Plan!$I$5:$I$64="A+B"))*(Plan!$K$5:$K$64&lt;Y$5)*(Plan!$L$5:$L$64&gt;=Y$5)*(ROW(Plan!$A$5:$A$64)-4))))</f>
        <v/>
      </c>
      <c r="Z6" s="26">
        <f>IF(SUMPRODUCT(((Plan!$I$5:$I$64="A")+(Plan!$I$5:$I$64="A+B"))*(Plan!$K$5:$K$64&lt;Z$5)*(Plan!$L$5:$L$64&gt;=Z$5))=0,"",INDEX(Plan!$A$5:$A$64,SUMPRODUCT(((Plan!$I$5:$I$64="A")+(Plan!$I$5:$I$64="A+B"))*(Plan!$K$5:$K$64&lt;Z$5)*(Plan!$L$5:$L$64&gt;=Z$5)*(ROW(Plan!$A$5:$A$64)-4))))</f>
        <v/>
      </c>
      <c r="AA6" s="26">
        <f>IF(SUMPRODUCT(((Plan!$I$5:$I$64="A")+(Plan!$I$5:$I$64="A+B"))*(Plan!$K$5:$K$64&lt;AA$5)*(Plan!$L$5:$L$64&gt;=AA$5))=0,"",INDEX(Plan!$A$5:$A$64,SUMPRODUCT(((Plan!$I$5:$I$64="A")+(Plan!$I$5:$I$64="A+B"))*(Plan!$K$5:$K$64&lt;AA$5)*(Plan!$L$5:$L$64&gt;=AA$5)*(ROW(Plan!$A$5:$A$64)-4))))</f>
        <v/>
      </c>
      <c r="AB6" s="26">
        <f>IF(SUMPRODUCT(((Plan!$I$5:$I$64="A")+(Plan!$I$5:$I$64="A+B"))*(Plan!$K$5:$K$64&lt;AB$5)*(Plan!$L$5:$L$64&gt;=AB$5))=0,"",INDEX(Plan!$A$5:$A$64,SUMPRODUCT(((Plan!$I$5:$I$64="A")+(Plan!$I$5:$I$64="A+B"))*(Plan!$K$5:$K$64&lt;AB$5)*(Plan!$L$5:$L$64&gt;=AB$5)*(ROW(Plan!$A$5:$A$64)-4))))</f>
        <v/>
      </c>
      <c r="AC6" s="26">
        <f>IF(SUMPRODUCT(((Plan!$I$5:$I$64="A")+(Plan!$I$5:$I$64="A+B"))*(Plan!$K$5:$K$64&lt;AC$5)*(Plan!$L$5:$L$64&gt;=AC$5))=0,"",INDEX(Plan!$A$5:$A$64,SUMPRODUCT(((Plan!$I$5:$I$64="A")+(Plan!$I$5:$I$64="A+B"))*(Plan!$K$5:$K$64&lt;AC$5)*(Plan!$L$5:$L$64&gt;=AC$5)*(ROW(Plan!$A$5:$A$64)-4))))</f>
        <v/>
      </c>
      <c r="AD6" s="26">
        <f>IF(SUMPRODUCT(((Plan!$I$5:$I$64="A")+(Plan!$I$5:$I$64="A+B"))*(Plan!$K$5:$K$64&lt;AD$5)*(Plan!$L$5:$L$64&gt;=AD$5))=0,"",INDEX(Plan!$A$5:$A$64,SUMPRODUCT(((Plan!$I$5:$I$64="A")+(Plan!$I$5:$I$64="A+B"))*(Plan!$K$5:$K$64&lt;AD$5)*(Plan!$L$5:$L$64&gt;=AD$5)*(ROW(Plan!$A$5:$A$64)-4))))</f>
        <v/>
      </c>
      <c r="AE6" s="26">
        <f>IF(SUMPRODUCT(((Plan!$I$5:$I$64="A")+(Plan!$I$5:$I$64="A+B"))*(Plan!$K$5:$K$64&lt;AE$5)*(Plan!$L$5:$L$64&gt;=AE$5))=0,"",INDEX(Plan!$A$5:$A$64,SUMPRODUCT(((Plan!$I$5:$I$64="A")+(Plan!$I$5:$I$64="A+B"))*(Plan!$K$5:$K$64&lt;AE$5)*(Plan!$L$5:$L$64&gt;=AE$5)*(ROW(Plan!$A$5:$A$64)-4))))</f>
        <v/>
      </c>
      <c r="AF6" s="26">
        <f>IF(SUMPRODUCT(((Plan!$I$5:$I$64="A")+(Plan!$I$5:$I$64="A+B"))*(Plan!$K$5:$K$64&lt;AF$5)*(Plan!$L$5:$L$64&gt;=AF$5))=0,"",INDEX(Plan!$A$5:$A$64,SUMPRODUCT(((Plan!$I$5:$I$64="A")+(Plan!$I$5:$I$64="A+B"))*(Plan!$K$5:$K$64&lt;AF$5)*(Plan!$L$5:$L$64&gt;=AF$5)*(ROW(Plan!$A$5:$A$64)-4))))</f>
        <v/>
      </c>
      <c r="AG6" s="26">
        <f>IF(SUMPRODUCT(((Plan!$I$5:$I$64="A")+(Plan!$I$5:$I$64="A+B"))*(Plan!$K$5:$K$64&lt;AG$5)*(Plan!$L$5:$L$64&gt;=AG$5))=0,"",INDEX(Plan!$A$5:$A$64,SUMPRODUCT(((Plan!$I$5:$I$64="A")+(Plan!$I$5:$I$64="A+B"))*(Plan!$K$5:$K$64&lt;AG$5)*(Plan!$L$5:$L$64&gt;=AG$5)*(ROW(Plan!$A$5:$A$64)-4))))</f>
        <v/>
      </c>
      <c r="AH6" s="26">
        <f>IF(SUMPRODUCT(((Plan!$I$5:$I$64="A")+(Plan!$I$5:$I$64="A+B"))*(Plan!$K$5:$K$64&lt;AH$5)*(Plan!$L$5:$L$64&gt;=AH$5))=0,"",INDEX(Plan!$A$5:$A$64,SUMPRODUCT(((Plan!$I$5:$I$64="A")+(Plan!$I$5:$I$64="A+B"))*(Plan!$K$5:$K$64&lt;AH$5)*(Plan!$L$5:$L$64&gt;=AH$5)*(ROW(Plan!$A$5:$A$64)-4))))</f>
        <v/>
      </c>
      <c r="AI6" s="26">
        <f>IF(SUMPRODUCT(((Plan!$I$5:$I$64="A")+(Plan!$I$5:$I$64="A+B"))*(Plan!$K$5:$K$64&lt;AI$5)*(Plan!$L$5:$L$64&gt;=AI$5))=0,"",INDEX(Plan!$A$5:$A$64,SUMPRODUCT(((Plan!$I$5:$I$64="A")+(Plan!$I$5:$I$64="A+B"))*(Plan!$K$5:$K$64&lt;AI$5)*(Plan!$L$5:$L$64&gt;=AI$5)*(ROW(Plan!$A$5:$A$64)-4))))</f>
        <v/>
      </c>
      <c r="AJ6" s="26">
        <f>IF(SUMPRODUCT(((Plan!$I$5:$I$64="A")+(Plan!$I$5:$I$64="A+B"))*(Plan!$K$5:$K$64&lt;AJ$5)*(Plan!$L$5:$L$64&gt;=AJ$5))=0,"",INDEX(Plan!$A$5:$A$64,SUMPRODUCT(((Plan!$I$5:$I$64="A")+(Plan!$I$5:$I$64="A+B"))*(Plan!$K$5:$K$64&lt;AJ$5)*(Plan!$L$5:$L$64&gt;=AJ$5)*(ROW(Plan!$A$5:$A$64)-4))))</f>
        <v/>
      </c>
      <c r="AK6" s="26">
        <f>IF(SUMPRODUCT(((Plan!$I$5:$I$64="A")+(Plan!$I$5:$I$64="A+B"))*(Plan!$K$5:$K$64&lt;AK$5)*(Plan!$L$5:$L$64&gt;=AK$5))=0,"",INDEX(Plan!$A$5:$A$64,SUMPRODUCT(((Plan!$I$5:$I$64="A")+(Plan!$I$5:$I$64="A+B"))*(Plan!$K$5:$K$64&lt;AK$5)*(Plan!$L$5:$L$64&gt;=AK$5)*(ROW(Plan!$A$5:$A$64)-4))))</f>
        <v/>
      </c>
      <c r="AL6" s="26">
        <f>IF(SUMPRODUCT(((Plan!$I$5:$I$64="A")+(Plan!$I$5:$I$64="A+B"))*(Plan!$K$5:$K$64&lt;AL$5)*(Plan!$L$5:$L$64&gt;=AL$5))=0,"",INDEX(Plan!$A$5:$A$64,SUMPRODUCT(((Plan!$I$5:$I$64="A")+(Plan!$I$5:$I$64="A+B"))*(Plan!$K$5:$K$64&lt;AL$5)*(Plan!$L$5:$L$64&gt;=AL$5)*(ROW(Plan!$A$5:$A$64)-4))))</f>
        <v/>
      </c>
      <c r="AM6" s="26">
        <f>IF(SUMPRODUCT(((Plan!$I$5:$I$64="A")+(Plan!$I$5:$I$64="A+B"))*(Plan!$K$5:$K$64&lt;AM$5)*(Plan!$L$5:$L$64&gt;=AM$5))=0,"",INDEX(Plan!$A$5:$A$64,SUMPRODUCT(((Plan!$I$5:$I$64="A")+(Plan!$I$5:$I$64="A+B"))*(Plan!$K$5:$K$64&lt;AM$5)*(Plan!$L$5:$L$64&gt;=AM$5)*(ROW(Plan!$A$5:$A$64)-4))))</f>
        <v/>
      </c>
      <c r="AN6" s="26">
        <f>IF(SUMPRODUCT(((Plan!$I$5:$I$64="A")+(Plan!$I$5:$I$64="A+B"))*(Plan!$K$5:$K$64&lt;AN$5)*(Plan!$L$5:$L$64&gt;=AN$5))=0,"",INDEX(Plan!$A$5:$A$64,SUMPRODUCT(((Plan!$I$5:$I$64="A")+(Plan!$I$5:$I$64="A+B"))*(Plan!$K$5:$K$64&lt;AN$5)*(Plan!$L$5:$L$64&gt;=AN$5)*(ROW(Plan!$A$5:$A$64)-4))))</f>
        <v/>
      </c>
      <c r="AO6" s="26">
        <f>IF(SUMPRODUCT(((Plan!$I$5:$I$64="A")+(Plan!$I$5:$I$64="A+B"))*(Plan!$K$5:$K$64&lt;AO$5)*(Plan!$L$5:$L$64&gt;=AO$5))=0,"",INDEX(Plan!$A$5:$A$64,SUMPRODUCT(((Plan!$I$5:$I$64="A")+(Plan!$I$5:$I$64="A+B"))*(Plan!$K$5:$K$64&lt;AO$5)*(Plan!$L$5:$L$64&gt;=AO$5)*(ROW(Plan!$A$5:$A$64)-4))))</f>
        <v/>
      </c>
      <c r="AP6" s="26">
        <f>IF(SUMPRODUCT(((Plan!$I$5:$I$64="A")+(Plan!$I$5:$I$64="A+B"))*(Plan!$K$5:$K$64&lt;AP$5)*(Plan!$L$5:$L$64&gt;=AP$5))=0,"",INDEX(Plan!$A$5:$A$64,SUMPRODUCT(((Plan!$I$5:$I$64="A")+(Plan!$I$5:$I$64="A+B"))*(Plan!$K$5:$K$64&lt;AP$5)*(Plan!$L$5:$L$64&gt;=AP$5)*(ROW(Plan!$A$5:$A$64)-4))))</f>
        <v/>
      </c>
      <c r="AQ6" s="26">
        <f>IF(SUMPRODUCT(((Plan!$I$5:$I$64="A")+(Plan!$I$5:$I$64="A+B"))*(Plan!$K$5:$K$64&lt;AQ$5)*(Plan!$L$5:$L$64&gt;=AQ$5))=0,"",INDEX(Plan!$A$5:$A$64,SUMPRODUCT(((Plan!$I$5:$I$64="A")+(Plan!$I$5:$I$64="A+B"))*(Plan!$K$5:$K$64&lt;AQ$5)*(Plan!$L$5:$L$64&gt;=AQ$5)*(ROW(Plan!$A$5:$A$64)-4))))</f>
        <v/>
      </c>
      <c r="AR6" s="26">
        <f>IF(SUMPRODUCT(((Plan!$I$5:$I$64="A")+(Plan!$I$5:$I$64="A+B"))*(Plan!$K$5:$K$64&lt;AR$5)*(Plan!$L$5:$L$64&gt;=AR$5))=0,"",INDEX(Plan!$A$5:$A$64,SUMPRODUCT(((Plan!$I$5:$I$64="A")+(Plan!$I$5:$I$64="A+B"))*(Plan!$K$5:$K$64&lt;AR$5)*(Plan!$L$5:$L$64&gt;=AR$5)*(ROW(Plan!$A$5:$A$64)-4))))</f>
        <v/>
      </c>
      <c r="AS6" s="26">
        <f>IF(SUMPRODUCT(((Plan!$I$5:$I$64="A")+(Plan!$I$5:$I$64="A+B"))*(Plan!$K$5:$K$64&lt;AS$5)*(Plan!$L$5:$L$64&gt;=AS$5))=0,"",INDEX(Plan!$A$5:$A$64,SUMPRODUCT(((Plan!$I$5:$I$64="A")+(Plan!$I$5:$I$64="A+B"))*(Plan!$K$5:$K$64&lt;AS$5)*(Plan!$L$5:$L$64&gt;=AS$5)*(ROW(Plan!$A$5:$A$64)-4))))</f>
        <v/>
      </c>
      <c r="AT6" s="26">
        <f>IF(SUMPRODUCT(((Plan!$I$5:$I$64="A")+(Plan!$I$5:$I$64="A+B"))*(Plan!$K$5:$K$64&lt;AT$5)*(Plan!$L$5:$L$64&gt;=AT$5))=0,"",INDEX(Plan!$A$5:$A$64,SUMPRODUCT(((Plan!$I$5:$I$64="A")+(Plan!$I$5:$I$64="A+B"))*(Plan!$K$5:$K$64&lt;AT$5)*(Plan!$L$5:$L$64&gt;=AT$5)*(ROW(Plan!$A$5:$A$64)-4))))</f>
        <v/>
      </c>
      <c r="AU6" s="26">
        <f>IF(SUMPRODUCT(((Plan!$I$5:$I$64="A")+(Plan!$I$5:$I$64="A+B"))*(Plan!$K$5:$K$64&lt;AU$5)*(Plan!$L$5:$L$64&gt;=AU$5))=0,"",INDEX(Plan!$A$5:$A$64,SUMPRODUCT(((Plan!$I$5:$I$64="A")+(Plan!$I$5:$I$64="A+B"))*(Plan!$K$5:$K$64&lt;AU$5)*(Plan!$L$5:$L$64&gt;=AU$5)*(ROW(Plan!$A$5:$A$64)-4))))</f>
        <v/>
      </c>
      <c r="AV6" s="26">
        <f>IF(SUMPRODUCT(((Plan!$I$5:$I$64="A")+(Plan!$I$5:$I$64="A+B"))*(Plan!$K$5:$K$64&lt;AV$5)*(Plan!$L$5:$L$64&gt;=AV$5))=0,"",INDEX(Plan!$A$5:$A$64,SUMPRODUCT(((Plan!$I$5:$I$64="A")+(Plan!$I$5:$I$64="A+B"))*(Plan!$K$5:$K$64&lt;AV$5)*(Plan!$L$5:$L$64&gt;=AV$5)*(ROW(Plan!$A$5:$A$64)-4))))</f>
        <v/>
      </c>
      <c r="AW6" s="26">
        <f>IF(SUMPRODUCT(((Plan!$I$5:$I$64="A")+(Plan!$I$5:$I$64="A+B"))*(Plan!$K$5:$K$64&lt;AW$5)*(Plan!$L$5:$L$64&gt;=AW$5))=0,"",INDEX(Plan!$A$5:$A$64,SUMPRODUCT(((Plan!$I$5:$I$64="A")+(Plan!$I$5:$I$64="A+B"))*(Plan!$K$5:$K$64&lt;AW$5)*(Plan!$L$5:$L$64&gt;=AW$5)*(ROW(Plan!$A$5:$A$64)-4))))</f>
        <v/>
      </c>
      <c r="AX6" s="26">
        <f>IF(SUMPRODUCT(((Plan!$I$5:$I$64="A")+(Plan!$I$5:$I$64="A+B"))*(Plan!$K$5:$K$64&lt;AX$5)*(Plan!$L$5:$L$64&gt;=AX$5))=0,"",INDEX(Plan!$A$5:$A$64,SUMPRODUCT(((Plan!$I$5:$I$64="A")+(Plan!$I$5:$I$64="A+B"))*(Plan!$K$5:$K$64&lt;AX$5)*(Plan!$L$5:$L$64&gt;=AX$5)*(ROW(Plan!$A$5:$A$64)-4))))</f>
        <v/>
      </c>
      <c r="AY6" s="26">
        <f>IF(SUMPRODUCT(((Plan!$I$5:$I$64="A")+(Plan!$I$5:$I$64="A+B"))*(Plan!$K$5:$K$64&lt;AY$5)*(Plan!$L$5:$L$64&gt;=AY$5))=0,"",INDEX(Plan!$A$5:$A$64,SUMPRODUCT(((Plan!$I$5:$I$64="A")+(Plan!$I$5:$I$64="A+B"))*(Plan!$K$5:$K$64&lt;AY$5)*(Plan!$L$5:$L$64&gt;=AY$5)*(ROW(Plan!$A$5:$A$64)-4))))</f>
        <v/>
      </c>
      <c r="AZ6" s="26">
        <f>IF(SUMPRODUCT(((Plan!$I$5:$I$64="A")+(Plan!$I$5:$I$64="A+B"))*(Plan!$K$5:$K$64&lt;AZ$5)*(Plan!$L$5:$L$64&gt;=AZ$5))=0,"",INDEX(Plan!$A$5:$A$64,SUMPRODUCT(((Plan!$I$5:$I$64="A")+(Plan!$I$5:$I$64="A+B"))*(Plan!$K$5:$K$64&lt;AZ$5)*(Plan!$L$5:$L$64&gt;=AZ$5)*(ROW(Plan!$A$5:$A$64)-4))))</f>
        <v/>
      </c>
      <c r="BA6" s="26">
        <f>IF(SUMPRODUCT(((Plan!$I$5:$I$64="A")+(Plan!$I$5:$I$64="A+B"))*(Plan!$K$5:$K$64&lt;BA$5)*(Plan!$L$5:$L$64&gt;=BA$5))=0,"",INDEX(Plan!$A$5:$A$64,SUMPRODUCT(((Plan!$I$5:$I$64="A")+(Plan!$I$5:$I$64="A+B"))*(Plan!$K$5:$K$64&lt;BA$5)*(Plan!$L$5:$L$64&gt;=BA$5)*(ROW(Plan!$A$5:$A$64)-4))))</f>
        <v/>
      </c>
      <c r="BB6" s="26">
        <f>IF(SUMPRODUCT(((Plan!$I$5:$I$64="A")+(Plan!$I$5:$I$64="A+B"))*(Plan!$K$5:$K$64&lt;BB$5)*(Plan!$L$5:$L$64&gt;=BB$5))=0,"",INDEX(Plan!$A$5:$A$64,SUMPRODUCT(((Plan!$I$5:$I$64="A")+(Plan!$I$5:$I$64="A+B"))*(Plan!$K$5:$K$64&lt;BB$5)*(Plan!$L$5:$L$64&gt;=BB$5)*(ROW(Plan!$A$5:$A$64)-4))))</f>
        <v/>
      </c>
      <c r="BC6" s="26">
        <f>IF(SUMPRODUCT(((Plan!$I$5:$I$64="A")+(Plan!$I$5:$I$64="A+B"))*(Plan!$K$5:$K$64&lt;BC$5)*(Plan!$L$5:$L$64&gt;=BC$5))=0,"",INDEX(Plan!$A$5:$A$64,SUMPRODUCT(((Plan!$I$5:$I$64="A")+(Plan!$I$5:$I$64="A+B"))*(Plan!$K$5:$K$64&lt;BC$5)*(Plan!$L$5:$L$64&gt;=BC$5)*(ROW(Plan!$A$5:$A$64)-4))))</f>
        <v/>
      </c>
      <c r="BD6" s="26">
        <f>IF(SUMPRODUCT(((Plan!$I$5:$I$64="A")+(Plan!$I$5:$I$64="A+B"))*(Plan!$K$5:$K$64&lt;BD$5)*(Plan!$L$5:$L$64&gt;=BD$5))=0,"",INDEX(Plan!$A$5:$A$64,SUMPRODUCT(((Plan!$I$5:$I$64="A")+(Plan!$I$5:$I$64="A+B"))*(Plan!$K$5:$K$64&lt;BD$5)*(Plan!$L$5:$L$64&gt;=BD$5)*(ROW(Plan!$A$5:$A$64)-4))))</f>
        <v/>
      </c>
      <c r="BE6" s="26">
        <f>IF(SUMPRODUCT(((Plan!$I$5:$I$64="A")+(Plan!$I$5:$I$64="A+B"))*(Plan!$K$5:$K$64&lt;BE$5)*(Plan!$L$5:$L$64&gt;=BE$5))=0,"",INDEX(Plan!$A$5:$A$64,SUMPRODUCT(((Plan!$I$5:$I$64="A")+(Plan!$I$5:$I$64="A+B"))*(Plan!$K$5:$K$64&lt;BE$5)*(Plan!$L$5:$L$64&gt;=BE$5)*(ROW(Plan!$A$5:$A$64)-4))))</f>
        <v/>
      </c>
      <c r="BF6" s="26">
        <f>IF(SUMPRODUCT(((Plan!$I$5:$I$64="A")+(Plan!$I$5:$I$64="A+B"))*(Plan!$K$5:$K$64&lt;BF$5)*(Plan!$L$5:$L$64&gt;=BF$5))=0,"",INDEX(Plan!$A$5:$A$64,SUMPRODUCT(((Plan!$I$5:$I$64="A")+(Plan!$I$5:$I$64="A+B"))*(Plan!$K$5:$K$64&lt;BF$5)*(Plan!$L$5:$L$64&gt;=BF$5)*(ROW(Plan!$A$5:$A$64)-4))))</f>
        <v/>
      </c>
      <c r="BG6" s="26">
        <f>IF(SUMPRODUCT(((Plan!$I$5:$I$64="A")+(Plan!$I$5:$I$64="A+B"))*(Plan!$K$5:$K$64&lt;BG$5)*(Plan!$L$5:$L$64&gt;=BG$5))=0,"",INDEX(Plan!$A$5:$A$64,SUMPRODUCT(((Plan!$I$5:$I$64="A")+(Plan!$I$5:$I$64="A+B"))*(Plan!$K$5:$K$64&lt;BG$5)*(Plan!$L$5:$L$64&gt;=BG$5)*(ROW(Plan!$A$5:$A$64)-4))))</f>
        <v/>
      </c>
      <c r="BH6" s="26">
        <f>IF(SUMPRODUCT(((Plan!$I$5:$I$64="A")+(Plan!$I$5:$I$64="A+B"))*(Plan!$K$5:$K$64&lt;BH$5)*(Plan!$L$5:$L$64&gt;=BH$5))=0,"",INDEX(Plan!$A$5:$A$64,SUMPRODUCT(((Plan!$I$5:$I$64="A")+(Plan!$I$5:$I$64="A+B"))*(Plan!$K$5:$K$64&lt;BH$5)*(Plan!$L$5:$L$64&gt;=BH$5)*(ROW(Plan!$A$5:$A$64)-4))))</f>
        <v/>
      </c>
      <c r="BI6" s="26">
        <f>IF(SUMPRODUCT(((Plan!$I$5:$I$64="A")+(Plan!$I$5:$I$64="A+B"))*(Plan!$K$5:$K$64&lt;BI$5)*(Plan!$L$5:$L$64&gt;=BI$5))=0,"",INDEX(Plan!$A$5:$A$64,SUMPRODUCT(((Plan!$I$5:$I$64="A")+(Plan!$I$5:$I$64="A+B"))*(Plan!$K$5:$K$64&lt;BI$5)*(Plan!$L$5:$L$64&gt;=BI$5)*(ROW(Plan!$A$5:$A$64)-4))))</f>
        <v/>
      </c>
      <c r="BJ6" s="26">
        <f>IF(SUMPRODUCT(((Plan!$I$5:$I$64="A")+(Plan!$I$5:$I$64="A+B"))*(Plan!$K$5:$K$64&lt;BJ$5)*(Plan!$L$5:$L$64&gt;=BJ$5))=0,"",INDEX(Plan!$A$5:$A$64,SUMPRODUCT(((Plan!$I$5:$I$64="A")+(Plan!$I$5:$I$64="A+B"))*(Plan!$K$5:$K$64&lt;BJ$5)*(Plan!$L$5:$L$64&gt;=BJ$5)*(ROW(Plan!$A$5:$A$64)-4))))</f>
        <v/>
      </c>
      <c r="BK6" s="26">
        <f>IF(SUMPRODUCT(((Plan!$I$5:$I$64="A")+(Plan!$I$5:$I$64="A+B"))*(Plan!$K$5:$K$64&lt;BK$5)*(Plan!$L$5:$L$64&gt;=BK$5))=0,"",INDEX(Plan!$A$5:$A$64,SUMPRODUCT(((Plan!$I$5:$I$64="A")+(Plan!$I$5:$I$64="A+B"))*(Plan!$K$5:$K$64&lt;BK$5)*(Plan!$L$5:$L$64&gt;=BK$5)*(ROW(Plan!$A$5:$A$64)-4))))</f>
        <v/>
      </c>
      <c r="BL6" s="26">
        <f>IF(SUMPRODUCT(((Plan!$I$5:$I$64="A")+(Plan!$I$5:$I$64="A+B"))*(Plan!$K$5:$K$64&lt;BL$5)*(Plan!$L$5:$L$64&gt;=BL$5))=0,"",INDEX(Plan!$A$5:$A$64,SUMPRODUCT(((Plan!$I$5:$I$64="A")+(Plan!$I$5:$I$64="A+B"))*(Plan!$K$5:$K$64&lt;BL$5)*(Plan!$L$5:$L$64&gt;=BL$5)*(ROW(Plan!$A$5:$A$64)-4))))</f>
        <v/>
      </c>
      <c r="BM6" s="26">
        <f>IF(SUMPRODUCT(((Plan!$I$5:$I$64="A")+(Plan!$I$5:$I$64="A+B"))*(Plan!$K$5:$K$64&lt;BM$5)*(Plan!$L$5:$L$64&gt;=BM$5))=0,"",INDEX(Plan!$A$5:$A$64,SUMPRODUCT(((Plan!$I$5:$I$64="A")+(Plan!$I$5:$I$64="A+B"))*(Plan!$K$5:$K$64&lt;BM$5)*(Plan!$L$5:$L$64&gt;=BM$5)*(ROW(Plan!$A$5:$A$64)-4))))</f>
        <v/>
      </c>
      <c r="BN6" s="26">
        <f>IF(SUMPRODUCT(((Plan!$I$5:$I$64="A")+(Plan!$I$5:$I$64="A+B"))*(Plan!$K$5:$K$64&lt;BN$5)*(Plan!$L$5:$L$64&gt;=BN$5))=0,"",INDEX(Plan!$A$5:$A$64,SUMPRODUCT(((Plan!$I$5:$I$64="A")+(Plan!$I$5:$I$64="A+B"))*(Plan!$K$5:$K$64&lt;BN$5)*(Plan!$L$5:$L$64&gt;=BN$5)*(ROW(Plan!$A$5:$A$64)-4))))</f>
        <v/>
      </c>
      <c r="BO6" s="26">
        <f>IF(SUMPRODUCT(((Plan!$I$5:$I$64="A")+(Plan!$I$5:$I$64="A+B"))*(Plan!$K$5:$K$64&lt;BO$5)*(Plan!$L$5:$L$64&gt;=BO$5))=0,"",INDEX(Plan!$A$5:$A$64,SUMPRODUCT(((Plan!$I$5:$I$64="A")+(Plan!$I$5:$I$64="A+B"))*(Plan!$K$5:$K$64&lt;BO$5)*(Plan!$L$5:$L$64&gt;=BO$5)*(ROW(Plan!$A$5:$A$64)-4))))</f>
        <v/>
      </c>
      <c r="BP6" s="26">
        <f>IF(SUMPRODUCT(((Plan!$I$5:$I$64="A")+(Plan!$I$5:$I$64="A+B"))*(Plan!$K$5:$K$64&lt;BP$5)*(Plan!$L$5:$L$64&gt;=BP$5))=0,"",INDEX(Plan!$A$5:$A$64,SUMPRODUCT(((Plan!$I$5:$I$64="A")+(Plan!$I$5:$I$64="A+B"))*(Plan!$K$5:$K$64&lt;BP$5)*(Plan!$L$5:$L$64&gt;=BP$5)*(ROW(Plan!$A$5:$A$64)-4))))</f>
        <v/>
      </c>
      <c r="BQ6" s="26">
        <f>IF(SUMPRODUCT(((Plan!$I$5:$I$64="A")+(Plan!$I$5:$I$64="A+B"))*(Plan!$K$5:$K$64&lt;BQ$5)*(Plan!$L$5:$L$64&gt;=BQ$5))=0,"",INDEX(Plan!$A$5:$A$64,SUMPRODUCT(((Plan!$I$5:$I$64="A")+(Plan!$I$5:$I$64="A+B"))*(Plan!$K$5:$K$64&lt;BQ$5)*(Plan!$L$5:$L$64&gt;=BQ$5)*(ROW(Plan!$A$5:$A$64)-4))))</f>
        <v/>
      </c>
      <c r="BR6" s="26">
        <f>IF(SUMPRODUCT(((Plan!$I$5:$I$64="A")+(Plan!$I$5:$I$64="A+B"))*(Plan!$K$5:$K$64&lt;BR$5)*(Plan!$L$5:$L$64&gt;=BR$5))=0,"",INDEX(Plan!$A$5:$A$64,SUMPRODUCT(((Plan!$I$5:$I$64="A")+(Plan!$I$5:$I$64="A+B"))*(Plan!$K$5:$K$64&lt;BR$5)*(Plan!$L$5:$L$64&gt;=BR$5)*(ROW(Plan!$A$5:$A$64)-4))))</f>
        <v/>
      </c>
      <c r="BS6" s="26">
        <f>IF(SUMPRODUCT(((Plan!$I$5:$I$64="A")+(Plan!$I$5:$I$64="A+B"))*(Plan!$K$5:$K$64&lt;BS$5)*(Plan!$L$5:$L$64&gt;=BS$5))=0,"",INDEX(Plan!$A$5:$A$64,SUMPRODUCT(((Plan!$I$5:$I$64="A")+(Plan!$I$5:$I$64="A+B"))*(Plan!$K$5:$K$64&lt;BS$5)*(Plan!$L$5:$L$64&gt;=BS$5)*(ROW(Plan!$A$5:$A$64)-4))))</f>
        <v/>
      </c>
      <c r="BT6" s="26">
        <f>IF(SUMPRODUCT(((Plan!$I$5:$I$64="A")+(Plan!$I$5:$I$64="A+B"))*(Plan!$K$5:$K$64&lt;BT$5)*(Plan!$L$5:$L$64&gt;=BT$5))=0,"",INDEX(Plan!$A$5:$A$64,SUMPRODUCT(((Plan!$I$5:$I$64="A")+(Plan!$I$5:$I$64="A+B"))*(Plan!$K$5:$K$64&lt;BT$5)*(Plan!$L$5:$L$64&gt;=BT$5)*(ROW(Plan!$A$5:$A$64)-4))))</f>
        <v/>
      </c>
      <c r="BU6" s="26">
        <f>IF(SUMPRODUCT(((Plan!$I$5:$I$64="A")+(Plan!$I$5:$I$64="A+B"))*(Plan!$K$5:$K$64&lt;BU$5)*(Plan!$L$5:$L$64&gt;=BU$5))=0,"",INDEX(Plan!$A$5:$A$64,SUMPRODUCT(((Plan!$I$5:$I$64="A")+(Plan!$I$5:$I$64="A+B"))*(Plan!$K$5:$K$64&lt;BU$5)*(Plan!$L$5:$L$64&gt;=BU$5)*(ROW(Plan!$A$5:$A$64)-4))))</f>
        <v/>
      </c>
      <c r="BV6" s="26">
        <f>IF(SUMPRODUCT(((Plan!$I$5:$I$64="A")+(Plan!$I$5:$I$64="A+B"))*(Plan!$K$5:$K$64&lt;BV$5)*(Plan!$L$5:$L$64&gt;=BV$5))=0,"",INDEX(Plan!$A$5:$A$64,SUMPRODUCT(((Plan!$I$5:$I$64="A")+(Plan!$I$5:$I$64="A+B"))*(Plan!$K$5:$K$64&lt;BV$5)*(Plan!$L$5:$L$64&gt;=BV$5)*(ROW(Plan!$A$5:$A$64)-4))))</f>
        <v/>
      </c>
      <c r="BW6" s="26">
        <f>IF(SUMPRODUCT(((Plan!$I$5:$I$64="A")+(Plan!$I$5:$I$64="A+B"))*(Plan!$K$5:$K$64&lt;BW$5)*(Plan!$L$5:$L$64&gt;=BW$5))=0,"",INDEX(Plan!$A$5:$A$64,SUMPRODUCT(((Plan!$I$5:$I$64="A")+(Plan!$I$5:$I$64="A+B"))*(Plan!$K$5:$K$64&lt;BW$5)*(Plan!$L$5:$L$64&gt;=BW$5)*(ROW(Plan!$A$5:$A$64)-4))))</f>
        <v/>
      </c>
      <c r="BX6" s="26">
        <f>IF(SUMPRODUCT(((Plan!$I$5:$I$64="A")+(Plan!$I$5:$I$64="A+B"))*(Plan!$K$5:$K$64&lt;BX$5)*(Plan!$L$5:$L$64&gt;=BX$5))=0,"",INDEX(Plan!$A$5:$A$64,SUMPRODUCT(((Plan!$I$5:$I$64="A")+(Plan!$I$5:$I$64="A+B"))*(Plan!$K$5:$K$64&lt;BX$5)*(Plan!$L$5:$L$64&gt;=BX$5)*(ROW(Plan!$A$5:$A$64)-4))))</f>
        <v/>
      </c>
      <c r="BY6" s="26">
        <f>IF(SUMPRODUCT(((Plan!$I$5:$I$64="A")+(Plan!$I$5:$I$64="A+B"))*(Plan!$K$5:$K$64&lt;BY$5)*(Plan!$L$5:$L$64&gt;=BY$5))=0,"",INDEX(Plan!$A$5:$A$64,SUMPRODUCT(((Plan!$I$5:$I$64="A")+(Plan!$I$5:$I$64="A+B"))*(Plan!$K$5:$K$64&lt;BY$5)*(Plan!$L$5:$L$64&gt;=BY$5)*(ROW(Plan!$A$5:$A$64)-4))))</f>
        <v/>
      </c>
      <c r="BZ6" s="26">
        <f>IF(SUMPRODUCT(((Plan!$I$5:$I$64="A")+(Plan!$I$5:$I$64="A+B"))*(Plan!$K$5:$K$64&lt;BZ$5)*(Plan!$L$5:$L$64&gt;=BZ$5))=0,"",INDEX(Plan!$A$5:$A$64,SUMPRODUCT(((Plan!$I$5:$I$64="A")+(Plan!$I$5:$I$64="A+B"))*(Plan!$K$5:$K$64&lt;BZ$5)*(Plan!$L$5:$L$64&gt;=BZ$5)*(ROW(Plan!$A$5:$A$64)-4))))</f>
        <v/>
      </c>
      <c r="CA6" s="26">
        <f>IF(SUMPRODUCT(((Plan!$I$5:$I$64="A")+(Plan!$I$5:$I$64="A+B"))*(Plan!$K$5:$K$64&lt;CA$5)*(Plan!$L$5:$L$64&gt;=CA$5))=0,"",INDEX(Plan!$A$5:$A$64,SUMPRODUCT(((Plan!$I$5:$I$64="A")+(Plan!$I$5:$I$64="A+B"))*(Plan!$K$5:$K$64&lt;CA$5)*(Plan!$L$5:$L$64&gt;=CA$5)*(ROW(Plan!$A$5:$A$64)-4))))</f>
        <v/>
      </c>
      <c r="CB6" s="26">
        <f>IF(SUMPRODUCT(((Plan!$I$5:$I$64="A")+(Plan!$I$5:$I$64="A+B"))*(Plan!$K$5:$K$64&lt;CB$5)*(Plan!$L$5:$L$64&gt;=CB$5))=0,"",INDEX(Plan!$A$5:$A$64,SUMPRODUCT(((Plan!$I$5:$I$64="A")+(Plan!$I$5:$I$64="A+B"))*(Plan!$K$5:$K$64&lt;CB$5)*(Plan!$L$5:$L$64&gt;=CB$5)*(ROW(Plan!$A$5:$A$64)-4))))</f>
        <v/>
      </c>
      <c r="CC6" s="26">
        <f>IF(SUMPRODUCT(((Plan!$I$5:$I$64="A")+(Plan!$I$5:$I$64="A+B"))*(Plan!$K$5:$K$64&lt;CC$5)*(Plan!$L$5:$L$64&gt;=CC$5))=0,"",INDEX(Plan!$A$5:$A$64,SUMPRODUCT(((Plan!$I$5:$I$64="A")+(Plan!$I$5:$I$64="A+B"))*(Plan!$K$5:$K$64&lt;CC$5)*(Plan!$L$5:$L$64&gt;=CC$5)*(ROW(Plan!$A$5:$A$64)-4))))</f>
        <v/>
      </c>
      <c r="CD6" s="26">
        <f>IF(SUMPRODUCT(((Plan!$I$5:$I$64="A")+(Plan!$I$5:$I$64="A+B"))*(Plan!$K$5:$K$64&lt;CD$5)*(Plan!$L$5:$L$64&gt;=CD$5))=0,"",INDEX(Plan!$A$5:$A$64,SUMPRODUCT(((Plan!$I$5:$I$64="A")+(Plan!$I$5:$I$64="A+B"))*(Plan!$K$5:$K$64&lt;CD$5)*(Plan!$L$5:$L$64&gt;=CD$5)*(ROW(Plan!$A$5:$A$64)-4))))</f>
        <v/>
      </c>
      <c r="CE6" s="26">
        <f>IF(SUMPRODUCT(((Plan!$I$5:$I$64="A")+(Plan!$I$5:$I$64="A+B"))*(Plan!$K$5:$K$64&lt;CE$5)*(Plan!$L$5:$L$64&gt;=CE$5))=0,"",INDEX(Plan!$A$5:$A$64,SUMPRODUCT(((Plan!$I$5:$I$64="A")+(Plan!$I$5:$I$64="A+B"))*(Plan!$K$5:$K$64&lt;CE$5)*(Plan!$L$5:$L$64&gt;=CE$5)*(ROW(Plan!$A$5:$A$64)-4))))</f>
        <v/>
      </c>
      <c r="CF6" s="26">
        <f>IF(SUMPRODUCT(((Plan!$I$5:$I$64="A")+(Plan!$I$5:$I$64="A+B"))*(Plan!$K$5:$K$64&lt;CF$5)*(Plan!$L$5:$L$64&gt;=CF$5))=0,"",INDEX(Plan!$A$5:$A$64,SUMPRODUCT(((Plan!$I$5:$I$64="A")+(Plan!$I$5:$I$64="A+B"))*(Plan!$K$5:$K$64&lt;CF$5)*(Plan!$L$5:$L$64&gt;=CF$5)*(ROW(Plan!$A$5:$A$64)-4))))</f>
        <v/>
      </c>
      <c r="CG6" s="26">
        <f>IF(SUMPRODUCT(((Plan!$I$5:$I$64="A")+(Plan!$I$5:$I$64="A+B"))*(Plan!$K$5:$K$64&lt;CG$5)*(Plan!$L$5:$L$64&gt;=CG$5))=0,"",INDEX(Plan!$A$5:$A$64,SUMPRODUCT(((Plan!$I$5:$I$64="A")+(Plan!$I$5:$I$64="A+B"))*(Plan!$K$5:$K$64&lt;CG$5)*(Plan!$L$5:$L$64&gt;=CG$5)*(ROW(Plan!$A$5:$A$64)-4))))</f>
        <v/>
      </c>
      <c r="CH6" s="26">
        <f>IF(SUMPRODUCT(((Plan!$I$5:$I$64="A")+(Plan!$I$5:$I$64="A+B"))*(Plan!$K$5:$K$64&lt;CH$5)*(Plan!$L$5:$L$64&gt;=CH$5))=0,"",INDEX(Plan!$A$5:$A$64,SUMPRODUCT(((Plan!$I$5:$I$64="A")+(Plan!$I$5:$I$64="A+B"))*(Plan!$K$5:$K$64&lt;CH$5)*(Plan!$L$5:$L$64&gt;=CH$5)*(ROW(Plan!$A$5:$A$64)-4))))</f>
        <v/>
      </c>
      <c r="CI6" s="26">
        <f>IF(SUMPRODUCT(((Plan!$I$5:$I$64="A")+(Plan!$I$5:$I$64="A+B"))*(Plan!$K$5:$K$64&lt;CI$5)*(Plan!$L$5:$L$64&gt;=CI$5))=0,"",INDEX(Plan!$A$5:$A$64,SUMPRODUCT(((Plan!$I$5:$I$64="A")+(Plan!$I$5:$I$64="A+B"))*(Plan!$K$5:$K$64&lt;CI$5)*(Plan!$L$5:$L$64&gt;=CI$5)*(ROW(Plan!$A$5:$A$64)-4))))</f>
        <v/>
      </c>
    </row>
    <row r="7" ht="26" customHeight="1">
      <c r="A7" s="22" t="inlineStr">
        <is>
          <t>Fila B — tarea en curso</t>
        </is>
      </c>
      <c r="H7" s="26">
        <f>IF(SUMPRODUCT(((Plan!$I$5:$I$64="B")+(Plan!$I$5:$I$64="A+B"))*(Plan!$K$5:$K$64&lt;H$5)*(Plan!$L$5:$L$64&gt;=H$5))=0,"",INDEX(Plan!$A$5:$A$64,SUMPRODUCT(((Plan!$I$5:$I$64="B")+(Plan!$I$5:$I$64="A+B"))*(Plan!$K$5:$K$64&lt;H$5)*(Plan!$L$5:$L$64&gt;=H$5)*(ROW(Plan!$A$5:$A$64)-4))))</f>
        <v/>
      </c>
      <c r="I7" s="26">
        <f>IF(SUMPRODUCT(((Plan!$I$5:$I$64="B")+(Plan!$I$5:$I$64="A+B"))*(Plan!$K$5:$K$64&lt;I$5)*(Plan!$L$5:$L$64&gt;=I$5))=0,"",INDEX(Plan!$A$5:$A$64,SUMPRODUCT(((Plan!$I$5:$I$64="B")+(Plan!$I$5:$I$64="A+B"))*(Plan!$K$5:$K$64&lt;I$5)*(Plan!$L$5:$L$64&gt;=I$5)*(ROW(Plan!$A$5:$A$64)-4))))</f>
        <v/>
      </c>
      <c r="J7" s="26">
        <f>IF(SUMPRODUCT(((Plan!$I$5:$I$64="B")+(Plan!$I$5:$I$64="A+B"))*(Plan!$K$5:$K$64&lt;J$5)*(Plan!$L$5:$L$64&gt;=J$5))=0,"",INDEX(Plan!$A$5:$A$64,SUMPRODUCT(((Plan!$I$5:$I$64="B")+(Plan!$I$5:$I$64="A+B"))*(Plan!$K$5:$K$64&lt;J$5)*(Plan!$L$5:$L$64&gt;=J$5)*(ROW(Plan!$A$5:$A$64)-4))))</f>
        <v/>
      </c>
      <c r="K7" s="26">
        <f>IF(SUMPRODUCT(((Plan!$I$5:$I$64="B")+(Plan!$I$5:$I$64="A+B"))*(Plan!$K$5:$K$64&lt;K$5)*(Plan!$L$5:$L$64&gt;=K$5))=0,"",INDEX(Plan!$A$5:$A$64,SUMPRODUCT(((Plan!$I$5:$I$64="B")+(Plan!$I$5:$I$64="A+B"))*(Plan!$K$5:$K$64&lt;K$5)*(Plan!$L$5:$L$64&gt;=K$5)*(ROW(Plan!$A$5:$A$64)-4))))</f>
        <v/>
      </c>
      <c r="L7" s="26">
        <f>IF(SUMPRODUCT(((Plan!$I$5:$I$64="B")+(Plan!$I$5:$I$64="A+B"))*(Plan!$K$5:$K$64&lt;L$5)*(Plan!$L$5:$L$64&gt;=L$5))=0,"",INDEX(Plan!$A$5:$A$64,SUMPRODUCT(((Plan!$I$5:$I$64="B")+(Plan!$I$5:$I$64="A+B"))*(Plan!$K$5:$K$64&lt;L$5)*(Plan!$L$5:$L$64&gt;=L$5)*(ROW(Plan!$A$5:$A$64)-4))))</f>
        <v/>
      </c>
      <c r="M7" s="26">
        <f>IF(SUMPRODUCT(((Plan!$I$5:$I$64="B")+(Plan!$I$5:$I$64="A+B"))*(Plan!$K$5:$K$64&lt;M$5)*(Plan!$L$5:$L$64&gt;=M$5))=0,"",INDEX(Plan!$A$5:$A$64,SUMPRODUCT(((Plan!$I$5:$I$64="B")+(Plan!$I$5:$I$64="A+B"))*(Plan!$K$5:$K$64&lt;M$5)*(Plan!$L$5:$L$64&gt;=M$5)*(ROW(Plan!$A$5:$A$64)-4))))</f>
        <v/>
      </c>
      <c r="N7" s="26">
        <f>IF(SUMPRODUCT(((Plan!$I$5:$I$64="B")+(Plan!$I$5:$I$64="A+B"))*(Plan!$K$5:$K$64&lt;N$5)*(Plan!$L$5:$L$64&gt;=N$5))=0,"",INDEX(Plan!$A$5:$A$64,SUMPRODUCT(((Plan!$I$5:$I$64="B")+(Plan!$I$5:$I$64="A+B"))*(Plan!$K$5:$K$64&lt;N$5)*(Plan!$L$5:$L$64&gt;=N$5)*(ROW(Plan!$A$5:$A$64)-4))))</f>
        <v/>
      </c>
      <c r="O7" s="26">
        <f>IF(SUMPRODUCT(((Plan!$I$5:$I$64="B")+(Plan!$I$5:$I$64="A+B"))*(Plan!$K$5:$K$64&lt;O$5)*(Plan!$L$5:$L$64&gt;=O$5))=0,"",INDEX(Plan!$A$5:$A$64,SUMPRODUCT(((Plan!$I$5:$I$64="B")+(Plan!$I$5:$I$64="A+B"))*(Plan!$K$5:$K$64&lt;O$5)*(Plan!$L$5:$L$64&gt;=O$5)*(ROW(Plan!$A$5:$A$64)-4))))</f>
        <v/>
      </c>
      <c r="P7" s="26">
        <f>IF(SUMPRODUCT(((Plan!$I$5:$I$64="B")+(Plan!$I$5:$I$64="A+B"))*(Plan!$K$5:$K$64&lt;P$5)*(Plan!$L$5:$L$64&gt;=P$5))=0,"",INDEX(Plan!$A$5:$A$64,SUMPRODUCT(((Plan!$I$5:$I$64="B")+(Plan!$I$5:$I$64="A+B"))*(Plan!$K$5:$K$64&lt;P$5)*(Plan!$L$5:$L$64&gt;=P$5)*(ROW(Plan!$A$5:$A$64)-4))))</f>
        <v/>
      </c>
      <c r="Q7" s="26">
        <f>IF(SUMPRODUCT(((Plan!$I$5:$I$64="B")+(Plan!$I$5:$I$64="A+B"))*(Plan!$K$5:$K$64&lt;Q$5)*(Plan!$L$5:$L$64&gt;=Q$5))=0,"",INDEX(Plan!$A$5:$A$64,SUMPRODUCT(((Plan!$I$5:$I$64="B")+(Plan!$I$5:$I$64="A+B"))*(Plan!$K$5:$K$64&lt;Q$5)*(Plan!$L$5:$L$64&gt;=Q$5)*(ROW(Plan!$A$5:$A$64)-4))))</f>
        <v/>
      </c>
      <c r="R7" s="26">
        <f>IF(SUMPRODUCT(((Plan!$I$5:$I$64="B")+(Plan!$I$5:$I$64="A+B"))*(Plan!$K$5:$K$64&lt;R$5)*(Plan!$L$5:$L$64&gt;=R$5))=0,"",INDEX(Plan!$A$5:$A$64,SUMPRODUCT(((Plan!$I$5:$I$64="B")+(Plan!$I$5:$I$64="A+B"))*(Plan!$K$5:$K$64&lt;R$5)*(Plan!$L$5:$L$64&gt;=R$5)*(ROW(Plan!$A$5:$A$64)-4))))</f>
        <v/>
      </c>
      <c r="S7" s="26">
        <f>IF(SUMPRODUCT(((Plan!$I$5:$I$64="B")+(Plan!$I$5:$I$64="A+B"))*(Plan!$K$5:$K$64&lt;S$5)*(Plan!$L$5:$L$64&gt;=S$5))=0,"",INDEX(Plan!$A$5:$A$64,SUMPRODUCT(((Plan!$I$5:$I$64="B")+(Plan!$I$5:$I$64="A+B"))*(Plan!$K$5:$K$64&lt;S$5)*(Plan!$L$5:$L$64&gt;=S$5)*(ROW(Plan!$A$5:$A$64)-4))))</f>
        <v/>
      </c>
      <c r="T7" s="26">
        <f>IF(SUMPRODUCT(((Plan!$I$5:$I$64="B")+(Plan!$I$5:$I$64="A+B"))*(Plan!$K$5:$K$64&lt;T$5)*(Plan!$L$5:$L$64&gt;=T$5))=0,"",INDEX(Plan!$A$5:$A$64,SUMPRODUCT(((Plan!$I$5:$I$64="B")+(Plan!$I$5:$I$64="A+B"))*(Plan!$K$5:$K$64&lt;T$5)*(Plan!$L$5:$L$64&gt;=T$5)*(ROW(Plan!$A$5:$A$64)-4))))</f>
        <v/>
      </c>
      <c r="U7" s="26">
        <f>IF(SUMPRODUCT(((Plan!$I$5:$I$64="B")+(Plan!$I$5:$I$64="A+B"))*(Plan!$K$5:$K$64&lt;U$5)*(Plan!$L$5:$L$64&gt;=U$5))=0,"",INDEX(Plan!$A$5:$A$64,SUMPRODUCT(((Plan!$I$5:$I$64="B")+(Plan!$I$5:$I$64="A+B"))*(Plan!$K$5:$K$64&lt;U$5)*(Plan!$L$5:$L$64&gt;=U$5)*(ROW(Plan!$A$5:$A$64)-4))))</f>
        <v/>
      </c>
      <c r="V7" s="26">
        <f>IF(SUMPRODUCT(((Plan!$I$5:$I$64="B")+(Plan!$I$5:$I$64="A+B"))*(Plan!$K$5:$K$64&lt;V$5)*(Plan!$L$5:$L$64&gt;=V$5))=0,"",INDEX(Plan!$A$5:$A$64,SUMPRODUCT(((Plan!$I$5:$I$64="B")+(Plan!$I$5:$I$64="A+B"))*(Plan!$K$5:$K$64&lt;V$5)*(Plan!$L$5:$L$64&gt;=V$5)*(ROW(Plan!$A$5:$A$64)-4))))</f>
        <v/>
      </c>
      <c r="W7" s="26">
        <f>IF(SUMPRODUCT(((Plan!$I$5:$I$64="B")+(Plan!$I$5:$I$64="A+B"))*(Plan!$K$5:$K$64&lt;W$5)*(Plan!$L$5:$L$64&gt;=W$5))=0,"",INDEX(Plan!$A$5:$A$64,SUMPRODUCT(((Plan!$I$5:$I$64="B")+(Plan!$I$5:$I$64="A+B"))*(Plan!$K$5:$K$64&lt;W$5)*(Plan!$L$5:$L$64&gt;=W$5)*(ROW(Plan!$A$5:$A$64)-4))))</f>
        <v/>
      </c>
      <c r="X7" s="26">
        <f>IF(SUMPRODUCT(((Plan!$I$5:$I$64="B")+(Plan!$I$5:$I$64="A+B"))*(Plan!$K$5:$K$64&lt;X$5)*(Plan!$L$5:$L$64&gt;=X$5))=0,"",INDEX(Plan!$A$5:$A$64,SUMPRODUCT(((Plan!$I$5:$I$64="B")+(Plan!$I$5:$I$64="A+B"))*(Plan!$K$5:$K$64&lt;X$5)*(Plan!$L$5:$L$64&gt;=X$5)*(ROW(Plan!$A$5:$A$64)-4))))</f>
        <v/>
      </c>
      <c r="Y7" s="26">
        <f>IF(SUMPRODUCT(((Plan!$I$5:$I$64="B")+(Plan!$I$5:$I$64="A+B"))*(Plan!$K$5:$K$64&lt;Y$5)*(Plan!$L$5:$L$64&gt;=Y$5))=0,"",INDEX(Plan!$A$5:$A$64,SUMPRODUCT(((Plan!$I$5:$I$64="B")+(Plan!$I$5:$I$64="A+B"))*(Plan!$K$5:$K$64&lt;Y$5)*(Plan!$L$5:$L$64&gt;=Y$5)*(ROW(Plan!$A$5:$A$64)-4))))</f>
        <v/>
      </c>
      <c r="Z7" s="26">
        <f>IF(SUMPRODUCT(((Plan!$I$5:$I$64="B")+(Plan!$I$5:$I$64="A+B"))*(Plan!$K$5:$K$64&lt;Z$5)*(Plan!$L$5:$L$64&gt;=Z$5))=0,"",INDEX(Plan!$A$5:$A$64,SUMPRODUCT(((Plan!$I$5:$I$64="B")+(Plan!$I$5:$I$64="A+B"))*(Plan!$K$5:$K$64&lt;Z$5)*(Plan!$L$5:$L$64&gt;=Z$5)*(ROW(Plan!$A$5:$A$64)-4))))</f>
        <v/>
      </c>
      <c r="AA7" s="26">
        <f>IF(SUMPRODUCT(((Plan!$I$5:$I$64="B")+(Plan!$I$5:$I$64="A+B"))*(Plan!$K$5:$K$64&lt;AA$5)*(Plan!$L$5:$L$64&gt;=AA$5))=0,"",INDEX(Plan!$A$5:$A$64,SUMPRODUCT(((Plan!$I$5:$I$64="B")+(Plan!$I$5:$I$64="A+B"))*(Plan!$K$5:$K$64&lt;AA$5)*(Plan!$L$5:$L$64&gt;=AA$5)*(ROW(Plan!$A$5:$A$64)-4))))</f>
        <v/>
      </c>
      <c r="AB7" s="26">
        <f>IF(SUMPRODUCT(((Plan!$I$5:$I$64="B")+(Plan!$I$5:$I$64="A+B"))*(Plan!$K$5:$K$64&lt;AB$5)*(Plan!$L$5:$L$64&gt;=AB$5))=0,"",INDEX(Plan!$A$5:$A$64,SUMPRODUCT(((Plan!$I$5:$I$64="B")+(Plan!$I$5:$I$64="A+B"))*(Plan!$K$5:$K$64&lt;AB$5)*(Plan!$L$5:$L$64&gt;=AB$5)*(ROW(Plan!$A$5:$A$64)-4))))</f>
        <v/>
      </c>
      <c r="AC7" s="26">
        <f>IF(SUMPRODUCT(((Plan!$I$5:$I$64="B")+(Plan!$I$5:$I$64="A+B"))*(Plan!$K$5:$K$64&lt;AC$5)*(Plan!$L$5:$L$64&gt;=AC$5))=0,"",INDEX(Plan!$A$5:$A$64,SUMPRODUCT(((Plan!$I$5:$I$64="B")+(Plan!$I$5:$I$64="A+B"))*(Plan!$K$5:$K$64&lt;AC$5)*(Plan!$L$5:$L$64&gt;=AC$5)*(ROW(Plan!$A$5:$A$64)-4))))</f>
        <v/>
      </c>
      <c r="AD7" s="26">
        <f>IF(SUMPRODUCT(((Plan!$I$5:$I$64="B")+(Plan!$I$5:$I$64="A+B"))*(Plan!$K$5:$K$64&lt;AD$5)*(Plan!$L$5:$L$64&gt;=AD$5))=0,"",INDEX(Plan!$A$5:$A$64,SUMPRODUCT(((Plan!$I$5:$I$64="B")+(Plan!$I$5:$I$64="A+B"))*(Plan!$K$5:$K$64&lt;AD$5)*(Plan!$L$5:$L$64&gt;=AD$5)*(ROW(Plan!$A$5:$A$64)-4))))</f>
        <v/>
      </c>
      <c r="AE7" s="26">
        <f>IF(SUMPRODUCT(((Plan!$I$5:$I$64="B")+(Plan!$I$5:$I$64="A+B"))*(Plan!$K$5:$K$64&lt;AE$5)*(Plan!$L$5:$L$64&gt;=AE$5))=0,"",INDEX(Plan!$A$5:$A$64,SUMPRODUCT(((Plan!$I$5:$I$64="B")+(Plan!$I$5:$I$64="A+B"))*(Plan!$K$5:$K$64&lt;AE$5)*(Plan!$L$5:$L$64&gt;=AE$5)*(ROW(Plan!$A$5:$A$64)-4))))</f>
        <v/>
      </c>
      <c r="AF7" s="26">
        <f>IF(SUMPRODUCT(((Plan!$I$5:$I$64="B")+(Plan!$I$5:$I$64="A+B"))*(Plan!$K$5:$K$64&lt;AF$5)*(Plan!$L$5:$L$64&gt;=AF$5))=0,"",INDEX(Plan!$A$5:$A$64,SUMPRODUCT(((Plan!$I$5:$I$64="B")+(Plan!$I$5:$I$64="A+B"))*(Plan!$K$5:$K$64&lt;AF$5)*(Plan!$L$5:$L$64&gt;=AF$5)*(ROW(Plan!$A$5:$A$64)-4))))</f>
        <v/>
      </c>
      <c r="AG7" s="26">
        <f>IF(SUMPRODUCT(((Plan!$I$5:$I$64="B")+(Plan!$I$5:$I$64="A+B"))*(Plan!$K$5:$K$64&lt;AG$5)*(Plan!$L$5:$L$64&gt;=AG$5))=0,"",INDEX(Plan!$A$5:$A$64,SUMPRODUCT(((Plan!$I$5:$I$64="B")+(Plan!$I$5:$I$64="A+B"))*(Plan!$K$5:$K$64&lt;AG$5)*(Plan!$L$5:$L$64&gt;=AG$5)*(ROW(Plan!$A$5:$A$64)-4))))</f>
        <v/>
      </c>
      <c r="AH7" s="26">
        <f>IF(SUMPRODUCT(((Plan!$I$5:$I$64="B")+(Plan!$I$5:$I$64="A+B"))*(Plan!$K$5:$K$64&lt;AH$5)*(Plan!$L$5:$L$64&gt;=AH$5))=0,"",INDEX(Plan!$A$5:$A$64,SUMPRODUCT(((Plan!$I$5:$I$64="B")+(Plan!$I$5:$I$64="A+B"))*(Plan!$K$5:$K$64&lt;AH$5)*(Plan!$L$5:$L$64&gt;=AH$5)*(ROW(Plan!$A$5:$A$64)-4))))</f>
        <v/>
      </c>
      <c r="AI7" s="26">
        <f>IF(SUMPRODUCT(((Plan!$I$5:$I$64="B")+(Plan!$I$5:$I$64="A+B"))*(Plan!$K$5:$K$64&lt;AI$5)*(Plan!$L$5:$L$64&gt;=AI$5))=0,"",INDEX(Plan!$A$5:$A$64,SUMPRODUCT(((Plan!$I$5:$I$64="B")+(Plan!$I$5:$I$64="A+B"))*(Plan!$K$5:$K$64&lt;AI$5)*(Plan!$L$5:$L$64&gt;=AI$5)*(ROW(Plan!$A$5:$A$64)-4))))</f>
        <v/>
      </c>
      <c r="AJ7" s="26">
        <f>IF(SUMPRODUCT(((Plan!$I$5:$I$64="B")+(Plan!$I$5:$I$64="A+B"))*(Plan!$K$5:$K$64&lt;AJ$5)*(Plan!$L$5:$L$64&gt;=AJ$5))=0,"",INDEX(Plan!$A$5:$A$64,SUMPRODUCT(((Plan!$I$5:$I$64="B")+(Plan!$I$5:$I$64="A+B"))*(Plan!$K$5:$K$64&lt;AJ$5)*(Plan!$L$5:$L$64&gt;=AJ$5)*(ROW(Plan!$A$5:$A$64)-4))))</f>
        <v/>
      </c>
      <c r="AK7" s="26">
        <f>IF(SUMPRODUCT(((Plan!$I$5:$I$64="B")+(Plan!$I$5:$I$64="A+B"))*(Plan!$K$5:$K$64&lt;AK$5)*(Plan!$L$5:$L$64&gt;=AK$5))=0,"",INDEX(Plan!$A$5:$A$64,SUMPRODUCT(((Plan!$I$5:$I$64="B")+(Plan!$I$5:$I$64="A+B"))*(Plan!$K$5:$K$64&lt;AK$5)*(Plan!$L$5:$L$64&gt;=AK$5)*(ROW(Plan!$A$5:$A$64)-4))))</f>
        <v/>
      </c>
      <c r="AL7" s="26">
        <f>IF(SUMPRODUCT(((Plan!$I$5:$I$64="B")+(Plan!$I$5:$I$64="A+B"))*(Plan!$K$5:$K$64&lt;AL$5)*(Plan!$L$5:$L$64&gt;=AL$5))=0,"",INDEX(Plan!$A$5:$A$64,SUMPRODUCT(((Plan!$I$5:$I$64="B")+(Plan!$I$5:$I$64="A+B"))*(Plan!$K$5:$K$64&lt;AL$5)*(Plan!$L$5:$L$64&gt;=AL$5)*(ROW(Plan!$A$5:$A$64)-4))))</f>
        <v/>
      </c>
      <c r="AM7" s="26">
        <f>IF(SUMPRODUCT(((Plan!$I$5:$I$64="B")+(Plan!$I$5:$I$64="A+B"))*(Plan!$K$5:$K$64&lt;AM$5)*(Plan!$L$5:$L$64&gt;=AM$5))=0,"",INDEX(Plan!$A$5:$A$64,SUMPRODUCT(((Plan!$I$5:$I$64="B")+(Plan!$I$5:$I$64="A+B"))*(Plan!$K$5:$K$64&lt;AM$5)*(Plan!$L$5:$L$64&gt;=AM$5)*(ROW(Plan!$A$5:$A$64)-4))))</f>
        <v/>
      </c>
      <c r="AN7" s="26">
        <f>IF(SUMPRODUCT(((Plan!$I$5:$I$64="B")+(Plan!$I$5:$I$64="A+B"))*(Plan!$K$5:$K$64&lt;AN$5)*(Plan!$L$5:$L$64&gt;=AN$5))=0,"",INDEX(Plan!$A$5:$A$64,SUMPRODUCT(((Plan!$I$5:$I$64="B")+(Plan!$I$5:$I$64="A+B"))*(Plan!$K$5:$K$64&lt;AN$5)*(Plan!$L$5:$L$64&gt;=AN$5)*(ROW(Plan!$A$5:$A$64)-4))))</f>
        <v/>
      </c>
      <c r="AO7" s="26">
        <f>IF(SUMPRODUCT(((Plan!$I$5:$I$64="B")+(Plan!$I$5:$I$64="A+B"))*(Plan!$K$5:$K$64&lt;AO$5)*(Plan!$L$5:$L$64&gt;=AO$5))=0,"",INDEX(Plan!$A$5:$A$64,SUMPRODUCT(((Plan!$I$5:$I$64="B")+(Plan!$I$5:$I$64="A+B"))*(Plan!$K$5:$K$64&lt;AO$5)*(Plan!$L$5:$L$64&gt;=AO$5)*(ROW(Plan!$A$5:$A$64)-4))))</f>
        <v/>
      </c>
      <c r="AP7" s="26">
        <f>IF(SUMPRODUCT(((Plan!$I$5:$I$64="B")+(Plan!$I$5:$I$64="A+B"))*(Plan!$K$5:$K$64&lt;AP$5)*(Plan!$L$5:$L$64&gt;=AP$5))=0,"",INDEX(Plan!$A$5:$A$64,SUMPRODUCT(((Plan!$I$5:$I$64="B")+(Plan!$I$5:$I$64="A+B"))*(Plan!$K$5:$K$64&lt;AP$5)*(Plan!$L$5:$L$64&gt;=AP$5)*(ROW(Plan!$A$5:$A$64)-4))))</f>
        <v/>
      </c>
      <c r="AQ7" s="26">
        <f>IF(SUMPRODUCT(((Plan!$I$5:$I$64="B")+(Plan!$I$5:$I$64="A+B"))*(Plan!$K$5:$K$64&lt;AQ$5)*(Plan!$L$5:$L$64&gt;=AQ$5))=0,"",INDEX(Plan!$A$5:$A$64,SUMPRODUCT(((Plan!$I$5:$I$64="B")+(Plan!$I$5:$I$64="A+B"))*(Plan!$K$5:$K$64&lt;AQ$5)*(Plan!$L$5:$L$64&gt;=AQ$5)*(ROW(Plan!$A$5:$A$64)-4))))</f>
        <v/>
      </c>
      <c r="AR7" s="26">
        <f>IF(SUMPRODUCT(((Plan!$I$5:$I$64="B")+(Plan!$I$5:$I$64="A+B"))*(Plan!$K$5:$K$64&lt;AR$5)*(Plan!$L$5:$L$64&gt;=AR$5))=0,"",INDEX(Plan!$A$5:$A$64,SUMPRODUCT(((Plan!$I$5:$I$64="B")+(Plan!$I$5:$I$64="A+B"))*(Plan!$K$5:$K$64&lt;AR$5)*(Plan!$L$5:$L$64&gt;=AR$5)*(ROW(Plan!$A$5:$A$64)-4))))</f>
        <v/>
      </c>
      <c r="AS7" s="26">
        <f>IF(SUMPRODUCT(((Plan!$I$5:$I$64="B")+(Plan!$I$5:$I$64="A+B"))*(Plan!$K$5:$K$64&lt;AS$5)*(Plan!$L$5:$L$64&gt;=AS$5))=0,"",INDEX(Plan!$A$5:$A$64,SUMPRODUCT(((Plan!$I$5:$I$64="B")+(Plan!$I$5:$I$64="A+B"))*(Plan!$K$5:$K$64&lt;AS$5)*(Plan!$L$5:$L$64&gt;=AS$5)*(ROW(Plan!$A$5:$A$64)-4))))</f>
        <v/>
      </c>
      <c r="AT7" s="26">
        <f>IF(SUMPRODUCT(((Plan!$I$5:$I$64="B")+(Plan!$I$5:$I$64="A+B"))*(Plan!$K$5:$K$64&lt;AT$5)*(Plan!$L$5:$L$64&gt;=AT$5))=0,"",INDEX(Plan!$A$5:$A$64,SUMPRODUCT(((Plan!$I$5:$I$64="B")+(Plan!$I$5:$I$64="A+B"))*(Plan!$K$5:$K$64&lt;AT$5)*(Plan!$L$5:$L$64&gt;=AT$5)*(ROW(Plan!$A$5:$A$64)-4))))</f>
        <v/>
      </c>
      <c r="AU7" s="26">
        <f>IF(SUMPRODUCT(((Plan!$I$5:$I$64="B")+(Plan!$I$5:$I$64="A+B"))*(Plan!$K$5:$K$64&lt;AU$5)*(Plan!$L$5:$L$64&gt;=AU$5))=0,"",INDEX(Plan!$A$5:$A$64,SUMPRODUCT(((Plan!$I$5:$I$64="B")+(Plan!$I$5:$I$64="A+B"))*(Plan!$K$5:$K$64&lt;AU$5)*(Plan!$L$5:$L$64&gt;=AU$5)*(ROW(Plan!$A$5:$A$64)-4))))</f>
        <v/>
      </c>
      <c r="AV7" s="26">
        <f>IF(SUMPRODUCT(((Plan!$I$5:$I$64="B")+(Plan!$I$5:$I$64="A+B"))*(Plan!$K$5:$K$64&lt;AV$5)*(Plan!$L$5:$L$64&gt;=AV$5))=0,"",INDEX(Plan!$A$5:$A$64,SUMPRODUCT(((Plan!$I$5:$I$64="B")+(Plan!$I$5:$I$64="A+B"))*(Plan!$K$5:$K$64&lt;AV$5)*(Plan!$L$5:$L$64&gt;=AV$5)*(ROW(Plan!$A$5:$A$64)-4))))</f>
        <v/>
      </c>
      <c r="AW7" s="26">
        <f>IF(SUMPRODUCT(((Plan!$I$5:$I$64="B")+(Plan!$I$5:$I$64="A+B"))*(Plan!$K$5:$K$64&lt;AW$5)*(Plan!$L$5:$L$64&gt;=AW$5))=0,"",INDEX(Plan!$A$5:$A$64,SUMPRODUCT(((Plan!$I$5:$I$64="B")+(Plan!$I$5:$I$64="A+B"))*(Plan!$K$5:$K$64&lt;AW$5)*(Plan!$L$5:$L$64&gt;=AW$5)*(ROW(Plan!$A$5:$A$64)-4))))</f>
        <v/>
      </c>
      <c r="AX7" s="26">
        <f>IF(SUMPRODUCT(((Plan!$I$5:$I$64="B")+(Plan!$I$5:$I$64="A+B"))*(Plan!$K$5:$K$64&lt;AX$5)*(Plan!$L$5:$L$64&gt;=AX$5))=0,"",INDEX(Plan!$A$5:$A$64,SUMPRODUCT(((Plan!$I$5:$I$64="B")+(Plan!$I$5:$I$64="A+B"))*(Plan!$K$5:$K$64&lt;AX$5)*(Plan!$L$5:$L$64&gt;=AX$5)*(ROW(Plan!$A$5:$A$64)-4))))</f>
        <v/>
      </c>
      <c r="AY7" s="26">
        <f>IF(SUMPRODUCT(((Plan!$I$5:$I$64="B")+(Plan!$I$5:$I$64="A+B"))*(Plan!$K$5:$K$64&lt;AY$5)*(Plan!$L$5:$L$64&gt;=AY$5))=0,"",INDEX(Plan!$A$5:$A$64,SUMPRODUCT(((Plan!$I$5:$I$64="B")+(Plan!$I$5:$I$64="A+B"))*(Plan!$K$5:$K$64&lt;AY$5)*(Plan!$L$5:$L$64&gt;=AY$5)*(ROW(Plan!$A$5:$A$64)-4))))</f>
        <v/>
      </c>
      <c r="AZ7" s="26">
        <f>IF(SUMPRODUCT(((Plan!$I$5:$I$64="B")+(Plan!$I$5:$I$64="A+B"))*(Plan!$K$5:$K$64&lt;AZ$5)*(Plan!$L$5:$L$64&gt;=AZ$5))=0,"",INDEX(Plan!$A$5:$A$64,SUMPRODUCT(((Plan!$I$5:$I$64="B")+(Plan!$I$5:$I$64="A+B"))*(Plan!$K$5:$K$64&lt;AZ$5)*(Plan!$L$5:$L$64&gt;=AZ$5)*(ROW(Plan!$A$5:$A$64)-4))))</f>
        <v/>
      </c>
      <c r="BA7" s="26">
        <f>IF(SUMPRODUCT(((Plan!$I$5:$I$64="B")+(Plan!$I$5:$I$64="A+B"))*(Plan!$K$5:$K$64&lt;BA$5)*(Plan!$L$5:$L$64&gt;=BA$5))=0,"",INDEX(Plan!$A$5:$A$64,SUMPRODUCT(((Plan!$I$5:$I$64="B")+(Plan!$I$5:$I$64="A+B"))*(Plan!$K$5:$K$64&lt;BA$5)*(Plan!$L$5:$L$64&gt;=BA$5)*(ROW(Plan!$A$5:$A$64)-4))))</f>
        <v/>
      </c>
      <c r="BB7" s="26">
        <f>IF(SUMPRODUCT(((Plan!$I$5:$I$64="B")+(Plan!$I$5:$I$64="A+B"))*(Plan!$K$5:$K$64&lt;BB$5)*(Plan!$L$5:$L$64&gt;=BB$5))=0,"",INDEX(Plan!$A$5:$A$64,SUMPRODUCT(((Plan!$I$5:$I$64="B")+(Plan!$I$5:$I$64="A+B"))*(Plan!$K$5:$K$64&lt;BB$5)*(Plan!$L$5:$L$64&gt;=BB$5)*(ROW(Plan!$A$5:$A$64)-4))))</f>
        <v/>
      </c>
      <c r="BC7" s="26">
        <f>IF(SUMPRODUCT(((Plan!$I$5:$I$64="B")+(Plan!$I$5:$I$64="A+B"))*(Plan!$K$5:$K$64&lt;BC$5)*(Plan!$L$5:$L$64&gt;=BC$5))=0,"",INDEX(Plan!$A$5:$A$64,SUMPRODUCT(((Plan!$I$5:$I$64="B")+(Plan!$I$5:$I$64="A+B"))*(Plan!$K$5:$K$64&lt;BC$5)*(Plan!$L$5:$L$64&gt;=BC$5)*(ROW(Plan!$A$5:$A$64)-4))))</f>
        <v/>
      </c>
      <c r="BD7" s="26">
        <f>IF(SUMPRODUCT(((Plan!$I$5:$I$64="B")+(Plan!$I$5:$I$64="A+B"))*(Plan!$K$5:$K$64&lt;BD$5)*(Plan!$L$5:$L$64&gt;=BD$5))=0,"",INDEX(Plan!$A$5:$A$64,SUMPRODUCT(((Plan!$I$5:$I$64="B")+(Plan!$I$5:$I$64="A+B"))*(Plan!$K$5:$K$64&lt;BD$5)*(Plan!$L$5:$L$64&gt;=BD$5)*(ROW(Plan!$A$5:$A$64)-4))))</f>
        <v/>
      </c>
      <c r="BE7" s="26">
        <f>IF(SUMPRODUCT(((Plan!$I$5:$I$64="B")+(Plan!$I$5:$I$64="A+B"))*(Plan!$K$5:$K$64&lt;BE$5)*(Plan!$L$5:$L$64&gt;=BE$5))=0,"",INDEX(Plan!$A$5:$A$64,SUMPRODUCT(((Plan!$I$5:$I$64="B")+(Plan!$I$5:$I$64="A+B"))*(Plan!$K$5:$K$64&lt;BE$5)*(Plan!$L$5:$L$64&gt;=BE$5)*(ROW(Plan!$A$5:$A$64)-4))))</f>
        <v/>
      </c>
      <c r="BF7" s="26">
        <f>IF(SUMPRODUCT(((Plan!$I$5:$I$64="B")+(Plan!$I$5:$I$64="A+B"))*(Plan!$K$5:$K$64&lt;BF$5)*(Plan!$L$5:$L$64&gt;=BF$5))=0,"",INDEX(Plan!$A$5:$A$64,SUMPRODUCT(((Plan!$I$5:$I$64="B")+(Plan!$I$5:$I$64="A+B"))*(Plan!$K$5:$K$64&lt;BF$5)*(Plan!$L$5:$L$64&gt;=BF$5)*(ROW(Plan!$A$5:$A$64)-4))))</f>
        <v/>
      </c>
      <c r="BG7" s="26">
        <f>IF(SUMPRODUCT(((Plan!$I$5:$I$64="B")+(Plan!$I$5:$I$64="A+B"))*(Plan!$K$5:$K$64&lt;BG$5)*(Plan!$L$5:$L$64&gt;=BG$5))=0,"",INDEX(Plan!$A$5:$A$64,SUMPRODUCT(((Plan!$I$5:$I$64="B")+(Plan!$I$5:$I$64="A+B"))*(Plan!$K$5:$K$64&lt;BG$5)*(Plan!$L$5:$L$64&gt;=BG$5)*(ROW(Plan!$A$5:$A$64)-4))))</f>
        <v/>
      </c>
      <c r="BH7" s="26">
        <f>IF(SUMPRODUCT(((Plan!$I$5:$I$64="B")+(Plan!$I$5:$I$64="A+B"))*(Plan!$K$5:$K$64&lt;BH$5)*(Plan!$L$5:$L$64&gt;=BH$5))=0,"",INDEX(Plan!$A$5:$A$64,SUMPRODUCT(((Plan!$I$5:$I$64="B")+(Plan!$I$5:$I$64="A+B"))*(Plan!$K$5:$K$64&lt;BH$5)*(Plan!$L$5:$L$64&gt;=BH$5)*(ROW(Plan!$A$5:$A$64)-4))))</f>
        <v/>
      </c>
      <c r="BI7" s="26">
        <f>IF(SUMPRODUCT(((Plan!$I$5:$I$64="B")+(Plan!$I$5:$I$64="A+B"))*(Plan!$K$5:$K$64&lt;BI$5)*(Plan!$L$5:$L$64&gt;=BI$5))=0,"",INDEX(Plan!$A$5:$A$64,SUMPRODUCT(((Plan!$I$5:$I$64="B")+(Plan!$I$5:$I$64="A+B"))*(Plan!$K$5:$K$64&lt;BI$5)*(Plan!$L$5:$L$64&gt;=BI$5)*(ROW(Plan!$A$5:$A$64)-4))))</f>
        <v/>
      </c>
      <c r="BJ7" s="26">
        <f>IF(SUMPRODUCT(((Plan!$I$5:$I$64="B")+(Plan!$I$5:$I$64="A+B"))*(Plan!$K$5:$K$64&lt;BJ$5)*(Plan!$L$5:$L$64&gt;=BJ$5))=0,"",INDEX(Plan!$A$5:$A$64,SUMPRODUCT(((Plan!$I$5:$I$64="B")+(Plan!$I$5:$I$64="A+B"))*(Plan!$K$5:$K$64&lt;BJ$5)*(Plan!$L$5:$L$64&gt;=BJ$5)*(ROW(Plan!$A$5:$A$64)-4))))</f>
        <v/>
      </c>
      <c r="BK7" s="26">
        <f>IF(SUMPRODUCT(((Plan!$I$5:$I$64="B")+(Plan!$I$5:$I$64="A+B"))*(Plan!$K$5:$K$64&lt;BK$5)*(Plan!$L$5:$L$64&gt;=BK$5))=0,"",INDEX(Plan!$A$5:$A$64,SUMPRODUCT(((Plan!$I$5:$I$64="B")+(Plan!$I$5:$I$64="A+B"))*(Plan!$K$5:$K$64&lt;BK$5)*(Plan!$L$5:$L$64&gt;=BK$5)*(ROW(Plan!$A$5:$A$64)-4))))</f>
        <v/>
      </c>
      <c r="BL7" s="26">
        <f>IF(SUMPRODUCT(((Plan!$I$5:$I$64="B")+(Plan!$I$5:$I$64="A+B"))*(Plan!$K$5:$K$64&lt;BL$5)*(Plan!$L$5:$L$64&gt;=BL$5))=0,"",INDEX(Plan!$A$5:$A$64,SUMPRODUCT(((Plan!$I$5:$I$64="B")+(Plan!$I$5:$I$64="A+B"))*(Plan!$K$5:$K$64&lt;BL$5)*(Plan!$L$5:$L$64&gt;=BL$5)*(ROW(Plan!$A$5:$A$64)-4))))</f>
        <v/>
      </c>
      <c r="BM7" s="26">
        <f>IF(SUMPRODUCT(((Plan!$I$5:$I$64="B")+(Plan!$I$5:$I$64="A+B"))*(Plan!$K$5:$K$64&lt;BM$5)*(Plan!$L$5:$L$64&gt;=BM$5))=0,"",INDEX(Plan!$A$5:$A$64,SUMPRODUCT(((Plan!$I$5:$I$64="B")+(Plan!$I$5:$I$64="A+B"))*(Plan!$K$5:$K$64&lt;BM$5)*(Plan!$L$5:$L$64&gt;=BM$5)*(ROW(Plan!$A$5:$A$64)-4))))</f>
        <v/>
      </c>
      <c r="BN7" s="26">
        <f>IF(SUMPRODUCT(((Plan!$I$5:$I$64="B")+(Plan!$I$5:$I$64="A+B"))*(Plan!$K$5:$K$64&lt;BN$5)*(Plan!$L$5:$L$64&gt;=BN$5))=0,"",INDEX(Plan!$A$5:$A$64,SUMPRODUCT(((Plan!$I$5:$I$64="B")+(Plan!$I$5:$I$64="A+B"))*(Plan!$K$5:$K$64&lt;BN$5)*(Plan!$L$5:$L$64&gt;=BN$5)*(ROW(Plan!$A$5:$A$64)-4))))</f>
        <v/>
      </c>
      <c r="BO7" s="26">
        <f>IF(SUMPRODUCT(((Plan!$I$5:$I$64="B")+(Plan!$I$5:$I$64="A+B"))*(Plan!$K$5:$K$64&lt;BO$5)*(Plan!$L$5:$L$64&gt;=BO$5))=0,"",INDEX(Plan!$A$5:$A$64,SUMPRODUCT(((Plan!$I$5:$I$64="B")+(Plan!$I$5:$I$64="A+B"))*(Plan!$K$5:$K$64&lt;BO$5)*(Plan!$L$5:$L$64&gt;=BO$5)*(ROW(Plan!$A$5:$A$64)-4))))</f>
        <v/>
      </c>
      <c r="BP7" s="26">
        <f>IF(SUMPRODUCT(((Plan!$I$5:$I$64="B")+(Plan!$I$5:$I$64="A+B"))*(Plan!$K$5:$K$64&lt;BP$5)*(Plan!$L$5:$L$64&gt;=BP$5))=0,"",INDEX(Plan!$A$5:$A$64,SUMPRODUCT(((Plan!$I$5:$I$64="B")+(Plan!$I$5:$I$64="A+B"))*(Plan!$K$5:$K$64&lt;BP$5)*(Plan!$L$5:$L$64&gt;=BP$5)*(ROW(Plan!$A$5:$A$64)-4))))</f>
        <v/>
      </c>
      <c r="BQ7" s="26">
        <f>IF(SUMPRODUCT(((Plan!$I$5:$I$64="B")+(Plan!$I$5:$I$64="A+B"))*(Plan!$K$5:$K$64&lt;BQ$5)*(Plan!$L$5:$L$64&gt;=BQ$5))=0,"",INDEX(Plan!$A$5:$A$64,SUMPRODUCT(((Plan!$I$5:$I$64="B")+(Plan!$I$5:$I$64="A+B"))*(Plan!$K$5:$K$64&lt;BQ$5)*(Plan!$L$5:$L$64&gt;=BQ$5)*(ROW(Plan!$A$5:$A$64)-4))))</f>
        <v/>
      </c>
      <c r="BR7" s="26">
        <f>IF(SUMPRODUCT(((Plan!$I$5:$I$64="B")+(Plan!$I$5:$I$64="A+B"))*(Plan!$K$5:$K$64&lt;BR$5)*(Plan!$L$5:$L$64&gt;=BR$5))=0,"",INDEX(Plan!$A$5:$A$64,SUMPRODUCT(((Plan!$I$5:$I$64="B")+(Plan!$I$5:$I$64="A+B"))*(Plan!$K$5:$K$64&lt;BR$5)*(Plan!$L$5:$L$64&gt;=BR$5)*(ROW(Plan!$A$5:$A$64)-4))))</f>
        <v/>
      </c>
      <c r="BS7" s="26">
        <f>IF(SUMPRODUCT(((Plan!$I$5:$I$64="B")+(Plan!$I$5:$I$64="A+B"))*(Plan!$K$5:$K$64&lt;BS$5)*(Plan!$L$5:$L$64&gt;=BS$5))=0,"",INDEX(Plan!$A$5:$A$64,SUMPRODUCT(((Plan!$I$5:$I$64="B")+(Plan!$I$5:$I$64="A+B"))*(Plan!$K$5:$K$64&lt;BS$5)*(Plan!$L$5:$L$64&gt;=BS$5)*(ROW(Plan!$A$5:$A$64)-4))))</f>
        <v/>
      </c>
      <c r="BT7" s="26">
        <f>IF(SUMPRODUCT(((Plan!$I$5:$I$64="B")+(Plan!$I$5:$I$64="A+B"))*(Plan!$K$5:$K$64&lt;BT$5)*(Plan!$L$5:$L$64&gt;=BT$5))=0,"",INDEX(Plan!$A$5:$A$64,SUMPRODUCT(((Plan!$I$5:$I$64="B")+(Plan!$I$5:$I$64="A+B"))*(Plan!$K$5:$K$64&lt;BT$5)*(Plan!$L$5:$L$64&gt;=BT$5)*(ROW(Plan!$A$5:$A$64)-4))))</f>
        <v/>
      </c>
      <c r="BU7" s="26">
        <f>IF(SUMPRODUCT(((Plan!$I$5:$I$64="B")+(Plan!$I$5:$I$64="A+B"))*(Plan!$K$5:$K$64&lt;BU$5)*(Plan!$L$5:$L$64&gt;=BU$5))=0,"",INDEX(Plan!$A$5:$A$64,SUMPRODUCT(((Plan!$I$5:$I$64="B")+(Plan!$I$5:$I$64="A+B"))*(Plan!$K$5:$K$64&lt;BU$5)*(Plan!$L$5:$L$64&gt;=BU$5)*(ROW(Plan!$A$5:$A$64)-4))))</f>
        <v/>
      </c>
      <c r="BV7" s="26">
        <f>IF(SUMPRODUCT(((Plan!$I$5:$I$64="B")+(Plan!$I$5:$I$64="A+B"))*(Plan!$K$5:$K$64&lt;BV$5)*(Plan!$L$5:$L$64&gt;=BV$5))=0,"",INDEX(Plan!$A$5:$A$64,SUMPRODUCT(((Plan!$I$5:$I$64="B")+(Plan!$I$5:$I$64="A+B"))*(Plan!$K$5:$K$64&lt;BV$5)*(Plan!$L$5:$L$64&gt;=BV$5)*(ROW(Plan!$A$5:$A$64)-4))))</f>
        <v/>
      </c>
      <c r="BW7" s="26">
        <f>IF(SUMPRODUCT(((Plan!$I$5:$I$64="B")+(Plan!$I$5:$I$64="A+B"))*(Plan!$K$5:$K$64&lt;BW$5)*(Plan!$L$5:$L$64&gt;=BW$5))=0,"",INDEX(Plan!$A$5:$A$64,SUMPRODUCT(((Plan!$I$5:$I$64="B")+(Plan!$I$5:$I$64="A+B"))*(Plan!$K$5:$K$64&lt;BW$5)*(Plan!$L$5:$L$64&gt;=BW$5)*(ROW(Plan!$A$5:$A$64)-4))))</f>
        <v/>
      </c>
      <c r="BX7" s="26">
        <f>IF(SUMPRODUCT(((Plan!$I$5:$I$64="B")+(Plan!$I$5:$I$64="A+B"))*(Plan!$K$5:$K$64&lt;BX$5)*(Plan!$L$5:$L$64&gt;=BX$5))=0,"",INDEX(Plan!$A$5:$A$64,SUMPRODUCT(((Plan!$I$5:$I$64="B")+(Plan!$I$5:$I$64="A+B"))*(Plan!$K$5:$K$64&lt;BX$5)*(Plan!$L$5:$L$64&gt;=BX$5)*(ROW(Plan!$A$5:$A$64)-4))))</f>
        <v/>
      </c>
      <c r="BY7" s="26">
        <f>IF(SUMPRODUCT(((Plan!$I$5:$I$64="B")+(Plan!$I$5:$I$64="A+B"))*(Plan!$K$5:$K$64&lt;BY$5)*(Plan!$L$5:$L$64&gt;=BY$5))=0,"",INDEX(Plan!$A$5:$A$64,SUMPRODUCT(((Plan!$I$5:$I$64="B")+(Plan!$I$5:$I$64="A+B"))*(Plan!$K$5:$K$64&lt;BY$5)*(Plan!$L$5:$L$64&gt;=BY$5)*(ROW(Plan!$A$5:$A$64)-4))))</f>
        <v/>
      </c>
      <c r="BZ7" s="26">
        <f>IF(SUMPRODUCT(((Plan!$I$5:$I$64="B")+(Plan!$I$5:$I$64="A+B"))*(Plan!$K$5:$K$64&lt;BZ$5)*(Plan!$L$5:$L$64&gt;=BZ$5))=0,"",INDEX(Plan!$A$5:$A$64,SUMPRODUCT(((Plan!$I$5:$I$64="B")+(Plan!$I$5:$I$64="A+B"))*(Plan!$K$5:$K$64&lt;BZ$5)*(Plan!$L$5:$L$64&gt;=BZ$5)*(ROW(Plan!$A$5:$A$64)-4))))</f>
        <v/>
      </c>
      <c r="CA7" s="26">
        <f>IF(SUMPRODUCT(((Plan!$I$5:$I$64="B")+(Plan!$I$5:$I$64="A+B"))*(Plan!$K$5:$K$64&lt;CA$5)*(Plan!$L$5:$L$64&gt;=CA$5))=0,"",INDEX(Plan!$A$5:$A$64,SUMPRODUCT(((Plan!$I$5:$I$64="B")+(Plan!$I$5:$I$64="A+B"))*(Plan!$K$5:$K$64&lt;CA$5)*(Plan!$L$5:$L$64&gt;=CA$5)*(ROW(Plan!$A$5:$A$64)-4))))</f>
        <v/>
      </c>
      <c r="CB7" s="26">
        <f>IF(SUMPRODUCT(((Plan!$I$5:$I$64="B")+(Plan!$I$5:$I$64="A+B"))*(Plan!$K$5:$K$64&lt;CB$5)*(Plan!$L$5:$L$64&gt;=CB$5))=0,"",INDEX(Plan!$A$5:$A$64,SUMPRODUCT(((Plan!$I$5:$I$64="B")+(Plan!$I$5:$I$64="A+B"))*(Plan!$K$5:$K$64&lt;CB$5)*(Plan!$L$5:$L$64&gt;=CB$5)*(ROW(Plan!$A$5:$A$64)-4))))</f>
        <v/>
      </c>
      <c r="CC7" s="26">
        <f>IF(SUMPRODUCT(((Plan!$I$5:$I$64="B")+(Plan!$I$5:$I$64="A+B"))*(Plan!$K$5:$K$64&lt;CC$5)*(Plan!$L$5:$L$64&gt;=CC$5))=0,"",INDEX(Plan!$A$5:$A$64,SUMPRODUCT(((Plan!$I$5:$I$64="B")+(Plan!$I$5:$I$64="A+B"))*(Plan!$K$5:$K$64&lt;CC$5)*(Plan!$L$5:$L$64&gt;=CC$5)*(ROW(Plan!$A$5:$A$64)-4))))</f>
        <v/>
      </c>
      <c r="CD7" s="26">
        <f>IF(SUMPRODUCT(((Plan!$I$5:$I$64="B")+(Plan!$I$5:$I$64="A+B"))*(Plan!$K$5:$K$64&lt;CD$5)*(Plan!$L$5:$L$64&gt;=CD$5))=0,"",INDEX(Plan!$A$5:$A$64,SUMPRODUCT(((Plan!$I$5:$I$64="B")+(Plan!$I$5:$I$64="A+B"))*(Plan!$K$5:$K$64&lt;CD$5)*(Plan!$L$5:$L$64&gt;=CD$5)*(ROW(Plan!$A$5:$A$64)-4))))</f>
        <v/>
      </c>
      <c r="CE7" s="26">
        <f>IF(SUMPRODUCT(((Plan!$I$5:$I$64="B")+(Plan!$I$5:$I$64="A+B"))*(Plan!$K$5:$K$64&lt;CE$5)*(Plan!$L$5:$L$64&gt;=CE$5))=0,"",INDEX(Plan!$A$5:$A$64,SUMPRODUCT(((Plan!$I$5:$I$64="B")+(Plan!$I$5:$I$64="A+B"))*(Plan!$K$5:$K$64&lt;CE$5)*(Plan!$L$5:$L$64&gt;=CE$5)*(ROW(Plan!$A$5:$A$64)-4))))</f>
        <v/>
      </c>
      <c r="CF7" s="26">
        <f>IF(SUMPRODUCT(((Plan!$I$5:$I$64="B")+(Plan!$I$5:$I$64="A+B"))*(Plan!$K$5:$K$64&lt;CF$5)*(Plan!$L$5:$L$64&gt;=CF$5))=0,"",INDEX(Plan!$A$5:$A$64,SUMPRODUCT(((Plan!$I$5:$I$64="B")+(Plan!$I$5:$I$64="A+B"))*(Plan!$K$5:$K$64&lt;CF$5)*(Plan!$L$5:$L$64&gt;=CF$5)*(ROW(Plan!$A$5:$A$64)-4))))</f>
        <v/>
      </c>
      <c r="CG7" s="26">
        <f>IF(SUMPRODUCT(((Plan!$I$5:$I$64="B")+(Plan!$I$5:$I$64="A+B"))*(Plan!$K$5:$K$64&lt;CG$5)*(Plan!$L$5:$L$64&gt;=CG$5))=0,"",INDEX(Plan!$A$5:$A$64,SUMPRODUCT(((Plan!$I$5:$I$64="B")+(Plan!$I$5:$I$64="A+B"))*(Plan!$K$5:$K$64&lt;CG$5)*(Plan!$L$5:$L$64&gt;=CG$5)*(ROW(Plan!$A$5:$A$64)-4))))</f>
        <v/>
      </c>
      <c r="CH7" s="26">
        <f>IF(SUMPRODUCT(((Plan!$I$5:$I$64="B")+(Plan!$I$5:$I$64="A+B"))*(Plan!$K$5:$K$64&lt;CH$5)*(Plan!$L$5:$L$64&gt;=CH$5))=0,"",INDEX(Plan!$A$5:$A$64,SUMPRODUCT(((Plan!$I$5:$I$64="B")+(Plan!$I$5:$I$64="A+B"))*(Plan!$K$5:$K$64&lt;CH$5)*(Plan!$L$5:$L$64&gt;=CH$5)*(ROW(Plan!$A$5:$A$64)-4))))</f>
        <v/>
      </c>
      <c r="CI7" s="26">
        <f>IF(SUMPRODUCT(((Plan!$I$5:$I$64="B")+(Plan!$I$5:$I$64="A+B"))*(Plan!$K$5:$K$64&lt;CI$5)*(Plan!$L$5:$L$64&gt;=CI$5))=0,"",INDEX(Plan!$A$5:$A$64,SUMPRODUCT(((Plan!$I$5:$I$64="B")+(Plan!$I$5:$I$64="A+B"))*(Plan!$K$5:$K$64&lt;CI$5)*(Plan!$L$5:$L$64&gt;=CI$5)*(ROW(Plan!$A$5:$A$64)-4))))</f>
        <v/>
      </c>
    </row>
    <row r="8"/>
    <row r="9">
      <c r="A9" s="27" t="inlineStr">
        <is>
          <t>Fase 1. Diseño y arquitectura</t>
        </is>
      </c>
      <c r="B9" s="28" t="n"/>
      <c r="C9" s="28" t="n"/>
      <c r="D9" s="28" t="n"/>
      <c r="E9" s="29">
        <f>SUMPRODUCT(MIN((Plan!$B$5:$B$64="1. Diseño y arquitectura")*Plan!$K$5:$K$64+(Plan!$B$5:$B$64&lt;&gt;"1. Diseño y arquitectura")*1E9))</f>
        <v/>
      </c>
      <c r="F9" s="29">
        <f>SUMPRODUCT(MAX((Plan!$B$5:$B$64="1. Diseño y arquitectura")*Plan!$L$5:$L$64))</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row>
    <row r="16">
      <c r="A16" s="27" t="inlineStr">
        <is>
          <t>Fase 2. Landing y autenticación</t>
        </is>
      </c>
      <c r="B16" s="28" t="n"/>
      <c r="C16" s="28" t="n"/>
      <c r="D16" s="28" t="n"/>
      <c r="E16" s="29">
        <f>SUMPRODUCT(MIN((Plan!$B$5:$B$64="2. Landing y autenticación")*Plan!$K$5:$K$64+(Plan!$B$5:$B$64&lt;&gt;"2. Landing y autenticación")*1E9))</f>
        <v/>
      </c>
      <c r="F16" s="29">
        <f>SUMPRODUCT(MAX((Plan!$B$5:$B$64="2. Landing y autenticación")*Plan!$L$5:$L$64))</f>
        <v/>
      </c>
      <c r="G16" s="30">
        <f>Resumen!E30</f>
        <v/>
      </c>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row>
    <row r="17">
      <c r="A17" s="32">
        <f>Plan!A11</f>
        <v/>
      </c>
      <c r="B17" s="33">
        <f>Plan!C11</f>
        <v/>
      </c>
      <c r="C17" s="16">
        <f>Plan!D11</f>
        <v/>
      </c>
      <c r="D17" s="16">
        <f>Plan!I11</f>
        <v/>
      </c>
      <c r="E17" s="16">
        <f>Plan!K11</f>
        <v/>
      </c>
      <c r="F17" s="16">
        <f>Plan!L11</f>
        <v/>
      </c>
      <c r="G17" s="16">
        <f>Plan!O11</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row>
    <row r="18">
      <c r="A18" s="32">
        <f>Plan!A12</f>
        <v/>
      </c>
      <c r="B18" s="33">
        <f>Plan!C12</f>
        <v/>
      </c>
      <c r="C18" s="16">
        <f>Plan!D12</f>
        <v/>
      </c>
      <c r="D18" s="16">
        <f>Plan!I12</f>
        <v/>
      </c>
      <c r="E18" s="16">
        <f>Plan!K12</f>
        <v/>
      </c>
      <c r="F18" s="16">
        <f>Plan!L12</f>
        <v/>
      </c>
      <c r="G18" s="16">
        <f>Plan!O12</f>
        <v/>
      </c>
      <c r="H18" s="34">
        <f>IF(AND(H$5&gt;$E18,H$5&lt;=$F18),IF(H$5=$E18+1,$C18,""),"")</f>
        <v/>
      </c>
      <c r="I18" s="34">
        <f>IF(AND(I$5&gt;$E18,I$5&lt;=$F18),IF(I$5=$E18+1,$C18,""),"")</f>
        <v/>
      </c>
      <c r="J18" s="34">
        <f>IF(AND(J$5&gt;$E18,J$5&lt;=$F18),IF(J$5=$E18+1,$C18,""),"")</f>
        <v/>
      </c>
      <c r="K18" s="34">
        <f>IF(AND(K$5&gt;$E18,K$5&lt;=$F18),IF(K$5=$E18+1,$C18,""),"")</f>
        <v/>
      </c>
      <c r="L18" s="34">
        <f>IF(AND(L$5&gt;$E18,L$5&lt;=$F18),IF(L$5=$E18+1,$C18,""),"")</f>
        <v/>
      </c>
      <c r="M18" s="34">
        <f>IF(AND(M$5&gt;$E18,M$5&lt;=$F18),IF(M$5=$E18+1,$C18,""),"")</f>
        <v/>
      </c>
      <c r="N18" s="34">
        <f>IF(AND(N$5&gt;$E18,N$5&lt;=$F18),IF(N$5=$E18+1,$C18,""),"")</f>
        <v/>
      </c>
      <c r="O18" s="34">
        <f>IF(AND(O$5&gt;$E18,O$5&lt;=$F18),IF(O$5=$E18+1,$C18,""),"")</f>
        <v/>
      </c>
      <c r="P18" s="34">
        <f>IF(AND(P$5&gt;$E18,P$5&lt;=$F18),IF(P$5=$E18+1,$C18,""),"")</f>
        <v/>
      </c>
      <c r="Q18" s="34">
        <f>IF(AND(Q$5&gt;$E18,Q$5&lt;=$F18),IF(Q$5=$E18+1,$C18,""),"")</f>
        <v/>
      </c>
      <c r="R18" s="34">
        <f>IF(AND(R$5&gt;$E18,R$5&lt;=$F18),IF(R$5=$E18+1,$C18,""),"")</f>
        <v/>
      </c>
      <c r="S18" s="34">
        <f>IF(AND(S$5&gt;$E18,S$5&lt;=$F18),IF(S$5=$E18+1,$C18,""),"")</f>
        <v/>
      </c>
      <c r="T18" s="34">
        <f>IF(AND(T$5&gt;$E18,T$5&lt;=$F18),IF(T$5=$E18+1,$C18,""),"")</f>
        <v/>
      </c>
      <c r="U18" s="34">
        <f>IF(AND(U$5&gt;$E18,U$5&lt;=$F18),IF(U$5=$E18+1,$C18,""),"")</f>
        <v/>
      </c>
      <c r="V18" s="34">
        <f>IF(AND(V$5&gt;$E18,V$5&lt;=$F18),IF(V$5=$E18+1,$C18,""),"")</f>
        <v/>
      </c>
      <c r="W18" s="34">
        <f>IF(AND(W$5&gt;$E18,W$5&lt;=$F18),IF(W$5=$E18+1,$C18,""),"")</f>
        <v/>
      </c>
      <c r="X18" s="34">
        <f>IF(AND(X$5&gt;$E18,X$5&lt;=$F18),IF(X$5=$E18+1,$C18,""),"")</f>
        <v/>
      </c>
      <c r="Y18" s="34">
        <f>IF(AND(Y$5&gt;$E18,Y$5&lt;=$F18),IF(Y$5=$E18+1,$C18,""),"")</f>
        <v/>
      </c>
      <c r="Z18" s="34">
        <f>IF(AND(Z$5&gt;$E18,Z$5&lt;=$F18),IF(Z$5=$E18+1,$C18,""),"")</f>
        <v/>
      </c>
      <c r="AA18" s="34">
        <f>IF(AND(AA$5&gt;$E18,AA$5&lt;=$F18),IF(AA$5=$E18+1,$C18,""),"")</f>
        <v/>
      </c>
      <c r="AB18" s="34">
        <f>IF(AND(AB$5&gt;$E18,AB$5&lt;=$F18),IF(AB$5=$E18+1,$C18,""),"")</f>
        <v/>
      </c>
      <c r="AC18" s="34">
        <f>IF(AND(AC$5&gt;$E18,AC$5&lt;=$F18),IF(AC$5=$E18+1,$C18,""),"")</f>
        <v/>
      </c>
      <c r="AD18" s="34">
        <f>IF(AND(AD$5&gt;$E18,AD$5&lt;=$F18),IF(AD$5=$E18+1,$C18,""),"")</f>
        <v/>
      </c>
      <c r="AE18" s="34">
        <f>IF(AND(AE$5&gt;$E18,AE$5&lt;=$F18),IF(AE$5=$E18+1,$C18,""),"")</f>
        <v/>
      </c>
      <c r="AF18" s="34">
        <f>IF(AND(AF$5&gt;$E18,AF$5&lt;=$F18),IF(AF$5=$E18+1,$C18,""),"")</f>
        <v/>
      </c>
      <c r="AG18" s="34">
        <f>IF(AND(AG$5&gt;$E18,AG$5&lt;=$F18),IF(AG$5=$E18+1,$C18,""),"")</f>
        <v/>
      </c>
      <c r="AH18" s="34">
        <f>IF(AND(AH$5&gt;$E18,AH$5&lt;=$F18),IF(AH$5=$E18+1,$C18,""),"")</f>
        <v/>
      </c>
      <c r="AI18" s="34">
        <f>IF(AND(AI$5&gt;$E18,AI$5&lt;=$F18),IF(AI$5=$E18+1,$C18,""),"")</f>
        <v/>
      </c>
      <c r="AJ18" s="34">
        <f>IF(AND(AJ$5&gt;$E18,AJ$5&lt;=$F18),IF(AJ$5=$E18+1,$C18,""),"")</f>
        <v/>
      </c>
      <c r="AK18" s="34">
        <f>IF(AND(AK$5&gt;$E18,AK$5&lt;=$F18),IF(AK$5=$E18+1,$C18,""),"")</f>
        <v/>
      </c>
      <c r="AL18" s="34">
        <f>IF(AND(AL$5&gt;$E18,AL$5&lt;=$F18),IF(AL$5=$E18+1,$C18,""),"")</f>
        <v/>
      </c>
      <c r="AM18" s="34">
        <f>IF(AND(AM$5&gt;$E18,AM$5&lt;=$F18),IF(AM$5=$E18+1,$C18,""),"")</f>
        <v/>
      </c>
      <c r="AN18" s="34">
        <f>IF(AND(AN$5&gt;$E18,AN$5&lt;=$F18),IF(AN$5=$E18+1,$C18,""),"")</f>
        <v/>
      </c>
      <c r="AO18" s="34">
        <f>IF(AND(AO$5&gt;$E18,AO$5&lt;=$F18),IF(AO$5=$E18+1,$C18,""),"")</f>
        <v/>
      </c>
      <c r="AP18" s="34">
        <f>IF(AND(AP$5&gt;$E18,AP$5&lt;=$F18),IF(AP$5=$E18+1,$C18,""),"")</f>
        <v/>
      </c>
      <c r="AQ18" s="34">
        <f>IF(AND(AQ$5&gt;$E18,AQ$5&lt;=$F18),IF(AQ$5=$E18+1,$C18,""),"")</f>
        <v/>
      </c>
      <c r="AR18" s="34">
        <f>IF(AND(AR$5&gt;$E18,AR$5&lt;=$F18),IF(AR$5=$E18+1,$C18,""),"")</f>
        <v/>
      </c>
      <c r="AS18" s="34">
        <f>IF(AND(AS$5&gt;$E18,AS$5&lt;=$F18),IF(AS$5=$E18+1,$C18,""),"")</f>
        <v/>
      </c>
      <c r="AT18" s="34">
        <f>IF(AND(AT$5&gt;$E18,AT$5&lt;=$F18),IF(AT$5=$E18+1,$C18,""),"")</f>
        <v/>
      </c>
      <c r="AU18" s="34">
        <f>IF(AND(AU$5&gt;$E18,AU$5&lt;=$F18),IF(AU$5=$E18+1,$C18,""),"")</f>
        <v/>
      </c>
      <c r="AV18" s="34">
        <f>IF(AND(AV$5&gt;$E18,AV$5&lt;=$F18),IF(AV$5=$E18+1,$C18,""),"")</f>
        <v/>
      </c>
      <c r="AW18" s="34">
        <f>IF(AND(AW$5&gt;$E18,AW$5&lt;=$F18),IF(AW$5=$E18+1,$C18,""),"")</f>
        <v/>
      </c>
      <c r="AX18" s="34">
        <f>IF(AND(AX$5&gt;$E18,AX$5&lt;=$F18),IF(AX$5=$E18+1,$C18,""),"")</f>
        <v/>
      </c>
      <c r="AY18" s="34">
        <f>IF(AND(AY$5&gt;$E18,AY$5&lt;=$F18),IF(AY$5=$E18+1,$C18,""),"")</f>
        <v/>
      </c>
      <c r="AZ18" s="34">
        <f>IF(AND(AZ$5&gt;$E18,AZ$5&lt;=$F18),IF(AZ$5=$E18+1,$C18,""),"")</f>
        <v/>
      </c>
      <c r="BA18" s="34">
        <f>IF(AND(BA$5&gt;$E18,BA$5&lt;=$F18),IF(BA$5=$E18+1,$C18,""),"")</f>
        <v/>
      </c>
      <c r="BB18" s="34">
        <f>IF(AND(BB$5&gt;$E18,BB$5&lt;=$F18),IF(BB$5=$E18+1,$C18,""),"")</f>
        <v/>
      </c>
      <c r="BC18" s="34">
        <f>IF(AND(BC$5&gt;$E18,BC$5&lt;=$F18),IF(BC$5=$E18+1,$C18,""),"")</f>
        <v/>
      </c>
      <c r="BD18" s="34">
        <f>IF(AND(BD$5&gt;$E18,BD$5&lt;=$F18),IF(BD$5=$E18+1,$C18,""),"")</f>
        <v/>
      </c>
      <c r="BE18" s="34">
        <f>IF(AND(BE$5&gt;$E18,BE$5&lt;=$F18),IF(BE$5=$E18+1,$C18,""),"")</f>
        <v/>
      </c>
      <c r="BF18" s="34">
        <f>IF(AND(BF$5&gt;$E18,BF$5&lt;=$F18),IF(BF$5=$E18+1,$C18,""),"")</f>
        <v/>
      </c>
      <c r="BG18" s="34">
        <f>IF(AND(BG$5&gt;$E18,BG$5&lt;=$F18),IF(BG$5=$E18+1,$C18,""),"")</f>
        <v/>
      </c>
      <c r="BH18" s="34">
        <f>IF(AND(BH$5&gt;$E18,BH$5&lt;=$F18),IF(BH$5=$E18+1,$C18,""),"")</f>
        <v/>
      </c>
      <c r="BI18" s="34">
        <f>IF(AND(BI$5&gt;$E18,BI$5&lt;=$F18),IF(BI$5=$E18+1,$C18,""),"")</f>
        <v/>
      </c>
      <c r="BJ18" s="34">
        <f>IF(AND(BJ$5&gt;$E18,BJ$5&lt;=$F18),IF(BJ$5=$E18+1,$C18,""),"")</f>
        <v/>
      </c>
      <c r="BK18" s="34">
        <f>IF(AND(BK$5&gt;$E18,BK$5&lt;=$F18),IF(BK$5=$E18+1,$C18,""),"")</f>
        <v/>
      </c>
      <c r="BL18" s="34">
        <f>IF(AND(BL$5&gt;$E18,BL$5&lt;=$F18),IF(BL$5=$E18+1,$C18,""),"")</f>
        <v/>
      </c>
      <c r="BM18" s="34">
        <f>IF(AND(BM$5&gt;$E18,BM$5&lt;=$F18),IF(BM$5=$E18+1,$C18,""),"")</f>
        <v/>
      </c>
      <c r="BN18" s="34">
        <f>IF(AND(BN$5&gt;$E18,BN$5&lt;=$F18),IF(BN$5=$E18+1,$C18,""),"")</f>
        <v/>
      </c>
      <c r="BO18" s="34">
        <f>IF(AND(BO$5&gt;$E18,BO$5&lt;=$F18),IF(BO$5=$E18+1,$C18,""),"")</f>
        <v/>
      </c>
      <c r="BP18" s="34">
        <f>IF(AND(BP$5&gt;$E18,BP$5&lt;=$F18),IF(BP$5=$E18+1,$C18,""),"")</f>
        <v/>
      </c>
      <c r="BQ18" s="34">
        <f>IF(AND(BQ$5&gt;$E18,BQ$5&lt;=$F18),IF(BQ$5=$E18+1,$C18,""),"")</f>
        <v/>
      </c>
      <c r="BR18" s="34">
        <f>IF(AND(BR$5&gt;$E18,BR$5&lt;=$F18),IF(BR$5=$E18+1,$C18,""),"")</f>
        <v/>
      </c>
      <c r="BS18" s="34">
        <f>IF(AND(BS$5&gt;$E18,BS$5&lt;=$F18),IF(BS$5=$E18+1,$C18,""),"")</f>
        <v/>
      </c>
      <c r="BT18" s="34">
        <f>IF(AND(BT$5&gt;$E18,BT$5&lt;=$F18),IF(BT$5=$E18+1,$C18,""),"")</f>
        <v/>
      </c>
      <c r="BU18" s="34">
        <f>IF(AND(BU$5&gt;$E18,BU$5&lt;=$F18),IF(BU$5=$E18+1,$C18,""),"")</f>
        <v/>
      </c>
      <c r="BV18" s="34">
        <f>IF(AND(BV$5&gt;$E18,BV$5&lt;=$F18),IF(BV$5=$E18+1,$C18,""),"")</f>
        <v/>
      </c>
      <c r="BW18" s="34">
        <f>IF(AND(BW$5&gt;$E18,BW$5&lt;=$F18),IF(BW$5=$E18+1,$C18,""),"")</f>
        <v/>
      </c>
      <c r="BX18" s="34">
        <f>IF(AND(BX$5&gt;$E18,BX$5&lt;=$F18),IF(BX$5=$E18+1,$C18,""),"")</f>
        <v/>
      </c>
      <c r="BY18" s="34">
        <f>IF(AND(BY$5&gt;$E18,BY$5&lt;=$F18),IF(BY$5=$E18+1,$C18,""),"")</f>
        <v/>
      </c>
      <c r="BZ18" s="34">
        <f>IF(AND(BZ$5&gt;$E18,BZ$5&lt;=$F18),IF(BZ$5=$E18+1,$C18,""),"")</f>
        <v/>
      </c>
      <c r="CA18" s="34">
        <f>IF(AND(CA$5&gt;$E18,CA$5&lt;=$F18),IF(CA$5=$E18+1,$C18,""),"")</f>
        <v/>
      </c>
      <c r="CB18" s="34">
        <f>IF(AND(CB$5&gt;$E18,CB$5&lt;=$F18),IF(CB$5=$E18+1,$C18,""),"")</f>
        <v/>
      </c>
      <c r="CC18" s="34">
        <f>IF(AND(CC$5&gt;$E18,CC$5&lt;=$F18),IF(CC$5=$E18+1,$C18,""),"")</f>
        <v/>
      </c>
      <c r="CD18" s="34">
        <f>IF(AND(CD$5&gt;$E18,CD$5&lt;=$F18),IF(CD$5=$E18+1,$C18,""),"")</f>
        <v/>
      </c>
      <c r="CE18" s="34">
        <f>IF(AND(CE$5&gt;$E18,CE$5&lt;=$F18),IF(CE$5=$E18+1,$C18,""),"")</f>
        <v/>
      </c>
      <c r="CF18" s="34">
        <f>IF(AND(CF$5&gt;$E18,CF$5&lt;=$F18),IF(CF$5=$E18+1,$C18,""),"")</f>
        <v/>
      </c>
      <c r="CG18" s="34">
        <f>IF(AND(CG$5&gt;$E18,CG$5&lt;=$F18),IF(CG$5=$E18+1,$C18,""),"")</f>
        <v/>
      </c>
      <c r="CH18" s="34">
        <f>IF(AND(CH$5&gt;$E18,CH$5&lt;=$F18),IF(CH$5=$E18+1,$C18,""),"")</f>
        <v/>
      </c>
      <c r="CI18" s="34">
        <f>IF(AND(CI$5&gt;$E18,CI$5&lt;=$F18),IF(CI$5=$E18+1,$C18,""),"")</f>
        <v/>
      </c>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row>
    <row r="30">
      <c r="A30" s="27" t="inlineStr">
        <is>
          <t>Fase 3. Flujo de solicitud de crédito</t>
        </is>
      </c>
      <c r="B30" s="28" t="n"/>
      <c r="C30" s="28" t="n"/>
      <c r="D30" s="28" t="n"/>
      <c r="E30" s="29">
        <f>SUMPRODUCT(MIN((Plan!$B$5:$B$64="3. Flujo de solicitud de crédito")*Plan!$K$5:$K$64+(Plan!$B$5:$B$64&lt;&gt;"3. Flujo de solicitud de crédito")*1E9))</f>
        <v/>
      </c>
      <c r="F30" s="29">
        <f>SUMPRODUCT(MAX((Plan!$B$5:$B$64="3. Flujo de solicitud de crédito")*Plan!$L$5:$L$64))</f>
        <v/>
      </c>
      <c r="G30" s="30">
        <f>Resumen!E31</f>
        <v/>
      </c>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row>
    <row r="31">
      <c r="A31" s="32">
        <f>Plan!A24</f>
        <v/>
      </c>
      <c r="B31" s="33">
        <f>Plan!C24</f>
        <v/>
      </c>
      <c r="C31" s="16">
        <f>Plan!D24</f>
        <v/>
      </c>
      <c r="D31" s="16">
        <f>Plan!I24</f>
        <v/>
      </c>
      <c r="E31" s="16">
        <f>Plan!K24</f>
        <v/>
      </c>
      <c r="F31" s="16">
        <f>Plan!L24</f>
        <v/>
      </c>
      <c r="G31" s="16">
        <f>Plan!O24</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row>
    <row r="32">
      <c r="A32" s="32">
        <f>Plan!A25</f>
        <v/>
      </c>
      <c r="B32" s="33">
        <f>Plan!C25</f>
        <v/>
      </c>
      <c r="C32" s="16">
        <f>Plan!D25</f>
        <v/>
      </c>
      <c r="D32" s="16">
        <f>Plan!I25</f>
        <v/>
      </c>
      <c r="E32" s="16">
        <f>Plan!K25</f>
        <v/>
      </c>
      <c r="F32" s="16">
        <f>Plan!L25</f>
        <v/>
      </c>
      <c r="G32" s="16">
        <f>Plan!O25</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row>
    <row r="33">
      <c r="A33" s="32">
        <f>Plan!A26</f>
        <v/>
      </c>
      <c r="B33" s="33">
        <f>Plan!C26</f>
        <v/>
      </c>
      <c r="C33" s="16">
        <f>Plan!D26</f>
        <v/>
      </c>
      <c r="D33" s="16">
        <f>Plan!I26</f>
        <v/>
      </c>
      <c r="E33" s="16">
        <f>Plan!K26</f>
        <v/>
      </c>
      <c r="F33" s="16">
        <f>Plan!L26</f>
        <v/>
      </c>
      <c r="G33" s="16">
        <f>Plan!O26</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row>
    <row r="34">
      <c r="A34" s="32">
        <f>Plan!A27</f>
        <v/>
      </c>
      <c r="B34" s="33">
        <f>Plan!C27</f>
        <v/>
      </c>
      <c r="C34" s="16">
        <f>Plan!D27</f>
        <v/>
      </c>
      <c r="D34" s="16">
        <f>Plan!I27</f>
        <v/>
      </c>
      <c r="E34" s="16">
        <f>Plan!K27</f>
        <v/>
      </c>
      <c r="F34" s="16">
        <f>Plan!L27</f>
        <v/>
      </c>
      <c r="G34" s="16">
        <f>Plan!O27</f>
        <v/>
      </c>
      <c r="H34" s="34">
        <f>IF(AND(H$5&gt;$E34,H$5&lt;=$F34),IF(H$5=$E34+1,$C34,""),"")</f>
        <v/>
      </c>
      <c r="I34" s="34">
        <f>IF(AND(I$5&gt;$E34,I$5&lt;=$F34),IF(I$5=$E34+1,$C34,""),"")</f>
        <v/>
      </c>
      <c r="J34" s="34">
        <f>IF(AND(J$5&gt;$E34,J$5&lt;=$F34),IF(J$5=$E34+1,$C34,""),"")</f>
        <v/>
      </c>
      <c r="K34" s="34">
        <f>IF(AND(K$5&gt;$E34,K$5&lt;=$F34),IF(K$5=$E34+1,$C34,""),"")</f>
        <v/>
      </c>
      <c r="L34" s="34">
        <f>IF(AND(L$5&gt;$E34,L$5&lt;=$F34),IF(L$5=$E34+1,$C34,""),"")</f>
        <v/>
      </c>
      <c r="M34" s="34">
        <f>IF(AND(M$5&gt;$E34,M$5&lt;=$F34),IF(M$5=$E34+1,$C34,""),"")</f>
        <v/>
      </c>
      <c r="N34" s="34">
        <f>IF(AND(N$5&gt;$E34,N$5&lt;=$F34),IF(N$5=$E34+1,$C34,""),"")</f>
        <v/>
      </c>
      <c r="O34" s="34">
        <f>IF(AND(O$5&gt;$E34,O$5&lt;=$F34),IF(O$5=$E34+1,$C34,""),"")</f>
        <v/>
      </c>
      <c r="P34" s="34">
        <f>IF(AND(P$5&gt;$E34,P$5&lt;=$F34),IF(P$5=$E34+1,$C34,""),"")</f>
        <v/>
      </c>
      <c r="Q34" s="34">
        <f>IF(AND(Q$5&gt;$E34,Q$5&lt;=$F34),IF(Q$5=$E34+1,$C34,""),"")</f>
        <v/>
      </c>
      <c r="R34" s="34">
        <f>IF(AND(R$5&gt;$E34,R$5&lt;=$F34),IF(R$5=$E34+1,$C34,""),"")</f>
        <v/>
      </c>
      <c r="S34" s="34">
        <f>IF(AND(S$5&gt;$E34,S$5&lt;=$F34),IF(S$5=$E34+1,$C34,""),"")</f>
        <v/>
      </c>
      <c r="T34" s="34">
        <f>IF(AND(T$5&gt;$E34,T$5&lt;=$F34),IF(T$5=$E34+1,$C34,""),"")</f>
        <v/>
      </c>
      <c r="U34" s="34">
        <f>IF(AND(U$5&gt;$E34,U$5&lt;=$F34),IF(U$5=$E34+1,$C34,""),"")</f>
        <v/>
      </c>
      <c r="V34" s="34">
        <f>IF(AND(V$5&gt;$E34,V$5&lt;=$F34),IF(V$5=$E34+1,$C34,""),"")</f>
        <v/>
      </c>
      <c r="W34" s="34">
        <f>IF(AND(W$5&gt;$E34,W$5&lt;=$F34),IF(W$5=$E34+1,$C34,""),"")</f>
        <v/>
      </c>
      <c r="X34" s="34">
        <f>IF(AND(X$5&gt;$E34,X$5&lt;=$F34),IF(X$5=$E34+1,$C34,""),"")</f>
        <v/>
      </c>
      <c r="Y34" s="34">
        <f>IF(AND(Y$5&gt;$E34,Y$5&lt;=$F34),IF(Y$5=$E34+1,$C34,""),"")</f>
        <v/>
      </c>
      <c r="Z34" s="34">
        <f>IF(AND(Z$5&gt;$E34,Z$5&lt;=$F34),IF(Z$5=$E34+1,$C34,""),"")</f>
        <v/>
      </c>
      <c r="AA34" s="34">
        <f>IF(AND(AA$5&gt;$E34,AA$5&lt;=$F34),IF(AA$5=$E34+1,$C34,""),"")</f>
        <v/>
      </c>
      <c r="AB34" s="34">
        <f>IF(AND(AB$5&gt;$E34,AB$5&lt;=$F34),IF(AB$5=$E34+1,$C34,""),"")</f>
        <v/>
      </c>
      <c r="AC34" s="34">
        <f>IF(AND(AC$5&gt;$E34,AC$5&lt;=$F34),IF(AC$5=$E34+1,$C34,""),"")</f>
        <v/>
      </c>
      <c r="AD34" s="34">
        <f>IF(AND(AD$5&gt;$E34,AD$5&lt;=$F34),IF(AD$5=$E34+1,$C34,""),"")</f>
        <v/>
      </c>
      <c r="AE34" s="34">
        <f>IF(AND(AE$5&gt;$E34,AE$5&lt;=$F34),IF(AE$5=$E34+1,$C34,""),"")</f>
        <v/>
      </c>
      <c r="AF34" s="34">
        <f>IF(AND(AF$5&gt;$E34,AF$5&lt;=$F34),IF(AF$5=$E34+1,$C34,""),"")</f>
        <v/>
      </c>
      <c r="AG34" s="34">
        <f>IF(AND(AG$5&gt;$E34,AG$5&lt;=$F34),IF(AG$5=$E34+1,$C34,""),"")</f>
        <v/>
      </c>
      <c r="AH34" s="34">
        <f>IF(AND(AH$5&gt;$E34,AH$5&lt;=$F34),IF(AH$5=$E34+1,$C34,""),"")</f>
        <v/>
      </c>
      <c r="AI34" s="34">
        <f>IF(AND(AI$5&gt;$E34,AI$5&lt;=$F34),IF(AI$5=$E34+1,$C34,""),"")</f>
        <v/>
      </c>
      <c r="AJ34" s="34">
        <f>IF(AND(AJ$5&gt;$E34,AJ$5&lt;=$F34),IF(AJ$5=$E34+1,$C34,""),"")</f>
        <v/>
      </c>
      <c r="AK34" s="34">
        <f>IF(AND(AK$5&gt;$E34,AK$5&lt;=$F34),IF(AK$5=$E34+1,$C34,""),"")</f>
        <v/>
      </c>
      <c r="AL34" s="34">
        <f>IF(AND(AL$5&gt;$E34,AL$5&lt;=$F34),IF(AL$5=$E34+1,$C34,""),"")</f>
        <v/>
      </c>
      <c r="AM34" s="34">
        <f>IF(AND(AM$5&gt;$E34,AM$5&lt;=$F34),IF(AM$5=$E34+1,$C34,""),"")</f>
        <v/>
      </c>
      <c r="AN34" s="34">
        <f>IF(AND(AN$5&gt;$E34,AN$5&lt;=$F34),IF(AN$5=$E34+1,$C34,""),"")</f>
        <v/>
      </c>
      <c r="AO34" s="34">
        <f>IF(AND(AO$5&gt;$E34,AO$5&lt;=$F34),IF(AO$5=$E34+1,$C34,""),"")</f>
        <v/>
      </c>
      <c r="AP34" s="34">
        <f>IF(AND(AP$5&gt;$E34,AP$5&lt;=$F34),IF(AP$5=$E34+1,$C34,""),"")</f>
        <v/>
      </c>
      <c r="AQ34" s="34">
        <f>IF(AND(AQ$5&gt;$E34,AQ$5&lt;=$F34),IF(AQ$5=$E34+1,$C34,""),"")</f>
        <v/>
      </c>
      <c r="AR34" s="34">
        <f>IF(AND(AR$5&gt;$E34,AR$5&lt;=$F34),IF(AR$5=$E34+1,$C34,""),"")</f>
        <v/>
      </c>
      <c r="AS34" s="34">
        <f>IF(AND(AS$5&gt;$E34,AS$5&lt;=$F34),IF(AS$5=$E34+1,$C34,""),"")</f>
        <v/>
      </c>
      <c r="AT34" s="34">
        <f>IF(AND(AT$5&gt;$E34,AT$5&lt;=$F34),IF(AT$5=$E34+1,$C34,""),"")</f>
        <v/>
      </c>
      <c r="AU34" s="34">
        <f>IF(AND(AU$5&gt;$E34,AU$5&lt;=$F34),IF(AU$5=$E34+1,$C34,""),"")</f>
        <v/>
      </c>
      <c r="AV34" s="34">
        <f>IF(AND(AV$5&gt;$E34,AV$5&lt;=$F34),IF(AV$5=$E34+1,$C34,""),"")</f>
        <v/>
      </c>
      <c r="AW34" s="34">
        <f>IF(AND(AW$5&gt;$E34,AW$5&lt;=$F34),IF(AW$5=$E34+1,$C34,""),"")</f>
        <v/>
      </c>
      <c r="AX34" s="34">
        <f>IF(AND(AX$5&gt;$E34,AX$5&lt;=$F34),IF(AX$5=$E34+1,$C34,""),"")</f>
        <v/>
      </c>
      <c r="AY34" s="34">
        <f>IF(AND(AY$5&gt;$E34,AY$5&lt;=$F34),IF(AY$5=$E34+1,$C34,""),"")</f>
        <v/>
      </c>
      <c r="AZ34" s="34">
        <f>IF(AND(AZ$5&gt;$E34,AZ$5&lt;=$F34),IF(AZ$5=$E34+1,$C34,""),"")</f>
        <v/>
      </c>
      <c r="BA34" s="34">
        <f>IF(AND(BA$5&gt;$E34,BA$5&lt;=$F34),IF(BA$5=$E34+1,$C34,""),"")</f>
        <v/>
      </c>
      <c r="BB34" s="34">
        <f>IF(AND(BB$5&gt;$E34,BB$5&lt;=$F34),IF(BB$5=$E34+1,$C34,""),"")</f>
        <v/>
      </c>
      <c r="BC34" s="34">
        <f>IF(AND(BC$5&gt;$E34,BC$5&lt;=$F34),IF(BC$5=$E34+1,$C34,""),"")</f>
        <v/>
      </c>
      <c r="BD34" s="34">
        <f>IF(AND(BD$5&gt;$E34,BD$5&lt;=$F34),IF(BD$5=$E34+1,$C34,""),"")</f>
        <v/>
      </c>
      <c r="BE34" s="34">
        <f>IF(AND(BE$5&gt;$E34,BE$5&lt;=$F34),IF(BE$5=$E34+1,$C34,""),"")</f>
        <v/>
      </c>
      <c r="BF34" s="34">
        <f>IF(AND(BF$5&gt;$E34,BF$5&lt;=$F34),IF(BF$5=$E34+1,$C34,""),"")</f>
        <v/>
      </c>
      <c r="BG34" s="34">
        <f>IF(AND(BG$5&gt;$E34,BG$5&lt;=$F34),IF(BG$5=$E34+1,$C34,""),"")</f>
        <v/>
      </c>
      <c r="BH34" s="34">
        <f>IF(AND(BH$5&gt;$E34,BH$5&lt;=$F34),IF(BH$5=$E34+1,$C34,""),"")</f>
        <v/>
      </c>
      <c r="BI34" s="34">
        <f>IF(AND(BI$5&gt;$E34,BI$5&lt;=$F34),IF(BI$5=$E34+1,$C34,""),"")</f>
        <v/>
      </c>
      <c r="BJ34" s="34">
        <f>IF(AND(BJ$5&gt;$E34,BJ$5&lt;=$F34),IF(BJ$5=$E34+1,$C34,""),"")</f>
        <v/>
      </c>
      <c r="BK34" s="34">
        <f>IF(AND(BK$5&gt;$E34,BK$5&lt;=$F34),IF(BK$5=$E34+1,$C34,""),"")</f>
        <v/>
      </c>
      <c r="BL34" s="34">
        <f>IF(AND(BL$5&gt;$E34,BL$5&lt;=$F34),IF(BL$5=$E34+1,$C34,""),"")</f>
        <v/>
      </c>
      <c r="BM34" s="34">
        <f>IF(AND(BM$5&gt;$E34,BM$5&lt;=$F34),IF(BM$5=$E34+1,$C34,""),"")</f>
        <v/>
      </c>
      <c r="BN34" s="34">
        <f>IF(AND(BN$5&gt;$E34,BN$5&lt;=$F34),IF(BN$5=$E34+1,$C34,""),"")</f>
        <v/>
      </c>
      <c r="BO34" s="34">
        <f>IF(AND(BO$5&gt;$E34,BO$5&lt;=$F34),IF(BO$5=$E34+1,$C34,""),"")</f>
        <v/>
      </c>
      <c r="BP34" s="34">
        <f>IF(AND(BP$5&gt;$E34,BP$5&lt;=$F34),IF(BP$5=$E34+1,$C34,""),"")</f>
        <v/>
      </c>
      <c r="BQ34" s="34">
        <f>IF(AND(BQ$5&gt;$E34,BQ$5&lt;=$F34),IF(BQ$5=$E34+1,$C34,""),"")</f>
        <v/>
      </c>
      <c r="BR34" s="34">
        <f>IF(AND(BR$5&gt;$E34,BR$5&lt;=$F34),IF(BR$5=$E34+1,$C34,""),"")</f>
        <v/>
      </c>
      <c r="BS34" s="34">
        <f>IF(AND(BS$5&gt;$E34,BS$5&lt;=$F34),IF(BS$5=$E34+1,$C34,""),"")</f>
        <v/>
      </c>
      <c r="BT34" s="34">
        <f>IF(AND(BT$5&gt;$E34,BT$5&lt;=$F34),IF(BT$5=$E34+1,$C34,""),"")</f>
        <v/>
      </c>
      <c r="BU34" s="34">
        <f>IF(AND(BU$5&gt;$E34,BU$5&lt;=$F34),IF(BU$5=$E34+1,$C34,""),"")</f>
        <v/>
      </c>
      <c r="BV34" s="34">
        <f>IF(AND(BV$5&gt;$E34,BV$5&lt;=$F34),IF(BV$5=$E34+1,$C34,""),"")</f>
        <v/>
      </c>
      <c r="BW34" s="34">
        <f>IF(AND(BW$5&gt;$E34,BW$5&lt;=$F34),IF(BW$5=$E34+1,$C34,""),"")</f>
        <v/>
      </c>
      <c r="BX34" s="34">
        <f>IF(AND(BX$5&gt;$E34,BX$5&lt;=$F34),IF(BX$5=$E34+1,$C34,""),"")</f>
        <v/>
      </c>
      <c r="BY34" s="34">
        <f>IF(AND(BY$5&gt;$E34,BY$5&lt;=$F34),IF(BY$5=$E34+1,$C34,""),"")</f>
        <v/>
      </c>
      <c r="BZ34" s="34">
        <f>IF(AND(BZ$5&gt;$E34,BZ$5&lt;=$F34),IF(BZ$5=$E34+1,$C34,""),"")</f>
        <v/>
      </c>
      <c r="CA34" s="34">
        <f>IF(AND(CA$5&gt;$E34,CA$5&lt;=$F34),IF(CA$5=$E34+1,$C34,""),"")</f>
        <v/>
      </c>
      <c r="CB34" s="34">
        <f>IF(AND(CB$5&gt;$E34,CB$5&lt;=$F34),IF(CB$5=$E34+1,$C34,""),"")</f>
        <v/>
      </c>
      <c r="CC34" s="34">
        <f>IF(AND(CC$5&gt;$E34,CC$5&lt;=$F34),IF(CC$5=$E34+1,$C34,""),"")</f>
        <v/>
      </c>
      <c r="CD34" s="34">
        <f>IF(AND(CD$5&gt;$E34,CD$5&lt;=$F34),IF(CD$5=$E34+1,$C34,""),"")</f>
        <v/>
      </c>
      <c r="CE34" s="34">
        <f>IF(AND(CE$5&gt;$E34,CE$5&lt;=$F34),IF(CE$5=$E34+1,$C34,""),"")</f>
        <v/>
      </c>
      <c r="CF34" s="34">
        <f>IF(AND(CF$5&gt;$E34,CF$5&lt;=$F34),IF(CF$5=$E34+1,$C34,""),"")</f>
        <v/>
      </c>
      <c r="CG34" s="34">
        <f>IF(AND(CG$5&gt;$E34,CG$5&lt;=$F34),IF(CG$5=$E34+1,$C34,""),"")</f>
        <v/>
      </c>
      <c r="CH34" s="34">
        <f>IF(AND(CH$5&gt;$E34,CH$5&lt;=$F34),IF(CH$5=$E34+1,$C34,""),"")</f>
        <v/>
      </c>
      <c r="CI34" s="34">
        <f>IF(AND(CI$5&gt;$E34,CI$5&lt;=$F34),IF(CI$5=$E34+1,$C34,""),"")</f>
        <v/>
      </c>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row>
    <row r="39">
      <c r="A39" s="27" t="inlineStr">
        <is>
          <t>Fase 4. Panel de administración</t>
        </is>
      </c>
      <c r="B39" s="28" t="n"/>
      <c r="C39" s="28" t="n"/>
      <c r="D39" s="28" t="n"/>
      <c r="E39" s="29">
        <f>SUMPRODUCT(MIN((Plan!$B$5:$B$64="4. Panel de administración")*Plan!$K$5:$K$64+(Plan!$B$5:$B$64&lt;&gt;"4. Panel de administración")*1E9))</f>
        <v/>
      </c>
      <c r="F39" s="29">
        <f>SUMPRODUCT(MAX((Plan!$B$5:$B$64="4. Panel de administración")*Plan!$L$5:$L$64))</f>
        <v/>
      </c>
      <c r="G39" s="30">
        <f>Resumen!E32</f>
        <v/>
      </c>
      <c r="H39" s="31" t="n"/>
      <c r="I39" s="31" t="n"/>
      <c r="J39" s="31" t="n"/>
      <c r="K39" s="31" t="n"/>
      <c r="L39" s="31" t="n"/>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row>
    <row r="40">
      <c r="A40" s="32">
        <f>Plan!A32</f>
        <v/>
      </c>
      <c r="B40" s="33">
        <f>Plan!C32</f>
        <v/>
      </c>
      <c r="C40" s="16">
        <f>Plan!D32</f>
        <v/>
      </c>
      <c r="D40" s="16">
        <f>Plan!I32</f>
        <v/>
      </c>
      <c r="E40" s="16">
        <f>Plan!K32</f>
        <v/>
      </c>
      <c r="F40" s="16">
        <f>Plan!L32</f>
        <v/>
      </c>
      <c r="G40" s="16">
        <f>Plan!O32</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row>
    <row r="41">
      <c r="A41" s="32">
        <f>Plan!A33</f>
        <v/>
      </c>
      <c r="B41" s="33">
        <f>Plan!C33</f>
        <v/>
      </c>
      <c r="C41" s="16">
        <f>Plan!D33</f>
        <v/>
      </c>
      <c r="D41" s="16">
        <f>Plan!I33</f>
        <v/>
      </c>
      <c r="E41" s="16">
        <f>Plan!K33</f>
        <v/>
      </c>
      <c r="F41" s="16">
        <f>Plan!L33</f>
        <v/>
      </c>
      <c r="G41" s="16">
        <f>Plan!O33</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row>
    <row r="42">
      <c r="A42" s="32">
        <f>Plan!A34</f>
        <v/>
      </c>
      <c r="B42" s="33">
        <f>Plan!C34</f>
        <v/>
      </c>
      <c r="C42" s="16">
        <f>Plan!D34</f>
        <v/>
      </c>
      <c r="D42" s="16">
        <f>Plan!I34</f>
        <v/>
      </c>
      <c r="E42" s="16">
        <f>Plan!K34</f>
        <v/>
      </c>
      <c r="F42" s="16">
        <f>Plan!L34</f>
        <v/>
      </c>
      <c r="G42" s="16">
        <f>Plan!O34</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row>
    <row r="43">
      <c r="A43" s="32">
        <f>Plan!A35</f>
        <v/>
      </c>
      <c r="B43" s="33">
        <f>Plan!C35</f>
        <v/>
      </c>
      <c r="C43" s="16">
        <f>Plan!D35</f>
        <v/>
      </c>
      <c r="D43" s="16">
        <f>Plan!I35</f>
        <v/>
      </c>
      <c r="E43" s="16">
        <f>Plan!K35</f>
        <v/>
      </c>
      <c r="F43" s="16">
        <f>Plan!L35</f>
        <v/>
      </c>
      <c r="G43" s="16">
        <f>Plan!O35</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row>
    <row r="44">
      <c r="A44" s="32">
        <f>Plan!A36</f>
        <v/>
      </c>
      <c r="B44" s="33">
        <f>Plan!C36</f>
        <v/>
      </c>
      <c r="C44" s="16">
        <f>Plan!D36</f>
        <v/>
      </c>
      <c r="D44" s="16">
        <f>Plan!I36</f>
        <v/>
      </c>
      <c r="E44" s="16">
        <f>Plan!K36</f>
        <v/>
      </c>
      <c r="F44" s="16">
        <f>Plan!L36</f>
        <v/>
      </c>
      <c r="G44" s="16">
        <f>Plan!O36</f>
        <v/>
      </c>
      <c r="H44" s="34">
        <f>IF(AND(H$5&gt;$E44,H$5&lt;=$F44),IF(H$5=$E44+1,$C44,""),"")</f>
        <v/>
      </c>
      <c r="I44" s="34">
        <f>IF(AND(I$5&gt;$E44,I$5&lt;=$F44),IF(I$5=$E44+1,$C44,""),"")</f>
        <v/>
      </c>
      <c r="J44" s="34">
        <f>IF(AND(J$5&gt;$E44,J$5&lt;=$F44),IF(J$5=$E44+1,$C44,""),"")</f>
        <v/>
      </c>
      <c r="K44" s="34">
        <f>IF(AND(K$5&gt;$E44,K$5&lt;=$F44),IF(K$5=$E44+1,$C44,""),"")</f>
        <v/>
      </c>
      <c r="L44" s="34">
        <f>IF(AND(L$5&gt;$E44,L$5&lt;=$F44),IF(L$5=$E44+1,$C44,""),"")</f>
        <v/>
      </c>
      <c r="M44" s="34">
        <f>IF(AND(M$5&gt;$E44,M$5&lt;=$F44),IF(M$5=$E44+1,$C44,""),"")</f>
        <v/>
      </c>
      <c r="N44" s="34">
        <f>IF(AND(N$5&gt;$E44,N$5&lt;=$F44),IF(N$5=$E44+1,$C44,""),"")</f>
        <v/>
      </c>
      <c r="O44" s="34">
        <f>IF(AND(O$5&gt;$E44,O$5&lt;=$F44),IF(O$5=$E44+1,$C44,""),"")</f>
        <v/>
      </c>
      <c r="P44" s="34">
        <f>IF(AND(P$5&gt;$E44,P$5&lt;=$F44),IF(P$5=$E44+1,$C44,""),"")</f>
        <v/>
      </c>
      <c r="Q44" s="34">
        <f>IF(AND(Q$5&gt;$E44,Q$5&lt;=$F44),IF(Q$5=$E44+1,$C44,""),"")</f>
        <v/>
      </c>
      <c r="R44" s="34">
        <f>IF(AND(R$5&gt;$E44,R$5&lt;=$F44),IF(R$5=$E44+1,$C44,""),"")</f>
        <v/>
      </c>
      <c r="S44" s="34">
        <f>IF(AND(S$5&gt;$E44,S$5&lt;=$F44),IF(S$5=$E44+1,$C44,""),"")</f>
        <v/>
      </c>
      <c r="T44" s="34">
        <f>IF(AND(T$5&gt;$E44,T$5&lt;=$F44),IF(T$5=$E44+1,$C44,""),"")</f>
        <v/>
      </c>
      <c r="U44" s="34">
        <f>IF(AND(U$5&gt;$E44,U$5&lt;=$F44),IF(U$5=$E44+1,$C44,""),"")</f>
        <v/>
      </c>
      <c r="V44" s="34">
        <f>IF(AND(V$5&gt;$E44,V$5&lt;=$F44),IF(V$5=$E44+1,$C44,""),"")</f>
        <v/>
      </c>
      <c r="W44" s="34">
        <f>IF(AND(W$5&gt;$E44,W$5&lt;=$F44),IF(W$5=$E44+1,$C44,""),"")</f>
        <v/>
      </c>
      <c r="X44" s="34">
        <f>IF(AND(X$5&gt;$E44,X$5&lt;=$F44),IF(X$5=$E44+1,$C44,""),"")</f>
        <v/>
      </c>
      <c r="Y44" s="34">
        <f>IF(AND(Y$5&gt;$E44,Y$5&lt;=$F44),IF(Y$5=$E44+1,$C44,""),"")</f>
        <v/>
      </c>
      <c r="Z44" s="34">
        <f>IF(AND(Z$5&gt;$E44,Z$5&lt;=$F44),IF(Z$5=$E44+1,$C44,""),"")</f>
        <v/>
      </c>
      <c r="AA44" s="34">
        <f>IF(AND(AA$5&gt;$E44,AA$5&lt;=$F44),IF(AA$5=$E44+1,$C44,""),"")</f>
        <v/>
      </c>
      <c r="AB44" s="34">
        <f>IF(AND(AB$5&gt;$E44,AB$5&lt;=$F44),IF(AB$5=$E44+1,$C44,""),"")</f>
        <v/>
      </c>
      <c r="AC44" s="34">
        <f>IF(AND(AC$5&gt;$E44,AC$5&lt;=$F44),IF(AC$5=$E44+1,$C44,""),"")</f>
        <v/>
      </c>
      <c r="AD44" s="34">
        <f>IF(AND(AD$5&gt;$E44,AD$5&lt;=$F44),IF(AD$5=$E44+1,$C44,""),"")</f>
        <v/>
      </c>
      <c r="AE44" s="34">
        <f>IF(AND(AE$5&gt;$E44,AE$5&lt;=$F44),IF(AE$5=$E44+1,$C44,""),"")</f>
        <v/>
      </c>
      <c r="AF44" s="34">
        <f>IF(AND(AF$5&gt;$E44,AF$5&lt;=$F44),IF(AF$5=$E44+1,$C44,""),"")</f>
        <v/>
      </c>
      <c r="AG44" s="34">
        <f>IF(AND(AG$5&gt;$E44,AG$5&lt;=$F44),IF(AG$5=$E44+1,$C44,""),"")</f>
        <v/>
      </c>
      <c r="AH44" s="34">
        <f>IF(AND(AH$5&gt;$E44,AH$5&lt;=$F44),IF(AH$5=$E44+1,$C44,""),"")</f>
        <v/>
      </c>
      <c r="AI44" s="34">
        <f>IF(AND(AI$5&gt;$E44,AI$5&lt;=$F44),IF(AI$5=$E44+1,$C44,""),"")</f>
        <v/>
      </c>
      <c r="AJ44" s="34">
        <f>IF(AND(AJ$5&gt;$E44,AJ$5&lt;=$F44),IF(AJ$5=$E44+1,$C44,""),"")</f>
        <v/>
      </c>
      <c r="AK44" s="34">
        <f>IF(AND(AK$5&gt;$E44,AK$5&lt;=$F44),IF(AK$5=$E44+1,$C44,""),"")</f>
        <v/>
      </c>
      <c r="AL44" s="34">
        <f>IF(AND(AL$5&gt;$E44,AL$5&lt;=$F44),IF(AL$5=$E44+1,$C44,""),"")</f>
        <v/>
      </c>
      <c r="AM44" s="34">
        <f>IF(AND(AM$5&gt;$E44,AM$5&lt;=$F44),IF(AM$5=$E44+1,$C44,""),"")</f>
        <v/>
      </c>
      <c r="AN44" s="34">
        <f>IF(AND(AN$5&gt;$E44,AN$5&lt;=$F44),IF(AN$5=$E44+1,$C44,""),"")</f>
        <v/>
      </c>
      <c r="AO44" s="34">
        <f>IF(AND(AO$5&gt;$E44,AO$5&lt;=$F44),IF(AO$5=$E44+1,$C44,""),"")</f>
        <v/>
      </c>
      <c r="AP44" s="34">
        <f>IF(AND(AP$5&gt;$E44,AP$5&lt;=$F44),IF(AP$5=$E44+1,$C44,""),"")</f>
        <v/>
      </c>
      <c r="AQ44" s="34">
        <f>IF(AND(AQ$5&gt;$E44,AQ$5&lt;=$F44),IF(AQ$5=$E44+1,$C44,""),"")</f>
        <v/>
      </c>
      <c r="AR44" s="34">
        <f>IF(AND(AR$5&gt;$E44,AR$5&lt;=$F44),IF(AR$5=$E44+1,$C44,""),"")</f>
        <v/>
      </c>
      <c r="AS44" s="34">
        <f>IF(AND(AS$5&gt;$E44,AS$5&lt;=$F44),IF(AS$5=$E44+1,$C44,""),"")</f>
        <v/>
      </c>
      <c r="AT44" s="34">
        <f>IF(AND(AT$5&gt;$E44,AT$5&lt;=$F44),IF(AT$5=$E44+1,$C44,""),"")</f>
        <v/>
      </c>
      <c r="AU44" s="34">
        <f>IF(AND(AU$5&gt;$E44,AU$5&lt;=$F44),IF(AU$5=$E44+1,$C44,""),"")</f>
        <v/>
      </c>
      <c r="AV44" s="34">
        <f>IF(AND(AV$5&gt;$E44,AV$5&lt;=$F44),IF(AV$5=$E44+1,$C44,""),"")</f>
        <v/>
      </c>
      <c r="AW44" s="34">
        <f>IF(AND(AW$5&gt;$E44,AW$5&lt;=$F44),IF(AW$5=$E44+1,$C44,""),"")</f>
        <v/>
      </c>
      <c r="AX44" s="34">
        <f>IF(AND(AX$5&gt;$E44,AX$5&lt;=$F44),IF(AX$5=$E44+1,$C44,""),"")</f>
        <v/>
      </c>
      <c r="AY44" s="34">
        <f>IF(AND(AY$5&gt;$E44,AY$5&lt;=$F44),IF(AY$5=$E44+1,$C44,""),"")</f>
        <v/>
      </c>
      <c r="AZ44" s="34">
        <f>IF(AND(AZ$5&gt;$E44,AZ$5&lt;=$F44),IF(AZ$5=$E44+1,$C44,""),"")</f>
        <v/>
      </c>
      <c r="BA44" s="34">
        <f>IF(AND(BA$5&gt;$E44,BA$5&lt;=$F44),IF(BA$5=$E44+1,$C44,""),"")</f>
        <v/>
      </c>
      <c r="BB44" s="34">
        <f>IF(AND(BB$5&gt;$E44,BB$5&lt;=$F44),IF(BB$5=$E44+1,$C44,""),"")</f>
        <v/>
      </c>
      <c r="BC44" s="34">
        <f>IF(AND(BC$5&gt;$E44,BC$5&lt;=$F44),IF(BC$5=$E44+1,$C44,""),"")</f>
        <v/>
      </c>
      <c r="BD44" s="34">
        <f>IF(AND(BD$5&gt;$E44,BD$5&lt;=$F44),IF(BD$5=$E44+1,$C44,""),"")</f>
        <v/>
      </c>
      <c r="BE44" s="34">
        <f>IF(AND(BE$5&gt;$E44,BE$5&lt;=$F44),IF(BE$5=$E44+1,$C44,""),"")</f>
        <v/>
      </c>
      <c r="BF44" s="34">
        <f>IF(AND(BF$5&gt;$E44,BF$5&lt;=$F44),IF(BF$5=$E44+1,$C44,""),"")</f>
        <v/>
      </c>
      <c r="BG44" s="34">
        <f>IF(AND(BG$5&gt;$E44,BG$5&lt;=$F44),IF(BG$5=$E44+1,$C44,""),"")</f>
        <v/>
      </c>
      <c r="BH44" s="34">
        <f>IF(AND(BH$5&gt;$E44,BH$5&lt;=$F44),IF(BH$5=$E44+1,$C44,""),"")</f>
        <v/>
      </c>
      <c r="BI44" s="34">
        <f>IF(AND(BI$5&gt;$E44,BI$5&lt;=$F44),IF(BI$5=$E44+1,$C44,""),"")</f>
        <v/>
      </c>
      <c r="BJ44" s="34">
        <f>IF(AND(BJ$5&gt;$E44,BJ$5&lt;=$F44),IF(BJ$5=$E44+1,$C44,""),"")</f>
        <v/>
      </c>
      <c r="BK44" s="34">
        <f>IF(AND(BK$5&gt;$E44,BK$5&lt;=$F44),IF(BK$5=$E44+1,$C44,""),"")</f>
        <v/>
      </c>
      <c r="BL44" s="34">
        <f>IF(AND(BL$5&gt;$E44,BL$5&lt;=$F44),IF(BL$5=$E44+1,$C44,""),"")</f>
        <v/>
      </c>
      <c r="BM44" s="34">
        <f>IF(AND(BM$5&gt;$E44,BM$5&lt;=$F44),IF(BM$5=$E44+1,$C44,""),"")</f>
        <v/>
      </c>
      <c r="BN44" s="34">
        <f>IF(AND(BN$5&gt;$E44,BN$5&lt;=$F44),IF(BN$5=$E44+1,$C44,""),"")</f>
        <v/>
      </c>
      <c r="BO44" s="34">
        <f>IF(AND(BO$5&gt;$E44,BO$5&lt;=$F44),IF(BO$5=$E44+1,$C44,""),"")</f>
        <v/>
      </c>
      <c r="BP44" s="34">
        <f>IF(AND(BP$5&gt;$E44,BP$5&lt;=$F44),IF(BP$5=$E44+1,$C44,""),"")</f>
        <v/>
      </c>
      <c r="BQ44" s="34">
        <f>IF(AND(BQ$5&gt;$E44,BQ$5&lt;=$F44),IF(BQ$5=$E44+1,$C44,""),"")</f>
        <v/>
      </c>
      <c r="BR44" s="34">
        <f>IF(AND(BR$5&gt;$E44,BR$5&lt;=$F44),IF(BR$5=$E44+1,$C44,""),"")</f>
        <v/>
      </c>
      <c r="BS44" s="34">
        <f>IF(AND(BS$5&gt;$E44,BS$5&lt;=$F44),IF(BS$5=$E44+1,$C44,""),"")</f>
        <v/>
      </c>
      <c r="BT44" s="34">
        <f>IF(AND(BT$5&gt;$E44,BT$5&lt;=$F44),IF(BT$5=$E44+1,$C44,""),"")</f>
        <v/>
      </c>
      <c r="BU44" s="34">
        <f>IF(AND(BU$5&gt;$E44,BU$5&lt;=$F44),IF(BU$5=$E44+1,$C44,""),"")</f>
        <v/>
      </c>
      <c r="BV44" s="34">
        <f>IF(AND(BV$5&gt;$E44,BV$5&lt;=$F44),IF(BV$5=$E44+1,$C44,""),"")</f>
        <v/>
      </c>
      <c r="BW44" s="34">
        <f>IF(AND(BW$5&gt;$E44,BW$5&lt;=$F44),IF(BW$5=$E44+1,$C44,""),"")</f>
        <v/>
      </c>
      <c r="BX44" s="34">
        <f>IF(AND(BX$5&gt;$E44,BX$5&lt;=$F44),IF(BX$5=$E44+1,$C44,""),"")</f>
        <v/>
      </c>
      <c r="BY44" s="34">
        <f>IF(AND(BY$5&gt;$E44,BY$5&lt;=$F44),IF(BY$5=$E44+1,$C44,""),"")</f>
        <v/>
      </c>
      <c r="BZ44" s="34">
        <f>IF(AND(BZ$5&gt;$E44,BZ$5&lt;=$F44),IF(BZ$5=$E44+1,$C44,""),"")</f>
        <v/>
      </c>
      <c r="CA44" s="34">
        <f>IF(AND(CA$5&gt;$E44,CA$5&lt;=$F44),IF(CA$5=$E44+1,$C44,""),"")</f>
        <v/>
      </c>
      <c r="CB44" s="34">
        <f>IF(AND(CB$5&gt;$E44,CB$5&lt;=$F44),IF(CB$5=$E44+1,$C44,""),"")</f>
        <v/>
      </c>
      <c r="CC44" s="34">
        <f>IF(AND(CC$5&gt;$E44,CC$5&lt;=$F44),IF(CC$5=$E44+1,$C44,""),"")</f>
        <v/>
      </c>
      <c r="CD44" s="34">
        <f>IF(AND(CD$5&gt;$E44,CD$5&lt;=$F44),IF(CD$5=$E44+1,$C44,""),"")</f>
        <v/>
      </c>
      <c r="CE44" s="34">
        <f>IF(AND(CE$5&gt;$E44,CE$5&lt;=$F44),IF(CE$5=$E44+1,$C44,""),"")</f>
        <v/>
      </c>
      <c r="CF44" s="34">
        <f>IF(AND(CF$5&gt;$E44,CF$5&lt;=$F44),IF(CF$5=$E44+1,$C44,""),"")</f>
        <v/>
      </c>
      <c r="CG44" s="34">
        <f>IF(AND(CG$5&gt;$E44,CG$5&lt;=$F44),IF(CG$5=$E44+1,$C44,""),"")</f>
        <v/>
      </c>
      <c r="CH44" s="34">
        <f>IF(AND(CH$5&gt;$E44,CH$5&lt;=$F44),IF(CH$5=$E44+1,$C44,""),"")</f>
        <v/>
      </c>
      <c r="CI44" s="34">
        <f>IF(AND(CI$5&gt;$E44,CI$5&lt;=$F44),IF(CI$5=$E44+1,$C44,""),"")</f>
        <v/>
      </c>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row>
    <row r="48">
      <c r="A48" s="27" t="inlineStr">
        <is>
          <t>Fase 5. Convenios y pulido</t>
        </is>
      </c>
      <c r="B48" s="28" t="n"/>
      <c r="C48" s="28" t="n"/>
      <c r="D48" s="28" t="n"/>
      <c r="E48" s="29">
        <f>SUMPRODUCT(MIN((Plan!$B$5:$B$64="5. Convenios y pulido")*Plan!$K$5:$K$64+(Plan!$B$5:$B$64&lt;&gt;"5. Convenios y pulido")*1E9))</f>
        <v/>
      </c>
      <c r="F48" s="29">
        <f>SUMPRODUCT(MAX((Plan!$B$5:$B$64="5. Convenios y pulido")*Plan!$L$5:$L$64))</f>
        <v/>
      </c>
      <c r="G48" s="30">
        <f>Resumen!E33</f>
        <v/>
      </c>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row>
    <row r="49">
      <c r="A49" s="32">
        <f>Plan!A40</f>
        <v/>
      </c>
      <c r="B49" s="33">
        <f>Plan!C40</f>
        <v/>
      </c>
      <c r="C49" s="16">
        <f>Plan!D40</f>
        <v/>
      </c>
      <c r="D49" s="16">
        <f>Plan!I40</f>
        <v/>
      </c>
      <c r="E49" s="16">
        <f>Plan!K40</f>
        <v/>
      </c>
      <c r="F49" s="16">
        <f>Plan!L40</f>
        <v/>
      </c>
      <c r="G49" s="16">
        <f>Plan!O40</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row>
    <row r="50">
      <c r="A50" s="32">
        <f>Plan!A41</f>
        <v/>
      </c>
      <c r="B50" s="33">
        <f>Plan!C41</f>
        <v/>
      </c>
      <c r="C50" s="16">
        <f>Plan!D41</f>
        <v/>
      </c>
      <c r="D50" s="16">
        <f>Plan!I41</f>
        <v/>
      </c>
      <c r="E50" s="16">
        <f>Plan!K41</f>
        <v/>
      </c>
      <c r="F50" s="16">
        <f>Plan!L41</f>
        <v/>
      </c>
      <c r="G50" s="16">
        <f>Plan!O41</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row>
    <row r="51">
      <c r="A51" s="32">
        <f>Plan!A42</f>
        <v/>
      </c>
      <c r="B51" s="33">
        <f>Plan!C42</f>
        <v/>
      </c>
      <c r="C51" s="16">
        <f>Plan!D42</f>
        <v/>
      </c>
      <c r="D51" s="16">
        <f>Plan!I42</f>
        <v/>
      </c>
      <c r="E51" s="16">
        <f>Plan!K42</f>
        <v/>
      </c>
      <c r="F51" s="16">
        <f>Plan!L42</f>
        <v/>
      </c>
      <c r="G51" s="16">
        <f>Plan!O42</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row>
    <row r="52">
      <c r="A52" s="32">
        <f>Plan!A43</f>
        <v/>
      </c>
      <c r="B52" s="33">
        <f>Plan!C43</f>
        <v/>
      </c>
      <c r="C52" s="16">
        <f>Plan!D43</f>
        <v/>
      </c>
      <c r="D52" s="16">
        <f>Plan!I43</f>
        <v/>
      </c>
      <c r="E52" s="16">
        <f>Plan!K43</f>
        <v/>
      </c>
      <c r="F52" s="16">
        <f>Plan!L43</f>
        <v/>
      </c>
      <c r="G52" s="16">
        <f>Plan!O43</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row>
    <row r="53">
      <c r="A53" s="32">
        <f>Plan!A44</f>
        <v/>
      </c>
      <c r="B53" s="33">
        <f>Plan!C44</f>
        <v/>
      </c>
      <c r="C53" s="16">
        <f>Plan!D44</f>
        <v/>
      </c>
      <c r="D53" s="16">
        <f>Plan!I44</f>
        <v/>
      </c>
      <c r="E53" s="16">
        <f>Plan!K44</f>
        <v/>
      </c>
      <c r="F53" s="16">
        <f>Plan!L44</f>
        <v/>
      </c>
      <c r="G53" s="16">
        <f>Plan!O44</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row>
    <row r="54">
      <c r="A54" s="32">
        <f>Plan!A45</f>
        <v/>
      </c>
      <c r="B54" s="33">
        <f>Plan!C45</f>
        <v/>
      </c>
      <c r="C54" s="16">
        <f>Plan!D45</f>
        <v/>
      </c>
      <c r="D54" s="16">
        <f>Plan!I45</f>
        <v/>
      </c>
      <c r="E54" s="16">
        <f>Plan!K45</f>
        <v/>
      </c>
      <c r="F54" s="16">
        <f>Plan!L45</f>
        <v/>
      </c>
      <c r="G54" s="16">
        <f>Plan!O45</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row>
    <row r="55">
      <c r="A55" s="32">
        <f>Plan!A46</f>
        <v/>
      </c>
      <c r="B55" s="33">
        <f>Plan!C46</f>
        <v/>
      </c>
      <c r="C55" s="16">
        <f>Plan!D46</f>
        <v/>
      </c>
      <c r="D55" s="16">
        <f>Plan!I46</f>
        <v/>
      </c>
      <c r="E55" s="16">
        <f>Plan!K46</f>
        <v/>
      </c>
      <c r="F55" s="16">
        <f>Plan!L46</f>
        <v/>
      </c>
      <c r="G55" s="16">
        <f>Plan!O46</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row>
    <row r="56">
      <c r="A56" s="32">
        <f>Plan!A47</f>
        <v/>
      </c>
      <c r="B56" s="33">
        <f>Plan!C47</f>
        <v/>
      </c>
      <c r="C56" s="16">
        <f>Plan!D47</f>
        <v/>
      </c>
      <c r="D56" s="16">
        <f>Plan!I47</f>
        <v/>
      </c>
      <c r="E56" s="16">
        <f>Plan!K47</f>
        <v/>
      </c>
      <c r="F56" s="16">
        <f>Plan!L47</f>
        <v/>
      </c>
      <c r="G56" s="16">
        <f>Plan!O47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row>
    <row r="59">
      <c r="A59" s="27" t="inlineStr">
        <is>
          <t>Fase 6. Pruebas y lanzamiento</t>
        </is>
      </c>
      <c r="B59" s="28" t="n"/>
      <c r="C59" s="28" t="n"/>
      <c r="D59" s="28" t="n"/>
      <c r="E59" s="29">
        <f>SUMPRODUCT(MIN((Plan!$B$5:$B$64="6. Pruebas y lanzamiento")*Plan!$K$5:$K$64+(Plan!$B$5:$B$64&lt;&gt;"6. Pruebas y lanzamiento")*1E9))</f>
        <v/>
      </c>
      <c r="F59" s="29">
        <f>SUMPRODUCT(MAX((Plan!$B$5:$B$64="6. Pruebas y lanzamiento")*Plan!$L$5:$L$64))</f>
        <v/>
      </c>
      <c r="G59" s="30">
        <f>Resumen!E34</f>
        <v/>
      </c>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row>
    <row r="60">
      <c r="A60" s="32">
        <f>Plan!A50</f>
        <v/>
      </c>
      <c r="B60" s="33">
        <f>Plan!C50</f>
        <v/>
      </c>
      <c r="C60" s="16">
        <f>Plan!D50</f>
        <v/>
      </c>
      <c r="D60" s="16">
        <f>Plan!I50</f>
        <v/>
      </c>
      <c r="E60" s="16">
        <f>Plan!K50</f>
        <v/>
      </c>
      <c r="F60" s="16">
        <f>Plan!L50</f>
        <v/>
      </c>
      <c r="G60" s="16">
        <f>Plan!O50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row>
    <row r="61">
      <c r="A61" s="32">
        <f>Plan!A51</f>
        <v/>
      </c>
      <c r="B61" s="33">
        <f>Plan!C51</f>
        <v/>
      </c>
      <c r="C61" s="16">
        <f>Plan!D51</f>
        <v/>
      </c>
      <c r="D61" s="16">
        <f>Plan!I51</f>
        <v/>
      </c>
      <c r="E61" s="16">
        <f>Plan!K51</f>
        <v/>
      </c>
      <c r="F61" s="16">
        <f>Plan!L51</f>
        <v/>
      </c>
      <c r="G61" s="16">
        <f>Plan!O51</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row>
    <row r="62">
      <c r="A62" s="32">
        <f>Plan!A52</f>
        <v/>
      </c>
      <c r="B62" s="33">
        <f>Plan!C52</f>
        <v/>
      </c>
      <c r="C62" s="16">
        <f>Plan!D52</f>
        <v/>
      </c>
      <c r="D62" s="16">
        <f>Plan!I52</f>
        <v/>
      </c>
      <c r="E62" s="16">
        <f>Plan!K52</f>
        <v/>
      </c>
      <c r="F62" s="16">
        <f>Plan!L52</f>
        <v/>
      </c>
      <c r="G62" s="16">
        <f>Plan!O52</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row>
    <row r="63">
      <c r="A63" s="32">
        <f>Plan!A53</f>
        <v/>
      </c>
      <c r="B63" s="33">
        <f>Plan!C53</f>
        <v/>
      </c>
      <c r="C63" s="16">
        <f>Plan!D53</f>
        <v/>
      </c>
      <c r="D63" s="16">
        <f>Plan!I53</f>
        <v/>
      </c>
      <c r="E63" s="16">
        <f>Plan!K53</f>
        <v/>
      </c>
      <c r="F63" s="16">
        <f>Plan!L53</f>
        <v/>
      </c>
      <c r="G63" s="16">
        <f>Plan!O53</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row>
    <row r="64">
      <c r="A64" s="32">
        <f>Plan!A54</f>
        <v/>
      </c>
      <c r="B64" s="33">
        <f>Plan!C54</f>
        <v/>
      </c>
      <c r="C64" s="16">
        <f>Plan!D54</f>
        <v/>
      </c>
      <c r="D64" s="16">
        <f>Plan!I54</f>
        <v/>
      </c>
      <c r="E64" s="16">
        <f>Plan!K54</f>
        <v/>
      </c>
      <c r="F64" s="16">
        <f>Plan!L54</f>
        <v/>
      </c>
      <c r="G64" s="16">
        <f>Plan!O54</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row>
    <row r="65">
      <c r="A65" s="32">
        <f>Plan!A55</f>
        <v/>
      </c>
      <c r="B65" s="33">
        <f>Plan!C55</f>
        <v/>
      </c>
      <c r="C65" s="16">
        <f>Plan!D55</f>
        <v/>
      </c>
      <c r="D65" s="16">
        <f>Plan!I55</f>
        <v/>
      </c>
      <c r="E65" s="16">
        <f>Plan!K55</f>
        <v/>
      </c>
      <c r="F65" s="16">
        <f>Plan!L55</f>
        <v/>
      </c>
      <c r="G65" s="16">
        <f>Plan!O55</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row>
    <row r="66">
      <c r="A66" s="32">
        <f>Plan!A56</f>
        <v/>
      </c>
      <c r="B66" s="33">
        <f>Plan!C56</f>
        <v/>
      </c>
      <c r="C66" s="16">
        <f>Plan!D56</f>
        <v/>
      </c>
      <c r="D66" s="16">
        <f>Plan!I56</f>
        <v/>
      </c>
      <c r="E66" s="16">
        <f>Plan!K56</f>
        <v/>
      </c>
      <c r="F66" s="16">
        <f>Plan!L56</f>
        <v/>
      </c>
      <c r="G66" s="16">
        <f>Plan!O56</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row>
    <row r="67">
      <c r="A67" s="32">
        <f>Plan!A57</f>
        <v/>
      </c>
      <c r="B67" s="33">
        <f>Plan!C57</f>
        <v/>
      </c>
      <c r="C67" s="16">
        <f>Plan!D57</f>
        <v/>
      </c>
      <c r="D67" s="16">
        <f>Plan!I57</f>
        <v/>
      </c>
      <c r="E67" s="16">
        <f>Plan!K57</f>
        <v/>
      </c>
      <c r="F67" s="16">
        <f>Plan!L57</f>
        <v/>
      </c>
      <c r="G67" s="16">
        <f>Plan!O57</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row>
  </sheetData>
  <mergeCells count="16">
    <mergeCell ref="A9:D9"/>
    <mergeCell ref="R4:AA4"/>
    <mergeCell ref="H4:Q4"/>
    <mergeCell ref="A6:G6"/>
    <mergeCell ref="A48:D48"/>
    <mergeCell ref="A30:D30"/>
    <mergeCell ref="AB4:AK4"/>
    <mergeCell ref="A39:D39"/>
    <mergeCell ref="AV4:BE4"/>
    <mergeCell ref="A59:D59"/>
    <mergeCell ref="BZ4:CI4"/>
    <mergeCell ref="A7:G7"/>
    <mergeCell ref="BP4:BY4"/>
    <mergeCell ref="A16:D16"/>
    <mergeCell ref="AL4:AU4"/>
    <mergeCell ref="BF4:BO4"/>
  </mergeCells>
  <conditionalFormatting sqref="H6:CI6">
    <cfRule type="expression" priority="1" dxfId="9">
      <formula>H6&lt;&gt;""</formula>
    </cfRule>
  </conditionalFormatting>
  <conditionalFormatting sqref="H7:CI7">
    <cfRule type="expression" priority="2" dxfId="10">
      <formula>H7&lt;&gt;""</formula>
    </cfRule>
  </conditionalFormatting>
  <conditionalFormatting sqref="H9:CI9">
    <cfRule type="expression" priority="3" dxfId="11">
      <formula>AND(H$5&gt;$E9,H$5&lt;=$F9)</formula>
    </cfRule>
  </conditionalFormatting>
  <conditionalFormatting sqref="H16:CI16">
    <cfRule type="expression" priority="4" dxfId="11">
      <formula>AND(H$5&gt;$E16,H$5&lt;=$F16)</formula>
    </cfRule>
  </conditionalFormatting>
  <conditionalFormatting sqref="H30:CI30">
    <cfRule type="expression" priority="5" dxfId="11">
      <formula>AND(H$5&gt;$E30,H$5&lt;=$F30)</formula>
    </cfRule>
  </conditionalFormatting>
  <conditionalFormatting sqref="H39:CI39">
    <cfRule type="expression" priority="6" dxfId="11">
      <formula>AND(H$5&gt;$E39,H$5&lt;=$F39)</formula>
    </cfRule>
  </conditionalFormatting>
  <conditionalFormatting sqref="H48:CI48">
    <cfRule type="expression" priority="7" dxfId="11">
      <formula>AND(H$5&gt;$E48,H$5&lt;=$F48)</formula>
    </cfRule>
  </conditionalFormatting>
  <conditionalFormatting sqref="H59:CI59">
    <cfRule type="expression" priority="8" dxfId="11">
      <formula>AND(H$5&gt;$E59,H$5&lt;=$F59)</formula>
    </cfRule>
  </conditionalFormatting>
  <conditionalFormatting sqref="H9:CI74">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I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1"/>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3.1</t>
        </is>
      </c>
      <c r="C9" s="35">
        <f>Plan!C24</f>
        <v/>
      </c>
      <c r="D9" s="8" t="n">
        <v>24</v>
      </c>
      <c r="E9" s="16">
        <f>Plan!J24</f>
        <v/>
      </c>
      <c r="F9" s="16">
        <f>Plan!K24</f>
        <v/>
      </c>
      <c r="G9" s="8">
        <f>F9-E9</f>
        <v/>
      </c>
      <c r="H9" s="16">
        <f>Plan!I24</f>
        <v/>
      </c>
      <c r="I9" s="16">
        <f>Plan!O24</f>
        <v/>
      </c>
    </row>
    <row r="10">
      <c r="A10" s="8" t="n">
        <v>6</v>
      </c>
      <c r="B10" s="18" t="inlineStr">
        <is>
          <t>2.2</t>
        </is>
      </c>
      <c r="C10" s="35">
        <f>Plan!C12</f>
        <v/>
      </c>
      <c r="D10" s="8" t="n">
        <v>30</v>
      </c>
      <c r="E10" s="16">
        <f>Plan!J12</f>
        <v/>
      </c>
      <c r="F10" s="16">
        <f>Plan!K12</f>
        <v/>
      </c>
      <c r="G10" s="8">
        <f>F10-E10</f>
        <v/>
      </c>
      <c r="H10" s="16">
        <f>Plan!I12</f>
        <v/>
      </c>
      <c r="I10" s="16">
        <f>Plan!O12</f>
        <v/>
      </c>
    </row>
    <row r="11">
      <c r="A11" s="8" t="n">
        <v>7</v>
      </c>
      <c r="B11" s="18" t="inlineStr">
        <is>
          <t>2.5</t>
        </is>
      </c>
      <c r="C11" s="35">
        <f>Plan!C15</f>
        <v/>
      </c>
      <c r="D11" s="8" t="n">
        <v>28</v>
      </c>
      <c r="E11" s="16">
        <f>Plan!J15</f>
        <v/>
      </c>
      <c r="F11" s="16">
        <f>Plan!K15</f>
        <v/>
      </c>
      <c r="G11" s="8">
        <f>F11-E11</f>
        <v/>
      </c>
      <c r="H11" s="16">
        <f>Plan!I15</f>
        <v/>
      </c>
      <c r="I11" s="16">
        <f>Plan!O15</f>
        <v/>
      </c>
    </row>
    <row r="12">
      <c r="A12" s="8" t="n">
        <v>8</v>
      </c>
      <c r="B12" s="18" t="inlineStr">
        <is>
          <t>2.3</t>
        </is>
      </c>
      <c r="C12" s="35">
        <f>Plan!C13</f>
        <v/>
      </c>
      <c r="D12" s="8" t="n">
        <v>20</v>
      </c>
      <c r="E12" s="16">
        <f>Plan!J13</f>
        <v/>
      </c>
      <c r="F12" s="16">
        <f>Plan!K13</f>
        <v/>
      </c>
      <c r="G12" s="8">
        <f>F12-E12</f>
        <v/>
      </c>
      <c r="H12" s="16">
        <f>Plan!I13</f>
        <v/>
      </c>
      <c r="I12" s="16">
        <f>Plan!O13</f>
        <v/>
      </c>
    </row>
    <row r="13">
      <c r="A13" s="8" t="n">
        <v>9</v>
      </c>
      <c r="B13" s="18" t="inlineStr">
        <is>
          <t>3.4</t>
        </is>
      </c>
      <c r="C13" s="35">
        <f>Plan!C27</f>
        <v/>
      </c>
      <c r="D13" s="8" t="n">
        <v>19</v>
      </c>
      <c r="E13" s="16">
        <f>Plan!J27</f>
        <v/>
      </c>
      <c r="F13" s="16">
        <f>Plan!K27</f>
        <v/>
      </c>
      <c r="G13" s="8">
        <f>F13-E13</f>
        <v/>
      </c>
      <c r="H13" s="16">
        <f>Plan!I27</f>
        <v/>
      </c>
      <c r="I13" s="16">
        <f>Plan!O27</f>
        <v/>
      </c>
    </row>
    <row r="14">
      <c r="A14" s="8" t="n">
        <v>10</v>
      </c>
      <c r="B14" s="18" t="inlineStr">
        <is>
          <t>2.6</t>
        </is>
      </c>
      <c r="C14" s="35">
        <f>Plan!C16</f>
        <v/>
      </c>
      <c r="D14" s="8" t="n">
        <v>25</v>
      </c>
      <c r="E14" s="16">
        <f>Plan!J16</f>
        <v/>
      </c>
      <c r="F14" s="16">
        <f>Plan!K16</f>
        <v/>
      </c>
      <c r="G14" s="8">
        <f>F14-E14</f>
        <v/>
      </c>
      <c r="H14" s="16">
        <f>Plan!I16</f>
        <v/>
      </c>
      <c r="I14" s="16">
        <f>Plan!O16</f>
        <v/>
      </c>
    </row>
    <row r="15">
      <c r="A15" s="8" t="n">
        <v>11</v>
      </c>
      <c r="B15" s="18" t="inlineStr">
        <is>
          <t>2.9</t>
        </is>
      </c>
      <c r="C15" s="35">
        <f>Plan!C19</f>
        <v/>
      </c>
      <c r="D15" s="8" t="n">
        <v>18</v>
      </c>
      <c r="E15" s="16">
        <f>Plan!J19</f>
        <v/>
      </c>
      <c r="F15" s="16">
        <f>Plan!K19</f>
        <v/>
      </c>
      <c r="G15" s="8">
        <f>F15-E15</f>
        <v/>
      </c>
      <c r="H15" s="16">
        <f>Plan!I19</f>
        <v/>
      </c>
      <c r="I15" s="16">
        <f>Plan!O19</f>
        <v/>
      </c>
    </row>
    <row r="16">
      <c r="A16" s="8" t="n">
        <v>12</v>
      </c>
      <c r="B16" s="18" t="inlineStr">
        <is>
          <t>2.7</t>
        </is>
      </c>
      <c r="C16" s="35">
        <f>Plan!C17</f>
        <v/>
      </c>
      <c r="D16" s="8" t="n">
        <v>22</v>
      </c>
      <c r="E16" s="16">
        <f>Plan!J17</f>
        <v/>
      </c>
      <c r="F16" s="16">
        <f>Plan!K17</f>
        <v/>
      </c>
      <c r="G16" s="8">
        <f>F16-E16</f>
        <v/>
      </c>
      <c r="H16" s="16">
        <f>Plan!I17</f>
        <v/>
      </c>
      <c r="I16" s="16">
        <f>Plan!O17</f>
        <v/>
      </c>
    </row>
    <row r="17">
      <c r="A17" s="8" t="n">
        <v>13</v>
      </c>
      <c r="B17" s="18" t="inlineStr">
        <is>
          <t>4.1</t>
        </is>
      </c>
      <c r="C17" s="35">
        <f>Plan!C32</f>
        <v/>
      </c>
      <c r="D17" s="8" t="n">
        <v>20</v>
      </c>
      <c r="E17" s="16">
        <f>Plan!J32</f>
        <v/>
      </c>
      <c r="F17" s="16">
        <f>Plan!K32</f>
        <v/>
      </c>
      <c r="G17" s="8">
        <f>F17-E17</f>
        <v/>
      </c>
      <c r="H17" s="16">
        <f>Plan!I32</f>
        <v/>
      </c>
      <c r="I17" s="16">
        <f>Plan!O32</f>
        <v/>
      </c>
    </row>
    <row r="18">
      <c r="A18" s="8" t="n">
        <v>14</v>
      </c>
      <c r="B18" s="18" t="inlineStr">
        <is>
          <t>2.10</t>
        </is>
      </c>
      <c r="C18" s="35">
        <f>Plan!C20</f>
        <v/>
      </c>
      <c r="D18" s="8" t="n">
        <v>12</v>
      </c>
      <c r="E18" s="16">
        <f>Plan!J20</f>
        <v/>
      </c>
      <c r="F18" s="16">
        <f>Plan!K20</f>
        <v/>
      </c>
      <c r="G18" s="8">
        <f>F18-E18</f>
        <v/>
      </c>
      <c r="H18" s="16">
        <f>Plan!I20</f>
        <v/>
      </c>
      <c r="I18" s="16">
        <f>Plan!O20</f>
        <v/>
      </c>
    </row>
    <row r="19">
      <c r="A19" s="8" t="n">
        <v>15</v>
      </c>
      <c r="B19" s="18" t="inlineStr">
        <is>
          <t>6.11</t>
        </is>
      </c>
      <c r="C19" s="35">
        <f>Plan!C60</f>
        <v/>
      </c>
      <c r="D19" s="8" t="n">
        <v>7</v>
      </c>
      <c r="E19" s="16">
        <f>Plan!J60</f>
        <v/>
      </c>
      <c r="F19" s="16">
        <f>Plan!K60</f>
        <v/>
      </c>
      <c r="G19" s="8">
        <f>F19-E19</f>
        <v/>
      </c>
      <c r="H19" s="16">
        <f>Plan!I60</f>
        <v/>
      </c>
      <c r="I19" s="16">
        <f>Plan!O60</f>
        <v/>
      </c>
    </row>
    <row r="20">
      <c r="A20" s="8" t="n">
        <v>16</v>
      </c>
      <c r="B20" s="18" t="inlineStr">
        <is>
          <t>6.10</t>
        </is>
      </c>
      <c r="C20" s="35">
        <f>Plan!C59</f>
        <v/>
      </c>
      <c r="D20" s="8" t="n">
        <v>6</v>
      </c>
      <c r="E20" s="16">
        <f>Plan!J59</f>
        <v/>
      </c>
      <c r="F20" s="16">
        <f>Plan!K59</f>
        <v/>
      </c>
      <c r="G20" s="8">
        <f>F20-E20</f>
        <v/>
      </c>
      <c r="H20" s="16">
        <f>Plan!I59</f>
        <v/>
      </c>
      <c r="I20" s="16">
        <f>Plan!O59</f>
        <v/>
      </c>
    </row>
    <row r="21">
      <c r="A21" s="8" t="n">
        <v>17</v>
      </c>
      <c r="B21" s="18" t="inlineStr">
        <is>
          <t>4.2</t>
        </is>
      </c>
      <c r="C21" s="35">
        <f>Plan!C33</f>
        <v/>
      </c>
      <c r="D21" s="8" t="n">
        <v>16</v>
      </c>
      <c r="E21" s="16">
        <f>Plan!J33</f>
        <v/>
      </c>
      <c r="F21" s="16">
        <f>Plan!K33</f>
        <v/>
      </c>
      <c r="G21" s="8">
        <f>F21-E21</f>
        <v/>
      </c>
      <c r="H21" s="16">
        <f>Plan!I33</f>
        <v/>
      </c>
      <c r="I21" s="16">
        <f>Plan!O33</f>
        <v/>
      </c>
    </row>
    <row r="22">
      <c r="A22" s="8" t="n">
        <v>18</v>
      </c>
      <c r="B22" s="18" t="inlineStr">
        <is>
          <t>4.5</t>
        </is>
      </c>
      <c r="C22" s="35">
        <f>Plan!C36</f>
        <v/>
      </c>
      <c r="D22" s="8" t="n">
        <v>14</v>
      </c>
      <c r="E22" s="16">
        <f>Plan!J36</f>
        <v/>
      </c>
      <c r="F22" s="16">
        <f>Plan!K36</f>
        <v/>
      </c>
      <c r="G22" s="8">
        <f>F22-E22</f>
        <v/>
      </c>
      <c r="H22" s="16">
        <f>Plan!I36</f>
        <v/>
      </c>
      <c r="I22" s="16">
        <f>Plan!O36</f>
        <v/>
      </c>
    </row>
    <row r="23">
      <c r="A23" s="8" t="n">
        <v>19</v>
      </c>
      <c r="B23" s="18" t="inlineStr">
        <is>
          <t>1.5</t>
        </is>
      </c>
      <c r="C23" s="35">
        <f>Plan!C9</f>
        <v/>
      </c>
      <c r="D23" s="8" t="n">
        <v>17</v>
      </c>
      <c r="E23" s="16">
        <f>Plan!J9</f>
        <v/>
      </c>
      <c r="F23" s="16">
        <f>Plan!K9</f>
        <v/>
      </c>
      <c r="G23" s="8">
        <f>F23-E23</f>
        <v/>
      </c>
      <c r="H23" s="16">
        <f>Plan!I9</f>
        <v/>
      </c>
      <c r="I23" s="16">
        <f>Plan!O9</f>
        <v/>
      </c>
    </row>
    <row r="24">
      <c r="A24" s="8" t="n">
        <v>20</v>
      </c>
      <c r="B24" s="18" t="inlineStr">
        <is>
          <t>2.1</t>
        </is>
      </c>
      <c r="C24" s="35">
        <f>Plan!C11</f>
        <v/>
      </c>
      <c r="D24" s="8" t="n">
        <v>16</v>
      </c>
      <c r="E24" s="16">
        <f>Plan!J11</f>
        <v/>
      </c>
      <c r="F24" s="16">
        <f>Plan!K11</f>
        <v/>
      </c>
      <c r="G24" s="8">
        <f>F24-E24</f>
        <v/>
      </c>
      <c r="H24" s="16">
        <f>Plan!I11</f>
        <v/>
      </c>
      <c r="I24" s="16">
        <f>Plan!O11</f>
        <v/>
      </c>
    </row>
    <row r="25">
      <c r="A25" s="8" t="n">
        <v>21</v>
      </c>
      <c r="B25" s="18" t="inlineStr">
        <is>
          <t>5.2</t>
        </is>
      </c>
      <c r="C25" s="35">
        <f>Plan!C41</f>
        <v/>
      </c>
      <c r="D25" s="8" t="n">
        <v>13</v>
      </c>
      <c r="E25" s="16">
        <f>Plan!J41</f>
        <v/>
      </c>
      <c r="F25" s="16">
        <f>Plan!K41</f>
        <v/>
      </c>
      <c r="G25" s="8">
        <f>F25-E25</f>
        <v/>
      </c>
      <c r="H25" s="16">
        <f>Plan!I41</f>
        <v/>
      </c>
      <c r="I25" s="16">
        <f>Plan!O41</f>
        <v/>
      </c>
    </row>
    <row r="26">
      <c r="A26" s="8" t="n">
        <v>22</v>
      </c>
      <c r="B26" s="18" t="inlineStr">
        <is>
          <t>3.3</t>
        </is>
      </c>
      <c r="C26" s="35">
        <f>Plan!C26</f>
        <v/>
      </c>
      <c r="D26" s="8" t="n">
        <v>15</v>
      </c>
      <c r="E26" s="16">
        <f>Plan!J26</f>
        <v/>
      </c>
      <c r="F26" s="16">
        <f>Plan!K26</f>
        <v/>
      </c>
      <c r="G26" s="8">
        <f>F26-E26</f>
        <v/>
      </c>
      <c r="H26" s="16">
        <f>Plan!I26</f>
        <v/>
      </c>
      <c r="I26" s="16">
        <f>Plan!O26</f>
        <v/>
      </c>
    </row>
    <row r="27">
      <c r="A27" s="8" t="n">
        <v>23</v>
      </c>
      <c r="B27" s="18" t="inlineStr">
        <is>
          <t>3.5</t>
        </is>
      </c>
      <c r="C27" s="35">
        <f>Plan!C28</f>
        <v/>
      </c>
      <c r="D27" s="8" t="n">
        <v>16</v>
      </c>
      <c r="E27" s="16">
        <f>Plan!J28</f>
        <v/>
      </c>
      <c r="F27" s="16">
        <f>Plan!K28</f>
        <v/>
      </c>
      <c r="G27" s="8">
        <f>F27-E27</f>
        <v/>
      </c>
      <c r="H27" s="16">
        <f>Plan!I28</f>
        <v/>
      </c>
      <c r="I27" s="16">
        <f>Plan!O28</f>
        <v/>
      </c>
    </row>
    <row r="28">
      <c r="A28" s="8" t="n">
        <v>24</v>
      </c>
      <c r="B28" s="18" t="inlineStr">
        <is>
          <t>2.8</t>
        </is>
      </c>
      <c r="C28" s="35">
        <f>Plan!C18</f>
        <v/>
      </c>
      <c r="D28" s="8" t="n">
        <v>9</v>
      </c>
      <c r="E28" s="16">
        <f>Plan!J18</f>
        <v/>
      </c>
      <c r="F28" s="16">
        <f>Plan!K18</f>
        <v/>
      </c>
      <c r="G28" s="8">
        <f>F28-E28</f>
        <v/>
      </c>
      <c r="H28" s="16">
        <f>Plan!I18</f>
        <v/>
      </c>
      <c r="I28" s="16">
        <f>Plan!O18</f>
        <v/>
      </c>
    </row>
    <row r="29">
      <c r="A29" s="8" t="n">
        <v>25</v>
      </c>
      <c r="B29" s="18" t="inlineStr">
        <is>
          <t>2.12</t>
        </is>
      </c>
      <c r="C29" s="35">
        <f>Plan!C22</f>
        <v/>
      </c>
      <c r="D29" s="8" t="n">
        <v>12</v>
      </c>
      <c r="E29" s="16">
        <f>Plan!J22</f>
        <v/>
      </c>
      <c r="F29" s="16">
        <f>Plan!K22</f>
        <v/>
      </c>
      <c r="G29" s="8">
        <f>F29-E29</f>
        <v/>
      </c>
      <c r="H29" s="16">
        <f>Plan!I22</f>
        <v/>
      </c>
      <c r="I29" s="16">
        <f>Plan!O22</f>
        <v/>
      </c>
    </row>
    <row r="30">
      <c r="A30" s="8" t="n">
        <v>26</v>
      </c>
      <c r="B30" s="18" t="inlineStr">
        <is>
          <t>3.9</t>
        </is>
      </c>
      <c r="C30" s="35">
        <f>Plan!C31</f>
        <v/>
      </c>
      <c r="D30" s="8" t="n">
        <v>12</v>
      </c>
      <c r="E30" s="16">
        <f>Plan!J31</f>
        <v/>
      </c>
      <c r="F30" s="16">
        <f>Plan!K31</f>
        <v/>
      </c>
      <c r="G30" s="8">
        <f>F30-E30</f>
        <v/>
      </c>
      <c r="H30" s="16">
        <f>Plan!I31</f>
        <v/>
      </c>
      <c r="I30" s="16">
        <f>Plan!O31</f>
        <v/>
      </c>
    </row>
    <row r="31">
      <c r="A31" s="8" t="n">
        <v>27</v>
      </c>
      <c r="B31" s="18" t="inlineStr">
        <is>
          <t>3.7</t>
        </is>
      </c>
      <c r="C31" s="35">
        <f>Plan!C30</f>
        <v/>
      </c>
      <c r="D31" s="8" t="n">
        <v>12</v>
      </c>
      <c r="E31" s="16">
        <f>Plan!J30</f>
        <v/>
      </c>
      <c r="F31" s="16">
        <f>Plan!K30</f>
        <v/>
      </c>
      <c r="G31" s="8">
        <f>F31-E31</f>
        <v/>
      </c>
      <c r="H31" s="16">
        <f>Plan!I30</f>
        <v/>
      </c>
      <c r="I31" s="16">
        <f>Plan!O30</f>
        <v/>
      </c>
    </row>
    <row r="32">
      <c r="A32" s="8" t="n">
        <v>28</v>
      </c>
      <c r="B32" s="18" t="inlineStr">
        <is>
          <t>1.6</t>
        </is>
      </c>
      <c r="C32" s="35">
        <f>Plan!C10</f>
        <v/>
      </c>
      <c r="D32" s="8" t="n">
        <v>11</v>
      </c>
      <c r="E32" s="16">
        <f>Plan!J10</f>
        <v/>
      </c>
      <c r="F32" s="16">
        <f>Plan!K10</f>
        <v/>
      </c>
      <c r="G32" s="8">
        <f>F32-E32</f>
        <v/>
      </c>
      <c r="H32" s="16">
        <f>Plan!I10</f>
        <v/>
      </c>
      <c r="I32" s="16">
        <f>Plan!O10</f>
        <v/>
      </c>
    </row>
    <row r="33">
      <c r="A33" s="8" t="n">
        <v>29</v>
      </c>
      <c r="B33" s="18" t="inlineStr">
        <is>
          <t>3.6</t>
        </is>
      </c>
      <c r="C33" s="35">
        <f>Plan!C29</f>
        <v/>
      </c>
      <c r="D33" s="8" t="n">
        <v>13</v>
      </c>
      <c r="E33" s="16">
        <f>Plan!J29</f>
        <v/>
      </c>
      <c r="F33" s="16">
        <f>Plan!K29</f>
        <v/>
      </c>
      <c r="G33" s="8">
        <f>F33-E33</f>
        <v/>
      </c>
      <c r="H33" s="16">
        <f>Plan!I29</f>
        <v/>
      </c>
      <c r="I33" s="16">
        <f>Plan!O29</f>
        <v/>
      </c>
    </row>
    <row r="34">
      <c r="A34" s="8" t="n">
        <v>30</v>
      </c>
      <c r="B34" s="18" t="inlineStr">
        <is>
          <t>4.6</t>
        </is>
      </c>
      <c r="C34" s="35">
        <f>Plan!C37</f>
        <v/>
      </c>
      <c r="D34" s="8" t="n">
        <v>11</v>
      </c>
      <c r="E34" s="16">
        <f>Plan!J37</f>
        <v/>
      </c>
      <c r="F34" s="16">
        <f>Plan!K37</f>
        <v/>
      </c>
      <c r="G34" s="8">
        <f>F34-E34</f>
        <v/>
      </c>
      <c r="H34" s="16">
        <f>Plan!I37</f>
        <v/>
      </c>
      <c r="I34" s="16">
        <f>Plan!O37</f>
        <v/>
      </c>
    </row>
    <row r="35">
      <c r="A35" s="8" t="n">
        <v>31</v>
      </c>
      <c r="B35" s="18" t="inlineStr">
        <is>
          <t>5.5</t>
        </is>
      </c>
      <c r="C35" s="35">
        <f>Plan!C44</f>
        <v/>
      </c>
      <c r="D35" s="8" t="n">
        <v>9</v>
      </c>
      <c r="E35" s="16">
        <f>Plan!J44</f>
        <v/>
      </c>
      <c r="F35" s="16">
        <f>Plan!K44</f>
        <v/>
      </c>
      <c r="G35" s="8">
        <f>F35-E35</f>
        <v/>
      </c>
      <c r="H35" s="16">
        <f>Plan!I44</f>
        <v/>
      </c>
      <c r="I35" s="16">
        <f>Plan!O44</f>
        <v/>
      </c>
    </row>
    <row r="36">
      <c r="A36" s="8" t="n">
        <v>32</v>
      </c>
      <c r="B36" s="18" t="inlineStr">
        <is>
          <t>4.4</t>
        </is>
      </c>
      <c r="C36" s="35">
        <f>Plan!C35</f>
        <v/>
      </c>
      <c r="D36" s="8" t="n">
        <v>7</v>
      </c>
      <c r="E36" s="16">
        <f>Plan!J35</f>
        <v/>
      </c>
      <c r="F36" s="16">
        <f>Plan!K35</f>
        <v/>
      </c>
      <c r="G36" s="8">
        <f>F36-E36</f>
        <v/>
      </c>
      <c r="H36" s="16">
        <f>Plan!I35</f>
        <v/>
      </c>
      <c r="I36" s="16">
        <f>Plan!O35</f>
        <v/>
      </c>
    </row>
    <row r="37">
      <c r="A37" s="8" t="n">
        <v>33</v>
      </c>
      <c r="B37" s="18" t="inlineStr">
        <is>
          <t>5.1</t>
        </is>
      </c>
      <c r="C37" s="35">
        <f>Plan!C40</f>
        <v/>
      </c>
      <c r="D37" s="8" t="n">
        <v>5</v>
      </c>
      <c r="E37" s="16">
        <f>Plan!J40</f>
        <v/>
      </c>
      <c r="F37" s="16">
        <f>Plan!K40</f>
        <v/>
      </c>
      <c r="G37" s="8">
        <f>F37-E37</f>
        <v/>
      </c>
      <c r="H37" s="16">
        <f>Plan!I40</f>
        <v/>
      </c>
      <c r="I37" s="16">
        <f>Plan!O40</f>
        <v/>
      </c>
    </row>
    <row r="38">
      <c r="A38" s="8" t="n">
        <v>34</v>
      </c>
      <c r="B38" s="18" t="inlineStr">
        <is>
          <t>5.7</t>
        </is>
      </c>
      <c r="C38" s="35">
        <f>Plan!C46</f>
        <v/>
      </c>
      <c r="D38" s="8" t="n">
        <v>3</v>
      </c>
      <c r="E38" s="16">
        <f>Plan!J46</f>
        <v/>
      </c>
      <c r="F38" s="16">
        <f>Plan!K46</f>
        <v/>
      </c>
      <c r="G38" s="8">
        <f>F38-E38</f>
        <v/>
      </c>
      <c r="H38" s="16">
        <f>Plan!I46</f>
        <v/>
      </c>
      <c r="I38" s="16">
        <f>Plan!O46</f>
        <v/>
      </c>
    </row>
    <row r="39">
      <c r="A39" s="8" t="n">
        <v>35</v>
      </c>
      <c r="B39" s="18" t="inlineStr">
        <is>
          <t>3.2</t>
        </is>
      </c>
      <c r="C39" s="35">
        <f>Plan!C25</f>
        <v/>
      </c>
      <c r="D39" s="8" t="n">
        <v>3</v>
      </c>
      <c r="E39" s="16">
        <f>Plan!J25</f>
        <v/>
      </c>
      <c r="F39" s="16">
        <f>Plan!K25</f>
        <v/>
      </c>
      <c r="G39" s="8">
        <f>F39-E39</f>
        <v/>
      </c>
      <c r="H39" s="16">
        <f>Plan!I25</f>
        <v/>
      </c>
      <c r="I39" s="16">
        <f>Plan!O25</f>
        <v/>
      </c>
    </row>
    <row r="40">
      <c r="A40" s="8" t="n">
        <v>36</v>
      </c>
      <c r="B40" s="18" t="inlineStr">
        <is>
          <t>5.8</t>
        </is>
      </c>
      <c r="C40" s="35">
        <f>Plan!C47</f>
        <v/>
      </c>
      <c r="D40" s="8" t="n">
        <v>1</v>
      </c>
      <c r="E40" s="16">
        <f>Plan!J47</f>
        <v/>
      </c>
      <c r="F40" s="16">
        <f>Plan!K47</f>
        <v/>
      </c>
      <c r="G40" s="8">
        <f>F40-E40</f>
        <v/>
      </c>
      <c r="H40" s="16">
        <f>Plan!I47</f>
        <v/>
      </c>
      <c r="I40" s="16">
        <f>Plan!O47</f>
        <v/>
      </c>
    </row>
    <row r="41">
      <c r="A41" s="8" t="n">
        <v>37</v>
      </c>
      <c r="B41" s="18" t="inlineStr">
        <is>
          <t>2.13</t>
        </is>
      </c>
      <c r="C41" s="35">
        <f>Plan!C23</f>
        <v/>
      </c>
      <c r="D41" s="8" t="n">
        <v>1</v>
      </c>
      <c r="E41" s="16">
        <f>Plan!J23</f>
        <v/>
      </c>
      <c r="F41" s="16">
        <f>Plan!K23</f>
        <v/>
      </c>
      <c r="G41" s="8">
        <f>F41-E41</f>
        <v/>
      </c>
      <c r="H41" s="16">
        <f>Plan!I23</f>
        <v/>
      </c>
      <c r="I41" s="16">
        <f>Plan!O23</f>
        <v/>
      </c>
    </row>
    <row r="42">
      <c r="A42" s="8" t="n">
        <v>38</v>
      </c>
      <c r="B42" s="18" t="inlineStr">
        <is>
          <t>2.4</t>
        </is>
      </c>
      <c r="C42" s="35">
        <f>Plan!C14</f>
        <v/>
      </c>
      <c r="D42" s="8" t="n">
        <v>15</v>
      </c>
      <c r="E42" s="16">
        <f>Plan!J14</f>
        <v/>
      </c>
      <c r="F42" s="16">
        <f>Plan!K14</f>
        <v/>
      </c>
      <c r="G42" s="8">
        <f>F42-E42</f>
        <v/>
      </c>
      <c r="H42" s="16">
        <f>Plan!I14</f>
        <v/>
      </c>
      <c r="I42" s="16">
        <f>Plan!O14</f>
        <v/>
      </c>
    </row>
    <row r="43">
      <c r="A43" s="8" t="n">
        <v>39</v>
      </c>
      <c r="B43" s="18" t="inlineStr">
        <is>
          <t>2.11</t>
        </is>
      </c>
      <c r="C43" s="35">
        <f>Plan!C21</f>
        <v/>
      </c>
      <c r="D43" s="8" t="n">
        <v>9</v>
      </c>
      <c r="E43" s="16">
        <f>Plan!J21</f>
        <v/>
      </c>
      <c r="F43" s="16">
        <f>Plan!K21</f>
        <v/>
      </c>
      <c r="G43" s="8">
        <f>F43-E43</f>
        <v/>
      </c>
      <c r="H43" s="16">
        <f>Plan!I21</f>
        <v/>
      </c>
      <c r="I43" s="16">
        <f>Plan!O21</f>
        <v/>
      </c>
    </row>
    <row r="44">
      <c r="A44" s="8" t="n">
        <v>40</v>
      </c>
      <c r="B44" s="18" t="inlineStr">
        <is>
          <t>5.6</t>
        </is>
      </c>
      <c r="C44" s="35">
        <f>Plan!C45</f>
        <v/>
      </c>
      <c r="D44" s="8" t="n">
        <v>9</v>
      </c>
      <c r="E44" s="16">
        <f>Plan!J45</f>
        <v/>
      </c>
      <c r="F44" s="16">
        <f>Plan!K45</f>
        <v/>
      </c>
      <c r="G44" s="8">
        <f>F44-E44</f>
        <v/>
      </c>
      <c r="H44" s="16">
        <f>Plan!I45</f>
        <v/>
      </c>
      <c r="I44" s="16">
        <f>Plan!O45</f>
        <v/>
      </c>
    </row>
    <row r="45">
      <c r="A45" s="8" t="n">
        <v>41</v>
      </c>
      <c r="B45" s="18" t="inlineStr">
        <is>
          <t>4.3</t>
        </is>
      </c>
      <c r="C45" s="35">
        <f>Plan!C34</f>
        <v/>
      </c>
      <c r="D45" s="8" t="n">
        <v>13</v>
      </c>
      <c r="E45" s="16">
        <f>Plan!J34</f>
        <v/>
      </c>
      <c r="F45" s="16">
        <f>Plan!K34</f>
        <v/>
      </c>
      <c r="G45" s="8">
        <f>F45-E45</f>
        <v/>
      </c>
      <c r="H45" s="16">
        <f>Plan!I34</f>
        <v/>
      </c>
      <c r="I45" s="16">
        <f>Plan!O34</f>
        <v/>
      </c>
    </row>
    <row r="46">
      <c r="A46" s="8" t="n">
        <v>42</v>
      </c>
      <c r="B46" s="18" t="inlineStr">
        <is>
          <t>6.13</t>
        </is>
      </c>
      <c r="C46" s="35">
        <f>Plan!C62</f>
        <v/>
      </c>
      <c r="D46" s="8" t="n">
        <v>6</v>
      </c>
      <c r="E46" s="16">
        <f>Plan!J62</f>
        <v/>
      </c>
      <c r="F46" s="16">
        <f>Plan!K62</f>
        <v/>
      </c>
      <c r="G46" s="8">
        <f>F46-E46</f>
        <v/>
      </c>
      <c r="H46" s="16">
        <f>Plan!I62</f>
        <v/>
      </c>
      <c r="I46" s="16">
        <f>Plan!O62</f>
        <v/>
      </c>
    </row>
    <row r="47">
      <c r="A47" s="8" t="n">
        <v>43</v>
      </c>
      <c r="B47" s="18" t="inlineStr">
        <is>
          <t>6.4</t>
        </is>
      </c>
      <c r="C47" s="35">
        <f>Plan!C53</f>
        <v/>
      </c>
      <c r="D47" s="8" t="n">
        <v>6</v>
      </c>
      <c r="E47" s="16">
        <f>Plan!J53</f>
        <v/>
      </c>
      <c r="F47" s="16">
        <f>Plan!K53</f>
        <v/>
      </c>
      <c r="G47" s="8">
        <f>F47-E47</f>
        <v/>
      </c>
      <c r="H47" s="16">
        <f>Plan!I53</f>
        <v/>
      </c>
      <c r="I47" s="16">
        <f>Plan!O53</f>
        <v/>
      </c>
    </row>
    <row r="48">
      <c r="A48" s="8" t="n">
        <v>44</v>
      </c>
      <c r="B48" s="18" t="inlineStr">
        <is>
          <t>6.1</t>
        </is>
      </c>
      <c r="C48" s="35">
        <f>Plan!C50</f>
        <v/>
      </c>
      <c r="D48" s="8" t="n">
        <v>11</v>
      </c>
      <c r="E48" s="16">
        <f>Plan!J50</f>
        <v/>
      </c>
      <c r="F48" s="16">
        <f>Plan!K50</f>
        <v/>
      </c>
      <c r="G48" s="8">
        <f>F48-E48</f>
        <v/>
      </c>
      <c r="H48" s="16">
        <f>Plan!I50</f>
        <v/>
      </c>
      <c r="I48" s="16">
        <f>Plan!O50</f>
        <v/>
      </c>
    </row>
    <row r="49">
      <c r="A49" s="8" t="n">
        <v>45</v>
      </c>
      <c r="B49" s="18" t="inlineStr">
        <is>
          <t>6.8</t>
        </is>
      </c>
      <c r="C49" s="35">
        <f>Plan!C57</f>
        <v/>
      </c>
      <c r="D49" s="8" t="n">
        <v>6</v>
      </c>
      <c r="E49" s="16">
        <f>Plan!J57</f>
        <v/>
      </c>
      <c r="F49" s="16">
        <f>Plan!K57</f>
        <v/>
      </c>
      <c r="G49" s="8">
        <f>F49-E49</f>
        <v/>
      </c>
      <c r="H49" s="16">
        <f>Plan!I57</f>
        <v/>
      </c>
      <c r="I49" s="16">
        <f>Plan!O57</f>
        <v/>
      </c>
    </row>
    <row r="50">
      <c r="A50" s="8" t="n">
        <v>46</v>
      </c>
      <c r="B50" s="18" t="inlineStr">
        <is>
          <t>5.4</t>
        </is>
      </c>
      <c r="C50" s="35">
        <f>Plan!C43</f>
        <v/>
      </c>
      <c r="D50" s="8" t="n">
        <v>9</v>
      </c>
      <c r="E50" s="16">
        <f>Plan!J43</f>
        <v/>
      </c>
      <c r="F50" s="16">
        <f>Plan!K43</f>
        <v/>
      </c>
      <c r="G50" s="8">
        <f>F50-E50</f>
        <v/>
      </c>
      <c r="H50" s="16">
        <f>Plan!I43</f>
        <v/>
      </c>
      <c r="I50" s="16">
        <f>Plan!O43</f>
        <v/>
      </c>
    </row>
    <row r="51">
      <c r="A51" s="8" t="n">
        <v>47</v>
      </c>
      <c r="B51" s="18" t="inlineStr">
        <is>
          <t>5.3</t>
        </is>
      </c>
      <c r="C51" s="35">
        <f>Plan!C42</f>
        <v/>
      </c>
      <c r="D51" s="8" t="n">
        <v>10</v>
      </c>
      <c r="E51" s="16">
        <f>Plan!J42</f>
        <v/>
      </c>
      <c r="F51" s="16">
        <f>Plan!K42</f>
        <v/>
      </c>
      <c r="G51" s="8">
        <f>F51-E51</f>
        <v/>
      </c>
      <c r="H51" s="16">
        <f>Plan!I42</f>
        <v/>
      </c>
      <c r="I51" s="16">
        <f>Plan!O42</f>
        <v/>
      </c>
    </row>
    <row r="52">
      <c r="A52" s="8" t="n">
        <v>48</v>
      </c>
      <c r="B52" s="18" t="inlineStr">
        <is>
          <t>6.9</t>
        </is>
      </c>
      <c r="C52" s="35">
        <f>Plan!C58</f>
        <v/>
      </c>
      <c r="D52" s="8" t="n">
        <v>6</v>
      </c>
      <c r="E52" s="16">
        <f>Plan!J58</f>
        <v/>
      </c>
      <c r="F52" s="16">
        <f>Plan!K58</f>
        <v/>
      </c>
      <c r="G52" s="8">
        <f>F52-E52</f>
        <v/>
      </c>
      <c r="H52" s="16">
        <f>Plan!I58</f>
        <v/>
      </c>
      <c r="I52" s="16">
        <f>Plan!O58</f>
        <v/>
      </c>
    </row>
    <row r="53">
      <c r="A53" s="8" t="n">
        <v>49</v>
      </c>
      <c r="B53" s="18" t="inlineStr">
        <is>
          <t>6.3</t>
        </is>
      </c>
      <c r="C53" s="35">
        <f>Plan!C52</f>
        <v/>
      </c>
      <c r="D53" s="8" t="n">
        <v>8</v>
      </c>
      <c r="E53" s="16">
        <f>Plan!J52</f>
        <v/>
      </c>
      <c r="F53" s="16">
        <f>Plan!K52</f>
        <v/>
      </c>
      <c r="G53" s="8">
        <f>F53-E53</f>
        <v/>
      </c>
      <c r="H53" s="16">
        <f>Plan!I52</f>
        <v/>
      </c>
      <c r="I53" s="16">
        <f>Plan!O52</f>
        <v/>
      </c>
    </row>
    <row r="54">
      <c r="A54" s="8" t="n">
        <v>50</v>
      </c>
      <c r="B54" s="18" t="inlineStr">
        <is>
          <t>6.2</t>
        </is>
      </c>
      <c r="C54" s="35">
        <f>Plan!C51</f>
        <v/>
      </c>
      <c r="D54" s="8" t="n">
        <v>7</v>
      </c>
      <c r="E54" s="16">
        <f>Plan!J51</f>
        <v/>
      </c>
      <c r="F54" s="16">
        <f>Plan!K51</f>
        <v/>
      </c>
      <c r="G54" s="8">
        <f>F54-E54</f>
        <v/>
      </c>
      <c r="H54" s="16">
        <f>Plan!I51</f>
        <v/>
      </c>
      <c r="I54" s="16">
        <f>Plan!O51</f>
        <v/>
      </c>
    </row>
    <row r="55">
      <c r="A55" s="8" t="n">
        <v>51</v>
      </c>
      <c r="B55" s="18" t="inlineStr">
        <is>
          <t>4.8</t>
        </is>
      </c>
      <c r="C55" s="35">
        <f>Plan!C39</f>
        <v/>
      </c>
      <c r="D55" s="8" t="n">
        <v>3</v>
      </c>
      <c r="E55" s="16">
        <f>Plan!J39</f>
        <v/>
      </c>
      <c r="F55" s="16">
        <f>Plan!K39</f>
        <v/>
      </c>
      <c r="G55" s="8">
        <f>F55-E55</f>
        <v/>
      </c>
      <c r="H55" s="16">
        <f>Plan!I39</f>
        <v/>
      </c>
      <c r="I55" s="16">
        <f>Plan!O39</f>
        <v/>
      </c>
    </row>
    <row r="56">
      <c r="A56" s="8" t="n">
        <v>52</v>
      </c>
      <c r="B56" s="18" t="inlineStr">
        <is>
          <t>5.10</t>
        </is>
      </c>
      <c r="C56" s="35">
        <f>Plan!C49</f>
        <v/>
      </c>
      <c r="D56" s="8" t="n">
        <v>2</v>
      </c>
      <c r="E56" s="16">
        <f>Plan!J49</f>
        <v/>
      </c>
      <c r="F56" s="16">
        <f>Plan!K49</f>
        <v/>
      </c>
      <c r="G56" s="8">
        <f>F56-E56</f>
        <v/>
      </c>
      <c r="H56" s="16">
        <f>Plan!I49</f>
        <v/>
      </c>
      <c r="I56" s="16">
        <f>Plan!O49</f>
        <v/>
      </c>
    </row>
    <row r="57">
      <c r="A57" s="8" t="n">
        <v>53</v>
      </c>
      <c r="B57" s="18" t="inlineStr">
        <is>
          <t>5.9</t>
        </is>
      </c>
      <c r="C57" s="35">
        <f>Plan!C48</f>
        <v/>
      </c>
      <c r="D57" s="8" t="n">
        <v>3</v>
      </c>
      <c r="E57" s="16">
        <f>Plan!J48</f>
        <v/>
      </c>
      <c r="F57" s="16">
        <f>Plan!K48</f>
        <v/>
      </c>
      <c r="G57" s="8">
        <f>F57-E57</f>
        <v/>
      </c>
      <c r="H57" s="16">
        <f>Plan!I48</f>
        <v/>
      </c>
      <c r="I57" s="16">
        <f>Plan!O48</f>
        <v/>
      </c>
    </row>
    <row r="58">
      <c r="A58" s="8" t="n">
        <v>54</v>
      </c>
      <c r="B58" s="18" t="inlineStr">
        <is>
          <t>6.15</t>
        </is>
      </c>
      <c r="C58" s="35">
        <f>Plan!C64</f>
        <v/>
      </c>
      <c r="D58" s="8" t="n">
        <v>1</v>
      </c>
      <c r="E58" s="16">
        <f>Plan!J64</f>
        <v/>
      </c>
      <c r="F58" s="16">
        <f>Plan!K64</f>
        <v/>
      </c>
      <c r="G58" s="8">
        <f>F58-E58</f>
        <v/>
      </c>
      <c r="H58" s="16">
        <f>Plan!I64</f>
        <v/>
      </c>
      <c r="I58" s="16">
        <f>Plan!O64</f>
        <v/>
      </c>
    </row>
    <row r="59">
      <c r="A59" s="8" t="n">
        <v>55</v>
      </c>
      <c r="B59" s="18" t="inlineStr">
        <is>
          <t>6.12</t>
        </is>
      </c>
      <c r="C59" s="35">
        <f>Plan!C61</f>
        <v/>
      </c>
      <c r="D59" s="8" t="n">
        <v>1</v>
      </c>
      <c r="E59" s="16">
        <f>Plan!J61</f>
        <v/>
      </c>
      <c r="F59" s="16">
        <f>Plan!K61</f>
        <v/>
      </c>
      <c r="G59" s="8">
        <f>F59-E59</f>
        <v/>
      </c>
      <c r="H59" s="16">
        <f>Plan!I61</f>
        <v/>
      </c>
      <c r="I59" s="16">
        <f>Plan!O61</f>
        <v/>
      </c>
    </row>
    <row r="60">
      <c r="A60" s="8" t="n">
        <v>56</v>
      </c>
      <c r="B60" s="18" t="inlineStr">
        <is>
          <t>6.14</t>
        </is>
      </c>
      <c r="C60" s="35">
        <f>Plan!C63</f>
        <v/>
      </c>
      <c r="D60" s="8" t="n">
        <v>1</v>
      </c>
      <c r="E60" s="16">
        <f>Plan!J63</f>
        <v/>
      </c>
      <c r="F60" s="16">
        <f>Plan!K63</f>
        <v/>
      </c>
      <c r="G60" s="8">
        <f>F60-E60</f>
        <v/>
      </c>
      <c r="H60" s="16">
        <f>Plan!I63</f>
        <v/>
      </c>
      <c r="I60" s="16">
        <f>Plan!O63</f>
        <v/>
      </c>
    </row>
    <row r="61">
      <c r="A61" s="8" t="n">
        <v>57</v>
      </c>
      <c r="B61" s="18" t="inlineStr">
        <is>
          <t>6.5</t>
        </is>
      </c>
      <c r="C61" s="35">
        <f>Plan!C54</f>
        <v/>
      </c>
      <c r="D61" s="8" t="n">
        <v>5</v>
      </c>
      <c r="E61" s="16">
        <f>Plan!J54</f>
        <v/>
      </c>
      <c r="F61" s="16">
        <f>Plan!K54</f>
        <v/>
      </c>
      <c r="G61" s="8">
        <f>F61-E61</f>
        <v/>
      </c>
      <c r="H61" s="16">
        <f>Plan!I54</f>
        <v/>
      </c>
      <c r="I61" s="16">
        <f>Plan!O54</f>
        <v/>
      </c>
    </row>
    <row r="62">
      <c r="A62" s="8" t="n">
        <v>58</v>
      </c>
      <c r="B62" s="18" t="inlineStr">
        <is>
          <t>4.7</t>
        </is>
      </c>
      <c r="C62" s="35">
        <f>Plan!C38</f>
        <v/>
      </c>
      <c r="D62" s="8" t="n">
        <v>4</v>
      </c>
      <c r="E62" s="16">
        <f>Plan!J38</f>
        <v/>
      </c>
      <c r="F62" s="16">
        <f>Plan!K38</f>
        <v/>
      </c>
      <c r="G62" s="8">
        <f>F62-E62</f>
        <v/>
      </c>
      <c r="H62" s="16">
        <f>Plan!I38</f>
        <v/>
      </c>
      <c r="I62" s="16">
        <f>Plan!O38</f>
        <v/>
      </c>
    </row>
    <row r="63">
      <c r="A63" s="8" t="n">
        <v>59</v>
      </c>
      <c r="B63" s="18" t="inlineStr">
        <is>
          <t>6.7</t>
        </is>
      </c>
      <c r="C63" s="35">
        <f>Plan!C56</f>
        <v/>
      </c>
      <c r="D63" s="8" t="n">
        <v>1</v>
      </c>
      <c r="E63" s="16">
        <f>Plan!J56</f>
        <v/>
      </c>
      <c r="F63" s="16">
        <f>Plan!K56</f>
        <v/>
      </c>
      <c r="G63" s="8">
        <f>F63-E63</f>
        <v/>
      </c>
      <c r="H63" s="16">
        <f>Plan!I56</f>
        <v/>
      </c>
      <c r="I63" s="16">
        <f>Plan!O56</f>
        <v/>
      </c>
    </row>
    <row r="64">
      <c r="A64" s="8" t="n">
        <v>60</v>
      </c>
      <c r="B64" s="18" t="inlineStr">
        <is>
          <t>6.6</t>
        </is>
      </c>
      <c r="C64" s="35">
        <f>Plan!C55</f>
        <v/>
      </c>
      <c r="D64" s="8" t="n">
        <v>3</v>
      </c>
      <c r="E64" s="16">
        <f>Plan!J55</f>
        <v/>
      </c>
      <c r="F64" s="16">
        <f>Plan!K55</f>
        <v/>
      </c>
      <c r="G64" s="8">
        <f>F64-E64</f>
        <v/>
      </c>
      <c r="H64" s="16">
        <f>Plan!I55</f>
        <v/>
      </c>
      <c r="I64" s="16">
        <f>Plan!O55</f>
        <v/>
      </c>
    </row>
    <row r="66">
      <c r="B66" s="3" t="inlineStr">
        <is>
          <t>Estadísticas de la cola</t>
        </is>
      </c>
    </row>
    <row r="67">
      <c r="B67" s="23" t="inlineStr">
        <is>
          <t>Fila</t>
        </is>
      </c>
      <c r="C67" s="23" t="inlineStr">
        <is>
          <t>Actividades</t>
        </is>
      </c>
      <c r="D67" s="23" t="inlineStr">
        <is>
          <t>Bloques ocupados</t>
        </is>
      </c>
      <c r="E67" s="23" t="inlineStr">
        <is>
          <t>Uso</t>
        </is>
      </c>
      <c r="F67" s="23" t="inlineStr">
        <is>
          <t>Espera promedio</t>
        </is>
      </c>
    </row>
    <row r="68">
      <c r="B68" s="18" t="inlineStr">
        <is>
          <t>A</t>
        </is>
      </c>
      <c r="C68" s="15">
        <f>COUNTIF($H$5:$H$64,B68)</f>
        <v/>
      </c>
      <c r="D68" s="15">
        <f>SUMIF(Plan!$I$5:$I$64,B68,Plan!$E$5:$E$64)</f>
        <v/>
      </c>
      <c r="E68" s="36">
        <f>IF(Resumen!$C$17=0,0,D68/Resumen!$C$17)</f>
        <v/>
      </c>
      <c r="F68" s="37">
        <f>IFERROR(AVERAGEIF($H$5:$H$64,B68,$G$5:$G$64),0)</f>
        <v/>
      </c>
    </row>
    <row r="69">
      <c r="B69" s="18" t="inlineStr">
        <is>
          <t>B</t>
        </is>
      </c>
      <c r="C69" s="15">
        <f>COUNTIF($H$5:$H$64,B69)</f>
        <v/>
      </c>
      <c r="D69" s="15">
        <f>SUMIF(Plan!$I$5:$I$64,B69,Plan!$E$5:$E$64)</f>
        <v/>
      </c>
      <c r="E69" s="36">
        <f>IF(Resumen!$C$17=0,0,D69/Resumen!$C$17)</f>
        <v/>
      </c>
      <c r="F69" s="37">
        <f>IFERROR(AVERAGEIF($H$5:$H$64,B69,$G$5:$G$64),0)</f>
        <v/>
      </c>
    </row>
    <row r="70">
      <c r="B70" s="18" t="inlineStr">
        <is>
          <t>A+B</t>
        </is>
      </c>
      <c r="C70" s="15">
        <f>COUNTIF($H$5:$H$64,B70)</f>
        <v/>
      </c>
      <c r="D70" s="15">
        <f>SUMIF(Plan!$I$5:$I$64,B70,Plan!$E$5:$E$64)</f>
        <v/>
      </c>
      <c r="E70" s="36">
        <f>IF(Resumen!$C$17=0,0,D70/Resumen!$C$17)</f>
        <v/>
      </c>
      <c r="F70" s="37">
        <f>IFERROR(AVERAGEIF($H$5:$H$64,B70,$G$5:$G$64),0)</f>
        <v/>
      </c>
    </row>
    <row r="71">
      <c r="B71" s="19" t="inlineStr">
        <is>
          <t>Total</t>
        </is>
      </c>
      <c r="C71" s="9">
        <f>SUM(C68:C70)</f>
        <v/>
      </c>
      <c r="F71" s="11">
        <f>AVERAGE($G$5:$G$64)</f>
        <v/>
      </c>
    </row>
  </sheetData>
  <conditionalFormatting sqref="I5:I64">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64">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COUNTIF(Plan!$D$5:$D$64,A5)</f>
        <v/>
      </c>
    </row>
    <row r="6">
      <c r="A6" s="18" t="n">
        <v>2</v>
      </c>
      <c r="B6" s="4" t="inlineStr">
        <is>
          <t>Baja</t>
        </is>
      </c>
      <c r="C6" s="8" t="n">
        <v>2</v>
      </c>
      <c r="D6" s="4" t="inlineStr">
        <is>
          <t>1 jornada</t>
        </is>
      </c>
      <c r="E6" s="7" t="inlineStr">
        <is>
          <t>SMTP con Resend; proteger /cuenta en proxy.ts</t>
        </is>
      </c>
      <c r="F6" s="15">
        <f>COUNTIF(Plan!$D$5:$D$64,A6)</f>
        <v/>
      </c>
    </row>
    <row r="7">
      <c r="A7" s="18" t="n">
        <v>3</v>
      </c>
      <c r="B7" s="4" t="inlineStr">
        <is>
          <t>Media</t>
        </is>
      </c>
      <c r="C7" s="8" t="n">
        <v>3</v>
      </c>
      <c r="D7" s="4" t="inlineStr">
        <is>
          <t>1,5 jornadas</t>
        </is>
      </c>
      <c r="E7" s="7" t="inlineStr">
        <is>
          <t>Verificación del código OTP; /cuenta con datos reales</t>
        </is>
      </c>
      <c r="F7" s="15">
        <f>COUNTIF(Plan!$D$5:$D$64,A7)</f>
        <v/>
      </c>
    </row>
    <row r="8">
      <c r="A8" s="18" t="n">
        <v>4</v>
      </c>
      <c r="B8" s="4" t="inlineStr">
        <is>
          <t>Alta</t>
        </is>
      </c>
      <c r="C8" s="8" t="n">
        <v>4</v>
      </c>
      <c r="D8" s="4" t="inlineStr">
        <is>
          <t>2 jornadas</t>
        </is>
      </c>
      <c r="E8" s="7" t="inlineStr">
        <is>
          <t>Panel /admin; afiliación con Resend; importar asociados</t>
        </is>
      </c>
      <c r="F8" s="15">
        <f>COUNTIF(Plan!$D$5:$D$64,A8)</f>
        <v/>
      </c>
    </row>
    <row r="9">
      <c r="A9" s="18" t="n">
        <v>5</v>
      </c>
      <c r="B9" s="4" t="inlineStr">
        <is>
          <t>Muy alta</t>
        </is>
      </c>
      <c r="C9" s="8" t="n">
        <v>5</v>
      </c>
      <c r="D9" s="4" t="inlineStr">
        <is>
          <t>2,5 jornadas o más</t>
        </is>
      </c>
      <c r="E9" s="7" t="inlineStr">
        <is>
          <t>Reservado para trabajos que conviene partir en dos</t>
        </is>
      </c>
      <c r="F9" s="15">
        <f>COUNTIF(Plan!$D$5:$D$64,A9)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2026-09-24</t>
        </is>
      </c>
      <c r="B5" s="7" t="inlineStr">
        <is>
          <t>sesión principal (coordinador)</t>
        </is>
      </c>
      <c r="C5" s="8" t="inlineStr">
        <is>
          <t>5.4, P-14, P-61, P-62, P-72; nuevos P-75 a P-81</t>
        </is>
      </c>
      <c r="D5" s="7" t="inlineStr">
        <is>
          <t>Borrador de la política de datos y plantillas de Resend listas; Test QA borrado y dominio conectado</t>
        </is>
      </c>
      <c r="E5"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6">
      <c r="A6" s="8" t="inlineStr">
        <is>
          <t>2026-09-24</t>
        </is>
      </c>
      <c r="B6" s="7" t="inlineStr">
        <is>
          <t>Sebas (acuerdo con Carlos Pardo)</t>
        </is>
      </c>
      <c r="C6" s="8" t="inlineStr">
        <is>
          <t>4.1, 4.7, 4.8, 5.9, 5.10, 6.14, 6.15; P-65 a P-74</t>
        </is>
      </c>
      <c r="D6" s="7" t="inlineStr">
        <is>
          <t>Corrección de 4.1 y encargo externo a Carlos Pardo (500.000 COP) por PR a develop</t>
        </is>
      </c>
      <c r="E6"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7">
      <c r="A7" s="8" t="inlineStr">
        <is>
          <t>2026-09-24</t>
        </is>
      </c>
      <c r="B7" s="4" t="inlineStr">
        <is>
          <t>ga-escritor-tests</t>
        </is>
      </c>
      <c r="C7" s="8" t="inlineStr">
        <is>
          <t>6.1, P-58</t>
        </is>
      </c>
      <c r="D7" s="7" t="inlineStr">
        <is>
          <t>tests/e2e/d-afiliacion.spec.ts reescrito para la afiliación v2; bug real encontrado en esquemaAfiliacion</t>
        </is>
      </c>
      <c r="E7"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8">
      <c r="A8" s="8" t="inlineStr">
        <is>
          <t>2026-09-24</t>
        </is>
      </c>
      <c r="B8" s="7" t="inlineStr">
        <is>
          <t>Sebas (coordinación con la cooperativa)</t>
        </is>
      </c>
      <c r="C8" s="8" t="inlineStr">
        <is>
          <t>5.3; P-10, P-11, P-12, P-17, P-18, P-38, P-44</t>
        </is>
      </c>
      <c r="D8" s="7" t="inlineStr">
        <is>
          <t>Datos reales de contacto entregados; se cancela la importación de Excel; 3 admins reales en producción</t>
        </is>
      </c>
      <c r="E8"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9">
      <c r="A9" s="8" t="inlineStr">
        <is>
          <t>2026-09-24</t>
        </is>
      </c>
      <c r="B9" s="4" t="inlineStr">
        <is>
          <t>ga-funcionalidad-botones</t>
        </is>
      </c>
      <c r="C9" s="8" t="inlineStr">
        <is>
          <t>2.12, 4.1, 4.2, 4.5, 4.6, 6.2; P-36, P-37</t>
        </is>
      </c>
      <c r="D9" s="7" t="inlineStr">
        <is>
          <t>Afiliación v2, panel /admin y correcciones de la auditoría y la revisión de seguridad (F2-01/F2-04, S-01 a S-14)</t>
        </is>
      </c>
      <c r="E9"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0">
      <c r="A10" s="8" t="inlineStr">
        <is>
          <t>2026-09-24</t>
        </is>
      </c>
      <c r="B10" s="4" t="inlineStr">
        <is>
          <t>ga-revisor-seguridad</t>
        </is>
      </c>
      <c r="C10" s="8" t="inlineStr">
        <is>
          <t>6.2</t>
        </is>
      </c>
      <c r="D10" s="7" t="inlineStr">
        <is>
          <t>Revisión de seguridad de fase 2: 3 bloqueos para el despliegue</t>
        </is>
      </c>
      <c r="E10"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1">
      <c r="A11" s="8" t="inlineStr">
        <is>
          <t>2026-09-24</t>
        </is>
      </c>
      <c r="B11" s="4" t="inlineStr">
        <is>
          <t>ga-auditor-supabase</t>
        </is>
      </c>
      <c r="C11" s="8" t="inlineStr">
        <is>
          <t>1.6</t>
        </is>
      </c>
      <c r="D11" s="7" t="inlineStr">
        <is>
          <t>Auditoría de las 6 migraciones de fase 2: 1 hallazgo alto, 3 migraciones correctivas propuestas</t>
        </is>
      </c>
      <c r="E11"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2">
      <c r="A12" s="8" t="inlineStr">
        <is>
          <t>2026-09-24</t>
        </is>
      </c>
      <c r="B12" s="4" t="inlineStr">
        <is>
          <t>ga-funcionalidad-botones</t>
        </is>
      </c>
      <c r="C12" s="8" t="inlineStr">
        <is>
          <t>3.9</t>
        </is>
      </c>
      <c r="D12" s="7" t="inlineStr">
        <is>
          <t>Sorteo mensual en /cuenta</t>
        </is>
      </c>
      <c r="E12"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3">
      <c r="A13" s="8" t="inlineStr">
        <is>
          <t>2026-09-24</t>
        </is>
      </c>
      <c r="B13" s="4" t="inlineStr">
        <is>
          <t>ga-funcionalidad-botones</t>
        </is>
      </c>
      <c r="C13" s="8" t="inlineStr">
        <is>
          <t>4.6; P-57</t>
        </is>
      </c>
      <c r="D13" s="7" t="inlineStr">
        <is>
          <t>Rol asesor: /asesor (mis clientes) y /asesor/demo</t>
        </is>
      </c>
      <c r="E13"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4">
      <c r="A14" s="8" t="inlineStr">
        <is>
          <t>2026-09-24</t>
        </is>
      </c>
      <c r="B14" s="4" t="inlineStr">
        <is>
          <t>ga-auditor-supabase</t>
        </is>
      </c>
      <c r="C14" s="8" t="inlineStr">
        <is>
          <t>1.5; P-63</t>
        </is>
      </c>
      <c r="D14" s="7" t="inlineStr">
        <is>
          <t>Modelo de datos de fase 2: rol asesor, afiliación v2, bucket de fotos y sorteo mensual</t>
        </is>
      </c>
      <c r="E14"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5">
      <c r="A15" s="8" t="inlineStr">
        <is>
          <t>2026-09-23</t>
        </is>
      </c>
      <c r="B15" s="7" t="inlineStr">
        <is>
          <t>ga-funcionalidad-botones + ga-diseno-a-codigo</t>
        </is>
      </c>
      <c r="C15" s="8" t="inlineStr">
        <is>
          <t>6.3</t>
        </is>
      </c>
      <c r="D15" s="7" t="inlineStr">
        <is>
          <t>Corregidos F-01 a F-08 de verificación 3 y los 8 hallazgos responsive</t>
        </is>
      </c>
      <c r="E15"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6">
      <c r="A16" s="8" t="inlineStr">
        <is>
          <t>2026-09-23</t>
        </is>
      </c>
      <c r="B16" s="7" t="inlineStr">
        <is>
          <t>ga-verificador-responsive + ga-verificador-qa</t>
        </is>
      </c>
      <c r="C16" s="8" t="inlineStr">
        <is>
          <t>6.3; P-39</t>
        </is>
      </c>
      <c r="D16" s="7" t="inlineStr">
        <is>
          <t>Responsive 3 (8 hallazgos menores) y QA E2E 3 (236/241, NO APROBADO)</t>
        </is>
      </c>
      <c r="E16"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7">
      <c r="A17" s="8" t="inlineStr">
        <is>
          <t>2026-09-23</t>
        </is>
      </c>
      <c r="B17" s="4" t="inlineStr">
        <is>
          <t>ga-verificador-responsive</t>
        </is>
      </c>
      <c r="C17" s="8" t="inlineStr">
        <is>
          <t>6.3, 5.2, 5.8; P-39, P-53</t>
        </is>
      </c>
      <c r="D17" s="7" t="inlineStr">
        <is>
          <t>Verificación responsive 2: 0 fallas en 13 anchos; tests/responsive 10/10</t>
        </is>
      </c>
      <c r="E17"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8">
      <c r="A18" s="8" t="inlineStr">
        <is>
          <t>2026-09-23</t>
        </is>
      </c>
      <c r="B18" s="4" t="inlineStr">
        <is>
          <t>ga-funcionalidad-botones</t>
        </is>
      </c>
      <c r="C18" s="8" t="inlineStr">
        <is>
          <t>3.7, 5.5, 5.6, 6.9, 6.11; P-35, P-40, P-44, P-56</t>
        </is>
      </c>
      <c r="D18" s="7" t="inlineStr">
        <is>
          <t>HMAC en el límite de intentos, crédito en /cuenta/solicitar y borradas /login y /dashboard</t>
        </is>
      </c>
      <c r="E18"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9">
      <c r="A19" s="8" t="inlineStr">
        <is>
          <t>2026-09-23</t>
        </is>
      </c>
      <c r="B19" s="4" t="inlineStr">
        <is>
          <t>ga-diseno-a-codigo</t>
        </is>
      </c>
      <c r="C19" s="8" t="inlineStr">
        <is>
          <t>5.2, 5.8, 6.3</t>
        </is>
      </c>
      <c r="D19" s="7" t="inlineStr">
        <is>
          <t>Corregido el scroll horizontal y marca de agua más tenue</t>
        </is>
      </c>
      <c r="E19" s="7" t="inlineStr">
        <is>
          <t>Enlace del logo encoge (min-w-0 shrink) en los 5 headers; formulario de ingreso w-full con máximo 440 px y relleno de 32 px entre 1024 y 1279 px; marca de agua del hero en la esquina contraria y más tenue. 5.8 queda Hecho (peso 1, depende de 5.2 y 5.7).</t>
        </is>
      </c>
    </row>
    <row r="20">
      <c r="A20" s="8" t="inlineStr">
        <is>
          <t>2026-09-23</t>
        </is>
      </c>
      <c r="B20" s="4" t="inlineStr">
        <is>
          <t>ga-verificador-responsive</t>
        </is>
      </c>
      <c r="C20" s="8" t="inlineStr">
        <is>
          <t>6.3, 5.2, 2.1, 5.8; P-39</t>
        </is>
      </c>
      <c r="D20" s="7" t="inlineStr">
        <is>
          <t>Verificación responsive 1: logo y fotos bien; 2 fallas críticas de scroll previas</t>
        </is>
      </c>
      <c r="E20"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21">
      <c r="A21" s="8" t="inlineStr">
        <is>
          <t>2026-09-23</t>
        </is>
      </c>
      <c r="B21" s="4" t="inlineStr">
        <is>
          <t>ga-diseno-a-codigo</t>
        </is>
      </c>
      <c r="C21" s="8" t="inlineStr">
        <is>
          <t>2.1, 5.3, 5.7; P-16, P-52</t>
        </is>
      </c>
      <c r="D21" s="7" t="inlineStr">
        <is>
          <t>Logo con letras oficiales en SVG y espacios de foto de marca en la landing</t>
        </is>
      </c>
      <c r="E21"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22">
      <c r="A22" s="8" t="inlineStr">
        <is>
          <t>2026-09-23</t>
        </is>
      </c>
      <c r="B22" s="4" t="inlineStr">
        <is>
          <t>ga-auditor-supabase</t>
        </is>
      </c>
      <c r="C22" s="8" t="inlineStr">
        <is>
          <t>6.8, 6.11, 6.12; P-43, P-54, P-55</t>
        </is>
      </c>
      <c r="D22" s="7" t="inlineStr">
        <is>
          <t>Migración limite_de_intentos auditada: se puede aplicar tal cual</t>
        </is>
      </c>
      <c r="E22"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23">
      <c r="A23" s="8" t="inlineStr">
        <is>
          <t>2026-09-23</t>
        </is>
      </c>
      <c r="B23" s="7" t="inlineStr">
        <is>
          <t>Sebas + ga-auditor-supabase</t>
        </is>
      </c>
      <c r="C23" s="8" t="inlineStr">
        <is>
          <t>2.4, 6.8, 6.10; P-09, P-19, P-20, P-43, P-45</t>
        </is>
      </c>
      <c r="D23" s="7" t="inlineStr">
        <is>
          <t>SMTP de Resend configurado, plantilla del código lista en local y blindar confirmada en producción</t>
        </is>
      </c>
      <c r="E23"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24">
      <c r="A24" s="8" t="inlineStr">
        <is>
          <t>2026-09-23</t>
        </is>
      </c>
      <c r="B24" s="4" t="inlineStr">
        <is>
          <t>Sebas</t>
        </is>
      </c>
      <c r="C24" s="8" t="inlineStr">
        <is>
          <t>—</t>
        </is>
      </c>
      <c r="D24" s="7" t="inlineStr">
        <is>
          <t>Agente ga-auditor-supabase corregido</t>
        </is>
      </c>
      <c r="E24" s="7" t="inlineStr">
        <is>
          <t>Sus disallowedTools ahora usan los nombres reales del MCP (mcp__claude_ai_Supabase__*). Sin efecto en el plan.</t>
        </is>
      </c>
    </row>
    <row r="25">
      <c r="A25" s="8" t="inlineStr">
        <is>
          <t>2026-09-23</t>
        </is>
      </c>
      <c r="B25" s="7" t="inlineStr">
        <is>
          <t>Sebas + ga-auditor-supabase</t>
        </is>
      </c>
      <c r="C25" s="8" t="inlineStr">
        <is>
          <t>3.1, 6.5, 6.10; P-09</t>
        </is>
      </c>
      <c r="D25" s="7" t="inlineStr">
        <is>
          <t>Producción atrasada: falta la migración blindar_solicitudes_y_revisiones</t>
        </is>
      </c>
      <c r="E25"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26">
      <c r="A26" s="8" t="inlineStr">
        <is>
          <t>2026-09-23</t>
        </is>
      </c>
      <c r="B26" s="4" t="inlineStr">
        <is>
          <t>ga-escritor-tests</t>
        </is>
      </c>
      <c r="C26" s="8" t="inlineStr">
        <is>
          <t>6.1</t>
        </is>
      </c>
      <c r="D26" s="7" t="inlineStr">
        <is>
          <t>132/132 unitarias, 131/131 pgTAP y tsc sin errores</t>
        </is>
      </c>
      <c r="E26"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27">
      <c r="A27" s="8" t="inlineStr">
        <is>
          <t>2026-09-23</t>
        </is>
      </c>
      <c r="B27" s="7" t="inlineStr">
        <is>
          <t>Sebas + ga-funcionalidad-botones</t>
        </is>
      </c>
      <c r="C27" s="8" t="inlineStr">
        <is>
          <t>2.9, 3.8, 4.5, 6.1, 6.2, 6.9; P-19, P-20, P-28, P-36, P-37, P-44, P-45, P-50, P-51</t>
        </is>
      </c>
      <c r="D27" s="7" t="inlineStr">
        <is>
          <t>Se quitan del código los correos de aviso de afiliación y de solicitud de crédito; docs/resend-plantillas.md reescrito</t>
        </is>
      </c>
      <c r="E27"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28">
      <c r="A28" s="8" t="inlineStr">
        <is>
          <t>2026-09-23</t>
        </is>
      </c>
      <c r="B28" s="4" t="inlineStr">
        <is>
          <t>ga-verificador-qa</t>
        </is>
      </c>
      <c r="C28" s="8" t="inlineStr">
        <is>
          <t>6.3, 2.11; P-39, P-48, P-49, P-50</t>
        </is>
      </c>
      <c r="D28" s="7" t="inlineStr">
        <is>
          <t>QA 1 de punta a punta: 186 pruebas pasan, 2 fallan</t>
        </is>
      </c>
      <c r="E28"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29">
      <c r="A29" s="8" t="inlineStr">
        <is>
          <t>2026-09-23</t>
        </is>
      </c>
      <c r="B29" s="4" t="inlineStr">
        <is>
          <t>ga-funcionalidad-botones</t>
        </is>
      </c>
      <c r="C29" s="8" t="inlineStr">
        <is>
          <t>2.4, 2.5, 2.6, 2.7, 2.8, 2.9, 2.10, 3.5, 3.6, 3.7, 3.8, 5.4, 6.1, 6.5, 6.8, 6.9; P-15, P-20, P-22 a P-35, P-43 a P-47</t>
        </is>
      </c>
      <c r="D29" s="7" t="inlineStr">
        <is>
          <t>Botones de /, /ingresar, /ingresar/codigo, /afiliacion, /afiliacion/enviada y /cuenta funcionando en local</t>
        </is>
      </c>
      <c r="E29"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30">
      <c r="A30" s="8" t="inlineStr">
        <is>
          <t>2026-09-23</t>
        </is>
      </c>
      <c r="B30" s="4" t="inlineStr">
        <is>
          <t>Claude (sesión principal)</t>
        </is>
      </c>
      <c r="C30" s="8" t="inlineStr">
        <is>
          <t>Todas</t>
        </is>
      </c>
      <c r="D30" s="7" t="inlineStr">
        <is>
          <t>Creación del Excel de avances</t>
        </is>
      </c>
      <c r="E30"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2026-09-25T03:59:40Z</dcterms:created>
  <dcterms:modified xmlns:dcterms="http://purl.org/dc/terms/" xmlns:xsi="http://www.w3.org/2001/XMLSchema-instance" xsi:type="dcterms:W3CDTF">2026-09-25T03:59:41Z</dcterms:modified>
</cp:coreProperties>
</file>