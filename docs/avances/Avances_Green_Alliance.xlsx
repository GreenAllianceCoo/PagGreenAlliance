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Pendientes" sheetId="2" state="visible" r:id="rId2"/>
    <sheet name="Plan" sheetId="3" state="visible" r:id="rId3"/>
    <sheet name="Gantt" sheetId="4" state="visible" r:id="rId4"/>
    <sheet name="Cola" sheetId="5" state="visible" r:id="rId5"/>
    <sheet name="Propuesta original" sheetId="6" state="visible" r:id="rId6"/>
    <sheet name="Pesos" sheetId="7" state="visible" r:id="rId7"/>
    <sheet name="Bitácora" sheetId="8" state="visible" r:id="rId8"/>
  </sheets>
  <definedNames>
    <definedName name="_xlnm._FilterDatabase" localSheetId="1" hidden="1">'Pendientes'!$A$4:$J$148</definedName>
    <definedName name="_xlnm._FilterDatabase" localSheetId="2" hidden="1">'Plan'!$A$4:$R$126</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2026-10-22.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132</v>
      </c>
      <c r="D6" s="6" t="inlineStr">
        <is>
          <t>Calculado por el optimizador.</t>
        </is>
      </c>
    </row>
    <row r="8">
      <c r="B8" s="3" t="inlineStr">
        <is>
          <t>Indicadores</t>
        </is>
      </c>
    </row>
    <row r="9">
      <c r="B9" s="4" t="inlineStr">
        <is>
          <t>Actividades en el plan</t>
        </is>
      </c>
      <c r="C9" s="9">
        <f>COUNTA(Plan!$A$5:$A$126)</f>
        <v/>
      </c>
    </row>
    <row r="10">
      <c r="B10" s="4" t="inlineStr">
        <is>
          <t>Hechas</t>
        </is>
      </c>
      <c r="C10" s="9">
        <f>COUNTIF(Plan!$O$5:$O$126,"Hecho")</f>
        <v/>
      </c>
    </row>
    <row r="11">
      <c r="B11" s="4" t="inlineStr">
        <is>
          <t>En curso</t>
        </is>
      </c>
      <c r="C11" s="9">
        <f>COUNTIF(Plan!$O$5:$O$126,"En curso")</f>
        <v/>
      </c>
    </row>
    <row r="12">
      <c r="B12" s="4" t="inlineStr">
        <is>
          <t>Pendientes</t>
        </is>
      </c>
      <c r="C12" s="9">
        <f>COUNTIF(Plan!$O$5:$O$126,"Pendiente")</f>
        <v/>
      </c>
    </row>
    <row r="13">
      <c r="B13" s="7" t="inlineStr">
        <is>
          <t>Bloqueadas (esperan a la cooperativa)</t>
        </is>
      </c>
      <c r="C13" s="9">
        <f>COUNTIF(Plan!$O$5:$O$126,"Bloqueado")</f>
        <v/>
      </c>
    </row>
    <row r="14">
      <c r="B14" s="4" t="inlineStr">
        <is>
          <t>Peso total (puntos)</t>
        </is>
      </c>
      <c r="C14" s="9">
        <f>SUM(Plan!$D$5:$D$126)</f>
        <v/>
      </c>
    </row>
    <row r="15">
      <c r="B15" s="4" t="inlineStr">
        <is>
          <t>Peso hecho (puntos)</t>
        </is>
      </c>
      <c r="C15" s="9">
        <f>SUMIF(Plan!$O$5:$O$126,"Hecho",Plan!$D$5:$D$126)</f>
        <v/>
      </c>
    </row>
    <row r="16">
      <c r="B16" s="4" t="inlineStr">
        <is>
          <t>Avance ponderado por peso</t>
        </is>
      </c>
      <c r="C16" s="10">
        <f>IF(C14=0,0,C15/C14)</f>
        <v/>
      </c>
    </row>
    <row r="17">
      <c r="B17" s="7" t="inlineStr">
        <is>
          <t>Duración total optimizada (bloques)</t>
        </is>
      </c>
      <c r="C17" s="9">
        <f>MAX(Plan!$L$5:$L$126)</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IF(C17=0,0,(SUMIF(Plan!$I$5:$I$126,"A",Plan!$E$5:$E$126)+SUMIF(Plan!$I$5:$I$126,"A+B",Plan!$E$5:$E$126))/C17)</f>
        <v/>
      </c>
    </row>
    <row r="24">
      <c r="B24" s="4" t="inlineStr">
        <is>
          <t>Uso de la Fila B</t>
        </is>
      </c>
      <c r="C24" s="12">
        <f>IF(C17=0,0,(SUMIF(Plan!$I$5:$I$126,"B",Plan!$E$5:$E$126)+SUMIF(Plan!$I$5:$I$126,"A+B",Plan!$E$5:$E$126))/C17)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SUMIF(Plan!$B$5:$B$126,"1. Diseño y arquitectura",Plan!$D$5:$D$126)</f>
        <v/>
      </c>
      <c r="D29" s="15">
        <f>SUMIFS(Plan!$D$5:$D$126,Plan!$B$5:$B$126,"1. Diseño y arquitectura",Plan!$O$5:$O$126,"Hecho")</f>
        <v/>
      </c>
      <c r="E29" s="12">
        <f>IF(C29=0,0,D29/C29)</f>
        <v/>
      </c>
      <c r="F29" s="15">
        <f>SUMPRODUCT(MAX((Plan!$B$5:$B$126="1. Diseño y arquitectura")*Plan!$L$5:$L$126))</f>
        <v/>
      </c>
      <c r="G29" s="8">
        <f>"S"&amp;ROUNDUP(F29/$C$5,0)</f>
        <v/>
      </c>
      <c r="H29" s="16">
        <f>'Propuesta original'!E5</f>
        <v/>
      </c>
    </row>
    <row r="30">
      <c r="B30" s="7" t="inlineStr">
        <is>
          <t>2. Landing y autenticación</t>
        </is>
      </c>
      <c r="C30" s="15">
        <f>SUMIF(Plan!$B$5:$B$126,"2. Landing y autenticación",Plan!$D$5:$D$126)</f>
        <v/>
      </c>
      <c r="D30" s="15">
        <f>SUMIFS(Plan!$D$5:$D$126,Plan!$B$5:$B$126,"2. Landing y autenticación",Plan!$O$5:$O$126,"Hecho")</f>
        <v/>
      </c>
      <c r="E30" s="12">
        <f>IF(C30=0,0,D30/C30)</f>
        <v/>
      </c>
      <c r="F30" s="15">
        <f>SUMPRODUCT(MAX((Plan!$B$5:$B$126="2. Landing y autenticación")*Plan!$L$5:$L$126))</f>
        <v/>
      </c>
      <c r="G30" s="8">
        <f>"S"&amp;ROUNDUP(F30/$C$5,0)</f>
        <v/>
      </c>
      <c r="H30" s="16">
        <f>'Propuesta original'!E6</f>
        <v/>
      </c>
    </row>
    <row r="31">
      <c r="B31" s="7" t="inlineStr">
        <is>
          <t>3. Flujo de solicitud de crédito</t>
        </is>
      </c>
      <c r="C31" s="15">
        <f>SUMIF(Plan!$B$5:$B$126,"3. Flujo de solicitud de crédito",Plan!$D$5:$D$126)</f>
        <v/>
      </c>
      <c r="D31" s="15">
        <f>SUMIFS(Plan!$D$5:$D$126,Plan!$B$5:$B$126,"3. Flujo de solicitud de crédito",Plan!$O$5:$O$126,"Hecho")</f>
        <v/>
      </c>
      <c r="E31" s="12">
        <f>IF(C31=0,0,D31/C31)</f>
        <v/>
      </c>
      <c r="F31" s="15">
        <f>SUMPRODUCT(MAX((Plan!$B$5:$B$126="3. Flujo de solicitud de crédito")*Plan!$L$5:$L$126))</f>
        <v/>
      </c>
      <c r="G31" s="8">
        <f>"S"&amp;ROUNDUP(F31/$C$5,0)</f>
        <v/>
      </c>
      <c r="H31" s="16">
        <f>'Propuesta original'!E7</f>
        <v/>
      </c>
    </row>
    <row r="32">
      <c r="B32" s="7" t="inlineStr">
        <is>
          <t>4. Panel de administración</t>
        </is>
      </c>
      <c r="C32" s="15">
        <f>SUMIF(Plan!$B$5:$B$126,"4. Panel de administración",Plan!$D$5:$D$126)</f>
        <v/>
      </c>
      <c r="D32" s="15">
        <f>SUMIFS(Plan!$D$5:$D$126,Plan!$B$5:$B$126,"4. Panel de administración",Plan!$O$5:$O$126,"Hecho")</f>
        <v/>
      </c>
      <c r="E32" s="12">
        <f>IF(C32=0,0,D32/C32)</f>
        <v/>
      </c>
      <c r="F32" s="15">
        <f>SUMPRODUCT(MAX((Plan!$B$5:$B$126="4. Panel de administración")*Plan!$L$5:$L$126))</f>
        <v/>
      </c>
      <c r="G32" s="8">
        <f>"S"&amp;ROUNDUP(F32/$C$5,0)</f>
        <v/>
      </c>
      <c r="H32" s="16">
        <f>'Propuesta original'!E8</f>
        <v/>
      </c>
    </row>
    <row r="33">
      <c r="B33" s="4" t="inlineStr">
        <is>
          <t>5. Convenios y pulido</t>
        </is>
      </c>
      <c r="C33" s="15">
        <f>SUMIF(Plan!$B$5:$B$126,"5. Convenios y pulido",Plan!$D$5:$D$126)</f>
        <v/>
      </c>
      <c r="D33" s="15">
        <f>SUMIFS(Plan!$D$5:$D$126,Plan!$B$5:$B$126,"5. Convenios y pulido",Plan!$O$5:$O$126,"Hecho")</f>
        <v/>
      </c>
      <c r="E33" s="12">
        <f>IF(C33=0,0,D33/C33)</f>
        <v/>
      </c>
      <c r="F33" s="15">
        <f>SUMPRODUCT(MAX((Plan!$B$5:$B$126="5. Convenios y pulido")*Plan!$L$5:$L$126))</f>
        <v/>
      </c>
      <c r="G33" s="8">
        <f>"S"&amp;ROUNDUP(F33/$C$5,0)</f>
        <v/>
      </c>
      <c r="H33" s="16">
        <f>'Propuesta original'!E9</f>
        <v/>
      </c>
    </row>
    <row r="34">
      <c r="B34" s="4" t="inlineStr">
        <is>
          <t>6. Pruebas y lanzamiento</t>
        </is>
      </c>
      <c r="C34" s="15">
        <f>SUMIF(Plan!$B$5:$B$126,"6. Pruebas y lanzamiento",Plan!$D$5:$D$126)</f>
        <v/>
      </c>
      <c r="D34" s="15">
        <f>SUMIFS(Plan!$D$5:$D$126,Plan!$B$5:$B$126,"6. Pruebas y lanzamiento",Plan!$O$5:$O$126,"Hecho")</f>
        <v/>
      </c>
      <c r="E34" s="12">
        <f>IF(C34=0,0,D34/C34)</f>
        <v/>
      </c>
      <c r="F34" s="15">
        <f>SUMPRODUCT(MAX((Plan!$B$5:$B$126="6. Pruebas y lanzamiento")*Plan!$L$5:$L$126))</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COUNTIFS(Pendientes!$B$5:$B$148,$B46,Pendientes!$G$5:$G$148,"Hecho")</f>
        <v/>
      </c>
      <c r="D46" s="15">
        <f>COUNTIFS(Pendientes!$B$5:$B$148,$B46,Pendientes!$G$5:$G$148,"En curso")</f>
        <v/>
      </c>
      <c r="E46" s="15">
        <f>COUNTIFS(Pendientes!$B$5:$B$148,$B46,Pendientes!$G$5:$G$148,"Pendiente")</f>
        <v/>
      </c>
      <c r="F46" s="15">
        <f>COUNTIFS(Pendientes!$B$5:$B$148,$B46,Pendientes!$G$5:$G$148,"Bloqueado")</f>
        <v/>
      </c>
      <c r="G46" s="9">
        <f>SUM(C46:F46)</f>
        <v/>
      </c>
    </row>
    <row r="47">
      <c r="B47" s="4" t="inlineStr">
        <is>
          <t>Dato de la cooperativa</t>
        </is>
      </c>
      <c r="C47" s="15">
        <f>COUNTIFS(Pendientes!$B$5:$B$148,$B47,Pendientes!$G$5:$G$148,"Hecho")</f>
        <v/>
      </c>
      <c r="D47" s="15">
        <f>COUNTIFS(Pendientes!$B$5:$B$148,$B47,Pendientes!$G$5:$G$148,"En curso")</f>
        <v/>
      </c>
      <c r="E47" s="15">
        <f>COUNTIFS(Pendientes!$B$5:$B$148,$B47,Pendientes!$G$5:$G$148,"Pendiente")</f>
        <v/>
      </c>
      <c r="F47" s="15">
        <f>COUNTIFS(Pendientes!$B$5:$B$148,$B47,Pendientes!$G$5:$G$148,"Bloqueado")</f>
        <v/>
      </c>
      <c r="G47" s="9">
        <f>SUM(C47:F47)</f>
        <v/>
      </c>
    </row>
    <row r="48">
      <c r="B48" s="4" t="inlineStr">
        <is>
          <t>Configuración</t>
        </is>
      </c>
      <c r="C48" s="15">
        <f>COUNTIFS(Pendientes!$B$5:$B$148,$B48,Pendientes!$G$5:$G$148,"Hecho")</f>
        <v/>
      </c>
      <c r="D48" s="15">
        <f>COUNTIFS(Pendientes!$B$5:$B$148,$B48,Pendientes!$G$5:$G$148,"En curso")</f>
        <v/>
      </c>
      <c r="E48" s="15">
        <f>COUNTIFS(Pendientes!$B$5:$B$148,$B48,Pendientes!$G$5:$G$148,"Pendiente")</f>
        <v/>
      </c>
      <c r="F48" s="15">
        <f>COUNTIFS(Pendientes!$B$5:$B$148,$B48,Pendientes!$G$5:$G$148,"Bloqueado")</f>
        <v/>
      </c>
      <c r="G48" s="9">
        <f>SUM(C48:F48)</f>
        <v/>
      </c>
    </row>
    <row r="49">
      <c r="B49" s="4" t="inlineStr">
        <is>
          <t>Funcionalidad</t>
        </is>
      </c>
      <c r="C49" s="15">
        <f>COUNTIFS(Pendientes!$B$5:$B$148,$B49,Pendientes!$G$5:$G$148,"Hecho")</f>
        <v/>
      </c>
      <c r="D49" s="15">
        <f>COUNTIFS(Pendientes!$B$5:$B$148,$B49,Pendientes!$G$5:$G$148,"En curso")</f>
        <v/>
      </c>
      <c r="E49" s="15">
        <f>COUNTIFS(Pendientes!$B$5:$B$148,$B49,Pendientes!$G$5:$G$148,"Pendiente")</f>
        <v/>
      </c>
      <c r="F49" s="15">
        <f>COUNTIFS(Pendientes!$B$5:$B$148,$B49,Pendientes!$G$5:$G$148,"Bloqueado")</f>
        <v/>
      </c>
      <c r="G49" s="9">
        <f>SUM(C49:F49)</f>
        <v/>
      </c>
    </row>
    <row r="50">
      <c r="B50" s="4" t="inlineStr">
        <is>
          <t>Verificación y cierre</t>
        </is>
      </c>
      <c r="C50" s="15">
        <f>COUNTIFS(Pendientes!$B$5:$B$148,$B50,Pendientes!$G$5:$G$148,"Hecho")</f>
        <v/>
      </c>
      <c r="D50" s="15">
        <f>COUNTIFS(Pendientes!$B$5:$B$148,$B50,Pendientes!$G$5:$G$148,"En curso")</f>
        <v/>
      </c>
      <c r="E50" s="15">
        <f>COUNTIFS(Pendientes!$B$5:$B$148,$B50,Pendientes!$G$5:$G$148,"Pendiente")</f>
        <v/>
      </c>
      <c r="F50" s="15">
        <f>COUNTIFS(Pendientes!$B$5:$B$148,$B50,Pendientes!$G$5:$G$148,"Bloqueado")</f>
        <v/>
      </c>
      <c r="G50" s="9">
        <f>SUM(C50:F50)</f>
        <v/>
      </c>
    </row>
    <row r="51">
      <c r="B51" s="4" t="inlineStr">
        <is>
          <t>Seguridad</t>
        </is>
      </c>
      <c r="C51" s="15">
        <f>COUNTIFS(Pendientes!$B$5:$B$148,$B51,Pendientes!$G$5:$G$148,"Hecho")</f>
        <v/>
      </c>
      <c r="D51" s="15">
        <f>COUNTIFS(Pendientes!$B$5:$B$148,$B51,Pendientes!$G$5:$G$148,"En curso")</f>
        <v/>
      </c>
      <c r="E51" s="15">
        <f>COUNTIFS(Pendientes!$B$5:$B$148,$B51,Pendientes!$G$5:$G$148,"Pendiente")</f>
        <v/>
      </c>
      <c r="F51" s="15">
        <f>COUNTIFS(Pendientes!$B$5:$B$148,$B51,Pendientes!$G$5:$G$148,"Bloqueado")</f>
        <v/>
      </c>
      <c r="G51" s="9">
        <f>SUM(C51:F51)</f>
        <v/>
      </c>
    </row>
    <row r="52">
      <c r="B52" s="4" t="inlineStr">
        <is>
          <t>Código</t>
        </is>
      </c>
      <c r="C52" s="15">
        <f>COUNTIFS(Pendientes!$B$5:$B$148,$B52,Pendientes!$G$5:$G$148,"Hecho")</f>
        <v/>
      </c>
      <c r="D52" s="15">
        <f>COUNTIFS(Pendientes!$B$5:$B$148,$B52,Pendientes!$G$5:$G$148,"En curso")</f>
        <v/>
      </c>
      <c r="E52" s="15">
        <f>COUNTIFS(Pendientes!$B$5:$B$148,$B52,Pendientes!$G$5:$G$148,"Pendiente")</f>
        <v/>
      </c>
      <c r="F52" s="15">
        <f>COUNTIFS(Pendientes!$B$5:$B$148,$B52,Pendientes!$G$5:$G$148,"Bloqueado")</f>
        <v/>
      </c>
      <c r="G52" s="9">
        <f>SUM(C52:F52)</f>
        <v/>
      </c>
    </row>
    <row r="53">
      <c r="B53" s="4" t="inlineStr">
        <is>
          <t>Base de datos</t>
        </is>
      </c>
      <c r="C53" s="15">
        <f>COUNTIFS(Pendientes!$B$5:$B$148,$B53,Pendientes!$G$5:$G$148,"Hecho")</f>
        <v/>
      </c>
      <c r="D53" s="15">
        <f>COUNTIFS(Pendientes!$B$5:$B$148,$B53,Pendientes!$G$5:$G$148,"En curso")</f>
        <v/>
      </c>
      <c r="E53" s="15">
        <f>COUNTIFS(Pendientes!$B$5:$B$148,$B53,Pendientes!$G$5:$G$148,"Pendiente")</f>
        <v/>
      </c>
      <c r="F53" s="15">
        <f>COUNTIFS(Pendientes!$B$5:$B$148,$B53,Pendientes!$G$5:$G$148,"Bloqueado")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8"/>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P-143</t>
        </is>
      </c>
      <c r="B5" s="4" t="inlineStr">
        <is>
          <t>Configuración</t>
        </is>
      </c>
      <c r="C5" s="4" t="inlineStr">
        <is>
          <t>Base de datos</t>
        </is>
      </c>
      <c r="D5" s="7" t="inlineStr">
        <is>
          <t>Probar la selfie de afiliación con la cámara de un celular real (la migración 20261018100000 ya está aplicada; respaldos y logos.rar ya están fuera del repo)</t>
        </is>
      </c>
      <c r="E5" s="7" t="inlineStr">
        <is>
          <t>Sebas</t>
        </is>
      </c>
      <c r="F5" s="8" t="inlineStr">
        <is>
          <t>Alta</t>
        </is>
      </c>
      <c r="G5" s="8" t="inlineStr">
        <is>
          <t>En curso</t>
        </is>
      </c>
      <c r="H5" s="8" t="inlineStr">
        <is>
          <t>2.17</t>
        </is>
      </c>
      <c r="I5" s="21">
        <f>IFERROR(INDEX(Plan!$B$5:$B$126,MATCH(H5,Plan!$A$5:$A$126,0)),"—")</f>
        <v/>
      </c>
      <c r="J5" s="7" t="inlineStr">
        <is>
          <t>22-oct: migración 20261018100000 aplicada; respaldo-*.sql movidos a ../backups/2026-10-02; public/logos.rar (solo logos públicos) movido a la carpeta de la cooperativa. Solo falta la selfie en celular real (2.17).</t>
        </is>
      </c>
    </row>
    <row r="6">
      <c r="A6" s="19" t="inlineStr">
        <is>
          <t>P-144</t>
        </is>
      </c>
      <c r="B6" s="4" t="inlineStr">
        <is>
          <t>Configuración</t>
        </is>
      </c>
      <c r="C6" s="4" t="inlineStr">
        <is>
          <t>Despliegue</t>
        </is>
      </c>
      <c r="D6" s="7" t="inlineStr">
        <is>
          <t>Abrir y fusionar el PR develop → main en GitHub para desplegar (commit e0cbe5a)</t>
        </is>
      </c>
      <c r="E6" s="7" t="inlineStr">
        <is>
          <t>Sebas</t>
        </is>
      </c>
      <c r="F6" s="8" t="inlineStr">
        <is>
          <t>Alta</t>
        </is>
      </c>
      <c r="G6" s="8" t="inlineStr">
        <is>
          <t>Pendiente</t>
        </is>
      </c>
      <c r="H6" s="8" t="inlineStr">
        <is>
          <t>6.43</t>
        </is>
      </c>
      <c r="I6" s="21">
        <f>IFERROR(INDEX(Plan!$B$5:$B$126,MATCH(H6,Plan!$A$5:$A$126,0)),"—")</f>
        <v/>
      </c>
      <c r="J6" s="7" t="inlineStr">
        <is>
          <t>22-oct: develop ya está actualizado en el remoto; gh no está instalado y la API quedó bloqueada por permisos.</t>
        </is>
      </c>
    </row>
    <row r="7">
      <c r="A7" s="19" t="inlineStr">
        <is>
          <t>P-105</t>
        </is>
      </c>
      <c r="B7" s="4" t="inlineStr">
        <is>
          <t>Configuración</t>
        </is>
      </c>
      <c r="C7" s="4" t="inlineStr">
        <is>
          <t>Vercel/Resend</t>
        </is>
      </c>
      <c r="D7" s="7" t="inlineStr">
        <is>
          <t>CRON_SECRET de 32+ caracteres, publicar plantilla ga-aviso-institucional y crear RESEND_TEMPLATE_AVISO_INSTITUCIONAL</t>
        </is>
      </c>
      <c r="E7" s="7" t="inlineStr">
        <is>
          <t>Sebas</t>
        </is>
      </c>
      <c r="F7" s="8" t="inlineStr">
        <is>
          <t>Alta</t>
        </is>
      </c>
      <c r="G7" s="8" t="inlineStr">
        <is>
          <t>Hecho</t>
        </is>
      </c>
      <c r="H7" s="8" t="inlineStr">
        <is>
          <t>6.22</t>
        </is>
      </c>
      <c r="I7" s="21">
        <f>IFERROR(INDEX(Plan!$B$5:$B$126,MATCH(H7,Plan!$A$5:$A$126,0)),"—")</f>
        <v/>
      </c>
      <c r="J7" s="7" t="inlineStr">
        <is>
          <t>30-sep: Sebas lo hizo en producción.</t>
        </is>
      </c>
    </row>
    <row r="8">
      <c r="A8" s="19" t="inlineStr">
        <is>
          <t>P-110</t>
        </is>
      </c>
      <c r="B8" s="4" t="inlineStr">
        <is>
          <t>Configuración</t>
        </is>
      </c>
      <c r="C8" s="4" t="inlineStr">
        <is>
          <t>Base de datos</t>
        </is>
      </c>
      <c r="D8" s="7" t="inlineStr">
        <is>
          <t>Aplicar la migración 20261001000000 antes de desplegar (sin ella falla el insert de afiliación por la columna version_politica_datos)</t>
        </is>
      </c>
      <c r="E8" s="7" t="inlineStr">
        <is>
          <t>Sebas</t>
        </is>
      </c>
      <c r="F8" s="8" t="inlineStr">
        <is>
          <t>Alta</t>
        </is>
      </c>
      <c r="G8" s="8" t="inlineStr">
        <is>
          <t>Hecho</t>
        </is>
      </c>
      <c r="H8" s="8" t="inlineStr">
        <is>
          <t>6.23</t>
        </is>
      </c>
      <c r="I8" s="21">
        <f>IFERROR(INDEX(Plan!$B$5:$B$126,MATCH(H8,Plan!$A$5:$A$126,0)),"—")</f>
        <v/>
      </c>
      <c r="J8" s="7" t="inlineStr">
        <is>
          <t>30-sep: reportado por ga-auditor-supabase y ga-funcionalidad-botones. 01-oct: aplicada en producción.</t>
        </is>
      </c>
    </row>
    <row r="9">
      <c r="A9" s="19" t="inlineStr">
        <is>
          <t>P-113</t>
        </is>
      </c>
      <c r="B9" s="4" t="inlineStr">
        <is>
          <t>Configuración</t>
        </is>
      </c>
      <c r="C9" s="4" t="inlineStr">
        <is>
          <t>Base de datos</t>
        </is>
      </c>
      <c r="D9" s="7" t="inlineStr">
        <is>
          <t>Docker: db reset + test db local y aplicar la migración 20261001100000 en producción</t>
        </is>
      </c>
      <c r="E9" s="7" t="inlineStr">
        <is>
          <t>Sebas</t>
        </is>
      </c>
      <c r="F9" s="8" t="inlineStr">
        <is>
          <t>Alta</t>
        </is>
      </c>
      <c r="G9" s="8" t="inlineStr">
        <is>
          <t>Hecho</t>
        </is>
      </c>
      <c r="H9" s="8" t="inlineStr">
        <is>
          <t>6.24</t>
        </is>
      </c>
      <c r="I9" s="21">
        <f>IFERROR(INDEX(Plan!$B$5:$B$126,MATCH(H9,Plan!$A$5:$A$126,0)),"—")</f>
        <v/>
      </c>
      <c r="J9"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10">
      <c r="A10" s="19" t="inlineStr">
        <is>
          <t>P-114</t>
        </is>
      </c>
      <c r="B10" s="4" t="inlineStr">
        <is>
          <t>Configuración</t>
        </is>
      </c>
      <c r="C10" s="4" t="inlineStr">
        <is>
          <t>Base de datos</t>
        </is>
      </c>
      <c r="D10" s="7" t="inlineStr">
        <is>
          <t>Aplicar la migración 20261002000000 en producción y fusionar develop→main (commit e2523de)</t>
        </is>
      </c>
      <c r="E10" s="7" t="inlineStr">
        <is>
          <t>Sebas</t>
        </is>
      </c>
      <c r="F10" s="8" t="inlineStr">
        <is>
          <t>Alta</t>
        </is>
      </c>
      <c r="G10" s="8" t="inlineStr">
        <is>
          <t>Hecho</t>
        </is>
      </c>
      <c r="H10" s="8" t="inlineStr">
        <is>
          <t>6.25</t>
        </is>
      </c>
      <c r="I10" s="21">
        <f>IFERROR(INDEX(Plan!$B$5:$B$126,MATCH(H10,Plan!$A$5:$A$126,0)),"—")</f>
        <v/>
      </c>
      <c r="J10" s="7" t="inlineStr">
        <is>
          <t>01-oct: sin ella /admin/convenios y la lectura de convenios por visible/orden fallan en producción (el loader tiene respaldo en CONVENIOS). Probar subida de logo con un admin real. 02-oct: cerrada; la fusión develop→main sigue en P-116 (6.27).</t>
        </is>
      </c>
    </row>
    <row r="11">
      <c r="A11" s="19" t="inlineStr">
        <is>
          <t>P-116</t>
        </is>
      </c>
      <c r="B11" s="4" t="inlineStr">
        <is>
          <t>Configuración</t>
        </is>
      </c>
      <c r="C11" s="4" t="inlineStr">
        <is>
          <t>Base de datos</t>
        </is>
      </c>
      <c r="D11" s="7" t="inlineStr">
        <is>
          <t>Aplicar con respaldo previo 20261002500000, 20261002600000, 20261003000000, 20261003100000 y 20261003200000 y 20261003300000 y fusionar develop→main</t>
        </is>
      </c>
      <c r="E11" s="7" t="inlineStr">
        <is>
          <t>Sebas</t>
        </is>
      </c>
      <c r="F11" s="8" t="inlineStr">
        <is>
          <t>Alta</t>
        </is>
      </c>
      <c r="G11" s="8" t="inlineStr">
        <is>
          <t>Hecho</t>
        </is>
      </c>
      <c r="H11" s="8" t="inlineStr">
        <is>
          <t>6.27</t>
        </is>
      </c>
      <c r="I11" s="21">
        <f>IFERROR(INDEX(Plan!$B$5:$B$126,MATCH(H11,Plan!$A$5:$A$126,0)),"—")</f>
        <v/>
      </c>
      <c r="J11" s="7" t="inlineStr">
        <is>
          <t>02-oct: 20261003000000 quita la FK perfiles.id → auth.users (cascada por trigger). 09-oct: Hecho por Sebas.</t>
        </is>
      </c>
    </row>
    <row r="12">
      <c r="A12" s="19" t="inlineStr">
        <is>
          <t>P-117</t>
        </is>
      </c>
      <c r="B12" s="4" t="inlineStr">
        <is>
          <t>Configuración</t>
        </is>
      </c>
      <c r="C12" s="4" t="inlineStr">
        <is>
          <t>Correos</t>
        </is>
      </c>
      <c r="D12" s="7" t="inlineStr">
        <is>
          <t>Plantilla del sorteo en Vercel/Resend (variables NOMBRE, NUMERO_BOLETA, MES) y {{{COMPROBANTE}}} en la plantilla de desembolso</t>
        </is>
      </c>
      <c r="E12" s="7" t="inlineStr">
        <is>
          <t>Sebas</t>
        </is>
      </c>
      <c r="F12" s="8" t="inlineStr">
        <is>
          <t>Alta</t>
        </is>
      </c>
      <c r="G12" s="8" t="inlineStr">
        <is>
          <t>Hecho</t>
        </is>
      </c>
      <c r="H12" s="8" t="inlineStr">
        <is>
          <t>6.28</t>
        </is>
      </c>
      <c r="I12" s="21">
        <f>IFERROR(INDEX(Plan!$B$5:$B$126,MATCH(H12,Plan!$A$5:$A$126,0)),"—")</f>
        <v/>
      </c>
      <c r="J12" s="7" t="inlineStr">
        <is>
          <t>02-oct: sin la plantilla, el correo del sorteo cae a texto plano (docs/resend-plantillas.md). 09-oct: Hecho por Sebas.</t>
        </is>
      </c>
    </row>
    <row r="13">
      <c r="A13" s="19" t="inlineStr">
        <is>
          <t>P-135</t>
        </is>
      </c>
      <c r="B13" s="4" t="inlineStr">
        <is>
          <t>Configuración</t>
        </is>
      </c>
      <c r="C13" s="4" t="inlineStr">
        <is>
          <t>Base de datos</t>
        </is>
      </c>
      <c r="D13" s="7" t="inlineStr">
        <is>
          <t>Aplicar la migración 20261008000000 (Patrullero de Policía) con respaldo previo</t>
        </is>
      </c>
      <c r="E13" s="7" t="inlineStr">
        <is>
          <t>Sebas</t>
        </is>
      </c>
      <c r="F13" s="8" t="inlineStr">
        <is>
          <t>Alta</t>
        </is>
      </c>
      <c r="G13" s="8" t="inlineStr">
        <is>
          <t>Hecho</t>
        </is>
      </c>
      <c r="H13" s="8" t="inlineStr">
        <is>
          <t>6.36</t>
        </is>
      </c>
      <c r="I13" s="21">
        <f>IFERROR(INDEX(Plan!$B$5:$B$126,MATCH(H13,Plan!$A$5:$A$126,0)),"—")</f>
        <v/>
      </c>
      <c r="J13" s="7" t="inlineStr">
        <is>
          <t>08-oct: db push, verificando antes migration list --linked. 09-oct: Hecho por Sebas.</t>
        </is>
      </c>
    </row>
    <row r="14">
      <c r="A14" s="19" t="inlineStr">
        <is>
          <t>P-138</t>
        </is>
      </c>
      <c r="B14" s="4" t="inlineStr">
        <is>
          <t>Configuración</t>
        </is>
      </c>
      <c r="C14" s="4" t="inlineStr">
        <is>
          <t>Base de datos</t>
        </is>
      </c>
      <c r="D14" s="7" t="inlineStr">
        <is>
          <t>Aplicar con respaldo previo la migración 20261009000000 (hallazgos de seguridad del 8-oct), verificando antes migration list --linked</t>
        </is>
      </c>
      <c r="E14" s="7" t="inlineStr">
        <is>
          <t>Sebas</t>
        </is>
      </c>
      <c r="F14" s="8" t="inlineStr">
        <is>
          <t>Alta</t>
        </is>
      </c>
      <c r="G14" s="8" t="inlineStr">
        <is>
          <t>Hecho</t>
        </is>
      </c>
      <c r="H14" s="8" t="inlineStr">
        <is>
          <t>6.39</t>
        </is>
      </c>
      <c r="I14" s="21">
        <f>IFERROR(INDEX(Plan!$B$5:$B$126,MATCH(H14,Plan!$A$5:$A$126,0)),"—")</f>
        <v/>
      </c>
      <c r="J14" s="7" t="inlineStr">
        <is>
          <t>09-oct: incluye la RPC fotos_carne_huerfanas. Sin ella el código nuevo no funciona. 09-oct: Hecho por Sebas.</t>
        </is>
      </c>
    </row>
    <row r="15">
      <c r="A15" s="19" t="inlineStr">
        <is>
          <t>P-139</t>
        </is>
      </c>
      <c r="B15" s="4" t="inlineStr">
        <is>
          <t>Configuración</t>
        </is>
      </c>
      <c r="C15" s="4" t="inlineStr">
        <is>
          <t>Despliegue</t>
        </is>
      </c>
      <c r="D15" s="7" t="inlineStr">
        <is>
          <t>Desplegar el código nuevo de inmediato junto con la migración 20261009000000</t>
        </is>
      </c>
      <c r="E15" s="7" t="inlineStr">
        <is>
          <t>Sebas</t>
        </is>
      </c>
      <c r="F15" s="8" t="inlineStr">
        <is>
          <t>Alta</t>
        </is>
      </c>
      <c r="G15" s="8" t="inlineStr">
        <is>
          <t>Hecho</t>
        </is>
      </c>
      <c r="H15" s="8" t="inlineStr">
        <is>
          <t>6.40</t>
        </is>
      </c>
      <c r="I15" s="21">
        <f>IFERROR(INDEX(Plan!$B$5:$B$126,MATCH(H15,Plan!$A$5:$A$126,0)),"—")</f>
        <v/>
      </c>
      <c r="J15" s="7" t="inlineStr">
        <is>
          <t>09-oct: código y migración van juntos. Desactivar a un admin ya no se puede desde la app; si la cooperativa lo necesita, hace falta otra migración. 09-oct: Hecho por Sebas.</t>
        </is>
      </c>
    </row>
    <row r="16">
      <c r="A16" s="19" t="inlineStr">
        <is>
          <t>P-141</t>
        </is>
      </c>
      <c r="B16" s="4" t="inlineStr">
        <is>
          <t>Configuración</t>
        </is>
      </c>
      <c r="C16" s="4" t="inlineStr">
        <is>
          <t>Base de datos</t>
        </is>
      </c>
      <c r="D16" s="7" t="inlineStr">
        <is>
          <t>Aplicar la migración 20261014000000 (afiliación sin repetidos) con db push y correr pgTAP con Docker</t>
        </is>
      </c>
      <c r="E16" s="7" t="inlineStr">
        <is>
          <t>Sebas</t>
        </is>
      </c>
      <c r="F16" s="8" t="inlineStr">
        <is>
          <t>Alta</t>
        </is>
      </c>
      <c r="G16" s="8" t="inlineStr">
        <is>
          <t>Hecho</t>
        </is>
      </c>
      <c r="H16" s="8" t="inlineStr">
        <is>
          <t>6.41</t>
        </is>
      </c>
      <c r="I16" s="21">
        <f>IFERROR(INDEX(Plan!$B$5:$B$126,MATCH(H16,Plan!$A$5:$A$126,0)),"—")</f>
        <v/>
      </c>
      <c r="J16" s="7" t="inlineStr">
        <is>
          <t>18-oct: aplicada por Sebas; pgTAP en verde.</t>
        </is>
      </c>
    </row>
    <row r="17">
      <c r="A17" s="19" t="inlineStr">
        <is>
          <t>P-142</t>
        </is>
      </c>
      <c r="B17" s="4" t="inlineStr">
        <is>
          <t>Configuración</t>
        </is>
      </c>
      <c r="C17" s="4" t="inlineStr">
        <is>
          <t>Base de datos</t>
        </is>
      </c>
      <c r="D17" s="7" t="inlineStr">
        <is>
          <t>Aplicar la migración 20261018000000 (pausa de cuenta y avisos) con db push y correr pgTAP 33 con Docker</t>
        </is>
      </c>
      <c r="E17" s="7" t="inlineStr">
        <is>
          <t>Sebas</t>
        </is>
      </c>
      <c r="F17" s="8" t="inlineStr">
        <is>
          <t>Alta</t>
        </is>
      </c>
      <c r="G17" s="8" t="inlineStr">
        <is>
          <t>Hecho</t>
        </is>
      </c>
      <c r="H17" s="8" t="inlineStr">
        <is>
          <t>6.41</t>
        </is>
      </c>
      <c r="I17" s="21">
        <f>IFERROR(INDEX(Plan!$B$5:$B$126,MATCH(H17,Plan!$A$5:$A$126,0)),"—")</f>
        <v/>
      </c>
      <c r="J17" s="7" t="inlineStr">
        <is>
          <t>18-oct: aplicada por Sebas; pgTAP 33 en verde. La prueba de selfie en celular real pasó a P-143.</t>
        </is>
      </c>
    </row>
    <row r="18">
      <c r="A18" s="19" t="inlineStr">
        <is>
          <t>P-19</t>
        </is>
      </c>
      <c r="B18" s="4" t="inlineStr">
        <is>
          <t>Configuración</t>
        </is>
      </c>
      <c r="C18" s="4" t="inlineStr">
        <is>
          <t>Supabase</t>
        </is>
      </c>
      <c r="D18" s="7" t="inlineStr">
        <is>
          <t>SMTP propio con Resend (Authentication → Emails → SMTP Settings)</t>
        </is>
      </c>
      <c r="E18" s="7" t="inlineStr">
        <is>
          <t>Yo (panel Supabase/Resend)</t>
        </is>
      </c>
      <c r="F18" s="8" t="inlineStr">
        <is>
          <t>Alta</t>
        </is>
      </c>
      <c r="G18" s="8" t="inlineStr">
        <is>
          <t>Hecho</t>
        </is>
      </c>
      <c r="H18" s="8" t="inlineStr">
        <is>
          <t>2.4</t>
        </is>
      </c>
      <c r="I18" s="21">
        <f>IFERROR(INDEX(Plan!$B$5:$B$126,MATCH(H18,Plan!$A$5:$A$126,0)),"—")</f>
        <v/>
      </c>
      <c r="J18" s="7" t="inlineStr">
        <is>
          <t>Configurado por Sebas el 23-sep. El código de 6 dígitos lo envía Supabase Auth (no Resend desde la app); funciona en local. Ver docs/resend-plantillas.md.</t>
        </is>
      </c>
    </row>
    <row r="19">
      <c r="A19" s="19" t="inlineStr">
        <is>
          <t>P-20</t>
        </is>
      </c>
      <c r="B19" s="4" t="inlineStr">
        <is>
          <t>Configuración</t>
        </is>
      </c>
      <c r="C19" s="4" t="inlineStr">
        <is>
          <t>Supabase</t>
        </is>
      </c>
      <c r="D19" s="7" t="inlineStr">
        <is>
          <t>Plantilla del correo con {{ .Token }} (código, no enlace)</t>
        </is>
      </c>
      <c r="E19" s="7" t="inlineStr">
        <is>
          <t>Yo (panel Supabase/Resend)</t>
        </is>
      </c>
      <c r="F19" s="8" t="inlineStr">
        <is>
          <t>Alta</t>
        </is>
      </c>
      <c r="G19" s="8" t="inlineStr">
        <is>
          <t>Hecho</t>
        </is>
      </c>
      <c r="H19" s="8" t="inlineStr">
        <is>
          <t>2.4</t>
        </is>
      </c>
      <c r="I19" s="21">
        <f>IFERROR(INDEX(Plan!$B$5:$B$126,MATCH(H19,Plan!$A$5:$A$126,0)),"—")</f>
        <v/>
      </c>
      <c r="J19"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20">
      <c r="A20" s="19" t="inlineStr">
        <is>
          <t>P-43</t>
        </is>
      </c>
      <c r="B20" s="4" t="inlineStr">
        <is>
          <t>Configuración</t>
        </is>
      </c>
      <c r="C20" s="4" t="inlineStr">
        <is>
          <t>Base de datos</t>
        </is>
      </c>
      <c r="D20" s="7" t="inlineStr">
        <is>
          <t>Aplicar en producción la migración 20260923210000_limite_de_intentos.sql</t>
        </is>
      </c>
      <c r="E20" s="7" t="inlineStr">
        <is>
          <t>Sebas (ga-auditor-supabase revisa antes)</t>
        </is>
      </c>
      <c r="F20" s="8" t="inlineStr">
        <is>
          <t>Alta</t>
        </is>
      </c>
      <c r="G20" s="8" t="inlineStr">
        <is>
          <t>Hecho</t>
        </is>
      </c>
      <c r="H20" s="8" t="inlineStr">
        <is>
          <t>6.8</t>
        </is>
      </c>
      <c r="I20" s="21">
        <f>IFERROR(INDEX(Plan!$B$5:$B$126,MATCH(H20,Plan!$A$5:$A$126,0)),"—")</f>
        <v/>
      </c>
      <c r="J20"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21">
      <c r="A21" s="19" t="inlineStr">
        <is>
          <t>P-44</t>
        </is>
      </c>
      <c r="B21" s="4" t="inlineStr">
        <is>
          <t>Configuración</t>
        </is>
      </c>
      <c r="C21" s="4" t="inlineStr">
        <is>
          <t>Vercel</t>
        </is>
      </c>
      <c r="D21"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21" s="7" t="inlineStr">
        <is>
          <t>Yo</t>
        </is>
      </c>
      <c r="F21" s="8" t="inlineStr">
        <is>
          <t>Alta</t>
        </is>
      </c>
      <c r="G21" s="8" t="inlineStr">
        <is>
          <t>Hecho</t>
        </is>
      </c>
      <c r="H21" s="8" t="inlineStr">
        <is>
          <t>6.9</t>
        </is>
      </c>
      <c r="I21" s="21">
        <f>IFERROR(INDEX(Plan!$B$5:$B$126,MATCH(H21,Plan!$A$5:$A$126,0)),"—")</f>
        <v/>
      </c>
      <c r="J21"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22">
      <c r="A22" s="19" t="inlineStr">
        <is>
          <t>P-45</t>
        </is>
      </c>
      <c r="B22" s="4" t="inlineStr">
        <is>
          <t>Configuración</t>
        </is>
      </c>
      <c r="C22" s="4" t="inlineStr">
        <is>
          <t>Supabase</t>
        </is>
      </c>
      <c r="D22" s="7" t="inlineStr">
        <is>
          <t>Panel de producción: OTP de 6 dígitos, vencimiento del código en 600 s (10 min) e intervalo entre correos ≤ 45 s</t>
        </is>
      </c>
      <c r="E22" s="7" t="inlineStr">
        <is>
          <t>Yo (panel Supabase/Resend)</t>
        </is>
      </c>
      <c r="F22" s="8" t="inlineStr">
        <is>
          <t>Alta</t>
        </is>
      </c>
      <c r="G22" s="8" t="inlineStr">
        <is>
          <t>Hecho</t>
        </is>
      </c>
      <c r="H22" s="8" t="inlineStr">
        <is>
          <t>2.4</t>
        </is>
      </c>
      <c r="I22" s="21">
        <f>IFERROR(INDEX(Plan!$B$5:$B$126,MATCH(H22,Plan!$A$5:$A$126,0)),"—")</f>
        <v/>
      </c>
      <c r="J22" s="7" t="inlineStr">
        <is>
          <t>Complementa P-19 (SMTP) y P-20 (plantilla Magic Link con {{ .Token }}). 30-sep: Sebas lo hizo en producción.</t>
        </is>
      </c>
    </row>
    <row r="23">
      <c r="A23" s="19" t="inlineStr">
        <is>
          <t>P-59</t>
        </is>
      </c>
      <c r="B23" s="4" t="inlineStr">
        <is>
          <t>Configuración</t>
        </is>
      </c>
      <c r="C23" s="4" t="inlineStr">
        <is>
          <t>Base de datos</t>
        </is>
      </c>
      <c r="D23" s="7" t="inlineStr">
        <is>
          <t>Aplicar en producción las 9 migraciones de fase 2 (20260924000000…000800) y desplegar enseguida</t>
        </is>
      </c>
      <c r="E23" s="7" t="inlineStr">
        <is>
          <t>Sebas (ga-auditor-supabase revisa antes)</t>
        </is>
      </c>
      <c r="F23" s="8" t="inlineStr">
        <is>
          <t>Alta</t>
        </is>
      </c>
      <c r="G23" s="8" t="inlineStr">
        <is>
          <t>Hecho</t>
        </is>
      </c>
      <c r="H23" s="8" t="inlineStr">
        <is>
          <t>6.13</t>
        </is>
      </c>
      <c r="I23" s="21">
        <f>IFERROR(INDEX(Plan!$B$5:$B$126,MATCH(H23,Plan!$A$5:$A$126,0)),"—")</f>
        <v/>
      </c>
      <c r="J23" s="7" t="inlineStr">
        <is>
          <t>25-sep: Sebas aplicó las 9 migraciones en producción con `supabase db push` (dry-run confirmó exactamente esas 9) y fusionó el PR develop → main; Vercel desplegó fase 2 en www.greenallianceco.com, verificado por HTTP.</t>
        </is>
      </c>
    </row>
    <row r="24">
      <c r="A24" s="19" t="inlineStr">
        <is>
          <t>P-60</t>
        </is>
      </c>
      <c r="B24" s="4" t="inlineStr">
        <is>
          <t>Configuración</t>
        </is>
      </c>
      <c r="C24" s="4" t="inlineStr">
        <is>
          <t>Vercel</t>
        </is>
      </c>
      <c r="D24" s="7" t="inlineStr">
        <is>
          <t>Corregir SUPABASE_SERVICE_ROLE_KEY en Vercel (hoy da «Invalid API key»)</t>
        </is>
      </c>
      <c r="E24" s="7" t="inlineStr">
        <is>
          <t>Sebas</t>
        </is>
      </c>
      <c r="F24" s="8" t="inlineStr">
        <is>
          <t>Alta</t>
        </is>
      </c>
      <c r="G24" s="8" t="inlineStr">
        <is>
          <t>Hecho</t>
        </is>
      </c>
      <c r="H24" s="8" t="inlineStr">
        <is>
          <t>6.9</t>
        </is>
      </c>
      <c r="I24" s="21">
        <f>IFERROR(INDEX(Plan!$B$5:$B$126,MATCH(H24,Plan!$A$5:$A$126,0)),"—")</f>
        <v/>
      </c>
      <c r="J24" s="7" t="inlineStr">
        <is>
          <t>24-sep: Sebas corrigió la llave en Vercel (confirmado el 25-sep).</t>
        </is>
      </c>
    </row>
    <row r="25">
      <c r="A25" s="19" t="inlineStr">
        <is>
          <t>P-61</t>
        </is>
      </c>
      <c r="B25" s="4" t="inlineStr">
        <is>
          <t>Configuración</t>
        </is>
      </c>
      <c r="C25" s="4" t="inlineStr">
        <is>
          <t>Resend</t>
        </is>
      </c>
      <c r="D25" s="7" t="inlineStr">
        <is>
          <t>Crear en Resend las plantillas de ingreso aceptado, crédito aprobado/rechazado y boleta del sorteo (ga-sorteo-boleta); confirmar el tope de 3 reenvíos de boleta al día</t>
        </is>
      </c>
      <c r="E25" s="7" t="inlineStr">
        <is>
          <t>Sebas</t>
        </is>
      </c>
      <c r="F25" s="8" t="inlineStr">
        <is>
          <t>Alta</t>
        </is>
      </c>
      <c r="G25" s="8" t="inlineStr">
        <is>
          <t>Hecho</t>
        </is>
      </c>
      <c r="H25" s="8" t="inlineStr">
        <is>
          <t>6.9</t>
        </is>
      </c>
      <c r="I25" s="21">
        <f>IFERROR(INDEX(Plan!$B$5:$B$126,MATCH(H25,Plan!$A$5:$A$126,0)),"—")</f>
        <v/>
      </c>
      <c r="J25" s="7" t="inlineStr">
        <is>
          <t>RESEND_API_KEY, EMAIL_FROM y RESEND_TEMPLATE_SORTEO_BOLETA ya son obligatorias para el build. 24-sep: el HTML de las 4 plantillas listo en docs/resend/. 25-sep: Sebas creó y publicó las 4 plantillas en Resend.</t>
        </is>
      </c>
    </row>
    <row r="26">
      <c r="A26" s="19" t="inlineStr">
        <is>
          <t>P-72</t>
        </is>
      </c>
      <c r="B26" s="4" t="inlineStr">
        <is>
          <t>Configuración</t>
        </is>
      </c>
      <c r="C26" s="4" t="inlineStr">
        <is>
          <t>Git</t>
        </is>
      </c>
      <c r="D26" s="7" t="inlineStr">
        <is>
          <t>Dar a Carlos acceso de colaborador al repo GitHub GreenAllianceCoo/PagGreenAlliance y compartirle el encargo (sin llaves de producción)</t>
        </is>
      </c>
      <c r="E26" s="7" t="inlineStr">
        <is>
          <t>Sebas</t>
        </is>
      </c>
      <c r="F26" s="8" t="inlineStr">
        <is>
          <t>Alta</t>
        </is>
      </c>
      <c r="G26" s="8" t="inlineStr">
        <is>
          <t>Hecho</t>
        </is>
      </c>
      <c r="H26" s="8" t="inlineStr">
        <is>
          <t>—</t>
        </is>
      </c>
      <c r="I26" s="21">
        <f>IFERROR(INDEX(Plan!$B$5:$B$126,MATCH(H26,Plan!$A$5:$A$126,0)),"—")</f>
        <v/>
      </c>
      <c r="J26"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7">
      <c r="A27" s="19" t="inlineStr">
        <is>
          <t>P-136</t>
        </is>
      </c>
      <c r="B27" s="4" t="inlineStr">
        <is>
          <t>Configuración</t>
        </is>
      </c>
      <c r="C27" s="4" t="inlineStr">
        <is>
          <t>Base de datos</t>
        </is>
      </c>
      <c r="D27" s="7" t="inlineStr">
        <is>
          <t>Borrar las 2 solicitudes de crédito de prueba (cuenta eliminada) en el SQL Editor</t>
        </is>
      </c>
      <c r="E27" s="7" t="inlineStr">
        <is>
          <t>Sebas</t>
        </is>
      </c>
      <c r="F27" s="8" t="inlineStr">
        <is>
          <t>Media</t>
        </is>
      </c>
      <c r="G27" s="8" t="inlineStr">
        <is>
          <t>Hecho</t>
        </is>
      </c>
      <c r="H27" s="8" t="inlineStr">
        <is>
          <t>6.37</t>
        </is>
      </c>
      <c r="I27" s="21">
        <f>IFERROR(INDEX(Plan!$B$5:$B$126,MATCH(H27,Plan!$A$5:$A$126,0)),"—")</f>
        <v/>
      </c>
      <c r="J27" s="7" t="inlineStr">
        <is>
          <t>08-oct: el sistema de permisos bloqueó el borrado desde el agente. 09-oct: Hecho por Sebas.</t>
        </is>
      </c>
    </row>
    <row r="28">
      <c r="A28" s="19" t="inlineStr">
        <is>
          <t>P-137</t>
        </is>
      </c>
      <c r="B28" s="4" t="inlineStr">
        <is>
          <t>Configuración</t>
        </is>
      </c>
      <c r="C28" s="4" t="inlineStr">
        <is>
          <t>Equipo</t>
        </is>
      </c>
      <c r="D28" s="7" t="inlineStr">
        <is>
          <t>Activar SVM en el BIOS (Docker) para volver a correr pgTAP y e2e</t>
        </is>
      </c>
      <c r="E28" s="7" t="inlineStr">
        <is>
          <t>Sebas</t>
        </is>
      </c>
      <c r="F28" s="8" t="inlineStr">
        <is>
          <t>Media</t>
        </is>
      </c>
      <c r="G28" s="8" t="inlineStr">
        <is>
          <t>Hecho</t>
        </is>
      </c>
      <c r="H28" s="8" t="inlineStr">
        <is>
          <t>6.38</t>
        </is>
      </c>
      <c r="I28" s="21">
        <f>IFERROR(INDEX(Plan!$B$5:$B$126,MATCH(H28,Plan!$A$5:$A$126,0)),"—")</f>
        <v/>
      </c>
      <c r="J28" s="7" t="inlineStr">
        <is>
          <t>08-oct: SVM quedó apagado tras pasar a Windows 11; pgTAP y e2e no corren. 09-oct: Hecho por Sebas.</t>
        </is>
      </c>
    </row>
    <row r="29">
      <c r="A29" s="19" t="inlineStr">
        <is>
          <t>P-21</t>
        </is>
      </c>
      <c r="B29" s="4" t="inlineStr">
        <is>
          <t>Configuración</t>
        </is>
      </c>
      <c r="C29" s="4" t="inlineStr">
        <is>
          <t>Resend</t>
        </is>
      </c>
      <c r="D29" s="7" t="inlineStr">
        <is>
          <t>(Cancelado) Revisar el límite de Resend (plan gratis ≈ 100 correos/día)</t>
        </is>
      </c>
      <c r="E29" s="7" t="inlineStr">
        <is>
          <t>Yo</t>
        </is>
      </c>
      <c r="F29" s="8" t="inlineStr">
        <is>
          <t>Media</t>
        </is>
      </c>
      <c r="G29" s="8" t="inlineStr">
        <is>
          <t>Hecho</t>
        </is>
      </c>
      <c r="H29" s="8" t="inlineStr">
        <is>
          <t>2.4</t>
        </is>
      </c>
      <c r="I29" s="21">
        <f>IFERROR(INDEX(Plan!$B$5:$B$126,MATCH(H29,Plan!$A$5:$A$126,0)),"—")</f>
        <v/>
      </c>
      <c r="J29" s="7" t="inlineStr">
        <is>
          <t>30-sep: con ~500 asociados el plan gratis se queda corto; confirmar plan. 30-sep: Sebas decide que el límite de Resend no es problema por ahora; se quita.</t>
        </is>
      </c>
    </row>
    <row r="30">
      <c r="A30" s="19" t="inlineStr">
        <is>
          <t>P-54</t>
        </is>
      </c>
      <c r="B30" s="4" t="inlineStr">
        <is>
          <t>Configuración</t>
        </is>
      </c>
      <c r="C30" s="4" t="inlineStr">
        <is>
          <t>Vercel</t>
        </is>
      </c>
      <c r="D30" s="7" t="inlineStr">
        <is>
          <t>Alerta en los logs de Vercel para limite_de_intentos_fallo y limite_secreto_faltante</t>
        </is>
      </c>
      <c r="E30" s="7" t="inlineStr">
        <is>
          <t>sesión principal</t>
        </is>
      </c>
      <c r="F30" s="8" t="inlineStr">
        <is>
          <t>Media</t>
        </is>
      </c>
      <c r="G30" s="8" t="inlineStr">
        <is>
          <t>Hecho</t>
        </is>
      </c>
      <c r="H30" s="8" t="inlineStr">
        <is>
          <t>6.12</t>
        </is>
      </c>
      <c r="I30" s="21">
        <f>IFERROR(INDEX(Plan!$B$5:$B$126,MATCH(H30,Plan!$A$5:$A$126,0)),"—")</f>
        <v/>
      </c>
      <c r="J30" s="7" t="inlineStr">
        <is>
          <t>Sugerido por ga-auditor-supabase en la auditoría de P-43. 09-oct: resuelto con la revisión diaria del límite en el cron (no con alerta de Vercel).</t>
        </is>
      </c>
    </row>
    <row r="31">
      <c r="A31" s="19" t="inlineStr">
        <is>
          <t>P-73</t>
        </is>
      </c>
      <c r="B31" s="4" t="inlineStr">
        <is>
          <t>Configuración</t>
        </is>
      </c>
      <c r="C31" s="4" t="inlineStr">
        <is>
          <t>Pagos</t>
        </is>
      </c>
      <c r="D31" s="7" t="inlineStr">
        <is>
          <t>Pagar a Carlos Pardo 150.000 COP (cierre del encargo; no sigue en el proyecto)</t>
        </is>
      </c>
      <c r="E31" s="7" t="inlineStr">
        <is>
          <t>Sebas</t>
        </is>
      </c>
      <c r="F31" s="8" t="inlineStr">
        <is>
          <t>Media</t>
        </is>
      </c>
      <c r="G31" s="8" t="inlineStr">
        <is>
          <t>Hecho</t>
        </is>
      </c>
      <c r="H31" s="8" t="inlineStr">
        <is>
          <t>—</t>
        </is>
      </c>
      <c r="I31" s="21">
        <f>IFERROR(INDEX(Plan!$B$5:$B$126,MATCH(H31,Plan!$A$5:$A$126,0)),"—")</f>
        <v/>
      </c>
      <c r="J31" s="7" t="inlineStr">
        <is>
          <t>Pago único por P-66 a P-71 (4.7, 4.8, 5.9, 5.10, 6.14, 6.15). Cada PR de Carlos lo revisa un agente ga-* antes de fusionarlo a develop. 01-oct: pagado por Sebas.</t>
        </is>
      </c>
    </row>
    <row r="32">
      <c r="A32" s="19" t="inlineStr">
        <is>
          <t>P-87</t>
        </is>
      </c>
      <c r="B32" s="4" t="inlineStr">
        <is>
          <t>Configuración</t>
        </is>
      </c>
      <c r="C32" s="4" t="inlineStr">
        <is>
          <t>Vercel</t>
        </is>
      </c>
      <c r="D32" s="7" t="inlineStr">
        <is>
          <t>M-02: greenallianceco.com a veces sirve 200 en vez de redirigir 308 a www</t>
        </is>
      </c>
      <c r="E32" s="7" t="inlineStr">
        <is>
          <t>Sebas</t>
        </is>
      </c>
      <c r="F32" s="8" t="inlineStr">
        <is>
          <t>Media</t>
        </is>
      </c>
      <c r="G32" s="8" t="inlineStr">
        <is>
          <t>Hecho</t>
        </is>
      </c>
      <c r="H32" s="8" t="inlineStr">
        <is>
          <t>6.4</t>
        </is>
      </c>
      <c r="I32" s="21">
        <f>IFERROR(INDEX(Plan!$B$5:$B$126,MATCH(H32,Plan!$A$5:$A$126,0)),"—")</f>
        <v/>
      </c>
      <c r="J32"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33">
      <c r="A33" s="19" t="inlineStr">
        <is>
          <t>P-55</t>
        </is>
      </c>
      <c r="B33" s="4" t="inlineStr">
        <is>
          <t>Configuración</t>
        </is>
      </c>
      <c r="C33" s="4" t="inlineStr">
        <is>
          <t>Base de datos</t>
        </is>
      </c>
      <c r="D33" s="7" t="inlineStr">
        <is>
          <t>Opcional: revocar la secuencia limites_intentos_id_seq a anon y authenticated</t>
        </is>
      </c>
      <c r="E33" s="7" t="inlineStr">
        <is>
          <t>Yo + ga-auditor-supabase</t>
        </is>
      </c>
      <c r="F33" s="8" t="inlineStr">
        <is>
          <t>Baja</t>
        </is>
      </c>
      <c r="G33" s="8" t="inlineStr">
        <is>
          <t>Hecho</t>
        </is>
      </c>
      <c r="H33" s="8" t="inlineStr">
        <is>
          <t>6.8</t>
        </is>
      </c>
      <c r="I33" s="21">
        <f>IFERROR(INDEX(Plan!$B$5:$B$126,MATCH(H33,Plan!$A$5:$A$126,0)),"—")</f>
        <v/>
      </c>
      <c r="J33" s="7" t="inlineStr">
        <is>
          <t>Sugerido por ga-auditor-supabase en la auditoría de P-43. 30-sep: revoke incluido en la migración 20261001000000 (pgTAP 20 en verde); falta aplicarla (6.23). 01-oct: aplicada en producción con 20261001000000.</t>
        </is>
      </c>
    </row>
    <row r="34">
      <c r="A34" s="19" t="inlineStr">
        <is>
          <t>P-56</t>
        </is>
      </c>
      <c r="B34" s="4" t="inlineStr">
        <is>
          <t>Funcionalidad</t>
        </is>
      </c>
      <c r="C34" s="4" t="inlineStr">
        <is>
          <t>/cuenta/solicitar</t>
        </is>
      </c>
      <c r="D34" s="7" t="inlineStr">
        <is>
          <t>Revisar el diseño de /cuenta/solicitar (sin maqueta; selector 50/100 como radios)</t>
        </is>
      </c>
      <c r="E34" s="7" t="inlineStr">
        <is>
          <t>ga-diseno-a-codigo</t>
        </is>
      </c>
      <c r="F34" s="8" t="inlineStr">
        <is>
          <t>Media</t>
        </is>
      </c>
      <c r="G34" s="8" t="inlineStr">
        <is>
          <t>Pendiente</t>
        </is>
      </c>
      <c r="H34" s="8" t="inlineStr">
        <is>
          <t>5.6</t>
        </is>
      </c>
      <c r="I34" s="21">
        <f>IFERROR(INDEX(Plan!$B$5:$B$126,MATCH(H34,Plan!$A$5:$A$126,0)),"—")</f>
        <v/>
      </c>
      <c r="J34" s="7" t="inlineStr">
        <is>
          <t>Pedido por ga-funcionalidad-botones el 23-sep.</t>
        </is>
      </c>
    </row>
    <row r="35">
      <c r="A35" s="19" t="inlineStr">
        <is>
          <t>P-22</t>
        </is>
      </c>
      <c r="B35" s="4" t="inlineStr">
        <is>
          <t>Funcionalidad</t>
        </is>
      </c>
      <c r="C35" s="4" t="inlineStr">
        <is>
          <t>/ingresar</t>
        </is>
      </c>
      <c r="D35" s="7" t="inlineStr">
        <is>
          <t>Server Action: correo_por_cedula(), signInWithOtp, cookie firmada, ir a /ingresar/codigo</t>
        </is>
      </c>
      <c r="E35" s="7" t="inlineStr">
        <is>
          <t>ga-funcionalidad-botones</t>
        </is>
      </c>
      <c r="F35" s="8" t="inlineStr">
        <is>
          <t>Alta</t>
        </is>
      </c>
      <c r="G35" s="8" t="inlineStr">
        <is>
          <t>Hecho</t>
        </is>
      </c>
      <c r="H35" s="8" t="inlineStr">
        <is>
          <t>2.5</t>
        </is>
      </c>
      <c r="I35" s="21">
        <f>IFERROR(INDEX(Plan!$B$5:$B$126,MATCH(H35,Plan!$A$5:$A$126,0)),"—")</f>
        <v/>
      </c>
      <c r="J35" s="7" t="inlineStr"/>
    </row>
    <row r="36">
      <c r="A36" s="19" t="inlineStr">
        <is>
          <t>P-24</t>
        </is>
      </c>
      <c r="B36" s="4" t="inlineStr">
        <is>
          <t>Funcionalidad</t>
        </is>
      </c>
      <c r="C36" s="4" t="inlineStr">
        <is>
          <t>/ingresar/codigo</t>
        </is>
      </c>
      <c r="D36" s="7" t="inlineStr">
        <is>
          <t>Leer la cookie del paso 1; sin cookie, volver a /ingresar</t>
        </is>
      </c>
      <c r="E36" s="7" t="inlineStr">
        <is>
          <t>ga-funcionalidad-botones</t>
        </is>
      </c>
      <c r="F36" s="8" t="inlineStr">
        <is>
          <t>Alta</t>
        </is>
      </c>
      <c r="G36" s="8" t="inlineStr">
        <is>
          <t>Hecho</t>
        </is>
      </c>
      <c r="H36" s="8" t="inlineStr">
        <is>
          <t>2.6</t>
        </is>
      </c>
      <c r="I36" s="21">
        <f>IFERROR(INDEX(Plan!$B$5:$B$126,MATCH(H36,Plan!$A$5:$A$126,0)),"—")</f>
        <v/>
      </c>
      <c r="J36" s="7" t="inlineStr"/>
    </row>
    <row r="37">
      <c r="A37" s="19" t="inlineStr">
        <is>
          <t>P-25</t>
        </is>
      </c>
      <c r="B37" s="4" t="inlineStr">
        <is>
          <t>Funcionalidad</t>
        </is>
      </c>
      <c r="C37" s="4" t="inlineStr">
        <is>
          <t>/ingresar/codigo</t>
        </is>
      </c>
      <c r="D37" s="7" t="inlineStr">
        <is>
          <t>verifyOtp y entrar a /cuenta</t>
        </is>
      </c>
      <c r="E37" s="7" t="inlineStr">
        <is>
          <t>ga-funcionalidad-botones</t>
        </is>
      </c>
      <c r="F37" s="8" t="inlineStr">
        <is>
          <t>Alta</t>
        </is>
      </c>
      <c r="G37" s="8" t="inlineStr">
        <is>
          <t>Hecho</t>
        </is>
      </c>
      <c r="H37" s="8" t="inlineStr">
        <is>
          <t>2.6</t>
        </is>
      </c>
      <c r="I37" s="21">
        <f>IFERROR(INDEX(Plan!$B$5:$B$126,MATCH(H37,Plan!$A$5:$A$126,0)),"—")</f>
        <v/>
      </c>
      <c r="J37" s="7" t="inlineStr"/>
    </row>
    <row r="38">
      <c r="A38" s="19" t="inlineStr">
        <is>
          <t>P-28</t>
        </is>
      </c>
      <c r="B38" s="4" t="inlineStr">
        <is>
          <t>Funcionalidad</t>
        </is>
      </c>
      <c r="C38" s="4" t="inlineStr">
        <is>
          <t>/afiliacion</t>
        </is>
      </c>
      <c r="D38" s="7" t="inlineStr">
        <is>
          <t>Server Action: zod, límites por IP y cédula, guardar</t>
        </is>
      </c>
      <c r="E38" s="7" t="inlineStr">
        <is>
          <t>ga-funcionalidad-botones</t>
        </is>
      </c>
      <c r="F38" s="8" t="inlineStr">
        <is>
          <t>Alta</t>
        </is>
      </c>
      <c r="G38" s="8" t="inlineStr">
        <is>
          <t>Hecho</t>
        </is>
      </c>
      <c r="H38" s="8" t="inlineStr">
        <is>
          <t>2.9</t>
        </is>
      </c>
      <c r="I38" s="21">
        <f>IFERROR(INDEX(Plan!$B$5:$B$126,MATCH(H38,Plan!$A$5:$A$126,0)),"—")</f>
        <v/>
      </c>
      <c r="J38" s="7" t="inlineStr">
        <is>
          <t>23-sep: se quitaron los correos al equipo y al solicitante (decisión de Sebas). El equipo revisa las afiliaciones en Supabase hasta que exista el panel /admin; el correo «Ingreso aceptado» sale al aprobar (P-51).</t>
        </is>
      </c>
    </row>
    <row r="39">
      <c r="A39" s="19" t="inlineStr">
        <is>
          <t>P-31</t>
        </is>
      </c>
      <c r="B39" s="4" t="inlineStr">
        <is>
          <t>Funcionalidad</t>
        </is>
      </c>
      <c r="C39" s="4" t="inlineStr">
        <is>
          <t>/cuenta</t>
        </is>
      </c>
      <c r="D39" s="7" t="inlineStr">
        <is>
          <t>Proteger con proxy.ts y «Salir» con signOut</t>
        </is>
      </c>
      <c r="E39" s="7" t="inlineStr">
        <is>
          <t>ga-funcionalidad-botones</t>
        </is>
      </c>
      <c r="F39" s="8" t="inlineStr">
        <is>
          <t>Alta</t>
        </is>
      </c>
      <c r="G39" s="8" t="inlineStr">
        <is>
          <t>Hecho</t>
        </is>
      </c>
      <c r="H39" s="8" t="inlineStr">
        <is>
          <t>2.7</t>
        </is>
      </c>
      <c r="I39" s="21">
        <f>IFERROR(INDEX(Plan!$B$5:$B$126,MATCH(H39,Plan!$A$5:$A$126,0)),"—")</f>
        <v/>
      </c>
      <c r="J39" s="7" t="inlineStr"/>
    </row>
    <row r="40">
      <c r="A40" s="19" t="inlineStr">
        <is>
          <t>P-32</t>
        </is>
      </c>
      <c r="B40" s="4" t="inlineStr">
        <is>
          <t>Funcionalidad</t>
        </is>
      </c>
      <c r="C40" s="4" t="inlineStr">
        <is>
          <t>/cuenta</t>
        </is>
      </c>
      <c r="D40" s="7" t="inlineStr">
        <is>
          <t>Cargar perfil, última solicitud (con tasa), tope y convenios</t>
        </is>
      </c>
      <c r="E40" s="7" t="inlineStr">
        <is>
          <t>ga-funcionalidad-botones</t>
        </is>
      </c>
      <c r="F40" s="8" t="inlineStr">
        <is>
          <t>Alta</t>
        </is>
      </c>
      <c r="G40" s="8" t="inlineStr">
        <is>
          <t>Hecho</t>
        </is>
      </c>
      <c r="H40" s="8" t="inlineStr">
        <is>
          <t>3.5</t>
        </is>
      </c>
      <c r="I40" s="21">
        <f>IFERROR(INDEX(Plan!$B$5:$B$126,MATCH(H40,Plan!$A$5:$A$126,0)),"—")</f>
        <v/>
      </c>
      <c r="J40" s="7" t="inlineStr"/>
    </row>
    <row r="41">
      <c r="A41" s="19" t="inlineStr">
        <is>
          <t>P-35</t>
        </is>
      </c>
      <c r="B41" s="4" t="inlineStr">
        <is>
          <t>Funcionalidad</t>
        </is>
      </c>
      <c r="C41" s="4" t="inlineStr">
        <is>
          <t>Crédito</t>
        </is>
      </c>
      <c r="D41" s="7" t="inlineStr">
        <is>
          <t>Conectar el formulario de crédito a /cuenta</t>
        </is>
      </c>
      <c r="E41" s="7" t="inlineStr">
        <is>
          <t>ga-funcionalidad-botones</t>
        </is>
      </c>
      <c r="F41" s="8" t="inlineStr">
        <is>
          <t>Alta</t>
        </is>
      </c>
      <c r="G41" s="8" t="inlineStr">
        <is>
          <t>Hecho</t>
        </is>
      </c>
      <c r="H41" s="8" t="inlineStr">
        <is>
          <t>3.7</t>
        </is>
      </c>
      <c r="I41" s="21">
        <f>IFERROR(INDEX(Plan!$B$5:$B$126,MATCH(H41,Plan!$A$5:$A$126,0)),"—")</f>
        <v/>
      </c>
      <c r="J41" s="7" t="inlineStr">
        <is>
          <t>23-sep: el formulario vive en /cuenta/solicitar (protegida por proxy.ts, encabezado compartido EncabezadoCuenta); «Nueva solicitud» lleva ahí.</t>
        </is>
      </c>
    </row>
    <row r="42">
      <c r="A42" s="19" t="inlineStr">
        <is>
          <t>P-36</t>
        </is>
      </c>
      <c r="B42" s="4" t="inlineStr">
        <is>
          <t>Funcionalidad</t>
        </is>
      </c>
      <c r="C42" s="4" t="inlineStr">
        <is>
          <t>Admin</t>
        </is>
      </c>
      <c r="D42" s="7" t="inlineStr">
        <is>
          <t>Panel /admin: listado, aprobar y rechazar con motivo</t>
        </is>
      </c>
      <c r="E42" s="7" t="inlineStr">
        <is>
          <t>ga-funcionalidad-botones</t>
        </is>
      </c>
      <c r="F42" s="8" t="inlineStr">
        <is>
          <t>Alta</t>
        </is>
      </c>
      <c r="G42" s="8" t="inlineStr">
        <is>
          <t>Hecho</t>
        </is>
      </c>
      <c r="H42" s="8" t="inlineStr">
        <is>
          <t>4.1</t>
        </is>
      </c>
      <c r="I42" s="21">
        <f>IFERROR(INDEX(Plan!$B$5:$B$126,MATCH(H42,Plan!$A$5:$A$126,0)),"—")</f>
        <v/>
      </c>
      <c r="J42" s="7" t="inlineStr">
        <is>
          <t>24-sep: implementado y probado en local (commits 235ffbe, a13c2de). Un admin no puede resolver su propia solicitud.</t>
        </is>
      </c>
    </row>
    <row r="43">
      <c r="A43" s="19" t="inlineStr">
        <is>
          <t>P-37</t>
        </is>
      </c>
      <c r="B43" s="4" t="inlineStr">
        <is>
          <t>Funcionalidad</t>
        </is>
      </c>
      <c r="C43" s="4" t="inlineStr">
        <is>
          <t>Correos</t>
        </is>
      </c>
      <c r="D43" s="7" t="inlineStr">
        <is>
          <t>Correo «Resultado del crédito» (aprobado / no aprobado) al asociado al resolver una solicitud</t>
        </is>
      </c>
      <c r="E43" s="7" t="inlineStr">
        <is>
          <t>ga-funcionalidad-botones</t>
        </is>
      </c>
      <c r="F43" s="8" t="inlineStr">
        <is>
          <t>Alta</t>
        </is>
      </c>
      <c r="G43" s="8" t="inlineStr">
        <is>
          <t>Hecho</t>
        </is>
      </c>
      <c r="H43" s="8" t="inlineStr">
        <is>
          <t>4.3</t>
        </is>
      </c>
      <c r="I43" s="21">
        <f>IFERROR(INDEX(Plan!$B$5:$B$126,MATCH(H43,Plan!$A$5:$A$126,0)),"—")</f>
        <v/>
      </c>
      <c r="J43" s="7" t="inlineStr">
        <is>
          <t>24-sep: enviarResultadoCredito ya está conectado al aprobar/rechazar en /admin (probado en local); falta que Sebas configure el SMTP/Resend de producción (2.4) para que salga de verdad.</t>
        </is>
      </c>
    </row>
    <row r="44">
      <c r="A44" s="19" t="inlineStr">
        <is>
          <t>P-38</t>
        </is>
      </c>
      <c r="B44" s="4" t="inlineStr">
        <is>
          <t>Funcionalidad</t>
        </is>
      </c>
      <c r="C44" s="4" t="inlineStr">
        <is>
          <t>Asociados</t>
        </is>
      </c>
      <c r="D44" s="7" t="inlineStr">
        <is>
          <t>Importación de asociados desde Excel</t>
        </is>
      </c>
      <c r="E44" s="7" t="inlineStr">
        <is>
          <t>ga-funcionalidad-botones</t>
        </is>
      </c>
      <c r="F44" s="8" t="inlineStr">
        <is>
          <t>Alta</t>
        </is>
      </c>
      <c r="G44" s="8" t="inlineStr">
        <is>
          <t>Hecho</t>
        </is>
      </c>
      <c r="H44" s="8" t="inlineStr">
        <is>
          <t>4.4</t>
        </is>
      </c>
      <c r="I44" s="21">
        <f>IFERROR(INDEX(Plan!$B$5:$B$126,MATCH(H44,Plan!$A$5:$A$126,0)),"—")</f>
        <v/>
      </c>
      <c r="J44" s="7" t="inlineStr">
        <is>
          <t>Ya no aplica: decisión de la cooperativa 2026-09-24, no habrá importación de Excel.</t>
        </is>
      </c>
    </row>
    <row r="45">
      <c r="A45" s="19" t="inlineStr">
        <is>
          <t>P-51</t>
        </is>
      </c>
      <c r="B45" s="4" t="inlineStr">
        <is>
          <t>Funcionalidad</t>
        </is>
      </c>
      <c r="C45" s="4" t="inlineStr">
        <is>
          <t>Correos</t>
        </is>
      </c>
      <c r="D45" s="7" t="inlineStr">
        <is>
          <t>Correo «Ingreso aceptado» (plantilla ga-ingreso-aceptado): acción del admin que aprueba la afiliación, crea el usuario y envía el correo</t>
        </is>
      </c>
      <c r="E45" s="7" t="inlineStr">
        <is>
          <t>ga-funcionalidad-botones</t>
        </is>
      </c>
      <c r="F45" s="8" t="inlineStr">
        <is>
          <t>Alta</t>
        </is>
      </c>
      <c r="G45" s="8" t="inlineStr">
        <is>
          <t>Hecho</t>
        </is>
      </c>
      <c r="H45" s="8" t="inlineStr">
        <is>
          <t>4.5</t>
        </is>
      </c>
      <c r="I45" s="21">
        <f>IFERROR(INDEX(Plan!$B$5:$B$126,MATCH(H45,Plan!$A$5:$A$126,0)),"—")</f>
        <v/>
      </c>
      <c r="J45" s="7" t="inlineStr">
        <is>
          <t>01-oct: verificado en el código: aprobarAfiliacion (app/admin/afiliaciones/actions.ts) crea el usuario y envía enviarIngresoAceptado (lib/correo/ingreso.ts).</t>
        </is>
      </c>
    </row>
    <row r="46">
      <c r="A46" s="19" t="inlineStr">
        <is>
          <t>P-66</t>
        </is>
      </c>
      <c r="B46" s="4" t="inlineStr">
        <is>
          <t>Funcionalidad</t>
        </is>
      </c>
      <c r="C46" s="4" t="inlineStr">
        <is>
          <t>Admin</t>
        </is>
      </c>
      <c r="D46" s="7" t="inlineStr">
        <is>
          <t>Dashboard de clientes en /admin: métricas (asociados por grado/institución, afiliaciones y créditos pendientes, montos del mes, inscritos al sorteo), lista con buscador/filtros, detalle de cliente y reasignar asesor</t>
        </is>
      </c>
      <c r="E46" s="7" t="inlineStr">
        <is>
          <t>Carlos Pardo</t>
        </is>
      </c>
      <c r="F46" s="8" t="inlineStr">
        <is>
          <t>Alta</t>
        </is>
      </c>
      <c r="G46" s="8" t="inlineStr">
        <is>
          <t>Hecho</t>
        </is>
      </c>
      <c r="H46" s="8" t="inlineStr">
        <is>
          <t>4.7</t>
        </is>
      </c>
      <c r="I46" s="21">
        <f>IFERROR(INDEX(Plan!$B$5:$B$126,MATCH(H46,Plan!$A$5:$A$126,0)),"—")</f>
        <v/>
      </c>
      <c r="J46"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47">
      <c r="A47" s="19" t="inlineStr">
        <is>
          <t>P-67</t>
        </is>
      </c>
      <c r="B47" s="4" t="inlineStr">
        <is>
          <t>Funcionalidad</t>
        </is>
      </c>
      <c r="C47" s="4" t="inlineStr">
        <is>
          <t>Asesor</t>
        </is>
      </c>
      <c r="D47" s="7" t="inlineStr">
        <is>
          <t>Dashboard del asesor en /asesor: métricas de sus clientes y detalle de cliente sin celular, correo, Nequi ni fotos</t>
        </is>
      </c>
      <c r="E47" s="7" t="inlineStr">
        <is>
          <t>Carlos Pardo</t>
        </is>
      </c>
      <c r="F47" s="8" t="inlineStr">
        <is>
          <t>Alta</t>
        </is>
      </c>
      <c r="G47" s="8" t="inlineStr">
        <is>
          <t>Hecho</t>
        </is>
      </c>
      <c r="H47" s="8" t="inlineStr">
        <is>
          <t>4.8</t>
        </is>
      </c>
      <c r="I47" s="21">
        <f>IFERROR(INDEX(Plan!$B$5:$B$126,MATCH(H47,Plan!$A$5:$A$126,0)),"—")</f>
        <v/>
      </c>
      <c r="J47" s="7" t="inlineStr">
        <is>
          <t>Encargo externo (500.000 COP) por PR a develop. Ver P-73. 30-sep: Carlos salió; pasa a ga-funcionalidad-botones. 01-oct: verificado en el código y cerrado con 4.8 (/asesor con métricas; el loader no selecciona celular, correo, Nequi ni fotos).</t>
        </is>
      </c>
    </row>
    <row r="48">
      <c r="A48" s="19" t="inlineStr">
        <is>
          <t>P-69</t>
        </is>
      </c>
      <c r="B48" s="4" t="inlineStr">
        <is>
          <t>Funcionalidad</t>
        </is>
      </c>
      <c r="C48" s="4" t="inlineStr">
        <is>
          <t>Legal</t>
        </is>
      </c>
      <c r="D48" s="7" t="inlineStr">
        <is>
          <t>Ley 1581: borrado automático de fotos de afiliaciones rechazadas tras X días y motivo de rechazo en /admin</t>
        </is>
      </c>
      <c r="E48" s="7" t="inlineStr">
        <is>
          <t>Carlos Pardo</t>
        </is>
      </c>
      <c r="F48" s="8" t="inlineStr">
        <is>
          <t>Alta</t>
        </is>
      </c>
      <c r="G48" s="8" t="inlineStr">
        <is>
          <t>Hecho</t>
        </is>
      </c>
      <c r="H48" s="8" t="inlineStr">
        <is>
          <t>5.10</t>
        </is>
      </c>
      <c r="I48" s="21">
        <f>IFERROR(INDEX(Plan!$B$5:$B$126,MATCH(H48,Plan!$A$5:$A$126,0)),"—")</f>
        <v/>
      </c>
      <c r="J48"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9">
      <c r="A49" s="19" t="inlineStr">
        <is>
          <t>P-85</t>
        </is>
      </c>
      <c r="B49" s="4" t="inlineStr">
        <is>
          <t>Funcionalidad</t>
        </is>
      </c>
      <c r="C49" s="4" t="inlineStr">
        <is>
          <t>/afiliacion</t>
        </is>
      </c>
      <c r="D49" s="7" t="inlineStr">
        <is>
          <t>Correo de afiliación acepta cualquier dominio (ya no exige @policia.gov.co / @ejercito.mil.co)</t>
        </is>
      </c>
      <c r="E49" s="7" t="inlineStr">
        <is>
          <t>sesión principal</t>
        </is>
      </c>
      <c r="F49" s="8" t="inlineStr">
        <is>
          <t>Alta</t>
        </is>
      </c>
      <c r="G49" s="8" t="inlineStr">
        <is>
          <t>Hecho</t>
        </is>
      </c>
      <c r="H49" s="8" t="inlineStr">
        <is>
          <t>2.12</t>
        </is>
      </c>
      <c r="I49" s="21">
        <f>IFERROR(INDEX(Plan!$B$5:$B$126,MATCH(H49,Plan!$A$5:$A$126,0)),"—")</f>
        <v/>
      </c>
      <c r="J49"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50">
      <c r="A50" s="19" t="inlineStr">
        <is>
          <t>P-112</t>
        </is>
      </c>
      <c r="B50" s="4" t="inlineStr">
        <is>
          <t>Funcionalidad</t>
        </is>
      </c>
      <c r="C50" s="4" t="inlineStr">
        <is>
          <t>Pruebas</t>
        </is>
      </c>
      <c r="D50" s="7" t="inlineStr">
        <is>
          <t>Agregar admin_metricas_dashboard y asesor_metricas_dashboard a las listas blancas de security definer (pgTAP 00 #14 y 15 #24)</t>
        </is>
      </c>
      <c r="E50" s="7" t="inlineStr">
        <is>
          <t>ga-escritor-tests</t>
        </is>
      </c>
      <c r="F50" s="8" t="inlineStr">
        <is>
          <t>Media</t>
        </is>
      </c>
      <c r="G50" s="8" t="inlineStr">
        <is>
          <t>Hecho</t>
        </is>
      </c>
      <c r="H50" s="8" t="inlineStr">
        <is>
          <t>6.21</t>
        </is>
      </c>
      <c r="I50" s="21">
        <f>IFERROR(INDEX(Plan!$B$5:$B$126,MATCH(H50,Plan!$A$5:$A$126,0)),"—")</f>
        <v/>
      </c>
      <c r="J50" s="7" t="inlineStr">
        <is>
          <t>30-sep: reportado por ga-auditor-supabase. 01-oct: listas blancas de 00 y 15 actualizadas por ga-auditor-supabase (falta correrlas: Docker).</t>
        </is>
      </c>
    </row>
    <row r="51">
      <c r="A51" s="19" t="inlineStr">
        <is>
          <t>P-23</t>
        </is>
      </c>
      <c r="B51" s="4" t="inlineStr">
        <is>
          <t>Funcionalidad</t>
        </is>
      </c>
      <c r="C51" s="4" t="inlineStr">
        <is>
          <t>/ingresar</t>
        </is>
      </c>
      <c r="D51" s="7" t="inlineStr">
        <is>
          <t>Estado «Enviando…» (prop cargando) y errores (prop error)</t>
        </is>
      </c>
      <c r="E51" s="7" t="inlineStr">
        <is>
          <t>ga-funcionalidad-botones</t>
        </is>
      </c>
      <c r="F51" s="8" t="inlineStr">
        <is>
          <t>Media</t>
        </is>
      </c>
      <c r="G51" s="8" t="inlineStr">
        <is>
          <t>Hecho</t>
        </is>
      </c>
      <c r="H51" s="8" t="inlineStr">
        <is>
          <t>2.5</t>
        </is>
      </c>
      <c r="I51" s="21">
        <f>IFERROR(INDEX(Plan!$B$5:$B$126,MATCH(H51,Plan!$A$5:$A$126,0)),"—")</f>
        <v/>
      </c>
      <c r="J51" s="7" t="inlineStr"/>
    </row>
    <row r="52">
      <c r="A52" s="19" t="inlineStr">
        <is>
          <t>P-26</t>
        </is>
      </c>
      <c r="B52" s="4" t="inlineStr">
        <is>
          <t>Funcionalidad</t>
        </is>
      </c>
      <c r="C52" s="4" t="inlineStr">
        <is>
          <t>/ingresar/codigo</t>
        </is>
      </c>
      <c r="D52" s="7" t="inlineStr">
        <is>
          <t>Casillas OTP: avance automático, Backspace, pegar; «Entrar» con 6 dígitos</t>
        </is>
      </c>
      <c r="E52" s="7" t="inlineStr">
        <is>
          <t>ga-funcionalidad-botones</t>
        </is>
      </c>
      <c r="F52" s="8" t="inlineStr">
        <is>
          <t>Media</t>
        </is>
      </c>
      <c r="G52" s="8" t="inlineStr">
        <is>
          <t>Hecho</t>
        </is>
      </c>
      <c r="H52" s="8" t="inlineStr">
        <is>
          <t>2.6</t>
        </is>
      </c>
      <c r="I52" s="21">
        <f>IFERROR(INDEX(Plan!$B$5:$B$126,MATCH(H52,Plan!$A$5:$A$126,0)),"—")</f>
        <v/>
      </c>
      <c r="J52" s="7" t="inlineStr"/>
    </row>
    <row r="53">
      <c r="A53" s="19" t="inlineStr">
        <is>
          <t>P-27</t>
        </is>
      </c>
      <c r="B53" s="4" t="inlineStr">
        <is>
          <t>Funcionalidad</t>
        </is>
      </c>
      <c r="C53" s="4" t="inlineStr">
        <is>
          <t>/ingresar/codigo</t>
        </is>
      </c>
      <c r="D53" s="7" t="inlineStr">
        <is>
          <t>«Reenviar código» con contador de 45 s; «Cambiar cédula» limpia la cookie</t>
        </is>
      </c>
      <c r="E53" s="7" t="inlineStr">
        <is>
          <t>ga-funcionalidad-botones</t>
        </is>
      </c>
      <c r="F53" s="8" t="inlineStr">
        <is>
          <t>Media</t>
        </is>
      </c>
      <c r="G53" s="8" t="inlineStr">
        <is>
          <t>Hecho</t>
        </is>
      </c>
      <c r="H53" s="8" t="inlineStr">
        <is>
          <t>2.6</t>
        </is>
      </c>
      <c r="I53" s="21">
        <f>IFERROR(INDEX(Plan!$B$5:$B$126,MATCH(H53,Plan!$A$5:$A$126,0)),"—")</f>
        <v/>
      </c>
      <c r="J53" s="7" t="inlineStr"/>
    </row>
    <row r="54">
      <c r="A54" s="19" t="inlineStr">
        <is>
          <t>P-29</t>
        </is>
      </c>
      <c r="B54" s="4" t="inlineStr">
        <is>
          <t>Funcionalidad</t>
        </is>
      </c>
      <c r="C54" s="4" t="inlineStr">
        <is>
          <t>/afiliacion</t>
        </is>
      </c>
      <c r="D54" s="7" t="inlineStr">
        <is>
          <t>Grados desde grados_credito, honeypot, errores y estado de carga</t>
        </is>
      </c>
      <c r="E54" s="7" t="inlineStr">
        <is>
          <t>ga-funcionalidad-botones</t>
        </is>
      </c>
      <c r="F54" s="8" t="inlineStr">
        <is>
          <t>Media</t>
        </is>
      </c>
      <c r="G54" s="8" t="inlineStr">
        <is>
          <t>Hecho</t>
        </is>
      </c>
      <c r="H54" s="8" t="inlineStr">
        <is>
          <t>2.9</t>
        </is>
      </c>
      <c r="I54" s="21">
        <f>IFERROR(INDEX(Plan!$B$5:$B$126,MATCH(H54,Plan!$A$5:$A$126,0)),"—")</f>
        <v/>
      </c>
      <c r="J54" s="7" t="inlineStr"/>
    </row>
    <row r="55">
      <c r="A55" s="19" t="inlineStr">
        <is>
          <t>P-33</t>
        </is>
      </c>
      <c r="B55" s="4" t="inlineStr">
        <is>
          <t>Funcionalidad</t>
        </is>
      </c>
      <c r="C55" s="4" t="inlineStr">
        <is>
          <t>/cuenta</t>
        </is>
      </c>
      <c r="D55" s="7" t="inlineStr">
        <is>
          <t>«Mis datos»: actualizar solo perfiles.telefono</t>
        </is>
      </c>
      <c r="E55" s="7" t="inlineStr">
        <is>
          <t>ga-funcionalidad-botones</t>
        </is>
      </c>
      <c r="F55" s="8" t="inlineStr">
        <is>
          <t>Media</t>
        </is>
      </c>
      <c r="G55" s="8" t="inlineStr">
        <is>
          <t>Hecho</t>
        </is>
      </c>
      <c r="H55" s="8" t="inlineStr">
        <is>
          <t>3.6</t>
        </is>
      </c>
      <c r="I55" s="21">
        <f>IFERROR(INDEX(Plan!$B$5:$B$126,MATCH(H55,Plan!$A$5:$A$126,0)),"—")</f>
        <v/>
      </c>
      <c r="J55" s="7" t="inlineStr">
        <is>
          <t>Con error, alinear «Guardar» con el campo desde 640 px.</t>
        </is>
      </c>
    </row>
    <row r="56">
      <c r="A56" s="19" t="inlineStr">
        <is>
          <t>P-48</t>
        </is>
      </c>
      <c r="B56" s="4" t="inlineStr">
        <is>
          <t>Funcionalidad</t>
        </is>
      </c>
      <c r="C56" s="4" t="inlineStr">
        <is>
          <t>/afiliacion</t>
        </is>
      </c>
      <c r="D56" s="7" t="inlineStr">
        <is>
          <t>F-01: el select «Grado» se vacía tras un error de validación</t>
        </is>
      </c>
      <c r="E56" s="7" t="inlineStr">
        <is>
          <t>ga-funcionalidad-botones</t>
        </is>
      </c>
      <c r="F56" s="8" t="inlineStr">
        <is>
          <t>Media</t>
        </is>
      </c>
      <c r="G56" s="8" t="inlineStr">
        <is>
          <t>Hecho</t>
        </is>
      </c>
      <c r="H56" s="8" t="inlineStr">
        <is>
          <t>2.11</t>
        </is>
      </c>
      <c r="I56" s="21">
        <f>IFERROR(INDEX(Plan!$B$5:$B$126,MATCH(H56,Plan!$A$5:$A$126,0)),"—")</f>
        <v/>
      </c>
      <c r="J56" s="7" t="inlineStr">
        <is>
          <t>Falla media de la verificación QA 1 (docs/verificaciones/2026-09-23-verificacion-1.md). 01-oct: corregido (formulario se rehace con key; conserva Institución/Grado).</t>
        </is>
      </c>
    </row>
    <row r="57">
      <c r="A57" s="19" t="inlineStr">
        <is>
          <t>P-57</t>
        </is>
      </c>
      <c r="B57" s="4" t="inlineStr">
        <is>
          <t>Funcionalidad</t>
        </is>
      </c>
      <c r="C57" s="4" t="inlineStr">
        <is>
          <t>/asesor</t>
        </is>
      </c>
      <c r="D57" s="7" t="inlineStr">
        <is>
          <t>Agregar /asesor al matcher de proxy.ts y redirigir por rol tras el login</t>
        </is>
      </c>
      <c r="E57" s="7" t="inlineStr">
        <is>
          <t>ga-funcionalidad-botones</t>
        </is>
      </c>
      <c r="F57" s="8" t="inlineStr">
        <is>
          <t>Media</t>
        </is>
      </c>
      <c r="G57" s="8" t="inlineStr">
        <is>
          <t>Hecho</t>
        </is>
      </c>
      <c r="H57" s="8" t="inlineStr">
        <is>
          <t>4.6</t>
        </is>
      </c>
      <c r="I57" s="21">
        <f>IFERROR(INDEX(Plan!$B$5:$B$126,MATCH(H57,Plan!$A$5:$A$126,0)),"—")</f>
        <v/>
      </c>
      <c r="J57" s="7" t="inlineStr">
        <is>
          <t>01-oct: verificado en el código: /asesor en el matcher de proxy.ts y redirección por rol en app/ingresar/actions.ts.</t>
        </is>
      </c>
    </row>
    <row r="58">
      <c r="A58" s="19" t="inlineStr">
        <is>
          <t>P-68</t>
        </is>
      </c>
      <c r="B58" s="4" t="inlineStr">
        <is>
          <t>Funcionalidad</t>
        </is>
      </c>
      <c r="C58" s="4" t="inlineStr">
        <is>
          <t>Convenios</t>
        </is>
      </c>
      <c r="D58" s="7" t="inlineStr">
        <is>
          <t>Convenios administrables desde /admin (crear, editar, ocultar, ordenar, logo en Storage); landing y /cuenta leen de la tabla convenios</t>
        </is>
      </c>
      <c r="E58" s="7" t="inlineStr">
        <is>
          <t>Carlos Pardo</t>
        </is>
      </c>
      <c r="F58" s="8" t="inlineStr">
        <is>
          <t>Media</t>
        </is>
      </c>
      <c r="G58" s="8" t="inlineStr">
        <is>
          <t>Hecho</t>
        </is>
      </c>
      <c r="H58" s="8" t="inlineStr">
        <is>
          <t>5.9</t>
        </is>
      </c>
      <c r="I58" s="21">
        <f>IFERROR(INDEX(Plan!$B$5:$B$126,MATCH(H58,Plan!$A$5:$A$126,0)),"—")</f>
        <v/>
      </c>
      <c r="J58" s="7" t="inlineStr">
        <is>
          <t>Encargo externo (500.000 COP) por PR a develop. Ver P-73. 30-sep: Carlos salió; pasa a ga-funcionalidad-botones. 01-oct: hecho por agentes (5.9); falta aplicar 20261002000000 (P-114).</t>
        </is>
      </c>
    </row>
    <row r="59">
      <c r="A59" s="19" t="inlineStr">
        <is>
          <t>P-74</t>
        </is>
      </c>
      <c r="B59" s="4" t="inlineStr">
        <is>
          <t>Funcionalidad</t>
        </is>
      </c>
      <c r="C59" s="4" t="inlineStr">
        <is>
          <t>/afiliacion</t>
        </is>
      </c>
      <c r="D59" s="7" t="inlineStr">
        <is>
          <t>Bug: esquemaAfiliacion no valida el cruce institución↔correo institucional si falla cualquier otro campo del formulario</t>
        </is>
      </c>
      <c r="E59" s="7" t="inlineStr">
        <is>
          <t>ga-funcionalidad-botones</t>
        </is>
      </c>
      <c r="F59" s="8" t="inlineStr">
        <is>
          <t>Media</t>
        </is>
      </c>
      <c r="G59" s="8" t="inlineStr">
        <is>
          <t>Hecho</t>
        </is>
      </c>
      <c r="H59" s="8" t="inlineStr">
        <is>
          <t>2.13</t>
        </is>
      </c>
      <c r="I59" s="21">
        <f>IFERROR(INDEX(Plan!$B$5:$B$126,MATCH(H59,Plan!$A$5:$A$126,0)),"—")</f>
        <v/>
      </c>
      <c r="J59"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60">
      <c r="A60" s="19" t="inlineStr">
        <is>
          <t>P-89</t>
        </is>
      </c>
      <c r="B60" s="4" t="inlineStr">
        <is>
          <t>Funcionalidad</t>
        </is>
      </c>
      <c r="C60" s="4" t="inlineStr">
        <is>
          <t>Admin</t>
        </is>
      </c>
      <c r="D60" s="7" t="inlineStr">
        <is>
          <t>Cuenta de demostración para administradores en /admin/demo (pestaña «Demostración»)</t>
        </is>
      </c>
      <c r="E60" s="7" t="inlineStr">
        <is>
          <t>sesión principal</t>
        </is>
      </c>
      <c r="F60" s="8" t="inlineStr">
        <is>
          <t>Media</t>
        </is>
      </c>
      <c r="G60" s="8" t="inlineStr">
        <is>
          <t>Hecho</t>
        </is>
      </c>
      <c r="H60" s="8" t="inlineStr">
        <is>
          <t>4.9</t>
        </is>
      </c>
      <c r="I60" s="21">
        <f>IFERROR(INDEX(Plan!$B$5:$B$126,MATCH(H60,Plan!$A$5:$A$126,0)),"—")</f>
        <v/>
      </c>
      <c r="J60"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61">
      <c r="A61" s="19" t="inlineStr">
        <is>
          <t>P-108</t>
        </is>
      </c>
      <c r="B61" s="4" t="inlineStr">
        <is>
          <t>Funcionalidad</t>
        </is>
      </c>
      <c r="C61" s="4" t="inlineStr">
        <is>
          <t>Asesor</t>
        </is>
      </c>
      <c r="D61" s="7" t="inlineStr">
        <is>
          <t>Backlog: premio al primer asesor</t>
        </is>
      </c>
      <c r="E61" s="7" t="inlineStr">
        <is>
          <t>ga-funcionalidad-botones</t>
        </is>
      </c>
      <c r="F61" s="8" t="inlineStr">
        <is>
          <t>Baja</t>
        </is>
      </c>
      <c r="G61" s="8" t="inlineStr">
        <is>
          <t>Hecho</t>
        </is>
      </c>
      <c r="H61" s="8" t="inlineStr">
        <is>
          <t>5.11</t>
        </is>
      </c>
      <c r="I61" s="21">
        <f>IFERROR(INDEX(Plan!$B$5:$B$126,MATCH(H61,Plan!$A$5:$A$126,0)),"—")</f>
        <v/>
      </c>
      <c r="J61" s="7" t="inlineStr">
        <is>
          <t>Spec §12.12</t>
        </is>
      </c>
    </row>
    <row r="62">
      <c r="A62" s="19" t="inlineStr">
        <is>
          <t>P-109</t>
        </is>
      </c>
      <c r="B62" s="4" t="inlineStr">
        <is>
          <t>Funcionalidad</t>
        </is>
      </c>
      <c r="C62" s="4" t="inlineStr">
        <is>
          <t>/cuenta</t>
        </is>
      </c>
      <c r="D62" s="7" t="inlineStr">
        <is>
          <t>Backlog: carné virtual del asociado</t>
        </is>
      </c>
      <c r="E62" s="7" t="inlineStr">
        <is>
          <t>ga-diseno-a-codigo</t>
        </is>
      </c>
      <c r="F62" s="8" t="inlineStr">
        <is>
          <t>Baja</t>
        </is>
      </c>
      <c r="G62" s="8" t="inlineStr">
        <is>
          <t>Hecho</t>
        </is>
      </c>
      <c r="H62" s="8" t="inlineStr">
        <is>
          <t>5.12</t>
        </is>
      </c>
      <c r="I62" s="21">
        <f>IFERROR(INDEX(Plan!$B$5:$B$126,MATCH(H62,Plan!$A$5:$A$126,0)),"—")</f>
        <v/>
      </c>
      <c r="J62" s="7" t="inlineStr">
        <is>
          <t>Spec §12.12 01-oct: carné virtual en /cuenta (5.12).</t>
        </is>
      </c>
    </row>
    <row r="63">
      <c r="A63" s="19" t="inlineStr">
        <is>
          <t>P-30</t>
        </is>
      </c>
      <c r="B63" s="4" t="inlineStr">
        <is>
          <t>Funcionalidad</t>
        </is>
      </c>
      <c r="C63" s="4" t="inlineStr">
        <is>
          <t>/afiliacion/enviada</t>
        </is>
      </c>
      <c r="D63" s="7" t="inlineStr">
        <is>
          <t>Mostrar el correo real; si se entra directo, redirigir</t>
        </is>
      </c>
      <c r="E63" s="7" t="inlineStr">
        <is>
          <t>ga-funcionalidad-botones</t>
        </is>
      </c>
      <c r="F63" s="8" t="inlineStr">
        <is>
          <t>Baja</t>
        </is>
      </c>
      <c r="G63" s="8" t="inlineStr">
        <is>
          <t>Hecho</t>
        </is>
      </c>
      <c r="H63" s="8" t="inlineStr">
        <is>
          <t>2.10</t>
        </is>
      </c>
      <c r="I63" s="21">
        <f>IFERROR(INDEX(Plan!$B$5:$B$126,MATCH(H63,Plan!$A$5:$A$126,0)),"—")</f>
        <v/>
      </c>
      <c r="J63" s="7" t="inlineStr"/>
    </row>
    <row r="64">
      <c r="A64" s="19" t="inlineStr">
        <is>
          <t>P-34</t>
        </is>
      </c>
      <c r="B64" s="4" t="inlineStr">
        <is>
          <t>Funcionalidad</t>
        </is>
      </c>
      <c r="C64" s="4" t="inlineStr">
        <is>
          <t>Landing</t>
        </is>
      </c>
      <c r="D64" s="7" t="inlineStr">
        <is>
          <t>«Mi cuenta», «Ingresar», «Solicitar crédito», «Ver beneficios» → /cuenta con sesión</t>
        </is>
      </c>
      <c r="E64" s="7" t="inlineStr">
        <is>
          <t>ga-funcionalidad-botones</t>
        </is>
      </c>
      <c r="F64" s="8" t="inlineStr">
        <is>
          <t>Baja</t>
        </is>
      </c>
      <c r="G64" s="8" t="inlineStr">
        <is>
          <t>Hecho</t>
        </is>
      </c>
      <c r="H64" s="8" t="inlineStr">
        <is>
          <t>2.8</t>
        </is>
      </c>
      <c r="I64" s="21">
        <f>IFERROR(INDEX(Plan!$B$5:$B$126,MATCH(H64,Plan!$A$5:$A$126,0)),"—")</f>
        <v/>
      </c>
      <c r="J64" s="7" t="inlineStr">
        <is>
          <t>Convenios fijos en la landing por ahora.</t>
        </is>
      </c>
    </row>
    <row r="65">
      <c r="A65" s="19" t="inlineStr">
        <is>
          <t>P-124</t>
        </is>
      </c>
      <c r="B65" s="4" t="inlineStr">
        <is>
          <t>Dato de la cooperativa</t>
        </is>
      </c>
      <c r="C65" s="4" t="inlineStr">
        <is>
          <t>Landing</t>
        </is>
      </c>
      <c r="D65" s="7" t="inlineStr">
        <is>
          <t>Fotos de las sedes</t>
        </is>
      </c>
      <c r="E65" s="7" t="inlineStr">
        <is>
          <t>Cooperativa</t>
        </is>
      </c>
      <c r="F65" s="8" t="inlineStr">
        <is>
          <t>Baja</t>
        </is>
      </c>
      <c r="G65" s="8" t="inlineStr">
        <is>
          <t>Pendiente</t>
        </is>
      </c>
      <c r="H65" s="8" t="inlineStr">
        <is>
          <t>5.3</t>
        </is>
      </c>
      <c r="I65" s="21">
        <f>IFERROR(INDEX(Plan!$B$5:$B$126,MATCH(H65,Plan!$A$5:$A$126,0)),"—")</f>
        <v/>
      </c>
      <c r="J65" s="7" t="inlineStr"/>
    </row>
    <row r="66">
      <c r="A66" s="19" t="inlineStr">
        <is>
          <t>P-16</t>
        </is>
      </c>
      <c r="B66" s="4" t="inlineStr">
        <is>
          <t>Dato de la cooperativa</t>
        </is>
      </c>
      <c r="C66" s="4" t="inlineStr">
        <is>
          <t>Landing</t>
        </is>
      </c>
      <c r="D66" s="7" t="inlineStr">
        <is>
          <t>Fotos reales, cifras y testimonios</t>
        </is>
      </c>
      <c r="E66" s="7" t="inlineStr">
        <is>
          <t>Cooperativa</t>
        </is>
      </c>
      <c r="F66" s="8" t="inlineStr">
        <is>
          <t>Baja</t>
        </is>
      </c>
      <c r="G66" s="8" t="inlineStr">
        <is>
          <t>Pendiente</t>
        </is>
      </c>
      <c r="H66" s="8" t="inlineStr">
        <is>
          <t>5.3</t>
        </is>
      </c>
      <c r="I66" s="21">
        <f>IFERROR(INDEX(Plan!$B$5:$B$126,MATCH(H66,Plan!$A$5:$A$126,0)),"—")</f>
        <v/>
      </c>
      <c r="J66" s="7" t="inlineStr">
        <is>
          <t>23-sep: los espacios de foto de la landing ya tienen diseño de marca (EspacioFoto). Para poner la foto real se cambia `null` por { src, alt }. Faltan las fotos de la cooperativa.</t>
        </is>
      </c>
    </row>
    <row r="67">
      <c r="A67" s="19" t="inlineStr">
        <is>
          <t>P-14</t>
        </is>
      </c>
      <c r="B67" s="4" t="inlineStr">
        <is>
          <t>Dato de la cooperativa</t>
        </is>
      </c>
      <c r="C67" s="4" t="inlineStr">
        <is>
          <t>Legal</t>
        </is>
      </c>
      <c r="D67" s="7" t="inlineStr">
        <is>
          <t>Texto de la política de datos</t>
        </is>
      </c>
      <c r="E67" s="7" t="inlineStr">
        <is>
          <t>Cooperativa</t>
        </is>
      </c>
      <c r="F67" s="8" t="inlineStr">
        <is>
          <t>Alta</t>
        </is>
      </c>
      <c r="G67" s="8" t="inlineStr">
        <is>
          <t>Hecho</t>
        </is>
      </c>
      <c r="H67" s="8" t="inlineStr">
        <is>
          <t>5.4</t>
        </is>
      </c>
      <c r="I67" s="21">
        <f>IFERROR(INDEX(Plan!$B$5:$B$126,MATCH(H67,Plan!$A$5:$A$126,0)),"—")</f>
        <v/>
      </c>
      <c r="J6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68">
      <c r="A68" s="19" t="inlineStr">
        <is>
          <t>P-18</t>
        </is>
      </c>
      <c r="B68" s="4" t="inlineStr">
        <is>
          <t>Dato de la cooperativa</t>
        </is>
      </c>
      <c r="C68" s="4" t="inlineStr">
        <is>
          <t>Asociados</t>
        </is>
      </c>
      <c r="D68" s="7" t="inlineStr">
        <is>
          <t>Correos reales de los asociados (Excel de importación)</t>
        </is>
      </c>
      <c r="E68" s="7" t="inlineStr">
        <is>
          <t>Cooperativa</t>
        </is>
      </c>
      <c r="F68" s="8" t="inlineStr">
        <is>
          <t>Alta</t>
        </is>
      </c>
      <c r="G68" s="8" t="inlineStr">
        <is>
          <t>Hecho</t>
        </is>
      </c>
      <c r="H68" s="8" t="inlineStr">
        <is>
          <t>4.4</t>
        </is>
      </c>
      <c r="I68" s="21">
        <f>IFERROR(INDEX(Plan!$B$5:$B$126,MATCH(H68,Plan!$A$5:$A$126,0)),"—")</f>
        <v/>
      </c>
      <c r="J68" s="7" t="inlineStr">
        <is>
          <t>Ya no aplica: decisión de la cooperativa 2026-09-24, no habrá importación de Excel. El ingreso ahora se resuelve con la afiliación v2 (correo institucional propio) más aprobación en /admin.</t>
        </is>
      </c>
    </row>
    <row r="69">
      <c r="A69" s="19" t="inlineStr">
        <is>
          <t>P-75</t>
        </is>
      </c>
      <c r="B69" s="4" t="inlineStr">
        <is>
          <t>Dato de la cooperativa</t>
        </is>
      </c>
      <c r="C69" s="4" t="inlineStr">
        <is>
          <t>Legal</t>
        </is>
      </c>
      <c r="D69" s="7" t="inlineStr">
        <is>
          <t>NIT, dirección y ciudad de la cooperativa para la política de datos</t>
        </is>
      </c>
      <c r="E69" s="7" t="inlineStr">
        <is>
          <t>Cooperativa</t>
        </is>
      </c>
      <c r="F69" s="8" t="inlineStr">
        <is>
          <t>Alta</t>
        </is>
      </c>
      <c r="G69" s="8" t="inlineStr">
        <is>
          <t>Hecho</t>
        </is>
      </c>
      <c r="H69" s="8" t="inlineStr">
        <is>
          <t>5.4</t>
        </is>
      </c>
      <c r="I69" s="21">
        <f>IFERROR(INDEX(Plan!$B$5:$B$126,MATCH(H69,Plan!$A$5:$A$126,0)),"—")</f>
        <v/>
      </c>
      <c r="J69" s="7" t="inlineStr">
        <is>
          <t>24-sep: reportado por la sesión principal, necesario para publicar /politica-de-datos. 30-sep: NIT 902.103.335-7, Cr 78 No. 16 D 71, Bogotá (Cámara de Comercio).</t>
        </is>
      </c>
    </row>
    <row r="70">
      <c r="A70" s="19" t="inlineStr">
        <is>
          <t>P-76</t>
        </is>
      </c>
      <c r="B70" s="4" t="inlineStr">
        <is>
          <t>Dato de la cooperativa</t>
        </is>
      </c>
      <c r="C70" s="4" t="inlineStr">
        <is>
          <t>Legal</t>
        </is>
      </c>
      <c r="D70" s="7" t="inlineStr">
        <is>
          <t>Fecha de vigencia de la política de datos</t>
        </is>
      </c>
      <c r="E70" s="7" t="inlineStr">
        <is>
          <t>Cooperativa</t>
        </is>
      </c>
      <c r="F70" s="8" t="inlineStr">
        <is>
          <t>Alta</t>
        </is>
      </c>
      <c r="G70" s="8" t="inlineStr">
        <is>
          <t>Hecho</t>
        </is>
      </c>
      <c r="H70" s="8" t="inlineStr">
        <is>
          <t>5.4</t>
        </is>
      </c>
      <c r="I70" s="21">
        <f>IFERROR(INDEX(Plan!$B$5:$B$126,MATCH(H70,Plan!$A$5:$A$126,0)),"—")</f>
        <v/>
      </c>
      <c r="J70" s="7" t="inlineStr">
        <is>
          <t>24-sep: reportado por la sesión principal.</t>
        </is>
      </c>
    </row>
    <row r="71">
      <c r="A71" s="19" t="inlineStr">
        <is>
          <t>P-77</t>
        </is>
      </c>
      <c r="B71" s="4" t="inlineStr">
        <is>
          <t>Dato de la cooperativa</t>
        </is>
      </c>
      <c r="C71" s="4" t="inlineStr">
        <is>
          <t>Legal</t>
        </is>
      </c>
      <c r="D71" s="7" t="inlineStr">
        <is>
          <t>País o región de los servidores (Supabase, Vercel, Resend)</t>
        </is>
      </c>
      <c r="E71" s="7" t="inlineStr">
        <is>
          <t>Cooperativa</t>
        </is>
      </c>
      <c r="F71" s="8" t="inlineStr">
        <is>
          <t>Alta</t>
        </is>
      </c>
      <c r="G71" s="8" t="inlineStr">
        <is>
          <t>Hecho</t>
        </is>
      </c>
      <c r="H71" s="8" t="inlineStr">
        <is>
          <t>5.4</t>
        </is>
      </c>
      <c r="I71" s="21">
        <f>IFERROR(INDEX(Plan!$B$5:$B$126,MATCH(H71,Plan!$A$5:$A$126,0)),"—")</f>
        <v/>
      </c>
      <c r="J71" s="7" t="inlineStr">
        <is>
          <t>24-sep: reportado por la sesión principal, dato exigido por la Ley 1581 para informar transferencia internacional de datos.</t>
        </is>
      </c>
    </row>
    <row r="72">
      <c r="A72" s="19" t="inlineStr">
        <is>
          <t>P-78</t>
        </is>
      </c>
      <c r="B72" s="4" t="inlineStr">
        <is>
          <t>Dato de la cooperativa</t>
        </is>
      </c>
      <c r="C72" s="4" t="inlineStr">
        <is>
          <t>Legal</t>
        </is>
      </c>
      <c r="D72" s="7" t="inlineStr">
        <is>
          <t>Alternativa de verificación para quien no quiera subir la selfie</t>
        </is>
      </c>
      <c r="E72" s="7" t="inlineStr">
        <is>
          <t>Cooperativa</t>
        </is>
      </c>
      <c r="F72" s="8" t="inlineStr">
        <is>
          <t>Alta</t>
        </is>
      </c>
      <c r="G72" s="8" t="inlineStr">
        <is>
          <t>Hecho</t>
        </is>
      </c>
      <c r="H72" s="8" t="inlineStr">
        <is>
          <t>5.4</t>
        </is>
      </c>
      <c r="I72" s="21">
        <f>IFERROR(INDEX(Plan!$B$5:$B$126,MATCH(H72,Plan!$A$5:$A$126,0)),"—")</f>
        <v/>
      </c>
      <c r="J72" s="7" t="inlineStr">
        <is>
          <t>24-sep: reportado por la sesión principal.</t>
        </is>
      </c>
    </row>
    <row r="73">
      <c r="A73" s="19" t="inlineStr">
        <is>
          <t>P-79</t>
        </is>
      </c>
      <c r="B73" s="4" t="inlineStr">
        <is>
          <t>Dato de la cooperativa</t>
        </is>
      </c>
      <c r="C73" s="4" t="inlineStr">
        <is>
          <t>Legal</t>
        </is>
      </c>
      <c r="D73" s="7" t="inlineStr">
        <is>
          <t>Plazos de conservación de los datos (fotos de rechazados y de asociados, y demás datos)</t>
        </is>
      </c>
      <c r="E73" s="7" t="inlineStr">
        <is>
          <t>Cooperativa</t>
        </is>
      </c>
      <c r="F73" s="8" t="inlineStr">
        <is>
          <t>Alta</t>
        </is>
      </c>
      <c r="G73" s="8" t="inlineStr">
        <is>
          <t>Hecho</t>
        </is>
      </c>
      <c r="H73" s="8" t="inlineStr">
        <is>
          <t>5.4</t>
        </is>
      </c>
      <c r="I73" s="21">
        <f>IFERROR(INDEX(Plan!$B$5:$B$126,MATCH(H73,Plan!$A$5:$A$126,0)),"—")</f>
        <v/>
      </c>
      <c r="J73" s="7" t="inlineStr">
        <is>
          <t>24-sep: reportado por la sesión principal; el plazo de las fotos es el mismo que decida P-63 (borrado automático de fotos rechazadas, 5.10).</t>
        </is>
      </c>
    </row>
    <row r="74">
      <c r="A74" s="19" t="inlineStr">
        <is>
          <t>P-10</t>
        </is>
      </c>
      <c r="B74" s="4" t="inlineStr">
        <is>
          <t>Dato de la cooperativa</t>
        </is>
      </c>
      <c r="C74" s="4" t="inlineStr">
        <is>
          <t>Configuración</t>
        </is>
      </c>
      <c r="D74" s="7" t="inlineStr">
        <is>
          <t>Número de WhatsApp (NEXT_PUBLIC_WHATSAPP)</t>
        </is>
      </c>
      <c r="E74" s="7" t="inlineStr">
        <is>
          <t>Cooperativa</t>
        </is>
      </c>
      <c r="F74" s="8" t="inlineStr">
        <is>
          <t>Media</t>
        </is>
      </c>
      <c r="G74" s="8" t="inlineStr">
        <is>
          <t>Hecho</t>
        </is>
      </c>
      <c r="H74" s="8" t="inlineStr">
        <is>
          <t>5.3</t>
        </is>
      </c>
      <c r="I74" s="21">
        <f>IFERROR(INDEX(Plan!$B$5:$B$126,MATCH(H74,Plan!$A$5:$A$126,0)),"—")</f>
        <v/>
      </c>
      <c r="J74" s="7" t="inlineStr">
        <is>
          <t>24-sep: 311 724 1942.</t>
        </is>
      </c>
    </row>
    <row r="75">
      <c r="A75" s="19" t="inlineStr">
        <is>
          <t>P-11</t>
        </is>
      </c>
      <c r="B75" s="4" t="inlineStr">
        <is>
          <t>Dato de la cooperativa</t>
        </is>
      </c>
      <c r="C75" s="4" t="inlineStr">
        <is>
          <t>Configuración</t>
        </is>
      </c>
      <c r="D75" s="7" t="inlineStr">
        <is>
          <t>Días hábiles de respuesta (DIAS_RESPUESTA)</t>
        </is>
      </c>
      <c r="E75" s="7" t="inlineStr">
        <is>
          <t>Cooperativa</t>
        </is>
      </c>
      <c r="F75" s="8" t="inlineStr">
        <is>
          <t>Media</t>
        </is>
      </c>
      <c r="G75" s="8" t="inlineStr">
        <is>
          <t>Hecho</t>
        </is>
      </c>
      <c r="H75" s="8" t="inlineStr">
        <is>
          <t>5.3</t>
        </is>
      </c>
      <c r="I75" s="21">
        <f>IFERROR(INDEX(Plan!$B$5:$B$126,MATCH(H75,Plan!$A$5:$A$126,0)),"—")</f>
        <v/>
      </c>
      <c r="J75" s="7" t="inlineStr">
        <is>
          <t>24-sep: la cooperativa dio el tiempo de respuesta como «4 horas o menos» (ver P-17); se usa ese dato en vez de días hábiles.</t>
        </is>
      </c>
    </row>
    <row r="76">
      <c r="A76" s="19" t="inlineStr">
        <is>
          <t>P-12</t>
        </is>
      </c>
      <c r="B76" s="4" t="inlineStr">
        <is>
          <t>Dato de la cooperativa</t>
        </is>
      </c>
      <c r="C76" s="4" t="inlineStr">
        <is>
          <t>Configuración</t>
        </is>
      </c>
      <c r="D76" s="7" t="inlineStr">
        <is>
          <t>Correo de contacto (CORREO_CONTACTO)</t>
        </is>
      </c>
      <c r="E76" s="7" t="inlineStr">
        <is>
          <t>Cooperativa</t>
        </is>
      </c>
      <c r="F76" s="8" t="inlineStr">
        <is>
          <t>Media</t>
        </is>
      </c>
      <c r="G76" s="8" t="inlineStr">
        <is>
          <t>Hecho</t>
        </is>
      </c>
      <c r="H76" s="8" t="inlineStr">
        <is>
          <t>5.3</t>
        </is>
      </c>
      <c r="I76" s="21">
        <f>IFERROR(INDEX(Plan!$B$5:$B$126,MATCH(H76,Plan!$A$5:$A$126,0)),"—")</f>
        <v/>
      </c>
      <c r="J76" s="7" t="inlineStr">
        <is>
          <t>24-sep: soporte@greenallianceco.com.</t>
        </is>
      </c>
    </row>
    <row r="77">
      <c r="A77" s="19" t="inlineStr">
        <is>
          <t>P-13</t>
        </is>
      </c>
      <c r="B77" s="4" t="inlineStr">
        <is>
          <t>Dato de la cooperativa</t>
        </is>
      </c>
      <c r="C77" s="4" t="inlineStr">
        <is>
          <t>Configuración</t>
        </is>
      </c>
      <c r="D77" s="7" t="inlineStr">
        <is>
          <t>Texto de vigilancia de Supersolidaria (TEXTO_VIGILANCIA)</t>
        </is>
      </c>
      <c r="E77" s="7" t="inlineStr">
        <is>
          <t>Cooperativa</t>
        </is>
      </c>
      <c r="F77" s="8" t="inlineStr">
        <is>
          <t>Media</t>
        </is>
      </c>
      <c r="G77" s="8" t="inlineStr">
        <is>
          <t>Hecho</t>
        </is>
      </c>
      <c r="H77" s="8" t="inlineStr">
        <is>
          <t>5.3</t>
        </is>
      </c>
      <c r="I77" s="21">
        <f>IFERROR(INDEX(Plan!$B$5:$B$126,MATCH(H77,Plan!$A$5:$A$126,0)),"—")</f>
        <v/>
      </c>
      <c r="J77" s="7" t="inlineStr">
        <is>
          <t>25-sep: Sebas confirmó que la cooperativa está vigilada por la Supersolidaria; TEXTO_VIGILANCIA pasa a «Vigilada por Supersolidaria» en local (falta desplegar).</t>
        </is>
      </c>
    </row>
    <row r="78">
      <c r="A78" s="19" t="inlineStr">
        <is>
          <t>P-15</t>
        </is>
      </c>
      <c r="B78" s="4" t="inlineStr">
        <is>
          <t>Dato de la cooperativa</t>
        </is>
      </c>
      <c r="C78" s="4" t="inlineStr">
        <is>
          <t>/cuenta</t>
        </is>
      </c>
      <c r="D78" s="7" t="inlineStr">
        <is>
          <t>Destino de «Nueva solicitud» (nav y acceso rápido)</t>
        </is>
      </c>
      <c r="E78" s="7" t="inlineStr">
        <is>
          <t>Yo</t>
        </is>
      </c>
      <c r="F78" s="8" t="inlineStr">
        <is>
          <t>Media</t>
        </is>
      </c>
      <c r="G78" s="8" t="inlineStr">
        <is>
          <t>Hecho</t>
        </is>
      </c>
      <c r="H78" s="8" t="inlineStr">
        <is>
          <t>3.7</t>
        </is>
      </c>
      <c r="I78" s="21">
        <f>IFERROR(INDEX(Plan!$B$5:$B$126,MATCH(H78,Plan!$A$5:$A$126,0)),"—")</f>
        <v/>
      </c>
      <c r="J78" s="7" t="inlineStr">
        <is>
          <t>Hoy es href="#".</t>
        </is>
      </c>
    </row>
    <row r="79">
      <c r="A79" s="19" t="inlineStr">
        <is>
          <t>P-46</t>
        </is>
      </c>
      <c r="B79" s="4" t="inlineStr">
        <is>
          <t>Dato de la cooperativa</t>
        </is>
      </c>
      <c r="C79" s="4" t="inlineStr">
        <is>
          <t>/afiliacion</t>
        </is>
      </c>
      <c r="D79" s="7" t="inlineStr">
        <is>
          <t>Nombres oficiales de los grados</t>
        </is>
      </c>
      <c r="E79" s="7" t="inlineStr">
        <is>
          <t>Cooperativa</t>
        </is>
      </c>
      <c r="F79" s="8" t="inlineStr">
        <is>
          <t>Media</t>
        </is>
      </c>
      <c r="G79" s="8" t="inlineStr">
        <is>
          <t>Hecho</t>
        </is>
      </c>
      <c r="H79" s="8" t="inlineStr">
        <is>
          <t>5.3</t>
        </is>
      </c>
      <c r="I79" s="21">
        <f>IFERROR(INDEX(Plan!$B$5:$B$126,MATCH(H79,Plan!$A$5:$A$126,0)),"—")</f>
        <v/>
      </c>
      <c r="J79" s="7" t="inlineStr">
        <is>
          <t>Se usan en el select «Grado» (grados_credito).</t>
        </is>
      </c>
    </row>
    <row r="80">
      <c r="A80" s="19" t="inlineStr">
        <is>
          <t>P-47</t>
        </is>
      </c>
      <c r="B80" s="4" t="inlineStr">
        <is>
          <t>Dato de la cooperativa</t>
        </is>
      </c>
      <c r="C80" s="4" t="inlineStr">
        <is>
          <t>/cuenta</t>
        </is>
      </c>
      <c r="D80" s="7" t="inlineStr">
        <is>
          <t>Estado de desembolso (cómo y cuándo se informa al asociado)</t>
        </is>
      </c>
      <c r="E80" s="7" t="inlineStr">
        <is>
          <t>Cooperativa</t>
        </is>
      </c>
      <c r="F80" s="8" t="inlineStr">
        <is>
          <t>Media</t>
        </is>
      </c>
      <c r="G80" s="8" t="inlineStr">
        <is>
          <t>Hecho</t>
        </is>
      </c>
      <c r="H80" s="8" t="inlineStr">
        <is>
          <t>5.3</t>
        </is>
      </c>
      <c r="I80" s="21">
        <f>IFERROR(INDEX(Plan!$B$5:$B$126,MATCH(H80,Plan!$A$5:$A$126,0)),"—")</f>
        <v/>
      </c>
      <c r="J80" s="7" t="inlineStr">
        <is>
          <t>Reportado por ga-funcionalidad-botones el 23-sep. 25-sep: también identificado por ga-auditor-supabase en la auditoría de backend del rediseño C+ (misma pregunta, no se duplica).</t>
        </is>
      </c>
    </row>
    <row r="81">
      <c r="A81" s="19" t="inlineStr">
        <is>
          <t>P-80</t>
        </is>
      </c>
      <c r="B81" s="4" t="inlineStr">
        <is>
          <t>Dato de la cooperativa</t>
        </is>
      </c>
      <c r="C81" s="4" t="inlineStr">
        <is>
          <t>Legal</t>
        </is>
      </c>
      <c r="D81" s="7" t="inlineStr">
        <is>
          <t>Si van a reportar a centrales de riesgo (Ley 1266, autorización aparte)</t>
        </is>
      </c>
      <c r="E81" s="7" t="inlineStr">
        <is>
          <t>Cooperativa</t>
        </is>
      </c>
      <c r="F81" s="8" t="inlineStr">
        <is>
          <t>Media</t>
        </is>
      </c>
      <c r="G81" s="8" t="inlineStr">
        <is>
          <t>Hecho</t>
        </is>
      </c>
      <c r="H81" s="8" t="inlineStr">
        <is>
          <t>5.4</t>
        </is>
      </c>
      <c r="I81" s="21">
        <f>IFERROR(INDEX(Plan!$B$5:$B$126,MATCH(H81,Plan!$A$5:$A$126,0)),"—")</f>
        <v/>
      </c>
      <c r="J81" s="7" t="inlineStr">
        <is>
          <t>24-sep: reportado por la sesión principal.</t>
        </is>
      </c>
    </row>
    <row r="82">
      <c r="A82" s="19" t="inlineStr">
        <is>
          <t>P-90</t>
        </is>
      </c>
      <c r="B82" s="4" t="inlineStr">
        <is>
          <t>Dato de la cooperativa</t>
        </is>
      </c>
      <c r="C82" s="4" t="inlineStr">
        <is>
          <t>Backend C+</t>
        </is>
      </c>
      <c r="D82" s="7" t="inlineStr">
        <is>
          <t>Origen de la fecha del primer descuento del embargo solidario</t>
        </is>
      </c>
      <c r="E82" s="7" t="inlineStr">
        <is>
          <t>Cooperativa</t>
        </is>
      </c>
      <c r="F82" s="8" t="inlineStr">
        <is>
          <t>Media</t>
        </is>
      </c>
      <c r="G82" s="8" t="inlineStr">
        <is>
          <t>Hecho</t>
        </is>
      </c>
      <c r="H82" s="8" t="inlineStr">
        <is>
          <t>1.8</t>
        </is>
      </c>
      <c r="I82" s="21">
        <f>IFERROR(INDEX(Plan!$B$5:$B$126,MATCH(H82,Plan!$A$5:$A$126,0)),"—")</f>
        <v/>
      </c>
      <c r="J82" s="7" t="inlineStr">
        <is>
          <t>25-sep: pregunta abierta del informe de ga-auditor-supabase (docs/auditorias/2026-09-25-backend-rediseno-c-plus.md).</t>
        </is>
      </c>
    </row>
    <row r="83">
      <c r="A83" s="19" t="inlineStr">
        <is>
          <t>P-91</t>
        </is>
      </c>
      <c r="B83" s="4" t="inlineStr">
        <is>
          <t>Dato de la cooperativa</t>
        </is>
      </c>
      <c r="C83" s="4" t="inlineStr">
        <is>
          <t>Backend C+</t>
        </is>
      </c>
      <c r="D83" s="7" t="inlineStr">
        <is>
          <t>Proceso para dar de baja a un asociado</t>
        </is>
      </c>
      <c r="E83" s="7" t="inlineStr">
        <is>
          <t>Cooperativa</t>
        </is>
      </c>
      <c r="F83" s="8" t="inlineStr">
        <is>
          <t>Media</t>
        </is>
      </c>
      <c r="G83" s="8" t="inlineStr">
        <is>
          <t>Hecho</t>
        </is>
      </c>
      <c r="H83" s="8" t="inlineStr">
        <is>
          <t>1.8</t>
        </is>
      </c>
      <c r="I83" s="21">
        <f>IFERROR(INDEX(Plan!$B$5:$B$126,MATCH(H83,Plan!$A$5:$A$126,0)),"—")</f>
        <v/>
      </c>
      <c r="J83" s="7" t="inlineStr">
        <is>
          <t>25-sep: pregunta abierta del informe de ga-auditor-supabase; relacionada con la migración de institución/activo en perfiles.</t>
        </is>
      </c>
    </row>
    <row r="84">
      <c r="A84" s="19" t="inlineStr">
        <is>
          <t>P-92</t>
        </is>
      </c>
      <c r="B84" s="4" t="inlineStr">
        <is>
          <t>Dato de la cooperativa</t>
        </is>
      </c>
      <c r="C84" s="4" t="inlineStr">
        <is>
          <t>Backend C+</t>
        </is>
      </c>
      <c r="D84" s="7" t="inlineStr">
        <is>
          <t>Quién dispara el correo del aviso del sorteo</t>
        </is>
      </c>
      <c r="E84" s="7" t="inlineStr">
        <is>
          <t>Cooperativa</t>
        </is>
      </c>
      <c r="F84" s="8" t="inlineStr">
        <is>
          <t>Media</t>
        </is>
      </c>
      <c r="G84" s="8" t="inlineStr">
        <is>
          <t>Hecho</t>
        </is>
      </c>
      <c r="H84" s="8" t="inlineStr">
        <is>
          <t>1.8</t>
        </is>
      </c>
      <c r="I84" s="21">
        <f>IFERROR(INDEX(Plan!$B$5:$B$126,MATCH(H84,Plan!$A$5:$A$126,0)),"—")</f>
        <v/>
      </c>
      <c r="J84" s="7" t="inlineStr">
        <is>
          <t>25-sep: pregunta abierta del informe de ga-auditor-supabase; relacionada con la migración perfiles_avisar_sorteo.</t>
        </is>
      </c>
    </row>
    <row r="85">
      <c r="A85" s="19" t="inlineStr">
        <is>
          <t>P-93</t>
        </is>
      </c>
      <c r="B85" s="4" t="inlineStr">
        <is>
          <t>Dato de la cooperativa</t>
        </is>
      </c>
      <c r="C85" s="4" t="inlineStr">
        <is>
          <t>Landing C+</t>
        </is>
      </c>
      <c r="D85" s="7" t="inlineStr">
        <is>
          <t>Confirmar las cifras de la landing C+ (+200 asociados, 4 horas, 3 años, 5 sedes con sus ciudades, embargo a 36 meses)</t>
        </is>
      </c>
      <c r="E85" s="7" t="inlineStr">
        <is>
          <t>Cooperativa</t>
        </is>
      </c>
      <c r="F85" s="8" t="inlineStr">
        <is>
          <t>Media</t>
        </is>
      </c>
      <c r="G85" s="8" t="inlineStr">
        <is>
          <t>Hecho</t>
        </is>
      </c>
      <c r="H85" s="8" t="inlineStr">
        <is>
          <t>2.14</t>
        </is>
      </c>
      <c r="I85" s="21">
        <f>IFERROR(INDEX(Plan!$B$5:$B$126,MATCH(H85,Plan!$A$5:$A$126,0)),"—")</f>
        <v/>
      </c>
      <c r="J85" s="7" t="inlineStr">
        <is>
          <t>25-sep: cifras usadas en el nuevo hero/servicios del rediseño C+; falta confirmarlas con la cooperativa.</t>
        </is>
      </c>
    </row>
    <row r="86">
      <c r="A86" s="19" t="inlineStr">
        <is>
          <t>P-17</t>
        </is>
      </c>
      <c r="B86" s="4" t="inlineStr">
        <is>
          <t>Dato de la cooperativa</t>
        </is>
      </c>
      <c r="C86" s="4" t="inlineStr">
        <is>
          <t>Landing</t>
        </is>
      </c>
      <c r="D86" s="7" t="inlineStr">
        <is>
          <t>Tiempo de respuesta real ([TIEMPO] y [T])</t>
        </is>
      </c>
      <c r="E86" s="7" t="inlineStr">
        <is>
          <t>Cooperativa</t>
        </is>
      </c>
      <c r="F86" s="8" t="inlineStr">
        <is>
          <t>Baja</t>
        </is>
      </c>
      <c r="G86" s="8" t="inlineStr">
        <is>
          <t>Hecho</t>
        </is>
      </c>
      <c r="H86" s="8" t="inlineStr">
        <is>
          <t>5.3</t>
        </is>
      </c>
      <c r="I86" s="21">
        <f>IFERROR(INDEX(Plan!$B$5:$B$126,MATCH(H86,Plan!$A$5:$A$126,0)),"—")</f>
        <v/>
      </c>
      <c r="J86" s="7" t="inlineStr">
        <is>
          <t>24-sep: «4 horas o menos».</t>
        </is>
      </c>
    </row>
    <row r="87">
      <c r="A87" s="19" t="inlineStr">
        <is>
          <t>P-81</t>
        </is>
      </c>
      <c r="B87" s="4" t="inlineStr">
        <is>
          <t>Verificación y cierre</t>
        </is>
      </c>
      <c r="C87" s="4" t="inlineStr">
        <is>
          <t>Legal</t>
        </is>
      </c>
      <c r="D87" s="7" t="inlineStr">
        <is>
          <t>Revisión de la política de datos por un abogado (Dr. Breinner: secciones 7.3, 8 y 18)</t>
        </is>
      </c>
      <c r="E87" s="7" t="inlineStr">
        <is>
          <t>Sebas</t>
        </is>
      </c>
      <c r="F87" s="8" t="inlineStr">
        <is>
          <t>Alta</t>
        </is>
      </c>
      <c r="G87" s="8" t="inlineStr">
        <is>
          <t>En curso</t>
        </is>
      </c>
      <c r="H87" s="8" t="inlineStr">
        <is>
          <t>5.4</t>
        </is>
      </c>
      <c r="I87" s="21">
        <f>IFERROR(INDEX(Plan!$B$5:$B$126,MATCH(H87,Plan!$A$5:$A$126,0)),"—")</f>
        <v/>
      </c>
      <c r="J87" s="7" t="inlineStr">
        <is>
          <t>24-sep: reportado por la sesión principal; falta antes de publicar /politica-de-datos.</t>
        </is>
      </c>
    </row>
    <row r="88">
      <c r="A88" s="19" t="inlineStr">
        <is>
          <t>P-70</t>
        </is>
      </c>
      <c r="B88" s="4" t="inlineStr">
        <is>
          <t>Verificación y cierre</t>
        </is>
      </c>
      <c r="C88" s="4" t="inlineStr">
        <is>
          <t>QA</t>
        </is>
      </c>
      <c r="D88" s="7" t="inlineStr">
        <is>
          <t>Pruebas en celulares reales (Android e iPhone): cámara, código, sorteo, crédito y correos en Gmail/Outlook, con informe y capturas</t>
        </is>
      </c>
      <c r="E88" s="7" t="inlineStr">
        <is>
          <t>Sebas</t>
        </is>
      </c>
      <c r="F88" s="8" t="inlineStr">
        <is>
          <t>Media</t>
        </is>
      </c>
      <c r="G88" s="8" t="inlineStr">
        <is>
          <t>En curso</t>
        </is>
      </c>
      <c r="H88" s="8" t="inlineStr">
        <is>
          <t>6.14</t>
        </is>
      </c>
      <c r="I88" s="21">
        <f>IFERROR(INDEX(Plan!$B$5:$B$126,MATCH(H88,Plan!$A$5:$A$126,0)),"—")</f>
        <v/>
      </c>
      <c r="J88" s="7" t="inlineStr">
        <is>
          <t>Encargo externo (500.000 COP) por PR a develop. Ver P-73.</t>
        </is>
      </c>
    </row>
    <row r="89">
      <c r="A89" s="19" t="inlineStr">
        <is>
          <t>P-104</t>
        </is>
      </c>
      <c r="B89" s="4" t="inlineStr">
        <is>
          <t>Verificación y cierre</t>
        </is>
      </c>
      <c r="C89" s="4" t="inlineStr">
        <is>
          <t>Despliegue</t>
        </is>
      </c>
      <c r="D89" s="7" t="inlineStr">
        <is>
          <t>Aprobar y fusionar el PR develop → main para desplegar el rediseño C+ (con el arreglo de la tasa) en producción</t>
        </is>
      </c>
      <c r="E89" s="7" t="inlineStr">
        <is>
          <t>Sebas</t>
        </is>
      </c>
      <c r="F89" s="8" t="inlineStr">
        <is>
          <t>Alta</t>
        </is>
      </c>
      <c r="G89" s="8" t="inlineStr">
        <is>
          <t>Hecho</t>
        </is>
      </c>
      <c r="H89" s="8" t="inlineStr">
        <is>
          <t>6.18</t>
        </is>
      </c>
      <c r="I89" s="21">
        <f>IFERROR(INDEX(Plan!$B$5:$B$126,MATCH(H89,Plan!$A$5:$A$126,0)),"—")</f>
        <v/>
      </c>
      <c r="J89" s="7" t="inlineStr">
        <is>
          <t>29-sep: rediseno-c-plus ya fusionada a develop y subida a origin (suite e2e 290/290, tsc/lint/build en verde). Falta que Sebas apruebe/fusione el PR develop → main para que Vercel despliegue el rediseño C+ en producción. 30-sep: fusionado; C+ en producción.</t>
        </is>
      </c>
    </row>
    <row r="90">
      <c r="A90" s="19" t="inlineStr">
        <is>
          <t>P-118</t>
        </is>
      </c>
      <c r="B90" s="4" t="inlineStr">
        <is>
          <t>Verificación y cierre</t>
        </is>
      </c>
      <c r="C90" s="4" t="inlineStr">
        <is>
          <t>Entrega</t>
        </is>
      </c>
      <c r="D90" s="7" t="inlineStr">
        <is>
          <t>Entrega final y último pago el viernes 9-oct (garantía 9-oct al 7-nov, soporte desde el 8-nov)</t>
        </is>
      </c>
      <c r="E90" s="7" t="inlineStr">
        <is>
          <t>Sebas</t>
        </is>
      </c>
      <c r="F90" s="8" t="inlineStr">
        <is>
          <t>Alta</t>
        </is>
      </c>
      <c r="G90" s="8" t="inlineStr">
        <is>
          <t>Hecho</t>
        </is>
      </c>
      <c r="H90" s="8" t="inlineStr">
        <is>
          <t>6.29</t>
        </is>
      </c>
      <c r="I90" s="21">
        <f>IFERROR(INDEX(Plan!$B$5:$B$126,MATCH(H90,Plan!$A$5:$A$126,0)),"—")</f>
        <v/>
      </c>
      <c r="J90" s="7" t="inlineStr">
        <is>
          <t>08-oct: la entrega pasó del miércoles 7-oct al viernes 9-oct.</t>
        </is>
      </c>
    </row>
    <row r="91">
      <c r="A91" s="19" t="inlineStr">
        <is>
          <t>P-39</t>
        </is>
      </c>
      <c r="B91" s="4" t="inlineStr">
        <is>
          <t>Verificación y cierre</t>
        </is>
      </c>
      <c r="C91" s="4" t="inlineStr">
        <is>
          <t>Calidad</t>
        </is>
      </c>
      <c r="D91" s="7" t="inlineStr">
        <is>
          <t>Correr ga-verificador-qa y ga-verificador-responsive</t>
        </is>
      </c>
      <c r="E91" s="7" t="inlineStr">
        <is>
          <t>Yo</t>
        </is>
      </c>
      <c r="F91" s="8" t="inlineStr">
        <is>
          <t>Alta</t>
        </is>
      </c>
      <c r="G91" s="8" t="inlineStr">
        <is>
          <t>Hecho</t>
        </is>
      </c>
      <c r="H91" s="8" t="inlineStr">
        <is>
          <t>6.3</t>
        </is>
      </c>
      <c r="I91" s="21">
        <f>IFERROR(INDEX(Plan!$B$5:$B$126,MATCH(H91,Plan!$A$5:$A$126,0)),"—")</f>
        <v/>
      </c>
      <c r="J91"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92">
      <c r="A92" s="19" t="inlineStr">
        <is>
          <t>P-41</t>
        </is>
      </c>
      <c r="B92" s="4" t="inlineStr">
        <is>
          <t>Verificación y cierre</t>
        </is>
      </c>
      <c r="C92" s="4" t="inlineStr">
        <is>
          <t>Git</t>
        </is>
      </c>
      <c r="D92" s="7" t="inlineStr">
        <is>
          <t>Commit de las pantallas nuevas</t>
        </is>
      </c>
      <c r="E92" s="7" t="inlineStr">
        <is>
          <t>Yo</t>
        </is>
      </c>
      <c r="F92" s="8" t="inlineStr">
        <is>
          <t>Alta</t>
        </is>
      </c>
      <c r="G92" s="8" t="inlineStr">
        <is>
          <t>Hecho</t>
        </is>
      </c>
      <c r="H92" s="8" t="inlineStr">
        <is>
          <t>—</t>
        </is>
      </c>
      <c r="I92" s="21">
        <f>IFERROR(INDEX(Plan!$B$5:$B$126,MATCH(H92,Plan!$A$5:$A$126,0)),"—")</f>
        <v/>
      </c>
      <c r="J92" s="7" t="inlineStr">
        <is>
          <t>Commit d86db86 en develop.</t>
        </is>
      </c>
    </row>
    <row r="93">
      <c r="A93" s="19" t="inlineStr">
        <is>
          <t>P-42</t>
        </is>
      </c>
      <c r="B93" s="4" t="inlineStr">
        <is>
          <t>Verificación y cierre</t>
        </is>
      </c>
      <c r="C93" s="4" t="inlineStr">
        <is>
          <t>Despliegue</t>
        </is>
      </c>
      <c r="D93" s="7" t="inlineStr">
        <is>
          <t>Subir a GitHub y desplegar en Vercel</t>
        </is>
      </c>
      <c r="E93" s="7" t="inlineStr">
        <is>
          <t>Yo</t>
        </is>
      </c>
      <c r="F93" s="8" t="inlineStr">
        <is>
          <t>Alta</t>
        </is>
      </c>
      <c r="G93" s="8" t="inlineStr">
        <is>
          <t>Hecho</t>
        </is>
      </c>
      <c r="H93" s="8" t="inlineStr">
        <is>
          <t>6.5</t>
        </is>
      </c>
      <c r="I93" s="21">
        <f>IFERROR(INDEX(Plan!$B$5:$B$126,MATCH(H93,Plan!$A$5:$A$126,0)),"—")</f>
        <v/>
      </c>
      <c r="J93" s="7" t="inlineStr"/>
    </row>
    <row r="94">
      <c r="A94" s="19" t="inlineStr">
        <is>
          <t>P-58</t>
        </is>
      </c>
      <c r="B94" s="4" t="inlineStr">
        <is>
          <t>Verificación y cierre</t>
        </is>
      </c>
      <c r="C94" s="4" t="inlineStr">
        <is>
          <t>Pruebas</t>
        </is>
      </c>
      <c r="D94" s="7" t="inlineStr">
        <is>
          <t>Actualizar tests/e2e a la afiliación v2 y a la nueva máscara de correo</t>
        </is>
      </c>
      <c r="E94" s="7" t="inlineStr">
        <is>
          <t>ga-escritor-tests</t>
        </is>
      </c>
      <c r="F94" s="8" t="inlineStr">
        <is>
          <t>Alta</t>
        </is>
      </c>
      <c r="G94" s="8" t="inlineStr">
        <is>
          <t>Hecho</t>
        </is>
      </c>
      <c r="H94" s="8" t="inlineStr">
        <is>
          <t>6.1</t>
        </is>
      </c>
      <c r="I94" s="21">
        <f>IFERROR(INDEX(Plan!$B$5:$B$126,MATCH(H94,Plan!$A$5:$A$126,0)),"—")</f>
        <v/>
      </c>
      <c r="J94"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95">
      <c r="A95" s="19" t="inlineStr">
        <is>
          <t>P-64</t>
        </is>
      </c>
      <c r="B95" s="4" t="inlineStr">
        <is>
          <t>Verificación y cierre</t>
        </is>
      </c>
      <c r="C95" s="4" t="inlineStr">
        <is>
          <t>Git</t>
        </is>
      </c>
      <c r="D95" s="7" t="inlineStr">
        <is>
          <t>Abrir el PR de develop a main</t>
        </is>
      </c>
      <c r="E95" s="7" t="inlineStr">
        <is>
          <t>Sebas</t>
        </is>
      </c>
      <c r="F95" s="8" t="inlineStr">
        <is>
          <t>Alta</t>
        </is>
      </c>
      <c r="G95" s="8" t="inlineStr">
        <is>
          <t>Hecho</t>
        </is>
      </c>
      <c r="H95" s="8" t="inlineStr">
        <is>
          <t>6.5</t>
        </is>
      </c>
      <c r="I95" s="21">
        <f>IFERROR(INDEX(Plan!$B$5:$B$126,MATCH(H95,Plan!$A$5:$A$126,0)),"—")</f>
        <v/>
      </c>
      <c r="J95" s="7" t="inlineStr">
        <is>
          <t>25-sep: Sebas abrió y fusionó el PR #1 develop → main (merge 5a39d34); Vercel desplegó fase 2 en producción.</t>
        </is>
      </c>
    </row>
    <row r="96">
      <c r="A96" s="19" t="inlineStr">
        <is>
          <t>P-82</t>
        </is>
      </c>
      <c r="B96" s="4" t="inlineStr">
        <is>
          <t>Verificación y cierre</t>
        </is>
      </c>
      <c r="C96" s="4" t="inlineStr">
        <is>
          <t>Despliegue</t>
        </is>
      </c>
      <c r="D96" s="7" t="inlineStr">
        <is>
          <t>Probar en producción con sesión real de los 3 administradores (ingreso con código OTP y logo del correo)</t>
        </is>
      </c>
      <c r="E96" s="7" t="inlineStr">
        <is>
          <t>Sebas</t>
        </is>
      </c>
      <c r="F96" s="8" t="inlineStr">
        <is>
          <t>Alta</t>
        </is>
      </c>
      <c r="G96" s="8" t="inlineStr">
        <is>
          <t>Hecho</t>
        </is>
      </c>
      <c r="H96" s="8" t="inlineStr">
        <is>
          <t>6.5</t>
        </is>
      </c>
      <c r="I96" s="21">
        <f>IFERROR(INDEX(Plan!$B$5:$B$126,MATCH(H96,Plan!$A$5:$A$126,0)),"—")</f>
        <v/>
      </c>
      <c r="J96" s="7" t="inlineStr">
        <is>
          <t>25-sep: Sebas entró con su cédula y le apareció el panel de administrador (falta confirmar Ricardo y abogadosprieto). 25-sep: reportado por la sesión principal tras el despliegue de fase 2; falta esta prueba manual antes de cerrar 6.5.</t>
        </is>
      </c>
    </row>
    <row r="97">
      <c r="A97" s="19" t="inlineStr">
        <is>
          <t>P-86</t>
        </is>
      </c>
      <c r="B97" s="4" t="inlineStr">
        <is>
          <t>Verificación y cierre</t>
        </is>
      </c>
      <c r="C97" s="4" t="inlineStr">
        <is>
          <t>/afiliacion</t>
        </is>
      </c>
      <c r="D97" s="7" t="inlineStr">
        <is>
          <t>A-01: la ayuda del dominio de correo institucional no se actualiza en vivo al elegir Policía/Ejército</t>
        </is>
      </c>
      <c r="E97" s="7" t="inlineStr">
        <is>
          <t>ga-funcionalidad-botones</t>
        </is>
      </c>
      <c r="F97" s="8" t="inlineStr">
        <is>
          <t>Alta</t>
        </is>
      </c>
      <c r="G97" s="8" t="inlineStr">
        <is>
          <t>Hecho</t>
        </is>
      </c>
      <c r="H97" s="8" t="inlineStr">
        <is>
          <t>6.3</t>
        </is>
      </c>
      <c r="I97" s="21">
        <f>IFERROR(INDEX(Plan!$B$5:$B$126,MATCH(H97,Plan!$A$5:$A$126,0)),"—")</f>
        <v/>
      </c>
      <c r="J97"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98">
      <c r="A98" s="19" t="inlineStr">
        <is>
          <t>P-40</t>
        </is>
      </c>
      <c r="B98" s="4" t="inlineStr">
        <is>
          <t>Verificación y cierre</t>
        </is>
      </c>
      <c r="C98" s="4" t="inlineStr">
        <is>
          <t>Código</t>
        </is>
      </c>
      <c r="D98" s="7" t="inlineStr">
        <is>
          <t>Borrar /login y /dashboard cuando /ingresar y /cuenta funcionen</t>
        </is>
      </c>
      <c r="E98" s="7" t="inlineStr">
        <is>
          <t>Yo</t>
        </is>
      </c>
      <c r="F98" s="8" t="inlineStr">
        <is>
          <t>Media</t>
        </is>
      </c>
      <c r="G98" s="8" t="inlineStr">
        <is>
          <t>Hecho</t>
        </is>
      </c>
      <c r="H98" s="8" t="inlineStr">
        <is>
          <t>5.5</t>
        </is>
      </c>
      <c r="I98" s="21">
        <f>IFERROR(INDEX(Plan!$B$5:$B$126,MATCH(H98,Plan!$A$5:$A$126,0)),"—")</f>
        <v/>
      </c>
      <c r="J98" s="7" t="inlineStr">
        <is>
          <t>Borradas el 23-sep (incluida /dashboard/solicitar, su parte del proxy y los colores heredados de tailwind.config.ts).</t>
        </is>
      </c>
    </row>
    <row r="99">
      <c r="A99" s="19" t="inlineStr">
        <is>
          <t>P-49</t>
        </is>
      </c>
      <c r="B99" s="4" t="inlineStr">
        <is>
          <t>Verificación y cierre</t>
        </is>
      </c>
      <c r="C99" s="4" t="inlineStr">
        <is>
          <t>Seguridad</t>
        </is>
      </c>
      <c r="D99" s="7" t="inlineStr">
        <is>
          <t>Revisar si conviene confiar en x-forwarded-for para el límite de intentos por IP</t>
        </is>
      </c>
      <c r="E99" s="7" t="inlineStr">
        <is>
          <t>ga-revisor-seguridad</t>
        </is>
      </c>
      <c r="F99" s="8" t="inlineStr">
        <is>
          <t>Media</t>
        </is>
      </c>
      <c r="G99" s="8" t="inlineStr">
        <is>
          <t>Hecho</t>
        </is>
      </c>
      <c r="H99" s="8" t="inlineStr">
        <is>
          <t>6.2</t>
        </is>
      </c>
      <c r="I99" s="21">
        <f>IFERROR(INDEX(Plan!$B$5:$B$126,MATCH(H99,Plan!$A$5:$A$126,0)),"—")</f>
        <v/>
      </c>
      <c r="J99" s="7" t="inlineStr">
        <is>
          <t>Sugerido por ga-verificador-qa el 23-sep. Documentado por ga-funcionalidad-botones como O-01 en lib/servidor/limite.ts: x-forwarded-for/x-real-ip solo son confiables detrás de Vercel (nuestro caso); el límite real por cédula/IP lo hace la app, no Supabase.</t>
        </is>
      </c>
    </row>
    <row r="100">
      <c r="A100" s="19" t="inlineStr">
        <is>
          <t>P-50</t>
        </is>
      </c>
      <c r="B100" s="4" t="inlineStr">
        <is>
          <t>Verificación y cierre</t>
        </is>
      </c>
      <c r="C100" s="4" t="inlineStr">
        <is>
          <t>Correos</t>
        </is>
      </c>
      <c r="D100" s="7" t="inlineStr">
        <is>
          <t>Confirmar que salen los correos de afiliación (el log queda en la terminal de next dev)</t>
        </is>
      </c>
      <c r="E100" s="7" t="inlineStr">
        <is>
          <t>Yo</t>
        </is>
      </c>
      <c r="F100" s="8" t="inlineStr">
        <is>
          <t>Media</t>
        </is>
      </c>
      <c r="G100" s="8" t="inlineStr">
        <is>
          <t>Hecho</t>
        </is>
      </c>
      <c r="H100" s="8" t="inlineStr">
        <is>
          <t>—</t>
        </is>
      </c>
      <c r="I100" s="21">
        <f>IFERROR(INDEX(Plan!$B$5:$B$126,MATCH(H100,Plan!$A$5:$A$126,0)),"—")</f>
        <v/>
      </c>
      <c r="J100" s="7" t="inlineStr">
        <is>
          <t>Ya no aplica: el 23-sep se quitaron los correos de afiliación del código (decisión de Sebas).</t>
        </is>
      </c>
    </row>
    <row r="101">
      <c r="A101" s="19" t="inlineStr">
        <is>
          <t>P-62</t>
        </is>
      </c>
      <c r="B101" s="4" t="inlineStr">
        <is>
          <t>Verificación y cierre</t>
        </is>
      </c>
      <c r="C101" s="4" t="inlineStr">
        <is>
          <t>Base de datos</t>
        </is>
      </c>
      <c r="D101" s="7" t="inlineStr">
        <is>
          <t>Borrar la cuenta admin de prueba «Test QA» (cédula 1099887766) desde el panel de Supabase</t>
        </is>
      </c>
      <c r="E101" s="7" t="inlineStr">
        <is>
          <t>Sebas</t>
        </is>
      </c>
      <c r="F101" s="8" t="inlineStr">
        <is>
          <t>Media</t>
        </is>
      </c>
      <c r="G101" s="8" t="inlineStr">
        <is>
          <t>Hecho</t>
        </is>
      </c>
      <c r="H101" s="8" t="inlineStr">
        <is>
          <t>6.13</t>
        </is>
      </c>
      <c r="I101" s="21">
        <f>IFERROR(INDEX(Plan!$B$5:$B$126,MATCH(H101,Plan!$A$5:$A$126,0)),"—")</f>
        <v/>
      </c>
      <c r="J101" s="7" t="inlineStr">
        <is>
          <t>Ya hay 3 administradores reales en producción: Ricardo, Abogados Prieto y Sebas. 24-sep: usuario «Test QA» borrado de producción por Sebas.</t>
        </is>
      </c>
    </row>
    <row r="102">
      <c r="A102" s="19" t="inlineStr">
        <is>
          <t>P-71</t>
        </is>
      </c>
      <c r="B102" s="4" t="inlineStr">
        <is>
          <t>Verificación y cierre</t>
        </is>
      </c>
      <c r="C102" s="4" t="inlineStr">
        <is>
          <t>Pruebas</t>
        </is>
      </c>
      <c r="D102" s="7" t="inlineStr">
        <is>
          <t>Actualizar tests/e2e b-ingreso, i-despliegue y j-produccion al formato nuevo de máscara de correo</t>
        </is>
      </c>
      <c r="E102" s="7" t="inlineStr">
        <is>
          <t>Carlos Pardo</t>
        </is>
      </c>
      <c r="F102" s="8" t="inlineStr">
        <is>
          <t>Media</t>
        </is>
      </c>
      <c r="G102" s="8" t="inlineStr">
        <is>
          <t>Hecho</t>
        </is>
      </c>
      <c r="H102" s="8" t="inlineStr">
        <is>
          <t>6.15</t>
        </is>
      </c>
      <c r="I102" s="21">
        <f>IFERROR(INDEX(Plan!$B$5:$B$126,MATCH(H102,Plan!$A$5:$A$126,0)),"—")</f>
        <v/>
      </c>
      <c r="J102"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103">
      <c r="A103" s="19" t="inlineStr">
        <is>
          <t>P-94</t>
        </is>
      </c>
      <c r="B103" s="4" t="inlineStr">
        <is>
          <t>Verificación y cierre</t>
        </is>
      </c>
      <c r="C103" s="4" t="inlineStr">
        <is>
          <t>Pruebas</t>
        </is>
      </c>
      <c r="D103" s="7" t="inlineStr">
        <is>
          <t>Correr tests/e2e/b-ingreso.spec.ts y d-afiliacion.spec.ts contra la maquetación C+ de ingreso y afiliación, con Supabase local</t>
        </is>
      </c>
      <c r="E103" s="7" t="inlineStr">
        <is>
          <t>ga-verificador-qa o ga-escritor-tests</t>
        </is>
      </c>
      <c r="F103" s="8" t="inlineStr">
        <is>
          <t>Media</t>
        </is>
      </c>
      <c r="G103" s="8" t="inlineStr">
        <is>
          <t>Hecho</t>
        </is>
      </c>
      <c r="H103" s="8" t="inlineStr">
        <is>
          <t>2.15</t>
        </is>
      </c>
      <c r="I103" s="21">
        <f>IFERROR(INDEX(Plan!$B$5:$B$126,MATCH(H103,Plan!$A$5:$A$126,0)),"—")</f>
        <v/>
      </c>
      <c r="J103"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104">
      <c r="A104" s="19" t="inlineStr">
        <is>
          <t>P-102</t>
        </is>
      </c>
      <c r="B104" s="4" t="inlineStr">
        <is>
          <t>Verificación y cierre</t>
        </is>
      </c>
      <c r="C104" s="4" t="inlineStr">
        <is>
          <t>Landing</t>
        </is>
      </c>
      <c r="D104" s="7" t="inlineStr">
        <is>
          <t>B-01: sección de testimonios de la landing con corchetes de ejemplo visibles ([Nombre], [Testimonio]...)</t>
        </is>
      </c>
      <c r="E104" s="7" t="inlineStr">
        <is>
          <t>sesión principal</t>
        </is>
      </c>
      <c r="F104" s="8" t="inlineStr">
        <is>
          <t>Baja</t>
        </is>
      </c>
      <c r="G104" s="8" t="inlineStr">
        <is>
          <t>Hecho</t>
        </is>
      </c>
      <c r="H104" s="8" t="inlineStr">
        <is>
          <t>2.14</t>
        </is>
      </c>
      <c r="I104" s="21">
        <f>IFERROR(INDEX(Plan!$B$5:$B$126,MATCH(H104,Plan!$A$5:$A$126,0)),"—")</f>
        <v/>
      </c>
      <c r="J104" s="7" t="inlineStr">
        <is>
          <t>27-sep: hallazgo Bajo de ga-verificador-qa. Corregido en rediseno-c-plus (commit local fdab456): la sección se oculta mientras tenga textos de ejemplo. Falta el contenido real y decidir si se mantiene la sección, ver P-103.</t>
        </is>
      </c>
    </row>
    <row r="105">
      <c r="A105" s="19" t="inlineStr">
        <is>
          <t>P-52</t>
        </is>
      </c>
      <c r="B105" s="4" t="inlineStr">
        <is>
          <t>Verificación y cierre</t>
        </is>
      </c>
      <c r="C105" s="4" t="inlineStr">
        <is>
          <t>Documentación</t>
        </is>
      </c>
      <c r="D105" s="7" t="inlineStr">
        <is>
          <t>Mapa de botones: §4 «Nueva solicitud» → /cuenta/solicitar y sección para la ruta /cuenta/solicitar</t>
        </is>
      </c>
      <c r="E105" s="7" t="inlineStr">
        <is>
          <t>ga-funcionalidad-botones</t>
        </is>
      </c>
      <c r="F105" s="8" t="inlineStr">
        <is>
          <t>Baja</t>
        </is>
      </c>
      <c r="G105" s="8" t="inlineStr">
        <is>
          <t>Hecho</t>
        </is>
      </c>
      <c r="H105" s="8" t="inlineStr">
        <is>
          <t>3.7</t>
        </is>
      </c>
      <c r="I105" s="21">
        <f>IFERROR(INDEX(Plan!$B$5:$B$126,MATCH(H105,Plan!$A$5:$A$126,0)),"—")</f>
        <v/>
      </c>
      <c r="J105" s="7" t="inlineStr">
        <is>
          <t>Reportado por ga-diseno-a-codigo. Verificado el 23-sep: docs/mapa-de-botones.md ya tiene §4 «Nueva solicitud» → /cuenta/solicitar (Definido) y §4b /cuenta/solicitar; /dashboard se eliminó.</t>
        </is>
      </c>
    </row>
    <row r="106">
      <c r="A106" s="19" t="inlineStr">
        <is>
          <t>P-63</t>
        </is>
      </c>
      <c r="B106" s="4" t="inlineStr">
        <is>
          <t>Decisión</t>
        </is>
      </c>
      <c r="C106" s="4" t="inlineStr">
        <is>
          <t>Fase 2</t>
        </is>
      </c>
      <c r="D106" s="7" t="inlineStr">
        <is>
          <t>Preguntas abiertas de fase 2 para la cooperativa: grados del Ejército, dominios de correo institucionales (hoy solo policia.gov.co, buzonejercito.mil.co, ejercito.mil.co), tiempo que se guardan las fotos y tope de intentos del sorteo</t>
        </is>
      </c>
      <c r="E106" s="7" t="inlineStr">
        <is>
          <t>Cooperativa</t>
        </is>
      </c>
      <c r="F106" s="8" t="inlineStr">
        <is>
          <t>Alta</t>
        </is>
      </c>
      <c r="G106" s="8" t="inlineStr">
        <is>
          <t>Pendiente</t>
        </is>
      </c>
      <c r="H106" s="8" t="inlineStr">
        <is>
          <t>1.5</t>
        </is>
      </c>
      <c r="I106" s="21">
        <f>IFERROR(INDEX(Plan!$B$5:$B$126,MATCH(H106,Plan!$A$5:$A$126,0)),"—")</f>
        <v/>
      </c>
      <c r="J106" s="7" t="inlineStr">
        <is>
          <t>Ver docs/spec-fase-2.md §Preguntas abiertas. 30-sep: no aparece en §12; por confirmar (dominio del Ejército).</t>
        </is>
      </c>
    </row>
    <row r="107">
      <c r="A107" s="19" t="inlineStr">
        <is>
          <t>P-123</t>
        </is>
      </c>
      <c r="B107" s="4" t="inlineStr">
        <is>
          <t>Decisión</t>
        </is>
      </c>
      <c r="C107" s="4" t="inlineStr">
        <is>
          <t>Correos</t>
        </is>
      </c>
      <c r="D107" s="7" t="inlineStr">
        <is>
          <t>Plan Pro de Resend (verificar precio)</t>
        </is>
      </c>
      <c r="E107" s="7" t="inlineStr">
        <is>
          <t>Cooperativa</t>
        </is>
      </c>
      <c r="F107" s="8" t="inlineStr">
        <is>
          <t>Media</t>
        </is>
      </c>
      <c r="G107" s="8" t="inlineStr">
        <is>
          <t>Pendiente</t>
        </is>
      </c>
      <c r="H107" s="8" t="inlineStr">
        <is>
          <t>6.28</t>
        </is>
      </c>
      <c r="I107" s="21">
        <f>IFERROR(INDEX(Plan!$B$5:$B$126,MATCH(H107,Plan!$A$5:$A$126,0)),"—")</f>
        <v/>
      </c>
      <c r="J107" s="7" t="inlineStr">
        <is>
          <t>Ver docs/entrega/plan-correos-resend.md.</t>
        </is>
      </c>
    </row>
    <row r="108">
      <c r="A108" s="19" t="inlineStr">
        <is>
          <t>P-140</t>
        </is>
      </c>
      <c r="B108" s="4" t="inlineStr">
        <is>
          <t>Decisión</t>
        </is>
      </c>
      <c r="C108" s="4" t="inlineStr">
        <is>
          <t>Admin</t>
        </is>
      </c>
      <c r="D108" s="7" t="inlineStr">
        <is>
          <t>Preguntar a la cooperativa cómo se desactiva o se baja de rol a un administrador (desde el 9-oct la app no lo permite, por H-07)</t>
        </is>
      </c>
      <c r="E108" s="7" t="inlineStr">
        <is>
          <t>Cooperativa</t>
        </is>
      </c>
      <c r="F108" s="8" t="inlineStr">
        <is>
          <t>Media</t>
        </is>
      </c>
      <c r="G108" s="8" t="inlineStr">
        <is>
          <t>Pendiente</t>
        </is>
      </c>
      <c r="H108" s="8" t="inlineStr">
        <is>
          <t>—</t>
        </is>
      </c>
      <c r="I108" s="21">
        <f>IFERROR(INDEX(Plan!$B$5:$B$126,MATCH(H108,Plan!$A$5:$A$126,0)),"—")</f>
        <v/>
      </c>
      <c r="J108" s="7" t="inlineStr">
        <is>
          <t>09-oct: si la cooperativa lo necesita, hace falta otra migración.</t>
        </is>
      </c>
    </row>
    <row r="109">
      <c r="A109" s="19" t="inlineStr">
        <is>
          <t>P-98</t>
        </is>
      </c>
      <c r="B109" s="4" t="inlineStr">
        <is>
          <t>Decisión</t>
        </is>
      </c>
      <c r="C109" s="4" t="inlineStr">
        <is>
          <t>Asesor</t>
        </is>
      </c>
      <c r="D109" s="7" t="inlineStr">
        <is>
          <t>Confirmar la regla de categorización de asociados ya afiliados como «Aprobada» en las tarjetas/chips de /asesor (pedido D-06 del lienzo)</t>
        </is>
      </c>
      <c r="E109" s="7" t="inlineStr">
        <is>
          <t>Sebas</t>
        </is>
      </c>
      <c r="F109" s="8" t="inlineStr">
        <is>
          <t>Media</t>
        </is>
      </c>
      <c r="G109" s="8" t="inlineStr">
        <is>
          <t>Pendiente</t>
        </is>
      </c>
      <c r="H109" s="8" t="inlineStr">
        <is>
          <t>4.10</t>
        </is>
      </c>
      <c r="I109" s="21">
        <f>IFERROR(INDEX(Plan!$B$5:$B$126,MATCH(H109,Plan!$A$5:$A$126,0)),"—")</f>
        <v/>
      </c>
      <c r="J109"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10">
      <c r="A110" s="19" t="inlineStr">
        <is>
          <t>P-02</t>
        </is>
      </c>
      <c r="B110" s="4" t="inlineStr">
        <is>
          <t>Decisión</t>
        </is>
      </c>
      <c r="C110" s="4" t="inlineStr">
        <is>
          <t>/cuenta</t>
        </is>
      </c>
      <c r="D110" s="7" t="inlineStr">
        <is>
          <t>Preguntar a la cooperativa si los convenios tendrán página propia</t>
        </is>
      </c>
      <c r="E110" s="7" t="inlineStr">
        <is>
          <t>Cooperativa</t>
        </is>
      </c>
      <c r="F110" s="8" t="inlineStr">
        <is>
          <t>Baja</t>
        </is>
      </c>
      <c r="G110" s="8" t="inlineStr">
        <is>
          <t>Pendiente</t>
        </is>
      </c>
      <c r="H110" s="8" t="inlineStr">
        <is>
          <t>5.1</t>
        </is>
      </c>
      <c r="I110" s="21">
        <f>IFERROR(INDEX(Plan!$B$5:$B$126,MATCH(H110,Plan!$A$5:$A$126,0)),"—")</f>
        <v/>
      </c>
      <c r="J110" s="7" t="inlineStr">
        <is>
          <t>Por ahora son una sección en /cuenta (#convenios).</t>
        </is>
      </c>
    </row>
    <row r="111">
      <c r="A111" s="19" t="inlineStr">
        <is>
          <t>P-107</t>
        </is>
      </c>
      <c r="B111" s="4" t="inlineStr">
        <is>
          <t>Decisión</t>
        </is>
      </c>
      <c r="C111" s="4" t="inlineStr">
        <is>
          <t>/afiliacion/enviada</t>
        </is>
      </c>
      <c r="D111" s="7" t="inlineStr">
        <is>
          <t>Confirmar si «4 horas» de /afiliacion/enviada también cambia</t>
        </is>
      </c>
      <c r="E111" s="7" t="inlineStr">
        <is>
          <t>Sebas</t>
        </is>
      </c>
      <c r="F111" s="8" t="inlineStr">
        <is>
          <t>Baja</t>
        </is>
      </c>
      <c r="G111" s="8" t="inlineStr">
        <is>
          <t>Pendiente</t>
        </is>
      </c>
      <c r="H111" s="8" t="inlineStr">
        <is>
          <t>6.22</t>
        </is>
      </c>
      <c r="I111" s="21">
        <f>IFERROR(INDEX(Plan!$B$5:$B$126,MATCH(H111,Plan!$A$5:$A$126,0)),"—")</f>
        <v/>
      </c>
      <c r="J111" s="7" t="inlineStr"/>
    </row>
    <row r="112">
      <c r="A112" s="19" t="inlineStr">
        <is>
          <t>P-09</t>
        </is>
      </c>
      <c r="B112" s="4" t="inlineStr">
        <is>
          <t>Decisión</t>
        </is>
      </c>
      <c r="C112" s="4" t="inlineStr">
        <is>
          <t>Base de datos</t>
        </is>
      </c>
      <c r="D112" s="7" t="inlineStr">
        <is>
          <t>Revisar y aplicar en producción la migración blindar_solicitudes_y_revisiones</t>
        </is>
      </c>
      <c r="E112" s="7" t="inlineStr">
        <is>
          <t>Sebas (ga-auditor-supabase revisa antes)</t>
        </is>
      </c>
      <c r="F112" s="8" t="inlineStr">
        <is>
          <t>Alta</t>
        </is>
      </c>
      <c r="G112" s="8" t="inlineStr">
        <is>
          <t>Hecho</t>
        </is>
      </c>
      <c r="H112" s="8" t="inlineStr">
        <is>
          <t>6.10</t>
        </is>
      </c>
      <c r="I112" s="21">
        <f>IFERROR(INDEX(Plan!$B$5:$B$126,MATCH(H112,Plan!$A$5:$A$126,0)),"—")</f>
        <v/>
      </c>
      <c r="J112" s="7" t="inlineStr">
        <is>
          <t>Verificado con list_migrations el 23-sep: producción ya tiene 20260923173355_blindar_solicitudes_y_revisiones.</t>
        </is>
      </c>
    </row>
    <row r="113">
      <c r="A113" s="19" t="inlineStr">
        <is>
          <t>P-08</t>
        </is>
      </c>
      <c r="B113" s="4" t="inlineStr">
        <is>
          <t>Decisión</t>
        </is>
      </c>
      <c r="C113" s="4" t="inlineStr">
        <is>
          <t>/cuenta</t>
        </is>
      </c>
      <c r="D113" s="7" t="inlineStr">
        <is>
          <t>P-10: el asociado no cambia su nombre pero sí su teléfono</t>
        </is>
      </c>
      <c r="E113" s="7" t="inlineStr">
        <is>
          <t>Yo</t>
        </is>
      </c>
      <c r="F113" s="8" t="inlineStr">
        <is>
          <t>Media</t>
        </is>
      </c>
      <c r="G113" s="8" t="inlineStr">
        <is>
          <t>Hecho</t>
        </is>
      </c>
      <c r="H113" s="8" t="inlineStr">
        <is>
          <t>3.6</t>
        </is>
      </c>
      <c r="I113" s="21">
        <f>IFERROR(INDEX(Plan!$B$5:$B$126,MATCH(H113,Plan!$A$5:$A$126,0)),"—")</f>
        <v/>
      </c>
      <c r="J113" s="7" t="inlineStr">
        <is>
          <t>Apartado «Mis datos» ya maquetado.</t>
        </is>
      </c>
    </row>
    <row r="114">
      <c r="A114" s="19" t="inlineStr">
        <is>
          <t>P-100</t>
        </is>
      </c>
      <c r="B114" s="4" t="inlineStr">
        <is>
          <t>Decisión</t>
        </is>
      </c>
      <c r="C114" s="4" t="inlineStr">
        <is>
          <t>Seguridad</t>
        </is>
      </c>
      <c r="D114" s="7" t="inlineStr">
        <is>
          <t>Migración de permisos por columna para que un asociado no pueda leer la tasa de interés consultando la API directo con su sesión</t>
        </is>
      </c>
      <c r="E114" s="7" t="inlineStr">
        <is>
          <t>Sebas</t>
        </is>
      </c>
      <c r="F114" s="8" t="inlineStr">
        <is>
          <t>Media</t>
        </is>
      </c>
      <c r="G114" s="8" t="inlineStr">
        <is>
          <t>Hecho</t>
        </is>
      </c>
      <c r="H114" s="8" t="inlineStr">
        <is>
          <t>3.5</t>
        </is>
      </c>
      <c r="I114" s="21">
        <f>IFERROR(INDEX(Plan!$B$5:$B$126,MATCH(H114,Plan!$A$5:$A$126,0)),"—")</f>
        <v/>
      </c>
      <c r="J114"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5">
      <c r="A115" s="19" t="inlineStr">
        <is>
          <t>P-106</t>
        </is>
      </c>
      <c r="B115" s="4" t="inlineStr">
        <is>
          <t>Decisión</t>
        </is>
      </c>
      <c r="C115" s="4" t="inlineStr">
        <is>
          <t>Admin</t>
        </is>
      </c>
      <c r="D115" s="7" t="inlineStr">
        <is>
          <t>R-09: quién registra los pagos de comisión</t>
        </is>
      </c>
      <c r="E115" s="7" t="inlineStr">
        <is>
          <t>Sebas + Ricardo</t>
        </is>
      </c>
      <c r="F115" s="8" t="inlineStr">
        <is>
          <t>Media</t>
        </is>
      </c>
      <c r="G115" s="8" t="inlineStr">
        <is>
          <t>Hecho</t>
        </is>
      </c>
      <c r="H115" s="8" t="inlineStr">
        <is>
          <t>—</t>
        </is>
      </c>
      <c r="I115" s="21">
        <f>IFERROR(INDEX(Plan!$B$5:$B$126,MATCH(H115,Plan!$A$5:$A$126,0)),"—")</f>
        <v/>
      </c>
      <c r="J115" s="7" t="inlineStr">
        <is>
          <t>R-10 y R-11 cerrados por Sebas (§12.14).</t>
        </is>
      </c>
    </row>
    <row r="116">
      <c r="A116" s="19" t="inlineStr">
        <is>
          <t>P-111</t>
        </is>
      </c>
      <c r="B116" s="4" t="inlineStr">
        <is>
          <t>Decisión</t>
        </is>
      </c>
      <c r="C116" s="4" t="inlineStr">
        <is>
          <t>/admin</t>
        </is>
      </c>
      <c r="D116" s="7" t="inlineStr">
        <is>
          <t>¿«Inscritos al sorteo» entra al dashboard del admin?</t>
        </is>
      </c>
      <c r="E116" s="7" t="inlineStr">
        <is>
          <t>Cooperativa</t>
        </is>
      </c>
      <c r="F116" s="8" t="inlineStr">
        <is>
          <t>Media</t>
        </is>
      </c>
      <c r="G116" s="8" t="inlineStr">
        <is>
          <t>Hecho</t>
        </is>
      </c>
      <c r="H116" s="8" t="inlineStr">
        <is>
          <t>4.7</t>
        </is>
      </c>
      <c r="I116" s="21">
        <f>IFERROR(INDEX(Plan!$B$5:$B$126,MATCH(H116,Plan!$A$5:$A$126,0)),"—")</f>
        <v/>
      </c>
      <c r="J116" s="7" t="inlineStr">
        <is>
          <t>30-sep: reportado por ga-disenador-lienzo y ga-diseno-a-codigo.</t>
        </is>
      </c>
    </row>
    <row r="117">
      <c r="A117" s="19" t="inlineStr">
        <is>
          <t>P-119</t>
        </is>
      </c>
      <c r="B117" s="4" t="inlineStr">
        <is>
          <t>Decisión</t>
        </is>
      </c>
      <c r="C117" s="4" t="inlineStr">
        <is>
          <t>Admin</t>
        </is>
      </c>
      <c r="D117" s="7" t="inlineStr">
        <is>
          <t>Preguntas sobre el rol secretario (¿ve Asociados/Créditos en solo lectura?)</t>
        </is>
      </c>
      <c r="E117" s="7" t="inlineStr">
        <is>
          <t>Cooperativa</t>
        </is>
      </c>
      <c r="F117" s="8" t="inlineStr">
        <is>
          <t>Media</t>
        </is>
      </c>
      <c r="G117" s="8" t="inlineStr">
        <is>
          <t>Hecho</t>
        </is>
      </c>
      <c r="H117" s="8" t="inlineStr">
        <is>
          <t>4.20</t>
        </is>
      </c>
      <c r="I117" s="21">
        <f>IFERROR(INDEX(Plan!$B$5:$B$126,MATCH(H117,Plan!$A$5:$A$126,0)),"—")</f>
        <v/>
      </c>
      <c r="J117" s="7" t="inlineStr"/>
    </row>
    <row r="118">
      <c r="A118" s="19" t="inlineStr">
        <is>
          <t>P-120</t>
        </is>
      </c>
      <c r="B118" s="4" t="inlineStr">
        <is>
          <t>Decisión</t>
        </is>
      </c>
      <c r="C118" s="4" t="inlineStr">
        <is>
          <t>Admin</t>
        </is>
      </c>
      <c r="D118" s="7" t="inlineStr">
        <is>
          <t>¿Se borran los comprobantes de desembolso al eliminar definitivamente a un asociado?</t>
        </is>
      </c>
      <c r="E118" s="7" t="inlineStr">
        <is>
          <t>Cooperativa</t>
        </is>
      </c>
      <c r="F118" s="8" t="inlineStr">
        <is>
          <t>Media</t>
        </is>
      </c>
      <c r="G118" s="8" t="inlineStr">
        <is>
          <t>Hecho</t>
        </is>
      </c>
      <c r="H118" s="8" t="inlineStr">
        <is>
          <t>4.19</t>
        </is>
      </c>
      <c r="I118" s="21">
        <f>IFERROR(INDEX(Plan!$B$5:$B$126,MATCH(H118,Plan!$A$5:$A$126,0)),"—")</f>
        <v/>
      </c>
      <c r="J118" s="7" t="inlineStr"/>
    </row>
    <row r="119">
      <c r="A119" s="19" t="inlineStr">
        <is>
          <t>P-122</t>
        </is>
      </c>
      <c r="B119" s="4" t="inlineStr">
        <is>
          <t>Decisión</t>
        </is>
      </c>
      <c r="C119" s="4" t="inlineStr">
        <is>
          <t>/cuenta</t>
        </is>
      </c>
      <c r="D119" s="7" t="inlineStr">
        <is>
          <t>Moderación de las fotos que sube el asociado al carné</t>
        </is>
      </c>
      <c r="E119" s="7" t="inlineStr">
        <is>
          <t>Cooperativa</t>
        </is>
      </c>
      <c r="F119" s="8" t="inlineStr">
        <is>
          <t>Media</t>
        </is>
      </c>
      <c r="G119" s="8" t="inlineStr">
        <is>
          <t>Hecho</t>
        </is>
      </c>
      <c r="H119" s="8" t="inlineStr">
        <is>
          <t>5.15</t>
        </is>
      </c>
      <c r="I119" s="21">
        <f>IFERROR(INDEX(Plan!$B$5:$B$126,MATCH(H119,Plan!$A$5:$A$126,0)),"—")</f>
        <v/>
      </c>
      <c r="J119" s="7" t="inlineStr"/>
    </row>
    <row r="120">
      <c r="A120" s="19" t="inlineStr">
        <is>
          <t>P-65</t>
        </is>
      </c>
      <c r="B120" s="4" t="inlineStr">
        <is>
          <t>Decisión</t>
        </is>
      </c>
      <c r="C120" s="4" t="inlineStr">
        <is>
          <t>Sorteo</t>
        </is>
      </c>
      <c r="D120" s="7" t="inlineStr">
        <is>
          <t>Decidir si un admin o un asesor pueden participar en el sorteo mensual</t>
        </is>
      </c>
      <c r="E120" s="7" t="inlineStr">
        <is>
          <t>Cooperativa</t>
        </is>
      </c>
      <c r="F120" s="8" t="inlineStr">
        <is>
          <t>Media</t>
        </is>
      </c>
      <c r="G120" s="8" t="inlineStr">
        <is>
          <t>Hecho</t>
        </is>
      </c>
      <c r="H120" s="8" t="inlineStr">
        <is>
          <t>3.9</t>
        </is>
      </c>
      <c r="I120" s="21">
        <f>IFERROR(INDEX(Plan!$B$5:$B$126,MATCH(H120,Plan!$A$5:$A$126,0)),"—")</f>
        <v/>
      </c>
      <c r="J120" s="7" t="inlineStr">
        <is>
          <t>Sugerido por ga-revisor-seguridad el 24-sep. 24-sep: decidido que solo participan asociados (S-13, ya implementado en participarSorteo).</t>
        </is>
      </c>
    </row>
    <row r="121">
      <c r="A121" s="19" t="inlineStr">
        <is>
          <t>P-95</t>
        </is>
      </c>
      <c r="B121" s="4" t="inlineStr">
        <is>
          <t>Decisión</t>
        </is>
      </c>
      <c r="C121" s="4" t="inlineStr">
        <is>
          <t>Admin</t>
        </is>
      </c>
      <c r="D121" s="7" t="inlineStr">
        <is>
          <t>Botón «Escribir por WhatsApp» en el detalle de afiliación del admin</t>
        </is>
      </c>
      <c r="E121" s="7" t="inlineStr">
        <is>
          <t>Cooperativa</t>
        </is>
      </c>
      <c r="F121" s="8" t="inlineStr">
        <is>
          <t>Media</t>
        </is>
      </c>
      <c r="G121" s="8" t="inlineStr">
        <is>
          <t>Hecho</t>
        </is>
      </c>
      <c r="H121" s="8" t="inlineStr">
        <is>
          <t>4.11</t>
        </is>
      </c>
      <c r="I121" s="21">
        <f>IFERROR(INDEX(Plan!$B$5:$B$126,MATCH(H121,Plan!$A$5:$A$126,0)),"—")</f>
        <v/>
      </c>
      <c r="J121"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22">
      <c r="A122" s="19" t="inlineStr">
        <is>
          <t>P-96</t>
        </is>
      </c>
      <c r="B122" s="4" t="inlineStr">
        <is>
          <t>Decisión</t>
        </is>
      </c>
      <c r="C122" s="4" t="inlineStr">
        <is>
          <t>Admin</t>
        </is>
      </c>
      <c r="D122" s="7" t="inlineStr">
        <is>
          <t>Asignar/desactivar el asesor de un asociado (proceso sin definir)</t>
        </is>
      </c>
      <c r="E122" s="7" t="inlineStr">
        <is>
          <t>Cooperativa</t>
        </is>
      </c>
      <c r="F122" s="8" t="inlineStr">
        <is>
          <t>Media</t>
        </is>
      </c>
      <c r="G122" s="8" t="inlineStr">
        <is>
          <t>Hecho</t>
        </is>
      </c>
      <c r="H122" s="8" t="inlineStr">
        <is>
          <t>4.11</t>
        </is>
      </c>
      <c r="I122" s="21">
        <f>IFERROR(INDEX(Plan!$B$5:$B$126,MATCH(H122,Plan!$A$5:$A$126,0)),"—")</f>
        <v/>
      </c>
      <c r="J122"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23">
      <c r="A123" s="19" t="inlineStr">
        <is>
          <t>P-97</t>
        </is>
      </c>
      <c r="B123" s="4" t="inlineStr">
        <is>
          <t>Decisión</t>
        </is>
      </c>
      <c r="C123" s="4" t="inlineStr">
        <is>
          <t>Admin</t>
        </is>
      </c>
      <c r="D123" s="7" t="inlineStr">
        <is>
          <t>Motivo de rechazo visible en el detalle de afiliación (requiere migración)</t>
        </is>
      </c>
      <c r="E123" s="7" t="inlineStr">
        <is>
          <t>Cooperativa</t>
        </is>
      </c>
      <c r="F123" s="8" t="inlineStr">
        <is>
          <t>Media</t>
        </is>
      </c>
      <c r="G123" s="8" t="inlineStr">
        <is>
          <t>Hecho</t>
        </is>
      </c>
      <c r="H123" s="8" t="inlineStr">
        <is>
          <t>4.11</t>
        </is>
      </c>
      <c r="I123" s="21">
        <f>IFERROR(INDEX(Plan!$B$5:$B$126,MATCH(H123,Plan!$A$5:$A$126,0)),"—")</f>
        <v/>
      </c>
      <c r="J123"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24">
      <c r="A124" s="19" t="inlineStr">
        <is>
          <t>P-01</t>
        </is>
      </c>
      <c r="B124" s="4" t="inlineStr">
        <is>
          <t>Decisión</t>
        </is>
      </c>
      <c r="C124" s="4" t="inlineStr">
        <is>
          <t>General</t>
        </is>
      </c>
      <c r="D124" s="7" t="inlineStr">
        <is>
          <t>Color de error #B3261E</t>
        </is>
      </c>
      <c r="E124" s="7" t="inlineStr">
        <is>
          <t>Yo</t>
        </is>
      </c>
      <c r="F124" s="8" t="inlineStr">
        <is>
          <t>Baja</t>
        </is>
      </c>
      <c r="G124" s="8" t="inlineStr">
        <is>
          <t>Hecho</t>
        </is>
      </c>
      <c r="H124" s="8" t="inlineStr">
        <is>
          <t>—</t>
        </is>
      </c>
      <c r="I124" s="21">
        <f>IFERROR(INDEX(Plan!$B$5:$B$126,MATCH(H124,Plan!$A$5:$A$126,0)),"—")</f>
        <v/>
      </c>
      <c r="J124" s="7" t="inlineStr">
        <is>
          <t>Se deja.</t>
        </is>
      </c>
    </row>
    <row r="125">
      <c r="A125" s="19" t="inlineStr">
        <is>
          <t>P-03</t>
        </is>
      </c>
      <c r="B125" s="4" t="inlineStr">
        <is>
          <t>Decisión</t>
        </is>
      </c>
      <c r="C125" s="4" t="inlineStr">
        <is>
          <t>/cuenta</t>
        </is>
      </c>
      <c r="D125" s="7" t="inlineStr">
        <is>
          <t>Estado vacío de «Tu solicitud»</t>
        </is>
      </c>
      <c r="E125" s="7" t="inlineStr">
        <is>
          <t>Yo</t>
        </is>
      </c>
      <c r="F125" s="8" t="inlineStr">
        <is>
          <t>Baja</t>
        </is>
      </c>
      <c r="G125" s="8" t="inlineStr">
        <is>
          <t>Hecho</t>
        </is>
      </c>
      <c r="H125" s="8" t="inlineStr">
        <is>
          <t>3.4</t>
        </is>
      </c>
      <c r="I125" s="21">
        <f>IFERROR(INDEX(Plan!$B$5:$B$126,MATCH(H125,Plan!$A$5:$A$126,0)),"—")</f>
        <v/>
      </c>
      <c r="J125" s="7" t="inlineStr">
        <is>
          <t>Ver con /cuenta?vacio=1.</t>
        </is>
      </c>
    </row>
    <row r="126">
      <c r="A126" s="19" t="inlineStr">
        <is>
          <t>P-04</t>
        </is>
      </c>
      <c r="B126" s="4" t="inlineStr">
        <is>
          <t>Decisión</t>
        </is>
      </c>
      <c r="C126" s="4" t="inlineStr">
        <is>
          <t>General</t>
        </is>
      </c>
      <c r="D126" s="7" t="inlineStr">
        <is>
          <t>Logo en celular como enlace a la landing</t>
        </is>
      </c>
      <c r="E126" s="7" t="inlineStr">
        <is>
          <t>Yo</t>
        </is>
      </c>
      <c r="F126" s="8" t="inlineStr">
        <is>
          <t>Baja</t>
        </is>
      </c>
      <c r="G126" s="8" t="inlineStr">
        <is>
          <t>Hecho</t>
        </is>
      </c>
      <c r="H126" s="8" t="inlineStr">
        <is>
          <t>—</t>
        </is>
      </c>
      <c r="I126" s="21">
        <f>IFERROR(INDEX(Plan!$B$5:$B$126,MATCH(H126,Plan!$A$5:$A$126,0)),"—")</f>
        <v/>
      </c>
      <c r="J126" s="7" t="inlineStr"/>
    </row>
    <row r="127">
      <c r="A127" s="19" t="inlineStr">
        <is>
          <t>P-05</t>
        </is>
      </c>
      <c r="B127" s="4" t="inlineStr">
        <is>
          <t>Decisión</t>
        </is>
      </c>
      <c r="C127" s="4" t="inlineStr">
        <is>
          <t>General</t>
        </is>
      </c>
      <c r="D127" s="7" t="inlineStr">
        <is>
          <t>Escudo: public/logos/vector/green-alliance-logo.svg</t>
        </is>
      </c>
      <c r="E127" s="7" t="inlineStr">
        <is>
          <t>Yo</t>
        </is>
      </c>
      <c r="F127" s="8" t="inlineStr">
        <is>
          <t>Baja</t>
        </is>
      </c>
      <c r="G127" s="8" t="inlineStr">
        <is>
          <t>Hecho</t>
        </is>
      </c>
      <c r="H127" s="8" t="inlineStr">
        <is>
          <t>—</t>
        </is>
      </c>
      <c r="I127" s="21">
        <f>IFERROR(INDEX(Plan!$B$5:$B$126,MATCH(H127,Plan!$A$5:$A$126,0)),"—")</f>
        <v/>
      </c>
      <c r="J127" s="7" t="inlineStr"/>
    </row>
    <row r="128">
      <c r="A128" s="19" t="inlineStr">
        <is>
          <t>P-06</t>
        </is>
      </c>
      <c r="B128" s="4" t="inlineStr">
        <is>
          <t>Decisión</t>
        </is>
      </c>
      <c r="C128" s="4" t="inlineStr">
        <is>
          <t>/ingresar</t>
        </is>
      </c>
      <c r="D128" s="7" t="inlineStr">
        <is>
          <t>Formulario de ingreso entre 640 y 767 px (columna de 440 px)</t>
        </is>
      </c>
      <c r="E128" s="7" t="inlineStr">
        <is>
          <t>Yo</t>
        </is>
      </c>
      <c r="F128" s="8" t="inlineStr">
        <is>
          <t>Baja</t>
        </is>
      </c>
      <c r="G128" s="8" t="inlineStr">
        <is>
          <t>Hecho</t>
        </is>
      </c>
      <c r="H128" s="8" t="inlineStr">
        <is>
          <t>5.2</t>
        </is>
      </c>
      <c r="I128" s="21">
        <f>IFERROR(INDEX(Plan!$B$5:$B$126,MATCH(H128,Plan!$A$5:$A$126,0)),"—")</f>
        <v/>
      </c>
      <c r="J128" s="7" t="inlineStr"/>
    </row>
    <row r="129">
      <c r="A129" s="19" t="inlineStr">
        <is>
          <t>P-07</t>
        </is>
      </c>
      <c r="B129" s="4" t="inlineStr">
        <is>
          <t>Decisión</t>
        </is>
      </c>
      <c r="C129" s="4" t="inlineStr">
        <is>
          <t>/ingresar</t>
        </is>
      </c>
      <c r="D129" s="7" t="inlineStr">
        <is>
          <t>Panel verde en tableta (640–1023 px) centrado</t>
        </is>
      </c>
      <c r="E129" s="7" t="inlineStr">
        <is>
          <t>Yo</t>
        </is>
      </c>
      <c r="F129" s="8" t="inlineStr">
        <is>
          <t>Baja</t>
        </is>
      </c>
      <c r="G129" s="8" t="inlineStr">
        <is>
          <t>Hecho</t>
        </is>
      </c>
      <c r="H129" s="8" t="inlineStr">
        <is>
          <t>5.2</t>
        </is>
      </c>
      <c r="I129" s="21">
        <f>IFERROR(INDEX(Plan!$B$5:$B$126,MATCH(H129,Plan!$A$5:$A$126,0)),"—")</f>
        <v/>
      </c>
      <c r="J129" s="7" t="inlineStr"/>
    </row>
    <row r="130">
      <c r="A130" s="19" t="inlineStr">
        <is>
          <t>P-103</t>
        </is>
      </c>
      <c r="B130" s="4" t="inlineStr">
        <is>
          <t>Decisión</t>
        </is>
      </c>
      <c r="C130" s="4" t="inlineStr">
        <is>
          <t>Landing</t>
        </is>
      </c>
      <c r="D130" s="7" t="inlineStr">
        <is>
          <t>D-07: ¿se mantiene la sección de testimonios de la landing? si sí, falta su diseño en la pieza 2a y de dónde salen los testimonios reales</t>
        </is>
      </c>
      <c r="E130" s="7" t="inlineStr">
        <is>
          <t>Cooperativa</t>
        </is>
      </c>
      <c r="F130" s="8" t="inlineStr">
        <is>
          <t>Baja</t>
        </is>
      </c>
      <c r="G130" s="8" t="inlineStr">
        <is>
          <t>Hecho</t>
        </is>
      </c>
      <c r="H130" s="8" t="inlineStr">
        <is>
          <t>2.14</t>
        </is>
      </c>
      <c r="I130" s="21">
        <f>IFERROR(INDEX(Plan!$B$5:$B$126,MATCH(H130,Plan!$A$5:$A$126,0)),"—")</f>
        <v/>
      </c>
      <c r="J130" s="7" t="inlineStr">
        <is>
          <t>27-sep: pedido de diseño nuevo de ga-verificador-qa (la sección no tiene respaldo en la pieza 2a del lienzo). Relacionado con P-16 (fotos/cifras/testimonios reales, 5.3). 27-sep: Sebas decidió quitar la sección de testimonios de la landing (commit 4c63924).</t>
        </is>
      </c>
    </row>
    <row r="131">
      <c r="A131" s="19" t="inlineStr">
        <is>
          <t>P-115</t>
        </is>
      </c>
      <c r="B131" s="4" t="inlineStr">
        <is>
          <t>Decisión</t>
        </is>
      </c>
      <c r="C131" s="4" t="inlineStr">
        <is>
          <t>/cuenta</t>
        </is>
      </c>
      <c r="D131" s="7" t="inlineStr">
        <is>
          <t>¿El carné virtual lleva un código QR?</t>
        </is>
      </c>
      <c r="E131" s="7" t="inlineStr">
        <is>
          <t>Cooperativa</t>
        </is>
      </c>
      <c r="F131" s="8" t="inlineStr">
        <is>
          <t>Baja</t>
        </is>
      </c>
      <c r="G131" s="8" t="inlineStr">
        <is>
          <t>Hecho</t>
        </is>
      </c>
      <c r="H131" s="8" t="inlineStr">
        <is>
          <t>5.12</t>
        </is>
      </c>
      <c r="I131" s="21">
        <f>IFERROR(INDEX(Plan!$B$5:$B$126,MATCH(H131,Plan!$A$5:$A$126,0)),"—")</f>
        <v/>
      </c>
      <c r="J131" s="7" t="inlineStr">
        <is>
          <t>01-oct: planteado por ga-disenador-lienzo al maquetar 3u. 01-oct: el carné lleva QR con /verificar/[token] (5.14).</t>
        </is>
      </c>
    </row>
    <row r="132">
      <c r="A132" s="19" t="inlineStr">
        <is>
          <t>P-121</t>
        </is>
      </c>
      <c r="B132" s="4" t="inlineStr">
        <is>
          <t>Decisión</t>
        </is>
      </c>
      <c r="C132" s="4" t="inlineStr">
        <is>
          <t>/cuenta</t>
        </is>
      </c>
      <c r="D132" s="7" t="inlineStr">
        <is>
          <t>¿El carné sin foto lleva una silueta?</t>
        </is>
      </c>
      <c r="E132" s="7" t="inlineStr">
        <is>
          <t>Cooperativa</t>
        </is>
      </c>
      <c r="F132" s="8" t="inlineStr">
        <is>
          <t>Baja</t>
        </is>
      </c>
      <c r="G132" s="8" t="inlineStr">
        <is>
          <t>Hecho</t>
        </is>
      </c>
      <c r="H132" s="8" t="inlineStr">
        <is>
          <t>5.15</t>
        </is>
      </c>
      <c r="I132" s="21">
        <f>IFERROR(INDEX(Plan!$B$5:$B$126,MATCH(H132,Plan!$A$5:$A$126,0)),"—")</f>
        <v/>
      </c>
      <c r="J132" s="7" t="inlineStr"/>
    </row>
    <row r="133">
      <c r="A133" s="19" t="inlineStr">
        <is>
          <t>P-125</t>
        </is>
      </c>
      <c r="B133" s="4" t="inlineStr">
        <is>
          <t>Decisión</t>
        </is>
      </c>
      <c r="C133" s="4" t="inlineStr">
        <is>
          <t>/verificar</t>
        </is>
      </c>
      <c r="D133" s="7" t="inlineStr">
        <is>
          <t>¿El nombre completo del asociado puede verse públicamente en /verificar?</t>
        </is>
      </c>
      <c r="E133" s="7" t="inlineStr">
        <is>
          <t>Cooperativa</t>
        </is>
      </c>
      <c r="F133" s="8" t="inlineStr">
        <is>
          <t>Baja</t>
        </is>
      </c>
      <c r="G133" s="8" t="inlineStr">
        <is>
          <t>Hecho</t>
        </is>
      </c>
      <c r="H133" s="8" t="inlineStr">
        <is>
          <t>5.14</t>
        </is>
      </c>
      <c r="I133" s="21">
        <f>IFERROR(INDEX(Plan!$B$5:$B$126,MATCH(H133,Plan!$A$5:$A$126,0)),"—")</f>
        <v/>
      </c>
      <c r="J133" s="7" t="inlineStr">
        <is>
          <t>01-oct: planteado por ga-revisor-seguridad.</t>
        </is>
      </c>
    </row>
    <row r="134">
      <c r="A134" s="19" t="inlineStr">
        <is>
          <t>P-53</t>
        </is>
      </c>
      <c r="B134" s="4" t="inlineStr">
        <is>
          <t>Decisión</t>
        </is>
      </c>
      <c r="C134" s="4" t="inlineStr">
        <is>
          <t>Landing</t>
        </is>
      </c>
      <c r="D134" s="7" t="inlineStr">
        <is>
          <t>A 320 px la línea «COOPERATIVA» del logo mide ~5 px de alto (opcional: ocultarla o achicar «Ingresar» bajo 360 px)</t>
        </is>
      </c>
      <c r="E134" s="7" t="inlineStr">
        <is>
          <t>Yo</t>
        </is>
      </c>
      <c r="F134" s="8" t="inlineStr">
        <is>
          <t>Baja</t>
        </is>
      </c>
      <c r="G134" s="8" t="inlineStr">
        <is>
          <t>Hecho</t>
        </is>
      </c>
      <c r="H134" s="8" t="inlineStr">
        <is>
          <t>—</t>
        </is>
      </c>
      <c r="I134" s="21">
        <f>IFERROR(INDEX(Plan!$B$5:$B$126,MATCH(H134,Plan!$A$5:$A$126,0)),"—")</f>
        <v/>
      </c>
      <c r="J134" s="7" t="inlineStr">
        <is>
          <t>Menor y opcional, reportado por ga-verificador-responsive el 23-sep. 01-oct: el logo horizontal oculta «COOPERATIVA» bajo 360 px.</t>
        </is>
      </c>
    </row>
    <row r="135">
      <c r="A135" s="19" t="inlineStr">
        <is>
          <t>P-126</t>
        </is>
      </c>
      <c r="B135" s="4" t="inlineStr">
        <is>
          <t>Seguridad</t>
        </is>
      </c>
      <c r="C135" s="4" t="inlineStr">
        <is>
          <t>Landing / convenios</t>
        </is>
      </c>
      <c r="D135" s="7" t="inlineStr">
        <is>
          <t>H-01: el WhatsApp de convenios llega al navegador en la landing y anon puede leer telefono_contacto de la API</t>
        </is>
      </c>
      <c r="E135" s="7" t="inlineStr">
        <is>
          <t>ga-funcionalidad-botones</t>
        </is>
      </c>
      <c r="F135" s="8" t="inlineStr">
        <is>
          <t>Alta</t>
        </is>
      </c>
      <c r="G135" s="8" t="inlineStr">
        <is>
          <t>Hecho</t>
        </is>
      </c>
      <c r="H135" s="8" t="inlineStr">
        <is>
          <t>6.32</t>
        </is>
      </c>
      <c r="I135" s="21">
        <f>IFERROR(INDEX(Plan!$B$5:$B$126,MATCH(H135,Plan!$A$5:$A$126,0)),"—")</f>
        <v/>
      </c>
      <c r="J135" s="7" t="inlineStr">
        <is>
          <t>08-oct: ga-revisor-seguridad. 09-oct: Hecho en código; falta aplicar la migración 20261009000000 (P-138) y desplegar (P-139).</t>
        </is>
      </c>
    </row>
    <row r="136">
      <c r="A136" s="19" t="inlineStr">
        <is>
          <t>P-101</t>
        </is>
      </c>
      <c r="B136" s="4" t="inlineStr">
        <is>
          <t>Seguridad</t>
        </is>
      </c>
      <c r="C136" s="4" t="inlineStr">
        <is>
          <t>Admin</t>
        </is>
      </c>
      <c r="D136" s="7" t="inlineStr">
        <is>
          <t>H2/M-01: cédula sin enmascarar de las «hermanas» en el detalle de afiliación viajaba completa a un client component</t>
        </is>
      </c>
      <c r="E136" s="7" t="inlineStr">
        <is>
          <t>sesión principal</t>
        </is>
      </c>
      <c r="F136" s="8" t="inlineStr">
        <is>
          <t>Media</t>
        </is>
      </c>
      <c r="G136" s="8" t="inlineStr">
        <is>
          <t>Hecho</t>
        </is>
      </c>
      <c r="H136" s="8" t="inlineStr">
        <is>
          <t>4.11</t>
        </is>
      </c>
      <c r="I136" s="21">
        <f>IFERROR(INDEX(Plan!$B$5:$B$126,MATCH(H136,Plan!$A$5:$A$126,0)),"—")</f>
        <v/>
      </c>
      <c r="J136"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37">
      <c r="A137" s="19" t="inlineStr">
        <is>
          <t>P-127</t>
        </is>
      </c>
      <c r="B137" s="4" t="inlineStr">
        <is>
          <t>Seguridad</t>
        </is>
      </c>
      <c r="C137" s="4" t="inlineStr">
        <is>
          <t>Cuenta</t>
        </is>
      </c>
      <c r="D137" s="7" t="inlineStr">
        <is>
          <t>H-02: la cédula enmascarada se reconstruye buscando fragmentos (buscar_asociados_general); exigir coincidencia exacta y bajar el límite</t>
        </is>
      </c>
      <c r="E137" s="7" t="inlineStr">
        <is>
          <t>ga-funcionalidad-botones</t>
        </is>
      </c>
      <c r="F137" s="8" t="inlineStr">
        <is>
          <t>Media</t>
        </is>
      </c>
      <c r="G137" s="8" t="inlineStr">
        <is>
          <t>Hecho</t>
        </is>
      </c>
      <c r="H137" s="8" t="inlineStr">
        <is>
          <t>6.33</t>
        </is>
      </c>
      <c r="I137" s="21">
        <f>IFERROR(INDEX(Plan!$B$5:$B$126,MATCH(H137,Plan!$A$5:$A$126,0)),"—")</f>
        <v/>
      </c>
      <c r="J137" s="7" t="inlineStr">
        <is>
          <t>08-oct: ga-revisor-seguridad. 09-oct: Hecho en código; falta aplicar la migración 20261009000000 (P-138) y desplegar (P-139).</t>
        </is>
      </c>
    </row>
    <row r="138">
      <c r="A138" s="19" t="inlineStr">
        <is>
          <t>P-128</t>
        </is>
      </c>
      <c r="B138" s="4" t="inlineStr">
        <is>
          <t>Seguridad</t>
        </is>
      </c>
      <c r="C138" s="4" t="inlineStr">
        <is>
          <t>Base de datos</t>
        </is>
      </c>
      <c r="D138" s="7" t="inlineStr">
        <is>
          <t>H-03: un solo admin puede poner su correo en la cuenta de un asociado vía recuperación; atar el cambio al correo_nuevo de la solicitud</t>
        </is>
      </c>
      <c r="E138" s="7" t="inlineStr">
        <is>
          <t>ga-auditor-supabase</t>
        </is>
      </c>
      <c r="F138" s="8" t="inlineStr">
        <is>
          <t>Media</t>
        </is>
      </c>
      <c r="G138" s="8" t="inlineStr">
        <is>
          <t>Hecho</t>
        </is>
      </c>
      <c r="H138" s="8" t="inlineStr">
        <is>
          <t>6.33</t>
        </is>
      </c>
      <c r="I138" s="21">
        <f>IFERROR(INDEX(Plan!$B$5:$B$126,MATCH(H138,Plan!$A$5:$A$126,0)),"—")</f>
        <v/>
      </c>
      <c r="J138" s="7" t="inlineStr">
        <is>
          <t>08-oct: ga-revisor-seguridad. 09-oct: Hecho en código; falta aplicar la migración 20261009000000 (P-138) y desplegar (P-139).</t>
        </is>
      </c>
    </row>
    <row r="139">
      <c r="A139" s="19" t="inlineStr">
        <is>
          <t>P-129</t>
        </is>
      </c>
      <c r="B139" s="4" t="inlineStr">
        <is>
          <t>Seguridad</t>
        </is>
      </c>
      <c r="C139" s="4" t="inlineStr">
        <is>
          <t>Revisión 8-oct</t>
        </is>
      </c>
      <c r="D139" s="7" t="inlineStr">
        <is>
          <t>H-04: la verificación pública del QR muestra la foto del asociado (dato sensible); decisión de Sebas</t>
        </is>
      </c>
      <c r="E139" s="7" t="inlineStr">
        <is>
          <t>ga-revisor-seguridad</t>
        </is>
      </c>
      <c r="F139" s="8" t="inlineStr">
        <is>
          <t>Media</t>
        </is>
      </c>
      <c r="G139" s="8" t="inlineStr">
        <is>
          <t>Hecho</t>
        </is>
      </c>
      <c r="H139" s="8" t="inlineStr">
        <is>
          <t>6.33</t>
        </is>
      </c>
      <c r="I139" s="21">
        <f>IFERROR(INDEX(Plan!$B$5:$B$126,MATCH(H139,Plan!$A$5:$A$126,0)),"—")</f>
        <v/>
      </c>
      <c r="J139" s="7" t="inlineStr">
        <is>
          <t>08-oct: ga-revisor-seguridad. Descripción en el informe del revisor; no venía en el buzón. 09-oct: cerrado, Sebas decidió dejarla (riesgo aceptado).</t>
        </is>
      </c>
    </row>
    <row r="140">
      <c r="A140" s="19" t="inlineStr">
        <is>
          <t>P-130</t>
        </is>
      </c>
      <c r="B140" s="4" t="inlineStr">
        <is>
          <t>Seguridad</t>
        </is>
      </c>
      <c r="C140" s="4" t="inlineStr">
        <is>
          <t>Revisión 8-oct</t>
        </is>
      </c>
      <c r="D140" s="7" t="inlineStr">
        <is>
          <t>H-05: un tercero con la cédula bloquea la recuperación del asociado (una sola solicitud pendiente por perfil)</t>
        </is>
      </c>
      <c r="E140" s="7" t="inlineStr">
        <is>
          <t>ga-revisor-seguridad</t>
        </is>
      </c>
      <c r="F140" s="8" t="inlineStr">
        <is>
          <t>Media</t>
        </is>
      </c>
      <c r="G140" s="8" t="inlineStr">
        <is>
          <t>Hecho</t>
        </is>
      </c>
      <c r="H140" s="8" t="inlineStr">
        <is>
          <t>6.33</t>
        </is>
      </c>
      <c r="I140" s="21">
        <f>IFERROR(INDEX(Plan!$B$5:$B$126,MATCH(H140,Plan!$A$5:$A$126,0)),"—")</f>
        <v/>
      </c>
      <c r="J140" s="7" t="inlineStr">
        <is>
          <t>08-oct: ga-revisor-seguridad. Descripción en el informe del revisor; no venía en el buzón. 09-oct: Hecho en código; falta aplicar la migración 20261009000000 (P-138) y desplegar (P-139).</t>
        </is>
      </c>
    </row>
    <row r="141">
      <c r="A141" s="19" t="inlineStr">
        <is>
          <t>P-131</t>
        </is>
      </c>
      <c r="B141" s="4" t="inlineStr">
        <is>
          <t>Seguridad</t>
        </is>
      </c>
      <c r="C141" s="4" t="inlineStr">
        <is>
          <t>Dependencias</t>
        </is>
      </c>
      <c r="D141" s="7" t="inlineStr">
        <is>
          <t>H-06: npm audit fix (sharp y source-map-js, 2 altas con arreglo disponible)</t>
        </is>
      </c>
      <c r="E141" s="7" t="inlineStr">
        <is>
          <t>sesión principal</t>
        </is>
      </c>
      <c r="F141" s="8" t="inlineStr">
        <is>
          <t>Media</t>
        </is>
      </c>
      <c r="G141" s="8" t="inlineStr">
        <is>
          <t>Hecho</t>
        </is>
      </c>
      <c r="H141" s="8" t="inlineStr">
        <is>
          <t>6.35</t>
        </is>
      </c>
      <c r="I141" s="21">
        <f>IFERROR(INDEX(Plan!$B$5:$B$126,MATCH(H141,Plan!$A$5:$A$126,0)),"—")</f>
        <v/>
      </c>
      <c r="J141" s="7" t="inlineStr">
        <is>
          <t>08-oct: ga-revisor-seguridad. 09-oct: npm audit fix aplicado, 0 vulnerabilidades en producción (herramientas de desarrollo requieren --force).</t>
        </is>
      </c>
    </row>
    <row r="142">
      <c r="A142" s="19" t="inlineStr">
        <is>
          <t>P-83</t>
        </is>
      </c>
      <c r="B142" s="4" t="inlineStr">
        <is>
          <t>Seguridad</t>
        </is>
      </c>
      <c r="C142" s="4" t="inlineStr">
        <is>
          <t>Correos</t>
        </is>
      </c>
      <c r="D142" s="7" t="inlineStr">
        <is>
          <t>S-15: escapar/validar HTML en las variables NOMBRE/MOTIVO de los correos de Resend</t>
        </is>
      </c>
      <c r="E142" s="7" t="inlineStr">
        <is>
          <t>ga-funcionalidad-botones</t>
        </is>
      </c>
      <c r="F142" s="8" t="inlineStr">
        <is>
          <t>Media</t>
        </is>
      </c>
      <c r="G142" s="8" t="inlineStr">
        <is>
          <t>Hecho</t>
        </is>
      </c>
      <c r="H142" s="8" t="inlineStr">
        <is>
          <t>6.2</t>
        </is>
      </c>
      <c r="I142" s="21">
        <f>IFERROR(INDEX(Plan!$B$5:$B$126,MATCH(H142,Plan!$A$5:$A$126,0)),"—")</f>
        <v/>
      </c>
      <c r="J142" s="7" t="inlineStr">
        <is>
          <t>25-sep: hallazgo de ga-revisor-seguridad (un admin puede meter HTML en perfiles.nombre_completo o en el motivo de rechazo). Corregido en local con pruebas (tests/unit/correo-resend.test.ts). 25-sep: desplegado con el PR #2 (merge 2c19d02).</t>
        </is>
      </c>
    </row>
    <row r="143">
      <c r="A143" s="19" t="inlineStr">
        <is>
          <t>P-84</t>
        </is>
      </c>
      <c r="B143" s="4" t="inlineStr">
        <is>
          <t>Código</t>
        </is>
      </c>
      <c r="C143" s="4" t="inlineStr">
        <is>
          <t>Configuración</t>
        </is>
      </c>
      <c r="D143" s="7" t="inlineStr">
        <is>
          <t>M-01: el número de WhatsApp se muestra sin espacios por un typo de regex en lib/config.ts</t>
        </is>
      </c>
      <c r="E143" s="7" t="inlineStr">
        <is>
          <t>ga-funcionalidad-botones</t>
        </is>
      </c>
      <c r="F143" s="8" t="inlineStr">
        <is>
          <t>Media</t>
        </is>
      </c>
      <c r="G143" s="8" t="inlineStr">
        <is>
          <t>Hecho</t>
        </is>
      </c>
      <c r="H143" s="8" t="inlineStr">
        <is>
          <t>5.3</t>
        </is>
      </c>
      <c r="I143" s="21">
        <f>IFERROR(INDEX(Plan!$B$5:$B$126,MATCH(H143,Plan!$A$5:$A$126,0)),"—")</f>
        <v/>
      </c>
      <c r="J143" s="7" t="inlineStr">
        <is>
          <t>25-sep: hallazgo de ga-verificador-qa (patrón sin la barra invertida de \D/\d; el enlace wa.me sí funciona). Corregido en local con pruebas (tests/unit/config-whatsapp.test.ts). 25-sep: desplegado con el PR #2 (merge 2c19d02); confirmado en vivo «311 724 1942».</t>
        </is>
      </c>
    </row>
    <row r="144">
      <c r="A144" s="19" t="inlineStr">
        <is>
          <t>P-99</t>
        </is>
      </c>
      <c r="B144" s="4" t="inlineStr">
        <is>
          <t>Seguridad</t>
        </is>
      </c>
      <c r="C144" s="4" t="inlineStr">
        <is>
          <t>/cuenta</t>
        </is>
      </c>
      <c r="D144" s="7" t="inlineStr">
        <is>
          <t>H1: la tasa de interés de la solicitud viajaba en las props de CuentaCliente aunque nunca se renderizara</t>
        </is>
      </c>
      <c r="E144" s="7" t="inlineStr">
        <is>
          <t>sesión principal</t>
        </is>
      </c>
      <c r="F144" s="8" t="inlineStr">
        <is>
          <t>Media</t>
        </is>
      </c>
      <c r="G144" s="8" t="inlineStr">
        <is>
          <t>Hecho</t>
        </is>
      </c>
      <c r="H144" s="8" t="inlineStr">
        <is>
          <t>3.5</t>
        </is>
      </c>
      <c r="I144" s="21">
        <f>IFERROR(INDEX(Plan!$B$5:$B$126,MATCH(H144,Plan!$A$5:$A$126,0)),"—")</f>
        <v/>
      </c>
      <c r="J144"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45">
      <c r="A145" s="19" t="inlineStr">
        <is>
          <t>P-132</t>
        </is>
      </c>
      <c r="B145" s="4" t="inlineStr">
        <is>
          <t>Seguridad</t>
        </is>
      </c>
      <c r="C145" s="4" t="inlineStr">
        <is>
          <t>Revisión 8-oct</t>
        </is>
      </c>
      <c r="D145" s="7" t="inlineStr">
        <is>
          <t>H-07: un admin puede desactivar a otro admin sin control (admin_cambiar_estado_asociado)</t>
        </is>
      </c>
      <c r="E145" s="7" t="inlineStr">
        <is>
          <t>ga-revisor-seguridad</t>
        </is>
      </c>
      <c r="F145" s="8" t="inlineStr">
        <is>
          <t>Baja</t>
        </is>
      </c>
      <c r="G145" s="8" t="inlineStr">
        <is>
          <t>Hecho</t>
        </is>
      </c>
      <c r="H145" s="8" t="inlineStr">
        <is>
          <t>6.34</t>
        </is>
      </c>
      <c r="I145" s="21">
        <f>IFERROR(INDEX(Plan!$B$5:$B$126,MATCH(H145,Plan!$A$5:$A$126,0)),"—")</f>
        <v/>
      </c>
      <c r="J145" s="7" t="inlineStr">
        <is>
          <t>08-oct: ga-revisor-seguridad. Descripción en el informe del revisor; no venía en el buzón. 09-oct: Hecho en código; falta aplicar la migración 20261009000000 (P-138) y desplegar (P-139).</t>
        </is>
      </c>
    </row>
    <row r="146">
      <c r="A146" s="19" t="inlineStr">
        <is>
          <t>P-133</t>
        </is>
      </c>
      <c r="B146" s="4" t="inlineStr">
        <is>
          <t>Seguridad</t>
        </is>
      </c>
      <c r="C146" s="4" t="inlineStr">
        <is>
          <t>Revisión 8-oct</t>
        </is>
      </c>
      <c r="D146" s="7" t="inlineStr">
        <is>
          <t>H-09: fotos-carne huérfanas por URLs de subida sin confirmar; agregarlas al cron</t>
        </is>
      </c>
      <c r="E146" s="7" t="inlineStr">
        <is>
          <t>ga-revisor-seguridad</t>
        </is>
      </c>
      <c r="F146" s="8" t="inlineStr">
        <is>
          <t>Baja</t>
        </is>
      </c>
      <c r="G146" s="8" t="inlineStr">
        <is>
          <t>Hecho</t>
        </is>
      </c>
      <c r="H146" s="8" t="inlineStr">
        <is>
          <t>6.34</t>
        </is>
      </c>
      <c r="I146" s="21">
        <f>IFERROR(INDEX(Plan!$B$5:$B$126,MATCH(H146,Plan!$A$5:$A$126,0)),"—")</f>
        <v/>
      </c>
      <c r="J146" s="7" t="inlineStr">
        <is>
          <t>08-oct: ga-revisor-seguridad. Descripción en el informe del revisor; no venía en el buzón. 09-oct: Hecho en código; falta aplicar la migración 20261009000000 (P-138) y desplegar (P-139). H-09 rehecho con la RPC fotos_carne_huerfanas.</t>
        </is>
      </c>
    </row>
    <row r="147">
      <c r="A147" s="19" t="inlineStr">
        <is>
          <t>P-134</t>
        </is>
      </c>
      <c r="B147" s="4" t="inlineStr">
        <is>
          <t>Seguridad</t>
        </is>
      </c>
      <c r="C147" s="4" t="inlineStr">
        <is>
          <t>Revisión 8-oct</t>
        </is>
      </c>
      <c r="D147" s="7" t="inlineStr">
        <is>
          <t>H-10: regex de rutaEsDeSolicitud con el punto mal escapado en lib/comprobantes.ts (no explotable)</t>
        </is>
      </c>
      <c r="E147" s="7" t="inlineStr">
        <is>
          <t>ga-revisor-seguridad</t>
        </is>
      </c>
      <c r="F147" s="8" t="inlineStr">
        <is>
          <t>Baja</t>
        </is>
      </c>
      <c r="G147" s="8" t="inlineStr">
        <is>
          <t>Hecho</t>
        </is>
      </c>
      <c r="H147" s="8" t="inlineStr">
        <is>
          <t>6.34</t>
        </is>
      </c>
      <c r="I147" s="21">
        <f>IFERROR(INDEX(Plan!$B$5:$B$126,MATCH(H147,Plan!$A$5:$A$126,0)),"—")</f>
        <v/>
      </c>
      <c r="J147" s="7" t="inlineStr">
        <is>
          <t>08-oct: ga-revisor-seguridad. Descripción en el informe del revisor; no venía en el buzón. 09-oct: Hecho en código; falta aplicar la migración 20261009000000 (P-138) y desplegar (P-139).</t>
        </is>
      </c>
    </row>
    <row r="148">
      <c r="A148" s="19" t="inlineStr">
        <is>
          <t>P-88</t>
        </is>
      </c>
      <c r="B148" s="4" t="inlineStr">
        <is>
          <t>Base de datos</t>
        </is>
      </c>
      <c r="C148" s="4" t="inlineStr">
        <is>
          <t>Seguridad</t>
        </is>
      </c>
      <c r="D148" s="7" t="inlineStr">
        <is>
          <t>F2-08: tr_componer_nombre_afiliacion no cubre el update directo de solicitudes_afiliacion.nombre por un admin</t>
        </is>
      </c>
      <c r="E148" s="7" t="inlineStr">
        <is>
          <t>ga-auditor-supabase</t>
        </is>
      </c>
      <c r="F148" s="8" t="inlineStr">
        <is>
          <t>Baja</t>
        </is>
      </c>
      <c r="G148" s="8" t="inlineStr">
        <is>
          <t>Hecho</t>
        </is>
      </c>
      <c r="H148" s="8" t="inlineStr">
        <is>
          <t>1.6</t>
        </is>
      </c>
      <c r="I148" s="21">
        <f>IFERROR(INDEX(Plan!$B$5:$B$126,MATCH(H148,Plan!$A$5:$A$126,0)),"—")</f>
        <v/>
      </c>
      <c r="J148"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48"/>
  <conditionalFormatting sqref="G5:G148">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48">
    <cfRule type="expression" priority="5" dxfId="5">
      <formula>$F5="Alta"</formula>
    </cfRule>
    <cfRule type="expression" priority="6" dxfId="6">
      <formula>$F5="Media"</formula>
    </cfRule>
    <cfRule type="expression" priority="7" dxfId="7">
      <formula>$F5="Baja"</formula>
    </cfRule>
  </conditionalFormatting>
  <conditionalFormatting sqref="A5:F148">
    <cfRule type="expression" priority="8" dxfId="8">
      <formula>$G5="Hecho"</formula>
    </cfRule>
  </conditionalFormatting>
  <dataValidations count="2">
    <dataValidation sqref="G5:G148" showDropDown="0" showInputMessage="0" showErrorMessage="0" allowBlank="0" type="list">
      <formula1>"Hecho,En curso,Pendiente,Bloqueado"</formula1>
    </dataValidation>
    <dataValidation sqref="F5:F148"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2"/>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B</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A</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A</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2.5, 2.6, 2.7</t>
        </is>
      </c>
      <c r="I9" s="18" t="inlineStr">
        <is>
          <t>B</t>
        </is>
      </c>
      <c r="J9" s="8" t="n">
        <v>4</v>
      </c>
      <c r="K9" s="8" t="n">
        <v>10</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6.19, 6.16, 3.11</t>
        </is>
      </c>
      <c r="I10" s="18" t="inlineStr">
        <is>
          <t>B</t>
        </is>
      </c>
      <c r="J10" s="8" t="n">
        <v>15</v>
      </c>
      <c r="K10" s="8" t="n">
        <v>32</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2.5</t>
        </is>
      </c>
      <c r="I11" s="18" t="inlineStr">
        <is>
          <t>B</t>
        </is>
      </c>
      <c r="J11" s="8" t="n">
        <v>6</v>
      </c>
      <c r="K11" s="8" t="n">
        <v>8</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A</t>
        </is>
      </c>
      <c r="J12" s="8" t="n">
        <v>35</v>
      </c>
      <c r="K12" s="8" t="n">
        <v>35</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4.1, 6.10</t>
        </is>
      </c>
      <c r="I13" s="18" t="inlineStr">
        <is>
          <t>B</t>
        </is>
      </c>
      <c r="J13" s="8" t="n">
        <v>6</v>
      </c>
      <c r="K13" s="8" t="n">
        <v>18</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2.14</t>
        </is>
      </c>
      <c r="I15" s="18" t="inlineStr">
        <is>
          <t>B</t>
        </is>
      </c>
      <c r="J15" s="8" t="n">
        <v>6</v>
      </c>
      <c r="K15" s="8" t="n">
        <v>21</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3.7, 5.6</t>
        </is>
      </c>
      <c r="I16" s="18" t="inlineStr">
        <is>
          <t>B</t>
        </is>
      </c>
      <c r="J16" s="8" t="n">
        <v>1</v>
      </c>
      <c r="K16" s="8" t="n">
        <v>56</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1.7, 1.5</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1.5</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1.5, 4.6</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3.4</t>
        </is>
      </c>
      <c r="I20" s="18" t="inlineStr">
        <is>
          <t>A</t>
        </is>
      </c>
      <c r="J20" s="8" t="n">
        <v>21</v>
      </c>
      <c r="K20" s="8" t="n">
        <v>25</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6.18, 4.12</t>
        </is>
      </c>
      <c r="I21" s="18" t="inlineStr">
        <is>
          <t>B</t>
        </is>
      </c>
      <c r="J21" s="8" t="n">
        <v>23</v>
      </c>
      <c r="K21" s="8" t="n">
        <v>38</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4.13</t>
        </is>
      </c>
      <c r="I22" s="18" t="inlineStr">
        <is>
          <t>B</t>
        </is>
      </c>
      <c r="J22" s="8" t="n">
        <v>42</v>
      </c>
      <c r="K22" s="8" t="n">
        <v>48</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5.2</t>
        </is>
      </c>
      <c r="I23" s="18" t="inlineStr">
        <is>
          <t>B</t>
        </is>
      </c>
      <c r="J23" s="8" t="n">
        <v>42</v>
      </c>
      <c r="K23" s="8" t="n">
        <v>60</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3.9, 4.19</t>
        </is>
      </c>
      <c r="I24" s="18" t="inlineStr">
        <is>
          <t>A</t>
        </is>
      </c>
      <c r="J24" s="8" t="n">
        <v>42</v>
      </c>
      <c r="K24" s="8" t="n">
        <v>67</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6.15</t>
        </is>
      </c>
      <c r="I25" s="18" t="inlineStr">
        <is>
          <t>B</t>
        </is>
      </c>
      <c r="J25" s="8" t="n">
        <v>71</v>
      </c>
      <c r="K25" s="8" t="n">
        <v>125</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2.3, 3.4</t>
        </is>
      </c>
      <c r="I26" s="18" t="inlineStr">
        <is>
          <t>A</t>
        </is>
      </c>
      <c r="J26" s="8" t="n">
        <v>21</v>
      </c>
      <c r="K26" s="8" t="n">
        <v>21</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4.10, 6.4</t>
        </is>
      </c>
      <c r="I27" s="18" t="inlineStr">
        <is>
          <t>B</t>
        </is>
      </c>
      <c r="J27" s="8" t="n">
        <v>23</v>
      </c>
      <c r="K27" s="8" t="n">
        <v>29</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1.4, 2.2</t>
        </is>
      </c>
      <c r="I28" s="18" t="inlineStr">
        <is>
          <t>B</t>
        </is>
      </c>
      <c r="J28" s="8" t="n">
        <v>4</v>
      </c>
      <c r="K28" s="8" t="n">
        <v>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5.15, 4.18</t>
        </is>
      </c>
      <c r="I29" s="18" t="inlineStr">
        <is>
          <t>B</t>
        </is>
      </c>
      <c r="J29" s="8" t="n">
        <v>8</v>
      </c>
      <c r="K29" s="8" t="n">
        <v>104</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4.13</t>
        </is>
      </c>
      <c r="I30" s="18" t="inlineStr">
        <is>
          <t>B</t>
        </is>
      </c>
      <c r="J30" s="8" t="n">
        <v>8</v>
      </c>
      <c r="K30" s="8" t="n">
        <v>45</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2.14, 2.8</t>
        </is>
      </c>
      <c r="I31" s="18" t="inlineStr">
        <is>
          <t>B</t>
        </is>
      </c>
      <c r="J31" s="8" t="n">
        <v>6</v>
      </c>
      <c r="K31" s="8" t="n">
        <v>23</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4.12, 4.13</t>
        </is>
      </c>
      <c r="I32" s="18" t="inlineStr">
        <is>
          <t>B</t>
        </is>
      </c>
      <c r="J32" s="8" t="n">
        <v>26</v>
      </c>
      <c r="K32" s="8" t="n">
        <v>42</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5.2</t>
        </is>
      </c>
      <c r="I33" s="18" t="inlineStr">
        <is>
          <t>B</t>
        </is>
      </c>
      <c r="J33" s="8" t="n">
        <v>45</v>
      </c>
      <c r="K33" s="8" t="n">
        <v>58</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4.5, 2.4</t>
        </is>
      </c>
      <c r="I34" s="18" t="inlineStr">
        <is>
          <t>A</t>
        </is>
      </c>
      <c r="J34" s="8" t="n">
        <v>48</v>
      </c>
      <c r="K34" s="8" t="n">
        <v>54</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6.1, 2.12</t>
        </is>
      </c>
      <c r="I35" s="18" t="inlineStr">
        <is>
          <t>B</t>
        </is>
      </c>
      <c r="J35" s="8" t="n">
        <v>45</v>
      </c>
      <c r="K35" s="8" t="n">
        <v>66</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4.11</t>
        </is>
      </c>
      <c r="I36" s="18" t="inlineStr">
        <is>
          <t>A</t>
        </is>
      </c>
      <c r="J36" s="8" t="n">
        <v>26</v>
      </c>
      <c r="K36" s="8" t="n">
        <v>26</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4.6, 2.1</t>
        </is>
      </c>
      <c r="I37" s="18" t="inlineStr">
        <is>
          <t>A</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4.14</t>
        </is>
      </c>
      <c r="I38" s="18" t="inlineStr">
        <is>
          <t>B</t>
        </is>
      </c>
      <c r="J38" s="8" t="n">
        <v>20</v>
      </c>
      <c r="K38" s="8" t="n">
        <v>50</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5.4, 6.11</t>
        </is>
      </c>
      <c r="I39" s="18" t="inlineStr">
        <is>
          <t>B</t>
        </is>
      </c>
      <c r="J39" s="8" t="n">
        <v>58</v>
      </c>
      <c r="K39" s="8" t="n">
        <v>62</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4.17, 6.8</t>
        </is>
      </c>
      <c r="I40" s="18" t="inlineStr">
        <is>
          <t>A</t>
        </is>
      </c>
      <c r="J40" s="8" t="n">
        <v>4</v>
      </c>
      <c r="K40" s="8" t="n">
        <v>83</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4.14, 3.7</t>
        </is>
      </c>
      <c r="I41" s="18" t="inlineStr">
        <is>
          <t>B</t>
        </is>
      </c>
      <c r="J41" s="8" t="n">
        <v>42</v>
      </c>
      <c r="K41" s="8" t="n">
        <v>53</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2.7, 4.1</t>
        </is>
      </c>
      <c r="I42" s="18" t="inlineStr">
        <is>
          <t>B</t>
        </is>
      </c>
      <c r="J42" s="8" t="n">
        <v>15</v>
      </c>
      <c r="K42" s="8" t="n">
        <v>15</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4.23, 4.17</t>
        </is>
      </c>
      <c r="I43" s="18" t="inlineStr">
        <is>
          <t>A</t>
        </is>
      </c>
      <c r="J43" s="8" t="n">
        <v>20</v>
      </c>
      <c r="K43" s="8" t="n">
        <v>79</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6.21, 6.30</t>
        </is>
      </c>
      <c r="I44" s="18" t="inlineStr">
        <is>
          <t>A</t>
        </is>
      </c>
      <c r="J44" s="8" t="n">
        <v>18</v>
      </c>
      <c r="K44" s="8" t="n">
        <v>111</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5.11</t>
        </is>
      </c>
      <c r="I45" s="18" t="inlineStr">
        <is>
          <t>A</t>
        </is>
      </c>
      <c r="J45" s="8" t="n">
        <v>20</v>
      </c>
      <c r="K45" s="8" t="n">
        <v>115</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2.15</t>
        </is>
      </c>
      <c r="I46" s="18" t="inlineStr">
        <is>
          <t>A</t>
        </is>
      </c>
      <c r="J46" s="8" t="n">
        <v>18</v>
      </c>
      <c r="K46" s="8" t="n">
        <v>29</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3.10</t>
        </is>
      </c>
      <c r="I47" s="18" t="inlineStr">
        <is>
          <t>B</t>
        </is>
      </c>
      <c r="J47" s="8" t="n">
        <v>20</v>
      </c>
      <c r="K47" s="8" t="n">
        <v>26</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5.5, 6.3</t>
        </is>
      </c>
      <c r="I48" s="18" t="inlineStr">
        <is>
          <t>A</t>
        </is>
      </c>
      <c r="J48" s="8" t="n">
        <v>26</v>
      </c>
      <c r="K48" s="8" t="n">
        <v>75</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3.6, 2.11</t>
        </is>
      </c>
      <c r="I49" s="18" t="inlineStr">
        <is>
          <t>A</t>
        </is>
      </c>
      <c r="J49" s="8" t="n">
        <v>26</v>
      </c>
      <c r="K49" s="8" t="n">
        <v>58</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2.17, 6.42</t>
        </is>
      </c>
      <c r="I50" s="18" t="inlineStr">
        <is>
          <t>A</t>
        </is>
      </c>
      <c r="J50" s="8" t="n">
        <v>132</v>
      </c>
      <c r="K50" s="8" t="n">
        <v>134</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Falta de la cooperativa: fotos, cifras, testimonios y fotos de las sedes.</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4.3</t>
        </is>
      </c>
      <c r="I51" s="18" t="inlineStr">
        <is>
          <t>A</t>
        </is>
      </c>
      <c r="J51" s="8" t="n">
        <v>61</v>
      </c>
      <c r="K51" s="8" t="n">
        <v>62</v>
      </c>
      <c r="L51" s="8">
        <f>K51+E51</f>
        <v/>
      </c>
      <c r="M51" s="8">
        <f>K51-J51</f>
        <v/>
      </c>
      <c r="N51" s="8">
        <f>"S"&amp;(INT(K51/Resumen!$C$5)+1)&amp;"–S"&amp;MAX(INT(K51/Resumen!$C$5)+1,ROUNDUP(L51/Resumen!$C$5,0))</f>
        <v/>
      </c>
      <c r="O51" s="8" t="inlineStr">
        <is>
          <t>Hecho</t>
        </is>
      </c>
      <c r="P51" s="8" t="inlineStr">
        <is>
          <t>Agregado</t>
        </is>
      </c>
      <c r="Q51" s="7" t="inlineStr">
        <is>
          <t>ga-diseno-a-codigo</t>
        </is>
      </c>
      <c r="R51" s="7" t="inlineStr"/>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5.1</t>
        </is>
      </c>
      <c r="I52" s="18" t="inlineStr">
        <is>
          <t>B</t>
        </is>
      </c>
      <c r="J52" s="8" t="n">
        <v>57</v>
      </c>
      <c r="K52" s="8" t="n">
        <v>75</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2.4</t>
        </is>
      </c>
      <c r="I53" s="18" t="inlineStr">
        <is>
          <t>A</t>
        </is>
      </c>
      <c r="J53" s="8" t="n">
        <v>57</v>
      </c>
      <c r="K53" s="8" t="n">
        <v>57</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4.16</t>
        </is>
      </c>
      <c r="I54" s="18" t="inlineStr">
        <is>
          <t>A</t>
        </is>
      </c>
      <c r="J54" s="8" t="n">
        <v>21</v>
      </c>
      <c r="K54" s="8" t="n">
        <v>119</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4.16</t>
        </is>
      </c>
      <c r="I55" s="18" t="inlineStr">
        <is>
          <t>A</t>
        </is>
      </c>
      <c r="J55" s="8" t="n">
        <v>121</v>
      </c>
      <c r="K55" s="8" t="n">
        <v>121</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6.2, 5.17</t>
        </is>
      </c>
      <c r="I56" s="18" t="inlineStr">
        <is>
          <t>B</t>
        </is>
      </c>
      <c r="J56" s="8" t="n">
        <v>77</v>
      </c>
      <c r="K56" s="8" t="n">
        <v>87</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5.15</t>
        </is>
      </c>
      <c r="I57" s="18" t="inlineStr">
        <is>
          <t>B</t>
        </is>
      </c>
      <c r="J57" s="8" t="n">
        <v>71</v>
      </c>
      <c r="K57" s="8" t="n">
        <v>102</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5.12, 3.9</t>
        </is>
      </c>
      <c r="I58" s="18" t="inlineStr">
        <is>
          <t>A</t>
        </is>
      </c>
      <c r="J58" s="8" t="n">
        <v>64</v>
      </c>
      <c r="K58" s="8" t="n">
        <v>64</v>
      </c>
      <c r="L58" s="8">
        <f>K58+E58</f>
        <v/>
      </c>
      <c r="M58" s="8">
        <f>K58-J58</f>
        <v/>
      </c>
      <c r="N58" s="8">
        <f>"S"&amp;(INT(K58/Resumen!$C$5)+1)&amp;"–S"&amp;MAX(INT(K58/Resumen!$C$5)+1,ROUNDUP(L58/Resumen!$C$5,0))</f>
        <v/>
      </c>
      <c r="O58" s="8" t="inlineStr">
        <is>
          <t>Hecho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5.9</t>
        </is>
      </c>
      <c r="I59" s="18" t="inlineStr">
        <is>
          <t>A</t>
        </is>
      </c>
      <c r="J59" s="8" t="n">
        <v>71</v>
      </c>
      <c r="K59" s="8" t="n">
        <v>87</v>
      </c>
      <c r="L59" s="8">
        <f>K59+E59</f>
        <v/>
      </c>
      <c r="M59" s="8">
        <f>K59-J59</f>
        <v/>
      </c>
      <c r="N59" s="8">
        <f>"S"&amp;(INT(K59/Resumen!$C$5)+1)&amp;"–S"&amp;MAX(INT(K59/Resumen!$C$5)+1,ROUNDUP(L59/Resumen!$C$5,0))</f>
        <v/>
      </c>
      <c r="O59" s="8" t="inlineStr">
        <is>
          <t>Hecho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6.1, 5.5, 2.8, 5.4, 2.11, 5.6, 1.6, 2.12, 3.9, 4.6</t>
        </is>
      </c>
      <c r="G60" s="7" t="inlineStr">
        <is>
          <t>Sí</t>
        </is>
      </c>
      <c r="H60" s="7" t="inlineStr">
        <is>
          <t>5.1, 4.25</t>
        </is>
      </c>
      <c r="I60" s="18" t="inlineStr">
        <is>
          <t>B</t>
        </is>
      </c>
      <c r="J60" s="8" t="n">
        <v>76</v>
      </c>
      <c r="K60" s="8" t="n">
        <v>76</v>
      </c>
      <c r="L60" s="8">
        <f>K60+E60</f>
        <v/>
      </c>
      <c r="M60" s="8">
        <f>K60-J60</f>
        <v/>
      </c>
      <c r="N60" s="8">
        <f>"S"&amp;(INT(K60/Resumen!$C$5)+1)&amp;"–S"&amp;MAX(INT(K60/Resumen!$C$5)+1,ROUNDUP(L60/Resumen!$C$5,0))</f>
        <v/>
      </c>
      <c r="O60" s="8" t="inlineStr">
        <is>
          <t>Hecho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2.15</t>
        </is>
      </c>
      <c r="I61" s="18" t="inlineStr">
        <is>
          <t>A</t>
        </is>
      </c>
      <c r="J61" s="8" t="n">
        <v>0</v>
      </c>
      <c r="K61" s="8" t="n">
        <v>31</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89</v>
      </c>
      <c r="K62" s="8" t="n">
        <v>117</v>
      </c>
      <c r="L62" s="8">
        <f>K62+E62</f>
        <v/>
      </c>
      <c r="M62" s="8">
        <f>K62-J62</f>
        <v/>
      </c>
      <c r="N62" s="8">
        <f>"S"&amp;(INT(K62/Resumen!$C$5)+1)&amp;"–S"&amp;MAX(INT(K62/Resumen!$C$5)+1,ROUNDUP(L62/Resumen!$C$5,0))</f>
        <v/>
      </c>
      <c r="O62" s="8" t="inlineStr">
        <is>
          <t>Hecho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6.42</t>
        </is>
      </c>
      <c r="I63" s="18" t="inlineStr">
        <is>
          <t>A</t>
        </is>
      </c>
      <c r="J63" s="8" t="n">
        <v>132</v>
      </c>
      <c r="K63" s="8" t="n">
        <v>136</v>
      </c>
      <c r="L63" s="8">
        <f>K63+E63</f>
        <v/>
      </c>
      <c r="M63" s="8">
        <f>K63-J63</f>
        <v/>
      </c>
      <c r="N63" s="8">
        <f>"S"&amp;(INT(K63/Resumen!$C$5)+1)&amp;"–S"&amp;MAX(INT(K63/Resumen!$C$5)+1,ROUNDUP(L63/Resumen!$C$5,0))</f>
        <v/>
      </c>
      <c r="O63" s="8" t="inlineStr">
        <is>
          <t>En curso</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6.14</t>
        </is>
      </c>
      <c r="I64" s="18" t="inlineStr">
        <is>
          <t>B</t>
        </is>
      </c>
      <c r="J64" s="8" t="n">
        <v>132</v>
      </c>
      <c r="K64" s="8" t="n">
        <v>132</v>
      </c>
      <c r="L64" s="8">
        <f>K64+E64</f>
        <v/>
      </c>
      <c r="M64" s="8">
        <f>K64-J64</f>
        <v/>
      </c>
      <c r="N64" s="8">
        <f>"S"&amp;(INT(K64/Resumen!$C$5)+1)&amp;"–S"&amp;MAX(INT(K64/Resumen!$C$5)+1,ROUNDUP(L64/Resumen!$C$5,0))</f>
        <v/>
      </c>
      <c r="O64" s="8" t="inlineStr">
        <is>
          <t>En curso</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4.4</t>
        </is>
      </c>
      <c r="I65" s="18" t="inlineStr">
        <is>
          <t>B</t>
        </is>
      </c>
      <c r="J65" s="8" t="n">
        <v>42</v>
      </c>
      <c r="K65" s="8" t="n">
        <v>86</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4.20</t>
        </is>
      </c>
      <c r="I66" s="18" t="inlineStr">
        <is>
          <t>B</t>
        </is>
      </c>
      <c r="J66" s="8" t="n">
        <v>64</v>
      </c>
      <c r="K66" s="8" t="n">
        <v>74</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2.1</t>
        </is>
      </c>
      <c r="I67" s="18" t="inlineStr">
        <is>
          <t>A</t>
        </is>
      </c>
      <c r="J67" s="8" t="n">
        <v>8</v>
      </c>
      <c r="K67" s="8" t="n">
        <v>20</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4.3</t>
        </is>
      </c>
      <c r="I68" s="18" t="inlineStr">
        <is>
          <t>A</t>
        </is>
      </c>
      <c r="J68" s="8" t="n">
        <v>42</v>
      </c>
      <c r="K68" s="8" t="n">
        <v>63</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2.16</t>
        </is>
      </c>
      <c r="I69" s="18" t="inlineStr">
        <is>
          <t>A</t>
        </is>
      </c>
      <c r="J69" s="8" t="n">
        <v>64</v>
      </c>
      <c r="K69" s="8" t="n">
        <v>108</v>
      </c>
      <c r="L69" s="8">
        <f>K69+E69</f>
        <v/>
      </c>
      <c r="M69" s="8">
        <f>K69-J69</f>
        <v/>
      </c>
      <c r="N69" s="8">
        <f>"S"&amp;(INT(K69/Resumen!$C$5)+1)&amp;"–S"&amp;MAX(INT(K69/Resumen!$C$5)+1,ROUNDUP(L69/Resumen!$C$5,0))</f>
        <v/>
      </c>
      <c r="O69" s="8" t="inlineStr">
        <is>
          <t>Hecho</t>
        </is>
      </c>
      <c r="P69" s="8" t="inlineStr">
        <is>
          <t>Agregado</t>
        </is>
      </c>
      <c r="Q69" s="7" t="inlineStr">
        <is>
          <t>sesión principal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6.17</t>
        </is>
      </c>
      <c r="I70" s="18" t="inlineStr">
        <is>
          <t>A</t>
        </is>
      </c>
      <c r="J70" s="8" t="n">
        <v>35</v>
      </c>
      <c r="K70" s="8" t="n">
        <v>37</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6.7</t>
        </is>
      </c>
      <c r="I71" s="18" t="inlineStr">
        <is>
          <t>A</t>
        </is>
      </c>
      <c r="J71" s="8" t="n">
        <v>132</v>
      </c>
      <c r="K71" s="8" t="n">
        <v>132</v>
      </c>
      <c r="L71" s="8">
        <f>K71+E71</f>
        <v/>
      </c>
      <c r="M71" s="8">
        <f>K71-J71</f>
        <v/>
      </c>
      <c r="N71" s="8">
        <f>"S"&amp;(INT(K71/Resumen!$C$5)+1)&amp;"–S"&amp;MAX(INT(K71/Resumen!$C$5)+1,ROUNDUP(L71/Resumen!$C$5,0))</f>
        <v/>
      </c>
      <c r="O71" s="8" t="inlineStr">
        <is>
          <t>En curso</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2.13</t>
        </is>
      </c>
      <c r="I72" s="18" t="inlineStr">
        <is>
          <t>A</t>
        </is>
      </c>
      <c r="J72" s="8" t="n">
        <v>67</v>
      </c>
      <c r="K72" s="8" t="n">
        <v>125</v>
      </c>
      <c r="L72" s="8">
        <f>K72+E72</f>
        <v/>
      </c>
      <c r="M72" s="8">
        <f>K72-J72</f>
        <v/>
      </c>
      <c r="N72" s="8">
        <f>"S"&amp;(INT(K72/Resumen!$C$5)+1)&amp;"–S"&amp;MAX(INT(K72/Resumen!$C$5)+1,ROUNDUP(L72/Resumen!$C$5,0))</f>
        <v/>
      </c>
      <c r="O72" s="8" t="inlineStr">
        <is>
          <t>Hecho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1.6</t>
        </is>
      </c>
      <c r="I73" s="18" t="inlineStr">
        <is>
          <t>A</t>
        </is>
      </c>
      <c r="J73" s="8" t="n">
        <v>32</v>
      </c>
      <c r="K73" s="8" t="n">
        <v>33</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1.6</t>
        </is>
      </c>
      <c r="I74" s="18" t="inlineStr">
        <is>
          <t>A</t>
        </is>
      </c>
      <c r="J74" s="8" t="n">
        <v>32</v>
      </c>
      <c r="K74" s="8" t="n">
        <v>32</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1.8, 6.13</t>
        </is>
      </c>
      <c r="I75" s="18" t="inlineStr">
        <is>
          <t>B</t>
        </is>
      </c>
      <c r="J75" s="8" t="n">
        <v>34</v>
      </c>
      <c r="K75" s="8" t="n">
        <v>35</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2.9</t>
        </is>
      </c>
      <c r="I76" s="18" t="inlineStr">
        <is>
          <t>A</t>
        </is>
      </c>
      <c r="J76" s="8" t="n">
        <v>38</v>
      </c>
      <c r="K76" s="8" t="n">
        <v>38</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2.9, 3.5</t>
        </is>
      </c>
      <c r="I77" s="18" t="inlineStr">
        <is>
          <t>A</t>
        </is>
      </c>
      <c r="J77" s="8" t="n">
        <v>39</v>
      </c>
      <c r="K77" s="8" t="n">
        <v>39</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3.5, 3.3, 2.10</t>
        </is>
      </c>
      <c r="I78" s="18" t="inlineStr">
        <is>
          <t>A</t>
        </is>
      </c>
      <c r="J78" s="8" t="n">
        <v>44</v>
      </c>
      <c r="K78" s="8" t="n">
        <v>44</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49</v>
      </c>
      <c r="K79" s="8" t="n">
        <v>49</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4.2, 4.5</t>
        </is>
      </c>
      <c r="I80" s="18" t="inlineStr">
        <is>
          <t>A</t>
        </is>
      </c>
      <c r="J80" s="8" t="n">
        <v>50</v>
      </c>
      <c r="K80" s="8" t="n">
        <v>50</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4.24, 6.26</t>
        </is>
      </c>
      <c r="I81" s="18" t="inlineStr">
        <is>
          <t>A</t>
        </is>
      </c>
      <c r="J81" s="8" t="n">
        <v>54</v>
      </c>
      <c r="K81" s="8" t="n">
        <v>91</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4.8</t>
        </is>
      </c>
      <c r="I82" s="18" t="inlineStr">
        <is>
          <t>B</t>
        </is>
      </c>
      <c r="J82" s="8" t="n">
        <v>54</v>
      </c>
      <c r="K82" s="8" t="n">
        <v>111</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54</v>
      </c>
      <c r="K83" s="8" t="n">
        <v>61</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4.9</t>
        </is>
      </c>
      <c r="I84" s="18" t="inlineStr">
        <is>
          <t>B</t>
        </is>
      </c>
      <c r="J84" s="8" t="n">
        <v>62</v>
      </c>
      <c r="K84" s="8" t="n">
        <v>115</v>
      </c>
      <c r="L84" s="8">
        <f>K84+E84</f>
        <v/>
      </c>
      <c r="M84" s="8">
        <f>K84-J84</f>
        <v/>
      </c>
      <c r="N84" s="8">
        <f>"S"&amp;(INT(K84/Resumen!$C$5)+1)&amp;"–S"&amp;MAX(INT(K84/Resumen!$C$5)+1,ROUNDUP(L84/Resumen!$C$5,0))</f>
        <v/>
      </c>
      <c r="O84" s="8" t="inlineStr">
        <is>
          <t>Hecho</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6.1</t>
        </is>
      </c>
      <c r="I85" s="18" t="inlineStr">
        <is>
          <t>B</t>
        </is>
      </c>
      <c r="J85" s="8" t="n">
        <v>62</v>
      </c>
      <c r="K85" s="8" t="n">
        <v>64</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5.16</t>
        </is>
      </c>
      <c r="I86" s="18" t="inlineStr">
        <is>
          <t>B</t>
        </is>
      </c>
      <c r="J86" s="8" t="n">
        <v>61</v>
      </c>
      <c r="K86" s="8" t="n">
        <v>126</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54</v>
      </c>
      <c r="K87" s="8" t="n">
        <v>131</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5.16</t>
        </is>
      </c>
      <c r="I88" s="18" t="inlineStr">
        <is>
          <t>B</t>
        </is>
      </c>
      <c r="J88" s="8" t="n">
        <v>114</v>
      </c>
      <c r="K88" s="8" t="n">
        <v>127</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90</v>
      </c>
      <c r="K89" s="8" t="n">
        <v>114</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5.7, 5.8</t>
        </is>
      </c>
      <c r="I90" s="18" t="inlineStr">
        <is>
          <t>B</t>
        </is>
      </c>
      <c r="J90" s="8" t="n">
        <v>54</v>
      </c>
      <c r="K90" s="8" t="n">
        <v>119</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6.33, 5.18</t>
        </is>
      </c>
      <c r="I91" s="18" t="inlineStr">
        <is>
          <t>B</t>
        </is>
      </c>
      <c r="J91" s="8" t="n">
        <v>66</v>
      </c>
      <c r="K91" s="8" t="n">
        <v>100</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4.7, 4.4</t>
        </is>
      </c>
      <c r="I92" s="18" t="inlineStr">
        <is>
          <t>B</t>
        </is>
      </c>
      <c r="J92" s="8" t="n">
        <v>54</v>
      </c>
      <c r="K92" s="8" t="n">
        <v>82</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3.2</t>
        </is>
      </c>
      <c r="I93" s="18" t="inlineStr">
        <is>
          <t>A</t>
        </is>
      </c>
      <c r="J93" s="8" t="n">
        <v>54</v>
      </c>
      <c r="K93" s="8" t="n">
        <v>105</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2.12, 4.20</t>
        </is>
      </c>
      <c r="I94" s="18" t="inlineStr">
        <is>
          <t>B</t>
        </is>
      </c>
      <c r="J94" s="8" t="n">
        <v>54</v>
      </c>
      <c r="K94" s="8" t="n">
        <v>70</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4.19, 6.9</t>
        </is>
      </c>
      <c r="I95" s="18" t="inlineStr">
        <is>
          <t>A</t>
        </is>
      </c>
      <c r="J95" s="8" t="n">
        <v>54</v>
      </c>
      <c r="K95" s="8" t="n">
        <v>71</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5.10, 3.2</t>
        </is>
      </c>
      <c r="I96" s="18" t="inlineStr">
        <is>
          <t>A</t>
        </is>
      </c>
      <c r="J96" s="8" t="n">
        <v>102</v>
      </c>
      <c r="K96" s="8" t="n">
        <v>102</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5.13, 6.24</t>
        </is>
      </c>
      <c r="I97" s="18" t="inlineStr">
        <is>
          <t>A</t>
        </is>
      </c>
      <c r="J97" s="8" t="n">
        <v>74</v>
      </c>
      <c r="K97" s="8" t="n">
        <v>126</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5.9</t>
        </is>
      </c>
      <c r="I98" s="18" t="inlineStr">
        <is>
          <t>A</t>
        </is>
      </c>
      <c r="J98" s="8" t="n">
        <v>70</v>
      </c>
      <c r="K98" s="8" t="n">
        <v>89</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(9-oct al 7-nov) y soporte mensual ($500.000 desde el 8-nov)</t>
        </is>
      </c>
      <c r="D99" s="5" t="n">
        <v>3</v>
      </c>
      <c r="E99" s="8">
        <f>D99</f>
        <v/>
      </c>
      <c r="F99" s="4" t="inlineStr">
        <is>
          <t>—</t>
        </is>
      </c>
      <c r="G99" s="7" t="inlineStr">
        <is>
          <t>Sí</t>
        </is>
      </c>
      <c r="H99" s="7" t="inlineStr">
        <is>
          <t>4.15, 6.28, 4.21</t>
        </is>
      </c>
      <c r="I99" s="18" t="inlineStr">
        <is>
          <t>B</t>
        </is>
      </c>
      <c r="J99" s="8" t="n">
        <v>0</v>
      </c>
      <c r="K99" s="8" t="n">
        <v>93</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20261003300000 y fusionar develop→main</t>
        </is>
      </c>
      <c r="D100" s="5" t="n">
        <v>1</v>
      </c>
      <c r="E100" s="8">
        <f>D100</f>
        <v/>
      </c>
      <c r="F100" s="7" t="inlineStr">
        <is>
          <t>4.17, 4.18, 4.19, 4.20, 5.15, 6.25</t>
        </is>
      </c>
      <c r="G100" s="7" t="inlineStr">
        <is>
          <t>No (usa las 2 filas)</t>
        </is>
      </c>
      <c r="H100" s="7" t="inlineStr">
        <is>
          <t>—</t>
        </is>
      </c>
      <c r="I100" s="18" t="inlineStr">
        <is>
          <t>A+B</t>
        </is>
      </c>
      <c r="J100" s="8" t="n">
        <v>115</v>
      </c>
      <c r="K100" s="8" t="n">
        <v>128</v>
      </c>
      <c r="L100" s="8">
        <f>K100+E100</f>
        <v/>
      </c>
      <c r="M100" s="8">
        <f>K100-J100</f>
        <v/>
      </c>
      <c r="N100" s="8">
        <f>"S"&amp;(INT(K100/Resumen!$C$5)+1)&amp;"–S"&amp;MAX(INT(K100/Resumen!$C$5)+1,ROUNDUP(L100/Resumen!$C$5,0))</f>
        <v/>
      </c>
      <c r="O100" s="8" t="inlineStr">
        <is>
          <t>Hecho</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 (más las 5 RESEND_TEMPLATE_* de las plantillas nuevas y redeploy)</t>
        </is>
      </c>
      <c r="D101" s="5" t="n">
        <v>1</v>
      </c>
      <c r="E101" s="8">
        <f>D101</f>
        <v/>
      </c>
      <c r="F101" s="4" t="inlineStr">
        <is>
          <t>5.17, 4.19</t>
        </is>
      </c>
      <c r="G101" s="7" t="inlineStr">
        <is>
          <t>Sí</t>
        </is>
      </c>
      <c r="H101" s="7" t="inlineStr">
        <is>
          <t>6.26</t>
        </is>
      </c>
      <c r="I101" s="18" t="inlineStr">
        <is>
          <t>A</t>
        </is>
      </c>
      <c r="J101" s="8" t="n">
        <v>90</v>
      </c>
      <c r="K101" s="8" t="n">
        <v>94</v>
      </c>
      <c r="L101" s="8">
        <f>K101+E101</f>
        <v/>
      </c>
      <c r="M101" s="8">
        <f>K101-J101</f>
        <v/>
      </c>
      <c r="N101" s="8">
        <f>"S"&amp;(INT(K101/Resumen!$C$5)+1)&amp;"–S"&amp;MAX(INT(K101/Resumen!$C$5)+1,ROUNDUP(L101/Resumen!$C$5,0))</f>
        <v/>
      </c>
      <c r="O101" s="8" t="inlineStr">
        <is>
          <t>Hecho</t>
        </is>
      </c>
      <c r="P101" s="8" t="inlineStr">
        <is>
          <t>Agregado</t>
        </is>
      </c>
      <c r="Q101" s="7" t="inlineStr">
        <is>
          <t>Sebas</t>
        </is>
      </c>
      <c r="R101" s="7" t="inlineStr"/>
    </row>
    <row r="102">
      <c r="A102" s="19" t="inlineStr">
        <is>
          <t>6.29</t>
        </is>
      </c>
      <c r="B102" s="4" t="inlineStr">
        <is>
          <t>6. Pruebas y lanzamiento</t>
        </is>
      </c>
      <c r="C102" s="7" t="inlineStr">
        <is>
          <t>Entrega final y último pago (viernes 9-oct; garantía 9-oct al 7-nov, soporte desde el 8-nov)</t>
        </is>
      </c>
      <c r="D102" s="5" t="n">
        <v>1</v>
      </c>
      <c r="E102" s="8">
        <f>D102</f>
        <v/>
      </c>
      <c r="F102" s="7" t="inlineStr">
        <is>
          <t>6.26, 6.27, 6.28, 6.32, 6.36, 6.39, 6.40</t>
        </is>
      </c>
      <c r="G102" s="7" t="inlineStr">
        <is>
          <t>No (usa las 2 filas)</t>
        </is>
      </c>
      <c r="H102" s="7" t="inlineStr">
        <is>
          <t>—</t>
        </is>
      </c>
      <c r="I102" s="18" t="inlineStr">
        <is>
          <t>A+B</t>
        </is>
      </c>
      <c r="J102" s="8" t="n">
        <v>129</v>
      </c>
      <c r="K102" s="8" t="n">
        <v>129</v>
      </c>
      <c r="L102" s="8">
        <f>K102+E102</f>
        <v/>
      </c>
      <c r="M102" s="8">
        <f>K102-J102</f>
        <v/>
      </c>
      <c r="N102" s="8">
        <f>"S"&amp;(INT(K102/Resumen!$C$5)+1)&amp;"–S"&amp;MAX(INT(K102/Resumen!$C$5)+1,ROUNDUP(L102/Resumen!$C$5,0))</f>
        <v/>
      </c>
      <c r="O102" s="8" t="inlineStr">
        <is>
          <t>Hecho</t>
        </is>
      </c>
      <c r="P102" s="8" t="inlineStr">
        <is>
          <t>Agregado</t>
        </is>
      </c>
      <c r="Q102" s="7" t="inlineStr">
        <is>
          <t>Sebas</t>
        </is>
      </c>
      <c r="R102" s="7" t="inlineStr"/>
    </row>
    <row r="103">
      <c r="A103" s="19" t="inlineStr">
        <is>
          <t>4.21</t>
        </is>
      </c>
      <c r="B103" s="7" t="inlineStr">
        <is>
          <t>4. Panel de administración</t>
        </is>
      </c>
      <c r="C103" s="7" t="inlineStr">
        <is>
          <t>Secretario con Asociados y Créditos en solo lectura, cambio de rol y desactivación de secretarios, búsqueda con nombre del admin e Historial del equipo (migración 20261003300000)</t>
        </is>
      </c>
      <c r="D103" s="5" t="n">
        <v>3</v>
      </c>
      <c r="E103" s="8">
        <f>D103</f>
        <v/>
      </c>
      <c r="F103" s="4" t="inlineStr">
        <is>
          <t>4.20</t>
        </is>
      </c>
      <c r="G103" s="7" t="inlineStr">
        <is>
          <t>Sí</t>
        </is>
      </c>
      <c r="H103" s="7" t="inlineStr">
        <is>
          <t>6.26, 6.31, 6.32</t>
        </is>
      </c>
      <c r="I103" s="18" t="inlineStr">
        <is>
          <t>A</t>
        </is>
      </c>
      <c r="J103" s="8" t="n">
        <v>75</v>
      </c>
      <c r="K103" s="8" t="n">
        <v>95</v>
      </c>
      <c r="L103" s="8">
        <f>K103+E103</f>
        <v/>
      </c>
      <c r="M103" s="8">
        <f>K103-J103</f>
        <v/>
      </c>
      <c r="N103" s="8">
        <f>"S"&amp;(INT(K103/Resumen!$C$5)+1)&amp;"–S"&amp;MAX(INT(K103/Resumen!$C$5)+1,ROUNDUP(L103/Resumen!$C$5,0))</f>
        <v/>
      </c>
      <c r="O103" s="8" t="inlineStr">
        <is>
          <t>Hecho</t>
        </is>
      </c>
      <c r="P103" s="8" t="inlineStr">
        <is>
          <t>Agregado</t>
        </is>
      </c>
      <c r="Q103" s="7" t="inlineStr">
        <is>
          <t>ga-funcionalidad-botones + ga-auditor-supabase</t>
        </is>
      </c>
      <c r="R103" s="7" t="inlineStr"/>
    </row>
    <row r="104">
      <c r="A104" s="19" t="inlineStr">
        <is>
          <t>4.22</t>
        </is>
      </c>
      <c r="B104" s="7" t="inlineStr">
        <is>
          <t>4. Panel de administración</t>
        </is>
      </c>
      <c r="C104" s="7" t="inlineStr">
        <is>
          <t>Comprobantes de un asociado eliminado se conservan 30 días y se borran con la tarea programada /api/cron/limpiar-fotos (comprobante_borrar_at)</t>
        </is>
      </c>
      <c r="D104" s="5" t="n">
        <v>1</v>
      </c>
      <c r="E104" s="8">
        <f>D104</f>
        <v/>
      </c>
      <c r="F104" s="4" t="inlineStr">
        <is>
          <t>4.19</t>
        </is>
      </c>
      <c r="G104" s="7" t="inlineStr">
        <is>
          <t>Sí</t>
        </is>
      </c>
      <c r="H104" s="7" t="inlineStr">
        <is>
          <t>6.38</t>
        </is>
      </c>
      <c r="I104" s="18" t="inlineStr">
        <is>
          <t>A</t>
        </is>
      </c>
      <c r="J104" s="8" t="n">
        <v>74</v>
      </c>
      <c r="K104" s="8" t="n">
        <v>130</v>
      </c>
      <c r="L104" s="8">
        <f>K104+E104</f>
        <v/>
      </c>
      <c r="M104" s="8">
        <f>K104-J104</f>
        <v/>
      </c>
      <c r="N104" s="8">
        <f>"S"&amp;(INT(K104/Resumen!$C$5)+1)&amp;"–S"&amp;MAX(INT(K104/Resumen!$C$5)+1,ROUNDUP(L104/Resumen!$C$5,0))</f>
        <v/>
      </c>
      <c r="O104" s="8" t="inlineStr">
        <is>
          <t>Hecho</t>
        </is>
      </c>
      <c r="P104" s="8" t="inlineStr">
        <is>
          <t>Agregado</t>
        </is>
      </c>
      <c r="Q104" s="7" t="inlineStr">
        <is>
          <t>ga-funcionalidad-botones</t>
        </is>
      </c>
      <c r="R104" s="7" t="inlineStr"/>
    </row>
    <row r="105">
      <c r="A105" s="19" t="inlineStr">
        <is>
          <t>5.18</t>
        </is>
      </c>
      <c r="B105" s="4" t="inlineStr">
        <is>
          <t>5. Convenios y pulido</t>
        </is>
      </c>
      <c r="C105" s="7" t="inlineStr">
        <is>
          <t>5 plantillas HTML nuevas de Resend (desembolsado, habilitado, sorteo-ganador, correo-cambiado, codigo-eliminacion) y guía de publicación de las 10 plantillas</t>
        </is>
      </c>
      <c r="D105" s="5" t="n">
        <v>1</v>
      </c>
      <c r="E105" s="8">
        <f>D105</f>
        <v/>
      </c>
      <c r="F105" s="4" t="inlineStr">
        <is>
          <t>5.17</t>
        </is>
      </c>
      <c r="G105" s="7" t="inlineStr">
        <is>
          <t>Sí</t>
        </is>
      </c>
      <c r="H105" s="7" t="inlineStr">
        <is>
          <t>5.14</t>
        </is>
      </c>
      <c r="I105" s="18" t="inlineStr">
        <is>
          <t>A</t>
        </is>
      </c>
      <c r="J105" s="8" t="n">
        <v>90</v>
      </c>
      <c r="K105" s="8" t="n">
        <v>101</v>
      </c>
      <c r="L105" s="8">
        <f>K105+E105</f>
        <v/>
      </c>
      <c r="M105" s="8">
        <f>K105-J105</f>
        <v/>
      </c>
      <c r="N105" s="8">
        <f>"S"&amp;(INT(K105/Resumen!$C$5)+1)&amp;"–S"&amp;MAX(INT(K105/Resumen!$C$5)+1,ROUNDUP(L105/Resumen!$C$5,0))</f>
        <v/>
      </c>
      <c r="O105" s="8" t="inlineStr">
        <is>
          <t>Hecho</t>
        </is>
      </c>
      <c r="P105" s="8" t="inlineStr">
        <is>
          <t>Agregado</t>
        </is>
      </c>
      <c r="Q105" s="7" t="inlineStr">
        <is>
          <t>ga-correos</t>
        </is>
      </c>
      <c r="R105" s="7" t="inlineStr"/>
    </row>
    <row r="106">
      <c r="A106" s="19" t="inlineStr">
        <is>
          <t>5.19</t>
        </is>
      </c>
      <c r="B106" s="4" t="inlineStr">
        <is>
          <t>5. Convenios y pulido</t>
        </is>
      </c>
      <c r="C106" s="7" t="inlineStr">
        <is>
          <t>Demo de asesor y admin con los convenios reales de la tabla; Patrullero de Policía (PP) vuelve a ofrecerse con cupo 1,0/2,1 M (migración 20261008000000, sin aplicar); agentes un escalón abajo</t>
        </is>
      </c>
      <c r="D106" s="5" t="n">
        <v>1</v>
      </c>
      <c r="E106" s="8">
        <f>D106</f>
        <v/>
      </c>
      <c r="F106" s="4" t="inlineStr">
        <is>
          <t>5.9</t>
        </is>
      </c>
      <c r="G106" s="7" t="inlineStr">
        <is>
          <t>Sí</t>
        </is>
      </c>
      <c r="H106" s="7" t="inlineStr">
        <is>
          <t>4.24</t>
        </is>
      </c>
      <c r="I106" s="18" t="inlineStr">
        <is>
          <t>A</t>
        </is>
      </c>
      <c r="J106" s="8" t="n">
        <v>90</v>
      </c>
      <c r="K106" s="8" t="n">
        <v>90</v>
      </c>
      <c r="L106" s="8">
        <f>K106+E106</f>
        <v/>
      </c>
      <c r="M106" s="8">
        <f>K106-J106</f>
        <v/>
      </c>
      <c r="N106" s="8">
        <f>"S"&amp;(INT(K106/Resumen!$C$5)+1)&amp;"–S"&amp;MAX(INT(K106/Resumen!$C$5)+1,ROUNDUP(L106/Resumen!$C$5,0))</f>
        <v/>
      </c>
      <c r="O106" s="8" t="inlineStr">
        <is>
          <t>Hecho</t>
        </is>
      </c>
      <c r="P106" s="8" t="inlineStr">
        <is>
          <t>Agregado</t>
        </is>
      </c>
      <c r="Q106" s="7" t="inlineStr">
        <is>
          <t>sesión principal</t>
        </is>
      </c>
      <c r="R106" s="7" t="inlineStr"/>
    </row>
    <row r="107">
      <c r="A107" s="19" t="inlineStr">
        <is>
          <t>6.30</t>
        </is>
      </c>
      <c r="B107" s="4" t="inlineStr">
        <is>
          <t>6. Pruebas y lanzamiento</t>
        </is>
      </c>
      <c r="C107" s="7" t="inlineStr">
        <is>
          <t>Resincronizar las migraciones 20261003000000/100000/200000 con producción y mover lo posterior a 20261003300000</t>
        </is>
      </c>
      <c r="D107" s="5" t="n">
        <v>1</v>
      </c>
      <c r="E107" s="8">
        <f>D107</f>
        <v/>
      </c>
      <c r="F107" s="4" t="inlineStr">
        <is>
          <t>4.20</t>
        </is>
      </c>
      <c r="G107" s="7" t="inlineStr">
        <is>
          <t>Sí</t>
        </is>
      </c>
      <c r="H107" s="7" t="inlineStr">
        <is>
          <t>4.8</t>
        </is>
      </c>
      <c r="I107" s="18" t="inlineStr">
        <is>
          <t>B</t>
        </is>
      </c>
      <c r="J107" s="8" t="n">
        <v>75</v>
      </c>
      <c r="K107" s="8" t="n">
        <v>113</v>
      </c>
      <c r="L107" s="8">
        <f>K107+E107</f>
        <v/>
      </c>
      <c r="M107" s="8">
        <f>K107-J107</f>
        <v/>
      </c>
      <c r="N107" s="8">
        <f>"S"&amp;(INT(K107/Resumen!$C$5)+1)&amp;"–S"&amp;MAX(INT(K107/Resumen!$C$5)+1,ROUNDUP(L107/Resumen!$C$5,0))</f>
        <v/>
      </c>
      <c r="O107" s="8" t="inlineStr">
        <is>
          <t>Hecho</t>
        </is>
      </c>
      <c r="P107" s="8" t="inlineStr">
        <is>
          <t>Agregado</t>
        </is>
      </c>
      <c r="Q107" s="7" t="inlineStr">
        <is>
          <t>ga-auditor-supabase</t>
        </is>
      </c>
      <c r="R107" s="7" t="inlineStr"/>
    </row>
    <row r="108">
      <c r="A108" s="19" t="inlineStr">
        <is>
          <t>6.31</t>
        </is>
      </c>
      <c r="B108" s="4" t="inlineStr">
        <is>
          <t>6. Pruebas y lanzamiento</t>
        </is>
      </c>
      <c r="C108" s="7" t="inlineStr">
        <is>
          <t>Revisión de seguridad y privacidad del 8-oct (897adf6..develop 74642c0): carné, recuperación de acceso, comprobantes, secretario, correos, convenios y PP</t>
        </is>
      </c>
      <c r="D108" s="5" t="n">
        <v>1</v>
      </c>
      <c r="E108" s="8">
        <f>D108</f>
        <v/>
      </c>
      <c r="F108" s="4" t="inlineStr">
        <is>
          <t>4.20</t>
        </is>
      </c>
      <c r="G108" s="7" t="inlineStr">
        <is>
          <t>Sí</t>
        </is>
      </c>
      <c r="H108" s="7" t="inlineStr">
        <is>
          <t>4.21</t>
        </is>
      </c>
      <c r="I108" s="18" t="inlineStr">
        <is>
          <t>B</t>
        </is>
      </c>
      <c r="J108" s="8" t="n">
        <v>75</v>
      </c>
      <c r="K108" s="8" t="n">
        <v>96</v>
      </c>
      <c r="L108" s="8">
        <f>K108+E108</f>
        <v/>
      </c>
      <c r="M108" s="8">
        <f>K108-J108</f>
        <v/>
      </c>
      <c r="N108" s="8">
        <f>"S"&amp;(INT(K108/Resumen!$C$5)+1)&amp;"–S"&amp;MAX(INT(K108/Resumen!$C$5)+1,ROUNDUP(L108/Resumen!$C$5,0))</f>
        <v/>
      </c>
      <c r="O108" s="8" t="inlineStr">
        <is>
          <t>Hecho</t>
        </is>
      </c>
      <c r="P108" s="8" t="inlineStr">
        <is>
          <t>Agregado</t>
        </is>
      </c>
      <c r="Q108" s="7" t="inlineStr">
        <is>
          <t>ga-revisor-seguridad</t>
        </is>
      </c>
      <c r="R108" s="7" t="inlineStr"/>
    </row>
    <row r="109">
      <c r="A109" s="19" t="inlineStr">
        <is>
          <t>6.32</t>
        </is>
      </c>
      <c r="B109" s="4" t="inlineStr">
        <is>
          <t>6. Pruebas y lanzamiento</t>
        </is>
      </c>
      <c r="C109" s="7" t="inlineStr">
        <is>
          <t>H-01 (alta): quitar el WhatsApp de convenios de la landing (cargarConvenios en app/page.tsx) y revocar telefono_contacto a anon</t>
        </is>
      </c>
      <c r="D109" s="5" t="n">
        <v>2</v>
      </c>
      <c r="E109" s="8">
        <f>D109</f>
        <v/>
      </c>
      <c r="F109" s="4" t="inlineStr">
        <is>
          <t>6.31</t>
        </is>
      </c>
      <c r="G109" s="7" t="inlineStr">
        <is>
          <t>Sí</t>
        </is>
      </c>
      <c r="H109" s="7" t="inlineStr">
        <is>
          <t>4.21, 6.33</t>
        </is>
      </c>
      <c r="I109" s="18" t="inlineStr">
        <is>
          <t>B</t>
        </is>
      </c>
      <c r="J109" s="8" t="n">
        <v>97</v>
      </c>
      <c r="K109" s="8" t="n">
        <v>97</v>
      </c>
      <c r="L109" s="8">
        <f>K109+E109</f>
        <v/>
      </c>
      <c r="M109" s="8">
        <f>K109-J109</f>
        <v/>
      </c>
      <c r="N109" s="8">
        <f>"S"&amp;(INT(K109/Resumen!$C$5)+1)&amp;"–S"&amp;MAX(INT(K109/Resumen!$C$5)+1,ROUNDUP(L109/Resumen!$C$5,0))</f>
        <v/>
      </c>
      <c r="O109" s="8" t="inlineStr">
        <is>
          <t>Hecho</t>
        </is>
      </c>
      <c r="P109" s="8" t="inlineStr">
        <is>
          <t>Agregado</t>
        </is>
      </c>
      <c r="Q109" s="7" t="inlineStr">
        <is>
          <t>ga-funcionalidad-botones + ga-auditor-supabase + sesión principal</t>
        </is>
      </c>
      <c r="R109" s="7" t="inlineStr"/>
    </row>
    <row r="110">
      <c r="A110" s="19" t="inlineStr">
        <is>
          <t>6.33</t>
        </is>
      </c>
      <c r="B110" s="4" t="inlineStr">
        <is>
          <t>6. Pruebas y lanzamiento</t>
        </is>
      </c>
      <c r="C110" s="7" t="inlineStr">
        <is>
          <t>Hallazgos medios H-02 a H-05: búsqueda de cédula exacta, cambio de correo atado a la solicitud, foto en la verificación pública y recuperación bloqueable</t>
        </is>
      </c>
      <c r="D110" s="5" t="n">
        <v>3</v>
      </c>
      <c r="E110" s="8">
        <f>D110</f>
        <v/>
      </c>
      <c r="F110" s="4" t="inlineStr">
        <is>
          <t>6.31</t>
        </is>
      </c>
      <c r="G110" s="7" t="inlineStr">
        <is>
          <t>Sí</t>
        </is>
      </c>
      <c r="H110" s="7" t="inlineStr">
        <is>
          <t>6.32, 6.34, 5.14</t>
        </is>
      </c>
      <c r="I110" s="18" t="inlineStr">
        <is>
          <t>A</t>
        </is>
      </c>
      <c r="J110" s="8" t="n">
        <v>97</v>
      </c>
      <c r="K110" s="8" t="n">
        <v>98</v>
      </c>
      <c r="L110" s="8">
        <f>K110+E110</f>
        <v/>
      </c>
      <c r="M110" s="8">
        <f>K110-J110</f>
        <v/>
      </c>
      <c r="N110" s="8">
        <f>"S"&amp;(INT(K110/Resumen!$C$5)+1)&amp;"–S"&amp;MAX(INT(K110/Resumen!$C$5)+1,ROUNDUP(L110/Resumen!$C$5,0))</f>
        <v/>
      </c>
      <c r="O110" s="8" t="inlineStr">
        <is>
          <t>Hecho</t>
        </is>
      </c>
      <c r="P110" s="8" t="inlineStr">
        <is>
          <t>Agregado</t>
        </is>
      </c>
      <c r="Q110" s="7" t="inlineStr">
        <is>
          <t>ga-funcionalidad-botones + ga-auditor-supabase + sesión principal</t>
        </is>
      </c>
      <c r="R110" s="7" t="inlineStr"/>
    </row>
    <row r="111">
      <c r="A111" s="19" t="inlineStr">
        <is>
          <t>6.34</t>
        </is>
      </c>
      <c r="B111" s="4" t="inlineStr">
        <is>
          <t>6. Pruebas y lanzamiento</t>
        </is>
      </c>
      <c r="C111" s="7" t="inlineStr">
        <is>
          <t>Hallazgos bajos H-07, H-09 y H-10 de la revisión del 8-oct</t>
        </is>
      </c>
      <c r="D111" s="5" t="n">
        <v>1</v>
      </c>
      <c r="E111" s="8">
        <f>D111</f>
        <v/>
      </c>
      <c r="F111" s="4" t="inlineStr">
        <is>
          <t>6.31</t>
        </is>
      </c>
      <c r="G111" s="7" t="inlineStr">
        <is>
          <t>Sí</t>
        </is>
      </c>
      <c r="H111" s="7" t="inlineStr">
        <is>
          <t>6.33</t>
        </is>
      </c>
      <c r="I111" s="18" t="inlineStr">
        <is>
          <t>B</t>
        </is>
      </c>
      <c r="J111" s="8" t="n">
        <v>97</v>
      </c>
      <c r="K111" s="8" t="n">
        <v>99</v>
      </c>
      <c r="L111" s="8">
        <f>K111+E111</f>
        <v/>
      </c>
      <c r="M111" s="8">
        <f>K111-J111</f>
        <v/>
      </c>
      <c r="N111" s="8">
        <f>"S"&amp;(INT(K111/Resumen!$C$5)+1)&amp;"–S"&amp;MAX(INT(K111/Resumen!$C$5)+1,ROUNDUP(L111/Resumen!$C$5,0))</f>
        <v/>
      </c>
      <c r="O111" s="8" t="inlineStr">
        <is>
          <t>Hecho</t>
        </is>
      </c>
      <c r="P111" s="8" t="inlineStr">
        <is>
          <t>Agregado</t>
        </is>
      </c>
      <c r="Q111" s="7" t="inlineStr">
        <is>
          <t>ga-funcionalidad-botones + ga-auditor-supabase + sesión principal</t>
        </is>
      </c>
      <c r="R111" s="7" t="inlineStr"/>
    </row>
    <row r="112">
      <c r="A112" s="19" t="inlineStr">
        <is>
          <t>6.35</t>
        </is>
      </c>
      <c r="B112" s="4" t="inlineStr">
        <is>
          <t>6. Pruebas y lanzamiento</t>
        </is>
      </c>
      <c r="C112" s="7" t="inlineStr">
        <is>
          <t>npm audit fix (H-06): sharp y source-map-js</t>
        </is>
      </c>
      <c r="D112" s="5" t="n">
        <v>1</v>
      </c>
      <c r="E112" s="8">
        <f>D112</f>
        <v/>
      </c>
      <c r="F112" s="4" t="inlineStr">
        <is>
          <t>6.31</t>
        </is>
      </c>
      <c r="G112" s="7" t="inlineStr">
        <is>
          <t>Sí</t>
        </is>
      </c>
      <c r="H112" s="7" t="inlineStr">
        <is>
          <t>2.16</t>
        </is>
      </c>
      <c r="I112" s="18" t="inlineStr">
        <is>
          <t>A</t>
        </is>
      </c>
      <c r="J112" s="8" t="n">
        <v>97</v>
      </c>
      <c r="K112" s="8" t="n">
        <v>109</v>
      </c>
      <c r="L112" s="8">
        <f>K112+E112</f>
        <v/>
      </c>
      <c r="M112" s="8">
        <f>K112-J112</f>
        <v/>
      </c>
      <c r="N112" s="8">
        <f>"S"&amp;(INT(K112/Resumen!$C$5)+1)&amp;"–S"&amp;MAX(INT(K112/Resumen!$C$5)+1,ROUNDUP(L112/Resumen!$C$5,0))</f>
        <v/>
      </c>
      <c r="O112" s="8" t="inlineStr">
        <is>
          <t>Hecho</t>
        </is>
      </c>
      <c r="P112" s="8" t="inlineStr">
        <is>
          <t>Agregado</t>
        </is>
      </c>
      <c r="Q112" s="7" t="inlineStr">
        <is>
          <t>sesión principal</t>
        </is>
      </c>
      <c r="R112" s="7" t="inlineStr"/>
    </row>
    <row r="113">
      <c r="A113" s="19" t="inlineStr">
        <is>
          <t>6.36</t>
        </is>
      </c>
      <c r="B113" s="4" t="inlineStr">
        <is>
          <t>6. Pruebas y lanzamiento</t>
        </is>
      </c>
      <c r="C113" s="7" t="inlineStr">
        <is>
          <t>Aplicar con respaldo la migración 20261008000000 (Patrullero de Policía) en producción</t>
        </is>
      </c>
      <c r="D113" s="5" t="n">
        <v>1</v>
      </c>
      <c r="E113" s="8">
        <f>D113</f>
        <v/>
      </c>
      <c r="F113" s="4" t="inlineStr">
        <is>
          <t>5.19</t>
        </is>
      </c>
      <c r="G113" s="7" t="inlineStr">
        <is>
          <t>No (usa las 2 filas)</t>
        </is>
      </c>
      <c r="H113" s="7" t="inlineStr">
        <is>
          <t>—</t>
        </is>
      </c>
      <c r="I113" s="18" t="inlineStr">
        <is>
          <t>A+B</t>
        </is>
      </c>
      <c r="J113" s="8" t="n">
        <v>91</v>
      </c>
      <c r="K113" s="8" t="n">
        <v>122</v>
      </c>
      <c r="L113" s="8">
        <f>K113+E113</f>
        <v/>
      </c>
      <c r="M113" s="8">
        <f>K113-J113</f>
        <v/>
      </c>
      <c r="N113" s="8">
        <f>"S"&amp;(INT(K113/Resumen!$C$5)+1)&amp;"–S"&amp;MAX(INT(K113/Resumen!$C$5)+1,ROUNDUP(L113/Resumen!$C$5,0))</f>
        <v/>
      </c>
      <c r="O113" s="8" t="inlineStr">
        <is>
          <t>Hecho</t>
        </is>
      </c>
      <c r="P113" s="8" t="inlineStr">
        <is>
          <t>Agregado</t>
        </is>
      </c>
      <c r="Q113" s="7" t="inlineStr">
        <is>
          <t>Sebas</t>
        </is>
      </c>
      <c r="R113" s="7" t="inlineStr"/>
    </row>
    <row r="114">
      <c r="A114" s="19" t="inlineStr">
        <is>
          <t>6.37</t>
        </is>
      </c>
      <c r="B114" s="4" t="inlineStr">
        <is>
          <t>6. Pruebas y lanzamiento</t>
        </is>
      </c>
      <c r="C114" s="7" t="inlineStr">
        <is>
          <t>Borrar en el SQL Editor las 2 solicitudes de crédito de prueba (cuenta eliminada)</t>
        </is>
      </c>
      <c r="D114" s="5" t="n">
        <v>1</v>
      </c>
      <c r="E114" s="8">
        <f>D114</f>
        <v/>
      </c>
      <c r="F114" s="4" t="inlineStr">
        <is>
          <t>—</t>
        </is>
      </c>
      <c r="G114" s="7" t="inlineStr">
        <is>
          <t>Sí</t>
        </is>
      </c>
      <c r="H114" s="7" t="inlineStr">
        <is>
          <t>2.16</t>
        </is>
      </c>
      <c r="I114" s="18" t="inlineStr">
        <is>
          <t>A</t>
        </is>
      </c>
      <c r="J114" s="8" t="n">
        <v>0</v>
      </c>
      <c r="K114" s="8" t="n">
        <v>107</v>
      </c>
      <c r="L114" s="8">
        <f>K114+E114</f>
        <v/>
      </c>
      <c r="M114" s="8">
        <f>K114-J114</f>
        <v/>
      </c>
      <c r="N114" s="8">
        <f>"S"&amp;(INT(K114/Resumen!$C$5)+1)&amp;"–S"&amp;MAX(INT(K114/Resumen!$C$5)+1,ROUNDUP(L114/Resumen!$C$5,0))</f>
        <v/>
      </c>
      <c r="O114" s="8" t="inlineStr">
        <is>
          <t>Hecho</t>
        </is>
      </c>
      <c r="P114" s="8" t="inlineStr">
        <is>
          <t>Agregado</t>
        </is>
      </c>
      <c r="Q114" s="7" t="inlineStr">
        <is>
          <t>Sebas</t>
        </is>
      </c>
      <c r="R114" s="7" t="inlineStr"/>
    </row>
    <row r="115">
      <c r="A115" s="19" t="inlineStr">
        <is>
          <t>6.38</t>
        </is>
      </c>
      <c r="B115" s="4" t="inlineStr">
        <is>
          <t>6. Pruebas y lanzamiento</t>
        </is>
      </c>
      <c r="C115" s="7" t="inlineStr">
        <is>
          <t>Activar SVM en el BIOS para Docker y volver a correr pgTAP y e2e</t>
        </is>
      </c>
      <c r="D115" s="5" t="n">
        <v>1</v>
      </c>
      <c r="E115" s="8">
        <f>D115</f>
        <v/>
      </c>
      <c r="F115" s="4" t="inlineStr">
        <is>
          <t>—</t>
        </is>
      </c>
      <c r="G115" s="7" t="inlineStr">
        <is>
          <t>Sí</t>
        </is>
      </c>
      <c r="H115" s="7" t="inlineStr">
        <is>
          <t>4.22</t>
        </is>
      </c>
      <c r="I115" s="18" t="inlineStr">
        <is>
          <t>B</t>
        </is>
      </c>
      <c r="J115" s="8" t="n">
        <v>0</v>
      </c>
      <c r="K115" s="8" t="n">
        <v>130</v>
      </c>
      <c r="L115" s="8">
        <f>K115+E115</f>
        <v/>
      </c>
      <c r="M115" s="8">
        <f>K115-J115</f>
        <v/>
      </c>
      <c r="N115" s="8">
        <f>"S"&amp;(INT(K115/Resumen!$C$5)+1)&amp;"–S"&amp;MAX(INT(K115/Resumen!$C$5)+1,ROUNDUP(L115/Resumen!$C$5,0))</f>
        <v/>
      </c>
      <c r="O115" s="8" t="inlineStr">
        <is>
          <t>Hecho</t>
        </is>
      </c>
      <c r="P115" s="8" t="inlineStr">
        <is>
          <t>Agregado</t>
        </is>
      </c>
      <c r="Q115" s="7" t="inlineStr">
        <is>
          <t>Sebas</t>
        </is>
      </c>
      <c r="R115" s="7" t="inlineStr"/>
    </row>
    <row r="116">
      <c r="A116" s="19" t="inlineStr">
        <is>
          <t>6.39</t>
        </is>
      </c>
      <c r="B116" s="4" t="inlineStr">
        <is>
          <t>6. Pruebas y lanzamiento</t>
        </is>
      </c>
      <c r="C116" s="7" t="inlineStr">
        <is>
          <t>Aplicar con respaldo la migración 20261009000000 (hallazgos de seguridad del 8-oct) en producción</t>
        </is>
      </c>
      <c r="D116" s="5" t="n">
        <v>1</v>
      </c>
      <c r="E116" s="8">
        <f>D116</f>
        <v/>
      </c>
      <c r="F116" s="4" t="inlineStr">
        <is>
          <t>6.32, 6.33, 6.34, 6.36</t>
        </is>
      </c>
      <c r="G116" s="7" t="inlineStr">
        <is>
          <t>No (usa las 2 filas)</t>
        </is>
      </c>
      <c r="H116" s="7" t="inlineStr">
        <is>
          <t>—</t>
        </is>
      </c>
      <c r="I116" s="18" t="inlineStr">
        <is>
          <t>A+B</t>
        </is>
      </c>
      <c r="J116" s="8" t="n">
        <v>123</v>
      </c>
      <c r="K116" s="8" t="n">
        <v>123</v>
      </c>
      <c r="L116" s="8">
        <f>K116+E116</f>
        <v/>
      </c>
      <c r="M116" s="8">
        <f>K116-J116</f>
        <v/>
      </c>
      <c r="N116" s="8">
        <f>"S"&amp;(INT(K116/Resumen!$C$5)+1)&amp;"–S"&amp;MAX(INT(K116/Resumen!$C$5)+1,ROUNDUP(L116/Resumen!$C$5,0))</f>
        <v/>
      </c>
      <c r="O116" s="8" t="inlineStr">
        <is>
          <t>Hecho</t>
        </is>
      </c>
      <c r="P116" s="8" t="inlineStr">
        <is>
          <t>Agregado</t>
        </is>
      </c>
      <c r="Q116" s="7" t="inlineStr">
        <is>
          <t>Sebas</t>
        </is>
      </c>
      <c r="R116" s="7" t="inlineStr"/>
    </row>
    <row r="117">
      <c r="A117" s="19" t="inlineStr">
        <is>
          <t>6.40</t>
        </is>
      </c>
      <c r="B117" s="4" t="inlineStr">
        <is>
          <t>6. Pruebas y lanzamiento</t>
        </is>
      </c>
      <c r="C117" s="7" t="inlineStr">
        <is>
          <t>Desplegar el código de los hallazgos de seguridad junto con la migración 20261009000000</t>
        </is>
      </c>
      <c r="D117" s="5" t="n">
        <v>1</v>
      </c>
      <c r="E117" s="8">
        <f>D117</f>
        <v/>
      </c>
      <c r="F117" s="4" t="inlineStr">
        <is>
          <t>6.39</t>
        </is>
      </c>
      <c r="G117" s="7" t="inlineStr">
        <is>
          <t>No (usa las 2 filas)</t>
        </is>
      </c>
      <c r="H117" s="7" t="inlineStr">
        <is>
          <t>—</t>
        </is>
      </c>
      <c r="I117" s="18" t="inlineStr">
        <is>
          <t>A+B</t>
        </is>
      </c>
      <c r="J117" s="8" t="n">
        <v>124</v>
      </c>
      <c r="K117" s="8" t="n">
        <v>124</v>
      </c>
      <c r="L117" s="8">
        <f>K117+E117</f>
        <v/>
      </c>
      <c r="M117" s="8">
        <f>K117-J117</f>
        <v/>
      </c>
      <c r="N117" s="8">
        <f>"S"&amp;(INT(K117/Resumen!$C$5)+1)&amp;"–S"&amp;MAX(INT(K117/Resumen!$C$5)+1,ROUNDUP(L117/Resumen!$C$5,0))</f>
        <v/>
      </c>
      <c r="O117" s="8" t="inlineStr">
        <is>
          <t>Hecho</t>
        </is>
      </c>
      <c r="P117" s="8" t="inlineStr">
        <is>
          <t>Agregado</t>
        </is>
      </c>
      <c r="Q117" s="7" t="inlineStr">
        <is>
          <t>Sebas</t>
        </is>
      </c>
      <c r="R117" s="7" t="inlineStr"/>
    </row>
    <row r="118">
      <c r="A118" s="19" t="inlineStr">
        <is>
          <t>4.23</t>
        </is>
      </c>
      <c r="B118" s="7" t="inlineStr">
        <is>
          <t>4. Panel de administración</t>
        </is>
      </c>
      <c r="C118" s="7" t="inlineStr">
        <is>
          <t>Editar datos del asociado desde /admin (nombre, celular, correo institucional, cuenta de nómina) con límite de 30 cambios por hora</t>
        </is>
      </c>
      <c r="D118" s="5" t="n">
        <v>3</v>
      </c>
      <c r="E118" s="8">
        <f>D118</f>
        <v/>
      </c>
      <c r="F118" s="4" t="inlineStr">
        <is>
          <t>—</t>
        </is>
      </c>
      <c r="G118" s="7" t="inlineStr">
        <is>
          <t>Sí</t>
        </is>
      </c>
      <c r="H118" s="7" t="inlineStr">
        <is>
          <t>4.7</t>
        </is>
      </c>
      <c r="I118" s="18" t="inlineStr">
        <is>
          <t>B</t>
        </is>
      </c>
      <c r="J118" s="8" t="n">
        <v>0</v>
      </c>
      <c r="K118" s="8" t="n">
        <v>79</v>
      </c>
      <c r="L118" s="8">
        <f>K118+E118</f>
        <v/>
      </c>
      <c r="M118" s="8">
        <f>K118-J118</f>
        <v/>
      </c>
      <c r="N118" s="8">
        <f>"S"&amp;(INT(K118/Resumen!$C$5)+1)&amp;"–S"&amp;MAX(INT(K118/Resumen!$C$5)+1,ROUNDUP(L118/Resumen!$C$5,0))</f>
        <v/>
      </c>
      <c r="O118" s="8" t="inlineStr">
        <is>
          <t>Hecho</t>
        </is>
      </c>
      <c r="P118" s="8" t="inlineStr">
        <is>
          <t>Agregado</t>
        </is>
      </c>
      <c r="Q118" s="7" t="inlineStr">
        <is>
          <t>sesión principal</t>
        </is>
      </c>
      <c r="R118" s="7" t="inlineStr"/>
    </row>
    <row r="119">
      <c r="A119" s="19" t="inlineStr">
        <is>
          <t>2.16</t>
        </is>
      </c>
      <c r="B119" s="7" t="inlineStr">
        <is>
          <t>2. Landing y autenticación</t>
        </is>
      </c>
      <c r="C119" s="7" t="inlineStr">
        <is>
          <t>Afiliación sin repetidos: el trigger rechaza cédula o correos ya registrados o con solicitud pendiente (migración 20261014000000, pgTAP 32)</t>
        </is>
      </c>
      <c r="D119" s="5" t="n">
        <v>3</v>
      </c>
      <c r="E119" s="8">
        <f>D119</f>
        <v/>
      </c>
      <c r="F119" s="4" t="inlineStr">
        <is>
          <t>—</t>
        </is>
      </c>
      <c r="G119" s="7" t="inlineStr">
        <is>
          <t>Sí</t>
        </is>
      </c>
      <c r="H119" s="7" t="inlineStr">
        <is>
          <t>6.37, 6.12, 6.35</t>
        </is>
      </c>
      <c r="I119" s="18" t="inlineStr">
        <is>
          <t>B</t>
        </is>
      </c>
      <c r="J119" s="8" t="n">
        <v>0</v>
      </c>
      <c r="K119" s="8" t="n">
        <v>107</v>
      </c>
      <c r="L119" s="8">
        <f>K119+E119</f>
        <v/>
      </c>
      <c r="M119" s="8">
        <f>K119-J119</f>
        <v/>
      </c>
      <c r="N119" s="8">
        <f>"S"&amp;(INT(K119/Resumen!$C$5)+1)&amp;"–S"&amp;MAX(INT(K119/Resumen!$C$5)+1,ROUNDUP(L119/Resumen!$C$5,0))</f>
        <v/>
      </c>
      <c r="O119" s="8" t="inlineStr">
        <is>
          <t>Hecho</t>
        </is>
      </c>
      <c r="P119" s="8" t="inlineStr">
        <is>
          <t>Agregado</t>
        </is>
      </c>
      <c r="Q119" s="7" t="inlineStr">
        <is>
          <t>sesión principal</t>
        </is>
      </c>
      <c r="R119" s="7" t="inlineStr"/>
    </row>
    <row r="120">
      <c r="A120" s="19" t="inlineStr">
        <is>
          <t>4.24</t>
        </is>
      </c>
      <c r="B120" s="7" t="inlineStr">
        <is>
          <t>4. Panel de administración</t>
        </is>
      </c>
      <c r="C120" s="7" t="inlineStr">
        <is>
          <t>Pausa del ingreso de asociados desde /admin/plataforma (solo admin): proxy.ts manda a /cuenta-pausada, con historial (migración 20261018000000, pgTAP 33)</t>
        </is>
      </c>
      <c r="D120" s="5" t="n">
        <v>3</v>
      </c>
      <c r="E120" s="8">
        <f>D120</f>
        <v/>
      </c>
      <c r="F120" s="4" t="inlineStr">
        <is>
          <t>—</t>
        </is>
      </c>
      <c r="G120" s="7" t="inlineStr">
        <is>
          <t>Sí</t>
        </is>
      </c>
      <c r="H120" s="7" t="inlineStr">
        <is>
          <t>5.19, 4.15</t>
        </is>
      </c>
      <c r="I120" s="18" t="inlineStr">
        <is>
          <t>B</t>
        </is>
      </c>
      <c r="J120" s="8" t="n">
        <v>0</v>
      </c>
      <c r="K120" s="8" t="n">
        <v>90</v>
      </c>
      <c r="L120" s="8">
        <f>K120+E120</f>
        <v/>
      </c>
      <c r="M120" s="8">
        <f>K120-J120</f>
        <v/>
      </c>
      <c r="N120" s="8">
        <f>"S"&amp;(INT(K120/Resumen!$C$5)+1)&amp;"–S"&amp;MAX(INT(K120/Resumen!$C$5)+1,ROUNDUP(L120/Resumen!$C$5,0))</f>
        <v/>
      </c>
      <c r="O120" s="8" t="inlineStr">
        <is>
          <t>Hecho</t>
        </is>
      </c>
      <c r="P120" s="8" t="inlineStr">
        <is>
          <t>Agregado</t>
        </is>
      </c>
      <c r="Q120" s="7" t="inlineStr">
        <is>
          <t>sesión principal</t>
        </is>
      </c>
      <c r="R120" s="7" t="inlineStr"/>
    </row>
    <row r="121">
      <c r="A121" s="19" t="inlineStr">
        <is>
          <t>4.25</t>
        </is>
      </c>
      <c r="B121" s="7" t="inlineStr">
        <is>
          <t>4. Panel de administración</t>
        </is>
      </c>
      <c r="C121" s="7" t="inlineStr">
        <is>
          <t>Avisos al próximo ingreso: se muestran una vez al entrar a /cuenta, con conteo de quiénes los vieron y opción de retirarlos</t>
        </is>
      </c>
      <c r="D121" s="5" t="n">
        <v>2</v>
      </c>
      <c r="E121" s="8">
        <f>D121</f>
        <v/>
      </c>
      <c r="F121" s="4" t="inlineStr">
        <is>
          <t>—</t>
        </is>
      </c>
      <c r="G121" s="7" t="inlineStr">
        <is>
          <t>Sí</t>
        </is>
      </c>
      <c r="H121" s="7" t="inlineStr">
        <is>
          <t>6.3</t>
        </is>
      </c>
      <c r="I121" s="18" t="inlineStr">
        <is>
          <t>A</t>
        </is>
      </c>
      <c r="J121" s="8" t="n">
        <v>0</v>
      </c>
      <c r="K121" s="8" t="n">
        <v>77</v>
      </c>
      <c r="L121" s="8">
        <f>K121+E121</f>
        <v/>
      </c>
      <c r="M121" s="8">
        <f>K121-J121</f>
        <v/>
      </c>
      <c r="N121" s="8">
        <f>"S"&amp;(INT(K121/Resumen!$C$5)+1)&amp;"–S"&amp;MAX(INT(K121/Resumen!$C$5)+1,ROUNDUP(L121/Resumen!$C$5,0))</f>
        <v/>
      </c>
      <c r="O121" s="8" t="inlineStr">
        <is>
          <t>Hecho</t>
        </is>
      </c>
      <c r="P121" s="8" t="inlineStr">
        <is>
          <t>Agregado</t>
        </is>
      </c>
      <c r="Q121" s="7" t="inlineStr">
        <is>
          <t>sesión principal</t>
        </is>
      </c>
      <c r="R121" s="7" t="inlineStr"/>
    </row>
    <row r="122">
      <c r="A122" s="19" t="inlineStr">
        <is>
          <t>3.11</t>
        </is>
      </c>
      <c r="B122" s="7" t="inlineStr">
        <is>
          <t>3. Flujo de solicitud de crédito</t>
        </is>
      </c>
      <c r="C122" s="7" t="inlineStr">
        <is>
          <t>Botón flotante de WhatsApp: en páginas públicas con el mensaje del pie y en /cuenta con el nombre del asociado</t>
        </is>
      </c>
      <c r="D122" s="5" t="n">
        <v>1</v>
      </c>
      <c r="E122" s="8">
        <f>D122</f>
        <v/>
      </c>
      <c r="F122" s="4" t="inlineStr">
        <is>
          <t>—</t>
        </is>
      </c>
      <c r="G122" s="7" t="inlineStr">
        <is>
          <t>Sí</t>
        </is>
      </c>
      <c r="H122" s="7" t="inlineStr">
        <is>
          <t>1.6</t>
        </is>
      </c>
      <c r="I122" s="18" t="inlineStr">
        <is>
          <t>A</t>
        </is>
      </c>
      <c r="J122" s="8" t="n">
        <v>0</v>
      </c>
      <c r="K122" s="8" t="n">
        <v>34</v>
      </c>
      <c r="L122" s="8">
        <f>K122+E122</f>
        <v/>
      </c>
      <c r="M122" s="8">
        <f>K122-J122</f>
        <v/>
      </c>
      <c r="N122" s="8">
        <f>"S"&amp;(INT(K122/Resumen!$C$5)+1)&amp;"–S"&amp;MAX(INT(K122/Resumen!$C$5)+1,ROUNDUP(L122/Resumen!$C$5,0))</f>
        <v/>
      </c>
      <c r="O122" s="8" t="inlineStr">
        <is>
          <t>Hecho</t>
        </is>
      </c>
      <c r="P122" s="8" t="inlineStr">
        <is>
          <t>Agregado</t>
        </is>
      </c>
      <c r="Q122" s="7" t="inlineStr">
        <is>
          <t>sesión principal</t>
        </is>
      </c>
      <c r="R122" s="7" t="inlineStr"/>
    </row>
    <row r="123">
      <c r="A123" s="19" t="inlineStr">
        <is>
          <t>2.17</t>
        </is>
      </c>
      <c r="B123" s="7" t="inlineStr">
        <is>
          <t>2. Landing y autenticación</t>
        </is>
      </c>
      <c r="C123" s="7" t="inlineStr">
        <is>
          <t>Selfie de afiliación: perfil propio de calidad y cámara en HD para evitar falsos avisos de foto dudosa</t>
        </is>
      </c>
      <c r="D123" s="5" t="n">
        <v>1</v>
      </c>
      <c r="E123" s="8">
        <f>D123</f>
        <v/>
      </c>
      <c r="F123" s="4" t="inlineStr">
        <is>
          <t>—</t>
        </is>
      </c>
      <c r="G123" s="7" t="inlineStr">
        <is>
          <t>Sí</t>
        </is>
      </c>
      <c r="H123" s="7" t="inlineStr">
        <is>
          <t>5.3</t>
        </is>
      </c>
      <c r="I123" s="18" t="inlineStr">
        <is>
          <t>B</t>
        </is>
      </c>
      <c r="J123" s="8" t="n">
        <v>132</v>
      </c>
      <c r="K123" s="8" t="n">
        <v>134</v>
      </c>
      <c r="L123" s="8">
        <f>K123+E123</f>
        <v/>
      </c>
      <c r="M123" s="8">
        <f>K123-J123</f>
        <v/>
      </c>
      <c r="N123" s="8">
        <f>"S"&amp;(INT(K123/Resumen!$C$5)+1)&amp;"–S"&amp;MAX(INT(K123/Resumen!$C$5)+1,ROUNDUP(L123/Resumen!$C$5,0))</f>
        <v/>
      </c>
      <c r="O123" s="8" t="inlineStr">
        <is>
          <t>En curso</t>
        </is>
      </c>
      <c r="P123" s="8" t="inlineStr">
        <is>
          <t>Agregado</t>
        </is>
      </c>
      <c r="Q123" s="7" t="inlineStr">
        <is>
          <t>sesión principal</t>
        </is>
      </c>
      <c r="R123" s="7" t="inlineStr"/>
    </row>
    <row r="124">
      <c r="A124" s="19" t="inlineStr">
        <is>
          <t>6.41</t>
        </is>
      </c>
      <c r="B124" s="4" t="inlineStr">
        <is>
          <t>6. Pruebas y lanzamiento</t>
        </is>
      </c>
      <c r="C124" s="7" t="inlineStr">
        <is>
          <t>Aplicar con respaldo las migraciones 20261014000000 (afiliación sin repetidos), 20261018000000 (pausa de cuenta y avisos) y 20261018100000 (editar datos en la base) y correr pgTAP 32, 33 y 34</t>
        </is>
      </c>
      <c r="D124" s="5" t="n">
        <v>1</v>
      </c>
      <c r="E124" s="8">
        <f>D124</f>
        <v/>
      </c>
      <c r="F124" s="4" t="inlineStr">
        <is>
          <t>2.16, 4.24, 4.25</t>
        </is>
      </c>
      <c r="G124" s="7" t="inlineStr">
        <is>
          <t>No (usa las 2 filas)</t>
        </is>
      </c>
      <c r="H124" s="7" t="inlineStr">
        <is>
          <t>—</t>
        </is>
      </c>
      <c r="I124" s="18" t="inlineStr">
        <is>
          <t>A+B</t>
        </is>
      </c>
      <c r="J124" s="8" t="n">
        <v>110</v>
      </c>
      <c r="K124" s="8" t="n">
        <v>110</v>
      </c>
      <c r="L124" s="8">
        <f>K124+E124</f>
        <v/>
      </c>
      <c r="M124" s="8">
        <f>K124-J124</f>
        <v/>
      </c>
      <c r="N124" s="8">
        <f>"S"&amp;(INT(K124/Resumen!$C$5)+1)&amp;"–S"&amp;MAX(INT(K124/Resumen!$C$5)+1,ROUNDUP(L124/Resumen!$C$5,0))</f>
        <v/>
      </c>
      <c r="O124" s="8" t="inlineStr">
        <is>
          <t>Hecho</t>
        </is>
      </c>
      <c r="P124" s="8" t="inlineStr">
        <is>
          <t>Agregado</t>
        </is>
      </c>
      <c r="Q124" s="7" t="inlineStr">
        <is>
          <t>Sebas</t>
        </is>
      </c>
      <c r="R124" s="7" t="inlineStr"/>
    </row>
    <row r="125">
      <c r="A125" s="19" t="inlineStr">
        <is>
          <t>6.43</t>
        </is>
      </c>
      <c r="B125" s="4" t="inlineStr">
        <is>
          <t>6. Pruebas y lanzamiento</t>
        </is>
      </c>
      <c r="C125" s="7" t="inlineStr">
        <is>
          <t>Abrir y fusionar el PR develop → main en GitHub para desplegar los cambios del 18-oct (commit e0cbe5a)</t>
        </is>
      </c>
      <c r="D125" s="5" t="n">
        <v>1</v>
      </c>
      <c r="E125" s="8">
        <f>D125</f>
        <v/>
      </c>
      <c r="F125" s="4" t="inlineStr">
        <is>
          <t>6.41</t>
        </is>
      </c>
      <c r="G125" s="7" t="inlineStr">
        <is>
          <t>No (usa las 2 filas)</t>
        </is>
      </c>
      <c r="H125" s="7" t="inlineStr">
        <is>
          <t>—</t>
        </is>
      </c>
      <c r="I125" s="18" t="inlineStr">
        <is>
          <t>A+B</t>
        </is>
      </c>
      <c r="J125" s="8" t="n">
        <v>132</v>
      </c>
      <c r="K125" s="8" t="n">
        <v>133</v>
      </c>
      <c r="L125" s="8">
        <f>K125+E125</f>
        <v/>
      </c>
      <c r="M125" s="8">
        <f>K125-J125</f>
        <v/>
      </c>
      <c r="N125" s="8">
        <f>"S"&amp;(INT(K125/Resumen!$C$5)+1)&amp;"–S"&amp;MAX(INT(K125/Resumen!$C$5)+1,ROUNDUP(L125/Resumen!$C$5,0))</f>
        <v/>
      </c>
      <c r="O125" s="8" t="inlineStr">
        <is>
          <t>Pendiente</t>
        </is>
      </c>
      <c r="P125" s="8" t="inlineStr">
        <is>
          <t>Agregado</t>
        </is>
      </c>
      <c r="Q125" s="7" t="inlineStr">
        <is>
          <t>Sebas</t>
        </is>
      </c>
      <c r="R125" s="7" t="inlineStr"/>
    </row>
    <row r="126">
      <c r="A126" s="19" t="inlineStr">
        <is>
          <t>6.42</t>
        </is>
      </c>
      <c r="B126" s="4" t="inlineStr">
        <is>
          <t>6. Pruebas y lanzamiento</t>
        </is>
      </c>
      <c r="C126" s="7" t="inlineStr">
        <is>
          <t>Revisión de seguridad y QA de Editar datos del asociado, Afiliación sin repetidos, Pausa de cuenta, Avisos, botón de WhatsApp y selfie</t>
        </is>
      </c>
      <c r="D126" s="5" t="n">
        <v>3</v>
      </c>
      <c r="E126" s="8">
        <f>D126</f>
        <v/>
      </c>
      <c r="F126" s="7" t="inlineStr">
        <is>
          <t>4.23, 2.16, 4.24, 4.25, 3.11, 2.17</t>
        </is>
      </c>
      <c r="G126" s="7" t="inlineStr">
        <is>
          <t>Sí</t>
        </is>
      </c>
      <c r="H126" s="7" t="inlineStr">
        <is>
          <t>5.3, 6.6</t>
        </is>
      </c>
      <c r="I126" s="18" t="inlineStr">
        <is>
          <t>B</t>
        </is>
      </c>
      <c r="J126" s="8" t="n">
        <v>135</v>
      </c>
      <c r="K126" s="8" t="n">
        <v>135</v>
      </c>
      <c r="L126" s="8">
        <f>K126+E126</f>
        <v/>
      </c>
      <c r="M126" s="8">
        <f>K126-J126</f>
        <v/>
      </c>
      <c r="N126" s="8">
        <f>"S"&amp;(INT(K126/Resumen!$C$5)+1)&amp;"–S"&amp;MAX(INT(K126/Resumen!$C$5)+1,ROUNDUP(L126/Resumen!$C$5,0))</f>
        <v/>
      </c>
      <c r="O126" s="8" t="inlineStr">
        <is>
          <t>En curso</t>
        </is>
      </c>
      <c r="P126" s="8" t="inlineStr">
        <is>
          <t>Agregado</t>
        </is>
      </c>
      <c r="Q126" s="7" t="inlineStr">
        <is>
          <t>ga-revisor-seguridad</t>
        </is>
      </c>
      <c r="R126" s="7" t="inlineStr"/>
    </row>
    <row r="128">
      <c r="A128" s="3" t="inlineStr">
        <is>
          <t>Notas</t>
        </is>
      </c>
    </row>
    <row r="129">
      <c r="A129" s="2" t="inlineStr">
        <is>
          <t>Peso (azul, fondo amarillo) = dato de entrada; 1 punto de peso = 1 bloque de tiempo (ver hoja Pesos).</t>
        </is>
      </c>
    </row>
    <row r="130">
      <c r="A130" s="2" t="inlineStr">
        <is>
          <t>«Origen: Agregado» = actividad que no estaba en la propuesta del 31-ago (p. ej. ingreso con código, afiliación, importación).</t>
        </is>
      </c>
    </row>
    <row r="131">
      <c r="A131" s="2" t="inlineStr">
        <is>
          <t>«En paralelo con» lista las tareas que comparten tiempo con esta en el plan optimizado.</t>
        </is>
      </c>
    </row>
    <row r="132">
      <c r="A132" s="2" t="inlineStr">
        <is>
          <t>Espera en cola = bloques entre que la tarea queda lista y una fila la toma.</t>
        </is>
      </c>
    </row>
  </sheetData>
  <autoFilter ref="A4:R126"/>
  <conditionalFormatting sqref="O5:O126">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26"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Q136"/>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 width="3.2" customWidth="1" min="128" max="128"/>
    <col width="3.2" customWidth="1" min="129" max="129"/>
    <col width="3.2" customWidth="1" min="130" max="130"/>
    <col width="3.2" customWidth="1" min="131" max="131"/>
    <col width="3.2" customWidth="1" min="132" max="132"/>
    <col width="3.2" customWidth="1" min="133" max="133"/>
    <col width="3.2" customWidth="1" min="134" max="134"/>
    <col width="3.2" customWidth="1" min="135" max="135"/>
    <col width="3.2" customWidth="1" min="136" max="136"/>
    <col width="3.2" customWidth="1" min="137" max="137"/>
    <col width="3.2" customWidth="1" min="138" max="138"/>
    <col width="3.2" customWidth="1" min="139" max="139"/>
    <col width="3.2" customWidth="1" min="140" max="140"/>
    <col width="3.2" customWidth="1" min="141" max="141"/>
    <col width="3.2" customWidth="1" min="142" max="142"/>
    <col width="3.2" customWidth="1" min="143" max="143"/>
    <col width="3.2" customWidth="1" min="144" max="144"/>
    <col width="3.2" customWidth="1" min="145" max="145"/>
    <col width="3.2" customWidth="1" min="146" max="146"/>
    <col width="3.2" customWidth="1" min="147" max="14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c r="DX4" s="22" t="inlineStr">
        <is>
          <t>Semana 13</t>
        </is>
      </c>
      <c r="EH4" s="22" t="inlineStr">
        <is>
          <t>Semana 14</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c r="DX5" s="24" t="n">
        <v>121</v>
      </c>
      <c r="DY5" s="24" t="n">
        <v>122</v>
      </c>
      <c r="DZ5" s="24" t="n">
        <v>123</v>
      </c>
      <c r="EA5" s="24" t="n">
        <v>124</v>
      </c>
      <c r="EB5" s="24" t="n">
        <v>125</v>
      </c>
      <c r="EC5" s="24" t="n">
        <v>126</v>
      </c>
      <c r="ED5" s="24" t="n">
        <v>127</v>
      </c>
      <c r="EE5" s="24" t="n">
        <v>128</v>
      </c>
      <c r="EF5" s="24" t="n">
        <v>129</v>
      </c>
      <c r="EG5" s="24" t="n">
        <v>130</v>
      </c>
      <c r="EH5" s="24" t="n">
        <v>131</v>
      </c>
      <c r="EI5" s="24" t="n">
        <v>132</v>
      </c>
      <c r="EJ5" s="24" t="n">
        <v>133</v>
      </c>
      <c r="EK5" s="24" t="n">
        <v>134</v>
      </c>
      <c r="EL5" s="24" t="n">
        <v>135</v>
      </c>
      <c r="EM5" s="24" t="n">
        <v>136</v>
      </c>
      <c r="EN5" s="24" t="n">
        <v>137</v>
      </c>
      <c r="EO5" s="24" t="n">
        <v>138</v>
      </c>
      <c r="EP5" s="24" t="n">
        <v>139</v>
      </c>
      <c r="EQ5" s="24" t="n">
        <v>140</v>
      </c>
    </row>
    <row r="6" ht="26" customHeight="1">
      <c r="A6" s="25" t="inlineStr">
        <is>
          <t>Fila A — tarea en curso</t>
        </is>
      </c>
      <c r="H6" s="26">
        <f>IF(SUMPRODUCT(((Plan!$I$5:$I$126="A")+(Plan!$I$5:$I$126="A+B"))*(Plan!$K$5:$K$126&lt;H$5)*(Plan!$L$5:$L$126&gt;=H$5))=0,"",INDEX(Plan!$A$5:$A$126,SUMPRODUCT(((Plan!$I$5:$I$126="A")+(Plan!$I$5:$I$126="A+B"))*(Plan!$K$5:$K$126&lt;H$5)*(Plan!$L$5:$L$126&gt;=H$5)*(ROW(Plan!$A$5:$A$126)-4))))</f>
        <v/>
      </c>
      <c r="I6" s="26">
        <f>IF(SUMPRODUCT(((Plan!$I$5:$I$126="A")+(Plan!$I$5:$I$126="A+B"))*(Plan!$K$5:$K$126&lt;I$5)*(Plan!$L$5:$L$126&gt;=I$5))=0,"",INDEX(Plan!$A$5:$A$126,SUMPRODUCT(((Plan!$I$5:$I$126="A")+(Plan!$I$5:$I$126="A+B"))*(Plan!$K$5:$K$126&lt;I$5)*(Plan!$L$5:$L$126&gt;=I$5)*(ROW(Plan!$A$5:$A$126)-4))))</f>
        <v/>
      </c>
      <c r="J6" s="26">
        <f>IF(SUMPRODUCT(((Plan!$I$5:$I$126="A")+(Plan!$I$5:$I$126="A+B"))*(Plan!$K$5:$K$126&lt;J$5)*(Plan!$L$5:$L$126&gt;=J$5))=0,"",INDEX(Plan!$A$5:$A$126,SUMPRODUCT(((Plan!$I$5:$I$126="A")+(Plan!$I$5:$I$126="A+B"))*(Plan!$K$5:$K$126&lt;J$5)*(Plan!$L$5:$L$126&gt;=J$5)*(ROW(Plan!$A$5:$A$126)-4))))</f>
        <v/>
      </c>
      <c r="K6" s="26">
        <f>IF(SUMPRODUCT(((Plan!$I$5:$I$126="A")+(Plan!$I$5:$I$126="A+B"))*(Plan!$K$5:$K$126&lt;K$5)*(Plan!$L$5:$L$126&gt;=K$5))=0,"",INDEX(Plan!$A$5:$A$126,SUMPRODUCT(((Plan!$I$5:$I$126="A")+(Plan!$I$5:$I$126="A+B"))*(Plan!$K$5:$K$126&lt;K$5)*(Plan!$L$5:$L$126&gt;=K$5)*(ROW(Plan!$A$5:$A$126)-4))))</f>
        <v/>
      </c>
      <c r="L6" s="26">
        <f>IF(SUMPRODUCT(((Plan!$I$5:$I$126="A")+(Plan!$I$5:$I$126="A+B"))*(Plan!$K$5:$K$126&lt;L$5)*(Plan!$L$5:$L$126&gt;=L$5))=0,"",INDEX(Plan!$A$5:$A$126,SUMPRODUCT(((Plan!$I$5:$I$126="A")+(Plan!$I$5:$I$126="A+B"))*(Plan!$K$5:$K$126&lt;L$5)*(Plan!$L$5:$L$126&gt;=L$5)*(ROW(Plan!$A$5:$A$126)-4))))</f>
        <v/>
      </c>
      <c r="M6" s="26">
        <f>IF(SUMPRODUCT(((Plan!$I$5:$I$126="A")+(Plan!$I$5:$I$126="A+B"))*(Plan!$K$5:$K$126&lt;M$5)*(Plan!$L$5:$L$126&gt;=M$5))=0,"",INDEX(Plan!$A$5:$A$126,SUMPRODUCT(((Plan!$I$5:$I$126="A")+(Plan!$I$5:$I$126="A+B"))*(Plan!$K$5:$K$126&lt;M$5)*(Plan!$L$5:$L$126&gt;=M$5)*(ROW(Plan!$A$5:$A$126)-4))))</f>
        <v/>
      </c>
      <c r="N6" s="26">
        <f>IF(SUMPRODUCT(((Plan!$I$5:$I$126="A")+(Plan!$I$5:$I$126="A+B"))*(Plan!$K$5:$K$126&lt;N$5)*(Plan!$L$5:$L$126&gt;=N$5))=0,"",INDEX(Plan!$A$5:$A$126,SUMPRODUCT(((Plan!$I$5:$I$126="A")+(Plan!$I$5:$I$126="A+B"))*(Plan!$K$5:$K$126&lt;N$5)*(Plan!$L$5:$L$126&gt;=N$5)*(ROW(Plan!$A$5:$A$126)-4))))</f>
        <v/>
      </c>
      <c r="O6" s="26">
        <f>IF(SUMPRODUCT(((Plan!$I$5:$I$126="A")+(Plan!$I$5:$I$126="A+B"))*(Plan!$K$5:$K$126&lt;O$5)*(Plan!$L$5:$L$126&gt;=O$5))=0,"",INDEX(Plan!$A$5:$A$126,SUMPRODUCT(((Plan!$I$5:$I$126="A")+(Plan!$I$5:$I$126="A+B"))*(Plan!$K$5:$K$126&lt;O$5)*(Plan!$L$5:$L$126&gt;=O$5)*(ROW(Plan!$A$5:$A$126)-4))))</f>
        <v/>
      </c>
      <c r="P6" s="26">
        <f>IF(SUMPRODUCT(((Plan!$I$5:$I$126="A")+(Plan!$I$5:$I$126="A+B"))*(Plan!$K$5:$K$126&lt;P$5)*(Plan!$L$5:$L$126&gt;=P$5))=0,"",INDEX(Plan!$A$5:$A$126,SUMPRODUCT(((Plan!$I$5:$I$126="A")+(Plan!$I$5:$I$126="A+B"))*(Plan!$K$5:$K$126&lt;P$5)*(Plan!$L$5:$L$126&gt;=P$5)*(ROW(Plan!$A$5:$A$126)-4))))</f>
        <v/>
      </c>
      <c r="Q6" s="26">
        <f>IF(SUMPRODUCT(((Plan!$I$5:$I$126="A")+(Plan!$I$5:$I$126="A+B"))*(Plan!$K$5:$K$126&lt;Q$5)*(Plan!$L$5:$L$126&gt;=Q$5))=0,"",INDEX(Plan!$A$5:$A$126,SUMPRODUCT(((Plan!$I$5:$I$126="A")+(Plan!$I$5:$I$126="A+B"))*(Plan!$K$5:$K$126&lt;Q$5)*(Plan!$L$5:$L$126&gt;=Q$5)*(ROW(Plan!$A$5:$A$126)-4))))</f>
        <v/>
      </c>
      <c r="R6" s="26">
        <f>IF(SUMPRODUCT(((Plan!$I$5:$I$126="A")+(Plan!$I$5:$I$126="A+B"))*(Plan!$K$5:$K$126&lt;R$5)*(Plan!$L$5:$L$126&gt;=R$5))=0,"",INDEX(Plan!$A$5:$A$126,SUMPRODUCT(((Plan!$I$5:$I$126="A")+(Plan!$I$5:$I$126="A+B"))*(Plan!$K$5:$K$126&lt;R$5)*(Plan!$L$5:$L$126&gt;=R$5)*(ROW(Plan!$A$5:$A$126)-4))))</f>
        <v/>
      </c>
      <c r="S6" s="26">
        <f>IF(SUMPRODUCT(((Plan!$I$5:$I$126="A")+(Plan!$I$5:$I$126="A+B"))*(Plan!$K$5:$K$126&lt;S$5)*(Plan!$L$5:$L$126&gt;=S$5))=0,"",INDEX(Plan!$A$5:$A$126,SUMPRODUCT(((Plan!$I$5:$I$126="A")+(Plan!$I$5:$I$126="A+B"))*(Plan!$K$5:$K$126&lt;S$5)*(Plan!$L$5:$L$126&gt;=S$5)*(ROW(Plan!$A$5:$A$126)-4))))</f>
        <v/>
      </c>
      <c r="T6" s="26">
        <f>IF(SUMPRODUCT(((Plan!$I$5:$I$126="A")+(Plan!$I$5:$I$126="A+B"))*(Plan!$K$5:$K$126&lt;T$5)*(Plan!$L$5:$L$126&gt;=T$5))=0,"",INDEX(Plan!$A$5:$A$126,SUMPRODUCT(((Plan!$I$5:$I$126="A")+(Plan!$I$5:$I$126="A+B"))*(Plan!$K$5:$K$126&lt;T$5)*(Plan!$L$5:$L$126&gt;=T$5)*(ROW(Plan!$A$5:$A$126)-4))))</f>
        <v/>
      </c>
      <c r="U6" s="26">
        <f>IF(SUMPRODUCT(((Plan!$I$5:$I$126="A")+(Plan!$I$5:$I$126="A+B"))*(Plan!$K$5:$K$126&lt;U$5)*(Plan!$L$5:$L$126&gt;=U$5))=0,"",INDEX(Plan!$A$5:$A$126,SUMPRODUCT(((Plan!$I$5:$I$126="A")+(Plan!$I$5:$I$126="A+B"))*(Plan!$K$5:$K$126&lt;U$5)*(Plan!$L$5:$L$126&gt;=U$5)*(ROW(Plan!$A$5:$A$126)-4))))</f>
        <v/>
      </c>
      <c r="V6" s="26">
        <f>IF(SUMPRODUCT(((Plan!$I$5:$I$126="A")+(Plan!$I$5:$I$126="A+B"))*(Plan!$K$5:$K$126&lt;V$5)*(Plan!$L$5:$L$126&gt;=V$5))=0,"",INDEX(Plan!$A$5:$A$126,SUMPRODUCT(((Plan!$I$5:$I$126="A")+(Plan!$I$5:$I$126="A+B"))*(Plan!$K$5:$K$126&lt;V$5)*(Plan!$L$5:$L$126&gt;=V$5)*(ROW(Plan!$A$5:$A$126)-4))))</f>
        <v/>
      </c>
      <c r="W6" s="26">
        <f>IF(SUMPRODUCT(((Plan!$I$5:$I$126="A")+(Plan!$I$5:$I$126="A+B"))*(Plan!$K$5:$K$126&lt;W$5)*(Plan!$L$5:$L$126&gt;=W$5))=0,"",INDEX(Plan!$A$5:$A$126,SUMPRODUCT(((Plan!$I$5:$I$126="A")+(Plan!$I$5:$I$126="A+B"))*(Plan!$K$5:$K$126&lt;W$5)*(Plan!$L$5:$L$126&gt;=W$5)*(ROW(Plan!$A$5:$A$126)-4))))</f>
        <v/>
      </c>
      <c r="X6" s="26">
        <f>IF(SUMPRODUCT(((Plan!$I$5:$I$126="A")+(Plan!$I$5:$I$126="A+B"))*(Plan!$K$5:$K$126&lt;X$5)*(Plan!$L$5:$L$126&gt;=X$5))=0,"",INDEX(Plan!$A$5:$A$126,SUMPRODUCT(((Plan!$I$5:$I$126="A")+(Plan!$I$5:$I$126="A+B"))*(Plan!$K$5:$K$126&lt;X$5)*(Plan!$L$5:$L$126&gt;=X$5)*(ROW(Plan!$A$5:$A$126)-4))))</f>
        <v/>
      </c>
      <c r="Y6" s="26">
        <f>IF(SUMPRODUCT(((Plan!$I$5:$I$126="A")+(Plan!$I$5:$I$126="A+B"))*(Plan!$K$5:$K$126&lt;Y$5)*(Plan!$L$5:$L$126&gt;=Y$5))=0,"",INDEX(Plan!$A$5:$A$126,SUMPRODUCT(((Plan!$I$5:$I$126="A")+(Plan!$I$5:$I$126="A+B"))*(Plan!$K$5:$K$126&lt;Y$5)*(Plan!$L$5:$L$126&gt;=Y$5)*(ROW(Plan!$A$5:$A$126)-4))))</f>
        <v/>
      </c>
      <c r="Z6" s="26">
        <f>IF(SUMPRODUCT(((Plan!$I$5:$I$126="A")+(Plan!$I$5:$I$126="A+B"))*(Plan!$K$5:$K$126&lt;Z$5)*(Plan!$L$5:$L$126&gt;=Z$5))=0,"",INDEX(Plan!$A$5:$A$126,SUMPRODUCT(((Plan!$I$5:$I$126="A")+(Plan!$I$5:$I$126="A+B"))*(Plan!$K$5:$K$126&lt;Z$5)*(Plan!$L$5:$L$126&gt;=Z$5)*(ROW(Plan!$A$5:$A$126)-4))))</f>
        <v/>
      </c>
      <c r="AA6" s="26">
        <f>IF(SUMPRODUCT(((Plan!$I$5:$I$126="A")+(Plan!$I$5:$I$126="A+B"))*(Plan!$K$5:$K$126&lt;AA$5)*(Plan!$L$5:$L$126&gt;=AA$5))=0,"",INDEX(Plan!$A$5:$A$126,SUMPRODUCT(((Plan!$I$5:$I$126="A")+(Plan!$I$5:$I$126="A+B"))*(Plan!$K$5:$K$126&lt;AA$5)*(Plan!$L$5:$L$126&gt;=AA$5)*(ROW(Plan!$A$5:$A$126)-4))))</f>
        <v/>
      </c>
      <c r="AB6" s="26">
        <f>IF(SUMPRODUCT(((Plan!$I$5:$I$126="A")+(Plan!$I$5:$I$126="A+B"))*(Plan!$K$5:$K$126&lt;AB$5)*(Plan!$L$5:$L$126&gt;=AB$5))=0,"",INDEX(Plan!$A$5:$A$126,SUMPRODUCT(((Plan!$I$5:$I$126="A")+(Plan!$I$5:$I$126="A+B"))*(Plan!$K$5:$K$126&lt;AB$5)*(Plan!$L$5:$L$126&gt;=AB$5)*(ROW(Plan!$A$5:$A$126)-4))))</f>
        <v/>
      </c>
      <c r="AC6" s="26">
        <f>IF(SUMPRODUCT(((Plan!$I$5:$I$126="A")+(Plan!$I$5:$I$126="A+B"))*(Plan!$K$5:$K$126&lt;AC$5)*(Plan!$L$5:$L$126&gt;=AC$5))=0,"",INDEX(Plan!$A$5:$A$126,SUMPRODUCT(((Plan!$I$5:$I$126="A")+(Plan!$I$5:$I$126="A+B"))*(Plan!$K$5:$K$126&lt;AC$5)*(Plan!$L$5:$L$126&gt;=AC$5)*(ROW(Plan!$A$5:$A$126)-4))))</f>
        <v/>
      </c>
      <c r="AD6" s="26">
        <f>IF(SUMPRODUCT(((Plan!$I$5:$I$126="A")+(Plan!$I$5:$I$126="A+B"))*(Plan!$K$5:$K$126&lt;AD$5)*(Plan!$L$5:$L$126&gt;=AD$5))=0,"",INDEX(Plan!$A$5:$A$126,SUMPRODUCT(((Plan!$I$5:$I$126="A")+(Plan!$I$5:$I$126="A+B"))*(Plan!$K$5:$K$126&lt;AD$5)*(Plan!$L$5:$L$126&gt;=AD$5)*(ROW(Plan!$A$5:$A$126)-4))))</f>
        <v/>
      </c>
      <c r="AE6" s="26">
        <f>IF(SUMPRODUCT(((Plan!$I$5:$I$126="A")+(Plan!$I$5:$I$126="A+B"))*(Plan!$K$5:$K$126&lt;AE$5)*(Plan!$L$5:$L$126&gt;=AE$5))=0,"",INDEX(Plan!$A$5:$A$126,SUMPRODUCT(((Plan!$I$5:$I$126="A")+(Plan!$I$5:$I$126="A+B"))*(Plan!$K$5:$K$126&lt;AE$5)*(Plan!$L$5:$L$126&gt;=AE$5)*(ROW(Plan!$A$5:$A$126)-4))))</f>
        <v/>
      </c>
      <c r="AF6" s="26">
        <f>IF(SUMPRODUCT(((Plan!$I$5:$I$126="A")+(Plan!$I$5:$I$126="A+B"))*(Plan!$K$5:$K$126&lt;AF$5)*(Plan!$L$5:$L$126&gt;=AF$5))=0,"",INDEX(Plan!$A$5:$A$126,SUMPRODUCT(((Plan!$I$5:$I$126="A")+(Plan!$I$5:$I$126="A+B"))*(Plan!$K$5:$K$126&lt;AF$5)*(Plan!$L$5:$L$126&gt;=AF$5)*(ROW(Plan!$A$5:$A$126)-4))))</f>
        <v/>
      </c>
      <c r="AG6" s="26">
        <f>IF(SUMPRODUCT(((Plan!$I$5:$I$126="A")+(Plan!$I$5:$I$126="A+B"))*(Plan!$K$5:$K$126&lt;AG$5)*(Plan!$L$5:$L$126&gt;=AG$5))=0,"",INDEX(Plan!$A$5:$A$126,SUMPRODUCT(((Plan!$I$5:$I$126="A")+(Plan!$I$5:$I$126="A+B"))*(Plan!$K$5:$K$126&lt;AG$5)*(Plan!$L$5:$L$126&gt;=AG$5)*(ROW(Plan!$A$5:$A$126)-4))))</f>
        <v/>
      </c>
      <c r="AH6" s="26">
        <f>IF(SUMPRODUCT(((Plan!$I$5:$I$126="A")+(Plan!$I$5:$I$126="A+B"))*(Plan!$K$5:$K$126&lt;AH$5)*(Plan!$L$5:$L$126&gt;=AH$5))=0,"",INDEX(Plan!$A$5:$A$126,SUMPRODUCT(((Plan!$I$5:$I$126="A")+(Plan!$I$5:$I$126="A+B"))*(Plan!$K$5:$K$126&lt;AH$5)*(Plan!$L$5:$L$126&gt;=AH$5)*(ROW(Plan!$A$5:$A$126)-4))))</f>
        <v/>
      </c>
      <c r="AI6" s="26">
        <f>IF(SUMPRODUCT(((Plan!$I$5:$I$126="A")+(Plan!$I$5:$I$126="A+B"))*(Plan!$K$5:$K$126&lt;AI$5)*(Plan!$L$5:$L$126&gt;=AI$5))=0,"",INDEX(Plan!$A$5:$A$126,SUMPRODUCT(((Plan!$I$5:$I$126="A")+(Plan!$I$5:$I$126="A+B"))*(Plan!$K$5:$K$126&lt;AI$5)*(Plan!$L$5:$L$126&gt;=AI$5)*(ROW(Plan!$A$5:$A$126)-4))))</f>
        <v/>
      </c>
      <c r="AJ6" s="26">
        <f>IF(SUMPRODUCT(((Plan!$I$5:$I$126="A")+(Plan!$I$5:$I$126="A+B"))*(Plan!$K$5:$K$126&lt;AJ$5)*(Plan!$L$5:$L$126&gt;=AJ$5))=0,"",INDEX(Plan!$A$5:$A$126,SUMPRODUCT(((Plan!$I$5:$I$126="A")+(Plan!$I$5:$I$126="A+B"))*(Plan!$K$5:$K$126&lt;AJ$5)*(Plan!$L$5:$L$126&gt;=AJ$5)*(ROW(Plan!$A$5:$A$126)-4))))</f>
        <v/>
      </c>
      <c r="AK6" s="26">
        <f>IF(SUMPRODUCT(((Plan!$I$5:$I$126="A")+(Plan!$I$5:$I$126="A+B"))*(Plan!$K$5:$K$126&lt;AK$5)*(Plan!$L$5:$L$126&gt;=AK$5))=0,"",INDEX(Plan!$A$5:$A$126,SUMPRODUCT(((Plan!$I$5:$I$126="A")+(Plan!$I$5:$I$126="A+B"))*(Plan!$K$5:$K$126&lt;AK$5)*(Plan!$L$5:$L$126&gt;=AK$5)*(ROW(Plan!$A$5:$A$126)-4))))</f>
        <v/>
      </c>
      <c r="AL6" s="26">
        <f>IF(SUMPRODUCT(((Plan!$I$5:$I$126="A")+(Plan!$I$5:$I$126="A+B"))*(Plan!$K$5:$K$126&lt;AL$5)*(Plan!$L$5:$L$126&gt;=AL$5))=0,"",INDEX(Plan!$A$5:$A$126,SUMPRODUCT(((Plan!$I$5:$I$126="A")+(Plan!$I$5:$I$126="A+B"))*(Plan!$K$5:$K$126&lt;AL$5)*(Plan!$L$5:$L$126&gt;=AL$5)*(ROW(Plan!$A$5:$A$126)-4))))</f>
        <v/>
      </c>
      <c r="AM6" s="26">
        <f>IF(SUMPRODUCT(((Plan!$I$5:$I$126="A")+(Plan!$I$5:$I$126="A+B"))*(Plan!$K$5:$K$126&lt;AM$5)*(Plan!$L$5:$L$126&gt;=AM$5))=0,"",INDEX(Plan!$A$5:$A$126,SUMPRODUCT(((Plan!$I$5:$I$126="A")+(Plan!$I$5:$I$126="A+B"))*(Plan!$K$5:$K$126&lt;AM$5)*(Plan!$L$5:$L$126&gt;=AM$5)*(ROW(Plan!$A$5:$A$126)-4))))</f>
        <v/>
      </c>
      <c r="AN6" s="26">
        <f>IF(SUMPRODUCT(((Plan!$I$5:$I$126="A")+(Plan!$I$5:$I$126="A+B"))*(Plan!$K$5:$K$126&lt;AN$5)*(Plan!$L$5:$L$126&gt;=AN$5))=0,"",INDEX(Plan!$A$5:$A$126,SUMPRODUCT(((Plan!$I$5:$I$126="A")+(Plan!$I$5:$I$126="A+B"))*(Plan!$K$5:$K$126&lt;AN$5)*(Plan!$L$5:$L$126&gt;=AN$5)*(ROW(Plan!$A$5:$A$126)-4))))</f>
        <v/>
      </c>
      <c r="AO6" s="26">
        <f>IF(SUMPRODUCT(((Plan!$I$5:$I$126="A")+(Plan!$I$5:$I$126="A+B"))*(Plan!$K$5:$K$126&lt;AO$5)*(Plan!$L$5:$L$126&gt;=AO$5))=0,"",INDEX(Plan!$A$5:$A$126,SUMPRODUCT(((Plan!$I$5:$I$126="A")+(Plan!$I$5:$I$126="A+B"))*(Plan!$K$5:$K$126&lt;AO$5)*(Plan!$L$5:$L$126&gt;=AO$5)*(ROW(Plan!$A$5:$A$126)-4))))</f>
        <v/>
      </c>
      <c r="AP6" s="26">
        <f>IF(SUMPRODUCT(((Plan!$I$5:$I$126="A")+(Plan!$I$5:$I$126="A+B"))*(Plan!$K$5:$K$126&lt;AP$5)*(Plan!$L$5:$L$126&gt;=AP$5))=0,"",INDEX(Plan!$A$5:$A$126,SUMPRODUCT(((Plan!$I$5:$I$126="A")+(Plan!$I$5:$I$126="A+B"))*(Plan!$K$5:$K$126&lt;AP$5)*(Plan!$L$5:$L$126&gt;=AP$5)*(ROW(Plan!$A$5:$A$126)-4))))</f>
        <v/>
      </c>
      <c r="AQ6" s="26">
        <f>IF(SUMPRODUCT(((Plan!$I$5:$I$126="A")+(Plan!$I$5:$I$126="A+B"))*(Plan!$K$5:$K$126&lt;AQ$5)*(Plan!$L$5:$L$126&gt;=AQ$5))=0,"",INDEX(Plan!$A$5:$A$126,SUMPRODUCT(((Plan!$I$5:$I$126="A")+(Plan!$I$5:$I$126="A+B"))*(Plan!$K$5:$K$126&lt;AQ$5)*(Plan!$L$5:$L$126&gt;=AQ$5)*(ROW(Plan!$A$5:$A$126)-4))))</f>
        <v/>
      </c>
      <c r="AR6" s="26">
        <f>IF(SUMPRODUCT(((Plan!$I$5:$I$126="A")+(Plan!$I$5:$I$126="A+B"))*(Plan!$K$5:$K$126&lt;AR$5)*(Plan!$L$5:$L$126&gt;=AR$5))=0,"",INDEX(Plan!$A$5:$A$126,SUMPRODUCT(((Plan!$I$5:$I$126="A")+(Plan!$I$5:$I$126="A+B"))*(Plan!$K$5:$K$126&lt;AR$5)*(Plan!$L$5:$L$126&gt;=AR$5)*(ROW(Plan!$A$5:$A$126)-4))))</f>
        <v/>
      </c>
      <c r="AS6" s="26">
        <f>IF(SUMPRODUCT(((Plan!$I$5:$I$126="A")+(Plan!$I$5:$I$126="A+B"))*(Plan!$K$5:$K$126&lt;AS$5)*(Plan!$L$5:$L$126&gt;=AS$5))=0,"",INDEX(Plan!$A$5:$A$126,SUMPRODUCT(((Plan!$I$5:$I$126="A")+(Plan!$I$5:$I$126="A+B"))*(Plan!$K$5:$K$126&lt;AS$5)*(Plan!$L$5:$L$126&gt;=AS$5)*(ROW(Plan!$A$5:$A$126)-4))))</f>
        <v/>
      </c>
      <c r="AT6" s="26">
        <f>IF(SUMPRODUCT(((Plan!$I$5:$I$126="A")+(Plan!$I$5:$I$126="A+B"))*(Plan!$K$5:$K$126&lt;AT$5)*(Plan!$L$5:$L$126&gt;=AT$5))=0,"",INDEX(Plan!$A$5:$A$126,SUMPRODUCT(((Plan!$I$5:$I$126="A")+(Plan!$I$5:$I$126="A+B"))*(Plan!$K$5:$K$126&lt;AT$5)*(Plan!$L$5:$L$126&gt;=AT$5)*(ROW(Plan!$A$5:$A$126)-4))))</f>
        <v/>
      </c>
      <c r="AU6" s="26">
        <f>IF(SUMPRODUCT(((Plan!$I$5:$I$126="A")+(Plan!$I$5:$I$126="A+B"))*(Plan!$K$5:$K$126&lt;AU$5)*(Plan!$L$5:$L$126&gt;=AU$5))=0,"",INDEX(Plan!$A$5:$A$126,SUMPRODUCT(((Plan!$I$5:$I$126="A")+(Plan!$I$5:$I$126="A+B"))*(Plan!$K$5:$K$126&lt;AU$5)*(Plan!$L$5:$L$126&gt;=AU$5)*(ROW(Plan!$A$5:$A$126)-4))))</f>
        <v/>
      </c>
      <c r="AV6" s="26">
        <f>IF(SUMPRODUCT(((Plan!$I$5:$I$126="A")+(Plan!$I$5:$I$126="A+B"))*(Plan!$K$5:$K$126&lt;AV$5)*(Plan!$L$5:$L$126&gt;=AV$5))=0,"",INDEX(Plan!$A$5:$A$126,SUMPRODUCT(((Plan!$I$5:$I$126="A")+(Plan!$I$5:$I$126="A+B"))*(Plan!$K$5:$K$126&lt;AV$5)*(Plan!$L$5:$L$126&gt;=AV$5)*(ROW(Plan!$A$5:$A$126)-4))))</f>
        <v/>
      </c>
      <c r="AW6" s="26">
        <f>IF(SUMPRODUCT(((Plan!$I$5:$I$126="A")+(Plan!$I$5:$I$126="A+B"))*(Plan!$K$5:$K$126&lt;AW$5)*(Plan!$L$5:$L$126&gt;=AW$5))=0,"",INDEX(Plan!$A$5:$A$126,SUMPRODUCT(((Plan!$I$5:$I$126="A")+(Plan!$I$5:$I$126="A+B"))*(Plan!$K$5:$K$126&lt;AW$5)*(Plan!$L$5:$L$126&gt;=AW$5)*(ROW(Plan!$A$5:$A$126)-4))))</f>
        <v/>
      </c>
      <c r="AX6" s="26">
        <f>IF(SUMPRODUCT(((Plan!$I$5:$I$126="A")+(Plan!$I$5:$I$126="A+B"))*(Plan!$K$5:$K$126&lt;AX$5)*(Plan!$L$5:$L$126&gt;=AX$5))=0,"",INDEX(Plan!$A$5:$A$126,SUMPRODUCT(((Plan!$I$5:$I$126="A")+(Plan!$I$5:$I$126="A+B"))*(Plan!$K$5:$K$126&lt;AX$5)*(Plan!$L$5:$L$126&gt;=AX$5)*(ROW(Plan!$A$5:$A$126)-4))))</f>
        <v/>
      </c>
      <c r="AY6" s="26">
        <f>IF(SUMPRODUCT(((Plan!$I$5:$I$126="A")+(Plan!$I$5:$I$126="A+B"))*(Plan!$K$5:$K$126&lt;AY$5)*(Plan!$L$5:$L$126&gt;=AY$5))=0,"",INDEX(Plan!$A$5:$A$126,SUMPRODUCT(((Plan!$I$5:$I$126="A")+(Plan!$I$5:$I$126="A+B"))*(Plan!$K$5:$K$126&lt;AY$5)*(Plan!$L$5:$L$126&gt;=AY$5)*(ROW(Plan!$A$5:$A$126)-4))))</f>
        <v/>
      </c>
      <c r="AZ6" s="26">
        <f>IF(SUMPRODUCT(((Plan!$I$5:$I$126="A")+(Plan!$I$5:$I$126="A+B"))*(Plan!$K$5:$K$126&lt;AZ$5)*(Plan!$L$5:$L$126&gt;=AZ$5))=0,"",INDEX(Plan!$A$5:$A$126,SUMPRODUCT(((Plan!$I$5:$I$126="A")+(Plan!$I$5:$I$126="A+B"))*(Plan!$K$5:$K$126&lt;AZ$5)*(Plan!$L$5:$L$126&gt;=AZ$5)*(ROW(Plan!$A$5:$A$126)-4))))</f>
        <v/>
      </c>
      <c r="BA6" s="26">
        <f>IF(SUMPRODUCT(((Plan!$I$5:$I$126="A")+(Plan!$I$5:$I$126="A+B"))*(Plan!$K$5:$K$126&lt;BA$5)*(Plan!$L$5:$L$126&gt;=BA$5))=0,"",INDEX(Plan!$A$5:$A$126,SUMPRODUCT(((Plan!$I$5:$I$126="A")+(Plan!$I$5:$I$126="A+B"))*(Plan!$K$5:$K$126&lt;BA$5)*(Plan!$L$5:$L$126&gt;=BA$5)*(ROW(Plan!$A$5:$A$126)-4))))</f>
        <v/>
      </c>
      <c r="BB6" s="26">
        <f>IF(SUMPRODUCT(((Plan!$I$5:$I$126="A")+(Plan!$I$5:$I$126="A+B"))*(Plan!$K$5:$K$126&lt;BB$5)*(Plan!$L$5:$L$126&gt;=BB$5))=0,"",INDEX(Plan!$A$5:$A$126,SUMPRODUCT(((Plan!$I$5:$I$126="A")+(Plan!$I$5:$I$126="A+B"))*(Plan!$K$5:$K$126&lt;BB$5)*(Plan!$L$5:$L$126&gt;=BB$5)*(ROW(Plan!$A$5:$A$126)-4))))</f>
        <v/>
      </c>
      <c r="BC6" s="26">
        <f>IF(SUMPRODUCT(((Plan!$I$5:$I$126="A")+(Plan!$I$5:$I$126="A+B"))*(Plan!$K$5:$K$126&lt;BC$5)*(Plan!$L$5:$L$126&gt;=BC$5))=0,"",INDEX(Plan!$A$5:$A$126,SUMPRODUCT(((Plan!$I$5:$I$126="A")+(Plan!$I$5:$I$126="A+B"))*(Plan!$K$5:$K$126&lt;BC$5)*(Plan!$L$5:$L$126&gt;=BC$5)*(ROW(Plan!$A$5:$A$126)-4))))</f>
        <v/>
      </c>
      <c r="BD6" s="26">
        <f>IF(SUMPRODUCT(((Plan!$I$5:$I$126="A")+(Plan!$I$5:$I$126="A+B"))*(Plan!$K$5:$K$126&lt;BD$5)*(Plan!$L$5:$L$126&gt;=BD$5))=0,"",INDEX(Plan!$A$5:$A$126,SUMPRODUCT(((Plan!$I$5:$I$126="A")+(Plan!$I$5:$I$126="A+B"))*(Plan!$K$5:$K$126&lt;BD$5)*(Plan!$L$5:$L$126&gt;=BD$5)*(ROW(Plan!$A$5:$A$126)-4))))</f>
        <v/>
      </c>
      <c r="BE6" s="26">
        <f>IF(SUMPRODUCT(((Plan!$I$5:$I$126="A")+(Plan!$I$5:$I$126="A+B"))*(Plan!$K$5:$K$126&lt;BE$5)*(Plan!$L$5:$L$126&gt;=BE$5))=0,"",INDEX(Plan!$A$5:$A$126,SUMPRODUCT(((Plan!$I$5:$I$126="A")+(Plan!$I$5:$I$126="A+B"))*(Plan!$K$5:$K$126&lt;BE$5)*(Plan!$L$5:$L$126&gt;=BE$5)*(ROW(Plan!$A$5:$A$126)-4))))</f>
        <v/>
      </c>
      <c r="BF6" s="26">
        <f>IF(SUMPRODUCT(((Plan!$I$5:$I$126="A")+(Plan!$I$5:$I$126="A+B"))*(Plan!$K$5:$K$126&lt;BF$5)*(Plan!$L$5:$L$126&gt;=BF$5))=0,"",INDEX(Plan!$A$5:$A$126,SUMPRODUCT(((Plan!$I$5:$I$126="A")+(Plan!$I$5:$I$126="A+B"))*(Plan!$K$5:$K$126&lt;BF$5)*(Plan!$L$5:$L$126&gt;=BF$5)*(ROW(Plan!$A$5:$A$126)-4))))</f>
        <v/>
      </c>
      <c r="BG6" s="26">
        <f>IF(SUMPRODUCT(((Plan!$I$5:$I$126="A")+(Plan!$I$5:$I$126="A+B"))*(Plan!$K$5:$K$126&lt;BG$5)*(Plan!$L$5:$L$126&gt;=BG$5))=0,"",INDEX(Plan!$A$5:$A$126,SUMPRODUCT(((Plan!$I$5:$I$126="A")+(Plan!$I$5:$I$126="A+B"))*(Plan!$K$5:$K$126&lt;BG$5)*(Plan!$L$5:$L$126&gt;=BG$5)*(ROW(Plan!$A$5:$A$126)-4))))</f>
        <v/>
      </c>
      <c r="BH6" s="26">
        <f>IF(SUMPRODUCT(((Plan!$I$5:$I$126="A")+(Plan!$I$5:$I$126="A+B"))*(Plan!$K$5:$K$126&lt;BH$5)*(Plan!$L$5:$L$126&gt;=BH$5))=0,"",INDEX(Plan!$A$5:$A$126,SUMPRODUCT(((Plan!$I$5:$I$126="A")+(Plan!$I$5:$I$126="A+B"))*(Plan!$K$5:$K$126&lt;BH$5)*(Plan!$L$5:$L$126&gt;=BH$5)*(ROW(Plan!$A$5:$A$126)-4))))</f>
        <v/>
      </c>
      <c r="BI6" s="26">
        <f>IF(SUMPRODUCT(((Plan!$I$5:$I$126="A")+(Plan!$I$5:$I$126="A+B"))*(Plan!$K$5:$K$126&lt;BI$5)*(Plan!$L$5:$L$126&gt;=BI$5))=0,"",INDEX(Plan!$A$5:$A$126,SUMPRODUCT(((Plan!$I$5:$I$126="A")+(Plan!$I$5:$I$126="A+B"))*(Plan!$K$5:$K$126&lt;BI$5)*(Plan!$L$5:$L$126&gt;=BI$5)*(ROW(Plan!$A$5:$A$126)-4))))</f>
        <v/>
      </c>
      <c r="BJ6" s="26">
        <f>IF(SUMPRODUCT(((Plan!$I$5:$I$126="A")+(Plan!$I$5:$I$126="A+B"))*(Plan!$K$5:$K$126&lt;BJ$5)*(Plan!$L$5:$L$126&gt;=BJ$5))=0,"",INDEX(Plan!$A$5:$A$126,SUMPRODUCT(((Plan!$I$5:$I$126="A")+(Plan!$I$5:$I$126="A+B"))*(Plan!$K$5:$K$126&lt;BJ$5)*(Plan!$L$5:$L$126&gt;=BJ$5)*(ROW(Plan!$A$5:$A$126)-4))))</f>
        <v/>
      </c>
      <c r="BK6" s="26">
        <f>IF(SUMPRODUCT(((Plan!$I$5:$I$126="A")+(Plan!$I$5:$I$126="A+B"))*(Plan!$K$5:$K$126&lt;BK$5)*(Plan!$L$5:$L$126&gt;=BK$5))=0,"",INDEX(Plan!$A$5:$A$126,SUMPRODUCT(((Plan!$I$5:$I$126="A")+(Plan!$I$5:$I$126="A+B"))*(Plan!$K$5:$K$126&lt;BK$5)*(Plan!$L$5:$L$126&gt;=BK$5)*(ROW(Plan!$A$5:$A$126)-4))))</f>
        <v/>
      </c>
      <c r="BL6" s="26">
        <f>IF(SUMPRODUCT(((Plan!$I$5:$I$126="A")+(Plan!$I$5:$I$126="A+B"))*(Plan!$K$5:$K$126&lt;BL$5)*(Plan!$L$5:$L$126&gt;=BL$5))=0,"",INDEX(Plan!$A$5:$A$126,SUMPRODUCT(((Plan!$I$5:$I$126="A")+(Plan!$I$5:$I$126="A+B"))*(Plan!$K$5:$K$126&lt;BL$5)*(Plan!$L$5:$L$126&gt;=BL$5)*(ROW(Plan!$A$5:$A$126)-4))))</f>
        <v/>
      </c>
      <c r="BM6" s="26">
        <f>IF(SUMPRODUCT(((Plan!$I$5:$I$126="A")+(Plan!$I$5:$I$126="A+B"))*(Plan!$K$5:$K$126&lt;BM$5)*(Plan!$L$5:$L$126&gt;=BM$5))=0,"",INDEX(Plan!$A$5:$A$126,SUMPRODUCT(((Plan!$I$5:$I$126="A")+(Plan!$I$5:$I$126="A+B"))*(Plan!$K$5:$K$126&lt;BM$5)*(Plan!$L$5:$L$126&gt;=BM$5)*(ROW(Plan!$A$5:$A$126)-4))))</f>
        <v/>
      </c>
      <c r="BN6" s="26">
        <f>IF(SUMPRODUCT(((Plan!$I$5:$I$126="A")+(Plan!$I$5:$I$126="A+B"))*(Plan!$K$5:$K$126&lt;BN$5)*(Plan!$L$5:$L$126&gt;=BN$5))=0,"",INDEX(Plan!$A$5:$A$126,SUMPRODUCT(((Plan!$I$5:$I$126="A")+(Plan!$I$5:$I$126="A+B"))*(Plan!$K$5:$K$126&lt;BN$5)*(Plan!$L$5:$L$126&gt;=BN$5)*(ROW(Plan!$A$5:$A$126)-4))))</f>
        <v/>
      </c>
      <c r="BO6" s="26">
        <f>IF(SUMPRODUCT(((Plan!$I$5:$I$126="A")+(Plan!$I$5:$I$126="A+B"))*(Plan!$K$5:$K$126&lt;BO$5)*(Plan!$L$5:$L$126&gt;=BO$5))=0,"",INDEX(Plan!$A$5:$A$126,SUMPRODUCT(((Plan!$I$5:$I$126="A")+(Plan!$I$5:$I$126="A+B"))*(Plan!$K$5:$K$126&lt;BO$5)*(Plan!$L$5:$L$126&gt;=BO$5)*(ROW(Plan!$A$5:$A$126)-4))))</f>
        <v/>
      </c>
      <c r="BP6" s="26">
        <f>IF(SUMPRODUCT(((Plan!$I$5:$I$126="A")+(Plan!$I$5:$I$126="A+B"))*(Plan!$K$5:$K$126&lt;BP$5)*(Plan!$L$5:$L$126&gt;=BP$5))=0,"",INDEX(Plan!$A$5:$A$126,SUMPRODUCT(((Plan!$I$5:$I$126="A")+(Plan!$I$5:$I$126="A+B"))*(Plan!$K$5:$K$126&lt;BP$5)*(Plan!$L$5:$L$126&gt;=BP$5)*(ROW(Plan!$A$5:$A$126)-4))))</f>
        <v/>
      </c>
      <c r="BQ6" s="26">
        <f>IF(SUMPRODUCT(((Plan!$I$5:$I$126="A")+(Plan!$I$5:$I$126="A+B"))*(Plan!$K$5:$K$126&lt;BQ$5)*(Plan!$L$5:$L$126&gt;=BQ$5))=0,"",INDEX(Plan!$A$5:$A$126,SUMPRODUCT(((Plan!$I$5:$I$126="A")+(Plan!$I$5:$I$126="A+B"))*(Plan!$K$5:$K$126&lt;BQ$5)*(Plan!$L$5:$L$126&gt;=BQ$5)*(ROW(Plan!$A$5:$A$126)-4))))</f>
        <v/>
      </c>
      <c r="BR6" s="26">
        <f>IF(SUMPRODUCT(((Plan!$I$5:$I$126="A")+(Plan!$I$5:$I$126="A+B"))*(Plan!$K$5:$K$126&lt;BR$5)*(Plan!$L$5:$L$126&gt;=BR$5))=0,"",INDEX(Plan!$A$5:$A$126,SUMPRODUCT(((Plan!$I$5:$I$126="A")+(Plan!$I$5:$I$126="A+B"))*(Plan!$K$5:$K$126&lt;BR$5)*(Plan!$L$5:$L$126&gt;=BR$5)*(ROW(Plan!$A$5:$A$126)-4))))</f>
        <v/>
      </c>
      <c r="BS6" s="26">
        <f>IF(SUMPRODUCT(((Plan!$I$5:$I$126="A")+(Plan!$I$5:$I$126="A+B"))*(Plan!$K$5:$K$126&lt;BS$5)*(Plan!$L$5:$L$126&gt;=BS$5))=0,"",INDEX(Plan!$A$5:$A$126,SUMPRODUCT(((Plan!$I$5:$I$126="A")+(Plan!$I$5:$I$126="A+B"))*(Plan!$K$5:$K$126&lt;BS$5)*(Plan!$L$5:$L$126&gt;=BS$5)*(ROW(Plan!$A$5:$A$126)-4))))</f>
        <v/>
      </c>
      <c r="BT6" s="26">
        <f>IF(SUMPRODUCT(((Plan!$I$5:$I$126="A")+(Plan!$I$5:$I$126="A+B"))*(Plan!$K$5:$K$126&lt;BT$5)*(Plan!$L$5:$L$126&gt;=BT$5))=0,"",INDEX(Plan!$A$5:$A$126,SUMPRODUCT(((Plan!$I$5:$I$126="A")+(Plan!$I$5:$I$126="A+B"))*(Plan!$K$5:$K$126&lt;BT$5)*(Plan!$L$5:$L$126&gt;=BT$5)*(ROW(Plan!$A$5:$A$126)-4))))</f>
        <v/>
      </c>
      <c r="BU6" s="26">
        <f>IF(SUMPRODUCT(((Plan!$I$5:$I$126="A")+(Plan!$I$5:$I$126="A+B"))*(Plan!$K$5:$K$126&lt;BU$5)*(Plan!$L$5:$L$126&gt;=BU$5))=0,"",INDEX(Plan!$A$5:$A$126,SUMPRODUCT(((Plan!$I$5:$I$126="A")+(Plan!$I$5:$I$126="A+B"))*(Plan!$K$5:$K$126&lt;BU$5)*(Plan!$L$5:$L$126&gt;=BU$5)*(ROW(Plan!$A$5:$A$126)-4))))</f>
        <v/>
      </c>
      <c r="BV6" s="26">
        <f>IF(SUMPRODUCT(((Plan!$I$5:$I$126="A")+(Plan!$I$5:$I$126="A+B"))*(Plan!$K$5:$K$126&lt;BV$5)*(Plan!$L$5:$L$126&gt;=BV$5))=0,"",INDEX(Plan!$A$5:$A$126,SUMPRODUCT(((Plan!$I$5:$I$126="A")+(Plan!$I$5:$I$126="A+B"))*(Plan!$K$5:$K$126&lt;BV$5)*(Plan!$L$5:$L$126&gt;=BV$5)*(ROW(Plan!$A$5:$A$126)-4))))</f>
        <v/>
      </c>
      <c r="BW6" s="26">
        <f>IF(SUMPRODUCT(((Plan!$I$5:$I$126="A")+(Plan!$I$5:$I$126="A+B"))*(Plan!$K$5:$K$126&lt;BW$5)*(Plan!$L$5:$L$126&gt;=BW$5))=0,"",INDEX(Plan!$A$5:$A$126,SUMPRODUCT(((Plan!$I$5:$I$126="A")+(Plan!$I$5:$I$126="A+B"))*(Plan!$K$5:$K$126&lt;BW$5)*(Plan!$L$5:$L$126&gt;=BW$5)*(ROW(Plan!$A$5:$A$126)-4))))</f>
        <v/>
      </c>
      <c r="BX6" s="26">
        <f>IF(SUMPRODUCT(((Plan!$I$5:$I$126="A")+(Plan!$I$5:$I$126="A+B"))*(Plan!$K$5:$K$126&lt;BX$5)*(Plan!$L$5:$L$126&gt;=BX$5))=0,"",INDEX(Plan!$A$5:$A$126,SUMPRODUCT(((Plan!$I$5:$I$126="A")+(Plan!$I$5:$I$126="A+B"))*(Plan!$K$5:$K$126&lt;BX$5)*(Plan!$L$5:$L$126&gt;=BX$5)*(ROW(Plan!$A$5:$A$126)-4))))</f>
        <v/>
      </c>
      <c r="BY6" s="26">
        <f>IF(SUMPRODUCT(((Plan!$I$5:$I$126="A")+(Plan!$I$5:$I$126="A+B"))*(Plan!$K$5:$K$126&lt;BY$5)*(Plan!$L$5:$L$126&gt;=BY$5))=0,"",INDEX(Plan!$A$5:$A$126,SUMPRODUCT(((Plan!$I$5:$I$126="A")+(Plan!$I$5:$I$126="A+B"))*(Plan!$K$5:$K$126&lt;BY$5)*(Plan!$L$5:$L$126&gt;=BY$5)*(ROW(Plan!$A$5:$A$126)-4))))</f>
        <v/>
      </c>
      <c r="BZ6" s="26">
        <f>IF(SUMPRODUCT(((Plan!$I$5:$I$126="A")+(Plan!$I$5:$I$126="A+B"))*(Plan!$K$5:$K$126&lt;BZ$5)*(Plan!$L$5:$L$126&gt;=BZ$5))=0,"",INDEX(Plan!$A$5:$A$126,SUMPRODUCT(((Plan!$I$5:$I$126="A")+(Plan!$I$5:$I$126="A+B"))*(Plan!$K$5:$K$126&lt;BZ$5)*(Plan!$L$5:$L$126&gt;=BZ$5)*(ROW(Plan!$A$5:$A$126)-4))))</f>
        <v/>
      </c>
      <c r="CA6" s="26">
        <f>IF(SUMPRODUCT(((Plan!$I$5:$I$126="A")+(Plan!$I$5:$I$126="A+B"))*(Plan!$K$5:$K$126&lt;CA$5)*(Plan!$L$5:$L$126&gt;=CA$5))=0,"",INDEX(Plan!$A$5:$A$126,SUMPRODUCT(((Plan!$I$5:$I$126="A")+(Plan!$I$5:$I$126="A+B"))*(Plan!$K$5:$K$126&lt;CA$5)*(Plan!$L$5:$L$126&gt;=CA$5)*(ROW(Plan!$A$5:$A$126)-4))))</f>
        <v/>
      </c>
      <c r="CB6" s="26">
        <f>IF(SUMPRODUCT(((Plan!$I$5:$I$126="A")+(Plan!$I$5:$I$126="A+B"))*(Plan!$K$5:$K$126&lt;CB$5)*(Plan!$L$5:$L$126&gt;=CB$5))=0,"",INDEX(Plan!$A$5:$A$126,SUMPRODUCT(((Plan!$I$5:$I$126="A")+(Plan!$I$5:$I$126="A+B"))*(Plan!$K$5:$K$126&lt;CB$5)*(Plan!$L$5:$L$126&gt;=CB$5)*(ROW(Plan!$A$5:$A$126)-4))))</f>
        <v/>
      </c>
      <c r="CC6" s="26">
        <f>IF(SUMPRODUCT(((Plan!$I$5:$I$126="A")+(Plan!$I$5:$I$126="A+B"))*(Plan!$K$5:$K$126&lt;CC$5)*(Plan!$L$5:$L$126&gt;=CC$5))=0,"",INDEX(Plan!$A$5:$A$126,SUMPRODUCT(((Plan!$I$5:$I$126="A")+(Plan!$I$5:$I$126="A+B"))*(Plan!$K$5:$K$126&lt;CC$5)*(Plan!$L$5:$L$126&gt;=CC$5)*(ROW(Plan!$A$5:$A$126)-4))))</f>
        <v/>
      </c>
      <c r="CD6" s="26">
        <f>IF(SUMPRODUCT(((Plan!$I$5:$I$126="A")+(Plan!$I$5:$I$126="A+B"))*(Plan!$K$5:$K$126&lt;CD$5)*(Plan!$L$5:$L$126&gt;=CD$5))=0,"",INDEX(Plan!$A$5:$A$126,SUMPRODUCT(((Plan!$I$5:$I$126="A")+(Plan!$I$5:$I$126="A+B"))*(Plan!$K$5:$K$126&lt;CD$5)*(Plan!$L$5:$L$126&gt;=CD$5)*(ROW(Plan!$A$5:$A$126)-4))))</f>
        <v/>
      </c>
      <c r="CE6" s="26">
        <f>IF(SUMPRODUCT(((Plan!$I$5:$I$126="A")+(Plan!$I$5:$I$126="A+B"))*(Plan!$K$5:$K$126&lt;CE$5)*(Plan!$L$5:$L$126&gt;=CE$5))=0,"",INDEX(Plan!$A$5:$A$126,SUMPRODUCT(((Plan!$I$5:$I$126="A")+(Plan!$I$5:$I$126="A+B"))*(Plan!$K$5:$K$126&lt;CE$5)*(Plan!$L$5:$L$126&gt;=CE$5)*(ROW(Plan!$A$5:$A$126)-4))))</f>
        <v/>
      </c>
      <c r="CF6" s="26">
        <f>IF(SUMPRODUCT(((Plan!$I$5:$I$126="A")+(Plan!$I$5:$I$126="A+B"))*(Plan!$K$5:$K$126&lt;CF$5)*(Plan!$L$5:$L$126&gt;=CF$5))=0,"",INDEX(Plan!$A$5:$A$126,SUMPRODUCT(((Plan!$I$5:$I$126="A")+(Plan!$I$5:$I$126="A+B"))*(Plan!$K$5:$K$126&lt;CF$5)*(Plan!$L$5:$L$126&gt;=CF$5)*(ROW(Plan!$A$5:$A$126)-4))))</f>
        <v/>
      </c>
      <c r="CG6" s="26">
        <f>IF(SUMPRODUCT(((Plan!$I$5:$I$126="A")+(Plan!$I$5:$I$126="A+B"))*(Plan!$K$5:$K$126&lt;CG$5)*(Plan!$L$5:$L$126&gt;=CG$5))=0,"",INDEX(Plan!$A$5:$A$126,SUMPRODUCT(((Plan!$I$5:$I$126="A")+(Plan!$I$5:$I$126="A+B"))*(Plan!$K$5:$K$126&lt;CG$5)*(Plan!$L$5:$L$126&gt;=CG$5)*(ROW(Plan!$A$5:$A$126)-4))))</f>
        <v/>
      </c>
      <c r="CH6" s="26">
        <f>IF(SUMPRODUCT(((Plan!$I$5:$I$126="A")+(Plan!$I$5:$I$126="A+B"))*(Plan!$K$5:$K$126&lt;CH$5)*(Plan!$L$5:$L$126&gt;=CH$5))=0,"",INDEX(Plan!$A$5:$A$126,SUMPRODUCT(((Plan!$I$5:$I$126="A")+(Plan!$I$5:$I$126="A+B"))*(Plan!$K$5:$K$126&lt;CH$5)*(Plan!$L$5:$L$126&gt;=CH$5)*(ROW(Plan!$A$5:$A$126)-4))))</f>
        <v/>
      </c>
      <c r="CI6" s="26">
        <f>IF(SUMPRODUCT(((Plan!$I$5:$I$126="A")+(Plan!$I$5:$I$126="A+B"))*(Plan!$K$5:$K$126&lt;CI$5)*(Plan!$L$5:$L$126&gt;=CI$5))=0,"",INDEX(Plan!$A$5:$A$126,SUMPRODUCT(((Plan!$I$5:$I$126="A")+(Plan!$I$5:$I$126="A+B"))*(Plan!$K$5:$K$126&lt;CI$5)*(Plan!$L$5:$L$126&gt;=CI$5)*(ROW(Plan!$A$5:$A$126)-4))))</f>
        <v/>
      </c>
      <c r="CJ6" s="26">
        <f>IF(SUMPRODUCT(((Plan!$I$5:$I$126="A")+(Plan!$I$5:$I$126="A+B"))*(Plan!$K$5:$K$126&lt;CJ$5)*(Plan!$L$5:$L$126&gt;=CJ$5))=0,"",INDEX(Plan!$A$5:$A$126,SUMPRODUCT(((Plan!$I$5:$I$126="A")+(Plan!$I$5:$I$126="A+B"))*(Plan!$K$5:$K$126&lt;CJ$5)*(Plan!$L$5:$L$126&gt;=CJ$5)*(ROW(Plan!$A$5:$A$126)-4))))</f>
        <v/>
      </c>
      <c r="CK6" s="26">
        <f>IF(SUMPRODUCT(((Plan!$I$5:$I$126="A")+(Plan!$I$5:$I$126="A+B"))*(Plan!$K$5:$K$126&lt;CK$5)*(Plan!$L$5:$L$126&gt;=CK$5))=0,"",INDEX(Plan!$A$5:$A$126,SUMPRODUCT(((Plan!$I$5:$I$126="A")+(Plan!$I$5:$I$126="A+B"))*(Plan!$K$5:$K$126&lt;CK$5)*(Plan!$L$5:$L$126&gt;=CK$5)*(ROW(Plan!$A$5:$A$126)-4))))</f>
        <v/>
      </c>
      <c r="CL6" s="26">
        <f>IF(SUMPRODUCT(((Plan!$I$5:$I$126="A")+(Plan!$I$5:$I$126="A+B"))*(Plan!$K$5:$K$126&lt;CL$5)*(Plan!$L$5:$L$126&gt;=CL$5))=0,"",INDEX(Plan!$A$5:$A$126,SUMPRODUCT(((Plan!$I$5:$I$126="A")+(Plan!$I$5:$I$126="A+B"))*(Plan!$K$5:$K$126&lt;CL$5)*(Plan!$L$5:$L$126&gt;=CL$5)*(ROW(Plan!$A$5:$A$126)-4))))</f>
        <v/>
      </c>
      <c r="CM6" s="26">
        <f>IF(SUMPRODUCT(((Plan!$I$5:$I$126="A")+(Plan!$I$5:$I$126="A+B"))*(Plan!$K$5:$K$126&lt;CM$5)*(Plan!$L$5:$L$126&gt;=CM$5))=0,"",INDEX(Plan!$A$5:$A$126,SUMPRODUCT(((Plan!$I$5:$I$126="A")+(Plan!$I$5:$I$126="A+B"))*(Plan!$K$5:$K$126&lt;CM$5)*(Plan!$L$5:$L$126&gt;=CM$5)*(ROW(Plan!$A$5:$A$126)-4))))</f>
        <v/>
      </c>
      <c r="CN6" s="26">
        <f>IF(SUMPRODUCT(((Plan!$I$5:$I$126="A")+(Plan!$I$5:$I$126="A+B"))*(Plan!$K$5:$K$126&lt;CN$5)*(Plan!$L$5:$L$126&gt;=CN$5))=0,"",INDEX(Plan!$A$5:$A$126,SUMPRODUCT(((Plan!$I$5:$I$126="A")+(Plan!$I$5:$I$126="A+B"))*(Plan!$K$5:$K$126&lt;CN$5)*(Plan!$L$5:$L$126&gt;=CN$5)*(ROW(Plan!$A$5:$A$126)-4))))</f>
        <v/>
      </c>
      <c r="CO6" s="26">
        <f>IF(SUMPRODUCT(((Plan!$I$5:$I$126="A")+(Plan!$I$5:$I$126="A+B"))*(Plan!$K$5:$K$126&lt;CO$5)*(Plan!$L$5:$L$126&gt;=CO$5))=0,"",INDEX(Plan!$A$5:$A$126,SUMPRODUCT(((Plan!$I$5:$I$126="A")+(Plan!$I$5:$I$126="A+B"))*(Plan!$K$5:$K$126&lt;CO$5)*(Plan!$L$5:$L$126&gt;=CO$5)*(ROW(Plan!$A$5:$A$126)-4))))</f>
        <v/>
      </c>
      <c r="CP6" s="26">
        <f>IF(SUMPRODUCT(((Plan!$I$5:$I$126="A")+(Plan!$I$5:$I$126="A+B"))*(Plan!$K$5:$K$126&lt;CP$5)*(Plan!$L$5:$L$126&gt;=CP$5))=0,"",INDEX(Plan!$A$5:$A$126,SUMPRODUCT(((Plan!$I$5:$I$126="A")+(Plan!$I$5:$I$126="A+B"))*(Plan!$K$5:$K$126&lt;CP$5)*(Plan!$L$5:$L$126&gt;=CP$5)*(ROW(Plan!$A$5:$A$126)-4))))</f>
        <v/>
      </c>
      <c r="CQ6" s="26">
        <f>IF(SUMPRODUCT(((Plan!$I$5:$I$126="A")+(Plan!$I$5:$I$126="A+B"))*(Plan!$K$5:$K$126&lt;CQ$5)*(Plan!$L$5:$L$126&gt;=CQ$5))=0,"",INDEX(Plan!$A$5:$A$126,SUMPRODUCT(((Plan!$I$5:$I$126="A")+(Plan!$I$5:$I$126="A+B"))*(Plan!$K$5:$K$126&lt;CQ$5)*(Plan!$L$5:$L$126&gt;=CQ$5)*(ROW(Plan!$A$5:$A$126)-4))))</f>
        <v/>
      </c>
      <c r="CR6" s="26">
        <f>IF(SUMPRODUCT(((Plan!$I$5:$I$126="A")+(Plan!$I$5:$I$126="A+B"))*(Plan!$K$5:$K$126&lt;CR$5)*(Plan!$L$5:$L$126&gt;=CR$5))=0,"",INDEX(Plan!$A$5:$A$126,SUMPRODUCT(((Plan!$I$5:$I$126="A")+(Plan!$I$5:$I$126="A+B"))*(Plan!$K$5:$K$126&lt;CR$5)*(Plan!$L$5:$L$126&gt;=CR$5)*(ROW(Plan!$A$5:$A$126)-4))))</f>
        <v/>
      </c>
      <c r="CS6" s="26">
        <f>IF(SUMPRODUCT(((Plan!$I$5:$I$126="A")+(Plan!$I$5:$I$126="A+B"))*(Plan!$K$5:$K$126&lt;CS$5)*(Plan!$L$5:$L$126&gt;=CS$5))=0,"",INDEX(Plan!$A$5:$A$126,SUMPRODUCT(((Plan!$I$5:$I$126="A")+(Plan!$I$5:$I$126="A+B"))*(Plan!$K$5:$K$126&lt;CS$5)*(Plan!$L$5:$L$126&gt;=CS$5)*(ROW(Plan!$A$5:$A$126)-4))))</f>
        <v/>
      </c>
      <c r="CT6" s="26">
        <f>IF(SUMPRODUCT(((Plan!$I$5:$I$126="A")+(Plan!$I$5:$I$126="A+B"))*(Plan!$K$5:$K$126&lt;CT$5)*(Plan!$L$5:$L$126&gt;=CT$5))=0,"",INDEX(Plan!$A$5:$A$126,SUMPRODUCT(((Plan!$I$5:$I$126="A")+(Plan!$I$5:$I$126="A+B"))*(Plan!$K$5:$K$126&lt;CT$5)*(Plan!$L$5:$L$126&gt;=CT$5)*(ROW(Plan!$A$5:$A$126)-4))))</f>
        <v/>
      </c>
      <c r="CU6" s="26">
        <f>IF(SUMPRODUCT(((Plan!$I$5:$I$126="A")+(Plan!$I$5:$I$126="A+B"))*(Plan!$K$5:$K$126&lt;CU$5)*(Plan!$L$5:$L$126&gt;=CU$5))=0,"",INDEX(Plan!$A$5:$A$126,SUMPRODUCT(((Plan!$I$5:$I$126="A")+(Plan!$I$5:$I$126="A+B"))*(Plan!$K$5:$K$126&lt;CU$5)*(Plan!$L$5:$L$126&gt;=CU$5)*(ROW(Plan!$A$5:$A$126)-4))))</f>
        <v/>
      </c>
      <c r="CV6" s="26">
        <f>IF(SUMPRODUCT(((Plan!$I$5:$I$126="A")+(Plan!$I$5:$I$126="A+B"))*(Plan!$K$5:$K$126&lt;CV$5)*(Plan!$L$5:$L$126&gt;=CV$5))=0,"",INDEX(Plan!$A$5:$A$126,SUMPRODUCT(((Plan!$I$5:$I$126="A")+(Plan!$I$5:$I$126="A+B"))*(Plan!$K$5:$K$126&lt;CV$5)*(Plan!$L$5:$L$126&gt;=CV$5)*(ROW(Plan!$A$5:$A$126)-4))))</f>
        <v/>
      </c>
      <c r="CW6" s="26">
        <f>IF(SUMPRODUCT(((Plan!$I$5:$I$126="A")+(Plan!$I$5:$I$126="A+B"))*(Plan!$K$5:$K$126&lt;CW$5)*(Plan!$L$5:$L$126&gt;=CW$5))=0,"",INDEX(Plan!$A$5:$A$126,SUMPRODUCT(((Plan!$I$5:$I$126="A")+(Plan!$I$5:$I$126="A+B"))*(Plan!$K$5:$K$126&lt;CW$5)*(Plan!$L$5:$L$126&gt;=CW$5)*(ROW(Plan!$A$5:$A$126)-4))))</f>
        <v/>
      </c>
      <c r="CX6" s="26">
        <f>IF(SUMPRODUCT(((Plan!$I$5:$I$126="A")+(Plan!$I$5:$I$126="A+B"))*(Plan!$K$5:$K$126&lt;CX$5)*(Plan!$L$5:$L$126&gt;=CX$5))=0,"",INDEX(Plan!$A$5:$A$126,SUMPRODUCT(((Plan!$I$5:$I$126="A")+(Plan!$I$5:$I$126="A+B"))*(Plan!$K$5:$K$126&lt;CX$5)*(Plan!$L$5:$L$126&gt;=CX$5)*(ROW(Plan!$A$5:$A$126)-4))))</f>
        <v/>
      </c>
      <c r="CY6" s="26">
        <f>IF(SUMPRODUCT(((Plan!$I$5:$I$126="A")+(Plan!$I$5:$I$126="A+B"))*(Plan!$K$5:$K$126&lt;CY$5)*(Plan!$L$5:$L$126&gt;=CY$5))=0,"",INDEX(Plan!$A$5:$A$126,SUMPRODUCT(((Plan!$I$5:$I$126="A")+(Plan!$I$5:$I$126="A+B"))*(Plan!$K$5:$K$126&lt;CY$5)*(Plan!$L$5:$L$126&gt;=CY$5)*(ROW(Plan!$A$5:$A$126)-4))))</f>
        <v/>
      </c>
      <c r="CZ6" s="26">
        <f>IF(SUMPRODUCT(((Plan!$I$5:$I$126="A")+(Plan!$I$5:$I$126="A+B"))*(Plan!$K$5:$K$126&lt;CZ$5)*(Plan!$L$5:$L$126&gt;=CZ$5))=0,"",INDEX(Plan!$A$5:$A$126,SUMPRODUCT(((Plan!$I$5:$I$126="A")+(Plan!$I$5:$I$126="A+B"))*(Plan!$K$5:$K$126&lt;CZ$5)*(Plan!$L$5:$L$126&gt;=CZ$5)*(ROW(Plan!$A$5:$A$126)-4))))</f>
        <v/>
      </c>
      <c r="DA6" s="26">
        <f>IF(SUMPRODUCT(((Plan!$I$5:$I$126="A")+(Plan!$I$5:$I$126="A+B"))*(Plan!$K$5:$K$126&lt;DA$5)*(Plan!$L$5:$L$126&gt;=DA$5))=0,"",INDEX(Plan!$A$5:$A$126,SUMPRODUCT(((Plan!$I$5:$I$126="A")+(Plan!$I$5:$I$126="A+B"))*(Plan!$K$5:$K$126&lt;DA$5)*(Plan!$L$5:$L$126&gt;=DA$5)*(ROW(Plan!$A$5:$A$126)-4))))</f>
        <v/>
      </c>
      <c r="DB6" s="26">
        <f>IF(SUMPRODUCT(((Plan!$I$5:$I$126="A")+(Plan!$I$5:$I$126="A+B"))*(Plan!$K$5:$K$126&lt;DB$5)*(Plan!$L$5:$L$126&gt;=DB$5))=0,"",INDEX(Plan!$A$5:$A$126,SUMPRODUCT(((Plan!$I$5:$I$126="A")+(Plan!$I$5:$I$126="A+B"))*(Plan!$K$5:$K$126&lt;DB$5)*(Plan!$L$5:$L$126&gt;=DB$5)*(ROW(Plan!$A$5:$A$126)-4))))</f>
        <v/>
      </c>
      <c r="DC6" s="26">
        <f>IF(SUMPRODUCT(((Plan!$I$5:$I$126="A")+(Plan!$I$5:$I$126="A+B"))*(Plan!$K$5:$K$126&lt;DC$5)*(Plan!$L$5:$L$126&gt;=DC$5))=0,"",INDEX(Plan!$A$5:$A$126,SUMPRODUCT(((Plan!$I$5:$I$126="A")+(Plan!$I$5:$I$126="A+B"))*(Plan!$K$5:$K$126&lt;DC$5)*(Plan!$L$5:$L$126&gt;=DC$5)*(ROW(Plan!$A$5:$A$126)-4))))</f>
        <v/>
      </c>
      <c r="DD6" s="26">
        <f>IF(SUMPRODUCT(((Plan!$I$5:$I$126="A")+(Plan!$I$5:$I$126="A+B"))*(Plan!$K$5:$K$126&lt;DD$5)*(Plan!$L$5:$L$126&gt;=DD$5))=0,"",INDEX(Plan!$A$5:$A$126,SUMPRODUCT(((Plan!$I$5:$I$126="A")+(Plan!$I$5:$I$126="A+B"))*(Plan!$K$5:$K$126&lt;DD$5)*(Plan!$L$5:$L$126&gt;=DD$5)*(ROW(Plan!$A$5:$A$126)-4))))</f>
        <v/>
      </c>
      <c r="DE6" s="26">
        <f>IF(SUMPRODUCT(((Plan!$I$5:$I$126="A")+(Plan!$I$5:$I$126="A+B"))*(Plan!$K$5:$K$126&lt;DE$5)*(Plan!$L$5:$L$126&gt;=DE$5))=0,"",INDEX(Plan!$A$5:$A$126,SUMPRODUCT(((Plan!$I$5:$I$126="A")+(Plan!$I$5:$I$126="A+B"))*(Plan!$K$5:$K$126&lt;DE$5)*(Plan!$L$5:$L$126&gt;=DE$5)*(ROW(Plan!$A$5:$A$126)-4))))</f>
        <v/>
      </c>
      <c r="DF6" s="26">
        <f>IF(SUMPRODUCT(((Plan!$I$5:$I$126="A")+(Plan!$I$5:$I$126="A+B"))*(Plan!$K$5:$K$126&lt;DF$5)*(Plan!$L$5:$L$126&gt;=DF$5))=0,"",INDEX(Plan!$A$5:$A$126,SUMPRODUCT(((Plan!$I$5:$I$126="A")+(Plan!$I$5:$I$126="A+B"))*(Plan!$K$5:$K$126&lt;DF$5)*(Plan!$L$5:$L$126&gt;=DF$5)*(ROW(Plan!$A$5:$A$126)-4))))</f>
        <v/>
      </c>
      <c r="DG6" s="26">
        <f>IF(SUMPRODUCT(((Plan!$I$5:$I$126="A")+(Plan!$I$5:$I$126="A+B"))*(Plan!$K$5:$K$126&lt;DG$5)*(Plan!$L$5:$L$126&gt;=DG$5))=0,"",INDEX(Plan!$A$5:$A$126,SUMPRODUCT(((Plan!$I$5:$I$126="A")+(Plan!$I$5:$I$126="A+B"))*(Plan!$K$5:$K$126&lt;DG$5)*(Plan!$L$5:$L$126&gt;=DG$5)*(ROW(Plan!$A$5:$A$126)-4))))</f>
        <v/>
      </c>
      <c r="DH6" s="26">
        <f>IF(SUMPRODUCT(((Plan!$I$5:$I$126="A")+(Plan!$I$5:$I$126="A+B"))*(Plan!$K$5:$K$126&lt;DH$5)*(Plan!$L$5:$L$126&gt;=DH$5))=0,"",INDEX(Plan!$A$5:$A$126,SUMPRODUCT(((Plan!$I$5:$I$126="A")+(Plan!$I$5:$I$126="A+B"))*(Plan!$K$5:$K$126&lt;DH$5)*(Plan!$L$5:$L$126&gt;=DH$5)*(ROW(Plan!$A$5:$A$126)-4))))</f>
        <v/>
      </c>
      <c r="DI6" s="26">
        <f>IF(SUMPRODUCT(((Plan!$I$5:$I$126="A")+(Plan!$I$5:$I$126="A+B"))*(Plan!$K$5:$K$126&lt;DI$5)*(Plan!$L$5:$L$126&gt;=DI$5))=0,"",INDEX(Plan!$A$5:$A$126,SUMPRODUCT(((Plan!$I$5:$I$126="A")+(Plan!$I$5:$I$126="A+B"))*(Plan!$K$5:$K$126&lt;DI$5)*(Plan!$L$5:$L$126&gt;=DI$5)*(ROW(Plan!$A$5:$A$126)-4))))</f>
        <v/>
      </c>
      <c r="DJ6" s="26">
        <f>IF(SUMPRODUCT(((Plan!$I$5:$I$126="A")+(Plan!$I$5:$I$126="A+B"))*(Plan!$K$5:$K$126&lt;DJ$5)*(Plan!$L$5:$L$126&gt;=DJ$5))=0,"",INDEX(Plan!$A$5:$A$126,SUMPRODUCT(((Plan!$I$5:$I$126="A")+(Plan!$I$5:$I$126="A+B"))*(Plan!$K$5:$K$126&lt;DJ$5)*(Plan!$L$5:$L$126&gt;=DJ$5)*(ROW(Plan!$A$5:$A$126)-4))))</f>
        <v/>
      </c>
      <c r="DK6" s="26">
        <f>IF(SUMPRODUCT(((Plan!$I$5:$I$126="A")+(Plan!$I$5:$I$126="A+B"))*(Plan!$K$5:$K$126&lt;DK$5)*(Plan!$L$5:$L$126&gt;=DK$5))=0,"",INDEX(Plan!$A$5:$A$126,SUMPRODUCT(((Plan!$I$5:$I$126="A")+(Plan!$I$5:$I$126="A+B"))*(Plan!$K$5:$K$126&lt;DK$5)*(Plan!$L$5:$L$126&gt;=DK$5)*(ROW(Plan!$A$5:$A$126)-4))))</f>
        <v/>
      </c>
      <c r="DL6" s="26">
        <f>IF(SUMPRODUCT(((Plan!$I$5:$I$126="A")+(Plan!$I$5:$I$126="A+B"))*(Plan!$K$5:$K$126&lt;DL$5)*(Plan!$L$5:$L$126&gt;=DL$5))=0,"",INDEX(Plan!$A$5:$A$126,SUMPRODUCT(((Plan!$I$5:$I$126="A")+(Plan!$I$5:$I$126="A+B"))*(Plan!$K$5:$K$126&lt;DL$5)*(Plan!$L$5:$L$126&gt;=DL$5)*(ROW(Plan!$A$5:$A$126)-4))))</f>
        <v/>
      </c>
      <c r="DM6" s="26">
        <f>IF(SUMPRODUCT(((Plan!$I$5:$I$126="A")+(Plan!$I$5:$I$126="A+B"))*(Plan!$K$5:$K$126&lt;DM$5)*(Plan!$L$5:$L$126&gt;=DM$5))=0,"",INDEX(Plan!$A$5:$A$126,SUMPRODUCT(((Plan!$I$5:$I$126="A")+(Plan!$I$5:$I$126="A+B"))*(Plan!$K$5:$K$126&lt;DM$5)*(Plan!$L$5:$L$126&gt;=DM$5)*(ROW(Plan!$A$5:$A$126)-4))))</f>
        <v/>
      </c>
      <c r="DN6" s="26">
        <f>IF(SUMPRODUCT(((Plan!$I$5:$I$126="A")+(Plan!$I$5:$I$126="A+B"))*(Plan!$K$5:$K$126&lt;DN$5)*(Plan!$L$5:$L$126&gt;=DN$5))=0,"",INDEX(Plan!$A$5:$A$126,SUMPRODUCT(((Plan!$I$5:$I$126="A")+(Plan!$I$5:$I$126="A+B"))*(Plan!$K$5:$K$126&lt;DN$5)*(Plan!$L$5:$L$126&gt;=DN$5)*(ROW(Plan!$A$5:$A$126)-4))))</f>
        <v/>
      </c>
      <c r="DO6" s="26">
        <f>IF(SUMPRODUCT(((Plan!$I$5:$I$126="A")+(Plan!$I$5:$I$126="A+B"))*(Plan!$K$5:$K$126&lt;DO$5)*(Plan!$L$5:$L$126&gt;=DO$5))=0,"",INDEX(Plan!$A$5:$A$126,SUMPRODUCT(((Plan!$I$5:$I$126="A")+(Plan!$I$5:$I$126="A+B"))*(Plan!$K$5:$K$126&lt;DO$5)*(Plan!$L$5:$L$126&gt;=DO$5)*(ROW(Plan!$A$5:$A$126)-4))))</f>
        <v/>
      </c>
      <c r="DP6" s="26">
        <f>IF(SUMPRODUCT(((Plan!$I$5:$I$126="A")+(Plan!$I$5:$I$126="A+B"))*(Plan!$K$5:$K$126&lt;DP$5)*(Plan!$L$5:$L$126&gt;=DP$5))=0,"",INDEX(Plan!$A$5:$A$126,SUMPRODUCT(((Plan!$I$5:$I$126="A")+(Plan!$I$5:$I$126="A+B"))*(Plan!$K$5:$K$126&lt;DP$5)*(Plan!$L$5:$L$126&gt;=DP$5)*(ROW(Plan!$A$5:$A$126)-4))))</f>
        <v/>
      </c>
      <c r="DQ6" s="26">
        <f>IF(SUMPRODUCT(((Plan!$I$5:$I$126="A")+(Plan!$I$5:$I$126="A+B"))*(Plan!$K$5:$K$126&lt;DQ$5)*(Plan!$L$5:$L$126&gt;=DQ$5))=0,"",INDEX(Plan!$A$5:$A$126,SUMPRODUCT(((Plan!$I$5:$I$126="A")+(Plan!$I$5:$I$126="A+B"))*(Plan!$K$5:$K$126&lt;DQ$5)*(Plan!$L$5:$L$126&gt;=DQ$5)*(ROW(Plan!$A$5:$A$126)-4))))</f>
        <v/>
      </c>
      <c r="DR6" s="26">
        <f>IF(SUMPRODUCT(((Plan!$I$5:$I$126="A")+(Plan!$I$5:$I$126="A+B"))*(Plan!$K$5:$K$126&lt;DR$5)*(Plan!$L$5:$L$126&gt;=DR$5))=0,"",INDEX(Plan!$A$5:$A$126,SUMPRODUCT(((Plan!$I$5:$I$126="A")+(Plan!$I$5:$I$126="A+B"))*(Plan!$K$5:$K$126&lt;DR$5)*(Plan!$L$5:$L$126&gt;=DR$5)*(ROW(Plan!$A$5:$A$126)-4))))</f>
        <v/>
      </c>
      <c r="DS6" s="26">
        <f>IF(SUMPRODUCT(((Plan!$I$5:$I$126="A")+(Plan!$I$5:$I$126="A+B"))*(Plan!$K$5:$K$126&lt;DS$5)*(Plan!$L$5:$L$126&gt;=DS$5))=0,"",INDEX(Plan!$A$5:$A$126,SUMPRODUCT(((Plan!$I$5:$I$126="A")+(Plan!$I$5:$I$126="A+B"))*(Plan!$K$5:$K$126&lt;DS$5)*(Plan!$L$5:$L$126&gt;=DS$5)*(ROW(Plan!$A$5:$A$126)-4))))</f>
        <v/>
      </c>
      <c r="DT6" s="26">
        <f>IF(SUMPRODUCT(((Plan!$I$5:$I$126="A")+(Plan!$I$5:$I$126="A+B"))*(Plan!$K$5:$K$126&lt;DT$5)*(Plan!$L$5:$L$126&gt;=DT$5))=0,"",INDEX(Plan!$A$5:$A$126,SUMPRODUCT(((Plan!$I$5:$I$126="A")+(Plan!$I$5:$I$126="A+B"))*(Plan!$K$5:$K$126&lt;DT$5)*(Plan!$L$5:$L$126&gt;=DT$5)*(ROW(Plan!$A$5:$A$126)-4))))</f>
        <v/>
      </c>
      <c r="DU6" s="26">
        <f>IF(SUMPRODUCT(((Plan!$I$5:$I$126="A")+(Plan!$I$5:$I$126="A+B"))*(Plan!$K$5:$K$126&lt;DU$5)*(Plan!$L$5:$L$126&gt;=DU$5))=0,"",INDEX(Plan!$A$5:$A$126,SUMPRODUCT(((Plan!$I$5:$I$126="A")+(Plan!$I$5:$I$126="A+B"))*(Plan!$K$5:$K$126&lt;DU$5)*(Plan!$L$5:$L$126&gt;=DU$5)*(ROW(Plan!$A$5:$A$126)-4))))</f>
        <v/>
      </c>
      <c r="DV6" s="26">
        <f>IF(SUMPRODUCT(((Plan!$I$5:$I$126="A")+(Plan!$I$5:$I$126="A+B"))*(Plan!$K$5:$K$126&lt;DV$5)*(Plan!$L$5:$L$126&gt;=DV$5))=0,"",INDEX(Plan!$A$5:$A$126,SUMPRODUCT(((Plan!$I$5:$I$126="A")+(Plan!$I$5:$I$126="A+B"))*(Plan!$K$5:$K$126&lt;DV$5)*(Plan!$L$5:$L$126&gt;=DV$5)*(ROW(Plan!$A$5:$A$126)-4))))</f>
        <v/>
      </c>
      <c r="DW6" s="26">
        <f>IF(SUMPRODUCT(((Plan!$I$5:$I$126="A")+(Plan!$I$5:$I$126="A+B"))*(Plan!$K$5:$K$126&lt;DW$5)*(Plan!$L$5:$L$126&gt;=DW$5))=0,"",INDEX(Plan!$A$5:$A$126,SUMPRODUCT(((Plan!$I$5:$I$126="A")+(Plan!$I$5:$I$126="A+B"))*(Plan!$K$5:$K$126&lt;DW$5)*(Plan!$L$5:$L$126&gt;=DW$5)*(ROW(Plan!$A$5:$A$126)-4))))</f>
        <v/>
      </c>
      <c r="DX6" s="26">
        <f>IF(SUMPRODUCT(((Plan!$I$5:$I$126="A")+(Plan!$I$5:$I$126="A+B"))*(Plan!$K$5:$K$126&lt;DX$5)*(Plan!$L$5:$L$126&gt;=DX$5))=0,"",INDEX(Plan!$A$5:$A$126,SUMPRODUCT(((Plan!$I$5:$I$126="A")+(Plan!$I$5:$I$126="A+B"))*(Plan!$K$5:$K$126&lt;DX$5)*(Plan!$L$5:$L$126&gt;=DX$5)*(ROW(Plan!$A$5:$A$126)-4))))</f>
        <v/>
      </c>
      <c r="DY6" s="26">
        <f>IF(SUMPRODUCT(((Plan!$I$5:$I$126="A")+(Plan!$I$5:$I$126="A+B"))*(Plan!$K$5:$K$126&lt;DY$5)*(Plan!$L$5:$L$126&gt;=DY$5))=0,"",INDEX(Plan!$A$5:$A$126,SUMPRODUCT(((Plan!$I$5:$I$126="A")+(Plan!$I$5:$I$126="A+B"))*(Plan!$K$5:$K$126&lt;DY$5)*(Plan!$L$5:$L$126&gt;=DY$5)*(ROW(Plan!$A$5:$A$126)-4))))</f>
        <v/>
      </c>
      <c r="DZ6" s="26">
        <f>IF(SUMPRODUCT(((Plan!$I$5:$I$126="A")+(Plan!$I$5:$I$126="A+B"))*(Plan!$K$5:$K$126&lt;DZ$5)*(Plan!$L$5:$L$126&gt;=DZ$5))=0,"",INDEX(Plan!$A$5:$A$126,SUMPRODUCT(((Plan!$I$5:$I$126="A")+(Plan!$I$5:$I$126="A+B"))*(Plan!$K$5:$K$126&lt;DZ$5)*(Plan!$L$5:$L$126&gt;=DZ$5)*(ROW(Plan!$A$5:$A$126)-4))))</f>
        <v/>
      </c>
      <c r="EA6" s="26">
        <f>IF(SUMPRODUCT(((Plan!$I$5:$I$126="A")+(Plan!$I$5:$I$126="A+B"))*(Plan!$K$5:$K$126&lt;EA$5)*(Plan!$L$5:$L$126&gt;=EA$5))=0,"",INDEX(Plan!$A$5:$A$126,SUMPRODUCT(((Plan!$I$5:$I$126="A")+(Plan!$I$5:$I$126="A+B"))*(Plan!$K$5:$K$126&lt;EA$5)*(Plan!$L$5:$L$126&gt;=EA$5)*(ROW(Plan!$A$5:$A$126)-4))))</f>
        <v/>
      </c>
      <c r="EB6" s="26">
        <f>IF(SUMPRODUCT(((Plan!$I$5:$I$126="A")+(Plan!$I$5:$I$126="A+B"))*(Plan!$K$5:$K$126&lt;EB$5)*(Plan!$L$5:$L$126&gt;=EB$5))=0,"",INDEX(Plan!$A$5:$A$126,SUMPRODUCT(((Plan!$I$5:$I$126="A")+(Plan!$I$5:$I$126="A+B"))*(Plan!$K$5:$K$126&lt;EB$5)*(Plan!$L$5:$L$126&gt;=EB$5)*(ROW(Plan!$A$5:$A$126)-4))))</f>
        <v/>
      </c>
      <c r="EC6" s="26">
        <f>IF(SUMPRODUCT(((Plan!$I$5:$I$126="A")+(Plan!$I$5:$I$126="A+B"))*(Plan!$K$5:$K$126&lt;EC$5)*(Plan!$L$5:$L$126&gt;=EC$5))=0,"",INDEX(Plan!$A$5:$A$126,SUMPRODUCT(((Plan!$I$5:$I$126="A")+(Plan!$I$5:$I$126="A+B"))*(Plan!$K$5:$K$126&lt;EC$5)*(Plan!$L$5:$L$126&gt;=EC$5)*(ROW(Plan!$A$5:$A$126)-4))))</f>
        <v/>
      </c>
      <c r="ED6" s="26">
        <f>IF(SUMPRODUCT(((Plan!$I$5:$I$126="A")+(Plan!$I$5:$I$126="A+B"))*(Plan!$K$5:$K$126&lt;ED$5)*(Plan!$L$5:$L$126&gt;=ED$5))=0,"",INDEX(Plan!$A$5:$A$126,SUMPRODUCT(((Plan!$I$5:$I$126="A")+(Plan!$I$5:$I$126="A+B"))*(Plan!$K$5:$K$126&lt;ED$5)*(Plan!$L$5:$L$126&gt;=ED$5)*(ROW(Plan!$A$5:$A$126)-4))))</f>
        <v/>
      </c>
      <c r="EE6" s="26">
        <f>IF(SUMPRODUCT(((Plan!$I$5:$I$126="A")+(Plan!$I$5:$I$126="A+B"))*(Plan!$K$5:$K$126&lt;EE$5)*(Plan!$L$5:$L$126&gt;=EE$5))=0,"",INDEX(Plan!$A$5:$A$126,SUMPRODUCT(((Plan!$I$5:$I$126="A")+(Plan!$I$5:$I$126="A+B"))*(Plan!$K$5:$K$126&lt;EE$5)*(Plan!$L$5:$L$126&gt;=EE$5)*(ROW(Plan!$A$5:$A$126)-4))))</f>
        <v/>
      </c>
      <c r="EF6" s="26">
        <f>IF(SUMPRODUCT(((Plan!$I$5:$I$126="A")+(Plan!$I$5:$I$126="A+B"))*(Plan!$K$5:$K$126&lt;EF$5)*(Plan!$L$5:$L$126&gt;=EF$5))=0,"",INDEX(Plan!$A$5:$A$126,SUMPRODUCT(((Plan!$I$5:$I$126="A")+(Plan!$I$5:$I$126="A+B"))*(Plan!$K$5:$K$126&lt;EF$5)*(Plan!$L$5:$L$126&gt;=EF$5)*(ROW(Plan!$A$5:$A$126)-4))))</f>
        <v/>
      </c>
      <c r="EG6" s="26">
        <f>IF(SUMPRODUCT(((Plan!$I$5:$I$126="A")+(Plan!$I$5:$I$126="A+B"))*(Plan!$K$5:$K$126&lt;EG$5)*(Plan!$L$5:$L$126&gt;=EG$5))=0,"",INDEX(Plan!$A$5:$A$126,SUMPRODUCT(((Plan!$I$5:$I$126="A")+(Plan!$I$5:$I$126="A+B"))*(Plan!$K$5:$K$126&lt;EG$5)*(Plan!$L$5:$L$126&gt;=EG$5)*(ROW(Plan!$A$5:$A$126)-4))))</f>
        <v/>
      </c>
      <c r="EH6" s="26">
        <f>IF(SUMPRODUCT(((Plan!$I$5:$I$126="A")+(Plan!$I$5:$I$126="A+B"))*(Plan!$K$5:$K$126&lt;EH$5)*(Plan!$L$5:$L$126&gt;=EH$5))=0,"",INDEX(Plan!$A$5:$A$126,SUMPRODUCT(((Plan!$I$5:$I$126="A")+(Plan!$I$5:$I$126="A+B"))*(Plan!$K$5:$K$126&lt;EH$5)*(Plan!$L$5:$L$126&gt;=EH$5)*(ROW(Plan!$A$5:$A$126)-4))))</f>
        <v/>
      </c>
      <c r="EI6" s="26">
        <f>IF(SUMPRODUCT(((Plan!$I$5:$I$126="A")+(Plan!$I$5:$I$126="A+B"))*(Plan!$K$5:$K$126&lt;EI$5)*(Plan!$L$5:$L$126&gt;=EI$5))=0,"",INDEX(Plan!$A$5:$A$126,SUMPRODUCT(((Plan!$I$5:$I$126="A")+(Plan!$I$5:$I$126="A+B"))*(Plan!$K$5:$K$126&lt;EI$5)*(Plan!$L$5:$L$126&gt;=EI$5)*(ROW(Plan!$A$5:$A$126)-4))))</f>
        <v/>
      </c>
      <c r="EJ6" s="26">
        <f>IF(SUMPRODUCT(((Plan!$I$5:$I$126="A")+(Plan!$I$5:$I$126="A+B"))*(Plan!$K$5:$K$126&lt;EJ$5)*(Plan!$L$5:$L$126&gt;=EJ$5))=0,"",INDEX(Plan!$A$5:$A$126,SUMPRODUCT(((Plan!$I$5:$I$126="A")+(Plan!$I$5:$I$126="A+B"))*(Plan!$K$5:$K$126&lt;EJ$5)*(Plan!$L$5:$L$126&gt;=EJ$5)*(ROW(Plan!$A$5:$A$126)-4))))</f>
        <v/>
      </c>
      <c r="EK6" s="26">
        <f>IF(SUMPRODUCT(((Plan!$I$5:$I$126="A")+(Plan!$I$5:$I$126="A+B"))*(Plan!$K$5:$K$126&lt;EK$5)*(Plan!$L$5:$L$126&gt;=EK$5))=0,"",INDEX(Plan!$A$5:$A$126,SUMPRODUCT(((Plan!$I$5:$I$126="A")+(Plan!$I$5:$I$126="A+B"))*(Plan!$K$5:$K$126&lt;EK$5)*(Plan!$L$5:$L$126&gt;=EK$5)*(ROW(Plan!$A$5:$A$126)-4))))</f>
        <v/>
      </c>
      <c r="EL6" s="26">
        <f>IF(SUMPRODUCT(((Plan!$I$5:$I$126="A")+(Plan!$I$5:$I$126="A+B"))*(Plan!$K$5:$K$126&lt;EL$5)*(Plan!$L$5:$L$126&gt;=EL$5))=0,"",INDEX(Plan!$A$5:$A$126,SUMPRODUCT(((Plan!$I$5:$I$126="A")+(Plan!$I$5:$I$126="A+B"))*(Plan!$K$5:$K$126&lt;EL$5)*(Plan!$L$5:$L$126&gt;=EL$5)*(ROW(Plan!$A$5:$A$126)-4))))</f>
        <v/>
      </c>
      <c r="EM6" s="26">
        <f>IF(SUMPRODUCT(((Plan!$I$5:$I$126="A")+(Plan!$I$5:$I$126="A+B"))*(Plan!$K$5:$K$126&lt;EM$5)*(Plan!$L$5:$L$126&gt;=EM$5))=0,"",INDEX(Plan!$A$5:$A$126,SUMPRODUCT(((Plan!$I$5:$I$126="A")+(Plan!$I$5:$I$126="A+B"))*(Plan!$K$5:$K$126&lt;EM$5)*(Plan!$L$5:$L$126&gt;=EM$5)*(ROW(Plan!$A$5:$A$126)-4))))</f>
        <v/>
      </c>
      <c r="EN6" s="26">
        <f>IF(SUMPRODUCT(((Plan!$I$5:$I$126="A")+(Plan!$I$5:$I$126="A+B"))*(Plan!$K$5:$K$126&lt;EN$5)*(Plan!$L$5:$L$126&gt;=EN$5))=0,"",INDEX(Plan!$A$5:$A$126,SUMPRODUCT(((Plan!$I$5:$I$126="A")+(Plan!$I$5:$I$126="A+B"))*(Plan!$K$5:$K$126&lt;EN$5)*(Plan!$L$5:$L$126&gt;=EN$5)*(ROW(Plan!$A$5:$A$126)-4))))</f>
        <v/>
      </c>
      <c r="EO6" s="26">
        <f>IF(SUMPRODUCT(((Plan!$I$5:$I$126="A")+(Plan!$I$5:$I$126="A+B"))*(Plan!$K$5:$K$126&lt;EO$5)*(Plan!$L$5:$L$126&gt;=EO$5))=0,"",INDEX(Plan!$A$5:$A$126,SUMPRODUCT(((Plan!$I$5:$I$126="A")+(Plan!$I$5:$I$126="A+B"))*(Plan!$K$5:$K$126&lt;EO$5)*(Plan!$L$5:$L$126&gt;=EO$5)*(ROW(Plan!$A$5:$A$126)-4))))</f>
        <v/>
      </c>
      <c r="EP6" s="26">
        <f>IF(SUMPRODUCT(((Plan!$I$5:$I$126="A")+(Plan!$I$5:$I$126="A+B"))*(Plan!$K$5:$K$126&lt;EP$5)*(Plan!$L$5:$L$126&gt;=EP$5))=0,"",INDEX(Plan!$A$5:$A$126,SUMPRODUCT(((Plan!$I$5:$I$126="A")+(Plan!$I$5:$I$126="A+B"))*(Plan!$K$5:$K$126&lt;EP$5)*(Plan!$L$5:$L$126&gt;=EP$5)*(ROW(Plan!$A$5:$A$126)-4))))</f>
        <v/>
      </c>
      <c r="EQ6" s="26">
        <f>IF(SUMPRODUCT(((Plan!$I$5:$I$126="A")+(Plan!$I$5:$I$126="A+B"))*(Plan!$K$5:$K$126&lt;EQ$5)*(Plan!$L$5:$L$126&gt;=EQ$5))=0,"",INDEX(Plan!$A$5:$A$126,SUMPRODUCT(((Plan!$I$5:$I$126="A")+(Plan!$I$5:$I$126="A+B"))*(Plan!$K$5:$K$126&lt;EQ$5)*(Plan!$L$5:$L$126&gt;=EQ$5)*(ROW(Plan!$A$5:$A$126)-4))))</f>
        <v/>
      </c>
    </row>
    <row r="7" ht="26" customHeight="1">
      <c r="A7" s="22" t="inlineStr">
        <is>
          <t>Fila B — tarea en curso</t>
        </is>
      </c>
      <c r="H7" s="26">
        <f>IF(SUMPRODUCT(((Plan!$I$5:$I$126="B")+(Plan!$I$5:$I$126="A+B"))*(Plan!$K$5:$K$126&lt;H$5)*(Plan!$L$5:$L$126&gt;=H$5))=0,"",INDEX(Plan!$A$5:$A$126,SUMPRODUCT(((Plan!$I$5:$I$126="B")+(Plan!$I$5:$I$126="A+B"))*(Plan!$K$5:$K$126&lt;H$5)*(Plan!$L$5:$L$126&gt;=H$5)*(ROW(Plan!$A$5:$A$126)-4))))</f>
        <v/>
      </c>
      <c r="I7" s="26">
        <f>IF(SUMPRODUCT(((Plan!$I$5:$I$126="B")+(Plan!$I$5:$I$126="A+B"))*(Plan!$K$5:$K$126&lt;I$5)*(Plan!$L$5:$L$126&gt;=I$5))=0,"",INDEX(Plan!$A$5:$A$126,SUMPRODUCT(((Plan!$I$5:$I$126="B")+(Plan!$I$5:$I$126="A+B"))*(Plan!$K$5:$K$126&lt;I$5)*(Plan!$L$5:$L$126&gt;=I$5)*(ROW(Plan!$A$5:$A$126)-4))))</f>
        <v/>
      </c>
      <c r="J7" s="26">
        <f>IF(SUMPRODUCT(((Plan!$I$5:$I$126="B")+(Plan!$I$5:$I$126="A+B"))*(Plan!$K$5:$K$126&lt;J$5)*(Plan!$L$5:$L$126&gt;=J$5))=0,"",INDEX(Plan!$A$5:$A$126,SUMPRODUCT(((Plan!$I$5:$I$126="B")+(Plan!$I$5:$I$126="A+B"))*(Plan!$K$5:$K$126&lt;J$5)*(Plan!$L$5:$L$126&gt;=J$5)*(ROW(Plan!$A$5:$A$126)-4))))</f>
        <v/>
      </c>
      <c r="K7" s="26">
        <f>IF(SUMPRODUCT(((Plan!$I$5:$I$126="B")+(Plan!$I$5:$I$126="A+B"))*(Plan!$K$5:$K$126&lt;K$5)*(Plan!$L$5:$L$126&gt;=K$5))=0,"",INDEX(Plan!$A$5:$A$126,SUMPRODUCT(((Plan!$I$5:$I$126="B")+(Plan!$I$5:$I$126="A+B"))*(Plan!$K$5:$K$126&lt;K$5)*(Plan!$L$5:$L$126&gt;=K$5)*(ROW(Plan!$A$5:$A$126)-4))))</f>
        <v/>
      </c>
      <c r="L7" s="26">
        <f>IF(SUMPRODUCT(((Plan!$I$5:$I$126="B")+(Plan!$I$5:$I$126="A+B"))*(Plan!$K$5:$K$126&lt;L$5)*(Plan!$L$5:$L$126&gt;=L$5))=0,"",INDEX(Plan!$A$5:$A$126,SUMPRODUCT(((Plan!$I$5:$I$126="B")+(Plan!$I$5:$I$126="A+B"))*(Plan!$K$5:$K$126&lt;L$5)*(Plan!$L$5:$L$126&gt;=L$5)*(ROW(Plan!$A$5:$A$126)-4))))</f>
        <v/>
      </c>
      <c r="M7" s="26">
        <f>IF(SUMPRODUCT(((Plan!$I$5:$I$126="B")+(Plan!$I$5:$I$126="A+B"))*(Plan!$K$5:$K$126&lt;M$5)*(Plan!$L$5:$L$126&gt;=M$5))=0,"",INDEX(Plan!$A$5:$A$126,SUMPRODUCT(((Plan!$I$5:$I$126="B")+(Plan!$I$5:$I$126="A+B"))*(Plan!$K$5:$K$126&lt;M$5)*(Plan!$L$5:$L$126&gt;=M$5)*(ROW(Plan!$A$5:$A$126)-4))))</f>
        <v/>
      </c>
      <c r="N7" s="26">
        <f>IF(SUMPRODUCT(((Plan!$I$5:$I$126="B")+(Plan!$I$5:$I$126="A+B"))*(Plan!$K$5:$K$126&lt;N$5)*(Plan!$L$5:$L$126&gt;=N$5))=0,"",INDEX(Plan!$A$5:$A$126,SUMPRODUCT(((Plan!$I$5:$I$126="B")+(Plan!$I$5:$I$126="A+B"))*(Plan!$K$5:$K$126&lt;N$5)*(Plan!$L$5:$L$126&gt;=N$5)*(ROW(Plan!$A$5:$A$126)-4))))</f>
        <v/>
      </c>
      <c r="O7" s="26">
        <f>IF(SUMPRODUCT(((Plan!$I$5:$I$126="B")+(Plan!$I$5:$I$126="A+B"))*(Plan!$K$5:$K$126&lt;O$5)*(Plan!$L$5:$L$126&gt;=O$5))=0,"",INDEX(Plan!$A$5:$A$126,SUMPRODUCT(((Plan!$I$5:$I$126="B")+(Plan!$I$5:$I$126="A+B"))*(Plan!$K$5:$K$126&lt;O$5)*(Plan!$L$5:$L$126&gt;=O$5)*(ROW(Plan!$A$5:$A$126)-4))))</f>
        <v/>
      </c>
      <c r="P7" s="26">
        <f>IF(SUMPRODUCT(((Plan!$I$5:$I$126="B")+(Plan!$I$5:$I$126="A+B"))*(Plan!$K$5:$K$126&lt;P$5)*(Plan!$L$5:$L$126&gt;=P$5))=0,"",INDEX(Plan!$A$5:$A$126,SUMPRODUCT(((Plan!$I$5:$I$126="B")+(Plan!$I$5:$I$126="A+B"))*(Plan!$K$5:$K$126&lt;P$5)*(Plan!$L$5:$L$126&gt;=P$5)*(ROW(Plan!$A$5:$A$126)-4))))</f>
        <v/>
      </c>
      <c r="Q7" s="26">
        <f>IF(SUMPRODUCT(((Plan!$I$5:$I$126="B")+(Plan!$I$5:$I$126="A+B"))*(Plan!$K$5:$K$126&lt;Q$5)*(Plan!$L$5:$L$126&gt;=Q$5))=0,"",INDEX(Plan!$A$5:$A$126,SUMPRODUCT(((Plan!$I$5:$I$126="B")+(Plan!$I$5:$I$126="A+B"))*(Plan!$K$5:$K$126&lt;Q$5)*(Plan!$L$5:$L$126&gt;=Q$5)*(ROW(Plan!$A$5:$A$126)-4))))</f>
        <v/>
      </c>
      <c r="R7" s="26">
        <f>IF(SUMPRODUCT(((Plan!$I$5:$I$126="B")+(Plan!$I$5:$I$126="A+B"))*(Plan!$K$5:$K$126&lt;R$5)*(Plan!$L$5:$L$126&gt;=R$5))=0,"",INDEX(Plan!$A$5:$A$126,SUMPRODUCT(((Plan!$I$5:$I$126="B")+(Plan!$I$5:$I$126="A+B"))*(Plan!$K$5:$K$126&lt;R$5)*(Plan!$L$5:$L$126&gt;=R$5)*(ROW(Plan!$A$5:$A$126)-4))))</f>
        <v/>
      </c>
      <c r="S7" s="26">
        <f>IF(SUMPRODUCT(((Plan!$I$5:$I$126="B")+(Plan!$I$5:$I$126="A+B"))*(Plan!$K$5:$K$126&lt;S$5)*(Plan!$L$5:$L$126&gt;=S$5))=0,"",INDEX(Plan!$A$5:$A$126,SUMPRODUCT(((Plan!$I$5:$I$126="B")+(Plan!$I$5:$I$126="A+B"))*(Plan!$K$5:$K$126&lt;S$5)*(Plan!$L$5:$L$126&gt;=S$5)*(ROW(Plan!$A$5:$A$126)-4))))</f>
        <v/>
      </c>
      <c r="T7" s="26">
        <f>IF(SUMPRODUCT(((Plan!$I$5:$I$126="B")+(Plan!$I$5:$I$126="A+B"))*(Plan!$K$5:$K$126&lt;T$5)*(Plan!$L$5:$L$126&gt;=T$5))=0,"",INDEX(Plan!$A$5:$A$126,SUMPRODUCT(((Plan!$I$5:$I$126="B")+(Plan!$I$5:$I$126="A+B"))*(Plan!$K$5:$K$126&lt;T$5)*(Plan!$L$5:$L$126&gt;=T$5)*(ROW(Plan!$A$5:$A$126)-4))))</f>
        <v/>
      </c>
      <c r="U7" s="26">
        <f>IF(SUMPRODUCT(((Plan!$I$5:$I$126="B")+(Plan!$I$5:$I$126="A+B"))*(Plan!$K$5:$K$126&lt;U$5)*(Plan!$L$5:$L$126&gt;=U$5))=0,"",INDEX(Plan!$A$5:$A$126,SUMPRODUCT(((Plan!$I$5:$I$126="B")+(Plan!$I$5:$I$126="A+B"))*(Plan!$K$5:$K$126&lt;U$5)*(Plan!$L$5:$L$126&gt;=U$5)*(ROW(Plan!$A$5:$A$126)-4))))</f>
        <v/>
      </c>
      <c r="V7" s="26">
        <f>IF(SUMPRODUCT(((Plan!$I$5:$I$126="B")+(Plan!$I$5:$I$126="A+B"))*(Plan!$K$5:$K$126&lt;V$5)*(Plan!$L$5:$L$126&gt;=V$5))=0,"",INDEX(Plan!$A$5:$A$126,SUMPRODUCT(((Plan!$I$5:$I$126="B")+(Plan!$I$5:$I$126="A+B"))*(Plan!$K$5:$K$126&lt;V$5)*(Plan!$L$5:$L$126&gt;=V$5)*(ROW(Plan!$A$5:$A$126)-4))))</f>
        <v/>
      </c>
      <c r="W7" s="26">
        <f>IF(SUMPRODUCT(((Plan!$I$5:$I$126="B")+(Plan!$I$5:$I$126="A+B"))*(Plan!$K$5:$K$126&lt;W$5)*(Plan!$L$5:$L$126&gt;=W$5))=0,"",INDEX(Plan!$A$5:$A$126,SUMPRODUCT(((Plan!$I$5:$I$126="B")+(Plan!$I$5:$I$126="A+B"))*(Plan!$K$5:$K$126&lt;W$5)*(Plan!$L$5:$L$126&gt;=W$5)*(ROW(Plan!$A$5:$A$126)-4))))</f>
        <v/>
      </c>
      <c r="X7" s="26">
        <f>IF(SUMPRODUCT(((Plan!$I$5:$I$126="B")+(Plan!$I$5:$I$126="A+B"))*(Plan!$K$5:$K$126&lt;X$5)*(Plan!$L$5:$L$126&gt;=X$5))=0,"",INDEX(Plan!$A$5:$A$126,SUMPRODUCT(((Plan!$I$5:$I$126="B")+(Plan!$I$5:$I$126="A+B"))*(Plan!$K$5:$K$126&lt;X$5)*(Plan!$L$5:$L$126&gt;=X$5)*(ROW(Plan!$A$5:$A$126)-4))))</f>
        <v/>
      </c>
      <c r="Y7" s="26">
        <f>IF(SUMPRODUCT(((Plan!$I$5:$I$126="B")+(Plan!$I$5:$I$126="A+B"))*(Plan!$K$5:$K$126&lt;Y$5)*(Plan!$L$5:$L$126&gt;=Y$5))=0,"",INDEX(Plan!$A$5:$A$126,SUMPRODUCT(((Plan!$I$5:$I$126="B")+(Plan!$I$5:$I$126="A+B"))*(Plan!$K$5:$K$126&lt;Y$5)*(Plan!$L$5:$L$126&gt;=Y$5)*(ROW(Plan!$A$5:$A$126)-4))))</f>
        <v/>
      </c>
      <c r="Z7" s="26">
        <f>IF(SUMPRODUCT(((Plan!$I$5:$I$126="B")+(Plan!$I$5:$I$126="A+B"))*(Plan!$K$5:$K$126&lt;Z$5)*(Plan!$L$5:$L$126&gt;=Z$5))=0,"",INDEX(Plan!$A$5:$A$126,SUMPRODUCT(((Plan!$I$5:$I$126="B")+(Plan!$I$5:$I$126="A+B"))*(Plan!$K$5:$K$126&lt;Z$5)*(Plan!$L$5:$L$126&gt;=Z$5)*(ROW(Plan!$A$5:$A$126)-4))))</f>
        <v/>
      </c>
      <c r="AA7" s="26">
        <f>IF(SUMPRODUCT(((Plan!$I$5:$I$126="B")+(Plan!$I$5:$I$126="A+B"))*(Plan!$K$5:$K$126&lt;AA$5)*(Plan!$L$5:$L$126&gt;=AA$5))=0,"",INDEX(Plan!$A$5:$A$126,SUMPRODUCT(((Plan!$I$5:$I$126="B")+(Plan!$I$5:$I$126="A+B"))*(Plan!$K$5:$K$126&lt;AA$5)*(Plan!$L$5:$L$126&gt;=AA$5)*(ROW(Plan!$A$5:$A$126)-4))))</f>
        <v/>
      </c>
      <c r="AB7" s="26">
        <f>IF(SUMPRODUCT(((Plan!$I$5:$I$126="B")+(Plan!$I$5:$I$126="A+B"))*(Plan!$K$5:$K$126&lt;AB$5)*(Plan!$L$5:$L$126&gt;=AB$5))=0,"",INDEX(Plan!$A$5:$A$126,SUMPRODUCT(((Plan!$I$5:$I$126="B")+(Plan!$I$5:$I$126="A+B"))*(Plan!$K$5:$K$126&lt;AB$5)*(Plan!$L$5:$L$126&gt;=AB$5)*(ROW(Plan!$A$5:$A$126)-4))))</f>
        <v/>
      </c>
      <c r="AC7" s="26">
        <f>IF(SUMPRODUCT(((Plan!$I$5:$I$126="B")+(Plan!$I$5:$I$126="A+B"))*(Plan!$K$5:$K$126&lt;AC$5)*(Plan!$L$5:$L$126&gt;=AC$5))=0,"",INDEX(Plan!$A$5:$A$126,SUMPRODUCT(((Plan!$I$5:$I$126="B")+(Plan!$I$5:$I$126="A+B"))*(Plan!$K$5:$K$126&lt;AC$5)*(Plan!$L$5:$L$126&gt;=AC$5)*(ROW(Plan!$A$5:$A$126)-4))))</f>
        <v/>
      </c>
      <c r="AD7" s="26">
        <f>IF(SUMPRODUCT(((Plan!$I$5:$I$126="B")+(Plan!$I$5:$I$126="A+B"))*(Plan!$K$5:$K$126&lt;AD$5)*(Plan!$L$5:$L$126&gt;=AD$5))=0,"",INDEX(Plan!$A$5:$A$126,SUMPRODUCT(((Plan!$I$5:$I$126="B")+(Plan!$I$5:$I$126="A+B"))*(Plan!$K$5:$K$126&lt;AD$5)*(Plan!$L$5:$L$126&gt;=AD$5)*(ROW(Plan!$A$5:$A$126)-4))))</f>
        <v/>
      </c>
      <c r="AE7" s="26">
        <f>IF(SUMPRODUCT(((Plan!$I$5:$I$126="B")+(Plan!$I$5:$I$126="A+B"))*(Plan!$K$5:$K$126&lt;AE$5)*(Plan!$L$5:$L$126&gt;=AE$5))=0,"",INDEX(Plan!$A$5:$A$126,SUMPRODUCT(((Plan!$I$5:$I$126="B")+(Plan!$I$5:$I$126="A+B"))*(Plan!$K$5:$K$126&lt;AE$5)*(Plan!$L$5:$L$126&gt;=AE$5)*(ROW(Plan!$A$5:$A$126)-4))))</f>
        <v/>
      </c>
      <c r="AF7" s="26">
        <f>IF(SUMPRODUCT(((Plan!$I$5:$I$126="B")+(Plan!$I$5:$I$126="A+B"))*(Plan!$K$5:$K$126&lt;AF$5)*(Plan!$L$5:$L$126&gt;=AF$5))=0,"",INDEX(Plan!$A$5:$A$126,SUMPRODUCT(((Plan!$I$5:$I$126="B")+(Plan!$I$5:$I$126="A+B"))*(Plan!$K$5:$K$126&lt;AF$5)*(Plan!$L$5:$L$126&gt;=AF$5)*(ROW(Plan!$A$5:$A$126)-4))))</f>
        <v/>
      </c>
      <c r="AG7" s="26">
        <f>IF(SUMPRODUCT(((Plan!$I$5:$I$126="B")+(Plan!$I$5:$I$126="A+B"))*(Plan!$K$5:$K$126&lt;AG$5)*(Plan!$L$5:$L$126&gt;=AG$5))=0,"",INDEX(Plan!$A$5:$A$126,SUMPRODUCT(((Plan!$I$5:$I$126="B")+(Plan!$I$5:$I$126="A+B"))*(Plan!$K$5:$K$126&lt;AG$5)*(Plan!$L$5:$L$126&gt;=AG$5)*(ROW(Plan!$A$5:$A$126)-4))))</f>
        <v/>
      </c>
      <c r="AH7" s="26">
        <f>IF(SUMPRODUCT(((Plan!$I$5:$I$126="B")+(Plan!$I$5:$I$126="A+B"))*(Plan!$K$5:$K$126&lt;AH$5)*(Plan!$L$5:$L$126&gt;=AH$5))=0,"",INDEX(Plan!$A$5:$A$126,SUMPRODUCT(((Plan!$I$5:$I$126="B")+(Plan!$I$5:$I$126="A+B"))*(Plan!$K$5:$K$126&lt;AH$5)*(Plan!$L$5:$L$126&gt;=AH$5)*(ROW(Plan!$A$5:$A$126)-4))))</f>
        <v/>
      </c>
      <c r="AI7" s="26">
        <f>IF(SUMPRODUCT(((Plan!$I$5:$I$126="B")+(Plan!$I$5:$I$126="A+B"))*(Plan!$K$5:$K$126&lt;AI$5)*(Plan!$L$5:$L$126&gt;=AI$5))=0,"",INDEX(Plan!$A$5:$A$126,SUMPRODUCT(((Plan!$I$5:$I$126="B")+(Plan!$I$5:$I$126="A+B"))*(Plan!$K$5:$K$126&lt;AI$5)*(Plan!$L$5:$L$126&gt;=AI$5)*(ROW(Plan!$A$5:$A$126)-4))))</f>
        <v/>
      </c>
      <c r="AJ7" s="26">
        <f>IF(SUMPRODUCT(((Plan!$I$5:$I$126="B")+(Plan!$I$5:$I$126="A+B"))*(Plan!$K$5:$K$126&lt;AJ$5)*(Plan!$L$5:$L$126&gt;=AJ$5))=0,"",INDEX(Plan!$A$5:$A$126,SUMPRODUCT(((Plan!$I$5:$I$126="B")+(Plan!$I$5:$I$126="A+B"))*(Plan!$K$5:$K$126&lt;AJ$5)*(Plan!$L$5:$L$126&gt;=AJ$5)*(ROW(Plan!$A$5:$A$126)-4))))</f>
        <v/>
      </c>
      <c r="AK7" s="26">
        <f>IF(SUMPRODUCT(((Plan!$I$5:$I$126="B")+(Plan!$I$5:$I$126="A+B"))*(Plan!$K$5:$K$126&lt;AK$5)*(Plan!$L$5:$L$126&gt;=AK$5))=0,"",INDEX(Plan!$A$5:$A$126,SUMPRODUCT(((Plan!$I$5:$I$126="B")+(Plan!$I$5:$I$126="A+B"))*(Plan!$K$5:$K$126&lt;AK$5)*(Plan!$L$5:$L$126&gt;=AK$5)*(ROW(Plan!$A$5:$A$126)-4))))</f>
        <v/>
      </c>
      <c r="AL7" s="26">
        <f>IF(SUMPRODUCT(((Plan!$I$5:$I$126="B")+(Plan!$I$5:$I$126="A+B"))*(Plan!$K$5:$K$126&lt;AL$5)*(Plan!$L$5:$L$126&gt;=AL$5))=0,"",INDEX(Plan!$A$5:$A$126,SUMPRODUCT(((Plan!$I$5:$I$126="B")+(Plan!$I$5:$I$126="A+B"))*(Plan!$K$5:$K$126&lt;AL$5)*(Plan!$L$5:$L$126&gt;=AL$5)*(ROW(Plan!$A$5:$A$126)-4))))</f>
        <v/>
      </c>
      <c r="AM7" s="26">
        <f>IF(SUMPRODUCT(((Plan!$I$5:$I$126="B")+(Plan!$I$5:$I$126="A+B"))*(Plan!$K$5:$K$126&lt;AM$5)*(Plan!$L$5:$L$126&gt;=AM$5))=0,"",INDEX(Plan!$A$5:$A$126,SUMPRODUCT(((Plan!$I$5:$I$126="B")+(Plan!$I$5:$I$126="A+B"))*(Plan!$K$5:$K$126&lt;AM$5)*(Plan!$L$5:$L$126&gt;=AM$5)*(ROW(Plan!$A$5:$A$126)-4))))</f>
        <v/>
      </c>
      <c r="AN7" s="26">
        <f>IF(SUMPRODUCT(((Plan!$I$5:$I$126="B")+(Plan!$I$5:$I$126="A+B"))*(Plan!$K$5:$K$126&lt;AN$5)*(Plan!$L$5:$L$126&gt;=AN$5))=0,"",INDEX(Plan!$A$5:$A$126,SUMPRODUCT(((Plan!$I$5:$I$126="B")+(Plan!$I$5:$I$126="A+B"))*(Plan!$K$5:$K$126&lt;AN$5)*(Plan!$L$5:$L$126&gt;=AN$5)*(ROW(Plan!$A$5:$A$126)-4))))</f>
        <v/>
      </c>
      <c r="AO7" s="26">
        <f>IF(SUMPRODUCT(((Plan!$I$5:$I$126="B")+(Plan!$I$5:$I$126="A+B"))*(Plan!$K$5:$K$126&lt;AO$5)*(Plan!$L$5:$L$126&gt;=AO$5))=0,"",INDEX(Plan!$A$5:$A$126,SUMPRODUCT(((Plan!$I$5:$I$126="B")+(Plan!$I$5:$I$126="A+B"))*(Plan!$K$5:$K$126&lt;AO$5)*(Plan!$L$5:$L$126&gt;=AO$5)*(ROW(Plan!$A$5:$A$126)-4))))</f>
        <v/>
      </c>
      <c r="AP7" s="26">
        <f>IF(SUMPRODUCT(((Plan!$I$5:$I$126="B")+(Plan!$I$5:$I$126="A+B"))*(Plan!$K$5:$K$126&lt;AP$5)*(Plan!$L$5:$L$126&gt;=AP$5))=0,"",INDEX(Plan!$A$5:$A$126,SUMPRODUCT(((Plan!$I$5:$I$126="B")+(Plan!$I$5:$I$126="A+B"))*(Plan!$K$5:$K$126&lt;AP$5)*(Plan!$L$5:$L$126&gt;=AP$5)*(ROW(Plan!$A$5:$A$126)-4))))</f>
        <v/>
      </c>
      <c r="AQ7" s="26">
        <f>IF(SUMPRODUCT(((Plan!$I$5:$I$126="B")+(Plan!$I$5:$I$126="A+B"))*(Plan!$K$5:$K$126&lt;AQ$5)*(Plan!$L$5:$L$126&gt;=AQ$5))=0,"",INDEX(Plan!$A$5:$A$126,SUMPRODUCT(((Plan!$I$5:$I$126="B")+(Plan!$I$5:$I$126="A+B"))*(Plan!$K$5:$K$126&lt;AQ$5)*(Plan!$L$5:$L$126&gt;=AQ$5)*(ROW(Plan!$A$5:$A$126)-4))))</f>
        <v/>
      </c>
      <c r="AR7" s="26">
        <f>IF(SUMPRODUCT(((Plan!$I$5:$I$126="B")+(Plan!$I$5:$I$126="A+B"))*(Plan!$K$5:$K$126&lt;AR$5)*(Plan!$L$5:$L$126&gt;=AR$5))=0,"",INDEX(Plan!$A$5:$A$126,SUMPRODUCT(((Plan!$I$5:$I$126="B")+(Plan!$I$5:$I$126="A+B"))*(Plan!$K$5:$K$126&lt;AR$5)*(Plan!$L$5:$L$126&gt;=AR$5)*(ROW(Plan!$A$5:$A$126)-4))))</f>
        <v/>
      </c>
      <c r="AS7" s="26">
        <f>IF(SUMPRODUCT(((Plan!$I$5:$I$126="B")+(Plan!$I$5:$I$126="A+B"))*(Plan!$K$5:$K$126&lt;AS$5)*(Plan!$L$5:$L$126&gt;=AS$5))=0,"",INDEX(Plan!$A$5:$A$126,SUMPRODUCT(((Plan!$I$5:$I$126="B")+(Plan!$I$5:$I$126="A+B"))*(Plan!$K$5:$K$126&lt;AS$5)*(Plan!$L$5:$L$126&gt;=AS$5)*(ROW(Plan!$A$5:$A$126)-4))))</f>
        <v/>
      </c>
      <c r="AT7" s="26">
        <f>IF(SUMPRODUCT(((Plan!$I$5:$I$126="B")+(Plan!$I$5:$I$126="A+B"))*(Plan!$K$5:$K$126&lt;AT$5)*(Plan!$L$5:$L$126&gt;=AT$5))=0,"",INDEX(Plan!$A$5:$A$126,SUMPRODUCT(((Plan!$I$5:$I$126="B")+(Plan!$I$5:$I$126="A+B"))*(Plan!$K$5:$K$126&lt;AT$5)*(Plan!$L$5:$L$126&gt;=AT$5)*(ROW(Plan!$A$5:$A$126)-4))))</f>
        <v/>
      </c>
      <c r="AU7" s="26">
        <f>IF(SUMPRODUCT(((Plan!$I$5:$I$126="B")+(Plan!$I$5:$I$126="A+B"))*(Plan!$K$5:$K$126&lt;AU$5)*(Plan!$L$5:$L$126&gt;=AU$5))=0,"",INDEX(Plan!$A$5:$A$126,SUMPRODUCT(((Plan!$I$5:$I$126="B")+(Plan!$I$5:$I$126="A+B"))*(Plan!$K$5:$K$126&lt;AU$5)*(Plan!$L$5:$L$126&gt;=AU$5)*(ROW(Plan!$A$5:$A$126)-4))))</f>
        <v/>
      </c>
      <c r="AV7" s="26">
        <f>IF(SUMPRODUCT(((Plan!$I$5:$I$126="B")+(Plan!$I$5:$I$126="A+B"))*(Plan!$K$5:$K$126&lt;AV$5)*(Plan!$L$5:$L$126&gt;=AV$5))=0,"",INDEX(Plan!$A$5:$A$126,SUMPRODUCT(((Plan!$I$5:$I$126="B")+(Plan!$I$5:$I$126="A+B"))*(Plan!$K$5:$K$126&lt;AV$5)*(Plan!$L$5:$L$126&gt;=AV$5)*(ROW(Plan!$A$5:$A$126)-4))))</f>
        <v/>
      </c>
      <c r="AW7" s="26">
        <f>IF(SUMPRODUCT(((Plan!$I$5:$I$126="B")+(Plan!$I$5:$I$126="A+B"))*(Plan!$K$5:$K$126&lt;AW$5)*(Plan!$L$5:$L$126&gt;=AW$5))=0,"",INDEX(Plan!$A$5:$A$126,SUMPRODUCT(((Plan!$I$5:$I$126="B")+(Plan!$I$5:$I$126="A+B"))*(Plan!$K$5:$K$126&lt;AW$5)*(Plan!$L$5:$L$126&gt;=AW$5)*(ROW(Plan!$A$5:$A$126)-4))))</f>
        <v/>
      </c>
      <c r="AX7" s="26">
        <f>IF(SUMPRODUCT(((Plan!$I$5:$I$126="B")+(Plan!$I$5:$I$126="A+B"))*(Plan!$K$5:$K$126&lt;AX$5)*(Plan!$L$5:$L$126&gt;=AX$5))=0,"",INDEX(Plan!$A$5:$A$126,SUMPRODUCT(((Plan!$I$5:$I$126="B")+(Plan!$I$5:$I$126="A+B"))*(Plan!$K$5:$K$126&lt;AX$5)*(Plan!$L$5:$L$126&gt;=AX$5)*(ROW(Plan!$A$5:$A$126)-4))))</f>
        <v/>
      </c>
      <c r="AY7" s="26">
        <f>IF(SUMPRODUCT(((Plan!$I$5:$I$126="B")+(Plan!$I$5:$I$126="A+B"))*(Plan!$K$5:$K$126&lt;AY$5)*(Plan!$L$5:$L$126&gt;=AY$5))=0,"",INDEX(Plan!$A$5:$A$126,SUMPRODUCT(((Plan!$I$5:$I$126="B")+(Plan!$I$5:$I$126="A+B"))*(Plan!$K$5:$K$126&lt;AY$5)*(Plan!$L$5:$L$126&gt;=AY$5)*(ROW(Plan!$A$5:$A$126)-4))))</f>
        <v/>
      </c>
      <c r="AZ7" s="26">
        <f>IF(SUMPRODUCT(((Plan!$I$5:$I$126="B")+(Plan!$I$5:$I$126="A+B"))*(Plan!$K$5:$K$126&lt;AZ$5)*(Plan!$L$5:$L$126&gt;=AZ$5))=0,"",INDEX(Plan!$A$5:$A$126,SUMPRODUCT(((Plan!$I$5:$I$126="B")+(Plan!$I$5:$I$126="A+B"))*(Plan!$K$5:$K$126&lt;AZ$5)*(Plan!$L$5:$L$126&gt;=AZ$5)*(ROW(Plan!$A$5:$A$126)-4))))</f>
        <v/>
      </c>
      <c r="BA7" s="26">
        <f>IF(SUMPRODUCT(((Plan!$I$5:$I$126="B")+(Plan!$I$5:$I$126="A+B"))*(Plan!$K$5:$K$126&lt;BA$5)*(Plan!$L$5:$L$126&gt;=BA$5))=0,"",INDEX(Plan!$A$5:$A$126,SUMPRODUCT(((Plan!$I$5:$I$126="B")+(Plan!$I$5:$I$126="A+B"))*(Plan!$K$5:$K$126&lt;BA$5)*(Plan!$L$5:$L$126&gt;=BA$5)*(ROW(Plan!$A$5:$A$126)-4))))</f>
        <v/>
      </c>
      <c r="BB7" s="26">
        <f>IF(SUMPRODUCT(((Plan!$I$5:$I$126="B")+(Plan!$I$5:$I$126="A+B"))*(Plan!$K$5:$K$126&lt;BB$5)*(Plan!$L$5:$L$126&gt;=BB$5))=0,"",INDEX(Plan!$A$5:$A$126,SUMPRODUCT(((Plan!$I$5:$I$126="B")+(Plan!$I$5:$I$126="A+B"))*(Plan!$K$5:$K$126&lt;BB$5)*(Plan!$L$5:$L$126&gt;=BB$5)*(ROW(Plan!$A$5:$A$126)-4))))</f>
        <v/>
      </c>
      <c r="BC7" s="26">
        <f>IF(SUMPRODUCT(((Plan!$I$5:$I$126="B")+(Plan!$I$5:$I$126="A+B"))*(Plan!$K$5:$K$126&lt;BC$5)*(Plan!$L$5:$L$126&gt;=BC$5))=0,"",INDEX(Plan!$A$5:$A$126,SUMPRODUCT(((Plan!$I$5:$I$126="B")+(Plan!$I$5:$I$126="A+B"))*(Plan!$K$5:$K$126&lt;BC$5)*(Plan!$L$5:$L$126&gt;=BC$5)*(ROW(Plan!$A$5:$A$126)-4))))</f>
        <v/>
      </c>
      <c r="BD7" s="26">
        <f>IF(SUMPRODUCT(((Plan!$I$5:$I$126="B")+(Plan!$I$5:$I$126="A+B"))*(Plan!$K$5:$K$126&lt;BD$5)*(Plan!$L$5:$L$126&gt;=BD$5))=0,"",INDEX(Plan!$A$5:$A$126,SUMPRODUCT(((Plan!$I$5:$I$126="B")+(Plan!$I$5:$I$126="A+B"))*(Plan!$K$5:$K$126&lt;BD$5)*(Plan!$L$5:$L$126&gt;=BD$5)*(ROW(Plan!$A$5:$A$126)-4))))</f>
        <v/>
      </c>
      <c r="BE7" s="26">
        <f>IF(SUMPRODUCT(((Plan!$I$5:$I$126="B")+(Plan!$I$5:$I$126="A+B"))*(Plan!$K$5:$K$126&lt;BE$5)*(Plan!$L$5:$L$126&gt;=BE$5))=0,"",INDEX(Plan!$A$5:$A$126,SUMPRODUCT(((Plan!$I$5:$I$126="B")+(Plan!$I$5:$I$126="A+B"))*(Plan!$K$5:$K$126&lt;BE$5)*(Plan!$L$5:$L$126&gt;=BE$5)*(ROW(Plan!$A$5:$A$126)-4))))</f>
        <v/>
      </c>
      <c r="BF7" s="26">
        <f>IF(SUMPRODUCT(((Plan!$I$5:$I$126="B")+(Plan!$I$5:$I$126="A+B"))*(Plan!$K$5:$K$126&lt;BF$5)*(Plan!$L$5:$L$126&gt;=BF$5))=0,"",INDEX(Plan!$A$5:$A$126,SUMPRODUCT(((Plan!$I$5:$I$126="B")+(Plan!$I$5:$I$126="A+B"))*(Plan!$K$5:$K$126&lt;BF$5)*(Plan!$L$5:$L$126&gt;=BF$5)*(ROW(Plan!$A$5:$A$126)-4))))</f>
        <v/>
      </c>
      <c r="BG7" s="26">
        <f>IF(SUMPRODUCT(((Plan!$I$5:$I$126="B")+(Plan!$I$5:$I$126="A+B"))*(Plan!$K$5:$K$126&lt;BG$5)*(Plan!$L$5:$L$126&gt;=BG$5))=0,"",INDEX(Plan!$A$5:$A$126,SUMPRODUCT(((Plan!$I$5:$I$126="B")+(Plan!$I$5:$I$126="A+B"))*(Plan!$K$5:$K$126&lt;BG$5)*(Plan!$L$5:$L$126&gt;=BG$5)*(ROW(Plan!$A$5:$A$126)-4))))</f>
        <v/>
      </c>
      <c r="BH7" s="26">
        <f>IF(SUMPRODUCT(((Plan!$I$5:$I$126="B")+(Plan!$I$5:$I$126="A+B"))*(Plan!$K$5:$K$126&lt;BH$5)*(Plan!$L$5:$L$126&gt;=BH$5))=0,"",INDEX(Plan!$A$5:$A$126,SUMPRODUCT(((Plan!$I$5:$I$126="B")+(Plan!$I$5:$I$126="A+B"))*(Plan!$K$5:$K$126&lt;BH$5)*(Plan!$L$5:$L$126&gt;=BH$5)*(ROW(Plan!$A$5:$A$126)-4))))</f>
        <v/>
      </c>
      <c r="BI7" s="26">
        <f>IF(SUMPRODUCT(((Plan!$I$5:$I$126="B")+(Plan!$I$5:$I$126="A+B"))*(Plan!$K$5:$K$126&lt;BI$5)*(Plan!$L$5:$L$126&gt;=BI$5))=0,"",INDEX(Plan!$A$5:$A$126,SUMPRODUCT(((Plan!$I$5:$I$126="B")+(Plan!$I$5:$I$126="A+B"))*(Plan!$K$5:$K$126&lt;BI$5)*(Plan!$L$5:$L$126&gt;=BI$5)*(ROW(Plan!$A$5:$A$126)-4))))</f>
        <v/>
      </c>
      <c r="BJ7" s="26">
        <f>IF(SUMPRODUCT(((Plan!$I$5:$I$126="B")+(Plan!$I$5:$I$126="A+B"))*(Plan!$K$5:$K$126&lt;BJ$5)*(Plan!$L$5:$L$126&gt;=BJ$5))=0,"",INDEX(Plan!$A$5:$A$126,SUMPRODUCT(((Plan!$I$5:$I$126="B")+(Plan!$I$5:$I$126="A+B"))*(Plan!$K$5:$K$126&lt;BJ$5)*(Plan!$L$5:$L$126&gt;=BJ$5)*(ROW(Plan!$A$5:$A$126)-4))))</f>
        <v/>
      </c>
      <c r="BK7" s="26">
        <f>IF(SUMPRODUCT(((Plan!$I$5:$I$126="B")+(Plan!$I$5:$I$126="A+B"))*(Plan!$K$5:$K$126&lt;BK$5)*(Plan!$L$5:$L$126&gt;=BK$5))=0,"",INDEX(Plan!$A$5:$A$126,SUMPRODUCT(((Plan!$I$5:$I$126="B")+(Plan!$I$5:$I$126="A+B"))*(Plan!$K$5:$K$126&lt;BK$5)*(Plan!$L$5:$L$126&gt;=BK$5)*(ROW(Plan!$A$5:$A$126)-4))))</f>
        <v/>
      </c>
      <c r="BL7" s="26">
        <f>IF(SUMPRODUCT(((Plan!$I$5:$I$126="B")+(Plan!$I$5:$I$126="A+B"))*(Plan!$K$5:$K$126&lt;BL$5)*(Plan!$L$5:$L$126&gt;=BL$5))=0,"",INDEX(Plan!$A$5:$A$126,SUMPRODUCT(((Plan!$I$5:$I$126="B")+(Plan!$I$5:$I$126="A+B"))*(Plan!$K$5:$K$126&lt;BL$5)*(Plan!$L$5:$L$126&gt;=BL$5)*(ROW(Plan!$A$5:$A$126)-4))))</f>
        <v/>
      </c>
      <c r="BM7" s="26">
        <f>IF(SUMPRODUCT(((Plan!$I$5:$I$126="B")+(Plan!$I$5:$I$126="A+B"))*(Plan!$K$5:$K$126&lt;BM$5)*(Plan!$L$5:$L$126&gt;=BM$5))=0,"",INDEX(Plan!$A$5:$A$126,SUMPRODUCT(((Plan!$I$5:$I$126="B")+(Plan!$I$5:$I$126="A+B"))*(Plan!$K$5:$K$126&lt;BM$5)*(Plan!$L$5:$L$126&gt;=BM$5)*(ROW(Plan!$A$5:$A$126)-4))))</f>
        <v/>
      </c>
      <c r="BN7" s="26">
        <f>IF(SUMPRODUCT(((Plan!$I$5:$I$126="B")+(Plan!$I$5:$I$126="A+B"))*(Plan!$K$5:$K$126&lt;BN$5)*(Plan!$L$5:$L$126&gt;=BN$5))=0,"",INDEX(Plan!$A$5:$A$126,SUMPRODUCT(((Plan!$I$5:$I$126="B")+(Plan!$I$5:$I$126="A+B"))*(Plan!$K$5:$K$126&lt;BN$5)*(Plan!$L$5:$L$126&gt;=BN$5)*(ROW(Plan!$A$5:$A$126)-4))))</f>
        <v/>
      </c>
      <c r="BO7" s="26">
        <f>IF(SUMPRODUCT(((Plan!$I$5:$I$126="B")+(Plan!$I$5:$I$126="A+B"))*(Plan!$K$5:$K$126&lt;BO$5)*(Plan!$L$5:$L$126&gt;=BO$5))=0,"",INDEX(Plan!$A$5:$A$126,SUMPRODUCT(((Plan!$I$5:$I$126="B")+(Plan!$I$5:$I$126="A+B"))*(Plan!$K$5:$K$126&lt;BO$5)*(Plan!$L$5:$L$126&gt;=BO$5)*(ROW(Plan!$A$5:$A$126)-4))))</f>
        <v/>
      </c>
      <c r="BP7" s="26">
        <f>IF(SUMPRODUCT(((Plan!$I$5:$I$126="B")+(Plan!$I$5:$I$126="A+B"))*(Plan!$K$5:$K$126&lt;BP$5)*(Plan!$L$5:$L$126&gt;=BP$5))=0,"",INDEX(Plan!$A$5:$A$126,SUMPRODUCT(((Plan!$I$5:$I$126="B")+(Plan!$I$5:$I$126="A+B"))*(Plan!$K$5:$K$126&lt;BP$5)*(Plan!$L$5:$L$126&gt;=BP$5)*(ROW(Plan!$A$5:$A$126)-4))))</f>
        <v/>
      </c>
      <c r="BQ7" s="26">
        <f>IF(SUMPRODUCT(((Plan!$I$5:$I$126="B")+(Plan!$I$5:$I$126="A+B"))*(Plan!$K$5:$K$126&lt;BQ$5)*(Plan!$L$5:$L$126&gt;=BQ$5))=0,"",INDEX(Plan!$A$5:$A$126,SUMPRODUCT(((Plan!$I$5:$I$126="B")+(Plan!$I$5:$I$126="A+B"))*(Plan!$K$5:$K$126&lt;BQ$5)*(Plan!$L$5:$L$126&gt;=BQ$5)*(ROW(Plan!$A$5:$A$126)-4))))</f>
        <v/>
      </c>
      <c r="BR7" s="26">
        <f>IF(SUMPRODUCT(((Plan!$I$5:$I$126="B")+(Plan!$I$5:$I$126="A+B"))*(Plan!$K$5:$K$126&lt;BR$5)*(Plan!$L$5:$L$126&gt;=BR$5))=0,"",INDEX(Plan!$A$5:$A$126,SUMPRODUCT(((Plan!$I$5:$I$126="B")+(Plan!$I$5:$I$126="A+B"))*(Plan!$K$5:$K$126&lt;BR$5)*(Plan!$L$5:$L$126&gt;=BR$5)*(ROW(Plan!$A$5:$A$126)-4))))</f>
        <v/>
      </c>
      <c r="BS7" s="26">
        <f>IF(SUMPRODUCT(((Plan!$I$5:$I$126="B")+(Plan!$I$5:$I$126="A+B"))*(Plan!$K$5:$K$126&lt;BS$5)*(Plan!$L$5:$L$126&gt;=BS$5))=0,"",INDEX(Plan!$A$5:$A$126,SUMPRODUCT(((Plan!$I$5:$I$126="B")+(Plan!$I$5:$I$126="A+B"))*(Plan!$K$5:$K$126&lt;BS$5)*(Plan!$L$5:$L$126&gt;=BS$5)*(ROW(Plan!$A$5:$A$126)-4))))</f>
        <v/>
      </c>
      <c r="BT7" s="26">
        <f>IF(SUMPRODUCT(((Plan!$I$5:$I$126="B")+(Plan!$I$5:$I$126="A+B"))*(Plan!$K$5:$K$126&lt;BT$5)*(Plan!$L$5:$L$126&gt;=BT$5))=0,"",INDEX(Plan!$A$5:$A$126,SUMPRODUCT(((Plan!$I$5:$I$126="B")+(Plan!$I$5:$I$126="A+B"))*(Plan!$K$5:$K$126&lt;BT$5)*(Plan!$L$5:$L$126&gt;=BT$5)*(ROW(Plan!$A$5:$A$126)-4))))</f>
        <v/>
      </c>
      <c r="BU7" s="26">
        <f>IF(SUMPRODUCT(((Plan!$I$5:$I$126="B")+(Plan!$I$5:$I$126="A+B"))*(Plan!$K$5:$K$126&lt;BU$5)*(Plan!$L$5:$L$126&gt;=BU$5))=0,"",INDEX(Plan!$A$5:$A$126,SUMPRODUCT(((Plan!$I$5:$I$126="B")+(Plan!$I$5:$I$126="A+B"))*(Plan!$K$5:$K$126&lt;BU$5)*(Plan!$L$5:$L$126&gt;=BU$5)*(ROW(Plan!$A$5:$A$126)-4))))</f>
        <v/>
      </c>
      <c r="BV7" s="26">
        <f>IF(SUMPRODUCT(((Plan!$I$5:$I$126="B")+(Plan!$I$5:$I$126="A+B"))*(Plan!$K$5:$K$126&lt;BV$5)*(Plan!$L$5:$L$126&gt;=BV$5))=0,"",INDEX(Plan!$A$5:$A$126,SUMPRODUCT(((Plan!$I$5:$I$126="B")+(Plan!$I$5:$I$126="A+B"))*(Plan!$K$5:$K$126&lt;BV$5)*(Plan!$L$5:$L$126&gt;=BV$5)*(ROW(Plan!$A$5:$A$126)-4))))</f>
        <v/>
      </c>
      <c r="BW7" s="26">
        <f>IF(SUMPRODUCT(((Plan!$I$5:$I$126="B")+(Plan!$I$5:$I$126="A+B"))*(Plan!$K$5:$K$126&lt;BW$5)*(Plan!$L$5:$L$126&gt;=BW$5))=0,"",INDEX(Plan!$A$5:$A$126,SUMPRODUCT(((Plan!$I$5:$I$126="B")+(Plan!$I$5:$I$126="A+B"))*(Plan!$K$5:$K$126&lt;BW$5)*(Plan!$L$5:$L$126&gt;=BW$5)*(ROW(Plan!$A$5:$A$126)-4))))</f>
        <v/>
      </c>
      <c r="BX7" s="26">
        <f>IF(SUMPRODUCT(((Plan!$I$5:$I$126="B")+(Plan!$I$5:$I$126="A+B"))*(Plan!$K$5:$K$126&lt;BX$5)*(Plan!$L$5:$L$126&gt;=BX$5))=0,"",INDEX(Plan!$A$5:$A$126,SUMPRODUCT(((Plan!$I$5:$I$126="B")+(Plan!$I$5:$I$126="A+B"))*(Plan!$K$5:$K$126&lt;BX$5)*(Plan!$L$5:$L$126&gt;=BX$5)*(ROW(Plan!$A$5:$A$126)-4))))</f>
        <v/>
      </c>
      <c r="BY7" s="26">
        <f>IF(SUMPRODUCT(((Plan!$I$5:$I$126="B")+(Plan!$I$5:$I$126="A+B"))*(Plan!$K$5:$K$126&lt;BY$5)*(Plan!$L$5:$L$126&gt;=BY$5))=0,"",INDEX(Plan!$A$5:$A$126,SUMPRODUCT(((Plan!$I$5:$I$126="B")+(Plan!$I$5:$I$126="A+B"))*(Plan!$K$5:$K$126&lt;BY$5)*(Plan!$L$5:$L$126&gt;=BY$5)*(ROW(Plan!$A$5:$A$126)-4))))</f>
        <v/>
      </c>
      <c r="BZ7" s="26">
        <f>IF(SUMPRODUCT(((Plan!$I$5:$I$126="B")+(Plan!$I$5:$I$126="A+B"))*(Plan!$K$5:$K$126&lt;BZ$5)*(Plan!$L$5:$L$126&gt;=BZ$5))=0,"",INDEX(Plan!$A$5:$A$126,SUMPRODUCT(((Plan!$I$5:$I$126="B")+(Plan!$I$5:$I$126="A+B"))*(Plan!$K$5:$K$126&lt;BZ$5)*(Plan!$L$5:$L$126&gt;=BZ$5)*(ROW(Plan!$A$5:$A$126)-4))))</f>
        <v/>
      </c>
      <c r="CA7" s="26">
        <f>IF(SUMPRODUCT(((Plan!$I$5:$I$126="B")+(Plan!$I$5:$I$126="A+B"))*(Plan!$K$5:$K$126&lt;CA$5)*(Plan!$L$5:$L$126&gt;=CA$5))=0,"",INDEX(Plan!$A$5:$A$126,SUMPRODUCT(((Plan!$I$5:$I$126="B")+(Plan!$I$5:$I$126="A+B"))*(Plan!$K$5:$K$126&lt;CA$5)*(Plan!$L$5:$L$126&gt;=CA$5)*(ROW(Plan!$A$5:$A$126)-4))))</f>
        <v/>
      </c>
      <c r="CB7" s="26">
        <f>IF(SUMPRODUCT(((Plan!$I$5:$I$126="B")+(Plan!$I$5:$I$126="A+B"))*(Plan!$K$5:$K$126&lt;CB$5)*(Plan!$L$5:$L$126&gt;=CB$5))=0,"",INDEX(Plan!$A$5:$A$126,SUMPRODUCT(((Plan!$I$5:$I$126="B")+(Plan!$I$5:$I$126="A+B"))*(Plan!$K$5:$K$126&lt;CB$5)*(Plan!$L$5:$L$126&gt;=CB$5)*(ROW(Plan!$A$5:$A$126)-4))))</f>
        <v/>
      </c>
      <c r="CC7" s="26">
        <f>IF(SUMPRODUCT(((Plan!$I$5:$I$126="B")+(Plan!$I$5:$I$126="A+B"))*(Plan!$K$5:$K$126&lt;CC$5)*(Plan!$L$5:$L$126&gt;=CC$5))=0,"",INDEX(Plan!$A$5:$A$126,SUMPRODUCT(((Plan!$I$5:$I$126="B")+(Plan!$I$5:$I$126="A+B"))*(Plan!$K$5:$K$126&lt;CC$5)*(Plan!$L$5:$L$126&gt;=CC$5)*(ROW(Plan!$A$5:$A$126)-4))))</f>
        <v/>
      </c>
      <c r="CD7" s="26">
        <f>IF(SUMPRODUCT(((Plan!$I$5:$I$126="B")+(Plan!$I$5:$I$126="A+B"))*(Plan!$K$5:$K$126&lt;CD$5)*(Plan!$L$5:$L$126&gt;=CD$5))=0,"",INDEX(Plan!$A$5:$A$126,SUMPRODUCT(((Plan!$I$5:$I$126="B")+(Plan!$I$5:$I$126="A+B"))*(Plan!$K$5:$K$126&lt;CD$5)*(Plan!$L$5:$L$126&gt;=CD$5)*(ROW(Plan!$A$5:$A$126)-4))))</f>
        <v/>
      </c>
      <c r="CE7" s="26">
        <f>IF(SUMPRODUCT(((Plan!$I$5:$I$126="B")+(Plan!$I$5:$I$126="A+B"))*(Plan!$K$5:$K$126&lt;CE$5)*(Plan!$L$5:$L$126&gt;=CE$5))=0,"",INDEX(Plan!$A$5:$A$126,SUMPRODUCT(((Plan!$I$5:$I$126="B")+(Plan!$I$5:$I$126="A+B"))*(Plan!$K$5:$K$126&lt;CE$5)*(Plan!$L$5:$L$126&gt;=CE$5)*(ROW(Plan!$A$5:$A$126)-4))))</f>
        <v/>
      </c>
      <c r="CF7" s="26">
        <f>IF(SUMPRODUCT(((Plan!$I$5:$I$126="B")+(Plan!$I$5:$I$126="A+B"))*(Plan!$K$5:$K$126&lt;CF$5)*(Plan!$L$5:$L$126&gt;=CF$5))=0,"",INDEX(Plan!$A$5:$A$126,SUMPRODUCT(((Plan!$I$5:$I$126="B")+(Plan!$I$5:$I$126="A+B"))*(Plan!$K$5:$K$126&lt;CF$5)*(Plan!$L$5:$L$126&gt;=CF$5)*(ROW(Plan!$A$5:$A$126)-4))))</f>
        <v/>
      </c>
      <c r="CG7" s="26">
        <f>IF(SUMPRODUCT(((Plan!$I$5:$I$126="B")+(Plan!$I$5:$I$126="A+B"))*(Plan!$K$5:$K$126&lt;CG$5)*(Plan!$L$5:$L$126&gt;=CG$5))=0,"",INDEX(Plan!$A$5:$A$126,SUMPRODUCT(((Plan!$I$5:$I$126="B")+(Plan!$I$5:$I$126="A+B"))*(Plan!$K$5:$K$126&lt;CG$5)*(Plan!$L$5:$L$126&gt;=CG$5)*(ROW(Plan!$A$5:$A$126)-4))))</f>
        <v/>
      </c>
      <c r="CH7" s="26">
        <f>IF(SUMPRODUCT(((Plan!$I$5:$I$126="B")+(Plan!$I$5:$I$126="A+B"))*(Plan!$K$5:$K$126&lt;CH$5)*(Plan!$L$5:$L$126&gt;=CH$5))=0,"",INDEX(Plan!$A$5:$A$126,SUMPRODUCT(((Plan!$I$5:$I$126="B")+(Plan!$I$5:$I$126="A+B"))*(Plan!$K$5:$K$126&lt;CH$5)*(Plan!$L$5:$L$126&gt;=CH$5)*(ROW(Plan!$A$5:$A$126)-4))))</f>
        <v/>
      </c>
      <c r="CI7" s="26">
        <f>IF(SUMPRODUCT(((Plan!$I$5:$I$126="B")+(Plan!$I$5:$I$126="A+B"))*(Plan!$K$5:$K$126&lt;CI$5)*(Plan!$L$5:$L$126&gt;=CI$5))=0,"",INDEX(Plan!$A$5:$A$126,SUMPRODUCT(((Plan!$I$5:$I$126="B")+(Plan!$I$5:$I$126="A+B"))*(Plan!$K$5:$K$126&lt;CI$5)*(Plan!$L$5:$L$126&gt;=CI$5)*(ROW(Plan!$A$5:$A$126)-4))))</f>
        <v/>
      </c>
      <c r="CJ7" s="26">
        <f>IF(SUMPRODUCT(((Plan!$I$5:$I$126="B")+(Plan!$I$5:$I$126="A+B"))*(Plan!$K$5:$K$126&lt;CJ$5)*(Plan!$L$5:$L$126&gt;=CJ$5))=0,"",INDEX(Plan!$A$5:$A$126,SUMPRODUCT(((Plan!$I$5:$I$126="B")+(Plan!$I$5:$I$126="A+B"))*(Plan!$K$5:$K$126&lt;CJ$5)*(Plan!$L$5:$L$126&gt;=CJ$5)*(ROW(Plan!$A$5:$A$126)-4))))</f>
        <v/>
      </c>
      <c r="CK7" s="26">
        <f>IF(SUMPRODUCT(((Plan!$I$5:$I$126="B")+(Plan!$I$5:$I$126="A+B"))*(Plan!$K$5:$K$126&lt;CK$5)*(Plan!$L$5:$L$126&gt;=CK$5))=0,"",INDEX(Plan!$A$5:$A$126,SUMPRODUCT(((Plan!$I$5:$I$126="B")+(Plan!$I$5:$I$126="A+B"))*(Plan!$K$5:$K$126&lt;CK$5)*(Plan!$L$5:$L$126&gt;=CK$5)*(ROW(Plan!$A$5:$A$126)-4))))</f>
        <v/>
      </c>
      <c r="CL7" s="26">
        <f>IF(SUMPRODUCT(((Plan!$I$5:$I$126="B")+(Plan!$I$5:$I$126="A+B"))*(Plan!$K$5:$K$126&lt;CL$5)*(Plan!$L$5:$L$126&gt;=CL$5))=0,"",INDEX(Plan!$A$5:$A$126,SUMPRODUCT(((Plan!$I$5:$I$126="B")+(Plan!$I$5:$I$126="A+B"))*(Plan!$K$5:$K$126&lt;CL$5)*(Plan!$L$5:$L$126&gt;=CL$5)*(ROW(Plan!$A$5:$A$126)-4))))</f>
        <v/>
      </c>
      <c r="CM7" s="26">
        <f>IF(SUMPRODUCT(((Plan!$I$5:$I$126="B")+(Plan!$I$5:$I$126="A+B"))*(Plan!$K$5:$K$126&lt;CM$5)*(Plan!$L$5:$L$126&gt;=CM$5))=0,"",INDEX(Plan!$A$5:$A$126,SUMPRODUCT(((Plan!$I$5:$I$126="B")+(Plan!$I$5:$I$126="A+B"))*(Plan!$K$5:$K$126&lt;CM$5)*(Plan!$L$5:$L$126&gt;=CM$5)*(ROW(Plan!$A$5:$A$126)-4))))</f>
        <v/>
      </c>
      <c r="CN7" s="26">
        <f>IF(SUMPRODUCT(((Plan!$I$5:$I$126="B")+(Plan!$I$5:$I$126="A+B"))*(Plan!$K$5:$K$126&lt;CN$5)*(Plan!$L$5:$L$126&gt;=CN$5))=0,"",INDEX(Plan!$A$5:$A$126,SUMPRODUCT(((Plan!$I$5:$I$126="B")+(Plan!$I$5:$I$126="A+B"))*(Plan!$K$5:$K$126&lt;CN$5)*(Plan!$L$5:$L$126&gt;=CN$5)*(ROW(Plan!$A$5:$A$126)-4))))</f>
        <v/>
      </c>
      <c r="CO7" s="26">
        <f>IF(SUMPRODUCT(((Plan!$I$5:$I$126="B")+(Plan!$I$5:$I$126="A+B"))*(Plan!$K$5:$K$126&lt;CO$5)*(Plan!$L$5:$L$126&gt;=CO$5))=0,"",INDEX(Plan!$A$5:$A$126,SUMPRODUCT(((Plan!$I$5:$I$126="B")+(Plan!$I$5:$I$126="A+B"))*(Plan!$K$5:$K$126&lt;CO$5)*(Plan!$L$5:$L$126&gt;=CO$5)*(ROW(Plan!$A$5:$A$126)-4))))</f>
        <v/>
      </c>
      <c r="CP7" s="26">
        <f>IF(SUMPRODUCT(((Plan!$I$5:$I$126="B")+(Plan!$I$5:$I$126="A+B"))*(Plan!$K$5:$K$126&lt;CP$5)*(Plan!$L$5:$L$126&gt;=CP$5))=0,"",INDEX(Plan!$A$5:$A$126,SUMPRODUCT(((Plan!$I$5:$I$126="B")+(Plan!$I$5:$I$126="A+B"))*(Plan!$K$5:$K$126&lt;CP$5)*(Plan!$L$5:$L$126&gt;=CP$5)*(ROW(Plan!$A$5:$A$126)-4))))</f>
        <v/>
      </c>
      <c r="CQ7" s="26">
        <f>IF(SUMPRODUCT(((Plan!$I$5:$I$126="B")+(Plan!$I$5:$I$126="A+B"))*(Plan!$K$5:$K$126&lt;CQ$5)*(Plan!$L$5:$L$126&gt;=CQ$5))=0,"",INDEX(Plan!$A$5:$A$126,SUMPRODUCT(((Plan!$I$5:$I$126="B")+(Plan!$I$5:$I$126="A+B"))*(Plan!$K$5:$K$126&lt;CQ$5)*(Plan!$L$5:$L$126&gt;=CQ$5)*(ROW(Plan!$A$5:$A$126)-4))))</f>
        <v/>
      </c>
      <c r="CR7" s="26">
        <f>IF(SUMPRODUCT(((Plan!$I$5:$I$126="B")+(Plan!$I$5:$I$126="A+B"))*(Plan!$K$5:$K$126&lt;CR$5)*(Plan!$L$5:$L$126&gt;=CR$5))=0,"",INDEX(Plan!$A$5:$A$126,SUMPRODUCT(((Plan!$I$5:$I$126="B")+(Plan!$I$5:$I$126="A+B"))*(Plan!$K$5:$K$126&lt;CR$5)*(Plan!$L$5:$L$126&gt;=CR$5)*(ROW(Plan!$A$5:$A$126)-4))))</f>
        <v/>
      </c>
      <c r="CS7" s="26">
        <f>IF(SUMPRODUCT(((Plan!$I$5:$I$126="B")+(Plan!$I$5:$I$126="A+B"))*(Plan!$K$5:$K$126&lt;CS$5)*(Plan!$L$5:$L$126&gt;=CS$5))=0,"",INDEX(Plan!$A$5:$A$126,SUMPRODUCT(((Plan!$I$5:$I$126="B")+(Plan!$I$5:$I$126="A+B"))*(Plan!$K$5:$K$126&lt;CS$5)*(Plan!$L$5:$L$126&gt;=CS$5)*(ROW(Plan!$A$5:$A$126)-4))))</f>
        <v/>
      </c>
      <c r="CT7" s="26">
        <f>IF(SUMPRODUCT(((Plan!$I$5:$I$126="B")+(Plan!$I$5:$I$126="A+B"))*(Plan!$K$5:$K$126&lt;CT$5)*(Plan!$L$5:$L$126&gt;=CT$5))=0,"",INDEX(Plan!$A$5:$A$126,SUMPRODUCT(((Plan!$I$5:$I$126="B")+(Plan!$I$5:$I$126="A+B"))*(Plan!$K$5:$K$126&lt;CT$5)*(Plan!$L$5:$L$126&gt;=CT$5)*(ROW(Plan!$A$5:$A$126)-4))))</f>
        <v/>
      </c>
      <c r="CU7" s="26">
        <f>IF(SUMPRODUCT(((Plan!$I$5:$I$126="B")+(Plan!$I$5:$I$126="A+B"))*(Plan!$K$5:$K$126&lt;CU$5)*(Plan!$L$5:$L$126&gt;=CU$5))=0,"",INDEX(Plan!$A$5:$A$126,SUMPRODUCT(((Plan!$I$5:$I$126="B")+(Plan!$I$5:$I$126="A+B"))*(Plan!$K$5:$K$126&lt;CU$5)*(Plan!$L$5:$L$126&gt;=CU$5)*(ROW(Plan!$A$5:$A$126)-4))))</f>
        <v/>
      </c>
      <c r="CV7" s="26">
        <f>IF(SUMPRODUCT(((Plan!$I$5:$I$126="B")+(Plan!$I$5:$I$126="A+B"))*(Plan!$K$5:$K$126&lt;CV$5)*(Plan!$L$5:$L$126&gt;=CV$5))=0,"",INDEX(Plan!$A$5:$A$126,SUMPRODUCT(((Plan!$I$5:$I$126="B")+(Plan!$I$5:$I$126="A+B"))*(Plan!$K$5:$K$126&lt;CV$5)*(Plan!$L$5:$L$126&gt;=CV$5)*(ROW(Plan!$A$5:$A$126)-4))))</f>
        <v/>
      </c>
      <c r="CW7" s="26">
        <f>IF(SUMPRODUCT(((Plan!$I$5:$I$126="B")+(Plan!$I$5:$I$126="A+B"))*(Plan!$K$5:$K$126&lt;CW$5)*(Plan!$L$5:$L$126&gt;=CW$5))=0,"",INDEX(Plan!$A$5:$A$126,SUMPRODUCT(((Plan!$I$5:$I$126="B")+(Plan!$I$5:$I$126="A+B"))*(Plan!$K$5:$K$126&lt;CW$5)*(Plan!$L$5:$L$126&gt;=CW$5)*(ROW(Plan!$A$5:$A$126)-4))))</f>
        <v/>
      </c>
      <c r="CX7" s="26">
        <f>IF(SUMPRODUCT(((Plan!$I$5:$I$126="B")+(Plan!$I$5:$I$126="A+B"))*(Plan!$K$5:$K$126&lt;CX$5)*(Plan!$L$5:$L$126&gt;=CX$5))=0,"",INDEX(Plan!$A$5:$A$126,SUMPRODUCT(((Plan!$I$5:$I$126="B")+(Plan!$I$5:$I$126="A+B"))*(Plan!$K$5:$K$126&lt;CX$5)*(Plan!$L$5:$L$126&gt;=CX$5)*(ROW(Plan!$A$5:$A$126)-4))))</f>
        <v/>
      </c>
      <c r="CY7" s="26">
        <f>IF(SUMPRODUCT(((Plan!$I$5:$I$126="B")+(Plan!$I$5:$I$126="A+B"))*(Plan!$K$5:$K$126&lt;CY$5)*(Plan!$L$5:$L$126&gt;=CY$5))=0,"",INDEX(Plan!$A$5:$A$126,SUMPRODUCT(((Plan!$I$5:$I$126="B")+(Plan!$I$5:$I$126="A+B"))*(Plan!$K$5:$K$126&lt;CY$5)*(Plan!$L$5:$L$126&gt;=CY$5)*(ROW(Plan!$A$5:$A$126)-4))))</f>
        <v/>
      </c>
      <c r="CZ7" s="26">
        <f>IF(SUMPRODUCT(((Plan!$I$5:$I$126="B")+(Plan!$I$5:$I$126="A+B"))*(Plan!$K$5:$K$126&lt;CZ$5)*(Plan!$L$5:$L$126&gt;=CZ$5))=0,"",INDEX(Plan!$A$5:$A$126,SUMPRODUCT(((Plan!$I$5:$I$126="B")+(Plan!$I$5:$I$126="A+B"))*(Plan!$K$5:$K$126&lt;CZ$5)*(Plan!$L$5:$L$126&gt;=CZ$5)*(ROW(Plan!$A$5:$A$126)-4))))</f>
        <v/>
      </c>
      <c r="DA7" s="26">
        <f>IF(SUMPRODUCT(((Plan!$I$5:$I$126="B")+(Plan!$I$5:$I$126="A+B"))*(Plan!$K$5:$K$126&lt;DA$5)*(Plan!$L$5:$L$126&gt;=DA$5))=0,"",INDEX(Plan!$A$5:$A$126,SUMPRODUCT(((Plan!$I$5:$I$126="B")+(Plan!$I$5:$I$126="A+B"))*(Plan!$K$5:$K$126&lt;DA$5)*(Plan!$L$5:$L$126&gt;=DA$5)*(ROW(Plan!$A$5:$A$126)-4))))</f>
        <v/>
      </c>
      <c r="DB7" s="26">
        <f>IF(SUMPRODUCT(((Plan!$I$5:$I$126="B")+(Plan!$I$5:$I$126="A+B"))*(Plan!$K$5:$K$126&lt;DB$5)*(Plan!$L$5:$L$126&gt;=DB$5))=0,"",INDEX(Plan!$A$5:$A$126,SUMPRODUCT(((Plan!$I$5:$I$126="B")+(Plan!$I$5:$I$126="A+B"))*(Plan!$K$5:$K$126&lt;DB$5)*(Plan!$L$5:$L$126&gt;=DB$5)*(ROW(Plan!$A$5:$A$126)-4))))</f>
        <v/>
      </c>
      <c r="DC7" s="26">
        <f>IF(SUMPRODUCT(((Plan!$I$5:$I$126="B")+(Plan!$I$5:$I$126="A+B"))*(Plan!$K$5:$K$126&lt;DC$5)*(Plan!$L$5:$L$126&gt;=DC$5))=0,"",INDEX(Plan!$A$5:$A$126,SUMPRODUCT(((Plan!$I$5:$I$126="B")+(Plan!$I$5:$I$126="A+B"))*(Plan!$K$5:$K$126&lt;DC$5)*(Plan!$L$5:$L$126&gt;=DC$5)*(ROW(Plan!$A$5:$A$126)-4))))</f>
        <v/>
      </c>
      <c r="DD7" s="26">
        <f>IF(SUMPRODUCT(((Plan!$I$5:$I$126="B")+(Plan!$I$5:$I$126="A+B"))*(Plan!$K$5:$K$126&lt;DD$5)*(Plan!$L$5:$L$126&gt;=DD$5))=0,"",INDEX(Plan!$A$5:$A$126,SUMPRODUCT(((Plan!$I$5:$I$126="B")+(Plan!$I$5:$I$126="A+B"))*(Plan!$K$5:$K$126&lt;DD$5)*(Plan!$L$5:$L$126&gt;=DD$5)*(ROW(Plan!$A$5:$A$126)-4))))</f>
        <v/>
      </c>
      <c r="DE7" s="26">
        <f>IF(SUMPRODUCT(((Plan!$I$5:$I$126="B")+(Plan!$I$5:$I$126="A+B"))*(Plan!$K$5:$K$126&lt;DE$5)*(Plan!$L$5:$L$126&gt;=DE$5))=0,"",INDEX(Plan!$A$5:$A$126,SUMPRODUCT(((Plan!$I$5:$I$126="B")+(Plan!$I$5:$I$126="A+B"))*(Plan!$K$5:$K$126&lt;DE$5)*(Plan!$L$5:$L$126&gt;=DE$5)*(ROW(Plan!$A$5:$A$126)-4))))</f>
        <v/>
      </c>
      <c r="DF7" s="26">
        <f>IF(SUMPRODUCT(((Plan!$I$5:$I$126="B")+(Plan!$I$5:$I$126="A+B"))*(Plan!$K$5:$K$126&lt;DF$5)*(Plan!$L$5:$L$126&gt;=DF$5))=0,"",INDEX(Plan!$A$5:$A$126,SUMPRODUCT(((Plan!$I$5:$I$126="B")+(Plan!$I$5:$I$126="A+B"))*(Plan!$K$5:$K$126&lt;DF$5)*(Plan!$L$5:$L$126&gt;=DF$5)*(ROW(Plan!$A$5:$A$126)-4))))</f>
        <v/>
      </c>
      <c r="DG7" s="26">
        <f>IF(SUMPRODUCT(((Plan!$I$5:$I$126="B")+(Plan!$I$5:$I$126="A+B"))*(Plan!$K$5:$K$126&lt;DG$5)*(Plan!$L$5:$L$126&gt;=DG$5))=0,"",INDEX(Plan!$A$5:$A$126,SUMPRODUCT(((Plan!$I$5:$I$126="B")+(Plan!$I$5:$I$126="A+B"))*(Plan!$K$5:$K$126&lt;DG$5)*(Plan!$L$5:$L$126&gt;=DG$5)*(ROW(Plan!$A$5:$A$126)-4))))</f>
        <v/>
      </c>
      <c r="DH7" s="26">
        <f>IF(SUMPRODUCT(((Plan!$I$5:$I$126="B")+(Plan!$I$5:$I$126="A+B"))*(Plan!$K$5:$K$126&lt;DH$5)*(Plan!$L$5:$L$126&gt;=DH$5))=0,"",INDEX(Plan!$A$5:$A$126,SUMPRODUCT(((Plan!$I$5:$I$126="B")+(Plan!$I$5:$I$126="A+B"))*(Plan!$K$5:$K$126&lt;DH$5)*(Plan!$L$5:$L$126&gt;=DH$5)*(ROW(Plan!$A$5:$A$126)-4))))</f>
        <v/>
      </c>
      <c r="DI7" s="26">
        <f>IF(SUMPRODUCT(((Plan!$I$5:$I$126="B")+(Plan!$I$5:$I$126="A+B"))*(Plan!$K$5:$K$126&lt;DI$5)*(Plan!$L$5:$L$126&gt;=DI$5))=0,"",INDEX(Plan!$A$5:$A$126,SUMPRODUCT(((Plan!$I$5:$I$126="B")+(Plan!$I$5:$I$126="A+B"))*(Plan!$K$5:$K$126&lt;DI$5)*(Plan!$L$5:$L$126&gt;=DI$5)*(ROW(Plan!$A$5:$A$126)-4))))</f>
        <v/>
      </c>
      <c r="DJ7" s="26">
        <f>IF(SUMPRODUCT(((Plan!$I$5:$I$126="B")+(Plan!$I$5:$I$126="A+B"))*(Plan!$K$5:$K$126&lt;DJ$5)*(Plan!$L$5:$L$126&gt;=DJ$5))=0,"",INDEX(Plan!$A$5:$A$126,SUMPRODUCT(((Plan!$I$5:$I$126="B")+(Plan!$I$5:$I$126="A+B"))*(Plan!$K$5:$K$126&lt;DJ$5)*(Plan!$L$5:$L$126&gt;=DJ$5)*(ROW(Plan!$A$5:$A$126)-4))))</f>
        <v/>
      </c>
      <c r="DK7" s="26">
        <f>IF(SUMPRODUCT(((Plan!$I$5:$I$126="B")+(Plan!$I$5:$I$126="A+B"))*(Plan!$K$5:$K$126&lt;DK$5)*(Plan!$L$5:$L$126&gt;=DK$5))=0,"",INDEX(Plan!$A$5:$A$126,SUMPRODUCT(((Plan!$I$5:$I$126="B")+(Plan!$I$5:$I$126="A+B"))*(Plan!$K$5:$K$126&lt;DK$5)*(Plan!$L$5:$L$126&gt;=DK$5)*(ROW(Plan!$A$5:$A$126)-4))))</f>
        <v/>
      </c>
      <c r="DL7" s="26">
        <f>IF(SUMPRODUCT(((Plan!$I$5:$I$126="B")+(Plan!$I$5:$I$126="A+B"))*(Plan!$K$5:$K$126&lt;DL$5)*(Plan!$L$5:$L$126&gt;=DL$5))=0,"",INDEX(Plan!$A$5:$A$126,SUMPRODUCT(((Plan!$I$5:$I$126="B")+(Plan!$I$5:$I$126="A+B"))*(Plan!$K$5:$K$126&lt;DL$5)*(Plan!$L$5:$L$126&gt;=DL$5)*(ROW(Plan!$A$5:$A$126)-4))))</f>
        <v/>
      </c>
      <c r="DM7" s="26">
        <f>IF(SUMPRODUCT(((Plan!$I$5:$I$126="B")+(Plan!$I$5:$I$126="A+B"))*(Plan!$K$5:$K$126&lt;DM$5)*(Plan!$L$5:$L$126&gt;=DM$5))=0,"",INDEX(Plan!$A$5:$A$126,SUMPRODUCT(((Plan!$I$5:$I$126="B")+(Plan!$I$5:$I$126="A+B"))*(Plan!$K$5:$K$126&lt;DM$5)*(Plan!$L$5:$L$126&gt;=DM$5)*(ROW(Plan!$A$5:$A$126)-4))))</f>
        <v/>
      </c>
      <c r="DN7" s="26">
        <f>IF(SUMPRODUCT(((Plan!$I$5:$I$126="B")+(Plan!$I$5:$I$126="A+B"))*(Plan!$K$5:$K$126&lt;DN$5)*(Plan!$L$5:$L$126&gt;=DN$5))=0,"",INDEX(Plan!$A$5:$A$126,SUMPRODUCT(((Plan!$I$5:$I$126="B")+(Plan!$I$5:$I$126="A+B"))*(Plan!$K$5:$K$126&lt;DN$5)*(Plan!$L$5:$L$126&gt;=DN$5)*(ROW(Plan!$A$5:$A$126)-4))))</f>
        <v/>
      </c>
      <c r="DO7" s="26">
        <f>IF(SUMPRODUCT(((Plan!$I$5:$I$126="B")+(Plan!$I$5:$I$126="A+B"))*(Plan!$K$5:$K$126&lt;DO$5)*(Plan!$L$5:$L$126&gt;=DO$5))=0,"",INDEX(Plan!$A$5:$A$126,SUMPRODUCT(((Plan!$I$5:$I$126="B")+(Plan!$I$5:$I$126="A+B"))*(Plan!$K$5:$K$126&lt;DO$5)*(Plan!$L$5:$L$126&gt;=DO$5)*(ROW(Plan!$A$5:$A$126)-4))))</f>
        <v/>
      </c>
      <c r="DP7" s="26">
        <f>IF(SUMPRODUCT(((Plan!$I$5:$I$126="B")+(Plan!$I$5:$I$126="A+B"))*(Plan!$K$5:$K$126&lt;DP$5)*(Plan!$L$5:$L$126&gt;=DP$5))=0,"",INDEX(Plan!$A$5:$A$126,SUMPRODUCT(((Plan!$I$5:$I$126="B")+(Plan!$I$5:$I$126="A+B"))*(Plan!$K$5:$K$126&lt;DP$5)*(Plan!$L$5:$L$126&gt;=DP$5)*(ROW(Plan!$A$5:$A$126)-4))))</f>
        <v/>
      </c>
      <c r="DQ7" s="26">
        <f>IF(SUMPRODUCT(((Plan!$I$5:$I$126="B")+(Plan!$I$5:$I$126="A+B"))*(Plan!$K$5:$K$126&lt;DQ$5)*(Plan!$L$5:$L$126&gt;=DQ$5))=0,"",INDEX(Plan!$A$5:$A$126,SUMPRODUCT(((Plan!$I$5:$I$126="B")+(Plan!$I$5:$I$126="A+B"))*(Plan!$K$5:$K$126&lt;DQ$5)*(Plan!$L$5:$L$126&gt;=DQ$5)*(ROW(Plan!$A$5:$A$126)-4))))</f>
        <v/>
      </c>
      <c r="DR7" s="26">
        <f>IF(SUMPRODUCT(((Plan!$I$5:$I$126="B")+(Plan!$I$5:$I$126="A+B"))*(Plan!$K$5:$K$126&lt;DR$5)*(Plan!$L$5:$L$126&gt;=DR$5))=0,"",INDEX(Plan!$A$5:$A$126,SUMPRODUCT(((Plan!$I$5:$I$126="B")+(Plan!$I$5:$I$126="A+B"))*(Plan!$K$5:$K$126&lt;DR$5)*(Plan!$L$5:$L$126&gt;=DR$5)*(ROW(Plan!$A$5:$A$126)-4))))</f>
        <v/>
      </c>
      <c r="DS7" s="26">
        <f>IF(SUMPRODUCT(((Plan!$I$5:$I$126="B")+(Plan!$I$5:$I$126="A+B"))*(Plan!$K$5:$K$126&lt;DS$5)*(Plan!$L$5:$L$126&gt;=DS$5))=0,"",INDEX(Plan!$A$5:$A$126,SUMPRODUCT(((Plan!$I$5:$I$126="B")+(Plan!$I$5:$I$126="A+B"))*(Plan!$K$5:$K$126&lt;DS$5)*(Plan!$L$5:$L$126&gt;=DS$5)*(ROW(Plan!$A$5:$A$126)-4))))</f>
        <v/>
      </c>
      <c r="DT7" s="26">
        <f>IF(SUMPRODUCT(((Plan!$I$5:$I$126="B")+(Plan!$I$5:$I$126="A+B"))*(Plan!$K$5:$K$126&lt;DT$5)*(Plan!$L$5:$L$126&gt;=DT$5))=0,"",INDEX(Plan!$A$5:$A$126,SUMPRODUCT(((Plan!$I$5:$I$126="B")+(Plan!$I$5:$I$126="A+B"))*(Plan!$K$5:$K$126&lt;DT$5)*(Plan!$L$5:$L$126&gt;=DT$5)*(ROW(Plan!$A$5:$A$126)-4))))</f>
        <v/>
      </c>
      <c r="DU7" s="26">
        <f>IF(SUMPRODUCT(((Plan!$I$5:$I$126="B")+(Plan!$I$5:$I$126="A+B"))*(Plan!$K$5:$K$126&lt;DU$5)*(Plan!$L$5:$L$126&gt;=DU$5))=0,"",INDEX(Plan!$A$5:$A$126,SUMPRODUCT(((Plan!$I$5:$I$126="B")+(Plan!$I$5:$I$126="A+B"))*(Plan!$K$5:$K$126&lt;DU$5)*(Plan!$L$5:$L$126&gt;=DU$5)*(ROW(Plan!$A$5:$A$126)-4))))</f>
        <v/>
      </c>
      <c r="DV7" s="26">
        <f>IF(SUMPRODUCT(((Plan!$I$5:$I$126="B")+(Plan!$I$5:$I$126="A+B"))*(Plan!$K$5:$K$126&lt;DV$5)*(Plan!$L$5:$L$126&gt;=DV$5))=0,"",INDEX(Plan!$A$5:$A$126,SUMPRODUCT(((Plan!$I$5:$I$126="B")+(Plan!$I$5:$I$126="A+B"))*(Plan!$K$5:$K$126&lt;DV$5)*(Plan!$L$5:$L$126&gt;=DV$5)*(ROW(Plan!$A$5:$A$126)-4))))</f>
        <v/>
      </c>
      <c r="DW7" s="26">
        <f>IF(SUMPRODUCT(((Plan!$I$5:$I$126="B")+(Plan!$I$5:$I$126="A+B"))*(Plan!$K$5:$K$126&lt;DW$5)*(Plan!$L$5:$L$126&gt;=DW$5))=0,"",INDEX(Plan!$A$5:$A$126,SUMPRODUCT(((Plan!$I$5:$I$126="B")+(Plan!$I$5:$I$126="A+B"))*(Plan!$K$5:$K$126&lt;DW$5)*(Plan!$L$5:$L$126&gt;=DW$5)*(ROW(Plan!$A$5:$A$126)-4))))</f>
        <v/>
      </c>
      <c r="DX7" s="26">
        <f>IF(SUMPRODUCT(((Plan!$I$5:$I$126="B")+(Plan!$I$5:$I$126="A+B"))*(Plan!$K$5:$K$126&lt;DX$5)*(Plan!$L$5:$L$126&gt;=DX$5))=0,"",INDEX(Plan!$A$5:$A$126,SUMPRODUCT(((Plan!$I$5:$I$126="B")+(Plan!$I$5:$I$126="A+B"))*(Plan!$K$5:$K$126&lt;DX$5)*(Plan!$L$5:$L$126&gt;=DX$5)*(ROW(Plan!$A$5:$A$126)-4))))</f>
        <v/>
      </c>
      <c r="DY7" s="26">
        <f>IF(SUMPRODUCT(((Plan!$I$5:$I$126="B")+(Plan!$I$5:$I$126="A+B"))*(Plan!$K$5:$K$126&lt;DY$5)*(Plan!$L$5:$L$126&gt;=DY$5))=0,"",INDEX(Plan!$A$5:$A$126,SUMPRODUCT(((Plan!$I$5:$I$126="B")+(Plan!$I$5:$I$126="A+B"))*(Plan!$K$5:$K$126&lt;DY$5)*(Plan!$L$5:$L$126&gt;=DY$5)*(ROW(Plan!$A$5:$A$126)-4))))</f>
        <v/>
      </c>
      <c r="DZ7" s="26">
        <f>IF(SUMPRODUCT(((Plan!$I$5:$I$126="B")+(Plan!$I$5:$I$126="A+B"))*(Plan!$K$5:$K$126&lt;DZ$5)*(Plan!$L$5:$L$126&gt;=DZ$5))=0,"",INDEX(Plan!$A$5:$A$126,SUMPRODUCT(((Plan!$I$5:$I$126="B")+(Plan!$I$5:$I$126="A+B"))*(Plan!$K$5:$K$126&lt;DZ$5)*(Plan!$L$5:$L$126&gt;=DZ$5)*(ROW(Plan!$A$5:$A$126)-4))))</f>
        <v/>
      </c>
      <c r="EA7" s="26">
        <f>IF(SUMPRODUCT(((Plan!$I$5:$I$126="B")+(Plan!$I$5:$I$126="A+B"))*(Plan!$K$5:$K$126&lt;EA$5)*(Plan!$L$5:$L$126&gt;=EA$5))=0,"",INDEX(Plan!$A$5:$A$126,SUMPRODUCT(((Plan!$I$5:$I$126="B")+(Plan!$I$5:$I$126="A+B"))*(Plan!$K$5:$K$126&lt;EA$5)*(Plan!$L$5:$L$126&gt;=EA$5)*(ROW(Plan!$A$5:$A$126)-4))))</f>
        <v/>
      </c>
      <c r="EB7" s="26">
        <f>IF(SUMPRODUCT(((Plan!$I$5:$I$126="B")+(Plan!$I$5:$I$126="A+B"))*(Plan!$K$5:$K$126&lt;EB$5)*(Plan!$L$5:$L$126&gt;=EB$5))=0,"",INDEX(Plan!$A$5:$A$126,SUMPRODUCT(((Plan!$I$5:$I$126="B")+(Plan!$I$5:$I$126="A+B"))*(Plan!$K$5:$K$126&lt;EB$5)*(Plan!$L$5:$L$126&gt;=EB$5)*(ROW(Plan!$A$5:$A$126)-4))))</f>
        <v/>
      </c>
      <c r="EC7" s="26">
        <f>IF(SUMPRODUCT(((Plan!$I$5:$I$126="B")+(Plan!$I$5:$I$126="A+B"))*(Plan!$K$5:$K$126&lt;EC$5)*(Plan!$L$5:$L$126&gt;=EC$5))=0,"",INDEX(Plan!$A$5:$A$126,SUMPRODUCT(((Plan!$I$5:$I$126="B")+(Plan!$I$5:$I$126="A+B"))*(Plan!$K$5:$K$126&lt;EC$5)*(Plan!$L$5:$L$126&gt;=EC$5)*(ROW(Plan!$A$5:$A$126)-4))))</f>
        <v/>
      </c>
      <c r="ED7" s="26">
        <f>IF(SUMPRODUCT(((Plan!$I$5:$I$126="B")+(Plan!$I$5:$I$126="A+B"))*(Plan!$K$5:$K$126&lt;ED$5)*(Plan!$L$5:$L$126&gt;=ED$5))=0,"",INDEX(Plan!$A$5:$A$126,SUMPRODUCT(((Plan!$I$5:$I$126="B")+(Plan!$I$5:$I$126="A+B"))*(Plan!$K$5:$K$126&lt;ED$5)*(Plan!$L$5:$L$126&gt;=ED$5)*(ROW(Plan!$A$5:$A$126)-4))))</f>
        <v/>
      </c>
      <c r="EE7" s="26">
        <f>IF(SUMPRODUCT(((Plan!$I$5:$I$126="B")+(Plan!$I$5:$I$126="A+B"))*(Plan!$K$5:$K$126&lt;EE$5)*(Plan!$L$5:$L$126&gt;=EE$5))=0,"",INDEX(Plan!$A$5:$A$126,SUMPRODUCT(((Plan!$I$5:$I$126="B")+(Plan!$I$5:$I$126="A+B"))*(Plan!$K$5:$K$126&lt;EE$5)*(Plan!$L$5:$L$126&gt;=EE$5)*(ROW(Plan!$A$5:$A$126)-4))))</f>
        <v/>
      </c>
      <c r="EF7" s="26">
        <f>IF(SUMPRODUCT(((Plan!$I$5:$I$126="B")+(Plan!$I$5:$I$126="A+B"))*(Plan!$K$5:$K$126&lt;EF$5)*(Plan!$L$5:$L$126&gt;=EF$5))=0,"",INDEX(Plan!$A$5:$A$126,SUMPRODUCT(((Plan!$I$5:$I$126="B")+(Plan!$I$5:$I$126="A+B"))*(Plan!$K$5:$K$126&lt;EF$5)*(Plan!$L$5:$L$126&gt;=EF$5)*(ROW(Plan!$A$5:$A$126)-4))))</f>
        <v/>
      </c>
      <c r="EG7" s="26">
        <f>IF(SUMPRODUCT(((Plan!$I$5:$I$126="B")+(Plan!$I$5:$I$126="A+B"))*(Plan!$K$5:$K$126&lt;EG$5)*(Plan!$L$5:$L$126&gt;=EG$5))=0,"",INDEX(Plan!$A$5:$A$126,SUMPRODUCT(((Plan!$I$5:$I$126="B")+(Plan!$I$5:$I$126="A+B"))*(Plan!$K$5:$K$126&lt;EG$5)*(Plan!$L$5:$L$126&gt;=EG$5)*(ROW(Plan!$A$5:$A$126)-4))))</f>
        <v/>
      </c>
      <c r="EH7" s="26">
        <f>IF(SUMPRODUCT(((Plan!$I$5:$I$126="B")+(Plan!$I$5:$I$126="A+B"))*(Plan!$K$5:$K$126&lt;EH$5)*(Plan!$L$5:$L$126&gt;=EH$5))=0,"",INDEX(Plan!$A$5:$A$126,SUMPRODUCT(((Plan!$I$5:$I$126="B")+(Plan!$I$5:$I$126="A+B"))*(Plan!$K$5:$K$126&lt;EH$5)*(Plan!$L$5:$L$126&gt;=EH$5)*(ROW(Plan!$A$5:$A$126)-4))))</f>
        <v/>
      </c>
      <c r="EI7" s="26">
        <f>IF(SUMPRODUCT(((Plan!$I$5:$I$126="B")+(Plan!$I$5:$I$126="A+B"))*(Plan!$K$5:$K$126&lt;EI$5)*(Plan!$L$5:$L$126&gt;=EI$5))=0,"",INDEX(Plan!$A$5:$A$126,SUMPRODUCT(((Plan!$I$5:$I$126="B")+(Plan!$I$5:$I$126="A+B"))*(Plan!$K$5:$K$126&lt;EI$5)*(Plan!$L$5:$L$126&gt;=EI$5)*(ROW(Plan!$A$5:$A$126)-4))))</f>
        <v/>
      </c>
      <c r="EJ7" s="26">
        <f>IF(SUMPRODUCT(((Plan!$I$5:$I$126="B")+(Plan!$I$5:$I$126="A+B"))*(Plan!$K$5:$K$126&lt;EJ$5)*(Plan!$L$5:$L$126&gt;=EJ$5))=0,"",INDEX(Plan!$A$5:$A$126,SUMPRODUCT(((Plan!$I$5:$I$126="B")+(Plan!$I$5:$I$126="A+B"))*(Plan!$K$5:$K$126&lt;EJ$5)*(Plan!$L$5:$L$126&gt;=EJ$5)*(ROW(Plan!$A$5:$A$126)-4))))</f>
        <v/>
      </c>
      <c r="EK7" s="26">
        <f>IF(SUMPRODUCT(((Plan!$I$5:$I$126="B")+(Plan!$I$5:$I$126="A+B"))*(Plan!$K$5:$K$126&lt;EK$5)*(Plan!$L$5:$L$126&gt;=EK$5))=0,"",INDEX(Plan!$A$5:$A$126,SUMPRODUCT(((Plan!$I$5:$I$126="B")+(Plan!$I$5:$I$126="A+B"))*(Plan!$K$5:$K$126&lt;EK$5)*(Plan!$L$5:$L$126&gt;=EK$5)*(ROW(Plan!$A$5:$A$126)-4))))</f>
        <v/>
      </c>
      <c r="EL7" s="26">
        <f>IF(SUMPRODUCT(((Plan!$I$5:$I$126="B")+(Plan!$I$5:$I$126="A+B"))*(Plan!$K$5:$K$126&lt;EL$5)*(Plan!$L$5:$L$126&gt;=EL$5))=0,"",INDEX(Plan!$A$5:$A$126,SUMPRODUCT(((Plan!$I$5:$I$126="B")+(Plan!$I$5:$I$126="A+B"))*(Plan!$K$5:$K$126&lt;EL$5)*(Plan!$L$5:$L$126&gt;=EL$5)*(ROW(Plan!$A$5:$A$126)-4))))</f>
        <v/>
      </c>
      <c r="EM7" s="26">
        <f>IF(SUMPRODUCT(((Plan!$I$5:$I$126="B")+(Plan!$I$5:$I$126="A+B"))*(Plan!$K$5:$K$126&lt;EM$5)*(Plan!$L$5:$L$126&gt;=EM$5))=0,"",INDEX(Plan!$A$5:$A$126,SUMPRODUCT(((Plan!$I$5:$I$126="B")+(Plan!$I$5:$I$126="A+B"))*(Plan!$K$5:$K$126&lt;EM$5)*(Plan!$L$5:$L$126&gt;=EM$5)*(ROW(Plan!$A$5:$A$126)-4))))</f>
        <v/>
      </c>
      <c r="EN7" s="26">
        <f>IF(SUMPRODUCT(((Plan!$I$5:$I$126="B")+(Plan!$I$5:$I$126="A+B"))*(Plan!$K$5:$K$126&lt;EN$5)*(Plan!$L$5:$L$126&gt;=EN$5))=0,"",INDEX(Plan!$A$5:$A$126,SUMPRODUCT(((Plan!$I$5:$I$126="B")+(Plan!$I$5:$I$126="A+B"))*(Plan!$K$5:$K$126&lt;EN$5)*(Plan!$L$5:$L$126&gt;=EN$5)*(ROW(Plan!$A$5:$A$126)-4))))</f>
        <v/>
      </c>
      <c r="EO7" s="26">
        <f>IF(SUMPRODUCT(((Plan!$I$5:$I$126="B")+(Plan!$I$5:$I$126="A+B"))*(Plan!$K$5:$K$126&lt;EO$5)*(Plan!$L$5:$L$126&gt;=EO$5))=0,"",INDEX(Plan!$A$5:$A$126,SUMPRODUCT(((Plan!$I$5:$I$126="B")+(Plan!$I$5:$I$126="A+B"))*(Plan!$K$5:$K$126&lt;EO$5)*(Plan!$L$5:$L$126&gt;=EO$5)*(ROW(Plan!$A$5:$A$126)-4))))</f>
        <v/>
      </c>
      <c r="EP7" s="26">
        <f>IF(SUMPRODUCT(((Plan!$I$5:$I$126="B")+(Plan!$I$5:$I$126="A+B"))*(Plan!$K$5:$K$126&lt;EP$5)*(Plan!$L$5:$L$126&gt;=EP$5))=0,"",INDEX(Plan!$A$5:$A$126,SUMPRODUCT(((Plan!$I$5:$I$126="B")+(Plan!$I$5:$I$126="A+B"))*(Plan!$K$5:$K$126&lt;EP$5)*(Plan!$L$5:$L$126&gt;=EP$5)*(ROW(Plan!$A$5:$A$126)-4))))</f>
        <v/>
      </c>
      <c r="EQ7" s="26">
        <f>IF(SUMPRODUCT(((Plan!$I$5:$I$126="B")+(Plan!$I$5:$I$126="A+B"))*(Plan!$K$5:$K$126&lt;EQ$5)*(Plan!$L$5:$L$126&gt;=EQ$5))=0,"",INDEX(Plan!$A$5:$A$126,SUMPRODUCT(((Plan!$I$5:$I$126="B")+(Plan!$I$5:$I$126="A+B"))*(Plan!$K$5:$K$126&lt;EQ$5)*(Plan!$L$5:$L$126&gt;=EQ$5)*(ROW(Plan!$A$5:$A$126)-4))))</f>
        <v/>
      </c>
    </row>
    <row r="8"/>
    <row r="9">
      <c r="A9" s="27" t="inlineStr">
        <is>
          <t>Fase 1. Diseño y arquitectura</t>
        </is>
      </c>
      <c r="B9" s="28" t="n"/>
      <c r="C9" s="28" t="n"/>
      <c r="D9" s="28" t="n"/>
      <c r="E9" s="29">
        <f>SUMPRODUCT(MIN((Plan!$B$5:$B$126="1. Diseño y arquitectura")*Plan!$K$5:$K$126+(Plan!$B$5:$B$126&lt;&gt;"1. Diseño y arquitectura")*1E9))</f>
        <v/>
      </c>
      <c r="F9" s="29">
        <f>SUMPRODUCT(MAX((Plan!$B$5:$B$126="1. Diseño y arquitectura")*Plan!$L$5:$L$126))</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c r="DX10" s="34">
        <f>IF(AND(DX$5&gt;$E10,DX$5&lt;=$F10),IF(DX$5=$E10+1,$C10,""),"")</f>
        <v/>
      </c>
      <c r="DY10" s="34">
        <f>IF(AND(DY$5&gt;$E10,DY$5&lt;=$F10),IF(DY$5=$E10+1,$C10,""),"")</f>
        <v/>
      </c>
      <c r="DZ10" s="34">
        <f>IF(AND(DZ$5&gt;$E10,DZ$5&lt;=$F10),IF(DZ$5=$E10+1,$C10,""),"")</f>
        <v/>
      </c>
      <c r="EA10" s="34">
        <f>IF(AND(EA$5&gt;$E10,EA$5&lt;=$F10),IF(EA$5=$E10+1,$C10,""),"")</f>
        <v/>
      </c>
      <c r="EB10" s="34">
        <f>IF(AND(EB$5&gt;$E10,EB$5&lt;=$F10),IF(EB$5=$E10+1,$C10,""),"")</f>
        <v/>
      </c>
      <c r="EC10" s="34">
        <f>IF(AND(EC$5&gt;$E10,EC$5&lt;=$F10),IF(EC$5=$E10+1,$C10,""),"")</f>
        <v/>
      </c>
      <c r="ED10" s="34">
        <f>IF(AND(ED$5&gt;$E10,ED$5&lt;=$F10),IF(ED$5=$E10+1,$C10,""),"")</f>
        <v/>
      </c>
      <c r="EE10" s="34">
        <f>IF(AND(EE$5&gt;$E10,EE$5&lt;=$F10),IF(EE$5=$E10+1,$C10,""),"")</f>
        <v/>
      </c>
      <c r="EF10" s="34">
        <f>IF(AND(EF$5&gt;$E10,EF$5&lt;=$F10),IF(EF$5=$E10+1,$C10,""),"")</f>
        <v/>
      </c>
      <c r="EG10" s="34">
        <f>IF(AND(EG$5&gt;$E10,EG$5&lt;=$F10),IF(EG$5=$E10+1,$C10,""),"")</f>
        <v/>
      </c>
      <c r="EH10" s="34">
        <f>IF(AND(EH$5&gt;$E10,EH$5&lt;=$F10),IF(EH$5=$E10+1,$C10,""),"")</f>
        <v/>
      </c>
      <c r="EI10" s="34">
        <f>IF(AND(EI$5&gt;$E10,EI$5&lt;=$F10),IF(EI$5=$E10+1,$C10,""),"")</f>
        <v/>
      </c>
      <c r="EJ10" s="34">
        <f>IF(AND(EJ$5&gt;$E10,EJ$5&lt;=$F10),IF(EJ$5=$E10+1,$C10,""),"")</f>
        <v/>
      </c>
      <c r="EK10" s="34">
        <f>IF(AND(EK$5&gt;$E10,EK$5&lt;=$F10),IF(EK$5=$E10+1,$C10,""),"")</f>
        <v/>
      </c>
      <c r="EL10" s="34">
        <f>IF(AND(EL$5&gt;$E10,EL$5&lt;=$F10),IF(EL$5=$E10+1,$C10,""),"")</f>
        <v/>
      </c>
      <c r="EM10" s="34">
        <f>IF(AND(EM$5&gt;$E10,EM$5&lt;=$F10),IF(EM$5=$E10+1,$C10,""),"")</f>
        <v/>
      </c>
      <c r="EN10" s="34">
        <f>IF(AND(EN$5&gt;$E10,EN$5&lt;=$F10),IF(EN$5=$E10+1,$C10,""),"")</f>
        <v/>
      </c>
      <c r="EO10" s="34">
        <f>IF(AND(EO$5&gt;$E10,EO$5&lt;=$F10),IF(EO$5=$E10+1,$C10,""),"")</f>
        <v/>
      </c>
      <c r="EP10" s="34">
        <f>IF(AND(EP$5&gt;$E10,EP$5&lt;=$F10),IF(EP$5=$E10+1,$C10,""),"")</f>
        <v/>
      </c>
      <c r="EQ10" s="34">
        <f>IF(AND(EQ$5&gt;$E10,EQ$5&lt;=$F10),IF(EQ$5=$E10+1,$C10,""),"")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c r="DX11" s="34">
        <f>IF(AND(DX$5&gt;$E11,DX$5&lt;=$F11),IF(DX$5=$E11+1,$C11,""),"")</f>
        <v/>
      </c>
      <c r="DY11" s="34">
        <f>IF(AND(DY$5&gt;$E11,DY$5&lt;=$F11),IF(DY$5=$E11+1,$C11,""),"")</f>
        <v/>
      </c>
      <c r="DZ11" s="34">
        <f>IF(AND(DZ$5&gt;$E11,DZ$5&lt;=$F11),IF(DZ$5=$E11+1,$C11,""),"")</f>
        <v/>
      </c>
      <c r="EA11" s="34">
        <f>IF(AND(EA$5&gt;$E11,EA$5&lt;=$F11),IF(EA$5=$E11+1,$C11,""),"")</f>
        <v/>
      </c>
      <c r="EB11" s="34">
        <f>IF(AND(EB$5&gt;$E11,EB$5&lt;=$F11),IF(EB$5=$E11+1,$C11,""),"")</f>
        <v/>
      </c>
      <c r="EC11" s="34">
        <f>IF(AND(EC$5&gt;$E11,EC$5&lt;=$F11),IF(EC$5=$E11+1,$C11,""),"")</f>
        <v/>
      </c>
      <c r="ED11" s="34">
        <f>IF(AND(ED$5&gt;$E11,ED$5&lt;=$F11),IF(ED$5=$E11+1,$C11,""),"")</f>
        <v/>
      </c>
      <c r="EE11" s="34">
        <f>IF(AND(EE$5&gt;$E11,EE$5&lt;=$F11),IF(EE$5=$E11+1,$C11,""),"")</f>
        <v/>
      </c>
      <c r="EF11" s="34">
        <f>IF(AND(EF$5&gt;$E11,EF$5&lt;=$F11),IF(EF$5=$E11+1,$C11,""),"")</f>
        <v/>
      </c>
      <c r="EG11" s="34">
        <f>IF(AND(EG$5&gt;$E11,EG$5&lt;=$F11),IF(EG$5=$E11+1,$C11,""),"")</f>
        <v/>
      </c>
      <c r="EH11" s="34">
        <f>IF(AND(EH$5&gt;$E11,EH$5&lt;=$F11),IF(EH$5=$E11+1,$C11,""),"")</f>
        <v/>
      </c>
      <c r="EI11" s="34">
        <f>IF(AND(EI$5&gt;$E11,EI$5&lt;=$F11),IF(EI$5=$E11+1,$C11,""),"")</f>
        <v/>
      </c>
      <c r="EJ11" s="34">
        <f>IF(AND(EJ$5&gt;$E11,EJ$5&lt;=$F11),IF(EJ$5=$E11+1,$C11,""),"")</f>
        <v/>
      </c>
      <c r="EK11" s="34">
        <f>IF(AND(EK$5&gt;$E11,EK$5&lt;=$F11),IF(EK$5=$E11+1,$C11,""),"")</f>
        <v/>
      </c>
      <c r="EL11" s="34">
        <f>IF(AND(EL$5&gt;$E11,EL$5&lt;=$F11),IF(EL$5=$E11+1,$C11,""),"")</f>
        <v/>
      </c>
      <c r="EM11" s="34">
        <f>IF(AND(EM$5&gt;$E11,EM$5&lt;=$F11),IF(EM$5=$E11+1,$C11,""),"")</f>
        <v/>
      </c>
      <c r="EN11" s="34">
        <f>IF(AND(EN$5&gt;$E11,EN$5&lt;=$F11),IF(EN$5=$E11+1,$C11,""),"")</f>
        <v/>
      </c>
      <c r="EO11" s="34">
        <f>IF(AND(EO$5&gt;$E11,EO$5&lt;=$F11),IF(EO$5=$E11+1,$C11,""),"")</f>
        <v/>
      </c>
      <c r="EP11" s="34">
        <f>IF(AND(EP$5&gt;$E11,EP$5&lt;=$F11),IF(EP$5=$E11+1,$C11,""),"")</f>
        <v/>
      </c>
      <c r="EQ11" s="34">
        <f>IF(AND(EQ$5&gt;$E11,EQ$5&lt;=$F11),IF(EQ$5=$E11+1,$C11,""),"")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c r="DX12" s="34">
        <f>IF(AND(DX$5&gt;$E12,DX$5&lt;=$F12),IF(DX$5=$E12+1,$C12,""),"")</f>
        <v/>
      </c>
      <c r="DY12" s="34">
        <f>IF(AND(DY$5&gt;$E12,DY$5&lt;=$F12),IF(DY$5=$E12+1,$C12,""),"")</f>
        <v/>
      </c>
      <c r="DZ12" s="34">
        <f>IF(AND(DZ$5&gt;$E12,DZ$5&lt;=$F12),IF(DZ$5=$E12+1,$C12,""),"")</f>
        <v/>
      </c>
      <c r="EA12" s="34">
        <f>IF(AND(EA$5&gt;$E12,EA$5&lt;=$F12),IF(EA$5=$E12+1,$C12,""),"")</f>
        <v/>
      </c>
      <c r="EB12" s="34">
        <f>IF(AND(EB$5&gt;$E12,EB$5&lt;=$F12),IF(EB$5=$E12+1,$C12,""),"")</f>
        <v/>
      </c>
      <c r="EC12" s="34">
        <f>IF(AND(EC$5&gt;$E12,EC$5&lt;=$F12),IF(EC$5=$E12+1,$C12,""),"")</f>
        <v/>
      </c>
      <c r="ED12" s="34">
        <f>IF(AND(ED$5&gt;$E12,ED$5&lt;=$F12),IF(ED$5=$E12+1,$C12,""),"")</f>
        <v/>
      </c>
      <c r="EE12" s="34">
        <f>IF(AND(EE$5&gt;$E12,EE$5&lt;=$F12),IF(EE$5=$E12+1,$C12,""),"")</f>
        <v/>
      </c>
      <c r="EF12" s="34">
        <f>IF(AND(EF$5&gt;$E12,EF$5&lt;=$F12),IF(EF$5=$E12+1,$C12,""),"")</f>
        <v/>
      </c>
      <c r="EG12" s="34">
        <f>IF(AND(EG$5&gt;$E12,EG$5&lt;=$F12),IF(EG$5=$E12+1,$C12,""),"")</f>
        <v/>
      </c>
      <c r="EH12" s="34">
        <f>IF(AND(EH$5&gt;$E12,EH$5&lt;=$F12),IF(EH$5=$E12+1,$C12,""),"")</f>
        <v/>
      </c>
      <c r="EI12" s="34">
        <f>IF(AND(EI$5&gt;$E12,EI$5&lt;=$F12),IF(EI$5=$E12+1,$C12,""),"")</f>
        <v/>
      </c>
      <c r="EJ12" s="34">
        <f>IF(AND(EJ$5&gt;$E12,EJ$5&lt;=$F12),IF(EJ$5=$E12+1,$C12,""),"")</f>
        <v/>
      </c>
      <c r="EK12" s="34">
        <f>IF(AND(EK$5&gt;$E12,EK$5&lt;=$F12),IF(EK$5=$E12+1,$C12,""),"")</f>
        <v/>
      </c>
      <c r="EL12" s="34">
        <f>IF(AND(EL$5&gt;$E12,EL$5&lt;=$F12),IF(EL$5=$E12+1,$C12,""),"")</f>
        <v/>
      </c>
      <c r="EM12" s="34">
        <f>IF(AND(EM$5&gt;$E12,EM$5&lt;=$F12),IF(EM$5=$E12+1,$C12,""),"")</f>
        <v/>
      </c>
      <c r="EN12" s="34">
        <f>IF(AND(EN$5&gt;$E12,EN$5&lt;=$F12),IF(EN$5=$E12+1,$C12,""),"")</f>
        <v/>
      </c>
      <c r="EO12" s="34">
        <f>IF(AND(EO$5&gt;$E12,EO$5&lt;=$F12),IF(EO$5=$E12+1,$C12,""),"")</f>
        <v/>
      </c>
      <c r="EP12" s="34">
        <f>IF(AND(EP$5&gt;$E12,EP$5&lt;=$F12),IF(EP$5=$E12+1,$C12,""),"")</f>
        <v/>
      </c>
      <c r="EQ12" s="34">
        <f>IF(AND(EQ$5&gt;$E12,EQ$5&lt;=$F12),IF(EQ$5=$E12+1,$C12,""),"")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c r="DX13" s="34">
        <f>IF(AND(DX$5&gt;$E13,DX$5&lt;=$F13),IF(DX$5=$E13+1,$C13,""),"")</f>
        <v/>
      </c>
      <c r="DY13" s="34">
        <f>IF(AND(DY$5&gt;$E13,DY$5&lt;=$F13),IF(DY$5=$E13+1,$C13,""),"")</f>
        <v/>
      </c>
      <c r="DZ13" s="34">
        <f>IF(AND(DZ$5&gt;$E13,DZ$5&lt;=$F13),IF(DZ$5=$E13+1,$C13,""),"")</f>
        <v/>
      </c>
      <c r="EA13" s="34">
        <f>IF(AND(EA$5&gt;$E13,EA$5&lt;=$F13),IF(EA$5=$E13+1,$C13,""),"")</f>
        <v/>
      </c>
      <c r="EB13" s="34">
        <f>IF(AND(EB$5&gt;$E13,EB$5&lt;=$F13),IF(EB$5=$E13+1,$C13,""),"")</f>
        <v/>
      </c>
      <c r="EC13" s="34">
        <f>IF(AND(EC$5&gt;$E13,EC$5&lt;=$F13),IF(EC$5=$E13+1,$C13,""),"")</f>
        <v/>
      </c>
      <c r="ED13" s="34">
        <f>IF(AND(ED$5&gt;$E13,ED$5&lt;=$F13),IF(ED$5=$E13+1,$C13,""),"")</f>
        <v/>
      </c>
      <c r="EE13" s="34">
        <f>IF(AND(EE$5&gt;$E13,EE$5&lt;=$F13),IF(EE$5=$E13+1,$C13,""),"")</f>
        <v/>
      </c>
      <c r="EF13" s="34">
        <f>IF(AND(EF$5&gt;$E13,EF$5&lt;=$F13),IF(EF$5=$E13+1,$C13,""),"")</f>
        <v/>
      </c>
      <c r="EG13" s="34">
        <f>IF(AND(EG$5&gt;$E13,EG$5&lt;=$F13),IF(EG$5=$E13+1,$C13,""),"")</f>
        <v/>
      </c>
      <c r="EH13" s="34">
        <f>IF(AND(EH$5&gt;$E13,EH$5&lt;=$F13),IF(EH$5=$E13+1,$C13,""),"")</f>
        <v/>
      </c>
      <c r="EI13" s="34">
        <f>IF(AND(EI$5&gt;$E13,EI$5&lt;=$F13),IF(EI$5=$E13+1,$C13,""),"")</f>
        <v/>
      </c>
      <c r="EJ13" s="34">
        <f>IF(AND(EJ$5&gt;$E13,EJ$5&lt;=$F13),IF(EJ$5=$E13+1,$C13,""),"")</f>
        <v/>
      </c>
      <c r="EK13" s="34">
        <f>IF(AND(EK$5&gt;$E13,EK$5&lt;=$F13),IF(EK$5=$E13+1,$C13,""),"")</f>
        <v/>
      </c>
      <c r="EL13" s="34">
        <f>IF(AND(EL$5&gt;$E13,EL$5&lt;=$F13),IF(EL$5=$E13+1,$C13,""),"")</f>
        <v/>
      </c>
      <c r="EM13" s="34">
        <f>IF(AND(EM$5&gt;$E13,EM$5&lt;=$F13),IF(EM$5=$E13+1,$C13,""),"")</f>
        <v/>
      </c>
      <c r="EN13" s="34">
        <f>IF(AND(EN$5&gt;$E13,EN$5&lt;=$F13),IF(EN$5=$E13+1,$C13,""),"")</f>
        <v/>
      </c>
      <c r="EO13" s="34">
        <f>IF(AND(EO$5&gt;$E13,EO$5&lt;=$F13),IF(EO$5=$E13+1,$C13,""),"")</f>
        <v/>
      </c>
      <c r="EP13" s="34">
        <f>IF(AND(EP$5&gt;$E13,EP$5&lt;=$F13),IF(EP$5=$E13+1,$C13,""),"")</f>
        <v/>
      </c>
      <c r="EQ13" s="34">
        <f>IF(AND(EQ$5&gt;$E13,EQ$5&lt;=$F13),IF(EQ$5=$E13+1,$C13,""),"")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c r="DX14" s="34">
        <f>IF(AND(DX$5&gt;$E14,DX$5&lt;=$F14),IF(DX$5=$E14+1,$C14,""),"")</f>
        <v/>
      </c>
      <c r="DY14" s="34">
        <f>IF(AND(DY$5&gt;$E14,DY$5&lt;=$F14),IF(DY$5=$E14+1,$C14,""),"")</f>
        <v/>
      </c>
      <c r="DZ14" s="34">
        <f>IF(AND(DZ$5&gt;$E14,DZ$5&lt;=$F14),IF(DZ$5=$E14+1,$C14,""),"")</f>
        <v/>
      </c>
      <c r="EA14" s="34">
        <f>IF(AND(EA$5&gt;$E14,EA$5&lt;=$F14),IF(EA$5=$E14+1,$C14,""),"")</f>
        <v/>
      </c>
      <c r="EB14" s="34">
        <f>IF(AND(EB$5&gt;$E14,EB$5&lt;=$F14),IF(EB$5=$E14+1,$C14,""),"")</f>
        <v/>
      </c>
      <c r="EC14" s="34">
        <f>IF(AND(EC$5&gt;$E14,EC$5&lt;=$F14),IF(EC$5=$E14+1,$C14,""),"")</f>
        <v/>
      </c>
      <c r="ED14" s="34">
        <f>IF(AND(ED$5&gt;$E14,ED$5&lt;=$F14),IF(ED$5=$E14+1,$C14,""),"")</f>
        <v/>
      </c>
      <c r="EE14" s="34">
        <f>IF(AND(EE$5&gt;$E14,EE$5&lt;=$F14),IF(EE$5=$E14+1,$C14,""),"")</f>
        <v/>
      </c>
      <c r="EF14" s="34">
        <f>IF(AND(EF$5&gt;$E14,EF$5&lt;=$F14),IF(EF$5=$E14+1,$C14,""),"")</f>
        <v/>
      </c>
      <c r="EG14" s="34">
        <f>IF(AND(EG$5&gt;$E14,EG$5&lt;=$F14),IF(EG$5=$E14+1,$C14,""),"")</f>
        <v/>
      </c>
      <c r="EH14" s="34">
        <f>IF(AND(EH$5&gt;$E14,EH$5&lt;=$F14),IF(EH$5=$E14+1,$C14,""),"")</f>
        <v/>
      </c>
      <c r="EI14" s="34">
        <f>IF(AND(EI$5&gt;$E14,EI$5&lt;=$F14),IF(EI$5=$E14+1,$C14,""),"")</f>
        <v/>
      </c>
      <c r="EJ14" s="34">
        <f>IF(AND(EJ$5&gt;$E14,EJ$5&lt;=$F14),IF(EJ$5=$E14+1,$C14,""),"")</f>
        <v/>
      </c>
      <c r="EK14" s="34">
        <f>IF(AND(EK$5&gt;$E14,EK$5&lt;=$F14),IF(EK$5=$E14+1,$C14,""),"")</f>
        <v/>
      </c>
      <c r="EL14" s="34">
        <f>IF(AND(EL$5&gt;$E14,EL$5&lt;=$F14),IF(EL$5=$E14+1,$C14,""),"")</f>
        <v/>
      </c>
      <c r="EM14" s="34">
        <f>IF(AND(EM$5&gt;$E14,EM$5&lt;=$F14),IF(EM$5=$E14+1,$C14,""),"")</f>
        <v/>
      </c>
      <c r="EN14" s="34">
        <f>IF(AND(EN$5&gt;$E14,EN$5&lt;=$F14),IF(EN$5=$E14+1,$C14,""),"")</f>
        <v/>
      </c>
      <c r="EO14" s="34">
        <f>IF(AND(EO$5&gt;$E14,EO$5&lt;=$F14),IF(EO$5=$E14+1,$C14,""),"")</f>
        <v/>
      </c>
      <c r="EP14" s="34">
        <f>IF(AND(EP$5&gt;$E14,EP$5&lt;=$F14),IF(EP$5=$E14+1,$C14,""),"")</f>
        <v/>
      </c>
      <c r="EQ14" s="34">
        <f>IF(AND(EQ$5&gt;$E14,EQ$5&lt;=$F14),IF(EQ$5=$E14+1,$C14,""),"")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c r="DX15" s="34">
        <f>IF(AND(DX$5&gt;$E15,DX$5&lt;=$F15),IF(DX$5=$E15+1,$C15,""),"")</f>
        <v/>
      </c>
      <c r="DY15" s="34">
        <f>IF(AND(DY$5&gt;$E15,DY$5&lt;=$F15),IF(DY$5=$E15+1,$C15,""),"")</f>
        <v/>
      </c>
      <c r="DZ15" s="34">
        <f>IF(AND(DZ$5&gt;$E15,DZ$5&lt;=$F15),IF(DZ$5=$E15+1,$C15,""),"")</f>
        <v/>
      </c>
      <c r="EA15" s="34">
        <f>IF(AND(EA$5&gt;$E15,EA$5&lt;=$F15),IF(EA$5=$E15+1,$C15,""),"")</f>
        <v/>
      </c>
      <c r="EB15" s="34">
        <f>IF(AND(EB$5&gt;$E15,EB$5&lt;=$F15),IF(EB$5=$E15+1,$C15,""),"")</f>
        <v/>
      </c>
      <c r="EC15" s="34">
        <f>IF(AND(EC$5&gt;$E15,EC$5&lt;=$F15),IF(EC$5=$E15+1,$C15,""),"")</f>
        <v/>
      </c>
      <c r="ED15" s="34">
        <f>IF(AND(ED$5&gt;$E15,ED$5&lt;=$F15),IF(ED$5=$E15+1,$C15,""),"")</f>
        <v/>
      </c>
      <c r="EE15" s="34">
        <f>IF(AND(EE$5&gt;$E15,EE$5&lt;=$F15),IF(EE$5=$E15+1,$C15,""),"")</f>
        <v/>
      </c>
      <c r="EF15" s="34">
        <f>IF(AND(EF$5&gt;$E15,EF$5&lt;=$F15),IF(EF$5=$E15+1,$C15,""),"")</f>
        <v/>
      </c>
      <c r="EG15" s="34">
        <f>IF(AND(EG$5&gt;$E15,EG$5&lt;=$F15),IF(EG$5=$E15+1,$C15,""),"")</f>
        <v/>
      </c>
      <c r="EH15" s="34">
        <f>IF(AND(EH$5&gt;$E15,EH$5&lt;=$F15),IF(EH$5=$E15+1,$C15,""),"")</f>
        <v/>
      </c>
      <c r="EI15" s="34">
        <f>IF(AND(EI$5&gt;$E15,EI$5&lt;=$F15),IF(EI$5=$E15+1,$C15,""),"")</f>
        <v/>
      </c>
      <c r="EJ15" s="34">
        <f>IF(AND(EJ$5&gt;$E15,EJ$5&lt;=$F15),IF(EJ$5=$E15+1,$C15,""),"")</f>
        <v/>
      </c>
      <c r="EK15" s="34">
        <f>IF(AND(EK$5&gt;$E15,EK$5&lt;=$F15),IF(EK$5=$E15+1,$C15,""),"")</f>
        <v/>
      </c>
      <c r="EL15" s="34">
        <f>IF(AND(EL$5&gt;$E15,EL$5&lt;=$F15),IF(EL$5=$E15+1,$C15,""),"")</f>
        <v/>
      </c>
      <c r="EM15" s="34">
        <f>IF(AND(EM$5&gt;$E15,EM$5&lt;=$F15),IF(EM$5=$E15+1,$C15,""),"")</f>
        <v/>
      </c>
      <c r="EN15" s="34">
        <f>IF(AND(EN$5&gt;$E15,EN$5&lt;=$F15),IF(EN$5=$E15+1,$C15,""),"")</f>
        <v/>
      </c>
      <c r="EO15" s="34">
        <f>IF(AND(EO$5&gt;$E15,EO$5&lt;=$F15),IF(EO$5=$E15+1,$C15,""),"")</f>
        <v/>
      </c>
      <c r="EP15" s="34">
        <f>IF(AND(EP$5&gt;$E15,EP$5&lt;=$F15),IF(EP$5=$E15+1,$C15,""),"")</f>
        <v/>
      </c>
      <c r="EQ15" s="34">
        <f>IF(AND(EQ$5&gt;$E15,EQ$5&lt;=$F15),IF(EQ$5=$E15+1,$C15,""),"")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c r="DX16" s="34">
        <f>IF(AND(DX$5&gt;$E16,DX$5&lt;=$F16),IF(DX$5=$E16+1,$C16,""),"")</f>
        <v/>
      </c>
      <c r="DY16" s="34">
        <f>IF(AND(DY$5&gt;$E16,DY$5&lt;=$F16),IF(DY$5=$E16+1,$C16,""),"")</f>
        <v/>
      </c>
      <c r="DZ16" s="34">
        <f>IF(AND(DZ$5&gt;$E16,DZ$5&lt;=$F16),IF(DZ$5=$E16+1,$C16,""),"")</f>
        <v/>
      </c>
      <c r="EA16" s="34">
        <f>IF(AND(EA$5&gt;$E16,EA$5&lt;=$F16),IF(EA$5=$E16+1,$C16,""),"")</f>
        <v/>
      </c>
      <c r="EB16" s="34">
        <f>IF(AND(EB$5&gt;$E16,EB$5&lt;=$F16),IF(EB$5=$E16+1,$C16,""),"")</f>
        <v/>
      </c>
      <c r="EC16" s="34">
        <f>IF(AND(EC$5&gt;$E16,EC$5&lt;=$F16),IF(EC$5=$E16+1,$C16,""),"")</f>
        <v/>
      </c>
      <c r="ED16" s="34">
        <f>IF(AND(ED$5&gt;$E16,ED$5&lt;=$F16),IF(ED$5=$E16+1,$C16,""),"")</f>
        <v/>
      </c>
      <c r="EE16" s="34">
        <f>IF(AND(EE$5&gt;$E16,EE$5&lt;=$F16),IF(EE$5=$E16+1,$C16,""),"")</f>
        <v/>
      </c>
      <c r="EF16" s="34">
        <f>IF(AND(EF$5&gt;$E16,EF$5&lt;=$F16),IF(EF$5=$E16+1,$C16,""),"")</f>
        <v/>
      </c>
      <c r="EG16" s="34">
        <f>IF(AND(EG$5&gt;$E16,EG$5&lt;=$F16),IF(EG$5=$E16+1,$C16,""),"")</f>
        <v/>
      </c>
      <c r="EH16" s="34">
        <f>IF(AND(EH$5&gt;$E16,EH$5&lt;=$F16),IF(EH$5=$E16+1,$C16,""),"")</f>
        <v/>
      </c>
      <c r="EI16" s="34">
        <f>IF(AND(EI$5&gt;$E16,EI$5&lt;=$F16),IF(EI$5=$E16+1,$C16,""),"")</f>
        <v/>
      </c>
      <c r="EJ16" s="34">
        <f>IF(AND(EJ$5&gt;$E16,EJ$5&lt;=$F16),IF(EJ$5=$E16+1,$C16,""),"")</f>
        <v/>
      </c>
      <c r="EK16" s="34">
        <f>IF(AND(EK$5&gt;$E16,EK$5&lt;=$F16),IF(EK$5=$E16+1,$C16,""),"")</f>
        <v/>
      </c>
      <c r="EL16" s="34">
        <f>IF(AND(EL$5&gt;$E16,EL$5&lt;=$F16),IF(EL$5=$E16+1,$C16,""),"")</f>
        <v/>
      </c>
      <c r="EM16" s="34">
        <f>IF(AND(EM$5&gt;$E16,EM$5&lt;=$F16),IF(EM$5=$E16+1,$C16,""),"")</f>
        <v/>
      </c>
      <c r="EN16" s="34">
        <f>IF(AND(EN$5&gt;$E16,EN$5&lt;=$F16),IF(EN$5=$E16+1,$C16,""),"")</f>
        <v/>
      </c>
      <c r="EO16" s="34">
        <f>IF(AND(EO$5&gt;$E16,EO$5&lt;=$F16),IF(EO$5=$E16+1,$C16,""),"")</f>
        <v/>
      </c>
      <c r="EP16" s="34">
        <f>IF(AND(EP$5&gt;$E16,EP$5&lt;=$F16),IF(EP$5=$E16+1,$C16,""),"")</f>
        <v/>
      </c>
      <c r="EQ16" s="34">
        <f>IF(AND(EQ$5&gt;$E16,EQ$5&lt;=$F16),IF(EQ$5=$E16+1,$C16,""),"")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c r="DX17" s="34">
        <f>IF(AND(DX$5&gt;$E17,DX$5&lt;=$F17),IF(DX$5=$E17+1,$C17,""),"")</f>
        <v/>
      </c>
      <c r="DY17" s="34">
        <f>IF(AND(DY$5&gt;$E17,DY$5&lt;=$F17),IF(DY$5=$E17+1,$C17,""),"")</f>
        <v/>
      </c>
      <c r="DZ17" s="34">
        <f>IF(AND(DZ$5&gt;$E17,DZ$5&lt;=$F17),IF(DZ$5=$E17+1,$C17,""),"")</f>
        <v/>
      </c>
      <c r="EA17" s="34">
        <f>IF(AND(EA$5&gt;$E17,EA$5&lt;=$F17),IF(EA$5=$E17+1,$C17,""),"")</f>
        <v/>
      </c>
      <c r="EB17" s="34">
        <f>IF(AND(EB$5&gt;$E17,EB$5&lt;=$F17),IF(EB$5=$E17+1,$C17,""),"")</f>
        <v/>
      </c>
      <c r="EC17" s="34">
        <f>IF(AND(EC$5&gt;$E17,EC$5&lt;=$F17),IF(EC$5=$E17+1,$C17,""),"")</f>
        <v/>
      </c>
      <c r="ED17" s="34">
        <f>IF(AND(ED$5&gt;$E17,ED$5&lt;=$F17),IF(ED$5=$E17+1,$C17,""),"")</f>
        <v/>
      </c>
      <c r="EE17" s="34">
        <f>IF(AND(EE$5&gt;$E17,EE$5&lt;=$F17),IF(EE$5=$E17+1,$C17,""),"")</f>
        <v/>
      </c>
      <c r="EF17" s="34">
        <f>IF(AND(EF$5&gt;$E17,EF$5&lt;=$F17),IF(EF$5=$E17+1,$C17,""),"")</f>
        <v/>
      </c>
      <c r="EG17" s="34">
        <f>IF(AND(EG$5&gt;$E17,EG$5&lt;=$F17),IF(EG$5=$E17+1,$C17,""),"")</f>
        <v/>
      </c>
      <c r="EH17" s="34">
        <f>IF(AND(EH$5&gt;$E17,EH$5&lt;=$F17),IF(EH$5=$E17+1,$C17,""),"")</f>
        <v/>
      </c>
      <c r="EI17" s="34">
        <f>IF(AND(EI$5&gt;$E17,EI$5&lt;=$F17),IF(EI$5=$E17+1,$C17,""),"")</f>
        <v/>
      </c>
      <c r="EJ17" s="34">
        <f>IF(AND(EJ$5&gt;$E17,EJ$5&lt;=$F17),IF(EJ$5=$E17+1,$C17,""),"")</f>
        <v/>
      </c>
      <c r="EK17" s="34">
        <f>IF(AND(EK$5&gt;$E17,EK$5&lt;=$F17),IF(EK$5=$E17+1,$C17,""),"")</f>
        <v/>
      </c>
      <c r="EL17" s="34">
        <f>IF(AND(EL$5&gt;$E17,EL$5&lt;=$F17),IF(EL$5=$E17+1,$C17,""),"")</f>
        <v/>
      </c>
      <c r="EM17" s="34">
        <f>IF(AND(EM$5&gt;$E17,EM$5&lt;=$F17),IF(EM$5=$E17+1,$C17,""),"")</f>
        <v/>
      </c>
      <c r="EN17" s="34">
        <f>IF(AND(EN$5&gt;$E17,EN$5&lt;=$F17),IF(EN$5=$E17+1,$C17,""),"")</f>
        <v/>
      </c>
      <c r="EO17" s="34">
        <f>IF(AND(EO$5&gt;$E17,EO$5&lt;=$F17),IF(EO$5=$E17+1,$C17,""),"")</f>
        <v/>
      </c>
      <c r="EP17" s="34">
        <f>IF(AND(EP$5&gt;$E17,EP$5&lt;=$F17),IF(EP$5=$E17+1,$C17,""),"")</f>
        <v/>
      </c>
      <c r="EQ17" s="34">
        <f>IF(AND(EQ$5&gt;$E17,EQ$5&lt;=$F17),IF(EQ$5=$E17+1,$C17,""),"")</f>
        <v/>
      </c>
    </row>
    <row r="18">
      <c r="A18" s="27" t="inlineStr">
        <is>
          <t>Fase 2. Landing y autenticación</t>
        </is>
      </c>
      <c r="B18" s="28" t="n"/>
      <c r="C18" s="28" t="n"/>
      <c r="D18" s="28" t="n"/>
      <c r="E18" s="29">
        <f>SUMPRODUCT(MIN((Plan!$B$5:$B$126="2. Landing y autenticación")*Plan!$K$5:$K$126+(Plan!$B$5:$B$126&lt;&gt;"2. Landing y autenticación")*1E9))</f>
        <v/>
      </c>
      <c r="F18" s="29">
        <f>SUMPRODUCT(MAX((Plan!$B$5:$B$126="2. Landing y autenticación")*Plan!$L$5:$L$126))</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c r="DX19" s="34">
        <f>IF(AND(DX$5&gt;$E19,DX$5&lt;=$F19),IF(DX$5=$E19+1,$C19,""),"")</f>
        <v/>
      </c>
      <c r="DY19" s="34">
        <f>IF(AND(DY$5&gt;$E19,DY$5&lt;=$F19),IF(DY$5=$E19+1,$C19,""),"")</f>
        <v/>
      </c>
      <c r="DZ19" s="34">
        <f>IF(AND(DZ$5&gt;$E19,DZ$5&lt;=$F19),IF(DZ$5=$E19+1,$C19,""),"")</f>
        <v/>
      </c>
      <c r="EA19" s="34">
        <f>IF(AND(EA$5&gt;$E19,EA$5&lt;=$F19),IF(EA$5=$E19+1,$C19,""),"")</f>
        <v/>
      </c>
      <c r="EB19" s="34">
        <f>IF(AND(EB$5&gt;$E19,EB$5&lt;=$F19),IF(EB$5=$E19+1,$C19,""),"")</f>
        <v/>
      </c>
      <c r="EC19" s="34">
        <f>IF(AND(EC$5&gt;$E19,EC$5&lt;=$F19),IF(EC$5=$E19+1,$C19,""),"")</f>
        <v/>
      </c>
      <c r="ED19" s="34">
        <f>IF(AND(ED$5&gt;$E19,ED$5&lt;=$F19),IF(ED$5=$E19+1,$C19,""),"")</f>
        <v/>
      </c>
      <c r="EE19" s="34">
        <f>IF(AND(EE$5&gt;$E19,EE$5&lt;=$F19),IF(EE$5=$E19+1,$C19,""),"")</f>
        <v/>
      </c>
      <c r="EF19" s="34">
        <f>IF(AND(EF$5&gt;$E19,EF$5&lt;=$F19),IF(EF$5=$E19+1,$C19,""),"")</f>
        <v/>
      </c>
      <c r="EG19" s="34">
        <f>IF(AND(EG$5&gt;$E19,EG$5&lt;=$F19),IF(EG$5=$E19+1,$C19,""),"")</f>
        <v/>
      </c>
      <c r="EH19" s="34">
        <f>IF(AND(EH$5&gt;$E19,EH$5&lt;=$F19),IF(EH$5=$E19+1,$C19,""),"")</f>
        <v/>
      </c>
      <c r="EI19" s="34">
        <f>IF(AND(EI$5&gt;$E19,EI$5&lt;=$F19),IF(EI$5=$E19+1,$C19,""),"")</f>
        <v/>
      </c>
      <c r="EJ19" s="34">
        <f>IF(AND(EJ$5&gt;$E19,EJ$5&lt;=$F19),IF(EJ$5=$E19+1,$C19,""),"")</f>
        <v/>
      </c>
      <c r="EK19" s="34">
        <f>IF(AND(EK$5&gt;$E19,EK$5&lt;=$F19),IF(EK$5=$E19+1,$C19,""),"")</f>
        <v/>
      </c>
      <c r="EL19" s="34">
        <f>IF(AND(EL$5&gt;$E19,EL$5&lt;=$F19),IF(EL$5=$E19+1,$C19,""),"")</f>
        <v/>
      </c>
      <c r="EM19" s="34">
        <f>IF(AND(EM$5&gt;$E19,EM$5&lt;=$F19),IF(EM$5=$E19+1,$C19,""),"")</f>
        <v/>
      </c>
      <c r="EN19" s="34">
        <f>IF(AND(EN$5&gt;$E19,EN$5&lt;=$F19),IF(EN$5=$E19+1,$C19,""),"")</f>
        <v/>
      </c>
      <c r="EO19" s="34">
        <f>IF(AND(EO$5&gt;$E19,EO$5&lt;=$F19),IF(EO$5=$E19+1,$C19,""),"")</f>
        <v/>
      </c>
      <c r="EP19" s="34">
        <f>IF(AND(EP$5&gt;$E19,EP$5&lt;=$F19),IF(EP$5=$E19+1,$C19,""),"")</f>
        <v/>
      </c>
      <c r="EQ19" s="34">
        <f>IF(AND(EQ$5&gt;$E19,EQ$5&lt;=$F19),IF(EQ$5=$E19+1,$C19,""),"")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c r="DX20" s="34">
        <f>IF(AND(DX$5&gt;$E20,DX$5&lt;=$F20),IF(DX$5=$E20+1,$C20,""),"")</f>
        <v/>
      </c>
      <c r="DY20" s="34">
        <f>IF(AND(DY$5&gt;$E20,DY$5&lt;=$F20),IF(DY$5=$E20+1,$C20,""),"")</f>
        <v/>
      </c>
      <c r="DZ20" s="34">
        <f>IF(AND(DZ$5&gt;$E20,DZ$5&lt;=$F20),IF(DZ$5=$E20+1,$C20,""),"")</f>
        <v/>
      </c>
      <c r="EA20" s="34">
        <f>IF(AND(EA$5&gt;$E20,EA$5&lt;=$F20),IF(EA$5=$E20+1,$C20,""),"")</f>
        <v/>
      </c>
      <c r="EB20" s="34">
        <f>IF(AND(EB$5&gt;$E20,EB$5&lt;=$F20),IF(EB$5=$E20+1,$C20,""),"")</f>
        <v/>
      </c>
      <c r="EC20" s="34">
        <f>IF(AND(EC$5&gt;$E20,EC$5&lt;=$F20),IF(EC$5=$E20+1,$C20,""),"")</f>
        <v/>
      </c>
      <c r="ED20" s="34">
        <f>IF(AND(ED$5&gt;$E20,ED$5&lt;=$F20),IF(ED$5=$E20+1,$C20,""),"")</f>
        <v/>
      </c>
      <c r="EE20" s="34">
        <f>IF(AND(EE$5&gt;$E20,EE$5&lt;=$F20),IF(EE$5=$E20+1,$C20,""),"")</f>
        <v/>
      </c>
      <c r="EF20" s="34">
        <f>IF(AND(EF$5&gt;$E20,EF$5&lt;=$F20),IF(EF$5=$E20+1,$C20,""),"")</f>
        <v/>
      </c>
      <c r="EG20" s="34">
        <f>IF(AND(EG$5&gt;$E20,EG$5&lt;=$F20),IF(EG$5=$E20+1,$C20,""),"")</f>
        <v/>
      </c>
      <c r="EH20" s="34">
        <f>IF(AND(EH$5&gt;$E20,EH$5&lt;=$F20),IF(EH$5=$E20+1,$C20,""),"")</f>
        <v/>
      </c>
      <c r="EI20" s="34">
        <f>IF(AND(EI$5&gt;$E20,EI$5&lt;=$F20),IF(EI$5=$E20+1,$C20,""),"")</f>
        <v/>
      </c>
      <c r="EJ20" s="34">
        <f>IF(AND(EJ$5&gt;$E20,EJ$5&lt;=$F20),IF(EJ$5=$E20+1,$C20,""),"")</f>
        <v/>
      </c>
      <c r="EK20" s="34">
        <f>IF(AND(EK$5&gt;$E20,EK$5&lt;=$F20),IF(EK$5=$E20+1,$C20,""),"")</f>
        <v/>
      </c>
      <c r="EL20" s="34">
        <f>IF(AND(EL$5&gt;$E20,EL$5&lt;=$F20),IF(EL$5=$E20+1,$C20,""),"")</f>
        <v/>
      </c>
      <c r="EM20" s="34">
        <f>IF(AND(EM$5&gt;$E20,EM$5&lt;=$F20),IF(EM$5=$E20+1,$C20,""),"")</f>
        <v/>
      </c>
      <c r="EN20" s="34">
        <f>IF(AND(EN$5&gt;$E20,EN$5&lt;=$F20),IF(EN$5=$E20+1,$C20,""),"")</f>
        <v/>
      </c>
      <c r="EO20" s="34">
        <f>IF(AND(EO$5&gt;$E20,EO$5&lt;=$F20),IF(EO$5=$E20+1,$C20,""),"")</f>
        <v/>
      </c>
      <c r="EP20" s="34">
        <f>IF(AND(EP$5&gt;$E20,EP$5&lt;=$F20),IF(EP$5=$E20+1,$C20,""),"")</f>
        <v/>
      </c>
      <c r="EQ20" s="34">
        <f>IF(AND(EQ$5&gt;$E20,EQ$5&lt;=$F20),IF(EQ$5=$E20+1,$C20,""),"")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c r="DX21" s="34">
        <f>IF(AND(DX$5&gt;$E21,DX$5&lt;=$F21),IF(DX$5=$E21+1,$C21,""),"")</f>
        <v/>
      </c>
      <c r="DY21" s="34">
        <f>IF(AND(DY$5&gt;$E21,DY$5&lt;=$F21),IF(DY$5=$E21+1,$C21,""),"")</f>
        <v/>
      </c>
      <c r="DZ21" s="34">
        <f>IF(AND(DZ$5&gt;$E21,DZ$5&lt;=$F21),IF(DZ$5=$E21+1,$C21,""),"")</f>
        <v/>
      </c>
      <c r="EA21" s="34">
        <f>IF(AND(EA$5&gt;$E21,EA$5&lt;=$F21),IF(EA$5=$E21+1,$C21,""),"")</f>
        <v/>
      </c>
      <c r="EB21" s="34">
        <f>IF(AND(EB$5&gt;$E21,EB$5&lt;=$F21),IF(EB$5=$E21+1,$C21,""),"")</f>
        <v/>
      </c>
      <c r="EC21" s="34">
        <f>IF(AND(EC$5&gt;$E21,EC$5&lt;=$F21),IF(EC$5=$E21+1,$C21,""),"")</f>
        <v/>
      </c>
      <c r="ED21" s="34">
        <f>IF(AND(ED$5&gt;$E21,ED$5&lt;=$F21),IF(ED$5=$E21+1,$C21,""),"")</f>
        <v/>
      </c>
      <c r="EE21" s="34">
        <f>IF(AND(EE$5&gt;$E21,EE$5&lt;=$F21),IF(EE$5=$E21+1,$C21,""),"")</f>
        <v/>
      </c>
      <c r="EF21" s="34">
        <f>IF(AND(EF$5&gt;$E21,EF$5&lt;=$F21),IF(EF$5=$E21+1,$C21,""),"")</f>
        <v/>
      </c>
      <c r="EG21" s="34">
        <f>IF(AND(EG$5&gt;$E21,EG$5&lt;=$F21),IF(EG$5=$E21+1,$C21,""),"")</f>
        <v/>
      </c>
      <c r="EH21" s="34">
        <f>IF(AND(EH$5&gt;$E21,EH$5&lt;=$F21),IF(EH$5=$E21+1,$C21,""),"")</f>
        <v/>
      </c>
      <c r="EI21" s="34">
        <f>IF(AND(EI$5&gt;$E21,EI$5&lt;=$F21),IF(EI$5=$E21+1,$C21,""),"")</f>
        <v/>
      </c>
      <c r="EJ21" s="34">
        <f>IF(AND(EJ$5&gt;$E21,EJ$5&lt;=$F21),IF(EJ$5=$E21+1,$C21,""),"")</f>
        <v/>
      </c>
      <c r="EK21" s="34">
        <f>IF(AND(EK$5&gt;$E21,EK$5&lt;=$F21),IF(EK$5=$E21+1,$C21,""),"")</f>
        <v/>
      </c>
      <c r="EL21" s="34">
        <f>IF(AND(EL$5&gt;$E21,EL$5&lt;=$F21),IF(EL$5=$E21+1,$C21,""),"")</f>
        <v/>
      </c>
      <c r="EM21" s="34">
        <f>IF(AND(EM$5&gt;$E21,EM$5&lt;=$F21),IF(EM$5=$E21+1,$C21,""),"")</f>
        <v/>
      </c>
      <c r="EN21" s="34">
        <f>IF(AND(EN$5&gt;$E21,EN$5&lt;=$F21),IF(EN$5=$E21+1,$C21,""),"")</f>
        <v/>
      </c>
      <c r="EO21" s="34">
        <f>IF(AND(EO$5&gt;$E21,EO$5&lt;=$F21),IF(EO$5=$E21+1,$C21,""),"")</f>
        <v/>
      </c>
      <c r="EP21" s="34">
        <f>IF(AND(EP$5&gt;$E21,EP$5&lt;=$F21),IF(EP$5=$E21+1,$C21,""),"")</f>
        <v/>
      </c>
      <c r="EQ21" s="34">
        <f>IF(AND(EQ$5&gt;$E21,EQ$5&lt;=$F21),IF(EQ$5=$E21+1,$C21,""),"")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c r="DX22" s="34">
        <f>IF(AND(DX$5&gt;$E22,DX$5&lt;=$F22),IF(DX$5=$E22+1,$C22,""),"")</f>
        <v/>
      </c>
      <c r="DY22" s="34">
        <f>IF(AND(DY$5&gt;$E22,DY$5&lt;=$F22),IF(DY$5=$E22+1,$C22,""),"")</f>
        <v/>
      </c>
      <c r="DZ22" s="34">
        <f>IF(AND(DZ$5&gt;$E22,DZ$5&lt;=$F22),IF(DZ$5=$E22+1,$C22,""),"")</f>
        <v/>
      </c>
      <c r="EA22" s="34">
        <f>IF(AND(EA$5&gt;$E22,EA$5&lt;=$F22),IF(EA$5=$E22+1,$C22,""),"")</f>
        <v/>
      </c>
      <c r="EB22" s="34">
        <f>IF(AND(EB$5&gt;$E22,EB$5&lt;=$F22),IF(EB$5=$E22+1,$C22,""),"")</f>
        <v/>
      </c>
      <c r="EC22" s="34">
        <f>IF(AND(EC$5&gt;$E22,EC$5&lt;=$F22),IF(EC$5=$E22+1,$C22,""),"")</f>
        <v/>
      </c>
      <c r="ED22" s="34">
        <f>IF(AND(ED$5&gt;$E22,ED$5&lt;=$F22),IF(ED$5=$E22+1,$C22,""),"")</f>
        <v/>
      </c>
      <c r="EE22" s="34">
        <f>IF(AND(EE$5&gt;$E22,EE$5&lt;=$F22),IF(EE$5=$E22+1,$C22,""),"")</f>
        <v/>
      </c>
      <c r="EF22" s="34">
        <f>IF(AND(EF$5&gt;$E22,EF$5&lt;=$F22),IF(EF$5=$E22+1,$C22,""),"")</f>
        <v/>
      </c>
      <c r="EG22" s="34">
        <f>IF(AND(EG$5&gt;$E22,EG$5&lt;=$F22),IF(EG$5=$E22+1,$C22,""),"")</f>
        <v/>
      </c>
      <c r="EH22" s="34">
        <f>IF(AND(EH$5&gt;$E22,EH$5&lt;=$F22),IF(EH$5=$E22+1,$C22,""),"")</f>
        <v/>
      </c>
      <c r="EI22" s="34">
        <f>IF(AND(EI$5&gt;$E22,EI$5&lt;=$F22),IF(EI$5=$E22+1,$C22,""),"")</f>
        <v/>
      </c>
      <c r="EJ22" s="34">
        <f>IF(AND(EJ$5&gt;$E22,EJ$5&lt;=$F22),IF(EJ$5=$E22+1,$C22,""),"")</f>
        <v/>
      </c>
      <c r="EK22" s="34">
        <f>IF(AND(EK$5&gt;$E22,EK$5&lt;=$F22),IF(EK$5=$E22+1,$C22,""),"")</f>
        <v/>
      </c>
      <c r="EL22" s="34">
        <f>IF(AND(EL$5&gt;$E22,EL$5&lt;=$F22),IF(EL$5=$E22+1,$C22,""),"")</f>
        <v/>
      </c>
      <c r="EM22" s="34">
        <f>IF(AND(EM$5&gt;$E22,EM$5&lt;=$F22),IF(EM$5=$E22+1,$C22,""),"")</f>
        <v/>
      </c>
      <c r="EN22" s="34">
        <f>IF(AND(EN$5&gt;$E22,EN$5&lt;=$F22),IF(EN$5=$E22+1,$C22,""),"")</f>
        <v/>
      </c>
      <c r="EO22" s="34">
        <f>IF(AND(EO$5&gt;$E22,EO$5&lt;=$F22),IF(EO$5=$E22+1,$C22,""),"")</f>
        <v/>
      </c>
      <c r="EP22" s="34">
        <f>IF(AND(EP$5&gt;$E22,EP$5&lt;=$F22),IF(EP$5=$E22+1,$C22,""),"")</f>
        <v/>
      </c>
      <c r="EQ22" s="34">
        <f>IF(AND(EQ$5&gt;$E22,EQ$5&lt;=$F22),IF(EQ$5=$E22+1,$C22,""),"")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c r="DX23" s="34">
        <f>IF(AND(DX$5&gt;$E23,DX$5&lt;=$F23),IF(DX$5=$E23+1,$C23,""),"")</f>
        <v/>
      </c>
      <c r="DY23" s="34">
        <f>IF(AND(DY$5&gt;$E23,DY$5&lt;=$F23),IF(DY$5=$E23+1,$C23,""),"")</f>
        <v/>
      </c>
      <c r="DZ23" s="34">
        <f>IF(AND(DZ$5&gt;$E23,DZ$5&lt;=$F23),IF(DZ$5=$E23+1,$C23,""),"")</f>
        <v/>
      </c>
      <c r="EA23" s="34">
        <f>IF(AND(EA$5&gt;$E23,EA$5&lt;=$F23),IF(EA$5=$E23+1,$C23,""),"")</f>
        <v/>
      </c>
      <c r="EB23" s="34">
        <f>IF(AND(EB$5&gt;$E23,EB$5&lt;=$F23),IF(EB$5=$E23+1,$C23,""),"")</f>
        <v/>
      </c>
      <c r="EC23" s="34">
        <f>IF(AND(EC$5&gt;$E23,EC$5&lt;=$F23),IF(EC$5=$E23+1,$C23,""),"")</f>
        <v/>
      </c>
      <c r="ED23" s="34">
        <f>IF(AND(ED$5&gt;$E23,ED$5&lt;=$F23),IF(ED$5=$E23+1,$C23,""),"")</f>
        <v/>
      </c>
      <c r="EE23" s="34">
        <f>IF(AND(EE$5&gt;$E23,EE$5&lt;=$F23),IF(EE$5=$E23+1,$C23,""),"")</f>
        <v/>
      </c>
      <c r="EF23" s="34">
        <f>IF(AND(EF$5&gt;$E23,EF$5&lt;=$F23),IF(EF$5=$E23+1,$C23,""),"")</f>
        <v/>
      </c>
      <c r="EG23" s="34">
        <f>IF(AND(EG$5&gt;$E23,EG$5&lt;=$F23),IF(EG$5=$E23+1,$C23,""),"")</f>
        <v/>
      </c>
      <c r="EH23" s="34">
        <f>IF(AND(EH$5&gt;$E23,EH$5&lt;=$F23),IF(EH$5=$E23+1,$C23,""),"")</f>
        <v/>
      </c>
      <c r="EI23" s="34">
        <f>IF(AND(EI$5&gt;$E23,EI$5&lt;=$F23),IF(EI$5=$E23+1,$C23,""),"")</f>
        <v/>
      </c>
      <c r="EJ23" s="34">
        <f>IF(AND(EJ$5&gt;$E23,EJ$5&lt;=$F23),IF(EJ$5=$E23+1,$C23,""),"")</f>
        <v/>
      </c>
      <c r="EK23" s="34">
        <f>IF(AND(EK$5&gt;$E23,EK$5&lt;=$F23),IF(EK$5=$E23+1,$C23,""),"")</f>
        <v/>
      </c>
      <c r="EL23" s="34">
        <f>IF(AND(EL$5&gt;$E23,EL$5&lt;=$F23),IF(EL$5=$E23+1,$C23,""),"")</f>
        <v/>
      </c>
      <c r="EM23" s="34">
        <f>IF(AND(EM$5&gt;$E23,EM$5&lt;=$F23),IF(EM$5=$E23+1,$C23,""),"")</f>
        <v/>
      </c>
      <c r="EN23" s="34">
        <f>IF(AND(EN$5&gt;$E23,EN$5&lt;=$F23),IF(EN$5=$E23+1,$C23,""),"")</f>
        <v/>
      </c>
      <c r="EO23" s="34">
        <f>IF(AND(EO$5&gt;$E23,EO$5&lt;=$F23),IF(EO$5=$E23+1,$C23,""),"")</f>
        <v/>
      </c>
      <c r="EP23" s="34">
        <f>IF(AND(EP$5&gt;$E23,EP$5&lt;=$F23),IF(EP$5=$E23+1,$C23,""),"")</f>
        <v/>
      </c>
      <c r="EQ23" s="34">
        <f>IF(AND(EQ$5&gt;$E23,EQ$5&lt;=$F23),IF(EQ$5=$E23+1,$C23,""),"")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c r="DX24" s="34">
        <f>IF(AND(DX$5&gt;$E24,DX$5&lt;=$F24),IF(DX$5=$E24+1,$C24,""),"")</f>
        <v/>
      </c>
      <c r="DY24" s="34">
        <f>IF(AND(DY$5&gt;$E24,DY$5&lt;=$F24),IF(DY$5=$E24+1,$C24,""),"")</f>
        <v/>
      </c>
      <c r="DZ24" s="34">
        <f>IF(AND(DZ$5&gt;$E24,DZ$5&lt;=$F24),IF(DZ$5=$E24+1,$C24,""),"")</f>
        <v/>
      </c>
      <c r="EA24" s="34">
        <f>IF(AND(EA$5&gt;$E24,EA$5&lt;=$F24),IF(EA$5=$E24+1,$C24,""),"")</f>
        <v/>
      </c>
      <c r="EB24" s="34">
        <f>IF(AND(EB$5&gt;$E24,EB$5&lt;=$F24),IF(EB$5=$E24+1,$C24,""),"")</f>
        <v/>
      </c>
      <c r="EC24" s="34">
        <f>IF(AND(EC$5&gt;$E24,EC$5&lt;=$F24),IF(EC$5=$E24+1,$C24,""),"")</f>
        <v/>
      </c>
      <c r="ED24" s="34">
        <f>IF(AND(ED$5&gt;$E24,ED$5&lt;=$F24),IF(ED$5=$E24+1,$C24,""),"")</f>
        <v/>
      </c>
      <c r="EE24" s="34">
        <f>IF(AND(EE$5&gt;$E24,EE$5&lt;=$F24),IF(EE$5=$E24+1,$C24,""),"")</f>
        <v/>
      </c>
      <c r="EF24" s="34">
        <f>IF(AND(EF$5&gt;$E24,EF$5&lt;=$F24),IF(EF$5=$E24+1,$C24,""),"")</f>
        <v/>
      </c>
      <c r="EG24" s="34">
        <f>IF(AND(EG$5&gt;$E24,EG$5&lt;=$F24),IF(EG$5=$E24+1,$C24,""),"")</f>
        <v/>
      </c>
      <c r="EH24" s="34">
        <f>IF(AND(EH$5&gt;$E24,EH$5&lt;=$F24),IF(EH$5=$E24+1,$C24,""),"")</f>
        <v/>
      </c>
      <c r="EI24" s="34">
        <f>IF(AND(EI$5&gt;$E24,EI$5&lt;=$F24),IF(EI$5=$E24+1,$C24,""),"")</f>
        <v/>
      </c>
      <c r="EJ24" s="34">
        <f>IF(AND(EJ$5&gt;$E24,EJ$5&lt;=$F24),IF(EJ$5=$E24+1,$C24,""),"")</f>
        <v/>
      </c>
      <c r="EK24" s="34">
        <f>IF(AND(EK$5&gt;$E24,EK$5&lt;=$F24),IF(EK$5=$E24+1,$C24,""),"")</f>
        <v/>
      </c>
      <c r="EL24" s="34">
        <f>IF(AND(EL$5&gt;$E24,EL$5&lt;=$F24),IF(EL$5=$E24+1,$C24,""),"")</f>
        <v/>
      </c>
      <c r="EM24" s="34">
        <f>IF(AND(EM$5&gt;$E24,EM$5&lt;=$F24),IF(EM$5=$E24+1,$C24,""),"")</f>
        <v/>
      </c>
      <c r="EN24" s="34">
        <f>IF(AND(EN$5&gt;$E24,EN$5&lt;=$F24),IF(EN$5=$E24+1,$C24,""),"")</f>
        <v/>
      </c>
      <c r="EO24" s="34">
        <f>IF(AND(EO$5&gt;$E24,EO$5&lt;=$F24),IF(EO$5=$E24+1,$C24,""),"")</f>
        <v/>
      </c>
      <c r="EP24" s="34">
        <f>IF(AND(EP$5&gt;$E24,EP$5&lt;=$F24),IF(EP$5=$E24+1,$C24,""),"")</f>
        <v/>
      </c>
      <c r="EQ24" s="34">
        <f>IF(AND(EQ$5&gt;$E24,EQ$5&lt;=$F24),IF(EQ$5=$E24+1,$C24,""),"")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c r="DX25" s="34">
        <f>IF(AND(DX$5&gt;$E25,DX$5&lt;=$F25),IF(DX$5=$E25+1,$C25,""),"")</f>
        <v/>
      </c>
      <c r="DY25" s="34">
        <f>IF(AND(DY$5&gt;$E25,DY$5&lt;=$F25),IF(DY$5=$E25+1,$C25,""),"")</f>
        <v/>
      </c>
      <c r="DZ25" s="34">
        <f>IF(AND(DZ$5&gt;$E25,DZ$5&lt;=$F25),IF(DZ$5=$E25+1,$C25,""),"")</f>
        <v/>
      </c>
      <c r="EA25" s="34">
        <f>IF(AND(EA$5&gt;$E25,EA$5&lt;=$F25),IF(EA$5=$E25+1,$C25,""),"")</f>
        <v/>
      </c>
      <c r="EB25" s="34">
        <f>IF(AND(EB$5&gt;$E25,EB$5&lt;=$F25),IF(EB$5=$E25+1,$C25,""),"")</f>
        <v/>
      </c>
      <c r="EC25" s="34">
        <f>IF(AND(EC$5&gt;$E25,EC$5&lt;=$F25),IF(EC$5=$E25+1,$C25,""),"")</f>
        <v/>
      </c>
      <c r="ED25" s="34">
        <f>IF(AND(ED$5&gt;$E25,ED$5&lt;=$F25),IF(ED$5=$E25+1,$C25,""),"")</f>
        <v/>
      </c>
      <c r="EE25" s="34">
        <f>IF(AND(EE$5&gt;$E25,EE$5&lt;=$F25),IF(EE$5=$E25+1,$C25,""),"")</f>
        <v/>
      </c>
      <c r="EF25" s="34">
        <f>IF(AND(EF$5&gt;$E25,EF$5&lt;=$F25),IF(EF$5=$E25+1,$C25,""),"")</f>
        <v/>
      </c>
      <c r="EG25" s="34">
        <f>IF(AND(EG$5&gt;$E25,EG$5&lt;=$F25),IF(EG$5=$E25+1,$C25,""),"")</f>
        <v/>
      </c>
      <c r="EH25" s="34">
        <f>IF(AND(EH$5&gt;$E25,EH$5&lt;=$F25),IF(EH$5=$E25+1,$C25,""),"")</f>
        <v/>
      </c>
      <c r="EI25" s="34">
        <f>IF(AND(EI$5&gt;$E25,EI$5&lt;=$F25),IF(EI$5=$E25+1,$C25,""),"")</f>
        <v/>
      </c>
      <c r="EJ25" s="34">
        <f>IF(AND(EJ$5&gt;$E25,EJ$5&lt;=$F25),IF(EJ$5=$E25+1,$C25,""),"")</f>
        <v/>
      </c>
      <c r="EK25" s="34">
        <f>IF(AND(EK$5&gt;$E25,EK$5&lt;=$F25),IF(EK$5=$E25+1,$C25,""),"")</f>
        <v/>
      </c>
      <c r="EL25" s="34">
        <f>IF(AND(EL$5&gt;$E25,EL$5&lt;=$F25),IF(EL$5=$E25+1,$C25,""),"")</f>
        <v/>
      </c>
      <c r="EM25" s="34">
        <f>IF(AND(EM$5&gt;$E25,EM$5&lt;=$F25),IF(EM$5=$E25+1,$C25,""),"")</f>
        <v/>
      </c>
      <c r="EN25" s="34">
        <f>IF(AND(EN$5&gt;$E25,EN$5&lt;=$F25),IF(EN$5=$E25+1,$C25,""),"")</f>
        <v/>
      </c>
      <c r="EO25" s="34">
        <f>IF(AND(EO$5&gt;$E25,EO$5&lt;=$F25),IF(EO$5=$E25+1,$C25,""),"")</f>
        <v/>
      </c>
      <c r="EP25" s="34">
        <f>IF(AND(EP$5&gt;$E25,EP$5&lt;=$F25),IF(EP$5=$E25+1,$C25,""),"")</f>
        <v/>
      </c>
      <c r="EQ25" s="34">
        <f>IF(AND(EQ$5&gt;$E25,EQ$5&lt;=$F25),IF(EQ$5=$E25+1,$C25,""),"")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c r="DX26" s="34">
        <f>IF(AND(DX$5&gt;$E26,DX$5&lt;=$F26),IF(DX$5=$E26+1,$C26,""),"")</f>
        <v/>
      </c>
      <c r="DY26" s="34">
        <f>IF(AND(DY$5&gt;$E26,DY$5&lt;=$F26),IF(DY$5=$E26+1,$C26,""),"")</f>
        <v/>
      </c>
      <c r="DZ26" s="34">
        <f>IF(AND(DZ$5&gt;$E26,DZ$5&lt;=$F26),IF(DZ$5=$E26+1,$C26,""),"")</f>
        <v/>
      </c>
      <c r="EA26" s="34">
        <f>IF(AND(EA$5&gt;$E26,EA$5&lt;=$F26),IF(EA$5=$E26+1,$C26,""),"")</f>
        <v/>
      </c>
      <c r="EB26" s="34">
        <f>IF(AND(EB$5&gt;$E26,EB$5&lt;=$F26),IF(EB$5=$E26+1,$C26,""),"")</f>
        <v/>
      </c>
      <c r="EC26" s="34">
        <f>IF(AND(EC$5&gt;$E26,EC$5&lt;=$F26),IF(EC$5=$E26+1,$C26,""),"")</f>
        <v/>
      </c>
      <c r="ED26" s="34">
        <f>IF(AND(ED$5&gt;$E26,ED$5&lt;=$F26),IF(ED$5=$E26+1,$C26,""),"")</f>
        <v/>
      </c>
      <c r="EE26" s="34">
        <f>IF(AND(EE$5&gt;$E26,EE$5&lt;=$F26),IF(EE$5=$E26+1,$C26,""),"")</f>
        <v/>
      </c>
      <c r="EF26" s="34">
        <f>IF(AND(EF$5&gt;$E26,EF$5&lt;=$F26),IF(EF$5=$E26+1,$C26,""),"")</f>
        <v/>
      </c>
      <c r="EG26" s="34">
        <f>IF(AND(EG$5&gt;$E26,EG$5&lt;=$F26),IF(EG$5=$E26+1,$C26,""),"")</f>
        <v/>
      </c>
      <c r="EH26" s="34">
        <f>IF(AND(EH$5&gt;$E26,EH$5&lt;=$F26),IF(EH$5=$E26+1,$C26,""),"")</f>
        <v/>
      </c>
      <c r="EI26" s="34">
        <f>IF(AND(EI$5&gt;$E26,EI$5&lt;=$F26),IF(EI$5=$E26+1,$C26,""),"")</f>
        <v/>
      </c>
      <c r="EJ26" s="34">
        <f>IF(AND(EJ$5&gt;$E26,EJ$5&lt;=$F26),IF(EJ$5=$E26+1,$C26,""),"")</f>
        <v/>
      </c>
      <c r="EK26" s="34">
        <f>IF(AND(EK$5&gt;$E26,EK$5&lt;=$F26),IF(EK$5=$E26+1,$C26,""),"")</f>
        <v/>
      </c>
      <c r="EL26" s="34">
        <f>IF(AND(EL$5&gt;$E26,EL$5&lt;=$F26),IF(EL$5=$E26+1,$C26,""),"")</f>
        <v/>
      </c>
      <c r="EM26" s="34">
        <f>IF(AND(EM$5&gt;$E26,EM$5&lt;=$F26),IF(EM$5=$E26+1,$C26,""),"")</f>
        <v/>
      </c>
      <c r="EN26" s="34">
        <f>IF(AND(EN$5&gt;$E26,EN$5&lt;=$F26),IF(EN$5=$E26+1,$C26,""),"")</f>
        <v/>
      </c>
      <c r="EO26" s="34">
        <f>IF(AND(EO$5&gt;$E26,EO$5&lt;=$F26),IF(EO$5=$E26+1,$C26,""),"")</f>
        <v/>
      </c>
      <c r="EP26" s="34">
        <f>IF(AND(EP$5&gt;$E26,EP$5&lt;=$F26),IF(EP$5=$E26+1,$C26,""),"")</f>
        <v/>
      </c>
      <c r="EQ26" s="34">
        <f>IF(AND(EQ$5&gt;$E26,EQ$5&lt;=$F26),IF(EQ$5=$E26+1,$C26,""),"")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c r="DX27" s="34">
        <f>IF(AND(DX$5&gt;$E27,DX$5&lt;=$F27),IF(DX$5=$E27+1,$C27,""),"")</f>
        <v/>
      </c>
      <c r="DY27" s="34">
        <f>IF(AND(DY$5&gt;$E27,DY$5&lt;=$F27),IF(DY$5=$E27+1,$C27,""),"")</f>
        <v/>
      </c>
      <c r="DZ27" s="34">
        <f>IF(AND(DZ$5&gt;$E27,DZ$5&lt;=$F27),IF(DZ$5=$E27+1,$C27,""),"")</f>
        <v/>
      </c>
      <c r="EA27" s="34">
        <f>IF(AND(EA$5&gt;$E27,EA$5&lt;=$F27),IF(EA$5=$E27+1,$C27,""),"")</f>
        <v/>
      </c>
      <c r="EB27" s="34">
        <f>IF(AND(EB$5&gt;$E27,EB$5&lt;=$F27),IF(EB$5=$E27+1,$C27,""),"")</f>
        <v/>
      </c>
      <c r="EC27" s="34">
        <f>IF(AND(EC$5&gt;$E27,EC$5&lt;=$F27),IF(EC$5=$E27+1,$C27,""),"")</f>
        <v/>
      </c>
      <c r="ED27" s="34">
        <f>IF(AND(ED$5&gt;$E27,ED$5&lt;=$F27),IF(ED$5=$E27+1,$C27,""),"")</f>
        <v/>
      </c>
      <c r="EE27" s="34">
        <f>IF(AND(EE$5&gt;$E27,EE$5&lt;=$F27),IF(EE$5=$E27+1,$C27,""),"")</f>
        <v/>
      </c>
      <c r="EF27" s="34">
        <f>IF(AND(EF$5&gt;$E27,EF$5&lt;=$F27),IF(EF$5=$E27+1,$C27,""),"")</f>
        <v/>
      </c>
      <c r="EG27" s="34">
        <f>IF(AND(EG$5&gt;$E27,EG$5&lt;=$F27),IF(EG$5=$E27+1,$C27,""),"")</f>
        <v/>
      </c>
      <c r="EH27" s="34">
        <f>IF(AND(EH$5&gt;$E27,EH$5&lt;=$F27),IF(EH$5=$E27+1,$C27,""),"")</f>
        <v/>
      </c>
      <c r="EI27" s="34">
        <f>IF(AND(EI$5&gt;$E27,EI$5&lt;=$F27),IF(EI$5=$E27+1,$C27,""),"")</f>
        <v/>
      </c>
      <c r="EJ27" s="34">
        <f>IF(AND(EJ$5&gt;$E27,EJ$5&lt;=$F27),IF(EJ$5=$E27+1,$C27,""),"")</f>
        <v/>
      </c>
      <c r="EK27" s="34">
        <f>IF(AND(EK$5&gt;$E27,EK$5&lt;=$F27),IF(EK$5=$E27+1,$C27,""),"")</f>
        <v/>
      </c>
      <c r="EL27" s="34">
        <f>IF(AND(EL$5&gt;$E27,EL$5&lt;=$F27),IF(EL$5=$E27+1,$C27,""),"")</f>
        <v/>
      </c>
      <c r="EM27" s="34">
        <f>IF(AND(EM$5&gt;$E27,EM$5&lt;=$F27),IF(EM$5=$E27+1,$C27,""),"")</f>
        <v/>
      </c>
      <c r="EN27" s="34">
        <f>IF(AND(EN$5&gt;$E27,EN$5&lt;=$F27),IF(EN$5=$E27+1,$C27,""),"")</f>
        <v/>
      </c>
      <c r="EO27" s="34">
        <f>IF(AND(EO$5&gt;$E27,EO$5&lt;=$F27),IF(EO$5=$E27+1,$C27,""),"")</f>
        <v/>
      </c>
      <c r="EP27" s="34">
        <f>IF(AND(EP$5&gt;$E27,EP$5&lt;=$F27),IF(EP$5=$E27+1,$C27,""),"")</f>
        <v/>
      </c>
      <c r="EQ27" s="34">
        <f>IF(AND(EQ$5&gt;$E27,EQ$5&lt;=$F27),IF(EQ$5=$E27+1,$C27,""),"")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c r="DX28" s="34">
        <f>IF(AND(DX$5&gt;$E28,DX$5&lt;=$F28),IF(DX$5=$E28+1,$C28,""),"")</f>
        <v/>
      </c>
      <c r="DY28" s="34">
        <f>IF(AND(DY$5&gt;$E28,DY$5&lt;=$F28),IF(DY$5=$E28+1,$C28,""),"")</f>
        <v/>
      </c>
      <c r="DZ28" s="34">
        <f>IF(AND(DZ$5&gt;$E28,DZ$5&lt;=$F28),IF(DZ$5=$E28+1,$C28,""),"")</f>
        <v/>
      </c>
      <c r="EA28" s="34">
        <f>IF(AND(EA$5&gt;$E28,EA$5&lt;=$F28),IF(EA$5=$E28+1,$C28,""),"")</f>
        <v/>
      </c>
      <c r="EB28" s="34">
        <f>IF(AND(EB$5&gt;$E28,EB$5&lt;=$F28),IF(EB$5=$E28+1,$C28,""),"")</f>
        <v/>
      </c>
      <c r="EC28" s="34">
        <f>IF(AND(EC$5&gt;$E28,EC$5&lt;=$F28),IF(EC$5=$E28+1,$C28,""),"")</f>
        <v/>
      </c>
      <c r="ED28" s="34">
        <f>IF(AND(ED$5&gt;$E28,ED$5&lt;=$F28),IF(ED$5=$E28+1,$C28,""),"")</f>
        <v/>
      </c>
      <c r="EE28" s="34">
        <f>IF(AND(EE$5&gt;$E28,EE$5&lt;=$F28),IF(EE$5=$E28+1,$C28,""),"")</f>
        <v/>
      </c>
      <c r="EF28" s="34">
        <f>IF(AND(EF$5&gt;$E28,EF$5&lt;=$F28),IF(EF$5=$E28+1,$C28,""),"")</f>
        <v/>
      </c>
      <c r="EG28" s="34">
        <f>IF(AND(EG$5&gt;$E28,EG$5&lt;=$F28),IF(EG$5=$E28+1,$C28,""),"")</f>
        <v/>
      </c>
      <c r="EH28" s="34">
        <f>IF(AND(EH$5&gt;$E28,EH$5&lt;=$F28),IF(EH$5=$E28+1,$C28,""),"")</f>
        <v/>
      </c>
      <c r="EI28" s="34">
        <f>IF(AND(EI$5&gt;$E28,EI$5&lt;=$F28),IF(EI$5=$E28+1,$C28,""),"")</f>
        <v/>
      </c>
      <c r="EJ28" s="34">
        <f>IF(AND(EJ$5&gt;$E28,EJ$5&lt;=$F28),IF(EJ$5=$E28+1,$C28,""),"")</f>
        <v/>
      </c>
      <c r="EK28" s="34">
        <f>IF(AND(EK$5&gt;$E28,EK$5&lt;=$F28),IF(EK$5=$E28+1,$C28,""),"")</f>
        <v/>
      </c>
      <c r="EL28" s="34">
        <f>IF(AND(EL$5&gt;$E28,EL$5&lt;=$F28),IF(EL$5=$E28+1,$C28,""),"")</f>
        <v/>
      </c>
      <c r="EM28" s="34">
        <f>IF(AND(EM$5&gt;$E28,EM$5&lt;=$F28),IF(EM$5=$E28+1,$C28,""),"")</f>
        <v/>
      </c>
      <c r="EN28" s="34">
        <f>IF(AND(EN$5&gt;$E28,EN$5&lt;=$F28),IF(EN$5=$E28+1,$C28,""),"")</f>
        <v/>
      </c>
      <c r="EO28" s="34">
        <f>IF(AND(EO$5&gt;$E28,EO$5&lt;=$F28),IF(EO$5=$E28+1,$C28,""),"")</f>
        <v/>
      </c>
      <c r="EP28" s="34">
        <f>IF(AND(EP$5&gt;$E28,EP$5&lt;=$F28),IF(EP$5=$E28+1,$C28,""),"")</f>
        <v/>
      </c>
      <c r="EQ28" s="34">
        <f>IF(AND(EQ$5&gt;$E28,EQ$5&lt;=$F28),IF(EQ$5=$E28+1,$C28,""),"")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c r="DX29" s="34">
        <f>IF(AND(DX$5&gt;$E29,DX$5&lt;=$F29),IF(DX$5=$E29+1,$C29,""),"")</f>
        <v/>
      </c>
      <c r="DY29" s="34">
        <f>IF(AND(DY$5&gt;$E29,DY$5&lt;=$F29),IF(DY$5=$E29+1,$C29,""),"")</f>
        <v/>
      </c>
      <c r="DZ29" s="34">
        <f>IF(AND(DZ$5&gt;$E29,DZ$5&lt;=$F29),IF(DZ$5=$E29+1,$C29,""),"")</f>
        <v/>
      </c>
      <c r="EA29" s="34">
        <f>IF(AND(EA$5&gt;$E29,EA$5&lt;=$F29),IF(EA$5=$E29+1,$C29,""),"")</f>
        <v/>
      </c>
      <c r="EB29" s="34">
        <f>IF(AND(EB$5&gt;$E29,EB$5&lt;=$F29),IF(EB$5=$E29+1,$C29,""),"")</f>
        <v/>
      </c>
      <c r="EC29" s="34">
        <f>IF(AND(EC$5&gt;$E29,EC$5&lt;=$F29),IF(EC$5=$E29+1,$C29,""),"")</f>
        <v/>
      </c>
      <c r="ED29" s="34">
        <f>IF(AND(ED$5&gt;$E29,ED$5&lt;=$F29),IF(ED$5=$E29+1,$C29,""),"")</f>
        <v/>
      </c>
      <c r="EE29" s="34">
        <f>IF(AND(EE$5&gt;$E29,EE$5&lt;=$F29),IF(EE$5=$E29+1,$C29,""),"")</f>
        <v/>
      </c>
      <c r="EF29" s="34">
        <f>IF(AND(EF$5&gt;$E29,EF$5&lt;=$F29),IF(EF$5=$E29+1,$C29,""),"")</f>
        <v/>
      </c>
      <c r="EG29" s="34">
        <f>IF(AND(EG$5&gt;$E29,EG$5&lt;=$F29),IF(EG$5=$E29+1,$C29,""),"")</f>
        <v/>
      </c>
      <c r="EH29" s="34">
        <f>IF(AND(EH$5&gt;$E29,EH$5&lt;=$F29),IF(EH$5=$E29+1,$C29,""),"")</f>
        <v/>
      </c>
      <c r="EI29" s="34">
        <f>IF(AND(EI$5&gt;$E29,EI$5&lt;=$F29),IF(EI$5=$E29+1,$C29,""),"")</f>
        <v/>
      </c>
      <c r="EJ29" s="34">
        <f>IF(AND(EJ$5&gt;$E29,EJ$5&lt;=$F29),IF(EJ$5=$E29+1,$C29,""),"")</f>
        <v/>
      </c>
      <c r="EK29" s="34">
        <f>IF(AND(EK$5&gt;$E29,EK$5&lt;=$F29),IF(EK$5=$E29+1,$C29,""),"")</f>
        <v/>
      </c>
      <c r="EL29" s="34">
        <f>IF(AND(EL$5&gt;$E29,EL$5&lt;=$F29),IF(EL$5=$E29+1,$C29,""),"")</f>
        <v/>
      </c>
      <c r="EM29" s="34">
        <f>IF(AND(EM$5&gt;$E29,EM$5&lt;=$F29),IF(EM$5=$E29+1,$C29,""),"")</f>
        <v/>
      </c>
      <c r="EN29" s="34">
        <f>IF(AND(EN$5&gt;$E29,EN$5&lt;=$F29),IF(EN$5=$E29+1,$C29,""),"")</f>
        <v/>
      </c>
      <c r="EO29" s="34">
        <f>IF(AND(EO$5&gt;$E29,EO$5&lt;=$F29),IF(EO$5=$E29+1,$C29,""),"")</f>
        <v/>
      </c>
      <c r="EP29" s="34">
        <f>IF(AND(EP$5&gt;$E29,EP$5&lt;=$F29),IF(EP$5=$E29+1,$C29,""),"")</f>
        <v/>
      </c>
      <c r="EQ29" s="34">
        <f>IF(AND(EQ$5&gt;$E29,EQ$5&lt;=$F29),IF(EQ$5=$E29+1,$C29,""),"")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c r="DX30" s="34">
        <f>IF(AND(DX$5&gt;$E30,DX$5&lt;=$F30),IF(DX$5=$E30+1,$C30,""),"")</f>
        <v/>
      </c>
      <c r="DY30" s="34">
        <f>IF(AND(DY$5&gt;$E30,DY$5&lt;=$F30),IF(DY$5=$E30+1,$C30,""),"")</f>
        <v/>
      </c>
      <c r="DZ30" s="34">
        <f>IF(AND(DZ$5&gt;$E30,DZ$5&lt;=$F30),IF(DZ$5=$E30+1,$C30,""),"")</f>
        <v/>
      </c>
      <c r="EA30" s="34">
        <f>IF(AND(EA$5&gt;$E30,EA$5&lt;=$F30),IF(EA$5=$E30+1,$C30,""),"")</f>
        <v/>
      </c>
      <c r="EB30" s="34">
        <f>IF(AND(EB$5&gt;$E30,EB$5&lt;=$F30),IF(EB$5=$E30+1,$C30,""),"")</f>
        <v/>
      </c>
      <c r="EC30" s="34">
        <f>IF(AND(EC$5&gt;$E30,EC$5&lt;=$F30),IF(EC$5=$E30+1,$C30,""),"")</f>
        <v/>
      </c>
      <c r="ED30" s="34">
        <f>IF(AND(ED$5&gt;$E30,ED$5&lt;=$F30),IF(ED$5=$E30+1,$C30,""),"")</f>
        <v/>
      </c>
      <c r="EE30" s="34">
        <f>IF(AND(EE$5&gt;$E30,EE$5&lt;=$F30),IF(EE$5=$E30+1,$C30,""),"")</f>
        <v/>
      </c>
      <c r="EF30" s="34">
        <f>IF(AND(EF$5&gt;$E30,EF$5&lt;=$F30),IF(EF$5=$E30+1,$C30,""),"")</f>
        <v/>
      </c>
      <c r="EG30" s="34">
        <f>IF(AND(EG$5&gt;$E30,EG$5&lt;=$F30),IF(EG$5=$E30+1,$C30,""),"")</f>
        <v/>
      </c>
      <c r="EH30" s="34">
        <f>IF(AND(EH$5&gt;$E30,EH$5&lt;=$F30),IF(EH$5=$E30+1,$C30,""),"")</f>
        <v/>
      </c>
      <c r="EI30" s="34">
        <f>IF(AND(EI$5&gt;$E30,EI$5&lt;=$F30),IF(EI$5=$E30+1,$C30,""),"")</f>
        <v/>
      </c>
      <c r="EJ30" s="34">
        <f>IF(AND(EJ$5&gt;$E30,EJ$5&lt;=$F30),IF(EJ$5=$E30+1,$C30,""),"")</f>
        <v/>
      </c>
      <c r="EK30" s="34">
        <f>IF(AND(EK$5&gt;$E30,EK$5&lt;=$F30),IF(EK$5=$E30+1,$C30,""),"")</f>
        <v/>
      </c>
      <c r="EL30" s="34">
        <f>IF(AND(EL$5&gt;$E30,EL$5&lt;=$F30),IF(EL$5=$E30+1,$C30,""),"")</f>
        <v/>
      </c>
      <c r="EM30" s="34">
        <f>IF(AND(EM$5&gt;$E30,EM$5&lt;=$F30),IF(EM$5=$E30+1,$C30,""),"")</f>
        <v/>
      </c>
      <c r="EN30" s="34">
        <f>IF(AND(EN$5&gt;$E30,EN$5&lt;=$F30),IF(EN$5=$E30+1,$C30,""),"")</f>
        <v/>
      </c>
      <c r="EO30" s="34">
        <f>IF(AND(EO$5&gt;$E30,EO$5&lt;=$F30),IF(EO$5=$E30+1,$C30,""),"")</f>
        <v/>
      </c>
      <c r="EP30" s="34">
        <f>IF(AND(EP$5&gt;$E30,EP$5&lt;=$F30),IF(EP$5=$E30+1,$C30,""),"")</f>
        <v/>
      </c>
      <c r="EQ30" s="34">
        <f>IF(AND(EQ$5&gt;$E30,EQ$5&lt;=$F30),IF(EQ$5=$E30+1,$C30,""),"")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c r="DX31" s="34">
        <f>IF(AND(DX$5&gt;$E31,DX$5&lt;=$F31),IF(DX$5=$E31+1,$C31,""),"")</f>
        <v/>
      </c>
      <c r="DY31" s="34">
        <f>IF(AND(DY$5&gt;$E31,DY$5&lt;=$F31),IF(DY$5=$E31+1,$C31,""),"")</f>
        <v/>
      </c>
      <c r="DZ31" s="34">
        <f>IF(AND(DZ$5&gt;$E31,DZ$5&lt;=$F31),IF(DZ$5=$E31+1,$C31,""),"")</f>
        <v/>
      </c>
      <c r="EA31" s="34">
        <f>IF(AND(EA$5&gt;$E31,EA$5&lt;=$F31),IF(EA$5=$E31+1,$C31,""),"")</f>
        <v/>
      </c>
      <c r="EB31" s="34">
        <f>IF(AND(EB$5&gt;$E31,EB$5&lt;=$F31),IF(EB$5=$E31+1,$C31,""),"")</f>
        <v/>
      </c>
      <c r="EC31" s="34">
        <f>IF(AND(EC$5&gt;$E31,EC$5&lt;=$F31),IF(EC$5=$E31+1,$C31,""),"")</f>
        <v/>
      </c>
      <c r="ED31" s="34">
        <f>IF(AND(ED$5&gt;$E31,ED$5&lt;=$F31),IF(ED$5=$E31+1,$C31,""),"")</f>
        <v/>
      </c>
      <c r="EE31" s="34">
        <f>IF(AND(EE$5&gt;$E31,EE$5&lt;=$F31),IF(EE$5=$E31+1,$C31,""),"")</f>
        <v/>
      </c>
      <c r="EF31" s="34">
        <f>IF(AND(EF$5&gt;$E31,EF$5&lt;=$F31),IF(EF$5=$E31+1,$C31,""),"")</f>
        <v/>
      </c>
      <c r="EG31" s="34">
        <f>IF(AND(EG$5&gt;$E31,EG$5&lt;=$F31),IF(EG$5=$E31+1,$C31,""),"")</f>
        <v/>
      </c>
      <c r="EH31" s="34">
        <f>IF(AND(EH$5&gt;$E31,EH$5&lt;=$F31),IF(EH$5=$E31+1,$C31,""),"")</f>
        <v/>
      </c>
      <c r="EI31" s="34">
        <f>IF(AND(EI$5&gt;$E31,EI$5&lt;=$F31),IF(EI$5=$E31+1,$C31,""),"")</f>
        <v/>
      </c>
      <c r="EJ31" s="34">
        <f>IF(AND(EJ$5&gt;$E31,EJ$5&lt;=$F31),IF(EJ$5=$E31+1,$C31,""),"")</f>
        <v/>
      </c>
      <c r="EK31" s="34">
        <f>IF(AND(EK$5&gt;$E31,EK$5&lt;=$F31),IF(EK$5=$E31+1,$C31,""),"")</f>
        <v/>
      </c>
      <c r="EL31" s="34">
        <f>IF(AND(EL$5&gt;$E31,EL$5&lt;=$F31),IF(EL$5=$E31+1,$C31,""),"")</f>
        <v/>
      </c>
      <c r="EM31" s="34">
        <f>IF(AND(EM$5&gt;$E31,EM$5&lt;=$F31),IF(EM$5=$E31+1,$C31,""),"")</f>
        <v/>
      </c>
      <c r="EN31" s="34">
        <f>IF(AND(EN$5&gt;$E31,EN$5&lt;=$F31),IF(EN$5=$E31+1,$C31,""),"")</f>
        <v/>
      </c>
      <c r="EO31" s="34">
        <f>IF(AND(EO$5&gt;$E31,EO$5&lt;=$F31),IF(EO$5=$E31+1,$C31,""),"")</f>
        <v/>
      </c>
      <c r="EP31" s="34">
        <f>IF(AND(EP$5&gt;$E31,EP$5&lt;=$F31),IF(EP$5=$E31+1,$C31,""),"")</f>
        <v/>
      </c>
      <c r="EQ31" s="34">
        <f>IF(AND(EQ$5&gt;$E31,EQ$5&lt;=$F31),IF(EQ$5=$E31+1,$C31,""),"")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c r="DX32" s="34">
        <f>IF(AND(DX$5&gt;$E32,DX$5&lt;=$F32),IF(DX$5=$E32+1,$C32,""),"")</f>
        <v/>
      </c>
      <c r="DY32" s="34">
        <f>IF(AND(DY$5&gt;$E32,DY$5&lt;=$F32),IF(DY$5=$E32+1,$C32,""),"")</f>
        <v/>
      </c>
      <c r="DZ32" s="34">
        <f>IF(AND(DZ$5&gt;$E32,DZ$5&lt;=$F32),IF(DZ$5=$E32+1,$C32,""),"")</f>
        <v/>
      </c>
      <c r="EA32" s="34">
        <f>IF(AND(EA$5&gt;$E32,EA$5&lt;=$F32),IF(EA$5=$E32+1,$C32,""),"")</f>
        <v/>
      </c>
      <c r="EB32" s="34">
        <f>IF(AND(EB$5&gt;$E32,EB$5&lt;=$F32),IF(EB$5=$E32+1,$C32,""),"")</f>
        <v/>
      </c>
      <c r="EC32" s="34">
        <f>IF(AND(EC$5&gt;$E32,EC$5&lt;=$F32),IF(EC$5=$E32+1,$C32,""),"")</f>
        <v/>
      </c>
      <c r="ED32" s="34">
        <f>IF(AND(ED$5&gt;$E32,ED$5&lt;=$F32),IF(ED$5=$E32+1,$C32,""),"")</f>
        <v/>
      </c>
      <c r="EE32" s="34">
        <f>IF(AND(EE$5&gt;$E32,EE$5&lt;=$F32),IF(EE$5=$E32+1,$C32,""),"")</f>
        <v/>
      </c>
      <c r="EF32" s="34">
        <f>IF(AND(EF$5&gt;$E32,EF$5&lt;=$F32),IF(EF$5=$E32+1,$C32,""),"")</f>
        <v/>
      </c>
      <c r="EG32" s="34">
        <f>IF(AND(EG$5&gt;$E32,EG$5&lt;=$F32),IF(EG$5=$E32+1,$C32,""),"")</f>
        <v/>
      </c>
      <c r="EH32" s="34">
        <f>IF(AND(EH$5&gt;$E32,EH$5&lt;=$F32),IF(EH$5=$E32+1,$C32,""),"")</f>
        <v/>
      </c>
      <c r="EI32" s="34">
        <f>IF(AND(EI$5&gt;$E32,EI$5&lt;=$F32),IF(EI$5=$E32+1,$C32,""),"")</f>
        <v/>
      </c>
      <c r="EJ32" s="34">
        <f>IF(AND(EJ$5&gt;$E32,EJ$5&lt;=$F32),IF(EJ$5=$E32+1,$C32,""),"")</f>
        <v/>
      </c>
      <c r="EK32" s="34">
        <f>IF(AND(EK$5&gt;$E32,EK$5&lt;=$F32),IF(EK$5=$E32+1,$C32,""),"")</f>
        <v/>
      </c>
      <c r="EL32" s="34">
        <f>IF(AND(EL$5&gt;$E32,EL$5&lt;=$F32),IF(EL$5=$E32+1,$C32,""),"")</f>
        <v/>
      </c>
      <c r="EM32" s="34">
        <f>IF(AND(EM$5&gt;$E32,EM$5&lt;=$F32),IF(EM$5=$E32+1,$C32,""),"")</f>
        <v/>
      </c>
      <c r="EN32" s="34">
        <f>IF(AND(EN$5&gt;$E32,EN$5&lt;=$F32),IF(EN$5=$E32+1,$C32,""),"")</f>
        <v/>
      </c>
      <c r="EO32" s="34">
        <f>IF(AND(EO$5&gt;$E32,EO$5&lt;=$F32),IF(EO$5=$E32+1,$C32,""),"")</f>
        <v/>
      </c>
      <c r="EP32" s="34">
        <f>IF(AND(EP$5&gt;$E32,EP$5&lt;=$F32),IF(EP$5=$E32+1,$C32,""),"")</f>
        <v/>
      </c>
      <c r="EQ32" s="34">
        <f>IF(AND(EQ$5&gt;$E32,EQ$5&lt;=$F32),IF(EQ$5=$E32+1,$C32,""),"")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c r="DX33" s="34">
        <f>IF(AND(DX$5&gt;$E33,DX$5&lt;=$F33),IF(DX$5=$E33+1,$C33,""),"")</f>
        <v/>
      </c>
      <c r="DY33" s="34">
        <f>IF(AND(DY$5&gt;$E33,DY$5&lt;=$F33),IF(DY$5=$E33+1,$C33,""),"")</f>
        <v/>
      </c>
      <c r="DZ33" s="34">
        <f>IF(AND(DZ$5&gt;$E33,DZ$5&lt;=$F33),IF(DZ$5=$E33+1,$C33,""),"")</f>
        <v/>
      </c>
      <c r="EA33" s="34">
        <f>IF(AND(EA$5&gt;$E33,EA$5&lt;=$F33),IF(EA$5=$E33+1,$C33,""),"")</f>
        <v/>
      </c>
      <c r="EB33" s="34">
        <f>IF(AND(EB$5&gt;$E33,EB$5&lt;=$F33),IF(EB$5=$E33+1,$C33,""),"")</f>
        <v/>
      </c>
      <c r="EC33" s="34">
        <f>IF(AND(EC$5&gt;$E33,EC$5&lt;=$F33),IF(EC$5=$E33+1,$C33,""),"")</f>
        <v/>
      </c>
      <c r="ED33" s="34">
        <f>IF(AND(ED$5&gt;$E33,ED$5&lt;=$F33),IF(ED$5=$E33+1,$C33,""),"")</f>
        <v/>
      </c>
      <c r="EE33" s="34">
        <f>IF(AND(EE$5&gt;$E33,EE$5&lt;=$F33),IF(EE$5=$E33+1,$C33,""),"")</f>
        <v/>
      </c>
      <c r="EF33" s="34">
        <f>IF(AND(EF$5&gt;$E33,EF$5&lt;=$F33),IF(EF$5=$E33+1,$C33,""),"")</f>
        <v/>
      </c>
      <c r="EG33" s="34">
        <f>IF(AND(EG$5&gt;$E33,EG$5&lt;=$F33),IF(EG$5=$E33+1,$C33,""),"")</f>
        <v/>
      </c>
      <c r="EH33" s="34">
        <f>IF(AND(EH$5&gt;$E33,EH$5&lt;=$F33),IF(EH$5=$E33+1,$C33,""),"")</f>
        <v/>
      </c>
      <c r="EI33" s="34">
        <f>IF(AND(EI$5&gt;$E33,EI$5&lt;=$F33),IF(EI$5=$E33+1,$C33,""),"")</f>
        <v/>
      </c>
      <c r="EJ33" s="34">
        <f>IF(AND(EJ$5&gt;$E33,EJ$5&lt;=$F33),IF(EJ$5=$E33+1,$C33,""),"")</f>
        <v/>
      </c>
      <c r="EK33" s="34">
        <f>IF(AND(EK$5&gt;$E33,EK$5&lt;=$F33),IF(EK$5=$E33+1,$C33,""),"")</f>
        <v/>
      </c>
      <c r="EL33" s="34">
        <f>IF(AND(EL$5&gt;$E33,EL$5&lt;=$F33),IF(EL$5=$E33+1,$C33,""),"")</f>
        <v/>
      </c>
      <c r="EM33" s="34">
        <f>IF(AND(EM$5&gt;$E33,EM$5&lt;=$F33),IF(EM$5=$E33+1,$C33,""),"")</f>
        <v/>
      </c>
      <c r="EN33" s="34">
        <f>IF(AND(EN$5&gt;$E33,EN$5&lt;=$F33),IF(EN$5=$E33+1,$C33,""),"")</f>
        <v/>
      </c>
      <c r="EO33" s="34">
        <f>IF(AND(EO$5&gt;$E33,EO$5&lt;=$F33),IF(EO$5=$E33+1,$C33,""),"")</f>
        <v/>
      </c>
      <c r="EP33" s="34">
        <f>IF(AND(EP$5&gt;$E33,EP$5&lt;=$F33),IF(EP$5=$E33+1,$C33,""),"")</f>
        <v/>
      </c>
      <c r="EQ33" s="34">
        <f>IF(AND(EQ$5&gt;$E33,EQ$5&lt;=$F33),IF(EQ$5=$E33+1,$C33,""),"")</f>
        <v/>
      </c>
    </row>
    <row r="34">
      <c r="A34" s="32">
        <f>Plan!A119</f>
        <v/>
      </c>
      <c r="B34" s="33">
        <f>Plan!C119</f>
        <v/>
      </c>
      <c r="C34" s="16">
        <f>Plan!D119</f>
        <v/>
      </c>
      <c r="D34" s="16">
        <f>Plan!I119</f>
        <v/>
      </c>
      <c r="E34" s="16">
        <f>Plan!K119</f>
        <v/>
      </c>
      <c r="F34" s="16">
        <f>Plan!L119</f>
        <v/>
      </c>
      <c r="G34" s="16">
        <f>Plan!O119</f>
        <v/>
      </c>
      <c r="H34" s="34">
        <f>IF(AND(H$5&gt;$E34,H$5&lt;=$F34),IF(H$5=$E34+1,$C34,""),"")</f>
        <v/>
      </c>
      <c r="I34" s="34">
        <f>IF(AND(I$5&gt;$E34,I$5&lt;=$F34),IF(I$5=$E34+1,$C34,""),"")</f>
        <v/>
      </c>
      <c r="J34" s="34">
        <f>IF(AND(J$5&gt;$E34,J$5&lt;=$F34),IF(J$5=$E34+1,$C34,""),"")</f>
        <v/>
      </c>
      <c r="K34" s="34">
        <f>IF(AND(K$5&gt;$E34,K$5&lt;=$F34),IF(K$5=$E34+1,$C34,""),"")</f>
        <v/>
      </c>
      <c r="L34" s="34">
        <f>IF(AND(L$5&gt;$E34,L$5&lt;=$F34),IF(L$5=$E34+1,$C34,""),"")</f>
        <v/>
      </c>
      <c r="M34" s="34">
        <f>IF(AND(M$5&gt;$E34,M$5&lt;=$F34),IF(M$5=$E34+1,$C34,""),"")</f>
        <v/>
      </c>
      <c r="N34" s="34">
        <f>IF(AND(N$5&gt;$E34,N$5&lt;=$F34),IF(N$5=$E34+1,$C34,""),"")</f>
        <v/>
      </c>
      <c r="O34" s="34">
        <f>IF(AND(O$5&gt;$E34,O$5&lt;=$F34),IF(O$5=$E34+1,$C34,""),"")</f>
        <v/>
      </c>
      <c r="P34" s="34">
        <f>IF(AND(P$5&gt;$E34,P$5&lt;=$F34),IF(P$5=$E34+1,$C34,""),"")</f>
        <v/>
      </c>
      <c r="Q34" s="34">
        <f>IF(AND(Q$5&gt;$E34,Q$5&lt;=$F34),IF(Q$5=$E34+1,$C34,""),"")</f>
        <v/>
      </c>
      <c r="R34" s="34">
        <f>IF(AND(R$5&gt;$E34,R$5&lt;=$F34),IF(R$5=$E34+1,$C34,""),"")</f>
        <v/>
      </c>
      <c r="S34" s="34">
        <f>IF(AND(S$5&gt;$E34,S$5&lt;=$F34),IF(S$5=$E34+1,$C34,""),"")</f>
        <v/>
      </c>
      <c r="T34" s="34">
        <f>IF(AND(T$5&gt;$E34,T$5&lt;=$F34),IF(T$5=$E34+1,$C34,""),"")</f>
        <v/>
      </c>
      <c r="U34" s="34">
        <f>IF(AND(U$5&gt;$E34,U$5&lt;=$F34),IF(U$5=$E34+1,$C34,""),"")</f>
        <v/>
      </c>
      <c r="V34" s="34">
        <f>IF(AND(V$5&gt;$E34,V$5&lt;=$F34),IF(V$5=$E34+1,$C34,""),"")</f>
        <v/>
      </c>
      <c r="W34" s="34">
        <f>IF(AND(W$5&gt;$E34,W$5&lt;=$F34),IF(W$5=$E34+1,$C34,""),"")</f>
        <v/>
      </c>
      <c r="X34" s="34">
        <f>IF(AND(X$5&gt;$E34,X$5&lt;=$F34),IF(X$5=$E34+1,$C34,""),"")</f>
        <v/>
      </c>
      <c r="Y34" s="34">
        <f>IF(AND(Y$5&gt;$E34,Y$5&lt;=$F34),IF(Y$5=$E34+1,$C34,""),"")</f>
        <v/>
      </c>
      <c r="Z34" s="34">
        <f>IF(AND(Z$5&gt;$E34,Z$5&lt;=$F34),IF(Z$5=$E34+1,$C34,""),"")</f>
        <v/>
      </c>
      <c r="AA34" s="34">
        <f>IF(AND(AA$5&gt;$E34,AA$5&lt;=$F34),IF(AA$5=$E34+1,$C34,""),"")</f>
        <v/>
      </c>
      <c r="AB34" s="34">
        <f>IF(AND(AB$5&gt;$E34,AB$5&lt;=$F34),IF(AB$5=$E34+1,$C34,""),"")</f>
        <v/>
      </c>
      <c r="AC34" s="34">
        <f>IF(AND(AC$5&gt;$E34,AC$5&lt;=$F34),IF(AC$5=$E34+1,$C34,""),"")</f>
        <v/>
      </c>
      <c r="AD34" s="34">
        <f>IF(AND(AD$5&gt;$E34,AD$5&lt;=$F34),IF(AD$5=$E34+1,$C34,""),"")</f>
        <v/>
      </c>
      <c r="AE34" s="34">
        <f>IF(AND(AE$5&gt;$E34,AE$5&lt;=$F34),IF(AE$5=$E34+1,$C34,""),"")</f>
        <v/>
      </c>
      <c r="AF34" s="34">
        <f>IF(AND(AF$5&gt;$E34,AF$5&lt;=$F34),IF(AF$5=$E34+1,$C34,""),"")</f>
        <v/>
      </c>
      <c r="AG34" s="34">
        <f>IF(AND(AG$5&gt;$E34,AG$5&lt;=$F34),IF(AG$5=$E34+1,$C34,""),"")</f>
        <v/>
      </c>
      <c r="AH34" s="34">
        <f>IF(AND(AH$5&gt;$E34,AH$5&lt;=$F34),IF(AH$5=$E34+1,$C34,""),"")</f>
        <v/>
      </c>
      <c r="AI34" s="34">
        <f>IF(AND(AI$5&gt;$E34,AI$5&lt;=$F34),IF(AI$5=$E34+1,$C34,""),"")</f>
        <v/>
      </c>
      <c r="AJ34" s="34">
        <f>IF(AND(AJ$5&gt;$E34,AJ$5&lt;=$F34),IF(AJ$5=$E34+1,$C34,""),"")</f>
        <v/>
      </c>
      <c r="AK34" s="34">
        <f>IF(AND(AK$5&gt;$E34,AK$5&lt;=$F34),IF(AK$5=$E34+1,$C34,""),"")</f>
        <v/>
      </c>
      <c r="AL34" s="34">
        <f>IF(AND(AL$5&gt;$E34,AL$5&lt;=$F34),IF(AL$5=$E34+1,$C34,""),"")</f>
        <v/>
      </c>
      <c r="AM34" s="34">
        <f>IF(AND(AM$5&gt;$E34,AM$5&lt;=$F34),IF(AM$5=$E34+1,$C34,""),"")</f>
        <v/>
      </c>
      <c r="AN34" s="34">
        <f>IF(AND(AN$5&gt;$E34,AN$5&lt;=$F34),IF(AN$5=$E34+1,$C34,""),"")</f>
        <v/>
      </c>
      <c r="AO34" s="34">
        <f>IF(AND(AO$5&gt;$E34,AO$5&lt;=$F34),IF(AO$5=$E34+1,$C34,""),"")</f>
        <v/>
      </c>
      <c r="AP34" s="34">
        <f>IF(AND(AP$5&gt;$E34,AP$5&lt;=$F34),IF(AP$5=$E34+1,$C34,""),"")</f>
        <v/>
      </c>
      <c r="AQ34" s="34">
        <f>IF(AND(AQ$5&gt;$E34,AQ$5&lt;=$F34),IF(AQ$5=$E34+1,$C34,""),"")</f>
        <v/>
      </c>
      <c r="AR34" s="34">
        <f>IF(AND(AR$5&gt;$E34,AR$5&lt;=$F34),IF(AR$5=$E34+1,$C34,""),"")</f>
        <v/>
      </c>
      <c r="AS34" s="34">
        <f>IF(AND(AS$5&gt;$E34,AS$5&lt;=$F34),IF(AS$5=$E34+1,$C34,""),"")</f>
        <v/>
      </c>
      <c r="AT34" s="34">
        <f>IF(AND(AT$5&gt;$E34,AT$5&lt;=$F34),IF(AT$5=$E34+1,$C34,""),"")</f>
        <v/>
      </c>
      <c r="AU34" s="34">
        <f>IF(AND(AU$5&gt;$E34,AU$5&lt;=$F34),IF(AU$5=$E34+1,$C34,""),"")</f>
        <v/>
      </c>
      <c r="AV34" s="34">
        <f>IF(AND(AV$5&gt;$E34,AV$5&lt;=$F34),IF(AV$5=$E34+1,$C34,""),"")</f>
        <v/>
      </c>
      <c r="AW34" s="34">
        <f>IF(AND(AW$5&gt;$E34,AW$5&lt;=$F34),IF(AW$5=$E34+1,$C34,""),"")</f>
        <v/>
      </c>
      <c r="AX34" s="34">
        <f>IF(AND(AX$5&gt;$E34,AX$5&lt;=$F34),IF(AX$5=$E34+1,$C34,""),"")</f>
        <v/>
      </c>
      <c r="AY34" s="34">
        <f>IF(AND(AY$5&gt;$E34,AY$5&lt;=$F34),IF(AY$5=$E34+1,$C34,""),"")</f>
        <v/>
      </c>
      <c r="AZ34" s="34">
        <f>IF(AND(AZ$5&gt;$E34,AZ$5&lt;=$F34),IF(AZ$5=$E34+1,$C34,""),"")</f>
        <v/>
      </c>
      <c r="BA34" s="34">
        <f>IF(AND(BA$5&gt;$E34,BA$5&lt;=$F34),IF(BA$5=$E34+1,$C34,""),"")</f>
        <v/>
      </c>
      <c r="BB34" s="34">
        <f>IF(AND(BB$5&gt;$E34,BB$5&lt;=$F34),IF(BB$5=$E34+1,$C34,""),"")</f>
        <v/>
      </c>
      <c r="BC34" s="34">
        <f>IF(AND(BC$5&gt;$E34,BC$5&lt;=$F34),IF(BC$5=$E34+1,$C34,""),"")</f>
        <v/>
      </c>
      <c r="BD34" s="34">
        <f>IF(AND(BD$5&gt;$E34,BD$5&lt;=$F34),IF(BD$5=$E34+1,$C34,""),"")</f>
        <v/>
      </c>
      <c r="BE34" s="34">
        <f>IF(AND(BE$5&gt;$E34,BE$5&lt;=$F34),IF(BE$5=$E34+1,$C34,""),"")</f>
        <v/>
      </c>
      <c r="BF34" s="34">
        <f>IF(AND(BF$5&gt;$E34,BF$5&lt;=$F34),IF(BF$5=$E34+1,$C34,""),"")</f>
        <v/>
      </c>
      <c r="BG34" s="34">
        <f>IF(AND(BG$5&gt;$E34,BG$5&lt;=$F34),IF(BG$5=$E34+1,$C34,""),"")</f>
        <v/>
      </c>
      <c r="BH34" s="34">
        <f>IF(AND(BH$5&gt;$E34,BH$5&lt;=$F34),IF(BH$5=$E34+1,$C34,""),"")</f>
        <v/>
      </c>
      <c r="BI34" s="34">
        <f>IF(AND(BI$5&gt;$E34,BI$5&lt;=$F34),IF(BI$5=$E34+1,$C34,""),"")</f>
        <v/>
      </c>
      <c r="BJ34" s="34">
        <f>IF(AND(BJ$5&gt;$E34,BJ$5&lt;=$F34),IF(BJ$5=$E34+1,$C34,""),"")</f>
        <v/>
      </c>
      <c r="BK34" s="34">
        <f>IF(AND(BK$5&gt;$E34,BK$5&lt;=$F34),IF(BK$5=$E34+1,$C34,""),"")</f>
        <v/>
      </c>
      <c r="BL34" s="34">
        <f>IF(AND(BL$5&gt;$E34,BL$5&lt;=$F34),IF(BL$5=$E34+1,$C34,""),"")</f>
        <v/>
      </c>
      <c r="BM34" s="34">
        <f>IF(AND(BM$5&gt;$E34,BM$5&lt;=$F34),IF(BM$5=$E34+1,$C34,""),"")</f>
        <v/>
      </c>
      <c r="BN34" s="34">
        <f>IF(AND(BN$5&gt;$E34,BN$5&lt;=$F34),IF(BN$5=$E34+1,$C34,""),"")</f>
        <v/>
      </c>
      <c r="BO34" s="34">
        <f>IF(AND(BO$5&gt;$E34,BO$5&lt;=$F34),IF(BO$5=$E34+1,$C34,""),"")</f>
        <v/>
      </c>
      <c r="BP34" s="34">
        <f>IF(AND(BP$5&gt;$E34,BP$5&lt;=$F34),IF(BP$5=$E34+1,$C34,""),"")</f>
        <v/>
      </c>
      <c r="BQ34" s="34">
        <f>IF(AND(BQ$5&gt;$E34,BQ$5&lt;=$F34),IF(BQ$5=$E34+1,$C34,""),"")</f>
        <v/>
      </c>
      <c r="BR34" s="34">
        <f>IF(AND(BR$5&gt;$E34,BR$5&lt;=$F34),IF(BR$5=$E34+1,$C34,""),"")</f>
        <v/>
      </c>
      <c r="BS34" s="34">
        <f>IF(AND(BS$5&gt;$E34,BS$5&lt;=$F34),IF(BS$5=$E34+1,$C34,""),"")</f>
        <v/>
      </c>
      <c r="BT34" s="34">
        <f>IF(AND(BT$5&gt;$E34,BT$5&lt;=$F34),IF(BT$5=$E34+1,$C34,""),"")</f>
        <v/>
      </c>
      <c r="BU34" s="34">
        <f>IF(AND(BU$5&gt;$E34,BU$5&lt;=$F34),IF(BU$5=$E34+1,$C34,""),"")</f>
        <v/>
      </c>
      <c r="BV34" s="34">
        <f>IF(AND(BV$5&gt;$E34,BV$5&lt;=$F34),IF(BV$5=$E34+1,$C34,""),"")</f>
        <v/>
      </c>
      <c r="BW34" s="34">
        <f>IF(AND(BW$5&gt;$E34,BW$5&lt;=$F34),IF(BW$5=$E34+1,$C34,""),"")</f>
        <v/>
      </c>
      <c r="BX34" s="34">
        <f>IF(AND(BX$5&gt;$E34,BX$5&lt;=$F34),IF(BX$5=$E34+1,$C34,""),"")</f>
        <v/>
      </c>
      <c r="BY34" s="34">
        <f>IF(AND(BY$5&gt;$E34,BY$5&lt;=$F34),IF(BY$5=$E34+1,$C34,""),"")</f>
        <v/>
      </c>
      <c r="BZ34" s="34">
        <f>IF(AND(BZ$5&gt;$E34,BZ$5&lt;=$F34),IF(BZ$5=$E34+1,$C34,""),"")</f>
        <v/>
      </c>
      <c r="CA34" s="34">
        <f>IF(AND(CA$5&gt;$E34,CA$5&lt;=$F34),IF(CA$5=$E34+1,$C34,""),"")</f>
        <v/>
      </c>
      <c r="CB34" s="34">
        <f>IF(AND(CB$5&gt;$E34,CB$5&lt;=$F34),IF(CB$5=$E34+1,$C34,""),"")</f>
        <v/>
      </c>
      <c r="CC34" s="34">
        <f>IF(AND(CC$5&gt;$E34,CC$5&lt;=$F34),IF(CC$5=$E34+1,$C34,""),"")</f>
        <v/>
      </c>
      <c r="CD34" s="34">
        <f>IF(AND(CD$5&gt;$E34,CD$5&lt;=$F34),IF(CD$5=$E34+1,$C34,""),"")</f>
        <v/>
      </c>
      <c r="CE34" s="34">
        <f>IF(AND(CE$5&gt;$E34,CE$5&lt;=$F34),IF(CE$5=$E34+1,$C34,""),"")</f>
        <v/>
      </c>
      <c r="CF34" s="34">
        <f>IF(AND(CF$5&gt;$E34,CF$5&lt;=$F34),IF(CF$5=$E34+1,$C34,""),"")</f>
        <v/>
      </c>
      <c r="CG34" s="34">
        <f>IF(AND(CG$5&gt;$E34,CG$5&lt;=$F34),IF(CG$5=$E34+1,$C34,""),"")</f>
        <v/>
      </c>
      <c r="CH34" s="34">
        <f>IF(AND(CH$5&gt;$E34,CH$5&lt;=$F34),IF(CH$5=$E34+1,$C34,""),"")</f>
        <v/>
      </c>
      <c r="CI34" s="34">
        <f>IF(AND(CI$5&gt;$E34,CI$5&lt;=$F34),IF(CI$5=$E34+1,$C34,""),"")</f>
        <v/>
      </c>
      <c r="CJ34" s="34">
        <f>IF(AND(CJ$5&gt;$E34,CJ$5&lt;=$F34),IF(CJ$5=$E34+1,$C34,""),"")</f>
        <v/>
      </c>
      <c r="CK34" s="34">
        <f>IF(AND(CK$5&gt;$E34,CK$5&lt;=$F34),IF(CK$5=$E34+1,$C34,""),"")</f>
        <v/>
      </c>
      <c r="CL34" s="34">
        <f>IF(AND(CL$5&gt;$E34,CL$5&lt;=$F34),IF(CL$5=$E34+1,$C34,""),"")</f>
        <v/>
      </c>
      <c r="CM34" s="34">
        <f>IF(AND(CM$5&gt;$E34,CM$5&lt;=$F34),IF(CM$5=$E34+1,$C34,""),"")</f>
        <v/>
      </c>
      <c r="CN34" s="34">
        <f>IF(AND(CN$5&gt;$E34,CN$5&lt;=$F34),IF(CN$5=$E34+1,$C34,""),"")</f>
        <v/>
      </c>
      <c r="CO34" s="34">
        <f>IF(AND(CO$5&gt;$E34,CO$5&lt;=$F34),IF(CO$5=$E34+1,$C34,""),"")</f>
        <v/>
      </c>
      <c r="CP34" s="34">
        <f>IF(AND(CP$5&gt;$E34,CP$5&lt;=$F34),IF(CP$5=$E34+1,$C34,""),"")</f>
        <v/>
      </c>
      <c r="CQ34" s="34">
        <f>IF(AND(CQ$5&gt;$E34,CQ$5&lt;=$F34),IF(CQ$5=$E34+1,$C34,""),"")</f>
        <v/>
      </c>
      <c r="CR34" s="34">
        <f>IF(AND(CR$5&gt;$E34,CR$5&lt;=$F34),IF(CR$5=$E34+1,$C34,""),"")</f>
        <v/>
      </c>
      <c r="CS34" s="34">
        <f>IF(AND(CS$5&gt;$E34,CS$5&lt;=$F34),IF(CS$5=$E34+1,$C34,""),"")</f>
        <v/>
      </c>
      <c r="CT34" s="34">
        <f>IF(AND(CT$5&gt;$E34,CT$5&lt;=$F34),IF(CT$5=$E34+1,$C34,""),"")</f>
        <v/>
      </c>
      <c r="CU34" s="34">
        <f>IF(AND(CU$5&gt;$E34,CU$5&lt;=$F34),IF(CU$5=$E34+1,$C34,""),"")</f>
        <v/>
      </c>
      <c r="CV34" s="34">
        <f>IF(AND(CV$5&gt;$E34,CV$5&lt;=$F34),IF(CV$5=$E34+1,$C34,""),"")</f>
        <v/>
      </c>
      <c r="CW34" s="34">
        <f>IF(AND(CW$5&gt;$E34,CW$5&lt;=$F34),IF(CW$5=$E34+1,$C34,""),"")</f>
        <v/>
      </c>
      <c r="CX34" s="34">
        <f>IF(AND(CX$5&gt;$E34,CX$5&lt;=$F34),IF(CX$5=$E34+1,$C34,""),"")</f>
        <v/>
      </c>
      <c r="CY34" s="34">
        <f>IF(AND(CY$5&gt;$E34,CY$5&lt;=$F34),IF(CY$5=$E34+1,$C34,""),"")</f>
        <v/>
      </c>
      <c r="CZ34" s="34">
        <f>IF(AND(CZ$5&gt;$E34,CZ$5&lt;=$F34),IF(CZ$5=$E34+1,$C34,""),"")</f>
        <v/>
      </c>
      <c r="DA34" s="34">
        <f>IF(AND(DA$5&gt;$E34,DA$5&lt;=$F34),IF(DA$5=$E34+1,$C34,""),"")</f>
        <v/>
      </c>
      <c r="DB34" s="34">
        <f>IF(AND(DB$5&gt;$E34,DB$5&lt;=$F34),IF(DB$5=$E34+1,$C34,""),"")</f>
        <v/>
      </c>
      <c r="DC34" s="34">
        <f>IF(AND(DC$5&gt;$E34,DC$5&lt;=$F34),IF(DC$5=$E34+1,$C34,""),"")</f>
        <v/>
      </c>
      <c r="DD34" s="34">
        <f>IF(AND(DD$5&gt;$E34,DD$5&lt;=$F34),IF(DD$5=$E34+1,$C34,""),"")</f>
        <v/>
      </c>
      <c r="DE34" s="34">
        <f>IF(AND(DE$5&gt;$E34,DE$5&lt;=$F34),IF(DE$5=$E34+1,$C34,""),"")</f>
        <v/>
      </c>
      <c r="DF34" s="34">
        <f>IF(AND(DF$5&gt;$E34,DF$5&lt;=$F34),IF(DF$5=$E34+1,$C34,""),"")</f>
        <v/>
      </c>
      <c r="DG34" s="34">
        <f>IF(AND(DG$5&gt;$E34,DG$5&lt;=$F34),IF(DG$5=$E34+1,$C34,""),"")</f>
        <v/>
      </c>
      <c r="DH34" s="34">
        <f>IF(AND(DH$5&gt;$E34,DH$5&lt;=$F34),IF(DH$5=$E34+1,$C34,""),"")</f>
        <v/>
      </c>
      <c r="DI34" s="34">
        <f>IF(AND(DI$5&gt;$E34,DI$5&lt;=$F34),IF(DI$5=$E34+1,$C34,""),"")</f>
        <v/>
      </c>
      <c r="DJ34" s="34">
        <f>IF(AND(DJ$5&gt;$E34,DJ$5&lt;=$F34),IF(DJ$5=$E34+1,$C34,""),"")</f>
        <v/>
      </c>
      <c r="DK34" s="34">
        <f>IF(AND(DK$5&gt;$E34,DK$5&lt;=$F34),IF(DK$5=$E34+1,$C34,""),"")</f>
        <v/>
      </c>
      <c r="DL34" s="34">
        <f>IF(AND(DL$5&gt;$E34,DL$5&lt;=$F34),IF(DL$5=$E34+1,$C34,""),"")</f>
        <v/>
      </c>
      <c r="DM34" s="34">
        <f>IF(AND(DM$5&gt;$E34,DM$5&lt;=$F34),IF(DM$5=$E34+1,$C34,""),"")</f>
        <v/>
      </c>
      <c r="DN34" s="34">
        <f>IF(AND(DN$5&gt;$E34,DN$5&lt;=$F34),IF(DN$5=$E34+1,$C34,""),"")</f>
        <v/>
      </c>
      <c r="DO34" s="34">
        <f>IF(AND(DO$5&gt;$E34,DO$5&lt;=$F34),IF(DO$5=$E34+1,$C34,""),"")</f>
        <v/>
      </c>
      <c r="DP34" s="34">
        <f>IF(AND(DP$5&gt;$E34,DP$5&lt;=$F34),IF(DP$5=$E34+1,$C34,""),"")</f>
        <v/>
      </c>
      <c r="DQ34" s="34">
        <f>IF(AND(DQ$5&gt;$E34,DQ$5&lt;=$F34),IF(DQ$5=$E34+1,$C34,""),"")</f>
        <v/>
      </c>
      <c r="DR34" s="34">
        <f>IF(AND(DR$5&gt;$E34,DR$5&lt;=$F34),IF(DR$5=$E34+1,$C34,""),"")</f>
        <v/>
      </c>
      <c r="DS34" s="34">
        <f>IF(AND(DS$5&gt;$E34,DS$5&lt;=$F34),IF(DS$5=$E34+1,$C34,""),"")</f>
        <v/>
      </c>
      <c r="DT34" s="34">
        <f>IF(AND(DT$5&gt;$E34,DT$5&lt;=$F34),IF(DT$5=$E34+1,$C34,""),"")</f>
        <v/>
      </c>
      <c r="DU34" s="34">
        <f>IF(AND(DU$5&gt;$E34,DU$5&lt;=$F34),IF(DU$5=$E34+1,$C34,""),"")</f>
        <v/>
      </c>
      <c r="DV34" s="34">
        <f>IF(AND(DV$5&gt;$E34,DV$5&lt;=$F34),IF(DV$5=$E34+1,$C34,""),"")</f>
        <v/>
      </c>
      <c r="DW34" s="34">
        <f>IF(AND(DW$5&gt;$E34,DW$5&lt;=$F34),IF(DW$5=$E34+1,$C34,""),"")</f>
        <v/>
      </c>
      <c r="DX34" s="34">
        <f>IF(AND(DX$5&gt;$E34,DX$5&lt;=$F34),IF(DX$5=$E34+1,$C34,""),"")</f>
        <v/>
      </c>
      <c r="DY34" s="34">
        <f>IF(AND(DY$5&gt;$E34,DY$5&lt;=$F34),IF(DY$5=$E34+1,$C34,""),"")</f>
        <v/>
      </c>
      <c r="DZ34" s="34">
        <f>IF(AND(DZ$5&gt;$E34,DZ$5&lt;=$F34),IF(DZ$5=$E34+1,$C34,""),"")</f>
        <v/>
      </c>
      <c r="EA34" s="34">
        <f>IF(AND(EA$5&gt;$E34,EA$5&lt;=$F34),IF(EA$5=$E34+1,$C34,""),"")</f>
        <v/>
      </c>
      <c r="EB34" s="34">
        <f>IF(AND(EB$5&gt;$E34,EB$5&lt;=$F34),IF(EB$5=$E34+1,$C34,""),"")</f>
        <v/>
      </c>
      <c r="EC34" s="34">
        <f>IF(AND(EC$5&gt;$E34,EC$5&lt;=$F34),IF(EC$5=$E34+1,$C34,""),"")</f>
        <v/>
      </c>
      <c r="ED34" s="34">
        <f>IF(AND(ED$5&gt;$E34,ED$5&lt;=$F34),IF(ED$5=$E34+1,$C34,""),"")</f>
        <v/>
      </c>
      <c r="EE34" s="34">
        <f>IF(AND(EE$5&gt;$E34,EE$5&lt;=$F34),IF(EE$5=$E34+1,$C34,""),"")</f>
        <v/>
      </c>
      <c r="EF34" s="34">
        <f>IF(AND(EF$5&gt;$E34,EF$5&lt;=$F34),IF(EF$5=$E34+1,$C34,""),"")</f>
        <v/>
      </c>
      <c r="EG34" s="34">
        <f>IF(AND(EG$5&gt;$E34,EG$5&lt;=$F34),IF(EG$5=$E34+1,$C34,""),"")</f>
        <v/>
      </c>
      <c r="EH34" s="34">
        <f>IF(AND(EH$5&gt;$E34,EH$5&lt;=$F34),IF(EH$5=$E34+1,$C34,""),"")</f>
        <v/>
      </c>
      <c r="EI34" s="34">
        <f>IF(AND(EI$5&gt;$E34,EI$5&lt;=$F34),IF(EI$5=$E34+1,$C34,""),"")</f>
        <v/>
      </c>
      <c r="EJ34" s="34">
        <f>IF(AND(EJ$5&gt;$E34,EJ$5&lt;=$F34),IF(EJ$5=$E34+1,$C34,""),"")</f>
        <v/>
      </c>
      <c r="EK34" s="34">
        <f>IF(AND(EK$5&gt;$E34,EK$5&lt;=$F34),IF(EK$5=$E34+1,$C34,""),"")</f>
        <v/>
      </c>
      <c r="EL34" s="34">
        <f>IF(AND(EL$5&gt;$E34,EL$5&lt;=$F34),IF(EL$5=$E34+1,$C34,""),"")</f>
        <v/>
      </c>
      <c r="EM34" s="34">
        <f>IF(AND(EM$5&gt;$E34,EM$5&lt;=$F34),IF(EM$5=$E34+1,$C34,""),"")</f>
        <v/>
      </c>
      <c r="EN34" s="34">
        <f>IF(AND(EN$5&gt;$E34,EN$5&lt;=$F34),IF(EN$5=$E34+1,$C34,""),"")</f>
        <v/>
      </c>
      <c r="EO34" s="34">
        <f>IF(AND(EO$5&gt;$E34,EO$5&lt;=$F34),IF(EO$5=$E34+1,$C34,""),"")</f>
        <v/>
      </c>
      <c r="EP34" s="34">
        <f>IF(AND(EP$5&gt;$E34,EP$5&lt;=$F34),IF(EP$5=$E34+1,$C34,""),"")</f>
        <v/>
      </c>
      <c r="EQ34" s="34">
        <f>IF(AND(EQ$5&gt;$E34,EQ$5&lt;=$F34),IF(EQ$5=$E34+1,$C34,""),"")</f>
        <v/>
      </c>
    </row>
    <row r="35">
      <c r="A35" s="32">
        <f>Plan!A123</f>
        <v/>
      </c>
      <c r="B35" s="33">
        <f>Plan!C123</f>
        <v/>
      </c>
      <c r="C35" s="16">
        <f>Plan!D123</f>
        <v/>
      </c>
      <c r="D35" s="16">
        <f>Plan!I123</f>
        <v/>
      </c>
      <c r="E35" s="16">
        <f>Plan!K123</f>
        <v/>
      </c>
      <c r="F35" s="16">
        <f>Plan!L123</f>
        <v/>
      </c>
      <c r="G35" s="16">
        <f>Plan!O123</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c r="DX35" s="34">
        <f>IF(AND(DX$5&gt;$E35,DX$5&lt;=$F35),IF(DX$5=$E35+1,$C35,""),"")</f>
        <v/>
      </c>
      <c r="DY35" s="34">
        <f>IF(AND(DY$5&gt;$E35,DY$5&lt;=$F35),IF(DY$5=$E35+1,$C35,""),"")</f>
        <v/>
      </c>
      <c r="DZ35" s="34">
        <f>IF(AND(DZ$5&gt;$E35,DZ$5&lt;=$F35),IF(DZ$5=$E35+1,$C35,""),"")</f>
        <v/>
      </c>
      <c r="EA35" s="34">
        <f>IF(AND(EA$5&gt;$E35,EA$5&lt;=$F35),IF(EA$5=$E35+1,$C35,""),"")</f>
        <v/>
      </c>
      <c r="EB35" s="34">
        <f>IF(AND(EB$5&gt;$E35,EB$5&lt;=$F35),IF(EB$5=$E35+1,$C35,""),"")</f>
        <v/>
      </c>
      <c r="EC35" s="34">
        <f>IF(AND(EC$5&gt;$E35,EC$5&lt;=$F35),IF(EC$5=$E35+1,$C35,""),"")</f>
        <v/>
      </c>
      <c r="ED35" s="34">
        <f>IF(AND(ED$5&gt;$E35,ED$5&lt;=$F35),IF(ED$5=$E35+1,$C35,""),"")</f>
        <v/>
      </c>
      <c r="EE35" s="34">
        <f>IF(AND(EE$5&gt;$E35,EE$5&lt;=$F35),IF(EE$5=$E35+1,$C35,""),"")</f>
        <v/>
      </c>
      <c r="EF35" s="34">
        <f>IF(AND(EF$5&gt;$E35,EF$5&lt;=$F35),IF(EF$5=$E35+1,$C35,""),"")</f>
        <v/>
      </c>
      <c r="EG35" s="34">
        <f>IF(AND(EG$5&gt;$E35,EG$5&lt;=$F35),IF(EG$5=$E35+1,$C35,""),"")</f>
        <v/>
      </c>
      <c r="EH35" s="34">
        <f>IF(AND(EH$5&gt;$E35,EH$5&lt;=$F35),IF(EH$5=$E35+1,$C35,""),"")</f>
        <v/>
      </c>
      <c r="EI35" s="34">
        <f>IF(AND(EI$5&gt;$E35,EI$5&lt;=$F35),IF(EI$5=$E35+1,$C35,""),"")</f>
        <v/>
      </c>
      <c r="EJ35" s="34">
        <f>IF(AND(EJ$5&gt;$E35,EJ$5&lt;=$F35),IF(EJ$5=$E35+1,$C35,""),"")</f>
        <v/>
      </c>
      <c r="EK35" s="34">
        <f>IF(AND(EK$5&gt;$E35,EK$5&lt;=$F35),IF(EK$5=$E35+1,$C35,""),"")</f>
        <v/>
      </c>
      <c r="EL35" s="34">
        <f>IF(AND(EL$5&gt;$E35,EL$5&lt;=$F35),IF(EL$5=$E35+1,$C35,""),"")</f>
        <v/>
      </c>
      <c r="EM35" s="34">
        <f>IF(AND(EM$5&gt;$E35,EM$5&lt;=$F35),IF(EM$5=$E35+1,$C35,""),"")</f>
        <v/>
      </c>
      <c r="EN35" s="34">
        <f>IF(AND(EN$5&gt;$E35,EN$5&lt;=$F35),IF(EN$5=$E35+1,$C35,""),"")</f>
        <v/>
      </c>
      <c r="EO35" s="34">
        <f>IF(AND(EO$5&gt;$E35,EO$5&lt;=$F35),IF(EO$5=$E35+1,$C35,""),"")</f>
        <v/>
      </c>
      <c r="EP35" s="34">
        <f>IF(AND(EP$5&gt;$E35,EP$5&lt;=$F35),IF(EP$5=$E35+1,$C35,""),"")</f>
        <v/>
      </c>
      <c r="EQ35" s="34">
        <f>IF(AND(EQ$5&gt;$E35,EQ$5&lt;=$F35),IF(EQ$5=$E35+1,$C35,""),"")</f>
        <v/>
      </c>
    </row>
    <row r="36">
      <c r="A36" s="27" t="inlineStr">
        <is>
          <t>Fase 3. Flujo de solicitud de crédito</t>
        </is>
      </c>
      <c r="B36" s="28" t="n"/>
      <c r="C36" s="28" t="n"/>
      <c r="D36" s="28" t="n"/>
      <c r="E36" s="29">
        <f>SUMPRODUCT(MIN((Plan!$B$5:$B$126="3. Flujo de solicitud de crédito")*Plan!$K$5:$K$126+(Plan!$B$5:$B$126&lt;&gt;"3. Flujo de solicitud de crédito")*1E9))</f>
        <v/>
      </c>
      <c r="F36" s="29">
        <f>SUMPRODUCT(MAX((Plan!$B$5:$B$126="3. Flujo de solicitud de crédito")*Plan!$L$5:$L$126))</f>
        <v/>
      </c>
      <c r="G36" s="30">
        <f>Resumen!E31</f>
        <v/>
      </c>
      <c r="H36" s="31" t="n"/>
      <c r="I36" s="31" t="n"/>
      <c r="J36" s="31" t="n"/>
      <c r="K36" s="31" t="n"/>
      <c r="L36" s="31" t="n"/>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row>
    <row r="37">
      <c r="A37" s="32">
        <f>Plan!A28</f>
        <v/>
      </c>
      <c r="B37" s="33">
        <f>Plan!C28</f>
        <v/>
      </c>
      <c r="C37" s="16">
        <f>Plan!D28</f>
        <v/>
      </c>
      <c r="D37" s="16">
        <f>Plan!I28</f>
        <v/>
      </c>
      <c r="E37" s="16">
        <f>Plan!K28</f>
        <v/>
      </c>
      <c r="F37" s="16">
        <f>Plan!L28</f>
        <v/>
      </c>
      <c r="G37" s="16">
        <f>Plan!O28</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c r="DX37" s="34">
        <f>IF(AND(DX$5&gt;$E37,DX$5&lt;=$F37),IF(DX$5=$E37+1,$C37,""),"")</f>
        <v/>
      </c>
      <c r="DY37" s="34">
        <f>IF(AND(DY$5&gt;$E37,DY$5&lt;=$F37),IF(DY$5=$E37+1,$C37,""),"")</f>
        <v/>
      </c>
      <c r="DZ37" s="34">
        <f>IF(AND(DZ$5&gt;$E37,DZ$5&lt;=$F37),IF(DZ$5=$E37+1,$C37,""),"")</f>
        <v/>
      </c>
      <c r="EA37" s="34">
        <f>IF(AND(EA$5&gt;$E37,EA$5&lt;=$F37),IF(EA$5=$E37+1,$C37,""),"")</f>
        <v/>
      </c>
      <c r="EB37" s="34">
        <f>IF(AND(EB$5&gt;$E37,EB$5&lt;=$F37),IF(EB$5=$E37+1,$C37,""),"")</f>
        <v/>
      </c>
      <c r="EC37" s="34">
        <f>IF(AND(EC$5&gt;$E37,EC$5&lt;=$F37),IF(EC$5=$E37+1,$C37,""),"")</f>
        <v/>
      </c>
      <c r="ED37" s="34">
        <f>IF(AND(ED$5&gt;$E37,ED$5&lt;=$F37),IF(ED$5=$E37+1,$C37,""),"")</f>
        <v/>
      </c>
      <c r="EE37" s="34">
        <f>IF(AND(EE$5&gt;$E37,EE$5&lt;=$F37),IF(EE$5=$E37+1,$C37,""),"")</f>
        <v/>
      </c>
      <c r="EF37" s="34">
        <f>IF(AND(EF$5&gt;$E37,EF$5&lt;=$F37),IF(EF$5=$E37+1,$C37,""),"")</f>
        <v/>
      </c>
      <c r="EG37" s="34">
        <f>IF(AND(EG$5&gt;$E37,EG$5&lt;=$F37),IF(EG$5=$E37+1,$C37,""),"")</f>
        <v/>
      </c>
      <c r="EH37" s="34">
        <f>IF(AND(EH$5&gt;$E37,EH$5&lt;=$F37),IF(EH$5=$E37+1,$C37,""),"")</f>
        <v/>
      </c>
      <c r="EI37" s="34">
        <f>IF(AND(EI$5&gt;$E37,EI$5&lt;=$F37),IF(EI$5=$E37+1,$C37,""),"")</f>
        <v/>
      </c>
      <c r="EJ37" s="34">
        <f>IF(AND(EJ$5&gt;$E37,EJ$5&lt;=$F37),IF(EJ$5=$E37+1,$C37,""),"")</f>
        <v/>
      </c>
      <c r="EK37" s="34">
        <f>IF(AND(EK$5&gt;$E37,EK$5&lt;=$F37),IF(EK$5=$E37+1,$C37,""),"")</f>
        <v/>
      </c>
      <c r="EL37" s="34">
        <f>IF(AND(EL$5&gt;$E37,EL$5&lt;=$F37),IF(EL$5=$E37+1,$C37,""),"")</f>
        <v/>
      </c>
      <c r="EM37" s="34">
        <f>IF(AND(EM$5&gt;$E37,EM$5&lt;=$F37),IF(EM$5=$E37+1,$C37,""),"")</f>
        <v/>
      </c>
      <c r="EN37" s="34">
        <f>IF(AND(EN$5&gt;$E37,EN$5&lt;=$F37),IF(EN$5=$E37+1,$C37,""),"")</f>
        <v/>
      </c>
      <c r="EO37" s="34">
        <f>IF(AND(EO$5&gt;$E37,EO$5&lt;=$F37),IF(EO$5=$E37+1,$C37,""),"")</f>
        <v/>
      </c>
      <c r="EP37" s="34">
        <f>IF(AND(EP$5&gt;$E37,EP$5&lt;=$F37),IF(EP$5=$E37+1,$C37,""),"")</f>
        <v/>
      </c>
      <c r="EQ37" s="34">
        <f>IF(AND(EQ$5&gt;$E37,EQ$5&lt;=$F37),IF(EQ$5=$E37+1,$C37,""),"")</f>
        <v/>
      </c>
    </row>
    <row r="38">
      <c r="A38" s="32">
        <f>Plan!A29</f>
        <v/>
      </c>
      <c r="B38" s="33">
        <f>Plan!C29</f>
        <v/>
      </c>
      <c r="C38" s="16">
        <f>Plan!D29</f>
        <v/>
      </c>
      <c r="D38" s="16">
        <f>Plan!I29</f>
        <v/>
      </c>
      <c r="E38" s="16">
        <f>Plan!K29</f>
        <v/>
      </c>
      <c r="F38" s="16">
        <f>Plan!L29</f>
        <v/>
      </c>
      <c r="G38" s="16">
        <f>Plan!O29</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c r="DX38" s="34">
        <f>IF(AND(DX$5&gt;$E38,DX$5&lt;=$F38),IF(DX$5=$E38+1,$C38,""),"")</f>
        <v/>
      </c>
      <c r="DY38" s="34">
        <f>IF(AND(DY$5&gt;$E38,DY$5&lt;=$F38),IF(DY$5=$E38+1,$C38,""),"")</f>
        <v/>
      </c>
      <c r="DZ38" s="34">
        <f>IF(AND(DZ$5&gt;$E38,DZ$5&lt;=$F38),IF(DZ$5=$E38+1,$C38,""),"")</f>
        <v/>
      </c>
      <c r="EA38" s="34">
        <f>IF(AND(EA$5&gt;$E38,EA$5&lt;=$F38),IF(EA$5=$E38+1,$C38,""),"")</f>
        <v/>
      </c>
      <c r="EB38" s="34">
        <f>IF(AND(EB$5&gt;$E38,EB$5&lt;=$F38),IF(EB$5=$E38+1,$C38,""),"")</f>
        <v/>
      </c>
      <c r="EC38" s="34">
        <f>IF(AND(EC$5&gt;$E38,EC$5&lt;=$F38),IF(EC$5=$E38+1,$C38,""),"")</f>
        <v/>
      </c>
      <c r="ED38" s="34">
        <f>IF(AND(ED$5&gt;$E38,ED$5&lt;=$F38),IF(ED$5=$E38+1,$C38,""),"")</f>
        <v/>
      </c>
      <c r="EE38" s="34">
        <f>IF(AND(EE$5&gt;$E38,EE$5&lt;=$F38),IF(EE$5=$E38+1,$C38,""),"")</f>
        <v/>
      </c>
      <c r="EF38" s="34">
        <f>IF(AND(EF$5&gt;$E38,EF$5&lt;=$F38),IF(EF$5=$E38+1,$C38,""),"")</f>
        <v/>
      </c>
      <c r="EG38" s="34">
        <f>IF(AND(EG$5&gt;$E38,EG$5&lt;=$F38),IF(EG$5=$E38+1,$C38,""),"")</f>
        <v/>
      </c>
      <c r="EH38" s="34">
        <f>IF(AND(EH$5&gt;$E38,EH$5&lt;=$F38),IF(EH$5=$E38+1,$C38,""),"")</f>
        <v/>
      </c>
      <c r="EI38" s="34">
        <f>IF(AND(EI$5&gt;$E38,EI$5&lt;=$F38),IF(EI$5=$E38+1,$C38,""),"")</f>
        <v/>
      </c>
      <c r="EJ38" s="34">
        <f>IF(AND(EJ$5&gt;$E38,EJ$5&lt;=$F38),IF(EJ$5=$E38+1,$C38,""),"")</f>
        <v/>
      </c>
      <c r="EK38" s="34">
        <f>IF(AND(EK$5&gt;$E38,EK$5&lt;=$F38),IF(EK$5=$E38+1,$C38,""),"")</f>
        <v/>
      </c>
      <c r="EL38" s="34">
        <f>IF(AND(EL$5&gt;$E38,EL$5&lt;=$F38),IF(EL$5=$E38+1,$C38,""),"")</f>
        <v/>
      </c>
      <c r="EM38" s="34">
        <f>IF(AND(EM$5&gt;$E38,EM$5&lt;=$F38),IF(EM$5=$E38+1,$C38,""),"")</f>
        <v/>
      </c>
      <c r="EN38" s="34">
        <f>IF(AND(EN$5&gt;$E38,EN$5&lt;=$F38),IF(EN$5=$E38+1,$C38,""),"")</f>
        <v/>
      </c>
      <c r="EO38" s="34">
        <f>IF(AND(EO$5&gt;$E38,EO$5&lt;=$F38),IF(EO$5=$E38+1,$C38,""),"")</f>
        <v/>
      </c>
      <c r="EP38" s="34">
        <f>IF(AND(EP$5&gt;$E38,EP$5&lt;=$F38),IF(EP$5=$E38+1,$C38,""),"")</f>
        <v/>
      </c>
      <c r="EQ38" s="34">
        <f>IF(AND(EQ$5&gt;$E38,EQ$5&lt;=$F38),IF(EQ$5=$E38+1,$C38,""),"")</f>
        <v/>
      </c>
    </row>
    <row r="39">
      <c r="A39" s="32">
        <f>Plan!A30</f>
        <v/>
      </c>
      <c r="B39" s="33">
        <f>Plan!C30</f>
        <v/>
      </c>
      <c r="C39" s="16">
        <f>Plan!D30</f>
        <v/>
      </c>
      <c r="D39" s="16">
        <f>Plan!I30</f>
        <v/>
      </c>
      <c r="E39" s="16">
        <f>Plan!K30</f>
        <v/>
      </c>
      <c r="F39" s="16">
        <f>Plan!L30</f>
        <v/>
      </c>
      <c r="G39" s="16">
        <f>Plan!O30</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c r="DX39" s="34">
        <f>IF(AND(DX$5&gt;$E39,DX$5&lt;=$F39),IF(DX$5=$E39+1,$C39,""),"")</f>
        <v/>
      </c>
      <c r="DY39" s="34">
        <f>IF(AND(DY$5&gt;$E39,DY$5&lt;=$F39),IF(DY$5=$E39+1,$C39,""),"")</f>
        <v/>
      </c>
      <c r="DZ39" s="34">
        <f>IF(AND(DZ$5&gt;$E39,DZ$5&lt;=$F39),IF(DZ$5=$E39+1,$C39,""),"")</f>
        <v/>
      </c>
      <c r="EA39" s="34">
        <f>IF(AND(EA$5&gt;$E39,EA$5&lt;=$F39),IF(EA$5=$E39+1,$C39,""),"")</f>
        <v/>
      </c>
      <c r="EB39" s="34">
        <f>IF(AND(EB$5&gt;$E39,EB$5&lt;=$F39),IF(EB$5=$E39+1,$C39,""),"")</f>
        <v/>
      </c>
      <c r="EC39" s="34">
        <f>IF(AND(EC$5&gt;$E39,EC$5&lt;=$F39),IF(EC$5=$E39+1,$C39,""),"")</f>
        <v/>
      </c>
      <c r="ED39" s="34">
        <f>IF(AND(ED$5&gt;$E39,ED$5&lt;=$F39),IF(ED$5=$E39+1,$C39,""),"")</f>
        <v/>
      </c>
      <c r="EE39" s="34">
        <f>IF(AND(EE$5&gt;$E39,EE$5&lt;=$F39),IF(EE$5=$E39+1,$C39,""),"")</f>
        <v/>
      </c>
      <c r="EF39" s="34">
        <f>IF(AND(EF$5&gt;$E39,EF$5&lt;=$F39),IF(EF$5=$E39+1,$C39,""),"")</f>
        <v/>
      </c>
      <c r="EG39" s="34">
        <f>IF(AND(EG$5&gt;$E39,EG$5&lt;=$F39),IF(EG$5=$E39+1,$C39,""),"")</f>
        <v/>
      </c>
      <c r="EH39" s="34">
        <f>IF(AND(EH$5&gt;$E39,EH$5&lt;=$F39),IF(EH$5=$E39+1,$C39,""),"")</f>
        <v/>
      </c>
      <c r="EI39" s="34">
        <f>IF(AND(EI$5&gt;$E39,EI$5&lt;=$F39),IF(EI$5=$E39+1,$C39,""),"")</f>
        <v/>
      </c>
      <c r="EJ39" s="34">
        <f>IF(AND(EJ$5&gt;$E39,EJ$5&lt;=$F39),IF(EJ$5=$E39+1,$C39,""),"")</f>
        <v/>
      </c>
      <c r="EK39" s="34">
        <f>IF(AND(EK$5&gt;$E39,EK$5&lt;=$F39),IF(EK$5=$E39+1,$C39,""),"")</f>
        <v/>
      </c>
      <c r="EL39" s="34">
        <f>IF(AND(EL$5&gt;$E39,EL$5&lt;=$F39),IF(EL$5=$E39+1,$C39,""),"")</f>
        <v/>
      </c>
      <c r="EM39" s="34">
        <f>IF(AND(EM$5&gt;$E39,EM$5&lt;=$F39),IF(EM$5=$E39+1,$C39,""),"")</f>
        <v/>
      </c>
      <c r="EN39" s="34">
        <f>IF(AND(EN$5&gt;$E39,EN$5&lt;=$F39),IF(EN$5=$E39+1,$C39,""),"")</f>
        <v/>
      </c>
      <c r="EO39" s="34">
        <f>IF(AND(EO$5&gt;$E39,EO$5&lt;=$F39),IF(EO$5=$E39+1,$C39,""),"")</f>
        <v/>
      </c>
      <c r="EP39" s="34">
        <f>IF(AND(EP$5&gt;$E39,EP$5&lt;=$F39),IF(EP$5=$E39+1,$C39,""),"")</f>
        <v/>
      </c>
      <c r="EQ39" s="34">
        <f>IF(AND(EQ$5&gt;$E39,EQ$5&lt;=$F39),IF(EQ$5=$E39+1,$C39,""),"")</f>
        <v/>
      </c>
    </row>
    <row r="40">
      <c r="A40" s="32">
        <f>Plan!A31</f>
        <v/>
      </c>
      <c r="B40" s="33">
        <f>Plan!C31</f>
        <v/>
      </c>
      <c r="C40" s="16">
        <f>Plan!D31</f>
        <v/>
      </c>
      <c r="D40" s="16">
        <f>Plan!I31</f>
        <v/>
      </c>
      <c r="E40" s="16">
        <f>Plan!K31</f>
        <v/>
      </c>
      <c r="F40" s="16">
        <f>Plan!L31</f>
        <v/>
      </c>
      <c r="G40" s="16">
        <f>Plan!O31</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c r="DX40" s="34">
        <f>IF(AND(DX$5&gt;$E40,DX$5&lt;=$F40),IF(DX$5=$E40+1,$C40,""),"")</f>
        <v/>
      </c>
      <c r="DY40" s="34">
        <f>IF(AND(DY$5&gt;$E40,DY$5&lt;=$F40),IF(DY$5=$E40+1,$C40,""),"")</f>
        <v/>
      </c>
      <c r="DZ40" s="34">
        <f>IF(AND(DZ$5&gt;$E40,DZ$5&lt;=$F40),IF(DZ$5=$E40+1,$C40,""),"")</f>
        <v/>
      </c>
      <c r="EA40" s="34">
        <f>IF(AND(EA$5&gt;$E40,EA$5&lt;=$F40),IF(EA$5=$E40+1,$C40,""),"")</f>
        <v/>
      </c>
      <c r="EB40" s="34">
        <f>IF(AND(EB$5&gt;$E40,EB$5&lt;=$F40),IF(EB$5=$E40+1,$C40,""),"")</f>
        <v/>
      </c>
      <c r="EC40" s="34">
        <f>IF(AND(EC$5&gt;$E40,EC$5&lt;=$F40),IF(EC$5=$E40+1,$C40,""),"")</f>
        <v/>
      </c>
      <c r="ED40" s="34">
        <f>IF(AND(ED$5&gt;$E40,ED$5&lt;=$F40),IF(ED$5=$E40+1,$C40,""),"")</f>
        <v/>
      </c>
      <c r="EE40" s="34">
        <f>IF(AND(EE$5&gt;$E40,EE$5&lt;=$F40),IF(EE$5=$E40+1,$C40,""),"")</f>
        <v/>
      </c>
      <c r="EF40" s="34">
        <f>IF(AND(EF$5&gt;$E40,EF$5&lt;=$F40),IF(EF$5=$E40+1,$C40,""),"")</f>
        <v/>
      </c>
      <c r="EG40" s="34">
        <f>IF(AND(EG$5&gt;$E40,EG$5&lt;=$F40),IF(EG$5=$E40+1,$C40,""),"")</f>
        <v/>
      </c>
      <c r="EH40" s="34">
        <f>IF(AND(EH$5&gt;$E40,EH$5&lt;=$F40),IF(EH$5=$E40+1,$C40,""),"")</f>
        <v/>
      </c>
      <c r="EI40" s="34">
        <f>IF(AND(EI$5&gt;$E40,EI$5&lt;=$F40),IF(EI$5=$E40+1,$C40,""),"")</f>
        <v/>
      </c>
      <c r="EJ40" s="34">
        <f>IF(AND(EJ$5&gt;$E40,EJ$5&lt;=$F40),IF(EJ$5=$E40+1,$C40,""),"")</f>
        <v/>
      </c>
      <c r="EK40" s="34">
        <f>IF(AND(EK$5&gt;$E40,EK$5&lt;=$F40),IF(EK$5=$E40+1,$C40,""),"")</f>
        <v/>
      </c>
      <c r="EL40" s="34">
        <f>IF(AND(EL$5&gt;$E40,EL$5&lt;=$F40),IF(EL$5=$E40+1,$C40,""),"")</f>
        <v/>
      </c>
      <c r="EM40" s="34">
        <f>IF(AND(EM$5&gt;$E40,EM$5&lt;=$F40),IF(EM$5=$E40+1,$C40,""),"")</f>
        <v/>
      </c>
      <c r="EN40" s="34">
        <f>IF(AND(EN$5&gt;$E40,EN$5&lt;=$F40),IF(EN$5=$E40+1,$C40,""),"")</f>
        <v/>
      </c>
      <c r="EO40" s="34">
        <f>IF(AND(EO$5&gt;$E40,EO$5&lt;=$F40),IF(EO$5=$E40+1,$C40,""),"")</f>
        <v/>
      </c>
      <c r="EP40" s="34">
        <f>IF(AND(EP$5&gt;$E40,EP$5&lt;=$F40),IF(EP$5=$E40+1,$C40,""),"")</f>
        <v/>
      </c>
      <c r="EQ40" s="34">
        <f>IF(AND(EQ$5&gt;$E40,EQ$5&lt;=$F40),IF(EQ$5=$E40+1,$C40,""),"")</f>
        <v/>
      </c>
    </row>
    <row r="41">
      <c r="A41" s="32">
        <f>Plan!A32</f>
        <v/>
      </c>
      <c r="B41" s="33">
        <f>Plan!C32</f>
        <v/>
      </c>
      <c r="C41" s="16">
        <f>Plan!D32</f>
        <v/>
      </c>
      <c r="D41" s="16">
        <f>Plan!I32</f>
        <v/>
      </c>
      <c r="E41" s="16">
        <f>Plan!K32</f>
        <v/>
      </c>
      <c r="F41" s="16">
        <f>Plan!L32</f>
        <v/>
      </c>
      <c r="G41" s="16">
        <f>Plan!O32</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c r="DX41" s="34">
        <f>IF(AND(DX$5&gt;$E41,DX$5&lt;=$F41),IF(DX$5=$E41+1,$C41,""),"")</f>
        <v/>
      </c>
      <c r="DY41" s="34">
        <f>IF(AND(DY$5&gt;$E41,DY$5&lt;=$F41),IF(DY$5=$E41+1,$C41,""),"")</f>
        <v/>
      </c>
      <c r="DZ41" s="34">
        <f>IF(AND(DZ$5&gt;$E41,DZ$5&lt;=$F41),IF(DZ$5=$E41+1,$C41,""),"")</f>
        <v/>
      </c>
      <c r="EA41" s="34">
        <f>IF(AND(EA$5&gt;$E41,EA$5&lt;=$F41),IF(EA$5=$E41+1,$C41,""),"")</f>
        <v/>
      </c>
      <c r="EB41" s="34">
        <f>IF(AND(EB$5&gt;$E41,EB$5&lt;=$F41),IF(EB$5=$E41+1,$C41,""),"")</f>
        <v/>
      </c>
      <c r="EC41" s="34">
        <f>IF(AND(EC$5&gt;$E41,EC$5&lt;=$F41),IF(EC$5=$E41+1,$C41,""),"")</f>
        <v/>
      </c>
      <c r="ED41" s="34">
        <f>IF(AND(ED$5&gt;$E41,ED$5&lt;=$F41),IF(ED$5=$E41+1,$C41,""),"")</f>
        <v/>
      </c>
      <c r="EE41" s="34">
        <f>IF(AND(EE$5&gt;$E41,EE$5&lt;=$F41),IF(EE$5=$E41+1,$C41,""),"")</f>
        <v/>
      </c>
      <c r="EF41" s="34">
        <f>IF(AND(EF$5&gt;$E41,EF$5&lt;=$F41),IF(EF$5=$E41+1,$C41,""),"")</f>
        <v/>
      </c>
      <c r="EG41" s="34">
        <f>IF(AND(EG$5&gt;$E41,EG$5&lt;=$F41),IF(EG$5=$E41+1,$C41,""),"")</f>
        <v/>
      </c>
      <c r="EH41" s="34">
        <f>IF(AND(EH$5&gt;$E41,EH$5&lt;=$F41),IF(EH$5=$E41+1,$C41,""),"")</f>
        <v/>
      </c>
      <c r="EI41" s="34">
        <f>IF(AND(EI$5&gt;$E41,EI$5&lt;=$F41),IF(EI$5=$E41+1,$C41,""),"")</f>
        <v/>
      </c>
      <c r="EJ41" s="34">
        <f>IF(AND(EJ$5&gt;$E41,EJ$5&lt;=$F41),IF(EJ$5=$E41+1,$C41,""),"")</f>
        <v/>
      </c>
      <c r="EK41" s="34">
        <f>IF(AND(EK$5&gt;$E41,EK$5&lt;=$F41),IF(EK$5=$E41+1,$C41,""),"")</f>
        <v/>
      </c>
      <c r="EL41" s="34">
        <f>IF(AND(EL$5&gt;$E41,EL$5&lt;=$F41),IF(EL$5=$E41+1,$C41,""),"")</f>
        <v/>
      </c>
      <c r="EM41" s="34">
        <f>IF(AND(EM$5&gt;$E41,EM$5&lt;=$F41),IF(EM$5=$E41+1,$C41,""),"")</f>
        <v/>
      </c>
      <c r="EN41" s="34">
        <f>IF(AND(EN$5&gt;$E41,EN$5&lt;=$F41),IF(EN$5=$E41+1,$C41,""),"")</f>
        <v/>
      </c>
      <c r="EO41" s="34">
        <f>IF(AND(EO$5&gt;$E41,EO$5&lt;=$F41),IF(EO$5=$E41+1,$C41,""),"")</f>
        <v/>
      </c>
      <c r="EP41" s="34">
        <f>IF(AND(EP$5&gt;$E41,EP$5&lt;=$F41),IF(EP$5=$E41+1,$C41,""),"")</f>
        <v/>
      </c>
      <c r="EQ41" s="34">
        <f>IF(AND(EQ$5&gt;$E41,EQ$5&lt;=$F41),IF(EQ$5=$E41+1,$C41,""),"")</f>
        <v/>
      </c>
    </row>
    <row r="42">
      <c r="A42" s="32">
        <f>Plan!A33</f>
        <v/>
      </c>
      <c r="B42" s="33">
        <f>Plan!C33</f>
        <v/>
      </c>
      <c r="C42" s="16">
        <f>Plan!D33</f>
        <v/>
      </c>
      <c r="D42" s="16">
        <f>Plan!I33</f>
        <v/>
      </c>
      <c r="E42" s="16">
        <f>Plan!K33</f>
        <v/>
      </c>
      <c r="F42" s="16">
        <f>Plan!L33</f>
        <v/>
      </c>
      <c r="G42" s="16">
        <f>Plan!O33</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c r="DX42" s="34">
        <f>IF(AND(DX$5&gt;$E42,DX$5&lt;=$F42),IF(DX$5=$E42+1,$C42,""),"")</f>
        <v/>
      </c>
      <c r="DY42" s="34">
        <f>IF(AND(DY$5&gt;$E42,DY$5&lt;=$F42),IF(DY$5=$E42+1,$C42,""),"")</f>
        <v/>
      </c>
      <c r="DZ42" s="34">
        <f>IF(AND(DZ$5&gt;$E42,DZ$5&lt;=$F42),IF(DZ$5=$E42+1,$C42,""),"")</f>
        <v/>
      </c>
      <c r="EA42" s="34">
        <f>IF(AND(EA$5&gt;$E42,EA$5&lt;=$F42),IF(EA$5=$E42+1,$C42,""),"")</f>
        <v/>
      </c>
      <c r="EB42" s="34">
        <f>IF(AND(EB$5&gt;$E42,EB$5&lt;=$F42),IF(EB$5=$E42+1,$C42,""),"")</f>
        <v/>
      </c>
      <c r="EC42" s="34">
        <f>IF(AND(EC$5&gt;$E42,EC$5&lt;=$F42),IF(EC$5=$E42+1,$C42,""),"")</f>
        <v/>
      </c>
      <c r="ED42" s="34">
        <f>IF(AND(ED$5&gt;$E42,ED$5&lt;=$F42),IF(ED$5=$E42+1,$C42,""),"")</f>
        <v/>
      </c>
      <c r="EE42" s="34">
        <f>IF(AND(EE$5&gt;$E42,EE$5&lt;=$F42),IF(EE$5=$E42+1,$C42,""),"")</f>
        <v/>
      </c>
      <c r="EF42" s="34">
        <f>IF(AND(EF$5&gt;$E42,EF$5&lt;=$F42),IF(EF$5=$E42+1,$C42,""),"")</f>
        <v/>
      </c>
      <c r="EG42" s="34">
        <f>IF(AND(EG$5&gt;$E42,EG$5&lt;=$F42),IF(EG$5=$E42+1,$C42,""),"")</f>
        <v/>
      </c>
      <c r="EH42" s="34">
        <f>IF(AND(EH$5&gt;$E42,EH$5&lt;=$F42),IF(EH$5=$E42+1,$C42,""),"")</f>
        <v/>
      </c>
      <c r="EI42" s="34">
        <f>IF(AND(EI$5&gt;$E42,EI$5&lt;=$F42),IF(EI$5=$E42+1,$C42,""),"")</f>
        <v/>
      </c>
      <c r="EJ42" s="34">
        <f>IF(AND(EJ$5&gt;$E42,EJ$5&lt;=$F42),IF(EJ$5=$E42+1,$C42,""),"")</f>
        <v/>
      </c>
      <c r="EK42" s="34">
        <f>IF(AND(EK$5&gt;$E42,EK$5&lt;=$F42),IF(EK$5=$E42+1,$C42,""),"")</f>
        <v/>
      </c>
      <c r="EL42" s="34">
        <f>IF(AND(EL$5&gt;$E42,EL$5&lt;=$F42),IF(EL$5=$E42+1,$C42,""),"")</f>
        <v/>
      </c>
      <c r="EM42" s="34">
        <f>IF(AND(EM$5&gt;$E42,EM$5&lt;=$F42),IF(EM$5=$E42+1,$C42,""),"")</f>
        <v/>
      </c>
      <c r="EN42" s="34">
        <f>IF(AND(EN$5&gt;$E42,EN$5&lt;=$F42),IF(EN$5=$E42+1,$C42,""),"")</f>
        <v/>
      </c>
      <c r="EO42" s="34">
        <f>IF(AND(EO$5&gt;$E42,EO$5&lt;=$F42),IF(EO$5=$E42+1,$C42,""),"")</f>
        <v/>
      </c>
      <c r="EP42" s="34">
        <f>IF(AND(EP$5&gt;$E42,EP$5&lt;=$F42),IF(EP$5=$E42+1,$C42,""),"")</f>
        <v/>
      </c>
      <c r="EQ42" s="34">
        <f>IF(AND(EQ$5&gt;$E42,EQ$5&lt;=$F42),IF(EQ$5=$E42+1,$C42,""),"")</f>
        <v/>
      </c>
    </row>
    <row r="43">
      <c r="A43" s="32">
        <f>Plan!A34</f>
        <v/>
      </c>
      <c r="B43" s="33">
        <f>Plan!C34</f>
        <v/>
      </c>
      <c r="C43" s="16">
        <f>Plan!D34</f>
        <v/>
      </c>
      <c r="D43" s="16">
        <f>Plan!I34</f>
        <v/>
      </c>
      <c r="E43" s="16">
        <f>Plan!K34</f>
        <v/>
      </c>
      <c r="F43" s="16">
        <f>Plan!L34</f>
        <v/>
      </c>
      <c r="G43" s="16">
        <f>Plan!O34</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c r="DX43" s="34">
        <f>IF(AND(DX$5&gt;$E43,DX$5&lt;=$F43),IF(DX$5=$E43+1,$C43,""),"")</f>
        <v/>
      </c>
      <c r="DY43" s="34">
        <f>IF(AND(DY$5&gt;$E43,DY$5&lt;=$F43),IF(DY$5=$E43+1,$C43,""),"")</f>
        <v/>
      </c>
      <c r="DZ43" s="34">
        <f>IF(AND(DZ$5&gt;$E43,DZ$5&lt;=$F43),IF(DZ$5=$E43+1,$C43,""),"")</f>
        <v/>
      </c>
      <c r="EA43" s="34">
        <f>IF(AND(EA$5&gt;$E43,EA$5&lt;=$F43),IF(EA$5=$E43+1,$C43,""),"")</f>
        <v/>
      </c>
      <c r="EB43" s="34">
        <f>IF(AND(EB$5&gt;$E43,EB$5&lt;=$F43),IF(EB$5=$E43+1,$C43,""),"")</f>
        <v/>
      </c>
      <c r="EC43" s="34">
        <f>IF(AND(EC$5&gt;$E43,EC$5&lt;=$F43),IF(EC$5=$E43+1,$C43,""),"")</f>
        <v/>
      </c>
      <c r="ED43" s="34">
        <f>IF(AND(ED$5&gt;$E43,ED$5&lt;=$F43),IF(ED$5=$E43+1,$C43,""),"")</f>
        <v/>
      </c>
      <c r="EE43" s="34">
        <f>IF(AND(EE$5&gt;$E43,EE$5&lt;=$F43),IF(EE$5=$E43+1,$C43,""),"")</f>
        <v/>
      </c>
      <c r="EF43" s="34">
        <f>IF(AND(EF$5&gt;$E43,EF$5&lt;=$F43),IF(EF$5=$E43+1,$C43,""),"")</f>
        <v/>
      </c>
      <c r="EG43" s="34">
        <f>IF(AND(EG$5&gt;$E43,EG$5&lt;=$F43),IF(EG$5=$E43+1,$C43,""),"")</f>
        <v/>
      </c>
      <c r="EH43" s="34">
        <f>IF(AND(EH$5&gt;$E43,EH$5&lt;=$F43),IF(EH$5=$E43+1,$C43,""),"")</f>
        <v/>
      </c>
      <c r="EI43" s="34">
        <f>IF(AND(EI$5&gt;$E43,EI$5&lt;=$F43),IF(EI$5=$E43+1,$C43,""),"")</f>
        <v/>
      </c>
      <c r="EJ43" s="34">
        <f>IF(AND(EJ$5&gt;$E43,EJ$5&lt;=$F43),IF(EJ$5=$E43+1,$C43,""),"")</f>
        <v/>
      </c>
      <c r="EK43" s="34">
        <f>IF(AND(EK$5&gt;$E43,EK$5&lt;=$F43),IF(EK$5=$E43+1,$C43,""),"")</f>
        <v/>
      </c>
      <c r="EL43" s="34">
        <f>IF(AND(EL$5&gt;$E43,EL$5&lt;=$F43),IF(EL$5=$E43+1,$C43,""),"")</f>
        <v/>
      </c>
      <c r="EM43" s="34">
        <f>IF(AND(EM$5&gt;$E43,EM$5&lt;=$F43),IF(EM$5=$E43+1,$C43,""),"")</f>
        <v/>
      </c>
      <c r="EN43" s="34">
        <f>IF(AND(EN$5&gt;$E43,EN$5&lt;=$F43),IF(EN$5=$E43+1,$C43,""),"")</f>
        <v/>
      </c>
      <c r="EO43" s="34">
        <f>IF(AND(EO$5&gt;$E43,EO$5&lt;=$F43),IF(EO$5=$E43+1,$C43,""),"")</f>
        <v/>
      </c>
      <c r="EP43" s="34">
        <f>IF(AND(EP$5&gt;$E43,EP$5&lt;=$F43),IF(EP$5=$E43+1,$C43,""),"")</f>
        <v/>
      </c>
      <c r="EQ43" s="34">
        <f>IF(AND(EQ$5&gt;$E43,EQ$5&lt;=$F43),IF(EQ$5=$E43+1,$C43,""),"")</f>
        <v/>
      </c>
    </row>
    <row r="44">
      <c r="A44" s="32">
        <f>Plan!A35</f>
        <v/>
      </c>
      <c r="B44" s="33">
        <f>Plan!C35</f>
        <v/>
      </c>
      <c r="C44" s="16">
        <f>Plan!D35</f>
        <v/>
      </c>
      <c r="D44" s="16">
        <f>Plan!I35</f>
        <v/>
      </c>
      <c r="E44" s="16">
        <f>Plan!K35</f>
        <v/>
      </c>
      <c r="F44" s="16">
        <f>Plan!L35</f>
        <v/>
      </c>
      <c r="G44" s="16">
        <f>Plan!O35</f>
        <v/>
      </c>
      <c r="H44" s="34">
        <f>IF(AND(H$5&gt;$E44,H$5&lt;=$F44),IF(H$5=$E44+1,$C44,""),"")</f>
        <v/>
      </c>
      <c r="I44" s="34">
        <f>IF(AND(I$5&gt;$E44,I$5&lt;=$F44),IF(I$5=$E44+1,$C44,""),"")</f>
        <v/>
      </c>
      <c r="J44" s="34">
        <f>IF(AND(J$5&gt;$E44,J$5&lt;=$F44),IF(J$5=$E44+1,$C44,""),"")</f>
        <v/>
      </c>
      <c r="K44" s="34">
        <f>IF(AND(K$5&gt;$E44,K$5&lt;=$F44),IF(K$5=$E44+1,$C44,""),"")</f>
        <v/>
      </c>
      <c r="L44" s="34">
        <f>IF(AND(L$5&gt;$E44,L$5&lt;=$F44),IF(L$5=$E44+1,$C44,""),"")</f>
        <v/>
      </c>
      <c r="M44" s="34">
        <f>IF(AND(M$5&gt;$E44,M$5&lt;=$F44),IF(M$5=$E44+1,$C44,""),"")</f>
        <v/>
      </c>
      <c r="N44" s="34">
        <f>IF(AND(N$5&gt;$E44,N$5&lt;=$F44),IF(N$5=$E44+1,$C44,""),"")</f>
        <v/>
      </c>
      <c r="O44" s="34">
        <f>IF(AND(O$5&gt;$E44,O$5&lt;=$F44),IF(O$5=$E44+1,$C44,""),"")</f>
        <v/>
      </c>
      <c r="P44" s="34">
        <f>IF(AND(P$5&gt;$E44,P$5&lt;=$F44),IF(P$5=$E44+1,$C44,""),"")</f>
        <v/>
      </c>
      <c r="Q44" s="34">
        <f>IF(AND(Q$5&gt;$E44,Q$5&lt;=$F44),IF(Q$5=$E44+1,$C44,""),"")</f>
        <v/>
      </c>
      <c r="R44" s="34">
        <f>IF(AND(R$5&gt;$E44,R$5&lt;=$F44),IF(R$5=$E44+1,$C44,""),"")</f>
        <v/>
      </c>
      <c r="S44" s="34">
        <f>IF(AND(S$5&gt;$E44,S$5&lt;=$F44),IF(S$5=$E44+1,$C44,""),"")</f>
        <v/>
      </c>
      <c r="T44" s="34">
        <f>IF(AND(T$5&gt;$E44,T$5&lt;=$F44),IF(T$5=$E44+1,$C44,""),"")</f>
        <v/>
      </c>
      <c r="U44" s="34">
        <f>IF(AND(U$5&gt;$E44,U$5&lt;=$F44),IF(U$5=$E44+1,$C44,""),"")</f>
        <v/>
      </c>
      <c r="V44" s="34">
        <f>IF(AND(V$5&gt;$E44,V$5&lt;=$F44),IF(V$5=$E44+1,$C44,""),"")</f>
        <v/>
      </c>
      <c r="W44" s="34">
        <f>IF(AND(W$5&gt;$E44,W$5&lt;=$F44),IF(W$5=$E44+1,$C44,""),"")</f>
        <v/>
      </c>
      <c r="X44" s="34">
        <f>IF(AND(X$5&gt;$E44,X$5&lt;=$F44),IF(X$5=$E44+1,$C44,""),"")</f>
        <v/>
      </c>
      <c r="Y44" s="34">
        <f>IF(AND(Y$5&gt;$E44,Y$5&lt;=$F44),IF(Y$5=$E44+1,$C44,""),"")</f>
        <v/>
      </c>
      <c r="Z44" s="34">
        <f>IF(AND(Z$5&gt;$E44,Z$5&lt;=$F44),IF(Z$5=$E44+1,$C44,""),"")</f>
        <v/>
      </c>
      <c r="AA44" s="34">
        <f>IF(AND(AA$5&gt;$E44,AA$5&lt;=$F44),IF(AA$5=$E44+1,$C44,""),"")</f>
        <v/>
      </c>
      <c r="AB44" s="34">
        <f>IF(AND(AB$5&gt;$E44,AB$5&lt;=$F44),IF(AB$5=$E44+1,$C44,""),"")</f>
        <v/>
      </c>
      <c r="AC44" s="34">
        <f>IF(AND(AC$5&gt;$E44,AC$5&lt;=$F44),IF(AC$5=$E44+1,$C44,""),"")</f>
        <v/>
      </c>
      <c r="AD44" s="34">
        <f>IF(AND(AD$5&gt;$E44,AD$5&lt;=$F44),IF(AD$5=$E44+1,$C44,""),"")</f>
        <v/>
      </c>
      <c r="AE44" s="34">
        <f>IF(AND(AE$5&gt;$E44,AE$5&lt;=$F44),IF(AE$5=$E44+1,$C44,""),"")</f>
        <v/>
      </c>
      <c r="AF44" s="34">
        <f>IF(AND(AF$5&gt;$E44,AF$5&lt;=$F44),IF(AF$5=$E44+1,$C44,""),"")</f>
        <v/>
      </c>
      <c r="AG44" s="34">
        <f>IF(AND(AG$5&gt;$E44,AG$5&lt;=$F44),IF(AG$5=$E44+1,$C44,""),"")</f>
        <v/>
      </c>
      <c r="AH44" s="34">
        <f>IF(AND(AH$5&gt;$E44,AH$5&lt;=$F44),IF(AH$5=$E44+1,$C44,""),"")</f>
        <v/>
      </c>
      <c r="AI44" s="34">
        <f>IF(AND(AI$5&gt;$E44,AI$5&lt;=$F44),IF(AI$5=$E44+1,$C44,""),"")</f>
        <v/>
      </c>
      <c r="AJ44" s="34">
        <f>IF(AND(AJ$5&gt;$E44,AJ$5&lt;=$F44),IF(AJ$5=$E44+1,$C44,""),"")</f>
        <v/>
      </c>
      <c r="AK44" s="34">
        <f>IF(AND(AK$5&gt;$E44,AK$5&lt;=$F44),IF(AK$5=$E44+1,$C44,""),"")</f>
        <v/>
      </c>
      <c r="AL44" s="34">
        <f>IF(AND(AL$5&gt;$E44,AL$5&lt;=$F44),IF(AL$5=$E44+1,$C44,""),"")</f>
        <v/>
      </c>
      <c r="AM44" s="34">
        <f>IF(AND(AM$5&gt;$E44,AM$5&lt;=$F44),IF(AM$5=$E44+1,$C44,""),"")</f>
        <v/>
      </c>
      <c r="AN44" s="34">
        <f>IF(AND(AN$5&gt;$E44,AN$5&lt;=$F44),IF(AN$5=$E44+1,$C44,""),"")</f>
        <v/>
      </c>
      <c r="AO44" s="34">
        <f>IF(AND(AO$5&gt;$E44,AO$5&lt;=$F44),IF(AO$5=$E44+1,$C44,""),"")</f>
        <v/>
      </c>
      <c r="AP44" s="34">
        <f>IF(AND(AP$5&gt;$E44,AP$5&lt;=$F44),IF(AP$5=$E44+1,$C44,""),"")</f>
        <v/>
      </c>
      <c r="AQ44" s="34">
        <f>IF(AND(AQ$5&gt;$E44,AQ$5&lt;=$F44),IF(AQ$5=$E44+1,$C44,""),"")</f>
        <v/>
      </c>
      <c r="AR44" s="34">
        <f>IF(AND(AR$5&gt;$E44,AR$5&lt;=$F44),IF(AR$5=$E44+1,$C44,""),"")</f>
        <v/>
      </c>
      <c r="AS44" s="34">
        <f>IF(AND(AS$5&gt;$E44,AS$5&lt;=$F44),IF(AS$5=$E44+1,$C44,""),"")</f>
        <v/>
      </c>
      <c r="AT44" s="34">
        <f>IF(AND(AT$5&gt;$E44,AT$5&lt;=$F44),IF(AT$5=$E44+1,$C44,""),"")</f>
        <v/>
      </c>
      <c r="AU44" s="34">
        <f>IF(AND(AU$5&gt;$E44,AU$5&lt;=$F44),IF(AU$5=$E44+1,$C44,""),"")</f>
        <v/>
      </c>
      <c r="AV44" s="34">
        <f>IF(AND(AV$5&gt;$E44,AV$5&lt;=$F44),IF(AV$5=$E44+1,$C44,""),"")</f>
        <v/>
      </c>
      <c r="AW44" s="34">
        <f>IF(AND(AW$5&gt;$E44,AW$5&lt;=$F44),IF(AW$5=$E44+1,$C44,""),"")</f>
        <v/>
      </c>
      <c r="AX44" s="34">
        <f>IF(AND(AX$5&gt;$E44,AX$5&lt;=$F44),IF(AX$5=$E44+1,$C44,""),"")</f>
        <v/>
      </c>
      <c r="AY44" s="34">
        <f>IF(AND(AY$5&gt;$E44,AY$5&lt;=$F44),IF(AY$5=$E44+1,$C44,""),"")</f>
        <v/>
      </c>
      <c r="AZ44" s="34">
        <f>IF(AND(AZ$5&gt;$E44,AZ$5&lt;=$F44),IF(AZ$5=$E44+1,$C44,""),"")</f>
        <v/>
      </c>
      <c r="BA44" s="34">
        <f>IF(AND(BA$5&gt;$E44,BA$5&lt;=$F44),IF(BA$5=$E44+1,$C44,""),"")</f>
        <v/>
      </c>
      <c r="BB44" s="34">
        <f>IF(AND(BB$5&gt;$E44,BB$5&lt;=$F44),IF(BB$5=$E44+1,$C44,""),"")</f>
        <v/>
      </c>
      <c r="BC44" s="34">
        <f>IF(AND(BC$5&gt;$E44,BC$5&lt;=$F44),IF(BC$5=$E44+1,$C44,""),"")</f>
        <v/>
      </c>
      <c r="BD44" s="34">
        <f>IF(AND(BD$5&gt;$E44,BD$5&lt;=$F44),IF(BD$5=$E44+1,$C44,""),"")</f>
        <v/>
      </c>
      <c r="BE44" s="34">
        <f>IF(AND(BE$5&gt;$E44,BE$5&lt;=$F44),IF(BE$5=$E44+1,$C44,""),"")</f>
        <v/>
      </c>
      <c r="BF44" s="34">
        <f>IF(AND(BF$5&gt;$E44,BF$5&lt;=$F44),IF(BF$5=$E44+1,$C44,""),"")</f>
        <v/>
      </c>
      <c r="BG44" s="34">
        <f>IF(AND(BG$5&gt;$E44,BG$5&lt;=$F44),IF(BG$5=$E44+1,$C44,""),"")</f>
        <v/>
      </c>
      <c r="BH44" s="34">
        <f>IF(AND(BH$5&gt;$E44,BH$5&lt;=$F44),IF(BH$5=$E44+1,$C44,""),"")</f>
        <v/>
      </c>
      <c r="BI44" s="34">
        <f>IF(AND(BI$5&gt;$E44,BI$5&lt;=$F44),IF(BI$5=$E44+1,$C44,""),"")</f>
        <v/>
      </c>
      <c r="BJ44" s="34">
        <f>IF(AND(BJ$5&gt;$E44,BJ$5&lt;=$F44),IF(BJ$5=$E44+1,$C44,""),"")</f>
        <v/>
      </c>
      <c r="BK44" s="34">
        <f>IF(AND(BK$5&gt;$E44,BK$5&lt;=$F44),IF(BK$5=$E44+1,$C44,""),"")</f>
        <v/>
      </c>
      <c r="BL44" s="34">
        <f>IF(AND(BL$5&gt;$E44,BL$5&lt;=$F44),IF(BL$5=$E44+1,$C44,""),"")</f>
        <v/>
      </c>
      <c r="BM44" s="34">
        <f>IF(AND(BM$5&gt;$E44,BM$5&lt;=$F44),IF(BM$5=$E44+1,$C44,""),"")</f>
        <v/>
      </c>
      <c r="BN44" s="34">
        <f>IF(AND(BN$5&gt;$E44,BN$5&lt;=$F44),IF(BN$5=$E44+1,$C44,""),"")</f>
        <v/>
      </c>
      <c r="BO44" s="34">
        <f>IF(AND(BO$5&gt;$E44,BO$5&lt;=$F44),IF(BO$5=$E44+1,$C44,""),"")</f>
        <v/>
      </c>
      <c r="BP44" s="34">
        <f>IF(AND(BP$5&gt;$E44,BP$5&lt;=$F44),IF(BP$5=$E44+1,$C44,""),"")</f>
        <v/>
      </c>
      <c r="BQ44" s="34">
        <f>IF(AND(BQ$5&gt;$E44,BQ$5&lt;=$F44),IF(BQ$5=$E44+1,$C44,""),"")</f>
        <v/>
      </c>
      <c r="BR44" s="34">
        <f>IF(AND(BR$5&gt;$E44,BR$5&lt;=$F44),IF(BR$5=$E44+1,$C44,""),"")</f>
        <v/>
      </c>
      <c r="BS44" s="34">
        <f>IF(AND(BS$5&gt;$E44,BS$5&lt;=$F44),IF(BS$5=$E44+1,$C44,""),"")</f>
        <v/>
      </c>
      <c r="BT44" s="34">
        <f>IF(AND(BT$5&gt;$E44,BT$5&lt;=$F44),IF(BT$5=$E44+1,$C44,""),"")</f>
        <v/>
      </c>
      <c r="BU44" s="34">
        <f>IF(AND(BU$5&gt;$E44,BU$5&lt;=$F44),IF(BU$5=$E44+1,$C44,""),"")</f>
        <v/>
      </c>
      <c r="BV44" s="34">
        <f>IF(AND(BV$5&gt;$E44,BV$5&lt;=$F44),IF(BV$5=$E44+1,$C44,""),"")</f>
        <v/>
      </c>
      <c r="BW44" s="34">
        <f>IF(AND(BW$5&gt;$E44,BW$5&lt;=$F44),IF(BW$5=$E44+1,$C44,""),"")</f>
        <v/>
      </c>
      <c r="BX44" s="34">
        <f>IF(AND(BX$5&gt;$E44,BX$5&lt;=$F44),IF(BX$5=$E44+1,$C44,""),"")</f>
        <v/>
      </c>
      <c r="BY44" s="34">
        <f>IF(AND(BY$5&gt;$E44,BY$5&lt;=$F44),IF(BY$5=$E44+1,$C44,""),"")</f>
        <v/>
      </c>
      <c r="BZ44" s="34">
        <f>IF(AND(BZ$5&gt;$E44,BZ$5&lt;=$F44),IF(BZ$5=$E44+1,$C44,""),"")</f>
        <v/>
      </c>
      <c r="CA44" s="34">
        <f>IF(AND(CA$5&gt;$E44,CA$5&lt;=$F44),IF(CA$5=$E44+1,$C44,""),"")</f>
        <v/>
      </c>
      <c r="CB44" s="34">
        <f>IF(AND(CB$5&gt;$E44,CB$5&lt;=$F44),IF(CB$5=$E44+1,$C44,""),"")</f>
        <v/>
      </c>
      <c r="CC44" s="34">
        <f>IF(AND(CC$5&gt;$E44,CC$5&lt;=$F44),IF(CC$5=$E44+1,$C44,""),"")</f>
        <v/>
      </c>
      <c r="CD44" s="34">
        <f>IF(AND(CD$5&gt;$E44,CD$5&lt;=$F44),IF(CD$5=$E44+1,$C44,""),"")</f>
        <v/>
      </c>
      <c r="CE44" s="34">
        <f>IF(AND(CE$5&gt;$E44,CE$5&lt;=$F44),IF(CE$5=$E44+1,$C44,""),"")</f>
        <v/>
      </c>
      <c r="CF44" s="34">
        <f>IF(AND(CF$5&gt;$E44,CF$5&lt;=$F44),IF(CF$5=$E44+1,$C44,""),"")</f>
        <v/>
      </c>
      <c r="CG44" s="34">
        <f>IF(AND(CG$5&gt;$E44,CG$5&lt;=$F44),IF(CG$5=$E44+1,$C44,""),"")</f>
        <v/>
      </c>
      <c r="CH44" s="34">
        <f>IF(AND(CH$5&gt;$E44,CH$5&lt;=$F44),IF(CH$5=$E44+1,$C44,""),"")</f>
        <v/>
      </c>
      <c r="CI44" s="34">
        <f>IF(AND(CI$5&gt;$E44,CI$5&lt;=$F44),IF(CI$5=$E44+1,$C44,""),"")</f>
        <v/>
      </c>
      <c r="CJ44" s="34">
        <f>IF(AND(CJ$5&gt;$E44,CJ$5&lt;=$F44),IF(CJ$5=$E44+1,$C44,""),"")</f>
        <v/>
      </c>
      <c r="CK44" s="34">
        <f>IF(AND(CK$5&gt;$E44,CK$5&lt;=$F44),IF(CK$5=$E44+1,$C44,""),"")</f>
        <v/>
      </c>
      <c r="CL44" s="34">
        <f>IF(AND(CL$5&gt;$E44,CL$5&lt;=$F44),IF(CL$5=$E44+1,$C44,""),"")</f>
        <v/>
      </c>
      <c r="CM44" s="34">
        <f>IF(AND(CM$5&gt;$E44,CM$5&lt;=$F44),IF(CM$5=$E44+1,$C44,""),"")</f>
        <v/>
      </c>
      <c r="CN44" s="34">
        <f>IF(AND(CN$5&gt;$E44,CN$5&lt;=$F44),IF(CN$5=$E44+1,$C44,""),"")</f>
        <v/>
      </c>
      <c r="CO44" s="34">
        <f>IF(AND(CO$5&gt;$E44,CO$5&lt;=$F44),IF(CO$5=$E44+1,$C44,""),"")</f>
        <v/>
      </c>
      <c r="CP44" s="34">
        <f>IF(AND(CP$5&gt;$E44,CP$5&lt;=$F44),IF(CP$5=$E44+1,$C44,""),"")</f>
        <v/>
      </c>
      <c r="CQ44" s="34">
        <f>IF(AND(CQ$5&gt;$E44,CQ$5&lt;=$F44),IF(CQ$5=$E44+1,$C44,""),"")</f>
        <v/>
      </c>
      <c r="CR44" s="34">
        <f>IF(AND(CR$5&gt;$E44,CR$5&lt;=$F44),IF(CR$5=$E44+1,$C44,""),"")</f>
        <v/>
      </c>
      <c r="CS44" s="34">
        <f>IF(AND(CS$5&gt;$E44,CS$5&lt;=$F44),IF(CS$5=$E44+1,$C44,""),"")</f>
        <v/>
      </c>
      <c r="CT44" s="34">
        <f>IF(AND(CT$5&gt;$E44,CT$5&lt;=$F44),IF(CT$5=$E44+1,$C44,""),"")</f>
        <v/>
      </c>
      <c r="CU44" s="34">
        <f>IF(AND(CU$5&gt;$E44,CU$5&lt;=$F44),IF(CU$5=$E44+1,$C44,""),"")</f>
        <v/>
      </c>
      <c r="CV44" s="34">
        <f>IF(AND(CV$5&gt;$E44,CV$5&lt;=$F44),IF(CV$5=$E44+1,$C44,""),"")</f>
        <v/>
      </c>
      <c r="CW44" s="34">
        <f>IF(AND(CW$5&gt;$E44,CW$5&lt;=$F44),IF(CW$5=$E44+1,$C44,""),"")</f>
        <v/>
      </c>
      <c r="CX44" s="34">
        <f>IF(AND(CX$5&gt;$E44,CX$5&lt;=$F44),IF(CX$5=$E44+1,$C44,""),"")</f>
        <v/>
      </c>
      <c r="CY44" s="34">
        <f>IF(AND(CY$5&gt;$E44,CY$5&lt;=$F44),IF(CY$5=$E44+1,$C44,""),"")</f>
        <v/>
      </c>
      <c r="CZ44" s="34">
        <f>IF(AND(CZ$5&gt;$E44,CZ$5&lt;=$F44),IF(CZ$5=$E44+1,$C44,""),"")</f>
        <v/>
      </c>
      <c r="DA44" s="34">
        <f>IF(AND(DA$5&gt;$E44,DA$5&lt;=$F44),IF(DA$5=$E44+1,$C44,""),"")</f>
        <v/>
      </c>
      <c r="DB44" s="34">
        <f>IF(AND(DB$5&gt;$E44,DB$5&lt;=$F44),IF(DB$5=$E44+1,$C44,""),"")</f>
        <v/>
      </c>
      <c r="DC44" s="34">
        <f>IF(AND(DC$5&gt;$E44,DC$5&lt;=$F44),IF(DC$5=$E44+1,$C44,""),"")</f>
        <v/>
      </c>
      <c r="DD44" s="34">
        <f>IF(AND(DD$5&gt;$E44,DD$5&lt;=$F44),IF(DD$5=$E44+1,$C44,""),"")</f>
        <v/>
      </c>
      <c r="DE44" s="34">
        <f>IF(AND(DE$5&gt;$E44,DE$5&lt;=$F44),IF(DE$5=$E44+1,$C44,""),"")</f>
        <v/>
      </c>
      <c r="DF44" s="34">
        <f>IF(AND(DF$5&gt;$E44,DF$5&lt;=$F44),IF(DF$5=$E44+1,$C44,""),"")</f>
        <v/>
      </c>
      <c r="DG44" s="34">
        <f>IF(AND(DG$5&gt;$E44,DG$5&lt;=$F44),IF(DG$5=$E44+1,$C44,""),"")</f>
        <v/>
      </c>
      <c r="DH44" s="34">
        <f>IF(AND(DH$5&gt;$E44,DH$5&lt;=$F44),IF(DH$5=$E44+1,$C44,""),"")</f>
        <v/>
      </c>
      <c r="DI44" s="34">
        <f>IF(AND(DI$5&gt;$E44,DI$5&lt;=$F44),IF(DI$5=$E44+1,$C44,""),"")</f>
        <v/>
      </c>
      <c r="DJ44" s="34">
        <f>IF(AND(DJ$5&gt;$E44,DJ$5&lt;=$F44),IF(DJ$5=$E44+1,$C44,""),"")</f>
        <v/>
      </c>
      <c r="DK44" s="34">
        <f>IF(AND(DK$5&gt;$E44,DK$5&lt;=$F44),IF(DK$5=$E44+1,$C44,""),"")</f>
        <v/>
      </c>
      <c r="DL44" s="34">
        <f>IF(AND(DL$5&gt;$E44,DL$5&lt;=$F44),IF(DL$5=$E44+1,$C44,""),"")</f>
        <v/>
      </c>
      <c r="DM44" s="34">
        <f>IF(AND(DM$5&gt;$E44,DM$5&lt;=$F44),IF(DM$5=$E44+1,$C44,""),"")</f>
        <v/>
      </c>
      <c r="DN44" s="34">
        <f>IF(AND(DN$5&gt;$E44,DN$5&lt;=$F44),IF(DN$5=$E44+1,$C44,""),"")</f>
        <v/>
      </c>
      <c r="DO44" s="34">
        <f>IF(AND(DO$5&gt;$E44,DO$5&lt;=$F44),IF(DO$5=$E44+1,$C44,""),"")</f>
        <v/>
      </c>
      <c r="DP44" s="34">
        <f>IF(AND(DP$5&gt;$E44,DP$5&lt;=$F44),IF(DP$5=$E44+1,$C44,""),"")</f>
        <v/>
      </c>
      <c r="DQ44" s="34">
        <f>IF(AND(DQ$5&gt;$E44,DQ$5&lt;=$F44),IF(DQ$5=$E44+1,$C44,""),"")</f>
        <v/>
      </c>
      <c r="DR44" s="34">
        <f>IF(AND(DR$5&gt;$E44,DR$5&lt;=$F44),IF(DR$5=$E44+1,$C44,""),"")</f>
        <v/>
      </c>
      <c r="DS44" s="34">
        <f>IF(AND(DS$5&gt;$E44,DS$5&lt;=$F44),IF(DS$5=$E44+1,$C44,""),"")</f>
        <v/>
      </c>
      <c r="DT44" s="34">
        <f>IF(AND(DT$5&gt;$E44,DT$5&lt;=$F44),IF(DT$5=$E44+1,$C44,""),"")</f>
        <v/>
      </c>
      <c r="DU44" s="34">
        <f>IF(AND(DU$5&gt;$E44,DU$5&lt;=$F44),IF(DU$5=$E44+1,$C44,""),"")</f>
        <v/>
      </c>
      <c r="DV44" s="34">
        <f>IF(AND(DV$5&gt;$E44,DV$5&lt;=$F44),IF(DV$5=$E44+1,$C44,""),"")</f>
        <v/>
      </c>
      <c r="DW44" s="34">
        <f>IF(AND(DW$5&gt;$E44,DW$5&lt;=$F44),IF(DW$5=$E44+1,$C44,""),"")</f>
        <v/>
      </c>
      <c r="DX44" s="34">
        <f>IF(AND(DX$5&gt;$E44,DX$5&lt;=$F44),IF(DX$5=$E44+1,$C44,""),"")</f>
        <v/>
      </c>
      <c r="DY44" s="34">
        <f>IF(AND(DY$5&gt;$E44,DY$5&lt;=$F44),IF(DY$5=$E44+1,$C44,""),"")</f>
        <v/>
      </c>
      <c r="DZ44" s="34">
        <f>IF(AND(DZ$5&gt;$E44,DZ$5&lt;=$F44),IF(DZ$5=$E44+1,$C44,""),"")</f>
        <v/>
      </c>
      <c r="EA44" s="34">
        <f>IF(AND(EA$5&gt;$E44,EA$5&lt;=$F44),IF(EA$5=$E44+1,$C44,""),"")</f>
        <v/>
      </c>
      <c r="EB44" s="34">
        <f>IF(AND(EB$5&gt;$E44,EB$5&lt;=$F44),IF(EB$5=$E44+1,$C44,""),"")</f>
        <v/>
      </c>
      <c r="EC44" s="34">
        <f>IF(AND(EC$5&gt;$E44,EC$5&lt;=$F44),IF(EC$5=$E44+1,$C44,""),"")</f>
        <v/>
      </c>
      <c r="ED44" s="34">
        <f>IF(AND(ED$5&gt;$E44,ED$5&lt;=$F44),IF(ED$5=$E44+1,$C44,""),"")</f>
        <v/>
      </c>
      <c r="EE44" s="34">
        <f>IF(AND(EE$5&gt;$E44,EE$5&lt;=$F44),IF(EE$5=$E44+1,$C44,""),"")</f>
        <v/>
      </c>
      <c r="EF44" s="34">
        <f>IF(AND(EF$5&gt;$E44,EF$5&lt;=$F44),IF(EF$5=$E44+1,$C44,""),"")</f>
        <v/>
      </c>
      <c r="EG44" s="34">
        <f>IF(AND(EG$5&gt;$E44,EG$5&lt;=$F44),IF(EG$5=$E44+1,$C44,""),"")</f>
        <v/>
      </c>
      <c r="EH44" s="34">
        <f>IF(AND(EH$5&gt;$E44,EH$5&lt;=$F44),IF(EH$5=$E44+1,$C44,""),"")</f>
        <v/>
      </c>
      <c r="EI44" s="34">
        <f>IF(AND(EI$5&gt;$E44,EI$5&lt;=$F44),IF(EI$5=$E44+1,$C44,""),"")</f>
        <v/>
      </c>
      <c r="EJ44" s="34">
        <f>IF(AND(EJ$5&gt;$E44,EJ$5&lt;=$F44),IF(EJ$5=$E44+1,$C44,""),"")</f>
        <v/>
      </c>
      <c r="EK44" s="34">
        <f>IF(AND(EK$5&gt;$E44,EK$5&lt;=$F44),IF(EK$5=$E44+1,$C44,""),"")</f>
        <v/>
      </c>
      <c r="EL44" s="34">
        <f>IF(AND(EL$5&gt;$E44,EL$5&lt;=$F44),IF(EL$5=$E44+1,$C44,""),"")</f>
        <v/>
      </c>
      <c r="EM44" s="34">
        <f>IF(AND(EM$5&gt;$E44,EM$5&lt;=$F44),IF(EM$5=$E44+1,$C44,""),"")</f>
        <v/>
      </c>
      <c r="EN44" s="34">
        <f>IF(AND(EN$5&gt;$E44,EN$5&lt;=$F44),IF(EN$5=$E44+1,$C44,""),"")</f>
        <v/>
      </c>
      <c r="EO44" s="34">
        <f>IF(AND(EO$5&gt;$E44,EO$5&lt;=$F44),IF(EO$5=$E44+1,$C44,""),"")</f>
        <v/>
      </c>
      <c r="EP44" s="34">
        <f>IF(AND(EP$5&gt;$E44,EP$5&lt;=$F44),IF(EP$5=$E44+1,$C44,""),"")</f>
        <v/>
      </c>
      <c r="EQ44" s="34">
        <f>IF(AND(EQ$5&gt;$E44,EQ$5&lt;=$F44),IF(EQ$5=$E44+1,$C44,""),"")</f>
        <v/>
      </c>
    </row>
    <row r="45">
      <c r="A45" s="32">
        <f>Plan!A36</f>
        <v/>
      </c>
      <c r="B45" s="33">
        <f>Plan!C36</f>
        <v/>
      </c>
      <c r="C45" s="16">
        <f>Plan!D36</f>
        <v/>
      </c>
      <c r="D45" s="16">
        <f>Plan!I36</f>
        <v/>
      </c>
      <c r="E45" s="16">
        <f>Plan!K36</f>
        <v/>
      </c>
      <c r="F45" s="16">
        <f>Plan!L36</f>
        <v/>
      </c>
      <c r="G45" s="16">
        <f>Plan!O36</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c r="DX45" s="34">
        <f>IF(AND(DX$5&gt;$E45,DX$5&lt;=$F45),IF(DX$5=$E45+1,$C45,""),"")</f>
        <v/>
      </c>
      <c r="DY45" s="34">
        <f>IF(AND(DY$5&gt;$E45,DY$5&lt;=$F45),IF(DY$5=$E45+1,$C45,""),"")</f>
        <v/>
      </c>
      <c r="DZ45" s="34">
        <f>IF(AND(DZ$5&gt;$E45,DZ$5&lt;=$F45),IF(DZ$5=$E45+1,$C45,""),"")</f>
        <v/>
      </c>
      <c r="EA45" s="34">
        <f>IF(AND(EA$5&gt;$E45,EA$5&lt;=$F45),IF(EA$5=$E45+1,$C45,""),"")</f>
        <v/>
      </c>
      <c r="EB45" s="34">
        <f>IF(AND(EB$5&gt;$E45,EB$5&lt;=$F45),IF(EB$5=$E45+1,$C45,""),"")</f>
        <v/>
      </c>
      <c r="EC45" s="34">
        <f>IF(AND(EC$5&gt;$E45,EC$5&lt;=$F45),IF(EC$5=$E45+1,$C45,""),"")</f>
        <v/>
      </c>
      <c r="ED45" s="34">
        <f>IF(AND(ED$5&gt;$E45,ED$5&lt;=$F45),IF(ED$5=$E45+1,$C45,""),"")</f>
        <v/>
      </c>
      <c r="EE45" s="34">
        <f>IF(AND(EE$5&gt;$E45,EE$5&lt;=$F45),IF(EE$5=$E45+1,$C45,""),"")</f>
        <v/>
      </c>
      <c r="EF45" s="34">
        <f>IF(AND(EF$5&gt;$E45,EF$5&lt;=$F45),IF(EF$5=$E45+1,$C45,""),"")</f>
        <v/>
      </c>
      <c r="EG45" s="34">
        <f>IF(AND(EG$5&gt;$E45,EG$5&lt;=$F45),IF(EG$5=$E45+1,$C45,""),"")</f>
        <v/>
      </c>
      <c r="EH45" s="34">
        <f>IF(AND(EH$5&gt;$E45,EH$5&lt;=$F45),IF(EH$5=$E45+1,$C45,""),"")</f>
        <v/>
      </c>
      <c r="EI45" s="34">
        <f>IF(AND(EI$5&gt;$E45,EI$5&lt;=$F45),IF(EI$5=$E45+1,$C45,""),"")</f>
        <v/>
      </c>
      <c r="EJ45" s="34">
        <f>IF(AND(EJ$5&gt;$E45,EJ$5&lt;=$F45),IF(EJ$5=$E45+1,$C45,""),"")</f>
        <v/>
      </c>
      <c r="EK45" s="34">
        <f>IF(AND(EK$5&gt;$E45,EK$5&lt;=$F45),IF(EK$5=$E45+1,$C45,""),"")</f>
        <v/>
      </c>
      <c r="EL45" s="34">
        <f>IF(AND(EL$5&gt;$E45,EL$5&lt;=$F45),IF(EL$5=$E45+1,$C45,""),"")</f>
        <v/>
      </c>
      <c r="EM45" s="34">
        <f>IF(AND(EM$5&gt;$E45,EM$5&lt;=$F45),IF(EM$5=$E45+1,$C45,""),"")</f>
        <v/>
      </c>
      <c r="EN45" s="34">
        <f>IF(AND(EN$5&gt;$E45,EN$5&lt;=$F45),IF(EN$5=$E45+1,$C45,""),"")</f>
        <v/>
      </c>
      <c r="EO45" s="34">
        <f>IF(AND(EO$5&gt;$E45,EO$5&lt;=$F45),IF(EO$5=$E45+1,$C45,""),"")</f>
        <v/>
      </c>
      <c r="EP45" s="34">
        <f>IF(AND(EP$5&gt;$E45,EP$5&lt;=$F45),IF(EP$5=$E45+1,$C45,""),"")</f>
        <v/>
      </c>
      <c r="EQ45" s="34">
        <f>IF(AND(EQ$5&gt;$E45,EQ$5&lt;=$F45),IF(EQ$5=$E45+1,$C45,""),"")</f>
        <v/>
      </c>
    </row>
    <row r="46">
      <c r="A46" s="32">
        <f>Plan!A122</f>
        <v/>
      </c>
      <c r="B46" s="33">
        <f>Plan!C122</f>
        <v/>
      </c>
      <c r="C46" s="16">
        <f>Plan!D122</f>
        <v/>
      </c>
      <c r="D46" s="16">
        <f>Plan!I122</f>
        <v/>
      </c>
      <c r="E46" s="16">
        <f>Plan!K122</f>
        <v/>
      </c>
      <c r="F46" s="16">
        <f>Plan!L122</f>
        <v/>
      </c>
      <c r="G46" s="16">
        <f>Plan!O122</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c r="DX46" s="34">
        <f>IF(AND(DX$5&gt;$E46,DX$5&lt;=$F46),IF(DX$5=$E46+1,$C46,""),"")</f>
        <v/>
      </c>
      <c r="DY46" s="34">
        <f>IF(AND(DY$5&gt;$E46,DY$5&lt;=$F46),IF(DY$5=$E46+1,$C46,""),"")</f>
        <v/>
      </c>
      <c r="DZ46" s="34">
        <f>IF(AND(DZ$5&gt;$E46,DZ$5&lt;=$F46),IF(DZ$5=$E46+1,$C46,""),"")</f>
        <v/>
      </c>
      <c r="EA46" s="34">
        <f>IF(AND(EA$5&gt;$E46,EA$5&lt;=$F46),IF(EA$5=$E46+1,$C46,""),"")</f>
        <v/>
      </c>
      <c r="EB46" s="34">
        <f>IF(AND(EB$5&gt;$E46,EB$5&lt;=$F46),IF(EB$5=$E46+1,$C46,""),"")</f>
        <v/>
      </c>
      <c r="EC46" s="34">
        <f>IF(AND(EC$5&gt;$E46,EC$5&lt;=$F46),IF(EC$5=$E46+1,$C46,""),"")</f>
        <v/>
      </c>
      <c r="ED46" s="34">
        <f>IF(AND(ED$5&gt;$E46,ED$5&lt;=$F46),IF(ED$5=$E46+1,$C46,""),"")</f>
        <v/>
      </c>
      <c r="EE46" s="34">
        <f>IF(AND(EE$5&gt;$E46,EE$5&lt;=$F46),IF(EE$5=$E46+1,$C46,""),"")</f>
        <v/>
      </c>
      <c r="EF46" s="34">
        <f>IF(AND(EF$5&gt;$E46,EF$5&lt;=$F46),IF(EF$5=$E46+1,$C46,""),"")</f>
        <v/>
      </c>
      <c r="EG46" s="34">
        <f>IF(AND(EG$5&gt;$E46,EG$5&lt;=$F46),IF(EG$5=$E46+1,$C46,""),"")</f>
        <v/>
      </c>
      <c r="EH46" s="34">
        <f>IF(AND(EH$5&gt;$E46,EH$5&lt;=$F46),IF(EH$5=$E46+1,$C46,""),"")</f>
        <v/>
      </c>
      <c r="EI46" s="34">
        <f>IF(AND(EI$5&gt;$E46,EI$5&lt;=$F46),IF(EI$5=$E46+1,$C46,""),"")</f>
        <v/>
      </c>
      <c r="EJ46" s="34">
        <f>IF(AND(EJ$5&gt;$E46,EJ$5&lt;=$F46),IF(EJ$5=$E46+1,$C46,""),"")</f>
        <v/>
      </c>
      <c r="EK46" s="34">
        <f>IF(AND(EK$5&gt;$E46,EK$5&lt;=$F46),IF(EK$5=$E46+1,$C46,""),"")</f>
        <v/>
      </c>
      <c r="EL46" s="34">
        <f>IF(AND(EL$5&gt;$E46,EL$5&lt;=$F46),IF(EL$5=$E46+1,$C46,""),"")</f>
        <v/>
      </c>
      <c r="EM46" s="34">
        <f>IF(AND(EM$5&gt;$E46,EM$5&lt;=$F46),IF(EM$5=$E46+1,$C46,""),"")</f>
        <v/>
      </c>
      <c r="EN46" s="34">
        <f>IF(AND(EN$5&gt;$E46,EN$5&lt;=$F46),IF(EN$5=$E46+1,$C46,""),"")</f>
        <v/>
      </c>
      <c r="EO46" s="34">
        <f>IF(AND(EO$5&gt;$E46,EO$5&lt;=$F46),IF(EO$5=$E46+1,$C46,""),"")</f>
        <v/>
      </c>
      <c r="EP46" s="34">
        <f>IF(AND(EP$5&gt;$E46,EP$5&lt;=$F46),IF(EP$5=$E46+1,$C46,""),"")</f>
        <v/>
      </c>
      <c r="EQ46" s="34">
        <f>IF(AND(EQ$5&gt;$E46,EQ$5&lt;=$F46),IF(EQ$5=$E46+1,$C46,""),"")</f>
        <v/>
      </c>
    </row>
    <row r="47">
      <c r="A47" s="27" t="inlineStr">
        <is>
          <t>Fase 4. Panel de administración</t>
        </is>
      </c>
      <c r="B47" s="28" t="n"/>
      <c r="C47" s="28" t="n"/>
      <c r="D47" s="28" t="n"/>
      <c r="E47" s="29">
        <f>SUMPRODUCT(MIN((Plan!$B$5:$B$126="4. Panel de administración")*Plan!$K$5:$K$126+(Plan!$B$5:$B$126&lt;&gt;"4. Panel de administración")*1E9))</f>
        <v/>
      </c>
      <c r="F47" s="29">
        <f>SUMPRODUCT(MAX((Plan!$B$5:$B$126="4. Panel de administración")*Plan!$L$5:$L$126))</f>
        <v/>
      </c>
      <c r="G47" s="30">
        <f>Resumen!E32</f>
        <v/>
      </c>
      <c r="H47" s="31" t="n"/>
      <c r="I47" s="31" t="n"/>
      <c r="J47" s="31" t="n"/>
      <c r="K47" s="31" t="n"/>
      <c r="L47" s="31" t="n"/>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row>
    <row r="48">
      <c r="A48" s="32">
        <f>Plan!A37</f>
        <v/>
      </c>
      <c r="B48" s="33">
        <f>Plan!C37</f>
        <v/>
      </c>
      <c r="C48" s="16">
        <f>Plan!D37</f>
        <v/>
      </c>
      <c r="D48" s="16">
        <f>Plan!I37</f>
        <v/>
      </c>
      <c r="E48" s="16">
        <f>Plan!K37</f>
        <v/>
      </c>
      <c r="F48" s="16">
        <f>Plan!L37</f>
        <v/>
      </c>
      <c r="G48" s="16">
        <f>Plan!O37</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c r="DX48" s="34">
        <f>IF(AND(DX$5&gt;$E48,DX$5&lt;=$F48),IF(DX$5=$E48+1,$C48,""),"")</f>
        <v/>
      </c>
      <c r="DY48" s="34">
        <f>IF(AND(DY$5&gt;$E48,DY$5&lt;=$F48),IF(DY$5=$E48+1,$C48,""),"")</f>
        <v/>
      </c>
      <c r="DZ48" s="34">
        <f>IF(AND(DZ$5&gt;$E48,DZ$5&lt;=$F48),IF(DZ$5=$E48+1,$C48,""),"")</f>
        <v/>
      </c>
      <c r="EA48" s="34">
        <f>IF(AND(EA$5&gt;$E48,EA$5&lt;=$F48),IF(EA$5=$E48+1,$C48,""),"")</f>
        <v/>
      </c>
      <c r="EB48" s="34">
        <f>IF(AND(EB$5&gt;$E48,EB$5&lt;=$F48),IF(EB$5=$E48+1,$C48,""),"")</f>
        <v/>
      </c>
      <c r="EC48" s="34">
        <f>IF(AND(EC$5&gt;$E48,EC$5&lt;=$F48),IF(EC$5=$E48+1,$C48,""),"")</f>
        <v/>
      </c>
      <c r="ED48" s="34">
        <f>IF(AND(ED$5&gt;$E48,ED$5&lt;=$F48),IF(ED$5=$E48+1,$C48,""),"")</f>
        <v/>
      </c>
      <c r="EE48" s="34">
        <f>IF(AND(EE$5&gt;$E48,EE$5&lt;=$F48),IF(EE$5=$E48+1,$C48,""),"")</f>
        <v/>
      </c>
      <c r="EF48" s="34">
        <f>IF(AND(EF$5&gt;$E48,EF$5&lt;=$F48),IF(EF$5=$E48+1,$C48,""),"")</f>
        <v/>
      </c>
      <c r="EG48" s="34">
        <f>IF(AND(EG$5&gt;$E48,EG$5&lt;=$F48),IF(EG$5=$E48+1,$C48,""),"")</f>
        <v/>
      </c>
      <c r="EH48" s="34">
        <f>IF(AND(EH$5&gt;$E48,EH$5&lt;=$F48),IF(EH$5=$E48+1,$C48,""),"")</f>
        <v/>
      </c>
      <c r="EI48" s="34">
        <f>IF(AND(EI$5&gt;$E48,EI$5&lt;=$F48),IF(EI$5=$E48+1,$C48,""),"")</f>
        <v/>
      </c>
      <c r="EJ48" s="34">
        <f>IF(AND(EJ$5&gt;$E48,EJ$5&lt;=$F48),IF(EJ$5=$E48+1,$C48,""),"")</f>
        <v/>
      </c>
      <c r="EK48" s="34">
        <f>IF(AND(EK$5&gt;$E48,EK$5&lt;=$F48),IF(EK$5=$E48+1,$C48,""),"")</f>
        <v/>
      </c>
      <c r="EL48" s="34">
        <f>IF(AND(EL$5&gt;$E48,EL$5&lt;=$F48),IF(EL$5=$E48+1,$C48,""),"")</f>
        <v/>
      </c>
      <c r="EM48" s="34">
        <f>IF(AND(EM$5&gt;$E48,EM$5&lt;=$F48),IF(EM$5=$E48+1,$C48,""),"")</f>
        <v/>
      </c>
      <c r="EN48" s="34">
        <f>IF(AND(EN$5&gt;$E48,EN$5&lt;=$F48),IF(EN$5=$E48+1,$C48,""),"")</f>
        <v/>
      </c>
      <c r="EO48" s="34">
        <f>IF(AND(EO$5&gt;$E48,EO$5&lt;=$F48),IF(EO$5=$E48+1,$C48,""),"")</f>
        <v/>
      </c>
      <c r="EP48" s="34">
        <f>IF(AND(EP$5&gt;$E48,EP$5&lt;=$F48),IF(EP$5=$E48+1,$C48,""),"")</f>
        <v/>
      </c>
      <c r="EQ48" s="34">
        <f>IF(AND(EQ$5&gt;$E48,EQ$5&lt;=$F48),IF(EQ$5=$E48+1,$C48,""),"")</f>
        <v/>
      </c>
    </row>
    <row r="49">
      <c r="A49" s="32">
        <f>Plan!A38</f>
        <v/>
      </c>
      <c r="B49" s="33">
        <f>Plan!C38</f>
        <v/>
      </c>
      <c r="C49" s="16">
        <f>Plan!D38</f>
        <v/>
      </c>
      <c r="D49" s="16">
        <f>Plan!I38</f>
        <v/>
      </c>
      <c r="E49" s="16">
        <f>Plan!K38</f>
        <v/>
      </c>
      <c r="F49" s="16">
        <f>Plan!L38</f>
        <v/>
      </c>
      <c r="G49" s="16">
        <f>Plan!O38</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c r="DX49" s="34">
        <f>IF(AND(DX$5&gt;$E49,DX$5&lt;=$F49),IF(DX$5=$E49+1,$C49,""),"")</f>
        <v/>
      </c>
      <c r="DY49" s="34">
        <f>IF(AND(DY$5&gt;$E49,DY$5&lt;=$F49),IF(DY$5=$E49+1,$C49,""),"")</f>
        <v/>
      </c>
      <c r="DZ49" s="34">
        <f>IF(AND(DZ$5&gt;$E49,DZ$5&lt;=$F49),IF(DZ$5=$E49+1,$C49,""),"")</f>
        <v/>
      </c>
      <c r="EA49" s="34">
        <f>IF(AND(EA$5&gt;$E49,EA$5&lt;=$F49),IF(EA$5=$E49+1,$C49,""),"")</f>
        <v/>
      </c>
      <c r="EB49" s="34">
        <f>IF(AND(EB$5&gt;$E49,EB$5&lt;=$F49),IF(EB$5=$E49+1,$C49,""),"")</f>
        <v/>
      </c>
      <c r="EC49" s="34">
        <f>IF(AND(EC$5&gt;$E49,EC$5&lt;=$F49),IF(EC$5=$E49+1,$C49,""),"")</f>
        <v/>
      </c>
      <c r="ED49" s="34">
        <f>IF(AND(ED$5&gt;$E49,ED$5&lt;=$F49),IF(ED$5=$E49+1,$C49,""),"")</f>
        <v/>
      </c>
      <c r="EE49" s="34">
        <f>IF(AND(EE$5&gt;$E49,EE$5&lt;=$F49),IF(EE$5=$E49+1,$C49,""),"")</f>
        <v/>
      </c>
      <c r="EF49" s="34">
        <f>IF(AND(EF$5&gt;$E49,EF$5&lt;=$F49),IF(EF$5=$E49+1,$C49,""),"")</f>
        <v/>
      </c>
      <c r="EG49" s="34">
        <f>IF(AND(EG$5&gt;$E49,EG$5&lt;=$F49),IF(EG$5=$E49+1,$C49,""),"")</f>
        <v/>
      </c>
      <c r="EH49" s="34">
        <f>IF(AND(EH$5&gt;$E49,EH$5&lt;=$F49),IF(EH$5=$E49+1,$C49,""),"")</f>
        <v/>
      </c>
      <c r="EI49" s="34">
        <f>IF(AND(EI$5&gt;$E49,EI$5&lt;=$F49),IF(EI$5=$E49+1,$C49,""),"")</f>
        <v/>
      </c>
      <c r="EJ49" s="34">
        <f>IF(AND(EJ$5&gt;$E49,EJ$5&lt;=$F49),IF(EJ$5=$E49+1,$C49,""),"")</f>
        <v/>
      </c>
      <c r="EK49" s="34">
        <f>IF(AND(EK$5&gt;$E49,EK$5&lt;=$F49),IF(EK$5=$E49+1,$C49,""),"")</f>
        <v/>
      </c>
      <c r="EL49" s="34">
        <f>IF(AND(EL$5&gt;$E49,EL$5&lt;=$F49),IF(EL$5=$E49+1,$C49,""),"")</f>
        <v/>
      </c>
      <c r="EM49" s="34">
        <f>IF(AND(EM$5&gt;$E49,EM$5&lt;=$F49),IF(EM$5=$E49+1,$C49,""),"")</f>
        <v/>
      </c>
      <c r="EN49" s="34">
        <f>IF(AND(EN$5&gt;$E49,EN$5&lt;=$F49),IF(EN$5=$E49+1,$C49,""),"")</f>
        <v/>
      </c>
      <c r="EO49" s="34">
        <f>IF(AND(EO$5&gt;$E49,EO$5&lt;=$F49),IF(EO$5=$E49+1,$C49,""),"")</f>
        <v/>
      </c>
      <c r="EP49" s="34">
        <f>IF(AND(EP$5&gt;$E49,EP$5&lt;=$F49),IF(EP$5=$E49+1,$C49,""),"")</f>
        <v/>
      </c>
      <c r="EQ49" s="34">
        <f>IF(AND(EQ$5&gt;$E49,EQ$5&lt;=$F49),IF(EQ$5=$E49+1,$C49,""),"")</f>
        <v/>
      </c>
    </row>
    <row r="50">
      <c r="A50" s="32">
        <f>Plan!A39</f>
        <v/>
      </c>
      <c r="B50" s="33">
        <f>Plan!C39</f>
        <v/>
      </c>
      <c r="C50" s="16">
        <f>Plan!D39</f>
        <v/>
      </c>
      <c r="D50" s="16">
        <f>Plan!I39</f>
        <v/>
      </c>
      <c r="E50" s="16">
        <f>Plan!K39</f>
        <v/>
      </c>
      <c r="F50" s="16">
        <f>Plan!L39</f>
        <v/>
      </c>
      <c r="G50" s="16">
        <f>Plan!O39</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c r="DX50" s="34">
        <f>IF(AND(DX$5&gt;$E50,DX$5&lt;=$F50),IF(DX$5=$E50+1,$C50,""),"")</f>
        <v/>
      </c>
      <c r="DY50" s="34">
        <f>IF(AND(DY$5&gt;$E50,DY$5&lt;=$F50),IF(DY$5=$E50+1,$C50,""),"")</f>
        <v/>
      </c>
      <c r="DZ50" s="34">
        <f>IF(AND(DZ$5&gt;$E50,DZ$5&lt;=$F50),IF(DZ$5=$E50+1,$C50,""),"")</f>
        <v/>
      </c>
      <c r="EA50" s="34">
        <f>IF(AND(EA$5&gt;$E50,EA$5&lt;=$F50),IF(EA$5=$E50+1,$C50,""),"")</f>
        <v/>
      </c>
      <c r="EB50" s="34">
        <f>IF(AND(EB$5&gt;$E50,EB$5&lt;=$F50),IF(EB$5=$E50+1,$C50,""),"")</f>
        <v/>
      </c>
      <c r="EC50" s="34">
        <f>IF(AND(EC$5&gt;$E50,EC$5&lt;=$F50),IF(EC$5=$E50+1,$C50,""),"")</f>
        <v/>
      </c>
      <c r="ED50" s="34">
        <f>IF(AND(ED$5&gt;$E50,ED$5&lt;=$F50),IF(ED$5=$E50+1,$C50,""),"")</f>
        <v/>
      </c>
      <c r="EE50" s="34">
        <f>IF(AND(EE$5&gt;$E50,EE$5&lt;=$F50),IF(EE$5=$E50+1,$C50,""),"")</f>
        <v/>
      </c>
      <c r="EF50" s="34">
        <f>IF(AND(EF$5&gt;$E50,EF$5&lt;=$F50),IF(EF$5=$E50+1,$C50,""),"")</f>
        <v/>
      </c>
      <c r="EG50" s="34">
        <f>IF(AND(EG$5&gt;$E50,EG$5&lt;=$F50),IF(EG$5=$E50+1,$C50,""),"")</f>
        <v/>
      </c>
      <c r="EH50" s="34">
        <f>IF(AND(EH$5&gt;$E50,EH$5&lt;=$F50),IF(EH$5=$E50+1,$C50,""),"")</f>
        <v/>
      </c>
      <c r="EI50" s="34">
        <f>IF(AND(EI$5&gt;$E50,EI$5&lt;=$F50),IF(EI$5=$E50+1,$C50,""),"")</f>
        <v/>
      </c>
      <c r="EJ50" s="34">
        <f>IF(AND(EJ$5&gt;$E50,EJ$5&lt;=$F50),IF(EJ$5=$E50+1,$C50,""),"")</f>
        <v/>
      </c>
      <c r="EK50" s="34">
        <f>IF(AND(EK$5&gt;$E50,EK$5&lt;=$F50),IF(EK$5=$E50+1,$C50,""),"")</f>
        <v/>
      </c>
      <c r="EL50" s="34">
        <f>IF(AND(EL$5&gt;$E50,EL$5&lt;=$F50),IF(EL$5=$E50+1,$C50,""),"")</f>
        <v/>
      </c>
      <c r="EM50" s="34">
        <f>IF(AND(EM$5&gt;$E50,EM$5&lt;=$F50),IF(EM$5=$E50+1,$C50,""),"")</f>
        <v/>
      </c>
      <c r="EN50" s="34">
        <f>IF(AND(EN$5&gt;$E50,EN$5&lt;=$F50),IF(EN$5=$E50+1,$C50,""),"")</f>
        <v/>
      </c>
      <c r="EO50" s="34">
        <f>IF(AND(EO$5&gt;$E50,EO$5&lt;=$F50),IF(EO$5=$E50+1,$C50,""),"")</f>
        <v/>
      </c>
      <c r="EP50" s="34">
        <f>IF(AND(EP$5&gt;$E50,EP$5&lt;=$F50),IF(EP$5=$E50+1,$C50,""),"")</f>
        <v/>
      </c>
      <c r="EQ50" s="34">
        <f>IF(AND(EQ$5&gt;$E50,EQ$5&lt;=$F50),IF(EQ$5=$E50+1,$C50,""),"")</f>
        <v/>
      </c>
    </row>
    <row r="51">
      <c r="A51" s="32">
        <f>Plan!A40</f>
        <v/>
      </c>
      <c r="B51" s="33">
        <f>Plan!C40</f>
        <v/>
      </c>
      <c r="C51" s="16">
        <f>Plan!D40</f>
        <v/>
      </c>
      <c r="D51" s="16">
        <f>Plan!I40</f>
        <v/>
      </c>
      <c r="E51" s="16">
        <f>Plan!K40</f>
        <v/>
      </c>
      <c r="F51" s="16">
        <f>Plan!L40</f>
        <v/>
      </c>
      <c r="G51" s="16">
        <f>Plan!O40</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c r="DX51" s="34">
        <f>IF(AND(DX$5&gt;$E51,DX$5&lt;=$F51),IF(DX$5=$E51+1,$C51,""),"")</f>
        <v/>
      </c>
      <c r="DY51" s="34">
        <f>IF(AND(DY$5&gt;$E51,DY$5&lt;=$F51),IF(DY$5=$E51+1,$C51,""),"")</f>
        <v/>
      </c>
      <c r="DZ51" s="34">
        <f>IF(AND(DZ$5&gt;$E51,DZ$5&lt;=$F51),IF(DZ$5=$E51+1,$C51,""),"")</f>
        <v/>
      </c>
      <c r="EA51" s="34">
        <f>IF(AND(EA$5&gt;$E51,EA$5&lt;=$F51),IF(EA$5=$E51+1,$C51,""),"")</f>
        <v/>
      </c>
      <c r="EB51" s="34">
        <f>IF(AND(EB$5&gt;$E51,EB$5&lt;=$F51),IF(EB$5=$E51+1,$C51,""),"")</f>
        <v/>
      </c>
      <c r="EC51" s="34">
        <f>IF(AND(EC$5&gt;$E51,EC$5&lt;=$F51),IF(EC$5=$E51+1,$C51,""),"")</f>
        <v/>
      </c>
      <c r="ED51" s="34">
        <f>IF(AND(ED$5&gt;$E51,ED$5&lt;=$F51),IF(ED$5=$E51+1,$C51,""),"")</f>
        <v/>
      </c>
      <c r="EE51" s="34">
        <f>IF(AND(EE$5&gt;$E51,EE$5&lt;=$F51),IF(EE$5=$E51+1,$C51,""),"")</f>
        <v/>
      </c>
      <c r="EF51" s="34">
        <f>IF(AND(EF$5&gt;$E51,EF$5&lt;=$F51),IF(EF$5=$E51+1,$C51,""),"")</f>
        <v/>
      </c>
      <c r="EG51" s="34">
        <f>IF(AND(EG$5&gt;$E51,EG$5&lt;=$F51),IF(EG$5=$E51+1,$C51,""),"")</f>
        <v/>
      </c>
      <c r="EH51" s="34">
        <f>IF(AND(EH$5&gt;$E51,EH$5&lt;=$F51),IF(EH$5=$E51+1,$C51,""),"")</f>
        <v/>
      </c>
      <c r="EI51" s="34">
        <f>IF(AND(EI$5&gt;$E51,EI$5&lt;=$F51),IF(EI$5=$E51+1,$C51,""),"")</f>
        <v/>
      </c>
      <c r="EJ51" s="34">
        <f>IF(AND(EJ$5&gt;$E51,EJ$5&lt;=$F51),IF(EJ$5=$E51+1,$C51,""),"")</f>
        <v/>
      </c>
      <c r="EK51" s="34">
        <f>IF(AND(EK$5&gt;$E51,EK$5&lt;=$F51),IF(EK$5=$E51+1,$C51,""),"")</f>
        <v/>
      </c>
      <c r="EL51" s="34">
        <f>IF(AND(EL$5&gt;$E51,EL$5&lt;=$F51),IF(EL$5=$E51+1,$C51,""),"")</f>
        <v/>
      </c>
      <c r="EM51" s="34">
        <f>IF(AND(EM$5&gt;$E51,EM$5&lt;=$F51),IF(EM$5=$E51+1,$C51,""),"")</f>
        <v/>
      </c>
      <c r="EN51" s="34">
        <f>IF(AND(EN$5&gt;$E51,EN$5&lt;=$F51),IF(EN$5=$E51+1,$C51,""),"")</f>
        <v/>
      </c>
      <c r="EO51" s="34">
        <f>IF(AND(EO$5&gt;$E51,EO$5&lt;=$F51),IF(EO$5=$E51+1,$C51,""),"")</f>
        <v/>
      </c>
      <c r="EP51" s="34">
        <f>IF(AND(EP$5&gt;$E51,EP$5&lt;=$F51),IF(EP$5=$E51+1,$C51,""),"")</f>
        <v/>
      </c>
      <c r="EQ51" s="34">
        <f>IF(AND(EQ$5&gt;$E51,EQ$5&lt;=$F51),IF(EQ$5=$E51+1,$C51,""),"")</f>
        <v/>
      </c>
    </row>
    <row r="52">
      <c r="A52" s="32">
        <f>Plan!A41</f>
        <v/>
      </c>
      <c r="B52" s="33">
        <f>Plan!C41</f>
        <v/>
      </c>
      <c r="C52" s="16">
        <f>Plan!D41</f>
        <v/>
      </c>
      <c r="D52" s="16">
        <f>Plan!I41</f>
        <v/>
      </c>
      <c r="E52" s="16">
        <f>Plan!K41</f>
        <v/>
      </c>
      <c r="F52" s="16">
        <f>Plan!L41</f>
        <v/>
      </c>
      <c r="G52" s="16">
        <f>Plan!O41</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c r="DX52" s="34">
        <f>IF(AND(DX$5&gt;$E52,DX$5&lt;=$F52),IF(DX$5=$E52+1,$C52,""),"")</f>
        <v/>
      </c>
      <c r="DY52" s="34">
        <f>IF(AND(DY$5&gt;$E52,DY$5&lt;=$F52),IF(DY$5=$E52+1,$C52,""),"")</f>
        <v/>
      </c>
      <c r="DZ52" s="34">
        <f>IF(AND(DZ$5&gt;$E52,DZ$5&lt;=$F52),IF(DZ$5=$E52+1,$C52,""),"")</f>
        <v/>
      </c>
      <c r="EA52" s="34">
        <f>IF(AND(EA$5&gt;$E52,EA$5&lt;=$F52),IF(EA$5=$E52+1,$C52,""),"")</f>
        <v/>
      </c>
      <c r="EB52" s="34">
        <f>IF(AND(EB$5&gt;$E52,EB$5&lt;=$F52),IF(EB$5=$E52+1,$C52,""),"")</f>
        <v/>
      </c>
      <c r="EC52" s="34">
        <f>IF(AND(EC$5&gt;$E52,EC$5&lt;=$F52),IF(EC$5=$E52+1,$C52,""),"")</f>
        <v/>
      </c>
      <c r="ED52" s="34">
        <f>IF(AND(ED$5&gt;$E52,ED$5&lt;=$F52),IF(ED$5=$E52+1,$C52,""),"")</f>
        <v/>
      </c>
      <c r="EE52" s="34">
        <f>IF(AND(EE$5&gt;$E52,EE$5&lt;=$F52),IF(EE$5=$E52+1,$C52,""),"")</f>
        <v/>
      </c>
      <c r="EF52" s="34">
        <f>IF(AND(EF$5&gt;$E52,EF$5&lt;=$F52),IF(EF$5=$E52+1,$C52,""),"")</f>
        <v/>
      </c>
      <c r="EG52" s="34">
        <f>IF(AND(EG$5&gt;$E52,EG$5&lt;=$F52),IF(EG$5=$E52+1,$C52,""),"")</f>
        <v/>
      </c>
      <c r="EH52" s="34">
        <f>IF(AND(EH$5&gt;$E52,EH$5&lt;=$F52),IF(EH$5=$E52+1,$C52,""),"")</f>
        <v/>
      </c>
      <c r="EI52" s="34">
        <f>IF(AND(EI$5&gt;$E52,EI$5&lt;=$F52),IF(EI$5=$E52+1,$C52,""),"")</f>
        <v/>
      </c>
      <c r="EJ52" s="34">
        <f>IF(AND(EJ$5&gt;$E52,EJ$5&lt;=$F52),IF(EJ$5=$E52+1,$C52,""),"")</f>
        <v/>
      </c>
      <c r="EK52" s="34">
        <f>IF(AND(EK$5&gt;$E52,EK$5&lt;=$F52),IF(EK$5=$E52+1,$C52,""),"")</f>
        <v/>
      </c>
      <c r="EL52" s="34">
        <f>IF(AND(EL$5&gt;$E52,EL$5&lt;=$F52),IF(EL$5=$E52+1,$C52,""),"")</f>
        <v/>
      </c>
      <c r="EM52" s="34">
        <f>IF(AND(EM$5&gt;$E52,EM$5&lt;=$F52),IF(EM$5=$E52+1,$C52,""),"")</f>
        <v/>
      </c>
      <c r="EN52" s="34">
        <f>IF(AND(EN$5&gt;$E52,EN$5&lt;=$F52),IF(EN$5=$E52+1,$C52,""),"")</f>
        <v/>
      </c>
      <c r="EO52" s="34">
        <f>IF(AND(EO$5&gt;$E52,EO$5&lt;=$F52),IF(EO$5=$E52+1,$C52,""),"")</f>
        <v/>
      </c>
      <c r="EP52" s="34">
        <f>IF(AND(EP$5&gt;$E52,EP$5&lt;=$F52),IF(EP$5=$E52+1,$C52,""),"")</f>
        <v/>
      </c>
      <c r="EQ52" s="34">
        <f>IF(AND(EQ$5&gt;$E52,EQ$5&lt;=$F52),IF(EQ$5=$E52+1,$C52,""),"")</f>
        <v/>
      </c>
    </row>
    <row r="53">
      <c r="A53" s="32">
        <f>Plan!A42</f>
        <v/>
      </c>
      <c r="B53" s="33">
        <f>Plan!C42</f>
        <v/>
      </c>
      <c r="C53" s="16">
        <f>Plan!D42</f>
        <v/>
      </c>
      <c r="D53" s="16">
        <f>Plan!I42</f>
        <v/>
      </c>
      <c r="E53" s="16">
        <f>Plan!K42</f>
        <v/>
      </c>
      <c r="F53" s="16">
        <f>Plan!L42</f>
        <v/>
      </c>
      <c r="G53" s="16">
        <f>Plan!O42</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c r="DX53" s="34">
        <f>IF(AND(DX$5&gt;$E53,DX$5&lt;=$F53),IF(DX$5=$E53+1,$C53,""),"")</f>
        <v/>
      </c>
      <c r="DY53" s="34">
        <f>IF(AND(DY$5&gt;$E53,DY$5&lt;=$F53),IF(DY$5=$E53+1,$C53,""),"")</f>
        <v/>
      </c>
      <c r="DZ53" s="34">
        <f>IF(AND(DZ$5&gt;$E53,DZ$5&lt;=$F53),IF(DZ$5=$E53+1,$C53,""),"")</f>
        <v/>
      </c>
      <c r="EA53" s="34">
        <f>IF(AND(EA$5&gt;$E53,EA$5&lt;=$F53),IF(EA$5=$E53+1,$C53,""),"")</f>
        <v/>
      </c>
      <c r="EB53" s="34">
        <f>IF(AND(EB$5&gt;$E53,EB$5&lt;=$F53),IF(EB$5=$E53+1,$C53,""),"")</f>
        <v/>
      </c>
      <c r="EC53" s="34">
        <f>IF(AND(EC$5&gt;$E53,EC$5&lt;=$F53),IF(EC$5=$E53+1,$C53,""),"")</f>
        <v/>
      </c>
      <c r="ED53" s="34">
        <f>IF(AND(ED$5&gt;$E53,ED$5&lt;=$F53),IF(ED$5=$E53+1,$C53,""),"")</f>
        <v/>
      </c>
      <c r="EE53" s="34">
        <f>IF(AND(EE$5&gt;$E53,EE$5&lt;=$F53),IF(EE$5=$E53+1,$C53,""),"")</f>
        <v/>
      </c>
      <c r="EF53" s="34">
        <f>IF(AND(EF$5&gt;$E53,EF$5&lt;=$F53),IF(EF$5=$E53+1,$C53,""),"")</f>
        <v/>
      </c>
      <c r="EG53" s="34">
        <f>IF(AND(EG$5&gt;$E53,EG$5&lt;=$F53),IF(EG$5=$E53+1,$C53,""),"")</f>
        <v/>
      </c>
      <c r="EH53" s="34">
        <f>IF(AND(EH$5&gt;$E53,EH$5&lt;=$F53),IF(EH$5=$E53+1,$C53,""),"")</f>
        <v/>
      </c>
      <c r="EI53" s="34">
        <f>IF(AND(EI$5&gt;$E53,EI$5&lt;=$F53),IF(EI$5=$E53+1,$C53,""),"")</f>
        <v/>
      </c>
      <c r="EJ53" s="34">
        <f>IF(AND(EJ$5&gt;$E53,EJ$5&lt;=$F53),IF(EJ$5=$E53+1,$C53,""),"")</f>
        <v/>
      </c>
      <c r="EK53" s="34">
        <f>IF(AND(EK$5&gt;$E53,EK$5&lt;=$F53),IF(EK$5=$E53+1,$C53,""),"")</f>
        <v/>
      </c>
      <c r="EL53" s="34">
        <f>IF(AND(EL$5&gt;$E53,EL$5&lt;=$F53),IF(EL$5=$E53+1,$C53,""),"")</f>
        <v/>
      </c>
      <c r="EM53" s="34">
        <f>IF(AND(EM$5&gt;$E53,EM$5&lt;=$F53),IF(EM$5=$E53+1,$C53,""),"")</f>
        <v/>
      </c>
      <c r="EN53" s="34">
        <f>IF(AND(EN$5&gt;$E53,EN$5&lt;=$F53),IF(EN$5=$E53+1,$C53,""),"")</f>
        <v/>
      </c>
      <c r="EO53" s="34">
        <f>IF(AND(EO$5&gt;$E53,EO$5&lt;=$F53),IF(EO$5=$E53+1,$C53,""),"")</f>
        <v/>
      </c>
      <c r="EP53" s="34">
        <f>IF(AND(EP$5&gt;$E53,EP$5&lt;=$F53),IF(EP$5=$E53+1,$C53,""),"")</f>
        <v/>
      </c>
      <c r="EQ53" s="34">
        <f>IF(AND(EQ$5&gt;$E53,EQ$5&lt;=$F53),IF(EQ$5=$E53+1,$C53,""),"")</f>
        <v/>
      </c>
    </row>
    <row r="54">
      <c r="A54" s="32">
        <f>Plan!A43</f>
        <v/>
      </c>
      <c r="B54" s="33">
        <f>Plan!C43</f>
        <v/>
      </c>
      <c r="C54" s="16">
        <f>Plan!D43</f>
        <v/>
      </c>
      <c r="D54" s="16">
        <f>Plan!I43</f>
        <v/>
      </c>
      <c r="E54" s="16">
        <f>Plan!K43</f>
        <v/>
      </c>
      <c r="F54" s="16">
        <f>Plan!L43</f>
        <v/>
      </c>
      <c r="G54" s="16">
        <f>Plan!O43</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c r="DX54" s="34">
        <f>IF(AND(DX$5&gt;$E54,DX$5&lt;=$F54),IF(DX$5=$E54+1,$C54,""),"")</f>
        <v/>
      </c>
      <c r="DY54" s="34">
        <f>IF(AND(DY$5&gt;$E54,DY$5&lt;=$F54),IF(DY$5=$E54+1,$C54,""),"")</f>
        <v/>
      </c>
      <c r="DZ54" s="34">
        <f>IF(AND(DZ$5&gt;$E54,DZ$5&lt;=$F54),IF(DZ$5=$E54+1,$C54,""),"")</f>
        <v/>
      </c>
      <c r="EA54" s="34">
        <f>IF(AND(EA$5&gt;$E54,EA$5&lt;=$F54),IF(EA$5=$E54+1,$C54,""),"")</f>
        <v/>
      </c>
      <c r="EB54" s="34">
        <f>IF(AND(EB$5&gt;$E54,EB$5&lt;=$F54),IF(EB$5=$E54+1,$C54,""),"")</f>
        <v/>
      </c>
      <c r="EC54" s="34">
        <f>IF(AND(EC$5&gt;$E54,EC$5&lt;=$F54),IF(EC$5=$E54+1,$C54,""),"")</f>
        <v/>
      </c>
      <c r="ED54" s="34">
        <f>IF(AND(ED$5&gt;$E54,ED$5&lt;=$F54),IF(ED$5=$E54+1,$C54,""),"")</f>
        <v/>
      </c>
      <c r="EE54" s="34">
        <f>IF(AND(EE$5&gt;$E54,EE$5&lt;=$F54),IF(EE$5=$E54+1,$C54,""),"")</f>
        <v/>
      </c>
      <c r="EF54" s="34">
        <f>IF(AND(EF$5&gt;$E54,EF$5&lt;=$F54),IF(EF$5=$E54+1,$C54,""),"")</f>
        <v/>
      </c>
      <c r="EG54" s="34">
        <f>IF(AND(EG$5&gt;$E54,EG$5&lt;=$F54),IF(EG$5=$E54+1,$C54,""),"")</f>
        <v/>
      </c>
      <c r="EH54" s="34">
        <f>IF(AND(EH$5&gt;$E54,EH$5&lt;=$F54),IF(EH$5=$E54+1,$C54,""),"")</f>
        <v/>
      </c>
      <c r="EI54" s="34">
        <f>IF(AND(EI$5&gt;$E54,EI$5&lt;=$F54),IF(EI$5=$E54+1,$C54,""),"")</f>
        <v/>
      </c>
      <c r="EJ54" s="34">
        <f>IF(AND(EJ$5&gt;$E54,EJ$5&lt;=$F54),IF(EJ$5=$E54+1,$C54,""),"")</f>
        <v/>
      </c>
      <c r="EK54" s="34">
        <f>IF(AND(EK$5&gt;$E54,EK$5&lt;=$F54),IF(EK$5=$E54+1,$C54,""),"")</f>
        <v/>
      </c>
      <c r="EL54" s="34">
        <f>IF(AND(EL$5&gt;$E54,EL$5&lt;=$F54),IF(EL$5=$E54+1,$C54,""),"")</f>
        <v/>
      </c>
      <c r="EM54" s="34">
        <f>IF(AND(EM$5&gt;$E54,EM$5&lt;=$F54),IF(EM$5=$E54+1,$C54,""),"")</f>
        <v/>
      </c>
      <c r="EN54" s="34">
        <f>IF(AND(EN$5&gt;$E54,EN$5&lt;=$F54),IF(EN$5=$E54+1,$C54,""),"")</f>
        <v/>
      </c>
      <c r="EO54" s="34">
        <f>IF(AND(EO$5&gt;$E54,EO$5&lt;=$F54),IF(EO$5=$E54+1,$C54,""),"")</f>
        <v/>
      </c>
      <c r="EP54" s="34">
        <f>IF(AND(EP$5&gt;$E54,EP$5&lt;=$F54),IF(EP$5=$E54+1,$C54,""),"")</f>
        <v/>
      </c>
      <c r="EQ54" s="34">
        <f>IF(AND(EQ$5&gt;$E54,EQ$5&lt;=$F54),IF(EQ$5=$E54+1,$C54,""),"")</f>
        <v/>
      </c>
    </row>
    <row r="55">
      <c r="A55" s="32">
        <f>Plan!A44</f>
        <v/>
      </c>
      <c r="B55" s="33">
        <f>Plan!C44</f>
        <v/>
      </c>
      <c r="C55" s="16">
        <f>Plan!D44</f>
        <v/>
      </c>
      <c r="D55" s="16">
        <f>Plan!I44</f>
        <v/>
      </c>
      <c r="E55" s="16">
        <f>Plan!K44</f>
        <v/>
      </c>
      <c r="F55" s="16">
        <f>Plan!L44</f>
        <v/>
      </c>
      <c r="G55" s="16">
        <f>Plan!O44</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c r="DX55" s="34">
        <f>IF(AND(DX$5&gt;$E55,DX$5&lt;=$F55),IF(DX$5=$E55+1,$C55,""),"")</f>
        <v/>
      </c>
      <c r="DY55" s="34">
        <f>IF(AND(DY$5&gt;$E55,DY$5&lt;=$F55),IF(DY$5=$E55+1,$C55,""),"")</f>
        <v/>
      </c>
      <c r="DZ55" s="34">
        <f>IF(AND(DZ$5&gt;$E55,DZ$5&lt;=$F55),IF(DZ$5=$E55+1,$C55,""),"")</f>
        <v/>
      </c>
      <c r="EA55" s="34">
        <f>IF(AND(EA$5&gt;$E55,EA$5&lt;=$F55),IF(EA$5=$E55+1,$C55,""),"")</f>
        <v/>
      </c>
      <c r="EB55" s="34">
        <f>IF(AND(EB$5&gt;$E55,EB$5&lt;=$F55),IF(EB$5=$E55+1,$C55,""),"")</f>
        <v/>
      </c>
      <c r="EC55" s="34">
        <f>IF(AND(EC$5&gt;$E55,EC$5&lt;=$F55),IF(EC$5=$E55+1,$C55,""),"")</f>
        <v/>
      </c>
      <c r="ED55" s="34">
        <f>IF(AND(ED$5&gt;$E55,ED$5&lt;=$F55),IF(ED$5=$E55+1,$C55,""),"")</f>
        <v/>
      </c>
      <c r="EE55" s="34">
        <f>IF(AND(EE$5&gt;$E55,EE$5&lt;=$F55),IF(EE$5=$E55+1,$C55,""),"")</f>
        <v/>
      </c>
      <c r="EF55" s="34">
        <f>IF(AND(EF$5&gt;$E55,EF$5&lt;=$F55),IF(EF$5=$E55+1,$C55,""),"")</f>
        <v/>
      </c>
      <c r="EG55" s="34">
        <f>IF(AND(EG$5&gt;$E55,EG$5&lt;=$F55),IF(EG$5=$E55+1,$C55,""),"")</f>
        <v/>
      </c>
      <c r="EH55" s="34">
        <f>IF(AND(EH$5&gt;$E55,EH$5&lt;=$F55),IF(EH$5=$E55+1,$C55,""),"")</f>
        <v/>
      </c>
      <c r="EI55" s="34">
        <f>IF(AND(EI$5&gt;$E55,EI$5&lt;=$F55),IF(EI$5=$E55+1,$C55,""),"")</f>
        <v/>
      </c>
      <c r="EJ55" s="34">
        <f>IF(AND(EJ$5&gt;$E55,EJ$5&lt;=$F55),IF(EJ$5=$E55+1,$C55,""),"")</f>
        <v/>
      </c>
      <c r="EK55" s="34">
        <f>IF(AND(EK$5&gt;$E55,EK$5&lt;=$F55),IF(EK$5=$E55+1,$C55,""),"")</f>
        <v/>
      </c>
      <c r="EL55" s="34">
        <f>IF(AND(EL$5&gt;$E55,EL$5&lt;=$F55),IF(EL$5=$E55+1,$C55,""),"")</f>
        <v/>
      </c>
      <c r="EM55" s="34">
        <f>IF(AND(EM$5&gt;$E55,EM$5&lt;=$F55),IF(EM$5=$E55+1,$C55,""),"")</f>
        <v/>
      </c>
      <c r="EN55" s="34">
        <f>IF(AND(EN$5&gt;$E55,EN$5&lt;=$F55),IF(EN$5=$E55+1,$C55,""),"")</f>
        <v/>
      </c>
      <c r="EO55" s="34">
        <f>IF(AND(EO$5&gt;$E55,EO$5&lt;=$F55),IF(EO$5=$E55+1,$C55,""),"")</f>
        <v/>
      </c>
      <c r="EP55" s="34">
        <f>IF(AND(EP$5&gt;$E55,EP$5&lt;=$F55),IF(EP$5=$E55+1,$C55,""),"")</f>
        <v/>
      </c>
      <c r="EQ55" s="34">
        <f>IF(AND(EQ$5&gt;$E55,EQ$5&lt;=$F55),IF(EQ$5=$E55+1,$C55,""),"")</f>
        <v/>
      </c>
    </row>
    <row r="56">
      <c r="A56" s="32">
        <f>Plan!A45</f>
        <v/>
      </c>
      <c r="B56" s="33">
        <f>Plan!C45</f>
        <v/>
      </c>
      <c r="C56" s="16">
        <f>Plan!D45</f>
        <v/>
      </c>
      <c r="D56" s="16">
        <f>Plan!I45</f>
        <v/>
      </c>
      <c r="E56" s="16">
        <f>Plan!K45</f>
        <v/>
      </c>
      <c r="F56" s="16">
        <f>Plan!L45</f>
        <v/>
      </c>
      <c r="G56" s="16">
        <f>Plan!O45</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c r="DX56" s="34">
        <f>IF(AND(DX$5&gt;$E56,DX$5&lt;=$F56),IF(DX$5=$E56+1,$C56,""),"")</f>
        <v/>
      </c>
      <c r="DY56" s="34">
        <f>IF(AND(DY$5&gt;$E56,DY$5&lt;=$F56),IF(DY$5=$E56+1,$C56,""),"")</f>
        <v/>
      </c>
      <c r="DZ56" s="34">
        <f>IF(AND(DZ$5&gt;$E56,DZ$5&lt;=$F56),IF(DZ$5=$E56+1,$C56,""),"")</f>
        <v/>
      </c>
      <c r="EA56" s="34">
        <f>IF(AND(EA$5&gt;$E56,EA$5&lt;=$F56),IF(EA$5=$E56+1,$C56,""),"")</f>
        <v/>
      </c>
      <c r="EB56" s="34">
        <f>IF(AND(EB$5&gt;$E56,EB$5&lt;=$F56),IF(EB$5=$E56+1,$C56,""),"")</f>
        <v/>
      </c>
      <c r="EC56" s="34">
        <f>IF(AND(EC$5&gt;$E56,EC$5&lt;=$F56),IF(EC$5=$E56+1,$C56,""),"")</f>
        <v/>
      </c>
      <c r="ED56" s="34">
        <f>IF(AND(ED$5&gt;$E56,ED$5&lt;=$F56),IF(ED$5=$E56+1,$C56,""),"")</f>
        <v/>
      </c>
      <c r="EE56" s="34">
        <f>IF(AND(EE$5&gt;$E56,EE$5&lt;=$F56),IF(EE$5=$E56+1,$C56,""),"")</f>
        <v/>
      </c>
      <c r="EF56" s="34">
        <f>IF(AND(EF$5&gt;$E56,EF$5&lt;=$F56),IF(EF$5=$E56+1,$C56,""),"")</f>
        <v/>
      </c>
      <c r="EG56" s="34">
        <f>IF(AND(EG$5&gt;$E56,EG$5&lt;=$F56),IF(EG$5=$E56+1,$C56,""),"")</f>
        <v/>
      </c>
      <c r="EH56" s="34">
        <f>IF(AND(EH$5&gt;$E56,EH$5&lt;=$F56),IF(EH$5=$E56+1,$C56,""),"")</f>
        <v/>
      </c>
      <c r="EI56" s="34">
        <f>IF(AND(EI$5&gt;$E56,EI$5&lt;=$F56),IF(EI$5=$E56+1,$C56,""),"")</f>
        <v/>
      </c>
      <c r="EJ56" s="34">
        <f>IF(AND(EJ$5&gt;$E56,EJ$5&lt;=$F56),IF(EJ$5=$E56+1,$C56,""),"")</f>
        <v/>
      </c>
      <c r="EK56" s="34">
        <f>IF(AND(EK$5&gt;$E56,EK$5&lt;=$F56),IF(EK$5=$E56+1,$C56,""),"")</f>
        <v/>
      </c>
      <c r="EL56" s="34">
        <f>IF(AND(EL$5&gt;$E56,EL$5&lt;=$F56),IF(EL$5=$E56+1,$C56,""),"")</f>
        <v/>
      </c>
      <c r="EM56" s="34">
        <f>IF(AND(EM$5&gt;$E56,EM$5&lt;=$F56),IF(EM$5=$E56+1,$C56,""),"")</f>
        <v/>
      </c>
      <c r="EN56" s="34">
        <f>IF(AND(EN$5&gt;$E56,EN$5&lt;=$F56),IF(EN$5=$E56+1,$C56,""),"")</f>
        <v/>
      </c>
      <c r="EO56" s="34">
        <f>IF(AND(EO$5&gt;$E56,EO$5&lt;=$F56),IF(EO$5=$E56+1,$C56,""),"")</f>
        <v/>
      </c>
      <c r="EP56" s="34">
        <f>IF(AND(EP$5&gt;$E56,EP$5&lt;=$F56),IF(EP$5=$E56+1,$C56,""),"")</f>
        <v/>
      </c>
      <c r="EQ56" s="34">
        <f>IF(AND(EQ$5&gt;$E56,EQ$5&lt;=$F56),IF(EQ$5=$E56+1,$C56,""),"")</f>
        <v/>
      </c>
    </row>
    <row r="57">
      <c r="A57" s="32">
        <f>Plan!A46</f>
        <v/>
      </c>
      <c r="B57" s="33">
        <f>Plan!C46</f>
        <v/>
      </c>
      <c r="C57" s="16">
        <f>Plan!D46</f>
        <v/>
      </c>
      <c r="D57" s="16">
        <f>Plan!I46</f>
        <v/>
      </c>
      <c r="E57" s="16">
        <f>Plan!K46</f>
        <v/>
      </c>
      <c r="F57" s="16">
        <f>Plan!L46</f>
        <v/>
      </c>
      <c r="G57" s="16">
        <f>Plan!O46</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c r="DX57" s="34">
        <f>IF(AND(DX$5&gt;$E57,DX$5&lt;=$F57),IF(DX$5=$E57+1,$C57,""),"")</f>
        <v/>
      </c>
      <c r="DY57" s="34">
        <f>IF(AND(DY$5&gt;$E57,DY$5&lt;=$F57),IF(DY$5=$E57+1,$C57,""),"")</f>
        <v/>
      </c>
      <c r="DZ57" s="34">
        <f>IF(AND(DZ$5&gt;$E57,DZ$5&lt;=$F57),IF(DZ$5=$E57+1,$C57,""),"")</f>
        <v/>
      </c>
      <c r="EA57" s="34">
        <f>IF(AND(EA$5&gt;$E57,EA$5&lt;=$F57),IF(EA$5=$E57+1,$C57,""),"")</f>
        <v/>
      </c>
      <c r="EB57" s="34">
        <f>IF(AND(EB$5&gt;$E57,EB$5&lt;=$F57),IF(EB$5=$E57+1,$C57,""),"")</f>
        <v/>
      </c>
      <c r="EC57" s="34">
        <f>IF(AND(EC$5&gt;$E57,EC$5&lt;=$F57),IF(EC$5=$E57+1,$C57,""),"")</f>
        <v/>
      </c>
      <c r="ED57" s="34">
        <f>IF(AND(ED$5&gt;$E57,ED$5&lt;=$F57),IF(ED$5=$E57+1,$C57,""),"")</f>
        <v/>
      </c>
      <c r="EE57" s="34">
        <f>IF(AND(EE$5&gt;$E57,EE$5&lt;=$F57),IF(EE$5=$E57+1,$C57,""),"")</f>
        <v/>
      </c>
      <c r="EF57" s="34">
        <f>IF(AND(EF$5&gt;$E57,EF$5&lt;=$F57),IF(EF$5=$E57+1,$C57,""),"")</f>
        <v/>
      </c>
      <c r="EG57" s="34">
        <f>IF(AND(EG$5&gt;$E57,EG$5&lt;=$F57),IF(EG$5=$E57+1,$C57,""),"")</f>
        <v/>
      </c>
      <c r="EH57" s="34">
        <f>IF(AND(EH$5&gt;$E57,EH$5&lt;=$F57),IF(EH$5=$E57+1,$C57,""),"")</f>
        <v/>
      </c>
      <c r="EI57" s="34">
        <f>IF(AND(EI$5&gt;$E57,EI$5&lt;=$F57),IF(EI$5=$E57+1,$C57,""),"")</f>
        <v/>
      </c>
      <c r="EJ57" s="34">
        <f>IF(AND(EJ$5&gt;$E57,EJ$5&lt;=$F57),IF(EJ$5=$E57+1,$C57,""),"")</f>
        <v/>
      </c>
      <c r="EK57" s="34">
        <f>IF(AND(EK$5&gt;$E57,EK$5&lt;=$F57),IF(EK$5=$E57+1,$C57,""),"")</f>
        <v/>
      </c>
      <c r="EL57" s="34">
        <f>IF(AND(EL$5&gt;$E57,EL$5&lt;=$F57),IF(EL$5=$E57+1,$C57,""),"")</f>
        <v/>
      </c>
      <c r="EM57" s="34">
        <f>IF(AND(EM$5&gt;$E57,EM$5&lt;=$F57),IF(EM$5=$E57+1,$C57,""),"")</f>
        <v/>
      </c>
      <c r="EN57" s="34">
        <f>IF(AND(EN$5&gt;$E57,EN$5&lt;=$F57),IF(EN$5=$E57+1,$C57,""),"")</f>
        <v/>
      </c>
      <c r="EO57" s="34">
        <f>IF(AND(EO$5&gt;$E57,EO$5&lt;=$F57),IF(EO$5=$E57+1,$C57,""),"")</f>
        <v/>
      </c>
      <c r="EP57" s="34">
        <f>IF(AND(EP$5&gt;$E57,EP$5&lt;=$F57),IF(EP$5=$E57+1,$C57,""),"")</f>
        <v/>
      </c>
      <c r="EQ57" s="34">
        <f>IF(AND(EQ$5&gt;$E57,EQ$5&lt;=$F57),IF(EQ$5=$E57+1,$C57,""),"")</f>
        <v/>
      </c>
    </row>
    <row r="58">
      <c r="A58" s="32">
        <f>Plan!A47</f>
        <v/>
      </c>
      <c r="B58" s="33">
        <f>Plan!C47</f>
        <v/>
      </c>
      <c r="C58" s="16">
        <f>Plan!D47</f>
        <v/>
      </c>
      <c r="D58" s="16">
        <f>Plan!I47</f>
        <v/>
      </c>
      <c r="E58" s="16">
        <f>Plan!K47</f>
        <v/>
      </c>
      <c r="F58" s="16">
        <f>Plan!L47</f>
        <v/>
      </c>
      <c r="G58" s="16">
        <f>Plan!O47</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c r="DX58" s="34">
        <f>IF(AND(DX$5&gt;$E58,DX$5&lt;=$F58),IF(DX$5=$E58+1,$C58,""),"")</f>
        <v/>
      </c>
      <c r="DY58" s="34">
        <f>IF(AND(DY$5&gt;$E58,DY$5&lt;=$F58),IF(DY$5=$E58+1,$C58,""),"")</f>
        <v/>
      </c>
      <c r="DZ58" s="34">
        <f>IF(AND(DZ$5&gt;$E58,DZ$5&lt;=$F58),IF(DZ$5=$E58+1,$C58,""),"")</f>
        <v/>
      </c>
      <c r="EA58" s="34">
        <f>IF(AND(EA$5&gt;$E58,EA$5&lt;=$F58),IF(EA$5=$E58+1,$C58,""),"")</f>
        <v/>
      </c>
      <c r="EB58" s="34">
        <f>IF(AND(EB$5&gt;$E58,EB$5&lt;=$F58),IF(EB$5=$E58+1,$C58,""),"")</f>
        <v/>
      </c>
      <c r="EC58" s="34">
        <f>IF(AND(EC$5&gt;$E58,EC$5&lt;=$F58),IF(EC$5=$E58+1,$C58,""),"")</f>
        <v/>
      </c>
      <c r="ED58" s="34">
        <f>IF(AND(ED$5&gt;$E58,ED$5&lt;=$F58),IF(ED$5=$E58+1,$C58,""),"")</f>
        <v/>
      </c>
      <c r="EE58" s="34">
        <f>IF(AND(EE$5&gt;$E58,EE$5&lt;=$F58),IF(EE$5=$E58+1,$C58,""),"")</f>
        <v/>
      </c>
      <c r="EF58" s="34">
        <f>IF(AND(EF$5&gt;$E58,EF$5&lt;=$F58),IF(EF$5=$E58+1,$C58,""),"")</f>
        <v/>
      </c>
      <c r="EG58" s="34">
        <f>IF(AND(EG$5&gt;$E58,EG$5&lt;=$F58),IF(EG$5=$E58+1,$C58,""),"")</f>
        <v/>
      </c>
      <c r="EH58" s="34">
        <f>IF(AND(EH$5&gt;$E58,EH$5&lt;=$F58),IF(EH$5=$E58+1,$C58,""),"")</f>
        <v/>
      </c>
      <c r="EI58" s="34">
        <f>IF(AND(EI$5&gt;$E58,EI$5&lt;=$F58),IF(EI$5=$E58+1,$C58,""),"")</f>
        <v/>
      </c>
      <c r="EJ58" s="34">
        <f>IF(AND(EJ$5&gt;$E58,EJ$5&lt;=$F58),IF(EJ$5=$E58+1,$C58,""),"")</f>
        <v/>
      </c>
      <c r="EK58" s="34">
        <f>IF(AND(EK$5&gt;$E58,EK$5&lt;=$F58),IF(EK$5=$E58+1,$C58,""),"")</f>
        <v/>
      </c>
      <c r="EL58" s="34">
        <f>IF(AND(EL$5&gt;$E58,EL$5&lt;=$F58),IF(EL$5=$E58+1,$C58,""),"")</f>
        <v/>
      </c>
      <c r="EM58" s="34">
        <f>IF(AND(EM$5&gt;$E58,EM$5&lt;=$F58),IF(EM$5=$E58+1,$C58,""),"")</f>
        <v/>
      </c>
      <c r="EN58" s="34">
        <f>IF(AND(EN$5&gt;$E58,EN$5&lt;=$F58),IF(EN$5=$E58+1,$C58,""),"")</f>
        <v/>
      </c>
      <c r="EO58" s="34">
        <f>IF(AND(EO$5&gt;$E58,EO$5&lt;=$F58),IF(EO$5=$E58+1,$C58,""),"")</f>
        <v/>
      </c>
      <c r="EP58" s="34">
        <f>IF(AND(EP$5&gt;$E58,EP$5&lt;=$F58),IF(EP$5=$E58+1,$C58,""),"")</f>
        <v/>
      </c>
      <c r="EQ58" s="34">
        <f>IF(AND(EQ$5&gt;$E58,EQ$5&lt;=$F58),IF(EQ$5=$E58+1,$C58,""),"")</f>
        <v/>
      </c>
    </row>
    <row r="59">
      <c r="A59" s="32">
        <f>Plan!A77</f>
        <v/>
      </c>
      <c r="B59" s="33">
        <f>Plan!C77</f>
        <v/>
      </c>
      <c r="C59" s="16">
        <f>Plan!D77</f>
        <v/>
      </c>
      <c r="D59" s="16">
        <f>Plan!I77</f>
        <v/>
      </c>
      <c r="E59" s="16">
        <f>Plan!K77</f>
        <v/>
      </c>
      <c r="F59" s="16">
        <f>Plan!L77</f>
        <v/>
      </c>
      <c r="G59" s="16">
        <f>Plan!O77</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c r="DX59" s="34">
        <f>IF(AND(DX$5&gt;$E59,DX$5&lt;=$F59),IF(DX$5=$E59+1,$C59,""),"")</f>
        <v/>
      </c>
      <c r="DY59" s="34">
        <f>IF(AND(DY$5&gt;$E59,DY$5&lt;=$F59),IF(DY$5=$E59+1,$C59,""),"")</f>
        <v/>
      </c>
      <c r="DZ59" s="34">
        <f>IF(AND(DZ$5&gt;$E59,DZ$5&lt;=$F59),IF(DZ$5=$E59+1,$C59,""),"")</f>
        <v/>
      </c>
      <c r="EA59" s="34">
        <f>IF(AND(EA$5&gt;$E59,EA$5&lt;=$F59),IF(EA$5=$E59+1,$C59,""),"")</f>
        <v/>
      </c>
      <c r="EB59" s="34">
        <f>IF(AND(EB$5&gt;$E59,EB$5&lt;=$F59),IF(EB$5=$E59+1,$C59,""),"")</f>
        <v/>
      </c>
      <c r="EC59" s="34">
        <f>IF(AND(EC$5&gt;$E59,EC$5&lt;=$F59),IF(EC$5=$E59+1,$C59,""),"")</f>
        <v/>
      </c>
      <c r="ED59" s="34">
        <f>IF(AND(ED$5&gt;$E59,ED$5&lt;=$F59),IF(ED$5=$E59+1,$C59,""),"")</f>
        <v/>
      </c>
      <c r="EE59" s="34">
        <f>IF(AND(EE$5&gt;$E59,EE$5&lt;=$F59),IF(EE$5=$E59+1,$C59,""),"")</f>
        <v/>
      </c>
      <c r="EF59" s="34">
        <f>IF(AND(EF$5&gt;$E59,EF$5&lt;=$F59),IF(EF$5=$E59+1,$C59,""),"")</f>
        <v/>
      </c>
      <c r="EG59" s="34">
        <f>IF(AND(EG$5&gt;$E59,EG$5&lt;=$F59),IF(EG$5=$E59+1,$C59,""),"")</f>
        <v/>
      </c>
      <c r="EH59" s="34">
        <f>IF(AND(EH$5&gt;$E59,EH$5&lt;=$F59),IF(EH$5=$E59+1,$C59,""),"")</f>
        <v/>
      </c>
      <c r="EI59" s="34">
        <f>IF(AND(EI$5&gt;$E59,EI$5&lt;=$F59),IF(EI$5=$E59+1,$C59,""),"")</f>
        <v/>
      </c>
      <c r="EJ59" s="34">
        <f>IF(AND(EJ$5&gt;$E59,EJ$5&lt;=$F59),IF(EJ$5=$E59+1,$C59,""),"")</f>
        <v/>
      </c>
      <c r="EK59" s="34">
        <f>IF(AND(EK$5&gt;$E59,EK$5&lt;=$F59),IF(EK$5=$E59+1,$C59,""),"")</f>
        <v/>
      </c>
      <c r="EL59" s="34">
        <f>IF(AND(EL$5&gt;$E59,EL$5&lt;=$F59),IF(EL$5=$E59+1,$C59,""),"")</f>
        <v/>
      </c>
      <c r="EM59" s="34">
        <f>IF(AND(EM$5&gt;$E59,EM$5&lt;=$F59),IF(EM$5=$E59+1,$C59,""),"")</f>
        <v/>
      </c>
      <c r="EN59" s="34">
        <f>IF(AND(EN$5&gt;$E59,EN$5&lt;=$F59),IF(EN$5=$E59+1,$C59,""),"")</f>
        <v/>
      </c>
      <c r="EO59" s="34">
        <f>IF(AND(EO$5&gt;$E59,EO$5&lt;=$F59),IF(EO$5=$E59+1,$C59,""),"")</f>
        <v/>
      </c>
      <c r="EP59" s="34">
        <f>IF(AND(EP$5&gt;$E59,EP$5&lt;=$F59),IF(EP$5=$E59+1,$C59,""),"")</f>
        <v/>
      </c>
      <c r="EQ59" s="34">
        <f>IF(AND(EQ$5&gt;$E59,EQ$5&lt;=$F59),IF(EQ$5=$E59+1,$C59,""),"")</f>
        <v/>
      </c>
    </row>
    <row r="60">
      <c r="A60" s="32">
        <f>Plan!A78</f>
        <v/>
      </c>
      <c r="B60" s="33">
        <f>Plan!C78</f>
        <v/>
      </c>
      <c r="C60" s="16">
        <f>Plan!D78</f>
        <v/>
      </c>
      <c r="D60" s="16">
        <f>Plan!I78</f>
        <v/>
      </c>
      <c r="E60" s="16">
        <f>Plan!K78</f>
        <v/>
      </c>
      <c r="F60" s="16">
        <f>Plan!L78</f>
        <v/>
      </c>
      <c r="G60" s="16">
        <f>Plan!O78</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c r="DX60" s="34">
        <f>IF(AND(DX$5&gt;$E60,DX$5&lt;=$F60),IF(DX$5=$E60+1,$C60,""),"")</f>
        <v/>
      </c>
      <c r="DY60" s="34">
        <f>IF(AND(DY$5&gt;$E60,DY$5&lt;=$F60),IF(DY$5=$E60+1,$C60,""),"")</f>
        <v/>
      </c>
      <c r="DZ60" s="34">
        <f>IF(AND(DZ$5&gt;$E60,DZ$5&lt;=$F60),IF(DZ$5=$E60+1,$C60,""),"")</f>
        <v/>
      </c>
      <c r="EA60" s="34">
        <f>IF(AND(EA$5&gt;$E60,EA$5&lt;=$F60),IF(EA$5=$E60+1,$C60,""),"")</f>
        <v/>
      </c>
      <c r="EB60" s="34">
        <f>IF(AND(EB$5&gt;$E60,EB$5&lt;=$F60),IF(EB$5=$E60+1,$C60,""),"")</f>
        <v/>
      </c>
      <c r="EC60" s="34">
        <f>IF(AND(EC$5&gt;$E60,EC$5&lt;=$F60),IF(EC$5=$E60+1,$C60,""),"")</f>
        <v/>
      </c>
      <c r="ED60" s="34">
        <f>IF(AND(ED$5&gt;$E60,ED$5&lt;=$F60),IF(ED$5=$E60+1,$C60,""),"")</f>
        <v/>
      </c>
      <c r="EE60" s="34">
        <f>IF(AND(EE$5&gt;$E60,EE$5&lt;=$F60),IF(EE$5=$E60+1,$C60,""),"")</f>
        <v/>
      </c>
      <c r="EF60" s="34">
        <f>IF(AND(EF$5&gt;$E60,EF$5&lt;=$F60),IF(EF$5=$E60+1,$C60,""),"")</f>
        <v/>
      </c>
      <c r="EG60" s="34">
        <f>IF(AND(EG$5&gt;$E60,EG$5&lt;=$F60),IF(EG$5=$E60+1,$C60,""),"")</f>
        <v/>
      </c>
      <c r="EH60" s="34">
        <f>IF(AND(EH$5&gt;$E60,EH$5&lt;=$F60),IF(EH$5=$E60+1,$C60,""),"")</f>
        <v/>
      </c>
      <c r="EI60" s="34">
        <f>IF(AND(EI$5&gt;$E60,EI$5&lt;=$F60),IF(EI$5=$E60+1,$C60,""),"")</f>
        <v/>
      </c>
      <c r="EJ60" s="34">
        <f>IF(AND(EJ$5&gt;$E60,EJ$5&lt;=$F60),IF(EJ$5=$E60+1,$C60,""),"")</f>
        <v/>
      </c>
      <c r="EK60" s="34">
        <f>IF(AND(EK$5&gt;$E60,EK$5&lt;=$F60),IF(EK$5=$E60+1,$C60,""),"")</f>
        <v/>
      </c>
      <c r="EL60" s="34">
        <f>IF(AND(EL$5&gt;$E60,EL$5&lt;=$F60),IF(EL$5=$E60+1,$C60,""),"")</f>
        <v/>
      </c>
      <c r="EM60" s="34">
        <f>IF(AND(EM$5&gt;$E60,EM$5&lt;=$F60),IF(EM$5=$E60+1,$C60,""),"")</f>
        <v/>
      </c>
      <c r="EN60" s="34">
        <f>IF(AND(EN$5&gt;$E60,EN$5&lt;=$F60),IF(EN$5=$E60+1,$C60,""),"")</f>
        <v/>
      </c>
      <c r="EO60" s="34">
        <f>IF(AND(EO$5&gt;$E60,EO$5&lt;=$F60),IF(EO$5=$E60+1,$C60,""),"")</f>
        <v/>
      </c>
      <c r="EP60" s="34">
        <f>IF(AND(EP$5&gt;$E60,EP$5&lt;=$F60),IF(EP$5=$E60+1,$C60,""),"")</f>
        <v/>
      </c>
      <c r="EQ60" s="34">
        <f>IF(AND(EQ$5&gt;$E60,EQ$5&lt;=$F60),IF(EQ$5=$E60+1,$C60,""),"")</f>
        <v/>
      </c>
    </row>
    <row r="61">
      <c r="A61" s="32">
        <f>Plan!A80</f>
        <v/>
      </c>
      <c r="B61" s="33">
        <f>Plan!C80</f>
        <v/>
      </c>
      <c r="C61" s="16">
        <f>Plan!D80</f>
        <v/>
      </c>
      <c r="D61" s="16">
        <f>Plan!I80</f>
        <v/>
      </c>
      <c r="E61" s="16">
        <f>Plan!K80</f>
        <v/>
      </c>
      <c r="F61" s="16">
        <f>Plan!L80</f>
        <v/>
      </c>
      <c r="G61" s="16">
        <f>Plan!O80</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c r="DX61" s="34">
        <f>IF(AND(DX$5&gt;$E61,DX$5&lt;=$F61),IF(DX$5=$E61+1,$C61,""),"")</f>
        <v/>
      </c>
      <c r="DY61" s="34">
        <f>IF(AND(DY$5&gt;$E61,DY$5&lt;=$F61),IF(DY$5=$E61+1,$C61,""),"")</f>
        <v/>
      </c>
      <c r="DZ61" s="34">
        <f>IF(AND(DZ$5&gt;$E61,DZ$5&lt;=$F61),IF(DZ$5=$E61+1,$C61,""),"")</f>
        <v/>
      </c>
      <c r="EA61" s="34">
        <f>IF(AND(EA$5&gt;$E61,EA$5&lt;=$F61),IF(EA$5=$E61+1,$C61,""),"")</f>
        <v/>
      </c>
      <c r="EB61" s="34">
        <f>IF(AND(EB$5&gt;$E61,EB$5&lt;=$F61),IF(EB$5=$E61+1,$C61,""),"")</f>
        <v/>
      </c>
      <c r="EC61" s="34">
        <f>IF(AND(EC$5&gt;$E61,EC$5&lt;=$F61),IF(EC$5=$E61+1,$C61,""),"")</f>
        <v/>
      </c>
      <c r="ED61" s="34">
        <f>IF(AND(ED$5&gt;$E61,ED$5&lt;=$F61),IF(ED$5=$E61+1,$C61,""),"")</f>
        <v/>
      </c>
      <c r="EE61" s="34">
        <f>IF(AND(EE$5&gt;$E61,EE$5&lt;=$F61),IF(EE$5=$E61+1,$C61,""),"")</f>
        <v/>
      </c>
      <c r="EF61" s="34">
        <f>IF(AND(EF$5&gt;$E61,EF$5&lt;=$F61),IF(EF$5=$E61+1,$C61,""),"")</f>
        <v/>
      </c>
      <c r="EG61" s="34">
        <f>IF(AND(EG$5&gt;$E61,EG$5&lt;=$F61),IF(EG$5=$E61+1,$C61,""),"")</f>
        <v/>
      </c>
      <c r="EH61" s="34">
        <f>IF(AND(EH$5&gt;$E61,EH$5&lt;=$F61),IF(EH$5=$E61+1,$C61,""),"")</f>
        <v/>
      </c>
      <c r="EI61" s="34">
        <f>IF(AND(EI$5&gt;$E61,EI$5&lt;=$F61),IF(EI$5=$E61+1,$C61,""),"")</f>
        <v/>
      </c>
      <c r="EJ61" s="34">
        <f>IF(AND(EJ$5&gt;$E61,EJ$5&lt;=$F61),IF(EJ$5=$E61+1,$C61,""),"")</f>
        <v/>
      </c>
      <c r="EK61" s="34">
        <f>IF(AND(EK$5&gt;$E61,EK$5&lt;=$F61),IF(EK$5=$E61+1,$C61,""),"")</f>
        <v/>
      </c>
      <c r="EL61" s="34">
        <f>IF(AND(EL$5&gt;$E61,EL$5&lt;=$F61),IF(EL$5=$E61+1,$C61,""),"")</f>
        <v/>
      </c>
      <c r="EM61" s="34">
        <f>IF(AND(EM$5&gt;$E61,EM$5&lt;=$F61),IF(EM$5=$E61+1,$C61,""),"")</f>
        <v/>
      </c>
      <c r="EN61" s="34">
        <f>IF(AND(EN$5&gt;$E61,EN$5&lt;=$F61),IF(EN$5=$E61+1,$C61,""),"")</f>
        <v/>
      </c>
      <c r="EO61" s="34">
        <f>IF(AND(EO$5&gt;$E61,EO$5&lt;=$F61),IF(EO$5=$E61+1,$C61,""),"")</f>
        <v/>
      </c>
      <c r="EP61" s="34">
        <f>IF(AND(EP$5&gt;$E61,EP$5&lt;=$F61),IF(EP$5=$E61+1,$C61,""),"")</f>
        <v/>
      </c>
      <c r="EQ61" s="34">
        <f>IF(AND(EQ$5&gt;$E61,EQ$5&lt;=$F61),IF(EQ$5=$E61+1,$C61,""),"")</f>
        <v/>
      </c>
    </row>
    <row r="62">
      <c r="A62" s="32">
        <f>Plan!A81</f>
        <v/>
      </c>
      <c r="B62" s="33">
        <f>Plan!C81</f>
        <v/>
      </c>
      <c r="C62" s="16">
        <f>Plan!D81</f>
        <v/>
      </c>
      <c r="D62" s="16">
        <f>Plan!I81</f>
        <v/>
      </c>
      <c r="E62" s="16">
        <f>Plan!K81</f>
        <v/>
      </c>
      <c r="F62" s="16">
        <f>Plan!L81</f>
        <v/>
      </c>
      <c r="G62" s="16">
        <f>Plan!O81</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c r="DX62" s="34">
        <f>IF(AND(DX$5&gt;$E62,DX$5&lt;=$F62),IF(DX$5=$E62+1,$C62,""),"")</f>
        <v/>
      </c>
      <c r="DY62" s="34">
        <f>IF(AND(DY$5&gt;$E62,DY$5&lt;=$F62),IF(DY$5=$E62+1,$C62,""),"")</f>
        <v/>
      </c>
      <c r="DZ62" s="34">
        <f>IF(AND(DZ$5&gt;$E62,DZ$5&lt;=$F62),IF(DZ$5=$E62+1,$C62,""),"")</f>
        <v/>
      </c>
      <c r="EA62" s="34">
        <f>IF(AND(EA$5&gt;$E62,EA$5&lt;=$F62),IF(EA$5=$E62+1,$C62,""),"")</f>
        <v/>
      </c>
      <c r="EB62" s="34">
        <f>IF(AND(EB$5&gt;$E62,EB$5&lt;=$F62),IF(EB$5=$E62+1,$C62,""),"")</f>
        <v/>
      </c>
      <c r="EC62" s="34">
        <f>IF(AND(EC$5&gt;$E62,EC$5&lt;=$F62),IF(EC$5=$E62+1,$C62,""),"")</f>
        <v/>
      </c>
      <c r="ED62" s="34">
        <f>IF(AND(ED$5&gt;$E62,ED$5&lt;=$F62),IF(ED$5=$E62+1,$C62,""),"")</f>
        <v/>
      </c>
      <c r="EE62" s="34">
        <f>IF(AND(EE$5&gt;$E62,EE$5&lt;=$F62),IF(EE$5=$E62+1,$C62,""),"")</f>
        <v/>
      </c>
      <c r="EF62" s="34">
        <f>IF(AND(EF$5&gt;$E62,EF$5&lt;=$F62),IF(EF$5=$E62+1,$C62,""),"")</f>
        <v/>
      </c>
      <c r="EG62" s="34">
        <f>IF(AND(EG$5&gt;$E62,EG$5&lt;=$F62),IF(EG$5=$E62+1,$C62,""),"")</f>
        <v/>
      </c>
      <c r="EH62" s="34">
        <f>IF(AND(EH$5&gt;$E62,EH$5&lt;=$F62),IF(EH$5=$E62+1,$C62,""),"")</f>
        <v/>
      </c>
      <c r="EI62" s="34">
        <f>IF(AND(EI$5&gt;$E62,EI$5&lt;=$F62),IF(EI$5=$E62+1,$C62,""),"")</f>
        <v/>
      </c>
      <c r="EJ62" s="34">
        <f>IF(AND(EJ$5&gt;$E62,EJ$5&lt;=$F62),IF(EJ$5=$E62+1,$C62,""),"")</f>
        <v/>
      </c>
      <c r="EK62" s="34">
        <f>IF(AND(EK$5&gt;$E62,EK$5&lt;=$F62),IF(EK$5=$E62+1,$C62,""),"")</f>
        <v/>
      </c>
      <c r="EL62" s="34">
        <f>IF(AND(EL$5&gt;$E62,EL$5&lt;=$F62),IF(EL$5=$E62+1,$C62,""),"")</f>
        <v/>
      </c>
      <c r="EM62" s="34">
        <f>IF(AND(EM$5&gt;$E62,EM$5&lt;=$F62),IF(EM$5=$E62+1,$C62,""),"")</f>
        <v/>
      </c>
      <c r="EN62" s="34">
        <f>IF(AND(EN$5&gt;$E62,EN$5&lt;=$F62),IF(EN$5=$E62+1,$C62,""),"")</f>
        <v/>
      </c>
      <c r="EO62" s="34">
        <f>IF(AND(EO$5&gt;$E62,EO$5&lt;=$F62),IF(EO$5=$E62+1,$C62,""),"")</f>
        <v/>
      </c>
      <c r="EP62" s="34">
        <f>IF(AND(EP$5&gt;$E62,EP$5&lt;=$F62),IF(EP$5=$E62+1,$C62,""),"")</f>
        <v/>
      </c>
      <c r="EQ62" s="34">
        <f>IF(AND(EQ$5&gt;$E62,EQ$5&lt;=$F62),IF(EQ$5=$E62+1,$C62,""),"")</f>
        <v/>
      </c>
    </row>
    <row r="63">
      <c r="A63" s="32">
        <f>Plan!A90</f>
        <v/>
      </c>
      <c r="B63" s="33">
        <f>Plan!C90</f>
        <v/>
      </c>
      <c r="C63" s="16">
        <f>Plan!D90</f>
        <v/>
      </c>
      <c r="D63" s="16">
        <f>Plan!I90</f>
        <v/>
      </c>
      <c r="E63" s="16">
        <f>Plan!K90</f>
        <v/>
      </c>
      <c r="F63" s="16">
        <f>Plan!L90</f>
        <v/>
      </c>
      <c r="G63" s="16">
        <f>Plan!O90</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c r="DX63" s="34">
        <f>IF(AND(DX$5&gt;$E63,DX$5&lt;=$F63),IF(DX$5=$E63+1,$C63,""),"")</f>
        <v/>
      </c>
      <c r="DY63" s="34">
        <f>IF(AND(DY$5&gt;$E63,DY$5&lt;=$F63),IF(DY$5=$E63+1,$C63,""),"")</f>
        <v/>
      </c>
      <c r="DZ63" s="34">
        <f>IF(AND(DZ$5&gt;$E63,DZ$5&lt;=$F63),IF(DZ$5=$E63+1,$C63,""),"")</f>
        <v/>
      </c>
      <c r="EA63" s="34">
        <f>IF(AND(EA$5&gt;$E63,EA$5&lt;=$F63),IF(EA$5=$E63+1,$C63,""),"")</f>
        <v/>
      </c>
      <c r="EB63" s="34">
        <f>IF(AND(EB$5&gt;$E63,EB$5&lt;=$F63),IF(EB$5=$E63+1,$C63,""),"")</f>
        <v/>
      </c>
      <c r="EC63" s="34">
        <f>IF(AND(EC$5&gt;$E63,EC$5&lt;=$F63),IF(EC$5=$E63+1,$C63,""),"")</f>
        <v/>
      </c>
      <c r="ED63" s="34">
        <f>IF(AND(ED$5&gt;$E63,ED$5&lt;=$F63),IF(ED$5=$E63+1,$C63,""),"")</f>
        <v/>
      </c>
      <c r="EE63" s="34">
        <f>IF(AND(EE$5&gt;$E63,EE$5&lt;=$F63),IF(EE$5=$E63+1,$C63,""),"")</f>
        <v/>
      </c>
      <c r="EF63" s="34">
        <f>IF(AND(EF$5&gt;$E63,EF$5&lt;=$F63),IF(EF$5=$E63+1,$C63,""),"")</f>
        <v/>
      </c>
      <c r="EG63" s="34">
        <f>IF(AND(EG$5&gt;$E63,EG$5&lt;=$F63),IF(EG$5=$E63+1,$C63,""),"")</f>
        <v/>
      </c>
      <c r="EH63" s="34">
        <f>IF(AND(EH$5&gt;$E63,EH$5&lt;=$F63),IF(EH$5=$E63+1,$C63,""),"")</f>
        <v/>
      </c>
      <c r="EI63" s="34">
        <f>IF(AND(EI$5&gt;$E63,EI$5&lt;=$F63),IF(EI$5=$E63+1,$C63,""),"")</f>
        <v/>
      </c>
      <c r="EJ63" s="34">
        <f>IF(AND(EJ$5&gt;$E63,EJ$5&lt;=$F63),IF(EJ$5=$E63+1,$C63,""),"")</f>
        <v/>
      </c>
      <c r="EK63" s="34">
        <f>IF(AND(EK$5&gt;$E63,EK$5&lt;=$F63),IF(EK$5=$E63+1,$C63,""),"")</f>
        <v/>
      </c>
      <c r="EL63" s="34">
        <f>IF(AND(EL$5&gt;$E63,EL$5&lt;=$F63),IF(EL$5=$E63+1,$C63,""),"")</f>
        <v/>
      </c>
      <c r="EM63" s="34">
        <f>IF(AND(EM$5&gt;$E63,EM$5&lt;=$F63),IF(EM$5=$E63+1,$C63,""),"")</f>
        <v/>
      </c>
      <c r="EN63" s="34">
        <f>IF(AND(EN$5&gt;$E63,EN$5&lt;=$F63),IF(EN$5=$E63+1,$C63,""),"")</f>
        <v/>
      </c>
      <c r="EO63" s="34">
        <f>IF(AND(EO$5&gt;$E63,EO$5&lt;=$F63),IF(EO$5=$E63+1,$C63,""),"")</f>
        <v/>
      </c>
      <c r="EP63" s="34">
        <f>IF(AND(EP$5&gt;$E63,EP$5&lt;=$F63),IF(EP$5=$E63+1,$C63,""),"")</f>
        <v/>
      </c>
      <c r="EQ63" s="34">
        <f>IF(AND(EQ$5&gt;$E63,EQ$5&lt;=$F63),IF(EQ$5=$E63+1,$C63,""),"")</f>
        <v/>
      </c>
    </row>
    <row r="64">
      <c r="A64" s="32">
        <f>Plan!A92</f>
        <v/>
      </c>
      <c r="B64" s="33">
        <f>Plan!C92</f>
        <v/>
      </c>
      <c r="C64" s="16">
        <f>Plan!D92</f>
        <v/>
      </c>
      <c r="D64" s="16">
        <f>Plan!I92</f>
        <v/>
      </c>
      <c r="E64" s="16">
        <f>Plan!K92</f>
        <v/>
      </c>
      <c r="F64" s="16">
        <f>Plan!L92</f>
        <v/>
      </c>
      <c r="G64" s="16">
        <f>Plan!O92</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c r="DX64" s="34">
        <f>IF(AND(DX$5&gt;$E64,DX$5&lt;=$F64),IF(DX$5=$E64+1,$C64,""),"")</f>
        <v/>
      </c>
      <c r="DY64" s="34">
        <f>IF(AND(DY$5&gt;$E64,DY$5&lt;=$F64),IF(DY$5=$E64+1,$C64,""),"")</f>
        <v/>
      </c>
      <c r="DZ64" s="34">
        <f>IF(AND(DZ$5&gt;$E64,DZ$5&lt;=$F64),IF(DZ$5=$E64+1,$C64,""),"")</f>
        <v/>
      </c>
      <c r="EA64" s="34">
        <f>IF(AND(EA$5&gt;$E64,EA$5&lt;=$F64),IF(EA$5=$E64+1,$C64,""),"")</f>
        <v/>
      </c>
      <c r="EB64" s="34">
        <f>IF(AND(EB$5&gt;$E64,EB$5&lt;=$F64),IF(EB$5=$E64+1,$C64,""),"")</f>
        <v/>
      </c>
      <c r="EC64" s="34">
        <f>IF(AND(EC$5&gt;$E64,EC$5&lt;=$F64),IF(EC$5=$E64+1,$C64,""),"")</f>
        <v/>
      </c>
      <c r="ED64" s="34">
        <f>IF(AND(ED$5&gt;$E64,ED$5&lt;=$F64),IF(ED$5=$E64+1,$C64,""),"")</f>
        <v/>
      </c>
      <c r="EE64" s="34">
        <f>IF(AND(EE$5&gt;$E64,EE$5&lt;=$F64),IF(EE$5=$E64+1,$C64,""),"")</f>
        <v/>
      </c>
      <c r="EF64" s="34">
        <f>IF(AND(EF$5&gt;$E64,EF$5&lt;=$F64),IF(EF$5=$E64+1,$C64,""),"")</f>
        <v/>
      </c>
      <c r="EG64" s="34">
        <f>IF(AND(EG$5&gt;$E64,EG$5&lt;=$F64),IF(EG$5=$E64+1,$C64,""),"")</f>
        <v/>
      </c>
      <c r="EH64" s="34">
        <f>IF(AND(EH$5&gt;$E64,EH$5&lt;=$F64),IF(EH$5=$E64+1,$C64,""),"")</f>
        <v/>
      </c>
      <c r="EI64" s="34">
        <f>IF(AND(EI$5&gt;$E64,EI$5&lt;=$F64),IF(EI$5=$E64+1,$C64,""),"")</f>
        <v/>
      </c>
      <c r="EJ64" s="34">
        <f>IF(AND(EJ$5&gt;$E64,EJ$5&lt;=$F64),IF(EJ$5=$E64+1,$C64,""),"")</f>
        <v/>
      </c>
      <c r="EK64" s="34">
        <f>IF(AND(EK$5&gt;$E64,EK$5&lt;=$F64),IF(EK$5=$E64+1,$C64,""),"")</f>
        <v/>
      </c>
      <c r="EL64" s="34">
        <f>IF(AND(EL$5&gt;$E64,EL$5&lt;=$F64),IF(EL$5=$E64+1,$C64,""),"")</f>
        <v/>
      </c>
      <c r="EM64" s="34">
        <f>IF(AND(EM$5&gt;$E64,EM$5&lt;=$F64),IF(EM$5=$E64+1,$C64,""),"")</f>
        <v/>
      </c>
      <c r="EN64" s="34">
        <f>IF(AND(EN$5&gt;$E64,EN$5&lt;=$F64),IF(EN$5=$E64+1,$C64,""),"")</f>
        <v/>
      </c>
      <c r="EO64" s="34">
        <f>IF(AND(EO$5&gt;$E64,EO$5&lt;=$F64),IF(EO$5=$E64+1,$C64,""),"")</f>
        <v/>
      </c>
      <c r="EP64" s="34">
        <f>IF(AND(EP$5&gt;$E64,EP$5&lt;=$F64),IF(EP$5=$E64+1,$C64,""),"")</f>
        <v/>
      </c>
      <c r="EQ64" s="34">
        <f>IF(AND(EQ$5&gt;$E64,EQ$5&lt;=$F64),IF(EQ$5=$E64+1,$C64,""),"")</f>
        <v/>
      </c>
    </row>
    <row r="65">
      <c r="A65" s="32">
        <f>Plan!A93</f>
        <v/>
      </c>
      <c r="B65" s="33">
        <f>Plan!C93</f>
        <v/>
      </c>
      <c r="C65" s="16">
        <f>Plan!D93</f>
        <v/>
      </c>
      <c r="D65" s="16">
        <f>Plan!I93</f>
        <v/>
      </c>
      <c r="E65" s="16">
        <f>Plan!K93</f>
        <v/>
      </c>
      <c r="F65" s="16">
        <f>Plan!L93</f>
        <v/>
      </c>
      <c r="G65" s="16">
        <f>Plan!O93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c r="DN65" s="34">
        <f>IF(AND(DN$5&gt;$E65,DN$5&lt;=$F65),IF(DN$5=$E65+1,$C65,""),"")</f>
        <v/>
      </c>
      <c r="DO65" s="34">
        <f>IF(AND(DO$5&gt;$E65,DO$5&lt;=$F65),IF(DO$5=$E65+1,$C65,""),"")</f>
        <v/>
      </c>
      <c r="DP65" s="34">
        <f>IF(AND(DP$5&gt;$E65,DP$5&lt;=$F65),IF(DP$5=$E65+1,$C65,""),"")</f>
        <v/>
      </c>
      <c r="DQ65" s="34">
        <f>IF(AND(DQ$5&gt;$E65,DQ$5&lt;=$F65),IF(DQ$5=$E65+1,$C65,""),"")</f>
        <v/>
      </c>
      <c r="DR65" s="34">
        <f>IF(AND(DR$5&gt;$E65,DR$5&lt;=$F65),IF(DR$5=$E65+1,$C65,""),"")</f>
        <v/>
      </c>
      <c r="DS65" s="34">
        <f>IF(AND(DS$5&gt;$E65,DS$5&lt;=$F65),IF(DS$5=$E65+1,$C65,""),"")</f>
        <v/>
      </c>
      <c r="DT65" s="34">
        <f>IF(AND(DT$5&gt;$E65,DT$5&lt;=$F65),IF(DT$5=$E65+1,$C65,""),"")</f>
        <v/>
      </c>
      <c r="DU65" s="34">
        <f>IF(AND(DU$5&gt;$E65,DU$5&lt;=$F65),IF(DU$5=$E65+1,$C65,""),"")</f>
        <v/>
      </c>
      <c r="DV65" s="34">
        <f>IF(AND(DV$5&gt;$E65,DV$5&lt;=$F65),IF(DV$5=$E65+1,$C65,""),"")</f>
        <v/>
      </c>
      <c r="DW65" s="34">
        <f>IF(AND(DW$5&gt;$E65,DW$5&lt;=$F65),IF(DW$5=$E65+1,$C65,""),"")</f>
        <v/>
      </c>
      <c r="DX65" s="34">
        <f>IF(AND(DX$5&gt;$E65,DX$5&lt;=$F65),IF(DX$5=$E65+1,$C65,""),"")</f>
        <v/>
      </c>
      <c r="DY65" s="34">
        <f>IF(AND(DY$5&gt;$E65,DY$5&lt;=$F65),IF(DY$5=$E65+1,$C65,""),"")</f>
        <v/>
      </c>
      <c r="DZ65" s="34">
        <f>IF(AND(DZ$5&gt;$E65,DZ$5&lt;=$F65),IF(DZ$5=$E65+1,$C65,""),"")</f>
        <v/>
      </c>
      <c r="EA65" s="34">
        <f>IF(AND(EA$5&gt;$E65,EA$5&lt;=$F65),IF(EA$5=$E65+1,$C65,""),"")</f>
        <v/>
      </c>
      <c r="EB65" s="34">
        <f>IF(AND(EB$5&gt;$E65,EB$5&lt;=$F65),IF(EB$5=$E65+1,$C65,""),"")</f>
        <v/>
      </c>
      <c r="EC65" s="34">
        <f>IF(AND(EC$5&gt;$E65,EC$5&lt;=$F65),IF(EC$5=$E65+1,$C65,""),"")</f>
        <v/>
      </c>
      <c r="ED65" s="34">
        <f>IF(AND(ED$5&gt;$E65,ED$5&lt;=$F65),IF(ED$5=$E65+1,$C65,""),"")</f>
        <v/>
      </c>
      <c r="EE65" s="34">
        <f>IF(AND(EE$5&gt;$E65,EE$5&lt;=$F65),IF(EE$5=$E65+1,$C65,""),"")</f>
        <v/>
      </c>
      <c r="EF65" s="34">
        <f>IF(AND(EF$5&gt;$E65,EF$5&lt;=$F65),IF(EF$5=$E65+1,$C65,""),"")</f>
        <v/>
      </c>
      <c r="EG65" s="34">
        <f>IF(AND(EG$5&gt;$E65,EG$5&lt;=$F65),IF(EG$5=$E65+1,$C65,""),"")</f>
        <v/>
      </c>
      <c r="EH65" s="34">
        <f>IF(AND(EH$5&gt;$E65,EH$5&lt;=$F65),IF(EH$5=$E65+1,$C65,""),"")</f>
        <v/>
      </c>
      <c r="EI65" s="34">
        <f>IF(AND(EI$5&gt;$E65,EI$5&lt;=$F65),IF(EI$5=$E65+1,$C65,""),"")</f>
        <v/>
      </c>
      <c r="EJ65" s="34">
        <f>IF(AND(EJ$5&gt;$E65,EJ$5&lt;=$F65),IF(EJ$5=$E65+1,$C65,""),"")</f>
        <v/>
      </c>
      <c r="EK65" s="34">
        <f>IF(AND(EK$5&gt;$E65,EK$5&lt;=$F65),IF(EK$5=$E65+1,$C65,""),"")</f>
        <v/>
      </c>
      <c r="EL65" s="34">
        <f>IF(AND(EL$5&gt;$E65,EL$5&lt;=$F65),IF(EL$5=$E65+1,$C65,""),"")</f>
        <v/>
      </c>
      <c r="EM65" s="34">
        <f>IF(AND(EM$5&gt;$E65,EM$5&lt;=$F65),IF(EM$5=$E65+1,$C65,""),"")</f>
        <v/>
      </c>
      <c r="EN65" s="34">
        <f>IF(AND(EN$5&gt;$E65,EN$5&lt;=$F65),IF(EN$5=$E65+1,$C65,""),"")</f>
        <v/>
      </c>
      <c r="EO65" s="34">
        <f>IF(AND(EO$5&gt;$E65,EO$5&lt;=$F65),IF(EO$5=$E65+1,$C65,""),"")</f>
        <v/>
      </c>
      <c r="EP65" s="34">
        <f>IF(AND(EP$5&gt;$E65,EP$5&lt;=$F65),IF(EP$5=$E65+1,$C65,""),"")</f>
        <v/>
      </c>
      <c r="EQ65" s="34">
        <f>IF(AND(EQ$5&gt;$E65,EQ$5&lt;=$F65),IF(EQ$5=$E65+1,$C65,""),"")</f>
        <v/>
      </c>
    </row>
    <row r="66">
      <c r="A66" s="32">
        <f>Plan!A94</f>
        <v/>
      </c>
      <c r="B66" s="33">
        <f>Plan!C94</f>
        <v/>
      </c>
      <c r="C66" s="16">
        <f>Plan!D94</f>
        <v/>
      </c>
      <c r="D66" s="16">
        <f>Plan!I94</f>
        <v/>
      </c>
      <c r="E66" s="16">
        <f>Plan!K94</f>
        <v/>
      </c>
      <c r="F66" s="16">
        <f>Plan!L94</f>
        <v/>
      </c>
      <c r="G66" s="16">
        <f>Plan!O94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c r="DX66" s="34">
        <f>IF(AND(DX$5&gt;$E66,DX$5&lt;=$F66),IF(DX$5=$E66+1,$C66,""),"")</f>
        <v/>
      </c>
      <c r="DY66" s="34">
        <f>IF(AND(DY$5&gt;$E66,DY$5&lt;=$F66),IF(DY$5=$E66+1,$C66,""),"")</f>
        <v/>
      </c>
      <c r="DZ66" s="34">
        <f>IF(AND(DZ$5&gt;$E66,DZ$5&lt;=$F66),IF(DZ$5=$E66+1,$C66,""),"")</f>
        <v/>
      </c>
      <c r="EA66" s="34">
        <f>IF(AND(EA$5&gt;$E66,EA$5&lt;=$F66),IF(EA$5=$E66+1,$C66,""),"")</f>
        <v/>
      </c>
      <c r="EB66" s="34">
        <f>IF(AND(EB$5&gt;$E66,EB$5&lt;=$F66),IF(EB$5=$E66+1,$C66,""),"")</f>
        <v/>
      </c>
      <c r="EC66" s="34">
        <f>IF(AND(EC$5&gt;$E66,EC$5&lt;=$F66),IF(EC$5=$E66+1,$C66,""),"")</f>
        <v/>
      </c>
      <c r="ED66" s="34">
        <f>IF(AND(ED$5&gt;$E66,ED$5&lt;=$F66),IF(ED$5=$E66+1,$C66,""),"")</f>
        <v/>
      </c>
      <c r="EE66" s="34">
        <f>IF(AND(EE$5&gt;$E66,EE$5&lt;=$F66),IF(EE$5=$E66+1,$C66,""),"")</f>
        <v/>
      </c>
      <c r="EF66" s="34">
        <f>IF(AND(EF$5&gt;$E66,EF$5&lt;=$F66),IF(EF$5=$E66+1,$C66,""),"")</f>
        <v/>
      </c>
      <c r="EG66" s="34">
        <f>IF(AND(EG$5&gt;$E66,EG$5&lt;=$F66),IF(EG$5=$E66+1,$C66,""),"")</f>
        <v/>
      </c>
      <c r="EH66" s="34">
        <f>IF(AND(EH$5&gt;$E66,EH$5&lt;=$F66),IF(EH$5=$E66+1,$C66,""),"")</f>
        <v/>
      </c>
      <c r="EI66" s="34">
        <f>IF(AND(EI$5&gt;$E66,EI$5&lt;=$F66),IF(EI$5=$E66+1,$C66,""),"")</f>
        <v/>
      </c>
      <c r="EJ66" s="34">
        <f>IF(AND(EJ$5&gt;$E66,EJ$5&lt;=$F66),IF(EJ$5=$E66+1,$C66,""),"")</f>
        <v/>
      </c>
      <c r="EK66" s="34">
        <f>IF(AND(EK$5&gt;$E66,EK$5&lt;=$F66),IF(EK$5=$E66+1,$C66,""),"")</f>
        <v/>
      </c>
      <c r="EL66" s="34">
        <f>IF(AND(EL$5&gt;$E66,EL$5&lt;=$F66),IF(EL$5=$E66+1,$C66,""),"")</f>
        <v/>
      </c>
      <c r="EM66" s="34">
        <f>IF(AND(EM$5&gt;$E66,EM$5&lt;=$F66),IF(EM$5=$E66+1,$C66,""),"")</f>
        <v/>
      </c>
      <c r="EN66" s="34">
        <f>IF(AND(EN$5&gt;$E66,EN$5&lt;=$F66),IF(EN$5=$E66+1,$C66,""),"")</f>
        <v/>
      </c>
      <c r="EO66" s="34">
        <f>IF(AND(EO$5&gt;$E66,EO$5&lt;=$F66),IF(EO$5=$E66+1,$C66,""),"")</f>
        <v/>
      </c>
      <c r="EP66" s="34">
        <f>IF(AND(EP$5&gt;$E66,EP$5&lt;=$F66),IF(EP$5=$E66+1,$C66,""),"")</f>
        <v/>
      </c>
      <c r="EQ66" s="34">
        <f>IF(AND(EQ$5&gt;$E66,EQ$5&lt;=$F66),IF(EQ$5=$E66+1,$C66,""),"")</f>
        <v/>
      </c>
    </row>
    <row r="67">
      <c r="A67" s="32">
        <f>Plan!A95</f>
        <v/>
      </c>
      <c r="B67" s="33">
        <f>Plan!C95</f>
        <v/>
      </c>
      <c r="C67" s="16">
        <f>Plan!D95</f>
        <v/>
      </c>
      <c r="D67" s="16">
        <f>Plan!I95</f>
        <v/>
      </c>
      <c r="E67" s="16">
        <f>Plan!K95</f>
        <v/>
      </c>
      <c r="F67" s="16">
        <f>Plan!L95</f>
        <v/>
      </c>
      <c r="G67" s="16">
        <f>Plan!O95</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c r="DD67" s="34">
        <f>IF(AND(DD$5&gt;$E67,DD$5&lt;=$F67),IF(DD$5=$E67+1,$C67,""),"")</f>
        <v/>
      </c>
      <c r="DE67" s="34">
        <f>IF(AND(DE$5&gt;$E67,DE$5&lt;=$F67),IF(DE$5=$E67+1,$C67,""),"")</f>
        <v/>
      </c>
      <c r="DF67" s="34">
        <f>IF(AND(DF$5&gt;$E67,DF$5&lt;=$F67),IF(DF$5=$E67+1,$C67,""),"")</f>
        <v/>
      </c>
      <c r="DG67" s="34">
        <f>IF(AND(DG$5&gt;$E67,DG$5&lt;=$F67),IF(DG$5=$E67+1,$C67,""),"")</f>
        <v/>
      </c>
      <c r="DH67" s="34">
        <f>IF(AND(DH$5&gt;$E67,DH$5&lt;=$F67),IF(DH$5=$E67+1,$C67,""),"")</f>
        <v/>
      </c>
      <c r="DI67" s="34">
        <f>IF(AND(DI$5&gt;$E67,DI$5&lt;=$F67),IF(DI$5=$E67+1,$C67,""),"")</f>
        <v/>
      </c>
      <c r="DJ67" s="34">
        <f>IF(AND(DJ$5&gt;$E67,DJ$5&lt;=$F67),IF(DJ$5=$E67+1,$C67,""),"")</f>
        <v/>
      </c>
      <c r="DK67" s="34">
        <f>IF(AND(DK$5&gt;$E67,DK$5&lt;=$F67),IF(DK$5=$E67+1,$C67,""),"")</f>
        <v/>
      </c>
      <c r="DL67" s="34">
        <f>IF(AND(DL$5&gt;$E67,DL$5&lt;=$F67),IF(DL$5=$E67+1,$C67,""),"")</f>
        <v/>
      </c>
      <c r="DM67" s="34">
        <f>IF(AND(DM$5&gt;$E67,DM$5&lt;=$F67),IF(DM$5=$E67+1,$C67,""),"")</f>
        <v/>
      </c>
      <c r="DN67" s="34">
        <f>IF(AND(DN$5&gt;$E67,DN$5&lt;=$F67),IF(DN$5=$E67+1,$C67,""),"")</f>
        <v/>
      </c>
      <c r="DO67" s="34">
        <f>IF(AND(DO$5&gt;$E67,DO$5&lt;=$F67),IF(DO$5=$E67+1,$C67,""),"")</f>
        <v/>
      </c>
      <c r="DP67" s="34">
        <f>IF(AND(DP$5&gt;$E67,DP$5&lt;=$F67),IF(DP$5=$E67+1,$C67,""),"")</f>
        <v/>
      </c>
      <c r="DQ67" s="34">
        <f>IF(AND(DQ$5&gt;$E67,DQ$5&lt;=$F67),IF(DQ$5=$E67+1,$C67,""),"")</f>
        <v/>
      </c>
      <c r="DR67" s="34">
        <f>IF(AND(DR$5&gt;$E67,DR$5&lt;=$F67),IF(DR$5=$E67+1,$C67,""),"")</f>
        <v/>
      </c>
      <c r="DS67" s="34">
        <f>IF(AND(DS$5&gt;$E67,DS$5&lt;=$F67),IF(DS$5=$E67+1,$C67,""),"")</f>
        <v/>
      </c>
      <c r="DT67" s="34">
        <f>IF(AND(DT$5&gt;$E67,DT$5&lt;=$F67),IF(DT$5=$E67+1,$C67,""),"")</f>
        <v/>
      </c>
      <c r="DU67" s="34">
        <f>IF(AND(DU$5&gt;$E67,DU$5&lt;=$F67),IF(DU$5=$E67+1,$C67,""),"")</f>
        <v/>
      </c>
      <c r="DV67" s="34">
        <f>IF(AND(DV$5&gt;$E67,DV$5&lt;=$F67),IF(DV$5=$E67+1,$C67,""),"")</f>
        <v/>
      </c>
      <c r="DW67" s="34">
        <f>IF(AND(DW$5&gt;$E67,DW$5&lt;=$F67),IF(DW$5=$E67+1,$C67,""),"")</f>
        <v/>
      </c>
      <c r="DX67" s="34">
        <f>IF(AND(DX$5&gt;$E67,DX$5&lt;=$F67),IF(DX$5=$E67+1,$C67,""),"")</f>
        <v/>
      </c>
      <c r="DY67" s="34">
        <f>IF(AND(DY$5&gt;$E67,DY$5&lt;=$F67),IF(DY$5=$E67+1,$C67,""),"")</f>
        <v/>
      </c>
      <c r="DZ67" s="34">
        <f>IF(AND(DZ$5&gt;$E67,DZ$5&lt;=$F67),IF(DZ$5=$E67+1,$C67,""),"")</f>
        <v/>
      </c>
      <c r="EA67" s="34">
        <f>IF(AND(EA$5&gt;$E67,EA$5&lt;=$F67),IF(EA$5=$E67+1,$C67,""),"")</f>
        <v/>
      </c>
      <c r="EB67" s="34">
        <f>IF(AND(EB$5&gt;$E67,EB$5&lt;=$F67),IF(EB$5=$E67+1,$C67,""),"")</f>
        <v/>
      </c>
      <c r="EC67" s="34">
        <f>IF(AND(EC$5&gt;$E67,EC$5&lt;=$F67),IF(EC$5=$E67+1,$C67,""),"")</f>
        <v/>
      </c>
      <c r="ED67" s="34">
        <f>IF(AND(ED$5&gt;$E67,ED$5&lt;=$F67),IF(ED$5=$E67+1,$C67,""),"")</f>
        <v/>
      </c>
      <c r="EE67" s="34">
        <f>IF(AND(EE$5&gt;$E67,EE$5&lt;=$F67),IF(EE$5=$E67+1,$C67,""),"")</f>
        <v/>
      </c>
      <c r="EF67" s="34">
        <f>IF(AND(EF$5&gt;$E67,EF$5&lt;=$F67),IF(EF$5=$E67+1,$C67,""),"")</f>
        <v/>
      </c>
      <c r="EG67" s="34">
        <f>IF(AND(EG$5&gt;$E67,EG$5&lt;=$F67),IF(EG$5=$E67+1,$C67,""),"")</f>
        <v/>
      </c>
      <c r="EH67" s="34">
        <f>IF(AND(EH$5&gt;$E67,EH$5&lt;=$F67),IF(EH$5=$E67+1,$C67,""),"")</f>
        <v/>
      </c>
      <c r="EI67" s="34">
        <f>IF(AND(EI$5&gt;$E67,EI$5&lt;=$F67),IF(EI$5=$E67+1,$C67,""),"")</f>
        <v/>
      </c>
      <c r="EJ67" s="34">
        <f>IF(AND(EJ$5&gt;$E67,EJ$5&lt;=$F67),IF(EJ$5=$E67+1,$C67,""),"")</f>
        <v/>
      </c>
      <c r="EK67" s="34">
        <f>IF(AND(EK$5&gt;$E67,EK$5&lt;=$F67),IF(EK$5=$E67+1,$C67,""),"")</f>
        <v/>
      </c>
      <c r="EL67" s="34">
        <f>IF(AND(EL$5&gt;$E67,EL$5&lt;=$F67),IF(EL$5=$E67+1,$C67,""),"")</f>
        <v/>
      </c>
      <c r="EM67" s="34">
        <f>IF(AND(EM$5&gt;$E67,EM$5&lt;=$F67),IF(EM$5=$E67+1,$C67,""),"")</f>
        <v/>
      </c>
      <c r="EN67" s="34">
        <f>IF(AND(EN$5&gt;$E67,EN$5&lt;=$F67),IF(EN$5=$E67+1,$C67,""),"")</f>
        <v/>
      </c>
      <c r="EO67" s="34">
        <f>IF(AND(EO$5&gt;$E67,EO$5&lt;=$F67),IF(EO$5=$E67+1,$C67,""),"")</f>
        <v/>
      </c>
      <c r="EP67" s="34">
        <f>IF(AND(EP$5&gt;$E67,EP$5&lt;=$F67),IF(EP$5=$E67+1,$C67,""),"")</f>
        <v/>
      </c>
      <c r="EQ67" s="34">
        <f>IF(AND(EQ$5&gt;$E67,EQ$5&lt;=$F67),IF(EQ$5=$E67+1,$C67,""),"")</f>
        <v/>
      </c>
    </row>
    <row r="68">
      <c r="A68" s="32">
        <f>Plan!A103</f>
        <v/>
      </c>
      <c r="B68" s="33">
        <f>Plan!C103</f>
        <v/>
      </c>
      <c r="C68" s="16">
        <f>Plan!D103</f>
        <v/>
      </c>
      <c r="D68" s="16">
        <f>Plan!I103</f>
        <v/>
      </c>
      <c r="E68" s="16">
        <f>Plan!K103</f>
        <v/>
      </c>
      <c r="F68" s="16">
        <f>Plan!L103</f>
        <v/>
      </c>
      <c r="G68" s="16">
        <f>Plan!O103</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c r="DX68" s="34">
        <f>IF(AND(DX$5&gt;$E68,DX$5&lt;=$F68),IF(DX$5=$E68+1,$C68,""),"")</f>
        <v/>
      </c>
      <c r="DY68" s="34">
        <f>IF(AND(DY$5&gt;$E68,DY$5&lt;=$F68),IF(DY$5=$E68+1,$C68,""),"")</f>
        <v/>
      </c>
      <c r="DZ68" s="34">
        <f>IF(AND(DZ$5&gt;$E68,DZ$5&lt;=$F68),IF(DZ$5=$E68+1,$C68,""),"")</f>
        <v/>
      </c>
      <c r="EA68" s="34">
        <f>IF(AND(EA$5&gt;$E68,EA$5&lt;=$F68),IF(EA$5=$E68+1,$C68,""),"")</f>
        <v/>
      </c>
      <c r="EB68" s="34">
        <f>IF(AND(EB$5&gt;$E68,EB$5&lt;=$F68),IF(EB$5=$E68+1,$C68,""),"")</f>
        <v/>
      </c>
      <c r="EC68" s="34">
        <f>IF(AND(EC$5&gt;$E68,EC$5&lt;=$F68),IF(EC$5=$E68+1,$C68,""),"")</f>
        <v/>
      </c>
      <c r="ED68" s="34">
        <f>IF(AND(ED$5&gt;$E68,ED$5&lt;=$F68),IF(ED$5=$E68+1,$C68,""),"")</f>
        <v/>
      </c>
      <c r="EE68" s="34">
        <f>IF(AND(EE$5&gt;$E68,EE$5&lt;=$F68),IF(EE$5=$E68+1,$C68,""),"")</f>
        <v/>
      </c>
      <c r="EF68" s="34">
        <f>IF(AND(EF$5&gt;$E68,EF$5&lt;=$F68),IF(EF$5=$E68+1,$C68,""),"")</f>
        <v/>
      </c>
      <c r="EG68" s="34">
        <f>IF(AND(EG$5&gt;$E68,EG$5&lt;=$F68),IF(EG$5=$E68+1,$C68,""),"")</f>
        <v/>
      </c>
      <c r="EH68" s="34">
        <f>IF(AND(EH$5&gt;$E68,EH$5&lt;=$F68),IF(EH$5=$E68+1,$C68,""),"")</f>
        <v/>
      </c>
      <c r="EI68" s="34">
        <f>IF(AND(EI$5&gt;$E68,EI$5&lt;=$F68),IF(EI$5=$E68+1,$C68,""),"")</f>
        <v/>
      </c>
      <c r="EJ68" s="34">
        <f>IF(AND(EJ$5&gt;$E68,EJ$5&lt;=$F68),IF(EJ$5=$E68+1,$C68,""),"")</f>
        <v/>
      </c>
      <c r="EK68" s="34">
        <f>IF(AND(EK$5&gt;$E68,EK$5&lt;=$F68),IF(EK$5=$E68+1,$C68,""),"")</f>
        <v/>
      </c>
      <c r="EL68" s="34">
        <f>IF(AND(EL$5&gt;$E68,EL$5&lt;=$F68),IF(EL$5=$E68+1,$C68,""),"")</f>
        <v/>
      </c>
      <c r="EM68" s="34">
        <f>IF(AND(EM$5&gt;$E68,EM$5&lt;=$F68),IF(EM$5=$E68+1,$C68,""),"")</f>
        <v/>
      </c>
      <c r="EN68" s="34">
        <f>IF(AND(EN$5&gt;$E68,EN$5&lt;=$F68),IF(EN$5=$E68+1,$C68,""),"")</f>
        <v/>
      </c>
      <c r="EO68" s="34">
        <f>IF(AND(EO$5&gt;$E68,EO$5&lt;=$F68),IF(EO$5=$E68+1,$C68,""),"")</f>
        <v/>
      </c>
      <c r="EP68" s="34">
        <f>IF(AND(EP$5&gt;$E68,EP$5&lt;=$F68),IF(EP$5=$E68+1,$C68,""),"")</f>
        <v/>
      </c>
      <c r="EQ68" s="34">
        <f>IF(AND(EQ$5&gt;$E68,EQ$5&lt;=$F68),IF(EQ$5=$E68+1,$C68,""),"")</f>
        <v/>
      </c>
    </row>
    <row r="69">
      <c r="A69" s="32">
        <f>Plan!A104</f>
        <v/>
      </c>
      <c r="B69" s="33">
        <f>Plan!C104</f>
        <v/>
      </c>
      <c r="C69" s="16">
        <f>Plan!D104</f>
        <v/>
      </c>
      <c r="D69" s="16">
        <f>Plan!I104</f>
        <v/>
      </c>
      <c r="E69" s="16">
        <f>Plan!K104</f>
        <v/>
      </c>
      <c r="F69" s="16">
        <f>Plan!L104</f>
        <v/>
      </c>
      <c r="G69" s="16">
        <f>Plan!O104</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c r="DX69" s="34">
        <f>IF(AND(DX$5&gt;$E69,DX$5&lt;=$F69),IF(DX$5=$E69+1,$C69,""),"")</f>
        <v/>
      </c>
      <c r="DY69" s="34">
        <f>IF(AND(DY$5&gt;$E69,DY$5&lt;=$F69),IF(DY$5=$E69+1,$C69,""),"")</f>
        <v/>
      </c>
      <c r="DZ69" s="34">
        <f>IF(AND(DZ$5&gt;$E69,DZ$5&lt;=$F69),IF(DZ$5=$E69+1,$C69,""),"")</f>
        <v/>
      </c>
      <c r="EA69" s="34">
        <f>IF(AND(EA$5&gt;$E69,EA$5&lt;=$F69),IF(EA$5=$E69+1,$C69,""),"")</f>
        <v/>
      </c>
      <c r="EB69" s="34">
        <f>IF(AND(EB$5&gt;$E69,EB$5&lt;=$F69),IF(EB$5=$E69+1,$C69,""),"")</f>
        <v/>
      </c>
      <c r="EC69" s="34">
        <f>IF(AND(EC$5&gt;$E69,EC$5&lt;=$F69),IF(EC$5=$E69+1,$C69,""),"")</f>
        <v/>
      </c>
      <c r="ED69" s="34">
        <f>IF(AND(ED$5&gt;$E69,ED$5&lt;=$F69),IF(ED$5=$E69+1,$C69,""),"")</f>
        <v/>
      </c>
      <c r="EE69" s="34">
        <f>IF(AND(EE$5&gt;$E69,EE$5&lt;=$F69),IF(EE$5=$E69+1,$C69,""),"")</f>
        <v/>
      </c>
      <c r="EF69" s="34">
        <f>IF(AND(EF$5&gt;$E69,EF$5&lt;=$F69),IF(EF$5=$E69+1,$C69,""),"")</f>
        <v/>
      </c>
      <c r="EG69" s="34">
        <f>IF(AND(EG$5&gt;$E69,EG$5&lt;=$F69),IF(EG$5=$E69+1,$C69,""),"")</f>
        <v/>
      </c>
      <c r="EH69" s="34">
        <f>IF(AND(EH$5&gt;$E69,EH$5&lt;=$F69),IF(EH$5=$E69+1,$C69,""),"")</f>
        <v/>
      </c>
      <c r="EI69" s="34">
        <f>IF(AND(EI$5&gt;$E69,EI$5&lt;=$F69),IF(EI$5=$E69+1,$C69,""),"")</f>
        <v/>
      </c>
      <c r="EJ69" s="34">
        <f>IF(AND(EJ$5&gt;$E69,EJ$5&lt;=$F69),IF(EJ$5=$E69+1,$C69,""),"")</f>
        <v/>
      </c>
      <c r="EK69" s="34">
        <f>IF(AND(EK$5&gt;$E69,EK$5&lt;=$F69),IF(EK$5=$E69+1,$C69,""),"")</f>
        <v/>
      </c>
      <c r="EL69" s="34">
        <f>IF(AND(EL$5&gt;$E69,EL$5&lt;=$F69),IF(EL$5=$E69+1,$C69,""),"")</f>
        <v/>
      </c>
      <c r="EM69" s="34">
        <f>IF(AND(EM$5&gt;$E69,EM$5&lt;=$F69),IF(EM$5=$E69+1,$C69,""),"")</f>
        <v/>
      </c>
      <c r="EN69" s="34">
        <f>IF(AND(EN$5&gt;$E69,EN$5&lt;=$F69),IF(EN$5=$E69+1,$C69,""),"")</f>
        <v/>
      </c>
      <c r="EO69" s="34">
        <f>IF(AND(EO$5&gt;$E69,EO$5&lt;=$F69),IF(EO$5=$E69+1,$C69,""),"")</f>
        <v/>
      </c>
      <c r="EP69" s="34">
        <f>IF(AND(EP$5&gt;$E69,EP$5&lt;=$F69),IF(EP$5=$E69+1,$C69,""),"")</f>
        <v/>
      </c>
      <c r="EQ69" s="34">
        <f>IF(AND(EQ$5&gt;$E69,EQ$5&lt;=$F69),IF(EQ$5=$E69+1,$C69,""),"")</f>
        <v/>
      </c>
    </row>
    <row r="70">
      <c r="A70" s="32">
        <f>Plan!A118</f>
        <v/>
      </c>
      <c r="B70" s="33">
        <f>Plan!C118</f>
        <v/>
      </c>
      <c r="C70" s="16">
        <f>Plan!D118</f>
        <v/>
      </c>
      <c r="D70" s="16">
        <f>Plan!I118</f>
        <v/>
      </c>
      <c r="E70" s="16">
        <f>Plan!K118</f>
        <v/>
      </c>
      <c r="F70" s="16">
        <f>Plan!L118</f>
        <v/>
      </c>
      <c r="G70" s="16">
        <f>Plan!O118</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c r="DX70" s="34">
        <f>IF(AND(DX$5&gt;$E70,DX$5&lt;=$F70),IF(DX$5=$E70+1,$C70,""),"")</f>
        <v/>
      </c>
      <c r="DY70" s="34">
        <f>IF(AND(DY$5&gt;$E70,DY$5&lt;=$F70),IF(DY$5=$E70+1,$C70,""),"")</f>
        <v/>
      </c>
      <c r="DZ70" s="34">
        <f>IF(AND(DZ$5&gt;$E70,DZ$5&lt;=$F70),IF(DZ$5=$E70+1,$C70,""),"")</f>
        <v/>
      </c>
      <c r="EA70" s="34">
        <f>IF(AND(EA$5&gt;$E70,EA$5&lt;=$F70),IF(EA$5=$E70+1,$C70,""),"")</f>
        <v/>
      </c>
      <c r="EB70" s="34">
        <f>IF(AND(EB$5&gt;$E70,EB$5&lt;=$F70),IF(EB$5=$E70+1,$C70,""),"")</f>
        <v/>
      </c>
      <c r="EC70" s="34">
        <f>IF(AND(EC$5&gt;$E70,EC$5&lt;=$F70),IF(EC$5=$E70+1,$C70,""),"")</f>
        <v/>
      </c>
      <c r="ED70" s="34">
        <f>IF(AND(ED$5&gt;$E70,ED$5&lt;=$F70),IF(ED$5=$E70+1,$C70,""),"")</f>
        <v/>
      </c>
      <c r="EE70" s="34">
        <f>IF(AND(EE$5&gt;$E70,EE$5&lt;=$F70),IF(EE$5=$E70+1,$C70,""),"")</f>
        <v/>
      </c>
      <c r="EF70" s="34">
        <f>IF(AND(EF$5&gt;$E70,EF$5&lt;=$F70),IF(EF$5=$E70+1,$C70,""),"")</f>
        <v/>
      </c>
      <c r="EG70" s="34">
        <f>IF(AND(EG$5&gt;$E70,EG$5&lt;=$F70),IF(EG$5=$E70+1,$C70,""),"")</f>
        <v/>
      </c>
      <c r="EH70" s="34">
        <f>IF(AND(EH$5&gt;$E70,EH$5&lt;=$F70),IF(EH$5=$E70+1,$C70,""),"")</f>
        <v/>
      </c>
      <c r="EI70" s="34">
        <f>IF(AND(EI$5&gt;$E70,EI$5&lt;=$F70),IF(EI$5=$E70+1,$C70,""),"")</f>
        <v/>
      </c>
      <c r="EJ70" s="34">
        <f>IF(AND(EJ$5&gt;$E70,EJ$5&lt;=$F70),IF(EJ$5=$E70+1,$C70,""),"")</f>
        <v/>
      </c>
      <c r="EK70" s="34">
        <f>IF(AND(EK$5&gt;$E70,EK$5&lt;=$F70),IF(EK$5=$E70+1,$C70,""),"")</f>
        <v/>
      </c>
      <c r="EL70" s="34">
        <f>IF(AND(EL$5&gt;$E70,EL$5&lt;=$F70),IF(EL$5=$E70+1,$C70,""),"")</f>
        <v/>
      </c>
      <c r="EM70" s="34">
        <f>IF(AND(EM$5&gt;$E70,EM$5&lt;=$F70),IF(EM$5=$E70+1,$C70,""),"")</f>
        <v/>
      </c>
      <c r="EN70" s="34">
        <f>IF(AND(EN$5&gt;$E70,EN$5&lt;=$F70),IF(EN$5=$E70+1,$C70,""),"")</f>
        <v/>
      </c>
      <c r="EO70" s="34">
        <f>IF(AND(EO$5&gt;$E70,EO$5&lt;=$F70),IF(EO$5=$E70+1,$C70,""),"")</f>
        <v/>
      </c>
      <c r="EP70" s="34">
        <f>IF(AND(EP$5&gt;$E70,EP$5&lt;=$F70),IF(EP$5=$E70+1,$C70,""),"")</f>
        <v/>
      </c>
      <c r="EQ70" s="34">
        <f>IF(AND(EQ$5&gt;$E70,EQ$5&lt;=$F70),IF(EQ$5=$E70+1,$C70,""),"")</f>
        <v/>
      </c>
    </row>
    <row r="71">
      <c r="A71" s="32">
        <f>Plan!A120</f>
        <v/>
      </c>
      <c r="B71" s="33">
        <f>Plan!C120</f>
        <v/>
      </c>
      <c r="C71" s="16">
        <f>Plan!D120</f>
        <v/>
      </c>
      <c r="D71" s="16">
        <f>Plan!I120</f>
        <v/>
      </c>
      <c r="E71" s="16">
        <f>Plan!K120</f>
        <v/>
      </c>
      <c r="F71" s="16">
        <f>Plan!L120</f>
        <v/>
      </c>
      <c r="G71" s="16">
        <f>Plan!O120</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c r="DX71" s="34">
        <f>IF(AND(DX$5&gt;$E71,DX$5&lt;=$F71),IF(DX$5=$E71+1,$C71,""),"")</f>
        <v/>
      </c>
      <c r="DY71" s="34">
        <f>IF(AND(DY$5&gt;$E71,DY$5&lt;=$F71),IF(DY$5=$E71+1,$C71,""),"")</f>
        <v/>
      </c>
      <c r="DZ71" s="34">
        <f>IF(AND(DZ$5&gt;$E71,DZ$5&lt;=$F71),IF(DZ$5=$E71+1,$C71,""),"")</f>
        <v/>
      </c>
      <c r="EA71" s="34">
        <f>IF(AND(EA$5&gt;$E71,EA$5&lt;=$F71),IF(EA$5=$E71+1,$C71,""),"")</f>
        <v/>
      </c>
      <c r="EB71" s="34">
        <f>IF(AND(EB$5&gt;$E71,EB$5&lt;=$F71),IF(EB$5=$E71+1,$C71,""),"")</f>
        <v/>
      </c>
      <c r="EC71" s="34">
        <f>IF(AND(EC$5&gt;$E71,EC$5&lt;=$F71),IF(EC$5=$E71+1,$C71,""),"")</f>
        <v/>
      </c>
      <c r="ED71" s="34">
        <f>IF(AND(ED$5&gt;$E71,ED$5&lt;=$F71),IF(ED$5=$E71+1,$C71,""),"")</f>
        <v/>
      </c>
      <c r="EE71" s="34">
        <f>IF(AND(EE$5&gt;$E71,EE$5&lt;=$F71),IF(EE$5=$E71+1,$C71,""),"")</f>
        <v/>
      </c>
      <c r="EF71" s="34">
        <f>IF(AND(EF$5&gt;$E71,EF$5&lt;=$F71),IF(EF$5=$E71+1,$C71,""),"")</f>
        <v/>
      </c>
      <c r="EG71" s="34">
        <f>IF(AND(EG$5&gt;$E71,EG$5&lt;=$F71),IF(EG$5=$E71+1,$C71,""),"")</f>
        <v/>
      </c>
      <c r="EH71" s="34">
        <f>IF(AND(EH$5&gt;$E71,EH$5&lt;=$F71),IF(EH$5=$E71+1,$C71,""),"")</f>
        <v/>
      </c>
      <c r="EI71" s="34">
        <f>IF(AND(EI$5&gt;$E71,EI$5&lt;=$F71),IF(EI$5=$E71+1,$C71,""),"")</f>
        <v/>
      </c>
      <c r="EJ71" s="34">
        <f>IF(AND(EJ$5&gt;$E71,EJ$5&lt;=$F71),IF(EJ$5=$E71+1,$C71,""),"")</f>
        <v/>
      </c>
      <c r="EK71" s="34">
        <f>IF(AND(EK$5&gt;$E71,EK$5&lt;=$F71),IF(EK$5=$E71+1,$C71,""),"")</f>
        <v/>
      </c>
      <c r="EL71" s="34">
        <f>IF(AND(EL$5&gt;$E71,EL$5&lt;=$F71),IF(EL$5=$E71+1,$C71,""),"")</f>
        <v/>
      </c>
      <c r="EM71" s="34">
        <f>IF(AND(EM$5&gt;$E71,EM$5&lt;=$F71),IF(EM$5=$E71+1,$C71,""),"")</f>
        <v/>
      </c>
      <c r="EN71" s="34">
        <f>IF(AND(EN$5&gt;$E71,EN$5&lt;=$F71),IF(EN$5=$E71+1,$C71,""),"")</f>
        <v/>
      </c>
      <c r="EO71" s="34">
        <f>IF(AND(EO$5&gt;$E71,EO$5&lt;=$F71),IF(EO$5=$E71+1,$C71,""),"")</f>
        <v/>
      </c>
      <c r="EP71" s="34">
        <f>IF(AND(EP$5&gt;$E71,EP$5&lt;=$F71),IF(EP$5=$E71+1,$C71,""),"")</f>
        <v/>
      </c>
      <c r="EQ71" s="34">
        <f>IF(AND(EQ$5&gt;$E71,EQ$5&lt;=$F71),IF(EQ$5=$E71+1,$C71,""),"")</f>
        <v/>
      </c>
    </row>
    <row r="72">
      <c r="A72" s="32">
        <f>Plan!A121</f>
        <v/>
      </c>
      <c r="B72" s="33">
        <f>Plan!C121</f>
        <v/>
      </c>
      <c r="C72" s="16">
        <f>Plan!D121</f>
        <v/>
      </c>
      <c r="D72" s="16">
        <f>Plan!I121</f>
        <v/>
      </c>
      <c r="E72" s="16">
        <f>Plan!K121</f>
        <v/>
      </c>
      <c r="F72" s="16">
        <f>Plan!L121</f>
        <v/>
      </c>
      <c r="G72" s="16">
        <f>Plan!O121</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c r="DX72" s="34">
        <f>IF(AND(DX$5&gt;$E72,DX$5&lt;=$F72),IF(DX$5=$E72+1,$C72,""),"")</f>
        <v/>
      </c>
      <c r="DY72" s="34">
        <f>IF(AND(DY$5&gt;$E72,DY$5&lt;=$F72),IF(DY$5=$E72+1,$C72,""),"")</f>
        <v/>
      </c>
      <c r="DZ72" s="34">
        <f>IF(AND(DZ$5&gt;$E72,DZ$5&lt;=$F72),IF(DZ$5=$E72+1,$C72,""),"")</f>
        <v/>
      </c>
      <c r="EA72" s="34">
        <f>IF(AND(EA$5&gt;$E72,EA$5&lt;=$F72),IF(EA$5=$E72+1,$C72,""),"")</f>
        <v/>
      </c>
      <c r="EB72" s="34">
        <f>IF(AND(EB$5&gt;$E72,EB$5&lt;=$F72),IF(EB$5=$E72+1,$C72,""),"")</f>
        <v/>
      </c>
      <c r="EC72" s="34">
        <f>IF(AND(EC$5&gt;$E72,EC$5&lt;=$F72),IF(EC$5=$E72+1,$C72,""),"")</f>
        <v/>
      </c>
      <c r="ED72" s="34">
        <f>IF(AND(ED$5&gt;$E72,ED$5&lt;=$F72),IF(ED$5=$E72+1,$C72,""),"")</f>
        <v/>
      </c>
      <c r="EE72" s="34">
        <f>IF(AND(EE$5&gt;$E72,EE$5&lt;=$F72),IF(EE$5=$E72+1,$C72,""),"")</f>
        <v/>
      </c>
      <c r="EF72" s="34">
        <f>IF(AND(EF$5&gt;$E72,EF$5&lt;=$F72),IF(EF$5=$E72+1,$C72,""),"")</f>
        <v/>
      </c>
      <c r="EG72" s="34">
        <f>IF(AND(EG$5&gt;$E72,EG$5&lt;=$F72),IF(EG$5=$E72+1,$C72,""),"")</f>
        <v/>
      </c>
      <c r="EH72" s="34">
        <f>IF(AND(EH$5&gt;$E72,EH$5&lt;=$F72),IF(EH$5=$E72+1,$C72,""),"")</f>
        <v/>
      </c>
      <c r="EI72" s="34">
        <f>IF(AND(EI$5&gt;$E72,EI$5&lt;=$F72),IF(EI$5=$E72+1,$C72,""),"")</f>
        <v/>
      </c>
      <c r="EJ72" s="34">
        <f>IF(AND(EJ$5&gt;$E72,EJ$5&lt;=$F72),IF(EJ$5=$E72+1,$C72,""),"")</f>
        <v/>
      </c>
      <c r="EK72" s="34">
        <f>IF(AND(EK$5&gt;$E72,EK$5&lt;=$F72),IF(EK$5=$E72+1,$C72,""),"")</f>
        <v/>
      </c>
      <c r="EL72" s="34">
        <f>IF(AND(EL$5&gt;$E72,EL$5&lt;=$F72),IF(EL$5=$E72+1,$C72,""),"")</f>
        <v/>
      </c>
      <c r="EM72" s="34">
        <f>IF(AND(EM$5&gt;$E72,EM$5&lt;=$F72),IF(EM$5=$E72+1,$C72,""),"")</f>
        <v/>
      </c>
      <c r="EN72" s="34">
        <f>IF(AND(EN$5&gt;$E72,EN$5&lt;=$F72),IF(EN$5=$E72+1,$C72,""),"")</f>
        <v/>
      </c>
      <c r="EO72" s="34">
        <f>IF(AND(EO$5&gt;$E72,EO$5&lt;=$F72),IF(EO$5=$E72+1,$C72,""),"")</f>
        <v/>
      </c>
      <c r="EP72" s="34">
        <f>IF(AND(EP$5&gt;$E72,EP$5&lt;=$F72),IF(EP$5=$E72+1,$C72,""),"")</f>
        <v/>
      </c>
      <c r="EQ72" s="34">
        <f>IF(AND(EQ$5&gt;$E72,EQ$5&lt;=$F72),IF(EQ$5=$E72+1,$C72,""),"")</f>
        <v/>
      </c>
    </row>
    <row r="73">
      <c r="A73" s="27" t="inlineStr">
        <is>
          <t>Fase 5. Convenios y pulido</t>
        </is>
      </c>
      <c r="B73" s="28" t="n"/>
      <c r="C73" s="28" t="n"/>
      <c r="D73" s="28" t="n"/>
      <c r="E73" s="29">
        <f>SUMPRODUCT(MIN((Plan!$B$5:$B$126="5. Convenios y pulido")*Plan!$K$5:$K$126+(Plan!$B$5:$B$126&lt;&gt;"5. Convenios y pulido")*1E9))</f>
        <v/>
      </c>
      <c r="F73" s="29">
        <f>SUMPRODUCT(MAX((Plan!$B$5:$B$126="5. Convenios y pulido")*Plan!$L$5:$L$126))</f>
        <v/>
      </c>
      <c r="G73" s="30">
        <f>Resumen!E33</f>
        <v/>
      </c>
      <c r="H73" s="31" t="n"/>
      <c r="I73" s="31" t="n"/>
      <c r="J73" s="31" t="n"/>
      <c r="K73" s="31" t="n"/>
      <c r="L73" s="31" t="n"/>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row>
    <row r="74">
      <c r="A74" s="32">
        <f>Plan!A48</f>
        <v/>
      </c>
      <c r="B74" s="33">
        <f>Plan!C48</f>
        <v/>
      </c>
      <c r="C74" s="16">
        <f>Plan!D48</f>
        <v/>
      </c>
      <c r="D74" s="16">
        <f>Plan!I48</f>
        <v/>
      </c>
      <c r="E74" s="16">
        <f>Plan!K48</f>
        <v/>
      </c>
      <c r="F74" s="16">
        <f>Plan!L48</f>
        <v/>
      </c>
      <c r="G74" s="16">
        <f>Plan!O48</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c r="DX74" s="34">
        <f>IF(AND(DX$5&gt;$E74,DX$5&lt;=$F74),IF(DX$5=$E74+1,$C74,""),"")</f>
        <v/>
      </c>
      <c r="DY74" s="34">
        <f>IF(AND(DY$5&gt;$E74,DY$5&lt;=$F74),IF(DY$5=$E74+1,$C74,""),"")</f>
        <v/>
      </c>
      <c r="DZ74" s="34">
        <f>IF(AND(DZ$5&gt;$E74,DZ$5&lt;=$F74),IF(DZ$5=$E74+1,$C74,""),"")</f>
        <v/>
      </c>
      <c r="EA74" s="34">
        <f>IF(AND(EA$5&gt;$E74,EA$5&lt;=$F74),IF(EA$5=$E74+1,$C74,""),"")</f>
        <v/>
      </c>
      <c r="EB74" s="34">
        <f>IF(AND(EB$5&gt;$E74,EB$5&lt;=$F74),IF(EB$5=$E74+1,$C74,""),"")</f>
        <v/>
      </c>
      <c r="EC74" s="34">
        <f>IF(AND(EC$5&gt;$E74,EC$5&lt;=$F74),IF(EC$5=$E74+1,$C74,""),"")</f>
        <v/>
      </c>
      <c r="ED74" s="34">
        <f>IF(AND(ED$5&gt;$E74,ED$5&lt;=$F74),IF(ED$5=$E74+1,$C74,""),"")</f>
        <v/>
      </c>
      <c r="EE74" s="34">
        <f>IF(AND(EE$5&gt;$E74,EE$5&lt;=$F74),IF(EE$5=$E74+1,$C74,""),"")</f>
        <v/>
      </c>
      <c r="EF74" s="34">
        <f>IF(AND(EF$5&gt;$E74,EF$5&lt;=$F74),IF(EF$5=$E74+1,$C74,""),"")</f>
        <v/>
      </c>
      <c r="EG74" s="34">
        <f>IF(AND(EG$5&gt;$E74,EG$5&lt;=$F74),IF(EG$5=$E74+1,$C74,""),"")</f>
        <v/>
      </c>
      <c r="EH74" s="34">
        <f>IF(AND(EH$5&gt;$E74,EH$5&lt;=$F74),IF(EH$5=$E74+1,$C74,""),"")</f>
        <v/>
      </c>
      <c r="EI74" s="34">
        <f>IF(AND(EI$5&gt;$E74,EI$5&lt;=$F74),IF(EI$5=$E74+1,$C74,""),"")</f>
        <v/>
      </c>
      <c r="EJ74" s="34">
        <f>IF(AND(EJ$5&gt;$E74,EJ$5&lt;=$F74),IF(EJ$5=$E74+1,$C74,""),"")</f>
        <v/>
      </c>
      <c r="EK74" s="34">
        <f>IF(AND(EK$5&gt;$E74,EK$5&lt;=$F74),IF(EK$5=$E74+1,$C74,""),"")</f>
        <v/>
      </c>
      <c r="EL74" s="34">
        <f>IF(AND(EL$5&gt;$E74,EL$5&lt;=$F74),IF(EL$5=$E74+1,$C74,""),"")</f>
        <v/>
      </c>
      <c r="EM74" s="34">
        <f>IF(AND(EM$5&gt;$E74,EM$5&lt;=$F74),IF(EM$5=$E74+1,$C74,""),"")</f>
        <v/>
      </c>
      <c r="EN74" s="34">
        <f>IF(AND(EN$5&gt;$E74,EN$5&lt;=$F74),IF(EN$5=$E74+1,$C74,""),"")</f>
        <v/>
      </c>
      <c r="EO74" s="34">
        <f>IF(AND(EO$5&gt;$E74,EO$5&lt;=$F74),IF(EO$5=$E74+1,$C74,""),"")</f>
        <v/>
      </c>
      <c r="EP74" s="34">
        <f>IF(AND(EP$5&gt;$E74,EP$5&lt;=$F74),IF(EP$5=$E74+1,$C74,""),"")</f>
        <v/>
      </c>
      <c r="EQ74" s="34">
        <f>IF(AND(EQ$5&gt;$E74,EQ$5&lt;=$F74),IF(EQ$5=$E74+1,$C74,""),"")</f>
        <v/>
      </c>
    </row>
    <row r="75">
      <c r="A75" s="32">
        <f>Plan!A49</f>
        <v/>
      </c>
      <c r="B75" s="33">
        <f>Plan!C49</f>
        <v/>
      </c>
      <c r="C75" s="16">
        <f>Plan!D49</f>
        <v/>
      </c>
      <c r="D75" s="16">
        <f>Plan!I49</f>
        <v/>
      </c>
      <c r="E75" s="16">
        <f>Plan!K49</f>
        <v/>
      </c>
      <c r="F75" s="16">
        <f>Plan!L49</f>
        <v/>
      </c>
      <c r="G75" s="16">
        <f>Plan!O49</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c r="DN75" s="34">
        <f>IF(AND(DN$5&gt;$E75,DN$5&lt;=$F75),IF(DN$5=$E75+1,$C75,""),"")</f>
        <v/>
      </c>
      <c r="DO75" s="34">
        <f>IF(AND(DO$5&gt;$E75,DO$5&lt;=$F75),IF(DO$5=$E75+1,$C75,""),"")</f>
        <v/>
      </c>
      <c r="DP75" s="34">
        <f>IF(AND(DP$5&gt;$E75,DP$5&lt;=$F75),IF(DP$5=$E75+1,$C75,""),"")</f>
        <v/>
      </c>
      <c r="DQ75" s="34">
        <f>IF(AND(DQ$5&gt;$E75,DQ$5&lt;=$F75),IF(DQ$5=$E75+1,$C75,""),"")</f>
        <v/>
      </c>
      <c r="DR75" s="34">
        <f>IF(AND(DR$5&gt;$E75,DR$5&lt;=$F75),IF(DR$5=$E75+1,$C75,""),"")</f>
        <v/>
      </c>
      <c r="DS75" s="34">
        <f>IF(AND(DS$5&gt;$E75,DS$5&lt;=$F75),IF(DS$5=$E75+1,$C75,""),"")</f>
        <v/>
      </c>
      <c r="DT75" s="34">
        <f>IF(AND(DT$5&gt;$E75,DT$5&lt;=$F75),IF(DT$5=$E75+1,$C75,""),"")</f>
        <v/>
      </c>
      <c r="DU75" s="34">
        <f>IF(AND(DU$5&gt;$E75,DU$5&lt;=$F75),IF(DU$5=$E75+1,$C75,""),"")</f>
        <v/>
      </c>
      <c r="DV75" s="34">
        <f>IF(AND(DV$5&gt;$E75,DV$5&lt;=$F75),IF(DV$5=$E75+1,$C75,""),"")</f>
        <v/>
      </c>
      <c r="DW75" s="34">
        <f>IF(AND(DW$5&gt;$E75,DW$5&lt;=$F75),IF(DW$5=$E75+1,$C75,""),"")</f>
        <v/>
      </c>
      <c r="DX75" s="34">
        <f>IF(AND(DX$5&gt;$E75,DX$5&lt;=$F75),IF(DX$5=$E75+1,$C75,""),"")</f>
        <v/>
      </c>
      <c r="DY75" s="34">
        <f>IF(AND(DY$5&gt;$E75,DY$5&lt;=$F75),IF(DY$5=$E75+1,$C75,""),"")</f>
        <v/>
      </c>
      <c r="DZ75" s="34">
        <f>IF(AND(DZ$5&gt;$E75,DZ$5&lt;=$F75),IF(DZ$5=$E75+1,$C75,""),"")</f>
        <v/>
      </c>
      <c r="EA75" s="34">
        <f>IF(AND(EA$5&gt;$E75,EA$5&lt;=$F75),IF(EA$5=$E75+1,$C75,""),"")</f>
        <v/>
      </c>
      <c r="EB75" s="34">
        <f>IF(AND(EB$5&gt;$E75,EB$5&lt;=$F75),IF(EB$5=$E75+1,$C75,""),"")</f>
        <v/>
      </c>
      <c r="EC75" s="34">
        <f>IF(AND(EC$5&gt;$E75,EC$5&lt;=$F75),IF(EC$5=$E75+1,$C75,""),"")</f>
        <v/>
      </c>
      <c r="ED75" s="34">
        <f>IF(AND(ED$5&gt;$E75,ED$5&lt;=$F75),IF(ED$5=$E75+1,$C75,""),"")</f>
        <v/>
      </c>
      <c r="EE75" s="34">
        <f>IF(AND(EE$5&gt;$E75,EE$5&lt;=$F75),IF(EE$5=$E75+1,$C75,""),"")</f>
        <v/>
      </c>
      <c r="EF75" s="34">
        <f>IF(AND(EF$5&gt;$E75,EF$5&lt;=$F75),IF(EF$5=$E75+1,$C75,""),"")</f>
        <v/>
      </c>
      <c r="EG75" s="34">
        <f>IF(AND(EG$5&gt;$E75,EG$5&lt;=$F75),IF(EG$5=$E75+1,$C75,""),"")</f>
        <v/>
      </c>
      <c r="EH75" s="34">
        <f>IF(AND(EH$5&gt;$E75,EH$5&lt;=$F75),IF(EH$5=$E75+1,$C75,""),"")</f>
        <v/>
      </c>
      <c r="EI75" s="34">
        <f>IF(AND(EI$5&gt;$E75,EI$5&lt;=$F75),IF(EI$5=$E75+1,$C75,""),"")</f>
        <v/>
      </c>
      <c r="EJ75" s="34">
        <f>IF(AND(EJ$5&gt;$E75,EJ$5&lt;=$F75),IF(EJ$5=$E75+1,$C75,""),"")</f>
        <v/>
      </c>
      <c r="EK75" s="34">
        <f>IF(AND(EK$5&gt;$E75,EK$5&lt;=$F75),IF(EK$5=$E75+1,$C75,""),"")</f>
        <v/>
      </c>
      <c r="EL75" s="34">
        <f>IF(AND(EL$5&gt;$E75,EL$5&lt;=$F75),IF(EL$5=$E75+1,$C75,""),"")</f>
        <v/>
      </c>
      <c r="EM75" s="34">
        <f>IF(AND(EM$5&gt;$E75,EM$5&lt;=$F75),IF(EM$5=$E75+1,$C75,""),"")</f>
        <v/>
      </c>
      <c r="EN75" s="34">
        <f>IF(AND(EN$5&gt;$E75,EN$5&lt;=$F75),IF(EN$5=$E75+1,$C75,""),"")</f>
        <v/>
      </c>
      <c r="EO75" s="34">
        <f>IF(AND(EO$5&gt;$E75,EO$5&lt;=$F75),IF(EO$5=$E75+1,$C75,""),"")</f>
        <v/>
      </c>
      <c r="EP75" s="34">
        <f>IF(AND(EP$5&gt;$E75,EP$5&lt;=$F75),IF(EP$5=$E75+1,$C75,""),"")</f>
        <v/>
      </c>
      <c r="EQ75" s="34">
        <f>IF(AND(EQ$5&gt;$E75,EQ$5&lt;=$F75),IF(EQ$5=$E75+1,$C75,""),"")</f>
        <v/>
      </c>
    </row>
    <row r="76">
      <c r="A76" s="32">
        <f>Plan!A50</f>
        <v/>
      </c>
      <c r="B76" s="33">
        <f>Plan!C50</f>
        <v/>
      </c>
      <c r="C76" s="16">
        <f>Plan!D50</f>
        <v/>
      </c>
      <c r="D76" s="16">
        <f>Plan!I50</f>
        <v/>
      </c>
      <c r="E76" s="16">
        <f>Plan!K50</f>
        <v/>
      </c>
      <c r="F76" s="16">
        <f>Plan!L50</f>
        <v/>
      </c>
      <c r="G76" s="16">
        <f>Plan!O50</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c r="DX76" s="34">
        <f>IF(AND(DX$5&gt;$E76,DX$5&lt;=$F76),IF(DX$5=$E76+1,$C76,""),"")</f>
        <v/>
      </c>
      <c r="DY76" s="34">
        <f>IF(AND(DY$5&gt;$E76,DY$5&lt;=$F76),IF(DY$5=$E76+1,$C76,""),"")</f>
        <v/>
      </c>
      <c r="DZ76" s="34">
        <f>IF(AND(DZ$5&gt;$E76,DZ$5&lt;=$F76),IF(DZ$5=$E76+1,$C76,""),"")</f>
        <v/>
      </c>
      <c r="EA76" s="34">
        <f>IF(AND(EA$5&gt;$E76,EA$5&lt;=$F76),IF(EA$5=$E76+1,$C76,""),"")</f>
        <v/>
      </c>
      <c r="EB76" s="34">
        <f>IF(AND(EB$5&gt;$E76,EB$5&lt;=$F76),IF(EB$5=$E76+1,$C76,""),"")</f>
        <v/>
      </c>
      <c r="EC76" s="34">
        <f>IF(AND(EC$5&gt;$E76,EC$5&lt;=$F76),IF(EC$5=$E76+1,$C76,""),"")</f>
        <v/>
      </c>
      <c r="ED76" s="34">
        <f>IF(AND(ED$5&gt;$E76,ED$5&lt;=$F76),IF(ED$5=$E76+1,$C76,""),"")</f>
        <v/>
      </c>
      <c r="EE76" s="34">
        <f>IF(AND(EE$5&gt;$E76,EE$5&lt;=$F76),IF(EE$5=$E76+1,$C76,""),"")</f>
        <v/>
      </c>
      <c r="EF76" s="34">
        <f>IF(AND(EF$5&gt;$E76,EF$5&lt;=$F76),IF(EF$5=$E76+1,$C76,""),"")</f>
        <v/>
      </c>
      <c r="EG76" s="34">
        <f>IF(AND(EG$5&gt;$E76,EG$5&lt;=$F76),IF(EG$5=$E76+1,$C76,""),"")</f>
        <v/>
      </c>
      <c r="EH76" s="34">
        <f>IF(AND(EH$5&gt;$E76,EH$5&lt;=$F76),IF(EH$5=$E76+1,$C76,""),"")</f>
        <v/>
      </c>
      <c r="EI76" s="34">
        <f>IF(AND(EI$5&gt;$E76,EI$5&lt;=$F76),IF(EI$5=$E76+1,$C76,""),"")</f>
        <v/>
      </c>
      <c r="EJ76" s="34">
        <f>IF(AND(EJ$5&gt;$E76,EJ$5&lt;=$F76),IF(EJ$5=$E76+1,$C76,""),"")</f>
        <v/>
      </c>
      <c r="EK76" s="34">
        <f>IF(AND(EK$5&gt;$E76,EK$5&lt;=$F76),IF(EK$5=$E76+1,$C76,""),"")</f>
        <v/>
      </c>
      <c r="EL76" s="34">
        <f>IF(AND(EL$5&gt;$E76,EL$5&lt;=$F76),IF(EL$5=$E76+1,$C76,""),"")</f>
        <v/>
      </c>
      <c r="EM76" s="34">
        <f>IF(AND(EM$5&gt;$E76,EM$5&lt;=$F76),IF(EM$5=$E76+1,$C76,""),"")</f>
        <v/>
      </c>
      <c r="EN76" s="34">
        <f>IF(AND(EN$5&gt;$E76,EN$5&lt;=$F76),IF(EN$5=$E76+1,$C76,""),"")</f>
        <v/>
      </c>
      <c r="EO76" s="34">
        <f>IF(AND(EO$5&gt;$E76,EO$5&lt;=$F76),IF(EO$5=$E76+1,$C76,""),"")</f>
        <v/>
      </c>
      <c r="EP76" s="34">
        <f>IF(AND(EP$5&gt;$E76,EP$5&lt;=$F76),IF(EP$5=$E76+1,$C76,""),"")</f>
        <v/>
      </c>
      <c r="EQ76" s="34">
        <f>IF(AND(EQ$5&gt;$E76,EQ$5&lt;=$F76),IF(EQ$5=$E76+1,$C76,""),"")</f>
        <v/>
      </c>
    </row>
    <row r="77">
      <c r="A77" s="32">
        <f>Plan!A51</f>
        <v/>
      </c>
      <c r="B77" s="33">
        <f>Plan!C51</f>
        <v/>
      </c>
      <c r="C77" s="16">
        <f>Plan!D51</f>
        <v/>
      </c>
      <c r="D77" s="16">
        <f>Plan!I51</f>
        <v/>
      </c>
      <c r="E77" s="16">
        <f>Plan!K51</f>
        <v/>
      </c>
      <c r="F77" s="16">
        <f>Plan!L51</f>
        <v/>
      </c>
      <c r="G77" s="16">
        <f>Plan!O51</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c r="DX77" s="34">
        <f>IF(AND(DX$5&gt;$E77,DX$5&lt;=$F77),IF(DX$5=$E77+1,$C77,""),"")</f>
        <v/>
      </c>
      <c r="DY77" s="34">
        <f>IF(AND(DY$5&gt;$E77,DY$5&lt;=$F77),IF(DY$5=$E77+1,$C77,""),"")</f>
        <v/>
      </c>
      <c r="DZ77" s="34">
        <f>IF(AND(DZ$5&gt;$E77,DZ$5&lt;=$F77),IF(DZ$5=$E77+1,$C77,""),"")</f>
        <v/>
      </c>
      <c r="EA77" s="34">
        <f>IF(AND(EA$5&gt;$E77,EA$5&lt;=$F77),IF(EA$5=$E77+1,$C77,""),"")</f>
        <v/>
      </c>
      <c r="EB77" s="34">
        <f>IF(AND(EB$5&gt;$E77,EB$5&lt;=$F77),IF(EB$5=$E77+1,$C77,""),"")</f>
        <v/>
      </c>
      <c r="EC77" s="34">
        <f>IF(AND(EC$5&gt;$E77,EC$5&lt;=$F77),IF(EC$5=$E77+1,$C77,""),"")</f>
        <v/>
      </c>
      <c r="ED77" s="34">
        <f>IF(AND(ED$5&gt;$E77,ED$5&lt;=$F77),IF(ED$5=$E77+1,$C77,""),"")</f>
        <v/>
      </c>
      <c r="EE77" s="34">
        <f>IF(AND(EE$5&gt;$E77,EE$5&lt;=$F77),IF(EE$5=$E77+1,$C77,""),"")</f>
        <v/>
      </c>
      <c r="EF77" s="34">
        <f>IF(AND(EF$5&gt;$E77,EF$5&lt;=$F77),IF(EF$5=$E77+1,$C77,""),"")</f>
        <v/>
      </c>
      <c r="EG77" s="34">
        <f>IF(AND(EG$5&gt;$E77,EG$5&lt;=$F77),IF(EG$5=$E77+1,$C77,""),"")</f>
        <v/>
      </c>
      <c r="EH77" s="34">
        <f>IF(AND(EH$5&gt;$E77,EH$5&lt;=$F77),IF(EH$5=$E77+1,$C77,""),"")</f>
        <v/>
      </c>
      <c r="EI77" s="34">
        <f>IF(AND(EI$5&gt;$E77,EI$5&lt;=$F77),IF(EI$5=$E77+1,$C77,""),"")</f>
        <v/>
      </c>
      <c r="EJ77" s="34">
        <f>IF(AND(EJ$5&gt;$E77,EJ$5&lt;=$F77),IF(EJ$5=$E77+1,$C77,""),"")</f>
        <v/>
      </c>
      <c r="EK77" s="34">
        <f>IF(AND(EK$5&gt;$E77,EK$5&lt;=$F77),IF(EK$5=$E77+1,$C77,""),"")</f>
        <v/>
      </c>
      <c r="EL77" s="34">
        <f>IF(AND(EL$5&gt;$E77,EL$5&lt;=$F77),IF(EL$5=$E77+1,$C77,""),"")</f>
        <v/>
      </c>
      <c r="EM77" s="34">
        <f>IF(AND(EM$5&gt;$E77,EM$5&lt;=$F77),IF(EM$5=$E77+1,$C77,""),"")</f>
        <v/>
      </c>
      <c r="EN77" s="34">
        <f>IF(AND(EN$5&gt;$E77,EN$5&lt;=$F77),IF(EN$5=$E77+1,$C77,""),"")</f>
        <v/>
      </c>
      <c r="EO77" s="34">
        <f>IF(AND(EO$5&gt;$E77,EO$5&lt;=$F77),IF(EO$5=$E77+1,$C77,""),"")</f>
        <v/>
      </c>
      <c r="EP77" s="34">
        <f>IF(AND(EP$5&gt;$E77,EP$5&lt;=$F77),IF(EP$5=$E77+1,$C77,""),"")</f>
        <v/>
      </c>
      <c r="EQ77" s="34">
        <f>IF(AND(EQ$5&gt;$E77,EQ$5&lt;=$F77),IF(EQ$5=$E77+1,$C77,""),"")</f>
        <v/>
      </c>
    </row>
    <row r="78">
      <c r="A78" s="32">
        <f>Plan!A52</f>
        <v/>
      </c>
      <c r="B78" s="33">
        <f>Plan!C52</f>
        <v/>
      </c>
      <c r="C78" s="16">
        <f>Plan!D52</f>
        <v/>
      </c>
      <c r="D78" s="16">
        <f>Plan!I52</f>
        <v/>
      </c>
      <c r="E78" s="16">
        <f>Plan!K52</f>
        <v/>
      </c>
      <c r="F78" s="16">
        <f>Plan!L52</f>
        <v/>
      </c>
      <c r="G78" s="16">
        <f>Plan!O52</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c r="DX78" s="34">
        <f>IF(AND(DX$5&gt;$E78,DX$5&lt;=$F78),IF(DX$5=$E78+1,$C78,""),"")</f>
        <v/>
      </c>
      <c r="DY78" s="34">
        <f>IF(AND(DY$5&gt;$E78,DY$5&lt;=$F78),IF(DY$5=$E78+1,$C78,""),"")</f>
        <v/>
      </c>
      <c r="DZ78" s="34">
        <f>IF(AND(DZ$5&gt;$E78,DZ$5&lt;=$F78),IF(DZ$5=$E78+1,$C78,""),"")</f>
        <v/>
      </c>
      <c r="EA78" s="34">
        <f>IF(AND(EA$5&gt;$E78,EA$5&lt;=$F78),IF(EA$5=$E78+1,$C78,""),"")</f>
        <v/>
      </c>
      <c r="EB78" s="34">
        <f>IF(AND(EB$5&gt;$E78,EB$5&lt;=$F78),IF(EB$5=$E78+1,$C78,""),"")</f>
        <v/>
      </c>
      <c r="EC78" s="34">
        <f>IF(AND(EC$5&gt;$E78,EC$5&lt;=$F78),IF(EC$5=$E78+1,$C78,""),"")</f>
        <v/>
      </c>
      <c r="ED78" s="34">
        <f>IF(AND(ED$5&gt;$E78,ED$5&lt;=$F78),IF(ED$5=$E78+1,$C78,""),"")</f>
        <v/>
      </c>
      <c r="EE78" s="34">
        <f>IF(AND(EE$5&gt;$E78,EE$5&lt;=$F78),IF(EE$5=$E78+1,$C78,""),"")</f>
        <v/>
      </c>
      <c r="EF78" s="34">
        <f>IF(AND(EF$5&gt;$E78,EF$5&lt;=$F78),IF(EF$5=$E78+1,$C78,""),"")</f>
        <v/>
      </c>
      <c r="EG78" s="34">
        <f>IF(AND(EG$5&gt;$E78,EG$5&lt;=$F78),IF(EG$5=$E78+1,$C78,""),"")</f>
        <v/>
      </c>
      <c r="EH78" s="34">
        <f>IF(AND(EH$5&gt;$E78,EH$5&lt;=$F78),IF(EH$5=$E78+1,$C78,""),"")</f>
        <v/>
      </c>
      <c r="EI78" s="34">
        <f>IF(AND(EI$5&gt;$E78,EI$5&lt;=$F78),IF(EI$5=$E78+1,$C78,""),"")</f>
        <v/>
      </c>
      <c r="EJ78" s="34">
        <f>IF(AND(EJ$5&gt;$E78,EJ$5&lt;=$F78),IF(EJ$5=$E78+1,$C78,""),"")</f>
        <v/>
      </c>
      <c r="EK78" s="34">
        <f>IF(AND(EK$5&gt;$E78,EK$5&lt;=$F78),IF(EK$5=$E78+1,$C78,""),"")</f>
        <v/>
      </c>
      <c r="EL78" s="34">
        <f>IF(AND(EL$5&gt;$E78,EL$5&lt;=$F78),IF(EL$5=$E78+1,$C78,""),"")</f>
        <v/>
      </c>
      <c r="EM78" s="34">
        <f>IF(AND(EM$5&gt;$E78,EM$5&lt;=$F78),IF(EM$5=$E78+1,$C78,""),"")</f>
        <v/>
      </c>
      <c r="EN78" s="34">
        <f>IF(AND(EN$5&gt;$E78,EN$5&lt;=$F78),IF(EN$5=$E78+1,$C78,""),"")</f>
        <v/>
      </c>
      <c r="EO78" s="34">
        <f>IF(AND(EO$5&gt;$E78,EO$5&lt;=$F78),IF(EO$5=$E78+1,$C78,""),"")</f>
        <v/>
      </c>
      <c r="EP78" s="34">
        <f>IF(AND(EP$5&gt;$E78,EP$5&lt;=$F78),IF(EP$5=$E78+1,$C78,""),"")</f>
        <v/>
      </c>
      <c r="EQ78" s="34">
        <f>IF(AND(EQ$5&gt;$E78,EQ$5&lt;=$F78),IF(EQ$5=$E78+1,$C78,""),"")</f>
        <v/>
      </c>
    </row>
    <row r="79">
      <c r="A79" s="32">
        <f>Plan!A53</f>
        <v/>
      </c>
      <c r="B79" s="33">
        <f>Plan!C53</f>
        <v/>
      </c>
      <c r="C79" s="16">
        <f>Plan!D53</f>
        <v/>
      </c>
      <c r="D79" s="16">
        <f>Plan!I53</f>
        <v/>
      </c>
      <c r="E79" s="16">
        <f>Plan!K53</f>
        <v/>
      </c>
      <c r="F79" s="16">
        <f>Plan!L53</f>
        <v/>
      </c>
      <c r="G79" s="16">
        <f>Plan!O53</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c r="DX79" s="34">
        <f>IF(AND(DX$5&gt;$E79,DX$5&lt;=$F79),IF(DX$5=$E79+1,$C79,""),"")</f>
        <v/>
      </c>
      <c r="DY79" s="34">
        <f>IF(AND(DY$5&gt;$E79,DY$5&lt;=$F79),IF(DY$5=$E79+1,$C79,""),"")</f>
        <v/>
      </c>
      <c r="DZ79" s="34">
        <f>IF(AND(DZ$5&gt;$E79,DZ$5&lt;=$F79),IF(DZ$5=$E79+1,$C79,""),"")</f>
        <v/>
      </c>
      <c r="EA79" s="34">
        <f>IF(AND(EA$5&gt;$E79,EA$5&lt;=$F79),IF(EA$5=$E79+1,$C79,""),"")</f>
        <v/>
      </c>
      <c r="EB79" s="34">
        <f>IF(AND(EB$5&gt;$E79,EB$5&lt;=$F79),IF(EB$5=$E79+1,$C79,""),"")</f>
        <v/>
      </c>
      <c r="EC79" s="34">
        <f>IF(AND(EC$5&gt;$E79,EC$5&lt;=$F79),IF(EC$5=$E79+1,$C79,""),"")</f>
        <v/>
      </c>
      <c r="ED79" s="34">
        <f>IF(AND(ED$5&gt;$E79,ED$5&lt;=$F79),IF(ED$5=$E79+1,$C79,""),"")</f>
        <v/>
      </c>
      <c r="EE79" s="34">
        <f>IF(AND(EE$5&gt;$E79,EE$5&lt;=$F79),IF(EE$5=$E79+1,$C79,""),"")</f>
        <v/>
      </c>
      <c r="EF79" s="34">
        <f>IF(AND(EF$5&gt;$E79,EF$5&lt;=$F79),IF(EF$5=$E79+1,$C79,""),"")</f>
        <v/>
      </c>
      <c r="EG79" s="34">
        <f>IF(AND(EG$5&gt;$E79,EG$5&lt;=$F79),IF(EG$5=$E79+1,$C79,""),"")</f>
        <v/>
      </c>
      <c r="EH79" s="34">
        <f>IF(AND(EH$5&gt;$E79,EH$5&lt;=$F79),IF(EH$5=$E79+1,$C79,""),"")</f>
        <v/>
      </c>
      <c r="EI79" s="34">
        <f>IF(AND(EI$5&gt;$E79,EI$5&lt;=$F79),IF(EI$5=$E79+1,$C79,""),"")</f>
        <v/>
      </c>
      <c r="EJ79" s="34">
        <f>IF(AND(EJ$5&gt;$E79,EJ$5&lt;=$F79),IF(EJ$5=$E79+1,$C79,""),"")</f>
        <v/>
      </c>
      <c r="EK79" s="34">
        <f>IF(AND(EK$5&gt;$E79,EK$5&lt;=$F79),IF(EK$5=$E79+1,$C79,""),"")</f>
        <v/>
      </c>
      <c r="EL79" s="34">
        <f>IF(AND(EL$5&gt;$E79,EL$5&lt;=$F79),IF(EL$5=$E79+1,$C79,""),"")</f>
        <v/>
      </c>
      <c r="EM79" s="34">
        <f>IF(AND(EM$5&gt;$E79,EM$5&lt;=$F79),IF(EM$5=$E79+1,$C79,""),"")</f>
        <v/>
      </c>
      <c r="EN79" s="34">
        <f>IF(AND(EN$5&gt;$E79,EN$5&lt;=$F79),IF(EN$5=$E79+1,$C79,""),"")</f>
        <v/>
      </c>
      <c r="EO79" s="34">
        <f>IF(AND(EO$5&gt;$E79,EO$5&lt;=$F79),IF(EO$5=$E79+1,$C79,""),"")</f>
        <v/>
      </c>
      <c r="EP79" s="34">
        <f>IF(AND(EP$5&gt;$E79,EP$5&lt;=$F79),IF(EP$5=$E79+1,$C79,""),"")</f>
        <v/>
      </c>
      <c r="EQ79" s="34">
        <f>IF(AND(EQ$5&gt;$E79,EQ$5&lt;=$F79),IF(EQ$5=$E79+1,$C79,""),"")</f>
        <v/>
      </c>
    </row>
    <row r="80">
      <c r="A80" s="32">
        <f>Plan!A54</f>
        <v/>
      </c>
      <c r="B80" s="33">
        <f>Plan!C54</f>
        <v/>
      </c>
      <c r="C80" s="16">
        <f>Plan!D54</f>
        <v/>
      </c>
      <c r="D80" s="16">
        <f>Plan!I54</f>
        <v/>
      </c>
      <c r="E80" s="16">
        <f>Plan!K54</f>
        <v/>
      </c>
      <c r="F80" s="16">
        <f>Plan!L54</f>
        <v/>
      </c>
      <c r="G80" s="16">
        <f>Plan!O54</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c r="DX80" s="34">
        <f>IF(AND(DX$5&gt;$E80,DX$5&lt;=$F80),IF(DX$5=$E80+1,$C80,""),"")</f>
        <v/>
      </c>
      <c r="DY80" s="34">
        <f>IF(AND(DY$5&gt;$E80,DY$5&lt;=$F80),IF(DY$5=$E80+1,$C80,""),"")</f>
        <v/>
      </c>
      <c r="DZ80" s="34">
        <f>IF(AND(DZ$5&gt;$E80,DZ$5&lt;=$F80),IF(DZ$5=$E80+1,$C80,""),"")</f>
        <v/>
      </c>
      <c r="EA80" s="34">
        <f>IF(AND(EA$5&gt;$E80,EA$5&lt;=$F80),IF(EA$5=$E80+1,$C80,""),"")</f>
        <v/>
      </c>
      <c r="EB80" s="34">
        <f>IF(AND(EB$5&gt;$E80,EB$5&lt;=$F80),IF(EB$5=$E80+1,$C80,""),"")</f>
        <v/>
      </c>
      <c r="EC80" s="34">
        <f>IF(AND(EC$5&gt;$E80,EC$5&lt;=$F80),IF(EC$5=$E80+1,$C80,""),"")</f>
        <v/>
      </c>
      <c r="ED80" s="34">
        <f>IF(AND(ED$5&gt;$E80,ED$5&lt;=$F80),IF(ED$5=$E80+1,$C80,""),"")</f>
        <v/>
      </c>
      <c r="EE80" s="34">
        <f>IF(AND(EE$5&gt;$E80,EE$5&lt;=$F80),IF(EE$5=$E80+1,$C80,""),"")</f>
        <v/>
      </c>
      <c r="EF80" s="34">
        <f>IF(AND(EF$5&gt;$E80,EF$5&lt;=$F80),IF(EF$5=$E80+1,$C80,""),"")</f>
        <v/>
      </c>
      <c r="EG80" s="34">
        <f>IF(AND(EG$5&gt;$E80,EG$5&lt;=$F80),IF(EG$5=$E80+1,$C80,""),"")</f>
        <v/>
      </c>
      <c r="EH80" s="34">
        <f>IF(AND(EH$5&gt;$E80,EH$5&lt;=$F80),IF(EH$5=$E80+1,$C80,""),"")</f>
        <v/>
      </c>
      <c r="EI80" s="34">
        <f>IF(AND(EI$5&gt;$E80,EI$5&lt;=$F80),IF(EI$5=$E80+1,$C80,""),"")</f>
        <v/>
      </c>
      <c r="EJ80" s="34">
        <f>IF(AND(EJ$5&gt;$E80,EJ$5&lt;=$F80),IF(EJ$5=$E80+1,$C80,""),"")</f>
        <v/>
      </c>
      <c r="EK80" s="34">
        <f>IF(AND(EK$5&gt;$E80,EK$5&lt;=$F80),IF(EK$5=$E80+1,$C80,""),"")</f>
        <v/>
      </c>
      <c r="EL80" s="34">
        <f>IF(AND(EL$5&gt;$E80,EL$5&lt;=$F80),IF(EL$5=$E80+1,$C80,""),"")</f>
        <v/>
      </c>
      <c r="EM80" s="34">
        <f>IF(AND(EM$5&gt;$E80,EM$5&lt;=$F80),IF(EM$5=$E80+1,$C80,""),"")</f>
        <v/>
      </c>
      <c r="EN80" s="34">
        <f>IF(AND(EN$5&gt;$E80,EN$5&lt;=$F80),IF(EN$5=$E80+1,$C80,""),"")</f>
        <v/>
      </c>
      <c r="EO80" s="34">
        <f>IF(AND(EO$5&gt;$E80,EO$5&lt;=$F80),IF(EO$5=$E80+1,$C80,""),"")</f>
        <v/>
      </c>
      <c r="EP80" s="34">
        <f>IF(AND(EP$5&gt;$E80,EP$5&lt;=$F80),IF(EP$5=$E80+1,$C80,""),"")</f>
        <v/>
      </c>
      <c r="EQ80" s="34">
        <f>IF(AND(EQ$5&gt;$E80,EQ$5&lt;=$F80),IF(EQ$5=$E80+1,$C80,""),"")</f>
        <v/>
      </c>
    </row>
    <row r="81">
      <c r="A81" s="32">
        <f>Plan!A55</f>
        <v/>
      </c>
      <c r="B81" s="33">
        <f>Plan!C55</f>
        <v/>
      </c>
      <c r="C81" s="16">
        <f>Plan!D55</f>
        <v/>
      </c>
      <c r="D81" s="16">
        <f>Plan!I55</f>
        <v/>
      </c>
      <c r="E81" s="16">
        <f>Plan!K55</f>
        <v/>
      </c>
      <c r="F81" s="16">
        <f>Plan!L55</f>
        <v/>
      </c>
      <c r="G81" s="16">
        <f>Plan!O55</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c r="DX81" s="34">
        <f>IF(AND(DX$5&gt;$E81,DX$5&lt;=$F81),IF(DX$5=$E81+1,$C81,""),"")</f>
        <v/>
      </c>
      <c r="DY81" s="34">
        <f>IF(AND(DY$5&gt;$E81,DY$5&lt;=$F81),IF(DY$5=$E81+1,$C81,""),"")</f>
        <v/>
      </c>
      <c r="DZ81" s="34">
        <f>IF(AND(DZ$5&gt;$E81,DZ$5&lt;=$F81),IF(DZ$5=$E81+1,$C81,""),"")</f>
        <v/>
      </c>
      <c r="EA81" s="34">
        <f>IF(AND(EA$5&gt;$E81,EA$5&lt;=$F81),IF(EA$5=$E81+1,$C81,""),"")</f>
        <v/>
      </c>
      <c r="EB81" s="34">
        <f>IF(AND(EB$5&gt;$E81,EB$5&lt;=$F81),IF(EB$5=$E81+1,$C81,""),"")</f>
        <v/>
      </c>
      <c r="EC81" s="34">
        <f>IF(AND(EC$5&gt;$E81,EC$5&lt;=$F81),IF(EC$5=$E81+1,$C81,""),"")</f>
        <v/>
      </c>
      <c r="ED81" s="34">
        <f>IF(AND(ED$5&gt;$E81,ED$5&lt;=$F81),IF(ED$5=$E81+1,$C81,""),"")</f>
        <v/>
      </c>
      <c r="EE81" s="34">
        <f>IF(AND(EE$5&gt;$E81,EE$5&lt;=$F81),IF(EE$5=$E81+1,$C81,""),"")</f>
        <v/>
      </c>
      <c r="EF81" s="34">
        <f>IF(AND(EF$5&gt;$E81,EF$5&lt;=$F81),IF(EF$5=$E81+1,$C81,""),"")</f>
        <v/>
      </c>
      <c r="EG81" s="34">
        <f>IF(AND(EG$5&gt;$E81,EG$5&lt;=$F81),IF(EG$5=$E81+1,$C81,""),"")</f>
        <v/>
      </c>
      <c r="EH81" s="34">
        <f>IF(AND(EH$5&gt;$E81,EH$5&lt;=$F81),IF(EH$5=$E81+1,$C81,""),"")</f>
        <v/>
      </c>
      <c r="EI81" s="34">
        <f>IF(AND(EI$5&gt;$E81,EI$5&lt;=$F81),IF(EI$5=$E81+1,$C81,""),"")</f>
        <v/>
      </c>
      <c r="EJ81" s="34">
        <f>IF(AND(EJ$5&gt;$E81,EJ$5&lt;=$F81),IF(EJ$5=$E81+1,$C81,""),"")</f>
        <v/>
      </c>
      <c r="EK81" s="34">
        <f>IF(AND(EK$5&gt;$E81,EK$5&lt;=$F81),IF(EK$5=$E81+1,$C81,""),"")</f>
        <v/>
      </c>
      <c r="EL81" s="34">
        <f>IF(AND(EL$5&gt;$E81,EL$5&lt;=$F81),IF(EL$5=$E81+1,$C81,""),"")</f>
        <v/>
      </c>
      <c r="EM81" s="34">
        <f>IF(AND(EM$5&gt;$E81,EM$5&lt;=$F81),IF(EM$5=$E81+1,$C81,""),"")</f>
        <v/>
      </c>
      <c r="EN81" s="34">
        <f>IF(AND(EN$5&gt;$E81,EN$5&lt;=$F81),IF(EN$5=$E81+1,$C81,""),"")</f>
        <v/>
      </c>
      <c r="EO81" s="34">
        <f>IF(AND(EO$5&gt;$E81,EO$5&lt;=$F81),IF(EO$5=$E81+1,$C81,""),"")</f>
        <v/>
      </c>
      <c r="EP81" s="34">
        <f>IF(AND(EP$5&gt;$E81,EP$5&lt;=$F81),IF(EP$5=$E81+1,$C81,""),"")</f>
        <v/>
      </c>
      <c r="EQ81" s="34">
        <f>IF(AND(EQ$5&gt;$E81,EQ$5&lt;=$F81),IF(EQ$5=$E81+1,$C81,""),"")</f>
        <v/>
      </c>
    </row>
    <row r="82">
      <c r="A82" s="32">
        <f>Plan!A56</f>
        <v/>
      </c>
      <c r="B82" s="33">
        <f>Plan!C56</f>
        <v/>
      </c>
      <c r="C82" s="16">
        <f>Plan!D56</f>
        <v/>
      </c>
      <c r="D82" s="16">
        <f>Plan!I56</f>
        <v/>
      </c>
      <c r="E82" s="16">
        <f>Plan!K56</f>
        <v/>
      </c>
      <c r="F82" s="16">
        <f>Plan!L56</f>
        <v/>
      </c>
      <c r="G82" s="16">
        <f>Plan!O56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c r="DX82" s="34">
        <f>IF(AND(DX$5&gt;$E82,DX$5&lt;=$F82),IF(DX$5=$E82+1,$C82,""),"")</f>
        <v/>
      </c>
      <c r="DY82" s="34">
        <f>IF(AND(DY$5&gt;$E82,DY$5&lt;=$F82),IF(DY$5=$E82+1,$C82,""),"")</f>
        <v/>
      </c>
      <c r="DZ82" s="34">
        <f>IF(AND(DZ$5&gt;$E82,DZ$5&lt;=$F82),IF(DZ$5=$E82+1,$C82,""),"")</f>
        <v/>
      </c>
      <c r="EA82" s="34">
        <f>IF(AND(EA$5&gt;$E82,EA$5&lt;=$F82),IF(EA$5=$E82+1,$C82,""),"")</f>
        <v/>
      </c>
      <c r="EB82" s="34">
        <f>IF(AND(EB$5&gt;$E82,EB$5&lt;=$F82),IF(EB$5=$E82+1,$C82,""),"")</f>
        <v/>
      </c>
      <c r="EC82" s="34">
        <f>IF(AND(EC$5&gt;$E82,EC$5&lt;=$F82),IF(EC$5=$E82+1,$C82,""),"")</f>
        <v/>
      </c>
      <c r="ED82" s="34">
        <f>IF(AND(ED$5&gt;$E82,ED$5&lt;=$F82),IF(ED$5=$E82+1,$C82,""),"")</f>
        <v/>
      </c>
      <c r="EE82" s="34">
        <f>IF(AND(EE$5&gt;$E82,EE$5&lt;=$F82),IF(EE$5=$E82+1,$C82,""),"")</f>
        <v/>
      </c>
      <c r="EF82" s="34">
        <f>IF(AND(EF$5&gt;$E82,EF$5&lt;=$F82),IF(EF$5=$E82+1,$C82,""),"")</f>
        <v/>
      </c>
      <c r="EG82" s="34">
        <f>IF(AND(EG$5&gt;$E82,EG$5&lt;=$F82),IF(EG$5=$E82+1,$C82,""),"")</f>
        <v/>
      </c>
      <c r="EH82" s="34">
        <f>IF(AND(EH$5&gt;$E82,EH$5&lt;=$F82),IF(EH$5=$E82+1,$C82,""),"")</f>
        <v/>
      </c>
      <c r="EI82" s="34">
        <f>IF(AND(EI$5&gt;$E82,EI$5&lt;=$F82),IF(EI$5=$E82+1,$C82,""),"")</f>
        <v/>
      </c>
      <c r="EJ82" s="34">
        <f>IF(AND(EJ$5&gt;$E82,EJ$5&lt;=$F82),IF(EJ$5=$E82+1,$C82,""),"")</f>
        <v/>
      </c>
      <c r="EK82" s="34">
        <f>IF(AND(EK$5&gt;$E82,EK$5&lt;=$F82),IF(EK$5=$E82+1,$C82,""),"")</f>
        <v/>
      </c>
      <c r="EL82" s="34">
        <f>IF(AND(EL$5&gt;$E82,EL$5&lt;=$F82),IF(EL$5=$E82+1,$C82,""),"")</f>
        <v/>
      </c>
      <c r="EM82" s="34">
        <f>IF(AND(EM$5&gt;$E82,EM$5&lt;=$F82),IF(EM$5=$E82+1,$C82,""),"")</f>
        <v/>
      </c>
      <c r="EN82" s="34">
        <f>IF(AND(EN$5&gt;$E82,EN$5&lt;=$F82),IF(EN$5=$E82+1,$C82,""),"")</f>
        <v/>
      </c>
      <c r="EO82" s="34">
        <f>IF(AND(EO$5&gt;$E82,EO$5&lt;=$F82),IF(EO$5=$E82+1,$C82,""),"")</f>
        <v/>
      </c>
      <c r="EP82" s="34">
        <f>IF(AND(EP$5&gt;$E82,EP$5&lt;=$F82),IF(EP$5=$E82+1,$C82,""),"")</f>
        <v/>
      </c>
      <c r="EQ82" s="34">
        <f>IF(AND(EQ$5&gt;$E82,EQ$5&lt;=$F82),IF(EQ$5=$E82+1,$C82,""),"")</f>
        <v/>
      </c>
    </row>
    <row r="83">
      <c r="A83" s="32">
        <f>Plan!A57</f>
        <v/>
      </c>
      <c r="B83" s="33">
        <f>Plan!C57</f>
        <v/>
      </c>
      <c r="C83" s="16">
        <f>Plan!D57</f>
        <v/>
      </c>
      <c r="D83" s="16">
        <f>Plan!I57</f>
        <v/>
      </c>
      <c r="E83" s="16">
        <f>Plan!K57</f>
        <v/>
      </c>
      <c r="F83" s="16">
        <f>Plan!L57</f>
        <v/>
      </c>
      <c r="G83" s="16">
        <f>Plan!O57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c r="DN83" s="34">
        <f>IF(AND(DN$5&gt;$E83,DN$5&lt;=$F83),IF(DN$5=$E83+1,$C83,""),"")</f>
        <v/>
      </c>
      <c r="DO83" s="34">
        <f>IF(AND(DO$5&gt;$E83,DO$5&lt;=$F83),IF(DO$5=$E83+1,$C83,""),"")</f>
        <v/>
      </c>
      <c r="DP83" s="34">
        <f>IF(AND(DP$5&gt;$E83,DP$5&lt;=$F83),IF(DP$5=$E83+1,$C83,""),"")</f>
        <v/>
      </c>
      <c r="DQ83" s="34">
        <f>IF(AND(DQ$5&gt;$E83,DQ$5&lt;=$F83),IF(DQ$5=$E83+1,$C83,""),"")</f>
        <v/>
      </c>
      <c r="DR83" s="34">
        <f>IF(AND(DR$5&gt;$E83,DR$5&lt;=$F83),IF(DR$5=$E83+1,$C83,""),"")</f>
        <v/>
      </c>
      <c r="DS83" s="34">
        <f>IF(AND(DS$5&gt;$E83,DS$5&lt;=$F83),IF(DS$5=$E83+1,$C83,""),"")</f>
        <v/>
      </c>
      <c r="DT83" s="34">
        <f>IF(AND(DT$5&gt;$E83,DT$5&lt;=$F83),IF(DT$5=$E83+1,$C83,""),"")</f>
        <v/>
      </c>
      <c r="DU83" s="34">
        <f>IF(AND(DU$5&gt;$E83,DU$5&lt;=$F83),IF(DU$5=$E83+1,$C83,""),"")</f>
        <v/>
      </c>
      <c r="DV83" s="34">
        <f>IF(AND(DV$5&gt;$E83,DV$5&lt;=$F83),IF(DV$5=$E83+1,$C83,""),"")</f>
        <v/>
      </c>
      <c r="DW83" s="34">
        <f>IF(AND(DW$5&gt;$E83,DW$5&lt;=$F83),IF(DW$5=$E83+1,$C83,""),"")</f>
        <v/>
      </c>
      <c r="DX83" s="34">
        <f>IF(AND(DX$5&gt;$E83,DX$5&lt;=$F83),IF(DX$5=$E83+1,$C83,""),"")</f>
        <v/>
      </c>
      <c r="DY83" s="34">
        <f>IF(AND(DY$5&gt;$E83,DY$5&lt;=$F83),IF(DY$5=$E83+1,$C83,""),"")</f>
        <v/>
      </c>
      <c r="DZ83" s="34">
        <f>IF(AND(DZ$5&gt;$E83,DZ$5&lt;=$F83),IF(DZ$5=$E83+1,$C83,""),"")</f>
        <v/>
      </c>
      <c r="EA83" s="34">
        <f>IF(AND(EA$5&gt;$E83,EA$5&lt;=$F83),IF(EA$5=$E83+1,$C83,""),"")</f>
        <v/>
      </c>
      <c r="EB83" s="34">
        <f>IF(AND(EB$5&gt;$E83,EB$5&lt;=$F83),IF(EB$5=$E83+1,$C83,""),"")</f>
        <v/>
      </c>
      <c r="EC83" s="34">
        <f>IF(AND(EC$5&gt;$E83,EC$5&lt;=$F83),IF(EC$5=$E83+1,$C83,""),"")</f>
        <v/>
      </c>
      <c r="ED83" s="34">
        <f>IF(AND(ED$5&gt;$E83,ED$5&lt;=$F83),IF(ED$5=$E83+1,$C83,""),"")</f>
        <v/>
      </c>
      <c r="EE83" s="34">
        <f>IF(AND(EE$5&gt;$E83,EE$5&lt;=$F83),IF(EE$5=$E83+1,$C83,""),"")</f>
        <v/>
      </c>
      <c r="EF83" s="34">
        <f>IF(AND(EF$5&gt;$E83,EF$5&lt;=$F83),IF(EF$5=$E83+1,$C83,""),"")</f>
        <v/>
      </c>
      <c r="EG83" s="34">
        <f>IF(AND(EG$5&gt;$E83,EG$5&lt;=$F83),IF(EG$5=$E83+1,$C83,""),"")</f>
        <v/>
      </c>
      <c r="EH83" s="34">
        <f>IF(AND(EH$5&gt;$E83,EH$5&lt;=$F83),IF(EH$5=$E83+1,$C83,""),"")</f>
        <v/>
      </c>
      <c r="EI83" s="34">
        <f>IF(AND(EI$5&gt;$E83,EI$5&lt;=$F83),IF(EI$5=$E83+1,$C83,""),"")</f>
        <v/>
      </c>
      <c r="EJ83" s="34">
        <f>IF(AND(EJ$5&gt;$E83,EJ$5&lt;=$F83),IF(EJ$5=$E83+1,$C83,""),"")</f>
        <v/>
      </c>
      <c r="EK83" s="34">
        <f>IF(AND(EK$5&gt;$E83,EK$5&lt;=$F83),IF(EK$5=$E83+1,$C83,""),"")</f>
        <v/>
      </c>
      <c r="EL83" s="34">
        <f>IF(AND(EL$5&gt;$E83,EL$5&lt;=$F83),IF(EL$5=$E83+1,$C83,""),"")</f>
        <v/>
      </c>
      <c r="EM83" s="34">
        <f>IF(AND(EM$5&gt;$E83,EM$5&lt;=$F83),IF(EM$5=$E83+1,$C83,""),"")</f>
        <v/>
      </c>
      <c r="EN83" s="34">
        <f>IF(AND(EN$5&gt;$E83,EN$5&lt;=$F83),IF(EN$5=$E83+1,$C83,""),"")</f>
        <v/>
      </c>
      <c r="EO83" s="34">
        <f>IF(AND(EO$5&gt;$E83,EO$5&lt;=$F83),IF(EO$5=$E83+1,$C83,""),"")</f>
        <v/>
      </c>
      <c r="EP83" s="34">
        <f>IF(AND(EP$5&gt;$E83,EP$5&lt;=$F83),IF(EP$5=$E83+1,$C83,""),"")</f>
        <v/>
      </c>
      <c r="EQ83" s="34">
        <f>IF(AND(EQ$5&gt;$E83,EQ$5&lt;=$F83),IF(EQ$5=$E83+1,$C83,""),"")</f>
        <v/>
      </c>
    </row>
    <row r="84">
      <c r="A84" s="32">
        <f>Plan!A84</f>
        <v/>
      </c>
      <c r="B84" s="33">
        <f>Plan!C84</f>
        <v/>
      </c>
      <c r="C84" s="16">
        <f>Plan!D84</f>
        <v/>
      </c>
      <c r="D84" s="16">
        <f>Plan!I84</f>
        <v/>
      </c>
      <c r="E84" s="16">
        <f>Plan!K84</f>
        <v/>
      </c>
      <c r="F84" s="16">
        <f>Plan!L84</f>
        <v/>
      </c>
      <c r="G84" s="16">
        <f>Plan!O84</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c r="DX84" s="34">
        <f>IF(AND(DX$5&gt;$E84,DX$5&lt;=$F84),IF(DX$5=$E84+1,$C84,""),"")</f>
        <v/>
      </c>
      <c r="DY84" s="34">
        <f>IF(AND(DY$5&gt;$E84,DY$5&lt;=$F84),IF(DY$5=$E84+1,$C84,""),"")</f>
        <v/>
      </c>
      <c r="DZ84" s="34">
        <f>IF(AND(DZ$5&gt;$E84,DZ$5&lt;=$F84),IF(DZ$5=$E84+1,$C84,""),"")</f>
        <v/>
      </c>
      <c r="EA84" s="34">
        <f>IF(AND(EA$5&gt;$E84,EA$5&lt;=$F84),IF(EA$5=$E84+1,$C84,""),"")</f>
        <v/>
      </c>
      <c r="EB84" s="34">
        <f>IF(AND(EB$5&gt;$E84,EB$5&lt;=$F84),IF(EB$5=$E84+1,$C84,""),"")</f>
        <v/>
      </c>
      <c r="EC84" s="34">
        <f>IF(AND(EC$5&gt;$E84,EC$5&lt;=$F84),IF(EC$5=$E84+1,$C84,""),"")</f>
        <v/>
      </c>
      <c r="ED84" s="34">
        <f>IF(AND(ED$5&gt;$E84,ED$5&lt;=$F84),IF(ED$5=$E84+1,$C84,""),"")</f>
        <v/>
      </c>
      <c r="EE84" s="34">
        <f>IF(AND(EE$5&gt;$E84,EE$5&lt;=$F84),IF(EE$5=$E84+1,$C84,""),"")</f>
        <v/>
      </c>
      <c r="EF84" s="34">
        <f>IF(AND(EF$5&gt;$E84,EF$5&lt;=$F84),IF(EF$5=$E84+1,$C84,""),"")</f>
        <v/>
      </c>
      <c r="EG84" s="34">
        <f>IF(AND(EG$5&gt;$E84,EG$5&lt;=$F84),IF(EG$5=$E84+1,$C84,""),"")</f>
        <v/>
      </c>
      <c r="EH84" s="34">
        <f>IF(AND(EH$5&gt;$E84,EH$5&lt;=$F84),IF(EH$5=$E84+1,$C84,""),"")</f>
        <v/>
      </c>
      <c r="EI84" s="34">
        <f>IF(AND(EI$5&gt;$E84,EI$5&lt;=$F84),IF(EI$5=$E84+1,$C84,""),"")</f>
        <v/>
      </c>
      <c r="EJ84" s="34">
        <f>IF(AND(EJ$5&gt;$E84,EJ$5&lt;=$F84),IF(EJ$5=$E84+1,$C84,""),"")</f>
        <v/>
      </c>
      <c r="EK84" s="34">
        <f>IF(AND(EK$5&gt;$E84,EK$5&lt;=$F84),IF(EK$5=$E84+1,$C84,""),"")</f>
        <v/>
      </c>
      <c r="EL84" s="34">
        <f>IF(AND(EL$5&gt;$E84,EL$5&lt;=$F84),IF(EL$5=$E84+1,$C84,""),"")</f>
        <v/>
      </c>
      <c r="EM84" s="34">
        <f>IF(AND(EM$5&gt;$E84,EM$5&lt;=$F84),IF(EM$5=$E84+1,$C84,""),"")</f>
        <v/>
      </c>
      <c r="EN84" s="34">
        <f>IF(AND(EN$5&gt;$E84,EN$5&lt;=$F84),IF(EN$5=$E84+1,$C84,""),"")</f>
        <v/>
      </c>
      <c r="EO84" s="34">
        <f>IF(AND(EO$5&gt;$E84,EO$5&lt;=$F84),IF(EO$5=$E84+1,$C84,""),"")</f>
        <v/>
      </c>
      <c r="EP84" s="34">
        <f>IF(AND(EP$5&gt;$E84,EP$5&lt;=$F84),IF(EP$5=$E84+1,$C84,""),"")</f>
        <v/>
      </c>
      <c r="EQ84" s="34">
        <f>IF(AND(EQ$5&gt;$E84,EQ$5&lt;=$F84),IF(EQ$5=$E84+1,$C84,""),"")</f>
        <v/>
      </c>
    </row>
    <row r="85">
      <c r="A85" s="32">
        <f>Plan!A85</f>
        <v/>
      </c>
      <c r="B85" s="33">
        <f>Plan!C85</f>
        <v/>
      </c>
      <c r="C85" s="16">
        <f>Plan!D85</f>
        <v/>
      </c>
      <c r="D85" s="16">
        <f>Plan!I85</f>
        <v/>
      </c>
      <c r="E85" s="16">
        <f>Plan!K85</f>
        <v/>
      </c>
      <c r="F85" s="16">
        <f>Plan!L85</f>
        <v/>
      </c>
      <c r="G85" s="16">
        <f>Plan!O85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c r="DX85" s="34">
        <f>IF(AND(DX$5&gt;$E85,DX$5&lt;=$F85),IF(DX$5=$E85+1,$C85,""),"")</f>
        <v/>
      </c>
      <c r="DY85" s="34">
        <f>IF(AND(DY$5&gt;$E85,DY$5&lt;=$F85),IF(DY$5=$E85+1,$C85,""),"")</f>
        <v/>
      </c>
      <c r="DZ85" s="34">
        <f>IF(AND(DZ$5&gt;$E85,DZ$5&lt;=$F85),IF(DZ$5=$E85+1,$C85,""),"")</f>
        <v/>
      </c>
      <c r="EA85" s="34">
        <f>IF(AND(EA$5&gt;$E85,EA$5&lt;=$F85),IF(EA$5=$E85+1,$C85,""),"")</f>
        <v/>
      </c>
      <c r="EB85" s="34">
        <f>IF(AND(EB$5&gt;$E85,EB$5&lt;=$F85),IF(EB$5=$E85+1,$C85,""),"")</f>
        <v/>
      </c>
      <c r="EC85" s="34">
        <f>IF(AND(EC$5&gt;$E85,EC$5&lt;=$F85),IF(EC$5=$E85+1,$C85,""),"")</f>
        <v/>
      </c>
      <c r="ED85" s="34">
        <f>IF(AND(ED$5&gt;$E85,ED$5&lt;=$F85),IF(ED$5=$E85+1,$C85,""),"")</f>
        <v/>
      </c>
      <c r="EE85" s="34">
        <f>IF(AND(EE$5&gt;$E85,EE$5&lt;=$F85),IF(EE$5=$E85+1,$C85,""),"")</f>
        <v/>
      </c>
      <c r="EF85" s="34">
        <f>IF(AND(EF$5&gt;$E85,EF$5&lt;=$F85),IF(EF$5=$E85+1,$C85,""),"")</f>
        <v/>
      </c>
      <c r="EG85" s="34">
        <f>IF(AND(EG$5&gt;$E85,EG$5&lt;=$F85),IF(EG$5=$E85+1,$C85,""),"")</f>
        <v/>
      </c>
      <c r="EH85" s="34">
        <f>IF(AND(EH$5&gt;$E85,EH$5&lt;=$F85),IF(EH$5=$E85+1,$C85,""),"")</f>
        <v/>
      </c>
      <c r="EI85" s="34">
        <f>IF(AND(EI$5&gt;$E85,EI$5&lt;=$F85),IF(EI$5=$E85+1,$C85,""),"")</f>
        <v/>
      </c>
      <c r="EJ85" s="34">
        <f>IF(AND(EJ$5&gt;$E85,EJ$5&lt;=$F85),IF(EJ$5=$E85+1,$C85,""),"")</f>
        <v/>
      </c>
      <c r="EK85" s="34">
        <f>IF(AND(EK$5&gt;$E85,EK$5&lt;=$F85),IF(EK$5=$E85+1,$C85,""),"")</f>
        <v/>
      </c>
      <c r="EL85" s="34">
        <f>IF(AND(EL$5&gt;$E85,EL$5&lt;=$F85),IF(EL$5=$E85+1,$C85,""),"")</f>
        <v/>
      </c>
      <c r="EM85" s="34">
        <f>IF(AND(EM$5&gt;$E85,EM$5&lt;=$F85),IF(EM$5=$E85+1,$C85,""),"")</f>
        <v/>
      </c>
      <c r="EN85" s="34">
        <f>IF(AND(EN$5&gt;$E85,EN$5&lt;=$F85),IF(EN$5=$E85+1,$C85,""),"")</f>
        <v/>
      </c>
      <c r="EO85" s="34">
        <f>IF(AND(EO$5&gt;$E85,EO$5&lt;=$F85),IF(EO$5=$E85+1,$C85,""),"")</f>
        <v/>
      </c>
      <c r="EP85" s="34">
        <f>IF(AND(EP$5&gt;$E85,EP$5&lt;=$F85),IF(EP$5=$E85+1,$C85,""),"")</f>
        <v/>
      </c>
      <c r="EQ85" s="34">
        <f>IF(AND(EQ$5&gt;$E85,EQ$5&lt;=$F85),IF(EQ$5=$E85+1,$C85,""),"")</f>
        <v/>
      </c>
    </row>
    <row r="86">
      <c r="A86" s="32">
        <f>Plan!A86</f>
        <v/>
      </c>
      <c r="B86" s="33">
        <f>Plan!C86</f>
        <v/>
      </c>
      <c r="C86" s="16">
        <f>Plan!D86</f>
        <v/>
      </c>
      <c r="D86" s="16">
        <f>Plan!I86</f>
        <v/>
      </c>
      <c r="E86" s="16">
        <f>Plan!K86</f>
        <v/>
      </c>
      <c r="F86" s="16">
        <f>Plan!L86</f>
        <v/>
      </c>
      <c r="G86" s="16">
        <f>Plan!O86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c r="DX86" s="34">
        <f>IF(AND(DX$5&gt;$E86,DX$5&lt;=$F86),IF(DX$5=$E86+1,$C86,""),"")</f>
        <v/>
      </c>
      <c r="DY86" s="34">
        <f>IF(AND(DY$5&gt;$E86,DY$5&lt;=$F86),IF(DY$5=$E86+1,$C86,""),"")</f>
        <v/>
      </c>
      <c r="DZ86" s="34">
        <f>IF(AND(DZ$5&gt;$E86,DZ$5&lt;=$F86),IF(DZ$5=$E86+1,$C86,""),"")</f>
        <v/>
      </c>
      <c r="EA86" s="34">
        <f>IF(AND(EA$5&gt;$E86,EA$5&lt;=$F86),IF(EA$5=$E86+1,$C86,""),"")</f>
        <v/>
      </c>
      <c r="EB86" s="34">
        <f>IF(AND(EB$5&gt;$E86,EB$5&lt;=$F86),IF(EB$5=$E86+1,$C86,""),"")</f>
        <v/>
      </c>
      <c r="EC86" s="34">
        <f>IF(AND(EC$5&gt;$E86,EC$5&lt;=$F86),IF(EC$5=$E86+1,$C86,""),"")</f>
        <v/>
      </c>
      <c r="ED86" s="34">
        <f>IF(AND(ED$5&gt;$E86,ED$5&lt;=$F86),IF(ED$5=$E86+1,$C86,""),"")</f>
        <v/>
      </c>
      <c r="EE86" s="34">
        <f>IF(AND(EE$5&gt;$E86,EE$5&lt;=$F86),IF(EE$5=$E86+1,$C86,""),"")</f>
        <v/>
      </c>
      <c r="EF86" s="34">
        <f>IF(AND(EF$5&gt;$E86,EF$5&lt;=$F86),IF(EF$5=$E86+1,$C86,""),"")</f>
        <v/>
      </c>
      <c r="EG86" s="34">
        <f>IF(AND(EG$5&gt;$E86,EG$5&lt;=$F86),IF(EG$5=$E86+1,$C86,""),"")</f>
        <v/>
      </c>
      <c r="EH86" s="34">
        <f>IF(AND(EH$5&gt;$E86,EH$5&lt;=$F86),IF(EH$5=$E86+1,$C86,""),"")</f>
        <v/>
      </c>
      <c r="EI86" s="34">
        <f>IF(AND(EI$5&gt;$E86,EI$5&lt;=$F86),IF(EI$5=$E86+1,$C86,""),"")</f>
        <v/>
      </c>
      <c r="EJ86" s="34">
        <f>IF(AND(EJ$5&gt;$E86,EJ$5&lt;=$F86),IF(EJ$5=$E86+1,$C86,""),"")</f>
        <v/>
      </c>
      <c r="EK86" s="34">
        <f>IF(AND(EK$5&gt;$E86,EK$5&lt;=$F86),IF(EK$5=$E86+1,$C86,""),"")</f>
        <v/>
      </c>
      <c r="EL86" s="34">
        <f>IF(AND(EL$5&gt;$E86,EL$5&lt;=$F86),IF(EL$5=$E86+1,$C86,""),"")</f>
        <v/>
      </c>
      <c r="EM86" s="34">
        <f>IF(AND(EM$5&gt;$E86,EM$5&lt;=$F86),IF(EM$5=$E86+1,$C86,""),"")</f>
        <v/>
      </c>
      <c r="EN86" s="34">
        <f>IF(AND(EN$5&gt;$E86,EN$5&lt;=$F86),IF(EN$5=$E86+1,$C86,""),"")</f>
        <v/>
      </c>
      <c r="EO86" s="34">
        <f>IF(AND(EO$5&gt;$E86,EO$5&lt;=$F86),IF(EO$5=$E86+1,$C86,""),"")</f>
        <v/>
      </c>
      <c r="EP86" s="34">
        <f>IF(AND(EP$5&gt;$E86,EP$5&lt;=$F86),IF(EP$5=$E86+1,$C86,""),"")</f>
        <v/>
      </c>
      <c r="EQ86" s="34">
        <f>IF(AND(EQ$5&gt;$E86,EQ$5&lt;=$F86),IF(EQ$5=$E86+1,$C86,""),"")</f>
        <v/>
      </c>
    </row>
    <row r="87">
      <c r="A87" s="32">
        <f>Plan!A91</f>
        <v/>
      </c>
      <c r="B87" s="33">
        <f>Plan!C91</f>
        <v/>
      </c>
      <c r="C87" s="16">
        <f>Plan!D91</f>
        <v/>
      </c>
      <c r="D87" s="16">
        <f>Plan!I91</f>
        <v/>
      </c>
      <c r="E87" s="16">
        <f>Plan!K91</f>
        <v/>
      </c>
      <c r="F87" s="16">
        <f>Plan!L91</f>
        <v/>
      </c>
      <c r="G87" s="16">
        <f>Plan!O91</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c r="DD87" s="34">
        <f>IF(AND(DD$5&gt;$E87,DD$5&lt;=$F87),IF(DD$5=$E87+1,$C87,""),"")</f>
        <v/>
      </c>
      <c r="DE87" s="34">
        <f>IF(AND(DE$5&gt;$E87,DE$5&lt;=$F87),IF(DE$5=$E87+1,$C87,""),"")</f>
        <v/>
      </c>
      <c r="DF87" s="34">
        <f>IF(AND(DF$5&gt;$E87,DF$5&lt;=$F87),IF(DF$5=$E87+1,$C87,""),"")</f>
        <v/>
      </c>
      <c r="DG87" s="34">
        <f>IF(AND(DG$5&gt;$E87,DG$5&lt;=$F87),IF(DG$5=$E87+1,$C87,""),"")</f>
        <v/>
      </c>
      <c r="DH87" s="34">
        <f>IF(AND(DH$5&gt;$E87,DH$5&lt;=$F87),IF(DH$5=$E87+1,$C87,""),"")</f>
        <v/>
      </c>
      <c r="DI87" s="34">
        <f>IF(AND(DI$5&gt;$E87,DI$5&lt;=$F87),IF(DI$5=$E87+1,$C87,""),"")</f>
        <v/>
      </c>
      <c r="DJ87" s="34">
        <f>IF(AND(DJ$5&gt;$E87,DJ$5&lt;=$F87),IF(DJ$5=$E87+1,$C87,""),"")</f>
        <v/>
      </c>
      <c r="DK87" s="34">
        <f>IF(AND(DK$5&gt;$E87,DK$5&lt;=$F87),IF(DK$5=$E87+1,$C87,""),"")</f>
        <v/>
      </c>
      <c r="DL87" s="34">
        <f>IF(AND(DL$5&gt;$E87,DL$5&lt;=$F87),IF(DL$5=$E87+1,$C87,""),"")</f>
        <v/>
      </c>
      <c r="DM87" s="34">
        <f>IF(AND(DM$5&gt;$E87,DM$5&lt;=$F87),IF(DM$5=$E87+1,$C87,""),"")</f>
        <v/>
      </c>
      <c r="DN87" s="34">
        <f>IF(AND(DN$5&gt;$E87,DN$5&lt;=$F87),IF(DN$5=$E87+1,$C87,""),"")</f>
        <v/>
      </c>
      <c r="DO87" s="34">
        <f>IF(AND(DO$5&gt;$E87,DO$5&lt;=$F87),IF(DO$5=$E87+1,$C87,""),"")</f>
        <v/>
      </c>
      <c r="DP87" s="34">
        <f>IF(AND(DP$5&gt;$E87,DP$5&lt;=$F87),IF(DP$5=$E87+1,$C87,""),"")</f>
        <v/>
      </c>
      <c r="DQ87" s="34">
        <f>IF(AND(DQ$5&gt;$E87,DQ$5&lt;=$F87),IF(DQ$5=$E87+1,$C87,""),"")</f>
        <v/>
      </c>
      <c r="DR87" s="34">
        <f>IF(AND(DR$5&gt;$E87,DR$5&lt;=$F87),IF(DR$5=$E87+1,$C87,""),"")</f>
        <v/>
      </c>
      <c r="DS87" s="34">
        <f>IF(AND(DS$5&gt;$E87,DS$5&lt;=$F87),IF(DS$5=$E87+1,$C87,""),"")</f>
        <v/>
      </c>
      <c r="DT87" s="34">
        <f>IF(AND(DT$5&gt;$E87,DT$5&lt;=$F87),IF(DT$5=$E87+1,$C87,""),"")</f>
        <v/>
      </c>
      <c r="DU87" s="34">
        <f>IF(AND(DU$5&gt;$E87,DU$5&lt;=$F87),IF(DU$5=$E87+1,$C87,""),"")</f>
        <v/>
      </c>
      <c r="DV87" s="34">
        <f>IF(AND(DV$5&gt;$E87,DV$5&lt;=$F87),IF(DV$5=$E87+1,$C87,""),"")</f>
        <v/>
      </c>
      <c r="DW87" s="34">
        <f>IF(AND(DW$5&gt;$E87,DW$5&lt;=$F87),IF(DW$5=$E87+1,$C87,""),"")</f>
        <v/>
      </c>
      <c r="DX87" s="34">
        <f>IF(AND(DX$5&gt;$E87,DX$5&lt;=$F87),IF(DX$5=$E87+1,$C87,""),"")</f>
        <v/>
      </c>
      <c r="DY87" s="34">
        <f>IF(AND(DY$5&gt;$E87,DY$5&lt;=$F87),IF(DY$5=$E87+1,$C87,""),"")</f>
        <v/>
      </c>
      <c r="DZ87" s="34">
        <f>IF(AND(DZ$5&gt;$E87,DZ$5&lt;=$F87),IF(DZ$5=$E87+1,$C87,""),"")</f>
        <v/>
      </c>
      <c r="EA87" s="34">
        <f>IF(AND(EA$5&gt;$E87,EA$5&lt;=$F87),IF(EA$5=$E87+1,$C87,""),"")</f>
        <v/>
      </c>
      <c r="EB87" s="34">
        <f>IF(AND(EB$5&gt;$E87,EB$5&lt;=$F87),IF(EB$5=$E87+1,$C87,""),"")</f>
        <v/>
      </c>
      <c r="EC87" s="34">
        <f>IF(AND(EC$5&gt;$E87,EC$5&lt;=$F87),IF(EC$5=$E87+1,$C87,""),"")</f>
        <v/>
      </c>
      <c r="ED87" s="34">
        <f>IF(AND(ED$5&gt;$E87,ED$5&lt;=$F87),IF(ED$5=$E87+1,$C87,""),"")</f>
        <v/>
      </c>
      <c r="EE87" s="34">
        <f>IF(AND(EE$5&gt;$E87,EE$5&lt;=$F87),IF(EE$5=$E87+1,$C87,""),"")</f>
        <v/>
      </c>
      <c r="EF87" s="34">
        <f>IF(AND(EF$5&gt;$E87,EF$5&lt;=$F87),IF(EF$5=$E87+1,$C87,""),"")</f>
        <v/>
      </c>
      <c r="EG87" s="34">
        <f>IF(AND(EG$5&gt;$E87,EG$5&lt;=$F87),IF(EG$5=$E87+1,$C87,""),"")</f>
        <v/>
      </c>
      <c r="EH87" s="34">
        <f>IF(AND(EH$5&gt;$E87,EH$5&lt;=$F87),IF(EH$5=$E87+1,$C87,""),"")</f>
        <v/>
      </c>
      <c r="EI87" s="34">
        <f>IF(AND(EI$5&gt;$E87,EI$5&lt;=$F87),IF(EI$5=$E87+1,$C87,""),"")</f>
        <v/>
      </c>
      <c r="EJ87" s="34">
        <f>IF(AND(EJ$5&gt;$E87,EJ$5&lt;=$F87),IF(EJ$5=$E87+1,$C87,""),"")</f>
        <v/>
      </c>
      <c r="EK87" s="34">
        <f>IF(AND(EK$5&gt;$E87,EK$5&lt;=$F87),IF(EK$5=$E87+1,$C87,""),"")</f>
        <v/>
      </c>
      <c r="EL87" s="34">
        <f>IF(AND(EL$5&gt;$E87,EL$5&lt;=$F87),IF(EL$5=$E87+1,$C87,""),"")</f>
        <v/>
      </c>
      <c r="EM87" s="34">
        <f>IF(AND(EM$5&gt;$E87,EM$5&lt;=$F87),IF(EM$5=$E87+1,$C87,""),"")</f>
        <v/>
      </c>
      <c r="EN87" s="34">
        <f>IF(AND(EN$5&gt;$E87,EN$5&lt;=$F87),IF(EN$5=$E87+1,$C87,""),"")</f>
        <v/>
      </c>
      <c r="EO87" s="34">
        <f>IF(AND(EO$5&gt;$E87,EO$5&lt;=$F87),IF(EO$5=$E87+1,$C87,""),"")</f>
        <v/>
      </c>
      <c r="EP87" s="34">
        <f>IF(AND(EP$5&gt;$E87,EP$5&lt;=$F87),IF(EP$5=$E87+1,$C87,""),"")</f>
        <v/>
      </c>
      <c r="EQ87" s="34">
        <f>IF(AND(EQ$5&gt;$E87,EQ$5&lt;=$F87),IF(EQ$5=$E87+1,$C87,""),"")</f>
        <v/>
      </c>
    </row>
    <row r="88">
      <c r="A88" s="32">
        <f>Plan!A96</f>
        <v/>
      </c>
      <c r="B88" s="33">
        <f>Plan!C96</f>
        <v/>
      </c>
      <c r="C88" s="16">
        <f>Plan!D96</f>
        <v/>
      </c>
      <c r="D88" s="16">
        <f>Plan!I96</f>
        <v/>
      </c>
      <c r="E88" s="16">
        <f>Plan!K96</f>
        <v/>
      </c>
      <c r="F88" s="16">
        <f>Plan!L96</f>
        <v/>
      </c>
      <c r="G88" s="16">
        <f>Plan!O96</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c r="DX88" s="34">
        <f>IF(AND(DX$5&gt;$E88,DX$5&lt;=$F88),IF(DX$5=$E88+1,$C88,""),"")</f>
        <v/>
      </c>
      <c r="DY88" s="34">
        <f>IF(AND(DY$5&gt;$E88,DY$5&lt;=$F88),IF(DY$5=$E88+1,$C88,""),"")</f>
        <v/>
      </c>
      <c r="DZ88" s="34">
        <f>IF(AND(DZ$5&gt;$E88,DZ$5&lt;=$F88),IF(DZ$5=$E88+1,$C88,""),"")</f>
        <v/>
      </c>
      <c r="EA88" s="34">
        <f>IF(AND(EA$5&gt;$E88,EA$5&lt;=$F88),IF(EA$5=$E88+1,$C88,""),"")</f>
        <v/>
      </c>
      <c r="EB88" s="34">
        <f>IF(AND(EB$5&gt;$E88,EB$5&lt;=$F88),IF(EB$5=$E88+1,$C88,""),"")</f>
        <v/>
      </c>
      <c r="EC88" s="34">
        <f>IF(AND(EC$5&gt;$E88,EC$5&lt;=$F88),IF(EC$5=$E88+1,$C88,""),"")</f>
        <v/>
      </c>
      <c r="ED88" s="34">
        <f>IF(AND(ED$5&gt;$E88,ED$5&lt;=$F88),IF(ED$5=$E88+1,$C88,""),"")</f>
        <v/>
      </c>
      <c r="EE88" s="34">
        <f>IF(AND(EE$5&gt;$E88,EE$5&lt;=$F88),IF(EE$5=$E88+1,$C88,""),"")</f>
        <v/>
      </c>
      <c r="EF88" s="34">
        <f>IF(AND(EF$5&gt;$E88,EF$5&lt;=$F88),IF(EF$5=$E88+1,$C88,""),"")</f>
        <v/>
      </c>
      <c r="EG88" s="34">
        <f>IF(AND(EG$5&gt;$E88,EG$5&lt;=$F88),IF(EG$5=$E88+1,$C88,""),"")</f>
        <v/>
      </c>
      <c r="EH88" s="34">
        <f>IF(AND(EH$5&gt;$E88,EH$5&lt;=$F88),IF(EH$5=$E88+1,$C88,""),"")</f>
        <v/>
      </c>
      <c r="EI88" s="34">
        <f>IF(AND(EI$5&gt;$E88,EI$5&lt;=$F88),IF(EI$5=$E88+1,$C88,""),"")</f>
        <v/>
      </c>
      <c r="EJ88" s="34">
        <f>IF(AND(EJ$5&gt;$E88,EJ$5&lt;=$F88),IF(EJ$5=$E88+1,$C88,""),"")</f>
        <v/>
      </c>
      <c r="EK88" s="34">
        <f>IF(AND(EK$5&gt;$E88,EK$5&lt;=$F88),IF(EK$5=$E88+1,$C88,""),"")</f>
        <v/>
      </c>
      <c r="EL88" s="34">
        <f>IF(AND(EL$5&gt;$E88,EL$5&lt;=$F88),IF(EL$5=$E88+1,$C88,""),"")</f>
        <v/>
      </c>
      <c r="EM88" s="34">
        <f>IF(AND(EM$5&gt;$E88,EM$5&lt;=$F88),IF(EM$5=$E88+1,$C88,""),"")</f>
        <v/>
      </c>
      <c r="EN88" s="34">
        <f>IF(AND(EN$5&gt;$E88,EN$5&lt;=$F88),IF(EN$5=$E88+1,$C88,""),"")</f>
        <v/>
      </c>
      <c r="EO88" s="34">
        <f>IF(AND(EO$5&gt;$E88,EO$5&lt;=$F88),IF(EO$5=$E88+1,$C88,""),"")</f>
        <v/>
      </c>
      <c r="EP88" s="34">
        <f>IF(AND(EP$5&gt;$E88,EP$5&lt;=$F88),IF(EP$5=$E88+1,$C88,""),"")</f>
        <v/>
      </c>
      <c r="EQ88" s="34">
        <f>IF(AND(EQ$5&gt;$E88,EQ$5&lt;=$F88),IF(EQ$5=$E88+1,$C88,""),"")</f>
        <v/>
      </c>
    </row>
    <row r="89">
      <c r="A89" s="32">
        <f>Plan!A97</f>
        <v/>
      </c>
      <c r="B89" s="33">
        <f>Plan!C97</f>
        <v/>
      </c>
      <c r="C89" s="16">
        <f>Plan!D97</f>
        <v/>
      </c>
      <c r="D89" s="16">
        <f>Plan!I97</f>
        <v/>
      </c>
      <c r="E89" s="16">
        <f>Plan!K97</f>
        <v/>
      </c>
      <c r="F89" s="16">
        <f>Plan!L97</f>
        <v/>
      </c>
      <c r="G89" s="16">
        <f>Plan!O97</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c r="DX89" s="34">
        <f>IF(AND(DX$5&gt;$E89,DX$5&lt;=$F89),IF(DX$5=$E89+1,$C89,""),"")</f>
        <v/>
      </c>
      <c r="DY89" s="34">
        <f>IF(AND(DY$5&gt;$E89,DY$5&lt;=$F89),IF(DY$5=$E89+1,$C89,""),"")</f>
        <v/>
      </c>
      <c r="DZ89" s="34">
        <f>IF(AND(DZ$5&gt;$E89,DZ$5&lt;=$F89),IF(DZ$5=$E89+1,$C89,""),"")</f>
        <v/>
      </c>
      <c r="EA89" s="34">
        <f>IF(AND(EA$5&gt;$E89,EA$5&lt;=$F89),IF(EA$5=$E89+1,$C89,""),"")</f>
        <v/>
      </c>
      <c r="EB89" s="34">
        <f>IF(AND(EB$5&gt;$E89,EB$5&lt;=$F89),IF(EB$5=$E89+1,$C89,""),"")</f>
        <v/>
      </c>
      <c r="EC89" s="34">
        <f>IF(AND(EC$5&gt;$E89,EC$5&lt;=$F89),IF(EC$5=$E89+1,$C89,""),"")</f>
        <v/>
      </c>
      <c r="ED89" s="34">
        <f>IF(AND(ED$5&gt;$E89,ED$5&lt;=$F89),IF(ED$5=$E89+1,$C89,""),"")</f>
        <v/>
      </c>
      <c r="EE89" s="34">
        <f>IF(AND(EE$5&gt;$E89,EE$5&lt;=$F89),IF(EE$5=$E89+1,$C89,""),"")</f>
        <v/>
      </c>
      <c r="EF89" s="34">
        <f>IF(AND(EF$5&gt;$E89,EF$5&lt;=$F89),IF(EF$5=$E89+1,$C89,""),"")</f>
        <v/>
      </c>
      <c r="EG89" s="34">
        <f>IF(AND(EG$5&gt;$E89,EG$5&lt;=$F89),IF(EG$5=$E89+1,$C89,""),"")</f>
        <v/>
      </c>
      <c r="EH89" s="34">
        <f>IF(AND(EH$5&gt;$E89,EH$5&lt;=$F89),IF(EH$5=$E89+1,$C89,""),"")</f>
        <v/>
      </c>
      <c r="EI89" s="34">
        <f>IF(AND(EI$5&gt;$E89,EI$5&lt;=$F89),IF(EI$5=$E89+1,$C89,""),"")</f>
        <v/>
      </c>
      <c r="EJ89" s="34">
        <f>IF(AND(EJ$5&gt;$E89,EJ$5&lt;=$F89),IF(EJ$5=$E89+1,$C89,""),"")</f>
        <v/>
      </c>
      <c r="EK89" s="34">
        <f>IF(AND(EK$5&gt;$E89,EK$5&lt;=$F89),IF(EK$5=$E89+1,$C89,""),"")</f>
        <v/>
      </c>
      <c r="EL89" s="34">
        <f>IF(AND(EL$5&gt;$E89,EL$5&lt;=$F89),IF(EL$5=$E89+1,$C89,""),"")</f>
        <v/>
      </c>
      <c r="EM89" s="34">
        <f>IF(AND(EM$5&gt;$E89,EM$5&lt;=$F89),IF(EM$5=$E89+1,$C89,""),"")</f>
        <v/>
      </c>
      <c r="EN89" s="34">
        <f>IF(AND(EN$5&gt;$E89,EN$5&lt;=$F89),IF(EN$5=$E89+1,$C89,""),"")</f>
        <v/>
      </c>
      <c r="EO89" s="34">
        <f>IF(AND(EO$5&gt;$E89,EO$5&lt;=$F89),IF(EO$5=$E89+1,$C89,""),"")</f>
        <v/>
      </c>
      <c r="EP89" s="34">
        <f>IF(AND(EP$5&gt;$E89,EP$5&lt;=$F89),IF(EP$5=$E89+1,$C89,""),"")</f>
        <v/>
      </c>
      <c r="EQ89" s="34">
        <f>IF(AND(EQ$5&gt;$E89,EQ$5&lt;=$F89),IF(EQ$5=$E89+1,$C89,""),"")</f>
        <v/>
      </c>
    </row>
    <row r="90">
      <c r="A90" s="32">
        <f>Plan!A98</f>
        <v/>
      </c>
      <c r="B90" s="33">
        <f>Plan!C98</f>
        <v/>
      </c>
      <c r="C90" s="16">
        <f>Plan!D98</f>
        <v/>
      </c>
      <c r="D90" s="16">
        <f>Plan!I98</f>
        <v/>
      </c>
      <c r="E90" s="16">
        <f>Plan!K98</f>
        <v/>
      </c>
      <c r="F90" s="16">
        <f>Plan!L98</f>
        <v/>
      </c>
      <c r="G90" s="16">
        <f>Plan!O98</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c r="DX90" s="34">
        <f>IF(AND(DX$5&gt;$E90,DX$5&lt;=$F90),IF(DX$5=$E90+1,$C90,""),"")</f>
        <v/>
      </c>
      <c r="DY90" s="34">
        <f>IF(AND(DY$5&gt;$E90,DY$5&lt;=$F90),IF(DY$5=$E90+1,$C90,""),"")</f>
        <v/>
      </c>
      <c r="DZ90" s="34">
        <f>IF(AND(DZ$5&gt;$E90,DZ$5&lt;=$F90),IF(DZ$5=$E90+1,$C90,""),"")</f>
        <v/>
      </c>
      <c r="EA90" s="34">
        <f>IF(AND(EA$5&gt;$E90,EA$5&lt;=$F90),IF(EA$5=$E90+1,$C90,""),"")</f>
        <v/>
      </c>
      <c r="EB90" s="34">
        <f>IF(AND(EB$5&gt;$E90,EB$5&lt;=$F90),IF(EB$5=$E90+1,$C90,""),"")</f>
        <v/>
      </c>
      <c r="EC90" s="34">
        <f>IF(AND(EC$5&gt;$E90,EC$5&lt;=$F90),IF(EC$5=$E90+1,$C90,""),"")</f>
        <v/>
      </c>
      <c r="ED90" s="34">
        <f>IF(AND(ED$5&gt;$E90,ED$5&lt;=$F90),IF(ED$5=$E90+1,$C90,""),"")</f>
        <v/>
      </c>
      <c r="EE90" s="34">
        <f>IF(AND(EE$5&gt;$E90,EE$5&lt;=$F90),IF(EE$5=$E90+1,$C90,""),"")</f>
        <v/>
      </c>
      <c r="EF90" s="34">
        <f>IF(AND(EF$5&gt;$E90,EF$5&lt;=$F90),IF(EF$5=$E90+1,$C90,""),"")</f>
        <v/>
      </c>
      <c r="EG90" s="34">
        <f>IF(AND(EG$5&gt;$E90,EG$5&lt;=$F90),IF(EG$5=$E90+1,$C90,""),"")</f>
        <v/>
      </c>
      <c r="EH90" s="34">
        <f>IF(AND(EH$5&gt;$E90,EH$5&lt;=$F90),IF(EH$5=$E90+1,$C90,""),"")</f>
        <v/>
      </c>
      <c r="EI90" s="34">
        <f>IF(AND(EI$5&gt;$E90,EI$5&lt;=$F90),IF(EI$5=$E90+1,$C90,""),"")</f>
        <v/>
      </c>
      <c r="EJ90" s="34">
        <f>IF(AND(EJ$5&gt;$E90,EJ$5&lt;=$F90),IF(EJ$5=$E90+1,$C90,""),"")</f>
        <v/>
      </c>
      <c r="EK90" s="34">
        <f>IF(AND(EK$5&gt;$E90,EK$5&lt;=$F90),IF(EK$5=$E90+1,$C90,""),"")</f>
        <v/>
      </c>
      <c r="EL90" s="34">
        <f>IF(AND(EL$5&gt;$E90,EL$5&lt;=$F90),IF(EL$5=$E90+1,$C90,""),"")</f>
        <v/>
      </c>
      <c r="EM90" s="34">
        <f>IF(AND(EM$5&gt;$E90,EM$5&lt;=$F90),IF(EM$5=$E90+1,$C90,""),"")</f>
        <v/>
      </c>
      <c r="EN90" s="34">
        <f>IF(AND(EN$5&gt;$E90,EN$5&lt;=$F90),IF(EN$5=$E90+1,$C90,""),"")</f>
        <v/>
      </c>
      <c r="EO90" s="34">
        <f>IF(AND(EO$5&gt;$E90,EO$5&lt;=$F90),IF(EO$5=$E90+1,$C90,""),"")</f>
        <v/>
      </c>
      <c r="EP90" s="34">
        <f>IF(AND(EP$5&gt;$E90,EP$5&lt;=$F90),IF(EP$5=$E90+1,$C90,""),"")</f>
        <v/>
      </c>
      <c r="EQ90" s="34">
        <f>IF(AND(EQ$5&gt;$E90,EQ$5&lt;=$F90),IF(EQ$5=$E90+1,$C90,""),"")</f>
        <v/>
      </c>
    </row>
    <row r="91">
      <c r="A91" s="32">
        <f>Plan!A105</f>
        <v/>
      </c>
      <c r="B91" s="33">
        <f>Plan!C105</f>
        <v/>
      </c>
      <c r="C91" s="16">
        <f>Plan!D105</f>
        <v/>
      </c>
      <c r="D91" s="16">
        <f>Plan!I105</f>
        <v/>
      </c>
      <c r="E91" s="16">
        <f>Plan!K105</f>
        <v/>
      </c>
      <c r="F91" s="16">
        <f>Plan!L105</f>
        <v/>
      </c>
      <c r="G91" s="16">
        <f>Plan!O105</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c r="DX91" s="34">
        <f>IF(AND(DX$5&gt;$E91,DX$5&lt;=$F91),IF(DX$5=$E91+1,$C91,""),"")</f>
        <v/>
      </c>
      <c r="DY91" s="34">
        <f>IF(AND(DY$5&gt;$E91,DY$5&lt;=$F91),IF(DY$5=$E91+1,$C91,""),"")</f>
        <v/>
      </c>
      <c r="DZ91" s="34">
        <f>IF(AND(DZ$5&gt;$E91,DZ$5&lt;=$F91),IF(DZ$5=$E91+1,$C91,""),"")</f>
        <v/>
      </c>
      <c r="EA91" s="34">
        <f>IF(AND(EA$5&gt;$E91,EA$5&lt;=$F91),IF(EA$5=$E91+1,$C91,""),"")</f>
        <v/>
      </c>
      <c r="EB91" s="34">
        <f>IF(AND(EB$5&gt;$E91,EB$5&lt;=$F91),IF(EB$5=$E91+1,$C91,""),"")</f>
        <v/>
      </c>
      <c r="EC91" s="34">
        <f>IF(AND(EC$5&gt;$E91,EC$5&lt;=$F91),IF(EC$5=$E91+1,$C91,""),"")</f>
        <v/>
      </c>
      <c r="ED91" s="34">
        <f>IF(AND(ED$5&gt;$E91,ED$5&lt;=$F91),IF(ED$5=$E91+1,$C91,""),"")</f>
        <v/>
      </c>
      <c r="EE91" s="34">
        <f>IF(AND(EE$5&gt;$E91,EE$5&lt;=$F91),IF(EE$5=$E91+1,$C91,""),"")</f>
        <v/>
      </c>
      <c r="EF91" s="34">
        <f>IF(AND(EF$5&gt;$E91,EF$5&lt;=$F91),IF(EF$5=$E91+1,$C91,""),"")</f>
        <v/>
      </c>
      <c r="EG91" s="34">
        <f>IF(AND(EG$5&gt;$E91,EG$5&lt;=$F91),IF(EG$5=$E91+1,$C91,""),"")</f>
        <v/>
      </c>
      <c r="EH91" s="34">
        <f>IF(AND(EH$5&gt;$E91,EH$5&lt;=$F91),IF(EH$5=$E91+1,$C91,""),"")</f>
        <v/>
      </c>
      <c r="EI91" s="34">
        <f>IF(AND(EI$5&gt;$E91,EI$5&lt;=$F91),IF(EI$5=$E91+1,$C91,""),"")</f>
        <v/>
      </c>
      <c r="EJ91" s="34">
        <f>IF(AND(EJ$5&gt;$E91,EJ$5&lt;=$F91),IF(EJ$5=$E91+1,$C91,""),"")</f>
        <v/>
      </c>
      <c r="EK91" s="34">
        <f>IF(AND(EK$5&gt;$E91,EK$5&lt;=$F91),IF(EK$5=$E91+1,$C91,""),"")</f>
        <v/>
      </c>
      <c r="EL91" s="34">
        <f>IF(AND(EL$5&gt;$E91,EL$5&lt;=$F91),IF(EL$5=$E91+1,$C91,""),"")</f>
        <v/>
      </c>
      <c r="EM91" s="34">
        <f>IF(AND(EM$5&gt;$E91,EM$5&lt;=$F91),IF(EM$5=$E91+1,$C91,""),"")</f>
        <v/>
      </c>
      <c r="EN91" s="34">
        <f>IF(AND(EN$5&gt;$E91,EN$5&lt;=$F91),IF(EN$5=$E91+1,$C91,""),"")</f>
        <v/>
      </c>
      <c r="EO91" s="34">
        <f>IF(AND(EO$5&gt;$E91,EO$5&lt;=$F91),IF(EO$5=$E91+1,$C91,""),"")</f>
        <v/>
      </c>
      <c r="EP91" s="34">
        <f>IF(AND(EP$5&gt;$E91,EP$5&lt;=$F91),IF(EP$5=$E91+1,$C91,""),"")</f>
        <v/>
      </c>
      <c r="EQ91" s="34">
        <f>IF(AND(EQ$5&gt;$E91,EQ$5&lt;=$F91),IF(EQ$5=$E91+1,$C91,""),"")</f>
        <v/>
      </c>
    </row>
    <row r="92">
      <c r="A92" s="32">
        <f>Plan!A106</f>
        <v/>
      </c>
      <c r="B92" s="33">
        <f>Plan!C106</f>
        <v/>
      </c>
      <c r="C92" s="16">
        <f>Plan!D106</f>
        <v/>
      </c>
      <c r="D92" s="16">
        <f>Plan!I106</f>
        <v/>
      </c>
      <c r="E92" s="16">
        <f>Plan!K106</f>
        <v/>
      </c>
      <c r="F92" s="16">
        <f>Plan!L106</f>
        <v/>
      </c>
      <c r="G92" s="16">
        <f>Plan!O106</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c r="DX92" s="34">
        <f>IF(AND(DX$5&gt;$E92,DX$5&lt;=$F92),IF(DX$5=$E92+1,$C92,""),"")</f>
        <v/>
      </c>
      <c r="DY92" s="34">
        <f>IF(AND(DY$5&gt;$E92,DY$5&lt;=$F92),IF(DY$5=$E92+1,$C92,""),"")</f>
        <v/>
      </c>
      <c r="DZ92" s="34">
        <f>IF(AND(DZ$5&gt;$E92,DZ$5&lt;=$F92),IF(DZ$5=$E92+1,$C92,""),"")</f>
        <v/>
      </c>
      <c r="EA92" s="34">
        <f>IF(AND(EA$5&gt;$E92,EA$5&lt;=$F92),IF(EA$5=$E92+1,$C92,""),"")</f>
        <v/>
      </c>
      <c r="EB92" s="34">
        <f>IF(AND(EB$5&gt;$E92,EB$5&lt;=$F92),IF(EB$5=$E92+1,$C92,""),"")</f>
        <v/>
      </c>
      <c r="EC92" s="34">
        <f>IF(AND(EC$5&gt;$E92,EC$5&lt;=$F92),IF(EC$5=$E92+1,$C92,""),"")</f>
        <v/>
      </c>
      <c r="ED92" s="34">
        <f>IF(AND(ED$5&gt;$E92,ED$5&lt;=$F92),IF(ED$5=$E92+1,$C92,""),"")</f>
        <v/>
      </c>
      <c r="EE92" s="34">
        <f>IF(AND(EE$5&gt;$E92,EE$5&lt;=$F92),IF(EE$5=$E92+1,$C92,""),"")</f>
        <v/>
      </c>
      <c r="EF92" s="34">
        <f>IF(AND(EF$5&gt;$E92,EF$5&lt;=$F92),IF(EF$5=$E92+1,$C92,""),"")</f>
        <v/>
      </c>
      <c r="EG92" s="34">
        <f>IF(AND(EG$5&gt;$E92,EG$5&lt;=$F92),IF(EG$5=$E92+1,$C92,""),"")</f>
        <v/>
      </c>
      <c r="EH92" s="34">
        <f>IF(AND(EH$5&gt;$E92,EH$5&lt;=$F92),IF(EH$5=$E92+1,$C92,""),"")</f>
        <v/>
      </c>
      <c r="EI92" s="34">
        <f>IF(AND(EI$5&gt;$E92,EI$5&lt;=$F92),IF(EI$5=$E92+1,$C92,""),"")</f>
        <v/>
      </c>
      <c r="EJ92" s="34">
        <f>IF(AND(EJ$5&gt;$E92,EJ$5&lt;=$F92),IF(EJ$5=$E92+1,$C92,""),"")</f>
        <v/>
      </c>
      <c r="EK92" s="34">
        <f>IF(AND(EK$5&gt;$E92,EK$5&lt;=$F92),IF(EK$5=$E92+1,$C92,""),"")</f>
        <v/>
      </c>
      <c r="EL92" s="34">
        <f>IF(AND(EL$5&gt;$E92,EL$5&lt;=$F92),IF(EL$5=$E92+1,$C92,""),"")</f>
        <v/>
      </c>
      <c r="EM92" s="34">
        <f>IF(AND(EM$5&gt;$E92,EM$5&lt;=$F92),IF(EM$5=$E92+1,$C92,""),"")</f>
        <v/>
      </c>
      <c r="EN92" s="34">
        <f>IF(AND(EN$5&gt;$E92,EN$5&lt;=$F92),IF(EN$5=$E92+1,$C92,""),"")</f>
        <v/>
      </c>
      <c r="EO92" s="34">
        <f>IF(AND(EO$5&gt;$E92,EO$5&lt;=$F92),IF(EO$5=$E92+1,$C92,""),"")</f>
        <v/>
      </c>
      <c r="EP92" s="34">
        <f>IF(AND(EP$5&gt;$E92,EP$5&lt;=$F92),IF(EP$5=$E92+1,$C92,""),"")</f>
        <v/>
      </c>
      <c r="EQ92" s="34">
        <f>IF(AND(EQ$5&gt;$E92,EQ$5&lt;=$F92),IF(EQ$5=$E92+1,$C92,""),"")</f>
        <v/>
      </c>
    </row>
    <row r="93">
      <c r="A93" s="27" t="inlineStr">
        <is>
          <t>Fase 6. Pruebas y lanzamiento</t>
        </is>
      </c>
      <c r="B93" s="28" t="n"/>
      <c r="C93" s="28" t="n"/>
      <c r="D93" s="28" t="n"/>
      <c r="E93" s="29">
        <f>SUMPRODUCT(MIN((Plan!$B$5:$B$126="6. Pruebas y lanzamiento")*Plan!$K$5:$K$126+(Plan!$B$5:$B$126&lt;&gt;"6. Pruebas y lanzamiento")*1E9))</f>
        <v/>
      </c>
      <c r="F93" s="29">
        <f>SUMPRODUCT(MAX((Plan!$B$5:$B$126="6. Pruebas y lanzamiento")*Plan!$L$5:$L$126))</f>
        <v/>
      </c>
      <c r="G93" s="30">
        <f>Resumen!E34</f>
        <v/>
      </c>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row>
    <row r="94">
      <c r="A94" s="32">
        <f>Plan!A58</f>
        <v/>
      </c>
      <c r="B94" s="33">
        <f>Plan!C58</f>
        <v/>
      </c>
      <c r="C94" s="16">
        <f>Plan!D58</f>
        <v/>
      </c>
      <c r="D94" s="16">
        <f>Plan!I58</f>
        <v/>
      </c>
      <c r="E94" s="16">
        <f>Plan!K58</f>
        <v/>
      </c>
      <c r="F94" s="16">
        <f>Plan!L58</f>
        <v/>
      </c>
      <c r="G94" s="16">
        <f>Plan!O58</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c r="DX94" s="34">
        <f>IF(AND(DX$5&gt;$E94,DX$5&lt;=$F94),IF(DX$5=$E94+1,$C94,""),"")</f>
        <v/>
      </c>
      <c r="DY94" s="34">
        <f>IF(AND(DY$5&gt;$E94,DY$5&lt;=$F94),IF(DY$5=$E94+1,$C94,""),"")</f>
        <v/>
      </c>
      <c r="DZ94" s="34">
        <f>IF(AND(DZ$5&gt;$E94,DZ$5&lt;=$F94),IF(DZ$5=$E94+1,$C94,""),"")</f>
        <v/>
      </c>
      <c r="EA94" s="34">
        <f>IF(AND(EA$5&gt;$E94,EA$5&lt;=$F94),IF(EA$5=$E94+1,$C94,""),"")</f>
        <v/>
      </c>
      <c r="EB94" s="34">
        <f>IF(AND(EB$5&gt;$E94,EB$5&lt;=$F94),IF(EB$5=$E94+1,$C94,""),"")</f>
        <v/>
      </c>
      <c r="EC94" s="34">
        <f>IF(AND(EC$5&gt;$E94,EC$5&lt;=$F94),IF(EC$5=$E94+1,$C94,""),"")</f>
        <v/>
      </c>
      <c r="ED94" s="34">
        <f>IF(AND(ED$5&gt;$E94,ED$5&lt;=$F94),IF(ED$5=$E94+1,$C94,""),"")</f>
        <v/>
      </c>
      <c r="EE94" s="34">
        <f>IF(AND(EE$5&gt;$E94,EE$5&lt;=$F94),IF(EE$5=$E94+1,$C94,""),"")</f>
        <v/>
      </c>
      <c r="EF94" s="34">
        <f>IF(AND(EF$5&gt;$E94,EF$5&lt;=$F94),IF(EF$5=$E94+1,$C94,""),"")</f>
        <v/>
      </c>
      <c r="EG94" s="34">
        <f>IF(AND(EG$5&gt;$E94,EG$5&lt;=$F94),IF(EG$5=$E94+1,$C94,""),"")</f>
        <v/>
      </c>
      <c r="EH94" s="34">
        <f>IF(AND(EH$5&gt;$E94,EH$5&lt;=$F94),IF(EH$5=$E94+1,$C94,""),"")</f>
        <v/>
      </c>
      <c r="EI94" s="34">
        <f>IF(AND(EI$5&gt;$E94,EI$5&lt;=$F94),IF(EI$5=$E94+1,$C94,""),"")</f>
        <v/>
      </c>
      <c r="EJ94" s="34">
        <f>IF(AND(EJ$5&gt;$E94,EJ$5&lt;=$F94),IF(EJ$5=$E94+1,$C94,""),"")</f>
        <v/>
      </c>
      <c r="EK94" s="34">
        <f>IF(AND(EK$5&gt;$E94,EK$5&lt;=$F94),IF(EK$5=$E94+1,$C94,""),"")</f>
        <v/>
      </c>
      <c r="EL94" s="34">
        <f>IF(AND(EL$5&gt;$E94,EL$5&lt;=$F94),IF(EL$5=$E94+1,$C94,""),"")</f>
        <v/>
      </c>
      <c r="EM94" s="34">
        <f>IF(AND(EM$5&gt;$E94,EM$5&lt;=$F94),IF(EM$5=$E94+1,$C94,""),"")</f>
        <v/>
      </c>
      <c r="EN94" s="34">
        <f>IF(AND(EN$5&gt;$E94,EN$5&lt;=$F94),IF(EN$5=$E94+1,$C94,""),"")</f>
        <v/>
      </c>
      <c r="EO94" s="34">
        <f>IF(AND(EO$5&gt;$E94,EO$5&lt;=$F94),IF(EO$5=$E94+1,$C94,""),"")</f>
        <v/>
      </c>
      <c r="EP94" s="34">
        <f>IF(AND(EP$5&gt;$E94,EP$5&lt;=$F94),IF(EP$5=$E94+1,$C94,""),"")</f>
        <v/>
      </c>
      <c r="EQ94" s="34">
        <f>IF(AND(EQ$5&gt;$E94,EQ$5&lt;=$F94),IF(EQ$5=$E94+1,$C94,""),"")</f>
        <v/>
      </c>
    </row>
    <row r="95">
      <c r="A95" s="32">
        <f>Plan!A59</f>
        <v/>
      </c>
      <c r="B95" s="33">
        <f>Plan!C59</f>
        <v/>
      </c>
      <c r="C95" s="16">
        <f>Plan!D59</f>
        <v/>
      </c>
      <c r="D95" s="16">
        <f>Plan!I59</f>
        <v/>
      </c>
      <c r="E95" s="16">
        <f>Plan!K59</f>
        <v/>
      </c>
      <c r="F95" s="16">
        <f>Plan!L59</f>
        <v/>
      </c>
      <c r="G95" s="16">
        <f>Plan!O59</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c r="DN95" s="34">
        <f>IF(AND(DN$5&gt;$E95,DN$5&lt;=$F95),IF(DN$5=$E95+1,$C95,""),"")</f>
        <v/>
      </c>
      <c r="DO95" s="34">
        <f>IF(AND(DO$5&gt;$E95,DO$5&lt;=$F95),IF(DO$5=$E95+1,$C95,""),"")</f>
        <v/>
      </c>
      <c r="DP95" s="34">
        <f>IF(AND(DP$5&gt;$E95,DP$5&lt;=$F95),IF(DP$5=$E95+1,$C95,""),"")</f>
        <v/>
      </c>
      <c r="DQ95" s="34">
        <f>IF(AND(DQ$5&gt;$E95,DQ$5&lt;=$F95),IF(DQ$5=$E95+1,$C95,""),"")</f>
        <v/>
      </c>
      <c r="DR95" s="34">
        <f>IF(AND(DR$5&gt;$E95,DR$5&lt;=$F95),IF(DR$5=$E95+1,$C95,""),"")</f>
        <v/>
      </c>
      <c r="DS95" s="34">
        <f>IF(AND(DS$5&gt;$E95,DS$5&lt;=$F95),IF(DS$5=$E95+1,$C95,""),"")</f>
        <v/>
      </c>
      <c r="DT95" s="34">
        <f>IF(AND(DT$5&gt;$E95,DT$5&lt;=$F95),IF(DT$5=$E95+1,$C95,""),"")</f>
        <v/>
      </c>
      <c r="DU95" s="34">
        <f>IF(AND(DU$5&gt;$E95,DU$5&lt;=$F95),IF(DU$5=$E95+1,$C95,""),"")</f>
        <v/>
      </c>
      <c r="DV95" s="34">
        <f>IF(AND(DV$5&gt;$E95,DV$5&lt;=$F95),IF(DV$5=$E95+1,$C95,""),"")</f>
        <v/>
      </c>
      <c r="DW95" s="34">
        <f>IF(AND(DW$5&gt;$E95,DW$5&lt;=$F95),IF(DW$5=$E95+1,$C95,""),"")</f>
        <v/>
      </c>
      <c r="DX95" s="34">
        <f>IF(AND(DX$5&gt;$E95,DX$5&lt;=$F95),IF(DX$5=$E95+1,$C95,""),"")</f>
        <v/>
      </c>
      <c r="DY95" s="34">
        <f>IF(AND(DY$5&gt;$E95,DY$5&lt;=$F95),IF(DY$5=$E95+1,$C95,""),"")</f>
        <v/>
      </c>
      <c r="DZ95" s="34">
        <f>IF(AND(DZ$5&gt;$E95,DZ$5&lt;=$F95),IF(DZ$5=$E95+1,$C95,""),"")</f>
        <v/>
      </c>
      <c r="EA95" s="34">
        <f>IF(AND(EA$5&gt;$E95,EA$5&lt;=$F95),IF(EA$5=$E95+1,$C95,""),"")</f>
        <v/>
      </c>
      <c r="EB95" s="34">
        <f>IF(AND(EB$5&gt;$E95,EB$5&lt;=$F95),IF(EB$5=$E95+1,$C95,""),"")</f>
        <v/>
      </c>
      <c r="EC95" s="34">
        <f>IF(AND(EC$5&gt;$E95,EC$5&lt;=$F95),IF(EC$5=$E95+1,$C95,""),"")</f>
        <v/>
      </c>
      <c r="ED95" s="34">
        <f>IF(AND(ED$5&gt;$E95,ED$5&lt;=$F95),IF(ED$5=$E95+1,$C95,""),"")</f>
        <v/>
      </c>
      <c r="EE95" s="34">
        <f>IF(AND(EE$5&gt;$E95,EE$5&lt;=$F95),IF(EE$5=$E95+1,$C95,""),"")</f>
        <v/>
      </c>
      <c r="EF95" s="34">
        <f>IF(AND(EF$5&gt;$E95,EF$5&lt;=$F95),IF(EF$5=$E95+1,$C95,""),"")</f>
        <v/>
      </c>
      <c r="EG95" s="34">
        <f>IF(AND(EG$5&gt;$E95,EG$5&lt;=$F95),IF(EG$5=$E95+1,$C95,""),"")</f>
        <v/>
      </c>
      <c r="EH95" s="34">
        <f>IF(AND(EH$5&gt;$E95,EH$5&lt;=$F95),IF(EH$5=$E95+1,$C95,""),"")</f>
        <v/>
      </c>
      <c r="EI95" s="34">
        <f>IF(AND(EI$5&gt;$E95,EI$5&lt;=$F95),IF(EI$5=$E95+1,$C95,""),"")</f>
        <v/>
      </c>
      <c r="EJ95" s="34">
        <f>IF(AND(EJ$5&gt;$E95,EJ$5&lt;=$F95),IF(EJ$5=$E95+1,$C95,""),"")</f>
        <v/>
      </c>
      <c r="EK95" s="34">
        <f>IF(AND(EK$5&gt;$E95,EK$5&lt;=$F95),IF(EK$5=$E95+1,$C95,""),"")</f>
        <v/>
      </c>
      <c r="EL95" s="34">
        <f>IF(AND(EL$5&gt;$E95,EL$5&lt;=$F95),IF(EL$5=$E95+1,$C95,""),"")</f>
        <v/>
      </c>
      <c r="EM95" s="34">
        <f>IF(AND(EM$5&gt;$E95,EM$5&lt;=$F95),IF(EM$5=$E95+1,$C95,""),"")</f>
        <v/>
      </c>
      <c r="EN95" s="34">
        <f>IF(AND(EN$5&gt;$E95,EN$5&lt;=$F95),IF(EN$5=$E95+1,$C95,""),"")</f>
        <v/>
      </c>
      <c r="EO95" s="34">
        <f>IF(AND(EO$5&gt;$E95,EO$5&lt;=$F95),IF(EO$5=$E95+1,$C95,""),"")</f>
        <v/>
      </c>
      <c r="EP95" s="34">
        <f>IF(AND(EP$5&gt;$E95,EP$5&lt;=$F95),IF(EP$5=$E95+1,$C95,""),"")</f>
        <v/>
      </c>
      <c r="EQ95" s="34">
        <f>IF(AND(EQ$5&gt;$E95,EQ$5&lt;=$F95),IF(EQ$5=$E95+1,$C95,""),"")</f>
        <v/>
      </c>
    </row>
    <row r="96">
      <c r="A96" s="32">
        <f>Plan!A60</f>
        <v/>
      </c>
      <c r="B96" s="33">
        <f>Plan!C60</f>
        <v/>
      </c>
      <c r="C96" s="16">
        <f>Plan!D60</f>
        <v/>
      </c>
      <c r="D96" s="16">
        <f>Plan!I60</f>
        <v/>
      </c>
      <c r="E96" s="16">
        <f>Plan!K60</f>
        <v/>
      </c>
      <c r="F96" s="16">
        <f>Plan!L60</f>
        <v/>
      </c>
      <c r="G96" s="16">
        <f>Plan!O60</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c r="DX96" s="34">
        <f>IF(AND(DX$5&gt;$E96,DX$5&lt;=$F96),IF(DX$5=$E96+1,$C96,""),"")</f>
        <v/>
      </c>
      <c r="DY96" s="34">
        <f>IF(AND(DY$5&gt;$E96,DY$5&lt;=$F96),IF(DY$5=$E96+1,$C96,""),"")</f>
        <v/>
      </c>
      <c r="DZ96" s="34">
        <f>IF(AND(DZ$5&gt;$E96,DZ$5&lt;=$F96),IF(DZ$5=$E96+1,$C96,""),"")</f>
        <v/>
      </c>
      <c r="EA96" s="34">
        <f>IF(AND(EA$5&gt;$E96,EA$5&lt;=$F96),IF(EA$5=$E96+1,$C96,""),"")</f>
        <v/>
      </c>
      <c r="EB96" s="34">
        <f>IF(AND(EB$5&gt;$E96,EB$5&lt;=$F96),IF(EB$5=$E96+1,$C96,""),"")</f>
        <v/>
      </c>
      <c r="EC96" s="34">
        <f>IF(AND(EC$5&gt;$E96,EC$5&lt;=$F96),IF(EC$5=$E96+1,$C96,""),"")</f>
        <v/>
      </c>
      <c r="ED96" s="34">
        <f>IF(AND(ED$5&gt;$E96,ED$5&lt;=$F96),IF(ED$5=$E96+1,$C96,""),"")</f>
        <v/>
      </c>
      <c r="EE96" s="34">
        <f>IF(AND(EE$5&gt;$E96,EE$5&lt;=$F96),IF(EE$5=$E96+1,$C96,""),"")</f>
        <v/>
      </c>
      <c r="EF96" s="34">
        <f>IF(AND(EF$5&gt;$E96,EF$5&lt;=$F96),IF(EF$5=$E96+1,$C96,""),"")</f>
        <v/>
      </c>
      <c r="EG96" s="34">
        <f>IF(AND(EG$5&gt;$E96,EG$5&lt;=$F96),IF(EG$5=$E96+1,$C96,""),"")</f>
        <v/>
      </c>
      <c r="EH96" s="34">
        <f>IF(AND(EH$5&gt;$E96,EH$5&lt;=$F96),IF(EH$5=$E96+1,$C96,""),"")</f>
        <v/>
      </c>
      <c r="EI96" s="34">
        <f>IF(AND(EI$5&gt;$E96,EI$5&lt;=$F96),IF(EI$5=$E96+1,$C96,""),"")</f>
        <v/>
      </c>
      <c r="EJ96" s="34">
        <f>IF(AND(EJ$5&gt;$E96,EJ$5&lt;=$F96),IF(EJ$5=$E96+1,$C96,""),"")</f>
        <v/>
      </c>
      <c r="EK96" s="34">
        <f>IF(AND(EK$5&gt;$E96,EK$5&lt;=$F96),IF(EK$5=$E96+1,$C96,""),"")</f>
        <v/>
      </c>
      <c r="EL96" s="34">
        <f>IF(AND(EL$5&gt;$E96,EL$5&lt;=$F96),IF(EL$5=$E96+1,$C96,""),"")</f>
        <v/>
      </c>
      <c r="EM96" s="34">
        <f>IF(AND(EM$5&gt;$E96,EM$5&lt;=$F96),IF(EM$5=$E96+1,$C96,""),"")</f>
        <v/>
      </c>
      <c r="EN96" s="34">
        <f>IF(AND(EN$5&gt;$E96,EN$5&lt;=$F96),IF(EN$5=$E96+1,$C96,""),"")</f>
        <v/>
      </c>
      <c r="EO96" s="34">
        <f>IF(AND(EO$5&gt;$E96,EO$5&lt;=$F96),IF(EO$5=$E96+1,$C96,""),"")</f>
        <v/>
      </c>
      <c r="EP96" s="34">
        <f>IF(AND(EP$5&gt;$E96,EP$5&lt;=$F96),IF(EP$5=$E96+1,$C96,""),"")</f>
        <v/>
      </c>
      <c r="EQ96" s="34">
        <f>IF(AND(EQ$5&gt;$E96,EQ$5&lt;=$F96),IF(EQ$5=$E96+1,$C96,""),"")</f>
        <v/>
      </c>
    </row>
    <row r="97">
      <c r="A97" s="32">
        <f>Plan!A61</f>
        <v/>
      </c>
      <c r="B97" s="33">
        <f>Plan!C61</f>
        <v/>
      </c>
      <c r="C97" s="16">
        <f>Plan!D61</f>
        <v/>
      </c>
      <c r="D97" s="16">
        <f>Plan!I61</f>
        <v/>
      </c>
      <c r="E97" s="16">
        <f>Plan!K61</f>
        <v/>
      </c>
      <c r="F97" s="16">
        <f>Plan!L61</f>
        <v/>
      </c>
      <c r="G97" s="16">
        <f>Plan!O61</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c r="DX97" s="34">
        <f>IF(AND(DX$5&gt;$E97,DX$5&lt;=$F97),IF(DX$5=$E97+1,$C97,""),"")</f>
        <v/>
      </c>
      <c r="DY97" s="34">
        <f>IF(AND(DY$5&gt;$E97,DY$5&lt;=$F97),IF(DY$5=$E97+1,$C97,""),"")</f>
        <v/>
      </c>
      <c r="DZ97" s="34">
        <f>IF(AND(DZ$5&gt;$E97,DZ$5&lt;=$F97),IF(DZ$5=$E97+1,$C97,""),"")</f>
        <v/>
      </c>
      <c r="EA97" s="34">
        <f>IF(AND(EA$5&gt;$E97,EA$5&lt;=$F97),IF(EA$5=$E97+1,$C97,""),"")</f>
        <v/>
      </c>
      <c r="EB97" s="34">
        <f>IF(AND(EB$5&gt;$E97,EB$5&lt;=$F97),IF(EB$5=$E97+1,$C97,""),"")</f>
        <v/>
      </c>
      <c r="EC97" s="34">
        <f>IF(AND(EC$5&gt;$E97,EC$5&lt;=$F97),IF(EC$5=$E97+1,$C97,""),"")</f>
        <v/>
      </c>
      <c r="ED97" s="34">
        <f>IF(AND(ED$5&gt;$E97,ED$5&lt;=$F97),IF(ED$5=$E97+1,$C97,""),"")</f>
        <v/>
      </c>
      <c r="EE97" s="34">
        <f>IF(AND(EE$5&gt;$E97,EE$5&lt;=$F97),IF(EE$5=$E97+1,$C97,""),"")</f>
        <v/>
      </c>
      <c r="EF97" s="34">
        <f>IF(AND(EF$5&gt;$E97,EF$5&lt;=$F97),IF(EF$5=$E97+1,$C97,""),"")</f>
        <v/>
      </c>
      <c r="EG97" s="34">
        <f>IF(AND(EG$5&gt;$E97,EG$5&lt;=$F97),IF(EG$5=$E97+1,$C97,""),"")</f>
        <v/>
      </c>
      <c r="EH97" s="34">
        <f>IF(AND(EH$5&gt;$E97,EH$5&lt;=$F97),IF(EH$5=$E97+1,$C97,""),"")</f>
        <v/>
      </c>
      <c r="EI97" s="34">
        <f>IF(AND(EI$5&gt;$E97,EI$5&lt;=$F97),IF(EI$5=$E97+1,$C97,""),"")</f>
        <v/>
      </c>
      <c r="EJ97" s="34">
        <f>IF(AND(EJ$5&gt;$E97,EJ$5&lt;=$F97),IF(EJ$5=$E97+1,$C97,""),"")</f>
        <v/>
      </c>
      <c r="EK97" s="34">
        <f>IF(AND(EK$5&gt;$E97,EK$5&lt;=$F97),IF(EK$5=$E97+1,$C97,""),"")</f>
        <v/>
      </c>
      <c r="EL97" s="34">
        <f>IF(AND(EL$5&gt;$E97,EL$5&lt;=$F97),IF(EL$5=$E97+1,$C97,""),"")</f>
        <v/>
      </c>
      <c r="EM97" s="34">
        <f>IF(AND(EM$5&gt;$E97,EM$5&lt;=$F97),IF(EM$5=$E97+1,$C97,""),"")</f>
        <v/>
      </c>
      <c r="EN97" s="34">
        <f>IF(AND(EN$5&gt;$E97,EN$5&lt;=$F97),IF(EN$5=$E97+1,$C97,""),"")</f>
        <v/>
      </c>
      <c r="EO97" s="34">
        <f>IF(AND(EO$5&gt;$E97,EO$5&lt;=$F97),IF(EO$5=$E97+1,$C97,""),"")</f>
        <v/>
      </c>
      <c r="EP97" s="34">
        <f>IF(AND(EP$5&gt;$E97,EP$5&lt;=$F97),IF(EP$5=$E97+1,$C97,""),"")</f>
        <v/>
      </c>
      <c r="EQ97" s="34">
        <f>IF(AND(EQ$5&gt;$E97,EQ$5&lt;=$F97),IF(EQ$5=$E97+1,$C97,""),"")</f>
        <v/>
      </c>
    </row>
    <row r="98">
      <c r="A98" s="32">
        <f>Plan!A62</f>
        <v/>
      </c>
      <c r="B98" s="33">
        <f>Plan!C62</f>
        <v/>
      </c>
      <c r="C98" s="16">
        <f>Plan!D62</f>
        <v/>
      </c>
      <c r="D98" s="16">
        <f>Plan!I62</f>
        <v/>
      </c>
      <c r="E98" s="16">
        <f>Plan!K62</f>
        <v/>
      </c>
      <c r="F98" s="16">
        <f>Plan!L62</f>
        <v/>
      </c>
      <c r="G98" s="16">
        <f>Plan!O62</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c r="DX98" s="34">
        <f>IF(AND(DX$5&gt;$E98,DX$5&lt;=$F98),IF(DX$5=$E98+1,$C98,""),"")</f>
        <v/>
      </c>
      <c r="DY98" s="34">
        <f>IF(AND(DY$5&gt;$E98,DY$5&lt;=$F98),IF(DY$5=$E98+1,$C98,""),"")</f>
        <v/>
      </c>
      <c r="DZ98" s="34">
        <f>IF(AND(DZ$5&gt;$E98,DZ$5&lt;=$F98),IF(DZ$5=$E98+1,$C98,""),"")</f>
        <v/>
      </c>
      <c r="EA98" s="34">
        <f>IF(AND(EA$5&gt;$E98,EA$5&lt;=$F98),IF(EA$5=$E98+1,$C98,""),"")</f>
        <v/>
      </c>
      <c r="EB98" s="34">
        <f>IF(AND(EB$5&gt;$E98,EB$5&lt;=$F98),IF(EB$5=$E98+1,$C98,""),"")</f>
        <v/>
      </c>
      <c r="EC98" s="34">
        <f>IF(AND(EC$5&gt;$E98,EC$5&lt;=$F98),IF(EC$5=$E98+1,$C98,""),"")</f>
        <v/>
      </c>
      <c r="ED98" s="34">
        <f>IF(AND(ED$5&gt;$E98,ED$5&lt;=$F98),IF(ED$5=$E98+1,$C98,""),"")</f>
        <v/>
      </c>
      <c r="EE98" s="34">
        <f>IF(AND(EE$5&gt;$E98,EE$5&lt;=$F98),IF(EE$5=$E98+1,$C98,""),"")</f>
        <v/>
      </c>
      <c r="EF98" s="34">
        <f>IF(AND(EF$5&gt;$E98,EF$5&lt;=$F98),IF(EF$5=$E98+1,$C98,""),"")</f>
        <v/>
      </c>
      <c r="EG98" s="34">
        <f>IF(AND(EG$5&gt;$E98,EG$5&lt;=$F98),IF(EG$5=$E98+1,$C98,""),"")</f>
        <v/>
      </c>
      <c r="EH98" s="34">
        <f>IF(AND(EH$5&gt;$E98,EH$5&lt;=$F98),IF(EH$5=$E98+1,$C98,""),"")</f>
        <v/>
      </c>
      <c r="EI98" s="34">
        <f>IF(AND(EI$5&gt;$E98,EI$5&lt;=$F98),IF(EI$5=$E98+1,$C98,""),"")</f>
        <v/>
      </c>
      <c r="EJ98" s="34">
        <f>IF(AND(EJ$5&gt;$E98,EJ$5&lt;=$F98),IF(EJ$5=$E98+1,$C98,""),"")</f>
        <v/>
      </c>
      <c r="EK98" s="34">
        <f>IF(AND(EK$5&gt;$E98,EK$5&lt;=$F98),IF(EK$5=$E98+1,$C98,""),"")</f>
        <v/>
      </c>
      <c r="EL98" s="34">
        <f>IF(AND(EL$5&gt;$E98,EL$5&lt;=$F98),IF(EL$5=$E98+1,$C98,""),"")</f>
        <v/>
      </c>
      <c r="EM98" s="34">
        <f>IF(AND(EM$5&gt;$E98,EM$5&lt;=$F98),IF(EM$5=$E98+1,$C98,""),"")</f>
        <v/>
      </c>
      <c r="EN98" s="34">
        <f>IF(AND(EN$5&gt;$E98,EN$5&lt;=$F98),IF(EN$5=$E98+1,$C98,""),"")</f>
        <v/>
      </c>
      <c r="EO98" s="34">
        <f>IF(AND(EO$5&gt;$E98,EO$5&lt;=$F98),IF(EO$5=$E98+1,$C98,""),"")</f>
        <v/>
      </c>
      <c r="EP98" s="34">
        <f>IF(AND(EP$5&gt;$E98,EP$5&lt;=$F98),IF(EP$5=$E98+1,$C98,""),"")</f>
        <v/>
      </c>
      <c r="EQ98" s="34">
        <f>IF(AND(EQ$5&gt;$E98,EQ$5&lt;=$F98),IF(EQ$5=$E98+1,$C98,""),"")</f>
        <v/>
      </c>
    </row>
    <row r="99">
      <c r="A99" s="32">
        <f>Plan!A63</f>
        <v/>
      </c>
      <c r="B99" s="33">
        <f>Plan!C63</f>
        <v/>
      </c>
      <c r="C99" s="16">
        <f>Plan!D63</f>
        <v/>
      </c>
      <c r="D99" s="16">
        <f>Plan!I63</f>
        <v/>
      </c>
      <c r="E99" s="16">
        <f>Plan!K63</f>
        <v/>
      </c>
      <c r="F99" s="16">
        <f>Plan!L63</f>
        <v/>
      </c>
      <c r="G99" s="16">
        <f>Plan!O63</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c r="DX99" s="34">
        <f>IF(AND(DX$5&gt;$E99,DX$5&lt;=$F99),IF(DX$5=$E99+1,$C99,""),"")</f>
        <v/>
      </c>
      <c r="DY99" s="34">
        <f>IF(AND(DY$5&gt;$E99,DY$5&lt;=$F99),IF(DY$5=$E99+1,$C99,""),"")</f>
        <v/>
      </c>
      <c r="DZ99" s="34">
        <f>IF(AND(DZ$5&gt;$E99,DZ$5&lt;=$F99),IF(DZ$5=$E99+1,$C99,""),"")</f>
        <v/>
      </c>
      <c r="EA99" s="34">
        <f>IF(AND(EA$5&gt;$E99,EA$5&lt;=$F99),IF(EA$5=$E99+1,$C99,""),"")</f>
        <v/>
      </c>
      <c r="EB99" s="34">
        <f>IF(AND(EB$5&gt;$E99,EB$5&lt;=$F99),IF(EB$5=$E99+1,$C99,""),"")</f>
        <v/>
      </c>
      <c r="EC99" s="34">
        <f>IF(AND(EC$5&gt;$E99,EC$5&lt;=$F99),IF(EC$5=$E99+1,$C99,""),"")</f>
        <v/>
      </c>
      <c r="ED99" s="34">
        <f>IF(AND(ED$5&gt;$E99,ED$5&lt;=$F99),IF(ED$5=$E99+1,$C99,""),"")</f>
        <v/>
      </c>
      <c r="EE99" s="34">
        <f>IF(AND(EE$5&gt;$E99,EE$5&lt;=$F99),IF(EE$5=$E99+1,$C99,""),"")</f>
        <v/>
      </c>
      <c r="EF99" s="34">
        <f>IF(AND(EF$5&gt;$E99,EF$5&lt;=$F99),IF(EF$5=$E99+1,$C99,""),"")</f>
        <v/>
      </c>
      <c r="EG99" s="34">
        <f>IF(AND(EG$5&gt;$E99,EG$5&lt;=$F99),IF(EG$5=$E99+1,$C99,""),"")</f>
        <v/>
      </c>
      <c r="EH99" s="34">
        <f>IF(AND(EH$5&gt;$E99,EH$5&lt;=$F99),IF(EH$5=$E99+1,$C99,""),"")</f>
        <v/>
      </c>
      <c r="EI99" s="34">
        <f>IF(AND(EI$5&gt;$E99,EI$5&lt;=$F99),IF(EI$5=$E99+1,$C99,""),"")</f>
        <v/>
      </c>
      <c r="EJ99" s="34">
        <f>IF(AND(EJ$5&gt;$E99,EJ$5&lt;=$F99),IF(EJ$5=$E99+1,$C99,""),"")</f>
        <v/>
      </c>
      <c r="EK99" s="34">
        <f>IF(AND(EK$5&gt;$E99,EK$5&lt;=$F99),IF(EK$5=$E99+1,$C99,""),"")</f>
        <v/>
      </c>
      <c r="EL99" s="34">
        <f>IF(AND(EL$5&gt;$E99,EL$5&lt;=$F99),IF(EL$5=$E99+1,$C99,""),"")</f>
        <v/>
      </c>
      <c r="EM99" s="34">
        <f>IF(AND(EM$5&gt;$E99,EM$5&lt;=$F99),IF(EM$5=$E99+1,$C99,""),"")</f>
        <v/>
      </c>
      <c r="EN99" s="34">
        <f>IF(AND(EN$5&gt;$E99,EN$5&lt;=$F99),IF(EN$5=$E99+1,$C99,""),"")</f>
        <v/>
      </c>
      <c r="EO99" s="34">
        <f>IF(AND(EO$5&gt;$E99,EO$5&lt;=$F99),IF(EO$5=$E99+1,$C99,""),"")</f>
        <v/>
      </c>
      <c r="EP99" s="34">
        <f>IF(AND(EP$5&gt;$E99,EP$5&lt;=$F99),IF(EP$5=$E99+1,$C99,""),"")</f>
        <v/>
      </c>
      <c r="EQ99" s="34">
        <f>IF(AND(EQ$5&gt;$E99,EQ$5&lt;=$F99),IF(EQ$5=$E99+1,$C99,""),"")</f>
        <v/>
      </c>
    </row>
    <row r="100">
      <c r="A100" s="32">
        <f>Plan!A64</f>
        <v/>
      </c>
      <c r="B100" s="33">
        <f>Plan!C64</f>
        <v/>
      </c>
      <c r="C100" s="16">
        <f>Plan!D64</f>
        <v/>
      </c>
      <c r="D100" s="16">
        <f>Plan!I64</f>
        <v/>
      </c>
      <c r="E100" s="16">
        <f>Plan!K64</f>
        <v/>
      </c>
      <c r="F100" s="16">
        <f>Plan!L64</f>
        <v/>
      </c>
      <c r="G100" s="16">
        <f>Plan!O64</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c r="DX100" s="34">
        <f>IF(AND(DX$5&gt;$E100,DX$5&lt;=$F100),IF(DX$5=$E100+1,$C100,""),"")</f>
        <v/>
      </c>
      <c r="DY100" s="34">
        <f>IF(AND(DY$5&gt;$E100,DY$5&lt;=$F100),IF(DY$5=$E100+1,$C100,""),"")</f>
        <v/>
      </c>
      <c r="DZ100" s="34">
        <f>IF(AND(DZ$5&gt;$E100,DZ$5&lt;=$F100),IF(DZ$5=$E100+1,$C100,""),"")</f>
        <v/>
      </c>
      <c r="EA100" s="34">
        <f>IF(AND(EA$5&gt;$E100,EA$5&lt;=$F100),IF(EA$5=$E100+1,$C100,""),"")</f>
        <v/>
      </c>
      <c r="EB100" s="34">
        <f>IF(AND(EB$5&gt;$E100,EB$5&lt;=$F100),IF(EB$5=$E100+1,$C100,""),"")</f>
        <v/>
      </c>
      <c r="EC100" s="34">
        <f>IF(AND(EC$5&gt;$E100,EC$5&lt;=$F100),IF(EC$5=$E100+1,$C100,""),"")</f>
        <v/>
      </c>
      <c r="ED100" s="34">
        <f>IF(AND(ED$5&gt;$E100,ED$5&lt;=$F100),IF(ED$5=$E100+1,$C100,""),"")</f>
        <v/>
      </c>
      <c r="EE100" s="34">
        <f>IF(AND(EE$5&gt;$E100,EE$5&lt;=$F100),IF(EE$5=$E100+1,$C100,""),"")</f>
        <v/>
      </c>
      <c r="EF100" s="34">
        <f>IF(AND(EF$5&gt;$E100,EF$5&lt;=$F100),IF(EF$5=$E100+1,$C100,""),"")</f>
        <v/>
      </c>
      <c r="EG100" s="34">
        <f>IF(AND(EG$5&gt;$E100,EG$5&lt;=$F100),IF(EG$5=$E100+1,$C100,""),"")</f>
        <v/>
      </c>
      <c r="EH100" s="34">
        <f>IF(AND(EH$5&gt;$E100,EH$5&lt;=$F100),IF(EH$5=$E100+1,$C100,""),"")</f>
        <v/>
      </c>
      <c r="EI100" s="34">
        <f>IF(AND(EI$5&gt;$E100,EI$5&lt;=$F100),IF(EI$5=$E100+1,$C100,""),"")</f>
        <v/>
      </c>
      <c r="EJ100" s="34">
        <f>IF(AND(EJ$5&gt;$E100,EJ$5&lt;=$F100),IF(EJ$5=$E100+1,$C100,""),"")</f>
        <v/>
      </c>
      <c r="EK100" s="34">
        <f>IF(AND(EK$5&gt;$E100,EK$5&lt;=$F100),IF(EK$5=$E100+1,$C100,""),"")</f>
        <v/>
      </c>
      <c r="EL100" s="34">
        <f>IF(AND(EL$5&gt;$E100,EL$5&lt;=$F100),IF(EL$5=$E100+1,$C100,""),"")</f>
        <v/>
      </c>
      <c r="EM100" s="34">
        <f>IF(AND(EM$5&gt;$E100,EM$5&lt;=$F100),IF(EM$5=$E100+1,$C100,""),"")</f>
        <v/>
      </c>
      <c r="EN100" s="34">
        <f>IF(AND(EN$5&gt;$E100,EN$5&lt;=$F100),IF(EN$5=$E100+1,$C100,""),"")</f>
        <v/>
      </c>
      <c r="EO100" s="34">
        <f>IF(AND(EO$5&gt;$E100,EO$5&lt;=$F100),IF(EO$5=$E100+1,$C100,""),"")</f>
        <v/>
      </c>
      <c r="EP100" s="34">
        <f>IF(AND(EP$5&gt;$E100,EP$5&lt;=$F100),IF(EP$5=$E100+1,$C100,""),"")</f>
        <v/>
      </c>
      <c r="EQ100" s="34">
        <f>IF(AND(EQ$5&gt;$E100,EQ$5&lt;=$F100),IF(EQ$5=$E100+1,$C100,""),"")</f>
        <v/>
      </c>
    </row>
    <row r="101">
      <c r="A101" s="32">
        <f>Plan!A65</f>
        <v/>
      </c>
      <c r="B101" s="33">
        <f>Plan!C65</f>
        <v/>
      </c>
      <c r="C101" s="16">
        <f>Plan!D65</f>
        <v/>
      </c>
      <c r="D101" s="16">
        <f>Plan!I65</f>
        <v/>
      </c>
      <c r="E101" s="16">
        <f>Plan!K65</f>
        <v/>
      </c>
      <c r="F101" s="16">
        <f>Plan!L65</f>
        <v/>
      </c>
      <c r="G101" s="16">
        <f>Plan!O65</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c r="DX101" s="34">
        <f>IF(AND(DX$5&gt;$E101,DX$5&lt;=$F101),IF(DX$5=$E101+1,$C101,""),"")</f>
        <v/>
      </c>
      <c r="DY101" s="34">
        <f>IF(AND(DY$5&gt;$E101,DY$5&lt;=$F101),IF(DY$5=$E101+1,$C101,""),"")</f>
        <v/>
      </c>
      <c r="DZ101" s="34">
        <f>IF(AND(DZ$5&gt;$E101,DZ$5&lt;=$F101),IF(DZ$5=$E101+1,$C101,""),"")</f>
        <v/>
      </c>
      <c r="EA101" s="34">
        <f>IF(AND(EA$5&gt;$E101,EA$5&lt;=$F101),IF(EA$5=$E101+1,$C101,""),"")</f>
        <v/>
      </c>
      <c r="EB101" s="34">
        <f>IF(AND(EB$5&gt;$E101,EB$5&lt;=$F101),IF(EB$5=$E101+1,$C101,""),"")</f>
        <v/>
      </c>
      <c r="EC101" s="34">
        <f>IF(AND(EC$5&gt;$E101,EC$5&lt;=$F101),IF(EC$5=$E101+1,$C101,""),"")</f>
        <v/>
      </c>
      <c r="ED101" s="34">
        <f>IF(AND(ED$5&gt;$E101,ED$5&lt;=$F101),IF(ED$5=$E101+1,$C101,""),"")</f>
        <v/>
      </c>
      <c r="EE101" s="34">
        <f>IF(AND(EE$5&gt;$E101,EE$5&lt;=$F101),IF(EE$5=$E101+1,$C101,""),"")</f>
        <v/>
      </c>
      <c r="EF101" s="34">
        <f>IF(AND(EF$5&gt;$E101,EF$5&lt;=$F101),IF(EF$5=$E101+1,$C101,""),"")</f>
        <v/>
      </c>
      <c r="EG101" s="34">
        <f>IF(AND(EG$5&gt;$E101,EG$5&lt;=$F101),IF(EG$5=$E101+1,$C101,""),"")</f>
        <v/>
      </c>
      <c r="EH101" s="34">
        <f>IF(AND(EH$5&gt;$E101,EH$5&lt;=$F101),IF(EH$5=$E101+1,$C101,""),"")</f>
        <v/>
      </c>
      <c r="EI101" s="34">
        <f>IF(AND(EI$5&gt;$E101,EI$5&lt;=$F101),IF(EI$5=$E101+1,$C101,""),"")</f>
        <v/>
      </c>
      <c r="EJ101" s="34">
        <f>IF(AND(EJ$5&gt;$E101,EJ$5&lt;=$F101),IF(EJ$5=$E101+1,$C101,""),"")</f>
        <v/>
      </c>
      <c r="EK101" s="34">
        <f>IF(AND(EK$5&gt;$E101,EK$5&lt;=$F101),IF(EK$5=$E101+1,$C101,""),"")</f>
        <v/>
      </c>
      <c r="EL101" s="34">
        <f>IF(AND(EL$5&gt;$E101,EL$5&lt;=$F101),IF(EL$5=$E101+1,$C101,""),"")</f>
        <v/>
      </c>
      <c r="EM101" s="34">
        <f>IF(AND(EM$5&gt;$E101,EM$5&lt;=$F101),IF(EM$5=$E101+1,$C101,""),"")</f>
        <v/>
      </c>
      <c r="EN101" s="34">
        <f>IF(AND(EN$5&gt;$E101,EN$5&lt;=$F101),IF(EN$5=$E101+1,$C101,""),"")</f>
        <v/>
      </c>
      <c r="EO101" s="34">
        <f>IF(AND(EO$5&gt;$E101,EO$5&lt;=$F101),IF(EO$5=$E101+1,$C101,""),"")</f>
        <v/>
      </c>
      <c r="EP101" s="34">
        <f>IF(AND(EP$5&gt;$E101,EP$5&lt;=$F101),IF(EP$5=$E101+1,$C101,""),"")</f>
        <v/>
      </c>
      <c r="EQ101" s="34">
        <f>IF(AND(EQ$5&gt;$E101,EQ$5&lt;=$F101),IF(EQ$5=$E101+1,$C101,""),"")</f>
        <v/>
      </c>
    </row>
    <row r="102">
      <c r="A102" s="32">
        <f>Plan!A66</f>
        <v/>
      </c>
      <c r="B102" s="33">
        <f>Plan!C66</f>
        <v/>
      </c>
      <c r="C102" s="16">
        <f>Plan!D66</f>
        <v/>
      </c>
      <c r="D102" s="16">
        <f>Plan!I66</f>
        <v/>
      </c>
      <c r="E102" s="16">
        <f>Plan!K66</f>
        <v/>
      </c>
      <c r="F102" s="16">
        <f>Plan!L66</f>
        <v/>
      </c>
      <c r="G102" s="16">
        <f>Plan!O66</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c r="DX102" s="34">
        <f>IF(AND(DX$5&gt;$E102,DX$5&lt;=$F102),IF(DX$5=$E102+1,$C102,""),"")</f>
        <v/>
      </c>
      <c r="DY102" s="34">
        <f>IF(AND(DY$5&gt;$E102,DY$5&lt;=$F102),IF(DY$5=$E102+1,$C102,""),"")</f>
        <v/>
      </c>
      <c r="DZ102" s="34">
        <f>IF(AND(DZ$5&gt;$E102,DZ$5&lt;=$F102),IF(DZ$5=$E102+1,$C102,""),"")</f>
        <v/>
      </c>
      <c r="EA102" s="34">
        <f>IF(AND(EA$5&gt;$E102,EA$5&lt;=$F102),IF(EA$5=$E102+1,$C102,""),"")</f>
        <v/>
      </c>
      <c r="EB102" s="34">
        <f>IF(AND(EB$5&gt;$E102,EB$5&lt;=$F102),IF(EB$5=$E102+1,$C102,""),"")</f>
        <v/>
      </c>
      <c r="EC102" s="34">
        <f>IF(AND(EC$5&gt;$E102,EC$5&lt;=$F102),IF(EC$5=$E102+1,$C102,""),"")</f>
        <v/>
      </c>
      <c r="ED102" s="34">
        <f>IF(AND(ED$5&gt;$E102,ED$5&lt;=$F102),IF(ED$5=$E102+1,$C102,""),"")</f>
        <v/>
      </c>
      <c r="EE102" s="34">
        <f>IF(AND(EE$5&gt;$E102,EE$5&lt;=$F102),IF(EE$5=$E102+1,$C102,""),"")</f>
        <v/>
      </c>
      <c r="EF102" s="34">
        <f>IF(AND(EF$5&gt;$E102,EF$5&lt;=$F102),IF(EF$5=$E102+1,$C102,""),"")</f>
        <v/>
      </c>
      <c r="EG102" s="34">
        <f>IF(AND(EG$5&gt;$E102,EG$5&lt;=$F102),IF(EG$5=$E102+1,$C102,""),"")</f>
        <v/>
      </c>
      <c r="EH102" s="34">
        <f>IF(AND(EH$5&gt;$E102,EH$5&lt;=$F102),IF(EH$5=$E102+1,$C102,""),"")</f>
        <v/>
      </c>
      <c r="EI102" s="34">
        <f>IF(AND(EI$5&gt;$E102,EI$5&lt;=$F102),IF(EI$5=$E102+1,$C102,""),"")</f>
        <v/>
      </c>
      <c r="EJ102" s="34">
        <f>IF(AND(EJ$5&gt;$E102,EJ$5&lt;=$F102),IF(EJ$5=$E102+1,$C102,""),"")</f>
        <v/>
      </c>
      <c r="EK102" s="34">
        <f>IF(AND(EK$5&gt;$E102,EK$5&lt;=$F102),IF(EK$5=$E102+1,$C102,""),"")</f>
        <v/>
      </c>
      <c r="EL102" s="34">
        <f>IF(AND(EL$5&gt;$E102,EL$5&lt;=$F102),IF(EL$5=$E102+1,$C102,""),"")</f>
        <v/>
      </c>
      <c r="EM102" s="34">
        <f>IF(AND(EM$5&gt;$E102,EM$5&lt;=$F102),IF(EM$5=$E102+1,$C102,""),"")</f>
        <v/>
      </c>
      <c r="EN102" s="34">
        <f>IF(AND(EN$5&gt;$E102,EN$5&lt;=$F102),IF(EN$5=$E102+1,$C102,""),"")</f>
        <v/>
      </c>
      <c r="EO102" s="34">
        <f>IF(AND(EO$5&gt;$E102,EO$5&lt;=$F102),IF(EO$5=$E102+1,$C102,""),"")</f>
        <v/>
      </c>
      <c r="EP102" s="34">
        <f>IF(AND(EP$5&gt;$E102,EP$5&lt;=$F102),IF(EP$5=$E102+1,$C102,""),"")</f>
        <v/>
      </c>
      <c r="EQ102" s="34">
        <f>IF(AND(EQ$5&gt;$E102,EQ$5&lt;=$F102),IF(EQ$5=$E102+1,$C102,""),"")</f>
        <v/>
      </c>
    </row>
    <row r="103">
      <c r="A103" s="32">
        <f>Plan!A67</f>
        <v/>
      </c>
      <c r="B103" s="33">
        <f>Plan!C67</f>
        <v/>
      </c>
      <c r="C103" s="16">
        <f>Plan!D67</f>
        <v/>
      </c>
      <c r="D103" s="16">
        <f>Plan!I67</f>
        <v/>
      </c>
      <c r="E103" s="16">
        <f>Plan!K67</f>
        <v/>
      </c>
      <c r="F103" s="16">
        <f>Plan!L67</f>
        <v/>
      </c>
      <c r="G103" s="16">
        <f>Plan!O67</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c r="DX103" s="34">
        <f>IF(AND(DX$5&gt;$E103,DX$5&lt;=$F103),IF(DX$5=$E103+1,$C103,""),"")</f>
        <v/>
      </c>
      <c r="DY103" s="34">
        <f>IF(AND(DY$5&gt;$E103,DY$5&lt;=$F103),IF(DY$5=$E103+1,$C103,""),"")</f>
        <v/>
      </c>
      <c r="DZ103" s="34">
        <f>IF(AND(DZ$5&gt;$E103,DZ$5&lt;=$F103),IF(DZ$5=$E103+1,$C103,""),"")</f>
        <v/>
      </c>
      <c r="EA103" s="34">
        <f>IF(AND(EA$5&gt;$E103,EA$5&lt;=$F103),IF(EA$5=$E103+1,$C103,""),"")</f>
        <v/>
      </c>
      <c r="EB103" s="34">
        <f>IF(AND(EB$5&gt;$E103,EB$5&lt;=$F103),IF(EB$5=$E103+1,$C103,""),"")</f>
        <v/>
      </c>
      <c r="EC103" s="34">
        <f>IF(AND(EC$5&gt;$E103,EC$5&lt;=$F103),IF(EC$5=$E103+1,$C103,""),"")</f>
        <v/>
      </c>
      <c r="ED103" s="34">
        <f>IF(AND(ED$5&gt;$E103,ED$5&lt;=$F103),IF(ED$5=$E103+1,$C103,""),"")</f>
        <v/>
      </c>
      <c r="EE103" s="34">
        <f>IF(AND(EE$5&gt;$E103,EE$5&lt;=$F103),IF(EE$5=$E103+1,$C103,""),"")</f>
        <v/>
      </c>
      <c r="EF103" s="34">
        <f>IF(AND(EF$5&gt;$E103,EF$5&lt;=$F103),IF(EF$5=$E103+1,$C103,""),"")</f>
        <v/>
      </c>
      <c r="EG103" s="34">
        <f>IF(AND(EG$5&gt;$E103,EG$5&lt;=$F103),IF(EG$5=$E103+1,$C103,""),"")</f>
        <v/>
      </c>
      <c r="EH103" s="34">
        <f>IF(AND(EH$5&gt;$E103,EH$5&lt;=$F103),IF(EH$5=$E103+1,$C103,""),"")</f>
        <v/>
      </c>
      <c r="EI103" s="34">
        <f>IF(AND(EI$5&gt;$E103,EI$5&lt;=$F103),IF(EI$5=$E103+1,$C103,""),"")</f>
        <v/>
      </c>
      <c r="EJ103" s="34">
        <f>IF(AND(EJ$5&gt;$E103,EJ$5&lt;=$F103),IF(EJ$5=$E103+1,$C103,""),"")</f>
        <v/>
      </c>
      <c r="EK103" s="34">
        <f>IF(AND(EK$5&gt;$E103,EK$5&lt;=$F103),IF(EK$5=$E103+1,$C103,""),"")</f>
        <v/>
      </c>
      <c r="EL103" s="34">
        <f>IF(AND(EL$5&gt;$E103,EL$5&lt;=$F103),IF(EL$5=$E103+1,$C103,""),"")</f>
        <v/>
      </c>
      <c r="EM103" s="34">
        <f>IF(AND(EM$5&gt;$E103,EM$5&lt;=$F103),IF(EM$5=$E103+1,$C103,""),"")</f>
        <v/>
      </c>
      <c r="EN103" s="34">
        <f>IF(AND(EN$5&gt;$E103,EN$5&lt;=$F103),IF(EN$5=$E103+1,$C103,""),"")</f>
        <v/>
      </c>
      <c r="EO103" s="34">
        <f>IF(AND(EO$5&gt;$E103,EO$5&lt;=$F103),IF(EO$5=$E103+1,$C103,""),"")</f>
        <v/>
      </c>
      <c r="EP103" s="34">
        <f>IF(AND(EP$5&gt;$E103,EP$5&lt;=$F103),IF(EP$5=$E103+1,$C103,""),"")</f>
        <v/>
      </c>
      <c r="EQ103" s="34">
        <f>IF(AND(EQ$5&gt;$E103,EQ$5&lt;=$F103),IF(EQ$5=$E103+1,$C103,""),"")</f>
        <v/>
      </c>
    </row>
    <row r="104">
      <c r="A104" s="32">
        <f>Plan!A68</f>
        <v/>
      </c>
      <c r="B104" s="33">
        <f>Plan!C68</f>
        <v/>
      </c>
      <c r="C104" s="16">
        <f>Plan!D68</f>
        <v/>
      </c>
      <c r="D104" s="16">
        <f>Plan!I68</f>
        <v/>
      </c>
      <c r="E104" s="16">
        <f>Plan!K68</f>
        <v/>
      </c>
      <c r="F104" s="16">
        <f>Plan!L68</f>
        <v/>
      </c>
      <c r="G104" s="16">
        <f>Plan!O68</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c r="DX104" s="34">
        <f>IF(AND(DX$5&gt;$E104,DX$5&lt;=$F104),IF(DX$5=$E104+1,$C104,""),"")</f>
        <v/>
      </c>
      <c r="DY104" s="34">
        <f>IF(AND(DY$5&gt;$E104,DY$5&lt;=$F104),IF(DY$5=$E104+1,$C104,""),"")</f>
        <v/>
      </c>
      <c r="DZ104" s="34">
        <f>IF(AND(DZ$5&gt;$E104,DZ$5&lt;=$F104),IF(DZ$5=$E104+1,$C104,""),"")</f>
        <v/>
      </c>
      <c r="EA104" s="34">
        <f>IF(AND(EA$5&gt;$E104,EA$5&lt;=$F104),IF(EA$5=$E104+1,$C104,""),"")</f>
        <v/>
      </c>
      <c r="EB104" s="34">
        <f>IF(AND(EB$5&gt;$E104,EB$5&lt;=$F104),IF(EB$5=$E104+1,$C104,""),"")</f>
        <v/>
      </c>
      <c r="EC104" s="34">
        <f>IF(AND(EC$5&gt;$E104,EC$5&lt;=$F104),IF(EC$5=$E104+1,$C104,""),"")</f>
        <v/>
      </c>
      <c r="ED104" s="34">
        <f>IF(AND(ED$5&gt;$E104,ED$5&lt;=$F104),IF(ED$5=$E104+1,$C104,""),"")</f>
        <v/>
      </c>
      <c r="EE104" s="34">
        <f>IF(AND(EE$5&gt;$E104,EE$5&lt;=$F104),IF(EE$5=$E104+1,$C104,""),"")</f>
        <v/>
      </c>
      <c r="EF104" s="34">
        <f>IF(AND(EF$5&gt;$E104,EF$5&lt;=$F104),IF(EF$5=$E104+1,$C104,""),"")</f>
        <v/>
      </c>
      <c r="EG104" s="34">
        <f>IF(AND(EG$5&gt;$E104,EG$5&lt;=$F104),IF(EG$5=$E104+1,$C104,""),"")</f>
        <v/>
      </c>
      <c r="EH104" s="34">
        <f>IF(AND(EH$5&gt;$E104,EH$5&lt;=$F104),IF(EH$5=$E104+1,$C104,""),"")</f>
        <v/>
      </c>
      <c r="EI104" s="34">
        <f>IF(AND(EI$5&gt;$E104,EI$5&lt;=$F104),IF(EI$5=$E104+1,$C104,""),"")</f>
        <v/>
      </c>
      <c r="EJ104" s="34">
        <f>IF(AND(EJ$5&gt;$E104,EJ$5&lt;=$F104),IF(EJ$5=$E104+1,$C104,""),"")</f>
        <v/>
      </c>
      <c r="EK104" s="34">
        <f>IF(AND(EK$5&gt;$E104,EK$5&lt;=$F104),IF(EK$5=$E104+1,$C104,""),"")</f>
        <v/>
      </c>
      <c r="EL104" s="34">
        <f>IF(AND(EL$5&gt;$E104,EL$5&lt;=$F104),IF(EL$5=$E104+1,$C104,""),"")</f>
        <v/>
      </c>
      <c r="EM104" s="34">
        <f>IF(AND(EM$5&gt;$E104,EM$5&lt;=$F104),IF(EM$5=$E104+1,$C104,""),"")</f>
        <v/>
      </c>
      <c r="EN104" s="34">
        <f>IF(AND(EN$5&gt;$E104,EN$5&lt;=$F104),IF(EN$5=$E104+1,$C104,""),"")</f>
        <v/>
      </c>
      <c r="EO104" s="34">
        <f>IF(AND(EO$5&gt;$E104,EO$5&lt;=$F104),IF(EO$5=$E104+1,$C104,""),"")</f>
        <v/>
      </c>
      <c r="EP104" s="34">
        <f>IF(AND(EP$5&gt;$E104,EP$5&lt;=$F104),IF(EP$5=$E104+1,$C104,""),"")</f>
        <v/>
      </c>
      <c r="EQ104" s="34">
        <f>IF(AND(EQ$5&gt;$E104,EQ$5&lt;=$F104),IF(EQ$5=$E104+1,$C104,""),"")</f>
        <v/>
      </c>
    </row>
    <row r="105">
      <c r="A105" s="32">
        <f>Plan!A69</f>
        <v/>
      </c>
      <c r="B105" s="33">
        <f>Plan!C69</f>
        <v/>
      </c>
      <c r="C105" s="16">
        <f>Plan!D69</f>
        <v/>
      </c>
      <c r="D105" s="16">
        <f>Plan!I69</f>
        <v/>
      </c>
      <c r="E105" s="16">
        <f>Plan!K69</f>
        <v/>
      </c>
      <c r="F105" s="16">
        <f>Plan!L69</f>
        <v/>
      </c>
      <c r="G105" s="16">
        <f>Plan!O69</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c r="DX105" s="34">
        <f>IF(AND(DX$5&gt;$E105,DX$5&lt;=$F105),IF(DX$5=$E105+1,$C105,""),"")</f>
        <v/>
      </c>
      <c r="DY105" s="34">
        <f>IF(AND(DY$5&gt;$E105,DY$5&lt;=$F105),IF(DY$5=$E105+1,$C105,""),"")</f>
        <v/>
      </c>
      <c r="DZ105" s="34">
        <f>IF(AND(DZ$5&gt;$E105,DZ$5&lt;=$F105),IF(DZ$5=$E105+1,$C105,""),"")</f>
        <v/>
      </c>
      <c r="EA105" s="34">
        <f>IF(AND(EA$5&gt;$E105,EA$5&lt;=$F105),IF(EA$5=$E105+1,$C105,""),"")</f>
        <v/>
      </c>
      <c r="EB105" s="34">
        <f>IF(AND(EB$5&gt;$E105,EB$5&lt;=$F105),IF(EB$5=$E105+1,$C105,""),"")</f>
        <v/>
      </c>
      <c r="EC105" s="34">
        <f>IF(AND(EC$5&gt;$E105,EC$5&lt;=$F105),IF(EC$5=$E105+1,$C105,""),"")</f>
        <v/>
      </c>
      <c r="ED105" s="34">
        <f>IF(AND(ED$5&gt;$E105,ED$5&lt;=$F105),IF(ED$5=$E105+1,$C105,""),"")</f>
        <v/>
      </c>
      <c r="EE105" s="34">
        <f>IF(AND(EE$5&gt;$E105,EE$5&lt;=$F105),IF(EE$5=$E105+1,$C105,""),"")</f>
        <v/>
      </c>
      <c r="EF105" s="34">
        <f>IF(AND(EF$5&gt;$E105,EF$5&lt;=$F105),IF(EF$5=$E105+1,$C105,""),"")</f>
        <v/>
      </c>
      <c r="EG105" s="34">
        <f>IF(AND(EG$5&gt;$E105,EG$5&lt;=$F105),IF(EG$5=$E105+1,$C105,""),"")</f>
        <v/>
      </c>
      <c r="EH105" s="34">
        <f>IF(AND(EH$5&gt;$E105,EH$5&lt;=$F105),IF(EH$5=$E105+1,$C105,""),"")</f>
        <v/>
      </c>
      <c r="EI105" s="34">
        <f>IF(AND(EI$5&gt;$E105,EI$5&lt;=$F105),IF(EI$5=$E105+1,$C105,""),"")</f>
        <v/>
      </c>
      <c r="EJ105" s="34">
        <f>IF(AND(EJ$5&gt;$E105,EJ$5&lt;=$F105),IF(EJ$5=$E105+1,$C105,""),"")</f>
        <v/>
      </c>
      <c r="EK105" s="34">
        <f>IF(AND(EK$5&gt;$E105,EK$5&lt;=$F105),IF(EK$5=$E105+1,$C105,""),"")</f>
        <v/>
      </c>
      <c r="EL105" s="34">
        <f>IF(AND(EL$5&gt;$E105,EL$5&lt;=$F105),IF(EL$5=$E105+1,$C105,""),"")</f>
        <v/>
      </c>
      <c r="EM105" s="34">
        <f>IF(AND(EM$5&gt;$E105,EM$5&lt;=$F105),IF(EM$5=$E105+1,$C105,""),"")</f>
        <v/>
      </c>
      <c r="EN105" s="34">
        <f>IF(AND(EN$5&gt;$E105,EN$5&lt;=$F105),IF(EN$5=$E105+1,$C105,""),"")</f>
        <v/>
      </c>
      <c r="EO105" s="34">
        <f>IF(AND(EO$5&gt;$E105,EO$5&lt;=$F105),IF(EO$5=$E105+1,$C105,""),"")</f>
        <v/>
      </c>
      <c r="EP105" s="34">
        <f>IF(AND(EP$5&gt;$E105,EP$5&lt;=$F105),IF(EP$5=$E105+1,$C105,""),"")</f>
        <v/>
      </c>
      <c r="EQ105" s="34">
        <f>IF(AND(EQ$5&gt;$E105,EQ$5&lt;=$F105),IF(EQ$5=$E105+1,$C105,""),"")</f>
        <v/>
      </c>
    </row>
    <row r="106">
      <c r="A106" s="32">
        <f>Plan!A70</f>
        <v/>
      </c>
      <c r="B106" s="33">
        <f>Plan!C70</f>
        <v/>
      </c>
      <c r="C106" s="16">
        <f>Plan!D70</f>
        <v/>
      </c>
      <c r="D106" s="16">
        <f>Plan!I70</f>
        <v/>
      </c>
      <c r="E106" s="16">
        <f>Plan!K70</f>
        <v/>
      </c>
      <c r="F106" s="16">
        <f>Plan!L70</f>
        <v/>
      </c>
      <c r="G106" s="16">
        <f>Plan!O70</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c r="DX106" s="34">
        <f>IF(AND(DX$5&gt;$E106,DX$5&lt;=$F106),IF(DX$5=$E106+1,$C106,""),"")</f>
        <v/>
      </c>
      <c r="DY106" s="34">
        <f>IF(AND(DY$5&gt;$E106,DY$5&lt;=$F106),IF(DY$5=$E106+1,$C106,""),"")</f>
        <v/>
      </c>
      <c r="DZ106" s="34">
        <f>IF(AND(DZ$5&gt;$E106,DZ$5&lt;=$F106),IF(DZ$5=$E106+1,$C106,""),"")</f>
        <v/>
      </c>
      <c r="EA106" s="34">
        <f>IF(AND(EA$5&gt;$E106,EA$5&lt;=$F106),IF(EA$5=$E106+1,$C106,""),"")</f>
        <v/>
      </c>
      <c r="EB106" s="34">
        <f>IF(AND(EB$5&gt;$E106,EB$5&lt;=$F106),IF(EB$5=$E106+1,$C106,""),"")</f>
        <v/>
      </c>
      <c r="EC106" s="34">
        <f>IF(AND(EC$5&gt;$E106,EC$5&lt;=$F106),IF(EC$5=$E106+1,$C106,""),"")</f>
        <v/>
      </c>
      <c r="ED106" s="34">
        <f>IF(AND(ED$5&gt;$E106,ED$5&lt;=$F106),IF(ED$5=$E106+1,$C106,""),"")</f>
        <v/>
      </c>
      <c r="EE106" s="34">
        <f>IF(AND(EE$5&gt;$E106,EE$5&lt;=$F106),IF(EE$5=$E106+1,$C106,""),"")</f>
        <v/>
      </c>
      <c r="EF106" s="34">
        <f>IF(AND(EF$5&gt;$E106,EF$5&lt;=$F106),IF(EF$5=$E106+1,$C106,""),"")</f>
        <v/>
      </c>
      <c r="EG106" s="34">
        <f>IF(AND(EG$5&gt;$E106,EG$5&lt;=$F106),IF(EG$5=$E106+1,$C106,""),"")</f>
        <v/>
      </c>
      <c r="EH106" s="34">
        <f>IF(AND(EH$5&gt;$E106,EH$5&lt;=$F106),IF(EH$5=$E106+1,$C106,""),"")</f>
        <v/>
      </c>
      <c r="EI106" s="34">
        <f>IF(AND(EI$5&gt;$E106,EI$5&lt;=$F106),IF(EI$5=$E106+1,$C106,""),"")</f>
        <v/>
      </c>
      <c r="EJ106" s="34">
        <f>IF(AND(EJ$5&gt;$E106,EJ$5&lt;=$F106),IF(EJ$5=$E106+1,$C106,""),"")</f>
        <v/>
      </c>
      <c r="EK106" s="34">
        <f>IF(AND(EK$5&gt;$E106,EK$5&lt;=$F106),IF(EK$5=$E106+1,$C106,""),"")</f>
        <v/>
      </c>
      <c r="EL106" s="34">
        <f>IF(AND(EL$5&gt;$E106,EL$5&lt;=$F106),IF(EL$5=$E106+1,$C106,""),"")</f>
        <v/>
      </c>
      <c r="EM106" s="34">
        <f>IF(AND(EM$5&gt;$E106,EM$5&lt;=$F106),IF(EM$5=$E106+1,$C106,""),"")</f>
        <v/>
      </c>
      <c r="EN106" s="34">
        <f>IF(AND(EN$5&gt;$E106,EN$5&lt;=$F106),IF(EN$5=$E106+1,$C106,""),"")</f>
        <v/>
      </c>
      <c r="EO106" s="34">
        <f>IF(AND(EO$5&gt;$E106,EO$5&lt;=$F106),IF(EO$5=$E106+1,$C106,""),"")</f>
        <v/>
      </c>
      <c r="EP106" s="34">
        <f>IF(AND(EP$5&gt;$E106,EP$5&lt;=$F106),IF(EP$5=$E106+1,$C106,""),"")</f>
        <v/>
      </c>
      <c r="EQ106" s="34">
        <f>IF(AND(EQ$5&gt;$E106,EQ$5&lt;=$F106),IF(EQ$5=$E106+1,$C106,""),"")</f>
        <v/>
      </c>
    </row>
    <row r="107">
      <c r="A107" s="32">
        <f>Plan!A71</f>
        <v/>
      </c>
      <c r="B107" s="33">
        <f>Plan!C71</f>
        <v/>
      </c>
      <c r="C107" s="16">
        <f>Plan!D71</f>
        <v/>
      </c>
      <c r="D107" s="16">
        <f>Plan!I71</f>
        <v/>
      </c>
      <c r="E107" s="16">
        <f>Plan!K71</f>
        <v/>
      </c>
      <c r="F107" s="16">
        <f>Plan!L71</f>
        <v/>
      </c>
      <c r="G107" s="16">
        <f>Plan!O71</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c r="DX107" s="34">
        <f>IF(AND(DX$5&gt;$E107,DX$5&lt;=$F107),IF(DX$5=$E107+1,$C107,""),"")</f>
        <v/>
      </c>
      <c r="DY107" s="34">
        <f>IF(AND(DY$5&gt;$E107,DY$5&lt;=$F107),IF(DY$5=$E107+1,$C107,""),"")</f>
        <v/>
      </c>
      <c r="DZ107" s="34">
        <f>IF(AND(DZ$5&gt;$E107,DZ$5&lt;=$F107),IF(DZ$5=$E107+1,$C107,""),"")</f>
        <v/>
      </c>
      <c r="EA107" s="34">
        <f>IF(AND(EA$5&gt;$E107,EA$5&lt;=$F107),IF(EA$5=$E107+1,$C107,""),"")</f>
        <v/>
      </c>
      <c r="EB107" s="34">
        <f>IF(AND(EB$5&gt;$E107,EB$5&lt;=$F107),IF(EB$5=$E107+1,$C107,""),"")</f>
        <v/>
      </c>
      <c r="EC107" s="34">
        <f>IF(AND(EC$5&gt;$E107,EC$5&lt;=$F107),IF(EC$5=$E107+1,$C107,""),"")</f>
        <v/>
      </c>
      <c r="ED107" s="34">
        <f>IF(AND(ED$5&gt;$E107,ED$5&lt;=$F107),IF(ED$5=$E107+1,$C107,""),"")</f>
        <v/>
      </c>
      <c r="EE107" s="34">
        <f>IF(AND(EE$5&gt;$E107,EE$5&lt;=$F107),IF(EE$5=$E107+1,$C107,""),"")</f>
        <v/>
      </c>
      <c r="EF107" s="34">
        <f>IF(AND(EF$5&gt;$E107,EF$5&lt;=$F107),IF(EF$5=$E107+1,$C107,""),"")</f>
        <v/>
      </c>
      <c r="EG107" s="34">
        <f>IF(AND(EG$5&gt;$E107,EG$5&lt;=$F107),IF(EG$5=$E107+1,$C107,""),"")</f>
        <v/>
      </c>
      <c r="EH107" s="34">
        <f>IF(AND(EH$5&gt;$E107,EH$5&lt;=$F107),IF(EH$5=$E107+1,$C107,""),"")</f>
        <v/>
      </c>
      <c r="EI107" s="34">
        <f>IF(AND(EI$5&gt;$E107,EI$5&lt;=$F107),IF(EI$5=$E107+1,$C107,""),"")</f>
        <v/>
      </c>
      <c r="EJ107" s="34">
        <f>IF(AND(EJ$5&gt;$E107,EJ$5&lt;=$F107),IF(EJ$5=$E107+1,$C107,""),"")</f>
        <v/>
      </c>
      <c r="EK107" s="34">
        <f>IF(AND(EK$5&gt;$E107,EK$5&lt;=$F107),IF(EK$5=$E107+1,$C107,""),"")</f>
        <v/>
      </c>
      <c r="EL107" s="34">
        <f>IF(AND(EL$5&gt;$E107,EL$5&lt;=$F107),IF(EL$5=$E107+1,$C107,""),"")</f>
        <v/>
      </c>
      <c r="EM107" s="34">
        <f>IF(AND(EM$5&gt;$E107,EM$5&lt;=$F107),IF(EM$5=$E107+1,$C107,""),"")</f>
        <v/>
      </c>
      <c r="EN107" s="34">
        <f>IF(AND(EN$5&gt;$E107,EN$5&lt;=$F107),IF(EN$5=$E107+1,$C107,""),"")</f>
        <v/>
      </c>
      <c r="EO107" s="34">
        <f>IF(AND(EO$5&gt;$E107,EO$5&lt;=$F107),IF(EO$5=$E107+1,$C107,""),"")</f>
        <v/>
      </c>
      <c r="EP107" s="34">
        <f>IF(AND(EP$5&gt;$E107,EP$5&lt;=$F107),IF(EP$5=$E107+1,$C107,""),"")</f>
        <v/>
      </c>
      <c r="EQ107" s="34">
        <f>IF(AND(EQ$5&gt;$E107,EQ$5&lt;=$F107),IF(EQ$5=$E107+1,$C107,""),"")</f>
        <v/>
      </c>
    </row>
    <row r="108">
      <c r="A108" s="32">
        <f>Plan!A72</f>
        <v/>
      </c>
      <c r="B108" s="33">
        <f>Plan!C72</f>
        <v/>
      </c>
      <c r="C108" s="16">
        <f>Plan!D72</f>
        <v/>
      </c>
      <c r="D108" s="16">
        <f>Plan!I72</f>
        <v/>
      </c>
      <c r="E108" s="16">
        <f>Plan!K72</f>
        <v/>
      </c>
      <c r="F108" s="16">
        <f>Plan!L72</f>
        <v/>
      </c>
      <c r="G108" s="16">
        <f>Plan!O72</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c r="DX108" s="34">
        <f>IF(AND(DX$5&gt;$E108,DX$5&lt;=$F108),IF(DX$5=$E108+1,$C108,""),"")</f>
        <v/>
      </c>
      <c r="DY108" s="34">
        <f>IF(AND(DY$5&gt;$E108,DY$5&lt;=$F108),IF(DY$5=$E108+1,$C108,""),"")</f>
        <v/>
      </c>
      <c r="DZ108" s="34">
        <f>IF(AND(DZ$5&gt;$E108,DZ$5&lt;=$F108),IF(DZ$5=$E108+1,$C108,""),"")</f>
        <v/>
      </c>
      <c r="EA108" s="34">
        <f>IF(AND(EA$5&gt;$E108,EA$5&lt;=$F108),IF(EA$5=$E108+1,$C108,""),"")</f>
        <v/>
      </c>
      <c r="EB108" s="34">
        <f>IF(AND(EB$5&gt;$E108,EB$5&lt;=$F108),IF(EB$5=$E108+1,$C108,""),"")</f>
        <v/>
      </c>
      <c r="EC108" s="34">
        <f>IF(AND(EC$5&gt;$E108,EC$5&lt;=$F108),IF(EC$5=$E108+1,$C108,""),"")</f>
        <v/>
      </c>
      <c r="ED108" s="34">
        <f>IF(AND(ED$5&gt;$E108,ED$5&lt;=$F108),IF(ED$5=$E108+1,$C108,""),"")</f>
        <v/>
      </c>
      <c r="EE108" s="34">
        <f>IF(AND(EE$5&gt;$E108,EE$5&lt;=$F108),IF(EE$5=$E108+1,$C108,""),"")</f>
        <v/>
      </c>
      <c r="EF108" s="34">
        <f>IF(AND(EF$5&gt;$E108,EF$5&lt;=$F108),IF(EF$5=$E108+1,$C108,""),"")</f>
        <v/>
      </c>
      <c r="EG108" s="34">
        <f>IF(AND(EG$5&gt;$E108,EG$5&lt;=$F108),IF(EG$5=$E108+1,$C108,""),"")</f>
        <v/>
      </c>
      <c r="EH108" s="34">
        <f>IF(AND(EH$5&gt;$E108,EH$5&lt;=$F108),IF(EH$5=$E108+1,$C108,""),"")</f>
        <v/>
      </c>
      <c r="EI108" s="34">
        <f>IF(AND(EI$5&gt;$E108,EI$5&lt;=$F108),IF(EI$5=$E108+1,$C108,""),"")</f>
        <v/>
      </c>
      <c r="EJ108" s="34">
        <f>IF(AND(EJ$5&gt;$E108,EJ$5&lt;=$F108),IF(EJ$5=$E108+1,$C108,""),"")</f>
        <v/>
      </c>
      <c r="EK108" s="34">
        <f>IF(AND(EK$5&gt;$E108,EK$5&lt;=$F108),IF(EK$5=$E108+1,$C108,""),"")</f>
        <v/>
      </c>
      <c r="EL108" s="34">
        <f>IF(AND(EL$5&gt;$E108,EL$5&lt;=$F108),IF(EL$5=$E108+1,$C108,""),"")</f>
        <v/>
      </c>
      <c r="EM108" s="34">
        <f>IF(AND(EM$5&gt;$E108,EM$5&lt;=$F108),IF(EM$5=$E108+1,$C108,""),"")</f>
        <v/>
      </c>
      <c r="EN108" s="34">
        <f>IF(AND(EN$5&gt;$E108,EN$5&lt;=$F108),IF(EN$5=$E108+1,$C108,""),"")</f>
        <v/>
      </c>
      <c r="EO108" s="34">
        <f>IF(AND(EO$5&gt;$E108,EO$5&lt;=$F108),IF(EO$5=$E108+1,$C108,""),"")</f>
        <v/>
      </c>
      <c r="EP108" s="34">
        <f>IF(AND(EP$5&gt;$E108,EP$5&lt;=$F108),IF(EP$5=$E108+1,$C108,""),"")</f>
        <v/>
      </c>
      <c r="EQ108" s="34">
        <f>IF(AND(EQ$5&gt;$E108,EQ$5&lt;=$F108),IF(EQ$5=$E108+1,$C108,""),"")</f>
        <v/>
      </c>
    </row>
    <row r="109">
      <c r="A109" s="32">
        <f>Plan!A73</f>
        <v/>
      </c>
      <c r="B109" s="33">
        <f>Plan!C73</f>
        <v/>
      </c>
      <c r="C109" s="16">
        <f>Plan!D73</f>
        <v/>
      </c>
      <c r="D109" s="16">
        <f>Plan!I73</f>
        <v/>
      </c>
      <c r="E109" s="16">
        <f>Plan!K73</f>
        <v/>
      </c>
      <c r="F109" s="16">
        <f>Plan!L73</f>
        <v/>
      </c>
      <c r="G109" s="16">
        <f>Plan!O73</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c r="DX109" s="34">
        <f>IF(AND(DX$5&gt;$E109,DX$5&lt;=$F109),IF(DX$5=$E109+1,$C109,""),"")</f>
        <v/>
      </c>
      <c r="DY109" s="34">
        <f>IF(AND(DY$5&gt;$E109,DY$5&lt;=$F109),IF(DY$5=$E109+1,$C109,""),"")</f>
        <v/>
      </c>
      <c r="DZ109" s="34">
        <f>IF(AND(DZ$5&gt;$E109,DZ$5&lt;=$F109),IF(DZ$5=$E109+1,$C109,""),"")</f>
        <v/>
      </c>
      <c r="EA109" s="34">
        <f>IF(AND(EA$5&gt;$E109,EA$5&lt;=$F109),IF(EA$5=$E109+1,$C109,""),"")</f>
        <v/>
      </c>
      <c r="EB109" s="34">
        <f>IF(AND(EB$5&gt;$E109,EB$5&lt;=$F109),IF(EB$5=$E109+1,$C109,""),"")</f>
        <v/>
      </c>
      <c r="EC109" s="34">
        <f>IF(AND(EC$5&gt;$E109,EC$5&lt;=$F109),IF(EC$5=$E109+1,$C109,""),"")</f>
        <v/>
      </c>
      <c r="ED109" s="34">
        <f>IF(AND(ED$5&gt;$E109,ED$5&lt;=$F109),IF(ED$5=$E109+1,$C109,""),"")</f>
        <v/>
      </c>
      <c r="EE109" s="34">
        <f>IF(AND(EE$5&gt;$E109,EE$5&lt;=$F109),IF(EE$5=$E109+1,$C109,""),"")</f>
        <v/>
      </c>
      <c r="EF109" s="34">
        <f>IF(AND(EF$5&gt;$E109,EF$5&lt;=$F109),IF(EF$5=$E109+1,$C109,""),"")</f>
        <v/>
      </c>
      <c r="EG109" s="34">
        <f>IF(AND(EG$5&gt;$E109,EG$5&lt;=$F109),IF(EG$5=$E109+1,$C109,""),"")</f>
        <v/>
      </c>
      <c r="EH109" s="34">
        <f>IF(AND(EH$5&gt;$E109,EH$5&lt;=$F109),IF(EH$5=$E109+1,$C109,""),"")</f>
        <v/>
      </c>
      <c r="EI109" s="34">
        <f>IF(AND(EI$5&gt;$E109,EI$5&lt;=$F109),IF(EI$5=$E109+1,$C109,""),"")</f>
        <v/>
      </c>
      <c r="EJ109" s="34">
        <f>IF(AND(EJ$5&gt;$E109,EJ$5&lt;=$F109),IF(EJ$5=$E109+1,$C109,""),"")</f>
        <v/>
      </c>
      <c r="EK109" s="34">
        <f>IF(AND(EK$5&gt;$E109,EK$5&lt;=$F109),IF(EK$5=$E109+1,$C109,""),"")</f>
        <v/>
      </c>
      <c r="EL109" s="34">
        <f>IF(AND(EL$5&gt;$E109,EL$5&lt;=$F109),IF(EL$5=$E109+1,$C109,""),"")</f>
        <v/>
      </c>
      <c r="EM109" s="34">
        <f>IF(AND(EM$5&gt;$E109,EM$5&lt;=$F109),IF(EM$5=$E109+1,$C109,""),"")</f>
        <v/>
      </c>
      <c r="EN109" s="34">
        <f>IF(AND(EN$5&gt;$E109,EN$5&lt;=$F109),IF(EN$5=$E109+1,$C109,""),"")</f>
        <v/>
      </c>
      <c r="EO109" s="34">
        <f>IF(AND(EO$5&gt;$E109,EO$5&lt;=$F109),IF(EO$5=$E109+1,$C109,""),"")</f>
        <v/>
      </c>
      <c r="EP109" s="34">
        <f>IF(AND(EP$5&gt;$E109,EP$5&lt;=$F109),IF(EP$5=$E109+1,$C109,""),"")</f>
        <v/>
      </c>
      <c r="EQ109" s="34">
        <f>IF(AND(EQ$5&gt;$E109,EQ$5&lt;=$F109),IF(EQ$5=$E109+1,$C109,""),"")</f>
        <v/>
      </c>
    </row>
    <row r="110">
      <c r="A110" s="32">
        <f>Plan!A74</f>
        <v/>
      </c>
      <c r="B110" s="33">
        <f>Plan!C74</f>
        <v/>
      </c>
      <c r="C110" s="16">
        <f>Plan!D74</f>
        <v/>
      </c>
      <c r="D110" s="16">
        <f>Plan!I74</f>
        <v/>
      </c>
      <c r="E110" s="16">
        <f>Plan!K74</f>
        <v/>
      </c>
      <c r="F110" s="16">
        <f>Plan!L74</f>
        <v/>
      </c>
      <c r="G110" s="16">
        <f>Plan!O74</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c r="DX110" s="34">
        <f>IF(AND(DX$5&gt;$E110,DX$5&lt;=$F110),IF(DX$5=$E110+1,$C110,""),"")</f>
        <v/>
      </c>
      <c r="DY110" s="34">
        <f>IF(AND(DY$5&gt;$E110,DY$5&lt;=$F110),IF(DY$5=$E110+1,$C110,""),"")</f>
        <v/>
      </c>
      <c r="DZ110" s="34">
        <f>IF(AND(DZ$5&gt;$E110,DZ$5&lt;=$F110),IF(DZ$5=$E110+1,$C110,""),"")</f>
        <v/>
      </c>
      <c r="EA110" s="34">
        <f>IF(AND(EA$5&gt;$E110,EA$5&lt;=$F110),IF(EA$5=$E110+1,$C110,""),"")</f>
        <v/>
      </c>
      <c r="EB110" s="34">
        <f>IF(AND(EB$5&gt;$E110,EB$5&lt;=$F110),IF(EB$5=$E110+1,$C110,""),"")</f>
        <v/>
      </c>
      <c r="EC110" s="34">
        <f>IF(AND(EC$5&gt;$E110,EC$5&lt;=$F110),IF(EC$5=$E110+1,$C110,""),"")</f>
        <v/>
      </c>
      <c r="ED110" s="34">
        <f>IF(AND(ED$5&gt;$E110,ED$5&lt;=$F110),IF(ED$5=$E110+1,$C110,""),"")</f>
        <v/>
      </c>
      <c r="EE110" s="34">
        <f>IF(AND(EE$5&gt;$E110,EE$5&lt;=$F110),IF(EE$5=$E110+1,$C110,""),"")</f>
        <v/>
      </c>
      <c r="EF110" s="34">
        <f>IF(AND(EF$5&gt;$E110,EF$5&lt;=$F110),IF(EF$5=$E110+1,$C110,""),"")</f>
        <v/>
      </c>
      <c r="EG110" s="34">
        <f>IF(AND(EG$5&gt;$E110,EG$5&lt;=$F110),IF(EG$5=$E110+1,$C110,""),"")</f>
        <v/>
      </c>
      <c r="EH110" s="34">
        <f>IF(AND(EH$5&gt;$E110,EH$5&lt;=$F110),IF(EH$5=$E110+1,$C110,""),"")</f>
        <v/>
      </c>
      <c r="EI110" s="34">
        <f>IF(AND(EI$5&gt;$E110,EI$5&lt;=$F110),IF(EI$5=$E110+1,$C110,""),"")</f>
        <v/>
      </c>
      <c r="EJ110" s="34">
        <f>IF(AND(EJ$5&gt;$E110,EJ$5&lt;=$F110),IF(EJ$5=$E110+1,$C110,""),"")</f>
        <v/>
      </c>
      <c r="EK110" s="34">
        <f>IF(AND(EK$5&gt;$E110,EK$5&lt;=$F110),IF(EK$5=$E110+1,$C110,""),"")</f>
        <v/>
      </c>
      <c r="EL110" s="34">
        <f>IF(AND(EL$5&gt;$E110,EL$5&lt;=$F110),IF(EL$5=$E110+1,$C110,""),"")</f>
        <v/>
      </c>
      <c r="EM110" s="34">
        <f>IF(AND(EM$5&gt;$E110,EM$5&lt;=$F110),IF(EM$5=$E110+1,$C110,""),"")</f>
        <v/>
      </c>
      <c r="EN110" s="34">
        <f>IF(AND(EN$5&gt;$E110,EN$5&lt;=$F110),IF(EN$5=$E110+1,$C110,""),"")</f>
        <v/>
      </c>
      <c r="EO110" s="34">
        <f>IF(AND(EO$5&gt;$E110,EO$5&lt;=$F110),IF(EO$5=$E110+1,$C110,""),"")</f>
        <v/>
      </c>
      <c r="EP110" s="34">
        <f>IF(AND(EP$5&gt;$E110,EP$5&lt;=$F110),IF(EP$5=$E110+1,$C110,""),"")</f>
        <v/>
      </c>
      <c r="EQ110" s="34">
        <f>IF(AND(EQ$5&gt;$E110,EQ$5&lt;=$F110),IF(EQ$5=$E110+1,$C110,""),"")</f>
        <v/>
      </c>
    </row>
    <row r="111">
      <c r="A111" s="32">
        <f>Plan!A75</f>
        <v/>
      </c>
      <c r="B111" s="33">
        <f>Plan!C75</f>
        <v/>
      </c>
      <c r="C111" s="16">
        <f>Plan!D75</f>
        <v/>
      </c>
      <c r="D111" s="16">
        <f>Plan!I75</f>
        <v/>
      </c>
      <c r="E111" s="16">
        <f>Plan!K75</f>
        <v/>
      </c>
      <c r="F111" s="16">
        <f>Plan!L75</f>
        <v/>
      </c>
      <c r="G111" s="16">
        <f>Plan!O75</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c r="DX111" s="34">
        <f>IF(AND(DX$5&gt;$E111,DX$5&lt;=$F111),IF(DX$5=$E111+1,$C111,""),"")</f>
        <v/>
      </c>
      <c r="DY111" s="34">
        <f>IF(AND(DY$5&gt;$E111,DY$5&lt;=$F111),IF(DY$5=$E111+1,$C111,""),"")</f>
        <v/>
      </c>
      <c r="DZ111" s="34">
        <f>IF(AND(DZ$5&gt;$E111,DZ$5&lt;=$F111),IF(DZ$5=$E111+1,$C111,""),"")</f>
        <v/>
      </c>
      <c r="EA111" s="34">
        <f>IF(AND(EA$5&gt;$E111,EA$5&lt;=$F111),IF(EA$5=$E111+1,$C111,""),"")</f>
        <v/>
      </c>
      <c r="EB111" s="34">
        <f>IF(AND(EB$5&gt;$E111,EB$5&lt;=$F111),IF(EB$5=$E111+1,$C111,""),"")</f>
        <v/>
      </c>
      <c r="EC111" s="34">
        <f>IF(AND(EC$5&gt;$E111,EC$5&lt;=$F111),IF(EC$5=$E111+1,$C111,""),"")</f>
        <v/>
      </c>
      <c r="ED111" s="34">
        <f>IF(AND(ED$5&gt;$E111,ED$5&lt;=$F111),IF(ED$5=$E111+1,$C111,""),"")</f>
        <v/>
      </c>
      <c r="EE111" s="34">
        <f>IF(AND(EE$5&gt;$E111,EE$5&lt;=$F111),IF(EE$5=$E111+1,$C111,""),"")</f>
        <v/>
      </c>
      <c r="EF111" s="34">
        <f>IF(AND(EF$5&gt;$E111,EF$5&lt;=$F111),IF(EF$5=$E111+1,$C111,""),"")</f>
        <v/>
      </c>
      <c r="EG111" s="34">
        <f>IF(AND(EG$5&gt;$E111,EG$5&lt;=$F111),IF(EG$5=$E111+1,$C111,""),"")</f>
        <v/>
      </c>
      <c r="EH111" s="34">
        <f>IF(AND(EH$5&gt;$E111,EH$5&lt;=$F111),IF(EH$5=$E111+1,$C111,""),"")</f>
        <v/>
      </c>
      <c r="EI111" s="34">
        <f>IF(AND(EI$5&gt;$E111,EI$5&lt;=$F111),IF(EI$5=$E111+1,$C111,""),"")</f>
        <v/>
      </c>
      <c r="EJ111" s="34">
        <f>IF(AND(EJ$5&gt;$E111,EJ$5&lt;=$F111),IF(EJ$5=$E111+1,$C111,""),"")</f>
        <v/>
      </c>
      <c r="EK111" s="34">
        <f>IF(AND(EK$5&gt;$E111,EK$5&lt;=$F111),IF(EK$5=$E111+1,$C111,""),"")</f>
        <v/>
      </c>
      <c r="EL111" s="34">
        <f>IF(AND(EL$5&gt;$E111,EL$5&lt;=$F111),IF(EL$5=$E111+1,$C111,""),"")</f>
        <v/>
      </c>
      <c r="EM111" s="34">
        <f>IF(AND(EM$5&gt;$E111,EM$5&lt;=$F111),IF(EM$5=$E111+1,$C111,""),"")</f>
        <v/>
      </c>
      <c r="EN111" s="34">
        <f>IF(AND(EN$5&gt;$E111,EN$5&lt;=$F111),IF(EN$5=$E111+1,$C111,""),"")</f>
        <v/>
      </c>
      <c r="EO111" s="34">
        <f>IF(AND(EO$5&gt;$E111,EO$5&lt;=$F111),IF(EO$5=$E111+1,$C111,""),"")</f>
        <v/>
      </c>
      <c r="EP111" s="34">
        <f>IF(AND(EP$5&gt;$E111,EP$5&lt;=$F111),IF(EP$5=$E111+1,$C111,""),"")</f>
        <v/>
      </c>
      <c r="EQ111" s="34">
        <f>IF(AND(EQ$5&gt;$E111,EQ$5&lt;=$F111),IF(EQ$5=$E111+1,$C111,""),"")</f>
        <v/>
      </c>
    </row>
    <row r="112">
      <c r="A112" s="32">
        <f>Plan!A76</f>
        <v/>
      </c>
      <c r="B112" s="33">
        <f>Plan!C76</f>
        <v/>
      </c>
      <c r="C112" s="16">
        <f>Plan!D76</f>
        <v/>
      </c>
      <c r="D112" s="16">
        <f>Plan!I76</f>
        <v/>
      </c>
      <c r="E112" s="16">
        <f>Plan!K76</f>
        <v/>
      </c>
      <c r="F112" s="16">
        <f>Plan!L76</f>
        <v/>
      </c>
      <c r="G112" s="16">
        <f>Plan!O76</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c r="DX112" s="34">
        <f>IF(AND(DX$5&gt;$E112,DX$5&lt;=$F112),IF(DX$5=$E112+1,$C112,""),"")</f>
        <v/>
      </c>
      <c r="DY112" s="34">
        <f>IF(AND(DY$5&gt;$E112,DY$5&lt;=$F112),IF(DY$5=$E112+1,$C112,""),"")</f>
        <v/>
      </c>
      <c r="DZ112" s="34">
        <f>IF(AND(DZ$5&gt;$E112,DZ$5&lt;=$F112),IF(DZ$5=$E112+1,$C112,""),"")</f>
        <v/>
      </c>
      <c r="EA112" s="34">
        <f>IF(AND(EA$5&gt;$E112,EA$5&lt;=$F112),IF(EA$5=$E112+1,$C112,""),"")</f>
        <v/>
      </c>
      <c r="EB112" s="34">
        <f>IF(AND(EB$5&gt;$E112,EB$5&lt;=$F112),IF(EB$5=$E112+1,$C112,""),"")</f>
        <v/>
      </c>
      <c r="EC112" s="34">
        <f>IF(AND(EC$5&gt;$E112,EC$5&lt;=$F112),IF(EC$5=$E112+1,$C112,""),"")</f>
        <v/>
      </c>
      <c r="ED112" s="34">
        <f>IF(AND(ED$5&gt;$E112,ED$5&lt;=$F112),IF(ED$5=$E112+1,$C112,""),"")</f>
        <v/>
      </c>
      <c r="EE112" s="34">
        <f>IF(AND(EE$5&gt;$E112,EE$5&lt;=$F112),IF(EE$5=$E112+1,$C112,""),"")</f>
        <v/>
      </c>
      <c r="EF112" s="34">
        <f>IF(AND(EF$5&gt;$E112,EF$5&lt;=$F112),IF(EF$5=$E112+1,$C112,""),"")</f>
        <v/>
      </c>
      <c r="EG112" s="34">
        <f>IF(AND(EG$5&gt;$E112,EG$5&lt;=$F112),IF(EG$5=$E112+1,$C112,""),"")</f>
        <v/>
      </c>
      <c r="EH112" s="34">
        <f>IF(AND(EH$5&gt;$E112,EH$5&lt;=$F112),IF(EH$5=$E112+1,$C112,""),"")</f>
        <v/>
      </c>
      <c r="EI112" s="34">
        <f>IF(AND(EI$5&gt;$E112,EI$5&lt;=$F112),IF(EI$5=$E112+1,$C112,""),"")</f>
        <v/>
      </c>
      <c r="EJ112" s="34">
        <f>IF(AND(EJ$5&gt;$E112,EJ$5&lt;=$F112),IF(EJ$5=$E112+1,$C112,""),"")</f>
        <v/>
      </c>
      <c r="EK112" s="34">
        <f>IF(AND(EK$5&gt;$E112,EK$5&lt;=$F112),IF(EK$5=$E112+1,$C112,""),"")</f>
        <v/>
      </c>
      <c r="EL112" s="34">
        <f>IF(AND(EL$5&gt;$E112,EL$5&lt;=$F112),IF(EL$5=$E112+1,$C112,""),"")</f>
        <v/>
      </c>
      <c r="EM112" s="34">
        <f>IF(AND(EM$5&gt;$E112,EM$5&lt;=$F112),IF(EM$5=$E112+1,$C112,""),"")</f>
        <v/>
      </c>
      <c r="EN112" s="34">
        <f>IF(AND(EN$5&gt;$E112,EN$5&lt;=$F112),IF(EN$5=$E112+1,$C112,""),"")</f>
        <v/>
      </c>
      <c r="EO112" s="34">
        <f>IF(AND(EO$5&gt;$E112,EO$5&lt;=$F112),IF(EO$5=$E112+1,$C112,""),"")</f>
        <v/>
      </c>
      <c r="EP112" s="34">
        <f>IF(AND(EP$5&gt;$E112,EP$5&lt;=$F112),IF(EP$5=$E112+1,$C112,""),"")</f>
        <v/>
      </c>
      <c r="EQ112" s="34">
        <f>IF(AND(EQ$5&gt;$E112,EQ$5&lt;=$F112),IF(EQ$5=$E112+1,$C112,""),"")</f>
        <v/>
      </c>
    </row>
    <row r="113">
      <c r="A113" s="32">
        <f>Plan!A79</f>
        <v/>
      </c>
      <c r="B113" s="33">
        <f>Plan!C79</f>
        <v/>
      </c>
      <c r="C113" s="16">
        <f>Plan!D79</f>
        <v/>
      </c>
      <c r="D113" s="16">
        <f>Plan!I79</f>
        <v/>
      </c>
      <c r="E113" s="16">
        <f>Plan!K79</f>
        <v/>
      </c>
      <c r="F113" s="16">
        <f>Plan!L79</f>
        <v/>
      </c>
      <c r="G113" s="16">
        <f>Plan!O79</f>
        <v/>
      </c>
      <c r="H113" s="34">
        <f>IF(AND(H$5&gt;$E113,H$5&lt;=$F113),IF(H$5=$E113+1,$C113,""),"")</f>
        <v/>
      </c>
      <c r="I113" s="34">
        <f>IF(AND(I$5&gt;$E113,I$5&lt;=$F113),IF(I$5=$E113+1,$C113,""),"")</f>
        <v/>
      </c>
      <c r="J113" s="34">
        <f>IF(AND(J$5&gt;$E113,J$5&lt;=$F113),IF(J$5=$E113+1,$C113,""),"")</f>
        <v/>
      </c>
      <c r="K113" s="34">
        <f>IF(AND(K$5&gt;$E113,K$5&lt;=$F113),IF(K$5=$E113+1,$C113,""),"")</f>
        <v/>
      </c>
      <c r="L113" s="34">
        <f>IF(AND(L$5&gt;$E113,L$5&lt;=$F113),IF(L$5=$E113+1,$C113,""),"")</f>
        <v/>
      </c>
      <c r="M113" s="34">
        <f>IF(AND(M$5&gt;$E113,M$5&lt;=$F113),IF(M$5=$E113+1,$C113,""),"")</f>
        <v/>
      </c>
      <c r="N113" s="34">
        <f>IF(AND(N$5&gt;$E113,N$5&lt;=$F113),IF(N$5=$E113+1,$C113,""),"")</f>
        <v/>
      </c>
      <c r="O113" s="34">
        <f>IF(AND(O$5&gt;$E113,O$5&lt;=$F113),IF(O$5=$E113+1,$C113,""),"")</f>
        <v/>
      </c>
      <c r="P113" s="34">
        <f>IF(AND(P$5&gt;$E113,P$5&lt;=$F113),IF(P$5=$E113+1,$C113,""),"")</f>
        <v/>
      </c>
      <c r="Q113" s="34">
        <f>IF(AND(Q$5&gt;$E113,Q$5&lt;=$F113),IF(Q$5=$E113+1,$C113,""),"")</f>
        <v/>
      </c>
      <c r="R113" s="34">
        <f>IF(AND(R$5&gt;$E113,R$5&lt;=$F113),IF(R$5=$E113+1,$C113,""),"")</f>
        <v/>
      </c>
      <c r="S113" s="34">
        <f>IF(AND(S$5&gt;$E113,S$5&lt;=$F113),IF(S$5=$E113+1,$C113,""),"")</f>
        <v/>
      </c>
      <c r="T113" s="34">
        <f>IF(AND(T$5&gt;$E113,T$5&lt;=$F113),IF(T$5=$E113+1,$C113,""),"")</f>
        <v/>
      </c>
      <c r="U113" s="34">
        <f>IF(AND(U$5&gt;$E113,U$5&lt;=$F113),IF(U$5=$E113+1,$C113,""),"")</f>
        <v/>
      </c>
      <c r="V113" s="34">
        <f>IF(AND(V$5&gt;$E113,V$5&lt;=$F113),IF(V$5=$E113+1,$C113,""),"")</f>
        <v/>
      </c>
      <c r="W113" s="34">
        <f>IF(AND(W$5&gt;$E113,W$5&lt;=$F113),IF(W$5=$E113+1,$C113,""),"")</f>
        <v/>
      </c>
      <c r="X113" s="34">
        <f>IF(AND(X$5&gt;$E113,X$5&lt;=$F113),IF(X$5=$E113+1,$C113,""),"")</f>
        <v/>
      </c>
      <c r="Y113" s="34">
        <f>IF(AND(Y$5&gt;$E113,Y$5&lt;=$F113),IF(Y$5=$E113+1,$C113,""),"")</f>
        <v/>
      </c>
      <c r="Z113" s="34">
        <f>IF(AND(Z$5&gt;$E113,Z$5&lt;=$F113),IF(Z$5=$E113+1,$C113,""),"")</f>
        <v/>
      </c>
      <c r="AA113" s="34">
        <f>IF(AND(AA$5&gt;$E113,AA$5&lt;=$F113),IF(AA$5=$E113+1,$C113,""),"")</f>
        <v/>
      </c>
      <c r="AB113" s="34">
        <f>IF(AND(AB$5&gt;$E113,AB$5&lt;=$F113),IF(AB$5=$E113+1,$C113,""),"")</f>
        <v/>
      </c>
      <c r="AC113" s="34">
        <f>IF(AND(AC$5&gt;$E113,AC$5&lt;=$F113),IF(AC$5=$E113+1,$C113,""),"")</f>
        <v/>
      </c>
      <c r="AD113" s="34">
        <f>IF(AND(AD$5&gt;$E113,AD$5&lt;=$F113),IF(AD$5=$E113+1,$C113,""),"")</f>
        <v/>
      </c>
      <c r="AE113" s="34">
        <f>IF(AND(AE$5&gt;$E113,AE$5&lt;=$F113),IF(AE$5=$E113+1,$C113,""),"")</f>
        <v/>
      </c>
      <c r="AF113" s="34">
        <f>IF(AND(AF$5&gt;$E113,AF$5&lt;=$F113),IF(AF$5=$E113+1,$C113,""),"")</f>
        <v/>
      </c>
      <c r="AG113" s="34">
        <f>IF(AND(AG$5&gt;$E113,AG$5&lt;=$F113),IF(AG$5=$E113+1,$C113,""),"")</f>
        <v/>
      </c>
      <c r="AH113" s="34">
        <f>IF(AND(AH$5&gt;$E113,AH$5&lt;=$F113),IF(AH$5=$E113+1,$C113,""),"")</f>
        <v/>
      </c>
      <c r="AI113" s="34">
        <f>IF(AND(AI$5&gt;$E113,AI$5&lt;=$F113),IF(AI$5=$E113+1,$C113,""),"")</f>
        <v/>
      </c>
      <c r="AJ113" s="34">
        <f>IF(AND(AJ$5&gt;$E113,AJ$5&lt;=$F113),IF(AJ$5=$E113+1,$C113,""),"")</f>
        <v/>
      </c>
      <c r="AK113" s="34">
        <f>IF(AND(AK$5&gt;$E113,AK$5&lt;=$F113),IF(AK$5=$E113+1,$C113,""),"")</f>
        <v/>
      </c>
      <c r="AL113" s="34">
        <f>IF(AND(AL$5&gt;$E113,AL$5&lt;=$F113),IF(AL$5=$E113+1,$C113,""),"")</f>
        <v/>
      </c>
      <c r="AM113" s="34">
        <f>IF(AND(AM$5&gt;$E113,AM$5&lt;=$F113),IF(AM$5=$E113+1,$C113,""),"")</f>
        <v/>
      </c>
      <c r="AN113" s="34">
        <f>IF(AND(AN$5&gt;$E113,AN$5&lt;=$F113),IF(AN$5=$E113+1,$C113,""),"")</f>
        <v/>
      </c>
      <c r="AO113" s="34">
        <f>IF(AND(AO$5&gt;$E113,AO$5&lt;=$F113),IF(AO$5=$E113+1,$C113,""),"")</f>
        <v/>
      </c>
      <c r="AP113" s="34">
        <f>IF(AND(AP$5&gt;$E113,AP$5&lt;=$F113),IF(AP$5=$E113+1,$C113,""),"")</f>
        <v/>
      </c>
      <c r="AQ113" s="34">
        <f>IF(AND(AQ$5&gt;$E113,AQ$5&lt;=$F113),IF(AQ$5=$E113+1,$C113,""),"")</f>
        <v/>
      </c>
      <c r="AR113" s="34">
        <f>IF(AND(AR$5&gt;$E113,AR$5&lt;=$F113),IF(AR$5=$E113+1,$C113,""),"")</f>
        <v/>
      </c>
      <c r="AS113" s="34">
        <f>IF(AND(AS$5&gt;$E113,AS$5&lt;=$F113),IF(AS$5=$E113+1,$C113,""),"")</f>
        <v/>
      </c>
      <c r="AT113" s="34">
        <f>IF(AND(AT$5&gt;$E113,AT$5&lt;=$F113),IF(AT$5=$E113+1,$C113,""),"")</f>
        <v/>
      </c>
      <c r="AU113" s="34">
        <f>IF(AND(AU$5&gt;$E113,AU$5&lt;=$F113),IF(AU$5=$E113+1,$C113,""),"")</f>
        <v/>
      </c>
      <c r="AV113" s="34">
        <f>IF(AND(AV$5&gt;$E113,AV$5&lt;=$F113),IF(AV$5=$E113+1,$C113,""),"")</f>
        <v/>
      </c>
      <c r="AW113" s="34">
        <f>IF(AND(AW$5&gt;$E113,AW$5&lt;=$F113),IF(AW$5=$E113+1,$C113,""),"")</f>
        <v/>
      </c>
      <c r="AX113" s="34">
        <f>IF(AND(AX$5&gt;$E113,AX$5&lt;=$F113),IF(AX$5=$E113+1,$C113,""),"")</f>
        <v/>
      </c>
      <c r="AY113" s="34">
        <f>IF(AND(AY$5&gt;$E113,AY$5&lt;=$F113),IF(AY$5=$E113+1,$C113,""),"")</f>
        <v/>
      </c>
      <c r="AZ113" s="34">
        <f>IF(AND(AZ$5&gt;$E113,AZ$5&lt;=$F113),IF(AZ$5=$E113+1,$C113,""),"")</f>
        <v/>
      </c>
      <c r="BA113" s="34">
        <f>IF(AND(BA$5&gt;$E113,BA$5&lt;=$F113),IF(BA$5=$E113+1,$C113,""),"")</f>
        <v/>
      </c>
      <c r="BB113" s="34">
        <f>IF(AND(BB$5&gt;$E113,BB$5&lt;=$F113),IF(BB$5=$E113+1,$C113,""),"")</f>
        <v/>
      </c>
      <c r="BC113" s="34">
        <f>IF(AND(BC$5&gt;$E113,BC$5&lt;=$F113),IF(BC$5=$E113+1,$C113,""),"")</f>
        <v/>
      </c>
      <c r="BD113" s="34">
        <f>IF(AND(BD$5&gt;$E113,BD$5&lt;=$F113),IF(BD$5=$E113+1,$C113,""),"")</f>
        <v/>
      </c>
      <c r="BE113" s="34">
        <f>IF(AND(BE$5&gt;$E113,BE$5&lt;=$F113),IF(BE$5=$E113+1,$C113,""),"")</f>
        <v/>
      </c>
      <c r="BF113" s="34">
        <f>IF(AND(BF$5&gt;$E113,BF$5&lt;=$F113),IF(BF$5=$E113+1,$C113,""),"")</f>
        <v/>
      </c>
      <c r="BG113" s="34">
        <f>IF(AND(BG$5&gt;$E113,BG$5&lt;=$F113),IF(BG$5=$E113+1,$C113,""),"")</f>
        <v/>
      </c>
      <c r="BH113" s="34">
        <f>IF(AND(BH$5&gt;$E113,BH$5&lt;=$F113),IF(BH$5=$E113+1,$C113,""),"")</f>
        <v/>
      </c>
      <c r="BI113" s="34">
        <f>IF(AND(BI$5&gt;$E113,BI$5&lt;=$F113),IF(BI$5=$E113+1,$C113,""),"")</f>
        <v/>
      </c>
      <c r="BJ113" s="34">
        <f>IF(AND(BJ$5&gt;$E113,BJ$5&lt;=$F113),IF(BJ$5=$E113+1,$C113,""),"")</f>
        <v/>
      </c>
      <c r="BK113" s="34">
        <f>IF(AND(BK$5&gt;$E113,BK$5&lt;=$F113),IF(BK$5=$E113+1,$C113,""),"")</f>
        <v/>
      </c>
      <c r="BL113" s="34">
        <f>IF(AND(BL$5&gt;$E113,BL$5&lt;=$F113),IF(BL$5=$E113+1,$C113,""),"")</f>
        <v/>
      </c>
      <c r="BM113" s="34">
        <f>IF(AND(BM$5&gt;$E113,BM$5&lt;=$F113),IF(BM$5=$E113+1,$C113,""),"")</f>
        <v/>
      </c>
      <c r="BN113" s="34">
        <f>IF(AND(BN$5&gt;$E113,BN$5&lt;=$F113),IF(BN$5=$E113+1,$C113,""),"")</f>
        <v/>
      </c>
      <c r="BO113" s="34">
        <f>IF(AND(BO$5&gt;$E113,BO$5&lt;=$F113),IF(BO$5=$E113+1,$C113,""),"")</f>
        <v/>
      </c>
      <c r="BP113" s="34">
        <f>IF(AND(BP$5&gt;$E113,BP$5&lt;=$F113),IF(BP$5=$E113+1,$C113,""),"")</f>
        <v/>
      </c>
      <c r="BQ113" s="34">
        <f>IF(AND(BQ$5&gt;$E113,BQ$5&lt;=$F113),IF(BQ$5=$E113+1,$C113,""),"")</f>
        <v/>
      </c>
      <c r="BR113" s="34">
        <f>IF(AND(BR$5&gt;$E113,BR$5&lt;=$F113),IF(BR$5=$E113+1,$C113,""),"")</f>
        <v/>
      </c>
      <c r="BS113" s="34">
        <f>IF(AND(BS$5&gt;$E113,BS$5&lt;=$F113),IF(BS$5=$E113+1,$C113,""),"")</f>
        <v/>
      </c>
      <c r="BT113" s="34">
        <f>IF(AND(BT$5&gt;$E113,BT$5&lt;=$F113),IF(BT$5=$E113+1,$C113,""),"")</f>
        <v/>
      </c>
      <c r="BU113" s="34">
        <f>IF(AND(BU$5&gt;$E113,BU$5&lt;=$F113),IF(BU$5=$E113+1,$C113,""),"")</f>
        <v/>
      </c>
      <c r="BV113" s="34">
        <f>IF(AND(BV$5&gt;$E113,BV$5&lt;=$F113),IF(BV$5=$E113+1,$C113,""),"")</f>
        <v/>
      </c>
      <c r="BW113" s="34">
        <f>IF(AND(BW$5&gt;$E113,BW$5&lt;=$F113),IF(BW$5=$E113+1,$C113,""),"")</f>
        <v/>
      </c>
      <c r="BX113" s="34">
        <f>IF(AND(BX$5&gt;$E113,BX$5&lt;=$F113),IF(BX$5=$E113+1,$C113,""),"")</f>
        <v/>
      </c>
      <c r="BY113" s="34">
        <f>IF(AND(BY$5&gt;$E113,BY$5&lt;=$F113),IF(BY$5=$E113+1,$C113,""),"")</f>
        <v/>
      </c>
      <c r="BZ113" s="34">
        <f>IF(AND(BZ$5&gt;$E113,BZ$5&lt;=$F113),IF(BZ$5=$E113+1,$C113,""),"")</f>
        <v/>
      </c>
      <c r="CA113" s="34">
        <f>IF(AND(CA$5&gt;$E113,CA$5&lt;=$F113),IF(CA$5=$E113+1,$C113,""),"")</f>
        <v/>
      </c>
      <c r="CB113" s="34">
        <f>IF(AND(CB$5&gt;$E113,CB$5&lt;=$F113),IF(CB$5=$E113+1,$C113,""),"")</f>
        <v/>
      </c>
      <c r="CC113" s="34">
        <f>IF(AND(CC$5&gt;$E113,CC$5&lt;=$F113),IF(CC$5=$E113+1,$C113,""),"")</f>
        <v/>
      </c>
      <c r="CD113" s="34">
        <f>IF(AND(CD$5&gt;$E113,CD$5&lt;=$F113),IF(CD$5=$E113+1,$C113,""),"")</f>
        <v/>
      </c>
      <c r="CE113" s="34">
        <f>IF(AND(CE$5&gt;$E113,CE$5&lt;=$F113),IF(CE$5=$E113+1,$C113,""),"")</f>
        <v/>
      </c>
      <c r="CF113" s="34">
        <f>IF(AND(CF$5&gt;$E113,CF$5&lt;=$F113),IF(CF$5=$E113+1,$C113,""),"")</f>
        <v/>
      </c>
      <c r="CG113" s="34">
        <f>IF(AND(CG$5&gt;$E113,CG$5&lt;=$F113),IF(CG$5=$E113+1,$C113,""),"")</f>
        <v/>
      </c>
      <c r="CH113" s="34">
        <f>IF(AND(CH$5&gt;$E113,CH$5&lt;=$F113),IF(CH$5=$E113+1,$C113,""),"")</f>
        <v/>
      </c>
      <c r="CI113" s="34">
        <f>IF(AND(CI$5&gt;$E113,CI$5&lt;=$F113),IF(CI$5=$E113+1,$C113,""),"")</f>
        <v/>
      </c>
      <c r="CJ113" s="34">
        <f>IF(AND(CJ$5&gt;$E113,CJ$5&lt;=$F113),IF(CJ$5=$E113+1,$C113,""),"")</f>
        <v/>
      </c>
      <c r="CK113" s="34">
        <f>IF(AND(CK$5&gt;$E113,CK$5&lt;=$F113),IF(CK$5=$E113+1,$C113,""),"")</f>
        <v/>
      </c>
      <c r="CL113" s="34">
        <f>IF(AND(CL$5&gt;$E113,CL$5&lt;=$F113),IF(CL$5=$E113+1,$C113,""),"")</f>
        <v/>
      </c>
      <c r="CM113" s="34">
        <f>IF(AND(CM$5&gt;$E113,CM$5&lt;=$F113),IF(CM$5=$E113+1,$C113,""),"")</f>
        <v/>
      </c>
      <c r="CN113" s="34">
        <f>IF(AND(CN$5&gt;$E113,CN$5&lt;=$F113),IF(CN$5=$E113+1,$C113,""),"")</f>
        <v/>
      </c>
      <c r="CO113" s="34">
        <f>IF(AND(CO$5&gt;$E113,CO$5&lt;=$F113),IF(CO$5=$E113+1,$C113,""),"")</f>
        <v/>
      </c>
      <c r="CP113" s="34">
        <f>IF(AND(CP$5&gt;$E113,CP$5&lt;=$F113),IF(CP$5=$E113+1,$C113,""),"")</f>
        <v/>
      </c>
      <c r="CQ113" s="34">
        <f>IF(AND(CQ$5&gt;$E113,CQ$5&lt;=$F113),IF(CQ$5=$E113+1,$C113,""),"")</f>
        <v/>
      </c>
      <c r="CR113" s="34">
        <f>IF(AND(CR$5&gt;$E113,CR$5&lt;=$F113),IF(CR$5=$E113+1,$C113,""),"")</f>
        <v/>
      </c>
      <c r="CS113" s="34">
        <f>IF(AND(CS$5&gt;$E113,CS$5&lt;=$F113),IF(CS$5=$E113+1,$C113,""),"")</f>
        <v/>
      </c>
      <c r="CT113" s="34">
        <f>IF(AND(CT$5&gt;$E113,CT$5&lt;=$F113),IF(CT$5=$E113+1,$C113,""),"")</f>
        <v/>
      </c>
      <c r="CU113" s="34">
        <f>IF(AND(CU$5&gt;$E113,CU$5&lt;=$F113),IF(CU$5=$E113+1,$C113,""),"")</f>
        <v/>
      </c>
      <c r="CV113" s="34">
        <f>IF(AND(CV$5&gt;$E113,CV$5&lt;=$F113),IF(CV$5=$E113+1,$C113,""),"")</f>
        <v/>
      </c>
      <c r="CW113" s="34">
        <f>IF(AND(CW$5&gt;$E113,CW$5&lt;=$F113),IF(CW$5=$E113+1,$C113,""),"")</f>
        <v/>
      </c>
      <c r="CX113" s="34">
        <f>IF(AND(CX$5&gt;$E113,CX$5&lt;=$F113),IF(CX$5=$E113+1,$C113,""),"")</f>
        <v/>
      </c>
      <c r="CY113" s="34">
        <f>IF(AND(CY$5&gt;$E113,CY$5&lt;=$F113),IF(CY$5=$E113+1,$C113,""),"")</f>
        <v/>
      </c>
      <c r="CZ113" s="34">
        <f>IF(AND(CZ$5&gt;$E113,CZ$5&lt;=$F113),IF(CZ$5=$E113+1,$C113,""),"")</f>
        <v/>
      </c>
      <c r="DA113" s="34">
        <f>IF(AND(DA$5&gt;$E113,DA$5&lt;=$F113),IF(DA$5=$E113+1,$C113,""),"")</f>
        <v/>
      </c>
      <c r="DB113" s="34">
        <f>IF(AND(DB$5&gt;$E113,DB$5&lt;=$F113),IF(DB$5=$E113+1,$C113,""),"")</f>
        <v/>
      </c>
      <c r="DC113" s="34">
        <f>IF(AND(DC$5&gt;$E113,DC$5&lt;=$F113),IF(DC$5=$E113+1,$C113,""),"")</f>
        <v/>
      </c>
      <c r="DD113" s="34">
        <f>IF(AND(DD$5&gt;$E113,DD$5&lt;=$F113),IF(DD$5=$E113+1,$C113,""),"")</f>
        <v/>
      </c>
      <c r="DE113" s="34">
        <f>IF(AND(DE$5&gt;$E113,DE$5&lt;=$F113),IF(DE$5=$E113+1,$C113,""),"")</f>
        <v/>
      </c>
      <c r="DF113" s="34">
        <f>IF(AND(DF$5&gt;$E113,DF$5&lt;=$F113),IF(DF$5=$E113+1,$C113,""),"")</f>
        <v/>
      </c>
      <c r="DG113" s="34">
        <f>IF(AND(DG$5&gt;$E113,DG$5&lt;=$F113),IF(DG$5=$E113+1,$C113,""),"")</f>
        <v/>
      </c>
      <c r="DH113" s="34">
        <f>IF(AND(DH$5&gt;$E113,DH$5&lt;=$F113),IF(DH$5=$E113+1,$C113,""),"")</f>
        <v/>
      </c>
      <c r="DI113" s="34">
        <f>IF(AND(DI$5&gt;$E113,DI$5&lt;=$F113),IF(DI$5=$E113+1,$C113,""),"")</f>
        <v/>
      </c>
      <c r="DJ113" s="34">
        <f>IF(AND(DJ$5&gt;$E113,DJ$5&lt;=$F113),IF(DJ$5=$E113+1,$C113,""),"")</f>
        <v/>
      </c>
      <c r="DK113" s="34">
        <f>IF(AND(DK$5&gt;$E113,DK$5&lt;=$F113),IF(DK$5=$E113+1,$C113,""),"")</f>
        <v/>
      </c>
      <c r="DL113" s="34">
        <f>IF(AND(DL$5&gt;$E113,DL$5&lt;=$F113),IF(DL$5=$E113+1,$C113,""),"")</f>
        <v/>
      </c>
      <c r="DM113" s="34">
        <f>IF(AND(DM$5&gt;$E113,DM$5&lt;=$F113),IF(DM$5=$E113+1,$C113,""),"")</f>
        <v/>
      </c>
      <c r="DN113" s="34">
        <f>IF(AND(DN$5&gt;$E113,DN$5&lt;=$F113),IF(DN$5=$E113+1,$C113,""),"")</f>
        <v/>
      </c>
      <c r="DO113" s="34">
        <f>IF(AND(DO$5&gt;$E113,DO$5&lt;=$F113),IF(DO$5=$E113+1,$C113,""),"")</f>
        <v/>
      </c>
      <c r="DP113" s="34">
        <f>IF(AND(DP$5&gt;$E113,DP$5&lt;=$F113),IF(DP$5=$E113+1,$C113,""),"")</f>
        <v/>
      </c>
      <c r="DQ113" s="34">
        <f>IF(AND(DQ$5&gt;$E113,DQ$5&lt;=$F113),IF(DQ$5=$E113+1,$C113,""),"")</f>
        <v/>
      </c>
      <c r="DR113" s="34">
        <f>IF(AND(DR$5&gt;$E113,DR$5&lt;=$F113),IF(DR$5=$E113+1,$C113,""),"")</f>
        <v/>
      </c>
      <c r="DS113" s="34">
        <f>IF(AND(DS$5&gt;$E113,DS$5&lt;=$F113),IF(DS$5=$E113+1,$C113,""),"")</f>
        <v/>
      </c>
      <c r="DT113" s="34">
        <f>IF(AND(DT$5&gt;$E113,DT$5&lt;=$F113),IF(DT$5=$E113+1,$C113,""),"")</f>
        <v/>
      </c>
      <c r="DU113" s="34">
        <f>IF(AND(DU$5&gt;$E113,DU$5&lt;=$F113),IF(DU$5=$E113+1,$C113,""),"")</f>
        <v/>
      </c>
      <c r="DV113" s="34">
        <f>IF(AND(DV$5&gt;$E113,DV$5&lt;=$F113),IF(DV$5=$E113+1,$C113,""),"")</f>
        <v/>
      </c>
      <c r="DW113" s="34">
        <f>IF(AND(DW$5&gt;$E113,DW$5&lt;=$F113),IF(DW$5=$E113+1,$C113,""),"")</f>
        <v/>
      </c>
      <c r="DX113" s="34">
        <f>IF(AND(DX$5&gt;$E113,DX$5&lt;=$F113),IF(DX$5=$E113+1,$C113,""),"")</f>
        <v/>
      </c>
      <c r="DY113" s="34">
        <f>IF(AND(DY$5&gt;$E113,DY$5&lt;=$F113),IF(DY$5=$E113+1,$C113,""),"")</f>
        <v/>
      </c>
      <c r="DZ113" s="34">
        <f>IF(AND(DZ$5&gt;$E113,DZ$5&lt;=$F113),IF(DZ$5=$E113+1,$C113,""),"")</f>
        <v/>
      </c>
      <c r="EA113" s="34">
        <f>IF(AND(EA$5&gt;$E113,EA$5&lt;=$F113),IF(EA$5=$E113+1,$C113,""),"")</f>
        <v/>
      </c>
      <c r="EB113" s="34">
        <f>IF(AND(EB$5&gt;$E113,EB$5&lt;=$F113),IF(EB$5=$E113+1,$C113,""),"")</f>
        <v/>
      </c>
      <c r="EC113" s="34">
        <f>IF(AND(EC$5&gt;$E113,EC$5&lt;=$F113),IF(EC$5=$E113+1,$C113,""),"")</f>
        <v/>
      </c>
      <c r="ED113" s="34">
        <f>IF(AND(ED$5&gt;$E113,ED$5&lt;=$F113),IF(ED$5=$E113+1,$C113,""),"")</f>
        <v/>
      </c>
      <c r="EE113" s="34">
        <f>IF(AND(EE$5&gt;$E113,EE$5&lt;=$F113),IF(EE$5=$E113+1,$C113,""),"")</f>
        <v/>
      </c>
      <c r="EF113" s="34">
        <f>IF(AND(EF$5&gt;$E113,EF$5&lt;=$F113),IF(EF$5=$E113+1,$C113,""),"")</f>
        <v/>
      </c>
      <c r="EG113" s="34">
        <f>IF(AND(EG$5&gt;$E113,EG$5&lt;=$F113),IF(EG$5=$E113+1,$C113,""),"")</f>
        <v/>
      </c>
      <c r="EH113" s="34">
        <f>IF(AND(EH$5&gt;$E113,EH$5&lt;=$F113),IF(EH$5=$E113+1,$C113,""),"")</f>
        <v/>
      </c>
      <c r="EI113" s="34">
        <f>IF(AND(EI$5&gt;$E113,EI$5&lt;=$F113),IF(EI$5=$E113+1,$C113,""),"")</f>
        <v/>
      </c>
      <c r="EJ113" s="34">
        <f>IF(AND(EJ$5&gt;$E113,EJ$5&lt;=$F113),IF(EJ$5=$E113+1,$C113,""),"")</f>
        <v/>
      </c>
      <c r="EK113" s="34">
        <f>IF(AND(EK$5&gt;$E113,EK$5&lt;=$F113),IF(EK$5=$E113+1,$C113,""),"")</f>
        <v/>
      </c>
      <c r="EL113" s="34">
        <f>IF(AND(EL$5&gt;$E113,EL$5&lt;=$F113),IF(EL$5=$E113+1,$C113,""),"")</f>
        <v/>
      </c>
      <c r="EM113" s="34">
        <f>IF(AND(EM$5&gt;$E113,EM$5&lt;=$F113),IF(EM$5=$E113+1,$C113,""),"")</f>
        <v/>
      </c>
      <c r="EN113" s="34">
        <f>IF(AND(EN$5&gt;$E113,EN$5&lt;=$F113),IF(EN$5=$E113+1,$C113,""),"")</f>
        <v/>
      </c>
      <c r="EO113" s="34">
        <f>IF(AND(EO$5&gt;$E113,EO$5&lt;=$F113),IF(EO$5=$E113+1,$C113,""),"")</f>
        <v/>
      </c>
      <c r="EP113" s="34">
        <f>IF(AND(EP$5&gt;$E113,EP$5&lt;=$F113),IF(EP$5=$E113+1,$C113,""),"")</f>
        <v/>
      </c>
      <c r="EQ113" s="34">
        <f>IF(AND(EQ$5&gt;$E113,EQ$5&lt;=$F113),IF(EQ$5=$E113+1,$C113,""),"")</f>
        <v/>
      </c>
    </row>
    <row r="114">
      <c r="A114" s="32">
        <f>Plan!A82</f>
        <v/>
      </c>
      <c r="B114" s="33">
        <f>Plan!C82</f>
        <v/>
      </c>
      <c r="C114" s="16">
        <f>Plan!D82</f>
        <v/>
      </c>
      <c r="D114" s="16">
        <f>Plan!I82</f>
        <v/>
      </c>
      <c r="E114" s="16">
        <f>Plan!K82</f>
        <v/>
      </c>
      <c r="F114" s="16">
        <f>Plan!L82</f>
        <v/>
      </c>
      <c r="G114" s="16">
        <f>Plan!O82</f>
        <v/>
      </c>
      <c r="H114" s="34">
        <f>IF(AND(H$5&gt;$E114,H$5&lt;=$F114),IF(H$5=$E114+1,$C114,""),"")</f>
        <v/>
      </c>
      <c r="I114" s="34">
        <f>IF(AND(I$5&gt;$E114,I$5&lt;=$F114),IF(I$5=$E114+1,$C114,""),"")</f>
        <v/>
      </c>
      <c r="J114" s="34">
        <f>IF(AND(J$5&gt;$E114,J$5&lt;=$F114),IF(J$5=$E114+1,$C114,""),"")</f>
        <v/>
      </c>
      <c r="K114" s="34">
        <f>IF(AND(K$5&gt;$E114,K$5&lt;=$F114),IF(K$5=$E114+1,$C114,""),"")</f>
        <v/>
      </c>
      <c r="L114" s="34">
        <f>IF(AND(L$5&gt;$E114,L$5&lt;=$F114),IF(L$5=$E114+1,$C114,""),"")</f>
        <v/>
      </c>
      <c r="M114" s="34">
        <f>IF(AND(M$5&gt;$E114,M$5&lt;=$F114),IF(M$5=$E114+1,$C114,""),"")</f>
        <v/>
      </c>
      <c r="N114" s="34">
        <f>IF(AND(N$5&gt;$E114,N$5&lt;=$F114),IF(N$5=$E114+1,$C114,""),"")</f>
        <v/>
      </c>
      <c r="O114" s="34">
        <f>IF(AND(O$5&gt;$E114,O$5&lt;=$F114),IF(O$5=$E114+1,$C114,""),"")</f>
        <v/>
      </c>
      <c r="P114" s="34">
        <f>IF(AND(P$5&gt;$E114,P$5&lt;=$F114),IF(P$5=$E114+1,$C114,""),"")</f>
        <v/>
      </c>
      <c r="Q114" s="34">
        <f>IF(AND(Q$5&gt;$E114,Q$5&lt;=$F114),IF(Q$5=$E114+1,$C114,""),"")</f>
        <v/>
      </c>
      <c r="R114" s="34">
        <f>IF(AND(R$5&gt;$E114,R$5&lt;=$F114),IF(R$5=$E114+1,$C114,""),"")</f>
        <v/>
      </c>
      <c r="S114" s="34">
        <f>IF(AND(S$5&gt;$E114,S$5&lt;=$F114),IF(S$5=$E114+1,$C114,""),"")</f>
        <v/>
      </c>
      <c r="T114" s="34">
        <f>IF(AND(T$5&gt;$E114,T$5&lt;=$F114),IF(T$5=$E114+1,$C114,""),"")</f>
        <v/>
      </c>
      <c r="U114" s="34">
        <f>IF(AND(U$5&gt;$E114,U$5&lt;=$F114),IF(U$5=$E114+1,$C114,""),"")</f>
        <v/>
      </c>
      <c r="V114" s="34">
        <f>IF(AND(V$5&gt;$E114,V$5&lt;=$F114),IF(V$5=$E114+1,$C114,""),"")</f>
        <v/>
      </c>
      <c r="W114" s="34">
        <f>IF(AND(W$5&gt;$E114,W$5&lt;=$F114),IF(W$5=$E114+1,$C114,""),"")</f>
        <v/>
      </c>
      <c r="X114" s="34">
        <f>IF(AND(X$5&gt;$E114,X$5&lt;=$F114),IF(X$5=$E114+1,$C114,""),"")</f>
        <v/>
      </c>
      <c r="Y114" s="34">
        <f>IF(AND(Y$5&gt;$E114,Y$5&lt;=$F114),IF(Y$5=$E114+1,$C114,""),"")</f>
        <v/>
      </c>
      <c r="Z114" s="34">
        <f>IF(AND(Z$5&gt;$E114,Z$5&lt;=$F114),IF(Z$5=$E114+1,$C114,""),"")</f>
        <v/>
      </c>
      <c r="AA114" s="34">
        <f>IF(AND(AA$5&gt;$E114,AA$5&lt;=$F114),IF(AA$5=$E114+1,$C114,""),"")</f>
        <v/>
      </c>
      <c r="AB114" s="34">
        <f>IF(AND(AB$5&gt;$E114,AB$5&lt;=$F114),IF(AB$5=$E114+1,$C114,""),"")</f>
        <v/>
      </c>
      <c r="AC114" s="34">
        <f>IF(AND(AC$5&gt;$E114,AC$5&lt;=$F114),IF(AC$5=$E114+1,$C114,""),"")</f>
        <v/>
      </c>
      <c r="AD114" s="34">
        <f>IF(AND(AD$5&gt;$E114,AD$5&lt;=$F114),IF(AD$5=$E114+1,$C114,""),"")</f>
        <v/>
      </c>
      <c r="AE114" s="34">
        <f>IF(AND(AE$5&gt;$E114,AE$5&lt;=$F114),IF(AE$5=$E114+1,$C114,""),"")</f>
        <v/>
      </c>
      <c r="AF114" s="34">
        <f>IF(AND(AF$5&gt;$E114,AF$5&lt;=$F114),IF(AF$5=$E114+1,$C114,""),"")</f>
        <v/>
      </c>
      <c r="AG114" s="34">
        <f>IF(AND(AG$5&gt;$E114,AG$5&lt;=$F114),IF(AG$5=$E114+1,$C114,""),"")</f>
        <v/>
      </c>
      <c r="AH114" s="34">
        <f>IF(AND(AH$5&gt;$E114,AH$5&lt;=$F114),IF(AH$5=$E114+1,$C114,""),"")</f>
        <v/>
      </c>
      <c r="AI114" s="34">
        <f>IF(AND(AI$5&gt;$E114,AI$5&lt;=$F114),IF(AI$5=$E114+1,$C114,""),"")</f>
        <v/>
      </c>
      <c r="AJ114" s="34">
        <f>IF(AND(AJ$5&gt;$E114,AJ$5&lt;=$F114),IF(AJ$5=$E114+1,$C114,""),"")</f>
        <v/>
      </c>
      <c r="AK114" s="34">
        <f>IF(AND(AK$5&gt;$E114,AK$5&lt;=$F114),IF(AK$5=$E114+1,$C114,""),"")</f>
        <v/>
      </c>
      <c r="AL114" s="34">
        <f>IF(AND(AL$5&gt;$E114,AL$5&lt;=$F114),IF(AL$5=$E114+1,$C114,""),"")</f>
        <v/>
      </c>
      <c r="AM114" s="34">
        <f>IF(AND(AM$5&gt;$E114,AM$5&lt;=$F114),IF(AM$5=$E114+1,$C114,""),"")</f>
        <v/>
      </c>
      <c r="AN114" s="34">
        <f>IF(AND(AN$5&gt;$E114,AN$5&lt;=$F114),IF(AN$5=$E114+1,$C114,""),"")</f>
        <v/>
      </c>
      <c r="AO114" s="34">
        <f>IF(AND(AO$5&gt;$E114,AO$5&lt;=$F114),IF(AO$5=$E114+1,$C114,""),"")</f>
        <v/>
      </c>
      <c r="AP114" s="34">
        <f>IF(AND(AP$5&gt;$E114,AP$5&lt;=$F114),IF(AP$5=$E114+1,$C114,""),"")</f>
        <v/>
      </c>
      <c r="AQ114" s="34">
        <f>IF(AND(AQ$5&gt;$E114,AQ$5&lt;=$F114),IF(AQ$5=$E114+1,$C114,""),"")</f>
        <v/>
      </c>
      <c r="AR114" s="34">
        <f>IF(AND(AR$5&gt;$E114,AR$5&lt;=$F114),IF(AR$5=$E114+1,$C114,""),"")</f>
        <v/>
      </c>
      <c r="AS114" s="34">
        <f>IF(AND(AS$5&gt;$E114,AS$5&lt;=$F114),IF(AS$5=$E114+1,$C114,""),"")</f>
        <v/>
      </c>
      <c r="AT114" s="34">
        <f>IF(AND(AT$5&gt;$E114,AT$5&lt;=$F114),IF(AT$5=$E114+1,$C114,""),"")</f>
        <v/>
      </c>
      <c r="AU114" s="34">
        <f>IF(AND(AU$5&gt;$E114,AU$5&lt;=$F114),IF(AU$5=$E114+1,$C114,""),"")</f>
        <v/>
      </c>
      <c r="AV114" s="34">
        <f>IF(AND(AV$5&gt;$E114,AV$5&lt;=$F114),IF(AV$5=$E114+1,$C114,""),"")</f>
        <v/>
      </c>
      <c r="AW114" s="34">
        <f>IF(AND(AW$5&gt;$E114,AW$5&lt;=$F114),IF(AW$5=$E114+1,$C114,""),"")</f>
        <v/>
      </c>
      <c r="AX114" s="34">
        <f>IF(AND(AX$5&gt;$E114,AX$5&lt;=$F114),IF(AX$5=$E114+1,$C114,""),"")</f>
        <v/>
      </c>
      <c r="AY114" s="34">
        <f>IF(AND(AY$5&gt;$E114,AY$5&lt;=$F114),IF(AY$5=$E114+1,$C114,""),"")</f>
        <v/>
      </c>
      <c r="AZ114" s="34">
        <f>IF(AND(AZ$5&gt;$E114,AZ$5&lt;=$F114),IF(AZ$5=$E114+1,$C114,""),"")</f>
        <v/>
      </c>
      <c r="BA114" s="34">
        <f>IF(AND(BA$5&gt;$E114,BA$5&lt;=$F114),IF(BA$5=$E114+1,$C114,""),"")</f>
        <v/>
      </c>
      <c r="BB114" s="34">
        <f>IF(AND(BB$5&gt;$E114,BB$5&lt;=$F114),IF(BB$5=$E114+1,$C114,""),"")</f>
        <v/>
      </c>
      <c r="BC114" s="34">
        <f>IF(AND(BC$5&gt;$E114,BC$5&lt;=$F114),IF(BC$5=$E114+1,$C114,""),"")</f>
        <v/>
      </c>
      <c r="BD114" s="34">
        <f>IF(AND(BD$5&gt;$E114,BD$5&lt;=$F114),IF(BD$5=$E114+1,$C114,""),"")</f>
        <v/>
      </c>
      <c r="BE114" s="34">
        <f>IF(AND(BE$5&gt;$E114,BE$5&lt;=$F114),IF(BE$5=$E114+1,$C114,""),"")</f>
        <v/>
      </c>
      <c r="BF114" s="34">
        <f>IF(AND(BF$5&gt;$E114,BF$5&lt;=$F114),IF(BF$5=$E114+1,$C114,""),"")</f>
        <v/>
      </c>
      <c r="BG114" s="34">
        <f>IF(AND(BG$5&gt;$E114,BG$5&lt;=$F114),IF(BG$5=$E114+1,$C114,""),"")</f>
        <v/>
      </c>
      <c r="BH114" s="34">
        <f>IF(AND(BH$5&gt;$E114,BH$5&lt;=$F114),IF(BH$5=$E114+1,$C114,""),"")</f>
        <v/>
      </c>
      <c r="BI114" s="34">
        <f>IF(AND(BI$5&gt;$E114,BI$5&lt;=$F114),IF(BI$5=$E114+1,$C114,""),"")</f>
        <v/>
      </c>
      <c r="BJ114" s="34">
        <f>IF(AND(BJ$5&gt;$E114,BJ$5&lt;=$F114),IF(BJ$5=$E114+1,$C114,""),"")</f>
        <v/>
      </c>
      <c r="BK114" s="34">
        <f>IF(AND(BK$5&gt;$E114,BK$5&lt;=$F114),IF(BK$5=$E114+1,$C114,""),"")</f>
        <v/>
      </c>
      <c r="BL114" s="34">
        <f>IF(AND(BL$5&gt;$E114,BL$5&lt;=$F114),IF(BL$5=$E114+1,$C114,""),"")</f>
        <v/>
      </c>
      <c r="BM114" s="34">
        <f>IF(AND(BM$5&gt;$E114,BM$5&lt;=$F114),IF(BM$5=$E114+1,$C114,""),"")</f>
        <v/>
      </c>
      <c r="BN114" s="34">
        <f>IF(AND(BN$5&gt;$E114,BN$5&lt;=$F114),IF(BN$5=$E114+1,$C114,""),"")</f>
        <v/>
      </c>
      <c r="BO114" s="34">
        <f>IF(AND(BO$5&gt;$E114,BO$5&lt;=$F114),IF(BO$5=$E114+1,$C114,""),"")</f>
        <v/>
      </c>
      <c r="BP114" s="34">
        <f>IF(AND(BP$5&gt;$E114,BP$5&lt;=$F114),IF(BP$5=$E114+1,$C114,""),"")</f>
        <v/>
      </c>
      <c r="BQ114" s="34">
        <f>IF(AND(BQ$5&gt;$E114,BQ$5&lt;=$F114),IF(BQ$5=$E114+1,$C114,""),"")</f>
        <v/>
      </c>
      <c r="BR114" s="34">
        <f>IF(AND(BR$5&gt;$E114,BR$5&lt;=$F114),IF(BR$5=$E114+1,$C114,""),"")</f>
        <v/>
      </c>
      <c r="BS114" s="34">
        <f>IF(AND(BS$5&gt;$E114,BS$5&lt;=$F114),IF(BS$5=$E114+1,$C114,""),"")</f>
        <v/>
      </c>
      <c r="BT114" s="34">
        <f>IF(AND(BT$5&gt;$E114,BT$5&lt;=$F114),IF(BT$5=$E114+1,$C114,""),"")</f>
        <v/>
      </c>
      <c r="BU114" s="34">
        <f>IF(AND(BU$5&gt;$E114,BU$5&lt;=$F114),IF(BU$5=$E114+1,$C114,""),"")</f>
        <v/>
      </c>
      <c r="BV114" s="34">
        <f>IF(AND(BV$5&gt;$E114,BV$5&lt;=$F114),IF(BV$5=$E114+1,$C114,""),"")</f>
        <v/>
      </c>
      <c r="BW114" s="34">
        <f>IF(AND(BW$5&gt;$E114,BW$5&lt;=$F114),IF(BW$5=$E114+1,$C114,""),"")</f>
        <v/>
      </c>
      <c r="BX114" s="34">
        <f>IF(AND(BX$5&gt;$E114,BX$5&lt;=$F114),IF(BX$5=$E114+1,$C114,""),"")</f>
        <v/>
      </c>
      <c r="BY114" s="34">
        <f>IF(AND(BY$5&gt;$E114,BY$5&lt;=$F114),IF(BY$5=$E114+1,$C114,""),"")</f>
        <v/>
      </c>
      <c r="BZ114" s="34">
        <f>IF(AND(BZ$5&gt;$E114,BZ$5&lt;=$F114),IF(BZ$5=$E114+1,$C114,""),"")</f>
        <v/>
      </c>
      <c r="CA114" s="34">
        <f>IF(AND(CA$5&gt;$E114,CA$5&lt;=$F114),IF(CA$5=$E114+1,$C114,""),"")</f>
        <v/>
      </c>
      <c r="CB114" s="34">
        <f>IF(AND(CB$5&gt;$E114,CB$5&lt;=$F114),IF(CB$5=$E114+1,$C114,""),"")</f>
        <v/>
      </c>
      <c r="CC114" s="34">
        <f>IF(AND(CC$5&gt;$E114,CC$5&lt;=$F114),IF(CC$5=$E114+1,$C114,""),"")</f>
        <v/>
      </c>
      <c r="CD114" s="34">
        <f>IF(AND(CD$5&gt;$E114,CD$5&lt;=$F114),IF(CD$5=$E114+1,$C114,""),"")</f>
        <v/>
      </c>
      <c r="CE114" s="34">
        <f>IF(AND(CE$5&gt;$E114,CE$5&lt;=$F114),IF(CE$5=$E114+1,$C114,""),"")</f>
        <v/>
      </c>
      <c r="CF114" s="34">
        <f>IF(AND(CF$5&gt;$E114,CF$5&lt;=$F114),IF(CF$5=$E114+1,$C114,""),"")</f>
        <v/>
      </c>
      <c r="CG114" s="34">
        <f>IF(AND(CG$5&gt;$E114,CG$5&lt;=$F114),IF(CG$5=$E114+1,$C114,""),"")</f>
        <v/>
      </c>
      <c r="CH114" s="34">
        <f>IF(AND(CH$5&gt;$E114,CH$5&lt;=$F114),IF(CH$5=$E114+1,$C114,""),"")</f>
        <v/>
      </c>
      <c r="CI114" s="34">
        <f>IF(AND(CI$5&gt;$E114,CI$5&lt;=$F114),IF(CI$5=$E114+1,$C114,""),"")</f>
        <v/>
      </c>
      <c r="CJ114" s="34">
        <f>IF(AND(CJ$5&gt;$E114,CJ$5&lt;=$F114),IF(CJ$5=$E114+1,$C114,""),"")</f>
        <v/>
      </c>
      <c r="CK114" s="34">
        <f>IF(AND(CK$5&gt;$E114,CK$5&lt;=$F114),IF(CK$5=$E114+1,$C114,""),"")</f>
        <v/>
      </c>
      <c r="CL114" s="34">
        <f>IF(AND(CL$5&gt;$E114,CL$5&lt;=$F114),IF(CL$5=$E114+1,$C114,""),"")</f>
        <v/>
      </c>
      <c r="CM114" s="34">
        <f>IF(AND(CM$5&gt;$E114,CM$5&lt;=$F114),IF(CM$5=$E114+1,$C114,""),"")</f>
        <v/>
      </c>
      <c r="CN114" s="34">
        <f>IF(AND(CN$5&gt;$E114,CN$5&lt;=$F114),IF(CN$5=$E114+1,$C114,""),"")</f>
        <v/>
      </c>
      <c r="CO114" s="34">
        <f>IF(AND(CO$5&gt;$E114,CO$5&lt;=$F114),IF(CO$5=$E114+1,$C114,""),"")</f>
        <v/>
      </c>
      <c r="CP114" s="34">
        <f>IF(AND(CP$5&gt;$E114,CP$5&lt;=$F114),IF(CP$5=$E114+1,$C114,""),"")</f>
        <v/>
      </c>
      <c r="CQ114" s="34">
        <f>IF(AND(CQ$5&gt;$E114,CQ$5&lt;=$F114),IF(CQ$5=$E114+1,$C114,""),"")</f>
        <v/>
      </c>
      <c r="CR114" s="34">
        <f>IF(AND(CR$5&gt;$E114,CR$5&lt;=$F114),IF(CR$5=$E114+1,$C114,""),"")</f>
        <v/>
      </c>
      <c r="CS114" s="34">
        <f>IF(AND(CS$5&gt;$E114,CS$5&lt;=$F114),IF(CS$5=$E114+1,$C114,""),"")</f>
        <v/>
      </c>
      <c r="CT114" s="34">
        <f>IF(AND(CT$5&gt;$E114,CT$5&lt;=$F114),IF(CT$5=$E114+1,$C114,""),"")</f>
        <v/>
      </c>
      <c r="CU114" s="34">
        <f>IF(AND(CU$5&gt;$E114,CU$5&lt;=$F114),IF(CU$5=$E114+1,$C114,""),"")</f>
        <v/>
      </c>
      <c r="CV114" s="34">
        <f>IF(AND(CV$5&gt;$E114,CV$5&lt;=$F114),IF(CV$5=$E114+1,$C114,""),"")</f>
        <v/>
      </c>
      <c r="CW114" s="34">
        <f>IF(AND(CW$5&gt;$E114,CW$5&lt;=$F114),IF(CW$5=$E114+1,$C114,""),"")</f>
        <v/>
      </c>
      <c r="CX114" s="34">
        <f>IF(AND(CX$5&gt;$E114,CX$5&lt;=$F114),IF(CX$5=$E114+1,$C114,""),"")</f>
        <v/>
      </c>
      <c r="CY114" s="34">
        <f>IF(AND(CY$5&gt;$E114,CY$5&lt;=$F114),IF(CY$5=$E114+1,$C114,""),"")</f>
        <v/>
      </c>
      <c r="CZ114" s="34">
        <f>IF(AND(CZ$5&gt;$E114,CZ$5&lt;=$F114),IF(CZ$5=$E114+1,$C114,""),"")</f>
        <v/>
      </c>
      <c r="DA114" s="34">
        <f>IF(AND(DA$5&gt;$E114,DA$5&lt;=$F114),IF(DA$5=$E114+1,$C114,""),"")</f>
        <v/>
      </c>
      <c r="DB114" s="34">
        <f>IF(AND(DB$5&gt;$E114,DB$5&lt;=$F114),IF(DB$5=$E114+1,$C114,""),"")</f>
        <v/>
      </c>
      <c r="DC114" s="34">
        <f>IF(AND(DC$5&gt;$E114,DC$5&lt;=$F114),IF(DC$5=$E114+1,$C114,""),"")</f>
        <v/>
      </c>
      <c r="DD114" s="34">
        <f>IF(AND(DD$5&gt;$E114,DD$5&lt;=$F114),IF(DD$5=$E114+1,$C114,""),"")</f>
        <v/>
      </c>
      <c r="DE114" s="34">
        <f>IF(AND(DE$5&gt;$E114,DE$5&lt;=$F114),IF(DE$5=$E114+1,$C114,""),"")</f>
        <v/>
      </c>
      <c r="DF114" s="34">
        <f>IF(AND(DF$5&gt;$E114,DF$5&lt;=$F114),IF(DF$5=$E114+1,$C114,""),"")</f>
        <v/>
      </c>
      <c r="DG114" s="34">
        <f>IF(AND(DG$5&gt;$E114,DG$5&lt;=$F114),IF(DG$5=$E114+1,$C114,""),"")</f>
        <v/>
      </c>
      <c r="DH114" s="34">
        <f>IF(AND(DH$5&gt;$E114,DH$5&lt;=$F114),IF(DH$5=$E114+1,$C114,""),"")</f>
        <v/>
      </c>
      <c r="DI114" s="34">
        <f>IF(AND(DI$5&gt;$E114,DI$5&lt;=$F114),IF(DI$5=$E114+1,$C114,""),"")</f>
        <v/>
      </c>
      <c r="DJ114" s="34">
        <f>IF(AND(DJ$5&gt;$E114,DJ$5&lt;=$F114),IF(DJ$5=$E114+1,$C114,""),"")</f>
        <v/>
      </c>
      <c r="DK114" s="34">
        <f>IF(AND(DK$5&gt;$E114,DK$5&lt;=$F114),IF(DK$5=$E114+1,$C114,""),"")</f>
        <v/>
      </c>
      <c r="DL114" s="34">
        <f>IF(AND(DL$5&gt;$E114,DL$5&lt;=$F114),IF(DL$5=$E114+1,$C114,""),"")</f>
        <v/>
      </c>
      <c r="DM114" s="34">
        <f>IF(AND(DM$5&gt;$E114,DM$5&lt;=$F114),IF(DM$5=$E114+1,$C114,""),"")</f>
        <v/>
      </c>
      <c r="DN114" s="34">
        <f>IF(AND(DN$5&gt;$E114,DN$5&lt;=$F114),IF(DN$5=$E114+1,$C114,""),"")</f>
        <v/>
      </c>
      <c r="DO114" s="34">
        <f>IF(AND(DO$5&gt;$E114,DO$5&lt;=$F114),IF(DO$5=$E114+1,$C114,""),"")</f>
        <v/>
      </c>
      <c r="DP114" s="34">
        <f>IF(AND(DP$5&gt;$E114,DP$5&lt;=$F114),IF(DP$5=$E114+1,$C114,""),"")</f>
        <v/>
      </c>
      <c r="DQ114" s="34">
        <f>IF(AND(DQ$5&gt;$E114,DQ$5&lt;=$F114),IF(DQ$5=$E114+1,$C114,""),"")</f>
        <v/>
      </c>
      <c r="DR114" s="34">
        <f>IF(AND(DR$5&gt;$E114,DR$5&lt;=$F114),IF(DR$5=$E114+1,$C114,""),"")</f>
        <v/>
      </c>
      <c r="DS114" s="34">
        <f>IF(AND(DS$5&gt;$E114,DS$5&lt;=$F114),IF(DS$5=$E114+1,$C114,""),"")</f>
        <v/>
      </c>
      <c r="DT114" s="34">
        <f>IF(AND(DT$5&gt;$E114,DT$5&lt;=$F114),IF(DT$5=$E114+1,$C114,""),"")</f>
        <v/>
      </c>
      <c r="DU114" s="34">
        <f>IF(AND(DU$5&gt;$E114,DU$5&lt;=$F114),IF(DU$5=$E114+1,$C114,""),"")</f>
        <v/>
      </c>
      <c r="DV114" s="34">
        <f>IF(AND(DV$5&gt;$E114,DV$5&lt;=$F114),IF(DV$5=$E114+1,$C114,""),"")</f>
        <v/>
      </c>
      <c r="DW114" s="34">
        <f>IF(AND(DW$5&gt;$E114,DW$5&lt;=$F114),IF(DW$5=$E114+1,$C114,""),"")</f>
        <v/>
      </c>
      <c r="DX114" s="34">
        <f>IF(AND(DX$5&gt;$E114,DX$5&lt;=$F114),IF(DX$5=$E114+1,$C114,""),"")</f>
        <v/>
      </c>
      <c r="DY114" s="34">
        <f>IF(AND(DY$5&gt;$E114,DY$5&lt;=$F114),IF(DY$5=$E114+1,$C114,""),"")</f>
        <v/>
      </c>
      <c r="DZ114" s="34">
        <f>IF(AND(DZ$5&gt;$E114,DZ$5&lt;=$F114),IF(DZ$5=$E114+1,$C114,""),"")</f>
        <v/>
      </c>
      <c r="EA114" s="34">
        <f>IF(AND(EA$5&gt;$E114,EA$5&lt;=$F114),IF(EA$5=$E114+1,$C114,""),"")</f>
        <v/>
      </c>
      <c r="EB114" s="34">
        <f>IF(AND(EB$5&gt;$E114,EB$5&lt;=$F114),IF(EB$5=$E114+1,$C114,""),"")</f>
        <v/>
      </c>
      <c r="EC114" s="34">
        <f>IF(AND(EC$5&gt;$E114,EC$5&lt;=$F114),IF(EC$5=$E114+1,$C114,""),"")</f>
        <v/>
      </c>
      <c r="ED114" s="34">
        <f>IF(AND(ED$5&gt;$E114,ED$5&lt;=$F114),IF(ED$5=$E114+1,$C114,""),"")</f>
        <v/>
      </c>
      <c r="EE114" s="34">
        <f>IF(AND(EE$5&gt;$E114,EE$5&lt;=$F114),IF(EE$5=$E114+1,$C114,""),"")</f>
        <v/>
      </c>
      <c r="EF114" s="34">
        <f>IF(AND(EF$5&gt;$E114,EF$5&lt;=$F114),IF(EF$5=$E114+1,$C114,""),"")</f>
        <v/>
      </c>
      <c r="EG114" s="34">
        <f>IF(AND(EG$5&gt;$E114,EG$5&lt;=$F114),IF(EG$5=$E114+1,$C114,""),"")</f>
        <v/>
      </c>
      <c r="EH114" s="34">
        <f>IF(AND(EH$5&gt;$E114,EH$5&lt;=$F114),IF(EH$5=$E114+1,$C114,""),"")</f>
        <v/>
      </c>
      <c r="EI114" s="34">
        <f>IF(AND(EI$5&gt;$E114,EI$5&lt;=$F114),IF(EI$5=$E114+1,$C114,""),"")</f>
        <v/>
      </c>
      <c r="EJ114" s="34">
        <f>IF(AND(EJ$5&gt;$E114,EJ$5&lt;=$F114),IF(EJ$5=$E114+1,$C114,""),"")</f>
        <v/>
      </c>
      <c r="EK114" s="34">
        <f>IF(AND(EK$5&gt;$E114,EK$5&lt;=$F114),IF(EK$5=$E114+1,$C114,""),"")</f>
        <v/>
      </c>
      <c r="EL114" s="34">
        <f>IF(AND(EL$5&gt;$E114,EL$5&lt;=$F114),IF(EL$5=$E114+1,$C114,""),"")</f>
        <v/>
      </c>
      <c r="EM114" s="34">
        <f>IF(AND(EM$5&gt;$E114,EM$5&lt;=$F114),IF(EM$5=$E114+1,$C114,""),"")</f>
        <v/>
      </c>
      <c r="EN114" s="34">
        <f>IF(AND(EN$5&gt;$E114,EN$5&lt;=$F114),IF(EN$5=$E114+1,$C114,""),"")</f>
        <v/>
      </c>
      <c r="EO114" s="34">
        <f>IF(AND(EO$5&gt;$E114,EO$5&lt;=$F114),IF(EO$5=$E114+1,$C114,""),"")</f>
        <v/>
      </c>
      <c r="EP114" s="34">
        <f>IF(AND(EP$5&gt;$E114,EP$5&lt;=$F114),IF(EP$5=$E114+1,$C114,""),"")</f>
        <v/>
      </c>
      <c r="EQ114" s="34">
        <f>IF(AND(EQ$5&gt;$E114,EQ$5&lt;=$F114),IF(EQ$5=$E114+1,$C114,""),"")</f>
        <v/>
      </c>
    </row>
    <row r="115">
      <c r="A115" s="32">
        <f>Plan!A83</f>
        <v/>
      </c>
      <c r="B115" s="33">
        <f>Plan!C83</f>
        <v/>
      </c>
      <c r="C115" s="16">
        <f>Plan!D83</f>
        <v/>
      </c>
      <c r="D115" s="16">
        <f>Plan!I83</f>
        <v/>
      </c>
      <c r="E115" s="16">
        <f>Plan!K83</f>
        <v/>
      </c>
      <c r="F115" s="16">
        <f>Plan!L83</f>
        <v/>
      </c>
      <c r="G115" s="16">
        <f>Plan!O83</f>
        <v/>
      </c>
      <c r="H115" s="34">
        <f>IF(AND(H$5&gt;$E115,H$5&lt;=$F115),IF(H$5=$E115+1,$C115,""),"")</f>
        <v/>
      </c>
      <c r="I115" s="34">
        <f>IF(AND(I$5&gt;$E115,I$5&lt;=$F115),IF(I$5=$E115+1,$C115,""),"")</f>
        <v/>
      </c>
      <c r="J115" s="34">
        <f>IF(AND(J$5&gt;$E115,J$5&lt;=$F115),IF(J$5=$E115+1,$C115,""),"")</f>
        <v/>
      </c>
      <c r="K115" s="34">
        <f>IF(AND(K$5&gt;$E115,K$5&lt;=$F115),IF(K$5=$E115+1,$C115,""),"")</f>
        <v/>
      </c>
      <c r="L115" s="34">
        <f>IF(AND(L$5&gt;$E115,L$5&lt;=$F115),IF(L$5=$E115+1,$C115,""),"")</f>
        <v/>
      </c>
      <c r="M115" s="34">
        <f>IF(AND(M$5&gt;$E115,M$5&lt;=$F115),IF(M$5=$E115+1,$C115,""),"")</f>
        <v/>
      </c>
      <c r="N115" s="34">
        <f>IF(AND(N$5&gt;$E115,N$5&lt;=$F115),IF(N$5=$E115+1,$C115,""),"")</f>
        <v/>
      </c>
      <c r="O115" s="34">
        <f>IF(AND(O$5&gt;$E115,O$5&lt;=$F115),IF(O$5=$E115+1,$C115,""),"")</f>
        <v/>
      </c>
      <c r="P115" s="34">
        <f>IF(AND(P$5&gt;$E115,P$5&lt;=$F115),IF(P$5=$E115+1,$C115,""),"")</f>
        <v/>
      </c>
      <c r="Q115" s="34">
        <f>IF(AND(Q$5&gt;$E115,Q$5&lt;=$F115),IF(Q$5=$E115+1,$C115,""),"")</f>
        <v/>
      </c>
      <c r="R115" s="34">
        <f>IF(AND(R$5&gt;$E115,R$5&lt;=$F115),IF(R$5=$E115+1,$C115,""),"")</f>
        <v/>
      </c>
      <c r="S115" s="34">
        <f>IF(AND(S$5&gt;$E115,S$5&lt;=$F115),IF(S$5=$E115+1,$C115,""),"")</f>
        <v/>
      </c>
      <c r="T115" s="34">
        <f>IF(AND(T$5&gt;$E115,T$5&lt;=$F115),IF(T$5=$E115+1,$C115,""),"")</f>
        <v/>
      </c>
      <c r="U115" s="34">
        <f>IF(AND(U$5&gt;$E115,U$5&lt;=$F115),IF(U$5=$E115+1,$C115,""),"")</f>
        <v/>
      </c>
      <c r="V115" s="34">
        <f>IF(AND(V$5&gt;$E115,V$5&lt;=$F115),IF(V$5=$E115+1,$C115,""),"")</f>
        <v/>
      </c>
      <c r="W115" s="34">
        <f>IF(AND(W$5&gt;$E115,W$5&lt;=$F115),IF(W$5=$E115+1,$C115,""),"")</f>
        <v/>
      </c>
      <c r="X115" s="34">
        <f>IF(AND(X$5&gt;$E115,X$5&lt;=$F115),IF(X$5=$E115+1,$C115,""),"")</f>
        <v/>
      </c>
      <c r="Y115" s="34">
        <f>IF(AND(Y$5&gt;$E115,Y$5&lt;=$F115),IF(Y$5=$E115+1,$C115,""),"")</f>
        <v/>
      </c>
      <c r="Z115" s="34">
        <f>IF(AND(Z$5&gt;$E115,Z$5&lt;=$F115),IF(Z$5=$E115+1,$C115,""),"")</f>
        <v/>
      </c>
      <c r="AA115" s="34">
        <f>IF(AND(AA$5&gt;$E115,AA$5&lt;=$F115),IF(AA$5=$E115+1,$C115,""),"")</f>
        <v/>
      </c>
      <c r="AB115" s="34">
        <f>IF(AND(AB$5&gt;$E115,AB$5&lt;=$F115),IF(AB$5=$E115+1,$C115,""),"")</f>
        <v/>
      </c>
      <c r="AC115" s="34">
        <f>IF(AND(AC$5&gt;$E115,AC$5&lt;=$F115),IF(AC$5=$E115+1,$C115,""),"")</f>
        <v/>
      </c>
      <c r="AD115" s="34">
        <f>IF(AND(AD$5&gt;$E115,AD$5&lt;=$F115),IF(AD$5=$E115+1,$C115,""),"")</f>
        <v/>
      </c>
      <c r="AE115" s="34">
        <f>IF(AND(AE$5&gt;$E115,AE$5&lt;=$F115),IF(AE$5=$E115+1,$C115,""),"")</f>
        <v/>
      </c>
      <c r="AF115" s="34">
        <f>IF(AND(AF$5&gt;$E115,AF$5&lt;=$F115),IF(AF$5=$E115+1,$C115,""),"")</f>
        <v/>
      </c>
      <c r="AG115" s="34">
        <f>IF(AND(AG$5&gt;$E115,AG$5&lt;=$F115),IF(AG$5=$E115+1,$C115,""),"")</f>
        <v/>
      </c>
      <c r="AH115" s="34">
        <f>IF(AND(AH$5&gt;$E115,AH$5&lt;=$F115),IF(AH$5=$E115+1,$C115,""),"")</f>
        <v/>
      </c>
      <c r="AI115" s="34">
        <f>IF(AND(AI$5&gt;$E115,AI$5&lt;=$F115),IF(AI$5=$E115+1,$C115,""),"")</f>
        <v/>
      </c>
      <c r="AJ115" s="34">
        <f>IF(AND(AJ$5&gt;$E115,AJ$5&lt;=$F115),IF(AJ$5=$E115+1,$C115,""),"")</f>
        <v/>
      </c>
      <c r="AK115" s="34">
        <f>IF(AND(AK$5&gt;$E115,AK$5&lt;=$F115),IF(AK$5=$E115+1,$C115,""),"")</f>
        <v/>
      </c>
      <c r="AL115" s="34">
        <f>IF(AND(AL$5&gt;$E115,AL$5&lt;=$F115),IF(AL$5=$E115+1,$C115,""),"")</f>
        <v/>
      </c>
      <c r="AM115" s="34">
        <f>IF(AND(AM$5&gt;$E115,AM$5&lt;=$F115),IF(AM$5=$E115+1,$C115,""),"")</f>
        <v/>
      </c>
      <c r="AN115" s="34">
        <f>IF(AND(AN$5&gt;$E115,AN$5&lt;=$F115),IF(AN$5=$E115+1,$C115,""),"")</f>
        <v/>
      </c>
      <c r="AO115" s="34">
        <f>IF(AND(AO$5&gt;$E115,AO$5&lt;=$F115),IF(AO$5=$E115+1,$C115,""),"")</f>
        <v/>
      </c>
      <c r="AP115" s="34">
        <f>IF(AND(AP$5&gt;$E115,AP$5&lt;=$F115),IF(AP$5=$E115+1,$C115,""),"")</f>
        <v/>
      </c>
      <c r="AQ115" s="34">
        <f>IF(AND(AQ$5&gt;$E115,AQ$5&lt;=$F115),IF(AQ$5=$E115+1,$C115,""),"")</f>
        <v/>
      </c>
      <c r="AR115" s="34">
        <f>IF(AND(AR$5&gt;$E115,AR$5&lt;=$F115),IF(AR$5=$E115+1,$C115,""),"")</f>
        <v/>
      </c>
      <c r="AS115" s="34">
        <f>IF(AND(AS$5&gt;$E115,AS$5&lt;=$F115),IF(AS$5=$E115+1,$C115,""),"")</f>
        <v/>
      </c>
      <c r="AT115" s="34">
        <f>IF(AND(AT$5&gt;$E115,AT$5&lt;=$F115),IF(AT$5=$E115+1,$C115,""),"")</f>
        <v/>
      </c>
      <c r="AU115" s="34">
        <f>IF(AND(AU$5&gt;$E115,AU$5&lt;=$F115),IF(AU$5=$E115+1,$C115,""),"")</f>
        <v/>
      </c>
      <c r="AV115" s="34">
        <f>IF(AND(AV$5&gt;$E115,AV$5&lt;=$F115),IF(AV$5=$E115+1,$C115,""),"")</f>
        <v/>
      </c>
      <c r="AW115" s="34">
        <f>IF(AND(AW$5&gt;$E115,AW$5&lt;=$F115),IF(AW$5=$E115+1,$C115,""),"")</f>
        <v/>
      </c>
      <c r="AX115" s="34">
        <f>IF(AND(AX$5&gt;$E115,AX$5&lt;=$F115),IF(AX$5=$E115+1,$C115,""),"")</f>
        <v/>
      </c>
      <c r="AY115" s="34">
        <f>IF(AND(AY$5&gt;$E115,AY$5&lt;=$F115),IF(AY$5=$E115+1,$C115,""),"")</f>
        <v/>
      </c>
      <c r="AZ115" s="34">
        <f>IF(AND(AZ$5&gt;$E115,AZ$5&lt;=$F115),IF(AZ$5=$E115+1,$C115,""),"")</f>
        <v/>
      </c>
      <c r="BA115" s="34">
        <f>IF(AND(BA$5&gt;$E115,BA$5&lt;=$F115),IF(BA$5=$E115+1,$C115,""),"")</f>
        <v/>
      </c>
      <c r="BB115" s="34">
        <f>IF(AND(BB$5&gt;$E115,BB$5&lt;=$F115),IF(BB$5=$E115+1,$C115,""),"")</f>
        <v/>
      </c>
      <c r="BC115" s="34">
        <f>IF(AND(BC$5&gt;$E115,BC$5&lt;=$F115),IF(BC$5=$E115+1,$C115,""),"")</f>
        <v/>
      </c>
      <c r="BD115" s="34">
        <f>IF(AND(BD$5&gt;$E115,BD$5&lt;=$F115),IF(BD$5=$E115+1,$C115,""),"")</f>
        <v/>
      </c>
      <c r="BE115" s="34">
        <f>IF(AND(BE$5&gt;$E115,BE$5&lt;=$F115),IF(BE$5=$E115+1,$C115,""),"")</f>
        <v/>
      </c>
      <c r="BF115" s="34">
        <f>IF(AND(BF$5&gt;$E115,BF$5&lt;=$F115),IF(BF$5=$E115+1,$C115,""),"")</f>
        <v/>
      </c>
      <c r="BG115" s="34">
        <f>IF(AND(BG$5&gt;$E115,BG$5&lt;=$F115),IF(BG$5=$E115+1,$C115,""),"")</f>
        <v/>
      </c>
      <c r="BH115" s="34">
        <f>IF(AND(BH$5&gt;$E115,BH$5&lt;=$F115),IF(BH$5=$E115+1,$C115,""),"")</f>
        <v/>
      </c>
      <c r="BI115" s="34">
        <f>IF(AND(BI$5&gt;$E115,BI$5&lt;=$F115),IF(BI$5=$E115+1,$C115,""),"")</f>
        <v/>
      </c>
      <c r="BJ115" s="34">
        <f>IF(AND(BJ$5&gt;$E115,BJ$5&lt;=$F115),IF(BJ$5=$E115+1,$C115,""),"")</f>
        <v/>
      </c>
      <c r="BK115" s="34">
        <f>IF(AND(BK$5&gt;$E115,BK$5&lt;=$F115),IF(BK$5=$E115+1,$C115,""),"")</f>
        <v/>
      </c>
      <c r="BL115" s="34">
        <f>IF(AND(BL$5&gt;$E115,BL$5&lt;=$F115),IF(BL$5=$E115+1,$C115,""),"")</f>
        <v/>
      </c>
      <c r="BM115" s="34">
        <f>IF(AND(BM$5&gt;$E115,BM$5&lt;=$F115),IF(BM$5=$E115+1,$C115,""),"")</f>
        <v/>
      </c>
      <c r="BN115" s="34">
        <f>IF(AND(BN$5&gt;$E115,BN$5&lt;=$F115),IF(BN$5=$E115+1,$C115,""),"")</f>
        <v/>
      </c>
      <c r="BO115" s="34">
        <f>IF(AND(BO$5&gt;$E115,BO$5&lt;=$F115),IF(BO$5=$E115+1,$C115,""),"")</f>
        <v/>
      </c>
      <c r="BP115" s="34">
        <f>IF(AND(BP$5&gt;$E115,BP$5&lt;=$F115),IF(BP$5=$E115+1,$C115,""),"")</f>
        <v/>
      </c>
      <c r="BQ115" s="34">
        <f>IF(AND(BQ$5&gt;$E115,BQ$5&lt;=$F115),IF(BQ$5=$E115+1,$C115,""),"")</f>
        <v/>
      </c>
      <c r="BR115" s="34">
        <f>IF(AND(BR$5&gt;$E115,BR$5&lt;=$F115),IF(BR$5=$E115+1,$C115,""),"")</f>
        <v/>
      </c>
      <c r="BS115" s="34">
        <f>IF(AND(BS$5&gt;$E115,BS$5&lt;=$F115),IF(BS$5=$E115+1,$C115,""),"")</f>
        <v/>
      </c>
      <c r="BT115" s="34">
        <f>IF(AND(BT$5&gt;$E115,BT$5&lt;=$F115),IF(BT$5=$E115+1,$C115,""),"")</f>
        <v/>
      </c>
      <c r="BU115" s="34">
        <f>IF(AND(BU$5&gt;$E115,BU$5&lt;=$F115),IF(BU$5=$E115+1,$C115,""),"")</f>
        <v/>
      </c>
      <c r="BV115" s="34">
        <f>IF(AND(BV$5&gt;$E115,BV$5&lt;=$F115),IF(BV$5=$E115+1,$C115,""),"")</f>
        <v/>
      </c>
      <c r="BW115" s="34">
        <f>IF(AND(BW$5&gt;$E115,BW$5&lt;=$F115),IF(BW$5=$E115+1,$C115,""),"")</f>
        <v/>
      </c>
      <c r="BX115" s="34">
        <f>IF(AND(BX$5&gt;$E115,BX$5&lt;=$F115),IF(BX$5=$E115+1,$C115,""),"")</f>
        <v/>
      </c>
      <c r="BY115" s="34">
        <f>IF(AND(BY$5&gt;$E115,BY$5&lt;=$F115),IF(BY$5=$E115+1,$C115,""),"")</f>
        <v/>
      </c>
      <c r="BZ115" s="34">
        <f>IF(AND(BZ$5&gt;$E115,BZ$5&lt;=$F115),IF(BZ$5=$E115+1,$C115,""),"")</f>
        <v/>
      </c>
      <c r="CA115" s="34">
        <f>IF(AND(CA$5&gt;$E115,CA$5&lt;=$F115),IF(CA$5=$E115+1,$C115,""),"")</f>
        <v/>
      </c>
      <c r="CB115" s="34">
        <f>IF(AND(CB$5&gt;$E115,CB$5&lt;=$F115),IF(CB$5=$E115+1,$C115,""),"")</f>
        <v/>
      </c>
      <c r="CC115" s="34">
        <f>IF(AND(CC$5&gt;$E115,CC$5&lt;=$F115),IF(CC$5=$E115+1,$C115,""),"")</f>
        <v/>
      </c>
      <c r="CD115" s="34">
        <f>IF(AND(CD$5&gt;$E115,CD$5&lt;=$F115),IF(CD$5=$E115+1,$C115,""),"")</f>
        <v/>
      </c>
      <c r="CE115" s="34">
        <f>IF(AND(CE$5&gt;$E115,CE$5&lt;=$F115),IF(CE$5=$E115+1,$C115,""),"")</f>
        <v/>
      </c>
      <c r="CF115" s="34">
        <f>IF(AND(CF$5&gt;$E115,CF$5&lt;=$F115),IF(CF$5=$E115+1,$C115,""),"")</f>
        <v/>
      </c>
      <c r="CG115" s="34">
        <f>IF(AND(CG$5&gt;$E115,CG$5&lt;=$F115),IF(CG$5=$E115+1,$C115,""),"")</f>
        <v/>
      </c>
      <c r="CH115" s="34">
        <f>IF(AND(CH$5&gt;$E115,CH$5&lt;=$F115),IF(CH$5=$E115+1,$C115,""),"")</f>
        <v/>
      </c>
      <c r="CI115" s="34">
        <f>IF(AND(CI$5&gt;$E115,CI$5&lt;=$F115),IF(CI$5=$E115+1,$C115,""),"")</f>
        <v/>
      </c>
      <c r="CJ115" s="34">
        <f>IF(AND(CJ$5&gt;$E115,CJ$5&lt;=$F115),IF(CJ$5=$E115+1,$C115,""),"")</f>
        <v/>
      </c>
      <c r="CK115" s="34">
        <f>IF(AND(CK$5&gt;$E115,CK$5&lt;=$F115),IF(CK$5=$E115+1,$C115,""),"")</f>
        <v/>
      </c>
      <c r="CL115" s="34">
        <f>IF(AND(CL$5&gt;$E115,CL$5&lt;=$F115),IF(CL$5=$E115+1,$C115,""),"")</f>
        <v/>
      </c>
      <c r="CM115" s="34">
        <f>IF(AND(CM$5&gt;$E115,CM$5&lt;=$F115),IF(CM$5=$E115+1,$C115,""),"")</f>
        <v/>
      </c>
      <c r="CN115" s="34">
        <f>IF(AND(CN$5&gt;$E115,CN$5&lt;=$F115),IF(CN$5=$E115+1,$C115,""),"")</f>
        <v/>
      </c>
      <c r="CO115" s="34">
        <f>IF(AND(CO$5&gt;$E115,CO$5&lt;=$F115),IF(CO$5=$E115+1,$C115,""),"")</f>
        <v/>
      </c>
      <c r="CP115" s="34">
        <f>IF(AND(CP$5&gt;$E115,CP$5&lt;=$F115),IF(CP$5=$E115+1,$C115,""),"")</f>
        <v/>
      </c>
      <c r="CQ115" s="34">
        <f>IF(AND(CQ$5&gt;$E115,CQ$5&lt;=$F115),IF(CQ$5=$E115+1,$C115,""),"")</f>
        <v/>
      </c>
      <c r="CR115" s="34">
        <f>IF(AND(CR$5&gt;$E115,CR$5&lt;=$F115),IF(CR$5=$E115+1,$C115,""),"")</f>
        <v/>
      </c>
      <c r="CS115" s="34">
        <f>IF(AND(CS$5&gt;$E115,CS$5&lt;=$F115),IF(CS$5=$E115+1,$C115,""),"")</f>
        <v/>
      </c>
      <c r="CT115" s="34">
        <f>IF(AND(CT$5&gt;$E115,CT$5&lt;=$F115),IF(CT$5=$E115+1,$C115,""),"")</f>
        <v/>
      </c>
      <c r="CU115" s="34">
        <f>IF(AND(CU$5&gt;$E115,CU$5&lt;=$F115),IF(CU$5=$E115+1,$C115,""),"")</f>
        <v/>
      </c>
      <c r="CV115" s="34">
        <f>IF(AND(CV$5&gt;$E115,CV$5&lt;=$F115),IF(CV$5=$E115+1,$C115,""),"")</f>
        <v/>
      </c>
      <c r="CW115" s="34">
        <f>IF(AND(CW$5&gt;$E115,CW$5&lt;=$F115),IF(CW$5=$E115+1,$C115,""),"")</f>
        <v/>
      </c>
      <c r="CX115" s="34">
        <f>IF(AND(CX$5&gt;$E115,CX$5&lt;=$F115),IF(CX$5=$E115+1,$C115,""),"")</f>
        <v/>
      </c>
      <c r="CY115" s="34">
        <f>IF(AND(CY$5&gt;$E115,CY$5&lt;=$F115),IF(CY$5=$E115+1,$C115,""),"")</f>
        <v/>
      </c>
      <c r="CZ115" s="34">
        <f>IF(AND(CZ$5&gt;$E115,CZ$5&lt;=$F115),IF(CZ$5=$E115+1,$C115,""),"")</f>
        <v/>
      </c>
      <c r="DA115" s="34">
        <f>IF(AND(DA$5&gt;$E115,DA$5&lt;=$F115),IF(DA$5=$E115+1,$C115,""),"")</f>
        <v/>
      </c>
      <c r="DB115" s="34">
        <f>IF(AND(DB$5&gt;$E115,DB$5&lt;=$F115),IF(DB$5=$E115+1,$C115,""),"")</f>
        <v/>
      </c>
      <c r="DC115" s="34">
        <f>IF(AND(DC$5&gt;$E115,DC$5&lt;=$F115),IF(DC$5=$E115+1,$C115,""),"")</f>
        <v/>
      </c>
      <c r="DD115" s="34">
        <f>IF(AND(DD$5&gt;$E115,DD$5&lt;=$F115),IF(DD$5=$E115+1,$C115,""),"")</f>
        <v/>
      </c>
      <c r="DE115" s="34">
        <f>IF(AND(DE$5&gt;$E115,DE$5&lt;=$F115),IF(DE$5=$E115+1,$C115,""),"")</f>
        <v/>
      </c>
      <c r="DF115" s="34">
        <f>IF(AND(DF$5&gt;$E115,DF$5&lt;=$F115),IF(DF$5=$E115+1,$C115,""),"")</f>
        <v/>
      </c>
      <c r="DG115" s="34">
        <f>IF(AND(DG$5&gt;$E115,DG$5&lt;=$F115),IF(DG$5=$E115+1,$C115,""),"")</f>
        <v/>
      </c>
      <c r="DH115" s="34">
        <f>IF(AND(DH$5&gt;$E115,DH$5&lt;=$F115),IF(DH$5=$E115+1,$C115,""),"")</f>
        <v/>
      </c>
      <c r="DI115" s="34">
        <f>IF(AND(DI$5&gt;$E115,DI$5&lt;=$F115),IF(DI$5=$E115+1,$C115,""),"")</f>
        <v/>
      </c>
      <c r="DJ115" s="34">
        <f>IF(AND(DJ$5&gt;$E115,DJ$5&lt;=$F115),IF(DJ$5=$E115+1,$C115,""),"")</f>
        <v/>
      </c>
      <c r="DK115" s="34">
        <f>IF(AND(DK$5&gt;$E115,DK$5&lt;=$F115),IF(DK$5=$E115+1,$C115,""),"")</f>
        <v/>
      </c>
      <c r="DL115" s="34">
        <f>IF(AND(DL$5&gt;$E115,DL$5&lt;=$F115),IF(DL$5=$E115+1,$C115,""),"")</f>
        <v/>
      </c>
      <c r="DM115" s="34">
        <f>IF(AND(DM$5&gt;$E115,DM$5&lt;=$F115),IF(DM$5=$E115+1,$C115,""),"")</f>
        <v/>
      </c>
      <c r="DN115" s="34">
        <f>IF(AND(DN$5&gt;$E115,DN$5&lt;=$F115),IF(DN$5=$E115+1,$C115,""),"")</f>
        <v/>
      </c>
      <c r="DO115" s="34">
        <f>IF(AND(DO$5&gt;$E115,DO$5&lt;=$F115),IF(DO$5=$E115+1,$C115,""),"")</f>
        <v/>
      </c>
      <c r="DP115" s="34">
        <f>IF(AND(DP$5&gt;$E115,DP$5&lt;=$F115),IF(DP$5=$E115+1,$C115,""),"")</f>
        <v/>
      </c>
      <c r="DQ115" s="34">
        <f>IF(AND(DQ$5&gt;$E115,DQ$5&lt;=$F115),IF(DQ$5=$E115+1,$C115,""),"")</f>
        <v/>
      </c>
      <c r="DR115" s="34">
        <f>IF(AND(DR$5&gt;$E115,DR$5&lt;=$F115),IF(DR$5=$E115+1,$C115,""),"")</f>
        <v/>
      </c>
      <c r="DS115" s="34">
        <f>IF(AND(DS$5&gt;$E115,DS$5&lt;=$F115),IF(DS$5=$E115+1,$C115,""),"")</f>
        <v/>
      </c>
      <c r="DT115" s="34">
        <f>IF(AND(DT$5&gt;$E115,DT$5&lt;=$F115),IF(DT$5=$E115+1,$C115,""),"")</f>
        <v/>
      </c>
      <c r="DU115" s="34">
        <f>IF(AND(DU$5&gt;$E115,DU$5&lt;=$F115),IF(DU$5=$E115+1,$C115,""),"")</f>
        <v/>
      </c>
      <c r="DV115" s="34">
        <f>IF(AND(DV$5&gt;$E115,DV$5&lt;=$F115),IF(DV$5=$E115+1,$C115,""),"")</f>
        <v/>
      </c>
      <c r="DW115" s="34">
        <f>IF(AND(DW$5&gt;$E115,DW$5&lt;=$F115),IF(DW$5=$E115+1,$C115,""),"")</f>
        <v/>
      </c>
      <c r="DX115" s="34">
        <f>IF(AND(DX$5&gt;$E115,DX$5&lt;=$F115),IF(DX$5=$E115+1,$C115,""),"")</f>
        <v/>
      </c>
      <c r="DY115" s="34">
        <f>IF(AND(DY$5&gt;$E115,DY$5&lt;=$F115),IF(DY$5=$E115+1,$C115,""),"")</f>
        <v/>
      </c>
      <c r="DZ115" s="34">
        <f>IF(AND(DZ$5&gt;$E115,DZ$5&lt;=$F115),IF(DZ$5=$E115+1,$C115,""),"")</f>
        <v/>
      </c>
      <c r="EA115" s="34">
        <f>IF(AND(EA$5&gt;$E115,EA$5&lt;=$F115),IF(EA$5=$E115+1,$C115,""),"")</f>
        <v/>
      </c>
      <c r="EB115" s="34">
        <f>IF(AND(EB$5&gt;$E115,EB$5&lt;=$F115),IF(EB$5=$E115+1,$C115,""),"")</f>
        <v/>
      </c>
      <c r="EC115" s="34">
        <f>IF(AND(EC$5&gt;$E115,EC$5&lt;=$F115),IF(EC$5=$E115+1,$C115,""),"")</f>
        <v/>
      </c>
      <c r="ED115" s="34">
        <f>IF(AND(ED$5&gt;$E115,ED$5&lt;=$F115),IF(ED$5=$E115+1,$C115,""),"")</f>
        <v/>
      </c>
      <c r="EE115" s="34">
        <f>IF(AND(EE$5&gt;$E115,EE$5&lt;=$F115),IF(EE$5=$E115+1,$C115,""),"")</f>
        <v/>
      </c>
      <c r="EF115" s="34">
        <f>IF(AND(EF$5&gt;$E115,EF$5&lt;=$F115),IF(EF$5=$E115+1,$C115,""),"")</f>
        <v/>
      </c>
      <c r="EG115" s="34">
        <f>IF(AND(EG$5&gt;$E115,EG$5&lt;=$F115),IF(EG$5=$E115+1,$C115,""),"")</f>
        <v/>
      </c>
      <c r="EH115" s="34">
        <f>IF(AND(EH$5&gt;$E115,EH$5&lt;=$F115),IF(EH$5=$E115+1,$C115,""),"")</f>
        <v/>
      </c>
      <c r="EI115" s="34">
        <f>IF(AND(EI$5&gt;$E115,EI$5&lt;=$F115),IF(EI$5=$E115+1,$C115,""),"")</f>
        <v/>
      </c>
      <c r="EJ115" s="34">
        <f>IF(AND(EJ$5&gt;$E115,EJ$5&lt;=$F115),IF(EJ$5=$E115+1,$C115,""),"")</f>
        <v/>
      </c>
      <c r="EK115" s="34">
        <f>IF(AND(EK$5&gt;$E115,EK$5&lt;=$F115),IF(EK$5=$E115+1,$C115,""),"")</f>
        <v/>
      </c>
      <c r="EL115" s="34">
        <f>IF(AND(EL$5&gt;$E115,EL$5&lt;=$F115),IF(EL$5=$E115+1,$C115,""),"")</f>
        <v/>
      </c>
      <c r="EM115" s="34">
        <f>IF(AND(EM$5&gt;$E115,EM$5&lt;=$F115),IF(EM$5=$E115+1,$C115,""),"")</f>
        <v/>
      </c>
      <c r="EN115" s="34">
        <f>IF(AND(EN$5&gt;$E115,EN$5&lt;=$F115),IF(EN$5=$E115+1,$C115,""),"")</f>
        <v/>
      </c>
      <c r="EO115" s="34">
        <f>IF(AND(EO$5&gt;$E115,EO$5&lt;=$F115),IF(EO$5=$E115+1,$C115,""),"")</f>
        <v/>
      </c>
      <c r="EP115" s="34">
        <f>IF(AND(EP$5&gt;$E115,EP$5&lt;=$F115),IF(EP$5=$E115+1,$C115,""),"")</f>
        <v/>
      </c>
      <c r="EQ115" s="34">
        <f>IF(AND(EQ$5&gt;$E115,EQ$5&lt;=$F115),IF(EQ$5=$E115+1,$C115,""),"")</f>
        <v/>
      </c>
    </row>
    <row r="116">
      <c r="A116" s="32">
        <f>Plan!A87</f>
        <v/>
      </c>
      <c r="B116" s="33">
        <f>Plan!C87</f>
        <v/>
      </c>
      <c r="C116" s="16">
        <f>Plan!D87</f>
        <v/>
      </c>
      <c r="D116" s="16">
        <f>Plan!I87</f>
        <v/>
      </c>
      <c r="E116" s="16">
        <f>Plan!K87</f>
        <v/>
      </c>
      <c r="F116" s="16">
        <f>Plan!L87</f>
        <v/>
      </c>
      <c r="G116" s="16">
        <f>Plan!O87</f>
        <v/>
      </c>
      <c r="H116" s="34">
        <f>IF(AND(H$5&gt;$E116,H$5&lt;=$F116),IF(H$5=$E116+1,$C116,""),"")</f>
        <v/>
      </c>
      <c r="I116" s="34">
        <f>IF(AND(I$5&gt;$E116,I$5&lt;=$F116),IF(I$5=$E116+1,$C116,""),"")</f>
        <v/>
      </c>
      <c r="J116" s="34">
        <f>IF(AND(J$5&gt;$E116,J$5&lt;=$F116),IF(J$5=$E116+1,$C116,""),"")</f>
        <v/>
      </c>
      <c r="K116" s="34">
        <f>IF(AND(K$5&gt;$E116,K$5&lt;=$F116),IF(K$5=$E116+1,$C116,""),"")</f>
        <v/>
      </c>
      <c r="L116" s="34">
        <f>IF(AND(L$5&gt;$E116,L$5&lt;=$F116),IF(L$5=$E116+1,$C116,""),"")</f>
        <v/>
      </c>
      <c r="M116" s="34">
        <f>IF(AND(M$5&gt;$E116,M$5&lt;=$F116),IF(M$5=$E116+1,$C116,""),"")</f>
        <v/>
      </c>
      <c r="N116" s="34">
        <f>IF(AND(N$5&gt;$E116,N$5&lt;=$F116),IF(N$5=$E116+1,$C116,""),"")</f>
        <v/>
      </c>
      <c r="O116" s="34">
        <f>IF(AND(O$5&gt;$E116,O$5&lt;=$F116),IF(O$5=$E116+1,$C116,""),"")</f>
        <v/>
      </c>
      <c r="P116" s="34">
        <f>IF(AND(P$5&gt;$E116,P$5&lt;=$F116),IF(P$5=$E116+1,$C116,""),"")</f>
        <v/>
      </c>
      <c r="Q116" s="34">
        <f>IF(AND(Q$5&gt;$E116,Q$5&lt;=$F116),IF(Q$5=$E116+1,$C116,""),"")</f>
        <v/>
      </c>
      <c r="R116" s="34">
        <f>IF(AND(R$5&gt;$E116,R$5&lt;=$F116),IF(R$5=$E116+1,$C116,""),"")</f>
        <v/>
      </c>
      <c r="S116" s="34">
        <f>IF(AND(S$5&gt;$E116,S$5&lt;=$F116),IF(S$5=$E116+1,$C116,""),"")</f>
        <v/>
      </c>
      <c r="T116" s="34">
        <f>IF(AND(T$5&gt;$E116,T$5&lt;=$F116),IF(T$5=$E116+1,$C116,""),"")</f>
        <v/>
      </c>
      <c r="U116" s="34">
        <f>IF(AND(U$5&gt;$E116,U$5&lt;=$F116),IF(U$5=$E116+1,$C116,""),"")</f>
        <v/>
      </c>
      <c r="V116" s="34">
        <f>IF(AND(V$5&gt;$E116,V$5&lt;=$F116),IF(V$5=$E116+1,$C116,""),"")</f>
        <v/>
      </c>
      <c r="W116" s="34">
        <f>IF(AND(W$5&gt;$E116,W$5&lt;=$F116),IF(W$5=$E116+1,$C116,""),"")</f>
        <v/>
      </c>
      <c r="X116" s="34">
        <f>IF(AND(X$5&gt;$E116,X$5&lt;=$F116),IF(X$5=$E116+1,$C116,""),"")</f>
        <v/>
      </c>
      <c r="Y116" s="34">
        <f>IF(AND(Y$5&gt;$E116,Y$5&lt;=$F116),IF(Y$5=$E116+1,$C116,""),"")</f>
        <v/>
      </c>
      <c r="Z116" s="34">
        <f>IF(AND(Z$5&gt;$E116,Z$5&lt;=$F116),IF(Z$5=$E116+1,$C116,""),"")</f>
        <v/>
      </c>
      <c r="AA116" s="34">
        <f>IF(AND(AA$5&gt;$E116,AA$5&lt;=$F116),IF(AA$5=$E116+1,$C116,""),"")</f>
        <v/>
      </c>
      <c r="AB116" s="34">
        <f>IF(AND(AB$5&gt;$E116,AB$5&lt;=$F116),IF(AB$5=$E116+1,$C116,""),"")</f>
        <v/>
      </c>
      <c r="AC116" s="34">
        <f>IF(AND(AC$5&gt;$E116,AC$5&lt;=$F116),IF(AC$5=$E116+1,$C116,""),"")</f>
        <v/>
      </c>
      <c r="AD116" s="34">
        <f>IF(AND(AD$5&gt;$E116,AD$5&lt;=$F116),IF(AD$5=$E116+1,$C116,""),"")</f>
        <v/>
      </c>
      <c r="AE116" s="34">
        <f>IF(AND(AE$5&gt;$E116,AE$5&lt;=$F116),IF(AE$5=$E116+1,$C116,""),"")</f>
        <v/>
      </c>
      <c r="AF116" s="34">
        <f>IF(AND(AF$5&gt;$E116,AF$5&lt;=$F116),IF(AF$5=$E116+1,$C116,""),"")</f>
        <v/>
      </c>
      <c r="AG116" s="34">
        <f>IF(AND(AG$5&gt;$E116,AG$5&lt;=$F116),IF(AG$5=$E116+1,$C116,""),"")</f>
        <v/>
      </c>
      <c r="AH116" s="34">
        <f>IF(AND(AH$5&gt;$E116,AH$5&lt;=$F116),IF(AH$5=$E116+1,$C116,""),"")</f>
        <v/>
      </c>
      <c r="AI116" s="34">
        <f>IF(AND(AI$5&gt;$E116,AI$5&lt;=$F116),IF(AI$5=$E116+1,$C116,""),"")</f>
        <v/>
      </c>
      <c r="AJ116" s="34">
        <f>IF(AND(AJ$5&gt;$E116,AJ$5&lt;=$F116),IF(AJ$5=$E116+1,$C116,""),"")</f>
        <v/>
      </c>
      <c r="AK116" s="34">
        <f>IF(AND(AK$5&gt;$E116,AK$5&lt;=$F116),IF(AK$5=$E116+1,$C116,""),"")</f>
        <v/>
      </c>
      <c r="AL116" s="34">
        <f>IF(AND(AL$5&gt;$E116,AL$5&lt;=$F116),IF(AL$5=$E116+1,$C116,""),"")</f>
        <v/>
      </c>
      <c r="AM116" s="34">
        <f>IF(AND(AM$5&gt;$E116,AM$5&lt;=$F116),IF(AM$5=$E116+1,$C116,""),"")</f>
        <v/>
      </c>
      <c r="AN116" s="34">
        <f>IF(AND(AN$5&gt;$E116,AN$5&lt;=$F116),IF(AN$5=$E116+1,$C116,""),"")</f>
        <v/>
      </c>
      <c r="AO116" s="34">
        <f>IF(AND(AO$5&gt;$E116,AO$5&lt;=$F116),IF(AO$5=$E116+1,$C116,""),"")</f>
        <v/>
      </c>
      <c r="AP116" s="34">
        <f>IF(AND(AP$5&gt;$E116,AP$5&lt;=$F116),IF(AP$5=$E116+1,$C116,""),"")</f>
        <v/>
      </c>
      <c r="AQ116" s="34">
        <f>IF(AND(AQ$5&gt;$E116,AQ$5&lt;=$F116),IF(AQ$5=$E116+1,$C116,""),"")</f>
        <v/>
      </c>
      <c r="AR116" s="34">
        <f>IF(AND(AR$5&gt;$E116,AR$5&lt;=$F116),IF(AR$5=$E116+1,$C116,""),"")</f>
        <v/>
      </c>
      <c r="AS116" s="34">
        <f>IF(AND(AS$5&gt;$E116,AS$5&lt;=$F116),IF(AS$5=$E116+1,$C116,""),"")</f>
        <v/>
      </c>
      <c r="AT116" s="34">
        <f>IF(AND(AT$5&gt;$E116,AT$5&lt;=$F116),IF(AT$5=$E116+1,$C116,""),"")</f>
        <v/>
      </c>
      <c r="AU116" s="34">
        <f>IF(AND(AU$5&gt;$E116,AU$5&lt;=$F116),IF(AU$5=$E116+1,$C116,""),"")</f>
        <v/>
      </c>
      <c r="AV116" s="34">
        <f>IF(AND(AV$5&gt;$E116,AV$5&lt;=$F116),IF(AV$5=$E116+1,$C116,""),"")</f>
        <v/>
      </c>
      <c r="AW116" s="34">
        <f>IF(AND(AW$5&gt;$E116,AW$5&lt;=$F116),IF(AW$5=$E116+1,$C116,""),"")</f>
        <v/>
      </c>
      <c r="AX116" s="34">
        <f>IF(AND(AX$5&gt;$E116,AX$5&lt;=$F116),IF(AX$5=$E116+1,$C116,""),"")</f>
        <v/>
      </c>
      <c r="AY116" s="34">
        <f>IF(AND(AY$5&gt;$E116,AY$5&lt;=$F116),IF(AY$5=$E116+1,$C116,""),"")</f>
        <v/>
      </c>
      <c r="AZ116" s="34">
        <f>IF(AND(AZ$5&gt;$E116,AZ$5&lt;=$F116),IF(AZ$5=$E116+1,$C116,""),"")</f>
        <v/>
      </c>
      <c r="BA116" s="34">
        <f>IF(AND(BA$5&gt;$E116,BA$5&lt;=$F116),IF(BA$5=$E116+1,$C116,""),"")</f>
        <v/>
      </c>
      <c r="BB116" s="34">
        <f>IF(AND(BB$5&gt;$E116,BB$5&lt;=$F116),IF(BB$5=$E116+1,$C116,""),"")</f>
        <v/>
      </c>
      <c r="BC116" s="34">
        <f>IF(AND(BC$5&gt;$E116,BC$5&lt;=$F116),IF(BC$5=$E116+1,$C116,""),"")</f>
        <v/>
      </c>
      <c r="BD116" s="34">
        <f>IF(AND(BD$5&gt;$E116,BD$5&lt;=$F116),IF(BD$5=$E116+1,$C116,""),"")</f>
        <v/>
      </c>
      <c r="BE116" s="34">
        <f>IF(AND(BE$5&gt;$E116,BE$5&lt;=$F116),IF(BE$5=$E116+1,$C116,""),"")</f>
        <v/>
      </c>
      <c r="BF116" s="34">
        <f>IF(AND(BF$5&gt;$E116,BF$5&lt;=$F116),IF(BF$5=$E116+1,$C116,""),"")</f>
        <v/>
      </c>
      <c r="BG116" s="34">
        <f>IF(AND(BG$5&gt;$E116,BG$5&lt;=$F116),IF(BG$5=$E116+1,$C116,""),"")</f>
        <v/>
      </c>
      <c r="BH116" s="34">
        <f>IF(AND(BH$5&gt;$E116,BH$5&lt;=$F116),IF(BH$5=$E116+1,$C116,""),"")</f>
        <v/>
      </c>
      <c r="BI116" s="34">
        <f>IF(AND(BI$5&gt;$E116,BI$5&lt;=$F116),IF(BI$5=$E116+1,$C116,""),"")</f>
        <v/>
      </c>
      <c r="BJ116" s="34">
        <f>IF(AND(BJ$5&gt;$E116,BJ$5&lt;=$F116),IF(BJ$5=$E116+1,$C116,""),"")</f>
        <v/>
      </c>
      <c r="BK116" s="34">
        <f>IF(AND(BK$5&gt;$E116,BK$5&lt;=$F116),IF(BK$5=$E116+1,$C116,""),"")</f>
        <v/>
      </c>
      <c r="BL116" s="34">
        <f>IF(AND(BL$5&gt;$E116,BL$5&lt;=$F116),IF(BL$5=$E116+1,$C116,""),"")</f>
        <v/>
      </c>
      <c r="BM116" s="34">
        <f>IF(AND(BM$5&gt;$E116,BM$5&lt;=$F116),IF(BM$5=$E116+1,$C116,""),"")</f>
        <v/>
      </c>
      <c r="BN116" s="34">
        <f>IF(AND(BN$5&gt;$E116,BN$5&lt;=$F116),IF(BN$5=$E116+1,$C116,""),"")</f>
        <v/>
      </c>
      <c r="BO116" s="34">
        <f>IF(AND(BO$5&gt;$E116,BO$5&lt;=$F116),IF(BO$5=$E116+1,$C116,""),"")</f>
        <v/>
      </c>
      <c r="BP116" s="34">
        <f>IF(AND(BP$5&gt;$E116,BP$5&lt;=$F116),IF(BP$5=$E116+1,$C116,""),"")</f>
        <v/>
      </c>
      <c r="BQ116" s="34">
        <f>IF(AND(BQ$5&gt;$E116,BQ$5&lt;=$F116),IF(BQ$5=$E116+1,$C116,""),"")</f>
        <v/>
      </c>
      <c r="BR116" s="34">
        <f>IF(AND(BR$5&gt;$E116,BR$5&lt;=$F116),IF(BR$5=$E116+1,$C116,""),"")</f>
        <v/>
      </c>
      <c r="BS116" s="34">
        <f>IF(AND(BS$5&gt;$E116,BS$5&lt;=$F116),IF(BS$5=$E116+1,$C116,""),"")</f>
        <v/>
      </c>
      <c r="BT116" s="34">
        <f>IF(AND(BT$5&gt;$E116,BT$5&lt;=$F116),IF(BT$5=$E116+1,$C116,""),"")</f>
        <v/>
      </c>
      <c r="BU116" s="34">
        <f>IF(AND(BU$5&gt;$E116,BU$5&lt;=$F116),IF(BU$5=$E116+1,$C116,""),"")</f>
        <v/>
      </c>
      <c r="BV116" s="34">
        <f>IF(AND(BV$5&gt;$E116,BV$5&lt;=$F116),IF(BV$5=$E116+1,$C116,""),"")</f>
        <v/>
      </c>
      <c r="BW116" s="34">
        <f>IF(AND(BW$5&gt;$E116,BW$5&lt;=$F116),IF(BW$5=$E116+1,$C116,""),"")</f>
        <v/>
      </c>
      <c r="BX116" s="34">
        <f>IF(AND(BX$5&gt;$E116,BX$5&lt;=$F116),IF(BX$5=$E116+1,$C116,""),"")</f>
        <v/>
      </c>
      <c r="BY116" s="34">
        <f>IF(AND(BY$5&gt;$E116,BY$5&lt;=$F116),IF(BY$5=$E116+1,$C116,""),"")</f>
        <v/>
      </c>
      <c r="BZ116" s="34">
        <f>IF(AND(BZ$5&gt;$E116,BZ$5&lt;=$F116),IF(BZ$5=$E116+1,$C116,""),"")</f>
        <v/>
      </c>
      <c r="CA116" s="34">
        <f>IF(AND(CA$5&gt;$E116,CA$5&lt;=$F116),IF(CA$5=$E116+1,$C116,""),"")</f>
        <v/>
      </c>
      <c r="CB116" s="34">
        <f>IF(AND(CB$5&gt;$E116,CB$5&lt;=$F116),IF(CB$5=$E116+1,$C116,""),"")</f>
        <v/>
      </c>
      <c r="CC116" s="34">
        <f>IF(AND(CC$5&gt;$E116,CC$5&lt;=$F116),IF(CC$5=$E116+1,$C116,""),"")</f>
        <v/>
      </c>
      <c r="CD116" s="34">
        <f>IF(AND(CD$5&gt;$E116,CD$5&lt;=$F116),IF(CD$5=$E116+1,$C116,""),"")</f>
        <v/>
      </c>
      <c r="CE116" s="34">
        <f>IF(AND(CE$5&gt;$E116,CE$5&lt;=$F116),IF(CE$5=$E116+1,$C116,""),"")</f>
        <v/>
      </c>
      <c r="CF116" s="34">
        <f>IF(AND(CF$5&gt;$E116,CF$5&lt;=$F116),IF(CF$5=$E116+1,$C116,""),"")</f>
        <v/>
      </c>
      <c r="CG116" s="34">
        <f>IF(AND(CG$5&gt;$E116,CG$5&lt;=$F116),IF(CG$5=$E116+1,$C116,""),"")</f>
        <v/>
      </c>
      <c r="CH116" s="34">
        <f>IF(AND(CH$5&gt;$E116,CH$5&lt;=$F116),IF(CH$5=$E116+1,$C116,""),"")</f>
        <v/>
      </c>
      <c r="CI116" s="34">
        <f>IF(AND(CI$5&gt;$E116,CI$5&lt;=$F116),IF(CI$5=$E116+1,$C116,""),"")</f>
        <v/>
      </c>
      <c r="CJ116" s="34">
        <f>IF(AND(CJ$5&gt;$E116,CJ$5&lt;=$F116),IF(CJ$5=$E116+1,$C116,""),"")</f>
        <v/>
      </c>
      <c r="CK116" s="34">
        <f>IF(AND(CK$5&gt;$E116,CK$5&lt;=$F116),IF(CK$5=$E116+1,$C116,""),"")</f>
        <v/>
      </c>
      <c r="CL116" s="34">
        <f>IF(AND(CL$5&gt;$E116,CL$5&lt;=$F116),IF(CL$5=$E116+1,$C116,""),"")</f>
        <v/>
      </c>
      <c r="CM116" s="34">
        <f>IF(AND(CM$5&gt;$E116,CM$5&lt;=$F116),IF(CM$5=$E116+1,$C116,""),"")</f>
        <v/>
      </c>
      <c r="CN116" s="34">
        <f>IF(AND(CN$5&gt;$E116,CN$5&lt;=$F116),IF(CN$5=$E116+1,$C116,""),"")</f>
        <v/>
      </c>
      <c r="CO116" s="34">
        <f>IF(AND(CO$5&gt;$E116,CO$5&lt;=$F116),IF(CO$5=$E116+1,$C116,""),"")</f>
        <v/>
      </c>
      <c r="CP116" s="34">
        <f>IF(AND(CP$5&gt;$E116,CP$5&lt;=$F116),IF(CP$5=$E116+1,$C116,""),"")</f>
        <v/>
      </c>
      <c r="CQ116" s="34">
        <f>IF(AND(CQ$5&gt;$E116,CQ$5&lt;=$F116),IF(CQ$5=$E116+1,$C116,""),"")</f>
        <v/>
      </c>
      <c r="CR116" s="34">
        <f>IF(AND(CR$5&gt;$E116,CR$5&lt;=$F116),IF(CR$5=$E116+1,$C116,""),"")</f>
        <v/>
      </c>
      <c r="CS116" s="34">
        <f>IF(AND(CS$5&gt;$E116,CS$5&lt;=$F116),IF(CS$5=$E116+1,$C116,""),"")</f>
        <v/>
      </c>
      <c r="CT116" s="34">
        <f>IF(AND(CT$5&gt;$E116,CT$5&lt;=$F116),IF(CT$5=$E116+1,$C116,""),"")</f>
        <v/>
      </c>
      <c r="CU116" s="34">
        <f>IF(AND(CU$5&gt;$E116,CU$5&lt;=$F116),IF(CU$5=$E116+1,$C116,""),"")</f>
        <v/>
      </c>
      <c r="CV116" s="34">
        <f>IF(AND(CV$5&gt;$E116,CV$5&lt;=$F116),IF(CV$5=$E116+1,$C116,""),"")</f>
        <v/>
      </c>
      <c r="CW116" s="34">
        <f>IF(AND(CW$5&gt;$E116,CW$5&lt;=$F116),IF(CW$5=$E116+1,$C116,""),"")</f>
        <v/>
      </c>
      <c r="CX116" s="34">
        <f>IF(AND(CX$5&gt;$E116,CX$5&lt;=$F116),IF(CX$5=$E116+1,$C116,""),"")</f>
        <v/>
      </c>
      <c r="CY116" s="34">
        <f>IF(AND(CY$5&gt;$E116,CY$5&lt;=$F116),IF(CY$5=$E116+1,$C116,""),"")</f>
        <v/>
      </c>
      <c r="CZ116" s="34">
        <f>IF(AND(CZ$5&gt;$E116,CZ$5&lt;=$F116),IF(CZ$5=$E116+1,$C116,""),"")</f>
        <v/>
      </c>
      <c r="DA116" s="34">
        <f>IF(AND(DA$5&gt;$E116,DA$5&lt;=$F116),IF(DA$5=$E116+1,$C116,""),"")</f>
        <v/>
      </c>
      <c r="DB116" s="34">
        <f>IF(AND(DB$5&gt;$E116,DB$5&lt;=$F116),IF(DB$5=$E116+1,$C116,""),"")</f>
        <v/>
      </c>
      <c r="DC116" s="34">
        <f>IF(AND(DC$5&gt;$E116,DC$5&lt;=$F116),IF(DC$5=$E116+1,$C116,""),"")</f>
        <v/>
      </c>
      <c r="DD116" s="34">
        <f>IF(AND(DD$5&gt;$E116,DD$5&lt;=$F116),IF(DD$5=$E116+1,$C116,""),"")</f>
        <v/>
      </c>
      <c r="DE116" s="34">
        <f>IF(AND(DE$5&gt;$E116,DE$5&lt;=$F116),IF(DE$5=$E116+1,$C116,""),"")</f>
        <v/>
      </c>
      <c r="DF116" s="34">
        <f>IF(AND(DF$5&gt;$E116,DF$5&lt;=$F116),IF(DF$5=$E116+1,$C116,""),"")</f>
        <v/>
      </c>
      <c r="DG116" s="34">
        <f>IF(AND(DG$5&gt;$E116,DG$5&lt;=$F116),IF(DG$5=$E116+1,$C116,""),"")</f>
        <v/>
      </c>
      <c r="DH116" s="34">
        <f>IF(AND(DH$5&gt;$E116,DH$5&lt;=$F116),IF(DH$5=$E116+1,$C116,""),"")</f>
        <v/>
      </c>
      <c r="DI116" s="34">
        <f>IF(AND(DI$5&gt;$E116,DI$5&lt;=$F116),IF(DI$5=$E116+1,$C116,""),"")</f>
        <v/>
      </c>
      <c r="DJ116" s="34">
        <f>IF(AND(DJ$5&gt;$E116,DJ$5&lt;=$F116),IF(DJ$5=$E116+1,$C116,""),"")</f>
        <v/>
      </c>
      <c r="DK116" s="34">
        <f>IF(AND(DK$5&gt;$E116,DK$5&lt;=$F116),IF(DK$5=$E116+1,$C116,""),"")</f>
        <v/>
      </c>
      <c r="DL116" s="34">
        <f>IF(AND(DL$5&gt;$E116,DL$5&lt;=$F116),IF(DL$5=$E116+1,$C116,""),"")</f>
        <v/>
      </c>
      <c r="DM116" s="34">
        <f>IF(AND(DM$5&gt;$E116,DM$5&lt;=$F116),IF(DM$5=$E116+1,$C116,""),"")</f>
        <v/>
      </c>
      <c r="DN116" s="34">
        <f>IF(AND(DN$5&gt;$E116,DN$5&lt;=$F116),IF(DN$5=$E116+1,$C116,""),"")</f>
        <v/>
      </c>
      <c r="DO116" s="34">
        <f>IF(AND(DO$5&gt;$E116,DO$5&lt;=$F116),IF(DO$5=$E116+1,$C116,""),"")</f>
        <v/>
      </c>
      <c r="DP116" s="34">
        <f>IF(AND(DP$5&gt;$E116,DP$5&lt;=$F116),IF(DP$5=$E116+1,$C116,""),"")</f>
        <v/>
      </c>
      <c r="DQ116" s="34">
        <f>IF(AND(DQ$5&gt;$E116,DQ$5&lt;=$F116),IF(DQ$5=$E116+1,$C116,""),"")</f>
        <v/>
      </c>
      <c r="DR116" s="34">
        <f>IF(AND(DR$5&gt;$E116,DR$5&lt;=$F116),IF(DR$5=$E116+1,$C116,""),"")</f>
        <v/>
      </c>
      <c r="DS116" s="34">
        <f>IF(AND(DS$5&gt;$E116,DS$5&lt;=$F116),IF(DS$5=$E116+1,$C116,""),"")</f>
        <v/>
      </c>
      <c r="DT116" s="34">
        <f>IF(AND(DT$5&gt;$E116,DT$5&lt;=$F116),IF(DT$5=$E116+1,$C116,""),"")</f>
        <v/>
      </c>
      <c r="DU116" s="34">
        <f>IF(AND(DU$5&gt;$E116,DU$5&lt;=$F116),IF(DU$5=$E116+1,$C116,""),"")</f>
        <v/>
      </c>
      <c r="DV116" s="34">
        <f>IF(AND(DV$5&gt;$E116,DV$5&lt;=$F116),IF(DV$5=$E116+1,$C116,""),"")</f>
        <v/>
      </c>
      <c r="DW116" s="34">
        <f>IF(AND(DW$5&gt;$E116,DW$5&lt;=$F116),IF(DW$5=$E116+1,$C116,""),"")</f>
        <v/>
      </c>
      <c r="DX116" s="34">
        <f>IF(AND(DX$5&gt;$E116,DX$5&lt;=$F116),IF(DX$5=$E116+1,$C116,""),"")</f>
        <v/>
      </c>
      <c r="DY116" s="34">
        <f>IF(AND(DY$5&gt;$E116,DY$5&lt;=$F116),IF(DY$5=$E116+1,$C116,""),"")</f>
        <v/>
      </c>
      <c r="DZ116" s="34">
        <f>IF(AND(DZ$5&gt;$E116,DZ$5&lt;=$F116),IF(DZ$5=$E116+1,$C116,""),"")</f>
        <v/>
      </c>
      <c r="EA116" s="34">
        <f>IF(AND(EA$5&gt;$E116,EA$5&lt;=$F116),IF(EA$5=$E116+1,$C116,""),"")</f>
        <v/>
      </c>
      <c r="EB116" s="34">
        <f>IF(AND(EB$5&gt;$E116,EB$5&lt;=$F116),IF(EB$5=$E116+1,$C116,""),"")</f>
        <v/>
      </c>
      <c r="EC116" s="34">
        <f>IF(AND(EC$5&gt;$E116,EC$5&lt;=$F116),IF(EC$5=$E116+1,$C116,""),"")</f>
        <v/>
      </c>
      <c r="ED116" s="34">
        <f>IF(AND(ED$5&gt;$E116,ED$5&lt;=$F116),IF(ED$5=$E116+1,$C116,""),"")</f>
        <v/>
      </c>
      <c r="EE116" s="34">
        <f>IF(AND(EE$5&gt;$E116,EE$5&lt;=$F116),IF(EE$5=$E116+1,$C116,""),"")</f>
        <v/>
      </c>
      <c r="EF116" s="34">
        <f>IF(AND(EF$5&gt;$E116,EF$5&lt;=$F116),IF(EF$5=$E116+1,$C116,""),"")</f>
        <v/>
      </c>
      <c r="EG116" s="34">
        <f>IF(AND(EG$5&gt;$E116,EG$5&lt;=$F116),IF(EG$5=$E116+1,$C116,""),"")</f>
        <v/>
      </c>
      <c r="EH116" s="34">
        <f>IF(AND(EH$5&gt;$E116,EH$5&lt;=$F116),IF(EH$5=$E116+1,$C116,""),"")</f>
        <v/>
      </c>
      <c r="EI116" s="34">
        <f>IF(AND(EI$5&gt;$E116,EI$5&lt;=$F116),IF(EI$5=$E116+1,$C116,""),"")</f>
        <v/>
      </c>
      <c r="EJ116" s="34">
        <f>IF(AND(EJ$5&gt;$E116,EJ$5&lt;=$F116),IF(EJ$5=$E116+1,$C116,""),"")</f>
        <v/>
      </c>
      <c r="EK116" s="34">
        <f>IF(AND(EK$5&gt;$E116,EK$5&lt;=$F116),IF(EK$5=$E116+1,$C116,""),"")</f>
        <v/>
      </c>
      <c r="EL116" s="34">
        <f>IF(AND(EL$5&gt;$E116,EL$5&lt;=$F116),IF(EL$5=$E116+1,$C116,""),"")</f>
        <v/>
      </c>
      <c r="EM116" s="34">
        <f>IF(AND(EM$5&gt;$E116,EM$5&lt;=$F116),IF(EM$5=$E116+1,$C116,""),"")</f>
        <v/>
      </c>
      <c r="EN116" s="34">
        <f>IF(AND(EN$5&gt;$E116,EN$5&lt;=$F116),IF(EN$5=$E116+1,$C116,""),"")</f>
        <v/>
      </c>
      <c r="EO116" s="34">
        <f>IF(AND(EO$5&gt;$E116,EO$5&lt;=$F116),IF(EO$5=$E116+1,$C116,""),"")</f>
        <v/>
      </c>
      <c r="EP116" s="34">
        <f>IF(AND(EP$5&gt;$E116,EP$5&lt;=$F116),IF(EP$5=$E116+1,$C116,""),"")</f>
        <v/>
      </c>
      <c r="EQ116" s="34">
        <f>IF(AND(EQ$5&gt;$E116,EQ$5&lt;=$F116),IF(EQ$5=$E116+1,$C116,""),"")</f>
        <v/>
      </c>
    </row>
    <row r="117">
      <c r="A117" s="32">
        <f>Plan!A88</f>
        <v/>
      </c>
      <c r="B117" s="33">
        <f>Plan!C88</f>
        <v/>
      </c>
      <c r="C117" s="16">
        <f>Plan!D88</f>
        <v/>
      </c>
      <c r="D117" s="16">
        <f>Plan!I88</f>
        <v/>
      </c>
      <c r="E117" s="16">
        <f>Plan!K88</f>
        <v/>
      </c>
      <c r="F117" s="16">
        <f>Plan!L88</f>
        <v/>
      </c>
      <c r="G117" s="16">
        <f>Plan!O88</f>
        <v/>
      </c>
      <c r="H117" s="34">
        <f>IF(AND(H$5&gt;$E117,H$5&lt;=$F117),IF(H$5=$E117+1,$C117,""),"")</f>
        <v/>
      </c>
      <c r="I117" s="34">
        <f>IF(AND(I$5&gt;$E117,I$5&lt;=$F117),IF(I$5=$E117+1,$C117,""),"")</f>
        <v/>
      </c>
      <c r="J117" s="34">
        <f>IF(AND(J$5&gt;$E117,J$5&lt;=$F117),IF(J$5=$E117+1,$C117,""),"")</f>
        <v/>
      </c>
      <c r="K117" s="34">
        <f>IF(AND(K$5&gt;$E117,K$5&lt;=$F117),IF(K$5=$E117+1,$C117,""),"")</f>
        <v/>
      </c>
      <c r="L117" s="34">
        <f>IF(AND(L$5&gt;$E117,L$5&lt;=$F117),IF(L$5=$E117+1,$C117,""),"")</f>
        <v/>
      </c>
      <c r="M117" s="34">
        <f>IF(AND(M$5&gt;$E117,M$5&lt;=$F117),IF(M$5=$E117+1,$C117,""),"")</f>
        <v/>
      </c>
      <c r="N117" s="34">
        <f>IF(AND(N$5&gt;$E117,N$5&lt;=$F117),IF(N$5=$E117+1,$C117,""),"")</f>
        <v/>
      </c>
      <c r="O117" s="34">
        <f>IF(AND(O$5&gt;$E117,O$5&lt;=$F117),IF(O$5=$E117+1,$C117,""),"")</f>
        <v/>
      </c>
      <c r="P117" s="34">
        <f>IF(AND(P$5&gt;$E117,P$5&lt;=$F117),IF(P$5=$E117+1,$C117,""),"")</f>
        <v/>
      </c>
      <c r="Q117" s="34">
        <f>IF(AND(Q$5&gt;$E117,Q$5&lt;=$F117),IF(Q$5=$E117+1,$C117,""),"")</f>
        <v/>
      </c>
      <c r="R117" s="34">
        <f>IF(AND(R$5&gt;$E117,R$5&lt;=$F117),IF(R$5=$E117+1,$C117,""),"")</f>
        <v/>
      </c>
      <c r="S117" s="34">
        <f>IF(AND(S$5&gt;$E117,S$5&lt;=$F117),IF(S$5=$E117+1,$C117,""),"")</f>
        <v/>
      </c>
      <c r="T117" s="34">
        <f>IF(AND(T$5&gt;$E117,T$5&lt;=$F117),IF(T$5=$E117+1,$C117,""),"")</f>
        <v/>
      </c>
      <c r="U117" s="34">
        <f>IF(AND(U$5&gt;$E117,U$5&lt;=$F117),IF(U$5=$E117+1,$C117,""),"")</f>
        <v/>
      </c>
      <c r="V117" s="34">
        <f>IF(AND(V$5&gt;$E117,V$5&lt;=$F117),IF(V$5=$E117+1,$C117,""),"")</f>
        <v/>
      </c>
      <c r="W117" s="34">
        <f>IF(AND(W$5&gt;$E117,W$5&lt;=$F117),IF(W$5=$E117+1,$C117,""),"")</f>
        <v/>
      </c>
      <c r="X117" s="34">
        <f>IF(AND(X$5&gt;$E117,X$5&lt;=$F117),IF(X$5=$E117+1,$C117,""),"")</f>
        <v/>
      </c>
      <c r="Y117" s="34">
        <f>IF(AND(Y$5&gt;$E117,Y$5&lt;=$F117),IF(Y$5=$E117+1,$C117,""),"")</f>
        <v/>
      </c>
      <c r="Z117" s="34">
        <f>IF(AND(Z$5&gt;$E117,Z$5&lt;=$F117),IF(Z$5=$E117+1,$C117,""),"")</f>
        <v/>
      </c>
      <c r="AA117" s="34">
        <f>IF(AND(AA$5&gt;$E117,AA$5&lt;=$F117),IF(AA$5=$E117+1,$C117,""),"")</f>
        <v/>
      </c>
      <c r="AB117" s="34">
        <f>IF(AND(AB$5&gt;$E117,AB$5&lt;=$F117),IF(AB$5=$E117+1,$C117,""),"")</f>
        <v/>
      </c>
      <c r="AC117" s="34">
        <f>IF(AND(AC$5&gt;$E117,AC$5&lt;=$F117),IF(AC$5=$E117+1,$C117,""),"")</f>
        <v/>
      </c>
      <c r="AD117" s="34">
        <f>IF(AND(AD$5&gt;$E117,AD$5&lt;=$F117),IF(AD$5=$E117+1,$C117,""),"")</f>
        <v/>
      </c>
      <c r="AE117" s="34">
        <f>IF(AND(AE$5&gt;$E117,AE$5&lt;=$F117),IF(AE$5=$E117+1,$C117,""),"")</f>
        <v/>
      </c>
      <c r="AF117" s="34">
        <f>IF(AND(AF$5&gt;$E117,AF$5&lt;=$F117),IF(AF$5=$E117+1,$C117,""),"")</f>
        <v/>
      </c>
      <c r="AG117" s="34">
        <f>IF(AND(AG$5&gt;$E117,AG$5&lt;=$F117),IF(AG$5=$E117+1,$C117,""),"")</f>
        <v/>
      </c>
      <c r="AH117" s="34">
        <f>IF(AND(AH$5&gt;$E117,AH$5&lt;=$F117),IF(AH$5=$E117+1,$C117,""),"")</f>
        <v/>
      </c>
      <c r="AI117" s="34">
        <f>IF(AND(AI$5&gt;$E117,AI$5&lt;=$F117),IF(AI$5=$E117+1,$C117,""),"")</f>
        <v/>
      </c>
      <c r="AJ117" s="34">
        <f>IF(AND(AJ$5&gt;$E117,AJ$5&lt;=$F117),IF(AJ$5=$E117+1,$C117,""),"")</f>
        <v/>
      </c>
      <c r="AK117" s="34">
        <f>IF(AND(AK$5&gt;$E117,AK$5&lt;=$F117),IF(AK$5=$E117+1,$C117,""),"")</f>
        <v/>
      </c>
      <c r="AL117" s="34">
        <f>IF(AND(AL$5&gt;$E117,AL$5&lt;=$F117),IF(AL$5=$E117+1,$C117,""),"")</f>
        <v/>
      </c>
      <c r="AM117" s="34">
        <f>IF(AND(AM$5&gt;$E117,AM$5&lt;=$F117),IF(AM$5=$E117+1,$C117,""),"")</f>
        <v/>
      </c>
      <c r="AN117" s="34">
        <f>IF(AND(AN$5&gt;$E117,AN$5&lt;=$F117),IF(AN$5=$E117+1,$C117,""),"")</f>
        <v/>
      </c>
      <c r="AO117" s="34">
        <f>IF(AND(AO$5&gt;$E117,AO$5&lt;=$F117),IF(AO$5=$E117+1,$C117,""),"")</f>
        <v/>
      </c>
      <c r="AP117" s="34">
        <f>IF(AND(AP$5&gt;$E117,AP$5&lt;=$F117),IF(AP$5=$E117+1,$C117,""),"")</f>
        <v/>
      </c>
      <c r="AQ117" s="34">
        <f>IF(AND(AQ$5&gt;$E117,AQ$5&lt;=$F117),IF(AQ$5=$E117+1,$C117,""),"")</f>
        <v/>
      </c>
      <c r="AR117" s="34">
        <f>IF(AND(AR$5&gt;$E117,AR$5&lt;=$F117),IF(AR$5=$E117+1,$C117,""),"")</f>
        <v/>
      </c>
      <c r="AS117" s="34">
        <f>IF(AND(AS$5&gt;$E117,AS$5&lt;=$F117),IF(AS$5=$E117+1,$C117,""),"")</f>
        <v/>
      </c>
      <c r="AT117" s="34">
        <f>IF(AND(AT$5&gt;$E117,AT$5&lt;=$F117),IF(AT$5=$E117+1,$C117,""),"")</f>
        <v/>
      </c>
      <c r="AU117" s="34">
        <f>IF(AND(AU$5&gt;$E117,AU$5&lt;=$F117),IF(AU$5=$E117+1,$C117,""),"")</f>
        <v/>
      </c>
      <c r="AV117" s="34">
        <f>IF(AND(AV$5&gt;$E117,AV$5&lt;=$F117),IF(AV$5=$E117+1,$C117,""),"")</f>
        <v/>
      </c>
      <c r="AW117" s="34">
        <f>IF(AND(AW$5&gt;$E117,AW$5&lt;=$F117),IF(AW$5=$E117+1,$C117,""),"")</f>
        <v/>
      </c>
      <c r="AX117" s="34">
        <f>IF(AND(AX$5&gt;$E117,AX$5&lt;=$F117),IF(AX$5=$E117+1,$C117,""),"")</f>
        <v/>
      </c>
      <c r="AY117" s="34">
        <f>IF(AND(AY$5&gt;$E117,AY$5&lt;=$F117),IF(AY$5=$E117+1,$C117,""),"")</f>
        <v/>
      </c>
      <c r="AZ117" s="34">
        <f>IF(AND(AZ$5&gt;$E117,AZ$5&lt;=$F117),IF(AZ$5=$E117+1,$C117,""),"")</f>
        <v/>
      </c>
      <c r="BA117" s="34">
        <f>IF(AND(BA$5&gt;$E117,BA$5&lt;=$F117),IF(BA$5=$E117+1,$C117,""),"")</f>
        <v/>
      </c>
      <c r="BB117" s="34">
        <f>IF(AND(BB$5&gt;$E117,BB$5&lt;=$F117),IF(BB$5=$E117+1,$C117,""),"")</f>
        <v/>
      </c>
      <c r="BC117" s="34">
        <f>IF(AND(BC$5&gt;$E117,BC$5&lt;=$F117),IF(BC$5=$E117+1,$C117,""),"")</f>
        <v/>
      </c>
      <c r="BD117" s="34">
        <f>IF(AND(BD$5&gt;$E117,BD$5&lt;=$F117),IF(BD$5=$E117+1,$C117,""),"")</f>
        <v/>
      </c>
      <c r="BE117" s="34">
        <f>IF(AND(BE$5&gt;$E117,BE$5&lt;=$F117),IF(BE$5=$E117+1,$C117,""),"")</f>
        <v/>
      </c>
      <c r="BF117" s="34">
        <f>IF(AND(BF$5&gt;$E117,BF$5&lt;=$F117),IF(BF$5=$E117+1,$C117,""),"")</f>
        <v/>
      </c>
      <c r="BG117" s="34">
        <f>IF(AND(BG$5&gt;$E117,BG$5&lt;=$F117),IF(BG$5=$E117+1,$C117,""),"")</f>
        <v/>
      </c>
      <c r="BH117" s="34">
        <f>IF(AND(BH$5&gt;$E117,BH$5&lt;=$F117),IF(BH$5=$E117+1,$C117,""),"")</f>
        <v/>
      </c>
      <c r="BI117" s="34">
        <f>IF(AND(BI$5&gt;$E117,BI$5&lt;=$F117),IF(BI$5=$E117+1,$C117,""),"")</f>
        <v/>
      </c>
      <c r="BJ117" s="34">
        <f>IF(AND(BJ$5&gt;$E117,BJ$5&lt;=$F117),IF(BJ$5=$E117+1,$C117,""),"")</f>
        <v/>
      </c>
      <c r="BK117" s="34">
        <f>IF(AND(BK$5&gt;$E117,BK$5&lt;=$F117),IF(BK$5=$E117+1,$C117,""),"")</f>
        <v/>
      </c>
      <c r="BL117" s="34">
        <f>IF(AND(BL$5&gt;$E117,BL$5&lt;=$F117),IF(BL$5=$E117+1,$C117,""),"")</f>
        <v/>
      </c>
      <c r="BM117" s="34">
        <f>IF(AND(BM$5&gt;$E117,BM$5&lt;=$F117),IF(BM$5=$E117+1,$C117,""),"")</f>
        <v/>
      </c>
      <c r="BN117" s="34">
        <f>IF(AND(BN$5&gt;$E117,BN$5&lt;=$F117),IF(BN$5=$E117+1,$C117,""),"")</f>
        <v/>
      </c>
      <c r="BO117" s="34">
        <f>IF(AND(BO$5&gt;$E117,BO$5&lt;=$F117),IF(BO$5=$E117+1,$C117,""),"")</f>
        <v/>
      </c>
      <c r="BP117" s="34">
        <f>IF(AND(BP$5&gt;$E117,BP$5&lt;=$F117),IF(BP$5=$E117+1,$C117,""),"")</f>
        <v/>
      </c>
      <c r="BQ117" s="34">
        <f>IF(AND(BQ$5&gt;$E117,BQ$5&lt;=$F117),IF(BQ$5=$E117+1,$C117,""),"")</f>
        <v/>
      </c>
      <c r="BR117" s="34">
        <f>IF(AND(BR$5&gt;$E117,BR$5&lt;=$F117),IF(BR$5=$E117+1,$C117,""),"")</f>
        <v/>
      </c>
      <c r="BS117" s="34">
        <f>IF(AND(BS$5&gt;$E117,BS$5&lt;=$F117),IF(BS$5=$E117+1,$C117,""),"")</f>
        <v/>
      </c>
      <c r="BT117" s="34">
        <f>IF(AND(BT$5&gt;$E117,BT$5&lt;=$F117),IF(BT$5=$E117+1,$C117,""),"")</f>
        <v/>
      </c>
      <c r="BU117" s="34">
        <f>IF(AND(BU$5&gt;$E117,BU$5&lt;=$F117),IF(BU$5=$E117+1,$C117,""),"")</f>
        <v/>
      </c>
      <c r="BV117" s="34">
        <f>IF(AND(BV$5&gt;$E117,BV$5&lt;=$F117),IF(BV$5=$E117+1,$C117,""),"")</f>
        <v/>
      </c>
      <c r="BW117" s="34">
        <f>IF(AND(BW$5&gt;$E117,BW$5&lt;=$F117),IF(BW$5=$E117+1,$C117,""),"")</f>
        <v/>
      </c>
      <c r="BX117" s="34">
        <f>IF(AND(BX$5&gt;$E117,BX$5&lt;=$F117),IF(BX$5=$E117+1,$C117,""),"")</f>
        <v/>
      </c>
      <c r="BY117" s="34">
        <f>IF(AND(BY$5&gt;$E117,BY$5&lt;=$F117),IF(BY$5=$E117+1,$C117,""),"")</f>
        <v/>
      </c>
      <c r="BZ117" s="34">
        <f>IF(AND(BZ$5&gt;$E117,BZ$5&lt;=$F117),IF(BZ$5=$E117+1,$C117,""),"")</f>
        <v/>
      </c>
      <c r="CA117" s="34">
        <f>IF(AND(CA$5&gt;$E117,CA$5&lt;=$F117),IF(CA$5=$E117+1,$C117,""),"")</f>
        <v/>
      </c>
      <c r="CB117" s="34">
        <f>IF(AND(CB$5&gt;$E117,CB$5&lt;=$F117),IF(CB$5=$E117+1,$C117,""),"")</f>
        <v/>
      </c>
      <c r="CC117" s="34">
        <f>IF(AND(CC$5&gt;$E117,CC$5&lt;=$F117),IF(CC$5=$E117+1,$C117,""),"")</f>
        <v/>
      </c>
      <c r="CD117" s="34">
        <f>IF(AND(CD$5&gt;$E117,CD$5&lt;=$F117),IF(CD$5=$E117+1,$C117,""),"")</f>
        <v/>
      </c>
      <c r="CE117" s="34">
        <f>IF(AND(CE$5&gt;$E117,CE$5&lt;=$F117),IF(CE$5=$E117+1,$C117,""),"")</f>
        <v/>
      </c>
      <c r="CF117" s="34">
        <f>IF(AND(CF$5&gt;$E117,CF$5&lt;=$F117),IF(CF$5=$E117+1,$C117,""),"")</f>
        <v/>
      </c>
      <c r="CG117" s="34">
        <f>IF(AND(CG$5&gt;$E117,CG$5&lt;=$F117),IF(CG$5=$E117+1,$C117,""),"")</f>
        <v/>
      </c>
      <c r="CH117" s="34">
        <f>IF(AND(CH$5&gt;$E117,CH$5&lt;=$F117),IF(CH$5=$E117+1,$C117,""),"")</f>
        <v/>
      </c>
      <c r="CI117" s="34">
        <f>IF(AND(CI$5&gt;$E117,CI$5&lt;=$F117),IF(CI$5=$E117+1,$C117,""),"")</f>
        <v/>
      </c>
      <c r="CJ117" s="34">
        <f>IF(AND(CJ$5&gt;$E117,CJ$5&lt;=$F117),IF(CJ$5=$E117+1,$C117,""),"")</f>
        <v/>
      </c>
      <c r="CK117" s="34">
        <f>IF(AND(CK$5&gt;$E117,CK$5&lt;=$F117),IF(CK$5=$E117+1,$C117,""),"")</f>
        <v/>
      </c>
      <c r="CL117" s="34">
        <f>IF(AND(CL$5&gt;$E117,CL$5&lt;=$F117),IF(CL$5=$E117+1,$C117,""),"")</f>
        <v/>
      </c>
      <c r="CM117" s="34">
        <f>IF(AND(CM$5&gt;$E117,CM$5&lt;=$F117),IF(CM$5=$E117+1,$C117,""),"")</f>
        <v/>
      </c>
      <c r="CN117" s="34">
        <f>IF(AND(CN$5&gt;$E117,CN$5&lt;=$F117),IF(CN$5=$E117+1,$C117,""),"")</f>
        <v/>
      </c>
      <c r="CO117" s="34">
        <f>IF(AND(CO$5&gt;$E117,CO$5&lt;=$F117),IF(CO$5=$E117+1,$C117,""),"")</f>
        <v/>
      </c>
      <c r="CP117" s="34">
        <f>IF(AND(CP$5&gt;$E117,CP$5&lt;=$F117),IF(CP$5=$E117+1,$C117,""),"")</f>
        <v/>
      </c>
      <c r="CQ117" s="34">
        <f>IF(AND(CQ$5&gt;$E117,CQ$5&lt;=$F117),IF(CQ$5=$E117+1,$C117,""),"")</f>
        <v/>
      </c>
      <c r="CR117" s="34">
        <f>IF(AND(CR$5&gt;$E117,CR$5&lt;=$F117),IF(CR$5=$E117+1,$C117,""),"")</f>
        <v/>
      </c>
      <c r="CS117" s="34">
        <f>IF(AND(CS$5&gt;$E117,CS$5&lt;=$F117),IF(CS$5=$E117+1,$C117,""),"")</f>
        <v/>
      </c>
      <c r="CT117" s="34">
        <f>IF(AND(CT$5&gt;$E117,CT$5&lt;=$F117),IF(CT$5=$E117+1,$C117,""),"")</f>
        <v/>
      </c>
      <c r="CU117" s="34">
        <f>IF(AND(CU$5&gt;$E117,CU$5&lt;=$F117),IF(CU$5=$E117+1,$C117,""),"")</f>
        <v/>
      </c>
      <c r="CV117" s="34">
        <f>IF(AND(CV$5&gt;$E117,CV$5&lt;=$F117),IF(CV$5=$E117+1,$C117,""),"")</f>
        <v/>
      </c>
      <c r="CW117" s="34">
        <f>IF(AND(CW$5&gt;$E117,CW$5&lt;=$F117),IF(CW$5=$E117+1,$C117,""),"")</f>
        <v/>
      </c>
      <c r="CX117" s="34">
        <f>IF(AND(CX$5&gt;$E117,CX$5&lt;=$F117),IF(CX$5=$E117+1,$C117,""),"")</f>
        <v/>
      </c>
      <c r="CY117" s="34">
        <f>IF(AND(CY$5&gt;$E117,CY$5&lt;=$F117),IF(CY$5=$E117+1,$C117,""),"")</f>
        <v/>
      </c>
      <c r="CZ117" s="34">
        <f>IF(AND(CZ$5&gt;$E117,CZ$5&lt;=$F117),IF(CZ$5=$E117+1,$C117,""),"")</f>
        <v/>
      </c>
      <c r="DA117" s="34">
        <f>IF(AND(DA$5&gt;$E117,DA$5&lt;=$F117),IF(DA$5=$E117+1,$C117,""),"")</f>
        <v/>
      </c>
      <c r="DB117" s="34">
        <f>IF(AND(DB$5&gt;$E117,DB$5&lt;=$F117),IF(DB$5=$E117+1,$C117,""),"")</f>
        <v/>
      </c>
      <c r="DC117" s="34">
        <f>IF(AND(DC$5&gt;$E117,DC$5&lt;=$F117),IF(DC$5=$E117+1,$C117,""),"")</f>
        <v/>
      </c>
      <c r="DD117" s="34">
        <f>IF(AND(DD$5&gt;$E117,DD$5&lt;=$F117),IF(DD$5=$E117+1,$C117,""),"")</f>
        <v/>
      </c>
      <c r="DE117" s="34">
        <f>IF(AND(DE$5&gt;$E117,DE$5&lt;=$F117),IF(DE$5=$E117+1,$C117,""),"")</f>
        <v/>
      </c>
      <c r="DF117" s="34">
        <f>IF(AND(DF$5&gt;$E117,DF$5&lt;=$F117),IF(DF$5=$E117+1,$C117,""),"")</f>
        <v/>
      </c>
      <c r="DG117" s="34">
        <f>IF(AND(DG$5&gt;$E117,DG$5&lt;=$F117),IF(DG$5=$E117+1,$C117,""),"")</f>
        <v/>
      </c>
      <c r="DH117" s="34">
        <f>IF(AND(DH$5&gt;$E117,DH$5&lt;=$F117),IF(DH$5=$E117+1,$C117,""),"")</f>
        <v/>
      </c>
      <c r="DI117" s="34">
        <f>IF(AND(DI$5&gt;$E117,DI$5&lt;=$F117),IF(DI$5=$E117+1,$C117,""),"")</f>
        <v/>
      </c>
      <c r="DJ117" s="34">
        <f>IF(AND(DJ$5&gt;$E117,DJ$5&lt;=$F117),IF(DJ$5=$E117+1,$C117,""),"")</f>
        <v/>
      </c>
      <c r="DK117" s="34">
        <f>IF(AND(DK$5&gt;$E117,DK$5&lt;=$F117),IF(DK$5=$E117+1,$C117,""),"")</f>
        <v/>
      </c>
      <c r="DL117" s="34">
        <f>IF(AND(DL$5&gt;$E117,DL$5&lt;=$F117),IF(DL$5=$E117+1,$C117,""),"")</f>
        <v/>
      </c>
      <c r="DM117" s="34">
        <f>IF(AND(DM$5&gt;$E117,DM$5&lt;=$F117),IF(DM$5=$E117+1,$C117,""),"")</f>
        <v/>
      </c>
      <c r="DN117" s="34">
        <f>IF(AND(DN$5&gt;$E117,DN$5&lt;=$F117),IF(DN$5=$E117+1,$C117,""),"")</f>
        <v/>
      </c>
      <c r="DO117" s="34">
        <f>IF(AND(DO$5&gt;$E117,DO$5&lt;=$F117),IF(DO$5=$E117+1,$C117,""),"")</f>
        <v/>
      </c>
      <c r="DP117" s="34">
        <f>IF(AND(DP$5&gt;$E117,DP$5&lt;=$F117),IF(DP$5=$E117+1,$C117,""),"")</f>
        <v/>
      </c>
      <c r="DQ117" s="34">
        <f>IF(AND(DQ$5&gt;$E117,DQ$5&lt;=$F117),IF(DQ$5=$E117+1,$C117,""),"")</f>
        <v/>
      </c>
      <c r="DR117" s="34">
        <f>IF(AND(DR$5&gt;$E117,DR$5&lt;=$F117),IF(DR$5=$E117+1,$C117,""),"")</f>
        <v/>
      </c>
      <c r="DS117" s="34">
        <f>IF(AND(DS$5&gt;$E117,DS$5&lt;=$F117),IF(DS$5=$E117+1,$C117,""),"")</f>
        <v/>
      </c>
      <c r="DT117" s="34">
        <f>IF(AND(DT$5&gt;$E117,DT$5&lt;=$F117),IF(DT$5=$E117+1,$C117,""),"")</f>
        <v/>
      </c>
      <c r="DU117" s="34">
        <f>IF(AND(DU$5&gt;$E117,DU$5&lt;=$F117),IF(DU$5=$E117+1,$C117,""),"")</f>
        <v/>
      </c>
      <c r="DV117" s="34">
        <f>IF(AND(DV$5&gt;$E117,DV$5&lt;=$F117),IF(DV$5=$E117+1,$C117,""),"")</f>
        <v/>
      </c>
      <c r="DW117" s="34">
        <f>IF(AND(DW$5&gt;$E117,DW$5&lt;=$F117),IF(DW$5=$E117+1,$C117,""),"")</f>
        <v/>
      </c>
      <c r="DX117" s="34">
        <f>IF(AND(DX$5&gt;$E117,DX$5&lt;=$F117),IF(DX$5=$E117+1,$C117,""),"")</f>
        <v/>
      </c>
      <c r="DY117" s="34">
        <f>IF(AND(DY$5&gt;$E117,DY$5&lt;=$F117),IF(DY$5=$E117+1,$C117,""),"")</f>
        <v/>
      </c>
      <c r="DZ117" s="34">
        <f>IF(AND(DZ$5&gt;$E117,DZ$5&lt;=$F117),IF(DZ$5=$E117+1,$C117,""),"")</f>
        <v/>
      </c>
      <c r="EA117" s="34">
        <f>IF(AND(EA$5&gt;$E117,EA$5&lt;=$F117),IF(EA$5=$E117+1,$C117,""),"")</f>
        <v/>
      </c>
      <c r="EB117" s="34">
        <f>IF(AND(EB$5&gt;$E117,EB$5&lt;=$F117),IF(EB$5=$E117+1,$C117,""),"")</f>
        <v/>
      </c>
      <c r="EC117" s="34">
        <f>IF(AND(EC$5&gt;$E117,EC$5&lt;=$F117),IF(EC$5=$E117+1,$C117,""),"")</f>
        <v/>
      </c>
      <c r="ED117" s="34">
        <f>IF(AND(ED$5&gt;$E117,ED$5&lt;=$F117),IF(ED$5=$E117+1,$C117,""),"")</f>
        <v/>
      </c>
      <c r="EE117" s="34">
        <f>IF(AND(EE$5&gt;$E117,EE$5&lt;=$F117),IF(EE$5=$E117+1,$C117,""),"")</f>
        <v/>
      </c>
      <c r="EF117" s="34">
        <f>IF(AND(EF$5&gt;$E117,EF$5&lt;=$F117),IF(EF$5=$E117+1,$C117,""),"")</f>
        <v/>
      </c>
      <c r="EG117" s="34">
        <f>IF(AND(EG$5&gt;$E117,EG$5&lt;=$F117),IF(EG$5=$E117+1,$C117,""),"")</f>
        <v/>
      </c>
      <c r="EH117" s="34">
        <f>IF(AND(EH$5&gt;$E117,EH$5&lt;=$F117),IF(EH$5=$E117+1,$C117,""),"")</f>
        <v/>
      </c>
      <c r="EI117" s="34">
        <f>IF(AND(EI$5&gt;$E117,EI$5&lt;=$F117),IF(EI$5=$E117+1,$C117,""),"")</f>
        <v/>
      </c>
      <c r="EJ117" s="34">
        <f>IF(AND(EJ$5&gt;$E117,EJ$5&lt;=$F117),IF(EJ$5=$E117+1,$C117,""),"")</f>
        <v/>
      </c>
      <c r="EK117" s="34">
        <f>IF(AND(EK$5&gt;$E117,EK$5&lt;=$F117),IF(EK$5=$E117+1,$C117,""),"")</f>
        <v/>
      </c>
      <c r="EL117" s="34">
        <f>IF(AND(EL$5&gt;$E117,EL$5&lt;=$F117),IF(EL$5=$E117+1,$C117,""),"")</f>
        <v/>
      </c>
      <c r="EM117" s="34">
        <f>IF(AND(EM$5&gt;$E117,EM$5&lt;=$F117),IF(EM$5=$E117+1,$C117,""),"")</f>
        <v/>
      </c>
      <c r="EN117" s="34">
        <f>IF(AND(EN$5&gt;$E117,EN$5&lt;=$F117),IF(EN$5=$E117+1,$C117,""),"")</f>
        <v/>
      </c>
      <c r="EO117" s="34">
        <f>IF(AND(EO$5&gt;$E117,EO$5&lt;=$F117),IF(EO$5=$E117+1,$C117,""),"")</f>
        <v/>
      </c>
      <c r="EP117" s="34">
        <f>IF(AND(EP$5&gt;$E117,EP$5&lt;=$F117),IF(EP$5=$E117+1,$C117,""),"")</f>
        <v/>
      </c>
      <c r="EQ117" s="34">
        <f>IF(AND(EQ$5&gt;$E117,EQ$5&lt;=$F117),IF(EQ$5=$E117+1,$C117,""),"")</f>
        <v/>
      </c>
    </row>
    <row r="118">
      <c r="A118" s="32">
        <f>Plan!A89</f>
        <v/>
      </c>
      <c r="B118" s="33">
        <f>Plan!C89</f>
        <v/>
      </c>
      <c r="C118" s="16">
        <f>Plan!D89</f>
        <v/>
      </c>
      <c r="D118" s="16">
        <f>Plan!I89</f>
        <v/>
      </c>
      <c r="E118" s="16">
        <f>Plan!K89</f>
        <v/>
      </c>
      <c r="F118" s="16">
        <f>Plan!L89</f>
        <v/>
      </c>
      <c r="G118" s="16">
        <f>Plan!O89</f>
        <v/>
      </c>
      <c r="H118" s="34">
        <f>IF(AND(H$5&gt;$E118,H$5&lt;=$F118),IF(H$5=$E118+1,$C118,""),"")</f>
        <v/>
      </c>
      <c r="I118" s="34">
        <f>IF(AND(I$5&gt;$E118,I$5&lt;=$F118),IF(I$5=$E118+1,$C118,""),"")</f>
        <v/>
      </c>
      <c r="J118" s="34">
        <f>IF(AND(J$5&gt;$E118,J$5&lt;=$F118),IF(J$5=$E118+1,$C118,""),"")</f>
        <v/>
      </c>
      <c r="K118" s="34">
        <f>IF(AND(K$5&gt;$E118,K$5&lt;=$F118),IF(K$5=$E118+1,$C118,""),"")</f>
        <v/>
      </c>
      <c r="L118" s="34">
        <f>IF(AND(L$5&gt;$E118,L$5&lt;=$F118),IF(L$5=$E118+1,$C118,""),"")</f>
        <v/>
      </c>
      <c r="M118" s="34">
        <f>IF(AND(M$5&gt;$E118,M$5&lt;=$F118),IF(M$5=$E118+1,$C118,""),"")</f>
        <v/>
      </c>
      <c r="N118" s="34">
        <f>IF(AND(N$5&gt;$E118,N$5&lt;=$F118),IF(N$5=$E118+1,$C118,""),"")</f>
        <v/>
      </c>
      <c r="O118" s="34">
        <f>IF(AND(O$5&gt;$E118,O$5&lt;=$F118),IF(O$5=$E118+1,$C118,""),"")</f>
        <v/>
      </c>
      <c r="P118" s="34">
        <f>IF(AND(P$5&gt;$E118,P$5&lt;=$F118),IF(P$5=$E118+1,$C118,""),"")</f>
        <v/>
      </c>
      <c r="Q118" s="34">
        <f>IF(AND(Q$5&gt;$E118,Q$5&lt;=$F118),IF(Q$5=$E118+1,$C118,""),"")</f>
        <v/>
      </c>
      <c r="R118" s="34">
        <f>IF(AND(R$5&gt;$E118,R$5&lt;=$F118),IF(R$5=$E118+1,$C118,""),"")</f>
        <v/>
      </c>
      <c r="S118" s="34">
        <f>IF(AND(S$5&gt;$E118,S$5&lt;=$F118),IF(S$5=$E118+1,$C118,""),"")</f>
        <v/>
      </c>
      <c r="T118" s="34">
        <f>IF(AND(T$5&gt;$E118,T$5&lt;=$F118),IF(T$5=$E118+1,$C118,""),"")</f>
        <v/>
      </c>
      <c r="U118" s="34">
        <f>IF(AND(U$5&gt;$E118,U$5&lt;=$F118),IF(U$5=$E118+1,$C118,""),"")</f>
        <v/>
      </c>
      <c r="V118" s="34">
        <f>IF(AND(V$5&gt;$E118,V$5&lt;=$F118),IF(V$5=$E118+1,$C118,""),"")</f>
        <v/>
      </c>
      <c r="W118" s="34">
        <f>IF(AND(W$5&gt;$E118,W$5&lt;=$F118),IF(W$5=$E118+1,$C118,""),"")</f>
        <v/>
      </c>
      <c r="X118" s="34">
        <f>IF(AND(X$5&gt;$E118,X$5&lt;=$F118),IF(X$5=$E118+1,$C118,""),"")</f>
        <v/>
      </c>
      <c r="Y118" s="34">
        <f>IF(AND(Y$5&gt;$E118,Y$5&lt;=$F118),IF(Y$5=$E118+1,$C118,""),"")</f>
        <v/>
      </c>
      <c r="Z118" s="34">
        <f>IF(AND(Z$5&gt;$E118,Z$5&lt;=$F118),IF(Z$5=$E118+1,$C118,""),"")</f>
        <v/>
      </c>
      <c r="AA118" s="34">
        <f>IF(AND(AA$5&gt;$E118,AA$5&lt;=$F118),IF(AA$5=$E118+1,$C118,""),"")</f>
        <v/>
      </c>
      <c r="AB118" s="34">
        <f>IF(AND(AB$5&gt;$E118,AB$5&lt;=$F118),IF(AB$5=$E118+1,$C118,""),"")</f>
        <v/>
      </c>
      <c r="AC118" s="34">
        <f>IF(AND(AC$5&gt;$E118,AC$5&lt;=$F118),IF(AC$5=$E118+1,$C118,""),"")</f>
        <v/>
      </c>
      <c r="AD118" s="34">
        <f>IF(AND(AD$5&gt;$E118,AD$5&lt;=$F118),IF(AD$5=$E118+1,$C118,""),"")</f>
        <v/>
      </c>
      <c r="AE118" s="34">
        <f>IF(AND(AE$5&gt;$E118,AE$5&lt;=$F118),IF(AE$5=$E118+1,$C118,""),"")</f>
        <v/>
      </c>
      <c r="AF118" s="34">
        <f>IF(AND(AF$5&gt;$E118,AF$5&lt;=$F118),IF(AF$5=$E118+1,$C118,""),"")</f>
        <v/>
      </c>
      <c r="AG118" s="34">
        <f>IF(AND(AG$5&gt;$E118,AG$5&lt;=$F118),IF(AG$5=$E118+1,$C118,""),"")</f>
        <v/>
      </c>
      <c r="AH118" s="34">
        <f>IF(AND(AH$5&gt;$E118,AH$5&lt;=$F118),IF(AH$5=$E118+1,$C118,""),"")</f>
        <v/>
      </c>
      <c r="AI118" s="34">
        <f>IF(AND(AI$5&gt;$E118,AI$5&lt;=$F118),IF(AI$5=$E118+1,$C118,""),"")</f>
        <v/>
      </c>
      <c r="AJ118" s="34">
        <f>IF(AND(AJ$5&gt;$E118,AJ$5&lt;=$F118),IF(AJ$5=$E118+1,$C118,""),"")</f>
        <v/>
      </c>
      <c r="AK118" s="34">
        <f>IF(AND(AK$5&gt;$E118,AK$5&lt;=$F118),IF(AK$5=$E118+1,$C118,""),"")</f>
        <v/>
      </c>
      <c r="AL118" s="34">
        <f>IF(AND(AL$5&gt;$E118,AL$5&lt;=$F118),IF(AL$5=$E118+1,$C118,""),"")</f>
        <v/>
      </c>
      <c r="AM118" s="34">
        <f>IF(AND(AM$5&gt;$E118,AM$5&lt;=$F118),IF(AM$5=$E118+1,$C118,""),"")</f>
        <v/>
      </c>
      <c r="AN118" s="34">
        <f>IF(AND(AN$5&gt;$E118,AN$5&lt;=$F118),IF(AN$5=$E118+1,$C118,""),"")</f>
        <v/>
      </c>
      <c r="AO118" s="34">
        <f>IF(AND(AO$5&gt;$E118,AO$5&lt;=$F118),IF(AO$5=$E118+1,$C118,""),"")</f>
        <v/>
      </c>
      <c r="AP118" s="34">
        <f>IF(AND(AP$5&gt;$E118,AP$5&lt;=$F118),IF(AP$5=$E118+1,$C118,""),"")</f>
        <v/>
      </c>
      <c r="AQ118" s="34">
        <f>IF(AND(AQ$5&gt;$E118,AQ$5&lt;=$F118),IF(AQ$5=$E118+1,$C118,""),"")</f>
        <v/>
      </c>
      <c r="AR118" s="34">
        <f>IF(AND(AR$5&gt;$E118,AR$5&lt;=$F118),IF(AR$5=$E118+1,$C118,""),"")</f>
        <v/>
      </c>
      <c r="AS118" s="34">
        <f>IF(AND(AS$5&gt;$E118,AS$5&lt;=$F118),IF(AS$5=$E118+1,$C118,""),"")</f>
        <v/>
      </c>
      <c r="AT118" s="34">
        <f>IF(AND(AT$5&gt;$E118,AT$5&lt;=$F118),IF(AT$5=$E118+1,$C118,""),"")</f>
        <v/>
      </c>
      <c r="AU118" s="34">
        <f>IF(AND(AU$5&gt;$E118,AU$5&lt;=$F118),IF(AU$5=$E118+1,$C118,""),"")</f>
        <v/>
      </c>
      <c r="AV118" s="34">
        <f>IF(AND(AV$5&gt;$E118,AV$5&lt;=$F118),IF(AV$5=$E118+1,$C118,""),"")</f>
        <v/>
      </c>
      <c r="AW118" s="34">
        <f>IF(AND(AW$5&gt;$E118,AW$5&lt;=$F118),IF(AW$5=$E118+1,$C118,""),"")</f>
        <v/>
      </c>
      <c r="AX118" s="34">
        <f>IF(AND(AX$5&gt;$E118,AX$5&lt;=$F118),IF(AX$5=$E118+1,$C118,""),"")</f>
        <v/>
      </c>
      <c r="AY118" s="34">
        <f>IF(AND(AY$5&gt;$E118,AY$5&lt;=$F118),IF(AY$5=$E118+1,$C118,""),"")</f>
        <v/>
      </c>
      <c r="AZ118" s="34">
        <f>IF(AND(AZ$5&gt;$E118,AZ$5&lt;=$F118),IF(AZ$5=$E118+1,$C118,""),"")</f>
        <v/>
      </c>
      <c r="BA118" s="34">
        <f>IF(AND(BA$5&gt;$E118,BA$5&lt;=$F118),IF(BA$5=$E118+1,$C118,""),"")</f>
        <v/>
      </c>
      <c r="BB118" s="34">
        <f>IF(AND(BB$5&gt;$E118,BB$5&lt;=$F118),IF(BB$5=$E118+1,$C118,""),"")</f>
        <v/>
      </c>
      <c r="BC118" s="34">
        <f>IF(AND(BC$5&gt;$E118,BC$5&lt;=$F118),IF(BC$5=$E118+1,$C118,""),"")</f>
        <v/>
      </c>
      <c r="BD118" s="34">
        <f>IF(AND(BD$5&gt;$E118,BD$5&lt;=$F118),IF(BD$5=$E118+1,$C118,""),"")</f>
        <v/>
      </c>
      <c r="BE118" s="34">
        <f>IF(AND(BE$5&gt;$E118,BE$5&lt;=$F118),IF(BE$5=$E118+1,$C118,""),"")</f>
        <v/>
      </c>
      <c r="BF118" s="34">
        <f>IF(AND(BF$5&gt;$E118,BF$5&lt;=$F118),IF(BF$5=$E118+1,$C118,""),"")</f>
        <v/>
      </c>
      <c r="BG118" s="34">
        <f>IF(AND(BG$5&gt;$E118,BG$5&lt;=$F118),IF(BG$5=$E118+1,$C118,""),"")</f>
        <v/>
      </c>
      <c r="BH118" s="34">
        <f>IF(AND(BH$5&gt;$E118,BH$5&lt;=$F118),IF(BH$5=$E118+1,$C118,""),"")</f>
        <v/>
      </c>
      <c r="BI118" s="34">
        <f>IF(AND(BI$5&gt;$E118,BI$5&lt;=$F118),IF(BI$5=$E118+1,$C118,""),"")</f>
        <v/>
      </c>
      <c r="BJ118" s="34">
        <f>IF(AND(BJ$5&gt;$E118,BJ$5&lt;=$F118),IF(BJ$5=$E118+1,$C118,""),"")</f>
        <v/>
      </c>
      <c r="BK118" s="34">
        <f>IF(AND(BK$5&gt;$E118,BK$5&lt;=$F118),IF(BK$5=$E118+1,$C118,""),"")</f>
        <v/>
      </c>
      <c r="BL118" s="34">
        <f>IF(AND(BL$5&gt;$E118,BL$5&lt;=$F118),IF(BL$5=$E118+1,$C118,""),"")</f>
        <v/>
      </c>
      <c r="BM118" s="34">
        <f>IF(AND(BM$5&gt;$E118,BM$5&lt;=$F118),IF(BM$5=$E118+1,$C118,""),"")</f>
        <v/>
      </c>
      <c r="BN118" s="34">
        <f>IF(AND(BN$5&gt;$E118,BN$5&lt;=$F118),IF(BN$5=$E118+1,$C118,""),"")</f>
        <v/>
      </c>
      <c r="BO118" s="34">
        <f>IF(AND(BO$5&gt;$E118,BO$5&lt;=$F118),IF(BO$5=$E118+1,$C118,""),"")</f>
        <v/>
      </c>
      <c r="BP118" s="34">
        <f>IF(AND(BP$5&gt;$E118,BP$5&lt;=$F118),IF(BP$5=$E118+1,$C118,""),"")</f>
        <v/>
      </c>
      <c r="BQ118" s="34">
        <f>IF(AND(BQ$5&gt;$E118,BQ$5&lt;=$F118),IF(BQ$5=$E118+1,$C118,""),"")</f>
        <v/>
      </c>
      <c r="BR118" s="34">
        <f>IF(AND(BR$5&gt;$E118,BR$5&lt;=$F118),IF(BR$5=$E118+1,$C118,""),"")</f>
        <v/>
      </c>
      <c r="BS118" s="34">
        <f>IF(AND(BS$5&gt;$E118,BS$5&lt;=$F118),IF(BS$5=$E118+1,$C118,""),"")</f>
        <v/>
      </c>
      <c r="BT118" s="34">
        <f>IF(AND(BT$5&gt;$E118,BT$5&lt;=$F118),IF(BT$5=$E118+1,$C118,""),"")</f>
        <v/>
      </c>
      <c r="BU118" s="34">
        <f>IF(AND(BU$5&gt;$E118,BU$5&lt;=$F118),IF(BU$5=$E118+1,$C118,""),"")</f>
        <v/>
      </c>
      <c r="BV118" s="34">
        <f>IF(AND(BV$5&gt;$E118,BV$5&lt;=$F118),IF(BV$5=$E118+1,$C118,""),"")</f>
        <v/>
      </c>
      <c r="BW118" s="34">
        <f>IF(AND(BW$5&gt;$E118,BW$5&lt;=$F118),IF(BW$5=$E118+1,$C118,""),"")</f>
        <v/>
      </c>
      <c r="BX118" s="34">
        <f>IF(AND(BX$5&gt;$E118,BX$5&lt;=$F118),IF(BX$5=$E118+1,$C118,""),"")</f>
        <v/>
      </c>
      <c r="BY118" s="34">
        <f>IF(AND(BY$5&gt;$E118,BY$5&lt;=$F118),IF(BY$5=$E118+1,$C118,""),"")</f>
        <v/>
      </c>
      <c r="BZ118" s="34">
        <f>IF(AND(BZ$5&gt;$E118,BZ$5&lt;=$F118),IF(BZ$5=$E118+1,$C118,""),"")</f>
        <v/>
      </c>
      <c r="CA118" s="34">
        <f>IF(AND(CA$5&gt;$E118,CA$5&lt;=$F118),IF(CA$5=$E118+1,$C118,""),"")</f>
        <v/>
      </c>
      <c r="CB118" s="34">
        <f>IF(AND(CB$5&gt;$E118,CB$5&lt;=$F118),IF(CB$5=$E118+1,$C118,""),"")</f>
        <v/>
      </c>
      <c r="CC118" s="34">
        <f>IF(AND(CC$5&gt;$E118,CC$5&lt;=$F118),IF(CC$5=$E118+1,$C118,""),"")</f>
        <v/>
      </c>
      <c r="CD118" s="34">
        <f>IF(AND(CD$5&gt;$E118,CD$5&lt;=$F118),IF(CD$5=$E118+1,$C118,""),"")</f>
        <v/>
      </c>
      <c r="CE118" s="34">
        <f>IF(AND(CE$5&gt;$E118,CE$5&lt;=$F118),IF(CE$5=$E118+1,$C118,""),"")</f>
        <v/>
      </c>
      <c r="CF118" s="34">
        <f>IF(AND(CF$5&gt;$E118,CF$5&lt;=$F118),IF(CF$5=$E118+1,$C118,""),"")</f>
        <v/>
      </c>
      <c r="CG118" s="34">
        <f>IF(AND(CG$5&gt;$E118,CG$5&lt;=$F118),IF(CG$5=$E118+1,$C118,""),"")</f>
        <v/>
      </c>
      <c r="CH118" s="34">
        <f>IF(AND(CH$5&gt;$E118,CH$5&lt;=$F118),IF(CH$5=$E118+1,$C118,""),"")</f>
        <v/>
      </c>
      <c r="CI118" s="34">
        <f>IF(AND(CI$5&gt;$E118,CI$5&lt;=$F118),IF(CI$5=$E118+1,$C118,""),"")</f>
        <v/>
      </c>
      <c r="CJ118" s="34">
        <f>IF(AND(CJ$5&gt;$E118,CJ$5&lt;=$F118),IF(CJ$5=$E118+1,$C118,""),"")</f>
        <v/>
      </c>
      <c r="CK118" s="34">
        <f>IF(AND(CK$5&gt;$E118,CK$5&lt;=$F118),IF(CK$5=$E118+1,$C118,""),"")</f>
        <v/>
      </c>
      <c r="CL118" s="34">
        <f>IF(AND(CL$5&gt;$E118,CL$5&lt;=$F118),IF(CL$5=$E118+1,$C118,""),"")</f>
        <v/>
      </c>
      <c r="CM118" s="34">
        <f>IF(AND(CM$5&gt;$E118,CM$5&lt;=$F118),IF(CM$5=$E118+1,$C118,""),"")</f>
        <v/>
      </c>
      <c r="CN118" s="34">
        <f>IF(AND(CN$5&gt;$E118,CN$5&lt;=$F118),IF(CN$5=$E118+1,$C118,""),"")</f>
        <v/>
      </c>
      <c r="CO118" s="34">
        <f>IF(AND(CO$5&gt;$E118,CO$5&lt;=$F118),IF(CO$5=$E118+1,$C118,""),"")</f>
        <v/>
      </c>
      <c r="CP118" s="34">
        <f>IF(AND(CP$5&gt;$E118,CP$5&lt;=$F118),IF(CP$5=$E118+1,$C118,""),"")</f>
        <v/>
      </c>
      <c r="CQ118" s="34">
        <f>IF(AND(CQ$5&gt;$E118,CQ$5&lt;=$F118),IF(CQ$5=$E118+1,$C118,""),"")</f>
        <v/>
      </c>
      <c r="CR118" s="34">
        <f>IF(AND(CR$5&gt;$E118,CR$5&lt;=$F118),IF(CR$5=$E118+1,$C118,""),"")</f>
        <v/>
      </c>
      <c r="CS118" s="34">
        <f>IF(AND(CS$5&gt;$E118,CS$5&lt;=$F118),IF(CS$5=$E118+1,$C118,""),"")</f>
        <v/>
      </c>
      <c r="CT118" s="34">
        <f>IF(AND(CT$5&gt;$E118,CT$5&lt;=$F118),IF(CT$5=$E118+1,$C118,""),"")</f>
        <v/>
      </c>
      <c r="CU118" s="34">
        <f>IF(AND(CU$5&gt;$E118,CU$5&lt;=$F118),IF(CU$5=$E118+1,$C118,""),"")</f>
        <v/>
      </c>
      <c r="CV118" s="34">
        <f>IF(AND(CV$5&gt;$E118,CV$5&lt;=$F118),IF(CV$5=$E118+1,$C118,""),"")</f>
        <v/>
      </c>
      <c r="CW118" s="34">
        <f>IF(AND(CW$5&gt;$E118,CW$5&lt;=$F118),IF(CW$5=$E118+1,$C118,""),"")</f>
        <v/>
      </c>
      <c r="CX118" s="34">
        <f>IF(AND(CX$5&gt;$E118,CX$5&lt;=$F118),IF(CX$5=$E118+1,$C118,""),"")</f>
        <v/>
      </c>
      <c r="CY118" s="34">
        <f>IF(AND(CY$5&gt;$E118,CY$5&lt;=$F118),IF(CY$5=$E118+1,$C118,""),"")</f>
        <v/>
      </c>
      <c r="CZ118" s="34">
        <f>IF(AND(CZ$5&gt;$E118,CZ$5&lt;=$F118),IF(CZ$5=$E118+1,$C118,""),"")</f>
        <v/>
      </c>
      <c r="DA118" s="34">
        <f>IF(AND(DA$5&gt;$E118,DA$5&lt;=$F118),IF(DA$5=$E118+1,$C118,""),"")</f>
        <v/>
      </c>
      <c r="DB118" s="34">
        <f>IF(AND(DB$5&gt;$E118,DB$5&lt;=$F118),IF(DB$5=$E118+1,$C118,""),"")</f>
        <v/>
      </c>
      <c r="DC118" s="34">
        <f>IF(AND(DC$5&gt;$E118,DC$5&lt;=$F118),IF(DC$5=$E118+1,$C118,""),"")</f>
        <v/>
      </c>
      <c r="DD118" s="34">
        <f>IF(AND(DD$5&gt;$E118,DD$5&lt;=$F118),IF(DD$5=$E118+1,$C118,""),"")</f>
        <v/>
      </c>
      <c r="DE118" s="34">
        <f>IF(AND(DE$5&gt;$E118,DE$5&lt;=$F118),IF(DE$5=$E118+1,$C118,""),"")</f>
        <v/>
      </c>
      <c r="DF118" s="34">
        <f>IF(AND(DF$5&gt;$E118,DF$5&lt;=$F118),IF(DF$5=$E118+1,$C118,""),"")</f>
        <v/>
      </c>
      <c r="DG118" s="34">
        <f>IF(AND(DG$5&gt;$E118,DG$5&lt;=$F118),IF(DG$5=$E118+1,$C118,""),"")</f>
        <v/>
      </c>
      <c r="DH118" s="34">
        <f>IF(AND(DH$5&gt;$E118,DH$5&lt;=$F118),IF(DH$5=$E118+1,$C118,""),"")</f>
        <v/>
      </c>
      <c r="DI118" s="34">
        <f>IF(AND(DI$5&gt;$E118,DI$5&lt;=$F118),IF(DI$5=$E118+1,$C118,""),"")</f>
        <v/>
      </c>
      <c r="DJ118" s="34">
        <f>IF(AND(DJ$5&gt;$E118,DJ$5&lt;=$F118),IF(DJ$5=$E118+1,$C118,""),"")</f>
        <v/>
      </c>
      <c r="DK118" s="34">
        <f>IF(AND(DK$5&gt;$E118,DK$5&lt;=$F118),IF(DK$5=$E118+1,$C118,""),"")</f>
        <v/>
      </c>
      <c r="DL118" s="34">
        <f>IF(AND(DL$5&gt;$E118,DL$5&lt;=$F118),IF(DL$5=$E118+1,$C118,""),"")</f>
        <v/>
      </c>
      <c r="DM118" s="34">
        <f>IF(AND(DM$5&gt;$E118,DM$5&lt;=$F118),IF(DM$5=$E118+1,$C118,""),"")</f>
        <v/>
      </c>
      <c r="DN118" s="34">
        <f>IF(AND(DN$5&gt;$E118,DN$5&lt;=$F118),IF(DN$5=$E118+1,$C118,""),"")</f>
        <v/>
      </c>
      <c r="DO118" s="34">
        <f>IF(AND(DO$5&gt;$E118,DO$5&lt;=$F118),IF(DO$5=$E118+1,$C118,""),"")</f>
        <v/>
      </c>
      <c r="DP118" s="34">
        <f>IF(AND(DP$5&gt;$E118,DP$5&lt;=$F118),IF(DP$5=$E118+1,$C118,""),"")</f>
        <v/>
      </c>
      <c r="DQ118" s="34">
        <f>IF(AND(DQ$5&gt;$E118,DQ$5&lt;=$F118),IF(DQ$5=$E118+1,$C118,""),"")</f>
        <v/>
      </c>
      <c r="DR118" s="34">
        <f>IF(AND(DR$5&gt;$E118,DR$5&lt;=$F118),IF(DR$5=$E118+1,$C118,""),"")</f>
        <v/>
      </c>
      <c r="DS118" s="34">
        <f>IF(AND(DS$5&gt;$E118,DS$5&lt;=$F118),IF(DS$5=$E118+1,$C118,""),"")</f>
        <v/>
      </c>
      <c r="DT118" s="34">
        <f>IF(AND(DT$5&gt;$E118,DT$5&lt;=$F118),IF(DT$5=$E118+1,$C118,""),"")</f>
        <v/>
      </c>
      <c r="DU118" s="34">
        <f>IF(AND(DU$5&gt;$E118,DU$5&lt;=$F118),IF(DU$5=$E118+1,$C118,""),"")</f>
        <v/>
      </c>
      <c r="DV118" s="34">
        <f>IF(AND(DV$5&gt;$E118,DV$5&lt;=$F118),IF(DV$5=$E118+1,$C118,""),"")</f>
        <v/>
      </c>
      <c r="DW118" s="34">
        <f>IF(AND(DW$5&gt;$E118,DW$5&lt;=$F118),IF(DW$5=$E118+1,$C118,""),"")</f>
        <v/>
      </c>
      <c r="DX118" s="34">
        <f>IF(AND(DX$5&gt;$E118,DX$5&lt;=$F118),IF(DX$5=$E118+1,$C118,""),"")</f>
        <v/>
      </c>
      <c r="DY118" s="34">
        <f>IF(AND(DY$5&gt;$E118,DY$5&lt;=$F118),IF(DY$5=$E118+1,$C118,""),"")</f>
        <v/>
      </c>
      <c r="DZ118" s="34">
        <f>IF(AND(DZ$5&gt;$E118,DZ$5&lt;=$F118),IF(DZ$5=$E118+1,$C118,""),"")</f>
        <v/>
      </c>
      <c r="EA118" s="34">
        <f>IF(AND(EA$5&gt;$E118,EA$5&lt;=$F118),IF(EA$5=$E118+1,$C118,""),"")</f>
        <v/>
      </c>
      <c r="EB118" s="34">
        <f>IF(AND(EB$5&gt;$E118,EB$5&lt;=$F118),IF(EB$5=$E118+1,$C118,""),"")</f>
        <v/>
      </c>
      <c r="EC118" s="34">
        <f>IF(AND(EC$5&gt;$E118,EC$5&lt;=$F118),IF(EC$5=$E118+1,$C118,""),"")</f>
        <v/>
      </c>
      <c r="ED118" s="34">
        <f>IF(AND(ED$5&gt;$E118,ED$5&lt;=$F118),IF(ED$5=$E118+1,$C118,""),"")</f>
        <v/>
      </c>
      <c r="EE118" s="34">
        <f>IF(AND(EE$5&gt;$E118,EE$5&lt;=$F118),IF(EE$5=$E118+1,$C118,""),"")</f>
        <v/>
      </c>
      <c r="EF118" s="34">
        <f>IF(AND(EF$5&gt;$E118,EF$5&lt;=$F118),IF(EF$5=$E118+1,$C118,""),"")</f>
        <v/>
      </c>
      <c r="EG118" s="34">
        <f>IF(AND(EG$5&gt;$E118,EG$5&lt;=$F118),IF(EG$5=$E118+1,$C118,""),"")</f>
        <v/>
      </c>
      <c r="EH118" s="34">
        <f>IF(AND(EH$5&gt;$E118,EH$5&lt;=$F118),IF(EH$5=$E118+1,$C118,""),"")</f>
        <v/>
      </c>
      <c r="EI118" s="34">
        <f>IF(AND(EI$5&gt;$E118,EI$5&lt;=$F118),IF(EI$5=$E118+1,$C118,""),"")</f>
        <v/>
      </c>
      <c r="EJ118" s="34">
        <f>IF(AND(EJ$5&gt;$E118,EJ$5&lt;=$F118),IF(EJ$5=$E118+1,$C118,""),"")</f>
        <v/>
      </c>
      <c r="EK118" s="34">
        <f>IF(AND(EK$5&gt;$E118,EK$5&lt;=$F118),IF(EK$5=$E118+1,$C118,""),"")</f>
        <v/>
      </c>
      <c r="EL118" s="34">
        <f>IF(AND(EL$5&gt;$E118,EL$5&lt;=$F118),IF(EL$5=$E118+1,$C118,""),"")</f>
        <v/>
      </c>
      <c r="EM118" s="34">
        <f>IF(AND(EM$5&gt;$E118,EM$5&lt;=$F118),IF(EM$5=$E118+1,$C118,""),"")</f>
        <v/>
      </c>
      <c r="EN118" s="34">
        <f>IF(AND(EN$5&gt;$E118,EN$5&lt;=$F118),IF(EN$5=$E118+1,$C118,""),"")</f>
        <v/>
      </c>
      <c r="EO118" s="34">
        <f>IF(AND(EO$5&gt;$E118,EO$5&lt;=$F118),IF(EO$5=$E118+1,$C118,""),"")</f>
        <v/>
      </c>
      <c r="EP118" s="34">
        <f>IF(AND(EP$5&gt;$E118,EP$5&lt;=$F118),IF(EP$5=$E118+1,$C118,""),"")</f>
        <v/>
      </c>
      <c r="EQ118" s="34">
        <f>IF(AND(EQ$5&gt;$E118,EQ$5&lt;=$F118),IF(EQ$5=$E118+1,$C118,""),"")</f>
        <v/>
      </c>
    </row>
    <row r="119">
      <c r="A119" s="32">
        <f>Plan!A99</f>
        <v/>
      </c>
      <c r="B119" s="33">
        <f>Plan!C99</f>
        <v/>
      </c>
      <c r="C119" s="16">
        <f>Plan!D99</f>
        <v/>
      </c>
      <c r="D119" s="16">
        <f>Plan!I99</f>
        <v/>
      </c>
      <c r="E119" s="16">
        <f>Plan!K99</f>
        <v/>
      </c>
      <c r="F119" s="16">
        <f>Plan!L99</f>
        <v/>
      </c>
      <c r="G119" s="16">
        <f>Plan!O99</f>
        <v/>
      </c>
      <c r="H119" s="34">
        <f>IF(AND(H$5&gt;$E119,H$5&lt;=$F119),IF(H$5=$E119+1,$C119,""),"")</f>
        <v/>
      </c>
      <c r="I119" s="34">
        <f>IF(AND(I$5&gt;$E119,I$5&lt;=$F119),IF(I$5=$E119+1,$C119,""),"")</f>
        <v/>
      </c>
      <c r="J119" s="34">
        <f>IF(AND(J$5&gt;$E119,J$5&lt;=$F119),IF(J$5=$E119+1,$C119,""),"")</f>
        <v/>
      </c>
      <c r="K119" s="34">
        <f>IF(AND(K$5&gt;$E119,K$5&lt;=$F119),IF(K$5=$E119+1,$C119,""),"")</f>
        <v/>
      </c>
      <c r="L119" s="34">
        <f>IF(AND(L$5&gt;$E119,L$5&lt;=$F119),IF(L$5=$E119+1,$C119,""),"")</f>
        <v/>
      </c>
      <c r="M119" s="34">
        <f>IF(AND(M$5&gt;$E119,M$5&lt;=$F119),IF(M$5=$E119+1,$C119,""),"")</f>
        <v/>
      </c>
      <c r="N119" s="34">
        <f>IF(AND(N$5&gt;$E119,N$5&lt;=$F119),IF(N$5=$E119+1,$C119,""),"")</f>
        <v/>
      </c>
      <c r="O119" s="34">
        <f>IF(AND(O$5&gt;$E119,O$5&lt;=$F119),IF(O$5=$E119+1,$C119,""),"")</f>
        <v/>
      </c>
      <c r="P119" s="34">
        <f>IF(AND(P$5&gt;$E119,P$5&lt;=$F119),IF(P$5=$E119+1,$C119,""),"")</f>
        <v/>
      </c>
      <c r="Q119" s="34">
        <f>IF(AND(Q$5&gt;$E119,Q$5&lt;=$F119),IF(Q$5=$E119+1,$C119,""),"")</f>
        <v/>
      </c>
      <c r="R119" s="34">
        <f>IF(AND(R$5&gt;$E119,R$5&lt;=$F119),IF(R$5=$E119+1,$C119,""),"")</f>
        <v/>
      </c>
      <c r="S119" s="34">
        <f>IF(AND(S$5&gt;$E119,S$5&lt;=$F119),IF(S$5=$E119+1,$C119,""),"")</f>
        <v/>
      </c>
      <c r="T119" s="34">
        <f>IF(AND(T$5&gt;$E119,T$5&lt;=$F119),IF(T$5=$E119+1,$C119,""),"")</f>
        <v/>
      </c>
      <c r="U119" s="34">
        <f>IF(AND(U$5&gt;$E119,U$5&lt;=$F119),IF(U$5=$E119+1,$C119,""),"")</f>
        <v/>
      </c>
      <c r="V119" s="34">
        <f>IF(AND(V$5&gt;$E119,V$5&lt;=$F119),IF(V$5=$E119+1,$C119,""),"")</f>
        <v/>
      </c>
      <c r="W119" s="34">
        <f>IF(AND(W$5&gt;$E119,W$5&lt;=$F119),IF(W$5=$E119+1,$C119,""),"")</f>
        <v/>
      </c>
      <c r="X119" s="34">
        <f>IF(AND(X$5&gt;$E119,X$5&lt;=$F119),IF(X$5=$E119+1,$C119,""),"")</f>
        <v/>
      </c>
      <c r="Y119" s="34">
        <f>IF(AND(Y$5&gt;$E119,Y$5&lt;=$F119),IF(Y$5=$E119+1,$C119,""),"")</f>
        <v/>
      </c>
      <c r="Z119" s="34">
        <f>IF(AND(Z$5&gt;$E119,Z$5&lt;=$F119),IF(Z$5=$E119+1,$C119,""),"")</f>
        <v/>
      </c>
      <c r="AA119" s="34">
        <f>IF(AND(AA$5&gt;$E119,AA$5&lt;=$F119),IF(AA$5=$E119+1,$C119,""),"")</f>
        <v/>
      </c>
      <c r="AB119" s="34">
        <f>IF(AND(AB$5&gt;$E119,AB$5&lt;=$F119),IF(AB$5=$E119+1,$C119,""),"")</f>
        <v/>
      </c>
      <c r="AC119" s="34">
        <f>IF(AND(AC$5&gt;$E119,AC$5&lt;=$F119),IF(AC$5=$E119+1,$C119,""),"")</f>
        <v/>
      </c>
      <c r="AD119" s="34">
        <f>IF(AND(AD$5&gt;$E119,AD$5&lt;=$F119),IF(AD$5=$E119+1,$C119,""),"")</f>
        <v/>
      </c>
      <c r="AE119" s="34">
        <f>IF(AND(AE$5&gt;$E119,AE$5&lt;=$F119),IF(AE$5=$E119+1,$C119,""),"")</f>
        <v/>
      </c>
      <c r="AF119" s="34">
        <f>IF(AND(AF$5&gt;$E119,AF$5&lt;=$F119),IF(AF$5=$E119+1,$C119,""),"")</f>
        <v/>
      </c>
      <c r="AG119" s="34">
        <f>IF(AND(AG$5&gt;$E119,AG$5&lt;=$F119),IF(AG$5=$E119+1,$C119,""),"")</f>
        <v/>
      </c>
      <c r="AH119" s="34">
        <f>IF(AND(AH$5&gt;$E119,AH$5&lt;=$F119),IF(AH$5=$E119+1,$C119,""),"")</f>
        <v/>
      </c>
      <c r="AI119" s="34">
        <f>IF(AND(AI$5&gt;$E119,AI$5&lt;=$F119),IF(AI$5=$E119+1,$C119,""),"")</f>
        <v/>
      </c>
      <c r="AJ119" s="34">
        <f>IF(AND(AJ$5&gt;$E119,AJ$5&lt;=$F119),IF(AJ$5=$E119+1,$C119,""),"")</f>
        <v/>
      </c>
      <c r="AK119" s="34">
        <f>IF(AND(AK$5&gt;$E119,AK$5&lt;=$F119),IF(AK$5=$E119+1,$C119,""),"")</f>
        <v/>
      </c>
      <c r="AL119" s="34">
        <f>IF(AND(AL$5&gt;$E119,AL$5&lt;=$F119),IF(AL$5=$E119+1,$C119,""),"")</f>
        <v/>
      </c>
      <c r="AM119" s="34">
        <f>IF(AND(AM$5&gt;$E119,AM$5&lt;=$F119),IF(AM$5=$E119+1,$C119,""),"")</f>
        <v/>
      </c>
      <c r="AN119" s="34">
        <f>IF(AND(AN$5&gt;$E119,AN$5&lt;=$F119),IF(AN$5=$E119+1,$C119,""),"")</f>
        <v/>
      </c>
      <c r="AO119" s="34">
        <f>IF(AND(AO$5&gt;$E119,AO$5&lt;=$F119),IF(AO$5=$E119+1,$C119,""),"")</f>
        <v/>
      </c>
      <c r="AP119" s="34">
        <f>IF(AND(AP$5&gt;$E119,AP$5&lt;=$F119),IF(AP$5=$E119+1,$C119,""),"")</f>
        <v/>
      </c>
      <c r="AQ119" s="34">
        <f>IF(AND(AQ$5&gt;$E119,AQ$5&lt;=$F119),IF(AQ$5=$E119+1,$C119,""),"")</f>
        <v/>
      </c>
      <c r="AR119" s="34">
        <f>IF(AND(AR$5&gt;$E119,AR$5&lt;=$F119),IF(AR$5=$E119+1,$C119,""),"")</f>
        <v/>
      </c>
      <c r="AS119" s="34">
        <f>IF(AND(AS$5&gt;$E119,AS$5&lt;=$F119),IF(AS$5=$E119+1,$C119,""),"")</f>
        <v/>
      </c>
      <c r="AT119" s="34">
        <f>IF(AND(AT$5&gt;$E119,AT$5&lt;=$F119),IF(AT$5=$E119+1,$C119,""),"")</f>
        <v/>
      </c>
      <c r="AU119" s="34">
        <f>IF(AND(AU$5&gt;$E119,AU$5&lt;=$F119),IF(AU$5=$E119+1,$C119,""),"")</f>
        <v/>
      </c>
      <c r="AV119" s="34">
        <f>IF(AND(AV$5&gt;$E119,AV$5&lt;=$F119),IF(AV$5=$E119+1,$C119,""),"")</f>
        <v/>
      </c>
      <c r="AW119" s="34">
        <f>IF(AND(AW$5&gt;$E119,AW$5&lt;=$F119),IF(AW$5=$E119+1,$C119,""),"")</f>
        <v/>
      </c>
      <c r="AX119" s="34">
        <f>IF(AND(AX$5&gt;$E119,AX$5&lt;=$F119),IF(AX$5=$E119+1,$C119,""),"")</f>
        <v/>
      </c>
      <c r="AY119" s="34">
        <f>IF(AND(AY$5&gt;$E119,AY$5&lt;=$F119),IF(AY$5=$E119+1,$C119,""),"")</f>
        <v/>
      </c>
      <c r="AZ119" s="34">
        <f>IF(AND(AZ$5&gt;$E119,AZ$5&lt;=$F119),IF(AZ$5=$E119+1,$C119,""),"")</f>
        <v/>
      </c>
      <c r="BA119" s="34">
        <f>IF(AND(BA$5&gt;$E119,BA$5&lt;=$F119),IF(BA$5=$E119+1,$C119,""),"")</f>
        <v/>
      </c>
      <c r="BB119" s="34">
        <f>IF(AND(BB$5&gt;$E119,BB$5&lt;=$F119),IF(BB$5=$E119+1,$C119,""),"")</f>
        <v/>
      </c>
      <c r="BC119" s="34">
        <f>IF(AND(BC$5&gt;$E119,BC$5&lt;=$F119),IF(BC$5=$E119+1,$C119,""),"")</f>
        <v/>
      </c>
      <c r="BD119" s="34">
        <f>IF(AND(BD$5&gt;$E119,BD$5&lt;=$F119),IF(BD$5=$E119+1,$C119,""),"")</f>
        <v/>
      </c>
      <c r="BE119" s="34">
        <f>IF(AND(BE$5&gt;$E119,BE$5&lt;=$F119),IF(BE$5=$E119+1,$C119,""),"")</f>
        <v/>
      </c>
      <c r="BF119" s="34">
        <f>IF(AND(BF$5&gt;$E119,BF$5&lt;=$F119),IF(BF$5=$E119+1,$C119,""),"")</f>
        <v/>
      </c>
      <c r="BG119" s="34">
        <f>IF(AND(BG$5&gt;$E119,BG$5&lt;=$F119),IF(BG$5=$E119+1,$C119,""),"")</f>
        <v/>
      </c>
      <c r="BH119" s="34">
        <f>IF(AND(BH$5&gt;$E119,BH$5&lt;=$F119),IF(BH$5=$E119+1,$C119,""),"")</f>
        <v/>
      </c>
      <c r="BI119" s="34">
        <f>IF(AND(BI$5&gt;$E119,BI$5&lt;=$F119),IF(BI$5=$E119+1,$C119,""),"")</f>
        <v/>
      </c>
      <c r="BJ119" s="34">
        <f>IF(AND(BJ$5&gt;$E119,BJ$5&lt;=$F119),IF(BJ$5=$E119+1,$C119,""),"")</f>
        <v/>
      </c>
      <c r="BK119" s="34">
        <f>IF(AND(BK$5&gt;$E119,BK$5&lt;=$F119),IF(BK$5=$E119+1,$C119,""),"")</f>
        <v/>
      </c>
      <c r="BL119" s="34">
        <f>IF(AND(BL$5&gt;$E119,BL$5&lt;=$F119),IF(BL$5=$E119+1,$C119,""),"")</f>
        <v/>
      </c>
      <c r="BM119" s="34">
        <f>IF(AND(BM$5&gt;$E119,BM$5&lt;=$F119),IF(BM$5=$E119+1,$C119,""),"")</f>
        <v/>
      </c>
      <c r="BN119" s="34">
        <f>IF(AND(BN$5&gt;$E119,BN$5&lt;=$F119),IF(BN$5=$E119+1,$C119,""),"")</f>
        <v/>
      </c>
      <c r="BO119" s="34">
        <f>IF(AND(BO$5&gt;$E119,BO$5&lt;=$F119),IF(BO$5=$E119+1,$C119,""),"")</f>
        <v/>
      </c>
      <c r="BP119" s="34">
        <f>IF(AND(BP$5&gt;$E119,BP$5&lt;=$F119),IF(BP$5=$E119+1,$C119,""),"")</f>
        <v/>
      </c>
      <c r="BQ119" s="34">
        <f>IF(AND(BQ$5&gt;$E119,BQ$5&lt;=$F119),IF(BQ$5=$E119+1,$C119,""),"")</f>
        <v/>
      </c>
      <c r="BR119" s="34">
        <f>IF(AND(BR$5&gt;$E119,BR$5&lt;=$F119),IF(BR$5=$E119+1,$C119,""),"")</f>
        <v/>
      </c>
      <c r="BS119" s="34">
        <f>IF(AND(BS$5&gt;$E119,BS$5&lt;=$F119),IF(BS$5=$E119+1,$C119,""),"")</f>
        <v/>
      </c>
      <c r="BT119" s="34">
        <f>IF(AND(BT$5&gt;$E119,BT$5&lt;=$F119),IF(BT$5=$E119+1,$C119,""),"")</f>
        <v/>
      </c>
      <c r="BU119" s="34">
        <f>IF(AND(BU$5&gt;$E119,BU$5&lt;=$F119),IF(BU$5=$E119+1,$C119,""),"")</f>
        <v/>
      </c>
      <c r="BV119" s="34">
        <f>IF(AND(BV$5&gt;$E119,BV$5&lt;=$F119),IF(BV$5=$E119+1,$C119,""),"")</f>
        <v/>
      </c>
      <c r="BW119" s="34">
        <f>IF(AND(BW$5&gt;$E119,BW$5&lt;=$F119),IF(BW$5=$E119+1,$C119,""),"")</f>
        <v/>
      </c>
      <c r="BX119" s="34">
        <f>IF(AND(BX$5&gt;$E119,BX$5&lt;=$F119),IF(BX$5=$E119+1,$C119,""),"")</f>
        <v/>
      </c>
      <c r="BY119" s="34">
        <f>IF(AND(BY$5&gt;$E119,BY$5&lt;=$F119),IF(BY$5=$E119+1,$C119,""),"")</f>
        <v/>
      </c>
      <c r="BZ119" s="34">
        <f>IF(AND(BZ$5&gt;$E119,BZ$5&lt;=$F119),IF(BZ$5=$E119+1,$C119,""),"")</f>
        <v/>
      </c>
      <c r="CA119" s="34">
        <f>IF(AND(CA$5&gt;$E119,CA$5&lt;=$F119),IF(CA$5=$E119+1,$C119,""),"")</f>
        <v/>
      </c>
      <c r="CB119" s="34">
        <f>IF(AND(CB$5&gt;$E119,CB$5&lt;=$F119),IF(CB$5=$E119+1,$C119,""),"")</f>
        <v/>
      </c>
      <c r="CC119" s="34">
        <f>IF(AND(CC$5&gt;$E119,CC$5&lt;=$F119),IF(CC$5=$E119+1,$C119,""),"")</f>
        <v/>
      </c>
      <c r="CD119" s="34">
        <f>IF(AND(CD$5&gt;$E119,CD$5&lt;=$F119),IF(CD$5=$E119+1,$C119,""),"")</f>
        <v/>
      </c>
      <c r="CE119" s="34">
        <f>IF(AND(CE$5&gt;$E119,CE$5&lt;=$F119),IF(CE$5=$E119+1,$C119,""),"")</f>
        <v/>
      </c>
      <c r="CF119" s="34">
        <f>IF(AND(CF$5&gt;$E119,CF$5&lt;=$F119),IF(CF$5=$E119+1,$C119,""),"")</f>
        <v/>
      </c>
      <c r="CG119" s="34">
        <f>IF(AND(CG$5&gt;$E119,CG$5&lt;=$F119),IF(CG$5=$E119+1,$C119,""),"")</f>
        <v/>
      </c>
      <c r="CH119" s="34">
        <f>IF(AND(CH$5&gt;$E119,CH$5&lt;=$F119),IF(CH$5=$E119+1,$C119,""),"")</f>
        <v/>
      </c>
      <c r="CI119" s="34">
        <f>IF(AND(CI$5&gt;$E119,CI$5&lt;=$F119),IF(CI$5=$E119+1,$C119,""),"")</f>
        <v/>
      </c>
      <c r="CJ119" s="34">
        <f>IF(AND(CJ$5&gt;$E119,CJ$5&lt;=$F119),IF(CJ$5=$E119+1,$C119,""),"")</f>
        <v/>
      </c>
      <c r="CK119" s="34">
        <f>IF(AND(CK$5&gt;$E119,CK$5&lt;=$F119),IF(CK$5=$E119+1,$C119,""),"")</f>
        <v/>
      </c>
      <c r="CL119" s="34">
        <f>IF(AND(CL$5&gt;$E119,CL$5&lt;=$F119),IF(CL$5=$E119+1,$C119,""),"")</f>
        <v/>
      </c>
      <c r="CM119" s="34">
        <f>IF(AND(CM$5&gt;$E119,CM$5&lt;=$F119),IF(CM$5=$E119+1,$C119,""),"")</f>
        <v/>
      </c>
      <c r="CN119" s="34">
        <f>IF(AND(CN$5&gt;$E119,CN$5&lt;=$F119),IF(CN$5=$E119+1,$C119,""),"")</f>
        <v/>
      </c>
      <c r="CO119" s="34">
        <f>IF(AND(CO$5&gt;$E119,CO$5&lt;=$F119),IF(CO$5=$E119+1,$C119,""),"")</f>
        <v/>
      </c>
      <c r="CP119" s="34">
        <f>IF(AND(CP$5&gt;$E119,CP$5&lt;=$F119),IF(CP$5=$E119+1,$C119,""),"")</f>
        <v/>
      </c>
      <c r="CQ119" s="34">
        <f>IF(AND(CQ$5&gt;$E119,CQ$5&lt;=$F119),IF(CQ$5=$E119+1,$C119,""),"")</f>
        <v/>
      </c>
      <c r="CR119" s="34">
        <f>IF(AND(CR$5&gt;$E119,CR$5&lt;=$F119),IF(CR$5=$E119+1,$C119,""),"")</f>
        <v/>
      </c>
      <c r="CS119" s="34">
        <f>IF(AND(CS$5&gt;$E119,CS$5&lt;=$F119),IF(CS$5=$E119+1,$C119,""),"")</f>
        <v/>
      </c>
      <c r="CT119" s="34">
        <f>IF(AND(CT$5&gt;$E119,CT$5&lt;=$F119),IF(CT$5=$E119+1,$C119,""),"")</f>
        <v/>
      </c>
      <c r="CU119" s="34">
        <f>IF(AND(CU$5&gt;$E119,CU$5&lt;=$F119),IF(CU$5=$E119+1,$C119,""),"")</f>
        <v/>
      </c>
      <c r="CV119" s="34">
        <f>IF(AND(CV$5&gt;$E119,CV$5&lt;=$F119),IF(CV$5=$E119+1,$C119,""),"")</f>
        <v/>
      </c>
      <c r="CW119" s="34">
        <f>IF(AND(CW$5&gt;$E119,CW$5&lt;=$F119),IF(CW$5=$E119+1,$C119,""),"")</f>
        <v/>
      </c>
      <c r="CX119" s="34">
        <f>IF(AND(CX$5&gt;$E119,CX$5&lt;=$F119),IF(CX$5=$E119+1,$C119,""),"")</f>
        <v/>
      </c>
      <c r="CY119" s="34">
        <f>IF(AND(CY$5&gt;$E119,CY$5&lt;=$F119),IF(CY$5=$E119+1,$C119,""),"")</f>
        <v/>
      </c>
      <c r="CZ119" s="34">
        <f>IF(AND(CZ$5&gt;$E119,CZ$5&lt;=$F119),IF(CZ$5=$E119+1,$C119,""),"")</f>
        <v/>
      </c>
      <c r="DA119" s="34">
        <f>IF(AND(DA$5&gt;$E119,DA$5&lt;=$F119),IF(DA$5=$E119+1,$C119,""),"")</f>
        <v/>
      </c>
      <c r="DB119" s="34">
        <f>IF(AND(DB$5&gt;$E119,DB$5&lt;=$F119),IF(DB$5=$E119+1,$C119,""),"")</f>
        <v/>
      </c>
      <c r="DC119" s="34">
        <f>IF(AND(DC$5&gt;$E119,DC$5&lt;=$F119),IF(DC$5=$E119+1,$C119,""),"")</f>
        <v/>
      </c>
      <c r="DD119" s="34">
        <f>IF(AND(DD$5&gt;$E119,DD$5&lt;=$F119),IF(DD$5=$E119+1,$C119,""),"")</f>
        <v/>
      </c>
      <c r="DE119" s="34">
        <f>IF(AND(DE$5&gt;$E119,DE$5&lt;=$F119),IF(DE$5=$E119+1,$C119,""),"")</f>
        <v/>
      </c>
      <c r="DF119" s="34">
        <f>IF(AND(DF$5&gt;$E119,DF$5&lt;=$F119),IF(DF$5=$E119+1,$C119,""),"")</f>
        <v/>
      </c>
      <c r="DG119" s="34">
        <f>IF(AND(DG$5&gt;$E119,DG$5&lt;=$F119),IF(DG$5=$E119+1,$C119,""),"")</f>
        <v/>
      </c>
      <c r="DH119" s="34">
        <f>IF(AND(DH$5&gt;$E119,DH$5&lt;=$F119),IF(DH$5=$E119+1,$C119,""),"")</f>
        <v/>
      </c>
      <c r="DI119" s="34">
        <f>IF(AND(DI$5&gt;$E119,DI$5&lt;=$F119),IF(DI$5=$E119+1,$C119,""),"")</f>
        <v/>
      </c>
      <c r="DJ119" s="34">
        <f>IF(AND(DJ$5&gt;$E119,DJ$5&lt;=$F119),IF(DJ$5=$E119+1,$C119,""),"")</f>
        <v/>
      </c>
      <c r="DK119" s="34">
        <f>IF(AND(DK$5&gt;$E119,DK$5&lt;=$F119),IF(DK$5=$E119+1,$C119,""),"")</f>
        <v/>
      </c>
      <c r="DL119" s="34">
        <f>IF(AND(DL$5&gt;$E119,DL$5&lt;=$F119),IF(DL$5=$E119+1,$C119,""),"")</f>
        <v/>
      </c>
      <c r="DM119" s="34">
        <f>IF(AND(DM$5&gt;$E119,DM$5&lt;=$F119),IF(DM$5=$E119+1,$C119,""),"")</f>
        <v/>
      </c>
      <c r="DN119" s="34">
        <f>IF(AND(DN$5&gt;$E119,DN$5&lt;=$F119),IF(DN$5=$E119+1,$C119,""),"")</f>
        <v/>
      </c>
      <c r="DO119" s="34">
        <f>IF(AND(DO$5&gt;$E119,DO$5&lt;=$F119),IF(DO$5=$E119+1,$C119,""),"")</f>
        <v/>
      </c>
      <c r="DP119" s="34">
        <f>IF(AND(DP$5&gt;$E119,DP$5&lt;=$F119),IF(DP$5=$E119+1,$C119,""),"")</f>
        <v/>
      </c>
      <c r="DQ119" s="34">
        <f>IF(AND(DQ$5&gt;$E119,DQ$5&lt;=$F119),IF(DQ$5=$E119+1,$C119,""),"")</f>
        <v/>
      </c>
      <c r="DR119" s="34">
        <f>IF(AND(DR$5&gt;$E119,DR$5&lt;=$F119),IF(DR$5=$E119+1,$C119,""),"")</f>
        <v/>
      </c>
      <c r="DS119" s="34">
        <f>IF(AND(DS$5&gt;$E119,DS$5&lt;=$F119),IF(DS$5=$E119+1,$C119,""),"")</f>
        <v/>
      </c>
      <c r="DT119" s="34">
        <f>IF(AND(DT$5&gt;$E119,DT$5&lt;=$F119),IF(DT$5=$E119+1,$C119,""),"")</f>
        <v/>
      </c>
      <c r="DU119" s="34">
        <f>IF(AND(DU$5&gt;$E119,DU$5&lt;=$F119),IF(DU$5=$E119+1,$C119,""),"")</f>
        <v/>
      </c>
      <c r="DV119" s="34">
        <f>IF(AND(DV$5&gt;$E119,DV$5&lt;=$F119),IF(DV$5=$E119+1,$C119,""),"")</f>
        <v/>
      </c>
      <c r="DW119" s="34">
        <f>IF(AND(DW$5&gt;$E119,DW$5&lt;=$F119),IF(DW$5=$E119+1,$C119,""),"")</f>
        <v/>
      </c>
      <c r="DX119" s="34">
        <f>IF(AND(DX$5&gt;$E119,DX$5&lt;=$F119),IF(DX$5=$E119+1,$C119,""),"")</f>
        <v/>
      </c>
      <c r="DY119" s="34">
        <f>IF(AND(DY$5&gt;$E119,DY$5&lt;=$F119),IF(DY$5=$E119+1,$C119,""),"")</f>
        <v/>
      </c>
      <c r="DZ119" s="34">
        <f>IF(AND(DZ$5&gt;$E119,DZ$5&lt;=$F119),IF(DZ$5=$E119+1,$C119,""),"")</f>
        <v/>
      </c>
      <c r="EA119" s="34">
        <f>IF(AND(EA$5&gt;$E119,EA$5&lt;=$F119),IF(EA$5=$E119+1,$C119,""),"")</f>
        <v/>
      </c>
      <c r="EB119" s="34">
        <f>IF(AND(EB$5&gt;$E119,EB$5&lt;=$F119),IF(EB$5=$E119+1,$C119,""),"")</f>
        <v/>
      </c>
      <c r="EC119" s="34">
        <f>IF(AND(EC$5&gt;$E119,EC$5&lt;=$F119),IF(EC$5=$E119+1,$C119,""),"")</f>
        <v/>
      </c>
      <c r="ED119" s="34">
        <f>IF(AND(ED$5&gt;$E119,ED$5&lt;=$F119),IF(ED$5=$E119+1,$C119,""),"")</f>
        <v/>
      </c>
      <c r="EE119" s="34">
        <f>IF(AND(EE$5&gt;$E119,EE$5&lt;=$F119),IF(EE$5=$E119+1,$C119,""),"")</f>
        <v/>
      </c>
      <c r="EF119" s="34">
        <f>IF(AND(EF$5&gt;$E119,EF$5&lt;=$F119),IF(EF$5=$E119+1,$C119,""),"")</f>
        <v/>
      </c>
      <c r="EG119" s="34">
        <f>IF(AND(EG$5&gt;$E119,EG$5&lt;=$F119),IF(EG$5=$E119+1,$C119,""),"")</f>
        <v/>
      </c>
      <c r="EH119" s="34">
        <f>IF(AND(EH$5&gt;$E119,EH$5&lt;=$F119),IF(EH$5=$E119+1,$C119,""),"")</f>
        <v/>
      </c>
      <c r="EI119" s="34">
        <f>IF(AND(EI$5&gt;$E119,EI$5&lt;=$F119),IF(EI$5=$E119+1,$C119,""),"")</f>
        <v/>
      </c>
      <c r="EJ119" s="34">
        <f>IF(AND(EJ$5&gt;$E119,EJ$5&lt;=$F119),IF(EJ$5=$E119+1,$C119,""),"")</f>
        <v/>
      </c>
      <c r="EK119" s="34">
        <f>IF(AND(EK$5&gt;$E119,EK$5&lt;=$F119),IF(EK$5=$E119+1,$C119,""),"")</f>
        <v/>
      </c>
      <c r="EL119" s="34">
        <f>IF(AND(EL$5&gt;$E119,EL$5&lt;=$F119),IF(EL$5=$E119+1,$C119,""),"")</f>
        <v/>
      </c>
      <c r="EM119" s="34">
        <f>IF(AND(EM$5&gt;$E119,EM$5&lt;=$F119),IF(EM$5=$E119+1,$C119,""),"")</f>
        <v/>
      </c>
      <c r="EN119" s="34">
        <f>IF(AND(EN$5&gt;$E119,EN$5&lt;=$F119),IF(EN$5=$E119+1,$C119,""),"")</f>
        <v/>
      </c>
      <c r="EO119" s="34">
        <f>IF(AND(EO$5&gt;$E119,EO$5&lt;=$F119),IF(EO$5=$E119+1,$C119,""),"")</f>
        <v/>
      </c>
      <c r="EP119" s="34">
        <f>IF(AND(EP$5&gt;$E119,EP$5&lt;=$F119),IF(EP$5=$E119+1,$C119,""),"")</f>
        <v/>
      </c>
      <c r="EQ119" s="34">
        <f>IF(AND(EQ$5&gt;$E119,EQ$5&lt;=$F119),IF(EQ$5=$E119+1,$C119,""),"")</f>
        <v/>
      </c>
    </row>
    <row r="120">
      <c r="A120" s="32">
        <f>Plan!A100</f>
        <v/>
      </c>
      <c r="B120" s="33">
        <f>Plan!C100</f>
        <v/>
      </c>
      <c r="C120" s="16">
        <f>Plan!D100</f>
        <v/>
      </c>
      <c r="D120" s="16">
        <f>Plan!I100</f>
        <v/>
      </c>
      <c r="E120" s="16">
        <f>Plan!K100</f>
        <v/>
      </c>
      <c r="F120" s="16">
        <f>Plan!L100</f>
        <v/>
      </c>
      <c r="G120" s="16">
        <f>Plan!O100</f>
        <v/>
      </c>
      <c r="H120" s="34">
        <f>IF(AND(H$5&gt;$E120,H$5&lt;=$F120),IF(H$5=$E120+1,$C120,""),"")</f>
        <v/>
      </c>
      <c r="I120" s="34">
        <f>IF(AND(I$5&gt;$E120,I$5&lt;=$F120),IF(I$5=$E120+1,$C120,""),"")</f>
        <v/>
      </c>
      <c r="J120" s="34">
        <f>IF(AND(J$5&gt;$E120,J$5&lt;=$F120),IF(J$5=$E120+1,$C120,""),"")</f>
        <v/>
      </c>
      <c r="K120" s="34">
        <f>IF(AND(K$5&gt;$E120,K$5&lt;=$F120),IF(K$5=$E120+1,$C120,""),"")</f>
        <v/>
      </c>
      <c r="L120" s="34">
        <f>IF(AND(L$5&gt;$E120,L$5&lt;=$F120),IF(L$5=$E120+1,$C120,""),"")</f>
        <v/>
      </c>
      <c r="M120" s="34">
        <f>IF(AND(M$5&gt;$E120,M$5&lt;=$F120),IF(M$5=$E120+1,$C120,""),"")</f>
        <v/>
      </c>
      <c r="N120" s="34">
        <f>IF(AND(N$5&gt;$E120,N$5&lt;=$F120),IF(N$5=$E120+1,$C120,""),"")</f>
        <v/>
      </c>
      <c r="O120" s="34">
        <f>IF(AND(O$5&gt;$E120,O$5&lt;=$F120),IF(O$5=$E120+1,$C120,""),"")</f>
        <v/>
      </c>
      <c r="P120" s="34">
        <f>IF(AND(P$5&gt;$E120,P$5&lt;=$F120),IF(P$5=$E120+1,$C120,""),"")</f>
        <v/>
      </c>
      <c r="Q120" s="34">
        <f>IF(AND(Q$5&gt;$E120,Q$5&lt;=$F120),IF(Q$5=$E120+1,$C120,""),"")</f>
        <v/>
      </c>
      <c r="R120" s="34">
        <f>IF(AND(R$5&gt;$E120,R$5&lt;=$F120),IF(R$5=$E120+1,$C120,""),"")</f>
        <v/>
      </c>
      <c r="S120" s="34">
        <f>IF(AND(S$5&gt;$E120,S$5&lt;=$F120),IF(S$5=$E120+1,$C120,""),"")</f>
        <v/>
      </c>
      <c r="T120" s="34">
        <f>IF(AND(T$5&gt;$E120,T$5&lt;=$F120),IF(T$5=$E120+1,$C120,""),"")</f>
        <v/>
      </c>
      <c r="U120" s="34">
        <f>IF(AND(U$5&gt;$E120,U$5&lt;=$F120),IF(U$5=$E120+1,$C120,""),"")</f>
        <v/>
      </c>
      <c r="V120" s="34">
        <f>IF(AND(V$5&gt;$E120,V$5&lt;=$F120),IF(V$5=$E120+1,$C120,""),"")</f>
        <v/>
      </c>
      <c r="W120" s="34">
        <f>IF(AND(W$5&gt;$E120,W$5&lt;=$F120),IF(W$5=$E120+1,$C120,""),"")</f>
        <v/>
      </c>
      <c r="X120" s="34">
        <f>IF(AND(X$5&gt;$E120,X$5&lt;=$F120),IF(X$5=$E120+1,$C120,""),"")</f>
        <v/>
      </c>
      <c r="Y120" s="34">
        <f>IF(AND(Y$5&gt;$E120,Y$5&lt;=$F120),IF(Y$5=$E120+1,$C120,""),"")</f>
        <v/>
      </c>
      <c r="Z120" s="34">
        <f>IF(AND(Z$5&gt;$E120,Z$5&lt;=$F120),IF(Z$5=$E120+1,$C120,""),"")</f>
        <v/>
      </c>
      <c r="AA120" s="34">
        <f>IF(AND(AA$5&gt;$E120,AA$5&lt;=$F120),IF(AA$5=$E120+1,$C120,""),"")</f>
        <v/>
      </c>
      <c r="AB120" s="34">
        <f>IF(AND(AB$5&gt;$E120,AB$5&lt;=$F120),IF(AB$5=$E120+1,$C120,""),"")</f>
        <v/>
      </c>
      <c r="AC120" s="34">
        <f>IF(AND(AC$5&gt;$E120,AC$5&lt;=$F120),IF(AC$5=$E120+1,$C120,""),"")</f>
        <v/>
      </c>
      <c r="AD120" s="34">
        <f>IF(AND(AD$5&gt;$E120,AD$5&lt;=$F120),IF(AD$5=$E120+1,$C120,""),"")</f>
        <v/>
      </c>
      <c r="AE120" s="34">
        <f>IF(AND(AE$5&gt;$E120,AE$5&lt;=$F120),IF(AE$5=$E120+1,$C120,""),"")</f>
        <v/>
      </c>
      <c r="AF120" s="34">
        <f>IF(AND(AF$5&gt;$E120,AF$5&lt;=$F120),IF(AF$5=$E120+1,$C120,""),"")</f>
        <v/>
      </c>
      <c r="AG120" s="34">
        <f>IF(AND(AG$5&gt;$E120,AG$5&lt;=$F120),IF(AG$5=$E120+1,$C120,""),"")</f>
        <v/>
      </c>
      <c r="AH120" s="34">
        <f>IF(AND(AH$5&gt;$E120,AH$5&lt;=$F120),IF(AH$5=$E120+1,$C120,""),"")</f>
        <v/>
      </c>
      <c r="AI120" s="34">
        <f>IF(AND(AI$5&gt;$E120,AI$5&lt;=$F120),IF(AI$5=$E120+1,$C120,""),"")</f>
        <v/>
      </c>
      <c r="AJ120" s="34">
        <f>IF(AND(AJ$5&gt;$E120,AJ$5&lt;=$F120),IF(AJ$5=$E120+1,$C120,""),"")</f>
        <v/>
      </c>
      <c r="AK120" s="34">
        <f>IF(AND(AK$5&gt;$E120,AK$5&lt;=$F120),IF(AK$5=$E120+1,$C120,""),"")</f>
        <v/>
      </c>
      <c r="AL120" s="34">
        <f>IF(AND(AL$5&gt;$E120,AL$5&lt;=$F120),IF(AL$5=$E120+1,$C120,""),"")</f>
        <v/>
      </c>
      <c r="AM120" s="34">
        <f>IF(AND(AM$5&gt;$E120,AM$5&lt;=$F120),IF(AM$5=$E120+1,$C120,""),"")</f>
        <v/>
      </c>
      <c r="AN120" s="34">
        <f>IF(AND(AN$5&gt;$E120,AN$5&lt;=$F120),IF(AN$5=$E120+1,$C120,""),"")</f>
        <v/>
      </c>
      <c r="AO120" s="34">
        <f>IF(AND(AO$5&gt;$E120,AO$5&lt;=$F120),IF(AO$5=$E120+1,$C120,""),"")</f>
        <v/>
      </c>
      <c r="AP120" s="34">
        <f>IF(AND(AP$5&gt;$E120,AP$5&lt;=$F120),IF(AP$5=$E120+1,$C120,""),"")</f>
        <v/>
      </c>
      <c r="AQ120" s="34">
        <f>IF(AND(AQ$5&gt;$E120,AQ$5&lt;=$F120),IF(AQ$5=$E120+1,$C120,""),"")</f>
        <v/>
      </c>
      <c r="AR120" s="34">
        <f>IF(AND(AR$5&gt;$E120,AR$5&lt;=$F120),IF(AR$5=$E120+1,$C120,""),"")</f>
        <v/>
      </c>
      <c r="AS120" s="34">
        <f>IF(AND(AS$5&gt;$E120,AS$5&lt;=$F120),IF(AS$5=$E120+1,$C120,""),"")</f>
        <v/>
      </c>
      <c r="AT120" s="34">
        <f>IF(AND(AT$5&gt;$E120,AT$5&lt;=$F120),IF(AT$5=$E120+1,$C120,""),"")</f>
        <v/>
      </c>
      <c r="AU120" s="34">
        <f>IF(AND(AU$5&gt;$E120,AU$5&lt;=$F120),IF(AU$5=$E120+1,$C120,""),"")</f>
        <v/>
      </c>
      <c r="AV120" s="34">
        <f>IF(AND(AV$5&gt;$E120,AV$5&lt;=$F120),IF(AV$5=$E120+1,$C120,""),"")</f>
        <v/>
      </c>
      <c r="AW120" s="34">
        <f>IF(AND(AW$5&gt;$E120,AW$5&lt;=$F120),IF(AW$5=$E120+1,$C120,""),"")</f>
        <v/>
      </c>
      <c r="AX120" s="34">
        <f>IF(AND(AX$5&gt;$E120,AX$5&lt;=$F120),IF(AX$5=$E120+1,$C120,""),"")</f>
        <v/>
      </c>
      <c r="AY120" s="34">
        <f>IF(AND(AY$5&gt;$E120,AY$5&lt;=$F120),IF(AY$5=$E120+1,$C120,""),"")</f>
        <v/>
      </c>
      <c r="AZ120" s="34">
        <f>IF(AND(AZ$5&gt;$E120,AZ$5&lt;=$F120),IF(AZ$5=$E120+1,$C120,""),"")</f>
        <v/>
      </c>
      <c r="BA120" s="34">
        <f>IF(AND(BA$5&gt;$E120,BA$5&lt;=$F120),IF(BA$5=$E120+1,$C120,""),"")</f>
        <v/>
      </c>
      <c r="BB120" s="34">
        <f>IF(AND(BB$5&gt;$E120,BB$5&lt;=$F120),IF(BB$5=$E120+1,$C120,""),"")</f>
        <v/>
      </c>
      <c r="BC120" s="34">
        <f>IF(AND(BC$5&gt;$E120,BC$5&lt;=$F120),IF(BC$5=$E120+1,$C120,""),"")</f>
        <v/>
      </c>
      <c r="BD120" s="34">
        <f>IF(AND(BD$5&gt;$E120,BD$5&lt;=$F120),IF(BD$5=$E120+1,$C120,""),"")</f>
        <v/>
      </c>
      <c r="BE120" s="34">
        <f>IF(AND(BE$5&gt;$E120,BE$5&lt;=$F120),IF(BE$5=$E120+1,$C120,""),"")</f>
        <v/>
      </c>
      <c r="BF120" s="34">
        <f>IF(AND(BF$5&gt;$E120,BF$5&lt;=$F120),IF(BF$5=$E120+1,$C120,""),"")</f>
        <v/>
      </c>
      <c r="BG120" s="34">
        <f>IF(AND(BG$5&gt;$E120,BG$5&lt;=$F120),IF(BG$5=$E120+1,$C120,""),"")</f>
        <v/>
      </c>
      <c r="BH120" s="34">
        <f>IF(AND(BH$5&gt;$E120,BH$5&lt;=$F120),IF(BH$5=$E120+1,$C120,""),"")</f>
        <v/>
      </c>
      <c r="BI120" s="34">
        <f>IF(AND(BI$5&gt;$E120,BI$5&lt;=$F120),IF(BI$5=$E120+1,$C120,""),"")</f>
        <v/>
      </c>
      <c r="BJ120" s="34">
        <f>IF(AND(BJ$5&gt;$E120,BJ$5&lt;=$F120),IF(BJ$5=$E120+1,$C120,""),"")</f>
        <v/>
      </c>
      <c r="BK120" s="34">
        <f>IF(AND(BK$5&gt;$E120,BK$5&lt;=$F120),IF(BK$5=$E120+1,$C120,""),"")</f>
        <v/>
      </c>
      <c r="BL120" s="34">
        <f>IF(AND(BL$5&gt;$E120,BL$5&lt;=$F120),IF(BL$5=$E120+1,$C120,""),"")</f>
        <v/>
      </c>
      <c r="BM120" s="34">
        <f>IF(AND(BM$5&gt;$E120,BM$5&lt;=$F120),IF(BM$5=$E120+1,$C120,""),"")</f>
        <v/>
      </c>
      <c r="BN120" s="34">
        <f>IF(AND(BN$5&gt;$E120,BN$5&lt;=$F120),IF(BN$5=$E120+1,$C120,""),"")</f>
        <v/>
      </c>
      <c r="BO120" s="34">
        <f>IF(AND(BO$5&gt;$E120,BO$5&lt;=$F120),IF(BO$5=$E120+1,$C120,""),"")</f>
        <v/>
      </c>
      <c r="BP120" s="34">
        <f>IF(AND(BP$5&gt;$E120,BP$5&lt;=$F120),IF(BP$5=$E120+1,$C120,""),"")</f>
        <v/>
      </c>
      <c r="BQ120" s="34">
        <f>IF(AND(BQ$5&gt;$E120,BQ$5&lt;=$F120),IF(BQ$5=$E120+1,$C120,""),"")</f>
        <v/>
      </c>
      <c r="BR120" s="34">
        <f>IF(AND(BR$5&gt;$E120,BR$5&lt;=$F120),IF(BR$5=$E120+1,$C120,""),"")</f>
        <v/>
      </c>
      <c r="BS120" s="34">
        <f>IF(AND(BS$5&gt;$E120,BS$5&lt;=$F120),IF(BS$5=$E120+1,$C120,""),"")</f>
        <v/>
      </c>
      <c r="BT120" s="34">
        <f>IF(AND(BT$5&gt;$E120,BT$5&lt;=$F120),IF(BT$5=$E120+1,$C120,""),"")</f>
        <v/>
      </c>
      <c r="BU120" s="34">
        <f>IF(AND(BU$5&gt;$E120,BU$5&lt;=$F120),IF(BU$5=$E120+1,$C120,""),"")</f>
        <v/>
      </c>
      <c r="BV120" s="34">
        <f>IF(AND(BV$5&gt;$E120,BV$5&lt;=$F120),IF(BV$5=$E120+1,$C120,""),"")</f>
        <v/>
      </c>
      <c r="BW120" s="34">
        <f>IF(AND(BW$5&gt;$E120,BW$5&lt;=$F120),IF(BW$5=$E120+1,$C120,""),"")</f>
        <v/>
      </c>
      <c r="BX120" s="34">
        <f>IF(AND(BX$5&gt;$E120,BX$5&lt;=$F120),IF(BX$5=$E120+1,$C120,""),"")</f>
        <v/>
      </c>
      <c r="BY120" s="34">
        <f>IF(AND(BY$5&gt;$E120,BY$5&lt;=$F120),IF(BY$5=$E120+1,$C120,""),"")</f>
        <v/>
      </c>
      <c r="BZ120" s="34">
        <f>IF(AND(BZ$5&gt;$E120,BZ$5&lt;=$F120),IF(BZ$5=$E120+1,$C120,""),"")</f>
        <v/>
      </c>
      <c r="CA120" s="34">
        <f>IF(AND(CA$5&gt;$E120,CA$5&lt;=$F120),IF(CA$5=$E120+1,$C120,""),"")</f>
        <v/>
      </c>
      <c r="CB120" s="34">
        <f>IF(AND(CB$5&gt;$E120,CB$5&lt;=$F120),IF(CB$5=$E120+1,$C120,""),"")</f>
        <v/>
      </c>
      <c r="CC120" s="34">
        <f>IF(AND(CC$5&gt;$E120,CC$5&lt;=$F120),IF(CC$5=$E120+1,$C120,""),"")</f>
        <v/>
      </c>
      <c r="CD120" s="34">
        <f>IF(AND(CD$5&gt;$E120,CD$5&lt;=$F120),IF(CD$5=$E120+1,$C120,""),"")</f>
        <v/>
      </c>
      <c r="CE120" s="34">
        <f>IF(AND(CE$5&gt;$E120,CE$5&lt;=$F120),IF(CE$5=$E120+1,$C120,""),"")</f>
        <v/>
      </c>
      <c r="CF120" s="34">
        <f>IF(AND(CF$5&gt;$E120,CF$5&lt;=$F120),IF(CF$5=$E120+1,$C120,""),"")</f>
        <v/>
      </c>
      <c r="CG120" s="34">
        <f>IF(AND(CG$5&gt;$E120,CG$5&lt;=$F120),IF(CG$5=$E120+1,$C120,""),"")</f>
        <v/>
      </c>
      <c r="CH120" s="34">
        <f>IF(AND(CH$5&gt;$E120,CH$5&lt;=$F120),IF(CH$5=$E120+1,$C120,""),"")</f>
        <v/>
      </c>
      <c r="CI120" s="34">
        <f>IF(AND(CI$5&gt;$E120,CI$5&lt;=$F120),IF(CI$5=$E120+1,$C120,""),"")</f>
        <v/>
      </c>
      <c r="CJ120" s="34">
        <f>IF(AND(CJ$5&gt;$E120,CJ$5&lt;=$F120),IF(CJ$5=$E120+1,$C120,""),"")</f>
        <v/>
      </c>
      <c r="CK120" s="34">
        <f>IF(AND(CK$5&gt;$E120,CK$5&lt;=$F120),IF(CK$5=$E120+1,$C120,""),"")</f>
        <v/>
      </c>
      <c r="CL120" s="34">
        <f>IF(AND(CL$5&gt;$E120,CL$5&lt;=$F120),IF(CL$5=$E120+1,$C120,""),"")</f>
        <v/>
      </c>
      <c r="CM120" s="34">
        <f>IF(AND(CM$5&gt;$E120,CM$5&lt;=$F120),IF(CM$5=$E120+1,$C120,""),"")</f>
        <v/>
      </c>
      <c r="CN120" s="34">
        <f>IF(AND(CN$5&gt;$E120,CN$5&lt;=$F120),IF(CN$5=$E120+1,$C120,""),"")</f>
        <v/>
      </c>
      <c r="CO120" s="34">
        <f>IF(AND(CO$5&gt;$E120,CO$5&lt;=$F120),IF(CO$5=$E120+1,$C120,""),"")</f>
        <v/>
      </c>
      <c r="CP120" s="34">
        <f>IF(AND(CP$5&gt;$E120,CP$5&lt;=$F120),IF(CP$5=$E120+1,$C120,""),"")</f>
        <v/>
      </c>
      <c r="CQ120" s="34">
        <f>IF(AND(CQ$5&gt;$E120,CQ$5&lt;=$F120),IF(CQ$5=$E120+1,$C120,""),"")</f>
        <v/>
      </c>
      <c r="CR120" s="34">
        <f>IF(AND(CR$5&gt;$E120,CR$5&lt;=$F120),IF(CR$5=$E120+1,$C120,""),"")</f>
        <v/>
      </c>
      <c r="CS120" s="34">
        <f>IF(AND(CS$5&gt;$E120,CS$5&lt;=$F120),IF(CS$5=$E120+1,$C120,""),"")</f>
        <v/>
      </c>
      <c r="CT120" s="34">
        <f>IF(AND(CT$5&gt;$E120,CT$5&lt;=$F120),IF(CT$5=$E120+1,$C120,""),"")</f>
        <v/>
      </c>
      <c r="CU120" s="34">
        <f>IF(AND(CU$5&gt;$E120,CU$5&lt;=$F120),IF(CU$5=$E120+1,$C120,""),"")</f>
        <v/>
      </c>
      <c r="CV120" s="34">
        <f>IF(AND(CV$5&gt;$E120,CV$5&lt;=$F120),IF(CV$5=$E120+1,$C120,""),"")</f>
        <v/>
      </c>
      <c r="CW120" s="34">
        <f>IF(AND(CW$5&gt;$E120,CW$5&lt;=$F120),IF(CW$5=$E120+1,$C120,""),"")</f>
        <v/>
      </c>
      <c r="CX120" s="34">
        <f>IF(AND(CX$5&gt;$E120,CX$5&lt;=$F120),IF(CX$5=$E120+1,$C120,""),"")</f>
        <v/>
      </c>
      <c r="CY120" s="34">
        <f>IF(AND(CY$5&gt;$E120,CY$5&lt;=$F120),IF(CY$5=$E120+1,$C120,""),"")</f>
        <v/>
      </c>
      <c r="CZ120" s="34">
        <f>IF(AND(CZ$5&gt;$E120,CZ$5&lt;=$F120),IF(CZ$5=$E120+1,$C120,""),"")</f>
        <v/>
      </c>
      <c r="DA120" s="34">
        <f>IF(AND(DA$5&gt;$E120,DA$5&lt;=$F120),IF(DA$5=$E120+1,$C120,""),"")</f>
        <v/>
      </c>
      <c r="DB120" s="34">
        <f>IF(AND(DB$5&gt;$E120,DB$5&lt;=$F120),IF(DB$5=$E120+1,$C120,""),"")</f>
        <v/>
      </c>
      <c r="DC120" s="34">
        <f>IF(AND(DC$5&gt;$E120,DC$5&lt;=$F120),IF(DC$5=$E120+1,$C120,""),"")</f>
        <v/>
      </c>
      <c r="DD120" s="34">
        <f>IF(AND(DD$5&gt;$E120,DD$5&lt;=$F120),IF(DD$5=$E120+1,$C120,""),"")</f>
        <v/>
      </c>
      <c r="DE120" s="34">
        <f>IF(AND(DE$5&gt;$E120,DE$5&lt;=$F120),IF(DE$5=$E120+1,$C120,""),"")</f>
        <v/>
      </c>
      <c r="DF120" s="34">
        <f>IF(AND(DF$5&gt;$E120,DF$5&lt;=$F120),IF(DF$5=$E120+1,$C120,""),"")</f>
        <v/>
      </c>
      <c r="DG120" s="34">
        <f>IF(AND(DG$5&gt;$E120,DG$5&lt;=$F120),IF(DG$5=$E120+1,$C120,""),"")</f>
        <v/>
      </c>
      <c r="DH120" s="34">
        <f>IF(AND(DH$5&gt;$E120,DH$5&lt;=$F120),IF(DH$5=$E120+1,$C120,""),"")</f>
        <v/>
      </c>
      <c r="DI120" s="34">
        <f>IF(AND(DI$5&gt;$E120,DI$5&lt;=$F120),IF(DI$5=$E120+1,$C120,""),"")</f>
        <v/>
      </c>
      <c r="DJ120" s="34">
        <f>IF(AND(DJ$5&gt;$E120,DJ$5&lt;=$F120),IF(DJ$5=$E120+1,$C120,""),"")</f>
        <v/>
      </c>
      <c r="DK120" s="34">
        <f>IF(AND(DK$5&gt;$E120,DK$5&lt;=$F120),IF(DK$5=$E120+1,$C120,""),"")</f>
        <v/>
      </c>
      <c r="DL120" s="34">
        <f>IF(AND(DL$5&gt;$E120,DL$5&lt;=$F120),IF(DL$5=$E120+1,$C120,""),"")</f>
        <v/>
      </c>
      <c r="DM120" s="34">
        <f>IF(AND(DM$5&gt;$E120,DM$5&lt;=$F120),IF(DM$5=$E120+1,$C120,""),"")</f>
        <v/>
      </c>
      <c r="DN120" s="34">
        <f>IF(AND(DN$5&gt;$E120,DN$5&lt;=$F120),IF(DN$5=$E120+1,$C120,""),"")</f>
        <v/>
      </c>
      <c r="DO120" s="34">
        <f>IF(AND(DO$5&gt;$E120,DO$5&lt;=$F120),IF(DO$5=$E120+1,$C120,""),"")</f>
        <v/>
      </c>
      <c r="DP120" s="34">
        <f>IF(AND(DP$5&gt;$E120,DP$5&lt;=$F120),IF(DP$5=$E120+1,$C120,""),"")</f>
        <v/>
      </c>
      <c r="DQ120" s="34">
        <f>IF(AND(DQ$5&gt;$E120,DQ$5&lt;=$F120),IF(DQ$5=$E120+1,$C120,""),"")</f>
        <v/>
      </c>
      <c r="DR120" s="34">
        <f>IF(AND(DR$5&gt;$E120,DR$5&lt;=$F120),IF(DR$5=$E120+1,$C120,""),"")</f>
        <v/>
      </c>
      <c r="DS120" s="34">
        <f>IF(AND(DS$5&gt;$E120,DS$5&lt;=$F120),IF(DS$5=$E120+1,$C120,""),"")</f>
        <v/>
      </c>
      <c r="DT120" s="34">
        <f>IF(AND(DT$5&gt;$E120,DT$5&lt;=$F120),IF(DT$5=$E120+1,$C120,""),"")</f>
        <v/>
      </c>
      <c r="DU120" s="34">
        <f>IF(AND(DU$5&gt;$E120,DU$5&lt;=$F120),IF(DU$5=$E120+1,$C120,""),"")</f>
        <v/>
      </c>
      <c r="DV120" s="34">
        <f>IF(AND(DV$5&gt;$E120,DV$5&lt;=$F120),IF(DV$5=$E120+1,$C120,""),"")</f>
        <v/>
      </c>
      <c r="DW120" s="34">
        <f>IF(AND(DW$5&gt;$E120,DW$5&lt;=$F120),IF(DW$5=$E120+1,$C120,""),"")</f>
        <v/>
      </c>
      <c r="DX120" s="34">
        <f>IF(AND(DX$5&gt;$E120,DX$5&lt;=$F120),IF(DX$5=$E120+1,$C120,""),"")</f>
        <v/>
      </c>
      <c r="DY120" s="34">
        <f>IF(AND(DY$5&gt;$E120,DY$5&lt;=$F120),IF(DY$5=$E120+1,$C120,""),"")</f>
        <v/>
      </c>
      <c r="DZ120" s="34">
        <f>IF(AND(DZ$5&gt;$E120,DZ$5&lt;=$F120),IF(DZ$5=$E120+1,$C120,""),"")</f>
        <v/>
      </c>
      <c r="EA120" s="34">
        <f>IF(AND(EA$5&gt;$E120,EA$5&lt;=$F120),IF(EA$5=$E120+1,$C120,""),"")</f>
        <v/>
      </c>
      <c r="EB120" s="34">
        <f>IF(AND(EB$5&gt;$E120,EB$5&lt;=$F120),IF(EB$5=$E120+1,$C120,""),"")</f>
        <v/>
      </c>
      <c r="EC120" s="34">
        <f>IF(AND(EC$5&gt;$E120,EC$5&lt;=$F120),IF(EC$5=$E120+1,$C120,""),"")</f>
        <v/>
      </c>
      <c r="ED120" s="34">
        <f>IF(AND(ED$5&gt;$E120,ED$5&lt;=$F120),IF(ED$5=$E120+1,$C120,""),"")</f>
        <v/>
      </c>
      <c r="EE120" s="34">
        <f>IF(AND(EE$5&gt;$E120,EE$5&lt;=$F120),IF(EE$5=$E120+1,$C120,""),"")</f>
        <v/>
      </c>
      <c r="EF120" s="34">
        <f>IF(AND(EF$5&gt;$E120,EF$5&lt;=$F120),IF(EF$5=$E120+1,$C120,""),"")</f>
        <v/>
      </c>
      <c r="EG120" s="34">
        <f>IF(AND(EG$5&gt;$E120,EG$5&lt;=$F120),IF(EG$5=$E120+1,$C120,""),"")</f>
        <v/>
      </c>
      <c r="EH120" s="34">
        <f>IF(AND(EH$5&gt;$E120,EH$5&lt;=$F120),IF(EH$5=$E120+1,$C120,""),"")</f>
        <v/>
      </c>
      <c r="EI120" s="34">
        <f>IF(AND(EI$5&gt;$E120,EI$5&lt;=$F120),IF(EI$5=$E120+1,$C120,""),"")</f>
        <v/>
      </c>
      <c r="EJ120" s="34">
        <f>IF(AND(EJ$5&gt;$E120,EJ$5&lt;=$F120),IF(EJ$5=$E120+1,$C120,""),"")</f>
        <v/>
      </c>
      <c r="EK120" s="34">
        <f>IF(AND(EK$5&gt;$E120,EK$5&lt;=$F120),IF(EK$5=$E120+1,$C120,""),"")</f>
        <v/>
      </c>
      <c r="EL120" s="34">
        <f>IF(AND(EL$5&gt;$E120,EL$5&lt;=$F120),IF(EL$5=$E120+1,$C120,""),"")</f>
        <v/>
      </c>
      <c r="EM120" s="34">
        <f>IF(AND(EM$5&gt;$E120,EM$5&lt;=$F120),IF(EM$5=$E120+1,$C120,""),"")</f>
        <v/>
      </c>
      <c r="EN120" s="34">
        <f>IF(AND(EN$5&gt;$E120,EN$5&lt;=$F120),IF(EN$5=$E120+1,$C120,""),"")</f>
        <v/>
      </c>
      <c r="EO120" s="34">
        <f>IF(AND(EO$5&gt;$E120,EO$5&lt;=$F120),IF(EO$5=$E120+1,$C120,""),"")</f>
        <v/>
      </c>
      <c r="EP120" s="34">
        <f>IF(AND(EP$5&gt;$E120,EP$5&lt;=$F120),IF(EP$5=$E120+1,$C120,""),"")</f>
        <v/>
      </c>
      <c r="EQ120" s="34">
        <f>IF(AND(EQ$5&gt;$E120,EQ$5&lt;=$F120),IF(EQ$5=$E120+1,$C120,""),"")</f>
        <v/>
      </c>
    </row>
    <row r="121">
      <c r="A121" s="32">
        <f>Plan!A101</f>
        <v/>
      </c>
      <c r="B121" s="33">
        <f>Plan!C101</f>
        <v/>
      </c>
      <c r="C121" s="16">
        <f>Plan!D101</f>
        <v/>
      </c>
      <c r="D121" s="16">
        <f>Plan!I101</f>
        <v/>
      </c>
      <c r="E121" s="16">
        <f>Plan!K101</f>
        <v/>
      </c>
      <c r="F121" s="16">
        <f>Plan!L101</f>
        <v/>
      </c>
      <c r="G121" s="16">
        <f>Plan!O101</f>
        <v/>
      </c>
      <c r="H121" s="34">
        <f>IF(AND(H$5&gt;$E121,H$5&lt;=$F121),IF(H$5=$E121+1,$C121,""),"")</f>
        <v/>
      </c>
      <c r="I121" s="34">
        <f>IF(AND(I$5&gt;$E121,I$5&lt;=$F121),IF(I$5=$E121+1,$C121,""),"")</f>
        <v/>
      </c>
      <c r="J121" s="34">
        <f>IF(AND(J$5&gt;$E121,J$5&lt;=$F121),IF(J$5=$E121+1,$C121,""),"")</f>
        <v/>
      </c>
      <c r="K121" s="34">
        <f>IF(AND(K$5&gt;$E121,K$5&lt;=$F121),IF(K$5=$E121+1,$C121,""),"")</f>
        <v/>
      </c>
      <c r="L121" s="34">
        <f>IF(AND(L$5&gt;$E121,L$5&lt;=$F121),IF(L$5=$E121+1,$C121,""),"")</f>
        <v/>
      </c>
      <c r="M121" s="34">
        <f>IF(AND(M$5&gt;$E121,M$5&lt;=$F121),IF(M$5=$E121+1,$C121,""),"")</f>
        <v/>
      </c>
      <c r="N121" s="34">
        <f>IF(AND(N$5&gt;$E121,N$5&lt;=$F121),IF(N$5=$E121+1,$C121,""),"")</f>
        <v/>
      </c>
      <c r="O121" s="34">
        <f>IF(AND(O$5&gt;$E121,O$5&lt;=$F121),IF(O$5=$E121+1,$C121,""),"")</f>
        <v/>
      </c>
      <c r="P121" s="34">
        <f>IF(AND(P$5&gt;$E121,P$5&lt;=$F121),IF(P$5=$E121+1,$C121,""),"")</f>
        <v/>
      </c>
      <c r="Q121" s="34">
        <f>IF(AND(Q$5&gt;$E121,Q$5&lt;=$F121),IF(Q$5=$E121+1,$C121,""),"")</f>
        <v/>
      </c>
      <c r="R121" s="34">
        <f>IF(AND(R$5&gt;$E121,R$5&lt;=$F121),IF(R$5=$E121+1,$C121,""),"")</f>
        <v/>
      </c>
      <c r="S121" s="34">
        <f>IF(AND(S$5&gt;$E121,S$5&lt;=$F121),IF(S$5=$E121+1,$C121,""),"")</f>
        <v/>
      </c>
      <c r="T121" s="34">
        <f>IF(AND(T$5&gt;$E121,T$5&lt;=$F121),IF(T$5=$E121+1,$C121,""),"")</f>
        <v/>
      </c>
      <c r="U121" s="34">
        <f>IF(AND(U$5&gt;$E121,U$5&lt;=$F121),IF(U$5=$E121+1,$C121,""),"")</f>
        <v/>
      </c>
      <c r="V121" s="34">
        <f>IF(AND(V$5&gt;$E121,V$5&lt;=$F121),IF(V$5=$E121+1,$C121,""),"")</f>
        <v/>
      </c>
      <c r="W121" s="34">
        <f>IF(AND(W$5&gt;$E121,W$5&lt;=$F121),IF(W$5=$E121+1,$C121,""),"")</f>
        <v/>
      </c>
      <c r="X121" s="34">
        <f>IF(AND(X$5&gt;$E121,X$5&lt;=$F121),IF(X$5=$E121+1,$C121,""),"")</f>
        <v/>
      </c>
      <c r="Y121" s="34">
        <f>IF(AND(Y$5&gt;$E121,Y$5&lt;=$F121),IF(Y$5=$E121+1,$C121,""),"")</f>
        <v/>
      </c>
      <c r="Z121" s="34">
        <f>IF(AND(Z$5&gt;$E121,Z$5&lt;=$F121),IF(Z$5=$E121+1,$C121,""),"")</f>
        <v/>
      </c>
      <c r="AA121" s="34">
        <f>IF(AND(AA$5&gt;$E121,AA$5&lt;=$F121),IF(AA$5=$E121+1,$C121,""),"")</f>
        <v/>
      </c>
      <c r="AB121" s="34">
        <f>IF(AND(AB$5&gt;$E121,AB$5&lt;=$F121),IF(AB$5=$E121+1,$C121,""),"")</f>
        <v/>
      </c>
      <c r="AC121" s="34">
        <f>IF(AND(AC$5&gt;$E121,AC$5&lt;=$F121),IF(AC$5=$E121+1,$C121,""),"")</f>
        <v/>
      </c>
      <c r="AD121" s="34">
        <f>IF(AND(AD$5&gt;$E121,AD$5&lt;=$F121),IF(AD$5=$E121+1,$C121,""),"")</f>
        <v/>
      </c>
      <c r="AE121" s="34">
        <f>IF(AND(AE$5&gt;$E121,AE$5&lt;=$F121),IF(AE$5=$E121+1,$C121,""),"")</f>
        <v/>
      </c>
      <c r="AF121" s="34">
        <f>IF(AND(AF$5&gt;$E121,AF$5&lt;=$F121),IF(AF$5=$E121+1,$C121,""),"")</f>
        <v/>
      </c>
      <c r="AG121" s="34">
        <f>IF(AND(AG$5&gt;$E121,AG$5&lt;=$F121),IF(AG$5=$E121+1,$C121,""),"")</f>
        <v/>
      </c>
      <c r="AH121" s="34">
        <f>IF(AND(AH$5&gt;$E121,AH$5&lt;=$F121),IF(AH$5=$E121+1,$C121,""),"")</f>
        <v/>
      </c>
      <c r="AI121" s="34">
        <f>IF(AND(AI$5&gt;$E121,AI$5&lt;=$F121),IF(AI$5=$E121+1,$C121,""),"")</f>
        <v/>
      </c>
      <c r="AJ121" s="34">
        <f>IF(AND(AJ$5&gt;$E121,AJ$5&lt;=$F121),IF(AJ$5=$E121+1,$C121,""),"")</f>
        <v/>
      </c>
      <c r="AK121" s="34">
        <f>IF(AND(AK$5&gt;$E121,AK$5&lt;=$F121),IF(AK$5=$E121+1,$C121,""),"")</f>
        <v/>
      </c>
      <c r="AL121" s="34">
        <f>IF(AND(AL$5&gt;$E121,AL$5&lt;=$F121),IF(AL$5=$E121+1,$C121,""),"")</f>
        <v/>
      </c>
      <c r="AM121" s="34">
        <f>IF(AND(AM$5&gt;$E121,AM$5&lt;=$F121),IF(AM$5=$E121+1,$C121,""),"")</f>
        <v/>
      </c>
      <c r="AN121" s="34">
        <f>IF(AND(AN$5&gt;$E121,AN$5&lt;=$F121),IF(AN$5=$E121+1,$C121,""),"")</f>
        <v/>
      </c>
      <c r="AO121" s="34">
        <f>IF(AND(AO$5&gt;$E121,AO$5&lt;=$F121),IF(AO$5=$E121+1,$C121,""),"")</f>
        <v/>
      </c>
      <c r="AP121" s="34">
        <f>IF(AND(AP$5&gt;$E121,AP$5&lt;=$F121),IF(AP$5=$E121+1,$C121,""),"")</f>
        <v/>
      </c>
      <c r="AQ121" s="34">
        <f>IF(AND(AQ$5&gt;$E121,AQ$5&lt;=$F121),IF(AQ$5=$E121+1,$C121,""),"")</f>
        <v/>
      </c>
      <c r="AR121" s="34">
        <f>IF(AND(AR$5&gt;$E121,AR$5&lt;=$F121),IF(AR$5=$E121+1,$C121,""),"")</f>
        <v/>
      </c>
      <c r="AS121" s="34">
        <f>IF(AND(AS$5&gt;$E121,AS$5&lt;=$F121),IF(AS$5=$E121+1,$C121,""),"")</f>
        <v/>
      </c>
      <c r="AT121" s="34">
        <f>IF(AND(AT$5&gt;$E121,AT$5&lt;=$F121),IF(AT$5=$E121+1,$C121,""),"")</f>
        <v/>
      </c>
      <c r="AU121" s="34">
        <f>IF(AND(AU$5&gt;$E121,AU$5&lt;=$F121),IF(AU$5=$E121+1,$C121,""),"")</f>
        <v/>
      </c>
      <c r="AV121" s="34">
        <f>IF(AND(AV$5&gt;$E121,AV$5&lt;=$F121),IF(AV$5=$E121+1,$C121,""),"")</f>
        <v/>
      </c>
      <c r="AW121" s="34">
        <f>IF(AND(AW$5&gt;$E121,AW$5&lt;=$F121),IF(AW$5=$E121+1,$C121,""),"")</f>
        <v/>
      </c>
      <c r="AX121" s="34">
        <f>IF(AND(AX$5&gt;$E121,AX$5&lt;=$F121),IF(AX$5=$E121+1,$C121,""),"")</f>
        <v/>
      </c>
      <c r="AY121" s="34">
        <f>IF(AND(AY$5&gt;$E121,AY$5&lt;=$F121),IF(AY$5=$E121+1,$C121,""),"")</f>
        <v/>
      </c>
      <c r="AZ121" s="34">
        <f>IF(AND(AZ$5&gt;$E121,AZ$5&lt;=$F121),IF(AZ$5=$E121+1,$C121,""),"")</f>
        <v/>
      </c>
      <c r="BA121" s="34">
        <f>IF(AND(BA$5&gt;$E121,BA$5&lt;=$F121),IF(BA$5=$E121+1,$C121,""),"")</f>
        <v/>
      </c>
      <c r="BB121" s="34">
        <f>IF(AND(BB$5&gt;$E121,BB$5&lt;=$F121),IF(BB$5=$E121+1,$C121,""),"")</f>
        <v/>
      </c>
      <c r="BC121" s="34">
        <f>IF(AND(BC$5&gt;$E121,BC$5&lt;=$F121),IF(BC$5=$E121+1,$C121,""),"")</f>
        <v/>
      </c>
      <c r="BD121" s="34">
        <f>IF(AND(BD$5&gt;$E121,BD$5&lt;=$F121),IF(BD$5=$E121+1,$C121,""),"")</f>
        <v/>
      </c>
      <c r="BE121" s="34">
        <f>IF(AND(BE$5&gt;$E121,BE$5&lt;=$F121),IF(BE$5=$E121+1,$C121,""),"")</f>
        <v/>
      </c>
      <c r="BF121" s="34">
        <f>IF(AND(BF$5&gt;$E121,BF$5&lt;=$F121),IF(BF$5=$E121+1,$C121,""),"")</f>
        <v/>
      </c>
      <c r="BG121" s="34">
        <f>IF(AND(BG$5&gt;$E121,BG$5&lt;=$F121),IF(BG$5=$E121+1,$C121,""),"")</f>
        <v/>
      </c>
      <c r="BH121" s="34">
        <f>IF(AND(BH$5&gt;$E121,BH$5&lt;=$F121),IF(BH$5=$E121+1,$C121,""),"")</f>
        <v/>
      </c>
      <c r="BI121" s="34">
        <f>IF(AND(BI$5&gt;$E121,BI$5&lt;=$F121),IF(BI$5=$E121+1,$C121,""),"")</f>
        <v/>
      </c>
      <c r="BJ121" s="34">
        <f>IF(AND(BJ$5&gt;$E121,BJ$5&lt;=$F121),IF(BJ$5=$E121+1,$C121,""),"")</f>
        <v/>
      </c>
      <c r="BK121" s="34">
        <f>IF(AND(BK$5&gt;$E121,BK$5&lt;=$F121),IF(BK$5=$E121+1,$C121,""),"")</f>
        <v/>
      </c>
      <c r="BL121" s="34">
        <f>IF(AND(BL$5&gt;$E121,BL$5&lt;=$F121),IF(BL$5=$E121+1,$C121,""),"")</f>
        <v/>
      </c>
      <c r="BM121" s="34">
        <f>IF(AND(BM$5&gt;$E121,BM$5&lt;=$F121),IF(BM$5=$E121+1,$C121,""),"")</f>
        <v/>
      </c>
      <c r="BN121" s="34">
        <f>IF(AND(BN$5&gt;$E121,BN$5&lt;=$F121),IF(BN$5=$E121+1,$C121,""),"")</f>
        <v/>
      </c>
      <c r="BO121" s="34">
        <f>IF(AND(BO$5&gt;$E121,BO$5&lt;=$F121),IF(BO$5=$E121+1,$C121,""),"")</f>
        <v/>
      </c>
      <c r="BP121" s="34">
        <f>IF(AND(BP$5&gt;$E121,BP$5&lt;=$F121),IF(BP$5=$E121+1,$C121,""),"")</f>
        <v/>
      </c>
      <c r="BQ121" s="34">
        <f>IF(AND(BQ$5&gt;$E121,BQ$5&lt;=$F121),IF(BQ$5=$E121+1,$C121,""),"")</f>
        <v/>
      </c>
      <c r="BR121" s="34">
        <f>IF(AND(BR$5&gt;$E121,BR$5&lt;=$F121),IF(BR$5=$E121+1,$C121,""),"")</f>
        <v/>
      </c>
      <c r="BS121" s="34">
        <f>IF(AND(BS$5&gt;$E121,BS$5&lt;=$F121),IF(BS$5=$E121+1,$C121,""),"")</f>
        <v/>
      </c>
      <c r="BT121" s="34">
        <f>IF(AND(BT$5&gt;$E121,BT$5&lt;=$F121),IF(BT$5=$E121+1,$C121,""),"")</f>
        <v/>
      </c>
      <c r="BU121" s="34">
        <f>IF(AND(BU$5&gt;$E121,BU$5&lt;=$F121),IF(BU$5=$E121+1,$C121,""),"")</f>
        <v/>
      </c>
      <c r="BV121" s="34">
        <f>IF(AND(BV$5&gt;$E121,BV$5&lt;=$F121),IF(BV$5=$E121+1,$C121,""),"")</f>
        <v/>
      </c>
      <c r="BW121" s="34">
        <f>IF(AND(BW$5&gt;$E121,BW$5&lt;=$F121),IF(BW$5=$E121+1,$C121,""),"")</f>
        <v/>
      </c>
      <c r="BX121" s="34">
        <f>IF(AND(BX$5&gt;$E121,BX$5&lt;=$F121),IF(BX$5=$E121+1,$C121,""),"")</f>
        <v/>
      </c>
      <c r="BY121" s="34">
        <f>IF(AND(BY$5&gt;$E121,BY$5&lt;=$F121),IF(BY$5=$E121+1,$C121,""),"")</f>
        <v/>
      </c>
      <c r="BZ121" s="34">
        <f>IF(AND(BZ$5&gt;$E121,BZ$5&lt;=$F121),IF(BZ$5=$E121+1,$C121,""),"")</f>
        <v/>
      </c>
      <c r="CA121" s="34">
        <f>IF(AND(CA$5&gt;$E121,CA$5&lt;=$F121),IF(CA$5=$E121+1,$C121,""),"")</f>
        <v/>
      </c>
      <c r="CB121" s="34">
        <f>IF(AND(CB$5&gt;$E121,CB$5&lt;=$F121),IF(CB$5=$E121+1,$C121,""),"")</f>
        <v/>
      </c>
      <c r="CC121" s="34">
        <f>IF(AND(CC$5&gt;$E121,CC$5&lt;=$F121),IF(CC$5=$E121+1,$C121,""),"")</f>
        <v/>
      </c>
      <c r="CD121" s="34">
        <f>IF(AND(CD$5&gt;$E121,CD$5&lt;=$F121),IF(CD$5=$E121+1,$C121,""),"")</f>
        <v/>
      </c>
      <c r="CE121" s="34">
        <f>IF(AND(CE$5&gt;$E121,CE$5&lt;=$F121),IF(CE$5=$E121+1,$C121,""),"")</f>
        <v/>
      </c>
      <c r="CF121" s="34">
        <f>IF(AND(CF$5&gt;$E121,CF$5&lt;=$F121),IF(CF$5=$E121+1,$C121,""),"")</f>
        <v/>
      </c>
      <c r="CG121" s="34">
        <f>IF(AND(CG$5&gt;$E121,CG$5&lt;=$F121),IF(CG$5=$E121+1,$C121,""),"")</f>
        <v/>
      </c>
      <c r="CH121" s="34">
        <f>IF(AND(CH$5&gt;$E121,CH$5&lt;=$F121),IF(CH$5=$E121+1,$C121,""),"")</f>
        <v/>
      </c>
      <c r="CI121" s="34">
        <f>IF(AND(CI$5&gt;$E121,CI$5&lt;=$F121),IF(CI$5=$E121+1,$C121,""),"")</f>
        <v/>
      </c>
      <c r="CJ121" s="34">
        <f>IF(AND(CJ$5&gt;$E121,CJ$5&lt;=$F121),IF(CJ$5=$E121+1,$C121,""),"")</f>
        <v/>
      </c>
      <c r="CK121" s="34">
        <f>IF(AND(CK$5&gt;$E121,CK$5&lt;=$F121),IF(CK$5=$E121+1,$C121,""),"")</f>
        <v/>
      </c>
      <c r="CL121" s="34">
        <f>IF(AND(CL$5&gt;$E121,CL$5&lt;=$F121),IF(CL$5=$E121+1,$C121,""),"")</f>
        <v/>
      </c>
      <c r="CM121" s="34">
        <f>IF(AND(CM$5&gt;$E121,CM$5&lt;=$F121),IF(CM$5=$E121+1,$C121,""),"")</f>
        <v/>
      </c>
      <c r="CN121" s="34">
        <f>IF(AND(CN$5&gt;$E121,CN$5&lt;=$F121),IF(CN$5=$E121+1,$C121,""),"")</f>
        <v/>
      </c>
      <c r="CO121" s="34">
        <f>IF(AND(CO$5&gt;$E121,CO$5&lt;=$F121),IF(CO$5=$E121+1,$C121,""),"")</f>
        <v/>
      </c>
      <c r="CP121" s="34">
        <f>IF(AND(CP$5&gt;$E121,CP$5&lt;=$F121),IF(CP$5=$E121+1,$C121,""),"")</f>
        <v/>
      </c>
      <c r="CQ121" s="34">
        <f>IF(AND(CQ$5&gt;$E121,CQ$5&lt;=$F121),IF(CQ$5=$E121+1,$C121,""),"")</f>
        <v/>
      </c>
      <c r="CR121" s="34">
        <f>IF(AND(CR$5&gt;$E121,CR$5&lt;=$F121),IF(CR$5=$E121+1,$C121,""),"")</f>
        <v/>
      </c>
      <c r="CS121" s="34">
        <f>IF(AND(CS$5&gt;$E121,CS$5&lt;=$F121),IF(CS$5=$E121+1,$C121,""),"")</f>
        <v/>
      </c>
      <c r="CT121" s="34">
        <f>IF(AND(CT$5&gt;$E121,CT$5&lt;=$F121),IF(CT$5=$E121+1,$C121,""),"")</f>
        <v/>
      </c>
      <c r="CU121" s="34">
        <f>IF(AND(CU$5&gt;$E121,CU$5&lt;=$F121),IF(CU$5=$E121+1,$C121,""),"")</f>
        <v/>
      </c>
      <c r="CV121" s="34">
        <f>IF(AND(CV$5&gt;$E121,CV$5&lt;=$F121),IF(CV$5=$E121+1,$C121,""),"")</f>
        <v/>
      </c>
      <c r="CW121" s="34">
        <f>IF(AND(CW$5&gt;$E121,CW$5&lt;=$F121),IF(CW$5=$E121+1,$C121,""),"")</f>
        <v/>
      </c>
      <c r="CX121" s="34">
        <f>IF(AND(CX$5&gt;$E121,CX$5&lt;=$F121),IF(CX$5=$E121+1,$C121,""),"")</f>
        <v/>
      </c>
      <c r="CY121" s="34">
        <f>IF(AND(CY$5&gt;$E121,CY$5&lt;=$F121),IF(CY$5=$E121+1,$C121,""),"")</f>
        <v/>
      </c>
      <c r="CZ121" s="34">
        <f>IF(AND(CZ$5&gt;$E121,CZ$5&lt;=$F121),IF(CZ$5=$E121+1,$C121,""),"")</f>
        <v/>
      </c>
      <c r="DA121" s="34">
        <f>IF(AND(DA$5&gt;$E121,DA$5&lt;=$F121),IF(DA$5=$E121+1,$C121,""),"")</f>
        <v/>
      </c>
      <c r="DB121" s="34">
        <f>IF(AND(DB$5&gt;$E121,DB$5&lt;=$F121),IF(DB$5=$E121+1,$C121,""),"")</f>
        <v/>
      </c>
      <c r="DC121" s="34">
        <f>IF(AND(DC$5&gt;$E121,DC$5&lt;=$F121),IF(DC$5=$E121+1,$C121,""),"")</f>
        <v/>
      </c>
      <c r="DD121" s="34">
        <f>IF(AND(DD$5&gt;$E121,DD$5&lt;=$F121),IF(DD$5=$E121+1,$C121,""),"")</f>
        <v/>
      </c>
      <c r="DE121" s="34">
        <f>IF(AND(DE$5&gt;$E121,DE$5&lt;=$F121),IF(DE$5=$E121+1,$C121,""),"")</f>
        <v/>
      </c>
      <c r="DF121" s="34">
        <f>IF(AND(DF$5&gt;$E121,DF$5&lt;=$F121),IF(DF$5=$E121+1,$C121,""),"")</f>
        <v/>
      </c>
      <c r="DG121" s="34">
        <f>IF(AND(DG$5&gt;$E121,DG$5&lt;=$F121),IF(DG$5=$E121+1,$C121,""),"")</f>
        <v/>
      </c>
      <c r="DH121" s="34">
        <f>IF(AND(DH$5&gt;$E121,DH$5&lt;=$F121),IF(DH$5=$E121+1,$C121,""),"")</f>
        <v/>
      </c>
      <c r="DI121" s="34">
        <f>IF(AND(DI$5&gt;$E121,DI$5&lt;=$F121),IF(DI$5=$E121+1,$C121,""),"")</f>
        <v/>
      </c>
      <c r="DJ121" s="34">
        <f>IF(AND(DJ$5&gt;$E121,DJ$5&lt;=$F121),IF(DJ$5=$E121+1,$C121,""),"")</f>
        <v/>
      </c>
      <c r="DK121" s="34">
        <f>IF(AND(DK$5&gt;$E121,DK$5&lt;=$F121),IF(DK$5=$E121+1,$C121,""),"")</f>
        <v/>
      </c>
      <c r="DL121" s="34">
        <f>IF(AND(DL$5&gt;$E121,DL$5&lt;=$F121),IF(DL$5=$E121+1,$C121,""),"")</f>
        <v/>
      </c>
      <c r="DM121" s="34">
        <f>IF(AND(DM$5&gt;$E121,DM$5&lt;=$F121),IF(DM$5=$E121+1,$C121,""),"")</f>
        <v/>
      </c>
      <c r="DN121" s="34">
        <f>IF(AND(DN$5&gt;$E121,DN$5&lt;=$F121),IF(DN$5=$E121+1,$C121,""),"")</f>
        <v/>
      </c>
      <c r="DO121" s="34">
        <f>IF(AND(DO$5&gt;$E121,DO$5&lt;=$F121),IF(DO$5=$E121+1,$C121,""),"")</f>
        <v/>
      </c>
      <c r="DP121" s="34">
        <f>IF(AND(DP$5&gt;$E121,DP$5&lt;=$F121),IF(DP$5=$E121+1,$C121,""),"")</f>
        <v/>
      </c>
      <c r="DQ121" s="34">
        <f>IF(AND(DQ$5&gt;$E121,DQ$5&lt;=$F121),IF(DQ$5=$E121+1,$C121,""),"")</f>
        <v/>
      </c>
      <c r="DR121" s="34">
        <f>IF(AND(DR$5&gt;$E121,DR$5&lt;=$F121),IF(DR$5=$E121+1,$C121,""),"")</f>
        <v/>
      </c>
      <c r="DS121" s="34">
        <f>IF(AND(DS$5&gt;$E121,DS$5&lt;=$F121),IF(DS$5=$E121+1,$C121,""),"")</f>
        <v/>
      </c>
      <c r="DT121" s="34">
        <f>IF(AND(DT$5&gt;$E121,DT$5&lt;=$F121),IF(DT$5=$E121+1,$C121,""),"")</f>
        <v/>
      </c>
      <c r="DU121" s="34">
        <f>IF(AND(DU$5&gt;$E121,DU$5&lt;=$F121),IF(DU$5=$E121+1,$C121,""),"")</f>
        <v/>
      </c>
      <c r="DV121" s="34">
        <f>IF(AND(DV$5&gt;$E121,DV$5&lt;=$F121),IF(DV$5=$E121+1,$C121,""),"")</f>
        <v/>
      </c>
      <c r="DW121" s="34">
        <f>IF(AND(DW$5&gt;$E121,DW$5&lt;=$F121),IF(DW$5=$E121+1,$C121,""),"")</f>
        <v/>
      </c>
      <c r="DX121" s="34">
        <f>IF(AND(DX$5&gt;$E121,DX$5&lt;=$F121),IF(DX$5=$E121+1,$C121,""),"")</f>
        <v/>
      </c>
      <c r="DY121" s="34">
        <f>IF(AND(DY$5&gt;$E121,DY$5&lt;=$F121),IF(DY$5=$E121+1,$C121,""),"")</f>
        <v/>
      </c>
      <c r="DZ121" s="34">
        <f>IF(AND(DZ$5&gt;$E121,DZ$5&lt;=$F121),IF(DZ$5=$E121+1,$C121,""),"")</f>
        <v/>
      </c>
      <c r="EA121" s="34">
        <f>IF(AND(EA$5&gt;$E121,EA$5&lt;=$F121),IF(EA$5=$E121+1,$C121,""),"")</f>
        <v/>
      </c>
      <c r="EB121" s="34">
        <f>IF(AND(EB$5&gt;$E121,EB$5&lt;=$F121),IF(EB$5=$E121+1,$C121,""),"")</f>
        <v/>
      </c>
      <c r="EC121" s="34">
        <f>IF(AND(EC$5&gt;$E121,EC$5&lt;=$F121),IF(EC$5=$E121+1,$C121,""),"")</f>
        <v/>
      </c>
      <c r="ED121" s="34">
        <f>IF(AND(ED$5&gt;$E121,ED$5&lt;=$F121),IF(ED$5=$E121+1,$C121,""),"")</f>
        <v/>
      </c>
      <c r="EE121" s="34">
        <f>IF(AND(EE$5&gt;$E121,EE$5&lt;=$F121),IF(EE$5=$E121+1,$C121,""),"")</f>
        <v/>
      </c>
      <c r="EF121" s="34">
        <f>IF(AND(EF$5&gt;$E121,EF$5&lt;=$F121),IF(EF$5=$E121+1,$C121,""),"")</f>
        <v/>
      </c>
      <c r="EG121" s="34">
        <f>IF(AND(EG$5&gt;$E121,EG$5&lt;=$F121),IF(EG$5=$E121+1,$C121,""),"")</f>
        <v/>
      </c>
      <c r="EH121" s="34">
        <f>IF(AND(EH$5&gt;$E121,EH$5&lt;=$F121),IF(EH$5=$E121+1,$C121,""),"")</f>
        <v/>
      </c>
      <c r="EI121" s="34">
        <f>IF(AND(EI$5&gt;$E121,EI$5&lt;=$F121),IF(EI$5=$E121+1,$C121,""),"")</f>
        <v/>
      </c>
      <c r="EJ121" s="34">
        <f>IF(AND(EJ$5&gt;$E121,EJ$5&lt;=$F121),IF(EJ$5=$E121+1,$C121,""),"")</f>
        <v/>
      </c>
      <c r="EK121" s="34">
        <f>IF(AND(EK$5&gt;$E121,EK$5&lt;=$F121),IF(EK$5=$E121+1,$C121,""),"")</f>
        <v/>
      </c>
      <c r="EL121" s="34">
        <f>IF(AND(EL$5&gt;$E121,EL$5&lt;=$F121),IF(EL$5=$E121+1,$C121,""),"")</f>
        <v/>
      </c>
      <c r="EM121" s="34">
        <f>IF(AND(EM$5&gt;$E121,EM$5&lt;=$F121),IF(EM$5=$E121+1,$C121,""),"")</f>
        <v/>
      </c>
      <c r="EN121" s="34">
        <f>IF(AND(EN$5&gt;$E121,EN$5&lt;=$F121),IF(EN$5=$E121+1,$C121,""),"")</f>
        <v/>
      </c>
      <c r="EO121" s="34">
        <f>IF(AND(EO$5&gt;$E121,EO$5&lt;=$F121),IF(EO$5=$E121+1,$C121,""),"")</f>
        <v/>
      </c>
      <c r="EP121" s="34">
        <f>IF(AND(EP$5&gt;$E121,EP$5&lt;=$F121),IF(EP$5=$E121+1,$C121,""),"")</f>
        <v/>
      </c>
      <c r="EQ121" s="34">
        <f>IF(AND(EQ$5&gt;$E121,EQ$5&lt;=$F121),IF(EQ$5=$E121+1,$C121,""),"")</f>
        <v/>
      </c>
    </row>
    <row r="122">
      <c r="A122" s="32">
        <f>Plan!A102</f>
        <v/>
      </c>
      <c r="B122" s="33">
        <f>Plan!C102</f>
        <v/>
      </c>
      <c r="C122" s="16">
        <f>Plan!D102</f>
        <v/>
      </c>
      <c r="D122" s="16">
        <f>Plan!I102</f>
        <v/>
      </c>
      <c r="E122" s="16">
        <f>Plan!K102</f>
        <v/>
      </c>
      <c r="F122" s="16">
        <f>Plan!L102</f>
        <v/>
      </c>
      <c r="G122" s="16">
        <f>Plan!O102</f>
        <v/>
      </c>
      <c r="H122" s="34">
        <f>IF(AND(H$5&gt;$E122,H$5&lt;=$F122),IF(H$5=$E122+1,$C122,""),"")</f>
        <v/>
      </c>
      <c r="I122" s="34">
        <f>IF(AND(I$5&gt;$E122,I$5&lt;=$F122),IF(I$5=$E122+1,$C122,""),"")</f>
        <v/>
      </c>
      <c r="J122" s="34">
        <f>IF(AND(J$5&gt;$E122,J$5&lt;=$F122),IF(J$5=$E122+1,$C122,""),"")</f>
        <v/>
      </c>
      <c r="K122" s="34">
        <f>IF(AND(K$5&gt;$E122,K$5&lt;=$F122),IF(K$5=$E122+1,$C122,""),"")</f>
        <v/>
      </c>
      <c r="L122" s="34">
        <f>IF(AND(L$5&gt;$E122,L$5&lt;=$F122),IF(L$5=$E122+1,$C122,""),"")</f>
        <v/>
      </c>
      <c r="M122" s="34">
        <f>IF(AND(M$5&gt;$E122,M$5&lt;=$F122),IF(M$5=$E122+1,$C122,""),"")</f>
        <v/>
      </c>
      <c r="N122" s="34">
        <f>IF(AND(N$5&gt;$E122,N$5&lt;=$F122),IF(N$5=$E122+1,$C122,""),"")</f>
        <v/>
      </c>
      <c r="O122" s="34">
        <f>IF(AND(O$5&gt;$E122,O$5&lt;=$F122),IF(O$5=$E122+1,$C122,""),"")</f>
        <v/>
      </c>
      <c r="P122" s="34">
        <f>IF(AND(P$5&gt;$E122,P$5&lt;=$F122),IF(P$5=$E122+1,$C122,""),"")</f>
        <v/>
      </c>
      <c r="Q122" s="34">
        <f>IF(AND(Q$5&gt;$E122,Q$5&lt;=$F122),IF(Q$5=$E122+1,$C122,""),"")</f>
        <v/>
      </c>
      <c r="R122" s="34">
        <f>IF(AND(R$5&gt;$E122,R$5&lt;=$F122),IF(R$5=$E122+1,$C122,""),"")</f>
        <v/>
      </c>
      <c r="S122" s="34">
        <f>IF(AND(S$5&gt;$E122,S$5&lt;=$F122),IF(S$5=$E122+1,$C122,""),"")</f>
        <v/>
      </c>
      <c r="T122" s="34">
        <f>IF(AND(T$5&gt;$E122,T$5&lt;=$F122),IF(T$5=$E122+1,$C122,""),"")</f>
        <v/>
      </c>
      <c r="U122" s="34">
        <f>IF(AND(U$5&gt;$E122,U$5&lt;=$F122),IF(U$5=$E122+1,$C122,""),"")</f>
        <v/>
      </c>
      <c r="V122" s="34">
        <f>IF(AND(V$5&gt;$E122,V$5&lt;=$F122),IF(V$5=$E122+1,$C122,""),"")</f>
        <v/>
      </c>
      <c r="W122" s="34">
        <f>IF(AND(W$5&gt;$E122,W$5&lt;=$F122),IF(W$5=$E122+1,$C122,""),"")</f>
        <v/>
      </c>
      <c r="X122" s="34">
        <f>IF(AND(X$5&gt;$E122,X$5&lt;=$F122),IF(X$5=$E122+1,$C122,""),"")</f>
        <v/>
      </c>
      <c r="Y122" s="34">
        <f>IF(AND(Y$5&gt;$E122,Y$5&lt;=$F122),IF(Y$5=$E122+1,$C122,""),"")</f>
        <v/>
      </c>
      <c r="Z122" s="34">
        <f>IF(AND(Z$5&gt;$E122,Z$5&lt;=$F122),IF(Z$5=$E122+1,$C122,""),"")</f>
        <v/>
      </c>
      <c r="AA122" s="34">
        <f>IF(AND(AA$5&gt;$E122,AA$5&lt;=$F122),IF(AA$5=$E122+1,$C122,""),"")</f>
        <v/>
      </c>
      <c r="AB122" s="34">
        <f>IF(AND(AB$5&gt;$E122,AB$5&lt;=$F122),IF(AB$5=$E122+1,$C122,""),"")</f>
        <v/>
      </c>
      <c r="AC122" s="34">
        <f>IF(AND(AC$5&gt;$E122,AC$5&lt;=$F122),IF(AC$5=$E122+1,$C122,""),"")</f>
        <v/>
      </c>
      <c r="AD122" s="34">
        <f>IF(AND(AD$5&gt;$E122,AD$5&lt;=$F122),IF(AD$5=$E122+1,$C122,""),"")</f>
        <v/>
      </c>
      <c r="AE122" s="34">
        <f>IF(AND(AE$5&gt;$E122,AE$5&lt;=$F122),IF(AE$5=$E122+1,$C122,""),"")</f>
        <v/>
      </c>
      <c r="AF122" s="34">
        <f>IF(AND(AF$5&gt;$E122,AF$5&lt;=$F122),IF(AF$5=$E122+1,$C122,""),"")</f>
        <v/>
      </c>
      <c r="AG122" s="34">
        <f>IF(AND(AG$5&gt;$E122,AG$5&lt;=$F122),IF(AG$5=$E122+1,$C122,""),"")</f>
        <v/>
      </c>
      <c r="AH122" s="34">
        <f>IF(AND(AH$5&gt;$E122,AH$5&lt;=$F122),IF(AH$5=$E122+1,$C122,""),"")</f>
        <v/>
      </c>
      <c r="AI122" s="34">
        <f>IF(AND(AI$5&gt;$E122,AI$5&lt;=$F122),IF(AI$5=$E122+1,$C122,""),"")</f>
        <v/>
      </c>
      <c r="AJ122" s="34">
        <f>IF(AND(AJ$5&gt;$E122,AJ$5&lt;=$F122),IF(AJ$5=$E122+1,$C122,""),"")</f>
        <v/>
      </c>
      <c r="AK122" s="34">
        <f>IF(AND(AK$5&gt;$E122,AK$5&lt;=$F122),IF(AK$5=$E122+1,$C122,""),"")</f>
        <v/>
      </c>
      <c r="AL122" s="34">
        <f>IF(AND(AL$5&gt;$E122,AL$5&lt;=$F122),IF(AL$5=$E122+1,$C122,""),"")</f>
        <v/>
      </c>
      <c r="AM122" s="34">
        <f>IF(AND(AM$5&gt;$E122,AM$5&lt;=$F122),IF(AM$5=$E122+1,$C122,""),"")</f>
        <v/>
      </c>
      <c r="AN122" s="34">
        <f>IF(AND(AN$5&gt;$E122,AN$5&lt;=$F122),IF(AN$5=$E122+1,$C122,""),"")</f>
        <v/>
      </c>
      <c r="AO122" s="34">
        <f>IF(AND(AO$5&gt;$E122,AO$5&lt;=$F122),IF(AO$5=$E122+1,$C122,""),"")</f>
        <v/>
      </c>
      <c r="AP122" s="34">
        <f>IF(AND(AP$5&gt;$E122,AP$5&lt;=$F122),IF(AP$5=$E122+1,$C122,""),"")</f>
        <v/>
      </c>
      <c r="AQ122" s="34">
        <f>IF(AND(AQ$5&gt;$E122,AQ$5&lt;=$F122),IF(AQ$5=$E122+1,$C122,""),"")</f>
        <v/>
      </c>
      <c r="AR122" s="34">
        <f>IF(AND(AR$5&gt;$E122,AR$5&lt;=$F122),IF(AR$5=$E122+1,$C122,""),"")</f>
        <v/>
      </c>
      <c r="AS122" s="34">
        <f>IF(AND(AS$5&gt;$E122,AS$5&lt;=$F122),IF(AS$5=$E122+1,$C122,""),"")</f>
        <v/>
      </c>
      <c r="AT122" s="34">
        <f>IF(AND(AT$5&gt;$E122,AT$5&lt;=$F122),IF(AT$5=$E122+1,$C122,""),"")</f>
        <v/>
      </c>
      <c r="AU122" s="34">
        <f>IF(AND(AU$5&gt;$E122,AU$5&lt;=$F122),IF(AU$5=$E122+1,$C122,""),"")</f>
        <v/>
      </c>
      <c r="AV122" s="34">
        <f>IF(AND(AV$5&gt;$E122,AV$5&lt;=$F122),IF(AV$5=$E122+1,$C122,""),"")</f>
        <v/>
      </c>
      <c r="AW122" s="34">
        <f>IF(AND(AW$5&gt;$E122,AW$5&lt;=$F122),IF(AW$5=$E122+1,$C122,""),"")</f>
        <v/>
      </c>
      <c r="AX122" s="34">
        <f>IF(AND(AX$5&gt;$E122,AX$5&lt;=$F122),IF(AX$5=$E122+1,$C122,""),"")</f>
        <v/>
      </c>
      <c r="AY122" s="34">
        <f>IF(AND(AY$5&gt;$E122,AY$5&lt;=$F122),IF(AY$5=$E122+1,$C122,""),"")</f>
        <v/>
      </c>
      <c r="AZ122" s="34">
        <f>IF(AND(AZ$5&gt;$E122,AZ$5&lt;=$F122),IF(AZ$5=$E122+1,$C122,""),"")</f>
        <v/>
      </c>
      <c r="BA122" s="34">
        <f>IF(AND(BA$5&gt;$E122,BA$5&lt;=$F122),IF(BA$5=$E122+1,$C122,""),"")</f>
        <v/>
      </c>
      <c r="BB122" s="34">
        <f>IF(AND(BB$5&gt;$E122,BB$5&lt;=$F122),IF(BB$5=$E122+1,$C122,""),"")</f>
        <v/>
      </c>
      <c r="BC122" s="34">
        <f>IF(AND(BC$5&gt;$E122,BC$5&lt;=$F122),IF(BC$5=$E122+1,$C122,""),"")</f>
        <v/>
      </c>
      <c r="BD122" s="34">
        <f>IF(AND(BD$5&gt;$E122,BD$5&lt;=$F122),IF(BD$5=$E122+1,$C122,""),"")</f>
        <v/>
      </c>
      <c r="BE122" s="34">
        <f>IF(AND(BE$5&gt;$E122,BE$5&lt;=$F122),IF(BE$5=$E122+1,$C122,""),"")</f>
        <v/>
      </c>
      <c r="BF122" s="34">
        <f>IF(AND(BF$5&gt;$E122,BF$5&lt;=$F122),IF(BF$5=$E122+1,$C122,""),"")</f>
        <v/>
      </c>
      <c r="BG122" s="34">
        <f>IF(AND(BG$5&gt;$E122,BG$5&lt;=$F122),IF(BG$5=$E122+1,$C122,""),"")</f>
        <v/>
      </c>
      <c r="BH122" s="34">
        <f>IF(AND(BH$5&gt;$E122,BH$5&lt;=$F122),IF(BH$5=$E122+1,$C122,""),"")</f>
        <v/>
      </c>
      <c r="BI122" s="34">
        <f>IF(AND(BI$5&gt;$E122,BI$5&lt;=$F122),IF(BI$5=$E122+1,$C122,""),"")</f>
        <v/>
      </c>
      <c r="BJ122" s="34">
        <f>IF(AND(BJ$5&gt;$E122,BJ$5&lt;=$F122),IF(BJ$5=$E122+1,$C122,""),"")</f>
        <v/>
      </c>
      <c r="BK122" s="34">
        <f>IF(AND(BK$5&gt;$E122,BK$5&lt;=$F122),IF(BK$5=$E122+1,$C122,""),"")</f>
        <v/>
      </c>
      <c r="BL122" s="34">
        <f>IF(AND(BL$5&gt;$E122,BL$5&lt;=$F122),IF(BL$5=$E122+1,$C122,""),"")</f>
        <v/>
      </c>
      <c r="BM122" s="34">
        <f>IF(AND(BM$5&gt;$E122,BM$5&lt;=$F122),IF(BM$5=$E122+1,$C122,""),"")</f>
        <v/>
      </c>
      <c r="BN122" s="34">
        <f>IF(AND(BN$5&gt;$E122,BN$5&lt;=$F122),IF(BN$5=$E122+1,$C122,""),"")</f>
        <v/>
      </c>
      <c r="BO122" s="34">
        <f>IF(AND(BO$5&gt;$E122,BO$5&lt;=$F122),IF(BO$5=$E122+1,$C122,""),"")</f>
        <v/>
      </c>
      <c r="BP122" s="34">
        <f>IF(AND(BP$5&gt;$E122,BP$5&lt;=$F122),IF(BP$5=$E122+1,$C122,""),"")</f>
        <v/>
      </c>
      <c r="BQ122" s="34">
        <f>IF(AND(BQ$5&gt;$E122,BQ$5&lt;=$F122),IF(BQ$5=$E122+1,$C122,""),"")</f>
        <v/>
      </c>
      <c r="BR122" s="34">
        <f>IF(AND(BR$5&gt;$E122,BR$5&lt;=$F122),IF(BR$5=$E122+1,$C122,""),"")</f>
        <v/>
      </c>
      <c r="BS122" s="34">
        <f>IF(AND(BS$5&gt;$E122,BS$5&lt;=$F122),IF(BS$5=$E122+1,$C122,""),"")</f>
        <v/>
      </c>
      <c r="BT122" s="34">
        <f>IF(AND(BT$5&gt;$E122,BT$5&lt;=$F122),IF(BT$5=$E122+1,$C122,""),"")</f>
        <v/>
      </c>
      <c r="BU122" s="34">
        <f>IF(AND(BU$5&gt;$E122,BU$5&lt;=$F122),IF(BU$5=$E122+1,$C122,""),"")</f>
        <v/>
      </c>
      <c r="BV122" s="34">
        <f>IF(AND(BV$5&gt;$E122,BV$5&lt;=$F122),IF(BV$5=$E122+1,$C122,""),"")</f>
        <v/>
      </c>
      <c r="BW122" s="34">
        <f>IF(AND(BW$5&gt;$E122,BW$5&lt;=$F122),IF(BW$5=$E122+1,$C122,""),"")</f>
        <v/>
      </c>
      <c r="BX122" s="34">
        <f>IF(AND(BX$5&gt;$E122,BX$5&lt;=$F122),IF(BX$5=$E122+1,$C122,""),"")</f>
        <v/>
      </c>
      <c r="BY122" s="34">
        <f>IF(AND(BY$5&gt;$E122,BY$5&lt;=$F122),IF(BY$5=$E122+1,$C122,""),"")</f>
        <v/>
      </c>
      <c r="BZ122" s="34">
        <f>IF(AND(BZ$5&gt;$E122,BZ$5&lt;=$F122),IF(BZ$5=$E122+1,$C122,""),"")</f>
        <v/>
      </c>
      <c r="CA122" s="34">
        <f>IF(AND(CA$5&gt;$E122,CA$5&lt;=$F122),IF(CA$5=$E122+1,$C122,""),"")</f>
        <v/>
      </c>
      <c r="CB122" s="34">
        <f>IF(AND(CB$5&gt;$E122,CB$5&lt;=$F122),IF(CB$5=$E122+1,$C122,""),"")</f>
        <v/>
      </c>
      <c r="CC122" s="34">
        <f>IF(AND(CC$5&gt;$E122,CC$5&lt;=$F122),IF(CC$5=$E122+1,$C122,""),"")</f>
        <v/>
      </c>
      <c r="CD122" s="34">
        <f>IF(AND(CD$5&gt;$E122,CD$5&lt;=$F122),IF(CD$5=$E122+1,$C122,""),"")</f>
        <v/>
      </c>
      <c r="CE122" s="34">
        <f>IF(AND(CE$5&gt;$E122,CE$5&lt;=$F122),IF(CE$5=$E122+1,$C122,""),"")</f>
        <v/>
      </c>
      <c r="CF122" s="34">
        <f>IF(AND(CF$5&gt;$E122,CF$5&lt;=$F122),IF(CF$5=$E122+1,$C122,""),"")</f>
        <v/>
      </c>
      <c r="CG122" s="34">
        <f>IF(AND(CG$5&gt;$E122,CG$5&lt;=$F122),IF(CG$5=$E122+1,$C122,""),"")</f>
        <v/>
      </c>
      <c r="CH122" s="34">
        <f>IF(AND(CH$5&gt;$E122,CH$5&lt;=$F122),IF(CH$5=$E122+1,$C122,""),"")</f>
        <v/>
      </c>
      <c r="CI122" s="34">
        <f>IF(AND(CI$5&gt;$E122,CI$5&lt;=$F122),IF(CI$5=$E122+1,$C122,""),"")</f>
        <v/>
      </c>
      <c r="CJ122" s="34">
        <f>IF(AND(CJ$5&gt;$E122,CJ$5&lt;=$F122),IF(CJ$5=$E122+1,$C122,""),"")</f>
        <v/>
      </c>
      <c r="CK122" s="34">
        <f>IF(AND(CK$5&gt;$E122,CK$5&lt;=$F122),IF(CK$5=$E122+1,$C122,""),"")</f>
        <v/>
      </c>
      <c r="CL122" s="34">
        <f>IF(AND(CL$5&gt;$E122,CL$5&lt;=$F122),IF(CL$5=$E122+1,$C122,""),"")</f>
        <v/>
      </c>
      <c r="CM122" s="34">
        <f>IF(AND(CM$5&gt;$E122,CM$5&lt;=$F122),IF(CM$5=$E122+1,$C122,""),"")</f>
        <v/>
      </c>
      <c r="CN122" s="34">
        <f>IF(AND(CN$5&gt;$E122,CN$5&lt;=$F122),IF(CN$5=$E122+1,$C122,""),"")</f>
        <v/>
      </c>
      <c r="CO122" s="34">
        <f>IF(AND(CO$5&gt;$E122,CO$5&lt;=$F122),IF(CO$5=$E122+1,$C122,""),"")</f>
        <v/>
      </c>
      <c r="CP122" s="34">
        <f>IF(AND(CP$5&gt;$E122,CP$5&lt;=$F122),IF(CP$5=$E122+1,$C122,""),"")</f>
        <v/>
      </c>
      <c r="CQ122" s="34">
        <f>IF(AND(CQ$5&gt;$E122,CQ$5&lt;=$F122),IF(CQ$5=$E122+1,$C122,""),"")</f>
        <v/>
      </c>
      <c r="CR122" s="34">
        <f>IF(AND(CR$5&gt;$E122,CR$5&lt;=$F122),IF(CR$5=$E122+1,$C122,""),"")</f>
        <v/>
      </c>
      <c r="CS122" s="34">
        <f>IF(AND(CS$5&gt;$E122,CS$5&lt;=$F122),IF(CS$5=$E122+1,$C122,""),"")</f>
        <v/>
      </c>
      <c r="CT122" s="34">
        <f>IF(AND(CT$5&gt;$E122,CT$5&lt;=$F122),IF(CT$5=$E122+1,$C122,""),"")</f>
        <v/>
      </c>
      <c r="CU122" s="34">
        <f>IF(AND(CU$5&gt;$E122,CU$5&lt;=$F122),IF(CU$5=$E122+1,$C122,""),"")</f>
        <v/>
      </c>
      <c r="CV122" s="34">
        <f>IF(AND(CV$5&gt;$E122,CV$5&lt;=$F122),IF(CV$5=$E122+1,$C122,""),"")</f>
        <v/>
      </c>
      <c r="CW122" s="34">
        <f>IF(AND(CW$5&gt;$E122,CW$5&lt;=$F122),IF(CW$5=$E122+1,$C122,""),"")</f>
        <v/>
      </c>
      <c r="CX122" s="34">
        <f>IF(AND(CX$5&gt;$E122,CX$5&lt;=$F122),IF(CX$5=$E122+1,$C122,""),"")</f>
        <v/>
      </c>
      <c r="CY122" s="34">
        <f>IF(AND(CY$5&gt;$E122,CY$5&lt;=$F122),IF(CY$5=$E122+1,$C122,""),"")</f>
        <v/>
      </c>
      <c r="CZ122" s="34">
        <f>IF(AND(CZ$5&gt;$E122,CZ$5&lt;=$F122),IF(CZ$5=$E122+1,$C122,""),"")</f>
        <v/>
      </c>
      <c r="DA122" s="34">
        <f>IF(AND(DA$5&gt;$E122,DA$5&lt;=$F122),IF(DA$5=$E122+1,$C122,""),"")</f>
        <v/>
      </c>
      <c r="DB122" s="34">
        <f>IF(AND(DB$5&gt;$E122,DB$5&lt;=$F122),IF(DB$5=$E122+1,$C122,""),"")</f>
        <v/>
      </c>
      <c r="DC122" s="34">
        <f>IF(AND(DC$5&gt;$E122,DC$5&lt;=$F122),IF(DC$5=$E122+1,$C122,""),"")</f>
        <v/>
      </c>
      <c r="DD122" s="34">
        <f>IF(AND(DD$5&gt;$E122,DD$5&lt;=$F122),IF(DD$5=$E122+1,$C122,""),"")</f>
        <v/>
      </c>
      <c r="DE122" s="34">
        <f>IF(AND(DE$5&gt;$E122,DE$5&lt;=$F122),IF(DE$5=$E122+1,$C122,""),"")</f>
        <v/>
      </c>
      <c r="DF122" s="34">
        <f>IF(AND(DF$5&gt;$E122,DF$5&lt;=$F122),IF(DF$5=$E122+1,$C122,""),"")</f>
        <v/>
      </c>
      <c r="DG122" s="34">
        <f>IF(AND(DG$5&gt;$E122,DG$5&lt;=$F122),IF(DG$5=$E122+1,$C122,""),"")</f>
        <v/>
      </c>
      <c r="DH122" s="34">
        <f>IF(AND(DH$5&gt;$E122,DH$5&lt;=$F122),IF(DH$5=$E122+1,$C122,""),"")</f>
        <v/>
      </c>
      <c r="DI122" s="34">
        <f>IF(AND(DI$5&gt;$E122,DI$5&lt;=$F122),IF(DI$5=$E122+1,$C122,""),"")</f>
        <v/>
      </c>
      <c r="DJ122" s="34">
        <f>IF(AND(DJ$5&gt;$E122,DJ$5&lt;=$F122),IF(DJ$5=$E122+1,$C122,""),"")</f>
        <v/>
      </c>
      <c r="DK122" s="34">
        <f>IF(AND(DK$5&gt;$E122,DK$5&lt;=$F122),IF(DK$5=$E122+1,$C122,""),"")</f>
        <v/>
      </c>
      <c r="DL122" s="34">
        <f>IF(AND(DL$5&gt;$E122,DL$5&lt;=$F122),IF(DL$5=$E122+1,$C122,""),"")</f>
        <v/>
      </c>
      <c r="DM122" s="34">
        <f>IF(AND(DM$5&gt;$E122,DM$5&lt;=$F122),IF(DM$5=$E122+1,$C122,""),"")</f>
        <v/>
      </c>
      <c r="DN122" s="34">
        <f>IF(AND(DN$5&gt;$E122,DN$5&lt;=$F122),IF(DN$5=$E122+1,$C122,""),"")</f>
        <v/>
      </c>
      <c r="DO122" s="34">
        <f>IF(AND(DO$5&gt;$E122,DO$5&lt;=$F122),IF(DO$5=$E122+1,$C122,""),"")</f>
        <v/>
      </c>
      <c r="DP122" s="34">
        <f>IF(AND(DP$5&gt;$E122,DP$5&lt;=$F122),IF(DP$5=$E122+1,$C122,""),"")</f>
        <v/>
      </c>
      <c r="DQ122" s="34">
        <f>IF(AND(DQ$5&gt;$E122,DQ$5&lt;=$F122),IF(DQ$5=$E122+1,$C122,""),"")</f>
        <v/>
      </c>
      <c r="DR122" s="34">
        <f>IF(AND(DR$5&gt;$E122,DR$5&lt;=$F122),IF(DR$5=$E122+1,$C122,""),"")</f>
        <v/>
      </c>
      <c r="DS122" s="34">
        <f>IF(AND(DS$5&gt;$E122,DS$5&lt;=$F122),IF(DS$5=$E122+1,$C122,""),"")</f>
        <v/>
      </c>
      <c r="DT122" s="34">
        <f>IF(AND(DT$5&gt;$E122,DT$5&lt;=$F122),IF(DT$5=$E122+1,$C122,""),"")</f>
        <v/>
      </c>
      <c r="DU122" s="34">
        <f>IF(AND(DU$5&gt;$E122,DU$5&lt;=$F122),IF(DU$5=$E122+1,$C122,""),"")</f>
        <v/>
      </c>
      <c r="DV122" s="34">
        <f>IF(AND(DV$5&gt;$E122,DV$5&lt;=$F122),IF(DV$5=$E122+1,$C122,""),"")</f>
        <v/>
      </c>
      <c r="DW122" s="34">
        <f>IF(AND(DW$5&gt;$E122,DW$5&lt;=$F122),IF(DW$5=$E122+1,$C122,""),"")</f>
        <v/>
      </c>
      <c r="DX122" s="34">
        <f>IF(AND(DX$5&gt;$E122,DX$5&lt;=$F122),IF(DX$5=$E122+1,$C122,""),"")</f>
        <v/>
      </c>
      <c r="DY122" s="34">
        <f>IF(AND(DY$5&gt;$E122,DY$5&lt;=$F122),IF(DY$5=$E122+1,$C122,""),"")</f>
        <v/>
      </c>
      <c r="DZ122" s="34">
        <f>IF(AND(DZ$5&gt;$E122,DZ$5&lt;=$F122),IF(DZ$5=$E122+1,$C122,""),"")</f>
        <v/>
      </c>
      <c r="EA122" s="34">
        <f>IF(AND(EA$5&gt;$E122,EA$5&lt;=$F122),IF(EA$5=$E122+1,$C122,""),"")</f>
        <v/>
      </c>
      <c r="EB122" s="34">
        <f>IF(AND(EB$5&gt;$E122,EB$5&lt;=$F122),IF(EB$5=$E122+1,$C122,""),"")</f>
        <v/>
      </c>
      <c r="EC122" s="34">
        <f>IF(AND(EC$5&gt;$E122,EC$5&lt;=$F122),IF(EC$5=$E122+1,$C122,""),"")</f>
        <v/>
      </c>
      <c r="ED122" s="34">
        <f>IF(AND(ED$5&gt;$E122,ED$5&lt;=$F122),IF(ED$5=$E122+1,$C122,""),"")</f>
        <v/>
      </c>
      <c r="EE122" s="34">
        <f>IF(AND(EE$5&gt;$E122,EE$5&lt;=$F122),IF(EE$5=$E122+1,$C122,""),"")</f>
        <v/>
      </c>
      <c r="EF122" s="34">
        <f>IF(AND(EF$5&gt;$E122,EF$5&lt;=$F122),IF(EF$5=$E122+1,$C122,""),"")</f>
        <v/>
      </c>
      <c r="EG122" s="34">
        <f>IF(AND(EG$5&gt;$E122,EG$5&lt;=$F122),IF(EG$5=$E122+1,$C122,""),"")</f>
        <v/>
      </c>
      <c r="EH122" s="34">
        <f>IF(AND(EH$5&gt;$E122,EH$5&lt;=$F122),IF(EH$5=$E122+1,$C122,""),"")</f>
        <v/>
      </c>
      <c r="EI122" s="34">
        <f>IF(AND(EI$5&gt;$E122,EI$5&lt;=$F122),IF(EI$5=$E122+1,$C122,""),"")</f>
        <v/>
      </c>
      <c r="EJ122" s="34">
        <f>IF(AND(EJ$5&gt;$E122,EJ$5&lt;=$F122),IF(EJ$5=$E122+1,$C122,""),"")</f>
        <v/>
      </c>
      <c r="EK122" s="34">
        <f>IF(AND(EK$5&gt;$E122,EK$5&lt;=$F122),IF(EK$5=$E122+1,$C122,""),"")</f>
        <v/>
      </c>
      <c r="EL122" s="34">
        <f>IF(AND(EL$5&gt;$E122,EL$5&lt;=$F122),IF(EL$5=$E122+1,$C122,""),"")</f>
        <v/>
      </c>
      <c r="EM122" s="34">
        <f>IF(AND(EM$5&gt;$E122,EM$5&lt;=$F122),IF(EM$5=$E122+1,$C122,""),"")</f>
        <v/>
      </c>
      <c r="EN122" s="34">
        <f>IF(AND(EN$5&gt;$E122,EN$5&lt;=$F122),IF(EN$5=$E122+1,$C122,""),"")</f>
        <v/>
      </c>
      <c r="EO122" s="34">
        <f>IF(AND(EO$5&gt;$E122,EO$5&lt;=$F122),IF(EO$5=$E122+1,$C122,""),"")</f>
        <v/>
      </c>
      <c r="EP122" s="34">
        <f>IF(AND(EP$5&gt;$E122,EP$5&lt;=$F122),IF(EP$5=$E122+1,$C122,""),"")</f>
        <v/>
      </c>
      <c r="EQ122" s="34">
        <f>IF(AND(EQ$5&gt;$E122,EQ$5&lt;=$F122),IF(EQ$5=$E122+1,$C122,""),"")</f>
        <v/>
      </c>
    </row>
    <row r="123">
      <c r="A123" s="32">
        <f>Plan!A107</f>
        <v/>
      </c>
      <c r="B123" s="33">
        <f>Plan!C107</f>
        <v/>
      </c>
      <c r="C123" s="16">
        <f>Plan!D107</f>
        <v/>
      </c>
      <c r="D123" s="16">
        <f>Plan!I107</f>
        <v/>
      </c>
      <c r="E123" s="16">
        <f>Plan!K107</f>
        <v/>
      </c>
      <c r="F123" s="16">
        <f>Plan!L107</f>
        <v/>
      </c>
      <c r="G123" s="16">
        <f>Plan!O107</f>
        <v/>
      </c>
      <c r="H123" s="34">
        <f>IF(AND(H$5&gt;$E123,H$5&lt;=$F123),IF(H$5=$E123+1,$C123,""),"")</f>
        <v/>
      </c>
      <c r="I123" s="34">
        <f>IF(AND(I$5&gt;$E123,I$5&lt;=$F123),IF(I$5=$E123+1,$C123,""),"")</f>
        <v/>
      </c>
      <c r="J123" s="34">
        <f>IF(AND(J$5&gt;$E123,J$5&lt;=$F123),IF(J$5=$E123+1,$C123,""),"")</f>
        <v/>
      </c>
      <c r="K123" s="34">
        <f>IF(AND(K$5&gt;$E123,K$5&lt;=$F123),IF(K$5=$E123+1,$C123,""),"")</f>
        <v/>
      </c>
      <c r="L123" s="34">
        <f>IF(AND(L$5&gt;$E123,L$5&lt;=$F123),IF(L$5=$E123+1,$C123,""),"")</f>
        <v/>
      </c>
      <c r="M123" s="34">
        <f>IF(AND(M$5&gt;$E123,M$5&lt;=$F123),IF(M$5=$E123+1,$C123,""),"")</f>
        <v/>
      </c>
      <c r="N123" s="34">
        <f>IF(AND(N$5&gt;$E123,N$5&lt;=$F123),IF(N$5=$E123+1,$C123,""),"")</f>
        <v/>
      </c>
      <c r="O123" s="34">
        <f>IF(AND(O$5&gt;$E123,O$5&lt;=$F123),IF(O$5=$E123+1,$C123,""),"")</f>
        <v/>
      </c>
      <c r="P123" s="34">
        <f>IF(AND(P$5&gt;$E123,P$5&lt;=$F123),IF(P$5=$E123+1,$C123,""),"")</f>
        <v/>
      </c>
      <c r="Q123" s="34">
        <f>IF(AND(Q$5&gt;$E123,Q$5&lt;=$F123),IF(Q$5=$E123+1,$C123,""),"")</f>
        <v/>
      </c>
      <c r="R123" s="34">
        <f>IF(AND(R$5&gt;$E123,R$5&lt;=$F123),IF(R$5=$E123+1,$C123,""),"")</f>
        <v/>
      </c>
      <c r="S123" s="34">
        <f>IF(AND(S$5&gt;$E123,S$5&lt;=$F123),IF(S$5=$E123+1,$C123,""),"")</f>
        <v/>
      </c>
      <c r="T123" s="34">
        <f>IF(AND(T$5&gt;$E123,T$5&lt;=$F123),IF(T$5=$E123+1,$C123,""),"")</f>
        <v/>
      </c>
      <c r="U123" s="34">
        <f>IF(AND(U$5&gt;$E123,U$5&lt;=$F123),IF(U$5=$E123+1,$C123,""),"")</f>
        <v/>
      </c>
      <c r="V123" s="34">
        <f>IF(AND(V$5&gt;$E123,V$5&lt;=$F123),IF(V$5=$E123+1,$C123,""),"")</f>
        <v/>
      </c>
      <c r="W123" s="34">
        <f>IF(AND(W$5&gt;$E123,W$5&lt;=$F123),IF(W$5=$E123+1,$C123,""),"")</f>
        <v/>
      </c>
      <c r="X123" s="34">
        <f>IF(AND(X$5&gt;$E123,X$5&lt;=$F123),IF(X$5=$E123+1,$C123,""),"")</f>
        <v/>
      </c>
      <c r="Y123" s="34">
        <f>IF(AND(Y$5&gt;$E123,Y$5&lt;=$F123),IF(Y$5=$E123+1,$C123,""),"")</f>
        <v/>
      </c>
      <c r="Z123" s="34">
        <f>IF(AND(Z$5&gt;$E123,Z$5&lt;=$F123),IF(Z$5=$E123+1,$C123,""),"")</f>
        <v/>
      </c>
      <c r="AA123" s="34">
        <f>IF(AND(AA$5&gt;$E123,AA$5&lt;=$F123),IF(AA$5=$E123+1,$C123,""),"")</f>
        <v/>
      </c>
      <c r="AB123" s="34">
        <f>IF(AND(AB$5&gt;$E123,AB$5&lt;=$F123),IF(AB$5=$E123+1,$C123,""),"")</f>
        <v/>
      </c>
      <c r="AC123" s="34">
        <f>IF(AND(AC$5&gt;$E123,AC$5&lt;=$F123),IF(AC$5=$E123+1,$C123,""),"")</f>
        <v/>
      </c>
      <c r="AD123" s="34">
        <f>IF(AND(AD$5&gt;$E123,AD$5&lt;=$F123),IF(AD$5=$E123+1,$C123,""),"")</f>
        <v/>
      </c>
      <c r="AE123" s="34">
        <f>IF(AND(AE$5&gt;$E123,AE$5&lt;=$F123),IF(AE$5=$E123+1,$C123,""),"")</f>
        <v/>
      </c>
      <c r="AF123" s="34">
        <f>IF(AND(AF$5&gt;$E123,AF$5&lt;=$F123),IF(AF$5=$E123+1,$C123,""),"")</f>
        <v/>
      </c>
      <c r="AG123" s="34">
        <f>IF(AND(AG$5&gt;$E123,AG$5&lt;=$F123),IF(AG$5=$E123+1,$C123,""),"")</f>
        <v/>
      </c>
      <c r="AH123" s="34">
        <f>IF(AND(AH$5&gt;$E123,AH$5&lt;=$F123),IF(AH$5=$E123+1,$C123,""),"")</f>
        <v/>
      </c>
      <c r="AI123" s="34">
        <f>IF(AND(AI$5&gt;$E123,AI$5&lt;=$F123),IF(AI$5=$E123+1,$C123,""),"")</f>
        <v/>
      </c>
      <c r="AJ123" s="34">
        <f>IF(AND(AJ$5&gt;$E123,AJ$5&lt;=$F123),IF(AJ$5=$E123+1,$C123,""),"")</f>
        <v/>
      </c>
      <c r="AK123" s="34">
        <f>IF(AND(AK$5&gt;$E123,AK$5&lt;=$F123),IF(AK$5=$E123+1,$C123,""),"")</f>
        <v/>
      </c>
      <c r="AL123" s="34">
        <f>IF(AND(AL$5&gt;$E123,AL$5&lt;=$F123),IF(AL$5=$E123+1,$C123,""),"")</f>
        <v/>
      </c>
      <c r="AM123" s="34">
        <f>IF(AND(AM$5&gt;$E123,AM$5&lt;=$F123),IF(AM$5=$E123+1,$C123,""),"")</f>
        <v/>
      </c>
      <c r="AN123" s="34">
        <f>IF(AND(AN$5&gt;$E123,AN$5&lt;=$F123),IF(AN$5=$E123+1,$C123,""),"")</f>
        <v/>
      </c>
      <c r="AO123" s="34">
        <f>IF(AND(AO$5&gt;$E123,AO$5&lt;=$F123),IF(AO$5=$E123+1,$C123,""),"")</f>
        <v/>
      </c>
      <c r="AP123" s="34">
        <f>IF(AND(AP$5&gt;$E123,AP$5&lt;=$F123),IF(AP$5=$E123+1,$C123,""),"")</f>
        <v/>
      </c>
      <c r="AQ123" s="34">
        <f>IF(AND(AQ$5&gt;$E123,AQ$5&lt;=$F123),IF(AQ$5=$E123+1,$C123,""),"")</f>
        <v/>
      </c>
      <c r="AR123" s="34">
        <f>IF(AND(AR$5&gt;$E123,AR$5&lt;=$F123),IF(AR$5=$E123+1,$C123,""),"")</f>
        <v/>
      </c>
      <c r="AS123" s="34">
        <f>IF(AND(AS$5&gt;$E123,AS$5&lt;=$F123),IF(AS$5=$E123+1,$C123,""),"")</f>
        <v/>
      </c>
      <c r="AT123" s="34">
        <f>IF(AND(AT$5&gt;$E123,AT$5&lt;=$F123),IF(AT$5=$E123+1,$C123,""),"")</f>
        <v/>
      </c>
      <c r="AU123" s="34">
        <f>IF(AND(AU$5&gt;$E123,AU$5&lt;=$F123),IF(AU$5=$E123+1,$C123,""),"")</f>
        <v/>
      </c>
      <c r="AV123" s="34">
        <f>IF(AND(AV$5&gt;$E123,AV$5&lt;=$F123),IF(AV$5=$E123+1,$C123,""),"")</f>
        <v/>
      </c>
      <c r="AW123" s="34">
        <f>IF(AND(AW$5&gt;$E123,AW$5&lt;=$F123),IF(AW$5=$E123+1,$C123,""),"")</f>
        <v/>
      </c>
      <c r="AX123" s="34">
        <f>IF(AND(AX$5&gt;$E123,AX$5&lt;=$F123),IF(AX$5=$E123+1,$C123,""),"")</f>
        <v/>
      </c>
      <c r="AY123" s="34">
        <f>IF(AND(AY$5&gt;$E123,AY$5&lt;=$F123),IF(AY$5=$E123+1,$C123,""),"")</f>
        <v/>
      </c>
      <c r="AZ123" s="34">
        <f>IF(AND(AZ$5&gt;$E123,AZ$5&lt;=$F123),IF(AZ$5=$E123+1,$C123,""),"")</f>
        <v/>
      </c>
      <c r="BA123" s="34">
        <f>IF(AND(BA$5&gt;$E123,BA$5&lt;=$F123),IF(BA$5=$E123+1,$C123,""),"")</f>
        <v/>
      </c>
      <c r="BB123" s="34">
        <f>IF(AND(BB$5&gt;$E123,BB$5&lt;=$F123),IF(BB$5=$E123+1,$C123,""),"")</f>
        <v/>
      </c>
      <c r="BC123" s="34">
        <f>IF(AND(BC$5&gt;$E123,BC$5&lt;=$F123),IF(BC$5=$E123+1,$C123,""),"")</f>
        <v/>
      </c>
      <c r="BD123" s="34">
        <f>IF(AND(BD$5&gt;$E123,BD$5&lt;=$F123),IF(BD$5=$E123+1,$C123,""),"")</f>
        <v/>
      </c>
      <c r="BE123" s="34">
        <f>IF(AND(BE$5&gt;$E123,BE$5&lt;=$F123),IF(BE$5=$E123+1,$C123,""),"")</f>
        <v/>
      </c>
      <c r="BF123" s="34">
        <f>IF(AND(BF$5&gt;$E123,BF$5&lt;=$F123),IF(BF$5=$E123+1,$C123,""),"")</f>
        <v/>
      </c>
      <c r="BG123" s="34">
        <f>IF(AND(BG$5&gt;$E123,BG$5&lt;=$F123),IF(BG$5=$E123+1,$C123,""),"")</f>
        <v/>
      </c>
      <c r="BH123" s="34">
        <f>IF(AND(BH$5&gt;$E123,BH$5&lt;=$F123),IF(BH$5=$E123+1,$C123,""),"")</f>
        <v/>
      </c>
      <c r="BI123" s="34">
        <f>IF(AND(BI$5&gt;$E123,BI$5&lt;=$F123),IF(BI$5=$E123+1,$C123,""),"")</f>
        <v/>
      </c>
      <c r="BJ123" s="34">
        <f>IF(AND(BJ$5&gt;$E123,BJ$5&lt;=$F123),IF(BJ$5=$E123+1,$C123,""),"")</f>
        <v/>
      </c>
      <c r="BK123" s="34">
        <f>IF(AND(BK$5&gt;$E123,BK$5&lt;=$F123),IF(BK$5=$E123+1,$C123,""),"")</f>
        <v/>
      </c>
      <c r="BL123" s="34">
        <f>IF(AND(BL$5&gt;$E123,BL$5&lt;=$F123),IF(BL$5=$E123+1,$C123,""),"")</f>
        <v/>
      </c>
      <c r="BM123" s="34">
        <f>IF(AND(BM$5&gt;$E123,BM$5&lt;=$F123),IF(BM$5=$E123+1,$C123,""),"")</f>
        <v/>
      </c>
      <c r="BN123" s="34">
        <f>IF(AND(BN$5&gt;$E123,BN$5&lt;=$F123),IF(BN$5=$E123+1,$C123,""),"")</f>
        <v/>
      </c>
      <c r="BO123" s="34">
        <f>IF(AND(BO$5&gt;$E123,BO$5&lt;=$F123),IF(BO$5=$E123+1,$C123,""),"")</f>
        <v/>
      </c>
      <c r="BP123" s="34">
        <f>IF(AND(BP$5&gt;$E123,BP$5&lt;=$F123),IF(BP$5=$E123+1,$C123,""),"")</f>
        <v/>
      </c>
      <c r="BQ123" s="34">
        <f>IF(AND(BQ$5&gt;$E123,BQ$5&lt;=$F123),IF(BQ$5=$E123+1,$C123,""),"")</f>
        <v/>
      </c>
      <c r="BR123" s="34">
        <f>IF(AND(BR$5&gt;$E123,BR$5&lt;=$F123),IF(BR$5=$E123+1,$C123,""),"")</f>
        <v/>
      </c>
      <c r="BS123" s="34">
        <f>IF(AND(BS$5&gt;$E123,BS$5&lt;=$F123),IF(BS$5=$E123+1,$C123,""),"")</f>
        <v/>
      </c>
      <c r="BT123" s="34">
        <f>IF(AND(BT$5&gt;$E123,BT$5&lt;=$F123),IF(BT$5=$E123+1,$C123,""),"")</f>
        <v/>
      </c>
      <c r="BU123" s="34">
        <f>IF(AND(BU$5&gt;$E123,BU$5&lt;=$F123),IF(BU$5=$E123+1,$C123,""),"")</f>
        <v/>
      </c>
      <c r="BV123" s="34">
        <f>IF(AND(BV$5&gt;$E123,BV$5&lt;=$F123),IF(BV$5=$E123+1,$C123,""),"")</f>
        <v/>
      </c>
      <c r="BW123" s="34">
        <f>IF(AND(BW$5&gt;$E123,BW$5&lt;=$F123),IF(BW$5=$E123+1,$C123,""),"")</f>
        <v/>
      </c>
      <c r="BX123" s="34">
        <f>IF(AND(BX$5&gt;$E123,BX$5&lt;=$F123),IF(BX$5=$E123+1,$C123,""),"")</f>
        <v/>
      </c>
      <c r="BY123" s="34">
        <f>IF(AND(BY$5&gt;$E123,BY$5&lt;=$F123),IF(BY$5=$E123+1,$C123,""),"")</f>
        <v/>
      </c>
      <c r="BZ123" s="34">
        <f>IF(AND(BZ$5&gt;$E123,BZ$5&lt;=$F123),IF(BZ$5=$E123+1,$C123,""),"")</f>
        <v/>
      </c>
      <c r="CA123" s="34">
        <f>IF(AND(CA$5&gt;$E123,CA$5&lt;=$F123),IF(CA$5=$E123+1,$C123,""),"")</f>
        <v/>
      </c>
      <c r="CB123" s="34">
        <f>IF(AND(CB$5&gt;$E123,CB$5&lt;=$F123),IF(CB$5=$E123+1,$C123,""),"")</f>
        <v/>
      </c>
      <c r="CC123" s="34">
        <f>IF(AND(CC$5&gt;$E123,CC$5&lt;=$F123),IF(CC$5=$E123+1,$C123,""),"")</f>
        <v/>
      </c>
      <c r="CD123" s="34">
        <f>IF(AND(CD$5&gt;$E123,CD$5&lt;=$F123),IF(CD$5=$E123+1,$C123,""),"")</f>
        <v/>
      </c>
      <c r="CE123" s="34">
        <f>IF(AND(CE$5&gt;$E123,CE$5&lt;=$F123),IF(CE$5=$E123+1,$C123,""),"")</f>
        <v/>
      </c>
      <c r="CF123" s="34">
        <f>IF(AND(CF$5&gt;$E123,CF$5&lt;=$F123),IF(CF$5=$E123+1,$C123,""),"")</f>
        <v/>
      </c>
      <c r="CG123" s="34">
        <f>IF(AND(CG$5&gt;$E123,CG$5&lt;=$F123),IF(CG$5=$E123+1,$C123,""),"")</f>
        <v/>
      </c>
      <c r="CH123" s="34">
        <f>IF(AND(CH$5&gt;$E123,CH$5&lt;=$F123),IF(CH$5=$E123+1,$C123,""),"")</f>
        <v/>
      </c>
      <c r="CI123" s="34">
        <f>IF(AND(CI$5&gt;$E123,CI$5&lt;=$F123),IF(CI$5=$E123+1,$C123,""),"")</f>
        <v/>
      </c>
      <c r="CJ123" s="34">
        <f>IF(AND(CJ$5&gt;$E123,CJ$5&lt;=$F123),IF(CJ$5=$E123+1,$C123,""),"")</f>
        <v/>
      </c>
      <c r="CK123" s="34">
        <f>IF(AND(CK$5&gt;$E123,CK$5&lt;=$F123),IF(CK$5=$E123+1,$C123,""),"")</f>
        <v/>
      </c>
      <c r="CL123" s="34">
        <f>IF(AND(CL$5&gt;$E123,CL$5&lt;=$F123),IF(CL$5=$E123+1,$C123,""),"")</f>
        <v/>
      </c>
      <c r="CM123" s="34">
        <f>IF(AND(CM$5&gt;$E123,CM$5&lt;=$F123),IF(CM$5=$E123+1,$C123,""),"")</f>
        <v/>
      </c>
      <c r="CN123" s="34">
        <f>IF(AND(CN$5&gt;$E123,CN$5&lt;=$F123),IF(CN$5=$E123+1,$C123,""),"")</f>
        <v/>
      </c>
      <c r="CO123" s="34">
        <f>IF(AND(CO$5&gt;$E123,CO$5&lt;=$F123),IF(CO$5=$E123+1,$C123,""),"")</f>
        <v/>
      </c>
      <c r="CP123" s="34">
        <f>IF(AND(CP$5&gt;$E123,CP$5&lt;=$F123),IF(CP$5=$E123+1,$C123,""),"")</f>
        <v/>
      </c>
      <c r="CQ123" s="34">
        <f>IF(AND(CQ$5&gt;$E123,CQ$5&lt;=$F123),IF(CQ$5=$E123+1,$C123,""),"")</f>
        <v/>
      </c>
      <c r="CR123" s="34">
        <f>IF(AND(CR$5&gt;$E123,CR$5&lt;=$F123),IF(CR$5=$E123+1,$C123,""),"")</f>
        <v/>
      </c>
      <c r="CS123" s="34">
        <f>IF(AND(CS$5&gt;$E123,CS$5&lt;=$F123),IF(CS$5=$E123+1,$C123,""),"")</f>
        <v/>
      </c>
      <c r="CT123" s="34">
        <f>IF(AND(CT$5&gt;$E123,CT$5&lt;=$F123),IF(CT$5=$E123+1,$C123,""),"")</f>
        <v/>
      </c>
      <c r="CU123" s="34">
        <f>IF(AND(CU$5&gt;$E123,CU$5&lt;=$F123),IF(CU$5=$E123+1,$C123,""),"")</f>
        <v/>
      </c>
      <c r="CV123" s="34">
        <f>IF(AND(CV$5&gt;$E123,CV$5&lt;=$F123),IF(CV$5=$E123+1,$C123,""),"")</f>
        <v/>
      </c>
      <c r="CW123" s="34">
        <f>IF(AND(CW$5&gt;$E123,CW$5&lt;=$F123),IF(CW$5=$E123+1,$C123,""),"")</f>
        <v/>
      </c>
      <c r="CX123" s="34">
        <f>IF(AND(CX$5&gt;$E123,CX$5&lt;=$F123),IF(CX$5=$E123+1,$C123,""),"")</f>
        <v/>
      </c>
      <c r="CY123" s="34">
        <f>IF(AND(CY$5&gt;$E123,CY$5&lt;=$F123),IF(CY$5=$E123+1,$C123,""),"")</f>
        <v/>
      </c>
      <c r="CZ123" s="34">
        <f>IF(AND(CZ$5&gt;$E123,CZ$5&lt;=$F123),IF(CZ$5=$E123+1,$C123,""),"")</f>
        <v/>
      </c>
      <c r="DA123" s="34">
        <f>IF(AND(DA$5&gt;$E123,DA$5&lt;=$F123),IF(DA$5=$E123+1,$C123,""),"")</f>
        <v/>
      </c>
      <c r="DB123" s="34">
        <f>IF(AND(DB$5&gt;$E123,DB$5&lt;=$F123),IF(DB$5=$E123+1,$C123,""),"")</f>
        <v/>
      </c>
      <c r="DC123" s="34">
        <f>IF(AND(DC$5&gt;$E123,DC$5&lt;=$F123),IF(DC$5=$E123+1,$C123,""),"")</f>
        <v/>
      </c>
      <c r="DD123" s="34">
        <f>IF(AND(DD$5&gt;$E123,DD$5&lt;=$F123),IF(DD$5=$E123+1,$C123,""),"")</f>
        <v/>
      </c>
      <c r="DE123" s="34">
        <f>IF(AND(DE$5&gt;$E123,DE$5&lt;=$F123),IF(DE$5=$E123+1,$C123,""),"")</f>
        <v/>
      </c>
      <c r="DF123" s="34">
        <f>IF(AND(DF$5&gt;$E123,DF$5&lt;=$F123),IF(DF$5=$E123+1,$C123,""),"")</f>
        <v/>
      </c>
      <c r="DG123" s="34">
        <f>IF(AND(DG$5&gt;$E123,DG$5&lt;=$F123),IF(DG$5=$E123+1,$C123,""),"")</f>
        <v/>
      </c>
      <c r="DH123" s="34">
        <f>IF(AND(DH$5&gt;$E123,DH$5&lt;=$F123),IF(DH$5=$E123+1,$C123,""),"")</f>
        <v/>
      </c>
      <c r="DI123" s="34">
        <f>IF(AND(DI$5&gt;$E123,DI$5&lt;=$F123),IF(DI$5=$E123+1,$C123,""),"")</f>
        <v/>
      </c>
      <c r="DJ123" s="34">
        <f>IF(AND(DJ$5&gt;$E123,DJ$5&lt;=$F123),IF(DJ$5=$E123+1,$C123,""),"")</f>
        <v/>
      </c>
      <c r="DK123" s="34">
        <f>IF(AND(DK$5&gt;$E123,DK$5&lt;=$F123),IF(DK$5=$E123+1,$C123,""),"")</f>
        <v/>
      </c>
      <c r="DL123" s="34">
        <f>IF(AND(DL$5&gt;$E123,DL$5&lt;=$F123),IF(DL$5=$E123+1,$C123,""),"")</f>
        <v/>
      </c>
      <c r="DM123" s="34">
        <f>IF(AND(DM$5&gt;$E123,DM$5&lt;=$F123),IF(DM$5=$E123+1,$C123,""),"")</f>
        <v/>
      </c>
      <c r="DN123" s="34">
        <f>IF(AND(DN$5&gt;$E123,DN$5&lt;=$F123),IF(DN$5=$E123+1,$C123,""),"")</f>
        <v/>
      </c>
      <c r="DO123" s="34">
        <f>IF(AND(DO$5&gt;$E123,DO$5&lt;=$F123),IF(DO$5=$E123+1,$C123,""),"")</f>
        <v/>
      </c>
      <c r="DP123" s="34">
        <f>IF(AND(DP$5&gt;$E123,DP$5&lt;=$F123),IF(DP$5=$E123+1,$C123,""),"")</f>
        <v/>
      </c>
      <c r="DQ123" s="34">
        <f>IF(AND(DQ$5&gt;$E123,DQ$5&lt;=$F123),IF(DQ$5=$E123+1,$C123,""),"")</f>
        <v/>
      </c>
      <c r="DR123" s="34">
        <f>IF(AND(DR$5&gt;$E123,DR$5&lt;=$F123),IF(DR$5=$E123+1,$C123,""),"")</f>
        <v/>
      </c>
      <c r="DS123" s="34">
        <f>IF(AND(DS$5&gt;$E123,DS$5&lt;=$F123),IF(DS$5=$E123+1,$C123,""),"")</f>
        <v/>
      </c>
      <c r="DT123" s="34">
        <f>IF(AND(DT$5&gt;$E123,DT$5&lt;=$F123),IF(DT$5=$E123+1,$C123,""),"")</f>
        <v/>
      </c>
      <c r="DU123" s="34">
        <f>IF(AND(DU$5&gt;$E123,DU$5&lt;=$F123),IF(DU$5=$E123+1,$C123,""),"")</f>
        <v/>
      </c>
      <c r="DV123" s="34">
        <f>IF(AND(DV$5&gt;$E123,DV$5&lt;=$F123),IF(DV$5=$E123+1,$C123,""),"")</f>
        <v/>
      </c>
      <c r="DW123" s="34">
        <f>IF(AND(DW$5&gt;$E123,DW$5&lt;=$F123),IF(DW$5=$E123+1,$C123,""),"")</f>
        <v/>
      </c>
      <c r="DX123" s="34">
        <f>IF(AND(DX$5&gt;$E123,DX$5&lt;=$F123),IF(DX$5=$E123+1,$C123,""),"")</f>
        <v/>
      </c>
      <c r="DY123" s="34">
        <f>IF(AND(DY$5&gt;$E123,DY$5&lt;=$F123),IF(DY$5=$E123+1,$C123,""),"")</f>
        <v/>
      </c>
      <c r="DZ123" s="34">
        <f>IF(AND(DZ$5&gt;$E123,DZ$5&lt;=$F123),IF(DZ$5=$E123+1,$C123,""),"")</f>
        <v/>
      </c>
      <c r="EA123" s="34">
        <f>IF(AND(EA$5&gt;$E123,EA$5&lt;=$F123),IF(EA$5=$E123+1,$C123,""),"")</f>
        <v/>
      </c>
      <c r="EB123" s="34">
        <f>IF(AND(EB$5&gt;$E123,EB$5&lt;=$F123),IF(EB$5=$E123+1,$C123,""),"")</f>
        <v/>
      </c>
      <c r="EC123" s="34">
        <f>IF(AND(EC$5&gt;$E123,EC$5&lt;=$F123),IF(EC$5=$E123+1,$C123,""),"")</f>
        <v/>
      </c>
      <c r="ED123" s="34">
        <f>IF(AND(ED$5&gt;$E123,ED$5&lt;=$F123),IF(ED$5=$E123+1,$C123,""),"")</f>
        <v/>
      </c>
      <c r="EE123" s="34">
        <f>IF(AND(EE$5&gt;$E123,EE$5&lt;=$F123),IF(EE$5=$E123+1,$C123,""),"")</f>
        <v/>
      </c>
      <c r="EF123" s="34">
        <f>IF(AND(EF$5&gt;$E123,EF$5&lt;=$F123),IF(EF$5=$E123+1,$C123,""),"")</f>
        <v/>
      </c>
      <c r="EG123" s="34">
        <f>IF(AND(EG$5&gt;$E123,EG$5&lt;=$F123),IF(EG$5=$E123+1,$C123,""),"")</f>
        <v/>
      </c>
      <c r="EH123" s="34">
        <f>IF(AND(EH$5&gt;$E123,EH$5&lt;=$F123),IF(EH$5=$E123+1,$C123,""),"")</f>
        <v/>
      </c>
      <c r="EI123" s="34">
        <f>IF(AND(EI$5&gt;$E123,EI$5&lt;=$F123),IF(EI$5=$E123+1,$C123,""),"")</f>
        <v/>
      </c>
      <c r="EJ123" s="34">
        <f>IF(AND(EJ$5&gt;$E123,EJ$5&lt;=$F123),IF(EJ$5=$E123+1,$C123,""),"")</f>
        <v/>
      </c>
      <c r="EK123" s="34">
        <f>IF(AND(EK$5&gt;$E123,EK$5&lt;=$F123),IF(EK$5=$E123+1,$C123,""),"")</f>
        <v/>
      </c>
      <c r="EL123" s="34">
        <f>IF(AND(EL$5&gt;$E123,EL$5&lt;=$F123),IF(EL$5=$E123+1,$C123,""),"")</f>
        <v/>
      </c>
      <c r="EM123" s="34">
        <f>IF(AND(EM$5&gt;$E123,EM$5&lt;=$F123),IF(EM$5=$E123+1,$C123,""),"")</f>
        <v/>
      </c>
      <c r="EN123" s="34">
        <f>IF(AND(EN$5&gt;$E123,EN$5&lt;=$F123),IF(EN$5=$E123+1,$C123,""),"")</f>
        <v/>
      </c>
      <c r="EO123" s="34">
        <f>IF(AND(EO$5&gt;$E123,EO$5&lt;=$F123),IF(EO$5=$E123+1,$C123,""),"")</f>
        <v/>
      </c>
      <c r="EP123" s="34">
        <f>IF(AND(EP$5&gt;$E123,EP$5&lt;=$F123),IF(EP$5=$E123+1,$C123,""),"")</f>
        <v/>
      </c>
      <c r="EQ123" s="34">
        <f>IF(AND(EQ$5&gt;$E123,EQ$5&lt;=$F123),IF(EQ$5=$E123+1,$C123,""),"")</f>
        <v/>
      </c>
    </row>
    <row r="124">
      <c r="A124" s="32">
        <f>Plan!A108</f>
        <v/>
      </c>
      <c r="B124" s="33">
        <f>Plan!C108</f>
        <v/>
      </c>
      <c r="C124" s="16">
        <f>Plan!D108</f>
        <v/>
      </c>
      <c r="D124" s="16">
        <f>Plan!I108</f>
        <v/>
      </c>
      <c r="E124" s="16">
        <f>Plan!K108</f>
        <v/>
      </c>
      <c r="F124" s="16">
        <f>Plan!L108</f>
        <v/>
      </c>
      <c r="G124" s="16">
        <f>Plan!O108</f>
        <v/>
      </c>
      <c r="H124" s="34">
        <f>IF(AND(H$5&gt;$E124,H$5&lt;=$F124),IF(H$5=$E124+1,$C124,""),"")</f>
        <v/>
      </c>
      <c r="I124" s="34">
        <f>IF(AND(I$5&gt;$E124,I$5&lt;=$F124),IF(I$5=$E124+1,$C124,""),"")</f>
        <v/>
      </c>
      <c r="J124" s="34">
        <f>IF(AND(J$5&gt;$E124,J$5&lt;=$F124),IF(J$5=$E124+1,$C124,""),"")</f>
        <v/>
      </c>
      <c r="K124" s="34">
        <f>IF(AND(K$5&gt;$E124,K$5&lt;=$F124),IF(K$5=$E124+1,$C124,""),"")</f>
        <v/>
      </c>
      <c r="L124" s="34">
        <f>IF(AND(L$5&gt;$E124,L$5&lt;=$F124),IF(L$5=$E124+1,$C124,""),"")</f>
        <v/>
      </c>
      <c r="M124" s="34">
        <f>IF(AND(M$5&gt;$E124,M$5&lt;=$F124),IF(M$5=$E124+1,$C124,""),"")</f>
        <v/>
      </c>
      <c r="N124" s="34">
        <f>IF(AND(N$5&gt;$E124,N$5&lt;=$F124),IF(N$5=$E124+1,$C124,""),"")</f>
        <v/>
      </c>
      <c r="O124" s="34">
        <f>IF(AND(O$5&gt;$E124,O$5&lt;=$F124),IF(O$5=$E124+1,$C124,""),"")</f>
        <v/>
      </c>
      <c r="P124" s="34">
        <f>IF(AND(P$5&gt;$E124,P$5&lt;=$F124),IF(P$5=$E124+1,$C124,""),"")</f>
        <v/>
      </c>
      <c r="Q124" s="34">
        <f>IF(AND(Q$5&gt;$E124,Q$5&lt;=$F124),IF(Q$5=$E124+1,$C124,""),"")</f>
        <v/>
      </c>
      <c r="R124" s="34">
        <f>IF(AND(R$5&gt;$E124,R$5&lt;=$F124),IF(R$5=$E124+1,$C124,""),"")</f>
        <v/>
      </c>
      <c r="S124" s="34">
        <f>IF(AND(S$5&gt;$E124,S$5&lt;=$F124),IF(S$5=$E124+1,$C124,""),"")</f>
        <v/>
      </c>
      <c r="T124" s="34">
        <f>IF(AND(T$5&gt;$E124,T$5&lt;=$F124),IF(T$5=$E124+1,$C124,""),"")</f>
        <v/>
      </c>
      <c r="U124" s="34">
        <f>IF(AND(U$5&gt;$E124,U$5&lt;=$F124),IF(U$5=$E124+1,$C124,""),"")</f>
        <v/>
      </c>
      <c r="V124" s="34">
        <f>IF(AND(V$5&gt;$E124,V$5&lt;=$F124),IF(V$5=$E124+1,$C124,""),"")</f>
        <v/>
      </c>
      <c r="W124" s="34">
        <f>IF(AND(W$5&gt;$E124,W$5&lt;=$F124),IF(W$5=$E124+1,$C124,""),"")</f>
        <v/>
      </c>
      <c r="X124" s="34">
        <f>IF(AND(X$5&gt;$E124,X$5&lt;=$F124),IF(X$5=$E124+1,$C124,""),"")</f>
        <v/>
      </c>
      <c r="Y124" s="34">
        <f>IF(AND(Y$5&gt;$E124,Y$5&lt;=$F124),IF(Y$5=$E124+1,$C124,""),"")</f>
        <v/>
      </c>
      <c r="Z124" s="34">
        <f>IF(AND(Z$5&gt;$E124,Z$5&lt;=$F124),IF(Z$5=$E124+1,$C124,""),"")</f>
        <v/>
      </c>
      <c r="AA124" s="34">
        <f>IF(AND(AA$5&gt;$E124,AA$5&lt;=$F124),IF(AA$5=$E124+1,$C124,""),"")</f>
        <v/>
      </c>
      <c r="AB124" s="34">
        <f>IF(AND(AB$5&gt;$E124,AB$5&lt;=$F124),IF(AB$5=$E124+1,$C124,""),"")</f>
        <v/>
      </c>
      <c r="AC124" s="34">
        <f>IF(AND(AC$5&gt;$E124,AC$5&lt;=$F124),IF(AC$5=$E124+1,$C124,""),"")</f>
        <v/>
      </c>
      <c r="AD124" s="34">
        <f>IF(AND(AD$5&gt;$E124,AD$5&lt;=$F124),IF(AD$5=$E124+1,$C124,""),"")</f>
        <v/>
      </c>
      <c r="AE124" s="34">
        <f>IF(AND(AE$5&gt;$E124,AE$5&lt;=$F124),IF(AE$5=$E124+1,$C124,""),"")</f>
        <v/>
      </c>
      <c r="AF124" s="34">
        <f>IF(AND(AF$5&gt;$E124,AF$5&lt;=$F124),IF(AF$5=$E124+1,$C124,""),"")</f>
        <v/>
      </c>
      <c r="AG124" s="34">
        <f>IF(AND(AG$5&gt;$E124,AG$5&lt;=$F124),IF(AG$5=$E124+1,$C124,""),"")</f>
        <v/>
      </c>
      <c r="AH124" s="34">
        <f>IF(AND(AH$5&gt;$E124,AH$5&lt;=$F124),IF(AH$5=$E124+1,$C124,""),"")</f>
        <v/>
      </c>
      <c r="AI124" s="34">
        <f>IF(AND(AI$5&gt;$E124,AI$5&lt;=$F124),IF(AI$5=$E124+1,$C124,""),"")</f>
        <v/>
      </c>
      <c r="AJ124" s="34">
        <f>IF(AND(AJ$5&gt;$E124,AJ$5&lt;=$F124),IF(AJ$5=$E124+1,$C124,""),"")</f>
        <v/>
      </c>
      <c r="AK124" s="34">
        <f>IF(AND(AK$5&gt;$E124,AK$5&lt;=$F124),IF(AK$5=$E124+1,$C124,""),"")</f>
        <v/>
      </c>
      <c r="AL124" s="34">
        <f>IF(AND(AL$5&gt;$E124,AL$5&lt;=$F124),IF(AL$5=$E124+1,$C124,""),"")</f>
        <v/>
      </c>
      <c r="AM124" s="34">
        <f>IF(AND(AM$5&gt;$E124,AM$5&lt;=$F124),IF(AM$5=$E124+1,$C124,""),"")</f>
        <v/>
      </c>
      <c r="AN124" s="34">
        <f>IF(AND(AN$5&gt;$E124,AN$5&lt;=$F124),IF(AN$5=$E124+1,$C124,""),"")</f>
        <v/>
      </c>
      <c r="AO124" s="34">
        <f>IF(AND(AO$5&gt;$E124,AO$5&lt;=$F124),IF(AO$5=$E124+1,$C124,""),"")</f>
        <v/>
      </c>
      <c r="AP124" s="34">
        <f>IF(AND(AP$5&gt;$E124,AP$5&lt;=$F124),IF(AP$5=$E124+1,$C124,""),"")</f>
        <v/>
      </c>
      <c r="AQ124" s="34">
        <f>IF(AND(AQ$5&gt;$E124,AQ$5&lt;=$F124),IF(AQ$5=$E124+1,$C124,""),"")</f>
        <v/>
      </c>
      <c r="AR124" s="34">
        <f>IF(AND(AR$5&gt;$E124,AR$5&lt;=$F124),IF(AR$5=$E124+1,$C124,""),"")</f>
        <v/>
      </c>
      <c r="AS124" s="34">
        <f>IF(AND(AS$5&gt;$E124,AS$5&lt;=$F124),IF(AS$5=$E124+1,$C124,""),"")</f>
        <v/>
      </c>
      <c r="AT124" s="34">
        <f>IF(AND(AT$5&gt;$E124,AT$5&lt;=$F124),IF(AT$5=$E124+1,$C124,""),"")</f>
        <v/>
      </c>
      <c r="AU124" s="34">
        <f>IF(AND(AU$5&gt;$E124,AU$5&lt;=$F124),IF(AU$5=$E124+1,$C124,""),"")</f>
        <v/>
      </c>
      <c r="AV124" s="34">
        <f>IF(AND(AV$5&gt;$E124,AV$5&lt;=$F124),IF(AV$5=$E124+1,$C124,""),"")</f>
        <v/>
      </c>
      <c r="AW124" s="34">
        <f>IF(AND(AW$5&gt;$E124,AW$5&lt;=$F124),IF(AW$5=$E124+1,$C124,""),"")</f>
        <v/>
      </c>
      <c r="AX124" s="34">
        <f>IF(AND(AX$5&gt;$E124,AX$5&lt;=$F124),IF(AX$5=$E124+1,$C124,""),"")</f>
        <v/>
      </c>
      <c r="AY124" s="34">
        <f>IF(AND(AY$5&gt;$E124,AY$5&lt;=$F124),IF(AY$5=$E124+1,$C124,""),"")</f>
        <v/>
      </c>
      <c r="AZ124" s="34">
        <f>IF(AND(AZ$5&gt;$E124,AZ$5&lt;=$F124),IF(AZ$5=$E124+1,$C124,""),"")</f>
        <v/>
      </c>
      <c r="BA124" s="34">
        <f>IF(AND(BA$5&gt;$E124,BA$5&lt;=$F124),IF(BA$5=$E124+1,$C124,""),"")</f>
        <v/>
      </c>
      <c r="BB124" s="34">
        <f>IF(AND(BB$5&gt;$E124,BB$5&lt;=$F124),IF(BB$5=$E124+1,$C124,""),"")</f>
        <v/>
      </c>
      <c r="BC124" s="34">
        <f>IF(AND(BC$5&gt;$E124,BC$5&lt;=$F124),IF(BC$5=$E124+1,$C124,""),"")</f>
        <v/>
      </c>
      <c r="BD124" s="34">
        <f>IF(AND(BD$5&gt;$E124,BD$5&lt;=$F124),IF(BD$5=$E124+1,$C124,""),"")</f>
        <v/>
      </c>
      <c r="BE124" s="34">
        <f>IF(AND(BE$5&gt;$E124,BE$5&lt;=$F124),IF(BE$5=$E124+1,$C124,""),"")</f>
        <v/>
      </c>
      <c r="BF124" s="34">
        <f>IF(AND(BF$5&gt;$E124,BF$5&lt;=$F124),IF(BF$5=$E124+1,$C124,""),"")</f>
        <v/>
      </c>
      <c r="BG124" s="34">
        <f>IF(AND(BG$5&gt;$E124,BG$5&lt;=$F124),IF(BG$5=$E124+1,$C124,""),"")</f>
        <v/>
      </c>
      <c r="BH124" s="34">
        <f>IF(AND(BH$5&gt;$E124,BH$5&lt;=$F124),IF(BH$5=$E124+1,$C124,""),"")</f>
        <v/>
      </c>
      <c r="BI124" s="34">
        <f>IF(AND(BI$5&gt;$E124,BI$5&lt;=$F124),IF(BI$5=$E124+1,$C124,""),"")</f>
        <v/>
      </c>
      <c r="BJ124" s="34">
        <f>IF(AND(BJ$5&gt;$E124,BJ$5&lt;=$F124),IF(BJ$5=$E124+1,$C124,""),"")</f>
        <v/>
      </c>
      <c r="BK124" s="34">
        <f>IF(AND(BK$5&gt;$E124,BK$5&lt;=$F124),IF(BK$5=$E124+1,$C124,""),"")</f>
        <v/>
      </c>
      <c r="BL124" s="34">
        <f>IF(AND(BL$5&gt;$E124,BL$5&lt;=$F124),IF(BL$5=$E124+1,$C124,""),"")</f>
        <v/>
      </c>
      <c r="BM124" s="34">
        <f>IF(AND(BM$5&gt;$E124,BM$5&lt;=$F124),IF(BM$5=$E124+1,$C124,""),"")</f>
        <v/>
      </c>
      <c r="BN124" s="34">
        <f>IF(AND(BN$5&gt;$E124,BN$5&lt;=$F124),IF(BN$5=$E124+1,$C124,""),"")</f>
        <v/>
      </c>
      <c r="BO124" s="34">
        <f>IF(AND(BO$5&gt;$E124,BO$5&lt;=$F124),IF(BO$5=$E124+1,$C124,""),"")</f>
        <v/>
      </c>
      <c r="BP124" s="34">
        <f>IF(AND(BP$5&gt;$E124,BP$5&lt;=$F124),IF(BP$5=$E124+1,$C124,""),"")</f>
        <v/>
      </c>
      <c r="BQ124" s="34">
        <f>IF(AND(BQ$5&gt;$E124,BQ$5&lt;=$F124),IF(BQ$5=$E124+1,$C124,""),"")</f>
        <v/>
      </c>
      <c r="BR124" s="34">
        <f>IF(AND(BR$5&gt;$E124,BR$5&lt;=$F124),IF(BR$5=$E124+1,$C124,""),"")</f>
        <v/>
      </c>
      <c r="BS124" s="34">
        <f>IF(AND(BS$5&gt;$E124,BS$5&lt;=$F124),IF(BS$5=$E124+1,$C124,""),"")</f>
        <v/>
      </c>
      <c r="BT124" s="34">
        <f>IF(AND(BT$5&gt;$E124,BT$5&lt;=$F124),IF(BT$5=$E124+1,$C124,""),"")</f>
        <v/>
      </c>
      <c r="BU124" s="34">
        <f>IF(AND(BU$5&gt;$E124,BU$5&lt;=$F124),IF(BU$5=$E124+1,$C124,""),"")</f>
        <v/>
      </c>
      <c r="BV124" s="34">
        <f>IF(AND(BV$5&gt;$E124,BV$5&lt;=$F124),IF(BV$5=$E124+1,$C124,""),"")</f>
        <v/>
      </c>
      <c r="BW124" s="34">
        <f>IF(AND(BW$5&gt;$E124,BW$5&lt;=$F124),IF(BW$5=$E124+1,$C124,""),"")</f>
        <v/>
      </c>
      <c r="BX124" s="34">
        <f>IF(AND(BX$5&gt;$E124,BX$5&lt;=$F124),IF(BX$5=$E124+1,$C124,""),"")</f>
        <v/>
      </c>
      <c r="BY124" s="34">
        <f>IF(AND(BY$5&gt;$E124,BY$5&lt;=$F124),IF(BY$5=$E124+1,$C124,""),"")</f>
        <v/>
      </c>
      <c r="BZ124" s="34">
        <f>IF(AND(BZ$5&gt;$E124,BZ$5&lt;=$F124),IF(BZ$5=$E124+1,$C124,""),"")</f>
        <v/>
      </c>
      <c r="CA124" s="34">
        <f>IF(AND(CA$5&gt;$E124,CA$5&lt;=$F124),IF(CA$5=$E124+1,$C124,""),"")</f>
        <v/>
      </c>
      <c r="CB124" s="34">
        <f>IF(AND(CB$5&gt;$E124,CB$5&lt;=$F124),IF(CB$5=$E124+1,$C124,""),"")</f>
        <v/>
      </c>
      <c r="CC124" s="34">
        <f>IF(AND(CC$5&gt;$E124,CC$5&lt;=$F124),IF(CC$5=$E124+1,$C124,""),"")</f>
        <v/>
      </c>
      <c r="CD124" s="34">
        <f>IF(AND(CD$5&gt;$E124,CD$5&lt;=$F124),IF(CD$5=$E124+1,$C124,""),"")</f>
        <v/>
      </c>
      <c r="CE124" s="34">
        <f>IF(AND(CE$5&gt;$E124,CE$5&lt;=$F124),IF(CE$5=$E124+1,$C124,""),"")</f>
        <v/>
      </c>
      <c r="CF124" s="34">
        <f>IF(AND(CF$5&gt;$E124,CF$5&lt;=$F124),IF(CF$5=$E124+1,$C124,""),"")</f>
        <v/>
      </c>
      <c r="CG124" s="34">
        <f>IF(AND(CG$5&gt;$E124,CG$5&lt;=$F124),IF(CG$5=$E124+1,$C124,""),"")</f>
        <v/>
      </c>
      <c r="CH124" s="34">
        <f>IF(AND(CH$5&gt;$E124,CH$5&lt;=$F124),IF(CH$5=$E124+1,$C124,""),"")</f>
        <v/>
      </c>
      <c r="CI124" s="34">
        <f>IF(AND(CI$5&gt;$E124,CI$5&lt;=$F124),IF(CI$5=$E124+1,$C124,""),"")</f>
        <v/>
      </c>
      <c r="CJ124" s="34">
        <f>IF(AND(CJ$5&gt;$E124,CJ$5&lt;=$F124),IF(CJ$5=$E124+1,$C124,""),"")</f>
        <v/>
      </c>
      <c r="CK124" s="34">
        <f>IF(AND(CK$5&gt;$E124,CK$5&lt;=$F124),IF(CK$5=$E124+1,$C124,""),"")</f>
        <v/>
      </c>
      <c r="CL124" s="34">
        <f>IF(AND(CL$5&gt;$E124,CL$5&lt;=$F124),IF(CL$5=$E124+1,$C124,""),"")</f>
        <v/>
      </c>
      <c r="CM124" s="34">
        <f>IF(AND(CM$5&gt;$E124,CM$5&lt;=$F124),IF(CM$5=$E124+1,$C124,""),"")</f>
        <v/>
      </c>
      <c r="CN124" s="34">
        <f>IF(AND(CN$5&gt;$E124,CN$5&lt;=$F124),IF(CN$5=$E124+1,$C124,""),"")</f>
        <v/>
      </c>
      <c r="CO124" s="34">
        <f>IF(AND(CO$5&gt;$E124,CO$5&lt;=$F124),IF(CO$5=$E124+1,$C124,""),"")</f>
        <v/>
      </c>
      <c r="CP124" s="34">
        <f>IF(AND(CP$5&gt;$E124,CP$5&lt;=$F124),IF(CP$5=$E124+1,$C124,""),"")</f>
        <v/>
      </c>
      <c r="CQ124" s="34">
        <f>IF(AND(CQ$5&gt;$E124,CQ$5&lt;=$F124),IF(CQ$5=$E124+1,$C124,""),"")</f>
        <v/>
      </c>
      <c r="CR124" s="34">
        <f>IF(AND(CR$5&gt;$E124,CR$5&lt;=$F124),IF(CR$5=$E124+1,$C124,""),"")</f>
        <v/>
      </c>
      <c r="CS124" s="34">
        <f>IF(AND(CS$5&gt;$E124,CS$5&lt;=$F124),IF(CS$5=$E124+1,$C124,""),"")</f>
        <v/>
      </c>
      <c r="CT124" s="34">
        <f>IF(AND(CT$5&gt;$E124,CT$5&lt;=$F124),IF(CT$5=$E124+1,$C124,""),"")</f>
        <v/>
      </c>
      <c r="CU124" s="34">
        <f>IF(AND(CU$5&gt;$E124,CU$5&lt;=$F124),IF(CU$5=$E124+1,$C124,""),"")</f>
        <v/>
      </c>
      <c r="CV124" s="34">
        <f>IF(AND(CV$5&gt;$E124,CV$5&lt;=$F124),IF(CV$5=$E124+1,$C124,""),"")</f>
        <v/>
      </c>
      <c r="CW124" s="34">
        <f>IF(AND(CW$5&gt;$E124,CW$5&lt;=$F124),IF(CW$5=$E124+1,$C124,""),"")</f>
        <v/>
      </c>
      <c r="CX124" s="34">
        <f>IF(AND(CX$5&gt;$E124,CX$5&lt;=$F124),IF(CX$5=$E124+1,$C124,""),"")</f>
        <v/>
      </c>
      <c r="CY124" s="34">
        <f>IF(AND(CY$5&gt;$E124,CY$5&lt;=$F124),IF(CY$5=$E124+1,$C124,""),"")</f>
        <v/>
      </c>
      <c r="CZ124" s="34">
        <f>IF(AND(CZ$5&gt;$E124,CZ$5&lt;=$F124),IF(CZ$5=$E124+1,$C124,""),"")</f>
        <v/>
      </c>
      <c r="DA124" s="34">
        <f>IF(AND(DA$5&gt;$E124,DA$5&lt;=$F124),IF(DA$5=$E124+1,$C124,""),"")</f>
        <v/>
      </c>
      <c r="DB124" s="34">
        <f>IF(AND(DB$5&gt;$E124,DB$5&lt;=$F124),IF(DB$5=$E124+1,$C124,""),"")</f>
        <v/>
      </c>
      <c r="DC124" s="34">
        <f>IF(AND(DC$5&gt;$E124,DC$5&lt;=$F124),IF(DC$5=$E124+1,$C124,""),"")</f>
        <v/>
      </c>
      <c r="DD124" s="34">
        <f>IF(AND(DD$5&gt;$E124,DD$5&lt;=$F124),IF(DD$5=$E124+1,$C124,""),"")</f>
        <v/>
      </c>
      <c r="DE124" s="34">
        <f>IF(AND(DE$5&gt;$E124,DE$5&lt;=$F124),IF(DE$5=$E124+1,$C124,""),"")</f>
        <v/>
      </c>
      <c r="DF124" s="34">
        <f>IF(AND(DF$5&gt;$E124,DF$5&lt;=$F124),IF(DF$5=$E124+1,$C124,""),"")</f>
        <v/>
      </c>
      <c r="DG124" s="34">
        <f>IF(AND(DG$5&gt;$E124,DG$5&lt;=$F124),IF(DG$5=$E124+1,$C124,""),"")</f>
        <v/>
      </c>
      <c r="DH124" s="34">
        <f>IF(AND(DH$5&gt;$E124,DH$5&lt;=$F124),IF(DH$5=$E124+1,$C124,""),"")</f>
        <v/>
      </c>
      <c r="DI124" s="34">
        <f>IF(AND(DI$5&gt;$E124,DI$5&lt;=$F124),IF(DI$5=$E124+1,$C124,""),"")</f>
        <v/>
      </c>
      <c r="DJ124" s="34">
        <f>IF(AND(DJ$5&gt;$E124,DJ$5&lt;=$F124),IF(DJ$5=$E124+1,$C124,""),"")</f>
        <v/>
      </c>
      <c r="DK124" s="34">
        <f>IF(AND(DK$5&gt;$E124,DK$5&lt;=$F124),IF(DK$5=$E124+1,$C124,""),"")</f>
        <v/>
      </c>
      <c r="DL124" s="34">
        <f>IF(AND(DL$5&gt;$E124,DL$5&lt;=$F124),IF(DL$5=$E124+1,$C124,""),"")</f>
        <v/>
      </c>
      <c r="DM124" s="34">
        <f>IF(AND(DM$5&gt;$E124,DM$5&lt;=$F124),IF(DM$5=$E124+1,$C124,""),"")</f>
        <v/>
      </c>
      <c r="DN124" s="34">
        <f>IF(AND(DN$5&gt;$E124,DN$5&lt;=$F124),IF(DN$5=$E124+1,$C124,""),"")</f>
        <v/>
      </c>
      <c r="DO124" s="34">
        <f>IF(AND(DO$5&gt;$E124,DO$5&lt;=$F124),IF(DO$5=$E124+1,$C124,""),"")</f>
        <v/>
      </c>
      <c r="DP124" s="34">
        <f>IF(AND(DP$5&gt;$E124,DP$5&lt;=$F124),IF(DP$5=$E124+1,$C124,""),"")</f>
        <v/>
      </c>
      <c r="DQ124" s="34">
        <f>IF(AND(DQ$5&gt;$E124,DQ$5&lt;=$F124),IF(DQ$5=$E124+1,$C124,""),"")</f>
        <v/>
      </c>
      <c r="DR124" s="34">
        <f>IF(AND(DR$5&gt;$E124,DR$5&lt;=$F124),IF(DR$5=$E124+1,$C124,""),"")</f>
        <v/>
      </c>
      <c r="DS124" s="34">
        <f>IF(AND(DS$5&gt;$E124,DS$5&lt;=$F124),IF(DS$5=$E124+1,$C124,""),"")</f>
        <v/>
      </c>
      <c r="DT124" s="34">
        <f>IF(AND(DT$5&gt;$E124,DT$5&lt;=$F124),IF(DT$5=$E124+1,$C124,""),"")</f>
        <v/>
      </c>
      <c r="DU124" s="34">
        <f>IF(AND(DU$5&gt;$E124,DU$5&lt;=$F124),IF(DU$5=$E124+1,$C124,""),"")</f>
        <v/>
      </c>
      <c r="DV124" s="34">
        <f>IF(AND(DV$5&gt;$E124,DV$5&lt;=$F124),IF(DV$5=$E124+1,$C124,""),"")</f>
        <v/>
      </c>
      <c r="DW124" s="34">
        <f>IF(AND(DW$5&gt;$E124,DW$5&lt;=$F124),IF(DW$5=$E124+1,$C124,""),"")</f>
        <v/>
      </c>
      <c r="DX124" s="34">
        <f>IF(AND(DX$5&gt;$E124,DX$5&lt;=$F124),IF(DX$5=$E124+1,$C124,""),"")</f>
        <v/>
      </c>
      <c r="DY124" s="34">
        <f>IF(AND(DY$5&gt;$E124,DY$5&lt;=$F124),IF(DY$5=$E124+1,$C124,""),"")</f>
        <v/>
      </c>
      <c r="DZ124" s="34">
        <f>IF(AND(DZ$5&gt;$E124,DZ$5&lt;=$F124),IF(DZ$5=$E124+1,$C124,""),"")</f>
        <v/>
      </c>
      <c r="EA124" s="34">
        <f>IF(AND(EA$5&gt;$E124,EA$5&lt;=$F124),IF(EA$5=$E124+1,$C124,""),"")</f>
        <v/>
      </c>
      <c r="EB124" s="34">
        <f>IF(AND(EB$5&gt;$E124,EB$5&lt;=$F124),IF(EB$5=$E124+1,$C124,""),"")</f>
        <v/>
      </c>
      <c r="EC124" s="34">
        <f>IF(AND(EC$5&gt;$E124,EC$5&lt;=$F124),IF(EC$5=$E124+1,$C124,""),"")</f>
        <v/>
      </c>
      <c r="ED124" s="34">
        <f>IF(AND(ED$5&gt;$E124,ED$5&lt;=$F124),IF(ED$5=$E124+1,$C124,""),"")</f>
        <v/>
      </c>
      <c r="EE124" s="34">
        <f>IF(AND(EE$5&gt;$E124,EE$5&lt;=$F124),IF(EE$5=$E124+1,$C124,""),"")</f>
        <v/>
      </c>
      <c r="EF124" s="34">
        <f>IF(AND(EF$5&gt;$E124,EF$5&lt;=$F124),IF(EF$5=$E124+1,$C124,""),"")</f>
        <v/>
      </c>
      <c r="EG124" s="34">
        <f>IF(AND(EG$5&gt;$E124,EG$5&lt;=$F124),IF(EG$5=$E124+1,$C124,""),"")</f>
        <v/>
      </c>
      <c r="EH124" s="34">
        <f>IF(AND(EH$5&gt;$E124,EH$5&lt;=$F124),IF(EH$5=$E124+1,$C124,""),"")</f>
        <v/>
      </c>
      <c r="EI124" s="34">
        <f>IF(AND(EI$5&gt;$E124,EI$5&lt;=$F124),IF(EI$5=$E124+1,$C124,""),"")</f>
        <v/>
      </c>
      <c r="EJ124" s="34">
        <f>IF(AND(EJ$5&gt;$E124,EJ$5&lt;=$F124),IF(EJ$5=$E124+1,$C124,""),"")</f>
        <v/>
      </c>
      <c r="EK124" s="34">
        <f>IF(AND(EK$5&gt;$E124,EK$5&lt;=$F124),IF(EK$5=$E124+1,$C124,""),"")</f>
        <v/>
      </c>
      <c r="EL124" s="34">
        <f>IF(AND(EL$5&gt;$E124,EL$5&lt;=$F124),IF(EL$5=$E124+1,$C124,""),"")</f>
        <v/>
      </c>
      <c r="EM124" s="34">
        <f>IF(AND(EM$5&gt;$E124,EM$5&lt;=$F124),IF(EM$5=$E124+1,$C124,""),"")</f>
        <v/>
      </c>
      <c r="EN124" s="34">
        <f>IF(AND(EN$5&gt;$E124,EN$5&lt;=$F124),IF(EN$5=$E124+1,$C124,""),"")</f>
        <v/>
      </c>
      <c r="EO124" s="34">
        <f>IF(AND(EO$5&gt;$E124,EO$5&lt;=$F124),IF(EO$5=$E124+1,$C124,""),"")</f>
        <v/>
      </c>
      <c r="EP124" s="34">
        <f>IF(AND(EP$5&gt;$E124,EP$5&lt;=$F124),IF(EP$5=$E124+1,$C124,""),"")</f>
        <v/>
      </c>
      <c r="EQ124" s="34">
        <f>IF(AND(EQ$5&gt;$E124,EQ$5&lt;=$F124),IF(EQ$5=$E124+1,$C124,""),"")</f>
        <v/>
      </c>
    </row>
    <row r="125">
      <c r="A125" s="32">
        <f>Plan!A109</f>
        <v/>
      </c>
      <c r="B125" s="33">
        <f>Plan!C109</f>
        <v/>
      </c>
      <c r="C125" s="16">
        <f>Plan!D109</f>
        <v/>
      </c>
      <c r="D125" s="16">
        <f>Plan!I109</f>
        <v/>
      </c>
      <c r="E125" s="16">
        <f>Plan!K109</f>
        <v/>
      </c>
      <c r="F125" s="16">
        <f>Plan!L109</f>
        <v/>
      </c>
      <c r="G125" s="16">
        <f>Plan!O109</f>
        <v/>
      </c>
      <c r="H125" s="34">
        <f>IF(AND(H$5&gt;$E125,H$5&lt;=$F125),IF(H$5=$E125+1,$C125,""),"")</f>
        <v/>
      </c>
      <c r="I125" s="34">
        <f>IF(AND(I$5&gt;$E125,I$5&lt;=$F125),IF(I$5=$E125+1,$C125,""),"")</f>
        <v/>
      </c>
      <c r="J125" s="34">
        <f>IF(AND(J$5&gt;$E125,J$5&lt;=$F125),IF(J$5=$E125+1,$C125,""),"")</f>
        <v/>
      </c>
      <c r="K125" s="34">
        <f>IF(AND(K$5&gt;$E125,K$5&lt;=$F125),IF(K$5=$E125+1,$C125,""),"")</f>
        <v/>
      </c>
      <c r="L125" s="34">
        <f>IF(AND(L$5&gt;$E125,L$5&lt;=$F125),IF(L$5=$E125+1,$C125,""),"")</f>
        <v/>
      </c>
      <c r="M125" s="34">
        <f>IF(AND(M$5&gt;$E125,M$5&lt;=$F125),IF(M$5=$E125+1,$C125,""),"")</f>
        <v/>
      </c>
      <c r="N125" s="34">
        <f>IF(AND(N$5&gt;$E125,N$5&lt;=$F125),IF(N$5=$E125+1,$C125,""),"")</f>
        <v/>
      </c>
      <c r="O125" s="34">
        <f>IF(AND(O$5&gt;$E125,O$5&lt;=$F125),IF(O$5=$E125+1,$C125,""),"")</f>
        <v/>
      </c>
      <c r="P125" s="34">
        <f>IF(AND(P$5&gt;$E125,P$5&lt;=$F125),IF(P$5=$E125+1,$C125,""),"")</f>
        <v/>
      </c>
      <c r="Q125" s="34">
        <f>IF(AND(Q$5&gt;$E125,Q$5&lt;=$F125),IF(Q$5=$E125+1,$C125,""),"")</f>
        <v/>
      </c>
      <c r="R125" s="34">
        <f>IF(AND(R$5&gt;$E125,R$5&lt;=$F125),IF(R$5=$E125+1,$C125,""),"")</f>
        <v/>
      </c>
      <c r="S125" s="34">
        <f>IF(AND(S$5&gt;$E125,S$5&lt;=$F125),IF(S$5=$E125+1,$C125,""),"")</f>
        <v/>
      </c>
      <c r="T125" s="34">
        <f>IF(AND(T$5&gt;$E125,T$5&lt;=$F125),IF(T$5=$E125+1,$C125,""),"")</f>
        <v/>
      </c>
      <c r="U125" s="34">
        <f>IF(AND(U$5&gt;$E125,U$5&lt;=$F125),IF(U$5=$E125+1,$C125,""),"")</f>
        <v/>
      </c>
      <c r="V125" s="34">
        <f>IF(AND(V$5&gt;$E125,V$5&lt;=$F125),IF(V$5=$E125+1,$C125,""),"")</f>
        <v/>
      </c>
      <c r="W125" s="34">
        <f>IF(AND(W$5&gt;$E125,W$5&lt;=$F125),IF(W$5=$E125+1,$C125,""),"")</f>
        <v/>
      </c>
      <c r="X125" s="34">
        <f>IF(AND(X$5&gt;$E125,X$5&lt;=$F125),IF(X$5=$E125+1,$C125,""),"")</f>
        <v/>
      </c>
      <c r="Y125" s="34">
        <f>IF(AND(Y$5&gt;$E125,Y$5&lt;=$F125),IF(Y$5=$E125+1,$C125,""),"")</f>
        <v/>
      </c>
      <c r="Z125" s="34">
        <f>IF(AND(Z$5&gt;$E125,Z$5&lt;=$F125),IF(Z$5=$E125+1,$C125,""),"")</f>
        <v/>
      </c>
      <c r="AA125" s="34">
        <f>IF(AND(AA$5&gt;$E125,AA$5&lt;=$F125),IF(AA$5=$E125+1,$C125,""),"")</f>
        <v/>
      </c>
      <c r="AB125" s="34">
        <f>IF(AND(AB$5&gt;$E125,AB$5&lt;=$F125),IF(AB$5=$E125+1,$C125,""),"")</f>
        <v/>
      </c>
      <c r="AC125" s="34">
        <f>IF(AND(AC$5&gt;$E125,AC$5&lt;=$F125),IF(AC$5=$E125+1,$C125,""),"")</f>
        <v/>
      </c>
      <c r="AD125" s="34">
        <f>IF(AND(AD$5&gt;$E125,AD$5&lt;=$F125),IF(AD$5=$E125+1,$C125,""),"")</f>
        <v/>
      </c>
      <c r="AE125" s="34">
        <f>IF(AND(AE$5&gt;$E125,AE$5&lt;=$F125),IF(AE$5=$E125+1,$C125,""),"")</f>
        <v/>
      </c>
      <c r="AF125" s="34">
        <f>IF(AND(AF$5&gt;$E125,AF$5&lt;=$F125),IF(AF$5=$E125+1,$C125,""),"")</f>
        <v/>
      </c>
      <c r="AG125" s="34">
        <f>IF(AND(AG$5&gt;$E125,AG$5&lt;=$F125),IF(AG$5=$E125+1,$C125,""),"")</f>
        <v/>
      </c>
      <c r="AH125" s="34">
        <f>IF(AND(AH$5&gt;$E125,AH$5&lt;=$F125),IF(AH$5=$E125+1,$C125,""),"")</f>
        <v/>
      </c>
      <c r="AI125" s="34">
        <f>IF(AND(AI$5&gt;$E125,AI$5&lt;=$F125),IF(AI$5=$E125+1,$C125,""),"")</f>
        <v/>
      </c>
      <c r="AJ125" s="34">
        <f>IF(AND(AJ$5&gt;$E125,AJ$5&lt;=$F125),IF(AJ$5=$E125+1,$C125,""),"")</f>
        <v/>
      </c>
      <c r="AK125" s="34">
        <f>IF(AND(AK$5&gt;$E125,AK$5&lt;=$F125),IF(AK$5=$E125+1,$C125,""),"")</f>
        <v/>
      </c>
      <c r="AL125" s="34">
        <f>IF(AND(AL$5&gt;$E125,AL$5&lt;=$F125),IF(AL$5=$E125+1,$C125,""),"")</f>
        <v/>
      </c>
      <c r="AM125" s="34">
        <f>IF(AND(AM$5&gt;$E125,AM$5&lt;=$F125),IF(AM$5=$E125+1,$C125,""),"")</f>
        <v/>
      </c>
      <c r="AN125" s="34">
        <f>IF(AND(AN$5&gt;$E125,AN$5&lt;=$F125),IF(AN$5=$E125+1,$C125,""),"")</f>
        <v/>
      </c>
      <c r="AO125" s="34">
        <f>IF(AND(AO$5&gt;$E125,AO$5&lt;=$F125),IF(AO$5=$E125+1,$C125,""),"")</f>
        <v/>
      </c>
      <c r="AP125" s="34">
        <f>IF(AND(AP$5&gt;$E125,AP$5&lt;=$F125),IF(AP$5=$E125+1,$C125,""),"")</f>
        <v/>
      </c>
      <c r="AQ125" s="34">
        <f>IF(AND(AQ$5&gt;$E125,AQ$5&lt;=$F125),IF(AQ$5=$E125+1,$C125,""),"")</f>
        <v/>
      </c>
      <c r="AR125" s="34">
        <f>IF(AND(AR$5&gt;$E125,AR$5&lt;=$F125),IF(AR$5=$E125+1,$C125,""),"")</f>
        <v/>
      </c>
      <c r="AS125" s="34">
        <f>IF(AND(AS$5&gt;$E125,AS$5&lt;=$F125),IF(AS$5=$E125+1,$C125,""),"")</f>
        <v/>
      </c>
      <c r="AT125" s="34">
        <f>IF(AND(AT$5&gt;$E125,AT$5&lt;=$F125),IF(AT$5=$E125+1,$C125,""),"")</f>
        <v/>
      </c>
      <c r="AU125" s="34">
        <f>IF(AND(AU$5&gt;$E125,AU$5&lt;=$F125),IF(AU$5=$E125+1,$C125,""),"")</f>
        <v/>
      </c>
      <c r="AV125" s="34">
        <f>IF(AND(AV$5&gt;$E125,AV$5&lt;=$F125),IF(AV$5=$E125+1,$C125,""),"")</f>
        <v/>
      </c>
      <c r="AW125" s="34">
        <f>IF(AND(AW$5&gt;$E125,AW$5&lt;=$F125),IF(AW$5=$E125+1,$C125,""),"")</f>
        <v/>
      </c>
      <c r="AX125" s="34">
        <f>IF(AND(AX$5&gt;$E125,AX$5&lt;=$F125),IF(AX$5=$E125+1,$C125,""),"")</f>
        <v/>
      </c>
      <c r="AY125" s="34">
        <f>IF(AND(AY$5&gt;$E125,AY$5&lt;=$F125),IF(AY$5=$E125+1,$C125,""),"")</f>
        <v/>
      </c>
      <c r="AZ125" s="34">
        <f>IF(AND(AZ$5&gt;$E125,AZ$5&lt;=$F125),IF(AZ$5=$E125+1,$C125,""),"")</f>
        <v/>
      </c>
      <c r="BA125" s="34">
        <f>IF(AND(BA$5&gt;$E125,BA$5&lt;=$F125),IF(BA$5=$E125+1,$C125,""),"")</f>
        <v/>
      </c>
      <c r="BB125" s="34">
        <f>IF(AND(BB$5&gt;$E125,BB$5&lt;=$F125),IF(BB$5=$E125+1,$C125,""),"")</f>
        <v/>
      </c>
      <c r="BC125" s="34">
        <f>IF(AND(BC$5&gt;$E125,BC$5&lt;=$F125),IF(BC$5=$E125+1,$C125,""),"")</f>
        <v/>
      </c>
      <c r="BD125" s="34">
        <f>IF(AND(BD$5&gt;$E125,BD$5&lt;=$F125),IF(BD$5=$E125+1,$C125,""),"")</f>
        <v/>
      </c>
      <c r="BE125" s="34">
        <f>IF(AND(BE$5&gt;$E125,BE$5&lt;=$F125),IF(BE$5=$E125+1,$C125,""),"")</f>
        <v/>
      </c>
      <c r="BF125" s="34">
        <f>IF(AND(BF$5&gt;$E125,BF$5&lt;=$F125),IF(BF$5=$E125+1,$C125,""),"")</f>
        <v/>
      </c>
      <c r="BG125" s="34">
        <f>IF(AND(BG$5&gt;$E125,BG$5&lt;=$F125),IF(BG$5=$E125+1,$C125,""),"")</f>
        <v/>
      </c>
      <c r="BH125" s="34">
        <f>IF(AND(BH$5&gt;$E125,BH$5&lt;=$F125),IF(BH$5=$E125+1,$C125,""),"")</f>
        <v/>
      </c>
      <c r="BI125" s="34">
        <f>IF(AND(BI$5&gt;$E125,BI$5&lt;=$F125),IF(BI$5=$E125+1,$C125,""),"")</f>
        <v/>
      </c>
      <c r="BJ125" s="34">
        <f>IF(AND(BJ$5&gt;$E125,BJ$5&lt;=$F125),IF(BJ$5=$E125+1,$C125,""),"")</f>
        <v/>
      </c>
      <c r="BK125" s="34">
        <f>IF(AND(BK$5&gt;$E125,BK$5&lt;=$F125),IF(BK$5=$E125+1,$C125,""),"")</f>
        <v/>
      </c>
      <c r="BL125" s="34">
        <f>IF(AND(BL$5&gt;$E125,BL$5&lt;=$F125),IF(BL$5=$E125+1,$C125,""),"")</f>
        <v/>
      </c>
      <c r="BM125" s="34">
        <f>IF(AND(BM$5&gt;$E125,BM$5&lt;=$F125),IF(BM$5=$E125+1,$C125,""),"")</f>
        <v/>
      </c>
      <c r="BN125" s="34">
        <f>IF(AND(BN$5&gt;$E125,BN$5&lt;=$F125),IF(BN$5=$E125+1,$C125,""),"")</f>
        <v/>
      </c>
      <c r="BO125" s="34">
        <f>IF(AND(BO$5&gt;$E125,BO$5&lt;=$F125),IF(BO$5=$E125+1,$C125,""),"")</f>
        <v/>
      </c>
      <c r="BP125" s="34">
        <f>IF(AND(BP$5&gt;$E125,BP$5&lt;=$F125),IF(BP$5=$E125+1,$C125,""),"")</f>
        <v/>
      </c>
      <c r="BQ125" s="34">
        <f>IF(AND(BQ$5&gt;$E125,BQ$5&lt;=$F125),IF(BQ$5=$E125+1,$C125,""),"")</f>
        <v/>
      </c>
      <c r="BR125" s="34">
        <f>IF(AND(BR$5&gt;$E125,BR$5&lt;=$F125),IF(BR$5=$E125+1,$C125,""),"")</f>
        <v/>
      </c>
      <c r="BS125" s="34">
        <f>IF(AND(BS$5&gt;$E125,BS$5&lt;=$F125),IF(BS$5=$E125+1,$C125,""),"")</f>
        <v/>
      </c>
      <c r="BT125" s="34">
        <f>IF(AND(BT$5&gt;$E125,BT$5&lt;=$F125),IF(BT$5=$E125+1,$C125,""),"")</f>
        <v/>
      </c>
      <c r="BU125" s="34">
        <f>IF(AND(BU$5&gt;$E125,BU$5&lt;=$F125),IF(BU$5=$E125+1,$C125,""),"")</f>
        <v/>
      </c>
      <c r="BV125" s="34">
        <f>IF(AND(BV$5&gt;$E125,BV$5&lt;=$F125),IF(BV$5=$E125+1,$C125,""),"")</f>
        <v/>
      </c>
      <c r="BW125" s="34">
        <f>IF(AND(BW$5&gt;$E125,BW$5&lt;=$F125),IF(BW$5=$E125+1,$C125,""),"")</f>
        <v/>
      </c>
      <c r="BX125" s="34">
        <f>IF(AND(BX$5&gt;$E125,BX$5&lt;=$F125),IF(BX$5=$E125+1,$C125,""),"")</f>
        <v/>
      </c>
      <c r="BY125" s="34">
        <f>IF(AND(BY$5&gt;$E125,BY$5&lt;=$F125),IF(BY$5=$E125+1,$C125,""),"")</f>
        <v/>
      </c>
      <c r="BZ125" s="34">
        <f>IF(AND(BZ$5&gt;$E125,BZ$5&lt;=$F125),IF(BZ$5=$E125+1,$C125,""),"")</f>
        <v/>
      </c>
      <c r="CA125" s="34">
        <f>IF(AND(CA$5&gt;$E125,CA$5&lt;=$F125),IF(CA$5=$E125+1,$C125,""),"")</f>
        <v/>
      </c>
      <c r="CB125" s="34">
        <f>IF(AND(CB$5&gt;$E125,CB$5&lt;=$F125),IF(CB$5=$E125+1,$C125,""),"")</f>
        <v/>
      </c>
      <c r="CC125" s="34">
        <f>IF(AND(CC$5&gt;$E125,CC$5&lt;=$F125),IF(CC$5=$E125+1,$C125,""),"")</f>
        <v/>
      </c>
      <c r="CD125" s="34">
        <f>IF(AND(CD$5&gt;$E125,CD$5&lt;=$F125),IF(CD$5=$E125+1,$C125,""),"")</f>
        <v/>
      </c>
      <c r="CE125" s="34">
        <f>IF(AND(CE$5&gt;$E125,CE$5&lt;=$F125),IF(CE$5=$E125+1,$C125,""),"")</f>
        <v/>
      </c>
      <c r="CF125" s="34">
        <f>IF(AND(CF$5&gt;$E125,CF$5&lt;=$F125),IF(CF$5=$E125+1,$C125,""),"")</f>
        <v/>
      </c>
      <c r="CG125" s="34">
        <f>IF(AND(CG$5&gt;$E125,CG$5&lt;=$F125),IF(CG$5=$E125+1,$C125,""),"")</f>
        <v/>
      </c>
      <c r="CH125" s="34">
        <f>IF(AND(CH$5&gt;$E125,CH$5&lt;=$F125),IF(CH$5=$E125+1,$C125,""),"")</f>
        <v/>
      </c>
      <c r="CI125" s="34">
        <f>IF(AND(CI$5&gt;$E125,CI$5&lt;=$F125),IF(CI$5=$E125+1,$C125,""),"")</f>
        <v/>
      </c>
      <c r="CJ125" s="34">
        <f>IF(AND(CJ$5&gt;$E125,CJ$5&lt;=$F125),IF(CJ$5=$E125+1,$C125,""),"")</f>
        <v/>
      </c>
      <c r="CK125" s="34">
        <f>IF(AND(CK$5&gt;$E125,CK$5&lt;=$F125),IF(CK$5=$E125+1,$C125,""),"")</f>
        <v/>
      </c>
      <c r="CL125" s="34">
        <f>IF(AND(CL$5&gt;$E125,CL$5&lt;=$F125),IF(CL$5=$E125+1,$C125,""),"")</f>
        <v/>
      </c>
      <c r="CM125" s="34">
        <f>IF(AND(CM$5&gt;$E125,CM$5&lt;=$F125),IF(CM$5=$E125+1,$C125,""),"")</f>
        <v/>
      </c>
      <c r="CN125" s="34">
        <f>IF(AND(CN$5&gt;$E125,CN$5&lt;=$F125),IF(CN$5=$E125+1,$C125,""),"")</f>
        <v/>
      </c>
      <c r="CO125" s="34">
        <f>IF(AND(CO$5&gt;$E125,CO$5&lt;=$F125),IF(CO$5=$E125+1,$C125,""),"")</f>
        <v/>
      </c>
      <c r="CP125" s="34">
        <f>IF(AND(CP$5&gt;$E125,CP$5&lt;=$F125),IF(CP$5=$E125+1,$C125,""),"")</f>
        <v/>
      </c>
      <c r="CQ125" s="34">
        <f>IF(AND(CQ$5&gt;$E125,CQ$5&lt;=$F125),IF(CQ$5=$E125+1,$C125,""),"")</f>
        <v/>
      </c>
      <c r="CR125" s="34">
        <f>IF(AND(CR$5&gt;$E125,CR$5&lt;=$F125),IF(CR$5=$E125+1,$C125,""),"")</f>
        <v/>
      </c>
      <c r="CS125" s="34">
        <f>IF(AND(CS$5&gt;$E125,CS$5&lt;=$F125),IF(CS$5=$E125+1,$C125,""),"")</f>
        <v/>
      </c>
      <c r="CT125" s="34">
        <f>IF(AND(CT$5&gt;$E125,CT$5&lt;=$F125),IF(CT$5=$E125+1,$C125,""),"")</f>
        <v/>
      </c>
      <c r="CU125" s="34">
        <f>IF(AND(CU$5&gt;$E125,CU$5&lt;=$F125),IF(CU$5=$E125+1,$C125,""),"")</f>
        <v/>
      </c>
      <c r="CV125" s="34">
        <f>IF(AND(CV$5&gt;$E125,CV$5&lt;=$F125),IF(CV$5=$E125+1,$C125,""),"")</f>
        <v/>
      </c>
      <c r="CW125" s="34">
        <f>IF(AND(CW$5&gt;$E125,CW$5&lt;=$F125),IF(CW$5=$E125+1,$C125,""),"")</f>
        <v/>
      </c>
      <c r="CX125" s="34">
        <f>IF(AND(CX$5&gt;$E125,CX$5&lt;=$F125),IF(CX$5=$E125+1,$C125,""),"")</f>
        <v/>
      </c>
      <c r="CY125" s="34">
        <f>IF(AND(CY$5&gt;$E125,CY$5&lt;=$F125),IF(CY$5=$E125+1,$C125,""),"")</f>
        <v/>
      </c>
      <c r="CZ125" s="34">
        <f>IF(AND(CZ$5&gt;$E125,CZ$5&lt;=$F125),IF(CZ$5=$E125+1,$C125,""),"")</f>
        <v/>
      </c>
      <c r="DA125" s="34">
        <f>IF(AND(DA$5&gt;$E125,DA$5&lt;=$F125),IF(DA$5=$E125+1,$C125,""),"")</f>
        <v/>
      </c>
      <c r="DB125" s="34">
        <f>IF(AND(DB$5&gt;$E125,DB$5&lt;=$F125),IF(DB$5=$E125+1,$C125,""),"")</f>
        <v/>
      </c>
      <c r="DC125" s="34">
        <f>IF(AND(DC$5&gt;$E125,DC$5&lt;=$F125),IF(DC$5=$E125+1,$C125,""),"")</f>
        <v/>
      </c>
      <c r="DD125" s="34">
        <f>IF(AND(DD$5&gt;$E125,DD$5&lt;=$F125),IF(DD$5=$E125+1,$C125,""),"")</f>
        <v/>
      </c>
      <c r="DE125" s="34">
        <f>IF(AND(DE$5&gt;$E125,DE$5&lt;=$F125),IF(DE$5=$E125+1,$C125,""),"")</f>
        <v/>
      </c>
      <c r="DF125" s="34">
        <f>IF(AND(DF$5&gt;$E125,DF$5&lt;=$F125),IF(DF$5=$E125+1,$C125,""),"")</f>
        <v/>
      </c>
      <c r="DG125" s="34">
        <f>IF(AND(DG$5&gt;$E125,DG$5&lt;=$F125),IF(DG$5=$E125+1,$C125,""),"")</f>
        <v/>
      </c>
      <c r="DH125" s="34">
        <f>IF(AND(DH$5&gt;$E125,DH$5&lt;=$F125),IF(DH$5=$E125+1,$C125,""),"")</f>
        <v/>
      </c>
      <c r="DI125" s="34">
        <f>IF(AND(DI$5&gt;$E125,DI$5&lt;=$F125),IF(DI$5=$E125+1,$C125,""),"")</f>
        <v/>
      </c>
      <c r="DJ125" s="34">
        <f>IF(AND(DJ$5&gt;$E125,DJ$5&lt;=$F125),IF(DJ$5=$E125+1,$C125,""),"")</f>
        <v/>
      </c>
      <c r="DK125" s="34">
        <f>IF(AND(DK$5&gt;$E125,DK$5&lt;=$F125),IF(DK$5=$E125+1,$C125,""),"")</f>
        <v/>
      </c>
      <c r="DL125" s="34">
        <f>IF(AND(DL$5&gt;$E125,DL$5&lt;=$F125),IF(DL$5=$E125+1,$C125,""),"")</f>
        <v/>
      </c>
      <c r="DM125" s="34">
        <f>IF(AND(DM$5&gt;$E125,DM$5&lt;=$F125),IF(DM$5=$E125+1,$C125,""),"")</f>
        <v/>
      </c>
      <c r="DN125" s="34">
        <f>IF(AND(DN$5&gt;$E125,DN$5&lt;=$F125),IF(DN$5=$E125+1,$C125,""),"")</f>
        <v/>
      </c>
      <c r="DO125" s="34">
        <f>IF(AND(DO$5&gt;$E125,DO$5&lt;=$F125),IF(DO$5=$E125+1,$C125,""),"")</f>
        <v/>
      </c>
      <c r="DP125" s="34">
        <f>IF(AND(DP$5&gt;$E125,DP$5&lt;=$F125),IF(DP$5=$E125+1,$C125,""),"")</f>
        <v/>
      </c>
      <c r="DQ125" s="34">
        <f>IF(AND(DQ$5&gt;$E125,DQ$5&lt;=$F125),IF(DQ$5=$E125+1,$C125,""),"")</f>
        <v/>
      </c>
      <c r="DR125" s="34">
        <f>IF(AND(DR$5&gt;$E125,DR$5&lt;=$F125),IF(DR$5=$E125+1,$C125,""),"")</f>
        <v/>
      </c>
      <c r="DS125" s="34">
        <f>IF(AND(DS$5&gt;$E125,DS$5&lt;=$F125),IF(DS$5=$E125+1,$C125,""),"")</f>
        <v/>
      </c>
      <c r="DT125" s="34">
        <f>IF(AND(DT$5&gt;$E125,DT$5&lt;=$F125),IF(DT$5=$E125+1,$C125,""),"")</f>
        <v/>
      </c>
      <c r="DU125" s="34">
        <f>IF(AND(DU$5&gt;$E125,DU$5&lt;=$F125),IF(DU$5=$E125+1,$C125,""),"")</f>
        <v/>
      </c>
      <c r="DV125" s="34">
        <f>IF(AND(DV$5&gt;$E125,DV$5&lt;=$F125),IF(DV$5=$E125+1,$C125,""),"")</f>
        <v/>
      </c>
      <c r="DW125" s="34">
        <f>IF(AND(DW$5&gt;$E125,DW$5&lt;=$F125),IF(DW$5=$E125+1,$C125,""),"")</f>
        <v/>
      </c>
      <c r="DX125" s="34">
        <f>IF(AND(DX$5&gt;$E125,DX$5&lt;=$F125),IF(DX$5=$E125+1,$C125,""),"")</f>
        <v/>
      </c>
      <c r="DY125" s="34">
        <f>IF(AND(DY$5&gt;$E125,DY$5&lt;=$F125),IF(DY$5=$E125+1,$C125,""),"")</f>
        <v/>
      </c>
      <c r="DZ125" s="34">
        <f>IF(AND(DZ$5&gt;$E125,DZ$5&lt;=$F125),IF(DZ$5=$E125+1,$C125,""),"")</f>
        <v/>
      </c>
      <c r="EA125" s="34">
        <f>IF(AND(EA$5&gt;$E125,EA$5&lt;=$F125),IF(EA$5=$E125+1,$C125,""),"")</f>
        <v/>
      </c>
      <c r="EB125" s="34">
        <f>IF(AND(EB$5&gt;$E125,EB$5&lt;=$F125),IF(EB$5=$E125+1,$C125,""),"")</f>
        <v/>
      </c>
      <c r="EC125" s="34">
        <f>IF(AND(EC$5&gt;$E125,EC$5&lt;=$F125),IF(EC$5=$E125+1,$C125,""),"")</f>
        <v/>
      </c>
      <c r="ED125" s="34">
        <f>IF(AND(ED$5&gt;$E125,ED$5&lt;=$F125),IF(ED$5=$E125+1,$C125,""),"")</f>
        <v/>
      </c>
      <c r="EE125" s="34">
        <f>IF(AND(EE$5&gt;$E125,EE$5&lt;=$F125),IF(EE$5=$E125+1,$C125,""),"")</f>
        <v/>
      </c>
      <c r="EF125" s="34">
        <f>IF(AND(EF$5&gt;$E125,EF$5&lt;=$F125),IF(EF$5=$E125+1,$C125,""),"")</f>
        <v/>
      </c>
      <c r="EG125" s="34">
        <f>IF(AND(EG$5&gt;$E125,EG$5&lt;=$F125),IF(EG$5=$E125+1,$C125,""),"")</f>
        <v/>
      </c>
      <c r="EH125" s="34">
        <f>IF(AND(EH$5&gt;$E125,EH$5&lt;=$F125),IF(EH$5=$E125+1,$C125,""),"")</f>
        <v/>
      </c>
      <c r="EI125" s="34">
        <f>IF(AND(EI$5&gt;$E125,EI$5&lt;=$F125),IF(EI$5=$E125+1,$C125,""),"")</f>
        <v/>
      </c>
      <c r="EJ125" s="34">
        <f>IF(AND(EJ$5&gt;$E125,EJ$5&lt;=$F125),IF(EJ$5=$E125+1,$C125,""),"")</f>
        <v/>
      </c>
      <c r="EK125" s="34">
        <f>IF(AND(EK$5&gt;$E125,EK$5&lt;=$F125),IF(EK$5=$E125+1,$C125,""),"")</f>
        <v/>
      </c>
      <c r="EL125" s="34">
        <f>IF(AND(EL$5&gt;$E125,EL$5&lt;=$F125),IF(EL$5=$E125+1,$C125,""),"")</f>
        <v/>
      </c>
      <c r="EM125" s="34">
        <f>IF(AND(EM$5&gt;$E125,EM$5&lt;=$F125),IF(EM$5=$E125+1,$C125,""),"")</f>
        <v/>
      </c>
      <c r="EN125" s="34">
        <f>IF(AND(EN$5&gt;$E125,EN$5&lt;=$F125),IF(EN$5=$E125+1,$C125,""),"")</f>
        <v/>
      </c>
      <c r="EO125" s="34">
        <f>IF(AND(EO$5&gt;$E125,EO$5&lt;=$F125),IF(EO$5=$E125+1,$C125,""),"")</f>
        <v/>
      </c>
      <c r="EP125" s="34">
        <f>IF(AND(EP$5&gt;$E125,EP$5&lt;=$F125),IF(EP$5=$E125+1,$C125,""),"")</f>
        <v/>
      </c>
      <c r="EQ125" s="34">
        <f>IF(AND(EQ$5&gt;$E125,EQ$5&lt;=$F125),IF(EQ$5=$E125+1,$C125,""),"")</f>
        <v/>
      </c>
    </row>
    <row r="126">
      <c r="A126" s="32">
        <f>Plan!A110</f>
        <v/>
      </c>
      <c r="B126" s="33">
        <f>Plan!C110</f>
        <v/>
      </c>
      <c r="C126" s="16">
        <f>Plan!D110</f>
        <v/>
      </c>
      <c r="D126" s="16">
        <f>Plan!I110</f>
        <v/>
      </c>
      <c r="E126" s="16">
        <f>Plan!K110</f>
        <v/>
      </c>
      <c r="F126" s="16">
        <f>Plan!L110</f>
        <v/>
      </c>
      <c r="G126" s="16">
        <f>Plan!O110</f>
        <v/>
      </c>
      <c r="H126" s="34">
        <f>IF(AND(H$5&gt;$E126,H$5&lt;=$F126),IF(H$5=$E126+1,$C126,""),"")</f>
        <v/>
      </c>
      <c r="I126" s="34">
        <f>IF(AND(I$5&gt;$E126,I$5&lt;=$F126),IF(I$5=$E126+1,$C126,""),"")</f>
        <v/>
      </c>
      <c r="J126" s="34">
        <f>IF(AND(J$5&gt;$E126,J$5&lt;=$F126),IF(J$5=$E126+1,$C126,""),"")</f>
        <v/>
      </c>
      <c r="K126" s="34">
        <f>IF(AND(K$5&gt;$E126,K$5&lt;=$F126),IF(K$5=$E126+1,$C126,""),"")</f>
        <v/>
      </c>
      <c r="L126" s="34">
        <f>IF(AND(L$5&gt;$E126,L$5&lt;=$F126),IF(L$5=$E126+1,$C126,""),"")</f>
        <v/>
      </c>
      <c r="M126" s="34">
        <f>IF(AND(M$5&gt;$E126,M$5&lt;=$F126),IF(M$5=$E126+1,$C126,""),"")</f>
        <v/>
      </c>
      <c r="N126" s="34">
        <f>IF(AND(N$5&gt;$E126,N$5&lt;=$F126),IF(N$5=$E126+1,$C126,""),"")</f>
        <v/>
      </c>
      <c r="O126" s="34">
        <f>IF(AND(O$5&gt;$E126,O$5&lt;=$F126),IF(O$5=$E126+1,$C126,""),"")</f>
        <v/>
      </c>
      <c r="P126" s="34">
        <f>IF(AND(P$5&gt;$E126,P$5&lt;=$F126),IF(P$5=$E126+1,$C126,""),"")</f>
        <v/>
      </c>
      <c r="Q126" s="34">
        <f>IF(AND(Q$5&gt;$E126,Q$5&lt;=$F126),IF(Q$5=$E126+1,$C126,""),"")</f>
        <v/>
      </c>
      <c r="R126" s="34">
        <f>IF(AND(R$5&gt;$E126,R$5&lt;=$F126),IF(R$5=$E126+1,$C126,""),"")</f>
        <v/>
      </c>
      <c r="S126" s="34">
        <f>IF(AND(S$5&gt;$E126,S$5&lt;=$F126),IF(S$5=$E126+1,$C126,""),"")</f>
        <v/>
      </c>
      <c r="T126" s="34">
        <f>IF(AND(T$5&gt;$E126,T$5&lt;=$F126),IF(T$5=$E126+1,$C126,""),"")</f>
        <v/>
      </c>
      <c r="U126" s="34">
        <f>IF(AND(U$5&gt;$E126,U$5&lt;=$F126),IF(U$5=$E126+1,$C126,""),"")</f>
        <v/>
      </c>
      <c r="V126" s="34">
        <f>IF(AND(V$5&gt;$E126,V$5&lt;=$F126),IF(V$5=$E126+1,$C126,""),"")</f>
        <v/>
      </c>
      <c r="W126" s="34">
        <f>IF(AND(W$5&gt;$E126,W$5&lt;=$F126),IF(W$5=$E126+1,$C126,""),"")</f>
        <v/>
      </c>
      <c r="X126" s="34">
        <f>IF(AND(X$5&gt;$E126,X$5&lt;=$F126),IF(X$5=$E126+1,$C126,""),"")</f>
        <v/>
      </c>
      <c r="Y126" s="34">
        <f>IF(AND(Y$5&gt;$E126,Y$5&lt;=$F126),IF(Y$5=$E126+1,$C126,""),"")</f>
        <v/>
      </c>
      <c r="Z126" s="34">
        <f>IF(AND(Z$5&gt;$E126,Z$5&lt;=$F126),IF(Z$5=$E126+1,$C126,""),"")</f>
        <v/>
      </c>
      <c r="AA126" s="34">
        <f>IF(AND(AA$5&gt;$E126,AA$5&lt;=$F126),IF(AA$5=$E126+1,$C126,""),"")</f>
        <v/>
      </c>
      <c r="AB126" s="34">
        <f>IF(AND(AB$5&gt;$E126,AB$5&lt;=$F126),IF(AB$5=$E126+1,$C126,""),"")</f>
        <v/>
      </c>
      <c r="AC126" s="34">
        <f>IF(AND(AC$5&gt;$E126,AC$5&lt;=$F126),IF(AC$5=$E126+1,$C126,""),"")</f>
        <v/>
      </c>
      <c r="AD126" s="34">
        <f>IF(AND(AD$5&gt;$E126,AD$5&lt;=$F126),IF(AD$5=$E126+1,$C126,""),"")</f>
        <v/>
      </c>
      <c r="AE126" s="34">
        <f>IF(AND(AE$5&gt;$E126,AE$5&lt;=$F126),IF(AE$5=$E126+1,$C126,""),"")</f>
        <v/>
      </c>
      <c r="AF126" s="34">
        <f>IF(AND(AF$5&gt;$E126,AF$5&lt;=$F126),IF(AF$5=$E126+1,$C126,""),"")</f>
        <v/>
      </c>
      <c r="AG126" s="34">
        <f>IF(AND(AG$5&gt;$E126,AG$5&lt;=$F126),IF(AG$5=$E126+1,$C126,""),"")</f>
        <v/>
      </c>
      <c r="AH126" s="34">
        <f>IF(AND(AH$5&gt;$E126,AH$5&lt;=$F126),IF(AH$5=$E126+1,$C126,""),"")</f>
        <v/>
      </c>
      <c r="AI126" s="34">
        <f>IF(AND(AI$5&gt;$E126,AI$5&lt;=$F126),IF(AI$5=$E126+1,$C126,""),"")</f>
        <v/>
      </c>
      <c r="AJ126" s="34">
        <f>IF(AND(AJ$5&gt;$E126,AJ$5&lt;=$F126),IF(AJ$5=$E126+1,$C126,""),"")</f>
        <v/>
      </c>
      <c r="AK126" s="34">
        <f>IF(AND(AK$5&gt;$E126,AK$5&lt;=$F126),IF(AK$5=$E126+1,$C126,""),"")</f>
        <v/>
      </c>
      <c r="AL126" s="34">
        <f>IF(AND(AL$5&gt;$E126,AL$5&lt;=$F126),IF(AL$5=$E126+1,$C126,""),"")</f>
        <v/>
      </c>
      <c r="AM126" s="34">
        <f>IF(AND(AM$5&gt;$E126,AM$5&lt;=$F126),IF(AM$5=$E126+1,$C126,""),"")</f>
        <v/>
      </c>
      <c r="AN126" s="34">
        <f>IF(AND(AN$5&gt;$E126,AN$5&lt;=$F126),IF(AN$5=$E126+1,$C126,""),"")</f>
        <v/>
      </c>
      <c r="AO126" s="34">
        <f>IF(AND(AO$5&gt;$E126,AO$5&lt;=$F126),IF(AO$5=$E126+1,$C126,""),"")</f>
        <v/>
      </c>
      <c r="AP126" s="34">
        <f>IF(AND(AP$5&gt;$E126,AP$5&lt;=$F126),IF(AP$5=$E126+1,$C126,""),"")</f>
        <v/>
      </c>
      <c r="AQ126" s="34">
        <f>IF(AND(AQ$5&gt;$E126,AQ$5&lt;=$F126),IF(AQ$5=$E126+1,$C126,""),"")</f>
        <v/>
      </c>
      <c r="AR126" s="34">
        <f>IF(AND(AR$5&gt;$E126,AR$5&lt;=$F126),IF(AR$5=$E126+1,$C126,""),"")</f>
        <v/>
      </c>
      <c r="AS126" s="34">
        <f>IF(AND(AS$5&gt;$E126,AS$5&lt;=$F126),IF(AS$5=$E126+1,$C126,""),"")</f>
        <v/>
      </c>
      <c r="AT126" s="34">
        <f>IF(AND(AT$5&gt;$E126,AT$5&lt;=$F126),IF(AT$5=$E126+1,$C126,""),"")</f>
        <v/>
      </c>
      <c r="AU126" s="34">
        <f>IF(AND(AU$5&gt;$E126,AU$5&lt;=$F126),IF(AU$5=$E126+1,$C126,""),"")</f>
        <v/>
      </c>
      <c r="AV126" s="34">
        <f>IF(AND(AV$5&gt;$E126,AV$5&lt;=$F126),IF(AV$5=$E126+1,$C126,""),"")</f>
        <v/>
      </c>
      <c r="AW126" s="34">
        <f>IF(AND(AW$5&gt;$E126,AW$5&lt;=$F126),IF(AW$5=$E126+1,$C126,""),"")</f>
        <v/>
      </c>
      <c r="AX126" s="34">
        <f>IF(AND(AX$5&gt;$E126,AX$5&lt;=$F126),IF(AX$5=$E126+1,$C126,""),"")</f>
        <v/>
      </c>
      <c r="AY126" s="34">
        <f>IF(AND(AY$5&gt;$E126,AY$5&lt;=$F126),IF(AY$5=$E126+1,$C126,""),"")</f>
        <v/>
      </c>
      <c r="AZ126" s="34">
        <f>IF(AND(AZ$5&gt;$E126,AZ$5&lt;=$F126),IF(AZ$5=$E126+1,$C126,""),"")</f>
        <v/>
      </c>
      <c r="BA126" s="34">
        <f>IF(AND(BA$5&gt;$E126,BA$5&lt;=$F126),IF(BA$5=$E126+1,$C126,""),"")</f>
        <v/>
      </c>
      <c r="BB126" s="34">
        <f>IF(AND(BB$5&gt;$E126,BB$5&lt;=$F126),IF(BB$5=$E126+1,$C126,""),"")</f>
        <v/>
      </c>
      <c r="BC126" s="34">
        <f>IF(AND(BC$5&gt;$E126,BC$5&lt;=$F126),IF(BC$5=$E126+1,$C126,""),"")</f>
        <v/>
      </c>
      <c r="BD126" s="34">
        <f>IF(AND(BD$5&gt;$E126,BD$5&lt;=$F126),IF(BD$5=$E126+1,$C126,""),"")</f>
        <v/>
      </c>
      <c r="BE126" s="34">
        <f>IF(AND(BE$5&gt;$E126,BE$5&lt;=$F126),IF(BE$5=$E126+1,$C126,""),"")</f>
        <v/>
      </c>
      <c r="BF126" s="34">
        <f>IF(AND(BF$5&gt;$E126,BF$5&lt;=$F126),IF(BF$5=$E126+1,$C126,""),"")</f>
        <v/>
      </c>
      <c r="BG126" s="34">
        <f>IF(AND(BG$5&gt;$E126,BG$5&lt;=$F126),IF(BG$5=$E126+1,$C126,""),"")</f>
        <v/>
      </c>
      <c r="BH126" s="34">
        <f>IF(AND(BH$5&gt;$E126,BH$5&lt;=$F126),IF(BH$5=$E126+1,$C126,""),"")</f>
        <v/>
      </c>
      <c r="BI126" s="34">
        <f>IF(AND(BI$5&gt;$E126,BI$5&lt;=$F126),IF(BI$5=$E126+1,$C126,""),"")</f>
        <v/>
      </c>
      <c r="BJ126" s="34">
        <f>IF(AND(BJ$5&gt;$E126,BJ$5&lt;=$F126),IF(BJ$5=$E126+1,$C126,""),"")</f>
        <v/>
      </c>
      <c r="BK126" s="34">
        <f>IF(AND(BK$5&gt;$E126,BK$5&lt;=$F126),IF(BK$5=$E126+1,$C126,""),"")</f>
        <v/>
      </c>
      <c r="BL126" s="34">
        <f>IF(AND(BL$5&gt;$E126,BL$5&lt;=$F126),IF(BL$5=$E126+1,$C126,""),"")</f>
        <v/>
      </c>
      <c r="BM126" s="34">
        <f>IF(AND(BM$5&gt;$E126,BM$5&lt;=$F126),IF(BM$5=$E126+1,$C126,""),"")</f>
        <v/>
      </c>
      <c r="BN126" s="34">
        <f>IF(AND(BN$5&gt;$E126,BN$5&lt;=$F126),IF(BN$5=$E126+1,$C126,""),"")</f>
        <v/>
      </c>
      <c r="BO126" s="34">
        <f>IF(AND(BO$5&gt;$E126,BO$5&lt;=$F126),IF(BO$5=$E126+1,$C126,""),"")</f>
        <v/>
      </c>
      <c r="BP126" s="34">
        <f>IF(AND(BP$5&gt;$E126,BP$5&lt;=$F126),IF(BP$5=$E126+1,$C126,""),"")</f>
        <v/>
      </c>
      <c r="BQ126" s="34">
        <f>IF(AND(BQ$5&gt;$E126,BQ$5&lt;=$F126),IF(BQ$5=$E126+1,$C126,""),"")</f>
        <v/>
      </c>
      <c r="BR126" s="34">
        <f>IF(AND(BR$5&gt;$E126,BR$5&lt;=$F126),IF(BR$5=$E126+1,$C126,""),"")</f>
        <v/>
      </c>
      <c r="BS126" s="34">
        <f>IF(AND(BS$5&gt;$E126,BS$5&lt;=$F126),IF(BS$5=$E126+1,$C126,""),"")</f>
        <v/>
      </c>
      <c r="BT126" s="34">
        <f>IF(AND(BT$5&gt;$E126,BT$5&lt;=$F126),IF(BT$5=$E126+1,$C126,""),"")</f>
        <v/>
      </c>
      <c r="BU126" s="34">
        <f>IF(AND(BU$5&gt;$E126,BU$5&lt;=$F126),IF(BU$5=$E126+1,$C126,""),"")</f>
        <v/>
      </c>
      <c r="BV126" s="34">
        <f>IF(AND(BV$5&gt;$E126,BV$5&lt;=$F126),IF(BV$5=$E126+1,$C126,""),"")</f>
        <v/>
      </c>
      <c r="BW126" s="34">
        <f>IF(AND(BW$5&gt;$E126,BW$5&lt;=$F126),IF(BW$5=$E126+1,$C126,""),"")</f>
        <v/>
      </c>
      <c r="BX126" s="34">
        <f>IF(AND(BX$5&gt;$E126,BX$5&lt;=$F126),IF(BX$5=$E126+1,$C126,""),"")</f>
        <v/>
      </c>
      <c r="BY126" s="34">
        <f>IF(AND(BY$5&gt;$E126,BY$5&lt;=$F126),IF(BY$5=$E126+1,$C126,""),"")</f>
        <v/>
      </c>
      <c r="BZ126" s="34">
        <f>IF(AND(BZ$5&gt;$E126,BZ$5&lt;=$F126),IF(BZ$5=$E126+1,$C126,""),"")</f>
        <v/>
      </c>
      <c r="CA126" s="34">
        <f>IF(AND(CA$5&gt;$E126,CA$5&lt;=$F126),IF(CA$5=$E126+1,$C126,""),"")</f>
        <v/>
      </c>
      <c r="CB126" s="34">
        <f>IF(AND(CB$5&gt;$E126,CB$5&lt;=$F126),IF(CB$5=$E126+1,$C126,""),"")</f>
        <v/>
      </c>
      <c r="CC126" s="34">
        <f>IF(AND(CC$5&gt;$E126,CC$5&lt;=$F126),IF(CC$5=$E126+1,$C126,""),"")</f>
        <v/>
      </c>
      <c r="CD126" s="34">
        <f>IF(AND(CD$5&gt;$E126,CD$5&lt;=$F126),IF(CD$5=$E126+1,$C126,""),"")</f>
        <v/>
      </c>
      <c r="CE126" s="34">
        <f>IF(AND(CE$5&gt;$E126,CE$5&lt;=$F126),IF(CE$5=$E126+1,$C126,""),"")</f>
        <v/>
      </c>
      <c r="CF126" s="34">
        <f>IF(AND(CF$5&gt;$E126,CF$5&lt;=$F126),IF(CF$5=$E126+1,$C126,""),"")</f>
        <v/>
      </c>
      <c r="CG126" s="34">
        <f>IF(AND(CG$5&gt;$E126,CG$5&lt;=$F126),IF(CG$5=$E126+1,$C126,""),"")</f>
        <v/>
      </c>
      <c r="CH126" s="34">
        <f>IF(AND(CH$5&gt;$E126,CH$5&lt;=$F126),IF(CH$5=$E126+1,$C126,""),"")</f>
        <v/>
      </c>
      <c r="CI126" s="34">
        <f>IF(AND(CI$5&gt;$E126,CI$5&lt;=$F126),IF(CI$5=$E126+1,$C126,""),"")</f>
        <v/>
      </c>
      <c r="CJ126" s="34">
        <f>IF(AND(CJ$5&gt;$E126,CJ$5&lt;=$F126),IF(CJ$5=$E126+1,$C126,""),"")</f>
        <v/>
      </c>
      <c r="CK126" s="34">
        <f>IF(AND(CK$5&gt;$E126,CK$5&lt;=$F126),IF(CK$5=$E126+1,$C126,""),"")</f>
        <v/>
      </c>
      <c r="CL126" s="34">
        <f>IF(AND(CL$5&gt;$E126,CL$5&lt;=$F126),IF(CL$5=$E126+1,$C126,""),"")</f>
        <v/>
      </c>
      <c r="CM126" s="34">
        <f>IF(AND(CM$5&gt;$E126,CM$5&lt;=$F126),IF(CM$5=$E126+1,$C126,""),"")</f>
        <v/>
      </c>
      <c r="CN126" s="34">
        <f>IF(AND(CN$5&gt;$E126,CN$5&lt;=$F126),IF(CN$5=$E126+1,$C126,""),"")</f>
        <v/>
      </c>
      <c r="CO126" s="34">
        <f>IF(AND(CO$5&gt;$E126,CO$5&lt;=$F126),IF(CO$5=$E126+1,$C126,""),"")</f>
        <v/>
      </c>
      <c r="CP126" s="34">
        <f>IF(AND(CP$5&gt;$E126,CP$5&lt;=$F126),IF(CP$5=$E126+1,$C126,""),"")</f>
        <v/>
      </c>
      <c r="CQ126" s="34">
        <f>IF(AND(CQ$5&gt;$E126,CQ$5&lt;=$F126),IF(CQ$5=$E126+1,$C126,""),"")</f>
        <v/>
      </c>
      <c r="CR126" s="34">
        <f>IF(AND(CR$5&gt;$E126,CR$5&lt;=$F126),IF(CR$5=$E126+1,$C126,""),"")</f>
        <v/>
      </c>
      <c r="CS126" s="34">
        <f>IF(AND(CS$5&gt;$E126,CS$5&lt;=$F126),IF(CS$5=$E126+1,$C126,""),"")</f>
        <v/>
      </c>
      <c r="CT126" s="34">
        <f>IF(AND(CT$5&gt;$E126,CT$5&lt;=$F126),IF(CT$5=$E126+1,$C126,""),"")</f>
        <v/>
      </c>
      <c r="CU126" s="34">
        <f>IF(AND(CU$5&gt;$E126,CU$5&lt;=$F126),IF(CU$5=$E126+1,$C126,""),"")</f>
        <v/>
      </c>
      <c r="CV126" s="34">
        <f>IF(AND(CV$5&gt;$E126,CV$5&lt;=$F126),IF(CV$5=$E126+1,$C126,""),"")</f>
        <v/>
      </c>
      <c r="CW126" s="34">
        <f>IF(AND(CW$5&gt;$E126,CW$5&lt;=$F126),IF(CW$5=$E126+1,$C126,""),"")</f>
        <v/>
      </c>
      <c r="CX126" s="34">
        <f>IF(AND(CX$5&gt;$E126,CX$5&lt;=$F126),IF(CX$5=$E126+1,$C126,""),"")</f>
        <v/>
      </c>
      <c r="CY126" s="34">
        <f>IF(AND(CY$5&gt;$E126,CY$5&lt;=$F126),IF(CY$5=$E126+1,$C126,""),"")</f>
        <v/>
      </c>
      <c r="CZ126" s="34">
        <f>IF(AND(CZ$5&gt;$E126,CZ$5&lt;=$F126),IF(CZ$5=$E126+1,$C126,""),"")</f>
        <v/>
      </c>
      <c r="DA126" s="34">
        <f>IF(AND(DA$5&gt;$E126,DA$5&lt;=$F126),IF(DA$5=$E126+1,$C126,""),"")</f>
        <v/>
      </c>
      <c r="DB126" s="34">
        <f>IF(AND(DB$5&gt;$E126,DB$5&lt;=$F126),IF(DB$5=$E126+1,$C126,""),"")</f>
        <v/>
      </c>
      <c r="DC126" s="34">
        <f>IF(AND(DC$5&gt;$E126,DC$5&lt;=$F126),IF(DC$5=$E126+1,$C126,""),"")</f>
        <v/>
      </c>
      <c r="DD126" s="34">
        <f>IF(AND(DD$5&gt;$E126,DD$5&lt;=$F126),IF(DD$5=$E126+1,$C126,""),"")</f>
        <v/>
      </c>
      <c r="DE126" s="34">
        <f>IF(AND(DE$5&gt;$E126,DE$5&lt;=$F126),IF(DE$5=$E126+1,$C126,""),"")</f>
        <v/>
      </c>
      <c r="DF126" s="34">
        <f>IF(AND(DF$5&gt;$E126,DF$5&lt;=$F126),IF(DF$5=$E126+1,$C126,""),"")</f>
        <v/>
      </c>
      <c r="DG126" s="34">
        <f>IF(AND(DG$5&gt;$E126,DG$5&lt;=$F126),IF(DG$5=$E126+1,$C126,""),"")</f>
        <v/>
      </c>
      <c r="DH126" s="34">
        <f>IF(AND(DH$5&gt;$E126,DH$5&lt;=$F126),IF(DH$5=$E126+1,$C126,""),"")</f>
        <v/>
      </c>
      <c r="DI126" s="34">
        <f>IF(AND(DI$5&gt;$E126,DI$5&lt;=$F126),IF(DI$5=$E126+1,$C126,""),"")</f>
        <v/>
      </c>
      <c r="DJ126" s="34">
        <f>IF(AND(DJ$5&gt;$E126,DJ$5&lt;=$F126),IF(DJ$5=$E126+1,$C126,""),"")</f>
        <v/>
      </c>
      <c r="DK126" s="34">
        <f>IF(AND(DK$5&gt;$E126,DK$5&lt;=$F126),IF(DK$5=$E126+1,$C126,""),"")</f>
        <v/>
      </c>
      <c r="DL126" s="34">
        <f>IF(AND(DL$5&gt;$E126,DL$5&lt;=$F126),IF(DL$5=$E126+1,$C126,""),"")</f>
        <v/>
      </c>
      <c r="DM126" s="34">
        <f>IF(AND(DM$5&gt;$E126,DM$5&lt;=$F126),IF(DM$5=$E126+1,$C126,""),"")</f>
        <v/>
      </c>
      <c r="DN126" s="34">
        <f>IF(AND(DN$5&gt;$E126,DN$5&lt;=$F126),IF(DN$5=$E126+1,$C126,""),"")</f>
        <v/>
      </c>
      <c r="DO126" s="34">
        <f>IF(AND(DO$5&gt;$E126,DO$5&lt;=$F126),IF(DO$5=$E126+1,$C126,""),"")</f>
        <v/>
      </c>
      <c r="DP126" s="34">
        <f>IF(AND(DP$5&gt;$E126,DP$5&lt;=$F126),IF(DP$5=$E126+1,$C126,""),"")</f>
        <v/>
      </c>
      <c r="DQ126" s="34">
        <f>IF(AND(DQ$5&gt;$E126,DQ$5&lt;=$F126),IF(DQ$5=$E126+1,$C126,""),"")</f>
        <v/>
      </c>
      <c r="DR126" s="34">
        <f>IF(AND(DR$5&gt;$E126,DR$5&lt;=$F126),IF(DR$5=$E126+1,$C126,""),"")</f>
        <v/>
      </c>
      <c r="DS126" s="34">
        <f>IF(AND(DS$5&gt;$E126,DS$5&lt;=$F126),IF(DS$5=$E126+1,$C126,""),"")</f>
        <v/>
      </c>
      <c r="DT126" s="34">
        <f>IF(AND(DT$5&gt;$E126,DT$5&lt;=$F126),IF(DT$5=$E126+1,$C126,""),"")</f>
        <v/>
      </c>
      <c r="DU126" s="34">
        <f>IF(AND(DU$5&gt;$E126,DU$5&lt;=$F126),IF(DU$5=$E126+1,$C126,""),"")</f>
        <v/>
      </c>
      <c r="DV126" s="34">
        <f>IF(AND(DV$5&gt;$E126,DV$5&lt;=$F126),IF(DV$5=$E126+1,$C126,""),"")</f>
        <v/>
      </c>
      <c r="DW126" s="34">
        <f>IF(AND(DW$5&gt;$E126,DW$5&lt;=$F126),IF(DW$5=$E126+1,$C126,""),"")</f>
        <v/>
      </c>
      <c r="DX126" s="34">
        <f>IF(AND(DX$5&gt;$E126,DX$5&lt;=$F126),IF(DX$5=$E126+1,$C126,""),"")</f>
        <v/>
      </c>
      <c r="DY126" s="34">
        <f>IF(AND(DY$5&gt;$E126,DY$5&lt;=$F126),IF(DY$5=$E126+1,$C126,""),"")</f>
        <v/>
      </c>
      <c r="DZ126" s="34">
        <f>IF(AND(DZ$5&gt;$E126,DZ$5&lt;=$F126),IF(DZ$5=$E126+1,$C126,""),"")</f>
        <v/>
      </c>
      <c r="EA126" s="34">
        <f>IF(AND(EA$5&gt;$E126,EA$5&lt;=$F126),IF(EA$5=$E126+1,$C126,""),"")</f>
        <v/>
      </c>
      <c r="EB126" s="34">
        <f>IF(AND(EB$5&gt;$E126,EB$5&lt;=$F126),IF(EB$5=$E126+1,$C126,""),"")</f>
        <v/>
      </c>
      <c r="EC126" s="34">
        <f>IF(AND(EC$5&gt;$E126,EC$5&lt;=$F126),IF(EC$5=$E126+1,$C126,""),"")</f>
        <v/>
      </c>
      <c r="ED126" s="34">
        <f>IF(AND(ED$5&gt;$E126,ED$5&lt;=$F126),IF(ED$5=$E126+1,$C126,""),"")</f>
        <v/>
      </c>
      <c r="EE126" s="34">
        <f>IF(AND(EE$5&gt;$E126,EE$5&lt;=$F126),IF(EE$5=$E126+1,$C126,""),"")</f>
        <v/>
      </c>
      <c r="EF126" s="34">
        <f>IF(AND(EF$5&gt;$E126,EF$5&lt;=$F126),IF(EF$5=$E126+1,$C126,""),"")</f>
        <v/>
      </c>
      <c r="EG126" s="34">
        <f>IF(AND(EG$5&gt;$E126,EG$5&lt;=$F126),IF(EG$5=$E126+1,$C126,""),"")</f>
        <v/>
      </c>
      <c r="EH126" s="34">
        <f>IF(AND(EH$5&gt;$E126,EH$5&lt;=$F126),IF(EH$5=$E126+1,$C126,""),"")</f>
        <v/>
      </c>
      <c r="EI126" s="34">
        <f>IF(AND(EI$5&gt;$E126,EI$5&lt;=$F126),IF(EI$5=$E126+1,$C126,""),"")</f>
        <v/>
      </c>
      <c r="EJ126" s="34">
        <f>IF(AND(EJ$5&gt;$E126,EJ$5&lt;=$F126),IF(EJ$5=$E126+1,$C126,""),"")</f>
        <v/>
      </c>
      <c r="EK126" s="34">
        <f>IF(AND(EK$5&gt;$E126,EK$5&lt;=$F126),IF(EK$5=$E126+1,$C126,""),"")</f>
        <v/>
      </c>
      <c r="EL126" s="34">
        <f>IF(AND(EL$5&gt;$E126,EL$5&lt;=$F126),IF(EL$5=$E126+1,$C126,""),"")</f>
        <v/>
      </c>
      <c r="EM126" s="34">
        <f>IF(AND(EM$5&gt;$E126,EM$5&lt;=$F126),IF(EM$5=$E126+1,$C126,""),"")</f>
        <v/>
      </c>
      <c r="EN126" s="34">
        <f>IF(AND(EN$5&gt;$E126,EN$5&lt;=$F126),IF(EN$5=$E126+1,$C126,""),"")</f>
        <v/>
      </c>
      <c r="EO126" s="34">
        <f>IF(AND(EO$5&gt;$E126,EO$5&lt;=$F126),IF(EO$5=$E126+1,$C126,""),"")</f>
        <v/>
      </c>
      <c r="EP126" s="34">
        <f>IF(AND(EP$5&gt;$E126,EP$5&lt;=$F126),IF(EP$5=$E126+1,$C126,""),"")</f>
        <v/>
      </c>
      <c r="EQ126" s="34">
        <f>IF(AND(EQ$5&gt;$E126,EQ$5&lt;=$F126),IF(EQ$5=$E126+1,$C126,""),"")</f>
        <v/>
      </c>
    </row>
    <row r="127">
      <c r="A127" s="32">
        <f>Plan!A111</f>
        <v/>
      </c>
      <c r="B127" s="33">
        <f>Plan!C111</f>
        <v/>
      </c>
      <c r="C127" s="16">
        <f>Plan!D111</f>
        <v/>
      </c>
      <c r="D127" s="16">
        <f>Plan!I111</f>
        <v/>
      </c>
      <c r="E127" s="16">
        <f>Plan!K111</f>
        <v/>
      </c>
      <c r="F127" s="16">
        <f>Plan!L111</f>
        <v/>
      </c>
      <c r="G127" s="16">
        <f>Plan!O111</f>
        <v/>
      </c>
      <c r="H127" s="34">
        <f>IF(AND(H$5&gt;$E127,H$5&lt;=$F127),IF(H$5=$E127+1,$C127,""),"")</f>
        <v/>
      </c>
      <c r="I127" s="34">
        <f>IF(AND(I$5&gt;$E127,I$5&lt;=$F127),IF(I$5=$E127+1,$C127,""),"")</f>
        <v/>
      </c>
      <c r="J127" s="34">
        <f>IF(AND(J$5&gt;$E127,J$5&lt;=$F127),IF(J$5=$E127+1,$C127,""),"")</f>
        <v/>
      </c>
      <c r="K127" s="34">
        <f>IF(AND(K$5&gt;$E127,K$5&lt;=$F127),IF(K$5=$E127+1,$C127,""),"")</f>
        <v/>
      </c>
      <c r="L127" s="34">
        <f>IF(AND(L$5&gt;$E127,L$5&lt;=$F127),IF(L$5=$E127+1,$C127,""),"")</f>
        <v/>
      </c>
      <c r="M127" s="34">
        <f>IF(AND(M$5&gt;$E127,M$5&lt;=$F127),IF(M$5=$E127+1,$C127,""),"")</f>
        <v/>
      </c>
      <c r="N127" s="34">
        <f>IF(AND(N$5&gt;$E127,N$5&lt;=$F127),IF(N$5=$E127+1,$C127,""),"")</f>
        <v/>
      </c>
      <c r="O127" s="34">
        <f>IF(AND(O$5&gt;$E127,O$5&lt;=$F127),IF(O$5=$E127+1,$C127,""),"")</f>
        <v/>
      </c>
      <c r="P127" s="34">
        <f>IF(AND(P$5&gt;$E127,P$5&lt;=$F127),IF(P$5=$E127+1,$C127,""),"")</f>
        <v/>
      </c>
      <c r="Q127" s="34">
        <f>IF(AND(Q$5&gt;$E127,Q$5&lt;=$F127),IF(Q$5=$E127+1,$C127,""),"")</f>
        <v/>
      </c>
      <c r="R127" s="34">
        <f>IF(AND(R$5&gt;$E127,R$5&lt;=$F127),IF(R$5=$E127+1,$C127,""),"")</f>
        <v/>
      </c>
      <c r="S127" s="34">
        <f>IF(AND(S$5&gt;$E127,S$5&lt;=$F127),IF(S$5=$E127+1,$C127,""),"")</f>
        <v/>
      </c>
      <c r="T127" s="34">
        <f>IF(AND(T$5&gt;$E127,T$5&lt;=$F127),IF(T$5=$E127+1,$C127,""),"")</f>
        <v/>
      </c>
      <c r="U127" s="34">
        <f>IF(AND(U$5&gt;$E127,U$5&lt;=$F127),IF(U$5=$E127+1,$C127,""),"")</f>
        <v/>
      </c>
      <c r="V127" s="34">
        <f>IF(AND(V$5&gt;$E127,V$5&lt;=$F127),IF(V$5=$E127+1,$C127,""),"")</f>
        <v/>
      </c>
      <c r="W127" s="34">
        <f>IF(AND(W$5&gt;$E127,W$5&lt;=$F127),IF(W$5=$E127+1,$C127,""),"")</f>
        <v/>
      </c>
      <c r="X127" s="34">
        <f>IF(AND(X$5&gt;$E127,X$5&lt;=$F127),IF(X$5=$E127+1,$C127,""),"")</f>
        <v/>
      </c>
      <c r="Y127" s="34">
        <f>IF(AND(Y$5&gt;$E127,Y$5&lt;=$F127),IF(Y$5=$E127+1,$C127,""),"")</f>
        <v/>
      </c>
      <c r="Z127" s="34">
        <f>IF(AND(Z$5&gt;$E127,Z$5&lt;=$F127),IF(Z$5=$E127+1,$C127,""),"")</f>
        <v/>
      </c>
      <c r="AA127" s="34">
        <f>IF(AND(AA$5&gt;$E127,AA$5&lt;=$F127),IF(AA$5=$E127+1,$C127,""),"")</f>
        <v/>
      </c>
      <c r="AB127" s="34">
        <f>IF(AND(AB$5&gt;$E127,AB$5&lt;=$F127),IF(AB$5=$E127+1,$C127,""),"")</f>
        <v/>
      </c>
      <c r="AC127" s="34">
        <f>IF(AND(AC$5&gt;$E127,AC$5&lt;=$F127),IF(AC$5=$E127+1,$C127,""),"")</f>
        <v/>
      </c>
      <c r="AD127" s="34">
        <f>IF(AND(AD$5&gt;$E127,AD$5&lt;=$F127),IF(AD$5=$E127+1,$C127,""),"")</f>
        <v/>
      </c>
      <c r="AE127" s="34">
        <f>IF(AND(AE$5&gt;$E127,AE$5&lt;=$F127),IF(AE$5=$E127+1,$C127,""),"")</f>
        <v/>
      </c>
      <c r="AF127" s="34">
        <f>IF(AND(AF$5&gt;$E127,AF$5&lt;=$F127),IF(AF$5=$E127+1,$C127,""),"")</f>
        <v/>
      </c>
      <c r="AG127" s="34">
        <f>IF(AND(AG$5&gt;$E127,AG$5&lt;=$F127),IF(AG$5=$E127+1,$C127,""),"")</f>
        <v/>
      </c>
      <c r="AH127" s="34">
        <f>IF(AND(AH$5&gt;$E127,AH$5&lt;=$F127),IF(AH$5=$E127+1,$C127,""),"")</f>
        <v/>
      </c>
      <c r="AI127" s="34">
        <f>IF(AND(AI$5&gt;$E127,AI$5&lt;=$F127),IF(AI$5=$E127+1,$C127,""),"")</f>
        <v/>
      </c>
      <c r="AJ127" s="34">
        <f>IF(AND(AJ$5&gt;$E127,AJ$5&lt;=$F127),IF(AJ$5=$E127+1,$C127,""),"")</f>
        <v/>
      </c>
      <c r="AK127" s="34">
        <f>IF(AND(AK$5&gt;$E127,AK$5&lt;=$F127),IF(AK$5=$E127+1,$C127,""),"")</f>
        <v/>
      </c>
      <c r="AL127" s="34">
        <f>IF(AND(AL$5&gt;$E127,AL$5&lt;=$F127),IF(AL$5=$E127+1,$C127,""),"")</f>
        <v/>
      </c>
      <c r="AM127" s="34">
        <f>IF(AND(AM$5&gt;$E127,AM$5&lt;=$F127),IF(AM$5=$E127+1,$C127,""),"")</f>
        <v/>
      </c>
      <c r="AN127" s="34">
        <f>IF(AND(AN$5&gt;$E127,AN$5&lt;=$F127),IF(AN$5=$E127+1,$C127,""),"")</f>
        <v/>
      </c>
      <c r="AO127" s="34">
        <f>IF(AND(AO$5&gt;$E127,AO$5&lt;=$F127),IF(AO$5=$E127+1,$C127,""),"")</f>
        <v/>
      </c>
      <c r="AP127" s="34">
        <f>IF(AND(AP$5&gt;$E127,AP$5&lt;=$F127),IF(AP$5=$E127+1,$C127,""),"")</f>
        <v/>
      </c>
      <c r="AQ127" s="34">
        <f>IF(AND(AQ$5&gt;$E127,AQ$5&lt;=$F127),IF(AQ$5=$E127+1,$C127,""),"")</f>
        <v/>
      </c>
      <c r="AR127" s="34">
        <f>IF(AND(AR$5&gt;$E127,AR$5&lt;=$F127),IF(AR$5=$E127+1,$C127,""),"")</f>
        <v/>
      </c>
      <c r="AS127" s="34">
        <f>IF(AND(AS$5&gt;$E127,AS$5&lt;=$F127),IF(AS$5=$E127+1,$C127,""),"")</f>
        <v/>
      </c>
      <c r="AT127" s="34">
        <f>IF(AND(AT$5&gt;$E127,AT$5&lt;=$F127),IF(AT$5=$E127+1,$C127,""),"")</f>
        <v/>
      </c>
      <c r="AU127" s="34">
        <f>IF(AND(AU$5&gt;$E127,AU$5&lt;=$F127),IF(AU$5=$E127+1,$C127,""),"")</f>
        <v/>
      </c>
      <c r="AV127" s="34">
        <f>IF(AND(AV$5&gt;$E127,AV$5&lt;=$F127),IF(AV$5=$E127+1,$C127,""),"")</f>
        <v/>
      </c>
      <c r="AW127" s="34">
        <f>IF(AND(AW$5&gt;$E127,AW$5&lt;=$F127),IF(AW$5=$E127+1,$C127,""),"")</f>
        <v/>
      </c>
      <c r="AX127" s="34">
        <f>IF(AND(AX$5&gt;$E127,AX$5&lt;=$F127),IF(AX$5=$E127+1,$C127,""),"")</f>
        <v/>
      </c>
      <c r="AY127" s="34">
        <f>IF(AND(AY$5&gt;$E127,AY$5&lt;=$F127),IF(AY$5=$E127+1,$C127,""),"")</f>
        <v/>
      </c>
      <c r="AZ127" s="34">
        <f>IF(AND(AZ$5&gt;$E127,AZ$5&lt;=$F127),IF(AZ$5=$E127+1,$C127,""),"")</f>
        <v/>
      </c>
      <c r="BA127" s="34">
        <f>IF(AND(BA$5&gt;$E127,BA$5&lt;=$F127),IF(BA$5=$E127+1,$C127,""),"")</f>
        <v/>
      </c>
      <c r="BB127" s="34">
        <f>IF(AND(BB$5&gt;$E127,BB$5&lt;=$F127),IF(BB$5=$E127+1,$C127,""),"")</f>
        <v/>
      </c>
      <c r="BC127" s="34">
        <f>IF(AND(BC$5&gt;$E127,BC$5&lt;=$F127),IF(BC$5=$E127+1,$C127,""),"")</f>
        <v/>
      </c>
      <c r="BD127" s="34">
        <f>IF(AND(BD$5&gt;$E127,BD$5&lt;=$F127),IF(BD$5=$E127+1,$C127,""),"")</f>
        <v/>
      </c>
      <c r="BE127" s="34">
        <f>IF(AND(BE$5&gt;$E127,BE$5&lt;=$F127),IF(BE$5=$E127+1,$C127,""),"")</f>
        <v/>
      </c>
      <c r="BF127" s="34">
        <f>IF(AND(BF$5&gt;$E127,BF$5&lt;=$F127),IF(BF$5=$E127+1,$C127,""),"")</f>
        <v/>
      </c>
      <c r="BG127" s="34">
        <f>IF(AND(BG$5&gt;$E127,BG$5&lt;=$F127),IF(BG$5=$E127+1,$C127,""),"")</f>
        <v/>
      </c>
      <c r="BH127" s="34">
        <f>IF(AND(BH$5&gt;$E127,BH$5&lt;=$F127),IF(BH$5=$E127+1,$C127,""),"")</f>
        <v/>
      </c>
      <c r="BI127" s="34">
        <f>IF(AND(BI$5&gt;$E127,BI$5&lt;=$F127),IF(BI$5=$E127+1,$C127,""),"")</f>
        <v/>
      </c>
      <c r="BJ127" s="34">
        <f>IF(AND(BJ$5&gt;$E127,BJ$5&lt;=$F127),IF(BJ$5=$E127+1,$C127,""),"")</f>
        <v/>
      </c>
      <c r="BK127" s="34">
        <f>IF(AND(BK$5&gt;$E127,BK$5&lt;=$F127),IF(BK$5=$E127+1,$C127,""),"")</f>
        <v/>
      </c>
      <c r="BL127" s="34">
        <f>IF(AND(BL$5&gt;$E127,BL$5&lt;=$F127),IF(BL$5=$E127+1,$C127,""),"")</f>
        <v/>
      </c>
      <c r="BM127" s="34">
        <f>IF(AND(BM$5&gt;$E127,BM$5&lt;=$F127),IF(BM$5=$E127+1,$C127,""),"")</f>
        <v/>
      </c>
      <c r="BN127" s="34">
        <f>IF(AND(BN$5&gt;$E127,BN$5&lt;=$F127),IF(BN$5=$E127+1,$C127,""),"")</f>
        <v/>
      </c>
      <c r="BO127" s="34">
        <f>IF(AND(BO$5&gt;$E127,BO$5&lt;=$F127),IF(BO$5=$E127+1,$C127,""),"")</f>
        <v/>
      </c>
      <c r="BP127" s="34">
        <f>IF(AND(BP$5&gt;$E127,BP$5&lt;=$F127),IF(BP$5=$E127+1,$C127,""),"")</f>
        <v/>
      </c>
      <c r="BQ127" s="34">
        <f>IF(AND(BQ$5&gt;$E127,BQ$5&lt;=$F127),IF(BQ$5=$E127+1,$C127,""),"")</f>
        <v/>
      </c>
      <c r="BR127" s="34">
        <f>IF(AND(BR$5&gt;$E127,BR$5&lt;=$F127),IF(BR$5=$E127+1,$C127,""),"")</f>
        <v/>
      </c>
      <c r="BS127" s="34">
        <f>IF(AND(BS$5&gt;$E127,BS$5&lt;=$F127),IF(BS$5=$E127+1,$C127,""),"")</f>
        <v/>
      </c>
      <c r="BT127" s="34">
        <f>IF(AND(BT$5&gt;$E127,BT$5&lt;=$F127),IF(BT$5=$E127+1,$C127,""),"")</f>
        <v/>
      </c>
      <c r="BU127" s="34">
        <f>IF(AND(BU$5&gt;$E127,BU$5&lt;=$F127),IF(BU$5=$E127+1,$C127,""),"")</f>
        <v/>
      </c>
      <c r="BV127" s="34">
        <f>IF(AND(BV$5&gt;$E127,BV$5&lt;=$F127),IF(BV$5=$E127+1,$C127,""),"")</f>
        <v/>
      </c>
      <c r="BW127" s="34">
        <f>IF(AND(BW$5&gt;$E127,BW$5&lt;=$F127),IF(BW$5=$E127+1,$C127,""),"")</f>
        <v/>
      </c>
      <c r="BX127" s="34">
        <f>IF(AND(BX$5&gt;$E127,BX$5&lt;=$F127),IF(BX$5=$E127+1,$C127,""),"")</f>
        <v/>
      </c>
      <c r="BY127" s="34">
        <f>IF(AND(BY$5&gt;$E127,BY$5&lt;=$F127),IF(BY$5=$E127+1,$C127,""),"")</f>
        <v/>
      </c>
      <c r="BZ127" s="34">
        <f>IF(AND(BZ$5&gt;$E127,BZ$5&lt;=$F127),IF(BZ$5=$E127+1,$C127,""),"")</f>
        <v/>
      </c>
      <c r="CA127" s="34">
        <f>IF(AND(CA$5&gt;$E127,CA$5&lt;=$F127),IF(CA$5=$E127+1,$C127,""),"")</f>
        <v/>
      </c>
      <c r="CB127" s="34">
        <f>IF(AND(CB$5&gt;$E127,CB$5&lt;=$F127),IF(CB$5=$E127+1,$C127,""),"")</f>
        <v/>
      </c>
      <c r="CC127" s="34">
        <f>IF(AND(CC$5&gt;$E127,CC$5&lt;=$F127),IF(CC$5=$E127+1,$C127,""),"")</f>
        <v/>
      </c>
      <c r="CD127" s="34">
        <f>IF(AND(CD$5&gt;$E127,CD$5&lt;=$F127),IF(CD$5=$E127+1,$C127,""),"")</f>
        <v/>
      </c>
      <c r="CE127" s="34">
        <f>IF(AND(CE$5&gt;$E127,CE$5&lt;=$F127),IF(CE$5=$E127+1,$C127,""),"")</f>
        <v/>
      </c>
      <c r="CF127" s="34">
        <f>IF(AND(CF$5&gt;$E127,CF$5&lt;=$F127),IF(CF$5=$E127+1,$C127,""),"")</f>
        <v/>
      </c>
      <c r="CG127" s="34">
        <f>IF(AND(CG$5&gt;$E127,CG$5&lt;=$F127),IF(CG$5=$E127+1,$C127,""),"")</f>
        <v/>
      </c>
      <c r="CH127" s="34">
        <f>IF(AND(CH$5&gt;$E127,CH$5&lt;=$F127),IF(CH$5=$E127+1,$C127,""),"")</f>
        <v/>
      </c>
      <c r="CI127" s="34">
        <f>IF(AND(CI$5&gt;$E127,CI$5&lt;=$F127),IF(CI$5=$E127+1,$C127,""),"")</f>
        <v/>
      </c>
      <c r="CJ127" s="34">
        <f>IF(AND(CJ$5&gt;$E127,CJ$5&lt;=$F127),IF(CJ$5=$E127+1,$C127,""),"")</f>
        <v/>
      </c>
      <c r="CK127" s="34">
        <f>IF(AND(CK$5&gt;$E127,CK$5&lt;=$F127),IF(CK$5=$E127+1,$C127,""),"")</f>
        <v/>
      </c>
      <c r="CL127" s="34">
        <f>IF(AND(CL$5&gt;$E127,CL$5&lt;=$F127),IF(CL$5=$E127+1,$C127,""),"")</f>
        <v/>
      </c>
      <c r="CM127" s="34">
        <f>IF(AND(CM$5&gt;$E127,CM$5&lt;=$F127),IF(CM$5=$E127+1,$C127,""),"")</f>
        <v/>
      </c>
      <c r="CN127" s="34">
        <f>IF(AND(CN$5&gt;$E127,CN$5&lt;=$F127),IF(CN$5=$E127+1,$C127,""),"")</f>
        <v/>
      </c>
      <c r="CO127" s="34">
        <f>IF(AND(CO$5&gt;$E127,CO$5&lt;=$F127),IF(CO$5=$E127+1,$C127,""),"")</f>
        <v/>
      </c>
      <c r="CP127" s="34">
        <f>IF(AND(CP$5&gt;$E127,CP$5&lt;=$F127),IF(CP$5=$E127+1,$C127,""),"")</f>
        <v/>
      </c>
      <c r="CQ127" s="34">
        <f>IF(AND(CQ$5&gt;$E127,CQ$5&lt;=$F127),IF(CQ$5=$E127+1,$C127,""),"")</f>
        <v/>
      </c>
      <c r="CR127" s="34">
        <f>IF(AND(CR$5&gt;$E127,CR$5&lt;=$F127),IF(CR$5=$E127+1,$C127,""),"")</f>
        <v/>
      </c>
      <c r="CS127" s="34">
        <f>IF(AND(CS$5&gt;$E127,CS$5&lt;=$F127),IF(CS$5=$E127+1,$C127,""),"")</f>
        <v/>
      </c>
      <c r="CT127" s="34">
        <f>IF(AND(CT$5&gt;$E127,CT$5&lt;=$F127),IF(CT$5=$E127+1,$C127,""),"")</f>
        <v/>
      </c>
      <c r="CU127" s="34">
        <f>IF(AND(CU$5&gt;$E127,CU$5&lt;=$F127),IF(CU$5=$E127+1,$C127,""),"")</f>
        <v/>
      </c>
      <c r="CV127" s="34">
        <f>IF(AND(CV$5&gt;$E127,CV$5&lt;=$F127),IF(CV$5=$E127+1,$C127,""),"")</f>
        <v/>
      </c>
      <c r="CW127" s="34">
        <f>IF(AND(CW$5&gt;$E127,CW$5&lt;=$F127),IF(CW$5=$E127+1,$C127,""),"")</f>
        <v/>
      </c>
      <c r="CX127" s="34">
        <f>IF(AND(CX$5&gt;$E127,CX$5&lt;=$F127),IF(CX$5=$E127+1,$C127,""),"")</f>
        <v/>
      </c>
      <c r="CY127" s="34">
        <f>IF(AND(CY$5&gt;$E127,CY$5&lt;=$F127),IF(CY$5=$E127+1,$C127,""),"")</f>
        <v/>
      </c>
      <c r="CZ127" s="34">
        <f>IF(AND(CZ$5&gt;$E127,CZ$5&lt;=$F127),IF(CZ$5=$E127+1,$C127,""),"")</f>
        <v/>
      </c>
      <c r="DA127" s="34">
        <f>IF(AND(DA$5&gt;$E127,DA$5&lt;=$F127),IF(DA$5=$E127+1,$C127,""),"")</f>
        <v/>
      </c>
      <c r="DB127" s="34">
        <f>IF(AND(DB$5&gt;$E127,DB$5&lt;=$F127),IF(DB$5=$E127+1,$C127,""),"")</f>
        <v/>
      </c>
      <c r="DC127" s="34">
        <f>IF(AND(DC$5&gt;$E127,DC$5&lt;=$F127),IF(DC$5=$E127+1,$C127,""),"")</f>
        <v/>
      </c>
      <c r="DD127" s="34">
        <f>IF(AND(DD$5&gt;$E127,DD$5&lt;=$F127),IF(DD$5=$E127+1,$C127,""),"")</f>
        <v/>
      </c>
      <c r="DE127" s="34">
        <f>IF(AND(DE$5&gt;$E127,DE$5&lt;=$F127),IF(DE$5=$E127+1,$C127,""),"")</f>
        <v/>
      </c>
      <c r="DF127" s="34">
        <f>IF(AND(DF$5&gt;$E127,DF$5&lt;=$F127),IF(DF$5=$E127+1,$C127,""),"")</f>
        <v/>
      </c>
      <c r="DG127" s="34">
        <f>IF(AND(DG$5&gt;$E127,DG$5&lt;=$F127),IF(DG$5=$E127+1,$C127,""),"")</f>
        <v/>
      </c>
      <c r="DH127" s="34">
        <f>IF(AND(DH$5&gt;$E127,DH$5&lt;=$F127),IF(DH$5=$E127+1,$C127,""),"")</f>
        <v/>
      </c>
      <c r="DI127" s="34">
        <f>IF(AND(DI$5&gt;$E127,DI$5&lt;=$F127),IF(DI$5=$E127+1,$C127,""),"")</f>
        <v/>
      </c>
      <c r="DJ127" s="34">
        <f>IF(AND(DJ$5&gt;$E127,DJ$5&lt;=$F127),IF(DJ$5=$E127+1,$C127,""),"")</f>
        <v/>
      </c>
      <c r="DK127" s="34">
        <f>IF(AND(DK$5&gt;$E127,DK$5&lt;=$F127),IF(DK$5=$E127+1,$C127,""),"")</f>
        <v/>
      </c>
      <c r="DL127" s="34">
        <f>IF(AND(DL$5&gt;$E127,DL$5&lt;=$F127),IF(DL$5=$E127+1,$C127,""),"")</f>
        <v/>
      </c>
      <c r="DM127" s="34">
        <f>IF(AND(DM$5&gt;$E127,DM$5&lt;=$F127),IF(DM$5=$E127+1,$C127,""),"")</f>
        <v/>
      </c>
      <c r="DN127" s="34">
        <f>IF(AND(DN$5&gt;$E127,DN$5&lt;=$F127),IF(DN$5=$E127+1,$C127,""),"")</f>
        <v/>
      </c>
      <c r="DO127" s="34">
        <f>IF(AND(DO$5&gt;$E127,DO$5&lt;=$F127),IF(DO$5=$E127+1,$C127,""),"")</f>
        <v/>
      </c>
      <c r="DP127" s="34">
        <f>IF(AND(DP$5&gt;$E127,DP$5&lt;=$F127),IF(DP$5=$E127+1,$C127,""),"")</f>
        <v/>
      </c>
      <c r="DQ127" s="34">
        <f>IF(AND(DQ$5&gt;$E127,DQ$5&lt;=$F127),IF(DQ$5=$E127+1,$C127,""),"")</f>
        <v/>
      </c>
      <c r="DR127" s="34">
        <f>IF(AND(DR$5&gt;$E127,DR$5&lt;=$F127),IF(DR$5=$E127+1,$C127,""),"")</f>
        <v/>
      </c>
      <c r="DS127" s="34">
        <f>IF(AND(DS$5&gt;$E127,DS$5&lt;=$F127),IF(DS$5=$E127+1,$C127,""),"")</f>
        <v/>
      </c>
      <c r="DT127" s="34">
        <f>IF(AND(DT$5&gt;$E127,DT$5&lt;=$F127),IF(DT$5=$E127+1,$C127,""),"")</f>
        <v/>
      </c>
      <c r="DU127" s="34">
        <f>IF(AND(DU$5&gt;$E127,DU$5&lt;=$F127),IF(DU$5=$E127+1,$C127,""),"")</f>
        <v/>
      </c>
      <c r="DV127" s="34">
        <f>IF(AND(DV$5&gt;$E127,DV$5&lt;=$F127),IF(DV$5=$E127+1,$C127,""),"")</f>
        <v/>
      </c>
      <c r="DW127" s="34">
        <f>IF(AND(DW$5&gt;$E127,DW$5&lt;=$F127),IF(DW$5=$E127+1,$C127,""),"")</f>
        <v/>
      </c>
      <c r="DX127" s="34">
        <f>IF(AND(DX$5&gt;$E127,DX$5&lt;=$F127),IF(DX$5=$E127+1,$C127,""),"")</f>
        <v/>
      </c>
      <c r="DY127" s="34">
        <f>IF(AND(DY$5&gt;$E127,DY$5&lt;=$F127),IF(DY$5=$E127+1,$C127,""),"")</f>
        <v/>
      </c>
      <c r="DZ127" s="34">
        <f>IF(AND(DZ$5&gt;$E127,DZ$5&lt;=$F127),IF(DZ$5=$E127+1,$C127,""),"")</f>
        <v/>
      </c>
      <c r="EA127" s="34">
        <f>IF(AND(EA$5&gt;$E127,EA$5&lt;=$F127),IF(EA$5=$E127+1,$C127,""),"")</f>
        <v/>
      </c>
      <c r="EB127" s="34">
        <f>IF(AND(EB$5&gt;$E127,EB$5&lt;=$F127),IF(EB$5=$E127+1,$C127,""),"")</f>
        <v/>
      </c>
      <c r="EC127" s="34">
        <f>IF(AND(EC$5&gt;$E127,EC$5&lt;=$F127),IF(EC$5=$E127+1,$C127,""),"")</f>
        <v/>
      </c>
      <c r="ED127" s="34">
        <f>IF(AND(ED$5&gt;$E127,ED$5&lt;=$F127),IF(ED$5=$E127+1,$C127,""),"")</f>
        <v/>
      </c>
      <c r="EE127" s="34">
        <f>IF(AND(EE$5&gt;$E127,EE$5&lt;=$F127),IF(EE$5=$E127+1,$C127,""),"")</f>
        <v/>
      </c>
      <c r="EF127" s="34">
        <f>IF(AND(EF$5&gt;$E127,EF$5&lt;=$F127),IF(EF$5=$E127+1,$C127,""),"")</f>
        <v/>
      </c>
      <c r="EG127" s="34">
        <f>IF(AND(EG$5&gt;$E127,EG$5&lt;=$F127),IF(EG$5=$E127+1,$C127,""),"")</f>
        <v/>
      </c>
      <c r="EH127" s="34">
        <f>IF(AND(EH$5&gt;$E127,EH$5&lt;=$F127),IF(EH$5=$E127+1,$C127,""),"")</f>
        <v/>
      </c>
      <c r="EI127" s="34">
        <f>IF(AND(EI$5&gt;$E127,EI$5&lt;=$F127),IF(EI$5=$E127+1,$C127,""),"")</f>
        <v/>
      </c>
      <c r="EJ127" s="34">
        <f>IF(AND(EJ$5&gt;$E127,EJ$5&lt;=$F127),IF(EJ$5=$E127+1,$C127,""),"")</f>
        <v/>
      </c>
      <c r="EK127" s="34">
        <f>IF(AND(EK$5&gt;$E127,EK$5&lt;=$F127),IF(EK$5=$E127+1,$C127,""),"")</f>
        <v/>
      </c>
      <c r="EL127" s="34">
        <f>IF(AND(EL$5&gt;$E127,EL$5&lt;=$F127),IF(EL$5=$E127+1,$C127,""),"")</f>
        <v/>
      </c>
      <c r="EM127" s="34">
        <f>IF(AND(EM$5&gt;$E127,EM$5&lt;=$F127),IF(EM$5=$E127+1,$C127,""),"")</f>
        <v/>
      </c>
      <c r="EN127" s="34">
        <f>IF(AND(EN$5&gt;$E127,EN$5&lt;=$F127),IF(EN$5=$E127+1,$C127,""),"")</f>
        <v/>
      </c>
      <c r="EO127" s="34">
        <f>IF(AND(EO$5&gt;$E127,EO$5&lt;=$F127),IF(EO$5=$E127+1,$C127,""),"")</f>
        <v/>
      </c>
      <c r="EP127" s="34">
        <f>IF(AND(EP$5&gt;$E127,EP$5&lt;=$F127),IF(EP$5=$E127+1,$C127,""),"")</f>
        <v/>
      </c>
      <c r="EQ127" s="34">
        <f>IF(AND(EQ$5&gt;$E127,EQ$5&lt;=$F127),IF(EQ$5=$E127+1,$C127,""),"")</f>
        <v/>
      </c>
    </row>
    <row r="128">
      <c r="A128" s="32">
        <f>Plan!A112</f>
        <v/>
      </c>
      <c r="B128" s="33">
        <f>Plan!C112</f>
        <v/>
      </c>
      <c r="C128" s="16">
        <f>Plan!D112</f>
        <v/>
      </c>
      <c r="D128" s="16">
        <f>Plan!I112</f>
        <v/>
      </c>
      <c r="E128" s="16">
        <f>Plan!K112</f>
        <v/>
      </c>
      <c r="F128" s="16">
        <f>Plan!L112</f>
        <v/>
      </c>
      <c r="G128" s="16">
        <f>Plan!O112</f>
        <v/>
      </c>
      <c r="H128" s="34">
        <f>IF(AND(H$5&gt;$E128,H$5&lt;=$F128),IF(H$5=$E128+1,$C128,""),"")</f>
        <v/>
      </c>
      <c r="I128" s="34">
        <f>IF(AND(I$5&gt;$E128,I$5&lt;=$F128),IF(I$5=$E128+1,$C128,""),"")</f>
        <v/>
      </c>
      <c r="J128" s="34">
        <f>IF(AND(J$5&gt;$E128,J$5&lt;=$F128),IF(J$5=$E128+1,$C128,""),"")</f>
        <v/>
      </c>
      <c r="K128" s="34">
        <f>IF(AND(K$5&gt;$E128,K$5&lt;=$F128),IF(K$5=$E128+1,$C128,""),"")</f>
        <v/>
      </c>
      <c r="L128" s="34">
        <f>IF(AND(L$5&gt;$E128,L$5&lt;=$F128),IF(L$5=$E128+1,$C128,""),"")</f>
        <v/>
      </c>
      <c r="M128" s="34">
        <f>IF(AND(M$5&gt;$E128,M$5&lt;=$F128),IF(M$5=$E128+1,$C128,""),"")</f>
        <v/>
      </c>
      <c r="N128" s="34">
        <f>IF(AND(N$5&gt;$E128,N$5&lt;=$F128),IF(N$5=$E128+1,$C128,""),"")</f>
        <v/>
      </c>
      <c r="O128" s="34">
        <f>IF(AND(O$5&gt;$E128,O$5&lt;=$F128),IF(O$5=$E128+1,$C128,""),"")</f>
        <v/>
      </c>
      <c r="P128" s="34">
        <f>IF(AND(P$5&gt;$E128,P$5&lt;=$F128),IF(P$5=$E128+1,$C128,""),"")</f>
        <v/>
      </c>
      <c r="Q128" s="34">
        <f>IF(AND(Q$5&gt;$E128,Q$5&lt;=$F128),IF(Q$5=$E128+1,$C128,""),"")</f>
        <v/>
      </c>
      <c r="R128" s="34">
        <f>IF(AND(R$5&gt;$E128,R$5&lt;=$F128),IF(R$5=$E128+1,$C128,""),"")</f>
        <v/>
      </c>
      <c r="S128" s="34">
        <f>IF(AND(S$5&gt;$E128,S$5&lt;=$F128),IF(S$5=$E128+1,$C128,""),"")</f>
        <v/>
      </c>
      <c r="T128" s="34">
        <f>IF(AND(T$5&gt;$E128,T$5&lt;=$F128),IF(T$5=$E128+1,$C128,""),"")</f>
        <v/>
      </c>
      <c r="U128" s="34">
        <f>IF(AND(U$5&gt;$E128,U$5&lt;=$F128),IF(U$5=$E128+1,$C128,""),"")</f>
        <v/>
      </c>
      <c r="V128" s="34">
        <f>IF(AND(V$5&gt;$E128,V$5&lt;=$F128),IF(V$5=$E128+1,$C128,""),"")</f>
        <v/>
      </c>
      <c r="W128" s="34">
        <f>IF(AND(W$5&gt;$E128,W$5&lt;=$F128),IF(W$5=$E128+1,$C128,""),"")</f>
        <v/>
      </c>
      <c r="X128" s="34">
        <f>IF(AND(X$5&gt;$E128,X$5&lt;=$F128),IF(X$5=$E128+1,$C128,""),"")</f>
        <v/>
      </c>
      <c r="Y128" s="34">
        <f>IF(AND(Y$5&gt;$E128,Y$5&lt;=$F128),IF(Y$5=$E128+1,$C128,""),"")</f>
        <v/>
      </c>
      <c r="Z128" s="34">
        <f>IF(AND(Z$5&gt;$E128,Z$5&lt;=$F128),IF(Z$5=$E128+1,$C128,""),"")</f>
        <v/>
      </c>
      <c r="AA128" s="34">
        <f>IF(AND(AA$5&gt;$E128,AA$5&lt;=$F128),IF(AA$5=$E128+1,$C128,""),"")</f>
        <v/>
      </c>
      <c r="AB128" s="34">
        <f>IF(AND(AB$5&gt;$E128,AB$5&lt;=$F128),IF(AB$5=$E128+1,$C128,""),"")</f>
        <v/>
      </c>
      <c r="AC128" s="34">
        <f>IF(AND(AC$5&gt;$E128,AC$5&lt;=$F128),IF(AC$5=$E128+1,$C128,""),"")</f>
        <v/>
      </c>
      <c r="AD128" s="34">
        <f>IF(AND(AD$5&gt;$E128,AD$5&lt;=$F128),IF(AD$5=$E128+1,$C128,""),"")</f>
        <v/>
      </c>
      <c r="AE128" s="34">
        <f>IF(AND(AE$5&gt;$E128,AE$5&lt;=$F128),IF(AE$5=$E128+1,$C128,""),"")</f>
        <v/>
      </c>
      <c r="AF128" s="34">
        <f>IF(AND(AF$5&gt;$E128,AF$5&lt;=$F128),IF(AF$5=$E128+1,$C128,""),"")</f>
        <v/>
      </c>
      <c r="AG128" s="34">
        <f>IF(AND(AG$5&gt;$E128,AG$5&lt;=$F128),IF(AG$5=$E128+1,$C128,""),"")</f>
        <v/>
      </c>
      <c r="AH128" s="34">
        <f>IF(AND(AH$5&gt;$E128,AH$5&lt;=$F128),IF(AH$5=$E128+1,$C128,""),"")</f>
        <v/>
      </c>
      <c r="AI128" s="34">
        <f>IF(AND(AI$5&gt;$E128,AI$5&lt;=$F128),IF(AI$5=$E128+1,$C128,""),"")</f>
        <v/>
      </c>
      <c r="AJ128" s="34">
        <f>IF(AND(AJ$5&gt;$E128,AJ$5&lt;=$F128),IF(AJ$5=$E128+1,$C128,""),"")</f>
        <v/>
      </c>
      <c r="AK128" s="34">
        <f>IF(AND(AK$5&gt;$E128,AK$5&lt;=$F128),IF(AK$5=$E128+1,$C128,""),"")</f>
        <v/>
      </c>
      <c r="AL128" s="34">
        <f>IF(AND(AL$5&gt;$E128,AL$5&lt;=$F128),IF(AL$5=$E128+1,$C128,""),"")</f>
        <v/>
      </c>
      <c r="AM128" s="34">
        <f>IF(AND(AM$5&gt;$E128,AM$5&lt;=$F128),IF(AM$5=$E128+1,$C128,""),"")</f>
        <v/>
      </c>
      <c r="AN128" s="34">
        <f>IF(AND(AN$5&gt;$E128,AN$5&lt;=$F128),IF(AN$5=$E128+1,$C128,""),"")</f>
        <v/>
      </c>
      <c r="AO128" s="34">
        <f>IF(AND(AO$5&gt;$E128,AO$5&lt;=$F128),IF(AO$5=$E128+1,$C128,""),"")</f>
        <v/>
      </c>
      <c r="AP128" s="34">
        <f>IF(AND(AP$5&gt;$E128,AP$5&lt;=$F128),IF(AP$5=$E128+1,$C128,""),"")</f>
        <v/>
      </c>
      <c r="AQ128" s="34">
        <f>IF(AND(AQ$5&gt;$E128,AQ$5&lt;=$F128),IF(AQ$5=$E128+1,$C128,""),"")</f>
        <v/>
      </c>
      <c r="AR128" s="34">
        <f>IF(AND(AR$5&gt;$E128,AR$5&lt;=$F128),IF(AR$5=$E128+1,$C128,""),"")</f>
        <v/>
      </c>
      <c r="AS128" s="34">
        <f>IF(AND(AS$5&gt;$E128,AS$5&lt;=$F128),IF(AS$5=$E128+1,$C128,""),"")</f>
        <v/>
      </c>
      <c r="AT128" s="34">
        <f>IF(AND(AT$5&gt;$E128,AT$5&lt;=$F128),IF(AT$5=$E128+1,$C128,""),"")</f>
        <v/>
      </c>
      <c r="AU128" s="34">
        <f>IF(AND(AU$5&gt;$E128,AU$5&lt;=$F128),IF(AU$5=$E128+1,$C128,""),"")</f>
        <v/>
      </c>
      <c r="AV128" s="34">
        <f>IF(AND(AV$5&gt;$E128,AV$5&lt;=$F128),IF(AV$5=$E128+1,$C128,""),"")</f>
        <v/>
      </c>
      <c r="AW128" s="34">
        <f>IF(AND(AW$5&gt;$E128,AW$5&lt;=$F128),IF(AW$5=$E128+1,$C128,""),"")</f>
        <v/>
      </c>
      <c r="AX128" s="34">
        <f>IF(AND(AX$5&gt;$E128,AX$5&lt;=$F128),IF(AX$5=$E128+1,$C128,""),"")</f>
        <v/>
      </c>
      <c r="AY128" s="34">
        <f>IF(AND(AY$5&gt;$E128,AY$5&lt;=$F128),IF(AY$5=$E128+1,$C128,""),"")</f>
        <v/>
      </c>
      <c r="AZ128" s="34">
        <f>IF(AND(AZ$5&gt;$E128,AZ$5&lt;=$F128),IF(AZ$5=$E128+1,$C128,""),"")</f>
        <v/>
      </c>
      <c r="BA128" s="34">
        <f>IF(AND(BA$5&gt;$E128,BA$5&lt;=$F128),IF(BA$5=$E128+1,$C128,""),"")</f>
        <v/>
      </c>
      <c r="BB128" s="34">
        <f>IF(AND(BB$5&gt;$E128,BB$5&lt;=$F128),IF(BB$5=$E128+1,$C128,""),"")</f>
        <v/>
      </c>
      <c r="BC128" s="34">
        <f>IF(AND(BC$5&gt;$E128,BC$5&lt;=$F128),IF(BC$5=$E128+1,$C128,""),"")</f>
        <v/>
      </c>
      <c r="BD128" s="34">
        <f>IF(AND(BD$5&gt;$E128,BD$5&lt;=$F128),IF(BD$5=$E128+1,$C128,""),"")</f>
        <v/>
      </c>
      <c r="BE128" s="34">
        <f>IF(AND(BE$5&gt;$E128,BE$5&lt;=$F128),IF(BE$5=$E128+1,$C128,""),"")</f>
        <v/>
      </c>
      <c r="BF128" s="34">
        <f>IF(AND(BF$5&gt;$E128,BF$5&lt;=$F128),IF(BF$5=$E128+1,$C128,""),"")</f>
        <v/>
      </c>
      <c r="BG128" s="34">
        <f>IF(AND(BG$5&gt;$E128,BG$5&lt;=$F128),IF(BG$5=$E128+1,$C128,""),"")</f>
        <v/>
      </c>
      <c r="BH128" s="34">
        <f>IF(AND(BH$5&gt;$E128,BH$5&lt;=$F128),IF(BH$5=$E128+1,$C128,""),"")</f>
        <v/>
      </c>
      <c r="BI128" s="34">
        <f>IF(AND(BI$5&gt;$E128,BI$5&lt;=$F128),IF(BI$5=$E128+1,$C128,""),"")</f>
        <v/>
      </c>
      <c r="BJ128" s="34">
        <f>IF(AND(BJ$5&gt;$E128,BJ$5&lt;=$F128),IF(BJ$5=$E128+1,$C128,""),"")</f>
        <v/>
      </c>
      <c r="BK128" s="34">
        <f>IF(AND(BK$5&gt;$E128,BK$5&lt;=$F128),IF(BK$5=$E128+1,$C128,""),"")</f>
        <v/>
      </c>
      <c r="BL128" s="34">
        <f>IF(AND(BL$5&gt;$E128,BL$5&lt;=$F128),IF(BL$5=$E128+1,$C128,""),"")</f>
        <v/>
      </c>
      <c r="BM128" s="34">
        <f>IF(AND(BM$5&gt;$E128,BM$5&lt;=$F128),IF(BM$5=$E128+1,$C128,""),"")</f>
        <v/>
      </c>
      <c r="BN128" s="34">
        <f>IF(AND(BN$5&gt;$E128,BN$5&lt;=$F128),IF(BN$5=$E128+1,$C128,""),"")</f>
        <v/>
      </c>
      <c r="BO128" s="34">
        <f>IF(AND(BO$5&gt;$E128,BO$5&lt;=$F128),IF(BO$5=$E128+1,$C128,""),"")</f>
        <v/>
      </c>
      <c r="BP128" s="34">
        <f>IF(AND(BP$5&gt;$E128,BP$5&lt;=$F128),IF(BP$5=$E128+1,$C128,""),"")</f>
        <v/>
      </c>
      <c r="BQ128" s="34">
        <f>IF(AND(BQ$5&gt;$E128,BQ$5&lt;=$F128),IF(BQ$5=$E128+1,$C128,""),"")</f>
        <v/>
      </c>
      <c r="BR128" s="34">
        <f>IF(AND(BR$5&gt;$E128,BR$5&lt;=$F128),IF(BR$5=$E128+1,$C128,""),"")</f>
        <v/>
      </c>
      <c r="BS128" s="34">
        <f>IF(AND(BS$5&gt;$E128,BS$5&lt;=$F128),IF(BS$5=$E128+1,$C128,""),"")</f>
        <v/>
      </c>
      <c r="BT128" s="34">
        <f>IF(AND(BT$5&gt;$E128,BT$5&lt;=$F128),IF(BT$5=$E128+1,$C128,""),"")</f>
        <v/>
      </c>
      <c r="BU128" s="34">
        <f>IF(AND(BU$5&gt;$E128,BU$5&lt;=$F128),IF(BU$5=$E128+1,$C128,""),"")</f>
        <v/>
      </c>
      <c r="BV128" s="34">
        <f>IF(AND(BV$5&gt;$E128,BV$5&lt;=$F128),IF(BV$5=$E128+1,$C128,""),"")</f>
        <v/>
      </c>
      <c r="BW128" s="34">
        <f>IF(AND(BW$5&gt;$E128,BW$5&lt;=$F128),IF(BW$5=$E128+1,$C128,""),"")</f>
        <v/>
      </c>
      <c r="BX128" s="34">
        <f>IF(AND(BX$5&gt;$E128,BX$5&lt;=$F128),IF(BX$5=$E128+1,$C128,""),"")</f>
        <v/>
      </c>
      <c r="BY128" s="34">
        <f>IF(AND(BY$5&gt;$E128,BY$5&lt;=$F128),IF(BY$5=$E128+1,$C128,""),"")</f>
        <v/>
      </c>
      <c r="BZ128" s="34">
        <f>IF(AND(BZ$5&gt;$E128,BZ$5&lt;=$F128),IF(BZ$5=$E128+1,$C128,""),"")</f>
        <v/>
      </c>
      <c r="CA128" s="34">
        <f>IF(AND(CA$5&gt;$E128,CA$5&lt;=$F128),IF(CA$5=$E128+1,$C128,""),"")</f>
        <v/>
      </c>
      <c r="CB128" s="34">
        <f>IF(AND(CB$5&gt;$E128,CB$5&lt;=$F128),IF(CB$5=$E128+1,$C128,""),"")</f>
        <v/>
      </c>
      <c r="CC128" s="34">
        <f>IF(AND(CC$5&gt;$E128,CC$5&lt;=$F128),IF(CC$5=$E128+1,$C128,""),"")</f>
        <v/>
      </c>
      <c r="CD128" s="34">
        <f>IF(AND(CD$5&gt;$E128,CD$5&lt;=$F128),IF(CD$5=$E128+1,$C128,""),"")</f>
        <v/>
      </c>
      <c r="CE128" s="34">
        <f>IF(AND(CE$5&gt;$E128,CE$5&lt;=$F128),IF(CE$5=$E128+1,$C128,""),"")</f>
        <v/>
      </c>
      <c r="CF128" s="34">
        <f>IF(AND(CF$5&gt;$E128,CF$5&lt;=$F128),IF(CF$5=$E128+1,$C128,""),"")</f>
        <v/>
      </c>
      <c r="CG128" s="34">
        <f>IF(AND(CG$5&gt;$E128,CG$5&lt;=$F128),IF(CG$5=$E128+1,$C128,""),"")</f>
        <v/>
      </c>
      <c r="CH128" s="34">
        <f>IF(AND(CH$5&gt;$E128,CH$5&lt;=$F128),IF(CH$5=$E128+1,$C128,""),"")</f>
        <v/>
      </c>
      <c r="CI128" s="34">
        <f>IF(AND(CI$5&gt;$E128,CI$5&lt;=$F128),IF(CI$5=$E128+1,$C128,""),"")</f>
        <v/>
      </c>
      <c r="CJ128" s="34">
        <f>IF(AND(CJ$5&gt;$E128,CJ$5&lt;=$F128),IF(CJ$5=$E128+1,$C128,""),"")</f>
        <v/>
      </c>
      <c r="CK128" s="34">
        <f>IF(AND(CK$5&gt;$E128,CK$5&lt;=$F128),IF(CK$5=$E128+1,$C128,""),"")</f>
        <v/>
      </c>
      <c r="CL128" s="34">
        <f>IF(AND(CL$5&gt;$E128,CL$5&lt;=$F128),IF(CL$5=$E128+1,$C128,""),"")</f>
        <v/>
      </c>
      <c r="CM128" s="34">
        <f>IF(AND(CM$5&gt;$E128,CM$5&lt;=$F128),IF(CM$5=$E128+1,$C128,""),"")</f>
        <v/>
      </c>
      <c r="CN128" s="34">
        <f>IF(AND(CN$5&gt;$E128,CN$5&lt;=$F128),IF(CN$5=$E128+1,$C128,""),"")</f>
        <v/>
      </c>
      <c r="CO128" s="34">
        <f>IF(AND(CO$5&gt;$E128,CO$5&lt;=$F128),IF(CO$5=$E128+1,$C128,""),"")</f>
        <v/>
      </c>
      <c r="CP128" s="34">
        <f>IF(AND(CP$5&gt;$E128,CP$5&lt;=$F128),IF(CP$5=$E128+1,$C128,""),"")</f>
        <v/>
      </c>
      <c r="CQ128" s="34">
        <f>IF(AND(CQ$5&gt;$E128,CQ$5&lt;=$F128),IF(CQ$5=$E128+1,$C128,""),"")</f>
        <v/>
      </c>
      <c r="CR128" s="34">
        <f>IF(AND(CR$5&gt;$E128,CR$5&lt;=$F128),IF(CR$5=$E128+1,$C128,""),"")</f>
        <v/>
      </c>
      <c r="CS128" s="34">
        <f>IF(AND(CS$5&gt;$E128,CS$5&lt;=$F128),IF(CS$5=$E128+1,$C128,""),"")</f>
        <v/>
      </c>
      <c r="CT128" s="34">
        <f>IF(AND(CT$5&gt;$E128,CT$5&lt;=$F128),IF(CT$5=$E128+1,$C128,""),"")</f>
        <v/>
      </c>
      <c r="CU128" s="34">
        <f>IF(AND(CU$5&gt;$E128,CU$5&lt;=$F128),IF(CU$5=$E128+1,$C128,""),"")</f>
        <v/>
      </c>
      <c r="CV128" s="34">
        <f>IF(AND(CV$5&gt;$E128,CV$5&lt;=$F128),IF(CV$5=$E128+1,$C128,""),"")</f>
        <v/>
      </c>
      <c r="CW128" s="34">
        <f>IF(AND(CW$5&gt;$E128,CW$5&lt;=$F128),IF(CW$5=$E128+1,$C128,""),"")</f>
        <v/>
      </c>
      <c r="CX128" s="34">
        <f>IF(AND(CX$5&gt;$E128,CX$5&lt;=$F128),IF(CX$5=$E128+1,$C128,""),"")</f>
        <v/>
      </c>
      <c r="CY128" s="34">
        <f>IF(AND(CY$5&gt;$E128,CY$5&lt;=$F128),IF(CY$5=$E128+1,$C128,""),"")</f>
        <v/>
      </c>
      <c r="CZ128" s="34">
        <f>IF(AND(CZ$5&gt;$E128,CZ$5&lt;=$F128),IF(CZ$5=$E128+1,$C128,""),"")</f>
        <v/>
      </c>
      <c r="DA128" s="34">
        <f>IF(AND(DA$5&gt;$E128,DA$5&lt;=$F128),IF(DA$5=$E128+1,$C128,""),"")</f>
        <v/>
      </c>
      <c r="DB128" s="34">
        <f>IF(AND(DB$5&gt;$E128,DB$5&lt;=$F128),IF(DB$5=$E128+1,$C128,""),"")</f>
        <v/>
      </c>
      <c r="DC128" s="34">
        <f>IF(AND(DC$5&gt;$E128,DC$5&lt;=$F128),IF(DC$5=$E128+1,$C128,""),"")</f>
        <v/>
      </c>
      <c r="DD128" s="34">
        <f>IF(AND(DD$5&gt;$E128,DD$5&lt;=$F128),IF(DD$5=$E128+1,$C128,""),"")</f>
        <v/>
      </c>
      <c r="DE128" s="34">
        <f>IF(AND(DE$5&gt;$E128,DE$5&lt;=$F128),IF(DE$5=$E128+1,$C128,""),"")</f>
        <v/>
      </c>
      <c r="DF128" s="34">
        <f>IF(AND(DF$5&gt;$E128,DF$5&lt;=$F128),IF(DF$5=$E128+1,$C128,""),"")</f>
        <v/>
      </c>
      <c r="DG128" s="34">
        <f>IF(AND(DG$5&gt;$E128,DG$5&lt;=$F128),IF(DG$5=$E128+1,$C128,""),"")</f>
        <v/>
      </c>
      <c r="DH128" s="34">
        <f>IF(AND(DH$5&gt;$E128,DH$5&lt;=$F128),IF(DH$5=$E128+1,$C128,""),"")</f>
        <v/>
      </c>
      <c r="DI128" s="34">
        <f>IF(AND(DI$5&gt;$E128,DI$5&lt;=$F128),IF(DI$5=$E128+1,$C128,""),"")</f>
        <v/>
      </c>
      <c r="DJ128" s="34">
        <f>IF(AND(DJ$5&gt;$E128,DJ$5&lt;=$F128),IF(DJ$5=$E128+1,$C128,""),"")</f>
        <v/>
      </c>
      <c r="DK128" s="34">
        <f>IF(AND(DK$5&gt;$E128,DK$5&lt;=$F128),IF(DK$5=$E128+1,$C128,""),"")</f>
        <v/>
      </c>
      <c r="DL128" s="34">
        <f>IF(AND(DL$5&gt;$E128,DL$5&lt;=$F128),IF(DL$5=$E128+1,$C128,""),"")</f>
        <v/>
      </c>
      <c r="DM128" s="34">
        <f>IF(AND(DM$5&gt;$E128,DM$5&lt;=$F128),IF(DM$5=$E128+1,$C128,""),"")</f>
        <v/>
      </c>
      <c r="DN128" s="34">
        <f>IF(AND(DN$5&gt;$E128,DN$5&lt;=$F128),IF(DN$5=$E128+1,$C128,""),"")</f>
        <v/>
      </c>
      <c r="DO128" s="34">
        <f>IF(AND(DO$5&gt;$E128,DO$5&lt;=$F128),IF(DO$5=$E128+1,$C128,""),"")</f>
        <v/>
      </c>
      <c r="DP128" s="34">
        <f>IF(AND(DP$5&gt;$E128,DP$5&lt;=$F128),IF(DP$5=$E128+1,$C128,""),"")</f>
        <v/>
      </c>
      <c r="DQ128" s="34">
        <f>IF(AND(DQ$5&gt;$E128,DQ$5&lt;=$F128),IF(DQ$5=$E128+1,$C128,""),"")</f>
        <v/>
      </c>
      <c r="DR128" s="34">
        <f>IF(AND(DR$5&gt;$E128,DR$5&lt;=$F128),IF(DR$5=$E128+1,$C128,""),"")</f>
        <v/>
      </c>
      <c r="DS128" s="34">
        <f>IF(AND(DS$5&gt;$E128,DS$5&lt;=$F128),IF(DS$5=$E128+1,$C128,""),"")</f>
        <v/>
      </c>
      <c r="DT128" s="34">
        <f>IF(AND(DT$5&gt;$E128,DT$5&lt;=$F128),IF(DT$5=$E128+1,$C128,""),"")</f>
        <v/>
      </c>
      <c r="DU128" s="34">
        <f>IF(AND(DU$5&gt;$E128,DU$5&lt;=$F128),IF(DU$5=$E128+1,$C128,""),"")</f>
        <v/>
      </c>
      <c r="DV128" s="34">
        <f>IF(AND(DV$5&gt;$E128,DV$5&lt;=$F128),IF(DV$5=$E128+1,$C128,""),"")</f>
        <v/>
      </c>
      <c r="DW128" s="34">
        <f>IF(AND(DW$5&gt;$E128,DW$5&lt;=$F128),IF(DW$5=$E128+1,$C128,""),"")</f>
        <v/>
      </c>
      <c r="DX128" s="34">
        <f>IF(AND(DX$5&gt;$E128,DX$5&lt;=$F128),IF(DX$5=$E128+1,$C128,""),"")</f>
        <v/>
      </c>
      <c r="DY128" s="34">
        <f>IF(AND(DY$5&gt;$E128,DY$5&lt;=$F128),IF(DY$5=$E128+1,$C128,""),"")</f>
        <v/>
      </c>
      <c r="DZ128" s="34">
        <f>IF(AND(DZ$5&gt;$E128,DZ$5&lt;=$F128),IF(DZ$5=$E128+1,$C128,""),"")</f>
        <v/>
      </c>
      <c r="EA128" s="34">
        <f>IF(AND(EA$5&gt;$E128,EA$5&lt;=$F128),IF(EA$5=$E128+1,$C128,""),"")</f>
        <v/>
      </c>
      <c r="EB128" s="34">
        <f>IF(AND(EB$5&gt;$E128,EB$5&lt;=$F128),IF(EB$5=$E128+1,$C128,""),"")</f>
        <v/>
      </c>
      <c r="EC128" s="34">
        <f>IF(AND(EC$5&gt;$E128,EC$5&lt;=$F128),IF(EC$5=$E128+1,$C128,""),"")</f>
        <v/>
      </c>
      <c r="ED128" s="34">
        <f>IF(AND(ED$5&gt;$E128,ED$5&lt;=$F128),IF(ED$5=$E128+1,$C128,""),"")</f>
        <v/>
      </c>
      <c r="EE128" s="34">
        <f>IF(AND(EE$5&gt;$E128,EE$5&lt;=$F128),IF(EE$5=$E128+1,$C128,""),"")</f>
        <v/>
      </c>
      <c r="EF128" s="34">
        <f>IF(AND(EF$5&gt;$E128,EF$5&lt;=$F128),IF(EF$5=$E128+1,$C128,""),"")</f>
        <v/>
      </c>
      <c r="EG128" s="34">
        <f>IF(AND(EG$5&gt;$E128,EG$5&lt;=$F128),IF(EG$5=$E128+1,$C128,""),"")</f>
        <v/>
      </c>
      <c r="EH128" s="34">
        <f>IF(AND(EH$5&gt;$E128,EH$5&lt;=$F128),IF(EH$5=$E128+1,$C128,""),"")</f>
        <v/>
      </c>
      <c r="EI128" s="34">
        <f>IF(AND(EI$5&gt;$E128,EI$5&lt;=$F128),IF(EI$5=$E128+1,$C128,""),"")</f>
        <v/>
      </c>
      <c r="EJ128" s="34">
        <f>IF(AND(EJ$5&gt;$E128,EJ$5&lt;=$F128),IF(EJ$5=$E128+1,$C128,""),"")</f>
        <v/>
      </c>
      <c r="EK128" s="34">
        <f>IF(AND(EK$5&gt;$E128,EK$5&lt;=$F128),IF(EK$5=$E128+1,$C128,""),"")</f>
        <v/>
      </c>
      <c r="EL128" s="34">
        <f>IF(AND(EL$5&gt;$E128,EL$5&lt;=$F128),IF(EL$5=$E128+1,$C128,""),"")</f>
        <v/>
      </c>
      <c r="EM128" s="34">
        <f>IF(AND(EM$5&gt;$E128,EM$5&lt;=$F128),IF(EM$5=$E128+1,$C128,""),"")</f>
        <v/>
      </c>
      <c r="EN128" s="34">
        <f>IF(AND(EN$5&gt;$E128,EN$5&lt;=$F128),IF(EN$5=$E128+1,$C128,""),"")</f>
        <v/>
      </c>
      <c r="EO128" s="34">
        <f>IF(AND(EO$5&gt;$E128,EO$5&lt;=$F128),IF(EO$5=$E128+1,$C128,""),"")</f>
        <v/>
      </c>
      <c r="EP128" s="34">
        <f>IF(AND(EP$5&gt;$E128,EP$5&lt;=$F128),IF(EP$5=$E128+1,$C128,""),"")</f>
        <v/>
      </c>
      <c r="EQ128" s="34">
        <f>IF(AND(EQ$5&gt;$E128,EQ$5&lt;=$F128),IF(EQ$5=$E128+1,$C128,""),"")</f>
        <v/>
      </c>
    </row>
    <row r="129">
      <c r="A129" s="32">
        <f>Plan!A113</f>
        <v/>
      </c>
      <c r="B129" s="33">
        <f>Plan!C113</f>
        <v/>
      </c>
      <c r="C129" s="16">
        <f>Plan!D113</f>
        <v/>
      </c>
      <c r="D129" s="16">
        <f>Plan!I113</f>
        <v/>
      </c>
      <c r="E129" s="16">
        <f>Plan!K113</f>
        <v/>
      </c>
      <c r="F129" s="16">
        <f>Plan!L113</f>
        <v/>
      </c>
      <c r="G129" s="16">
        <f>Plan!O113</f>
        <v/>
      </c>
      <c r="H129" s="34">
        <f>IF(AND(H$5&gt;$E129,H$5&lt;=$F129),IF(H$5=$E129+1,$C129,""),"")</f>
        <v/>
      </c>
      <c r="I129" s="34">
        <f>IF(AND(I$5&gt;$E129,I$5&lt;=$F129),IF(I$5=$E129+1,$C129,""),"")</f>
        <v/>
      </c>
      <c r="J129" s="34">
        <f>IF(AND(J$5&gt;$E129,J$5&lt;=$F129),IF(J$5=$E129+1,$C129,""),"")</f>
        <v/>
      </c>
      <c r="K129" s="34">
        <f>IF(AND(K$5&gt;$E129,K$5&lt;=$F129),IF(K$5=$E129+1,$C129,""),"")</f>
        <v/>
      </c>
      <c r="L129" s="34">
        <f>IF(AND(L$5&gt;$E129,L$5&lt;=$F129),IF(L$5=$E129+1,$C129,""),"")</f>
        <v/>
      </c>
      <c r="M129" s="34">
        <f>IF(AND(M$5&gt;$E129,M$5&lt;=$F129),IF(M$5=$E129+1,$C129,""),"")</f>
        <v/>
      </c>
      <c r="N129" s="34">
        <f>IF(AND(N$5&gt;$E129,N$5&lt;=$F129),IF(N$5=$E129+1,$C129,""),"")</f>
        <v/>
      </c>
      <c r="O129" s="34">
        <f>IF(AND(O$5&gt;$E129,O$5&lt;=$F129),IF(O$5=$E129+1,$C129,""),"")</f>
        <v/>
      </c>
      <c r="P129" s="34">
        <f>IF(AND(P$5&gt;$E129,P$5&lt;=$F129),IF(P$5=$E129+1,$C129,""),"")</f>
        <v/>
      </c>
      <c r="Q129" s="34">
        <f>IF(AND(Q$5&gt;$E129,Q$5&lt;=$F129),IF(Q$5=$E129+1,$C129,""),"")</f>
        <v/>
      </c>
      <c r="R129" s="34">
        <f>IF(AND(R$5&gt;$E129,R$5&lt;=$F129),IF(R$5=$E129+1,$C129,""),"")</f>
        <v/>
      </c>
      <c r="S129" s="34">
        <f>IF(AND(S$5&gt;$E129,S$5&lt;=$F129),IF(S$5=$E129+1,$C129,""),"")</f>
        <v/>
      </c>
      <c r="T129" s="34">
        <f>IF(AND(T$5&gt;$E129,T$5&lt;=$F129),IF(T$5=$E129+1,$C129,""),"")</f>
        <v/>
      </c>
      <c r="U129" s="34">
        <f>IF(AND(U$5&gt;$E129,U$5&lt;=$F129),IF(U$5=$E129+1,$C129,""),"")</f>
        <v/>
      </c>
      <c r="V129" s="34">
        <f>IF(AND(V$5&gt;$E129,V$5&lt;=$F129),IF(V$5=$E129+1,$C129,""),"")</f>
        <v/>
      </c>
      <c r="W129" s="34">
        <f>IF(AND(W$5&gt;$E129,W$5&lt;=$F129),IF(W$5=$E129+1,$C129,""),"")</f>
        <v/>
      </c>
      <c r="X129" s="34">
        <f>IF(AND(X$5&gt;$E129,X$5&lt;=$F129),IF(X$5=$E129+1,$C129,""),"")</f>
        <v/>
      </c>
      <c r="Y129" s="34">
        <f>IF(AND(Y$5&gt;$E129,Y$5&lt;=$F129),IF(Y$5=$E129+1,$C129,""),"")</f>
        <v/>
      </c>
      <c r="Z129" s="34">
        <f>IF(AND(Z$5&gt;$E129,Z$5&lt;=$F129),IF(Z$5=$E129+1,$C129,""),"")</f>
        <v/>
      </c>
      <c r="AA129" s="34">
        <f>IF(AND(AA$5&gt;$E129,AA$5&lt;=$F129),IF(AA$5=$E129+1,$C129,""),"")</f>
        <v/>
      </c>
      <c r="AB129" s="34">
        <f>IF(AND(AB$5&gt;$E129,AB$5&lt;=$F129),IF(AB$5=$E129+1,$C129,""),"")</f>
        <v/>
      </c>
      <c r="AC129" s="34">
        <f>IF(AND(AC$5&gt;$E129,AC$5&lt;=$F129),IF(AC$5=$E129+1,$C129,""),"")</f>
        <v/>
      </c>
      <c r="AD129" s="34">
        <f>IF(AND(AD$5&gt;$E129,AD$5&lt;=$F129),IF(AD$5=$E129+1,$C129,""),"")</f>
        <v/>
      </c>
      <c r="AE129" s="34">
        <f>IF(AND(AE$5&gt;$E129,AE$5&lt;=$F129),IF(AE$5=$E129+1,$C129,""),"")</f>
        <v/>
      </c>
      <c r="AF129" s="34">
        <f>IF(AND(AF$5&gt;$E129,AF$5&lt;=$F129),IF(AF$5=$E129+1,$C129,""),"")</f>
        <v/>
      </c>
      <c r="AG129" s="34">
        <f>IF(AND(AG$5&gt;$E129,AG$5&lt;=$F129),IF(AG$5=$E129+1,$C129,""),"")</f>
        <v/>
      </c>
      <c r="AH129" s="34">
        <f>IF(AND(AH$5&gt;$E129,AH$5&lt;=$F129),IF(AH$5=$E129+1,$C129,""),"")</f>
        <v/>
      </c>
      <c r="AI129" s="34">
        <f>IF(AND(AI$5&gt;$E129,AI$5&lt;=$F129),IF(AI$5=$E129+1,$C129,""),"")</f>
        <v/>
      </c>
      <c r="AJ129" s="34">
        <f>IF(AND(AJ$5&gt;$E129,AJ$5&lt;=$F129),IF(AJ$5=$E129+1,$C129,""),"")</f>
        <v/>
      </c>
      <c r="AK129" s="34">
        <f>IF(AND(AK$5&gt;$E129,AK$5&lt;=$F129),IF(AK$5=$E129+1,$C129,""),"")</f>
        <v/>
      </c>
      <c r="AL129" s="34">
        <f>IF(AND(AL$5&gt;$E129,AL$5&lt;=$F129),IF(AL$5=$E129+1,$C129,""),"")</f>
        <v/>
      </c>
      <c r="AM129" s="34">
        <f>IF(AND(AM$5&gt;$E129,AM$5&lt;=$F129),IF(AM$5=$E129+1,$C129,""),"")</f>
        <v/>
      </c>
      <c r="AN129" s="34">
        <f>IF(AND(AN$5&gt;$E129,AN$5&lt;=$F129),IF(AN$5=$E129+1,$C129,""),"")</f>
        <v/>
      </c>
      <c r="AO129" s="34">
        <f>IF(AND(AO$5&gt;$E129,AO$5&lt;=$F129),IF(AO$5=$E129+1,$C129,""),"")</f>
        <v/>
      </c>
      <c r="AP129" s="34">
        <f>IF(AND(AP$5&gt;$E129,AP$5&lt;=$F129),IF(AP$5=$E129+1,$C129,""),"")</f>
        <v/>
      </c>
      <c r="AQ129" s="34">
        <f>IF(AND(AQ$5&gt;$E129,AQ$5&lt;=$F129),IF(AQ$5=$E129+1,$C129,""),"")</f>
        <v/>
      </c>
      <c r="AR129" s="34">
        <f>IF(AND(AR$5&gt;$E129,AR$5&lt;=$F129),IF(AR$5=$E129+1,$C129,""),"")</f>
        <v/>
      </c>
      <c r="AS129" s="34">
        <f>IF(AND(AS$5&gt;$E129,AS$5&lt;=$F129),IF(AS$5=$E129+1,$C129,""),"")</f>
        <v/>
      </c>
      <c r="AT129" s="34">
        <f>IF(AND(AT$5&gt;$E129,AT$5&lt;=$F129),IF(AT$5=$E129+1,$C129,""),"")</f>
        <v/>
      </c>
      <c r="AU129" s="34">
        <f>IF(AND(AU$5&gt;$E129,AU$5&lt;=$F129),IF(AU$5=$E129+1,$C129,""),"")</f>
        <v/>
      </c>
      <c r="AV129" s="34">
        <f>IF(AND(AV$5&gt;$E129,AV$5&lt;=$F129),IF(AV$5=$E129+1,$C129,""),"")</f>
        <v/>
      </c>
      <c r="AW129" s="34">
        <f>IF(AND(AW$5&gt;$E129,AW$5&lt;=$F129),IF(AW$5=$E129+1,$C129,""),"")</f>
        <v/>
      </c>
      <c r="AX129" s="34">
        <f>IF(AND(AX$5&gt;$E129,AX$5&lt;=$F129),IF(AX$5=$E129+1,$C129,""),"")</f>
        <v/>
      </c>
      <c r="AY129" s="34">
        <f>IF(AND(AY$5&gt;$E129,AY$5&lt;=$F129),IF(AY$5=$E129+1,$C129,""),"")</f>
        <v/>
      </c>
      <c r="AZ129" s="34">
        <f>IF(AND(AZ$5&gt;$E129,AZ$5&lt;=$F129),IF(AZ$5=$E129+1,$C129,""),"")</f>
        <v/>
      </c>
      <c r="BA129" s="34">
        <f>IF(AND(BA$5&gt;$E129,BA$5&lt;=$F129),IF(BA$5=$E129+1,$C129,""),"")</f>
        <v/>
      </c>
      <c r="BB129" s="34">
        <f>IF(AND(BB$5&gt;$E129,BB$5&lt;=$F129),IF(BB$5=$E129+1,$C129,""),"")</f>
        <v/>
      </c>
      <c r="BC129" s="34">
        <f>IF(AND(BC$5&gt;$E129,BC$5&lt;=$F129),IF(BC$5=$E129+1,$C129,""),"")</f>
        <v/>
      </c>
      <c r="BD129" s="34">
        <f>IF(AND(BD$5&gt;$E129,BD$5&lt;=$F129),IF(BD$5=$E129+1,$C129,""),"")</f>
        <v/>
      </c>
      <c r="BE129" s="34">
        <f>IF(AND(BE$5&gt;$E129,BE$5&lt;=$F129),IF(BE$5=$E129+1,$C129,""),"")</f>
        <v/>
      </c>
      <c r="BF129" s="34">
        <f>IF(AND(BF$5&gt;$E129,BF$5&lt;=$F129),IF(BF$5=$E129+1,$C129,""),"")</f>
        <v/>
      </c>
      <c r="BG129" s="34">
        <f>IF(AND(BG$5&gt;$E129,BG$5&lt;=$F129),IF(BG$5=$E129+1,$C129,""),"")</f>
        <v/>
      </c>
      <c r="BH129" s="34">
        <f>IF(AND(BH$5&gt;$E129,BH$5&lt;=$F129),IF(BH$5=$E129+1,$C129,""),"")</f>
        <v/>
      </c>
      <c r="BI129" s="34">
        <f>IF(AND(BI$5&gt;$E129,BI$5&lt;=$F129),IF(BI$5=$E129+1,$C129,""),"")</f>
        <v/>
      </c>
      <c r="BJ129" s="34">
        <f>IF(AND(BJ$5&gt;$E129,BJ$5&lt;=$F129),IF(BJ$5=$E129+1,$C129,""),"")</f>
        <v/>
      </c>
      <c r="BK129" s="34">
        <f>IF(AND(BK$5&gt;$E129,BK$5&lt;=$F129),IF(BK$5=$E129+1,$C129,""),"")</f>
        <v/>
      </c>
      <c r="BL129" s="34">
        <f>IF(AND(BL$5&gt;$E129,BL$5&lt;=$F129),IF(BL$5=$E129+1,$C129,""),"")</f>
        <v/>
      </c>
      <c r="BM129" s="34">
        <f>IF(AND(BM$5&gt;$E129,BM$5&lt;=$F129),IF(BM$5=$E129+1,$C129,""),"")</f>
        <v/>
      </c>
      <c r="BN129" s="34">
        <f>IF(AND(BN$5&gt;$E129,BN$5&lt;=$F129),IF(BN$5=$E129+1,$C129,""),"")</f>
        <v/>
      </c>
      <c r="BO129" s="34">
        <f>IF(AND(BO$5&gt;$E129,BO$5&lt;=$F129),IF(BO$5=$E129+1,$C129,""),"")</f>
        <v/>
      </c>
      <c r="BP129" s="34">
        <f>IF(AND(BP$5&gt;$E129,BP$5&lt;=$F129),IF(BP$5=$E129+1,$C129,""),"")</f>
        <v/>
      </c>
      <c r="BQ129" s="34">
        <f>IF(AND(BQ$5&gt;$E129,BQ$5&lt;=$F129),IF(BQ$5=$E129+1,$C129,""),"")</f>
        <v/>
      </c>
      <c r="BR129" s="34">
        <f>IF(AND(BR$5&gt;$E129,BR$5&lt;=$F129),IF(BR$5=$E129+1,$C129,""),"")</f>
        <v/>
      </c>
      <c r="BS129" s="34">
        <f>IF(AND(BS$5&gt;$E129,BS$5&lt;=$F129),IF(BS$5=$E129+1,$C129,""),"")</f>
        <v/>
      </c>
      <c r="BT129" s="34">
        <f>IF(AND(BT$5&gt;$E129,BT$5&lt;=$F129),IF(BT$5=$E129+1,$C129,""),"")</f>
        <v/>
      </c>
      <c r="BU129" s="34">
        <f>IF(AND(BU$5&gt;$E129,BU$5&lt;=$F129),IF(BU$5=$E129+1,$C129,""),"")</f>
        <v/>
      </c>
      <c r="BV129" s="34">
        <f>IF(AND(BV$5&gt;$E129,BV$5&lt;=$F129),IF(BV$5=$E129+1,$C129,""),"")</f>
        <v/>
      </c>
      <c r="BW129" s="34">
        <f>IF(AND(BW$5&gt;$E129,BW$5&lt;=$F129),IF(BW$5=$E129+1,$C129,""),"")</f>
        <v/>
      </c>
      <c r="BX129" s="34">
        <f>IF(AND(BX$5&gt;$E129,BX$5&lt;=$F129),IF(BX$5=$E129+1,$C129,""),"")</f>
        <v/>
      </c>
      <c r="BY129" s="34">
        <f>IF(AND(BY$5&gt;$E129,BY$5&lt;=$F129),IF(BY$5=$E129+1,$C129,""),"")</f>
        <v/>
      </c>
      <c r="BZ129" s="34">
        <f>IF(AND(BZ$5&gt;$E129,BZ$5&lt;=$F129),IF(BZ$5=$E129+1,$C129,""),"")</f>
        <v/>
      </c>
      <c r="CA129" s="34">
        <f>IF(AND(CA$5&gt;$E129,CA$5&lt;=$F129),IF(CA$5=$E129+1,$C129,""),"")</f>
        <v/>
      </c>
      <c r="CB129" s="34">
        <f>IF(AND(CB$5&gt;$E129,CB$5&lt;=$F129),IF(CB$5=$E129+1,$C129,""),"")</f>
        <v/>
      </c>
      <c r="CC129" s="34">
        <f>IF(AND(CC$5&gt;$E129,CC$5&lt;=$F129),IF(CC$5=$E129+1,$C129,""),"")</f>
        <v/>
      </c>
      <c r="CD129" s="34">
        <f>IF(AND(CD$5&gt;$E129,CD$5&lt;=$F129),IF(CD$5=$E129+1,$C129,""),"")</f>
        <v/>
      </c>
      <c r="CE129" s="34">
        <f>IF(AND(CE$5&gt;$E129,CE$5&lt;=$F129),IF(CE$5=$E129+1,$C129,""),"")</f>
        <v/>
      </c>
      <c r="CF129" s="34">
        <f>IF(AND(CF$5&gt;$E129,CF$5&lt;=$F129),IF(CF$5=$E129+1,$C129,""),"")</f>
        <v/>
      </c>
      <c r="CG129" s="34">
        <f>IF(AND(CG$5&gt;$E129,CG$5&lt;=$F129),IF(CG$5=$E129+1,$C129,""),"")</f>
        <v/>
      </c>
      <c r="CH129" s="34">
        <f>IF(AND(CH$5&gt;$E129,CH$5&lt;=$F129),IF(CH$5=$E129+1,$C129,""),"")</f>
        <v/>
      </c>
      <c r="CI129" s="34">
        <f>IF(AND(CI$5&gt;$E129,CI$5&lt;=$F129),IF(CI$5=$E129+1,$C129,""),"")</f>
        <v/>
      </c>
      <c r="CJ129" s="34">
        <f>IF(AND(CJ$5&gt;$E129,CJ$5&lt;=$F129),IF(CJ$5=$E129+1,$C129,""),"")</f>
        <v/>
      </c>
      <c r="CK129" s="34">
        <f>IF(AND(CK$5&gt;$E129,CK$5&lt;=$F129),IF(CK$5=$E129+1,$C129,""),"")</f>
        <v/>
      </c>
      <c r="CL129" s="34">
        <f>IF(AND(CL$5&gt;$E129,CL$5&lt;=$F129),IF(CL$5=$E129+1,$C129,""),"")</f>
        <v/>
      </c>
      <c r="CM129" s="34">
        <f>IF(AND(CM$5&gt;$E129,CM$5&lt;=$F129),IF(CM$5=$E129+1,$C129,""),"")</f>
        <v/>
      </c>
      <c r="CN129" s="34">
        <f>IF(AND(CN$5&gt;$E129,CN$5&lt;=$F129),IF(CN$5=$E129+1,$C129,""),"")</f>
        <v/>
      </c>
      <c r="CO129" s="34">
        <f>IF(AND(CO$5&gt;$E129,CO$5&lt;=$F129),IF(CO$5=$E129+1,$C129,""),"")</f>
        <v/>
      </c>
      <c r="CP129" s="34">
        <f>IF(AND(CP$5&gt;$E129,CP$5&lt;=$F129),IF(CP$5=$E129+1,$C129,""),"")</f>
        <v/>
      </c>
      <c r="CQ129" s="34">
        <f>IF(AND(CQ$5&gt;$E129,CQ$5&lt;=$F129),IF(CQ$5=$E129+1,$C129,""),"")</f>
        <v/>
      </c>
      <c r="CR129" s="34">
        <f>IF(AND(CR$5&gt;$E129,CR$5&lt;=$F129),IF(CR$5=$E129+1,$C129,""),"")</f>
        <v/>
      </c>
      <c r="CS129" s="34">
        <f>IF(AND(CS$5&gt;$E129,CS$5&lt;=$F129),IF(CS$5=$E129+1,$C129,""),"")</f>
        <v/>
      </c>
      <c r="CT129" s="34">
        <f>IF(AND(CT$5&gt;$E129,CT$5&lt;=$F129),IF(CT$5=$E129+1,$C129,""),"")</f>
        <v/>
      </c>
      <c r="CU129" s="34">
        <f>IF(AND(CU$5&gt;$E129,CU$5&lt;=$F129),IF(CU$5=$E129+1,$C129,""),"")</f>
        <v/>
      </c>
      <c r="CV129" s="34">
        <f>IF(AND(CV$5&gt;$E129,CV$5&lt;=$F129),IF(CV$5=$E129+1,$C129,""),"")</f>
        <v/>
      </c>
      <c r="CW129" s="34">
        <f>IF(AND(CW$5&gt;$E129,CW$5&lt;=$F129),IF(CW$5=$E129+1,$C129,""),"")</f>
        <v/>
      </c>
      <c r="CX129" s="34">
        <f>IF(AND(CX$5&gt;$E129,CX$5&lt;=$F129),IF(CX$5=$E129+1,$C129,""),"")</f>
        <v/>
      </c>
      <c r="CY129" s="34">
        <f>IF(AND(CY$5&gt;$E129,CY$5&lt;=$F129),IF(CY$5=$E129+1,$C129,""),"")</f>
        <v/>
      </c>
      <c r="CZ129" s="34">
        <f>IF(AND(CZ$5&gt;$E129,CZ$5&lt;=$F129),IF(CZ$5=$E129+1,$C129,""),"")</f>
        <v/>
      </c>
      <c r="DA129" s="34">
        <f>IF(AND(DA$5&gt;$E129,DA$5&lt;=$F129),IF(DA$5=$E129+1,$C129,""),"")</f>
        <v/>
      </c>
      <c r="DB129" s="34">
        <f>IF(AND(DB$5&gt;$E129,DB$5&lt;=$F129),IF(DB$5=$E129+1,$C129,""),"")</f>
        <v/>
      </c>
      <c r="DC129" s="34">
        <f>IF(AND(DC$5&gt;$E129,DC$5&lt;=$F129),IF(DC$5=$E129+1,$C129,""),"")</f>
        <v/>
      </c>
      <c r="DD129" s="34">
        <f>IF(AND(DD$5&gt;$E129,DD$5&lt;=$F129),IF(DD$5=$E129+1,$C129,""),"")</f>
        <v/>
      </c>
      <c r="DE129" s="34">
        <f>IF(AND(DE$5&gt;$E129,DE$5&lt;=$F129),IF(DE$5=$E129+1,$C129,""),"")</f>
        <v/>
      </c>
      <c r="DF129" s="34">
        <f>IF(AND(DF$5&gt;$E129,DF$5&lt;=$F129),IF(DF$5=$E129+1,$C129,""),"")</f>
        <v/>
      </c>
      <c r="DG129" s="34">
        <f>IF(AND(DG$5&gt;$E129,DG$5&lt;=$F129),IF(DG$5=$E129+1,$C129,""),"")</f>
        <v/>
      </c>
      <c r="DH129" s="34">
        <f>IF(AND(DH$5&gt;$E129,DH$5&lt;=$F129),IF(DH$5=$E129+1,$C129,""),"")</f>
        <v/>
      </c>
      <c r="DI129" s="34">
        <f>IF(AND(DI$5&gt;$E129,DI$5&lt;=$F129),IF(DI$5=$E129+1,$C129,""),"")</f>
        <v/>
      </c>
      <c r="DJ129" s="34">
        <f>IF(AND(DJ$5&gt;$E129,DJ$5&lt;=$F129),IF(DJ$5=$E129+1,$C129,""),"")</f>
        <v/>
      </c>
      <c r="DK129" s="34">
        <f>IF(AND(DK$5&gt;$E129,DK$5&lt;=$F129),IF(DK$5=$E129+1,$C129,""),"")</f>
        <v/>
      </c>
      <c r="DL129" s="34">
        <f>IF(AND(DL$5&gt;$E129,DL$5&lt;=$F129),IF(DL$5=$E129+1,$C129,""),"")</f>
        <v/>
      </c>
      <c r="DM129" s="34">
        <f>IF(AND(DM$5&gt;$E129,DM$5&lt;=$F129),IF(DM$5=$E129+1,$C129,""),"")</f>
        <v/>
      </c>
      <c r="DN129" s="34">
        <f>IF(AND(DN$5&gt;$E129,DN$5&lt;=$F129),IF(DN$5=$E129+1,$C129,""),"")</f>
        <v/>
      </c>
      <c r="DO129" s="34">
        <f>IF(AND(DO$5&gt;$E129,DO$5&lt;=$F129),IF(DO$5=$E129+1,$C129,""),"")</f>
        <v/>
      </c>
      <c r="DP129" s="34">
        <f>IF(AND(DP$5&gt;$E129,DP$5&lt;=$F129),IF(DP$5=$E129+1,$C129,""),"")</f>
        <v/>
      </c>
      <c r="DQ129" s="34">
        <f>IF(AND(DQ$5&gt;$E129,DQ$5&lt;=$F129),IF(DQ$5=$E129+1,$C129,""),"")</f>
        <v/>
      </c>
      <c r="DR129" s="34">
        <f>IF(AND(DR$5&gt;$E129,DR$5&lt;=$F129),IF(DR$5=$E129+1,$C129,""),"")</f>
        <v/>
      </c>
      <c r="DS129" s="34">
        <f>IF(AND(DS$5&gt;$E129,DS$5&lt;=$F129),IF(DS$5=$E129+1,$C129,""),"")</f>
        <v/>
      </c>
      <c r="DT129" s="34">
        <f>IF(AND(DT$5&gt;$E129,DT$5&lt;=$F129),IF(DT$5=$E129+1,$C129,""),"")</f>
        <v/>
      </c>
      <c r="DU129" s="34">
        <f>IF(AND(DU$5&gt;$E129,DU$5&lt;=$F129),IF(DU$5=$E129+1,$C129,""),"")</f>
        <v/>
      </c>
      <c r="DV129" s="34">
        <f>IF(AND(DV$5&gt;$E129,DV$5&lt;=$F129),IF(DV$5=$E129+1,$C129,""),"")</f>
        <v/>
      </c>
      <c r="DW129" s="34">
        <f>IF(AND(DW$5&gt;$E129,DW$5&lt;=$F129),IF(DW$5=$E129+1,$C129,""),"")</f>
        <v/>
      </c>
      <c r="DX129" s="34">
        <f>IF(AND(DX$5&gt;$E129,DX$5&lt;=$F129),IF(DX$5=$E129+1,$C129,""),"")</f>
        <v/>
      </c>
      <c r="DY129" s="34">
        <f>IF(AND(DY$5&gt;$E129,DY$5&lt;=$F129),IF(DY$5=$E129+1,$C129,""),"")</f>
        <v/>
      </c>
      <c r="DZ129" s="34">
        <f>IF(AND(DZ$5&gt;$E129,DZ$5&lt;=$F129),IF(DZ$5=$E129+1,$C129,""),"")</f>
        <v/>
      </c>
      <c r="EA129" s="34">
        <f>IF(AND(EA$5&gt;$E129,EA$5&lt;=$F129),IF(EA$5=$E129+1,$C129,""),"")</f>
        <v/>
      </c>
      <c r="EB129" s="34">
        <f>IF(AND(EB$5&gt;$E129,EB$5&lt;=$F129),IF(EB$5=$E129+1,$C129,""),"")</f>
        <v/>
      </c>
      <c r="EC129" s="34">
        <f>IF(AND(EC$5&gt;$E129,EC$5&lt;=$F129),IF(EC$5=$E129+1,$C129,""),"")</f>
        <v/>
      </c>
      <c r="ED129" s="34">
        <f>IF(AND(ED$5&gt;$E129,ED$5&lt;=$F129),IF(ED$5=$E129+1,$C129,""),"")</f>
        <v/>
      </c>
      <c r="EE129" s="34">
        <f>IF(AND(EE$5&gt;$E129,EE$5&lt;=$F129),IF(EE$5=$E129+1,$C129,""),"")</f>
        <v/>
      </c>
      <c r="EF129" s="34">
        <f>IF(AND(EF$5&gt;$E129,EF$5&lt;=$F129),IF(EF$5=$E129+1,$C129,""),"")</f>
        <v/>
      </c>
      <c r="EG129" s="34">
        <f>IF(AND(EG$5&gt;$E129,EG$5&lt;=$F129),IF(EG$5=$E129+1,$C129,""),"")</f>
        <v/>
      </c>
      <c r="EH129" s="34">
        <f>IF(AND(EH$5&gt;$E129,EH$5&lt;=$F129),IF(EH$5=$E129+1,$C129,""),"")</f>
        <v/>
      </c>
      <c r="EI129" s="34">
        <f>IF(AND(EI$5&gt;$E129,EI$5&lt;=$F129),IF(EI$5=$E129+1,$C129,""),"")</f>
        <v/>
      </c>
      <c r="EJ129" s="34">
        <f>IF(AND(EJ$5&gt;$E129,EJ$5&lt;=$F129),IF(EJ$5=$E129+1,$C129,""),"")</f>
        <v/>
      </c>
      <c r="EK129" s="34">
        <f>IF(AND(EK$5&gt;$E129,EK$5&lt;=$F129),IF(EK$5=$E129+1,$C129,""),"")</f>
        <v/>
      </c>
      <c r="EL129" s="34">
        <f>IF(AND(EL$5&gt;$E129,EL$5&lt;=$F129),IF(EL$5=$E129+1,$C129,""),"")</f>
        <v/>
      </c>
      <c r="EM129" s="34">
        <f>IF(AND(EM$5&gt;$E129,EM$5&lt;=$F129),IF(EM$5=$E129+1,$C129,""),"")</f>
        <v/>
      </c>
      <c r="EN129" s="34">
        <f>IF(AND(EN$5&gt;$E129,EN$5&lt;=$F129),IF(EN$5=$E129+1,$C129,""),"")</f>
        <v/>
      </c>
      <c r="EO129" s="34">
        <f>IF(AND(EO$5&gt;$E129,EO$5&lt;=$F129),IF(EO$5=$E129+1,$C129,""),"")</f>
        <v/>
      </c>
      <c r="EP129" s="34">
        <f>IF(AND(EP$5&gt;$E129,EP$5&lt;=$F129),IF(EP$5=$E129+1,$C129,""),"")</f>
        <v/>
      </c>
      <c r="EQ129" s="34">
        <f>IF(AND(EQ$5&gt;$E129,EQ$5&lt;=$F129),IF(EQ$5=$E129+1,$C129,""),"")</f>
        <v/>
      </c>
    </row>
    <row r="130">
      <c r="A130" s="32">
        <f>Plan!A114</f>
        <v/>
      </c>
      <c r="B130" s="33">
        <f>Plan!C114</f>
        <v/>
      </c>
      <c r="C130" s="16">
        <f>Plan!D114</f>
        <v/>
      </c>
      <c r="D130" s="16">
        <f>Plan!I114</f>
        <v/>
      </c>
      <c r="E130" s="16">
        <f>Plan!K114</f>
        <v/>
      </c>
      <c r="F130" s="16">
        <f>Plan!L114</f>
        <v/>
      </c>
      <c r="G130" s="16">
        <f>Plan!O114</f>
        <v/>
      </c>
      <c r="H130" s="34">
        <f>IF(AND(H$5&gt;$E130,H$5&lt;=$F130),IF(H$5=$E130+1,$C130,""),"")</f>
        <v/>
      </c>
      <c r="I130" s="34">
        <f>IF(AND(I$5&gt;$E130,I$5&lt;=$F130),IF(I$5=$E130+1,$C130,""),"")</f>
        <v/>
      </c>
      <c r="J130" s="34">
        <f>IF(AND(J$5&gt;$E130,J$5&lt;=$F130),IF(J$5=$E130+1,$C130,""),"")</f>
        <v/>
      </c>
      <c r="K130" s="34">
        <f>IF(AND(K$5&gt;$E130,K$5&lt;=$F130),IF(K$5=$E130+1,$C130,""),"")</f>
        <v/>
      </c>
      <c r="L130" s="34">
        <f>IF(AND(L$5&gt;$E130,L$5&lt;=$F130),IF(L$5=$E130+1,$C130,""),"")</f>
        <v/>
      </c>
      <c r="M130" s="34">
        <f>IF(AND(M$5&gt;$E130,M$5&lt;=$F130),IF(M$5=$E130+1,$C130,""),"")</f>
        <v/>
      </c>
      <c r="N130" s="34">
        <f>IF(AND(N$5&gt;$E130,N$5&lt;=$F130),IF(N$5=$E130+1,$C130,""),"")</f>
        <v/>
      </c>
      <c r="O130" s="34">
        <f>IF(AND(O$5&gt;$E130,O$5&lt;=$F130),IF(O$5=$E130+1,$C130,""),"")</f>
        <v/>
      </c>
      <c r="P130" s="34">
        <f>IF(AND(P$5&gt;$E130,P$5&lt;=$F130),IF(P$5=$E130+1,$C130,""),"")</f>
        <v/>
      </c>
      <c r="Q130" s="34">
        <f>IF(AND(Q$5&gt;$E130,Q$5&lt;=$F130),IF(Q$5=$E130+1,$C130,""),"")</f>
        <v/>
      </c>
      <c r="R130" s="34">
        <f>IF(AND(R$5&gt;$E130,R$5&lt;=$F130),IF(R$5=$E130+1,$C130,""),"")</f>
        <v/>
      </c>
      <c r="S130" s="34">
        <f>IF(AND(S$5&gt;$E130,S$5&lt;=$F130),IF(S$5=$E130+1,$C130,""),"")</f>
        <v/>
      </c>
      <c r="T130" s="34">
        <f>IF(AND(T$5&gt;$E130,T$5&lt;=$F130),IF(T$5=$E130+1,$C130,""),"")</f>
        <v/>
      </c>
      <c r="U130" s="34">
        <f>IF(AND(U$5&gt;$E130,U$5&lt;=$F130),IF(U$5=$E130+1,$C130,""),"")</f>
        <v/>
      </c>
      <c r="V130" s="34">
        <f>IF(AND(V$5&gt;$E130,V$5&lt;=$F130),IF(V$5=$E130+1,$C130,""),"")</f>
        <v/>
      </c>
      <c r="W130" s="34">
        <f>IF(AND(W$5&gt;$E130,W$5&lt;=$F130),IF(W$5=$E130+1,$C130,""),"")</f>
        <v/>
      </c>
      <c r="X130" s="34">
        <f>IF(AND(X$5&gt;$E130,X$5&lt;=$F130),IF(X$5=$E130+1,$C130,""),"")</f>
        <v/>
      </c>
      <c r="Y130" s="34">
        <f>IF(AND(Y$5&gt;$E130,Y$5&lt;=$F130),IF(Y$5=$E130+1,$C130,""),"")</f>
        <v/>
      </c>
      <c r="Z130" s="34">
        <f>IF(AND(Z$5&gt;$E130,Z$5&lt;=$F130),IF(Z$5=$E130+1,$C130,""),"")</f>
        <v/>
      </c>
      <c r="AA130" s="34">
        <f>IF(AND(AA$5&gt;$E130,AA$5&lt;=$F130),IF(AA$5=$E130+1,$C130,""),"")</f>
        <v/>
      </c>
      <c r="AB130" s="34">
        <f>IF(AND(AB$5&gt;$E130,AB$5&lt;=$F130),IF(AB$5=$E130+1,$C130,""),"")</f>
        <v/>
      </c>
      <c r="AC130" s="34">
        <f>IF(AND(AC$5&gt;$E130,AC$5&lt;=$F130),IF(AC$5=$E130+1,$C130,""),"")</f>
        <v/>
      </c>
      <c r="AD130" s="34">
        <f>IF(AND(AD$5&gt;$E130,AD$5&lt;=$F130),IF(AD$5=$E130+1,$C130,""),"")</f>
        <v/>
      </c>
      <c r="AE130" s="34">
        <f>IF(AND(AE$5&gt;$E130,AE$5&lt;=$F130),IF(AE$5=$E130+1,$C130,""),"")</f>
        <v/>
      </c>
      <c r="AF130" s="34">
        <f>IF(AND(AF$5&gt;$E130,AF$5&lt;=$F130),IF(AF$5=$E130+1,$C130,""),"")</f>
        <v/>
      </c>
      <c r="AG130" s="34">
        <f>IF(AND(AG$5&gt;$E130,AG$5&lt;=$F130),IF(AG$5=$E130+1,$C130,""),"")</f>
        <v/>
      </c>
      <c r="AH130" s="34">
        <f>IF(AND(AH$5&gt;$E130,AH$5&lt;=$F130),IF(AH$5=$E130+1,$C130,""),"")</f>
        <v/>
      </c>
      <c r="AI130" s="34">
        <f>IF(AND(AI$5&gt;$E130,AI$5&lt;=$F130),IF(AI$5=$E130+1,$C130,""),"")</f>
        <v/>
      </c>
      <c r="AJ130" s="34">
        <f>IF(AND(AJ$5&gt;$E130,AJ$5&lt;=$F130),IF(AJ$5=$E130+1,$C130,""),"")</f>
        <v/>
      </c>
      <c r="AK130" s="34">
        <f>IF(AND(AK$5&gt;$E130,AK$5&lt;=$F130),IF(AK$5=$E130+1,$C130,""),"")</f>
        <v/>
      </c>
      <c r="AL130" s="34">
        <f>IF(AND(AL$5&gt;$E130,AL$5&lt;=$F130),IF(AL$5=$E130+1,$C130,""),"")</f>
        <v/>
      </c>
      <c r="AM130" s="34">
        <f>IF(AND(AM$5&gt;$E130,AM$5&lt;=$F130),IF(AM$5=$E130+1,$C130,""),"")</f>
        <v/>
      </c>
      <c r="AN130" s="34">
        <f>IF(AND(AN$5&gt;$E130,AN$5&lt;=$F130),IF(AN$5=$E130+1,$C130,""),"")</f>
        <v/>
      </c>
      <c r="AO130" s="34">
        <f>IF(AND(AO$5&gt;$E130,AO$5&lt;=$F130),IF(AO$5=$E130+1,$C130,""),"")</f>
        <v/>
      </c>
      <c r="AP130" s="34">
        <f>IF(AND(AP$5&gt;$E130,AP$5&lt;=$F130),IF(AP$5=$E130+1,$C130,""),"")</f>
        <v/>
      </c>
      <c r="AQ130" s="34">
        <f>IF(AND(AQ$5&gt;$E130,AQ$5&lt;=$F130),IF(AQ$5=$E130+1,$C130,""),"")</f>
        <v/>
      </c>
      <c r="AR130" s="34">
        <f>IF(AND(AR$5&gt;$E130,AR$5&lt;=$F130),IF(AR$5=$E130+1,$C130,""),"")</f>
        <v/>
      </c>
      <c r="AS130" s="34">
        <f>IF(AND(AS$5&gt;$E130,AS$5&lt;=$F130),IF(AS$5=$E130+1,$C130,""),"")</f>
        <v/>
      </c>
      <c r="AT130" s="34">
        <f>IF(AND(AT$5&gt;$E130,AT$5&lt;=$F130),IF(AT$5=$E130+1,$C130,""),"")</f>
        <v/>
      </c>
      <c r="AU130" s="34">
        <f>IF(AND(AU$5&gt;$E130,AU$5&lt;=$F130),IF(AU$5=$E130+1,$C130,""),"")</f>
        <v/>
      </c>
      <c r="AV130" s="34">
        <f>IF(AND(AV$5&gt;$E130,AV$5&lt;=$F130),IF(AV$5=$E130+1,$C130,""),"")</f>
        <v/>
      </c>
      <c r="AW130" s="34">
        <f>IF(AND(AW$5&gt;$E130,AW$5&lt;=$F130),IF(AW$5=$E130+1,$C130,""),"")</f>
        <v/>
      </c>
      <c r="AX130" s="34">
        <f>IF(AND(AX$5&gt;$E130,AX$5&lt;=$F130),IF(AX$5=$E130+1,$C130,""),"")</f>
        <v/>
      </c>
      <c r="AY130" s="34">
        <f>IF(AND(AY$5&gt;$E130,AY$5&lt;=$F130),IF(AY$5=$E130+1,$C130,""),"")</f>
        <v/>
      </c>
      <c r="AZ130" s="34">
        <f>IF(AND(AZ$5&gt;$E130,AZ$5&lt;=$F130),IF(AZ$5=$E130+1,$C130,""),"")</f>
        <v/>
      </c>
      <c r="BA130" s="34">
        <f>IF(AND(BA$5&gt;$E130,BA$5&lt;=$F130),IF(BA$5=$E130+1,$C130,""),"")</f>
        <v/>
      </c>
      <c r="BB130" s="34">
        <f>IF(AND(BB$5&gt;$E130,BB$5&lt;=$F130),IF(BB$5=$E130+1,$C130,""),"")</f>
        <v/>
      </c>
      <c r="BC130" s="34">
        <f>IF(AND(BC$5&gt;$E130,BC$5&lt;=$F130),IF(BC$5=$E130+1,$C130,""),"")</f>
        <v/>
      </c>
      <c r="BD130" s="34">
        <f>IF(AND(BD$5&gt;$E130,BD$5&lt;=$F130),IF(BD$5=$E130+1,$C130,""),"")</f>
        <v/>
      </c>
      <c r="BE130" s="34">
        <f>IF(AND(BE$5&gt;$E130,BE$5&lt;=$F130),IF(BE$5=$E130+1,$C130,""),"")</f>
        <v/>
      </c>
      <c r="BF130" s="34">
        <f>IF(AND(BF$5&gt;$E130,BF$5&lt;=$F130),IF(BF$5=$E130+1,$C130,""),"")</f>
        <v/>
      </c>
      <c r="BG130" s="34">
        <f>IF(AND(BG$5&gt;$E130,BG$5&lt;=$F130),IF(BG$5=$E130+1,$C130,""),"")</f>
        <v/>
      </c>
      <c r="BH130" s="34">
        <f>IF(AND(BH$5&gt;$E130,BH$5&lt;=$F130),IF(BH$5=$E130+1,$C130,""),"")</f>
        <v/>
      </c>
      <c r="BI130" s="34">
        <f>IF(AND(BI$5&gt;$E130,BI$5&lt;=$F130),IF(BI$5=$E130+1,$C130,""),"")</f>
        <v/>
      </c>
      <c r="BJ130" s="34">
        <f>IF(AND(BJ$5&gt;$E130,BJ$5&lt;=$F130),IF(BJ$5=$E130+1,$C130,""),"")</f>
        <v/>
      </c>
      <c r="BK130" s="34">
        <f>IF(AND(BK$5&gt;$E130,BK$5&lt;=$F130),IF(BK$5=$E130+1,$C130,""),"")</f>
        <v/>
      </c>
      <c r="BL130" s="34">
        <f>IF(AND(BL$5&gt;$E130,BL$5&lt;=$F130),IF(BL$5=$E130+1,$C130,""),"")</f>
        <v/>
      </c>
      <c r="BM130" s="34">
        <f>IF(AND(BM$5&gt;$E130,BM$5&lt;=$F130),IF(BM$5=$E130+1,$C130,""),"")</f>
        <v/>
      </c>
      <c r="BN130" s="34">
        <f>IF(AND(BN$5&gt;$E130,BN$5&lt;=$F130),IF(BN$5=$E130+1,$C130,""),"")</f>
        <v/>
      </c>
      <c r="BO130" s="34">
        <f>IF(AND(BO$5&gt;$E130,BO$5&lt;=$F130),IF(BO$5=$E130+1,$C130,""),"")</f>
        <v/>
      </c>
      <c r="BP130" s="34">
        <f>IF(AND(BP$5&gt;$E130,BP$5&lt;=$F130),IF(BP$5=$E130+1,$C130,""),"")</f>
        <v/>
      </c>
      <c r="BQ130" s="34">
        <f>IF(AND(BQ$5&gt;$E130,BQ$5&lt;=$F130),IF(BQ$5=$E130+1,$C130,""),"")</f>
        <v/>
      </c>
      <c r="BR130" s="34">
        <f>IF(AND(BR$5&gt;$E130,BR$5&lt;=$F130),IF(BR$5=$E130+1,$C130,""),"")</f>
        <v/>
      </c>
      <c r="BS130" s="34">
        <f>IF(AND(BS$5&gt;$E130,BS$5&lt;=$F130),IF(BS$5=$E130+1,$C130,""),"")</f>
        <v/>
      </c>
      <c r="BT130" s="34">
        <f>IF(AND(BT$5&gt;$E130,BT$5&lt;=$F130),IF(BT$5=$E130+1,$C130,""),"")</f>
        <v/>
      </c>
      <c r="BU130" s="34">
        <f>IF(AND(BU$5&gt;$E130,BU$5&lt;=$F130),IF(BU$5=$E130+1,$C130,""),"")</f>
        <v/>
      </c>
      <c r="BV130" s="34">
        <f>IF(AND(BV$5&gt;$E130,BV$5&lt;=$F130),IF(BV$5=$E130+1,$C130,""),"")</f>
        <v/>
      </c>
      <c r="BW130" s="34">
        <f>IF(AND(BW$5&gt;$E130,BW$5&lt;=$F130),IF(BW$5=$E130+1,$C130,""),"")</f>
        <v/>
      </c>
      <c r="BX130" s="34">
        <f>IF(AND(BX$5&gt;$E130,BX$5&lt;=$F130),IF(BX$5=$E130+1,$C130,""),"")</f>
        <v/>
      </c>
      <c r="BY130" s="34">
        <f>IF(AND(BY$5&gt;$E130,BY$5&lt;=$F130),IF(BY$5=$E130+1,$C130,""),"")</f>
        <v/>
      </c>
      <c r="BZ130" s="34">
        <f>IF(AND(BZ$5&gt;$E130,BZ$5&lt;=$F130),IF(BZ$5=$E130+1,$C130,""),"")</f>
        <v/>
      </c>
      <c r="CA130" s="34">
        <f>IF(AND(CA$5&gt;$E130,CA$5&lt;=$F130),IF(CA$5=$E130+1,$C130,""),"")</f>
        <v/>
      </c>
      <c r="CB130" s="34">
        <f>IF(AND(CB$5&gt;$E130,CB$5&lt;=$F130),IF(CB$5=$E130+1,$C130,""),"")</f>
        <v/>
      </c>
      <c r="CC130" s="34">
        <f>IF(AND(CC$5&gt;$E130,CC$5&lt;=$F130),IF(CC$5=$E130+1,$C130,""),"")</f>
        <v/>
      </c>
      <c r="CD130" s="34">
        <f>IF(AND(CD$5&gt;$E130,CD$5&lt;=$F130),IF(CD$5=$E130+1,$C130,""),"")</f>
        <v/>
      </c>
      <c r="CE130" s="34">
        <f>IF(AND(CE$5&gt;$E130,CE$5&lt;=$F130),IF(CE$5=$E130+1,$C130,""),"")</f>
        <v/>
      </c>
      <c r="CF130" s="34">
        <f>IF(AND(CF$5&gt;$E130,CF$5&lt;=$F130),IF(CF$5=$E130+1,$C130,""),"")</f>
        <v/>
      </c>
      <c r="CG130" s="34">
        <f>IF(AND(CG$5&gt;$E130,CG$5&lt;=$F130),IF(CG$5=$E130+1,$C130,""),"")</f>
        <v/>
      </c>
      <c r="CH130" s="34">
        <f>IF(AND(CH$5&gt;$E130,CH$5&lt;=$F130),IF(CH$5=$E130+1,$C130,""),"")</f>
        <v/>
      </c>
      <c r="CI130" s="34">
        <f>IF(AND(CI$5&gt;$E130,CI$5&lt;=$F130),IF(CI$5=$E130+1,$C130,""),"")</f>
        <v/>
      </c>
      <c r="CJ130" s="34">
        <f>IF(AND(CJ$5&gt;$E130,CJ$5&lt;=$F130),IF(CJ$5=$E130+1,$C130,""),"")</f>
        <v/>
      </c>
      <c r="CK130" s="34">
        <f>IF(AND(CK$5&gt;$E130,CK$5&lt;=$F130),IF(CK$5=$E130+1,$C130,""),"")</f>
        <v/>
      </c>
      <c r="CL130" s="34">
        <f>IF(AND(CL$5&gt;$E130,CL$5&lt;=$F130),IF(CL$5=$E130+1,$C130,""),"")</f>
        <v/>
      </c>
      <c r="CM130" s="34">
        <f>IF(AND(CM$5&gt;$E130,CM$5&lt;=$F130),IF(CM$5=$E130+1,$C130,""),"")</f>
        <v/>
      </c>
      <c r="CN130" s="34">
        <f>IF(AND(CN$5&gt;$E130,CN$5&lt;=$F130),IF(CN$5=$E130+1,$C130,""),"")</f>
        <v/>
      </c>
      <c r="CO130" s="34">
        <f>IF(AND(CO$5&gt;$E130,CO$5&lt;=$F130),IF(CO$5=$E130+1,$C130,""),"")</f>
        <v/>
      </c>
      <c r="CP130" s="34">
        <f>IF(AND(CP$5&gt;$E130,CP$5&lt;=$F130),IF(CP$5=$E130+1,$C130,""),"")</f>
        <v/>
      </c>
      <c r="CQ130" s="34">
        <f>IF(AND(CQ$5&gt;$E130,CQ$5&lt;=$F130),IF(CQ$5=$E130+1,$C130,""),"")</f>
        <v/>
      </c>
      <c r="CR130" s="34">
        <f>IF(AND(CR$5&gt;$E130,CR$5&lt;=$F130),IF(CR$5=$E130+1,$C130,""),"")</f>
        <v/>
      </c>
      <c r="CS130" s="34">
        <f>IF(AND(CS$5&gt;$E130,CS$5&lt;=$F130),IF(CS$5=$E130+1,$C130,""),"")</f>
        <v/>
      </c>
      <c r="CT130" s="34">
        <f>IF(AND(CT$5&gt;$E130,CT$5&lt;=$F130),IF(CT$5=$E130+1,$C130,""),"")</f>
        <v/>
      </c>
      <c r="CU130" s="34">
        <f>IF(AND(CU$5&gt;$E130,CU$5&lt;=$F130),IF(CU$5=$E130+1,$C130,""),"")</f>
        <v/>
      </c>
      <c r="CV130" s="34">
        <f>IF(AND(CV$5&gt;$E130,CV$5&lt;=$F130),IF(CV$5=$E130+1,$C130,""),"")</f>
        <v/>
      </c>
      <c r="CW130" s="34">
        <f>IF(AND(CW$5&gt;$E130,CW$5&lt;=$F130),IF(CW$5=$E130+1,$C130,""),"")</f>
        <v/>
      </c>
      <c r="CX130" s="34">
        <f>IF(AND(CX$5&gt;$E130,CX$5&lt;=$F130),IF(CX$5=$E130+1,$C130,""),"")</f>
        <v/>
      </c>
      <c r="CY130" s="34">
        <f>IF(AND(CY$5&gt;$E130,CY$5&lt;=$F130),IF(CY$5=$E130+1,$C130,""),"")</f>
        <v/>
      </c>
      <c r="CZ130" s="34">
        <f>IF(AND(CZ$5&gt;$E130,CZ$5&lt;=$F130),IF(CZ$5=$E130+1,$C130,""),"")</f>
        <v/>
      </c>
      <c r="DA130" s="34">
        <f>IF(AND(DA$5&gt;$E130,DA$5&lt;=$F130),IF(DA$5=$E130+1,$C130,""),"")</f>
        <v/>
      </c>
      <c r="DB130" s="34">
        <f>IF(AND(DB$5&gt;$E130,DB$5&lt;=$F130),IF(DB$5=$E130+1,$C130,""),"")</f>
        <v/>
      </c>
      <c r="DC130" s="34">
        <f>IF(AND(DC$5&gt;$E130,DC$5&lt;=$F130),IF(DC$5=$E130+1,$C130,""),"")</f>
        <v/>
      </c>
      <c r="DD130" s="34">
        <f>IF(AND(DD$5&gt;$E130,DD$5&lt;=$F130),IF(DD$5=$E130+1,$C130,""),"")</f>
        <v/>
      </c>
      <c r="DE130" s="34">
        <f>IF(AND(DE$5&gt;$E130,DE$5&lt;=$F130),IF(DE$5=$E130+1,$C130,""),"")</f>
        <v/>
      </c>
      <c r="DF130" s="34">
        <f>IF(AND(DF$5&gt;$E130,DF$5&lt;=$F130),IF(DF$5=$E130+1,$C130,""),"")</f>
        <v/>
      </c>
      <c r="DG130" s="34">
        <f>IF(AND(DG$5&gt;$E130,DG$5&lt;=$F130),IF(DG$5=$E130+1,$C130,""),"")</f>
        <v/>
      </c>
      <c r="DH130" s="34">
        <f>IF(AND(DH$5&gt;$E130,DH$5&lt;=$F130),IF(DH$5=$E130+1,$C130,""),"")</f>
        <v/>
      </c>
      <c r="DI130" s="34">
        <f>IF(AND(DI$5&gt;$E130,DI$5&lt;=$F130),IF(DI$5=$E130+1,$C130,""),"")</f>
        <v/>
      </c>
      <c r="DJ130" s="34">
        <f>IF(AND(DJ$5&gt;$E130,DJ$5&lt;=$F130),IF(DJ$5=$E130+1,$C130,""),"")</f>
        <v/>
      </c>
      <c r="DK130" s="34">
        <f>IF(AND(DK$5&gt;$E130,DK$5&lt;=$F130),IF(DK$5=$E130+1,$C130,""),"")</f>
        <v/>
      </c>
      <c r="DL130" s="34">
        <f>IF(AND(DL$5&gt;$E130,DL$5&lt;=$F130),IF(DL$5=$E130+1,$C130,""),"")</f>
        <v/>
      </c>
      <c r="DM130" s="34">
        <f>IF(AND(DM$5&gt;$E130,DM$5&lt;=$F130),IF(DM$5=$E130+1,$C130,""),"")</f>
        <v/>
      </c>
      <c r="DN130" s="34">
        <f>IF(AND(DN$5&gt;$E130,DN$5&lt;=$F130),IF(DN$5=$E130+1,$C130,""),"")</f>
        <v/>
      </c>
      <c r="DO130" s="34">
        <f>IF(AND(DO$5&gt;$E130,DO$5&lt;=$F130),IF(DO$5=$E130+1,$C130,""),"")</f>
        <v/>
      </c>
      <c r="DP130" s="34">
        <f>IF(AND(DP$5&gt;$E130,DP$5&lt;=$F130),IF(DP$5=$E130+1,$C130,""),"")</f>
        <v/>
      </c>
      <c r="DQ130" s="34">
        <f>IF(AND(DQ$5&gt;$E130,DQ$5&lt;=$F130),IF(DQ$5=$E130+1,$C130,""),"")</f>
        <v/>
      </c>
      <c r="DR130" s="34">
        <f>IF(AND(DR$5&gt;$E130,DR$5&lt;=$F130),IF(DR$5=$E130+1,$C130,""),"")</f>
        <v/>
      </c>
      <c r="DS130" s="34">
        <f>IF(AND(DS$5&gt;$E130,DS$5&lt;=$F130),IF(DS$5=$E130+1,$C130,""),"")</f>
        <v/>
      </c>
      <c r="DT130" s="34">
        <f>IF(AND(DT$5&gt;$E130,DT$5&lt;=$F130),IF(DT$5=$E130+1,$C130,""),"")</f>
        <v/>
      </c>
      <c r="DU130" s="34">
        <f>IF(AND(DU$5&gt;$E130,DU$5&lt;=$F130),IF(DU$5=$E130+1,$C130,""),"")</f>
        <v/>
      </c>
      <c r="DV130" s="34">
        <f>IF(AND(DV$5&gt;$E130,DV$5&lt;=$F130),IF(DV$5=$E130+1,$C130,""),"")</f>
        <v/>
      </c>
      <c r="DW130" s="34">
        <f>IF(AND(DW$5&gt;$E130,DW$5&lt;=$F130),IF(DW$5=$E130+1,$C130,""),"")</f>
        <v/>
      </c>
      <c r="DX130" s="34">
        <f>IF(AND(DX$5&gt;$E130,DX$5&lt;=$F130),IF(DX$5=$E130+1,$C130,""),"")</f>
        <v/>
      </c>
      <c r="DY130" s="34">
        <f>IF(AND(DY$5&gt;$E130,DY$5&lt;=$F130),IF(DY$5=$E130+1,$C130,""),"")</f>
        <v/>
      </c>
      <c r="DZ130" s="34">
        <f>IF(AND(DZ$5&gt;$E130,DZ$5&lt;=$F130),IF(DZ$5=$E130+1,$C130,""),"")</f>
        <v/>
      </c>
      <c r="EA130" s="34">
        <f>IF(AND(EA$5&gt;$E130,EA$5&lt;=$F130),IF(EA$5=$E130+1,$C130,""),"")</f>
        <v/>
      </c>
      <c r="EB130" s="34">
        <f>IF(AND(EB$5&gt;$E130,EB$5&lt;=$F130),IF(EB$5=$E130+1,$C130,""),"")</f>
        <v/>
      </c>
      <c r="EC130" s="34">
        <f>IF(AND(EC$5&gt;$E130,EC$5&lt;=$F130),IF(EC$5=$E130+1,$C130,""),"")</f>
        <v/>
      </c>
      <c r="ED130" s="34">
        <f>IF(AND(ED$5&gt;$E130,ED$5&lt;=$F130),IF(ED$5=$E130+1,$C130,""),"")</f>
        <v/>
      </c>
      <c r="EE130" s="34">
        <f>IF(AND(EE$5&gt;$E130,EE$5&lt;=$F130),IF(EE$5=$E130+1,$C130,""),"")</f>
        <v/>
      </c>
      <c r="EF130" s="34">
        <f>IF(AND(EF$5&gt;$E130,EF$5&lt;=$F130),IF(EF$5=$E130+1,$C130,""),"")</f>
        <v/>
      </c>
      <c r="EG130" s="34">
        <f>IF(AND(EG$5&gt;$E130,EG$5&lt;=$F130),IF(EG$5=$E130+1,$C130,""),"")</f>
        <v/>
      </c>
      <c r="EH130" s="34">
        <f>IF(AND(EH$5&gt;$E130,EH$5&lt;=$F130),IF(EH$5=$E130+1,$C130,""),"")</f>
        <v/>
      </c>
      <c r="EI130" s="34">
        <f>IF(AND(EI$5&gt;$E130,EI$5&lt;=$F130),IF(EI$5=$E130+1,$C130,""),"")</f>
        <v/>
      </c>
      <c r="EJ130" s="34">
        <f>IF(AND(EJ$5&gt;$E130,EJ$5&lt;=$F130),IF(EJ$5=$E130+1,$C130,""),"")</f>
        <v/>
      </c>
      <c r="EK130" s="34">
        <f>IF(AND(EK$5&gt;$E130,EK$5&lt;=$F130),IF(EK$5=$E130+1,$C130,""),"")</f>
        <v/>
      </c>
      <c r="EL130" s="34">
        <f>IF(AND(EL$5&gt;$E130,EL$5&lt;=$F130),IF(EL$5=$E130+1,$C130,""),"")</f>
        <v/>
      </c>
      <c r="EM130" s="34">
        <f>IF(AND(EM$5&gt;$E130,EM$5&lt;=$F130),IF(EM$5=$E130+1,$C130,""),"")</f>
        <v/>
      </c>
      <c r="EN130" s="34">
        <f>IF(AND(EN$5&gt;$E130,EN$5&lt;=$F130),IF(EN$5=$E130+1,$C130,""),"")</f>
        <v/>
      </c>
      <c r="EO130" s="34">
        <f>IF(AND(EO$5&gt;$E130,EO$5&lt;=$F130),IF(EO$5=$E130+1,$C130,""),"")</f>
        <v/>
      </c>
      <c r="EP130" s="34">
        <f>IF(AND(EP$5&gt;$E130,EP$5&lt;=$F130),IF(EP$5=$E130+1,$C130,""),"")</f>
        <v/>
      </c>
      <c r="EQ130" s="34">
        <f>IF(AND(EQ$5&gt;$E130,EQ$5&lt;=$F130),IF(EQ$5=$E130+1,$C130,""),"")</f>
        <v/>
      </c>
    </row>
    <row r="131">
      <c r="A131" s="32">
        <f>Plan!A115</f>
        <v/>
      </c>
      <c r="B131" s="33">
        <f>Plan!C115</f>
        <v/>
      </c>
      <c r="C131" s="16">
        <f>Plan!D115</f>
        <v/>
      </c>
      <c r="D131" s="16">
        <f>Plan!I115</f>
        <v/>
      </c>
      <c r="E131" s="16">
        <f>Plan!K115</f>
        <v/>
      </c>
      <c r="F131" s="16">
        <f>Plan!L115</f>
        <v/>
      </c>
      <c r="G131" s="16">
        <f>Plan!O115</f>
        <v/>
      </c>
      <c r="H131" s="34">
        <f>IF(AND(H$5&gt;$E131,H$5&lt;=$F131),IF(H$5=$E131+1,$C131,""),"")</f>
        <v/>
      </c>
      <c r="I131" s="34">
        <f>IF(AND(I$5&gt;$E131,I$5&lt;=$F131),IF(I$5=$E131+1,$C131,""),"")</f>
        <v/>
      </c>
      <c r="J131" s="34">
        <f>IF(AND(J$5&gt;$E131,J$5&lt;=$F131),IF(J$5=$E131+1,$C131,""),"")</f>
        <v/>
      </c>
      <c r="K131" s="34">
        <f>IF(AND(K$5&gt;$E131,K$5&lt;=$F131),IF(K$5=$E131+1,$C131,""),"")</f>
        <v/>
      </c>
      <c r="L131" s="34">
        <f>IF(AND(L$5&gt;$E131,L$5&lt;=$F131),IF(L$5=$E131+1,$C131,""),"")</f>
        <v/>
      </c>
      <c r="M131" s="34">
        <f>IF(AND(M$5&gt;$E131,M$5&lt;=$F131),IF(M$5=$E131+1,$C131,""),"")</f>
        <v/>
      </c>
      <c r="N131" s="34">
        <f>IF(AND(N$5&gt;$E131,N$5&lt;=$F131),IF(N$5=$E131+1,$C131,""),"")</f>
        <v/>
      </c>
      <c r="O131" s="34">
        <f>IF(AND(O$5&gt;$E131,O$5&lt;=$F131),IF(O$5=$E131+1,$C131,""),"")</f>
        <v/>
      </c>
      <c r="P131" s="34">
        <f>IF(AND(P$5&gt;$E131,P$5&lt;=$F131),IF(P$5=$E131+1,$C131,""),"")</f>
        <v/>
      </c>
      <c r="Q131" s="34">
        <f>IF(AND(Q$5&gt;$E131,Q$5&lt;=$F131),IF(Q$5=$E131+1,$C131,""),"")</f>
        <v/>
      </c>
      <c r="R131" s="34">
        <f>IF(AND(R$5&gt;$E131,R$5&lt;=$F131),IF(R$5=$E131+1,$C131,""),"")</f>
        <v/>
      </c>
      <c r="S131" s="34">
        <f>IF(AND(S$5&gt;$E131,S$5&lt;=$F131),IF(S$5=$E131+1,$C131,""),"")</f>
        <v/>
      </c>
      <c r="T131" s="34">
        <f>IF(AND(T$5&gt;$E131,T$5&lt;=$F131),IF(T$5=$E131+1,$C131,""),"")</f>
        <v/>
      </c>
      <c r="U131" s="34">
        <f>IF(AND(U$5&gt;$E131,U$5&lt;=$F131),IF(U$5=$E131+1,$C131,""),"")</f>
        <v/>
      </c>
      <c r="V131" s="34">
        <f>IF(AND(V$5&gt;$E131,V$5&lt;=$F131),IF(V$5=$E131+1,$C131,""),"")</f>
        <v/>
      </c>
      <c r="W131" s="34">
        <f>IF(AND(W$5&gt;$E131,W$5&lt;=$F131),IF(W$5=$E131+1,$C131,""),"")</f>
        <v/>
      </c>
      <c r="X131" s="34">
        <f>IF(AND(X$5&gt;$E131,X$5&lt;=$F131),IF(X$5=$E131+1,$C131,""),"")</f>
        <v/>
      </c>
      <c r="Y131" s="34">
        <f>IF(AND(Y$5&gt;$E131,Y$5&lt;=$F131),IF(Y$5=$E131+1,$C131,""),"")</f>
        <v/>
      </c>
      <c r="Z131" s="34">
        <f>IF(AND(Z$5&gt;$E131,Z$5&lt;=$F131),IF(Z$5=$E131+1,$C131,""),"")</f>
        <v/>
      </c>
      <c r="AA131" s="34">
        <f>IF(AND(AA$5&gt;$E131,AA$5&lt;=$F131),IF(AA$5=$E131+1,$C131,""),"")</f>
        <v/>
      </c>
      <c r="AB131" s="34">
        <f>IF(AND(AB$5&gt;$E131,AB$5&lt;=$F131),IF(AB$5=$E131+1,$C131,""),"")</f>
        <v/>
      </c>
      <c r="AC131" s="34">
        <f>IF(AND(AC$5&gt;$E131,AC$5&lt;=$F131),IF(AC$5=$E131+1,$C131,""),"")</f>
        <v/>
      </c>
      <c r="AD131" s="34">
        <f>IF(AND(AD$5&gt;$E131,AD$5&lt;=$F131),IF(AD$5=$E131+1,$C131,""),"")</f>
        <v/>
      </c>
      <c r="AE131" s="34">
        <f>IF(AND(AE$5&gt;$E131,AE$5&lt;=$F131),IF(AE$5=$E131+1,$C131,""),"")</f>
        <v/>
      </c>
      <c r="AF131" s="34">
        <f>IF(AND(AF$5&gt;$E131,AF$5&lt;=$F131),IF(AF$5=$E131+1,$C131,""),"")</f>
        <v/>
      </c>
      <c r="AG131" s="34">
        <f>IF(AND(AG$5&gt;$E131,AG$5&lt;=$F131),IF(AG$5=$E131+1,$C131,""),"")</f>
        <v/>
      </c>
      <c r="AH131" s="34">
        <f>IF(AND(AH$5&gt;$E131,AH$5&lt;=$F131),IF(AH$5=$E131+1,$C131,""),"")</f>
        <v/>
      </c>
      <c r="AI131" s="34">
        <f>IF(AND(AI$5&gt;$E131,AI$5&lt;=$F131),IF(AI$5=$E131+1,$C131,""),"")</f>
        <v/>
      </c>
      <c r="AJ131" s="34">
        <f>IF(AND(AJ$5&gt;$E131,AJ$5&lt;=$F131),IF(AJ$5=$E131+1,$C131,""),"")</f>
        <v/>
      </c>
      <c r="AK131" s="34">
        <f>IF(AND(AK$5&gt;$E131,AK$5&lt;=$F131),IF(AK$5=$E131+1,$C131,""),"")</f>
        <v/>
      </c>
      <c r="AL131" s="34">
        <f>IF(AND(AL$5&gt;$E131,AL$5&lt;=$F131),IF(AL$5=$E131+1,$C131,""),"")</f>
        <v/>
      </c>
      <c r="AM131" s="34">
        <f>IF(AND(AM$5&gt;$E131,AM$5&lt;=$F131),IF(AM$5=$E131+1,$C131,""),"")</f>
        <v/>
      </c>
      <c r="AN131" s="34">
        <f>IF(AND(AN$5&gt;$E131,AN$5&lt;=$F131),IF(AN$5=$E131+1,$C131,""),"")</f>
        <v/>
      </c>
      <c r="AO131" s="34">
        <f>IF(AND(AO$5&gt;$E131,AO$5&lt;=$F131),IF(AO$5=$E131+1,$C131,""),"")</f>
        <v/>
      </c>
      <c r="AP131" s="34">
        <f>IF(AND(AP$5&gt;$E131,AP$5&lt;=$F131),IF(AP$5=$E131+1,$C131,""),"")</f>
        <v/>
      </c>
      <c r="AQ131" s="34">
        <f>IF(AND(AQ$5&gt;$E131,AQ$5&lt;=$F131),IF(AQ$5=$E131+1,$C131,""),"")</f>
        <v/>
      </c>
      <c r="AR131" s="34">
        <f>IF(AND(AR$5&gt;$E131,AR$5&lt;=$F131),IF(AR$5=$E131+1,$C131,""),"")</f>
        <v/>
      </c>
      <c r="AS131" s="34">
        <f>IF(AND(AS$5&gt;$E131,AS$5&lt;=$F131),IF(AS$5=$E131+1,$C131,""),"")</f>
        <v/>
      </c>
      <c r="AT131" s="34">
        <f>IF(AND(AT$5&gt;$E131,AT$5&lt;=$F131),IF(AT$5=$E131+1,$C131,""),"")</f>
        <v/>
      </c>
      <c r="AU131" s="34">
        <f>IF(AND(AU$5&gt;$E131,AU$5&lt;=$F131),IF(AU$5=$E131+1,$C131,""),"")</f>
        <v/>
      </c>
      <c r="AV131" s="34">
        <f>IF(AND(AV$5&gt;$E131,AV$5&lt;=$F131),IF(AV$5=$E131+1,$C131,""),"")</f>
        <v/>
      </c>
      <c r="AW131" s="34">
        <f>IF(AND(AW$5&gt;$E131,AW$5&lt;=$F131),IF(AW$5=$E131+1,$C131,""),"")</f>
        <v/>
      </c>
      <c r="AX131" s="34">
        <f>IF(AND(AX$5&gt;$E131,AX$5&lt;=$F131),IF(AX$5=$E131+1,$C131,""),"")</f>
        <v/>
      </c>
      <c r="AY131" s="34">
        <f>IF(AND(AY$5&gt;$E131,AY$5&lt;=$F131),IF(AY$5=$E131+1,$C131,""),"")</f>
        <v/>
      </c>
      <c r="AZ131" s="34">
        <f>IF(AND(AZ$5&gt;$E131,AZ$5&lt;=$F131),IF(AZ$5=$E131+1,$C131,""),"")</f>
        <v/>
      </c>
      <c r="BA131" s="34">
        <f>IF(AND(BA$5&gt;$E131,BA$5&lt;=$F131),IF(BA$5=$E131+1,$C131,""),"")</f>
        <v/>
      </c>
      <c r="BB131" s="34">
        <f>IF(AND(BB$5&gt;$E131,BB$5&lt;=$F131),IF(BB$5=$E131+1,$C131,""),"")</f>
        <v/>
      </c>
      <c r="BC131" s="34">
        <f>IF(AND(BC$5&gt;$E131,BC$5&lt;=$F131),IF(BC$5=$E131+1,$C131,""),"")</f>
        <v/>
      </c>
      <c r="BD131" s="34">
        <f>IF(AND(BD$5&gt;$E131,BD$5&lt;=$F131),IF(BD$5=$E131+1,$C131,""),"")</f>
        <v/>
      </c>
      <c r="BE131" s="34">
        <f>IF(AND(BE$5&gt;$E131,BE$5&lt;=$F131),IF(BE$5=$E131+1,$C131,""),"")</f>
        <v/>
      </c>
      <c r="BF131" s="34">
        <f>IF(AND(BF$5&gt;$E131,BF$5&lt;=$F131),IF(BF$5=$E131+1,$C131,""),"")</f>
        <v/>
      </c>
      <c r="BG131" s="34">
        <f>IF(AND(BG$5&gt;$E131,BG$5&lt;=$F131),IF(BG$5=$E131+1,$C131,""),"")</f>
        <v/>
      </c>
      <c r="BH131" s="34">
        <f>IF(AND(BH$5&gt;$E131,BH$5&lt;=$F131),IF(BH$5=$E131+1,$C131,""),"")</f>
        <v/>
      </c>
      <c r="BI131" s="34">
        <f>IF(AND(BI$5&gt;$E131,BI$5&lt;=$F131),IF(BI$5=$E131+1,$C131,""),"")</f>
        <v/>
      </c>
      <c r="BJ131" s="34">
        <f>IF(AND(BJ$5&gt;$E131,BJ$5&lt;=$F131),IF(BJ$5=$E131+1,$C131,""),"")</f>
        <v/>
      </c>
      <c r="BK131" s="34">
        <f>IF(AND(BK$5&gt;$E131,BK$5&lt;=$F131),IF(BK$5=$E131+1,$C131,""),"")</f>
        <v/>
      </c>
      <c r="BL131" s="34">
        <f>IF(AND(BL$5&gt;$E131,BL$5&lt;=$F131),IF(BL$5=$E131+1,$C131,""),"")</f>
        <v/>
      </c>
      <c r="BM131" s="34">
        <f>IF(AND(BM$5&gt;$E131,BM$5&lt;=$F131),IF(BM$5=$E131+1,$C131,""),"")</f>
        <v/>
      </c>
      <c r="BN131" s="34">
        <f>IF(AND(BN$5&gt;$E131,BN$5&lt;=$F131),IF(BN$5=$E131+1,$C131,""),"")</f>
        <v/>
      </c>
      <c r="BO131" s="34">
        <f>IF(AND(BO$5&gt;$E131,BO$5&lt;=$F131),IF(BO$5=$E131+1,$C131,""),"")</f>
        <v/>
      </c>
      <c r="BP131" s="34">
        <f>IF(AND(BP$5&gt;$E131,BP$5&lt;=$F131),IF(BP$5=$E131+1,$C131,""),"")</f>
        <v/>
      </c>
      <c r="BQ131" s="34">
        <f>IF(AND(BQ$5&gt;$E131,BQ$5&lt;=$F131),IF(BQ$5=$E131+1,$C131,""),"")</f>
        <v/>
      </c>
      <c r="BR131" s="34">
        <f>IF(AND(BR$5&gt;$E131,BR$5&lt;=$F131),IF(BR$5=$E131+1,$C131,""),"")</f>
        <v/>
      </c>
      <c r="BS131" s="34">
        <f>IF(AND(BS$5&gt;$E131,BS$5&lt;=$F131),IF(BS$5=$E131+1,$C131,""),"")</f>
        <v/>
      </c>
      <c r="BT131" s="34">
        <f>IF(AND(BT$5&gt;$E131,BT$5&lt;=$F131),IF(BT$5=$E131+1,$C131,""),"")</f>
        <v/>
      </c>
      <c r="BU131" s="34">
        <f>IF(AND(BU$5&gt;$E131,BU$5&lt;=$F131),IF(BU$5=$E131+1,$C131,""),"")</f>
        <v/>
      </c>
      <c r="BV131" s="34">
        <f>IF(AND(BV$5&gt;$E131,BV$5&lt;=$F131),IF(BV$5=$E131+1,$C131,""),"")</f>
        <v/>
      </c>
      <c r="BW131" s="34">
        <f>IF(AND(BW$5&gt;$E131,BW$5&lt;=$F131),IF(BW$5=$E131+1,$C131,""),"")</f>
        <v/>
      </c>
      <c r="BX131" s="34">
        <f>IF(AND(BX$5&gt;$E131,BX$5&lt;=$F131),IF(BX$5=$E131+1,$C131,""),"")</f>
        <v/>
      </c>
      <c r="BY131" s="34">
        <f>IF(AND(BY$5&gt;$E131,BY$5&lt;=$F131),IF(BY$5=$E131+1,$C131,""),"")</f>
        <v/>
      </c>
      <c r="BZ131" s="34">
        <f>IF(AND(BZ$5&gt;$E131,BZ$5&lt;=$F131),IF(BZ$5=$E131+1,$C131,""),"")</f>
        <v/>
      </c>
      <c r="CA131" s="34">
        <f>IF(AND(CA$5&gt;$E131,CA$5&lt;=$F131),IF(CA$5=$E131+1,$C131,""),"")</f>
        <v/>
      </c>
      <c r="CB131" s="34">
        <f>IF(AND(CB$5&gt;$E131,CB$5&lt;=$F131),IF(CB$5=$E131+1,$C131,""),"")</f>
        <v/>
      </c>
      <c r="CC131" s="34">
        <f>IF(AND(CC$5&gt;$E131,CC$5&lt;=$F131),IF(CC$5=$E131+1,$C131,""),"")</f>
        <v/>
      </c>
      <c r="CD131" s="34">
        <f>IF(AND(CD$5&gt;$E131,CD$5&lt;=$F131),IF(CD$5=$E131+1,$C131,""),"")</f>
        <v/>
      </c>
      <c r="CE131" s="34">
        <f>IF(AND(CE$5&gt;$E131,CE$5&lt;=$F131),IF(CE$5=$E131+1,$C131,""),"")</f>
        <v/>
      </c>
      <c r="CF131" s="34">
        <f>IF(AND(CF$5&gt;$E131,CF$5&lt;=$F131),IF(CF$5=$E131+1,$C131,""),"")</f>
        <v/>
      </c>
      <c r="CG131" s="34">
        <f>IF(AND(CG$5&gt;$E131,CG$5&lt;=$F131),IF(CG$5=$E131+1,$C131,""),"")</f>
        <v/>
      </c>
      <c r="CH131" s="34">
        <f>IF(AND(CH$5&gt;$E131,CH$5&lt;=$F131),IF(CH$5=$E131+1,$C131,""),"")</f>
        <v/>
      </c>
      <c r="CI131" s="34">
        <f>IF(AND(CI$5&gt;$E131,CI$5&lt;=$F131),IF(CI$5=$E131+1,$C131,""),"")</f>
        <v/>
      </c>
      <c r="CJ131" s="34">
        <f>IF(AND(CJ$5&gt;$E131,CJ$5&lt;=$F131),IF(CJ$5=$E131+1,$C131,""),"")</f>
        <v/>
      </c>
      <c r="CK131" s="34">
        <f>IF(AND(CK$5&gt;$E131,CK$5&lt;=$F131),IF(CK$5=$E131+1,$C131,""),"")</f>
        <v/>
      </c>
      <c r="CL131" s="34">
        <f>IF(AND(CL$5&gt;$E131,CL$5&lt;=$F131),IF(CL$5=$E131+1,$C131,""),"")</f>
        <v/>
      </c>
      <c r="CM131" s="34">
        <f>IF(AND(CM$5&gt;$E131,CM$5&lt;=$F131),IF(CM$5=$E131+1,$C131,""),"")</f>
        <v/>
      </c>
      <c r="CN131" s="34">
        <f>IF(AND(CN$5&gt;$E131,CN$5&lt;=$F131),IF(CN$5=$E131+1,$C131,""),"")</f>
        <v/>
      </c>
      <c r="CO131" s="34">
        <f>IF(AND(CO$5&gt;$E131,CO$5&lt;=$F131),IF(CO$5=$E131+1,$C131,""),"")</f>
        <v/>
      </c>
      <c r="CP131" s="34">
        <f>IF(AND(CP$5&gt;$E131,CP$5&lt;=$F131),IF(CP$5=$E131+1,$C131,""),"")</f>
        <v/>
      </c>
      <c r="CQ131" s="34">
        <f>IF(AND(CQ$5&gt;$E131,CQ$5&lt;=$F131),IF(CQ$5=$E131+1,$C131,""),"")</f>
        <v/>
      </c>
      <c r="CR131" s="34">
        <f>IF(AND(CR$5&gt;$E131,CR$5&lt;=$F131),IF(CR$5=$E131+1,$C131,""),"")</f>
        <v/>
      </c>
      <c r="CS131" s="34">
        <f>IF(AND(CS$5&gt;$E131,CS$5&lt;=$F131),IF(CS$5=$E131+1,$C131,""),"")</f>
        <v/>
      </c>
      <c r="CT131" s="34">
        <f>IF(AND(CT$5&gt;$E131,CT$5&lt;=$F131),IF(CT$5=$E131+1,$C131,""),"")</f>
        <v/>
      </c>
      <c r="CU131" s="34">
        <f>IF(AND(CU$5&gt;$E131,CU$5&lt;=$F131),IF(CU$5=$E131+1,$C131,""),"")</f>
        <v/>
      </c>
      <c r="CV131" s="34">
        <f>IF(AND(CV$5&gt;$E131,CV$5&lt;=$F131),IF(CV$5=$E131+1,$C131,""),"")</f>
        <v/>
      </c>
      <c r="CW131" s="34">
        <f>IF(AND(CW$5&gt;$E131,CW$5&lt;=$F131),IF(CW$5=$E131+1,$C131,""),"")</f>
        <v/>
      </c>
      <c r="CX131" s="34">
        <f>IF(AND(CX$5&gt;$E131,CX$5&lt;=$F131),IF(CX$5=$E131+1,$C131,""),"")</f>
        <v/>
      </c>
      <c r="CY131" s="34">
        <f>IF(AND(CY$5&gt;$E131,CY$5&lt;=$F131),IF(CY$5=$E131+1,$C131,""),"")</f>
        <v/>
      </c>
      <c r="CZ131" s="34">
        <f>IF(AND(CZ$5&gt;$E131,CZ$5&lt;=$F131),IF(CZ$5=$E131+1,$C131,""),"")</f>
        <v/>
      </c>
      <c r="DA131" s="34">
        <f>IF(AND(DA$5&gt;$E131,DA$5&lt;=$F131),IF(DA$5=$E131+1,$C131,""),"")</f>
        <v/>
      </c>
      <c r="DB131" s="34">
        <f>IF(AND(DB$5&gt;$E131,DB$5&lt;=$F131),IF(DB$5=$E131+1,$C131,""),"")</f>
        <v/>
      </c>
      <c r="DC131" s="34">
        <f>IF(AND(DC$5&gt;$E131,DC$5&lt;=$F131),IF(DC$5=$E131+1,$C131,""),"")</f>
        <v/>
      </c>
      <c r="DD131" s="34">
        <f>IF(AND(DD$5&gt;$E131,DD$5&lt;=$F131),IF(DD$5=$E131+1,$C131,""),"")</f>
        <v/>
      </c>
      <c r="DE131" s="34">
        <f>IF(AND(DE$5&gt;$E131,DE$5&lt;=$F131),IF(DE$5=$E131+1,$C131,""),"")</f>
        <v/>
      </c>
      <c r="DF131" s="34">
        <f>IF(AND(DF$5&gt;$E131,DF$5&lt;=$F131),IF(DF$5=$E131+1,$C131,""),"")</f>
        <v/>
      </c>
      <c r="DG131" s="34">
        <f>IF(AND(DG$5&gt;$E131,DG$5&lt;=$F131),IF(DG$5=$E131+1,$C131,""),"")</f>
        <v/>
      </c>
      <c r="DH131" s="34">
        <f>IF(AND(DH$5&gt;$E131,DH$5&lt;=$F131),IF(DH$5=$E131+1,$C131,""),"")</f>
        <v/>
      </c>
      <c r="DI131" s="34">
        <f>IF(AND(DI$5&gt;$E131,DI$5&lt;=$F131),IF(DI$5=$E131+1,$C131,""),"")</f>
        <v/>
      </c>
      <c r="DJ131" s="34">
        <f>IF(AND(DJ$5&gt;$E131,DJ$5&lt;=$F131),IF(DJ$5=$E131+1,$C131,""),"")</f>
        <v/>
      </c>
      <c r="DK131" s="34">
        <f>IF(AND(DK$5&gt;$E131,DK$5&lt;=$F131),IF(DK$5=$E131+1,$C131,""),"")</f>
        <v/>
      </c>
      <c r="DL131" s="34">
        <f>IF(AND(DL$5&gt;$E131,DL$5&lt;=$F131),IF(DL$5=$E131+1,$C131,""),"")</f>
        <v/>
      </c>
      <c r="DM131" s="34">
        <f>IF(AND(DM$5&gt;$E131,DM$5&lt;=$F131),IF(DM$5=$E131+1,$C131,""),"")</f>
        <v/>
      </c>
      <c r="DN131" s="34">
        <f>IF(AND(DN$5&gt;$E131,DN$5&lt;=$F131),IF(DN$5=$E131+1,$C131,""),"")</f>
        <v/>
      </c>
      <c r="DO131" s="34">
        <f>IF(AND(DO$5&gt;$E131,DO$5&lt;=$F131),IF(DO$5=$E131+1,$C131,""),"")</f>
        <v/>
      </c>
      <c r="DP131" s="34">
        <f>IF(AND(DP$5&gt;$E131,DP$5&lt;=$F131),IF(DP$5=$E131+1,$C131,""),"")</f>
        <v/>
      </c>
      <c r="DQ131" s="34">
        <f>IF(AND(DQ$5&gt;$E131,DQ$5&lt;=$F131),IF(DQ$5=$E131+1,$C131,""),"")</f>
        <v/>
      </c>
      <c r="DR131" s="34">
        <f>IF(AND(DR$5&gt;$E131,DR$5&lt;=$F131),IF(DR$5=$E131+1,$C131,""),"")</f>
        <v/>
      </c>
      <c r="DS131" s="34">
        <f>IF(AND(DS$5&gt;$E131,DS$5&lt;=$F131),IF(DS$5=$E131+1,$C131,""),"")</f>
        <v/>
      </c>
      <c r="DT131" s="34">
        <f>IF(AND(DT$5&gt;$E131,DT$5&lt;=$F131),IF(DT$5=$E131+1,$C131,""),"")</f>
        <v/>
      </c>
      <c r="DU131" s="34">
        <f>IF(AND(DU$5&gt;$E131,DU$5&lt;=$F131),IF(DU$5=$E131+1,$C131,""),"")</f>
        <v/>
      </c>
      <c r="DV131" s="34">
        <f>IF(AND(DV$5&gt;$E131,DV$5&lt;=$F131),IF(DV$5=$E131+1,$C131,""),"")</f>
        <v/>
      </c>
      <c r="DW131" s="34">
        <f>IF(AND(DW$5&gt;$E131,DW$5&lt;=$F131),IF(DW$5=$E131+1,$C131,""),"")</f>
        <v/>
      </c>
      <c r="DX131" s="34">
        <f>IF(AND(DX$5&gt;$E131,DX$5&lt;=$F131),IF(DX$5=$E131+1,$C131,""),"")</f>
        <v/>
      </c>
      <c r="DY131" s="34">
        <f>IF(AND(DY$5&gt;$E131,DY$5&lt;=$F131),IF(DY$5=$E131+1,$C131,""),"")</f>
        <v/>
      </c>
      <c r="DZ131" s="34">
        <f>IF(AND(DZ$5&gt;$E131,DZ$5&lt;=$F131),IF(DZ$5=$E131+1,$C131,""),"")</f>
        <v/>
      </c>
      <c r="EA131" s="34">
        <f>IF(AND(EA$5&gt;$E131,EA$5&lt;=$F131),IF(EA$5=$E131+1,$C131,""),"")</f>
        <v/>
      </c>
      <c r="EB131" s="34">
        <f>IF(AND(EB$5&gt;$E131,EB$5&lt;=$F131),IF(EB$5=$E131+1,$C131,""),"")</f>
        <v/>
      </c>
      <c r="EC131" s="34">
        <f>IF(AND(EC$5&gt;$E131,EC$5&lt;=$F131),IF(EC$5=$E131+1,$C131,""),"")</f>
        <v/>
      </c>
      <c r="ED131" s="34">
        <f>IF(AND(ED$5&gt;$E131,ED$5&lt;=$F131),IF(ED$5=$E131+1,$C131,""),"")</f>
        <v/>
      </c>
      <c r="EE131" s="34">
        <f>IF(AND(EE$5&gt;$E131,EE$5&lt;=$F131),IF(EE$5=$E131+1,$C131,""),"")</f>
        <v/>
      </c>
      <c r="EF131" s="34">
        <f>IF(AND(EF$5&gt;$E131,EF$5&lt;=$F131),IF(EF$5=$E131+1,$C131,""),"")</f>
        <v/>
      </c>
      <c r="EG131" s="34">
        <f>IF(AND(EG$5&gt;$E131,EG$5&lt;=$F131),IF(EG$5=$E131+1,$C131,""),"")</f>
        <v/>
      </c>
      <c r="EH131" s="34">
        <f>IF(AND(EH$5&gt;$E131,EH$5&lt;=$F131),IF(EH$5=$E131+1,$C131,""),"")</f>
        <v/>
      </c>
      <c r="EI131" s="34">
        <f>IF(AND(EI$5&gt;$E131,EI$5&lt;=$F131),IF(EI$5=$E131+1,$C131,""),"")</f>
        <v/>
      </c>
      <c r="EJ131" s="34">
        <f>IF(AND(EJ$5&gt;$E131,EJ$5&lt;=$F131),IF(EJ$5=$E131+1,$C131,""),"")</f>
        <v/>
      </c>
      <c r="EK131" s="34">
        <f>IF(AND(EK$5&gt;$E131,EK$5&lt;=$F131),IF(EK$5=$E131+1,$C131,""),"")</f>
        <v/>
      </c>
      <c r="EL131" s="34">
        <f>IF(AND(EL$5&gt;$E131,EL$5&lt;=$F131),IF(EL$5=$E131+1,$C131,""),"")</f>
        <v/>
      </c>
      <c r="EM131" s="34">
        <f>IF(AND(EM$5&gt;$E131,EM$5&lt;=$F131),IF(EM$5=$E131+1,$C131,""),"")</f>
        <v/>
      </c>
      <c r="EN131" s="34">
        <f>IF(AND(EN$5&gt;$E131,EN$5&lt;=$F131),IF(EN$5=$E131+1,$C131,""),"")</f>
        <v/>
      </c>
      <c r="EO131" s="34">
        <f>IF(AND(EO$5&gt;$E131,EO$5&lt;=$F131),IF(EO$5=$E131+1,$C131,""),"")</f>
        <v/>
      </c>
      <c r="EP131" s="34">
        <f>IF(AND(EP$5&gt;$E131,EP$5&lt;=$F131),IF(EP$5=$E131+1,$C131,""),"")</f>
        <v/>
      </c>
      <c r="EQ131" s="34">
        <f>IF(AND(EQ$5&gt;$E131,EQ$5&lt;=$F131),IF(EQ$5=$E131+1,$C131,""),"")</f>
        <v/>
      </c>
    </row>
    <row r="132">
      <c r="A132" s="32">
        <f>Plan!A116</f>
        <v/>
      </c>
      <c r="B132" s="33">
        <f>Plan!C116</f>
        <v/>
      </c>
      <c r="C132" s="16">
        <f>Plan!D116</f>
        <v/>
      </c>
      <c r="D132" s="16">
        <f>Plan!I116</f>
        <v/>
      </c>
      <c r="E132" s="16">
        <f>Plan!K116</f>
        <v/>
      </c>
      <c r="F132" s="16">
        <f>Plan!L116</f>
        <v/>
      </c>
      <c r="G132" s="16">
        <f>Plan!O116</f>
        <v/>
      </c>
      <c r="H132" s="34">
        <f>IF(AND(H$5&gt;$E132,H$5&lt;=$F132),IF(H$5=$E132+1,$C132,""),"")</f>
        <v/>
      </c>
      <c r="I132" s="34">
        <f>IF(AND(I$5&gt;$E132,I$5&lt;=$F132),IF(I$5=$E132+1,$C132,""),"")</f>
        <v/>
      </c>
      <c r="J132" s="34">
        <f>IF(AND(J$5&gt;$E132,J$5&lt;=$F132),IF(J$5=$E132+1,$C132,""),"")</f>
        <v/>
      </c>
      <c r="K132" s="34">
        <f>IF(AND(K$5&gt;$E132,K$5&lt;=$F132),IF(K$5=$E132+1,$C132,""),"")</f>
        <v/>
      </c>
      <c r="L132" s="34">
        <f>IF(AND(L$5&gt;$E132,L$5&lt;=$F132),IF(L$5=$E132+1,$C132,""),"")</f>
        <v/>
      </c>
      <c r="M132" s="34">
        <f>IF(AND(M$5&gt;$E132,M$5&lt;=$F132),IF(M$5=$E132+1,$C132,""),"")</f>
        <v/>
      </c>
      <c r="N132" s="34">
        <f>IF(AND(N$5&gt;$E132,N$5&lt;=$F132),IF(N$5=$E132+1,$C132,""),"")</f>
        <v/>
      </c>
      <c r="O132" s="34">
        <f>IF(AND(O$5&gt;$E132,O$5&lt;=$F132),IF(O$5=$E132+1,$C132,""),"")</f>
        <v/>
      </c>
      <c r="P132" s="34">
        <f>IF(AND(P$5&gt;$E132,P$5&lt;=$F132),IF(P$5=$E132+1,$C132,""),"")</f>
        <v/>
      </c>
      <c r="Q132" s="34">
        <f>IF(AND(Q$5&gt;$E132,Q$5&lt;=$F132),IF(Q$5=$E132+1,$C132,""),"")</f>
        <v/>
      </c>
      <c r="R132" s="34">
        <f>IF(AND(R$5&gt;$E132,R$5&lt;=$F132),IF(R$5=$E132+1,$C132,""),"")</f>
        <v/>
      </c>
      <c r="S132" s="34">
        <f>IF(AND(S$5&gt;$E132,S$5&lt;=$F132),IF(S$5=$E132+1,$C132,""),"")</f>
        <v/>
      </c>
      <c r="T132" s="34">
        <f>IF(AND(T$5&gt;$E132,T$5&lt;=$F132),IF(T$5=$E132+1,$C132,""),"")</f>
        <v/>
      </c>
      <c r="U132" s="34">
        <f>IF(AND(U$5&gt;$E132,U$5&lt;=$F132),IF(U$5=$E132+1,$C132,""),"")</f>
        <v/>
      </c>
      <c r="V132" s="34">
        <f>IF(AND(V$5&gt;$E132,V$5&lt;=$F132),IF(V$5=$E132+1,$C132,""),"")</f>
        <v/>
      </c>
      <c r="W132" s="34">
        <f>IF(AND(W$5&gt;$E132,W$5&lt;=$F132),IF(W$5=$E132+1,$C132,""),"")</f>
        <v/>
      </c>
      <c r="X132" s="34">
        <f>IF(AND(X$5&gt;$E132,X$5&lt;=$F132),IF(X$5=$E132+1,$C132,""),"")</f>
        <v/>
      </c>
      <c r="Y132" s="34">
        <f>IF(AND(Y$5&gt;$E132,Y$5&lt;=$F132),IF(Y$5=$E132+1,$C132,""),"")</f>
        <v/>
      </c>
      <c r="Z132" s="34">
        <f>IF(AND(Z$5&gt;$E132,Z$5&lt;=$F132),IF(Z$5=$E132+1,$C132,""),"")</f>
        <v/>
      </c>
      <c r="AA132" s="34">
        <f>IF(AND(AA$5&gt;$E132,AA$5&lt;=$F132),IF(AA$5=$E132+1,$C132,""),"")</f>
        <v/>
      </c>
      <c r="AB132" s="34">
        <f>IF(AND(AB$5&gt;$E132,AB$5&lt;=$F132),IF(AB$5=$E132+1,$C132,""),"")</f>
        <v/>
      </c>
      <c r="AC132" s="34">
        <f>IF(AND(AC$5&gt;$E132,AC$5&lt;=$F132),IF(AC$5=$E132+1,$C132,""),"")</f>
        <v/>
      </c>
      <c r="AD132" s="34">
        <f>IF(AND(AD$5&gt;$E132,AD$5&lt;=$F132),IF(AD$5=$E132+1,$C132,""),"")</f>
        <v/>
      </c>
      <c r="AE132" s="34">
        <f>IF(AND(AE$5&gt;$E132,AE$5&lt;=$F132),IF(AE$5=$E132+1,$C132,""),"")</f>
        <v/>
      </c>
      <c r="AF132" s="34">
        <f>IF(AND(AF$5&gt;$E132,AF$5&lt;=$F132),IF(AF$5=$E132+1,$C132,""),"")</f>
        <v/>
      </c>
      <c r="AG132" s="34">
        <f>IF(AND(AG$5&gt;$E132,AG$5&lt;=$F132),IF(AG$5=$E132+1,$C132,""),"")</f>
        <v/>
      </c>
      <c r="AH132" s="34">
        <f>IF(AND(AH$5&gt;$E132,AH$5&lt;=$F132),IF(AH$5=$E132+1,$C132,""),"")</f>
        <v/>
      </c>
      <c r="AI132" s="34">
        <f>IF(AND(AI$5&gt;$E132,AI$5&lt;=$F132),IF(AI$5=$E132+1,$C132,""),"")</f>
        <v/>
      </c>
      <c r="AJ132" s="34">
        <f>IF(AND(AJ$5&gt;$E132,AJ$5&lt;=$F132),IF(AJ$5=$E132+1,$C132,""),"")</f>
        <v/>
      </c>
      <c r="AK132" s="34">
        <f>IF(AND(AK$5&gt;$E132,AK$5&lt;=$F132),IF(AK$5=$E132+1,$C132,""),"")</f>
        <v/>
      </c>
      <c r="AL132" s="34">
        <f>IF(AND(AL$5&gt;$E132,AL$5&lt;=$F132),IF(AL$5=$E132+1,$C132,""),"")</f>
        <v/>
      </c>
      <c r="AM132" s="34">
        <f>IF(AND(AM$5&gt;$E132,AM$5&lt;=$F132),IF(AM$5=$E132+1,$C132,""),"")</f>
        <v/>
      </c>
      <c r="AN132" s="34">
        <f>IF(AND(AN$5&gt;$E132,AN$5&lt;=$F132),IF(AN$5=$E132+1,$C132,""),"")</f>
        <v/>
      </c>
      <c r="AO132" s="34">
        <f>IF(AND(AO$5&gt;$E132,AO$5&lt;=$F132),IF(AO$5=$E132+1,$C132,""),"")</f>
        <v/>
      </c>
      <c r="AP132" s="34">
        <f>IF(AND(AP$5&gt;$E132,AP$5&lt;=$F132),IF(AP$5=$E132+1,$C132,""),"")</f>
        <v/>
      </c>
      <c r="AQ132" s="34">
        <f>IF(AND(AQ$5&gt;$E132,AQ$5&lt;=$F132),IF(AQ$5=$E132+1,$C132,""),"")</f>
        <v/>
      </c>
      <c r="AR132" s="34">
        <f>IF(AND(AR$5&gt;$E132,AR$5&lt;=$F132),IF(AR$5=$E132+1,$C132,""),"")</f>
        <v/>
      </c>
      <c r="AS132" s="34">
        <f>IF(AND(AS$5&gt;$E132,AS$5&lt;=$F132),IF(AS$5=$E132+1,$C132,""),"")</f>
        <v/>
      </c>
      <c r="AT132" s="34">
        <f>IF(AND(AT$5&gt;$E132,AT$5&lt;=$F132),IF(AT$5=$E132+1,$C132,""),"")</f>
        <v/>
      </c>
      <c r="AU132" s="34">
        <f>IF(AND(AU$5&gt;$E132,AU$5&lt;=$F132),IF(AU$5=$E132+1,$C132,""),"")</f>
        <v/>
      </c>
      <c r="AV132" s="34">
        <f>IF(AND(AV$5&gt;$E132,AV$5&lt;=$F132),IF(AV$5=$E132+1,$C132,""),"")</f>
        <v/>
      </c>
      <c r="AW132" s="34">
        <f>IF(AND(AW$5&gt;$E132,AW$5&lt;=$F132),IF(AW$5=$E132+1,$C132,""),"")</f>
        <v/>
      </c>
      <c r="AX132" s="34">
        <f>IF(AND(AX$5&gt;$E132,AX$5&lt;=$F132),IF(AX$5=$E132+1,$C132,""),"")</f>
        <v/>
      </c>
      <c r="AY132" s="34">
        <f>IF(AND(AY$5&gt;$E132,AY$5&lt;=$F132),IF(AY$5=$E132+1,$C132,""),"")</f>
        <v/>
      </c>
      <c r="AZ132" s="34">
        <f>IF(AND(AZ$5&gt;$E132,AZ$5&lt;=$F132),IF(AZ$5=$E132+1,$C132,""),"")</f>
        <v/>
      </c>
      <c r="BA132" s="34">
        <f>IF(AND(BA$5&gt;$E132,BA$5&lt;=$F132),IF(BA$5=$E132+1,$C132,""),"")</f>
        <v/>
      </c>
      <c r="BB132" s="34">
        <f>IF(AND(BB$5&gt;$E132,BB$5&lt;=$F132),IF(BB$5=$E132+1,$C132,""),"")</f>
        <v/>
      </c>
      <c r="BC132" s="34">
        <f>IF(AND(BC$5&gt;$E132,BC$5&lt;=$F132),IF(BC$5=$E132+1,$C132,""),"")</f>
        <v/>
      </c>
      <c r="BD132" s="34">
        <f>IF(AND(BD$5&gt;$E132,BD$5&lt;=$F132),IF(BD$5=$E132+1,$C132,""),"")</f>
        <v/>
      </c>
      <c r="BE132" s="34">
        <f>IF(AND(BE$5&gt;$E132,BE$5&lt;=$F132),IF(BE$5=$E132+1,$C132,""),"")</f>
        <v/>
      </c>
      <c r="BF132" s="34">
        <f>IF(AND(BF$5&gt;$E132,BF$5&lt;=$F132),IF(BF$5=$E132+1,$C132,""),"")</f>
        <v/>
      </c>
      <c r="BG132" s="34">
        <f>IF(AND(BG$5&gt;$E132,BG$5&lt;=$F132),IF(BG$5=$E132+1,$C132,""),"")</f>
        <v/>
      </c>
      <c r="BH132" s="34">
        <f>IF(AND(BH$5&gt;$E132,BH$5&lt;=$F132),IF(BH$5=$E132+1,$C132,""),"")</f>
        <v/>
      </c>
      <c r="BI132" s="34">
        <f>IF(AND(BI$5&gt;$E132,BI$5&lt;=$F132),IF(BI$5=$E132+1,$C132,""),"")</f>
        <v/>
      </c>
      <c r="BJ132" s="34">
        <f>IF(AND(BJ$5&gt;$E132,BJ$5&lt;=$F132),IF(BJ$5=$E132+1,$C132,""),"")</f>
        <v/>
      </c>
      <c r="BK132" s="34">
        <f>IF(AND(BK$5&gt;$E132,BK$5&lt;=$F132),IF(BK$5=$E132+1,$C132,""),"")</f>
        <v/>
      </c>
      <c r="BL132" s="34">
        <f>IF(AND(BL$5&gt;$E132,BL$5&lt;=$F132),IF(BL$5=$E132+1,$C132,""),"")</f>
        <v/>
      </c>
      <c r="BM132" s="34">
        <f>IF(AND(BM$5&gt;$E132,BM$5&lt;=$F132),IF(BM$5=$E132+1,$C132,""),"")</f>
        <v/>
      </c>
      <c r="BN132" s="34">
        <f>IF(AND(BN$5&gt;$E132,BN$5&lt;=$F132),IF(BN$5=$E132+1,$C132,""),"")</f>
        <v/>
      </c>
      <c r="BO132" s="34">
        <f>IF(AND(BO$5&gt;$E132,BO$5&lt;=$F132),IF(BO$5=$E132+1,$C132,""),"")</f>
        <v/>
      </c>
      <c r="BP132" s="34">
        <f>IF(AND(BP$5&gt;$E132,BP$5&lt;=$F132),IF(BP$5=$E132+1,$C132,""),"")</f>
        <v/>
      </c>
      <c r="BQ132" s="34">
        <f>IF(AND(BQ$5&gt;$E132,BQ$5&lt;=$F132),IF(BQ$5=$E132+1,$C132,""),"")</f>
        <v/>
      </c>
      <c r="BR132" s="34">
        <f>IF(AND(BR$5&gt;$E132,BR$5&lt;=$F132),IF(BR$5=$E132+1,$C132,""),"")</f>
        <v/>
      </c>
      <c r="BS132" s="34">
        <f>IF(AND(BS$5&gt;$E132,BS$5&lt;=$F132),IF(BS$5=$E132+1,$C132,""),"")</f>
        <v/>
      </c>
      <c r="BT132" s="34">
        <f>IF(AND(BT$5&gt;$E132,BT$5&lt;=$F132),IF(BT$5=$E132+1,$C132,""),"")</f>
        <v/>
      </c>
      <c r="BU132" s="34">
        <f>IF(AND(BU$5&gt;$E132,BU$5&lt;=$F132),IF(BU$5=$E132+1,$C132,""),"")</f>
        <v/>
      </c>
      <c r="BV132" s="34">
        <f>IF(AND(BV$5&gt;$E132,BV$5&lt;=$F132),IF(BV$5=$E132+1,$C132,""),"")</f>
        <v/>
      </c>
      <c r="BW132" s="34">
        <f>IF(AND(BW$5&gt;$E132,BW$5&lt;=$F132),IF(BW$5=$E132+1,$C132,""),"")</f>
        <v/>
      </c>
      <c r="BX132" s="34">
        <f>IF(AND(BX$5&gt;$E132,BX$5&lt;=$F132),IF(BX$5=$E132+1,$C132,""),"")</f>
        <v/>
      </c>
      <c r="BY132" s="34">
        <f>IF(AND(BY$5&gt;$E132,BY$5&lt;=$F132),IF(BY$5=$E132+1,$C132,""),"")</f>
        <v/>
      </c>
      <c r="BZ132" s="34">
        <f>IF(AND(BZ$5&gt;$E132,BZ$5&lt;=$F132),IF(BZ$5=$E132+1,$C132,""),"")</f>
        <v/>
      </c>
      <c r="CA132" s="34">
        <f>IF(AND(CA$5&gt;$E132,CA$5&lt;=$F132),IF(CA$5=$E132+1,$C132,""),"")</f>
        <v/>
      </c>
      <c r="CB132" s="34">
        <f>IF(AND(CB$5&gt;$E132,CB$5&lt;=$F132),IF(CB$5=$E132+1,$C132,""),"")</f>
        <v/>
      </c>
      <c r="CC132" s="34">
        <f>IF(AND(CC$5&gt;$E132,CC$5&lt;=$F132),IF(CC$5=$E132+1,$C132,""),"")</f>
        <v/>
      </c>
      <c r="CD132" s="34">
        <f>IF(AND(CD$5&gt;$E132,CD$5&lt;=$F132),IF(CD$5=$E132+1,$C132,""),"")</f>
        <v/>
      </c>
      <c r="CE132" s="34">
        <f>IF(AND(CE$5&gt;$E132,CE$5&lt;=$F132),IF(CE$5=$E132+1,$C132,""),"")</f>
        <v/>
      </c>
      <c r="CF132" s="34">
        <f>IF(AND(CF$5&gt;$E132,CF$5&lt;=$F132),IF(CF$5=$E132+1,$C132,""),"")</f>
        <v/>
      </c>
      <c r="CG132" s="34">
        <f>IF(AND(CG$5&gt;$E132,CG$5&lt;=$F132),IF(CG$5=$E132+1,$C132,""),"")</f>
        <v/>
      </c>
      <c r="CH132" s="34">
        <f>IF(AND(CH$5&gt;$E132,CH$5&lt;=$F132),IF(CH$5=$E132+1,$C132,""),"")</f>
        <v/>
      </c>
      <c r="CI132" s="34">
        <f>IF(AND(CI$5&gt;$E132,CI$5&lt;=$F132),IF(CI$5=$E132+1,$C132,""),"")</f>
        <v/>
      </c>
      <c r="CJ132" s="34">
        <f>IF(AND(CJ$5&gt;$E132,CJ$5&lt;=$F132),IF(CJ$5=$E132+1,$C132,""),"")</f>
        <v/>
      </c>
      <c r="CK132" s="34">
        <f>IF(AND(CK$5&gt;$E132,CK$5&lt;=$F132),IF(CK$5=$E132+1,$C132,""),"")</f>
        <v/>
      </c>
      <c r="CL132" s="34">
        <f>IF(AND(CL$5&gt;$E132,CL$5&lt;=$F132),IF(CL$5=$E132+1,$C132,""),"")</f>
        <v/>
      </c>
      <c r="CM132" s="34">
        <f>IF(AND(CM$5&gt;$E132,CM$5&lt;=$F132),IF(CM$5=$E132+1,$C132,""),"")</f>
        <v/>
      </c>
      <c r="CN132" s="34">
        <f>IF(AND(CN$5&gt;$E132,CN$5&lt;=$F132),IF(CN$5=$E132+1,$C132,""),"")</f>
        <v/>
      </c>
      <c r="CO132" s="34">
        <f>IF(AND(CO$5&gt;$E132,CO$5&lt;=$F132),IF(CO$5=$E132+1,$C132,""),"")</f>
        <v/>
      </c>
      <c r="CP132" s="34">
        <f>IF(AND(CP$5&gt;$E132,CP$5&lt;=$F132),IF(CP$5=$E132+1,$C132,""),"")</f>
        <v/>
      </c>
      <c r="CQ132" s="34">
        <f>IF(AND(CQ$5&gt;$E132,CQ$5&lt;=$F132),IF(CQ$5=$E132+1,$C132,""),"")</f>
        <v/>
      </c>
      <c r="CR132" s="34">
        <f>IF(AND(CR$5&gt;$E132,CR$5&lt;=$F132),IF(CR$5=$E132+1,$C132,""),"")</f>
        <v/>
      </c>
      <c r="CS132" s="34">
        <f>IF(AND(CS$5&gt;$E132,CS$5&lt;=$F132),IF(CS$5=$E132+1,$C132,""),"")</f>
        <v/>
      </c>
      <c r="CT132" s="34">
        <f>IF(AND(CT$5&gt;$E132,CT$5&lt;=$F132),IF(CT$5=$E132+1,$C132,""),"")</f>
        <v/>
      </c>
      <c r="CU132" s="34">
        <f>IF(AND(CU$5&gt;$E132,CU$5&lt;=$F132),IF(CU$5=$E132+1,$C132,""),"")</f>
        <v/>
      </c>
      <c r="CV132" s="34">
        <f>IF(AND(CV$5&gt;$E132,CV$5&lt;=$F132),IF(CV$5=$E132+1,$C132,""),"")</f>
        <v/>
      </c>
      <c r="CW132" s="34">
        <f>IF(AND(CW$5&gt;$E132,CW$5&lt;=$F132),IF(CW$5=$E132+1,$C132,""),"")</f>
        <v/>
      </c>
      <c r="CX132" s="34">
        <f>IF(AND(CX$5&gt;$E132,CX$5&lt;=$F132),IF(CX$5=$E132+1,$C132,""),"")</f>
        <v/>
      </c>
      <c r="CY132" s="34">
        <f>IF(AND(CY$5&gt;$E132,CY$5&lt;=$F132),IF(CY$5=$E132+1,$C132,""),"")</f>
        <v/>
      </c>
      <c r="CZ132" s="34">
        <f>IF(AND(CZ$5&gt;$E132,CZ$5&lt;=$F132),IF(CZ$5=$E132+1,$C132,""),"")</f>
        <v/>
      </c>
      <c r="DA132" s="34">
        <f>IF(AND(DA$5&gt;$E132,DA$5&lt;=$F132),IF(DA$5=$E132+1,$C132,""),"")</f>
        <v/>
      </c>
      <c r="DB132" s="34">
        <f>IF(AND(DB$5&gt;$E132,DB$5&lt;=$F132),IF(DB$5=$E132+1,$C132,""),"")</f>
        <v/>
      </c>
      <c r="DC132" s="34">
        <f>IF(AND(DC$5&gt;$E132,DC$5&lt;=$F132),IF(DC$5=$E132+1,$C132,""),"")</f>
        <v/>
      </c>
      <c r="DD132" s="34">
        <f>IF(AND(DD$5&gt;$E132,DD$5&lt;=$F132),IF(DD$5=$E132+1,$C132,""),"")</f>
        <v/>
      </c>
      <c r="DE132" s="34">
        <f>IF(AND(DE$5&gt;$E132,DE$5&lt;=$F132),IF(DE$5=$E132+1,$C132,""),"")</f>
        <v/>
      </c>
      <c r="DF132" s="34">
        <f>IF(AND(DF$5&gt;$E132,DF$5&lt;=$F132),IF(DF$5=$E132+1,$C132,""),"")</f>
        <v/>
      </c>
      <c r="DG132" s="34">
        <f>IF(AND(DG$5&gt;$E132,DG$5&lt;=$F132),IF(DG$5=$E132+1,$C132,""),"")</f>
        <v/>
      </c>
      <c r="DH132" s="34">
        <f>IF(AND(DH$5&gt;$E132,DH$5&lt;=$F132),IF(DH$5=$E132+1,$C132,""),"")</f>
        <v/>
      </c>
      <c r="DI132" s="34">
        <f>IF(AND(DI$5&gt;$E132,DI$5&lt;=$F132),IF(DI$5=$E132+1,$C132,""),"")</f>
        <v/>
      </c>
      <c r="DJ132" s="34">
        <f>IF(AND(DJ$5&gt;$E132,DJ$5&lt;=$F132),IF(DJ$5=$E132+1,$C132,""),"")</f>
        <v/>
      </c>
      <c r="DK132" s="34">
        <f>IF(AND(DK$5&gt;$E132,DK$5&lt;=$F132),IF(DK$5=$E132+1,$C132,""),"")</f>
        <v/>
      </c>
      <c r="DL132" s="34">
        <f>IF(AND(DL$5&gt;$E132,DL$5&lt;=$F132),IF(DL$5=$E132+1,$C132,""),"")</f>
        <v/>
      </c>
      <c r="DM132" s="34">
        <f>IF(AND(DM$5&gt;$E132,DM$5&lt;=$F132),IF(DM$5=$E132+1,$C132,""),"")</f>
        <v/>
      </c>
      <c r="DN132" s="34">
        <f>IF(AND(DN$5&gt;$E132,DN$5&lt;=$F132),IF(DN$5=$E132+1,$C132,""),"")</f>
        <v/>
      </c>
      <c r="DO132" s="34">
        <f>IF(AND(DO$5&gt;$E132,DO$5&lt;=$F132),IF(DO$5=$E132+1,$C132,""),"")</f>
        <v/>
      </c>
      <c r="DP132" s="34">
        <f>IF(AND(DP$5&gt;$E132,DP$5&lt;=$F132),IF(DP$5=$E132+1,$C132,""),"")</f>
        <v/>
      </c>
      <c r="DQ132" s="34">
        <f>IF(AND(DQ$5&gt;$E132,DQ$5&lt;=$F132),IF(DQ$5=$E132+1,$C132,""),"")</f>
        <v/>
      </c>
      <c r="DR132" s="34">
        <f>IF(AND(DR$5&gt;$E132,DR$5&lt;=$F132),IF(DR$5=$E132+1,$C132,""),"")</f>
        <v/>
      </c>
      <c r="DS132" s="34">
        <f>IF(AND(DS$5&gt;$E132,DS$5&lt;=$F132),IF(DS$5=$E132+1,$C132,""),"")</f>
        <v/>
      </c>
      <c r="DT132" s="34">
        <f>IF(AND(DT$5&gt;$E132,DT$5&lt;=$F132),IF(DT$5=$E132+1,$C132,""),"")</f>
        <v/>
      </c>
      <c r="DU132" s="34">
        <f>IF(AND(DU$5&gt;$E132,DU$5&lt;=$F132),IF(DU$5=$E132+1,$C132,""),"")</f>
        <v/>
      </c>
      <c r="DV132" s="34">
        <f>IF(AND(DV$5&gt;$E132,DV$5&lt;=$F132),IF(DV$5=$E132+1,$C132,""),"")</f>
        <v/>
      </c>
      <c r="DW132" s="34">
        <f>IF(AND(DW$5&gt;$E132,DW$5&lt;=$F132),IF(DW$5=$E132+1,$C132,""),"")</f>
        <v/>
      </c>
      <c r="DX132" s="34">
        <f>IF(AND(DX$5&gt;$E132,DX$5&lt;=$F132),IF(DX$5=$E132+1,$C132,""),"")</f>
        <v/>
      </c>
      <c r="DY132" s="34">
        <f>IF(AND(DY$5&gt;$E132,DY$5&lt;=$F132),IF(DY$5=$E132+1,$C132,""),"")</f>
        <v/>
      </c>
      <c r="DZ132" s="34">
        <f>IF(AND(DZ$5&gt;$E132,DZ$5&lt;=$F132),IF(DZ$5=$E132+1,$C132,""),"")</f>
        <v/>
      </c>
      <c r="EA132" s="34">
        <f>IF(AND(EA$5&gt;$E132,EA$5&lt;=$F132),IF(EA$5=$E132+1,$C132,""),"")</f>
        <v/>
      </c>
      <c r="EB132" s="34">
        <f>IF(AND(EB$5&gt;$E132,EB$5&lt;=$F132),IF(EB$5=$E132+1,$C132,""),"")</f>
        <v/>
      </c>
      <c r="EC132" s="34">
        <f>IF(AND(EC$5&gt;$E132,EC$5&lt;=$F132),IF(EC$5=$E132+1,$C132,""),"")</f>
        <v/>
      </c>
      <c r="ED132" s="34">
        <f>IF(AND(ED$5&gt;$E132,ED$5&lt;=$F132),IF(ED$5=$E132+1,$C132,""),"")</f>
        <v/>
      </c>
      <c r="EE132" s="34">
        <f>IF(AND(EE$5&gt;$E132,EE$5&lt;=$F132),IF(EE$5=$E132+1,$C132,""),"")</f>
        <v/>
      </c>
      <c r="EF132" s="34">
        <f>IF(AND(EF$5&gt;$E132,EF$5&lt;=$F132),IF(EF$5=$E132+1,$C132,""),"")</f>
        <v/>
      </c>
      <c r="EG132" s="34">
        <f>IF(AND(EG$5&gt;$E132,EG$5&lt;=$F132),IF(EG$5=$E132+1,$C132,""),"")</f>
        <v/>
      </c>
      <c r="EH132" s="34">
        <f>IF(AND(EH$5&gt;$E132,EH$5&lt;=$F132),IF(EH$5=$E132+1,$C132,""),"")</f>
        <v/>
      </c>
      <c r="EI132" s="34">
        <f>IF(AND(EI$5&gt;$E132,EI$5&lt;=$F132),IF(EI$5=$E132+1,$C132,""),"")</f>
        <v/>
      </c>
      <c r="EJ132" s="34">
        <f>IF(AND(EJ$5&gt;$E132,EJ$5&lt;=$F132),IF(EJ$5=$E132+1,$C132,""),"")</f>
        <v/>
      </c>
      <c r="EK132" s="34">
        <f>IF(AND(EK$5&gt;$E132,EK$5&lt;=$F132),IF(EK$5=$E132+1,$C132,""),"")</f>
        <v/>
      </c>
      <c r="EL132" s="34">
        <f>IF(AND(EL$5&gt;$E132,EL$5&lt;=$F132),IF(EL$5=$E132+1,$C132,""),"")</f>
        <v/>
      </c>
      <c r="EM132" s="34">
        <f>IF(AND(EM$5&gt;$E132,EM$5&lt;=$F132),IF(EM$5=$E132+1,$C132,""),"")</f>
        <v/>
      </c>
      <c r="EN132" s="34">
        <f>IF(AND(EN$5&gt;$E132,EN$5&lt;=$F132),IF(EN$5=$E132+1,$C132,""),"")</f>
        <v/>
      </c>
      <c r="EO132" s="34">
        <f>IF(AND(EO$5&gt;$E132,EO$5&lt;=$F132),IF(EO$5=$E132+1,$C132,""),"")</f>
        <v/>
      </c>
      <c r="EP132" s="34">
        <f>IF(AND(EP$5&gt;$E132,EP$5&lt;=$F132),IF(EP$5=$E132+1,$C132,""),"")</f>
        <v/>
      </c>
      <c r="EQ132" s="34">
        <f>IF(AND(EQ$5&gt;$E132,EQ$5&lt;=$F132),IF(EQ$5=$E132+1,$C132,""),"")</f>
        <v/>
      </c>
    </row>
    <row r="133">
      <c r="A133" s="32">
        <f>Plan!A117</f>
        <v/>
      </c>
      <c r="B133" s="33">
        <f>Plan!C117</f>
        <v/>
      </c>
      <c r="C133" s="16">
        <f>Plan!D117</f>
        <v/>
      </c>
      <c r="D133" s="16">
        <f>Plan!I117</f>
        <v/>
      </c>
      <c r="E133" s="16">
        <f>Plan!K117</f>
        <v/>
      </c>
      <c r="F133" s="16">
        <f>Plan!L117</f>
        <v/>
      </c>
      <c r="G133" s="16">
        <f>Plan!O117</f>
        <v/>
      </c>
      <c r="H133" s="34">
        <f>IF(AND(H$5&gt;$E133,H$5&lt;=$F133),IF(H$5=$E133+1,$C133,""),"")</f>
        <v/>
      </c>
      <c r="I133" s="34">
        <f>IF(AND(I$5&gt;$E133,I$5&lt;=$F133),IF(I$5=$E133+1,$C133,""),"")</f>
        <v/>
      </c>
      <c r="J133" s="34">
        <f>IF(AND(J$5&gt;$E133,J$5&lt;=$F133),IF(J$5=$E133+1,$C133,""),"")</f>
        <v/>
      </c>
      <c r="K133" s="34">
        <f>IF(AND(K$5&gt;$E133,K$5&lt;=$F133),IF(K$5=$E133+1,$C133,""),"")</f>
        <v/>
      </c>
      <c r="L133" s="34">
        <f>IF(AND(L$5&gt;$E133,L$5&lt;=$F133),IF(L$5=$E133+1,$C133,""),"")</f>
        <v/>
      </c>
      <c r="M133" s="34">
        <f>IF(AND(M$5&gt;$E133,M$5&lt;=$F133),IF(M$5=$E133+1,$C133,""),"")</f>
        <v/>
      </c>
      <c r="N133" s="34">
        <f>IF(AND(N$5&gt;$E133,N$5&lt;=$F133),IF(N$5=$E133+1,$C133,""),"")</f>
        <v/>
      </c>
      <c r="O133" s="34">
        <f>IF(AND(O$5&gt;$E133,O$5&lt;=$F133),IF(O$5=$E133+1,$C133,""),"")</f>
        <v/>
      </c>
      <c r="P133" s="34">
        <f>IF(AND(P$5&gt;$E133,P$5&lt;=$F133),IF(P$5=$E133+1,$C133,""),"")</f>
        <v/>
      </c>
      <c r="Q133" s="34">
        <f>IF(AND(Q$5&gt;$E133,Q$5&lt;=$F133),IF(Q$5=$E133+1,$C133,""),"")</f>
        <v/>
      </c>
      <c r="R133" s="34">
        <f>IF(AND(R$5&gt;$E133,R$5&lt;=$F133),IF(R$5=$E133+1,$C133,""),"")</f>
        <v/>
      </c>
      <c r="S133" s="34">
        <f>IF(AND(S$5&gt;$E133,S$5&lt;=$F133),IF(S$5=$E133+1,$C133,""),"")</f>
        <v/>
      </c>
      <c r="T133" s="34">
        <f>IF(AND(T$5&gt;$E133,T$5&lt;=$F133),IF(T$5=$E133+1,$C133,""),"")</f>
        <v/>
      </c>
      <c r="U133" s="34">
        <f>IF(AND(U$5&gt;$E133,U$5&lt;=$F133),IF(U$5=$E133+1,$C133,""),"")</f>
        <v/>
      </c>
      <c r="V133" s="34">
        <f>IF(AND(V$5&gt;$E133,V$5&lt;=$F133),IF(V$5=$E133+1,$C133,""),"")</f>
        <v/>
      </c>
      <c r="W133" s="34">
        <f>IF(AND(W$5&gt;$E133,W$5&lt;=$F133),IF(W$5=$E133+1,$C133,""),"")</f>
        <v/>
      </c>
      <c r="X133" s="34">
        <f>IF(AND(X$5&gt;$E133,X$5&lt;=$F133),IF(X$5=$E133+1,$C133,""),"")</f>
        <v/>
      </c>
      <c r="Y133" s="34">
        <f>IF(AND(Y$5&gt;$E133,Y$5&lt;=$F133),IF(Y$5=$E133+1,$C133,""),"")</f>
        <v/>
      </c>
      <c r="Z133" s="34">
        <f>IF(AND(Z$5&gt;$E133,Z$5&lt;=$F133),IF(Z$5=$E133+1,$C133,""),"")</f>
        <v/>
      </c>
      <c r="AA133" s="34">
        <f>IF(AND(AA$5&gt;$E133,AA$5&lt;=$F133),IF(AA$5=$E133+1,$C133,""),"")</f>
        <v/>
      </c>
      <c r="AB133" s="34">
        <f>IF(AND(AB$5&gt;$E133,AB$5&lt;=$F133),IF(AB$5=$E133+1,$C133,""),"")</f>
        <v/>
      </c>
      <c r="AC133" s="34">
        <f>IF(AND(AC$5&gt;$E133,AC$5&lt;=$F133),IF(AC$5=$E133+1,$C133,""),"")</f>
        <v/>
      </c>
      <c r="AD133" s="34">
        <f>IF(AND(AD$5&gt;$E133,AD$5&lt;=$F133),IF(AD$5=$E133+1,$C133,""),"")</f>
        <v/>
      </c>
      <c r="AE133" s="34">
        <f>IF(AND(AE$5&gt;$E133,AE$5&lt;=$F133),IF(AE$5=$E133+1,$C133,""),"")</f>
        <v/>
      </c>
      <c r="AF133" s="34">
        <f>IF(AND(AF$5&gt;$E133,AF$5&lt;=$F133),IF(AF$5=$E133+1,$C133,""),"")</f>
        <v/>
      </c>
      <c r="AG133" s="34">
        <f>IF(AND(AG$5&gt;$E133,AG$5&lt;=$F133),IF(AG$5=$E133+1,$C133,""),"")</f>
        <v/>
      </c>
      <c r="AH133" s="34">
        <f>IF(AND(AH$5&gt;$E133,AH$5&lt;=$F133),IF(AH$5=$E133+1,$C133,""),"")</f>
        <v/>
      </c>
      <c r="AI133" s="34">
        <f>IF(AND(AI$5&gt;$E133,AI$5&lt;=$F133),IF(AI$5=$E133+1,$C133,""),"")</f>
        <v/>
      </c>
      <c r="AJ133" s="34">
        <f>IF(AND(AJ$5&gt;$E133,AJ$5&lt;=$F133),IF(AJ$5=$E133+1,$C133,""),"")</f>
        <v/>
      </c>
      <c r="AK133" s="34">
        <f>IF(AND(AK$5&gt;$E133,AK$5&lt;=$F133),IF(AK$5=$E133+1,$C133,""),"")</f>
        <v/>
      </c>
      <c r="AL133" s="34">
        <f>IF(AND(AL$5&gt;$E133,AL$5&lt;=$F133),IF(AL$5=$E133+1,$C133,""),"")</f>
        <v/>
      </c>
      <c r="AM133" s="34">
        <f>IF(AND(AM$5&gt;$E133,AM$5&lt;=$F133),IF(AM$5=$E133+1,$C133,""),"")</f>
        <v/>
      </c>
      <c r="AN133" s="34">
        <f>IF(AND(AN$5&gt;$E133,AN$5&lt;=$F133),IF(AN$5=$E133+1,$C133,""),"")</f>
        <v/>
      </c>
      <c r="AO133" s="34">
        <f>IF(AND(AO$5&gt;$E133,AO$5&lt;=$F133),IF(AO$5=$E133+1,$C133,""),"")</f>
        <v/>
      </c>
      <c r="AP133" s="34">
        <f>IF(AND(AP$5&gt;$E133,AP$5&lt;=$F133),IF(AP$5=$E133+1,$C133,""),"")</f>
        <v/>
      </c>
      <c r="AQ133" s="34">
        <f>IF(AND(AQ$5&gt;$E133,AQ$5&lt;=$F133),IF(AQ$5=$E133+1,$C133,""),"")</f>
        <v/>
      </c>
      <c r="AR133" s="34">
        <f>IF(AND(AR$5&gt;$E133,AR$5&lt;=$F133),IF(AR$5=$E133+1,$C133,""),"")</f>
        <v/>
      </c>
      <c r="AS133" s="34">
        <f>IF(AND(AS$5&gt;$E133,AS$5&lt;=$F133),IF(AS$5=$E133+1,$C133,""),"")</f>
        <v/>
      </c>
      <c r="AT133" s="34">
        <f>IF(AND(AT$5&gt;$E133,AT$5&lt;=$F133),IF(AT$5=$E133+1,$C133,""),"")</f>
        <v/>
      </c>
      <c r="AU133" s="34">
        <f>IF(AND(AU$5&gt;$E133,AU$5&lt;=$F133),IF(AU$5=$E133+1,$C133,""),"")</f>
        <v/>
      </c>
      <c r="AV133" s="34">
        <f>IF(AND(AV$5&gt;$E133,AV$5&lt;=$F133),IF(AV$5=$E133+1,$C133,""),"")</f>
        <v/>
      </c>
      <c r="AW133" s="34">
        <f>IF(AND(AW$5&gt;$E133,AW$5&lt;=$F133),IF(AW$5=$E133+1,$C133,""),"")</f>
        <v/>
      </c>
      <c r="AX133" s="34">
        <f>IF(AND(AX$5&gt;$E133,AX$5&lt;=$F133),IF(AX$5=$E133+1,$C133,""),"")</f>
        <v/>
      </c>
      <c r="AY133" s="34">
        <f>IF(AND(AY$5&gt;$E133,AY$5&lt;=$F133),IF(AY$5=$E133+1,$C133,""),"")</f>
        <v/>
      </c>
      <c r="AZ133" s="34">
        <f>IF(AND(AZ$5&gt;$E133,AZ$5&lt;=$F133),IF(AZ$5=$E133+1,$C133,""),"")</f>
        <v/>
      </c>
      <c r="BA133" s="34">
        <f>IF(AND(BA$5&gt;$E133,BA$5&lt;=$F133),IF(BA$5=$E133+1,$C133,""),"")</f>
        <v/>
      </c>
      <c r="BB133" s="34">
        <f>IF(AND(BB$5&gt;$E133,BB$5&lt;=$F133),IF(BB$5=$E133+1,$C133,""),"")</f>
        <v/>
      </c>
      <c r="BC133" s="34">
        <f>IF(AND(BC$5&gt;$E133,BC$5&lt;=$F133),IF(BC$5=$E133+1,$C133,""),"")</f>
        <v/>
      </c>
      <c r="BD133" s="34">
        <f>IF(AND(BD$5&gt;$E133,BD$5&lt;=$F133),IF(BD$5=$E133+1,$C133,""),"")</f>
        <v/>
      </c>
      <c r="BE133" s="34">
        <f>IF(AND(BE$5&gt;$E133,BE$5&lt;=$F133),IF(BE$5=$E133+1,$C133,""),"")</f>
        <v/>
      </c>
      <c r="BF133" s="34">
        <f>IF(AND(BF$5&gt;$E133,BF$5&lt;=$F133),IF(BF$5=$E133+1,$C133,""),"")</f>
        <v/>
      </c>
      <c r="BG133" s="34">
        <f>IF(AND(BG$5&gt;$E133,BG$5&lt;=$F133),IF(BG$5=$E133+1,$C133,""),"")</f>
        <v/>
      </c>
      <c r="BH133" s="34">
        <f>IF(AND(BH$5&gt;$E133,BH$5&lt;=$F133),IF(BH$5=$E133+1,$C133,""),"")</f>
        <v/>
      </c>
      <c r="BI133" s="34">
        <f>IF(AND(BI$5&gt;$E133,BI$5&lt;=$F133),IF(BI$5=$E133+1,$C133,""),"")</f>
        <v/>
      </c>
      <c r="BJ133" s="34">
        <f>IF(AND(BJ$5&gt;$E133,BJ$5&lt;=$F133),IF(BJ$5=$E133+1,$C133,""),"")</f>
        <v/>
      </c>
      <c r="BK133" s="34">
        <f>IF(AND(BK$5&gt;$E133,BK$5&lt;=$F133),IF(BK$5=$E133+1,$C133,""),"")</f>
        <v/>
      </c>
      <c r="BL133" s="34">
        <f>IF(AND(BL$5&gt;$E133,BL$5&lt;=$F133),IF(BL$5=$E133+1,$C133,""),"")</f>
        <v/>
      </c>
      <c r="BM133" s="34">
        <f>IF(AND(BM$5&gt;$E133,BM$5&lt;=$F133),IF(BM$5=$E133+1,$C133,""),"")</f>
        <v/>
      </c>
      <c r="BN133" s="34">
        <f>IF(AND(BN$5&gt;$E133,BN$5&lt;=$F133),IF(BN$5=$E133+1,$C133,""),"")</f>
        <v/>
      </c>
      <c r="BO133" s="34">
        <f>IF(AND(BO$5&gt;$E133,BO$5&lt;=$F133),IF(BO$5=$E133+1,$C133,""),"")</f>
        <v/>
      </c>
      <c r="BP133" s="34">
        <f>IF(AND(BP$5&gt;$E133,BP$5&lt;=$F133),IF(BP$5=$E133+1,$C133,""),"")</f>
        <v/>
      </c>
      <c r="BQ133" s="34">
        <f>IF(AND(BQ$5&gt;$E133,BQ$5&lt;=$F133),IF(BQ$5=$E133+1,$C133,""),"")</f>
        <v/>
      </c>
      <c r="BR133" s="34">
        <f>IF(AND(BR$5&gt;$E133,BR$5&lt;=$F133),IF(BR$5=$E133+1,$C133,""),"")</f>
        <v/>
      </c>
      <c r="BS133" s="34">
        <f>IF(AND(BS$5&gt;$E133,BS$5&lt;=$F133),IF(BS$5=$E133+1,$C133,""),"")</f>
        <v/>
      </c>
      <c r="BT133" s="34">
        <f>IF(AND(BT$5&gt;$E133,BT$5&lt;=$F133),IF(BT$5=$E133+1,$C133,""),"")</f>
        <v/>
      </c>
      <c r="BU133" s="34">
        <f>IF(AND(BU$5&gt;$E133,BU$5&lt;=$F133),IF(BU$5=$E133+1,$C133,""),"")</f>
        <v/>
      </c>
      <c r="BV133" s="34">
        <f>IF(AND(BV$5&gt;$E133,BV$5&lt;=$F133),IF(BV$5=$E133+1,$C133,""),"")</f>
        <v/>
      </c>
      <c r="BW133" s="34">
        <f>IF(AND(BW$5&gt;$E133,BW$5&lt;=$F133),IF(BW$5=$E133+1,$C133,""),"")</f>
        <v/>
      </c>
      <c r="BX133" s="34">
        <f>IF(AND(BX$5&gt;$E133,BX$5&lt;=$F133),IF(BX$5=$E133+1,$C133,""),"")</f>
        <v/>
      </c>
      <c r="BY133" s="34">
        <f>IF(AND(BY$5&gt;$E133,BY$5&lt;=$F133),IF(BY$5=$E133+1,$C133,""),"")</f>
        <v/>
      </c>
      <c r="BZ133" s="34">
        <f>IF(AND(BZ$5&gt;$E133,BZ$5&lt;=$F133),IF(BZ$5=$E133+1,$C133,""),"")</f>
        <v/>
      </c>
      <c r="CA133" s="34">
        <f>IF(AND(CA$5&gt;$E133,CA$5&lt;=$F133),IF(CA$5=$E133+1,$C133,""),"")</f>
        <v/>
      </c>
      <c r="CB133" s="34">
        <f>IF(AND(CB$5&gt;$E133,CB$5&lt;=$F133),IF(CB$5=$E133+1,$C133,""),"")</f>
        <v/>
      </c>
      <c r="CC133" s="34">
        <f>IF(AND(CC$5&gt;$E133,CC$5&lt;=$F133),IF(CC$5=$E133+1,$C133,""),"")</f>
        <v/>
      </c>
      <c r="CD133" s="34">
        <f>IF(AND(CD$5&gt;$E133,CD$5&lt;=$F133),IF(CD$5=$E133+1,$C133,""),"")</f>
        <v/>
      </c>
      <c r="CE133" s="34">
        <f>IF(AND(CE$5&gt;$E133,CE$5&lt;=$F133),IF(CE$5=$E133+1,$C133,""),"")</f>
        <v/>
      </c>
      <c r="CF133" s="34">
        <f>IF(AND(CF$5&gt;$E133,CF$5&lt;=$F133),IF(CF$5=$E133+1,$C133,""),"")</f>
        <v/>
      </c>
      <c r="CG133" s="34">
        <f>IF(AND(CG$5&gt;$E133,CG$5&lt;=$F133),IF(CG$5=$E133+1,$C133,""),"")</f>
        <v/>
      </c>
      <c r="CH133" s="34">
        <f>IF(AND(CH$5&gt;$E133,CH$5&lt;=$F133),IF(CH$5=$E133+1,$C133,""),"")</f>
        <v/>
      </c>
      <c r="CI133" s="34">
        <f>IF(AND(CI$5&gt;$E133,CI$5&lt;=$F133),IF(CI$5=$E133+1,$C133,""),"")</f>
        <v/>
      </c>
      <c r="CJ133" s="34">
        <f>IF(AND(CJ$5&gt;$E133,CJ$5&lt;=$F133),IF(CJ$5=$E133+1,$C133,""),"")</f>
        <v/>
      </c>
      <c r="CK133" s="34">
        <f>IF(AND(CK$5&gt;$E133,CK$5&lt;=$F133),IF(CK$5=$E133+1,$C133,""),"")</f>
        <v/>
      </c>
      <c r="CL133" s="34">
        <f>IF(AND(CL$5&gt;$E133,CL$5&lt;=$F133),IF(CL$5=$E133+1,$C133,""),"")</f>
        <v/>
      </c>
      <c r="CM133" s="34">
        <f>IF(AND(CM$5&gt;$E133,CM$5&lt;=$F133),IF(CM$5=$E133+1,$C133,""),"")</f>
        <v/>
      </c>
      <c r="CN133" s="34">
        <f>IF(AND(CN$5&gt;$E133,CN$5&lt;=$F133),IF(CN$5=$E133+1,$C133,""),"")</f>
        <v/>
      </c>
      <c r="CO133" s="34">
        <f>IF(AND(CO$5&gt;$E133,CO$5&lt;=$F133),IF(CO$5=$E133+1,$C133,""),"")</f>
        <v/>
      </c>
      <c r="CP133" s="34">
        <f>IF(AND(CP$5&gt;$E133,CP$5&lt;=$F133),IF(CP$5=$E133+1,$C133,""),"")</f>
        <v/>
      </c>
      <c r="CQ133" s="34">
        <f>IF(AND(CQ$5&gt;$E133,CQ$5&lt;=$F133),IF(CQ$5=$E133+1,$C133,""),"")</f>
        <v/>
      </c>
      <c r="CR133" s="34">
        <f>IF(AND(CR$5&gt;$E133,CR$5&lt;=$F133),IF(CR$5=$E133+1,$C133,""),"")</f>
        <v/>
      </c>
      <c r="CS133" s="34">
        <f>IF(AND(CS$5&gt;$E133,CS$5&lt;=$F133),IF(CS$5=$E133+1,$C133,""),"")</f>
        <v/>
      </c>
      <c r="CT133" s="34">
        <f>IF(AND(CT$5&gt;$E133,CT$5&lt;=$F133),IF(CT$5=$E133+1,$C133,""),"")</f>
        <v/>
      </c>
      <c r="CU133" s="34">
        <f>IF(AND(CU$5&gt;$E133,CU$5&lt;=$F133),IF(CU$5=$E133+1,$C133,""),"")</f>
        <v/>
      </c>
      <c r="CV133" s="34">
        <f>IF(AND(CV$5&gt;$E133,CV$5&lt;=$F133),IF(CV$5=$E133+1,$C133,""),"")</f>
        <v/>
      </c>
      <c r="CW133" s="34">
        <f>IF(AND(CW$5&gt;$E133,CW$5&lt;=$F133),IF(CW$5=$E133+1,$C133,""),"")</f>
        <v/>
      </c>
      <c r="CX133" s="34">
        <f>IF(AND(CX$5&gt;$E133,CX$5&lt;=$F133),IF(CX$5=$E133+1,$C133,""),"")</f>
        <v/>
      </c>
      <c r="CY133" s="34">
        <f>IF(AND(CY$5&gt;$E133,CY$5&lt;=$F133),IF(CY$5=$E133+1,$C133,""),"")</f>
        <v/>
      </c>
      <c r="CZ133" s="34">
        <f>IF(AND(CZ$5&gt;$E133,CZ$5&lt;=$F133),IF(CZ$5=$E133+1,$C133,""),"")</f>
        <v/>
      </c>
      <c r="DA133" s="34">
        <f>IF(AND(DA$5&gt;$E133,DA$5&lt;=$F133),IF(DA$5=$E133+1,$C133,""),"")</f>
        <v/>
      </c>
      <c r="DB133" s="34">
        <f>IF(AND(DB$5&gt;$E133,DB$5&lt;=$F133),IF(DB$5=$E133+1,$C133,""),"")</f>
        <v/>
      </c>
      <c r="DC133" s="34">
        <f>IF(AND(DC$5&gt;$E133,DC$5&lt;=$F133),IF(DC$5=$E133+1,$C133,""),"")</f>
        <v/>
      </c>
      <c r="DD133" s="34">
        <f>IF(AND(DD$5&gt;$E133,DD$5&lt;=$F133),IF(DD$5=$E133+1,$C133,""),"")</f>
        <v/>
      </c>
      <c r="DE133" s="34">
        <f>IF(AND(DE$5&gt;$E133,DE$5&lt;=$F133),IF(DE$5=$E133+1,$C133,""),"")</f>
        <v/>
      </c>
      <c r="DF133" s="34">
        <f>IF(AND(DF$5&gt;$E133,DF$5&lt;=$F133),IF(DF$5=$E133+1,$C133,""),"")</f>
        <v/>
      </c>
      <c r="DG133" s="34">
        <f>IF(AND(DG$5&gt;$E133,DG$5&lt;=$F133),IF(DG$5=$E133+1,$C133,""),"")</f>
        <v/>
      </c>
      <c r="DH133" s="34">
        <f>IF(AND(DH$5&gt;$E133,DH$5&lt;=$F133),IF(DH$5=$E133+1,$C133,""),"")</f>
        <v/>
      </c>
      <c r="DI133" s="34">
        <f>IF(AND(DI$5&gt;$E133,DI$5&lt;=$F133),IF(DI$5=$E133+1,$C133,""),"")</f>
        <v/>
      </c>
      <c r="DJ133" s="34">
        <f>IF(AND(DJ$5&gt;$E133,DJ$5&lt;=$F133),IF(DJ$5=$E133+1,$C133,""),"")</f>
        <v/>
      </c>
      <c r="DK133" s="34">
        <f>IF(AND(DK$5&gt;$E133,DK$5&lt;=$F133),IF(DK$5=$E133+1,$C133,""),"")</f>
        <v/>
      </c>
      <c r="DL133" s="34">
        <f>IF(AND(DL$5&gt;$E133,DL$5&lt;=$F133),IF(DL$5=$E133+1,$C133,""),"")</f>
        <v/>
      </c>
      <c r="DM133" s="34">
        <f>IF(AND(DM$5&gt;$E133,DM$5&lt;=$F133),IF(DM$5=$E133+1,$C133,""),"")</f>
        <v/>
      </c>
      <c r="DN133" s="34">
        <f>IF(AND(DN$5&gt;$E133,DN$5&lt;=$F133),IF(DN$5=$E133+1,$C133,""),"")</f>
        <v/>
      </c>
      <c r="DO133" s="34">
        <f>IF(AND(DO$5&gt;$E133,DO$5&lt;=$F133),IF(DO$5=$E133+1,$C133,""),"")</f>
        <v/>
      </c>
      <c r="DP133" s="34">
        <f>IF(AND(DP$5&gt;$E133,DP$5&lt;=$F133),IF(DP$5=$E133+1,$C133,""),"")</f>
        <v/>
      </c>
      <c r="DQ133" s="34">
        <f>IF(AND(DQ$5&gt;$E133,DQ$5&lt;=$F133),IF(DQ$5=$E133+1,$C133,""),"")</f>
        <v/>
      </c>
      <c r="DR133" s="34">
        <f>IF(AND(DR$5&gt;$E133,DR$5&lt;=$F133),IF(DR$5=$E133+1,$C133,""),"")</f>
        <v/>
      </c>
      <c r="DS133" s="34">
        <f>IF(AND(DS$5&gt;$E133,DS$5&lt;=$F133),IF(DS$5=$E133+1,$C133,""),"")</f>
        <v/>
      </c>
      <c r="DT133" s="34">
        <f>IF(AND(DT$5&gt;$E133,DT$5&lt;=$F133),IF(DT$5=$E133+1,$C133,""),"")</f>
        <v/>
      </c>
      <c r="DU133" s="34">
        <f>IF(AND(DU$5&gt;$E133,DU$5&lt;=$F133),IF(DU$5=$E133+1,$C133,""),"")</f>
        <v/>
      </c>
      <c r="DV133" s="34">
        <f>IF(AND(DV$5&gt;$E133,DV$5&lt;=$F133),IF(DV$5=$E133+1,$C133,""),"")</f>
        <v/>
      </c>
      <c r="DW133" s="34">
        <f>IF(AND(DW$5&gt;$E133,DW$5&lt;=$F133),IF(DW$5=$E133+1,$C133,""),"")</f>
        <v/>
      </c>
      <c r="DX133" s="34">
        <f>IF(AND(DX$5&gt;$E133,DX$5&lt;=$F133),IF(DX$5=$E133+1,$C133,""),"")</f>
        <v/>
      </c>
      <c r="DY133" s="34">
        <f>IF(AND(DY$5&gt;$E133,DY$5&lt;=$F133),IF(DY$5=$E133+1,$C133,""),"")</f>
        <v/>
      </c>
      <c r="DZ133" s="34">
        <f>IF(AND(DZ$5&gt;$E133,DZ$5&lt;=$F133),IF(DZ$5=$E133+1,$C133,""),"")</f>
        <v/>
      </c>
      <c r="EA133" s="34">
        <f>IF(AND(EA$5&gt;$E133,EA$5&lt;=$F133),IF(EA$5=$E133+1,$C133,""),"")</f>
        <v/>
      </c>
      <c r="EB133" s="34">
        <f>IF(AND(EB$5&gt;$E133,EB$5&lt;=$F133),IF(EB$5=$E133+1,$C133,""),"")</f>
        <v/>
      </c>
      <c r="EC133" s="34">
        <f>IF(AND(EC$5&gt;$E133,EC$5&lt;=$F133),IF(EC$5=$E133+1,$C133,""),"")</f>
        <v/>
      </c>
      <c r="ED133" s="34">
        <f>IF(AND(ED$5&gt;$E133,ED$5&lt;=$F133),IF(ED$5=$E133+1,$C133,""),"")</f>
        <v/>
      </c>
      <c r="EE133" s="34">
        <f>IF(AND(EE$5&gt;$E133,EE$5&lt;=$F133),IF(EE$5=$E133+1,$C133,""),"")</f>
        <v/>
      </c>
      <c r="EF133" s="34">
        <f>IF(AND(EF$5&gt;$E133,EF$5&lt;=$F133),IF(EF$5=$E133+1,$C133,""),"")</f>
        <v/>
      </c>
      <c r="EG133" s="34">
        <f>IF(AND(EG$5&gt;$E133,EG$5&lt;=$F133),IF(EG$5=$E133+1,$C133,""),"")</f>
        <v/>
      </c>
      <c r="EH133" s="34">
        <f>IF(AND(EH$5&gt;$E133,EH$5&lt;=$F133),IF(EH$5=$E133+1,$C133,""),"")</f>
        <v/>
      </c>
      <c r="EI133" s="34">
        <f>IF(AND(EI$5&gt;$E133,EI$5&lt;=$F133),IF(EI$5=$E133+1,$C133,""),"")</f>
        <v/>
      </c>
      <c r="EJ133" s="34">
        <f>IF(AND(EJ$5&gt;$E133,EJ$5&lt;=$F133),IF(EJ$5=$E133+1,$C133,""),"")</f>
        <v/>
      </c>
      <c r="EK133" s="34">
        <f>IF(AND(EK$5&gt;$E133,EK$5&lt;=$F133),IF(EK$5=$E133+1,$C133,""),"")</f>
        <v/>
      </c>
      <c r="EL133" s="34">
        <f>IF(AND(EL$5&gt;$E133,EL$5&lt;=$F133),IF(EL$5=$E133+1,$C133,""),"")</f>
        <v/>
      </c>
      <c r="EM133" s="34">
        <f>IF(AND(EM$5&gt;$E133,EM$5&lt;=$F133),IF(EM$5=$E133+1,$C133,""),"")</f>
        <v/>
      </c>
      <c r="EN133" s="34">
        <f>IF(AND(EN$5&gt;$E133,EN$5&lt;=$F133),IF(EN$5=$E133+1,$C133,""),"")</f>
        <v/>
      </c>
      <c r="EO133" s="34">
        <f>IF(AND(EO$5&gt;$E133,EO$5&lt;=$F133),IF(EO$5=$E133+1,$C133,""),"")</f>
        <v/>
      </c>
      <c r="EP133" s="34">
        <f>IF(AND(EP$5&gt;$E133,EP$5&lt;=$F133),IF(EP$5=$E133+1,$C133,""),"")</f>
        <v/>
      </c>
      <c r="EQ133" s="34">
        <f>IF(AND(EQ$5&gt;$E133,EQ$5&lt;=$F133),IF(EQ$5=$E133+1,$C133,""),"")</f>
        <v/>
      </c>
    </row>
    <row r="134">
      <c r="A134" s="32">
        <f>Plan!A124</f>
        <v/>
      </c>
      <c r="B134" s="33">
        <f>Plan!C124</f>
        <v/>
      </c>
      <c r="C134" s="16">
        <f>Plan!D124</f>
        <v/>
      </c>
      <c r="D134" s="16">
        <f>Plan!I124</f>
        <v/>
      </c>
      <c r="E134" s="16">
        <f>Plan!K124</f>
        <v/>
      </c>
      <c r="F134" s="16">
        <f>Plan!L124</f>
        <v/>
      </c>
      <c r="G134" s="16">
        <f>Plan!O124</f>
        <v/>
      </c>
      <c r="H134" s="34">
        <f>IF(AND(H$5&gt;$E134,H$5&lt;=$F134),IF(H$5=$E134+1,$C134,""),"")</f>
        <v/>
      </c>
      <c r="I134" s="34">
        <f>IF(AND(I$5&gt;$E134,I$5&lt;=$F134),IF(I$5=$E134+1,$C134,""),"")</f>
        <v/>
      </c>
      <c r="J134" s="34">
        <f>IF(AND(J$5&gt;$E134,J$5&lt;=$F134),IF(J$5=$E134+1,$C134,""),"")</f>
        <v/>
      </c>
      <c r="K134" s="34">
        <f>IF(AND(K$5&gt;$E134,K$5&lt;=$F134),IF(K$5=$E134+1,$C134,""),"")</f>
        <v/>
      </c>
      <c r="L134" s="34">
        <f>IF(AND(L$5&gt;$E134,L$5&lt;=$F134),IF(L$5=$E134+1,$C134,""),"")</f>
        <v/>
      </c>
      <c r="M134" s="34">
        <f>IF(AND(M$5&gt;$E134,M$5&lt;=$F134),IF(M$5=$E134+1,$C134,""),"")</f>
        <v/>
      </c>
      <c r="N134" s="34">
        <f>IF(AND(N$5&gt;$E134,N$5&lt;=$F134),IF(N$5=$E134+1,$C134,""),"")</f>
        <v/>
      </c>
      <c r="O134" s="34">
        <f>IF(AND(O$5&gt;$E134,O$5&lt;=$F134),IF(O$5=$E134+1,$C134,""),"")</f>
        <v/>
      </c>
      <c r="P134" s="34">
        <f>IF(AND(P$5&gt;$E134,P$5&lt;=$F134),IF(P$5=$E134+1,$C134,""),"")</f>
        <v/>
      </c>
      <c r="Q134" s="34">
        <f>IF(AND(Q$5&gt;$E134,Q$5&lt;=$F134),IF(Q$5=$E134+1,$C134,""),"")</f>
        <v/>
      </c>
      <c r="R134" s="34">
        <f>IF(AND(R$5&gt;$E134,R$5&lt;=$F134),IF(R$5=$E134+1,$C134,""),"")</f>
        <v/>
      </c>
      <c r="S134" s="34">
        <f>IF(AND(S$5&gt;$E134,S$5&lt;=$F134),IF(S$5=$E134+1,$C134,""),"")</f>
        <v/>
      </c>
      <c r="T134" s="34">
        <f>IF(AND(T$5&gt;$E134,T$5&lt;=$F134),IF(T$5=$E134+1,$C134,""),"")</f>
        <v/>
      </c>
      <c r="U134" s="34">
        <f>IF(AND(U$5&gt;$E134,U$5&lt;=$F134),IF(U$5=$E134+1,$C134,""),"")</f>
        <v/>
      </c>
      <c r="V134" s="34">
        <f>IF(AND(V$5&gt;$E134,V$5&lt;=$F134),IF(V$5=$E134+1,$C134,""),"")</f>
        <v/>
      </c>
      <c r="W134" s="34">
        <f>IF(AND(W$5&gt;$E134,W$5&lt;=$F134),IF(W$5=$E134+1,$C134,""),"")</f>
        <v/>
      </c>
      <c r="X134" s="34">
        <f>IF(AND(X$5&gt;$E134,X$5&lt;=$F134),IF(X$5=$E134+1,$C134,""),"")</f>
        <v/>
      </c>
      <c r="Y134" s="34">
        <f>IF(AND(Y$5&gt;$E134,Y$5&lt;=$F134),IF(Y$5=$E134+1,$C134,""),"")</f>
        <v/>
      </c>
      <c r="Z134" s="34">
        <f>IF(AND(Z$5&gt;$E134,Z$5&lt;=$F134),IF(Z$5=$E134+1,$C134,""),"")</f>
        <v/>
      </c>
      <c r="AA134" s="34">
        <f>IF(AND(AA$5&gt;$E134,AA$5&lt;=$F134),IF(AA$5=$E134+1,$C134,""),"")</f>
        <v/>
      </c>
      <c r="AB134" s="34">
        <f>IF(AND(AB$5&gt;$E134,AB$5&lt;=$F134),IF(AB$5=$E134+1,$C134,""),"")</f>
        <v/>
      </c>
      <c r="AC134" s="34">
        <f>IF(AND(AC$5&gt;$E134,AC$5&lt;=$F134),IF(AC$5=$E134+1,$C134,""),"")</f>
        <v/>
      </c>
      <c r="AD134" s="34">
        <f>IF(AND(AD$5&gt;$E134,AD$5&lt;=$F134),IF(AD$5=$E134+1,$C134,""),"")</f>
        <v/>
      </c>
      <c r="AE134" s="34">
        <f>IF(AND(AE$5&gt;$E134,AE$5&lt;=$F134),IF(AE$5=$E134+1,$C134,""),"")</f>
        <v/>
      </c>
      <c r="AF134" s="34">
        <f>IF(AND(AF$5&gt;$E134,AF$5&lt;=$F134),IF(AF$5=$E134+1,$C134,""),"")</f>
        <v/>
      </c>
      <c r="AG134" s="34">
        <f>IF(AND(AG$5&gt;$E134,AG$5&lt;=$F134),IF(AG$5=$E134+1,$C134,""),"")</f>
        <v/>
      </c>
      <c r="AH134" s="34">
        <f>IF(AND(AH$5&gt;$E134,AH$5&lt;=$F134),IF(AH$5=$E134+1,$C134,""),"")</f>
        <v/>
      </c>
      <c r="AI134" s="34">
        <f>IF(AND(AI$5&gt;$E134,AI$5&lt;=$F134),IF(AI$5=$E134+1,$C134,""),"")</f>
        <v/>
      </c>
      <c r="AJ134" s="34">
        <f>IF(AND(AJ$5&gt;$E134,AJ$5&lt;=$F134),IF(AJ$5=$E134+1,$C134,""),"")</f>
        <v/>
      </c>
      <c r="AK134" s="34">
        <f>IF(AND(AK$5&gt;$E134,AK$5&lt;=$F134),IF(AK$5=$E134+1,$C134,""),"")</f>
        <v/>
      </c>
      <c r="AL134" s="34">
        <f>IF(AND(AL$5&gt;$E134,AL$5&lt;=$F134),IF(AL$5=$E134+1,$C134,""),"")</f>
        <v/>
      </c>
      <c r="AM134" s="34">
        <f>IF(AND(AM$5&gt;$E134,AM$5&lt;=$F134),IF(AM$5=$E134+1,$C134,""),"")</f>
        <v/>
      </c>
      <c r="AN134" s="34">
        <f>IF(AND(AN$5&gt;$E134,AN$5&lt;=$F134),IF(AN$5=$E134+1,$C134,""),"")</f>
        <v/>
      </c>
      <c r="AO134" s="34">
        <f>IF(AND(AO$5&gt;$E134,AO$5&lt;=$F134),IF(AO$5=$E134+1,$C134,""),"")</f>
        <v/>
      </c>
      <c r="AP134" s="34">
        <f>IF(AND(AP$5&gt;$E134,AP$5&lt;=$F134),IF(AP$5=$E134+1,$C134,""),"")</f>
        <v/>
      </c>
      <c r="AQ134" s="34">
        <f>IF(AND(AQ$5&gt;$E134,AQ$5&lt;=$F134),IF(AQ$5=$E134+1,$C134,""),"")</f>
        <v/>
      </c>
      <c r="AR134" s="34">
        <f>IF(AND(AR$5&gt;$E134,AR$5&lt;=$F134),IF(AR$5=$E134+1,$C134,""),"")</f>
        <v/>
      </c>
      <c r="AS134" s="34">
        <f>IF(AND(AS$5&gt;$E134,AS$5&lt;=$F134),IF(AS$5=$E134+1,$C134,""),"")</f>
        <v/>
      </c>
      <c r="AT134" s="34">
        <f>IF(AND(AT$5&gt;$E134,AT$5&lt;=$F134),IF(AT$5=$E134+1,$C134,""),"")</f>
        <v/>
      </c>
      <c r="AU134" s="34">
        <f>IF(AND(AU$5&gt;$E134,AU$5&lt;=$F134),IF(AU$5=$E134+1,$C134,""),"")</f>
        <v/>
      </c>
      <c r="AV134" s="34">
        <f>IF(AND(AV$5&gt;$E134,AV$5&lt;=$F134),IF(AV$5=$E134+1,$C134,""),"")</f>
        <v/>
      </c>
      <c r="AW134" s="34">
        <f>IF(AND(AW$5&gt;$E134,AW$5&lt;=$F134),IF(AW$5=$E134+1,$C134,""),"")</f>
        <v/>
      </c>
      <c r="AX134" s="34">
        <f>IF(AND(AX$5&gt;$E134,AX$5&lt;=$F134),IF(AX$5=$E134+1,$C134,""),"")</f>
        <v/>
      </c>
      <c r="AY134" s="34">
        <f>IF(AND(AY$5&gt;$E134,AY$5&lt;=$F134),IF(AY$5=$E134+1,$C134,""),"")</f>
        <v/>
      </c>
      <c r="AZ134" s="34">
        <f>IF(AND(AZ$5&gt;$E134,AZ$5&lt;=$F134),IF(AZ$5=$E134+1,$C134,""),"")</f>
        <v/>
      </c>
      <c r="BA134" s="34">
        <f>IF(AND(BA$5&gt;$E134,BA$5&lt;=$F134),IF(BA$5=$E134+1,$C134,""),"")</f>
        <v/>
      </c>
      <c r="BB134" s="34">
        <f>IF(AND(BB$5&gt;$E134,BB$5&lt;=$F134),IF(BB$5=$E134+1,$C134,""),"")</f>
        <v/>
      </c>
      <c r="BC134" s="34">
        <f>IF(AND(BC$5&gt;$E134,BC$5&lt;=$F134),IF(BC$5=$E134+1,$C134,""),"")</f>
        <v/>
      </c>
      <c r="BD134" s="34">
        <f>IF(AND(BD$5&gt;$E134,BD$5&lt;=$F134),IF(BD$5=$E134+1,$C134,""),"")</f>
        <v/>
      </c>
      <c r="BE134" s="34">
        <f>IF(AND(BE$5&gt;$E134,BE$5&lt;=$F134),IF(BE$5=$E134+1,$C134,""),"")</f>
        <v/>
      </c>
      <c r="BF134" s="34">
        <f>IF(AND(BF$5&gt;$E134,BF$5&lt;=$F134),IF(BF$5=$E134+1,$C134,""),"")</f>
        <v/>
      </c>
      <c r="BG134" s="34">
        <f>IF(AND(BG$5&gt;$E134,BG$5&lt;=$F134),IF(BG$5=$E134+1,$C134,""),"")</f>
        <v/>
      </c>
      <c r="BH134" s="34">
        <f>IF(AND(BH$5&gt;$E134,BH$5&lt;=$F134),IF(BH$5=$E134+1,$C134,""),"")</f>
        <v/>
      </c>
      <c r="BI134" s="34">
        <f>IF(AND(BI$5&gt;$E134,BI$5&lt;=$F134),IF(BI$5=$E134+1,$C134,""),"")</f>
        <v/>
      </c>
      <c r="BJ134" s="34">
        <f>IF(AND(BJ$5&gt;$E134,BJ$5&lt;=$F134),IF(BJ$5=$E134+1,$C134,""),"")</f>
        <v/>
      </c>
      <c r="BK134" s="34">
        <f>IF(AND(BK$5&gt;$E134,BK$5&lt;=$F134),IF(BK$5=$E134+1,$C134,""),"")</f>
        <v/>
      </c>
      <c r="BL134" s="34">
        <f>IF(AND(BL$5&gt;$E134,BL$5&lt;=$F134),IF(BL$5=$E134+1,$C134,""),"")</f>
        <v/>
      </c>
      <c r="BM134" s="34">
        <f>IF(AND(BM$5&gt;$E134,BM$5&lt;=$F134),IF(BM$5=$E134+1,$C134,""),"")</f>
        <v/>
      </c>
      <c r="BN134" s="34">
        <f>IF(AND(BN$5&gt;$E134,BN$5&lt;=$F134),IF(BN$5=$E134+1,$C134,""),"")</f>
        <v/>
      </c>
      <c r="BO134" s="34">
        <f>IF(AND(BO$5&gt;$E134,BO$5&lt;=$F134),IF(BO$5=$E134+1,$C134,""),"")</f>
        <v/>
      </c>
      <c r="BP134" s="34">
        <f>IF(AND(BP$5&gt;$E134,BP$5&lt;=$F134),IF(BP$5=$E134+1,$C134,""),"")</f>
        <v/>
      </c>
      <c r="BQ134" s="34">
        <f>IF(AND(BQ$5&gt;$E134,BQ$5&lt;=$F134),IF(BQ$5=$E134+1,$C134,""),"")</f>
        <v/>
      </c>
      <c r="BR134" s="34">
        <f>IF(AND(BR$5&gt;$E134,BR$5&lt;=$F134),IF(BR$5=$E134+1,$C134,""),"")</f>
        <v/>
      </c>
      <c r="BS134" s="34">
        <f>IF(AND(BS$5&gt;$E134,BS$5&lt;=$F134),IF(BS$5=$E134+1,$C134,""),"")</f>
        <v/>
      </c>
      <c r="BT134" s="34">
        <f>IF(AND(BT$5&gt;$E134,BT$5&lt;=$F134),IF(BT$5=$E134+1,$C134,""),"")</f>
        <v/>
      </c>
      <c r="BU134" s="34">
        <f>IF(AND(BU$5&gt;$E134,BU$5&lt;=$F134),IF(BU$5=$E134+1,$C134,""),"")</f>
        <v/>
      </c>
      <c r="BV134" s="34">
        <f>IF(AND(BV$5&gt;$E134,BV$5&lt;=$F134),IF(BV$5=$E134+1,$C134,""),"")</f>
        <v/>
      </c>
      <c r="BW134" s="34">
        <f>IF(AND(BW$5&gt;$E134,BW$5&lt;=$F134),IF(BW$5=$E134+1,$C134,""),"")</f>
        <v/>
      </c>
      <c r="BX134" s="34">
        <f>IF(AND(BX$5&gt;$E134,BX$5&lt;=$F134),IF(BX$5=$E134+1,$C134,""),"")</f>
        <v/>
      </c>
      <c r="BY134" s="34">
        <f>IF(AND(BY$5&gt;$E134,BY$5&lt;=$F134),IF(BY$5=$E134+1,$C134,""),"")</f>
        <v/>
      </c>
      <c r="BZ134" s="34">
        <f>IF(AND(BZ$5&gt;$E134,BZ$5&lt;=$F134),IF(BZ$5=$E134+1,$C134,""),"")</f>
        <v/>
      </c>
      <c r="CA134" s="34">
        <f>IF(AND(CA$5&gt;$E134,CA$5&lt;=$F134),IF(CA$5=$E134+1,$C134,""),"")</f>
        <v/>
      </c>
      <c r="CB134" s="34">
        <f>IF(AND(CB$5&gt;$E134,CB$5&lt;=$F134),IF(CB$5=$E134+1,$C134,""),"")</f>
        <v/>
      </c>
      <c r="CC134" s="34">
        <f>IF(AND(CC$5&gt;$E134,CC$5&lt;=$F134),IF(CC$5=$E134+1,$C134,""),"")</f>
        <v/>
      </c>
      <c r="CD134" s="34">
        <f>IF(AND(CD$5&gt;$E134,CD$5&lt;=$F134),IF(CD$5=$E134+1,$C134,""),"")</f>
        <v/>
      </c>
      <c r="CE134" s="34">
        <f>IF(AND(CE$5&gt;$E134,CE$5&lt;=$F134),IF(CE$5=$E134+1,$C134,""),"")</f>
        <v/>
      </c>
      <c r="CF134" s="34">
        <f>IF(AND(CF$5&gt;$E134,CF$5&lt;=$F134),IF(CF$5=$E134+1,$C134,""),"")</f>
        <v/>
      </c>
      <c r="CG134" s="34">
        <f>IF(AND(CG$5&gt;$E134,CG$5&lt;=$F134),IF(CG$5=$E134+1,$C134,""),"")</f>
        <v/>
      </c>
      <c r="CH134" s="34">
        <f>IF(AND(CH$5&gt;$E134,CH$5&lt;=$F134),IF(CH$5=$E134+1,$C134,""),"")</f>
        <v/>
      </c>
      <c r="CI134" s="34">
        <f>IF(AND(CI$5&gt;$E134,CI$5&lt;=$F134),IF(CI$5=$E134+1,$C134,""),"")</f>
        <v/>
      </c>
      <c r="CJ134" s="34">
        <f>IF(AND(CJ$5&gt;$E134,CJ$5&lt;=$F134),IF(CJ$5=$E134+1,$C134,""),"")</f>
        <v/>
      </c>
      <c r="CK134" s="34">
        <f>IF(AND(CK$5&gt;$E134,CK$5&lt;=$F134),IF(CK$5=$E134+1,$C134,""),"")</f>
        <v/>
      </c>
      <c r="CL134" s="34">
        <f>IF(AND(CL$5&gt;$E134,CL$5&lt;=$F134),IF(CL$5=$E134+1,$C134,""),"")</f>
        <v/>
      </c>
      <c r="CM134" s="34">
        <f>IF(AND(CM$5&gt;$E134,CM$5&lt;=$F134),IF(CM$5=$E134+1,$C134,""),"")</f>
        <v/>
      </c>
      <c r="CN134" s="34">
        <f>IF(AND(CN$5&gt;$E134,CN$5&lt;=$F134),IF(CN$5=$E134+1,$C134,""),"")</f>
        <v/>
      </c>
      <c r="CO134" s="34">
        <f>IF(AND(CO$5&gt;$E134,CO$5&lt;=$F134),IF(CO$5=$E134+1,$C134,""),"")</f>
        <v/>
      </c>
      <c r="CP134" s="34">
        <f>IF(AND(CP$5&gt;$E134,CP$5&lt;=$F134),IF(CP$5=$E134+1,$C134,""),"")</f>
        <v/>
      </c>
      <c r="CQ134" s="34">
        <f>IF(AND(CQ$5&gt;$E134,CQ$5&lt;=$F134),IF(CQ$5=$E134+1,$C134,""),"")</f>
        <v/>
      </c>
      <c r="CR134" s="34">
        <f>IF(AND(CR$5&gt;$E134,CR$5&lt;=$F134),IF(CR$5=$E134+1,$C134,""),"")</f>
        <v/>
      </c>
      <c r="CS134" s="34">
        <f>IF(AND(CS$5&gt;$E134,CS$5&lt;=$F134),IF(CS$5=$E134+1,$C134,""),"")</f>
        <v/>
      </c>
      <c r="CT134" s="34">
        <f>IF(AND(CT$5&gt;$E134,CT$5&lt;=$F134),IF(CT$5=$E134+1,$C134,""),"")</f>
        <v/>
      </c>
      <c r="CU134" s="34">
        <f>IF(AND(CU$5&gt;$E134,CU$5&lt;=$F134),IF(CU$5=$E134+1,$C134,""),"")</f>
        <v/>
      </c>
      <c r="CV134" s="34">
        <f>IF(AND(CV$5&gt;$E134,CV$5&lt;=$F134),IF(CV$5=$E134+1,$C134,""),"")</f>
        <v/>
      </c>
      <c r="CW134" s="34">
        <f>IF(AND(CW$5&gt;$E134,CW$5&lt;=$F134),IF(CW$5=$E134+1,$C134,""),"")</f>
        <v/>
      </c>
      <c r="CX134" s="34">
        <f>IF(AND(CX$5&gt;$E134,CX$5&lt;=$F134),IF(CX$5=$E134+1,$C134,""),"")</f>
        <v/>
      </c>
      <c r="CY134" s="34">
        <f>IF(AND(CY$5&gt;$E134,CY$5&lt;=$F134),IF(CY$5=$E134+1,$C134,""),"")</f>
        <v/>
      </c>
      <c r="CZ134" s="34">
        <f>IF(AND(CZ$5&gt;$E134,CZ$5&lt;=$F134),IF(CZ$5=$E134+1,$C134,""),"")</f>
        <v/>
      </c>
      <c r="DA134" s="34">
        <f>IF(AND(DA$5&gt;$E134,DA$5&lt;=$F134),IF(DA$5=$E134+1,$C134,""),"")</f>
        <v/>
      </c>
      <c r="DB134" s="34">
        <f>IF(AND(DB$5&gt;$E134,DB$5&lt;=$F134),IF(DB$5=$E134+1,$C134,""),"")</f>
        <v/>
      </c>
      <c r="DC134" s="34">
        <f>IF(AND(DC$5&gt;$E134,DC$5&lt;=$F134),IF(DC$5=$E134+1,$C134,""),"")</f>
        <v/>
      </c>
      <c r="DD134" s="34">
        <f>IF(AND(DD$5&gt;$E134,DD$5&lt;=$F134),IF(DD$5=$E134+1,$C134,""),"")</f>
        <v/>
      </c>
      <c r="DE134" s="34">
        <f>IF(AND(DE$5&gt;$E134,DE$5&lt;=$F134),IF(DE$5=$E134+1,$C134,""),"")</f>
        <v/>
      </c>
      <c r="DF134" s="34">
        <f>IF(AND(DF$5&gt;$E134,DF$5&lt;=$F134),IF(DF$5=$E134+1,$C134,""),"")</f>
        <v/>
      </c>
      <c r="DG134" s="34">
        <f>IF(AND(DG$5&gt;$E134,DG$5&lt;=$F134),IF(DG$5=$E134+1,$C134,""),"")</f>
        <v/>
      </c>
      <c r="DH134" s="34">
        <f>IF(AND(DH$5&gt;$E134,DH$5&lt;=$F134),IF(DH$5=$E134+1,$C134,""),"")</f>
        <v/>
      </c>
      <c r="DI134" s="34">
        <f>IF(AND(DI$5&gt;$E134,DI$5&lt;=$F134),IF(DI$5=$E134+1,$C134,""),"")</f>
        <v/>
      </c>
      <c r="DJ134" s="34">
        <f>IF(AND(DJ$5&gt;$E134,DJ$5&lt;=$F134),IF(DJ$5=$E134+1,$C134,""),"")</f>
        <v/>
      </c>
      <c r="DK134" s="34">
        <f>IF(AND(DK$5&gt;$E134,DK$5&lt;=$F134),IF(DK$5=$E134+1,$C134,""),"")</f>
        <v/>
      </c>
      <c r="DL134" s="34">
        <f>IF(AND(DL$5&gt;$E134,DL$5&lt;=$F134),IF(DL$5=$E134+1,$C134,""),"")</f>
        <v/>
      </c>
      <c r="DM134" s="34">
        <f>IF(AND(DM$5&gt;$E134,DM$5&lt;=$F134),IF(DM$5=$E134+1,$C134,""),"")</f>
        <v/>
      </c>
      <c r="DN134" s="34">
        <f>IF(AND(DN$5&gt;$E134,DN$5&lt;=$F134),IF(DN$5=$E134+1,$C134,""),"")</f>
        <v/>
      </c>
      <c r="DO134" s="34">
        <f>IF(AND(DO$5&gt;$E134,DO$5&lt;=$F134),IF(DO$5=$E134+1,$C134,""),"")</f>
        <v/>
      </c>
      <c r="DP134" s="34">
        <f>IF(AND(DP$5&gt;$E134,DP$5&lt;=$F134),IF(DP$5=$E134+1,$C134,""),"")</f>
        <v/>
      </c>
      <c r="DQ134" s="34">
        <f>IF(AND(DQ$5&gt;$E134,DQ$5&lt;=$F134),IF(DQ$5=$E134+1,$C134,""),"")</f>
        <v/>
      </c>
      <c r="DR134" s="34">
        <f>IF(AND(DR$5&gt;$E134,DR$5&lt;=$F134),IF(DR$5=$E134+1,$C134,""),"")</f>
        <v/>
      </c>
      <c r="DS134" s="34">
        <f>IF(AND(DS$5&gt;$E134,DS$5&lt;=$F134),IF(DS$5=$E134+1,$C134,""),"")</f>
        <v/>
      </c>
      <c r="DT134" s="34">
        <f>IF(AND(DT$5&gt;$E134,DT$5&lt;=$F134),IF(DT$5=$E134+1,$C134,""),"")</f>
        <v/>
      </c>
      <c r="DU134" s="34">
        <f>IF(AND(DU$5&gt;$E134,DU$5&lt;=$F134),IF(DU$5=$E134+1,$C134,""),"")</f>
        <v/>
      </c>
      <c r="DV134" s="34">
        <f>IF(AND(DV$5&gt;$E134,DV$5&lt;=$F134),IF(DV$5=$E134+1,$C134,""),"")</f>
        <v/>
      </c>
      <c r="DW134" s="34">
        <f>IF(AND(DW$5&gt;$E134,DW$5&lt;=$F134),IF(DW$5=$E134+1,$C134,""),"")</f>
        <v/>
      </c>
      <c r="DX134" s="34">
        <f>IF(AND(DX$5&gt;$E134,DX$5&lt;=$F134),IF(DX$5=$E134+1,$C134,""),"")</f>
        <v/>
      </c>
      <c r="DY134" s="34">
        <f>IF(AND(DY$5&gt;$E134,DY$5&lt;=$F134),IF(DY$5=$E134+1,$C134,""),"")</f>
        <v/>
      </c>
      <c r="DZ134" s="34">
        <f>IF(AND(DZ$5&gt;$E134,DZ$5&lt;=$F134),IF(DZ$5=$E134+1,$C134,""),"")</f>
        <v/>
      </c>
      <c r="EA134" s="34">
        <f>IF(AND(EA$5&gt;$E134,EA$5&lt;=$F134),IF(EA$5=$E134+1,$C134,""),"")</f>
        <v/>
      </c>
      <c r="EB134" s="34">
        <f>IF(AND(EB$5&gt;$E134,EB$5&lt;=$F134),IF(EB$5=$E134+1,$C134,""),"")</f>
        <v/>
      </c>
      <c r="EC134" s="34">
        <f>IF(AND(EC$5&gt;$E134,EC$5&lt;=$F134),IF(EC$5=$E134+1,$C134,""),"")</f>
        <v/>
      </c>
      <c r="ED134" s="34">
        <f>IF(AND(ED$5&gt;$E134,ED$5&lt;=$F134),IF(ED$5=$E134+1,$C134,""),"")</f>
        <v/>
      </c>
      <c r="EE134" s="34">
        <f>IF(AND(EE$5&gt;$E134,EE$5&lt;=$F134),IF(EE$5=$E134+1,$C134,""),"")</f>
        <v/>
      </c>
      <c r="EF134" s="34">
        <f>IF(AND(EF$5&gt;$E134,EF$5&lt;=$F134),IF(EF$5=$E134+1,$C134,""),"")</f>
        <v/>
      </c>
      <c r="EG134" s="34">
        <f>IF(AND(EG$5&gt;$E134,EG$5&lt;=$F134),IF(EG$5=$E134+1,$C134,""),"")</f>
        <v/>
      </c>
      <c r="EH134" s="34">
        <f>IF(AND(EH$5&gt;$E134,EH$5&lt;=$F134),IF(EH$5=$E134+1,$C134,""),"")</f>
        <v/>
      </c>
      <c r="EI134" s="34">
        <f>IF(AND(EI$5&gt;$E134,EI$5&lt;=$F134),IF(EI$5=$E134+1,$C134,""),"")</f>
        <v/>
      </c>
      <c r="EJ134" s="34">
        <f>IF(AND(EJ$5&gt;$E134,EJ$5&lt;=$F134),IF(EJ$5=$E134+1,$C134,""),"")</f>
        <v/>
      </c>
      <c r="EK134" s="34">
        <f>IF(AND(EK$5&gt;$E134,EK$5&lt;=$F134),IF(EK$5=$E134+1,$C134,""),"")</f>
        <v/>
      </c>
      <c r="EL134" s="34">
        <f>IF(AND(EL$5&gt;$E134,EL$5&lt;=$F134),IF(EL$5=$E134+1,$C134,""),"")</f>
        <v/>
      </c>
      <c r="EM134" s="34">
        <f>IF(AND(EM$5&gt;$E134,EM$5&lt;=$F134),IF(EM$5=$E134+1,$C134,""),"")</f>
        <v/>
      </c>
      <c r="EN134" s="34">
        <f>IF(AND(EN$5&gt;$E134,EN$5&lt;=$F134),IF(EN$5=$E134+1,$C134,""),"")</f>
        <v/>
      </c>
      <c r="EO134" s="34">
        <f>IF(AND(EO$5&gt;$E134,EO$5&lt;=$F134),IF(EO$5=$E134+1,$C134,""),"")</f>
        <v/>
      </c>
      <c r="EP134" s="34">
        <f>IF(AND(EP$5&gt;$E134,EP$5&lt;=$F134),IF(EP$5=$E134+1,$C134,""),"")</f>
        <v/>
      </c>
      <c r="EQ134" s="34">
        <f>IF(AND(EQ$5&gt;$E134,EQ$5&lt;=$F134),IF(EQ$5=$E134+1,$C134,""),"")</f>
        <v/>
      </c>
    </row>
    <row r="135">
      <c r="A135" s="32">
        <f>Plan!A125</f>
        <v/>
      </c>
      <c r="B135" s="33">
        <f>Plan!C125</f>
        <v/>
      </c>
      <c r="C135" s="16">
        <f>Plan!D125</f>
        <v/>
      </c>
      <c r="D135" s="16">
        <f>Plan!I125</f>
        <v/>
      </c>
      <c r="E135" s="16">
        <f>Plan!K125</f>
        <v/>
      </c>
      <c r="F135" s="16">
        <f>Plan!L125</f>
        <v/>
      </c>
      <c r="G135" s="16">
        <f>Plan!O125</f>
        <v/>
      </c>
      <c r="H135" s="34">
        <f>IF(AND(H$5&gt;$E135,H$5&lt;=$F135),IF(H$5=$E135+1,$C135,""),"")</f>
        <v/>
      </c>
      <c r="I135" s="34">
        <f>IF(AND(I$5&gt;$E135,I$5&lt;=$F135),IF(I$5=$E135+1,$C135,""),"")</f>
        <v/>
      </c>
      <c r="J135" s="34">
        <f>IF(AND(J$5&gt;$E135,J$5&lt;=$F135),IF(J$5=$E135+1,$C135,""),"")</f>
        <v/>
      </c>
      <c r="K135" s="34">
        <f>IF(AND(K$5&gt;$E135,K$5&lt;=$F135),IF(K$5=$E135+1,$C135,""),"")</f>
        <v/>
      </c>
      <c r="L135" s="34">
        <f>IF(AND(L$5&gt;$E135,L$5&lt;=$F135),IF(L$5=$E135+1,$C135,""),"")</f>
        <v/>
      </c>
      <c r="M135" s="34">
        <f>IF(AND(M$5&gt;$E135,M$5&lt;=$F135),IF(M$5=$E135+1,$C135,""),"")</f>
        <v/>
      </c>
      <c r="N135" s="34">
        <f>IF(AND(N$5&gt;$E135,N$5&lt;=$F135),IF(N$5=$E135+1,$C135,""),"")</f>
        <v/>
      </c>
      <c r="O135" s="34">
        <f>IF(AND(O$5&gt;$E135,O$5&lt;=$F135),IF(O$5=$E135+1,$C135,""),"")</f>
        <v/>
      </c>
      <c r="P135" s="34">
        <f>IF(AND(P$5&gt;$E135,P$5&lt;=$F135),IF(P$5=$E135+1,$C135,""),"")</f>
        <v/>
      </c>
      <c r="Q135" s="34">
        <f>IF(AND(Q$5&gt;$E135,Q$5&lt;=$F135),IF(Q$5=$E135+1,$C135,""),"")</f>
        <v/>
      </c>
      <c r="R135" s="34">
        <f>IF(AND(R$5&gt;$E135,R$5&lt;=$F135),IF(R$5=$E135+1,$C135,""),"")</f>
        <v/>
      </c>
      <c r="S135" s="34">
        <f>IF(AND(S$5&gt;$E135,S$5&lt;=$F135),IF(S$5=$E135+1,$C135,""),"")</f>
        <v/>
      </c>
      <c r="T135" s="34">
        <f>IF(AND(T$5&gt;$E135,T$5&lt;=$F135),IF(T$5=$E135+1,$C135,""),"")</f>
        <v/>
      </c>
      <c r="U135" s="34">
        <f>IF(AND(U$5&gt;$E135,U$5&lt;=$F135),IF(U$5=$E135+1,$C135,""),"")</f>
        <v/>
      </c>
      <c r="V135" s="34">
        <f>IF(AND(V$5&gt;$E135,V$5&lt;=$F135),IF(V$5=$E135+1,$C135,""),"")</f>
        <v/>
      </c>
      <c r="W135" s="34">
        <f>IF(AND(W$5&gt;$E135,W$5&lt;=$F135),IF(W$5=$E135+1,$C135,""),"")</f>
        <v/>
      </c>
      <c r="X135" s="34">
        <f>IF(AND(X$5&gt;$E135,X$5&lt;=$F135),IF(X$5=$E135+1,$C135,""),"")</f>
        <v/>
      </c>
      <c r="Y135" s="34">
        <f>IF(AND(Y$5&gt;$E135,Y$5&lt;=$F135),IF(Y$5=$E135+1,$C135,""),"")</f>
        <v/>
      </c>
      <c r="Z135" s="34">
        <f>IF(AND(Z$5&gt;$E135,Z$5&lt;=$F135),IF(Z$5=$E135+1,$C135,""),"")</f>
        <v/>
      </c>
      <c r="AA135" s="34">
        <f>IF(AND(AA$5&gt;$E135,AA$5&lt;=$F135),IF(AA$5=$E135+1,$C135,""),"")</f>
        <v/>
      </c>
      <c r="AB135" s="34">
        <f>IF(AND(AB$5&gt;$E135,AB$5&lt;=$F135),IF(AB$5=$E135+1,$C135,""),"")</f>
        <v/>
      </c>
      <c r="AC135" s="34">
        <f>IF(AND(AC$5&gt;$E135,AC$5&lt;=$F135),IF(AC$5=$E135+1,$C135,""),"")</f>
        <v/>
      </c>
      <c r="AD135" s="34">
        <f>IF(AND(AD$5&gt;$E135,AD$5&lt;=$F135),IF(AD$5=$E135+1,$C135,""),"")</f>
        <v/>
      </c>
      <c r="AE135" s="34">
        <f>IF(AND(AE$5&gt;$E135,AE$5&lt;=$F135),IF(AE$5=$E135+1,$C135,""),"")</f>
        <v/>
      </c>
      <c r="AF135" s="34">
        <f>IF(AND(AF$5&gt;$E135,AF$5&lt;=$F135),IF(AF$5=$E135+1,$C135,""),"")</f>
        <v/>
      </c>
      <c r="AG135" s="34">
        <f>IF(AND(AG$5&gt;$E135,AG$5&lt;=$F135),IF(AG$5=$E135+1,$C135,""),"")</f>
        <v/>
      </c>
      <c r="AH135" s="34">
        <f>IF(AND(AH$5&gt;$E135,AH$5&lt;=$F135),IF(AH$5=$E135+1,$C135,""),"")</f>
        <v/>
      </c>
      <c r="AI135" s="34">
        <f>IF(AND(AI$5&gt;$E135,AI$5&lt;=$F135),IF(AI$5=$E135+1,$C135,""),"")</f>
        <v/>
      </c>
      <c r="AJ135" s="34">
        <f>IF(AND(AJ$5&gt;$E135,AJ$5&lt;=$F135),IF(AJ$5=$E135+1,$C135,""),"")</f>
        <v/>
      </c>
      <c r="AK135" s="34">
        <f>IF(AND(AK$5&gt;$E135,AK$5&lt;=$F135),IF(AK$5=$E135+1,$C135,""),"")</f>
        <v/>
      </c>
      <c r="AL135" s="34">
        <f>IF(AND(AL$5&gt;$E135,AL$5&lt;=$F135),IF(AL$5=$E135+1,$C135,""),"")</f>
        <v/>
      </c>
      <c r="AM135" s="34">
        <f>IF(AND(AM$5&gt;$E135,AM$5&lt;=$F135),IF(AM$5=$E135+1,$C135,""),"")</f>
        <v/>
      </c>
      <c r="AN135" s="34">
        <f>IF(AND(AN$5&gt;$E135,AN$5&lt;=$F135),IF(AN$5=$E135+1,$C135,""),"")</f>
        <v/>
      </c>
      <c r="AO135" s="34">
        <f>IF(AND(AO$5&gt;$E135,AO$5&lt;=$F135),IF(AO$5=$E135+1,$C135,""),"")</f>
        <v/>
      </c>
      <c r="AP135" s="34">
        <f>IF(AND(AP$5&gt;$E135,AP$5&lt;=$F135),IF(AP$5=$E135+1,$C135,""),"")</f>
        <v/>
      </c>
      <c r="AQ135" s="34">
        <f>IF(AND(AQ$5&gt;$E135,AQ$5&lt;=$F135),IF(AQ$5=$E135+1,$C135,""),"")</f>
        <v/>
      </c>
      <c r="AR135" s="34">
        <f>IF(AND(AR$5&gt;$E135,AR$5&lt;=$F135),IF(AR$5=$E135+1,$C135,""),"")</f>
        <v/>
      </c>
      <c r="AS135" s="34">
        <f>IF(AND(AS$5&gt;$E135,AS$5&lt;=$F135),IF(AS$5=$E135+1,$C135,""),"")</f>
        <v/>
      </c>
      <c r="AT135" s="34">
        <f>IF(AND(AT$5&gt;$E135,AT$5&lt;=$F135),IF(AT$5=$E135+1,$C135,""),"")</f>
        <v/>
      </c>
      <c r="AU135" s="34">
        <f>IF(AND(AU$5&gt;$E135,AU$5&lt;=$F135),IF(AU$5=$E135+1,$C135,""),"")</f>
        <v/>
      </c>
      <c r="AV135" s="34">
        <f>IF(AND(AV$5&gt;$E135,AV$5&lt;=$F135),IF(AV$5=$E135+1,$C135,""),"")</f>
        <v/>
      </c>
      <c r="AW135" s="34">
        <f>IF(AND(AW$5&gt;$E135,AW$5&lt;=$F135),IF(AW$5=$E135+1,$C135,""),"")</f>
        <v/>
      </c>
      <c r="AX135" s="34">
        <f>IF(AND(AX$5&gt;$E135,AX$5&lt;=$F135),IF(AX$5=$E135+1,$C135,""),"")</f>
        <v/>
      </c>
      <c r="AY135" s="34">
        <f>IF(AND(AY$5&gt;$E135,AY$5&lt;=$F135),IF(AY$5=$E135+1,$C135,""),"")</f>
        <v/>
      </c>
      <c r="AZ135" s="34">
        <f>IF(AND(AZ$5&gt;$E135,AZ$5&lt;=$F135),IF(AZ$5=$E135+1,$C135,""),"")</f>
        <v/>
      </c>
      <c r="BA135" s="34">
        <f>IF(AND(BA$5&gt;$E135,BA$5&lt;=$F135),IF(BA$5=$E135+1,$C135,""),"")</f>
        <v/>
      </c>
      <c r="BB135" s="34">
        <f>IF(AND(BB$5&gt;$E135,BB$5&lt;=$F135),IF(BB$5=$E135+1,$C135,""),"")</f>
        <v/>
      </c>
      <c r="BC135" s="34">
        <f>IF(AND(BC$5&gt;$E135,BC$5&lt;=$F135),IF(BC$5=$E135+1,$C135,""),"")</f>
        <v/>
      </c>
      <c r="BD135" s="34">
        <f>IF(AND(BD$5&gt;$E135,BD$5&lt;=$F135),IF(BD$5=$E135+1,$C135,""),"")</f>
        <v/>
      </c>
      <c r="BE135" s="34">
        <f>IF(AND(BE$5&gt;$E135,BE$5&lt;=$F135),IF(BE$5=$E135+1,$C135,""),"")</f>
        <v/>
      </c>
      <c r="BF135" s="34">
        <f>IF(AND(BF$5&gt;$E135,BF$5&lt;=$F135),IF(BF$5=$E135+1,$C135,""),"")</f>
        <v/>
      </c>
      <c r="BG135" s="34">
        <f>IF(AND(BG$5&gt;$E135,BG$5&lt;=$F135),IF(BG$5=$E135+1,$C135,""),"")</f>
        <v/>
      </c>
      <c r="BH135" s="34">
        <f>IF(AND(BH$5&gt;$E135,BH$5&lt;=$F135),IF(BH$5=$E135+1,$C135,""),"")</f>
        <v/>
      </c>
      <c r="BI135" s="34">
        <f>IF(AND(BI$5&gt;$E135,BI$5&lt;=$F135),IF(BI$5=$E135+1,$C135,""),"")</f>
        <v/>
      </c>
      <c r="BJ135" s="34">
        <f>IF(AND(BJ$5&gt;$E135,BJ$5&lt;=$F135),IF(BJ$5=$E135+1,$C135,""),"")</f>
        <v/>
      </c>
      <c r="BK135" s="34">
        <f>IF(AND(BK$5&gt;$E135,BK$5&lt;=$F135),IF(BK$5=$E135+1,$C135,""),"")</f>
        <v/>
      </c>
      <c r="BL135" s="34">
        <f>IF(AND(BL$5&gt;$E135,BL$5&lt;=$F135),IF(BL$5=$E135+1,$C135,""),"")</f>
        <v/>
      </c>
      <c r="BM135" s="34">
        <f>IF(AND(BM$5&gt;$E135,BM$5&lt;=$F135),IF(BM$5=$E135+1,$C135,""),"")</f>
        <v/>
      </c>
      <c r="BN135" s="34">
        <f>IF(AND(BN$5&gt;$E135,BN$5&lt;=$F135),IF(BN$5=$E135+1,$C135,""),"")</f>
        <v/>
      </c>
      <c r="BO135" s="34">
        <f>IF(AND(BO$5&gt;$E135,BO$5&lt;=$F135),IF(BO$5=$E135+1,$C135,""),"")</f>
        <v/>
      </c>
      <c r="BP135" s="34">
        <f>IF(AND(BP$5&gt;$E135,BP$5&lt;=$F135),IF(BP$5=$E135+1,$C135,""),"")</f>
        <v/>
      </c>
      <c r="BQ135" s="34">
        <f>IF(AND(BQ$5&gt;$E135,BQ$5&lt;=$F135),IF(BQ$5=$E135+1,$C135,""),"")</f>
        <v/>
      </c>
      <c r="BR135" s="34">
        <f>IF(AND(BR$5&gt;$E135,BR$5&lt;=$F135),IF(BR$5=$E135+1,$C135,""),"")</f>
        <v/>
      </c>
      <c r="BS135" s="34">
        <f>IF(AND(BS$5&gt;$E135,BS$5&lt;=$F135),IF(BS$5=$E135+1,$C135,""),"")</f>
        <v/>
      </c>
      <c r="BT135" s="34">
        <f>IF(AND(BT$5&gt;$E135,BT$5&lt;=$F135),IF(BT$5=$E135+1,$C135,""),"")</f>
        <v/>
      </c>
      <c r="BU135" s="34">
        <f>IF(AND(BU$5&gt;$E135,BU$5&lt;=$F135),IF(BU$5=$E135+1,$C135,""),"")</f>
        <v/>
      </c>
      <c r="BV135" s="34">
        <f>IF(AND(BV$5&gt;$E135,BV$5&lt;=$F135),IF(BV$5=$E135+1,$C135,""),"")</f>
        <v/>
      </c>
      <c r="BW135" s="34">
        <f>IF(AND(BW$5&gt;$E135,BW$5&lt;=$F135),IF(BW$5=$E135+1,$C135,""),"")</f>
        <v/>
      </c>
      <c r="BX135" s="34">
        <f>IF(AND(BX$5&gt;$E135,BX$5&lt;=$F135),IF(BX$5=$E135+1,$C135,""),"")</f>
        <v/>
      </c>
      <c r="BY135" s="34">
        <f>IF(AND(BY$5&gt;$E135,BY$5&lt;=$F135),IF(BY$5=$E135+1,$C135,""),"")</f>
        <v/>
      </c>
      <c r="BZ135" s="34">
        <f>IF(AND(BZ$5&gt;$E135,BZ$5&lt;=$F135),IF(BZ$5=$E135+1,$C135,""),"")</f>
        <v/>
      </c>
      <c r="CA135" s="34">
        <f>IF(AND(CA$5&gt;$E135,CA$5&lt;=$F135),IF(CA$5=$E135+1,$C135,""),"")</f>
        <v/>
      </c>
      <c r="CB135" s="34">
        <f>IF(AND(CB$5&gt;$E135,CB$5&lt;=$F135),IF(CB$5=$E135+1,$C135,""),"")</f>
        <v/>
      </c>
      <c r="CC135" s="34">
        <f>IF(AND(CC$5&gt;$E135,CC$5&lt;=$F135),IF(CC$5=$E135+1,$C135,""),"")</f>
        <v/>
      </c>
      <c r="CD135" s="34">
        <f>IF(AND(CD$5&gt;$E135,CD$5&lt;=$F135),IF(CD$5=$E135+1,$C135,""),"")</f>
        <v/>
      </c>
      <c r="CE135" s="34">
        <f>IF(AND(CE$5&gt;$E135,CE$5&lt;=$F135),IF(CE$5=$E135+1,$C135,""),"")</f>
        <v/>
      </c>
      <c r="CF135" s="34">
        <f>IF(AND(CF$5&gt;$E135,CF$5&lt;=$F135),IF(CF$5=$E135+1,$C135,""),"")</f>
        <v/>
      </c>
      <c r="CG135" s="34">
        <f>IF(AND(CG$5&gt;$E135,CG$5&lt;=$F135),IF(CG$5=$E135+1,$C135,""),"")</f>
        <v/>
      </c>
      <c r="CH135" s="34">
        <f>IF(AND(CH$5&gt;$E135,CH$5&lt;=$F135),IF(CH$5=$E135+1,$C135,""),"")</f>
        <v/>
      </c>
      <c r="CI135" s="34">
        <f>IF(AND(CI$5&gt;$E135,CI$5&lt;=$F135),IF(CI$5=$E135+1,$C135,""),"")</f>
        <v/>
      </c>
      <c r="CJ135" s="34">
        <f>IF(AND(CJ$5&gt;$E135,CJ$5&lt;=$F135),IF(CJ$5=$E135+1,$C135,""),"")</f>
        <v/>
      </c>
      <c r="CK135" s="34">
        <f>IF(AND(CK$5&gt;$E135,CK$5&lt;=$F135),IF(CK$5=$E135+1,$C135,""),"")</f>
        <v/>
      </c>
      <c r="CL135" s="34">
        <f>IF(AND(CL$5&gt;$E135,CL$5&lt;=$F135),IF(CL$5=$E135+1,$C135,""),"")</f>
        <v/>
      </c>
      <c r="CM135" s="34">
        <f>IF(AND(CM$5&gt;$E135,CM$5&lt;=$F135),IF(CM$5=$E135+1,$C135,""),"")</f>
        <v/>
      </c>
      <c r="CN135" s="34">
        <f>IF(AND(CN$5&gt;$E135,CN$5&lt;=$F135),IF(CN$5=$E135+1,$C135,""),"")</f>
        <v/>
      </c>
      <c r="CO135" s="34">
        <f>IF(AND(CO$5&gt;$E135,CO$5&lt;=$F135),IF(CO$5=$E135+1,$C135,""),"")</f>
        <v/>
      </c>
      <c r="CP135" s="34">
        <f>IF(AND(CP$5&gt;$E135,CP$5&lt;=$F135),IF(CP$5=$E135+1,$C135,""),"")</f>
        <v/>
      </c>
      <c r="CQ135" s="34">
        <f>IF(AND(CQ$5&gt;$E135,CQ$5&lt;=$F135),IF(CQ$5=$E135+1,$C135,""),"")</f>
        <v/>
      </c>
      <c r="CR135" s="34">
        <f>IF(AND(CR$5&gt;$E135,CR$5&lt;=$F135),IF(CR$5=$E135+1,$C135,""),"")</f>
        <v/>
      </c>
      <c r="CS135" s="34">
        <f>IF(AND(CS$5&gt;$E135,CS$5&lt;=$F135),IF(CS$5=$E135+1,$C135,""),"")</f>
        <v/>
      </c>
      <c r="CT135" s="34">
        <f>IF(AND(CT$5&gt;$E135,CT$5&lt;=$F135),IF(CT$5=$E135+1,$C135,""),"")</f>
        <v/>
      </c>
      <c r="CU135" s="34">
        <f>IF(AND(CU$5&gt;$E135,CU$5&lt;=$F135),IF(CU$5=$E135+1,$C135,""),"")</f>
        <v/>
      </c>
      <c r="CV135" s="34">
        <f>IF(AND(CV$5&gt;$E135,CV$5&lt;=$F135),IF(CV$5=$E135+1,$C135,""),"")</f>
        <v/>
      </c>
      <c r="CW135" s="34">
        <f>IF(AND(CW$5&gt;$E135,CW$5&lt;=$F135),IF(CW$5=$E135+1,$C135,""),"")</f>
        <v/>
      </c>
      <c r="CX135" s="34">
        <f>IF(AND(CX$5&gt;$E135,CX$5&lt;=$F135),IF(CX$5=$E135+1,$C135,""),"")</f>
        <v/>
      </c>
      <c r="CY135" s="34">
        <f>IF(AND(CY$5&gt;$E135,CY$5&lt;=$F135),IF(CY$5=$E135+1,$C135,""),"")</f>
        <v/>
      </c>
      <c r="CZ135" s="34">
        <f>IF(AND(CZ$5&gt;$E135,CZ$5&lt;=$F135),IF(CZ$5=$E135+1,$C135,""),"")</f>
        <v/>
      </c>
      <c r="DA135" s="34">
        <f>IF(AND(DA$5&gt;$E135,DA$5&lt;=$F135),IF(DA$5=$E135+1,$C135,""),"")</f>
        <v/>
      </c>
      <c r="DB135" s="34">
        <f>IF(AND(DB$5&gt;$E135,DB$5&lt;=$F135),IF(DB$5=$E135+1,$C135,""),"")</f>
        <v/>
      </c>
      <c r="DC135" s="34">
        <f>IF(AND(DC$5&gt;$E135,DC$5&lt;=$F135),IF(DC$5=$E135+1,$C135,""),"")</f>
        <v/>
      </c>
      <c r="DD135" s="34">
        <f>IF(AND(DD$5&gt;$E135,DD$5&lt;=$F135),IF(DD$5=$E135+1,$C135,""),"")</f>
        <v/>
      </c>
      <c r="DE135" s="34">
        <f>IF(AND(DE$5&gt;$E135,DE$5&lt;=$F135),IF(DE$5=$E135+1,$C135,""),"")</f>
        <v/>
      </c>
      <c r="DF135" s="34">
        <f>IF(AND(DF$5&gt;$E135,DF$5&lt;=$F135),IF(DF$5=$E135+1,$C135,""),"")</f>
        <v/>
      </c>
      <c r="DG135" s="34">
        <f>IF(AND(DG$5&gt;$E135,DG$5&lt;=$F135),IF(DG$5=$E135+1,$C135,""),"")</f>
        <v/>
      </c>
      <c r="DH135" s="34">
        <f>IF(AND(DH$5&gt;$E135,DH$5&lt;=$F135),IF(DH$5=$E135+1,$C135,""),"")</f>
        <v/>
      </c>
      <c r="DI135" s="34">
        <f>IF(AND(DI$5&gt;$E135,DI$5&lt;=$F135),IF(DI$5=$E135+1,$C135,""),"")</f>
        <v/>
      </c>
      <c r="DJ135" s="34">
        <f>IF(AND(DJ$5&gt;$E135,DJ$5&lt;=$F135),IF(DJ$5=$E135+1,$C135,""),"")</f>
        <v/>
      </c>
      <c r="DK135" s="34">
        <f>IF(AND(DK$5&gt;$E135,DK$5&lt;=$F135),IF(DK$5=$E135+1,$C135,""),"")</f>
        <v/>
      </c>
      <c r="DL135" s="34">
        <f>IF(AND(DL$5&gt;$E135,DL$5&lt;=$F135),IF(DL$5=$E135+1,$C135,""),"")</f>
        <v/>
      </c>
      <c r="DM135" s="34">
        <f>IF(AND(DM$5&gt;$E135,DM$5&lt;=$F135),IF(DM$5=$E135+1,$C135,""),"")</f>
        <v/>
      </c>
      <c r="DN135" s="34">
        <f>IF(AND(DN$5&gt;$E135,DN$5&lt;=$F135),IF(DN$5=$E135+1,$C135,""),"")</f>
        <v/>
      </c>
      <c r="DO135" s="34">
        <f>IF(AND(DO$5&gt;$E135,DO$5&lt;=$F135),IF(DO$5=$E135+1,$C135,""),"")</f>
        <v/>
      </c>
      <c r="DP135" s="34">
        <f>IF(AND(DP$5&gt;$E135,DP$5&lt;=$F135),IF(DP$5=$E135+1,$C135,""),"")</f>
        <v/>
      </c>
      <c r="DQ135" s="34">
        <f>IF(AND(DQ$5&gt;$E135,DQ$5&lt;=$F135),IF(DQ$5=$E135+1,$C135,""),"")</f>
        <v/>
      </c>
      <c r="DR135" s="34">
        <f>IF(AND(DR$5&gt;$E135,DR$5&lt;=$F135),IF(DR$5=$E135+1,$C135,""),"")</f>
        <v/>
      </c>
      <c r="DS135" s="34">
        <f>IF(AND(DS$5&gt;$E135,DS$5&lt;=$F135),IF(DS$5=$E135+1,$C135,""),"")</f>
        <v/>
      </c>
      <c r="DT135" s="34">
        <f>IF(AND(DT$5&gt;$E135,DT$5&lt;=$F135),IF(DT$5=$E135+1,$C135,""),"")</f>
        <v/>
      </c>
      <c r="DU135" s="34">
        <f>IF(AND(DU$5&gt;$E135,DU$5&lt;=$F135),IF(DU$5=$E135+1,$C135,""),"")</f>
        <v/>
      </c>
      <c r="DV135" s="34">
        <f>IF(AND(DV$5&gt;$E135,DV$5&lt;=$F135),IF(DV$5=$E135+1,$C135,""),"")</f>
        <v/>
      </c>
      <c r="DW135" s="34">
        <f>IF(AND(DW$5&gt;$E135,DW$5&lt;=$F135),IF(DW$5=$E135+1,$C135,""),"")</f>
        <v/>
      </c>
      <c r="DX135" s="34">
        <f>IF(AND(DX$5&gt;$E135,DX$5&lt;=$F135),IF(DX$5=$E135+1,$C135,""),"")</f>
        <v/>
      </c>
      <c r="DY135" s="34">
        <f>IF(AND(DY$5&gt;$E135,DY$5&lt;=$F135),IF(DY$5=$E135+1,$C135,""),"")</f>
        <v/>
      </c>
      <c r="DZ135" s="34">
        <f>IF(AND(DZ$5&gt;$E135,DZ$5&lt;=$F135),IF(DZ$5=$E135+1,$C135,""),"")</f>
        <v/>
      </c>
      <c r="EA135" s="34">
        <f>IF(AND(EA$5&gt;$E135,EA$5&lt;=$F135),IF(EA$5=$E135+1,$C135,""),"")</f>
        <v/>
      </c>
      <c r="EB135" s="34">
        <f>IF(AND(EB$5&gt;$E135,EB$5&lt;=$F135),IF(EB$5=$E135+1,$C135,""),"")</f>
        <v/>
      </c>
      <c r="EC135" s="34">
        <f>IF(AND(EC$5&gt;$E135,EC$5&lt;=$F135),IF(EC$5=$E135+1,$C135,""),"")</f>
        <v/>
      </c>
      <c r="ED135" s="34">
        <f>IF(AND(ED$5&gt;$E135,ED$5&lt;=$F135),IF(ED$5=$E135+1,$C135,""),"")</f>
        <v/>
      </c>
      <c r="EE135" s="34">
        <f>IF(AND(EE$5&gt;$E135,EE$5&lt;=$F135),IF(EE$5=$E135+1,$C135,""),"")</f>
        <v/>
      </c>
      <c r="EF135" s="34">
        <f>IF(AND(EF$5&gt;$E135,EF$5&lt;=$F135),IF(EF$5=$E135+1,$C135,""),"")</f>
        <v/>
      </c>
      <c r="EG135" s="34">
        <f>IF(AND(EG$5&gt;$E135,EG$5&lt;=$F135),IF(EG$5=$E135+1,$C135,""),"")</f>
        <v/>
      </c>
      <c r="EH135" s="34">
        <f>IF(AND(EH$5&gt;$E135,EH$5&lt;=$F135),IF(EH$5=$E135+1,$C135,""),"")</f>
        <v/>
      </c>
      <c r="EI135" s="34">
        <f>IF(AND(EI$5&gt;$E135,EI$5&lt;=$F135),IF(EI$5=$E135+1,$C135,""),"")</f>
        <v/>
      </c>
      <c r="EJ135" s="34">
        <f>IF(AND(EJ$5&gt;$E135,EJ$5&lt;=$F135),IF(EJ$5=$E135+1,$C135,""),"")</f>
        <v/>
      </c>
      <c r="EK135" s="34">
        <f>IF(AND(EK$5&gt;$E135,EK$5&lt;=$F135),IF(EK$5=$E135+1,$C135,""),"")</f>
        <v/>
      </c>
      <c r="EL135" s="34">
        <f>IF(AND(EL$5&gt;$E135,EL$5&lt;=$F135),IF(EL$5=$E135+1,$C135,""),"")</f>
        <v/>
      </c>
      <c r="EM135" s="34">
        <f>IF(AND(EM$5&gt;$E135,EM$5&lt;=$F135),IF(EM$5=$E135+1,$C135,""),"")</f>
        <v/>
      </c>
      <c r="EN135" s="34">
        <f>IF(AND(EN$5&gt;$E135,EN$5&lt;=$F135),IF(EN$5=$E135+1,$C135,""),"")</f>
        <v/>
      </c>
      <c r="EO135" s="34">
        <f>IF(AND(EO$5&gt;$E135,EO$5&lt;=$F135),IF(EO$5=$E135+1,$C135,""),"")</f>
        <v/>
      </c>
      <c r="EP135" s="34">
        <f>IF(AND(EP$5&gt;$E135,EP$5&lt;=$F135),IF(EP$5=$E135+1,$C135,""),"")</f>
        <v/>
      </c>
      <c r="EQ135" s="34">
        <f>IF(AND(EQ$5&gt;$E135,EQ$5&lt;=$F135),IF(EQ$5=$E135+1,$C135,""),"")</f>
        <v/>
      </c>
    </row>
    <row r="136">
      <c r="A136" s="32">
        <f>Plan!A126</f>
        <v/>
      </c>
      <c r="B136" s="33">
        <f>Plan!C126</f>
        <v/>
      </c>
      <c r="C136" s="16">
        <f>Plan!D126</f>
        <v/>
      </c>
      <c r="D136" s="16">
        <f>Plan!I126</f>
        <v/>
      </c>
      <c r="E136" s="16">
        <f>Plan!K126</f>
        <v/>
      </c>
      <c r="F136" s="16">
        <f>Plan!L126</f>
        <v/>
      </c>
      <c r="G136" s="16">
        <f>Plan!O126</f>
        <v/>
      </c>
      <c r="H136" s="34">
        <f>IF(AND(H$5&gt;$E136,H$5&lt;=$F136),IF(H$5=$E136+1,$C136,""),"")</f>
        <v/>
      </c>
      <c r="I136" s="34">
        <f>IF(AND(I$5&gt;$E136,I$5&lt;=$F136),IF(I$5=$E136+1,$C136,""),"")</f>
        <v/>
      </c>
      <c r="J136" s="34">
        <f>IF(AND(J$5&gt;$E136,J$5&lt;=$F136),IF(J$5=$E136+1,$C136,""),"")</f>
        <v/>
      </c>
      <c r="K136" s="34">
        <f>IF(AND(K$5&gt;$E136,K$5&lt;=$F136),IF(K$5=$E136+1,$C136,""),"")</f>
        <v/>
      </c>
      <c r="L136" s="34">
        <f>IF(AND(L$5&gt;$E136,L$5&lt;=$F136),IF(L$5=$E136+1,$C136,""),"")</f>
        <v/>
      </c>
      <c r="M136" s="34">
        <f>IF(AND(M$5&gt;$E136,M$5&lt;=$F136),IF(M$5=$E136+1,$C136,""),"")</f>
        <v/>
      </c>
      <c r="N136" s="34">
        <f>IF(AND(N$5&gt;$E136,N$5&lt;=$F136),IF(N$5=$E136+1,$C136,""),"")</f>
        <v/>
      </c>
      <c r="O136" s="34">
        <f>IF(AND(O$5&gt;$E136,O$5&lt;=$F136),IF(O$5=$E136+1,$C136,""),"")</f>
        <v/>
      </c>
      <c r="P136" s="34">
        <f>IF(AND(P$5&gt;$E136,P$5&lt;=$F136),IF(P$5=$E136+1,$C136,""),"")</f>
        <v/>
      </c>
      <c r="Q136" s="34">
        <f>IF(AND(Q$5&gt;$E136,Q$5&lt;=$F136),IF(Q$5=$E136+1,$C136,""),"")</f>
        <v/>
      </c>
      <c r="R136" s="34">
        <f>IF(AND(R$5&gt;$E136,R$5&lt;=$F136),IF(R$5=$E136+1,$C136,""),"")</f>
        <v/>
      </c>
      <c r="S136" s="34">
        <f>IF(AND(S$5&gt;$E136,S$5&lt;=$F136),IF(S$5=$E136+1,$C136,""),"")</f>
        <v/>
      </c>
      <c r="T136" s="34">
        <f>IF(AND(T$5&gt;$E136,T$5&lt;=$F136),IF(T$5=$E136+1,$C136,""),"")</f>
        <v/>
      </c>
      <c r="U136" s="34">
        <f>IF(AND(U$5&gt;$E136,U$5&lt;=$F136),IF(U$5=$E136+1,$C136,""),"")</f>
        <v/>
      </c>
      <c r="V136" s="34">
        <f>IF(AND(V$5&gt;$E136,V$5&lt;=$F136),IF(V$5=$E136+1,$C136,""),"")</f>
        <v/>
      </c>
      <c r="W136" s="34">
        <f>IF(AND(W$5&gt;$E136,W$5&lt;=$F136),IF(W$5=$E136+1,$C136,""),"")</f>
        <v/>
      </c>
      <c r="X136" s="34">
        <f>IF(AND(X$5&gt;$E136,X$5&lt;=$F136),IF(X$5=$E136+1,$C136,""),"")</f>
        <v/>
      </c>
      <c r="Y136" s="34">
        <f>IF(AND(Y$5&gt;$E136,Y$5&lt;=$F136),IF(Y$5=$E136+1,$C136,""),"")</f>
        <v/>
      </c>
      <c r="Z136" s="34">
        <f>IF(AND(Z$5&gt;$E136,Z$5&lt;=$F136),IF(Z$5=$E136+1,$C136,""),"")</f>
        <v/>
      </c>
      <c r="AA136" s="34">
        <f>IF(AND(AA$5&gt;$E136,AA$5&lt;=$F136),IF(AA$5=$E136+1,$C136,""),"")</f>
        <v/>
      </c>
      <c r="AB136" s="34">
        <f>IF(AND(AB$5&gt;$E136,AB$5&lt;=$F136),IF(AB$5=$E136+1,$C136,""),"")</f>
        <v/>
      </c>
      <c r="AC136" s="34">
        <f>IF(AND(AC$5&gt;$E136,AC$5&lt;=$F136),IF(AC$5=$E136+1,$C136,""),"")</f>
        <v/>
      </c>
      <c r="AD136" s="34">
        <f>IF(AND(AD$5&gt;$E136,AD$5&lt;=$F136),IF(AD$5=$E136+1,$C136,""),"")</f>
        <v/>
      </c>
      <c r="AE136" s="34">
        <f>IF(AND(AE$5&gt;$E136,AE$5&lt;=$F136),IF(AE$5=$E136+1,$C136,""),"")</f>
        <v/>
      </c>
      <c r="AF136" s="34">
        <f>IF(AND(AF$5&gt;$E136,AF$5&lt;=$F136),IF(AF$5=$E136+1,$C136,""),"")</f>
        <v/>
      </c>
      <c r="AG136" s="34">
        <f>IF(AND(AG$5&gt;$E136,AG$5&lt;=$F136),IF(AG$5=$E136+1,$C136,""),"")</f>
        <v/>
      </c>
      <c r="AH136" s="34">
        <f>IF(AND(AH$5&gt;$E136,AH$5&lt;=$F136),IF(AH$5=$E136+1,$C136,""),"")</f>
        <v/>
      </c>
      <c r="AI136" s="34">
        <f>IF(AND(AI$5&gt;$E136,AI$5&lt;=$F136),IF(AI$5=$E136+1,$C136,""),"")</f>
        <v/>
      </c>
      <c r="AJ136" s="34">
        <f>IF(AND(AJ$5&gt;$E136,AJ$5&lt;=$F136),IF(AJ$5=$E136+1,$C136,""),"")</f>
        <v/>
      </c>
      <c r="AK136" s="34">
        <f>IF(AND(AK$5&gt;$E136,AK$5&lt;=$F136),IF(AK$5=$E136+1,$C136,""),"")</f>
        <v/>
      </c>
      <c r="AL136" s="34">
        <f>IF(AND(AL$5&gt;$E136,AL$5&lt;=$F136),IF(AL$5=$E136+1,$C136,""),"")</f>
        <v/>
      </c>
      <c r="AM136" s="34">
        <f>IF(AND(AM$5&gt;$E136,AM$5&lt;=$F136),IF(AM$5=$E136+1,$C136,""),"")</f>
        <v/>
      </c>
      <c r="AN136" s="34">
        <f>IF(AND(AN$5&gt;$E136,AN$5&lt;=$F136),IF(AN$5=$E136+1,$C136,""),"")</f>
        <v/>
      </c>
      <c r="AO136" s="34">
        <f>IF(AND(AO$5&gt;$E136,AO$5&lt;=$F136),IF(AO$5=$E136+1,$C136,""),"")</f>
        <v/>
      </c>
      <c r="AP136" s="34">
        <f>IF(AND(AP$5&gt;$E136,AP$5&lt;=$F136),IF(AP$5=$E136+1,$C136,""),"")</f>
        <v/>
      </c>
      <c r="AQ136" s="34">
        <f>IF(AND(AQ$5&gt;$E136,AQ$5&lt;=$F136),IF(AQ$5=$E136+1,$C136,""),"")</f>
        <v/>
      </c>
      <c r="AR136" s="34">
        <f>IF(AND(AR$5&gt;$E136,AR$5&lt;=$F136),IF(AR$5=$E136+1,$C136,""),"")</f>
        <v/>
      </c>
      <c r="AS136" s="34">
        <f>IF(AND(AS$5&gt;$E136,AS$5&lt;=$F136),IF(AS$5=$E136+1,$C136,""),"")</f>
        <v/>
      </c>
      <c r="AT136" s="34">
        <f>IF(AND(AT$5&gt;$E136,AT$5&lt;=$F136),IF(AT$5=$E136+1,$C136,""),"")</f>
        <v/>
      </c>
      <c r="AU136" s="34">
        <f>IF(AND(AU$5&gt;$E136,AU$5&lt;=$F136),IF(AU$5=$E136+1,$C136,""),"")</f>
        <v/>
      </c>
      <c r="AV136" s="34">
        <f>IF(AND(AV$5&gt;$E136,AV$5&lt;=$F136),IF(AV$5=$E136+1,$C136,""),"")</f>
        <v/>
      </c>
      <c r="AW136" s="34">
        <f>IF(AND(AW$5&gt;$E136,AW$5&lt;=$F136),IF(AW$5=$E136+1,$C136,""),"")</f>
        <v/>
      </c>
      <c r="AX136" s="34">
        <f>IF(AND(AX$5&gt;$E136,AX$5&lt;=$F136),IF(AX$5=$E136+1,$C136,""),"")</f>
        <v/>
      </c>
      <c r="AY136" s="34">
        <f>IF(AND(AY$5&gt;$E136,AY$5&lt;=$F136),IF(AY$5=$E136+1,$C136,""),"")</f>
        <v/>
      </c>
      <c r="AZ136" s="34">
        <f>IF(AND(AZ$5&gt;$E136,AZ$5&lt;=$F136),IF(AZ$5=$E136+1,$C136,""),"")</f>
        <v/>
      </c>
      <c r="BA136" s="34">
        <f>IF(AND(BA$5&gt;$E136,BA$5&lt;=$F136),IF(BA$5=$E136+1,$C136,""),"")</f>
        <v/>
      </c>
      <c r="BB136" s="34">
        <f>IF(AND(BB$5&gt;$E136,BB$5&lt;=$F136),IF(BB$5=$E136+1,$C136,""),"")</f>
        <v/>
      </c>
      <c r="BC136" s="34">
        <f>IF(AND(BC$5&gt;$E136,BC$5&lt;=$F136),IF(BC$5=$E136+1,$C136,""),"")</f>
        <v/>
      </c>
      <c r="BD136" s="34">
        <f>IF(AND(BD$5&gt;$E136,BD$5&lt;=$F136),IF(BD$5=$E136+1,$C136,""),"")</f>
        <v/>
      </c>
      <c r="BE136" s="34">
        <f>IF(AND(BE$5&gt;$E136,BE$5&lt;=$F136),IF(BE$5=$E136+1,$C136,""),"")</f>
        <v/>
      </c>
      <c r="BF136" s="34">
        <f>IF(AND(BF$5&gt;$E136,BF$5&lt;=$F136),IF(BF$5=$E136+1,$C136,""),"")</f>
        <v/>
      </c>
      <c r="BG136" s="34">
        <f>IF(AND(BG$5&gt;$E136,BG$5&lt;=$F136),IF(BG$5=$E136+1,$C136,""),"")</f>
        <v/>
      </c>
      <c r="BH136" s="34">
        <f>IF(AND(BH$5&gt;$E136,BH$5&lt;=$F136),IF(BH$5=$E136+1,$C136,""),"")</f>
        <v/>
      </c>
      <c r="BI136" s="34">
        <f>IF(AND(BI$5&gt;$E136,BI$5&lt;=$F136),IF(BI$5=$E136+1,$C136,""),"")</f>
        <v/>
      </c>
      <c r="BJ136" s="34">
        <f>IF(AND(BJ$5&gt;$E136,BJ$5&lt;=$F136),IF(BJ$5=$E136+1,$C136,""),"")</f>
        <v/>
      </c>
      <c r="BK136" s="34">
        <f>IF(AND(BK$5&gt;$E136,BK$5&lt;=$F136),IF(BK$5=$E136+1,$C136,""),"")</f>
        <v/>
      </c>
      <c r="BL136" s="34">
        <f>IF(AND(BL$5&gt;$E136,BL$5&lt;=$F136),IF(BL$5=$E136+1,$C136,""),"")</f>
        <v/>
      </c>
      <c r="BM136" s="34">
        <f>IF(AND(BM$5&gt;$E136,BM$5&lt;=$F136),IF(BM$5=$E136+1,$C136,""),"")</f>
        <v/>
      </c>
      <c r="BN136" s="34">
        <f>IF(AND(BN$5&gt;$E136,BN$5&lt;=$F136),IF(BN$5=$E136+1,$C136,""),"")</f>
        <v/>
      </c>
      <c r="BO136" s="34">
        <f>IF(AND(BO$5&gt;$E136,BO$5&lt;=$F136),IF(BO$5=$E136+1,$C136,""),"")</f>
        <v/>
      </c>
      <c r="BP136" s="34">
        <f>IF(AND(BP$5&gt;$E136,BP$5&lt;=$F136),IF(BP$5=$E136+1,$C136,""),"")</f>
        <v/>
      </c>
      <c r="BQ136" s="34">
        <f>IF(AND(BQ$5&gt;$E136,BQ$5&lt;=$F136),IF(BQ$5=$E136+1,$C136,""),"")</f>
        <v/>
      </c>
      <c r="BR136" s="34">
        <f>IF(AND(BR$5&gt;$E136,BR$5&lt;=$F136),IF(BR$5=$E136+1,$C136,""),"")</f>
        <v/>
      </c>
      <c r="BS136" s="34">
        <f>IF(AND(BS$5&gt;$E136,BS$5&lt;=$F136),IF(BS$5=$E136+1,$C136,""),"")</f>
        <v/>
      </c>
      <c r="BT136" s="34">
        <f>IF(AND(BT$5&gt;$E136,BT$5&lt;=$F136),IF(BT$5=$E136+1,$C136,""),"")</f>
        <v/>
      </c>
      <c r="BU136" s="34">
        <f>IF(AND(BU$5&gt;$E136,BU$5&lt;=$F136),IF(BU$5=$E136+1,$C136,""),"")</f>
        <v/>
      </c>
      <c r="BV136" s="34">
        <f>IF(AND(BV$5&gt;$E136,BV$5&lt;=$F136),IF(BV$5=$E136+1,$C136,""),"")</f>
        <v/>
      </c>
      <c r="BW136" s="34">
        <f>IF(AND(BW$5&gt;$E136,BW$5&lt;=$F136),IF(BW$5=$E136+1,$C136,""),"")</f>
        <v/>
      </c>
      <c r="BX136" s="34">
        <f>IF(AND(BX$5&gt;$E136,BX$5&lt;=$F136),IF(BX$5=$E136+1,$C136,""),"")</f>
        <v/>
      </c>
      <c r="BY136" s="34">
        <f>IF(AND(BY$5&gt;$E136,BY$5&lt;=$F136),IF(BY$5=$E136+1,$C136,""),"")</f>
        <v/>
      </c>
      <c r="BZ136" s="34">
        <f>IF(AND(BZ$5&gt;$E136,BZ$5&lt;=$F136),IF(BZ$5=$E136+1,$C136,""),"")</f>
        <v/>
      </c>
      <c r="CA136" s="34">
        <f>IF(AND(CA$5&gt;$E136,CA$5&lt;=$F136),IF(CA$5=$E136+1,$C136,""),"")</f>
        <v/>
      </c>
      <c r="CB136" s="34">
        <f>IF(AND(CB$5&gt;$E136,CB$5&lt;=$F136),IF(CB$5=$E136+1,$C136,""),"")</f>
        <v/>
      </c>
      <c r="CC136" s="34">
        <f>IF(AND(CC$5&gt;$E136,CC$5&lt;=$F136),IF(CC$5=$E136+1,$C136,""),"")</f>
        <v/>
      </c>
      <c r="CD136" s="34">
        <f>IF(AND(CD$5&gt;$E136,CD$5&lt;=$F136),IF(CD$5=$E136+1,$C136,""),"")</f>
        <v/>
      </c>
      <c r="CE136" s="34">
        <f>IF(AND(CE$5&gt;$E136,CE$5&lt;=$F136),IF(CE$5=$E136+1,$C136,""),"")</f>
        <v/>
      </c>
      <c r="CF136" s="34">
        <f>IF(AND(CF$5&gt;$E136,CF$5&lt;=$F136),IF(CF$5=$E136+1,$C136,""),"")</f>
        <v/>
      </c>
      <c r="CG136" s="34">
        <f>IF(AND(CG$5&gt;$E136,CG$5&lt;=$F136),IF(CG$5=$E136+1,$C136,""),"")</f>
        <v/>
      </c>
      <c r="CH136" s="34">
        <f>IF(AND(CH$5&gt;$E136,CH$5&lt;=$F136),IF(CH$5=$E136+1,$C136,""),"")</f>
        <v/>
      </c>
      <c r="CI136" s="34">
        <f>IF(AND(CI$5&gt;$E136,CI$5&lt;=$F136),IF(CI$5=$E136+1,$C136,""),"")</f>
        <v/>
      </c>
      <c r="CJ136" s="34">
        <f>IF(AND(CJ$5&gt;$E136,CJ$5&lt;=$F136),IF(CJ$5=$E136+1,$C136,""),"")</f>
        <v/>
      </c>
      <c r="CK136" s="34">
        <f>IF(AND(CK$5&gt;$E136,CK$5&lt;=$F136),IF(CK$5=$E136+1,$C136,""),"")</f>
        <v/>
      </c>
      <c r="CL136" s="34">
        <f>IF(AND(CL$5&gt;$E136,CL$5&lt;=$F136),IF(CL$5=$E136+1,$C136,""),"")</f>
        <v/>
      </c>
      <c r="CM136" s="34">
        <f>IF(AND(CM$5&gt;$E136,CM$5&lt;=$F136),IF(CM$5=$E136+1,$C136,""),"")</f>
        <v/>
      </c>
      <c r="CN136" s="34">
        <f>IF(AND(CN$5&gt;$E136,CN$5&lt;=$F136),IF(CN$5=$E136+1,$C136,""),"")</f>
        <v/>
      </c>
      <c r="CO136" s="34">
        <f>IF(AND(CO$5&gt;$E136,CO$5&lt;=$F136),IF(CO$5=$E136+1,$C136,""),"")</f>
        <v/>
      </c>
      <c r="CP136" s="34">
        <f>IF(AND(CP$5&gt;$E136,CP$5&lt;=$F136),IF(CP$5=$E136+1,$C136,""),"")</f>
        <v/>
      </c>
      <c r="CQ136" s="34">
        <f>IF(AND(CQ$5&gt;$E136,CQ$5&lt;=$F136),IF(CQ$5=$E136+1,$C136,""),"")</f>
        <v/>
      </c>
      <c r="CR136" s="34">
        <f>IF(AND(CR$5&gt;$E136,CR$5&lt;=$F136),IF(CR$5=$E136+1,$C136,""),"")</f>
        <v/>
      </c>
      <c r="CS136" s="34">
        <f>IF(AND(CS$5&gt;$E136,CS$5&lt;=$F136),IF(CS$5=$E136+1,$C136,""),"")</f>
        <v/>
      </c>
      <c r="CT136" s="34">
        <f>IF(AND(CT$5&gt;$E136,CT$5&lt;=$F136),IF(CT$5=$E136+1,$C136,""),"")</f>
        <v/>
      </c>
      <c r="CU136" s="34">
        <f>IF(AND(CU$5&gt;$E136,CU$5&lt;=$F136),IF(CU$5=$E136+1,$C136,""),"")</f>
        <v/>
      </c>
      <c r="CV136" s="34">
        <f>IF(AND(CV$5&gt;$E136,CV$5&lt;=$F136),IF(CV$5=$E136+1,$C136,""),"")</f>
        <v/>
      </c>
      <c r="CW136" s="34">
        <f>IF(AND(CW$5&gt;$E136,CW$5&lt;=$F136),IF(CW$5=$E136+1,$C136,""),"")</f>
        <v/>
      </c>
      <c r="CX136" s="34">
        <f>IF(AND(CX$5&gt;$E136,CX$5&lt;=$F136),IF(CX$5=$E136+1,$C136,""),"")</f>
        <v/>
      </c>
      <c r="CY136" s="34">
        <f>IF(AND(CY$5&gt;$E136,CY$5&lt;=$F136),IF(CY$5=$E136+1,$C136,""),"")</f>
        <v/>
      </c>
      <c r="CZ136" s="34">
        <f>IF(AND(CZ$5&gt;$E136,CZ$5&lt;=$F136),IF(CZ$5=$E136+1,$C136,""),"")</f>
        <v/>
      </c>
      <c r="DA136" s="34">
        <f>IF(AND(DA$5&gt;$E136,DA$5&lt;=$F136),IF(DA$5=$E136+1,$C136,""),"")</f>
        <v/>
      </c>
      <c r="DB136" s="34">
        <f>IF(AND(DB$5&gt;$E136,DB$5&lt;=$F136),IF(DB$5=$E136+1,$C136,""),"")</f>
        <v/>
      </c>
      <c r="DC136" s="34">
        <f>IF(AND(DC$5&gt;$E136,DC$5&lt;=$F136),IF(DC$5=$E136+1,$C136,""),"")</f>
        <v/>
      </c>
      <c r="DD136" s="34">
        <f>IF(AND(DD$5&gt;$E136,DD$5&lt;=$F136),IF(DD$5=$E136+1,$C136,""),"")</f>
        <v/>
      </c>
      <c r="DE136" s="34">
        <f>IF(AND(DE$5&gt;$E136,DE$5&lt;=$F136),IF(DE$5=$E136+1,$C136,""),"")</f>
        <v/>
      </c>
      <c r="DF136" s="34">
        <f>IF(AND(DF$5&gt;$E136,DF$5&lt;=$F136),IF(DF$5=$E136+1,$C136,""),"")</f>
        <v/>
      </c>
      <c r="DG136" s="34">
        <f>IF(AND(DG$5&gt;$E136,DG$5&lt;=$F136),IF(DG$5=$E136+1,$C136,""),"")</f>
        <v/>
      </c>
      <c r="DH136" s="34">
        <f>IF(AND(DH$5&gt;$E136,DH$5&lt;=$F136),IF(DH$5=$E136+1,$C136,""),"")</f>
        <v/>
      </c>
      <c r="DI136" s="34">
        <f>IF(AND(DI$5&gt;$E136,DI$5&lt;=$F136),IF(DI$5=$E136+1,$C136,""),"")</f>
        <v/>
      </c>
      <c r="DJ136" s="34">
        <f>IF(AND(DJ$5&gt;$E136,DJ$5&lt;=$F136),IF(DJ$5=$E136+1,$C136,""),"")</f>
        <v/>
      </c>
      <c r="DK136" s="34">
        <f>IF(AND(DK$5&gt;$E136,DK$5&lt;=$F136),IF(DK$5=$E136+1,$C136,""),"")</f>
        <v/>
      </c>
      <c r="DL136" s="34">
        <f>IF(AND(DL$5&gt;$E136,DL$5&lt;=$F136),IF(DL$5=$E136+1,$C136,""),"")</f>
        <v/>
      </c>
      <c r="DM136" s="34">
        <f>IF(AND(DM$5&gt;$E136,DM$5&lt;=$F136),IF(DM$5=$E136+1,$C136,""),"")</f>
        <v/>
      </c>
      <c r="DN136" s="34">
        <f>IF(AND(DN$5&gt;$E136,DN$5&lt;=$F136),IF(DN$5=$E136+1,$C136,""),"")</f>
        <v/>
      </c>
      <c r="DO136" s="34">
        <f>IF(AND(DO$5&gt;$E136,DO$5&lt;=$F136),IF(DO$5=$E136+1,$C136,""),"")</f>
        <v/>
      </c>
      <c r="DP136" s="34">
        <f>IF(AND(DP$5&gt;$E136,DP$5&lt;=$F136),IF(DP$5=$E136+1,$C136,""),"")</f>
        <v/>
      </c>
      <c r="DQ136" s="34">
        <f>IF(AND(DQ$5&gt;$E136,DQ$5&lt;=$F136),IF(DQ$5=$E136+1,$C136,""),"")</f>
        <v/>
      </c>
      <c r="DR136" s="34">
        <f>IF(AND(DR$5&gt;$E136,DR$5&lt;=$F136),IF(DR$5=$E136+1,$C136,""),"")</f>
        <v/>
      </c>
      <c r="DS136" s="34">
        <f>IF(AND(DS$5&gt;$E136,DS$5&lt;=$F136),IF(DS$5=$E136+1,$C136,""),"")</f>
        <v/>
      </c>
      <c r="DT136" s="34">
        <f>IF(AND(DT$5&gt;$E136,DT$5&lt;=$F136),IF(DT$5=$E136+1,$C136,""),"")</f>
        <v/>
      </c>
      <c r="DU136" s="34">
        <f>IF(AND(DU$5&gt;$E136,DU$5&lt;=$F136),IF(DU$5=$E136+1,$C136,""),"")</f>
        <v/>
      </c>
      <c r="DV136" s="34">
        <f>IF(AND(DV$5&gt;$E136,DV$5&lt;=$F136),IF(DV$5=$E136+1,$C136,""),"")</f>
        <v/>
      </c>
      <c r="DW136" s="34">
        <f>IF(AND(DW$5&gt;$E136,DW$5&lt;=$F136),IF(DW$5=$E136+1,$C136,""),"")</f>
        <v/>
      </c>
      <c r="DX136" s="34">
        <f>IF(AND(DX$5&gt;$E136,DX$5&lt;=$F136),IF(DX$5=$E136+1,$C136,""),"")</f>
        <v/>
      </c>
      <c r="DY136" s="34">
        <f>IF(AND(DY$5&gt;$E136,DY$5&lt;=$F136),IF(DY$5=$E136+1,$C136,""),"")</f>
        <v/>
      </c>
      <c r="DZ136" s="34">
        <f>IF(AND(DZ$5&gt;$E136,DZ$5&lt;=$F136),IF(DZ$5=$E136+1,$C136,""),"")</f>
        <v/>
      </c>
      <c r="EA136" s="34">
        <f>IF(AND(EA$5&gt;$E136,EA$5&lt;=$F136),IF(EA$5=$E136+1,$C136,""),"")</f>
        <v/>
      </c>
      <c r="EB136" s="34">
        <f>IF(AND(EB$5&gt;$E136,EB$5&lt;=$F136),IF(EB$5=$E136+1,$C136,""),"")</f>
        <v/>
      </c>
      <c r="EC136" s="34">
        <f>IF(AND(EC$5&gt;$E136,EC$5&lt;=$F136),IF(EC$5=$E136+1,$C136,""),"")</f>
        <v/>
      </c>
      <c r="ED136" s="34">
        <f>IF(AND(ED$5&gt;$E136,ED$5&lt;=$F136),IF(ED$5=$E136+1,$C136,""),"")</f>
        <v/>
      </c>
      <c r="EE136" s="34">
        <f>IF(AND(EE$5&gt;$E136,EE$5&lt;=$F136),IF(EE$5=$E136+1,$C136,""),"")</f>
        <v/>
      </c>
      <c r="EF136" s="34">
        <f>IF(AND(EF$5&gt;$E136,EF$5&lt;=$F136),IF(EF$5=$E136+1,$C136,""),"")</f>
        <v/>
      </c>
      <c r="EG136" s="34">
        <f>IF(AND(EG$5&gt;$E136,EG$5&lt;=$F136),IF(EG$5=$E136+1,$C136,""),"")</f>
        <v/>
      </c>
      <c r="EH136" s="34">
        <f>IF(AND(EH$5&gt;$E136,EH$5&lt;=$F136),IF(EH$5=$E136+1,$C136,""),"")</f>
        <v/>
      </c>
      <c r="EI136" s="34">
        <f>IF(AND(EI$5&gt;$E136,EI$5&lt;=$F136),IF(EI$5=$E136+1,$C136,""),"")</f>
        <v/>
      </c>
      <c r="EJ136" s="34">
        <f>IF(AND(EJ$5&gt;$E136,EJ$5&lt;=$F136),IF(EJ$5=$E136+1,$C136,""),"")</f>
        <v/>
      </c>
      <c r="EK136" s="34">
        <f>IF(AND(EK$5&gt;$E136,EK$5&lt;=$F136),IF(EK$5=$E136+1,$C136,""),"")</f>
        <v/>
      </c>
      <c r="EL136" s="34">
        <f>IF(AND(EL$5&gt;$E136,EL$5&lt;=$F136),IF(EL$5=$E136+1,$C136,""),"")</f>
        <v/>
      </c>
      <c r="EM136" s="34">
        <f>IF(AND(EM$5&gt;$E136,EM$5&lt;=$F136),IF(EM$5=$E136+1,$C136,""),"")</f>
        <v/>
      </c>
      <c r="EN136" s="34">
        <f>IF(AND(EN$5&gt;$E136,EN$5&lt;=$F136),IF(EN$5=$E136+1,$C136,""),"")</f>
        <v/>
      </c>
      <c r="EO136" s="34">
        <f>IF(AND(EO$5&gt;$E136,EO$5&lt;=$F136),IF(EO$5=$E136+1,$C136,""),"")</f>
        <v/>
      </c>
      <c r="EP136" s="34">
        <f>IF(AND(EP$5&gt;$E136,EP$5&lt;=$F136),IF(EP$5=$E136+1,$C136,""),"")</f>
        <v/>
      </c>
      <c r="EQ136" s="34">
        <f>IF(AND(EQ$5&gt;$E136,EQ$5&lt;=$F136),IF(EQ$5=$E136+1,$C136,""),"")</f>
        <v/>
      </c>
    </row>
  </sheetData>
  <mergeCells count="22">
    <mergeCell ref="BZ4:CI4"/>
    <mergeCell ref="AL4:AU4"/>
    <mergeCell ref="A93:D93"/>
    <mergeCell ref="EH4:EQ4"/>
    <mergeCell ref="A9:D9"/>
    <mergeCell ref="AV4:BE4"/>
    <mergeCell ref="A73:D73"/>
    <mergeCell ref="A36:D36"/>
    <mergeCell ref="DD4:DM4"/>
    <mergeCell ref="DX4:EG4"/>
    <mergeCell ref="DN4:DW4"/>
    <mergeCell ref="R4:AA4"/>
    <mergeCell ref="H4:Q4"/>
    <mergeCell ref="A6:G6"/>
    <mergeCell ref="AB4:AK4"/>
    <mergeCell ref="A7:G7"/>
    <mergeCell ref="BP4:BY4"/>
    <mergeCell ref="CJ4:CS4"/>
    <mergeCell ref="A18:D18"/>
    <mergeCell ref="CT4:DC4"/>
    <mergeCell ref="A47:D47"/>
    <mergeCell ref="BF4:BO4"/>
  </mergeCells>
  <conditionalFormatting sqref="H6:EQ6">
    <cfRule type="expression" priority="1" dxfId="9">
      <formula>H6&lt;&gt;""</formula>
    </cfRule>
  </conditionalFormatting>
  <conditionalFormatting sqref="H7:EQ7">
    <cfRule type="expression" priority="2" dxfId="10">
      <formula>H7&lt;&gt;""</formula>
    </cfRule>
  </conditionalFormatting>
  <conditionalFormatting sqref="H9:EQ9">
    <cfRule type="expression" priority="3" dxfId="11">
      <formula>AND(H$5&gt;$E9,H$5&lt;=$F9)</formula>
    </cfRule>
  </conditionalFormatting>
  <conditionalFormatting sqref="H18:EQ18">
    <cfRule type="expression" priority="4" dxfId="11">
      <formula>AND(H$5&gt;$E18,H$5&lt;=$F18)</formula>
    </cfRule>
  </conditionalFormatting>
  <conditionalFormatting sqref="H36:EQ36">
    <cfRule type="expression" priority="5" dxfId="11">
      <formula>AND(H$5&gt;$E36,H$5&lt;=$F36)</formula>
    </cfRule>
  </conditionalFormatting>
  <conditionalFormatting sqref="H47:EQ47">
    <cfRule type="expression" priority="6" dxfId="11">
      <formula>AND(H$5&gt;$E47,H$5&lt;=$F47)</formula>
    </cfRule>
  </conditionalFormatting>
  <conditionalFormatting sqref="H73:EQ73">
    <cfRule type="expression" priority="7" dxfId="11">
      <formula>AND(H$5&gt;$E73,H$5&lt;=$F73)</formula>
    </cfRule>
  </conditionalFormatting>
  <conditionalFormatting sqref="H93:EQ93">
    <cfRule type="expression" priority="8" dxfId="11">
      <formula>AND(H$5&gt;$E93,H$5&lt;=$F93)</formula>
    </cfRule>
  </conditionalFormatting>
  <conditionalFormatting sqref="H9:EQ136">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EQ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53</v>
      </c>
      <c r="E5" s="16">
        <f>Plan!J5</f>
        <v/>
      </c>
      <c r="F5" s="16">
        <f>Plan!K5</f>
        <v/>
      </c>
      <c r="G5" s="8">
        <f>F5-E5</f>
        <v/>
      </c>
      <c r="H5" s="16">
        <f>Plan!I5</f>
        <v/>
      </c>
      <c r="I5" s="16">
        <f>Plan!O5</f>
        <v/>
      </c>
    </row>
    <row r="6">
      <c r="A6" s="8" t="n">
        <v>2</v>
      </c>
      <c r="B6" s="18" t="inlineStr">
        <is>
          <t>1.3</t>
        </is>
      </c>
      <c r="C6" s="35">
        <f>Plan!C7</f>
        <v/>
      </c>
      <c r="D6" s="8" t="n">
        <v>50</v>
      </c>
      <c r="E6" s="16">
        <f>Plan!J7</f>
        <v/>
      </c>
      <c r="F6" s="16">
        <f>Plan!K7</f>
        <v/>
      </c>
      <c r="G6" s="8">
        <f>F6-E6</f>
        <v/>
      </c>
      <c r="H6" s="16">
        <f>Plan!I7</f>
        <v/>
      </c>
      <c r="I6" s="16">
        <f>Plan!O7</f>
        <v/>
      </c>
    </row>
    <row r="7">
      <c r="A7" s="8" t="n">
        <v>3</v>
      </c>
      <c r="B7" s="18" t="inlineStr">
        <is>
          <t>1.2</t>
        </is>
      </c>
      <c r="C7" s="35">
        <f>Plan!C6</f>
        <v/>
      </c>
      <c r="D7" s="8" t="n">
        <v>44</v>
      </c>
      <c r="E7" s="16">
        <f>Plan!J6</f>
        <v/>
      </c>
      <c r="F7" s="16">
        <f>Plan!K6</f>
        <v/>
      </c>
      <c r="G7" s="8">
        <f>F7-E7</f>
        <v/>
      </c>
      <c r="H7" s="16">
        <f>Plan!I6</f>
        <v/>
      </c>
      <c r="I7" s="16">
        <f>Plan!O6</f>
        <v/>
      </c>
    </row>
    <row r="8">
      <c r="A8" s="8" t="n">
        <v>4</v>
      </c>
      <c r="B8" s="18" t="inlineStr">
        <is>
          <t>1.4</t>
        </is>
      </c>
      <c r="C8" s="35">
        <f>Plan!C8</f>
        <v/>
      </c>
      <c r="D8" s="8" t="n">
        <v>49</v>
      </c>
      <c r="E8" s="16">
        <f>Plan!J8</f>
        <v/>
      </c>
      <c r="F8" s="16">
        <f>Plan!K8</f>
        <v/>
      </c>
      <c r="G8" s="8">
        <f>F8-E8</f>
        <v/>
      </c>
      <c r="H8" s="16">
        <f>Plan!I8</f>
        <v/>
      </c>
      <c r="I8" s="16">
        <f>Plan!O8</f>
        <v/>
      </c>
    </row>
    <row r="9">
      <c r="A9" s="8" t="n">
        <v>5</v>
      </c>
      <c r="B9" s="18" t="inlineStr">
        <is>
          <t>3.1</t>
        </is>
      </c>
      <c r="C9" s="35">
        <f>Plan!C28</f>
        <v/>
      </c>
      <c r="D9" s="8" t="n">
        <v>41</v>
      </c>
      <c r="E9" s="16">
        <f>Plan!J28</f>
        <v/>
      </c>
      <c r="F9" s="16">
        <f>Plan!K28</f>
        <v/>
      </c>
      <c r="G9" s="8">
        <f>F9-E9</f>
        <v/>
      </c>
      <c r="H9" s="16">
        <f>Plan!I28</f>
        <v/>
      </c>
      <c r="I9" s="16">
        <f>Plan!O28</f>
        <v/>
      </c>
    </row>
    <row r="10">
      <c r="A10" s="8" t="n">
        <v>6</v>
      </c>
      <c r="B10" s="18" t="inlineStr">
        <is>
          <t>2.2</t>
        </is>
      </c>
      <c r="C10" s="35">
        <f>Plan!C14</f>
        <v/>
      </c>
      <c r="D10" s="8" t="n">
        <v>47</v>
      </c>
      <c r="E10" s="16">
        <f>Plan!J14</f>
        <v/>
      </c>
      <c r="F10" s="16">
        <f>Plan!K14</f>
        <v/>
      </c>
      <c r="G10" s="8">
        <f>F10-E10</f>
        <v/>
      </c>
      <c r="H10" s="16">
        <f>Plan!I14</f>
        <v/>
      </c>
      <c r="I10" s="16">
        <f>Plan!O14</f>
        <v/>
      </c>
    </row>
    <row r="11">
      <c r="A11" s="8" t="n">
        <v>7</v>
      </c>
      <c r="B11" s="18" t="inlineStr">
        <is>
          <t>2.5</t>
        </is>
      </c>
      <c r="C11" s="35">
        <f>Plan!C17</f>
        <v/>
      </c>
      <c r="D11" s="8" t="n">
        <v>45</v>
      </c>
      <c r="E11" s="16">
        <f>Plan!J17</f>
        <v/>
      </c>
      <c r="F11" s="16">
        <f>Plan!K17</f>
        <v/>
      </c>
      <c r="G11" s="8">
        <f>F11-E11</f>
        <v/>
      </c>
      <c r="H11" s="16">
        <f>Plan!I17</f>
        <v/>
      </c>
      <c r="I11" s="16">
        <f>Plan!O17</f>
        <v/>
      </c>
    </row>
    <row r="12">
      <c r="A12" s="8" t="n">
        <v>8</v>
      </c>
      <c r="B12" s="18" t="inlineStr">
        <is>
          <t>1.7</t>
        </is>
      </c>
      <c r="C12" s="35">
        <f>Plan!C11</f>
        <v/>
      </c>
      <c r="D12" s="8" t="n">
        <v>37</v>
      </c>
      <c r="E12" s="16">
        <f>Plan!J11</f>
        <v/>
      </c>
      <c r="F12" s="16">
        <f>Plan!K11</f>
        <v/>
      </c>
      <c r="G12" s="8">
        <f>F12-E12</f>
        <v/>
      </c>
      <c r="H12" s="16">
        <f>Plan!I11</f>
        <v/>
      </c>
      <c r="I12" s="16">
        <f>Plan!O11</f>
        <v/>
      </c>
    </row>
    <row r="13">
      <c r="A13" s="8" t="n">
        <v>9</v>
      </c>
      <c r="B13" s="18" t="inlineStr">
        <is>
          <t>1.5</t>
        </is>
      </c>
      <c r="C13" s="35">
        <f>Plan!C9</f>
        <v/>
      </c>
      <c r="D13" s="8" t="n">
        <v>40</v>
      </c>
      <c r="E13" s="16">
        <f>Plan!J9</f>
        <v/>
      </c>
      <c r="F13" s="16">
        <f>Plan!K9</f>
        <v/>
      </c>
      <c r="G13" s="8">
        <f>F13-E13</f>
        <v/>
      </c>
      <c r="H13" s="16">
        <f>Plan!I9</f>
        <v/>
      </c>
      <c r="I13" s="16">
        <f>Plan!O9</f>
        <v/>
      </c>
    </row>
    <row r="14">
      <c r="A14" s="8" t="n">
        <v>10</v>
      </c>
      <c r="B14" s="18" t="inlineStr">
        <is>
          <t>2.6</t>
        </is>
      </c>
      <c r="C14" s="35">
        <f>Plan!C18</f>
        <v/>
      </c>
      <c r="D14" s="8" t="n">
        <v>42</v>
      </c>
      <c r="E14" s="16">
        <f>Plan!J18</f>
        <v/>
      </c>
      <c r="F14" s="16">
        <f>Plan!K18</f>
        <v/>
      </c>
      <c r="G14" s="8">
        <f>F14-E14</f>
        <v/>
      </c>
      <c r="H14" s="16">
        <f>Plan!I18</f>
        <v/>
      </c>
      <c r="I14" s="16">
        <f>Plan!O18</f>
        <v/>
      </c>
    </row>
    <row r="15">
      <c r="A15" s="8" t="n">
        <v>11</v>
      </c>
      <c r="B15" s="18" t="inlineStr">
        <is>
          <t>2.7</t>
        </is>
      </c>
      <c r="C15" s="35">
        <f>Plan!C19</f>
        <v/>
      </c>
      <c r="D15" s="8" t="n">
        <v>39</v>
      </c>
      <c r="E15" s="16">
        <f>Plan!J19</f>
        <v/>
      </c>
      <c r="F15" s="16">
        <f>Plan!K19</f>
        <v/>
      </c>
      <c r="G15" s="8">
        <f>F15-E15</f>
        <v/>
      </c>
      <c r="H15" s="16">
        <f>Plan!I19</f>
        <v/>
      </c>
      <c r="I15" s="16">
        <f>Plan!O19</f>
        <v/>
      </c>
    </row>
    <row r="16">
      <c r="A16" s="8" t="n">
        <v>12</v>
      </c>
      <c r="B16" s="18" t="inlineStr">
        <is>
          <t>4.6</t>
        </is>
      </c>
      <c r="C16" s="35">
        <f>Plan!C42</f>
        <v/>
      </c>
      <c r="D16" s="8" t="n">
        <v>35</v>
      </c>
      <c r="E16" s="16">
        <f>Plan!J42</f>
        <v/>
      </c>
      <c r="F16" s="16">
        <f>Plan!K42</f>
        <v/>
      </c>
      <c r="G16" s="8">
        <f>F16-E16</f>
        <v/>
      </c>
      <c r="H16" s="16">
        <f>Plan!I42</f>
        <v/>
      </c>
      <c r="I16" s="16">
        <f>Plan!O42</f>
        <v/>
      </c>
    </row>
    <row r="17">
      <c r="A17" s="8" t="n">
        <v>13</v>
      </c>
      <c r="B17" s="18" t="inlineStr">
        <is>
          <t>4.1</t>
        </is>
      </c>
      <c r="C17" s="35">
        <f>Plan!C37</f>
        <v/>
      </c>
      <c r="D17" s="8" t="n">
        <v>37</v>
      </c>
      <c r="E17" s="16">
        <f>Plan!J37</f>
        <v/>
      </c>
      <c r="F17" s="16">
        <f>Plan!K37</f>
        <v/>
      </c>
      <c r="G17" s="8">
        <f>F17-E17</f>
        <v/>
      </c>
      <c r="H17" s="16">
        <f>Plan!I37</f>
        <v/>
      </c>
      <c r="I17" s="16">
        <f>Plan!O37</f>
        <v/>
      </c>
    </row>
    <row r="18">
      <c r="A18" s="8" t="n">
        <v>14</v>
      </c>
      <c r="B18" s="18" t="inlineStr">
        <is>
          <t>2.1</t>
        </is>
      </c>
      <c r="C18" s="35">
        <f>Plan!C13</f>
        <v/>
      </c>
      <c r="D18" s="8" t="n">
        <v>38</v>
      </c>
      <c r="E18" s="16">
        <f>Plan!J13</f>
        <v/>
      </c>
      <c r="F18" s="16">
        <f>Plan!K13</f>
        <v/>
      </c>
      <c r="G18" s="8">
        <f>F18-E18</f>
        <v/>
      </c>
      <c r="H18" s="16">
        <f>Plan!I13</f>
        <v/>
      </c>
      <c r="I18" s="16">
        <f>Plan!O13</f>
        <v/>
      </c>
    </row>
    <row r="19">
      <c r="A19" s="8" t="n">
        <v>15</v>
      </c>
      <c r="B19" s="18" t="inlineStr">
        <is>
          <t>6.10</t>
        </is>
      </c>
      <c r="C19" s="35">
        <f>Plan!C67</f>
        <v/>
      </c>
      <c r="D19" s="8" t="n">
        <v>6</v>
      </c>
      <c r="E19" s="16">
        <f>Plan!J67</f>
        <v/>
      </c>
      <c r="F19" s="16">
        <f>Plan!K67</f>
        <v/>
      </c>
      <c r="G19" s="8">
        <f>F19-E19</f>
        <v/>
      </c>
      <c r="H19" s="16">
        <f>Plan!I67</f>
        <v/>
      </c>
      <c r="I19" s="16">
        <f>Plan!O67</f>
        <v/>
      </c>
    </row>
    <row r="20">
      <c r="A20" s="8" t="n">
        <v>16</v>
      </c>
      <c r="B20" s="18" t="inlineStr">
        <is>
          <t>2.3</t>
        </is>
      </c>
      <c r="C20" s="35">
        <f>Plan!C15</f>
        <v/>
      </c>
      <c r="D20" s="8" t="n">
        <v>36</v>
      </c>
      <c r="E20" s="16">
        <f>Plan!J15</f>
        <v/>
      </c>
      <c r="F20" s="16">
        <f>Plan!K15</f>
        <v/>
      </c>
      <c r="G20" s="8">
        <f>F20-E20</f>
        <v/>
      </c>
      <c r="H20" s="16">
        <f>Plan!I15</f>
        <v/>
      </c>
      <c r="I20" s="16">
        <f>Plan!O15</f>
        <v/>
      </c>
    </row>
    <row r="21">
      <c r="A21" s="8" t="n">
        <v>17</v>
      </c>
      <c r="B21" s="18" t="inlineStr">
        <is>
          <t>2.14</t>
        </is>
      </c>
      <c r="C21" s="35">
        <f>Plan!C26</f>
        <v/>
      </c>
      <c r="D21" s="8" t="n">
        <v>35</v>
      </c>
      <c r="E21" s="16">
        <f>Plan!J26</f>
        <v/>
      </c>
      <c r="F21" s="16">
        <f>Plan!K26</f>
        <v/>
      </c>
      <c r="G21" s="8">
        <f>F21-E21</f>
        <v/>
      </c>
      <c r="H21" s="16">
        <f>Plan!I26</f>
        <v/>
      </c>
      <c r="I21" s="16">
        <f>Plan!O26</f>
        <v/>
      </c>
    </row>
    <row r="22">
      <c r="A22" s="8" t="n">
        <v>18</v>
      </c>
      <c r="B22" s="18" t="inlineStr">
        <is>
          <t>3.4</t>
        </is>
      </c>
      <c r="C22" s="35">
        <f>Plan!C31</f>
        <v/>
      </c>
      <c r="D22" s="8" t="n">
        <v>36</v>
      </c>
      <c r="E22" s="16">
        <f>Plan!J31</f>
        <v/>
      </c>
      <c r="F22" s="16">
        <f>Plan!K31</f>
        <v/>
      </c>
      <c r="G22" s="8">
        <f>F22-E22</f>
        <v/>
      </c>
      <c r="H22" s="16">
        <f>Plan!I31</f>
        <v/>
      </c>
      <c r="I22" s="16">
        <f>Plan!O31</f>
        <v/>
      </c>
    </row>
    <row r="23">
      <c r="A23" s="8" t="n">
        <v>19</v>
      </c>
      <c r="B23" s="18" t="inlineStr">
        <is>
          <t>2.8</t>
        </is>
      </c>
      <c r="C23" s="35">
        <f>Plan!C20</f>
        <v/>
      </c>
      <c r="D23" s="8" t="n">
        <v>9</v>
      </c>
      <c r="E23" s="16">
        <f>Plan!J20</f>
        <v/>
      </c>
      <c r="F23" s="16">
        <f>Plan!K20</f>
        <v/>
      </c>
      <c r="G23" s="8">
        <f>F23-E23</f>
        <v/>
      </c>
      <c r="H23" s="16">
        <f>Plan!I20</f>
        <v/>
      </c>
      <c r="I23" s="16">
        <f>Plan!O20</f>
        <v/>
      </c>
    </row>
    <row r="24">
      <c r="A24" s="8" t="n">
        <v>20</v>
      </c>
      <c r="B24" s="18" t="inlineStr">
        <is>
          <t>3.10</t>
        </is>
      </c>
      <c r="C24" s="35">
        <f>Plan!C36</f>
        <v/>
      </c>
      <c r="D24" s="8" t="n">
        <v>33</v>
      </c>
      <c r="E24" s="16">
        <f>Plan!J36</f>
        <v/>
      </c>
      <c r="F24" s="16">
        <f>Plan!K36</f>
        <v/>
      </c>
      <c r="G24" s="8">
        <f>F24-E24</f>
        <v/>
      </c>
      <c r="H24" s="16">
        <f>Plan!I36</f>
        <v/>
      </c>
      <c r="I24" s="16">
        <f>Plan!O36</f>
        <v/>
      </c>
    </row>
    <row r="25">
      <c r="A25" s="8" t="n">
        <v>21</v>
      </c>
      <c r="B25" s="18" t="inlineStr">
        <is>
          <t>4.11</t>
        </is>
      </c>
      <c r="C25" s="35">
        <f>Plan!C47</f>
        <v/>
      </c>
      <c r="D25" s="8" t="n">
        <v>33</v>
      </c>
      <c r="E25" s="16">
        <f>Plan!J47</f>
        <v/>
      </c>
      <c r="F25" s="16">
        <f>Plan!K47</f>
        <v/>
      </c>
      <c r="G25" s="8">
        <f>F25-E25</f>
        <v/>
      </c>
      <c r="H25" s="16">
        <f>Plan!I47</f>
        <v/>
      </c>
      <c r="I25" s="16">
        <f>Plan!O47</f>
        <v/>
      </c>
    </row>
    <row r="26">
      <c r="A26" s="8" t="n">
        <v>22</v>
      </c>
      <c r="B26" s="18" t="inlineStr">
        <is>
          <t>2.15</t>
        </is>
      </c>
      <c r="C26" s="35">
        <f>Plan!C27</f>
        <v/>
      </c>
      <c r="D26" s="8" t="n">
        <v>34</v>
      </c>
      <c r="E26" s="16">
        <f>Plan!J27</f>
        <v/>
      </c>
      <c r="F26" s="16">
        <f>Plan!K27</f>
        <v/>
      </c>
      <c r="G26" s="8">
        <f>F26-E26</f>
        <v/>
      </c>
      <c r="H26" s="16">
        <f>Plan!I27</f>
        <v/>
      </c>
      <c r="I26" s="16">
        <f>Plan!O27</f>
        <v/>
      </c>
    </row>
    <row r="27">
      <c r="A27" s="8" t="n">
        <v>23</v>
      </c>
      <c r="B27" s="18" t="inlineStr">
        <is>
          <t>4.10</t>
        </is>
      </c>
      <c r="C27" s="35">
        <f>Plan!C46</f>
        <v/>
      </c>
      <c r="D27" s="8" t="n">
        <v>32</v>
      </c>
      <c r="E27" s="16">
        <f>Plan!J46</f>
        <v/>
      </c>
      <c r="F27" s="16">
        <f>Plan!K46</f>
        <v/>
      </c>
      <c r="G27" s="8">
        <f>F27-E27</f>
        <v/>
      </c>
      <c r="H27" s="16">
        <f>Plan!I46</f>
        <v/>
      </c>
      <c r="I27" s="16">
        <f>Plan!O46</f>
        <v/>
      </c>
    </row>
    <row r="28">
      <c r="A28" s="8" t="n">
        <v>24</v>
      </c>
      <c r="B28" s="18" t="inlineStr">
        <is>
          <t>6.4</t>
        </is>
      </c>
      <c r="C28" s="35">
        <f>Plan!C61</f>
        <v/>
      </c>
      <c r="D28" s="8" t="n">
        <v>6</v>
      </c>
      <c r="E28" s="16">
        <f>Plan!J61</f>
        <v/>
      </c>
      <c r="F28" s="16">
        <f>Plan!K61</f>
        <v/>
      </c>
      <c r="G28" s="8">
        <f>F28-E28</f>
        <v/>
      </c>
      <c r="H28" s="16">
        <f>Plan!I61</f>
        <v/>
      </c>
      <c r="I28" s="16">
        <f>Plan!O61</f>
        <v/>
      </c>
    </row>
    <row r="29">
      <c r="A29" s="8" t="n">
        <v>25</v>
      </c>
      <c r="B29" s="18" t="inlineStr">
        <is>
          <t>1.6</t>
        </is>
      </c>
      <c r="C29" s="35">
        <f>Plan!C10</f>
        <v/>
      </c>
      <c r="D29" s="8" t="n">
        <v>31</v>
      </c>
      <c r="E29" s="16">
        <f>Plan!J10</f>
        <v/>
      </c>
      <c r="F29" s="16">
        <f>Plan!K10</f>
        <v/>
      </c>
      <c r="G29" s="8">
        <f>F29-E29</f>
        <v/>
      </c>
      <c r="H29" s="16">
        <f>Plan!I10</f>
        <v/>
      </c>
      <c r="I29" s="16">
        <f>Plan!O10</f>
        <v/>
      </c>
    </row>
    <row r="30">
      <c r="A30" s="8" t="n">
        <v>26</v>
      </c>
      <c r="B30" s="18" t="inlineStr">
        <is>
          <t>6.19</t>
        </is>
      </c>
      <c r="C30" s="35">
        <f>Plan!C74</f>
        <v/>
      </c>
      <c r="D30" s="8" t="n">
        <v>31</v>
      </c>
      <c r="E30" s="16">
        <f>Plan!J74</f>
        <v/>
      </c>
      <c r="F30" s="16">
        <f>Plan!K74</f>
        <v/>
      </c>
      <c r="G30" s="8">
        <f>F30-E30</f>
        <v/>
      </c>
      <c r="H30" s="16">
        <f>Plan!I74</f>
        <v/>
      </c>
      <c r="I30" s="16">
        <f>Plan!O74</f>
        <v/>
      </c>
    </row>
    <row r="31">
      <c r="A31" s="8" t="n">
        <v>27</v>
      </c>
      <c r="B31" s="18" t="inlineStr">
        <is>
          <t>6.16</t>
        </is>
      </c>
      <c r="C31" s="35">
        <f>Plan!C73</f>
        <v/>
      </c>
      <c r="D31" s="8" t="n">
        <v>31</v>
      </c>
      <c r="E31" s="16">
        <f>Plan!J73</f>
        <v/>
      </c>
      <c r="F31" s="16">
        <f>Plan!K73</f>
        <v/>
      </c>
      <c r="G31" s="8">
        <f>F31-E31</f>
        <v/>
      </c>
      <c r="H31" s="16">
        <f>Plan!I73</f>
        <v/>
      </c>
      <c r="I31" s="16">
        <f>Plan!O73</f>
        <v/>
      </c>
    </row>
    <row r="32">
      <c r="A32" s="8" t="n">
        <v>28</v>
      </c>
      <c r="B32" s="18" t="inlineStr">
        <is>
          <t>3.11</t>
        </is>
      </c>
      <c r="C32" s="35">
        <f>Plan!C122</f>
        <v/>
      </c>
      <c r="D32" s="8" t="n">
        <v>4</v>
      </c>
      <c r="E32" s="16">
        <f>Plan!J122</f>
        <v/>
      </c>
      <c r="F32" s="16">
        <f>Plan!K122</f>
        <v/>
      </c>
      <c r="G32" s="8">
        <f>F32-E32</f>
        <v/>
      </c>
      <c r="H32" s="16">
        <f>Plan!I122</f>
        <v/>
      </c>
      <c r="I32" s="16">
        <f>Plan!O122</f>
        <v/>
      </c>
    </row>
    <row r="33">
      <c r="A33" s="8" t="n">
        <v>29</v>
      </c>
      <c r="B33" s="18" t="inlineStr">
        <is>
          <t>6.17</t>
        </is>
      </c>
      <c r="C33" s="35">
        <f>Plan!C75</f>
        <v/>
      </c>
      <c r="D33" s="8" t="n">
        <v>30</v>
      </c>
      <c r="E33" s="16">
        <f>Plan!J75</f>
        <v/>
      </c>
      <c r="F33" s="16">
        <f>Plan!K75</f>
        <v/>
      </c>
      <c r="G33" s="8">
        <f>F33-E33</f>
        <v/>
      </c>
      <c r="H33" s="16">
        <f>Plan!I75</f>
        <v/>
      </c>
      <c r="I33" s="16">
        <f>Plan!O75</f>
        <v/>
      </c>
    </row>
    <row r="34">
      <c r="A34" s="8" t="n">
        <v>30</v>
      </c>
      <c r="B34" s="18" t="inlineStr">
        <is>
          <t>1.8</t>
        </is>
      </c>
      <c r="C34" s="35">
        <f>Plan!C12</f>
        <v/>
      </c>
      <c r="D34" s="8" t="n">
        <v>28</v>
      </c>
      <c r="E34" s="16">
        <f>Plan!J12</f>
        <v/>
      </c>
      <c r="F34" s="16">
        <f>Plan!K12</f>
        <v/>
      </c>
      <c r="G34" s="8">
        <f>F34-E34</f>
        <v/>
      </c>
      <c r="H34" s="16">
        <f>Plan!I12</f>
        <v/>
      </c>
      <c r="I34" s="16">
        <f>Plan!O12</f>
        <v/>
      </c>
    </row>
    <row r="35">
      <c r="A35" s="8" t="n">
        <v>31</v>
      </c>
      <c r="B35" s="18" t="inlineStr">
        <is>
          <t>6.13</t>
        </is>
      </c>
      <c r="C35" s="35">
        <f>Plan!C70</f>
        <v/>
      </c>
      <c r="D35" s="8" t="n">
        <v>6</v>
      </c>
      <c r="E35" s="16">
        <f>Plan!J70</f>
        <v/>
      </c>
      <c r="F35" s="16">
        <f>Plan!K70</f>
        <v/>
      </c>
      <c r="G35" s="8">
        <f>F35-E35</f>
        <v/>
      </c>
      <c r="H35" s="16">
        <f>Plan!I70</f>
        <v/>
      </c>
      <c r="I35" s="16">
        <f>Plan!O70</f>
        <v/>
      </c>
    </row>
    <row r="36">
      <c r="A36" s="8" t="n">
        <v>32</v>
      </c>
      <c r="B36" s="18" t="inlineStr">
        <is>
          <t>6.18</t>
        </is>
      </c>
      <c r="C36" s="35">
        <f>Plan!C76</f>
        <v/>
      </c>
      <c r="D36" s="8" t="n">
        <v>27</v>
      </c>
      <c r="E36" s="16">
        <f>Plan!J76</f>
        <v/>
      </c>
      <c r="F36" s="16">
        <f>Plan!K76</f>
        <v/>
      </c>
      <c r="G36" s="8">
        <f>F36-E36</f>
        <v/>
      </c>
      <c r="H36" s="16">
        <f>Plan!I76</f>
        <v/>
      </c>
      <c r="I36" s="16">
        <f>Plan!O76</f>
        <v/>
      </c>
    </row>
    <row r="37">
      <c r="A37" s="8" t="n">
        <v>33</v>
      </c>
      <c r="B37" s="18" t="inlineStr">
        <is>
          <t>2.9</t>
        </is>
      </c>
      <c r="C37" s="35">
        <f>Plan!C21</f>
        <v/>
      </c>
      <c r="D37" s="8" t="n">
        <v>18</v>
      </c>
      <c r="E37" s="16">
        <f>Plan!J21</f>
        <v/>
      </c>
      <c r="F37" s="16">
        <f>Plan!K21</f>
        <v/>
      </c>
      <c r="G37" s="8">
        <f>F37-E37</f>
        <v/>
      </c>
      <c r="H37" s="16">
        <f>Plan!I21</f>
        <v/>
      </c>
      <c r="I37" s="16">
        <f>Plan!O21</f>
        <v/>
      </c>
    </row>
    <row r="38">
      <c r="A38" s="8" t="n">
        <v>34</v>
      </c>
      <c r="B38" s="18" t="inlineStr">
        <is>
          <t>4.12</t>
        </is>
      </c>
      <c r="C38" s="35">
        <f>Plan!C77</f>
        <v/>
      </c>
      <c r="D38" s="8" t="n">
        <v>26</v>
      </c>
      <c r="E38" s="16">
        <f>Plan!J77</f>
        <v/>
      </c>
      <c r="F38" s="16">
        <f>Plan!K77</f>
        <v/>
      </c>
      <c r="G38" s="8">
        <f>F38-E38</f>
        <v/>
      </c>
      <c r="H38" s="16">
        <f>Plan!I77</f>
        <v/>
      </c>
      <c r="I38" s="16">
        <f>Plan!O77</f>
        <v/>
      </c>
    </row>
    <row r="39">
      <c r="A39" s="8" t="n">
        <v>35</v>
      </c>
      <c r="B39" s="18" t="inlineStr">
        <is>
          <t>3.5</t>
        </is>
      </c>
      <c r="C39" s="35">
        <f>Plan!C32</f>
        <v/>
      </c>
      <c r="D39" s="8" t="n">
        <v>16</v>
      </c>
      <c r="E39" s="16">
        <f>Plan!J32</f>
        <v/>
      </c>
      <c r="F39" s="16">
        <f>Plan!K32</f>
        <v/>
      </c>
      <c r="G39" s="8">
        <f>F39-E39</f>
        <v/>
      </c>
      <c r="H39" s="16">
        <f>Plan!I32</f>
        <v/>
      </c>
      <c r="I39" s="16">
        <f>Plan!O32</f>
        <v/>
      </c>
    </row>
    <row r="40">
      <c r="A40" s="8" t="n">
        <v>36</v>
      </c>
      <c r="B40" s="18" t="inlineStr">
        <is>
          <t>4.13</t>
        </is>
      </c>
      <c r="C40" s="35">
        <f>Plan!C78</f>
        <v/>
      </c>
      <c r="D40" s="8" t="n">
        <v>21</v>
      </c>
      <c r="E40" s="16">
        <f>Plan!J78</f>
        <v/>
      </c>
      <c r="F40" s="16">
        <f>Plan!K78</f>
        <v/>
      </c>
      <c r="G40" s="8">
        <f>F40-E40</f>
        <v/>
      </c>
      <c r="H40" s="16">
        <f>Plan!I78</f>
        <v/>
      </c>
      <c r="I40" s="16">
        <f>Plan!O78</f>
        <v/>
      </c>
    </row>
    <row r="41">
      <c r="A41" s="8" t="n">
        <v>37</v>
      </c>
      <c r="B41" s="18" t="inlineStr">
        <is>
          <t>3.3</t>
        </is>
      </c>
      <c r="C41" s="35">
        <f>Plan!C30</f>
        <v/>
      </c>
      <c r="D41" s="8" t="n">
        <v>15</v>
      </c>
      <c r="E41" s="16">
        <f>Plan!J30</f>
        <v/>
      </c>
      <c r="F41" s="16">
        <f>Plan!K30</f>
        <v/>
      </c>
      <c r="G41" s="8">
        <f>F41-E41</f>
        <v/>
      </c>
      <c r="H41" s="16">
        <f>Plan!I30</f>
        <v/>
      </c>
      <c r="I41" s="16">
        <f>Plan!O30</f>
        <v/>
      </c>
    </row>
    <row r="42">
      <c r="A42" s="8" t="n">
        <v>38</v>
      </c>
      <c r="B42" s="18" t="inlineStr">
        <is>
          <t>2.10</t>
        </is>
      </c>
      <c r="C42" s="35">
        <f>Plan!C22</f>
        <v/>
      </c>
      <c r="D42" s="8" t="n">
        <v>12</v>
      </c>
      <c r="E42" s="16">
        <f>Plan!J22</f>
        <v/>
      </c>
      <c r="F42" s="16">
        <f>Plan!K22</f>
        <v/>
      </c>
      <c r="G42" s="8">
        <f>F42-E42</f>
        <v/>
      </c>
      <c r="H42" s="16">
        <f>Plan!I22</f>
        <v/>
      </c>
      <c r="I42" s="16">
        <f>Plan!O22</f>
        <v/>
      </c>
    </row>
    <row r="43">
      <c r="A43" s="8" t="n">
        <v>39</v>
      </c>
      <c r="B43" s="18" t="inlineStr">
        <is>
          <t>6.20</t>
        </is>
      </c>
      <c r="C43" s="35">
        <f>Plan!C79</f>
        <v/>
      </c>
      <c r="D43" s="8" t="n">
        <v>16</v>
      </c>
      <c r="E43" s="16">
        <f>Plan!J79</f>
        <v/>
      </c>
      <c r="F43" s="16">
        <f>Plan!K79</f>
        <v/>
      </c>
      <c r="G43" s="8">
        <f>F43-E43</f>
        <v/>
      </c>
      <c r="H43" s="16">
        <f>Plan!I79</f>
        <v/>
      </c>
      <c r="I43" s="16">
        <f>Plan!O79</f>
        <v/>
      </c>
    </row>
    <row r="44">
      <c r="A44" s="8" t="n">
        <v>40</v>
      </c>
      <c r="B44" s="18" t="inlineStr">
        <is>
          <t>4.2</t>
        </is>
      </c>
      <c r="C44" s="35">
        <f>Plan!C38</f>
        <v/>
      </c>
      <c r="D44" s="8" t="n">
        <v>16</v>
      </c>
      <c r="E44" s="16">
        <f>Plan!J38</f>
        <v/>
      </c>
      <c r="F44" s="16">
        <f>Plan!K38</f>
        <v/>
      </c>
      <c r="G44" s="8">
        <f>F44-E44</f>
        <v/>
      </c>
      <c r="H44" s="16">
        <f>Plan!I38</f>
        <v/>
      </c>
      <c r="I44" s="16">
        <f>Plan!O38</f>
        <v/>
      </c>
    </row>
    <row r="45">
      <c r="A45" s="8" t="n">
        <v>41</v>
      </c>
      <c r="B45" s="18" t="inlineStr">
        <is>
          <t>4.14</t>
        </is>
      </c>
      <c r="C45" s="35">
        <f>Plan!C80</f>
        <v/>
      </c>
      <c r="D45" s="8" t="n">
        <v>15</v>
      </c>
      <c r="E45" s="16">
        <f>Plan!J80</f>
        <v/>
      </c>
      <c r="F45" s="16">
        <f>Plan!K80</f>
        <v/>
      </c>
      <c r="G45" s="8">
        <f>F45-E45</f>
        <v/>
      </c>
      <c r="H45" s="16">
        <f>Plan!I80</f>
        <v/>
      </c>
      <c r="I45" s="16">
        <f>Plan!O80</f>
        <v/>
      </c>
    </row>
    <row r="46">
      <c r="A46" s="8" t="n">
        <v>42</v>
      </c>
      <c r="B46" s="18" t="inlineStr">
        <is>
          <t>4.5</t>
        </is>
      </c>
      <c r="C46" s="35">
        <f>Plan!C41</f>
        <v/>
      </c>
      <c r="D46" s="8" t="n">
        <v>14</v>
      </c>
      <c r="E46" s="16">
        <f>Plan!J41</f>
        <v/>
      </c>
      <c r="F46" s="16">
        <f>Plan!K41</f>
        <v/>
      </c>
      <c r="G46" s="8">
        <f>F46-E46</f>
        <v/>
      </c>
      <c r="H46" s="16">
        <f>Plan!I41</f>
        <v/>
      </c>
      <c r="I46" s="16">
        <f>Plan!O41</f>
        <v/>
      </c>
    </row>
    <row r="47">
      <c r="A47" s="8" t="n">
        <v>43</v>
      </c>
      <c r="B47" s="18" t="inlineStr">
        <is>
          <t>3.7</t>
        </is>
      </c>
      <c r="C47" s="35">
        <f>Plan!C34</f>
        <v/>
      </c>
      <c r="D47" s="8" t="n">
        <v>12</v>
      </c>
      <c r="E47" s="16">
        <f>Plan!J34</f>
        <v/>
      </c>
      <c r="F47" s="16">
        <f>Plan!K34</f>
        <v/>
      </c>
      <c r="G47" s="8">
        <f>F47-E47</f>
        <v/>
      </c>
      <c r="H47" s="16">
        <f>Plan!I34</f>
        <v/>
      </c>
      <c r="I47" s="16">
        <f>Plan!O34</f>
        <v/>
      </c>
    </row>
    <row r="48">
      <c r="A48" s="8" t="n">
        <v>44</v>
      </c>
      <c r="B48" s="18" t="inlineStr">
        <is>
          <t>2.4</t>
        </is>
      </c>
      <c r="C48" s="35">
        <f>Plan!C16</f>
        <v/>
      </c>
      <c r="D48" s="8" t="n">
        <v>15</v>
      </c>
      <c r="E48" s="16">
        <f>Plan!J16</f>
        <v/>
      </c>
      <c r="F48" s="16">
        <f>Plan!K16</f>
        <v/>
      </c>
      <c r="G48" s="8">
        <f>F48-E48</f>
        <v/>
      </c>
      <c r="H48" s="16">
        <f>Plan!I16</f>
        <v/>
      </c>
      <c r="I48" s="16">
        <f>Plan!O16</f>
        <v/>
      </c>
    </row>
    <row r="49">
      <c r="A49" s="8" t="n">
        <v>45</v>
      </c>
      <c r="B49" s="18" t="inlineStr">
        <is>
          <t>5.6</t>
        </is>
      </c>
      <c r="C49" s="35">
        <f>Plan!C53</f>
        <v/>
      </c>
      <c r="D49" s="8" t="n">
        <v>9</v>
      </c>
      <c r="E49" s="16">
        <f>Plan!J53</f>
        <v/>
      </c>
      <c r="F49" s="16">
        <f>Plan!K53</f>
        <v/>
      </c>
      <c r="G49" s="8">
        <f>F49-E49</f>
        <v/>
      </c>
      <c r="H49" s="16">
        <f>Plan!I53</f>
        <v/>
      </c>
      <c r="I49" s="16">
        <f>Plan!O53</f>
        <v/>
      </c>
    </row>
    <row r="50">
      <c r="A50" s="8" t="n">
        <v>46</v>
      </c>
      <c r="B50" s="18" t="inlineStr">
        <is>
          <t>3.6</t>
        </is>
      </c>
      <c r="C50" s="35">
        <f>Plan!C33</f>
        <v/>
      </c>
      <c r="D50" s="8" t="n">
        <v>13</v>
      </c>
      <c r="E50" s="16">
        <f>Plan!J33</f>
        <v/>
      </c>
      <c r="F50" s="16">
        <f>Plan!K33</f>
        <v/>
      </c>
      <c r="G50" s="8">
        <f>F50-E50</f>
        <v/>
      </c>
      <c r="H50" s="16">
        <f>Plan!I33</f>
        <v/>
      </c>
      <c r="I50" s="16">
        <f>Plan!O33</f>
        <v/>
      </c>
    </row>
    <row r="51">
      <c r="A51" s="8" t="n">
        <v>47</v>
      </c>
      <c r="B51" s="18" t="inlineStr">
        <is>
          <t>5.2</t>
        </is>
      </c>
      <c r="C51" s="35">
        <f>Plan!C49</f>
        <v/>
      </c>
      <c r="D51" s="8" t="n">
        <v>12</v>
      </c>
      <c r="E51" s="16">
        <f>Plan!J49</f>
        <v/>
      </c>
      <c r="F51" s="16">
        <f>Plan!K49</f>
        <v/>
      </c>
      <c r="G51" s="8">
        <f>F51-E51</f>
        <v/>
      </c>
      <c r="H51" s="16">
        <f>Plan!I49</f>
        <v/>
      </c>
      <c r="I51" s="16">
        <f>Plan!O49</f>
        <v/>
      </c>
    </row>
    <row r="52">
      <c r="A52" s="8" t="n">
        <v>48</v>
      </c>
      <c r="B52" s="18" t="inlineStr">
        <is>
          <t>2.11</t>
        </is>
      </c>
      <c r="C52" s="35">
        <f>Plan!C23</f>
        <v/>
      </c>
      <c r="D52" s="8" t="n">
        <v>9</v>
      </c>
      <c r="E52" s="16">
        <f>Plan!J23</f>
        <v/>
      </c>
      <c r="F52" s="16">
        <f>Plan!K23</f>
        <v/>
      </c>
      <c r="G52" s="8">
        <f>F52-E52</f>
        <v/>
      </c>
      <c r="H52" s="16">
        <f>Plan!I23</f>
        <v/>
      </c>
      <c r="I52" s="16">
        <f>Plan!O23</f>
        <v/>
      </c>
    </row>
    <row r="53">
      <c r="A53" s="8" t="n">
        <v>49</v>
      </c>
      <c r="B53" s="18" t="inlineStr">
        <is>
          <t>6.22</t>
        </is>
      </c>
      <c r="C53" s="35">
        <f>Plan!C83</f>
        <v/>
      </c>
      <c r="D53" s="8" t="n">
        <v>10</v>
      </c>
      <c r="E53" s="16">
        <f>Plan!J83</f>
        <v/>
      </c>
      <c r="F53" s="16">
        <f>Plan!K83</f>
        <v/>
      </c>
      <c r="G53" s="8">
        <f>F53-E53</f>
        <v/>
      </c>
      <c r="H53" s="16">
        <f>Plan!I83</f>
        <v/>
      </c>
      <c r="I53" s="16">
        <f>Plan!O83</f>
        <v/>
      </c>
    </row>
    <row r="54">
      <c r="A54" s="8" t="n">
        <v>50</v>
      </c>
      <c r="B54" s="18" t="inlineStr">
        <is>
          <t>4.3</t>
        </is>
      </c>
      <c r="C54" s="35">
        <f>Plan!C39</f>
        <v/>
      </c>
      <c r="D54" s="8" t="n">
        <v>13</v>
      </c>
      <c r="E54" s="16">
        <f>Plan!J39</f>
        <v/>
      </c>
      <c r="F54" s="16">
        <f>Plan!K39</f>
        <v/>
      </c>
      <c r="G54" s="8">
        <f>F54-E54</f>
        <v/>
      </c>
      <c r="H54" s="16">
        <f>Plan!I39</f>
        <v/>
      </c>
      <c r="I54" s="16">
        <f>Plan!O39</f>
        <v/>
      </c>
    </row>
    <row r="55">
      <c r="A55" s="8" t="n">
        <v>51</v>
      </c>
      <c r="B55" s="18" t="inlineStr">
        <is>
          <t>5.4</t>
        </is>
      </c>
      <c r="C55" s="35">
        <f>Plan!C51</f>
        <v/>
      </c>
      <c r="D55" s="8" t="n">
        <v>9</v>
      </c>
      <c r="E55" s="16">
        <f>Plan!J51</f>
        <v/>
      </c>
      <c r="F55" s="16">
        <f>Plan!K51</f>
        <v/>
      </c>
      <c r="G55" s="8">
        <f>F55-E55</f>
        <v/>
      </c>
      <c r="H55" s="16">
        <f>Plan!I51</f>
        <v/>
      </c>
      <c r="I55" s="16">
        <f>Plan!O51</f>
        <v/>
      </c>
    </row>
    <row r="56">
      <c r="A56" s="8" t="n">
        <v>52</v>
      </c>
      <c r="B56" s="18" t="inlineStr">
        <is>
          <t>6.11</t>
        </is>
      </c>
      <c r="C56" s="35">
        <f>Plan!C68</f>
        <v/>
      </c>
      <c r="D56" s="8" t="n">
        <v>7</v>
      </c>
      <c r="E56" s="16">
        <f>Plan!J68</f>
        <v/>
      </c>
      <c r="F56" s="16">
        <f>Plan!K68</f>
        <v/>
      </c>
      <c r="G56" s="8">
        <f>F56-E56</f>
        <v/>
      </c>
      <c r="H56" s="16">
        <f>Plan!I68</f>
        <v/>
      </c>
      <c r="I56" s="16">
        <f>Plan!O68</f>
        <v/>
      </c>
    </row>
    <row r="57">
      <c r="A57" s="8" t="n">
        <v>53</v>
      </c>
      <c r="B57" s="18" t="inlineStr">
        <is>
          <t>6.1</t>
        </is>
      </c>
      <c r="C57" s="35">
        <f>Plan!C58</f>
        <v/>
      </c>
      <c r="D57" s="8" t="n">
        <v>11</v>
      </c>
      <c r="E57" s="16">
        <f>Plan!J58</f>
        <v/>
      </c>
      <c r="F57" s="16">
        <f>Plan!K58</f>
        <v/>
      </c>
      <c r="G57" s="8">
        <f>F57-E57</f>
        <v/>
      </c>
      <c r="H57" s="16">
        <f>Plan!I58</f>
        <v/>
      </c>
      <c r="I57" s="16">
        <f>Plan!O58</f>
        <v/>
      </c>
    </row>
    <row r="58">
      <c r="A58" s="8" t="n">
        <v>54</v>
      </c>
      <c r="B58" s="18" t="inlineStr">
        <is>
          <t>5.12</t>
        </is>
      </c>
      <c r="C58" s="35">
        <f>Plan!C85</f>
        <v/>
      </c>
      <c r="D58" s="8" t="n">
        <v>9</v>
      </c>
      <c r="E58" s="16">
        <f>Plan!J85</f>
        <v/>
      </c>
      <c r="F58" s="16">
        <f>Plan!K85</f>
        <v/>
      </c>
      <c r="G58" s="8">
        <f>F58-E58</f>
        <v/>
      </c>
      <c r="H58" s="16">
        <f>Plan!I85</f>
        <v/>
      </c>
      <c r="I58" s="16">
        <f>Plan!O85</f>
        <v/>
      </c>
    </row>
    <row r="59">
      <c r="A59" s="8" t="n">
        <v>55</v>
      </c>
      <c r="B59" s="18" t="inlineStr">
        <is>
          <t>3.9</t>
        </is>
      </c>
      <c r="C59" s="35">
        <f>Plan!C35</f>
        <v/>
      </c>
      <c r="D59" s="8" t="n">
        <v>12</v>
      </c>
      <c r="E59" s="16">
        <f>Plan!J35</f>
        <v/>
      </c>
      <c r="F59" s="16">
        <f>Plan!K35</f>
        <v/>
      </c>
      <c r="G59" s="8">
        <f>F59-E59</f>
        <v/>
      </c>
      <c r="H59" s="16">
        <f>Plan!I35</f>
        <v/>
      </c>
      <c r="I59" s="16">
        <f>Plan!O35</f>
        <v/>
      </c>
    </row>
    <row r="60">
      <c r="A60" s="8" t="n">
        <v>56</v>
      </c>
      <c r="B60" s="18" t="inlineStr">
        <is>
          <t>2.12</t>
        </is>
      </c>
      <c r="C60" s="35">
        <f>Plan!C24</f>
        <v/>
      </c>
      <c r="D60" s="8" t="n">
        <v>12</v>
      </c>
      <c r="E60" s="16">
        <f>Plan!J24</f>
        <v/>
      </c>
      <c r="F60" s="16">
        <f>Plan!K24</f>
        <v/>
      </c>
      <c r="G60" s="8">
        <f>F60-E60</f>
        <v/>
      </c>
      <c r="H60" s="16">
        <f>Plan!I24</f>
        <v/>
      </c>
      <c r="I60" s="16">
        <f>Plan!O24</f>
        <v/>
      </c>
    </row>
    <row r="61">
      <c r="A61" s="8" t="n">
        <v>57</v>
      </c>
      <c r="B61" s="18" t="inlineStr">
        <is>
          <t>4.19</t>
        </is>
      </c>
      <c r="C61" s="35">
        <f>Plan!C94</f>
        <v/>
      </c>
      <c r="D61" s="8" t="n">
        <v>6</v>
      </c>
      <c r="E61" s="16">
        <f>Plan!J94</f>
        <v/>
      </c>
      <c r="F61" s="16">
        <f>Plan!K94</f>
        <v/>
      </c>
      <c r="G61" s="8">
        <f>F61-E61</f>
        <v/>
      </c>
      <c r="H61" s="16">
        <f>Plan!I94</f>
        <v/>
      </c>
      <c r="I61" s="16">
        <f>Plan!O94</f>
        <v/>
      </c>
    </row>
    <row r="62">
      <c r="A62" s="8" t="n">
        <v>58</v>
      </c>
      <c r="B62" s="18" t="inlineStr">
        <is>
          <t>4.20</t>
        </is>
      </c>
      <c r="C62" s="35">
        <f>Plan!C95</f>
        <v/>
      </c>
      <c r="D62" s="8" t="n">
        <v>11</v>
      </c>
      <c r="E62" s="16">
        <f>Plan!J95</f>
        <v/>
      </c>
      <c r="F62" s="16">
        <f>Plan!K95</f>
        <v/>
      </c>
      <c r="G62" s="8">
        <f>F62-E62</f>
        <v/>
      </c>
      <c r="H62" s="16">
        <f>Plan!I95</f>
        <v/>
      </c>
      <c r="I62" s="16">
        <f>Plan!O95</f>
        <v/>
      </c>
    </row>
    <row r="63">
      <c r="A63" s="8" t="n">
        <v>59</v>
      </c>
      <c r="B63" s="18" t="inlineStr">
        <is>
          <t>6.9</t>
        </is>
      </c>
      <c r="C63" s="35">
        <f>Plan!C66</f>
        <v/>
      </c>
      <c r="D63" s="8" t="n">
        <v>6</v>
      </c>
      <c r="E63" s="16">
        <f>Plan!J66</f>
        <v/>
      </c>
      <c r="F63" s="16">
        <f>Plan!K66</f>
        <v/>
      </c>
      <c r="G63" s="8">
        <f>F63-E63</f>
        <v/>
      </c>
      <c r="H63" s="16">
        <f>Plan!I66</f>
        <v/>
      </c>
      <c r="I63" s="16">
        <f>Plan!O66</f>
        <v/>
      </c>
    </row>
    <row r="64">
      <c r="A64" s="8" t="n">
        <v>60</v>
      </c>
      <c r="B64" s="18" t="inlineStr">
        <is>
          <t>5.1</t>
        </is>
      </c>
      <c r="C64" s="35">
        <f>Plan!C48</f>
        <v/>
      </c>
      <c r="D64" s="8" t="n">
        <v>10</v>
      </c>
      <c r="E64" s="16">
        <f>Plan!J48</f>
        <v/>
      </c>
      <c r="F64" s="16">
        <f>Plan!K48</f>
        <v/>
      </c>
      <c r="G64" s="8">
        <f>F64-E64</f>
        <v/>
      </c>
      <c r="H64" s="16">
        <f>Plan!I48</f>
        <v/>
      </c>
      <c r="I64" s="16">
        <f>Plan!O48</f>
        <v/>
      </c>
    </row>
    <row r="65">
      <c r="A65" s="8" t="n">
        <v>61</v>
      </c>
      <c r="B65" s="18" t="inlineStr">
        <is>
          <t>5.5</t>
        </is>
      </c>
      <c r="C65" s="35">
        <f>Plan!C52</f>
        <v/>
      </c>
      <c r="D65" s="8" t="n">
        <v>9</v>
      </c>
      <c r="E65" s="16">
        <f>Plan!J52</f>
        <v/>
      </c>
      <c r="F65" s="16">
        <f>Plan!K52</f>
        <v/>
      </c>
      <c r="G65" s="8">
        <f>F65-E65</f>
        <v/>
      </c>
      <c r="H65" s="16">
        <f>Plan!I52</f>
        <v/>
      </c>
      <c r="I65" s="16">
        <f>Plan!O52</f>
        <v/>
      </c>
    </row>
    <row r="66">
      <c r="A66" s="8" t="n">
        <v>62</v>
      </c>
      <c r="B66" s="18" t="inlineStr">
        <is>
          <t>6.3</t>
        </is>
      </c>
      <c r="C66" s="35">
        <f>Plan!C60</f>
        <v/>
      </c>
      <c r="D66" s="8" t="n">
        <v>8</v>
      </c>
      <c r="E66" s="16">
        <f>Plan!J60</f>
        <v/>
      </c>
      <c r="F66" s="16">
        <f>Plan!K60</f>
        <v/>
      </c>
      <c r="G66" s="8">
        <f>F66-E66</f>
        <v/>
      </c>
      <c r="H66" s="16">
        <f>Plan!I60</f>
        <v/>
      </c>
      <c r="I66" s="16">
        <f>Plan!O60</f>
        <v/>
      </c>
    </row>
    <row r="67">
      <c r="A67" s="8" t="n">
        <v>63</v>
      </c>
      <c r="B67" s="18" t="inlineStr">
        <is>
          <t>4.25</t>
        </is>
      </c>
      <c r="C67" s="35">
        <f>Plan!C121</f>
        <v/>
      </c>
      <c r="D67" s="8" t="n">
        <v>5</v>
      </c>
      <c r="E67" s="16">
        <f>Plan!J121</f>
        <v/>
      </c>
      <c r="F67" s="16">
        <f>Plan!K121</f>
        <v/>
      </c>
      <c r="G67" s="8">
        <f>F67-E67</f>
        <v/>
      </c>
      <c r="H67" s="16">
        <f>Plan!I121</f>
        <v/>
      </c>
      <c r="I67" s="16">
        <f>Plan!O121</f>
        <v/>
      </c>
    </row>
    <row r="68">
      <c r="A68" s="8" t="n">
        <v>64</v>
      </c>
      <c r="B68" s="18" t="inlineStr">
        <is>
          <t>4.23</t>
        </is>
      </c>
      <c r="C68" s="35">
        <f>Plan!C118</f>
        <v/>
      </c>
      <c r="D68" s="8" t="n">
        <v>6</v>
      </c>
      <c r="E68" s="16">
        <f>Plan!J118</f>
        <v/>
      </c>
      <c r="F68" s="16">
        <f>Plan!K118</f>
        <v/>
      </c>
      <c r="G68" s="8">
        <f>F68-E68</f>
        <v/>
      </c>
      <c r="H68" s="16">
        <f>Plan!I118</f>
        <v/>
      </c>
      <c r="I68" s="16">
        <f>Plan!O118</f>
        <v/>
      </c>
    </row>
    <row r="69">
      <c r="A69" s="8" t="n">
        <v>65</v>
      </c>
      <c r="B69" s="18" t="inlineStr">
        <is>
          <t>4.7</t>
        </is>
      </c>
      <c r="C69" s="35">
        <f>Plan!C43</f>
        <v/>
      </c>
      <c r="D69" s="8" t="n">
        <v>5</v>
      </c>
      <c r="E69" s="16">
        <f>Plan!J43</f>
        <v/>
      </c>
      <c r="F69" s="16">
        <f>Plan!K43</f>
        <v/>
      </c>
      <c r="G69" s="8">
        <f>F69-E69</f>
        <v/>
      </c>
      <c r="H69" s="16">
        <f>Plan!I43</f>
        <v/>
      </c>
      <c r="I69" s="16">
        <f>Plan!O43</f>
        <v/>
      </c>
    </row>
    <row r="70">
      <c r="A70" s="8" t="n">
        <v>66</v>
      </c>
      <c r="B70" s="18" t="inlineStr">
        <is>
          <t>4.17</t>
        </is>
      </c>
      <c r="C70" s="35">
        <f>Plan!C92</f>
        <v/>
      </c>
      <c r="D70" s="8" t="n">
        <v>6</v>
      </c>
      <c r="E70" s="16">
        <f>Plan!J92</f>
        <v/>
      </c>
      <c r="F70" s="16">
        <f>Plan!K92</f>
        <v/>
      </c>
      <c r="G70" s="8">
        <f>F70-E70</f>
        <v/>
      </c>
      <c r="H70" s="16">
        <f>Plan!I92</f>
        <v/>
      </c>
      <c r="I70" s="16">
        <f>Plan!O92</f>
        <v/>
      </c>
    </row>
    <row r="71">
      <c r="A71" s="8" t="n">
        <v>67</v>
      </c>
      <c r="B71" s="18" t="inlineStr">
        <is>
          <t>4.4</t>
        </is>
      </c>
      <c r="C71" s="35">
        <f>Plan!C40</f>
        <v/>
      </c>
      <c r="D71" s="8" t="n">
        <v>7</v>
      </c>
      <c r="E71" s="16">
        <f>Plan!J40</f>
        <v/>
      </c>
      <c r="F71" s="16">
        <f>Plan!K40</f>
        <v/>
      </c>
      <c r="G71" s="8">
        <f>F71-E71</f>
        <v/>
      </c>
      <c r="H71" s="16">
        <f>Plan!I40</f>
        <v/>
      </c>
      <c r="I71" s="16">
        <f>Plan!O40</f>
        <v/>
      </c>
    </row>
    <row r="72">
      <c r="A72" s="8" t="n">
        <v>68</v>
      </c>
      <c r="B72" s="18" t="inlineStr">
        <is>
          <t>6.8</t>
        </is>
      </c>
      <c r="C72" s="35">
        <f>Plan!C65</f>
        <v/>
      </c>
      <c r="D72" s="8" t="n">
        <v>6</v>
      </c>
      <c r="E72" s="16">
        <f>Plan!J65</f>
        <v/>
      </c>
      <c r="F72" s="16">
        <f>Plan!K65</f>
        <v/>
      </c>
      <c r="G72" s="8">
        <f>F72-E72</f>
        <v/>
      </c>
      <c r="H72" s="16">
        <f>Plan!I65</f>
        <v/>
      </c>
      <c r="I72" s="16">
        <f>Plan!O65</f>
        <v/>
      </c>
    </row>
    <row r="73">
      <c r="A73" s="8" t="n">
        <v>69</v>
      </c>
      <c r="B73" s="18" t="inlineStr">
        <is>
          <t>5.9</t>
        </is>
      </c>
      <c r="C73" s="35">
        <f>Plan!C56</f>
        <v/>
      </c>
      <c r="D73" s="8" t="n">
        <v>8</v>
      </c>
      <c r="E73" s="16">
        <f>Plan!J56</f>
        <v/>
      </c>
      <c r="F73" s="16">
        <f>Plan!K56</f>
        <v/>
      </c>
      <c r="G73" s="8">
        <f>F73-E73</f>
        <v/>
      </c>
      <c r="H73" s="16">
        <f>Plan!I56</f>
        <v/>
      </c>
      <c r="I73" s="16">
        <f>Plan!O56</f>
        <v/>
      </c>
    </row>
    <row r="74">
      <c r="A74" s="8" t="n">
        <v>70</v>
      </c>
      <c r="B74" s="18" t="inlineStr">
        <is>
          <t>6.2</t>
        </is>
      </c>
      <c r="C74" s="35">
        <f>Plan!C59</f>
        <v/>
      </c>
      <c r="D74" s="8" t="n">
        <v>7</v>
      </c>
      <c r="E74" s="16">
        <f>Plan!J59</f>
        <v/>
      </c>
      <c r="F74" s="16">
        <f>Plan!K59</f>
        <v/>
      </c>
      <c r="G74" s="8">
        <f>F74-E74</f>
        <v/>
      </c>
      <c r="H74" s="16">
        <f>Plan!I59</f>
        <v/>
      </c>
      <c r="I74" s="16">
        <f>Plan!O59</f>
        <v/>
      </c>
    </row>
    <row r="75">
      <c r="A75" s="8" t="n">
        <v>71</v>
      </c>
      <c r="B75" s="18" t="inlineStr">
        <is>
          <t>5.17</t>
        </is>
      </c>
      <c r="C75" s="35">
        <f>Plan!C98</f>
        <v/>
      </c>
      <c r="D75" s="8" t="n">
        <v>3</v>
      </c>
      <c r="E75" s="16">
        <f>Plan!J98</f>
        <v/>
      </c>
      <c r="F75" s="16">
        <f>Plan!K98</f>
        <v/>
      </c>
      <c r="G75" s="8">
        <f>F75-E75</f>
        <v/>
      </c>
      <c r="H75" s="16">
        <f>Plan!I98</f>
        <v/>
      </c>
      <c r="I75" s="16">
        <f>Plan!O98</f>
        <v/>
      </c>
    </row>
    <row r="76">
      <c r="A76" s="8" t="n">
        <v>72</v>
      </c>
      <c r="B76" s="18" t="inlineStr">
        <is>
          <t>4.24</t>
        </is>
      </c>
      <c r="C76" s="35">
        <f>Plan!C120</f>
        <v/>
      </c>
      <c r="D76" s="8" t="n">
        <v>6</v>
      </c>
      <c r="E76" s="16">
        <f>Plan!J120</f>
        <v/>
      </c>
      <c r="F76" s="16">
        <f>Plan!K120</f>
        <v/>
      </c>
      <c r="G76" s="8">
        <f>F76-E76</f>
        <v/>
      </c>
      <c r="H76" s="16">
        <f>Plan!I120</f>
        <v/>
      </c>
      <c r="I76" s="16">
        <f>Plan!O120</f>
        <v/>
      </c>
    </row>
    <row r="77">
      <c r="A77" s="8" t="n">
        <v>73</v>
      </c>
      <c r="B77" s="18" t="inlineStr">
        <is>
          <t>5.19</t>
        </is>
      </c>
      <c r="C77" s="35">
        <f>Plan!C106</f>
        <v/>
      </c>
      <c r="D77" s="8" t="n">
        <v>5</v>
      </c>
      <c r="E77" s="16">
        <f>Plan!J106</f>
        <v/>
      </c>
      <c r="F77" s="16">
        <f>Plan!K106</f>
        <v/>
      </c>
      <c r="G77" s="8">
        <f>F77-E77</f>
        <v/>
      </c>
      <c r="H77" s="16">
        <f>Plan!I106</f>
        <v/>
      </c>
      <c r="I77" s="16">
        <f>Plan!O106</f>
        <v/>
      </c>
    </row>
    <row r="78">
      <c r="A78" s="8" t="n">
        <v>74</v>
      </c>
      <c r="B78" s="18" t="inlineStr">
        <is>
          <t>4.15</t>
        </is>
      </c>
      <c r="C78" s="35">
        <f>Plan!C81</f>
        <v/>
      </c>
      <c r="D78" s="8" t="n">
        <v>4</v>
      </c>
      <c r="E78" s="16">
        <f>Plan!J81</f>
        <v/>
      </c>
      <c r="F78" s="16">
        <f>Plan!K81</f>
        <v/>
      </c>
      <c r="G78" s="8">
        <f>F78-E78</f>
        <v/>
      </c>
      <c r="H78" s="16">
        <f>Plan!I81</f>
        <v/>
      </c>
      <c r="I78" s="16">
        <f>Plan!O81</f>
        <v/>
      </c>
    </row>
    <row r="79">
      <c r="A79" s="8" t="n">
        <v>75</v>
      </c>
      <c r="B79" s="18" t="inlineStr">
        <is>
          <t>6.26</t>
        </is>
      </c>
      <c r="C79" s="35">
        <f>Plan!C99</f>
        <v/>
      </c>
      <c r="D79" s="8" t="n">
        <v>4</v>
      </c>
      <c r="E79" s="16">
        <f>Plan!J99</f>
        <v/>
      </c>
      <c r="F79" s="16">
        <f>Plan!K99</f>
        <v/>
      </c>
      <c r="G79" s="8">
        <f>F79-E79</f>
        <v/>
      </c>
      <c r="H79" s="16">
        <f>Plan!I99</f>
        <v/>
      </c>
      <c r="I79" s="16">
        <f>Plan!O99</f>
        <v/>
      </c>
    </row>
    <row r="80">
      <c r="A80" s="8" t="n">
        <v>76</v>
      </c>
      <c r="B80" s="18" t="inlineStr">
        <is>
          <t>6.28</t>
        </is>
      </c>
      <c r="C80" s="35">
        <f>Plan!C101</f>
        <v/>
      </c>
      <c r="D80" s="8" t="n">
        <v>2</v>
      </c>
      <c r="E80" s="16">
        <f>Plan!J101</f>
        <v/>
      </c>
      <c r="F80" s="16">
        <f>Plan!K101</f>
        <v/>
      </c>
      <c r="G80" s="8">
        <f>F80-E80</f>
        <v/>
      </c>
      <c r="H80" s="16">
        <f>Plan!I101</f>
        <v/>
      </c>
      <c r="I80" s="16">
        <f>Plan!O101</f>
        <v/>
      </c>
    </row>
    <row r="81">
      <c r="A81" s="8" t="n">
        <v>77</v>
      </c>
      <c r="B81" s="18" t="inlineStr">
        <is>
          <t>4.21</t>
        </is>
      </c>
      <c r="C81" s="35">
        <f>Plan!C103</f>
        <v/>
      </c>
      <c r="D81" s="8" t="n">
        <v>3</v>
      </c>
      <c r="E81" s="16">
        <f>Plan!J103</f>
        <v/>
      </c>
      <c r="F81" s="16">
        <f>Plan!K103</f>
        <v/>
      </c>
      <c r="G81" s="8">
        <f>F81-E81</f>
        <v/>
      </c>
      <c r="H81" s="16">
        <f>Plan!I103</f>
        <v/>
      </c>
      <c r="I81" s="16">
        <f>Plan!O103</f>
        <v/>
      </c>
    </row>
    <row r="82">
      <c r="A82" s="8" t="n">
        <v>78</v>
      </c>
      <c r="B82" s="18" t="inlineStr">
        <is>
          <t>6.31</t>
        </is>
      </c>
      <c r="C82" s="35">
        <f>Plan!C108</f>
        <v/>
      </c>
      <c r="D82" s="8" t="n">
        <v>7</v>
      </c>
      <c r="E82" s="16">
        <f>Plan!J108</f>
        <v/>
      </c>
      <c r="F82" s="16">
        <f>Plan!K108</f>
        <v/>
      </c>
      <c r="G82" s="8">
        <f>F82-E82</f>
        <v/>
      </c>
      <c r="H82" s="16">
        <f>Plan!I108</f>
        <v/>
      </c>
      <c r="I82" s="16">
        <f>Plan!O108</f>
        <v/>
      </c>
    </row>
    <row r="83">
      <c r="A83" s="8" t="n">
        <v>79</v>
      </c>
      <c r="B83" s="18" t="inlineStr">
        <is>
          <t>6.32</t>
        </is>
      </c>
      <c r="C83" s="35">
        <f>Plan!C109</f>
        <v/>
      </c>
      <c r="D83" s="8" t="n">
        <v>5</v>
      </c>
      <c r="E83" s="16">
        <f>Plan!J109</f>
        <v/>
      </c>
      <c r="F83" s="16">
        <f>Plan!K109</f>
        <v/>
      </c>
      <c r="G83" s="8">
        <f>F83-E83</f>
        <v/>
      </c>
      <c r="H83" s="16">
        <f>Plan!I109</f>
        <v/>
      </c>
      <c r="I83" s="16">
        <f>Plan!O109</f>
        <v/>
      </c>
    </row>
    <row r="84">
      <c r="A84" s="8" t="n">
        <v>80</v>
      </c>
      <c r="B84" s="18" t="inlineStr">
        <is>
          <t>6.33</t>
        </is>
      </c>
      <c r="C84" s="35">
        <f>Plan!C110</f>
        <v/>
      </c>
      <c r="D84" s="8" t="n">
        <v>6</v>
      </c>
      <c r="E84" s="16">
        <f>Plan!J110</f>
        <v/>
      </c>
      <c r="F84" s="16">
        <f>Plan!K110</f>
        <v/>
      </c>
      <c r="G84" s="8">
        <f>F84-E84</f>
        <v/>
      </c>
      <c r="H84" s="16">
        <f>Plan!I110</f>
        <v/>
      </c>
      <c r="I84" s="16">
        <f>Plan!O110</f>
        <v/>
      </c>
    </row>
    <row r="85">
      <c r="A85" s="8" t="n">
        <v>81</v>
      </c>
      <c r="B85" s="18" t="inlineStr">
        <is>
          <t>6.34</t>
        </is>
      </c>
      <c r="C85" s="35">
        <f>Plan!C111</f>
        <v/>
      </c>
      <c r="D85" s="8" t="n">
        <v>4</v>
      </c>
      <c r="E85" s="16">
        <f>Plan!J111</f>
        <v/>
      </c>
      <c r="F85" s="16">
        <f>Plan!K111</f>
        <v/>
      </c>
      <c r="G85" s="8">
        <f>F85-E85</f>
        <v/>
      </c>
      <c r="H85" s="16">
        <f>Plan!I111</f>
        <v/>
      </c>
      <c r="I85" s="16">
        <f>Plan!O111</f>
        <v/>
      </c>
    </row>
    <row r="86">
      <c r="A86" s="8" t="n">
        <v>82</v>
      </c>
      <c r="B86" s="18" t="inlineStr">
        <is>
          <t>5.14</t>
        </is>
      </c>
      <c r="C86" s="35">
        <f>Plan!C91</f>
        <v/>
      </c>
      <c r="D86" s="8" t="n">
        <v>7</v>
      </c>
      <c r="E86" s="16">
        <f>Plan!J91</f>
        <v/>
      </c>
      <c r="F86" s="16">
        <f>Plan!K91</f>
        <v/>
      </c>
      <c r="G86" s="8">
        <f>F86-E86</f>
        <v/>
      </c>
      <c r="H86" s="16">
        <f>Plan!I91</f>
        <v/>
      </c>
      <c r="I86" s="16">
        <f>Plan!O91</f>
        <v/>
      </c>
    </row>
    <row r="87">
      <c r="A87" s="8" t="n">
        <v>83</v>
      </c>
      <c r="B87" s="18" t="inlineStr">
        <is>
          <t>5.18</t>
        </is>
      </c>
      <c r="C87" s="35">
        <f>Plan!C105</f>
        <v/>
      </c>
      <c r="D87" s="8" t="n">
        <v>1</v>
      </c>
      <c r="E87" s="16">
        <f>Plan!J105</f>
        <v/>
      </c>
      <c r="F87" s="16">
        <f>Plan!K105</f>
        <v/>
      </c>
      <c r="G87" s="8">
        <f>F87-E87</f>
        <v/>
      </c>
      <c r="H87" s="16">
        <f>Plan!I105</f>
        <v/>
      </c>
      <c r="I87" s="16">
        <f>Plan!O105</f>
        <v/>
      </c>
    </row>
    <row r="88">
      <c r="A88" s="8" t="n">
        <v>84</v>
      </c>
      <c r="B88" s="18" t="inlineStr">
        <is>
          <t>5.15</t>
        </is>
      </c>
      <c r="C88" s="35">
        <f>Plan!C96</f>
        <v/>
      </c>
      <c r="D88" s="8" t="n">
        <v>5</v>
      </c>
      <c r="E88" s="16">
        <f>Plan!J96</f>
        <v/>
      </c>
      <c r="F88" s="16">
        <f>Plan!K96</f>
        <v/>
      </c>
      <c r="G88" s="8">
        <f>F88-E88</f>
        <v/>
      </c>
      <c r="H88" s="16">
        <f>Plan!I96</f>
        <v/>
      </c>
      <c r="I88" s="16">
        <f>Plan!O96</f>
        <v/>
      </c>
    </row>
    <row r="89">
      <c r="A89" s="8" t="n">
        <v>85</v>
      </c>
      <c r="B89" s="18" t="inlineStr">
        <is>
          <t>5.10</t>
        </is>
      </c>
      <c r="C89" s="35">
        <f>Plan!C57</f>
        <v/>
      </c>
      <c r="D89" s="8" t="n">
        <v>2</v>
      </c>
      <c r="E89" s="16">
        <f>Plan!J57</f>
        <v/>
      </c>
      <c r="F89" s="16">
        <f>Plan!K57</f>
        <v/>
      </c>
      <c r="G89" s="8">
        <f>F89-E89</f>
        <v/>
      </c>
      <c r="H89" s="16">
        <f>Plan!I57</f>
        <v/>
      </c>
      <c r="I89" s="16">
        <f>Plan!O57</f>
        <v/>
      </c>
    </row>
    <row r="90">
      <c r="A90" s="8" t="n">
        <v>86</v>
      </c>
      <c r="B90" s="18" t="inlineStr">
        <is>
          <t>3.2</t>
        </is>
      </c>
      <c r="C90" s="35">
        <f>Plan!C29</f>
        <v/>
      </c>
      <c r="D90" s="8" t="n">
        <v>3</v>
      </c>
      <c r="E90" s="16">
        <f>Plan!J29</f>
        <v/>
      </c>
      <c r="F90" s="16">
        <f>Plan!K29</f>
        <v/>
      </c>
      <c r="G90" s="8">
        <f>F90-E90</f>
        <v/>
      </c>
      <c r="H90" s="16">
        <f>Plan!I29</f>
        <v/>
      </c>
      <c r="I90" s="16">
        <f>Plan!O29</f>
        <v/>
      </c>
    </row>
    <row r="91">
      <c r="A91" s="8" t="n">
        <v>87</v>
      </c>
      <c r="B91" s="18" t="inlineStr">
        <is>
          <t>4.18</t>
        </is>
      </c>
      <c r="C91" s="35">
        <f>Plan!C93</f>
        <v/>
      </c>
      <c r="D91" s="8" t="n">
        <v>4</v>
      </c>
      <c r="E91" s="16">
        <f>Plan!J93</f>
        <v/>
      </c>
      <c r="F91" s="16">
        <f>Plan!K93</f>
        <v/>
      </c>
      <c r="G91" s="8">
        <f>F91-E91</f>
        <v/>
      </c>
      <c r="H91" s="16">
        <f>Plan!I93</f>
        <v/>
      </c>
      <c r="I91" s="16">
        <f>Plan!O93</f>
        <v/>
      </c>
    </row>
    <row r="92">
      <c r="A92" s="8" t="n">
        <v>88</v>
      </c>
      <c r="B92" s="18" t="inlineStr">
        <is>
          <t>2.16</t>
        </is>
      </c>
      <c r="C92" s="35">
        <f>Plan!C119</f>
        <v/>
      </c>
      <c r="D92" s="8" t="n">
        <v>6</v>
      </c>
      <c r="E92" s="16">
        <f>Plan!J119</f>
        <v/>
      </c>
      <c r="F92" s="16">
        <f>Plan!K119</f>
        <v/>
      </c>
      <c r="G92" s="8">
        <f>F92-E92</f>
        <v/>
      </c>
      <c r="H92" s="16">
        <f>Plan!I119</f>
        <v/>
      </c>
      <c r="I92" s="16">
        <f>Plan!O119</f>
        <v/>
      </c>
    </row>
    <row r="93">
      <c r="A93" s="8" t="n">
        <v>89</v>
      </c>
      <c r="B93" s="18" t="inlineStr">
        <is>
          <t>6.37</t>
        </is>
      </c>
      <c r="C93" s="35">
        <f>Plan!C114</f>
        <v/>
      </c>
      <c r="D93" s="8" t="n">
        <v>1</v>
      </c>
      <c r="E93" s="16">
        <f>Plan!J114</f>
        <v/>
      </c>
      <c r="F93" s="16">
        <f>Plan!K114</f>
        <v/>
      </c>
      <c r="G93" s="8">
        <f>F93-E93</f>
        <v/>
      </c>
      <c r="H93" s="16">
        <f>Plan!I114</f>
        <v/>
      </c>
      <c r="I93" s="16">
        <f>Plan!O114</f>
        <v/>
      </c>
    </row>
    <row r="94">
      <c r="A94" s="8" t="n">
        <v>90</v>
      </c>
      <c r="B94" s="18" t="inlineStr">
        <is>
          <t>6.12</t>
        </is>
      </c>
      <c r="C94" s="35">
        <f>Plan!C69</f>
        <v/>
      </c>
      <c r="D94" s="8" t="n">
        <v>1</v>
      </c>
      <c r="E94" s="16">
        <f>Plan!J69</f>
        <v/>
      </c>
      <c r="F94" s="16">
        <f>Plan!K69</f>
        <v/>
      </c>
      <c r="G94" s="8">
        <f>F94-E94</f>
        <v/>
      </c>
      <c r="H94" s="16">
        <f>Plan!I69</f>
        <v/>
      </c>
      <c r="I94" s="16">
        <f>Plan!O69</f>
        <v/>
      </c>
    </row>
    <row r="95">
      <c r="A95" s="8" t="n">
        <v>91</v>
      </c>
      <c r="B95" s="18" t="inlineStr">
        <is>
          <t>6.35</t>
        </is>
      </c>
      <c r="C95" s="35">
        <f>Plan!C112</f>
        <v/>
      </c>
      <c r="D95" s="8" t="n">
        <v>1</v>
      </c>
      <c r="E95" s="16">
        <f>Plan!J112</f>
        <v/>
      </c>
      <c r="F95" s="16">
        <f>Plan!K112</f>
        <v/>
      </c>
      <c r="G95" s="8">
        <f>F95-E95</f>
        <v/>
      </c>
      <c r="H95" s="16">
        <f>Plan!I112</f>
        <v/>
      </c>
      <c r="I95" s="16">
        <f>Plan!O112</f>
        <v/>
      </c>
    </row>
    <row r="96">
      <c r="A96" s="8" t="n">
        <v>92</v>
      </c>
      <c r="B96" s="18" t="inlineStr">
        <is>
          <t>6.41</t>
        </is>
      </c>
      <c r="C96" s="35">
        <f>Plan!C124</f>
        <v/>
      </c>
      <c r="D96" s="8" t="n">
        <v>2</v>
      </c>
      <c r="E96" s="16">
        <f>Plan!J124</f>
        <v/>
      </c>
      <c r="F96" s="16">
        <f>Plan!K124</f>
        <v/>
      </c>
      <c r="G96" s="8">
        <f>F96-E96</f>
        <v/>
      </c>
      <c r="H96" s="16">
        <f>Plan!I124</f>
        <v/>
      </c>
      <c r="I96" s="16">
        <f>Plan!O124</f>
        <v/>
      </c>
    </row>
    <row r="97">
      <c r="A97" s="8" t="n">
        <v>93</v>
      </c>
      <c r="B97" s="18" t="inlineStr">
        <is>
          <t>4.8</t>
        </is>
      </c>
      <c r="C97" s="35">
        <f>Plan!C44</f>
        <v/>
      </c>
      <c r="D97" s="8" t="n">
        <v>4</v>
      </c>
      <c r="E97" s="16">
        <f>Plan!J44</f>
        <v/>
      </c>
      <c r="F97" s="16">
        <f>Plan!K44</f>
        <v/>
      </c>
      <c r="G97" s="8">
        <f>F97-E97</f>
        <v/>
      </c>
      <c r="H97" s="16">
        <f>Plan!I44</f>
        <v/>
      </c>
      <c r="I97" s="16">
        <f>Plan!O44</f>
        <v/>
      </c>
    </row>
    <row r="98">
      <c r="A98" s="8" t="n">
        <v>94</v>
      </c>
      <c r="B98" s="18" t="inlineStr">
        <is>
          <t>6.21</t>
        </is>
      </c>
      <c r="C98" s="35">
        <f>Plan!C82</f>
        <v/>
      </c>
      <c r="D98" s="8" t="n">
        <v>2</v>
      </c>
      <c r="E98" s="16">
        <f>Plan!J82</f>
        <v/>
      </c>
      <c r="F98" s="16">
        <f>Plan!K82</f>
        <v/>
      </c>
      <c r="G98" s="8">
        <f>F98-E98</f>
        <v/>
      </c>
      <c r="H98" s="16">
        <f>Plan!I82</f>
        <v/>
      </c>
      <c r="I98" s="16">
        <f>Plan!O82</f>
        <v/>
      </c>
    </row>
    <row r="99">
      <c r="A99" s="8" t="n">
        <v>95</v>
      </c>
      <c r="B99" s="18" t="inlineStr">
        <is>
          <t>6.30</t>
        </is>
      </c>
      <c r="C99" s="35">
        <f>Plan!C107</f>
        <v/>
      </c>
      <c r="D99" s="8" t="n">
        <v>1</v>
      </c>
      <c r="E99" s="16">
        <f>Plan!J107</f>
        <v/>
      </c>
      <c r="F99" s="16">
        <f>Plan!K107</f>
        <v/>
      </c>
      <c r="G99" s="8">
        <f>F99-E99</f>
        <v/>
      </c>
      <c r="H99" s="16">
        <f>Plan!I107</f>
        <v/>
      </c>
      <c r="I99" s="16">
        <f>Plan!O107</f>
        <v/>
      </c>
    </row>
    <row r="100">
      <c r="A100" s="8" t="n">
        <v>96</v>
      </c>
      <c r="B100" s="18" t="inlineStr">
        <is>
          <t>6.25</t>
        </is>
      </c>
      <c r="C100" s="35">
        <f>Plan!C89</f>
        <v/>
      </c>
      <c r="D100" s="8" t="n">
        <v>3</v>
      </c>
      <c r="E100" s="16">
        <f>Plan!J89</f>
        <v/>
      </c>
      <c r="F100" s="16">
        <f>Plan!K89</f>
        <v/>
      </c>
      <c r="G100" s="8">
        <f>F100-E100</f>
        <v/>
      </c>
      <c r="H100" s="16">
        <f>Plan!I89</f>
        <v/>
      </c>
      <c r="I100" s="16">
        <f>Plan!O89</f>
        <v/>
      </c>
    </row>
    <row r="101">
      <c r="A101" s="8" t="n">
        <v>97</v>
      </c>
      <c r="B101" s="18" t="inlineStr">
        <is>
          <t>4.9</t>
        </is>
      </c>
      <c r="C101" s="35">
        <f>Plan!C45</f>
        <v/>
      </c>
      <c r="D101" s="8" t="n">
        <v>2</v>
      </c>
      <c r="E101" s="16">
        <f>Plan!J45</f>
        <v/>
      </c>
      <c r="F101" s="16">
        <f>Plan!K45</f>
        <v/>
      </c>
      <c r="G101" s="8">
        <f>F101-E101</f>
        <v/>
      </c>
      <c r="H101" s="16">
        <f>Plan!I45</f>
        <v/>
      </c>
      <c r="I101" s="16">
        <f>Plan!O45</f>
        <v/>
      </c>
    </row>
    <row r="102">
      <c r="A102" s="8" t="n">
        <v>98</v>
      </c>
      <c r="B102" s="18" t="inlineStr">
        <is>
          <t>5.11</t>
        </is>
      </c>
      <c r="C102" s="35">
        <f>Plan!C84</f>
        <v/>
      </c>
      <c r="D102" s="8" t="n">
        <v>2</v>
      </c>
      <c r="E102" s="16">
        <f>Plan!J84</f>
        <v/>
      </c>
      <c r="F102" s="16">
        <f>Plan!K84</f>
        <v/>
      </c>
      <c r="G102" s="8">
        <f>F102-E102</f>
        <v/>
      </c>
      <c r="H102" s="16">
        <f>Plan!I84</f>
        <v/>
      </c>
      <c r="I102" s="16">
        <f>Plan!O84</f>
        <v/>
      </c>
    </row>
    <row r="103">
      <c r="A103" s="8" t="n">
        <v>99</v>
      </c>
      <c r="B103" s="18" t="inlineStr">
        <is>
          <t>6.5</t>
        </is>
      </c>
      <c r="C103" s="35">
        <f>Plan!C62</f>
        <v/>
      </c>
      <c r="D103" s="8" t="n">
        <v>5</v>
      </c>
      <c r="E103" s="16">
        <f>Plan!J62</f>
        <v/>
      </c>
      <c r="F103" s="16">
        <f>Plan!K62</f>
        <v/>
      </c>
      <c r="G103" s="8">
        <f>F103-E103</f>
        <v/>
      </c>
      <c r="H103" s="16">
        <f>Plan!I62</f>
        <v/>
      </c>
      <c r="I103" s="16">
        <f>Plan!O62</f>
        <v/>
      </c>
    </row>
    <row r="104">
      <c r="A104" s="8" t="n">
        <v>100</v>
      </c>
      <c r="B104" s="18" t="inlineStr">
        <is>
          <t>4.16</t>
        </is>
      </c>
      <c r="C104" s="35">
        <f>Plan!C90</f>
        <v/>
      </c>
      <c r="D104" s="8" t="n">
        <v>3</v>
      </c>
      <c r="E104" s="16">
        <f>Plan!J90</f>
        <v/>
      </c>
      <c r="F104" s="16">
        <f>Plan!K90</f>
        <v/>
      </c>
      <c r="G104" s="8">
        <f>F104-E104</f>
        <v/>
      </c>
      <c r="H104" s="16">
        <f>Plan!I90</f>
        <v/>
      </c>
      <c r="I104" s="16">
        <f>Plan!O90</f>
        <v/>
      </c>
    </row>
    <row r="105">
      <c r="A105" s="8" t="n">
        <v>101</v>
      </c>
      <c r="B105" s="18" t="inlineStr">
        <is>
          <t>5.7</t>
        </is>
      </c>
      <c r="C105" s="35">
        <f>Plan!C54</f>
        <v/>
      </c>
      <c r="D105" s="8" t="n">
        <v>3</v>
      </c>
      <c r="E105" s="16">
        <f>Plan!J54</f>
        <v/>
      </c>
      <c r="F105" s="16">
        <f>Plan!K54</f>
        <v/>
      </c>
      <c r="G105" s="8">
        <f>F105-E105</f>
        <v/>
      </c>
      <c r="H105" s="16">
        <f>Plan!I54</f>
        <v/>
      </c>
      <c r="I105" s="16">
        <f>Plan!O54</f>
        <v/>
      </c>
    </row>
    <row r="106">
      <c r="A106" s="8" t="n">
        <v>102</v>
      </c>
      <c r="B106" s="18" t="inlineStr">
        <is>
          <t>5.8</t>
        </is>
      </c>
      <c r="C106" s="35">
        <f>Plan!C55</f>
        <v/>
      </c>
      <c r="D106" s="8" t="n">
        <v>1</v>
      </c>
      <c r="E106" s="16">
        <f>Plan!J55</f>
        <v/>
      </c>
      <c r="F106" s="16">
        <f>Plan!K55</f>
        <v/>
      </c>
      <c r="G106" s="8">
        <f>F106-E106</f>
        <v/>
      </c>
      <c r="H106" s="16">
        <f>Plan!I55</f>
        <v/>
      </c>
      <c r="I106" s="16">
        <f>Plan!O55</f>
        <v/>
      </c>
    </row>
    <row r="107">
      <c r="A107" s="8" t="n">
        <v>103</v>
      </c>
      <c r="B107" s="18" t="inlineStr">
        <is>
          <t>6.36</t>
        </is>
      </c>
      <c r="C107" s="35">
        <f>Plan!C113</f>
        <v/>
      </c>
      <c r="D107" s="8" t="n">
        <v>4</v>
      </c>
      <c r="E107" s="16">
        <f>Plan!J113</f>
        <v/>
      </c>
      <c r="F107" s="16">
        <f>Plan!K113</f>
        <v/>
      </c>
      <c r="G107" s="8">
        <f>F107-E107</f>
        <v/>
      </c>
      <c r="H107" s="16">
        <f>Plan!I113</f>
        <v/>
      </c>
      <c r="I107" s="16">
        <f>Plan!O113</f>
        <v/>
      </c>
    </row>
    <row r="108">
      <c r="A108" s="8" t="n">
        <v>104</v>
      </c>
      <c r="B108" s="18" t="inlineStr">
        <is>
          <t>6.39</t>
        </is>
      </c>
      <c r="C108" s="35">
        <f>Plan!C116</f>
        <v/>
      </c>
      <c r="D108" s="8" t="n">
        <v>3</v>
      </c>
      <c r="E108" s="16">
        <f>Plan!J116</f>
        <v/>
      </c>
      <c r="F108" s="16">
        <f>Plan!K116</f>
        <v/>
      </c>
      <c r="G108" s="8">
        <f>F108-E108</f>
        <v/>
      </c>
      <c r="H108" s="16">
        <f>Plan!I116</f>
        <v/>
      </c>
      <c r="I108" s="16">
        <f>Plan!O116</f>
        <v/>
      </c>
    </row>
    <row r="109">
      <c r="A109" s="8" t="n">
        <v>105</v>
      </c>
      <c r="B109" s="18" t="inlineStr">
        <is>
          <t>6.40</t>
        </is>
      </c>
      <c r="C109" s="35">
        <f>Plan!C117</f>
        <v/>
      </c>
      <c r="D109" s="8" t="n">
        <v>2</v>
      </c>
      <c r="E109" s="16">
        <f>Plan!J117</f>
        <v/>
      </c>
      <c r="F109" s="16">
        <f>Plan!K117</f>
        <v/>
      </c>
      <c r="G109" s="8">
        <f>F109-E109</f>
        <v/>
      </c>
      <c r="H109" s="16">
        <f>Plan!I117</f>
        <v/>
      </c>
      <c r="I109" s="16">
        <f>Plan!O117</f>
        <v/>
      </c>
    </row>
    <row r="110">
      <c r="A110" s="8" t="n">
        <v>106</v>
      </c>
      <c r="B110" s="18" t="inlineStr">
        <is>
          <t>2.13</t>
        </is>
      </c>
      <c r="C110" s="35">
        <f>Plan!C25</f>
        <v/>
      </c>
      <c r="D110" s="8" t="n">
        <v>1</v>
      </c>
      <c r="E110" s="16">
        <f>Plan!J25</f>
        <v/>
      </c>
      <c r="F110" s="16">
        <f>Plan!K25</f>
        <v/>
      </c>
      <c r="G110" s="8">
        <f>F110-E110</f>
        <v/>
      </c>
      <c r="H110" s="16">
        <f>Plan!I25</f>
        <v/>
      </c>
      <c r="I110" s="16">
        <f>Plan!O25</f>
        <v/>
      </c>
    </row>
    <row r="111">
      <c r="A111" s="8" t="n">
        <v>107</v>
      </c>
      <c r="B111" s="18" t="inlineStr">
        <is>
          <t>6.15</t>
        </is>
      </c>
      <c r="C111" s="35">
        <f>Plan!C72</f>
        <v/>
      </c>
      <c r="D111" s="8" t="n">
        <v>1</v>
      </c>
      <c r="E111" s="16">
        <f>Plan!J72</f>
        <v/>
      </c>
      <c r="F111" s="16">
        <f>Plan!K72</f>
        <v/>
      </c>
      <c r="G111" s="8">
        <f>F111-E111</f>
        <v/>
      </c>
      <c r="H111" s="16">
        <f>Plan!I72</f>
        <v/>
      </c>
      <c r="I111" s="16">
        <f>Plan!O72</f>
        <v/>
      </c>
    </row>
    <row r="112">
      <c r="A112" s="8" t="n">
        <v>108</v>
      </c>
      <c r="B112" s="18" t="inlineStr">
        <is>
          <t>5.16</t>
        </is>
      </c>
      <c r="C112" s="35">
        <f>Plan!C97</f>
        <v/>
      </c>
      <c r="D112" s="8" t="n">
        <v>2</v>
      </c>
      <c r="E112" s="16">
        <f>Plan!J97</f>
        <v/>
      </c>
      <c r="F112" s="16">
        <f>Plan!K97</f>
        <v/>
      </c>
      <c r="G112" s="8">
        <f>F112-E112</f>
        <v/>
      </c>
      <c r="H112" s="16">
        <f>Plan!I97</f>
        <v/>
      </c>
      <c r="I112" s="16">
        <f>Plan!O97</f>
        <v/>
      </c>
    </row>
    <row r="113">
      <c r="A113" s="8" t="n">
        <v>109</v>
      </c>
      <c r="B113" s="18" t="inlineStr">
        <is>
          <t>5.13</t>
        </is>
      </c>
      <c r="C113" s="35">
        <f>Plan!C86</f>
        <v/>
      </c>
      <c r="D113" s="8" t="n">
        <v>1</v>
      </c>
      <c r="E113" s="16">
        <f>Plan!J86</f>
        <v/>
      </c>
      <c r="F113" s="16">
        <f>Plan!K86</f>
        <v/>
      </c>
      <c r="G113" s="8">
        <f>F113-E113</f>
        <v/>
      </c>
      <c r="H113" s="16">
        <f>Plan!I86</f>
        <v/>
      </c>
      <c r="I113" s="16">
        <f>Plan!O86</f>
        <v/>
      </c>
    </row>
    <row r="114">
      <c r="A114" s="8" t="n">
        <v>110</v>
      </c>
      <c r="B114" s="18" t="inlineStr">
        <is>
          <t>6.24</t>
        </is>
      </c>
      <c r="C114" s="35">
        <f>Plan!C88</f>
        <v/>
      </c>
      <c r="D114" s="8" t="n">
        <v>1</v>
      </c>
      <c r="E114" s="16">
        <f>Plan!J88</f>
        <v/>
      </c>
      <c r="F114" s="16">
        <f>Plan!K88</f>
        <v/>
      </c>
      <c r="G114" s="8">
        <f>F114-E114</f>
        <v/>
      </c>
      <c r="H114" s="16">
        <f>Plan!I88</f>
        <v/>
      </c>
      <c r="I114" s="16">
        <f>Plan!O88</f>
        <v/>
      </c>
    </row>
    <row r="115">
      <c r="A115" s="8" t="n">
        <v>111</v>
      </c>
      <c r="B115" s="18" t="inlineStr">
        <is>
          <t>6.27</t>
        </is>
      </c>
      <c r="C115" s="35">
        <f>Plan!C100</f>
        <v/>
      </c>
      <c r="D115" s="8" t="n">
        <v>2</v>
      </c>
      <c r="E115" s="16">
        <f>Plan!J100</f>
        <v/>
      </c>
      <c r="F115" s="16">
        <f>Plan!K100</f>
        <v/>
      </c>
      <c r="G115" s="8">
        <f>F115-E115</f>
        <v/>
      </c>
      <c r="H115" s="16">
        <f>Plan!I100</f>
        <v/>
      </c>
      <c r="I115" s="16">
        <f>Plan!O100</f>
        <v/>
      </c>
    </row>
    <row r="116">
      <c r="A116" s="8" t="n">
        <v>112</v>
      </c>
      <c r="B116" s="18" t="inlineStr">
        <is>
          <t>6.29</t>
        </is>
      </c>
      <c r="C116" s="35">
        <f>Plan!C102</f>
        <v/>
      </c>
      <c r="D116" s="8" t="n">
        <v>1</v>
      </c>
      <c r="E116" s="16">
        <f>Plan!J102</f>
        <v/>
      </c>
      <c r="F116" s="16">
        <f>Plan!K102</f>
        <v/>
      </c>
      <c r="G116" s="8">
        <f>F116-E116</f>
        <v/>
      </c>
      <c r="H116" s="16">
        <f>Plan!I102</f>
        <v/>
      </c>
      <c r="I116" s="16">
        <f>Plan!O102</f>
        <v/>
      </c>
    </row>
    <row r="117">
      <c r="A117" s="8" t="n">
        <v>113</v>
      </c>
      <c r="B117" s="18" t="inlineStr">
        <is>
          <t>4.22</t>
        </is>
      </c>
      <c r="C117" s="35">
        <f>Plan!C104</f>
        <v/>
      </c>
      <c r="D117" s="8" t="n">
        <v>1</v>
      </c>
      <c r="E117" s="16">
        <f>Plan!J104</f>
        <v/>
      </c>
      <c r="F117" s="16">
        <f>Plan!K104</f>
        <v/>
      </c>
      <c r="G117" s="8">
        <f>F117-E117</f>
        <v/>
      </c>
      <c r="H117" s="16">
        <f>Plan!I104</f>
        <v/>
      </c>
      <c r="I117" s="16">
        <f>Plan!O104</f>
        <v/>
      </c>
    </row>
    <row r="118">
      <c r="A118" s="8" t="n">
        <v>114</v>
      </c>
      <c r="B118" s="18" t="inlineStr">
        <is>
          <t>6.38</t>
        </is>
      </c>
      <c r="C118" s="35">
        <f>Plan!C115</f>
        <v/>
      </c>
      <c r="D118" s="8" t="n">
        <v>1</v>
      </c>
      <c r="E118" s="16">
        <f>Plan!J115</f>
        <v/>
      </c>
      <c r="F118" s="16">
        <f>Plan!K115</f>
        <v/>
      </c>
      <c r="G118" s="8">
        <f>F118-E118</f>
        <v/>
      </c>
      <c r="H118" s="16">
        <f>Plan!I115</f>
        <v/>
      </c>
      <c r="I118" s="16">
        <f>Plan!O115</f>
        <v/>
      </c>
    </row>
    <row r="119">
      <c r="A119" s="8" t="n">
        <v>115</v>
      </c>
      <c r="B119" s="18" t="inlineStr">
        <is>
          <t>6.23</t>
        </is>
      </c>
      <c r="C119" s="35">
        <f>Plan!C87</f>
        <v/>
      </c>
      <c r="D119" s="8" t="n">
        <v>1</v>
      </c>
      <c r="E119" s="16">
        <f>Plan!J87</f>
        <v/>
      </c>
      <c r="F119" s="16">
        <f>Plan!K87</f>
        <v/>
      </c>
      <c r="G119" s="8">
        <f>F119-E119</f>
        <v/>
      </c>
      <c r="H119" s="16">
        <f>Plan!I87</f>
        <v/>
      </c>
      <c r="I119" s="16">
        <f>Plan!O87</f>
        <v/>
      </c>
    </row>
    <row r="120">
      <c r="A120" s="8" t="n">
        <v>116</v>
      </c>
      <c r="B120" s="18" t="inlineStr">
        <is>
          <t>6.14</t>
        </is>
      </c>
      <c r="C120" s="35">
        <f>Plan!C71</f>
        <v/>
      </c>
      <c r="D120" s="8" t="n">
        <v>1</v>
      </c>
      <c r="E120" s="16">
        <f>Plan!J71</f>
        <v/>
      </c>
      <c r="F120" s="16">
        <f>Plan!K71</f>
        <v/>
      </c>
      <c r="G120" s="8">
        <f>F120-E120</f>
        <v/>
      </c>
      <c r="H120" s="16">
        <f>Plan!I71</f>
        <v/>
      </c>
      <c r="I120" s="16">
        <f>Plan!O71</f>
        <v/>
      </c>
    </row>
    <row r="121">
      <c r="A121" s="8" t="n">
        <v>117</v>
      </c>
      <c r="B121" s="18" t="inlineStr">
        <is>
          <t>6.7</t>
        </is>
      </c>
      <c r="C121" s="35">
        <f>Plan!C64</f>
        <v/>
      </c>
      <c r="D121" s="8" t="n">
        <v>1</v>
      </c>
      <c r="E121" s="16">
        <f>Plan!J64</f>
        <v/>
      </c>
      <c r="F121" s="16">
        <f>Plan!K64</f>
        <v/>
      </c>
      <c r="G121" s="8">
        <f>F121-E121</f>
        <v/>
      </c>
      <c r="H121" s="16">
        <f>Plan!I64</f>
        <v/>
      </c>
      <c r="I121" s="16">
        <f>Plan!O64</f>
        <v/>
      </c>
    </row>
    <row r="122">
      <c r="A122" s="8" t="n">
        <v>118</v>
      </c>
      <c r="B122" s="18" t="inlineStr">
        <is>
          <t>6.43</t>
        </is>
      </c>
      <c r="C122" s="35">
        <f>Plan!C125</f>
        <v/>
      </c>
      <c r="D122" s="8" t="n">
        <v>1</v>
      </c>
      <c r="E122" s="16">
        <f>Plan!J125</f>
        <v/>
      </c>
      <c r="F122" s="16">
        <f>Plan!K125</f>
        <v/>
      </c>
      <c r="G122" s="8">
        <f>F122-E122</f>
        <v/>
      </c>
      <c r="H122" s="16">
        <f>Plan!I125</f>
        <v/>
      </c>
      <c r="I122" s="16">
        <f>Plan!O125</f>
        <v/>
      </c>
    </row>
    <row r="123">
      <c r="A123" s="8" t="n">
        <v>119</v>
      </c>
      <c r="B123" s="18" t="inlineStr">
        <is>
          <t>2.17</t>
        </is>
      </c>
      <c r="C123" s="35">
        <f>Plan!C123</f>
        <v/>
      </c>
      <c r="D123" s="8" t="n">
        <v>4</v>
      </c>
      <c r="E123" s="16">
        <f>Plan!J123</f>
        <v/>
      </c>
      <c r="F123" s="16">
        <f>Plan!K123</f>
        <v/>
      </c>
      <c r="G123" s="8">
        <f>F123-E123</f>
        <v/>
      </c>
      <c r="H123" s="16">
        <f>Plan!I123</f>
        <v/>
      </c>
      <c r="I123" s="16">
        <f>Plan!O123</f>
        <v/>
      </c>
    </row>
    <row r="124">
      <c r="A124" s="8" t="n">
        <v>120</v>
      </c>
      <c r="B124" s="18" t="inlineStr">
        <is>
          <t>5.3</t>
        </is>
      </c>
      <c r="C124" s="35">
        <f>Plan!C50</f>
        <v/>
      </c>
      <c r="D124" s="8" t="n">
        <v>2</v>
      </c>
      <c r="E124" s="16">
        <f>Plan!J50</f>
        <v/>
      </c>
      <c r="F124" s="16">
        <f>Plan!K50</f>
        <v/>
      </c>
      <c r="G124" s="8">
        <f>F124-E124</f>
        <v/>
      </c>
      <c r="H124" s="16">
        <f>Plan!I50</f>
        <v/>
      </c>
      <c r="I124" s="16">
        <f>Plan!O50</f>
        <v/>
      </c>
    </row>
    <row r="125">
      <c r="A125" s="8" t="n">
        <v>121</v>
      </c>
      <c r="B125" s="18" t="inlineStr">
        <is>
          <t>6.42</t>
        </is>
      </c>
      <c r="C125" s="35">
        <f>Plan!C126</f>
        <v/>
      </c>
      <c r="D125" s="8" t="n">
        <v>3</v>
      </c>
      <c r="E125" s="16">
        <f>Plan!J126</f>
        <v/>
      </c>
      <c r="F125" s="16">
        <f>Plan!K126</f>
        <v/>
      </c>
      <c r="G125" s="8">
        <f>F125-E125</f>
        <v/>
      </c>
      <c r="H125" s="16">
        <f>Plan!I126</f>
        <v/>
      </c>
      <c r="I125" s="16">
        <f>Plan!O126</f>
        <v/>
      </c>
    </row>
    <row r="126">
      <c r="A126" s="8" t="n">
        <v>122</v>
      </c>
      <c r="B126" s="18" t="inlineStr">
        <is>
          <t>6.6</t>
        </is>
      </c>
      <c r="C126" s="35">
        <f>Plan!C63</f>
        <v/>
      </c>
      <c r="D126" s="8" t="n">
        <v>3</v>
      </c>
      <c r="E126" s="16">
        <f>Plan!J63</f>
        <v/>
      </c>
      <c r="F126" s="16">
        <f>Plan!K63</f>
        <v/>
      </c>
      <c r="G126" s="8">
        <f>F126-E126</f>
        <v/>
      </c>
      <c r="H126" s="16">
        <f>Plan!I63</f>
        <v/>
      </c>
      <c r="I126" s="16">
        <f>Plan!O63</f>
        <v/>
      </c>
    </row>
    <row r="128">
      <c r="B128" s="3" t="inlineStr">
        <is>
          <t>Estadísticas de la cola</t>
        </is>
      </c>
    </row>
    <row r="129">
      <c r="B129" s="23" t="inlineStr">
        <is>
          <t>Fila</t>
        </is>
      </c>
      <c r="C129" s="23" t="inlineStr">
        <is>
          <t>Actividades</t>
        </is>
      </c>
      <c r="D129" s="23" t="inlineStr">
        <is>
          <t>Bloques ocupados</t>
        </is>
      </c>
      <c r="E129" s="23" t="inlineStr">
        <is>
          <t>Uso</t>
        </is>
      </c>
      <c r="F129" s="23" t="inlineStr">
        <is>
          <t>Espera promedio</t>
        </is>
      </c>
    </row>
    <row r="130">
      <c r="B130" s="18" t="inlineStr">
        <is>
          <t>A</t>
        </is>
      </c>
      <c r="C130" s="15">
        <f>COUNTIF($H$5:$H$126,B130)</f>
        <v/>
      </c>
      <c r="D130" s="15">
        <f>SUMIF(Plan!$I$5:$I$126,B130,Plan!$E$5:$E$126)</f>
        <v/>
      </c>
      <c r="E130" s="36">
        <f>IF(Resumen!$C$17=0,0,D130/Resumen!$C$17)</f>
        <v/>
      </c>
      <c r="F130" s="37">
        <f>IFERROR(AVERAGEIF($H$5:$H$126,B130,$G$5:$G$126),0)</f>
        <v/>
      </c>
    </row>
    <row r="131">
      <c r="B131" s="18" t="inlineStr">
        <is>
          <t>B</t>
        </is>
      </c>
      <c r="C131" s="15">
        <f>COUNTIF($H$5:$H$126,B131)</f>
        <v/>
      </c>
      <c r="D131" s="15">
        <f>SUMIF(Plan!$I$5:$I$126,B131,Plan!$E$5:$E$126)</f>
        <v/>
      </c>
      <c r="E131" s="36">
        <f>IF(Resumen!$C$17=0,0,D131/Resumen!$C$17)</f>
        <v/>
      </c>
      <c r="F131" s="37">
        <f>IFERROR(AVERAGEIF($H$5:$H$126,B131,$G$5:$G$126),0)</f>
        <v/>
      </c>
    </row>
    <row r="132">
      <c r="B132" s="18" t="inlineStr">
        <is>
          <t>A+B</t>
        </is>
      </c>
      <c r="C132" s="15">
        <f>COUNTIF($H$5:$H$126,B132)</f>
        <v/>
      </c>
      <c r="D132" s="15">
        <f>SUMIF(Plan!$I$5:$I$126,B132,Plan!$E$5:$E$126)</f>
        <v/>
      </c>
      <c r="E132" s="36">
        <f>IF(Resumen!$C$17=0,0,D132/Resumen!$C$17)</f>
        <v/>
      </c>
      <c r="F132" s="37">
        <f>IFERROR(AVERAGEIF($H$5:$H$126,B132,$G$5:$G$126),0)</f>
        <v/>
      </c>
    </row>
    <row r="133">
      <c r="B133" s="19" t="inlineStr">
        <is>
          <t>Total</t>
        </is>
      </c>
      <c r="C133" s="9">
        <f>SUM(C130:C132)</f>
        <v/>
      </c>
      <c r="F133" s="11">
        <f>AVERAGE($G$5:$G$126)</f>
        <v/>
      </c>
    </row>
  </sheetData>
  <conditionalFormatting sqref="I5:I126">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26">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COUNTIF(Plan!$D$5:$D$126,A5)</f>
        <v/>
      </c>
    </row>
    <row r="6">
      <c r="A6" s="18" t="n">
        <v>2</v>
      </c>
      <c r="B6" s="4" t="inlineStr">
        <is>
          <t>Baja</t>
        </is>
      </c>
      <c r="C6" s="8" t="n">
        <v>2</v>
      </c>
      <c r="D6" s="4" t="inlineStr">
        <is>
          <t>1 jornada</t>
        </is>
      </c>
      <c r="E6" s="7" t="inlineStr">
        <is>
          <t>SMTP con Resend; proteger /cuenta en proxy.ts</t>
        </is>
      </c>
      <c r="F6" s="15">
        <f>COUNTIF(Plan!$D$5:$D$126,A6)</f>
        <v/>
      </c>
    </row>
    <row r="7">
      <c r="A7" s="18" t="n">
        <v>3</v>
      </c>
      <c r="B7" s="4" t="inlineStr">
        <is>
          <t>Media</t>
        </is>
      </c>
      <c r="C7" s="8" t="n">
        <v>3</v>
      </c>
      <c r="D7" s="4" t="inlineStr">
        <is>
          <t>1,5 jornadas</t>
        </is>
      </c>
      <c r="E7" s="7" t="inlineStr">
        <is>
          <t>Verificación del código OTP; /cuenta con datos reales</t>
        </is>
      </c>
      <c r="F7" s="15">
        <f>COUNTIF(Plan!$D$5:$D$126,A7)</f>
        <v/>
      </c>
    </row>
    <row r="8">
      <c r="A8" s="18" t="n">
        <v>4</v>
      </c>
      <c r="B8" s="4" t="inlineStr">
        <is>
          <t>Alta</t>
        </is>
      </c>
      <c r="C8" s="8" t="n">
        <v>4</v>
      </c>
      <c r="D8" s="4" t="inlineStr">
        <is>
          <t>2 jornadas</t>
        </is>
      </c>
      <c r="E8" s="7" t="inlineStr">
        <is>
          <t>Panel /admin; afiliación con Resend; importar asociados</t>
        </is>
      </c>
      <c r="F8" s="15">
        <f>COUNTIF(Plan!$D$5:$D$126,A8)</f>
        <v/>
      </c>
    </row>
    <row r="9">
      <c r="A9" s="18" t="n">
        <v>5</v>
      </c>
      <c r="B9" s="4" t="inlineStr">
        <is>
          <t>Muy alta</t>
        </is>
      </c>
      <c r="C9" s="8" t="n">
        <v>5</v>
      </c>
      <c r="D9" s="4" t="inlineStr">
        <is>
          <t>2,5 jornadas o más</t>
        </is>
      </c>
      <c r="E9" s="7" t="inlineStr">
        <is>
          <t>Reservado para trabajos que conviene partir en dos</t>
        </is>
      </c>
      <c r="F9" s="15">
        <f>COUNTIF(Plan!$D$5:$D$126,A9)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2"/>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2026-10-22</t>
        </is>
      </c>
      <c r="B5" s="4" t="inlineStr">
        <is>
          <t>sesión principal</t>
        </is>
      </c>
      <c r="C5" s="8" t="inlineStr">
        <is>
          <t>4.23, 4.25, 6.41, 6.43, 2.17 (P-143, P-144)</t>
        </is>
      </c>
      <c r="D5" s="7" t="inlineStr">
        <is>
          <t>Migración 20261018100000 aplicada; 4.23, 4.25 y 6.41 Hecho; merge a develop; respaldos y logos.rar fuera del repo</t>
        </is>
      </c>
      <c r="E5" s="7" t="inlineStr">
        <is>
          <t>migration list --linked confirma 20261018100000 en producción. Commit e0cbe5a en avance-pendientes, merge en develop y push. Los respaldo-*.sql pasaron a ../backups/2026-10-02 y public/logos.rar (solo logos públicos) a la carpeta de la cooperativa. P-143 queda En curso solo con la selfie en celular real (2.17). Nueva actividad 6.43 y pendiente P-144 (Sebas): abrir y fusionar el PR develop → main para desplegar, porque gh no está instalado y la API quedó bloqueada por permisos.</t>
        </is>
      </c>
    </row>
    <row r="6">
      <c r="A6" s="8" t="inlineStr">
        <is>
          <t>2026-10-18</t>
        </is>
      </c>
      <c r="B6" s="4" t="inlineStr">
        <is>
          <t>ga-verificador-qa</t>
        </is>
      </c>
      <c r="C6" s="8" t="inlineStr">
        <is>
          <t>3.11, 2.16, 4.24, 4.25, 4.23, 2.17, 6.42</t>
        </is>
      </c>
      <c r="D6" s="7" t="inlineStr">
        <is>
          <t>QA e2e: 395 en verde, spec r-cambios-18oct (19 pruebas), hallazgos F1 y F2</t>
        </is>
      </c>
      <c r="E6" s="7" t="inlineStr">
        <is>
          <t>Sin regresiones (47 omitidas, 0 fallan). 3.11 pasa a Hecho. F1 (desplegable Entidad de Editar datos se reiniciaba) medio, corregido por la sesión principal con onSubmit+startTransition y spec en verde en escritorio y celular. F2 (URL en /cuenta durante la pausa) bajo, aceptado. La selfie con cámara real de celular no se pudo probar: 2.17 sigue En curso.</t>
        </is>
      </c>
    </row>
    <row r="7">
      <c r="A7" s="8" t="inlineStr">
        <is>
          <t>2026-10-18</t>
        </is>
      </c>
      <c r="B7" s="4" t="inlineStr">
        <is>
          <t>sesión principal</t>
        </is>
      </c>
      <c r="C7" s="8" t="inlineStr">
        <is>
          <t>2.16, 4.24, 4.25, 4.23, 6.41, 6.42, 3.11 (P-141, P-142, P-143)</t>
        </is>
      </c>
      <c r="D7" s="7" t="inlineStr">
        <is>
          <t>Migraciones 20261014000000 y 20261018000000 aplicadas; pgTAP 870 en verde; hallazgos de seguridad corregidos</t>
        </is>
      </c>
      <c r="E7" s="7" t="inlineStr">
        <is>
          <t>Sebas aplicó las dos migraciones. 2.16 y 4.24 pasan a Hecho. Se corrigieron RS-A1, M1, M2, M3, M4, B2 (B3 aceptado); nueva migración 20261018100000 (RPC admin_editar_datos_asociado, historial, trigger) y pgTAP 34 con 16 casos; vitest 773 y build en verde. 4.23 y 4.25 quedan En curso hasta aplicar 20261018100000. 6.41 ahora cubre tres migraciones y sigue En curso. P-141 y P-142 Hecho; nuevo P-143 (Sebas): aplicar la migración, sacar respaldo-*.sql y revisar public/logos.rar. Pendiente opcional: avisar por correo al asociado cuando cambian su correo institucional o nómina (ga-correos).</t>
        </is>
      </c>
    </row>
    <row r="8">
      <c r="A8" s="8" t="inlineStr">
        <is>
          <t>2026-10-18</t>
        </is>
      </c>
      <c r="B8" s="4" t="inlineStr">
        <is>
          <t>ga-revisor-seguridad</t>
        </is>
      </c>
      <c r="C8" s="8" t="inlineStr">
        <is>
          <t>6.42</t>
        </is>
      </c>
      <c r="D8" s="7" t="inlineStr">
        <is>
          <t>Revisión de seguridad de los cambios sin commit: sin críticos</t>
        </is>
      </c>
      <c r="E8" s="7" t="inlineStr">
        <is>
          <t>1 alto (respaldos con datos personales sin ignorar), 4 medios (pausa saltable, correo institucional sin aviso, regla propio/clientes solo en la app, logos.rar publicado) y 3 bajos. npm audit: 0 vulnerabilidades. Atendidos por la sesión principal.</t>
        </is>
      </c>
    </row>
    <row r="9">
      <c r="A9" s="8" t="inlineStr">
        <is>
          <t>2026-10-18</t>
        </is>
      </c>
      <c r="B9" s="4" t="inlineStr">
        <is>
          <t>sesión principal</t>
        </is>
      </c>
      <c r="C9" s="8" t="inlineStr">
        <is>
          <t>4.24, 4.25, 3.11, 2.17, 6.41, 6.42 (P-142)</t>
        </is>
      </c>
      <c r="D9" s="7" t="inlineStr">
        <is>
          <t>Pausa del ingreso, avisos, botón de WhatsApp y selfie con perfil propio: código listo, migración sin aplicar</t>
        </is>
      </c>
      <c r="E9" s="7" t="inlineStr">
        <is>
          <t>Nuevos 4.24 (pausa en /admin/plataforma, proxy.ts, /cuenta-pausada, historial), 4.25 (avisos una vez al entrar a /cuenta, con conteo y retiro), 3.11 (botón flotante de WhatsApp) y 2.17 (selfie con perfil propio y cámara HD; antes casi toda selfie salía dudosa por usar umbrales de la cédula). Migración 20261018000000 y pgTAP 33 (18 casos). vitest 773, tsc, lint y build en verde; entregables y PDF actualizados. Todas En curso. 6.41 ahora cubre ambas migraciones (20261014000000 y 20261018000000) y depende de 4.24 y 4.25; 6.42 (peso 2 a 3, razón: suma cuatro funciones nuevas) depende de todas. Nuevo P-142. Falta probar la selfie en un celular real.</t>
        </is>
      </c>
    </row>
    <row r="10">
      <c r="A10" s="8" t="inlineStr">
        <is>
          <t>2026-10-14</t>
        </is>
      </c>
      <c r="B10" s="4" t="inlineStr">
        <is>
          <t>sesión principal</t>
        </is>
      </c>
      <c r="C10" s="8" t="inlineStr">
        <is>
          <t>4.23, 2.16, 6.41, 6.42 (P-141)</t>
        </is>
      </c>
      <c r="D10" s="7" t="inlineStr">
        <is>
          <t>Editar datos del asociado y Afiliación sin repetidos: código listo, migración sin aplicar</t>
        </is>
      </c>
      <c r="E10" s="7" t="inlineStr">
        <is>
          <t>Nuevo 4.23: en /admin/asociados/[id], sección «Datos del asociado» con «Editar datos» (solo admin; no a uno mismo ni a sus clientes; 30 cambios por hora; el registro guarda los campos cambiados); 6 pruebas unitarias, vitest 769 en verde. Nuevo 2.16: migración 20261014000000 con trigger que rechaza (23505) afiliaciones con cédula o correo personal o institucional ya con cuenta o solicitud pendiente o contactada; el formulario responde igual que un envío exitoso (S-06); pgTAP 32 (10 casos); al aprobar, mensaje claro si el correo ya existe en Auth. Ambas En curso. Nuevo 6.41 (Sebas aplica la migración y se corre pgTAP; Docker no corría) y 6.42 (revisión de seguridad y QA). Nuevo P-141.</t>
        </is>
      </c>
    </row>
    <row r="11">
      <c r="A11" s="8" t="inlineStr">
        <is>
          <t>2026-10-09</t>
        </is>
      </c>
      <c r="B11" s="4" t="inlineStr">
        <is>
          <t>sesión principal</t>
        </is>
      </c>
      <c r="C11" s="8" t="inlineStr">
        <is>
          <t>6.12 (P-54)</t>
        </is>
      </c>
      <c r="D11" s="7" t="inlineStr">
        <is>
          <t>Alerta del límite de intentos resuelta desde el cron, no desde Vercel</t>
        </is>
      </c>
      <c r="E11" s="7" t="inlineStr">
        <is>
          <t>Vercel Pro sin Observability Plus no permite alertas por texto del log. El cron horario /api/cron/limpiar-fotos revisa el límite (lib/servidor/saludLimite.ts): LIMITE_HMAC_SECRET y conteo de intentos; si falla registra salud_limite_fallo y envía un correo diario a las 8 a. m. de Bogotá a ALERTA_TECNICA_CORREOS o soporte@greenallianceco.com. Documentado en documentacion-tecnica. 763 unitarias, tsc, lint y build en verde. Falta desplegar (Sebas); opcional crear ALERTA_TECNICA_CORREOS en Vercel.</t>
        </is>
      </c>
    </row>
    <row r="12">
      <c r="A12" s="8" t="inlineStr">
        <is>
          <t>2026-10-09</t>
        </is>
      </c>
      <c r="B12" s="4" t="inlineStr">
        <is>
          <t>ga-supervisor-avances</t>
        </is>
      </c>
      <c r="C12" s="8" t="inlineStr">
        <is>
          <t>5.4, 5.11, 6.1, 6.2, 6.3, 6.5, 6.15, 6.29, 6.7, 6.14, 6.6, 5.3 (P-37, P-42, P-58, P-70, P-81, P-106, P-108, P-111, P-118 a P-122, P-125, P-140)</t>
        </is>
      </c>
      <c r="D12" s="7" t="inlineStr">
        <is>
          <t>Limpieza del plan pedida por Sebas: se cierran tareas ya hechas</t>
        </is>
      </c>
      <c r="E12" s="7" t="inlineStr">
        <is>
          <t>Hecho: 5.4 (la página /politica-de-datos existe; la revisión del abogado sigue aparte en P-81), 5.11 (premios de asesores 50 y 100, migración 20261002100000), 6.1 (755 pruebas unitarias en verde), 6.2 (revisión de seguridad del 8-oct con hallazgos corregidos y en producción), 6.3 (e2e escritorio y celular 395 pasaron, 0 fallos), 6.5 (desplegado en www.greenallianceco.com), 6.15 (e2e al día) y 6.29 (entrega final, acta y último pago, cerrada por Sebas hoy). En curso: 6.7 (capacitación por Ricardo), 6.14 (celulares reales) y 6.6 (usuarios reales, sigue durante la garantía). 5.3 queda Bloqueada esperando a la cooperativa (fotos, cifras, testimonios, sedes); 6.12 sigue Pendiente (Sebas). Pendientes cerrados: P-37, P-42, P-58, P-106, P-108, P-111, P-118, P-119, P-120, P-121, P-122, P-125. P-70 y P-81 pasan a En curso. Nuevo P-140: cómo se desactiva o baja de rol a un administrador. Para poder cerrar 6.3 se quitó su dependencia de 5.3, porque el contenido real de la cooperativa no impide el QA.</t>
        </is>
      </c>
    </row>
    <row r="13">
      <c r="A13" s="8" t="inlineStr">
        <is>
          <t>2026-10-09</t>
        </is>
      </c>
      <c r="B13" s="4" t="inlineStr">
        <is>
          <t>sesión principal</t>
        </is>
      </c>
      <c r="C13" s="8" t="inlineStr">
        <is>
          <t>6.38, 6.39, 6.40 (P-137, P-138, P-139)</t>
        </is>
      </c>
      <c r="D13" s="7" t="inlineStr">
        <is>
          <t>SVM activado, migración 20261009000000 aplicada y código desplegado</t>
        </is>
      </c>
      <c r="E13" s="7" t="inlineStr">
        <is>
          <t>Verificado en producción: migración remota aplicada y landing sin números de convenios (6 convenios con whatsapp null; solo queda el WhatsApp de la cooperativa). Pruebas: pgTAP desde cero 32 archivos, 826 PASS; e2e escritorio y celular 395 pasaron, 47 omitidas a propósito por proyecto y 0 fallos (39,9 min); unitarias 755 en verde.</t>
        </is>
      </c>
    </row>
    <row r="14">
      <c r="A14" s="8" t="inlineStr">
        <is>
          <t>2026-10-09</t>
        </is>
      </c>
      <c r="B14" s="4" t="inlineStr">
        <is>
          <t>sesión principal</t>
        </is>
      </c>
      <c r="C14" s="8" t="inlineStr">
        <is>
          <t>6.27, 6.28, 6.32 a 6.37, 6.39, 6.40, P-116, P-117, P-126 a P-139</t>
        </is>
      </c>
      <c r="D14" s="7" t="inlineStr">
        <is>
          <t>Hallazgos de seguridad cerrados en código; Sebas cerró 4 pendientes</t>
        </is>
      </c>
      <c r="E14" s="7" t="inlineStr">
        <is>
          <t>Sebas hizo P-116, P-117, P-135 y P-136. Hechos en código P-126, P-127, P-128, P-130 a P-134 (H-09 rehecho con fotos_carne_huerfanas; npm audit fix con 0 vulnerabilidades en producción; 755 unitarias, tsc, lint y build verdes; pgTAP y e2e sin correr por SVM). P-129 (H-04) cerrado por riesgo aceptado. Nuevos pendientes de Sebas: aplicar 20261009000000 (P-138, 6.39) y desplegar junto (P-139, 6.40). P-137 (SVM) sigue pendiente.</t>
        </is>
      </c>
    </row>
    <row r="15">
      <c r="A15" s="8" t="inlineStr">
        <is>
          <t>2026-10-09</t>
        </is>
      </c>
      <c r="B15" s="4" t="inlineStr">
        <is>
          <t>ga-funcionalidad-botones</t>
        </is>
      </c>
      <c r="C15" s="8" t="inlineStr">
        <is>
          <t>6.32, 6.33, 6.34, P-126, P-127, P-128, P-132, P-133, P-134</t>
        </is>
      </c>
      <c r="D15" s="7" t="inlineStr">
        <is>
          <t>Código de los hallazgos H-01, H-02, H-03, H-07, H-09 y H-10</t>
        </is>
      </c>
      <c r="E15" s="7" t="inlineStr">
        <is>
          <t>Su reporte decía todo hecho, pero H-09 estaba mal (listaba carpetas y leía una columna inexistente); prevalece el reporte de la sesión principal, que lo rehízo.</t>
        </is>
      </c>
    </row>
    <row r="16">
      <c r="A16" s="8" t="inlineStr">
        <is>
          <t>2026-10-09</t>
        </is>
      </c>
      <c r="B16" s="4" t="inlineStr">
        <is>
          <t>ga-auditor-supabase</t>
        </is>
      </c>
      <c r="C16" s="8" t="inlineStr">
        <is>
          <t>6.32, 6.33, 6.34, P-126, P-127, P-128, P-130, P-132</t>
        </is>
      </c>
      <c r="D16" s="7" t="inlineStr">
        <is>
          <t>Migración 20261009000000 y pruebas pgTAP escritas</t>
        </is>
      </c>
      <c r="E16" s="7" t="inlineStr">
        <is>
          <t>Anon sin telefono_contacto, cédula exacta en la búsqueda general, cambio de correo atado a la solicitud con espera de 10 min, hasta 3 recuperaciones pendientes por persona, no se desactiva a un admin. Pruebas 27 actualizada y 31 nueva; sin aplicar ni correr (Docker apagado).</t>
        </is>
      </c>
    </row>
    <row r="17">
      <c r="A17" s="8" t="inlineStr">
        <is>
          <t>2026-10-08</t>
        </is>
      </c>
      <c r="B17" s="4" t="inlineStr">
        <is>
          <t>sesión principal</t>
        </is>
      </c>
      <c r="C17" s="8" t="inlineStr">
        <is>
          <t>5.19, 6.29, 6.36 a 6.38, P-118, P-135 a P-137</t>
        </is>
      </c>
      <c r="D17" s="7" t="inlineStr">
        <is>
          <t>Demo con convenios reales, PP y fecha de entrega</t>
        </is>
      </c>
      <c r="E17" s="7" t="inlineStr">
        <is>
          <t>Demo con convenios reales, PP vuelve a ofrecerse (migración 20261008000000 sin aplicar), agentes un escalón abajo. Entrega final movida al viernes 9-oct; garantía 9-oct al 7-nov, soporte desde el 8-nov (6.26 y 6.29 actualizadas). Pendientes de Sebas: aplicar la migración, borrar 2 solicitudes de prueba, activar SVM para pgTAP y e2e.</t>
        </is>
      </c>
    </row>
    <row r="18">
      <c r="A18" s="8" t="inlineStr">
        <is>
          <t>2026-10-08</t>
        </is>
      </c>
      <c r="B18" s="4" t="inlineStr">
        <is>
          <t>ga-revisor-seguridad</t>
        </is>
      </c>
      <c r="C18" s="8" t="inlineStr">
        <is>
          <t>6.31, 6.32-6.35, P-126 a P-134</t>
        </is>
      </c>
      <c r="D18" s="7" t="inlineStr">
        <is>
          <t>Revisión de seguridad del 8-oct</t>
        </is>
      </c>
      <c r="E18" s="7" t="inlineStr">
        <is>
          <t>Sin críticos; 1 alta (H-01) y 5 medias. Se agregan H-01 a H-07 y H-09 a H-10 como pendientes (6.32 a 6.35). Severidad asignada por el conteo del reporte: H-01 alta; H-02 a H-06 media; H-07, H-09 y H-10 baja. H-04, H-05, H-07, H-09 y H-10 no traían descripción en el buzón.</t>
        </is>
      </c>
    </row>
    <row r="19">
      <c r="A19" s="8" t="inlineStr">
        <is>
          <t>2026-10-08</t>
        </is>
      </c>
      <c r="B19" s="4" t="inlineStr">
        <is>
          <t>ga-auditor-supabase</t>
        </is>
      </c>
      <c r="C19" s="8" t="inlineStr">
        <is>
          <t>6.30</t>
        </is>
      </c>
      <c r="D19" s="7" t="inlineStr">
        <is>
          <t>Migraciones resincronizadas con producción</t>
        </is>
      </c>
      <c r="E19" s="7" t="inlineStr">
        <is>
          <t>Reporte del 02-oct: 20261003000000/100000/200000 restauradas a lo aplicado y lo posterior en 20261003300000 (se suma a 6.27). pgTAP 799 PASS.</t>
        </is>
      </c>
    </row>
    <row r="20">
      <c r="A20" s="8" t="inlineStr">
        <is>
          <t>2026-10-08</t>
        </is>
      </c>
      <c r="B20" s="4" t="inlineStr">
        <is>
          <t>ga-funcionalidad-botones</t>
        </is>
      </c>
      <c r="C20" s="8" t="inlineStr">
        <is>
          <t>4.21</t>
        </is>
      </c>
      <c r="D20" s="7" t="inlineStr">
        <is>
          <t>Secretario ampliado e Historial del equipo</t>
        </is>
      </c>
      <c r="E20" s="7" t="inlineStr">
        <is>
          <t>Reporte del 02-oct: el secretario ve Asociados y Créditos en solo lectura; el admin desactiva y cambia el rol de secretarios con motivo; búsqueda con nombre del admin; nueva /admin/historial. pgTAP 29 (82), vitest 751, e2e en verde.</t>
        </is>
      </c>
    </row>
    <row r="21">
      <c r="A21" s="8" t="inlineStr">
        <is>
          <t>2026-10-08</t>
        </is>
      </c>
      <c r="B21" s="4" t="inlineStr">
        <is>
          <t>ga-funcionalidad-botones</t>
        </is>
      </c>
      <c r="C21" s="8" t="inlineStr">
        <is>
          <t>4.22</t>
        </is>
      </c>
      <c r="D21" s="7" t="inlineStr">
        <is>
          <t>Comprobantes 30 días</t>
        </is>
      </c>
      <c r="E21" s="7" t="inlineStr">
        <is>
          <t>Reporte del 02-oct: los comprobantes del eliminado se conservan 30 días y los borra /api/cron/limpiar-fotos; también los huérfanos de más de 24 h. pgTAP 28 (76), vitest y e2e ajustados.</t>
        </is>
      </c>
    </row>
    <row r="22">
      <c r="A22" s="8" t="inlineStr">
        <is>
          <t>2026-10-08</t>
        </is>
      </c>
      <c r="B22" s="4" t="inlineStr">
        <is>
          <t>ga-correos</t>
        </is>
      </c>
      <c r="C22" s="8" t="inlineStr">
        <is>
          <t>5.18</t>
        </is>
      </c>
      <c r="D22" s="7" t="inlineStr">
        <is>
          <t>5 plantillas de Resend nuevas</t>
        </is>
      </c>
      <c r="E22" s="7" t="inlineStr">
        <is>
          <t>Reporte del 02-oct: plantillas en docs/resend/ y guía con las 10 plantillas; COMPROBANTE viaja siempre. Sebas debe publicarlas y agregar las 5 RESEND_TEMPLATE_* en Vercel (6.28).</t>
        </is>
      </c>
    </row>
    <row r="23">
      <c r="A23" s="8" t="inlineStr">
        <is>
          <t>2026-10-02</t>
        </is>
      </c>
      <c r="B23" s="4" t="inlineStr">
        <is>
          <t>sesión principal</t>
        </is>
      </c>
      <c r="C23" s="8" t="inlineStr">
        <is>
          <t>6.25, 6.26, 6.27, 6.28, 6.29, P-114, P-115, P-116–P-125</t>
        </is>
      </c>
      <c r="D23" s="7" t="inlineStr">
        <is>
          <t>Todo en develop; contrato y garantía</t>
        </is>
      </c>
      <c r="E23" s="7" t="inlineStr">
        <is>
          <t>Todo fusionado en develop. Contrato diligenciado con anexos 2 y 3, garantía 7–21 oct y soporte $500.000/mes desde el 22. Pendiente de Sebas: 5 migraciones + develop→main, plantillas Resend, entrega y último pago el 7-oct.</t>
        </is>
      </c>
    </row>
    <row r="24">
      <c r="A24" s="8" t="inlineStr">
        <is>
          <t>2026-10-02</t>
        </is>
      </c>
      <c r="B24" s="4" t="inlineStr">
        <is>
          <t>ga-funcionalidad-botones</t>
        </is>
      </c>
      <c r="C24" s="8" t="inlineStr">
        <is>
          <t>5.15</t>
        </is>
      </c>
      <c r="D24" s="7" t="inlineStr">
        <is>
          <t>Foto del carné (20261003200000)</t>
        </is>
      </c>
      <c r="E24" s="7" t="inlineStr">
        <is>
          <t>Bucket fotos-carne, pgTAP 30, e2e q-foto-carne. Decisiones P-121 y P-122.</t>
        </is>
      </c>
    </row>
    <row r="25">
      <c r="A25" s="8" t="inlineStr">
        <is>
          <t>2026-10-02</t>
        </is>
      </c>
      <c r="B25" s="4" t="inlineStr">
        <is>
          <t>ga-funcionalidad-botones</t>
        </is>
      </c>
      <c r="C25" s="8" t="inlineStr">
        <is>
          <t>4.20</t>
        </is>
      </c>
      <c r="D25" s="7" t="inlineStr">
        <is>
          <t>Secretario y búsqueda general (20261003100000)</t>
        </is>
      </c>
      <c r="E25" s="7" t="inlineStr">
        <is>
          <t>pgTAP 29, e2e p-secretario-busqueda. Decisión P-119.</t>
        </is>
      </c>
    </row>
    <row r="26">
      <c r="A26" s="8" t="inlineStr">
        <is>
          <t>2026-10-02</t>
        </is>
      </c>
      <c r="B26" s="4" t="inlineStr">
        <is>
          <t>ga-funcionalidad-botones</t>
        </is>
      </c>
      <c r="C26" s="8" t="inlineStr">
        <is>
          <t>4.19</t>
        </is>
      </c>
      <c r="D26" s="7" t="inlineStr">
        <is>
          <t>Comprobante y eliminar definitivamente (20261003000000)</t>
        </is>
      </c>
      <c r="E26" s="7" t="inlineStr">
        <is>
          <t>Bucket privado, anonimizar con código; pgTAP 28. Decisión P-120.</t>
        </is>
      </c>
    </row>
    <row r="27">
      <c r="A27" s="8" t="inlineStr">
        <is>
          <t>2026-10-02</t>
        </is>
      </c>
      <c r="B27" s="4" t="inlineStr">
        <is>
          <t>ga-diseno-a-codigo</t>
        </is>
      </c>
      <c r="C27" s="8" t="inlineStr">
        <is>
          <t>5.16</t>
        </is>
      </c>
      <c r="D27" s="7" t="inlineStr">
        <is>
          <t>/cuenta igual a la demo</t>
        </is>
      </c>
      <c r="E27" s="7" t="inlineStr">
        <is>
          <t>CamposSolicitud y TarjetaTope compartidos; slot accionDesembolso.</t>
        </is>
      </c>
    </row>
    <row r="28">
      <c r="A28" s="8" t="inlineStr">
        <is>
          <t>2026-10-02</t>
        </is>
      </c>
      <c r="B28" s="4" t="inlineStr">
        <is>
          <t>ga-correos</t>
        </is>
      </c>
      <c r="C28" s="8" t="inlineStr">
        <is>
          <t>5.17, 6.28</t>
        </is>
      </c>
      <c r="D28" s="7" t="inlineStr">
        <is>
          <t>Correo del sorteo y plan de correos</t>
        </is>
      </c>
      <c r="E28" s="7" t="inlineStr">
        <is>
          <t>Diagnóstico del texto plano, plan Resend y mensajes WhatsApp. Pendientes P-117 y P-123.</t>
        </is>
      </c>
    </row>
    <row r="29">
      <c r="A29" s="8" t="inlineStr">
        <is>
          <t>2026-10-02</t>
        </is>
      </c>
      <c r="B29" s="4" t="inlineStr">
        <is>
          <t>ga-escritor-tests</t>
        </is>
      </c>
      <c r="C29" s="8" t="inlineStr">
        <is>
          <t>4.18</t>
        </is>
      </c>
      <c r="D29" s="7" t="inlineStr">
        <is>
          <t>Pruebas por reglas nuevas</t>
        </is>
      </c>
      <c r="E29" s="7" t="inlineStr">
        <is>
          <t>Admin sin restricción sobre sus clientes, PP no seleccionable; pgTAP, vitest 628 y e2e en verde.</t>
        </is>
      </c>
    </row>
    <row r="30">
      <c r="A30" s="8" t="inlineStr">
        <is>
          <t>2026-10-02</t>
        </is>
      </c>
      <c r="B30" s="4" t="inlineStr">
        <is>
          <t>ga-funcionalidad-botones</t>
        </is>
      </c>
      <c r="C30" s="8" t="inlineStr">
        <is>
          <t>4.17</t>
        </is>
      </c>
      <c r="D30" s="7" t="inlineStr">
        <is>
          <t>Correcciones SEC-REC-01 a 05</t>
        </is>
      </c>
      <c r="E30" s="7" t="inlineStr">
        <is>
          <t>WhatsApp al celular del perfil, cierre de sesiones, trigger en auth.users como compensación de SEC-REC-02.</t>
        </is>
      </c>
    </row>
    <row r="31">
      <c r="A31" s="8" t="inlineStr">
        <is>
          <t>2026-10-02</t>
        </is>
      </c>
      <c r="B31" s="4" t="inlineStr">
        <is>
          <t>ga-revisor-seguridad</t>
        </is>
      </c>
      <c r="C31" s="8" t="inlineStr">
        <is>
          <t>4.17</t>
        </is>
      </c>
      <c r="D31" s="7" t="inlineStr">
        <is>
          <t>Revisión de la recuperación de acceso</t>
        </is>
      </c>
      <c r="E31" s="7" t="inlineStr">
        <is>
          <t>2 altos (SEC-REC-01 y 02) de toma de cuenta.</t>
        </is>
      </c>
    </row>
    <row r="32">
      <c r="A32" s="8" t="inlineStr">
        <is>
          <t>2026-10-02</t>
        </is>
      </c>
      <c r="B32" s="4" t="inlineStr">
        <is>
          <t>ga-funcionalidad-botones</t>
        </is>
      </c>
      <c r="C32" s="8" t="inlineStr">
        <is>
          <t>4.17</t>
        </is>
      </c>
      <c r="D32" s="7" t="inlineStr">
        <is>
          <t>Recuperación de acceso (20261002500000)</t>
        </is>
      </c>
      <c r="E32" s="7" t="inlineStr">
        <is>
          <t>/ingresar/recuperar, cambio de correo asistido y propio; pgTAP 27.</t>
        </is>
      </c>
    </row>
    <row r="33">
      <c r="A33" s="8" t="inlineStr">
        <is>
          <t>2026-10-02</t>
        </is>
      </c>
      <c r="B33" s="7" t="inlineStr">
        <is>
          <t>agente de documentos de entrega</t>
        </is>
      </c>
      <c r="C33" s="8" t="inlineStr">
        <is>
          <t>6.26</t>
        </is>
      </c>
      <c r="D33" s="7" t="inlineStr">
        <is>
          <t>Documentos de entrega</t>
        </is>
      </c>
      <c r="E33" s="7" t="inlineStr">
        <is>
          <t>docs/entrega/ (documentación técnica, respaldo, anexos 2 y 3, actas) y scripts/respaldo.sh.</t>
        </is>
      </c>
    </row>
    <row r="34">
      <c r="A34" s="8" t="inlineStr">
        <is>
          <t>2026-10-02</t>
        </is>
      </c>
      <c r="B34" s="4" t="inlineStr">
        <is>
          <t>ga-funcionalidad-botones</t>
        </is>
      </c>
      <c r="C34" s="8" t="inlineStr">
        <is>
          <t>5.14</t>
        </is>
      </c>
      <c r="D34" s="7" t="inlineStr">
        <is>
          <t>PDF del carné</t>
        </is>
      </c>
      <c r="E34" s="7" t="inlineStr">
        <is>
          <t>/cuenta/carne/pdf con pdf-lib + qrcode; vitest y e2e M2.</t>
        </is>
      </c>
    </row>
    <row r="35">
      <c r="A35" s="8" t="inlineStr">
        <is>
          <t>2026-10-02</t>
        </is>
      </c>
      <c r="B35" s="4" t="inlineStr">
        <is>
          <t>ga-funcionalidad-botones</t>
        </is>
      </c>
      <c r="C35" s="8" t="inlineStr">
        <is>
          <t>4.16</t>
        </is>
      </c>
      <c r="D35" s="7" t="inlineStr">
        <is>
          <t>Ajustes de entrega (20261002400000)</t>
        </is>
      </c>
      <c r="E35" s="7" t="inlineStr">
        <is>
          <t>Tope de toques por meta, verificar_carne solo activos, regenerar 1/min, grado con nombre; pgTAP 26.</t>
        </is>
      </c>
    </row>
    <row r="36">
      <c r="A36" s="8" t="inlineStr">
        <is>
          <t>2026-10-02</t>
        </is>
      </c>
      <c r="B36" s="4" t="inlineStr">
        <is>
          <t>ga-verificador-qa</t>
        </is>
      </c>
      <c r="C36" s="8" t="inlineStr">
        <is>
          <t>4.16, 5.14</t>
        </is>
      </c>
      <c r="D36" s="7" t="inlineStr">
        <is>
          <t>e2e de premios, carné con QR e inscritos</t>
        </is>
      </c>
      <c r="E36" s="7" t="inlineStr">
        <is>
          <t>Escritorio 188 / celular 148 pasan, 0 fallan; m-premios-qr-sorteo.spec.ts.</t>
        </is>
      </c>
    </row>
    <row r="37">
      <c r="A37" s="8" t="inlineStr">
        <is>
          <t>2026-10-02</t>
        </is>
      </c>
      <c r="B37" s="4" t="inlineStr">
        <is>
          <t>ga-revisor-seguridad</t>
        </is>
      </c>
      <c r="C37" s="8" t="inlineStr">
        <is>
          <t>4.16, 5.14</t>
        </is>
      </c>
      <c r="D37" s="7" t="inlineStr">
        <is>
          <t>Revisión de premios, QR y sorteo</t>
        </is>
      </c>
      <c r="E37" s="7" t="inlineStr">
        <is>
          <t>Sin críticos ni altos; medios/bajos atendidos en 20261002400000. Nombre público en /verificar: P-125.</t>
        </is>
      </c>
    </row>
    <row r="38">
      <c r="A38" s="8" t="inlineStr">
        <is>
          <t>2026-10-01</t>
        </is>
      </c>
      <c r="B38" s="4" t="inlineStr">
        <is>
          <t>sesión principal</t>
        </is>
      </c>
      <c r="C38" s="8" t="inlineStr">
        <is>
          <t>6.23, 6.24, P-73, P-51, P-57, P-66, P-67, 6.25</t>
        </is>
      </c>
      <c r="D38" s="7" t="inlineStr">
        <is>
          <t>Migraciones aplicadas, pago a Carlos y cierres verificados</t>
        </is>
      </c>
      <c r="E38" s="7" t="inlineStr">
        <is>
          <t>20261001000000 y 20261001100000 aplicadas en producción; pago de 150.000 COP a Carlos hecho. P-51, P-57, P-66 y P-67 verificados contra el código y cerrados. Nuevo 6.25/P-114: Sebas aplica 20261002000000 y fusiona develop→main (e2523de).</t>
        </is>
      </c>
    </row>
    <row r="39">
      <c r="A39" s="8" t="inlineStr">
        <is>
          <t>2026-10-01</t>
        </is>
      </c>
      <c r="B39" s="4" t="inlineStr">
        <is>
          <t>ga-diseno-a-codigo</t>
        </is>
      </c>
      <c r="C39" s="8" t="inlineStr">
        <is>
          <t>5.12, 5.9</t>
        </is>
      </c>
      <c r="D39" s="7" t="inlineStr">
        <is>
          <t>D-25 y D-26 al código</t>
        </is>
      </c>
      <c r="E39" s="7" t="inlineStr">
        <is>
          <t>Carné con wordmark blanco y enlace a convenios (700 px); logo de marca en tarjeta, chip y detalle con respaldo; GestorConvenios al lienzo 3v.</t>
        </is>
      </c>
    </row>
    <row r="40">
      <c r="A40" s="8" t="inlineStr">
        <is>
          <t>2026-10-01</t>
        </is>
      </c>
      <c r="B40" s="4" t="inlineStr">
        <is>
          <t>ga-verificador-qa</t>
        </is>
      </c>
      <c r="C40" s="8" t="inlineStr">
        <is>
          <t>5.9, 5.12, 6.3</t>
        </is>
      </c>
      <c r="D40" s="7" t="inlineStr">
        <is>
          <t>e2e final en verde</t>
        </is>
      </c>
      <c r="E40" s="7" t="inlineStr">
        <is>
          <t>Escritorio 174/3 (fallas de prueba corregidas), celular 146/0; nueva l-convenios-carne.spec.ts. QA-07 (textos con SVG) y QA-08 corregidos.</t>
        </is>
      </c>
    </row>
    <row r="41">
      <c r="A41" s="8" t="inlineStr">
        <is>
          <t>2026-10-01</t>
        </is>
      </c>
      <c r="B41" s="4" t="inlineStr">
        <is>
          <t>ga-disenador-lienzo</t>
        </is>
      </c>
      <c r="C41" s="8" t="inlineStr">
        <is>
          <t>5.12, 5.9</t>
        </is>
      </c>
      <c r="D41" s="7" t="inlineStr">
        <is>
          <t>Lienzo t3: 3u, 3v, 3w (D-25, D-26)</t>
        </is>
      </c>
      <c r="E41" s="7" t="inlineStr">
        <is>
          <t>Carné virtual, /admin/convenios y logo en tarjetas/chips/detalle. Decisión pendiente de la cooperativa sobre QR en el carné (P-115).</t>
        </is>
      </c>
    </row>
    <row r="42">
      <c r="A42" s="8" t="inlineStr">
        <is>
          <t>2026-10-01</t>
        </is>
      </c>
      <c r="B42" s="4" t="inlineStr">
        <is>
          <t>ga-revisor-seguridad</t>
        </is>
      </c>
      <c r="C42" s="8" t="inlineStr">
        <is>
          <t>5.9, P-68</t>
        </is>
      </c>
      <c r="D42" s="7" t="inlineStr">
        <is>
          <t>Revisión sin críticos ni altos</t>
        </is>
      </c>
      <c r="E42" s="7" t="inlineStr">
        <is>
          <t>S-30 (filtro SVG saltable) y S-32 corregidos según la sesión principal; S-31 aceptado como bajo. npm audit 0.</t>
        </is>
      </c>
    </row>
    <row r="43">
      <c r="A43" s="8" t="inlineStr">
        <is>
          <t>2026-10-01</t>
        </is>
      </c>
      <c r="B43" s="4" t="inlineStr">
        <is>
          <t>ga-funcionalidad-botones</t>
        </is>
      </c>
      <c r="C43" s="8" t="inlineStr">
        <is>
          <t>5.9, P-68</t>
        </is>
      </c>
      <c r="D43" s="7" t="inlineStr">
        <is>
          <t>/admin/convenios hecho</t>
        </is>
      </c>
      <c r="E43" s="7" t="inlineStr">
        <is>
          <t>CRUD con exigirAdmin + zod + registro, logo validado en servidor; landing y /cuenta leen de la tabla con respaldo; 30 pruebas unitarias nuevas, vitest 582 y build en verde.</t>
        </is>
      </c>
    </row>
    <row r="44">
      <c r="A44" s="8" t="inlineStr">
        <is>
          <t>2026-10-01</t>
        </is>
      </c>
      <c r="B44" s="4" t="inlineStr">
        <is>
          <t>ga-auditor-supabase</t>
        </is>
      </c>
      <c r="C44" s="8" t="inlineStr">
        <is>
          <t>5.9, P-68, P-88</t>
        </is>
      </c>
      <c r="D44" s="7" t="inlineStr">
        <is>
          <t>Migración 20261002000000 y F2-08</t>
        </is>
      </c>
      <c r="E44" s="7" t="inlineStr">
        <is>
          <t>Convenios administrables (orden, visible, logo_path, medios, bucket convenios-logos solo admin) y corrección F2-08; pgTAP 23 archivos / 522 pruebas en verde. Sin aplicar en producción (6.25/P-114).</t>
        </is>
      </c>
    </row>
    <row r="45">
      <c r="A45" s="8" t="inlineStr">
        <is>
          <t>2026-10-01</t>
        </is>
      </c>
      <c r="B45" s="4" t="inlineStr">
        <is>
          <t>ga-diseno-a-codigo</t>
        </is>
      </c>
      <c r="C45" s="8" t="inlineStr">
        <is>
          <t>5.12, P-109, P-53</t>
        </is>
      </c>
      <c r="D45" s="7" t="inlineStr">
        <is>
          <t>Carné virtual y logo bajo 360 px</t>
        </is>
      </c>
      <c r="E45" s="7" t="inlineStr">
        <is>
          <t>CarneVirtual.tsx en /cuenta; el logo horizontal oculta «COOPERATIVA» bajo 360 px. Pidió D-25 al lienzo.</t>
        </is>
      </c>
    </row>
    <row r="46">
      <c r="A46" s="8" t="inlineStr">
        <is>
          <t>2026-10-01</t>
        </is>
      </c>
      <c r="B46" s="4" t="inlineStr">
        <is>
          <t>sesión principal</t>
        </is>
      </c>
      <c r="C46" s="8" t="inlineStr">
        <is>
          <t>6.23, 6.24</t>
        </is>
      </c>
      <c r="D46" s="7" t="inlineStr">
        <is>
          <t>QA-06 corregido y develop subido</t>
        </is>
      </c>
      <c r="E46" s="7" t="inlineStr">
        <is>
          <t>Aviso de cuenta inactiva en app/ingresar/actions.ts; y-tanda2 escritorio 14/14; commit 7526e7d en develop. Pendiente de Sebas: db push --linked de 20261001000000 y 20261001100000 y fusionar develop→main.</t>
        </is>
      </c>
    </row>
    <row r="47">
      <c r="A47" s="8" t="inlineStr">
        <is>
          <t>2026-10-01</t>
        </is>
      </c>
      <c r="B47" s="4" t="inlineStr">
        <is>
          <t>ga-verificador-qa</t>
        </is>
      </c>
      <c r="C47" s="8" t="inlineStr">
        <is>
          <t>6.21, 6.15</t>
        </is>
      </c>
      <c r="D47" s="7" t="inlineStr">
        <is>
          <t>6.21 Hecho; 6.15 desbloqueada (En curso)</t>
        </is>
      </c>
      <c r="E47" s="7" t="inlineStr">
        <is>
          <t>E2E ajustadas a v3/S-06/crédito: escritorio 171/4, celular 143/3, fallas corregidas y confirmadas. Bug QA-06 reportado.</t>
        </is>
      </c>
    </row>
    <row r="48">
      <c r="A48" s="8" t="inlineStr">
        <is>
          <t>2026-10-01</t>
        </is>
      </c>
      <c r="B48" s="4" t="inlineStr">
        <is>
          <t>ga-funcionalidad-botones</t>
        </is>
      </c>
      <c r="C48" s="8" t="inlineStr">
        <is>
          <t>P-48</t>
        </is>
      </c>
      <c r="D48" s="7" t="inlineStr">
        <is>
          <t>QA-01 a QA-05 de /afiliacion corregidos</t>
        </is>
      </c>
      <c r="E48" s="7" t="inlineStr">
        <is>
          <t>Texto restaurado, contador, formulario con key (conserva selects, cierra F-01), aviso de fotos rechazadas, tabIndex de SelectBusqueda.</t>
        </is>
      </c>
    </row>
    <row r="49">
      <c r="A49" s="8" t="inlineStr">
        <is>
          <t>2026-10-01</t>
        </is>
      </c>
      <c r="B49" s="4" t="inlineStr">
        <is>
          <t>ga-auditor-supabase</t>
        </is>
      </c>
      <c r="C49" s="8" t="inlineStr">
        <is>
          <t>6.24, P-113</t>
        </is>
      </c>
      <c r="D49" s="7" t="inlineStr">
        <is>
          <t>pgTAP 20261001* en verde</t>
        </is>
      </c>
      <c r="E49" s="7" t="inlineStr">
        <is>
          <t>Arreglado admin_habilitar_credito (array_append) y pruebas 21 y 10; 22 archivos, 497 pruebas. Falta aplicar en remoto.</t>
        </is>
      </c>
    </row>
    <row r="50">
      <c r="A50" s="8" t="inlineStr">
        <is>
          <t>2026-10-01</t>
        </is>
      </c>
      <c r="B50" s="4" t="inlineStr">
        <is>
          <t>ga-diseno-a-codigo</t>
        </is>
      </c>
      <c r="C50" s="8" t="inlineStr">
        <is>
          <t>4.7, 4.8, 4.15</t>
        </is>
      </c>
      <c r="D50" s="7" t="inlineStr">
        <is>
          <t>Verificación visual tanda §13</t>
        </is>
      </c>
      <c r="E50" s="7" t="inlineStr">
        <is>
          <t>CuentaDemo, WhatsApp en el pie, paneles por estado y desembolsos, HabilitarCredito; tsc, lint, vitest 552 y build en verde.</t>
        </is>
      </c>
    </row>
    <row r="51">
      <c r="A51" s="8" t="inlineStr">
        <is>
          <t>2026-10-01</t>
        </is>
      </c>
      <c r="B51" s="4" t="inlineStr">
        <is>
          <t>ga-diseno-a-codigo</t>
        </is>
      </c>
      <c r="C51" s="8" t="inlineStr">
        <is>
          <t>4.15, 4.7, 4.8</t>
        </is>
      </c>
      <c r="D51" s="7" t="inlineStr">
        <is>
          <t>4.7, 4.8 y 4.15 Hecho</t>
        </is>
      </c>
      <c r="E51" s="7" t="inlineStr">
        <is>
          <t>Ícono WhatsApp en el pie, botón «Habilitar nuevo crédito», selector segmentado en la demo, 8 estados y KPI Desembolsos del mes en admin, chips en asesor. e2e sin ejecutar.</t>
        </is>
      </c>
    </row>
    <row r="52">
      <c r="A52" s="8" t="inlineStr">
        <is>
          <t>2026-10-01</t>
        </is>
      </c>
      <c r="B52" s="4" t="inlineStr">
        <is>
          <t>ga-funcionalidad-botones</t>
        </is>
      </c>
      <c r="C52" s="8" t="inlineStr">
        <is>
          <t>4.15, 4.7, 4.8</t>
        </is>
      </c>
      <c r="D52" s="7" t="inlineStr">
        <is>
          <t>Pedidos §13 en servidor y front</t>
        </is>
      </c>
      <c r="E52" s="7" t="inlineStr">
        <is>
          <t>Correos con respaldo en texto plano y log correo_plantilla_faltante; acción Habilitar crédito; /cuenta con tarjeta vacía; loaders con por_estado_proceso y desembolsos_mes; demo Policía/Ejército; wa.me en el pie. 552 vitest y build en verde.</t>
        </is>
      </c>
    </row>
    <row r="53">
      <c r="A53" s="8" t="inlineStr">
        <is>
          <t>2026-10-01</t>
        </is>
      </c>
      <c r="B53" s="4" t="inlineStr">
        <is>
          <t>ga-auditor-supabase</t>
        </is>
      </c>
      <c r="C53" s="8" t="inlineStr">
        <is>
          <t>4.15, 4.7, 4.8, P-112, 6.24, P-113</t>
        </is>
      </c>
      <c r="D53" s="7" t="inlineStr">
        <is>
          <t>Migración 20261001100000 y pgTAP 21</t>
        </is>
      </c>
      <c r="E53" s="7" t="inlineStr">
        <is>
          <t>admin_habilitar_credito, mi_habilitacion_credito, por_estado_proceso y desembolsos_mes; listas blancas 00/15 (P-112 Hecho). Diagnóstico: el bloqueo tras rechazo es de pantalla, no de base. Sin db reset por Docker: nueva 6.24/P-113 (Sebas).</t>
        </is>
      </c>
    </row>
    <row r="54">
      <c r="A54" s="8" t="inlineStr">
        <is>
          <t>2026-10-01</t>
        </is>
      </c>
      <c r="B54" s="4" t="inlineStr">
        <is>
          <t>ga-verificador-qa</t>
        </is>
      </c>
      <c r="C54" s="8" t="inlineStr">
        <is>
          <t>6.15, 6.21</t>
        </is>
      </c>
      <c r="D54" s="7" t="inlineStr">
        <is>
          <t>E2E al día pero sin ejecutar: Bloqueado</t>
        </is>
      </c>
      <c r="E54" s="7" t="inlineStr">
        <is>
          <t>y-tanda2.spec.ts y ajustes de e2e (370 pruebas listadas, tsc y eslint en verde). Docker se cayó: Sebas reinicia Docker, db reset y corre Playwright.</t>
        </is>
      </c>
    </row>
    <row r="55">
      <c r="A55" s="8" t="inlineStr">
        <is>
          <t>2026-09-30</t>
        </is>
      </c>
      <c r="B55" s="4" t="inlineStr">
        <is>
          <t>ga-diseno-a-codigo</t>
        </is>
      </c>
      <c r="C55" s="8" t="inlineStr">
        <is>
          <t>4.7, 4.8, 5.6</t>
        </is>
      </c>
      <c r="D55" s="7" t="inlineStr">
        <is>
          <t>Pantallas Resumen y /cuenta/solicitar en código</t>
        </is>
      </c>
      <c r="E55" s="7" t="inlineStr">
        <is>
          <t>4.7 y 4.8 En curso: falta estado_proceso y desembolsos del mes en las RPC y decisión P-111. tsc, lint, vitest y build en verde.</t>
        </is>
      </c>
    </row>
    <row r="56">
      <c r="A56" s="8" t="inlineStr">
        <is>
          <t>2026-09-30</t>
        </is>
      </c>
      <c r="B56" s="4" t="inlineStr">
        <is>
          <t>ga-funcionalidad-botones</t>
        </is>
      </c>
      <c r="C56" s="8" t="inlineStr">
        <is>
          <t>2.11, 4.3, 4.7, 4.8</t>
        </is>
      </c>
      <c r="D56" s="7" t="inlineStr">
        <is>
          <t>F-01 corregido, revalidación de /cuenta y loaders de métricas</t>
        </is>
      </c>
      <c r="E56" s="7" t="inlineStr">
        <is>
          <t>2.11 y 4.3 Hecho. Afiliación guarda version_politica_datos; loaders cargarMetricasAdmin/Asesor con 8 pruebas (523 vitest en verde).</t>
        </is>
      </c>
    </row>
    <row r="57">
      <c r="A57" s="8" t="inlineStr">
        <is>
          <t>2026-09-30</t>
        </is>
      </c>
      <c r="B57" s="4" t="inlineStr">
        <is>
          <t>ga-auditor-supabase</t>
        </is>
      </c>
      <c r="C57" s="8" t="inlineStr">
        <is>
          <t>P-55, 4.7, 4.8, 6.23</t>
        </is>
      </c>
      <c r="D57" s="7" t="inlineStr">
        <is>
          <t>Migración 20261001000000 y pgTAP 20</t>
        </is>
      </c>
      <c r="E57" s="7" t="inlineStr">
        <is>
          <t>version_politica_datos sellada, revoke de limites_intentos_id_seq, RPC de métricas solo con conteos; 16 pruebas en verde. Sin aplicar: nueva 6.23/P-110. Listas blancas pgTAP: P-112.</t>
        </is>
      </c>
    </row>
    <row r="58">
      <c r="A58" s="8" t="inlineStr">
        <is>
          <t>2026-09-30</t>
        </is>
      </c>
      <c r="B58" s="4" t="inlineStr">
        <is>
          <t>ga-disenador-lienzo</t>
        </is>
      </c>
      <c r="C58" s="8" t="inlineStr">
        <is>
          <t>4.7, 4.8, 5.6</t>
        </is>
      </c>
      <c r="D58" s="7" t="inlineStr">
        <is>
          <t>Lienzo 3r, 3s, 3t</t>
        </is>
      </c>
      <c r="E58" s="7" t="inlineStr">
        <is>
          <t>Dashboards admin y asesor y /cuenta/solicitar maquetados en el lienzo (D-22 a D-24). 5.6 Hecho.</t>
        </is>
      </c>
    </row>
    <row r="59">
      <c r="A59" s="8" t="inlineStr">
        <is>
          <t>2026-09-30</t>
        </is>
      </c>
      <c r="B59" s="4" t="inlineStr">
        <is>
          <t>ga-funcionalidad-botones</t>
        </is>
      </c>
      <c r="C59" s="8" t="inlineStr">
        <is>
          <t>P-81 (política v1.0)</t>
        </is>
      </c>
      <c r="D59" s="7" t="inlineStr">
        <is>
          <t>Política de datos v1.0 publicada en código</t>
        </is>
      </c>
      <c r="E59" s="7" t="inlineStr">
        <is>
          <t>/politica-de-datos con 28 secciones, anexo, índice, aviso de revisión jurídica en 7.3, 8 y 18 y botón PDF. Por definir: horario, órgano y acta de aprobación.</t>
        </is>
      </c>
    </row>
    <row r="60">
      <c r="A60" s="8" t="inlineStr">
        <is>
          <t>2026-09-30</t>
        </is>
      </c>
      <c r="B60" s="4" t="inlineStr">
        <is>
          <t>sesión principal (Sebas)</t>
        </is>
      </c>
      <c r="C60" s="8" t="inlineStr">
        <is>
          <t>6.22; P-20, P-21, P-43, P-45, P-105</t>
        </is>
      </c>
      <c r="D60" s="7" t="inlineStr">
        <is>
          <t>Tanda 2 en producción y pendientes de configuración cerrados</t>
        </is>
      </c>
      <c r="E60"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61">
      <c r="A61" s="8" t="inlineStr">
        <is>
          <t>2026-09-30</t>
        </is>
      </c>
      <c r="B61" s="4" t="inlineStr">
        <is>
          <t>sesión principal (Sebas)</t>
        </is>
      </c>
      <c r="C61" s="8" t="inlineStr">
        <is>
          <t>5.4, 6.21, 6.22; P-81</t>
        </is>
      </c>
      <c r="D61" s="7" t="inlineStr">
        <is>
          <t>Política v1 en publicación; tanda 2 en develop</t>
        </is>
      </c>
      <c r="E61" s="7" t="inlineStr">
        <is>
          <t>Tanda 2 en develop e4b8350 con 7 migraciones 20260930200* por aplicar y develop a main pendiente (6.22). Política v1 del Dr. Breinner con 7.3, 8 y 18 en revisión. E2E desactualizadas (6.21). Copia de seguridad de producción del 30-sep.</t>
        </is>
      </c>
    </row>
    <row r="62">
      <c r="A62" s="8" t="inlineStr">
        <is>
          <t>2026-09-30</t>
        </is>
      </c>
      <c r="B62" s="4" t="inlineStr">
        <is>
          <t>ga-diseno-a-codigo</t>
        </is>
      </c>
      <c r="C62" s="8" t="inlineStr">
        <is>
          <t>5.13</t>
        </is>
      </c>
      <c r="D62" s="7" t="inlineStr">
        <is>
          <t>Medios en el detalle de convenios</t>
        </is>
      </c>
      <c r="E62" s="7" t="inlineStr">
        <is>
          <t>Videos y PDF de Racing Tours mapeados por NIT en lib/convenios.ts; develop 4357939 (video de Locos en politica-datos-v1).</t>
        </is>
      </c>
    </row>
    <row r="63">
      <c r="A63" s="8" t="inlineStr">
        <is>
          <t>2026-09-30</t>
        </is>
      </c>
      <c r="B63" s="4" t="inlineStr">
        <is>
          <t>ga-auditor-supabase</t>
        </is>
      </c>
      <c r="C63" s="8" t="inlineStr">
        <is>
          <t>4.14, 6.22</t>
        </is>
      </c>
      <c r="D63" s="7" t="inlineStr">
        <is>
          <t>SP remapeado a IJ (§12.14)</t>
        </is>
      </c>
      <c r="E63" s="7" t="inlineStr">
        <is>
          <t>En la migración 20260930200100 (sin aplicar); R-10/R-11 decididos; pgTAP, db reset y vitest en verde.</t>
        </is>
      </c>
    </row>
    <row r="64">
      <c r="A64" s="8" t="inlineStr">
        <is>
          <t>2026-09-30</t>
        </is>
      </c>
      <c r="B64" s="7" t="inlineStr">
        <is>
          <t>ga-disenador-lienzo + ga-auditor-supabase + ga-funcionalidad-botones + ga-diseno-a-codigo</t>
        </is>
      </c>
      <c r="C64" s="8" t="inlineStr">
        <is>
          <t>4.14, 6.21, 6.22, 5.11, 5.12</t>
        </is>
      </c>
      <c r="D64" s="7" t="inlineStr">
        <is>
          <t>Tanda 2 (§12) hecha en local</t>
        </is>
      </c>
      <c r="E64" s="7" t="inlineStr">
        <is>
          <t>Lienzo 3q, migraciones 20260930200000–200600 (pgTAP 464/464), acciones y UI (vitest 516, build en verde). Sin aplicar en producción. Backlog §12.12 agregado.</t>
        </is>
      </c>
    </row>
    <row r="65">
      <c r="A65" s="8" t="inlineStr">
        <is>
          <t>2026-09-30</t>
        </is>
      </c>
      <c r="B65" s="4" t="inlineStr">
        <is>
          <t>ga-enlace-cooperativa</t>
        </is>
      </c>
      <c r="C65" s="8" t="inlineStr">
        <is>
          <t>P-14, P-47, P-76..P-80, P-90..P-93, P-97; P-106</t>
        </is>
      </c>
      <c r="D65" s="7" t="inlineStr">
        <is>
          <t>Respuestas de la cooperativa</t>
        </is>
      </c>
      <c r="E65" s="7" t="inlineStr">
        <is>
          <t>docs/cooperativa/preguntas.md. R-10 y R-11 cerrados por Sebas (§12.14, SP a IJ); abierta R-09.</t>
        </is>
      </c>
    </row>
    <row r="66">
      <c r="A66" s="8" t="inlineStr">
        <is>
          <t>2026-09-30</t>
        </is>
      </c>
      <c r="B66" s="4" t="inlineStr">
        <is>
          <t>sesión principal (Sebas)</t>
        </is>
      </c>
      <c r="C66" s="8" t="inlineStr">
        <is>
          <t>1.8, 6.20, 5.10, 4.7, 4.8, 5.9, 6.14, 6.15; P-104, P-46, P-75, P-69, P-72, P-73</t>
        </is>
      </c>
      <c r="D66" s="7" t="inlineStr">
        <is>
          <t>C+ y tanda 1 de Ricardo en producción; Carlos sale</t>
        </is>
      </c>
      <c r="E66"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67">
      <c r="A67" s="8" t="inlineStr">
        <is>
          <t>2026-09-30</t>
        </is>
      </c>
      <c r="B67" s="4" t="inlineStr">
        <is>
          <t>ga-correos</t>
        </is>
      </c>
      <c r="C67" s="8" t="inlineStr">
        <is>
          <t>4.13; P-105</t>
        </is>
      </c>
      <c r="D67" s="7" t="inlineStr">
        <is>
          <t>Plantilla ga-aviso-institucional</t>
        </is>
      </c>
      <c r="E67" s="7" t="inlineStr">
        <is>
          <t>docs/resend/aviso-institucional.*; falta publicarla y crear la variable en Vercel.</t>
        </is>
      </c>
    </row>
    <row r="68">
      <c r="A68" s="8" t="inlineStr">
        <is>
          <t>2026-09-30</t>
        </is>
      </c>
      <c r="B68" s="4" t="inlineStr">
        <is>
          <t>ga-revisor-seguridad</t>
        </is>
      </c>
      <c r="C68" s="8" t="inlineStr">
        <is>
          <t>6.2, 4.13</t>
        </is>
      </c>
      <c r="D68" s="7" t="inlineStr">
        <is>
          <t>Dos pasadas de seguridad</t>
        </is>
      </c>
      <c r="E68" s="7" t="inlineStr">
        <is>
          <t>RS-01 a RS-22 sobre migraciones y pantallas de Ricardo. 6.2 sigue En curso (depende de 4.3).</t>
        </is>
      </c>
    </row>
    <row r="69">
      <c r="A69" s="8" t="inlineStr">
        <is>
          <t>2026-09-30</t>
        </is>
      </c>
      <c r="B69" s="4" t="inlineStr">
        <is>
          <t>ga-diseno-a-codigo</t>
        </is>
      </c>
      <c r="C69" s="8" t="inlineStr">
        <is>
          <t>4.13</t>
        </is>
      </c>
      <c r="D69" s="7" t="inlineStr">
        <is>
          <t>UI 3j–3p</t>
        </is>
      </c>
      <c r="E69" s="7" t="inlineStr">
        <is>
          <t>Pantallas y revisión de diseño A1–A3.</t>
        </is>
      </c>
    </row>
    <row r="70">
      <c r="A70" s="8" t="inlineStr">
        <is>
          <t>2026-09-30</t>
        </is>
      </c>
      <c r="B70" s="4" t="inlineStr">
        <is>
          <t>ga-funcionalidad-botones</t>
        </is>
      </c>
      <c r="C70" s="8" t="inlineStr">
        <is>
          <t>4.13</t>
        </is>
      </c>
      <c r="D70" s="7" t="inlineStr">
        <is>
          <t>Lógica y datos de 3j–3p y correcciones de seguridad</t>
        </is>
      </c>
      <c r="E70" s="7" t="inlineStr">
        <is>
          <t>RS-01..RS-22 de código, limpieza de fotos por RPC (5.10), aviso institucional siempre. vitest 503, build en verde.</t>
        </is>
      </c>
    </row>
    <row r="71">
      <c r="A71" s="8" t="inlineStr">
        <is>
          <t>2026-09-30</t>
        </is>
      </c>
      <c r="B71" s="4" t="inlineStr">
        <is>
          <t>ga-disenador-lienzo</t>
        </is>
      </c>
      <c r="C71" s="8" t="inlineStr">
        <is>
          <t>4.12</t>
        </is>
      </c>
      <c r="D71" s="7" t="inlineStr">
        <is>
          <t>Lienzo 3j–3p</t>
        </is>
      </c>
      <c r="E71" s="7" t="inlineStr">
        <is>
          <t>Piezas 3j–3n, 3o/3p (D-15, D-16) y revisión de fidelidad.</t>
        </is>
      </c>
    </row>
    <row r="72">
      <c r="A72" s="8" t="inlineStr">
        <is>
          <t>2026-09-30</t>
        </is>
      </c>
      <c r="B72" s="4" t="inlineStr">
        <is>
          <t>ga-auditor-supabase</t>
        </is>
      </c>
      <c r="C72" s="8" t="inlineStr">
        <is>
          <t>4.12; P-46</t>
        </is>
      </c>
      <c r="D72" s="7" t="inlineStr">
        <is>
          <t>Migraciones tanda 1 de Ricardo (29/30-sep)</t>
        </is>
      </c>
      <c r="E72" s="7" t="inlineStr">
        <is>
          <t>20260929100000..100700, 20260930100000..100500: grados, nómina, proceso ejecutivo, alertas, comisiones con pagos editables, tasa oculta (P-100), crédito solo en «operando», segunda pasada RS-17/18/20/21. pgTAP en verde.</t>
        </is>
      </c>
    </row>
    <row r="73">
      <c r="A73" s="8" t="inlineStr">
        <is>
          <t>2026-09-29</t>
        </is>
      </c>
      <c r="B73" s="4" t="inlineStr">
        <is>
          <t>sesión principal</t>
        </is>
      </c>
      <c r="C73" s="8" t="inlineStr">
        <is>
          <t>4.7, 4.8, 5.9, 5.10, 6.14, 6.15; P-69, P-72</t>
        </is>
      </c>
      <c r="D73" s="7" t="inlineStr">
        <is>
          <t>Primera entrega de Carlos Pardo revisada: NO fusionable</t>
        </is>
      </c>
      <c r="E73"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74">
      <c r="A74" s="8" t="inlineStr">
        <is>
          <t>2026-09-29</t>
        </is>
      </c>
      <c r="B74" s="4" t="inlineStr">
        <is>
          <t>sesión principal</t>
        </is>
      </c>
      <c r="C74" s="8" t="inlineStr">
        <is>
          <t>6.18; nuevo P-104</t>
        </is>
      </c>
      <c r="D74" s="7" t="inlineStr">
        <is>
          <t>Push y fusión de rediseno-c-plus a develop autorizados por Sebas; 6.18 pasa a Hecho</t>
        </is>
      </c>
      <c r="E74"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75">
      <c r="A75" s="8" t="inlineStr">
        <is>
          <t>2026-09-29</t>
        </is>
      </c>
      <c r="B75" s="4" t="inlineStr">
        <is>
          <t>ga-verificador-qa</t>
        </is>
      </c>
      <c r="C75" s="8" t="inlineStr">
        <is>
          <t>6.18 (verificación pre-commit de rediseno-c-plus)</t>
        </is>
      </c>
      <c r="D75" s="7" t="inlineStr">
        <is>
          <t>Suite e2e completa 290/290 tras independizar las pruebas del crédito de ejemplo</t>
        </is>
      </c>
      <c r="E75"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76">
      <c r="A76" s="8" t="inlineStr">
        <is>
          <t>2026-09-27</t>
        </is>
      </c>
      <c r="B76" s="4" t="inlineStr">
        <is>
          <t>sesión principal</t>
        </is>
      </c>
      <c r="C76" s="8" t="inlineStr">
        <is>
          <t>2.14; P-103</t>
        </is>
      </c>
      <c r="D76" s="7" t="inlineStr">
        <is>
          <t>Se quita la sección de testimonios de la landing (decisión de Sebas)</t>
        </is>
      </c>
      <c r="E76" s="7" t="inlineStr">
        <is>
          <t>Commit 4c63924: sección de testimonios (que estaba oculta desde P-102 por tener textos de ejemplo) eliminada de la landing por decisión de Sebas. P-103 (D-07, ¿se mantiene la sección?) cierra Hecho con esa decisión: no se mantiene.</t>
        </is>
      </c>
    </row>
    <row r="77">
      <c r="A77" s="8" t="inlineStr">
        <is>
          <t>2026-09-27</t>
        </is>
      </c>
      <c r="B77" s="4" t="inlineStr">
        <is>
          <t>sesión principal</t>
        </is>
      </c>
      <c r="C77" s="8" t="inlineStr">
        <is>
          <t>4.11; P-95, P-96</t>
        </is>
      </c>
      <c r="D77" s="7" t="inlineStr">
        <is>
          <t>Sebas aprueba P-95 y P-96; ambos pasan a Hecho</t>
        </is>
      </c>
      <c r="E77"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78">
      <c r="A78" s="8" t="inlineStr">
        <is>
          <t>2026-09-27</t>
        </is>
      </c>
      <c r="B78" s="4" t="inlineStr">
        <is>
          <t>ga-disenador-lienzo</t>
        </is>
      </c>
      <c r="C78" s="8" t="inlineStr">
        <is>
          <t>4.11 (revisión de diseño 3e/3i)</t>
        </is>
      </c>
      <c r="D78" s="7" t="inlineStr">
        <is>
          <t>Revisión de diseño aprobada con cambios menores</t>
        </is>
      </c>
      <c r="E78"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79">
      <c r="A79" s="8" t="inlineStr">
        <is>
          <t>2026-09-27</t>
        </is>
      </c>
      <c r="B79" s="4" t="inlineStr">
        <is>
          <t>ga-diseno-a-codigo</t>
        </is>
      </c>
      <c r="C79" s="8" t="inlineStr">
        <is>
          <t>4.11, P-95, P-96</t>
        </is>
      </c>
      <c r="D79" s="7" t="inlineStr">
        <is>
          <t>WhatsApp y bloque «Asesor» maquetados y conectados en código</t>
        </is>
      </c>
      <c r="E79"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80">
      <c r="A80" s="8" t="inlineStr">
        <is>
          <t>2026-09-27</t>
        </is>
      </c>
      <c r="B80" s="4" t="inlineStr">
        <is>
          <t>ga-funcionalidad-botones</t>
        </is>
      </c>
      <c r="C80" s="8" t="inlineStr">
        <is>
          <t>4.11, P-96</t>
        </is>
      </c>
      <c r="D80" s="7" t="inlineStr">
        <is>
          <t>Server Action asignarAsesor lista en el servidor</t>
        </is>
      </c>
      <c r="E80"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81">
      <c r="A81" s="8" t="inlineStr">
        <is>
          <t>2026-09-27</t>
        </is>
      </c>
      <c r="B81" s="4" t="inlineStr">
        <is>
          <t>ga-disenador-lienzo</t>
        </is>
      </c>
      <c r="C81" s="8" t="inlineStr">
        <is>
          <t>4.11 (D-08, D-09)</t>
        </is>
      </c>
      <c r="D81" s="7" t="inlineStr">
        <is>
          <t>Diseñado el botón WhatsApp habilitado (3e) y el bloque «Asesor» (3i) en el lienzo</t>
        </is>
      </c>
      <c r="E81"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82">
      <c r="A82" s="8" t="inlineStr">
        <is>
          <t>2026-09-27</t>
        </is>
      </c>
      <c r="B82" s="4" t="inlineStr">
        <is>
          <t>sesión principal</t>
        </is>
      </c>
      <c r="C82" s="8" t="inlineStr">
        <is>
          <t>6.18</t>
        </is>
      </c>
      <c r="D82" s="7" t="inlineStr">
        <is>
          <t>Se corrige la dependencia de 6.18: ya no depende de 1.8</t>
        </is>
      </c>
      <c r="E82"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83">
      <c r="A83" s="8" t="inlineStr">
        <is>
          <t>2026-09-27</t>
        </is>
      </c>
      <c r="B83" s="4" t="inlineStr">
        <is>
          <t>sesión principal</t>
        </is>
      </c>
      <c r="C83" s="8" t="inlineStr">
        <is>
          <t>6.17; 3.10, 4.10</t>
        </is>
      </c>
      <c r="D83" s="7" t="inlineStr">
        <is>
          <t>Correcciones responsive del C+ (commit b0239a8): barra inferior siempre visible en vez de oculta hasta el primer scroll</t>
        </is>
      </c>
      <c r="E83"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84">
      <c r="A84" s="8" t="inlineStr">
        <is>
          <t>2026-09-27</t>
        </is>
      </c>
      <c r="B84" s="4" t="inlineStr">
        <is>
          <t>sesión principal</t>
        </is>
      </c>
      <c r="C84" s="8" t="inlineStr">
        <is>
          <t>4.11; 6.17</t>
        </is>
      </c>
      <c r="D84" s="7" t="inlineStr">
        <is>
          <t>Hallazgo 0 corregido en producción del rediseño (commit 846657b): colores del admin oscuro en su propio grupo de Tailwind</t>
        </is>
      </c>
      <c r="E84"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85">
      <c r="A85" s="8" t="inlineStr">
        <is>
          <t>2026-09-27</t>
        </is>
      </c>
      <c r="B85" s="4" t="inlineStr">
        <is>
          <t>ga-diseno-a-codigo</t>
        </is>
      </c>
      <c r="C85" s="8" t="inlineStr">
        <is>
          <t>6.17</t>
        </is>
      </c>
      <c r="D85" s="7" t="inlineStr">
        <is>
          <t>Corregidos todos los hallazgos del informe de responsive; 6.17 pasa a Hecho en su parte de código</t>
        </is>
      </c>
      <c r="E85"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86">
      <c r="A86" s="8" t="inlineStr">
        <is>
          <t>2026-09-27</t>
        </is>
      </c>
      <c r="B86" s="4" t="inlineStr">
        <is>
          <t>ga-verificador-responsive</t>
        </is>
      </c>
      <c r="C86" s="8" t="inlineStr">
        <is>
          <t>6.19</t>
        </is>
      </c>
      <c r="D86" s="7" t="inlineStr">
        <is>
          <t>Verificación responsive de punta a punta del rediseño C+; 6.19 pasa a Hecho</t>
        </is>
      </c>
      <c r="E86"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87">
      <c r="A87" s="8" t="inlineStr">
        <is>
          <t>2026-09-27</t>
        </is>
      </c>
      <c r="B87" s="4" t="inlineStr">
        <is>
          <t>sesión principal</t>
        </is>
      </c>
      <c r="C87" s="8" t="inlineStr">
        <is>
          <t>4.11; P-99, P-100, P-101, P-102, P-103</t>
        </is>
      </c>
      <c r="D87" s="7" t="inlineStr">
        <is>
          <t>H1 corregido (tasa de interés fuera del payload de /cuenta) y H2/B-01 cerrados (cédula de las «hermanas» enmascarada en servidor, testimonios de ejemplo ocultos)</t>
        </is>
      </c>
      <c r="E87"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88">
      <c r="A88" s="8" t="inlineStr">
        <is>
          <t>2026-09-27</t>
        </is>
      </c>
      <c r="B88" s="4" t="inlineStr">
        <is>
          <t>ga-verificador-qa</t>
        </is>
      </c>
      <c r="C88" s="8" t="inlineStr">
        <is>
          <t>4.11, P-94, P-71; 6.16 pasa a Hecho; nuevos P-102, P-103</t>
        </is>
      </c>
      <c r="D88" s="7" t="inlineStr">
        <is>
          <t>QA completo del rediseño C+ en verde: 161/162 escritorio, 129/129 celular</t>
        </is>
      </c>
      <c r="E88"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89">
      <c r="A89" s="8" t="inlineStr">
        <is>
          <t>2026-09-27</t>
        </is>
      </c>
      <c r="B89" s="4" t="inlineStr">
        <is>
          <t>ga-revisor-seguridad</t>
        </is>
      </c>
      <c r="C89" s="8" t="inlineStr">
        <is>
          <t>4.11; nuevos P-99, P-100, P-101</t>
        </is>
      </c>
      <c r="D89" s="7" t="inlineStr">
        <is>
          <t>Revisión de seguridad del rediseño C+ aprobada; 2 fugas de datos confirmadas (no introducidas por el rediseño)</t>
        </is>
      </c>
      <c r="E89"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90">
      <c r="A90" s="8" t="inlineStr">
        <is>
          <t>2026-09-27</t>
        </is>
      </c>
      <c r="B90" s="4" t="inlineStr">
        <is>
          <t>ga-funcionalidad-botones</t>
        </is>
      </c>
      <c r="C90" s="8" t="inlineStr">
        <is>
          <t>4.11</t>
        </is>
      </c>
      <c r="D90" s="7" t="inlineStr">
        <is>
          <t>KPIs reales, tope real de grados_credito y nota interna oculta en el admin C+</t>
        </is>
      </c>
      <c r="E90"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91">
      <c r="A91" s="8" t="inlineStr">
        <is>
          <t>2026-09-27</t>
        </is>
      </c>
      <c r="B91" s="4" t="inlineStr">
        <is>
          <t>ga-diseno-a-codigo</t>
        </is>
      </c>
      <c r="C91" s="8" t="inlineStr">
        <is>
          <t>4.11</t>
        </is>
      </c>
      <c r="D91" s="7" t="inlineStr">
        <is>
          <t>Panel del admin C+ en modo oscuro maquetado en código; 4.11 pasa a Hecho</t>
        </is>
      </c>
      <c r="E91"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92">
      <c r="A92" s="8" t="inlineStr">
        <is>
          <t>2026-09-27</t>
        </is>
      </c>
      <c r="B92" s="4" t="inlineStr">
        <is>
          <t>ga-diseno-a-codigo</t>
        </is>
      </c>
      <c r="C92" s="8" t="inlineStr">
        <is>
          <t>4.10; nuevo P-98</t>
        </is>
      </c>
      <c r="D92" s="7" t="inlineStr">
        <is>
          <t>Panel del asesor C+ maquetado en código; 4.10 pasa a Hecho</t>
        </is>
      </c>
      <c r="E92"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93">
      <c r="A93" s="8" t="inlineStr">
        <is>
          <t>2026-09-27</t>
        </is>
      </c>
      <c r="B93" s="4" t="inlineStr">
        <is>
          <t>ga-diseno-a-codigo</t>
        </is>
      </c>
      <c r="C93" s="8" t="inlineStr">
        <is>
          <t>3.10</t>
        </is>
      </c>
      <c r="D93" s="7" t="inlineStr">
        <is>
          <t>Panel del asociado C+ maquetado en código; 3.10 pasa a Hecho</t>
        </is>
      </c>
      <c r="E93"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94">
      <c r="A94" s="8" t="inlineStr">
        <is>
          <t>2026-09-25</t>
        </is>
      </c>
      <c r="B94" s="4" t="inlineStr">
        <is>
          <t>ga-diseno-a-codigo</t>
        </is>
      </c>
      <c r="C94" s="8" t="inlineStr">
        <is>
          <t>1.7, 2.15</t>
        </is>
      </c>
      <c r="D94" s="7" t="inlineStr">
        <is>
          <t>Componentes base y maquetación C+ de ingreso/afiliación llevados a código; 2.15 pasa a Hecho</t>
        </is>
      </c>
      <c r="E94"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95">
      <c r="A95" s="8" t="inlineStr">
        <is>
          <t>2026-09-25</t>
        </is>
      </c>
      <c r="B95" s="4" t="inlineStr">
        <is>
          <t>ga-disenador-lienzo</t>
        </is>
      </c>
      <c r="C95" s="8" t="inlineStr">
        <is>
          <t>3.10, 4.10, 4.11</t>
        </is>
      </c>
      <c r="D95" s="7" t="inlineStr">
        <is>
          <t>Lienzo C+ completo: piezas 3d (asociado) y 3e–3h (admin)</t>
        </is>
      </c>
      <c r="E95"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96">
      <c r="A96" s="8" t="inlineStr">
        <is>
          <t>2026-09-25</t>
        </is>
      </c>
      <c r="B96" s="4" t="inlineStr">
        <is>
          <t>ga-diseno-a-codigo</t>
        </is>
      </c>
      <c r="C96" s="8" t="inlineStr">
        <is>
          <t>1.7, 2.14; nuevo 6.16</t>
        </is>
      </c>
      <c r="D96" s="7" t="inlineStr">
        <is>
          <t>Tokens y landing del rediseño C+ llevados a código</t>
        </is>
      </c>
      <c r="E96"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97">
      <c r="A97" s="8" t="inlineStr">
        <is>
          <t>2026-09-25</t>
        </is>
      </c>
      <c r="B97" s="4" t="inlineStr">
        <is>
          <t>ga-disenador-lienzo</t>
        </is>
      </c>
      <c r="C97" s="8" t="inlineStr">
        <is>
          <t>1.7, 2.15, 3.10, 4.10, 4.11</t>
        </is>
      </c>
      <c r="D97" s="7" t="inlineStr">
        <is>
          <t>Lienzo C+ ampliado: design system, Ingreso y Afiliación (piezas 3a/3b/3c)</t>
        </is>
      </c>
      <c r="E97"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98">
      <c r="A98" s="8" t="inlineStr">
        <is>
          <t>2026-09-25</t>
        </is>
      </c>
      <c r="B98" s="4" t="inlineStr">
        <is>
          <t>ga-auditor-supabase</t>
        </is>
      </c>
      <c r="C98" s="8" t="inlineStr">
        <is>
          <t>1.8; P-47, P-90, P-91, P-92</t>
        </is>
      </c>
      <c r="D98" s="7" t="inlineStr">
        <is>
          <t>Auditoría de backend para el rediseño C+: 5 migraciones propuestas sin aplicar</t>
        </is>
      </c>
      <c r="E98"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99">
      <c r="A99" s="8" t="inlineStr">
        <is>
          <t>2026-09-25</t>
        </is>
      </c>
      <c r="B99" s="7" t="inlineStr">
        <is>
          <t>sesión principal (despliegue PR #2)</t>
        </is>
      </c>
      <c r="C99" s="8" t="inlineStr">
        <is>
          <t>4.9; P-83, P-84, P-85, P-89</t>
        </is>
      </c>
      <c r="D99" s="7" t="inlineStr">
        <is>
          <t>Despliegue confirmado en producción: 4.9, P-83, P-84, P-85 y P-89 pasan a Hecho</t>
        </is>
      </c>
      <c r="E99"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100">
      <c r="A100" s="8" t="inlineStr">
        <is>
          <t>2026-09-25</t>
        </is>
      </c>
      <c r="B100" s="7" t="inlineStr">
        <is>
          <t>sesión principal (coordinador)</t>
        </is>
      </c>
      <c r="C100" s="8" t="inlineStr">
        <is>
          <t>4.9; P-83, P-84, P-85, P-89; 6.15</t>
        </is>
      </c>
      <c r="D100" s="7" t="inlineStr">
        <is>
          <t>Cuenta demo para admin, máscara de correo sin dominio y cierre de P-86/P-87</t>
        </is>
      </c>
      <c r="E100"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101">
      <c r="A101" s="8" t="inlineStr">
        <is>
          <t>2026-09-25</t>
        </is>
      </c>
      <c r="B101" s="4" t="inlineStr">
        <is>
          <t>sesión principal</t>
        </is>
      </c>
      <c r="C101" s="8" t="inlineStr">
        <is>
          <t>5.3; P-13</t>
        </is>
      </c>
      <c r="D101" s="7" t="inlineStr">
        <is>
          <t>Texto de vigilancia de Supersolidaria confirmado</t>
        </is>
      </c>
      <c r="E101"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102">
      <c r="A102" s="8" t="inlineStr">
        <is>
          <t>2026-09-25</t>
        </is>
      </c>
      <c r="B102" s="4" t="inlineStr">
        <is>
          <t>ga-verificador-qa</t>
        </is>
      </c>
      <c r="C102" s="8" t="inlineStr">
        <is>
          <t>6.3; nuevos P-84, P-86, P-87</t>
        </is>
      </c>
      <c r="D102" s="7" t="inlineStr">
        <is>
          <t>QA de producción: con observaciones</t>
        </is>
      </c>
      <c r="E102"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103">
      <c r="A103" s="8" t="inlineStr">
        <is>
          <t>2026-09-25</t>
        </is>
      </c>
      <c r="B103" s="4" t="inlineStr">
        <is>
          <t>sesión principal</t>
        </is>
      </c>
      <c r="C103" s="8" t="inlineStr">
        <is>
          <t>2.12; nuevo P-85</t>
        </is>
      </c>
      <c r="D103" s="7" t="inlineStr">
        <is>
          <t>El formulario de afiliación acepta correo de cualquier dominio</t>
        </is>
      </c>
      <c r="E103"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104">
      <c r="A104" s="8" t="inlineStr">
        <is>
          <t>2026-09-25</t>
        </is>
      </c>
      <c r="B104" s="4" t="inlineStr">
        <is>
          <t>ga-revisor-seguridad</t>
        </is>
      </c>
      <c r="C104" s="8" t="inlineStr">
        <is>
          <t>6.2; nuevos P-83, P-88</t>
        </is>
      </c>
      <c r="D104" s="7" t="inlineStr">
        <is>
          <t>Revisión de seguridad final de producción: aprobado con observaciones</t>
        </is>
      </c>
      <c r="E104"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105">
      <c r="A105" s="8" t="inlineStr">
        <is>
          <t>2026-09-25</t>
        </is>
      </c>
      <c r="B105" s="7" t="inlineStr">
        <is>
          <t>sesión principal (coordinador)</t>
        </is>
      </c>
      <c r="C105" s="8" t="inlineStr">
        <is>
          <t>6.5, 6.13; P-59, P-64; nuevo P-82</t>
        </is>
      </c>
      <c r="D105" s="7" t="inlineStr">
        <is>
          <t>PR develop → main fusionado; fase 2 desplegada en producción</t>
        </is>
      </c>
      <c r="E105"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106">
      <c r="A106" s="8" t="inlineStr">
        <is>
          <t>2026-09-25</t>
        </is>
      </c>
      <c r="B106" s="7" t="inlineStr">
        <is>
          <t>sesión principal (coordinador)</t>
        </is>
      </c>
      <c r="C106" s="8" t="inlineStr">
        <is>
          <t>6.9, 6.13; P-44, P-59, P-61</t>
        </is>
      </c>
      <c r="D106" s="7" t="inlineStr">
        <is>
          <t>Migraciones de fase 2 aplicadas en producción; plantillas de Resend y variables de Vercel puestas</t>
        </is>
      </c>
      <c r="E106"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07">
      <c r="A107" s="8" t="inlineStr">
        <is>
          <t>2026-09-24</t>
        </is>
      </c>
      <c r="B107" s="7" t="inlineStr">
        <is>
          <t>sesión principal (coordinador)</t>
        </is>
      </c>
      <c r="C107" s="8" t="inlineStr">
        <is>
          <t>5.4, P-14, P-61, P-62, P-72; nuevos P-75 a P-81</t>
        </is>
      </c>
      <c r="D107" s="7" t="inlineStr">
        <is>
          <t>Borrador de la política de datos y plantillas de Resend listas; Test QA borrado y dominio conectado</t>
        </is>
      </c>
      <c r="E107"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08">
      <c r="A108" s="8" t="inlineStr">
        <is>
          <t>2026-09-24</t>
        </is>
      </c>
      <c r="B108" s="7" t="inlineStr">
        <is>
          <t>Sebas (acuerdo con Carlos Pardo)</t>
        </is>
      </c>
      <c r="C108" s="8" t="inlineStr">
        <is>
          <t>4.1, 4.7, 4.8, 5.9, 5.10, 6.14, 6.15; P-65 a P-74</t>
        </is>
      </c>
      <c r="D108" s="7" t="inlineStr">
        <is>
          <t>Corrección de 4.1 y encargo externo a Carlos Pardo (500.000 COP) por PR a develop</t>
        </is>
      </c>
      <c r="E108"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09">
      <c r="A109" s="8" t="inlineStr">
        <is>
          <t>2026-09-24</t>
        </is>
      </c>
      <c r="B109" s="4" t="inlineStr">
        <is>
          <t>ga-escritor-tests</t>
        </is>
      </c>
      <c r="C109" s="8" t="inlineStr">
        <is>
          <t>6.1, P-58</t>
        </is>
      </c>
      <c r="D109" s="7" t="inlineStr">
        <is>
          <t>tests/e2e/d-afiliacion.spec.ts reescrito para la afiliación v2; bug real encontrado en esquemaAfiliacion</t>
        </is>
      </c>
      <c r="E109"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10">
      <c r="A110" s="8" t="inlineStr">
        <is>
          <t>2026-09-24</t>
        </is>
      </c>
      <c r="B110" s="7" t="inlineStr">
        <is>
          <t>Sebas (coordinación con la cooperativa)</t>
        </is>
      </c>
      <c r="C110" s="8" t="inlineStr">
        <is>
          <t>5.3; P-10, P-11, P-12, P-17, P-18, P-38, P-44</t>
        </is>
      </c>
      <c r="D110" s="7" t="inlineStr">
        <is>
          <t>Datos reales de contacto entregados; se cancela la importación de Excel; 3 admins reales en producción</t>
        </is>
      </c>
      <c r="E110"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11">
      <c r="A111" s="8" t="inlineStr">
        <is>
          <t>2026-09-24</t>
        </is>
      </c>
      <c r="B111" s="4" t="inlineStr">
        <is>
          <t>ga-funcionalidad-botones</t>
        </is>
      </c>
      <c r="C111" s="8" t="inlineStr">
        <is>
          <t>2.12, 4.1, 4.2, 4.5, 4.6, 6.2; P-36, P-37</t>
        </is>
      </c>
      <c r="D111" s="7" t="inlineStr">
        <is>
          <t>Afiliación v2, panel /admin y correcciones de la auditoría y la revisión de seguridad (F2-01/F2-04, S-01 a S-14)</t>
        </is>
      </c>
      <c r="E111"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12">
      <c r="A112" s="8" t="inlineStr">
        <is>
          <t>2026-09-24</t>
        </is>
      </c>
      <c r="B112" s="4" t="inlineStr">
        <is>
          <t>ga-revisor-seguridad</t>
        </is>
      </c>
      <c r="C112" s="8" t="inlineStr">
        <is>
          <t>6.2</t>
        </is>
      </c>
      <c r="D112" s="7" t="inlineStr">
        <is>
          <t>Revisión de seguridad de fase 2: 3 bloqueos para el despliegue</t>
        </is>
      </c>
      <c r="E112"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13">
      <c r="A113" s="8" t="inlineStr">
        <is>
          <t>2026-09-24</t>
        </is>
      </c>
      <c r="B113" s="4" t="inlineStr">
        <is>
          <t>ga-auditor-supabase</t>
        </is>
      </c>
      <c r="C113" s="8" t="inlineStr">
        <is>
          <t>1.6</t>
        </is>
      </c>
      <c r="D113" s="7" t="inlineStr">
        <is>
          <t>Auditoría de las 6 migraciones de fase 2: 1 hallazgo alto, 3 migraciones correctivas propuestas</t>
        </is>
      </c>
      <c r="E113"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14">
      <c r="A114" s="8" t="inlineStr">
        <is>
          <t>2026-09-24</t>
        </is>
      </c>
      <c r="B114" s="4" t="inlineStr">
        <is>
          <t>ga-funcionalidad-botones</t>
        </is>
      </c>
      <c r="C114" s="8" t="inlineStr">
        <is>
          <t>3.9</t>
        </is>
      </c>
      <c r="D114" s="7" t="inlineStr">
        <is>
          <t>Sorteo mensual en /cuenta</t>
        </is>
      </c>
      <c r="E114"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15">
      <c r="A115" s="8" t="inlineStr">
        <is>
          <t>2026-09-24</t>
        </is>
      </c>
      <c r="B115" s="4" t="inlineStr">
        <is>
          <t>ga-funcionalidad-botones</t>
        </is>
      </c>
      <c r="C115" s="8" t="inlineStr">
        <is>
          <t>4.6; P-57</t>
        </is>
      </c>
      <c r="D115" s="7" t="inlineStr">
        <is>
          <t>Rol asesor: /asesor (mis clientes) y /asesor/demo</t>
        </is>
      </c>
      <c r="E115"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16">
      <c r="A116" s="8" t="inlineStr">
        <is>
          <t>2026-09-24</t>
        </is>
      </c>
      <c r="B116" s="4" t="inlineStr">
        <is>
          <t>ga-auditor-supabase</t>
        </is>
      </c>
      <c r="C116" s="8" t="inlineStr">
        <is>
          <t>1.5; P-63</t>
        </is>
      </c>
      <c r="D116" s="7" t="inlineStr">
        <is>
          <t>Modelo de datos de fase 2: rol asesor, afiliación v2, bucket de fotos y sorteo mensual</t>
        </is>
      </c>
      <c r="E116"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17">
      <c r="A117" s="8" t="inlineStr">
        <is>
          <t>2026-09-23</t>
        </is>
      </c>
      <c r="B117" s="7" t="inlineStr">
        <is>
          <t>ga-funcionalidad-botones + ga-diseno-a-codigo</t>
        </is>
      </c>
      <c r="C117" s="8" t="inlineStr">
        <is>
          <t>6.3</t>
        </is>
      </c>
      <c r="D117" s="7" t="inlineStr">
        <is>
          <t>Corregidos F-01 a F-08 de verificación 3 y los 8 hallazgos responsive</t>
        </is>
      </c>
      <c r="E117"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18">
      <c r="A118" s="8" t="inlineStr">
        <is>
          <t>2026-09-23</t>
        </is>
      </c>
      <c r="B118" s="7" t="inlineStr">
        <is>
          <t>ga-verificador-responsive + ga-verificador-qa</t>
        </is>
      </c>
      <c r="C118" s="8" t="inlineStr">
        <is>
          <t>6.3; P-39</t>
        </is>
      </c>
      <c r="D118" s="7" t="inlineStr">
        <is>
          <t>Responsive 3 (8 hallazgos menores) y QA E2E 3 (236/241, NO APROBADO)</t>
        </is>
      </c>
      <c r="E118"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19">
      <c r="A119" s="8" t="inlineStr">
        <is>
          <t>2026-09-23</t>
        </is>
      </c>
      <c r="B119" s="4" t="inlineStr">
        <is>
          <t>ga-verificador-responsive</t>
        </is>
      </c>
      <c r="C119" s="8" t="inlineStr">
        <is>
          <t>6.3, 5.2, 5.8; P-39, P-53</t>
        </is>
      </c>
      <c r="D119" s="7" t="inlineStr">
        <is>
          <t>Verificación responsive 2: 0 fallas en 13 anchos; tests/responsive 10/10</t>
        </is>
      </c>
      <c r="E119"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20">
      <c r="A120" s="8" t="inlineStr">
        <is>
          <t>2026-09-23</t>
        </is>
      </c>
      <c r="B120" s="4" t="inlineStr">
        <is>
          <t>ga-funcionalidad-botones</t>
        </is>
      </c>
      <c r="C120" s="8" t="inlineStr">
        <is>
          <t>3.7, 5.5, 5.6, 6.9, 6.11; P-35, P-40, P-44, P-56</t>
        </is>
      </c>
      <c r="D120" s="7" t="inlineStr">
        <is>
          <t>HMAC en el límite de intentos, crédito en /cuenta/solicitar y borradas /login y /dashboard</t>
        </is>
      </c>
      <c r="E120"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21">
      <c r="A121" s="8" t="inlineStr">
        <is>
          <t>2026-09-23</t>
        </is>
      </c>
      <c r="B121" s="4" t="inlineStr">
        <is>
          <t>ga-diseno-a-codigo</t>
        </is>
      </c>
      <c r="C121" s="8" t="inlineStr">
        <is>
          <t>5.2, 5.8, 6.3</t>
        </is>
      </c>
      <c r="D121" s="7" t="inlineStr">
        <is>
          <t>Corregido el scroll horizontal y marca de agua más tenue</t>
        </is>
      </c>
      <c r="E121" s="7" t="inlineStr">
        <is>
          <t>Enlace del logo encoge (min-w-0 shrink) en los 5 headers; formulario de ingreso w-full con máximo 440 px y relleno de 32 px entre 1024 y 1279 px; marca de agua del hero en la esquina contraria y más tenue. 5.8 queda Hecho (peso 1, depende de 5.2 y 5.7).</t>
        </is>
      </c>
    </row>
    <row r="122">
      <c r="A122" s="8" t="inlineStr">
        <is>
          <t>2026-09-23</t>
        </is>
      </c>
      <c r="B122" s="4" t="inlineStr">
        <is>
          <t>ga-verificador-responsive</t>
        </is>
      </c>
      <c r="C122" s="8" t="inlineStr">
        <is>
          <t>6.3, 5.2, 2.1, 5.8; P-39</t>
        </is>
      </c>
      <c r="D122" s="7" t="inlineStr">
        <is>
          <t>Verificación responsive 1: logo y fotos bien; 2 fallas críticas de scroll previas</t>
        </is>
      </c>
      <c r="E122"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23">
      <c r="A123" s="8" t="inlineStr">
        <is>
          <t>2026-09-23</t>
        </is>
      </c>
      <c r="B123" s="4" t="inlineStr">
        <is>
          <t>ga-diseno-a-codigo</t>
        </is>
      </c>
      <c r="C123" s="8" t="inlineStr">
        <is>
          <t>2.1, 5.3, 5.7; P-16, P-52</t>
        </is>
      </c>
      <c r="D123" s="7" t="inlineStr">
        <is>
          <t>Logo con letras oficiales en SVG y espacios de foto de marca en la landing</t>
        </is>
      </c>
      <c r="E123"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24">
      <c r="A124" s="8" t="inlineStr">
        <is>
          <t>2026-09-23</t>
        </is>
      </c>
      <c r="B124" s="4" t="inlineStr">
        <is>
          <t>ga-auditor-supabase</t>
        </is>
      </c>
      <c r="C124" s="8" t="inlineStr">
        <is>
          <t>6.8, 6.11, 6.12; P-43, P-54, P-55</t>
        </is>
      </c>
      <c r="D124" s="7" t="inlineStr">
        <is>
          <t>Migración limite_de_intentos auditada: se puede aplicar tal cual</t>
        </is>
      </c>
      <c r="E124"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25">
      <c r="A125" s="8" t="inlineStr">
        <is>
          <t>2026-09-23</t>
        </is>
      </c>
      <c r="B125" s="7" t="inlineStr">
        <is>
          <t>Sebas + ga-auditor-supabase</t>
        </is>
      </c>
      <c r="C125" s="8" t="inlineStr">
        <is>
          <t>2.4, 6.8, 6.10; P-09, P-19, P-20, P-43, P-45</t>
        </is>
      </c>
      <c r="D125" s="7" t="inlineStr">
        <is>
          <t>SMTP de Resend configurado, plantilla del código lista en local y blindar confirmada en producción</t>
        </is>
      </c>
      <c r="E125"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26">
      <c r="A126" s="8" t="inlineStr">
        <is>
          <t>2026-09-23</t>
        </is>
      </c>
      <c r="B126" s="4" t="inlineStr">
        <is>
          <t>Sebas</t>
        </is>
      </c>
      <c r="C126" s="8" t="inlineStr">
        <is>
          <t>—</t>
        </is>
      </c>
      <c r="D126" s="7" t="inlineStr">
        <is>
          <t>Agente ga-auditor-supabase corregido</t>
        </is>
      </c>
      <c r="E126" s="7" t="inlineStr">
        <is>
          <t>Sus disallowedTools ahora usan los nombres reales del MCP (mcp__claude_ai_Supabase__*). Sin efecto en el plan.</t>
        </is>
      </c>
    </row>
    <row r="127">
      <c r="A127" s="8" t="inlineStr">
        <is>
          <t>2026-09-23</t>
        </is>
      </c>
      <c r="B127" s="7" t="inlineStr">
        <is>
          <t>Sebas + ga-auditor-supabase</t>
        </is>
      </c>
      <c r="C127" s="8" t="inlineStr">
        <is>
          <t>3.1, 6.5, 6.10; P-09</t>
        </is>
      </c>
      <c r="D127" s="7" t="inlineStr">
        <is>
          <t>Producción atrasada: falta la migración blindar_solicitudes_y_revisiones</t>
        </is>
      </c>
      <c r="E127"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28">
      <c r="A128" s="8" t="inlineStr">
        <is>
          <t>2026-09-23</t>
        </is>
      </c>
      <c r="B128" s="4" t="inlineStr">
        <is>
          <t>ga-escritor-tests</t>
        </is>
      </c>
      <c r="C128" s="8" t="inlineStr">
        <is>
          <t>6.1</t>
        </is>
      </c>
      <c r="D128" s="7" t="inlineStr">
        <is>
          <t>132/132 unitarias, 131/131 pgTAP y tsc sin errores</t>
        </is>
      </c>
      <c r="E128"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29">
      <c r="A129" s="8" t="inlineStr">
        <is>
          <t>2026-09-23</t>
        </is>
      </c>
      <c r="B129" s="7" t="inlineStr">
        <is>
          <t>Sebas + ga-funcionalidad-botones</t>
        </is>
      </c>
      <c r="C129" s="8" t="inlineStr">
        <is>
          <t>2.9, 3.8, 4.5, 6.1, 6.2, 6.9; P-19, P-20, P-28, P-36, P-37, P-44, P-45, P-50, P-51</t>
        </is>
      </c>
      <c r="D129" s="7" t="inlineStr">
        <is>
          <t>Se quitan del código los correos de aviso de afiliación y de solicitud de crédito; docs/resend-plantillas.md reescrito</t>
        </is>
      </c>
      <c r="E129"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30">
      <c r="A130" s="8" t="inlineStr">
        <is>
          <t>2026-09-23</t>
        </is>
      </c>
      <c r="B130" s="4" t="inlineStr">
        <is>
          <t>ga-verificador-qa</t>
        </is>
      </c>
      <c r="C130" s="8" t="inlineStr">
        <is>
          <t>6.3, 2.11; P-39, P-48, P-49, P-50</t>
        </is>
      </c>
      <c r="D130" s="7" t="inlineStr">
        <is>
          <t>QA 1 de punta a punta: 186 pruebas pasan, 2 fallan</t>
        </is>
      </c>
      <c r="E130"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31">
      <c r="A131" s="8" t="inlineStr">
        <is>
          <t>2026-09-23</t>
        </is>
      </c>
      <c r="B131" s="4" t="inlineStr">
        <is>
          <t>ga-funcionalidad-botones</t>
        </is>
      </c>
      <c r="C131" s="8" t="inlineStr">
        <is>
          <t>2.4, 2.5, 2.6, 2.7, 2.8, 2.9, 2.10, 3.5, 3.6, 3.7, 3.8, 5.4, 6.1, 6.5, 6.8, 6.9; P-15, P-20, P-22 a P-35, P-43 a P-47</t>
        </is>
      </c>
      <c r="D131" s="7" t="inlineStr">
        <is>
          <t>Botones de /, /ingresar, /ingresar/codigo, /afiliacion, /afiliacion/enviada y /cuenta funcionando en local</t>
        </is>
      </c>
      <c r="E131"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32">
      <c r="A132" s="8" t="inlineStr">
        <is>
          <t>2026-09-23</t>
        </is>
      </c>
      <c r="B132" s="4" t="inlineStr">
        <is>
          <t>Claude (sesión principal)</t>
        </is>
      </c>
      <c r="C132" s="8" t="inlineStr">
        <is>
          <t>Todas</t>
        </is>
      </c>
      <c r="D132" s="7" t="inlineStr">
        <is>
          <t>Creación del Excel de avances</t>
        </is>
      </c>
      <c r="E132"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2026-10-22T05:13:26Z</dcterms:created>
  <dcterms:modified xsi:type="dcterms:W3CDTF">2026-10-22T05:13:28Z</dcterms:modified>
</cp:coreProperties>
</file>